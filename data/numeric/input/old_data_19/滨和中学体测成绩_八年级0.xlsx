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34/"/>
    </mc:Choice>
  </mc:AlternateContent>
  <xr:revisionPtr revIDLastSave="0" documentId="13_ncr:1_{2F789693-12B9-9644-B1AB-058865E1C344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男生" sheetId="1" r:id="rId1"/>
    <sheet name="Sheet3" sheetId="3" state="hidden" r:id="rId2"/>
    <sheet name="Sheet4" sheetId="4" state="hidden" r:id="rId3"/>
    <sheet name="Sheet5" sheetId="5" state="hidden" r:id="rId4"/>
    <sheet name="Sheet6" sheetId="6" state="hidden" r:id="rId5"/>
  </sheets>
  <definedNames>
    <definedName name="_xlnm._FilterDatabase" localSheetId="0" hidden="1">男生!$A$1:$AG$177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77" i="1" l="1"/>
  <c r="T577" i="1"/>
  <c r="S577" i="1"/>
  <c r="R577" i="1"/>
  <c r="Q577" i="1"/>
  <c r="P577" i="1"/>
  <c r="O577" i="1"/>
  <c r="V577" i="1" s="1"/>
  <c r="W577" i="1" s="1"/>
  <c r="N577" i="1"/>
  <c r="U576" i="1"/>
  <c r="T576" i="1"/>
  <c r="S576" i="1"/>
  <c r="R576" i="1"/>
  <c r="Q576" i="1"/>
  <c r="P576" i="1"/>
  <c r="N576" i="1"/>
  <c r="O576" i="1" s="1"/>
  <c r="V576" i="1" s="1"/>
  <c r="W576" i="1" s="1"/>
  <c r="V575" i="1"/>
  <c r="W575" i="1" s="1"/>
  <c r="U575" i="1"/>
  <c r="T575" i="1"/>
  <c r="S575" i="1"/>
  <c r="R575" i="1"/>
  <c r="Q575" i="1"/>
  <c r="P575" i="1"/>
  <c r="N575" i="1"/>
  <c r="O575" i="1" s="1"/>
  <c r="U574" i="1"/>
  <c r="T574" i="1"/>
  <c r="S574" i="1"/>
  <c r="V574" i="1" s="1"/>
  <c r="W574" i="1" s="1"/>
  <c r="R574" i="1"/>
  <c r="Q574" i="1"/>
  <c r="P574" i="1"/>
  <c r="O574" i="1"/>
  <c r="N574" i="1"/>
  <c r="U573" i="1"/>
  <c r="T573" i="1"/>
  <c r="S573" i="1"/>
  <c r="R573" i="1"/>
  <c r="Q573" i="1"/>
  <c r="P573" i="1"/>
  <c r="N573" i="1"/>
  <c r="O573" i="1" s="1"/>
  <c r="U572" i="1"/>
  <c r="T572" i="1"/>
  <c r="S572" i="1"/>
  <c r="R572" i="1"/>
  <c r="Q572" i="1"/>
  <c r="P572" i="1"/>
  <c r="N572" i="1"/>
  <c r="O572" i="1" s="1"/>
  <c r="V572" i="1" s="1"/>
  <c r="W572" i="1" s="1"/>
  <c r="U571" i="1"/>
  <c r="T571" i="1"/>
  <c r="S571" i="1"/>
  <c r="R571" i="1"/>
  <c r="Q571" i="1"/>
  <c r="P571" i="1"/>
  <c r="O571" i="1"/>
  <c r="N571" i="1"/>
  <c r="U570" i="1"/>
  <c r="T570" i="1"/>
  <c r="S570" i="1"/>
  <c r="R570" i="1"/>
  <c r="V570" i="1" s="1"/>
  <c r="W570" i="1" s="1"/>
  <c r="Q570" i="1"/>
  <c r="P570" i="1"/>
  <c r="O570" i="1"/>
  <c r="N570" i="1"/>
  <c r="U569" i="1"/>
  <c r="T569" i="1"/>
  <c r="S569" i="1"/>
  <c r="R569" i="1"/>
  <c r="Q569" i="1"/>
  <c r="P569" i="1"/>
  <c r="N569" i="1"/>
  <c r="O569" i="1" s="1"/>
  <c r="U568" i="1"/>
  <c r="T568" i="1"/>
  <c r="S568" i="1"/>
  <c r="R568" i="1"/>
  <c r="Q568" i="1"/>
  <c r="P568" i="1"/>
  <c r="O568" i="1"/>
  <c r="V568" i="1" s="1"/>
  <c r="W568" i="1" s="1"/>
  <c r="N568" i="1"/>
  <c r="V567" i="1"/>
  <c r="W567" i="1" s="1"/>
  <c r="U567" i="1"/>
  <c r="T567" i="1"/>
  <c r="S567" i="1"/>
  <c r="R567" i="1"/>
  <c r="Q567" i="1"/>
  <c r="P567" i="1"/>
  <c r="N567" i="1"/>
  <c r="O567" i="1" s="1"/>
  <c r="U566" i="1"/>
  <c r="T566" i="1"/>
  <c r="S566" i="1"/>
  <c r="V566" i="1" s="1"/>
  <c r="W566" i="1" s="1"/>
  <c r="R566" i="1"/>
  <c r="Q566" i="1"/>
  <c r="P566" i="1"/>
  <c r="N566" i="1"/>
  <c r="O566" i="1" s="1"/>
  <c r="U565" i="1"/>
  <c r="T565" i="1"/>
  <c r="S565" i="1"/>
  <c r="R565" i="1"/>
  <c r="Q565" i="1"/>
  <c r="P565" i="1"/>
  <c r="O565" i="1"/>
  <c r="N565" i="1"/>
  <c r="U564" i="1"/>
  <c r="T564" i="1"/>
  <c r="S564" i="1"/>
  <c r="R564" i="1"/>
  <c r="Q564" i="1"/>
  <c r="P564" i="1"/>
  <c r="N564" i="1"/>
  <c r="O564" i="1" s="1"/>
  <c r="V564" i="1" s="1"/>
  <c r="W564" i="1" s="1"/>
  <c r="W563" i="1"/>
  <c r="V563" i="1"/>
  <c r="U563" i="1"/>
  <c r="T563" i="1"/>
  <c r="S563" i="1"/>
  <c r="R563" i="1"/>
  <c r="Q563" i="1"/>
  <c r="P563" i="1"/>
  <c r="N563" i="1"/>
  <c r="O563" i="1" s="1"/>
  <c r="U562" i="1"/>
  <c r="T562" i="1"/>
  <c r="V562" i="1" s="1"/>
  <c r="W562" i="1" s="1"/>
  <c r="S562" i="1"/>
  <c r="R562" i="1"/>
  <c r="Q562" i="1"/>
  <c r="P562" i="1"/>
  <c r="O562" i="1"/>
  <c r="N562" i="1"/>
  <c r="U561" i="1"/>
  <c r="T561" i="1"/>
  <c r="S561" i="1"/>
  <c r="R561" i="1"/>
  <c r="Q561" i="1"/>
  <c r="P561" i="1"/>
  <c r="N561" i="1"/>
  <c r="O561" i="1" s="1"/>
  <c r="U560" i="1"/>
  <c r="T560" i="1"/>
  <c r="S560" i="1"/>
  <c r="R560" i="1"/>
  <c r="Q560" i="1"/>
  <c r="P560" i="1"/>
  <c r="O560" i="1"/>
  <c r="N560" i="1"/>
  <c r="U559" i="1"/>
  <c r="T559" i="1"/>
  <c r="S559" i="1"/>
  <c r="R559" i="1"/>
  <c r="Q559" i="1"/>
  <c r="P559" i="1"/>
  <c r="N559" i="1"/>
  <c r="O559" i="1" s="1"/>
  <c r="V559" i="1" s="1"/>
  <c r="W559" i="1" s="1"/>
  <c r="W558" i="1"/>
  <c r="V558" i="1"/>
  <c r="U558" i="1"/>
  <c r="T558" i="1"/>
  <c r="S558" i="1"/>
  <c r="R558" i="1"/>
  <c r="Q558" i="1"/>
  <c r="P558" i="1"/>
  <c r="O558" i="1"/>
  <c r="N558" i="1"/>
  <c r="U557" i="1"/>
  <c r="T557" i="1"/>
  <c r="S557" i="1"/>
  <c r="R557" i="1"/>
  <c r="Q557" i="1"/>
  <c r="P557" i="1"/>
  <c r="N557" i="1"/>
  <c r="O557" i="1" s="1"/>
  <c r="U556" i="1"/>
  <c r="T556" i="1"/>
  <c r="S556" i="1"/>
  <c r="R556" i="1"/>
  <c r="Q556" i="1"/>
  <c r="P556" i="1"/>
  <c r="O556" i="1"/>
  <c r="V556" i="1" s="1"/>
  <c r="W556" i="1" s="1"/>
  <c r="N556" i="1"/>
  <c r="U555" i="1"/>
  <c r="T555" i="1"/>
  <c r="S555" i="1"/>
  <c r="R555" i="1"/>
  <c r="Q555" i="1"/>
  <c r="P555" i="1"/>
  <c r="N555" i="1"/>
  <c r="O555" i="1" s="1"/>
  <c r="V555" i="1" s="1"/>
  <c r="W555" i="1" s="1"/>
  <c r="V554" i="1"/>
  <c r="W554" i="1" s="1"/>
  <c r="U554" i="1"/>
  <c r="T554" i="1"/>
  <c r="S554" i="1"/>
  <c r="R554" i="1"/>
  <c r="Q554" i="1"/>
  <c r="P554" i="1"/>
  <c r="N554" i="1"/>
  <c r="O554" i="1" s="1"/>
  <c r="U553" i="1"/>
  <c r="T553" i="1"/>
  <c r="S553" i="1"/>
  <c r="R553" i="1"/>
  <c r="Q553" i="1"/>
  <c r="P553" i="1"/>
  <c r="N553" i="1"/>
  <c r="O553" i="1" s="1"/>
  <c r="V553" i="1" s="1"/>
  <c r="W553" i="1" s="1"/>
  <c r="U552" i="1"/>
  <c r="T552" i="1"/>
  <c r="S552" i="1"/>
  <c r="R552" i="1"/>
  <c r="Q552" i="1"/>
  <c r="P552" i="1"/>
  <c r="O552" i="1"/>
  <c r="V552" i="1" s="1"/>
  <c r="W552" i="1" s="1"/>
  <c r="N552" i="1"/>
  <c r="U551" i="1"/>
  <c r="T551" i="1"/>
  <c r="S551" i="1"/>
  <c r="R551" i="1"/>
  <c r="Q551" i="1"/>
  <c r="P551" i="1"/>
  <c r="N551" i="1"/>
  <c r="O551" i="1" s="1"/>
  <c r="V551" i="1" s="1"/>
  <c r="W551" i="1" s="1"/>
  <c r="U550" i="1"/>
  <c r="T550" i="1"/>
  <c r="S550" i="1"/>
  <c r="R550" i="1"/>
  <c r="Q550" i="1"/>
  <c r="P550" i="1"/>
  <c r="N550" i="1"/>
  <c r="O550" i="1" s="1"/>
  <c r="V550" i="1" s="1"/>
  <c r="W550" i="1" s="1"/>
  <c r="W549" i="1"/>
  <c r="V549" i="1"/>
  <c r="U549" i="1"/>
  <c r="T549" i="1"/>
  <c r="S549" i="1"/>
  <c r="R549" i="1"/>
  <c r="Q549" i="1"/>
  <c r="P549" i="1"/>
  <c r="N549" i="1"/>
  <c r="O549" i="1" s="1"/>
  <c r="U548" i="1"/>
  <c r="T548" i="1"/>
  <c r="S548" i="1"/>
  <c r="R548" i="1"/>
  <c r="Q548" i="1"/>
  <c r="P548" i="1"/>
  <c r="O548" i="1"/>
  <c r="N548" i="1"/>
  <c r="U547" i="1"/>
  <c r="T547" i="1"/>
  <c r="S547" i="1"/>
  <c r="R547" i="1"/>
  <c r="Q547" i="1"/>
  <c r="P547" i="1"/>
  <c r="O547" i="1"/>
  <c r="V547" i="1" s="1"/>
  <c r="W547" i="1" s="1"/>
  <c r="N547" i="1"/>
  <c r="U546" i="1"/>
  <c r="T546" i="1"/>
  <c r="S546" i="1"/>
  <c r="R546" i="1"/>
  <c r="Q546" i="1"/>
  <c r="P546" i="1"/>
  <c r="N546" i="1"/>
  <c r="O546" i="1" s="1"/>
  <c r="V546" i="1" s="1"/>
  <c r="W546" i="1" s="1"/>
  <c r="W545" i="1"/>
  <c r="V545" i="1"/>
  <c r="U545" i="1"/>
  <c r="T545" i="1"/>
  <c r="S545" i="1"/>
  <c r="R545" i="1"/>
  <c r="Q545" i="1"/>
  <c r="P545" i="1"/>
  <c r="N545" i="1"/>
  <c r="O545" i="1" s="1"/>
  <c r="U544" i="1"/>
  <c r="T544" i="1"/>
  <c r="V544" i="1" s="1"/>
  <c r="W544" i="1" s="1"/>
  <c r="S544" i="1"/>
  <c r="R544" i="1"/>
  <c r="Q544" i="1"/>
  <c r="P544" i="1"/>
  <c r="O544" i="1"/>
  <c r="N544" i="1"/>
  <c r="U543" i="1"/>
  <c r="T543" i="1"/>
  <c r="S543" i="1"/>
  <c r="R543" i="1"/>
  <c r="Q543" i="1"/>
  <c r="P543" i="1"/>
  <c r="N543" i="1"/>
  <c r="O543" i="1" s="1"/>
  <c r="U542" i="1"/>
  <c r="T542" i="1"/>
  <c r="S542" i="1"/>
  <c r="R542" i="1"/>
  <c r="Q542" i="1"/>
  <c r="P542" i="1"/>
  <c r="O542" i="1"/>
  <c r="V542" i="1" s="1"/>
  <c r="W542" i="1" s="1"/>
  <c r="N542" i="1"/>
  <c r="U541" i="1"/>
  <c r="T541" i="1"/>
  <c r="S541" i="1"/>
  <c r="R541" i="1"/>
  <c r="Q541" i="1"/>
  <c r="P541" i="1"/>
  <c r="N541" i="1"/>
  <c r="O541" i="1" s="1"/>
  <c r="V541" i="1" s="1"/>
  <c r="W541" i="1" s="1"/>
  <c r="V540" i="1"/>
  <c r="W540" i="1" s="1"/>
  <c r="U540" i="1"/>
  <c r="T540" i="1"/>
  <c r="S540" i="1"/>
  <c r="R540" i="1"/>
  <c r="Q540" i="1"/>
  <c r="P540" i="1"/>
  <c r="O540" i="1"/>
  <c r="N540" i="1"/>
  <c r="V539" i="1"/>
  <c r="W539" i="1" s="1"/>
  <c r="U539" i="1"/>
  <c r="T539" i="1"/>
  <c r="S539" i="1"/>
  <c r="R539" i="1"/>
  <c r="Q539" i="1"/>
  <c r="P539" i="1"/>
  <c r="N539" i="1"/>
  <c r="O539" i="1" s="1"/>
  <c r="U538" i="1"/>
  <c r="T538" i="1"/>
  <c r="S538" i="1"/>
  <c r="R538" i="1"/>
  <c r="Q538" i="1"/>
  <c r="P538" i="1"/>
  <c r="N538" i="1"/>
  <c r="O538" i="1" s="1"/>
  <c r="U537" i="1"/>
  <c r="T537" i="1"/>
  <c r="S537" i="1"/>
  <c r="R537" i="1"/>
  <c r="Q537" i="1"/>
  <c r="P537" i="1"/>
  <c r="N537" i="1"/>
  <c r="O537" i="1" s="1"/>
  <c r="U536" i="1"/>
  <c r="T536" i="1"/>
  <c r="S536" i="1"/>
  <c r="R536" i="1"/>
  <c r="Q536" i="1"/>
  <c r="P536" i="1"/>
  <c r="N536" i="1"/>
  <c r="O536" i="1" s="1"/>
  <c r="V536" i="1" s="1"/>
  <c r="W536" i="1" s="1"/>
  <c r="U535" i="1"/>
  <c r="T535" i="1"/>
  <c r="S535" i="1"/>
  <c r="R535" i="1"/>
  <c r="Q535" i="1"/>
  <c r="P535" i="1"/>
  <c r="O535" i="1"/>
  <c r="N535" i="1"/>
  <c r="U534" i="1"/>
  <c r="T534" i="1"/>
  <c r="S534" i="1"/>
  <c r="R534" i="1"/>
  <c r="Q534" i="1"/>
  <c r="P534" i="1"/>
  <c r="O534" i="1"/>
  <c r="V534" i="1" s="1"/>
  <c r="W534" i="1" s="1"/>
  <c r="N534" i="1"/>
  <c r="U533" i="1"/>
  <c r="T533" i="1"/>
  <c r="S533" i="1"/>
  <c r="R533" i="1"/>
  <c r="Q533" i="1"/>
  <c r="P533" i="1"/>
  <c r="O533" i="1"/>
  <c r="N533" i="1"/>
  <c r="U532" i="1"/>
  <c r="T532" i="1"/>
  <c r="S532" i="1"/>
  <c r="R532" i="1"/>
  <c r="Q532" i="1"/>
  <c r="P532" i="1"/>
  <c r="O532" i="1"/>
  <c r="V532" i="1" s="1"/>
  <c r="W532" i="1" s="1"/>
  <c r="N532" i="1"/>
  <c r="U531" i="1"/>
  <c r="T531" i="1"/>
  <c r="S531" i="1"/>
  <c r="R531" i="1"/>
  <c r="Q531" i="1"/>
  <c r="P531" i="1"/>
  <c r="N531" i="1"/>
  <c r="O531" i="1" s="1"/>
  <c r="V531" i="1" s="1"/>
  <c r="W531" i="1" s="1"/>
  <c r="U530" i="1"/>
  <c r="V530" i="1" s="1"/>
  <c r="W530" i="1" s="1"/>
  <c r="T530" i="1"/>
  <c r="S530" i="1"/>
  <c r="R530" i="1"/>
  <c r="Q530" i="1"/>
  <c r="P530" i="1"/>
  <c r="O530" i="1"/>
  <c r="N530" i="1"/>
  <c r="U529" i="1"/>
  <c r="T529" i="1"/>
  <c r="S529" i="1"/>
  <c r="R529" i="1"/>
  <c r="Q529" i="1"/>
  <c r="P529" i="1"/>
  <c r="N529" i="1"/>
  <c r="O529" i="1" s="1"/>
  <c r="U528" i="1"/>
  <c r="T528" i="1"/>
  <c r="S528" i="1"/>
  <c r="R528" i="1"/>
  <c r="Q528" i="1"/>
  <c r="P528" i="1"/>
  <c r="O528" i="1"/>
  <c r="N528" i="1"/>
  <c r="U527" i="1"/>
  <c r="T527" i="1"/>
  <c r="S527" i="1"/>
  <c r="R527" i="1"/>
  <c r="Q527" i="1"/>
  <c r="P527" i="1"/>
  <c r="N527" i="1"/>
  <c r="O527" i="1" s="1"/>
  <c r="V527" i="1" s="1"/>
  <c r="W527" i="1" s="1"/>
  <c r="W526" i="1"/>
  <c r="U526" i="1"/>
  <c r="T526" i="1"/>
  <c r="S526" i="1"/>
  <c r="R526" i="1"/>
  <c r="Q526" i="1"/>
  <c r="P526" i="1"/>
  <c r="N526" i="1"/>
  <c r="O526" i="1" s="1"/>
  <c r="V526" i="1" s="1"/>
  <c r="V525" i="1"/>
  <c r="W525" i="1" s="1"/>
  <c r="U525" i="1"/>
  <c r="T525" i="1"/>
  <c r="S525" i="1"/>
  <c r="R525" i="1"/>
  <c r="Q525" i="1"/>
  <c r="P525" i="1"/>
  <c r="N525" i="1"/>
  <c r="O525" i="1" s="1"/>
  <c r="U524" i="1"/>
  <c r="T524" i="1"/>
  <c r="S524" i="1"/>
  <c r="R524" i="1"/>
  <c r="Q524" i="1"/>
  <c r="P524" i="1"/>
  <c r="O524" i="1"/>
  <c r="N524" i="1"/>
  <c r="U523" i="1"/>
  <c r="T523" i="1"/>
  <c r="S523" i="1"/>
  <c r="R523" i="1"/>
  <c r="Q523" i="1"/>
  <c r="P523" i="1"/>
  <c r="O523" i="1"/>
  <c r="N523" i="1"/>
  <c r="U522" i="1"/>
  <c r="T522" i="1"/>
  <c r="S522" i="1"/>
  <c r="R522" i="1"/>
  <c r="Q522" i="1"/>
  <c r="P522" i="1"/>
  <c r="O522" i="1"/>
  <c r="V522" i="1" s="1"/>
  <c r="W522" i="1" s="1"/>
  <c r="N522" i="1"/>
  <c r="V521" i="1"/>
  <c r="W521" i="1" s="1"/>
  <c r="U521" i="1"/>
  <c r="T521" i="1"/>
  <c r="S521" i="1"/>
  <c r="R521" i="1"/>
  <c r="Q521" i="1"/>
  <c r="P521" i="1"/>
  <c r="N521" i="1"/>
  <c r="O521" i="1" s="1"/>
  <c r="U520" i="1"/>
  <c r="T520" i="1"/>
  <c r="V520" i="1" s="1"/>
  <c r="W520" i="1" s="1"/>
  <c r="S520" i="1"/>
  <c r="R520" i="1"/>
  <c r="Q520" i="1"/>
  <c r="P520" i="1"/>
  <c r="O520" i="1"/>
  <c r="N520" i="1"/>
  <c r="U519" i="1"/>
  <c r="T519" i="1"/>
  <c r="S519" i="1"/>
  <c r="R519" i="1"/>
  <c r="Q519" i="1"/>
  <c r="P519" i="1"/>
  <c r="N519" i="1"/>
  <c r="O519" i="1" s="1"/>
  <c r="U518" i="1"/>
  <c r="T518" i="1"/>
  <c r="S518" i="1"/>
  <c r="R518" i="1"/>
  <c r="Q518" i="1"/>
  <c r="P518" i="1"/>
  <c r="O518" i="1"/>
  <c r="N518" i="1"/>
  <c r="U517" i="1"/>
  <c r="T517" i="1"/>
  <c r="S517" i="1"/>
  <c r="R517" i="1"/>
  <c r="Q517" i="1"/>
  <c r="P517" i="1"/>
  <c r="N517" i="1"/>
  <c r="O517" i="1" s="1"/>
  <c r="V517" i="1" s="1"/>
  <c r="W517" i="1" s="1"/>
  <c r="V516" i="1"/>
  <c r="W516" i="1" s="1"/>
  <c r="U516" i="1"/>
  <c r="T516" i="1"/>
  <c r="S516" i="1"/>
  <c r="R516" i="1"/>
  <c r="Q516" i="1"/>
  <c r="P516" i="1"/>
  <c r="O516" i="1"/>
  <c r="N516" i="1"/>
  <c r="U515" i="1"/>
  <c r="T515" i="1"/>
  <c r="S515" i="1"/>
  <c r="R515" i="1"/>
  <c r="Q515" i="1"/>
  <c r="P515" i="1"/>
  <c r="N515" i="1"/>
  <c r="O515" i="1" s="1"/>
  <c r="V515" i="1" s="1"/>
  <c r="W515" i="1" s="1"/>
  <c r="U514" i="1"/>
  <c r="T514" i="1"/>
  <c r="S514" i="1"/>
  <c r="R514" i="1"/>
  <c r="Q514" i="1"/>
  <c r="P514" i="1"/>
  <c r="N514" i="1"/>
  <c r="O514" i="1" s="1"/>
  <c r="U513" i="1"/>
  <c r="T513" i="1"/>
  <c r="S513" i="1"/>
  <c r="R513" i="1"/>
  <c r="Q513" i="1"/>
  <c r="P513" i="1"/>
  <c r="N513" i="1"/>
  <c r="O513" i="1" s="1"/>
  <c r="V513" i="1" s="1"/>
  <c r="W513" i="1" s="1"/>
  <c r="U512" i="1"/>
  <c r="T512" i="1"/>
  <c r="S512" i="1"/>
  <c r="R512" i="1"/>
  <c r="Q512" i="1"/>
  <c r="P512" i="1"/>
  <c r="O512" i="1"/>
  <c r="V512" i="1" s="1"/>
  <c r="W512" i="1" s="1"/>
  <c r="N512" i="1"/>
  <c r="U511" i="1"/>
  <c r="T511" i="1"/>
  <c r="S511" i="1"/>
  <c r="R511" i="1"/>
  <c r="Q511" i="1"/>
  <c r="P511" i="1"/>
  <c r="O511" i="1"/>
  <c r="N511" i="1"/>
  <c r="U510" i="1"/>
  <c r="T510" i="1"/>
  <c r="S510" i="1"/>
  <c r="R510" i="1"/>
  <c r="Q510" i="1"/>
  <c r="P510" i="1"/>
  <c r="O510" i="1"/>
  <c r="N510" i="1"/>
  <c r="U509" i="1"/>
  <c r="T509" i="1"/>
  <c r="S509" i="1"/>
  <c r="R509" i="1"/>
  <c r="Q509" i="1"/>
  <c r="P509" i="1"/>
  <c r="O509" i="1"/>
  <c r="V509" i="1" s="1"/>
  <c r="W509" i="1" s="1"/>
  <c r="N509" i="1"/>
  <c r="U508" i="1"/>
  <c r="T508" i="1"/>
  <c r="S508" i="1"/>
  <c r="R508" i="1"/>
  <c r="Q508" i="1"/>
  <c r="P508" i="1"/>
  <c r="N508" i="1"/>
  <c r="O508" i="1" s="1"/>
  <c r="V508" i="1" s="1"/>
  <c r="W508" i="1" s="1"/>
  <c r="U507" i="1"/>
  <c r="T507" i="1"/>
  <c r="S507" i="1"/>
  <c r="R507" i="1"/>
  <c r="Q507" i="1"/>
  <c r="P507" i="1"/>
  <c r="N507" i="1"/>
  <c r="O507" i="1" s="1"/>
  <c r="V507" i="1" s="1"/>
  <c r="W507" i="1" s="1"/>
  <c r="V506" i="1"/>
  <c r="W506" i="1" s="1"/>
  <c r="U506" i="1"/>
  <c r="T506" i="1"/>
  <c r="S506" i="1"/>
  <c r="R506" i="1"/>
  <c r="Q506" i="1"/>
  <c r="P506" i="1"/>
  <c r="O506" i="1"/>
  <c r="N506" i="1"/>
  <c r="U505" i="1"/>
  <c r="T505" i="1"/>
  <c r="S505" i="1"/>
  <c r="R505" i="1"/>
  <c r="Q505" i="1"/>
  <c r="P505" i="1"/>
  <c r="N505" i="1"/>
  <c r="O505" i="1" s="1"/>
  <c r="U504" i="1"/>
  <c r="T504" i="1"/>
  <c r="S504" i="1"/>
  <c r="R504" i="1"/>
  <c r="Q504" i="1"/>
  <c r="P504" i="1"/>
  <c r="O504" i="1"/>
  <c r="N504" i="1"/>
  <c r="U503" i="1"/>
  <c r="T503" i="1"/>
  <c r="S503" i="1"/>
  <c r="R503" i="1"/>
  <c r="Q503" i="1"/>
  <c r="P503" i="1"/>
  <c r="O503" i="1"/>
  <c r="V503" i="1" s="1"/>
  <c r="W503" i="1" s="1"/>
  <c r="N503" i="1"/>
  <c r="W502" i="1"/>
  <c r="U502" i="1"/>
  <c r="T502" i="1"/>
  <c r="S502" i="1"/>
  <c r="R502" i="1"/>
  <c r="Q502" i="1"/>
  <c r="P502" i="1"/>
  <c r="N502" i="1"/>
  <c r="O502" i="1" s="1"/>
  <c r="V502" i="1" s="1"/>
  <c r="U501" i="1"/>
  <c r="V501" i="1" s="1"/>
  <c r="W501" i="1" s="1"/>
  <c r="T501" i="1"/>
  <c r="S501" i="1"/>
  <c r="R501" i="1"/>
  <c r="Q501" i="1"/>
  <c r="P501" i="1"/>
  <c r="N501" i="1"/>
  <c r="O501" i="1" s="1"/>
  <c r="U500" i="1"/>
  <c r="T500" i="1"/>
  <c r="S500" i="1"/>
  <c r="R500" i="1"/>
  <c r="Q500" i="1"/>
  <c r="P500" i="1"/>
  <c r="O500" i="1"/>
  <c r="N500" i="1"/>
  <c r="U499" i="1"/>
  <c r="T499" i="1"/>
  <c r="S499" i="1"/>
  <c r="R499" i="1"/>
  <c r="Q499" i="1"/>
  <c r="P499" i="1"/>
  <c r="O499" i="1"/>
  <c r="N499" i="1"/>
  <c r="U498" i="1"/>
  <c r="T498" i="1"/>
  <c r="S498" i="1"/>
  <c r="R498" i="1"/>
  <c r="Q498" i="1"/>
  <c r="P498" i="1"/>
  <c r="O498" i="1"/>
  <c r="V498" i="1" s="1"/>
  <c r="W498" i="1" s="1"/>
  <c r="N498" i="1"/>
  <c r="U497" i="1"/>
  <c r="T497" i="1"/>
  <c r="S497" i="1"/>
  <c r="R497" i="1"/>
  <c r="Q497" i="1"/>
  <c r="P497" i="1"/>
  <c r="N497" i="1"/>
  <c r="O497" i="1" s="1"/>
  <c r="V497" i="1" s="1"/>
  <c r="W497" i="1" s="1"/>
  <c r="V496" i="1"/>
  <c r="W496" i="1" s="1"/>
  <c r="U496" i="1"/>
  <c r="T496" i="1"/>
  <c r="S496" i="1"/>
  <c r="R496" i="1"/>
  <c r="Q496" i="1"/>
  <c r="P496" i="1"/>
  <c r="O496" i="1"/>
  <c r="N496" i="1"/>
  <c r="U495" i="1"/>
  <c r="T495" i="1"/>
  <c r="S495" i="1"/>
  <c r="R495" i="1"/>
  <c r="Q495" i="1"/>
  <c r="P495" i="1"/>
  <c r="N495" i="1"/>
  <c r="O495" i="1" s="1"/>
  <c r="U494" i="1"/>
  <c r="T494" i="1"/>
  <c r="S494" i="1"/>
  <c r="R494" i="1"/>
  <c r="Q494" i="1"/>
  <c r="P494" i="1"/>
  <c r="O494" i="1"/>
  <c r="V494" i="1" s="1"/>
  <c r="W494" i="1" s="1"/>
  <c r="N494" i="1"/>
  <c r="U493" i="1"/>
  <c r="T493" i="1"/>
  <c r="S493" i="1"/>
  <c r="R493" i="1"/>
  <c r="Q493" i="1"/>
  <c r="P493" i="1"/>
  <c r="N493" i="1"/>
  <c r="O493" i="1" s="1"/>
  <c r="V493" i="1" s="1"/>
  <c r="W493" i="1" s="1"/>
  <c r="W492" i="1"/>
  <c r="V492" i="1"/>
  <c r="U492" i="1"/>
  <c r="T492" i="1"/>
  <c r="S492" i="1"/>
  <c r="R492" i="1"/>
  <c r="Q492" i="1"/>
  <c r="P492" i="1"/>
  <c r="O492" i="1"/>
  <c r="N492" i="1"/>
  <c r="U491" i="1"/>
  <c r="T491" i="1"/>
  <c r="S491" i="1"/>
  <c r="R491" i="1"/>
  <c r="Q491" i="1"/>
  <c r="P491" i="1"/>
  <c r="N491" i="1"/>
  <c r="O491" i="1" s="1"/>
  <c r="V491" i="1" s="1"/>
  <c r="W491" i="1" s="1"/>
  <c r="U490" i="1"/>
  <c r="T490" i="1"/>
  <c r="S490" i="1"/>
  <c r="R490" i="1"/>
  <c r="Q490" i="1"/>
  <c r="P490" i="1"/>
  <c r="N490" i="1"/>
  <c r="O490" i="1" s="1"/>
  <c r="V490" i="1" s="1"/>
  <c r="W490" i="1" s="1"/>
  <c r="U489" i="1"/>
  <c r="T489" i="1"/>
  <c r="S489" i="1"/>
  <c r="R489" i="1"/>
  <c r="Q489" i="1"/>
  <c r="P489" i="1"/>
  <c r="N489" i="1"/>
  <c r="O489" i="1" s="1"/>
  <c r="U488" i="1"/>
  <c r="T488" i="1"/>
  <c r="S488" i="1"/>
  <c r="R488" i="1"/>
  <c r="Q488" i="1"/>
  <c r="P488" i="1"/>
  <c r="N488" i="1"/>
  <c r="O488" i="1" s="1"/>
  <c r="V488" i="1" s="1"/>
  <c r="W488" i="1" s="1"/>
  <c r="U487" i="1"/>
  <c r="T487" i="1"/>
  <c r="S487" i="1"/>
  <c r="R487" i="1"/>
  <c r="Q487" i="1"/>
  <c r="P487" i="1"/>
  <c r="O487" i="1"/>
  <c r="N487" i="1"/>
  <c r="U486" i="1"/>
  <c r="T486" i="1"/>
  <c r="S486" i="1"/>
  <c r="R486" i="1"/>
  <c r="Q486" i="1"/>
  <c r="P486" i="1"/>
  <c r="O486" i="1"/>
  <c r="N486" i="1"/>
  <c r="U485" i="1"/>
  <c r="T485" i="1"/>
  <c r="S485" i="1"/>
  <c r="R485" i="1"/>
  <c r="Q485" i="1"/>
  <c r="P485" i="1"/>
  <c r="O485" i="1"/>
  <c r="N485" i="1"/>
  <c r="U484" i="1"/>
  <c r="T484" i="1"/>
  <c r="S484" i="1"/>
  <c r="R484" i="1"/>
  <c r="Q484" i="1"/>
  <c r="P484" i="1"/>
  <c r="N484" i="1"/>
  <c r="O484" i="1" s="1"/>
  <c r="V484" i="1" s="1"/>
  <c r="W484" i="1" s="1"/>
  <c r="U483" i="1"/>
  <c r="T483" i="1"/>
  <c r="S483" i="1"/>
  <c r="R483" i="1"/>
  <c r="Q483" i="1"/>
  <c r="P483" i="1"/>
  <c r="N483" i="1"/>
  <c r="O483" i="1" s="1"/>
  <c r="V483" i="1" s="1"/>
  <c r="W483" i="1" s="1"/>
  <c r="U482" i="1"/>
  <c r="V482" i="1" s="1"/>
  <c r="W482" i="1" s="1"/>
  <c r="T482" i="1"/>
  <c r="S482" i="1"/>
  <c r="R482" i="1"/>
  <c r="Q482" i="1"/>
  <c r="P482" i="1"/>
  <c r="O482" i="1"/>
  <c r="N482" i="1"/>
  <c r="U481" i="1"/>
  <c r="T481" i="1"/>
  <c r="S481" i="1"/>
  <c r="R481" i="1"/>
  <c r="Q481" i="1"/>
  <c r="P481" i="1"/>
  <c r="O481" i="1"/>
  <c r="N481" i="1"/>
  <c r="U480" i="1"/>
  <c r="T480" i="1"/>
  <c r="S480" i="1"/>
  <c r="R480" i="1"/>
  <c r="Q480" i="1"/>
  <c r="P480" i="1"/>
  <c r="O480" i="1"/>
  <c r="N480" i="1"/>
  <c r="U479" i="1"/>
  <c r="T479" i="1"/>
  <c r="S479" i="1"/>
  <c r="R479" i="1"/>
  <c r="Q479" i="1"/>
  <c r="P479" i="1"/>
  <c r="O479" i="1"/>
  <c r="V479" i="1" s="1"/>
  <c r="W479" i="1" s="1"/>
  <c r="N479" i="1"/>
  <c r="U478" i="1"/>
  <c r="T478" i="1"/>
  <c r="S478" i="1"/>
  <c r="R478" i="1"/>
  <c r="Q478" i="1"/>
  <c r="P478" i="1"/>
  <c r="N478" i="1"/>
  <c r="O478" i="1" s="1"/>
  <c r="V478" i="1" s="1"/>
  <c r="W478" i="1" s="1"/>
  <c r="V477" i="1"/>
  <c r="W477" i="1" s="1"/>
  <c r="U477" i="1"/>
  <c r="T477" i="1"/>
  <c r="S477" i="1"/>
  <c r="R477" i="1"/>
  <c r="Q477" i="1"/>
  <c r="P477" i="1"/>
  <c r="N477" i="1"/>
  <c r="O477" i="1" s="1"/>
  <c r="U476" i="1"/>
  <c r="T476" i="1"/>
  <c r="S476" i="1"/>
  <c r="R476" i="1"/>
  <c r="Q476" i="1"/>
  <c r="P476" i="1"/>
  <c r="N476" i="1"/>
  <c r="O476" i="1" s="1"/>
  <c r="U475" i="1"/>
  <c r="T475" i="1"/>
  <c r="S475" i="1"/>
  <c r="R475" i="1"/>
  <c r="Q475" i="1"/>
  <c r="P475" i="1"/>
  <c r="O475" i="1"/>
  <c r="V475" i="1" s="1"/>
  <c r="W475" i="1" s="1"/>
  <c r="N475" i="1"/>
  <c r="U474" i="1"/>
  <c r="T474" i="1"/>
  <c r="S474" i="1"/>
  <c r="R474" i="1"/>
  <c r="Q474" i="1"/>
  <c r="P474" i="1"/>
  <c r="N474" i="1"/>
  <c r="O474" i="1" s="1"/>
  <c r="V474" i="1" s="1"/>
  <c r="W474" i="1" s="1"/>
  <c r="U473" i="1"/>
  <c r="T473" i="1"/>
  <c r="S473" i="1"/>
  <c r="R473" i="1"/>
  <c r="Q473" i="1"/>
  <c r="P473" i="1"/>
  <c r="N473" i="1"/>
  <c r="O473" i="1" s="1"/>
  <c r="V473" i="1" s="1"/>
  <c r="W473" i="1" s="1"/>
  <c r="W472" i="1"/>
  <c r="V472" i="1"/>
  <c r="U472" i="1"/>
  <c r="T472" i="1"/>
  <c r="S472" i="1"/>
  <c r="R472" i="1"/>
  <c r="Q472" i="1"/>
  <c r="P472" i="1"/>
  <c r="N472" i="1"/>
  <c r="O472" i="1" s="1"/>
  <c r="U471" i="1"/>
  <c r="T471" i="1"/>
  <c r="S471" i="1"/>
  <c r="R471" i="1"/>
  <c r="Q471" i="1"/>
  <c r="P471" i="1"/>
  <c r="N471" i="1"/>
  <c r="O471" i="1" s="1"/>
  <c r="U470" i="1"/>
  <c r="T470" i="1"/>
  <c r="S470" i="1"/>
  <c r="R470" i="1"/>
  <c r="Q470" i="1"/>
  <c r="P470" i="1"/>
  <c r="N470" i="1"/>
  <c r="O470" i="1" s="1"/>
  <c r="U469" i="1"/>
  <c r="T469" i="1"/>
  <c r="S469" i="1"/>
  <c r="R469" i="1"/>
  <c r="Q469" i="1"/>
  <c r="P469" i="1"/>
  <c r="N469" i="1"/>
  <c r="O469" i="1" s="1"/>
  <c r="V469" i="1" s="1"/>
  <c r="W469" i="1" s="1"/>
  <c r="U468" i="1"/>
  <c r="T468" i="1"/>
  <c r="S468" i="1"/>
  <c r="R468" i="1"/>
  <c r="Q468" i="1"/>
  <c r="P468" i="1"/>
  <c r="O468" i="1"/>
  <c r="V468" i="1" s="1"/>
  <c r="W468" i="1" s="1"/>
  <c r="N468" i="1"/>
  <c r="V467" i="1"/>
  <c r="W467" i="1" s="1"/>
  <c r="U467" i="1"/>
  <c r="T467" i="1"/>
  <c r="S467" i="1"/>
  <c r="R467" i="1"/>
  <c r="Q467" i="1"/>
  <c r="P467" i="1"/>
  <c r="N467" i="1"/>
  <c r="O467" i="1" s="1"/>
  <c r="U466" i="1"/>
  <c r="T466" i="1"/>
  <c r="V466" i="1" s="1"/>
  <c r="W466" i="1" s="1"/>
  <c r="S466" i="1"/>
  <c r="R466" i="1"/>
  <c r="Q466" i="1"/>
  <c r="P466" i="1"/>
  <c r="O466" i="1"/>
  <c r="N466" i="1"/>
  <c r="U465" i="1"/>
  <c r="T465" i="1"/>
  <c r="S465" i="1"/>
  <c r="R465" i="1"/>
  <c r="Q465" i="1"/>
  <c r="P465" i="1"/>
  <c r="N465" i="1"/>
  <c r="O465" i="1" s="1"/>
  <c r="U464" i="1"/>
  <c r="T464" i="1"/>
  <c r="S464" i="1"/>
  <c r="R464" i="1"/>
  <c r="Q464" i="1"/>
  <c r="P464" i="1"/>
  <c r="O464" i="1"/>
  <c r="N464" i="1"/>
  <c r="U463" i="1"/>
  <c r="T463" i="1"/>
  <c r="S463" i="1"/>
  <c r="R463" i="1"/>
  <c r="Q463" i="1"/>
  <c r="P463" i="1"/>
  <c r="O463" i="1"/>
  <c r="V463" i="1" s="1"/>
  <c r="W463" i="1" s="1"/>
  <c r="N463" i="1"/>
  <c r="V462" i="1"/>
  <c r="W462" i="1" s="1"/>
  <c r="U462" i="1"/>
  <c r="T462" i="1"/>
  <c r="S462" i="1"/>
  <c r="R462" i="1"/>
  <c r="Q462" i="1"/>
  <c r="P462" i="1"/>
  <c r="N462" i="1"/>
  <c r="O462" i="1" s="1"/>
  <c r="U461" i="1"/>
  <c r="T461" i="1"/>
  <c r="V461" i="1" s="1"/>
  <c r="W461" i="1" s="1"/>
  <c r="S461" i="1"/>
  <c r="R461" i="1"/>
  <c r="Q461" i="1"/>
  <c r="P461" i="1"/>
  <c r="N461" i="1"/>
  <c r="O461" i="1" s="1"/>
  <c r="U460" i="1"/>
  <c r="T460" i="1"/>
  <c r="S460" i="1"/>
  <c r="R460" i="1"/>
  <c r="Q460" i="1"/>
  <c r="P460" i="1"/>
  <c r="O460" i="1"/>
  <c r="N460" i="1"/>
  <c r="U459" i="1"/>
  <c r="T459" i="1"/>
  <c r="S459" i="1"/>
  <c r="R459" i="1"/>
  <c r="Q459" i="1"/>
  <c r="P459" i="1"/>
  <c r="N459" i="1"/>
  <c r="O459" i="1" s="1"/>
  <c r="U458" i="1"/>
  <c r="T458" i="1"/>
  <c r="S458" i="1"/>
  <c r="R458" i="1"/>
  <c r="Q458" i="1"/>
  <c r="P458" i="1"/>
  <c r="N458" i="1"/>
  <c r="O458" i="1" s="1"/>
  <c r="V458" i="1" s="1"/>
  <c r="W458" i="1" s="1"/>
  <c r="U457" i="1"/>
  <c r="T457" i="1"/>
  <c r="S457" i="1"/>
  <c r="R457" i="1"/>
  <c r="Q457" i="1"/>
  <c r="P457" i="1"/>
  <c r="N457" i="1"/>
  <c r="O457" i="1" s="1"/>
  <c r="V457" i="1" s="1"/>
  <c r="W457" i="1" s="1"/>
  <c r="W456" i="1"/>
  <c r="V456" i="1"/>
  <c r="U456" i="1"/>
  <c r="T456" i="1"/>
  <c r="S456" i="1"/>
  <c r="R456" i="1"/>
  <c r="Q456" i="1"/>
  <c r="P456" i="1"/>
  <c r="N456" i="1"/>
  <c r="O456" i="1" s="1"/>
  <c r="U455" i="1"/>
  <c r="T455" i="1"/>
  <c r="S455" i="1"/>
  <c r="R455" i="1"/>
  <c r="Q455" i="1"/>
  <c r="P455" i="1"/>
  <c r="O455" i="1"/>
  <c r="N455" i="1"/>
  <c r="U454" i="1"/>
  <c r="T454" i="1"/>
  <c r="S454" i="1"/>
  <c r="R454" i="1"/>
  <c r="Q454" i="1"/>
  <c r="P454" i="1"/>
  <c r="O454" i="1"/>
  <c r="V454" i="1" s="1"/>
  <c r="W454" i="1" s="1"/>
  <c r="N454" i="1"/>
  <c r="U453" i="1"/>
  <c r="T453" i="1"/>
  <c r="S453" i="1"/>
  <c r="R453" i="1"/>
  <c r="Q453" i="1"/>
  <c r="P453" i="1"/>
  <c r="N453" i="1"/>
  <c r="O453" i="1" s="1"/>
  <c r="W452" i="1"/>
  <c r="U452" i="1"/>
  <c r="T452" i="1"/>
  <c r="S452" i="1"/>
  <c r="R452" i="1"/>
  <c r="Q452" i="1"/>
  <c r="P452" i="1"/>
  <c r="N452" i="1"/>
  <c r="O452" i="1" s="1"/>
  <c r="V452" i="1" s="1"/>
  <c r="U451" i="1"/>
  <c r="T451" i="1"/>
  <c r="S451" i="1"/>
  <c r="R451" i="1"/>
  <c r="Q451" i="1"/>
  <c r="P451" i="1"/>
  <c r="N451" i="1"/>
  <c r="O451" i="1" s="1"/>
  <c r="U450" i="1"/>
  <c r="T450" i="1"/>
  <c r="S450" i="1"/>
  <c r="R450" i="1"/>
  <c r="Q450" i="1"/>
  <c r="P450" i="1"/>
  <c r="O450" i="1"/>
  <c r="N450" i="1"/>
  <c r="U449" i="1"/>
  <c r="T449" i="1"/>
  <c r="S449" i="1"/>
  <c r="R449" i="1"/>
  <c r="Q449" i="1"/>
  <c r="P449" i="1"/>
  <c r="O449" i="1"/>
  <c r="N449" i="1"/>
  <c r="U448" i="1"/>
  <c r="T448" i="1"/>
  <c r="S448" i="1"/>
  <c r="R448" i="1"/>
  <c r="Q448" i="1"/>
  <c r="P448" i="1"/>
  <c r="N448" i="1"/>
  <c r="O448" i="1" s="1"/>
  <c r="U447" i="1"/>
  <c r="T447" i="1"/>
  <c r="S447" i="1"/>
  <c r="R447" i="1"/>
  <c r="Q447" i="1"/>
  <c r="P447" i="1"/>
  <c r="N447" i="1"/>
  <c r="O447" i="1" s="1"/>
  <c r="V447" i="1" s="1"/>
  <c r="W447" i="1" s="1"/>
  <c r="U446" i="1"/>
  <c r="V446" i="1" s="1"/>
  <c r="W446" i="1" s="1"/>
  <c r="T446" i="1"/>
  <c r="S446" i="1"/>
  <c r="R446" i="1"/>
  <c r="Q446" i="1"/>
  <c r="P446" i="1"/>
  <c r="O446" i="1"/>
  <c r="N446" i="1"/>
  <c r="U445" i="1"/>
  <c r="T445" i="1"/>
  <c r="S445" i="1"/>
  <c r="R445" i="1"/>
  <c r="Q445" i="1"/>
  <c r="V445" i="1" s="1"/>
  <c r="W445" i="1" s="1"/>
  <c r="P445" i="1"/>
  <c r="O445" i="1"/>
  <c r="N445" i="1"/>
  <c r="U444" i="1"/>
  <c r="T444" i="1"/>
  <c r="S444" i="1"/>
  <c r="R444" i="1"/>
  <c r="Q444" i="1"/>
  <c r="P444" i="1"/>
  <c r="O444" i="1"/>
  <c r="N444" i="1"/>
  <c r="U443" i="1"/>
  <c r="T443" i="1"/>
  <c r="S443" i="1"/>
  <c r="R443" i="1"/>
  <c r="Q443" i="1"/>
  <c r="P443" i="1"/>
  <c r="O443" i="1"/>
  <c r="N443" i="1"/>
  <c r="U442" i="1"/>
  <c r="T442" i="1"/>
  <c r="S442" i="1"/>
  <c r="R442" i="1"/>
  <c r="Q442" i="1"/>
  <c r="P442" i="1"/>
  <c r="N442" i="1"/>
  <c r="O442" i="1" s="1"/>
  <c r="V442" i="1" s="1"/>
  <c r="W442" i="1" s="1"/>
  <c r="W441" i="1"/>
  <c r="V441" i="1"/>
  <c r="U441" i="1"/>
  <c r="T441" i="1"/>
  <c r="S441" i="1"/>
  <c r="R441" i="1"/>
  <c r="Q441" i="1"/>
  <c r="P441" i="1"/>
  <c r="N441" i="1"/>
  <c r="O441" i="1" s="1"/>
  <c r="U440" i="1"/>
  <c r="T440" i="1"/>
  <c r="S440" i="1"/>
  <c r="R440" i="1"/>
  <c r="Q440" i="1"/>
  <c r="P440" i="1"/>
  <c r="N440" i="1"/>
  <c r="O440" i="1" s="1"/>
  <c r="U439" i="1"/>
  <c r="T439" i="1"/>
  <c r="S439" i="1"/>
  <c r="R439" i="1"/>
  <c r="Q439" i="1"/>
  <c r="P439" i="1"/>
  <c r="O439" i="1"/>
  <c r="N439" i="1"/>
  <c r="U438" i="1"/>
  <c r="T438" i="1"/>
  <c r="S438" i="1"/>
  <c r="R438" i="1"/>
  <c r="Q438" i="1"/>
  <c r="P438" i="1"/>
  <c r="N438" i="1"/>
  <c r="O438" i="1" s="1"/>
  <c r="V438" i="1" s="1"/>
  <c r="W438" i="1" s="1"/>
  <c r="U437" i="1"/>
  <c r="T437" i="1"/>
  <c r="S437" i="1"/>
  <c r="R437" i="1"/>
  <c r="Q437" i="1"/>
  <c r="P437" i="1"/>
  <c r="N437" i="1"/>
  <c r="O437" i="1" s="1"/>
  <c r="V437" i="1" s="1"/>
  <c r="W437" i="1" s="1"/>
  <c r="W436" i="1"/>
  <c r="V436" i="1"/>
  <c r="U436" i="1"/>
  <c r="T436" i="1"/>
  <c r="S436" i="1"/>
  <c r="R436" i="1"/>
  <c r="Q436" i="1"/>
  <c r="P436" i="1"/>
  <c r="N436" i="1"/>
  <c r="O436" i="1" s="1"/>
  <c r="U435" i="1"/>
  <c r="T435" i="1"/>
  <c r="V435" i="1" s="1"/>
  <c r="W435" i="1" s="1"/>
  <c r="S435" i="1"/>
  <c r="R435" i="1"/>
  <c r="Q435" i="1"/>
  <c r="P435" i="1"/>
  <c r="N435" i="1"/>
  <c r="O435" i="1" s="1"/>
  <c r="U434" i="1"/>
  <c r="T434" i="1"/>
  <c r="S434" i="1"/>
  <c r="R434" i="1"/>
  <c r="Q434" i="1"/>
  <c r="P434" i="1"/>
  <c r="N434" i="1"/>
  <c r="O434" i="1" s="1"/>
  <c r="V434" i="1" s="1"/>
  <c r="W434" i="1" s="1"/>
  <c r="U433" i="1"/>
  <c r="T433" i="1"/>
  <c r="S433" i="1"/>
  <c r="R433" i="1"/>
  <c r="Q433" i="1"/>
  <c r="P433" i="1"/>
  <c r="O433" i="1"/>
  <c r="N433" i="1"/>
  <c r="U432" i="1"/>
  <c r="T432" i="1"/>
  <c r="S432" i="1"/>
  <c r="R432" i="1"/>
  <c r="Q432" i="1"/>
  <c r="P432" i="1"/>
  <c r="O432" i="1"/>
  <c r="V432" i="1" s="1"/>
  <c r="W432" i="1" s="1"/>
  <c r="N432" i="1"/>
  <c r="V431" i="1"/>
  <c r="W431" i="1" s="1"/>
  <c r="U431" i="1"/>
  <c r="T431" i="1"/>
  <c r="S431" i="1"/>
  <c r="R431" i="1"/>
  <c r="Q431" i="1"/>
  <c r="P431" i="1"/>
  <c r="N431" i="1"/>
  <c r="O431" i="1" s="1"/>
  <c r="U430" i="1"/>
  <c r="T430" i="1"/>
  <c r="V430" i="1" s="1"/>
  <c r="W430" i="1" s="1"/>
  <c r="S430" i="1"/>
  <c r="R430" i="1"/>
  <c r="Q430" i="1"/>
  <c r="P430" i="1"/>
  <c r="N430" i="1"/>
  <c r="O430" i="1" s="1"/>
  <c r="U429" i="1"/>
  <c r="T429" i="1"/>
  <c r="S429" i="1"/>
  <c r="R429" i="1"/>
  <c r="Q429" i="1"/>
  <c r="V429" i="1" s="1"/>
  <c r="W429" i="1" s="1"/>
  <c r="P429" i="1"/>
  <c r="N429" i="1"/>
  <c r="O429" i="1" s="1"/>
  <c r="U428" i="1"/>
  <c r="T428" i="1"/>
  <c r="S428" i="1"/>
  <c r="R428" i="1"/>
  <c r="Q428" i="1"/>
  <c r="P428" i="1"/>
  <c r="O428" i="1"/>
  <c r="V428" i="1" s="1"/>
  <c r="W428" i="1" s="1"/>
  <c r="N428" i="1"/>
  <c r="U427" i="1"/>
  <c r="T427" i="1"/>
  <c r="S427" i="1"/>
  <c r="R427" i="1"/>
  <c r="Q427" i="1"/>
  <c r="P427" i="1"/>
  <c r="N427" i="1"/>
  <c r="O427" i="1" s="1"/>
  <c r="V427" i="1" s="1"/>
  <c r="W427" i="1" s="1"/>
  <c r="U426" i="1"/>
  <c r="T426" i="1"/>
  <c r="S426" i="1"/>
  <c r="R426" i="1"/>
  <c r="Q426" i="1"/>
  <c r="P426" i="1"/>
  <c r="N426" i="1"/>
  <c r="O426" i="1" s="1"/>
  <c r="V426" i="1" s="1"/>
  <c r="W426" i="1" s="1"/>
  <c r="U425" i="1"/>
  <c r="T425" i="1"/>
  <c r="S425" i="1"/>
  <c r="R425" i="1"/>
  <c r="Q425" i="1"/>
  <c r="P425" i="1"/>
  <c r="N425" i="1"/>
  <c r="O425" i="1" s="1"/>
  <c r="V425" i="1" s="1"/>
  <c r="W425" i="1" s="1"/>
  <c r="U424" i="1"/>
  <c r="T424" i="1"/>
  <c r="S424" i="1"/>
  <c r="R424" i="1"/>
  <c r="Q424" i="1"/>
  <c r="P424" i="1"/>
  <c r="O424" i="1"/>
  <c r="N424" i="1"/>
  <c r="U423" i="1"/>
  <c r="T423" i="1"/>
  <c r="S423" i="1"/>
  <c r="R423" i="1"/>
  <c r="Q423" i="1"/>
  <c r="P423" i="1"/>
  <c r="O423" i="1"/>
  <c r="N423" i="1"/>
  <c r="U422" i="1"/>
  <c r="T422" i="1"/>
  <c r="S422" i="1"/>
  <c r="R422" i="1"/>
  <c r="Q422" i="1"/>
  <c r="P422" i="1"/>
  <c r="N422" i="1"/>
  <c r="O422" i="1" s="1"/>
  <c r="V422" i="1" s="1"/>
  <c r="W422" i="1" s="1"/>
  <c r="U421" i="1"/>
  <c r="T421" i="1"/>
  <c r="S421" i="1"/>
  <c r="R421" i="1"/>
  <c r="Q421" i="1"/>
  <c r="P421" i="1"/>
  <c r="N421" i="1"/>
  <c r="O421" i="1" s="1"/>
  <c r="V421" i="1" s="1"/>
  <c r="W421" i="1" s="1"/>
  <c r="W420" i="1"/>
  <c r="V420" i="1"/>
  <c r="U420" i="1"/>
  <c r="T420" i="1"/>
  <c r="S420" i="1"/>
  <c r="R420" i="1"/>
  <c r="Q420" i="1"/>
  <c r="P420" i="1"/>
  <c r="N420" i="1"/>
  <c r="O420" i="1" s="1"/>
  <c r="U419" i="1"/>
  <c r="T419" i="1"/>
  <c r="S419" i="1"/>
  <c r="R419" i="1"/>
  <c r="Q419" i="1"/>
  <c r="P419" i="1"/>
  <c r="N419" i="1"/>
  <c r="O419" i="1" s="1"/>
  <c r="V419" i="1" s="1"/>
  <c r="W419" i="1" s="1"/>
  <c r="U418" i="1"/>
  <c r="T418" i="1"/>
  <c r="S418" i="1"/>
  <c r="R418" i="1"/>
  <c r="Q418" i="1"/>
  <c r="P418" i="1"/>
  <c r="O418" i="1"/>
  <c r="N418" i="1"/>
  <c r="U417" i="1"/>
  <c r="T417" i="1"/>
  <c r="S417" i="1"/>
  <c r="R417" i="1"/>
  <c r="Q417" i="1"/>
  <c r="P417" i="1"/>
  <c r="O417" i="1"/>
  <c r="N417" i="1"/>
  <c r="U416" i="1"/>
  <c r="T416" i="1"/>
  <c r="S416" i="1"/>
  <c r="R416" i="1"/>
  <c r="Q416" i="1"/>
  <c r="P416" i="1"/>
  <c r="N416" i="1"/>
  <c r="O416" i="1" s="1"/>
  <c r="V416" i="1" s="1"/>
  <c r="W416" i="1" s="1"/>
  <c r="U415" i="1"/>
  <c r="T415" i="1"/>
  <c r="S415" i="1"/>
  <c r="R415" i="1"/>
  <c r="Q415" i="1"/>
  <c r="P415" i="1"/>
  <c r="O415" i="1"/>
  <c r="V415" i="1" s="1"/>
  <c r="W415" i="1" s="1"/>
  <c r="N415" i="1"/>
  <c r="V414" i="1"/>
  <c r="W414" i="1" s="1"/>
  <c r="U414" i="1"/>
  <c r="T414" i="1"/>
  <c r="S414" i="1"/>
  <c r="R414" i="1"/>
  <c r="Q414" i="1"/>
  <c r="P414" i="1"/>
  <c r="N414" i="1"/>
  <c r="O414" i="1" s="1"/>
  <c r="V413" i="1"/>
  <c r="W413" i="1" s="1"/>
  <c r="U413" i="1"/>
  <c r="T413" i="1"/>
  <c r="S413" i="1"/>
  <c r="R413" i="1"/>
  <c r="Q413" i="1"/>
  <c r="P413" i="1"/>
  <c r="N413" i="1"/>
  <c r="O413" i="1" s="1"/>
  <c r="U412" i="1"/>
  <c r="T412" i="1"/>
  <c r="S412" i="1"/>
  <c r="R412" i="1"/>
  <c r="Q412" i="1"/>
  <c r="V412" i="1" s="1"/>
  <c r="W412" i="1" s="1"/>
  <c r="P412" i="1"/>
  <c r="O412" i="1"/>
  <c r="N412" i="1"/>
  <c r="U411" i="1"/>
  <c r="T411" i="1"/>
  <c r="S411" i="1"/>
  <c r="R411" i="1"/>
  <c r="Q411" i="1"/>
  <c r="P411" i="1"/>
  <c r="O411" i="1"/>
  <c r="N411" i="1"/>
  <c r="U410" i="1"/>
  <c r="T410" i="1"/>
  <c r="S410" i="1"/>
  <c r="R410" i="1"/>
  <c r="Q410" i="1"/>
  <c r="P410" i="1"/>
  <c r="O410" i="1"/>
  <c r="V410" i="1" s="1"/>
  <c r="W410" i="1" s="1"/>
  <c r="N410" i="1"/>
  <c r="U409" i="1"/>
  <c r="T409" i="1"/>
  <c r="S409" i="1"/>
  <c r="R409" i="1"/>
  <c r="Q409" i="1"/>
  <c r="P409" i="1"/>
  <c r="N409" i="1"/>
  <c r="O409" i="1" s="1"/>
  <c r="V409" i="1" s="1"/>
  <c r="W409" i="1" s="1"/>
  <c r="U408" i="1"/>
  <c r="T408" i="1"/>
  <c r="S408" i="1"/>
  <c r="R408" i="1"/>
  <c r="Q408" i="1"/>
  <c r="P408" i="1"/>
  <c r="N408" i="1"/>
  <c r="O408" i="1" s="1"/>
  <c r="V408" i="1" s="1"/>
  <c r="W408" i="1" s="1"/>
  <c r="U407" i="1"/>
  <c r="T407" i="1"/>
  <c r="V407" i="1" s="1"/>
  <c r="W407" i="1" s="1"/>
  <c r="S407" i="1"/>
  <c r="R407" i="1"/>
  <c r="Q407" i="1"/>
  <c r="P407" i="1"/>
  <c r="N407" i="1"/>
  <c r="O407" i="1" s="1"/>
  <c r="U406" i="1"/>
  <c r="T406" i="1"/>
  <c r="S406" i="1"/>
  <c r="R406" i="1"/>
  <c r="Q406" i="1"/>
  <c r="P406" i="1"/>
  <c r="O406" i="1"/>
  <c r="N406" i="1"/>
  <c r="U405" i="1"/>
  <c r="T405" i="1"/>
  <c r="S405" i="1"/>
  <c r="R405" i="1"/>
  <c r="Q405" i="1"/>
  <c r="P405" i="1"/>
  <c r="V405" i="1" s="1"/>
  <c r="W405" i="1" s="1"/>
  <c r="O405" i="1"/>
  <c r="N405" i="1"/>
  <c r="U404" i="1"/>
  <c r="T404" i="1"/>
  <c r="S404" i="1"/>
  <c r="R404" i="1"/>
  <c r="Q404" i="1"/>
  <c r="P404" i="1"/>
  <c r="N404" i="1"/>
  <c r="O404" i="1" s="1"/>
  <c r="V404" i="1" s="1"/>
  <c r="W404" i="1" s="1"/>
  <c r="U403" i="1"/>
  <c r="T403" i="1"/>
  <c r="S403" i="1"/>
  <c r="R403" i="1"/>
  <c r="Q403" i="1"/>
  <c r="P403" i="1"/>
  <c r="N403" i="1"/>
  <c r="O403" i="1" s="1"/>
  <c r="V403" i="1" s="1"/>
  <c r="W403" i="1" s="1"/>
  <c r="W402" i="1"/>
  <c r="V402" i="1"/>
  <c r="U402" i="1"/>
  <c r="T402" i="1"/>
  <c r="S402" i="1"/>
  <c r="R402" i="1"/>
  <c r="Q402" i="1"/>
  <c r="P402" i="1"/>
  <c r="N402" i="1"/>
  <c r="O402" i="1" s="1"/>
  <c r="U401" i="1"/>
  <c r="T401" i="1"/>
  <c r="S401" i="1"/>
  <c r="R401" i="1"/>
  <c r="Q401" i="1"/>
  <c r="P401" i="1"/>
  <c r="N401" i="1"/>
  <c r="O401" i="1" s="1"/>
  <c r="U400" i="1"/>
  <c r="T400" i="1"/>
  <c r="S400" i="1"/>
  <c r="R400" i="1"/>
  <c r="Q400" i="1"/>
  <c r="P400" i="1"/>
  <c r="O400" i="1"/>
  <c r="N400" i="1"/>
  <c r="U399" i="1"/>
  <c r="T399" i="1"/>
  <c r="S399" i="1"/>
  <c r="R399" i="1"/>
  <c r="Q399" i="1"/>
  <c r="P399" i="1"/>
  <c r="O399" i="1"/>
  <c r="N399" i="1"/>
  <c r="U398" i="1"/>
  <c r="T398" i="1"/>
  <c r="S398" i="1"/>
  <c r="R398" i="1"/>
  <c r="Q398" i="1"/>
  <c r="P398" i="1"/>
  <c r="N398" i="1"/>
  <c r="O398" i="1" s="1"/>
  <c r="V398" i="1" s="1"/>
  <c r="W398" i="1" s="1"/>
  <c r="U397" i="1"/>
  <c r="T397" i="1"/>
  <c r="S397" i="1"/>
  <c r="R397" i="1"/>
  <c r="Q397" i="1"/>
  <c r="P397" i="1"/>
  <c r="O397" i="1"/>
  <c r="V397" i="1" s="1"/>
  <c r="W397" i="1" s="1"/>
  <c r="N397" i="1"/>
  <c r="U396" i="1"/>
  <c r="T396" i="1"/>
  <c r="S396" i="1"/>
  <c r="R396" i="1"/>
  <c r="Q396" i="1"/>
  <c r="P396" i="1"/>
  <c r="N396" i="1"/>
  <c r="O396" i="1" s="1"/>
  <c r="V396" i="1" s="1"/>
  <c r="W396" i="1" s="1"/>
  <c r="V395" i="1"/>
  <c r="W395" i="1" s="1"/>
  <c r="U395" i="1"/>
  <c r="T395" i="1"/>
  <c r="S395" i="1"/>
  <c r="R395" i="1"/>
  <c r="Q395" i="1"/>
  <c r="P395" i="1"/>
  <c r="N395" i="1"/>
  <c r="O395" i="1" s="1"/>
  <c r="U394" i="1"/>
  <c r="T394" i="1"/>
  <c r="S394" i="1"/>
  <c r="R394" i="1"/>
  <c r="V394" i="1" s="1"/>
  <c r="W394" i="1" s="1"/>
  <c r="Q394" i="1"/>
  <c r="P394" i="1"/>
  <c r="O394" i="1"/>
  <c r="N394" i="1"/>
  <c r="U393" i="1"/>
  <c r="T393" i="1"/>
  <c r="S393" i="1"/>
  <c r="R393" i="1"/>
  <c r="Q393" i="1"/>
  <c r="P393" i="1"/>
  <c r="V393" i="1" s="1"/>
  <c r="W393" i="1" s="1"/>
  <c r="O393" i="1"/>
  <c r="N393" i="1"/>
  <c r="U392" i="1"/>
  <c r="T392" i="1"/>
  <c r="S392" i="1"/>
  <c r="R392" i="1"/>
  <c r="Q392" i="1"/>
  <c r="P392" i="1"/>
  <c r="O392" i="1"/>
  <c r="V392" i="1" s="1"/>
  <c r="W392" i="1" s="1"/>
  <c r="N392" i="1"/>
  <c r="U391" i="1"/>
  <c r="T391" i="1"/>
  <c r="S391" i="1"/>
  <c r="R391" i="1"/>
  <c r="Q391" i="1"/>
  <c r="P391" i="1"/>
  <c r="N391" i="1"/>
  <c r="O391" i="1" s="1"/>
  <c r="V391" i="1" s="1"/>
  <c r="W391" i="1" s="1"/>
  <c r="U390" i="1"/>
  <c r="T390" i="1"/>
  <c r="S390" i="1"/>
  <c r="R390" i="1"/>
  <c r="Q390" i="1"/>
  <c r="P390" i="1"/>
  <c r="N390" i="1"/>
  <c r="O390" i="1" s="1"/>
  <c r="V390" i="1" s="1"/>
  <c r="W390" i="1" s="1"/>
  <c r="U389" i="1"/>
  <c r="T389" i="1"/>
  <c r="S389" i="1"/>
  <c r="R389" i="1"/>
  <c r="Q389" i="1"/>
  <c r="P389" i="1"/>
  <c r="N389" i="1"/>
  <c r="O389" i="1" s="1"/>
  <c r="V389" i="1" s="1"/>
  <c r="W389" i="1" s="1"/>
  <c r="U388" i="1"/>
  <c r="T388" i="1"/>
  <c r="S388" i="1"/>
  <c r="R388" i="1"/>
  <c r="Q388" i="1"/>
  <c r="P388" i="1"/>
  <c r="O388" i="1"/>
  <c r="N388" i="1"/>
  <c r="U387" i="1"/>
  <c r="T387" i="1"/>
  <c r="S387" i="1"/>
  <c r="R387" i="1"/>
  <c r="Q387" i="1"/>
  <c r="P387" i="1"/>
  <c r="V387" i="1" s="1"/>
  <c r="W387" i="1" s="1"/>
  <c r="O387" i="1"/>
  <c r="N387" i="1"/>
  <c r="U386" i="1"/>
  <c r="T386" i="1"/>
  <c r="S386" i="1"/>
  <c r="R386" i="1"/>
  <c r="Q386" i="1"/>
  <c r="P386" i="1"/>
  <c r="N386" i="1"/>
  <c r="O386" i="1" s="1"/>
  <c r="U385" i="1"/>
  <c r="T385" i="1"/>
  <c r="S385" i="1"/>
  <c r="R385" i="1"/>
  <c r="Q385" i="1"/>
  <c r="P385" i="1"/>
  <c r="N385" i="1"/>
  <c r="O385" i="1" s="1"/>
  <c r="V385" i="1" s="1"/>
  <c r="W385" i="1" s="1"/>
  <c r="W384" i="1"/>
  <c r="U384" i="1"/>
  <c r="T384" i="1"/>
  <c r="S384" i="1"/>
  <c r="R384" i="1"/>
  <c r="Q384" i="1"/>
  <c r="P384" i="1"/>
  <c r="V384" i="1" s="1"/>
  <c r="N384" i="1"/>
  <c r="O384" i="1" s="1"/>
  <c r="U383" i="1"/>
  <c r="T383" i="1"/>
  <c r="S383" i="1"/>
  <c r="R383" i="1"/>
  <c r="Q383" i="1"/>
  <c r="P383" i="1"/>
  <c r="N383" i="1"/>
  <c r="O383" i="1" s="1"/>
  <c r="V383" i="1" s="1"/>
  <c r="W383" i="1" s="1"/>
  <c r="U382" i="1"/>
  <c r="T382" i="1"/>
  <c r="S382" i="1"/>
  <c r="R382" i="1"/>
  <c r="Q382" i="1"/>
  <c r="P382" i="1"/>
  <c r="O382" i="1"/>
  <c r="N382" i="1"/>
  <c r="U381" i="1"/>
  <c r="T381" i="1"/>
  <c r="S381" i="1"/>
  <c r="R381" i="1"/>
  <c r="Q381" i="1"/>
  <c r="P381" i="1"/>
  <c r="O381" i="1"/>
  <c r="N381" i="1"/>
  <c r="U380" i="1"/>
  <c r="T380" i="1"/>
  <c r="S380" i="1"/>
  <c r="R380" i="1"/>
  <c r="Q380" i="1"/>
  <c r="P380" i="1"/>
  <c r="O380" i="1"/>
  <c r="V380" i="1" s="1"/>
  <c r="W380" i="1" s="1"/>
  <c r="N380" i="1"/>
  <c r="U379" i="1"/>
  <c r="T379" i="1"/>
  <c r="S379" i="1"/>
  <c r="R379" i="1"/>
  <c r="Q379" i="1"/>
  <c r="P379" i="1"/>
  <c r="N379" i="1"/>
  <c r="O379" i="1" s="1"/>
  <c r="V379" i="1" s="1"/>
  <c r="W379" i="1" s="1"/>
  <c r="W378" i="1"/>
  <c r="V378" i="1"/>
  <c r="U378" i="1"/>
  <c r="T378" i="1"/>
  <c r="S378" i="1"/>
  <c r="R378" i="1"/>
  <c r="Q378" i="1"/>
  <c r="P378" i="1"/>
  <c r="N378" i="1"/>
  <c r="O378" i="1" s="1"/>
  <c r="U377" i="1"/>
  <c r="T377" i="1"/>
  <c r="V377" i="1" s="1"/>
  <c r="W377" i="1" s="1"/>
  <c r="S377" i="1"/>
  <c r="R377" i="1"/>
  <c r="Q377" i="1"/>
  <c r="P377" i="1"/>
  <c r="N377" i="1"/>
  <c r="O377" i="1" s="1"/>
  <c r="U376" i="1"/>
  <c r="T376" i="1"/>
  <c r="S376" i="1"/>
  <c r="R376" i="1"/>
  <c r="Q376" i="1"/>
  <c r="P376" i="1"/>
  <c r="O376" i="1"/>
  <c r="N376" i="1"/>
  <c r="V375" i="1"/>
  <c r="W375" i="1" s="1"/>
  <c r="U375" i="1"/>
  <c r="T375" i="1"/>
  <c r="S375" i="1"/>
  <c r="R375" i="1"/>
  <c r="Q375" i="1"/>
  <c r="P375" i="1"/>
  <c r="O375" i="1"/>
  <c r="N375" i="1"/>
  <c r="U374" i="1"/>
  <c r="T374" i="1"/>
  <c r="S374" i="1"/>
  <c r="R374" i="1"/>
  <c r="Q374" i="1"/>
  <c r="P374" i="1"/>
  <c r="O374" i="1"/>
  <c r="N374" i="1"/>
  <c r="U373" i="1"/>
  <c r="T373" i="1"/>
  <c r="S373" i="1"/>
  <c r="R373" i="1"/>
  <c r="Q373" i="1"/>
  <c r="P373" i="1"/>
  <c r="N373" i="1"/>
  <c r="O373" i="1" s="1"/>
  <c r="V373" i="1" s="1"/>
  <c r="W373" i="1" s="1"/>
  <c r="U372" i="1"/>
  <c r="T372" i="1"/>
  <c r="S372" i="1"/>
  <c r="R372" i="1"/>
  <c r="Q372" i="1"/>
  <c r="P372" i="1"/>
  <c r="N372" i="1"/>
  <c r="O372" i="1" s="1"/>
  <c r="V372" i="1" s="1"/>
  <c r="W372" i="1" s="1"/>
  <c r="U371" i="1"/>
  <c r="T371" i="1"/>
  <c r="S371" i="1"/>
  <c r="R371" i="1"/>
  <c r="Q371" i="1"/>
  <c r="P371" i="1"/>
  <c r="N371" i="1"/>
  <c r="O371" i="1" s="1"/>
  <c r="V371" i="1" s="1"/>
  <c r="W371" i="1" s="1"/>
  <c r="U370" i="1"/>
  <c r="T370" i="1"/>
  <c r="S370" i="1"/>
  <c r="R370" i="1"/>
  <c r="Q370" i="1"/>
  <c r="P370" i="1"/>
  <c r="O370" i="1"/>
  <c r="N370" i="1"/>
  <c r="U369" i="1"/>
  <c r="T369" i="1"/>
  <c r="S369" i="1"/>
  <c r="R369" i="1"/>
  <c r="Q369" i="1"/>
  <c r="P369" i="1"/>
  <c r="O369" i="1"/>
  <c r="N369" i="1"/>
  <c r="U368" i="1"/>
  <c r="T368" i="1"/>
  <c r="S368" i="1"/>
  <c r="R368" i="1"/>
  <c r="Q368" i="1"/>
  <c r="P368" i="1"/>
  <c r="N368" i="1"/>
  <c r="O368" i="1" s="1"/>
  <c r="V368" i="1" s="1"/>
  <c r="W368" i="1" s="1"/>
  <c r="U367" i="1"/>
  <c r="T367" i="1"/>
  <c r="S367" i="1"/>
  <c r="R367" i="1"/>
  <c r="Q367" i="1"/>
  <c r="P367" i="1"/>
  <c r="O367" i="1"/>
  <c r="N367" i="1"/>
  <c r="V366" i="1"/>
  <c r="W366" i="1" s="1"/>
  <c r="U366" i="1"/>
  <c r="T366" i="1"/>
  <c r="S366" i="1"/>
  <c r="R366" i="1"/>
  <c r="Q366" i="1"/>
  <c r="P366" i="1"/>
  <c r="N366" i="1"/>
  <c r="O366" i="1" s="1"/>
  <c r="U365" i="1"/>
  <c r="T365" i="1"/>
  <c r="S365" i="1"/>
  <c r="R365" i="1"/>
  <c r="Q365" i="1"/>
  <c r="P365" i="1"/>
  <c r="N365" i="1"/>
  <c r="O365" i="1" s="1"/>
  <c r="V365" i="1" s="1"/>
  <c r="W365" i="1" s="1"/>
  <c r="V364" i="1"/>
  <c r="W364" i="1" s="1"/>
  <c r="U364" i="1"/>
  <c r="T364" i="1"/>
  <c r="S364" i="1"/>
  <c r="R364" i="1"/>
  <c r="Q364" i="1"/>
  <c r="P364" i="1"/>
  <c r="O364" i="1"/>
  <c r="N364" i="1"/>
  <c r="U363" i="1"/>
  <c r="T363" i="1"/>
  <c r="S363" i="1"/>
  <c r="R363" i="1"/>
  <c r="Q363" i="1"/>
  <c r="P363" i="1"/>
  <c r="O363" i="1"/>
  <c r="N363" i="1"/>
  <c r="U362" i="1"/>
  <c r="T362" i="1"/>
  <c r="S362" i="1"/>
  <c r="R362" i="1"/>
  <c r="Q362" i="1"/>
  <c r="P362" i="1"/>
  <c r="N362" i="1"/>
  <c r="O362" i="1" s="1"/>
  <c r="V362" i="1" s="1"/>
  <c r="W362" i="1" s="1"/>
  <c r="U361" i="1"/>
  <c r="T361" i="1"/>
  <c r="S361" i="1"/>
  <c r="R361" i="1"/>
  <c r="Q361" i="1"/>
  <c r="P361" i="1"/>
  <c r="N361" i="1"/>
  <c r="O361" i="1" s="1"/>
  <c r="V361" i="1" s="1"/>
  <c r="W361" i="1" s="1"/>
  <c r="V360" i="1"/>
  <c r="W360" i="1" s="1"/>
  <c r="U360" i="1"/>
  <c r="T360" i="1"/>
  <c r="S360" i="1"/>
  <c r="R360" i="1"/>
  <c r="Q360" i="1"/>
  <c r="P360" i="1"/>
  <c r="N360" i="1"/>
  <c r="O360" i="1" s="1"/>
  <c r="U359" i="1"/>
  <c r="T359" i="1"/>
  <c r="S359" i="1"/>
  <c r="V359" i="1" s="1"/>
  <c r="W359" i="1" s="1"/>
  <c r="R359" i="1"/>
  <c r="Q359" i="1"/>
  <c r="P359" i="1"/>
  <c r="N359" i="1"/>
  <c r="O359" i="1" s="1"/>
  <c r="U358" i="1"/>
  <c r="T358" i="1"/>
  <c r="S358" i="1"/>
  <c r="R358" i="1"/>
  <c r="Q358" i="1"/>
  <c r="P358" i="1"/>
  <c r="O358" i="1"/>
  <c r="N358" i="1"/>
  <c r="U357" i="1"/>
  <c r="T357" i="1"/>
  <c r="S357" i="1"/>
  <c r="R357" i="1"/>
  <c r="Q357" i="1"/>
  <c r="V357" i="1" s="1"/>
  <c r="W357" i="1" s="1"/>
  <c r="P357" i="1"/>
  <c r="O357" i="1"/>
  <c r="N357" i="1"/>
  <c r="U356" i="1"/>
  <c r="T356" i="1"/>
  <c r="S356" i="1"/>
  <c r="R356" i="1"/>
  <c r="Q356" i="1"/>
  <c r="P356" i="1"/>
  <c r="N356" i="1"/>
  <c r="O356" i="1" s="1"/>
  <c r="V356" i="1" s="1"/>
  <c r="W356" i="1" s="1"/>
  <c r="U355" i="1"/>
  <c r="T355" i="1"/>
  <c r="S355" i="1"/>
  <c r="R355" i="1"/>
  <c r="Q355" i="1"/>
  <c r="P355" i="1"/>
  <c r="O355" i="1"/>
  <c r="N355" i="1"/>
  <c r="U354" i="1"/>
  <c r="T354" i="1"/>
  <c r="S354" i="1"/>
  <c r="R354" i="1"/>
  <c r="Q354" i="1"/>
  <c r="P354" i="1"/>
  <c r="N354" i="1"/>
  <c r="O354" i="1" s="1"/>
  <c r="V354" i="1" s="1"/>
  <c r="W354" i="1" s="1"/>
  <c r="W353" i="1"/>
  <c r="V353" i="1"/>
  <c r="U353" i="1"/>
  <c r="T353" i="1"/>
  <c r="S353" i="1"/>
  <c r="R353" i="1"/>
  <c r="Q353" i="1"/>
  <c r="P353" i="1"/>
  <c r="N353" i="1"/>
  <c r="O353" i="1" s="1"/>
  <c r="U352" i="1"/>
  <c r="T352" i="1"/>
  <c r="V352" i="1" s="1"/>
  <c r="W352" i="1" s="1"/>
  <c r="S352" i="1"/>
  <c r="R352" i="1"/>
  <c r="Q352" i="1"/>
  <c r="P352" i="1"/>
  <c r="O352" i="1"/>
  <c r="N352" i="1"/>
  <c r="U351" i="1"/>
  <c r="T351" i="1"/>
  <c r="S351" i="1"/>
  <c r="R351" i="1"/>
  <c r="Q351" i="1"/>
  <c r="P351" i="1"/>
  <c r="V351" i="1" s="1"/>
  <c r="W351" i="1" s="1"/>
  <c r="O351" i="1"/>
  <c r="N351" i="1"/>
  <c r="U350" i="1"/>
  <c r="T350" i="1"/>
  <c r="S350" i="1"/>
  <c r="R350" i="1"/>
  <c r="Q350" i="1"/>
  <c r="P350" i="1"/>
  <c r="O350" i="1"/>
  <c r="V350" i="1" s="1"/>
  <c r="W350" i="1" s="1"/>
  <c r="N350" i="1"/>
  <c r="W349" i="1"/>
  <c r="U349" i="1"/>
  <c r="T349" i="1"/>
  <c r="S349" i="1"/>
  <c r="R349" i="1"/>
  <c r="Q349" i="1"/>
  <c r="P349" i="1"/>
  <c r="O349" i="1"/>
  <c r="V349" i="1" s="1"/>
  <c r="N349" i="1"/>
  <c r="V348" i="1"/>
  <c r="W348" i="1" s="1"/>
  <c r="U348" i="1"/>
  <c r="T348" i="1"/>
  <c r="S348" i="1"/>
  <c r="R348" i="1"/>
  <c r="Q348" i="1"/>
  <c r="P348" i="1"/>
  <c r="N348" i="1"/>
  <c r="O348" i="1" s="1"/>
  <c r="U347" i="1"/>
  <c r="T347" i="1"/>
  <c r="S347" i="1"/>
  <c r="V347" i="1" s="1"/>
  <c r="W347" i="1" s="1"/>
  <c r="R347" i="1"/>
  <c r="Q347" i="1"/>
  <c r="P347" i="1"/>
  <c r="N347" i="1"/>
  <c r="O347" i="1" s="1"/>
  <c r="U346" i="1"/>
  <c r="T346" i="1"/>
  <c r="S346" i="1"/>
  <c r="R346" i="1"/>
  <c r="Q346" i="1"/>
  <c r="V346" i="1" s="1"/>
  <c r="W346" i="1" s="1"/>
  <c r="P346" i="1"/>
  <c r="O346" i="1"/>
  <c r="N346" i="1"/>
  <c r="V345" i="1"/>
  <c r="W345" i="1" s="1"/>
  <c r="U345" i="1"/>
  <c r="T345" i="1"/>
  <c r="S345" i="1"/>
  <c r="R345" i="1"/>
  <c r="Q345" i="1"/>
  <c r="P345" i="1"/>
  <c r="O345" i="1"/>
  <c r="N345" i="1"/>
  <c r="U344" i="1"/>
  <c r="T344" i="1"/>
  <c r="S344" i="1"/>
  <c r="R344" i="1"/>
  <c r="Q344" i="1"/>
  <c r="P344" i="1"/>
  <c r="N344" i="1"/>
  <c r="O344" i="1" s="1"/>
  <c r="V344" i="1" s="1"/>
  <c r="W344" i="1" s="1"/>
  <c r="U343" i="1"/>
  <c r="T343" i="1"/>
  <c r="S343" i="1"/>
  <c r="R343" i="1"/>
  <c r="Q343" i="1"/>
  <c r="P343" i="1"/>
  <c r="O343" i="1"/>
  <c r="V343" i="1" s="1"/>
  <c r="W343" i="1" s="1"/>
  <c r="N343" i="1"/>
  <c r="U342" i="1"/>
  <c r="T342" i="1"/>
  <c r="S342" i="1"/>
  <c r="R342" i="1"/>
  <c r="Q342" i="1"/>
  <c r="P342" i="1"/>
  <c r="N342" i="1"/>
  <c r="O342" i="1" s="1"/>
  <c r="V342" i="1" s="1"/>
  <c r="W342" i="1" s="1"/>
  <c r="U341" i="1"/>
  <c r="T341" i="1"/>
  <c r="S341" i="1"/>
  <c r="R341" i="1"/>
  <c r="Q341" i="1"/>
  <c r="P341" i="1"/>
  <c r="O341" i="1"/>
  <c r="V341" i="1" s="1"/>
  <c r="W341" i="1" s="1"/>
  <c r="N341" i="1"/>
  <c r="U340" i="1"/>
  <c r="T340" i="1"/>
  <c r="S340" i="1"/>
  <c r="R340" i="1"/>
  <c r="Q340" i="1"/>
  <c r="P340" i="1"/>
  <c r="O340" i="1"/>
  <c r="N340" i="1"/>
  <c r="U339" i="1"/>
  <c r="T339" i="1"/>
  <c r="S339" i="1"/>
  <c r="V339" i="1" s="1"/>
  <c r="W339" i="1" s="1"/>
  <c r="R339" i="1"/>
  <c r="Q339" i="1"/>
  <c r="P339" i="1"/>
  <c r="O339" i="1"/>
  <c r="N339" i="1"/>
  <c r="U338" i="1"/>
  <c r="T338" i="1"/>
  <c r="S338" i="1"/>
  <c r="R338" i="1"/>
  <c r="Q338" i="1"/>
  <c r="P338" i="1"/>
  <c r="O338" i="1"/>
  <c r="V338" i="1" s="1"/>
  <c r="W338" i="1" s="1"/>
  <c r="N338" i="1"/>
  <c r="U337" i="1"/>
  <c r="T337" i="1"/>
  <c r="S337" i="1"/>
  <c r="R337" i="1"/>
  <c r="Q337" i="1"/>
  <c r="P337" i="1"/>
  <c r="O337" i="1"/>
  <c r="V337" i="1" s="1"/>
  <c r="W337" i="1" s="1"/>
  <c r="N337" i="1"/>
  <c r="V336" i="1"/>
  <c r="W336" i="1" s="1"/>
  <c r="U336" i="1"/>
  <c r="T336" i="1"/>
  <c r="S336" i="1"/>
  <c r="R336" i="1"/>
  <c r="Q336" i="1"/>
  <c r="P336" i="1"/>
  <c r="N336" i="1"/>
  <c r="O336" i="1" s="1"/>
  <c r="U335" i="1"/>
  <c r="T335" i="1"/>
  <c r="S335" i="1"/>
  <c r="V335" i="1" s="1"/>
  <c r="W335" i="1" s="1"/>
  <c r="R335" i="1"/>
  <c r="Q335" i="1"/>
  <c r="P335" i="1"/>
  <c r="O335" i="1"/>
  <c r="N335" i="1"/>
  <c r="U334" i="1"/>
  <c r="T334" i="1"/>
  <c r="S334" i="1"/>
  <c r="R334" i="1"/>
  <c r="Q334" i="1"/>
  <c r="P334" i="1"/>
  <c r="N334" i="1"/>
  <c r="O334" i="1" s="1"/>
  <c r="V334" i="1" s="1"/>
  <c r="W334" i="1" s="1"/>
  <c r="W333" i="1"/>
  <c r="V333" i="1"/>
  <c r="U333" i="1"/>
  <c r="T333" i="1"/>
  <c r="S333" i="1"/>
  <c r="R333" i="1"/>
  <c r="Q333" i="1"/>
  <c r="P333" i="1"/>
  <c r="O333" i="1"/>
  <c r="N333" i="1"/>
  <c r="U332" i="1"/>
  <c r="T332" i="1"/>
  <c r="S332" i="1"/>
  <c r="R332" i="1"/>
  <c r="Q332" i="1"/>
  <c r="P332" i="1"/>
  <c r="O332" i="1"/>
  <c r="N332" i="1"/>
  <c r="U331" i="1"/>
  <c r="T331" i="1"/>
  <c r="S331" i="1"/>
  <c r="R331" i="1"/>
  <c r="Q331" i="1"/>
  <c r="P331" i="1"/>
  <c r="O331" i="1"/>
  <c r="V331" i="1" s="1"/>
  <c r="W331" i="1" s="1"/>
  <c r="N331" i="1"/>
  <c r="U330" i="1"/>
  <c r="T330" i="1"/>
  <c r="S330" i="1"/>
  <c r="R330" i="1"/>
  <c r="Q330" i="1"/>
  <c r="P330" i="1"/>
  <c r="N330" i="1"/>
  <c r="O330" i="1" s="1"/>
  <c r="V330" i="1" s="1"/>
  <c r="W330" i="1" s="1"/>
  <c r="V329" i="1"/>
  <c r="W329" i="1" s="1"/>
  <c r="U329" i="1"/>
  <c r="T329" i="1"/>
  <c r="S329" i="1"/>
  <c r="R329" i="1"/>
  <c r="Q329" i="1"/>
  <c r="P329" i="1"/>
  <c r="N329" i="1"/>
  <c r="O329" i="1" s="1"/>
  <c r="U328" i="1"/>
  <c r="T328" i="1"/>
  <c r="S328" i="1"/>
  <c r="V328" i="1" s="1"/>
  <c r="W328" i="1" s="1"/>
  <c r="R328" i="1"/>
  <c r="Q328" i="1"/>
  <c r="P328" i="1"/>
  <c r="N328" i="1"/>
  <c r="O328" i="1" s="1"/>
  <c r="U327" i="1"/>
  <c r="T327" i="1"/>
  <c r="S327" i="1"/>
  <c r="R327" i="1"/>
  <c r="Q327" i="1"/>
  <c r="P327" i="1"/>
  <c r="V327" i="1" s="1"/>
  <c r="W327" i="1" s="1"/>
  <c r="O327" i="1"/>
  <c r="N327" i="1"/>
  <c r="U326" i="1"/>
  <c r="T326" i="1"/>
  <c r="S326" i="1"/>
  <c r="R326" i="1"/>
  <c r="Q326" i="1"/>
  <c r="P326" i="1"/>
  <c r="O326" i="1"/>
  <c r="N326" i="1"/>
  <c r="U325" i="1"/>
  <c r="T325" i="1"/>
  <c r="S325" i="1"/>
  <c r="R325" i="1"/>
  <c r="Q325" i="1"/>
  <c r="P325" i="1"/>
  <c r="O325" i="1"/>
  <c r="V325" i="1" s="1"/>
  <c r="W325" i="1" s="1"/>
  <c r="N325" i="1"/>
  <c r="V324" i="1"/>
  <c r="W324" i="1" s="1"/>
  <c r="U324" i="1"/>
  <c r="T324" i="1"/>
  <c r="S324" i="1"/>
  <c r="R324" i="1"/>
  <c r="Q324" i="1"/>
  <c r="P324" i="1"/>
  <c r="N324" i="1"/>
  <c r="O324" i="1" s="1"/>
  <c r="V323" i="1"/>
  <c r="W323" i="1" s="1"/>
  <c r="U323" i="1"/>
  <c r="T323" i="1"/>
  <c r="S323" i="1"/>
  <c r="R323" i="1"/>
  <c r="Q323" i="1"/>
  <c r="P323" i="1"/>
  <c r="O323" i="1"/>
  <c r="N323" i="1"/>
  <c r="U322" i="1"/>
  <c r="T322" i="1"/>
  <c r="S322" i="1"/>
  <c r="R322" i="1"/>
  <c r="Q322" i="1"/>
  <c r="P322" i="1"/>
  <c r="N322" i="1"/>
  <c r="O322" i="1" s="1"/>
  <c r="U321" i="1"/>
  <c r="T321" i="1"/>
  <c r="S321" i="1"/>
  <c r="R321" i="1"/>
  <c r="Q321" i="1"/>
  <c r="P321" i="1"/>
  <c r="V321" i="1" s="1"/>
  <c r="W321" i="1" s="1"/>
  <c r="O321" i="1"/>
  <c r="N321" i="1"/>
  <c r="U320" i="1"/>
  <c r="T320" i="1"/>
  <c r="S320" i="1"/>
  <c r="R320" i="1"/>
  <c r="Q320" i="1"/>
  <c r="P320" i="1"/>
  <c r="O320" i="1"/>
  <c r="N320" i="1"/>
  <c r="U319" i="1"/>
  <c r="T319" i="1"/>
  <c r="S319" i="1"/>
  <c r="R319" i="1"/>
  <c r="Q319" i="1"/>
  <c r="P319" i="1"/>
  <c r="O319" i="1"/>
  <c r="N319" i="1"/>
  <c r="U318" i="1"/>
  <c r="T318" i="1"/>
  <c r="S318" i="1"/>
  <c r="R318" i="1"/>
  <c r="Q318" i="1"/>
  <c r="P318" i="1"/>
  <c r="N318" i="1"/>
  <c r="O318" i="1" s="1"/>
  <c r="V318" i="1" s="1"/>
  <c r="W318" i="1" s="1"/>
  <c r="W317" i="1"/>
  <c r="V317" i="1"/>
  <c r="U317" i="1"/>
  <c r="T317" i="1"/>
  <c r="S317" i="1"/>
  <c r="R317" i="1"/>
  <c r="Q317" i="1"/>
  <c r="P317" i="1"/>
  <c r="N317" i="1"/>
  <c r="O317" i="1" s="1"/>
  <c r="U316" i="1"/>
  <c r="T316" i="1"/>
  <c r="S316" i="1"/>
  <c r="V316" i="1" s="1"/>
  <c r="W316" i="1" s="1"/>
  <c r="R316" i="1"/>
  <c r="Q316" i="1"/>
  <c r="P316" i="1"/>
  <c r="N316" i="1"/>
  <c r="O316" i="1" s="1"/>
  <c r="U315" i="1"/>
  <c r="T315" i="1"/>
  <c r="S315" i="1"/>
  <c r="R315" i="1"/>
  <c r="Q315" i="1"/>
  <c r="P315" i="1"/>
  <c r="V315" i="1" s="1"/>
  <c r="W315" i="1" s="1"/>
  <c r="O315" i="1"/>
  <c r="N315" i="1"/>
  <c r="U314" i="1"/>
  <c r="T314" i="1"/>
  <c r="S314" i="1"/>
  <c r="R314" i="1"/>
  <c r="Q314" i="1"/>
  <c r="P314" i="1"/>
  <c r="O314" i="1"/>
  <c r="V314" i="1" s="1"/>
  <c r="W314" i="1" s="1"/>
  <c r="N314" i="1"/>
  <c r="W313" i="1"/>
  <c r="U313" i="1"/>
  <c r="T313" i="1"/>
  <c r="S313" i="1"/>
  <c r="R313" i="1"/>
  <c r="Q313" i="1"/>
  <c r="P313" i="1"/>
  <c r="O313" i="1"/>
  <c r="V313" i="1" s="1"/>
  <c r="N313" i="1"/>
  <c r="V312" i="1"/>
  <c r="W312" i="1" s="1"/>
  <c r="U312" i="1"/>
  <c r="T312" i="1"/>
  <c r="S312" i="1"/>
  <c r="R312" i="1"/>
  <c r="Q312" i="1"/>
  <c r="P312" i="1"/>
  <c r="N312" i="1"/>
  <c r="O312" i="1" s="1"/>
  <c r="U311" i="1"/>
  <c r="T311" i="1"/>
  <c r="S311" i="1"/>
  <c r="R311" i="1"/>
  <c r="Q311" i="1"/>
  <c r="P311" i="1"/>
  <c r="V311" i="1" s="1"/>
  <c r="W311" i="1" s="1"/>
  <c r="O311" i="1"/>
  <c r="N311" i="1"/>
  <c r="U310" i="1"/>
  <c r="T310" i="1"/>
  <c r="S310" i="1"/>
  <c r="R310" i="1"/>
  <c r="Q310" i="1"/>
  <c r="P310" i="1"/>
  <c r="N310" i="1"/>
  <c r="O310" i="1" s="1"/>
  <c r="V310" i="1" s="1"/>
  <c r="W310" i="1" s="1"/>
  <c r="W309" i="1"/>
  <c r="V309" i="1"/>
  <c r="U309" i="1"/>
  <c r="T309" i="1"/>
  <c r="S309" i="1"/>
  <c r="R309" i="1"/>
  <c r="Q309" i="1"/>
  <c r="P309" i="1"/>
  <c r="O309" i="1"/>
  <c r="N309" i="1"/>
  <c r="U308" i="1"/>
  <c r="T308" i="1"/>
  <c r="S308" i="1"/>
  <c r="R308" i="1"/>
  <c r="Q308" i="1"/>
  <c r="P308" i="1"/>
  <c r="N308" i="1"/>
  <c r="O308" i="1" s="1"/>
  <c r="V308" i="1" s="1"/>
  <c r="W308" i="1" s="1"/>
  <c r="U307" i="1"/>
  <c r="T307" i="1"/>
  <c r="S307" i="1"/>
  <c r="R307" i="1"/>
  <c r="Q307" i="1"/>
  <c r="P307" i="1"/>
  <c r="O307" i="1"/>
  <c r="N307" i="1"/>
  <c r="U306" i="1"/>
  <c r="T306" i="1"/>
  <c r="S306" i="1"/>
  <c r="R306" i="1"/>
  <c r="Q306" i="1"/>
  <c r="P306" i="1"/>
  <c r="N306" i="1"/>
  <c r="O306" i="1" s="1"/>
  <c r="U305" i="1"/>
  <c r="T305" i="1"/>
  <c r="S305" i="1"/>
  <c r="R305" i="1"/>
  <c r="Q305" i="1"/>
  <c r="P305" i="1"/>
  <c r="N305" i="1"/>
  <c r="O305" i="1" s="1"/>
  <c r="V305" i="1" s="1"/>
  <c r="W305" i="1" s="1"/>
  <c r="U304" i="1"/>
  <c r="T304" i="1"/>
  <c r="S304" i="1"/>
  <c r="R304" i="1"/>
  <c r="Q304" i="1"/>
  <c r="P304" i="1"/>
  <c r="N304" i="1"/>
  <c r="O304" i="1" s="1"/>
  <c r="U303" i="1"/>
  <c r="T303" i="1"/>
  <c r="S303" i="1"/>
  <c r="R303" i="1"/>
  <c r="Q303" i="1"/>
  <c r="P303" i="1"/>
  <c r="O303" i="1"/>
  <c r="N303" i="1"/>
  <c r="U302" i="1"/>
  <c r="T302" i="1"/>
  <c r="S302" i="1"/>
  <c r="R302" i="1"/>
  <c r="Q302" i="1"/>
  <c r="P302" i="1"/>
  <c r="O302" i="1"/>
  <c r="V302" i="1" s="1"/>
  <c r="W302" i="1" s="1"/>
  <c r="N302" i="1"/>
  <c r="U301" i="1"/>
  <c r="T301" i="1"/>
  <c r="S301" i="1"/>
  <c r="R301" i="1"/>
  <c r="Q301" i="1"/>
  <c r="P301" i="1"/>
  <c r="N301" i="1"/>
  <c r="O301" i="1" s="1"/>
  <c r="V301" i="1" s="1"/>
  <c r="W301" i="1" s="1"/>
  <c r="U300" i="1"/>
  <c r="V300" i="1" s="1"/>
  <c r="W300" i="1" s="1"/>
  <c r="T300" i="1"/>
  <c r="S300" i="1"/>
  <c r="R300" i="1"/>
  <c r="Q300" i="1"/>
  <c r="P300" i="1"/>
  <c r="N300" i="1"/>
  <c r="O300" i="1" s="1"/>
  <c r="U299" i="1"/>
  <c r="T299" i="1"/>
  <c r="S299" i="1"/>
  <c r="R299" i="1"/>
  <c r="Q299" i="1"/>
  <c r="V299" i="1" s="1"/>
  <c r="W299" i="1" s="1"/>
  <c r="P299" i="1"/>
  <c r="O299" i="1"/>
  <c r="N299" i="1"/>
  <c r="U298" i="1"/>
  <c r="T298" i="1"/>
  <c r="S298" i="1"/>
  <c r="R298" i="1"/>
  <c r="Q298" i="1"/>
  <c r="P298" i="1"/>
  <c r="O298" i="1"/>
  <c r="N298" i="1"/>
  <c r="U297" i="1"/>
  <c r="T297" i="1"/>
  <c r="S297" i="1"/>
  <c r="R297" i="1"/>
  <c r="Q297" i="1"/>
  <c r="P297" i="1"/>
  <c r="O297" i="1"/>
  <c r="N297" i="1"/>
  <c r="U296" i="1"/>
  <c r="T296" i="1"/>
  <c r="S296" i="1"/>
  <c r="R296" i="1"/>
  <c r="Q296" i="1"/>
  <c r="P296" i="1"/>
  <c r="N296" i="1"/>
  <c r="O296" i="1" s="1"/>
  <c r="V296" i="1" s="1"/>
  <c r="W296" i="1" s="1"/>
  <c r="U295" i="1"/>
  <c r="T295" i="1"/>
  <c r="S295" i="1"/>
  <c r="R295" i="1"/>
  <c r="Q295" i="1"/>
  <c r="P295" i="1"/>
  <c r="N295" i="1"/>
  <c r="O295" i="1" s="1"/>
  <c r="U294" i="1"/>
  <c r="T294" i="1"/>
  <c r="S294" i="1"/>
  <c r="R294" i="1"/>
  <c r="Q294" i="1"/>
  <c r="V294" i="1" s="1"/>
  <c r="W294" i="1" s="1"/>
  <c r="P294" i="1"/>
  <c r="N294" i="1"/>
  <c r="O294" i="1" s="1"/>
  <c r="U293" i="1"/>
  <c r="T293" i="1"/>
  <c r="S293" i="1"/>
  <c r="R293" i="1"/>
  <c r="Q293" i="1"/>
  <c r="P293" i="1"/>
  <c r="O293" i="1"/>
  <c r="N293" i="1"/>
  <c r="U292" i="1"/>
  <c r="T292" i="1"/>
  <c r="S292" i="1"/>
  <c r="R292" i="1"/>
  <c r="Q292" i="1"/>
  <c r="P292" i="1"/>
  <c r="O292" i="1"/>
  <c r="N292" i="1"/>
  <c r="V291" i="1"/>
  <c r="W291" i="1" s="1"/>
  <c r="U291" i="1"/>
  <c r="T291" i="1"/>
  <c r="S291" i="1"/>
  <c r="R291" i="1"/>
  <c r="Q291" i="1"/>
  <c r="P291" i="1"/>
  <c r="O291" i="1"/>
  <c r="N291" i="1"/>
  <c r="U290" i="1"/>
  <c r="T290" i="1"/>
  <c r="S290" i="1"/>
  <c r="R290" i="1"/>
  <c r="Q290" i="1"/>
  <c r="P290" i="1"/>
  <c r="N290" i="1"/>
  <c r="O290" i="1" s="1"/>
  <c r="V290" i="1" s="1"/>
  <c r="W290" i="1" s="1"/>
  <c r="U289" i="1"/>
  <c r="T289" i="1"/>
  <c r="S289" i="1"/>
  <c r="R289" i="1"/>
  <c r="Q289" i="1"/>
  <c r="P289" i="1"/>
  <c r="N289" i="1"/>
  <c r="O289" i="1" s="1"/>
  <c r="U288" i="1"/>
  <c r="T288" i="1"/>
  <c r="S288" i="1"/>
  <c r="R288" i="1"/>
  <c r="Q288" i="1"/>
  <c r="P288" i="1"/>
  <c r="N288" i="1"/>
  <c r="O288" i="1" s="1"/>
  <c r="U287" i="1"/>
  <c r="T287" i="1"/>
  <c r="S287" i="1"/>
  <c r="R287" i="1"/>
  <c r="Q287" i="1"/>
  <c r="P287" i="1"/>
  <c r="O287" i="1"/>
  <c r="V287" i="1" s="1"/>
  <c r="W287" i="1" s="1"/>
  <c r="N287" i="1"/>
  <c r="V286" i="1"/>
  <c r="W286" i="1" s="1"/>
  <c r="U286" i="1"/>
  <c r="T286" i="1"/>
  <c r="S286" i="1"/>
  <c r="R286" i="1"/>
  <c r="Q286" i="1"/>
  <c r="P286" i="1"/>
  <c r="N286" i="1"/>
  <c r="O286" i="1" s="1"/>
  <c r="U285" i="1"/>
  <c r="T285" i="1"/>
  <c r="V285" i="1" s="1"/>
  <c r="W285" i="1" s="1"/>
  <c r="S285" i="1"/>
  <c r="R285" i="1"/>
  <c r="Q285" i="1"/>
  <c r="P285" i="1"/>
  <c r="O285" i="1"/>
  <c r="N285" i="1"/>
  <c r="U284" i="1"/>
  <c r="T284" i="1"/>
  <c r="S284" i="1"/>
  <c r="R284" i="1"/>
  <c r="Q284" i="1"/>
  <c r="P284" i="1"/>
  <c r="O284" i="1"/>
  <c r="N284" i="1"/>
  <c r="U283" i="1"/>
  <c r="T283" i="1"/>
  <c r="S283" i="1"/>
  <c r="R283" i="1"/>
  <c r="Q283" i="1"/>
  <c r="P283" i="1"/>
  <c r="O283" i="1"/>
  <c r="N283" i="1"/>
  <c r="U282" i="1"/>
  <c r="T282" i="1"/>
  <c r="S282" i="1"/>
  <c r="R282" i="1"/>
  <c r="Q282" i="1"/>
  <c r="P282" i="1"/>
  <c r="N282" i="1"/>
  <c r="O282" i="1" s="1"/>
  <c r="U281" i="1"/>
  <c r="T281" i="1"/>
  <c r="S281" i="1"/>
  <c r="R281" i="1"/>
  <c r="Q281" i="1"/>
  <c r="P281" i="1"/>
  <c r="N281" i="1"/>
  <c r="O281" i="1" s="1"/>
  <c r="V281" i="1" s="1"/>
  <c r="W281" i="1" s="1"/>
  <c r="V280" i="1"/>
  <c r="W280" i="1" s="1"/>
  <c r="U280" i="1"/>
  <c r="T280" i="1"/>
  <c r="S280" i="1"/>
  <c r="R280" i="1"/>
  <c r="Q280" i="1"/>
  <c r="P280" i="1"/>
  <c r="O280" i="1"/>
  <c r="N280" i="1"/>
  <c r="U279" i="1"/>
  <c r="T279" i="1"/>
  <c r="S279" i="1"/>
  <c r="V279" i="1" s="1"/>
  <c r="W279" i="1" s="1"/>
  <c r="R279" i="1"/>
  <c r="Q279" i="1"/>
  <c r="P279" i="1"/>
  <c r="O279" i="1"/>
  <c r="N279" i="1"/>
  <c r="U278" i="1"/>
  <c r="T278" i="1"/>
  <c r="S278" i="1"/>
  <c r="R278" i="1"/>
  <c r="Q278" i="1"/>
  <c r="P278" i="1"/>
  <c r="N278" i="1"/>
  <c r="O278" i="1" s="1"/>
  <c r="V278" i="1" s="1"/>
  <c r="W278" i="1" s="1"/>
  <c r="U277" i="1"/>
  <c r="T277" i="1"/>
  <c r="S277" i="1"/>
  <c r="R277" i="1"/>
  <c r="Q277" i="1"/>
  <c r="P277" i="1"/>
  <c r="O277" i="1"/>
  <c r="V277" i="1" s="1"/>
  <c r="W277" i="1" s="1"/>
  <c r="N277" i="1"/>
  <c r="U276" i="1"/>
  <c r="T276" i="1"/>
  <c r="S276" i="1"/>
  <c r="R276" i="1"/>
  <c r="Q276" i="1"/>
  <c r="P276" i="1"/>
  <c r="N276" i="1"/>
  <c r="O276" i="1" s="1"/>
  <c r="U275" i="1"/>
  <c r="T275" i="1"/>
  <c r="S275" i="1"/>
  <c r="R275" i="1"/>
  <c r="Q275" i="1"/>
  <c r="P275" i="1"/>
  <c r="N275" i="1"/>
  <c r="O275" i="1" s="1"/>
  <c r="V275" i="1" s="1"/>
  <c r="W275" i="1" s="1"/>
  <c r="V274" i="1"/>
  <c r="W274" i="1" s="1"/>
  <c r="U274" i="1"/>
  <c r="T274" i="1"/>
  <c r="S274" i="1"/>
  <c r="R274" i="1"/>
  <c r="Q274" i="1"/>
  <c r="P274" i="1"/>
  <c r="O274" i="1"/>
  <c r="N274" i="1"/>
  <c r="U273" i="1"/>
  <c r="T273" i="1"/>
  <c r="S273" i="1"/>
  <c r="V273" i="1" s="1"/>
  <c r="W273" i="1" s="1"/>
  <c r="R273" i="1"/>
  <c r="Q273" i="1"/>
  <c r="P273" i="1"/>
  <c r="N273" i="1"/>
  <c r="O273" i="1" s="1"/>
  <c r="U272" i="1"/>
  <c r="T272" i="1"/>
  <c r="S272" i="1"/>
  <c r="R272" i="1"/>
  <c r="Q272" i="1"/>
  <c r="P272" i="1"/>
  <c r="N272" i="1"/>
  <c r="O272" i="1" s="1"/>
  <c r="V272" i="1" s="1"/>
  <c r="W272" i="1" s="1"/>
  <c r="U271" i="1"/>
  <c r="T271" i="1"/>
  <c r="S271" i="1"/>
  <c r="R271" i="1"/>
  <c r="Q271" i="1"/>
  <c r="P271" i="1"/>
  <c r="O271" i="1"/>
  <c r="V271" i="1" s="1"/>
  <c r="W271" i="1" s="1"/>
  <c r="N271" i="1"/>
  <c r="U270" i="1"/>
  <c r="T270" i="1"/>
  <c r="S270" i="1"/>
  <c r="R270" i="1"/>
  <c r="Q270" i="1"/>
  <c r="P270" i="1"/>
  <c r="O270" i="1"/>
  <c r="N270" i="1"/>
  <c r="U269" i="1"/>
  <c r="T269" i="1"/>
  <c r="S269" i="1"/>
  <c r="R269" i="1"/>
  <c r="Q269" i="1"/>
  <c r="P269" i="1"/>
  <c r="N269" i="1"/>
  <c r="O269" i="1" s="1"/>
  <c r="V269" i="1" s="1"/>
  <c r="W269" i="1" s="1"/>
  <c r="U268" i="1"/>
  <c r="T268" i="1"/>
  <c r="S268" i="1"/>
  <c r="R268" i="1"/>
  <c r="Q268" i="1"/>
  <c r="P268" i="1"/>
  <c r="O268" i="1"/>
  <c r="V268" i="1" s="1"/>
  <c r="W268" i="1" s="1"/>
  <c r="N268" i="1"/>
  <c r="U267" i="1"/>
  <c r="V267" i="1" s="1"/>
  <c r="W267" i="1" s="1"/>
  <c r="T267" i="1"/>
  <c r="S267" i="1"/>
  <c r="R267" i="1"/>
  <c r="Q267" i="1"/>
  <c r="P267" i="1"/>
  <c r="N267" i="1"/>
  <c r="O267" i="1" s="1"/>
  <c r="U266" i="1"/>
  <c r="T266" i="1"/>
  <c r="S266" i="1"/>
  <c r="R266" i="1"/>
  <c r="Q266" i="1"/>
  <c r="P266" i="1"/>
  <c r="N266" i="1"/>
  <c r="O266" i="1" s="1"/>
  <c r="U265" i="1"/>
  <c r="T265" i="1"/>
  <c r="S265" i="1"/>
  <c r="R265" i="1"/>
  <c r="Q265" i="1"/>
  <c r="P265" i="1"/>
  <c r="O265" i="1"/>
  <c r="V265" i="1" s="1"/>
  <c r="W265" i="1" s="1"/>
  <c r="N265" i="1"/>
  <c r="U264" i="1"/>
  <c r="T264" i="1"/>
  <c r="S264" i="1"/>
  <c r="R264" i="1"/>
  <c r="Q264" i="1"/>
  <c r="P264" i="1"/>
  <c r="N264" i="1"/>
  <c r="O264" i="1" s="1"/>
  <c r="V264" i="1" s="1"/>
  <c r="W264" i="1" s="1"/>
  <c r="U263" i="1"/>
  <c r="T263" i="1"/>
  <c r="S263" i="1"/>
  <c r="R263" i="1"/>
  <c r="Q263" i="1"/>
  <c r="P263" i="1"/>
  <c r="N263" i="1"/>
  <c r="O263" i="1" s="1"/>
  <c r="U262" i="1"/>
  <c r="T262" i="1"/>
  <c r="S262" i="1"/>
  <c r="R262" i="1"/>
  <c r="Q262" i="1"/>
  <c r="P262" i="1"/>
  <c r="O262" i="1"/>
  <c r="V262" i="1" s="1"/>
  <c r="W262" i="1" s="1"/>
  <c r="N262" i="1"/>
  <c r="V261" i="1"/>
  <c r="W261" i="1" s="1"/>
  <c r="U261" i="1"/>
  <c r="T261" i="1"/>
  <c r="S261" i="1"/>
  <c r="R261" i="1"/>
  <c r="Q261" i="1"/>
  <c r="P261" i="1"/>
  <c r="N261" i="1"/>
  <c r="O261" i="1" s="1"/>
  <c r="U260" i="1"/>
  <c r="T260" i="1"/>
  <c r="S260" i="1"/>
  <c r="R260" i="1"/>
  <c r="Q260" i="1"/>
  <c r="P260" i="1"/>
  <c r="N260" i="1"/>
  <c r="O260" i="1" s="1"/>
  <c r="U259" i="1"/>
  <c r="T259" i="1"/>
  <c r="S259" i="1"/>
  <c r="R259" i="1"/>
  <c r="Q259" i="1"/>
  <c r="P259" i="1"/>
  <c r="O259" i="1"/>
  <c r="V259" i="1" s="1"/>
  <c r="W259" i="1" s="1"/>
  <c r="N259" i="1"/>
  <c r="U258" i="1"/>
  <c r="T258" i="1"/>
  <c r="S258" i="1"/>
  <c r="R258" i="1"/>
  <c r="Q258" i="1"/>
  <c r="P258" i="1"/>
  <c r="O258" i="1"/>
  <c r="V258" i="1" s="1"/>
  <c r="W258" i="1" s="1"/>
  <c r="N258" i="1"/>
  <c r="U257" i="1"/>
  <c r="T257" i="1"/>
  <c r="S257" i="1"/>
  <c r="R257" i="1"/>
  <c r="Q257" i="1"/>
  <c r="P257" i="1"/>
  <c r="N257" i="1"/>
  <c r="O257" i="1" s="1"/>
  <c r="U256" i="1"/>
  <c r="T256" i="1"/>
  <c r="S256" i="1"/>
  <c r="R256" i="1"/>
  <c r="Q256" i="1"/>
  <c r="P256" i="1"/>
  <c r="O256" i="1"/>
  <c r="V256" i="1" s="1"/>
  <c r="W256" i="1" s="1"/>
  <c r="N256" i="1"/>
  <c r="U255" i="1"/>
  <c r="T255" i="1"/>
  <c r="S255" i="1"/>
  <c r="R255" i="1"/>
  <c r="Q255" i="1"/>
  <c r="P255" i="1"/>
  <c r="N255" i="1"/>
  <c r="O255" i="1" s="1"/>
  <c r="V255" i="1" s="1"/>
  <c r="W255" i="1" s="1"/>
  <c r="U254" i="1"/>
  <c r="T254" i="1"/>
  <c r="S254" i="1"/>
  <c r="R254" i="1"/>
  <c r="Q254" i="1"/>
  <c r="P254" i="1"/>
  <c r="N254" i="1"/>
  <c r="O254" i="1" s="1"/>
  <c r="U253" i="1"/>
  <c r="T253" i="1"/>
  <c r="S253" i="1"/>
  <c r="R253" i="1"/>
  <c r="Q253" i="1"/>
  <c r="P253" i="1"/>
  <c r="O253" i="1"/>
  <c r="N253" i="1"/>
  <c r="U252" i="1"/>
  <c r="T252" i="1"/>
  <c r="S252" i="1"/>
  <c r="R252" i="1"/>
  <c r="Q252" i="1"/>
  <c r="P252" i="1"/>
  <c r="N252" i="1"/>
  <c r="O252" i="1" s="1"/>
  <c r="V252" i="1" s="1"/>
  <c r="W252" i="1" s="1"/>
  <c r="W177" i="1"/>
  <c r="U177" i="1"/>
  <c r="T177" i="1"/>
  <c r="S177" i="1"/>
  <c r="R177" i="1"/>
  <c r="Q177" i="1"/>
  <c r="P177" i="1"/>
  <c r="N177" i="1"/>
  <c r="O177" i="1" s="1"/>
  <c r="V177" i="1" s="1"/>
  <c r="U176" i="1"/>
  <c r="V176" i="1" s="1"/>
  <c r="W176" i="1" s="1"/>
  <c r="T176" i="1"/>
  <c r="S176" i="1"/>
  <c r="R176" i="1"/>
  <c r="Q176" i="1"/>
  <c r="P176" i="1"/>
  <c r="O176" i="1"/>
  <c r="N176" i="1"/>
  <c r="U175" i="1"/>
  <c r="T175" i="1"/>
  <c r="S175" i="1"/>
  <c r="R175" i="1"/>
  <c r="Q175" i="1"/>
  <c r="P175" i="1"/>
  <c r="N175" i="1"/>
  <c r="O175" i="1" s="1"/>
  <c r="V175" i="1" s="1"/>
  <c r="W175" i="1" s="1"/>
  <c r="U174" i="1"/>
  <c r="T174" i="1"/>
  <c r="S174" i="1"/>
  <c r="R174" i="1"/>
  <c r="Q174" i="1"/>
  <c r="P174" i="1"/>
  <c r="N174" i="1"/>
  <c r="O174" i="1" s="1"/>
  <c r="U173" i="1"/>
  <c r="T173" i="1"/>
  <c r="S173" i="1"/>
  <c r="R173" i="1"/>
  <c r="Q173" i="1"/>
  <c r="P173" i="1"/>
  <c r="O173" i="1"/>
  <c r="N173" i="1"/>
  <c r="U172" i="1"/>
  <c r="T172" i="1"/>
  <c r="S172" i="1"/>
  <c r="R172" i="1"/>
  <c r="Q172" i="1"/>
  <c r="P172" i="1"/>
  <c r="N172" i="1"/>
  <c r="O172" i="1" s="1"/>
  <c r="V172" i="1" s="1"/>
  <c r="W172" i="1" s="1"/>
  <c r="W171" i="1"/>
  <c r="U171" i="1"/>
  <c r="T171" i="1"/>
  <c r="S171" i="1"/>
  <c r="R171" i="1"/>
  <c r="Q171" i="1"/>
  <c r="P171" i="1"/>
  <c r="N171" i="1"/>
  <c r="O171" i="1" s="1"/>
  <c r="V171" i="1" s="1"/>
  <c r="U170" i="1"/>
  <c r="V170" i="1" s="1"/>
  <c r="W170" i="1" s="1"/>
  <c r="T170" i="1"/>
  <c r="S170" i="1"/>
  <c r="R170" i="1"/>
  <c r="Q170" i="1"/>
  <c r="P170" i="1"/>
  <c r="O170" i="1"/>
  <c r="N170" i="1"/>
  <c r="U169" i="1"/>
  <c r="T169" i="1"/>
  <c r="S169" i="1"/>
  <c r="V169" i="1" s="1"/>
  <c r="W169" i="1" s="1"/>
  <c r="R169" i="1"/>
  <c r="Q169" i="1"/>
  <c r="P169" i="1"/>
  <c r="N169" i="1"/>
  <c r="O169" i="1" s="1"/>
  <c r="U168" i="1"/>
  <c r="T168" i="1"/>
  <c r="S168" i="1"/>
  <c r="R168" i="1"/>
  <c r="Q168" i="1"/>
  <c r="P168" i="1"/>
  <c r="N168" i="1"/>
  <c r="O168" i="1" s="1"/>
  <c r="V168" i="1" s="1"/>
  <c r="W168" i="1" s="1"/>
  <c r="U167" i="1"/>
  <c r="T167" i="1"/>
  <c r="S167" i="1"/>
  <c r="R167" i="1"/>
  <c r="Q167" i="1"/>
  <c r="P167" i="1"/>
  <c r="O167" i="1"/>
  <c r="N167" i="1"/>
  <c r="U166" i="1"/>
  <c r="T166" i="1"/>
  <c r="S166" i="1"/>
  <c r="R166" i="1"/>
  <c r="Q166" i="1"/>
  <c r="P166" i="1"/>
  <c r="O166" i="1"/>
  <c r="N166" i="1"/>
  <c r="U165" i="1"/>
  <c r="T165" i="1"/>
  <c r="S165" i="1"/>
  <c r="R165" i="1"/>
  <c r="Q165" i="1"/>
  <c r="P165" i="1"/>
  <c r="N165" i="1"/>
  <c r="O165" i="1" s="1"/>
  <c r="V165" i="1" s="1"/>
  <c r="W165" i="1" s="1"/>
  <c r="V164" i="1"/>
  <c r="W164" i="1" s="1"/>
  <c r="U164" i="1"/>
  <c r="T164" i="1"/>
  <c r="S164" i="1"/>
  <c r="R164" i="1"/>
  <c r="Q164" i="1"/>
  <c r="P164" i="1"/>
  <c r="O164" i="1"/>
  <c r="N164" i="1"/>
  <c r="U163" i="1"/>
  <c r="T163" i="1"/>
  <c r="S163" i="1"/>
  <c r="V163" i="1" s="1"/>
  <c r="W163" i="1" s="1"/>
  <c r="R163" i="1"/>
  <c r="Q163" i="1"/>
  <c r="P163" i="1"/>
  <c r="N163" i="1"/>
  <c r="O163" i="1" s="1"/>
  <c r="U162" i="1"/>
  <c r="T162" i="1"/>
  <c r="S162" i="1"/>
  <c r="R162" i="1"/>
  <c r="Q162" i="1"/>
  <c r="P162" i="1"/>
  <c r="N162" i="1"/>
  <c r="O162" i="1" s="1"/>
  <c r="V162" i="1" s="1"/>
  <c r="W162" i="1" s="1"/>
  <c r="U161" i="1"/>
  <c r="T161" i="1"/>
  <c r="S161" i="1"/>
  <c r="R161" i="1"/>
  <c r="Q161" i="1"/>
  <c r="P161" i="1"/>
  <c r="O161" i="1"/>
  <c r="V161" i="1" s="1"/>
  <c r="W161" i="1" s="1"/>
  <c r="N161" i="1"/>
  <c r="U160" i="1"/>
  <c r="T160" i="1"/>
  <c r="S160" i="1"/>
  <c r="R160" i="1"/>
  <c r="Q160" i="1"/>
  <c r="P160" i="1"/>
  <c r="O160" i="1"/>
  <c r="N160" i="1"/>
  <c r="U159" i="1"/>
  <c r="T159" i="1"/>
  <c r="S159" i="1"/>
  <c r="R159" i="1"/>
  <c r="Q159" i="1"/>
  <c r="P159" i="1"/>
  <c r="N159" i="1"/>
  <c r="O159" i="1" s="1"/>
  <c r="V159" i="1" s="1"/>
  <c r="W159" i="1" s="1"/>
  <c r="U158" i="1"/>
  <c r="T158" i="1"/>
  <c r="S158" i="1"/>
  <c r="R158" i="1"/>
  <c r="Q158" i="1"/>
  <c r="P158" i="1"/>
  <c r="O158" i="1"/>
  <c r="V158" i="1" s="1"/>
  <c r="W158" i="1" s="1"/>
  <c r="N158" i="1"/>
  <c r="U157" i="1"/>
  <c r="V157" i="1" s="1"/>
  <c r="W157" i="1" s="1"/>
  <c r="T157" i="1"/>
  <c r="S157" i="1"/>
  <c r="R157" i="1"/>
  <c r="Q157" i="1"/>
  <c r="P157" i="1"/>
  <c r="N157" i="1"/>
  <c r="O157" i="1" s="1"/>
  <c r="U156" i="1"/>
  <c r="T156" i="1"/>
  <c r="S156" i="1"/>
  <c r="R156" i="1"/>
  <c r="Q156" i="1"/>
  <c r="P156" i="1"/>
  <c r="N156" i="1"/>
  <c r="O156" i="1" s="1"/>
  <c r="U155" i="1"/>
  <c r="T155" i="1"/>
  <c r="S155" i="1"/>
  <c r="R155" i="1"/>
  <c r="Q155" i="1"/>
  <c r="P155" i="1"/>
  <c r="O155" i="1"/>
  <c r="V155" i="1" s="1"/>
  <c r="W155" i="1" s="1"/>
  <c r="N155" i="1"/>
  <c r="U154" i="1"/>
  <c r="T154" i="1"/>
  <c r="S154" i="1"/>
  <c r="R154" i="1"/>
  <c r="Q154" i="1"/>
  <c r="P154" i="1"/>
  <c r="N154" i="1"/>
  <c r="O154" i="1" s="1"/>
  <c r="V154" i="1" s="1"/>
  <c r="W154" i="1" s="1"/>
  <c r="U153" i="1"/>
  <c r="T153" i="1"/>
  <c r="S153" i="1"/>
  <c r="R153" i="1"/>
  <c r="Q153" i="1"/>
  <c r="P153" i="1"/>
  <c r="N153" i="1"/>
  <c r="O153" i="1" s="1"/>
  <c r="U152" i="1"/>
  <c r="T152" i="1"/>
  <c r="S152" i="1"/>
  <c r="R152" i="1"/>
  <c r="Q152" i="1"/>
  <c r="P152" i="1"/>
  <c r="O152" i="1"/>
  <c r="V152" i="1" s="1"/>
  <c r="W152" i="1" s="1"/>
  <c r="N152" i="1"/>
  <c r="V151" i="1"/>
  <c r="W151" i="1" s="1"/>
  <c r="U151" i="1"/>
  <c r="T151" i="1"/>
  <c r="S151" i="1"/>
  <c r="R151" i="1"/>
  <c r="Q151" i="1"/>
  <c r="P151" i="1"/>
  <c r="N151" i="1"/>
  <c r="O151" i="1" s="1"/>
  <c r="U150" i="1"/>
  <c r="T150" i="1"/>
  <c r="S150" i="1"/>
  <c r="R150" i="1"/>
  <c r="Q150" i="1"/>
  <c r="P150" i="1"/>
  <c r="N150" i="1"/>
  <c r="O150" i="1" s="1"/>
  <c r="U149" i="1"/>
  <c r="T149" i="1"/>
  <c r="S149" i="1"/>
  <c r="R149" i="1"/>
  <c r="Q149" i="1"/>
  <c r="P149" i="1"/>
  <c r="O149" i="1"/>
  <c r="V149" i="1" s="1"/>
  <c r="W149" i="1" s="1"/>
  <c r="N149" i="1"/>
  <c r="U148" i="1"/>
  <c r="T148" i="1"/>
  <c r="S148" i="1"/>
  <c r="R148" i="1"/>
  <c r="Q148" i="1"/>
  <c r="P148" i="1"/>
  <c r="O148" i="1"/>
  <c r="V148" i="1" s="1"/>
  <c r="W148" i="1" s="1"/>
  <c r="N148" i="1"/>
  <c r="U147" i="1"/>
  <c r="T147" i="1"/>
  <c r="S147" i="1"/>
  <c r="R147" i="1"/>
  <c r="Q147" i="1"/>
  <c r="P147" i="1"/>
  <c r="N147" i="1"/>
  <c r="O147" i="1" s="1"/>
  <c r="U146" i="1"/>
  <c r="T146" i="1"/>
  <c r="S146" i="1"/>
  <c r="R146" i="1"/>
  <c r="Q146" i="1"/>
  <c r="P146" i="1"/>
  <c r="O146" i="1"/>
  <c r="V146" i="1" s="1"/>
  <c r="W146" i="1" s="1"/>
  <c r="N146" i="1"/>
  <c r="U145" i="1"/>
  <c r="T145" i="1"/>
  <c r="S145" i="1"/>
  <c r="R145" i="1"/>
  <c r="Q145" i="1"/>
  <c r="P145" i="1"/>
  <c r="N145" i="1"/>
  <c r="O145" i="1" s="1"/>
  <c r="V145" i="1" s="1"/>
  <c r="W145" i="1" s="1"/>
  <c r="U144" i="1"/>
  <c r="T144" i="1"/>
  <c r="S144" i="1"/>
  <c r="R144" i="1"/>
  <c r="Q144" i="1"/>
  <c r="P144" i="1"/>
  <c r="N144" i="1"/>
  <c r="O144" i="1" s="1"/>
  <c r="U143" i="1"/>
  <c r="T143" i="1"/>
  <c r="S143" i="1"/>
  <c r="R143" i="1"/>
  <c r="Q143" i="1"/>
  <c r="P143" i="1"/>
  <c r="O143" i="1"/>
  <c r="N143" i="1"/>
  <c r="U142" i="1"/>
  <c r="T142" i="1"/>
  <c r="S142" i="1"/>
  <c r="R142" i="1"/>
  <c r="Q142" i="1"/>
  <c r="P142" i="1"/>
  <c r="N142" i="1"/>
  <c r="O142" i="1" s="1"/>
  <c r="V142" i="1" s="1"/>
  <c r="W142" i="1" s="1"/>
  <c r="W141" i="1"/>
  <c r="U141" i="1"/>
  <c r="T141" i="1"/>
  <c r="S141" i="1"/>
  <c r="R141" i="1"/>
  <c r="Q141" i="1"/>
  <c r="P141" i="1"/>
  <c r="N141" i="1"/>
  <c r="O141" i="1" s="1"/>
  <c r="V141" i="1" s="1"/>
  <c r="U140" i="1"/>
  <c r="V140" i="1" s="1"/>
  <c r="W140" i="1" s="1"/>
  <c r="T140" i="1"/>
  <c r="S140" i="1"/>
  <c r="R140" i="1"/>
  <c r="Q140" i="1"/>
  <c r="P140" i="1"/>
  <c r="O140" i="1"/>
  <c r="N140" i="1"/>
  <c r="U139" i="1"/>
  <c r="T139" i="1"/>
  <c r="S139" i="1"/>
  <c r="R139" i="1"/>
  <c r="Q139" i="1"/>
  <c r="P139" i="1"/>
  <c r="N139" i="1"/>
  <c r="O139" i="1" s="1"/>
  <c r="V139" i="1" s="1"/>
  <c r="W139" i="1" s="1"/>
  <c r="W138" i="1"/>
  <c r="U138" i="1"/>
  <c r="T138" i="1"/>
  <c r="S138" i="1"/>
  <c r="R138" i="1"/>
  <c r="Q138" i="1"/>
  <c r="P138" i="1"/>
  <c r="N138" i="1"/>
  <c r="O138" i="1" s="1"/>
  <c r="V138" i="1" s="1"/>
  <c r="U137" i="1"/>
  <c r="T137" i="1"/>
  <c r="S137" i="1"/>
  <c r="R137" i="1"/>
  <c r="Q137" i="1"/>
  <c r="P137" i="1"/>
  <c r="O137" i="1"/>
  <c r="N137" i="1"/>
  <c r="U136" i="1"/>
  <c r="T136" i="1"/>
  <c r="S136" i="1"/>
  <c r="R136" i="1"/>
  <c r="Q136" i="1"/>
  <c r="P136" i="1"/>
  <c r="N136" i="1"/>
  <c r="O136" i="1" s="1"/>
  <c r="V136" i="1" s="1"/>
  <c r="W136" i="1" s="1"/>
  <c r="W135" i="1"/>
  <c r="U135" i="1"/>
  <c r="T135" i="1"/>
  <c r="S135" i="1"/>
  <c r="R135" i="1"/>
  <c r="Q135" i="1"/>
  <c r="P135" i="1"/>
  <c r="N135" i="1"/>
  <c r="O135" i="1" s="1"/>
  <c r="V135" i="1" s="1"/>
  <c r="U134" i="1"/>
  <c r="V134" i="1" s="1"/>
  <c r="W134" i="1" s="1"/>
  <c r="T134" i="1"/>
  <c r="S134" i="1"/>
  <c r="R134" i="1"/>
  <c r="Q134" i="1"/>
  <c r="P134" i="1"/>
  <c r="O134" i="1"/>
  <c r="N134" i="1"/>
  <c r="U133" i="1"/>
  <c r="T133" i="1"/>
  <c r="S133" i="1"/>
  <c r="V133" i="1" s="1"/>
  <c r="W133" i="1" s="1"/>
  <c r="R133" i="1"/>
  <c r="Q133" i="1"/>
  <c r="P133" i="1"/>
  <c r="N133" i="1"/>
  <c r="O133" i="1" s="1"/>
  <c r="U132" i="1"/>
  <c r="T132" i="1"/>
  <c r="S132" i="1"/>
  <c r="R132" i="1"/>
  <c r="Q132" i="1"/>
  <c r="P132" i="1"/>
  <c r="N132" i="1"/>
  <c r="O132" i="1" s="1"/>
  <c r="V132" i="1" s="1"/>
  <c r="W132" i="1" s="1"/>
  <c r="U131" i="1"/>
  <c r="T131" i="1"/>
  <c r="S131" i="1"/>
  <c r="R131" i="1"/>
  <c r="Q131" i="1"/>
  <c r="P131" i="1"/>
  <c r="N131" i="1"/>
  <c r="O131" i="1" s="1"/>
  <c r="V131" i="1" s="1"/>
  <c r="W131" i="1" s="1"/>
  <c r="U130" i="1"/>
  <c r="T130" i="1"/>
  <c r="S130" i="1"/>
  <c r="R130" i="1"/>
  <c r="Q130" i="1"/>
  <c r="P130" i="1"/>
  <c r="O130" i="1"/>
  <c r="N130" i="1"/>
  <c r="U129" i="1"/>
  <c r="T129" i="1"/>
  <c r="S129" i="1"/>
  <c r="R129" i="1"/>
  <c r="Q129" i="1"/>
  <c r="P129" i="1"/>
  <c r="N129" i="1"/>
  <c r="O129" i="1" s="1"/>
  <c r="V129" i="1" s="1"/>
  <c r="W129" i="1" s="1"/>
  <c r="U128" i="1"/>
  <c r="T128" i="1"/>
  <c r="S128" i="1"/>
  <c r="R128" i="1"/>
  <c r="Q128" i="1"/>
  <c r="P128" i="1"/>
  <c r="N128" i="1"/>
  <c r="O128" i="1" s="1"/>
  <c r="V128" i="1" s="1"/>
  <c r="W128" i="1" s="1"/>
  <c r="U127" i="1"/>
  <c r="T127" i="1"/>
  <c r="V127" i="1" s="1"/>
  <c r="W127" i="1" s="1"/>
  <c r="S127" i="1"/>
  <c r="R127" i="1"/>
  <c r="Q127" i="1"/>
  <c r="P127" i="1"/>
  <c r="N127" i="1"/>
  <c r="O127" i="1" s="1"/>
  <c r="U126" i="1"/>
  <c r="T126" i="1"/>
  <c r="S126" i="1"/>
  <c r="R126" i="1"/>
  <c r="Q126" i="1"/>
  <c r="V126" i="1" s="1"/>
  <c r="W126" i="1" s="1"/>
  <c r="P126" i="1"/>
  <c r="N126" i="1"/>
  <c r="O126" i="1" s="1"/>
  <c r="U125" i="1"/>
  <c r="T125" i="1"/>
  <c r="S125" i="1"/>
  <c r="R125" i="1"/>
  <c r="Q125" i="1"/>
  <c r="P125" i="1"/>
  <c r="N125" i="1"/>
  <c r="O125" i="1" s="1"/>
  <c r="V125" i="1" s="1"/>
  <c r="W125" i="1" s="1"/>
  <c r="U124" i="1"/>
  <c r="T124" i="1"/>
  <c r="S124" i="1"/>
  <c r="R124" i="1"/>
  <c r="Q124" i="1"/>
  <c r="P124" i="1"/>
  <c r="N124" i="1"/>
  <c r="O124" i="1" s="1"/>
  <c r="V124" i="1" s="1"/>
  <c r="W124" i="1" s="1"/>
  <c r="U123" i="1"/>
  <c r="T123" i="1"/>
  <c r="V123" i="1" s="1"/>
  <c r="W123" i="1" s="1"/>
  <c r="S123" i="1"/>
  <c r="R123" i="1"/>
  <c r="Q123" i="1"/>
  <c r="P123" i="1"/>
  <c r="N123" i="1"/>
  <c r="O123" i="1" s="1"/>
  <c r="U122" i="1"/>
  <c r="T122" i="1"/>
  <c r="S122" i="1"/>
  <c r="R122" i="1"/>
  <c r="Q122" i="1"/>
  <c r="P122" i="1"/>
  <c r="O122" i="1"/>
  <c r="V122" i="1" s="1"/>
  <c r="W122" i="1" s="1"/>
  <c r="N122" i="1"/>
  <c r="U121" i="1"/>
  <c r="T121" i="1"/>
  <c r="S121" i="1"/>
  <c r="R121" i="1"/>
  <c r="Q121" i="1"/>
  <c r="P121" i="1"/>
  <c r="N121" i="1"/>
  <c r="O121" i="1" s="1"/>
  <c r="V121" i="1" s="1"/>
  <c r="W121" i="1" s="1"/>
  <c r="V120" i="1"/>
  <c r="W120" i="1" s="1"/>
  <c r="U120" i="1"/>
  <c r="T120" i="1"/>
  <c r="S120" i="1"/>
  <c r="R120" i="1"/>
  <c r="Q120" i="1"/>
  <c r="P120" i="1"/>
  <c r="N120" i="1"/>
  <c r="O120" i="1" s="1"/>
  <c r="U119" i="1"/>
  <c r="T119" i="1"/>
  <c r="S119" i="1"/>
  <c r="R119" i="1"/>
  <c r="Q119" i="1"/>
  <c r="P119" i="1"/>
  <c r="N119" i="1"/>
  <c r="O119" i="1" s="1"/>
  <c r="V119" i="1" s="1"/>
  <c r="W119" i="1" s="1"/>
  <c r="U118" i="1"/>
  <c r="T118" i="1"/>
  <c r="S118" i="1"/>
  <c r="R118" i="1"/>
  <c r="Q118" i="1"/>
  <c r="P118" i="1"/>
  <c r="N118" i="1"/>
  <c r="O118" i="1" s="1"/>
  <c r="V118" i="1" s="1"/>
  <c r="W118" i="1" s="1"/>
  <c r="U117" i="1"/>
  <c r="T117" i="1"/>
  <c r="S117" i="1"/>
  <c r="R117" i="1"/>
  <c r="Q117" i="1"/>
  <c r="P117" i="1"/>
  <c r="N117" i="1"/>
  <c r="O117" i="1" s="1"/>
  <c r="V117" i="1" s="1"/>
  <c r="W117" i="1" s="1"/>
  <c r="U116" i="1"/>
  <c r="T116" i="1"/>
  <c r="S116" i="1"/>
  <c r="R116" i="1"/>
  <c r="Q116" i="1"/>
  <c r="P116" i="1"/>
  <c r="N116" i="1"/>
  <c r="O116" i="1" s="1"/>
  <c r="V116" i="1" s="1"/>
  <c r="W116" i="1" s="1"/>
  <c r="U115" i="1"/>
  <c r="T115" i="1"/>
  <c r="S115" i="1"/>
  <c r="R115" i="1"/>
  <c r="V115" i="1" s="1"/>
  <c r="W115" i="1" s="1"/>
  <c r="Q115" i="1"/>
  <c r="P115" i="1"/>
  <c r="N115" i="1"/>
  <c r="O115" i="1" s="1"/>
  <c r="U114" i="1"/>
  <c r="T114" i="1"/>
  <c r="S114" i="1"/>
  <c r="R114" i="1"/>
  <c r="Q114" i="1"/>
  <c r="P114" i="1"/>
  <c r="N114" i="1"/>
  <c r="O114" i="1" s="1"/>
  <c r="V114" i="1" s="1"/>
  <c r="W114" i="1" s="1"/>
  <c r="U113" i="1"/>
  <c r="T113" i="1"/>
  <c r="S113" i="1"/>
  <c r="R113" i="1"/>
  <c r="Q113" i="1"/>
  <c r="P113" i="1"/>
  <c r="O113" i="1"/>
  <c r="V113" i="1" s="1"/>
  <c r="W113" i="1" s="1"/>
  <c r="N113" i="1"/>
  <c r="U112" i="1"/>
  <c r="T112" i="1"/>
  <c r="S112" i="1"/>
  <c r="R112" i="1"/>
  <c r="Q112" i="1"/>
  <c r="P112" i="1"/>
  <c r="N112" i="1"/>
  <c r="O112" i="1" s="1"/>
  <c r="V112" i="1" s="1"/>
  <c r="W112" i="1" s="1"/>
  <c r="U111" i="1"/>
  <c r="T111" i="1"/>
  <c r="S111" i="1"/>
  <c r="R111" i="1"/>
  <c r="Q111" i="1"/>
  <c r="V111" i="1" s="1"/>
  <c r="W111" i="1" s="1"/>
  <c r="P111" i="1"/>
  <c r="N111" i="1"/>
  <c r="O111" i="1" s="1"/>
  <c r="U110" i="1"/>
  <c r="T110" i="1"/>
  <c r="S110" i="1"/>
  <c r="R110" i="1"/>
  <c r="Q110" i="1"/>
  <c r="P110" i="1"/>
  <c r="N110" i="1"/>
  <c r="O110" i="1" s="1"/>
  <c r="V110" i="1" s="1"/>
  <c r="W110" i="1" s="1"/>
  <c r="V109" i="1"/>
  <c r="W109" i="1" s="1"/>
  <c r="U109" i="1"/>
  <c r="T109" i="1"/>
  <c r="S109" i="1"/>
  <c r="R109" i="1"/>
  <c r="Q109" i="1"/>
  <c r="P109" i="1"/>
  <c r="N109" i="1"/>
  <c r="O109" i="1" s="1"/>
  <c r="U108" i="1"/>
  <c r="T108" i="1"/>
  <c r="V108" i="1" s="1"/>
  <c r="W108" i="1" s="1"/>
  <c r="S108" i="1"/>
  <c r="R108" i="1"/>
  <c r="Q108" i="1"/>
  <c r="P108" i="1"/>
  <c r="N108" i="1"/>
  <c r="O108" i="1" s="1"/>
  <c r="U107" i="1"/>
  <c r="T107" i="1"/>
  <c r="S107" i="1"/>
  <c r="R107" i="1"/>
  <c r="Q107" i="1"/>
  <c r="P107" i="1"/>
  <c r="O107" i="1"/>
  <c r="V107" i="1" s="1"/>
  <c r="W107" i="1" s="1"/>
  <c r="N107" i="1"/>
  <c r="U106" i="1"/>
  <c r="T106" i="1"/>
  <c r="S106" i="1"/>
  <c r="R106" i="1"/>
  <c r="Q106" i="1"/>
  <c r="P106" i="1"/>
  <c r="N106" i="1"/>
  <c r="O106" i="1" s="1"/>
  <c r="V106" i="1" s="1"/>
  <c r="W106" i="1" s="1"/>
  <c r="V105" i="1"/>
  <c r="W105" i="1" s="1"/>
  <c r="U105" i="1"/>
  <c r="T105" i="1"/>
  <c r="S105" i="1"/>
  <c r="R105" i="1"/>
  <c r="Q105" i="1"/>
  <c r="P105" i="1"/>
  <c r="N105" i="1"/>
  <c r="O105" i="1" s="1"/>
  <c r="U104" i="1"/>
  <c r="T104" i="1"/>
  <c r="S104" i="1"/>
  <c r="R104" i="1"/>
  <c r="Q104" i="1"/>
  <c r="P104" i="1"/>
  <c r="N104" i="1"/>
  <c r="O104" i="1" s="1"/>
  <c r="V104" i="1" s="1"/>
  <c r="W104" i="1" s="1"/>
  <c r="U103" i="1"/>
  <c r="T103" i="1"/>
  <c r="S103" i="1"/>
  <c r="R103" i="1"/>
  <c r="Q103" i="1"/>
  <c r="P103" i="1"/>
  <c r="N103" i="1"/>
  <c r="O103" i="1" s="1"/>
  <c r="V103" i="1" s="1"/>
  <c r="W103" i="1" s="1"/>
  <c r="U102" i="1"/>
  <c r="T102" i="1"/>
  <c r="S102" i="1"/>
  <c r="R102" i="1"/>
  <c r="Q102" i="1"/>
  <c r="P102" i="1"/>
  <c r="N102" i="1"/>
  <c r="O102" i="1" s="1"/>
  <c r="V102" i="1" s="1"/>
  <c r="W102" i="1" s="1"/>
  <c r="U101" i="1"/>
  <c r="T101" i="1"/>
  <c r="S101" i="1"/>
  <c r="R101" i="1"/>
  <c r="Q101" i="1"/>
  <c r="P101" i="1"/>
  <c r="N101" i="1"/>
  <c r="O101" i="1" s="1"/>
  <c r="V101" i="1" s="1"/>
  <c r="W101" i="1" s="1"/>
  <c r="U100" i="1"/>
  <c r="T100" i="1"/>
  <c r="S100" i="1"/>
  <c r="R100" i="1"/>
  <c r="Q100" i="1"/>
  <c r="P100" i="1"/>
  <c r="N100" i="1"/>
  <c r="O100" i="1" s="1"/>
  <c r="V100" i="1" s="1"/>
  <c r="W100" i="1" s="1"/>
  <c r="U99" i="1"/>
  <c r="T99" i="1"/>
  <c r="S99" i="1"/>
  <c r="R99" i="1"/>
  <c r="Q99" i="1"/>
  <c r="P99" i="1"/>
  <c r="O99" i="1"/>
  <c r="V99" i="1" s="1"/>
  <c r="W99" i="1" s="1"/>
  <c r="N99" i="1"/>
  <c r="U98" i="1"/>
  <c r="T98" i="1"/>
  <c r="S98" i="1"/>
  <c r="R98" i="1"/>
  <c r="Q98" i="1"/>
  <c r="P98" i="1"/>
  <c r="N98" i="1"/>
  <c r="O98" i="1" s="1"/>
  <c r="V98" i="1" s="1"/>
  <c r="W98" i="1" s="1"/>
  <c r="U97" i="1"/>
  <c r="T97" i="1"/>
  <c r="S97" i="1"/>
  <c r="R97" i="1"/>
  <c r="Q97" i="1"/>
  <c r="P97" i="1"/>
  <c r="V97" i="1" s="1"/>
  <c r="W97" i="1" s="1"/>
  <c r="N97" i="1"/>
  <c r="O97" i="1" s="1"/>
  <c r="U96" i="1"/>
  <c r="T96" i="1"/>
  <c r="V96" i="1" s="1"/>
  <c r="W96" i="1" s="1"/>
  <c r="S96" i="1"/>
  <c r="R96" i="1"/>
  <c r="Q96" i="1"/>
  <c r="P96" i="1"/>
  <c r="N96" i="1"/>
  <c r="O96" i="1" s="1"/>
  <c r="U95" i="1"/>
  <c r="T95" i="1"/>
  <c r="S95" i="1"/>
  <c r="R95" i="1"/>
  <c r="Q95" i="1"/>
  <c r="P95" i="1"/>
  <c r="O95" i="1"/>
  <c r="V95" i="1" s="1"/>
  <c r="W95" i="1" s="1"/>
  <c r="N95" i="1"/>
  <c r="U94" i="1"/>
  <c r="T94" i="1"/>
  <c r="S94" i="1"/>
  <c r="R94" i="1"/>
  <c r="Q94" i="1"/>
  <c r="P94" i="1"/>
  <c r="N94" i="1"/>
  <c r="O94" i="1" s="1"/>
  <c r="V94" i="1" s="1"/>
  <c r="W94" i="1" s="1"/>
  <c r="U93" i="1"/>
  <c r="T93" i="1"/>
  <c r="S93" i="1"/>
  <c r="R93" i="1"/>
  <c r="Q93" i="1"/>
  <c r="P93" i="1"/>
  <c r="N93" i="1"/>
  <c r="O93" i="1" s="1"/>
  <c r="V93" i="1" s="1"/>
  <c r="W93" i="1" s="1"/>
  <c r="U92" i="1"/>
  <c r="T92" i="1"/>
  <c r="S92" i="1"/>
  <c r="R92" i="1"/>
  <c r="Q92" i="1"/>
  <c r="P92" i="1"/>
  <c r="N92" i="1"/>
  <c r="O92" i="1" s="1"/>
  <c r="V92" i="1" s="1"/>
  <c r="W92" i="1" s="1"/>
  <c r="U91" i="1"/>
  <c r="T91" i="1"/>
  <c r="S91" i="1"/>
  <c r="V91" i="1" s="1"/>
  <c r="W91" i="1" s="1"/>
  <c r="R91" i="1"/>
  <c r="Q91" i="1"/>
  <c r="P91" i="1"/>
  <c r="N91" i="1"/>
  <c r="O91" i="1" s="1"/>
  <c r="U90" i="1"/>
  <c r="T90" i="1"/>
  <c r="S90" i="1"/>
  <c r="R90" i="1"/>
  <c r="Q90" i="1"/>
  <c r="P90" i="1"/>
  <c r="N90" i="1"/>
  <c r="O90" i="1" s="1"/>
  <c r="V90" i="1" s="1"/>
  <c r="W90" i="1" s="1"/>
  <c r="U89" i="1"/>
  <c r="T89" i="1"/>
  <c r="S89" i="1"/>
  <c r="R89" i="1"/>
  <c r="Q89" i="1"/>
  <c r="P89" i="1"/>
  <c r="N89" i="1"/>
  <c r="O89" i="1" s="1"/>
  <c r="V89" i="1" s="1"/>
  <c r="W89" i="1" s="1"/>
  <c r="U88" i="1"/>
  <c r="T88" i="1"/>
  <c r="S88" i="1"/>
  <c r="R88" i="1"/>
  <c r="Q88" i="1"/>
  <c r="P88" i="1"/>
  <c r="N88" i="1"/>
  <c r="O88" i="1" s="1"/>
  <c r="V88" i="1" s="1"/>
  <c r="W88" i="1" s="1"/>
  <c r="U87" i="1"/>
  <c r="T87" i="1"/>
  <c r="S87" i="1"/>
  <c r="R87" i="1"/>
  <c r="Q87" i="1"/>
  <c r="P87" i="1"/>
  <c r="N87" i="1"/>
  <c r="O87" i="1" s="1"/>
  <c r="V87" i="1" s="1"/>
  <c r="W87" i="1" s="1"/>
  <c r="U86" i="1"/>
  <c r="T86" i="1"/>
  <c r="S86" i="1"/>
  <c r="R86" i="1"/>
  <c r="Q86" i="1"/>
  <c r="P86" i="1"/>
  <c r="N86" i="1"/>
  <c r="O86" i="1" s="1"/>
  <c r="V86" i="1" s="1"/>
  <c r="W86" i="1" s="1"/>
  <c r="U85" i="1"/>
  <c r="T85" i="1"/>
  <c r="S85" i="1"/>
  <c r="R85" i="1"/>
  <c r="Q85" i="1"/>
  <c r="P85" i="1"/>
  <c r="N85" i="1"/>
  <c r="O85" i="1" s="1"/>
  <c r="V85" i="1" s="1"/>
  <c r="W85" i="1" s="1"/>
  <c r="U84" i="1"/>
  <c r="T84" i="1"/>
  <c r="S84" i="1"/>
  <c r="R84" i="1"/>
  <c r="Q84" i="1"/>
  <c r="P84" i="1"/>
  <c r="N84" i="1"/>
  <c r="O84" i="1" s="1"/>
  <c r="V84" i="1" s="1"/>
  <c r="W84" i="1" s="1"/>
  <c r="U83" i="1"/>
  <c r="T83" i="1"/>
  <c r="S83" i="1"/>
  <c r="R83" i="1"/>
  <c r="Q83" i="1"/>
  <c r="P83" i="1"/>
  <c r="N83" i="1"/>
  <c r="O83" i="1" s="1"/>
  <c r="V83" i="1" s="1"/>
  <c r="W83" i="1" s="1"/>
  <c r="U82" i="1"/>
  <c r="T82" i="1"/>
  <c r="S82" i="1"/>
  <c r="R82" i="1"/>
  <c r="Q82" i="1"/>
  <c r="P82" i="1"/>
  <c r="N82" i="1"/>
  <c r="O82" i="1" s="1"/>
  <c r="V82" i="1" s="1"/>
  <c r="W82" i="1" s="1"/>
  <c r="U81" i="1"/>
  <c r="T81" i="1"/>
  <c r="S81" i="1"/>
  <c r="R81" i="1"/>
  <c r="Q81" i="1"/>
  <c r="P81" i="1"/>
  <c r="O81" i="1"/>
  <c r="V81" i="1" s="1"/>
  <c r="W81" i="1" s="1"/>
  <c r="N81" i="1"/>
  <c r="U80" i="1"/>
  <c r="T80" i="1"/>
  <c r="S80" i="1"/>
  <c r="R80" i="1"/>
  <c r="Q80" i="1"/>
  <c r="P80" i="1"/>
  <c r="N80" i="1"/>
  <c r="O80" i="1" s="1"/>
  <c r="V80" i="1" s="1"/>
  <c r="W80" i="1" s="1"/>
  <c r="W79" i="1"/>
  <c r="V79" i="1"/>
  <c r="U79" i="1"/>
  <c r="T79" i="1"/>
  <c r="S79" i="1"/>
  <c r="R79" i="1"/>
  <c r="Q79" i="1"/>
  <c r="P79" i="1"/>
  <c r="N79" i="1"/>
  <c r="O79" i="1" s="1"/>
  <c r="U78" i="1"/>
  <c r="T78" i="1"/>
  <c r="V78" i="1" s="1"/>
  <c r="W78" i="1" s="1"/>
  <c r="S78" i="1"/>
  <c r="R78" i="1"/>
  <c r="Q78" i="1"/>
  <c r="P78" i="1"/>
  <c r="N78" i="1"/>
  <c r="O78" i="1" s="1"/>
  <c r="U77" i="1"/>
  <c r="T77" i="1"/>
  <c r="S77" i="1"/>
  <c r="R77" i="1"/>
  <c r="Q77" i="1"/>
  <c r="P77" i="1"/>
  <c r="O77" i="1"/>
  <c r="V77" i="1" s="1"/>
  <c r="W77" i="1" s="1"/>
  <c r="N77" i="1"/>
  <c r="U76" i="1"/>
  <c r="T76" i="1"/>
  <c r="S76" i="1"/>
  <c r="R76" i="1"/>
  <c r="Q76" i="1"/>
  <c r="P76" i="1"/>
  <c r="N76" i="1"/>
  <c r="O76" i="1" s="1"/>
  <c r="V76" i="1" s="1"/>
  <c r="W76" i="1" s="1"/>
  <c r="U75" i="1"/>
  <c r="T75" i="1"/>
  <c r="S75" i="1"/>
  <c r="R75" i="1"/>
  <c r="Q75" i="1"/>
  <c r="P75" i="1"/>
  <c r="N75" i="1"/>
  <c r="O75" i="1" s="1"/>
  <c r="V75" i="1" s="1"/>
  <c r="W75" i="1" s="1"/>
  <c r="U74" i="1"/>
  <c r="T74" i="1"/>
  <c r="S74" i="1"/>
  <c r="R74" i="1"/>
  <c r="Q74" i="1"/>
  <c r="P74" i="1"/>
  <c r="N74" i="1"/>
  <c r="O74" i="1" s="1"/>
  <c r="V74" i="1" s="1"/>
  <c r="W74" i="1" s="1"/>
  <c r="U73" i="1"/>
  <c r="T73" i="1"/>
  <c r="S73" i="1"/>
  <c r="V73" i="1" s="1"/>
  <c r="W73" i="1" s="1"/>
  <c r="R73" i="1"/>
  <c r="Q73" i="1"/>
  <c r="P73" i="1"/>
  <c r="N73" i="1"/>
  <c r="O73" i="1" s="1"/>
  <c r="U72" i="1"/>
  <c r="T72" i="1"/>
  <c r="S72" i="1"/>
  <c r="R72" i="1"/>
  <c r="Q72" i="1"/>
  <c r="P72" i="1"/>
  <c r="N72" i="1"/>
  <c r="O72" i="1" s="1"/>
  <c r="V72" i="1" s="1"/>
  <c r="W72" i="1" s="1"/>
  <c r="U71" i="1"/>
  <c r="T71" i="1"/>
  <c r="S71" i="1"/>
  <c r="R71" i="1"/>
  <c r="Q71" i="1"/>
  <c r="P71" i="1"/>
  <c r="N71" i="1"/>
  <c r="O71" i="1" s="1"/>
  <c r="V71" i="1" s="1"/>
  <c r="W71" i="1" s="1"/>
  <c r="U70" i="1"/>
  <c r="T70" i="1"/>
  <c r="S70" i="1"/>
  <c r="R70" i="1"/>
  <c r="Q70" i="1"/>
  <c r="P70" i="1"/>
  <c r="N70" i="1"/>
  <c r="O70" i="1" s="1"/>
  <c r="V70" i="1" s="1"/>
  <c r="W70" i="1" s="1"/>
  <c r="U69" i="1"/>
  <c r="T69" i="1"/>
  <c r="S69" i="1"/>
  <c r="R69" i="1"/>
  <c r="Q69" i="1"/>
  <c r="P69" i="1"/>
  <c r="N69" i="1"/>
  <c r="O69" i="1" s="1"/>
  <c r="V69" i="1" s="1"/>
  <c r="W69" i="1" s="1"/>
  <c r="U68" i="1"/>
  <c r="T68" i="1"/>
  <c r="S68" i="1"/>
  <c r="R68" i="1"/>
  <c r="Q68" i="1"/>
  <c r="P68" i="1"/>
  <c r="N68" i="1"/>
  <c r="O68" i="1" s="1"/>
  <c r="V68" i="1" s="1"/>
  <c r="W68" i="1" s="1"/>
  <c r="U67" i="1"/>
  <c r="T67" i="1"/>
  <c r="S67" i="1"/>
  <c r="R67" i="1"/>
  <c r="Q67" i="1"/>
  <c r="P67" i="1"/>
  <c r="N67" i="1"/>
  <c r="O67" i="1" s="1"/>
  <c r="V67" i="1" s="1"/>
  <c r="W67" i="1" s="1"/>
  <c r="U66" i="1"/>
  <c r="T66" i="1"/>
  <c r="S66" i="1"/>
  <c r="R66" i="1"/>
  <c r="Q66" i="1"/>
  <c r="P66" i="1"/>
  <c r="N66" i="1"/>
  <c r="O66" i="1" s="1"/>
  <c r="V66" i="1" s="1"/>
  <c r="W66" i="1" s="1"/>
  <c r="U65" i="1"/>
  <c r="T65" i="1"/>
  <c r="S65" i="1"/>
  <c r="R65" i="1"/>
  <c r="Q65" i="1"/>
  <c r="P65" i="1"/>
  <c r="N65" i="1"/>
  <c r="O65" i="1" s="1"/>
  <c r="V65" i="1" s="1"/>
  <c r="W65" i="1" s="1"/>
  <c r="U64" i="1"/>
  <c r="T64" i="1"/>
  <c r="S64" i="1"/>
  <c r="R64" i="1"/>
  <c r="Q64" i="1"/>
  <c r="V64" i="1" s="1"/>
  <c r="W64" i="1" s="1"/>
  <c r="P64" i="1"/>
  <c r="O64" i="1"/>
  <c r="N64" i="1"/>
  <c r="U63" i="1"/>
  <c r="T63" i="1"/>
  <c r="S63" i="1"/>
  <c r="R63" i="1"/>
  <c r="Q63" i="1"/>
  <c r="P63" i="1"/>
  <c r="O63" i="1"/>
  <c r="V63" i="1" s="1"/>
  <c r="W63" i="1" s="1"/>
  <c r="N63" i="1"/>
  <c r="U62" i="1"/>
  <c r="T62" i="1"/>
  <c r="S62" i="1"/>
  <c r="R62" i="1"/>
  <c r="Q62" i="1"/>
  <c r="P62" i="1"/>
  <c r="N62" i="1"/>
  <c r="O62" i="1" s="1"/>
  <c r="V62" i="1" s="1"/>
  <c r="W62" i="1" s="1"/>
  <c r="U61" i="1"/>
  <c r="T61" i="1"/>
  <c r="S61" i="1"/>
  <c r="R61" i="1"/>
  <c r="Q61" i="1"/>
  <c r="P61" i="1"/>
  <c r="N61" i="1"/>
  <c r="O61" i="1" s="1"/>
  <c r="V61" i="1" s="1"/>
  <c r="W61" i="1" s="1"/>
  <c r="V60" i="1"/>
  <c r="W60" i="1" s="1"/>
  <c r="U60" i="1"/>
  <c r="T60" i="1"/>
  <c r="S60" i="1"/>
  <c r="R60" i="1"/>
  <c r="Q60" i="1"/>
  <c r="P60" i="1"/>
  <c r="O60" i="1"/>
  <c r="N60" i="1"/>
  <c r="U59" i="1"/>
  <c r="T59" i="1"/>
  <c r="S59" i="1"/>
  <c r="R59" i="1"/>
  <c r="Q59" i="1"/>
  <c r="P59" i="1"/>
  <c r="N59" i="1"/>
  <c r="O59" i="1" s="1"/>
  <c r="V59" i="1" s="1"/>
  <c r="W59" i="1" s="1"/>
  <c r="U58" i="1"/>
  <c r="T58" i="1"/>
  <c r="S58" i="1"/>
  <c r="R58" i="1"/>
  <c r="Q58" i="1"/>
  <c r="V58" i="1" s="1"/>
  <c r="W58" i="1" s="1"/>
  <c r="P58" i="1"/>
  <c r="O58" i="1"/>
  <c r="N58" i="1"/>
  <c r="U57" i="1"/>
  <c r="T57" i="1"/>
  <c r="S57" i="1"/>
  <c r="R57" i="1"/>
  <c r="Q57" i="1"/>
  <c r="P57" i="1"/>
  <c r="O57" i="1"/>
  <c r="V57" i="1" s="1"/>
  <c r="W57" i="1" s="1"/>
  <c r="N57" i="1"/>
  <c r="U56" i="1"/>
  <c r="T56" i="1"/>
  <c r="S56" i="1"/>
  <c r="R56" i="1"/>
  <c r="Q56" i="1"/>
  <c r="P56" i="1"/>
  <c r="N56" i="1"/>
  <c r="O56" i="1" s="1"/>
  <c r="V56" i="1" s="1"/>
  <c r="W56" i="1" s="1"/>
  <c r="U55" i="1"/>
  <c r="T55" i="1"/>
  <c r="S55" i="1"/>
  <c r="R55" i="1"/>
  <c r="Q55" i="1"/>
  <c r="P55" i="1"/>
  <c r="N55" i="1"/>
  <c r="O55" i="1" s="1"/>
  <c r="V55" i="1" s="1"/>
  <c r="W55" i="1" s="1"/>
  <c r="V54" i="1"/>
  <c r="W54" i="1" s="1"/>
  <c r="U54" i="1"/>
  <c r="T54" i="1"/>
  <c r="S54" i="1"/>
  <c r="R54" i="1"/>
  <c r="Q54" i="1"/>
  <c r="P54" i="1"/>
  <c r="O54" i="1"/>
  <c r="N54" i="1"/>
  <c r="U53" i="1"/>
  <c r="T53" i="1"/>
  <c r="S53" i="1"/>
  <c r="R53" i="1"/>
  <c r="Q53" i="1"/>
  <c r="P53" i="1"/>
  <c r="N53" i="1"/>
  <c r="O53" i="1" s="1"/>
  <c r="V53" i="1" s="1"/>
  <c r="W53" i="1" s="1"/>
  <c r="U52" i="1"/>
  <c r="T52" i="1"/>
  <c r="S52" i="1"/>
  <c r="R52" i="1"/>
  <c r="Q52" i="1"/>
  <c r="V52" i="1" s="1"/>
  <c r="W52" i="1" s="1"/>
  <c r="P52" i="1"/>
  <c r="O52" i="1"/>
  <c r="N52" i="1"/>
  <c r="U51" i="1"/>
  <c r="T51" i="1"/>
  <c r="S51" i="1"/>
  <c r="R51" i="1"/>
  <c r="Q51" i="1"/>
  <c r="P51" i="1"/>
  <c r="O51" i="1"/>
  <c r="V51" i="1" s="1"/>
  <c r="W51" i="1" s="1"/>
  <c r="N51" i="1"/>
  <c r="U50" i="1"/>
  <c r="T50" i="1"/>
  <c r="S50" i="1"/>
  <c r="R50" i="1"/>
  <c r="Q50" i="1"/>
  <c r="P50" i="1"/>
  <c r="N50" i="1"/>
  <c r="O50" i="1" s="1"/>
  <c r="V50" i="1" s="1"/>
  <c r="W50" i="1" s="1"/>
  <c r="U49" i="1"/>
  <c r="T49" i="1"/>
  <c r="S49" i="1"/>
  <c r="R49" i="1"/>
  <c r="Q49" i="1"/>
  <c r="P49" i="1"/>
  <c r="N49" i="1"/>
  <c r="O49" i="1" s="1"/>
  <c r="V49" i="1" s="1"/>
  <c r="W49" i="1" s="1"/>
  <c r="V48" i="1"/>
  <c r="W48" i="1" s="1"/>
  <c r="U48" i="1"/>
  <c r="T48" i="1"/>
  <c r="S48" i="1"/>
  <c r="R48" i="1"/>
  <c r="Q48" i="1"/>
  <c r="P48" i="1"/>
  <c r="O48" i="1"/>
  <c r="N48" i="1"/>
  <c r="U47" i="1"/>
  <c r="T47" i="1"/>
  <c r="S47" i="1"/>
  <c r="R47" i="1"/>
  <c r="Q47" i="1"/>
  <c r="P47" i="1"/>
  <c r="N47" i="1"/>
  <c r="O47" i="1" s="1"/>
  <c r="V47" i="1" s="1"/>
  <c r="W47" i="1" s="1"/>
  <c r="U46" i="1"/>
  <c r="T46" i="1"/>
  <c r="S46" i="1"/>
  <c r="R46" i="1"/>
  <c r="Q46" i="1"/>
  <c r="V46" i="1" s="1"/>
  <c r="W46" i="1" s="1"/>
  <c r="P46" i="1"/>
  <c r="O46" i="1"/>
  <c r="N46" i="1"/>
  <c r="U45" i="1"/>
  <c r="T45" i="1"/>
  <c r="S45" i="1"/>
  <c r="R45" i="1"/>
  <c r="Q45" i="1"/>
  <c r="P45" i="1"/>
  <c r="O45" i="1"/>
  <c r="V45" i="1" s="1"/>
  <c r="W45" i="1" s="1"/>
  <c r="N45" i="1"/>
  <c r="U44" i="1"/>
  <c r="T44" i="1"/>
  <c r="S44" i="1"/>
  <c r="R44" i="1"/>
  <c r="Q44" i="1"/>
  <c r="P44" i="1"/>
  <c r="N44" i="1"/>
  <c r="O44" i="1" s="1"/>
  <c r="V44" i="1" s="1"/>
  <c r="W44" i="1" s="1"/>
  <c r="U43" i="1"/>
  <c r="T43" i="1"/>
  <c r="S43" i="1"/>
  <c r="R43" i="1"/>
  <c r="Q43" i="1"/>
  <c r="P43" i="1"/>
  <c r="N43" i="1"/>
  <c r="O43" i="1" s="1"/>
  <c r="V43" i="1" s="1"/>
  <c r="W43" i="1" s="1"/>
  <c r="V42" i="1"/>
  <c r="W42" i="1" s="1"/>
  <c r="U42" i="1"/>
  <c r="T42" i="1"/>
  <c r="S42" i="1"/>
  <c r="R42" i="1"/>
  <c r="Q42" i="1"/>
  <c r="P42" i="1"/>
  <c r="O42" i="1"/>
  <c r="N42" i="1"/>
  <c r="U41" i="1"/>
  <c r="T41" i="1"/>
  <c r="S41" i="1"/>
  <c r="R41" i="1"/>
  <c r="Q41" i="1"/>
  <c r="P41" i="1"/>
  <c r="N41" i="1"/>
  <c r="O41" i="1" s="1"/>
  <c r="V41" i="1" s="1"/>
  <c r="W41" i="1" s="1"/>
  <c r="U40" i="1"/>
  <c r="T40" i="1"/>
  <c r="S40" i="1"/>
  <c r="R40" i="1"/>
  <c r="Q40" i="1"/>
  <c r="V40" i="1" s="1"/>
  <c r="W40" i="1" s="1"/>
  <c r="P40" i="1"/>
  <c r="O40" i="1"/>
  <c r="N40" i="1"/>
  <c r="U39" i="1"/>
  <c r="T39" i="1"/>
  <c r="S39" i="1"/>
  <c r="R39" i="1"/>
  <c r="Q39" i="1"/>
  <c r="P39" i="1"/>
  <c r="O39" i="1"/>
  <c r="V39" i="1" s="1"/>
  <c r="W39" i="1" s="1"/>
  <c r="N39" i="1"/>
  <c r="U38" i="1"/>
  <c r="T38" i="1"/>
  <c r="S38" i="1"/>
  <c r="R38" i="1"/>
  <c r="Q38" i="1"/>
  <c r="P38" i="1"/>
  <c r="N38" i="1"/>
  <c r="O38" i="1" s="1"/>
  <c r="V38" i="1" s="1"/>
  <c r="W38" i="1" s="1"/>
  <c r="U37" i="1"/>
  <c r="T37" i="1"/>
  <c r="S37" i="1"/>
  <c r="R37" i="1"/>
  <c r="Q37" i="1"/>
  <c r="P37" i="1"/>
  <c r="N37" i="1"/>
  <c r="O37" i="1" s="1"/>
  <c r="V37" i="1" s="1"/>
  <c r="W37" i="1" s="1"/>
  <c r="V36" i="1"/>
  <c r="W36" i="1" s="1"/>
  <c r="U36" i="1"/>
  <c r="T36" i="1"/>
  <c r="S36" i="1"/>
  <c r="R36" i="1"/>
  <c r="Q36" i="1"/>
  <c r="P36" i="1"/>
  <c r="O36" i="1"/>
  <c r="N36" i="1"/>
  <c r="U35" i="1"/>
  <c r="T35" i="1"/>
  <c r="S35" i="1"/>
  <c r="R35" i="1"/>
  <c r="Q35" i="1"/>
  <c r="P35" i="1"/>
  <c r="N35" i="1"/>
  <c r="O35" i="1" s="1"/>
  <c r="V35" i="1" s="1"/>
  <c r="W35" i="1" s="1"/>
  <c r="U34" i="1"/>
  <c r="T34" i="1"/>
  <c r="S34" i="1"/>
  <c r="R34" i="1"/>
  <c r="Q34" i="1"/>
  <c r="V34" i="1" s="1"/>
  <c r="W34" i="1" s="1"/>
  <c r="P34" i="1"/>
  <c r="O34" i="1"/>
  <c r="N34" i="1"/>
  <c r="U33" i="1"/>
  <c r="T33" i="1"/>
  <c r="S33" i="1"/>
  <c r="R33" i="1"/>
  <c r="Q33" i="1"/>
  <c r="P33" i="1"/>
  <c r="O33" i="1"/>
  <c r="V33" i="1" s="1"/>
  <c r="W33" i="1" s="1"/>
  <c r="N33" i="1"/>
  <c r="U32" i="1"/>
  <c r="T32" i="1"/>
  <c r="S32" i="1"/>
  <c r="R32" i="1"/>
  <c r="Q32" i="1"/>
  <c r="P32" i="1"/>
  <c r="N32" i="1"/>
  <c r="O32" i="1" s="1"/>
  <c r="V32" i="1" s="1"/>
  <c r="W32" i="1" s="1"/>
  <c r="U31" i="1"/>
  <c r="T31" i="1"/>
  <c r="S31" i="1"/>
  <c r="R31" i="1"/>
  <c r="Q31" i="1"/>
  <c r="P31" i="1"/>
  <c r="N31" i="1"/>
  <c r="O31" i="1" s="1"/>
  <c r="V31" i="1" s="1"/>
  <c r="W31" i="1" s="1"/>
  <c r="V30" i="1"/>
  <c r="W30" i="1" s="1"/>
  <c r="U30" i="1"/>
  <c r="T30" i="1"/>
  <c r="S30" i="1"/>
  <c r="R30" i="1"/>
  <c r="Q30" i="1"/>
  <c r="P30" i="1"/>
  <c r="O30" i="1"/>
  <c r="N30" i="1"/>
  <c r="U29" i="1"/>
  <c r="T29" i="1"/>
  <c r="S29" i="1"/>
  <c r="R29" i="1"/>
  <c r="Q29" i="1"/>
  <c r="P29" i="1"/>
  <c r="N29" i="1"/>
  <c r="O29" i="1" s="1"/>
  <c r="V29" i="1" s="1"/>
  <c r="W29" i="1" s="1"/>
  <c r="U28" i="1"/>
  <c r="T28" i="1"/>
  <c r="S28" i="1"/>
  <c r="R28" i="1"/>
  <c r="Q28" i="1"/>
  <c r="V28" i="1" s="1"/>
  <c r="W28" i="1" s="1"/>
  <c r="P28" i="1"/>
  <c r="O28" i="1"/>
  <c r="N28" i="1"/>
  <c r="U27" i="1"/>
  <c r="T27" i="1"/>
  <c r="S27" i="1"/>
  <c r="R27" i="1"/>
  <c r="Q27" i="1"/>
  <c r="P27" i="1"/>
  <c r="O27" i="1"/>
  <c r="V27" i="1" s="1"/>
  <c r="W27" i="1" s="1"/>
  <c r="N27" i="1"/>
  <c r="U26" i="1"/>
  <c r="T26" i="1"/>
  <c r="S26" i="1"/>
  <c r="R26" i="1"/>
  <c r="Q26" i="1"/>
  <c r="P26" i="1"/>
  <c r="N26" i="1"/>
  <c r="O26" i="1" s="1"/>
  <c r="V26" i="1" s="1"/>
  <c r="W26" i="1" s="1"/>
  <c r="U25" i="1"/>
  <c r="T25" i="1"/>
  <c r="S25" i="1"/>
  <c r="R25" i="1"/>
  <c r="Q25" i="1"/>
  <c r="P25" i="1"/>
  <c r="N25" i="1"/>
  <c r="O25" i="1" s="1"/>
  <c r="V25" i="1" s="1"/>
  <c r="W25" i="1" s="1"/>
  <c r="V24" i="1"/>
  <c r="W24" i="1" s="1"/>
  <c r="U24" i="1"/>
  <c r="T24" i="1"/>
  <c r="S24" i="1"/>
  <c r="R24" i="1"/>
  <c r="Q24" i="1"/>
  <c r="P24" i="1"/>
  <c r="O24" i="1"/>
  <c r="N24" i="1"/>
  <c r="U23" i="1"/>
  <c r="T23" i="1"/>
  <c r="S23" i="1"/>
  <c r="R23" i="1"/>
  <c r="Q23" i="1"/>
  <c r="P23" i="1"/>
  <c r="N23" i="1"/>
  <c r="O23" i="1" s="1"/>
  <c r="V23" i="1" s="1"/>
  <c r="W23" i="1" s="1"/>
  <c r="U22" i="1"/>
  <c r="T22" i="1"/>
  <c r="S22" i="1"/>
  <c r="R22" i="1"/>
  <c r="Q22" i="1"/>
  <c r="V22" i="1" s="1"/>
  <c r="W22" i="1" s="1"/>
  <c r="P22" i="1"/>
  <c r="O22" i="1"/>
  <c r="N22" i="1"/>
  <c r="U21" i="1"/>
  <c r="T21" i="1"/>
  <c r="S21" i="1"/>
  <c r="R21" i="1"/>
  <c r="Q21" i="1"/>
  <c r="P21" i="1"/>
  <c r="O21" i="1"/>
  <c r="V21" i="1" s="1"/>
  <c r="W21" i="1" s="1"/>
  <c r="N21" i="1"/>
  <c r="U20" i="1"/>
  <c r="T20" i="1"/>
  <c r="S20" i="1"/>
  <c r="R20" i="1"/>
  <c r="Q20" i="1"/>
  <c r="P20" i="1"/>
  <c r="N20" i="1"/>
  <c r="O20" i="1" s="1"/>
  <c r="V20" i="1" s="1"/>
  <c r="W20" i="1" s="1"/>
  <c r="U19" i="1"/>
  <c r="T19" i="1"/>
  <c r="S19" i="1"/>
  <c r="R19" i="1"/>
  <c r="Q19" i="1"/>
  <c r="P19" i="1"/>
  <c r="N19" i="1"/>
  <c r="O19" i="1" s="1"/>
  <c r="V19" i="1" s="1"/>
  <c r="W19" i="1" s="1"/>
  <c r="V18" i="1"/>
  <c r="W18" i="1" s="1"/>
  <c r="U18" i="1"/>
  <c r="T18" i="1"/>
  <c r="S18" i="1"/>
  <c r="R18" i="1"/>
  <c r="Q18" i="1"/>
  <c r="P18" i="1"/>
  <c r="O18" i="1"/>
  <c r="N18" i="1"/>
  <c r="U17" i="1"/>
  <c r="T17" i="1"/>
  <c r="S17" i="1"/>
  <c r="R17" i="1"/>
  <c r="Q17" i="1"/>
  <c r="P17" i="1"/>
  <c r="N17" i="1"/>
  <c r="O17" i="1" s="1"/>
  <c r="V17" i="1" s="1"/>
  <c r="W17" i="1" s="1"/>
  <c r="U16" i="1"/>
  <c r="T16" i="1"/>
  <c r="S16" i="1"/>
  <c r="R16" i="1"/>
  <c r="Q16" i="1"/>
  <c r="V16" i="1" s="1"/>
  <c r="W16" i="1" s="1"/>
  <c r="P16" i="1"/>
  <c r="O16" i="1"/>
  <c r="N16" i="1"/>
  <c r="U15" i="1"/>
  <c r="T15" i="1"/>
  <c r="S15" i="1"/>
  <c r="R15" i="1"/>
  <c r="Q15" i="1"/>
  <c r="P15" i="1"/>
  <c r="O15" i="1"/>
  <c r="V15" i="1" s="1"/>
  <c r="W15" i="1" s="1"/>
  <c r="N15" i="1"/>
  <c r="U14" i="1"/>
  <c r="T14" i="1"/>
  <c r="S14" i="1"/>
  <c r="R14" i="1"/>
  <c r="Q14" i="1"/>
  <c r="P14" i="1"/>
  <c r="N14" i="1"/>
  <c r="O14" i="1" s="1"/>
  <c r="V14" i="1" s="1"/>
  <c r="W14" i="1" s="1"/>
  <c r="U13" i="1"/>
  <c r="T13" i="1"/>
  <c r="S13" i="1"/>
  <c r="R13" i="1"/>
  <c r="Q13" i="1"/>
  <c r="P13" i="1"/>
  <c r="N13" i="1"/>
  <c r="O13" i="1" s="1"/>
  <c r="V13" i="1" s="1"/>
  <c r="W13" i="1" s="1"/>
  <c r="V12" i="1"/>
  <c r="W12" i="1" s="1"/>
  <c r="U12" i="1"/>
  <c r="T12" i="1"/>
  <c r="S12" i="1"/>
  <c r="R12" i="1"/>
  <c r="Q12" i="1"/>
  <c r="P12" i="1"/>
  <c r="O12" i="1"/>
  <c r="N12" i="1"/>
  <c r="U11" i="1"/>
  <c r="T11" i="1"/>
  <c r="S11" i="1"/>
  <c r="R11" i="1"/>
  <c r="Q11" i="1"/>
  <c r="P11" i="1"/>
  <c r="N11" i="1"/>
  <c r="O11" i="1" s="1"/>
  <c r="V11" i="1" s="1"/>
  <c r="W11" i="1" s="1"/>
  <c r="U10" i="1"/>
  <c r="T10" i="1"/>
  <c r="S10" i="1"/>
  <c r="R10" i="1"/>
  <c r="Q10" i="1"/>
  <c r="V10" i="1" s="1"/>
  <c r="W10" i="1" s="1"/>
  <c r="P10" i="1"/>
  <c r="O10" i="1"/>
  <c r="N10" i="1"/>
  <c r="U9" i="1"/>
  <c r="T9" i="1"/>
  <c r="S9" i="1"/>
  <c r="R9" i="1"/>
  <c r="Q9" i="1"/>
  <c r="P9" i="1"/>
  <c r="O9" i="1"/>
  <c r="V9" i="1" s="1"/>
  <c r="W9" i="1" s="1"/>
  <c r="N9" i="1"/>
  <c r="U8" i="1"/>
  <c r="T8" i="1"/>
  <c r="S8" i="1"/>
  <c r="R8" i="1"/>
  <c r="Q8" i="1"/>
  <c r="P8" i="1"/>
  <c r="N8" i="1"/>
  <c r="O8" i="1" s="1"/>
  <c r="V8" i="1" s="1"/>
  <c r="W8" i="1" s="1"/>
  <c r="U7" i="1"/>
  <c r="T7" i="1"/>
  <c r="S7" i="1"/>
  <c r="R7" i="1"/>
  <c r="Q7" i="1"/>
  <c r="P7" i="1"/>
  <c r="N7" i="1"/>
  <c r="O7" i="1" s="1"/>
  <c r="V7" i="1" s="1"/>
  <c r="W7" i="1" s="1"/>
  <c r="V6" i="1"/>
  <c r="W6" i="1" s="1"/>
  <c r="U6" i="1"/>
  <c r="T6" i="1"/>
  <c r="S6" i="1"/>
  <c r="R6" i="1"/>
  <c r="Q6" i="1"/>
  <c r="P6" i="1"/>
  <c r="O6" i="1"/>
  <c r="N6" i="1"/>
  <c r="U5" i="1"/>
  <c r="T5" i="1"/>
  <c r="S5" i="1"/>
  <c r="R5" i="1"/>
  <c r="Q5" i="1"/>
  <c r="P5" i="1"/>
  <c r="N5" i="1"/>
  <c r="O5" i="1" s="1"/>
  <c r="V5" i="1" s="1"/>
  <c r="W5" i="1" s="1"/>
  <c r="U4" i="1"/>
  <c r="T4" i="1"/>
  <c r="S4" i="1"/>
  <c r="R4" i="1"/>
  <c r="Q4" i="1"/>
  <c r="V4" i="1" s="1"/>
  <c r="W4" i="1" s="1"/>
  <c r="P4" i="1"/>
  <c r="O4" i="1"/>
  <c r="N4" i="1"/>
  <c r="U3" i="1"/>
  <c r="T3" i="1"/>
  <c r="S3" i="1"/>
  <c r="R3" i="1"/>
  <c r="Q3" i="1"/>
  <c r="P3" i="1"/>
  <c r="O3" i="1"/>
  <c r="V3" i="1" s="1"/>
  <c r="W3" i="1" s="1"/>
  <c r="N3" i="1"/>
  <c r="U2" i="1"/>
  <c r="T2" i="1"/>
  <c r="S2" i="1"/>
  <c r="R2" i="1"/>
  <c r="Q2" i="1"/>
  <c r="P2" i="1"/>
  <c r="N2" i="1"/>
  <c r="O2" i="1" s="1"/>
  <c r="V2" i="1" s="1"/>
  <c r="W2" i="1" s="1"/>
  <c r="V130" i="1" l="1"/>
  <c r="W130" i="1" s="1"/>
  <c r="V143" i="1"/>
  <c r="W143" i="1" s="1"/>
  <c r="V166" i="1"/>
  <c r="W166" i="1" s="1"/>
  <c r="V253" i="1"/>
  <c r="W253" i="1" s="1"/>
  <c r="V288" i="1"/>
  <c r="W288" i="1" s="1"/>
  <c r="V381" i="1"/>
  <c r="W381" i="1" s="1"/>
  <c r="V495" i="1"/>
  <c r="W495" i="1" s="1"/>
  <c r="V363" i="1"/>
  <c r="W363" i="1" s="1"/>
  <c r="V174" i="1"/>
  <c r="W174" i="1" s="1"/>
  <c r="V284" i="1"/>
  <c r="W284" i="1" s="1"/>
  <c r="V293" i="1"/>
  <c r="W293" i="1" s="1"/>
  <c r="V144" i="1"/>
  <c r="W144" i="1" s="1"/>
  <c r="V254" i="1"/>
  <c r="W254" i="1" s="1"/>
  <c r="V283" i="1"/>
  <c r="W283" i="1" s="1"/>
  <c r="V289" i="1"/>
  <c r="W289" i="1" s="1"/>
  <c r="V295" i="1"/>
  <c r="W295" i="1" s="1"/>
  <c r="V298" i="1"/>
  <c r="W298" i="1" s="1"/>
  <c r="V167" i="1"/>
  <c r="W167" i="1" s="1"/>
  <c r="V340" i="1"/>
  <c r="W340" i="1" s="1"/>
  <c r="V451" i="1"/>
  <c r="W451" i="1" s="1"/>
  <c r="V147" i="1"/>
  <c r="W147" i="1" s="1"/>
  <c r="V150" i="1"/>
  <c r="W150" i="1" s="1"/>
  <c r="V257" i="1"/>
  <c r="W257" i="1" s="1"/>
  <c r="V260" i="1"/>
  <c r="W260" i="1" s="1"/>
  <c r="V292" i="1"/>
  <c r="W292" i="1" s="1"/>
  <c r="V306" i="1"/>
  <c r="W306" i="1" s="1"/>
  <c r="V326" i="1"/>
  <c r="W326" i="1" s="1"/>
  <c r="V370" i="1"/>
  <c r="W370" i="1" s="1"/>
  <c r="V376" i="1"/>
  <c r="W376" i="1" s="1"/>
  <c r="V448" i="1"/>
  <c r="W448" i="1" s="1"/>
  <c r="V476" i="1"/>
  <c r="W476" i="1" s="1"/>
  <c r="V137" i="1"/>
  <c r="W137" i="1" s="1"/>
  <c r="V160" i="1"/>
  <c r="W160" i="1" s="1"/>
  <c r="V173" i="1"/>
  <c r="W173" i="1" s="1"/>
  <c r="V270" i="1"/>
  <c r="W270" i="1" s="1"/>
  <c r="V276" i="1"/>
  <c r="W276" i="1" s="1"/>
  <c r="V319" i="1"/>
  <c r="W319" i="1" s="1"/>
  <c r="V423" i="1"/>
  <c r="W423" i="1" s="1"/>
  <c r="V153" i="1"/>
  <c r="W153" i="1" s="1"/>
  <c r="V156" i="1"/>
  <c r="W156" i="1" s="1"/>
  <c r="V263" i="1"/>
  <c r="W263" i="1" s="1"/>
  <c r="V266" i="1"/>
  <c r="W266" i="1" s="1"/>
  <c r="V282" i="1"/>
  <c r="W282" i="1" s="1"/>
  <c r="V297" i="1"/>
  <c r="W297" i="1" s="1"/>
  <c r="V303" i="1"/>
  <c r="W303" i="1" s="1"/>
  <c r="V304" i="1"/>
  <c r="W304" i="1" s="1"/>
  <c r="V322" i="1"/>
  <c r="W322" i="1" s="1"/>
  <c r="V358" i="1"/>
  <c r="W358" i="1" s="1"/>
  <c r="V369" i="1"/>
  <c r="W369" i="1" s="1"/>
  <c r="V386" i="1"/>
  <c r="W386" i="1" s="1"/>
  <c r="V401" i="1"/>
  <c r="W401" i="1" s="1"/>
  <c r="V439" i="1"/>
  <c r="W439" i="1" s="1"/>
  <c r="V440" i="1"/>
  <c r="W440" i="1" s="1"/>
  <c r="V470" i="1"/>
  <c r="W470" i="1" s="1"/>
  <c r="V471" i="1"/>
  <c r="W471" i="1" s="1"/>
  <c r="V307" i="1"/>
  <c r="W307" i="1" s="1"/>
  <c r="V355" i="1"/>
  <c r="W355" i="1" s="1"/>
  <c r="V388" i="1"/>
  <c r="W388" i="1" s="1"/>
  <c r="V417" i="1"/>
  <c r="W417" i="1" s="1"/>
  <c r="V424" i="1"/>
  <c r="W424" i="1" s="1"/>
  <c r="V433" i="1"/>
  <c r="W433" i="1" s="1"/>
  <c r="V455" i="1"/>
  <c r="W455" i="1" s="1"/>
  <c r="V464" i="1"/>
  <c r="W464" i="1" s="1"/>
  <c r="V480" i="1"/>
  <c r="W480" i="1" s="1"/>
  <c r="V489" i="1"/>
  <c r="W489" i="1" s="1"/>
  <c r="V523" i="1"/>
  <c r="W523" i="1" s="1"/>
  <c r="V529" i="1"/>
  <c r="W529" i="1" s="1"/>
  <c r="V548" i="1"/>
  <c r="W548" i="1" s="1"/>
  <c r="V400" i="1"/>
  <c r="W400" i="1" s="1"/>
  <c r="V486" i="1"/>
  <c r="W486" i="1" s="1"/>
  <c r="V504" i="1"/>
  <c r="W504" i="1" s="1"/>
  <c r="V510" i="1"/>
  <c r="W510" i="1" s="1"/>
  <c r="V519" i="1"/>
  <c r="W519" i="1" s="1"/>
  <c r="V537" i="1"/>
  <c r="W537" i="1" s="1"/>
  <c r="V565" i="1"/>
  <c r="W565" i="1" s="1"/>
  <c r="V406" i="1"/>
  <c r="W406" i="1" s="1"/>
  <c r="V460" i="1"/>
  <c r="W460" i="1" s="1"/>
  <c r="V485" i="1"/>
  <c r="W485" i="1" s="1"/>
  <c r="V528" i="1"/>
  <c r="W528" i="1" s="1"/>
  <c r="V543" i="1"/>
  <c r="W543" i="1" s="1"/>
  <c r="V399" i="1"/>
  <c r="W399" i="1" s="1"/>
  <c r="V444" i="1"/>
  <c r="W444" i="1" s="1"/>
  <c r="V453" i="1"/>
  <c r="W453" i="1" s="1"/>
  <c r="V459" i="1"/>
  <c r="W459" i="1" s="1"/>
  <c r="V500" i="1"/>
  <c r="W500" i="1" s="1"/>
  <c r="V518" i="1"/>
  <c r="W518" i="1" s="1"/>
  <c r="V561" i="1"/>
  <c r="W561" i="1" s="1"/>
  <c r="V573" i="1"/>
  <c r="W573" i="1" s="1"/>
  <c r="V418" i="1"/>
  <c r="W418" i="1" s="1"/>
  <c r="V450" i="1"/>
  <c r="W450" i="1" s="1"/>
  <c r="V465" i="1"/>
  <c r="W465" i="1" s="1"/>
  <c r="V514" i="1"/>
  <c r="W514" i="1" s="1"/>
  <c r="V533" i="1"/>
  <c r="W533" i="1" s="1"/>
  <c r="V320" i="1"/>
  <c r="W320" i="1" s="1"/>
  <c r="V332" i="1"/>
  <c r="W332" i="1" s="1"/>
  <c r="V367" i="1"/>
  <c r="W367" i="1" s="1"/>
  <c r="V374" i="1"/>
  <c r="W374" i="1" s="1"/>
  <c r="V382" i="1"/>
  <c r="W382" i="1" s="1"/>
  <c r="V411" i="1"/>
  <c r="W411" i="1" s="1"/>
  <c r="V443" i="1"/>
  <c r="W443" i="1" s="1"/>
  <c r="V481" i="1"/>
  <c r="W481" i="1" s="1"/>
  <c r="V499" i="1"/>
  <c r="W499" i="1" s="1"/>
  <c r="V505" i="1"/>
  <c r="W505" i="1" s="1"/>
  <c r="V524" i="1"/>
  <c r="W524" i="1" s="1"/>
  <c r="V560" i="1"/>
  <c r="W560" i="1" s="1"/>
  <c r="V449" i="1"/>
  <c r="W449" i="1" s="1"/>
  <c r="V538" i="1"/>
  <c r="W538" i="1" s="1"/>
  <c r="V557" i="1"/>
  <c r="W557" i="1" s="1"/>
  <c r="V569" i="1"/>
  <c r="W569" i="1" s="1"/>
  <c r="V487" i="1"/>
  <c r="W487" i="1" s="1"/>
  <c r="V511" i="1"/>
  <c r="W511" i="1" s="1"/>
  <c r="V535" i="1"/>
  <c r="W535" i="1" s="1"/>
  <c r="V571" i="1"/>
  <c r="W571" i="1" s="1"/>
</calcChain>
</file>

<file path=xl/sharedStrings.xml><?xml version="1.0" encoding="utf-8"?>
<sst xmlns="http://schemas.openxmlformats.org/spreadsheetml/2006/main" count="5324" uniqueCount="645">
  <si>
    <t>年级编号</t>
  </si>
  <si>
    <r>
      <rPr>
        <sz val="10"/>
        <rFont val="Arial"/>
        <family val="2"/>
      </rPr>
      <t>班级名称</t>
    </r>
  </si>
  <si>
    <r>
      <rPr>
        <sz val="10"/>
        <rFont val="Arial"/>
        <family val="2"/>
      </rPr>
      <t>学号</t>
    </r>
  </si>
  <si>
    <r>
      <rPr>
        <sz val="10"/>
        <rFont val="Arial"/>
        <family val="2"/>
      </rPr>
      <t>姓名</t>
    </r>
  </si>
  <si>
    <r>
      <rPr>
        <sz val="10"/>
        <rFont val="Arial"/>
        <family val="2"/>
      </rPr>
      <t>身高（厘米）</t>
    </r>
  </si>
  <si>
    <r>
      <rPr>
        <sz val="10"/>
        <rFont val="Arial"/>
        <family val="2"/>
      </rPr>
      <t>体重（公斤）</t>
    </r>
  </si>
  <si>
    <r>
      <rPr>
        <sz val="10"/>
        <rFont val="Arial"/>
        <family val="2"/>
      </rPr>
      <t>肺活量（毫升）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</si>
  <si>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米跑（</t>
    </r>
    <r>
      <rPr>
        <sz val="10"/>
        <rFont val="Arial"/>
        <family val="2"/>
      </rPr>
      <t>0.00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</si>
  <si>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立定跳远（厘米）</t>
    </r>
  </si>
  <si>
    <r>
      <rPr>
        <sz val="10"/>
        <rFont val="Arial"/>
        <family val="2"/>
      </rPr>
      <t>坐位体前屈（厘米）</t>
    </r>
  </si>
  <si>
    <r>
      <rPr>
        <sz val="10"/>
        <rFont val="Arial"/>
        <family val="2"/>
      </rPr>
      <t>1000</t>
    </r>
    <r>
      <rPr>
        <sz val="10"/>
        <rFont val="宋体"/>
        <family val="3"/>
        <charset val="134"/>
      </rPr>
      <t>米跑（</t>
    </r>
    <r>
      <rPr>
        <sz val="10"/>
        <rFont val="Arial"/>
        <family val="2"/>
      </rPr>
      <t>0‘00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</si>
  <si>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引体向上（个）</t>
    </r>
  </si>
  <si>
    <r>
      <rPr>
        <sz val="10"/>
        <rFont val="Arial"/>
        <family val="2"/>
      </rPr>
      <t>体重/身高指数</t>
    </r>
  </si>
  <si>
    <r>
      <rPr>
        <sz val="10"/>
        <rFont val="Arial"/>
        <family val="2"/>
      </rPr>
      <t>身高体重分值（0.15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</si>
  <si>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肺活量体重分值（0.15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</si>
  <si>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米跑分值（</t>
    </r>
    <r>
      <rPr>
        <sz val="10"/>
        <rFont val="Arial"/>
        <family val="2"/>
      </rPr>
      <t>0.2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</si>
  <si>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立定跳远分值（</t>
    </r>
    <r>
      <rPr>
        <sz val="10"/>
        <rFont val="Arial"/>
        <family val="2"/>
      </rPr>
      <t>0.1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</si>
  <si>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坐位体前屈分值（</t>
    </r>
    <r>
      <rPr>
        <sz val="10"/>
        <rFont val="Arial"/>
        <family val="2"/>
      </rPr>
      <t>0.1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</si>
  <si>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1000</t>
    </r>
    <r>
      <rPr>
        <sz val="10"/>
        <rFont val="宋体"/>
        <family val="3"/>
        <charset val="134"/>
      </rPr>
      <t>米跑分值（</t>
    </r>
    <r>
      <rPr>
        <sz val="10"/>
        <rFont val="Arial"/>
        <family val="2"/>
      </rPr>
      <t>0.2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</si>
  <si>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引体向上分值（</t>
    </r>
    <r>
      <rPr>
        <sz val="10"/>
        <rFont val="Arial"/>
        <family val="2"/>
      </rPr>
      <t>0.1</t>
    </r>
    <r>
      <rPr>
        <sz val="10"/>
        <rFont val="宋体"/>
        <family val="3"/>
        <charset val="134"/>
      </rPr>
      <t>）</t>
    </r>
  </si>
  <si>
    <r>
      <rPr>
        <sz val="10"/>
        <rFont val="Arial"/>
        <family val="2"/>
      </rPr>
      <t>总分</t>
    </r>
  </si>
  <si>
    <r>
      <rPr>
        <sz val="10"/>
        <rFont val="Arial"/>
        <family val="2"/>
      </rPr>
      <t>等级</t>
    </r>
  </si>
  <si>
    <t>初中2023级01班</t>
  </si>
  <si>
    <t>4'15</t>
  </si>
  <si>
    <t>4'06</t>
  </si>
  <si>
    <t>4'14</t>
  </si>
  <si>
    <t>4'20</t>
  </si>
  <si>
    <t>4'25</t>
  </si>
  <si>
    <t>4'43</t>
  </si>
  <si>
    <t>4'18</t>
  </si>
  <si>
    <t>4'37</t>
  </si>
  <si>
    <t>3'56</t>
  </si>
  <si>
    <t>3'44</t>
  </si>
  <si>
    <t>3'54</t>
  </si>
  <si>
    <t>3'46</t>
  </si>
  <si>
    <t>3'59</t>
  </si>
  <si>
    <t>4'22</t>
  </si>
  <si>
    <t>3'58</t>
  </si>
  <si>
    <t>4'12</t>
  </si>
  <si>
    <t>4'09</t>
  </si>
  <si>
    <t>初中2023级02班</t>
  </si>
  <si>
    <t>3'36</t>
  </si>
  <si>
    <t>3'55</t>
  </si>
  <si>
    <t>4'04</t>
  </si>
  <si>
    <t>3'51</t>
  </si>
  <si>
    <t>4'45</t>
  </si>
  <si>
    <t>3'31</t>
  </si>
  <si>
    <t>3'45</t>
  </si>
  <si>
    <t>3'57</t>
  </si>
  <si>
    <t>4'24</t>
  </si>
  <si>
    <t>4'16</t>
  </si>
  <si>
    <t>4'42</t>
  </si>
  <si>
    <t>3'43</t>
  </si>
  <si>
    <t>4'07</t>
  </si>
  <si>
    <t>4'00</t>
  </si>
  <si>
    <t>3'35</t>
  </si>
  <si>
    <t>3'50</t>
  </si>
  <si>
    <t>初中2023级03班</t>
  </si>
  <si>
    <t>4'47</t>
  </si>
  <si>
    <t>3'34</t>
  </si>
  <si>
    <t>4'02</t>
  </si>
  <si>
    <t>3'27</t>
  </si>
  <si>
    <t>3'26</t>
  </si>
  <si>
    <t>3'38</t>
  </si>
  <si>
    <t>3'32</t>
  </si>
  <si>
    <t>3'40</t>
  </si>
  <si>
    <t>4'48</t>
  </si>
  <si>
    <t>5'00</t>
  </si>
  <si>
    <t>4'03</t>
  </si>
  <si>
    <t>初中2023级04班</t>
  </si>
  <si>
    <t>4'30</t>
  </si>
  <si>
    <t>4'50</t>
  </si>
  <si>
    <t>4'08</t>
  </si>
  <si>
    <t>3'33</t>
  </si>
  <si>
    <t>4'59</t>
  </si>
  <si>
    <t>4'35</t>
  </si>
  <si>
    <t>4'13</t>
  </si>
  <si>
    <t>4'27</t>
  </si>
  <si>
    <t>4'49</t>
  </si>
  <si>
    <t>初中2023级05班</t>
  </si>
  <si>
    <t>4'58</t>
  </si>
  <si>
    <t>3'23</t>
  </si>
  <si>
    <t>3'18</t>
  </si>
  <si>
    <t>3'37</t>
  </si>
  <si>
    <t>4'19</t>
  </si>
  <si>
    <t>4'21</t>
  </si>
  <si>
    <t>初中2023级06班</t>
  </si>
  <si>
    <t>3'42</t>
  </si>
  <si>
    <t>3'08</t>
  </si>
  <si>
    <t>3'12</t>
  </si>
  <si>
    <t>3'29</t>
  </si>
  <si>
    <t>3'30</t>
  </si>
  <si>
    <t>初中2023级07班</t>
  </si>
  <si>
    <t>4'39</t>
  </si>
  <si>
    <t>3'10</t>
  </si>
  <si>
    <t>4'34</t>
  </si>
  <si>
    <t>4'28</t>
  </si>
  <si>
    <t>4'32</t>
  </si>
  <si>
    <t>4'51</t>
  </si>
  <si>
    <t>4'05</t>
  </si>
  <si>
    <t>3'09</t>
  </si>
  <si>
    <t>3'28</t>
  </si>
  <si>
    <t>169.0</t>
  </si>
  <si>
    <t>48.4</t>
  </si>
  <si>
    <t>161.0</t>
  </si>
  <si>
    <t>41.8</t>
  </si>
  <si>
    <t>151.0</t>
  </si>
  <si>
    <t>38.2</t>
  </si>
  <si>
    <t>170.0</t>
  </si>
  <si>
    <t>67.3</t>
  </si>
  <si>
    <t>初中2023级08班</t>
  </si>
  <si>
    <t>176.2</t>
  </si>
  <si>
    <t>52.0</t>
  </si>
  <si>
    <t>3'49</t>
  </si>
  <si>
    <t>173.0</t>
  </si>
  <si>
    <t>61.9</t>
  </si>
  <si>
    <t>164.2</t>
  </si>
  <si>
    <t>64.5</t>
  </si>
  <si>
    <t>150.0</t>
  </si>
  <si>
    <t>31.4</t>
  </si>
  <si>
    <t>4'44</t>
  </si>
  <si>
    <t>171.0</t>
  </si>
  <si>
    <t>71.8</t>
  </si>
  <si>
    <t>174.5</t>
  </si>
  <si>
    <t>60.2</t>
  </si>
  <si>
    <t>166.1</t>
  </si>
  <si>
    <t>49.6</t>
  </si>
  <si>
    <t>175.8</t>
  </si>
  <si>
    <t>68.0</t>
  </si>
  <si>
    <t>167.0</t>
  </si>
  <si>
    <t>58.1</t>
  </si>
  <si>
    <t>43.0</t>
  </si>
  <si>
    <t>177.0</t>
  </si>
  <si>
    <t>53.5</t>
  </si>
  <si>
    <t>168.0</t>
  </si>
  <si>
    <t>47.0</t>
  </si>
  <si>
    <t>164.0</t>
  </si>
  <si>
    <t>4'10</t>
  </si>
  <si>
    <t>167.6</t>
  </si>
  <si>
    <t>54.5</t>
  </si>
  <si>
    <t>160.6</t>
  </si>
  <si>
    <t>40.0</t>
  </si>
  <si>
    <t>54.6</t>
  </si>
  <si>
    <t>158.0</t>
  </si>
  <si>
    <t>42.0</t>
  </si>
  <si>
    <t>4'11</t>
  </si>
  <si>
    <t>154.0</t>
  </si>
  <si>
    <t>55.7</t>
  </si>
  <si>
    <t>56.1</t>
  </si>
  <si>
    <t>74.3</t>
  </si>
  <si>
    <t>90.4</t>
  </si>
  <si>
    <t>3'17</t>
  </si>
  <si>
    <t>3'19</t>
  </si>
  <si>
    <t>3'20</t>
  </si>
  <si>
    <t>3'22</t>
  </si>
  <si>
    <t>3'24</t>
  </si>
  <si>
    <t>3'04</t>
  </si>
  <si>
    <t>3'47</t>
  </si>
  <si>
    <t>4'01</t>
  </si>
  <si>
    <t>3'39</t>
  </si>
  <si>
    <t>3'41</t>
  </si>
  <si>
    <t>3'14</t>
  </si>
  <si>
    <t>表1-3 男生肺活量单项评分表（单位：毫升）</t>
  </si>
  <si>
    <t>等级</t>
  </si>
  <si>
    <t>单项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</si>
  <si>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</si>
  <si>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</si>
  <si>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</si>
  <si>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</si>
  <si>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</si>
  <si>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</si>
  <si>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</si>
  <si>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初二</t>
  </si>
  <si>
    <t>初三</t>
  </si>
  <si>
    <t>高一</t>
  </si>
  <si>
    <t>高二</t>
  </si>
  <si>
    <t>高三</t>
  </si>
  <si>
    <t>得分</t>
  </si>
  <si>
    <t>不及格</t>
  </si>
  <si>
    <t>及格</t>
  </si>
  <si>
    <t>良好</t>
  </si>
  <si>
    <t>优秀</t>
  </si>
  <si>
    <t>表1-1 男生体重指数（BMI）单项评分表（单位：千克/米）</t>
  </si>
  <si>
    <t>低体重</t>
  </si>
  <si>
    <t>正常</t>
  </si>
  <si>
    <t>超重</t>
  </si>
  <si>
    <t>肥胖</t>
  </si>
  <si>
    <t>表1-11 男生立定跳远单项评分表（单位：厘米）</t>
  </si>
  <si>
    <t>表1-7 男生坐位体前屈单项评分表（单位：厘米）</t>
  </si>
  <si>
    <r>
      <rPr>
        <b/>
        <sz val="9"/>
        <color indexed="63"/>
        <rFont val="宋体"/>
        <family val="3"/>
        <charset val="134"/>
      </rPr>
      <t>表</t>
    </r>
    <r>
      <rPr>
        <b/>
        <sz val="9"/>
        <color indexed="63"/>
        <rFont val="Arial"/>
        <family val="2"/>
      </rPr>
      <t xml:space="preserve">1-13 </t>
    </r>
    <r>
      <rPr>
        <b/>
        <sz val="9"/>
        <color indexed="63"/>
        <rFont val="宋体"/>
        <family val="3"/>
        <charset val="134"/>
      </rPr>
      <t>男生引体向上单项评分表（单位：次）</t>
    </r>
  </si>
  <si>
    <t>　　</t>
  </si>
  <si>
    <t>大学</t>
  </si>
  <si>
    <t>≤13.4</t>
  </si>
  <si>
    <t>≤13.6</t>
  </si>
  <si>
    <t>≤13.8</t>
  </si>
  <si>
    <t>≤14.1</t>
  </si>
  <si>
    <t>≤14.3</t>
  </si>
  <si>
    <t>≤14.6</t>
  </si>
  <si>
    <t>≤15.4</t>
  </si>
  <si>
    <t>≤15.6</t>
  </si>
  <si>
    <t>≤15.7</t>
  </si>
  <si>
    <t>≤16.4</t>
  </si>
  <si>
    <t>≤16.7</t>
  </si>
  <si>
    <t>≤17.2</t>
  </si>
  <si>
    <t>≤17.8</t>
  </si>
  <si>
    <t>≥20.4</t>
  </si>
  <si>
    <t>≥20.5</t>
  </si>
  <si>
    <t>≥22.2</t>
  </si>
  <si>
    <t>≥22.7</t>
  </si>
  <si>
    <t>≥24.2</t>
  </si>
  <si>
    <t>≥24.6</t>
  </si>
  <si>
    <t>≥25.0</t>
  </si>
  <si>
    <t>≥25.3</t>
  </si>
  <si>
    <t>≥26.1</t>
  </si>
  <si>
    <t>≥26.4</t>
  </si>
  <si>
    <t>≥26.6</t>
  </si>
  <si>
    <t>≥27.4</t>
  </si>
  <si>
    <t>≥28.0</t>
  </si>
  <si>
    <t>表1-2 女生体重指数（BMI）单项评分表（单位：千克/米）</t>
  </si>
  <si>
    <t>单项得分</t>
  </si>
  <si>
    <t>≤13.2</t>
  </si>
  <si>
    <t>≤13.5</t>
  </si>
  <si>
    <t>≤13.7</t>
  </si>
  <si>
    <t>≤14.7</t>
  </si>
  <si>
    <t>≤15.2</t>
  </si>
  <si>
    <t>≤15.9</t>
  </si>
  <si>
    <t>≤16.8</t>
  </si>
  <si>
    <t>≤17.0</t>
  </si>
  <si>
    <t>≤17.1</t>
  </si>
  <si>
    <t>≥19.3</t>
  </si>
  <si>
    <t>≥20.3</t>
  </si>
  <si>
    <t>≥21.2</t>
  </si>
  <si>
    <t>≥22.1</t>
  </si>
  <si>
    <t>≥23.0</t>
  </si>
  <si>
    <t>≥23.7</t>
  </si>
  <si>
    <t>≥24.5</t>
  </si>
  <si>
    <t>≥24.9</t>
  </si>
  <si>
    <t>≥25.2</t>
  </si>
  <si>
    <t>≥25.5</t>
  </si>
  <si>
    <t>≥25.8</t>
  </si>
  <si>
    <t>大一</t>
  </si>
  <si>
    <t>大三</t>
  </si>
  <si>
    <t>大二</t>
  </si>
  <si>
    <t>大四</t>
  </si>
  <si>
    <t>表1-4 女生肺活量单项评分表（单位：毫升）</t>
  </si>
  <si>
    <t>表1-5 男生50米跑单项评分表（单位：秒）</t>
  </si>
  <si>
    <t>9,21</t>
  </si>
  <si>
    <t>表1-6 女生50米跑单项评分表（单位：秒）</t>
  </si>
  <si>
    <t>表1-8 女生坐位体前屈单项评分表（单位：厘米）</t>
  </si>
  <si>
    <t>表1-9 男生一分钟跳绳单项评分表（单位：次）</t>
  </si>
  <si>
    <t>表1-10 女生一分钟跳绳单项评分表（单位：次）</t>
  </si>
  <si>
    <t>大一大二</t>
  </si>
  <si>
    <t>大三大四</t>
  </si>
  <si>
    <t>表1-12 女生立定跳远单项评分表（单位：厘米）</t>
  </si>
  <si>
    <r>
      <rPr>
        <b/>
        <sz val="9"/>
        <color indexed="63"/>
        <rFont val="宋体"/>
        <family val="3"/>
        <charset val="134"/>
      </rPr>
      <t>表</t>
    </r>
    <r>
      <rPr>
        <b/>
        <sz val="9"/>
        <color indexed="63"/>
        <rFont val="Arial"/>
        <family val="2"/>
      </rPr>
      <t xml:space="preserve">1-13 </t>
    </r>
    <r>
      <rPr>
        <b/>
        <sz val="9"/>
        <color indexed="63"/>
        <rFont val="宋体"/>
        <family val="3"/>
        <charset val="134"/>
      </rPr>
      <t>男生一分钟仰卧起坐（单位：次）</t>
    </r>
  </si>
  <si>
    <t>表1-14 女生一分钟仰卧起坐单项评分表（单位：次）</t>
  </si>
  <si>
    <t>表1-15 男生耐力跑单项评分表（单位：分·秒）</t>
  </si>
  <si>
    <t>2'00</t>
  </si>
  <si>
    <t>3'15</t>
  </si>
  <si>
    <t>3'05</t>
  </si>
  <si>
    <t>2'55</t>
  </si>
  <si>
    <t>2'50</t>
  </si>
  <si>
    <t>2'45</t>
  </si>
  <si>
    <t>3'21</t>
  </si>
  <si>
    <t>3'16</t>
  </si>
  <si>
    <t>3'06</t>
  </si>
  <si>
    <t>2'56</t>
  </si>
  <si>
    <t>2'51</t>
  </si>
  <si>
    <t>2'46</t>
  </si>
  <si>
    <t>2'58</t>
  </si>
  <si>
    <t>2'53</t>
  </si>
  <si>
    <t>2'48</t>
  </si>
  <si>
    <t>2'59</t>
  </si>
  <si>
    <t>2'54</t>
  </si>
  <si>
    <t>2'49</t>
  </si>
  <si>
    <t>3'11</t>
  </si>
  <si>
    <t>3'01</t>
  </si>
  <si>
    <t>3'02</t>
  </si>
  <si>
    <t>2'57</t>
  </si>
  <si>
    <t>2'52</t>
  </si>
  <si>
    <t>3'25</t>
  </si>
  <si>
    <t>3'00</t>
  </si>
  <si>
    <t>3'07</t>
  </si>
  <si>
    <t>3'03</t>
  </si>
  <si>
    <t>3'39'</t>
  </si>
  <si>
    <t>3'13</t>
  </si>
  <si>
    <t>3'48</t>
  </si>
  <si>
    <t>0'50</t>
  </si>
  <si>
    <t>3'52</t>
  </si>
  <si>
    <t>1'36</t>
  </si>
  <si>
    <t>1'30</t>
  </si>
  <si>
    <t>1'37</t>
  </si>
  <si>
    <t>1'31</t>
  </si>
  <si>
    <t>1'39</t>
  </si>
  <si>
    <t>1'33</t>
  </si>
  <si>
    <t>1'40</t>
  </si>
  <si>
    <t>1'34</t>
  </si>
  <si>
    <t>1'42</t>
  </si>
  <si>
    <t>1'43</t>
  </si>
  <si>
    <t>1'45</t>
  </si>
  <si>
    <t>1'46</t>
  </si>
  <si>
    <t>4'23</t>
  </si>
  <si>
    <t>1'48</t>
  </si>
  <si>
    <t>1'49</t>
  </si>
  <si>
    <t>4'31</t>
  </si>
  <si>
    <t>1'51</t>
  </si>
  <si>
    <t>1'52</t>
  </si>
  <si>
    <t>4'36</t>
  </si>
  <si>
    <t>1'54</t>
  </si>
  <si>
    <t>4'40</t>
  </si>
  <si>
    <t>1'55</t>
  </si>
  <si>
    <t>4'41</t>
  </si>
  <si>
    <t>4'26</t>
  </si>
  <si>
    <t>1'57</t>
  </si>
  <si>
    <t>1'58</t>
  </si>
  <si>
    <t>4'46</t>
  </si>
  <si>
    <t>2'01</t>
  </si>
  <si>
    <t>2'03</t>
  </si>
  <si>
    <t>4'55</t>
  </si>
  <si>
    <t>2'04</t>
  </si>
  <si>
    <t>4'56</t>
  </si>
  <si>
    <t>2'06</t>
  </si>
  <si>
    <t>2'07</t>
  </si>
  <si>
    <t>5'01</t>
  </si>
  <si>
    <t>4'21'</t>
  </si>
  <si>
    <t>2'09</t>
  </si>
  <si>
    <t>5'05</t>
  </si>
  <si>
    <t>4'17</t>
  </si>
  <si>
    <t>2'10</t>
  </si>
  <si>
    <t>5'06</t>
  </si>
  <si>
    <t>2'12</t>
  </si>
  <si>
    <t>5'10</t>
  </si>
  <si>
    <t>2'13</t>
  </si>
  <si>
    <t>5'11</t>
  </si>
  <si>
    <t>2'15</t>
  </si>
  <si>
    <t>5'15</t>
  </si>
  <si>
    <t>2'16</t>
  </si>
  <si>
    <t>5'16</t>
  </si>
  <si>
    <t>2'18</t>
  </si>
  <si>
    <t>5'20</t>
  </si>
  <si>
    <t>2'19</t>
  </si>
  <si>
    <t>5'21</t>
  </si>
  <si>
    <t>2'22</t>
  </si>
  <si>
    <t>5'40</t>
  </si>
  <si>
    <t>5'25</t>
  </si>
  <si>
    <t>4'52</t>
  </si>
  <si>
    <t>2'21</t>
  </si>
  <si>
    <t>2'17</t>
  </si>
  <si>
    <t>5'41</t>
  </si>
  <si>
    <t>5'26</t>
  </si>
  <si>
    <t>2'26</t>
  </si>
  <si>
    <t>2'20</t>
  </si>
  <si>
    <t>6'00</t>
  </si>
  <si>
    <t>5'45</t>
  </si>
  <si>
    <t>5'35</t>
  </si>
  <si>
    <t>5'12</t>
  </si>
  <si>
    <t>2'27</t>
  </si>
  <si>
    <t>6'01</t>
  </si>
  <si>
    <t>5'46</t>
  </si>
  <si>
    <t>5'36</t>
  </si>
  <si>
    <t>6'26</t>
  </si>
  <si>
    <t>2'30</t>
  </si>
  <si>
    <t>2'24</t>
  </si>
  <si>
    <t>6'20</t>
  </si>
  <si>
    <t>6'05</t>
  </si>
  <si>
    <t>5'55</t>
  </si>
  <si>
    <t>5'32</t>
  </si>
  <si>
    <t>5'30</t>
  </si>
  <si>
    <t>2'31</t>
  </si>
  <si>
    <t>2'25</t>
  </si>
  <si>
    <t>6'21</t>
  </si>
  <si>
    <t>6'06</t>
  </si>
  <si>
    <t>5'56</t>
  </si>
  <si>
    <t>2'34</t>
  </si>
  <si>
    <t>2'28</t>
  </si>
  <si>
    <t>6'40</t>
  </si>
  <si>
    <t>6'25</t>
  </si>
  <si>
    <t>6'15</t>
  </si>
  <si>
    <t>5'52</t>
  </si>
  <si>
    <t>5'50</t>
  </si>
  <si>
    <t>2'35</t>
  </si>
  <si>
    <t>2'29</t>
  </si>
  <si>
    <t>6'41</t>
  </si>
  <si>
    <t>6'16</t>
  </si>
  <si>
    <t>2'38</t>
  </si>
  <si>
    <t>2'32</t>
  </si>
  <si>
    <t>7'00</t>
  </si>
  <si>
    <t>6'45</t>
  </si>
  <si>
    <t>6'35</t>
  </si>
  <si>
    <t>6'12</t>
  </si>
  <si>
    <t>6'10</t>
  </si>
  <si>
    <t>2'39</t>
  </si>
  <si>
    <t>2'33</t>
  </si>
  <si>
    <t>7'01</t>
  </si>
  <si>
    <t>6'46</t>
  </si>
  <si>
    <t>6'36</t>
  </si>
  <si>
    <t>9'00</t>
  </si>
  <si>
    <t>注：小学五年级～六年级：50米×8往返跑；初中、高中、大学：1000米跑。</t>
  </si>
  <si>
    <t>表1-16 女生耐力跑单项评分表（单位：分·秒）</t>
  </si>
  <si>
    <t>2'40</t>
  </si>
  <si>
    <t>2'41</t>
  </si>
  <si>
    <t>2'36</t>
  </si>
  <si>
    <t>2'37</t>
  </si>
  <si>
    <t>2'44</t>
  </si>
  <si>
    <t>2'42</t>
  </si>
  <si>
    <t>2'43</t>
  </si>
  <si>
    <t>2'47</t>
  </si>
  <si>
    <t>3'21'</t>
  </si>
  <si>
    <t>3'16'</t>
  </si>
  <si>
    <t>0'40</t>
  </si>
  <si>
    <t>1'41</t>
  </si>
  <si>
    <t>1'38</t>
  </si>
  <si>
    <t>3'31'</t>
  </si>
  <si>
    <t>3'25'</t>
  </si>
  <si>
    <t>1'44</t>
  </si>
  <si>
    <t>1'47</t>
  </si>
  <si>
    <t>1'50</t>
  </si>
  <si>
    <t>3'53</t>
  </si>
  <si>
    <t>1'53</t>
  </si>
  <si>
    <t>1'56</t>
  </si>
  <si>
    <t>1'59</t>
  </si>
  <si>
    <t>4'11'</t>
  </si>
  <si>
    <t>4'01'</t>
  </si>
  <si>
    <t>3'57'</t>
  </si>
  <si>
    <t>2'02</t>
  </si>
  <si>
    <t>2'05</t>
  </si>
  <si>
    <t>2'08</t>
  </si>
  <si>
    <t>2'05'</t>
  </si>
  <si>
    <t>4'31'</t>
  </si>
  <si>
    <t>4'26'</t>
  </si>
  <si>
    <t>2'11</t>
  </si>
  <si>
    <t>2'14</t>
  </si>
  <si>
    <t>2'18'</t>
  </si>
  <si>
    <t>4'29</t>
  </si>
  <si>
    <t>4'33</t>
  </si>
  <si>
    <t>2'23</t>
  </si>
  <si>
    <t>4'38</t>
  </si>
  <si>
    <t>4'54</t>
  </si>
  <si>
    <t>4'57</t>
  </si>
  <si>
    <t>5'08</t>
  </si>
  <si>
    <t>5'04</t>
  </si>
  <si>
    <t>5'02</t>
  </si>
  <si>
    <t>2'32'</t>
  </si>
  <si>
    <t>5'09</t>
  </si>
  <si>
    <t>5'07</t>
  </si>
  <si>
    <t>5'18</t>
  </si>
  <si>
    <t>5'14</t>
  </si>
  <si>
    <t>5'31</t>
  </si>
  <si>
    <t>5'19</t>
  </si>
  <si>
    <t>5'17</t>
  </si>
  <si>
    <t>5'28</t>
  </si>
  <si>
    <t>5'24</t>
  </si>
  <si>
    <t>5'22</t>
  </si>
  <si>
    <t>5'29</t>
  </si>
  <si>
    <t>5'27</t>
  </si>
  <si>
    <t>注：小学五年级～六年级：50米×8往返跑；初中、高中、大学：800米跑。</t>
  </si>
  <si>
    <t>（二）加分指标评分表</t>
  </si>
  <si>
    <t>表2-1 男生一分钟跳绳评分表（单位：次）</t>
  </si>
  <si>
    <t>加分</t>
  </si>
  <si>
    <t>注：一分钟跳绳为高优指标，学生成绩超过单项评分100分后，以超过的次数所对应的分数进行加分。</t>
  </si>
  <si>
    <t>表2-2 女生一分钟跳绳评分表（单位：次）</t>
  </si>
  <si>
    <t>表2-3 男生引体向上评分表（单位：次）</t>
  </si>
  <si>
    <t>表2-4 女生一分钟仰卧起坐评分表（单位：次）</t>
  </si>
  <si>
    <t>注:引体向上、一分钟仰卧起坐均为高优指标，学生成绩超过单项评分100分后，以超过的次数所对应的分数进行加分。</t>
  </si>
  <si>
    <t>表2-5 男生1000米跑评分表（单位：分·秒）</t>
  </si>
  <si>
    <t>表2-6 女生800米跑评分表（单位：分·秒）</t>
  </si>
  <si>
    <t>合格</t>
  </si>
  <si>
    <t>不合格</t>
  </si>
  <si>
    <t>性别</t>
    <phoneticPr fontId="8" type="noConversion"/>
  </si>
  <si>
    <t>A001</t>
    <phoneticPr fontId="8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</si>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</sst>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;_ "/>
    <numFmt numFmtId="178" formatCode="0.000"/>
    <numFmt numFmtId="179" formatCode="0.00_ "/>
    <numFmt numFmtId="180" formatCode="0;_㣿"/>
  </numFmts>
  <fonts count="10">
    <font>
      <sz val="10"/>
      <name val="Arial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000000"/>
      <name val="Arial"/>
      <family val="2"/>
    </font>
    <font>
      <sz val="12"/>
      <name val="宋体"/>
      <family val="3"/>
      <charset val="134"/>
    </font>
    <font>
      <sz val="11"/>
      <color rgb="FF000000"/>
      <name val="Tahoma"/>
      <family val="2"/>
    </font>
    <font>
      <b/>
      <sz val="9"/>
      <color indexed="63"/>
      <name val="宋体"/>
      <family val="3"/>
      <charset val="134"/>
    </font>
    <font>
      <b/>
      <sz val="9"/>
      <color indexed="63"/>
      <name val="Arial"/>
      <family val="2"/>
    </font>
    <font>
      <sz val="9"/>
      <name val="FangSong"/>
      <family val="3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1" fillId="0" borderId="0">
      <protection locked="0"/>
    </xf>
    <xf numFmtId="0" fontId="5" fillId="0" borderId="0">
      <protection locked="0"/>
    </xf>
    <xf numFmtId="0" fontId="4" fillId="0" borderId="0">
      <protection locked="0"/>
    </xf>
    <xf numFmtId="0" fontId="1" fillId="0" borderId="0">
      <protection locked="0"/>
    </xf>
  </cellStyleXfs>
  <cellXfs count="4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1" applyAlignment="1">
      <alignment horizontal="center" vertical="center" wrapText="1"/>
      <protection locked="0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  <protection locked="0"/>
    </xf>
    <xf numFmtId="179" fontId="1" fillId="0" borderId="1" xfId="0" applyNumberFormat="1" applyFont="1" applyBorder="1" applyAlignment="1"/>
    <xf numFmtId="0" fontId="1" fillId="0" borderId="1" xfId="1" applyBorder="1" applyAlignment="1">
      <alignment horizontal="center" wrapText="1"/>
      <protection locked="0"/>
    </xf>
    <xf numFmtId="0" fontId="1" fillId="0" borderId="1" xfId="2" applyFont="1" applyBorder="1" applyAlignment="1">
      <alignment horizontal="right" vertical="center"/>
      <protection locked="0"/>
    </xf>
    <xf numFmtId="0" fontId="3" fillId="0" borderId="1" xfId="3" applyFont="1" applyBorder="1" applyAlignment="1">
      <alignment horizontal="center"/>
      <protection locked="0"/>
    </xf>
    <xf numFmtId="0" fontId="1" fillId="0" borderId="1" xfId="1" applyBorder="1" applyAlignment="1">
      <alignment horizontal="center" vertical="center" wrapText="1"/>
      <protection locked="0"/>
    </xf>
    <xf numFmtId="0" fontId="3" fillId="0" borderId="1" xfId="3" applyFont="1" applyBorder="1" applyAlignment="1">
      <alignment vertical="center"/>
      <protection locked="0"/>
    </xf>
    <xf numFmtId="180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4" applyBorder="1" applyAlignment="1">
      <alignment horizontal="center" vertical="center" wrapText="1"/>
      <protection locked="0"/>
    </xf>
    <xf numFmtId="0" fontId="3" fillId="0" borderId="1" xfId="5" applyFont="1" applyBorder="1" applyAlignment="1">
      <alignment vertical="center"/>
      <protection locked="0"/>
    </xf>
    <xf numFmtId="0" fontId="2" fillId="0" borderId="1" xfId="4" applyFont="1" applyBorder="1" applyAlignment="1">
      <alignment horizontal="center" vertical="center" wrapText="1"/>
      <protection locked="0"/>
    </xf>
    <xf numFmtId="0" fontId="1" fillId="0" borderId="1" xfId="6" applyFont="1" applyBorder="1" applyAlignment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/>
  </cellXfs>
  <cellStyles count="8">
    <cellStyle name="常规" xfId="0" builtinId="0"/>
    <cellStyle name="常规 10" xfId="5" xr:uid="{00000000-0005-0000-0000-000005000000}"/>
    <cellStyle name="常规 12" xfId="3" xr:uid="{00000000-0005-0000-0000-000003000000}"/>
    <cellStyle name="常规 2" xfId="2" xr:uid="{00000000-0005-0000-0000-000002000000}"/>
    <cellStyle name="常规 2 4" xfId="6" xr:uid="{00000000-0005-0000-0000-000006000000}"/>
    <cellStyle name="常规 3" xfId="1" xr:uid="{00000000-0005-0000-0000-000001000000}"/>
    <cellStyle name="常规 4" xfId="7" xr:uid="{00000000-0005-0000-0000-000007000000}"/>
    <cellStyle name="常规 7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男生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D-0543-A6D8-B407459E35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D-0543-A6D8-B407459E35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D-0543-A6D8-B407459E35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D-0543-A6D8-B407459E35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BD-0543-A6D8-B407459E35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BD-0543-A6D8-B407459E35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BD-0543-A6D8-B407459E35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BD-0543-A6D8-B407459E35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BD-0543-A6D8-B407459E35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BD-0543-A6D8-B407459E35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BD-0543-A6D8-B407459E35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BD-0543-A6D8-B407459E35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BD-0543-A6D8-B407459E35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EBD-0543-A6D8-B407459E359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EBD-0543-A6D8-B407459E359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EBD-0543-A6D8-B407459E359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EBD-0543-A6D8-B407459E359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EBD-0543-A6D8-B407459E359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EBD-0543-A6D8-B407459E359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EBD-0543-A6D8-B407459E359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EBD-0543-A6D8-B407459E359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EBD-0543-A6D8-B407459E359E}"/>
              </c:ext>
            </c:extLst>
          </c:dPt>
          <c:cat>
            <c:multiLvlStrRef>
              <c:f>男生!$X$47:$Y$69</c:f>
              <c:multiLvlStrCache>
                <c:ptCount val="23"/>
                <c:lvl>
                  <c:pt idx="0">
                    <c:v>优秀</c:v>
                  </c:pt>
                  <c:pt idx="2">
                    <c:v>良好</c:v>
                  </c:pt>
                  <c:pt idx="4">
                    <c:v>合格</c:v>
                  </c:pt>
                  <c:pt idx="22">
                    <c:v>不合格</c:v>
                  </c:pt>
                </c:lvl>
                <c:lvl>
                  <c:pt idx="0">
                    <c:v>5</c:v>
                  </c:pt>
                  <c:pt idx="2">
                    <c:v>3</c:v>
                  </c:pt>
                  <c:pt idx="4">
                    <c:v>13</c:v>
                  </c:pt>
                  <c:pt idx="22">
                    <c:v>3</c:v>
                  </c:pt>
                </c:lvl>
              </c:multiLvlStrCache>
            </c:multiLvlStrRef>
          </c:cat>
          <c:val>
            <c:numRef>
              <c:f>男生!$Z$47:$Z$69</c:f>
              <c:numCache>
                <c:formatCode>General</c:formatCode>
                <c:ptCount val="23"/>
                <c:pt idx="0">
                  <c:v>0.20833299999999999</c:v>
                </c:pt>
                <c:pt idx="2">
                  <c:v>0.125</c:v>
                </c:pt>
                <c:pt idx="4">
                  <c:v>0.54166599999999998</c:v>
                </c:pt>
                <c:pt idx="2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EBD-0543-A6D8-B407459E3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-#Han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-#Han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男生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-#Han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男生!$Z$136:$AA$136</c:f>
              <c:strCache>
                <c:ptCount val="2"/>
                <c:pt idx="0">
                  <c:v>5</c:v>
                </c:pt>
                <c:pt idx="1">
                  <c:v>优秀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男生!$AB$136</c:f>
              <c:numCache>
                <c:formatCode>General</c:formatCode>
                <c:ptCount val="1"/>
                <c:pt idx="0">
                  <c:v>0.20833299999999999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2-7F4C-880E-BCB3506457AE}"/>
            </c:ext>
          </c:extLst>
        </c:ser>
        <c:ser>
          <c:idx val="1"/>
          <c:order val="1"/>
          <c:tx>
            <c:strRef>
              <c:f>男生!$Z$137:$AA$137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男生!$AB$137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2-7F4C-880E-BCB3506457AE}"/>
            </c:ext>
          </c:extLst>
        </c:ser>
        <c:ser>
          <c:idx val="2"/>
          <c:order val="2"/>
          <c:tx>
            <c:strRef>
              <c:f>男生!$Z$138:$AA$138</c:f>
              <c:strCache>
                <c:ptCount val="2"/>
                <c:pt idx="0">
                  <c:v>13</c:v>
                </c:pt>
                <c:pt idx="1">
                  <c:v>合格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男生!$AB$138</c:f>
              <c:numCache>
                <c:formatCode>General</c:formatCode>
                <c:ptCount val="1"/>
                <c:pt idx="0">
                  <c:v>0.54166599999999998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2-7F4C-880E-BCB3506457AE}"/>
            </c:ext>
          </c:extLst>
        </c:ser>
        <c:ser>
          <c:idx val="3"/>
          <c:order val="3"/>
          <c:tx>
            <c:strRef>
              <c:f>男生!$Z$139:$AA$139</c:f>
              <c:strCache>
                <c:ptCount val="2"/>
                <c:pt idx="0">
                  <c:v>3</c:v>
                </c:pt>
                <c:pt idx="1">
                  <c:v>不合格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男生!$AB$139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D2-7F4C-880E-BCB3506457AE}"/>
            </c:ext>
          </c:extLst>
        </c:ser>
        <c:ser>
          <c:idx val="4"/>
          <c:order val="4"/>
          <c:tx>
            <c:strRef>
              <c:f>男生!$Z$140:$AA$140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男生!$AB$140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D2-7F4C-880E-BCB3506457AE}"/>
            </c:ext>
          </c:extLst>
        </c:ser>
        <c:ser>
          <c:idx val="5"/>
          <c:order val="5"/>
          <c:tx>
            <c:strRef>
              <c:f>男生!$Z$141:$AA$141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男生!$AB$141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97D2-7F4C-880E-BCB3506457AE}"/>
            </c:ext>
          </c:extLst>
        </c:ser>
        <c:ser>
          <c:idx val="6"/>
          <c:order val="6"/>
          <c:tx>
            <c:strRef>
              <c:f>男生!$Z$142:$AA$142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97D2-7F4C-880E-BCB3506457AE}"/>
            </c:ext>
          </c:extLst>
        </c:ser>
        <c:ser>
          <c:idx val="7"/>
          <c:order val="7"/>
          <c:tx>
            <c:strRef>
              <c:f>男生!$Z$143:$AA$143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97D2-7F4C-880E-BCB3506457AE}"/>
            </c:ext>
          </c:extLst>
        </c:ser>
        <c:ser>
          <c:idx val="8"/>
          <c:order val="8"/>
          <c:tx>
            <c:strRef>
              <c:f>男生!$Z$144:$AA$144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97D2-7F4C-880E-BCB3506457AE}"/>
            </c:ext>
          </c:extLst>
        </c:ser>
        <c:ser>
          <c:idx val="9"/>
          <c:order val="9"/>
          <c:tx>
            <c:strRef>
              <c:f>男生!$Z$145:$AA$145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97D2-7F4C-880E-BCB3506457AE}"/>
            </c:ext>
          </c:extLst>
        </c:ser>
        <c:ser>
          <c:idx val="10"/>
          <c:order val="10"/>
          <c:tx>
            <c:strRef>
              <c:f>男生!$Z$146:$AA$146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97D2-7F4C-880E-BCB3506457AE}"/>
            </c:ext>
          </c:extLst>
        </c:ser>
        <c:ser>
          <c:idx val="11"/>
          <c:order val="11"/>
          <c:tx>
            <c:strRef>
              <c:f>男生!$Z$147:$AA$147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97D2-7F4C-880E-BCB3506457AE}"/>
            </c:ext>
          </c:extLst>
        </c:ser>
        <c:ser>
          <c:idx val="12"/>
          <c:order val="12"/>
          <c:tx>
            <c:strRef>
              <c:f>男生!$Z$148:$AA$148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97D2-7F4C-880E-BCB3506457AE}"/>
            </c:ext>
          </c:extLst>
        </c:ser>
        <c:ser>
          <c:idx val="13"/>
          <c:order val="13"/>
          <c:tx>
            <c:strRef>
              <c:f>男生!$Z$149:$AA$149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男生!$AB$149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97D2-7F4C-880E-BCB3506457AE}"/>
            </c:ext>
          </c:extLst>
        </c:ser>
        <c:ser>
          <c:idx val="14"/>
          <c:order val="14"/>
          <c:tx>
            <c:strRef>
              <c:f>男生!$Z$150:$AA$150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97D2-7F4C-880E-BCB3506457AE}"/>
            </c:ext>
          </c:extLst>
        </c:ser>
        <c:ser>
          <c:idx val="15"/>
          <c:order val="15"/>
          <c:tx>
            <c:strRef>
              <c:f>男生!$Z$151:$AA$151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97D2-7F4C-880E-BCB3506457AE}"/>
            </c:ext>
          </c:extLst>
        </c:ser>
        <c:ser>
          <c:idx val="16"/>
          <c:order val="16"/>
          <c:tx>
            <c:strRef>
              <c:f>男生!$Z$152:$AA$152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97D2-7F4C-880E-BCB3506457AE}"/>
            </c:ext>
          </c:extLst>
        </c:ser>
        <c:ser>
          <c:idx val="17"/>
          <c:order val="17"/>
          <c:tx>
            <c:strRef>
              <c:f>男生!$Z$153:$AA$153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97D2-7F4C-880E-BCB3506457AE}"/>
            </c:ext>
          </c:extLst>
        </c:ser>
        <c:ser>
          <c:idx val="18"/>
          <c:order val="18"/>
          <c:tx>
            <c:strRef>
              <c:f>男生!$Z$154:$AA$154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97D2-7F4C-880E-BCB3506457AE}"/>
            </c:ext>
          </c:extLst>
        </c:ser>
        <c:ser>
          <c:idx val="19"/>
          <c:order val="19"/>
          <c:tx>
            <c:strRef>
              <c:f>男生!$Z$155:$AA$155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97D2-7F4C-880E-BCB3506457AE}"/>
            </c:ext>
          </c:extLst>
        </c:ser>
        <c:ser>
          <c:idx val="20"/>
          <c:order val="20"/>
          <c:tx>
            <c:strRef>
              <c:f>男生!$Z$156:$AA$156</c:f>
              <c:strCache>
                <c:ptCount val="2"/>
                <c:pt idx="0">
                  <c:v>3</c:v>
                </c:pt>
                <c:pt idx="1">
                  <c:v>良好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97D2-7F4C-880E-BCB3506457AE}"/>
            </c:ext>
          </c:extLst>
        </c:ser>
        <c:ser>
          <c:idx val="21"/>
          <c:order val="21"/>
          <c:tx>
            <c:strRef>
              <c:f>男生!$Z$157:$AA$157</c:f>
              <c:strCache>
                <c:ptCount val="2"/>
                <c:pt idx="0">
                  <c:v>3</c:v>
                </c:pt>
                <c:pt idx="1">
                  <c:v>不合格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男生!$AB$157</c:f>
              <c:numCache>
                <c:formatCode>General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7D2-7F4C-880E-BCB350645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48239"/>
        <c:axId val="857205645"/>
      </c:barChart>
      <c:catAx>
        <c:axId val="42334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857205645"/>
        <c:crosses val="autoZero"/>
        <c:auto val="1"/>
        <c:lblAlgn val="ctr"/>
        <c:lblOffset val="100"/>
        <c:noMultiLvlLbl val="0"/>
      </c:catAx>
      <c:valAx>
        <c:axId val="8572056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4233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-#Han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88463</xdr:colOff>
      <xdr:row>0</xdr:row>
      <xdr:rowOff>722634</xdr:rowOff>
    </xdr:from>
    <xdr:to>
      <xdr:col>31</xdr:col>
      <xdr:colOff>355381</xdr:colOff>
      <xdr:row>95</xdr:row>
      <xdr:rowOff>240655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33940</xdr:colOff>
      <xdr:row>2</xdr:row>
      <xdr:rowOff>0</xdr:rowOff>
    </xdr:from>
    <xdr:to>
      <xdr:col>41</xdr:col>
      <xdr:colOff>243575</xdr:colOff>
      <xdr:row>95</xdr:row>
      <xdr:rowOff>62619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7"/>
  <sheetViews>
    <sheetView tabSelected="1" topLeftCell="A146" zoomScale="97" zoomScaleNormal="97" workbookViewId="0">
      <selection activeCell="G162" sqref="G162"/>
    </sheetView>
  </sheetViews>
  <sheetFormatPr baseColWidth="10" defaultColWidth="9.1640625" defaultRowHeight="24.75" customHeight="1"/>
  <cols>
    <col min="1" max="1" width="5.1640625" style="1" customWidth="1"/>
    <col min="2" max="4" width="9.1640625" style="1"/>
    <col min="5" max="5" width="6.1640625" style="2" customWidth="1"/>
    <col min="6" max="11" width="12.83203125" style="1"/>
    <col min="12" max="12" width="9.1640625" style="1"/>
    <col min="13" max="13" width="12.83203125" style="1"/>
    <col min="14" max="14" width="9.83203125" style="3" customWidth="1"/>
    <col min="15" max="18" width="12.83203125" style="3"/>
    <col min="19" max="19" width="14" style="3" customWidth="1"/>
    <col min="20" max="22" width="12.83203125" style="3"/>
    <col min="23" max="24" width="9.1640625" style="3"/>
    <col min="25" max="25" width="12.5" style="3" customWidth="1"/>
    <col min="26" max="26" width="9.1640625" style="3"/>
    <col min="27" max="27" width="12.5" style="3" customWidth="1"/>
    <col min="28" max="28" width="9.1640625" style="3"/>
    <col min="29" max="29" width="12.5" style="3" customWidth="1"/>
    <col min="30" max="30" width="9.1640625" style="3"/>
    <col min="31" max="31" width="12.5" style="3" customWidth="1"/>
    <col min="32" max="32" width="9.1640625" style="3"/>
    <col min="33" max="16384" width="9.1640625" style="1"/>
  </cols>
  <sheetData>
    <row r="1" spans="1:33" ht="62.25" customHeight="1">
      <c r="A1" s="4" t="s">
        <v>0</v>
      </c>
      <c r="B1" s="5" t="s">
        <v>1</v>
      </c>
      <c r="C1" s="5" t="s">
        <v>2</v>
      </c>
      <c r="D1" s="5" t="s">
        <v>3</v>
      </c>
      <c r="E1" s="38" t="s">
        <v>468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AC1" s="7"/>
      <c r="AG1" s="8"/>
    </row>
    <row r="2" spans="1:33" ht="24.75" customHeight="1">
      <c r="A2" s="9">
        <v>22</v>
      </c>
      <c r="B2" s="10" t="s">
        <v>22</v>
      </c>
      <c r="C2" s="11">
        <v>1</v>
      </c>
      <c r="D2" s="39" t="s">
        <v>469</v>
      </c>
      <c r="E2" s="12">
        <v>1</v>
      </c>
      <c r="F2" s="10">
        <v>170</v>
      </c>
      <c r="G2" s="10">
        <v>61.5</v>
      </c>
      <c r="H2" s="10">
        <v>3020</v>
      </c>
      <c r="I2" s="10">
        <v>7.8</v>
      </c>
      <c r="J2" s="10">
        <v>215</v>
      </c>
      <c r="K2" s="10">
        <v>15</v>
      </c>
      <c r="L2" s="10" t="s">
        <v>23</v>
      </c>
      <c r="M2" s="10">
        <v>6</v>
      </c>
      <c r="N2" s="13">
        <f t="shared" ref="N2:N33" si="0">G2/(F2*F2)*10000</f>
        <v>21.280276816609</v>
      </c>
      <c r="O2" s="6">
        <f>LOOKUP(N2,Sheet6!$J$4:$J$11,Sheet6!$B$4:$B$11)*0.15</f>
        <v>15</v>
      </c>
      <c r="P2" s="14">
        <f>LOOKUP(H2,Sheet6!$J$25:$J$66,Sheet6!$B$25:$B$66)*0.15</f>
        <v>11.4</v>
      </c>
      <c r="Q2" s="6">
        <f>LOOKUP(I2,Sheet6!$J$115:$J$156,Sheet6!$B$115:$B$156)*0.2</f>
        <v>17</v>
      </c>
      <c r="R2" s="6">
        <f>LOOKUP(J2,Sheet6!$D$465:$D$506,Sheet6!$B$465:$B$506)*0.1</f>
        <v>8</v>
      </c>
      <c r="S2" s="6">
        <f>LOOKUP(K2,Sheet6!$J$205:$J$246,Sheet6!$B$205:$B$246)*0.1</f>
        <v>8.5</v>
      </c>
      <c r="T2" s="6">
        <f>LOOKUP(L2,Sheet6!$F$688:$F$749,Sheet6!$B$688:$B$749)*0.2</f>
        <v>16</v>
      </c>
      <c r="U2" s="6">
        <f>LOOKUP(M2,Sheet6!$D$600:$D$626,Sheet6!$B$600:$B$626)*0.1</f>
        <v>6.4</v>
      </c>
      <c r="V2" s="6">
        <f t="shared" ref="V2:V33" si="1">O2+P2+Q2+R2+S2+T2+U2</f>
        <v>82.300000000000011</v>
      </c>
      <c r="W2" s="6" t="str">
        <f t="shared" ref="W2:W33" si="2">IF(V2&lt;60,"不及格",IF(V2&lt;80,"及格",IF(V2&lt;90,"良好",IF(V2&lt;121,"优秀"))))</f>
        <v>良好</v>
      </c>
      <c r="Y2" s="15"/>
      <c r="AA2" s="15"/>
      <c r="AC2" s="15"/>
      <c r="AE2" s="15"/>
    </row>
    <row r="3" spans="1:33" ht="24.75" customHeight="1">
      <c r="A3" s="9">
        <v>22</v>
      </c>
      <c r="B3" s="10" t="s">
        <v>22</v>
      </c>
      <c r="C3" s="11">
        <v>2</v>
      </c>
      <c r="D3" s="39" t="s">
        <v>470</v>
      </c>
      <c r="E3" s="12">
        <v>1</v>
      </c>
      <c r="F3" s="10">
        <v>158.9</v>
      </c>
      <c r="G3" s="10">
        <v>43.8</v>
      </c>
      <c r="H3" s="10">
        <v>3003</v>
      </c>
      <c r="I3" s="10">
        <v>8.1</v>
      </c>
      <c r="J3" s="10">
        <v>195</v>
      </c>
      <c r="K3" s="10">
        <v>12</v>
      </c>
      <c r="L3" s="10" t="s">
        <v>24</v>
      </c>
      <c r="M3" s="10">
        <v>8</v>
      </c>
      <c r="N3" s="13">
        <f t="shared" si="0"/>
        <v>17.347077393708553</v>
      </c>
      <c r="O3" s="6">
        <f>LOOKUP(N3,Sheet6!$J$4:$J$11,Sheet6!$B$4:$B$11)*0.15</f>
        <v>15</v>
      </c>
      <c r="P3" s="14">
        <f>LOOKUP(H3,Sheet6!$J$25:$J$66,Sheet6!$B$25:$B$66)*0.15</f>
        <v>11.4</v>
      </c>
      <c r="Q3" s="6">
        <f>LOOKUP(I3,Sheet6!$J$115:$J$156,Sheet6!$B$115:$B$156)*0.2</f>
        <v>15.600000000000001</v>
      </c>
      <c r="R3" s="6">
        <f>LOOKUP(J3,Sheet6!$D$465:$D$506,Sheet6!$B$465:$B$506)*0.1</f>
        <v>7.2</v>
      </c>
      <c r="S3" s="6">
        <f>LOOKUP(K3,Sheet6!$J$205:$J$246,Sheet6!$B$205:$B$246)*0.1</f>
        <v>8</v>
      </c>
      <c r="T3" s="6">
        <f>LOOKUP(L3,Sheet6!$F$688:$F$749,Sheet6!$B$688:$B$749)*0.2</f>
        <v>17</v>
      </c>
      <c r="U3" s="6">
        <f>LOOKUP(M3,Sheet6!$D$600:$D$626,Sheet6!$B$600:$B$626)*0.1</f>
        <v>7.2</v>
      </c>
      <c r="V3" s="6">
        <f t="shared" si="1"/>
        <v>81.400000000000006</v>
      </c>
      <c r="W3" s="6" t="str">
        <f t="shared" si="2"/>
        <v>良好</v>
      </c>
    </row>
    <row r="4" spans="1:33" ht="24.75" customHeight="1">
      <c r="A4" s="9">
        <v>22</v>
      </c>
      <c r="B4" s="10" t="s">
        <v>22</v>
      </c>
      <c r="C4" s="11">
        <v>3</v>
      </c>
      <c r="D4" s="39" t="s">
        <v>471</v>
      </c>
      <c r="E4" s="12">
        <v>1</v>
      </c>
      <c r="F4" s="10">
        <v>176</v>
      </c>
      <c r="G4" s="10">
        <v>54.5</v>
      </c>
      <c r="H4" s="10">
        <v>3763</v>
      </c>
      <c r="I4" s="10">
        <v>7.6</v>
      </c>
      <c r="J4" s="10">
        <v>215</v>
      </c>
      <c r="K4" s="10">
        <v>12</v>
      </c>
      <c r="L4" s="10" t="s">
        <v>25</v>
      </c>
      <c r="M4" s="10">
        <v>5</v>
      </c>
      <c r="N4" s="13">
        <f t="shared" si="0"/>
        <v>17.594266528925619</v>
      </c>
      <c r="O4" s="6">
        <f>LOOKUP(N4,Sheet6!$J$4:$J$11,Sheet6!$B$4:$B$11)*0.15</f>
        <v>15</v>
      </c>
      <c r="P4" s="14">
        <f>LOOKUP(H4,Sheet6!$J$25:$J$66,Sheet6!$B$25:$B$66)*0.15</f>
        <v>14.25</v>
      </c>
      <c r="Q4" s="6">
        <f>LOOKUP(I4,Sheet6!$J$115:$J$156,Sheet6!$B$115:$B$156)*0.2</f>
        <v>19</v>
      </c>
      <c r="R4" s="6">
        <f>LOOKUP(J4,Sheet6!$D$465:$D$506,Sheet6!$B$465:$B$506)*0.1</f>
        <v>8</v>
      </c>
      <c r="S4" s="6">
        <f>LOOKUP(K4,Sheet6!$J$205:$J$246,Sheet6!$B$205:$B$246)*0.1</f>
        <v>8</v>
      </c>
      <c r="T4" s="6">
        <f>LOOKUP(L4,Sheet6!$F$688:$F$749,Sheet6!$B$688:$B$749)*0.2</f>
        <v>16</v>
      </c>
      <c r="U4" s="6">
        <f>LOOKUP(M4,Sheet6!$D$600:$D$626,Sheet6!$B$600:$B$626)*0.1</f>
        <v>6</v>
      </c>
      <c r="V4" s="6">
        <f t="shared" si="1"/>
        <v>86.25</v>
      </c>
      <c r="W4" s="6" t="str">
        <f t="shared" si="2"/>
        <v>良好</v>
      </c>
    </row>
    <row r="5" spans="1:33" ht="24.75" customHeight="1">
      <c r="A5" s="9">
        <v>22</v>
      </c>
      <c r="B5" s="10" t="s">
        <v>22</v>
      </c>
      <c r="C5" s="16">
        <v>4</v>
      </c>
      <c r="D5" s="39" t="s">
        <v>472</v>
      </c>
      <c r="E5" s="12">
        <v>1</v>
      </c>
      <c r="F5" s="10">
        <v>180</v>
      </c>
      <c r="G5" s="10">
        <v>85.5</v>
      </c>
      <c r="H5" s="10">
        <v>3846</v>
      </c>
      <c r="I5" s="10">
        <v>8.5</v>
      </c>
      <c r="J5" s="10">
        <v>185</v>
      </c>
      <c r="K5" s="10">
        <v>12</v>
      </c>
      <c r="L5" s="10" t="s">
        <v>26</v>
      </c>
      <c r="M5" s="10">
        <v>6</v>
      </c>
      <c r="N5" s="13">
        <f t="shared" si="0"/>
        <v>26.388888888888889</v>
      </c>
      <c r="O5" s="6">
        <f>LOOKUP(N5,Sheet6!$J$4:$J$11,Sheet6!$B$4:$B$11)*0.15</f>
        <v>9</v>
      </c>
      <c r="P5" s="14">
        <f>LOOKUP(H5,Sheet6!$J$25:$J$66,Sheet6!$B$25:$B$66)*0.15</f>
        <v>14.25</v>
      </c>
      <c r="Q5" s="6">
        <f>LOOKUP(I5,Sheet6!$J$115:$J$156,Sheet6!$B$115:$B$156)*0.2</f>
        <v>14.8</v>
      </c>
      <c r="R5" s="6">
        <f>LOOKUP(J5,Sheet6!$D$465:$D$506,Sheet6!$B$465:$B$506)*0.1</f>
        <v>6.6000000000000005</v>
      </c>
      <c r="S5" s="6">
        <f>LOOKUP(K5,Sheet6!$J$205:$J$246,Sheet6!$B$205:$B$246)*0.1</f>
        <v>8</v>
      </c>
      <c r="T5" s="6">
        <f>LOOKUP(L5,Sheet6!$F$688:$F$749,Sheet6!$B$688:$B$749)*0.2</f>
        <v>15.600000000000001</v>
      </c>
      <c r="U5" s="6">
        <f>LOOKUP(M5,Sheet6!$D$600:$D$626,Sheet6!$B$600:$B$626)*0.1</f>
        <v>6.4</v>
      </c>
      <c r="V5" s="6">
        <f t="shared" si="1"/>
        <v>74.650000000000006</v>
      </c>
      <c r="W5" s="6" t="str">
        <f t="shared" si="2"/>
        <v>及格</v>
      </c>
    </row>
    <row r="6" spans="1:33" ht="24.75" customHeight="1">
      <c r="A6" s="9">
        <v>22</v>
      </c>
      <c r="B6" s="10" t="s">
        <v>22</v>
      </c>
      <c r="C6" s="11">
        <v>5</v>
      </c>
      <c r="D6" s="39" t="s">
        <v>473</v>
      </c>
      <c r="E6" s="12">
        <v>1</v>
      </c>
      <c r="F6" s="10">
        <v>173.7</v>
      </c>
      <c r="G6" s="10">
        <v>68.400000000000006</v>
      </c>
      <c r="H6" s="10">
        <v>3819</v>
      </c>
      <c r="I6" s="10">
        <v>8.6</v>
      </c>
      <c r="J6" s="10">
        <v>190</v>
      </c>
      <c r="K6" s="10">
        <v>13.6</v>
      </c>
      <c r="L6" s="10" t="s">
        <v>27</v>
      </c>
      <c r="M6" s="10">
        <v>3</v>
      </c>
      <c r="N6" s="13">
        <f t="shared" si="0"/>
        <v>22.670258112820335</v>
      </c>
      <c r="O6" s="6">
        <f>LOOKUP(N6,Sheet6!$J$4:$J$11,Sheet6!$B$4:$B$11)*0.15</f>
        <v>12</v>
      </c>
      <c r="P6" s="14">
        <f>LOOKUP(H6,Sheet6!$J$25:$J$66,Sheet6!$B$25:$B$66)*0.15</f>
        <v>14.25</v>
      </c>
      <c r="Q6" s="6">
        <f>LOOKUP(I6,Sheet6!$J$115:$J$156,Sheet6!$B$115:$B$156)*0.2</f>
        <v>14.4</v>
      </c>
      <c r="R6" s="6">
        <f>LOOKUP(J6,Sheet6!$D$465:$D$506,Sheet6!$B$465:$B$506)*0.1</f>
        <v>7</v>
      </c>
      <c r="S6" s="6">
        <f>LOOKUP(K6,Sheet6!$J$205:$J$246,Sheet6!$B$205:$B$246)*0.1</f>
        <v>8</v>
      </c>
      <c r="T6" s="6">
        <f>LOOKUP(L6,Sheet6!$F$688:$F$749,Sheet6!$B$688:$B$749)*0.2</f>
        <v>15.200000000000001</v>
      </c>
      <c r="U6" s="6">
        <f>LOOKUP(M6,Sheet6!$D$600:$D$626,Sheet6!$B$600:$B$626)*0.1</f>
        <v>4</v>
      </c>
      <c r="V6" s="6">
        <f t="shared" si="1"/>
        <v>74.849999999999994</v>
      </c>
      <c r="W6" s="6" t="str">
        <f t="shared" si="2"/>
        <v>及格</v>
      </c>
    </row>
    <row r="7" spans="1:33" ht="24.75" customHeight="1">
      <c r="A7" s="9">
        <v>22</v>
      </c>
      <c r="B7" s="10" t="s">
        <v>22</v>
      </c>
      <c r="C7" s="11">
        <v>6</v>
      </c>
      <c r="D7" s="39" t="s">
        <v>474</v>
      </c>
      <c r="E7" s="12">
        <v>1</v>
      </c>
      <c r="F7" s="10">
        <v>176</v>
      </c>
      <c r="G7" s="10">
        <v>57.8</v>
      </c>
      <c r="H7" s="10">
        <v>4838</v>
      </c>
      <c r="I7" s="17">
        <v>7.8</v>
      </c>
      <c r="J7" s="10">
        <v>225</v>
      </c>
      <c r="K7" s="10">
        <v>15.3</v>
      </c>
      <c r="L7" s="10" t="s">
        <v>28</v>
      </c>
      <c r="M7" s="10">
        <v>3</v>
      </c>
      <c r="N7" s="13">
        <f t="shared" si="0"/>
        <v>18.659607438016526</v>
      </c>
      <c r="O7" s="6">
        <f>LOOKUP(N7,Sheet6!$J$4:$J$11,Sheet6!$B$4:$B$11)*0.15</f>
        <v>15</v>
      </c>
      <c r="P7" s="14">
        <f>LOOKUP(H7,Sheet6!$J$25:$J$66,Sheet6!$B$25:$B$66)*0.15</f>
        <v>15</v>
      </c>
      <c r="Q7" s="6">
        <f>LOOKUP(I7,Sheet6!$J$115:$J$156,Sheet6!$B$115:$B$156)*0.2</f>
        <v>17</v>
      </c>
      <c r="R7" s="6">
        <f>LOOKUP(J7,Sheet6!$D$465:$D$506,Sheet6!$B$465:$B$506)*0.1</f>
        <v>8.5</v>
      </c>
      <c r="S7" s="6">
        <f>LOOKUP(K7,Sheet6!$J$205:$J$246,Sheet6!$B$205:$B$246)*0.1</f>
        <v>8.5</v>
      </c>
      <c r="T7" s="6">
        <f>LOOKUP(L7,Sheet6!$F$688:$F$749,Sheet6!$B$688:$B$749)*0.2</f>
        <v>13.600000000000001</v>
      </c>
      <c r="U7" s="6">
        <f>LOOKUP(M7,Sheet6!$D$600:$D$626,Sheet6!$B$600:$B$626)*0.1</f>
        <v>4</v>
      </c>
      <c r="V7" s="6">
        <f t="shared" si="1"/>
        <v>81.599999999999994</v>
      </c>
      <c r="W7" s="6" t="str">
        <f t="shared" si="2"/>
        <v>良好</v>
      </c>
    </row>
    <row r="8" spans="1:33" ht="24.75" customHeight="1">
      <c r="A8" s="9">
        <v>22</v>
      </c>
      <c r="B8" s="10" t="s">
        <v>22</v>
      </c>
      <c r="C8" s="11">
        <v>7</v>
      </c>
      <c r="D8" s="39" t="s">
        <v>475</v>
      </c>
      <c r="E8" s="12">
        <v>1</v>
      </c>
      <c r="F8" s="10">
        <v>164.6</v>
      </c>
      <c r="G8" s="10">
        <v>52.1</v>
      </c>
      <c r="H8" s="10">
        <v>3129</v>
      </c>
      <c r="I8" s="10">
        <v>8.4</v>
      </c>
      <c r="J8" s="10">
        <v>180</v>
      </c>
      <c r="K8" s="10">
        <v>12</v>
      </c>
      <c r="L8" s="10" t="s">
        <v>29</v>
      </c>
      <c r="M8" s="10">
        <v>3</v>
      </c>
      <c r="N8" s="13">
        <f t="shared" si="0"/>
        <v>19.229945860874111</v>
      </c>
      <c r="O8" s="6">
        <f>LOOKUP(N8,Sheet6!$J$4:$J$11,Sheet6!$B$4:$B$11)*0.15</f>
        <v>15</v>
      </c>
      <c r="P8" s="14">
        <f>LOOKUP(H8,Sheet6!$J$25:$J$66,Sheet6!$B$25:$B$66)*0.15</f>
        <v>11.7</v>
      </c>
      <c r="Q8" s="6">
        <f>LOOKUP(I8,Sheet6!$J$115:$J$156,Sheet6!$B$115:$B$156)*0.2</f>
        <v>14.8</v>
      </c>
      <c r="R8" s="6">
        <f>LOOKUP(J8,Sheet6!$D$465:$D$506,Sheet6!$B$465:$B$506)*0.1</f>
        <v>6.4</v>
      </c>
      <c r="S8" s="6">
        <f>LOOKUP(K8,Sheet6!$J$205:$J$246,Sheet6!$B$205:$B$246)*0.1</f>
        <v>8</v>
      </c>
      <c r="T8" s="6">
        <f>LOOKUP(L8,Sheet6!$F$688:$F$749,Sheet6!$B$688:$B$749)*0.2</f>
        <v>15.600000000000001</v>
      </c>
      <c r="U8" s="6">
        <f>LOOKUP(M8,Sheet6!$D$600:$D$626,Sheet6!$B$600:$B$626)*0.1</f>
        <v>4</v>
      </c>
      <c r="V8" s="6">
        <f t="shared" si="1"/>
        <v>75.5</v>
      </c>
      <c r="W8" s="6" t="str">
        <f t="shared" si="2"/>
        <v>及格</v>
      </c>
    </row>
    <row r="9" spans="1:33" ht="24.75" customHeight="1">
      <c r="A9" s="9">
        <v>22</v>
      </c>
      <c r="B9" s="10" t="s">
        <v>22</v>
      </c>
      <c r="C9" s="16">
        <v>8</v>
      </c>
      <c r="D9" s="39" t="s">
        <v>476</v>
      </c>
      <c r="E9" s="12">
        <v>1</v>
      </c>
      <c r="F9" s="10">
        <v>169</v>
      </c>
      <c r="G9" s="10">
        <v>52.7</v>
      </c>
      <c r="H9" s="10">
        <v>3325</v>
      </c>
      <c r="I9" s="10">
        <v>7.9</v>
      </c>
      <c r="J9" s="10">
        <v>195</v>
      </c>
      <c r="K9" s="10">
        <v>18</v>
      </c>
      <c r="L9" s="10" t="s">
        <v>23</v>
      </c>
      <c r="M9" s="10">
        <v>3</v>
      </c>
      <c r="N9" s="13">
        <f t="shared" si="0"/>
        <v>18.45173488323238</v>
      </c>
      <c r="O9" s="6">
        <f>LOOKUP(N9,Sheet6!$J$4:$J$11,Sheet6!$B$4:$B$11)*0.15</f>
        <v>15</v>
      </c>
      <c r="P9" s="14">
        <f>LOOKUP(H9,Sheet6!$J$25:$J$66,Sheet6!$B$25:$B$66)*0.15</f>
        <v>12</v>
      </c>
      <c r="Q9" s="6">
        <f>LOOKUP(I9,Sheet6!$J$115:$J$156,Sheet6!$B$115:$B$156)*0.2</f>
        <v>16</v>
      </c>
      <c r="R9" s="6">
        <f>LOOKUP(J9,Sheet6!$D$465:$D$506,Sheet6!$B$465:$B$506)*0.1</f>
        <v>7.2</v>
      </c>
      <c r="S9" s="6">
        <f>LOOKUP(K9,Sheet6!$J$205:$J$246,Sheet6!$B$205:$B$246)*0.1</f>
        <v>9.5</v>
      </c>
      <c r="T9" s="6">
        <f>LOOKUP(L9,Sheet6!$F$688:$F$749,Sheet6!$B$688:$B$749)*0.2</f>
        <v>16</v>
      </c>
      <c r="U9" s="6">
        <f>LOOKUP(M9,Sheet6!$D$600:$D$626,Sheet6!$B$600:$B$626)*0.1</f>
        <v>4</v>
      </c>
      <c r="V9" s="6">
        <f t="shared" si="1"/>
        <v>79.7</v>
      </c>
      <c r="W9" s="6" t="str">
        <f t="shared" si="2"/>
        <v>及格</v>
      </c>
    </row>
    <row r="10" spans="1:33" ht="24.75" customHeight="1">
      <c r="A10" s="9">
        <v>22</v>
      </c>
      <c r="B10" s="10" t="s">
        <v>22</v>
      </c>
      <c r="C10" s="11">
        <v>9</v>
      </c>
      <c r="D10" s="39" t="s">
        <v>477</v>
      </c>
      <c r="E10" s="12">
        <v>1</v>
      </c>
      <c r="F10" s="10">
        <v>160.69999999999999</v>
      </c>
      <c r="G10" s="10">
        <v>74.8</v>
      </c>
      <c r="H10" s="10">
        <v>3568</v>
      </c>
      <c r="I10" s="10">
        <v>8.1999999999999993</v>
      </c>
      <c r="J10" s="10">
        <v>200</v>
      </c>
      <c r="K10" s="10">
        <v>18</v>
      </c>
      <c r="L10" s="10" t="s">
        <v>30</v>
      </c>
      <c r="M10" s="10">
        <v>3</v>
      </c>
      <c r="N10" s="13">
        <f t="shared" si="0"/>
        <v>28.964753999014114</v>
      </c>
      <c r="O10" s="6">
        <f>LOOKUP(N10,Sheet6!$J$4:$J$11,Sheet6!$B$4:$B$11)*0.15</f>
        <v>9</v>
      </c>
      <c r="P10" s="14">
        <f>LOOKUP(H10,Sheet6!$J$25:$J$66,Sheet6!$B$25:$B$66)*0.15</f>
        <v>12.75</v>
      </c>
      <c r="Q10" s="6">
        <f>LOOKUP(I10,Sheet6!$J$115:$J$156,Sheet6!$B$115:$B$156)*0.2</f>
        <v>15.200000000000001</v>
      </c>
      <c r="R10" s="6">
        <f>LOOKUP(J10,Sheet6!$D$465:$D$506,Sheet6!$B$465:$B$506)*0.1</f>
        <v>7.4</v>
      </c>
      <c r="S10" s="6">
        <f>LOOKUP(K10,Sheet6!$J$205:$J$246,Sheet6!$B$205:$B$246)*0.1</f>
        <v>9.5</v>
      </c>
      <c r="T10" s="6">
        <f>LOOKUP(L10,Sheet6!$F$688:$F$749,Sheet6!$B$688:$B$749)*0.2</f>
        <v>14</v>
      </c>
      <c r="U10" s="6">
        <f>LOOKUP(M10,Sheet6!$D$600:$D$626,Sheet6!$B$600:$B$626)*0.1</f>
        <v>4</v>
      </c>
      <c r="V10" s="6">
        <f t="shared" si="1"/>
        <v>71.849999999999994</v>
      </c>
      <c r="W10" s="6" t="str">
        <f t="shared" si="2"/>
        <v>及格</v>
      </c>
    </row>
    <row r="11" spans="1:33" ht="24.75" customHeight="1">
      <c r="A11" s="9">
        <v>22</v>
      </c>
      <c r="B11" s="10" t="s">
        <v>22</v>
      </c>
      <c r="C11" s="11">
        <v>10</v>
      </c>
      <c r="D11" s="39" t="s">
        <v>478</v>
      </c>
      <c r="E11" s="12">
        <v>1</v>
      </c>
      <c r="F11" s="10">
        <v>172.1</v>
      </c>
      <c r="G11" s="10">
        <v>54.3</v>
      </c>
      <c r="H11" s="10">
        <v>4009</v>
      </c>
      <c r="I11" s="10">
        <v>7.3</v>
      </c>
      <c r="J11" s="10">
        <v>220</v>
      </c>
      <c r="K11" s="10">
        <v>16</v>
      </c>
      <c r="L11" s="10" t="s">
        <v>31</v>
      </c>
      <c r="M11" s="10">
        <v>3</v>
      </c>
      <c r="N11" s="13">
        <f t="shared" si="0"/>
        <v>18.333192092350668</v>
      </c>
      <c r="O11" s="6">
        <f>LOOKUP(N11,Sheet6!$J$4:$J$11,Sheet6!$B$4:$B$11)*0.15</f>
        <v>15</v>
      </c>
      <c r="P11" s="14">
        <f>LOOKUP(H11,Sheet6!$J$25:$J$66,Sheet6!$B$25:$B$66)*0.15</f>
        <v>15</v>
      </c>
      <c r="Q11" s="6">
        <f>LOOKUP(I11,Sheet6!$J$115:$J$156,Sheet6!$B$115:$B$156)*0.2</f>
        <v>20</v>
      </c>
      <c r="R11" s="6">
        <f>LOOKUP(J11,Sheet6!$D$465:$D$506,Sheet6!$B$465:$B$506)*0.1</f>
        <v>8.5</v>
      </c>
      <c r="S11" s="6">
        <f>LOOKUP(K11,Sheet6!$J$205:$J$246,Sheet6!$B$205:$B$246)*0.1</f>
        <v>9</v>
      </c>
      <c r="T11" s="6">
        <f>LOOKUP(L11,Sheet6!$F$688:$F$749,Sheet6!$B$688:$B$749)*0.2</f>
        <v>18</v>
      </c>
      <c r="U11" s="6">
        <f>LOOKUP(M11,Sheet6!$D$600:$D$626,Sheet6!$B$600:$B$626)*0.1</f>
        <v>4</v>
      </c>
      <c r="V11" s="6">
        <f t="shared" si="1"/>
        <v>89.5</v>
      </c>
      <c r="W11" s="6" t="str">
        <f t="shared" si="2"/>
        <v>良好</v>
      </c>
    </row>
    <row r="12" spans="1:33" ht="24.75" customHeight="1">
      <c r="A12" s="9">
        <v>22</v>
      </c>
      <c r="B12" s="10" t="s">
        <v>22</v>
      </c>
      <c r="C12" s="11">
        <v>11</v>
      </c>
      <c r="D12" s="39" t="s">
        <v>479</v>
      </c>
      <c r="E12" s="12">
        <v>1</v>
      </c>
      <c r="F12" s="10">
        <v>166.8</v>
      </c>
      <c r="G12" s="10">
        <v>49.6</v>
      </c>
      <c r="H12" s="10">
        <v>4107</v>
      </c>
      <c r="I12" s="10">
        <v>7.3</v>
      </c>
      <c r="J12" s="10">
        <v>250</v>
      </c>
      <c r="K12" s="10">
        <v>29</v>
      </c>
      <c r="L12" s="10" t="s">
        <v>32</v>
      </c>
      <c r="M12" s="10">
        <v>10</v>
      </c>
      <c r="N12" s="13">
        <f t="shared" si="0"/>
        <v>17.827464646987444</v>
      </c>
      <c r="O12" s="6">
        <f>LOOKUP(N12,Sheet6!$J$4:$J$11,Sheet6!$B$4:$B$11)*0.15</f>
        <v>15</v>
      </c>
      <c r="P12" s="14">
        <f>LOOKUP(H12,Sheet6!$J$25:$J$66,Sheet6!$B$25:$B$66)*0.15</f>
        <v>15</v>
      </c>
      <c r="Q12" s="6">
        <f>LOOKUP(I12,Sheet6!$J$115:$J$156,Sheet6!$B$115:$B$156)*0.2</f>
        <v>20</v>
      </c>
      <c r="R12" s="6">
        <f>LOOKUP(J12,Sheet6!$D$465:$D$506,Sheet6!$B$465:$B$506)*0.1</f>
        <v>10</v>
      </c>
      <c r="S12" s="6">
        <f>LOOKUP(K12,Sheet6!$J$205:$J$246,Sheet6!$B$205:$B$246)*0.1</f>
        <v>10</v>
      </c>
      <c r="T12" s="6">
        <f>LOOKUP(L12,Sheet6!$F$688:$F$749,Sheet6!$B$688:$B$749)*0.2</f>
        <v>21</v>
      </c>
      <c r="U12" s="6">
        <f>LOOKUP(M12,Sheet6!$D$600:$D$626,Sheet6!$B$600:$B$626)*0.1</f>
        <v>8</v>
      </c>
      <c r="V12" s="6">
        <f t="shared" si="1"/>
        <v>99</v>
      </c>
      <c r="W12" s="6" t="str">
        <f t="shared" si="2"/>
        <v>优秀</v>
      </c>
    </row>
    <row r="13" spans="1:33" ht="24.75" customHeight="1">
      <c r="A13" s="9">
        <v>22</v>
      </c>
      <c r="B13" s="10" t="s">
        <v>22</v>
      </c>
      <c r="C13" s="16">
        <v>12</v>
      </c>
      <c r="D13" s="39" t="s">
        <v>480</v>
      </c>
      <c r="E13" s="12">
        <v>1</v>
      </c>
      <c r="F13" s="10">
        <v>173</v>
      </c>
      <c r="G13" s="10">
        <v>49.1</v>
      </c>
      <c r="H13" s="10">
        <v>4353</v>
      </c>
      <c r="I13" s="10">
        <v>7.9</v>
      </c>
      <c r="J13" s="10">
        <v>205</v>
      </c>
      <c r="K13" s="10">
        <v>13</v>
      </c>
      <c r="L13" s="10" t="s">
        <v>33</v>
      </c>
      <c r="M13" s="10">
        <v>7</v>
      </c>
      <c r="N13" s="13">
        <f t="shared" si="0"/>
        <v>16.40549300010024</v>
      </c>
      <c r="O13" s="6">
        <f>LOOKUP(N13,Sheet6!$J$4:$J$11,Sheet6!$B$4:$B$11)*0.15</f>
        <v>15</v>
      </c>
      <c r="P13" s="14">
        <f>LOOKUP(H13,Sheet6!$J$25:$J$66,Sheet6!$B$25:$B$66)*0.15</f>
        <v>15</v>
      </c>
      <c r="Q13" s="6">
        <f>LOOKUP(I13,Sheet6!$J$115:$J$156,Sheet6!$B$115:$B$156)*0.2</f>
        <v>16</v>
      </c>
      <c r="R13" s="6">
        <f>LOOKUP(J13,Sheet6!$D$465:$D$506,Sheet6!$B$465:$B$506)*0.1</f>
        <v>7.6000000000000005</v>
      </c>
      <c r="S13" s="6">
        <f>LOOKUP(K13,Sheet6!$J$205:$J$246,Sheet6!$B$205:$B$246)*0.1</f>
        <v>8</v>
      </c>
      <c r="T13" s="6">
        <f>LOOKUP(L13,Sheet6!$F$688:$F$749,Sheet6!$B$688:$B$749)*0.2</f>
        <v>19</v>
      </c>
      <c r="U13" s="6">
        <f>LOOKUP(M13,Sheet6!$D$600:$D$626,Sheet6!$B$600:$B$626)*0.1</f>
        <v>6.8000000000000007</v>
      </c>
      <c r="V13" s="6">
        <f t="shared" si="1"/>
        <v>87.399999999999991</v>
      </c>
      <c r="W13" s="6" t="str">
        <f t="shared" si="2"/>
        <v>良好</v>
      </c>
    </row>
    <row r="14" spans="1:33" ht="24.75" customHeight="1">
      <c r="A14" s="9">
        <v>22</v>
      </c>
      <c r="B14" s="10" t="s">
        <v>22</v>
      </c>
      <c r="C14" s="11">
        <v>13</v>
      </c>
      <c r="D14" s="39" t="s">
        <v>481</v>
      </c>
      <c r="E14" s="12">
        <v>1</v>
      </c>
      <c r="F14" s="10">
        <v>168.9</v>
      </c>
      <c r="G14" s="10">
        <v>72.099999999999994</v>
      </c>
      <c r="H14" s="10">
        <v>4347</v>
      </c>
      <c r="I14" s="10">
        <v>7.2</v>
      </c>
      <c r="J14" s="10">
        <v>215</v>
      </c>
      <c r="K14" s="10">
        <v>12</v>
      </c>
      <c r="L14" s="10" t="s">
        <v>34</v>
      </c>
      <c r="M14" s="10">
        <v>3</v>
      </c>
      <c r="N14" s="13">
        <f t="shared" si="0"/>
        <v>25.274115484830091</v>
      </c>
      <c r="O14" s="6">
        <f>LOOKUP(N14,Sheet6!$J$4:$J$11,Sheet6!$B$4:$B$11)*0.15</f>
        <v>12</v>
      </c>
      <c r="P14" s="14">
        <f>LOOKUP(H14,Sheet6!$J$25:$J$66,Sheet6!$B$25:$B$66)*0.15</f>
        <v>15</v>
      </c>
      <c r="Q14" s="6">
        <f>LOOKUP(I14,Sheet6!$J$115:$J$156,Sheet6!$B$115:$B$156)*0.2</f>
        <v>20</v>
      </c>
      <c r="R14" s="6">
        <f>LOOKUP(J14,Sheet6!$D$465:$D$506,Sheet6!$B$465:$B$506)*0.1</f>
        <v>8</v>
      </c>
      <c r="S14" s="6">
        <f>LOOKUP(K14,Sheet6!$J$205:$J$246,Sheet6!$B$205:$B$246)*0.1</f>
        <v>8</v>
      </c>
      <c r="T14" s="6">
        <f>LOOKUP(L14,Sheet6!$F$688:$F$749,Sheet6!$B$688:$B$749)*0.2</f>
        <v>21</v>
      </c>
      <c r="U14" s="6">
        <f>LOOKUP(M14,Sheet6!$D$600:$D$626,Sheet6!$B$600:$B$626)*0.1</f>
        <v>4</v>
      </c>
      <c r="V14" s="6">
        <f t="shared" si="1"/>
        <v>88</v>
      </c>
      <c r="W14" s="6" t="str">
        <f t="shared" si="2"/>
        <v>良好</v>
      </c>
    </row>
    <row r="15" spans="1:33" ht="24.75" customHeight="1">
      <c r="A15" s="9">
        <v>22</v>
      </c>
      <c r="B15" s="10" t="s">
        <v>22</v>
      </c>
      <c r="C15" s="11">
        <v>14</v>
      </c>
      <c r="D15" s="39" t="s">
        <v>482</v>
      </c>
      <c r="E15" s="12">
        <v>1</v>
      </c>
      <c r="F15" s="10">
        <v>163.6</v>
      </c>
      <c r="G15" s="10">
        <v>47</v>
      </c>
      <c r="H15" s="10">
        <v>2415</v>
      </c>
      <c r="I15" s="10">
        <v>8.6999999999999993</v>
      </c>
      <c r="J15" s="10">
        <v>195</v>
      </c>
      <c r="K15" s="10">
        <v>12</v>
      </c>
      <c r="L15" s="10" t="s">
        <v>35</v>
      </c>
      <c r="M15" s="10">
        <v>7</v>
      </c>
      <c r="N15" s="13">
        <f t="shared" si="0"/>
        <v>17.56027283433265</v>
      </c>
      <c r="O15" s="6">
        <f>LOOKUP(N15,Sheet6!$J$4:$J$11,Sheet6!$B$4:$B$11)*0.15</f>
        <v>15</v>
      </c>
      <c r="P15" s="14">
        <f>LOOKUP(H15,Sheet6!$J$25:$J$66,Sheet6!$B$25:$B$66)*0.15</f>
        <v>9.9</v>
      </c>
      <c r="Q15" s="6">
        <f>LOOKUP(I15,Sheet6!$J$115:$J$156,Sheet6!$B$115:$B$156)*0.2</f>
        <v>14.4</v>
      </c>
      <c r="R15" s="6">
        <f>LOOKUP(J15,Sheet6!$D$465:$D$506,Sheet6!$B$465:$B$506)*0.1</f>
        <v>7.2</v>
      </c>
      <c r="S15" s="6">
        <f>LOOKUP(K15,Sheet6!$J$205:$J$246,Sheet6!$B$205:$B$246)*0.1</f>
        <v>8</v>
      </c>
      <c r="T15" s="6">
        <f>LOOKUP(L15,Sheet6!$F$688:$F$749,Sheet6!$B$688:$B$749)*0.2</f>
        <v>18</v>
      </c>
      <c r="U15" s="6">
        <f>LOOKUP(M15,Sheet6!$D$600:$D$626,Sheet6!$B$600:$B$626)*0.1</f>
        <v>6.8000000000000007</v>
      </c>
      <c r="V15" s="6">
        <f t="shared" si="1"/>
        <v>79.3</v>
      </c>
      <c r="W15" s="6" t="str">
        <f t="shared" si="2"/>
        <v>及格</v>
      </c>
    </row>
    <row r="16" spans="1:33" ht="24.75" customHeight="1">
      <c r="A16" s="9">
        <v>22</v>
      </c>
      <c r="B16" s="10" t="s">
        <v>22</v>
      </c>
      <c r="C16" s="11">
        <v>15</v>
      </c>
      <c r="D16" s="39" t="s">
        <v>483</v>
      </c>
      <c r="E16" s="12">
        <v>1</v>
      </c>
      <c r="F16" s="10">
        <v>157.4</v>
      </c>
      <c r="G16" s="10">
        <v>50.8</v>
      </c>
      <c r="H16" s="10">
        <v>3183</v>
      </c>
      <c r="I16" s="10">
        <v>9.1</v>
      </c>
      <c r="J16" s="10">
        <v>180</v>
      </c>
      <c r="K16" s="10">
        <v>15</v>
      </c>
      <c r="L16" s="10" t="s">
        <v>36</v>
      </c>
      <c r="M16" s="10">
        <v>3</v>
      </c>
      <c r="N16" s="13">
        <f t="shared" si="0"/>
        <v>20.504739501008281</v>
      </c>
      <c r="O16" s="6">
        <f>LOOKUP(N16,Sheet6!$J$4:$J$11,Sheet6!$B$4:$B$11)*0.15</f>
        <v>15</v>
      </c>
      <c r="P16" s="14">
        <f>LOOKUP(H16,Sheet6!$J$25:$J$66,Sheet6!$B$25:$B$66)*0.15</f>
        <v>11.7</v>
      </c>
      <c r="Q16" s="6">
        <f>LOOKUP(I16,Sheet6!$J$115:$J$156,Sheet6!$B$115:$B$156)*0.2</f>
        <v>13.600000000000001</v>
      </c>
      <c r="R16" s="6">
        <f>LOOKUP(J16,Sheet6!$D$465:$D$506,Sheet6!$B$465:$B$506)*0.1</f>
        <v>6.4</v>
      </c>
      <c r="S16" s="6">
        <f>LOOKUP(K16,Sheet6!$J$205:$J$246,Sheet6!$B$205:$B$246)*0.1</f>
        <v>8.5</v>
      </c>
      <c r="T16" s="6">
        <f>LOOKUP(L16,Sheet6!$F$688:$F$749,Sheet6!$B$688:$B$749)*0.2</f>
        <v>15.200000000000001</v>
      </c>
      <c r="U16" s="6">
        <f>LOOKUP(M16,Sheet6!$D$600:$D$626,Sheet6!$B$600:$B$626)*0.1</f>
        <v>4</v>
      </c>
      <c r="V16" s="6">
        <f t="shared" si="1"/>
        <v>74.399999999999991</v>
      </c>
      <c r="W16" s="6" t="str">
        <f t="shared" si="2"/>
        <v>及格</v>
      </c>
    </row>
    <row r="17" spans="1:23" ht="24.75" customHeight="1">
      <c r="A17" s="9">
        <v>22</v>
      </c>
      <c r="B17" s="10" t="s">
        <v>22</v>
      </c>
      <c r="C17" s="16">
        <v>16</v>
      </c>
      <c r="D17" s="39" t="s">
        <v>484</v>
      </c>
      <c r="E17" s="12">
        <v>1</v>
      </c>
      <c r="F17" s="10">
        <v>167</v>
      </c>
      <c r="G17" s="10">
        <v>50.1</v>
      </c>
      <c r="H17" s="10">
        <v>3983</v>
      </c>
      <c r="I17" s="10">
        <v>8.1999999999999993</v>
      </c>
      <c r="J17" s="10">
        <v>220</v>
      </c>
      <c r="K17" s="10">
        <v>13</v>
      </c>
      <c r="L17" s="10" t="s">
        <v>37</v>
      </c>
      <c r="M17" s="10">
        <v>7</v>
      </c>
      <c r="N17" s="13">
        <f t="shared" si="0"/>
        <v>17.964071856287426</v>
      </c>
      <c r="O17" s="6">
        <f>LOOKUP(N17,Sheet6!$J$4:$J$11,Sheet6!$B$4:$B$11)*0.15</f>
        <v>15</v>
      </c>
      <c r="P17" s="14">
        <f>LOOKUP(H17,Sheet6!$J$25:$J$66,Sheet6!$B$25:$B$66)*0.15</f>
        <v>15</v>
      </c>
      <c r="Q17" s="6">
        <f>LOOKUP(I17,Sheet6!$J$115:$J$156,Sheet6!$B$115:$B$156)*0.2</f>
        <v>15.200000000000001</v>
      </c>
      <c r="R17" s="6">
        <f>LOOKUP(J17,Sheet6!$D$465:$D$506,Sheet6!$B$465:$B$506)*0.1</f>
        <v>8.5</v>
      </c>
      <c r="S17" s="6">
        <f>LOOKUP(K17,Sheet6!$J$205:$J$246,Sheet6!$B$205:$B$246)*0.1</f>
        <v>8</v>
      </c>
      <c r="T17" s="6">
        <f>LOOKUP(L17,Sheet6!$F$688:$F$749,Sheet6!$B$688:$B$749)*0.2</f>
        <v>18</v>
      </c>
      <c r="U17" s="6">
        <f>LOOKUP(M17,Sheet6!$D$600:$D$626,Sheet6!$B$600:$B$626)*0.1</f>
        <v>6.8000000000000007</v>
      </c>
      <c r="V17" s="6">
        <f t="shared" si="1"/>
        <v>86.5</v>
      </c>
      <c r="W17" s="6" t="str">
        <f t="shared" si="2"/>
        <v>良好</v>
      </c>
    </row>
    <row r="18" spans="1:23" ht="24.75" customHeight="1">
      <c r="A18" s="9">
        <v>22</v>
      </c>
      <c r="B18" s="10" t="s">
        <v>22</v>
      </c>
      <c r="C18" s="11">
        <v>17</v>
      </c>
      <c r="D18" s="39" t="s">
        <v>485</v>
      </c>
      <c r="E18" s="12">
        <v>1</v>
      </c>
      <c r="F18" s="10">
        <v>158</v>
      </c>
      <c r="G18" s="10">
        <v>55.3</v>
      </c>
      <c r="H18" s="10">
        <v>3284</v>
      </c>
      <c r="I18" s="10">
        <v>8.3000000000000007</v>
      </c>
      <c r="J18" s="10">
        <v>175</v>
      </c>
      <c r="K18" s="10">
        <v>22.5</v>
      </c>
      <c r="L18" s="10" t="s">
        <v>24</v>
      </c>
      <c r="M18" s="10">
        <v>4</v>
      </c>
      <c r="N18" s="13">
        <f t="shared" si="0"/>
        <v>22.151898734177216</v>
      </c>
      <c r="O18" s="6">
        <f>LOOKUP(N18,Sheet6!$J$4:$J$11,Sheet6!$B$4:$B$11)*0.15</f>
        <v>15</v>
      </c>
      <c r="P18" s="14">
        <f>LOOKUP(H18,Sheet6!$J$25:$J$66,Sheet6!$B$25:$B$66)*0.15</f>
        <v>12</v>
      </c>
      <c r="Q18" s="6">
        <f>LOOKUP(I18,Sheet6!$J$115:$J$156,Sheet6!$B$115:$B$156)*0.2</f>
        <v>15.200000000000001</v>
      </c>
      <c r="R18" s="6">
        <f>LOOKUP(J18,Sheet6!$D$465:$D$506,Sheet6!$B$465:$B$506)*0.1</f>
        <v>6.2</v>
      </c>
      <c r="S18" s="6">
        <f>LOOKUP(K18,Sheet6!$J$205:$J$246,Sheet6!$B$205:$B$246)*0.1</f>
        <v>10</v>
      </c>
      <c r="T18" s="6">
        <f>LOOKUP(L18,Sheet6!$F$688:$F$749,Sheet6!$B$688:$B$749)*0.2</f>
        <v>17</v>
      </c>
      <c r="U18" s="6">
        <f>LOOKUP(M18,Sheet6!$D$600:$D$626,Sheet6!$B$600:$B$626)*0.1</f>
        <v>5</v>
      </c>
      <c r="V18" s="6">
        <f t="shared" si="1"/>
        <v>80.400000000000006</v>
      </c>
      <c r="W18" s="6" t="str">
        <f t="shared" si="2"/>
        <v>良好</v>
      </c>
    </row>
    <row r="19" spans="1:23" ht="24.75" customHeight="1">
      <c r="A19" s="9">
        <v>22</v>
      </c>
      <c r="B19" s="10" t="s">
        <v>22</v>
      </c>
      <c r="C19" s="11">
        <v>18</v>
      </c>
      <c r="D19" s="39" t="s">
        <v>486</v>
      </c>
      <c r="E19" s="12">
        <v>1</v>
      </c>
      <c r="F19" s="10">
        <v>172</v>
      </c>
      <c r="G19" s="10">
        <v>51.8</v>
      </c>
      <c r="H19" s="10">
        <v>4427</v>
      </c>
      <c r="I19" s="10">
        <v>7.8</v>
      </c>
      <c r="J19" s="10">
        <v>215</v>
      </c>
      <c r="K19" s="10">
        <v>15</v>
      </c>
      <c r="L19" s="10" t="s">
        <v>38</v>
      </c>
      <c r="M19" s="10">
        <v>5</v>
      </c>
      <c r="N19" s="13">
        <f t="shared" si="0"/>
        <v>17.509464575446188</v>
      </c>
      <c r="O19" s="6">
        <f>LOOKUP(N19,Sheet6!$J$4:$J$11,Sheet6!$B$4:$B$11)*0.15</f>
        <v>15</v>
      </c>
      <c r="P19" s="14">
        <f>LOOKUP(H19,Sheet6!$J$25:$J$66,Sheet6!$B$25:$B$66)*0.15</f>
        <v>15</v>
      </c>
      <c r="Q19" s="6">
        <f>LOOKUP(I19,Sheet6!$J$115:$J$156,Sheet6!$B$115:$B$156)*0.2</f>
        <v>17</v>
      </c>
      <c r="R19" s="6">
        <f>LOOKUP(J19,Sheet6!$D$465:$D$506,Sheet6!$B$465:$B$506)*0.1</f>
        <v>8</v>
      </c>
      <c r="S19" s="6">
        <f>LOOKUP(K19,Sheet6!$J$205:$J$246,Sheet6!$B$205:$B$246)*0.1</f>
        <v>8.5</v>
      </c>
      <c r="T19" s="6">
        <f>LOOKUP(L19,Sheet6!$F$688:$F$749,Sheet6!$B$688:$B$749)*0.2</f>
        <v>16</v>
      </c>
      <c r="U19" s="6">
        <f>LOOKUP(M19,Sheet6!$D$600:$D$626,Sheet6!$B$600:$B$626)*0.1</f>
        <v>6</v>
      </c>
      <c r="V19" s="6">
        <f t="shared" si="1"/>
        <v>85.5</v>
      </c>
      <c r="W19" s="6" t="str">
        <f t="shared" si="2"/>
        <v>良好</v>
      </c>
    </row>
    <row r="20" spans="1:23" ht="24.75" customHeight="1">
      <c r="A20" s="9">
        <v>22</v>
      </c>
      <c r="B20" s="10" t="s">
        <v>22</v>
      </c>
      <c r="C20" s="11">
        <v>19</v>
      </c>
      <c r="D20" s="39" t="s">
        <v>487</v>
      </c>
      <c r="E20" s="12">
        <v>1</v>
      </c>
      <c r="F20" s="10">
        <v>169.7</v>
      </c>
      <c r="G20" s="10">
        <v>76.2</v>
      </c>
      <c r="H20" s="10">
        <v>3607</v>
      </c>
      <c r="I20" s="10">
        <v>8</v>
      </c>
      <c r="J20" s="10">
        <v>175</v>
      </c>
      <c r="K20" s="10">
        <v>22.5</v>
      </c>
      <c r="L20" s="10" t="s">
        <v>33</v>
      </c>
      <c r="M20" s="10">
        <v>3</v>
      </c>
      <c r="N20" s="13">
        <f t="shared" si="0"/>
        <v>26.460088151679511</v>
      </c>
      <c r="O20" s="6">
        <f>LOOKUP(N20,Sheet6!$J$4:$J$11,Sheet6!$B$4:$B$11)*0.15</f>
        <v>9</v>
      </c>
      <c r="P20" s="14">
        <f>LOOKUP(H20,Sheet6!$J$25:$J$66,Sheet6!$B$25:$B$66)*0.15</f>
        <v>12.75</v>
      </c>
      <c r="Q20" s="6">
        <f>LOOKUP(I20,Sheet6!$J$115:$J$156,Sheet6!$B$115:$B$156)*0.2</f>
        <v>15.600000000000001</v>
      </c>
      <c r="R20" s="6">
        <f>LOOKUP(J20,Sheet6!$D$465:$D$506,Sheet6!$B$465:$B$506)*0.1</f>
        <v>6.2</v>
      </c>
      <c r="S20" s="6">
        <f>LOOKUP(K20,Sheet6!$J$205:$J$246,Sheet6!$B$205:$B$246)*0.1</f>
        <v>10</v>
      </c>
      <c r="T20" s="6">
        <f>LOOKUP(L20,Sheet6!$F$688:$F$749,Sheet6!$B$688:$B$749)*0.2</f>
        <v>19</v>
      </c>
      <c r="U20" s="6">
        <f>LOOKUP(M20,Sheet6!$D$600:$D$626,Sheet6!$B$600:$B$626)*0.1</f>
        <v>4</v>
      </c>
      <c r="V20" s="6">
        <f t="shared" si="1"/>
        <v>76.550000000000011</v>
      </c>
      <c r="W20" s="6" t="str">
        <f t="shared" si="2"/>
        <v>及格</v>
      </c>
    </row>
    <row r="21" spans="1:23" ht="24.75" customHeight="1">
      <c r="A21" s="9">
        <v>22</v>
      </c>
      <c r="B21" s="10" t="s">
        <v>22</v>
      </c>
      <c r="C21" s="16">
        <v>20</v>
      </c>
      <c r="D21" s="39" t="s">
        <v>488</v>
      </c>
      <c r="E21" s="12">
        <v>1</v>
      </c>
      <c r="F21" s="10">
        <v>176</v>
      </c>
      <c r="G21" s="10">
        <v>71.7</v>
      </c>
      <c r="H21" s="10">
        <v>4229</v>
      </c>
      <c r="I21" s="10">
        <v>7.4</v>
      </c>
      <c r="J21" s="10">
        <v>200</v>
      </c>
      <c r="K21" s="10">
        <v>15.7</v>
      </c>
      <c r="L21" s="10" t="s">
        <v>34</v>
      </c>
      <c r="M21" s="10">
        <v>10</v>
      </c>
      <c r="N21" s="13">
        <f t="shared" si="0"/>
        <v>23.146952479338843</v>
      </c>
      <c r="O21" s="6">
        <f>LOOKUP(N21,Sheet6!$J$4:$J$11,Sheet6!$B$4:$B$11)*0.15</f>
        <v>12</v>
      </c>
      <c r="P21" s="14">
        <f>LOOKUP(H21,Sheet6!$J$25:$J$66,Sheet6!$B$25:$B$66)*0.15</f>
        <v>15</v>
      </c>
      <c r="Q21" s="6">
        <f>LOOKUP(I21,Sheet6!$J$115:$J$156,Sheet6!$B$115:$B$156)*0.2</f>
        <v>20</v>
      </c>
      <c r="R21" s="6">
        <f>LOOKUP(J21,Sheet6!$D$465:$D$506,Sheet6!$B$465:$B$506)*0.1</f>
        <v>7.4</v>
      </c>
      <c r="S21" s="6">
        <f>LOOKUP(K21,Sheet6!$J$205:$J$246,Sheet6!$B$205:$B$246)*0.1</f>
        <v>8.5</v>
      </c>
      <c r="T21" s="6">
        <f>LOOKUP(L21,Sheet6!$F$688:$F$749,Sheet6!$B$688:$B$749)*0.2</f>
        <v>21</v>
      </c>
      <c r="U21" s="6">
        <f>LOOKUP(M21,Sheet6!$D$600:$D$626,Sheet6!$B$600:$B$626)*0.1</f>
        <v>8</v>
      </c>
      <c r="V21" s="6">
        <f t="shared" si="1"/>
        <v>91.9</v>
      </c>
      <c r="W21" s="6" t="str">
        <f t="shared" si="2"/>
        <v>优秀</v>
      </c>
    </row>
    <row r="22" spans="1:23" ht="24.75" customHeight="1">
      <c r="A22" s="9">
        <v>22</v>
      </c>
      <c r="B22" s="10" t="s">
        <v>22</v>
      </c>
      <c r="C22" s="11">
        <v>21</v>
      </c>
      <c r="D22" s="39" t="s">
        <v>489</v>
      </c>
      <c r="E22" s="12">
        <v>1</v>
      </c>
      <c r="F22" s="10">
        <v>169.5</v>
      </c>
      <c r="G22" s="10">
        <v>73</v>
      </c>
      <c r="H22" s="10">
        <v>3781</v>
      </c>
      <c r="I22" s="10">
        <v>7.9</v>
      </c>
      <c r="J22" s="10">
        <v>190</v>
      </c>
      <c r="K22" s="10">
        <v>13.7</v>
      </c>
      <c r="L22" s="10" t="s">
        <v>39</v>
      </c>
      <c r="M22" s="10">
        <v>3</v>
      </c>
      <c r="N22" s="13">
        <f t="shared" si="0"/>
        <v>25.408759060572049</v>
      </c>
      <c r="O22" s="6">
        <f>LOOKUP(N22,Sheet6!$J$4:$J$11,Sheet6!$B$4:$B$11)*0.15</f>
        <v>9</v>
      </c>
      <c r="P22" s="14">
        <f>LOOKUP(H22,Sheet6!$J$25:$J$66,Sheet6!$B$25:$B$66)*0.15</f>
        <v>14.25</v>
      </c>
      <c r="Q22" s="6">
        <f>LOOKUP(I22,Sheet6!$J$115:$J$156,Sheet6!$B$115:$B$156)*0.2</f>
        <v>16</v>
      </c>
      <c r="R22" s="6">
        <f>LOOKUP(J22,Sheet6!$D$465:$D$506,Sheet6!$B$465:$B$506)*0.1</f>
        <v>7</v>
      </c>
      <c r="S22" s="6">
        <f>LOOKUP(K22,Sheet6!$J$205:$J$246,Sheet6!$B$205:$B$246)*0.1</f>
        <v>8.5</v>
      </c>
      <c r="T22" s="6">
        <f>LOOKUP(L22,Sheet6!$F$688:$F$749,Sheet6!$B$688:$B$749)*0.2</f>
        <v>16</v>
      </c>
      <c r="U22" s="6">
        <f>LOOKUP(M22,Sheet6!$D$600:$D$626,Sheet6!$B$600:$B$626)*0.1</f>
        <v>4</v>
      </c>
      <c r="V22" s="6">
        <f t="shared" si="1"/>
        <v>74.75</v>
      </c>
      <c r="W22" s="6" t="str">
        <f t="shared" si="2"/>
        <v>及格</v>
      </c>
    </row>
    <row r="23" spans="1:23" ht="24.75" customHeight="1">
      <c r="A23" s="9">
        <v>22</v>
      </c>
      <c r="B23" s="10" t="s">
        <v>22</v>
      </c>
      <c r="C23" s="11">
        <v>22</v>
      </c>
      <c r="D23" s="39" t="s">
        <v>490</v>
      </c>
      <c r="E23" s="12">
        <v>1</v>
      </c>
      <c r="F23" s="10">
        <v>172</v>
      </c>
      <c r="G23" s="10">
        <v>48.8</v>
      </c>
      <c r="H23" s="10">
        <v>3722</v>
      </c>
      <c r="I23" s="10">
        <v>8.8000000000000007</v>
      </c>
      <c r="J23" s="10">
        <v>190</v>
      </c>
      <c r="K23" s="10">
        <v>16</v>
      </c>
      <c r="L23" s="10" t="s">
        <v>23</v>
      </c>
      <c r="M23" s="10">
        <v>4</v>
      </c>
      <c r="N23" s="13">
        <f t="shared" si="0"/>
        <v>16.495402920497565</v>
      </c>
      <c r="O23" s="6">
        <f>LOOKUP(N23,Sheet6!$J$4:$J$11,Sheet6!$B$4:$B$11)*0.15</f>
        <v>15</v>
      </c>
      <c r="P23" s="14">
        <f>LOOKUP(H23,Sheet6!$J$25:$J$66,Sheet6!$B$25:$B$66)*0.15</f>
        <v>14.25</v>
      </c>
      <c r="Q23" s="6">
        <f>LOOKUP(I23,Sheet6!$J$115:$J$156,Sheet6!$B$115:$B$156)*0.2</f>
        <v>14</v>
      </c>
      <c r="R23" s="6">
        <f>LOOKUP(J23,Sheet6!$D$465:$D$506,Sheet6!$B$465:$B$506)*0.1</f>
        <v>7</v>
      </c>
      <c r="S23" s="6">
        <f>LOOKUP(K23,Sheet6!$J$205:$J$246,Sheet6!$B$205:$B$246)*0.1</f>
        <v>9</v>
      </c>
      <c r="T23" s="6">
        <f>LOOKUP(L23,Sheet6!$F$688:$F$749,Sheet6!$B$688:$B$749)*0.2</f>
        <v>16</v>
      </c>
      <c r="U23" s="6">
        <f>LOOKUP(M23,Sheet6!$D$600:$D$626,Sheet6!$B$600:$B$626)*0.1</f>
        <v>5</v>
      </c>
      <c r="V23" s="6">
        <f t="shared" si="1"/>
        <v>80.25</v>
      </c>
      <c r="W23" s="6" t="str">
        <f t="shared" si="2"/>
        <v>良好</v>
      </c>
    </row>
    <row r="24" spans="1:23" ht="24.75" customHeight="1">
      <c r="A24" s="9">
        <v>22</v>
      </c>
      <c r="B24" s="10" t="s">
        <v>40</v>
      </c>
      <c r="C24" s="11">
        <v>1</v>
      </c>
      <c r="D24" s="39" t="s">
        <v>491</v>
      </c>
      <c r="E24" s="12">
        <v>1</v>
      </c>
      <c r="F24" s="10">
        <v>171.8</v>
      </c>
      <c r="G24" s="10">
        <v>48.1</v>
      </c>
      <c r="H24" s="10">
        <v>3884</v>
      </c>
      <c r="I24" s="10">
        <v>7.8</v>
      </c>
      <c r="J24" s="10">
        <v>200</v>
      </c>
      <c r="K24" s="10">
        <v>12</v>
      </c>
      <c r="L24" s="10" t="s">
        <v>41</v>
      </c>
      <c r="M24" s="10">
        <v>10</v>
      </c>
      <c r="N24" s="13">
        <f t="shared" si="0"/>
        <v>16.296665722521649</v>
      </c>
      <c r="O24" s="6">
        <f>LOOKUP(N24,Sheet6!$J$4:$J$11,Sheet6!$B$4:$B$11)*0.15</f>
        <v>15</v>
      </c>
      <c r="P24" s="14">
        <f>LOOKUP(H24,Sheet6!$J$25:$J$66,Sheet6!$B$25:$B$66)*0.15</f>
        <v>14.25</v>
      </c>
      <c r="Q24" s="6">
        <f>LOOKUP(I24,Sheet6!$J$115:$J$156,Sheet6!$B$115:$B$156)*0.2</f>
        <v>17</v>
      </c>
      <c r="R24" s="6">
        <f>LOOKUP(J24,Sheet6!$D$465:$D$506,Sheet6!$B$465:$B$506)*0.1</f>
        <v>7.4</v>
      </c>
      <c r="S24" s="6">
        <f>LOOKUP(K24,Sheet6!$J$205:$J$246,Sheet6!$B$205:$B$246)*0.1</f>
        <v>8</v>
      </c>
      <c r="T24" s="6">
        <f>LOOKUP(L24,Sheet6!$F$688:$F$749,Sheet6!$B$688:$B$749)*0.2</f>
        <v>23</v>
      </c>
      <c r="U24" s="6">
        <f>LOOKUP(M24,Sheet6!$D$600:$D$626,Sheet6!$B$600:$B$626)*0.1</f>
        <v>8</v>
      </c>
      <c r="V24" s="6">
        <f t="shared" si="1"/>
        <v>92.65</v>
      </c>
      <c r="W24" s="6" t="str">
        <f t="shared" si="2"/>
        <v>优秀</v>
      </c>
    </row>
    <row r="25" spans="1:23" ht="24.75" customHeight="1">
      <c r="A25" s="9">
        <v>22</v>
      </c>
      <c r="B25" s="10" t="s">
        <v>40</v>
      </c>
      <c r="C25" s="16">
        <v>2</v>
      </c>
      <c r="D25" s="39" t="s">
        <v>492</v>
      </c>
      <c r="E25" s="12">
        <v>1</v>
      </c>
      <c r="F25" s="10">
        <v>162</v>
      </c>
      <c r="G25" s="10">
        <v>50.6</v>
      </c>
      <c r="H25" s="10">
        <v>3262</v>
      </c>
      <c r="I25" s="10">
        <v>7.7</v>
      </c>
      <c r="J25" s="10">
        <v>215</v>
      </c>
      <c r="K25" s="10">
        <v>18</v>
      </c>
      <c r="L25" s="10" t="s">
        <v>31</v>
      </c>
      <c r="M25" s="10">
        <v>10</v>
      </c>
      <c r="N25" s="13">
        <f t="shared" si="0"/>
        <v>19.280597469897881</v>
      </c>
      <c r="O25" s="6">
        <f>LOOKUP(N25,Sheet6!$J$4:$J$11,Sheet6!$B$4:$B$11)*0.15</f>
        <v>15</v>
      </c>
      <c r="P25" s="14">
        <f>LOOKUP(H25,Sheet6!$J$25:$J$66,Sheet6!$B$25:$B$66)*0.15</f>
        <v>12</v>
      </c>
      <c r="Q25" s="6">
        <f>LOOKUP(I25,Sheet6!$J$115:$J$156,Sheet6!$B$115:$B$156)*0.2</f>
        <v>18</v>
      </c>
      <c r="R25" s="6">
        <f>LOOKUP(J25,Sheet6!$D$465:$D$506,Sheet6!$B$465:$B$506)*0.1</f>
        <v>8</v>
      </c>
      <c r="S25" s="6">
        <f>LOOKUP(K25,Sheet6!$J$205:$J$246,Sheet6!$B$205:$B$246)*0.1</f>
        <v>9.5</v>
      </c>
      <c r="T25" s="6">
        <f>LOOKUP(L25,Sheet6!$F$688:$F$749,Sheet6!$B$688:$B$749)*0.2</f>
        <v>18</v>
      </c>
      <c r="U25" s="6">
        <f>LOOKUP(M25,Sheet6!$D$600:$D$626,Sheet6!$B$600:$B$626)*0.1</f>
        <v>8</v>
      </c>
      <c r="V25" s="6">
        <f t="shared" si="1"/>
        <v>88.5</v>
      </c>
      <c r="W25" s="6" t="str">
        <f t="shared" si="2"/>
        <v>良好</v>
      </c>
    </row>
    <row r="26" spans="1:23" ht="24.75" customHeight="1">
      <c r="A26" s="9">
        <v>22</v>
      </c>
      <c r="B26" s="10" t="s">
        <v>40</v>
      </c>
      <c r="C26" s="11">
        <v>3</v>
      </c>
      <c r="D26" s="39" t="s">
        <v>493</v>
      </c>
      <c r="E26" s="12">
        <v>1</v>
      </c>
      <c r="F26" s="10">
        <v>167</v>
      </c>
      <c r="G26" s="10">
        <v>50.1</v>
      </c>
      <c r="H26" s="10">
        <v>3983</v>
      </c>
      <c r="I26" s="10">
        <v>8.1999999999999993</v>
      </c>
      <c r="J26" s="10">
        <v>220</v>
      </c>
      <c r="K26" s="10">
        <v>13</v>
      </c>
      <c r="L26" s="10" t="s">
        <v>37</v>
      </c>
      <c r="M26" s="10">
        <v>6</v>
      </c>
      <c r="N26" s="13">
        <f t="shared" si="0"/>
        <v>17.964071856287426</v>
      </c>
      <c r="O26" s="6">
        <f>LOOKUP(N26,Sheet6!$J$4:$J$11,Sheet6!$B$4:$B$11)*0.15</f>
        <v>15</v>
      </c>
      <c r="P26" s="14">
        <f>LOOKUP(H26,Sheet6!$J$25:$J$66,Sheet6!$B$25:$B$66)*0.15</f>
        <v>15</v>
      </c>
      <c r="Q26" s="6">
        <f>LOOKUP(I26,Sheet6!$J$115:$J$156,Sheet6!$B$115:$B$156)*0.2</f>
        <v>15.200000000000001</v>
      </c>
      <c r="R26" s="6">
        <f>LOOKUP(J26,Sheet6!$D$465:$D$506,Sheet6!$B$465:$B$506)*0.1</f>
        <v>8.5</v>
      </c>
      <c r="S26" s="6">
        <f>LOOKUP(K26,Sheet6!$J$205:$J$246,Sheet6!$B$205:$B$246)*0.1</f>
        <v>8</v>
      </c>
      <c r="T26" s="6">
        <f>LOOKUP(L26,Sheet6!$F$688:$F$749,Sheet6!$B$688:$B$749)*0.2</f>
        <v>18</v>
      </c>
      <c r="U26" s="6">
        <f>LOOKUP(M26,Sheet6!$D$600:$D$626,Sheet6!$B$600:$B$626)*0.1</f>
        <v>6.4</v>
      </c>
      <c r="V26" s="6">
        <f t="shared" si="1"/>
        <v>86.100000000000009</v>
      </c>
      <c r="W26" s="6" t="str">
        <f t="shared" si="2"/>
        <v>良好</v>
      </c>
    </row>
    <row r="27" spans="1:23" ht="24.75" customHeight="1">
      <c r="A27" s="9">
        <v>22</v>
      </c>
      <c r="B27" s="10" t="s">
        <v>40</v>
      </c>
      <c r="C27" s="11">
        <v>4</v>
      </c>
      <c r="D27" s="39" t="s">
        <v>494</v>
      </c>
      <c r="E27" s="12">
        <v>1</v>
      </c>
      <c r="F27" s="10">
        <v>166</v>
      </c>
      <c r="G27" s="10">
        <v>62.6</v>
      </c>
      <c r="H27" s="10">
        <v>4141</v>
      </c>
      <c r="I27" s="10">
        <v>8.1</v>
      </c>
      <c r="J27" s="10">
        <v>220</v>
      </c>
      <c r="K27" s="10">
        <v>20</v>
      </c>
      <c r="L27" s="10" t="s">
        <v>42</v>
      </c>
      <c r="M27" s="10">
        <v>10</v>
      </c>
      <c r="N27" s="13">
        <f t="shared" si="0"/>
        <v>22.717375526201192</v>
      </c>
      <c r="O27" s="6">
        <f>LOOKUP(N27,Sheet6!$J$4:$J$11,Sheet6!$B$4:$B$11)*0.15</f>
        <v>12</v>
      </c>
      <c r="P27" s="14">
        <f>LOOKUP(H27,Sheet6!$J$25:$J$66,Sheet6!$B$25:$B$66)*0.15</f>
        <v>15</v>
      </c>
      <c r="Q27" s="6">
        <f>LOOKUP(I27,Sheet6!$J$115:$J$156,Sheet6!$B$115:$B$156)*0.2</f>
        <v>15.600000000000001</v>
      </c>
      <c r="R27" s="6">
        <f>LOOKUP(J27,Sheet6!$D$465:$D$506,Sheet6!$B$465:$B$506)*0.1</f>
        <v>8.5</v>
      </c>
      <c r="S27" s="6">
        <f>LOOKUP(K27,Sheet6!$J$205:$J$246,Sheet6!$B$205:$B$246)*0.1</f>
        <v>10</v>
      </c>
      <c r="T27" s="6">
        <f>LOOKUP(L27,Sheet6!$F$688:$F$749,Sheet6!$B$688:$B$749)*0.2</f>
        <v>19</v>
      </c>
      <c r="U27" s="6">
        <f>LOOKUP(M27,Sheet6!$D$600:$D$626,Sheet6!$B$600:$B$626)*0.1</f>
        <v>8</v>
      </c>
      <c r="V27" s="6">
        <f t="shared" si="1"/>
        <v>88.1</v>
      </c>
      <c r="W27" s="6" t="str">
        <f t="shared" si="2"/>
        <v>良好</v>
      </c>
    </row>
    <row r="28" spans="1:23" ht="24.75" customHeight="1">
      <c r="A28" s="9">
        <v>22</v>
      </c>
      <c r="B28" s="10" t="s">
        <v>40</v>
      </c>
      <c r="C28" s="16">
        <v>5</v>
      </c>
      <c r="D28" s="39" t="s">
        <v>495</v>
      </c>
      <c r="E28" s="12">
        <v>1</v>
      </c>
      <c r="F28" s="10">
        <v>168</v>
      </c>
      <c r="G28" s="10">
        <v>78</v>
      </c>
      <c r="H28" s="10">
        <v>3525</v>
      </c>
      <c r="I28" s="10">
        <v>9</v>
      </c>
      <c r="J28" s="10">
        <v>180</v>
      </c>
      <c r="K28" s="10">
        <v>12</v>
      </c>
      <c r="L28" s="10" t="s">
        <v>43</v>
      </c>
      <c r="M28" s="10">
        <v>3</v>
      </c>
      <c r="N28" s="13">
        <f t="shared" si="0"/>
        <v>27.636054421768709</v>
      </c>
      <c r="O28" s="6">
        <f>LOOKUP(N28,Sheet6!$J$4:$J$11,Sheet6!$B$4:$B$11)*0.15</f>
        <v>9</v>
      </c>
      <c r="P28" s="14">
        <f>LOOKUP(H28,Sheet6!$J$25:$J$66,Sheet6!$B$25:$B$66)*0.15</f>
        <v>12.75</v>
      </c>
      <c r="Q28" s="6">
        <f>LOOKUP(I28,Sheet6!$J$115:$J$156,Sheet6!$B$115:$B$156)*0.2</f>
        <v>13.600000000000001</v>
      </c>
      <c r="R28" s="6">
        <f>LOOKUP(J28,Sheet6!$D$465:$D$506,Sheet6!$B$465:$B$506)*0.1</f>
        <v>6.4</v>
      </c>
      <c r="S28" s="6">
        <f>LOOKUP(K28,Sheet6!$J$205:$J$246,Sheet6!$B$205:$B$246)*0.1</f>
        <v>8</v>
      </c>
      <c r="T28" s="6">
        <f>LOOKUP(L28,Sheet6!$F$688:$F$749,Sheet6!$B$688:$B$749)*0.2</f>
        <v>17</v>
      </c>
      <c r="U28" s="6">
        <f>LOOKUP(M28,Sheet6!$D$600:$D$626,Sheet6!$B$600:$B$626)*0.1</f>
        <v>4</v>
      </c>
      <c r="V28" s="6">
        <f t="shared" si="1"/>
        <v>70.75</v>
      </c>
      <c r="W28" s="6" t="str">
        <f t="shared" si="2"/>
        <v>及格</v>
      </c>
    </row>
    <row r="29" spans="1:23" ht="24.75" customHeight="1">
      <c r="A29" s="9">
        <v>22</v>
      </c>
      <c r="B29" s="10" t="s">
        <v>40</v>
      </c>
      <c r="C29" s="11">
        <v>6</v>
      </c>
      <c r="D29" s="39" t="s">
        <v>496</v>
      </c>
      <c r="E29" s="12">
        <v>1</v>
      </c>
      <c r="F29" s="10">
        <v>164.9</v>
      </c>
      <c r="G29" s="10">
        <v>55.6</v>
      </c>
      <c r="H29" s="10">
        <v>4306</v>
      </c>
      <c r="I29" s="17">
        <v>7.8</v>
      </c>
      <c r="J29" s="10">
        <v>200</v>
      </c>
      <c r="K29" s="10">
        <v>19</v>
      </c>
      <c r="L29" s="10" t="s">
        <v>44</v>
      </c>
      <c r="M29" s="10">
        <v>21</v>
      </c>
      <c r="N29" s="13">
        <f t="shared" si="0"/>
        <v>20.447182830544705</v>
      </c>
      <c r="O29" s="6">
        <f>LOOKUP(N29,Sheet6!$J$4:$J$11,Sheet6!$B$4:$B$11)*0.15</f>
        <v>15</v>
      </c>
      <c r="P29" s="14">
        <f>LOOKUP(H29,Sheet6!$J$25:$J$66,Sheet6!$B$25:$B$66)*0.15</f>
        <v>15</v>
      </c>
      <c r="Q29" s="6">
        <f>LOOKUP(I29,Sheet6!$J$115:$J$156,Sheet6!$B$115:$B$156)*0.2</f>
        <v>17</v>
      </c>
      <c r="R29" s="6">
        <f>LOOKUP(J29,Sheet6!$D$465:$D$506,Sheet6!$B$465:$B$506)*0.1</f>
        <v>7.4</v>
      </c>
      <c r="S29" s="6">
        <f>LOOKUP(K29,Sheet6!$J$205:$J$246,Sheet6!$B$205:$B$246)*0.1</f>
        <v>9.5</v>
      </c>
      <c r="T29" s="6">
        <f>LOOKUP(L29,Sheet6!$F$688:$F$749,Sheet6!$B$688:$B$749)*0.2</f>
        <v>19</v>
      </c>
      <c r="U29" s="6">
        <f>LOOKUP(M29,Sheet6!$D$600:$D$626,Sheet6!$B$600:$B$626)*0.1</f>
        <v>17</v>
      </c>
      <c r="V29" s="6">
        <f t="shared" si="1"/>
        <v>99.9</v>
      </c>
      <c r="W29" s="6" t="str">
        <f t="shared" si="2"/>
        <v>优秀</v>
      </c>
    </row>
    <row r="30" spans="1:23" ht="24.75" customHeight="1">
      <c r="A30" s="9">
        <v>22</v>
      </c>
      <c r="B30" s="10" t="s">
        <v>40</v>
      </c>
      <c r="C30" s="11">
        <v>7</v>
      </c>
      <c r="D30" s="39" t="s">
        <v>497</v>
      </c>
      <c r="E30" s="12">
        <v>1</v>
      </c>
      <c r="F30" s="10">
        <v>155</v>
      </c>
      <c r="G30" s="10">
        <v>36.200000000000003</v>
      </c>
      <c r="H30" s="10">
        <v>2724</v>
      </c>
      <c r="I30" s="10">
        <v>8.9</v>
      </c>
      <c r="J30" s="10">
        <v>175</v>
      </c>
      <c r="K30" s="10">
        <v>13</v>
      </c>
      <c r="L30" s="10" t="s">
        <v>45</v>
      </c>
      <c r="M30" s="10">
        <v>10</v>
      </c>
      <c r="N30" s="13">
        <f t="shared" si="0"/>
        <v>15.06763787721124</v>
      </c>
      <c r="O30" s="6">
        <f>LOOKUP(N30,Sheet6!$J$4:$J$11,Sheet6!$B$4:$B$11)*0.15</f>
        <v>12</v>
      </c>
      <c r="P30" s="14">
        <f>LOOKUP(H30,Sheet6!$J$25:$J$66,Sheet6!$B$25:$B$66)*0.15</f>
        <v>10.799999999999999</v>
      </c>
      <c r="Q30" s="6">
        <f>LOOKUP(I30,Sheet6!$J$115:$J$156,Sheet6!$B$115:$B$156)*0.2</f>
        <v>14</v>
      </c>
      <c r="R30" s="6">
        <f>LOOKUP(J30,Sheet6!$D$465:$D$506,Sheet6!$B$465:$B$506)*0.1</f>
        <v>6.2</v>
      </c>
      <c r="S30" s="6">
        <f>LOOKUP(K30,Sheet6!$J$205:$J$246,Sheet6!$B$205:$B$246)*0.1</f>
        <v>8</v>
      </c>
      <c r="T30" s="6">
        <f>LOOKUP(L30,Sheet6!$F$688:$F$749,Sheet6!$B$688:$B$749)*0.2</f>
        <v>13.600000000000001</v>
      </c>
      <c r="U30" s="6">
        <f>LOOKUP(M30,Sheet6!$D$600:$D$626,Sheet6!$B$600:$B$626)*0.1</f>
        <v>8</v>
      </c>
      <c r="V30" s="6">
        <f t="shared" si="1"/>
        <v>72.599999999999994</v>
      </c>
      <c r="W30" s="6" t="str">
        <f t="shared" si="2"/>
        <v>及格</v>
      </c>
    </row>
    <row r="31" spans="1:23" ht="24.75" customHeight="1">
      <c r="A31" s="9">
        <v>22</v>
      </c>
      <c r="B31" s="10" t="s">
        <v>40</v>
      </c>
      <c r="C31" s="16">
        <v>8</v>
      </c>
      <c r="D31" s="39" t="s">
        <v>498</v>
      </c>
      <c r="E31" s="12">
        <v>1</v>
      </c>
      <c r="F31" s="10">
        <v>167.5</v>
      </c>
      <c r="G31" s="10">
        <v>50.8</v>
      </c>
      <c r="H31" s="10">
        <v>2175</v>
      </c>
      <c r="I31" s="10">
        <v>6.9</v>
      </c>
      <c r="J31" s="10">
        <v>235</v>
      </c>
      <c r="K31" s="10">
        <v>21</v>
      </c>
      <c r="L31" s="10" t="s">
        <v>46</v>
      </c>
      <c r="M31" s="10">
        <v>6</v>
      </c>
      <c r="N31" s="13">
        <f t="shared" si="0"/>
        <v>18.106482512809087</v>
      </c>
      <c r="O31" s="6">
        <f>LOOKUP(N31,Sheet6!$J$4:$J$11,Sheet6!$B$4:$B$11)*0.15</f>
        <v>15</v>
      </c>
      <c r="P31" s="14">
        <f>LOOKUP(H31,Sheet6!$J$25:$J$66,Sheet6!$B$25:$B$66)*0.15</f>
        <v>9.2999999999999989</v>
      </c>
      <c r="Q31" s="6">
        <f>LOOKUP(I31,Sheet6!$J$115:$J$156,Sheet6!$B$115:$B$156)*0.2</f>
        <v>20</v>
      </c>
      <c r="R31" s="6">
        <f>LOOKUP(J31,Sheet6!$D$465:$D$506,Sheet6!$B$465:$B$506)*0.1</f>
        <v>9.5</v>
      </c>
      <c r="S31" s="6">
        <f>LOOKUP(K31,Sheet6!$J$205:$J$246,Sheet6!$B$205:$B$246)*0.1</f>
        <v>10</v>
      </c>
      <c r="T31" s="6">
        <f>LOOKUP(L31,Sheet6!$F$688:$F$749,Sheet6!$B$688:$B$749)*0.2</f>
        <v>24</v>
      </c>
      <c r="U31" s="6">
        <f>LOOKUP(M31,Sheet6!$D$600:$D$626,Sheet6!$B$600:$B$626)*0.1</f>
        <v>6.4</v>
      </c>
      <c r="V31" s="6">
        <f t="shared" si="1"/>
        <v>94.2</v>
      </c>
      <c r="W31" s="6" t="str">
        <f t="shared" si="2"/>
        <v>优秀</v>
      </c>
    </row>
    <row r="32" spans="1:23" ht="24.75" customHeight="1">
      <c r="A32" s="9">
        <v>22</v>
      </c>
      <c r="B32" s="10" t="s">
        <v>40</v>
      </c>
      <c r="C32" s="11">
        <v>9</v>
      </c>
      <c r="D32" s="39" t="s">
        <v>499</v>
      </c>
      <c r="E32" s="12">
        <v>1</v>
      </c>
      <c r="F32" s="10">
        <v>174</v>
      </c>
      <c r="G32" s="10">
        <v>62.1</v>
      </c>
      <c r="H32" s="10">
        <v>4181</v>
      </c>
      <c r="I32" s="10">
        <v>7</v>
      </c>
      <c r="J32" s="10">
        <v>220</v>
      </c>
      <c r="K32" s="10">
        <v>16</v>
      </c>
      <c r="L32" s="10" t="s">
        <v>47</v>
      </c>
      <c r="M32" s="10">
        <v>3</v>
      </c>
      <c r="N32" s="13">
        <f t="shared" si="0"/>
        <v>20.511296076099878</v>
      </c>
      <c r="O32" s="6">
        <f>LOOKUP(N32,Sheet6!$J$4:$J$11,Sheet6!$B$4:$B$11)*0.15</f>
        <v>15</v>
      </c>
      <c r="P32" s="14">
        <f>LOOKUP(H32,Sheet6!$J$25:$J$66,Sheet6!$B$25:$B$66)*0.15</f>
        <v>15</v>
      </c>
      <c r="Q32" s="6">
        <f>LOOKUP(I32,Sheet6!$J$115:$J$156,Sheet6!$B$115:$B$156)*0.2</f>
        <v>20</v>
      </c>
      <c r="R32" s="6">
        <f>LOOKUP(J32,Sheet6!$D$465:$D$506,Sheet6!$B$465:$B$506)*0.1</f>
        <v>8.5</v>
      </c>
      <c r="S32" s="6">
        <f>LOOKUP(K32,Sheet6!$J$205:$J$246,Sheet6!$B$205:$B$246)*0.1</f>
        <v>9</v>
      </c>
      <c r="T32" s="6">
        <f>LOOKUP(L32,Sheet6!$F$688:$F$749,Sheet6!$B$688:$B$749)*0.2</f>
        <v>21</v>
      </c>
      <c r="U32" s="6">
        <f>LOOKUP(M32,Sheet6!$D$600:$D$626,Sheet6!$B$600:$B$626)*0.1</f>
        <v>4</v>
      </c>
      <c r="V32" s="6">
        <f t="shared" si="1"/>
        <v>92.5</v>
      </c>
      <c r="W32" s="6" t="str">
        <f t="shared" si="2"/>
        <v>优秀</v>
      </c>
    </row>
    <row r="33" spans="1:26" ht="24.75" customHeight="1">
      <c r="A33" s="9">
        <v>22</v>
      </c>
      <c r="B33" s="10" t="s">
        <v>40</v>
      </c>
      <c r="C33" s="11">
        <v>10</v>
      </c>
      <c r="D33" s="39" t="s">
        <v>500</v>
      </c>
      <c r="E33" s="12">
        <v>1</v>
      </c>
      <c r="F33" s="10">
        <v>176</v>
      </c>
      <c r="G33" s="10">
        <v>58.5</v>
      </c>
      <c r="H33" s="10">
        <v>4103</v>
      </c>
      <c r="I33" s="17">
        <v>7.1</v>
      </c>
      <c r="J33" s="10">
        <v>230</v>
      </c>
      <c r="K33" s="10">
        <v>12</v>
      </c>
      <c r="L33" s="10" t="s">
        <v>48</v>
      </c>
      <c r="M33" s="10">
        <v>10</v>
      </c>
      <c r="N33" s="13">
        <f t="shared" si="0"/>
        <v>18.885588842975206</v>
      </c>
      <c r="O33" s="6">
        <f>LOOKUP(N33,Sheet6!$J$4:$J$11,Sheet6!$B$4:$B$11)*0.15</f>
        <v>15</v>
      </c>
      <c r="P33" s="14">
        <f>LOOKUP(H33,Sheet6!$J$25:$J$66,Sheet6!$B$25:$B$66)*0.15</f>
        <v>15</v>
      </c>
      <c r="Q33" s="6">
        <f>LOOKUP(I33,Sheet6!$J$115:$J$156,Sheet6!$B$115:$B$156)*0.2</f>
        <v>20</v>
      </c>
      <c r="R33" s="6">
        <f>LOOKUP(J33,Sheet6!$D$465:$D$506,Sheet6!$B$465:$B$506)*0.1</f>
        <v>9</v>
      </c>
      <c r="S33" s="6">
        <f>LOOKUP(K33,Sheet6!$J$205:$J$246,Sheet6!$B$205:$B$246)*0.1</f>
        <v>8</v>
      </c>
      <c r="T33" s="6">
        <f>LOOKUP(L33,Sheet6!$F$688:$F$749,Sheet6!$B$688:$B$749)*0.2</f>
        <v>18</v>
      </c>
      <c r="U33" s="6">
        <f>LOOKUP(M33,Sheet6!$D$600:$D$626,Sheet6!$B$600:$B$626)*0.1</f>
        <v>8</v>
      </c>
      <c r="V33" s="6">
        <f t="shared" si="1"/>
        <v>93</v>
      </c>
      <c r="W33" s="6" t="str">
        <f t="shared" si="2"/>
        <v>优秀</v>
      </c>
    </row>
    <row r="34" spans="1:26" ht="24.75" customHeight="1">
      <c r="A34" s="9">
        <v>22</v>
      </c>
      <c r="B34" s="10" t="s">
        <v>40</v>
      </c>
      <c r="C34" s="16">
        <v>11</v>
      </c>
      <c r="D34" s="39" t="s">
        <v>501</v>
      </c>
      <c r="E34" s="12">
        <v>1</v>
      </c>
      <c r="F34" s="10">
        <v>172.7</v>
      </c>
      <c r="G34" s="10">
        <v>74.2</v>
      </c>
      <c r="H34" s="10">
        <v>3717</v>
      </c>
      <c r="I34" s="10">
        <v>8.6</v>
      </c>
      <c r="J34" s="10">
        <v>190</v>
      </c>
      <c r="K34" s="10">
        <v>22</v>
      </c>
      <c r="L34" s="10" t="s">
        <v>49</v>
      </c>
      <c r="M34" s="10">
        <v>3</v>
      </c>
      <c r="N34" s="13">
        <f t="shared" ref="N34:N65" si="3">G34/(F34*F34)*10000</f>
        <v>24.878215769234771</v>
      </c>
      <c r="O34" s="6">
        <f>LOOKUP(N34,Sheet6!$J$4:$J$11,Sheet6!$B$4:$B$11)*0.15</f>
        <v>12</v>
      </c>
      <c r="P34" s="14">
        <f>LOOKUP(H34,Sheet6!$J$25:$J$66,Sheet6!$B$25:$B$66)*0.15</f>
        <v>14.25</v>
      </c>
      <c r="Q34" s="6">
        <f>LOOKUP(I34,Sheet6!$J$115:$J$156,Sheet6!$B$115:$B$156)*0.2</f>
        <v>14.4</v>
      </c>
      <c r="R34" s="6">
        <f>LOOKUP(J34,Sheet6!$D$465:$D$506,Sheet6!$B$465:$B$506)*0.1</f>
        <v>7</v>
      </c>
      <c r="S34" s="6">
        <f>LOOKUP(K34,Sheet6!$J$205:$J$246,Sheet6!$B$205:$B$246)*0.1</f>
        <v>10</v>
      </c>
      <c r="T34" s="6">
        <f>LOOKUP(L34,Sheet6!$F$688:$F$749,Sheet6!$B$688:$B$749)*0.2</f>
        <v>15.200000000000001</v>
      </c>
      <c r="U34" s="6">
        <f>LOOKUP(M34,Sheet6!$D$600:$D$626,Sheet6!$B$600:$B$626)*0.1</f>
        <v>4</v>
      </c>
      <c r="V34" s="6">
        <f t="shared" ref="V34:V65" si="4">O34+P34+Q34+R34+S34+T34+U34</f>
        <v>76.849999999999994</v>
      </c>
      <c r="W34" s="6" t="str">
        <f t="shared" ref="W34:W65" si="5">IF(V34&lt;60,"不及格",IF(V34&lt;80,"及格",IF(V34&lt;90,"良好",IF(V34&lt;121,"优秀"))))</f>
        <v>及格</v>
      </c>
    </row>
    <row r="35" spans="1:26" ht="24.75" customHeight="1">
      <c r="A35" s="9">
        <v>22</v>
      </c>
      <c r="B35" s="10" t="s">
        <v>40</v>
      </c>
      <c r="C35" s="11">
        <v>12</v>
      </c>
      <c r="D35" s="39" t="s">
        <v>502</v>
      </c>
      <c r="E35" s="12">
        <v>1</v>
      </c>
      <c r="F35" s="10">
        <v>170</v>
      </c>
      <c r="G35" s="10">
        <v>69.7</v>
      </c>
      <c r="H35" s="10">
        <v>3858</v>
      </c>
      <c r="I35" s="10">
        <v>7</v>
      </c>
      <c r="J35" s="10">
        <v>195</v>
      </c>
      <c r="K35" s="10">
        <v>12</v>
      </c>
      <c r="L35" s="10" t="s">
        <v>50</v>
      </c>
      <c r="M35" s="10">
        <v>11</v>
      </c>
      <c r="N35" s="13">
        <f t="shared" si="3"/>
        <v>24.117647058823529</v>
      </c>
      <c r="O35" s="6">
        <f>LOOKUP(N35,Sheet6!$J$4:$J$11,Sheet6!$B$4:$B$11)*0.15</f>
        <v>12</v>
      </c>
      <c r="P35" s="14">
        <f>LOOKUP(H35,Sheet6!$J$25:$J$66,Sheet6!$B$25:$B$66)*0.15</f>
        <v>14.25</v>
      </c>
      <c r="Q35" s="6">
        <f>LOOKUP(I35,Sheet6!$J$115:$J$156,Sheet6!$B$115:$B$156)*0.2</f>
        <v>20</v>
      </c>
      <c r="R35" s="6">
        <f>LOOKUP(J35,Sheet6!$D$465:$D$506,Sheet6!$B$465:$B$506)*0.1</f>
        <v>7.2</v>
      </c>
      <c r="S35" s="6">
        <f>LOOKUP(K35,Sheet6!$J$205:$J$246,Sheet6!$B$205:$B$246)*0.1</f>
        <v>8</v>
      </c>
      <c r="T35" s="6">
        <f>LOOKUP(L35,Sheet6!$F$688:$F$749,Sheet6!$B$688:$B$749)*0.2</f>
        <v>15.600000000000001</v>
      </c>
      <c r="U35" s="6">
        <f>LOOKUP(M35,Sheet6!$D$600:$D$626,Sheet6!$B$600:$B$626)*0.1</f>
        <v>8.5</v>
      </c>
      <c r="V35" s="6">
        <f t="shared" si="4"/>
        <v>85.550000000000011</v>
      </c>
      <c r="W35" s="6" t="str">
        <f t="shared" si="5"/>
        <v>良好</v>
      </c>
    </row>
    <row r="36" spans="1:26" ht="24.75" customHeight="1">
      <c r="A36" s="9">
        <v>22</v>
      </c>
      <c r="B36" s="10" t="s">
        <v>40</v>
      </c>
      <c r="C36" s="11">
        <v>13</v>
      </c>
      <c r="D36" s="39" t="s">
        <v>503</v>
      </c>
      <c r="E36" s="12">
        <v>1</v>
      </c>
      <c r="F36" s="10">
        <v>173</v>
      </c>
      <c r="G36" s="10">
        <v>79.099999999999994</v>
      </c>
      <c r="H36" s="10">
        <v>3752</v>
      </c>
      <c r="I36" s="10">
        <v>8.6</v>
      </c>
      <c r="J36" s="10">
        <v>175</v>
      </c>
      <c r="K36" s="10">
        <v>17</v>
      </c>
      <c r="L36" s="10" t="s">
        <v>51</v>
      </c>
      <c r="M36" s="10">
        <v>3</v>
      </c>
      <c r="N36" s="13">
        <f t="shared" si="3"/>
        <v>26.429215810752112</v>
      </c>
      <c r="O36" s="6">
        <f>LOOKUP(N36,Sheet6!$J$4:$J$11,Sheet6!$B$4:$B$11)*0.15</f>
        <v>9</v>
      </c>
      <c r="P36" s="14">
        <f>LOOKUP(H36,Sheet6!$J$25:$J$66,Sheet6!$B$25:$B$66)*0.15</f>
        <v>14.25</v>
      </c>
      <c r="Q36" s="6">
        <f>LOOKUP(I36,Sheet6!$J$115:$J$156,Sheet6!$B$115:$B$156)*0.2</f>
        <v>14.4</v>
      </c>
      <c r="R36" s="6">
        <f>LOOKUP(J36,Sheet6!$D$465:$D$506,Sheet6!$B$465:$B$506)*0.1</f>
        <v>6.2</v>
      </c>
      <c r="S36" s="6">
        <f>LOOKUP(K36,Sheet6!$J$205:$J$246,Sheet6!$B$205:$B$246)*0.1</f>
        <v>9</v>
      </c>
      <c r="T36" s="6">
        <f>LOOKUP(L36,Sheet6!$F$688:$F$749,Sheet6!$B$688:$B$749)*0.2</f>
        <v>13.600000000000001</v>
      </c>
      <c r="U36" s="6">
        <f>LOOKUP(M36,Sheet6!$D$600:$D$626,Sheet6!$B$600:$B$626)*0.1</f>
        <v>4</v>
      </c>
      <c r="V36" s="6">
        <f t="shared" si="4"/>
        <v>70.45</v>
      </c>
      <c r="W36" s="6" t="str">
        <f t="shared" si="5"/>
        <v>及格</v>
      </c>
    </row>
    <row r="37" spans="1:26" ht="24.75" customHeight="1">
      <c r="A37" s="9">
        <v>22</v>
      </c>
      <c r="B37" s="10" t="s">
        <v>40</v>
      </c>
      <c r="C37" s="16">
        <v>14</v>
      </c>
      <c r="D37" s="39" t="s">
        <v>504</v>
      </c>
      <c r="E37" s="12">
        <v>1</v>
      </c>
      <c r="F37" s="10">
        <v>169.9</v>
      </c>
      <c r="G37" s="10">
        <v>62.8</v>
      </c>
      <c r="H37" s="10">
        <v>4834</v>
      </c>
      <c r="I37" s="10">
        <v>7.3</v>
      </c>
      <c r="J37" s="10">
        <v>215</v>
      </c>
      <c r="K37" s="10">
        <v>12</v>
      </c>
      <c r="L37" s="10" t="s">
        <v>52</v>
      </c>
      <c r="M37" s="10">
        <v>10</v>
      </c>
      <c r="N37" s="13">
        <f t="shared" si="3"/>
        <v>21.755691209141823</v>
      </c>
      <c r="O37" s="6">
        <f>LOOKUP(N37,Sheet6!$J$4:$J$11,Sheet6!$B$4:$B$11)*0.15</f>
        <v>15</v>
      </c>
      <c r="P37" s="14">
        <f>LOOKUP(H37,Sheet6!$J$25:$J$66,Sheet6!$B$25:$B$66)*0.15</f>
        <v>15</v>
      </c>
      <c r="Q37" s="6">
        <f>LOOKUP(I37,Sheet6!$J$115:$J$156,Sheet6!$B$115:$B$156)*0.2</f>
        <v>20</v>
      </c>
      <c r="R37" s="6">
        <f>LOOKUP(J37,Sheet6!$D$465:$D$506,Sheet6!$B$465:$B$506)*0.1</f>
        <v>8</v>
      </c>
      <c r="S37" s="6">
        <f>LOOKUP(K37,Sheet6!$J$205:$J$246,Sheet6!$B$205:$B$246)*0.1</f>
        <v>8</v>
      </c>
      <c r="T37" s="6">
        <f>LOOKUP(L37,Sheet6!$F$688:$F$749,Sheet6!$B$688:$B$749)*0.2</f>
        <v>21</v>
      </c>
      <c r="U37" s="6">
        <f>LOOKUP(M37,Sheet6!$D$600:$D$626,Sheet6!$B$600:$B$626)*0.1</f>
        <v>8</v>
      </c>
      <c r="V37" s="6">
        <f t="shared" si="4"/>
        <v>95</v>
      </c>
      <c r="W37" s="6" t="str">
        <f t="shared" si="5"/>
        <v>优秀</v>
      </c>
    </row>
    <row r="38" spans="1:26" ht="24.75" customHeight="1">
      <c r="A38" s="9">
        <v>22</v>
      </c>
      <c r="B38" s="10" t="s">
        <v>40</v>
      </c>
      <c r="C38" s="11">
        <v>15</v>
      </c>
      <c r="D38" s="39" t="s">
        <v>505</v>
      </c>
      <c r="E38" s="12">
        <v>1</v>
      </c>
      <c r="F38" s="10">
        <v>172.1</v>
      </c>
      <c r="G38" s="10">
        <v>56.6</v>
      </c>
      <c r="H38" s="10">
        <v>4213</v>
      </c>
      <c r="I38" s="17">
        <v>8.1</v>
      </c>
      <c r="J38" s="10">
        <v>190</v>
      </c>
      <c r="K38" s="10">
        <v>15</v>
      </c>
      <c r="L38" s="10" t="s">
        <v>53</v>
      </c>
      <c r="M38" s="10">
        <v>7</v>
      </c>
      <c r="N38" s="13">
        <f t="shared" si="3"/>
        <v>19.10973614046129</v>
      </c>
      <c r="O38" s="6">
        <f>LOOKUP(N38,Sheet6!$J$4:$J$11,Sheet6!$B$4:$B$11)*0.15</f>
        <v>15</v>
      </c>
      <c r="P38" s="14">
        <f>LOOKUP(H38,Sheet6!$J$25:$J$66,Sheet6!$B$25:$B$66)*0.15</f>
        <v>15</v>
      </c>
      <c r="Q38" s="6">
        <f>LOOKUP(I38,Sheet6!$J$115:$J$156,Sheet6!$B$115:$B$156)*0.2</f>
        <v>15.600000000000001</v>
      </c>
      <c r="R38" s="6">
        <f>LOOKUP(J38,Sheet6!$D$465:$D$506,Sheet6!$B$465:$B$506)*0.1</f>
        <v>7</v>
      </c>
      <c r="S38" s="6">
        <f>LOOKUP(K38,Sheet6!$J$205:$J$246,Sheet6!$B$205:$B$246)*0.1</f>
        <v>8.5</v>
      </c>
      <c r="T38" s="6">
        <f>LOOKUP(L38,Sheet6!$F$688:$F$749,Sheet6!$B$688:$B$749)*0.2</f>
        <v>17</v>
      </c>
      <c r="U38" s="6">
        <f>LOOKUP(M38,Sheet6!$D$600:$D$626,Sheet6!$B$600:$B$626)*0.1</f>
        <v>6.8000000000000007</v>
      </c>
      <c r="V38" s="6">
        <f t="shared" si="4"/>
        <v>84.899999999999991</v>
      </c>
      <c r="W38" s="6" t="str">
        <f t="shared" si="5"/>
        <v>良好</v>
      </c>
    </row>
    <row r="39" spans="1:26" ht="24.75" customHeight="1">
      <c r="A39" s="9">
        <v>22</v>
      </c>
      <c r="B39" s="10" t="s">
        <v>40</v>
      </c>
      <c r="C39" s="11">
        <v>16</v>
      </c>
      <c r="D39" s="39" t="s">
        <v>506</v>
      </c>
      <c r="E39" s="12">
        <v>1</v>
      </c>
      <c r="F39" s="10">
        <v>172</v>
      </c>
      <c r="G39" s="10">
        <v>85</v>
      </c>
      <c r="H39" s="10">
        <v>3567</v>
      </c>
      <c r="I39" s="10">
        <v>8</v>
      </c>
      <c r="J39" s="10">
        <v>180</v>
      </c>
      <c r="K39" s="10">
        <v>15</v>
      </c>
      <c r="L39" s="10" t="s">
        <v>54</v>
      </c>
      <c r="M39" s="10">
        <v>3</v>
      </c>
      <c r="N39" s="13">
        <f t="shared" si="3"/>
        <v>28.731746890210925</v>
      </c>
      <c r="O39" s="6">
        <f>LOOKUP(N39,Sheet6!$J$4:$J$11,Sheet6!$B$4:$B$11)*0.15</f>
        <v>9</v>
      </c>
      <c r="P39" s="14">
        <f>LOOKUP(H39,Sheet6!$J$25:$J$66,Sheet6!$B$25:$B$66)*0.15</f>
        <v>12.75</v>
      </c>
      <c r="Q39" s="6">
        <f>LOOKUP(I39,Sheet6!$J$115:$J$156,Sheet6!$B$115:$B$156)*0.2</f>
        <v>15.600000000000001</v>
      </c>
      <c r="R39" s="6">
        <f>LOOKUP(J39,Sheet6!$D$465:$D$506,Sheet6!$B$465:$B$506)*0.1</f>
        <v>6.4</v>
      </c>
      <c r="S39" s="6">
        <f>LOOKUP(K39,Sheet6!$J$205:$J$246,Sheet6!$B$205:$B$246)*0.1</f>
        <v>8.5</v>
      </c>
      <c r="T39" s="6">
        <f>LOOKUP(L39,Sheet6!$F$688:$F$749,Sheet6!$B$688:$B$749)*0.2</f>
        <v>18</v>
      </c>
      <c r="U39" s="6">
        <f>LOOKUP(M39,Sheet6!$D$600:$D$626,Sheet6!$B$600:$B$626)*0.1</f>
        <v>4</v>
      </c>
      <c r="V39" s="6">
        <f t="shared" si="4"/>
        <v>74.25</v>
      </c>
      <c r="W39" s="6" t="str">
        <f t="shared" si="5"/>
        <v>及格</v>
      </c>
    </row>
    <row r="40" spans="1:26" ht="24.75" customHeight="1">
      <c r="A40" s="9">
        <v>22</v>
      </c>
      <c r="B40" s="10" t="s">
        <v>40</v>
      </c>
      <c r="C40" s="16">
        <v>17</v>
      </c>
      <c r="D40" s="39" t="s">
        <v>507</v>
      </c>
      <c r="E40" s="12">
        <v>1</v>
      </c>
      <c r="F40" s="10">
        <v>169.8</v>
      </c>
      <c r="G40" s="10">
        <v>45.3</v>
      </c>
      <c r="H40" s="10">
        <v>3678</v>
      </c>
      <c r="I40" s="10">
        <v>7.6</v>
      </c>
      <c r="J40" s="10">
        <v>210</v>
      </c>
      <c r="K40" s="10">
        <v>20</v>
      </c>
      <c r="L40" s="10" t="s">
        <v>23</v>
      </c>
      <c r="M40" s="10">
        <v>10</v>
      </c>
      <c r="N40" s="13">
        <f t="shared" si="3"/>
        <v>15.711687414418122</v>
      </c>
      <c r="O40" s="6">
        <f>LOOKUP(N40,Sheet6!$J$4:$J$11,Sheet6!$B$4:$B$11)*0.15</f>
        <v>15</v>
      </c>
      <c r="P40" s="14">
        <f>LOOKUP(H40,Sheet6!$J$25:$J$66,Sheet6!$B$25:$B$66)*0.15</f>
        <v>12.75</v>
      </c>
      <c r="Q40" s="6">
        <f>LOOKUP(I40,Sheet6!$J$115:$J$156,Sheet6!$B$115:$B$156)*0.2</f>
        <v>19</v>
      </c>
      <c r="R40" s="6">
        <f>LOOKUP(J40,Sheet6!$D$465:$D$506,Sheet6!$B$465:$B$506)*0.1</f>
        <v>8</v>
      </c>
      <c r="S40" s="6">
        <f>LOOKUP(K40,Sheet6!$J$205:$J$246,Sheet6!$B$205:$B$246)*0.1</f>
        <v>10</v>
      </c>
      <c r="T40" s="6">
        <f>LOOKUP(L40,Sheet6!$F$688:$F$749,Sheet6!$B$688:$B$749)*0.2</f>
        <v>16</v>
      </c>
      <c r="U40" s="6">
        <f>LOOKUP(M40,Sheet6!$D$600:$D$626,Sheet6!$B$600:$B$626)*0.1</f>
        <v>8</v>
      </c>
      <c r="V40" s="6">
        <f t="shared" si="4"/>
        <v>88.75</v>
      </c>
      <c r="W40" s="6" t="str">
        <f t="shared" si="5"/>
        <v>良好</v>
      </c>
    </row>
    <row r="41" spans="1:26" ht="24.75" customHeight="1">
      <c r="A41" s="9">
        <v>22</v>
      </c>
      <c r="B41" s="10" t="s">
        <v>40</v>
      </c>
      <c r="C41" s="11">
        <v>18</v>
      </c>
      <c r="D41" s="39" t="s">
        <v>508</v>
      </c>
      <c r="E41" s="12">
        <v>1</v>
      </c>
      <c r="F41" s="10">
        <v>152.19999999999999</v>
      </c>
      <c r="G41" s="10">
        <v>34.1</v>
      </c>
      <c r="H41" s="10">
        <v>2842</v>
      </c>
      <c r="I41" s="10">
        <v>7.9</v>
      </c>
      <c r="J41" s="10">
        <v>205</v>
      </c>
      <c r="K41" s="10">
        <v>15</v>
      </c>
      <c r="L41" s="10" t="s">
        <v>23</v>
      </c>
      <c r="M41" s="10">
        <v>20</v>
      </c>
      <c r="N41" s="13">
        <f t="shared" si="3"/>
        <v>14.720585162686213</v>
      </c>
      <c r="O41" s="6">
        <f>LOOKUP(N41,Sheet6!$J$4:$J$11,Sheet6!$B$4:$B$11)*0.15</f>
        <v>12</v>
      </c>
      <c r="P41" s="14">
        <f>LOOKUP(H41,Sheet6!$J$25:$J$66,Sheet6!$B$25:$B$66)*0.15</f>
        <v>11.1</v>
      </c>
      <c r="Q41" s="6">
        <f>LOOKUP(I41,Sheet6!$J$115:$J$156,Sheet6!$B$115:$B$156)*0.2</f>
        <v>16</v>
      </c>
      <c r="R41" s="6">
        <f>LOOKUP(J41,Sheet6!$D$465:$D$506,Sheet6!$B$465:$B$506)*0.1</f>
        <v>7.6000000000000005</v>
      </c>
      <c r="S41" s="6">
        <f>LOOKUP(K41,Sheet6!$J$205:$J$246,Sheet6!$B$205:$B$246)*0.1</f>
        <v>8.5</v>
      </c>
      <c r="T41" s="6">
        <f>LOOKUP(L41,Sheet6!$F$688:$F$749,Sheet6!$B$688:$B$749)*0.2</f>
        <v>16</v>
      </c>
      <c r="U41" s="6">
        <f>LOOKUP(M41,Sheet6!$D$600:$D$626,Sheet6!$B$600:$B$626)*0.1</f>
        <v>16</v>
      </c>
      <c r="V41" s="6">
        <f t="shared" si="4"/>
        <v>87.2</v>
      </c>
      <c r="W41" s="6" t="str">
        <f t="shared" si="5"/>
        <v>良好</v>
      </c>
    </row>
    <row r="42" spans="1:26" ht="24.75" customHeight="1">
      <c r="A42" s="9">
        <v>22</v>
      </c>
      <c r="B42" s="10" t="s">
        <v>40</v>
      </c>
      <c r="C42" s="11">
        <v>19</v>
      </c>
      <c r="D42" s="39" t="s">
        <v>509</v>
      </c>
      <c r="E42" s="12">
        <v>1</v>
      </c>
      <c r="F42" s="10">
        <v>168.6</v>
      </c>
      <c r="G42" s="10">
        <v>55.1</v>
      </c>
      <c r="H42" s="10">
        <v>3844</v>
      </c>
      <c r="I42" s="10">
        <v>7.6</v>
      </c>
      <c r="J42" s="10">
        <v>195</v>
      </c>
      <c r="K42" s="10">
        <v>12</v>
      </c>
      <c r="L42" s="10" t="s">
        <v>48</v>
      </c>
      <c r="M42" s="10">
        <v>5</v>
      </c>
      <c r="N42" s="13">
        <f t="shared" si="3"/>
        <v>19.383690119876338</v>
      </c>
      <c r="O42" s="6">
        <f>LOOKUP(N42,Sheet6!$J$4:$J$11,Sheet6!$B$4:$B$11)*0.15</f>
        <v>15</v>
      </c>
      <c r="P42" s="14">
        <f>LOOKUP(H42,Sheet6!$J$25:$J$66,Sheet6!$B$25:$B$66)*0.15</f>
        <v>14.25</v>
      </c>
      <c r="Q42" s="6">
        <f>LOOKUP(I42,Sheet6!$J$115:$J$156,Sheet6!$B$115:$B$156)*0.2</f>
        <v>19</v>
      </c>
      <c r="R42" s="6">
        <f>LOOKUP(J42,Sheet6!$D$465:$D$506,Sheet6!$B$465:$B$506)*0.1</f>
        <v>7.2</v>
      </c>
      <c r="S42" s="6">
        <f>LOOKUP(K42,Sheet6!$J$205:$J$246,Sheet6!$B$205:$B$246)*0.1</f>
        <v>8</v>
      </c>
      <c r="T42" s="6">
        <f>LOOKUP(L42,Sheet6!$F$688:$F$749,Sheet6!$B$688:$B$749)*0.2</f>
        <v>18</v>
      </c>
      <c r="U42" s="6">
        <f>LOOKUP(M42,Sheet6!$D$600:$D$626,Sheet6!$B$600:$B$626)*0.1</f>
        <v>6</v>
      </c>
      <c r="V42" s="6">
        <f t="shared" si="4"/>
        <v>87.45</v>
      </c>
      <c r="W42" s="6" t="str">
        <f t="shared" si="5"/>
        <v>良好</v>
      </c>
    </row>
    <row r="43" spans="1:26" ht="24.75" customHeight="1">
      <c r="A43" s="9">
        <v>22</v>
      </c>
      <c r="B43" s="10" t="s">
        <v>40</v>
      </c>
      <c r="C43" s="16">
        <v>20</v>
      </c>
      <c r="D43" s="39" t="s">
        <v>510</v>
      </c>
      <c r="E43" s="12">
        <v>1</v>
      </c>
      <c r="F43" s="10">
        <v>173.2</v>
      </c>
      <c r="G43" s="10">
        <v>50.1</v>
      </c>
      <c r="H43" s="10">
        <v>3078</v>
      </c>
      <c r="I43" s="10">
        <v>7.5</v>
      </c>
      <c r="J43" s="10">
        <v>230</v>
      </c>
      <c r="K43" s="10">
        <v>17</v>
      </c>
      <c r="L43" s="10" t="s">
        <v>48</v>
      </c>
      <c r="M43" s="10">
        <v>6</v>
      </c>
      <c r="N43" s="13">
        <f t="shared" si="3"/>
        <v>16.700979790814397</v>
      </c>
      <c r="O43" s="6">
        <f>LOOKUP(N43,Sheet6!$J$4:$J$11,Sheet6!$B$4:$B$11)*0.15</f>
        <v>15</v>
      </c>
      <c r="P43" s="14">
        <f>LOOKUP(H43,Sheet6!$J$25:$J$66,Sheet6!$B$25:$B$66)*0.15</f>
        <v>11.4</v>
      </c>
      <c r="Q43" s="6">
        <f>LOOKUP(I43,Sheet6!$J$115:$J$156,Sheet6!$B$115:$B$156)*0.2</f>
        <v>20</v>
      </c>
      <c r="R43" s="6">
        <f>LOOKUP(J43,Sheet6!$D$465:$D$506,Sheet6!$B$465:$B$506)*0.1</f>
        <v>9</v>
      </c>
      <c r="S43" s="6">
        <f>LOOKUP(K43,Sheet6!$J$205:$J$246,Sheet6!$B$205:$B$246)*0.1</f>
        <v>9</v>
      </c>
      <c r="T43" s="6">
        <f>LOOKUP(L43,Sheet6!$F$688:$F$749,Sheet6!$B$688:$B$749)*0.2</f>
        <v>18</v>
      </c>
      <c r="U43" s="6">
        <f>LOOKUP(M43,Sheet6!$D$600:$D$626,Sheet6!$B$600:$B$626)*0.1</f>
        <v>6.4</v>
      </c>
      <c r="V43" s="6">
        <f t="shared" si="4"/>
        <v>88.800000000000011</v>
      </c>
      <c r="W43" s="6" t="str">
        <f t="shared" si="5"/>
        <v>良好</v>
      </c>
    </row>
    <row r="44" spans="1:26" ht="24.75" customHeight="1">
      <c r="A44" s="9">
        <v>22</v>
      </c>
      <c r="B44" s="10" t="s">
        <v>40</v>
      </c>
      <c r="C44" s="11">
        <v>21</v>
      </c>
      <c r="D44" s="39" t="s">
        <v>511</v>
      </c>
      <c r="E44" s="12">
        <v>1</v>
      </c>
      <c r="F44" s="10">
        <v>168.5</v>
      </c>
      <c r="G44" s="10">
        <v>71.599999999999994</v>
      </c>
      <c r="H44" s="10">
        <v>4104</v>
      </c>
      <c r="I44" s="10">
        <v>7.2</v>
      </c>
      <c r="J44" s="10">
        <v>210</v>
      </c>
      <c r="K44" s="10">
        <v>19</v>
      </c>
      <c r="L44" s="10" t="s">
        <v>55</v>
      </c>
      <c r="M44" s="10">
        <v>10</v>
      </c>
      <c r="N44" s="13">
        <f t="shared" si="3"/>
        <v>25.218149318916254</v>
      </c>
      <c r="O44" s="6">
        <f>LOOKUP(N44,Sheet6!$J$4:$J$11,Sheet6!$B$4:$B$11)*0.15</f>
        <v>12</v>
      </c>
      <c r="P44" s="14">
        <f>LOOKUP(H44,Sheet6!$J$25:$J$66,Sheet6!$B$25:$B$66)*0.15</f>
        <v>15</v>
      </c>
      <c r="Q44" s="6">
        <f>LOOKUP(I44,Sheet6!$J$115:$J$156,Sheet6!$B$115:$B$156)*0.2</f>
        <v>20</v>
      </c>
      <c r="R44" s="6">
        <f>LOOKUP(J44,Sheet6!$D$465:$D$506,Sheet6!$B$465:$B$506)*0.1</f>
        <v>8</v>
      </c>
      <c r="S44" s="6">
        <f>LOOKUP(K44,Sheet6!$J$205:$J$246,Sheet6!$B$205:$B$246)*0.1</f>
        <v>9.5</v>
      </c>
      <c r="T44" s="6">
        <f>LOOKUP(L44,Sheet6!$F$688:$F$749,Sheet6!$B$688:$B$749)*0.2</f>
        <v>23</v>
      </c>
      <c r="U44" s="6">
        <f>LOOKUP(M44,Sheet6!$D$600:$D$626,Sheet6!$B$600:$B$626)*0.1</f>
        <v>8</v>
      </c>
      <c r="V44" s="6">
        <f t="shared" si="4"/>
        <v>95.5</v>
      </c>
      <c r="W44" s="6" t="str">
        <f t="shared" si="5"/>
        <v>优秀</v>
      </c>
    </row>
    <row r="45" spans="1:26" ht="24.75" customHeight="1">
      <c r="A45" s="9">
        <v>22</v>
      </c>
      <c r="B45" s="10" t="s">
        <v>40</v>
      </c>
      <c r="C45" s="11">
        <v>22</v>
      </c>
      <c r="D45" s="39" t="s">
        <v>512</v>
      </c>
      <c r="E45" s="12">
        <v>1</v>
      </c>
      <c r="F45" s="10">
        <v>159.4</v>
      </c>
      <c r="G45" s="10">
        <v>47.3</v>
      </c>
      <c r="H45" s="10">
        <v>3707</v>
      </c>
      <c r="I45" s="10">
        <v>7.2</v>
      </c>
      <c r="J45" s="10">
        <v>205</v>
      </c>
      <c r="K45" s="10">
        <v>12</v>
      </c>
      <c r="L45" s="10" t="s">
        <v>56</v>
      </c>
      <c r="M45" s="10">
        <v>10</v>
      </c>
      <c r="N45" s="13">
        <f t="shared" si="3"/>
        <v>18.615920114482002</v>
      </c>
      <c r="O45" s="6">
        <f>LOOKUP(N45,Sheet6!$J$4:$J$11,Sheet6!$B$4:$B$11)*0.15</f>
        <v>15</v>
      </c>
      <c r="P45" s="14">
        <f>LOOKUP(H45,Sheet6!$J$25:$J$66,Sheet6!$B$25:$B$66)*0.15</f>
        <v>14.25</v>
      </c>
      <c r="Q45" s="6">
        <f>LOOKUP(I45,Sheet6!$J$115:$J$156,Sheet6!$B$115:$B$156)*0.2</f>
        <v>20</v>
      </c>
      <c r="R45" s="6">
        <f>LOOKUP(J45,Sheet6!$D$465:$D$506,Sheet6!$B$465:$B$506)*0.1</f>
        <v>7.6000000000000005</v>
      </c>
      <c r="S45" s="6">
        <f>LOOKUP(K45,Sheet6!$J$205:$J$246,Sheet6!$B$205:$B$246)*0.1</f>
        <v>8</v>
      </c>
      <c r="T45" s="6">
        <f>LOOKUP(L45,Sheet6!$F$688:$F$749,Sheet6!$B$688:$B$749)*0.2</f>
        <v>20</v>
      </c>
      <c r="U45" s="6">
        <f>LOOKUP(M45,Sheet6!$D$600:$D$626,Sheet6!$B$600:$B$626)*0.1</f>
        <v>8</v>
      </c>
      <c r="V45" s="6">
        <f t="shared" si="4"/>
        <v>92.85</v>
      </c>
      <c r="W45" s="6" t="str">
        <f t="shared" si="5"/>
        <v>优秀</v>
      </c>
    </row>
    <row r="46" spans="1:26" ht="24.75" customHeight="1">
      <c r="A46" s="9">
        <v>22</v>
      </c>
      <c r="B46" s="10" t="s">
        <v>57</v>
      </c>
      <c r="C46" s="11">
        <v>1</v>
      </c>
      <c r="D46" s="39" t="s">
        <v>513</v>
      </c>
      <c r="E46" s="12">
        <v>1</v>
      </c>
      <c r="F46" s="10">
        <v>156.69999999999999</v>
      </c>
      <c r="G46" s="10">
        <v>37</v>
      </c>
      <c r="H46" s="10">
        <v>2949</v>
      </c>
      <c r="I46" s="10">
        <v>8.5</v>
      </c>
      <c r="J46" s="10">
        <v>190</v>
      </c>
      <c r="K46" s="10">
        <v>12</v>
      </c>
      <c r="L46" s="10" t="s">
        <v>27</v>
      </c>
      <c r="M46" s="10">
        <v>3</v>
      </c>
      <c r="N46" s="13">
        <f t="shared" si="3"/>
        <v>15.068281714965943</v>
      </c>
      <c r="O46" s="6">
        <f>LOOKUP(N46,Sheet6!$J$4:$J$11,Sheet6!$B$4:$B$11)*0.15</f>
        <v>12</v>
      </c>
      <c r="P46" s="14">
        <f>LOOKUP(H46,Sheet6!$J$25:$J$66,Sheet6!$B$25:$B$66)*0.15</f>
        <v>11.1</v>
      </c>
      <c r="Q46" s="6">
        <f>LOOKUP(I46,Sheet6!$J$115:$J$156,Sheet6!$B$115:$B$156)*0.2</f>
        <v>14.8</v>
      </c>
      <c r="R46" s="6">
        <f>LOOKUP(J46,Sheet6!$D$465:$D$506,Sheet6!$B$465:$B$506)*0.1</f>
        <v>7</v>
      </c>
      <c r="S46" s="6">
        <f>LOOKUP(K46,Sheet6!$J$205:$J$246,Sheet6!$B$205:$B$246)*0.1</f>
        <v>8</v>
      </c>
      <c r="T46" s="6">
        <f>LOOKUP(L46,Sheet6!$F$688:$F$749,Sheet6!$B$688:$B$749)*0.2</f>
        <v>15.200000000000001</v>
      </c>
      <c r="U46" s="6">
        <f>LOOKUP(M46,Sheet6!$D$600:$D$626,Sheet6!$B$600:$B$626)*0.1</f>
        <v>4</v>
      </c>
      <c r="V46" s="6">
        <f t="shared" si="4"/>
        <v>72.100000000000009</v>
      </c>
      <c r="W46" s="6" t="str">
        <f t="shared" si="5"/>
        <v>及格</v>
      </c>
    </row>
    <row r="47" spans="1:26" ht="24.75" customHeight="1">
      <c r="A47" s="9">
        <v>22</v>
      </c>
      <c r="B47" s="10" t="s">
        <v>57</v>
      </c>
      <c r="C47" s="11">
        <v>2</v>
      </c>
      <c r="D47" s="39" t="s">
        <v>514</v>
      </c>
      <c r="E47" s="12">
        <v>1</v>
      </c>
      <c r="F47" s="10">
        <v>155.80000000000001</v>
      </c>
      <c r="G47" s="10">
        <v>44</v>
      </c>
      <c r="H47" s="10">
        <v>2996</v>
      </c>
      <c r="I47" s="10">
        <v>7.6</v>
      </c>
      <c r="J47" s="10">
        <v>230</v>
      </c>
      <c r="K47" s="10">
        <v>20</v>
      </c>
      <c r="L47" s="10" t="s">
        <v>58</v>
      </c>
      <c r="M47" s="10">
        <v>10</v>
      </c>
      <c r="N47" s="13">
        <f t="shared" si="3"/>
        <v>18.126659207271754</v>
      </c>
      <c r="O47" s="6">
        <f>LOOKUP(N47,Sheet6!$J$4:$J$11,Sheet6!$B$4:$B$11)*0.15</f>
        <v>15</v>
      </c>
      <c r="P47" s="14">
        <f>LOOKUP(H47,Sheet6!$J$25:$J$66,Sheet6!$B$25:$B$66)*0.15</f>
        <v>11.4</v>
      </c>
      <c r="Q47" s="6">
        <f>LOOKUP(I47,Sheet6!$J$115:$J$156,Sheet6!$B$115:$B$156)*0.2</f>
        <v>19</v>
      </c>
      <c r="R47" s="6">
        <f>LOOKUP(J47,Sheet6!$D$465:$D$506,Sheet6!$B$465:$B$506)*0.1</f>
        <v>9</v>
      </c>
      <c r="S47" s="6">
        <f>LOOKUP(K47,Sheet6!$J$205:$J$246,Sheet6!$B$205:$B$246)*0.1</f>
        <v>10</v>
      </c>
      <c r="T47" s="6">
        <f>LOOKUP(L47,Sheet6!$F$688:$F$749,Sheet6!$B$688:$B$749)*0.2</f>
        <v>13.200000000000001</v>
      </c>
      <c r="U47" s="6">
        <f>LOOKUP(M47,Sheet6!$D$600:$D$626,Sheet6!$B$600:$B$626)*0.1</f>
        <v>8</v>
      </c>
      <c r="V47" s="6">
        <f t="shared" si="4"/>
        <v>85.600000000000009</v>
      </c>
      <c r="W47" s="6" t="str">
        <f t="shared" si="5"/>
        <v>良好</v>
      </c>
      <c r="X47" s="3">
        <v>5</v>
      </c>
      <c r="Y47" s="3" t="s">
        <v>181</v>
      </c>
      <c r="Z47" s="3">
        <v>0.20833299999999999</v>
      </c>
    </row>
    <row r="48" spans="1:26" ht="24.75" customHeight="1">
      <c r="A48" s="9">
        <v>22</v>
      </c>
      <c r="B48" s="10" t="s">
        <v>57</v>
      </c>
      <c r="C48" s="11">
        <v>3</v>
      </c>
      <c r="D48" s="39" t="s">
        <v>515</v>
      </c>
      <c r="E48" s="12">
        <v>1</v>
      </c>
      <c r="F48" s="10">
        <v>176</v>
      </c>
      <c r="G48" s="10">
        <v>56.6</v>
      </c>
      <c r="H48" s="10">
        <v>4556</v>
      </c>
      <c r="I48" s="17">
        <v>8.1</v>
      </c>
      <c r="J48" s="10">
        <v>215</v>
      </c>
      <c r="K48" s="10">
        <v>24</v>
      </c>
      <c r="L48" s="10" t="s">
        <v>56</v>
      </c>
      <c r="M48" s="10">
        <v>7</v>
      </c>
      <c r="N48" s="13">
        <f t="shared" si="3"/>
        <v>18.272210743801654</v>
      </c>
      <c r="O48" s="6">
        <f>LOOKUP(N48,Sheet6!$J$4:$J$11,Sheet6!$B$4:$B$11)*0.15</f>
        <v>15</v>
      </c>
      <c r="P48" s="14">
        <f>LOOKUP(H48,Sheet6!$J$25:$J$66,Sheet6!$B$25:$B$66)*0.15</f>
        <v>15</v>
      </c>
      <c r="Q48" s="6">
        <f>LOOKUP(I48,Sheet6!$J$115:$J$156,Sheet6!$B$115:$B$156)*0.2</f>
        <v>15.600000000000001</v>
      </c>
      <c r="R48" s="6">
        <f>LOOKUP(J48,Sheet6!$D$465:$D$506,Sheet6!$B$465:$B$506)*0.1</f>
        <v>8</v>
      </c>
      <c r="S48" s="6">
        <f>LOOKUP(K48,Sheet6!$J$205:$J$246,Sheet6!$B$205:$B$246)*0.1</f>
        <v>10</v>
      </c>
      <c r="T48" s="6">
        <f>LOOKUP(L48,Sheet6!$F$688:$F$749,Sheet6!$B$688:$B$749)*0.2</f>
        <v>20</v>
      </c>
      <c r="U48" s="6">
        <f>LOOKUP(M48,Sheet6!$D$600:$D$626,Sheet6!$B$600:$B$626)*0.1</f>
        <v>6.8000000000000007</v>
      </c>
      <c r="V48" s="6">
        <f t="shared" si="4"/>
        <v>90.399999999999991</v>
      </c>
      <c r="W48" s="6" t="str">
        <f t="shared" si="5"/>
        <v>优秀</v>
      </c>
    </row>
    <row r="49" spans="1:26" ht="24.75" customHeight="1">
      <c r="A49" s="9">
        <v>22</v>
      </c>
      <c r="B49" s="10" t="s">
        <v>57</v>
      </c>
      <c r="C49" s="11">
        <v>4</v>
      </c>
      <c r="D49" s="39" t="s">
        <v>516</v>
      </c>
      <c r="E49" s="12">
        <v>1</v>
      </c>
      <c r="F49" s="10">
        <v>166</v>
      </c>
      <c r="G49" s="10">
        <v>53.3</v>
      </c>
      <c r="H49" s="10">
        <v>3606</v>
      </c>
      <c r="I49" s="10">
        <v>6.9</v>
      </c>
      <c r="J49" s="10">
        <v>235</v>
      </c>
      <c r="K49" s="10">
        <v>17</v>
      </c>
      <c r="L49" s="10" t="s">
        <v>59</v>
      </c>
      <c r="M49" s="10">
        <v>10</v>
      </c>
      <c r="N49" s="13">
        <f t="shared" si="3"/>
        <v>19.342429960807081</v>
      </c>
      <c r="O49" s="6">
        <f>LOOKUP(N49,Sheet6!$J$4:$J$11,Sheet6!$B$4:$B$11)*0.15</f>
        <v>15</v>
      </c>
      <c r="P49" s="14">
        <f>LOOKUP(H49,Sheet6!$J$25:$J$66,Sheet6!$B$25:$B$66)*0.15</f>
        <v>12.75</v>
      </c>
      <c r="Q49" s="6">
        <f>LOOKUP(I49,Sheet6!$J$115:$J$156,Sheet6!$B$115:$B$156)*0.2</f>
        <v>20</v>
      </c>
      <c r="R49" s="6">
        <f>LOOKUP(J49,Sheet6!$D$465:$D$506,Sheet6!$B$465:$B$506)*0.1</f>
        <v>9.5</v>
      </c>
      <c r="S49" s="6">
        <f>LOOKUP(K49,Sheet6!$J$205:$J$246,Sheet6!$B$205:$B$246)*0.1</f>
        <v>9</v>
      </c>
      <c r="T49" s="6">
        <f>LOOKUP(L49,Sheet6!$F$688:$F$749,Sheet6!$B$688:$B$749)*0.2</f>
        <v>24</v>
      </c>
      <c r="U49" s="6">
        <f>LOOKUP(M49,Sheet6!$D$600:$D$626,Sheet6!$B$600:$B$626)*0.1</f>
        <v>8</v>
      </c>
      <c r="V49" s="6">
        <f t="shared" si="4"/>
        <v>98.25</v>
      </c>
      <c r="W49" s="6" t="str">
        <f t="shared" si="5"/>
        <v>优秀</v>
      </c>
      <c r="X49" s="3">
        <v>3</v>
      </c>
      <c r="Y49" s="3" t="s">
        <v>180</v>
      </c>
      <c r="Z49" s="3">
        <v>0.125</v>
      </c>
    </row>
    <row r="50" spans="1:26" ht="24.75" customHeight="1">
      <c r="A50" s="9">
        <v>22</v>
      </c>
      <c r="B50" s="10" t="s">
        <v>57</v>
      </c>
      <c r="C50" s="11">
        <v>5</v>
      </c>
      <c r="D50" s="39" t="s">
        <v>517</v>
      </c>
      <c r="E50" s="12">
        <v>1</v>
      </c>
      <c r="F50" s="10">
        <v>163</v>
      </c>
      <c r="G50" s="10">
        <v>45.6</v>
      </c>
      <c r="H50" s="10">
        <v>3401</v>
      </c>
      <c r="I50" s="17">
        <v>8.3000000000000007</v>
      </c>
      <c r="J50" s="10">
        <v>185</v>
      </c>
      <c r="K50" s="10">
        <v>14</v>
      </c>
      <c r="L50" s="10" t="s">
        <v>54</v>
      </c>
      <c r="M50" s="10">
        <v>10</v>
      </c>
      <c r="N50" s="13">
        <f t="shared" si="3"/>
        <v>17.162858970981219</v>
      </c>
      <c r="O50" s="6">
        <f>LOOKUP(N50,Sheet6!$J$4:$J$11,Sheet6!$B$4:$B$11)*0.15</f>
        <v>15</v>
      </c>
      <c r="P50" s="14">
        <f>LOOKUP(H50,Sheet6!$J$25:$J$66,Sheet6!$B$25:$B$66)*0.15</f>
        <v>12</v>
      </c>
      <c r="Q50" s="6">
        <f>LOOKUP(I50,Sheet6!$J$115:$J$156,Sheet6!$B$115:$B$156)*0.2</f>
        <v>15.200000000000001</v>
      </c>
      <c r="R50" s="6">
        <f>LOOKUP(J50,Sheet6!$D$465:$D$506,Sheet6!$B$465:$B$506)*0.1</f>
        <v>6.6000000000000005</v>
      </c>
      <c r="S50" s="6">
        <f>LOOKUP(K50,Sheet6!$J$205:$J$246,Sheet6!$B$205:$B$246)*0.1</f>
        <v>8.5</v>
      </c>
      <c r="T50" s="6">
        <f>LOOKUP(L50,Sheet6!$F$688:$F$749,Sheet6!$B$688:$B$749)*0.2</f>
        <v>18</v>
      </c>
      <c r="U50" s="6">
        <f>LOOKUP(M50,Sheet6!$D$600:$D$626,Sheet6!$B$600:$B$626)*0.1</f>
        <v>8</v>
      </c>
      <c r="V50" s="6">
        <f t="shared" si="4"/>
        <v>83.300000000000011</v>
      </c>
      <c r="W50" s="6" t="str">
        <f t="shared" si="5"/>
        <v>良好</v>
      </c>
    </row>
    <row r="51" spans="1:26" ht="24.75" customHeight="1">
      <c r="A51" s="9">
        <v>22</v>
      </c>
      <c r="B51" s="10" t="s">
        <v>57</v>
      </c>
      <c r="C51" s="11">
        <v>6</v>
      </c>
      <c r="D51" s="39" t="s">
        <v>518</v>
      </c>
      <c r="E51" s="12">
        <v>1</v>
      </c>
      <c r="F51" s="10">
        <v>164</v>
      </c>
      <c r="G51" s="10">
        <v>47.5</v>
      </c>
      <c r="H51" s="10">
        <v>3015</v>
      </c>
      <c r="I51" s="10">
        <v>7.4</v>
      </c>
      <c r="J51" s="10">
        <v>200</v>
      </c>
      <c r="K51" s="10">
        <v>15</v>
      </c>
      <c r="L51" s="10" t="s">
        <v>60</v>
      </c>
      <c r="M51" s="10">
        <v>10</v>
      </c>
      <c r="N51" s="13">
        <f t="shared" si="3"/>
        <v>17.660618679357526</v>
      </c>
      <c r="O51" s="6">
        <f>LOOKUP(N51,Sheet6!$J$4:$J$11,Sheet6!$B$4:$B$11)*0.15</f>
        <v>15</v>
      </c>
      <c r="P51" s="14">
        <f>LOOKUP(H51,Sheet6!$J$25:$J$66,Sheet6!$B$25:$B$66)*0.15</f>
        <v>11.4</v>
      </c>
      <c r="Q51" s="6">
        <f>LOOKUP(I51,Sheet6!$J$115:$J$156,Sheet6!$B$115:$B$156)*0.2</f>
        <v>20</v>
      </c>
      <c r="R51" s="6">
        <f>LOOKUP(J51,Sheet6!$D$465:$D$506,Sheet6!$B$465:$B$506)*0.1</f>
        <v>7.4</v>
      </c>
      <c r="S51" s="6">
        <f>LOOKUP(K51,Sheet6!$J$205:$J$246,Sheet6!$B$205:$B$246)*0.1</f>
        <v>8.5</v>
      </c>
      <c r="T51" s="6">
        <f>LOOKUP(L51,Sheet6!$F$688:$F$749,Sheet6!$B$688:$B$749)*0.2</f>
        <v>17</v>
      </c>
      <c r="U51" s="6">
        <f>LOOKUP(M51,Sheet6!$D$600:$D$626,Sheet6!$B$600:$B$626)*0.1</f>
        <v>8</v>
      </c>
      <c r="V51" s="6">
        <f t="shared" si="4"/>
        <v>87.3</v>
      </c>
      <c r="W51" s="6" t="str">
        <f t="shared" si="5"/>
        <v>良好</v>
      </c>
      <c r="X51" s="3">
        <v>13</v>
      </c>
      <c r="Y51" s="3" t="s">
        <v>466</v>
      </c>
      <c r="Z51" s="3">
        <v>0.54166599999999998</v>
      </c>
    </row>
    <row r="52" spans="1:26" ht="24.75" customHeight="1">
      <c r="A52" s="9">
        <v>22</v>
      </c>
      <c r="B52" s="10" t="s">
        <v>57</v>
      </c>
      <c r="C52" s="11">
        <v>7</v>
      </c>
      <c r="D52" s="39" t="s">
        <v>519</v>
      </c>
      <c r="E52" s="12">
        <v>1</v>
      </c>
      <c r="F52" s="10">
        <v>166.9</v>
      </c>
      <c r="G52" s="10">
        <v>56.8</v>
      </c>
      <c r="H52" s="10">
        <v>4325</v>
      </c>
      <c r="I52" s="10">
        <v>7.1</v>
      </c>
      <c r="J52" s="10">
        <v>235</v>
      </c>
      <c r="K52" s="10">
        <v>21</v>
      </c>
      <c r="L52" s="10" t="s">
        <v>61</v>
      </c>
      <c r="M52" s="10">
        <v>9</v>
      </c>
      <c r="N52" s="13">
        <f t="shared" si="3"/>
        <v>20.390865610194854</v>
      </c>
      <c r="O52" s="6">
        <f>LOOKUP(N52,Sheet6!$J$4:$J$11,Sheet6!$B$4:$B$11)*0.15</f>
        <v>15</v>
      </c>
      <c r="P52" s="14">
        <f>LOOKUP(H52,Sheet6!$J$25:$J$66,Sheet6!$B$25:$B$66)*0.15</f>
        <v>15</v>
      </c>
      <c r="Q52" s="6">
        <f>LOOKUP(I52,Sheet6!$J$115:$J$156,Sheet6!$B$115:$B$156)*0.2</f>
        <v>20</v>
      </c>
      <c r="R52" s="6">
        <f>LOOKUP(J52,Sheet6!$D$465:$D$506,Sheet6!$B$465:$B$506)*0.1</f>
        <v>9.5</v>
      </c>
      <c r="S52" s="6">
        <f>LOOKUP(K52,Sheet6!$J$205:$J$246,Sheet6!$B$205:$B$246)*0.1</f>
        <v>10</v>
      </c>
      <c r="T52" s="6">
        <f>LOOKUP(L52,Sheet6!$F$688:$F$749,Sheet6!$B$688:$B$749)*0.2</f>
        <v>26</v>
      </c>
      <c r="U52" s="6">
        <f>LOOKUP(M52,Sheet6!$D$600:$D$626,Sheet6!$B$600:$B$626)*0.1</f>
        <v>7.6000000000000005</v>
      </c>
      <c r="V52" s="6">
        <f t="shared" si="4"/>
        <v>103.1</v>
      </c>
      <c r="W52" s="6" t="str">
        <f t="shared" si="5"/>
        <v>优秀</v>
      </c>
    </row>
    <row r="53" spans="1:26" ht="24.75" customHeight="1">
      <c r="A53" s="9">
        <v>22</v>
      </c>
      <c r="B53" s="10" t="s">
        <v>57</v>
      </c>
      <c r="C53" s="11">
        <v>8</v>
      </c>
      <c r="D53" s="39" t="s">
        <v>520</v>
      </c>
      <c r="E53" s="12">
        <v>1</v>
      </c>
      <c r="F53" s="10">
        <v>183</v>
      </c>
      <c r="G53" s="10">
        <v>86.7</v>
      </c>
      <c r="H53" s="10">
        <v>4873</v>
      </c>
      <c r="I53" s="17">
        <v>7.1</v>
      </c>
      <c r="J53" s="10">
        <v>240</v>
      </c>
      <c r="K53" s="10">
        <v>23</v>
      </c>
      <c r="L53" s="10" t="s">
        <v>56</v>
      </c>
      <c r="M53" s="10">
        <v>3</v>
      </c>
      <c r="N53" s="13">
        <f t="shared" si="3"/>
        <v>25.88909791274747</v>
      </c>
      <c r="O53" s="6">
        <f>LOOKUP(N53,Sheet6!$J$4:$J$11,Sheet6!$B$4:$B$11)*0.15</f>
        <v>9</v>
      </c>
      <c r="P53" s="14">
        <f>LOOKUP(H53,Sheet6!$J$25:$J$66,Sheet6!$B$25:$B$66)*0.15</f>
        <v>15</v>
      </c>
      <c r="Q53" s="6">
        <f>LOOKUP(I53,Sheet6!$J$115:$J$156,Sheet6!$B$115:$B$156)*0.2</f>
        <v>20</v>
      </c>
      <c r="R53" s="6">
        <f>LOOKUP(J53,Sheet6!$D$465:$D$506,Sheet6!$B$465:$B$506)*0.1</f>
        <v>10</v>
      </c>
      <c r="S53" s="6">
        <f>LOOKUP(K53,Sheet6!$J$205:$J$246,Sheet6!$B$205:$B$246)*0.1</f>
        <v>10</v>
      </c>
      <c r="T53" s="6">
        <f>LOOKUP(L53,Sheet6!$F$688:$F$749,Sheet6!$B$688:$B$749)*0.2</f>
        <v>20</v>
      </c>
      <c r="U53" s="6">
        <f>LOOKUP(M53,Sheet6!$D$600:$D$626,Sheet6!$B$600:$B$626)*0.1</f>
        <v>4</v>
      </c>
      <c r="V53" s="6">
        <f t="shared" si="4"/>
        <v>88</v>
      </c>
      <c r="W53" s="6" t="str">
        <f t="shared" si="5"/>
        <v>良好</v>
      </c>
    </row>
    <row r="54" spans="1:26" ht="24.75" customHeight="1">
      <c r="A54" s="9">
        <v>22</v>
      </c>
      <c r="B54" s="10" t="s">
        <v>57</v>
      </c>
      <c r="C54" s="11">
        <v>9</v>
      </c>
      <c r="D54" s="39" t="s">
        <v>521</v>
      </c>
      <c r="E54" s="12">
        <v>1</v>
      </c>
      <c r="F54" s="10">
        <v>175</v>
      </c>
      <c r="G54" s="10">
        <v>54.5</v>
      </c>
      <c r="H54" s="10">
        <v>3859</v>
      </c>
      <c r="I54" s="10">
        <v>6.8</v>
      </c>
      <c r="J54" s="10">
        <v>250</v>
      </c>
      <c r="K54" s="10">
        <v>16</v>
      </c>
      <c r="L54" s="10" t="s">
        <v>62</v>
      </c>
      <c r="M54" s="10">
        <v>10</v>
      </c>
      <c r="N54" s="13">
        <f t="shared" si="3"/>
        <v>17.795918367346939</v>
      </c>
      <c r="O54" s="6">
        <f>LOOKUP(N54,Sheet6!$J$4:$J$11,Sheet6!$B$4:$B$11)*0.15</f>
        <v>15</v>
      </c>
      <c r="P54" s="14">
        <f>LOOKUP(H54,Sheet6!$J$25:$J$66,Sheet6!$B$25:$B$66)*0.15</f>
        <v>14.25</v>
      </c>
      <c r="Q54" s="6">
        <f>LOOKUP(I54,Sheet6!$J$115:$J$156,Sheet6!$B$115:$B$156)*0.2</f>
        <v>20</v>
      </c>
      <c r="R54" s="6">
        <f>LOOKUP(J54,Sheet6!$D$465:$D$506,Sheet6!$B$465:$B$506)*0.1</f>
        <v>10</v>
      </c>
      <c r="S54" s="6">
        <f>LOOKUP(K54,Sheet6!$J$205:$J$246,Sheet6!$B$205:$B$246)*0.1</f>
        <v>9</v>
      </c>
      <c r="T54" s="6">
        <f>LOOKUP(L54,Sheet6!$F$688:$F$749,Sheet6!$B$688:$B$749)*0.2</f>
        <v>26</v>
      </c>
      <c r="U54" s="6">
        <f>LOOKUP(M54,Sheet6!$D$600:$D$626,Sheet6!$B$600:$B$626)*0.1</f>
        <v>8</v>
      </c>
      <c r="V54" s="6">
        <f t="shared" si="4"/>
        <v>102.25</v>
      </c>
      <c r="W54" s="6" t="str">
        <f t="shared" si="5"/>
        <v>优秀</v>
      </c>
    </row>
    <row r="55" spans="1:26" ht="24.75" customHeight="1">
      <c r="A55" s="9">
        <v>22</v>
      </c>
      <c r="B55" s="10" t="s">
        <v>57</v>
      </c>
      <c r="C55" s="11">
        <v>10</v>
      </c>
      <c r="D55" s="39" t="s">
        <v>522</v>
      </c>
      <c r="E55" s="12">
        <v>1</v>
      </c>
      <c r="F55" s="10">
        <v>174.1</v>
      </c>
      <c r="G55" s="10">
        <v>62.6</v>
      </c>
      <c r="H55" s="10">
        <v>4888</v>
      </c>
      <c r="I55" s="17">
        <v>7.2</v>
      </c>
      <c r="J55" s="10">
        <v>245</v>
      </c>
      <c r="K55" s="10">
        <v>12</v>
      </c>
      <c r="L55" s="10" t="s">
        <v>63</v>
      </c>
      <c r="M55" s="10">
        <v>10</v>
      </c>
      <c r="N55" s="13">
        <f t="shared" si="3"/>
        <v>20.652697832885366</v>
      </c>
      <c r="O55" s="6">
        <f>LOOKUP(N55,Sheet6!$J$4:$J$11,Sheet6!$B$4:$B$11)*0.15</f>
        <v>15</v>
      </c>
      <c r="P55" s="14">
        <f>LOOKUP(H55,Sheet6!$J$25:$J$66,Sheet6!$B$25:$B$66)*0.15</f>
        <v>15</v>
      </c>
      <c r="Q55" s="6">
        <f>LOOKUP(I55,Sheet6!$J$115:$J$156,Sheet6!$B$115:$B$156)*0.2</f>
        <v>20</v>
      </c>
      <c r="R55" s="6">
        <f>LOOKUP(J55,Sheet6!$D$465:$D$506,Sheet6!$B$465:$B$506)*0.1</f>
        <v>10</v>
      </c>
      <c r="S55" s="6">
        <f>LOOKUP(K55,Sheet6!$J$205:$J$246,Sheet6!$B$205:$B$246)*0.1</f>
        <v>8</v>
      </c>
      <c r="T55" s="6">
        <f>LOOKUP(L55,Sheet6!$F$688:$F$749,Sheet6!$B$688:$B$749)*0.2</f>
        <v>23</v>
      </c>
      <c r="U55" s="6">
        <f>LOOKUP(M55,Sheet6!$D$600:$D$626,Sheet6!$B$600:$B$626)*0.1</f>
        <v>8</v>
      </c>
      <c r="V55" s="6">
        <f t="shared" si="4"/>
        <v>99</v>
      </c>
      <c r="W55" s="6" t="str">
        <f t="shared" si="5"/>
        <v>优秀</v>
      </c>
    </row>
    <row r="56" spans="1:26" ht="24.75" customHeight="1">
      <c r="A56" s="9">
        <v>22</v>
      </c>
      <c r="B56" s="10" t="s">
        <v>57</v>
      </c>
      <c r="C56" s="11">
        <v>11</v>
      </c>
      <c r="D56" s="39" t="s">
        <v>523</v>
      </c>
      <c r="E56" s="12">
        <v>1</v>
      </c>
      <c r="F56" s="10">
        <v>163</v>
      </c>
      <c r="G56" s="10">
        <v>58</v>
      </c>
      <c r="H56" s="10">
        <v>3628</v>
      </c>
      <c r="I56" s="10">
        <v>8</v>
      </c>
      <c r="J56" s="10">
        <v>195</v>
      </c>
      <c r="K56" s="10">
        <v>18</v>
      </c>
      <c r="L56" s="10" t="s">
        <v>44</v>
      </c>
      <c r="M56" s="10">
        <v>3</v>
      </c>
      <c r="N56" s="13">
        <f t="shared" si="3"/>
        <v>21.829952199932251</v>
      </c>
      <c r="O56" s="6">
        <f>LOOKUP(N56,Sheet6!$J$4:$J$11,Sheet6!$B$4:$B$11)*0.15</f>
        <v>15</v>
      </c>
      <c r="P56" s="14">
        <f>LOOKUP(H56,Sheet6!$J$25:$J$66,Sheet6!$B$25:$B$66)*0.15</f>
        <v>12.75</v>
      </c>
      <c r="Q56" s="6">
        <f>LOOKUP(I56,Sheet6!$J$115:$J$156,Sheet6!$B$115:$B$156)*0.2</f>
        <v>15.600000000000001</v>
      </c>
      <c r="R56" s="6">
        <f>LOOKUP(J56,Sheet6!$D$465:$D$506,Sheet6!$B$465:$B$506)*0.1</f>
        <v>7.2</v>
      </c>
      <c r="S56" s="6">
        <f>LOOKUP(K56,Sheet6!$J$205:$J$246,Sheet6!$B$205:$B$246)*0.1</f>
        <v>9.5</v>
      </c>
      <c r="T56" s="6">
        <f>LOOKUP(L56,Sheet6!$F$688:$F$749,Sheet6!$B$688:$B$749)*0.2</f>
        <v>19</v>
      </c>
      <c r="U56" s="6">
        <f>LOOKUP(M56,Sheet6!$D$600:$D$626,Sheet6!$B$600:$B$626)*0.1</f>
        <v>4</v>
      </c>
      <c r="V56" s="6">
        <f t="shared" si="4"/>
        <v>83.050000000000011</v>
      </c>
      <c r="W56" s="6" t="str">
        <f t="shared" si="5"/>
        <v>良好</v>
      </c>
    </row>
    <row r="57" spans="1:26" ht="24.75" customHeight="1">
      <c r="A57" s="9">
        <v>22</v>
      </c>
      <c r="B57" s="10" t="s">
        <v>57</v>
      </c>
      <c r="C57" s="11">
        <v>12</v>
      </c>
      <c r="D57" s="39" t="s">
        <v>524</v>
      </c>
      <c r="E57" s="12">
        <v>1</v>
      </c>
      <c r="F57" s="10">
        <v>166.9</v>
      </c>
      <c r="G57" s="10">
        <v>86.5</v>
      </c>
      <c r="H57" s="10">
        <v>3168</v>
      </c>
      <c r="I57" s="10">
        <v>9</v>
      </c>
      <c r="J57" s="10">
        <v>170</v>
      </c>
      <c r="K57" s="10">
        <v>12</v>
      </c>
      <c r="L57" s="10" t="s">
        <v>39</v>
      </c>
      <c r="M57" s="10">
        <v>3</v>
      </c>
      <c r="N57" s="13">
        <f t="shared" si="3"/>
        <v>31.052990762004494</v>
      </c>
      <c r="O57" s="6">
        <f>LOOKUP(N57,Sheet6!$J$4:$J$11,Sheet6!$B$4:$B$11)*0.15</f>
        <v>9</v>
      </c>
      <c r="P57" s="14">
        <f>LOOKUP(H57,Sheet6!$J$25:$J$66,Sheet6!$B$25:$B$66)*0.15</f>
        <v>11.7</v>
      </c>
      <c r="Q57" s="6">
        <f>LOOKUP(I57,Sheet6!$J$115:$J$156,Sheet6!$B$115:$B$156)*0.2</f>
        <v>13.600000000000001</v>
      </c>
      <c r="R57" s="6">
        <f>LOOKUP(J57,Sheet6!$D$465:$D$506,Sheet6!$B$465:$B$506)*0.1</f>
        <v>6</v>
      </c>
      <c r="S57" s="6">
        <f>LOOKUP(K57,Sheet6!$J$205:$J$246,Sheet6!$B$205:$B$246)*0.1</f>
        <v>8</v>
      </c>
      <c r="T57" s="6">
        <f>LOOKUP(L57,Sheet6!$F$688:$F$749,Sheet6!$B$688:$B$749)*0.2</f>
        <v>16</v>
      </c>
      <c r="U57" s="6">
        <f>LOOKUP(M57,Sheet6!$D$600:$D$626,Sheet6!$B$600:$B$626)*0.1</f>
        <v>4</v>
      </c>
      <c r="V57" s="6">
        <f t="shared" si="4"/>
        <v>68.3</v>
      </c>
      <c r="W57" s="6" t="str">
        <f t="shared" si="5"/>
        <v>及格</v>
      </c>
    </row>
    <row r="58" spans="1:26" ht="24.75" customHeight="1">
      <c r="A58" s="9">
        <v>22</v>
      </c>
      <c r="B58" s="10" t="s">
        <v>57</v>
      </c>
      <c r="C58" s="11">
        <v>13</v>
      </c>
      <c r="D58" s="39" t="s">
        <v>525</v>
      </c>
      <c r="E58" s="12">
        <v>1</v>
      </c>
      <c r="F58" s="10">
        <v>172</v>
      </c>
      <c r="G58" s="10">
        <v>65.900000000000006</v>
      </c>
      <c r="H58" s="10">
        <v>4056</v>
      </c>
      <c r="I58" s="10">
        <v>8.3000000000000007</v>
      </c>
      <c r="J58" s="10">
        <v>200</v>
      </c>
      <c r="K58" s="10">
        <v>12</v>
      </c>
      <c r="L58" s="10" t="s">
        <v>43</v>
      </c>
      <c r="M58" s="10">
        <v>3</v>
      </c>
      <c r="N58" s="13">
        <f t="shared" si="3"/>
        <v>22.275554353704706</v>
      </c>
      <c r="O58" s="6">
        <f>LOOKUP(N58,Sheet6!$J$4:$J$11,Sheet6!$B$4:$B$11)*0.15</f>
        <v>15</v>
      </c>
      <c r="P58" s="14">
        <f>LOOKUP(H58,Sheet6!$J$25:$J$66,Sheet6!$B$25:$B$66)*0.15</f>
        <v>15</v>
      </c>
      <c r="Q58" s="6">
        <f>LOOKUP(I58,Sheet6!$J$115:$J$156,Sheet6!$B$115:$B$156)*0.2</f>
        <v>15.200000000000001</v>
      </c>
      <c r="R58" s="6">
        <f>LOOKUP(J58,Sheet6!$D$465:$D$506,Sheet6!$B$465:$B$506)*0.1</f>
        <v>7.4</v>
      </c>
      <c r="S58" s="6">
        <f>LOOKUP(K58,Sheet6!$J$205:$J$246,Sheet6!$B$205:$B$246)*0.1</f>
        <v>8</v>
      </c>
      <c r="T58" s="6">
        <f>LOOKUP(L58,Sheet6!$F$688:$F$749,Sheet6!$B$688:$B$749)*0.2</f>
        <v>17</v>
      </c>
      <c r="U58" s="6">
        <f>LOOKUP(M58,Sheet6!$D$600:$D$626,Sheet6!$B$600:$B$626)*0.1</f>
        <v>4</v>
      </c>
      <c r="V58" s="6">
        <f t="shared" si="4"/>
        <v>81.599999999999994</v>
      </c>
      <c r="W58" s="6" t="str">
        <f t="shared" si="5"/>
        <v>良好</v>
      </c>
    </row>
    <row r="59" spans="1:26" ht="24.75" customHeight="1">
      <c r="A59" s="9">
        <v>22</v>
      </c>
      <c r="B59" s="10" t="s">
        <v>57</v>
      </c>
      <c r="C59" s="11">
        <v>14</v>
      </c>
      <c r="D59" s="39" t="s">
        <v>526</v>
      </c>
      <c r="E59" s="12">
        <v>1</v>
      </c>
      <c r="F59" s="10">
        <v>162</v>
      </c>
      <c r="G59" s="10">
        <v>47</v>
      </c>
      <c r="H59" s="10">
        <v>3577</v>
      </c>
      <c r="I59" s="10">
        <v>8.8000000000000007</v>
      </c>
      <c r="J59" s="10">
        <v>190</v>
      </c>
      <c r="K59" s="10">
        <v>22</v>
      </c>
      <c r="L59" s="10" t="s">
        <v>43</v>
      </c>
      <c r="M59" s="10">
        <v>3</v>
      </c>
      <c r="N59" s="13">
        <f t="shared" si="3"/>
        <v>17.908855357415028</v>
      </c>
      <c r="O59" s="6">
        <f>LOOKUP(N59,Sheet6!$J$4:$J$11,Sheet6!$B$4:$B$11)*0.15</f>
        <v>15</v>
      </c>
      <c r="P59" s="14">
        <f>LOOKUP(H59,Sheet6!$J$25:$J$66,Sheet6!$B$25:$B$66)*0.15</f>
        <v>12.75</v>
      </c>
      <c r="Q59" s="6">
        <f>LOOKUP(I59,Sheet6!$J$115:$J$156,Sheet6!$B$115:$B$156)*0.2</f>
        <v>14</v>
      </c>
      <c r="R59" s="6">
        <f>LOOKUP(J59,Sheet6!$D$465:$D$506,Sheet6!$B$465:$B$506)*0.1</f>
        <v>7</v>
      </c>
      <c r="S59" s="6">
        <f>LOOKUP(K59,Sheet6!$J$205:$J$246,Sheet6!$B$205:$B$246)*0.1</f>
        <v>10</v>
      </c>
      <c r="T59" s="6">
        <f>LOOKUP(L59,Sheet6!$F$688:$F$749,Sheet6!$B$688:$B$749)*0.2</f>
        <v>17</v>
      </c>
      <c r="U59" s="6">
        <f>LOOKUP(M59,Sheet6!$D$600:$D$626,Sheet6!$B$600:$B$626)*0.1</f>
        <v>4</v>
      </c>
      <c r="V59" s="6">
        <f t="shared" si="4"/>
        <v>79.75</v>
      </c>
      <c r="W59" s="6" t="str">
        <f t="shared" si="5"/>
        <v>及格</v>
      </c>
    </row>
    <row r="60" spans="1:26" ht="24.75" customHeight="1">
      <c r="A60" s="9">
        <v>22</v>
      </c>
      <c r="B60" s="10" t="s">
        <v>57</v>
      </c>
      <c r="C60" s="11">
        <v>15</v>
      </c>
      <c r="D60" s="39" t="s">
        <v>527</v>
      </c>
      <c r="E60" s="12">
        <v>1</v>
      </c>
      <c r="F60" s="10">
        <v>168</v>
      </c>
      <c r="G60" s="10">
        <v>48.8</v>
      </c>
      <c r="H60" s="10">
        <v>3472</v>
      </c>
      <c r="I60" s="10">
        <v>7.5</v>
      </c>
      <c r="J60" s="10">
        <v>230</v>
      </c>
      <c r="K60" s="10">
        <v>20</v>
      </c>
      <c r="L60" s="10" t="s">
        <v>64</v>
      </c>
      <c r="M60" s="10">
        <v>10</v>
      </c>
      <c r="N60" s="13">
        <f t="shared" si="3"/>
        <v>17.290249433106574</v>
      </c>
      <c r="O60" s="6">
        <f>LOOKUP(N60,Sheet6!$J$4:$J$11,Sheet6!$B$4:$B$11)*0.15</f>
        <v>15</v>
      </c>
      <c r="P60" s="14">
        <f>LOOKUP(H60,Sheet6!$J$25:$J$66,Sheet6!$B$25:$B$66)*0.15</f>
        <v>12.75</v>
      </c>
      <c r="Q60" s="6">
        <f>LOOKUP(I60,Sheet6!$J$115:$J$156,Sheet6!$B$115:$B$156)*0.2</f>
        <v>20</v>
      </c>
      <c r="R60" s="6">
        <f>LOOKUP(J60,Sheet6!$D$465:$D$506,Sheet6!$B$465:$B$506)*0.1</f>
        <v>9</v>
      </c>
      <c r="S60" s="6">
        <f>LOOKUP(K60,Sheet6!$J$205:$J$246,Sheet6!$B$205:$B$246)*0.1</f>
        <v>10</v>
      </c>
      <c r="T60" s="6">
        <f>LOOKUP(L60,Sheet6!$F$688:$F$749,Sheet6!$B$688:$B$749)*0.2</f>
        <v>24</v>
      </c>
      <c r="U60" s="6">
        <f>LOOKUP(M60,Sheet6!$D$600:$D$626,Sheet6!$B$600:$B$626)*0.1</f>
        <v>8</v>
      </c>
      <c r="V60" s="6">
        <f t="shared" si="4"/>
        <v>98.75</v>
      </c>
      <c r="W60" s="6" t="str">
        <f t="shared" si="5"/>
        <v>优秀</v>
      </c>
    </row>
    <row r="61" spans="1:26" ht="24.75" customHeight="1">
      <c r="A61" s="9">
        <v>22</v>
      </c>
      <c r="B61" s="10" t="s">
        <v>57</v>
      </c>
      <c r="C61" s="11">
        <v>16</v>
      </c>
      <c r="D61" s="39" t="s">
        <v>528</v>
      </c>
      <c r="E61" s="12">
        <v>1</v>
      </c>
      <c r="F61" s="10">
        <v>150</v>
      </c>
      <c r="G61" s="10">
        <v>33.200000000000003</v>
      </c>
      <c r="H61" s="10">
        <v>2406</v>
      </c>
      <c r="I61" s="10">
        <v>9</v>
      </c>
      <c r="J61" s="10">
        <v>175</v>
      </c>
      <c r="K61" s="10">
        <v>12</v>
      </c>
      <c r="L61" s="10" t="s">
        <v>39</v>
      </c>
      <c r="M61" s="10">
        <v>3</v>
      </c>
      <c r="N61" s="13">
        <f t="shared" si="3"/>
        <v>14.755555555555556</v>
      </c>
      <c r="O61" s="6">
        <f>LOOKUP(N61,Sheet6!$J$4:$J$11,Sheet6!$B$4:$B$11)*0.15</f>
        <v>12</v>
      </c>
      <c r="P61" s="14">
        <f>LOOKUP(H61,Sheet6!$J$25:$J$66,Sheet6!$B$25:$B$66)*0.15</f>
        <v>9.9</v>
      </c>
      <c r="Q61" s="6">
        <f>LOOKUP(I61,Sheet6!$J$115:$J$156,Sheet6!$B$115:$B$156)*0.2</f>
        <v>13.600000000000001</v>
      </c>
      <c r="R61" s="6">
        <f>LOOKUP(J61,Sheet6!$D$465:$D$506,Sheet6!$B$465:$B$506)*0.1</f>
        <v>6.2</v>
      </c>
      <c r="S61" s="6">
        <f>LOOKUP(K61,Sheet6!$J$205:$J$246,Sheet6!$B$205:$B$246)*0.1</f>
        <v>8</v>
      </c>
      <c r="T61" s="6">
        <f>LOOKUP(L61,Sheet6!$F$688:$F$749,Sheet6!$B$688:$B$749)*0.2</f>
        <v>16</v>
      </c>
      <c r="U61" s="6">
        <f>LOOKUP(M61,Sheet6!$D$600:$D$626,Sheet6!$B$600:$B$626)*0.1</f>
        <v>4</v>
      </c>
      <c r="V61" s="6">
        <f t="shared" si="4"/>
        <v>69.7</v>
      </c>
      <c r="W61" s="6" t="str">
        <f t="shared" si="5"/>
        <v>及格</v>
      </c>
    </row>
    <row r="62" spans="1:26" ht="24.75" customHeight="1">
      <c r="A62" s="9">
        <v>22</v>
      </c>
      <c r="B62" s="10" t="s">
        <v>57</v>
      </c>
      <c r="C62" s="11">
        <v>17</v>
      </c>
      <c r="D62" s="39" t="s">
        <v>529</v>
      </c>
      <c r="E62" s="12">
        <v>1</v>
      </c>
      <c r="F62" s="10">
        <v>174</v>
      </c>
      <c r="G62" s="10">
        <v>70</v>
      </c>
      <c r="H62" s="10">
        <v>5142</v>
      </c>
      <c r="I62" s="10">
        <v>7.5</v>
      </c>
      <c r="J62" s="10">
        <v>240</v>
      </c>
      <c r="K62" s="10">
        <v>22</v>
      </c>
      <c r="L62" s="10" t="s">
        <v>65</v>
      </c>
      <c r="M62" s="10">
        <v>10</v>
      </c>
      <c r="N62" s="13">
        <f t="shared" si="3"/>
        <v>23.120623596247853</v>
      </c>
      <c r="O62" s="6">
        <f>LOOKUP(N62,Sheet6!$J$4:$J$11,Sheet6!$B$4:$B$11)*0.15</f>
        <v>12</v>
      </c>
      <c r="P62" s="14">
        <f>LOOKUP(H62,Sheet6!$J$25:$J$66,Sheet6!$B$25:$B$66)*0.15</f>
        <v>15</v>
      </c>
      <c r="Q62" s="6">
        <f>LOOKUP(I62,Sheet6!$J$115:$J$156,Sheet6!$B$115:$B$156)*0.2</f>
        <v>20</v>
      </c>
      <c r="R62" s="6">
        <f>LOOKUP(J62,Sheet6!$D$465:$D$506,Sheet6!$B$465:$B$506)*0.1</f>
        <v>10</v>
      </c>
      <c r="S62" s="6">
        <f>LOOKUP(K62,Sheet6!$J$205:$J$246,Sheet6!$B$205:$B$246)*0.1</f>
        <v>10</v>
      </c>
      <c r="T62" s="6">
        <f>LOOKUP(L62,Sheet6!$F$688:$F$749,Sheet6!$B$688:$B$749)*0.2</f>
        <v>22</v>
      </c>
      <c r="U62" s="6">
        <f>LOOKUP(M62,Sheet6!$D$600:$D$626,Sheet6!$B$600:$B$626)*0.1</f>
        <v>8</v>
      </c>
      <c r="V62" s="6">
        <f t="shared" si="4"/>
        <v>97</v>
      </c>
      <c r="W62" s="6" t="str">
        <f t="shared" si="5"/>
        <v>优秀</v>
      </c>
    </row>
    <row r="63" spans="1:26" ht="24.75" customHeight="1">
      <c r="A63" s="9">
        <v>22</v>
      </c>
      <c r="B63" s="10" t="s">
        <v>57</v>
      </c>
      <c r="C63" s="11">
        <v>18</v>
      </c>
      <c r="D63" s="39" t="s">
        <v>530</v>
      </c>
      <c r="E63" s="12">
        <v>1</v>
      </c>
      <c r="F63" s="10">
        <v>172</v>
      </c>
      <c r="G63" s="10">
        <v>76.3</v>
      </c>
      <c r="H63" s="10">
        <v>3946</v>
      </c>
      <c r="I63" s="17">
        <v>8.3000000000000007</v>
      </c>
      <c r="J63" s="10">
        <v>185</v>
      </c>
      <c r="K63" s="10">
        <v>12</v>
      </c>
      <c r="L63" s="10" t="s">
        <v>66</v>
      </c>
      <c r="M63" s="10">
        <v>3</v>
      </c>
      <c r="N63" s="13">
        <f t="shared" si="3"/>
        <v>25.79096809085992</v>
      </c>
      <c r="O63" s="6">
        <f>LOOKUP(N63,Sheet6!$J$4:$J$11,Sheet6!$B$4:$B$11)*0.15</f>
        <v>9</v>
      </c>
      <c r="P63" s="14">
        <f>LOOKUP(H63,Sheet6!$J$25:$J$66,Sheet6!$B$25:$B$66)*0.15</f>
        <v>15</v>
      </c>
      <c r="Q63" s="6">
        <f>LOOKUP(I63,Sheet6!$J$115:$J$156,Sheet6!$B$115:$B$156)*0.2</f>
        <v>15.200000000000001</v>
      </c>
      <c r="R63" s="6">
        <f>LOOKUP(J63,Sheet6!$D$465:$D$506,Sheet6!$B$465:$B$506)*0.1</f>
        <v>6.6000000000000005</v>
      </c>
      <c r="S63" s="6">
        <f>LOOKUP(K63,Sheet6!$J$205:$J$246,Sheet6!$B$205:$B$246)*0.1</f>
        <v>8</v>
      </c>
      <c r="T63" s="6">
        <f>LOOKUP(L63,Sheet6!$F$688:$F$749,Sheet6!$B$688:$B$749)*0.2</f>
        <v>13.200000000000001</v>
      </c>
      <c r="U63" s="6">
        <f>LOOKUP(M63,Sheet6!$D$600:$D$626,Sheet6!$B$600:$B$626)*0.1</f>
        <v>4</v>
      </c>
      <c r="V63" s="6">
        <f t="shared" si="4"/>
        <v>71</v>
      </c>
      <c r="W63" s="6" t="str">
        <f t="shared" si="5"/>
        <v>及格</v>
      </c>
    </row>
    <row r="64" spans="1:26" ht="24.75" customHeight="1">
      <c r="A64" s="9">
        <v>22</v>
      </c>
      <c r="B64" s="10" t="s">
        <v>57</v>
      </c>
      <c r="C64" s="11">
        <v>19</v>
      </c>
      <c r="D64" s="39" t="s">
        <v>531</v>
      </c>
      <c r="E64" s="12">
        <v>1</v>
      </c>
      <c r="F64" s="10">
        <v>165</v>
      </c>
      <c r="G64" s="10">
        <v>48.4</v>
      </c>
      <c r="H64" s="10">
        <v>3307</v>
      </c>
      <c r="I64" s="10">
        <v>8.6999999999999993</v>
      </c>
      <c r="J64" s="10">
        <v>180</v>
      </c>
      <c r="K64" s="10">
        <v>18</v>
      </c>
      <c r="L64" s="10" t="s">
        <v>60</v>
      </c>
      <c r="M64" s="10">
        <v>3</v>
      </c>
      <c r="N64" s="13">
        <f t="shared" si="3"/>
        <v>17.777777777777775</v>
      </c>
      <c r="O64" s="6">
        <f>LOOKUP(N64,Sheet6!$J$4:$J$11,Sheet6!$B$4:$B$11)*0.15</f>
        <v>15</v>
      </c>
      <c r="P64" s="14">
        <f>LOOKUP(H64,Sheet6!$J$25:$J$66,Sheet6!$B$25:$B$66)*0.15</f>
        <v>12</v>
      </c>
      <c r="Q64" s="6">
        <f>LOOKUP(I64,Sheet6!$J$115:$J$156,Sheet6!$B$115:$B$156)*0.2</f>
        <v>14.4</v>
      </c>
      <c r="R64" s="6">
        <f>LOOKUP(J64,Sheet6!$D$465:$D$506,Sheet6!$B$465:$B$506)*0.1</f>
        <v>6.4</v>
      </c>
      <c r="S64" s="6">
        <f>LOOKUP(K64,Sheet6!$J$205:$J$246,Sheet6!$B$205:$B$246)*0.1</f>
        <v>9.5</v>
      </c>
      <c r="T64" s="6">
        <f>LOOKUP(L64,Sheet6!$F$688:$F$749,Sheet6!$B$688:$B$749)*0.2</f>
        <v>17</v>
      </c>
      <c r="U64" s="6">
        <f>LOOKUP(M64,Sheet6!$D$600:$D$626,Sheet6!$B$600:$B$626)*0.1</f>
        <v>4</v>
      </c>
      <c r="V64" s="6">
        <f t="shared" si="4"/>
        <v>78.3</v>
      </c>
      <c r="W64" s="6" t="str">
        <f t="shared" si="5"/>
        <v>及格</v>
      </c>
    </row>
    <row r="65" spans="1:26" ht="24.75" customHeight="1">
      <c r="A65" s="9">
        <v>22</v>
      </c>
      <c r="B65" s="10" t="s">
        <v>57</v>
      </c>
      <c r="C65" s="11">
        <v>20</v>
      </c>
      <c r="D65" s="39" t="s">
        <v>532</v>
      </c>
      <c r="E65" s="12">
        <v>1</v>
      </c>
      <c r="F65" s="10">
        <v>175</v>
      </c>
      <c r="G65" s="10">
        <v>111</v>
      </c>
      <c r="H65" s="10">
        <v>4769</v>
      </c>
      <c r="I65" s="10">
        <v>8.9</v>
      </c>
      <c r="J65" s="10">
        <v>170</v>
      </c>
      <c r="K65" s="10">
        <v>12</v>
      </c>
      <c r="L65" s="10" t="s">
        <v>67</v>
      </c>
      <c r="M65" s="10">
        <v>3</v>
      </c>
      <c r="N65" s="13">
        <f t="shared" si="3"/>
        <v>36.244897959183675</v>
      </c>
      <c r="O65" s="6">
        <f>LOOKUP(N65,Sheet6!$J$4:$J$11,Sheet6!$B$4:$B$11)*0.15</f>
        <v>9</v>
      </c>
      <c r="P65" s="14">
        <f>LOOKUP(H65,Sheet6!$J$25:$J$66,Sheet6!$B$25:$B$66)*0.15</f>
        <v>15</v>
      </c>
      <c r="Q65" s="6">
        <f>LOOKUP(I65,Sheet6!$J$115:$J$156,Sheet6!$B$115:$B$156)*0.2</f>
        <v>14</v>
      </c>
      <c r="R65" s="6">
        <f>LOOKUP(J65,Sheet6!$D$465:$D$506,Sheet6!$B$465:$B$506)*0.1</f>
        <v>6</v>
      </c>
      <c r="S65" s="6">
        <f>LOOKUP(K65,Sheet6!$J$205:$J$246,Sheet6!$B$205:$B$246)*0.1</f>
        <v>8</v>
      </c>
      <c r="T65" s="6">
        <f>LOOKUP(L65,Sheet6!$F$688:$F$749,Sheet6!$B$688:$B$749)*0.2</f>
        <v>12.4</v>
      </c>
      <c r="U65" s="6">
        <f>LOOKUP(M65,Sheet6!$D$600:$D$626,Sheet6!$B$600:$B$626)*0.1</f>
        <v>4</v>
      </c>
      <c r="V65" s="6">
        <f t="shared" si="4"/>
        <v>68.400000000000006</v>
      </c>
      <c r="W65" s="6" t="str">
        <f t="shared" si="5"/>
        <v>及格</v>
      </c>
    </row>
    <row r="66" spans="1:26" ht="24.75" customHeight="1">
      <c r="A66" s="9">
        <v>22</v>
      </c>
      <c r="B66" s="10" t="s">
        <v>57</v>
      </c>
      <c r="C66" s="11">
        <v>21</v>
      </c>
      <c r="D66" s="39" t="s">
        <v>533</v>
      </c>
      <c r="E66" s="12">
        <v>1</v>
      </c>
      <c r="F66" s="10">
        <v>152.9</v>
      </c>
      <c r="G66" s="10">
        <v>55.6</v>
      </c>
      <c r="H66" s="10">
        <v>3732</v>
      </c>
      <c r="I66" s="10">
        <v>8.1</v>
      </c>
      <c r="J66" s="10">
        <v>185</v>
      </c>
      <c r="K66" s="10">
        <v>12</v>
      </c>
      <c r="L66" s="10" t="s">
        <v>68</v>
      </c>
      <c r="M66" s="10">
        <v>10</v>
      </c>
      <c r="N66" s="13">
        <f t="shared" ref="N66:N97" si="6">G66/(F66*F66)*10000</f>
        <v>23.782626791129079</v>
      </c>
      <c r="O66" s="6">
        <f>LOOKUP(N66,Sheet6!$J$4:$J$11,Sheet6!$B$4:$B$11)*0.15</f>
        <v>12</v>
      </c>
      <c r="P66" s="14">
        <f>LOOKUP(H66,Sheet6!$J$25:$J$66,Sheet6!$B$25:$B$66)*0.15</f>
        <v>14.25</v>
      </c>
      <c r="Q66" s="6">
        <f>LOOKUP(I66,Sheet6!$J$115:$J$156,Sheet6!$B$115:$B$156)*0.2</f>
        <v>15.600000000000001</v>
      </c>
      <c r="R66" s="6">
        <f>LOOKUP(J66,Sheet6!$D$465:$D$506,Sheet6!$B$465:$B$506)*0.1</f>
        <v>6.6000000000000005</v>
      </c>
      <c r="S66" s="6">
        <f>LOOKUP(K66,Sheet6!$J$205:$J$246,Sheet6!$B$205:$B$246)*0.1</f>
        <v>8</v>
      </c>
      <c r="T66" s="6">
        <f>LOOKUP(L66,Sheet6!$F$688:$F$749,Sheet6!$B$688:$B$749)*0.2</f>
        <v>17</v>
      </c>
      <c r="U66" s="6">
        <f>LOOKUP(M66,Sheet6!$D$600:$D$626,Sheet6!$B$600:$B$626)*0.1</f>
        <v>8</v>
      </c>
      <c r="V66" s="6">
        <f t="shared" ref="V66:V97" si="7">O66+P66+Q66+R66+S66+T66+U66</f>
        <v>81.45</v>
      </c>
      <c r="W66" s="6" t="str">
        <f t="shared" ref="W66:W97" si="8">IF(V66&lt;60,"不及格",IF(V66&lt;80,"及格",IF(V66&lt;90,"良好",IF(V66&lt;121,"优秀"))))</f>
        <v>良好</v>
      </c>
    </row>
    <row r="67" spans="1:26" ht="24.75" customHeight="1">
      <c r="A67" s="9">
        <v>22</v>
      </c>
      <c r="B67" s="10" t="s">
        <v>57</v>
      </c>
      <c r="C67" s="11">
        <v>22</v>
      </c>
      <c r="D67" s="39" t="s">
        <v>534</v>
      </c>
      <c r="E67" s="12">
        <v>1</v>
      </c>
      <c r="F67" s="10">
        <v>167</v>
      </c>
      <c r="G67" s="10">
        <v>43.9</v>
      </c>
      <c r="H67" s="10">
        <v>3815</v>
      </c>
      <c r="I67" s="10">
        <v>7.3</v>
      </c>
      <c r="J67" s="10">
        <v>200</v>
      </c>
      <c r="K67" s="10">
        <v>19</v>
      </c>
      <c r="L67" s="10" t="s">
        <v>47</v>
      </c>
      <c r="M67" s="10">
        <v>10</v>
      </c>
      <c r="N67" s="13">
        <f t="shared" si="6"/>
        <v>15.740973143533292</v>
      </c>
      <c r="O67" s="6">
        <f>LOOKUP(N67,Sheet6!$J$4:$J$11,Sheet6!$B$4:$B$11)*0.15</f>
        <v>15</v>
      </c>
      <c r="P67" s="14">
        <f>LOOKUP(H67,Sheet6!$J$25:$J$66,Sheet6!$B$25:$B$66)*0.15</f>
        <v>14.25</v>
      </c>
      <c r="Q67" s="6">
        <f>LOOKUP(I67,Sheet6!$J$115:$J$156,Sheet6!$B$115:$B$156)*0.2</f>
        <v>20</v>
      </c>
      <c r="R67" s="6">
        <f>LOOKUP(J67,Sheet6!$D$465:$D$506,Sheet6!$B$465:$B$506)*0.1</f>
        <v>7.4</v>
      </c>
      <c r="S67" s="6">
        <f>LOOKUP(K67,Sheet6!$J$205:$J$246,Sheet6!$B$205:$B$246)*0.1</f>
        <v>9.5</v>
      </c>
      <c r="T67" s="6">
        <f>LOOKUP(L67,Sheet6!$F$688:$F$749,Sheet6!$B$688:$B$749)*0.2</f>
        <v>21</v>
      </c>
      <c r="U67" s="6">
        <f>LOOKUP(M67,Sheet6!$D$600:$D$626,Sheet6!$B$600:$B$626)*0.1</f>
        <v>8</v>
      </c>
      <c r="V67" s="6">
        <f t="shared" si="7"/>
        <v>95.15</v>
      </c>
      <c r="W67" s="6" t="str">
        <f t="shared" si="8"/>
        <v>优秀</v>
      </c>
    </row>
    <row r="68" spans="1:26" ht="24.75" customHeight="1">
      <c r="A68" s="9">
        <v>22</v>
      </c>
      <c r="B68" s="10" t="s">
        <v>69</v>
      </c>
      <c r="C68" s="11">
        <v>1</v>
      </c>
      <c r="D68" s="39" t="s">
        <v>535</v>
      </c>
      <c r="E68" s="12">
        <v>1</v>
      </c>
      <c r="F68" s="10">
        <v>176.7</v>
      </c>
      <c r="G68" s="10">
        <v>86.8</v>
      </c>
      <c r="H68" s="10">
        <v>4141</v>
      </c>
      <c r="I68" s="10">
        <v>8</v>
      </c>
      <c r="J68" s="10">
        <v>200</v>
      </c>
      <c r="K68" s="10">
        <v>20</v>
      </c>
      <c r="L68" s="10" t="s">
        <v>70</v>
      </c>
      <c r="M68" s="10">
        <v>3</v>
      </c>
      <c r="N68" s="13">
        <f t="shared" si="6"/>
        <v>27.800117157636596</v>
      </c>
      <c r="O68" s="6">
        <f>LOOKUP(N68,Sheet6!$J$4:$J$11,Sheet6!$B$4:$B$11)*0.15</f>
        <v>9</v>
      </c>
      <c r="P68" s="14">
        <f>LOOKUP(H68,Sheet6!$J$25:$J$66,Sheet6!$B$25:$B$66)*0.15</f>
        <v>15</v>
      </c>
      <c r="Q68" s="6">
        <f>LOOKUP(I68,Sheet6!$J$115:$J$156,Sheet6!$B$115:$B$156)*0.2</f>
        <v>15.600000000000001</v>
      </c>
      <c r="R68" s="6">
        <f>LOOKUP(J68,Sheet6!$D$465:$D$506,Sheet6!$B$465:$B$506)*0.1</f>
        <v>7.4</v>
      </c>
      <c r="S68" s="6">
        <f>LOOKUP(K68,Sheet6!$J$205:$J$246,Sheet6!$B$205:$B$246)*0.1</f>
        <v>10</v>
      </c>
      <c r="T68" s="6">
        <f>LOOKUP(L68,Sheet6!$F$688:$F$749,Sheet6!$B$688:$B$749)*0.2</f>
        <v>14.8</v>
      </c>
      <c r="U68" s="6">
        <f>LOOKUP(M68,Sheet6!$D$600:$D$626,Sheet6!$B$600:$B$626)*0.1</f>
        <v>4</v>
      </c>
      <c r="V68" s="6">
        <f t="shared" si="7"/>
        <v>75.8</v>
      </c>
      <c r="W68" s="6" t="str">
        <f t="shared" si="8"/>
        <v>及格</v>
      </c>
    </row>
    <row r="69" spans="1:26" ht="24.75" customHeight="1">
      <c r="A69" s="9">
        <v>22</v>
      </c>
      <c r="B69" s="10" t="s">
        <v>69</v>
      </c>
      <c r="C69" s="16">
        <v>2</v>
      </c>
      <c r="D69" s="39" t="s">
        <v>536</v>
      </c>
      <c r="E69" s="12">
        <v>1</v>
      </c>
      <c r="F69" s="10">
        <v>181.6</v>
      </c>
      <c r="G69" s="10">
        <v>110.9</v>
      </c>
      <c r="H69" s="10">
        <v>4957</v>
      </c>
      <c r="I69" s="10">
        <v>8.5</v>
      </c>
      <c r="J69" s="10">
        <v>180</v>
      </c>
      <c r="K69" s="10">
        <v>12</v>
      </c>
      <c r="L69" s="10" t="s">
        <v>71</v>
      </c>
      <c r="M69" s="10">
        <v>3</v>
      </c>
      <c r="N69" s="13">
        <f t="shared" si="6"/>
        <v>33.627908556346917</v>
      </c>
      <c r="O69" s="6">
        <f>LOOKUP(N69,Sheet6!$J$4:$J$11,Sheet6!$B$4:$B$11)*0.15</f>
        <v>9</v>
      </c>
      <c r="P69" s="14">
        <f>LOOKUP(H69,Sheet6!$J$25:$J$66,Sheet6!$B$25:$B$66)*0.15</f>
        <v>15</v>
      </c>
      <c r="Q69" s="6">
        <f>LOOKUP(I69,Sheet6!$J$115:$J$156,Sheet6!$B$115:$B$156)*0.2</f>
        <v>14.8</v>
      </c>
      <c r="R69" s="6">
        <f>LOOKUP(J69,Sheet6!$D$465:$D$506,Sheet6!$B$465:$B$506)*0.1</f>
        <v>6.4</v>
      </c>
      <c r="S69" s="6">
        <f>LOOKUP(K69,Sheet6!$J$205:$J$246,Sheet6!$B$205:$B$246)*0.1</f>
        <v>8</v>
      </c>
      <c r="T69" s="6">
        <f>LOOKUP(L69,Sheet6!$F$688:$F$749,Sheet6!$B$688:$B$749)*0.2</f>
        <v>13.200000000000001</v>
      </c>
      <c r="U69" s="6">
        <f>LOOKUP(M69,Sheet6!$D$600:$D$626,Sheet6!$B$600:$B$626)*0.1</f>
        <v>4</v>
      </c>
      <c r="V69" s="6">
        <f t="shared" si="7"/>
        <v>70.399999999999991</v>
      </c>
      <c r="W69" s="6" t="str">
        <f t="shared" si="8"/>
        <v>及格</v>
      </c>
      <c r="X69" s="3">
        <v>3</v>
      </c>
      <c r="Y69" s="3" t="s">
        <v>467</v>
      </c>
      <c r="Z69" s="3">
        <v>0.125</v>
      </c>
    </row>
    <row r="70" spans="1:26" ht="24.75" customHeight="1">
      <c r="A70" s="9">
        <v>22</v>
      </c>
      <c r="B70" s="10" t="s">
        <v>69</v>
      </c>
      <c r="C70" s="11">
        <v>3</v>
      </c>
      <c r="D70" s="39" t="s">
        <v>537</v>
      </c>
      <c r="E70" s="12">
        <v>1</v>
      </c>
      <c r="F70" s="10">
        <v>172</v>
      </c>
      <c r="G70" s="10">
        <v>60.4</v>
      </c>
      <c r="H70" s="10">
        <v>3997</v>
      </c>
      <c r="I70" s="10">
        <v>6.9</v>
      </c>
      <c r="J70" s="10">
        <v>235</v>
      </c>
      <c r="K70" s="10">
        <v>13.6</v>
      </c>
      <c r="L70" s="10" t="s">
        <v>56</v>
      </c>
      <c r="M70" s="10">
        <v>3</v>
      </c>
      <c r="N70" s="13">
        <f t="shared" si="6"/>
        <v>20.416441319632234</v>
      </c>
      <c r="O70" s="6">
        <f>LOOKUP(N70,Sheet6!$J$4:$J$11,Sheet6!$B$4:$B$11)*0.15</f>
        <v>15</v>
      </c>
      <c r="P70" s="14">
        <f>LOOKUP(H70,Sheet6!$J$25:$J$66,Sheet6!$B$25:$B$66)*0.15</f>
        <v>15</v>
      </c>
      <c r="Q70" s="6">
        <f>LOOKUP(I70,Sheet6!$J$115:$J$156,Sheet6!$B$115:$B$156)*0.2</f>
        <v>20</v>
      </c>
      <c r="R70" s="6">
        <f>LOOKUP(J70,Sheet6!$D$465:$D$506,Sheet6!$B$465:$B$506)*0.1</f>
        <v>9.5</v>
      </c>
      <c r="S70" s="6">
        <f>LOOKUP(K70,Sheet6!$J$205:$J$246,Sheet6!$B$205:$B$246)*0.1</f>
        <v>8</v>
      </c>
      <c r="T70" s="6">
        <f>LOOKUP(L70,Sheet6!$F$688:$F$749,Sheet6!$B$688:$B$749)*0.2</f>
        <v>20</v>
      </c>
      <c r="U70" s="6">
        <f>LOOKUP(M70,Sheet6!$D$600:$D$626,Sheet6!$B$600:$B$626)*0.1</f>
        <v>4</v>
      </c>
      <c r="V70" s="6">
        <f t="shared" si="7"/>
        <v>91.5</v>
      </c>
      <c r="W70" s="6" t="str">
        <f t="shared" si="8"/>
        <v>优秀</v>
      </c>
    </row>
    <row r="71" spans="1:26" ht="24.75" customHeight="1">
      <c r="A71" s="9">
        <v>22</v>
      </c>
      <c r="B71" s="10" t="s">
        <v>69</v>
      </c>
      <c r="C71" s="11">
        <v>4</v>
      </c>
      <c r="D71" s="39" t="s">
        <v>538</v>
      </c>
      <c r="E71" s="12">
        <v>1</v>
      </c>
      <c r="F71" s="10">
        <v>163.80000000000001</v>
      </c>
      <c r="G71" s="10">
        <v>52.8</v>
      </c>
      <c r="H71" s="10">
        <v>3294</v>
      </c>
      <c r="I71" s="10">
        <v>8.3000000000000007</v>
      </c>
      <c r="J71" s="10">
        <v>170</v>
      </c>
      <c r="K71" s="10">
        <v>12</v>
      </c>
      <c r="L71" s="10" t="s">
        <v>72</v>
      </c>
      <c r="M71" s="10">
        <v>8</v>
      </c>
      <c r="N71" s="13">
        <f t="shared" si="6"/>
        <v>19.679140558261434</v>
      </c>
      <c r="O71" s="6">
        <f>LOOKUP(N71,Sheet6!$J$4:$J$11,Sheet6!$B$4:$B$11)*0.15</f>
        <v>15</v>
      </c>
      <c r="P71" s="14">
        <f>LOOKUP(H71,Sheet6!$J$25:$J$66,Sheet6!$B$25:$B$66)*0.15</f>
        <v>12</v>
      </c>
      <c r="Q71" s="6">
        <f>LOOKUP(I71,Sheet6!$J$115:$J$156,Sheet6!$B$115:$B$156)*0.2</f>
        <v>15.200000000000001</v>
      </c>
      <c r="R71" s="6">
        <f>LOOKUP(J71,Sheet6!$D$465:$D$506,Sheet6!$B$465:$B$506)*0.1</f>
        <v>6</v>
      </c>
      <c r="S71" s="6">
        <f>LOOKUP(K71,Sheet6!$J$205:$J$246,Sheet6!$B$205:$B$246)*0.1</f>
        <v>8</v>
      </c>
      <c r="T71" s="6">
        <f>LOOKUP(L71,Sheet6!$F$688:$F$749,Sheet6!$B$688:$B$749)*0.2</f>
        <v>16</v>
      </c>
      <c r="U71" s="6">
        <f>LOOKUP(M71,Sheet6!$D$600:$D$626,Sheet6!$B$600:$B$626)*0.1</f>
        <v>7.2</v>
      </c>
      <c r="V71" s="6">
        <f t="shared" si="7"/>
        <v>79.400000000000006</v>
      </c>
      <c r="W71" s="6" t="str">
        <f t="shared" si="8"/>
        <v>及格</v>
      </c>
    </row>
    <row r="72" spans="1:26" ht="24.75" customHeight="1">
      <c r="A72" s="9">
        <v>22</v>
      </c>
      <c r="B72" s="10" t="s">
        <v>69</v>
      </c>
      <c r="C72" s="16">
        <v>5</v>
      </c>
      <c r="D72" s="39" t="s">
        <v>539</v>
      </c>
      <c r="E72" s="12">
        <v>1</v>
      </c>
      <c r="F72" s="10">
        <v>164</v>
      </c>
      <c r="G72" s="10">
        <v>53.5</v>
      </c>
      <c r="H72" s="10">
        <v>4225</v>
      </c>
      <c r="I72" s="10">
        <v>7.2</v>
      </c>
      <c r="J72" s="10">
        <v>220</v>
      </c>
      <c r="K72" s="10">
        <v>20</v>
      </c>
      <c r="L72" s="10" t="s">
        <v>73</v>
      </c>
      <c r="M72" s="10">
        <v>11</v>
      </c>
      <c r="N72" s="13">
        <f t="shared" si="6"/>
        <v>19.891433670434264</v>
      </c>
      <c r="O72" s="6">
        <f>LOOKUP(N72,Sheet6!$J$4:$J$11,Sheet6!$B$4:$B$11)*0.15</f>
        <v>15</v>
      </c>
      <c r="P72" s="14">
        <f>LOOKUP(H72,Sheet6!$J$25:$J$66,Sheet6!$B$25:$B$66)*0.15</f>
        <v>15</v>
      </c>
      <c r="Q72" s="6">
        <f>LOOKUP(I72,Sheet6!$J$115:$J$156,Sheet6!$B$115:$B$156)*0.2</f>
        <v>20</v>
      </c>
      <c r="R72" s="6">
        <f>LOOKUP(J72,Sheet6!$D$465:$D$506,Sheet6!$B$465:$B$506)*0.1</f>
        <v>8.5</v>
      </c>
      <c r="S72" s="6">
        <f>LOOKUP(K72,Sheet6!$J$205:$J$246,Sheet6!$B$205:$B$246)*0.1</f>
        <v>10</v>
      </c>
      <c r="T72" s="6">
        <f>LOOKUP(L72,Sheet6!$F$688:$F$749,Sheet6!$B$688:$B$749)*0.2</f>
        <v>24</v>
      </c>
      <c r="U72" s="6">
        <f>LOOKUP(M72,Sheet6!$D$600:$D$626,Sheet6!$B$600:$B$626)*0.1</f>
        <v>8.5</v>
      </c>
      <c r="V72" s="6">
        <f t="shared" si="7"/>
        <v>101</v>
      </c>
      <c r="W72" s="6" t="str">
        <f t="shared" si="8"/>
        <v>优秀</v>
      </c>
    </row>
    <row r="73" spans="1:26" ht="24.75" customHeight="1">
      <c r="A73" s="9">
        <v>22</v>
      </c>
      <c r="B73" s="10" t="s">
        <v>69</v>
      </c>
      <c r="C73" s="11">
        <v>6</v>
      </c>
      <c r="D73" s="39" t="s">
        <v>540</v>
      </c>
      <c r="E73" s="12">
        <v>1</v>
      </c>
      <c r="F73" s="10">
        <v>169</v>
      </c>
      <c r="G73" s="10">
        <v>62.8</v>
      </c>
      <c r="H73" s="10">
        <v>3522</v>
      </c>
      <c r="I73" s="10">
        <v>8</v>
      </c>
      <c r="J73" s="10">
        <v>225</v>
      </c>
      <c r="K73" s="10">
        <v>21</v>
      </c>
      <c r="L73" s="10" t="s">
        <v>23</v>
      </c>
      <c r="M73" s="10">
        <v>6</v>
      </c>
      <c r="N73" s="13">
        <f t="shared" si="6"/>
        <v>21.988025629354713</v>
      </c>
      <c r="O73" s="6">
        <f>LOOKUP(N73,Sheet6!$J$4:$J$11,Sheet6!$B$4:$B$11)*0.15</f>
        <v>15</v>
      </c>
      <c r="P73" s="14">
        <f>LOOKUP(H73,Sheet6!$J$25:$J$66,Sheet6!$B$25:$B$66)*0.15</f>
        <v>12.75</v>
      </c>
      <c r="Q73" s="6">
        <f>LOOKUP(I73,Sheet6!$J$115:$J$156,Sheet6!$B$115:$B$156)*0.2</f>
        <v>15.600000000000001</v>
      </c>
      <c r="R73" s="6">
        <f>LOOKUP(J73,Sheet6!$D$465:$D$506,Sheet6!$B$465:$B$506)*0.1</f>
        <v>8.5</v>
      </c>
      <c r="S73" s="6">
        <f>LOOKUP(K73,Sheet6!$J$205:$J$246,Sheet6!$B$205:$B$246)*0.1</f>
        <v>10</v>
      </c>
      <c r="T73" s="6">
        <f>LOOKUP(L73,Sheet6!$F$688:$F$749,Sheet6!$B$688:$B$749)*0.2</f>
        <v>16</v>
      </c>
      <c r="U73" s="6">
        <f>LOOKUP(M73,Sheet6!$D$600:$D$626,Sheet6!$B$600:$B$626)*0.1</f>
        <v>6.4</v>
      </c>
      <c r="V73" s="6">
        <f t="shared" si="7"/>
        <v>84.25</v>
      </c>
      <c r="W73" s="6" t="str">
        <f t="shared" si="8"/>
        <v>良好</v>
      </c>
    </row>
    <row r="74" spans="1:26" ht="24.75" customHeight="1">
      <c r="A74" s="9">
        <v>22</v>
      </c>
      <c r="B74" s="10" t="s">
        <v>69</v>
      </c>
      <c r="C74" s="11">
        <v>7</v>
      </c>
      <c r="D74" s="39" t="s">
        <v>541</v>
      </c>
      <c r="E74" s="12">
        <v>1</v>
      </c>
      <c r="F74" s="10">
        <v>174</v>
      </c>
      <c r="G74" s="10">
        <v>70</v>
      </c>
      <c r="H74" s="10">
        <v>3563</v>
      </c>
      <c r="I74" s="10">
        <v>9</v>
      </c>
      <c r="J74" s="10">
        <v>180</v>
      </c>
      <c r="K74" s="10">
        <v>20</v>
      </c>
      <c r="L74" s="10" t="s">
        <v>74</v>
      </c>
      <c r="M74" s="10">
        <v>3</v>
      </c>
      <c r="N74" s="13">
        <f t="shared" si="6"/>
        <v>23.120623596247853</v>
      </c>
      <c r="O74" s="6">
        <f>LOOKUP(N74,Sheet6!$J$4:$J$11,Sheet6!$B$4:$B$11)*0.15</f>
        <v>12</v>
      </c>
      <c r="P74" s="14">
        <f>LOOKUP(H74,Sheet6!$J$25:$J$66,Sheet6!$B$25:$B$66)*0.15</f>
        <v>12.75</v>
      </c>
      <c r="Q74" s="6">
        <f>LOOKUP(I74,Sheet6!$J$115:$J$156,Sheet6!$B$115:$B$156)*0.2</f>
        <v>13.600000000000001</v>
      </c>
      <c r="R74" s="6">
        <f>LOOKUP(J74,Sheet6!$D$465:$D$506,Sheet6!$B$465:$B$506)*0.1</f>
        <v>6.4</v>
      </c>
      <c r="S74" s="6">
        <f>LOOKUP(K74,Sheet6!$J$205:$J$246,Sheet6!$B$205:$B$246)*0.1</f>
        <v>10</v>
      </c>
      <c r="T74" s="6">
        <f>LOOKUP(L74,Sheet6!$F$688:$F$749,Sheet6!$B$688:$B$749)*0.2</f>
        <v>12.4</v>
      </c>
      <c r="U74" s="6">
        <f>LOOKUP(M74,Sheet6!$D$600:$D$626,Sheet6!$B$600:$B$626)*0.1</f>
        <v>4</v>
      </c>
      <c r="V74" s="6">
        <f t="shared" si="7"/>
        <v>71.150000000000006</v>
      </c>
      <c r="W74" s="6" t="str">
        <f t="shared" si="8"/>
        <v>及格</v>
      </c>
    </row>
    <row r="75" spans="1:26" ht="24.75" customHeight="1">
      <c r="A75" s="9">
        <v>22</v>
      </c>
      <c r="B75" s="10" t="s">
        <v>69</v>
      </c>
      <c r="C75" s="16">
        <v>8</v>
      </c>
      <c r="D75" s="39" t="s">
        <v>542</v>
      </c>
      <c r="E75" s="12">
        <v>1</v>
      </c>
      <c r="F75" s="10">
        <v>160</v>
      </c>
      <c r="G75" s="10">
        <v>42.1</v>
      </c>
      <c r="H75" s="12">
        <v>3014</v>
      </c>
      <c r="I75" s="10">
        <v>8.6</v>
      </c>
      <c r="J75" s="10">
        <v>185</v>
      </c>
      <c r="K75" s="19">
        <v>15</v>
      </c>
      <c r="L75" s="10" t="s">
        <v>75</v>
      </c>
      <c r="M75" s="10">
        <v>3</v>
      </c>
      <c r="N75" s="13">
        <f t="shared" si="6"/>
        <v>16.4453125</v>
      </c>
      <c r="O75" s="6">
        <f>LOOKUP(N75,Sheet6!$J$4:$J$11,Sheet6!$B$4:$B$11)*0.15</f>
        <v>15</v>
      </c>
      <c r="P75" s="14">
        <f>LOOKUP(H75,Sheet6!$J$25:$J$66,Sheet6!$B$25:$B$66)*0.15</f>
        <v>11.4</v>
      </c>
      <c r="Q75" s="6">
        <f>LOOKUP(I75,Sheet6!$J$115:$J$156,Sheet6!$B$115:$B$156)*0.2</f>
        <v>14.4</v>
      </c>
      <c r="R75" s="6">
        <f>LOOKUP(J75,Sheet6!$D$465:$D$506,Sheet6!$B$465:$B$506)*0.1</f>
        <v>6.6000000000000005</v>
      </c>
      <c r="S75" s="6">
        <f>LOOKUP(K75,Sheet6!$J$205:$J$246,Sheet6!$B$205:$B$246)*0.1</f>
        <v>8.5</v>
      </c>
      <c r="T75" s="6">
        <f>LOOKUP(L75,Sheet6!$F$688:$F$749,Sheet6!$B$688:$B$749)*0.2</f>
        <v>14.4</v>
      </c>
      <c r="U75" s="6">
        <f>LOOKUP(M75,Sheet6!$D$600:$D$626,Sheet6!$B$600:$B$626)*0.1</f>
        <v>4</v>
      </c>
      <c r="V75" s="6">
        <f t="shared" si="7"/>
        <v>74.3</v>
      </c>
      <c r="W75" s="6" t="str">
        <f t="shared" si="8"/>
        <v>及格</v>
      </c>
    </row>
    <row r="76" spans="1:26" ht="24.75" customHeight="1">
      <c r="A76" s="9">
        <v>22</v>
      </c>
      <c r="B76" s="10" t="s">
        <v>69</v>
      </c>
      <c r="C76" s="11">
        <v>9</v>
      </c>
      <c r="D76" s="39" t="s">
        <v>543</v>
      </c>
      <c r="E76" s="12">
        <v>1</v>
      </c>
      <c r="F76" s="10">
        <v>168</v>
      </c>
      <c r="G76" s="10">
        <v>57.4</v>
      </c>
      <c r="H76" s="12">
        <v>3560</v>
      </c>
      <c r="I76" s="10">
        <v>7.8</v>
      </c>
      <c r="J76" s="10">
        <v>200</v>
      </c>
      <c r="K76" s="19">
        <v>20</v>
      </c>
      <c r="L76" s="10" t="s">
        <v>68</v>
      </c>
      <c r="M76" s="10">
        <v>6</v>
      </c>
      <c r="N76" s="13">
        <f t="shared" si="6"/>
        <v>20.337301587301589</v>
      </c>
      <c r="O76" s="6">
        <f>LOOKUP(N76,Sheet6!$J$4:$J$11,Sheet6!$B$4:$B$11)*0.15</f>
        <v>15</v>
      </c>
      <c r="P76" s="14">
        <f>LOOKUP(H76,Sheet6!$J$25:$J$66,Sheet6!$B$25:$B$66)*0.15</f>
        <v>12.75</v>
      </c>
      <c r="Q76" s="6">
        <f>LOOKUP(I76,Sheet6!$J$115:$J$156,Sheet6!$B$115:$B$156)*0.2</f>
        <v>17</v>
      </c>
      <c r="R76" s="6">
        <f>LOOKUP(J76,Sheet6!$D$465:$D$506,Sheet6!$B$465:$B$506)*0.1</f>
        <v>7.4</v>
      </c>
      <c r="S76" s="6">
        <f>LOOKUP(K76,Sheet6!$J$205:$J$246,Sheet6!$B$205:$B$246)*0.1</f>
        <v>10</v>
      </c>
      <c r="T76" s="6">
        <f>LOOKUP(L76,Sheet6!$F$688:$F$749,Sheet6!$B$688:$B$749)*0.2</f>
        <v>17</v>
      </c>
      <c r="U76" s="6">
        <f>LOOKUP(M76,Sheet6!$D$600:$D$626,Sheet6!$B$600:$B$626)*0.1</f>
        <v>6.4</v>
      </c>
      <c r="V76" s="6">
        <f t="shared" si="7"/>
        <v>85.550000000000011</v>
      </c>
      <c r="W76" s="6" t="str">
        <f t="shared" si="8"/>
        <v>良好</v>
      </c>
    </row>
    <row r="77" spans="1:26" ht="24.75" customHeight="1">
      <c r="A77" s="9">
        <v>22</v>
      </c>
      <c r="B77" s="10" t="s">
        <v>69</v>
      </c>
      <c r="C77" s="11">
        <v>10</v>
      </c>
      <c r="D77" s="39" t="s">
        <v>544</v>
      </c>
      <c r="E77" s="12">
        <v>1</v>
      </c>
      <c r="F77" s="10">
        <v>176</v>
      </c>
      <c r="G77" s="10">
        <v>60.6</v>
      </c>
      <c r="H77" s="12">
        <v>4428</v>
      </c>
      <c r="I77" s="10">
        <v>7.4</v>
      </c>
      <c r="J77" s="10">
        <v>230</v>
      </c>
      <c r="K77" s="19">
        <v>15</v>
      </c>
      <c r="L77" s="10" t="s">
        <v>65</v>
      </c>
      <c r="M77" s="10">
        <v>8</v>
      </c>
      <c r="N77" s="13">
        <f t="shared" si="6"/>
        <v>19.563533057851238</v>
      </c>
      <c r="O77" s="6">
        <f>LOOKUP(N77,Sheet6!$J$4:$J$11,Sheet6!$B$4:$B$11)*0.15</f>
        <v>15</v>
      </c>
      <c r="P77" s="14">
        <f>LOOKUP(H77,Sheet6!$J$25:$J$66,Sheet6!$B$25:$B$66)*0.15</f>
        <v>15</v>
      </c>
      <c r="Q77" s="6">
        <f>LOOKUP(I77,Sheet6!$J$115:$J$156,Sheet6!$B$115:$B$156)*0.2</f>
        <v>20</v>
      </c>
      <c r="R77" s="6">
        <f>LOOKUP(J77,Sheet6!$D$465:$D$506,Sheet6!$B$465:$B$506)*0.1</f>
        <v>9</v>
      </c>
      <c r="S77" s="6">
        <f>LOOKUP(K77,Sheet6!$J$205:$J$246,Sheet6!$B$205:$B$246)*0.1</f>
        <v>8.5</v>
      </c>
      <c r="T77" s="6">
        <f>LOOKUP(L77,Sheet6!$F$688:$F$749,Sheet6!$B$688:$B$749)*0.2</f>
        <v>22</v>
      </c>
      <c r="U77" s="6">
        <f>LOOKUP(M77,Sheet6!$D$600:$D$626,Sheet6!$B$600:$B$626)*0.1</f>
        <v>7.2</v>
      </c>
      <c r="V77" s="6">
        <f t="shared" si="7"/>
        <v>96.7</v>
      </c>
      <c r="W77" s="6" t="str">
        <f t="shared" si="8"/>
        <v>优秀</v>
      </c>
    </row>
    <row r="78" spans="1:26" ht="24.75" customHeight="1">
      <c r="A78" s="9">
        <v>22</v>
      </c>
      <c r="B78" s="10" t="s">
        <v>69</v>
      </c>
      <c r="C78" s="16">
        <v>11</v>
      </c>
      <c r="D78" s="39" t="s">
        <v>545</v>
      </c>
      <c r="E78" s="12">
        <v>1</v>
      </c>
      <c r="F78" s="10">
        <v>172</v>
      </c>
      <c r="G78" s="10">
        <v>56.2</v>
      </c>
      <c r="H78" s="12">
        <v>4307</v>
      </c>
      <c r="I78" s="10">
        <v>8.3000000000000007</v>
      </c>
      <c r="J78" s="10">
        <v>190</v>
      </c>
      <c r="K78" s="19">
        <v>12</v>
      </c>
      <c r="L78" s="10" t="s">
        <v>29</v>
      </c>
      <c r="M78" s="10">
        <v>3</v>
      </c>
      <c r="N78" s="13">
        <f t="shared" si="6"/>
        <v>18.996755002704166</v>
      </c>
      <c r="O78" s="6">
        <f>LOOKUP(N78,Sheet6!$J$4:$J$11,Sheet6!$B$4:$B$11)*0.15</f>
        <v>15</v>
      </c>
      <c r="P78" s="14">
        <f>LOOKUP(H78,Sheet6!$J$25:$J$66,Sheet6!$B$25:$B$66)*0.15</f>
        <v>15</v>
      </c>
      <c r="Q78" s="6">
        <f>LOOKUP(I78,Sheet6!$J$115:$J$156,Sheet6!$B$115:$B$156)*0.2</f>
        <v>15.200000000000001</v>
      </c>
      <c r="R78" s="6">
        <f>LOOKUP(J78,Sheet6!$D$465:$D$506,Sheet6!$B$465:$B$506)*0.1</f>
        <v>7</v>
      </c>
      <c r="S78" s="6">
        <f>LOOKUP(K78,Sheet6!$J$205:$J$246,Sheet6!$B$205:$B$246)*0.1</f>
        <v>8</v>
      </c>
      <c r="T78" s="6">
        <f>LOOKUP(L78,Sheet6!$F$688:$F$749,Sheet6!$B$688:$B$749)*0.2</f>
        <v>15.600000000000001</v>
      </c>
      <c r="U78" s="6">
        <f>LOOKUP(M78,Sheet6!$D$600:$D$626,Sheet6!$B$600:$B$626)*0.1</f>
        <v>4</v>
      </c>
      <c r="V78" s="6">
        <f t="shared" si="7"/>
        <v>79.800000000000011</v>
      </c>
      <c r="W78" s="6" t="str">
        <f t="shared" si="8"/>
        <v>及格</v>
      </c>
    </row>
    <row r="79" spans="1:26" ht="24.75" customHeight="1">
      <c r="A79" s="9">
        <v>22</v>
      </c>
      <c r="B79" s="10" t="s">
        <v>69</v>
      </c>
      <c r="C79" s="11">
        <v>12</v>
      </c>
      <c r="D79" s="39" t="s">
        <v>546</v>
      </c>
      <c r="E79" s="12">
        <v>1</v>
      </c>
      <c r="F79" s="10">
        <v>178</v>
      </c>
      <c r="G79" s="10">
        <v>83.5</v>
      </c>
      <c r="H79" s="20">
        <v>3513</v>
      </c>
      <c r="I79" s="10">
        <v>9</v>
      </c>
      <c r="J79" s="10">
        <v>170</v>
      </c>
      <c r="K79" s="19">
        <v>12</v>
      </c>
      <c r="L79" s="10" t="s">
        <v>74</v>
      </c>
      <c r="M79" s="10">
        <v>3</v>
      </c>
      <c r="N79" s="13">
        <f t="shared" si="6"/>
        <v>26.353995707612672</v>
      </c>
      <c r="O79" s="6">
        <f>LOOKUP(N79,Sheet6!$J$4:$J$11,Sheet6!$B$4:$B$11)*0.15</f>
        <v>9</v>
      </c>
      <c r="P79" s="14">
        <f>LOOKUP(H79,Sheet6!$J$25:$J$66,Sheet6!$B$25:$B$66)*0.15</f>
        <v>12.75</v>
      </c>
      <c r="Q79" s="6">
        <f>LOOKUP(I79,Sheet6!$J$115:$J$156,Sheet6!$B$115:$B$156)*0.2</f>
        <v>13.600000000000001</v>
      </c>
      <c r="R79" s="6">
        <f>LOOKUP(J79,Sheet6!$D$465:$D$506,Sheet6!$B$465:$B$506)*0.1</f>
        <v>6</v>
      </c>
      <c r="S79" s="6">
        <f>LOOKUP(K79,Sheet6!$J$205:$J$246,Sheet6!$B$205:$B$246)*0.1</f>
        <v>8</v>
      </c>
      <c r="T79" s="6">
        <f>LOOKUP(L79,Sheet6!$F$688:$F$749,Sheet6!$B$688:$B$749)*0.2</f>
        <v>12.4</v>
      </c>
      <c r="U79" s="6">
        <f>LOOKUP(M79,Sheet6!$D$600:$D$626,Sheet6!$B$600:$B$626)*0.1</f>
        <v>4</v>
      </c>
      <c r="V79" s="6">
        <f t="shared" si="7"/>
        <v>65.75</v>
      </c>
      <c r="W79" s="6" t="str">
        <f t="shared" si="8"/>
        <v>及格</v>
      </c>
    </row>
    <row r="80" spans="1:26" ht="24.75" customHeight="1">
      <c r="A80" s="9">
        <v>22</v>
      </c>
      <c r="B80" s="10" t="s">
        <v>69</v>
      </c>
      <c r="C80" s="11">
        <v>13</v>
      </c>
      <c r="D80" s="39" t="s">
        <v>547</v>
      </c>
      <c r="E80" s="12">
        <v>1</v>
      </c>
      <c r="F80" s="10">
        <v>169</v>
      </c>
      <c r="G80" s="10">
        <v>78</v>
      </c>
      <c r="H80" s="12">
        <v>4764</v>
      </c>
      <c r="I80" s="10">
        <v>9</v>
      </c>
      <c r="J80" s="10">
        <v>170</v>
      </c>
      <c r="K80" s="19">
        <v>22</v>
      </c>
      <c r="L80" s="10" t="s">
        <v>76</v>
      </c>
      <c r="M80" s="10">
        <v>3</v>
      </c>
      <c r="N80" s="13">
        <f t="shared" si="6"/>
        <v>27.309968138370504</v>
      </c>
      <c r="O80" s="6">
        <f>LOOKUP(N80,Sheet6!$J$4:$J$11,Sheet6!$B$4:$B$11)*0.15</f>
        <v>9</v>
      </c>
      <c r="P80" s="14">
        <f>LOOKUP(H80,Sheet6!$J$25:$J$66,Sheet6!$B$25:$B$66)*0.15</f>
        <v>15</v>
      </c>
      <c r="Q80" s="6">
        <f>LOOKUP(I80,Sheet6!$J$115:$J$156,Sheet6!$B$115:$B$156)*0.2</f>
        <v>13.600000000000001</v>
      </c>
      <c r="R80" s="6">
        <f>LOOKUP(J80,Sheet6!$D$465:$D$506,Sheet6!$B$465:$B$506)*0.1</f>
        <v>6</v>
      </c>
      <c r="S80" s="6">
        <f>LOOKUP(K80,Sheet6!$J$205:$J$246,Sheet6!$B$205:$B$246)*0.1</f>
        <v>10</v>
      </c>
      <c r="T80" s="6">
        <f>LOOKUP(L80,Sheet6!$F$688:$F$749,Sheet6!$B$688:$B$749)*0.2</f>
        <v>16</v>
      </c>
      <c r="U80" s="6">
        <f>LOOKUP(M80,Sheet6!$D$600:$D$626,Sheet6!$B$600:$B$626)*0.1</f>
        <v>4</v>
      </c>
      <c r="V80" s="6">
        <f t="shared" si="7"/>
        <v>73.599999999999994</v>
      </c>
      <c r="W80" s="6" t="str">
        <f t="shared" si="8"/>
        <v>及格</v>
      </c>
    </row>
    <row r="81" spans="1:23" ht="24.75" customHeight="1">
      <c r="A81" s="9">
        <v>22</v>
      </c>
      <c r="B81" s="10" t="s">
        <v>69</v>
      </c>
      <c r="C81" s="16">
        <v>14</v>
      </c>
      <c r="D81" s="39" t="s">
        <v>548</v>
      </c>
      <c r="E81" s="12">
        <v>1</v>
      </c>
      <c r="F81" s="10">
        <v>169</v>
      </c>
      <c r="G81" s="10">
        <v>52</v>
      </c>
      <c r="H81" s="12">
        <v>4113</v>
      </c>
      <c r="I81" s="10">
        <v>8.5</v>
      </c>
      <c r="J81" s="10">
        <v>220</v>
      </c>
      <c r="K81" s="19">
        <v>22</v>
      </c>
      <c r="L81" s="10" t="s">
        <v>43</v>
      </c>
      <c r="M81" s="10">
        <v>10</v>
      </c>
      <c r="N81" s="13">
        <f t="shared" si="6"/>
        <v>18.206645425580337</v>
      </c>
      <c r="O81" s="6">
        <f>LOOKUP(N81,Sheet6!$J$4:$J$11,Sheet6!$B$4:$B$11)*0.15</f>
        <v>15</v>
      </c>
      <c r="P81" s="14">
        <f>LOOKUP(H81,Sheet6!$J$25:$J$66,Sheet6!$B$25:$B$66)*0.15</f>
        <v>15</v>
      </c>
      <c r="Q81" s="6">
        <f>LOOKUP(I81,Sheet6!$J$115:$J$156,Sheet6!$B$115:$B$156)*0.2</f>
        <v>14.8</v>
      </c>
      <c r="R81" s="6">
        <f>LOOKUP(J81,Sheet6!$D$465:$D$506,Sheet6!$B$465:$B$506)*0.1</f>
        <v>8.5</v>
      </c>
      <c r="S81" s="6">
        <f>LOOKUP(K81,Sheet6!$J$205:$J$246,Sheet6!$B$205:$B$246)*0.1</f>
        <v>10</v>
      </c>
      <c r="T81" s="6">
        <f>LOOKUP(L81,Sheet6!$F$688:$F$749,Sheet6!$B$688:$B$749)*0.2</f>
        <v>17</v>
      </c>
      <c r="U81" s="6">
        <f>LOOKUP(M81,Sheet6!$D$600:$D$626,Sheet6!$B$600:$B$626)*0.1</f>
        <v>8</v>
      </c>
      <c r="V81" s="6">
        <f t="shared" si="7"/>
        <v>88.3</v>
      </c>
      <c r="W81" s="6" t="str">
        <f t="shared" si="8"/>
        <v>良好</v>
      </c>
    </row>
    <row r="82" spans="1:23" ht="24.75" customHeight="1">
      <c r="A82" s="9">
        <v>22</v>
      </c>
      <c r="B82" s="10" t="s">
        <v>69</v>
      </c>
      <c r="C82" s="11">
        <v>15</v>
      </c>
      <c r="D82" s="39" t="s">
        <v>549</v>
      </c>
      <c r="E82" s="12">
        <v>1</v>
      </c>
      <c r="F82" s="10">
        <v>174</v>
      </c>
      <c r="G82" s="10">
        <v>52.6</v>
      </c>
      <c r="H82" s="12">
        <v>3515</v>
      </c>
      <c r="I82" s="10">
        <v>9</v>
      </c>
      <c r="J82" s="10">
        <v>190</v>
      </c>
      <c r="K82" s="19">
        <v>15</v>
      </c>
      <c r="L82" s="10" t="s">
        <v>59</v>
      </c>
      <c r="M82" s="10">
        <v>3</v>
      </c>
      <c r="N82" s="13">
        <f t="shared" si="6"/>
        <v>17.373497159466243</v>
      </c>
      <c r="O82" s="6">
        <f>LOOKUP(N82,Sheet6!$J$4:$J$11,Sheet6!$B$4:$B$11)*0.15</f>
        <v>15</v>
      </c>
      <c r="P82" s="14">
        <f>LOOKUP(H82,Sheet6!$J$25:$J$66,Sheet6!$B$25:$B$66)*0.15</f>
        <v>12.75</v>
      </c>
      <c r="Q82" s="6">
        <f>LOOKUP(I82,Sheet6!$J$115:$J$156,Sheet6!$B$115:$B$156)*0.2</f>
        <v>13.600000000000001</v>
      </c>
      <c r="R82" s="6">
        <f>LOOKUP(J82,Sheet6!$D$465:$D$506,Sheet6!$B$465:$B$506)*0.1</f>
        <v>7</v>
      </c>
      <c r="S82" s="6">
        <f>LOOKUP(K82,Sheet6!$J$205:$J$246,Sheet6!$B$205:$B$246)*0.1</f>
        <v>8.5</v>
      </c>
      <c r="T82" s="6">
        <f>LOOKUP(L82,Sheet6!$F$688:$F$749,Sheet6!$B$688:$B$749)*0.2</f>
        <v>24</v>
      </c>
      <c r="U82" s="6">
        <f>LOOKUP(M82,Sheet6!$D$600:$D$626,Sheet6!$B$600:$B$626)*0.1</f>
        <v>4</v>
      </c>
      <c r="V82" s="6">
        <f t="shared" si="7"/>
        <v>84.85</v>
      </c>
      <c r="W82" s="6" t="str">
        <f t="shared" si="8"/>
        <v>良好</v>
      </c>
    </row>
    <row r="83" spans="1:23" ht="24.75" customHeight="1">
      <c r="A83" s="9">
        <v>22</v>
      </c>
      <c r="B83" s="10" t="s">
        <v>69</v>
      </c>
      <c r="C83" s="11">
        <v>16</v>
      </c>
      <c r="D83" s="39" t="s">
        <v>550</v>
      </c>
      <c r="E83" s="12">
        <v>1</v>
      </c>
      <c r="F83" s="10">
        <v>170</v>
      </c>
      <c r="G83" s="10">
        <v>49.4</v>
      </c>
      <c r="H83" s="12">
        <v>3553</v>
      </c>
      <c r="I83" s="10">
        <v>7.4</v>
      </c>
      <c r="J83" s="10">
        <v>235</v>
      </c>
      <c r="K83" s="19">
        <v>12</v>
      </c>
      <c r="L83" s="10" t="s">
        <v>65</v>
      </c>
      <c r="M83" s="10">
        <v>4</v>
      </c>
      <c r="N83" s="13">
        <f t="shared" si="6"/>
        <v>17.093425605536332</v>
      </c>
      <c r="O83" s="6">
        <f>LOOKUP(N83,Sheet6!$J$4:$J$11,Sheet6!$B$4:$B$11)*0.15</f>
        <v>15</v>
      </c>
      <c r="P83" s="14">
        <f>LOOKUP(H83,Sheet6!$J$25:$J$66,Sheet6!$B$25:$B$66)*0.15</f>
        <v>12.75</v>
      </c>
      <c r="Q83" s="6">
        <f>LOOKUP(I83,Sheet6!$J$115:$J$156,Sheet6!$B$115:$B$156)*0.2</f>
        <v>20</v>
      </c>
      <c r="R83" s="6">
        <f>LOOKUP(J83,Sheet6!$D$465:$D$506,Sheet6!$B$465:$B$506)*0.1</f>
        <v>9.5</v>
      </c>
      <c r="S83" s="6">
        <f>LOOKUP(K83,Sheet6!$J$205:$J$246,Sheet6!$B$205:$B$246)*0.1</f>
        <v>8</v>
      </c>
      <c r="T83" s="6">
        <f>LOOKUP(L83,Sheet6!$F$688:$F$749,Sheet6!$B$688:$B$749)*0.2</f>
        <v>22</v>
      </c>
      <c r="U83" s="6">
        <f>LOOKUP(M83,Sheet6!$D$600:$D$626,Sheet6!$B$600:$B$626)*0.1</f>
        <v>5</v>
      </c>
      <c r="V83" s="6">
        <f t="shared" si="7"/>
        <v>92.25</v>
      </c>
      <c r="W83" s="6" t="str">
        <f t="shared" si="8"/>
        <v>优秀</v>
      </c>
    </row>
    <row r="84" spans="1:23" ht="24.75" customHeight="1">
      <c r="A84" s="9">
        <v>22</v>
      </c>
      <c r="B84" s="10" t="s">
        <v>69</v>
      </c>
      <c r="C84" s="16">
        <v>17</v>
      </c>
      <c r="D84" s="39" t="s">
        <v>551</v>
      </c>
      <c r="E84" s="12">
        <v>1</v>
      </c>
      <c r="F84" s="10">
        <v>175.1</v>
      </c>
      <c r="G84" s="10">
        <v>88</v>
      </c>
      <c r="H84" s="12">
        <v>4536</v>
      </c>
      <c r="I84" s="10">
        <v>8.1</v>
      </c>
      <c r="J84" s="10">
        <v>215</v>
      </c>
      <c r="K84" s="19">
        <v>14</v>
      </c>
      <c r="L84" s="10" t="s">
        <v>72</v>
      </c>
      <c r="M84" s="10">
        <v>3</v>
      </c>
      <c r="N84" s="13">
        <f t="shared" si="6"/>
        <v>28.701882354245811</v>
      </c>
      <c r="O84" s="6">
        <f>LOOKUP(N84,Sheet6!$J$4:$J$11,Sheet6!$B$4:$B$11)*0.15</f>
        <v>9</v>
      </c>
      <c r="P84" s="14">
        <f>LOOKUP(H84,Sheet6!$J$25:$J$66,Sheet6!$B$25:$B$66)*0.15</f>
        <v>15</v>
      </c>
      <c r="Q84" s="6">
        <f>LOOKUP(I84,Sheet6!$J$115:$J$156,Sheet6!$B$115:$B$156)*0.2</f>
        <v>15.600000000000001</v>
      </c>
      <c r="R84" s="6">
        <f>LOOKUP(J84,Sheet6!$D$465:$D$506,Sheet6!$B$465:$B$506)*0.1</f>
        <v>8</v>
      </c>
      <c r="S84" s="6">
        <f>LOOKUP(K84,Sheet6!$J$205:$J$246,Sheet6!$B$205:$B$246)*0.1</f>
        <v>8.5</v>
      </c>
      <c r="T84" s="6">
        <f>LOOKUP(L84,Sheet6!$F$688:$F$749,Sheet6!$B$688:$B$749)*0.2</f>
        <v>16</v>
      </c>
      <c r="U84" s="6">
        <f>LOOKUP(M84,Sheet6!$D$600:$D$626,Sheet6!$B$600:$B$626)*0.1</f>
        <v>4</v>
      </c>
      <c r="V84" s="6">
        <f t="shared" si="7"/>
        <v>76.099999999999994</v>
      </c>
      <c r="W84" s="6" t="str">
        <f t="shared" si="8"/>
        <v>及格</v>
      </c>
    </row>
    <row r="85" spans="1:23" ht="24.75" customHeight="1">
      <c r="A85" s="9">
        <v>22</v>
      </c>
      <c r="B85" s="10" t="s">
        <v>69</v>
      </c>
      <c r="C85" s="11">
        <v>18</v>
      </c>
      <c r="D85" s="39" t="s">
        <v>552</v>
      </c>
      <c r="E85" s="12">
        <v>1</v>
      </c>
      <c r="F85" s="10">
        <v>172</v>
      </c>
      <c r="G85" s="10">
        <v>53.9</v>
      </c>
      <c r="H85" s="12">
        <v>3941</v>
      </c>
      <c r="I85" s="10">
        <v>8.1</v>
      </c>
      <c r="J85" s="10">
        <v>225</v>
      </c>
      <c r="K85" s="19">
        <v>15</v>
      </c>
      <c r="L85" s="10" t="s">
        <v>37</v>
      </c>
      <c r="M85" s="10">
        <v>10</v>
      </c>
      <c r="N85" s="13">
        <f t="shared" si="6"/>
        <v>18.21930773391022</v>
      </c>
      <c r="O85" s="6">
        <f>LOOKUP(N85,Sheet6!$J$4:$J$11,Sheet6!$B$4:$B$11)*0.15</f>
        <v>15</v>
      </c>
      <c r="P85" s="14">
        <f>LOOKUP(H85,Sheet6!$J$25:$J$66,Sheet6!$B$25:$B$66)*0.15</f>
        <v>15</v>
      </c>
      <c r="Q85" s="6">
        <f>LOOKUP(I85,Sheet6!$J$115:$J$156,Sheet6!$B$115:$B$156)*0.2</f>
        <v>15.600000000000001</v>
      </c>
      <c r="R85" s="6">
        <f>LOOKUP(J85,Sheet6!$D$465:$D$506,Sheet6!$B$465:$B$506)*0.1</f>
        <v>8.5</v>
      </c>
      <c r="S85" s="6">
        <f>LOOKUP(K85,Sheet6!$J$205:$J$246,Sheet6!$B$205:$B$246)*0.1</f>
        <v>8.5</v>
      </c>
      <c r="T85" s="6">
        <f>LOOKUP(L85,Sheet6!$F$688:$F$749,Sheet6!$B$688:$B$749)*0.2</f>
        <v>18</v>
      </c>
      <c r="U85" s="6">
        <f>LOOKUP(M85,Sheet6!$D$600:$D$626,Sheet6!$B$600:$B$626)*0.1</f>
        <v>8</v>
      </c>
      <c r="V85" s="6">
        <f t="shared" si="7"/>
        <v>88.6</v>
      </c>
      <c r="W85" s="6" t="str">
        <f t="shared" si="8"/>
        <v>良好</v>
      </c>
    </row>
    <row r="86" spans="1:23" ht="24.75" customHeight="1">
      <c r="A86" s="9">
        <v>22</v>
      </c>
      <c r="B86" s="10" t="s">
        <v>69</v>
      </c>
      <c r="C86" s="11">
        <v>19</v>
      </c>
      <c r="D86" s="39" t="s">
        <v>553</v>
      </c>
      <c r="E86" s="12">
        <v>1</v>
      </c>
      <c r="F86" s="10">
        <v>187</v>
      </c>
      <c r="G86" s="10">
        <v>78.2</v>
      </c>
      <c r="H86" s="20">
        <v>4264</v>
      </c>
      <c r="I86" s="10">
        <v>7</v>
      </c>
      <c r="J86" s="10">
        <v>245</v>
      </c>
      <c r="K86" s="19">
        <v>14</v>
      </c>
      <c r="L86" s="10" t="s">
        <v>63</v>
      </c>
      <c r="M86" s="10">
        <v>5</v>
      </c>
      <c r="N86" s="13">
        <f t="shared" si="6"/>
        <v>22.36266407389402</v>
      </c>
      <c r="O86" s="6">
        <f>LOOKUP(N86,Sheet6!$J$4:$J$11,Sheet6!$B$4:$B$11)*0.15</f>
        <v>15</v>
      </c>
      <c r="P86" s="14">
        <f>LOOKUP(H86,Sheet6!$J$25:$J$66,Sheet6!$B$25:$B$66)*0.15</f>
        <v>15</v>
      </c>
      <c r="Q86" s="6">
        <f>LOOKUP(I86,Sheet6!$J$115:$J$156,Sheet6!$B$115:$B$156)*0.2</f>
        <v>20</v>
      </c>
      <c r="R86" s="6">
        <f>LOOKUP(J86,Sheet6!$D$465:$D$506,Sheet6!$B$465:$B$506)*0.1</f>
        <v>10</v>
      </c>
      <c r="S86" s="6">
        <f>LOOKUP(K86,Sheet6!$J$205:$J$246,Sheet6!$B$205:$B$246)*0.1</f>
        <v>8.5</v>
      </c>
      <c r="T86" s="6">
        <f>LOOKUP(L86,Sheet6!$F$688:$F$749,Sheet6!$B$688:$B$749)*0.2</f>
        <v>23</v>
      </c>
      <c r="U86" s="6">
        <f>LOOKUP(M86,Sheet6!$D$600:$D$626,Sheet6!$B$600:$B$626)*0.1</f>
        <v>6</v>
      </c>
      <c r="V86" s="6">
        <f t="shared" si="7"/>
        <v>97.5</v>
      </c>
      <c r="W86" s="6" t="str">
        <f t="shared" si="8"/>
        <v>优秀</v>
      </c>
    </row>
    <row r="87" spans="1:23" ht="24.75" customHeight="1">
      <c r="A87" s="9">
        <v>22</v>
      </c>
      <c r="B87" s="10" t="s">
        <v>69</v>
      </c>
      <c r="C87" s="16">
        <v>20</v>
      </c>
      <c r="D87" s="39" t="s">
        <v>554</v>
      </c>
      <c r="E87" s="12">
        <v>1</v>
      </c>
      <c r="F87" s="10">
        <v>175</v>
      </c>
      <c r="G87" s="10">
        <v>57.9</v>
      </c>
      <c r="H87" s="12">
        <v>3855</v>
      </c>
      <c r="I87" s="10">
        <v>7</v>
      </c>
      <c r="J87" s="10">
        <v>235</v>
      </c>
      <c r="K87" s="19">
        <v>20</v>
      </c>
      <c r="L87" s="10" t="s">
        <v>59</v>
      </c>
      <c r="M87" s="10">
        <v>7</v>
      </c>
      <c r="N87" s="13">
        <f t="shared" si="6"/>
        <v>18.906122448979591</v>
      </c>
      <c r="O87" s="6">
        <f>LOOKUP(N87,Sheet6!$J$4:$J$11,Sheet6!$B$4:$B$11)*0.15</f>
        <v>15</v>
      </c>
      <c r="P87" s="14">
        <f>LOOKUP(H87,Sheet6!$J$25:$J$66,Sheet6!$B$25:$B$66)*0.15</f>
        <v>14.25</v>
      </c>
      <c r="Q87" s="6">
        <f>LOOKUP(I87,Sheet6!$J$115:$J$156,Sheet6!$B$115:$B$156)*0.2</f>
        <v>20</v>
      </c>
      <c r="R87" s="6">
        <f>LOOKUP(J87,Sheet6!$D$465:$D$506,Sheet6!$B$465:$B$506)*0.1</f>
        <v>9.5</v>
      </c>
      <c r="S87" s="6">
        <f>LOOKUP(K87,Sheet6!$J$205:$J$246,Sheet6!$B$205:$B$246)*0.1</f>
        <v>10</v>
      </c>
      <c r="T87" s="6">
        <f>LOOKUP(L87,Sheet6!$F$688:$F$749,Sheet6!$B$688:$B$749)*0.2</f>
        <v>24</v>
      </c>
      <c r="U87" s="6">
        <f>LOOKUP(M87,Sheet6!$D$600:$D$626,Sheet6!$B$600:$B$626)*0.1</f>
        <v>6.8000000000000007</v>
      </c>
      <c r="V87" s="6">
        <f t="shared" si="7"/>
        <v>99.55</v>
      </c>
      <c r="W87" s="6" t="str">
        <f t="shared" si="8"/>
        <v>优秀</v>
      </c>
    </row>
    <row r="88" spans="1:23" ht="24.75" customHeight="1">
      <c r="A88" s="9">
        <v>22</v>
      </c>
      <c r="B88" s="10" t="s">
        <v>69</v>
      </c>
      <c r="C88" s="11">
        <v>21</v>
      </c>
      <c r="D88" s="39" t="s">
        <v>555</v>
      </c>
      <c r="E88" s="12">
        <v>1</v>
      </c>
      <c r="F88" s="10">
        <v>162</v>
      </c>
      <c r="G88" s="10">
        <v>52.8</v>
      </c>
      <c r="H88" s="12">
        <v>3327</v>
      </c>
      <c r="I88" s="10">
        <v>8.3000000000000007</v>
      </c>
      <c r="J88" s="10">
        <v>180</v>
      </c>
      <c r="K88" s="19">
        <v>18</v>
      </c>
      <c r="L88" s="10" t="s">
        <v>77</v>
      </c>
      <c r="M88" s="10">
        <v>3</v>
      </c>
      <c r="N88" s="13">
        <f t="shared" si="6"/>
        <v>20.11888431641518</v>
      </c>
      <c r="O88" s="6">
        <f>LOOKUP(N88,Sheet6!$J$4:$J$11,Sheet6!$B$4:$B$11)*0.15</f>
        <v>15</v>
      </c>
      <c r="P88" s="14">
        <f>LOOKUP(H88,Sheet6!$J$25:$J$66,Sheet6!$B$25:$B$66)*0.15</f>
        <v>12</v>
      </c>
      <c r="Q88" s="6">
        <f>LOOKUP(I88,Sheet6!$J$115:$J$156,Sheet6!$B$115:$B$156)*0.2</f>
        <v>15.200000000000001</v>
      </c>
      <c r="R88" s="6">
        <f>LOOKUP(J88,Sheet6!$D$465:$D$506,Sheet6!$B$465:$B$506)*0.1</f>
        <v>6.4</v>
      </c>
      <c r="S88" s="6">
        <f>LOOKUP(K88,Sheet6!$J$205:$J$246,Sheet6!$B$205:$B$246)*0.1</f>
        <v>9.5</v>
      </c>
      <c r="T88" s="6">
        <f>LOOKUP(L88,Sheet6!$F$688:$F$749,Sheet6!$B$688:$B$749)*0.2</f>
        <v>14.8</v>
      </c>
      <c r="U88" s="6">
        <f>LOOKUP(M88,Sheet6!$D$600:$D$626,Sheet6!$B$600:$B$626)*0.1</f>
        <v>4</v>
      </c>
      <c r="V88" s="6">
        <f t="shared" si="7"/>
        <v>76.900000000000006</v>
      </c>
      <c r="W88" s="6" t="str">
        <f t="shared" si="8"/>
        <v>及格</v>
      </c>
    </row>
    <row r="89" spans="1:23" ht="24.75" customHeight="1">
      <c r="A89" s="9">
        <v>22</v>
      </c>
      <c r="B89" s="10" t="s">
        <v>69</v>
      </c>
      <c r="C89" s="11">
        <v>22</v>
      </c>
      <c r="D89" s="39" t="s">
        <v>556</v>
      </c>
      <c r="E89" s="12">
        <v>1</v>
      </c>
      <c r="F89" s="10">
        <v>152.19999999999999</v>
      </c>
      <c r="G89" s="10">
        <v>32.6</v>
      </c>
      <c r="H89" s="12">
        <v>2361</v>
      </c>
      <c r="I89" s="10">
        <v>9</v>
      </c>
      <c r="J89" s="10">
        <v>170</v>
      </c>
      <c r="K89" s="19">
        <v>12</v>
      </c>
      <c r="L89" s="10" t="s">
        <v>78</v>
      </c>
      <c r="M89" s="10">
        <v>3</v>
      </c>
      <c r="N89" s="13">
        <f t="shared" si="6"/>
        <v>14.073052091013798</v>
      </c>
      <c r="O89" s="6">
        <f>LOOKUP(N89,Sheet6!$J$4:$J$11,Sheet6!$B$4:$B$11)*0.15</f>
        <v>12</v>
      </c>
      <c r="P89" s="14">
        <f>LOOKUP(H89,Sheet6!$J$25:$J$66,Sheet6!$B$25:$B$66)*0.15</f>
        <v>9.9</v>
      </c>
      <c r="Q89" s="6">
        <f>LOOKUP(I89,Sheet6!$J$115:$J$156,Sheet6!$B$115:$B$156)*0.2</f>
        <v>13.600000000000001</v>
      </c>
      <c r="R89" s="6">
        <f>LOOKUP(J89,Sheet6!$D$465:$D$506,Sheet6!$B$465:$B$506)*0.1</f>
        <v>6</v>
      </c>
      <c r="S89" s="6">
        <f>LOOKUP(K89,Sheet6!$J$205:$J$246,Sheet6!$B$205:$B$246)*0.1</f>
        <v>8</v>
      </c>
      <c r="T89" s="6">
        <f>LOOKUP(L89,Sheet6!$F$688:$F$749,Sheet6!$B$688:$B$749)*0.2</f>
        <v>13.200000000000001</v>
      </c>
      <c r="U89" s="6">
        <f>LOOKUP(M89,Sheet6!$D$600:$D$626,Sheet6!$B$600:$B$626)*0.1</f>
        <v>4</v>
      </c>
      <c r="V89" s="6">
        <f t="shared" si="7"/>
        <v>66.7</v>
      </c>
      <c r="W89" s="6" t="str">
        <f t="shared" si="8"/>
        <v>及格</v>
      </c>
    </row>
    <row r="90" spans="1:23" ht="24.75" customHeight="1">
      <c r="A90" s="9">
        <v>22</v>
      </c>
      <c r="B90" s="10" t="s">
        <v>69</v>
      </c>
      <c r="C90" s="16">
        <v>23</v>
      </c>
      <c r="D90" s="39" t="s">
        <v>557</v>
      </c>
      <c r="E90" s="12">
        <v>1</v>
      </c>
      <c r="F90" s="10">
        <v>163.6</v>
      </c>
      <c r="G90" s="10">
        <v>46</v>
      </c>
      <c r="H90" s="12">
        <v>4384</v>
      </c>
      <c r="I90" s="10">
        <v>7.9</v>
      </c>
      <c r="J90" s="10">
        <v>200</v>
      </c>
      <c r="K90" s="19">
        <v>14.8</v>
      </c>
      <c r="L90" s="10" t="s">
        <v>72</v>
      </c>
      <c r="M90" s="10">
        <v>3</v>
      </c>
      <c r="N90" s="13">
        <f t="shared" si="6"/>
        <v>17.186650008070252</v>
      </c>
      <c r="O90" s="6">
        <f>LOOKUP(N90,Sheet6!$J$4:$J$11,Sheet6!$B$4:$B$11)*0.15</f>
        <v>15</v>
      </c>
      <c r="P90" s="14">
        <f>LOOKUP(H90,Sheet6!$J$25:$J$66,Sheet6!$B$25:$B$66)*0.15</f>
        <v>15</v>
      </c>
      <c r="Q90" s="6">
        <f>LOOKUP(I90,Sheet6!$J$115:$J$156,Sheet6!$B$115:$B$156)*0.2</f>
        <v>16</v>
      </c>
      <c r="R90" s="6">
        <f>LOOKUP(J90,Sheet6!$D$465:$D$506,Sheet6!$B$465:$B$506)*0.1</f>
        <v>7.4</v>
      </c>
      <c r="S90" s="6">
        <f>LOOKUP(K90,Sheet6!$J$205:$J$246,Sheet6!$B$205:$B$246)*0.1</f>
        <v>8.5</v>
      </c>
      <c r="T90" s="6">
        <f>LOOKUP(L90,Sheet6!$F$688:$F$749,Sheet6!$B$688:$B$749)*0.2</f>
        <v>16</v>
      </c>
      <c r="U90" s="6">
        <f>LOOKUP(M90,Sheet6!$D$600:$D$626,Sheet6!$B$600:$B$626)*0.1</f>
        <v>4</v>
      </c>
      <c r="V90" s="6">
        <f t="shared" si="7"/>
        <v>81.900000000000006</v>
      </c>
      <c r="W90" s="6" t="str">
        <f t="shared" si="8"/>
        <v>良好</v>
      </c>
    </row>
    <row r="91" spans="1:23" ht="24.75" customHeight="1">
      <c r="A91" s="9">
        <v>22</v>
      </c>
      <c r="B91" s="10" t="s">
        <v>79</v>
      </c>
      <c r="C91" s="11">
        <v>1</v>
      </c>
      <c r="D91" s="39" t="s">
        <v>558</v>
      </c>
      <c r="E91" s="12">
        <v>1</v>
      </c>
      <c r="F91" s="10">
        <v>172</v>
      </c>
      <c r="G91" s="10">
        <v>57.5</v>
      </c>
      <c r="H91" s="12">
        <v>4051</v>
      </c>
      <c r="I91" s="10">
        <v>7.8</v>
      </c>
      <c r="J91" s="10">
        <v>195</v>
      </c>
      <c r="K91" s="19">
        <v>13</v>
      </c>
      <c r="L91" s="10" t="s">
        <v>70</v>
      </c>
      <c r="M91" s="10">
        <v>3</v>
      </c>
      <c r="N91" s="13">
        <f t="shared" si="6"/>
        <v>19.436181719848566</v>
      </c>
      <c r="O91" s="6">
        <f>LOOKUP(N91,Sheet6!$J$4:$J$11,Sheet6!$B$4:$B$11)*0.15</f>
        <v>15</v>
      </c>
      <c r="P91" s="14">
        <f>LOOKUP(H91,Sheet6!$J$25:$J$66,Sheet6!$B$25:$B$66)*0.15</f>
        <v>15</v>
      </c>
      <c r="Q91" s="6">
        <f>LOOKUP(I91,Sheet6!$J$115:$J$156,Sheet6!$B$115:$B$156)*0.2</f>
        <v>17</v>
      </c>
      <c r="R91" s="6">
        <f>LOOKUP(J91,Sheet6!$D$465:$D$506,Sheet6!$B$465:$B$506)*0.1</f>
        <v>7.2</v>
      </c>
      <c r="S91" s="6">
        <f>LOOKUP(K91,Sheet6!$J$205:$J$246,Sheet6!$B$205:$B$246)*0.1</f>
        <v>8</v>
      </c>
      <c r="T91" s="6">
        <f>LOOKUP(L91,Sheet6!$F$688:$F$749,Sheet6!$B$688:$B$749)*0.2</f>
        <v>14.8</v>
      </c>
      <c r="U91" s="6">
        <f>LOOKUP(M91,Sheet6!$D$600:$D$626,Sheet6!$B$600:$B$626)*0.1</f>
        <v>4</v>
      </c>
      <c r="V91" s="6">
        <f t="shared" si="7"/>
        <v>81</v>
      </c>
      <c r="W91" s="6" t="str">
        <f t="shared" si="8"/>
        <v>良好</v>
      </c>
    </row>
    <row r="92" spans="1:23" ht="24.75" customHeight="1">
      <c r="A92" s="9">
        <v>22</v>
      </c>
      <c r="B92" s="10" t="s">
        <v>79</v>
      </c>
      <c r="C92" s="11">
        <v>2</v>
      </c>
      <c r="D92" s="39" t="s">
        <v>559</v>
      </c>
      <c r="E92" s="12">
        <v>1</v>
      </c>
      <c r="F92" s="10">
        <v>162</v>
      </c>
      <c r="G92" s="10">
        <v>45.6</v>
      </c>
      <c r="H92" s="12">
        <v>2191</v>
      </c>
      <c r="I92" s="10">
        <v>8.5</v>
      </c>
      <c r="J92" s="10">
        <v>200</v>
      </c>
      <c r="K92" s="19">
        <v>21</v>
      </c>
      <c r="L92" s="10" t="s">
        <v>80</v>
      </c>
      <c r="M92" s="10">
        <v>3</v>
      </c>
      <c r="N92" s="13">
        <f t="shared" si="6"/>
        <v>17.375400091449475</v>
      </c>
      <c r="O92" s="6">
        <f>LOOKUP(N92,Sheet6!$J$4:$J$11,Sheet6!$B$4:$B$11)*0.15</f>
        <v>15</v>
      </c>
      <c r="P92" s="14">
        <f>LOOKUP(H92,Sheet6!$J$25:$J$66,Sheet6!$B$25:$B$66)*0.15</f>
        <v>9.2999999999999989</v>
      </c>
      <c r="Q92" s="6">
        <f>LOOKUP(I92,Sheet6!$J$115:$J$156,Sheet6!$B$115:$B$156)*0.2</f>
        <v>14.8</v>
      </c>
      <c r="R92" s="6">
        <f>LOOKUP(J92,Sheet6!$D$465:$D$506,Sheet6!$B$465:$B$506)*0.1</f>
        <v>7.4</v>
      </c>
      <c r="S92" s="6">
        <f>LOOKUP(K92,Sheet6!$J$205:$J$246,Sheet6!$B$205:$B$246)*0.1</f>
        <v>10</v>
      </c>
      <c r="T92" s="6">
        <f>LOOKUP(L92,Sheet6!$F$688:$F$749,Sheet6!$B$688:$B$749)*0.2</f>
        <v>12.4</v>
      </c>
      <c r="U92" s="6">
        <f>LOOKUP(M92,Sheet6!$D$600:$D$626,Sheet6!$B$600:$B$626)*0.1</f>
        <v>4</v>
      </c>
      <c r="V92" s="6">
        <f t="shared" si="7"/>
        <v>72.899999999999991</v>
      </c>
      <c r="W92" s="6" t="str">
        <f t="shared" si="8"/>
        <v>及格</v>
      </c>
    </row>
    <row r="93" spans="1:23" ht="24.75" customHeight="1">
      <c r="A93" s="9">
        <v>22</v>
      </c>
      <c r="B93" s="10" t="s">
        <v>79</v>
      </c>
      <c r="C93" s="16">
        <v>3</v>
      </c>
      <c r="D93" s="39" t="s">
        <v>560</v>
      </c>
      <c r="E93" s="12">
        <v>1</v>
      </c>
      <c r="F93" s="10">
        <v>170</v>
      </c>
      <c r="G93" s="10">
        <v>86</v>
      </c>
      <c r="H93" s="12">
        <v>3500</v>
      </c>
      <c r="I93" s="10">
        <v>8.9</v>
      </c>
      <c r="J93" s="10">
        <v>175</v>
      </c>
      <c r="K93" s="19">
        <v>25</v>
      </c>
      <c r="L93" s="10" t="s">
        <v>74</v>
      </c>
      <c r="M93" s="10">
        <v>3</v>
      </c>
      <c r="N93" s="13">
        <f t="shared" si="6"/>
        <v>29.757785467128027</v>
      </c>
      <c r="O93" s="6">
        <f>LOOKUP(N93,Sheet6!$J$4:$J$11,Sheet6!$B$4:$B$11)*0.15</f>
        <v>9</v>
      </c>
      <c r="P93" s="14">
        <f>LOOKUP(H93,Sheet6!$J$25:$J$66,Sheet6!$B$25:$B$66)*0.15</f>
        <v>12.75</v>
      </c>
      <c r="Q93" s="6">
        <f>LOOKUP(I93,Sheet6!$J$115:$J$156,Sheet6!$B$115:$B$156)*0.2</f>
        <v>14</v>
      </c>
      <c r="R93" s="6">
        <f>LOOKUP(J93,Sheet6!$D$465:$D$506,Sheet6!$B$465:$B$506)*0.1</f>
        <v>6.2</v>
      </c>
      <c r="S93" s="6">
        <f>LOOKUP(K93,Sheet6!$J$205:$J$246,Sheet6!$B$205:$B$246)*0.1</f>
        <v>10</v>
      </c>
      <c r="T93" s="6">
        <f>LOOKUP(L93,Sheet6!$F$688:$F$749,Sheet6!$B$688:$B$749)*0.2</f>
        <v>12.4</v>
      </c>
      <c r="U93" s="6">
        <f>LOOKUP(M93,Sheet6!$D$600:$D$626,Sheet6!$B$600:$B$626)*0.1</f>
        <v>4</v>
      </c>
      <c r="V93" s="6">
        <f t="shared" si="7"/>
        <v>68.350000000000009</v>
      </c>
      <c r="W93" s="6" t="str">
        <f t="shared" si="8"/>
        <v>及格</v>
      </c>
    </row>
    <row r="94" spans="1:23" ht="24.75" customHeight="1">
      <c r="A94" s="9">
        <v>22</v>
      </c>
      <c r="B94" s="10" t="s">
        <v>79</v>
      </c>
      <c r="C94" s="11">
        <v>4</v>
      </c>
      <c r="D94" s="39" t="s">
        <v>561</v>
      </c>
      <c r="E94" s="12">
        <v>1</v>
      </c>
      <c r="F94" s="10">
        <v>177</v>
      </c>
      <c r="G94" s="10">
        <v>87.1</v>
      </c>
      <c r="H94" s="12">
        <v>4396</v>
      </c>
      <c r="I94" s="10">
        <v>9</v>
      </c>
      <c r="J94" s="10">
        <v>170</v>
      </c>
      <c r="K94" s="19">
        <v>13</v>
      </c>
      <c r="L94" s="10" t="s">
        <v>70</v>
      </c>
      <c r="M94" s="10">
        <v>3</v>
      </c>
      <c r="N94" s="13">
        <f t="shared" si="6"/>
        <v>27.801717258769827</v>
      </c>
      <c r="O94" s="6">
        <f>LOOKUP(N94,Sheet6!$J$4:$J$11,Sheet6!$B$4:$B$11)*0.15</f>
        <v>9</v>
      </c>
      <c r="P94" s="14">
        <f>LOOKUP(H94,Sheet6!$J$25:$J$66,Sheet6!$B$25:$B$66)*0.15</f>
        <v>15</v>
      </c>
      <c r="Q94" s="6">
        <f>LOOKUP(I94,Sheet6!$J$115:$J$156,Sheet6!$B$115:$B$156)*0.2</f>
        <v>13.600000000000001</v>
      </c>
      <c r="R94" s="6">
        <f>LOOKUP(J94,Sheet6!$D$465:$D$506,Sheet6!$B$465:$B$506)*0.1</f>
        <v>6</v>
      </c>
      <c r="S94" s="6">
        <f>LOOKUP(K94,Sheet6!$J$205:$J$246,Sheet6!$B$205:$B$246)*0.1</f>
        <v>8</v>
      </c>
      <c r="T94" s="6">
        <f>LOOKUP(L94,Sheet6!$F$688:$F$749,Sheet6!$B$688:$B$749)*0.2</f>
        <v>14.8</v>
      </c>
      <c r="U94" s="6">
        <f>LOOKUP(M94,Sheet6!$D$600:$D$626,Sheet6!$B$600:$B$626)*0.1</f>
        <v>4</v>
      </c>
      <c r="V94" s="6">
        <f t="shared" si="7"/>
        <v>70.400000000000006</v>
      </c>
      <c r="W94" s="6" t="str">
        <f t="shared" si="8"/>
        <v>及格</v>
      </c>
    </row>
    <row r="95" spans="1:23" ht="24.75" customHeight="1">
      <c r="A95" s="9">
        <v>22</v>
      </c>
      <c r="B95" s="10" t="s">
        <v>79</v>
      </c>
      <c r="C95" s="11">
        <v>5</v>
      </c>
      <c r="D95" s="39" t="s">
        <v>562</v>
      </c>
      <c r="E95" s="12">
        <v>1</v>
      </c>
      <c r="F95" s="10">
        <v>169</v>
      </c>
      <c r="G95" s="10">
        <v>69.099999999999994</v>
      </c>
      <c r="H95" s="12">
        <v>2714</v>
      </c>
      <c r="I95" s="10">
        <v>8.9</v>
      </c>
      <c r="J95" s="10">
        <v>170</v>
      </c>
      <c r="K95" s="19">
        <v>12</v>
      </c>
      <c r="L95" s="10" t="s">
        <v>45</v>
      </c>
      <c r="M95" s="10">
        <v>3</v>
      </c>
      <c r="N95" s="13">
        <f t="shared" si="6"/>
        <v>24.1938307482231</v>
      </c>
      <c r="O95" s="6">
        <f>LOOKUP(N95,Sheet6!$J$4:$J$11,Sheet6!$B$4:$B$11)*0.15</f>
        <v>12</v>
      </c>
      <c r="P95" s="14">
        <f>LOOKUP(H95,Sheet6!$J$25:$J$66,Sheet6!$B$25:$B$66)*0.15</f>
        <v>10.5</v>
      </c>
      <c r="Q95" s="6">
        <f>LOOKUP(I95,Sheet6!$J$115:$J$156,Sheet6!$B$115:$B$156)*0.2</f>
        <v>14</v>
      </c>
      <c r="R95" s="6">
        <f>LOOKUP(J95,Sheet6!$D$465:$D$506,Sheet6!$B$465:$B$506)*0.1</f>
        <v>6</v>
      </c>
      <c r="S95" s="6">
        <f>LOOKUP(K95,Sheet6!$J$205:$J$246,Sheet6!$B$205:$B$246)*0.1</f>
        <v>8</v>
      </c>
      <c r="T95" s="6">
        <f>LOOKUP(L95,Sheet6!$F$688:$F$749,Sheet6!$B$688:$B$749)*0.2</f>
        <v>13.600000000000001</v>
      </c>
      <c r="U95" s="6">
        <f>LOOKUP(M95,Sheet6!$D$600:$D$626,Sheet6!$B$600:$B$626)*0.1</f>
        <v>4</v>
      </c>
      <c r="V95" s="6">
        <f t="shared" si="7"/>
        <v>68.099999999999994</v>
      </c>
      <c r="W95" s="6" t="str">
        <f t="shared" si="8"/>
        <v>及格</v>
      </c>
    </row>
    <row r="96" spans="1:23" ht="24.75" customHeight="1">
      <c r="A96" s="9">
        <v>22</v>
      </c>
      <c r="B96" s="10" t="s">
        <v>79</v>
      </c>
      <c r="C96" s="16">
        <v>6</v>
      </c>
      <c r="D96" s="39" t="s">
        <v>563</v>
      </c>
      <c r="E96" s="12">
        <v>1</v>
      </c>
      <c r="F96" s="10">
        <v>166</v>
      </c>
      <c r="G96" s="10">
        <v>47.9</v>
      </c>
      <c r="H96" s="12">
        <v>3476</v>
      </c>
      <c r="I96" s="10">
        <v>8.4</v>
      </c>
      <c r="J96" s="10">
        <v>170</v>
      </c>
      <c r="K96" s="19">
        <v>15</v>
      </c>
      <c r="L96" s="10" t="s">
        <v>45</v>
      </c>
      <c r="M96" s="10">
        <v>3</v>
      </c>
      <c r="N96" s="13">
        <f t="shared" si="6"/>
        <v>17.382784148642763</v>
      </c>
      <c r="O96" s="6">
        <f>LOOKUP(N96,Sheet6!$J$4:$J$11,Sheet6!$B$4:$B$11)*0.15</f>
        <v>15</v>
      </c>
      <c r="P96" s="14">
        <f>LOOKUP(H96,Sheet6!$J$25:$J$66,Sheet6!$B$25:$B$66)*0.15</f>
        <v>12.75</v>
      </c>
      <c r="Q96" s="6">
        <f>LOOKUP(I96,Sheet6!$J$115:$J$156,Sheet6!$B$115:$B$156)*0.2</f>
        <v>14.8</v>
      </c>
      <c r="R96" s="6">
        <f>LOOKUP(J96,Sheet6!$D$465:$D$506,Sheet6!$B$465:$B$506)*0.1</f>
        <v>6</v>
      </c>
      <c r="S96" s="6">
        <f>LOOKUP(K96,Sheet6!$J$205:$J$246,Sheet6!$B$205:$B$246)*0.1</f>
        <v>8.5</v>
      </c>
      <c r="T96" s="6">
        <f>LOOKUP(L96,Sheet6!$F$688:$F$749,Sheet6!$B$688:$B$749)*0.2</f>
        <v>13.600000000000001</v>
      </c>
      <c r="U96" s="6">
        <f>LOOKUP(M96,Sheet6!$D$600:$D$626,Sheet6!$B$600:$B$626)*0.1</f>
        <v>4</v>
      </c>
      <c r="V96" s="6">
        <f t="shared" si="7"/>
        <v>74.650000000000006</v>
      </c>
      <c r="W96" s="6" t="str">
        <f t="shared" si="8"/>
        <v>及格</v>
      </c>
    </row>
    <row r="97" spans="1:23" ht="24.75" customHeight="1">
      <c r="A97" s="9">
        <v>22</v>
      </c>
      <c r="B97" s="10" t="s">
        <v>79</v>
      </c>
      <c r="C97" s="11">
        <v>7</v>
      </c>
      <c r="D97" s="39" t="s">
        <v>564</v>
      </c>
      <c r="E97" s="12">
        <v>1</v>
      </c>
      <c r="F97" s="10">
        <v>166</v>
      </c>
      <c r="G97" s="10">
        <v>60.9</v>
      </c>
      <c r="H97" s="12">
        <v>3094</v>
      </c>
      <c r="I97" s="10">
        <v>8.4</v>
      </c>
      <c r="J97" s="10">
        <v>225</v>
      </c>
      <c r="K97" s="19">
        <v>20</v>
      </c>
      <c r="L97" s="10" t="s">
        <v>45</v>
      </c>
      <c r="M97" s="10">
        <v>9</v>
      </c>
      <c r="N97" s="13">
        <f t="shared" si="6"/>
        <v>22.10044999274205</v>
      </c>
      <c r="O97" s="6">
        <f>LOOKUP(N97,Sheet6!$J$4:$J$11,Sheet6!$B$4:$B$11)*0.15</f>
        <v>15</v>
      </c>
      <c r="P97" s="14">
        <f>LOOKUP(H97,Sheet6!$J$25:$J$66,Sheet6!$B$25:$B$66)*0.15</f>
        <v>11.7</v>
      </c>
      <c r="Q97" s="6">
        <f>LOOKUP(I97,Sheet6!$J$115:$J$156,Sheet6!$B$115:$B$156)*0.2</f>
        <v>14.8</v>
      </c>
      <c r="R97" s="6">
        <f>LOOKUP(J97,Sheet6!$D$465:$D$506,Sheet6!$B$465:$B$506)*0.1</f>
        <v>8.5</v>
      </c>
      <c r="S97" s="6">
        <f>LOOKUP(K97,Sheet6!$J$205:$J$246,Sheet6!$B$205:$B$246)*0.1</f>
        <v>10</v>
      </c>
      <c r="T97" s="6">
        <f>LOOKUP(L97,Sheet6!$F$688:$F$749,Sheet6!$B$688:$B$749)*0.2</f>
        <v>13.600000000000001</v>
      </c>
      <c r="U97" s="6">
        <f>LOOKUP(M97,Sheet6!$D$600:$D$626,Sheet6!$B$600:$B$626)*0.1</f>
        <v>7.6000000000000005</v>
      </c>
      <c r="V97" s="6">
        <f t="shared" si="7"/>
        <v>81.199999999999989</v>
      </c>
      <c r="W97" s="6" t="str">
        <f t="shared" si="8"/>
        <v>良好</v>
      </c>
    </row>
    <row r="98" spans="1:23" ht="24.75" customHeight="1">
      <c r="A98" s="9">
        <v>22</v>
      </c>
      <c r="B98" s="10" t="s">
        <v>79</v>
      </c>
      <c r="C98" s="11">
        <v>8</v>
      </c>
      <c r="D98" s="39" t="s">
        <v>565</v>
      </c>
      <c r="E98" s="12">
        <v>1</v>
      </c>
      <c r="F98" s="10">
        <v>160</v>
      </c>
      <c r="G98" s="10">
        <v>55.1</v>
      </c>
      <c r="H98" s="12">
        <v>2498</v>
      </c>
      <c r="I98" s="10">
        <v>9</v>
      </c>
      <c r="J98" s="10">
        <v>170</v>
      </c>
      <c r="K98" s="19">
        <v>12</v>
      </c>
      <c r="L98" s="10" t="s">
        <v>45</v>
      </c>
      <c r="M98" s="10">
        <v>3</v>
      </c>
      <c r="N98" s="13">
        <f t="shared" ref="N98:N129" si="9">G98/(F98*F98)*10000</f>
        <v>21.5234375</v>
      </c>
      <c r="O98" s="6">
        <f>LOOKUP(N98,Sheet6!$J$4:$J$11,Sheet6!$B$4:$B$11)*0.15</f>
        <v>15</v>
      </c>
      <c r="P98" s="14">
        <f>LOOKUP(H98,Sheet6!$J$25:$J$66,Sheet6!$B$25:$B$66)*0.15</f>
        <v>10.199999999999999</v>
      </c>
      <c r="Q98" s="6">
        <f>LOOKUP(I98,Sheet6!$J$115:$J$156,Sheet6!$B$115:$B$156)*0.2</f>
        <v>13.600000000000001</v>
      </c>
      <c r="R98" s="6">
        <f>LOOKUP(J98,Sheet6!$D$465:$D$506,Sheet6!$B$465:$B$506)*0.1</f>
        <v>6</v>
      </c>
      <c r="S98" s="6">
        <f>LOOKUP(K98,Sheet6!$J$205:$J$246,Sheet6!$B$205:$B$246)*0.1</f>
        <v>8</v>
      </c>
      <c r="T98" s="6">
        <f>LOOKUP(L98,Sheet6!$F$688:$F$749,Sheet6!$B$688:$B$749)*0.2</f>
        <v>13.600000000000001</v>
      </c>
      <c r="U98" s="6">
        <f>LOOKUP(M98,Sheet6!$D$600:$D$626,Sheet6!$B$600:$B$626)*0.1</f>
        <v>4</v>
      </c>
      <c r="V98" s="6">
        <f t="shared" ref="V98:V129" si="10">O98+P98+Q98+R98+S98+T98+U98</f>
        <v>70.400000000000006</v>
      </c>
      <c r="W98" s="6" t="str">
        <f t="shared" ref="W98:W129" si="11">IF(V98&lt;60,"不及格",IF(V98&lt;80,"及格",IF(V98&lt;90,"良好",IF(V98&lt;121,"优秀"))))</f>
        <v>及格</v>
      </c>
    </row>
    <row r="99" spans="1:23" ht="24.75" customHeight="1">
      <c r="A99" s="9">
        <v>22</v>
      </c>
      <c r="B99" s="10" t="s">
        <v>79</v>
      </c>
      <c r="C99" s="16">
        <v>9</v>
      </c>
      <c r="D99" s="39" t="s">
        <v>566</v>
      </c>
      <c r="E99" s="12">
        <v>1</v>
      </c>
      <c r="F99" s="10">
        <v>162.19999999999999</v>
      </c>
      <c r="G99" s="10">
        <v>43.2</v>
      </c>
      <c r="H99" s="12">
        <v>3253</v>
      </c>
      <c r="I99" s="10">
        <v>7.5</v>
      </c>
      <c r="J99" s="10">
        <v>250</v>
      </c>
      <c r="K99" s="19">
        <v>15</v>
      </c>
      <c r="L99" s="10" t="s">
        <v>45</v>
      </c>
      <c r="M99" s="10">
        <v>8</v>
      </c>
      <c r="N99" s="13">
        <f t="shared" si="9"/>
        <v>16.420336282405462</v>
      </c>
      <c r="O99" s="6">
        <f>LOOKUP(N99,Sheet6!$J$4:$J$11,Sheet6!$B$4:$B$11)*0.15</f>
        <v>15</v>
      </c>
      <c r="P99" s="14">
        <f>LOOKUP(H99,Sheet6!$J$25:$J$66,Sheet6!$B$25:$B$66)*0.15</f>
        <v>12</v>
      </c>
      <c r="Q99" s="6">
        <f>LOOKUP(I99,Sheet6!$J$115:$J$156,Sheet6!$B$115:$B$156)*0.2</f>
        <v>20</v>
      </c>
      <c r="R99" s="6">
        <f>LOOKUP(J99,Sheet6!$D$465:$D$506,Sheet6!$B$465:$B$506)*0.1</f>
        <v>10</v>
      </c>
      <c r="S99" s="6">
        <f>LOOKUP(K99,Sheet6!$J$205:$J$246,Sheet6!$B$205:$B$246)*0.1</f>
        <v>8.5</v>
      </c>
      <c r="T99" s="6">
        <f>LOOKUP(L99,Sheet6!$F$688:$F$749,Sheet6!$B$688:$B$749)*0.2</f>
        <v>13.600000000000001</v>
      </c>
      <c r="U99" s="6">
        <f>LOOKUP(M99,Sheet6!$D$600:$D$626,Sheet6!$B$600:$B$626)*0.1</f>
        <v>7.2</v>
      </c>
      <c r="V99" s="6">
        <f t="shared" si="10"/>
        <v>86.3</v>
      </c>
      <c r="W99" s="6" t="str">
        <f t="shared" si="11"/>
        <v>良好</v>
      </c>
    </row>
    <row r="100" spans="1:23" ht="24.75" customHeight="1">
      <c r="A100" s="9">
        <v>22</v>
      </c>
      <c r="B100" s="10" t="s">
        <v>79</v>
      </c>
      <c r="C100" s="11">
        <v>10</v>
      </c>
      <c r="D100" s="39" t="s">
        <v>567</v>
      </c>
      <c r="E100" s="12">
        <v>1</v>
      </c>
      <c r="F100" s="10">
        <v>162</v>
      </c>
      <c r="G100" s="10">
        <v>48</v>
      </c>
      <c r="H100" s="12">
        <v>2815</v>
      </c>
      <c r="I100" s="10">
        <v>8.8000000000000007</v>
      </c>
      <c r="J100" s="10">
        <v>195</v>
      </c>
      <c r="K100" s="19">
        <v>18</v>
      </c>
      <c r="L100" s="10" t="s">
        <v>58</v>
      </c>
      <c r="M100" s="10">
        <v>3</v>
      </c>
      <c r="N100" s="13">
        <f t="shared" si="9"/>
        <v>18.289894833104707</v>
      </c>
      <c r="O100" s="6">
        <f>LOOKUP(N100,Sheet6!$J$4:$J$11,Sheet6!$B$4:$B$11)*0.15</f>
        <v>15</v>
      </c>
      <c r="P100" s="14">
        <f>LOOKUP(H100,Sheet6!$J$25:$J$66,Sheet6!$B$25:$B$66)*0.15</f>
        <v>10.799999999999999</v>
      </c>
      <c r="Q100" s="6">
        <f>LOOKUP(I100,Sheet6!$J$115:$J$156,Sheet6!$B$115:$B$156)*0.2</f>
        <v>14</v>
      </c>
      <c r="R100" s="6">
        <f>LOOKUP(J100,Sheet6!$D$465:$D$506,Sheet6!$B$465:$B$506)*0.1</f>
        <v>7.2</v>
      </c>
      <c r="S100" s="6">
        <f>LOOKUP(K100,Sheet6!$J$205:$J$246,Sheet6!$B$205:$B$246)*0.1</f>
        <v>9.5</v>
      </c>
      <c r="T100" s="6">
        <f>LOOKUP(L100,Sheet6!$F$688:$F$749,Sheet6!$B$688:$B$749)*0.2</f>
        <v>13.200000000000001</v>
      </c>
      <c r="U100" s="6">
        <f>LOOKUP(M100,Sheet6!$D$600:$D$626,Sheet6!$B$600:$B$626)*0.1</f>
        <v>4</v>
      </c>
      <c r="V100" s="6">
        <f t="shared" si="10"/>
        <v>73.7</v>
      </c>
      <c r="W100" s="6" t="str">
        <f t="shared" si="11"/>
        <v>及格</v>
      </c>
    </row>
    <row r="101" spans="1:23" ht="24.75" customHeight="1">
      <c r="A101" s="9">
        <v>22</v>
      </c>
      <c r="B101" s="10" t="s">
        <v>79</v>
      </c>
      <c r="C101" s="11">
        <v>11</v>
      </c>
      <c r="D101" s="39" t="s">
        <v>568</v>
      </c>
      <c r="E101" s="12">
        <v>1</v>
      </c>
      <c r="F101" s="10">
        <v>168</v>
      </c>
      <c r="G101" s="10">
        <v>53.5</v>
      </c>
      <c r="H101" s="12">
        <v>3292</v>
      </c>
      <c r="I101" s="10">
        <v>8.5</v>
      </c>
      <c r="J101" s="10">
        <v>180</v>
      </c>
      <c r="K101" s="19">
        <v>20</v>
      </c>
      <c r="L101" s="10" t="s">
        <v>45</v>
      </c>
      <c r="M101" s="10">
        <v>3</v>
      </c>
      <c r="N101" s="13">
        <f t="shared" si="9"/>
        <v>18.955498866213151</v>
      </c>
      <c r="O101" s="6">
        <f>LOOKUP(N101,Sheet6!$J$4:$J$11,Sheet6!$B$4:$B$11)*0.15</f>
        <v>15</v>
      </c>
      <c r="P101" s="14">
        <f>LOOKUP(H101,Sheet6!$J$25:$J$66,Sheet6!$B$25:$B$66)*0.15</f>
        <v>12</v>
      </c>
      <c r="Q101" s="6">
        <f>LOOKUP(I101,Sheet6!$J$115:$J$156,Sheet6!$B$115:$B$156)*0.2</f>
        <v>14.8</v>
      </c>
      <c r="R101" s="6">
        <f>LOOKUP(J101,Sheet6!$D$465:$D$506,Sheet6!$B$465:$B$506)*0.1</f>
        <v>6.4</v>
      </c>
      <c r="S101" s="6">
        <f>LOOKUP(K101,Sheet6!$J$205:$J$246,Sheet6!$B$205:$B$246)*0.1</f>
        <v>10</v>
      </c>
      <c r="T101" s="6">
        <f>LOOKUP(L101,Sheet6!$F$688:$F$749,Sheet6!$B$688:$B$749)*0.2</f>
        <v>13.600000000000001</v>
      </c>
      <c r="U101" s="6">
        <f>LOOKUP(M101,Sheet6!$D$600:$D$626,Sheet6!$B$600:$B$626)*0.1</f>
        <v>4</v>
      </c>
      <c r="V101" s="6">
        <f t="shared" si="10"/>
        <v>75.8</v>
      </c>
      <c r="W101" s="6" t="str">
        <f t="shared" si="11"/>
        <v>及格</v>
      </c>
    </row>
    <row r="102" spans="1:23" ht="24.75" customHeight="1">
      <c r="A102" s="9">
        <v>22</v>
      </c>
      <c r="B102" s="10" t="s">
        <v>79</v>
      </c>
      <c r="C102" s="16">
        <v>12</v>
      </c>
      <c r="D102" s="39" t="s">
        <v>569</v>
      </c>
      <c r="E102" s="12">
        <v>1</v>
      </c>
      <c r="F102" s="10">
        <v>173.4</v>
      </c>
      <c r="G102" s="10">
        <v>72.5</v>
      </c>
      <c r="H102" s="12">
        <v>5086</v>
      </c>
      <c r="I102" s="10">
        <v>7.9</v>
      </c>
      <c r="J102" s="10">
        <v>200</v>
      </c>
      <c r="K102" s="19">
        <v>15</v>
      </c>
      <c r="L102" s="10" t="s">
        <v>45</v>
      </c>
      <c r="M102" s="10">
        <v>8</v>
      </c>
      <c r="N102" s="13">
        <f t="shared" si="9"/>
        <v>24.112365619292021</v>
      </c>
      <c r="O102" s="6">
        <f>LOOKUP(N102,Sheet6!$J$4:$J$11,Sheet6!$B$4:$B$11)*0.15</f>
        <v>12</v>
      </c>
      <c r="P102" s="14">
        <f>LOOKUP(H102,Sheet6!$J$25:$J$66,Sheet6!$B$25:$B$66)*0.15</f>
        <v>15</v>
      </c>
      <c r="Q102" s="6">
        <f>LOOKUP(I102,Sheet6!$J$115:$J$156,Sheet6!$B$115:$B$156)*0.2</f>
        <v>16</v>
      </c>
      <c r="R102" s="6">
        <f>LOOKUP(J102,Sheet6!$D$465:$D$506,Sheet6!$B$465:$B$506)*0.1</f>
        <v>7.4</v>
      </c>
      <c r="S102" s="6">
        <f>LOOKUP(K102,Sheet6!$J$205:$J$246,Sheet6!$B$205:$B$246)*0.1</f>
        <v>8.5</v>
      </c>
      <c r="T102" s="6">
        <f>LOOKUP(L102,Sheet6!$F$688:$F$749,Sheet6!$B$688:$B$749)*0.2</f>
        <v>13.600000000000001</v>
      </c>
      <c r="U102" s="6">
        <f>LOOKUP(M102,Sheet6!$D$600:$D$626,Sheet6!$B$600:$B$626)*0.1</f>
        <v>7.2</v>
      </c>
      <c r="V102" s="6">
        <f t="shared" si="10"/>
        <v>79.7</v>
      </c>
      <c r="W102" s="6" t="str">
        <f t="shared" si="11"/>
        <v>及格</v>
      </c>
    </row>
    <row r="103" spans="1:23" ht="24.75" customHeight="1">
      <c r="A103" s="9">
        <v>22</v>
      </c>
      <c r="B103" s="10" t="s">
        <v>79</v>
      </c>
      <c r="C103" s="11">
        <v>13</v>
      </c>
      <c r="D103" s="39" t="s">
        <v>570</v>
      </c>
      <c r="E103" s="12">
        <v>1</v>
      </c>
      <c r="F103" s="10">
        <v>163</v>
      </c>
      <c r="G103" s="10">
        <v>45</v>
      </c>
      <c r="H103" s="12">
        <v>2488</v>
      </c>
      <c r="I103" s="10">
        <v>7.5</v>
      </c>
      <c r="J103" s="10">
        <v>215</v>
      </c>
      <c r="K103" s="19">
        <v>21</v>
      </c>
      <c r="L103" s="10" t="s">
        <v>81</v>
      </c>
      <c r="M103" s="10">
        <v>3</v>
      </c>
      <c r="N103" s="13">
        <f t="shared" si="9"/>
        <v>16.937031879257781</v>
      </c>
      <c r="O103" s="6">
        <f>LOOKUP(N103,Sheet6!$J$4:$J$11,Sheet6!$B$4:$B$11)*0.15</f>
        <v>15</v>
      </c>
      <c r="P103" s="14">
        <f>LOOKUP(H103,Sheet6!$J$25:$J$66,Sheet6!$B$25:$B$66)*0.15</f>
        <v>10.199999999999999</v>
      </c>
      <c r="Q103" s="6">
        <f>LOOKUP(I103,Sheet6!$J$115:$J$156,Sheet6!$B$115:$B$156)*0.2</f>
        <v>20</v>
      </c>
      <c r="R103" s="6">
        <f>LOOKUP(J103,Sheet6!$D$465:$D$506,Sheet6!$B$465:$B$506)*0.1</f>
        <v>8</v>
      </c>
      <c r="S103" s="6">
        <f>LOOKUP(K103,Sheet6!$J$205:$J$246,Sheet6!$B$205:$B$246)*0.1</f>
        <v>10</v>
      </c>
      <c r="T103" s="6">
        <f>LOOKUP(L103,Sheet6!$F$688:$F$749,Sheet6!$B$688:$B$749)*0.2</f>
        <v>27</v>
      </c>
      <c r="U103" s="6">
        <f>LOOKUP(M103,Sheet6!$D$600:$D$626,Sheet6!$B$600:$B$626)*0.1</f>
        <v>4</v>
      </c>
      <c r="V103" s="6">
        <f t="shared" si="10"/>
        <v>94.2</v>
      </c>
      <c r="W103" s="6" t="str">
        <f t="shared" si="11"/>
        <v>优秀</v>
      </c>
    </row>
    <row r="104" spans="1:23" ht="24.75" customHeight="1">
      <c r="A104" s="9">
        <v>22</v>
      </c>
      <c r="B104" s="10" t="s">
        <v>79</v>
      </c>
      <c r="C104" s="11">
        <v>14</v>
      </c>
      <c r="D104" s="39" t="s">
        <v>571</v>
      </c>
      <c r="E104" s="12">
        <v>1</v>
      </c>
      <c r="F104" s="10">
        <v>162.80000000000001</v>
      </c>
      <c r="G104" s="10">
        <v>41</v>
      </c>
      <c r="H104" s="12">
        <v>3124</v>
      </c>
      <c r="I104" s="10">
        <v>7</v>
      </c>
      <c r="J104" s="10">
        <v>225</v>
      </c>
      <c r="K104" s="19">
        <v>17</v>
      </c>
      <c r="L104" s="10" t="s">
        <v>41</v>
      </c>
      <c r="M104" s="10">
        <v>5</v>
      </c>
      <c r="N104" s="13">
        <f t="shared" si="9"/>
        <v>15.469456501397531</v>
      </c>
      <c r="O104" s="6">
        <f>LOOKUP(N104,Sheet6!$J$4:$J$11,Sheet6!$B$4:$B$11)*0.15</f>
        <v>12</v>
      </c>
      <c r="P104" s="14">
        <f>LOOKUP(H104,Sheet6!$J$25:$J$66,Sheet6!$B$25:$B$66)*0.15</f>
        <v>11.7</v>
      </c>
      <c r="Q104" s="6">
        <f>LOOKUP(I104,Sheet6!$J$115:$J$156,Sheet6!$B$115:$B$156)*0.2</f>
        <v>20</v>
      </c>
      <c r="R104" s="6">
        <f>LOOKUP(J104,Sheet6!$D$465:$D$506,Sheet6!$B$465:$B$506)*0.1</f>
        <v>8.5</v>
      </c>
      <c r="S104" s="6">
        <f>LOOKUP(K104,Sheet6!$J$205:$J$246,Sheet6!$B$205:$B$246)*0.1</f>
        <v>9</v>
      </c>
      <c r="T104" s="6">
        <f>LOOKUP(L104,Sheet6!$F$688:$F$749,Sheet6!$B$688:$B$749)*0.2</f>
        <v>23</v>
      </c>
      <c r="U104" s="6">
        <f>LOOKUP(M104,Sheet6!$D$600:$D$626,Sheet6!$B$600:$B$626)*0.1</f>
        <v>6</v>
      </c>
      <c r="V104" s="6">
        <f t="shared" si="10"/>
        <v>90.2</v>
      </c>
      <c r="W104" s="6" t="str">
        <f t="shared" si="11"/>
        <v>优秀</v>
      </c>
    </row>
    <row r="105" spans="1:23" ht="24.75" customHeight="1">
      <c r="A105" s="9">
        <v>22</v>
      </c>
      <c r="B105" s="10" t="s">
        <v>79</v>
      </c>
      <c r="C105" s="16">
        <v>15</v>
      </c>
      <c r="D105" s="39" t="s">
        <v>572</v>
      </c>
      <c r="E105" s="12">
        <v>1</v>
      </c>
      <c r="F105" s="10">
        <v>167</v>
      </c>
      <c r="G105" s="10">
        <v>56.7</v>
      </c>
      <c r="H105" s="12">
        <v>3576</v>
      </c>
      <c r="I105" s="10">
        <v>7.7</v>
      </c>
      <c r="J105" s="10">
        <v>205</v>
      </c>
      <c r="K105" s="19">
        <v>21</v>
      </c>
      <c r="L105" s="10" t="s">
        <v>60</v>
      </c>
      <c r="M105" s="10">
        <v>10</v>
      </c>
      <c r="N105" s="13">
        <f t="shared" si="9"/>
        <v>20.330596292445051</v>
      </c>
      <c r="O105" s="6">
        <f>LOOKUP(N105,Sheet6!$J$4:$J$11,Sheet6!$B$4:$B$11)*0.15</f>
        <v>15</v>
      </c>
      <c r="P105" s="14">
        <f>LOOKUP(H105,Sheet6!$J$25:$J$66,Sheet6!$B$25:$B$66)*0.15</f>
        <v>12.75</v>
      </c>
      <c r="Q105" s="6">
        <f>LOOKUP(I105,Sheet6!$J$115:$J$156,Sheet6!$B$115:$B$156)*0.2</f>
        <v>18</v>
      </c>
      <c r="R105" s="6">
        <f>LOOKUP(J105,Sheet6!$D$465:$D$506,Sheet6!$B$465:$B$506)*0.1</f>
        <v>7.6000000000000005</v>
      </c>
      <c r="S105" s="6">
        <f>LOOKUP(K105,Sheet6!$J$205:$J$246,Sheet6!$B$205:$B$246)*0.1</f>
        <v>10</v>
      </c>
      <c r="T105" s="6">
        <f>LOOKUP(L105,Sheet6!$F$688:$F$749,Sheet6!$B$688:$B$749)*0.2</f>
        <v>17</v>
      </c>
      <c r="U105" s="6">
        <f>LOOKUP(M105,Sheet6!$D$600:$D$626,Sheet6!$B$600:$B$626)*0.1</f>
        <v>8</v>
      </c>
      <c r="V105" s="6">
        <f t="shared" si="10"/>
        <v>88.35</v>
      </c>
      <c r="W105" s="6" t="str">
        <f t="shared" si="11"/>
        <v>良好</v>
      </c>
    </row>
    <row r="106" spans="1:23" ht="24.75" customHeight="1">
      <c r="A106" s="9">
        <v>22</v>
      </c>
      <c r="B106" s="10" t="s">
        <v>79</v>
      </c>
      <c r="C106" s="11">
        <v>16</v>
      </c>
      <c r="D106" s="39" t="s">
        <v>573</v>
      </c>
      <c r="E106" s="12">
        <v>1</v>
      </c>
      <c r="F106" s="10">
        <v>171.6</v>
      </c>
      <c r="G106" s="10">
        <v>62.5</v>
      </c>
      <c r="H106" s="12">
        <v>4223</v>
      </c>
      <c r="I106" s="10">
        <v>7.8</v>
      </c>
      <c r="J106" s="10">
        <v>200</v>
      </c>
      <c r="K106" s="19">
        <v>16</v>
      </c>
      <c r="L106" s="10" t="s">
        <v>60</v>
      </c>
      <c r="M106" s="10">
        <v>3</v>
      </c>
      <c r="N106" s="13">
        <f t="shared" si="9"/>
        <v>21.224890106008992</v>
      </c>
      <c r="O106" s="6">
        <f>LOOKUP(N106,Sheet6!$J$4:$J$11,Sheet6!$B$4:$B$11)*0.15</f>
        <v>15</v>
      </c>
      <c r="P106" s="14">
        <f>LOOKUP(H106,Sheet6!$J$25:$J$66,Sheet6!$B$25:$B$66)*0.15</f>
        <v>15</v>
      </c>
      <c r="Q106" s="6">
        <f>LOOKUP(I106,Sheet6!$J$115:$J$156,Sheet6!$B$115:$B$156)*0.2</f>
        <v>17</v>
      </c>
      <c r="R106" s="6">
        <f>LOOKUP(J106,Sheet6!$D$465:$D$506,Sheet6!$B$465:$B$506)*0.1</f>
        <v>7.4</v>
      </c>
      <c r="S106" s="6">
        <f>LOOKUP(K106,Sheet6!$J$205:$J$246,Sheet6!$B$205:$B$246)*0.1</f>
        <v>9</v>
      </c>
      <c r="T106" s="6">
        <f>LOOKUP(L106,Sheet6!$F$688:$F$749,Sheet6!$B$688:$B$749)*0.2</f>
        <v>17</v>
      </c>
      <c r="U106" s="6">
        <f>LOOKUP(M106,Sheet6!$D$600:$D$626,Sheet6!$B$600:$B$626)*0.1</f>
        <v>4</v>
      </c>
      <c r="V106" s="6">
        <f t="shared" si="10"/>
        <v>84.4</v>
      </c>
      <c r="W106" s="6" t="str">
        <f t="shared" si="11"/>
        <v>良好</v>
      </c>
    </row>
    <row r="107" spans="1:23" ht="24.75" customHeight="1">
      <c r="A107" s="9">
        <v>22</v>
      </c>
      <c r="B107" s="10" t="s">
        <v>79</v>
      </c>
      <c r="C107" s="11">
        <v>17</v>
      </c>
      <c r="D107" s="39" t="s">
        <v>574</v>
      </c>
      <c r="E107" s="12">
        <v>1</v>
      </c>
      <c r="F107" s="10">
        <v>166.6</v>
      </c>
      <c r="G107" s="10">
        <v>56.6</v>
      </c>
      <c r="H107" s="12">
        <v>3964</v>
      </c>
      <c r="I107" s="10">
        <v>7.3</v>
      </c>
      <c r="J107" s="10">
        <v>225</v>
      </c>
      <c r="K107" s="19">
        <v>19</v>
      </c>
      <c r="L107" s="10" t="s">
        <v>82</v>
      </c>
      <c r="M107" s="10">
        <v>12</v>
      </c>
      <c r="N107" s="13">
        <f t="shared" si="9"/>
        <v>20.392310585698866</v>
      </c>
      <c r="O107" s="6">
        <f>LOOKUP(N107,Sheet6!$J$4:$J$11,Sheet6!$B$4:$B$11)*0.15</f>
        <v>15</v>
      </c>
      <c r="P107" s="14">
        <f>LOOKUP(H107,Sheet6!$J$25:$J$66,Sheet6!$B$25:$B$66)*0.15</f>
        <v>15</v>
      </c>
      <c r="Q107" s="6">
        <f>LOOKUP(I107,Sheet6!$J$115:$J$156,Sheet6!$B$115:$B$156)*0.2</f>
        <v>20</v>
      </c>
      <c r="R107" s="6">
        <f>LOOKUP(J107,Sheet6!$D$465:$D$506,Sheet6!$B$465:$B$506)*0.1</f>
        <v>8.5</v>
      </c>
      <c r="S107" s="6">
        <f>LOOKUP(K107,Sheet6!$J$205:$J$246,Sheet6!$B$205:$B$246)*0.1</f>
        <v>9.5</v>
      </c>
      <c r="T107" s="6">
        <f>LOOKUP(L107,Sheet6!$F$688:$F$749,Sheet6!$B$688:$B$749)*0.2</f>
        <v>29</v>
      </c>
      <c r="U107" s="6">
        <f>LOOKUP(M107,Sheet6!$D$600:$D$626,Sheet6!$B$600:$B$626)*0.1</f>
        <v>9</v>
      </c>
      <c r="V107" s="6">
        <f t="shared" si="10"/>
        <v>106</v>
      </c>
      <c r="W107" s="6" t="str">
        <f t="shared" si="11"/>
        <v>优秀</v>
      </c>
    </row>
    <row r="108" spans="1:23" ht="24.75" customHeight="1">
      <c r="A108" s="9">
        <v>22</v>
      </c>
      <c r="B108" s="10" t="s">
        <v>79</v>
      </c>
      <c r="C108" s="16">
        <v>18</v>
      </c>
      <c r="D108" s="39" t="s">
        <v>575</v>
      </c>
      <c r="E108" s="12">
        <v>1</v>
      </c>
      <c r="F108" s="10">
        <v>170</v>
      </c>
      <c r="G108" s="10">
        <v>49.8</v>
      </c>
      <c r="H108" s="12">
        <v>3151</v>
      </c>
      <c r="I108" s="10">
        <v>7.5</v>
      </c>
      <c r="J108" s="10">
        <v>240</v>
      </c>
      <c r="K108" s="19">
        <v>21</v>
      </c>
      <c r="L108" s="10" t="s">
        <v>34</v>
      </c>
      <c r="M108" s="10">
        <v>5</v>
      </c>
      <c r="N108" s="13">
        <f t="shared" si="9"/>
        <v>17.231833910034602</v>
      </c>
      <c r="O108" s="6">
        <f>LOOKUP(N108,Sheet6!$J$4:$J$11,Sheet6!$B$4:$B$11)*0.15</f>
        <v>15</v>
      </c>
      <c r="P108" s="14">
        <f>LOOKUP(H108,Sheet6!$J$25:$J$66,Sheet6!$B$25:$B$66)*0.15</f>
        <v>11.7</v>
      </c>
      <c r="Q108" s="6">
        <f>LOOKUP(I108,Sheet6!$J$115:$J$156,Sheet6!$B$115:$B$156)*0.2</f>
        <v>20</v>
      </c>
      <c r="R108" s="6">
        <f>LOOKUP(J108,Sheet6!$D$465:$D$506,Sheet6!$B$465:$B$506)*0.1</f>
        <v>10</v>
      </c>
      <c r="S108" s="6">
        <f>LOOKUP(K108,Sheet6!$J$205:$J$246,Sheet6!$B$205:$B$246)*0.1</f>
        <v>10</v>
      </c>
      <c r="T108" s="6">
        <f>LOOKUP(L108,Sheet6!$F$688:$F$749,Sheet6!$B$688:$B$749)*0.2</f>
        <v>21</v>
      </c>
      <c r="U108" s="6">
        <f>LOOKUP(M108,Sheet6!$D$600:$D$626,Sheet6!$B$600:$B$626)*0.1</f>
        <v>6</v>
      </c>
      <c r="V108" s="6">
        <f t="shared" si="10"/>
        <v>93.7</v>
      </c>
      <c r="W108" s="6" t="str">
        <f t="shared" si="11"/>
        <v>优秀</v>
      </c>
    </row>
    <row r="109" spans="1:23" ht="24.75" customHeight="1">
      <c r="A109" s="9">
        <v>22</v>
      </c>
      <c r="B109" s="10" t="s">
        <v>79</v>
      </c>
      <c r="C109" s="11">
        <v>19</v>
      </c>
      <c r="D109" s="39" t="s">
        <v>576</v>
      </c>
      <c r="E109" s="12">
        <v>1</v>
      </c>
      <c r="F109" s="10">
        <v>168.6</v>
      </c>
      <c r="G109" s="10">
        <v>51.1</v>
      </c>
      <c r="H109" s="12">
        <v>4087</v>
      </c>
      <c r="I109" s="10">
        <v>8.6999999999999993</v>
      </c>
      <c r="J109" s="10">
        <v>205</v>
      </c>
      <c r="K109" s="19">
        <v>13</v>
      </c>
      <c r="L109" s="10" t="s">
        <v>50</v>
      </c>
      <c r="M109" s="10">
        <v>15</v>
      </c>
      <c r="N109" s="13">
        <f t="shared" si="9"/>
        <v>17.976525682861723</v>
      </c>
      <c r="O109" s="6">
        <f>LOOKUP(N109,Sheet6!$J$4:$J$11,Sheet6!$B$4:$B$11)*0.15</f>
        <v>15</v>
      </c>
      <c r="P109" s="14">
        <f>LOOKUP(H109,Sheet6!$J$25:$J$66,Sheet6!$B$25:$B$66)*0.15</f>
        <v>15</v>
      </c>
      <c r="Q109" s="6">
        <f>LOOKUP(I109,Sheet6!$J$115:$J$156,Sheet6!$B$115:$B$156)*0.2</f>
        <v>14.4</v>
      </c>
      <c r="R109" s="6">
        <f>LOOKUP(J109,Sheet6!$D$465:$D$506,Sheet6!$B$465:$B$506)*0.1</f>
        <v>7.6000000000000005</v>
      </c>
      <c r="S109" s="6">
        <f>LOOKUP(K109,Sheet6!$J$205:$J$246,Sheet6!$B$205:$B$246)*0.1</f>
        <v>8</v>
      </c>
      <c r="T109" s="6">
        <f>LOOKUP(L109,Sheet6!$F$688:$F$749,Sheet6!$B$688:$B$749)*0.2</f>
        <v>15.600000000000001</v>
      </c>
      <c r="U109" s="6">
        <f>LOOKUP(M109,Sheet6!$D$600:$D$626,Sheet6!$B$600:$B$626)*0.1</f>
        <v>11</v>
      </c>
      <c r="V109" s="6">
        <f t="shared" si="10"/>
        <v>86.6</v>
      </c>
      <c r="W109" s="6" t="str">
        <f t="shared" si="11"/>
        <v>良好</v>
      </c>
    </row>
    <row r="110" spans="1:23" ht="24.75" customHeight="1">
      <c r="A110" s="18">
        <v>22</v>
      </c>
      <c r="B110" s="10" t="s">
        <v>79</v>
      </c>
      <c r="C110" s="11">
        <v>20</v>
      </c>
      <c r="D110" s="39" t="s">
        <v>577</v>
      </c>
      <c r="E110" s="12">
        <v>1</v>
      </c>
      <c r="F110" s="10">
        <v>175.7</v>
      </c>
      <c r="G110" s="10">
        <v>58</v>
      </c>
      <c r="H110" s="12">
        <v>5194</v>
      </c>
      <c r="I110" s="10">
        <v>7.8</v>
      </c>
      <c r="J110" s="10">
        <v>220</v>
      </c>
      <c r="K110" s="19">
        <v>12</v>
      </c>
      <c r="L110" s="10" t="s">
        <v>83</v>
      </c>
      <c r="M110" s="10">
        <v>4</v>
      </c>
      <c r="N110" s="13">
        <f t="shared" si="9"/>
        <v>18.788169543146225</v>
      </c>
      <c r="O110" s="6">
        <f>LOOKUP(N110,Sheet6!$J$4:$J$11,Sheet6!$B$4:$B$11)*0.15</f>
        <v>15</v>
      </c>
      <c r="P110" s="14">
        <f>LOOKUP(H110,Sheet6!$J$25:$J$66,Sheet6!$B$25:$B$66)*0.15</f>
        <v>15</v>
      </c>
      <c r="Q110" s="6">
        <f>LOOKUP(I110,Sheet6!$J$115:$J$156,Sheet6!$B$115:$B$156)*0.2</f>
        <v>17</v>
      </c>
      <c r="R110" s="6">
        <f>LOOKUP(J110,Sheet6!$D$465:$D$506,Sheet6!$B$465:$B$506)*0.1</f>
        <v>8.5</v>
      </c>
      <c r="S110" s="6">
        <f>LOOKUP(K110,Sheet6!$J$205:$J$246,Sheet6!$B$205:$B$246)*0.1</f>
        <v>8</v>
      </c>
      <c r="T110" s="6">
        <f>LOOKUP(L110,Sheet6!$F$688:$F$749,Sheet6!$B$688:$B$749)*0.2</f>
        <v>23</v>
      </c>
      <c r="U110" s="6">
        <f>LOOKUP(M110,Sheet6!$D$600:$D$626,Sheet6!$B$600:$B$626)*0.1</f>
        <v>5</v>
      </c>
      <c r="V110" s="6">
        <f t="shared" si="10"/>
        <v>91.5</v>
      </c>
      <c r="W110" s="6" t="str">
        <f t="shared" si="11"/>
        <v>优秀</v>
      </c>
    </row>
    <row r="111" spans="1:23" ht="24.75" customHeight="1">
      <c r="A111" s="18">
        <v>22</v>
      </c>
      <c r="B111" s="10" t="s">
        <v>79</v>
      </c>
      <c r="C111" s="16">
        <v>21</v>
      </c>
      <c r="D111" s="39" t="s">
        <v>578</v>
      </c>
      <c r="E111" s="12">
        <v>1</v>
      </c>
      <c r="F111" s="10">
        <v>172</v>
      </c>
      <c r="G111" s="10">
        <v>58.4</v>
      </c>
      <c r="H111" s="12">
        <v>4164</v>
      </c>
      <c r="I111" s="10">
        <v>8.3000000000000007</v>
      </c>
      <c r="J111" s="10">
        <v>175</v>
      </c>
      <c r="K111" s="19">
        <v>15</v>
      </c>
      <c r="L111" s="10" t="s">
        <v>84</v>
      </c>
      <c r="M111" s="10">
        <v>3</v>
      </c>
      <c r="N111" s="13">
        <f t="shared" si="9"/>
        <v>19.740400216333153</v>
      </c>
      <c r="O111" s="6">
        <f>LOOKUP(N111,Sheet6!$J$4:$J$11,Sheet6!$B$4:$B$11)*0.15</f>
        <v>15</v>
      </c>
      <c r="P111" s="14">
        <f>LOOKUP(H111,Sheet6!$J$25:$J$66,Sheet6!$B$25:$B$66)*0.15</f>
        <v>15</v>
      </c>
      <c r="Q111" s="6">
        <f>LOOKUP(I111,Sheet6!$J$115:$J$156,Sheet6!$B$115:$B$156)*0.2</f>
        <v>15.200000000000001</v>
      </c>
      <c r="R111" s="6">
        <f>LOOKUP(J111,Sheet6!$D$465:$D$506,Sheet6!$B$465:$B$506)*0.1</f>
        <v>6.2</v>
      </c>
      <c r="S111" s="6">
        <f>LOOKUP(K111,Sheet6!$J$205:$J$246,Sheet6!$B$205:$B$246)*0.1</f>
        <v>8.5</v>
      </c>
      <c r="T111" s="6">
        <f>LOOKUP(L111,Sheet6!$F$688:$F$749,Sheet6!$B$688:$B$749)*0.2</f>
        <v>15.600000000000001</v>
      </c>
      <c r="U111" s="6">
        <f>LOOKUP(M111,Sheet6!$D$600:$D$626,Sheet6!$B$600:$B$626)*0.1</f>
        <v>4</v>
      </c>
      <c r="V111" s="6">
        <f t="shared" si="10"/>
        <v>79.5</v>
      </c>
      <c r="W111" s="6" t="str">
        <f t="shared" si="11"/>
        <v>及格</v>
      </c>
    </row>
    <row r="112" spans="1:23" ht="24.75" customHeight="1">
      <c r="A112" s="18">
        <v>22</v>
      </c>
      <c r="B112" s="10" t="s">
        <v>79</v>
      </c>
      <c r="C112" s="11">
        <v>22</v>
      </c>
      <c r="D112" s="39" t="s">
        <v>579</v>
      </c>
      <c r="E112" s="12">
        <v>1</v>
      </c>
      <c r="F112" s="10">
        <v>158.30000000000001</v>
      </c>
      <c r="G112" s="10">
        <v>43.2</v>
      </c>
      <c r="H112" s="12">
        <v>3260</v>
      </c>
      <c r="I112" s="10">
        <v>8.6999999999999993</v>
      </c>
      <c r="J112" s="10">
        <v>215</v>
      </c>
      <c r="K112" s="19">
        <v>21</v>
      </c>
      <c r="L112" s="10" t="s">
        <v>85</v>
      </c>
      <c r="M112" s="10">
        <v>3</v>
      </c>
      <c r="N112" s="13">
        <f t="shared" si="9"/>
        <v>17.239390890817589</v>
      </c>
      <c r="O112" s="6">
        <f>LOOKUP(N112,Sheet6!$J$4:$J$11,Sheet6!$B$4:$B$11)*0.15</f>
        <v>15</v>
      </c>
      <c r="P112" s="14">
        <f>LOOKUP(H112,Sheet6!$J$25:$J$66,Sheet6!$B$25:$B$66)*0.15</f>
        <v>12</v>
      </c>
      <c r="Q112" s="6">
        <f>LOOKUP(I112,Sheet6!$J$115:$J$156,Sheet6!$B$115:$B$156)*0.2</f>
        <v>14.4</v>
      </c>
      <c r="R112" s="6">
        <f>LOOKUP(J112,Sheet6!$D$465:$D$506,Sheet6!$B$465:$B$506)*0.1</f>
        <v>8</v>
      </c>
      <c r="S112" s="6">
        <f>LOOKUP(K112,Sheet6!$J$205:$J$246,Sheet6!$B$205:$B$246)*0.1</f>
        <v>10</v>
      </c>
      <c r="T112" s="6">
        <f>LOOKUP(L112,Sheet6!$F$688:$F$749,Sheet6!$B$688:$B$749)*0.2</f>
        <v>15.200000000000001</v>
      </c>
      <c r="U112" s="6">
        <f>LOOKUP(M112,Sheet6!$D$600:$D$626,Sheet6!$B$600:$B$626)*0.1</f>
        <v>4</v>
      </c>
      <c r="V112" s="6">
        <f t="shared" si="10"/>
        <v>78.599999999999994</v>
      </c>
      <c r="W112" s="6" t="str">
        <f t="shared" si="11"/>
        <v>及格</v>
      </c>
    </row>
    <row r="113" spans="1:29" ht="24.75" customHeight="1">
      <c r="A113" s="18">
        <v>22</v>
      </c>
      <c r="B113" s="10" t="s">
        <v>86</v>
      </c>
      <c r="C113" s="16">
        <v>1</v>
      </c>
      <c r="D113" s="39" t="s">
        <v>580</v>
      </c>
      <c r="E113" s="12">
        <v>1</v>
      </c>
      <c r="F113" s="10">
        <v>171.9</v>
      </c>
      <c r="G113" s="10">
        <v>58.6</v>
      </c>
      <c r="H113" s="12">
        <v>2915</v>
      </c>
      <c r="I113" s="10">
        <v>8.3000000000000007</v>
      </c>
      <c r="J113" s="10">
        <v>170</v>
      </c>
      <c r="K113" s="19">
        <v>13</v>
      </c>
      <c r="L113" s="10" t="s">
        <v>35</v>
      </c>
      <c r="M113" s="10">
        <v>3</v>
      </c>
      <c r="N113" s="13">
        <f t="shared" si="9"/>
        <v>19.831056991953531</v>
      </c>
      <c r="O113" s="6">
        <f>LOOKUP(N113,Sheet6!$J$4:$J$11,Sheet6!$B$4:$B$11)*0.15</f>
        <v>15</v>
      </c>
      <c r="P113" s="14">
        <f>LOOKUP(H113,Sheet6!$J$25:$J$66,Sheet6!$B$25:$B$66)*0.15</f>
        <v>11.1</v>
      </c>
      <c r="Q113" s="6">
        <f>LOOKUP(I113,Sheet6!$J$115:$J$156,Sheet6!$B$115:$B$156)*0.2</f>
        <v>15.200000000000001</v>
      </c>
      <c r="R113" s="6">
        <f>LOOKUP(J113,Sheet6!$D$465:$D$506,Sheet6!$B$465:$B$506)*0.1</f>
        <v>6</v>
      </c>
      <c r="S113" s="6">
        <f>LOOKUP(K113,Sheet6!$J$205:$J$246,Sheet6!$B$205:$B$246)*0.1</f>
        <v>8</v>
      </c>
      <c r="T113" s="6">
        <f>LOOKUP(L113,Sheet6!$F$688:$F$749,Sheet6!$B$688:$B$749)*0.2</f>
        <v>18</v>
      </c>
      <c r="U113" s="6">
        <f>LOOKUP(M113,Sheet6!$D$600:$D$626,Sheet6!$B$600:$B$626)*0.1</f>
        <v>4</v>
      </c>
      <c r="V113" s="6">
        <f t="shared" si="10"/>
        <v>77.300000000000011</v>
      </c>
      <c r="W113" s="6" t="str">
        <f t="shared" si="11"/>
        <v>及格</v>
      </c>
    </row>
    <row r="114" spans="1:29" ht="24.75" customHeight="1">
      <c r="A114" s="9">
        <v>22</v>
      </c>
      <c r="B114" s="10" t="s">
        <v>86</v>
      </c>
      <c r="C114" s="11">
        <v>2</v>
      </c>
      <c r="D114" s="39" t="s">
        <v>581</v>
      </c>
      <c r="E114" s="12">
        <v>1</v>
      </c>
      <c r="F114" s="10">
        <v>181</v>
      </c>
      <c r="G114" s="10">
        <v>60.4</v>
      </c>
      <c r="H114" s="12">
        <v>5449</v>
      </c>
      <c r="I114" s="10">
        <v>8.1</v>
      </c>
      <c r="J114" s="10">
        <v>220</v>
      </c>
      <c r="K114" s="19">
        <v>12</v>
      </c>
      <c r="L114" s="10" t="s">
        <v>64</v>
      </c>
      <c r="M114" s="10">
        <v>3</v>
      </c>
      <c r="N114" s="13">
        <f t="shared" si="9"/>
        <v>18.436555660694118</v>
      </c>
      <c r="O114" s="6">
        <f>LOOKUP(N114,Sheet6!$J$4:$J$11,Sheet6!$B$4:$B$11)*0.15</f>
        <v>15</v>
      </c>
      <c r="P114" s="14">
        <f>LOOKUP(H114,Sheet6!$J$25:$J$66,Sheet6!$B$25:$B$66)*0.15</f>
        <v>15</v>
      </c>
      <c r="Q114" s="6">
        <f>LOOKUP(I114,Sheet6!$J$115:$J$156,Sheet6!$B$115:$B$156)*0.2</f>
        <v>15.600000000000001</v>
      </c>
      <c r="R114" s="6">
        <f>LOOKUP(J114,Sheet6!$D$465:$D$506,Sheet6!$B$465:$B$506)*0.1</f>
        <v>8.5</v>
      </c>
      <c r="S114" s="6">
        <f>LOOKUP(K114,Sheet6!$J$205:$J$246,Sheet6!$B$205:$B$246)*0.1</f>
        <v>8</v>
      </c>
      <c r="T114" s="6">
        <f>LOOKUP(L114,Sheet6!$F$688:$F$749,Sheet6!$B$688:$B$749)*0.2</f>
        <v>24</v>
      </c>
      <c r="U114" s="6">
        <f>LOOKUP(M114,Sheet6!$D$600:$D$626,Sheet6!$B$600:$B$626)*0.1</f>
        <v>4</v>
      </c>
      <c r="V114" s="6">
        <f t="shared" si="10"/>
        <v>90.1</v>
      </c>
      <c r="W114" s="6" t="str">
        <f t="shared" si="11"/>
        <v>优秀</v>
      </c>
    </row>
    <row r="115" spans="1:29" ht="24.75" customHeight="1">
      <c r="A115" s="9">
        <v>22</v>
      </c>
      <c r="B115" s="10" t="s">
        <v>86</v>
      </c>
      <c r="C115" s="11">
        <v>3</v>
      </c>
      <c r="D115" s="39" t="s">
        <v>582</v>
      </c>
      <c r="E115" s="12">
        <v>1</v>
      </c>
      <c r="F115" s="10">
        <v>173</v>
      </c>
      <c r="G115" s="10">
        <v>60</v>
      </c>
      <c r="H115" s="12">
        <v>3500</v>
      </c>
      <c r="I115" s="10">
        <v>8.5</v>
      </c>
      <c r="J115" s="10">
        <v>200</v>
      </c>
      <c r="K115" s="19">
        <v>15</v>
      </c>
      <c r="L115" s="10" t="s">
        <v>35</v>
      </c>
      <c r="M115" s="10">
        <v>6</v>
      </c>
      <c r="N115" s="13">
        <f t="shared" si="9"/>
        <v>20.047445621303755</v>
      </c>
      <c r="O115" s="6">
        <f>LOOKUP(N115,Sheet6!$J$4:$J$11,Sheet6!$B$4:$B$11)*0.15</f>
        <v>15</v>
      </c>
      <c r="P115" s="14">
        <f>LOOKUP(H115,Sheet6!$J$25:$J$66,Sheet6!$B$25:$B$66)*0.15</f>
        <v>12.75</v>
      </c>
      <c r="Q115" s="6">
        <f>LOOKUP(I115,Sheet6!$J$115:$J$156,Sheet6!$B$115:$B$156)*0.2</f>
        <v>14.8</v>
      </c>
      <c r="R115" s="6">
        <f>LOOKUP(J115,Sheet6!$D$465:$D$506,Sheet6!$B$465:$B$506)*0.1</f>
        <v>7.4</v>
      </c>
      <c r="S115" s="6">
        <f>LOOKUP(K115,Sheet6!$J$205:$J$246,Sheet6!$B$205:$B$246)*0.1</f>
        <v>8.5</v>
      </c>
      <c r="T115" s="6">
        <f>LOOKUP(L115,Sheet6!$F$688:$F$749,Sheet6!$B$688:$B$749)*0.2</f>
        <v>18</v>
      </c>
      <c r="U115" s="6">
        <f>LOOKUP(M115,Sheet6!$D$600:$D$626,Sheet6!$B$600:$B$626)*0.1</f>
        <v>6.4</v>
      </c>
      <c r="V115" s="6">
        <f t="shared" si="10"/>
        <v>82.85</v>
      </c>
      <c r="W115" s="6" t="str">
        <f t="shared" si="11"/>
        <v>良好</v>
      </c>
    </row>
    <row r="116" spans="1:29" ht="24.75" customHeight="1">
      <c r="A116" s="9">
        <v>22</v>
      </c>
      <c r="B116" s="10" t="s">
        <v>86</v>
      </c>
      <c r="C116" s="11">
        <v>4</v>
      </c>
      <c r="D116" s="39" t="s">
        <v>583</v>
      </c>
      <c r="E116" s="12">
        <v>1</v>
      </c>
      <c r="F116" s="10">
        <v>173</v>
      </c>
      <c r="G116" s="10">
        <v>58.8</v>
      </c>
      <c r="H116" s="12">
        <v>3065</v>
      </c>
      <c r="I116" s="10">
        <v>7.1</v>
      </c>
      <c r="J116" s="10">
        <v>235</v>
      </c>
      <c r="K116" s="19">
        <v>18</v>
      </c>
      <c r="L116" s="10" t="s">
        <v>47</v>
      </c>
      <c r="M116" s="10">
        <v>10</v>
      </c>
      <c r="N116" s="13">
        <f t="shared" si="9"/>
        <v>19.646496708877677</v>
      </c>
      <c r="O116" s="6">
        <f>LOOKUP(N116,Sheet6!$J$4:$J$11,Sheet6!$B$4:$B$11)*0.15</f>
        <v>15</v>
      </c>
      <c r="P116" s="14">
        <f>LOOKUP(H116,Sheet6!$J$25:$J$66,Sheet6!$B$25:$B$66)*0.15</f>
        <v>11.4</v>
      </c>
      <c r="Q116" s="6">
        <f>LOOKUP(I116,Sheet6!$J$115:$J$156,Sheet6!$B$115:$B$156)*0.2</f>
        <v>20</v>
      </c>
      <c r="R116" s="6">
        <f>LOOKUP(J116,Sheet6!$D$465:$D$506,Sheet6!$B$465:$B$506)*0.1</f>
        <v>9.5</v>
      </c>
      <c r="S116" s="6">
        <f>LOOKUP(K116,Sheet6!$J$205:$J$246,Sheet6!$B$205:$B$246)*0.1</f>
        <v>9.5</v>
      </c>
      <c r="T116" s="6">
        <f>LOOKUP(L116,Sheet6!$F$688:$F$749,Sheet6!$B$688:$B$749)*0.2</f>
        <v>21</v>
      </c>
      <c r="U116" s="6">
        <f>LOOKUP(M116,Sheet6!$D$600:$D$626,Sheet6!$B$600:$B$626)*0.1</f>
        <v>8</v>
      </c>
      <c r="V116" s="6">
        <f t="shared" si="10"/>
        <v>94.4</v>
      </c>
      <c r="W116" s="6" t="str">
        <f t="shared" si="11"/>
        <v>优秀</v>
      </c>
    </row>
    <row r="117" spans="1:29" ht="24.75" customHeight="1">
      <c r="A117" s="9">
        <v>22</v>
      </c>
      <c r="B117" s="10" t="s">
        <v>86</v>
      </c>
      <c r="C117" s="16">
        <v>5</v>
      </c>
      <c r="D117" s="39" t="s">
        <v>584</v>
      </c>
      <c r="E117" s="12">
        <v>1</v>
      </c>
      <c r="F117" s="10">
        <v>170.5</v>
      </c>
      <c r="G117" s="10">
        <v>49.6</v>
      </c>
      <c r="H117" s="12">
        <v>3502</v>
      </c>
      <c r="I117" s="10">
        <v>8</v>
      </c>
      <c r="J117" s="10">
        <v>200</v>
      </c>
      <c r="K117" s="19">
        <v>12</v>
      </c>
      <c r="L117" s="10" t="s">
        <v>35</v>
      </c>
      <c r="M117" s="10">
        <v>3</v>
      </c>
      <c r="N117" s="13">
        <f t="shared" si="9"/>
        <v>17.062116768861635</v>
      </c>
      <c r="O117" s="6">
        <f>LOOKUP(N117,Sheet6!$J$4:$J$11,Sheet6!$B$4:$B$11)*0.15</f>
        <v>15</v>
      </c>
      <c r="P117" s="14">
        <f>LOOKUP(H117,Sheet6!$J$25:$J$66,Sheet6!$B$25:$B$66)*0.15</f>
        <v>12.75</v>
      </c>
      <c r="Q117" s="6">
        <f>LOOKUP(I117,Sheet6!$J$115:$J$156,Sheet6!$B$115:$B$156)*0.2</f>
        <v>15.600000000000001</v>
      </c>
      <c r="R117" s="6">
        <f>LOOKUP(J117,Sheet6!$D$465:$D$506,Sheet6!$B$465:$B$506)*0.1</f>
        <v>7.4</v>
      </c>
      <c r="S117" s="6">
        <f>LOOKUP(K117,Sheet6!$J$205:$J$246,Sheet6!$B$205:$B$246)*0.1</f>
        <v>8</v>
      </c>
      <c r="T117" s="6">
        <f>LOOKUP(L117,Sheet6!$F$688:$F$749,Sheet6!$B$688:$B$749)*0.2</f>
        <v>18</v>
      </c>
      <c r="U117" s="6">
        <f>LOOKUP(M117,Sheet6!$D$600:$D$626,Sheet6!$B$600:$B$626)*0.1</f>
        <v>4</v>
      </c>
      <c r="V117" s="6">
        <f t="shared" si="10"/>
        <v>80.75</v>
      </c>
      <c r="W117" s="6" t="str">
        <f t="shared" si="11"/>
        <v>良好</v>
      </c>
    </row>
    <row r="118" spans="1:29" ht="24.75" customHeight="1">
      <c r="A118" s="9">
        <v>22</v>
      </c>
      <c r="B118" s="10" t="s">
        <v>86</v>
      </c>
      <c r="C118" s="11">
        <v>6</v>
      </c>
      <c r="D118" s="39" t="s">
        <v>585</v>
      </c>
      <c r="E118" s="12">
        <v>1</v>
      </c>
      <c r="F118" s="10">
        <v>167.6</v>
      </c>
      <c r="G118" s="10">
        <v>46.2</v>
      </c>
      <c r="H118" s="12">
        <v>3288</v>
      </c>
      <c r="I118" s="10">
        <v>7.6</v>
      </c>
      <c r="J118" s="10">
        <v>210</v>
      </c>
      <c r="K118" s="19">
        <v>15</v>
      </c>
      <c r="L118" s="10" t="s">
        <v>55</v>
      </c>
      <c r="M118" s="10">
        <v>10</v>
      </c>
      <c r="N118" s="13">
        <f t="shared" si="9"/>
        <v>16.447274736416404</v>
      </c>
      <c r="O118" s="6">
        <f>LOOKUP(N118,Sheet6!$J$4:$J$11,Sheet6!$B$4:$B$11)*0.15</f>
        <v>15</v>
      </c>
      <c r="P118" s="14">
        <f>LOOKUP(H118,Sheet6!$J$25:$J$66,Sheet6!$B$25:$B$66)*0.15</f>
        <v>12</v>
      </c>
      <c r="Q118" s="6">
        <f>LOOKUP(I118,Sheet6!$J$115:$J$156,Sheet6!$B$115:$B$156)*0.2</f>
        <v>19</v>
      </c>
      <c r="R118" s="6">
        <f>LOOKUP(J118,Sheet6!$D$465:$D$506,Sheet6!$B$465:$B$506)*0.1</f>
        <v>8</v>
      </c>
      <c r="S118" s="6">
        <f>LOOKUP(K118,Sheet6!$J$205:$J$246,Sheet6!$B$205:$B$246)*0.1</f>
        <v>8.5</v>
      </c>
      <c r="T118" s="6">
        <f>LOOKUP(L118,Sheet6!$F$688:$F$749,Sheet6!$B$688:$B$749)*0.2</f>
        <v>23</v>
      </c>
      <c r="U118" s="6">
        <f>LOOKUP(M118,Sheet6!$D$600:$D$626,Sheet6!$B$600:$B$626)*0.1</f>
        <v>8</v>
      </c>
      <c r="V118" s="6">
        <f t="shared" si="10"/>
        <v>93.5</v>
      </c>
      <c r="W118" s="6" t="str">
        <f t="shared" si="11"/>
        <v>优秀</v>
      </c>
    </row>
    <row r="119" spans="1:29" ht="24.75" customHeight="1">
      <c r="A119" s="9">
        <v>22</v>
      </c>
      <c r="B119" s="10" t="s">
        <v>86</v>
      </c>
      <c r="C119" s="11">
        <v>7</v>
      </c>
      <c r="D119" s="39" t="s">
        <v>586</v>
      </c>
      <c r="E119" s="12">
        <v>1</v>
      </c>
      <c r="F119" s="10">
        <v>167</v>
      </c>
      <c r="G119" s="10">
        <v>67.8</v>
      </c>
      <c r="H119" s="12">
        <v>2676</v>
      </c>
      <c r="I119" s="10">
        <v>8.5</v>
      </c>
      <c r="J119" s="10">
        <v>170</v>
      </c>
      <c r="K119" s="19">
        <v>13</v>
      </c>
      <c r="L119" s="10" t="s">
        <v>49</v>
      </c>
      <c r="M119" s="10">
        <v>3</v>
      </c>
      <c r="N119" s="13">
        <f t="shared" si="9"/>
        <v>24.310660116891963</v>
      </c>
      <c r="O119" s="6">
        <f>LOOKUP(N119,Sheet6!$J$4:$J$11,Sheet6!$B$4:$B$11)*0.15</f>
        <v>12</v>
      </c>
      <c r="P119" s="14">
        <f>LOOKUP(H119,Sheet6!$J$25:$J$66,Sheet6!$B$25:$B$66)*0.15</f>
        <v>10.5</v>
      </c>
      <c r="Q119" s="6">
        <f>LOOKUP(I119,Sheet6!$J$115:$J$156,Sheet6!$B$115:$B$156)*0.2</f>
        <v>14.8</v>
      </c>
      <c r="R119" s="6">
        <f>LOOKUP(J119,Sheet6!$D$465:$D$506,Sheet6!$B$465:$B$506)*0.1</f>
        <v>6</v>
      </c>
      <c r="S119" s="6">
        <f>LOOKUP(K119,Sheet6!$J$205:$J$246,Sheet6!$B$205:$B$246)*0.1</f>
        <v>8</v>
      </c>
      <c r="T119" s="6">
        <f>LOOKUP(L119,Sheet6!$F$688:$F$749,Sheet6!$B$688:$B$749)*0.2</f>
        <v>15.200000000000001</v>
      </c>
      <c r="U119" s="6">
        <f>LOOKUP(M119,Sheet6!$D$600:$D$626,Sheet6!$B$600:$B$626)*0.1</f>
        <v>4</v>
      </c>
      <c r="V119" s="6">
        <f t="shared" si="10"/>
        <v>70.5</v>
      </c>
      <c r="W119" s="6" t="str">
        <f t="shared" si="11"/>
        <v>及格</v>
      </c>
      <c r="AA119" s="3">
        <v>3</v>
      </c>
      <c r="AB119" s="3" t="s">
        <v>467</v>
      </c>
      <c r="AC119" s="3">
        <v>0.125</v>
      </c>
    </row>
    <row r="120" spans="1:29" ht="24.75" customHeight="1">
      <c r="A120" s="9">
        <v>22</v>
      </c>
      <c r="B120" s="10" t="s">
        <v>86</v>
      </c>
      <c r="C120" s="11">
        <v>8</v>
      </c>
      <c r="D120" s="39" t="s">
        <v>587</v>
      </c>
      <c r="E120" s="12">
        <v>1</v>
      </c>
      <c r="F120" s="10">
        <v>182</v>
      </c>
      <c r="G120" s="10">
        <v>74</v>
      </c>
      <c r="H120" s="12">
        <v>5275</v>
      </c>
      <c r="I120" s="10">
        <v>8.8000000000000007</v>
      </c>
      <c r="J120" s="10">
        <v>170</v>
      </c>
      <c r="K120" s="19">
        <v>12</v>
      </c>
      <c r="L120" s="10" t="s">
        <v>39</v>
      </c>
      <c r="M120" s="10">
        <v>3</v>
      </c>
      <c r="N120" s="13">
        <f t="shared" si="9"/>
        <v>22.340297065571789</v>
      </c>
      <c r="O120" s="6">
        <f>LOOKUP(N120,Sheet6!$J$4:$J$11,Sheet6!$B$4:$B$11)*0.15</f>
        <v>15</v>
      </c>
      <c r="P120" s="14">
        <f>LOOKUP(H120,Sheet6!$J$25:$J$66,Sheet6!$B$25:$B$66)*0.15</f>
        <v>15</v>
      </c>
      <c r="Q120" s="6">
        <f>LOOKUP(I120,Sheet6!$J$115:$J$156,Sheet6!$B$115:$B$156)*0.2</f>
        <v>14</v>
      </c>
      <c r="R120" s="6">
        <f>LOOKUP(J120,Sheet6!$D$465:$D$506,Sheet6!$B$465:$B$506)*0.1</f>
        <v>6</v>
      </c>
      <c r="S120" s="6">
        <f>LOOKUP(K120,Sheet6!$J$205:$J$246,Sheet6!$B$205:$B$246)*0.1</f>
        <v>8</v>
      </c>
      <c r="T120" s="6">
        <f>LOOKUP(L120,Sheet6!$F$688:$F$749,Sheet6!$B$688:$B$749)*0.2</f>
        <v>16</v>
      </c>
      <c r="U120" s="6">
        <f>LOOKUP(M120,Sheet6!$D$600:$D$626,Sheet6!$B$600:$B$626)*0.1</f>
        <v>4</v>
      </c>
      <c r="V120" s="6">
        <f t="shared" si="10"/>
        <v>78</v>
      </c>
      <c r="W120" s="6" t="str">
        <f t="shared" si="11"/>
        <v>及格</v>
      </c>
    </row>
    <row r="121" spans="1:29" ht="24.75" customHeight="1">
      <c r="A121" s="9">
        <v>22</v>
      </c>
      <c r="B121" s="10" t="s">
        <v>86</v>
      </c>
      <c r="C121" s="16">
        <v>9</v>
      </c>
      <c r="D121" s="39" t="s">
        <v>588</v>
      </c>
      <c r="E121" s="12">
        <v>1</v>
      </c>
      <c r="F121" s="10">
        <v>164.4</v>
      </c>
      <c r="G121" s="10">
        <v>52.1</v>
      </c>
      <c r="H121" s="12">
        <v>3189</v>
      </c>
      <c r="I121" s="10">
        <v>7.6</v>
      </c>
      <c r="J121" s="10">
        <v>220</v>
      </c>
      <c r="K121" s="19">
        <v>18</v>
      </c>
      <c r="L121" s="10" t="s">
        <v>87</v>
      </c>
      <c r="M121" s="10">
        <v>10</v>
      </c>
      <c r="N121" s="13">
        <f t="shared" si="9"/>
        <v>19.276762510285874</v>
      </c>
      <c r="O121" s="6">
        <f>LOOKUP(N121,Sheet6!$J$4:$J$11,Sheet6!$B$4:$B$11)*0.15</f>
        <v>15</v>
      </c>
      <c r="P121" s="14">
        <f>LOOKUP(H121,Sheet6!$J$25:$J$66,Sheet6!$B$25:$B$66)*0.15</f>
        <v>11.7</v>
      </c>
      <c r="Q121" s="6">
        <f>LOOKUP(I121,Sheet6!$J$115:$J$156,Sheet6!$B$115:$B$156)*0.2</f>
        <v>19</v>
      </c>
      <c r="R121" s="6">
        <f>LOOKUP(J121,Sheet6!$D$465:$D$506,Sheet6!$B$465:$B$506)*0.1</f>
        <v>8.5</v>
      </c>
      <c r="S121" s="6">
        <f>LOOKUP(K121,Sheet6!$J$205:$J$246,Sheet6!$B$205:$B$246)*0.1</f>
        <v>9.5</v>
      </c>
      <c r="T121" s="6">
        <f>LOOKUP(L121,Sheet6!$F$688:$F$749,Sheet6!$B$688:$B$749)*0.2</f>
        <v>22</v>
      </c>
      <c r="U121" s="6">
        <f>LOOKUP(M121,Sheet6!$D$600:$D$626,Sheet6!$B$600:$B$626)*0.1</f>
        <v>8</v>
      </c>
      <c r="V121" s="6">
        <f t="shared" si="10"/>
        <v>93.7</v>
      </c>
      <c r="W121" s="6" t="str">
        <f t="shared" si="11"/>
        <v>优秀</v>
      </c>
    </row>
    <row r="122" spans="1:29" ht="24.75" customHeight="1">
      <c r="A122" s="9">
        <v>22</v>
      </c>
      <c r="B122" s="10" t="s">
        <v>86</v>
      </c>
      <c r="C122" s="11">
        <v>10</v>
      </c>
      <c r="D122" s="39" t="s">
        <v>589</v>
      </c>
      <c r="E122" s="12">
        <v>1</v>
      </c>
      <c r="F122" s="10">
        <v>167</v>
      </c>
      <c r="G122" s="10">
        <v>56.6</v>
      </c>
      <c r="H122" s="12">
        <v>3390</v>
      </c>
      <c r="I122" s="10">
        <v>7.8</v>
      </c>
      <c r="J122" s="10">
        <v>220</v>
      </c>
      <c r="K122" s="19">
        <v>15</v>
      </c>
      <c r="L122" s="10" t="s">
        <v>32</v>
      </c>
      <c r="M122" s="10">
        <v>10</v>
      </c>
      <c r="N122" s="13">
        <f t="shared" si="9"/>
        <v>20.294739861594174</v>
      </c>
      <c r="O122" s="6">
        <f>LOOKUP(N122,Sheet6!$J$4:$J$11,Sheet6!$B$4:$B$11)*0.15</f>
        <v>15</v>
      </c>
      <c r="P122" s="14">
        <f>LOOKUP(H122,Sheet6!$J$25:$J$66,Sheet6!$B$25:$B$66)*0.15</f>
        <v>12</v>
      </c>
      <c r="Q122" s="6">
        <f>LOOKUP(I122,Sheet6!$J$115:$J$156,Sheet6!$B$115:$B$156)*0.2</f>
        <v>17</v>
      </c>
      <c r="R122" s="6">
        <f>LOOKUP(J122,Sheet6!$D$465:$D$506,Sheet6!$B$465:$B$506)*0.1</f>
        <v>8.5</v>
      </c>
      <c r="S122" s="6">
        <f>LOOKUP(K122,Sheet6!$J$205:$J$246,Sheet6!$B$205:$B$246)*0.1</f>
        <v>8.5</v>
      </c>
      <c r="T122" s="6">
        <f>LOOKUP(L122,Sheet6!$F$688:$F$749,Sheet6!$B$688:$B$749)*0.2</f>
        <v>21</v>
      </c>
      <c r="U122" s="6">
        <f>LOOKUP(M122,Sheet6!$D$600:$D$626,Sheet6!$B$600:$B$626)*0.1</f>
        <v>8</v>
      </c>
      <c r="V122" s="6">
        <f t="shared" si="10"/>
        <v>90</v>
      </c>
      <c r="W122" s="6" t="str">
        <f t="shared" si="11"/>
        <v>优秀</v>
      </c>
    </row>
    <row r="123" spans="1:29" ht="24.75" customHeight="1">
      <c r="A123" s="9">
        <v>22</v>
      </c>
      <c r="B123" s="10" t="s">
        <v>86</v>
      </c>
      <c r="C123" s="11">
        <v>11</v>
      </c>
      <c r="D123" s="39" t="s">
        <v>590</v>
      </c>
      <c r="E123" s="12">
        <v>1</v>
      </c>
      <c r="F123" s="10">
        <v>172</v>
      </c>
      <c r="G123" s="10">
        <v>52.5</v>
      </c>
      <c r="H123" s="12">
        <v>3342</v>
      </c>
      <c r="I123" s="10">
        <v>7.2</v>
      </c>
      <c r="J123" s="10">
        <v>225</v>
      </c>
      <c r="K123" s="19">
        <v>20</v>
      </c>
      <c r="L123" s="10" t="s">
        <v>88</v>
      </c>
      <c r="M123" s="10">
        <v>10</v>
      </c>
      <c r="N123" s="13">
        <f t="shared" si="9"/>
        <v>17.746078961600865</v>
      </c>
      <c r="O123" s="6">
        <f>LOOKUP(N123,Sheet6!$J$4:$J$11,Sheet6!$B$4:$B$11)*0.15</f>
        <v>15</v>
      </c>
      <c r="P123" s="14">
        <f>LOOKUP(H123,Sheet6!$J$25:$J$66,Sheet6!$B$25:$B$66)*0.15</f>
        <v>12</v>
      </c>
      <c r="Q123" s="6">
        <f>LOOKUP(I123,Sheet6!$J$115:$J$156,Sheet6!$B$115:$B$156)*0.2</f>
        <v>20</v>
      </c>
      <c r="R123" s="6">
        <f>LOOKUP(J123,Sheet6!$D$465:$D$506,Sheet6!$B$465:$B$506)*0.1</f>
        <v>8.5</v>
      </c>
      <c r="S123" s="6">
        <f>LOOKUP(K123,Sheet6!$J$205:$J$246,Sheet6!$B$205:$B$246)*0.1</f>
        <v>10</v>
      </c>
      <c r="T123" s="6">
        <f>LOOKUP(L123,Sheet6!$F$688:$F$749,Sheet6!$B$688:$B$749)*0.2</f>
        <v>30</v>
      </c>
      <c r="U123" s="6">
        <f>LOOKUP(M123,Sheet6!$D$600:$D$626,Sheet6!$B$600:$B$626)*0.1</f>
        <v>8</v>
      </c>
      <c r="V123" s="6">
        <f t="shared" si="10"/>
        <v>103.5</v>
      </c>
      <c r="W123" s="6" t="str">
        <f t="shared" si="11"/>
        <v>优秀</v>
      </c>
    </row>
    <row r="124" spans="1:29" ht="24.75" customHeight="1">
      <c r="A124" s="9">
        <v>22</v>
      </c>
      <c r="B124" s="10" t="s">
        <v>86</v>
      </c>
      <c r="C124" s="11">
        <v>12</v>
      </c>
      <c r="D124" s="39" t="s">
        <v>591</v>
      </c>
      <c r="E124" s="12">
        <v>1</v>
      </c>
      <c r="F124" s="10">
        <v>178</v>
      </c>
      <c r="G124" s="10">
        <v>65</v>
      </c>
      <c r="H124" s="12">
        <v>5477</v>
      </c>
      <c r="I124" s="10">
        <v>7.3</v>
      </c>
      <c r="J124" s="10">
        <v>240</v>
      </c>
      <c r="K124" s="19">
        <v>19</v>
      </c>
      <c r="L124" s="10" t="s">
        <v>55</v>
      </c>
      <c r="M124" s="10">
        <v>10</v>
      </c>
      <c r="N124" s="13">
        <f t="shared" si="9"/>
        <v>20.515086478979928</v>
      </c>
      <c r="O124" s="6">
        <f>LOOKUP(N124,Sheet6!$J$4:$J$11,Sheet6!$B$4:$B$11)*0.15</f>
        <v>15</v>
      </c>
      <c r="P124" s="14">
        <f>LOOKUP(H124,Sheet6!$J$25:$J$66,Sheet6!$B$25:$B$66)*0.15</f>
        <v>15</v>
      </c>
      <c r="Q124" s="6">
        <f>LOOKUP(I124,Sheet6!$J$115:$J$156,Sheet6!$B$115:$B$156)*0.2</f>
        <v>20</v>
      </c>
      <c r="R124" s="6">
        <f>LOOKUP(J124,Sheet6!$D$465:$D$506,Sheet6!$B$465:$B$506)*0.1</f>
        <v>10</v>
      </c>
      <c r="S124" s="6">
        <f>LOOKUP(K124,Sheet6!$J$205:$J$246,Sheet6!$B$205:$B$246)*0.1</f>
        <v>9.5</v>
      </c>
      <c r="T124" s="6">
        <f>LOOKUP(L124,Sheet6!$F$688:$F$749,Sheet6!$B$688:$B$749)*0.2</f>
        <v>23</v>
      </c>
      <c r="U124" s="6">
        <f>LOOKUP(M124,Sheet6!$D$600:$D$626,Sheet6!$B$600:$B$626)*0.1</f>
        <v>8</v>
      </c>
      <c r="V124" s="6">
        <f t="shared" si="10"/>
        <v>100.5</v>
      </c>
      <c r="W124" s="6" t="str">
        <f t="shared" si="11"/>
        <v>优秀</v>
      </c>
    </row>
    <row r="125" spans="1:29" ht="24.75" customHeight="1">
      <c r="A125" s="9">
        <v>22</v>
      </c>
      <c r="B125" s="10" t="s">
        <v>86</v>
      </c>
      <c r="C125" s="16">
        <v>13</v>
      </c>
      <c r="D125" s="39" t="s">
        <v>592</v>
      </c>
      <c r="E125" s="12">
        <v>1</v>
      </c>
      <c r="F125" s="10">
        <v>171</v>
      </c>
      <c r="G125" s="10">
        <v>52.9</v>
      </c>
      <c r="H125" s="12">
        <v>3886</v>
      </c>
      <c r="I125" s="10">
        <v>7.8</v>
      </c>
      <c r="J125" s="10">
        <v>240</v>
      </c>
      <c r="K125" s="19">
        <v>13</v>
      </c>
      <c r="L125" s="10" t="s">
        <v>73</v>
      </c>
      <c r="M125" s="10">
        <v>10</v>
      </c>
      <c r="N125" s="13">
        <f t="shared" si="9"/>
        <v>18.09103655825724</v>
      </c>
      <c r="O125" s="6">
        <f>LOOKUP(N125,Sheet6!$J$4:$J$11,Sheet6!$B$4:$B$11)*0.15</f>
        <v>15</v>
      </c>
      <c r="P125" s="14">
        <f>LOOKUP(H125,Sheet6!$J$25:$J$66,Sheet6!$B$25:$B$66)*0.15</f>
        <v>14.25</v>
      </c>
      <c r="Q125" s="6">
        <f>LOOKUP(I125,Sheet6!$J$115:$J$156,Sheet6!$B$115:$B$156)*0.2</f>
        <v>17</v>
      </c>
      <c r="R125" s="6">
        <f>LOOKUP(J125,Sheet6!$D$465:$D$506,Sheet6!$B$465:$B$506)*0.1</f>
        <v>10</v>
      </c>
      <c r="S125" s="6">
        <f>LOOKUP(K125,Sheet6!$J$205:$J$246,Sheet6!$B$205:$B$246)*0.1</f>
        <v>8</v>
      </c>
      <c r="T125" s="6">
        <f>LOOKUP(L125,Sheet6!$F$688:$F$749,Sheet6!$B$688:$B$749)*0.2</f>
        <v>24</v>
      </c>
      <c r="U125" s="6">
        <f>LOOKUP(M125,Sheet6!$D$600:$D$626,Sheet6!$B$600:$B$626)*0.1</f>
        <v>8</v>
      </c>
      <c r="V125" s="6">
        <f t="shared" si="10"/>
        <v>96.25</v>
      </c>
      <c r="W125" s="6" t="str">
        <f t="shared" si="11"/>
        <v>优秀</v>
      </c>
    </row>
    <row r="126" spans="1:29" ht="24.75" customHeight="1">
      <c r="A126" s="9">
        <v>22</v>
      </c>
      <c r="B126" s="10" t="s">
        <v>86</v>
      </c>
      <c r="C126" s="11">
        <v>14</v>
      </c>
      <c r="D126" s="39" t="s">
        <v>593</v>
      </c>
      <c r="E126" s="12">
        <v>1</v>
      </c>
      <c r="F126" s="10">
        <v>169.3</v>
      </c>
      <c r="G126" s="10">
        <v>57.1</v>
      </c>
      <c r="H126" s="12">
        <v>3735</v>
      </c>
      <c r="I126" s="10">
        <v>8.5</v>
      </c>
      <c r="J126" s="10">
        <v>215</v>
      </c>
      <c r="K126" s="19">
        <v>15</v>
      </c>
      <c r="L126" s="10" t="s">
        <v>23</v>
      </c>
      <c r="M126" s="10">
        <v>10</v>
      </c>
      <c r="N126" s="13">
        <f t="shared" si="9"/>
        <v>19.921507168428143</v>
      </c>
      <c r="O126" s="6">
        <f>LOOKUP(N126,Sheet6!$J$4:$J$11,Sheet6!$B$4:$B$11)*0.15</f>
        <v>15</v>
      </c>
      <c r="P126" s="14">
        <f>LOOKUP(H126,Sheet6!$J$25:$J$66,Sheet6!$B$25:$B$66)*0.15</f>
        <v>14.25</v>
      </c>
      <c r="Q126" s="6">
        <f>LOOKUP(I126,Sheet6!$J$115:$J$156,Sheet6!$B$115:$B$156)*0.2</f>
        <v>14.8</v>
      </c>
      <c r="R126" s="6">
        <f>LOOKUP(J126,Sheet6!$D$465:$D$506,Sheet6!$B$465:$B$506)*0.1</f>
        <v>8</v>
      </c>
      <c r="S126" s="6">
        <f>LOOKUP(K126,Sheet6!$J$205:$J$246,Sheet6!$B$205:$B$246)*0.1</f>
        <v>8.5</v>
      </c>
      <c r="T126" s="6">
        <f>LOOKUP(L126,Sheet6!$F$688:$F$749,Sheet6!$B$688:$B$749)*0.2</f>
        <v>16</v>
      </c>
      <c r="U126" s="6">
        <f>LOOKUP(M126,Sheet6!$D$600:$D$626,Sheet6!$B$600:$B$626)*0.1</f>
        <v>8</v>
      </c>
      <c r="V126" s="6">
        <f t="shared" si="10"/>
        <v>84.55</v>
      </c>
      <c r="W126" s="6" t="str">
        <f t="shared" si="11"/>
        <v>良好</v>
      </c>
    </row>
    <row r="127" spans="1:29" ht="24.75" customHeight="1">
      <c r="A127" s="9">
        <v>22</v>
      </c>
      <c r="B127" s="10" t="s">
        <v>86</v>
      </c>
      <c r="C127" s="11">
        <v>15</v>
      </c>
      <c r="D127" s="39" t="s">
        <v>594</v>
      </c>
      <c r="E127" s="12">
        <v>1</v>
      </c>
      <c r="F127" s="10">
        <v>152</v>
      </c>
      <c r="G127" s="10">
        <v>32.9</v>
      </c>
      <c r="H127" s="12">
        <v>3053</v>
      </c>
      <c r="I127" s="10">
        <v>7.7</v>
      </c>
      <c r="J127" s="10">
        <v>215</v>
      </c>
      <c r="K127" s="19">
        <v>20</v>
      </c>
      <c r="L127" s="10" t="s">
        <v>56</v>
      </c>
      <c r="M127" s="10">
        <v>10</v>
      </c>
      <c r="N127" s="13">
        <f t="shared" si="9"/>
        <v>14.239958448753463</v>
      </c>
      <c r="O127" s="6">
        <f>LOOKUP(N127,Sheet6!$J$4:$J$11,Sheet6!$B$4:$B$11)*0.15</f>
        <v>12</v>
      </c>
      <c r="P127" s="14">
        <f>LOOKUP(H127,Sheet6!$J$25:$J$66,Sheet6!$B$25:$B$66)*0.15</f>
        <v>11.4</v>
      </c>
      <c r="Q127" s="6">
        <f>LOOKUP(I127,Sheet6!$J$115:$J$156,Sheet6!$B$115:$B$156)*0.2</f>
        <v>18</v>
      </c>
      <c r="R127" s="6">
        <f>LOOKUP(J127,Sheet6!$D$465:$D$506,Sheet6!$B$465:$B$506)*0.1</f>
        <v>8</v>
      </c>
      <c r="S127" s="6">
        <f>LOOKUP(K127,Sheet6!$J$205:$J$246,Sheet6!$B$205:$B$246)*0.1</f>
        <v>10</v>
      </c>
      <c r="T127" s="6">
        <f>LOOKUP(L127,Sheet6!$F$688:$F$749,Sheet6!$B$688:$B$749)*0.2</f>
        <v>20</v>
      </c>
      <c r="U127" s="6">
        <f>LOOKUP(M127,Sheet6!$D$600:$D$626,Sheet6!$B$600:$B$626)*0.1</f>
        <v>8</v>
      </c>
      <c r="V127" s="6">
        <f t="shared" si="10"/>
        <v>87.4</v>
      </c>
      <c r="W127" s="6" t="str">
        <f t="shared" si="11"/>
        <v>良好</v>
      </c>
    </row>
    <row r="128" spans="1:29" ht="24.75" customHeight="1">
      <c r="A128" s="9">
        <v>22</v>
      </c>
      <c r="B128" s="10" t="s">
        <v>86</v>
      </c>
      <c r="C128" s="11">
        <v>16</v>
      </c>
      <c r="D128" s="39" t="s">
        <v>595</v>
      </c>
      <c r="E128" s="12">
        <v>1</v>
      </c>
      <c r="F128" s="10">
        <v>171.9</v>
      </c>
      <c r="G128" s="10">
        <v>60</v>
      </c>
      <c r="H128" s="12">
        <v>4308</v>
      </c>
      <c r="I128" s="10">
        <v>6.7</v>
      </c>
      <c r="J128" s="10">
        <v>240</v>
      </c>
      <c r="K128" s="19">
        <v>18</v>
      </c>
      <c r="L128" s="10" t="s">
        <v>89</v>
      </c>
      <c r="M128" s="10">
        <v>7</v>
      </c>
      <c r="N128" s="13">
        <f t="shared" si="9"/>
        <v>20.304836510532624</v>
      </c>
      <c r="O128" s="6">
        <f>LOOKUP(N128,Sheet6!$J$4:$J$11,Sheet6!$B$4:$B$11)*0.15</f>
        <v>15</v>
      </c>
      <c r="P128" s="14">
        <f>LOOKUP(H128,Sheet6!$J$25:$J$66,Sheet6!$B$25:$B$66)*0.15</f>
        <v>15</v>
      </c>
      <c r="Q128" s="6">
        <f>LOOKUP(I128,Sheet6!$J$115:$J$156,Sheet6!$B$115:$B$156)*0.2</f>
        <v>20</v>
      </c>
      <c r="R128" s="6">
        <f>LOOKUP(J128,Sheet6!$D$465:$D$506,Sheet6!$B$465:$B$506)*0.1</f>
        <v>10</v>
      </c>
      <c r="S128" s="6">
        <f>LOOKUP(K128,Sheet6!$J$205:$J$246,Sheet6!$B$205:$B$246)*0.1</f>
        <v>9.5</v>
      </c>
      <c r="T128" s="6">
        <f>LOOKUP(L128,Sheet6!$F$688:$F$749,Sheet6!$B$688:$B$749)*0.2</f>
        <v>30</v>
      </c>
      <c r="U128" s="6">
        <f>LOOKUP(M128,Sheet6!$D$600:$D$626,Sheet6!$B$600:$B$626)*0.1</f>
        <v>6.8000000000000007</v>
      </c>
      <c r="V128" s="6">
        <f t="shared" si="10"/>
        <v>106.3</v>
      </c>
      <c r="W128" s="6" t="str">
        <f t="shared" si="11"/>
        <v>优秀</v>
      </c>
    </row>
    <row r="129" spans="1:28" ht="24.75" customHeight="1">
      <c r="A129" s="9">
        <v>22</v>
      </c>
      <c r="B129" s="10" t="s">
        <v>86</v>
      </c>
      <c r="C129" s="16">
        <v>17</v>
      </c>
      <c r="D129" s="39" t="s">
        <v>596</v>
      </c>
      <c r="E129" s="12">
        <v>1</v>
      </c>
      <c r="F129" s="10">
        <v>170</v>
      </c>
      <c r="G129" s="10">
        <v>60</v>
      </c>
      <c r="H129" s="12">
        <v>3500</v>
      </c>
      <c r="I129" s="10">
        <v>8.5</v>
      </c>
      <c r="J129" s="10">
        <v>190</v>
      </c>
      <c r="K129" s="19">
        <v>16</v>
      </c>
      <c r="L129" s="10" t="s">
        <v>35</v>
      </c>
      <c r="M129" s="10">
        <v>5</v>
      </c>
      <c r="N129" s="13">
        <f t="shared" si="9"/>
        <v>20.761245674740486</v>
      </c>
      <c r="O129" s="6">
        <f>LOOKUP(N129,Sheet6!$J$4:$J$11,Sheet6!$B$4:$B$11)*0.15</f>
        <v>15</v>
      </c>
      <c r="P129" s="14">
        <f>LOOKUP(H129,Sheet6!$J$25:$J$66,Sheet6!$B$25:$B$66)*0.15</f>
        <v>12.75</v>
      </c>
      <c r="Q129" s="6">
        <f>LOOKUP(I129,Sheet6!$J$115:$J$156,Sheet6!$B$115:$B$156)*0.2</f>
        <v>14.8</v>
      </c>
      <c r="R129" s="6">
        <f>LOOKUP(J129,Sheet6!$D$465:$D$506,Sheet6!$B$465:$B$506)*0.1</f>
        <v>7</v>
      </c>
      <c r="S129" s="6">
        <f>LOOKUP(K129,Sheet6!$J$205:$J$246,Sheet6!$B$205:$B$246)*0.1</f>
        <v>9</v>
      </c>
      <c r="T129" s="6">
        <f>LOOKUP(L129,Sheet6!$F$688:$F$749,Sheet6!$B$688:$B$749)*0.2</f>
        <v>18</v>
      </c>
      <c r="U129" s="6">
        <f>LOOKUP(M129,Sheet6!$D$600:$D$626,Sheet6!$B$600:$B$626)*0.1</f>
        <v>6</v>
      </c>
      <c r="V129" s="6">
        <f t="shared" si="10"/>
        <v>82.55</v>
      </c>
      <c r="W129" s="6" t="str">
        <f t="shared" si="11"/>
        <v>良好</v>
      </c>
    </row>
    <row r="130" spans="1:28" ht="24.75" customHeight="1">
      <c r="A130" s="9">
        <v>22</v>
      </c>
      <c r="B130" s="10" t="s">
        <v>86</v>
      </c>
      <c r="C130" s="11">
        <v>18</v>
      </c>
      <c r="D130" s="39" t="s">
        <v>597</v>
      </c>
      <c r="E130" s="12">
        <v>1</v>
      </c>
      <c r="F130" s="10">
        <v>166</v>
      </c>
      <c r="G130" s="10">
        <v>42</v>
      </c>
      <c r="H130" s="20">
        <v>3058</v>
      </c>
      <c r="I130" s="10">
        <v>9</v>
      </c>
      <c r="J130" s="10">
        <v>170</v>
      </c>
      <c r="K130" s="19">
        <v>12</v>
      </c>
      <c r="L130" s="10" t="s">
        <v>28</v>
      </c>
      <c r="M130" s="10">
        <v>3</v>
      </c>
      <c r="N130" s="13">
        <f t="shared" ref="N130:N161" si="12">G130/(F130*F130)*10000</f>
        <v>15.241689650166933</v>
      </c>
      <c r="O130" s="6">
        <f>LOOKUP(N130,Sheet6!$J$4:$J$11,Sheet6!$B$4:$B$11)*0.15</f>
        <v>12</v>
      </c>
      <c r="P130" s="14">
        <f>LOOKUP(H130,Sheet6!$J$25:$J$66,Sheet6!$B$25:$B$66)*0.15</f>
        <v>11.4</v>
      </c>
      <c r="Q130" s="6">
        <f>LOOKUP(I130,Sheet6!$J$115:$J$156,Sheet6!$B$115:$B$156)*0.2</f>
        <v>13.600000000000001</v>
      </c>
      <c r="R130" s="6">
        <f>LOOKUP(J130,Sheet6!$D$465:$D$506,Sheet6!$B$465:$B$506)*0.1</f>
        <v>6</v>
      </c>
      <c r="S130" s="6">
        <f>LOOKUP(K130,Sheet6!$J$205:$J$246,Sheet6!$B$205:$B$246)*0.1</f>
        <v>8</v>
      </c>
      <c r="T130" s="6">
        <f>LOOKUP(L130,Sheet6!$F$688:$F$749,Sheet6!$B$688:$B$749)*0.2</f>
        <v>13.600000000000001</v>
      </c>
      <c r="U130" s="6">
        <f>LOOKUP(M130,Sheet6!$D$600:$D$626,Sheet6!$B$600:$B$626)*0.1</f>
        <v>4</v>
      </c>
      <c r="V130" s="6">
        <f t="shared" ref="V130:V161" si="13">O130+P130+Q130+R130+S130+T130+U130</f>
        <v>68.599999999999994</v>
      </c>
      <c r="W130" s="6" t="str">
        <f t="shared" ref="W130:W161" si="14">IF(V130&lt;60,"不及格",IF(V130&lt;80,"及格",IF(V130&lt;90,"良好",IF(V130&lt;121,"优秀"))))</f>
        <v>及格</v>
      </c>
    </row>
    <row r="131" spans="1:28" ht="24.75" customHeight="1">
      <c r="A131" s="9">
        <v>22</v>
      </c>
      <c r="B131" s="10" t="s">
        <v>86</v>
      </c>
      <c r="C131" s="11">
        <v>19</v>
      </c>
      <c r="D131" s="39" t="s">
        <v>598</v>
      </c>
      <c r="E131" s="12">
        <v>1</v>
      </c>
      <c r="F131" s="10">
        <v>176.5</v>
      </c>
      <c r="G131" s="10">
        <v>66.2</v>
      </c>
      <c r="H131" s="12">
        <v>4994</v>
      </c>
      <c r="I131" s="10">
        <v>6.9</v>
      </c>
      <c r="J131" s="10">
        <v>250</v>
      </c>
      <c r="K131" s="19">
        <v>19</v>
      </c>
      <c r="L131" s="10" t="s">
        <v>90</v>
      </c>
      <c r="M131" s="10">
        <v>10</v>
      </c>
      <c r="N131" s="13">
        <f t="shared" si="12"/>
        <v>21.250471474773093</v>
      </c>
      <c r="O131" s="6">
        <f>LOOKUP(N131,Sheet6!$J$4:$J$11,Sheet6!$B$4:$B$11)*0.15</f>
        <v>15</v>
      </c>
      <c r="P131" s="14">
        <f>LOOKUP(H131,Sheet6!$J$25:$J$66,Sheet6!$B$25:$B$66)*0.15</f>
        <v>15</v>
      </c>
      <c r="Q131" s="6">
        <f>LOOKUP(I131,Sheet6!$J$115:$J$156,Sheet6!$B$115:$B$156)*0.2</f>
        <v>20</v>
      </c>
      <c r="R131" s="6">
        <f>LOOKUP(J131,Sheet6!$D$465:$D$506,Sheet6!$B$465:$B$506)*0.1</f>
        <v>10</v>
      </c>
      <c r="S131" s="6">
        <f>LOOKUP(K131,Sheet6!$J$205:$J$246,Sheet6!$B$205:$B$246)*0.1</f>
        <v>9.5</v>
      </c>
      <c r="T131" s="6">
        <f>LOOKUP(L131,Sheet6!$F$688:$F$749,Sheet6!$B$688:$B$749)*0.2</f>
        <v>25</v>
      </c>
      <c r="U131" s="6">
        <f>LOOKUP(M131,Sheet6!$D$600:$D$626,Sheet6!$B$600:$B$626)*0.1</f>
        <v>8</v>
      </c>
      <c r="V131" s="6">
        <f t="shared" si="13"/>
        <v>102.5</v>
      </c>
      <c r="W131" s="6" t="str">
        <f t="shared" si="14"/>
        <v>优秀</v>
      </c>
    </row>
    <row r="132" spans="1:28" ht="24.75" customHeight="1">
      <c r="A132" s="9">
        <v>22</v>
      </c>
      <c r="B132" s="10" t="s">
        <v>86</v>
      </c>
      <c r="C132" s="11">
        <v>20</v>
      </c>
      <c r="D132" s="39" t="s">
        <v>599</v>
      </c>
      <c r="E132" s="12">
        <v>1</v>
      </c>
      <c r="F132" s="10">
        <v>167</v>
      </c>
      <c r="G132" s="10">
        <v>49.3</v>
      </c>
      <c r="H132" s="12">
        <v>4279</v>
      </c>
      <c r="I132" s="10">
        <v>6.6</v>
      </c>
      <c r="J132" s="10">
        <v>235</v>
      </c>
      <c r="K132" s="19">
        <v>18</v>
      </c>
      <c r="L132" s="10" t="s">
        <v>91</v>
      </c>
      <c r="M132" s="10">
        <v>10</v>
      </c>
      <c r="N132" s="13">
        <f t="shared" si="12"/>
        <v>17.677220409480441</v>
      </c>
      <c r="O132" s="6">
        <f>LOOKUP(N132,Sheet6!$J$4:$J$11,Sheet6!$B$4:$B$11)*0.15</f>
        <v>15</v>
      </c>
      <c r="P132" s="14">
        <f>LOOKUP(H132,Sheet6!$J$25:$J$66,Sheet6!$B$25:$B$66)*0.15</f>
        <v>15</v>
      </c>
      <c r="Q132" s="6">
        <f>LOOKUP(I132,Sheet6!$J$115:$J$156,Sheet6!$B$115:$B$156)*0.2</f>
        <v>20</v>
      </c>
      <c r="R132" s="6">
        <f>LOOKUP(J132,Sheet6!$D$465:$D$506,Sheet6!$B$465:$B$506)*0.1</f>
        <v>9.5</v>
      </c>
      <c r="S132" s="6">
        <f>LOOKUP(K132,Sheet6!$J$205:$J$246,Sheet6!$B$205:$B$246)*0.1</f>
        <v>9.5</v>
      </c>
      <c r="T132" s="6">
        <f>LOOKUP(L132,Sheet6!$F$688:$F$749,Sheet6!$B$688:$B$749)*0.2</f>
        <v>25</v>
      </c>
      <c r="U132" s="6">
        <f>LOOKUP(M132,Sheet6!$D$600:$D$626,Sheet6!$B$600:$B$626)*0.1</f>
        <v>8</v>
      </c>
      <c r="V132" s="6">
        <f t="shared" si="13"/>
        <v>102</v>
      </c>
      <c r="W132" s="6" t="str">
        <f t="shared" si="14"/>
        <v>优秀</v>
      </c>
    </row>
    <row r="133" spans="1:28" ht="24.75" customHeight="1">
      <c r="A133" s="9">
        <v>22</v>
      </c>
      <c r="B133" s="10" t="s">
        <v>86</v>
      </c>
      <c r="C133" s="16">
        <v>21</v>
      </c>
      <c r="D133" s="39" t="s">
        <v>600</v>
      </c>
      <c r="E133" s="12">
        <v>1</v>
      </c>
      <c r="F133" s="10">
        <v>173</v>
      </c>
      <c r="G133" s="10">
        <v>50.4</v>
      </c>
      <c r="H133" s="12">
        <v>3659</v>
      </c>
      <c r="I133" s="10">
        <v>7.7</v>
      </c>
      <c r="J133" s="10">
        <v>205</v>
      </c>
      <c r="K133" s="19">
        <v>18</v>
      </c>
      <c r="L133" s="10" t="s">
        <v>62</v>
      </c>
      <c r="M133" s="10">
        <v>10</v>
      </c>
      <c r="N133" s="13">
        <f t="shared" si="12"/>
        <v>16.83985432189515</v>
      </c>
      <c r="O133" s="6">
        <f>LOOKUP(N133,Sheet6!$J$4:$J$11,Sheet6!$B$4:$B$11)*0.15</f>
        <v>15</v>
      </c>
      <c r="P133" s="14">
        <f>LOOKUP(H133,Sheet6!$J$25:$J$66,Sheet6!$B$25:$B$66)*0.15</f>
        <v>12.75</v>
      </c>
      <c r="Q133" s="6">
        <f>LOOKUP(I133,Sheet6!$J$115:$J$156,Sheet6!$B$115:$B$156)*0.2</f>
        <v>18</v>
      </c>
      <c r="R133" s="6">
        <f>LOOKUP(J133,Sheet6!$D$465:$D$506,Sheet6!$B$465:$B$506)*0.1</f>
        <v>7.6000000000000005</v>
      </c>
      <c r="S133" s="6">
        <f>LOOKUP(K133,Sheet6!$J$205:$J$246,Sheet6!$B$205:$B$246)*0.1</f>
        <v>9.5</v>
      </c>
      <c r="T133" s="6">
        <f>LOOKUP(L133,Sheet6!$F$688:$F$749,Sheet6!$B$688:$B$749)*0.2</f>
        <v>26</v>
      </c>
      <c r="U133" s="6">
        <f>LOOKUP(M133,Sheet6!$D$600:$D$626,Sheet6!$B$600:$B$626)*0.1</f>
        <v>8</v>
      </c>
      <c r="V133" s="6">
        <f t="shared" si="13"/>
        <v>96.85</v>
      </c>
      <c r="W133" s="6" t="str">
        <f t="shared" si="14"/>
        <v>优秀</v>
      </c>
    </row>
    <row r="134" spans="1:28" ht="24.75" customHeight="1">
      <c r="A134" s="9">
        <v>22</v>
      </c>
      <c r="B134" s="10" t="s">
        <v>86</v>
      </c>
      <c r="C134" s="11">
        <v>22</v>
      </c>
      <c r="D134" s="39" t="s">
        <v>601</v>
      </c>
      <c r="E134" s="12">
        <v>1</v>
      </c>
      <c r="F134" s="10">
        <v>162</v>
      </c>
      <c r="G134" s="10">
        <v>49</v>
      </c>
      <c r="H134" s="12">
        <v>3315</v>
      </c>
      <c r="I134" s="10">
        <v>8.6</v>
      </c>
      <c r="J134" s="10">
        <v>195</v>
      </c>
      <c r="K134" s="19">
        <v>15</v>
      </c>
      <c r="L134" s="10" t="s">
        <v>47</v>
      </c>
      <c r="M134" s="10">
        <v>3</v>
      </c>
      <c r="N134" s="13">
        <f t="shared" si="12"/>
        <v>18.67093430879439</v>
      </c>
      <c r="O134" s="6">
        <f>LOOKUP(N134,Sheet6!$J$4:$J$11,Sheet6!$B$4:$B$11)*0.15</f>
        <v>15</v>
      </c>
      <c r="P134" s="14">
        <f>LOOKUP(H134,Sheet6!$J$25:$J$66,Sheet6!$B$25:$B$66)*0.15</f>
        <v>12</v>
      </c>
      <c r="Q134" s="6">
        <f>LOOKUP(I134,Sheet6!$J$115:$J$156,Sheet6!$B$115:$B$156)*0.2</f>
        <v>14.4</v>
      </c>
      <c r="R134" s="6">
        <f>LOOKUP(J134,Sheet6!$D$465:$D$506,Sheet6!$B$465:$B$506)*0.1</f>
        <v>7.2</v>
      </c>
      <c r="S134" s="6">
        <f>LOOKUP(K134,Sheet6!$J$205:$J$246,Sheet6!$B$205:$B$246)*0.1</f>
        <v>8.5</v>
      </c>
      <c r="T134" s="6">
        <f>LOOKUP(L134,Sheet6!$F$688:$F$749,Sheet6!$B$688:$B$749)*0.2</f>
        <v>21</v>
      </c>
      <c r="U134" s="6">
        <f>LOOKUP(M134,Sheet6!$D$600:$D$626,Sheet6!$B$600:$B$626)*0.1</f>
        <v>4</v>
      </c>
      <c r="V134" s="6">
        <f t="shared" si="13"/>
        <v>82.1</v>
      </c>
      <c r="W134" s="6" t="str">
        <f t="shared" si="14"/>
        <v>良好</v>
      </c>
    </row>
    <row r="135" spans="1:28" ht="24.75" customHeight="1">
      <c r="A135" s="9">
        <v>22</v>
      </c>
      <c r="B135" s="10" t="s">
        <v>92</v>
      </c>
      <c r="C135" s="11">
        <v>1</v>
      </c>
      <c r="D135" s="39" t="s">
        <v>602</v>
      </c>
      <c r="E135" s="12">
        <v>1</v>
      </c>
      <c r="F135" s="10">
        <v>169</v>
      </c>
      <c r="G135" s="10">
        <v>68.099999999999994</v>
      </c>
      <c r="H135" s="12">
        <v>3167</v>
      </c>
      <c r="I135" s="10">
        <v>8.8000000000000007</v>
      </c>
      <c r="J135" s="10">
        <v>175</v>
      </c>
      <c r="K135" s="19">
        <v>12</v>
      </c>
      <c r="L135" s="10" t="s">
        <v>93</v>
      </c>
      <c r="M135" s="10">
        <v>3</v>
      </c>
      <c r="N135" s="13">
        <f t="shared" si="12"/>
        <v>23.843702951577324</v>
      </c>
      <c r="O135" s="6">
        <f>LOOKUP(N135,Sheet6!$J$4:$J$11,Sheet6!$B$4:$B$11)*0.15</f>
        <v>12</v>
      </c>
      <c r="P135" s="14">
        <f>LOOKUP(H135,Sheet6!$J$25:$J$66,Sheet6!$B$25:$B$66)*0.15</f>
        <v>11.7</v>
      </c>
      <c r="Q135" s="6">
        <f>LOOKUP(I135,Sheet6!$J$115:$J$156,Sheet6!$B$115:$B$156)*0.2</f>
        <v>14</v>
      </c>
      <c r="R135" s="6">
        <f>LOOKUP(J135,Sheet6!$D$465:$D$506,Sheet6!$B$465:$B$506)*0.1</f>
        <v>6.2</v>
      </c>
      <c r="S135" s="6">
        <f>LOOKUP(K135,Sheet6!$J$205:$J$246,Sheet6!$B$205:$B$246)*0.1</f>
        <v>8</v>
      </c>
      <c r="T135" s="6">
        <f>LOOKUP(L135,Sheet6!$F$688:$F$749,Sheet6!$B$688:$B$749)*0.2</f>
        <v>14</v>
      </c>
      <c r="U135" s="6">
        <f>LOOKUP(M135,Sheet6!$D$600:$D$626,Sheet6!$B$600:$B$626)*0.1</f>
        <v>4</v>
      </c>
      <c r="V135" s="6">
        <f t="shared" si="13"/>
        <v>69.900000000000006</v>
      </c>
      <c r="W135" s="6" t="str">
        <f t="shared" si="14"/>
        <v>及格</v>
      </c>
    </row>
    <row r="136" spans="1:28" ht="24.75" customHeight="1">
      <c r="A136" s="9">
        <v>22</v>
      </c>
      <c r="B136" s="10" t="s">
        <v>92</v>
      </c>
      <c r="C136" s="11">
        <v>2</v>
      </c>
      <c r="D136" s="39" t="s">
        <v>603</v>
      </c>
      <c r="E136" s="12">
        <v>1</v>
      </c>
      <c r="F136" s="10">
        <v>181</v>
      </c>
      <c r="G136" s="10">
        <v>84</v>
      </c>
      <c r="H136" s="12">
        <v>4288</v>
      </c>
      <c r="I136" s="10">
        <v>8.9</v>
      </c>
      <c r="J136" s="10">
        <v>190</v>
      </c>
      <c r="K136" s="19">
        <v>13</v>
      </c>
      <c r="L136" s="10" t="s">
        <v>29</v>
      </c>
      <c r="M136" s="10">
        <v>3</v>
      </c>
      <c r="N136" s="13">
        <f t="shared" si="12"/>
        <v>25.640242971826254</v>
      </c>
      <c r="O136" s="6">
        <f>LOOKUP(N136,Sheet6!$J$4:$J$11,Sheet6!$B$4:$B$11)*0.15</f>
        <v>9</v>
      </c>
      <c r="P136" s="14">
        <f>LOOKUP(H136,Sheet6!$J$25:$J$66,Sheet6!$B$25:$B$66)*0.15</f>
        <v>15</v>
      </c>
      <c r="Q136" s="6">
        <f>LOOKUP(I136,Sheet6!$J$115:$J$156,Sheet6!$B$115:$B$156)*0.2</f>
        <v>14</v>
      </c>
      <c r="R136" s="6">
        <f>LOOKUP(J136,Sheet6!$D$465:$D$506,Sheet6!$B$465:$B$506)*0.1</f>
        <v>7</v>
      </c>
      <c r="S136" s="6">
        <f>LOOKUP(K136,Sheet6!$J$205:$J$246,Sheet6!$B$205:$B$246)*0.1</f>
        <v>8</v>
      </c>
      <c r="T136" s="6">
        <f>LOOKUP(L136,Sheet6!$F$688:$F$749,Sheet6!$B$688:$B$749)*0.2</f>
        <v>15.600000000000001</v>
      </c>
      <c r="U136" s="6">
        <f>LOOKUP(M136,Sheet6!$D$600:$D$626,Sheet6!$B$600:$B$626)*0.1</f>
        <v>4</v>
      </c>
      <c r="V136" s="6">
        <f t="shared" si="13"/>
        <v>72.599999999999994</v>
      </c>
      <c r="W136" s="6" t="str">
        <f t="shared" si="14"/>
        <v>及格</v>
      </c>
      <c r="Z136" s="3">
        <v>5</v>
      </c>
      <c r="AA136" s="3" t="s">
        <v>181</v>
      </c>
      <c r="AB136" s="3">
        <v>0.20833299999999999</v>
      </c>
    </row>
    <row r="137" spans="1:28" ht="24.75" customHeight="1">
      <c r="A137" s="9">
        <v>22</v>
      </c>
      <c r="B137" s="10" t="s">
        <v>92</v>
      </c>
      <c r="C137" s="16">
        <v>3</v>
      </c>
      <c r="D137" s="39" t="s">
        <v>604</v>
      </c>
      <c r="E137" s="12">
        <v>1</v>
      </c>
      <c r="F137" s="10">
        <v>173</v>
      </c>
      <c r="G137" s="10">
        <v>57</v>
      </c>
      <c r="H137" s="12">
        <v>4803</v>
      </c>
      <c r="I137" s="10">
        <v>7</v>
      </c>
      <c r="J137" s="10">
        <v>230</v>
      </c>
      <c r="K137" s="19">
        <v>19</v>
      </c>
      <c r="L137" s="10" t="s">
        <v>24</v>
      </c>
      <c r="M137" s="10">
        <v>5</v>
      </c>
      <c r="N137" s="13">
        <f t="shared" si="12"/>
        <v>19.045073340238563</v>
      </c>
      <c r="O137" s="6">
        <f>LOOKUP(N137,Sheet6!$J$4:$J$11,Sheet6!$B$4:$B$11)*0.15</f>
        <v>15</v>
      </c>
      <c r="P137" s="14">
        <f>LOOKUP(H137,Sheet6!$J$25:$J$66,Sheet6!$B$25:$B$66)*0.15</f>
        <v>15</v>
      </c>
      <c r="Q137" s="6">
        <f>LOOKUP(I137,Sheet6!$J$115:$J$156,Sheet6!$B$115:$B$156)*0.2</f>
        <v>20</v>
      </c>
      <c r="R137" s="6">
        <f>LOOKUP(J137,Sheet6!$D$465:$D$506,Sheet6!$B$465:$B$506)*0.1</f>
        <v>9</v>
      </c>
      <c r="S137" s="6">
        <f>LOOKUP(K137,Sheet6!$J$205:$J$246,Sheet6!$B$205:$B$246)*0.1</f>
        <v>9.5</v>
      </c>
      <c r="T137" s="6">
        <f>LOOKUP(L137,Sheet6!$F$688:$F$749,Sheet6!$B$688:$B$749)*0.2</f>
        <v>17</v>
      </c>
      <c r="U137" s="6">
        <f>LOOKUP(M137,Sheet6!$D$600:$D$626,Sheet6!$B$600:$B$626)*0.1</f>
        <v>6</v>
      </c>
      <c r="V137" s="6">
        <f t="shared" si="13"/>
        <v>91.5</v>
      </c>
      <c r="W137" s="6" t="str">
        <f t="shared" si="14"/>
        <v>优秀</v>
      </c>
      <c r="Z137" s="3">
        <v>3</v>
      </c>
      <c r="AA137" s="3" t="s">
        <v>180</v>
      </c>
      <c r="AB137" s="3">
        <v>0.125</v>
      </c>
    </row>
    <row r="138" spans="1:28" ht="24.75" customHeight="1">
      <c r="A138" s="9">
        <v>22</v>
      </c>
      <c r="B138" s="10" t="s">
        <v>92</v>
      </c>
      <c r="C138" s="11">
        <v>4</v>
      </c>
      <c r="D138" s="39" t="s">
        <v>605</v>
      </c>
      <c r="E138" s="12">
        <v>1</v>
      </c>
      <c r="F138" s="10">
        <v>174</v>
      </c>
      <c r="G138" s="10">
        <v>52.2</v>
      </c>
      <c r="H138" s="12">
        <v>3958</v>
      </c>
      <c r="I138" s="10">
        <v>7</v>
      </c>
      <c r="J138" s="10">
        <v>215</v>
      </c>
      <c r="K138" s="19">
        <v>13</v>
      </c>
      <c r="L138" s="10" t="s">
        <v>94</v>
      </c>
      <c r="M138" s="10">
        <v>10</v>
      </c>
      <c r="N138" s="13">
        <f t="shared" si="12"/>
        <v>17.241379310344829</v>
      </c>
      <c r="O138" s="6">
        <f>LOOKUP(N138,Sheet6!$J$4:$J$11,Sheet6!$B$4:$B$11)*0.15</f>
        <v>15</v>
      </c>
      <c r="P138" s="14">
        <f>LOOKUP(H138,Sheet6!$J$25:$J$66,Sheet6!$B$25:$B$66)*0.15</f>
        <v>15</v>
      </c>
      <c r="Q138" s="6">
        <f>LOOKUP(I138,Sheet6!$J$115:$J$156,Sheet6!$B$115:$B$156)*0.2</f>
        <v>20</v>
      </c>
      <c r="R138" s="6">
        <f>LOOKUP(J138,Sheet6!$D$465:$D$506,Sheet6!$B$465:$B$506)*0.1</f>
        <v>8</v>
      </c>
      <c r="S138" s="6">
        <f>LOOKUP(K138,Sheet6!$J$205:$J$246,Sheet6!$B$205:$B$246)*0.1</f>
        <v>8</v>
      </c>
      <c r="T138" s="6">
        <f>LOOKUP(L138,Sheet6!$F$688:$F$749,Sheet6!$B$688:$B$749)*0.2</f>
        <v>30</v>
      </c>
      <c r="U138" s="6">
        <f>LOOKUP(M138,Sheet6!$D$600:$D$626,Sheet6!$B$600:$B$626)*0.1</f>
        <v>8</v>
      </c>
      <c r="V138" s="6">
        <f t="shared" si="13"/>
        <v>104</v>
      </c>
      <c r="W138" s="6" t="str">
        <f t="shared" si="14"/>
        <v>优秀</v>
      </c>
      <c r="Z138" s="3">
        <v>13</v>
      </c>
      <c r="AA138" s="3" t="s">
        <v>466</v>
      </c>
      <c r="AB138" s="3">
        <v>0.54166599999999998</v>
      </c>
    </row>
    <row r="139" spans="1:28" ht="24.75" customHeight="1">
      <c r="A139" s="9">
        <v>22</v>
      </c>
      <c r="B139" s="10" t="s">
        <v>92</v>
      </c>
      <c r="C139" s="11">
        <v>5</v>
      </c>
      <c r="D139" s="39" t="s">
        <v>606</v>
      </c>
      <c r="E139" s="12">
        <v>1</v>
      </c>
      <c r="F139" s="10">
        <v>161</v>
      </c>
      <c r="G139" s="10">
        <v>41.8</v>
      </c>
      <c r="H139" s="12">
        <v>3278</v>
      </c>
      <c r="I139" s="10">
        <v>8.5</v>
      </c>
      <c r="J139" s="10">
        <v>170</v>
      </c>
      <c r="K139" s="19">
        <v>12</v>
      </c>
      <c r="L139" s="10" t="s">
        <v>67</v>
      </c>
      <c r="M139" s="10">
        <v>3</v>
      </c>
      <c r="N139" s="13">
        <f t="shared" si="12"/>
        <v>16.125921067860038</v>
      </c>
      <c r="O139" s="6">
        <f>LOOKUP(N139,Sheet6!$J$4:$J$11,Sheet6!$B$4:$B$11)*0.15</f>
        <v>15</v>
      </c>
      <c r="P139" s="14">
        <f>LOOKUP(H139,Sheet6!$J$25:$J$66,Sheet6!$B$25:$B$66)*0.15</f>
        <v>12</v>
      </c>
      <c r="Q139" s="6">
        <f>LOOKUP(I139,Sheet6!$J$115:$J$156,Sheet6!$B$115:$B$156)*0.2</f>
        <v>14.8</v>
      </c>
      <c r="R139" s="6">
        <f>LOOKUP(J139,Sheet6!$D$465:$D$506,Sheet6!$B$465:$B$506)*0.1</f>
        <v>6</v>
      </c>
      <c r="S139" s="6">
        <f>LOOKUP(K139,Sheet6!$J$205:$J$246,Sheet6!$B$205:$B$246)*0.1</f>
        <v>8</v>
      </c>
      <c r="T139" s="6">
        <f>LOOKUP(L139,Sheet6!$F$688:$F$749,Sheet6!$B$688:$B$749)*0.2</f>
        <v>12.4</v>
      </c>
      <c r="U139" s="6">
        <f>LOOKUP(M139,Sheet6!$D$600:$D$626,Sheet6!$B$600:$B$626)*0.1</f>
        <v>4</v>
      </c>
      <c r="V139" s="6">
        <f t="shared" si="13"/>
        <v>72.2</v>
      </c>
      <c r="W139" s="6" t="str">
        <f t="shared" si="14"/>
        <v>及格</v>
      </c>
      <c r="Z139" s="3">
        <v>3</v>
      </c>
      <c r="AA139" s="3" t="s">
        <v>467</v>
      </c>
      <c r="AB139" s="3">
        <v>0.125</v>
      </c>
    </row>
    <row r="140" spans="1:28" ht="24.75" customHeight="1">
      <c r="A140" s="9">
        <v>22</v>
      </c>
      <c r="B140" s="10" t="s">
        <v>92</v>
      </c>
      <c r="C140" s="16">
        <v>6</v>
      </c>
      <c r="D140" s="39" t="s">
        <v>607</v>
      </c>
      <c r="E140" s="12">
        <v>1</v>
      </c>
      <c r="F140" s="10">
        <v>166.6</v>
      </c>
      <c r="G140" s="10">
        <v>93</v>
      </c>
      <c r="H140" s="12">
        <v>3929</v>
      </c>
      <c r="I140" s="10">
        <v>9.1999999999999993</v>
      </c>
      <c r="J140" s="10">
        <v>190</v>
      </c>
      <c r="K140" s="19">
        <v>19</v>
      </c>
      <c r="L140" s="10" t="s">
        <v>95</v>
      </c>
      <c r="M140" s="10">
        <v>3</v>
      </c>
      <c r="N140" s="13">
        <f t="shared" si="12"/>
        <v>33.506800078975168</v>
      </c>
      <c r="O140" s="6">
        <f>LOOKUP(N140,Sheet6!$J$4:$J$11,Sheet6!$B$4:$B$11)*0.15</f>
        <v>9</v>
      </c>
      <c r="P140" s="14">
        <f>LOOKUP(H140,Sheet6!$J$25:$J$66,Sheet6!$B$25:$B$66)*0.15</f>
        <v>14.25</v>
      </c>
      <c r="Q140" s="6">
        <f>LOOKUP(I140,Sheet6!$J$115:$J$156,Sheet6!$B$115:$B$156)*0.2</f>
        <v>13.200000000000001</v>
      </c>
      <c r="R140" s="6">
        <f>LOOKUP(J140,Sheet6!$D$465:$D$506,Sheet6!$B$465:$B$506)*0.1</f>
        <v>7</v>
      </c>
      <c r="S140" s="6">
        <f>LOOKUP(K140,Sheet6!$J$205:$J$246,Sheet6!$B$205:$B$246)*0.1</f>
        <v>9.5</v>
      </c>
      <c r="T140" s="6">
        <f>LOOKUP(L140,Sheet6!$F$688:$F$749,Sheet6!$B$688:$B$749)*0.2</f>
        <v>14.4</v>
      </c>
      <c r="U140" s="6">
        <f>LOOKUP(M140,Sheet6!$D$600:$D$626,Sheet6!$B$600:$B$626)*0.1</f>
        <v>4</v>
      </c>
      <c r="V140" s="6">
        <f t="shared" si="13"/>
        <v>71.350000000000009</v>
      </c>
      <c r="W140" s="6" t="str">
        <f t="shared" si="14"/>
        <v>及格</v>
      </c>
      <c r="Z140" s="3">
        <v>3</v>
      </c>
      <c r="AA140" s="3" t="s">
        <v>180</v>
      </c>
      <c r="AB140" s="3">
        <v>0.125</v>
      </c>
    </row>
    <row r="141" spans="1:28" ht="24.75" customHeight="1">
      <c r="A141" s="9">
        <v>22</v>
      </c>
      <c r="B141" s="10" t="s">
        <v>92</v>
      </c>
      <c r="C141" s="11">
        <v>7</v>
      </c>
      <c r="D141" s="39" t="s">
        <v>608</v>
      </c>
      <c r="E141" s="12">
        <v>1</v>
      </c>
      <c r="F141" s="10">
        <v>151</v>
      </c>
      <c r="G141" s="10">
        <v>37.4</v>
      </c>
      <c r="H141" s="12">
        <v>2485</v>
      </c>
      <c r="I141" s="10">
        <v>9</v>
      </c>
      <c r="J141" s="10">
        <v>180</v>
      </c>
      <c r="K141" s="19">
        <v>12</v>
      </c>
      <c r="L141" s="10" t="s">
        <v>96</v>
      </c>
      <c r="M141" s="10">
        <v>3</v>
      </c>
      <c r="N141" s="13">
        <f t="shared" si="12"/>
        <v>16.402789351344239</v>
      </c>
      <c r="O141" s="6">
        <f>LOOKUP(N141,Sheet6!$J$4:$J$11,Sheet6!$B$4:$B$11)*0.15</f>
        <v>15</v>
      </c>
      <c r="P141" s="14">
        <f>LOOKUP(H141,Sheet6!$J$25:$J$66,Sheet6!$B$25:$B$66)*0.15</f>
        <v>10.199999999999999</v>
      </c>
      <c r="Q141" s="6">
        <f>LOOKUP(I141,Sheet6!$J$115:$J$156,Sheet6!$B$115:$B$156)*0.2</f>
        <v>13.600000000000001</v>
      </c>
      <c r="R141" s="6">
        <f>LOOKUP(J141,Sheet6!$D$465:$D$506,Sheet6!$B$465:$B$506)*0.1</f>
        <v>6.4</v>
      </c>
      <c r="S141" s="6">
        <f>LOOKUP(K141,Sheet6!$J$205:$J$246,Sheet6!$B$205:$B$246)*0.1</f>
        <v>8</v>
      </c>
      <c r="T141" s="6">
        <f>LOOKUP(L141,Sheet6!$F$688:$F$749,Sheet6!$B$688:$B$749)*0.2</f>
        <v>14.8</v>
      </c>
      <c r="U141" s="6">
        <f>LOOKUP(M141,Sheet6!$D$600:$D$626,Sheet6!$B$600:$B$626)*0.1</f>
        <v>4</v>
      </c>
      <c r="V141" s="6">
        <f t="shared" si="13"/>
        <v>72</v>
      </c>
      <c r="W141" s="6" t="str">
        <f t="shared" si="14"/>
        <v>及格</v>
      </c>
    </row>
    <row r="142" spans="1:28" ht="24.75" customHeight="1">
      <c r="A142" s="9">
        <v>22</v>
      </c>
      <c r="B142" s="10" t="s">
        <v>92</v>
      </c>
      <c r="C142" s="11">
        <v>8</v>
      </c>
      <c r="D142" s="39" t="s">
        <v>609</v>
      </c>
      <c r="E142" s="12">
        <v>1</v>
      </c>
      <c r="F142" s="10">
        <v>165</v>
      </c>
      <c r="G142" s="10">
        <v>53.5</v>
      </c>
      <c r="H142" s="12">
        <v>2900</v>
      </c>
      <c r="I142" s="10">
        <v>9</v>
      </c>
      <c r="J142" s="10">
        <v>170</v>
      </c>
      <c r="K142" s="19">
        <v>12</v>
      </c>
      <c r="L142" s="10" t="s">
        <v>97</v>
      </c>
      <c r="M142" s="10">
        <v>3</v>
      </c>
      <c r="N142" s="13">
        <f t="shared" si="12"/>
        <v>19.651056014692376</v>
      </c>
      <c r="O142" s="6">
        <f>LOOKUP(N142,Sheet6!$J$4:$J$11,Sheet6!$B$4:$B$11)*0.15</f>
        <v>15</v>
      </c>
      <c r="P142" s="14">
        <f>LOOKUP(H142,Sheet6!$J$25:$J$66,Sheet6!$B$25:$B$66)*0.15</f>
        <v>11.1</v>
      </c>
      <c r="Q142" s="6">
        <f>LOOKUP(I142,Sheet6!$J$115:$J$156,Sheet6!$B$115:$B$156)*0.2</f>
        <v>13.600000000000001</v>
      </c>
      <c r="R142" s="6">
        <f>LOOKUP(J142,Sheet6!$D$465:$D$506,Sheet6!$B$465:$B$506)*0.1</f>
        <v>6</v>
      </c>
      <c r="S142" s="6">
        <f>LOOKUP(K142,Sheet6!$J$205:$J$246,Sheet6!$B$205:$B$246)*0.1</f>
        <v>8</v>
      </c>
      <c r="T142" s="6">
        <f>LOOKUP(L142,Sheet6!$F$688:$F$749,Sheet6!$B$688:$B$749)*0.2</f>
        <v>14.4</v>
      </c>
      <c r="U142" s="6">
        <f>LOOKUP(M142,Sheet6!$D$600:$D$626,Sheet6!$B$600:$B$626)*0.1</f>
        <v>4</v>
      </c>
      <c r="V142" s="6">
        <f t="shared" si="13"/>
        <v>72.100000000000009</v>
      </c>
      <c r="W142" s="6" t="str">
        <f t="shared" si="14"/>
        <v>及格</v>
      </c>
    </row>
    <row r="143" spans="1:28" ht="24.75" customHeight="1">
      <c r="A143" s="9">
        <v>22</v>
      </c>
      <c r="B143" s="10" t="s">
        <v>92</v>
      </c>
      <c r="C143" s="16">
        <v>9</v>
      </c>
      <c r="D143" s="39" t="s">
        <v>610</v>
      </c>
      <c r="E143" s="12">
        <v>1</v>
      </c>
      <c r="F143" s="10">
        <v>158</v>
      </c>
      <c r="G143" s="10">
        <v>42</v>
      </c>
      <c r="H143" s="12">
        <v>2636</v>
      </c>
      <c r="I143" s="10">
        <v>8.9</v>
      </c>
      <c r="J143" s="10">
        <v>170</v>
      </c>
      <c r="K143" s="19">
        <v>12</v>
      </c>
      <c r="L143" s="10" t="s">
        <v>98</v>
      </c>
      <c r="M143" s="10">
        <v>3</v>
      </c>
      <c r="N143" s="13">
        <f t="shared" si="12"/>
        <v>16.824226886716872</v>
      </c>
      <c r="O143" s="6">
        <f>LOOKUP(N143,Sheet6!$J$4:$J$11,Sheet6!$B$4:$B$11)*0.15</f>
        <v>15</v>
      </c>
      <c r="P143" s="14">
        <f>LOOKUP(H143,Sheet6!$J$25:$J$66,Sheet6!$B$25:$B$66)*0.15</f>
        <v>10.5</v>
      </c>
      <c r="Q143" s="6">
        <f>LOOKUP(I143,Sheet6!$J$115:$J$156,Sheet6!$B$115:$B$156)*0.2</f>
        <v>14</v>
      </c>
      <c r="R143" s="6">
        <f>LOOKUP(J143,Sheet6!$D$465:$D$506,Sheet6!$B$465:$B$506)*0.1</f>
        <v>6</v>
      </c>
      <c r="S143" s="6">
        <f>LOOKUP(K143,Sheet6!$J$205:$J$246,Sheet6!$B$205:$B$246)*0.1</f>
        <v>8</v>
      </c>
      <c r="T143" s="6">
        <f>LOOKUP(L143,Sheet6!$F$688:$F$749,Sheet6!$B$688:$B$749)*0.2</f>
        <v>12.8</v>
      </c>
      <c r="U143" s="6">
        <f>LOOKUP(M143,Sheet6!$D$600:$D$626,Sheet6!$B$600:$B$626)*0.1</f>
        <v>4</v>
      </c>
      <c r="V143" s="6">
        <f t="shared" si="13"/>
        <v>70.3</v>
      </c>
      <c r="W143" s="6" t="str">
        <f t="shared" si="14"/>
        <v>及格</v>
      </c>
    </row>
    <row r="144" spans="1:28" ht="24.75" customHeight="1">
      <c r="A144" s="9">
        <v>22</v>
      </c>
      <c r="B144" s="10" t="s">
        <v>92</v>
      </c>
      <c r="C144" s="11">
        <v>10</v>
      </c>
      <c r="D144" s="39" t="s">
        <v>611</v>
      </c>
      <c r="E144" s="12">
        <v>1</v>
      </c>
      <c r="F144" s="10">
        <v>165</v>
      </c>
      <c r="G144" s="10">
        <v>59.6</v>
      </c>
      <c r="H144" s="12">
        <v>3733</v>
      </c>
      <c r="I144" s="10">
        <v>8.1999999999999993</v>
      </c>
      <c r="J144" s="10">
        <v>195</v>
      </c>
      <c r="K144" s="19">
        <v>16</v>
      </c>
      <c r="L144" s="10" t="s">
        <v>99</v>
      </c>
      <c r="M144" s="10">
        <v>3</v>
      </c>
      <c r="N144" s="13">
        <f t="shared" si="12"/>
        <v>21.891643709825527</v>
      </c>
      <c r="O144" s="6">
        <f>LOOKUP(N144,Sheet6!$J$4:$J$11,Sheet6!$B$4:$B$11)*0.15</f>
        <v>15</v>
      </c>
      <c r="P144" s="14">
        <f>LOOKUP(H144,Sheet6!$J$25:$J$66,Sheet6!$B$25:$B$66)*0.15</f>
        <v>14.25</v>
      </c>
      <c r="Q144" s="6">
        <f>LOOKUP(I144,Sheet6!$J$115:$J$156,Sheet6!$B$115:$B$156)*0.2</f>
        <v>15.200000000000001</v>
      </c>
      <c r="R144" s="6">
        <f>LOOKUP(J144,Sheet6!$D$465:$D$506,Sheet6!$B$465:$B$506)*0.1</f>
        <v>7.2</v>
      </c>
      <c r="S144" s="6">
        <f>LOOKUP(K144,Sheet6!$J$205:$J$246,Sheet6!$B$205:$B$246)*0.1</f>
        <v>9</v>
      </c>
      <c r="T144" s="6">
        <f>LOOKUP(L144,Sheet6!$F$688:$F$749,Sheet6!$B$688:$B$749)*0.2</f>
        <v>17</v>
      </c>
      <c r="U144" s="6">
        <f>LOOKUP(M144,Sheet6!$D$600:$D$626,Sheet6!$B$600:$B$626)*0.1</f>
        <v>4</v>
      </c>
      <c r="V144" s="6">
        <f t="shared" si="13"/>
        <v>81.650000000000006</v>
      </c>
      <c r="W144" s="6" t="str">
        <f t="shared" si="14"/>
        <v>良好</v>
      </c>
    </row>
    <row r="145" spans="1:28" ht="24.75" customHeight="1">
      <c r="A145" s="9">
        <v>22</v>
      </c>
      <c r="B145" s="10" t="s">
        <v>92</v>
      </c>
      <c r="C145" s="11">
        <v>11</v>
      </c>
      <c r="D145" s="39" t="s">
        <v>612</v>
      </c>
      <c r="E145" s="12">
        <v>1</v>
      </c>
      <c r="F145" s="10">
        <v>155</v>
      </c>
      <c r="G145" s="10">
        <v>40</v>
      </c>
      <c r="H145" s="12">
        <v>2414</v>
      </c>
      <c r="I145" s="10">
        <v>8</v>
      </c>
      <c r="J145" s="10">
        <v>195</v>
      </c>
      <c r="K145" s="19">
        <v>13</v>
      </c>
      <c r="L145" s="10" t="s">
        <v>35</v>
      </c>
      <c r="M145" s="10">
        <v>10</v>
      </c>
      <c r="N145" s="13">
        <f t="shared" si="12"/>
        <v>16.649323621227889</v>
      </c>
      <c r="O145" s="6">
        <f>LOOKUP(N145,Sheet6!$J$4:$J$11,Sheet6!$B$4:$B$11)*0.15</f>
        <v>15</v>
      </c>
      <c r="P145" s="14">
        <f>LOOKUP(H145,Sheet6!$J$25:$J$66,Sheet6!$B$25:$B$66)*0.15</f>
        <v>9.9</v>
      </c>
      <c r="Q145" s="6">
        <f>LOOKUP(I145,Sheet6!$J$115:$J$156,Sheet6!$B$115:$B$156)*0.2</f>
        <v>15.600000000000001</v>
      </c>
      <c r="R145" s="6">
        <f>LOOKUP(J145,Sheet6!$D$465:$D$506,Sheet6!$B$465:$B$506)*0.1</f>
        <v>7.2</v>
      </c>
      <c r="S145" s="6">
        <f>LOOKUP(K145,Sheet6!$J$205:$J$246,Sheet6!$B$205:$B$246)*0.1</f>
        <v>8</v>
      </c>
      <c r="T145" s="6">
        <f>LOOKUP(L145,Sheet6!$F$688:$F$749,Sheet6!$B$688:$B$749)*0.2</f>
        <v>18</v>
      </c>
      <c r="U145" s="6">
        <f>LOOKUP(M145,Sheet6!$D$600:$D$626,Sheet6!$B$600:$B$626)*0.1</f>
        <v>8</v>
      </c>
      <c r="V145" s="6">
        <f t="shared" si="13"/>
        <v>81.7</v>
      </c>
      <c r="W145" s="6" t="str">
        <f t="shared" si="14"/>
        <v>良好</v>
      </c>
    </row>
    <row r="146" spans="1:28" ht="24.75" customHeight="1">
      <c r="A146" s="9">
        <v>22</v>
      </c>
      <c r="B146" s="10" t="s">
        <v>92</v>
      </c>
      <c r="C146" s="16">
        <v>12</v>
      </c>
      <c r="D146" s="39" t="s">
        <v>613</v>
      </c>
      <c r="E146" s="12">
        <v>1</v>
      </c>
      <c r="F146" s="10">
        <v>180</v>
      </c>
      <c r="G146" s="10">
        <v>90</v>
      </c>
      <c r="H146" s="12">
        <v>4000</v>
      </c>
      <c r="I146" s="10">
        <v>8.9</v>
      </c>
      <c r="J146" s="10">
        <v>190</v>
      </c>
      <c r="K146" s="19">
        <v>16</v>
      </c>
      <c r="L146" s="10" t="s">
        <v>35</v>
      </c>
      <c r="M146" s="10">
        <v>3</v>
      </c>
      <c r="N146" s="13">
        <f t="shared" si="12"/>
        <v>27.777777777777779</v>
      </c>
      <c r="O146" s="6">
        <f>LOOKUP(N146,Sheet6!$J$4:$J$11,Sheet6!$B$4:$B$11)*0.15</f>
        <v>9</v>
      </c>
      <c r="P146" s="14">
        <f>LOOKUP(H146,Sheet6!$J$25:$J$66,Sheet6!$B$25:$B$66)*0.15</f>
        <v>15</v>
      </c>
      <c r="Q146" s="6">
        <f>LOOKUP(I146,Sheet6!$J$115:$J$156,Sheet6!$B$115:$B$156)*0.2</f>
        <v>14</v>
      </c>
      <c r="R146" s="6">
        <f>LOOKUP(J146,Sheet6!$D$465:$D$506,Sheet6!$B$465:$B$506)*0.1</f>
        <v>7</v>
      </c>
      <c r="S146" s="6">
        <f>LOOKUP(K146,Sheet6!$J$205:$J$246,Sheet6!$B$205:$B$246)*0.1</f>
        <v>9</v>
      </c>
      <c r="T146" s="6">
        <f>LOOKUP(L146,Sheet6!$F$688:$F$749,Sheet6!$B$688:$B$749)*0.2</f>
        <v>18</v>
      </c>
      <c r="U146" s="6">
        <f>LOOKUP(M146,Sheet6!$D$600:$D$626,Sheet6!$B$600:$B$626)*0.1</f>
        <v>4</v>
      </c>
      <c r="V146" s="6">
        <f t="shared" si="13"/>
        <v>76</v>
      </c>
      <c r="W146" s="6" t="str">
        <f t="shared" si="14"/>
        <v>及格</v>
      </c>
    </row>
    <row r="147" spans="1:28" ht="24.75" customHeight="1">
      <c r="A147" s="9">
        <v>22</v>
      </c>
      <c r="B147" s="10" t="s">
        <v>92</v>
      </c>
      <c r="C147" s="11">
        <v>13</v>
      </c>
      <c r="D147" s="39" t="s">
        <v>614</v>
      </c>
      <c r="E147" s="12">
        <v>1</v>
      </c>
      <c r="F147" s="10">
        <v>178</v>
      </c>
      <c r="G147" s="10">
        <v>60.3</v>
      </c>
      <c r="H147" s="12">
        <v>4498</v>
      </c>
      <c r="I147" s="10">
        <v>6.9</v>
      </c>
      <c r="J147" s="10">
        <v>230</v>
      </c>
      <c r="K147" s="19">
        <v>13</v>
      </c>
      <c r="L147" s="10" t="s">
        <v>100</v>
      </c>
      <c r="M147" s="10">
        <v>10</v>
      </c>
      <c r="N147" s="13">
        <f t="shared" si="12"/>
        <v>19.031687918192144</v>
      </c>
      <c r="O147" s="6">
        <f>LOOKUP(N147,Sheet6!$J$4:$J$11,Sheet6!$B$4:$B$11)*0.15</f>
        <v>15</v>
      </c>
      <c r="P147" s="14">
        <f>LOOKUP(H147,Sheet6!$J$25:$J$66,Sheet6!$B$25:$B$66)*0.15</f>
        <v>15</v>
      </c>
      <c r="Q147" s="6">
        <f>LOOKUP(I147,Sheet6!$J$115:$J$156,Sheet6!$B$115:$B$156)*0.2</f>
        <v>20</v>
      </c>
      <c r="R147" s="6">
        <f>LOOKUP(J147,Sheet6!$D$465:$D$506,Sheet6!$B$465:$B$506)*0.1</f>
        <v>9</v>
      </c>
      <c r="S147" s="6">
        <f>LOOKUP(K147,Sheet6!$J$205:$J$246,Sheet6!$B$205:$B$246)*0.1</f>
        <v>8</v>
      </c>
      <c r="T147" s="6">
        <f>LOOKUP(L147,Sheet6!$F$688:$F$749,Sheet6!$B$688:$B$749)*0.2</f>
        <v>30</v>
      </c>
      <c r="U147" s="6">
        <f>LOOKUP(M147,Sheet6!$D$600:$D$626,Sheet6!$B$600:$B$626)*0.1</f>
        <v>8</v>
      </c>
      <c r="V147" s="6">
        <f t="shared" si="13"/>
        <v>105</v>
      </c>
      <c r="W147" s="6" t="str">
        <f t="shared" si="14"/>
        <v>优秀</v>
      </c>
    </row>
    <row r="148" spans="1:28" ht="24.75" customHeight="1">
      <c r="A148" s="9">
        <v>22</v>
      </c>
      <c r="B148" s="10" t="s">
        <v>92</v>
      </c>
      <c r="C148" s="11">
        <v>14</v>
      </c>
      <c r="D148" s="39" t="s">
        <v>615</v>
      </c>
      <c r="E148" s="12">
        <v>1</v>
      </c>
      <c r="F148" s="10">
        <v>170</v>
      </c>
      <c r="G148" s="10">
        <v>56.8</v>
      </c>
      <c r="H148" s="12">
        <v>4201</v>
      </c>
      <c r="I148" s="10">
        <v>7.3</v>
      </c>
      <c r="J148" s="10">
        <v>215</v>
      </c>
      <c r="K148" s="19">
        <v>12</v>
      </c>
      <c r="L148" s="10" t="s">
        <v>101</v>
      </c>
      <c r="M148" s="10">
        <v>5</v>
      </c>
      <c r="N148" s="13">
        <f t="shared" si="12"/>
        <v>19.653979238754324</v>
      </c>
      <c r="O148" s="6">
        <f>LOOKUP(N148,Sheet6!$J$4:$J$11,Sheet6!$B$4:$B$11)*0.15</f>
        <v>15</v>
      </c>
      <c r="P148" s="14">
        <f>LOOKUP(H148,Sheet6!$J$25:$J$66,Sheet6!$B$25:$B$66)*0.15</f>
        <v>15</v>
      </c>
      <c r="Q148" s="6">
        <f>LOOKUP(I148,Sheet6!$J$115:$J$156,Sheet6!$B$115:$B$156)*0.2</f>
        <v>20</v>
      </c>
      <c r="R148" s="6">
        <f>LOOKUP(J148,Sheet6!$D$465:$D$506,Sheet6!$B$465:$B$506)*0.1</f>
        <v>8</v>
      </c>
      <c r="S148" s="6">
        <f>LOOKUP(K148,Sheet6!$J$205:$J$246,Sheet6!$B$205:$B$246)*0.1</f>
        <v>8</v>
      </c>
      <c r="T148" s="6">
        <f>LOOKUP(L148,Sheet6!$F$688:$F$749,Sheet6!$B$688:$B$749)*0.2</f>
        <v>25</v>
      </c>
      <c r="U148" s="6">
        <f>LOOKUP(M148,Sheet6!$D$600:$D$626,Sheet6!$B$600:$B$626)*0.1</f>
        <v>6</v>
      </c>
      <c r="V148" s="6">
        <f t="shared" si="13"/>
        <v>97</v>
      </c>
      <c r="W148" s="6" t="str">
        <f t="shared" si="14"/>
        <v>优秀</v>
      </c>
    </row>
    <row r="149" spans="1:28" ht="24.75" customHeight="1">
      <c r="A149" s="9">
        <v>22</v>
      </c>
      <c r="B149" s="10" t="s">
        <v>92</v>
      </c>
      <c r="C149" s="16">
        <v>15</v>
      </c>
      <c r="D149" s="39" t="s">
        <v>616</v>
      </c>
      <c r="E149" s="12">
        <v>1</v>
      </c>
      <c r="F149" s="10">
        <v>172</v>
      </c>
      <c r="G149" s="10">
        <v>52.8</v>
      </c>
      <c r="H149" s="12">
        <v>4849</v>
      </c>
      <c r="I149" s="10">
        <v>7.2</v>
      </c>
      <c r="J149" s="10">
        <v>210</v>
      </c>
      <c r="K149" s="19">
        <v>17</v>
      </c>
      <c r="L149" s="10" t="s">
        <v>62</v>
      </c>
      <c r="M149" s="10">
        <v>10</v>
      </c>
      <c r="N149" s="13">
        <f t="shared" si="12"/>
        <v>17.847485127095727</v>
      </c>
      <c r="O149" s="6">
        <f>LOOKUP(N149,Sheet6!$J$4:$J$11,Sheet6!$B$4:$B$11)*0.15</f>
        <v>15</v>
      </c>
      <c r="P149" s="14">
        <f>LOOKUP(H149,Sheet6!$J$25:$J$66,Sheet6!$B$25:$B$66)*0.15</f>
        <v>15</v>
      </c>
      <c r="Q149" s="6">
        <f>LOOKUP(I149,Sheet6!$J$115:$J$156,Sheet6!$B$115:$B$156)*0.2</f>
        <v>20</v>
      </c>
      <c r="R149" s="6">
        <f>LOOKUP(J149,Sheet6!$D$465:$D$506,Sheet6!$B$465:$B$506)*0.1</f>
        <v>8</v>
      </c>
      <c r="S149" s="6">
        <f>LOOKUP(K149,Sheet6!$J$205:$J$246,Sheet6!$B$205:$B$246)*0.1</f>
        <v>9</v>
      </c>
      <c r="T149" s="6">
        <f>LOOKUP(L149,Sheet6!$F$688:$F$749,Sheet6!$B$688:$B$749)*0.2</f>
        <v>26</v>
      </c>
      <c r="U149" s="6">
        <f>LOOKUP(M149,Sheet6!$D$600:$D$626,Sheet6!$B$600:$B$626)*0.1</f>
        <v>8</v>
      </c>
      <c r="V149" s="6">
        <f t="shared" si="13"/>
        <v>101</v>
      </c>
      <c r="W149" s="6" t="str">
        <f t="shared" si="14"/>
        <v>优秀</v>
      </c>
    </row>
    <row r="150" spans="1:28" ht="24.75" customHeight="1">
      <c r="A150" s="9">
        <v>22</v>
      </c>
      <c r="B150" s="21" t="s">
        <v>92</v>
      </c>
      <c r="C150" s="11">
        <v>16</v>
      </c>
      <c r="D150" s="39" t="s">
        <v>617</v>
      </c>
      <c r="E150" s="12">
        <v>1</v>
      </c>
      <c r="F150" s="22">
        <v>170</v>
      </c>
      <c r="G150" s="22">
        <v>60</v>
      </c>
      <c r="H150" s="22">
        <v>4000</v>
      </c>
      <c r="I150" s="5">
        <v>8</v>
      </c>
      <c r="J150" s="5">
        <v>195</v>
      </c>
      <c r="K150" s="5">
        <v>18</v>
      </c>
      <c r="L150" s="5" t="s">
        <v>47</v>
      </c>
      <c r="M150" s="5">
        <v>5</v>
      </c>
      <c r="N150" s="13">
        <f t="shared" si="12"/>
        <v>20.761245674740486</v>
      </c>
      <c r="O150" s="6">
        <f>LOOKUP(N150,Sheet6!$J$4:$J$11,Sheet6!$B$4:$B$11)*0.15</f>
        <v>15</v>
      </c>
      <c r="P150" s="14">
        <f>LOOKUP(H150,Sheet6!$J$25:$J$66,Sheet6!$B$25:$B$66)*0.15</f>
        <v>15</v>
      </c>
      <c r="Q150" s="6">
        <f>LOOKUP(I150,Sheet6!$J$115:$J$156,Sheet6!$B$115:$B$156)*0.2</f>
        <v>15.600000000000001</v>
      </c>
      <c r="R150" s="6">
        <f>LOOKUP(J150,Sheet6!$D$465:$D$506,Sheet6!$B$465:$B$506)*0.1</f>
        <v>7.2</v>
      </c>
      <c r="S150" s="6">
        <f>LOOKUP(K150,Sheet6!$J$205:$J$246,Sheet6!$B$205:$B$246)*0.1</f>
        <v>9.5</v>
      </c>
      <c r="T150" s="6">
        <f>LOOKUP(L150,Sheet6!$F$688:$F$749,Sheet6!$B$688:$B$749)*0.2</f>
        <v>21</v>
      </c>
      <c r="U150" s="6">
        <f>LOOKUP(M150,Sheet6!$D$600:$D$626,Sheet6!$B$600:$B$626)*0.1</f>
        <v>6</v>
      </c>
      <c r="V150" s="6">
        <f t="shared" si="13"/>
        <v>89.300000000000011</v>
      </c>
      <c r="W150" s="6" t="str">
        <f t="shared" si="14"/>
        <v>良好</v>
      </c>
    </row>
    <row r="151" spans="1:28" ht="24.75" customHeight="1">
      <c r="A151" s="9">
        <v>22</v>
      </c>
      <c r="B151" s="21" t="s">
        <v>92</v>
      </c>
      <c r="C151" s="11">
        <v>17</v>
      </c>
      <c r="D151" s="39" t="s">
        <v>618</v>
      </c>
      <c r="E151" s="12">
        <v>1</v>
      </c>
      <c r="F151" s="22" t="s">
        <v>102</v>
      </c>
      <c r="G151" s="22" t="s">
        <v>103</v>
      </c>
      <c r="H151" s="22">
        <v>2997</v>
      </c>
      <c r="I151" s="5">
        <v>7.3</v>
      </c>
      <c r="J151" s="5">
        <v>250</v>
      </c>
      <c r="K151" s="5">
        <v>25</v>
      </c>
      <c r="L151" s="5" t="s">
        <v>39</v>
      </c>
      <c r="M151" s="5">
        <v>10</v>
      </c>
      <c r="N151" s="13">
        <f t="shared" si="12"/>
        <v>16.946185357655544</v>
      </c>
      <c r="O151" s="6">
        <f>LOOKUP(N151,Sheet6!$J$4:$J$11,Sheet6!$B$4:$B$11)*0.15</f>
        <v>15</v>
      </c>
      <c r="P151" s="14">
        <f>LOOKUP(H151,Sheet6!$J$25:$J$66,Sheet6!$B$25:$B$66)*0.15</f>
        <v>11.4</v>
      </c>
      <c r="Q151" s="6">
        <f>LOOKUP(I151,Sheet6!$J$115:$J$156,Sheet6!$B$115:$B$156)*0.2</f>
        <v>20</v>
      </c>
      <c r="R151" s="6">
        <f>LOOKUP(J151,Sheet6!$D$465:$D$506,Sheet6!$B$465:$B$506)*0.1</f>
        <v>10</v>
      </c>
      <c r="S151" s="6">
        <f>LOOKUP(K151,Sheet6!$J$205:$J$246,Sheet6!$B$205:$B$246)*0.1</f>
        <v>10</v>
      </c>
      <c r="T151" s="6">
        <f>LOOKUP(L151,Sheet6!$F$688:$F$749,Sheet6!$B$688:$B$749)*0.2</f>
        <v>16</v>
      </c>
      <c r="U151" s="6">
        <f>LOOKUP(M151,Sheet6!$D$600:$D$626,Sheet6!$B$600:$B$626)*0.1</f>
        <v>8</v>
      </c>
      <c r="V151" s="6">
        <f t="shared" si="13"/>
        <v>90.4</v>
      </c>
      <c r="W151" s="6" t="str">
        <f t="shared" si="14"/>
        <v>优秀</v>
      </c>
    </row>
    <row r="152" spans="1:28" ht="24.75" customHeight="1">
      <c r="A152" s="9">
        <v>22</v>
      </c>
      <c r="B152" s="21" t="s">
        <v>92</v>
      </c>
      <c r="C152" s="16">
        <v>18</v>
      </c>
      <c r="D152" s="39" t="s">
        <v>619</v>
      </c>
      <c r="E152" s="12">
        <v>1</v>
      </c>
      <c r="F152" s="22" t="s">
        <v>104</v>
      </c>
      <c r="G152" s="22" t="s">
        <v>105</v>
      </c>
      <c r="H152" s="22">
        <v>3359</v>
      </c>
      <c r="I152" s="5">
        <v>7.4</v>
      </c>
      <c r="J152" s="5">
        <v>200</v>
      </c>
      <c r="K152" s="5">
        <v>18</v>
      </c>
      <c r="L152" s="5" t="s">
        <v>52</v>
      </c>
      <c r="M152" s="5">
        <v>15</v>
      </c>
      <c r="N152" s="13">
        <f t="shared" si="12"/>
        <v>16.125921067860038</v>
      </c>
      <c r="O152" s="6">
        <f>LOOKUP(N152,Sheet6!$J$4:$J$11,Sheet6!$B$4:$B$11)*0.15</f>
        <v>15</v>
      </c>
      <c r="P152" s="14">
        <f>LOOKUP(H152,Sheet6!$J$25:$J$66,Sheet6!$B$25:$B$66)*0.15</f>
        <v>12</v>
      </c>
      <c r="Q152" s="6">
        <f>LOOKUP(I152,Sheet6!$J$115:$J$156,Sheet6!$B$115:$B$156)*0.2</f>
        <v>20</v>
      </c>
      <c r="R152" s="6">
        <f>LOOKUP(J152,Sheet6!$D$465:$D$506,Sheet6!$B$465:$B$506)*0.1</f>
        <v>7.4</v>
      </c>
      <c r="S152" s="6">
        <f>LOOKUP(K152,Sheet6!$J$205:$J$246,Sheet6!$B$205:$B$246)*0.1</f>
        <v>9.5</v>
      </c>
      <c r="T152" s="6">
        <f>LOOKUP(L152,Sheet6!$F$688:$F$749,Sheet6!$B$688:$B$749)*0.2</f>
        <v>21</v>
      </c>
      <c r="U152" s="6">
        <f>LOOKUP(M152,Sheet6!$D$600:$D$626,Sheet6!$B$600:$B$626)*0.1</f>
        <v>11</v>
      </c>
      <c r="V152" s="6">
        <f t="shared" si="13"/>
        <v>95.9</v>
      </c>
      <c r="W152" s="6" t="str">
        <f t="shared" si="14"/>
        <v>优秀</v>
      </c>
    </row>
    <row r="153" spans="1:28" ht="24.75" customHeight="1">
      <c r="A153" s="9">
        <v>22</v>
      </c>
      <c r="B153" s="21" t="s">
        <v>92</v>
      </c>
      <c r="C153" s="11">
        <v>19</v>
      </c>
      <c r="D153" s="39" t="s">
        <v>620</v>
      </c>
      <c r="E153" s="12">
        <v>1</v>
      </c>
      <c r="F153" s="22" t="s">
        <v>106</v>
      </c>
      <c r="G153" s="22" t="s">
        <v>107</v>
      </c>
      <c r="H153" s="22">
        <v>2734</v>
      </c>
      <c r="I153" s="5">
        <v>8.8000000000000007</v>
      </c>
      <c r="J153" s="5">
        <v>195</v>
      </c>
      <c r="K153" s="5">
        <v>17</v>
      </c>
      <c r="L153" s="5" t="s">
        <v>23</v>
      </c>
      <c r="M153" s="5">
        <v>3</v>
      </c>
      <c r="N153" s="13">
        <f t="shared" si="12"/>
        <v>16.75365115565107</v>
      </c>
      <c r="O153" s="6">
        <f>LOOKUP(N153,Sheet6!$J$4:$J$11,Sheet6!$B$4:$B$11)*0.15</f>
        <v>15</v>
      </c>
      <c r="P153" s="14">
        <f>LOOKUP(H153,Sheet6!$J$25:$J$66,Sheet6!$B$25:$B$66)*0.15</f>
        <v>10.799999999999999</v>
      </c>
      <c r="Q153" s="6">
        <f>LOOKUP(I153,Sheet6!$J$115:$J$156,Sheet6!$B$115:$B$156)*0.2</f>
        <v>14</v>
      </c>
      <c r="R153" s="6">
        <f>LOOKUP(J153,Sheet6!$D$465:$D$506,Sheet6!$B$465:$B$506)*0.1</f>
        <v>7.2</v>
      </c>
      <c r="S153" s="6">
        <f>LOOKUP(K153,Sheet6!$J$205:$J$246,Sheet6!$B$205:$B$246)*0.1</f>
        <v>9</v>
      </c>
      <c r="T153" s="6">
        <f>LOOKUP(L153,Sheet6!$F$688:$F$749,Sheet6!$B$688:$B$749)*0.2</f>
        <v>16</v>
      </c>
      <c r="U153" s="6">
        <f>LOOKUP(M153,Sheet6!$D$600:$D$626,Sheet6!$B$600:$B$626)*0.1</f>
        <v>4</v>
      </c>
      <c r="V153" s="6">
        <f t="shared" si="13"/>
        <v>76</v>
      </c>
      <c r="W153" s="6" t="str">
        <f t="shared" si="14"/>
        <v>及格</v>
      </c>
    </row>
    <row r="154" spans="1:28" ht="24.75" customHeight="1">
      <c r="A154" s="9">
        <v>22</v>
      </c>
      <c r="B154" s="21" t="s">
        <v>92</v>
      </c>
      <c r="C154" s="11">
        <v>20</v>
      </c>
      <c r="D154" s="39" t="s">
        <v>621</v>
      </c>
      <c r="E154" s="12">
        <v>1</v>
      </c>
      <c r="F154" s="22" t="s">
        <v>108</v>
      </c>
      <c r="G154" s="22" t="s">
        <v>109</v>
      </c>
      <c r="H154" s="22">
        <v>2975</v>
      </c>
      <c r="I154" s="5">
        <v>9.1999999999999993</v>
      </c>
      <c r="J154" s="5">
        <v>180</v>
      </c>
      <c r="K154" s="5">
        <v>19</v>
      </c>
      <c r="L154" s="5" t="s">
        <v>75</v>
      </c>
      <c r="M154" s="5">
        <v>3</v>
      </c>
      <c r="N154" s="13">
        <f t="shared" si="12"/>
        <v>23.287197231833908</v>
      </c>
      <c r="O154" s="6">
        <f>LOOKUP(N154,Sheet6!$J$4:$J$11,Sheet6!$B$4:$B$11)*0.15</f>
        <v>12</v>
      </c>
      <c r="P154" s="14">
        <f>LOOKUP(H154,Sheet6!$J$25:$J$66,Sheet6!$B$25:$B$66)*0.15</f>
        <v>11.4</v>
      </c>
      <c r="Q154" s="6">
        <f>LOOKUP(I154,Sheet6!$J$115:$J$156,Sheet6!$B$115:$B$156)*0.2</f>
        <v>13.200000000000001</v>
      </c>
      <c r="R154" s="6">
        <f>LOOKUP(J154,Sheet6!$D$465:$D$506,Sheet6!$B$465:$B$506)*0.1</f>
        <v>6.4</v>
      </c>
      <c r="S154" s="6">
        <f>LOOKUP(K154,Sheet6!$J$205:$J$246,Sheet6!$B$205:$B$246)*0.1</f>
        <v>9.5</v>
      </c>
      <c r="T154" s="6">
        <f>LOOKUP(L154,Sheet6!$F$688:$F$749,Sheet6!$B$688:$B$749)*0.2</f>
        <v>14.4</v>
      </c>
      <c r="U154" s="6">
        <f>LOOKUP(M154,Sheet6!$D$600:$D$626,Sheet6!$B$600:$B$626)*0.1</f>
        <v>4</v>
      </c>
      <c r="V154" s="6">
        <f t="shared" si="13"/>
        <v>70.900000000000006</v>
      </c>
      <c r="W154" s="6" t="str">
        <f t="shared" si="14"/>
        <v>及格</v>
      </c>
    </row>
    <row r="155" spans="1:28" ht="24.75" customHeight="1">
      <c r="A155" s="9">
        <v>22</v>
      </c>
      <c r="B155" s="21" t="s">
        <v>92</v>
      </c>
      <c r="C155" s="16">
        <v>21</v>
      </c>
      <c r="D155" s="39" t="s">
        <v>622</v>
      </c>
      <c r="E155" s="12">
        <v>1</v>
      </c>
      <c r="F155" s="22">
        <v>170</v>
      </c>
      <c r="G155" s="22">
        <v>60</v>
      </c>
      <c r="H155" s="22">
        <v>4000</v>
      </c>
      <c r="I155" s="5">
        <v>8</v>
      </c>
      <c r="J155" s="5">
        <v>190</v>
      </c>
      <c r="K155" s="5">
        <v>18</v>
      </c>
      <c r="L155" s="5" t="s">
        <v>54</v>
      </c>
      <c r="M155" s="5">
        <v>4</v>
      </c>
      <c r="N155" s="13">
        <f t="shared" si="12"/>
        <v>20.761245674740486</v>
      </c>
      <c r="O155" s="6">
        <f>LOOKUP(N155,Sheet6!$J$4:$J$11,Sheet6!$B$4:$B$11)*0.15</f>
        <v>15</v>
      </c>
      <c r="P155" s="14">
        <f>LOOKUP(H155,Sheet6!$J$25:$J$66,Sheet6!$B$25:$B$66)*0.15</f>
        <v>15</v>
      </c>
      <c r="Q155" s="6">
        <f>LOOKUP(I155,Sheet6!$J$115:$J$156,Sheet6!$B$115:$B$156)*0.2</f>
        <v>15.600000000000001</v>
      </c>
      <c r="R155" s="6">
        <f>LOOKUP(J155,Sheet6!$D$465:$D$506,Sheet6!$B$465:$B$506)*0.1</f>
        <v>7</v>
      </c>
      <c r="S155" s="6">
        <f>LOOKUP(K155,Sheet6!$J$205:$J$246,Sheet6!$B$205:$B$246)*0.1</f>
        <v>9.5</v>
      </c>
      <c r="T155" s="6">
        <f>LOOKUP(L155,Sheet6!$F$688:$F$749,Sheet6!$B$688:$B$749)*0.2</f>
        <v>18</v>
      </c>
      <c r="U155" s="6">
        <f>LOOKUP(M155,Sheet6!$D$600:$D$626,Sheet6!$B$600:$B$626)*0.1</f>
        <v>5</v>
      </c>
      <c r="V155" s="6">
        <f t="shared" si="13"/>
        <v>85.1</v>
      </c>
      <c r="W155" s="6" t="str">
        <f t="shared" si="14"/>
        <v>良好</v>
      </c>
    </row>
    <row r="156" spans="1:28" ht="24.75" customHeight="1">
      <c r="A156" s="9">
        <v>22</v>
      </c>
      <c r="B156" s="21" t="s">
        <v>110</v>
      </c>
      <c r="C156" s="11">
        <v>1</v>
      </c>
      <c r="D156" s="39" t="s">
        <v>623</v>
      </c>
      <c r="E156" s="12">
        <v>1</v>
      </c>
      <c r="F156" s="22" t="s">
        <v>111</v>
      </c>
      <c r="G156" s="22" t="s">
        <v>112</v>
      </c>
      <c r="H156" s="22">
        <v>3608</v>
      </c>
      <c r="I156" s="5">
        <v>7.4</v>
      </c>
      <c r="J156" s="5">
        <v>205</v>
      </c>
      <c r="K156" s="5">
        <v>17</v>
      </c>
      <c r="L156" s="5" t="s">
        <v>113</v>
      </c>
      <c r="M156" s="5">
        <v>10</v>
      </c>
      <c r="N156" s="13">
        <f t="shared" si="12"/>
        <v>16.749102312535676</v>
      </c>
      <c r="O156" s="6">
        <f>LOOKUP(N156,Sheet6!$J$4:$J$11,Sheet6!$B$4:$B$11)*0.15</f>
        <v>15</v>
      </c>
      <c r="P156" s="14">
        <f>LOOKUP(H156,Sheet6!$J$25:$J$66,Sheet6!$B$25:$B$66)*0.15</f>
        <v>12.75</v>
      </c>
      <c r="Q156" s="6">
        <f>LOOKUP(I156,Sheet6!$J$115:$J$156,Sheet6!$B$115:$B$156)*0.2</f>
        <v>20</v>
      </c>
      <c r="R156" s="6">
        <f>LOOKUP(J156,Sheet6!$D$465:$D$506,Sheet6!$B$465:$B$506)*0.1</f>
        <v>7.6000000000000005</v>
      </c>
      <c r="S156" s="6">
        <f>LOOKUP(K156,Sheet6!$J$205:$J$246,Sheet6!$B$205:$B$246)*0.1</f>
        <v>9</v>
      </c>
      <c r="T156" s="6">
        <f>LOOKUP(L156,Sheet6!$F$688:$F$749,Sheet6!$B$688:$B$749)*0.2</f>
        <v>20</v>
      </c>
      <c r="U156" s="6">
        <f>LOOKUP(M156,Sheet6!$D$600:$D$626,Sheet6!$B$600:$B$626)*0.1</f>
        <v>8</v>
      </c>
      <c r="V156" s="6">
        <f t="shared" si="13"/>
        <v>92.35</v>
      </c>
      <c r="W156" s="6" t="str">
        <f t="shared" si="14"/>
        <v>优秀</v>
      </c>
    </row>
    <row r="157" spans="1:28" ht="24.75" customHeight="1">
      <c r="A157" s="9">
        <v>22</v>
      </c>
      <c r="B157" s="21" t="s">
        <v>110</v>
      </c>
      <c r="C157" s="16">
        <v>2</v>
      </c>
      <c r="D157" s="39" t="s">
        <v>624</v>
      </c>
      <c r="E157" s="12">
        <v>1</v>
      </c>
      <c r="F157" s="22" t="s">
        <v>114</v>
      </c>
      <c r="G157" s="22" t="s">
        <v>115</v>
      </c>
      <c r="H157" s="22">
        <v>4078</v>
      </c>
      <c r="I157" s="5">
        <v>7</v>
      </c>
      <c r="J157" s="5">
        <v>215</v>
      </c>
      <c r="K157" s="5">
        <v>15</v>
      </c>
      <c r="L157" s="5" t="s">
        <v>56</v>
      </c>
      <c r="M157" s="5">
        <v>3</v>
      </c>
      <c r="N157" s="13">
        <f t="shared" si="12"/>
        <v>20.682281399311705</v>
      </c>
      <c r="O157" s="6">
        <f>LOOKUP(N157,Sheet6!$J$4:$J$11,Sheet6!$B$4:$B$11)*0.15</f>
        <v>15</v>
      </c>
      <c r="P157" s="14">
        <f>LOOKUP(H157,Sheet6!$J$25:$J$66,Sheet6!$B$25:$B$66)*0.15</f>
        <v>15</v>
      </c>
      <c r="Q157" s="6">
        <f>LOOKUP(I157,Sheet6!$J$115:$J$156,Sheet6!$B$115:$B$156)*0.2</f>
        <v>20</v>
      </c>
      <c r="R157" s="6">
        <f>LOOKUP(J157,Sheet6!$D$465:$D$506,Sheet6!$B$465:$B$506)*0.1</f>
        <v>8</v>
      </c>
      <c r="S157" s="6">
        <f>LOOKUP(K157,Sheet6!$J$205:$J$246,Sheet6!$B$205:$B$246)*0.1</f>
        <v>8.5</v>
      </c>
      <c r="T157" s="6">
        <f>LOOKUP(L157,Sheet6!$F$688:$F$749,Sheet6!$B$688:$B$749)*0.2</f>
        <v>20</v>
      </c>
      <c r="U157" s="6">
        <f>LOOKUP(M157,Sheet6!$D$600:$D$626,Sheet6!$B$600:$B$626)*0.1</f>
        <v>4</v>
      </c>
      <c r="V157" s="6">
        <f t="shared" si="13"/>
        <v>90.5</v>
      </c>
      <c r="W157" s="6" t="str">
        <f t="shared" si="14"/>
        <v>优秀</v>
      </c>
      <c r="Z157" s="3">
        <v>3</v>
      </c>
      <c r="AA157" s="3" t="s">
        <v>467</v>
      </c>
      <c r="AB157" s="3">
        <v>0.125</v>
      </c>
    </row>
    <row r="158" spans="1:28" ht="24.75" customHeight="1">
      <c r="A158" s="9">
        <v>22</v>
      </c>
      <c r="B158" s="21" t="s">
        <v>110</v>
      </c>
      <c r="C158" s="11">
        <v>3</v>
      </c>
      <c r="D158" s="39" t="s">
        <v>625</v>
      </c>
      <c r="E158" s="12">
        <v>1</v>
      </c>
      <c r="F158" s="22" t="s">
        <v>116</v>
      </c>
      <c r="G158" s="22" t="s">
        <v>117</v>
      </c>
      <c r="H158" s="22">
        <v>3269</v>
      </c>
      <c r="I158" s="5">
        <v>9.1999999999999993</v>
      </c>
      <c r="J158" s="5">
        <v>180</v>
      </c>
      <c r="K158" s="5">
        <v>20</v>
      </c>
      <c r="L158" s="5" t="s">
        <v>70</v>
      </c>
      <c r="M158" s="5">
        <v>3</v>
      </c>
      <c r="N158" s="13">
        <f t="shared" si="12"/>
        <v>23.922877095013511</v>
      </c>
      <c r="O158" s="6">
        <f>LOOKUP(N158,Sheet6!$J$4:$J$11,Sheet6!$B$4:$B$11)*0.15</f>
        <v>12</v>
      </c>
      <c r="P158" s="14">
        <f>LOOKUP(H158,Sheet6!$J$25:$J$66,Sheet6!$B$25:$B$66)*0.15</f>
        <v>12</v>
      </c>
      <c r="Q158" s="6">
        <f>LOOKUP(I158,Sheet6!$J$115:$J$156,Sheet6!$B$115:$B$156)*0.2</f>
        <v>13.200000000000001</v>
      </c>
      <c r="R158" s="6">
        <f>LOOKUP(J158,Sheet6!$D$465:$D$506,Sheet6!$B$465:$B$506)*0.1</f>
        <v>6.4</v>
      </c>
      <c r="S158" s="6">
        <f>LOOKUP(K158,Sheet6!$J$205:$J$246,Sheet6!$B$205:$B$246)*0.1</f>
        <v>10</v>
      </c>
      <c r="T158" s="6">
        <f>LOOKUP(L158,Sheet6!$F$688:$F$749,Sheet6!$B$688:$B$749)*0.2</f>
        <v>14.8</v>
      </c>
      <c r="U158" s="6">
        <f>LOOKUP(M158,Sheet6!$D$600:$D$626,Sheet6!$B$600:$B$626)*0.1</f>
        <v>4</v>
      </c>
      <c r="V158" s="6">
        <f t="shared" si="13"/>
        <v>72.400000000000006</v>
      </c>
      <c r="W158" s="6" t="str">
        <f t="shared" si="14"/>
        <v>及格</v>
      </c>
    </row>
    <row r="159" spans="1:28" ht="24.75" customHeight="1">
      <c r="A159" s="9">
        <v>22</v>
      </c>
      <c r="B159" s="21" t="s">
        <v>110</v>
      </c>
      <c r="C159" s="11">
        <v>4</v>
      </c>
      <c r="D159" s="39" t="s">
        <v>626</v>
      </c>
      <c r="E159" s="12">
        <v>1</v>
      </c>
      <c r="F159" s="22" t="s">
        <v>118</v>
      </c>
      <c r="G159" s="22" t="s">
        <v>119</v>
      </c>
      <c r="H159" s="22">
        <v>2827</v>
      </c>
      <c r="I159" s="5">
        <v>8.8000000000000007</v>
      </c>
      <c r="J159" s="5">
        <v>180</v>
      </c>
      <c r="K159" s="5">
        <v>12</v>
      </c>
      <c r="L159" s="5" t="s">
        <v>120</v>
      </c>
      <c r="M159" s="5">
        <v>3</v>
      </c>
      <c r="N159" s="13">
        <f t="shared" si="12"/>
        <v>13.955555555555554</v>
      </c>
      <c r="O159" s="6">
        <f>LOOKUP(N159,Sheet6!$J$4:$J$11,Sheet6!$B$4:$B$11)*0.15</f>
        <v>12</v>
      </c>
      <c r="P159" s="14">
        <f>LOOKUP(H159,Sheet6!$J$25:$J$66,Sheet6!$B$25:$B$66)*0.15</f>
        <v>10.799999999999999</v>
      </c>
      <c r="Q159" s="6">
        <f>LOOKUP(I159,Sheet6!$J$115:$J$156,Sheet6!$B$115:$B$156)*0.2</f>
        <v>14</v>
      </c>
      <c r="R159" s="6">
        <f>LOOKUP(J159,Sheet6!$D$465:$D$506,Sheet6!$B$465:$B$506)*0.1</f>
        <v>6.4</v>
      </c>
      <c r="S159" s="6">
        <f>LOOKUP(K159,Sheet6!$J$205:$J$246,Sheet6!$B$205:$B$246)*0.1</f>
        <v>8</v>
      </c>
      <c r="T159" s="6">
        <f>LOOKUP(L159,Sheet6!$F$688:$F$749,Sheet6!$B$688:$B$749)*0.2</f>
        <v>13.600000000000001</v>
      </c>
      <c r="U159" s="6">
        <f>LOOKUP(M159,Sheet6!$D$600:$D$626,Sheet6!$B$600:$B$626)*0.1</f>
        <v>4</v>
      </c>
      <c r="V159" s="6">
        <f t="shared" si="13"/>
        <v>68.8</v>
      </c>
      <c r="W159" s="6" t="str">
        <f t="shared" si="14"/>
        <v>及格</v>
      </c>
    </row>
    <row r="160" spans="1:28" ht="24.75" customHeight="1">
      <c r="A160" s="9">
        <v>22</v>
      </c>
      <c r="B160" s="21" t="s">
        <v>110</v>
      </c>
      <c r="C160" s="16">
        <v>5</v>
      </c>
      <c r="D160" s="39" t="s">
        <v>627</v>
      </c>
      <c r="E160" s="12">
        <v>1</v>
      </c>
      <c r="F160" s="22" t="s">
        <v>121</v>
      </c>
      <c r="G160" s="22" t="s">
        <v>122</v>
      </c>
      <c r="H160" s="22">
        <v>4363</v>
      </c>
      <c r="I160" s="5">
        <v>8.6</v>
      </c>
      <c r="J160" s="5">
        <v>190</v>
      </c>
      <c r="K160" s="5">
        <v>17</v>
      </c>
      <c r="L160" s="5" t="s">
        <v>68</v>
      </c>
      <c r="M160" s="5">
        <v>3</v>
      </c>
      <c r="N160" s="13">
        <f t="shared" si="12"/>
        <v>24.554563797407749</v>
      </c>
      <c r="O160" s="6">
        <f>LOOKUP(N160,Sheet6!$J$4:$J$11,Sheet6!$B$4:$B$11)*0.15</f>
        <v>12</v>
      </c>
      <c r="P160" s="14">
        <f>LOOKUP(H160,Sheet6!$J$25:$J$66,Sheet6!$B$25:$B$66)*0.15</f>
        <v>15</v>
      </c>
      <c r="Q160" s="6">
        <f>LOOKUP(I160,Sheet6!$J$115:$J$156,Sheet6!$B$115:$B$156)*0.2</f>
        <v>14.4</v>
      </c>
      <c r="R160" s="6">
        <f>LOOKUP(J160,Sheet6!$D$465:$D$506,Sheet6!$B$465:$B$506)*0.1</f>
        <v>7</v>
      </c>
      <c r="S160" s="6">
        <f>LOOKUP(K160,Sheet6!$J$205:$J$246,Sheet6!$B$205:$B$246)*0.1</f>
        <v>9</v>
      </c>
      <c r="T160" s="6">
        <f>LOOKUP(L160,Sheet6!$F$688:$F$749,Sheet6!$B$688:$B$749)*0.2</f>
        <v>17</v>
      </c>
      <c r="U160" s="6">
        <f>LOOKUP(M160,Sheet6!$D$600:$D$626,Sheet6!$B$600:$B$626)*0.1</f>
        <v>4</v>
      </c>
      <c r="V160" s="6">
        <f t="shared" si="13"/>
        <v>78.400000000000006</v>
      </c>
      <c r="W160" s="6" t="str">
        <f t="shared" si="14"/>
        <v>及格</v>
      </c>
    </row>
    <row r="161" spans="1:23" ht="24.75" customHeight="1">
      <c r="A161" s="9">
        <v>22</v>
      </c>
      <c r="B161" s="21" t="s">
        <v>110</v>
      </c>
      <c r="C161" s="11">
        <v>6</v>
      </c>
      <c r="D161" s="39" t="s">
        <v>628</v>
      </c>
      <c r="E161" s="12">
        <v>1</v>
      </c>
      <c r="F161" s="22" t="s">
        <v>123</v>
      </c>
      <c r="G161" s="22" t="s">
        <v>124</v>
      </c>
      <c r="H161" s="22">
        <v>4468</v>
      </c>
      <c r="I161" s="5">
        <v>7</v>
      </c>
      <c r="J161" s="5">
        <v>230</v>
      </c>
      <c r="K161" s="5">
        <v>13</v>
      </c>
      <c r="L161" s="5" t="s">
        <v>46</v>
      </c>
      <c r="M161" s="5">
        <v>3</v>
      </c>
      <c r="N161" s="13">
        <f t="shared" si="12"/>
        <v>19.769952627646738</v>
      </c>
      <c r="O161" s="6">
        <f>LOOKUP(N161,Sheet6!$J$4:$J$11,Sheet6!$B$4:$B$11)*0.15</f>
        <v>15</v>
      </c>
      <c r="P161" s="14">
        <f>LOOKUP(H161,Sheet6!$J$25:$J$66,Sheet6!$B$25:$B$66)*0.15</f>
        <v>15</v>
      </c>
      <c r="Q161" s="6">
        <f>LOOKUP(I161,Sheet6!$J$115:$J$156,Sheet6!$B$115:$B$156)*0.2</f>
        <v>20</v>
      </c>
      <c r="R161" s="6">
        <f>LOOKUP(J161,Sheet6!$D$465:$D$506,Sheet6!$B$465:$B$506)*0.1</f>
        <v>9</v>
      </c>
      <c r="S161" s="6">
        <f>LOOKUP(K161,Sheet6!$J$205:$J$246,Sheet6!$B$205:$B$246)*0.1</f>
        <v>8</v>
      </c>
      <c r="T161" s="6">
        <f>LOOKUP(L161,Sheet6!$F$688:$F$749,Sheet6!$B$688:$B$749)*0.2</f>
        <v>24</v>
      </c>
      <c r="U161" s="6">
        <f>LOOKUP(M161,Sheet6!$D$600:$D$626,Sheet6!$B$600:$B$626)*0.1</f>
        <v>4</v>
      </c>
      <c r="V161" s="6">
        <f t="shared" si="13"/>
        <v>95</v>
      </c>
      <c r="W161" s="6" t="str">
        <f t="shared" si="14"/>
        <v>优秀</v>
      </c>
    </row>
    <row r="162" spans="1:23" ht="24.75" customHeight="1">
      <c r="A162" s="9">
        <v>22</v>
      </c>
      <c r="B162" s="21" t="s">
        <v>110</v>
      </c>
      <c r="C162" s="11">
        <v>7</v>
      </c>
      <c r="D162" s="39" t="s">
        <v>629</v>
      </c>
      <c r="E162" s="12">
        <v>1</v>
      </c>
      <c r="F162" s="22" t="s">
        <v>125</v>
      </c>
      <c r="G162" s="22" t="s">
        <v>126</v>
      </c>
      <c r="H162" s="22">
        <v>3178</v>
      </c>
      <c r="I162" s="5">
        <v>8.3000000000000007</v>
      </c>
      <c r="J162" s="5">
        <v>210</v>
      </c>
      <c r="K162" s="5">
        <v>15</v>
      </c>
      <c r="L162" s="5" t="s">
        <v>72</v>
      </c>
      <c r="M162" s="5">
        <v>10</v>
      </c>
      <c r="N162" s="13">
        <f t="shared" ref="N162:N177" si="15">G162/(F162*F162)*10000</f>
        <v>17.978042865308577</v>
      </c>
      <c r="O162" s="6">
        <f>LOOKUP(N162,Sheet6!$J$4:$J$11,Sheet6!$B$4:$B$11)*0.15</f>
        <v>15</v>
      </c>
      <c r="P162" s="14">
        <f>LOOKUP(H162,Sheet6!$J$25:$J$66,Sheet6!$B$25:$B$66)*0.15</f>
        <v>11.7</v>
      </c>
      <c r="Q162" s="6">
        <f>LOOKUP(I162,Sheet6!$J$115:$J$156,Sheet6!$B$115:$B$156)*0.2</f>
        <v>15.200000000000001</v>
      </c>
      <c r="R162" s="6">
        <f>LOOKUP(J162,Sheet6!$D$465:$D$506,Sheet6!$B$465:$B$506)*0.1</f>
        <v>8</v>
      </c>
      <c r="S162" s="6">
        <f>LOOKUP(K162,Sheet6!$J$205:$J$246,Sheet6!$B$205:$B$246)*0.1</f>
        <v>8.5</v>
      </c>
      <c r="T162" s="6">
        <f>LOOKUP(L162,Sheet6!$F$688:$F$749,Sheet6!$B$688:$B$749)*0.2</f>
        <v>16</v>
      </c>
      <c r="U162" s="6">
        <f>LOOKUP(M162,Sheet6!$D$600:$D$626,Sheet6!$B$600:$B$626)*0.1</f>
        <v>8</v>
      </c>
      <c r="V162" s="6">
        <f t="shared" ref="V162:V177" si="16">O162+P162+Q162+R162+S162+T162+U162</f>
        <v>82.4</v>
      </c>
      <c r="W162" s="6" t="str">
        <f t="shared" ref="W162:W177" si="17">IF(V162&lt;60,"不及格",IF(V162&lt;80,"及格",IF(V162&lt;90,"良好",IF(V162&lt;121,"优秀"))))</f>
        <v>良好</v>
      </c>
    </row>
    <row r="163" spans="1:23" ht="24.75" customHeight="1">
      <c r="A163" s="9">
        <v>22</v>
      </c>
      <c r="B163" s="21" t="s">
        <v>110</v>
      </c>
      <c r="C163" s="16">
        <v>8</v>
      </c>
      <c r="D163" s="39" t="s">
        <v>630</v>
      </c>
      <c r="E163" s="12">
        <v>1</v>
      </c>
      <c r="F163" s="22" t="s">
        <v>127</v>
      </c>
      <c r="G163" s="22" t="s">
        <v>128</v>
      </c>
      <c r="H163" s="22">
        <v>3979</v>
      </c>
      <c r="I163" s="5">
        <v>7.7</v>
      </c>
      <c r="J163" s="5">
        <v>240</v>
      </c>
      <c r="K163" s="5">
        <v>12</v>
      </c>
      <c r="L163" s="5" t="s">
        <v>53</v>
      </c>
      <c r="M163" s="5">
        <v>10</v>
      </c>
      <c r="N163" s="13">
        <f t="shared" si="15"/>
        <v>22.002456509556183</v>
      </c>
      <c r="O163" s="6">
        <f>LOOKUP(N163,Sheet6!$J$4:$J$11,Sheet6!$B$4:$B$11)*0.15</f>
        <v>15</v>
      </c>
      <c r="P163" s="14">
        <f>LOOKUP(H163,Sheet6!$J$25:$J$66,Sheet6!$B$25:$B$66)*0.15</f>
        <v>15</v>
      </c>
      <c r="Q163" s="6">
        <f>LOOKUP(I163,Sheet6!$J$115:$J$156,Sheet6!$B$115:$B$156)*0.2</f>
        <v>18</v>
      </c>
      <c r="R163" s="6">
        <f>LOOKUP(J163,Sheet6!$D$465:$D$506,Sheet6!$B$465:$B$506)*0.1</f>
        <v>10</v>
      </c>
      <c r="S163" s="6">
        <f>LOOKUP(K163,Sheet6!$J$205:$J$246,Sheet6!$B$205:$B$246)*0.1</f>
        <v>8</v>
      </c>
      <c r="T163" s="6">
        <f>LOOKUP(L163,Sheet6!$F$688:$F$749,Sheet6!$B$688:$B$749)*0.2</f>
        <v>17</v>
      </c>
      <c r="U163" s="6">
        <f>LOOKUP(M163,Sheet6!$D$600:$D$626,Sheet6!$B$600:$B$626)*0.1</f>
        <v>8</v>
      </c>
      <c r="V163" s="6">
        <f t="shared" si="16"/>
        <v>91</v>
      </c>
      <c r="W163" s="6" t="str">
        <f t="shared" si="17"/>
        <v>优秀</v>
      </c>
    </row>
    <row r="164" spans="1:23" ht="24.75" customHeight="1">
      <c r="A164" s="9">
        <v>22</v>
      </c>
      <c r="B164" s="21" t="s">
        <v>110</v>
      </c>
      <c r="C164" s="11">
        <v>9</v>
      </c>
      <c r="D164" s="39" t="s">
        <v>631</v>
      </c>
      <c r="E164" s="12">
        <v>1</v>
      </c>
      <c r="F164" s="22" t="s">
        <v>129</v>
      </c>
      <c r="G164" s="22" t="s">
        <v>130</v>
      </c>
      <c r="H164" s="22">
        <v>3491</v>
      </c>
      <c r="I164" s="5">
        <v>7.4</v>
      </c>
      <c r="J164" s="5">
        <v>195</v>
      </c>
      <c r="K164" s="5">
        <v>16</v>
      </c>
      <c r="L164" s="5" t="s">
        <v>85</v>
      </c>
      <c r="M164" s="5">
        <v>10</v>
      </c>
      <c r="N164" s="13">
        <f t="shared" si="15"/>
        <v>20.832586324357273</v>
      </c>
      <c r="O164" s="6">
        <f>LOOKUP(N164,Sheet6!$J$4:$J$11,Sheet6!$B$4:$B$11)*0.15</f>
        <v>15</v>
      </c>
      <c r="P164" s="14">
        <f>LOOKUP(H164,Sheet6!$J$25:$J$66,Sheet6!$B$25:$B$66)*0.15</f>
        <v>12.75</v>
      </c>
      <c r="Q164" s="6">
        <f>LOOKUP(I164,Sheet6!$J$115:$J$156,Sheet6!$B$115:$B$156)*0.2</f>
        <v>20</v>
      </c>
      <c r="R164" s="6">
        <f>LOOKUP(J164,Sheet6!$D$465:$D$506,Sheet6!$B$465:$B$506)*0.1</f>
        <v>7.2</v>
      </c>
      <c r="S164" s="6">
        <f>LOOKUP(K164,Sheet6!$J$205:$J$246,Sheet6!$B$205:$B$246)*0.1</f>
        <v>9</v>
      </c>
      <c r="T164" s="6">
        <f>LOOKUP(L164,Sheet6!$F$688:$F$749,Sheet6!$B$688:$B$749)*0.2</f>
        <v>15.200000000000001</v>
      </c>
      <c r="U164" s="6">
        <f>LOOKUP(M164,Sheet6!$D$600:$D$626,Sheet6!$B$600:$B$626)*0.1</f>
        <v>8</v>
      </c>
      <c r="V164" s="6">
        <f t="shared" si="16"/>
        <v>87.15</v>
      </c>
      <c r="W164" s="6" t="str">
        <f t="shared" si="17"/>
        <v>良好</v>
      </c>
    </row>
    <row r="165" spans="1:23" ht="24.75" customHeight="1">
      <c r="A165" s="9">
        <v>22</v>
      </c>
      <c r="B165" s="21" t="s">
        <v>110</v>
      </c>
      <c r="C165" s="11">
        <v>10</v>
      </c>
      <c r="D165" s="39" t="s">
        <v>632</v>
      </c>
      <c r="E165" s="12">
        <v>1</v>
      </c>
      <c r="F165" s="22" t="s">
        <v>102</v>
      </c>
      <c r="G165" s="22" t="s">
        <v>131</v>
      </c>
      <c r="H165" s="22">
        <v>3230</v>
      </c>
      <c r="I165" s="5">
        <v>8.5</v>
      </c>
      <c r="J165" s="5">
        <v>175</v>
      </c>
      <c r="K165" s="5">
        <v>18</v>
      </c>
      <c r="L165" s="5" t="s">
        <v>26</v>
      </c>
      <c r="M165" s="5">
        <v>10</v>
      </c>
      <c r="N165" s="13">
        <f t="shared" si="15"/>
        <v>15.055495255768356</v>
      </c>
      <c r="O165" s="6">
        <f>LOOKUP(N165,Sheet6!$J$4:$J$11,Sheet6!$B$4:$B$11)*0.15</f>
        <v>12</v>
      </c>
      <c r="P165" s="14">
        <f>LOOKUP(H165,Sheet6!$J$25:$J$66,Sheet6!$B$25:$B$66)*0.15</f>
        <v>12</v>
      </c>
      <c r="Q165" s="6">
        <f>LOOKUP(I165,Sheet6!$J$115:$J$156,Sheet6!$B$115:$B$156)*0.2</f>
        <v>14.8</v>
      </c>
      <c r="R165" s="6">
        <f>LOOKUP(J165,Sheet6!$D$465:$D$506,Sheet6!$B$465:$B$506)*0.1</f>
        <v>6.2</v>
      </c>
      <c r="S165" s="6">
        <f>LOOKUP(K165,Sheet6!$J$205:$J$246,Sheet6!$B$205:$B$246)*0.1</f>
        <v>9.5</v>
      </c>
      <c r="T165" s="6">
        <f>LOOKUP(L165,Sheet6!$F$688:$F$749,Sheet6!$B$688:$B$749)*0.2</f>
        <v>15.600000000000001</v>
      </c>
      <c r="U165" s="6">
        <f>LOOKUP(M165,Sheet6!$D$600:$D$626,Sheet6!$B$600:$B$626)*0.1</f>
        <v>8</v>
      </c>
      <c r="V165" s="6">
        <f t="shared" si="16"/>
        <v>78.099999999999994</v>
      </c>
      <c r="W165" s="6" t="str">
        <f t="shared" si="17"/>
        <v>及格</v>
      </c>
    </row>
    <row r="166" spans="1:23" ht="24.75" customHeight="1">
      <c r="A166" s="9">
        <v>22</v>
      </c>
      <c r="B166" s="21" t="s">
        <v>110</v>
      </c>
      <c r="C166" s="16">
        <v>11</v>
      </c>
      <c r="D166" s="39" t="s">
        <v>633</v>
      </c>
      <c r="E166" s="12">
        <v>1</v>
      </c>
      <c r="F166" s="22" t="s">
        <v>132</v>
      </c>
      <c r="G166" s="22" t="s">
        <v>133</v>
      </c>
      <c r="H166" s="22">
        <v>4406</v>
      </c>
      <c r="I166" s="5">
        <v>6.9</v>
      </c>
      <c r="J166" s="5">
        <v>240</v>
      </c>
      <c r="K166" s="5">
        <v>17</v>
      </c>
      <c r="L166" s="5" t="s">
        <v>55</v>
      </c>
      <c r="M166" s="5">
        <v>10</v>
      </c>
      <c r="N166" s="13">
        <f t="shared" si="15"/>
        <v>17.076829774330491</v>
      </c>
      <c r="O166" s="6">
        <f>LOOKUP(N166,Sheet6!$J$4:$J$11,Sheet6!$B$4:$B$11)*0.15</f>
        <v>15</v>
      </c>
      <c r="P166" s="14">
        <f>LOOKUP(H166,Sheet6!$J$25:$J$66,Sheet6!$B$25:$B$66)*0.15</f>
        <v>15</v>
      </c>
      <c r="Q166" s="6">
        <f>LOOKUP(I166,Sheet6!$J$115:$J$156,Sheet6!$B$115:$B$156)*0.2</f>
        <v>20</v>
      </c>
      <c r="R166" s="6">
        <f>LOOKUP(J166,Sheet6!$D$465:$D$506,Sheet6!$B$465:$B$506)*0.1</f>
        <v>10</v>
      </c>
      <c r="S166" s="6">
        <f>LOOKUP(K166,Sheet6!$J$205:$J$246,Sheet6!$B$205:$B$246)*0.1</f>
        <v>9</v>
      </c>
      <c r="T166" s="6">
        <f>LOOKUP(L166,Sheet6!$F$688:$F$749,Sheet6!$B$688:$B$749)*0.2</f>
        <v>23</v>
      </c>
      <c r="U166" s="6">
        <f>LOOKUP(M166,Sheet6!$D$600:$D$626,Sheet6!$B$600:$B$626)*0.1</f>
        <v>8</v>
      </c>
      <c r="V166" s="6">
        <f t="shared" si="16"/>
        <v>100</v>
      </c>
      <c r="W166" s="6" t="str">
        <f t="shared" si="17"/>
        <v>优秀</v>
      </c>
    </row>
    <row r="167" spans="1:23" ht="24.75" customHeight="1">
      <c r="A167" s="9">
        <v>22</v>
      </c>
      <c r="B167" s="21" t="s">
        <v>110</v>
      </c>
      <c r="C167" s="11">
        <v>12</v>
      </c>
      <c r="D167" s="39" t="s">
        <v>634</v>
      </c>
      <c r="E167" s="12">
        <v>1</v>
      </c>
      <c r="F167" s="22" t="s">
        <v>134</v>
      </c>
      <c r="G167" s="22" t="s">
        <v>135</v>
      </c>
      <c r="H167" s="22">
        <v>2814</v>
      </c>
      <c r="I167" s="5">
        <v>7.3</v>
      </c>
      <c r="J167" s="5">
        <v>235</v>
      </c>
      <c r="K167" s="5">
        <v>21</v>
      </c>
      <c r="L167" s="5" t="s">
        <v>101</v>
      </c>
      <c r="M167" s="5">
        <v>10</v>
      </c>
      <c r="N167" s="13">
        <f t="shared" si="15"/>
        <v>16.65249433106576</v>
      </c>
      <c r="O167" s="6">
        <f>LOOKUP(N167,Sheet6!$J$4:$J$11,Sheet6!$B$4:$B$11)*0.15</f>
        <v>15</v>
      </c>
      <c r="P167" s="14">
        <f>LOOKUP(H167,Sheet6!$J$25:$J$66,Sheet6!$B$25:$B$66)*0.15</f>
        <v>10.799999999999999</v>
      </c>
      <c r="Q167" s="6">
        <f>LOOKUP(I167,Sheet6!$J$115:$J$156,Sheet6!$B$115:$B$156)*0.2</f>
        <v>20</v>
      </c>
      <c r="R167" s="6">
        <f>LOOKUP(J167,Sheet6!$D$465:$D$506,Sheet6!$B$465:$B$506)*0.1</f>
        <v>9.5</v>
      </c>
      <c r="S167" s="6">
        <f>LOOKUP(K167,Sheet6!$J$205:$J$246,Sheet6!$B$205:$B$246)*0.1</f>
        <v>10</v>
      </c>
      <c r="T167" s="6">
        <f>LOOKUP(L167,Sheet6!$F$688:$F$749,Sheet6!$B$688:$B$749)*0.2</f>
        <v>25</v>
      </c>
      <c r="U167" s="6">
        <f>LOOKUP(M167,Sheet6!$D$600:$D$626,Sheet6!$B$600:$B$626)*0.1</f>
        <v>8</v>
      </c>
      <c r="V167" s="6">
        <f t="shared" si="16"/>
        <v>98.3</v>
      </c>
      <c r="W167" s="6" t="str">
        <f t="shared" si="17"/>
        <v>优秀</v>
      </c>
    </row>
    <row r="168" spans="1:23" ht="24.75" customHeight="1">
      <c r="A168" s="9">
        <v>22</v>
      </c>
      <c r="B168" s="21" t="s">
        <v>110</v>
      </c>
      <c r="C168" s="11">
        <v>13</v>
      </c>
      <c r="D168" s="39" t="s">
        <v>635</v>
      </c>
      <c r="E168" s="12">
        <v>1</v>
      </c>
      <c r="F168" s="22" t="s">
        <v>136</v>
      </c>
      <c r="G168" s="22" t="s">
        <v>126</v>
      </c>
      <c r="H168" s="22">
        <v>3501</v>
      </c>
      <c r="I168" s="5">
        <v>8.1999999999999993</v>
      </c>
      <c r="J168" s="5">
        <v>200</v>
      </c>
      <c r="K168" s="5">
        <v>13</v>
      </c>
      <c r="L168" s="5" t="s">
        <v>137</v>
      </c>
      <c r="M168" s="5">
        <v>10</v>
      </c>
      <c r="N168" s="13">
        <f t="shared" si="15"/>
        <v>18.441403926234386</v>
      </c>
      <c r="O168" s="6">
        <f>LOOKUP(N168,Sheet6!$J$4:$J$11,Sheet6!$B$4:$B$11)*0.15</f>
        <v>15</v>
      </c>
      <c r="P168" s="14">
        <f>LOOKUP(H168,Sheet6!$J$25:$J$66,Sheet6!$B$25:$B$66)*0.15</f>
        <v>12.75</v>
      </c>
      <c r="Q168" s="6">
        <f>LOOKUP(I168,Sheet6!$J$115:$J$156,Sheet6!$B$115:$B$156)*0.2</f>
        <v>15.200000000000001</v>
      </c>
      <c r="R168" s="6">
        <f>LOOKUP(J168,Sheet6!$D$465:$D$506,Sheet6!$B$465:$B$506)*0.1</f>
        <v>7.4</v>
      </c>
      <c r="S168" s="6">
        <f>LOOKUP(K168,Sheet6!$J$205:$J$246,Sheet6!$B$205:$B$246)*0.1</f>
        <v>8</v>
      </c>
      <c r="T168" s="6">
        <f>LOOKUP(L168,Sheet6!$F$688:$F$749,Sheet6!$B$688:$B$749)*0.2</f>
        <v>16</v>
      </c>
      <c r="U168" s="6">
        <f>LOOKUP(M168,Sheet6!$D$600:$D$626,Sheet6!$B$600:$B$626)*0.1</f>
        <v>8</v>
      </c>
      <c r="V168" s="6">
        <f t="shared" si="16"/>
        <v>82.35</v>
      </c>
      <c r="W168" s="6" t="str">
        <f t="shared" si="17"/>
        <v>良好</v>
      </c>
    </row>
    <row r="169" spans="1:23" ht="24.75" customHeight="1">
      <c r="A169" s="9">
        <v>22</v>
      </c>
      <c r="B169" s="21" t="s">
        <v>110</v>
      </c>
      <c r="C169" s="16">
        <v>14</v>
      </c>
      <c r="D169" s="39" t="s">
        <v>636</v>
      </c>
      <c r="E169" s="12">
        <v>1</v>
      </c>
      <c r="F169" s="22" t="s">
        <v>138</v>
      </c>
      <c r="G169" s="22" t="s">
        <v>139</v>
      </c>
      <c r="H169" s="22">
        <v>3961</v>
      </c>
      <c r="I169" s="5">
        <v>7.6</v>
      </c>
      <c r="J169" s="5">
        <v>205</v>
      </c>
      <c r="K169" s="5">
        <v>19</v>
      </c>
      <c r="L169" s="5" t="s">
        <v>90</v>
      </c>
      <c r="M169" s="5">
        <v>10</v>
      </c>
      <c r="N169" s="13">
        <f t="shared" si="15"/>
        <v>19.402088163088614</v>
      </c>
      <c r="O169" s="6">
        <f>LOOKUP(N169,Sheet6!$J$4:$J$11,Sheet6!$B$4:$B$11)*0.15</f>
        <v>15</v>
      </c>
      <c r="P169" s="14">
        <f>LOOKUP(H169,Sheet6!$J$25:$J$66,Sheet6!$B$25:$B$66)*0.15</f>
        <v>15</v>
      </c>
      <c r="Q169" s="6">
        <f>LOOKUP(I169,Sheet6!$J$115:$J$156,Sheet6!$B$115:$B$156)*0.2</f>
        <v>19</v>
      </c>
      <c r="R169" s="6">
        <f>LOOKUP(J169,Sheet6!$D$465:$D$506,Sheet6!$B$465:$B$506)*0.1</f>
        <v>7.6000000000000005</v>
      </c>
      <c r="S169" s="6">
        <f>LOOKUP(K169,Sheet6!$J$205:$J$246,Sheet6!$B$205:$B$246)*0.1</f>
        <v>9.5</v>
      </c>
      <c r="T169" s="6">
        <f>LOOKUP(L169,Sheet6!$F$688:$F$749,Sheet6!$B$688:$B$749)*0.2</f>
        <v>25</v>
      </c>
      <c r="U169" s="6">
        <f>LOOKUP(M169,Sheet6!$D$600:$D$626,Sheet6!$B$600:$B$626)*0.1</f>
        <v>8</v>
      </c>
      <c r="V169" s="6">
        <f t="shared" si="16"/>
        <v>99.1</v>
      </c>
      <c r="W169" s="6" t="str">
        <f t="shared" si="17"/>
        <v>优秀</v>
      </c>
    </row>
    <row r="170" spans="1:23" ht="24.75" customHeight="1">
      <c r="A170" s="9">
        <v>22</v>
      </c>
      <c r="B170" s="21" t="s">
        <v>110</v>
      </c>
      <c r="C170" s="11">
        <v>15</v>
      </c>
      <c r="D170" s="39" t="s">
        <v>637</v>
      </c>
      <c r="E170" s="12">
        <v>1</v>
      </c>
      <c r="F170" s="22" t="s">
        <v>140</v>
      </c>
      <c r="G170" s="22" t="s">
        <v>141</v>
      </c>
      <c r="H170" s="22">
        <v>3369</v>
      </c>
      <c r="I170" s="5">
        <v>8.4</v>
      </c>
      <c r="J170" s="5">
        <v>190</v>
      </c>
      <c r="K170" s="5">
        <v>18</v>
      </c>
      <c r="L170" s="5" t="s">
        <v>26</v>
      </c>
      <c r="M170" s="5">
        <v>5</v>
      </c>
      <c r="N170" s="13">
        <f t="shared" si="15"/>
        <v>15.508468399169368</v>
      </c>
      <c r="O170" s="6">
        <f>LOOKUP(N170,Sheet6!$J$4:$J$11,Sheet6!$B$4:$B$11)*0.15</f>
        <v>12</v>
      </c>
      <c r="P170" s="14">
        <f>LOOKUP(H170,Sheet6!$J$25:$J$66,Sheet6!$B$25:$B$66)*0.15</f>
        <v>12</v>
      </c>
      <c r="Q170" s="6">
        <f>LOOKUP(I170,Sheet6!$J$115:$J$156,Sheet6!$B$115:$B$156)*0.2</f>
        <v>14.8</v>
      </c>
      <c r="R170" s="6">
        <f>LOOKUP(J170,Sheet6!$D$465:$D$506,Sheet6!$B$465:$B$506)*0.1</f>
        <v>7</v>
      </c>
      <c r="S170" s="6">
        <f>LOOKUP(K170,Sheet6!$J$205:$J$246,Sheet6!$B$205:$B$246)*0.1</f>
        <v>9.5</v>
      </c>
      <c r="T170" s="6">
        <f>LOOKUP(L170,Sheet6!$F$688:$F$749,Sheet6!$B$688:$B$749)*0.2</f>
        <v>15.600000000000001</v>
      </c>
      <c r="U170" s="6">
        <f>LOOKUP(M170,Sheet6!$D$600:$D$626,Sheet6!$B$600:$B$626)*0.1</f>
        <v>6</v>
      </c>
      <c r="V170" s="6">
        <f t="shared" si="16"/>
        <v>76.900000000000006</v>
      </c>
      <c r="W170" s="6" t="str">
        <f t="shared" si="17"/>
        <v>及格</v>
      </c>
    </row>
    <row r="171" spans="1:23" ht="24.75" customHeight="1">
      <c r="A171" s="9">
        <v>22</v>
      </c>
      <c r="B171" s="21" t="s">
        <v>110</v>
      </c>
      <c r="C171" s="11">
        <v>16</v>
      </c>
      <c r="D171" s="39" t="s">
        <v>638</v>
      </c>
      <c r="E171" s="12">
        <v>1</v>
      </c>
      <c r="F171" s="22" t="s">
        <v>102</v>
      </c>
      <c r="G171" s="22" t="s">
        <v>142</v>
      </c>
      <c r="H171" s="22">
        <v>3838</v>
      </c>
      <c r="I171" s="5">
        <v>7.1</v>
      </c>
      <c r="J171" s="5">
        <v>260</v>
      </c>
      <c r="K171" s="5">
        <v>12</v>
      </c>
      <c r="L171" s="5" t="s">
        <v>44</v>
      </c>
      <c r="M171" s="5">
        <v>5</v>
      </c>
      <c r="N171" s="13">
        <f t="shared" si="15"/>
        <v>19.116977696859355</v>
      </c>
      <c r="O171" s="6">
        <f>LOOKUP(N171,Sheet6!$J$4:$J$11,Sheet6!$B$4:$B$11)*0.15</f>
        <v>15</v>
      </c>
      <c r="P171" s="14">
        <f>LOOKUP(H171,Sheet6!$J$25:$J$66,Sheet6!$B$25:$B$66)*0.15</f>
        <v>14.25</v>
      </c>
      <c r="Q171" s="6">
        <f>LOOKUP(I171,Sheet6!$J$115:$J$156,Sheet6!$B$115:$B$156)*0.2</f>
        <v>20</v>
      </c>
      <c r="R171" s="6">
        <f>LOOKUP(J171,Sheet6!$D$465:$D$506,Sheet6!$B$465:$B$506)*0.1</f>
        <v>10</v>
      </c>
      <c r="S171" s="6">
        <f>LOOKUP(K171,Sheet6!$J$205:$J$246,Sheet6!$B$205:$B$246)*0.1</f>
        <v>8</v>
      </c>
      <c r="T171" s="6">
        <f>LOOKUP(L171,Sheet6!$F$688:$F$749,Sheet6!$B$688:$B$749)*0.2</f>
        <v>19</v>
      </c>
      <c r="U171" s="6">
        <f>LOOKUP(M171,Sheet6!$D$600:$D$626,Sheet6!$B$600:$B$626)*0.1</f>
        <v>6</v>
      </c>
      <c r="V171" s="6">
        <f t="shared" si="16"/>
        <v>92.25</v>
      </c>
      <c r="W171" s="6" t="str">
        <f t="shared" si="17"/>
        <v>优秀</v>
      </c>
    </row>
    <row r="172" spans="1:23" ht="24.75" customHeight="1">
      <c r="A172" s="9">
        <v>22</v>
      </c>
      <c r="B172" s="21" t="s">
        <v>110</v>
      </c>
      <c r="C172" s="16">
        <v>17</v>
      </c>
      <c r="D172" s="39" t="s">
        <v>639</v>
      </c>
      <c r="E172" s="12">
        <v>1</v>
      </c>
      <c r="F172" s="22" t="s">
        <v>143</v>
      </c>
      <c r="G172" s="22" t="s">
        <v>144</v>
      </c>
      <c r="H172" s="22">
        <v>2513</v>
      </c>
      <c r="I172" s="5">
        <v>8.4</v>
      </c>
      <c r="J172" s="5">
        <v>175</v>
      </c>
      <c r="K172" s="5">
        <v>13</v>
      </c>
      <c r="L172" s="5" t="s">
        <v>145</v>
      </c>
      <c r="M172" s="5">
        <v>3</v>
      </c>
      <c r="N172" s="13">
        <f t="shared" si="15"/>
        <v>16.824226886716872</v>
      </c>
      <c r="O172" s="6">
        <f>LOOKUP(N172,Sheet6!$J$4:$J$11,Sheet6!$B$4:$B$11)*0.15</f>
        <v>15</v>
      </c>
      <c r="P172" s="14">
        <f>LOOKUP(H172,Sheet6!$J$25:$J$66,Sheet6!$B$25:$B$66)*0.15</f>
        <v>10.199999999999999</v>
      </c>
      <c r="Q172" s="6">
        <f>LOOKUP(I172,Sheet6!$J$115:$J$156,Sheet6!$B$115:$B$156)*0.2</f>
        <v>14.8</v>
      </c>
      <c r="R172" s="6">
        <f>LOOKUP(J172,Sheet6!$D$465:$D$506,Sheet6!$B$465:$B$506)*0.1</f>
        <v>6.2</v>
      </c>
      <c r="S172" s="6">
        <f>LOOKUP(K172,Sheet6!$J$205:$J$246,Sheet6!$B$205:$B$246)*0.1</f>
        <v>8</v>
      </c>
      <c r="T172" s="6">
        <f>LOOKUP(L172,Sheet6!$F$688:$F$749,Sheet6!$B$688:$B$749)*0.2</f>
        <v>16</v>
      </c>
      <c r="U172" s="6">
        <f>LOOKUP(M172,Sheet6!$D$600:$D$626,Sheet6!$B$600:$B$626)*0.1</f>
        <v>4</v>
      </c>
      <c r="V172" s="6">
        <f t="shared" si="16"/>
        <v>74.2</v>
      </c>
      <c r="W172" s="6" t="str">
        <f t="shared" si="17"/>
        <v>及格</v>
      </c>
    </row>
    <row r="173" spans="1:23" ht="24.75" customHeight="1">
      <c r="A173" s="9">
        <v>22</v>
      </c>
      <c r="B173" s="21" t="s">
        <v>110</v>
      </c>
      <c r="C173" s="11">
        <v>18</v>
      </c>
      <c r="D173" s="39" t="s">
        <v>640</v>
      </c>
      <c r="E173" s="12">
        <v>1</v>
      </c>
      <c r="F173" s="22" t="s">
        <v>146</v>
      </c>
      <c r="G173" s="22" t="s">
        <v>147</v>
      </c>
      <c r="H173" s="22">
        <v>3354</v>
      </c>
      <c r="I173" s="5">
        <v>9</v>
      </c>
      <c r="J173" s="5">
        <v>170</v>
      </c>
      <c r="K173" s="5">
        <v>12</v>
      </c>
      <c r="L173" s="5" t="s">
        <v>71</v>
      </c>
      <c r="M173" s="5">
        <v>3</v>
      </c>
      <c r="N173" s="13">
        <f t="shared" si="15"/>
        <v>23.486254005734526</v>
      </c>
      <c r="O173" s="6">
        <f>LOOKUP(N173,Sheet6!$J$4:$J$11,Sheet6!$B$4:$B$11)*0.15</f>
        <v>12</v>
      </c>
      <c r="P173" s="14">
        <f>LOOKUP(H173,Sheet6!$J$25:$J$66,Sheet6!$B$25:$B$66)*0.15</f>
        <v>12</v>
      </c>
      <c r="Q173" s="6">
        <f>LOOKUP(I173,Sheet6!$J$115:$J$156,Sheet6!$B$115:$B$156)*0.2</f>
        <v>13.600000000000001</v>
      </c>
      <c r="R173" s="6">
        <f>LOOKUP(J173,Sheet6!$D$465:$D$506,Sheet6!$B$465:$B$506)*0.1</f>
        <v>6</v>
      </c>
      <c r="S173" s="6">
        <f>LOOKUP(K173,Sheet6!$J$205:$J$246,Sheet6!$B$205:$B$246)*0.1</f>
        <v>8</v>
      </c>
      <c r="T173" s="6">
        <f>LOOKUP(L173,Sheet6!$F$688:$F$749,Sheet6!$B$688:$B$749)*0.2</f>
        <v>13.200000000000001</v>
      </c>
      <c r="U173" s="6">
        <f>LOOKUP(M173,Sheet6!$D$600:$D$626,Sheet6!$B$600:$B$626)*0.1</f>
        <v>4</v>
      </c>
      <c r="V173" s="6">
        <f t="shared" si="16"/>
        <v>68.8</v>
      </c>
      <c r="W173" s="6" t="str">
        <f t="shared" si="17"/>
        <v>及格</v>
      </c>
    </row>
    <row r="174" spans="1:23" ht="24.75" customHeight="1">
      <c r="A174" s="9">
        <v>22</v>
      </c>
      <c r="B174" s="21" t="s">
        <v>110</v>
      </c>
      <c r="C174" s="11">
        <v>19</v>
      </c>
      <c r="D174" s="39" t="s">
        <v>641</v>
      </c>
      <c r="E174" s="12">
        <v>1</v>
      </c>
      <c r="F174" s="22" t="s">
        <v>129</v>
      </c>
      <c r="G174" s="22" t="s">
        <v>148</v>
      </c>
      <c r="H174" s="22">
        <v>3116</v>
      </c>
      <c r="I174" s="5">
        <v>7.9</v>
      </c>
      <c r="J174" s="5">
        <v>195</v>
      </c>
      <c r="K174" s="5">
        <v>21</v>
      </c>
      <c r="L174" s="5" t="s">
        <v>27</v>
      </c>
      <c r="M174" s="5">
        <v>3</v>
      </c>
      <c r="N174" s="13">
        <f t="shared" si="15"/>
        <v>20.115457707339811</v>
      </c>
      <c r="O174" s="6">
        <f>LOOKUP(N174,Sheet6!$J$4:$J$11,Sheet6!$B$4:$B$11)*0.15</f>
        <v>15</v>
      </c>
      <c r="P174" s="14">
        <f>LOOKUP(H174,Sheet6!$J$25:$J$66,Sheet6!$B$25:$B$66)*0.15</f>
        <v>11.7</v>
      </c>
      <c r="Q174" s="6">
        <f>LOOKUP(I174,Sheet6!$J$115:$J$156,Sheet6!$B$115:$B$156)*0.2</f>
        <v>16</v>
      </c>
      <c r="R174" s="6">
        <f>LOOKUP(J174,Sheet6!$D$465:$D$506,Sheet6!$B$465:$B$506)*0.1</f>
        <v>7.2</v>
      </c>
      <c r="S174" s="6">
        <f>LOOKUP(K174,Sheet6!$J$205:$J$246,Sheet6!$B$205:$B$246)*0.1</f>
        <v>10</v>
      </c>
      <c r="T174" s="6">
        <f>LOOKUP(L174,Sheet6!$F$688:$F$749,Sheet6!$B$688:$B$749)*0.2</f>
        <v>15.200000000000001</v>
      </c>
      <c r="U174" s="6">
        <f>LOOKUP(M174,Sheet6!$D$600:$D$626,Sheet6!$B$600:$B$626)*0.1</f>
        <v>4</v>
      </c>
      <c r="V174" s="6">
        <f t="shared" si="16"/>
        <v>79.100000000000009</v>
      </c>
      <c r="W174" s="6" t="str">
        <f t="shared" si="17"/>
        <v>及格</v>
      </c>
    </row>
    <row r="175" spans="1:23" ht="24.75" customHeight="1">
      <c r="A175" s="9">
        <v>22</v>
      </c>
      <c r="B175" s="21" t="s">
        <v>110</v>
      </c>
      <c r="C175" s="16">
        <v>20</v>
      </c>
      <c r="D175" s="39" t="s">
        <v>642</v>
      </c>
      <c r="E175" s="12">
        <v>1</v>
      </c>
      <c r="F175" s="22" t="s">
        <v>114</v>
      </c>
      <c r="G175" s="22" t="s">
        <v>149</v>
      </c>
      <c r="H175" s="22">
        <v>3500</v>
      </c>
      <c r="I175" s="5">
        <v>9</v>
      </c>
      <c r="J175" s="5">
        <v>170</v>
      </c>
      <c r="K175" s="5">
        <v>12</v>
      </c>
      <c r="L175" s="5" t="s">
        <v>67</v>
      </c>
      <c r="M175" s="5">
        <v>3</v>
      </c>
      <c r="N175" s="13">
        <f t="shared" si="15"/>
        <v>24.825420161047809</v>
      </c>
      <c r="O175" s="6">
        <f>LOOKUP(N175,Sheet6!$J$4:$J$11,Sheet6!$B$4:$B$11)*0.15</f>
        <v>12</v>
      </c>
      <c r="P175" s="14">
        <f>LOOKUP(H175,Sheet6!$J$25:$J$66,Sheet6!$B$25:$B$66)*0.15</f>
        <v>12.75</v>
      </c>
      <c r="Q175" s="6">
        <f>LOOKUP(I175,Sheet6!$J$115:$J$156,Sheet6!$B$115:$B$156)*0.2</f>
        <v>13.600000000000001</v>
      </c>
      <c r="R175" s="6">
        <f>LOOKUP(J175,Sheet6!$D$465:$D$506,Sheet6!$B$465:$B$506)*0.1</f>
        <v>6</v>
      </c>
      <c r="S175" s="6">
        <f>LOOKUP(K175,Sheet6!$J$205:$J$246,Sheet6!$B$205:$B$246)*0.1</f>
        <v>8</v>
      </c>
      <c r="T175" s="6">
        <f>LOOKUP(L175,Sheet6!$F$688:$F$749,Sheet6!$B$688:$B$749)*0.2</f>
        <v>12.4</v>
      </c>
      <c r="U175" s="6">
        <f>LOOKUP(M175,Sheet6!$D$600:$D$626,Sheet6!$B$600:$B$626)*0.1</f>
        <v>4</v>
      </c>
      <c r="V175" s="6">
        <f t="shared" si="16"/>
        <v>68.75</v>
      </c>
      <c r="W175" s="6" t="str">
        <f t="shared" si="17"/>
        <v>及格</v>
      </c>
    </row>
    <row r="176" spans="1:23" ht="24.75" customHeight="1">
      <c r="A176" s="9">
        <v>22</v>
      </c>
      <c r="B176" s="21" t="s">
        <v>110</v>
      </c>
      <c r="C176" s="11">
        <v>21</v>
      </c>
      <c r="D176" s="39" t="s">
        <v>643</v>
      </c>
      <c r="E176" s="12">
        <v>1</v>
      </c>
      <c r="F176" s="22" t="s">
        <v>132</v>
      </c>
      <c r="G176" s="22">
        <v>82.8</v>
      </c>
      <c r="H176" s="22">
        <v>6097</v>
      </c>
      <c r="I176" s="5">
        <v>7.7</v>
      </c>
      <c r="J176" s="5">
        <v>195</v>
      </c>
      <c r="K176" s="5">
        <v>18</v>
      </c>
      <c r="L176" s="5" t="s">
        <v>50</v>
      </c>
      <c r="M176" s="5">
        <v>3</v>
      </c>
      <c r="N176" s="13">
        <f t="shared" si="15"/>
        <v>26.429187015225509</v>
      </c>
      <c r="O176" s="6">
        <f>LOOKUP(N176,Sheet6!$J$4:$J$11,Sheet6!$B$4:$B$11)*0.15</f>
        <v>9</v>
      </c>
      <c r="P176" s="14">
        <f>LOOKUP(H176,Sheet6!$J$25:$J$66,Sheet6!$B$25:$B$66)*0.15</f>
        <v>15</v>
      </c>
      <c r="Q176" s="6">
        <f>LOOKUP(I176,Sheet6!$J$115:$J$156,Sheet6!$B$115:$B$156)*0.2</f>
        <v>18</v>
      </c>
      <c r="R176" s="6">
        <f>LOOKUP(J176,Sheet6!$D$465:$D$506,Sheet6!$B$465:$B$506)*0.1</f>
        <v>7.2</v>
      </c>
      <c r="S176" s="6">
        <f>LOOKUP(K176,Sheet6!$J$205:$J$246,Sheet6!$B$205:$B$246)*0.1</f>
        <v>9.5</v>
      </c>
      <c r="T176" s="6">
        <f>LOOKUP(L176,Sheet6!$F$688:$F$749,Sheet6!$B$688:$B$749)*0.2</f>
        <v>15.600000000000001</v>
      </c>
      <c r="U176" s="6">
        <f>LOOKUP(M176,Sheet6!$D$600:$D$626,Sheet6!$B$600:$B$626)*0.1</f>
        <v>4</v>
      </c>
      <c r="V176" s="6">
        <f t="shared" si="16"/>
        <v>78.300000000000011</v>
      </c>
      <c r="W176" s="6" t="str">
        <f t="shared" si="17"/>
        <v>及格</v>
      </c>
    </row>
    <row r="177" spans="1:23" ht="24.75" customHeight="1">
      <c r="A177" s="9">
        <v>22</v>
      </c>
      <c r="B177" s="21" t="s">
        <v>110</v>
      </c>
      <c r="C177" s="11">
        <v>22</v>
      </c>
      <c r="D177" s="39" t="s">
        <v>644</v>
      </c>
      <c r="E177" s="12">
        <v>1</v>
      </c>
      <c r="F177" s="22" t="s">
        <v>114</v>
      </c>
      <c r="G177" s="22" t="s">
        <v>150</v>
      </c>
      <c r="H177" s="22">
        <v>3751</v>
      </c>
      <c r="I177" s="5">
        <v>8.6</v>
      </c>
      <c r="J177" s="5">
        <v>185</v>
      </c>
      <c r="K177" s="5">
        <v>15</v>
      </c>
      <c r="L177" s="5" t="s">
        <v>36</v>
      </c>
      <c r="M177" s="5">
        <v>3</v>
      </c>
      <c r="N177" s="13">
        <f t="shared" si="15"/>
        <v>30.204818069430988</v>
      </c>
      <c r="O177" s="6">
        <f>LOOKUP(N177,Sheet6!$J$4:$J$11,Sheet6!$B$4:$B$11)*0.15</f>
        <v>9</v>
      </c>
      <c r="P177" s="14">
        <f>LOOKUP(H177,Sheet6!$J$25:$J$66,Sheet6!$B$25:$B$66)*0.15</f>
        <v>14.25</v>
      </c>
      <c r="Q177" s="6">
        <f>LOOKUP(I177,Sheet6!$J$115:$J$156,Sheet6!$B$115:$B$156)*0.2</f>
        <v>14.4</v>
      </c>
      <c r="R177" s="6">
        <f>LOOKUP(J177,Sheet6!$D$465:$D$506,Sheet6!$B$465:$B$506)*0.1</f>
        <v>6.6000000000000005</v>
      </c>
      <c r="S177" s="6">
        <f>LOOKUP(K177,Sheet6!$J$205:$J$246,Sheet6!$B$205:$B$246)*0.1</f>
        <v>8.5</v>
      </c>
      <c r="T177" s="6">
        <f>LOOKUP(L177,Sheet6!$F$688:$F$749,Sheet6!$B$688:$B$749)*0.2</f>
        <v>15.200000000000001</v>
      </c>
      <c r="U177" s="6">
        <f>LOOKUP(M177,Sheet6!$D$600:$D$626,Sheet6!$B$600:$B$626)*0.1</f>
        <v>4</v>
      </c>
      <c r="V177" s="6">
        <f t="shared" si="16"/>
        <v>71.95</v>
      </c>
      <c r="W177" s="6" t="str">
        <f t="shared" si="17"/>
        <v>及格</v>
      </c>
    </row>
    <row r="178" spans="1:23" ht="24.75" customHeight="1">
      <c r="A178" s="9"/>
      <c r="B178" s="21"/>
      <c r="C178" s="21"/>
      <c r="D178" s="21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6"/>
    </row>
    <row r="179" spans="1:23" ht="24.75" customHeight="1">
      <c r="A179" s="9"/>
      <c r="B179" s="10"/>
      <c r="C179" s="12"/>
      <c r="D179" s="10"/>
      <c r="E179" s="12"/>
      <c r="F179" s="10"/>
      <c r="G179" s="10"/>
      <c r="H179" s="10"/>
      <c r="I179" s="10"/>
      <c r="J179" s="10"/>
      <c r="K179" s="10"/>
      <c r="L179" s="10"/>
      <c r="M179" s="10"/>
      <c r="N179" s="13"/>
      <c r="O179" s="6"/>
      <c r="P179" s="13"/>
      <c r="Q179" s="6"/>
      <c r="R179" s="6"/>
      <c r="S179" s="23"/>
      <c r="T179" s="6"/>
      <c r="U179" s="6"/>
      <c r="V179" s="13"/>
      <c r="W179" s="6"/>
    </row>
    <row r="180" spans="1:23" ht="24.75" customHeight="1">
      <c r="A180" s="9"/>
      <c r="B180" s="10"/>
      <c r="C180" s="24"/>
      <c r="D180" s="10"/>
      <c r="E180" s="12"/>
      <c r="F180" s="10"/>
      <c r="G180" s="10"/>
      <c r="H180" s="10"/>
      <c r="I180" s="10"/>
      <c r="J180" s="10"/>
      <c r="K180" s="10"/>
      <c r="L180" s="10"/>
      <c r="M180" s="10"/>
      <c r="N180" s="13"/>
      <c r="O180" s="6"/>
      <c r="P180" s="13"/>
      <c r="Q180" s="6"/>
      <c r="R180" s="6"/>
      <c r="S180" s="23"/>
      <c r="T180" s="6"/>
      <c r="U180" s="6"/>
      <c r="V180" s="13"/>
      <c r="W180" s="6"/>
    </row>
    <row r="181" spans="1:23" ht="24.75" customHeight="1">
      <c r="A181" s="9"/>
      <c r="B181" s="10"/>
      <c r="C181" s="24"/>
      <c r="D181" s="10"/>
      <c r="E181" s="12"/>
      <c r="F181" s="10"/>
      <c r="G181" s="10"/>
      <c r="H181" s="10"/>
      <c r="I181" s="10"/>
      <c r="J181" s="10"/>
      <c r="K181" s="10"/>
      <c r="L181" s="10"/>
      <c r="M181" s="10"/>
      <c r="N181" s="13"/>
      <c r="O181" s="6"/>
      <c r="P181" s="13"/>
      <c r="Q181" s="6"/>
      <c r="R181" s="6"/>
      <c r="S181" s="23"/>
      <c r="T181" s="6"/>
      <c r="U181" s="6"/>
      <c r="V181" s="13"/>
      <c r="W181" s="6"/>
    </row>
    <row r="182" spans="1:23" ht="24.75" customHeight="1">
      <c r="A182" s="9"/>
      <c r="B182" s="10"/>
      <c r="C182" s="24"/>
      <c r="D182" s="10"/>
      <c r="E182" s="12"/>
      <c r="F182" s="10"/>
      <c r="G182" s="10"/>
      <c r="H182" s="10"/>
      <c r="I182" s="10"/>
      <c r="J182" s="10"/>
      <c r="K182" s="10"/>
      <c r="L182" s="10"/>
      <c r="M182" s="10"/>
      <c r="N182" s="13"/>
      <c r="O182" s="6"/>
      <c r="P182" s="13"/>
      <c r="Q182" s="6"/>
      <c r="R182" s="6"/>
      <c r="S182" s="23"/>
      <c r="T182" s="6"/>
      <c r="U182" s="6"/>
      <c r="V182" s="13"/>
      <c r="W182" s="6"/>
    </row>
    <row r="183" spans="1:23" ht="24.75" customHeight="1">
      <c r="A183" s="9"/>
      <c r="B183" s="10"/>
      <c r="C183" s="24"/>
      <c r="D183" s="10"/>
      <c r="E183" s="12"/>
      <c r="F183" s="10"/>
      <c r="G183" s="10"/>
      <c r="H183" s="10"/>
      <c r="I183" s="10"/>
      <c r="J183" s="10"/>
      <c r="K183" s="10"/>
      <c r="L183" s="10"/>
      <c r="M183" s="10"/>
      <c r="N183" s="13"/>
      <c r="O183" s="6"/>
      <c r="P183" s="13"/>
      <c r="Q183" s="6"/>
      <c r="R183" s="6"/>
      <c r="S183" s="23"/>
      <c r="T183" s="6"/>
      <c r="U183" s="6"/>
      <c r="V183" s="13"/>
      <c r="W183" s="6"/>
    </row>
    <row r="184" spans="1:23" ht="24.75" customHeight="1">
      <c r="A184" s="9"/>
      <c r="B184" s="10"/>
      <c r="C184" s="24"/>
      <c r="D184" s="10"/>
      <c r="E184" s="12"/>
      <c r="F184" s="10"/>
      <c r="G184" s="10"/>
      <c r="H184" s="10"/>
      <c r="I184" s="10"/>
      <c r="J184" s="10"/>
      <c r="K184" s="10"/>
      <c r="L184" s="10"/>
      <c r="M184" s="10"/>
      <c r="N184" s="13"/>
      <c r="O184" s="6"/>
      <c r="P184" s="13"/>
      <c r="Q184" s="6"/>
      <c r="R184" s="6"/>
      <c r="S184" s="23"/>
      <c r="T184" s="6"/>
      <c r="U184" s="6"/>
      <c r="V184" s="13"/>
      <c r="W184" s="6"/>
    </row>
    <row r="185" spans="1:23" ht="24.75" customHeight="1">
      <c r="A185" s="9"/>
      <c r="B185" s="10"/>
      <c r="C185" s="24"/>
      <c r="D185" s="10"/>
      <c r="E185" s="12"/>
      <c r="F185" s="10"/>
      <c r="G185" s="10"/>
      <c r="H185" s="10"/>
      <c r="I185" s="10"/>
      <c r="J185" s="10"/>
      <c r="K185" s="10"/>
      <c r="L185" s="10"/>
      <c r="M185" s="10"/>
      <c r="N185" s="13"/>
      <c r="O185" s="6"/>
      <c r="P185" s="13"/>
      <c r="Q185" s="6"/>
      <c r="R185" s="6"/>
      <c r="S185" s="23"/>
      <c r="T185" s="6"/>
      <c r="U185" s="6"/>
      <c r="V185" s="13"/>
      <c r="W185" s="6"/>
    </row>
    <row r="186" spans="1:23" ht="24.75" customHeight="1">
      <c r="A186" s="9"/>
      <c r="B186" s="10"/>
      <c r="C186" s="24"/>
      <c r="D186" s="10"/>
      <c r="E186" s="12"/>
      <c r="F186" s="10"/>
      <c r="G186" s="10"/>
      <c r="H186" s="10"/>
      <c r="I186" s="10"/>
      <c r="J186" s="10"/>
      <c r="K186" s="10"/>
      <c r="L186" s="10"/>
      <c r="M186" s="10"/>
      <c r="N186" s="13"/>
      <c r="O186" s="6"/>
      <c r="P186" s="13"/>
      <c r="Q186" s="6"/>
      <c r="R186" s="6"/>
      <c r="S186" s="23"/>
      <c r="T186" s="6"/>
      <c r="U186" s="6"/>
      <c r="V186" s="13"/>
      <c r="W186" s="6"/>
    </row>
    <row r="187" spans="1:23" ht="24.75" customHeight="1">
      <c r="A187" s="9"/>
      <c r="B187" s="10"/>
      <c r="C187" s="24"/>
      <c r="D187" s="10"/>
      <c r="E187" s="12"/>
      <c r="F187" s="10"/>
      <c r="G187" s="10"/>
      <c r="H187" s="10"/>
      <c r="I187" s="10"/>
      <c r="J187" s="10"/>
      <c r="K187" s="10"/>
      <c r="L187" s="10"/>
      <c r="M187" s="10"/>
      <c r="N187" s="13"/>
      <c r="O187" s="6"/>
      <c r="P187" s="13"/>
      <c r="Q187" s="6"/>
      <c r="R187" s="6"/>
      <c r="S187" s="23"/>
      <c r="T187" s="6"/>
      <c r="U187" s="6"/>
      <c r="V187" s="13"/>
      <c r="W187" s="6"/>
    </row>
    <row r="188" spans="1:23" ht="24.75" customHeight="1">
      <c r="A188" s="9"/>
      <c r="B188" s="10"/>
      <c r="C188" s="24"/>
      <c r="D188" s="10"/>
      <c r="E188" s="12"/>
      <c r="F188" s="10"/>
      <c r="G188" s="10"/>
      <c r="H188" s="10"/>
      <c r="I188" s="10"/>
      <c r="J188" s="10"/>
      <c r="K188" s="10"/>
      <c r="L188" s="10"/>
      <c r="M188" s="10"/>
      <c r="N188" s="13"/>
      <c r="O188" s="6"/>
      <c r="P188" s="13"/>
      <c r="Q188" s="6"/>
      <c r="R188" s="6"/>
      <c r="S188" s="23"/>
      <c r="T188" s="6"/>
      <c r="U188" s="6"/>
      <c r="V188" s="13"/>
      <c r="W188" s="6"/>
    </row>
    <row r="189" spans="1:23" ht="24.75" customHeight="1">
      <c r="A189" s="9"/>
      <c r="B189" s="10"/>
      <c r="C189" s="24"/>
      <c r="D189" s="10"/>
      <c r="E189" s="12"/>
      <c r="F189" s="10"/>
      <c r="G189" s="10"/>
      <c r="H189" s="10"/>
      <c r="I189" s="10"/>
      <c r="J189" s="10"/>
      <c r="K189" s="10"/>
      <c r="L189" s="10"/>
      <c r="M189" s="10"/>
      <c r="N189" s="13"/>
      <c r="O189" s="6"/>
      <c r="P189" s="13"/>
      <c r="Q189" s="6"/>
      <c r="R189" s="6"/>
      <c r="S189" s="23"/>
      <c r="T189" s="6"/>
      <c r="U189" s="6"/>
      <c r="V189" s="13"/>
      <c r="W189" s="6"/>
    </row>
    <row r="190" spans="1:23" ht="24.75" customHeight="1">
      <c r="A190" s="9"/>
      <c r="B190" s="10"/>
      <c r="C190" s="24"/>
      <c r="D190" s="10"/>
      <c r="E190" s="12"/>
      <c r="F190" s="10"/>
      <c r="G190" s="10"/>
      <c r="H190" s="10"/>
      <c r="I190" s="10"/>
      <c r="J190" s="10"/>
      <c r="K190" s="10"/>
      <c r="L190" s="10"/>
      <c r="M190" s="10"/>
      <c r="N190" s="13"/>
      <c r="O190" s="6"/>
      <c r="P190" s="13"/>
      <c r="Q190" s="6"/>
      <c r="R190" s="6"/>
      <c r="S190" s="23"/>
      <c r="T190" s="6"/>
      <c r="U190" s="6"/>
      <c r="V190" s="13"/>
      <c r="W190" s="6"/>
    </row>
    <row r="191" spans="1:23" ht="24.75" customHeight="1">
      <c r="A191" s="9"/>
      <c r="B191" s="10"/>
      <c r="C191" s="24"/>
      <c r="D191" s="10"/>
      <c r="E191" s="12"/>
      <c r="F191" s="10"/>
      <c r="G191" s="10"/>
      <c r="H191" s="10"/>
      <c r="I191" s="10"/>
      <c r="J191" s="10"/>
      <c r="K191" s="10"/>
      <c r="L191" s="10"/>
      <c r="M191" s="10"/>
      <c r="N191" s="13"/>
      <c r="O191" s="6"/>
      <c r="P191" s="13"/>
      <c r="Q191" s="6"/>
      <c r="R191" s="6"/>
      <c r="S191" s="23"/>
      <c r="T191" s="6"/>
      <c r="U191" s="6"/>
      <c r="V191" s="13"/>
      <c r="W191" s="6"/>
    </row>
    <row r="192" spans="1:23" ht="24.75" customHeight="1">
      <c r="A192" s="9"/>
      <c r="B192" s="10"/>
      <c r="C192" s="24"/>
      <c r="D192" s="10"/>
      <c r="E192" s="12"/>
      <c r="F192" s="10"/>
      <c r="G192" s="10"/>
      <c r="H192" s="10"/>
      <c r="I192" s="10"/>
      <c r="J192" s="10"/>
      <c r="K192" s="10"/>
      <c r="L192" s="10"/>
      <c r="M192" s="10"/>
      <c r="N192" s="13"/>
      <c r="O192" s="6"/>
      <c r="P192" s="13"/>
      <c r="Q192" s="6"/>
      <c r="R192" s="6"/>
      <c r="S192" s="23"/>
      <c r="T192" s="6"/>
      <c r="U192" s="6"/>
      <c r="V192" s="13"/>
      <c r="W192" s="6"/>
    </row>
    <row r="193" spans="1:23" ht="24.75" customHeight="1">
      <c r="A193" s="9"/>
      <c r="B193" s="10"/>
      <c r="C193" s="24"/>
      <c r="D193" s="10"/>
      <c r="E193" s="12"/>
      <c r="F193" s="10"/>
      <c r="G193" s="10"/>
      <c r="H193" s="10"/>
      <c r="I193" s="10"/>
      <c r="J193" s="10"/>
      <c r="K193" s="10"/>
      <c r="L193" s="10"/>
      <c r="M193" s="10"/>
      <c r="N193" s="13"/>
      <c r="O193" s="6"/>
      <c r="P193" s="13"/>
      <c r="Q193" s="6"/>
      <c r="R193" s="6"/>
      <c r="S193" s="23"/>
      <c r="T193" s="6"/>
      <c r="U193" s="6"/>
      <c r="V193" s="13"/>
      <c r="W193" s="6"/>
    </row>
    <row r="194" spans="1:23" ht="24.75" customHeight="1">
      <c r="A194" s="9"/>
      <c r="B194" s="10"/>
      <c r="C194" s="24"/>
      <c r="D194" s="10"/>
      <c r="E194" s="12"/>
      <c r="F194" s="10"/>
      <c r="G194" s="10"/>
      <c r="H194" s="10"/>
      <c r="I194" s="10"/>
      <c r="J194" s="10"/>
      <c r="K194" s="10"/>
      <c r="L194" s="10"/>
      <c r="M194" s="10"/>
      <c r="N194" s="13"/>
      <c r="O194" s="6"/>
      <c r="P194" s="13"/>
      <c r="Q194" s="6"/>
      <c r="R194" s="6"/>
      <c r="S194" s="23"/>
      <c r="T194" s="6"/>
      <c r="U194" s="6"/>
      <c r="V194" s="13"/>
      <c r="W194" s="6"/>
    </row>
    <row r="195" spans="1:23" ht="24.75" customHeight="1">
      <c r="A195" s="9"/>
      <c r="B195" s="10"/>
      <c r="C195" s="24"/>
      <c r="D195" s="10"/>
      <c r="E195" s="12"/>
      <c r="F195" s="10"/>
      <c r="G195" s="10"/>
      <c r="H195" s="10"/>
      <c r="I195" s="10"/>
      <c r="J195" s="10"/>
      <c r="K195" s="10"/>
      <c r="L195" s="10"/>
      <c r="M195" s="10"/>
      <c r="N195" s="13"/>
      <c r="O195" s="6"/>
      <c r="P195" s="13"/>
      <c r="Q195" s="6"/>
      <c r="R195" s="6"/>
      <c r="S195" s="23"/>
      <c r="T195" s="6"/>
      <c r="U195" s="6"/>
      <c r="V195" s="13"/>
      <c r="W195" s="6"/>
    </row>
    <row r="196" spans="1:23" ht="24.75" customHeight="1">
      <c r="A196" s="9"/>
      <c r="B196" s="10"/>
      <c r="C196" s="24"/>
      <c r="D196" s="10"/>
      <c r="E196" s="12"/>
      <c r="F196" s="10"/>
      <c r="G196" s="10"/>
      <c r="H196" s="10"/>
      <c r="I196" s="10"/>
      <c r="J196" s="10"/>
      <c r="K196" s="10"/>
      <c r="L196" s="10"/>
      <c r="M196" s="10"/>
      <c r="N196" s="13"/>
      <c r="O196" s="6"/>
      <c r="P196" s="13"/>
      <c r="Q196" s="6"/>
      <c r="R196" s="6"/>
      <c r="S196" s="23"/>
      <c r="T196" s="6"/>
      <c r="U196" s="6"/>
      <c r="V196" s="13"/>
      <c r="W196" s="6"/>
    </row>
    <row r="197" spans="1:23" ht="24.75" customHeight="1">
      <c r="A197" s="9"/>
      <c r="B197" s="10"/>
      <c r="C197" s="24"/>
      <c r="D197" s="10"/>
      <c r="E197" s="12"/>
      <c r="F197" s="10"/>
      <c r="G197" s="10"/>
      <c r="H197" s="10"/>
      <c r="I197" s="10"/>
      <c r="J197" s="10"/>
      <c r="K197" s="10"/>
      <c r="L197" s="10"/>
      <c r="M197" s="10"/>
      <c r="N197" s="13"/>
      <c r="O197" s="6"/>
      <c r="P197" s="13"/>
      <c r="Q197" s="6"/>
      <c r="R197" s="6"/>
      <c r="S197" s="23"/>
      <c r="T197" s="6"/>
      <c r="U197" s="6"/>
      <c r="V197" s="13"/>
      <c r="W197" s="6"/>
    </row>
    <row r="198" spans="1:23" ht="24.75" customHeight="1">
      <c r="A198" s="9"/>
      <c r="B198" s="10"/>
      <c r="C198" s="24"/>
      <c r="D198" s="10"/>
      <c r="E198" s="12"/>
      <c r="F198" s="10"/>
      <c r="G198" s="10"/>
      <c r="H198" s="10"/>
      <c r="I198" s="10"/>
      <c r="J198" s="10"/>
      <c r="K198" s="10"/>
      <c r="L198" s="10"/>
      <c r="M198" s="10"/>
      <c r="N198" s="13"/>
      <c r="O198" s="6"/>
      <c r="P198" s="13"/>
      <c r="Q198" s="6"/>
      <c r="R198" s="6"/>
      <c r="S198" s="23"/>
      <c r="T198" s="6"/>
      <c r="U198" s="6"/>
      <c r="V198" s="13"/>
      <c r="W198" s="6"/>
    </row>
    <row r="199" spans="1:23" ht="24.75" customHeight="1">
      <c r="A199" s="9"/>
      <c r="B199" s="12"/>
      <c r="C199" s="24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3"/>
      <c r="O199" s="6"/>
      <c r="P199" s="13"/>
      <c r="Q199" s="6"/>
      <c r="R199" s="6"/>
      <c r="S199" s="23"/>
      <c r="T199" s="6"/>
      <c r="U199" s="6"/>
      <c r="V199" s="13"/>
      <c r="W199" s="6"/>
    </row>
    <row r="200" spans="1:23" ht="24.75" customHeight="1">
      <c r="A200" s="9"/>
      <c r="B200" s="12"/>
      <c r="C200" s="24"/>
      <c r="D200" s="12"/>
      <c r="E200" s="12"/>
      <c r="F200" s="12"/>
      <c r="G200" s="12"/>
      <c r="H200" s="25"/>
      <c r="I200" s="12"/>
      <c r="J200" s="12"/>
      <c r="K200" s="12"/>
      <c r="L200" s="12"/>
      <c r="M200" s="12"/>
      <c r="N200" s="13"/>
      <c r="O200" s="6"/>
      <c r="P200" s="13"/>
      <c r="Q200" s="6"/>
      <c r="R200" s="6"/>
      <c r="S200" s="23"/>
      <c r="T200" s="6"/>
      <c r="U200" s="6"/>
      <c r="V200" s="13"/>
      <c r="W200" s="6"/>
    </row>
    <row r="201" spans="1:23" ht="24.75" customHeight="1">
      <c r="A201" s="9"/>
      <c r="B201" s="12"/>
      <c r="C201" s="24"/>
      <c r="D201" s="12"/>
      <c r="E201" s="12"/>
      <c r="F201" s="12"/>
      <c r="G201" s="12"/>
      <c r="H201" s="25"/>
      <c r="I201" s="12"/>
      <c r="J201" s="12"/>
      <c r="K201" s="12"/>
      <c r="L201" s="12"/>
      <c r="M201" s="12"/>
      <c r="N201" s="13"/>
      <c r="O201" s="6"/>
      <c r="P201" s="13"/>
      <c r="Q201" s="6"/>
      <c r="R201" s="6"/>
      <c r="S201" s="23"/>
      <c r="T201" s="6"/>
      <c r="U201" s="6"/>
      <c r="V201" s="13"/>
      <c r="W201" s="6"/>
    </row>
    <row r="202" spans="1:23" ht="24.75" customHeight="1">
      <c r="A202" s="9"/>
      <c r="B202" s="26"/>
      <c r="C202" s="24"/>
      <c r="D202" s="26"/>
      <c r="E202" s="26"/>
      <c r="F202" s="27"/>
      <c r="G202" s="27"/>
      <c r="H202" s="27"/>
      <c r="I202" s="5"/>
      <c r="J202" s="5"/>
      <c r="K202" s="5"/>
      <c r="L202" s="5"/>
      <c r="M202" s="5"/>
      <c r="N202" s="13"/>
      <c r="O202" s="6"/>
      <c r="P202" s="13"/>
      <c r="Q202" s="6"/>
      <c r="R202" s="6"/>
      <c r="S202" s="23"/>
      <c r="T202" s="6"/>
      <c r="U202" s="6"/>
      <c r="V202" s="13"/>
      <c r="W202" s="6"/>
    </row>
    <row r="203" spans="1:23" ht="24.75" customHeight="1">
      <c r="A203" s="9"/>
      <c r="B203" s="26"/>
      <c r="C203" s="24"/>
      <c r="D203" s="26"/>
      <c r="E203" s="26"/>
      <c r="F203" s="27"/>
      <c r="G203" s="27"/>
      <c r="H203" s="27"/>
      <c r="I203" s="5"/>
      <c r="J203" s="5"/>
      <c r="K203" s="5"/>
      <c r="L203" s="5"/>
      <c r="M203" s="5"/>
      <c r="N203" s="13"/>
      <c r="O203" s="6"/>
      <c r="P203" s="13"/>
      <c r="Q203" s="6"/>
      <c r="R203" s="6"/>
      <c r="S203" s="23"/>
      <c r="T203" s="6"/>
      <c r="U203" s="6"/>
      <c r="V203" s="13"/>
      <c r="W203" s="6"/>
    </row>
    <row r="204" spans="1:23" ht="24.75" customHeight="1">
      <c r="A204" s="9"/>
      <c r="B204" s="26"/>
      <c r="C204" s="24"/>
      <c r="D204" s="26"/>
      <c r="E204" s="26"/>
      <c r="F204" s="27"/>
      <c r="G204" s="27"/>
      <c r="H204" s="27"/>
      <c r="I204" s="5"/>
      <c r="J204" s="5"/>
      <c r="K204" s="5"/>
      <c r="L204" s="5"/>
      <c r="M204" s="5"/>
      <c r="N204" s="13"/>
      <c r="O204" s="6"/>
      <c r="P204" s="13"/>
      <c r="Q204" s="6"/>
      <c r="R204" s="6"/>
      <c r="S204" s="23"/>
      <c r="T204" s="6"/>
      <c r="U204" s="6"/>
      <c r="V204" s="13"/>
      <c r="W204" s="6"/>
    </row>
    <row r="205" spans="1:23" ht="24.75" customHeight="1">
      <c r="A205" s="9"/>
      <c r="B205" s="26"/>
      <c r="C205" s="24"/>
      <c r="D205" s="26"/>
      <c r="E205" s="26"/>
      <c r="F205" s="27"/>
      <c r="G205" s="27"/>
      <c r="H205" s="27"/>
      <c r="I205" s="5"/>
      <c r="J205" s="5"/>
      <c r="K205" s="5"/>
      <c r="L205" s="5"/>
      <c r="M205" s="5"/>
      <c r="N205" s="13"/>
      <c r="O205" s="6"/>
      <c r="P205" s="13"/>
      <c r="Q205" s="6"/>
      <c r="R205" s="6"/>
      <c r="S205" s="23"/>
      <c r="T205" s="6"/>
      <c r="U205" s="6"/>
      <c r="V205" s="13"/>
      <c r="W205" s="6"/>
    </row>
    <row r="206" spans="1:23" ht="24.75" customHeight="1">
      <c r="A206" s="9"/>
      <c r="B206" s="26"/>
      <c r="C206" s="24"/>
      <c r="D206" s="26"/>
      <c r="E206" s="26"/>
      <c r="F206" s="27"/>
      <c r="G206" s="27"/>
      <c r="H206" s="27"/>
      <c r="I206" s="5"/>
      <c r="J206" s="5"/>
      <c r="K206" s="5"/>
      <c r="L206" s="5"/>
      <c r="M206" s="5"/>
      <c r="N206" s="13"/>
      <c r="O206" s="6"/>
      <c r="P206" s="13"/>
      <c r="Q206" s="6"/>
      <c r="R206" s="6"/>
      <c r="S206" s="23"/>
      <c r="T206" s="6"/>
      <c r="U206" s="6"/>
      <c r="V206" s="13"/>
      <c r="W206" s="6"/>
    </row>
    <row r="207" spans="1:23" ht="24.75" customHeight="1">
      <c r="A207" s="9"/>
      <c r="B207" s="26"/>
      <c r="C207" s="24"/>
      <c r="D207" s="26"/>
      <c r="E207" s="26"/>
      <c r="F207" s="27"/>
      <c r="G207" s="27"/>
      <c r="H207" s="27"/>
      <c r="I207" s="5"/>
      <c r="J207" s="5"/>
      <c r="K207" s="5"/>
      <c r="L207" s="5"/>
      <c r="M207" s="5"/>
      <c r="N207" s="13"/>
      <c r="O207" s="6"/>
      <c r="P207" s="13"/>
      <c r="Q207" s="6"/>
      <c r="R207" s="6"/>
      <c r="S207" s="23"/>
      <c r="T207" s="6"/>
      <c r="U207" s="6"/>
      <c r="V207" s="13"/>
      <c r="W207" s="6"/>
    </row>
    <row r="208" spans="1:23" ht="24.75" customHeight="1">
      <c r="A208" s="9"/>
      <c r="B208" s="26"/>
      <c r="C208" s="24"/>
      <c r="D208" s="26"/>
      <c r="E208" s="26"/>
      <c r="F208" s="27"/>
      <c r="G208" s="27"/>
      <c r="H208" s="27"/>
      <c r="I208" s="5"/>
      <c r="J208" s="5"/>
      <c r="K208" s="5"/>
      <c r="L208" s="5"/>
      <c r="M208" s="5"/>
      <c r="N208" s="13"/>
      <c r="O208" s="6"/>
      <c r="P208" s="13"/>
      <c r="Q208" s="6"/>
      <c r="R208" s="6"/>
      <c r="S208" s="23"/>
      <c r="T208" s="6"/>
      <c r="U208" s="6"/>
      <c r="V208" s="13"/>
      <c r="W208" s="6"/>
    </row>
    <row r="209" spans="1:23" ht="24.75" customHeight="1">
      <c r="A209" s="9"/>
      <c r="B209" s="26"/>
      <c r="C209" s="24"/>
      <c r="D209" s="26"/>
      <c r="E209" s="26"/>
      <c r="F209" s="27"/>
      <c r="G209" s="27"/>
      <c r="H209" s="27"/>
      <c r="I209" s="5"/>
      <c r="J209" s="5"/>
      <c r="K209" s="5"/>
      <c r="L209" s="5"/>
      <c r="M209" s="5"/>
      <c r="N209" s="13"/>
      <c r="O209" s="6"/>
      <c r="P209" s="13"/>
      <c r="Q209" s="6"/>
      <c r="R209" s="6"/>
      <c r="S209" s="23"/>
      <c r="T209" s="6"/>
      <c r="U209" s="6"/>
      <c r="V209" s="13"/>
      <c r="W209" s="6"/>
    </row>
    <row r="210" spans="1:23" ht="24.75" customHeight="1">
      <c r="A210" s="9"/>
      <c r="B210" s="26"/>
      <c r="C210" s="24"/>
      <c r="D210" s="26"/>
      <c r="E210" s="26"/>
      <c r="F210" s="27"/>
      <c r="G210" s="27"/>
      <c r="H210" s="27"/>
      <c r="I210" s="5"/>
      <c r="J210" s="5"/>
      <c r="K210" s="5"/>
      <c r="L210" s="5"/>
      <c r="M210" s="5"/>
      <c r="N210" s="13"/>
      <c r="O210" s="6"/>
      <c r="P210" s="13"/>
      <c r="Q210" s="6"/>
      <c r="R210" s="6"/>
      <c r="S210" s="23"/>
      <c r="T210" s="6"/>
      <c r="U210" s="6"/>
      <c r="V210" s="13"/>
      <c r="W210" s="6"/>
    </row>
    <row r="211" spans="1:23" ht="24.75" customHeight="1">
      <c r="A211" s="9"/>
      <c r="B211" s="26"/>
      <c r="C211" s="24"/>
      <c r="D211" s="26"/>
      <c r="E211" s="26"/>
      <c r="F211" s="27"/>
      <c r="G211" s="27"/>
      <c r="H211" s="27"/>
      <c r="I211" s="5"/>
      <c r="J211" s="5"/>
      <c r="K211" s="5"/>
      <c r="L211" s="5"/>
      <c r="M211" s="5"/>
      <c r="N211" s="13"/>
      <c r="O211" s="6"/>
      <c r="P211" s="13"/>
      <c r="Q211" s="6"/>
      <c r="R211" s="6"/>
      <c r="S211" s="23"/>
      <c r="T211" s="6"/>
      <c r="U211" s="6"/>
      <c r="V211" s="13"/>
      <c r="W211" s="6"/>
    </row>
    <row r="212" spans="1:23" ht="24.75" customHeight="1">
      <c r="A212" s="9"/>
      <c r="B212" s="26"/>
      <c r="C212" s="24"/>
      <c r="D212" s="26"/>
      <c r="E212" s="26"/>
      <c r="F212" s="27"/>
      <c r="G212" s="27"/>
      <c r="H212" s="27"/>
      <c r="I212" s="5"/>
      <c r="J212" s="5"/>
      <c r="K212" s="5"/>
      <c r="L212" s="5"/>
      <c r="M212" s="5"/>
      <c r="N212" s="13"/>
      <c r="O212" s="6"/>
      <c r="P212" s="13"/>
      <c r="Q212" s="6"/>
      <c r="R212" s="6"/>
      <c r="S212" s="23"/>
      <c r="T212" s="6"/>
      <c r="U212" s="6"/>
      <c r="V212" s="13"/>
      <c r="W212" s="6"/>
    </row>
    <row r="213" spans="1:23" ht="24.75" customHeight="1">
      <c r="A213" s="9"/>
      <c r="B213" s="26"/>
      <c r="C213" s="24"/>
      <c r="D213" s="26"/>
      <c r="E213" s="26"/>
      <c r="F213" s="27"/>
      <c r="G213" s="27"/>
      <c r="H213" s="27"/>
      <c r="I213" s="5"/>
      <c r="J213" s="5"/>
      <c r="K213" s="5"/>
      <c r="L213" s="5"/>
      <c r="M213" s="5"/>
      <c r="N213" s="13"/>
      <c r="O213" s="6"/>
      <c r="P213" s="13"/>
      <c r="Q213" s="6"/>
      <c r="R213" s="6"/>
      <c r="S213" s="23"/>
      <c r="T213" s="6"/>
      <c r="U213" s="6"/>
      <c r="V213" s="13"/>
      <c r="W213" s="6"/>
    </row>
    <row r="214" spans="1:23" ht="24.75" customHeight="1">
      <c r="A214" s="9"/>
      <c r="B214" s="26"/>
      <c r="C214" s="24"/>
      <c r="D214" s="26"/>
      <c r="E214" s="26"/>
      <c r="F214" s="27"/>
      <c r="G214" s="27"/>
      <c r="H214" s="27"/>
      <c r="I214" s="5"/>
      <c r="J214" s="5"/>
      <c r="K214" s="5"/>
      <c r="L214" s="5"/>
      <c r="M214" s="5"/>
      <c r="N214" s="13"/>
      <c r="O214" s="6"/>
      <c r="P214" s="13"/>
      <c r="Q214" s="6"/>
      <c r="R214" s="6"/>
      <c r="S214" s="23"/>
      <c r="T214" s="6"/>
      <c r="U214" s="6"/>
      <c r="V214" s="13"/>
      <c r="W214" s="6"/>
    </row>
    <row r="215" spans="1:23" ht="24.75" customHeight="1">
      <c r="A215" s="9"/>
      <c r="B215" s="26"/>
      <c r="C215" s="26"/>
      <c r="D215" s="28"/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6"/>
    </row>
    <row r="216" spans="1:23" ht="24.75" customHeight="1">
      <c r="A216" s="9"/>
      <c r="B216" s="21"/>
      <c r="C216" s="21"/>
      <c r="D216" s="21"/>
      <c r="E216" s="21"/>
      <c r="F216" s="22"/>
      <c r="G216" s="22"/>
      <c r="H216" s="22"/>
      <c r="I216" s="29"/>
      <c r="J216" s="29"/>
      <c r="K216" s="29"/>
      <c r="L216" s="29"/>
      <c r="M216" s="29"/>
      <c r="N216" s="13"/>
      <c r="O216" s="6"/>
      <c r="P216" s="14"/>
      <c r="Q216" s="6"/>
      <c r="R216" s="6"/>
      <c r="S216" s="6"/>
      <c r="T216" s="6"/>
      <c r="U216" s="6"/>
      <c r="V216" s="6"/>
      <c r="W216" s="6"/>
    </row>
    <row r="217" spans="1:23" ht="24.75" customHeight="1">
      <c r="A217" s="9"/>
      <c r="B217" s="21"/>
      <c r="C217" s="21"/>
      <c r="D217" s="21"/>
      <c r="E217" s="21"/>
      <c r="F217" s="22"/>
      <c r="G217" s="22"/>
      <c r="H217" s="22"/>
      <c r="I217" s="29"/>
      <c r="J217" s="29"/>
      <c r="K217" s="29"/>
      <c r="L217" s="29"/>
      <c r="M217" s="29"/>
      <c r="N217" s="13"/>
      <c r="O217" s="6"/>
      <c r="P217" s="14"/>
      <c r="Q217" s="6"/>
      <c r="R217" s="6"/>
      <c r="S217" s="6"/>
      <c r="T217" s="6"/>
      <c r="U217" s="6"/>
      <c r="V217" s="6"/>
      <c r="W217" s="6"/>
    </row>
    <row r="218" spans="1:23" ht="24.75" customHeight="1">
      <c r="A218" s="9"/>
      <c r="B218" s="21"/>
      <c r="C218" s="21"/>
      <c r="D218" s="21"/>
      <c r="E218" s="21"/>
      <c r="F218" s="22"/>
      <c r="G218" s="22"/>
      <c r="H218" s="22"/>
      <c r="I218" s="5"/>
      <c r="J218" s="5"/>
      <c r="K218" s="5"/>
      <c r="L218" s="5"/>
      <c r="M218" s="5"/>
      <c r="N218" s="13"/>
      <c r="O218" s="6"/>
      <c r="P218" s="14"/>
      <c r="Q218" s="6"/>
      <c r="R218" s="6"/>
      <c r="S218" s="6"/>
      <c r="T218" s="6"/>
      <c r="U218" s="6"/>
      <c r="V218" s="6"/>
      <c r="W218" s="6"/>
    </row>
    <row r="219" spans="1:23" ht="24.75" customHeight="1">
      <c r="A219" s="9"/>
      <c r="B219" s="21"/>
      <c r="C219" s="21"/>
      <c r="D219" s="21"/>
      <c r="E219" s="21"/>
      <c r="F219" s="22"/>
      <c r="G219" s="22"/>
      <c r="H219" s="22"/>
      <c r="I219" s="5"/>
      <c r="J219" s="5"/>
      <c r="K219" s="5"/>
      <c r="L219" s="5"/>
      <c r="M219" s="5"/>
      <c r="N219" s="13"/>
      <c r="O219" s="6"/>
      <c r="P219" s="14"/>
      <c r="Q219" s="6"/>
      <c r="R219" s="6"/>
      <c r="S219" s="6"/>
      <c r="T219" s="6"/>
      <c r="U219" s="6"/>
      <c r="V219" s="6"/>
      <c r="W219" s="6"/>
    </row>
    <row r="220" spans="1:23" ht="24.75" customHeight="1">
      <c r="A220" s="9">
        <v>22</v>
      </c>
      <c r="B220" s="21"/>
      <c r="C220" s="21"/>
      <c r="D220" s="21"/>
      <c r="E220" s="21"/>
      <c r="F220" s="22"/>
      <c r="G220" s="22"/>
      <c r="H220" s="22"/>
      <c r="I220" s="5"/>
      <c r="J220" s="5"/>
      <c r="K220" s="5"/>
      <c r="L220" s="5"/>
      <c r="M220" s="5"/>
      <c r="N220" s="13"/>
      <c r="O220" s="6"/>
      <c r="P220" s="14"/>
      <c r="Q220" s="6"/>
      <c r="R220" s="6"/>
      <c r="S220" s="6"/>
      <c r="T220" s="6"/>
      <c r="U220" s="6"/>
      <c r="V220" s="6"/>
      <c r="W220" s="6"/>
    </row>
    <row r="221" spans="1:23" ht="24.75" customHeight="1">
      <c r="A221" s="9">
        <v>22</v>
      </c>
      <c r="B221" s="21"/>
      <c r="C221" s="21"/>
      <c r="D221" s="21"/>
      <c r="E221" s="21"/>
      <c r="F221" s="22"/>
      <c r="G221" s="22"/>
      <c r="H221" s="22"/>
      <c r="I221" s="5"/>
      <c r="J221" s="5"/>
      <c r="K221" s="5"/>
      <c r="L221" s="5"/>
      <c r="M221" s="5"/>
      <c r="N221" s="13"/>
      <c r="O221" s="6"/>
      <c r="P221" s="14"/>
      <c r="Q221" s="6"/>
      <c r="R221" s="6"/>
      <c r="S221" s="6"/>
      <c r="T221" s="6"/>
      <c r="U221" s="6"/>
      <c r="V221" s="6"/>
      <c r="W221" s="6"/>
    </row>
    <row r="222" spans="1:23" ht="24.75" customHeight="1">
      <c r="A222" s="9">
        <v>22</v>
      </c>
      <c r="B222" s="21"/>
      <c r="C222" s="21"/>
      <c r="D222" s="21"/>
      <c r="E222" s="21"/>
      <c r="F222" s="22"/>
      <c r="G222" s="22"/>
      <c r="H222" s="22"/>
      <c r="I222" s="5"/>
      <c r="J222" s="5"/>
      <c r="K222" s="5"/>
      <c r="L222" s="5"/>
      <c r="M222" s="5"/>
      <c r="N222" s="13"/>
      <c r="O222" s="6"/>
      <c r="P222" s="14"/>
      <c r="Q222" s="6"/>
      <c r="R222" s="6"/>
      <c r="S222" s="6"/>
      <c r="T222" s="6"/>
      <c r="U222" s="6"/>
      <c r="V222" s="6"/>
      <c r="W222" s="6"/>
    </row>
    <row r="223" spans="1:23" ht="24.75" customHeight="1">
      <c r="A223" s="9">
        <v>22</v>
      </c>
      <c r="B223" s="21"/>
      <c r="C223" s="21"/>
      <c r="D223" s="21"/>
      <c r="E223" s="21"/>
      <c r="F223" s="22"/>
      <c r="G223" s="22"/>
      <c r="H223" s="22"/>
      <c r="I223" s="5"/>
      <c r="J223" s="5"/>
      <c r="K223" s="5"/>
      <c r="L223" s="5"/>
      <c r="M223" s="5"/>
      <c r="N223" s="13"/>
      <c r="O223" s="6"/>
      <c r="P223" s="14"/>
      <c r="Q223" s="6"/>
      <c r="R223" s="6"/>
      <c r="S223" s="6"/>
      <c r="T223" s="6"/>
      <c r="U223" s="6"/>
      <c r="V223" s="6"/>
      <c r="W223" s="6"/>
    </row>
    <row r="224" spans="1:23" ht="24.75" customHeight="1">
      <c r="A224" s="9">
        <v>22</v>
      </c>
      <c r="B224" s="21"/>
      <c r="C224" s="21"/>
      <c r="D224" s="21"/>
      <c r="E224" s="21"/>
      <c r="F224" s="22"/>
      <c r="G224" s="22"/>
      <c r="H224" s="22"/>
      <c r="I224" s="5"/>
      <c r="J224" s="5"/>
      <c r="K224" s="5"/>
      <c r="L224" s="5"/>
      <c r="M224" s="5"/>
      <c r="N224" s="13"/>
      <c r="O224" s="6"/>
      <c r="P224" s="14"/>
      <c r="Q224" s="6"/>
      <c r="R224" s="6"/>
      <c r="S224" s="6"/>
      <c r="T224" s="6"/>
      <c r="U224" s="6"/>
      <c r="V224" s="6"/>
      <c r="W224" s="6"/>
    </row>
    <row r="225" spans="1:23" ht="24.75" customHeight="1">
      <c r="A225" s="9">
        <v>22</v>
      </c>
      <c r="B225" s="21"/>
      <c r="C225" s="21"/>
      <c r="D225" s="21"/>
      <c r="E225" s="21"/>
      <c r="F225" s="22"/>
      <c r="G225" s="22"/>
      <c r="H225" s="22"/>
      <c r="I225" s="5"/>
      <c r="J225" s="5"/>
      <c r="K225" s="5"/>
      <c r="L225" s="5"/>
      <c r="M225" s="5"/>
      <c r="N225" s="13"/>
      <c r="O225" s="6"/>
      <c r="P225" s="14"/>
      <c r="Q225" s="6"/>
      <c r="R225" s="6"/>
      <c r="S225" s="6"/>
      <c r="T225" s="6"/>
      <c r="U225" s="6"/>
      <c r="V225" s="6"/>
      <c r="W225" s="6"/>
    </row>
    <row r="226" spans="1:23" ht="24.75" customHeight="1">
      <c r="A226" s="9">
        <v>22</v>
      </c>
      <c r="B226" s="21"/>
      <c r="C226" s="21"/>
      <c r="D226" s="21"/>
      <c r="E226" s="21"/>
      <c r="F226" s="22"/>
      <c r="G226" s="22"/>
      <c r="H226" s="22"/>
      <c r="I226" s="5"/>
      <c r="J226" s="5"/>
      <c r="K226" s="5"/>
      <c r="L226" s="5"/>
      <c r="M226" s="5"/>
      <c r="N226" s="13"/>
      <c r="O226" s="6"/>
      <c r="P226" s="14"/>
      <c r="Q226" s="6"/>
      <c r="R226" s="6"/>
      <c r="S226" s="6"/>
      <c r="T226" s="6"/>
      <c r="U226" s="6"/>
      <c r="V226" s="6"/>
      <c r="W226" s="6"/>
    </row>
    <row r="227" spans="1:23" ht="24.75" customHeight="1">
      <c r="A227" s="9">
        <v>22</v>
      </c>
      <c r="B227" s="21"/>
      <c r="C227" s="21"/>
      <c r="D227" s="21"/>
      <c r="E227" s="21"/>
      <c r="F227" s="22"/>
      <c r="G227" s="22"/>
      <c r="H227" s="22"/>
      <c r="I227" s="5"/>
      <c r="J227" s="5"/>
      <c r="K227" s="5"/>
      <c r="L227" s="5"/>
      <c r="M227" s="5"/>
      <c r="N227" s="13"/>
      <c r="O227" s="6"/>
      <c r="P227" s="14"/>
      <c r="Q227" s="6"/>
      <c r="R227" s="6"/>
      <c r="S227" s="6"/>
      <c r="T227" s="6"/>
      <c r="U227" s="6"/>
      <c r="V227" s="6"/>
      <c r="W227" s="6"/>
    </row>
    <row r="228" spans="1:23" ht="24.75" customHeight="1">
      <c r="A228" s="9">
        <v>22</v>
      </c>
      <c r="B228" s="21"/>
      <c r="C228" s="21"/>
      <c r="D228" s="21"/>
      <c r="E228" s="21"/>
      <c r="F228" s="22"/>
      <c r="G228" s="22"/>
      <c r="H228" s="22"/>
      <c r="I228" s="5"/>
      <c r="J228" s="5"/>
      <c r="K228" s="5"/>
      <c r="L228" s="5"/>
      <c r="M228" s="5"/>
      <c r="N228" s="13"/>
      <c r="O228" s="6"/>
      <c r="P228" s="14"/>
      <c r="Q228" s="6"/>
      <c r="R228" s="6"/>
      <c r="S228" s="6"/>
      <c r="T228" s="6"/>
      <c r="U228" s="6"/>
      <c r="V228" s="6"/>
      <c r="W228" s="6"/>
    </row>
    <row r="229" spans="1:23" ht="24.75" customHeight="1">
      <c r="A229" s="9">
        <v>22</v>
      </c>
      <c r="B229" s="21"/>
      <c r="C229" s="21"/>
      <c r="D229" s="21"/>
      <c r="E229" s="21"/>
      <c r="F229" s="22"/>
      <c r="G229" s="22"/>
      <c r="H229" s="22"/>
      <c r="I229" s="5"/>
      <c r="J229" s="5"/>
      <c r="K229" s="5"/>
      <c r="L229" s="5"/>
      <c r="M229" s="5"/>
      <c r="N229" s="13"/>
      <c r="O229" s="6"/>
      <c r="P229" s="14"/>
      <c r="Q229" s="6"/>
      <c r="R229" s="6"/>
      <c r="S229" s="6"/>
      <c r="T229" s="6"/>
      <c r="U229" s="6"/>
      <c r="V229" s="6"/>
      <c r="W229" s="6"/>
    </row>
    <row r="230" spans="1:23" ht="24.75" customHeight="1">
      <c r="A230" s="9">
        <v>22</v>
      </c>
      <c r="B230" s="21"/>
      <c r="C230" s="21"/>
      <c r="D230" s="21"/>
      <c r="E230" s="21"/>
      <c r="F230" s="22"/>
      <c r="G230" s="22"/>
      <c r="H230" s="22"/>
      <c r="I230" s="5"/>
      <c r="J230" s="5"/>
      <c r="K230" s="5"/>
      <c r="L230" s="5"/>
      <c r="M230" s="5"/>
      <c r="N230" s="13"/>
      <c r="O230" s="6"/>
      <c r="P230" s="14"/>
      <c r="Q230" s="6"/>
      <c r="R230" s="6"/>
      <c r="S230" s="6"/>
      <c r="T230" s="6"/>
      <c r="U230" s="6"/>
      <c r="V230" s="6"/>
      <c r="W230" s="6"/>
    </row>
    <row r="231" spans="1:23" ht="24.75" customHeight="1">
      <c r="A231" s="9">
        <v>22</v>
      </c>
      <c r="B231" s="21"/>
      <c r="C231" s="21"/>
      <c r="D231" s="21"/>
      <c r="E231" s="21"/>
      <c r="F231" s="22"/>
      <c r="G231" s="22"/>
      <c r="H231" s="22"/>
      <c r="I231" s="5"/>
      <c r="J231" s="5"/>
      <c r="K231" s="5"/>
      <c r="L231" s="5"/>
      <c r="M231" s="5"/>
      <c r="N231" s="13"/>
      <c r="O231" s="6"/>
      <c r="P231" s="14"/>
      <c r="Q231" s="6"/>
      <c r="R231" s="6"/>
      <c r="S231" s="6"/>
      <c r="T231" s="6"/>
      <c r="U231" s="6"/>
      <c r="V231" s="6"/>
      <c r="W231" s="6"/>
    </row>
    <row r="232" spans="1:23" ht="24.75" customHeight="1">
      <c r="A232" s="9">
        <v>22</v>
      </c>
      <c r="B232" s="21"/>
      <c r="C232" s="21"/>
      <c r="D232" s="21"/>
      <c r="E232" s="21"/>
      <c r="F232" s="22"/>
      <c r="G232" s="22"/>
      <c r="H232" s="22"/>
      <c r="I232" s="5"/>
      <c r="J232" s="5"/>
      <c r="K232" s="5"/>
      <c r="L232" s="5"/>
      <c r="M232" s="5"/>
      <c r="N232" s="13"/>
      <c r="O232" s="6"/>
      <c r="P232" s="14"/>
      <c r="Q232" s="6"/>
      <c r="R232" s="6"/>
      <c r="S232" s="6"/>
      <c r="T232" s="6"/>
      <c r="U232" s="6"/>
      <c r="V232" s="6"/>
      <c r="W232" s="6"/>
    </row>
    <row r="233" spans="1:23" ht="24.75" customHeight="1">
      <c r="A233" s="9">
        <v>22</v>
      </c>
      <c r="B233" s="21"/>
      <c r="C233" s="21"/>
      <c r="D233" s="21"/>
      <c r="E233" s="21"/>
      <c r="F233" s="22"/>
      <c r="G233" s="22"/>
      <c r="H233" s="22"/>
      <c r="I233" s="5"/>
      <c r="J233" s="5"/>
      <c r="K233" s="5"/>
      <c r="L233" s="5"/>
      <c r="M233" s="5"/>
      <c r="N233" s="13"/>
      <c r="O233" s="6"/>
      <c r="P233" s="14"/>
      <c r="Q233" s="6"/>
      <c r="R233" s="6"/>
      <c r="S233" s="6"/>
      <c r="T233" s="6"/>
      <c r="U233" s="6"/>
      <c r="V233" s="6"/>
      <c r="W233" s="6"/>
    </row>
    <row r="234" spans="1:23" ht="24.75" customHeight="1">
      <c r="A234" s="9">
        <v>22</v>
      </c>
      <c r="B234" s="21"/>
      <c r="C234" s="21"/>
      <c r="D234" s="21"/>
      <c r="E234" s="21"/>
      <c r="F234" s="22"/>
      <c r="G234" s="22"/>
      <c r="H234" s="22"/>
      <c r="I234" s="5"/>
      <c r="J234" s="5"/>
      <c r="K234" s="5"/>
      <c r="L234" s="5"/>
      <c r="M234" s="5"/>
      <c r="N234" s="13"/>
      <c r="O234" s="6"/>
      <c r="P234" s="14"/>
      <c r="Q234" s="6"/>
      <c r="R234" s="6"/>
      <c r="S234" s="6"/>
      <c r="T234" s="6"/>
      <c r="U234" s="6"/>
      <c r="V234" s="6"/>
      <c r="W234" s="6"/>
    </row>
    <row r="235" spans="1:23" ht="24.75" customHeight="1">
      <c r="A235" s="9">
        <v>22</v>
      </c>
      <c r="B235" s="21"/>
      <c r="C235" s="21"/>
      <c r="D235" s="21"/>
      <c r="E235" s="21"/>
      <c r="F235" s="22"/>
      <c r="G235" s="22"/>
      <c r="H235" s="22"/>
      <c r="I235" s="5"/>
      <c r="J235" s="5"/>
      <c r="K235" s="5"/>
      <c r="L235" s="5"/>
      <c r="M235" s="5"/>
      <c r="N235" s="13"/>
      <c r="O235" s="6"/>
      <c r="P235" s="14"/>
      <c r="Q235" s="6"/>
      <c r="R235" s="6"/>
      <c r="S235" s="6"/>
      <c r="T235" s="6"/>
      <c r="U235" s="6"/>
      <c r="V235" s="6"/>
      <c r="W235" s="6"/>
    </row>
    <row r="236" spans="1:23" ht="24.75" customHeight="1">
      <c r="A236" s="9">
        <v>22</v>
      </c>
      <c r="B236" s="21"/>
      <c r="C236" s="21"/>
      <c r="D236" s="21"/>
      <c r="E236" s="21"/>
      <c r="F236" s="22"/>
      <c r="G236" s="22"/>
      <c r="H236" s="22"/>
      <c r="I236" s="5"/>
      <c r="J236" s="5"/>
      <c r="K236" s="5"/>
      <c r="L236" s="5"/>
      <c r="M236" s="5"/>
      <c r="N236" s="13"/>
      <c r="O236" s="6"/>
      <c r="P236" s="14"/>
      <c r="Q236" s="6"/>
      <c r="R236" s="6"/>
      <c r="S236" s="6"/>
      <c r="T236" s="6"/>
      <c r="U236" s="6"/>
      <c r="V236" s="6"/>
      <c r="W236" s="6"/>
    </row>
    <row r="237" spans="1:23" ht="24.75" customHeight="1">
      <c r="A237" s="9">
        <v>22</v>
      </c>
      <c r="B237" s="21"/>
      <c r="C237" s="21"/>
      <c r="D237" s="21"/>
      <c r="E237" s="21"/>
      <c r="F237" s="22"/>
      <c r="G237" s="22"/>
      <c r="H237" s="22"/>
      <c r="I237" s="5"/>
      <c r="J237" s="5"/>
      <c r="K237" s="5"/>
      <c r="L237" s="5"/>
      <c r="M237" s="5"/>
      <c r="N237" s="13"/>
      <c r="O237" s="6"/>
      <c r="P237" s="14"/>
      <c r="Q237" s="6"/>
      <c r="R237" s="6"/>
      <c r="S237" s="6"/>
      <c r="T237" s="6"/>
      <c r="U237" s="6"/>
      <c r="V237" s="6"/>
      <c r="W237" s="6"/>
    </row>
    <row r="238" spans="1:23" ht="24.75" customHeight="1">
      <c r="A238" s="9">
        <v>22</v>
      </c>
      <c r="B238" s="21"/>
      <c r="C238" s="21"/>
      <c r="D238" s="21"/>
      <c r="E238" s="21"/>
      <c r="F238" s="22"/>
      <c r="G238" s="22"/>
      <c r="H238" s="22"/>
      <c r="I238" s="5"/>
      <c r="J238" s="5"/>
      <c r="K238" s="5"/>
      <c r="L238" s="5"/>
      <c r="M238" s="5"/>
      <c r="N238" s="13"/>
      <c r="O238" s="6"/>
      <c r="P238" s="14"/>
      <c r="Q238" s="6"/>
      <c r="R238" s="6"/>
      <c r="S238" s="6"/>
      <c r="T238" s="6"/>
      <c r="U238" s="6"/>
      <c r="V238" s="6"/>
      <c r="W238" s="6"/>
    </row>
    <row r="239" spans="1:23" ht="24.75" customHeight="1">
      <c r="A239" s="9">
        <v>22</v>
      </c>
      <c r="B239" s="21"/>
      <c r="C239" s="21"/>
      <c r="D239" s="21"/>
      <c r="E239" s="21"/>
      <c r="F239" s="22"/>
      <c r="G239" s="22"/>
      <c r="H239" s="22"/>
      <c r="I239" s="5"/>
      <c r="J239" s="5"/>
      <c r="K239" s="5"/>
      <c r="L239" s="5"/>
      <c r="M239" s="5"/>
      <c r="N239" s="13"/>
      <c r="O239" s="6"/>
      <c r="P239" s="14"/>
      <c r="Q239" s="6"/>
      <c r="R239" s="6"/>
      <c r="S239" s="6"/>
      <c r="T239" s="6"/>
      <c r="U239" s="6"/>
      <c r="V239" s="6"/>
      <c r="W239" s="6"/>
    </row>
    <row r="240" spans="1:23" ht="24.75" customHeight="1">
      <c r="A240" s="9">
        <v>22</v>
      </c>
      <c r="B240" s="21"/>
      <c r="C240" s="21"/>
      <c r="D240" s="21"/>
      <c r="E240" s="21"/>
      <c r="F240" s="22"/>
      <c r="G240" s="22"/>
      <c r="H240" s="22"/>
      <c r="I240" s="5"/>
      <c r="J240" s="5"/>
      <c r="K240" s="5"/>
      <c r="L240" s="5"/>
      <c r="M240" s="5"/>
      <c r="N240" s="13"/>
      <c r="O240" s="6"/>
      <c r="P240" s="14"/>
      <c r="Q240" s="6"/>
      <c r="R240" s="6"/>
      <c r="S240" s="6"/>
      <c r="T240" s="6"/>
      <c r="U240" s="6"/>
      <c r="V240" s="6"/>
      <c r="W240" s="6"/>
    </row>
    <row r="241" spans="1:23" ht="24.75" customHeight="1">
      <c r="A241" s="9">
        <v>22</v>
      </c>
      <c r="B241" s="21"/>
      <c r="C241" s="21"/>
      <c r="D241" s="21"/>
      <c r="E241" s="21"/>
      <c r="F241" s="22"/>
      <c r="G241" s="22"/>
      <c r="H241" s="22"/>
      <c r="I241" s="5"/>
      <c r="J241" s="5"/>
      <c r="K241" s="5"/>
      <c r="L241" s="5"/>
      <c r="M241" s="5"/>
      <c r="N241" s="13"/>
      <c r="O241" s="6"/>
      <c r="P241" s="14"/>
      <c r="Q241" s="6"/>
      <c r="R241" s="6"/>
      <c r="S241" s="6"/>
      <c r="T241" s="6"/>
      <c r="U241" s="6"/>
      <c r="V241" s="6"/>
      <c r="W241" s="6"/>
    </row>
    <row r="242" spans="1:23" ht="24.75" customHeight="1">
      <c r="A242" s="9">
        <v>22</v>
      </c>
      <c r="B242" s="21"/>
      <c r="C242" s="21"/>
      <c r="D242" s="21"/>
      <c r="E242" s="21"/>
      <c r="F242" s="22"/>
      <c r="G242" s="22"/>
      <c r="H242" s="22"/>
      <c r="I242" s="5"/>
      <c r="J242" s="5"/>
      <c r="K242" s="5"/>
      <c r="L242" s="5"/>
      <c r="M242" s="5"/>
      <c r="N242" s="13"/>
      <c r="O242" s="6"/>
      <c r="P242" s="14"/>
      <c r="Q242" s="6"/>
      <c r="R242" s="6"/>
      <c r="S242" s="6"/>
      <c r="T242" s="6"/>
      <c r="U242" s="6"/>
      <c r="V242" s="6"/>
      <c r="W242" s="6"/>
    </row>
    <row r="243" spans="1:23" ht="24.75" customHeight="1">
      <c r="A243" s="9">
        <v>22</v>
      </c>
      <c r="B243" s="21"/>
      <c r="C243" s="21"/>
      <c r="D243" s="21"/>
      <c r="E243" s="21"/>
      <c r="F243" s="22"/>
      <c r="G243" s="22"/>
      <c r="H243" s="22"/>
      <c r="I243" s="5"/>
      <c r="J243" s="5"/>
      <c r="K243" s="5"/>
      <c r="L243" s="5"/>
      <c r="M243" s="5"/>
      <c r="N243" s="13"/>
      <c r="O243" s="6"/>
      <c r="P243" s="14"/>
      <c r="Q243" s="6"/>
      <c r="R243" s="6"/>
      <c r="S243" s="6"/>
      <c r="T243" s="6"/>
      <c r="U243" s="6"/>
      <c r="V243" s="6"/>
      <c r="W243" s="6"/>
    </row>
    <row r="244" spans="1:23" ht="24.75" customHeight="1">
      <c r="A244" s="9">
        <v>22</v>
      </c>
      <c r="B244" s="21"/>
      <c r="C244" s="21"/>
      <c r="D244" s="21"/>
      <c r="E244" s="21"/>
      <c r="F244" s="22"/>
      <c r="G244" s="22"/>
      <c r="H244" s="22"/>
      <c r="I244" s="5"/>
      <c r="J244" s="5"/>
      <c r="K244" s="5"/>
      <c r="L244" s="5"/>
      <c r="M244" s="5"/>
      <c r="N244" s="13"/>
      <c r="O244" s="6"/>
      <c r="P244" s="14"/>
      <c r="Q244" s="6"/>
      <c r="R244" s="6"/>
      <c r="S244" s="6"/>
      <c r="T244" s="6"/>
      <c r="U244" s="6"/>
      <c r="V244" s="6"/>
      <c r="W244" s="6"/>
    </row>
    <row r="245" spans="1:23" ht="24.75" customHeight="1">
      <c r="A245" s="9">
        <v>22</v>
      </c>
      <c r="B245" s="21"/>
      <c r="C245" s="21"/>
      <c r="D245" s="21"/>
      <c r="E245" s="21"/>
      <c r="F245" s="22"/>
      <c r="G245" s="22"/>
      <c r="H245" s="22"/>
      <c r="I245" s="5"/>
      <c r="J245" s="5"/>
      <c r="K245" s="5"/>
      <c r="L245" s="5"/>
      <c r="M245" s="5"/>
      <c r="N245" s="13"/>
      <c r="O245" s="6"/>
      <c r="P245" s="14"/>
      <c r="Q245" s="6"/>
      <c r="R245" s="6"/>
      <c r="S245" s="6"/>
      <c r="T245" s="6"/>
      <c r="U245" s="6"/>
      <c r="V245" s="6"/>
      <c r="W245" s="6"/>
    </row>
    <row r="246" spans="1:23" ht="24.75" customHeight="1">
      <c r="A246" s="9">
        <v>22</v>
      </c>
      <c r="B246" s="21"/>
      <c r="C246" s="21"/>
      <c r="D246" s="21"/>
      <c r="E246" s="21"/>
      <c r="F246" s="22"/>
      <c r="G246" s="22"/>
      <c r="H246" s="22"/>
      <c r="I246" s="5"/>
      <c r="J246" s="5"/>
      <c r="K246" s="5"/>
      <c r="L246" s="5"/>
      <c r="M246" s="5"/>
      <c r="N246" s="13"/>
      <c r="O246" s="6"/>
      <c r="P246" s="14"/>
      <c r="Q246" s="6"/>
      <c r="R246" s="6"/>
      <c r="S246" s="6"/>
      <c r="T246" s="6"/>
      <c r="U246" s="6"/>
      <c r="V246" s="6"/>
      <c r="W246" s="6"/>
    </row>
    <row r="247" spans="1:23" ht="24.75" customHeight="1">
      <c r="A247" s="9">
        <v>22</v>
      </c>
      <c r="B247" s="21"/>
      <c r="C247" s="21"/>
      <c r="D247" s="21"/>
      <c r="E247" s="21"/>
      <c r="F247" s="22"/>
      <c r="G247" s="22"/>
      <c r="H247" s="22"/>
      <c r="I247" s="5"/>
      <c r="J247" s="5"/>
      <c r="K247" s="5"/>
      <c r="L247" s="5"/>
      <c r="M247" s="5"/>
      <c r="N247" s="13"/>
      <c r="O247" s="6"/>
      <c r="P247" s="14"/>
      <c r="Q247" s="6"/>
      <c r="R247" s="6"/>
      <c r="S247" s="6"/>
      <c r="T247" s="6"/>
      <c r="U247" s="6"/>
      <c r="V247" s="6"/>
      <c r="W247" s="6"/>
    </row>
    <row r="248" spans="1:23" ht="24.75" customHeight="1">
      <c r="A248" s="9">
        <v>22</v>
      </c>
      <c r="B248" s="21"/>
      <c r="C248" s="21"/>
      <c r="D248" s="21"/>
      <c r="E248" s="21"/>
      <c r="F248" s="22"/>
      <c r="G248" s="22"/>
      <c r="H248" s="22"/>
      <c r="I248" s="5"/>
      <c r="J248" s="5"/>
      <c r="K248" s="5"/>
      <c r="L248" s="5"/>
      <c r="M248" s="5"/>
      <c r="N248" s="13"/>
      <c r="O248" s="6"/>
      <c r="P248" s="14"/>
      <c r="Q248" s="6"/>
      <c r="R248" s="6"/>
      <c r="S248" s="6"/>
      <c r="T248" s="6"/>
      <c r="U248" s="6"/>
      <c r="V248" s="6"/>
      <c r="W248" s="6"/>
    </row>
    <row r="249" spans="1:23" ht="24.75" customHeight="1">
      <c r="A249" s="9">
        <v>22</v>
      </c>
      <c r="B249" s="21"/>
      <c r="C249" s="21"/>
      <c r="D249" s="21"/>
      <c r="E249" s="21"/>
      <c r="F249" s="22"/>
      <c r="G249" s="22"/>
      <c r="H249" s="22"/>
      <c r="I249" s="5"/>
      <c r="J249" s="5"/>
      <c r="K249" s="5"/>
      <c r="L249" s="5"/>
      <c r="M249" s="5"/>
      <c r="N249" s="13"/>
      <c r="O249" s="6"/>
      <c r="P249" s="14"/>
      <c r="Q249" s="6"/>
      <c r="R249" s="6"/>
      <c r="S249" s="6"/>
      <c r="T249" s="6"/>
      <c r="U249" s="6"/>
      <c r="V249" s="6"/>
      <c r="W249" s="6"/>
    </row>
    <row r="250" spans="1:23" ht="24.75" customHeight="1">
      <c r="A250" s="9">
        <v>22</v>
      </c>
      <c r="B250" s="21"/>
      <c r="C250" s="21"/>
      <c r="D250" s="21"/>
      <c r="E250" s="21"/>
      <c r="F250" s="22"/>
      <c r="G250" s="22"/>
      <c r="H250" s="22"/>
      <c r="I250" s="5"/>
      <c r="J250" s="5"/>
      <c r="K250" s="5"/>
      <c r="L250" s="5"/>
      <c r="M250" s="5"/>
      <c r="N250" s="13"/>
      <c r="O250" s="6"/>
      <c r="P250" s="14"/>
      <c r="Q250" s="6"/>
      <c r="R250" s="6"/>
      <c r="S250" s="6"/>
      <c r="T250" s="6"/>
      <c r="U250" s="6"/>
      <c r="V250" s="6"/>
      <c r="W250" s="6"/>
    </row>
    <row r="251" spans="1:23" ht="24.75" customHeight="1">
      <c r="A251" s="9">
        <v>22</v>
      </c>
      <c r="B251" s="21"/>
      <c r="C251" s="21"/>
      <c r="D251" s="21"/>
      <c r="E251" s="21"/>
      <c r="F251" s="22"/>
      <c r="G251" s="22"/>
      <c r="H251" s="22"/>
      <c r="I251" s="5"/>
      <c r="J251" s="5"/>
      <c r="K251" s="5"/>
      <c r="L251" s="5"/>
      <c r="M251" s="5"/>
      <c r="N251" s="13"/>
      <c r="O251" s="6"/>
      <c r="P251" s="14"/>
      <c r="Q251" s="6"/>
      <c r="R251" s="6"/>
      <c r="S251" s="6"/>
      <c r="T251" s="6"/>
      <c r="U251" s="6"/>
      <c r="V251" s="6"/>
      <c r="W251" s="6"/>
    </row>
    <row r="252" spans="1:23" ht="24.75" customHeight="1">
      <c r="A252" s="9">
        <v>22</v>
      </c>
      <c r="B252" s="21"/>
      <c r="C252" s="21"/>
      <c r="D252" s="21"/>
      <c r="E252" s="21"/>
      <c r="F252" s="22"/>
      <c r="G252" s="22"/>
      <c r="H252" s="22"/>
      <c r="I252" s="5"/>
      <c r="J252" s="5"/>
      <c r="K252" s="5"/>
      <c r="L252" s="5"/>
      <c r="M252" s="5"/>
      <c r="N252" s="13" t="e">
        <f t="shared" ref="N252:N258" si="18">G252/(F252*F252)*10000</f>
        <v>#DIV/0!</v>
      </c>
      <c r="O252" s="6" t="e">
        <f>LOOKUP(N252,Sheet6!$J$4:$J$11,Sheet6!$B$4:$B$11)*0.15</f>
        <v>#DIV/0!</v>
      </c>
      <c r="P252" s="14" t="e">
        <f>LOOKUP(H252,Sheet6!$J$25:$J$66,Sheet6!$B$25:$B$66)*0.15</f>
        <v>#N/A</v>
      </c>
      <c r="Q252" s="6" t="e">
        <f>LOOKUP(I252,Sheet6!$J$115:$J$156,Sheet6!$B$115:$B$156)*0.2</f>
        <v>#N/A</v>
      </c>
      <c r="R252" s="6" t="e">
        <f>LOOKUP(J252,Sheet6!$D$465:$D$506,Sheet6!$B$465:$B$506)*0.1</f>
        <v>#N/A</v>
      </c>
      <c r="S252" s="6">
        <f>LOOKUP(K252,Sheet6!$J$205:$J$246,Sheet6!$B$205:$B$246)*0.1</f>
        <v>6.2</v>
      </c>
      <c r="T252" s="6" t="e">
        <f>LOOKUP(L252,Sheet6!$F$688:$F$749,Sheet6!$B$688:$B$749)*0.2</f>
        <v>#N/A</v>
      </c>
      <c r="U252" s="6">
        <f>LOOKUP(M252,Sheet6!$D$600:$D$626,Sheet6!$B$600:$B$626)*0.1</f>
        <v>0</v>
      </c>
      <c r="V252" s="6" t="e">
        <f t="shared" ref="V252:V258" si="19">O252+P252+Q252+R252+S252+T252+U252</f>
        <v>#DIV/0!</v>
      </c>
      <c r="W252" s="6" t="e">
        <f t="shared" ref="W252:W258" si="20">IF(V252&lt;60,"不及格",IF(V252&lt;80,"及格",IF(V252&lt;90,"良好",IF(V252&lt;121,"优秀"))))</f>
        <v>#DIV/0!</v>
      </c>
    </row>
    <row r="253" spans="1:23" ht="24.75" customHeight="1">
      <c r="A253" s="9">
        <v>22</v>
      </c>
      <c r="B253" s="21"/>
      <c r="C253" s="21"/>
      <c r="D253" s="21"/>
      <c r="E253" s="21"/>
      <c r="F253" s="22"/>
      <c r="G253" s="22"/>
      <c r="H253" s="22"/>
      <c r="I253" s="5"/>
      <c r="J253" s="5"/>
      <c r="K253" s="5"/>
      <c r="L253" s="5"/>
      <c r="M253" s="5"/>
      <c r="N253" s="13" t="e">
        <f t="shared" si="18"/>
        <v>#DIV/0!</v>
      </c>
      <c r="O253" s="6" t="e">
        <f>LOOKUP(N253,Sheet6!$J$4:$J$11,Sheet6!$B$4:$B$11)*0.15</f>
        <v>#DIV/0!</v>
      </c>
      <c r="P253" s="14" t="e">
        <f>LOOKUP(H253,Sheet6!$J$25:$J$66,Sheet6!$B$25:$B$66)*0.15</f>
        <v>#N/A</v>
      </c>
      <c r="Q253" s="6" t="e">
        <f>LOOKUP(I253,Sheet6!$J$115:$J$156,Sheet6!$B$115:$B$156)*0.2</f>
        <v>#N/A</v>
      </c>
      <c r="R253" s="6" t="e">
        <f>LOOKUP(J253,Sheet6!$D$465:$D$506,Sheet6!$B$465:$B$506)*0.1</f>
        <v>#N/A</v>
      </c>
      <c r="S253" s="6">
        <f>LOOKUP(K253,Sheet6!$J$205:$J$246,Sheet6!$B$205:$B$246)*0.1</f>
        <v>6.2</v>
      </c>
      <c r="T253" s="6" t="e">
        <f>LOOKUP(L253,Sheet6!$F$688:$F$749,Sheet6!$B$688:$B$749)*0.2</f>
        <v>#N/A</v>
      </c>
      <c r="U253" s="6">
        <f>LOOKUP(M253,Sheet6!$D$600:$D$626,Sheet6!$B$600:$B$626)*0.1</f>
        <v>0</v>
      </c>
      <c r="V253" s="6" t="e">
        <f t="shared" si="19"/>
        <v>#DIV/0!</v>
      </c>
      <c r="W253" s="6" t="e">
        <f t="shared" si="20"/>
        <v>#DIV/0!</v>
      </c>
    </row>
    <row r="254" spans="1:23" ht="24.75" customHeight="1">
      <c r="A254" s="9">
        <v>22</v>
      </c>
      <c r="B254" s="21"/>
      <c r="C254" s="21"/>
      <c r="D254" s="21"/>
      <c r="E254" s="21"/>
      <c r="F254" s="22"/>
      <c r="G254" s="22"/>
      <c r="H254" s="22"/>
      <c r="I254" s="5"/>
      <c r="J254" s="5"/>
      <c r="K254" s="5"/>
      <c r="L254" s="5"/>
      <c r="M254" s="5"/>
      <c r="N254" s="13" t="e">
        <f t="shared" si="18"/>
        <v>#DIV/0!</v>
      </c>
      <c r="O254" s="6" t="e">
        <f>LOOKUP(N254,Sheet6!$J$4:$J$11,Sheet6!$B$4:$B$11)*0.15</f>
        <v>#DIV/0!</v>
      </c>
      <c r="P254" s="14" t="e">
        <f>LOOKUP(H254,Sheet6!$J$25:$J$66,Sheet6!$B$25:$B$66)*0.15</f>
        <v>#N/A</v>
      </c>
      <c r="Q254" s="6" t="e">
        <f>LOOKUP(I254,Sheet6!$J$115:$J$156,Sheet6!$B$115:$B$156)*0.2</f>
        <v>#N/A</v>
      </c>
      <c r="R254" s="6" t="e">
        <f>LOOKUP(J254,Sheet6!$D$465:$D$506,Sheet6!$B$465:$B$506)*0.1</f>
        <v>#N/A</v>
      </c>
      <c r="S254" s="6">
        <f>LOOKUP(K254,Sheet6!$J$205:$J$246,Sheet6!$B$205:$B$246)*0.1</f>
        <v>6.2</v>
      </c>
      <c r="T254" s="6" t="e">
        <f>LOOKUP(L254,Sheet6!$F$688:$F$749,Sheet6!$B$688:$B$749)*0.2</f>
        <v>#N/A</v>
      </c>
      <c r="U254" s="6">
        <f>LOOKUP(M254,Sheet6!$D$600:$D$626,Sheet6!$B$600:$B$626)*0.1</f>
        <v>0</v>
      </c>
      <c r="V254" s="6" t="e">
        <f t="shared" si="19"/>
        <v>#DIV/0!</v>
      </c>
      <c r="W254" s="6" t="e">
        <f t="shared" si="20"/>
        <v>#DIV/0!</v>
      </c>
    </row>
    <row r="255" spans="1:23" ht="24.75" customHeight="1">
      <c r="A255" s="9">
        <v>22</v>
      </c>
      <c r="B255" s="21"/>
      <c r="C255" s="21"/>
      <c r="D255" s="21"/>
      <c r="E255" s="21"/>
      <c r="F255" s="22"/>
      <c r="G255" s="22"/>
      <c r="H255" s="22"/>
      <c r="I255" s="5"/>
      <c r="J255" s="5"/>
      <c r="K255" s="5"/>
      <c r="L255" s="5"/>
      <c r="M255" s="5"/>
      <c r="N255" s="13" t="e">
        <f t="shared" si="18"/>
        <v>#DIV/0!</v>
      </c>
      <c r="O255" s="6" t="e">
        <f>LOOKUP(N255,Sheet6!$J$4:$J$11,Sheet6!$B$4:$B$11)*0.15</f>
        <v>#DIV/0!</v>
      </c>
      <c r="P255" s="14" t="e">
        <f>LOOKUP(H255,Sheet6!$J$25:$J$66,Sheet6!$B$25:$B$66)*0.15</f>
        <v>#N/A</v>
      </c>
      <c r="Q255" s="6" t="e">
        <f>LOOKUP(I255,Sheet6!$J$115:$J$156,Sheet6!$B$115:$B$156)*0.2</f>
        <v>#N/A</v>
      </c>
      <c r="R255" s="6" t="e">
        <f>LOOKUP(J255,Sheet6!$D$465:$D$506,Sheet6!$B$465:$B$506)*0.1</f>
        <v>#N/A</v>
      </c>
      <c r="S255" s="6">
        <f>LOOKUP(K255,Sheet6!$J$205:$J$246,Sheet6!$B$205:$B$246)*0.1</f>
        <v>6.2</v>
      </c>
      <c r="T255" s="6" t="e">
        <f>LOOKUP(L255,Sheet6!$F$688:$F$749,Sheet6!$B$688:$B$749)*0.2</f>
        <v>#N/A</v>
      </c>
      <c r="U255" s="6">
        <f>LOOKUP(M255,Sheet6!$D$600:$D$626,Sheet6!$B$600:$B$626)*0.1</f>
        <v>0</v>
      </c>
      <c r="V255" s="6" t="e">
        <f t="shared" si="19"/>
        <v>#DIV/0!</v>
      </c>
      <c r="W255" s="6" t="e">
        <f t="shared" si="20"/>
        <v>#DIV/0!</v>
      </c>
    </row>
    <row r="256" spans="1:23" ht="24.75" customHeight="1">
      <c r="A256" s="9">
        <v>22</v>
      </c>
      <c r="B256" s="21"/>
      <c r="C256" s="21"/>
      <c r="D256" s="21"/>
      <c r="E256" s="21"/>
      <c r="F256" s="22"/>
      <c r="G256" s="22"/>
      <c r="H256" s="22"/>
      <c r="I256" s="5"/>
      <c r="J256" s="5"/>
      <c r="K256" s="5"/>
      <c r="L256" s="5"/>
      <c r="M256" s="5"/>
      <c r="N256" s="13" t="e">
        <f t="shared" si="18"/>
        <v>#DIV/0!</v>
      </c>
      <c r="O256" s="6" t="e">
        <f>LOOKUP(N256,Sheet6!$J$4:$J$11,Sheet6!$B$4:$B$11)*0.15</f>
        <v>#DIV/0!</v>
      </c>
      <c r="P256" s="14" t="e">
        <f>LOOKUP(H256,Sheet6!$J$25:$J$66,Sheet6!$B$25:$B$66)*0.15</f>
        <v>#N/A</v>
      </c>
      <c r="Q256" s="6" t="e">
        <f>LOOKUP(I256,Sheet6!$J$115:$J$156,Sheet6!$B$115:$B$156)*0.2</f>
        <v>#N/A</v>
      </c>
      <c r="R256" s="6" t="e">
        <f>LOOKUP(J256,Sheet6!$D$465:$D$506,Sheet6!$B$465:$B$506)*0.1</f>
        <v>#N/A</v>
      </c>
      <c r="S256" s="6">
        <f>LOOKUP(K256,Sheet6!$J$205:$J$246,Sheet6!$B$205:$B$246)*0.1</f>
        <v>6.2</v>
      </c>
      <c r="T256" s="6" t="e">
        <f>LOOKUP(L256,Sheet6!$F$688:$F$749,Sheet6!$B$688:$B$749)*0.2</f>
        <v>#N/A</v>
      </c>
      <c r="U256" s="6">
        <f>LOOKUP(M256,Sheet6!$D$600:$D$626,Sheet6!$B$600:$B$626)*0.1</f>
        <v>0</v>
      </c>
      <c r="V256" s="6" t="e">
        <f t="shared" si="19"/>
        <v>#DIV/0!</v>
      </c>
      <c r="W256" s="6" t="e">
        <f t="shared" si="20"/>
        <v>#DIV/0!</v>
      </c>
    </row>
    <row r="257" spans="1:23" ht="24.75" customHeight="1">
      <c r="A257" s="9">
        <v>22</v>
      </c>
      <c r="B257" s="21"/>
      <c r="C257" s="21"/>
      <c r="D257" s="21"/>
      <c r="E257" s="21"/>
      <c r="F257" s="22"/>
      <c r="G257" s="22"/>
      <c r="H257" s="22"/>
      <c r="I257" s="5"/>
      <c r="J257" s="5"/>
      <c r="K257" s="5"/>
      <c r="L257" s="5"/>
      <c r="M257" s="5"/>
      <c r="N257" s="13" t="e">
        <f t="shared" si="18"/>
        <v>#DIV/0!</v>
      </c>
      <c r="O257" s="6" t="e">
        <f>LOOKUP(N257,Sheet6!$J$4:$J$11,Sheet6!$B$4:$B$11)*0.15</f>
        <v>#DIV/0!</v>
      </c>
      <c r="P257" s="14" t="e">
        <f>LOOKUP(H257,Sheet6!$J$25:$J$66,Sheet6!$B$25:$B$66)*0.15</f>
        <v>#N/A</v>
      </c>
      <c r="Q257" s="6" t="e">
        <f>LOOKUP(I257,Sheet6!$J$115:$J$156,Sheet6!$B$115:$B$156)*0.2</f>
        <v>#N/A</v>
      </c>
      <c r="R257" s="6" t="e">
        <f>LOOKUP(J257,Sheet6!$D$465:$D$506,Sheet6!$B$465:$B$506)*0.1</f>
        <v>#N/A</v>
      </c>
      <c r="S257" s="6">
        <f>LOOKUP(K257,Sheet6!$J$205:$J$246,Sheet6!$B$205:$B$246)*0.1</f>
        <v>6.2</v>
      </c>
      <c r="T257" s="6" t="e">
        <f>LOOKUP(L257,Sheet6!$F$688:$F$749,Sheet6!$B$688:$B$749)*0.2</f>
        <v>#N/A</v>
      </c>
      <c r="U257" s="6">
        <f>LOOKUP(M257,Sheet6!$D$600:$D$626,Sheet6!$B$600:$B$626)*0.1</f>
        <v>0</v>
      </c>
      <c r="V257" s="6" t="e">
        <f t="shared" si="19"/>
        <v>#DIV/0!</v>
      </c>
      <c r="W257" s="6" t="e">
        <f t="shared" si="20"/>
        <v>#DIV/0!</v>
      </c>
    </row>
    <row r="258" spans="1:23" ht="24.75" customHeight="1">
      <c r="A258" s="9">
        <v>22</v>
      </c>
      <c r="B258" s="21"/>
      <c r="C258" s="21"/>
      <c r="D258" s="21"/>
      <c r="E258" s="21"/>
      <c r="F258" s="22"/>
      <c r="G258" s="22"/>
      <c r="H258" s="22"/>
      <c r="I258" s="5"/>
      <c r="J258" s="5"/>
      <c r="K258" s="5"/>
      <c r="L258" s="5"/>
      <c r="M258" s="5"/>
      <c r="N258" s="13" t="e">
        <f t="shared" si="18"/>
        <v>#DIV/0!</v>
      </c>
      <c r="O258" s="6" t="e">
        <f>LOOKUP(N258,Sheet6!$J$4:$J$11,Sheet6!$B$4:$B$11)*0.15</f>
        <v>#DIV/0!</v>
      </c>
      <c r="P258" s="14" t="e">
        <f>LOOKUP(H258,Sheet6!$J$25:$J$66,Sheet6!$B$25:$B$66)*0.15</f>
        <v>#N/A</v>
      </c>
      <c r="Q258" s="6" t="e">
        <f>LOOKUP(I258,Sheet6!$J$115:$J$156,Sheet6!$B$115:$B$156)*0.2</f>
        <v>#N/A</v>
      </c>
      <c r="R258" s="6" t="e">
        <f>LOOKUP(J258,Sheet6!$D$465:$D$506,Sheet6!$B$465:$B$506)*0.1</f>
        <v>#N/A</v>
      </c>
      <c r="S258" s="6">
        <f>LOOKUP(K258,Sheet6!$J$205:$J$246,Sheet6!$B$205:$B$246)*0.1</f>
        <v>6.2</v>
      </c>
      <c r="T258" s="6" t="e">
        <f>LOOKUP(L258,Sheet6!$F$688:$F$749,Sheet6!$B$688:$B$749)*0.2</f>
        <v>#N/A</v>
      </c>
      <c r="U258" s="6">
        <f>LOOKUP(M258,Sheet6!$D$600:$D$626,Sheet6!$B$600:$B$626)*0.1</f>
        <v>0</v>
      </c>
      <c r="V258" s="6" t="e">
        <f t="shared" si="19"/>
        <v>#DIV/0!</v>
      </c>
      <c r="W258" s="6" t="e">
        <f t="shared" si="20"/>
        <v>#DIV/0!</v>
      </c>
    </row>
    <row r="259" spans="1:23" ht="24.75" customHeight="1">
      <c r="A259" s="9">
        <v>22</v>
      </c>
      <c r="B259" s="21"/>
      <c r="C259" s="21"/>
      <c r="D259" s="21"/>
      <c r="E259" s="21"/>
      <c r="F259" s="22"/>
      <c r="G259" s="22"/>
      <c r="H259" s="22"/>
      <c r="I259" s="5"/>
      <c r="J259" s="5"/>
      <c r="K259" s="5"/>
      <c r="L259" s="5"/>
      <c r="M259" s="5"/>
      <c r="N259" s="13" t="e">
        <f t="shared" ref="N259:N322" si="21">G259/(F259*F259)*10000</f>
        <v>#DIV/0!</v>
      </c>
      <c r="O259" s="6" t="e">
        <f>LOOKUP(N259,Sheet6!$J$4:$J$11,Sheet6!$B$4:$B$11)*0.15</f>
        <v>#DIV/0!</v>
      </c>
      <c r="P259" s="14" t="e">
        <f>LOOKUP(H259,Sheet6!$J$25:$J$66,Sheet6!$B$25:$B$66)*0.15</f>
        <v>#N/A</v>
      </c>
      <c r="Q259" s="6" t="e">
        <f>LOOKUP(I259,Sheet6!$J$115:$J$156,Sheet6!$B$115:$B$156)*0.2</f>
        <v>#N/A</v>
      </c>
      <c r="R259" s="6" t="e">
        <f>LOOKUP(J259,Sheet6!$D$465:$D$506,Sheet6!$B$465:$B$506)*0.1</f>
        <v>#N/A</v>
      </c>
      <c r="S259" s="6">
        <f>LOOKUP(K259,Sheet6!$J$205:$J$246,Sheet6!$B$205:$B$246)*0.1</f>
        <v>6.2</v>
      </c>
      <c r="T259" s="6" t="e">
        <f>LOOKUP(L259,Sheet6!$F$688:$F$749,Sheet6!$B$688:$B$749)*0.2</f>
        <v>#N/A</v>
      </c>
      <c r="U259" s="6">
        <f>LOOKUP(M259,Sheet6!$D$600:$D$626,Sheet6!$B$600:$B$626)*0.1</f>
        <v>0</v>
      </c>
      <c r="V259" s="6" t="e">
        <f t="shared" ref="V259:V322" si="22">O259+P259+Q259+R259+S259+T259+U259</f>
        <v>#DIV/0!</v>
      </c>
      <c r="W259" s="6" t="e">
        <f t="shared" ref="W259:W322" si="23">IF(V259&lt;60,"不及格",IF(V259&lt;80,"及格",IF(V259&lt;90,"良好",IF(V259&lt;121,"优秀"))))</f>
        <v>#DIV/0!</v>
      </c>
    </row>
    <row r="260" spans="1:23" ht="24.75" customHeight="1">
      <c r="A260" s="9">
        <v>22</v>
      </c>
      <c r="B260" s="21"/>
      <c r="C260" s="21"/>
      <c r="D260" s="21"/>
      <c r="E260" s="21"/>
      <c r="F260" s="22"/>
      <c r="G260" s="22"/>
      <c r="H260" s="22"/>
      <c r="I260" s="5"/>
      <c r="J260" s="5"/>
      <c r="K260" s="5"/>
      <c r="L260" s="5"/>
      <c r="M260" s="5"/>
      <c r="N260" s="13" t="e">
        <f t="shared" si="21"/>
        <v>#DIV/0!</v>
      </c>
      <c r="O260" s="6" t="e">
        <f>LOOKUP(N260,Sheet6!$J$4:$J$11,Sheet6!$B$4:$B$11)*0.15</f>
        <v>#DIV/0!</v>
      </c>
      <c r="P260" s="14" t="e">
        <f>LOOKUP(H260,Sheet6!$J$25:$J$66,Sheet6!$B$25:$B$66)*0.15</f>
        <v>#N/A</v>
      </c>
      <c r="Q260" s="6" t="e">
        <f>LOOKUP(I260,Sheet6!$J$115:$J$156,Sheet6!$B$115:$B$156)*0.2</f>
        <v>#N/A</v>
      </c>
      <c r="R260" s="6" t="e">
        <f>LOOKUP(J260,Sheet6!$D$465:$D$506,Sheet6!$B$465:$B$506)*0.1</f>
        <v>#N/A</v>
      </c>
      <c r="S260" s="6">
        <f>LOOKUP(K260,Sheet6!$J$205:$J$246,Sheet6!$B$205:$B$246)*0.1</f>
        <v>6.2</v>
      </c>
      <c r="T260" s="6" t="e">
        <f>LOOKUP(L260,Sheet6!$F$688:$F$749,Sheet6!$B$688:$B$749)*0.2</f>
        <v>#N/A</v>
      </c>
      <c r="U260" s="6">
        <f>LOOKUP(M260,Sheet6!$D$600:$D$626,Sheet6!$B$600:$B$626)*0.1</f>
        <v>0</v>
      </c>
      <c r="V260" s="6" t="e">
        <f t="shared" si="22"/>
        <v>#DIV/0!</v>
      </c>
      <c r="W260" s="6" t="e">
        <f t="shared" si="23"/>
        <v>#DIV/0!</v>
      </c>
    </row>
    <row r="261" spans="1:23" ht="24.75" customHeight="1">
      <c r="A261" s="9">
        <v>22</v>
      </c>
      <c r="B261" s="21"/>
      <c r="C261" s="21"/>
      <c r="D261" s="21"/>
      <c r="E261" s="21"/>
      <c r="F261" s="22"/>
      <c r="G261" s="22"/>
      <c r="H261" s="22"/>
      <c r="I261" s="5"/>
      <c r="J261" s="5"/>
      <c r="K261" s="5"/>
      <c r="L261" s="5"/>
      <c r="M261" s="5"/>
      <c r="N261" s="13" t="e">
        <f t="shared" si="21"/>
        <v>#DIV/0!</v>
      </c>
      <c r="O261" s="6" t="e">
        <f>LOOKUP(N261,Sheet6!$J$4:$J$11,Sheet6!$B$4:$B$11)*0.15</f>
        <v>#DIV/0!</v>
      </c>
      <c r="P261" s="14" t="e">
        <f>LOOKUP(H261,Sheet6!$J$25:$J$66,Sheet6!$B$25:$B$66)*0.15</f>
        <v>#N/A</v>
      </c>
      <c r="Q261" s="6" t="e">
        <f>LOOKUP(I261,Sheet6!$J$115:$J$156,Sheet6!$B$115:$B$156)*0.2</f>
        <v>#N/A</v>
      </c>
      <c r="R261" s="6" t="e">
        <f>LOOKUP(J261,Sheet6!$D$465:$D$506,Sheet6!$B$465:$B$506)*0.1</f>
        <v>#N/A</v>
      </c>
      <c r="S261" s="6">
        <f>LOOKUP(K261,Sheet6!$J$205:$J$246,Sheet6!$B$205:$B$246)*0.1</f>
        <v>6.2</v>
      </c>
      <c r="T261" s="6" t="e">
        <f>LOOKUP(L261,Sheet6!$F$688:$F$749,Sheet6!$B$688:$B$749)*0.2</f>
        <v>#N/A</v>
      </c>
      <c r="U261" s="6">
        <f>LOOKUP(M261,Sheet6!$D$600:$D$626,Sheet6!$B$600:$B$626)*0.1</f>
        <v>0</v>
      </c>
      <c r="V261" s="6" t="e">
        <f t="shared" si="22"/>
        <v>#DIV/0!</v>
      </c>
      <c r="W261" s="6" t="e">
        <f t="shared" si="23"/>
        <v>#DIV/0!</v>
      </c>
    </row>
    <row r="262" spans="1:23" ht="24.75" customHeight="1">
      <c r="A262" s="9">
        <v>22</v>
      </c>
      <c r="B262" s="21"/>
      <c r="C262" s="21"/>
      <c r="D262" s="21"/>
      <c r="E262" s="21"/>
      <c r="F262" s="22"/>
      <c r="G262" s="22"/>
      <c r="H262" s="22"/>
      <c r="I262" s="5"/>
      <c r="J262" s="5"/>
      <c r="K262" s="5"/>
      <c r="L262" s="5"/>
      <c r="M262" s="5"/>
      <c r="N262" s="13" t="e">
        <f t="shared" si="21"/>
        <v>#DIV/0!</v>
      </c>
      <c r="O262" s="6" t="e">
        <f>LOOKUP(N262,Sheet6!$J$4:$J$11,Sheet6!$B$4:$B$11)*0.15</f>
        <v>#DIV/0!</v>
      </c>
      <c r="P262" s="14" t="e">
        <f>LOOKUP(H262,Sheet6!$J$25:$J$66,Sheet6!$B$25:$B$66)*0.15</f>
        <v>#N/A</v>
      </c>
      <c r="Q262" s="6" t="e">
        <f>LOOKUP(I262,Sheet6!$J$115:$J$156,Sheet6!$B$115:$B$156)*0.2</f>
        <v>#N/A</v>
      </c>
      <c r="R262" s="6" t="e">
        <f>LOOKUP(J262,Sheet6!$D$465:$D$506,Sheet6!$B$465:$B$506)*0.1</f>
        <v>#N/A</v>
      </c>
      <c r="S262" s="6">
        <f>LOOKUP(K262,Sheet6!$J$205:$J$246,Sheet6!$B$205:$B$246)*0.1</f>
        <v>6.2</v>
      </c>
      <c r="T262" s="6" t="e">
        <f>LOOKUP(L262,Sheet6!$F$688:$F$749,Sheet6!$B$688:$B$749)*0.2</f>
        <v>#N/A</v>
      </c>
      <c r="U262" s="6">
        <f>LOOKUP(M262,Sheet6!$D$600:$D$626,Sheet6!$B$600:$B$626)*0.1</f>
        <v>0</v>
      </c>
      <c r="V262" s="6" t="e">
        <f t="shared" si="22"/>
        <v>#DIV/0!</v>
      </c>
      <c r="W262" s="6" t="e">
        <f t="shared" si="23"/>
        <v>#DIV/0!</v>
      </c>
    </row>
    <row r="263" spans="1:23" ht="24.75" customHeight="1">
      <c r="A263" s="9">
        <v>22</v>
      </c>
      <c r="B263" s="21"/>
      <c r="C263" s="21"/>
      <c r="D263" s="21"/>
      <c r="E263" s="21"/>
      <c r="F263" s="22"/>
      <c r="G263" s="22"/>
      <c r="H263" s="22"/>
      <c r="I263" s="5"/>
      <c r="J263" s="5"/>
      <c r="K263" s="5"/>
      <c r="L263" s="5"/>
      <c r="M263" s="5"/>
      <c r="N263" s="13" t="e">
        <f t="shared" si="21"/>
        <v>#DIV/0!</v>
      </c>
      <c r="O263" s="6" t="e">
        <f>LOOKUP(N263,Sheet6!$J$4:$J$11,Sheet6!$B$4:$B$11)*0.15</f>
        <v>#DIV/0!</v>
      </c>
      <c r="P263" s="14" t="e">
        <f>LOOKUP(H263,Sheet6!$J$25:$J$66,Sheet6!$B$25:$B$66)*0.15</f>
        <v>#N/A</v>
      </c>
      <c r="Q263" s="6" t="e">
        <f>LOOKUP(I263,Sheet6!$J$115:$J$156,Sheet6!$B$115:$B$156)*0.2</f>
        <v>#N/A</v>
      </c>
      <c r="R263" s="6" t="e">
        <f>LOOKUP(J263,Sheet6!$D$465:$D$506,Sheet6!$B$465:$B$506)*0.1</f>
        <v>#N/A</v>
      </c>
      <c r="S263" s="6">
        <f>LOOKUP(K263,Sheet6!$J$205:$J$246,Sheet6!$B$205:$B$246)*0.1</f>
        <v>6.2</v>
      </c>
      <c r="T263" s="6" t="e">
        <f>LOOKUP(L263,Sheet6!$F$688:$F$749,Sheet6!$B$688:$B$749)*0.2</f>
        <v>#N/A</v>
      </c>
      <c r="U263" s="6">
        <f>LOOKUP(M263,Sheet6!$D$600:$D$626,Sheet6!$B$600:$B$626)*0.1</f>
        <v>0</v>
      </c>
      <c r="V263" s="6" t="e">
        <f t="shared" si="22"/>
        <v>#DIV/0!</v>
      </c>
      <c r="W263" s="6" t="e">
        <f t="shared" si="23"/>
        <v>#DIV/0!</v>
      </c>
    </row>
    <row r="264" spans="1:23" ht="24.75" customHeight="1">
      <c r="A264" s="9">
        <v>22</v>
      </c>
      <c r="B264" s="21"/>
      <c r="C264" s="21"/>
      <c r="D264" s="21"/>
      <c r="E264" s="21"/>
      <c r="F264" s="22"/>
      <c r="G264" s="22"/>
      <c r="H264" s="22"/>
      <c r="I264" s="5"/>
      <c r="J264" s="5"/>
      <c r="K264" s="5"/>
      <c r="L264" s="5"/>
      <c r="M264" s="5"/>
      <c r="N264" s="13" t="e">
        <f t="shared" si="21"/>
        <v>#DIV/0!</v>
      </c>
      <c r="O264" s="6" t="e">
        <f>LOOKUP(N264,Sheet6!$J$4:$J$11,Sheet6!$B$4:$B$11)*0.15</f>
        <v>#DIV/0!</v>
      </c>
      <c r="P264" s="14" t="e">
        <f>LOOKUP(H264,Sheet6!$J$25:$J$66,Sheet6!$B$25:$B$66)*0.15</f>
        <v>#N/A</v>
      </c>
      <c r="Q264" s="6" t="e">
        <f>LOOKUP(I264,Sheet6!$J$115:$J$156,Sheet6!$B$115:$B$156)*0.2</f>
        <v>#N/A</v>
      </c>
      <c r="R264" s="6" t="e">
        <f>LOOKUP(J264,Sheet6!$D$465:$D$506,Sheet6!$B$465:$B$506)*0.1</f>
        <v>#N/A</v>
      </c>
      <c r="S264" s="6">
        <f>LOOKUP(K264,Sheet6!$J$205:$J$246,Sheet6!$B$205:$B$246)*0.1</f>
        <v>6.2</v>
      </c>
      <c r="T264" s="6" t="e">
        <f>LOOKUP(L264,Sheet6!$F$688:$F$749,Sheet6!$B$688:$B$749)*0.2</f>
        <v>#N/A</v>
      </c>
      <c r="U264" s="6">
        <f>LOOKUP(M264,Sheet6!$D$600:$D$626,Sheet6!$B$600:$B$626)*0.1</f>
        <v>0</v>
      </c>
      <c r="V264" s="6" t="e">
        <f t="shared" si="22"/>
        <v>#DIV/0!</v>
      </c>
      <c r="W264" s="6" t="e">
        <f t="shared" si="23"/>
        <v>#DIV/0!</v>
      </c>
    </row>
    <row r="265" spans="1:23" ht="24.75" customHeight="1">
      <c r="A265" s="9">
        <v>22</v>
      </c>
      <c r="B265" s="21"/>
      <c r="C265" s="21"/>
      <c r="D265" s="21"/>
      <c r="E265" s="21"/>
      <c r="F265" s="22"/>
      <c r="G265" s="22"/>
      <c r="H265" s="22"/>
      <c r="I265" s="5"/>
      <c r="J265" s="5"/>
      <c r="K265" s="5"/>
      <c r="L265" s="5"/>
      <c r="M265" s="5"/>
      <c r="N265" s="13" t="e">
        <f t="shared" si="21"/>
        <v>#DIV/0!</v>
      </c>
      <c r="O265" s="6" t="e">
        <f>LOOKUP(N265,Sheet6!$J$4:$J$11,Sheet6!$B$4:$B$11)*0.15</f>
        <v>#DIV/0!</v>
      </c>
      <c r="P265" s="14" t="e">
        <f>LOOKUP(H265,Sheet6!$J$25:$J$66,Sheet6!$B$25:$B$66)*0.15</f>
        <v>#N/A</v>
      </c>
      <c r="Q265" s="6" t="e">
        <f>LOOKUP(I265,Sheet6!$J$115:$J$156,Sheet6!$B$115:$B$156)*0.2</f>
        <v>#N/A</v>
      </c>
      <c r="R265" s="6" t="e">
        <f>LOOKUP(J265,Sheet6!$D$465:$D$506,Sheet6!$B$465:$B$506)*0.1</f>
        <v>#N/A</v>
      </c>
      <c r="S265" s="6">
        <f>LOOKUP(K265,Sheet6!$J$205:$J$246,Sheet6!$B$205:$B$246)*0.1</f>
        <v>6.2</v>
      </c>
      <c r="T265" s="6" t="e">
        <f>LOOKUP(L265,Sheet6!$F$688:$F$749,Sheet6!$B$688:$B$749)*0.2</f>
        <v>#N/A</v>
      </c>
      <c r="U265" s="6">
        <f>LOOKUP(M265,Sheet6!$D$600:$D$626,Sheet6!$B$600:$B$626)*0.1</f>
        <v>0</v>
      </c>
      <c r="V265" s="6" t="e">
        <f t="shared" si="22"/>
        <v>#DIV/0!</v>
      </c>
      <c r="W265" s="6" t="e">
        <f t="shared" si="23"/>
        <v>#DIV/0!</v>
      </c>
    </row>
    <row r="266" spans="1:23" ht="24.75" customHeight="1">
      <c r="A266" s="9">
        <v>22</v>
      </c>
      <c r="B266" s="21"/>
      <c r="C266" s="21"/>
      <c r="D266" s="21"/>
      <c r="E266" s="21"/>
      <c r="F266" s="22"/>
      <c r="G266" s="22"/>
      <c r="H266" s="22"/>
      <c r="I266" s="5"/>
      <c r="J266" s="5"/>
      <c r="K266" s="5"/>
      <c r="L266" s="5"/>
      <c r="M266" s="5"/>
      <c r="N266" s="13" t="e">
        <f t="shared" si="21"/>
        <v>#DIV/0!</v>
      </c>
      <c r="O266" s="6" t="e">
        <f>LOOKUP(N266,Sheet6!$J$4:$J$11,Sheet6!$B$4:$B$11)*0.15</f>
        <v>#DIV/0!</v>
      </c>
      <c r="P266" s="14" t="e">
        <f>LOOKUP(H266,Sheet6!$J$25:$J$66,Sheet6!$B$25:$B$66)*0.15</f>
        <v>#N/A</v>
      </c>
      <c r="Q266" s="6" t="e">
        <f>LOOKUP(I266,Sheet6!$J$115:$J$156,Sheet6!$B$115:$B$156)*0.2</f>
        <v>#N/A</v>
      </c>
      <c r="R266" s="6" t="e">
        <f>LOOKUP(J266,Sheet6!$D$465:$D$506,Sheet6!$B$465:$B$506)*0.1</f>
        <v>#N/A</v>
      </c>
      <c r="S266" s="6">
        <f>LOOKUP(K266,Sheet6!$J$205:$J$246,Sheet6!$B$205:$B$246)*0.1</f>
        <v>6.2</v>
      </c>
      <c r="T266" s="6" t="e">
        <f>LOOKUP(L266,Sheet6!$F$688:$F$749,Sheet6!$B$688:$B$749)*0.2</f>
        <v>#N/A</v>
      </c>
      <c r="U266" s="6">
        <f>LOOKUP(M266,Sheet6!$D$600:$D$626,Sheet6!$B$600:$B$626)*0.1</f>
        <v>0</v>
      </c>
      <c r="V266" s="6" t="e">
        <f t="shared" si="22"/>
        <v>#DIV/0!</v>
      </c>
      <c r="W266" s="6" t="e">
        <f t="shared" si="23"/>
        <v>#DIV/0!</v>
      </c>
    </row>
    <row r="267" spans="1:23" ht="24.75" customHeight="1">
      <c r="A267" s="9">
        <v>22</v>
      </c>
      <c r="B267" s="21"/>
      <c r="C267" s="21"/>
      <c r="D267" s="21"/>
      <c r="E267" s="21"/>
      <c r="F267" s="22"/>
      <c r="G267" s="22"/>
      <c r="H267" s="22"/>
      <c r="I267" s="5"/>
      <c r="J267" s="5"/>
      <c r="K267" s="5"/>
      <c r="L267" s="5"/>
      <c r="M267" s="5"/>
      <c r="N267" s="13" t="e">
        <f t="shared" si="21"/>
        <v>#DIV/0!</v>
      </c>
      <c r="O267" s="6" t="e">
        <f>LOOKUP(N267,Sheet6!$J$4:$J$11,Sheet6!$B$4:$B$11)*0.15</f>
        <v>#DIV/0!</v>
      </c>
      <c r="P267" s="14" t="e">
        <f>LOOKUP(H267,Sheet6!$J$25:$J$66,Sheet6!$B$25:$B$66)*0.15</f>
        <v>#N/A</v>
      </c>
      <c r="Q267" s="6" t="e">
        <f>LOOKUP(I267,Sheet6!$J$115:$J$156,Sheet6!$B$115:$B$156)*0.2</f>
        <v>#N/A</v>
      </c>
      <c r="R267" s="6" t="e">
        <f>LOOKUP(J267,Sheet6!$D$465:$D$506,Sheet6!$B$465:$B$506)*0.1</f>
        <v>#N/A</v>
      </c>
      <c r="S267" s="6">
        <f>LOOKUP(K267,Sheet6!$J$205:$J$246,Sheet6!$B$205:$B$246)*0.1</f>
        <v>6.2</v>
      </c>
      <c r="T267" s="6" t="e">
        <f>LOOKUP(L267,Sheet6!$F$688:$F$749,Sheet6!$B$688:$B$749)*0.2</f>
        <v>#N/A</v>
      </c>
      <c r="U267" s="6">
        <f>LOOKUP(M267,Sheet6!$D$600:$D$626,Sheet6!$B$600:$B$626)*0.1</f>
        <v>0</v>
      </c>
      <c r="V267" s="6" t="e">
        <f t="shared" si="22"/>
        <v>#DIV/0!</v>
      </c>
      <c r="W267" s="6" t="e">
        <f t="shared" si="23"/>
        <v>#DIV/0!</v>
      </c>
    </row>
    <row r="268" spans="1:23" ht="24.75" customHeight="1">
      <c r="A268" s="9">
        <v>22</v>
      </c>
      <c r="B268" s="21"/>
      <c r="C268" s="21"/>
      <c r="D268" s="21"/>
      <c r="E268" s="21"/>
      <c r="F268" s="22"/>
      <c r="G268" s="22"/>
      <c r="H268" s="22"/>
      <c r="I268" s="5"/>
      <c r="J268" s="5"/>
      <c r="K268" s="5"/>
      <c r="L268" s="5"/>
      <c r="M268" s="5"/>
      <c r="N268" s="13" t="e">
        <f t="shared" si="21"/>
        <v>#DIV/0!</v>
      </c>
      <c r="O268" s="6" t="e">
        <f>LOOKUP(N268,Sheet6!$J$4:$J$11,Sheet6!$B$4:$B$11)*0.15</f>
        <v>#DIV/0!</v>
      </c>
      <c r="P268" s="14" t="e">
        <f>LOOKUP(H268,Sheet6!$J$25:$J$66,Sheet6!$B$25:$B$66)*0.15</f>
        <v>#N/A</v>
      </c>
      <c r="Q268" s="6" t="e">
        <f>LOOKUP(I268,Sheet6!$J$115:$J$156,Sheet6!$B$115:$B$156)*0.2</f>
        <v>#N/A</v>
      </c>
      <c r="R268" s="6" t="e">
        <f>LOOKUP(J268,Sheet6!$D$465:$D$506,Sheet6!$B$465:$B$506)*0.1</f>
        <v>#N/A</v>
      </c>
      <c r="S268" s="6">
        <f>LOOKUP(K268,Sheet6!$J$205:$J$246,Sheet6!$B$205:$B$246)*0.1</f>
        <v>6.2</v>
      </c>
      <c r="T268" s="6" t="e">
        <f>LOOKUP(L268,Sheet6!$F$688:$F$749,Sheet6!$B$688:$B$749)*0.2</f>
        <v>#N/A</v>
      </c>
      <c r="U268" s="6">
        <f>LOOKUP(M268,Sheet6!$D$600:$D$626,Sheet6!$B$600:$B$626)*0.1</f>
        <v>0</v>
      </c>
      <c r="V268" s="6" t="e">
        <f t="shared" si="22"/>
        <v>#DIV/0!</v>
      </c>
      <c r="W268" s="6" t="e">
        <f t="shared" si="23"/>
        <v>#DIV/0!</v>
      </c>
    </row>
    <row r="269" spans="1:23" ht="24.75" customHeight="1">
      <c r="A269" s="9">
        <v>22</v>
      </c>
      <c r="B269" s="21"/>
      <c r="C269" s="21"/>
      <c r="D269" s="21"/>
      <c r="E269" s="21"/>
      <c r="F269" s="22"/>
      <c r="G269" s="22"/>
      <c r="H269" s="22"/>
      <c r="I269" s="5"/>
      <c r="J269" s="5"/>
      <c r="K269" s="5"/>
      <c r="L269" s="5"/>
      <c r="M269" s="5"/>
      <c r="N269" s="13" t="e">
        <f t="shared" si="21"/>
        <v>#DIV/0!</v>
      </c>
      <c r="O269" s="6" t="e">
        <f>LOOKUP(N269,Sheet6!$J$4:$J$11,Sheet6!$B$4:$B$11)*0.15</f>
        <v>#DIV/0!</v>
      </c>
      <c r="P269" s="14" t="e">
        <f>LOOKUP(H269,Sheet6!$J$25:$J$66,Sheet6!$B$25:$B$66)*0.15</f>
        <v>#N/A</v>
      </c>
      <c r="Q269" s="6" t="e">
        <f>LOOKUP(I269,Sheet6!$J$115:$J$156,Sheet6!$B$115:$B$156)*0.2</f>
        <v>#N/A</v>
      </c>
      <c r="R269" s="6" t="e">
        <f>LOOKUP(J269,Sheet6!$D$465:$D$506,Sheet6!$B$465:$B$506)*0.1</f>
        <v>#N/A</v>
      </c>
      <c r="S269" s="6">
        <f>LOOKUP(K269,Sheet6!$J$205:$J$246,Sheet6!$B$205:$B$246)*0.1</f>
        <v>6.2</v>
      </c>
      <c r="T269" s="6" t="e">
        <f>LOOKUP(L269,Sheet6!$F$688:$F$749,Sheet6!$B$688:$B$749)*0.2</f>
        <v>#N/A</v>
      </c>
      <c r="U269" s="6">
        <f>LOOKUP(M269,Sheet6!$D$600:$D$626,Sheet6!$B$600:$B$626)*0.1</f>
        <v>0</v>
      </c>
      <c r="V269" s="6" t="e">
        <f t="shared" si="22"/>
        <v>#DIV/0!</v>
      </c>
      <c r="W269" s="6" t="e">
        <f t="shared" si="23"/>
        <v>#DIV/0!</v>
      </c>
    </row>
    <row r="270" spans="1:23" ht="24.75" customHeight="1">
      <c r="A270" s="9">
        <v>22</v>
      </c>
      <c r="B270" s="21"/>
      <c r="C270" s="21"/>
      <c r="D270" s="21"/>
      <c r="E270" s="21"/>
      <c r="F270" s="22"/>
      <c r="G270" s="22"/>
      <c r="H270" s="22"/>
      <c r="I270" s="5"/>
      <c r="J270" s="5"/>
      <c r="K270" s="5"/>
      <c r="L270" s="5"/>
      <c r="M270" s="5"/>
      <c r="N270" s="13" t="e">
        <f t="shared" si="21"/>
        <v>#DIV/0!</v>
      </c>
      <c r="O270" s="6" t="e">
        <f>LOOKUP(N270,Sheet6!$J$4:$J$11,Sheet6!$B$4:$B$11)*0.15</f>
        <v>#DIV/0!</v>
      </c>
      <c r="P270" s="14" t="e">
        <f>LOOKUP(H270,Sheet6!$J$25:$J$66,Sheet6!$B$25:$B$66)*0.15</f>
        <v>#N/A</v>
      </c>
      <c r="Q270" s="6" t="e">
        <f>LOOKUP(I270,Sheet6!$J$115:$J$156,Sheet6!$B$115:$B$156)*0.2</f>
        <v>#N/A</v>
      </c>
      <c r="R270" s="6" t="e">
        <f>LOOKUP(J270,Sheet6!$D$465:$D$506,Sheet6!$B$465:$B$506)*0.1</f>
        <v>#N/A</v>
      </c>
      <c r="S270" s="6">
        <f>LOOKUP(K270,Sheet6!$J$205:$J$246,Sheet6!$B$205:$B$246)*0.1</f>
        <v>6.2</v>
      </c>
      <c r="T270" s="6" t="e">
        <f>LOOKUP(L270,Sheet6!$F$688:$F$749,Sheet6!$B$688:$B$749)*0.2</f>
        <v>#N/A</v>
      </c>
      <c r="U270" s="6">
        <f>LOOKUP(M270,Sheet6!$D$600:$D$626,Sheet6!$B$600:$B$626)*0.1</f>
        <v>0</v>
      </c>
      <c r="V270" s="6" t="e">
        <f t="shared" si="22"/>
        <v>#DIV/0!</v>
      </c>
      <c r="W270" s="6" t="e">
        <f t="shared" si="23"/>
        <v>#DIV/0!</v>
      </c>
    </row>
    <row r="271" spans="1:23" ht="24.75" customHeight="1">
      <c r="A271" s="9">
        <v>22</v>
      </c>
      <c r="B271" s="21"/>
      <c r="C271" s="21"/>
      <c r="D271" s="21"/>
      <c r="E271" s="21"/>
      <c r="F271" s="22"/>
      <c r="G271" s="22"/>
      <c r="H271" s="22"/>
      <c r="I271" s="5"/>
      <c r="J271" s="5"/>
      <c r="K271" s="5"/>
      <c r="L271" s="5"/>
      <c r="M271" s="5"/>
      <c r="N271" s="13" t="e">
        <f t="shared" si="21"/>
        <v>#DIV/0!</v>
      </c>
      <c r="O271" s="6" t="e">
        <f>LOOKUP(N271,Sheet6!$J$4:$J$11,Sheet6!$B$4:$B$11)*0.15</f>
        <v>#DIV/0!</v>
      </c>
      <c r="P271" s="14" t="e">
        <f>LOOKUP(H271,Sheet6!$J$25:$J$66,Sheet6!$B$25:$B$66)*0.15</f>
        <v>#N/A</v>
      </c>
      <c r="Q271" s="6" t="e">
        <f>LOOKUP(I271,Sheet6!$J$115:$J$156,Sheet6!$B$115:$B$156)*0.2</f>
        <v>#N/A</v>
      </c>
      <c r="R271" s="6" t="e">
        <f>LOOKUP(J271,Sheet6!$D$465:$D$506,Sheet6!$B$465:$B$506)*0.1</f>
        <v>#N/A</v>
      </c>
      <c r="S271" s="6">
        <f>LOOKUP(K271,Sheet6!$J$205:$J$246,Sheet6!$B$205:$B$246)*0.1</f>
        <v>6.2</v>
      </c>
      <c r="T271" s="6" t="e">
        <f>LOOKUP(L271,Sheet6!$F$688:$F$749,Sheet6!$B$688:$B$749)*0.2</f>
        <v>#N/A</v>
      </c>
      <c r="U271" s="6">
        <f>LOOKUP(M271,Sheet6!$D$600:$D$626,Sheet6!$B$600:$B$626)*0.1</f>
        <v>0</v>
      </c>
      <c r="V271" s="6" t="e">
        <f t="shared" si="22"/>
        <v>#DIV/0!</v>
      </c>
      <c r="W271" s="6" t="e">
        <f t="shared" si="23"/>
        <v>#DIV/0!</v>
      </c>
    </row>
    <row r="272" spans="1:23" ht="24.75" customHeight="1">
      <c r="A272" s="5"/>
      <c r="B272" s="5"/>
      <c r="C272" s="5"/>
      <c r="D272" s="5"/>
      <c r="E272" s="30"/>
      <c r="F272" s="5"/>
      <c r="G272" s="5"/>
      <c r="H272" s="5"/>
      <c r="I272" s="5"/>
      <c r="J272" s="5"/>
      <c r="K272" s="5"/>
      <c r="L272" s="5"/>
      <c r="M272" s="5"/>
      <c r="N272" s="13" t="e">
        <f t="shared" si="21"/>
        <v>#DIV/0!</v>
      </c>
      <c r="O272" s="6" t="e">
        <f>LOOKUP(N272,Sheet6!$J$4:$J$11,Sheet6!$B$4:$B$11)*0.15</f>
        <v>#DIV/0!</v>
      </c>
      <c r="P272" s="14" t="e">
        <f>LOOKUP(H272,Sheet6!$J$25:$J$66,Sheet6!$B$25:$B$66)*0.15</f>
        <v>#N/A</v>
      </c>
      <c r="Q272" s="6" t="e">
        <f>LOOKUP(I272,Sheet6!$J$115:$J$156,Sheet6!$B$115:$B$156)*0.2</f>
        <v>#N/A</v>
      </c>
      <c r="R272" s="6" t="e">
        <f>LOOKUP(J272,Sheet6!$D$465:$D$506,Sheet6!$B$465:$B$506)*0.1</f>
        <v>#N/A</v>
      </c>
      <c r="S272" s="6">
        <f>LOOKUP(K272,Sheet6!$J$205:$J$246,Sheet6!$B$205:$B$246)*0.1</f>
        <v>6.2</v>
      </c>
      <c r="T272" s="6" t="e">
        <f>LOOKUP(L272,Sheet6!$F$688:$F$749,Sheet6!$B$688:$B$749)*0.2</f>
        <v>#N/A</v>
      </c>
      <c r="U272" s="6">
        <f>LOOKUP(M272,Sheet6!$D$600:$D$626,Sheet6!$B$600:$B$626)*0.1</f>
        <v>0</v>
      </c>
      <c r="V272" s="6" t="e">
        <f t="shared" si="22"/>
        <v>#DIV/0!</v>
      </c>
      <c r="W272" s="6" t="e">
        <f t="shared" si="23"/>
        <v>#DIV/0!</v>
      </c>
    </row>
    <row r="273" spans="1:23" ht="24.75" customHeight="1">
      <c r="A273" s="5"/>
      <c r="B273" s="5"/>
      <c r="C273" s="5"/>
      <c r="D273" s="5"/>
      <c r="E273" s="30"/>
      <c r="F273" s="5"/>
      <c r="G273" s="5"/>
      <c r="H273" s="5"/>
      <c r="I273" s="5"/>
      <c r="J273" s="5"/>
      <c r="K273" s="5"/>
      <c r="L273" s="5"/>
      <c r="M273" s="5"/>
      <c r="N273" s="13" t="e">
        <f t="shared" si="21"/>
        <v>#DIV/0!</v>
      </c>
      <c r="O273" s="6" t="e">
        <f>LOOKUP(N273,Sheet6!$J$4:$J$11,Sheet6!$B$4:$B$11)*0.15</f>
        <v>#DIV/0!</v>
      </c>
      <c r="P273" s="14" t="e">
        <f>LOOKUP(H273,Sheet6!$J$25:$J$66,Sheet6!$B$25:$B$66)*0.15</f>
        <v>#N/A</v>
      </c>
      <c r="Q273" s="6" t="e">
        <f>LOOKUP(I273,Sheet6!$J$115:$J$156,Sheet6!$B$115:$B$156)*0.2</f>
        <v>#N/A</v>
      </c>
      <c r="R273" s="6" t="e">
        <f>LOOKUP(J273,Sheet6!$D$465:$D$506,Sheet6!$B$465:$B$506)*0.1</f>
        <v>#N/A</v>
      </c>
      <c r="S273" s="6">
        <f>LOOKUP(K273,Sheet6!$J$205:$J$246,Sheet6!$B$205:$B$246)*0.1</f>
        <v>6.2</v>
      </c>
      <c r="T273" s="6" t="e">
        <f>LOOKUP(L273,Sheet6!$F$688:$F$749,Sheet6!$B$688:$B$749)*0.2</f>
        <v>#N/A</v>
      </c>
      <c r="U273" s="6">
        <f>LOOKUP(M273,Sheet6!$D$600:$D$626,Sheet6!$B$600:$B$626)*0.1</f>
        <v>0</v>
      </c>
      <c r="V273" s="6" t="e">
        <f t="shared" si="22"/>
        <v>#DIV/0!</v>
      </c>
      <c r="W273" s="6" t="e">
        <f t="shared" si="23"/>
        <v>#DIV/0!</v>
      </c>
    </row>
    <row r="274" spans="1:23" ht="24.75" customHeight="1">
      <c r="A274" s="5"/>
      <c r="B274" s="5"/>
      <c r="C274" s="5"/>
      <c r="D274" s="5"/>
      <c r="E274" s="30"/>
      <c r="F274" s="5"/>
      <c r="G274" s="5"/>
      <c r="H274" s="5"/>
      <c r="I274" s="5"/>
      <c r="J274" s="5"/>
      <c r="K274" s="5"/>
      <c r="L274" s="5"/>
      <c r="M274" s="5"/>
      <c r="N274" s="13" t="e">
        <f t="shared" si="21"/>
        <v>#DIV/0!</v>
      </c>
      <c r="O274" s="6" t="e">
        <f>LOOKUP(N274,Sheet6!$J$4:$J$11,Sheet6!$B$4:$B$11)*0.15</f>
        <v>#DIV/0!</v>
      </c>
      <c r="P274" s="14" t="e">
        <f>LOOKUP(H274,Sheet6!$J$25:$J$66,Sheet6!$B$25:$B$66)*0.15</f>
        <v>#N/A</v>
      </c>
      <c r="Q274" s="6" t="e">
        <f>LOOKUP(I274,Sheet6!$J$115:$J$156,Sheet6!$B$115:$B$156)*0.2</f>
        <v>#N/A</v>
      </c>
      <c r="R274" s="6" t="e">
        <f>LOOKUP(J274,Sheet6!$D$465:$D$506,Sheet6!$B$465:$B$506)*0.1</f>
        <v>#N/A</v>
      </c>
      <c r="S274" s="6">
        <f>LOOKUP(K274,Sheet6!$J$205:$J$246,Sheet6!$B$205:$B$246)*0.1</f>
        <v>6.2</v>
      </c>
      <c r="T274" s="6" t="e">
        <f>LOOKUP(L274,Sheet6!$F$688:$F$749,Sheet6!$B$688:$B$749)*0.2</f>
        <v>#N/A</v>
      </c>
      <c r="U274" s="6">
        <f>LOOKUP(M274,Sheet6!$D$600:$D$626,Sheet6!$B$600:$B$626)*0.1</f>
        <v>0</v>
      </c>
      <c r="V274" s="6" t="e">
        <f t="shared" si="22"/>
        <v>#DIV/0!</v>
      </c>
      <c r="W274" s="6" t="e">
        <f t="shared" si="23"/>
        <v>#DIV/0!</v>
      </c>
    </row>
    <row r="275" spans="1:23" ht="24.75" customHeight="1">
      <c r="A275" s="5"/>
      <c r="B275" s="5"/>
      <c r="C275" s="5"/>
      <c r="D275" s="5"/>
      <c r="E275" s="30"/>
      <c r="F275" s="5"/>
      <c r="G275" s="5"/>
      <c r="H275" s="5"/>
      <c r="I275" s="5"/>
      <c r="J275" s="5"/>
      <c r="K275" s="5"/>
      <c r="L275" s="5"/>
      <c r="M275" s="5"/>
      <c r="N275" s="13" t="e">
        <f t="shared" si="21"/>
        <v>#DIV/0!</v>
      </c>
      <c r="O275" s="6" t="e">
        <f>LOOKUP(N275,Sheet6!$J$4:$J$11,Sheet6!$B$4:$B$11)*0.15</f>
        <v>#DIV/0!</v>
      </c>
      <c r="P275" s="14" t="e">
        <f>LOOKUP(H275,Sheet6!$J$25:$J$66,Sheet6!$B$25:$B$66)*0.15</f>
        <v>#N/A</v>
      </c>
      <c r="Q275" s="6" t="e">
        <f>LOOKUP(I275,Sheet6!$J$115:$J$156,Sheet6!$B$115:$B$156)*0.2</f>
        <v>#N/A</v>
      </c>
      <c r="R275" s="6" t="e">
        <f>LOOKUP(J275,Sheet6!$D$465:$D$506,Sheet6!$B$465:$B$506)*0.1</f>
        <v>#N/A</v>
      </c>
      <c r="S275" s="6">
        <f>LOOKUP(K275,Sheet6!$J$205:$J$246,Sheet6!$B$205:$B$246)*0.1</f>
        <v>6.2</v>
      </c>
      <c r="T275" s="6" t="e">
        <f>LOOKUP(L275,Sheet6!$F$688:$F$749,Sheet6!$B$688:$B$749)*0.2</f>
        <v>#N/A</v>
      </c>
      <c r="U275" s="6">
        <f>LOOKUP(M275,Sheet6!$D$600:$D$626,Sheet6!$B$600:$B$626)*0.1</f>
        <v>0</v>
      </c>
      <c r="V275" s="6" t="e">
        <f t="shared" si="22"/>
        <v>#DIV/0!</v>
      </c>
      <c r="W275" s="6" t="e">
        <f t="shared" si="23"/>
        <v>#DIV/0!</v>
      </c>
    </row>
    <row r="276" spans="1:23" ht="24.75" customHeight="1">
      <c r="A276" s="5"/>
      <c r="B276" s="5"/>
      <c r="C276" s="5"/>
      <c r="D276" s="5"/>
      <c r="E276" s="30"/>
      <c r="F276" s="5"/>
      <c r="G276" s="5"/>
      <c r="H276" s="5"/>
      <c r="I276" s="5"/>
      <c r="J276" s="5"/>
      <c r="K276" s="5"/>
      <c r="L276" s="5"/>
      <c r="M276" s="5"/>
      <c r="N276" s="13" t="e">
        <f t="shared" si="21"/>
        <v>#DIV/0!</v>
      </c>
      <c r="O276" s="6" t="e">
        <f>LOOKUP(N276,Sheet6!$J$4:$J$11,Sheet6!$B$4:$B$11)*0.15</f>
        <v>#DIV/0!</v>
      </c>
      <c r="P276" s="14" t="e">
        <f>LOOKUP(H276,Sheet6!$J$25:$J$66,Sheet6!$B$25:$B$66)*0.15</f>
        <v>#N/A</v>
      </c>
      <c r="Q276" s="6" t="e">
        <f>LOOKUP(I276,Sheet6!$J$115:$J$156,Sheet6!$B$115:$B$156)*0.2</f>
        <v>#N/A</v>
      </c>
      <c r="R276" s="6" t="e">
        <f>LOOKUP(J276,Sheet6!$D$465:$D$506,Sheet6!$B$465:$B$506)*0.1</f>
        <v>#N/A</v>
      </c>
      <c r="S276" s="6">
        <f>LOOKUP(K276,Sheet6!$J$205:$J$246,Sheet6!$B$205:$B$246)*0.1</f>
        <v>6.2</v>
      </c>
      <c r="T276" s="6" t="e">
        <f>LOOKUP(L276,Sheet6!$F$688:$F$749,Sheet6!$B$688:$B$749)*0.2</f>
        <v>#N/A</v>
      </c>
      <c r="U276" s="6">
        <f>LOOKUP(M276,Sheet6!$D$600:$D$626,Sheet6!$B$600:$B$626)*0.1</f>
        <v>0</v>
      </c>
      <c r="V276" s="6" t="e">
        <f t="shared" si="22"/>
        <v>#DIV/0!</v>
      </c>
      <c r="W276" s="6" t="e">
        <f t="shared" si="23"/>
        <v>#DIV/0!</v>
      </c>
    </row>
    <row r="277" spans="1:23" ht="24.75" customHeight="1">
      <c r="A277" s="5"/>
      <c r="B277" s="5"/>
      <c r="C277" s="5"/>
      <c r="D277" s="5"/>
      <c r="E277" s="30"/>
      <c r="F277" s="5"/>
      <c r="G277" s="5"/>
      <c r="H277" s="5"/>
      <c r="I277" s="5"/>
      <c r="J277" s="5"/>
      <c r="K277" s="5"/>
      <c r="L277" s="5"/>
      <c r="M277" s="5"/>
      <c r="N277" s="13" t="e">
        <f t="shared" si="21"/>
        <v>#DIV/0!</v>
      </c>
      <c r="O277" s="6" t="e">
        <f>LOOKUP(N277,Sheet6!$J$4:$J$11,Sheet6!$B$4:$B$11)*0.15</f>
        <v>#DIV/0!</v>
      </c>
      <c r="P277" s="14" t="e">
        <f>LOOKUP(H277,Sheet6!$J$25:$J$66,Sheet6!$B$25:$B$66)*0.15</f>
        <v>#N/A</v>
      </c>
      <c r="Q277" s="6" t="e">
        <f>LOOKUP(I277,Sheet6!$J$115:$J$156,Sheet6!$B$115:$B$156)*0.2</f>
        <v>#N/A</v>
      </c>
      <c r="R277" s="6" t="e">
        <f>LOOKUP(J277,Sheet6!$D$465:$D$506,Sheet6!$B$465:$B$506)*0.1</f>
        <v>#N/A</v>
      </c>
      <c r="S277" s="6">
        <f>LOOKUP(K277,Sheet6!$J$205:$J$246,Sheet6!$B$205:$B$246)*0.1</f>
        <v>6.2</v>
      </c>
      <c r="T277" s="6" t="e">
        <f>LOOKUP(L277,Sheet6!$F$688:$F$749,Sheet6!$B$688:$B$749)*0.2</f>
        <v>#N/A</v>
      </c>
      <c r="U277" s="6">
        <f>LOOKUP(M277,Sheet6!$D$600:$D$626,Sheet6!$B$600:$B$626)*0.1</f>
        <v>0</v>
      </c>
      <c r="V277" s="6" t="e">
        <f t="shared" si="22"/>
        <v>#DIV/0!</v>
      </c>
      <c r="W277" s="6" t="e">
        <f t="shared" si="23"/>
        <v>#DIV/0!</v>
      </c>
    </row>
    <row r="278" spans="1:23" ht="24.75" customHeight="1">
      <c r="A278" s="5"/>
      <c r="B278" s="5"/>
      <c r="C278" s="5"/>
      <c r="D278" s="5"/>
      <c r="E278" s="30"/>
      <c r="F278" s="5"/>
      <c r="G278" s="5"/>
      <c r="H278" s="5"/>
      <c r="I278" s="5"/>
      <c r="J278" s="5"/>
      <c r="K278" s="5"/>
      <c r="L278" s="5"/>
      <c r="M278" s="5"/>
      <c r="N278" s="13" t="e">
        <f t="shared" si="21"/>
        <v>#DIV/0!</v>
      </c>
      <c r="O278" s="6" t="e">
        <f>LOOKUP(N278,Sheet6!$J$4:$J$11,Sheet6!$B$4:$B$11)*0.15</f>
        <v>#DIV/0!</v>
      </c>
      <c r="P278" s="14" t="e">
        <f>LOOKUP(H278,Sheet6!$J$25:$J$66,Sheet6!$B$25:$B$66)*0.15</f>
        <v>#N/A</v>
      </c>
      <c r="Q278" s="6" t="e">
        <f>LOOKUP(I278,Sheet6!$J$115:$J$156,Sheet6!$B$115:$B$156)*0.2</f>
        <v>#N/A</v>
      </c>
      <c r="R278" s="6" t="e">
        <f>LOOKUP(J278,Sheet6!$D$465:$D$506,Sheet6!$B$465:$B$506)*0.1</f>
        <v>#N/A</v>
      </c>
      <c r="S278" s="6">
        <f>LOOKUP(K278,Sheet6!$J$205:$J$246,Sheet6!$B$205:$B$246)*0.1</f>
        <v>6.2</v>
      </c>
      <c r="T278" s="6" t="e">
        <f>LOOKUP(L278,Sheet6!$F$688:$F$749,Sheet6!$B$688:$B$749)*0.2</f>
        <v>#N/A</v>
      </c>
      <c r="U278" s="6">
        <f>LOOKUP(M278,Sheet6!$D$600:$D$626,Sheet6!$B$600:$B$626)*0.1</f>
        <v>0</v>
      </c>
      <c r="V278" s="6" t="e">
        <f t="shared" si="22"/>
        <v>#DIV/0!</v>
      </c>
      <c r="W278" s="6" t="e">
        <f t="shared" si="23"/>
        <v>#DIV/0!</v>
      </c>
    </row>
    <row r="279" spans="1:23" ht="24.75" customHeight="1">
      <c r="A279" s="5"/>
      <c r="B279" s="5"/>
      <c r="C279" s="5"/>
      <c r="D279" s="5"/>
      <c r="E279" s="30"/>
      <c r="F279" s="5"/>
      <c r="G279" s="5"/>
      <c r="H279" s="5"/>
      <c r="I279" s="5"/>
      <c r="J279" s="5"/>
      <c r="K279" s="5"/>
      <c r="L279" s="5"/>
      <c r="M279" s="5"/>
      <c r="N279" s="13" t="e">
        <f t="shared" si="21"/>
        <v>#DIV/0!</v>
      </c>
      <c r="O279" s="6" t="e">
        <f>LOOKUP(N279,Sheet6!$J$4:$J$11,Sheet6!$B$4:$B$11)*0.15</f>
        <v>#DIV/0!</v>
      </c>
      <c r="P279" s="14" t="e">
        <f>LOOKUP(H279,Sheet6!$J$25:$J$66,Sheet6!$B$25:$B$66)*0.15</f>
        <v>#N/A</v>
      </c>
      <c r="Q279" s="6" t="e">
        <f>LOOKUP(I279,Sheet6!$J$115:$J$156,Sheet6!$B$115:$B$156)*0.2</f>
        <v>#N/A</v>
      </c>
      <c r="R279" s="6" t="e">
        <f>LOOKUP(J279,Sheet6!$D$465:$D$506,Sheet6!$B$465:$B$506)*0.1</f>
        <v>#N/A</v>
      </c>
      <c r="S279" s="6">
        <f>LOOKUP(K279,Sheet6!$J$205:$J$246,Sheet6!$B$205:$B$246)*0.1</f>
        <v>6.2</v>
      </c>
      <c r="T279" s="6" t="e">
        <f>LOOKUP(L279,Sheet6!$F$688:$F$749,Sheet6!$B$688:$B$749)*0.2</f>
        <v>#N/A</v>
      </c>
      <c r="U279" s="6">
        <f>LOOKUP(M279,Sheet6!$D$600:$D$626,Sheet6!$B$600:$B$626)*0.1</f>
        <v>0</v>
      </c>
      <c r="V279" s="6" t="e">
        <f t="shared" si="22"/>
        <v>#DIV/0!</v>
      </c>
      <c r="W279" s="6" t="e">
        <f t="shared" si="23"/>
        <v>#DIV/0!</v>
      </c>
    </row>
    <row r="280" spans="1:23" ht="24.75" customHeight="1">
      <c r="A280" s="5"/>
      <c r="B280" s="5"/>
      <c r="C280" s="5"/>
      <c r="D280" s="5"/>
      <c r="E280" s="30"/>
      <c r="F280" s="5"/>
      <c r="G280" s="5"/>
      <c r="H280" s="5"/>
      <c r="I280" s="5"/>
      <c r="J280" s="5"/>
      <c r="K280" s="5"/>
      <c r="L280" s="5"/>
      <c r="M280" s="5"/>
      <c r="N280" s="13" t="e">
        <f t="shared" si="21"/>
        <v>#DIV/0!</v>
      </c>
      <c r="O280" s="6" t="e">
        <f>LOOKUP(N280,Sheet6!$J$4:$J$11,Sheet6!$B$4:$B$11)*0.15</f>
        <v>#DIV/0!</v>
      </c>
      <c r="P280" s="14" t="e">
        <f>LOOKUP(H280,Sheet6!$J$25:$J$66,Sheet6!$B$25:$B$66)*0.15</f>
        <v>#N/A</v>
      </c>
      <c r="Q280" s="6" t="e">
        <f>LOOKUP(I280,Sheet6!$J$115:$J$156,Sheet6!$B$115:$B$156)*0.2</f>
        <v>#N/A</v>
      </c>
      <c r="R280" s="6" t="e">
        <f>LOOKUP(J280,Sheet6!$D$465:$D$506,Sheet6!$B$465:$B$506)*0.1</f>
        <v>#N/A</v>
      </c>
      <c r="S280" s="6">
        <f>LOOKUP(K280,Sheet6!$J$205:$J$246,Sheet6!$B$205:$B$246)*0.1</f>
        <v>6.2</v>
      </c>
      <c r="T280" s="6" t="e">
        <f>LOOKUP(L280,Sheet6!$F$688:$F$749,Sheet6!$B$688:$B$749)*0.2</f>
        <v>#N/A</v>
      </c>
      <c r="U280" s="6">
        <f>LOOKUP(M280,Sheet6!$D$600:$D$626,Sheet6!$B$600:$B$626)*0.1</f>
        <v>0</v>
      </c>
      <c r="V280" s="6" t="e">
        <f t="shared" si="22"/>
        <v>#DIV/0!</v>
      </c>
      <c r="W280" s="6" t="e">
        <f t="shared" si="23"/>
        <v>#DIV/0!</v>
      </c>
    </row>
    <row r="281" spans="1:23" ht="24.75" customHeight="1">
      <c r="A281" s="5"/>
      <c r="B281" s="5"/>
      <c r="C281" s="5"/>
      <c r="D281" s="5"/>
      <c r="E281" s="30"/>
      <c r="F281" s="5"/>
      <c r="G281" s="5"/>
      <c r="H281" s="5"/>
      <c r="I281" s="5"/>
      <c r="J281" s="5"/>
      <c r="K281" s="5"/>
      <c r="L281" s="5"/>
      <c r="M281" s="5"/>
      <c r="N281" s="13" t="e">
        <f t="shared" si="21"/>
        <v>#DIV/0!</v>
      </c>
      <c r="O281" s="6" t="e">
        <f>LOOKUP(N281,Sheet6!$J$4:$J$11,Sheet6!$B$4:$B$11)*0.15</f>
        <v>#DIV/0!</v>
      </c>
      <c r="P281" s="14" t="e">
        <f>LOOKUP(H281,Sheet6!$J$25:$J$66,Sheet6!$B$25:$B$66)*0.15</f>
        <v>#N/A</v>
      </c>
      <c r="Q281" s="6" t="e">
        <f>LOOKUP(I281,Sheet6!$J$115:$J$156,Sheet6!$B$115:$B$156)*0.2</f>
        <v>#N/A</v>
      </c>
      <c r="R281" s="6" t="e">
        <f>LOOKUP(J281,Sheet6!$D$465:$D$506,Sheet6!$B$465:$B$506)*0.1</f>
        <v>#N/A</v>
      </c>
      <c r="S281" s="6">
        <f>LOOKUP(K281,Sheet6!$J$205:$J$246,Sheet6!$B$205:$B$246)*0.1</f>
        <v>6.2</v>
      </c>
      <c r="T281" s="6" t="e">
        <f>LOOKUP(L281,Sheet6!$F$688:$F$749,Sheet6!$B$688:$B$749)*0.2</f>
        <v>#N/A</v>
      </c>
      <c r="U281" s="6">
        <f>LOOKUP(M281,Sheet6!$D$600:$D$626,Sheet6!$B$600:$B$626)*0.1</f>
        <v>0</v>
      </c>
      <c r="V281" s="6" t="e">
        <f t="shared" si="22"/>
        <v>#DIV/0!</v>
      </c>
      <c r="W281" s="6" t="e">
        <f t="shared" si="23"/>
        <v>#DIV/0!</v>
      </c>
    </row>
    <row r="282" spans="1:23" ht="24.75" customHeight="1">
      <c r="A282" s="5"/>
      <c r="B282" s="5"/>
      <c r="C282" s="5"/>
      <c r="D282" s="5"/>
      <c r="E282" s="30"/>
      <c r="F282" s="5"/>
      <c r="G282" s="5"/>
      <c r="H282" s="5"/>
      <c r="I282" s="5"/>
      <c r="J282" s="5"/>
      <c r="K282" s="5"/>
      <c r="L282" s="5"/>
      <c r="M282" s="5"/>
      <c r="N282" s="13" t="e">
        <f t="shared" si="21"/>
        <v>#DIV/0!</v>
      </c>
      <c r="O282" s="6" t="e">
        <f>LOOKUP(N282,Sheet6!$J$4:$J$11,Sheet6!$B$4:$B$11)*0.15</f>
        <v>#DIV/0!</v>
      </c>
      <c r="P282" s="14" t="e">
        <f>LOOKUP(H282,Sheet6!$J$25:$J$66,Sheet6!$B$25:$B$66)*0.15</f>
        <v>#N/A</v>
      </c>
      <c r="Q282" s="6" t="e">
        <f>LOOKUP(I282,Sheet6!$J$115:$J$156,Sheet6!$B$115:$B$156)*0.2</f>
        <v>#N/A</v>
      </c>
      <c r="R282" s="6" t="e">
        <f>LOOKUP(J282,Sheet6!$D$465:$D$506,Sheet6!$B$465:$B$506)*0.1</f>
        <v>#N/A</v>
      </c>
      <c r="S282" s="6">
        <f>LOOKUP(K282,Sheet6!$J$205:$J$246,Sheet6!$B$205:$B$246)*0.1</f>
        <v>6.2</v>
      </c>
      <c r="T282" s="6" t="e">
        <f>LOOKUP(L282,Sheet6!$F$688:$F$749,Sheet6!$B$688:$B$749)*0.2</f>
        <v>#N/A</v>
      </c>
      <c r="U282" s="6">
        <f>LOOKUP(M282,Sheet6!$D$600:$D$626,Sheet6!$B$600:$B$626)*0.1</f>
        <v>0</v>
      </c>
      <c r="V282" s="6" t="e">
        <f t="shared" si="22"/>
        <v>#DIV/0!</v>
      </c>
      <c r="W282" s="6" t="e">
        <f t="shared" si="23"/>
        <v>#DIV/0!</v>
      </c>
    </row>
    <row r="283" spans="1:23" ht="24.75" customHeight="1">
      <c r="A283" s="5"/>
      <c r="B283" s="5"/>
      <c r="C283" s="5"/>
      <c r="D283" s="5"/>
      <c r="E283" s="30"/>
      <c r="F283" s="5"/>
      <c r="G283" s="5"/>
      <c r="H283" s="5"/>
      <c r="I283" s="5"/>
      <c r="J283" s="5"/>
      <c r="K283" s="5"/>
      <c r="L283" s="5"/>
      <c r="M283" s="5"/>
      <c r="N283" s="13" t="e">
        <f t="shared" si="21"/>
        <v>#DIV/0!</v>
      </c>
      <c r="O283" s="6" t="e">
        <f>LOOKUP(N283,Sheet6!$J$4:$J$11,Sheet6!$B$4:$B$11)*0.15</f>
        <v>#DIV/0!</v>
      </c>
      <c r="P283" s="14" t="e">
        <f>LOOKUP(H283,Sheet6!$J$25:$J$66,Sheet6!$B$25:$B$66)*0.15</f>
        <v>#N/A</v>
      </c>
      <c r="Q283" s="6" t="e">
        <f>LOOKUP(I283,Sheet6!$J$115:$J$156,Sheet6!$B$115:$B$156)*0.2</f>
        <v>#N/A</v>
      </c>
      <c r="R283" s="6" t="e">
        <f>LOOKUP(J283,Sheet6!$D$465:$D$506,Sheet6!$B$465:$B$506)*0.1</f>
        <v>#N/A</v>
      </c>
      <c r="S283" s="6">
        <f>LOOKUP(K283,Sheet6!$J$205:$J$246,Sheet6!$B$205:$B$246)*0.1</f>
        <v>6.2</v>
      </c>
      <c r="T283" s="6" t="e">
        <f>LOOKUP(L283,Sheet6!$F$688:$F$749,Sheet6!$B$688:$B$749)*0.2</f>
        <v>#N/A</v>
      </c>
      <c r="U283" s="6">
        <f>LOOKUP(M283,Sheet6!$D$600:$D$626,Sheet6!$B$600:$B$626)*0.1</f>
        <v>0</v>
      </c>
      <c r="V283" s="6" t="e">
        <f t="shared" si="22"/>
        <v>#DIV/0!</v>
      </c>
      <c r="W283" s="6" t="e">
        <f t="shared" si="23"/>
        <v>#DIV/0!</v>
      </c>
    </row>
    <row r="284" spans="1:23" ht="24.75" customHeight="1">
      <c r="A284" s="5"/>
      <c r="B284" s="5"/>
      <c r="C284" s="5"/>
      <c r="D284" s="5"/>
      <c r="E284" s="30"/>
      <c r="F284" s="5"/>
      <c r="G284" s="5"/>
      <c r="H284" s="5"/>
      <c r="I284" s="5"/>
      <c r="J284" s="5"/>
      <c r="K284" s="5"/>
      <c r="L284" s="5"/>
      <c r="M284" s="5"/>
      <c r="N284" s="13" t="e">
        <f t="shared" si="21"/>
        <v>#DIV/0!</v>
      </c>
      <c r="O284" s="6" t="e">
        <f>LOOKUP(N284,Sheet6!$J$4:$J$11,Sheet6!$B$4:$B$11)*0.15</f>
        <v>#DIV/0!</v>
      </c>
      <c r="P284" s="14" t="e">
        <f>LOOKUP(H284,Sheet6!$J$25:$J$66,Sheet6!$B$25:$B$66)*0.15</f>
        <v>#N/A</v>
      </c>
      <c r="Q284" s="6" t="e">
        <f>LOOKUP(I284,Sheet6!$J$115:$J$156,Sheet6!$B$115:$B$156)*0.2</f>
        <v>#N/A</v>
      </c>
      <c r="R284" s="6" t="e">
        <f>LOOKUP(J284,Sheet6!$D$465:$D$506,Sheet6!$B$465:$B$506)*0.1</f>
        <v>#N/A</v>
      </c>
      <c r="S284" s="6">
        <f>LOOKUP(K284,Sheet6!$J$205:$J$246,Sheet6!$B$205:$B$246)*0.1</f>
        <v>6.2</v>
      </c>
      <c r="T284" s="6" t="e">
        <f>LOOKUP(L284,Sheet6!$F$688:$F$749,Sheet6!$B$688:$B$749)*0.2</f>
        <v>#N/A</v>
      </c>
      <c r="U284" s="6">
        <f>LOOKUP(M284,Sheet6!$D$600:$D$626,Sheet6!$B$600:$B$626)*0.1</f>
        <v>0</v>
      </c>
      <c r="V284" s="6" t="e">
        <f t="shared" si="22"/>
        <v>#DIV/0!</v>
      </c>
      <c r="W284" s="6" t="e">
        <f t="shared" si="23"/>
        <v>#DIV/0!</v>
      </c>
    </row>
    <row r="285" spans="1:23" ht="24.75" customHeight="1">
      <c r="A285" s="5"/>
      <c r="B285" s="5"/>
      <c r="C285" s="5"/>
      <c r="D285" s="5"/>
      <c r="E285" s="30"/>
      <c r="F285" s="5"/>
      <c r="G285" s="5"/>
      <c r="H285" s="5"/>
      <c r="I285" s="5"/>
      <c r="J285" s="5"/>
      <c r="K285" s="5"/>
      <c r="L285" s="5"/>
      <c r="M285" s="5"/>
      <c r="N285" s="13" t="e">
        <f t="shared" si="21"/>
        <v>#DIV/0!</v>
      </c>
      <c r="O285" s="6" t="e">
        <f>LOOKUP(N285,Sheet6!$J$4:$J$11,Sheet6!$B$4:$B$11)*0.15</f>
        <v>#DIV/0!</v>
      </c>
      <c r="P285" s="14" t="e">
        <f>LOOKUP(H285,Sheet6!$J$25:$J$66,Sheet6!$B$25:$B$66)*0.15</f>
        <v>#N/A</v>
      </c>
      <c r="Q285" s="6" t="e">
        <f>LOOKUP(I285,Sheet6!$J$115:$J$156,Sheet6!$B$115:$B$156)*0.2</f>
        <v>#N/A</v>
      </c>
      <c r="R285" s="6" t="e">
        <f>LOOKUP(J285,Sheet6!$D$465:$D$506,Sheet6!$B$465:$B$506)*0.1</f>
        <v>#N/A</v>
      </c>
      <c r="S285" s="6">
        <f>LOOKUP(K285,Sheet6!$J$205:$J$246,Sheet6!$B$205:$B$246)*0.1</f>
        <v>6.2</v>
      </c>
      <c r="T285" s="6" t="e">
        <f>LOOKUP(L285,Sheet6!$F$688:$F$749,Sheet6!$B$688:$B$749)*0.2</f>
        <v>#N/A</v>
      </c>
      <c r="U285" s="6">
        <f>LOOKUP(M285,Sheet6!$D$600:$D$626,Sheet6!$B$600:$B$626)*0.1</f>
        <v>0</v>
      </c>
      <c r="V285" s="6" t="e">
        <f t="shared" si="22"/>
        <v>#DIV/0!</v>
      </c>
      <c r="W285" s="6" t="e">
        <f t="shared" si="23"/>
        <v>#DIV/0!</v>
      </c>
    </row>
    <row r="286" spans="1:23" ht="24.75" customHeight="1">
      <c r="A286" s="5"/>
      <c r="B286" s="5"/>
      <c r="C286" s="5"/>
      <c r="D286" s="5"/>
      <c r="E286" s="30"/>
      <c r="F286" s="5"/>
      <c r="G286" s="5"/>
      <c r="H286" s="5"/>
      <c r="I286" s="5"/>
      <c r="J286" s="5"/>
      <c r="K286" s="5"/>
      <c r="L286" s="5"/>
      <c r="M286" s="5"/>
      <c r="N286" s="13" t="e">
        <f t="shared" si="21"/>
        <v>#DIV/0!</v>
      </c>
      <c r="O286" s="6" t="e">
        <f>LOOKUP(N286,Sheet6!$J$4:$J$11,Sheet6!$B$4:$B$11)*0.15</f>
        <v>#DIV/0!</v>
      </c>
      <c r="P286" s="14" t="e">
        <f>LOOKUP(H286,Sheet6!$J$25:$J$66,Sheet6!$B$25:$B$66)*0.15</f>
        <v>#N/A</v>
      </c>
      <c r="Q286" s="6" t="e">
        <f>LOOKUP(I286,Sheet6!$J$115:$J$156,Sheet6!$B$115:$B$156)*0.2</f>
        <v>#N/A</v>
      </c>
      <c r="R286" s="6" t="e">
        <f>LOOKUP(J286,Sheet6!$D$465:$D$506,Sheet6!$B$465:$B$506)*0.1</f>
        <v>#N/A</v>
      </c>
      <c r="S286" s="6">
        <f>LOOKUP(K286,Sheet6!$J$205:$J$246,Sheet6!$B$205:$B$246)*0.1</f>
        <v>6.2</v>
      </c>
      <c r="T286" s="6" t="e">
        <f>LOOKUP(L286,Sheet6!$F$688:$F$749,Sheet6!$B$688:$B$749)*0.2</f>
        <v>#N/A</v>
      </c>
      <c r="U286" s="6">
        <f>LOOKUP(M286,Sheet6!$D$600:$D$626,Sheet6!$B$600:$B$626)*0.1</f>
        <v>0</v>
      </c>
      <c r="V286" s="6" t="e">
        <f t="shared" si="22"/>
        <v>#DIV/0!</v>
      </c>
      <c r="W286" s="6" t="e">
        <f t="shared" si="23"/>
        <v>#DIV/0!</v>
      </c>
    </row>
    <row r="287" spans="1:23" ht="24.75" customHeight="1">
      <c r="A287" s="5"/>
      <c r="B287" s="5"/>
      <c r="C287" s="5"/>
      <c r="D287" s="5"/>
      <c r="E287" s="30"/>
      <c r="F287" s="5"/>
      <c r="G287" s="5"/>
      <c r="H287" s="5"/>
      <c r="I287" s="5"/>
      <c r="J287" s="5"/>
      <c r="K287" s="5"/>
      <c r="L287" s="5"/>
      <c r="M287" s="5"/>
      <c r="N287" s="13" t="e">
        <f t="shared" si="21"/>
        <v>#DIV/0!</v>
      </c>
      <c r="O287" s="6" t="e">
        <f>LOOKUP(N287,Sheet6!$J$4:$J$11,Sheet6!$B$4:$B$11)*0.15</f>
        <v>#DIV/0!</v>
      </c>
      <c r="P287" s="14" t="e">
        <f>LOOKUP(H287,Sheet6!$J$25:$J$66,Sheet6!$B$25:$B$66)*0.15</f>
        <v>#N/A</v>
      </c>
      <c r="Q287" s="6" t="e">
        <f>LOOKUP(I287,Sheet6!$J$115:$J$156,Sheet6!$B$115:$B$156)*0.2</f>
        <v>#N/A</v>
      </c>
      <c r="R287" s="6" t="e">
        <f>LOOKUP(J287,Sheet6!$D$465:$D$506,Sheet6!$B$465:$B$506)*0.1</f>
        <v>#N/A</v>
      </c>
      <c r="S287" s="6">
        <f>LOOKUP(K287,Sheet6!$J$205:$J$246,Sheet6!$B$205:$B$246)*0.1</f>
        <v>6.2</v>
      </c>
      <c r="T287" s="6" t="e">
        <f>LOOKUP(L287,Sheet6!$F$688:$F$749,Sheet6!$B$688:$B$749)*0.2</f>
        <v>#N/A</v>
      </c>
      <c r="U287" s="6">
        <f>LOOKUP(M287,Sheet6!$D$600:$D$626,Sheet6!$B$600:$B$626)*0.1</f>
        <v>0</v>
      </c>
      <c r="V287" s="6" t="e">
        <f t="shared" si="22"/>
        <v>#DIV/0!</v>
      </c>
      <c r="W287" s="6" t="e">
        <f t="shared" si="23"/>
        <v>#DIV/0!</v>
      </c>
    </row>
    <row r="288" spans="1:23" ht="24.75" customHeight="1">
      <c r="A288" s="5"/>
      <c r="B288" s="5"/>
      <c r="C288" s="5"/>
      <c r="D288" s="5"/>
      <c r="E288" s="30"/>
      <c r="F288" s="5"/>
      <c r="G288" s="5"/>
      <c r="H288" s="5"/>
      <c r="I288" s="5"/>
      <c r="J288" s="5"/>
      <c r="K288" s="5"/>
      <c r="L288" s="5"/>
      <c r="M288" s="5"/>
      <c r="N288" s="13" t="e">
        <f t="shared" si="21"/>
        <v>#DIV/0!</v>
      </c>
      <c r="O288" s="6" t="e">
        <f>LOOKUP(N288,Sheet6!$J$4:$J$11,Sheet6!$B$4:$B$11)*0.15</f>
        <v>#DIV/0!</v>
      </c>
      <c r="P288" s="14" t="e">
        <f>LOOKUP(H288,Sheet6!$J$25:$J$66,Sheet6!$B$25:$B$66)*0.15</f>
        <v>#N/A</v>
      </c>
      <c r="Q288" s="6" t="e">
        <f>LOOKUP(I288,Sheet6!$J$115:$J$156,Sheet6!$B$115:$B$156)*0.2</f>
        <v>#N/A</v>
      </c>
      <c r="R288" s="6" t="e">
        <f>LOOKUP(J288,Sheet6!$D$465:$D$506,Sheet6!$B$465:$B$506)*0.1</f>
        <v>#N/A</v>
      </c>
      <c r="S288" s="6">
        <f>LOOKUP(K288,Sheet6!$J$205:$J$246,Sheet6!$B$205:$B$246)*0.1</f>
        <v>6.2</v>
      </c>
      <c r="T288" s="6" t="e">
        <f>LOOKUP(L288,Sheet6!$F$688:$F$749,Sheet6!$B$688:$B$749)*0.2</f>
        <v>#N/A</v>
      </c>
      <c r="U288" s="6">
        <f>LOOKUP(M288,Sheet6!$D$600:$D$626,Sheet6!$B$600:$B$626)*0.1</f>
        <v>0</v>
      </c>
      <c r="V288" s="6" t="e">
        <f t="shared" si="22"/>
        <v>#DIV/0!</v>
      </c>
      <c r="W288" s="6" t="e">
        <f t="shared" si="23"/>
        <v>#DIV/0!</v>
      </c>
    </row>
    <row r="289" spans="1:23" ht="24.75" customHeight="1">
      <c r="A289" s="5"/>
      <c r="B289" s="5"/>
      <c r="C289" s="5"/>
      <c r="D289" s="5"/>
      <c r="E289" s="30"/>
      <c r="F289" s="5"/>
      <c r="G289" s="5"/>
      <c r="H289" s="5"/>
      <c r="I289" s="5"/>
      <c r="J289" s="5"/>
      <c r="K289" s="5"/>
      <c r="L289" s="5"/>
      <c r="M289" s="5"/>
      <c r="N289" s="13" t="e">
        <f t="shared" si="21"/>
        <v>#DIV/0!</v>
      </c>
      <c r="O289" s="6" t="e">
        <f>LOOKUP(N289,Sheet6!$J$4:$J$11,Sheet6!$B$4:$B$11)*0.15</f>
        <v>#DIV/0!</v>
      </c>
      <c r="P289" s="14" t="e">
        <f>LOOKUP(H289,Sheet6!$J$25:$J$66,Sheet6!$B$25:$B$66)*0.15</f>
        <v>#N/A</v>
      </c>
      <c r="Q289" s="6" t="e">
        <f>LOOKUP(I289,Sheet6!$J$115:$J$156,Sheet6!$B$115:$B$156)*0.2</f>
        <v>#N/A</v>
      </c>
      <c r="R289" s="6" t="e">
        <f>LOOKUP(J289,Sheet6!$D$465:$D$506,Sheet6!$B$465:$B$506)*0.1</f>
        <v>#N/A</v>
      </c>
      <c r="S289" s="6">
        <f>LOOKUP(K289,Sheet6!$J$205:$J$246,Sheet6!$B$205:$B$246)*0.1</f>
        <v>6.2</v>
      </c>
      <c r="T289" s="6" t="e">
        <f>LOOKUP(L289,Sheet6!$F$688:$F$749,Sheet6!$B$688:$B$749)*0.2</f>
        <v>#N/A</v>
      </c>
      <c r="U289" s="6">
        <f>LOOKUP(M289,Sheet6!$D$600:$D$626,Sheet6!$B$600:$B$626)*0.1</f>
        <v>0</v>
      </c>
      <c r="V289" s="6" t="e">
        <f t="shared" si="22"/>
        <v>#DIV/0!</v>
      </c>
      <c r="W289" s="6" t="e">
        <f t="shared" si="23"/>
        <v>#DIV/0!</v>
      </c>
    </row>
    <row r="290" spans="1:23" ht="24.75" customHeight="1">
      <c r="A290" s="5"/>
      <c r="B290" s="5"/>
      <c r="C290" s="5"/>
      <c r="D290" s="5"/>
      <c r="E290" s="30"/>
      <c r="F290" s="5"/>
      <c r="G290" s="5"/>
      <c r="H290" s="5"/>
      <c r="I290" s="5"/>
      <c r="J290" s="5"/>
      <c r="K290" s="5"/>
      <c r="L290" s="5"/>
      <c r="M290" s="5"/>
      <c r="N290" s="13" t="e">
        <f t="shared" si="21"/>
        <v>#DIV/0!</v>
      </c>
      <c r="O290" s="6" t="e">
        <f>LOOKUP(N290,Sheet6!$J$4:$J$11,Sheet6!$B$4:$B$11)*0.15</f>
        <v>#DIV/0!</v>
      </c>
      <c r="P290" s="14" t="e">
        <f>LOOKUP(H290,Sheet6!$J$25:$J$66,Sheet6!$B$25:$B$66)*0.15</f>
        <v>#N/A</v>
      </c>
      <c r="Q290" s="6" t="e">
        <f>LOOKUP(I290,Sheet6!$J$115:$J$156,Sheet6!$B$115:$B$156)*0.2</f>
        <v>#N/A</v>
      </c>
      <c r="R290" s="6" t="e">
        <f>LOOKUP(J290,Sheet6!$D$465:$D$506,Sheet6!$B$465:$B$506)*0.1</f>
        <v>#N/A</v>
      </c>
      <c r="S290" s="6">
        <f>LOOKUP(K290,Sheet6!$J$205:$J$246,Sheet6!$B$205:$B$246)*0.1</f>
        <v>6.2</v>
      </c>
      <c r="T290" s="6" t="e">
        <f>LOOKUP(L290,Sheet6!$F$688:$F$749,Sheet6!$B$688:$B$749)*0.2</f>
        <v>#N/A</v>
      </c>
      <c r="U290" s="6">
        <f>LOOKUP(M290,Sheet6!$D$600:$D$626,Sheet6!$B$600:$B$626)*0.1</f>
        <v>0</v>
      </c>
      <c r="V290" s="6" t="e">
        <f t="shared" si="22"/>
        <v>#DIV/0!</v>
      </c>
      <c r="W290" s="6" t="e">
        <f t="shared" si="23"/>
        <v>#DIV/0!</v>
      </c>
    </row>
    <row r="291" spans="1:23" ht="24.75" customHeight="1">
      <c r="A291" s="5"/>
      <c r="B291" s="5"/>
      <c r="C291" s="5"/>
      <c r="D291" s="5"/>
      <c r="E291" s="30"/>
      <c r="F291" s="5"/>
      <c r="G291" s="5"/>
      <c r="H291" s="5"/>
      <c r="I291" s="5"/>
      <c r="J291" s="5"/>
      <c r="K291" s="5"/>
      <c r="L291" s="5"/>
      <c r="M291" s="5"/>
      <c r="N291" s="13" t="e">
        <f t="shared" si="21"/>
        <v>#DIV/0!</v>
      </c>
      <c r="O291" s="6" t="e">
        <f>LOOKUP(N291,Sheet6!$J$4:$J$11,Sheet6!$B$4:$B$11)*0.15</f>
        <v>#DIV/0!</v>
      </c>
      <c r="P291" s="14" t="e">
        <f>LOOKUP(H291,Sheet6!$J$25:$J$66,Sheet6!$B$25:$B$66)*0.15</f>
        <v>#N/A</v>
      </c>
      <c r="Q291" s="6" t="e">
        <f>LOOKUP(I291,Sheet6!$J$115:$J$156,Sheet6!$B$115:$B$156)*0.2</f>
        <v>#N/A</v>
      </c>
      <c r="R291" s="6" t="e">
        <f>LOOKUP(J291,Sheet6!$D$465:$D$506,Sheet6!$B$465:$B$506)*0.1</f>
        <v>#N/A</v>
      </c>
      <c r="S291" s="6">
        <f>LOOKUP(K291,Sheet6!$J$205:$J$246,Sheet6!$B$205:$B$246)*0.1</f>
        <v>6.2</v>
      </c>
      <c r="T291" s="6" t="e">
        <f>LOOKUP(L291,Sheet6!$F$688:$F$749,Sheet6!$B$688:$B$749)*0.2</f>
        <v>#N/A</v>
      </c>
      <c r="U291" s="6">
        <f>LOOKUP(M291,Sheet6!$D$600:$D$626,Sheet6!$B$600:$B$626)*0.1</f>
        <v>0</v>
      </c>
      <c r="V291" s="6" t="e">
        <f t="shared" si="22"/>
        <v>#DIV/0!</v>
      </c>
      <c r="W291" s="6" t="e">
        <f t="shared" si="23"/>
        <v>#DIV/0!</v>
      </c>
    </row>
    <row r="292" spans="1:23" ht="24.75" customHeight="1">
      <c r="A292" s="5"/>
      <c r="B292" s="5"/>
      <c r="C292" s="5"/>
      <c r="D292" s="5"/>
      <c r="E292" s="30"/>
      <c r="F292" s="5"/>
      <c r="G292" s="5"/>
      <c r="H292" s="5"/>
      <c r="I292" s="5"/>
      <c r="J292" s="5"/>
      <c r="K292" s="5"/>
      <c r="L292" s="5"/>
      <c r="M292" s="5"/>
      <c r="N292" s="13" t="e">
        <f t="shared" si="21"/>
        <v>#DIV/0!</v>
      </c>
      <c r="O292" s="6" t="e">
        <f>LOOKUP(N292,Sheet6!$J$4:$J$11,Sheet6!$B$4:$B$11)*0.15</f>
        <v>#DIV/0!</v>
      </c>
      <c r="P292" s="14" t="e">
        <f>LOOKUP(H292,Sheet6!$J$25:$J$66,Sheet6!$B$25:$B$66)*0.15</f>
        <v>#N/A</v>
      </c>
      <c r="Q292" s="6" t="e">
        <f>LOOKUP(I292,Sheet6!$J$115:$J$156,Sheet6!$B$115:$B$156)*0.2</f>
        <v>#N/A</v>
      </c>
      <c r="R292" s="6" t="e">
        <f>LOOKUP(J292,Sheet6!$D$465:$D$506,Sheet6!$B$465:$B$506)*0.1</f>
        <v>#N/A</v>
      </c>
      <c r="S292" s="6">
        <f>LOOKUP(K292,Sheet6!$J$205:$J$246,Sheet6!$B$205:$B$246)*0.1</f>
        <v>6.2</v>
      </c>
      <c r="T292" s="6" t="e">
        <f>LOOKUP(L292,Sheet6!$F$688:$F$749,Sheet6!$B$688:$B$749)*0.2</f>
        <v>#N/A</v>
      </c>
      <c r="U292" s="6">
        <f>LOOKUP(M292,Sheet6!$D$600:$D$626,Sheet6!$B$600:$B$626)*0.1</f>
        <v>0</v>
      </c>
      <c r="V292" s="6" t="e">
        <f t="shared" si="22"/>
        <v>#DIV/0!</v>
      </c>
      <c r="W292" s="6" t="e">
        <f t="shared" si="23"/>
        <v>#DIV/0!</v>
      </c>
    </row>
    <row r="293" spans="1:23" ht="24.75" customHeight="1">
      <c r="A293" s="5"/>
      <c r="B293" s="5"/>
      <c r="C293" s="5"/>
      <c r="D293" s="5"/>
      <c r="E293" s="30"/>
      <c r="F293" s="5"/>
      <c r="G293" s="5"/>
      <c r="H293" s="5"/>
      <c r="I293" s="5"/>
      <c r="J293" s="5"/>
      <c r="K293" s="5"/>
      <c r="L293" s="5"/>
      <c r="M293" s="5"/>
      <c r="N293" s="13" t="e">
        <f t="shared" si="21"/>
        <v>#DIV/0!</v>
      </c>
      <c r="O293" s="6" t="e">
        <f>LOOKUP(N293,Sheet6!$J$4:$J$11,Sheet6!$B$4:$B$11)*0.15</f>
        <v>#DIV/0!</v>
      </c>
      <c r="P293" s="14" t="e">
        <f>LOOKUP(H293,Sheet6!$J$25:$J$66,Sheet6!$B$25:$B$66)*0.15</f>
        <v>#N/A</v>
      </c>
      <c r="Q293" s="6" t="e">
        <f>LOOKUP(I293,Sheet6!$J$115:$J$156,Sheet6!$B$115:$B$156)*0.2</f>
        <v>#N/A</v>
      </c>
      <c r="R293" s="6" t="e">
        <f>LOOKUP(J293,Sheet6!$D$465:$D$506,Sheet6!$B$465:$B$506)*0.1</f>
        <v>#N/A</v>
      </c>
      <c r="S293" s="6">
        <f>LOOKUP(K293,Sheet6!$J$205:$J$246,Sheet6!$B$205:$B$246)*0.1</f>
        <v>6.2</v>
      </c>
      <c r="T293" s="6" t="e">
        <f>LOOKUP(L293,Sheet6!$F$688:$F$749,Sheet6!$B$688:$B$749)*0.2</f>
        <v>#N/A</v>
      </c>
      <c r="U293" s="6">
        <f>LOOKUP(M293,Sheet6!$D$600:$D$626,Sheet6!$B$600:$B$626)*0.1</f>
        <v>0</v>
      </c>
      <c r="V293" s="6" t="e">
        <f t="shared" si="22"/>
        <v>#DIV/0!</v>
      </c>
      <c r="W293" s="6" t="e">
        <f t="shared" si="23"/>
        <v>#DIV/0!</v>
      </c>
    </row>
    <row r="294" spans="1:23" ht="24.75" customHeight="1">
      <c r="A294" s="5"/>
      <c r="B294" s="5"/>
      <c r="C294" s="5"/>
      <c r="D294" s="5"/>
      <c r="E294" s="30"/>
      <c r="F294" s="5"/>
      <c r="G294" s="5"/>
      <c r="H294" s="5"/>
      <c r="I294" s="5"/>
      <c r="J294" s="5"/>
      <c r="K294" s="5"/>
      <c r="L294" s="5"/>
      <c r="M294" s="5"/>
      <c r="N294" s="13" t="e">
        <f t="shared" si="21"/>
        <v>#DIV/0!</v>
      </c>
      <c r="O294" s="6" t="e">
        <f>LOOKUP(N294,Sheet6!$J$4:$J$11,Sheet6!$B$4:$B$11)*0.15</f>
        <v>#DIV/0!</v>
      </c>
      <c r="P294" s="14" t="e">
        <f>LOOKUP(H294,Sheet6!$J$25:$J$66,Sheet6!$B$25:$B$66)*0.15</f>
        <v>#N/A</v>
      </c>
      <c r="Q294" s="6" t="e">
        <f>LOOKUP(I294,Sheet6!$J$115:$J$156,Sheet6!$B$115:$B$156)*0.2</f>
        <v>#N/A</v>
      </c>
      <c r="R294" s="6" t="e">
        <f>LOOKUP(J294,Sheet6!$D$465:$D$506,Sheet6!$B$465:$B$506)*0.1</f>
        <v>#N/A</v>
      </c>
      <c r="S294" s="6">
        <f>LOOKUP(K294,Sheet6!$J$205:$J$246,Sheet6!$B$205:$B$246)*0.1</f>
        <v>6.2</v>
      </c>
      <c r="T294" s="6" t="e">
        <f>LOOKUP(L294,Sheet6!$F$688:$F$749,Sheet6!$B$688:$B$749)*0.2</f>
        <v>#N/A</v>
      </c>
      <c r="U294" s="6">
        <f>LOOKUP(M294,Sheet6!$D$600:$D$626,Sheet6!$B$600:$B$626)*0.1</f>
        <v>0</v>
      </c>
      <c r="V294" s="6" t="e">
        <f t="shared" si="22"/>
        <v>#DIV/0!</v>
      </c>
      <c r="W294" s="6" t="e">
        <f t="shared" si="23"/>
        <v>#DIV/0!</v>
      </c>
    </row>
    <row r="295" spans="1:23" ht="24.75" customHeight="1">
      <c r="A295" s="5"/>
      <c r="B295" s="5"/>
      <c r="C295" s="5"/>
      <c r="D295" s="5"/>
      <c r="E295" s="30"/>
      <c r="F295" s="5"/>
      <c r="G295" s="5"/>
      <c r="H295" s="5"/>
      <c r="I295" s="5"/>
      <c r="J295" s="5"/>
      <c r="K295" s="5"/>
      <c r="L295" s="5"/>
      <c r="M295" s="5"/>
      <c r="N295" s="13" t="e">
        <f t="shared" si="21"/>
        <v>#DIV/0!</v>
      </c>
      <c r="O295" s="6" t="e">
        <f>LOOKUP(N295,Sheet6!$J$4:$J$11,Sheet6!$B$4:$B$11)*0.15</f>
        <v>#DIV/0!</v>
      </c>
      <c r="P295" s="14" t="e">
        <f>LOOKUP(H295,Sheet6!$J$25:$J$66,Sheet6!$B$25:$B$66)*0.15</f>
        <v>#N/A</v>
      </c>
      <c r="Q295" s="6" t="e">
        <f>LOOKUP(I295,Sheet6!$J$115:$J$156,Sheet6!$B$115:$B$156)*0.2</f>
        <v>#N/A</v>
      </c>
      <c r="R295" s="6" t="e">
        <f>LOOKUP(J295,Sheet6!$D$465:$D$506,Sheet6!$B$465:$B$506)*0.1</f>
        <v>#N/A</v>
      </c>
      <c r="S295" s="6">
        <f>LOOKUP(K295,Sheet6!$J$205:$J$246,Sheet6!$B$205:$B$246)*0.1</f>
        <v>6.2</v>
      </c>
      <c r="T295" s="6" t="e">
        <f>LOOKUP(L295,Sheet6!$F$688:$F$749,Sheet6!$B$688:$B$749)*0.2</f>
        <v>#N/A</v>
      </c>
      <c r="U295" s="6">
        <f>LOOKUP(M295,Sheet6!$D$600:$D$626,Sheet6!$B$600:$B$626)*0.1</f>
        <v>0</v>
      </c>
      <c r="V295" s="6" t="e">
        <f t="shared" si="22"/>
        <v>#DIV/0!</v>
      </c>
      <c r="W295" s="6" t="e">
        <f t="shared" si="23"/>
        <v>#DIV/0!</v>
      </c>
    </row>
    <row r="296" spans="1:23" ht="24.75" customHeight="1">
      <c r="A296" s="5"/>
      <c r="B296" s="5"/>
      <c r="C296" s="5"/>
      <c r="D296" s="5"/>
      <c r="E296" s="30"/>
      <c r="F296" s="5"/>
      <c r="G296" s="5"/>
      <c r="H296" s="5"/>
      <c r="I296" s="5"/>
      <c r="J296" s="5"/>
      <c r="K296" s="5"/>
      <c r="L296" s="5"/>
      <c r="M296" s="5"/>
      <c r="N296" s="13" t="e">
        <f t="shared" si="21"/>
        <v>#DIV/0!</v>
      </c>
      <c r="O296" s="6" t="e">
        <f>LOOKUP(N296,Sheet6!$J$4:$J$11,Sheet6!$B$4:$B$11)*0.15</f>
        <v>#DIV/0!</v>
      </c>
      <c r="P296" s="14" t="e">
        <f>LOOKUP(H296,Sheet6!$J$25:$J$66,Sheet6!$B$25:$B$66)*0.15</f>
        <v>#N/A</v>
      </c>
      <c r="Q296" s="6" t="e">
        <f>LOOKUP(I296,Sheet6!$J$115:$J$156,Sheet6!$B$115:$B$156)*0.2</f>
        <v>#N/A</v>
      </c>
      <c r="R296" s="6" t="e">
        <f>LOOKUP(J296,Sheet6!$D$465:$D$506,Sheet6!$B$465:$B$506)*0.1</f>
        <v>#N/A</v>
      </c>
      <c r="S296" s="6">
        <f>LOOKUP(K296,Sheet6!$J$205:$J$246,Sheet6!$B$205:$B$246)*0.1</f>
        <v>6.2</v>
      </c>
      <c r="T296" s="6" t="e">
        <f>LOOKUP(L296,Sheet6!$F$688:$F$749,Sheet6!$B$688:$B$749)*0.2</f>
        <v>#N/A</v>
      </c>
      <c r="U296" s="6">
        <f>LOOKUP(M296,Sheet6!$D$600:$D$626,Sheet6!$B$600:$B$626)*0.1</f>
        <v>0</v>
      </c>
      <c r="V296" s="6" t="e">
        <f t="shared" si="22"/>
        <v>#DIV/0!</v>
      </c>
      <c r="W296" s="6" t="e">
        <f t="shared" si="23"/>
        <v>#DIV/0!</v>
      </c>
    </row>
    <row r="297" spans="1:23" ht="24.75" customHeight="1">
      <c r="A297" s="5"/>
      <c r="B297" s="5"/>
      <c r="C297" s="5"/>
      <c r="D297" s="5"/>
      <c r="E297" s="30"/>
      <c r="F297" s="5"/>
      <c r="G297" s="5"/>
      <c r="H297" s="5"/>
      <c r="I297" s="5"/>
      <c r="J297" s="5"/>
      <c r="K297" s="5"/>
      <c r="L297" s="5"/>
      <c r="M297" s="5"/>
      <c r="N297" s="13" t="e">
        <f t="shared" si="21"/>
        <v>#DIV/0!</v>
      </c>
      <c r="O297" s="6" t="e">
        <f>LOOKUP(N297,Sheet6!$J$4:$J$11,Sheet6!$B$4:$B$11)*0.15</f>
        <v>#DIV/0!</v>
      </c>
      <c r="P297" s="14" t="e">
        <f>LOOKUP(H297,Sheet6!$J$25:$J$66,Sheet6!$B$25:$B$66)*0.15</f>
        <v>#N/A</v>
      </c>
      <c r="Q297" s="6" t="e">
        <f>LOOKUP(I297,Sheet6!$J$115:$J$156,Sheet6!$B$115:$B$156)*0.2</f>
        <v>#N/A</v>
      </c>
      <c r="R297" s="6" t="e">
        <f>LOOKUP(J297,Sheet6!$D$465:$D$506,Sheet6!$B$465:$B$506)*0.1</f>
        <v>#N/A</v>
      </c>
      <c r="S297" s="6">
        <f>LOOKUP(K297,Sheet6!$J$205:$J$246,Sheet6!$B$205:$B$246)*0.1</f>
        <v>6.2</v>
      </c>
      <c r="T297" s="6" t="e">
        <f>LOOKUP(L297,Sheet6!$F$688:$F$749,Sheet6!$B$688:$B$749)*0.2</f>
        <v>#N/A</v>
      </c>
      <c r="U297" s="6">
        <f>LOOKUP(M297,Sheet6!$D$600:$D$626,Sheet6!$B$600:$B$626)*0.1</f>
        <v>0</v>
      </c>
      <c r="V297" s="6" t="e">
        <f t="shared" si="22"/>
        <v>#DIV/0!</v>
      </c>
      <c r="W297" s="6" t="e">
        <f t="shared" si="23"/>
        <v>#DIV/0!</v>
      </c>
    </row>
    <row r="298" spans="1:23" ht="24.75" customHeight="1">
      <c r="A298" s="5"/>
      <c r="B298" s="5"/>
      <c r="C298" s="5"/>
      <c r="D298" s="5"/>
      <c r="E298" s="30"/>
      <c r="F298" s="5"/>
      <c r="G298" s="5"/>
      <c r="H298" s="5"/>
      <c r="I298" s="5"/>
      <c r="J298" s="5"/>
      <c r="K298" s="5"/>
      <c r="L298" s="5"/>
      <c r="M298" s="5"/>
      <c r="N298" s="13" t="e">
        <f t="shared" si="21"/>
        <v>#DIV/0!</v>
      </c>
      <c r="O298" s="6" t="e">
        <f>LOOKUP(N298,Sheet6!$J$4:$J$11,Sheet6!$B$4:$B$11)*0.15</f>
        <v>#DIV/0!</v>
      </c>
      <c r="P298" s="14" t="e">
        <f>LOOKUP(H298,Sheet6!$J$25:$J$66,Sheet6!$B$25:$B$66)*0.15</f>
        <v>#N/A</v>
      </c>
      <c r="Q298" s="6" t="e">
        <f>LOOKUP(I298,Sheet6!$J$115:$J$156,Sheet6!$B$115:$B$156)*0.2</f>
        <v>#N/A</v>
      </c>
      <c r="R298" s="6" t="e">
        <f>LOOKUP(J298,Sheet6!$D$465:$D$506,Sheet6!$B$465:$B$506)*0.1</f>
        <v>#N/A</v>
      </c>
      <c r="S298" s="6">
        <f>LOOKUP(K298,Sheet6!$J$205:$J$246,Sheet6!$B$205:$B$246)*0.1</f>
        <v>6.2</v>
      </c>
      <c r="T298" s="6" t="e">
        <f>LOOKUP(L298,Sheet6!$F$688:$F$749,Sheet6!$B$688:$B$749)*0.2</f>
        <v>#N/A</v>
      </c>
      <c r="U298" s="6">
        <f>LOOKUP(M298,Sheet6!$D$600:$D$626,Sheet6!$B$600:$B$626)*0.1</f>
        <v>0</v>
      </c>
      <c r="V298" s="6" t="e">
        <f t="shared" si="22"/>
        <v>#DIV/0!</v>
      </c>
      <c r="W298" s="6" t="e">
        <f t="shared" si="23"/>
        <v>#DIV/0!</v>
      </c>
    </row>
    <row r="299" spans="1:23" ht="24.75" customHeight="1">
      <c r="A299" s="5"/>
      <c r="B299" s="5"/>
      <c r="C299" s="5"/>
      <c r="D299" s="5"/>
      <c r="E299" s="30"/>
      <c r="F299" s="5"/>
      <c r="G299" s="5"/>
      <c r="H299" s="5"/>
      <c r="I299" s="5"/>
      <c r="J299" s="5"/>
      <c r="K299" s="5"/>
      <c r="L299" s="5"/>
      <c r="M299" s="5"/>
      <c r="N299" s="13" t="e">
        <f t="shared" si="21"/>
        <v>#DIV/0!</v>
      </c>
      <c r="O299" s="6" t="e">
        <f>LOOKUP(N299,Sheet6!$J$4:$J$11,Sheet6!$B$4:$B$11)*0.15</f>
        <v>#DIV/0!</v>
      </c>
      <c r="P299" s="14" t="e">
        <f>LOOKUP(H299,Sheet6!$J$25:$J$66,Sheet6!$B$25:$B$66)*0.15</f>
        <v>#N/A</v>
      </c>
      <c r="Q299" s="6" t="e">
        <f>LOOKUP(I299,Sheet6!$J$115:$J$156,Sheet6!$B$115:$B$156)*0.2</f>
        <v>#N/A</v>
      </c>
      <c r="R299" s="6" t="e">
        <f>LOOKUP(J299,Sheet6!$D$465:$D$506,Sheet6!$B$465:$B$506)*0.1</f>
        <v>#N/A</v>
      </c>
      <c r="S299" s="6">
        <f>LOOKUP(K299,Sheet6!$J$205:$J$246,Sheet6!$B$205:$B$246)*0.1</f>
        <v>6.2</v>
      </c>
      <c r="T299" s="6" t="e">
        <f>LOOKUP(L299,Sheet6!$F$688:$F$749,Sheet6!$B$688:$B$749)*0.2</f>
        <v>#N/A</v>
      </c>
      <c r="U299" s="6">
        <f>LOOKUP(M299,Sheet6!$D$600:$D$626,Sheet6!$B$600:$B$626)*0.1</f>
        <v>0</v>
      </c>
      <c r="V299" s="6" t="e">
        <f t="shared" si="22"/>
        <v>#DIV/0!</v>
      </c>
      <c r="W299" s="6" t="e">
        <f t="shared" si="23"/>
        <v>#DIV/0!</v>
      </c>
    </row>
    <row r="300" spans="1:23" ht="24.75" customHeight="1">
      <c r="A300" s="5"/>
      <c r="B300" s="5"/>
      <c r="C300" s="5"/>
      <c r="D300" s="5"/>
      <c r="E300" s="30"/>
      <c r="F300" s="5"/>
      <c r="G300" s="5"/>
      <c r="H300" s="5"/>
      <c r="I300" s="5"/>
      <c r="J300" s="5"/>
      <c r="K300" s="5"/>
      <c r="L300" s="5"/>
      <c r="M300" s="5"/>
      <c r="N300" s="13" t="e">
        <f t="shared" si="21"/>
        <v>#DIV/0!</v>
      </c>
      <c r="O300" s="6" t="e">
        <f>LOOKUP(N300,Sheet6!$J$4:$J$11,Sheet6!$B$4:$B$11)*0.15</f>
        <v>#DIV/0!</v>
      </c>
      <c r="P300" s="14" t="e">
        <f>LOOKUP(H300,Sheet6!$J$25:$J$66,Sheet6!$B$25:$B$66)*0.15</f>
        <v>#N/A</v>
      </c>
      <c r="Q300" s="6" t="e">
        <f>LOOKUP(I300,Sheet6!$J$115:$J$156,Sheet6!$B$115:$B$156)*0.2</f>
        <v>#N/A</v>
      </c>
      <c r="R300" s="6" t="e">
        <f>LOOKUP(J300,Sheet6!$D$465:$D$506,Sheet6!$B$465:$B$506)*0.1</f>
        <v>#N/A</v>
      </c>
      <c r="S300" s="6">
        <f>LOOKUP(K300,Sheet6!$J$205:$J$246,Sheet6!$B$205:$B$246)*0.1</f>
        <v>6.2</v>
      </c>
      <c r="T300" s="6" t="e">
        <f>LOOKUP(L300,Sheet6!$F$688:$F$749,Sheet6!$B$688:$B$749)*0.2</f>
        <v>#N/A</v>
      </c>
      <c r="U300" s="6">
        <f>LOOKUP(M300,Sheet6!$D$600:$D$626,Sheet6!$B$600:$B$626)*0.1</f>
        <v>0</v>
      </c>
      <c r="V300" s="6" t="e">
        <f t="shared" si="22"/>
        <v>#DIV/0!</v>
      </c>
      <c r="W300" s="6" t="e">
        <f t="shared" si="23"/>
        <v>#DIV/0!</v>
      </c>
    </row>
    <row r="301" spans="1:23" ht="24.75" customHeight="1">
      <c r="A301" s="5"/>
      <c r="B301" s="5"/>
      <c r="C301" s="5"/>
      <c r="D301" s="5"/>
      <c r="E301" s="30"/>
      <c r="F301" s="5"/>
      <c r="G301" s="5"/>
      <c r="H301" s="5"/>
      <c r="I301" s="5"/>
      <c r="J301" s="5"/>
      <c r="K301" s="5"/>
      <c r="L301" s="5"/>
      <c r="M301" s="5"/>
      <c r="N301" s="13" t="e">
        <f t="shared" si="21"/>
        <v>#DIV/0!</v>
      </c>
      <c r="O301" s="6" t="e">
        <f>LOOKUP(N301,Sheet6!$J$4:$J$11,Sheet6!$B$4:$B$11)*0.15</f>
        <v>#DIV/0!</v>
      </c>
      <c r="P301" s="14" t="e">
        <f>LOOKUP(H301,Sheet6!$J$25:$J$66,Sheet6!$B$25:$B$66)*0.15</f>
        <v>#N/A</v>
      </c>
      <c r="Q301" s="6" t="e">
        <f>LOOKUP(I301,Sheet6!$J$115:$J$156,Sheet6!$B$115:$B$156)*0.2</f>
        <v>#N/A</v>
      </c>
      <c r="R301" s="6" t="e">
        <f>LOOKUP(J301,Sheet6!$D$465:$D$506,Sheet6!$B$465:$B$506)*0.1</f>
        <v>#N/A</v>
      </c>
      <c r="S301" s="6">
        <f>LOOKUP(K301,Sheet6!$J$205:$J$246,Sheet6!$B$205:$B$246)*0.1</f>
        <v>6.2</v>
      </c>
      <c r="T301" s="6" t="e">
        <f>LOOKUP(L301,Sheet6!$F$688:$F$749,Sheet6!$B$688:$B$749)*0.2</f>
        <v>#N/A</v>
      </c>
      <c r="U301" s="6">
        <f>LOOKUP(M301,Sheet6!$D$600:$D$626,Sheet6!$B$600:$B$626)*0.1</f>
        <v>0</v>
      </c>
      <c r="V301" s="6" t="e">
        <f t="shared" si="22"/>
        <v>#DIV/0!</v>
      </c>
      <c r="W301" s="6" t="e">
        <f t="shared" si="23"/>
        <v>#DIV/0!</v>
      </c>
    </row>
    <row r="302" spans="1:23" ht="24.75" customHeight="1">
      <c r="A302" s="5"/>
      <c r="B302" s="5"/>
      <c r="C302" s="5"/>
      <c r="D302" s="5"/>
      <c r="E302" s="30"/>
      <c r="F302" s="5"/>
      <c r="G302" s="5"/>
      <c r="H302" s="5"/>
      <c r="I302" s="5"/>
      <c r="J302" s="5"/>
      <c r="K302" s="5"/>
      <c r="L302" s="5"/>
      <c r="M302" s="5"/>
      <c r="N302" s="13" t="e">
        <f t="shared" si="21"/>
        <v>#DIV/0!</v>
      </c>
      <c r="O302" s="6" t="e">
        <f>LOOKUP(N302,Sheet6!$J$4:$J$11,Sheet6!$B$4:$B$11)*0.15</f>
        <v>#DIV/0!</v>
      </c>
      <c r="P302" s="14" t="e">
        <f>LOOKUP(H302,Sheet6!$J$25:$J$66,Sheet6!$B$25:$B$66)*0.15</f>
        <v>#N/A</v>
      </c>
      <c r="Q302" s="6" t="e">
        <f>LOOKUP(I302,Sheet6!$J$115:$J$156,Sheet6!$B$115:$B$156)*0.2</f>
        <v>#N/A</v>
      </c>
      <c r="R302" s="6" t="e">
        <f>LOOKUP(J302,Sheet6!$D$465:$D$506,Sheet6!$B$465:$B$506)*0.1</f>
        <v>#N/A</v>
      </c>
      <c r="S302" s="6">
        <f>LOOKUP(K302,Sheet6!$J$205:$J$246,Sheet6!$B$205:$B$246)*0.1</f>
        <v>6.2</v>
      </c>
      <c r="T302" s="6" t="e">
        <f>LOOKUP(L302,Sheet6!$F$688:$F$749,Sheet6!$B$688:$B$749)*0.2</f>
        <v>#N/A</v>
      </c>
      <c r="U302" s="6">
        <f>LOOKUP(M302,Sheet6!$D$600:$D$626,Sheet6!$B$600:$B$626)*0.1</f>
        <v>0</v>
      </c>
      <c r="V302" s="6" t="e">
        <f t="shared" si="22"/>
        <v>#DIV/0!</v>
      </c>
      <c r="W302" s="6" t="e">
        <f t="shared" si="23"/>
        <v>#DIV/0!</v>
      </c>
    </row>
    <row r="303" spans="1:23" ht="24.75" customHeight="1">
      <c r="A303" s="5"/>
      <c r="B303" s="5"/>
      <c r="C303" s="5"/>
      <c r="D303" s="5"/>
      <c r="E303" s="30"/>
      <c r="F303" s="5"/>
      <c r="G303" s="5"/>
      <c r="H303" s="5"/>
      <c r="I303" s="5"/>
      <c r="J303" s="5"/>
      <c r="K303" s="5"/>
      <c r="L303" s="5"/>
      <c r="M303" s="5"/>
      <c r="N303" s="13" t="e">
        <f t="shared" si="21"/>
        <v>#DIV/0!</v>
      </c>
      <c r="O303" s="6" t="e">
        <f>LOOKUP(N303,Sheet6!$J$4:$J$11,Sheet6!$B$4:$B$11)*0.15</f>
        <v>#DIV/0!</v>
      </c>
      <c r="P303" s="14" t="e">
        <f>LOOKUP(H303,Sheet6!$J$25:$J$66,Sheet6!$B$25:$B$66)*0.15</f>
        <v>#N/A</v>
      </c>
      <c r="Q303" s="6" t="e">
        <f>LOOKUP(I303,Sheet6!$J$115:$J$156,Sheet6!$B$115:$B$156)*0.2</f>
        <v>#N/A</v>
      </c>
      <c r="R303" s="6" t="e">
        <f>LOOKUP(J303,Sheet6!$D$465:$D$506,Sheet6!$B$465:$B$506)*0.1</f>
        <v>#N/A</v>
      </c>
      <c r="S303" s="6">
        <f>LOOKUP(K303,Sheet6!$J$205:$J$246,Sheet6!$B$205:$B$246)*0.1</f>
        <v>6.2</v>
      </c>
      <c r="T303" s="6" t="e">
        <f>LOOKUP(L303,Sheet6!$F$688:$F$749,Sheet6!$B$688:$B$749)*0.2</f>
        <v>#N/A</v>
      </c>
      <c r="U303" s="6">
        <f>LOOKUP(M303,Sheet6!$D$600:$D$626,Sheet6!$B$600:$B$626)*0.1</f>
        <v>0</v>
      </c>
      <c r="V303" s="6" t="e">
        <f t="shared" si="22"/>
        <v>#DIV/0!</v>
      </c>
      <c r="W303" s="6" t="e">
        <f t="shared" si="23"/>
        <v>#DIV/0!</v>
      </c>
    </row>
    <row r="304" spans="1:23" ht="24.75" customHeight="1">
      <c r="A304" s="5"/>
      <c r="B304" s="5"/>
      <c r="C304" s="5"/>
      <c r="D304" s="5"/>
      <c r="E304" s="30"/>
      <c r="F304" s="5"/>
      <c r="G304" s="5"/>
      <c r="H304" s="5"/>
      <c r="I304" s="5"/>
      <c r="J304" s="5"/>
      <c r="K304" s="5"/>
      <c r="L304" s="5"/>
      <c r="M304" s="5"/>
      <c r="N304" s="13" t="e">
        <f t="shared" si="21"/>
        <v>#DIV/0!</v>
      </c>
      <c r="O304" s="6" t="e">
        <f>LOOKUP(N304,Sheet6!$J$4:$J$11,Sheet6!$B$4:$B$11)*0.15</f>
        <v>#DIV/0!</v>
      </c>
      <c r="P304" s="14" t="e">
        <f>LOOKUP(H304,Sheet6!$J$25:$J$66,Sheet6!$B$25:$B$66)*0.15</f>
        <v>#N/A</v>
      </c>
      <c r="Q304" s="6" t="e">
        <f>LOOKUP(I304,Sheet6!$J$115:$J$156,Sheet6!$B$115:$B$156)*0.2</f>
        <v>#N/A</v>
      </c>
      <c r="R304" s="6" t="e">
        <f>LOOKUP(J304,Sheet6!$D$465:$D$506,Sheet6!$B$465:$B$506)*0.1</f>
        <v>#N/A</v>
      </c>
      <c r="S304" s="6">
        <f>LOOKUP(K304,Sheet6!$J$205:$J$246,Sheet6!$B$205:$B$246)*0.1</f>
        <v>6.2</v>
      </c>
      <c r="T304" s="6" t="e">
        <f>LOOKUP(L304,Sheet6!$F$688:$F$749,Sheet6!$B$688:$B$749)*0.2</f>
        <v>#N/A</v>
      </c>
      <c r="U304" s="6">
        <f>LOOKUP(M304,Sheet6!$D$600:$D$626,Sheet6!$B$600:$B$626)*0.1</f>
        <v>0</v>
      </c>
      <c r="V304" s="6" t="e">
        <f t="shared" si="22"/>
        <v>#DIV/0!</v>
      </c>
      <c r="W304" s="6" t="e">
        <f t="shared" si="23"/>
        <v>#DIV/0!</v>
      </c>
    </row>
    <row r="305" spans="1:23" ht="24.75" customHeight="1">
      <c r="A305" s="5"/>
      <c r="B305" s="5"/>
      <c r="C305" s="5"/>
      <c r="D305" s="5"/>
      <c r="E305" s="30"/>
      <c r="F305" s="5"/>
      <c r="G305" s="5"/>
      <c r="H305" s="5"/>
      <c r="I305" s="5"/>
      <c r="J305" s="5"/>
      <c r="K305" s="5"/>
      <c r="L305" s="5"/>
      <c r="M305" s="5"/>
      <c r="N305" s="13" t="e">
        <f t="shared" si="21"/>
        <v>#DIV/0!</v>
      </c>
      <c r="O305" s="6" t="e">
        <f>LOOKUP(N305,Sheet6!$J$4:$J$11,Sheet6!$B$4:$B$11)*0.15</f>
        <v>#DIV/0!</v>
      </c>
      <c r="P305" s="14" t="e">
        <f>LOOKUP(H305,Sheet6!$J$25:$J$66,Sheet6!$B$25:$B$66)*0.15</f>
        <v>#N/A</v>
      </c>
      <c r="Q305" s="6" t="e">
        <f>LOOKUP(I305,Sheet6!$J$115:$J$156,Sheet6!$B$115:$B$156)*0.2</f>
        <v>#N/A</v>
      </c>
      <c r="R305" s="6" t="e">
        <f>LOOKUP(J305,Sheet6!$D$465:$D$506,Sheet6!$B$465:$B$506)*0.1</f>
        <v>#N/A</v>
      </c>
      <c r="S305" s="6">
        <f>LOOKUP(K305,Sheet6!$J$205:$J$246,Sheet6!$B$205:$B$246)*0.1</f>
        <v>6.2</v>
      </c>
      <c r="T305" s="6" t="e">
        <f>LOOKUP(L305,Sheet6!$F$688:$F$749,Sheet6!$B$688:$B$749)*0.2</f>
        <v>#N/A</v>
      </c>
      <c r="U305" s="6">
        <f>LOOKUP(M305,Sheet6!$D$600:$D$626,Sheet6!$B$600:$B$626)*0.1</f>
        <v>0</v>
      </c>
      <c r="V305" s="6" t="e">
        <f t="shared" si="22"/>
        <v>#DIV/0!</v>
      </c>
      <c r="W305" s="6" t="e">
        <f t="shared" si="23"/>
        <v>#DIV/0!</v>
      </c>
    </row>
    <row r="306" spans="1:23" ht="24.75" customHeight="1">
      <c r="A306" s="5"/>
      <c r="B306" s="5"/>
      <c r="C306" s="5"/>
      <c r="D306" s="5"/>
      <c r="E306" s="30"/>
      <c r="F306" s="5"/>
      <c r="G306" s="5"/>
      <c r="H306" s="5"/>
      <c r="I306" s="5"/>
      <c r="J306" s="5"/>
      <c r="K306" s="5"/>
      <c r="L306" s="5"/>
      <c r="M306" s="5"/>
      <c r="N306" s="13" t="e">
        <f t="shared" si="21"/>
        <v>#DIV/0!</v>
      </c>
      <c r="O306" s="6" t="e">
        <f>LOOKUP(N306,Sheet6!$J$4:$J$11,Sheet6!$B$4:$B$11)*0.15</f>
        <v>#DIV/0!</v>
      </c>
      <c r="P306" s="14" t="e">
        <f>LOOKUP(H306,Sheet6!$J$25:$J$66,Sheet6!$B$25:$B$66)*0.15</f>
        <v>#N/A</v>
      </c>
      <c r="Q306" s="6" t="e">
        <f>LOOKUP(I306,Sheet6!$J$115:$J$156,Sheet6!$B$115:$B$156)*0.2</f>
        <v>#N/A</v>
      </c>
      <c r="R306" s="6" t="e">
        <f>LOOKUP(J306,Sheet6!$D$465:$D$506,Sheet6!$B$465:$B$506)*0.1</f>
        <v>#N/A</v>
      </c>
      <c r="S306" s="6">
        <f>LOOKUP(K306,Sheet6!$J$205:$J$246,Sheet6!$B$205:$B$246)*0.1</f>
        <v>6.2</v>
      </c>
      <c r="T306" s="6" t="e">
        <f>LOOKUP(L306,Sheet6!$F$688:$F$749,Sheet6!$B$688:$B$749)*0.2</f>
        <v>#N/A</v>
      </c>
      <c r="U306" s="6">
        <f>LOOKUP(M306,Sheet6!$D$600:$D$626,Sheet6!$B$600:$B$626)*0.1</f>
        <v>0</v>
      </c>
      <c r="V306" s="6" t="e">
        <f t="shared" si="22"/>
        <v>#DIV/0!</v>
      </c>
      <c r="W306" s="6" t="e">
        <f t="shared" si="23"/>
        <v>#DIV/0!</v>
      </c>
    </row>
    <row r="307" spans="1:23" ht="24.75" customHeight="1">
      <c r="A307" s="5"/>
      <c r="B307" s="5"/>
      <c r="C307" s="5"/>
      <c r="D307" s="5"/>
      <c r="E307" s="30"/>
      <c r="F307" s="5"/>
      <c r="G307" s="5"/>
      <c r="H307" s="5"/>
      <c r="I307" s="5"/>
      <c r="J307" s="5"/>
      <c r="K307" s="5"/>
      <c r="L307" s="5"/>
      <c r="M307" s="5"/>
      <c r="N307" s="13" t="e">
        <f t="shared" si="21"/>
        <v>#DIV/0!</v>
      </c>
      <c r="O307" s="6" t="e">
        <f>LOOKUP(N307,Sheet6!$J$4:$J$11,Sheet6!$B$4:$B$11)*0.15</f>
        <v>#DIV/0!</v>
      </c>
      <c r="P307" s="14" t="e">
        <f>LOOKUP(H307,Sheet6!$J$25:$J$66,Sheet6!$B$25:$B$66)*0.15</f>
        <v>#N/A</v>
      </c>
      <c r="Q307" s="6" t="e">
        <f>LOOKUP(I307,Sheet6!$J$115:$J$156,Sheet6!$B$115:$B$156)*0.2</f>
        <v>#N/A</v>
      </c>
      <c r="R307" s="6" t="e">
        <f>LOOKUP(J307,Sheet6!$D$465:$D$506,Sheet6!$B$465:$B$506)*0.1</f>
        <v>#N/A</v>
      </c>
      <c r="S307" s="6">
        <f>LOOKUP(K307,Sheet6!$J$205:$J$246,Sheet6!$B$205:$B$246)*0.1</f>
        <v>6.2</v>
      </c>
      <c r="T307" s="6" t="e">
        <f>LOOKUP(L307,Sheet6!$F$688:$F$749,Sheet6!$B$688:$B$749)*0.2</f>
        <v>#N/A</v>
      </c>
      <c r="U307" s="6">
        <f>LOOKUP(M307,Sheet6!$D$600:$D$626,Sheet6!$B$600:$B$626)*0.1</f>
        <v>0</v>
      </c>
      <c r="V307" s="6" t="e">
        <f t="shared" si="22"/>
        <v>#DIV/0!</v>
      </c>
      <c r="W307" s="6" t="e">
        <f t="shared" si="23"/>
        <v>#DIV/0!</v>
      </c>
    </row>
    <row r="308" spans="1:23" ht="24.75" customHeight="1">
      <c r="A308" s="5"/>
      <c r="B308" s="5"/>
      <c r="C308" s="5"/>
      <c r="D308" s="5"/>
      <c r="E308" s="30"/>
      <c r="F308" s="5"/>
      <c r="G308" s="5"/>
      <c r="H308" s="5"/>
      <c r="I308" s="5"/>
      <c r="J308" s="5"/>
      <c r="K308" s="5"/>
      <c r="L308" s="5"/>
      <c r="M308" s="5"/>
      <c r="N308" s="13" t="e">
        <f t="shared" si="21"/>
        <v>#DIV/0!</v>
      </c>
      <c r="O308" s="6" t="e">
        <f>LOOKUP(N308,Sheet6!$J$4:$J$11,Sheet6!$B$4:$B$11)*0.15</f>
        <v>#DIV/0!</v>
      </c>
      <c r="P308" s="14" t="e">
        <f>LOOKUP(H308,Sheet6!$J$25:$J$66,Sheet6!$B$25:$B$66)*0.15</f>
        <v>#N/A</v>
      </c>
      <c r="Q308" s="6" t="e">
        <f>LOOKUP(I308,Sheet6!$J$115:$J$156,Sheet6!$B$115:$B$156)*0.2</f>
        <v>#N/A</v>
      </c>
      <c r="R308" s="6" t="e">
        <f>LOOKUP(J308,Sheet6!$D$465:$D$506,Sheet6!$B$465:$B$506)*0.1</f>
        <v>#N/A</v>
      </c>
      <c r="S308" s="6">
        <f>LOOKUP(K308,Sheet6!$J$205:$J$246,Sheet6!$B$205:$B$246)*0.1</f>
        <v>6.2</v>
      </c>
      <c r="T308" s="6" t="e">
        <f>LOOKUP(L308,Sheet6!$F$688:$F$749,Sheet6!$B$688:$B$749)*0.2</f>
        <v>#N/A</v>
      </c>
      <c r="U308" s="6">
        <f>LOOKUP(M308,Sheet6!$D$600:$D$626,Sheet6!$B$600:$B$626)*0.1</f>
        <v>0</v>
      </c>
      <c r="V308" s="6" t="e">
        <f t="shared" si="22"/>
        <v>#DIV/0!</v>
      </c>
      <c r="W308" s="6" t="e">
        <f t="shared" si="23"/>
        <v>#DIV/0!</v>
      </c>
    </row>
    <row r="309" spans="1:23" ht="24.75" customHeight="1">
      <c r="A309" s="5"/>
      <c r="B309" s="5"/>
      <c r="C309" s="5"/>
      <c r="D309" s="5"/>
      <c r="E309" s="30"/>
      <c r="F309" s="5"/>
      <c r="G309" s="5"/>
      <c r="H309" s="5"/>
      <c r="I309" s="5"/>
      <c r="J309" s="5"/>
      <c r="K309" s="5"/>
      <c r="L309" s="5"/>
      <c r="M309" s="5"/>
      <c r="N309" s="13" t="e">
        <f t="shared" si="21"/>
        <v>#DIV/0!</v>
      </c>
      <c r="O309" s="6" t="e">
        <f>LOOKUP(N309,Sheet6!$J$4:$J$11,Sheet6!$B$4:$B$11)*0.15</f>
        <v>#DIV/0!</v>
      </c>
      <c r="P309" s="14" t="e">
        <f>LOOKUP(H309,Sheet6!$J$25:$J$66,Sheet6!$B$25:$B$66)*0.15</f>
        <v>#N/A</v>
      </c>
      <c r="Q309" s="6" t="e">
        <f>LOOKUP(I309,Sheet6!$J$115:$J$156,Sheet6!$B$115:$B$156)*0.2</f>
        <v>#N/A</v>
      </c>
      <c r="R309" s="6" t="e">
        <f>LOOKUP(J309,Sheet6!$D$465:$D$506,Sheet6!$B$465:$B$506)*0.1</f>
        <v>#N/A</v>
      </c>
      <c r="S309" s="6">
        <f>LOOKUP(K309,Sheet6!$J$205:$J$246,Sheet6!$B$205:$B$246)*0.1</f>
        <v>6.2</v>
      </c>
      <c r="T309" s="6" t="e">
        <f>LOOKUP(L309,Sheet6!$F$688:$F$749,Sheet6!$B$688:$B$749)*0.2</f>
        <v>#N/A</v>
      </c>
      <c r="U309" s="6">
        <f>LOOKUP(M309,Sheet6!$D$600:$D$626,Sheet6!$B$600:$B$626)*0.1</f>
        <v>0</v>
      </c>
      <c r="V309" s="6" t="e">
        <f t="shared" si="22"/>
        <v>#DIV/0!</v>
      </c>
      <c r="W309" s="6" t="e">
        <f t="shared" si="23"/>
        <v>#DIV/0!</v>
      </c>
    </row>
    <row r="310" spans="1:23" ht="24.75" customHeight="1">
      <c r="A310" s="5"/>
      <c r="B310" s="5"/>
      <c r="C310" s="5"/>
      <c r="D310" s="5"/>
      <c r="E310" s="30"/>
      <c r="F310" s="5"/>
      <c r="G310" s="5"/>
      <c r="H310" s="5"/>
      <c r="I310" s="5"/>
      <c r="J310" s="5"/>
      <c r="K310" s="5"/>
      <c r="L310" s="5"/>
      <c r="M310" s="5"/>
      <c r="N310" s="13" t="e">
        <f t="shared" si="21"/>
        <v>#DIV/0!</v>
      </c>
      <c r="O310" s="6" t="e">
        <f>LOOKUP(N310,Sheet6!$J$4:$J$11,Sheet6!$B$4:$B$11)*0.15</f>
        <v>#DIV/0!</v>
      </c>
      <c r="P310" s="14" t="e">
        <f>LOOKUP(H310,Sheet6!$J$25:$J$66,Sheet6!$B$25:$B$66)*0.15</f>
        <v>#N/A</v>
      </c>
      <c r="Q310" s="6" t="e">
        <f>LOOKUP(I310,Sheet6!$J$115:$J$156,Sheet6!$B$115:$B$156)*0.2</f>
        <v>#N/A</v>
      </c>
      <c r="R310" s="6" t="e">
        <f>LOOKUP(J310,Sheet6!$D$465:$D$506,Sheet6!$B$465:$B$506)*0.1</f>
        <v>#N/A</v>
      </c>
      <c r="S310" s="6">
        <f>LOOKUP(K310,Sheet6!$J$205:$J$246,Sheet6!$B$205:$B$246)*0.1</f>
        <v>6.2</v>
      </c>
      <c r="T310" s="6" t="e">
        <f>LOOKUP(L310,Sheet6!$F$688:$F$749,Sheet6!$B$688:$B$749)*0.2</f>
        <v>#N/A</v>
      </c>
      <c r="U310" s="6">
        <f>LOOKUP(M310,Sheet6!$D$600:$D$626,Sheet6!$B$600:$B$626)*0.1</f>
        <v>0</v>
      </c>
      <c r="V310" s="6" t="e">
        <f t="shared" si="22"/>
        <v>#DIV/0!</v>
      </c>
      <c r="W310" s="6" t="e">
        <f t="shared" si="23"/>
        <v>#DIV/0!</v>
      </c>
    </row>
    <row r="311" spans="1:23" ht="24.75" customHeight="1">
      <c r="A311" s="5"/>
      <c r="B311" s="5"/>
      <c r="C311" s="5"/>
      <c r="D311" s="5"/>
      <c r="E311" s="30"/>
      <c r="F311" s="5"/>
      <c r="G311" s="5"/>
      <c r="H311" s="5"/>
      <c r="I311" s="5"/>
      <c r="J311" s="5"/>
      <c r="K311" s="5"/>
      <c r="L311" s="5"/>
      <c r="M311" s="5"/>
      <c r="N311" s="13" t="e">
        <f t="shared" si="21"/>
        <v>#DIV/0!</v>
      </c>
      <c r="O311" s="6" t="e">
        <f>LOOKUP(N311,Sheet6!$J$4:$J$11,Sheet6!$B$4:$B$11)*0.15</f>
        <v>#DIV/0!</v>
      </c>
      <c r="P311" s="14" t="e">
        <f>LOOKUP(H311,Sheet6!$J$25:$J$66,Sheet6!$B$25:$B$66)*0.15</f>
        <v>#N/A</v>
      </c>
      <c r="Q311" s="6" t="e">
        <f>LOOKUP(I311,Sheet6!$J$115:$J$156,Sheet6!$B$115:$B$156)*0.2</f>
        <v>#N/A</v>
      </c>
      <c r="R311" s="6" t="e">
        <f>LOOKUP(J311,Sheet6!$D$465:$D$506,Sheet6!$B$465:$B$506)*0.1</f>
        <v>#N/A</v>
      </c>
      <c r="S311" s="6">
        <f>LOOKUP(K311,Sheet6!$J$205:$J$246,Sheet6!$B$205:$B$246)*0.1</f>
        <v>6.2</v>
      </c>
      <c r="T311" s="6" t="e">
        <f>LOOKUP(L311,Sheet6!$F$688:$F$749,Sheet6!$B$688:$B$749)*0.2</f>
        <v>#N/A</v>
      </c>
      <c r="U311" s="6">
        <f>LOOKUP(M311,Sheet6!$D$600:$D$626,Sheet6!$B$600:$B$626)*0.1</f>
        <v>0</v>
      </c>
      <c r="V311" s="6" t="e">
        <f t="shared" si="22"/>
        <v>#DIV/0!</v>
      </c>
      <c r="W311" s="6" t="e">
        <f t="shared" si="23"/>
        <v>#DIV/0!</v>
      </c>
    </row>
    <row r="312" spans="1:23" ht="24.75" customHeight="1">
      <c r="A312" s="5"/>
      <c r="B312" s="5"/>
      <c r="C312" s="5"/>
      <c r="D312" s="5"/>
      <c r="E312" s="30"/>
      <c r="F312" s="5"/>
      <c r="G312" s="5"/>
      <c r="H312" s="5"/>
      <c r="I312" s="5"/>
      <c r="J312" s="5"/>
      <c r="K312" s="5"/>
      <c r="L312" s="5"/>
      <c r="M312" s="5"/>
      <c r="N312" s="13" t="e">
        <f t="shared" si="21"/>
        <v>#DIV/0!</v>
      </c>
      <c r="O312" s="6" t="e">
        <f>LOOKUP(N312,Sheet6!$J$4:$J$11,Sheet6!$B$4:$B$11)*0.15</f>
        <v>#DIV/0!</v>
      </c>
      <c r="P312" s="14" t="e">
        <f>LOOKUP(H312,Sheet6!$J$25:$J$66,Sheet6!$B$25:$B$66)*0.15</f>
        <v>#N/A</v>
      </c>
      <c r="Q312" s="6" t="e">
        <f>LOOKUP(I312,Sheet6!$J$115:$J$156,Sheet6!$B$115:$B$156)*0.2</f>
        <v>#N/A</v>
      </c>
      <c r="R312" s="6" t="e">
        <f>LOOKUP(J312,Sheet6!$D$465:$D$506,Sheet6!$B$465:$B$506)*0.1</f>
        <v>#N/A</v>
      </c>
      <c r="S312" s="6">
        <f>LOOKUP(K312,Sheet6!$J$205:$J$246,Sheet6!$B$205:$B$246)*0.1</f>
        <v>6.2</v>
      </c>
      <c r="T312" s="6" t="e">
        <f>LOOKUP(L312,Sheet6!$F$688:$F$749,Sheet6!$B$688:$B$749)*0.2</f>
        <v>#N/A</v>
      </c>
      <c r="U312" s="6">
        <f>LOOKUP(M312,Sheet6!$D$600:$D$626,Sheet6!$B$600:$B$626)*0.1</f>
        <v>0</v>
      </c>
      <c r="V312" s="6" t="e">
        <f t="shared" si="22"/>
        <v>#DIV/0!</v>
      </c>
      <c r="W312" s="6" t="e">
        <f t="shared" si="23"/>
        <v>#DIV/0!</v>
      </c>
    </row>
    <row r="313" spans="1:23" ht="24.75" customHeight="1">
      <c r="A313" s="5"/>
      <c r="B313" s="5"/>
      <c r="C313" s="5"/>
      <c r="D313" s="5"/>
      <c r="E313" s="30"/>
      <c r="F313" s="5"/>
      <c r="G313" s="5"/>
      <c r="H313" s="5"/>
      <c r="I313" s="5"/>
      <c r="J313" s="5"/>
      <c r="K313" s="5"/>
      <c r="L313" s="5"/>
      <c r="M313" s="5"/>
      <c r="N313" s="13" t="e">
        <f t="shared" si="21"/>
        <v>#DIV/0!</v>
      </c>
      <c r="O313" s="6" t="e">
        <f>LOOKUP(N313,Sheet6!$J$4:$J$11,Sheet6!$B$4:$B$11)*0.15</f>
        <v>#DIV/0!</v>
      </c>
      <c r="P313" s="14" t="e">
        <f>LOOKUP(H313,Sheet6!$J$25:$J$66,Sheet6!$B$25:$B$66)*0.15</f>
        <v>#N/A</v>
      </c>
      <c r="Q313" s="6" t="e">
        <f>LOOKUP(I313,Sheet6!$J$115:$J$156,Sheet6!$B$115:$B$156)*0.2</f>
        <v>#N/A</v>
      </c>
      <c r="R313" s="6" t="e">
        <f>LOOKUP(J313,Sheet6!$D$465:$D$506,Sheet6!$B$465:$B$506)*0.1</f>
        <v>#N/A</v>
      </c>
      <c r="S313" s="6">
        <f>LOOKUP(K313,Sheet6!$J$205:$J$246,Sheet6!$B$205:$B$246)*0.1</f>
        <v>6.2</v>
      </c>
      <c r="T313" s="6" t="e">
        <f>LOOKUP(L313,Sheet6!$F$688:$F$749,Sheet6!$B$688:$B$749)*0.2</f>
        <v>#N/A</v>
      </c>
      <c r="U313" s="6">
        <f>LOOKUP(M313,Sheet6!$D$600:$D$626,Sheet6!$B$600:$B$626)*0.1</f>
        <v>0</v>
      </c>
      <c r="V313" s="6" t="e">
        <f t="shared" si="22"/>
        <v>#DIV/0!</v>
      </c>
      <c r="W313" s="6" t="e">
        <f t="shared" si="23"/>
        <v>#DIV/0!</v>
      </c>
    </row>
    <row r="314" spans="1:23" ht="24.75" customHeight="1">
      <c r="A314" s="5"/>
      <c r="B314" s="5"/>
      <c r="C314" s="5"/>
      <c r="D314" s="5"/>
      <c r="E314" s="30"/>
      <c r="F314" s="5"/>
      <c r="G314" s="5"/>
      <c r="H314" s="5"/>
      <c r="I314" s="5"/>
      <c r="J314" s="5"/>
      <c r="K314" s="5"/>
      <c r="L314" s="5"/>
      <c r="M314" s="5"/>
      <c r="N314" s="13" t="e">
        <f t="shared" si="21"/>
        <v>#DIV/0!</v>
      </c>
      <c r="O314" s="6" t="e">
        <f>LOOKUP(N314,Sheet6!$J$4:$J$11,Sheet6!$B$4:$B$11)*0.15</f>
        <v>#DIV/0!</v>
      </c>
      <c r="P314" s="14" t="e">
        <f>LOOKUP(H314,Sheet6!$J$25:$J$66,Sheet6!$B$25:$B$66)*0.15</f>
        <v>#N/A</v>
      </c>
      <c r="Q314" s="6" t="e">
        <f>LOOKUP(I314,Sheet6!$J$115:$J$156,Sheet6!$B$115:$B$156)*0.2</f>
        <v>#N/A</v>
      </c>
      <c r="R314" s="6" t="e">
        <f>LOOKUP(J314,Sheet6!$D$465:$D$506,Sheet6!$B$465:$B$506)*0.1</f>
        <v>#N/A</v>
      </c>
      <c r="S314" s="6">
        <f>LOOKUP(K314,Sheet6!$J$205:$J$246,Sheet6!$B$205:$B$246)*0.1</f>
        <v>6.2</v>
      </c>
      <c r="T314" s="6" t="e">
        <f>LOOKUP(L314,Sheet6!$F$688:$F$749,Sheet6!$B$688:$B$749)*0.2</f>
        <v>#N/A</v>
      </c>
      <c r="U314" s="6">
        <f>LOOKUP(M314,Sheet6!$D$600:$D$626,Sheet6!$B$600:$B$626)*0.1</f>
        <v>0</v>
      </c>
      <c r="V314" s="6" t="e">
        <f t="shared" si="22"/>
        <v>#DIV/0!</v>
      </c>
      <c r="W314" s="6" t="e">
        <f t="shared" si="23"/>
        <v>#DIV/0!</v>
      </c>
    </row>
    <row r="315" spans="1:23" ht="24.75" customHeight="1">
      <c r="A315" s="5"/>
      <c r="B315" s="5"/>
      <c r="C315" s="5"/>
      <c r="D315" s="5"/>
      <c r="E315" s="30"/>
      <c r="F315" s="5"/>
      <c r="G315" s="5"/>
      <c r="H315" s="5"/>
      <c r="I315" s="5"/>
      <c r="J315" s="5"/>
      <c r="K315" s="5"/>
      <c r="L315" s="5"/>
      <c r="M315" s="5"/>
      <c r="N315" s="13" t="e">
        <f t="shared" si="21"/>
        <v>#DIV/0!</v>
      </c>
      <c r="O315" s="6" t="e">
        <f>LOOKUP(N315,Sheet6!$J$4:$J$11,Sheet6!$B$4:$B$11)*0.15</f>
        <v>#DIV/0!</v>
      </c>
      <c r="P315" s="14" t="e">
        <f>LOOKUP(H315,Sheet6!$J$25:$J$66,Sheet6!$B$25:$B$66)*0.15</f>
        <v>#N/A</v>
      </c>
      <c r="Q315" s="6" t="e">
        <f>LOOKUP(I315,Sheet6!$J$115:$J$156,Sheet6!$B$115:$B$156)*0.2</f>
        <v>#N/A</v>
      </c>
      <c r="R315" s="6" t="e">
        <f>LOOKUP(J315,Sheet6!$D$465:$D$506,Sheet6!$B$465:$B$506)*0.1</f>
        <v>#N/A</v>
      </c>
      <c r="S315" s="6">
        <f>LOOKUP(K315,Sheet6!$J$205:$J$246,Sheet6!$B$205:$B$246)*0.1</f>
        <v>6.2</v>
      </c>
      <c r="T315" s="6" t="e">
        <f>LOOKUP(L315,Sheet6!$F$688:$F$749,Sheet6!$B$688:$B$749)*0.2</f>
        <v>#N/A</v>
      </c>
      <c r="U315" s="6">
        <f>LOOKUP(M315,Sheet6!$D$600:$D$626,Sheet6!$B$600:$B$626)*0.1</f>
        <v>0</v>
      </c>
      <c r="V315" s="6" t="e">
        <f t="shared" si="22"/>
        <v>#DIV/0!</v>
      </c>
      <c r="W315" s="6" t="e">
        <f t="shared" si="23"/>
        <v>#DIV/0!</v>
      </c>
    </row>
    <row r="316" spans="1:23" ht="24.75" customHeight="1">
      <c r="A316" s="5"/>
      <c r="B316" s="5"/>
      <c r="C316" s="5"/>
      <c r="D316" s="5"/>
      <c r="E316" s="30"/>
      <c r="F316" s="5"/>
      <c r="G316" s="5"/>
      <c r="H316" s="5"/>
      <c r="I316" s="5"/>
      <c r="J316" s="5"/>
      <c r="K316" s="5"/>
      <c r="L316" s="5"/>
      <c r="M316" s="5"/>
      <c r="N316" s="13" t="e">
        <f t="shared" si="21"/>
        <v>#DIV/0!</v>
      </c>
      <c r="O316" s="6" t="e">
        <f>LOOKUP(N316,Sheet6!$J$4:$J$11,Sheet6!$B$4:$B$11)*0.15</f>
        <v>#DIV/0!</v>
      </c>
      <c r="P316" s="14" t="e">
        <f>LOOKUP(H316,Sheet6!$J$25:$J$66,Sheet6!$B$25:$B$66)*0.15</f>
        <v>#N/A</v>
      </c>
      <c r="Q316" s="6" t="e">
        <f>LOOKUP(I316,Sheet6!$J$115:$J$156,Sheet6!$B$115:$B$156)*0.2</f>
        <v>#N/A</v>
      </c>
      <c r="R316" s="6" t="e">
        <f>LOOKUP(J316,Sheet6!$D$465:$D$506,Sheet6!$B$465:$B$506)*0.1</f>
        <v>#N/A</v>
      </c>
      <c r="S316" s="6">
        <f>LOOKUP(K316,Sheet6!$J$205:$J$246,Sheet6!$B$205:$B$246)*0.1</f>
        <v>6.2</v>
      </c>
      <c r="T316" s="6" t="e">
        <f>LOOKUP(L316,Sheet6!$F$688:$F$749,Sheet6!$B$688:$B$749)*0.2</f>
        <v>#N/A</v>
      </c>
      <c r="U316" s="6">
        <f>LOOKUP(M316,Sheet6!$D$600:$D$626,Sheet6!$B$600:$B$626)*0.1</f>
        <v>0</v>
      </c>
      <c r="V316" s="6" t="e">
        <f t="shared" si="22"/>
        <v>#DIV/0!</v>
      </c>
      <c r="W316" s="6" t="e">
        <f t="shared" si="23"/>
        <v>#DIV/0!</v>
      </c>
    </row>
    <row r="317" spans="1:23" ht="24.75" customHeight="1">
      <c r="A317" s="5"/>
      <c r="B317" s="5"/>
      <c r="C317" s="5"/>
      <c r="D317" s="5"/>
      <c r="E317" s="30"/>
      <c r="F317" s="5"/>
      <c r="G317" s="5"/>
      <c r="H317" s="5"/>
      <c r="I317" s="5"/>
      <c r="J317" s="5"/>
      <c r="K317" s="5"/>
      <c r="L317" s="5"/>
      <c r="M317" s="5"/>
      <c r="N317" s="13" t="e">
        <f t="shared" si="21"/>
        <v>#DIV/0!</v>
      </c>
      <c r="O317" s="6" t="e">
        <f>LOOKUP(N317,Sheet6!$J$4:$J$11,Sheet6!$B$4:$B$11)*0.15</f>
        <v>#DIV/0!</v>
      </c>
      <c r="P317" s="14" t="e">
        <f>LOOKUP(H317,Sheet6!$J$25:$J$66,Sheet6!$B$25:$B$66)*0.15</f>
        <v>#N/A</v>
      </c>
      <c r="Q317" s="6" t="e">
        <f>LOOKUP(I317,Sheet6!$J$115:$J$156,Sheet6!$B$115:$B$156)*0.2</f>
        <v>#N/A</v>
      </c>
      <c r="R317" s="6" t="e">
        <f>LOOKUP(J317,Sheet6!$D$465:$D$506,Sheet6!$B$465:$B$506)*0.1</f>
        <v>#N/A</v>
      </c>
      <c r="S317" s="6">
        <f>LOOKUP(K317,Sheet6!$J$205:$J$246,Sheet6!$B$205:$B$246)*0.1</f>
        <v>6.2</v>
      </c>
      <c r="T317" s="6" t="e">
        <f>LOOKUP(L317,Sheet6!$F$688:$F$749,Sheet6!$B$688:$B$749)*0.2</f>
        <v>#N/A</v>
      </c>
      <c r="U317" s="6">
        <f>LOOKUP(M317,Sheet6!$D$600:$D$626,Sheet6!$B$600:$B$626)*0.1</f>
        <v>0</v>
      </c>
      <c r="V317" s="6" t="e">
        <f t="shared" si="22"/>
        <v>#DIV/0!</v>
      </c>
      <c r="W317" s="6" t="e">
        <f t="shared" si="23"/>
        <v>#DIV/0!</v>
      </c>
    </row>
    <row r="318" spans="1:23" ht="24.75" customHeight="1">
      <c r="A318" s="5"/>
      <c r="B318" s="5"/>
      <c r="C318" s="5"/>
      <c r="D318" s="5"/>
      <c r="E318" s="30"/>
      <c r="F318" s="5"/>
      <c r="G318" s="5"/>
      <c r="H318" s="5"/>
      <c r="I318" s="5"/>
      <c r="J318" s="5"/>
      <c r="K318" s="5"/>
      <c r="L318" s="5"/>
      <c r="M318" s="5"/>
      <c r="N318" s="13" t="e">
        <f t="shared" si="21"/>
        <v>#DIV/0!</v>
      </c>
      <c r="O318" s="6" t="e">
        <f>LOOKUP(N318,Sheet6!$J$4:$J$11,Sheet6!$B$4:$B$11)*0.15</f>
        <v>#DIV/0!</v>
      </c>
      <c r="P318" s="14" t="e">
        <f>LOOKUP(H318,Sheet6!$J$25:$J$66,Sheet6!$B$25:$B$66)*0.15</f>
        <v>#N/A</v>
      </c>
      <c r="Q318" s="6" t="e">
        <f>LOOKUP(I318,Sheet6!$J$115:$J$156,Sheet6!$B$115:$B$156)*0.2</f>
        <v>#N/A</v>
      </c>
      <c r="R318" s="6" t="e">
        <f>LOOKUP(J318,Sheet6!$D$465:$D$506,Sheet6!$B$465:$B$506)*0.1</f>
        <v>#N/A</v>
      </c>
      <c r="S318" s="6">
        <f>LOOKUP(K318,Sheet6!$J$205:$J$246,Sheet6!$B$205:$B$246)*0.1</f>
        <v>6.2</v>
      </c>
      <c r="T318" s="6" t="e">
        <f>LOOKUP(L318,Sheet6!$F$688:$F$749,Sheet6!$B$688:$B$749)*0.2</f>
        <v>#N/A</v>
      </c>
      <c r="U318" s="6">
        <f>LOOKUP(M318,Sheet6!$D$600:$D$626,Sheet6!$B$600:$B$626)*0.1</f>
        <v>0</v>
      </c>
      <c r="V318" s="6" t="e">
        <f t="shared" si="22"/>
        <v>#DIV/0!</v>
      </c>
      <c r="W318" s="6" t="e">
        <f t="shared" si="23"/>
        <v>#DIV/0!</v>
      </c>
    </row>
    <row r="319" spans="1:23" ht="24.75" customHeight="1">
      <c r="A319" s="5"/>
      <c r="B319" s="5"/>
      <c r="C319" s="5"/>
      <c r="D319" s="5"/>
      <c r="E319" s="30"/>
      <c r="F319" s="5"/>
      <c r="G319" s="5"/>
      <c r="H319" s="5"/>
      <c r="I319" s="5"/>
      <c r="J319" s="5"/>
      <c r="K319" s="5"/>
      <c r="L319" s="5"/>
      <c r="M319" s="5"/>
      <c r="N319" s="13" t="e">
        <f t="shared" si="21"/>
        <v>#DIV/0!</v>
      </c>
      <c r="O319" s="6" t="e">
        <f>LOOKUP(N319,Sheet6!$J$4:$J$11,Sheet6!$B$4:$B$11)*0.15</f>
        <v>#DIV/0!</v>
      </c>
      <c r="P319" s="14" t="e">
        <f>LOOKUP(H319,Sheet6!$J$25:$J$66,Sheet6!$B$25:$B$66)*0.15</f>
        <v>#N/A</v>
      </c>
      <c r="Q319" s="6" t="e">
        <f>LOOKUP(I319,Sheet6!$J$115:$J$156,Sheet6!$B$115:$B$156)*0.2</f>
        <v>#N/A</v>
      </c>
      <c r="R319" s="6" t="e">
        <f>LOOKUP(J319,Sheet6!$D$465:$D$506,Sheet6!$B$465:$B$506)*0.1</f>
        <v>#N/A</v>
      </c>
      <c r="S319" s="6">
        <f>LOOKUP(K319,Sheet6!$J$205:$J$246,Sheet6!$B$205:$B$246)*0.1</f>
        <v>6.2</v>
      </c>
      <c r="T319" s="6" t="e">
        <f>LOOKUP(L319,Sheet6!$F$688:$F$749,Sheet6!$B$688:$B$749)*0.2</f>
        <v>#N/A</v>
      </c>
      <c r="U319" s="6">
        <f>LOOKUP(M319,Sheet6!$D$600:$D$626,Sheet6!$B$600:$B$626)*0.1</f>
        <v>0</v>
      </c>
      <c r="V319" s="6" t="e">
        <f t="shared" si="22"/>
        <v>#DIV/0!</v>
      </c>
      <c r="W319" s="6" t="e">
        <f t="shared" si="23"/>
        <v>#DIV/0!</v>
      </c>
    </row>
    <row r="320" spans="1:23" ht="24.75" customHeight="1">
      <c r="A320" s="5"/>
      <c r="B320" s="5"/>
      <c r="C320" s="5"/>
      <c r="D320" s="5"/>
      <c r="E320" s="30"/>
      <c r="F320" s="5"/>
      <c r="G320" s="5"/>
      <c r="H320" s="5"/>
      <c r="I320" s="5"/>
      <c r="J320" s="5"/>
      <c r="K320" s="5"/>
      <c r="L320" s="5"/>
      <c r="M320" s="5"/>
      <c r="N320" s="13" t="e">
        <f t="shared" si="21"/>
        <v>#DIV/0!</v>
      </c>
      <c r="O320" s="6" t="e">
        <f>LOOKUP(N320,Sheet6!$J$4:$J$11,Sheet6!$B$4:$B$11)*0.15</f>
        <v>#DIV/0!</v>
      </c>
      <c r="P320" s="14" t="e">
        <f>LOOKUP(H320,Sheet6!$J$25:$J$66,Sheet6!$B$25:$B$66)*0.15</f>
        <v>#N/A</v>
      </c>
      <c r="Q320" s="6" t="e">
        <f>LOOKUP(I320,Sheet6!$J$115:$J$156,Sheet6!$B$115:$B$156)*0.2</f>
        <v>#N/A</v>
      </c>
      <c r="R320" s="6" t="e">
        <f>LOOKUP(J320,Sheet6!$D$465:$D$506,Sheet6!$B$465:$B$506)*0.1</f>
        <v>#N/A</v>
      </c>
      <c r="S320" s="6">
        <f>LOOKUP(K320,Sheet6!$J$205:$J$246,Sheet6!$B$205:$B$246)*0.1</f>
        <v>6.2</v>
      </c>
      <c r="T320" s="6" t="e">
        <f>LOOKUP(L320,Sheet6!$F$688:$F$749,Sheet6!$B$688:$B$749)*0.2</f>
        <v>#N/A</v>
      </c>
      <c r="U320" s="6">
        <f>LOOKUP(M320,Sheet6!$D$600:$D$626,Sheet6!$B$600:$B$626)*0.1</f>
        <v>0</v>
      </c>
      <c r="V320" s="6" t="e">
        <f t="shared" si="22"/>
        <v>#DIV/0!</v>
      </c>
      <c r="W320" s="6" t="e">
        <f t="shared" si="23"/>
        <v>#DIV/0!</v>
      </c>
    </row>
    <row r="321" spans="1:23" ht="24.75" customHeight="1">
      <c r="A321" s="5"/>
      <c r="B321" s="5"/>
      <c r="C321" s="5"/>
      <c r="D321" s="5"/>
      <c r="E321" s="30"/>
      <c r="F321" s="5"/>
      <c r="G321" s="5"/>
      <c r="H321" s="5"/>
      <c r="I321" s="5"/>
      <c r="J321" s="5"/>
      <c r="K321" s="5"/>
      <c r="L321" s="5"/>
      <c r="M321" s="5"/>
      <c r="N321" s="13" t="e">
        <f t="shared" si="21"/>
        <v>#DIV/0!</v>
      </c>
      <c r="O321" s="6" t="e">
        <f>LOOKUP(N321,Sheet6!$J$4:$J$11,Sheet6!$B$4:$B$11)*0.15</f>
        <v>#DIV/0!</v>
      </c>
      <c r="P321" s="14" t="e">
        <f>LOOKUP(H321,Sheet6!$J$25:$J$66,Sheet6!$B$25:$B$66)*0.15</f>
        <v>#N/A</v>
      </c>
      <c r="Q321" s="6" t="e">
        <f>LOOKUP(I321,Sheet6!$J$115:$J$156,Sheet6!$B$115:$B$156)*0.2</f>
        <v>#N/A</v>
      </c>
      <c r="R321" s="6" t="e">
        <f>LOOKUP(J321,Sheet6!$D$465:$D$506,Sheet6!$B$465:$B$506)*0.1</f>
        <v>#N/A</v>
      </c>
      <c r="S321" s="6">
        <f>LOOKUP(K321,Sheet6!$J$205:$J$246,Sheet6!$B$205:$B$246)*0.1</f>
        <v>6.2</v>
      </c>
      <c r="T321" s="6" t="e">
        <f>LOOKUP(L321,Sheet6!$F$688:$F$749,Sheet6!$B$688:$B$749)*0.2</f>
        <v>#N/A</v>
      </c>
      <c r="U321" s="6">
        <f>LOOKUP(M321,Sheet6!$D$600:$D$626,Sheet6!$B$600:$B$626)*0.1</f>
        <v>0</v>
      </c>
      <c r="V321" s="6" t="e">
        <f t="shared" si="22"/>
        <v>#DIV/0!</v>
      </c>
      <c r="W321" s="6" t="e">
        <f t="shared" si="23"/>
        <v>#DIV/0!</v>
      </c>
    </row>
    <row r="322" spans="1:23" ht="24.75" customHeight="1">
      <c r="A322" s="5"/>
      <c r="B322" s="5"/>
      <c r="C322" s="5"/>
      <c r="D322" s="5"/>
      <c r="E322" s="30"/>
      <c r="F322" s="5"/>
      <c r="G322" s="5"/>
      <c r="H322" s="5"/>
      <c r="I322" s="5"/>
      <c r="J322" s="5"/>
      <c r="K322" s="5"/>
      <c r="L322" s="5"/>
      <c r="M322" s="5"/>
      <c r="N322" s="13" t="e">
        <f t="shared" si="21"/>
        <v>#DIV/0!</v>
      </c>
      <c r="O322" s="6" t="e">
        <f>LOOKUP(N322,Sheet6!$J$4:$J$11,Sheet6!$B$4:$B$11)*0.15</f>
        <v>#DIV/0!</v>
      </c>
      <c r="P322" s="14" t="e">
        <f>LOOKUP(H322,Sheet6!$J$25:$J$66,Sheet6!$B$25:$B$66)*0.15</f>
        <v>#N/A</v>
      </c>
      <c r="Q322" s="6" t="e">
        <f>LOOKUP(I322,Sheet6!$J$115:$J$156,Sheet6!$B$115:$B$156)*0.2</f>
        <v>#N/A</v>
      </c>
      <c r="R322" s="6" t="e">
        <f>LOOKUP(J322,Sheet6!$D$465:$D$506,Sheet6!$B$465:$B$506)*0.1</f>
        <v>#N/A</v>
      </c>
      <c r="S322" s="6">
        <f>LOOKUP(K322,Sheet6!$J$205:$J$246,Sheet6!$B$205:$B$246)*0.1</f>
        <v>6.2</v>
      </c>
      <c r="T322" s="6" t="e">
        <f>LOOKUP(L322,Sheet6!$F$688:$F$749,Sheet6!$B$688:$B$749)*0.2</f>
        <v>#N/A</v>
      </c>
      <c r="U322" s="6">
        <f>LOOKUP(M322,Sheet6!$D$600:$D$626,Sheet6!$B$600:$B$626)*0.1</f>
        <v>0</v>
      </c>
      <c r="V322" s="6" t="e">
        <f t="shared" si="22"/>
        <v>#DIV/0!</v>
      </c>
      <c r="W322" s="6" t="e">
        <f t="shared" si="23"/>
        <v>#DIV/0!</v>
      </c>
    </row>
    <row r="323" spans="1:23" ht="24.75" customHeight="1">
      <c r="A323" s="5"/>
      <c r="B323" s="5"/>
      <c r="C323" s="5"/>
      <c r="D323" s="5"/>
      <c r="E323" s="30"/>
      <c r="F323" s="5"/>
      <c r="G323" s="5"/>
      <c r="H323" s="5"/>
      <c r="I323" s="5"/>
      <c r="J323" s="5"/>
      <c r="K323" s="5"/>
      <c r="L323" s="5"/>
      <c r="M323" s="5"/>
      <c r="N323" s="13" t="e">
        <f t="shared" ref="N323:N386" si="24">G323/(F323*F323)*10000</f>
        <v>#DIV/0!</v>
      </c>
      <c r="O323" s="6" t="e">
        <f>LOOKUP(N323,Sheet6!$J$4:$J$11,Sheet6!$B$4:$B$11)*0.15</f>
        <v>#DIV/0!</v>
      </c>
      <c r="P323" s="14" t="e">
        <f>LOOKUP(H323,Sheet6!$J$25:$J$66,Sheet6!$B$25:$B$66)*0.15</f>
        <v>#N/A</v>
      </c>
      <c r="Q323" s="6" t="e">
        <f>LOOKUP(I323,Sheet6!$J$115:$J$156,Sheet6!$B$115:$B$156)*0.2</f>
        <v>#N/A</v>
      </c>
      <c r="R323" s="6" t="e">
        <f>LOOKUP(J323,Sheet6!$D$465:$D$506,Sheet6!$B$465:$B$506)*0.1</f>
        <v>#N/A</v>
      </c>
      <c r="S323" s="6">
        <f>LOOKUP(K323,Sheet6!$J$205:$J$246,Sheet6!$B$205:$B$246)*0.1</f>
        <v>6.2</v>
      </c>
      <c r="T323" s="6" t="e">
        <f>LOOKUP(L323,Sheet6!$F$688:$F$749,Sheet6!$B$688:$B$749)*0.2</f>
        <v>#N/A</v>
      </c>
      <c r="U323" s="6">
        <f>LOOKUP(M323,Sheet6!$D$600:$D$626,Sheet6!$B$600:$B$626)*0.1</f>
        <v>0</v>
      </c>
      <c r="V323" s="6" t="e">
        <f t="shared" ref="V323:V386" si="25">O323+P323+Q323+R323+S323+T323+U323</f>
        <v>#DIV/0!</v>
      </c>
      <c r="W323" s="6" t="e">
        <f t="shared" ref="W323:W386" si="26">IF(V323&lt;60,"不及格",IF(V323&lt;80,"及格",IF(V323&lt;90,"良好",IF(V323&lt;121,"优秀"))))</f>
        <v>#DIV/0!</v>
      </c>
    </row>
    <row r="324" spans="1:23" ht="24.75" customHeight="1">
      <c r="A324" s="5"/>
      <c r="B324" s="5"/>
      <c r="C324" s="5"/>
      <c r="D324" s="5"/>
      <c r="E324" s="30"/>
      <c r="F324" s="5"/>
      <c r="G324" s="5"/>
      <c r="H324" s="5"/>
      <c r="I324" s="5"/>
      <c r="J324" s="5"/>
      <c r="K324" s="5"/>
      <c r="L324" s="5"/>
      <c r="M324" s="5"/>
      <c r="N324" s="13" t="e">
        <f t="shared" si="24"/>
        <v>#DIV/0!</v>
      </c>
      <c r="O324" s="6" t="e">
        <f>LOOKUP(N324,Sheet6!$J$4:$J$11,Sheet6!$B$4:$B$11)*0.15</f>
        <v>#DIV/0!</v>
      </c>
      <c r="P324" s="14" t="e">
        <f>LOOKUP(H324,Sheet6!$J$25:$J$66,Sheet6!$B$25:$B$66)*0.15</f>
        <v>#N/A</v>
      </c>
      <c r="Q324" s="6" t="e">
        <f>LOOKUP(I324,Sheet6!$J$115:$J$156,Sheet6!$B$115:$B$156)*0.2</f>
        <v>#N/A</v>
      </c>
      <c r="R324" s="6" t="e">
        <f>LOOKUP(J324,Sheet6!$D$465:$D$506,Sheet6!$B$465:$B$506)*0.1</f>
        <v>#N/A</v>
      </c>
      <c r="S324" s="6">
        <f>LOOKUP(K324,Sheet6!$J$205:$J$246,Sheet6!$B$205:$B$246)*0.1</f>
        <v>6.2</v>
      </c>
      <c r="T324" s="6" t="e">
        <f>LOOKUP(L324,Sheet6!$F$688:$F$749,Sheet6!$B$688:$B$749)*0.2</f>
        <v>#N/A</v>
      </c>
      <c r="U324" s="6">
        <f>LOOKUP(M324,Sheet6!$D$600:$D$626,Sheet6!$B$600:$B$626)*0.1</f>
        <v>0</v>
      </c>
      <c r="V324" s="6" t="e">
        <f t="shared" si="25"/>
        <v>#DIV/0!</v>
      </c>
      <c r="W324" s="6" t="e">
        <f t="shared" si="26"/>
        <v>#DIV/0!</v>
      </c>
    </row>
    <row r="325" spans="1:23" ht="24.75" customHeight="1">
      <c r="A325" s="5"/>
      <c r="B325" s="5"/>
      <c r="C325" s="5"/>
      <c r="D325" s="5"/>
      <c r="E325" s="30"/>
      <c r="F325" s="5"/>
      <c r="G325" s="5"/>
      <c r="H325" s="5"/>
      <c r="I325" s="5"/>
      <c r="J325" s="5"/>
      <c r="K325" s="5"/>
      <c r="L325" s="5"/>
      <c r="M325" s="5"/>
      <c r="N325" s="13" t="e">
        <f t="shared" si="24"/>
        <v>#DIV/0!</v>
      </c>
      <c r="O325" s="6" t="e">
        <f>LOOKUP(N325,Sheet6!$J$4:$J$11,Sheet6!$B$4:$B$11)*0.15</f>
        <v>#DIV/0!</v>
      </c>
      <c r="P325" s="14" t="e">
        <f>LOOKUP(H325,Sheet6!$J$25:$J$66,Sheet6!$B$25:$B$66)*0.15</f>
        <v>#N/A</v>
      </c>
      <c r="Q325" s="6" t="e">
        <f>LOOKUP(I325,Sheet6!$J$115:$J$156,Sheet6!$B$115:$B$156)*0.2</f>
        <v>#N/A</v>
      </c>
      <c r="R325" s="6" t="e">
        <f>LOOKUP(J325,Sheet6!$D$465:$D$506,Sheet6!$B$465:$B$506)*0.1</f>
        <v>#N/A</v>
      </c>
      <c r="S325" s="6">
        <f>LOOKUP(K325,Sheet6!$J$205:$J$246,Sheet6!$B$205:$B$246)*0.1</f>
        <v>6.2</v>
      </c>
      <c r="T325" s="6" t="e">
        <f>LOOKUP(L325,Sheet6!$F$688:$F$749,Sheet6!$B$688:$B$749)*0.2</f>
        <v>#N/A</v>
      </c>
      <c r="U325" s="6">
        <f>LOOKUP(M325,Sheet6!$D$600:$D$626,Sheet6!$B$600:$B$626)*0.1</f>
        <v>0</v>
      </c>
      <c r="V325" s="6" t="e">
        <f t="shared" si="25"/>
        <v>#DIV/0!</v>
      </c>
      <c r="W325" s="6" t="e">
        <f t="shared" si="26"/>
        <v>#DIV/0!</v>
      </c>
    </row>
    <row r="326" spans="1:23" ht="24.75" customHeight="1">
      <c r="A326" s="5"/>
      <c r="B326" s="5"/>
      <c r="C326" s="5"/>
      <c r="D326" s="5"/>
      <c r="E326" s="30"/>
      <c r="F326" s="5"/>
      <c r="G326" s="5"/>
      <c r="H326" s="5"/>
      <c r="I326" s="5"/>
      <c r="J326" s="5"/>
      <c r="K326" s="5"/>
      <c r="L326" s="5"/>
      <c r="M326" s="5"/>
      <c r="N326" s="13" t="e">
        <f t="shared" si="24"/>
        <v>#DIV/0!</v>
      </c>
      <c r="O326" s="6" t="e">
        <f>LOOKUP(N326,Sheet6!$J$4:$J$11,Sheet6!$B$4:$B$11)*0.15</f>
        <v>#DIV/0!</v>
      </c>
      <c r="P326" s="14" t="e">
        <f>LOOKUP(H326,Sheet6!$J$25:$J$66,Sheet6!$B$25:$B$66)*0.15</f>
        <v>#N/A</v>
      </c>
      <c r="Q326" s="6" t="e">
        <f>LOOKUP(I326,Sheet6!$J$115:$J$156,Sheet6!$B$115:$B$156)*0.2</f>
        <v>#N/A</v>
      </c>
      <c r="R326" s="6" t="e">
        <f>LOOKUP(J326,Sheet6!$D$465:$D$506,Sheet6!$B$465:$B$506)*0.1</f>
        <v>#N/A</v>
      </c>
      <c r="S326" s="6">
        <f>LOOKUP(K326,Sheet6!$J$205:$J$246,Sheet6!$B$205:$B$246)*0.1</f>
        <v>6.2</v>
      </c>
      <c r="T326" s="6" t="e">
        <f>LOOKUP(L326,Sheet6!$F$688:$F$749,Sheet6!$B$688:$B$749)*0.2</f>
        <v>#N/A</v>
      </c>
      <c r="U326" s="6">
        <f>LOOKUP(M326,Sheet6!$D$600:$D$626,Sheet6!$B$600:$B$626)*0.1</f>
        <v>0</v>
      </c>
      <c r="V326" s="6" t="e">
        <f t="shared" si="25"/>
        <v>#DIV/0!</v>
      </c>
      <c r="W326" s="6" t="e">
        <f t="shared" si="26"/>
        <v>#DIV/0!</v>
      </c>
    </row>
    <row r="327" spans="1:23" ht="24.75" customHeight="1">
      <c r="A327" s="5"/>
      <c r="B327" s="5"/>
      <c r="C327" s="5"/>
      <c r="D327" s="5"/>
      <c r="E327" s="30"/>
      <c r="F327" s="5"/>
      <c r="G327" s="5"/>
      <c r="H327" s="5"/>
      <c r="I327" s="5"/>
      <c r="J327" s="5"/>
      <c r="K327" s="5"/>
      <c r="L327" s="5"/>
      <c r="M327" s="5"/>
      <c r="N327" s="13" t="e">
        <f t="shared" si="24"/>
        <v>#DIV/0!</v>
      </c>
      <c r="O327" s="6" t="e">
        <f>LOOKUP(N327,Sheet6!$J$4:$J$11,Sheet6!$B$4:$B$11)*0.15</f>
        <v>#DIV/0!</v>
      </c>
      <c r="P327" s="14" t="e">
        <f>LOOKUP(H327,Sheet6!$J$25:$J$66,Sheet6!$B$25:$B$66)*0.15</f>
        <v>#N/A</v>
      </c>
      <c r="Q327" s="6" t="e">
        <f>LOOKUP(I327,Sheet6!$J$115:$J$156,Sheet6!$B$115:$B$156)*0.2</f>
        <v>#N/A</v>
      </c>
      <c r="R327" s="6" t="e">
        <f>LOOKUP(J327,Sheet6!$D$465:$D$506,Sheet6!$B$465:$B$506)*0.1</f>
        <v>#N/A</v>
      </c>
      <c r="S327" s="6">
        <f>LOOKUP(K327,Sheet6!$J$205:$J$246,Sheet6!$B$205:$B$246)*0.1</f>
        <v>6.2</v>
      </c>
      <c r="T327" s="6" t="e">
        <f>LOOKUP(L327,Sheet6!$F$688:$F$749,Sheet6!$B$688:$B$749)*0.2</f>
        <v>#N/A</v>
      </c>
      <c r="U327" s="6">
        <f>LOOKUP(M327,Sheet6!$D$600:$D$626,Sheet6!$B$600:$B$626)*0.1</f>
        <v>0</v>
      </c>
      <c r="V327" s="6" t="e">
        <f t="shared" si="25"/>
        <v>#DIV/0!</v>
      </c>
      <c r="W327" s="6" t="e">
        <f t="shared" si="26"/>
        <v>#DIV/0!</v>
      </c>
    </row>
    <row r="328" spans="1:23" ht="24.75" customHeight="1">
      <c r="A328" s="5"/>
      <c r="B328" s="5"/>
      <c r="C328" s="5"/>
      <c r="D328" s="5"/>
      <c r="E328" s="30"/>
      <c r="F328" s="5"/>
      <c r="G328" s="5"/>
      <c r="H328" s="5"/>
      <c r="I328" s="5"/>
      <c r="J328" s="5"/>
      <c r="K328" s="5"/>
      <c r="L328" s="5"/>
      <c r="M328" s="5"/>
      <c r="N328" s="13" t="e">
        <f t="shared" si="24"/>
        <v>#DIV/0!</v>
      </c>
      <c r="O328" s="6" t="e">
        <f>LOOKUP(N328,Sheet6!$J$4:$J$11,Sheet6!$B$4:$B$11)*0.15</f>
        <v>#DIV/0!</v>
      </c>
      <c r="P328" s="14" t="e">
        <f>LOOKUP(H328,Sheet6!$J$25:$J$66,Sheet6!$B$25:$B$66)*0.15</f>
        <v>#N/A</v>
      </c>
      <c r="Q328" s="6" t="e">
        <f>LOOKUP(I328,Sheet6!$J$115:$J$156,Sheet6!$B$115:$B$156)*0.2</f>
        <v>#N/A</v>
      </c>
      <c r="R328" s="6" t="e">
        <f>LOOKUP(J328,Sheet6!$D$465:$D$506,Sheet6!$B$465:$B$506)*0.1</f>
        <v>#N/A</v>
      </c>
      <c r="S328" s="6">
        <f>LOOKUP(K328,Sheet6!$J$205:$J$246,Sheet6!$B$205:$B$246)*0.1</f>
        <v>6.2</v>
      </c>
      <c r="T328" s="6" t="e">
        <f>LOOKUP(L328,Sheet6!$F$688:$F$749,Sheet6!$B$688:$B$749)*0.2</f>
        <v>#N/A</v>
      </c>
      <c r="U328" s="6">
        <f>LOOKUP(M328,Sheet6!$D$600:$D$626,Sheet6!$B$600:$B$626)*0.1</f>
        <v>0</v>
      </c>
      <c r="V328" s="6" t="e">
        <f t="shared" si="25"/>
        <v>#DIV/0!</v>
      </c>
      <c r="W328" s="6" t="e">
        <f t="shared" si="26"/>
        <v>#DIV/0!</v>
      </c>
    </row>
    <row r="329" spans="1:23" ht="24.75" customHeight="1">
      <c r="A329" s="5"/>
      <c r="B329" s="5"/>
      <c r="C329" s="5"/>
      <c r="D329" s="5"/>
      <c r="E329" s="30"/>
      <c r="F329" s="5"/>
      <c r="G329" s="5"/>
      <c r="H329" s="5"/>
      <c r="I329" s="5"/>
      <c r="J329" s="5"/>
      <c r="K329" s="5"/>
      <c r="L329" s="5"/>
      <c r="M329" s="5"/>
      <c r="N329" s="13" t="e">
        <f t="shared" si="24"/>
        <v>#DIV/0!</v>
      </c>
      <c r="O329" s="6" t="e">
        <f>LOOKUP(N329,Sheet6!$J$4:$J$11,Sheet6!$B$4:$B$11)*0.15</f>
        <v>#DIV/0!</v>
      </c>
      <c r="P329" s="14" t="e">
        <f>LOOKUP(H329,Sheet6!$J$25:$J$66,Sheet6!$B$25:$B$66)*0.15</f>
        <v>#N/A</v>
      </c>
      <c r="Q329" s="6" t="e">
        <f>LOOKUP(I329,Sheet6!$J$115:$J$156,Sheet6!$B$115:$B$156)*0.2</f>
        <v>#N/A</v>
      </c>
      <c r="R329" s="6" t="e">
        <f>LOOKUP(J329,Sheet6!$D$465:$D$506,Sheet6!$B$465:$B$506)*0.1</f>
        <v>#N/A</v>
      </c>
      <c r="S329" s="6">
        <f>LOOKUP(K329,Sheet6!$J$205:$J$246,Sheet6!$B$205:$B$246)*0.1</f>
        <v>6.2</v>
      </c>
      <c r="T329" s="6" t="e">
        <f>LOOKUP(L329,Sheet6!$F$688:$F$749,Sheet6!$B$688:$B$749)*0.2</f>
        <v>#N/A</v>
      </c>
      <c r="U329" s="6">
        <f>LOOKUP(M329,Sheet6!$D$600:$D$626,Sheet6!$B$600:$B$626)*0.1</f>
        <v>0</v>
      </c>
      <c r="V329" s="6" t="e">
        <f t="shared" si="25"/>
        <v>#DIV/0!</v>
      </c>
      <c r="W329" s="6" t="e">
        <f t="shared" si="26"/>
        <v>#DIV/0!</v>
      </c>
    </row>
    <row r="330" spans="1:23" ht="24.75" customHeight="1">
      <c r="A330" s="5"/>
      <c r="B330" s="5"/>
      <c r="C330" s="5"/>
      <c r="D330" s="5"/>
      <c r="E330" s="30"/>
      <c r="F330" s="5"/>
      <c r="G330" s="5"/>
      <c r="H330" s="5"/>
      <c r="I330" s="5"/>
      <c r="J330" s="5"/>
      <c r="K330" s="5"/>
      <c r="L330" s="5"/>
      <c r="M330" s="5"/>
      <c r="N330" s="13" t="e">
        <f t="shared" si="24"/>
        <v>#DIV/0!</v>
      </c>
      <c r="O330" s="6" t="e">
        <f>LOOKUP(N330,Sheet6!$J$4:$J$11,Sheet6!$B$4:$B$11)*0.15</f>
        <v>#DIV/0!</v>
      </c>
      <c r="P330" s="14" t="e">
        <f>LOOKUP(H330,Sheet6!$J$25:$J$66,Sheet6!$B$25:$B$66)*0.15</f>
        <v>#N/A</v>
      </c>
      <c r="Q330" s="6" t="e">
        <f>LOOKUP(I330,Sheet6!$J$115:$J$156,Sheet6!$B$115:$B$156)*0.2</f>
        <v>#N/A</v>
      </c>
      <c r="R330" s="6" t="e">
        <f>LOOKUP(J330,Sheet6!$D$465:$D$506,Sheet6!$B$465:$B$506)*0.1</f>
        <v>#N/A</v>
      </c>
      <c r="S330" s="6">
        <f>LOOKUP(K330,Sheet6!$J$205:$J$246,Sheet6!$B$205:$B$246)*0.1</f>
        <v>6.2</v>
      </c>
      <c r="T330" s="6" t="e">
        <f>LOOKUP(L330,Sheet6!$F$688:$F$749,Sheet6!$B$688:$B$749)*0.2</f>
        <v>#N/A</v>
      </c>
      <c r="U330" s="6">
        <f>LOOKUP(M330,Sheet6!$D$600:$D$626,Sheet6!$B$600:$B$626)*0.1</f>
        <v>0</v>
      </c>
      <c r="V330" s="6" t="e">
        <f t="shared" si="25"/>
        <v>#DIV/0!</v>
      </c>
      <c r="W330" s="6" t="e">
        <f t="shared" si="26"/>
        <v>#DIV/0!</v>
      </c>
    </row>
    <row r="331" spans="1:23" ht="24.75" customHeight="1">
      <c r="A331" s="5"/>
      <c r="B331" s="5"/>
      <c r="C331" s="5"/>
      <c r="D331" s="5"/>
      <c r="E331" s="30"/>
      <c r="F331" s="5"/>
      <c r="G331" s="5"/>
      <c r="H331" s="5"/>
      <c r="I331" s="5"/>
      <c r="J331" s="5"/>
      <c r="K331" s="5"/>
      <c r="L331" s="5"/>
      <c r="M331" s="5"/>
      <c r="N331" s="13" t="e">
        <f t="shared" si="24"/>
        <v>#DIV/0!</v>
      </c>
      <c r="O331" s="6" t="e">
        <f>LOOKUP(N331,Sheet6!$J$4:$J$11,Sheet6!$B$4:$B$11)*0.15</f>
        <v>#DIV/0!</v>
      </c>
      <c r="P331" s="14" t="e">
        <f>LOOKUP(H331,Sheet6!$J$25:$J$66,Sheet6!$B$25:$B$66)*0.15</f>
        <v>#N/A</v>
      </c>
      <c r="Q331" s="6" t="e">
        <f>LOOKUP(I331,Sheet6!$J$115:$J$156,Sheet6!$B$115:$B$156)*0.2</f>
        <v>#N/A</v>
      </c>
      <c r="R331" s="6" t="e">
        <f>LOOKUP(J331,Sheet6!$D$465:$D$506,Sheet6!$B$465:$B$506)*0.1</f>
        <v>#N/A</v>
      </c>
      <c r="S331" s="6">
        <f>LOOKUP(K331,Sheet6!$J$205:$J$246,Sheet6!$B$205:$B$246)*0.1</f>
        <v>6.2</v>
      </c>
      <c r="T331" s="6" t="e">
        <f>LOOKUP(L331,Sheet6!$F$688:$F$749,Sheet6!$B$688:$B$749)*0.2</f>
        <v>#N/A</v>
      </c>
      <c r="U331" s="6">
        <f>LOOKUP(M331,Sheet6!$D$600:$D$626,Sheet6!$B$600:$B$626)*0.1</f>
        <v>0</v>
      </c>
      <c r="V331" s="6" t="e">
        <f t="shared" si="25"/>
        <v>#DIV/0!</v>
      </c>
      <c r="W331" s="6" t="e">
        <f t="shared" si="26"/>
        <v>#DIV/0!</v>
      </c>
    </row>
    <row r="332" spans="1:23" ht="24.75" customHeight="1">
      <c r="A332" s="5"/>
      <c r="B332" s="5"/>
      <c r="C332" s="5"/>
      <c r="D332" s="5"/>
      <c r="E332" s="30"/>
      <c r="F332" s="5"/>
      <c r="G332" s="5"/>
      <c r="H332" s="5"/>
      <c r="I332" s="5"/>
      <c r="J332" s="5"/>
      <c r="K332" s="5"/>
      <c r="L332" s="5"/>
      <c r="M332" s="5"/>
      <c r="N332" s="13" t="e">
        <f t="shared" si="24"/>
        <v>#DIV/0!</v>
      </c>
      <c r="O332" s="6" t="e">
        <f>LOOKUP(N332,Sheet6!$J$4:$J$11,Sheet6!$B$4:$B$11)*0.15</f>
        <v>#DIV/0!</v>
      </c>
      <c r="P332" s="14" t="e">
        <f>LOOKUP(H332,Sheet6!$J$25:$J$66,Sheet6!$B$25:$B$66)*0.15</f>
        <v>#N/A</v>
      </c>
      <c r="Q332" s="6" t="e">
        <f>LOOKUP(I332,Sheet6!$J$115:$J$156,Sheet6!$B$115:$B$156)*0.2</f>
        <v>#N/A</v>
      </c>
      <c r="R332" s="6" t="e">
        <f>LOOKUP(J332,Sheet6!$D$465:$D$506,Sheet6!$B$465:$B$506)*0.1</f>
        <v>#N/A</v>
      </c>
      <c r="S332" s="6">
        <f>LOOKUP(K332,Sheet6!$J$205:$J$246,Sheet6!$B$205:$B$246)*0.1</f>
        <v>6.2</v>
      </c>
      <c r="T332" s="6" t="e">
        <f>LOOKUP(L332,Sheet6!$F$688:$F$749,Sheet6!$B$688:$B$749)*0.2</f>
        <v>#N/A</v>
      </c>
      <c r="U332" s="6">
        <f>LOOKUP(M332,Sheet6!$D$600:$D$626,Sheet6!$B$600:$B$626)*0.1</f>
        <v>0</v>
      </c>
      <c r="V332" s="6" t="e">
        <f t="shared" si="25"/>
        <v>#DIV/0!</v>
      </c>
      <c r="W332" s="6" t="e">
        <f t="shared" si="26"/>
        <v>#DIV/0!</v>
      </c>
    </row>
    <row r="333" spans="1:23" ht="24.75" customHeight="1">
      <c r="A333" s="5"/>
      <c r="B333" s="5"/>
      <c r="C333" s="5"/>
      <c r="D333" s="5"/>
      <c r="E333" s="30"/>
      <c r="F333" s="5"/>
      <c r="G333" s="5"/>
      <c r="H333" s="5"/>
      <c r="I333" s="5"/>
      <c r="J333" s="5"/>
      <c r="K333" s="5"/>
      <c r="L333" s="5"/>
      <c r="M333" s="5"/>
      <c r="N333" s="13" t="e">
        <f t="shared" si="24"/>
        <v>#DIV/0!</v>
      </c>
      <c r="O333" s="6" t="e">
        <f>LOOKUP(N333,Sheet6!$J$4:$J$11,Sheet6!$B$4:$B$11)*0.15</f>
        <v>#DIV/0!</v>
      </c>
      <c r="P333" s="14" t="e">
        <f>LOOKUP(H333,Sheet6!$J$25:$J$66,Sheet6!$B$25:$B$66)*0.15</f>
        <v>#N/A</v>
      </c>
      <c r="Q333" s="6" t="e">
        <f>LOOKUP(I333,Sheet6!$J$115:$J$156,Sheet6!$B$115:$B$156)*0.2</f>
        <v>#N/A</v>
      </c>
      <c r="R333" s="6" t="e">
        <f>LOOKUP(J333,Sheet6!$D$465:$D$506,Sheet6!$B$465:$B$506)*0.1</f>
        <v>#N/A</v>
      </c>
      <c r="S333" s="6">
        <f>LOOKUP(K333,Sheet6!$J$205:$J$246,Sheet6!$B$205:$B$246)*0.1</f>
        <v>6.2</v>
      </c>
      <c r="T333" s="6" t="e">
        <f>LOOKUP(L333,Sheet6!$F$688:$F$749,Sheet6!$B$688:$B$749)*0.2</f>
        <v>#N/A</v>
      </c>
      <c r="U333" s="6">
        <f>LOOKUP(M333,Sheet6!$D$600:$D$626,Sheet6!$B$600:$B$626)*0.1</f>
        <v>0</v>
      </c>
      <c r="V333" s="6" t="e">
        <f t="shared" si="25"/>
        <v>#DIV/0!</v>
      </c>
      <c r="W333" s="6" t="e">
        <f t="shared" si="26"/>
        <v>#DIV/0!</v>
      </c>
    </row>
    <row r="334" spans="1:23" ht="24.75" customHeight="1">
      <c r="A334" s="5"/>
      <c r="B334" s="5"/>
      <c r="C334" s="5"/>
      <c r="D334" s="5"/>
      <c r="E334" s="30"/>
      <c r="F334" s="5"/>
      <c r="G334" s="5"/>
      <c r="H334" s="5"/>
      <c r="I334" s="5"/>
      <c r="J334" s="5"/>
      <c r="K334" s="5"/>
      <c r="L334" s="5"/>
      <c r="M334" s="5"/>
      <c r="N334" s="13" t="e">
        <f t="shared" si="24"/>
        <v>#DIV/0!</v>
      </c>
      <c r="O334" s="6" t="e">
        <f>LOOKUP(N334,Sheet6!$J$4:$J$11,Sheet6!$B$4:$B$11)*0.15</f>
        <v>#DIV/0!</v>
      </c>
      <c r="P334" s="14" t="e">
        <f>LOOKUP(H334,Sheet6!$J$25:$J$66,Sheet6!$B$25:$B$66)*0.15</f>
        <v>#N/A</v>
      </c>
      <c r="Q334" s="6" t="e">
        <f>LOOKUP(I334,Sheet6!$J$115:$J$156,Sheet6!$B$115:$B$156)*0.2</f>
        <v>#N/A</v>
      </c>
      <c r="R334" s="6" t="e">
        <f>LOOKUP(J334,Sheet6!$D$465:$D$506,Sheet6!$B$465:$B$506)*0.1</f>
        <v>#N/A</v>
      </c>
      <c r="S334" s="6">
        <f>LOOKUP(K334,Sheet6!$J$205:$J$246,Sheet6!$B$205:$B$246)*0.1</f>
        <v>6.2</v>
      </c>
      <c r="T334" s="6" t="e">
        <f>LOOKUP(L334,Sheet6!$F$688:$F$749,Sheet6!$B$688:$B$749)*0.2</f>
        <v>#N/A</v>
      </c>
      <c r="U334" s="6">
        <f>LOOKUP(M334,Sheet6!$D$600:$D$626,Sheet6!$B$600:$B$626)*0.1</f>
        <v>0</v>
      </c>
      <c r="V334" s="6" t="e">
        <f t="shared" si="25"/>
        <v>#DIV/0!</v>
      </c>
      <c r="W334" s="6" t="e">
        <f t="shared" si="26"/>
        <v>#DIV/0!</v>
      </c>
    </row>
    <row r="335" spans="1:23" ht="24.75" customHeight="1">
      <c r="A335" s="5"/>
      <c r="B335" s="5"/>
      <c r="C335" s="5"/>
      <c r="D335" s="5"/>
      <c r="E335" s="30"/>
      <c r="F335" s="5"/>
      <c r="G335" s="5"/>
      <c r="H335" s="5"/>
      <c r="I335" s="5"/>
      <c r="J335" s="5"/>
      <c r="K335" s="5"/>
      <c r="L335" s="5"/>
      <c r="M335" s="5"/>
      <c r="N335" s="13" t="e">
        <f t="shared" si="24"/>
        <v>#DIV/0!</v>
      </c>
      <c r="O335" s="6" t="e">
        <f>LOOKUP(N335,Sheet6!$J$4:$J$11,Sheet6!$B$4:$B$11)*0.15</f>
        <v>#DIV/0!</v>
      </c>
      <c r="P335" s="14" t="e">
        <f>LOOKUP(H335,Sheet6!$J$25:$J$66,Sheet6!$B$25:$B$66)*0.15</f>
        <v>#N/A</v>
      </c>
      <c r="Q335" s="6" t="e">
        <f>LOOKUP(I335,Sheet6!$J$115:$J$156,Sheet6!$B$115:$B$156)*0.2</f>
        <v>#N/A</v>
      </c>
      <c r="R335" s="6" t="e">
        <f>LOOKUP(J335,Sheet6!$D$465:$D$506,Sheet6!$B$465:$B$506)*0.1</f>
        <v>#N/A</v>
      </c>
      <c r="S335" s="6">
        <f>LOOKUP(K335,Sheet6!$J$205:$J$246,Sheet6!$B$205:$B$246)*0.1</f>
        <v>6.2</v>
      </c>
      <c r="T335" s="6" t="e">
        <f>LOOKUP(L335,Sheet6!$F$688:$F$749,Sheet6!$B$688:$B$749)*0.2</f>
        <v>#N/A</v>
      </c>
      <c r="U335" s="6">
        <f>LOOKUP(M335,Sheet6!$D$600:$D$626,Sheet6!$B$600:$B$626)*0.1</f>
        <v>0</v>
      </c>
      <c r="V335" s="6" t="e">
        <f t="shared" si="25"/>
        <v>#DIV/0!</v>
      </c>
      <c r="W335" s="6" t="e">
        <f t="shared" si="26"/>
        <v>#DIV/0!</v>
      </c>
    </row>
    <row r="336" spans="1:23" ht="24.75" customHeight="1">
      <c r="A336" s="5"/>
      <c r="B336" s="5"/>
      <c r="C336" s="5"/>
      <c r="D336" s="5"/>
      <c r="E336" s="30"/>
      <c r="F336" s="5"/>
      <c r="G336" s="5"/>
      <c r="H336" s="5"/>
      <c r="I336" s="5"/>
      <c r="J336" s="5"/>
      <c r="K336" s="5"/>
      <c r="L336" s="5"/>
      <c r="M336" s="5"/>
      <c r="N336" s="13" t="e">
        <f t="shared" si="24"/>
        <v>#DIV/0!</v>
      </c>
      <c r="O336" s="6" t="e">
        <f>LOOKUP(N336,Sheet6!$J$4:$J$11,Sheet6!$B$4:$B$11)*0.15</f>
        <v>#DIV/0!</v>
      </c>
      <c r="P336" s="14" t="e">
        <f>LOOKUP(H336,Sheet6!$J$25:$J$66,Sheet6!$B$25:$B$66)*0.15</f>
        <v>#N/A</v>
      </c>
      <c r="Q336" s="6" t="e">
        <f>LOOKUP(I336,Sheet6!$J$115:$J$156,Sheet6!$B$115:$B$156)*0.2</f>
        <v>#N/A</v>
      </c>
      <c r="R336" s="6" t="e">
        <f>LOOKUP(J336,Sheet6!$D$465:$D$506,Sheet6!$B$465:$B$506)*0.1</f>
        <v>#N/A</v>
      </c>
      <c r="S336" s="6">
        <f>LOOKUP(K336,Sheet6!$J$205:$J$246,Sheet6!$B$205:$B$246)*0.1</f>
        <v>6.2</v>
      </c>
      <c r="T336" s="6" t="e">
        <f>LOOKUP(L336,Sheet6!$F$688:$F$749,Sheet6!$B$688:$B$749)*0.2</f>
        <v>#N/A</v>
      </c>
      <c r="U336" s="6">
        <f>LOOKUP(M336,Sheet6!$D$600:$D$626,Sheet6!$B$600:$B$626)*0.1</f>
        <v>0</v>
      </c>
      <c r="V336" s="6" t="e">
        <f t="shared" si="25"/>
        <v>#DIV/0!</v>
      </c>
      <c r="W336" s="6" t="e">
        <f t="shared" si="26"/>
        <v>#DIV/0!</v>
      </c>
    </row>
    <row r="337" spans="1:23" ht="24.75" customHeight="1">
      <c r="A337" s="5"/>
      <c r="B337" s="5"/>
      <c r="C337" s="5"/>
      <c r="D337" s="5"/>
      <c r="E337" s="30"/>
      <c r="F337" s="5"/>
      <c r="G337" s="5"/>
      <c r="H337" s="5"/>
      <c r="I337" s="5"/>
      <c r="J337" s="5"/>
      <c r="K337" s="5"/>
      <c r="L337" s="5"/>
      <c r="M337" s="5"/>
      <c r="N337" s="13" t="e">
        <f t="shared" si="24"/>
        <v>#DIV/0!</v>
      </c>
      <c r="O337" s="6" t="e">
        <f>LOOKUP(N337,Sheet6!$J$4:$J$11,Sheet6!$B$4:$B$11)*0.15</f>
        <v>#DIV/0!</v>
      </c>
      <c r="P337" s="14" t="e">
        <f>LOOKUP(H337,Sheet6!$J$25:$J$66,Sheet6!$B$25:$B$66)*0.15</f>
        <v>#N/A</v>
      </c>
      <c r="Q337" s="6" t="e">
        <f>LOOKUP(I337,Sheet6!$J$115:$J$156,Sheet6!$B$115:$B$156)*0.2</f>
        <v>#N/A</v>
      </c>
      <c r="R337" s="6" t="e">
        <f>LOOKUP(J337,Sheet6!$D$465:$D$506,Sheet6!$B$465:$B$506)*0.1</f>
        <v>#N/A</v>
      </c>
      <c r="S337" s="6">
        <f>LOOKUP(K337,Sheet6!$J$205:$J$246,Sheet6!$B$205:$B$246)*0.1</f>
        <v>6.2</v>
      </c>
      <c r="T337" s="6" t="e">
        <f>LOOKUP(L337,Sheet6!$F$688:$F$749,Sheet6!$B$688:$B$749)*0.2</f>
        <v>#N/A</v>
      </c>
      <c r="U337" s="6">
        <f>LOOKUP(M337,Sheet6!$D$600:$D$626,Sheet6!$B$600:$B$626)*0.1</f>
        <v>0</v>
      </c>
      <c r="V337" s="6" t="e">
        <f t="shared" si="25"/>
        <v>#DIV/0!</v>
      </c>
      <c r="W337" s="6" t="e">
        <f t="shared" si="26"/>
        <v>#DIV/0!</v>
      </c>
    </row>
    <row r="338" spans="1:23" ht="24.75" customHeight="1">
      <c r="A338" s="5"/>
      <c r="B338" s="5"/>
      <c r="C338" s="5"/>
      <c r="D338" s="5"/>
      <c r="E338" s="30"/>
      <c r="F338" s="5"/>
      <c r="G338" s="5"/>
      <c r="H338" s="5"/>
      <c r="I338" s="5"/>
      <c r="J338" s="5"/>
      <c r="K338" s="5"/>
      <c r="L338" s="5"/>
      <c r="M338" s="5"/>
      <c r="N338" s="13" t="e">
        <f t="shared" si="24"/>
        <v>#DIV/0!</v>
      </c>
      <c r="O338" s="6" t="e">
        <f>LOOKUP(N338,Sheet6!$J$4:$J$11,Sheet6!$B$4:$B$11)*0.15</f>
        <v>#DIV/0!</v>
      </c>
      <c r="P338" s="14" t="e">
        <f>LOOKUP(H338,Sheet6!$J$25:$J$66,Sheet6!$B$25:$B$66)*0.15</f>
        <v>#N/A</v>
      </c>
      <c r="Q338" s="6" t="e">
        <f>LOOKUP(I338,Sheet6!$J$115:$J$156,Sheet6!$B$115:$B$156)*0.2</f>
        <v>#N/A</v>
      </c>
      <c r="R338" s="6" t="e">
        <f>LOOKUP(J338,Sheet6!$D$465:$D$506,Sheet6!$B$465:$B$506)*0.1</f>
        <v>#N/A</v>
      </c>
      <c r="S338" s="6">
        <f>LOOKUP(K338,Sheet6!$J$205:$J$246,Sheet6!$B$205:$B$246)*0.1</f>
        <v>6.2</v>
      </c>
      <c r="T338" s="6" t="e">
        <f>LOOKUP(L338,Sheet6!$F$688:$F$749,Sheet6!$B$688:$B$749)*0.2</f>
        <v>#N/A</v>
      </c>
      <c r="U338" s="6">
        <f>LOOKUP(M338,Sheet6!$D$600:$D$626,Sheet6!$B$600:$B$626)*0.1</f>
        <v>0</v>
      </c>
      <c r="V338" s="6" t="e">
        <f t="shared" si="25"/>
        <v>#DIV/0!</v>
      </c>
      <c r="W338" s="6" t="e">
        <f t="shared" si="26"/>
        <v>#DIV/0!</v>
      </c>
    </row>
    <row r="339" spans="1:23" ht="24.75" customHeight="1">
      <c r="A339" s="5"/>
      <c r="B339" s="5"/>
      <c r="C339" s="5"/>
      <c r="D339" s="5"/>
      <c r="E339" s="30"/>
      <c r="F339" s="5"/>
      <c r="G339" s="5"/>
      <c r="H339" s="5"/>
      <c r="I339" s="5"/>
      <c r="J339" s="5"/>
      <c r="K339" s="5"/>
      <c r="L339" s="5"/>
      <c r="M339" s="5"/>
      <c r="N339" s="13" t="e">
        <f t="shared" si="24"/>
        <v>#DIV/0!</v>
      </c>
      <c r="O339" s="6" t="e">
        <f>LOOKUP(N339,Sheet6!$J$4:$J$11,Sheet6!$B$4:$B$11)*0.15</f>
        <v>#DIV/0!</v>
      </c>
      <c r="P339" s="14" t="e">
        <f>LOOKUP(H339,Sheet6!$J$25:$J$66,Sheet6!$B$25:$B$66)*0.15</f>
        <v>#N/A</v>
      </c>
      <c r="Q339" s="6" t="e">
        <f>LOOKUP(I339,Sheet6!$J$115:$J$156,Sheet6!$B$115:$B$156)*0.2</f>
        <v>#N/A</v>
      </c>
      <c r="R339" s="6" t="e">
        <f>LOOKUP(J339,Sheet6!$D$465:$D$506,Sheet6!$B$465:$B$506)*0.1</f>
        <v>#N/A</v>
      </c>
      <c r="S339" s="6">
        <f>LOOKUP(K339,Sheet6!$J$205:$J$246,Sheet6!$B$205:$B$246)*0.1</f>
        <v>6.2</v>
      </c>
      <c r="T339" s="6" t="e">
        <f>LOOKUP(L339,Sheet6!$F$688:$F$749,Sheet6!$B$688:$B$749)*0.2</f>
        <v>#N/A</v>
      </c>
      <c r="U339" s="6">
        <f>LOOKUP(M339,Sheet6!$D$600:$D$626,Sheet6!$B$600:$B$626)*0.1</f>
        <v>0</v>
      </c>
      <c r="V339" s="6" t="e">
        <f t="shared" si="25"/>
        <v>#DIV/0!</v>
      </c>
      <c r="W339" s="6" t="e">
        <f t="shared" si="26"/>
        <v>#DIV/0!</v>
      </c>
    </row>
    <row r="340" spans="1:23" ht="24.75" customHeight="1">
      <c r="A340" s="5"/>
      <c r="B340" s="5"/>
      <c r="C340" s="5"/>
      <c r="D340" s="5"/>
      <c r="E340" s="30"/>
      <c r="F340" s="5"/>
      <c r="G340" s="5"/>
      <c r="H340" s="5"/>
      <c r="I340" s="5"/>
      <c r="J340" s="5"/>
      <c r="K340" s="5"/>
      <c r="L340" s="5"/>
      <c r="M340" s="5"/>
      <c r="N340" s="13" t="e">
        <f t="shared" si="24"/>
        <v>#DIV/0!</v>
      </c>
      <c r="O340" s="6" t="e">
        <f>LOOKUP(N340,Sheet6!$J$4:$J$11,Sheet6!$B$4:$B$11)*0.15</f>
        <v>#DIV/0!</v>
      </c>
      <c r="P340" s="14" t="e">
        <f>LOOKUP(H340,Sheet6!$J$25:$J$66,Sheet6!$B$25:$B$66)*0.15</f>
        <v>#N/A</v>
      </c>
      <c r="Q340" s="6" t="e">
        <f>LOOKUP(I340,Sheet6!$J$115:$J$156,Sheet6!$B$115:$B$156)*0.2</f>
        <v>#N/A</v>
      </c>
      <c r="R340" s="6" t="e">
        <f>LOOKUP(J340,Sheet6!$D$465:$D$506,Sheet6!$B$465:$B$506)*0.1</f>
        <v>#N/A</v>
      </c>
      <c r="S340" s="6">
        <f>LOOKUP(K340,Sheet6!$J$205:$J$246,Sheet6!$B$205:$B$246)*0.1</f>
        <v>6.2</v>
      </c>
      <c r="T340" s="6" t="e">
        <f>LOOKUP(L340,Sheet6!$F$688:$F$749,Sheet6!$B$688:$B$749)*0.2</f>
        <v>#N/A</v>
      </c>
      <c r="U340" s="6">
        <f>LOOKUP(M340,Sheet6!$D$600:$D$626,Sheet6!$B$600:$B$626)*0.1</f>
        <v>0</v>
      </c>
      <c r="V340" s="6" t="e">
        <f t="shared" si="25"/>
        <v>#DIV/0!</v>
      </c>
      <c r="W340" s="6" t="e">
        <f t="shared" si="26"/>
        <v>#DIV/0!</v>
      </c>
    </row>
    <row r="341" spans="1:23" ht="24.75" customHeight="1">
      <c r="A341" s="5"/>
      <c r="B341" s="5"/>
      <c r="C341" s="5"/>
      <c r="D341" s="5"/>
      <c r="E341" s="30"/>
      <c r="F341" s="5"/>
      <c r="G341" s="5"/>
      <c r="H341" s="5"/>
      <c r="I341" s="5"/>
      <c r="J341" s="5"/>
      <c r="K341" s="5"/>
      <c r="L341" s="5"/>
      <c r="M341" s="5"/>
      <c r="N341" s="13" t="e">
        <f t="shared" si="24"/>
        <v>#DIV/0!</v>
      </c>
      <c r="O341" s="6" t="e">
        <f>LOOKUP(N341,Sheet6!$J$4:$J$11,Sheet6!$B$4:$B$11)*0.15</f>
        <v>#DIV/0!</v>
      </c>
      <c r="P341" s="14" t="e">
        <f>LOOKUP(H341,Sheet6!$J$25:$J$66,Sheet6!$B$25:$B$66)*0.15</f>
        <v>#N/A</v>
      </c>
      <c r="Q341" s="6" t="e">
        <f>LOOKUP(I341,Sheet6!$J$115:$J$156,Sheet6!$B$115:$B$156)*0.2</f>
        <v>#N/A</v>
      </c>
      <c r="R341" s="6" t="e">
        <f>LOOKUP(J341,Sheet6!$D$465:$D$506,Sheet6!$B$465:$B$506)*0.1</f>
        <v>#N/A</v>
      </c>
      <c r="S341" s="6">
        <f>LOOKUP(K341,Sheet6!$J$205:$J$246,Sheet6!$B$205:$B$246)*0.1</f>
        <v>6.2</v>
      </c>
      <c r="T341" s="6" t="e">
        <f>LOOKUP(L341,Sheet6!$F$688:$F$749,Sheet6!$B$688:$B$749)*0.2</f>
        <v>#N/A</v>
      </c>
      <c r="U341" s="6">
        <f>LOOKUP(M341,Sheet6!$D$600:$D$626,Sheet6!$B$600:$B$626)*0.1</f>
        <v>0</v>
      </c>
      <c r="V341" s="6" t="e">
        <f t="shared" si="25"/>
        <v>#DIV/0!</v>
      </c>
      <c r="W341" s="6" t="e">
        <f t="shared" si="26"/>
        <v>#DIV/0!</v>
      </c>
    </row>
    <row r="342" spans="1:23" ht="24.75" customHeight="1">
      <c r="A342" s="5"/>
      <c r="B342" s="5"/>
      <c r="C342" s="5"/>
      <c r="D342" s="5"/>
      <c r="E342" s="30"/>
      <c r="F342" s="5"/>
      <c r="G342" s="5"/>
      <c r="H342" s="5"/>
      <c r="I342" s="5"/>
      <c r="J342" s="5"/>
      <c r="K342" s="5"/>
      <c r="L342" s="5"/>
      <c r="M342" s="5"/>
      <c r="N342" s="13" t="e">
        <f t="shared" si="24"/>
        <v>#DIV/0!</v>
      </c>
      <c r="O342" s="6" t="e">
        <f>LOOKUP(N342,Sheet6!$J$4:$J$11,Sheet6!$B$4:$B$11)*0.15</f>
        <v>#DIV/0!</v>
      </c>
      <c r="P342" s="14" t="e">
        <f>LOOKUP(H342,Sheet6!$J$25:$J$66,Sheet6!$B$25:$B$66)*0.15</f>
        <v>#N/A</v>
      </c>
      <c r="Q342" s="6" t="e">
        <f>LOOKUP(I342,Sheet6!$J$115:$J$156,Sheet6!$B$115:$B$156)*0.2</f>
        <v>#N/A</v>
      </c>
      <c r="R342" s="6" t="e">
        <f>LOOKUP(J342,Sheet6!$D$465:$D$506,Sheet6!$B$465:$B$506)*0.1</f>
        <v>#N/A</v>
      </c>
      <c r="S342" s="6">
        <f>LOOKUP(K342,Sheet6!$J$205:$J$246,Sheet6!$B$205:$B$246)*0.1</f>
        <v>6.2</v>
      </c>
      <c r="T342" s="6" t="e">
        <f>LOOKUP(L342,Sheet6!$F$688:$F$749,Sheet6!$B$688:$B$749)*0.2</f>
        <v>#N/A</v>
      </c>
      <c r="U342" s="6">
        <f>LOOKUP(M342,Sheet6!$D$600:$D$626,Sheet6!$B$600:$B$626)*0.1</f>
        <v>0</v>
      </c>
      <c r="V342" s="6" t="e">
        <f t="shared" si="25"/>
        <v>#DIV/0!</v>
      </c>
      <c r="W342" s="6" t="e">
        <f t="shared" si="26"/>
        <v>#DIV/0!</v>
      </c>
    </row>
    <row r="343" spans="1:23" ht="24.75" customHeight="1">
      <c r="A343" s="5"/>
      <c r="B343" s="5"/>
      <c r="C343" s="5"/>
      <c r="D343" s="5"/>
      <c r="E343" s="30"/>
      <c r="F343" s="5"/>
      <c r="G343" s="5"/>
      <c r="H343" s="5"/>
      <c r="I343" s="5"/>
      <c r="J343" s="5"/>
      <c r="K343" s="5"/>
      <c r="L343" s="5"/>
      <c r="M343" s="5"/>
      <c r="N343" s="13" t="e">
        <f t="shared" si="24"/>
        <v>#DIV/0!</v>
      </c>
      <c r="O343" s="6" t="e">
        <f>LOOKUP(N343,Sheet6!$J$4:$J$11,Sheet6!$B$4:$B$11)*0.15</f>
        <v>#DIV/0!</v>
      </c>
      <c r="P343" s="14" t="e">
        <f>LOOKUP(H343,Sheet6!$J$25:$J$66,Sheet6!$B$25:$B$66)*0.15</f>
        <v>#N/A</v>
      </c>
      <c r="Q343" s="6" t="e">
        <f>LOOKUP(I343,Sheet6!$J$115:$J$156,Sheet6!$B$115:$B$156)*0.2</f>
        <v>#N/A</v>
      </c>
      <c r="R343" s="6" t="e">
        <f>LOOKUP(J343,Sheet6!$D$465:$D$506,Sheet6!$B$465:$B$506)*0.1</f>
        <v>#N/A</v>
      </c>
      <c r="S343" s="6">
        <f>LOOKUP(K343,Sheet6!$J$205:$J$246,Sheet6!$B$205:$B$246)*0.1</f>
        <v>6.2</v>
      </c>
      <c r="T343" s="6" t="e">
        <f>LOOKUP(L343,Sheet6!$F$688:$F$749,Sheet6!$B$688:$B$749)*0.2</f>
        <v>#N/A</v>
      </c>
      <c r="U343" s="6">
        <f>LOOKUP(M343,Sheet6!$D$600:$D$626,Sheet6!$B$600:$B$626)*0.1</f>
        <v>0</v>
      </c>
      <c r="V343" s="6" t="e">
        <f t="shared" si="25"/>
        <v>#DIV/0!</v>
      </c>
      <c r="W343" s="6" t="e">
        <f t="shared" si="26"/>
        <v>#DIV/0!</v>
      </c>
    </row>
    <row r="344" spans="1:23" ht="24.75" customHeight="1">
      <c r="A344" s="5"/>
      <c r="B344" s="5"/>
      <c r="C344" s="5"/>
      <c r="D344" s="5"/>
      <c r="E344" s="30"/>
      <c r="F344" s="5"/>
      <c r="G344" s="5"/>
      <c r="H344" s="5"/>
      <c r="I344" s="5"/>
      <c r="J344" s="5"/>
      <c r="K344" s="5"/>
      <c r="L344" s="5"/>
      <c r="M344" s="5"/>
      <c r="N344" s="13" t="e">
        <f t="shared" si="24"/>
        <v>#DIV/0!</v>
      </c>
      <c r="O344" s="6" t="e">
        <f>LOOKUP(N344,Sheet6!$J$4:$J$11,Sheet6!$B$4:$B$11)*0.15</f>
        <v>#DIV/0!</v>
      </c>
      <c r="P344" s="14" t="e">
        <f>LOOKUP(H344,Sheet6!$J$25:$J$66,Sheet6!$B$25:$B$66)*0.15</f>
        <v>#N/A</v>
      </c>
      <c r="Q344" s="6" t="e">
        <f>LOOKUP(I344,Sheet6!$J$115:$J$156,Sheet6!$B$115:$B$156)*0.2</f>
        <v>#N/A</v>
      </c>
      <c r="R344" s="6" t="e">
        <f>LOOKUP(J344,Sheet6!$D$465:$D$506,Sheet6!$B$465:$B$506)*0.1</f>
        <v>#N/A</v>
      </c>
      <c r="S344" s="6">
        <f>LOOKUP(K344,Sheet6!$J$205:$J$246,Sheet6!$B$205:$B$246)*0.1</f>
        <v>6.2</v>
      </c>
      <c r="T344" s="6" t="e">
        <f>LOOKUP(L344,Sheet6!$F$688:$F$749,Sheet6!$B$688:$B$749)*0.2</f>
        <v>#N/A</v>
      </c>
      <c r="U344" s="6">
        <f>LOOKUP(M344,Sheet6!$D$600:$D$626,Sheet6!$B$600:$B$626)*0.1</f>
        <v>0</v>
      </c>
      <c r="V344" s="6" t="e">
        <f t="shared" si="25"/>
        <v>#DIV/0!</v>
      </c>
      <c r="W344" s="6" t="e">
        <f t="shared" si="26"/>
        <v>#DIV/0!</v>
      </c>
    </row>
    <row r="345" spans="1:23" ht="24.75" customHeight="1">
      <c r="A345" s="5"/>
      <c r="B345" s="5"/>
      <c r="C345" s="5"/>
      <c r="D345" s="5"/>
      <c r="E345" s="30"/>
      <c r="F345" s="5"/>
      <c r="G345" s="5"/>
      <c r="H345" s="5"/>
      <c r="I345" s="5"/>
      <c r="J345" s="5"/>
      <c r="K345" s="5"/>
      <c r="L345" s="5"/>
      <c r="M345" s="5"/>
      <c r="N345" s="13" t="e">
        <f t="shared" si="24"/>
        <v>#DIV/0!</v>
      </c>
      <c r="O345" s="6" t="e">
        <f>LOOKUP(N345,Sheet6!$J$4:$J$11,Sheet6!$B$4:$B$11)*0.15</f>
        <v>#DIV/0!</v>
      </c>
      <c r="P345" s="14" t="e">
        <f>LOOKUP(H345,Sheet6!$J$25:$J$66,Sheet6!$B$25:$B$66)*0.15</f>
        <v>#N/A</v>
      </c>
      <c r="Q345" s="6" t="e">
        <f>LOOKUP(I345,Sheet6!$J$115:$J$156,Sheet6!$B$115:$B$156)*0.2</f>
        <v>#N/A</v>
      </c>
      <c r="R345" s="6" t="e">
        <f>LOOKUP(J345,Sheet6!$D$465:$D$506,Sheet6!$B$465:$B$506)*0.1</f>
        <v>#N/A</v>
      </c>
      <c r="S345" s="6">
        <f>LOOKUP(K345,Sheet6!$J$205:$J$246,Sheet6!$B$205:$B$246)*0.1</f>
        <v>6.2</v>
      </c>
      <c r="T345" s="6" t="e">
        <f>LOOKUP(L345,Sheet6!$F$688:$F$749,Sheet6!$B$688:$B$749)*0.2</f>
        <v>#N/A</v>
      </c>
      <c r="U345" s="6">
        <f>LOOKUP(M345,Sheet6!$D$600:$D$626,Sheet6!$B$600:$B$626)*0.1</f>
        <v>0</v>
      </c>
      <c r="V345" s="6" t="e">
        <f t="shared" si="25"/>
        <v>#DIV/0!</v>
      </c>
      <c r="W345" s="6" t="e">
        <f t="shared" si="26"/>
        <v>#DIV/0!</v>
      </c>
    </row>
    <row r="346" spans="1:23" ht="24.75" customHeight="1">
      <c r="A346" s="5"/>
      <c r="B346" s="5"/>
      <c r="C346" s="5"/>
      <c r="D346" s="5"/>
      <c r="E346" s="30"/>
      <c r="F346" s="5"/>
      <c r="G346" s="5"/>
      <c r="H346" s="5"/>
      <c r="I346" s="5"/>
      <c r="J346" s="5"/>
      <c r="K346" s="5"/>
      <c r="L346" s="5"/>
      <c r="M346" s="5"/>
      <c r="N346" s="13" t="e">
        <f t="shared" si="24"/>
        <v>#DIV/0!</v>
      </c>
      <c r="O346" s="6" t="e">
        <f>LOOKUP(N346,Sheet6!$J$4:$J$11,Sheet6!$B$4:$B$11)*0.15</f>
        <v>#DIV/0!</v>
      </c>
      <c r="P346" s="14" t="e">
        <f>LOOKUP(H346,Sheet6!$J$25:$J$66,Sheet6!$B$25:$B$66)*0.15</f>
        <v>#N/A</v>
      </c>
      <c r="Q346" s="6" t="e">
        <f>LOOKUP(I346,Sheet6!$J$115:$J$156,Sheet6!$B$115:$B$156)*0.2</f>
        <v>#N/A</v>
      </c>
      <c r="R346" s="6" t="e">
        <f>LOOKUP(J346,Sheet6!$D$465:$D$506,Sheet6!$B$465:$B$506)*0.1</f>
        <v>#N/A</v>
      </c>
      <c r="S346" s="6">
        <f>LOOKUP(K346,Sheet6!$J$205:$J$246,Sheet6!$B$205:$B$246)*0.1</f>
        <v>6.2</v>
      </c>
      <c r="T346" s="6" t="e">
        <f>LOOKUP(L346,Sheet6!$F$688:$F$749,Sheet6!$B$688:$B$749)*0.2</f>
        <v>#N/A</v>
      </c>
      <c r="U346" s="6">
        <f>LOOKUP(M346,Sheet6!$D$600:$D$626,Sheet6!$B$600:$B$626)*0.1</f>
        <v>0</v>
      </c>
      <c r="V346" s="6" t="e">
        <f t="shared" si="25"/>
        <v>#DIV/0!</v>
      </c>
      <c r="W346" s="6" t="e">
        <f t="shared" si="26"/>
        <v>#DIV/0!</v>
      </c>
    </row>
    <row r="347" spans="1:23" ht="24.75" customHeight="1">
      <c r="A347" s="5"/>
      <c r="B347" s="5"/>
      <c r="C347" s="5"/>
      <c r="D347" s="5"/>
      <c r="E347" s="30"/>
      <c r="F347" s="5"/>
      <c r="G347" s="5"/>
      <c r="H347" s="5"/>
      <c r="I347" s="5"/>
      <c r="J347" s="5"/>
      <c r="K347" s="5"/>
      <c r="L347" s="5"/>
      <c r="M347" s="5"/>
      <c r="N347" s="13" t="e">
        <f t="shared" si="24"/>
        <v>#DIV/0!</v>
      </c>
      <c r="O347" s="6" t="e">
        <f>LOOKUP(N347,Sheet6!$J$4:$J$11,Sheet6!$B$4:$B$11)*0.15</f>
        <v>#DIV/0!</v>
      </c>
      <c r="P347" s="14" t="e">
        <f>LOOKUP(H347,Sheet6!$J$25:$J$66,Sheet6!$B$25:$B$66)*0.15</f>
        <v>#N/A</v>
      </c>
      <c r="Q347" s="6" t="e">
        <f>LOOKUP(I347,Sheet6!$J$115:$J$156,Sheet6!$B$115:$B$156)*0.2</f>
        <v>#N/A</v>
      </c>
      <c r="R347" s="6" t="e">
        <f>LOOKUP(J347,Sheet6!$D$465:$D$506,Sheet6!$B$465:$B$506)*0.1</f>
        <v>#N/A</v>
      </c>
      <c r="S347" s="6">
        <f>LOOKUP(K347,Sheet6!$J$205:$J$246,Sheet6!$B$205:$B$246)*0.1</f>
        <v>6.2</v>
      </c>
      <c r="T347" s="6" t="e">
        <f>LOOKUP(L347,Sheet6!$F$688:$F$749,Sheet6!$B$688:$B$749)*0.2</f>
        <v>#N/A</v>
      </c>
      <c r="U347" s="6">
        <f>LOOKUP(M347,Sheet6!$D$600:$D$626,Sheet6!$B$600:$B$626)*0.1</f>
        <v>0</v>
      </c>
      <c r="V347" s="6" t="e">
        <f t="shared" si="25"/>
        <v>#DIV/0!</v>
      </c>
      <c r="W347" s="6" t="e">
        <f t="shared" si="26"/>
        <v>#DIV/0!</v>
      </c>
    </row>
    <row r="348" spans="1:23" ht="24.75" customHeight="1">
      <c r="A348" s="5"/>
      <c r="B348" s="5"/>
      <c r="C348" s="5"/>
      <c r="D348" s="5"/>
      <c r="E348" s="30"/>
      <c r="F348" s="5"/>
      <c r="G348" s="5"/>
      <c r="H348" s="5"/>
      <c r="I348" s="5"/>
      <c r="J348" s="5"/>
      <c r="K348" s="5"/>
      <c r="L348" s="5"/>
      <c r="M348" s="5"/>
      <c r="N348" s="13" t="e">
        <f t="shared" si="24"/>
        <v>#DIV/0!</v>
      </c>
      <c r="O348" s="6" t="e">
        <f>LOOKUP(N348,Sheet6!$J$4:$J$11,Sheet6!$B$4:$B$11)*0.15</f>
        <v>#DIV/0!</v>
      </c>
      <c r="P348" s="14" t="e">
        <f>LOOKUP(H348,Sheet6!$J$25:$J$66,Sheet6!$B$25:$B$66)*0.15</f>
        <v>#N/A</v>
      </c>
      <c r="Q348" s="6" t="e">
        <f>LOOKUP(I348,Sheet6!$J$115:$J$156,Sheet6!$B$115:$B$156)*0.2</f>
        <v>#N/A</v>
      </c>
      <c r="R348" s="6" t="e">
        <f>LOOKUP(J348,Sheet6!$D$465:$D$506,Sheet6!$B$465:$B$506)*0.1</f>
        <v>#N/A</v>
      </c>
      <c r="S348" s="6">
        <f>LOOKUP(K348,Sheet6!$J$205:$J$246,Sheet6!$B$205:$B$246)*0.1</f>
        <v>6.2</v>
      </c>
      <c r="T348" s="6" t="e">
        <f>LOOKUP(L348,Sheet6!$F$688:$F$749,Sheet6!$B$688:$B$749)*0.2</f>
        <v>#N/A</v>
      </c>
      <c r="U348" s="6">
        <f>LOOKUP(M348,Sheet6!$D$600:$D$626,Sheet6!$B$600:$B$626)*0.1</f>
        <v>0</v>
      </c>
      <c r="V348" s="6" t="e">
        <f t="shared" si="25"/>
        <v>#DIV/0!</v>
      </c>
      <c r="W348" s="6" t="e">
        <f t="shared" si="26"/>
        <v>#DIV/0!</v>
      </c>
    </row>
    <row r="349" spans="1:23" ht="24.75" customHeight="1">
      <c r="A349" s="5"/>
      <c r="B349" s="5"/>
      <c r="C349" s="5"/>
      <c r="D349" s="5"/>
      <c r="E349" s="30"/>
      <c r="F349" s="5"/>
      <c r="G349" s="5"/>
      <c r="H349" s="5"/>
      <c r="I349" s="5"/>
      <c r="J349" s="5"/>
      <c r="K349" s="5"/>
      <c r="L349" s="5"/>
      <c r="M349" s="5"/>
      <c r="N349" s="13" t="e">
        <f t="shared" si="24"/>
        <v>#DIV/0!</v>
      </c>
      <c r="O349" s="6" t="e">
        <f>LOOKUP(N349,Sheet6!$J$4:$J$11,Sheet6!$B$4:$B$11)*0.15</f>
        <v>#DIV/0!</v>
      </c>
      <c r="P349" s="14" t="e">
        <f>LOOKUP(H349,Sheet6!$J$25:$J$66,Sheet6!$B$25:$B$66)*0.15</f>
        <v>#N/A</v>
      </c>
      <c r="Q349" s="6" t="e">
        <f>LOOKUP(I349,Sheet6!$J$115:$J$156,Sheet6!$B$115:$B$156)*0.2</f>
        <v>#N/A</v>
      </c>
      <c r="R349" s="6" t="e">
        <f>LOOKUP(J349,Sheet6!$D$465:$D$506,Sheet6!$B$465:$B$506)*0.1</f>
        <v>#N/A</v>
      </c>
      <c r="S349" s="6">
        <f>LOOKUP(K349,Sheet6!$J$205:$J$246,Sheet6!$B$205:$B$246)*0.1</f>
        <v>6.2</v>
      </c>
      <c r="T349" s="6" t="e">
        <f>LOOKUP(L349,Sheet6!$F$688:$F$749,Sheet6!$B$688:$B$749)*0.2</f>
        <v>#N/A</v>
      </c>
      <c r="U349" s="6">
        <f>LOOKUP(M349,Sheet6!$D$600:$D$626,Sheet6!$B$600:$B$626)*0.1</f>
        <v>0</v>
      </c>
      <c r="V349" s="6" t="e">
        <f t="shared" si="25"/>
        <v>#DIV/0!</v>
      </c>
      <c r="W349" s="6" t="e">
        <f t="shared" si="26"/>
        <v>#DIV/0!</v>
      </c>
    </row>
    <row r="350" spans="1:23" ht="24.75" customHeight="1">
      <c r="A350" s="5"/>
      <c r="B350" s="5"/>
      <c r="C350" s="5"/>
      <c r="D350" s="5"/>
      <c r="E350" s="30"/>
      <c r="F350" s="5"/>
      <c r="G350" s="5"/>
      <c r="H350" s="5"/>
      <c r="I350" s="5"/>
      <c r="J350" s="5"/>
      <c r="K350" s="5"/>
      <c r="L350" s="5"/>
      <c r="M350" s="5"/>
      <c r="N350" s="13" t="e">
        <f t="shared" si="24"/>
        <v>#DIV/0!</v>
      </c>
      <c r="O350" s="6" t="e">
        <f>LOOKUP(N350,Sheet6!$J$4:$J$11,Sheet6!$B$4:$B$11)*0.15</f>
        <v>#DIV/0!</v>
      </c>
      <c r="P350" s="14" t="e">
        <f>LOOKUP(H350,Sheet6!$J$25:$J$66,Sheet6!$B$25:$B$66)*0.15</f>
        <v>#N/A</v>
      </c>
      <c r="Q350" s="6" t="e">
        <f>LOOKUP(I350,Sheet6!$J$115:$J$156,Sheet6!$B$115:$B$156)*0.2</f>
        <v>#N/A</v>
      </c>
      <c r="R350" s="6" t="e">
        <f>LOOKUP(J350,Sheet6!$D$465:$D$506,Sheet6!$B$465:$B$506)*0.1</f>
        <v>#N/A</v>
      </c>
      <c r="S350" s="6">
        <f>LOOKUP(K350,Sheet6!$J$205:$J$246,Sheet6!$B$205:$B$246)*0.1</f>
        <v>6.2</v>
      </c>
      <c r="T350" s="6" t="e">
        <f>LOOKUP(L350,Sheet6!$F$688:$F$749,Sheet6!$B$688:$B$749)*0.2</f>
        <v>#N/A</v>
      </c>
      <c r="U350" s="6">
        <f>LOOKUP(M350,Sheet6!$D$600:$D$626,Sheet6!$B$600:$B$626)*0.1</f>
        <v>0</v>
      </c>
      <c r="V350" s="6" t="e">
        <f t="shared" si="25"/>
        <v>#DIV/0!</v>
      </c>
      <c r="W350" s="6" t="e">
        <f t="shared" si="26"/>
        <v>#DIV/0!</v>
      </c>
    </row>
    <row r="351" spans="1:23" ht="24.75" customHeight="1">
      <c r="A351" s="5"/>
      <c r="B351" s="5"/>
      <c r="C351" s="5"/>
      <c r="D351" s="5"/>
      <c r="E351" s="30"/>
      <c r="F351" s="5"/>
      <c r="G351" s="5"/>
      <c r="H351" s="5"/>
      <c r="I351" s="5"/>
      <c r="J351" s="5"/>
      <c r="K351" s="5"/>
      <c r="L351" s="5"/>
      <c r="M351" s="5"/>
      <c r="N351" s="13" t="e">
        <f t="shared" si="24"/>
        <v>#DIV/0!</v>
      </c>
      <c r="O351" s="6" t="e">
        <f>LOOKUP(N351,Sheet6!$J$4:$J$11,Sheet6!$B$4:$B$11)*0.15</f>
        <v>#DIV/0!</v>
      </c>
      <c r="P351" s="14" t="e">
        <f>LOOKUP(H351,Sheet6!$J$25:$J$66,Sheet6!$B$25:$B$66)*0.15</f>
        <v>#N/A</v>
      </c>
      <c r="Q351" s="6" t="e">
        <f>LOOKUP(I351,Sheet6!$J$115:$J$156,Sheet6!$B$115:$B$156)*0.2</f>
        <v>#N/A</v>
      </c>
      <c r="R351" s="6" t="e">
        <f>LOOKUP(J351,Sheet6!$D$465:$D$506,Sheet6!$B$465:$B$506)*0.1</f>
        <v>#N/A</v>
      </c>
      <c r="S351" s="6">
        <f>LOOKUP(K351,Sheet6!$J$205:$J$246,Sheet6!$B$205:$B$246)*0.1</f>
        <v>6.2</v>
      </c>
      <c r="T351" s="6" t="e">
        <f>LOOKUP(L351,Sheet6!$F$688:$F$749,Sheet6!$B$688:$B$749)*0.2</f>
        <v>#N/A</v>
      </c>
      <c r="U351" s="6">
        <f>LOOKUP(M351,Sheet6!$D$600:$D$626,Sheet6!$B$600:$B$626)*0.1</f>
        <v>0</v>
      </c>
      <c r="V351" s="6" t="e">
        <f t="shared" si="25"/>
        <v>#DIV/0!</v>
      </c>
      <c r="W351" s="6" t="e">
        <f t="shared" si="26"/>
        <v>#DIV/0!</v>
      </c>
    </row>
    <row r="352" spans="1:23" ht="24.75" customHeight="1">
      <c r="A352" s="5"/>
      <c r="B352" s="5"/>
      <c r="C352" s="5"/>
      <c r="D352" s="5"/>
      <c r="E352" s="30"/>
      <c r="F352" s="5"/>
      <c r="G352" s="5"/>
      <c r="H352" s="5"/>
      <c r="I352" s="5"/>
      <c r="J352" s="5"/>
      <c r="K352" s="5"/>
      <c r="L352" s="5"/>
      <c r="M352" s="5"/>
      <c r="N352" s="13" t="e">
        <f t="shared" si="24"/>
        <v>#DIV/0!</v>
      </c>
      <c r="O352" s="6" t="e">
        <f>LOOKUP(N352,Sheet6!$J$4:$J$11,Sheet6!$B$4:$B$11)*0.15</f>
        <v>#DIV/0!</v>
      </c>
      <c r="P352" s="14" t="e">
        <f>LOOKUP(H352,Sheet6!$J$25:$J$66,Sheet6!$B$25:$B$66)*0.15</f>
        <v>#N/A</v>
      </c>
      <c r="Q352" s="6" t="e">
        <f>LOOKUP(I352,Sheet6!$J$115:$J$156,Sheet6!$B$115:$B$156)*0.2</f>
        <v>#N/A</v>
      </c>
      <c r="R352" s="6" t="e">
        <f>LOOKUP(J352,Sheet6!$D$465:$D$506,Sheet6!$B$465:$B$506)*0.1</f>
        <v>#N/A</v>
      </c>
      <c r="S352" s="6">
        <f>LOOKUP(K352,Sheet6!$J$205:$J$246,Sheet6!$B$205:$B$246)*0.1</f>
        <v>6.2</v>
      </c>
      <c r="T352" s="6" t="e">
        <f>LOOKUP(L352,Sheet6!$F$688:$F$749,Sheet6!$B$688:$B$749)*0.2</f>
        <v>#N/A</v>
      </c>
      <c r="U352" s="6">
        <f>LOOKUP(M352,Sheet6!$D$600:$D$626,Sheet6!$B$600:$B$626)*0.1</f>
        <v>0</v>
      </c>
      <c r="V352" s="6" t="e">
        <f t="shared" si="25"/>
        <v>#DIV/0!</v>
      </c>
      <c r="W352" s="6" t="e">
        <f t="shared" si="26"/>
        <v>#DIV/0!</v>
      </c>
    </row>
    <row r="353" spans="1:23" ht="24.75" customHeight="1">
      <c r="A353" s="5"/>
      <c r="B353" s="5"/>
      <c r="C353" s="5"/>
      <c r="D353" s="5"/>
      <c r="E353" s="30"/>
      <c r="F353" s="5"/>
      <c r="G353" s="5"/>
      <c r="H353" s="5"/>
      <c r="I353" s="5"/>
      <c r="J353" s="5"/>
      <c r="K353" s="5"/>
      <c r="L353" s="5"/>
      <c r="M353" s="5"/>
      <c r="N353" s="13" t="e">
        <f t="shared" si="24"/>
        <v>#DIV/0!</v>
      </c>
      <c r="O353" s="6" t="e">
        <f>LOOKUP(N353,Sheet6!$J$4:$J$11,Sheet6!$B$4:$B$11)*0.15</f>
        <v>#DIV/0!</v>
      </c>
      <c r="P353" s="14" t="e">
        <f>LOOKUP(H353,Sheet6!$J$25:$J$66,Sheet6!$B$25:$B$66)*0.15</f>
        <v>#N/A</v>
      </c>
      <c r="Q353" s="6" t="e">
        <f>LOOKUP(I353,Sheet6!$J$115:$J$156,Sheet6!$B$115:$B$156)*0.2</f>
        <v>#N/A</v>
      </c>
      <c r="R353" s="6" t="e">
        <f>LOOKUP(J353,Sheet6!$D$465:$D$506,Sheet6!$B$465:$B$506)*0.1</f>
        <v>#N/A</v>
      </c>
      <c r="S353" s="6">
        <f>LOOKUP(K353,Sheet6!$J$205:$J$246,Sheet6!$B$205:$B$246)*0.1</f>
        <v>6.2</v>
      </c>
      <c r="T353" s="6" t="e">
        <f>LOOKUP(L353,Sheet6!$F$688:$F$749,Sheet6!$B$688:$B$749)*0.2</f>
        <v>#N/A</v>
      </c>
      <c r="U353" s="6">
        <f>LOOKUP(M353,Sheet6!$D$600:$D$626,Sheet6!$B$600:$B$626)*0.1</f>
        <v>0</v>
      </c>
      <c r="V353" s="6" t="e">
        <f t="shared" si="25"/>
        <v>#DIV/0!</v>
      </c>
      <c r="W353" s="6" t="e">
        <f t="shared" si="26"/>
        <v>#DIV/0!</v>
      </c>
    </row>
    <row r="354" spans="1:23" ht="24.75" customHeight="1">
      <c r="A354" s="5"/>
      <c r="B354" s="5"/>
      <c r="C354" s="5"/>
      <c r="D354" s="5"/>
      <c r="E354" s="30"/>
      <c r="F354" s="5"/>
      <c r="G354" s="5"/>
      <c r="H354" s="5"/>
      <c r="I354" s="5"/>
      <c r="J354" s="5"/>
      <c r="K354" s="5"/>
      <c r="L354" s="5"/>
      <c r="M354" s="5"/>
      <c r="N354" s="13" t="e">
        <f t="shared" si="24"/>
        <v>#DIV/0!</v>
      </c>
      <c r="O354" s="6" t="e">
        <f>LOOKUP(N354,Sheet6!$J$4:$J$11,Sheet6!$B$4:$B$11)*0.15</f>
        <v>#DIV/0!</v>
      </c>
      <c r="P354" s="14" t="e">
        <f>LOOKUP(H354,Sheet6!$J$25:$J$66,Sheet6!$B$25:$B$66)*0.15</f>
        <v>#N/A</v>
      </c>
      <c r="Q354" s="6" t="e">
        <f>LOOKUP(I354,Sheet6!$J$115:$J$156,Sheet6!$B$115:$B$156)*0.2</f>
        <v>#N/A</v>
      </c>
      <c r="R354" s="6" t="e">
        <f>LOOKUP(J354,Sheet6!$D$465:$D$506,Sheet6!$B$465:$B$506)*0.1</f>
        <v>#N/A</v>
      </c>
      <c r="S354" s="6">
        <f>LOOKUP(K354,Sheet6!$J$205:$J$246,Sheet6!$B$205:$B$246)*0.1</f>
        <v>6.2</v>
      </c>
      <c r="T354" s="6" t="e">
        <f>LOOKUP(L354,Sheet6!$F$688:$F$749,Sheet6!$B$688:$B$749)*0.2</f>
        <v>#N/A</v>
      </c>
      <c r="U354" s="6">
        <f>LOOKUP(M354,Sheet6!$D$600:$D$626,Sheet6!$B$600:$B$626)*0.1</f>
        <v>0</v>
      </c>
      <c r="V354" s="6" t="e">
        <f t="shared" si="25"/>
        <v>#DIV/0!</v>
      </c>
      <c r="W354" s="6" t="e">
        <f t="shared" si="26"/>
        <v>#DIV/0!</v>
      </c>
    </row>
    <row r="355" spans="1:23" ht="24.75" customHeight="1">
      <c r="A355" s="5"/>
      <c r="B355" s="5"/>
      <c r="C355" s="5"/>
      <c r="D355" s="5"/>
      <c r="E355" s="30"/>
      <c r="F355" s="5"/>
      <c r="G355" s="5"/>
      <c r="H355" s="5"/>
      <c r="I355" s="5"/>
      <c r="J355" s="5"/>
      <c r="K355" s="5"/>
      <c r="L355" s="5"/>
      <c r="M355" s="5"/>
      <c r="N355" s="13" t="e">
        <f t="shared" si="24"/>
        <v>#DIV/0!</v>
      </c>
      <c r="O355" s="6" t="e">
        <f>LOOKUP(N355,Sheet6!$J$4:$J$11,Sheet6!$B$4:$B$11)*0.15</f>
        <v>#DIV/0!</v>
      </c>
      <c r="P355" s="14" t="e">
        <f>LOOKUP(H355,Sheet6!$J$25:$J$66,Sheet6!$B$25:$B$66)*0.15</f>
        <v>#N/A</v>
      </c>
      <c r="Q355" s="6" t="e">
        <f>LOOKUP(I355,Sheet6!$J$115:$J$156,Sheet6!$B$115:$B$156)*0.2</f>
        <v>#N/A</v>
      </c>
      <c r="R355" s="6" t="e">
        <f>LOOKUP(J355,Sheet6!$D$465:$D$506,Sheet6!$B$465:$B$506)*0.1</f>
        <v>#N/A</v>
      </c>
      <c r="S355" s="6">
        <f>LOOKUP(K355,Sheet6!$J$205:$J$246,Sheet6!$B$205:$B$246)*0.1</f>
        <v>6.2</v>
      </c>
      <c r="T355" s="6" t="e">
        <f>LOOKUP(L355,Sheet6!$F$688:$F$749,Sheet6!$B$688:$B$749)*0.2</f>
        <v>#N/A</v>
      </c>
      <c r="U355" s="6">
        <f>LOOKUP(M355,Sheet6!$D$600:$D$626,Sheet6!$B$600:$B$626)*0.1</f>
        <v>0</v>
      </c>
      <c r="V355" s="6" t="e">
        <f t="shared" si="25"/>
        <v>#DIV/0!</v>
      </c>
      <c r="W355" s="6" t="e">
        <f t="shared" si="26"/>
        <v>#DIV/0!</v>
      </c>
    </row>
    <row r="356" spans="1:23" ht="24.75" customHeight="1">
      <c r="A356" s="5"/>
      <c r="B356" s="5"/>
      <c r="C356" s="5"/>
      <c r="D356" s="5"/>
      <c r="E356" s="30"/>
      <c r="F356" s="5"/>
      <c r="G356" s="5"/>
      <c r="H356" s="5"/>
      <c r="I356" s="5"/>
      <c r="J356" s="5"/>
      <c r="K356" s="5"/>
      <c r="L356" s="5"/>
      <c r="M356" s="5"/>
      <c r="N356" s="13" t="e">
        <f t="shared" si="24"/>
        <v>#DIV/0!</v>
      </c>
      <c r="O356" s="6" t="e">
        <f>LOOKUP(N356,Sheet6!$J$4:$J$11,Sheet6!$B$4:$B$11)*0.15</f>
        <v>#DIV/0!</v>
      </c>
      <c r="P356" s="14" t="e">
        <f>LOOKUP(H356,Sheet6!$J$25:$J$66,Sheet6!$B$25:$B$66)*0.15</f>
        <v>#N/A</v>
      </c>
      <c r="Q356" s="6" t="e">
        <f>LOOKUP(I356,Sheet6!$J$115:$J$156,Sheet6!$B$115:$B$156)*0.2</f>
        <v>#N/A</v>
      </c>
      <c r="R356" s="6" t="e">
        <f>LOOKUP(J356,Sheet6!$D$465:$D$506,Sheet6!$B$465:$B$506)*0.1</f>
        <v>#N/A</v>
      </c>
      <c r="S356" s="6">
        <f>LOOKUP(K356,Sheet6!$J$205:$J$246,Sheet6!$B$205:$B$246)*0.1</f>
        <v>6.2</v>
      </c>
      <c r="T356" s="6" t="e">
        <f>LOOKUP(L356,Sheet6!$F$688:$F$749,Sheet6!$B$688:$B$749)*0.2</f>
        <v>#N/A</v>
      </c>
      <c r="U356" s="6">
        <f>LOOKUP(M356,Sheet6!$D$600:$D$626,Sheet6!$B$600:$B$626)*0.1</f>
        <v>0</v>
      </c>
      <c r="V356" s="6" t="e">
        <f t="shared" si="25"/>
        <v>#DIV/0!</v>
      </c>
      <c r="W356" s="6" t="e">
        <f t="shared" si="26"/>
        <v>#DIV/0!</v>
      </c>
    </row>
    <row r="357" spans="1:23" ht="24.75" customHeight="1">
      <c r="A357" s="5"/>
      <c r="B357" s="5"/>
      <c r="C357" s="5"/>
      <c r="D357" s="5"/>
      <c r="E357" s="30"/>
      <c r="F357" s="5"/>
      <c r="G357" s="5"/>
      <c r="H357" s="5"/>
      <c r="I357" s="5"/>
      <c r="J357" s="5"/>
      <c r="K357" s="5"/>
      <c r="L357" s="5"/>
      <c r="M357" s="5"/>
      <c r="N357" s="13" t="e">
        <f t="shared" si="24"/>
        <v>#DIV/0!</v>
      </c>
      <c r="O357" s="6" t="e">
        <f>LOOKUP(N357,Sheet6!$J$4:$J$11,Sheet6!$B$4:$B$11)*0.15</f>
        <v>#DIV/0!</v>
      </c>
      <c r="P357" s="14" t="e">
        <f>LOOKUP(H357,Sheet6!$J$25:$J$66,Sheet6!$B$25:$B$66)*0.15</f>
        <v>#N/A</v>
      </c>
      <c r="Q357" s="6" t="e">
        <f>LOOKUP(I357,Sheet6!$J$115:$J$156,Sheet6!$B$115:$B$156)*0.2</f>
        <v>#N/A</v>
      </c>
      <c r="R357" s="6" t="e">
        <f>LOOKUP(J357,Sheet6!$D$465:$D$506,Sheet6!$B$465:$B$506)*0.1</f>
        <v>#N/A</v>
      </c>
      <c r="S357" s="6">
        <f>LOOKUP(K357,Sheet6!$J$205:$J$246,Sheet6!$B$205:$B$246)*0.1</f>
        <v>6.2</v>
      </c>
      <c r="T357" s="6" t="e">
        <f>LOOKUP(L357,Sheet6!$F$688:$F$749,Sheet6!$B$688:$B$749)*0.2</f>
        <v>#N/A</v>
      </c>
      <c r="U357" s="6">
        <f>LOOKUP(M357,Sheet6!$D$600:$D$626,Sheet6!$B$600:$B$626)*0.1</f>
        <v>0</v>
      </c>
      <c r="V357" s="6" t="e">
        <f t="shared" si="25"/>
        <v>#DIV/0!</v>
      </c>
      <c r="W357" s="6" t="e">
        <f t="shared" si="26"/>
        <v>#DIV/0!</v>
      </c>
    </row>
    <row r="358" spans="1:23" ht="24.75" customHeight="1">
      <c r="A358" s="5"/>
      <c r="B358" s="5"/>
      <c r="C358" s="5"/>
      <c r="D358" s="5"/>
      <c r="E358" s="30"/>
      <c r="F358" s="5"/>
      <c r="G358" s="5"/>
      <c r="H358" s="5"/>
      <c r="I358" s="5"/>
      <c r="J358" s="5"/>
      <c r="K358" s="5"/>
      <c r="L358" s="5"/>
      <c r="M358" s="5"/>
      <c r="N358" s="13" t="e">
        <f t="shared" si="24"/>
        <v>#DIV/0!</v>
      </c>
      <c r="O358" s="6" t="e">
        <f>LOOKUP(N358,Sheet6!$J$4:$J$11,Sheet6!$B$4:$B$11)*0.15</f>
        <v>#DIV/0!</v>
      </c>
      <c r="P358" s="14" t="e">
        <f>LOOKUP(H358,Sheet6!$J$25:$J$66,Sheet6!$B$25:$B$66)*0.15</f>
        <v>#N/A</v>
      </c>
      <c r="Q358" s="6" t="e">
        <f>LOOKUP(I358,Sheet6!$J$115:$J$156,Sheet6!$B$115:$B$156)*0.2</f>
        <v>#N/A</v>
      </c>
      <c r="R358" s="6" t="e">
        <f>LOOKUP(J358,Sheet6!$D$465:$D$506,Sheet6!$B$465:$B$506)*0.1</f>
        <v>#N/A</v>
      </c>
      <c r="S358" s="6">
        <f>LOOKUP(K358,Sheet6!$J$205:$J$246,Sheet6!$B$205:$B$246)*0.1</f>
        <v>6.2</v>
      </c>
      <c r="T358" s="6" t="e">
        <f>LOOKUP(L358,Sheet6!$F$688:$F$749,Sheet6!$B$688:$B$749)*0.2</f>
        <v>#N/A</v>
      </c>
      <c r="U358" s="6">
        <f>LOOKUP(M358,Sheet6!$D$600:$D$626,Sheet6!$B$600:$B$626)*0.1</f>
        <v>0</v>
      </c>
      <c r="V358" s="6" t="e">
        <f t="shared" si="25"/>
        <v>#DIV/0!</v>
      </c>
      <c r="W358" s="6" t="e">
        <f t="shared" si="26"/>
        <v>#DIV/0!</v>
      </c>
    </row>
    <row r="359" spans="1:23" ht="24.75" customHeight="1">
      <c r="A359" s="5"/>
      <c r="B359" s="5"/>
      <c r="C359" s="5"/>
      <c r="D359" s="5"/>
      <c r="E359" s="30"/>
      <c r="F359" s="5"/>
      <c r="G359" s="5"/>
      <c r="H359" s="5"/>
      <c r="I359" s="5"/>
      <c r="J359" s="5"/>
      <c r="K359" s="5"/>
      <c r="L359" s="5"/>
      <c r="M359" s="5"/>
      <c r="N359" s="13" t="e">
        <f t="shared" si="24"/>
        <v>#DIV/0!</v>
      </c>
      <c r="O359" s="6" t="e">
        <f>LOOKUP(N359,Sheet6!$J$4:$J$11,Sheet6!$B$4:$B$11)*0.15</f>
        <v>#DIV/0!</v>
      </c>
      <c r="P359" s="14" t="e">
        <f>LOOKUP(H359,Sheet6!$J$25:$J$66,Sheet6!$B$25:$B$66)*0.15</f>
        <v>#N/A</v>
      </c>
      <c r="Q359" s="6" t="e">
        <f>LOOKUP(I359,Sheet6!$J$115:$J$156,Sheet6!$B$115:$B$156)*0.2</f>
        <v>#N/A</v>
      </c>
      <c r="R359" s="6" t="e">
        <f>LOOKUP(J359,Sheet6!$D$465:$D$506,Sheet6!$B$465:$B$506)*0.1</f>
        <v>#N/A</v>
      </c>
      <c r="S359" s="6">
        <f>LOOKUP(K359,Sheet6!$J$205:$J$246,Sheet6!$B$205:$B$246)*0.1</f>
        <v>6.2</v>
      </c>
      <c r="T359" s="6" t="e">
        <f>LOOKUP(L359,Sheet6!$F$688:$F$749,Sheet6!$B$688:$B$749)*0.2</f>
        <v>#N/A</v>
      </c>
      <c r="U359" s="6">
        <f>LOOKUP(M359,Sheet6!$D$600:$D$626,Sheet6!$B$600:$B$626)*0.1</f>
        <v>0</v>
      </c>
      <c r="V359" s="6" t="e">
        <f t="shared" si="25"/>
        <v>#DIV/0!</v>
      </c>
      <c r="W359" s="6" t="e">
        <f t="shared" si="26"/>
        <v>#DIV/0!</v>
      </c>
    </row>
    <row r="360" spans="1:23" ht="24.75" customHeight="1">
      <c r="A360" s="5"/>
      <c r="B360" s="5"/>
      <c r="C360" s="5"/>
      <c r="D360" s="5"/>
      <c r="E360" s="30"/>
      <c r="F360" s="5"/>
      <c r="G360" s="5"/>
      <c r="H360" s="5"/>
      <c r="I360" s="5"/>
      <c r="J360" s="5"/>
      <c r="K360" s="5"/>
      <c r="L360" s="5"/>
      <c r="M360" s="5"/>
      <c r="N360" s="13" t="e">
        <f t="shared" si="24"/>
        <v>#DIV/0!</v>
      </c>
      <c r="O360" s="6" t="e">
        <f>LOOKUP(N360,Sheet6!$J$4:$J$11,Sheet6!$B$4:$B$11)*0.15</f>
        <v>#DIV/0!</v>
      </c>
      <c r="P360" s="14" t="e">
        <f>LOOKUP(H360,Sheet6!$J$25:$J$66,Sheet6!$B$25:$B$66)*0.15</f>
        <v>#N/A</v>
      </c>
      <c r="Q360" s="6" t="e">
        <f>LOOKUP(I360,Sheet6!$J$115:$J$156,Sheet6!$B$115:$B$156)*0.2</f>
        <v>#N/A</v>
      </c>
      <c r="R360" s="6" t="e">
        <f>LOOKUP(J360,Sheet6!$D$465:$D$506,Sheet6!$B$465:$B$506)*0.1</f>
        <v>#N/A</v>
      </c>
      <c r="S360" s="6">
        <f>LOOKUP(K360,Sheet6!$J$205:$J$246,Sheet6!$B$205:$B$246)*0.1</f>
        <v>6.2</v>
      </c>
      <c r="T360" s="6" t="e">
        <f>LOOKUP(L360,Sheet6!$F$688:$F$749,Sheet6!$B$688:$B$749)*0.2</f>
        <v>#N/A</v>
      </c>
      <c r="U360" s="6">
        <f>LOOKUP(M360,Sheet6!$D$600:$D$626,Sheet6!$B$600:$B$626)*0.1</f>
        <v>0</v>
      </c>
      <c r="V360" s="6" t="e">
        <f t="shared" si="25"/>
        <v>#DIV/0!</v>
      </c>
      <c r="W360" s="6" t="e">
        <f t="shared" si="26"/>
        <v>#DIV/0!</v>
      </c>
    </row>
    <row r="361" spans="1:23" ht="24.75" customHeight="1">
      <c r="A361" s="5"/>
      <c r="B361" s="5"/>
      <c r="C361" s="5"/>
      <c r="D361" s="5"/>
      <c r="E361" s="30"/>
      <c r="F361" s="5"/>
      <c r="G361" s="5"/>
      <c r="H361" s="5"/>
      <c r="I361" s="5"/>
      <c r="J361" s="5"/>
      <c r="K361" s="5"/>
      <c r="L361" s="5"/>
      <c r="M361" s="5"/>
      <c r="N361" s="13" t="e">
        <f t="shared" si="24"/>
        <v>#DIV/0!</v>
      </c>
      <c r="O361" s="6" t="e">
        <f>LOOKUP(N361,Sheet6!$J$4:$J$11,Sheet6!$B$4:$B$11)*0.15</f>
        <v>#DIV/0!</v>
      </c>
      <c r="P361" s="14" t="e">
        <f>LOOKUP(H361,Sheet6!$J$25:$J$66,Sheet6!$B$25:$B$66)*0.15</f>
        <v>#N/A</v>
      </c>
      <c r="Q361" s="6" t="e">
        <f>LOOKUP(I361,Sheet6!$J$115:$J$156,Sheet6!$B$115:$B$156)*0.2</f>
        <v>#N/A</v>
      </c>
      <c r="R361" s="6" t="e">
        <f>LOOKUP(J361,Sheet6!$D$465:$D$506,Sheet6!$B$465:$B$506)*0.1</f>
        <v>#N/A</v>
      </c>
      <c r="S361" s="6">
        <f>LOOKUP(K361,Sheet6!$J$205:$J$246,Sheet6!$B$205:$B$246)*0.1</f>
        <v>6.2</v>
      </c>
      <c r="T361" s="6" t="e">
        <f>LOOKUP(L361,Sheet6!$F$688:$F$749,Sheet6!$B$688:$B$749)*0.2</f>
        <v>#N/A</v>
      </c>
      <c r="U361" s="6">
        <f>LOOKUP(M361,Sheet6!$D$600:$D$626,Sheet6!$B$600:$B$626)*0.1</f>
        <v>0</v>
      </c>
      <c r="V361" s="6" t="e">
        <f t="shared" si="25"/>
        <v>#DIV/0!</v>
      </c>
      <c r="W361" s="6" t="e">
        <f t="shared" si="26"/>
        <v>#DIV/0!</v>
      </c>
    </row>
    <row r="362" spans="1:23" ht="24.75" customHeight="1">
      <c r="A362" s="5"/>
      <c r="B362" s="5"/>
      <c r="C362" s="5"/>
      <c r="D362" s="5"/>
      <c r="E362" s="30"/>
      <c r="F362" s="5"/>
      <c r="G362" s="5"/>
      <c r="H362" s="5"/>
      <c r="I362" s="5"/>
      <c r="J362" s="5"/>
      <c r="K362" s="5"/>
      <c r="L362" s="5"/>
      <c r="M362" s="5"/>
      <c r="N362" s="13" t="e">
        <f t="shared" si="24"/>
        <v>#DIV/0!</v>
      </c>
      <c r="O362" s="6" t="e">
        <f>LOOKUP(N362,Sheet6!$J$4:$J$11,Sheet6!$B$4:$B$11)*0.15</f>
        <v>#DIV/0!</v>
      </c>
      <c r="P362" s="14" t="e">
        <f>LOOKUP(H362,Sheet6!$J$25:$J$66,Sheet6!$B$25:$B$66)*0.15</f>
        <v>#N/A</v>
      </c>
      <c r="Q362" s="6" t="e">
        <f>LOOKUP(I362,Sheet6!$J$115:$J$156,Sheet6!$B$115:$B$156)*0.2</f>
        <v>#N/A</v>
      </c>
      <c r="R362" s="6" t="e">
        <f>LOOKUP(J362,Sheet6!$D$465:$D$506,Sheet6!$B$465:$B$506)*0.1</f>
        <v>#N/A</v>
      </c>
      <c r="S362" s="6">
        <f>LOOKUP(K362,Sheet6!$J$205:$J$246,Sheet6!$B$205:$B$246)*0.1</f>
        <v>6.2</v>
      </c>
      <c r="T362" s="6" t="e">
        <f>LOOKUP(L362,Sheet6!$F$688:$F$749,Sheet6!$B$688:$B$749)*0.2</f>
        <v>#N/A</v>
      </c>
      <c r="U362" s="6">
        <f>LOOKUP(M362,Sheet6!$D$600:$D$626,Sheet6!$B$600:$B$626)*0.1</f>
        <v>0</v>
      </c>
      <c r="V362" s="6" t="e">
        <f t="shared" si="25"/>
        <v>#DIV/0!</v>
      </c>
      <c r="W362" s="6" t="e">
        <f t="shared" si="26"/>
        <v>#DIV/0!</v>
      </c>
    </row>
    <row r="363" spans="1:23" ht="24.75" customHeight="1">
      <c r="A363" s="5"/>
      <c r="B363" s="5"/>
      <c r="C363" s="5"/>
      <c r="D363" s="5"/>
      <c r="E363" s="30"/>
      <c r="F363" s="5"/>
      <c r="G363" s="5"/>
      <c r="H363" s="5"/>
      <c r="I363" s="5"/>
      <c r="J363" s="5"/>
      <c r="K363" s="5"/>
      <c r="L363" s="5"/>
      <c r="M363" s="5"/>
      <c r="N363" s="13" t="e">
        <f t="shared" si="24"/>
        <v>#DIV/0!</v>
      </c>
      <c r="O363" s="6" t="e">
        <f>LOOKUP(N363,Sheet6!$J$4:$J$11,Sheet6!$B$4:$B$11)*0.15</f>
        <v>#DIV/0!</v>
      </c>
      <c r="P363" s="14" t="e">
        <f>LOOKUP(H363,Sheet6!$J$25:$J$66,Sheet6!$B$25:$B$66)*0.15</f>
        <v>#N/A</v>
      </c>
      <c r="Q363" s="6" t="e">
        <f>LOOKUP(I363,Sheet6!$J$115:$J$156,Sheet6!$B$115:$B$156)*0.2</f>
        <v>#N/A</v>
      </c>
      <c r="R363" s="6" t="e">
        <f>LOOKUP(J363,Sheet6!$D$465:$D$506,Sheet6!$B$465:$B$506)*0.1</f>
        <v>#N/A</v>
      </c>
      <c r="S363" s="6">
        <f>LOOKUP(K363,Sheet6!$J$205:$J$246,Sheet6!$B$205:$B$246)*0.1</f>
        <v>6.2</v>
      </c>
      <c r="T363" s="6" t="e">
        <f>LOOKUP(L363,Sheet6!$F$688:$F$749,Sheet6!$B$688:$B$749)*0.2</f>
        <v>#N/A</v>
      </c>
      <c r="U363" s="6">
        <f>LOOKUP(M363,Sheet6!$D$600:$D$626,Sheet6!$B$600:$B$626)*0.1</f>
        <v>0</v>
      </c>
      <c r="V363" s="6" t="e">
        <f t="shared" si="25"/>
        <v>#DIV/0!</v>
      </c>
      <c r="W363" s="6" t="e">
        <f t="shared" si="26"/>
        <v>#DIV/0!</v>
      </c>
    </row>
    <row r="364" spans="1:23" ht="24.75" customHeight="1">
      <c r="A364" s="5"/>
      <c r="B364" s="5"/>
      <c r="C364" s="5"/>
      <c r="D364" s="5"/>
      <c r="E364" s="30"/>
      <c r="F364" s="5"/>
      <c r="G364" s="5"/>
      <c r="H364" s="5"/>
      <c r="I364" s="5"/>
      <c r="J364" s="5"/>
      <c r="K364" s="5"/>
      <c r="L364" s="5"/>
      <c r="M364" s="5"/>
      <c r="N364" s="13" t="e">
        <f t="shared" si="24"/>
        <v>#DIV/0!</v>
      </c>
      <c r="O364" s="6" t="e">
        <f>LOOKUP(N364,Sheet6!$J$4:$J$11,Sheet6!$B$4:$B$11)*0.15</f>
        <v>#DIV/0!</v>
      </c>
      <c r="P364" s="14" t="e">
        <f>LOOKUP(H364,Sheet6!$J$25:$J$66,Sheet6!$B$25:$B$66)*0.15</f>
        <v>#N/A</v>
      </c>
      <c r="Q364" s="6" t="e">
        <f>LOOKUP(I364,Sheet6!$J$115:$J$156,Sheet6!$B$115:$B$156)*0.2</f>
        <v>#N/A</v>
      </c>
      <c r="R364" s="6" t="e">
        <f>LOOKUP(J364,Sheet6!$D$465:$D$506,Sheet6!$B$465:$B$506)*0.1</f>
        <v>#N/A</v>
      </c>
      <c r="S364" s="6">
        <f>LOOKUP(K364,Sheet6!$J$205:$J$246,Sheet6!$B$205:$B$246)*0.1</f>
        <v>6.2</v>
      </c>
      <c r="T364" s="6" t="e">
        <f>LOOKUP(L364,Sheet6!$F$688:$F$749,Sheet6!$B$688:$B$749)*0.2</f>
        <v>#N/A</v>
      </c>
      <c r="U364" s="6">
        <f>LOOKUP(M364,Sheet6!$D$600:$D$626,Sheet6!$B$600:$B$626)*0.1</f>
        <v>0</v>
      </c>
      <c r="V364" s="6" t="e">
        <f t="shared" si="25"/>
        <v>#DIV/0!</v>
      </c>
      <c r="W364" s="6" t="e">
        <f t="shared" si="26"/>
        <v>#DIV/0!</v>
      </c>
    </row>
    <row r="365" spans="1:23" ht="24.75" customHeight="1">
      <c r="A365" s="5"/>
      <c r="B365" s="5"/>
      <c r="C365" s="5"/>
      <c r="D365" s="5"/>
      <c r="E365" s="30"/>
      <c r="F365" s="5"/>
      <c r="G365" s="5"/>
      <c r="H365" s="5"/>
      <c r="I365" s="5"/>
      <c r="J365" s="5"/>
      <c r="K365" s="5"/>
      <c r="L365" s="5"/>
      <c r="M365" s="5"/>
      <c r="N365" s="13" t="e">
        <f t="shared" si="24"/>
        <v>#DIV/0!</v>
      </c>
      <c r="O365" s="6" t="e">
        <f>LOOKUP(N365,Sheet6!$J$4:$J$11,Sheet6!$B$4:$B$11)*0.15</f>
        <v>#DIV/0!</v>
      </c>
      <c r="P365" s="14" t="e">
        <f>LOOKUP(H365,Sheet6!$J$25:$J$66,Sheet6!$B$25:$B$66)*0.15</f>
        <v>#N/A</v>
      </c>
      <c r="Q365" s="6" t="e">
        <f>LOOKUP(I365,Sheet6!$J$115:$J$156,Sheet6!$B$115:$B$156)*0.2</f>
        <v>#N/A</v>
      </c>
      <c r="R365" s="6" t="e">
        <f>LOOKUP(J365,Sheet6!$D$465:$D$506,Sheet6!$B$465:$B$506)*0.1</f>
        <v>#N/A</v>
      </c>
      <c r="S365" s="6">
        <f>LOOKUP(K365,Sheet6!$J$205:$J$246,Sheet6!$B$205:$B$246)*0.1</f>
        <v>6.2</v>
      </c>
      <c r="T365" s="6" t="e">
        <f>LOOKUP(L365,Sheet6!$F$688:$F$749,Sheet6!$B$688:$B$749)*0.2</f>
        <v>#N/A</v>
      </c>
      <c r="U365" s="6">
        <f>LOOKUP(M365,Sheet6!$D$600:$D$626,Sheet6!$B$600:$B$626)*0.1</f>
        <v>0</v>
      </c>
      <c r="V365" s="6" t="e">
        <f t="shared" si="25"/>
        <v>#DIV/0!</v>
      </c>
      <c r="W365" s="6" t="e">
        <f t="shared" si="26"/>
        <v>#DIV/0!</v>
      </c>
    </row>
    <row r="366" spans="1:23" ht="24.75" customHeight="1">
      <c r="A366" s="5"/>
      <c r="B366" s="5"/>
      <c r="C366" s="5"/>
      <c r="D366" s="5"/>
      <c r="E366" s="30"/>
      <c r="F366" s="5"/>
      <c r="G366" s="5"/>
      <c r="H366" s="5"/>
      <c r="I366" s="5"/>
      <c r="J366" s="5"/>
      <c r="K366" s="5"/>
      <c r="L366" s="5"/>
      <c r="M366" s="5"/>
      <c r="N366" s="13" t="e">
        <f t="shared" si="24"/>
        <v>#DIV/0!</v>
      </c>
      <c r="O366" s="6" t="e">
        <f>LOOKUP(N366,Sheet6!$J$4:$J$11,Sheet6!$B$4:$B$11)*0.15</f>
        <v>#DIV/0!</v>
      </c>
      <c r="P366" s="14" t="e">
        <f>LOOKUP(H366,Sheet6!$J$25:$J$66,Sheet6!$B$25:$B$66)*0.15</f>
        <v>#N/A</v>
      </c>
      <c r="Q366" s="6" t="e">
        <f>LOOKUP(I366,Sheet6!$J$115:$J$156,Sheet6!$B$115:$B$156)*0.2</f>
        <v>#N/A</v>
      </c>
      <c r="R366" s="6" t="e">
        <f>LOOKUP(J366,Sheet6!$D$465:$D$506,Sheet6!$B$465:$B$506)*0.1</f>
        <v>#N/A</v>
      </c>
      <c r="S366" s="6">
        <f>LOOKUP(K366,Sheet6!$J$205:$J$246,Sheet6!$B$205:$B$246)*0.1</f>
        <v>6.2</v>
      </c>
      <c r="T366" s="6" t="e">
        <f>LOOKUP(L366,Sheet6!$F$688:$F$749,Sheet6!$B$688:$B$749)*0.2</f>
        <v>#N/A</v>
      </c>
      <c r="U366" s="6">
        <f>LOOKUP(M366,Sheet6!$D$600:$D$626,Sheet6!$B$600:$B$626)*0.1</f>
        <v>0</v>
      </c>
      <c r="V366" s="6" t="e">
        <f t="shared" si="25"/>
        <v>#DIV/0!</v>
      </c>
      <c r="W366" s="6" t="e">
        <f t="shared" si="26"/>
        <v>#DIV/0!</v>
      </c>
    </row>
    <row r="367" spans="1:23" ht="24.75" customHeight="1">
      <c r="A367" s="5"/>
      <c r="B367" s="5"/>
      <c r="C367" s="5"/>
      <c r="D367" s="5"/>
      <c r="E367" s="30"/>
      <c r="F367" s="5"/>
      <c r="G367" s="5"/>
      <c r="H367" s="5"/>
      <c r="I367" s="5"/>
      <c r="J367" s="5"/>
      <c r="K367" s="5"/>
      <c r="L367" s="5"/>
      <c r="M367" s="5"/>
      <c r="N367" s="13" t="e">
        <f t="shared" si="24"/>
        <v>#DIV/0!</v>
      </c>
      <c r="O367" s="6" t="e">
        <f>LOOKUP(N367,Sheet6!$J$4:$J$11,Sheet6!$B$4:$B$11)*0.15</f>
        <v>#DIV/0!</v>
      </c>
      <c r="P367" s="14" t="e">
        <f>LOOKUP(H367,Sheet6!$J$25:$J$66,Sheet6!$B$25:$B$66)*0.15</f>
        <v>#N/A</v>
      </c>
      <c r="Q367" s="6" t="e">
        <f>LOOKUP(I367,Sheet6!$J$115:$J$156,Sheet6!$B$115:$B$156)*0.2</f>
        <v>#N/A</v>
      </c>
      <c r="R367" s="6" t="e">
        <f>LOOKUP(J367,Sheet6!$D$465:$D$506,Sheet6!$B$465:$B$506)*0.1</f>
        <v>#N/A</v>
      </c>
      <c r="S367" s="6">
        <f>LOOKUP(K367,Sheet6!$J$205:$J$246,Sheet6!$B$205:$B$246)*0.1</f>
        <v>6.2</v>
      </c>
      <c r="T367" s="6" t="e">
        <f>LOOKUP(L367,Sheet6!$F$688:$F$749,Sheet6!$B$688:$B$749)*0.2</f>
        <v>#N/A</v>
      </c>
      <c r="U367" s="6">
        <f>LOOKUP(M367,Sheet6!$D$600:$D$626,Sheet6!$B$600:$B$626)*0.1</f>
        <v>0</v>
      </c>
      <c r="V367" s="6" t="e">
        <f t="shared" si="25"/>
        <v>#DIV/0!</v>
      </c>
      <c r="W367" s="6" t="e">
        <f t="shared" si="26"/>
        <v>#DIV/0!</v>
      </c>
    </row>
    <row r="368" spans="1:23" ht="24.75" customHeight="1">
      <c r="A368" s="5"/>
      <c r="B368" s="5"/>
      <c r="C368" s="5"/>
      <c r="D368" s="5"/>
      <c r="E368" s="30"/>
      <c r="F368" s="5"/>
      <c r="G368" s="5"/>
      <c r="H368" s="5"/>
      <c r="I368" s="5"/>
      <c r="J368" s="5"/>
      <c r="K368" s="5"/>
      <c r="L368" s="5"/>
      <c r="M368" s="5"/>
      <c r="N368" s="13" t="e">
        <f t="shared" si="24"/>
        <v>#DIV/0!</v>
      </c>
      <c r="O368" s="6" t="e">
        <f>LOOKUP(N368,Sheet6!$J$4:$J$11,Sheet6!$B$4:$B$11)*0.15</f>
        <v>#DIV/0!</v>
      </c>
      <c r="P368" s="14" t="e">
        <f>LOOKUP(H368,Sheet6!$J$25:$J$66,Sheet6!$B$25:$B$66)*0.15</f>
        <v>#N/A</v>
      </c>
      <c r="Q368" s="6" t="e">
        <f>LOOKUP(I368,Sheet6!$J$115:$J$156,Sheet6!$B$115:$B$156)*0.2</f>
        <v>#N/A</v>
      </c>
      <c r="R368" s="6" t="e">
        <f>LOOKUP(J368,Sheet6!$D$465:$D$506,Sheet6!$B$465:$B$506)*0.1</f>
        <v>#N/A</v>
      </c>
      <c r="S368" s="6">
        <f>LOOKUP(K368,Sheet6!$J$205:$J$246,Sheet6!$B$205:$B$246)*0.1</f>
        <v>6.2</v>
      </c>
      <c r="T368" s="6" t="e">
        <f>LOOKUP(L368,Sheet6!$F$688:$F$749,Sheet6!$B$688:$B$749)*0.2</f>
        <v>#N/A</v>
      </c>
      <c r="U368" s="6">
        <f>LOOKUP(M368,Sheet6!$D$600:$D$626,Sheet6!$B$600:$B$626)*0.1</f>
        <v>0</v>
      </c>
      <c r="V368" s="6" t="e">
        <f t="shared" si="25"/>
        <v>#DIV/0!</v>
      </c>
      <c r="W368" s="6" t="e">
        <f t="shared" si="26"/>
        <v>#DIV/0!</v>
      </c>
    </row>
    <row r="369" spans="1:23" ht="24.75" customHeight="1">
      <c r="A369" s="5"/>
      <c r="B369" s="5"/>
      <c r="C369" s="5"/>
      <c r="D369" s="5"/>
      <c r="E369" s="30"/>
      <c r="F369" s="5"/>
      <c r="G369" s="5"/>
      <c r="H369" s="5"/>
      <c r="I369" s="5"/>
      <c r="J369" s="5"/>
      <c r="K369" s="5"/>
      <c r="L369" s="5"/>
      <c r="M369" s="5"/>
      <c r="N369" s="13" t="e">
        <f t="shared" si="24"/>
        <v>#DIV/0!</v>
      </c>
      <c r="O369" s="6" t="e">
        <f>LOOKUP(N369,Sheet6!$J$4:$J$11,Sheet6!$B$4:$B$11)*0.15</f>
        <v>#DIV/0!</v>
      </c>
      <c r="P369" s="14" t="e">
        <f>LOOKUP(H369,Sheet6!$J$25:$J$66,Sheet6!$B$25:$B$66)*0.15</f>
        <v>#N/A</v>
      </c>
      <c r="Q369" s="6" t="e">
        <f>LOOKUP(I369,Sheet6!$J$115:$J$156,Sheet6!$B$115:$B$156)*0.2</f>
        <v>#N/A</v>
      </c>
      <c r="R369" s="6" t="e">
        <f>LOOKUP(J369,Sheet6!$D$465:$D$506,Sheet6!$B$465:$B$506)*0.1</f>
        <v>#N/A</v>
      </c>
      <c r="S369" s="6">
        <f>LOOKUP(K369,Sheet6!$J$205:$J$246,Sheet6!$B$205:$B$246)*0.1</f>
        <v>6.2</v>
      </c>
      <c r="T369" s="6" t="e">
        <f>LOOKUP(L369,Sheet6!$F$688:$F$749,Sheet6!$B$688:$B$749)*0.2</f>
        <v>#N/A</v>
      </c>
      <c r="U369" s="6">
        <f>LOOKUP(M369,Sheet6!$D$600:$D$626,Sheet6!$B$600:$B$626)*0.1</f>
        <v>0</v>
      </c>
      <c r="V369" s="6" t="e">
        <f t="shared" si="25"/>
        <v>#DIV/0!</v>
      </c>
      <c r="W369" s="6" t="e">
        <f t="shared" si="26"/>
        <v>#DIV/0!</v>
      </c>
    </row>
    <row r="370" spans="1:23" ht="24.75" customHeight="1">
      <c r="A370" s="5"/>
      <c r="B370" s="5"/>
      <c r="C370" s="5"/>
      <c r="D370" s="5"/>
      <c r="E370" s="30"/>
      <c r="F370" s="5"/>
      <c r="G370" s="5"/>
      <c r="H370" s="5"/>
      <c r="I370" s="5"/>
      <c r="J370" s="5"/>
      <c r="K370" s="5"/>
      <c r="L370" s="5"/>
      <c r="M370" s="5"/>
      <c r="N370" s="13" t="e">
        <f t="shared" si="24"/>
        <v>#DIV/0!</v>
      </c>
      <c r="O370" s="6" t="e">
        <f>LOOKUP(N370,Sheet6!$J$4:$J$11,Sheet6!$B$4:$B$11)*0.15</f>
        <v>#DIV/0!</v>
      </c>
      <c r="P370" s="14" t="e">
        <f>LOOKUP(H370,Sheet6!$J$25:$J$66,Sheet6!$B$25:$B$66)*0.15</f>
        <v>#N/A</v>
      </c>
      <c r="Q370" s="6" t="e">
        <f>LOOKUP(I370,Sheet6!$J$115:$J$156,Sheet6!$B$115:$B$156)*0.2</f>
        <v>#N/A</v>
      </c>
      <c r="R370" s="6" t="e">
        <f>LOOKUP(J370,Sheet6!$D$465:$D$506,Sheet6!$B$465:$B$506)*0.1</f>
        <v>#N/A</v>
      </c>
      <c r="S370" s="6">
        <f>LOOKUP(K370,Sheet6!$J$205:$J$246,Sheet6!$B$205:$B$246)*0.1</f>
        <v>6.2</v>
      </c>
      <c r="T370" s="6" t="e">
        <f>LOOKUP(L370,Sheet6!$F$688:$F$749,Sheet6!$B$688:$B$749)*0.2</f>
        <v>#N/A</v>
      </c>
      <c r="U370" s="6">
        <f>LOOKUP(M370,Sheet6!$D$600:$D$626,Sheet6!$B$600:$B$626)*0.1</f>
        <v>0</v>
      </c>
      <c r="V370" s="6" t="e">
        <f t="shared" si="25"/>
        <v>#DIV/0!</v>
      </c>
      <c r="W370" s="6" t="e">
        <f t="shared" si="26"/>
        <v>#DIV/0!</v>
      </c>
    </row>
    <row r="371" spans="1:23" ht="24.75" customHeight="1">
      <c r="A371" s="5"/>
      <c r="B371" s="5"/>
      <c r="C371" s="5"/>
      <c r="D371" s="5"/>
      <c r="E371" s="30"/>
      <c r="F371" s="5"/>
      <c r="G371" s="5"/>
      <c r="H371" s="5"/>
      <c r="I371" s="5"/>
      <c r="J371" s="5"/>
      <c r="K371" s="5"/>
      <c r="L371" s="5"/>
      <c r="M371" s="5"/>
      <c r="N371" s="13" t="e">
        <f t="shared" si="24"/>
        <v>#DIV/0!</v>
      </c>
      <c r="O371" s="6" t="e">
        <f>LOOKUP(N371,Sheet6!$J$4:$J$11,Sheet6!$B$4:$B$11)*0.15</f>
        <v>#DIV/0!</v>
      </c>
      <c r="P371" s="14" t="e">
        <f>LOOKUP(H371,Sheet6!$J$25:$J$66,Sheet6!$B$25:$B$66)*0.15</f>
        <v>#N/A</v>
      </c>
      <c r="Q371" s="6" t="e">
        <f>LOOKUP(I371,Sheet6!$J$115:$J$156,Sheet6!$B$115:$B$156)*0.2</f>
        <v>#N/A</v>
      </c>
      <c r="R371" s="6" t="e">
        <f>LOOKUP(J371,Sheet6!$D$465:$D$506,Sheet6!$B$465:$B$506)*0.1</f>
        <v>#N/A</v>
      </c>
      <c r="S371" s="6">
        <f>LOOKUP(K371,Sheet6!$J$205:$J$246,Sheet6!$B$205:$B$246)*0.1</f>
        <v>6.2</v>
      </c>
      <c r="T371" s="6" t="e">
        <f>LOOKUP(L371,Sheet6!$F$688:$F$749,Sheet6!$B$688:$B$749)*0.2</f>
        <v>#N/A</v>
      </c>
      <c r="U371" s="6">
        <f>LOOKUP(M371,Sheet6!$D$600:$D$626,Sheet6!$B$600:$B$626)*0.1</f>
        <v>0</v>
      </c>
      <c r="V371" s="6" t="e">
        <f t="shared" si="25"/>
        <v>#DIV/0!</v>
      </c>
      <c r="W371" s="6" t="e">
        <f t="shared" si="26"/>
        <v>#DIV/0!</v>
      </c>
    </row>
    <row r="372" spans="1:23" ht="24.75" customHeight="1">
      <c r="A372" s="5"/>
      <c r="B372" s="5"/>
      <c r="C372" s="5"/>
      <c r="D372" s="5"/>
      <c r="E372" s="30"/>
      <c r="F372" s="5"/>
      <c r="G372" s="5"/>
      <c r="H372" s="5"/>
      <c r="I372" s="5"/>
      <c r="J372" s="5"/>
      <c r="K372" s="5"/>
      <c r="L372" s="5"/>
      <c r="M372" s="5"/>
      <c r="N372" s="13" t="e">
        <f t="shared" si="24"/>
        <v>#DIV/0!</v>
      </c>
      <c r="O372" s="6" t="e">
        <f>LOOKUP(N372,Sheet6!$J$4:$J$11,Sheet6!$B$4:$B$11)*0.15</f>
        <v>#DIV/0!</v>
      </c>
      <c r="P372" s="14" t="e">
        <f>LOOKUP(H372,Sheet6!$J$25:$J$66,Sheet6!$B$25:$B$66)*0.15</f>
        <v>#N/A</v>
      </c>
      <c r="Q372" s="6" t="e">
        <f>LOOKUP(I372,Sheet6!$J$115:$J$156,Sheet6!$B$115:$B$156)*0.2</f>
        <v>#N/A</v>
      </c>
      <c r="R372" s="6" t="e">
        <f>LOOKUP(J372,Sheet6!$D$465:$D$506,Sheet6!$B$465:$B$506)*0.1</f>
        <v>#N/A</v>
      </c>
      <c r="S372" s="6">
        <f>LOOKUP(K372,Sheet6!$J$205:$J$246,Sheet6!$B$205:$B$246)*0.1</f>
        <v>6.2</v>
      </c>
      <c r="T372" s="6" t="e">
        <f>LOOKUP(L372,Sheet6!$F$688:$F$749,Sheet6!$B$688:$B$749)*0.2</f>
        <v>#N/A</v>
      </c>
      <c r="U372" s="6">
        <f>LOOKUP(M372,Sheet6!$D$600:$D$626,Sheet6!$B$600:$B$626)*0.1</f>
        <v>0</v>
      </c>
      <c r="V372" s="6" t="e">
        <f t="shared" si="25"/>
        <v>#DIV/0!</v>
      </c>
      <c r="W372" s="6" t="e">
        <f t="shared" si="26"/>
        <v>#DIV/0!</v>
      </c>
    </row>
    <row r="373" spans="1:23" ht="24.75" customHeight="1">
      <c r="A373" s="5"/>
      <c r="B373" s="5"/>
      <c r="C373" s="5"/>
      <c r="D373" s="5"/>
      <c r="E373" s="30"/>
      <c r="F373" s="5"/>
      <c r="G373" s="5"/>
      <c r="H373" s="5"/>
      <c r="I373" s="5"/>
      <c r="J373" s="5"/>
      <c r="K373" s="5"/>
      <c r="L373" s="5"/>
      <c r="M373" s="5"/>
      <c r="N373" s="13" t="e">
        <f t="shared" si="24"/>
        <v>#DIV/0!</v>
      </c>
      <c r="O373" s="6" t="e">
        <f>LOOKUP(N373,Sheet6!$J$4:$J$11,Sheet6!$B$4:$B$11)*0.15</f>
        <v>#DIV/0!</v>
      </c>
      <c r="P373" s="14" t="e">
        <f>LOOKUP(H373,Sheet6!$J$25:$J$66,Sheet6!$B$25:$B$66)*0.15</f>
        <v>#N/A</v>
      </c>
      <c r="Q373" s="6" t="e">
        <f>LOOKUP(I373,Sheet6!$J$115:$J$156,Sheet6!$B$115:$B$156)*0.2</f>
        <v>#N/A</v>
      </c>
      <c r="R373" s="6" t="e">
        <f>LOOKUP(J373,Sheet6!$D$465:$D$506,Sheet6!$B$465:$B$506)*0.1</f>
        <v>#N/A</v>
      </c>
      <c r="S373" s="6">
        <f>LOOKUP(K373,Sheet6!$J$205:$J$246,Sheet6!$B$205:$B$246)*0.1</f>
        <v>6.2</v>
      </c>
      <c r="T373" s="6" t="e">
        <f>LOOKUP(L373,Sheet6!$F$688:$F$749,Sheet6!$B$688:$B$749)*0.2</f>
        <v>#N/A</v>
      </c>
      <c r="U373" s="6">
        <f>LOOKUP(M373,Sheet6!$D$600:$D$626,Sheet6!$B$600:$B$626)*0.1</f>
        <v>0</v>
      </c>
      <c r="V373" s="6" t="e">
        <f t="shared" si="25"/>
        <v>#DIV/0!</v>
      </c>
      <c r="W373" s="6" t="e">
        <f t="shared" si="26"/>
        <v>#DIV/0!</v>
      </c>
    </row>
    <row r="374" spans="1:23" ht="24.75" customHeight="1">
      <c r="A374" s="5"/>
      <c r="B374" s="5"/>
      <c r="C374" s="5"/>
      <c r="D374" s="5"/>
      <c r="E374" s="30"/>
      <c r="F374" s="5"/>
      <c r="G374" s="5"/>
      <c r="H374" s="5"/>
      <c r="I374" s="5"/>
      <c r="J374" s="5"/>
      <c r="K374" s="5"/>
      <c r="L374" s="5"/>
      <c r="M374" s="5"/>
      <c r="N374" s="13" t="e">
        <f t="shared" si="24"/>
        <v>#DIV/0!</v>
      </c>
      <c r="O374" s="6" t="e">
        <f>LOOKUP(N374,Sheet6!$J$4:$J$11,Sheet6!$B$4:$B$11)*0.15</f>
        <v>#DIV/0!</v>
      </c>
      <c r="P374" s="14" t="e">
        <f>LOOKUP(H374,Sheet6!$J$25:$J$66,Sheet6!$B$25:$B$66)*0.15</f>
        <v>#N/A</v>
      </c>
      <c r="Q374" s="6" t="e">
        <f>LOOKUP(I374,Sheet6!$J$115:$J$156,Sheet6!$B$115:$B$156)*0.2</f>
        <v>#N/A</v>
      </c>
      <c r="R374" s="6" t="e">
        <f>LOOKUP(J374,Sheet6!$D$465:$D$506,Sheet6!$B$465:$B$506)*0.1</f>
        <v>#N/A</v>
      </c>
      <c r="S374" s="6">
        <f>LOOKUP(K374,Sheet6!$J$205:$J$246,Sheet6!$B$205:$B$246)*0.1</f>
        <v>6.2</v>
      </c>
      <c r="T374" s="6" t="e">
        <f>LOOKUP(L374,Sheet6!$F$688:$F$749,Sheet6!$B$688:$B$749)*0.2</f>
        <v>#N/A</v>
      </c>
      <c r="U374" s="6">
        <f>LOOKUP(M374,Sheet6!$D$600:$D$626,Sheet6!$B$600:$B$626)*0.1</f>
        <v>0</v>
      </c>
      <c r="V374" s="6" t="e">
        <f t="shared" si="25"/>
        <v>#DIV/0!</v>
      </c>
      <c r="W374" s="6" t="e">
        <f t="shared" si="26"/>
        <v>#DIV/0!</v>
      </c>
    </row>
    <row r="375" spans="1:23" ht="24.75" customHeight="1">
      <c r="A375" s="5"/>
      <c r="B375" s="5"/>
      <c r="C375" s="5"/>
      <c r="D375" s="5"/>
      <c r="E375" s="30"/>
      <c r="F375" s="5"/>
      <c r="G375" s="5"/>
      <c r="H375" s="5"/>
      <c r="I375" s="5"/>
      <c r="J375" s="5"/>
      <c r="K375" s="5"/>
      <c r="L375" s="5"/>
      <c r="M375" s="5"/>
      <c r="N375" s="13" t="e">
        <f t="shared" si="24"/>
        <v>#DIV/0!</v>
      </c>
      <c r="O375" s="6" t="e">
        <f>LOOKUP(N375,Sheet6!$J$4:$J$11,Sheet6!$B$4:$B$11)*0.15</f>
        <v>#DIV/0!</v>
      </c>
      <c r="P375" s="14" t="e">
        <f>LOOKUP(H375,Sheet6!$J$25:$J$66,Sheet6!$B$25:$B$66)*0.15</f>
        <v>#N/A</v>
      </c>
      <c r="Q375" s="6" t="e">
        <f>LOOKUP(I375,Sheet6!$J$115:$J$156,Sheet6!$B$115:$B$156)*0.2</f>
        <v>#N/A</v>
      </c>
      <c r="R375" s="6" t="e">
        <f>LOOKUP(J375,Sheet6!$D$465:$D$506,Sheet6!$B$465:$B$506)*0.1</f>
        <v>#N/A</v>
      </c>
      <c r="S375" s="6">
        <f>LOOKUP(K375,Sheet6!$J$205:$J$246,Sheet6!$B$205:$B$246)*0.1</f>
        <v>6.2</v>
      </c>
      <c r="T375" s="6" t="e">
        <f>LOOKUP(L375,Sheet6!$F$688:$F$749,Sheet6!$B$688:$B$749)*0.2</f>
        <v>#N/A</v>
      </c>
      <c r="U375" s="6">
        <f>LOOKUP(M375,Sheet6!$D$600:$D$626,Sheet6!$B$600:$B$626)*0.1</f>
        <v>0</v>
      </c>
      <c r="V375" s="6" t="e">
        <f t="shared" si="25"/>
        <v>#DIV/0!</v>
      </c>
      <c r="W375" s="6" t="e">
        <f t="shared" si="26"/>
        <v>#DIV/0!</v>
      </c>
    </row>
    <row r="376" spans="1:23" ht="24.75" customHeight="1">
      <c r="A376" s="5"/>
      <c r="B376" s="5"/>
      <c r="C376" s="5"/>
      <c r="D376" s="5"/>
      <c r="E376" s="30"/>
      <c r="F376" s="5"/>
      <c r="G376" s="5"/>
      <c r="H376" s="5"/>
      <c r="I376" s="5"/>
      <c r="J376" s="5"/>
      <c r="K376" s="5"/>
      <c r="L376" s="5"/>
      <c r="M376" s="5"/>
      <c r="N376" s="13" t="e">
        <f t="shared" si="24"/>
        <v>#DIV/0!</v>
      </c>
      <c r="O376" s="6" t="e">
        <f>LOOKUP(N376,Sheet6!$J$4:$J$11,Sheet6!$B$4:$B$11)*0.15</f>
        <v>#DIV/0!</v>
      </c>
      <c r="P376" s="14" t="e">
        <f>LOOKUP(H376,Sheet6!$J$25:$J$66,Sheet6!$B$25:$B$66)*0.15</f>
        <v>#N/A</v>
      </c>
      <c r="Q376" s="6" t="e">
        <f>LOOKUP(I376,Sheet6!$J$115:$J$156,Sheet6!$B$115:$B$156)*0.2</f>
        <v>#N/A</v>
      </c>
      <c r="R376" s="6" t="e">
        <f>LOOKUP(J376,Sheet6!$D$465:$D$506,Sheet6!$B$465:$B$506)*0.1</f>
        <v>#N/A</v>
      </c>
      <c r="S376" s="6">
        <f>LOOKUP(K376,Sheet6!$J$205:$J$246,Sheet6!$B$205:$B$246)*0.1</f>
        <v>6.2</v>
      </c>
      <c r="T376" s="6" t="e">
        <f>LOOKUP(L376,Sheet6!$F$688:$F$749,Sheet6!$B$688:$B$749)*0.2</f>
        <v>#N/A</v>
      </c>
      <c r="U376" s="6">
        <f>LOOKUP(M376,Sheet6!$D$600:$D$626,Sheet6!$B$600:$B$626)*0.1</f>
        <v>0</v>
      </c>
      <c r="V376" s="6" t="e">
        <f t="shared" si="25"/>
        <v>#DIV/0!</v>
      </c>
      <c r="W376" s="6" t="e">
        <f t="shared" si="26"/>
        <v>#DIV/0!</v>
      </c>
    </row>
    <row r="377" spans="1:23" ht="24.75" customHeight="1">
      <c r="A377" s="5"/>
      <c r="B377" s="5"/>
      <c r="C377" s="5"/>
      <c r="D377" s="5"/>
      <c r="E377" s="30"/>
      <c r="F377" s="5"/>
      <c r="G377" s="5"/>
      <c r="H377" s="5"/>
      <c r="I377" s="5"/>
      <c r="J377" s="5"/>
      <c r="K377" s="5"/>
      <c r="L377" s="5"/>
      <c r="M377" s="5"/>
      <c r="N377" s="13" t="e">
        <f t="shared" si="24"/>
        <v>#DIV/0!</v>
      </c>
      <c r="O377" s="6" t="e">
        <f>LOOKUP(N377,Sheet6!$J$4:$J$11,Sheet6!$B$4:$B$11)*0.15</f>
        <v>#DIV/0!</v>
      </c>
      <c r="P377" s="14" t="e">
        <f>LOOKUP(H377,Sheet6!$J$25:$J$66,Sheet6!$B$25:$B$66)*0.15</f>
        <v>#N/A</v>
      </c>
      <c r="Q377" s="6" t="e">
        <f>LOOKUP(I377,Sheet6!$J$115:$J$156,Sheet6!$B$115:$B$156)*0.2</f>
        <v>#N/A</v>
      </c>
      <c r="R377" s="6" t="e">
        <f>LOOKUP(J377,Sheet6!$D$465:$D$506,Sheet6!$B$465:$B$506)*0.1</f>
        <v>#N/A</v>
      </c>
      <c r="S377" s="6">
        <f>LOOKUP(K377,Sheet6!$J$205:$J$246,Sheet6!$B$205:$B$246)*0.1</f>
        <v>6.2</v>
      </c>
      <c r="T377" s="6" t="e">
        <f>LOOKUP(L377,Sheet6!$F$688:$F$749,Sheet6!$B$688:$B$749)*0.2</f>
        <v>#N/A</v>
      </c>
      <c r="U377" s="6">
        <f>LOOKUP(M377,Sheet6!$D$600:$D$626,Sheet6!$B$600:$B$626)*0.1</f>
        <v>0</v>
      </c>
      <c r="V377" s="6" t="e">
        <f t="shared" si="25"/>
        <v>#DIV/0!</v>
      </c>
      <c r="W377" s="6" t="e">
        <f t="shared" si="26"/>
        <v>#DIV/0!</v>
      </c>
    </row>
    <row r="378" spans="1:23" ht="24.75" customHeight="1">
      <c r="A378" s="5"/>
      <c r="B378" s="5"/>
      <c r="C378" s="5"/>
      <c r="D378" s="5"/>
      <c r="E378" s="30"/>
      <c r="F378" s="5"/>
      <c r="G378" s="5"/>
      <c r="H378" s="5"/>
      <c r="I378" s="5"/>
      <c r="J378" s="5"/>
      <c r="K378" s="5"/>
      <c r="L378" s="5"/>
      <c r="M378" s="5"/>
      <c r="N378" s="13" t="e">
        <f t="shared" si="24"/>
        <v>#DIV/0!</v>
      </c>
      <c r="O378" s="6" t="e">
        <f>LOOKUP(N378,Sheet6!$J$4:$J$11,Sheet6!$B$4:$B$11)*0.15</f>
        <v>#DIV/0!</v>
      </c>
      <c r="P378" s="14" t="e">
        <f>LOOKUP(H378,Sheet6!$J$25:$J$66,Sheet6!$B$25:$B$66)*0.15</f>
        <v>#N/A</v>
      </c>
      <c r="Q378" s="6" t="e">
        <f>LOOKUP(I378,Sheet6!$J$115:$J$156,Sheet6!$B$115:$B$156)*0.2</f>
        <v>#N/A</v>
      </c>
      <c r="R378" s="6" t="e">
        <f>LOOKUP(J378,Sheet6!$D$465:$D$506,Sheet6!$B$465:$B$506)*0.1</f>
        <v>#N/A</v>
      </c>
      <c r="S378" s="6">
        <f>LOOKUP(K378,Sheet6!$J$205:$J$246,Sheet6!$B$205:$B$246)*0.1</f>
        <v>6.2</v>
      </c>
      <c r="T378" s="6" t="e">
        <f>LOOKUP(L378,Sheet6!$F$688:$F$749,Sheet6!$B$688:$B$749)*0.2</f>
        <v>#N/A</v>
      </c>
      <c r="U378" s="6">
        <f>LOOKUP(M378,Sheet6!$D$600:$D$626,Sheet6!$B$600:$B$626)*0.1</f>
        <v>0</v>
      </c>
      <c r="V378" s="6" t="e">
        <f t="shared" si="25"/>
        <v>#DIV/0!</v>
      </c>
      <c r="W378" s="6" t="e">
        <f t="shared" si="26"/>
        <v>#DIV/0!</v>
      </c>
    </row>
    <row r="379" spans="1:23" ht="24.75" customHeight="1">
      <c r="A379" s="5"/>
      <c r="B379" s="5"/>
      <c r="C379" s="5"/>
      <c r="D379" s="5"/>
      <c r="E379" s="30"/>
      <c r="F379" s="5"/>
      <c r="G379" s="5"/>
      <c r="H379" s="5"/>
      <c r="I379" s="5"/>
      <c r="J379" s="5"/>
      <c r="K379" s="5"/>
      <c r="L379" s="5"/>
      <c r="M379" s="5"/>
      <c r="N379" s="13" t="e">
        <f t="shared" si="24"/>
        <v>#DIV/0!</v>
      </c>
      <c r="O379" s="6" t="e">
        <f>LOOKUP(N379,Sheet6!$J$4:$J$11,Sheet6!$B$4:$B$11)*0.15</f>
        <v>#DIV/0!</v>
      </c>
      <c r="P379" s="14" t="e">
        <f>LOOKUP(H379,Sheet6!$J$25:$J$66,Sheet6!$B$25:$B$66)*0.15</f>
        <v>#N/A</v>
      </c>
      <c r="Q379" s="6" t="e">
        <f>LOOKUP(I379,Sheet6!$J$115:$J$156,Sheet6!$B$115:$B$156)*0.2</f>
        <v>#N/A</v>
      </c>
      <c r="R379" s="6" t="e">
        <f>LOOKUP(J379,Sheet6!$D$465:$D$506,Sheet6!$B$465:$B$506)*0.1</f>
        <v>#N/A</v>
      </c>
      <c r="S379" s="6">
        <f>LOOKUP(K379,Sheet6!$J$205:$J$246,Sheet6!$B$205:$B$246)*0.1</f>
        <v>6.2</v>
      </c>
      <c r="T379" s="6" t="e">
        <f>LOOKUP(L379,Sheet6!$F$688:$F$749,Sheet6!$B$688:$B$749)*0.2</f>
        <v>#N/A</v>
      </c>
      <c r="U379" s="6">
        <f>LOOKUP(M379,Sheet6!$D$600:$D$626,Sheet6!$B$600:$B$626)*0.1</f>
        <v>0</v>
      </c>
      <c r="V379" s="6" t="e">
        <f t="shared" si="25"/>
        <v>#DIV/0!</v>
      </c>
      <c r="W379" s="6" t="e">
        <f t="shared" si="26"/>
        <v>#DIV/0!</v>
      </c>
    </row>
    <row r="380" spans="1:23" ht="24.75" customHeight="1">
      <c r="A380" s="5"/>
      <c r="B380" s="5"/>
      <c r="C380" s="5"/>
      <c r="D380" s="5"/>
      <c r="E380" s="30"/>
      <c r="F380" s="5"/>
      <c r="G380" s="5"/>
      <c r="H380" s="5"/>
      <c r="I380" s="5"/>
      <c r="J380" s="5"/>
      <c r="K380" s="5"/>
      <c r="L380" s="5"/>
      <c r="M380" s="5"/>
      <c r="N380" s="13" t="e">
        <f t="shared" si="24"/>
        <v>#DIV/0!</v>
      </c>
      <c r="O380" s="6" t="e">
        <f>LOOKUP(N380,Sheet6!$J$4:$J$11,Sheet6!$B$4:$B$11)*0.15</f>
        <v>#DIV/0!</v>
      </c>
      <c r="P380" s="14" t="e">
        <f>LOOKUP(H380,Sheet6!$J$25:$J$66,Sheet6!$B$25:$B$66)*0.15</f>
        <v>#N/A</v>
      </c>
      <c r="Q380" s="6" t="e">
        <f>LOOKUP(I380,Sheet6!$J$115:$J$156,Sheet6!$B$115:$B$156)*0.2</f>
        <v>#N/A</v>
      </c>
      <c r="R380" s="6" t="e">
        <f>LOOKUP(J380,Sheet6!$D$465:$D$506,Sheet6!$B$465:$B$506)*0.1</f>
        <v>#N/A</v>
      </c>
      <c r="S380" s="6">
        <f>LOOKUP(K380,Sheet6!$J$205:$J$246,Sheet6!$B$205:$B$246)*0.1</f>
        <v>6.2</v>
      </c>
      <c r="T380" s="6" t="e">
        <f>LOOKUP(L380,Sheet6!$F$688:$F$749,Sheet6!$B$688:$B$749)*0.2</f>
        <v>#N/A</v>
      </c>
      <c r="U380" s="6">
        <f>LOOKUP(M380,Sheet6!$D$600:$D$626,Sheet6!$B$600:$B$626)*0.1</f>
        <v>0</v>
      </c>
      <c r="V380" s="6" t="e">
        <f t="shared" si="25"/>
        <v>#DIV/0!</v>
      </c>
      <c r="W380" s="6" t="e">
        <f t="shared" si="26"/>
        <v>#DIV/0!</v>
      </c>
    </row>
    <row r="381" spans="1:23" ht="24.75" customHeight="1">
      <c r="A381" s="5"/>
      <c r="B381" s="5"/>
      <c r="C381" s="5"/>
      <c r="D381" s="5"/>
      <c r="E381" s="30"/>
      <c r="F381" s="5"/>
      <c r="G381" s="5"/>
      <c r="H381" s="5"/>
      <c r="I381" s="5"/>
      <c r="J381" s="5"/>
      <c r="K381" s="5"/>
      <c r="L381" s="5"/>
      <c r="M381" s="5"/>
      <c r="N381" s="13" t="e">
        <f t="shared" si="24"/>
        <v>#DIV/0!</v>
      </c>
      <c r="O381" s="6" t="e">
        <f>LOOKUP(N381,Sheet6!$J$4:$J$11,Sheet6!$B$4:$B$11)*0.15</f>
        <v>#DIV/0!</v>
      </c>
      <c r="P381" s="14" t="e">
        <f>LOOKUP(H381,Sheet6!$J$25:$J$66,Sheet6!$B$25:$B$66)*0.15</f>
        <v>#N/A</v>
      </c>
      <c r="Q381" s="6" t="e">
        <f>LOOKUP(I381,Sheet6!$J$115:$J$156,Sheet6!$B$115:$B$156)*0.2</f>
        <v>#N/A</v>
      </c>
      <c r="R381" s="6" t="e">
        <f>LOOKUP(J381,Sheet6!$D$465:$D$506,Sheet6!$B$465:$B$506)*0.1</f>
        <v>#N/A</v>
      </c>
      <c r="S381" s="6">
        <f>LOOKUP(K381,Sheet6!$J$205:$J$246,Sheet6!$B$205:$B$246)*0.1</f>
        <v>6.2</v>
      </c>
      <c r="T381" s="6" t="e">
        <f>LOOKUP(L381,Sheet6!$F$688:$F$749,Sheet6!$B$688:$B$749)*0.2</f>
        <v>#N/A</v>
      </c>
      <c r="U381" s="6">
        <f>LOOKUP(M381,Sheet6!$D$600:$D$626,Sheet6!$B$600:$B$626)*0.1</f>
        <v>0</v>
      </c>
      <c r="V381" s="6" t="e">
        <f t="shared" si="25"/>
        <v>#DIV/0!</v>
      </c>
      <c r="W381" s="6" t="e">
        <f t="shared" si="26"/>
        <v>#DIV/0!</v>
      </c>
    </row>
    <row r="382" spans="1:23" ht="24.75" customHeight="1">
      <c r="A382" s="5"/>
      <c r="B382" s="5"/>
      <c r="C382" s="5"/>
      <c r="D382" s="5"/>
      <c r="E382" s="30"/>
      <c r="F382" s="5"/>
      <c r="G382" s="5"/>
      <c r="H382" s="5"/>
      <c r="I382" s="5"/>
      <c r="J382" s="5"/>
      <c r="K382" s="5"/>
      <c r="L382" s="5"/>
      <c r="M382" s="5"/>
      <c r="N382" s="13" t="e">
        <f t="shared" si="24"/>
        <v>#DIV/0!</v>
      </c>
      <c r="O382" s="6" t="e">
        <f>LOOKUP(N382,Sheet6!$J$4:$J$11,Sheet6!$B$4:$B$11)*0.15</f>
        <v>#DIV/0!</v>
      </c>
      <c r="P382" s="14" t="e">
        <f>LOOKUP(H382,Sheet6!$J$25:$J$66,Sheet6!$B$25:$B$66)*0.15</f>
        <v>#N/A</v>
      </c>
      <c r="Q382" s="6" t="e">
        <f>LOOKUP(I382,Sheet6!$J$115:$J$156,Sheet6!$B$115:$B$156)*0.2</f>
        <v>#N/A</v>
      </c>
      <c r="R382" s="6" t="e">
        <f>LOOKUP(J382,Sheet6!$D$465:$D$506,Sheet6!$B$465:$B$506)*0.1</f>
        <v>#N/A</v>
      </c>
      <c r="S382" s="6">
        <f>LOOKUP(K382,Sheet6!$J$205:$J$246,Sheet6!$B$205:$B$246)*0.1</f>
        <v>6.2</v>
      </c>
      <c r="T382" s="6" t="e">
        <f>LOOKUP(L382,Sheet6!$F$688:$F$749,Sheet6!$B$688:$B$749)*0.2</f>
        <v>#N/A</v>
      </c>
      <c r="U382" s="6">
        <f>LOOKUP(M382,Sheet6!$D$600:$D$626,Sheet6!$B$600:$B$626)*0.1</f>
        <v>0</v>
      </c>
      <c r="V382" s="6" t="e">
        <f t="shared" si="25"/>
        <v>#DIV/0!</v>
      </c>
      <c r="W382" s="6" t="e">
        <f t="shared" si="26"/>
        <v>#DIV/0!</v>
      </c>
    </row>
    <row r="383" spans="1:23" ht="24.75" customHeight="1">
      <c r="A383" s="5"/>
      <c r="B383" s="5"/>
      <c r="C383" s="5"/>
      <c r="D383" s="5"/>
      <c r="E383" s="30"/>
      <c r="F383" s="5"/>
      <c r="G383" s="5"/>
      <c r="H383" s="5"/>
      <c r="I383" s="5"/>
      <c r="J383" s="5"/>
      <c r="K383" s="5"/>
      <c r="L383" s="5"/>
      <c r="M383" s="5"/>
      <c r="N383" s="13" t="e">
        <f t="shared" si="24"/>
        <v>#DIV/0!</v>
      </c>
      <c r="O383" s="6" t="e">
        <f>LOOKUP(N383,Sheet6!$J$4:$J$11,Sheet6!$B$4:$B$11)*0.15</f>
        <v>#DIV/0!</v>
      </c>
      <c r="P383" s="14" t="e">
        <f>LOOKUP(H383,Sheet6!$J$25:$J$66,Sheet6!$B$25:$B$66)*0.15</f>
        <v>#N/A</v>
      </c>
      <c r="Q383" s="6" t="e">
        <f>LOOKUP(I383,Sheet6!$J$115:$J$156,Sheet6!$B$115:$B$156)*0.2</f>
        <v>#N/A</v>
      </c>
      <c r="R383" s="6" t="e">
        <f>LOOKUP(J383,Sheet6!$D$465:$D$506,Sheet6!$B$465:$B$506)*0.1</f>
        <v>#N/A</v>
      </c>
      <c r="S383" s="6">
        <f>LOOKUP(K383,Sheet6!$J$205:$J$246,Sheet6!$B$205:$B$246)*0.1</f>
        <v>6.2</v>
      </c>
      <c r="T383" s="6" t="e">
        <f>LOOKUP(L383,Sheet6!$F$688:$F$749,Sheet6!$B$688:$B$749)*0.2</f>
        <v>#N/A</v>
      </c>
      <c r="U383" s="6">
        <f>LOOKUP(M383,Sheet6!$D$600:$D$626,Sheet6!$B$600:$B$626)*0.1</f>
        <v>0</v>
      </c>
      <c r="V383" s="6" t="e">
        <f t="shared" si="25"/>
        <v>#DIV/0!</v>
      </c>
      <c r="W383" s="6" t="e">
        <f t="shared" si="26"/>
        <v>#DIV/0!</v>
      </c>
    </row>
    <row r="384" spans="1:23" ht="24.75" customHeight="1">
      <c r="A384" s="5"/>
      <c r="B384" s="5"/>
      <c r="C384" s="5"/>
      <c r="D384" s="5"/>
      <c r="E384" s="30"/>
      <c r="F384" s="5"/>
      <c r="G384" s="5"/>
      <c r="H384" s="5"/>
      <c r="I384" s="5"/>
      <c r="J384" s="5"/>
      <c r="K384" s="5"/>
      <c r="L384" s="5"/>
      <c r="M384" s="5"/>
      <c r="N384" s="13" t="e">
        <f t="shared" si="24"/>
        <v>#DIV/0!</v>
      </c>
      <c r="O384" s="6" t="e">
        <f>LOOKUP(N384,Sheet6!$J$4:$J$11,Sheet6!$B$4:$B$11)*0.15</f>
        <v>#DIV/0!</v>
      </c>
      <c r="P384" s="14" t="e">
        <f>LOOKUP(H384,Sheet6!$J$25:$J$66,Sheet6!$B$25:$B$66)*0.15</f>
        <v>#N/A</v>
      </c>
      <c r="Q384" s="6" t="e">
        <f>LOOKUP(I384,Sheet6!$J$115:$J$156,Sheet6!$B$115:$B$156)*0.2</f>
        <v>#N/A</v>
      </c>
      <c r="R384" s="6" t="e">
        <f>LOOKUP(J384,Sheet6!$D$465:$D$506,Sheet6!$B$465:$B$506)*0.1</f>
        <v>#N/A</v>
      </c>
      <c r="S384" s="6">
        <f>LOOKUP(K384,Sheet6!$J$205:$J$246,Sheet6!$B$205:$B$246)*0.1</f>
        <v>6.2</v>
      </c>
      <c r="T384" s="6" t="e">
        <f>LOOKUP(L384,Sheet6!$F$688:$F$749,Sheet6!$B$688:$B$749)*0.2</f>
        <v>#N/A</v>
      </c>
      <c r="U384" s="6">
        <f>LOOKUP(M384,Sheet6!$D$600:$D$626,Sheet6!$B$600:$B$626)*0.1</f>
        <v>0</v>
      </c>
      <c r="V384" s="6" t="e">
        <f t="shared" si="25"/>
        <v>#DIV/0!</v>
      </c>
      <c r="W384" s="6" t="e">
        <f t="shared" si="26"/>
        <v>#DIV/0!</v>
      </c>
    </row>
    <row r="385" spans="1:23" ht="24.75" customHeight="1">
      <c r="A385" s="5"/>
      <c r="B385" s="5"/>
      <c r="C385" s="5"/>
      <c r="D385" s="5"/>
      <c r="E385" s="30"/>
      <c r="F385" s="5"/>
      <c r="G385" s="5"/>
      <c r="H385" s="5"/>
      <c r="I385" s="5"/>
      <c r="J385" s="5"/>
      <c r="K385" s="5"/>
      <c r="L385" s="5"/>
      <c r="M385" s="5"/>
      <c r="N385" s="13" t="e">
        <f t="shared" si="24"/>
        <v>#DIV/0!</v>
      </c>
      <c r="O385" s="6" t="e">
        <f>LOOKUP(N385,Sheet6!$J$4:$J$11,Sheet6!$B$4:$B$11)*0.15</f>
        <v>#DIV/0!</v>
      </c>
      <c r="P385" s="14" t="e">
        <f>LOOKUP(H385,Sheet6!$J$25:$J$66,Sheet6!$B$25:$B$66)*0.15</f>
        <v>#N/A</v>
      </c>
      <c r="Q385" s="6" t="e">
        <f>LOOKUP(I385,Sheet6!$J$115:$J$156,Sheet6!$B$115:$B$156)*0.2</f>
        <v>#N/A</v>
      </c>
      <c r="R385" s="6" t="e">
        <f>LOOKUP(J385,Sheet6!$D$465:$D$506,Sheet6!$B$465:$B$506)*0.1</f>
        <v>#N/A</v>
      </c>
      <c r="S385" s="6">
        <f>LOOKUP(K385,Sheet6!$J$205:$J$246,Sheet6!$B$205:$B$246)*0.1</f>
        <v>6.2</v>
      </c>
      <c r="T385" s="6" t="e">
        <f>LOOKUP(L385,Sheet6!$F$688:$F$749,Sheet6!$B$688:$B$749)*0.2</f>
        <v>#N/A</v>
      </c>
      <c r="U385" s="6">
        <f>LOOKUP(M385,Sheet6!$D$600:$D$626,Sheet6!$B$600:$B$626)*0.1</f>
        <v>0</v>
      </c>
      <c r="V385" s="6" t="e">
        <f t="shared" si="25"/>
        <v>#DIV/0!</v>
      </c>
      <c r="W385" s="6" t="e">
        <f t="shared" si="26"/>
        <v>#DIV/0!</v>
      </c>
    </row>
    <row r="386" spans="1:23" ht="24.75" customHeight="1">
      <c r="A386" s="5"/>
      <c r="B386" s="5"/>
      <c r="C386" s="5"/>
      <c r="D386" s="5"/>
      <c r="E386" s="30"/>
      <c r="F386" s="5"/>
      <c r="G386" s="5"/>
      <c r="H386" s="5"/>
      <c r="I386" s="5"/>
      <c r="J386" s="5"/>
      <c r="K386" s="5"/>
      <c r="L386" s="5"/>
      <c r="M386" s="5"/>
      <c r="N386" s="13" t="e">
        <f t="shared" si="24"/>
        <v>#DIV/0!</v>
      </c>
      <c r="O386" s="6" t="e">
        <f>LOOKUP(N386,Sheet6!$J$4:$J$11,Sheet6!$B$4:$B$11)*0.15</f>
        <v>#DIV/0!</v>
      </c>
      <c r="P386" s="14" t="e">
        <f>LOOKUP(H386,Sheet6!$J$25:$J$66,Sheet6!$B$25:$B$66)*0.15</f>
        <v>#N/A</v>
      </c>
      <c r="Q386" s="6" t="e">
        <f>LOOKUP(I386,Sheet6!$J$115:$J$156,Sheet6!$B$115:$B$156)*0.2</f>
        <v>#N/A</v>
      </c>
      <c r="R386" s="6" t="e">
        <f>LOOKUP(J386,Sheet6!$D$465:$D$506,Sheet6!$B$465:$B$506)*0.1</f>
        <v>#N/A</v>
      </c>
      <c r="S386" s="6">
        <f>LOOKUP(K386,Sheet6!$J$205:$J$246,Sheet6!$B$205:$B$246)*0.1</f>
        <v>6.2</v>
      </c>
      <c r="T386" s="6" t="e">
        <f>LOOKUP(L386,Sheet6!$F$688:$F$749,Sheet6!$B$688:$B$749)*0.2</f>
        <v>#N/A</v>
      </c>
      <c r="U386" s="6">
        <f>LOOKUP(M386,Sheet6!$D$600:$D$626,Sheet6!$B$600:$B$626)*0.1</f>
        <v>0</v>
      </c>
      <c r="V386" s="6" t="e">
        <f t="shared" si="25"/>
        <v>#DIV/0!</v>
      </c>
      <c r="W386" s="6" t="e">
        <f t="shared" si="26"/>
        <v>#DIV/0!</v>
      </c>
    </row>
    <row r="387" spans="1:23" ht="24.75" customHeight="1">
      <c r="A387" s="5"/>
      <c r="B387" s="5"/>
      <c r="C387" s="5"/>
      <c r="D387" s="5"/>
      <c r="E387" s="30"/>
      <c r="F387" s="5"/>
      <c r="G387" s="5"/>
      <c r="H387" s="5"/>
      <c r="I387" s="5"/>
      <c r="J387" s="5"/>
      <c r="K387" s="5"/>
      <c r="L387" s="5"/>
      <c r="M387" s="5"/>
      <c r="N387" s="13" t="e">
        <f t="shared" ref="N387:N450" si="27">G387/(F387*F387)*10000</f>
        <v>#DIV/0!</v>
      </c>
      <c r="O387" s="6" t="e">
        <f>LOOKUP(N387,Sheet6!$J$4:$J$11,Sheet6!$B$4:$B$11)*0.15</f>
        <v>#DIV/0!</v>
      </c>
      <c r="P387" s="14" t="e">
        <f>LOOKUP(H387,Sheet6!$J$25:$J$66,Sheet6!$B$25:$B$66)*0.15</f>
        <v>#N/A</v>
      </c>
      <c r="Q387" s="6" t="e">
        <f>LOOKUP(I387,Sheet6!$J$115:$J$156,Sheet6!$B$115:$B$156)*0.2</f>
        <v>#N/A</v>
      </c>
      <c r="R387" s="6" t="e">
        <f>LOOKUP(J387,Sheet6!$D$465:$D$506,Sheet6!$B$465:$B$506)*0.1</f>
        <v>#N/A</v>
      </c>
      <c r="S387" s="6">
        <f>LOOKUP(K387,Sheet6!$J$205:$J$246,Sheet6!$B$205:$B$246)*0.1</f>
        <v>6.2</v>
      </c>
      <c r="T387" s="6" t="e">
        <f>LOOKUP(L387,Sheet6!$F$688:$F$749,Sheet6!$B$688:$B$749)*0.2</f>
        <v>#N/A</v>
      </c>
      <c r="U387" s="6">
        <f>LOOKUP(M387,Sheet6!$D$600:$D$626,Sheet6!$B$600:$B$626)*0.1</f>
        <v>0</v>
      </c>
      <c r="V387" s="6" t="e">
        <f t="shared" ref="V387:V450" si="28">O387+P387+Q387+R387+S387+T387+U387</f>
        <v>#DIV/0!</v>
      </c>
      <c r="W387" s="6" t="e">
        <f t="shared" ref="W387:W450" si="29">IF(V387&lt;60,"不及格",IF(V387&lt;80,"及格",IF(V387&lt;90,"良好",IF(V387&lt;121,"优秀"))))</f>
        <v>#DIV/0!</v>
      </c>
    </row>
    <row r="388" spans="1:23" ht="24.75" customHeight="1">
      <c r="A388" s="5"/>
      <c r="B388" s="5"/>
      <c r="C388" s="5"/>
      <c r="D388" s="5"/>
      <c r="E388" s="30"/>
      <c r="F388" s="5"/>
      <c r="G388" s="5"/>
      <c r="H388" s="5"/>
      <c r="I388" s="5"/>
      <c r="J388" s="5"/>
      <c r="K388" s="5"/>
      <c r="L388" s="5"/>
      <c r="M388" s="5"/>
      <c r="N388" s="13" t="e">
        <f t="shared" si="27"/>
        <v>#DIV/0!</v>
      </c>
      <c r="O388" s="6" t="e">
        <f>LOOKUP(N388,Sheet6!$J$4:$J$11,Sheet6!$B$4:$B$11)*0.15</f>
        <v>#DIV/0!</v>
      </c>
      <c r="P388" s="14" t="e">
        <f>LOOKUP(H388,Sheet6!$J$25:$J$66,Sheet6!$B$25:$B$66)*0.15</f>
        <v>#N/A</v>
      </c>
      <c r="Q388" s="6" t="e">
        <f>LOOKUP(I388,Sheet6!$J$115:$J$156,Sheet6!$B$115:$B$156)*0.2</f>
        <v>#N/A</v>
      </c>
      <c r="R388" s="6" t="e">
        <f>LOOKUP(J388,Sheet6!$D$465:$D$506,Sheet6!$B$465:$B$506)*0.1</f>
        <v>#N/A</v>
      </c>
      <c r="S388" s="6">
        <f>LOOKUP(K388,Sheet6!$J$205:$J$246,Sheet6!$B$205:$B$246)*0.1</f>
        <v>6.2</v>
      </c>
      <c r="T388" s="6" t="e">
        <f>LOOKUP(L388,Sheet6!$F$688:$F$749,Sheet6!$B$688:$B$749)*0.2</f>
        <v>#N/A</v>
      </c>
      <c r="U388" s="6">
        <f>LOOKUP(M388,Sheet6!$D$600:$D$626,Sheet6!$B$600:$B$626)*0.1</f>
        <v>0</v>
      </c>
      <c r="V388" s="6" t="e">
        <f t="shared" si="28"/>
        <v>#DIV/0!</v>
      </c>
      <c r="W388" s="6" t="e">
        <f t="shared" si="29"/>
        <v>#DIV/0!</v>
      </c>
    </row>
    <row r="389" spans="1:23" ht="24.75" customHeight="1">
      <c r="A389" s="5"/>
      <c r="B389" s="5"/>
      <c r="C389" s="5"/>
      <c r="D389" s="5"/>
      <c r="E389" s="30"/>
      <c r="F389" s="5"/>
      <c r="G389" s="5"/>
      <c r="H389" s="5"/>
      <c r="I389" s="5"/>
      <c r="J389" s="5"/>
      <c r="K389" s="5"/>
      <c r="L389" s="5"/>
      <c r="M389" s="5"/>
      <c r="N389" s="13" t="e">
        <f t="shared" si="27"/>
        <v>#DIV/0!</v>
      </c>
      <c r="O389" s="6" t="e">
        <f>LOOKUP(N389,Sheet6!$J$4:$J$11,Sheet6!$B$4:$B$11)*0.15</f>
        <v>#DIV/0!</v>
      </c>
      <c r="P389" s="14" t="e">
        <f>LOOKUP(H389,Sheet6!$J$25:$J$66,Sheet6!$B$25:$B$66)*0.15</f>
        <v>#N/A</v>
      </c>
      <c r="Q389" s="6" t="e">
        <f>LOOKUP(I389,Sheet6!$J$115:$J$156,Sheet6!$B$115:$B$156)*0.2</f>
        <v>#N/A</v>
      </c>
      <c r="R389" s="6" t="e">
        <f>LOOKUP(J389,Sheet6!$D$465:$D$506,Sheet6!$B$465:$B$506)*0.1</f>
        <v>#N/A</v>
      </c>
      <c r="S389" s="6">
        <f>LOOKUP(K389,Sheet6!$J$205:$J$246,Sheet6!$B$205:$B$246)*0.1</f>
        <v>6.2</v>
      </c>
      <c r="T389" s="6" t="e">
        <f>LOOKUP(L389,Sheet6!$F$688:$F$749,Sheet6!$B$688:$B$749)*0.2</f>
        <v>#N/A</v>
      </c>
      <c r="U389" s="6">
        <f>LOOKUP(M389,Sheet6!$D$600:$D$626,Sheet6!$B$600:$B$626)*0.1</f>
        <v>0</v>
      </c>
      <c r="V389" s="6" t="e">
        <f t="shared" si="28"/>
        <v>#DIV/0!</v>
      </c>
      <c r="W389" s="6" t="e">
        <f t="shared" si="29"/>
        <v>#DIV/0!</v>
      </c>
    </row>
    <row r="390" spans="1:23" ht="24.75" customHeight="1">
      <c r="A390" s="5"/>
      <c r="B390" s="5"/>
      <c r="C390" s="5"/>
      <c r="D390" s="5"/>
      <c r="E390" s="30"/>
      <c r="F390" s="5"/>
      <c r="G390" s="5"/>
      <c r="H390" s="5"/>
      <c r="I390" s="5"/>
      <c r="J390" s="5"/>
      <c r="K390" s="5"/>
      <c r="L390" s="5"/>
      <c r="M390" s="5"/>
      <c r="N390" s="13" t="e">
        <f t="shared" si="27"/>
        <v>#DIV/0!</v>
      </c>
      <c r="O390" s="6" t="e">
        <f>LOOKUP(N390,Sheet6!$J$4:$J$11,Sheet6!$B$4:$B$11)*0.15</f>
        <v>#DIV/0!</v>
      </c>
      <c r="P390" s="14" t="e">
        <f>LOOKUP(H390,Sheet6!$J$25:$J$66,Sheet6!$B$25:$B$66)*0.15</f>
        <v>#N/A</v>
      </c>
      <c r="Q390" s="6" t="e">
        <f>LOOKUP(I390,Sheet6!$J$115:$J$156,Sheet6!$B$115:$B$156)*0.2</f>
        <v>#N/A</v>
      </c>
      <c r="R390" s="6" t="e">
        <f>LOOKUP(J390,Sheet6!$D$465:$D$506,Sheet6!$B$465:$B$506)*0.1</f>
        <v>#N/A</v>
      </c>
      <c r="S390" s="6">
        <f>LOOKUP(K390,Sheet6!$J$205:$J$246,Sheet6!$B$205:$B$246)*0.1</f>
        <v>6.2</v>
      </c>
      <c r="T390" s="6" t="e">
        <f>LOOKUP(L390,Sheet6!$F$688:$F$749,Sheet6!$B$688:$B$749)*0.2</f>
        <v>#N/A</v>
      </c>
      <c r="U390" s="6">
        <f>LOOKUP(M390,Sheet6!$D$600:$D$626,Sheet6!$B$600:$B$626)*0.1</f>
        <v>0</v>
      </c>
      <c r="V390" s="6" t="e">
        <f t="shared" si="28"/>
        <v>#DIV/0!</v>
      </c>
      <c r="W390" s="6" t="e">
        <f t="shared" si="29"/>
        <v>#DIV/0!</v>
      </c>
    </row>
    <row r="391" spans="1:23" ht="24.75" customHeight="1">
      <c r="A391" s="5"/>
      <c r="B391" s="5"/>
      <c r="C391" s="5"/>
      <c r="D391" s="5"/>
      <c r="E391" s="30"/>
      <c r="F391" s="5"/>
      <c r="G391" s="5"/>
      <c r="H391" s="5"/>
      <c r="I391" s="5"/>
      <c r="J391" s="5"/>
      <c r="K391" s="5"/>
      <c r="L391" s="5"/>
      <c r="M391" s="5"/>
      <c r="N391" s="13" t="e">
        <f t="shared" si="27"/>
        <v>#DIV/0!</v>
      </c>
      <c r="O391" s="6" t="e">
        <f>LOOKUP(N391,Sheet6!$J$4:$J$11,Sheet6!$B$4:$B$11)*0.15</f>
        <v>#DIV/0!</v>
      </c>
      <c r="P391" s="14" t="e">
        <f>LOOKUP(H391,Sheet6!$J$25:$J$66,Sheet6!$B$25:$B$66)*0.15</f>
        <v>#N/A</v>
      </c>
      <c r="Q391" s="6" t="e">
        <f>LOOKUP(I391,Sheet6!$J$115:$J$156,Sheet6!$B$115:$B$156)*0.2</f>
        <v>#N/A</v>
      </c>
      <c r="R391" s="6" t="e">
        <f>LOOKUP(J391,Sheet6!$D$465:$D$506,Sheet6!$B$465:$B$506)*0.1</f>
        <v>#N/A</v>
      </c>
      <c r="S391" s="6">
        <f>LOOKUP(K391,Sheet6!$J$205:$J$246,Sheet6!$B$205:$B$246)*0.1</f>
        <v>6.2</v>
      </c>
      <c r="T391" s="6" t="e">
        <f>LOOKUP(L391,Sheet6!$F$688:$F$749,Sheet6!$B$688:$B$749)*0.2</f>
        <v>#N/A</v>
      </c>
      <c r="U391" s="6">
        <f>LOOKUP(M391,Sheet6!$D$600:$D$626,Sheet6!$B$600:$B$626)*0.1</f>
        <v>0</v>
      </c>
      <c r="V391" s="6" t="e">
        <f t="shared" si="28"/>
        <v>#DIV/0!</v>
      </c>
      <c r="W391" s="6" t="e">
        <f t="shared" si="29"/>
        <v>#DIV/0!</v>
      </c>
    </row>
    <row r="392" spans="1:23" ht="24.75" customHeight="1">
      <c r="A392" s="5"/>
      <c r="B392" s="5"/>
      <c r="C392" s="5"/>
      <c r="D392" s="5"/>
      <c r="E392" s="30"/>
      <c r="F392" s="5"/>
      <c r="G392" s="5"/>
      <c r="H392" s="5"/>
      <c r="I392" s="5"/>
      <c r="J392" s="5"/>
      <c r="K392" s="5"/>
      <c r="L392" s="5"/>
      <c r="M392" s="5"/>
      <c r="N392" s="13" t="e">
        <f t="shared" si="27"/>
        <v>#DIV/0!</v>
      </c>
      <c r="O392" s="6" t="e">
        <f>LOOKUP(N392,Sheet6!$J$4:$J$11,Sheet6!$B$4:$B$11)*0.15</f>
        <v>#DIV/0!</v>
      </c>
      <c r="P392" s="14" t="e">
        <f>LOOKUP(H392,Sheet6!$J$25:$J$66,Sheet6!$B$25:$B$66)*0.15</f>
        <v>#N/A</v>
      </c>
      <c r="Q392" s="6" t="e">
        <f>LOOKUP(I392,Sheet6!$J$115:$J$156,Sheet6!$B$115:$B$156)*0.2</f>
        <v>#N/A</v>
      </c>
      <c r="R392" s="6" t="e">
        <f>LOOKUP(J392,Sheet6!$D$465:$D$506,Sheet6!$B$465:$B$506)*0.1</f>
        <v>#N/A</v>
      </c>
      <c r="S392" s="6">
        <f>LOOKUP(K392,Sheet6!$J$205:$J$246,Sheet6!$B$205:$B$246)*0.1</f>
        <v>6.2</v>
      </c>
      <c r="T392" s="6" t="e">
        <f>LOOKUP(L392,Sheet6!$F$688:$F$749,Sheet6!$B$688:$B$749)*0.2</f>
        <v>#N/A</v>
      </c>
      <c r="U392" s="6">
        <f>LOOKUP(M392,Sheet6!$D$600:$D$626,Sheet6!$B$600:$B$626)*0.1</f>
        <v>0</v>
      </c>
      <c r="V392" s="6" t="e">
        <f t="shared" si="28"/>
        <v>#DIV/0!</v>
      </c>
      <c r="W392" s="6" t="e">
        <f t="shared" si="29"/>
        <v>#DIV/0!</v>
      </c>
    </row>
    <row r="393" spans="1:23" ht="24.75" customHeight="1">
      <c r="A393" s="5"/>
      <c r="B393" s="5"/>
      <c r="C393" s="5"/>
      <c r="D393" s="5"/>
      <c r="E393" s="30"/>
      <c r="F393" s="5"/>
      <c r="G393" s="5"/>
      <c r="H393" s="5"/>
      <c r="I393" s="5"/>
      <c r="J393" s="5"/>
      <c r="K393" s="5"/>
      <c r="L393" s="5"/>
      <c r="M393" s="5"/>
      <c r="N393" s="13" t="e">
        <f t="shared" si="27"/>
        <v>#DIV/0!</v>
      </c>
      <c r="O393" s="6" t="e">
        <f>LOOKUP(N393,Sheet6!$J$4:$J$11,Sheet6!$B$4:$B$11)*0.15</f>
        <v>#DIV/0!</v>
      </c>
      <c r="P393" s="14" t="e">
        <f>LOOKUP(H393,Sheet6!$J$25:$J$66,Sheet6!$B$25:$B$66)*0.15</f>
        <v>#N/A</v>
      </c>
      <c r="Q393" s="6" t="e">
        <f>LOOKUP(I393,Sheet6!$J$115:$J$156,Sheet6!$B$115:$B$156)*0.2</f>
        <v>#N/A</v>
      </c>
      <c r="R393" s="6" t="e">
        <f>LOOKUP(J393,Sheet6!$D$465:$D$506,Sheet6!$B$465:$B$506)*0.1</f>
        <v>#N/A</v>
      </c>
      <c r="S393" s="6">
        <f>LOOKUP(K393,Sheet6!$J$205:$J$246,Sheet6!$B$205:$B$246)*0.1</f>
        <v>6.2</v>
      </c>
      <c r="T393" s="6" t="e">
        <f>LOOKUP(L393,Sheet6!$F$688:$F$749,Sheet6!$B$688:$B$749)*0.2</f>
        <v>#N/A</v>
      </c>
      <c r="U393" s="6">
        <f>LOOKUP(M393,Sheet6!$D$600:$D$626,Sheet6!$B$600:$B$626)*0.1</f>
        <v>0</v>
      </c>
      <c r="V393" s="6" t="e">
        <f t="shared" si="28"/>
        <v>#DIV/0!</v>
      </c>
      <c r="W393" s="6" t="e">
        <f t="shared" si="29"/>
        <v>#DIV/0!</v>
      </c>
    </row>
    <row r="394" spans="1:23" ht="24.75" customHeight="1">
      <c r="A394" s="5"/>
      <c r="B394" s="5"/>
      <c r="C394" s="5"/>
      <c r="D394" s="5"/>
      <c r="E394" s="30"/>
      <c r="F394" s="5"/>
      <c r="G394" s="5"/>
      <c r="H394" s="5"/>
      <c r="I394" s="5"/>
      <c r="J394" s="5"/>
      <c r="K394" s="5"/>
      <c r="L394" s="5"/>
      <c r="M394" s="5"/>
      <c r="N394" s="13" t="e">
        <f t="shared" si="27"/>
        <v>#DIV/0!</v>
      </c>
      <c r="O394" s="6" t="e">
        <f>LOOKUP(N394,Sheet6!$J$4:$J$11,Sheet6!$B$4:$B$11)*0.15</f>
        <v>#DIV/0!</v>
      </c>
      <c r="P394" s="14" t="e">
        <f>LOOKUP(H394,Sheet6!$J$25:$J$66,Sheet6!$B$25:$B$66)*0.15</f>
        <v>#N/A</v>
      </c>
      <c r="Q394" s="6" t="e">
        <f>LOOKUP(I394,Sheet6!$J$115:$J$156,Sheet6!$B$115:$B$156)*0.2</f>
        <v>#N/A</v>
      </c>
      <c r="R394" s="6" t="e">
        <f>LOOKUP(J394,Sheet6!$D$465:$D$506,Sheet6!$B$465:$B$506)*0.1</f>
        <v>#N/A</v>
      </c>
      <c r="S394" s="6">
        <f>LOOKUP(K394,Sheet6!$J$205:$J$246,Sheet6!$B$205:$B$246)*0.1</f>
        <v>6.2</v>
      </c>
      <c r="T394" s="6" t="e">
        <f>LOOKUP(L394,Sheet6!$F$688:$F$749,Sheet6!$B$688:$B$749)*0.2</f>
        <v>#N/A</v>
      </c>
      <c r="U394" s="6">
        <f>LOOKUP(M394,Sheet6!$D$600:$D$626,Sheet6!$B$600:$B$626)*0.1</f>
        <v>0</v>
      </c>
      <c r="V394" s="6" t="e">
        <f t="shared" si="28"/>
        <v>#DIV/0!</v>
      </c>
      <c r="W394" s="6" t="e">
        <f t="shared" si="29"/>
        <v>#DIV/0!</v>
      </c>
    </row>
    <row r="395" spans="1:23" ht="24.75" customHeight="1">
      <c r="A395" s="5"/>
      <c r="B395" s="5"/>
      <c r="C395" s="5"/>
      <c r="D395" s="5"/>
      <c r="E395" s="30"/>
      <c r="F395" s="5"/>
      <c r="G395" s="5"/>
      <c r="H395" s="5"/>
      <c r="I395" s="5"/>
      <c r="J395" s="5"/>
      <c r="K395" s="5"/>
      <c r="L395" s="5"/>
      <c r="M395" s="5"/>
      <c r="N395" s="13" t="e">
        <f t="shared" si="27"/>
        <v>#DIV/0!</v>
      </c>
      <c r="O395" s="6" t="e">
        <f>LOOKUP(N395,Sheet6!$J$4:$J$11,Sheet6!$B$4:$B$11)*0.15</f>
        <v>#DIV/0!</v>
      </c>
      <c r="P395" s="14" t="e">
        <f>LOOKUP(H395,Sheet6!$J$25:$J$66,Sheet6!$B$25:$B$66)*0.15</f>
        <v>#N/A</v>
      </c>
      <c r="Q395" s="6" t="e">
        <f>LOOKUP(I395,Sheet6!$J$115:$J$156,Sheet6!$B$115:$B$156)*0.2</f>
        <v>#N/A</v>
      </c>
      <c r="R395" s="6" t="e">
        <f>LOOKUP(J395,Sheet6!$D$465:$D$506,Sheet6!$B$465:$B$506)*0.1</f>
        <v>#N/A</v>
      </c>
      <c r="S395" s="6">
        <f>LOOKUP(K395,Sheet6!$J$205:$J$246,Sheet6!$B$205:$B$246)*0.1</f>
        <v>6.2</v>
      </c>
      <c r="T395" s="6" t="e">
        <f>LOOKUP(L395,Sheet6!$F$688:$F$749,Sheet6!$B$688:$B$749)*0.2</f>
        <v>#N/A</v>
      </c>
      <c r="U395" s="6">
        <f>LOOKUP(M395,Sheet6!$D$600:$D$626,Sheet6!$B$600:$B$626)*0.1</f>
        <v>0</v>
      </c>
      <c r="V395" s="6" t="e">
        <f t="shared" si="28"/>
        <v>#DIV/0!</v>
      </c>
      <c r="W395" s="6" t="e">
        <f t="shared" si="29"/>
        <v>#DIV/0!</v>
      </c>
    </row>
    <row r="396" spans="1:23" ht="24.75" customHeight="1">
      <c r="A396" s="5"/>
      <c r="B396" s="5"/>
      <c r="C396" s="5"/>
      <c r="D396" s="5"/>
      <c r="E396" s="30"/>
      <c r="F396" s="5"/>
      <c r="G396" s="5"/>
      <c r="H396" s="5"/>
      <c r="I396" s="5"/>
      <c r="J396" s="5"/>
      <c r="K396" s="5"/>
      <c r="L396" s="5"/>
      <c r="M396" s="5"/>
      <c r="N396" s="13" t="e">
        <f t="shared" si="27"/>
        <v>#DIV/0!</v>
      </c>
      <c r="O396" s="6" t="e">
        <f>LOOKUP(N396,Sheet6!$J$4:$J$11,Sheet6!$B$4:$B$11)*0.15</f>
        <v>#DIV/0!</v>
      </c>
      <c r="P396" s="14" t="e">
        <f>LOOKUP(H396,Sheet6!$J$25:$J$66,Sheet6!$B$25:$B$66)*0.15</f>
        <v>#N/A</v>
      </c>
      <c r="Q396" s="6" t="e">
        <f>LOOKUP(I396,Sheet6!$J$115:$J$156,Sheet6!$B$115:$B$156)*0.2</f>
        <v>#N/A</v>
      </c>
      <c r="R396" s="6" t="e">
        <f>LOOKUP(J396,Sheet6!$D$465:$D$506,Sheet6!$B$465:$B$506)*0.1</f>
        <v>#N/A</v>
      </c>
      <c r="S396" s="6">
        <f>LOOKUP(K396,Sheet6!$J$205:$J$246,Sheet6!$B$205:$B$246)*0.1</f>
        <v>6.2</v>
      </c>
      <c r="T396" s="6" t="e">
        <f>LOOKUP(L396,Sheet6!$F$688:$F$749,Sheet6!$B$688:$B$749)*0.2</f>
        <v>#N/A</v>
      </c>
      <c r="U396" s="6">
        <f>LOOKUP(M396,Sheet6!$D$600:$D$626,Sheet6!$B$600:$B$626)*0.1</f>
        <v>0</v>
      </c>
      <c r="V396" s="6" t="e">
        <f t="shared" si="28"/>
        <v>#DIV/0!</v>
      </c>
      <c r="W396" s="6" t="e">
        <f t="shared" si="29"/>
        <v>#DIV/0!</v>
      </c>
    </row>
    <row r="397" spans="1:23" ht="24.75" customHeight="1">
      <c r="A397" s="5"/>
      <c r="B397" s="5"/>
      <c r="C397" s="5"/>
      <c r="D397" s="5"/>
      <c r="E397" s="30"/>
      <c r="F397" s="5"/>
      <c r="G397" s="5"/>
      <c r="H397" s="5"/>
      <c r="I397" s="5"/>
      <c r="J397" s="5"/>
      <c r="K397" s="5"/>
      <c r="L397" s="5"/>
      <c r="M397" s="5"/>
      <c r="N397" s="13" t="e">
        <f t="shared" si="27"/>
        <v>#DIV/0!</v>
      </c>
      <c r="O397" s="6" t="e">
        <f>LOOKUP(N397,Sheet6!$J$4:$J$11,Sheet6!$B$4:$B$11)*0.15</f>
        <v>#DIV/0!</v>
      </c>
      <c r="P397" s="14" t="e">
        <f>LOOKUP(H397,Sheet6!$J$25:$J$66,Sheet6!$B$25:$B$66)*0.15</f>
        <v>#N/A</v>
      </c>
      <c r="Q397" s="6" t="e">
        <f>LOOKUP(I397,Sheet6!$J$115:$J$156,Sheet6!$B$115:$B$156)*0.2</f>
        <v>#N/A</v>
      </c>
      <c r="R397" s="6" t="e">
        <f>LOOKUP(J397,Sheet6!$D$465:$D$506,Sheet6!$B$465:$B$506)*0.1</f>
        <v>#N/A</v>
      </c>
      <c r="S397" s="6">
        <f>LOOKUP(K397,Sheet6!$J$205:$J$246,Sheet6!$B$205:$B$246)*0.1</f>
        <v>6.2</v>
      </c>
      <c r="T397" s="6" t="e">
        <f>LOOKUP(L397,Sheet6!$F$688:$F$749,Sheet6!$B$688:$B$749)*0.2</f>
        <v>#N/A</v>
      </c>
      <c r="U397" s="6">
        <f>LOOKUP(M397,Sheet6!$D$600:$D$626,Sheet6!$B$600:$B$626)*0.1</f>
        <v>0</v>
      </c>
      <c r="V397" s="6" t="e">
        <f t="shared" si="28"/>
        <v>#DIV/0!</v>
      </c>
      <c r="W397" s="6" t="e">
        <f t="shared" si="29"/>
        <v>#DIV/0!</v>
      </c>
    </row>
    <row r="398" spans="1:23" ht="24.75" customHeight="1">
      <c r="A398" s="5"/>
      <c r="B398" s="5"/>
      <c r="C398" s="5"/>
      <c r="D398" s="5"/>
      <c r="E398" s="30"/>
      <c r="F398" s="5"/>
      <c r="G398" s="5"/>
      <c r="H398" s="5"/>
      <c r="I398" s="5"/>
      <c r="J398" s="5"/>
      <c r="K398" s="5"/>
      <c r="L398" s="5"/>
      <c r="M398" s="5"/>
      <c r="N398" s="13" t="e">
        <f t="shared" si="27"/>
        <v>#DIV/0!</v>
      </c>
      <c r="O398" s="6" t="e">
        <f>LOOKUP(N398,Sheet6!$J$4:$J$11,Sheet6!$B$4:$B$11)*0.15</f>
        <v>#DIV/0!</v>
      </c>
      <c r="P398" s="14" t="e">
        <f>LOOKUP(H398,Sheet6!$J$25:$J$66,Sheet6!$B$25:$B$66)*0.15</f>
        <v>#N/A</v>
      </c>
      <c r="Q398" s="6" t="e">
        <f>LOOKUP(I398,Sheet6!$J$115:$J$156,Sheet6!$B$115:$B$156)*0.2</f>
        <v>#N/A</v>
      </c>
      <c r="R398" s="6" t="e">
        <f>LOOKUP(J398,Sheet6!$D$465:$D$506,Sheet6!$B$465:$B$506)*0.1</f>
        <v>#N/A</v>
      </c>
      <c r="S398" s="6">
        <f>LOOKUP(K398,Sheet6!$J$205:$J$246,Sheet6!$B$205:$B$246)*0.1</f>
        <v>6.2</v>
      </c>
      <c r="T398" s="6" t="e">
        <f>LOOKUP(L398,Sheet6!$F$688:$F$749,Sheet6!$B$688:$B$749)*0.2</f>
        <v>#N/A</v>
      </c>
      <c r="U398" s="6">
        <f>LOOKUP(M398,Sheet6!$D$600:$D$626,Sheet6!$B$600:$B$626)*0.1</f>
        <v>0</v>
      </c>
      <c r="V398" s="6" t="e">
        <f t="shared" si="28"/>
        <v>#DIV/0!</v>
      </c>
      <c r="W398" s="6" t="e">
        <f t="shared" si="29"/>
        <v>#DIV/0!</v>
      </c>
    </row>
    <row r="399" spans="1:23" ht="24.75" customHeight="1">
      <c r="A399" s="5"/>
      <c r="B399" s="5"/>
      <c r="C399" s="5"/>
      <c r="D399" s="5"/>
      <c r="E399" s="30"/>
      <c r="F399" s="5"/>
      <c r="G399" s="5"/>
      <c r="H399" s="5"/>
      <c r="I399" s="5"/>
      <c r="J399" s="5"/>
      <c r="K399" s="5"/>
      <c r="L399" s="5"/>
      <c r="M399" s="5"/>
      <c r="N399" s="13" t="e">
        <f t="shared" si="27"/>
        <v>#DIV/0!</v>
      </c>
      <c r="O399" s="6" t="e">
        <f>LOOKUP(N399,Sheet6!$J$4:$J$11,Sheet6!$B$4:$B$11)*0.15</f>
        <v>#DIV/0!</v>
      </c>
      <c r="P399" s="14" t="e">
        <f>LOOKUP(H399,Sheet6!$J$25:$J$66,Sheet6!$B$25:$B$66)*0.15</f>
        <v>#N/A</v>
      </c>
      <c r="Q399" s="6" t="e">
        <f>LOOKUP(I399,Sheet6!$J$115:$J$156,Sheet6!$B$115:$B$156)*0.2</f>
        <v>#N/A</v>
      </c>
      <c r="R399" s="6" t="e">
        <f>LOOKUP(J399,Sheet6!$D$465:$D$506,Sheet6!$B$465:$B$506)*0.1</f>
        <v>#N/A</v>
      </c>
      <c r="S399" s="6">
        <f>LOOKUP(K399,Sheet6!$J$205:$J$246,Sheet6!$B$205:$B$246)*0.1</f>
        <v>6.2</v>
      </c>
      <c r="T399" s="6" t="e">
        <f>LOOKUP(L399,Sheet6!$F$688:$F$749,Sheet6!$B$688:$B$749)*0.2</f>
        <v>#N/A</v>
      </c>
      <c r="U399" s="6">
        <f>LOOKUP(M399,Sheet6!$D$600:$D$626,Sheet6!$B$600:$B$626)*0.1</f>
        <v>0</v>
      </c>
      <c r="V399" s="6" t="e">
        <f t="shared" si="28"/>
        <v>#DIV/0!</v>
      </c>
      <c r="W399" s="6" t="e">
        <f t="shared" si="29"/>
        <v>#DIV/0!</v>
      </c>
    </row>
    <row r="400" spans="1:23" ht="24.75" customHeight="1">
      <c r="A400" s="5"/>
      <c r="B400" s="5"/>
      <c r="C400" s="5"/>
      <c r="D400" s="5"/>
      <c r="E400" s="30"/>
      <c r="F400" s="5"/>
      <c r="G400" s="5"/>
      <c r="H400" s="5"/>
      <c r="I400" s="5"/>
      <c r="J400" s="5"/>
      <c r="K400" s="5"/>
      <c r="L400" s="5"/>
      <c r="M400" s="5"/>
      <c r="N400" s="13" t="e">
        <f t="shared" si="27"/>
        <v>#DIV/0!</v>
      </c>
      <c r="O400" s="6" t="e">
        <f>LOOKUP(N400,Sheet6!$J$4:$J$11,Sheet6!$B$4:$B$11)*0.15</f>
        <v>#DIV/0!</v>
      </c>
      <c r="P400" s="14" t="e">
        <f>LOOKUP(H400,Sheet6!$J$25:$J$66,Sheet6!$B$25:$B$66)*0.15</f>
        <v>#N/A</v>
      </c>
      <c r="Q400" s="6" t="e">
        <f>LOOKUP(I400,Sheet6!$J$115:$J$156,Sheet6!$B$115:$B$156)*0.2</f>
        <v>#N/A</v>
      </c>
      <c r="R400" s="6" t="e">
        <f>LOOKUP(J400,Sheet6!$D$465:$D$506,Sheet6!$B$465:$B$506)*0.1</f>
        <v>#N/A</v>
      </c>
      <c r="S400" s="6">
        <f>LOOKUP(K400,Sheet6!$J$205:$J$246,Sheet6!$B$205:$B$246)*0.1</f>
        <v>6.2</v>
      </c>
      <c r="T400" s="6" t="e">
        <f>LOOKUP(L400,Sheet6!$F$688:$F$749,Sheet6!$B$688:$B$749)*0.2</f>
        <v>#N/A</v>
      </c>
      <c r="U400" s="6">
        <f>LOOKUP(M400,Sheet6!$D$600:$D$626,Sheet6!$B$600:$B$626)*0.1</f>
        <v>0</v>
      </c>
      <c r="V400" s="6" t="e">
        <f t="shared" si="28"/>
        <v>#DIV/0!</v>
      </c>
      <c r="W400" s="6" t="e">
        <f t="shared" si="29"/>
        <v>#DIV/0!</v>
      </c>
    </row>
    <row r="401" spans="1:23" ht="24.75" customHeight="1">
      <c r="A401" s="5"/>
      <c r="B401" s="5"/>
      <c r="C401" s="5"/>
      <c r="D401" s="5"/>
      <c r="E401" s="30"/>
      <c r="F401" s="5"/>
      <c r="G401" s="5"/>
      <c r="H401" s="5"/>
      <c r="I401" s="5"/>
      <c r="J401" s="5"/>
      <c r="K401" s="5"/>
      <c r="L401" s="5"/>
      <c r="M401" s="5"/>
      <c r="N401" s="13" t="e">
        <f t="shared" si="27"/>
        <v>#DIV/0!</v>
      </c>
      <c r="O401" s="6" t="e">
        <f>LOOKUP(N401,Sheet6!$J$4:$J$11,Sheet6!$B$4:$B$11)*0.15</f>
        <v>#DIV/0!</v>
      </c>
      <c r="P401" s="14" t="e">
        <f>LOOKUP(H401,Sheet6!$J$25:$J$66,Sheet6!$B$25:$B$66)*0.15</f>
        <v>#N/A</v>
      </c>
      <c r="Q401" s="6" t="e">
        <f>LOOKUP(I401,Sheet6!$J$115:$J$156,Sheet6!$B$115:$B$156)*0.2</f>
        <v>#N/A</v>
      </c>
      <c r="R401" s="6" t="e">
        <f>LOOKUP(J401,Sheet6!$D$465:$D$506,Sheet6!$B$465:$B$506)*0.1</f>
        <v>#N/A</v>
      </c>
      <c r="S401" s="6">
        <f>LOOKUP(K401,Sheet6!$J$205:$J$246,Sheet6!$B$205:$B$246)*0.1</f>
        <v>6.2</v>
      </c>
      <c r="T401" s="6" t="e">
        <f>LOOKUP(L401,Sheet6!$F$688:$F$749,Sheet6!$B$688:$B$749)*0.2</f>
        <v>#N/A</v>
      </c>
      <c r="U401" s="6">
        <f>LOOKUP(M401,Sheet6!$D$600:$D$626,Sheet6!$B$600:$B$626)*0.1</f>
        <v>0</v>
      </c>
      <c r="V401" s="6" t="e">
        <f t="shared" si="28"/>
        <v>#DIV/0!</v>
      </c>
      <c r="W401" s="6" t="e">
        <f t="shared" si="29"/>
        <v>#DIV/0!</v>
      </c>
    </row>
    <row r="402" spans="1:23" ht="24.75" customHeight="1">
      <c r="A402" s="5"/>
      <c r="B402" s="5"/>
      <c r="C402" s="5"/>
      <c r="D402" s="5"/>
      <c r="E402" s="30"/>
      <c r="F402" s="5"/>
      <c r="G402" s="5"/>
      <c r="H402" s="5"/>
      <c r="I402" s="5"/>
      <c r="J402" s="5"/>
      <c r="K402" s="5"/>
      <c r="L402" s="5"/>
      <c r="M402" s="5"/>
      <c r="N402" s="13" t="e">
        <f t="shared" si="27"/>
        <v>#DIV/0!</v>
      </c>
      <c r="O402" s="6" t="e">
        <f>LOOKUP(N402,Sheet6!$J$4:$J$11,Sheet6!$B$4:$B$11)*0.15</f>
        <v>#DIV/0!</v>
      </c>
      <c r="P402" s="14" t="e">
        <f>LOOKUP(H402,Sheet6!$J$25:$J$66,Sheet6!$B$25:$B$66)*0.15</f>
        <v>#N/A</v>
      </c>
      <c r="Q402" s="6" t="e">
        <f>LOOKUP(I402,Sheet6!$J$115:$J$156,Sheet6!$B$115:$B$156)*0.2</f>
        <v>#N/A</v>
      </c>
      <c r="R402" s="6" t="e">
        <f>LOOKUP(J402,Sheet6!$D$465:$D$506,Sheet6!$B$465:$B$506)*0.1</f>
        <v>#N/A</v>
      </c>
      <c r="S402" s="6">
        <f>LOOKUP(K402,Sheet6!$J$205:$J$246,Sheet6!$B$205:$B$246)*0.1</f>
        <v>6.2</v>
      </c>
      <c r="T402" s="6" t="e">
        <f>LOOKUP(L402,Sheet6!$F$688:$F$749,Sheet6!$B$688:$B$749)*0.2</f>
        <v>#N/A</v>
      </c>
      <c r="U402" s="6">
        <f>LOOKUP(M402,Sheet6!$D$600:$D$626,Sheet6!$B$600:$B$626)*0.1</f>
        <v>0</v>
      </c>
      <c r="V402" s="6" t="e">
        <f t="shared" si="28"/>
        <v>#DIV/0!</v>
      </c>
      <c r="W402" s="6" t="e">
        <f t="shared" si="29"/>
        <v>#DIV/0!</v>
      </c>
    </row>
    <row r="403" spans="1:23" ht="24.75" customHeight="1">
      <c r="A403" s="5"/>
      <c r="B403" s="5"/>
      <c r="C403" s="5"/>
      <c r="D403" s="5"/>
      <c r="E403" s="30"/>
      <c r="F403" s="5"/>
      <c r="G403" s="5"/>
      <c r="H403" s="5"/>
      <c r="I403" s="5"/>
      <c r="J403" s="5"/>
      <c r="K403" s="5"/>
      <c r="L403" s="5"/>
      <c r="M403" s="5"/>
      <c r="N403" s="13" t="e">
        <f t="shared" si="27"/>
        <v>#DIV/0!</v>
      </c>
      <c r="O403" s="6" t="e">
        <f>LOOKUP(N403,Sheet6!$J$4:$J$11,Sheet6!$B$4:$B$11)*0.15</f>
        <v>#DIV/0!</v>
      </c>
      <c r="P403" s="14" t="e">
        <f>LOOKUP(H403,Sheet6!$J$25:$J$66,Sheet6!$B$25:$B$66)*0.15</f>
        <v>#N/A</v>
      </c>
      <c r="Q403" s="6" t="e">
        <f>LOOKUP(I403,Sheet6!$J$115:$J$156,Sheet6!$B$115:$B$156)*0.2</f>
        <v>#N/A</v>
      </c>
      <c r="R403" s="6" t="e">
        <f>LOOKUP(J403,Sheet6!$D$465:$D$506,Sheet6!$B$465:$B$506)*0.1</f>
        <v>#N/A</v>
      </c>
      <c r="S403" s="6">
        <f>LOOKUP(K403,Sheet6!$J$205:$J$246,Sheet6!$B$205:$B$246)*0.1</f>
        <v>6.2</v>
      </c>
      <c r="T403" s="6" t="e">
        <f>LOOKUP(L403,Sheet6!$F$688:$F$749,Sheet6!$B$688:$B$749)*0.2</f>
        <v>#N/A</v>
      </c>
      <c r="U403" s="6">
        <f>LOOKUP(M403,Sheet6!$D$600:$D$626,Sheet6!$B$600:$B$626)*0.1</f>
        <v>0</v>
      </c>
      <c r="V403" s="6" t="e">
        <f t="shared" si="28"/>
        <v>#DIV/0!</v>
      </c>
      <c r="W403" s="6" t="e">
        <f t="shared" si="29"/>
        <v>#DIV/0!</v>
      </c>
    </row>
    <row r="404" spans="1:23" ht="24.75" customHeight="1">
      <c r="A404" s="5"/>
      <c r="B404" s="5"/>
      <c r="C404" s="5"/>
      <c r="D404" s="5"/>
      <c r="E404" s="30"/>
      <c r="F404" s="5"/>
      <c r="G404" s="5"/>
      <c r="H404" s="5"/>
      <c r="I404" s="5"/>
      <c r="J404" s="5"/>
      <c r="K404" s="5"/>
      <c r="L404" s="5"/>
      <c r="M404" s="5"/>
      <c r="N404" s="13" t="e">
        <f t="shared" si="27"/>
        <v>#DIV/0!</v>
      </c>
      <c r="O404" s="6" t="e">
        <f>LOOKUP(N404,Sheet6!$J$4:$J$11,Sheet6!$B$4:$B$11)*0.15</f>
        <v>#DIV/0!</v>
      </c>
      <c r="P404" s="14" t="e">
        <f>LOOKUP(H404,Sheet6!$J$25:$J$66,Sheet6!$B$25:$B$66)*0.15</f>
        <v>#N/A</v>
      </c>
      <c r="Q404" s="6" t="e">
        <f>LOOKUP(I404,Sheet6!$J$115:$J$156,Sheet6!$B$115:$B$156)*0.2</f>
        <v>#N/A</v>
      </c>
      <c r="R404" s="6" t="e">
        <f>LOOKUP(J404,Sheet6!$D$465:$D$506,Sheet6!$B$465:$B$506)*0.1</f>
        <v>#N/A</v>
      </c>
      <c r="S404" s="6">
        <f>LOOKUP(K404,Sheet6!$J$205:$J$246,Sheet6!$B$205:$B$246)*0.1</f>
        <v>6.2</v>
      </c>
      <c r="T404" s="6" t="e">
        <f>LOOKUP(L404,Sheet6!$F$688:$F$749,Sheet6!$B$688:$B$749)*0.2</f>
        <v>#N/A</v>
      </c>
      <c r="U404" s="6">
        <f>LOOKUP(M404,Sheet6!$D$600:$D$626,Sheet6!$B$600:$B$626)*0.1</f>
        <v>0</v>
      </c>
      <c r="V404" s="6" t="e">
        <f t="shared" si="28"/>
        <v>#DIV/0!</v>
      </c>
      <c r="W404" s="6" t="e">
        <f t="shared" si="29"/>
        <v>#DIV/0!</v>
      </c>
    </row>
    <row r="405" spans="1:23" ht="24.75" customHeight="1">
      <c r="A405" s="5"/>
      <c r="B405" s="5"/>
      <c r="C405" s="5"/>
      <c r="D405" s="5"/>
      <c r="E405" s="30"/>
      <c r="F405" s="5"/>
      <c r="G405" s="5"/>
      <c r="H405" s="5"/>
      <c r="I405" s="5"/>
      <c r="J405" s="5"/>
      <c r="K405" s="5"/>
      <c r="L405" s="5"/>
      <c r="M405" s="5"/>
      <c r="N405" s="13" t="e">
        <f t="shared" si="27"/>
        <v>#DIV/0!</v>
      </c>
      <c r="O405" s="6" t="e">
        <f>LOOKUP(N405,Sheet6!$J$4:$J$11,Sheet6!$B$4:$B$11)*0.15</f>
        <v>#DIV/0!</v>
      </c>
      <c r="P405" s="14" t="e">
        <f>LOOKUP(H405,Sheet6!$J$25:$J$66,Sheet6!$B$25:$B$66)*0.15</f>
        <v>#N/A</v>
      </c>
      <c r="Q405" s="6" t="e">
        <f>LOOKUP(I405,Sheet6!$J$115:$J$156,Sheet6!$B$115:$B$156)*0.2</f>
        <v>#N/A</v>
      </c>
      <c r="R405" s="6" t="e">
        <f>LOOKUP(J405,Sheet6!$D$465:$D$506,Sheet6!$B$465:$B$506)*0.1</f>
        <v>#N/A</v>
      </c>
      <c r="S405" s="6">
        <f>LOOKUP(K405,Sheet6!$J$205:$J$246,Sheet6!$B$205:$B$246)*0.1</f>
        <v>6.2</v>
      </c>
      <c r="T405" s="6" t="e">
        <f>LOOKUP(L405,Sheet6!$F$688:$F$749,Sheet6!$B$688:$B$749)*0.2</f>
        <v>#N/A</v>
      </c>
      <c r="U405" s="6">
        <f>LOOKUP(M405,Sheet6!$D$600:$D$626,Sheet6!$B$600:$B$626)*0.1</f>
        <v>0</v>
      </c>
      <c r="V405" s="6" t="e">
        <f t="shared" si="28"/>
        <v>#DIV/0!</v>
      </c>
      <c r="W405" s="6" t="e">
        <f t="shared" si="29"/>
        <v>#DIV/0!</v>
      </c>
    </row>
    <row r="406" spans="1:23" ht="24.75" customHeight="1">
      <c r="A406" s="5"/>
      <c r="B406" s="5"/>
      <c r="C406" s="5"/>
      <c r="D406" s="5"/>
      <c r="E406" s="30"/>
      <c r="F406" s="5"/>
      <c r="G406" s="5"/>
      <c r="H406" s="5"/>
      <c r="I406" s="5"/>
      <c r="J406" s="5"/>
      <c r="K406" s="5"/>
      <c r="L406" s="5"/>
      <c r="M406" s="5"/>
      <c r="N406" s="13" t="e">
        <f t="shared" si="27"/>
        <v>#DIV/0!</v>
      </c>
      <c r="O406" s="6" t="e">
        <f>LOOKUP(N406,Sheet6!$J$4:$J$11,Sheet6!$B$4:$B$11)*0.15</f>
        <v>#DIV/0!</v>
      </c>
      <c r="P406" s="14" t="e">
        <f>LOOKUP(H406,Sheet6!$J$25:$J$66,Sheet6!$B$25:$B$66)*0.15</f>
        <v>#N/A</v>
      </c>
      <c r="Q406" s="6" t="e">
        <f>LOOKUP(I406,Sheet6!$J$115:$J$156,Sheet6!$B$115:$B$156)*0.2</f>
        <v>#N/A</v>
      </c>
      <c r="R406" s="6" t="e">
        <f>LOOKUP(J406,Sheet6!$D$465:$D$506,Sheet6!$B$465:$B$506)*0.1</f>
        <v>#N/A</v>
      </c>
      <c r="S406" s="6">
        <f>LOOKUP(K406,Sheet6!$J$205:$J$246,Sheet6!$B$205:$B$246)*0.1</f>
        <v>6.2</v>
      </c>
      <c r="T406" s="6" t="e">
        <f>LOOKUP(L406,Sheet6!$F$688:$F$749,Sheet6!$B$688:$B$749)*0.2</f>
        <v>#N/A</v>
      </c>
      <c r="U406" s="6">
        <f>LOOKUP(M406,Sheet6!$D$600:$D$626,Sheet6!$B$600:$B$626)*0.1</f>
        <v>0</v>
      </c>
      <c r="V406" s="6" t="e">
        <f t="shared" si="28"/>
        <v>#DIV/0!</v>
      </c>
      <c r="W406" s="6" t="e">
        <f t="shared" si="29"/>
        <v>#DIV/0!</v>
      </c>
    </row>
    <row r="407" spans="1:23" ht="24.75" customHeight="1">
      <c r="A407" s="5"/>
      <c r="B407" s="5"/>
      <c r="C407" s="5"/>
      <c r="D407" s="5"/>
      <c r="E407" s="30"/>
      <c r="F407" s="5"/>
      <c r="G407" s="5"/>
      <c r="H407" s="5"/>
      <c r="I407" s="5"/>
      <c r="J407" s="5"/>
      <c r="K407" s="5"/>
      <c r="L407" s="5"/>
      <c r="M407" s="5"/>
      <c r="N407" s="13" t="e">
        <f t="shared" si="27"/>
        <v>#DIV/0!</v>
      </c>
      <c r="O407" s="6" t="e">
        <f>LOOKUP(N407,Sheet6!$J$4:$J$11,Sheet6!$B$4:$B$11)*0.15</f>
        <v>#DIV/0!</v>
      </c>
      <c r="P407" s="14" t="e">
        <f>LOOKUP(H407,Sheet6!$J$25:$J$66,Sheet6!$B$25:$B$66)*0.15</f>
        <v>#N/A</v>
      </c>
      <c r="Q407" s="6" t="e">
        <f>LOOKUP(I407,Sheet6!$J$115:$J$156,Sheet6!$B$115:$B$156)*0.2</f>
        <v>#N/A</v>
      </c>
      <c r="R407" s="6" t="e">
        <f>LOOKUP(J407,Sheet6!$D$465:$D$506,Sheet6!$B$465:$B$506)*0.1</f>
        <v>#N/A</v>
      </c>
      <c r="S407" s="6">
        <f>LOOKUP(K407,Sheet6!$J$205:$J$246,Sheet6!$B$205:$B$246)*0.1</f>
        <v>6.2</v>
      </c>
      <c r="T407" s="6" t="e">
        <f>LOOKUP(L407,Sheet6!$F$688:$F$749,Sheet6!$B$688:$B$749)*0.2</f>
        <v>#N/A</v>
      </c>
      <c r="U407" s="6">
        <f>LOOKUP(M407,Sheet6!$D$600:$D$626,Sheet6!$B$600:$B$626)*0.1</f>
        <v>0</v>
      </c>
      <c r="V407" s="6" t="e">
        <f t="shared" si="28"/>
        <v>#DIV/0!</v>
      </c>
      <c r="W407" s="6" t="e">
        <f t="shared" si="29"/>
        <v>#DIV/0!</v>
      </c>
    </row>
    <row r="408" spans="1:23" ht="24.75" customHeight="1">
      <c r="A408" s="5"/>
      <c r="B408" s="5"/>
      <c r="C408" s="5"/>
      <c r="D408" s="5"/>
      <c r="E408" s="30"/>
      <c r="F408" s="5"/>
      <c r="G408" s="5"/>
      <c r="H408" s="5"/>
      <c r="I408" s="5"/>
      <c r="J408" s="5"/>
      <c r="K408" s="5"/>
      <c r="L408" s="5"/>
      <c r="M408" s="5"/>
      <c r="N408" s="13" t="e">
        <f t="shared" si="27"/>
        <v>#DIV/0!</v>
      </c>
      <c r="O408" s="6" t="e">
        <f>LOOKUP(N408,Sheet6!$J$4:$J$11,Sheet6!$B$4:$B$11)*0.15</f>
        <v>#DIV/0!</v>
      </c>
      <c r="P408" s="14" t="e">
        <f>LOOKUP(H408,Sheet6!$J$25:$J$66,Sheet6!$B$25:$B$66)*0.15</f>
        <v>#N/A</v>
      </c>
      <c r="Q408" s="6" t="e">
        <f>LOOKUP(I408,Sheet6!$J$115:$J$156,Sheet6!$B$115:$B$156)*0.2</f>
        <v>#N/A</v>
      </c>
      <c r="R408" s="6" t="e">
        <f>LOOKUP(J408,Sheet6!$D$465:$D$506,Sheet6!$B$465:$B$506)*0.1</f>
        <v>#N/A</v>
      </c>
      <c r="S408" s="6">
        <f>LOOKUP(K408,Sheet6!$J$205:$J$246,Sheet6!$B$205:$B$246)*0.1</f>
        <v>6.2</v>
      </c>
      <c r="T408" s="6" t="e">
        <f>LOOKUP(L408,Sheet6!$F$688:$F$749,Sheet6!$B$688:$B$749)*0.2</f>
        <v>#N/A</v>
      </c>
      <c r="U408" s="6">
        <f>LOOKUP(M408,Sheet6!$D$600:$D$626,Sheet6!$B$600:$B$626)*0.1</f>
        <v>0</v>
      </c>
      <c r="V408" s="6" t="e">
        <f t="shared" si="28"/>
        <v>#DIV/0!</v>
      </c>
      <c r="W408" s="6" t="e">
        <f t="shared" si="29"/>
        <v>#DIV/0!</v>
      </c>
    </row>
    <row r="409" spans="1:23" ht="24.75" customHeight="1">
      <c r="A409" s="5"/>
      <c r="B409" s="5"/>
      <c r="C409" s="5"/>
      <c r="D409" s="5"/>
      <c r="E409" s="30"/>
      <c r="F409" s="5"/>
      <c r="G409" s="5"/>
      <c r="H409" s="5"/>
      <c r="I409" s="5"/>
      <c r="J409" s="5"/>
      <c r="K409" s="5"/>
      <c r="L409" s="5"/>
      <c r="M409" s="5"/>
      <c r="N409" s="13" t="e">
        <f t="shared" si="27"/>
        <v>#DIV/0!</v>
      </c>
      <c r="O409" s="6" t="e">
        <f>LOOKUP(N409,Sheet6!$J$4:$J$11,Sheet6!$B$4:$B$11)*0.15</f>
        <v>#DIV/0!</v>
      </c>
      <c r="P409" s="14" t="e">
        <f>LOOKUP(H409,Sheet6!$J$25:$J$66,Sheet6!$B$25:$B$66)*0.15</f>
        <v>#N/A</v>
      </c>
      <c r="Q409" s="6" t="e">
        <f>LOOKUP(I409,Sheet6!$J$115:$J$156,Sheet6!$B$115:$B$156)*0.2</f>
        <v>#N/A</v>
      </c>
      <c r="R409" s="6" t="e">
        <f>LOOKUP(J409,Sheet6!$D$465:$D$506,Sheet6!$B$465:$B$506)*0.1</f>
        <v>#N/A</v>
      </c>
      <c r="S409" s="6">
        <f>LOOKUP(K409,Sheet6!$J$205:$J$246,Sheet6!$B$205:$B$246)*0.1</f>
        <v>6.2</v>
      </c>
      <c r="T409" s="6" t="e">
        <f>LOOKUP(L409,Sheet6!$F$688:$F$749,Sheet6!$B$688:$B$749)*0.2</f>
        <v>#N/A</v>
      </c>
      <c r="U409" s="6">
        <f>LOOKUP(M409,Sheet6!$D$600:$D$626,Sheet6!$B$600:$B$626)*0.1</f>
        <v>0</v>
      </c>
      <c r="V409" s="6" t="e">
        <f t="shared" si="28"/>
        <v>#DIV/0!</v>
      </c>
      <c r="W409" s="6" t="e">
        <f t="shared" si="29"/>
        <v>#DIV/0!</v>
      </c>
    </row>
    <row r="410" spans="1:23" ht="24.75" customHeight="1">
      <c r="A410" s="5"/>
      <c r="B410" s="5"/>
      <c r="C410" s="5"/>
      <c r="D410" s="5"/>
      <c r="E410" s="30"/>
      <c r="F410" s="5"/>
      <c r="G410" s="5"/>
      <c r="H410" s="5"/>
      <c r="I410" s="5"/>
      <c r="J410" s="5"/>
      <c r="K410" s="5"/>
      <c r="L410" s="5"/>
      <c r="M410" s="5"/>
      <c r="N410" s="13" t="e">
        <f t="shared" si="27"/>
        <v>#DIV/0!</v>
      </c>
      <c r="O410" s="6" t="e">
        <f>LOOKUP(N410,Sheet6!$J$4:$J$11,Sheet6!$B$4:$B$11)*0.15</f>
        <v>#DIV/0!</v>
      </c>
      <c r="P410" s="14" t="e">
        <f>LOOKUP(H410,Sheet6!$J$25:$J$66,Sheet6!$B$25:$B$66)*0.15</f>
        <v>#N/A</v>
      </c>
      <c r="Q410" s="6" t="e">
        <f>LOOKUP(I410,Sheet6!$J$115:$J$156,Sheet6!$B$115:$B$156)*0.2</f>
        <v>#N/A</v>
      </c>
      <c r="R410" s="6" t="e">
        <f>LOOKUP(J410,Sheet6!$D$465:$D$506,Sheet6!$B$465:$B$506)*0.1</f>
        <v>#N/A</v>
      </c>
      <c r="S410" s="6">
        <f>LOOKUP(K410,Sheet6!$J$205:$J$246,Sheet6!$B$205:$B$246)*0.1</f>
        <v>6.2</v>
      </c>
      <c r="T410" s="6" t="e">
        <f>LOOKUP(L410,Sheet6!$F$688:$F$749,Sheet6!$B$688:$B$749)*0.2</f>
        <v>#N/A</v>
      </c>
      <c r="U410" s="6">
        <f>LOOKUP(M410,Sheet6!$D$600:$D$626,Sheet6!$B$600:$B$626)*0.1</f>
        <v>0</v>
      </c>
      <c r="V410" s="6" t="e">
        <f t="shared" si="28"/>
        <v>#DIV/0!</v>
      </c>
      <c r="W410" s="6" t="e">
        <f t="shared" si="29"/>
        <v>#DIV/0!</v>
      </c>
    </row>
    <row r="411" spans="1:23" ht="24.75" customHeight="1">
      <c r="A411" s="5"/>
      <c r="B411" s="5"/>
      <c r="C411" s="5"/>
      <c r="D411" s="5"/>
      <c r="E411" s="30"/>
      <c r="F411" s="5"/>
      <c r="G411" s="5"/>
      <c r="H411" s="5"/>
      <c r="I411" s="5"/>
      <c r="J411" s="5"/>
      <c r="K411" s="5"/>
      <c r="L411" s="5"/>
      <c r="M411" s="5"/>
      <c r="N411" s="13" t="e">
        <f t="shared" si="27"/>
        <v>#DIV/0!</v>
      </c>
      <c r="O411" s="6" t="e">
        <f>LOOKUP(N411,Sheet6!$J$4:$J$11,Sheet6!$B$4:$B$11)*0.15</f>
        <v>#DIV/0!</v>
      </c>
      <c r="P411" s="14" t="e">
        <f>LOOKUP(H411,Sheet6!$J$25:$J$66,Sheet6!$B$25:$B$66)*0.15</f>
        <v>#N/A</v>
      </c>
      <c r="Q411" s="6" t="e">
        <f>LOOKUP(I411,Sheet6!$J$115:$J$156,Sheet6!$B$115:$B$156)*0.2</f>
        <v>#N/A</v>
      </c>
      <c r="R411" s="6" t="e">
        <f>LOOKUP(J411,Sheet6!$D$465:$D$506,Sheet6!$B$465:$B$506)*0.1</f>
        <v>#N/A</v>
      </c>
      <c r="S411" s="6">
        <f>LOOKUP(K411,Sheet6!$J$205:$J$246,Sheet6!$B$205:$B$246)*0.1</f>
        <v>6.2</v>
      </c>
      <c r="T411" s="6" t="e">
        <f>LOOKUP(L411,Sheet6!$F$688:$F$749,Sheet6!$B$688:$B$749)*0.2</f>
        <v>#N/A</v>
      </c>
      <c r="U411" s="6">
        <f>LOOKUP(M411,Sheet6!$D$600:$D$626,Sheet6!$B$600:$B$626)*0.1</f>
        <v>0</v>
      </c>
      <c r="V411" s="6" t="e">
        <f t="shared" si="28"/>
        <v>#DIV/0!</v>
      </c>
      <c r="W411" s="6" t="e">
        <f t="shared" si="29"/>
        <v>#DIV/0!</v>
      </c>
    </row>
    <row r="412" spans="1:23" ht="24.75" customHeight="1">
      <c r="A412" s="5"/>
      <c r="B412" s="5"/>
      <c r="C412" s="5"/>
      <c r="D412" s="5"/>
      <c r="E412" s="30"/>
      <c r="F412" s="5"/>
      <c r="G412" s="5"/>
      <c r="H412" s="5"/>
      <c r="I412" s="5"/>
      <c r="J412" s="5"/>
      <c r="K412" s="5"/>
      <c r="L412" s="5"/>
      <c r="M412" s="5"/>
      <c r="N412" s="13" t="e">
        <f t="shared" si="27"/>
        <v>#DIV/0!</v>
      </c>
      <c r="O412" s="6" t="e">
        <f>LOOKUP(N412,Sheet6!$J$4:$J$11,Sheet6!$B$4:$B$11)*0.15</f>
        <v>#DIV/0!</v>
      </c>
      <c r="P412" s="14" t="e">
        <f>LOOKUP(H412,Sheet6!$J$25:$J$66,Sheet6!$B$25:$B$66)*0.15</f>
        <v>#N/A</v>
      </c>
      <c r="Q412" s="6" t="e">
        <f>LOOKUP(I412,Sheet6!$J$115:$J$156,Sheet6!$B$115:$B$156)*0.2</f>
        <v>#N/A</v>
      </c>
      <c r="R412" s="6" t="e">
        <f>LOOKUP(J412,Sheet6!$D$465:$D$506,Sheet6!$B$465:$B$506)*0.1</f>
        <v>#N/A</v>
      </c>
      <c r="S412" s="6">
        <f>LOOKUP(K412,Sheet6!$J$205:$J$246,Sheet6!$B$205:$B$246)*0.1</f>
        <v>6.2</v>
      </c>
      <c r="T412" s="6" t="e">
        <f>LOOKUP(L412,Sheet6!$F$688:$F$749,Sheet6!$B$688:$B$749)*0.2</f>
        <v>#N/A</v>
      </c>
      <c r="U412" s="6">
        <f>LOOKUP(M412,Sheet6!$D$600:$D$626,Sheet6!$B$600:$B$626)*0.1</f>
        <v>0</v>
      </c>
      <c r="V412" s="6" t="e">
        <f t="shared" si="28"/>
        <v>#DIV/0!</v>
      </c>
      <c r="W412" s="6" t="e">
        <f t="shared" si="29"/>
        <v>#DIV/0!</v>
      </c>
    </row>
    <row r="413" spans="1:23" ht="24.75" customHeight="1">
      <c r="A413" s="5"/>
      <c r="B413" s="5"/>
      <c r="C413" s="5"/>
      <c r="D413" s="5"/>
      <c r="E413" s="30"/>
      <c r="F413" s="5"/>
      <c r="G413" s="5"/>
      <c r="H413" s="5"/>
      <c r="I413" s="5"/>
      <c r="J413" s="5"/>
      <c r="K413" s="5"/>
      <c r="L413" s="5"/>
      <c r="M413" s="5"/>
      <c r="N413" s="13" t="e">
        <f t="shared" si="27"/>
        <v>#DIV/0!</v>
      </c>
      <c r="O413" s="6" t="e">
        <f>LOOKUP(N413,Sheet6!$J$4:$J$11,Sheet6!$B$4:$B$11)*0.15</f>
        <v>#DIV/0!</v>
      </c>
      <c r="P413" s="14" t="e">
        <f>LOOKUP(H413,Sheet6!$J$25:$J$66,Sheet6!$B$25:$B$66)*0.15</f>
        <v>#N/A</v>
      </c>
      <c r="Q413" s="6" t="e">
        <f>LOOKUP(I413,Sheet6!$J$115:$J$156,Sheet6!$B$115:$B$156)*0.2</f>
        <v>#N/A</v>
      </c>
      <c r="R413" s="6" t="e">
        <f>LOOKUP(J413,Sheet6!$D$465:$D$506,Sheet6!$B$465:$B$506)*0.1</f>
        <v>#N/A</v>
      </c>
      <c r="S413" s="6">
        <f>LOOKUP(K413,Sheet6!$J$205:$J$246,Sheet6!$B$205:$B$246)*0.1</f>
        <v>6.2</v>
      </c>
      <c r="T413" s="6" t="e">
        <f>LOOKUP(L413,Sheet6!$F$688:$F$749,Sheet6!$B$688:$B$749)*0.2</f>
        <v>#N/A</v>
      </c>
      <c r="U413" s="6">
        <f>LOOKUP(M413,Sheet6!$D$600:$D$626,Sheet6!$B$600:$B$626)*0.1</f>
        <v>0</v>
      </c>
      <c r="V413" s="6" t="e">
        <f t="shared" si="28"/>
        <v>#DIV/0!</v>
      </c>
      <c r="W413" s="6" t="e">
        <f t="shared" si="29"/>
        <v>#DIV/0!</v>
      </c>
    </row>
    <row r="414" spans="1:23" ht="24.75" customHeight="1">
      <c r="A414" s="5"/>
      <c r="B414" s="5"/>
      <c r="C414" s="5"/>
      <c r="D414" s="5"/>
      <c r="E414" s="30"/>
      <c r="F414" s="5"/>
      <c r="G414" s="5"/>
      <c r="H414" s="5"/>
      <c r="I414" s="5"/>
      <c r="J414" s="5"/>
      <c r="K414" s="5"/>
      <c r="L414" s="5"/>
      <c r="M414" s="5"/>
      <c r="N414" s="13" t="e">
        <f t="shared" si="27"/>
        <v>#DIV/0!</v>
      </c>
      <c r="O414" s="6" t="e">
        <f>LOOKUP(N414,Sheet6!$J$4:$J$11,Sheet6!$B$4:$B$11)*0.15</f>
        <v>#DIV/0!</v>
      </c>
      <c r="P414" s="14" t="e">
        <f>LOOKUP(H414,Sheet6!$J$25:$J$66,Sheet6!$B$25:$B$66)*0.15</f>
        <v>#N/A</v>
      </c>
      <c r="Q414" s="6" t="e">
        <f>LOOKUP(I414,Sheet6!$J$115:$J$156,Sheet6!$B$115:$B$156)*0.2</f>
        <v>#N/A</v>
      </c>
      <c r="R414" s="6" t="e">
        <f>LOOKUP(J414,Sheet6!$D$465:$D$506,Sheet6!$B$465:$B$506)*0.1</f>
        <v>#N/A</v>
      </c>
      <c r="S414" s="6">
        <f>LOOKUP(K414,Sheet6!$J$205:$J$246,Sheet6!$B$205:$B$246)*0.1</f>
        <v>6.2</v>
      </c>
      <c r="T414" s="6" t="e">
        <f>LOOKUP(L414,Sheet6!$F$688:$F$749,Sheet6!$B$688:$B$749)*0.2</f>
        <v>#N/A</v>
      </c>
      <c r="U414" s="6">
        <f>LOOKUP(M414,Sheet6!$D$600:$D$626,Sheet6!$B$600:$B$626)*0.1</f>
        <v>0</v>
      </c>
      <c r="V414" s="6" t="e">
        <f t="shared" si="28"/>
        <v>#DIV/0!</v>
      </c>
      <c r="W414" s="6" t="e">
        <f t="shared" si="29"/>
        <v>#DIV/0!</v>
      </c>
    </row>
    <row r="415" spans="1:23" ht="24.75" customHeight="1">
      <c r="A415" s="5"/>
      <c r="B415" s="5"/>
      <c r="C415" s="5"/>
      <c r="D415" s="5"/>
      <c r="E415" s="30"/>
      <c r="F415" s="5"/>
      <c r="G415" s="5"/>
      <c r="H415" s="5"/>
      <c r="I415" s="5"/>
      <c r="J415" s="5"/>
      <c r="K415" s="5"/>
      <c r="L415" s="5"/>
      <c r="M415" s="5"/>
      <c r="N415" s="13" t="e">
        <f t="shared" si="27"/>
        <v>#DIV/0!</v>
      </c>
      <c r="O415" s="6" t="e">
        <f>LOOKUP(N415,Sheet6!$J$4:$J$11,Sheet6!$B$4:$B$11)*0.15</f>
        <v>#DIV/0!</v>
      </c>
      <c r="P415" s="14" t="e">
        <f>LOOKUP(H415,Sheet6!$J$25:$J$66,Sheet6!$B$25:$B$66)*0.15</f>
        <v>#N/A</v>
      </c>
      <c r="Q415" s="6" t="e">
        <f>LOOKUP(I415,Sheet6!$J$115:$J$156,Sheet6!$B$115:$B$156)*0.2</f>
        <v>#N/A</v>
      </c>
      <c r="R415" s="6" t="e">
        <f>LOOKUP(J415,Sheet6!$D$465:$D$506,Sheet6!$B$465:$B$506)*0.1</f>
        <v>#N/A</v>
      </c>
      <c r="S415" s="6">
        <f>LOOKUP(K415,Sheet6!$J$205:$J$246,Sheet6!$B$205:$B$246)*0.1</f>
        <v>6.2</v>
      </c>
      <c r="T415" s="6" t="e">
        <f>LOOKUP(L415,Sheet6!$F$688:$F$749,Sheet6!$B$688:$B$749)*0.2</f>
        <v>#N/A</v>
      </c>
      <c r="U415" s="6">
        <f>LOOKUP(M415,Sheet6!$D$600:$D$626,Sheet6!$B$600:$B$626)*0.1</f>
        <v>0</v>
      </c>
      <c r="V415" s="6" t="e">
        <f t="shared" si="28"/>
        <v>#DIV/0!</v>
      </c>
      <c r="W415" s="6" t="e">
        <f t="shared" si="29"/>
        <v>#DIV/0!</v>
      </c>
    </row>
    <row r="416" spans="1:23" ht="24.75" customHeight="1">
      <c r="A416" s="5"/>
      <c r="B416" s="5"/>
      <c r="C416" s="5"/>
      <c r="D416" s="5"/>
      <c r="E416" s="30"/>
      <c r="F416" s="5"/>
      <c r="G416" s="5"/>
      <c r="H416" s="5"/>
      <c r="I416" s="5"/>
      <c r="J416" s="5"/>
      <c r="K416" s="5"/>
      <c r="L416" s="5"/>
      <c r="M416" s="5"/>
      <c r="N416" s="13" t="e">
        <f t="shared" si="27"/>
        <v>#DIV/0!</v>
      </c>
      <c r="O416" s="6" t="e">
        <f>LOOKUP(N416,Sheet6!$J$4:$J$11,Sheet6!$B$4:$B$11)*0.15</f>
        <v>#DIV/0!</v>
      </c>
      <c r="P416" s="14" t="e">
        <f>LOOKUP(H416,Sheet6!$J$25:$J$66,Sheet6!$B$25:$B$66)*0.15</f>
        <v>#N/A</v>
      </c>
      <c r="Q416" s="6" t="e">
        <f>LOOKUP(I416,Sheet6!$J$115:$J$156,Sheet6!$B$115:$B$156)*0.2</f>
        <v>#N/A</v>
      </c>
      <c r="R416" s="6" t="e">
        <f>LOOKUP(J416,Sheet6!$D$465:$D$506,Sheet6!$B$465:$B$506)*0.1</f>
        <v>#N/A</v>
      </c>
      <c r="S416" s="6">
        <f>LOOKUP(K416,Sheet6!$J$205:$J$246,Sheet6!$B$205:$B$246)*0.1</f>
        <v>6.2</v>
      </c>
      <c r="T416" s="6" t="e">
        <f>LOOKUP(L416,Sheet6!$F$688:$F$749,Sheet6!$B$688:$B$749)*0.2</f>
        <v>#N/A</v>
      </c>
      <c r="U416" s="6">
        <f>LOOKUP(M416,Sheet6!$D$600:$D$626,Sheet6!$B$600:$B$626)*0.1</f>
        <v>0</v>
      </c>
      <c r="V416" s="6" t="e">
        <f t="shared" si="28"/>
        <v>#DIV/0!</v>
      </c>
      <c r="W416" s="6" t="e">
        <f t="shared" si="29"/>
        <v>#DIV/0!</v>
      </c>
    </row>
    <row r="417" spans="1:23" ht="24.75" customHeight="1">
      <c r="A417" s="5"/>
      <c r="B417" s="5"/>
      <c r="C417" s="5"/>
      <c r="D417" s="5"/>
      <c r="E417" s="30"/>
      <c r="F417" s="5"/>
      <c r="G417" s="5"/>
      <c r="H417" s="5"/>
      <c r="I417" s="5"/>
      <c r="J417" s="5"/>
      <c r="K417" s="5"/>
      <c r="L417" s="5"/>
      <c r="M417" s="5"/>
      <c r="N417" s="13" t="e">
        <f t="shared" si="27"/>
        <v>#DIV/0!</v>
      </c>
      <c r="O417" s="6" t="e">
        <f>LOOKUP(N417,Sheet6!$J$4:$J$11,Sheet6!$B$4:$B$11)*0.15</f>
        <v>#DIV/0!</v>
      </c>
      <c r="P417" s="14" t="e">
        <f>LOOKUP(H417,Sheet6!$J$25:$J$66,Sheet6!$B$25:$B$66)*0.15</f>
        <v>#N/A</v>
      </c>
      <c r="Q417" s="6" t="e">
        <f>LOOKUP(I417,Sheet6!$J$115:$J$156,Sheet6!$B$115:$B$156)*0.2</f>
        <v>#N/A</v>
      </c>
      <c r="R417" s="6" t="e">
        <f>LOOKUP(J417,Sheet6!$D$465:$D$506,Sheet6!$B$465:$B$506)*0.1</f>
        <v>#N/A</v>
      </c>
      <c r="S417" s="6">
        <f>LOOKUP(K417,Sheet6!$J$205:$J$246,Sheet6!$B$205:$B$246)*0.1</f>
        <v>6.2</v>
      </c>
      <c r="T417" s="6" t="e">
        <f>LOOKUP(L417,Sheet6!$F$688:$F$749,Sheet6!$B$688:$B$749)*0.2</f>
        <v>#N/A</v>
      </c>
      <c r="U417" s="6">
        <f>LOOKUP(M417,Sheet6!$D$600:$D$626,Sheet6!$B$600:$B$626)*0.1</f>
        <v>0</v>
      </c>
      <c r="V417" s="6" t="e">
        <f t="shared" si="28"/>
        <v>#DIV/0!</v>
      </c>
      <c r="W417" s="6" t="e">
        <f t="shared" si="29"/>
        <v>#DIV/0!</v>
      </c>
    </row>
    <row r="418" spans="1:23" ht="24.75" customHeight="1">
      <c r="A418" s="5"/>
      <c r="B418" s="5"/>
      <c r="C418" s="5"/>
      <c r="D418" s="5"/>
      <c r="E418" s="30"/>
      <c r="F418" s="5"/>
      <c r="G418" s="5"/>
      <c r="H418" s="5"/>
      <c r="I418" s="5"/>
      <c r="J418" s="5"/>
      <c r="K418" s="5"/>
      <c r="L418" s="5"/>
      <c r="M418" s="5"/>
      <c r="N418" s="13" t="e">
        <f t="shared" si="27"/>
        <v>#DIV/0!</v>
      </c>
      <c r="O418" s="6" t="e">
        <f>LOOKUP(N418,Sheet6!$J$4:$J$11,Sheet6!$B$4:$B$11)*0.15</f>
        <v>#DIV/0!</v>
      </c>
      <c r="P418" s="14" t="e">
        <f>LOOKUP(H418,Sheet6!$J$25:$J$66,Sheet6!$B$25:$B$66)*0.15</f>
        <v>#N/A</v>
      </c>
      <c r="Q418" s="6" t="e">
        <f>LOOKUP(I418,Sheet6!$J$115:$J$156,Sheet6!$B$115:$B$156)*0.2</f>
        <v>#N/A</v>
      </c>
      <c r="R418" s="6" t="e">
        <f>LOOKUP(J418,Sheet6!$D$465:$D$506,Sheet6!$B$465:$B$506)*0.1</f>
        <v>#N/A</v>
      </c>
      <c r="S418" s="6">
        <f>LOOKUP(K418,Sheet6!$J$205:$J$246,Sheet6!$B$205:$B$246)*0.1</f>
        <v>6.2</v>
      </c>
      <c r="T418" s="6" t="e">
        <f>LOOKUP(L418,Sheet6!$F$688:$F$749,Sheet6!$B$688:$B$749)*0.2</f>
        <v>#N/A</v>
      </c>
      <c r="U418" s="6">
        <f>LOOKUP(M418,Sheet6!$D$600:$D$626,Sheet6!$B$600:$B$626)*0.1</f>
        <v>0</v>
      </c>
      <c r="V418" s="6" t="e">
        <f t="shared" si="28"/>
        <v>#DIV/0!</v>
      </c>
      <c r="W418" s="6" t="e">
        <f t="shared" si="29"/>
        <v>#DIV/0!</v>
      </c>
    </row>
    <row r="419" spans="1:23" ht="24.75" customHeight="1">
      <c r="A419" s="5"/>
      <c r="B419" s="5"/>
      <c r="C419" s="5"/>
      <c r="D419" s="5"/>
      <c r="E419" s="30"/>
      <c r="F419" s="5"/>
      <c r="G419" s="5"/>
      <c r="H419" s="5"/>
      <c r="I419" s="5"/>
      <c r="J419" s="5"/>
      <c r="K419" s="5"/>
      <c r="L419" s="5"/>
      <c r="M419" s="5"/>
      <c r="N419" s="13" t="e">
        <f t="shared" si="27"/>
        <v>#DIV/0!</v>
      </c>
      <c r="O419" s="6" t="e">
        <f>LOOKUP(N419,Sheet6!$J$4:$J$11,Sheet6!$B$4:$B$11)*0.15</f>
        <v>#DIV/0!</v>
      </c>
      <c r="P419" s="14" t="e">
        <f>LOOKUP(H419,Sheet6!$J$25:$J$66,Sheet6!$B$25:$B$66)*0.15</f>
        <v>#N/A</v>
      </c>
      <c r="Q419" s="6" t="e">
        <f>LOOKUP(I419,Sheet6!$J$115:$J$156,Sheet6!$B$115:$B$156)*0.2</f>
        <v>#N/A</v>
      </c>
      <c r="R419" s="6" t="e">
        <f>LOOKUP(J419,Sheet6!$D$465:$D$506,Sheet6!$B$465:$B$506)*0.1</f>
        <v>#N/A</v>
      </c>
      <c r="S419" s="6">
        <f>LOOKUP(K419,Sheet6!$J$205:$J$246,Sheet6!$B$205:$B$246)*0.1</f>
        <v>6.2</v>
      </c>
      <c r="T419" s="6" t="e">
        <f>LOOKUP(L419,Sheet6!$F$688:$F$749,Sheet6!$B$688:$B$749)*0.2</f>
        <v>#N/A</v>
      </c>
      <c r="U419" s="6">
        <f>LOOKUP(M419,Sheet6!$D$600:$D$626,Sheet6!$B$600:$B$626)*0.1</f>
        <v>0</v>
      </c>
      <c r="V419" s="6" t="e">
        <f t="shared" si="28"/>
        <v>#DIV/0!</v>
      </c>
      <c r="W419" s="6" t="e">
        <f t="shared" si="29"/>
        <v>#DIV/0!</v>
      </c>
    </row>
    <row r="420" spans="1:23" ht="24.75" customHeight="1">
      <c r="A420" s="5"/>
      <c r="B420" s="5"/>
      <c r="C420" s="5"/>
      <c r="D420" s="5"/>
      <c r="E420" s="30"/>
      <c r="F420" s="5"/>
      <c r="G420" s="5"/>
      <c r="H420" s="5"/>
      <c r="I420" s="5"/>
      <c r="J420" s="5"/>
      <c r="K420" s="5"/>
      <c r="L420" s="5"/>
      <c r="M420" s="5"/>
      <c r="N420" s="13" t="e">
        <f t="shared" si="27"/>
        <v>#DIV/0!</v>
      </c>
      <c r="O420" s="6" t="e">
        <f>LOOKUP(N420,Sheet6!$J$4:$J$11,Sheet6!$B$4:$B$11)*0.15</f>
        <v>#DIV/0!</v>
      </c>
      <c r="P420" s="14" t="e">
        <f>LOOKUP(H420,Sheet6!$J$25:$J$66,Sheet6!$B$25:$B$66)*0.15</f>
        <v>#N/A</v>
      </c>
      <c r="Q420" s="6" t="e">
        <f>LOOKUP(I420,Sheet6!$J$115:$J$156,Sheet6!$B$115:$B$156)*0.2</f>
        <v>#N/A</v>
      </c>
      <c r="R420" s="6" t="e">
        <f>LOOKUP(J420,Sheet6!$D$465:$D$506,Sheet6!$B$465:$B$506)*0.1</f>
        <v>#N/A</v>
      </c>
      <c r="S420" s="6">
        <f>LOOKUP(K420,Sheet6!$J$205:$J$246,Sheet6!$B$205:$B$246)*0.1</f>
        <v>6.2</v>
      </c>
      <c r="T420" s="6" t="e">
        <f>LOOKUP(L420,Sheet6!$F$688:$F$749,Sheet6!$B$688:$B$749)*0.2</f>
        <v>#N/A</v>
      </c>
      <c r="U420" s="6">
        <f>LOOKUP(M420,Sheet6!$D$600:$D$626,Sheet6!$B$600:$B$626)*0.1</f>
        <v>0</v>
      </c>
      <c r="V420" s="6" t="e">
        <f t="shared" si="28"/>
        <v>#DIV/0!</v>
      </c>
      <c r="W420" s="6" t="e">
        <f t="shared" si="29"/>
        <v>#DIV/0!</v>
      </c>
    </row>
    <row r="421" spans="1:23" ht="24.75" customHeight="1">
      <c r="A421" s="5"/>
      <c r="B421" s="5"/>
      <c r="C421" s="5"/>
      <c r="D421" s="5"/>
      <c r="E421" s="30"/>
      <c r="F421" s="5"/>
      <c r="G421" s="5"/>
      <c r="H421" s="5"/>
      <c r="I421" s="5"/>
      <c r="J421" s="5"/>
      <c r="K421" s="5"/>
      <c r="L421" s="5"/>
      <c r="M421" s="5"/>
      <c r="N421" s="13" t="e">
        <f t="shared" si="27"/>
        <v>#DIV/0!</v>
      </c>
      <c r="O421" s="6" t="e">
        <f>LOOKUP(N421,Sheet6!$J$4:$J$11,Sheet6!$B$4:$B$11)*0.15</f>
        <v>#DIV/0!</v>
      </c>
      <c r="P421" s="14" t="e">
        <f>LOOKUP(H421,Sheet6!$J$25:$J$66,Sheet6!$B$25:$B$66)*0.15</f>
        <v>#N/A</v>
      </c>
      <c r="Q421" s="6" t="e">
        <f>LOOKUP(I421,Sheet6!$J$115:$J$156,Sheet6!$B$115:$B$156)*0.2</f>
        <v>#N/A</v>
      </c>
      <c r="R421" s="6" t="e">
        <f>LOOKUP(J421,Sheet6!$D$465:$D$506,Sheet6!$B$465:$B$506)*0.1</f>
        <v>#N/A</v>
      </c>
      <c r="S421" s="6">
        <f>LOOKUP(K421,Sheet6!$J$205:$J$246,Sheet6!$B$205:$B$246)*0.1</f>
        <v>6.2</v>
      </c>
      <c r="T421" s="6" t="e">
        <f>LOOKUP(L421,Sheet6!$F$688:$F$749,Sheet6!$B$688:$B$749)*0.2</f>
        <v>#N/A</v>
      </c>
      <c r="U421" s="6">
        <f>LOOKUP(M421,Sheet6!$D$600:$D$626,Sheet6!$B$600:$B$626)*0.1</f>
        <v>0</v>
      </c>
      <c r="V421" s="6" t="e">
        <f t="shared" si="28"/>
        <v>#DIV/0!</v>
      </c>
      <c r="W421" s="6" t="e">
        <f t="shared" si="29"/>
        <v>#DIV/0!</v>
      </c>
    </row>
    <row r="422" spans="1:23" ht="24.75" customHeight="1">
      <c r="A422" s="5"/>
      <c r="B422" s="5"/>
      <c r="C422" s="5"/>
      <c r="D422" s="5"/>
      <c r="E422" s="30"/>
      <c r="F422" s="5"/>
      <c r="G422" s="5"/>
      <c r="H422" s="5"/>
      <c r="I422" s="5"/>
      <c r="J422" s="5"/>
      <c r="K422" s="5"/>
      <c r="L422" s="5"/>
      <c r="M422" s="5"/>
      <c r="N422" s="13" t="e">
        <f t="shared" si="27"/>
        <v>#DIV/0!</v>
      </c>
      <c r="O422" s="6" t="e">
        <f>LOOKUP(N422,Sheet6!$J$4:$J$11,Sheet6!$B$4:$B$11)*0.15</f>
        <v>#DIV/0!</v>
      </c>
      <c r="P422" s="14" t="e">
        <f>LOOKUP(H422,Sheet6!$J$25:$J$66,Sheet6!$B$25:$B$66)*0.15</f>
        <v>#N/A</v>
      </c>
      <c r="Q422" s="6" t="e">
        <f>LOOKUP(I422,Sheet6!$J$115:$J$156,Sheet6!$B$115:$B$156)*0.2</f>
        <v>#N/A</v>
      </c>
      <c r="R422" s="6" t="e">
        <f>LOOKUP(J422,Sheet6!$D$465:$D$506,Sheet6!$B$465:$B$506)*0.1</f>
        <v>#N/A</v>
      </c>
      <c r="S422" s="6">
        <f>LOOKUP(K422,Sheet6!$J$205:$J$246,Sheet6!$B$205:$B$246)*0.1</f>
        <v>6.2</v>
      </c>
      <c r="T422" s="6" t="e">
        <f>LOOKUP(L422,Sheet6!$F$688:$F$749,Sheet6!$B$688:$B$749)*0.2</f>
        <v>#N/A</v>
      </c>
      <c r="U422" s="6">
        <f>LOOKUP(M422,Sheet6!$D$600:$D$626,Sheet6!$B$600:$B$626)*0.1</f>
        <v>0</v>
      </c>
      <c r="V422" s="6" t="e">
        <f t="shared" si="28"/>
        <v>#DIV/0!</v>
      </c>
      <c r="W422" s="6" t="e">
        <f t="shared" si="29"/>
        <v>#DIV/0!</v>
      </c>
    </row>
    <row r="423" spans="1:23" ht="24.75" customHeight="1">
      <c r="A423" s="5"/>
      <c r="B423" s="5"/>
      <c r="C423" s="5"/>
      <c r="D423" s="5"/>
      <c r="E423" s="30"/>
      <c r="F423" s="5"/>
      <c r="G423" s="5"/>
      <c r="H423" s="5"/>
      <c r="I423" s="5"/>
      <c r="J423" s="5"/>
      <c r="K423" s="5"/>
      <c r="L423" s="5"/>
      <c r="M423" s="5"/>
      <c r="N423" s="13" t="e">
        <f t="shared" si="27"/>
        <v>#DIV/0!</v>
      </c>
      <c r="O423" s="6" t="e">
        <f>LOOKUP(N423,Sheet6!$J$4:$J$11,Sheet6!$B$4:$B$11)*0.15</f>
        <v>#DIV/0!</v>
      </c>
      <c r="P423" s="14" t="e">
        <f>LOOKUP(H423,Sheet6!$J$25:$J$66,Sheet6!$B$25:$B$66)*0.15</f>
        <v>#N/A</v>
      </c>
      <c r="Q423" s="6" t="e">
        <f>LOOKUP(I423,Sheet6!$J$115:$J$156,Sheet6!$B$115:$B$156)*0.2</f>
        <v>#N/A</v>
      </c>
      <c r="R423" s="6" t="e">
        <f>LOOKUP(J423,Sheet6!$D$465:$D$506,Sheet6!$B$465:$B$506)*0.1</f>
        <v>#N/A</v>
      </c>
      <c r="S423" s="6">
        <f>LOOKUP(K423,Sheet6!$J$205:$J$246,Sheet6!$B$205:$B$246)*0.1</f>
        <v>6.2</v>
      </c>
      <c r="T423" s="6" t="e">
        <f>LOOKUP(L423,Sheet6!$F$688:$F$749,Sheet6!$B$688:$B$749)*0.2</f>
        <v>#N/A</v>
      </c>
      <c r="U423" s="6">
        <f>LOOKUP(M423,Sheet6!$D$600:$D$626,Sheet6!$B$600:$B$626)*0.1</f>
        <v>0</v>
      </c>
      <c r="V423" s="6" t="e">
        <f t="shared" si="28"/>
        <v>#DIV/0!</v>
      </c>
      <c r="W423" s="6" t="e">
        <f t="shared" si="29"/>
        <v>#DIV/0!</v>
      </c>
    </row>
    <row r="424" spans="1:23" ht="24.75" customHeight="1">
      <c r="A424" s="5"/>
      <c r="B424" s="5"/>
      <c r="C424" s="5"/>
      <c r="D424" s="5"/>
      <c r="E424" s="30"/>
      <c r="F424" s="5"/>
      <c r="G424" s="5"/>
      <c r="H424" s="5"/>
      <c r="I424" s="5"/>
      <c r="J424" s="5"/>
      <c r="K424" s="5"/>
      <c r="L424" s="5"/>
      <c r="M424" s="5"/>
      <c r="N424" s="13" t="e">
        <f t="shared" si="27"/>
        <v>#DIV/0!</v>
      </c>
      <c r="O424" s="6" t="e">
        <f>LOOKUP(N424,Sheet6!$J$4:$J$11,Sheet6!$B$4:$B$11)*0.15</f>
        <v>#DIV/0!</v>
      </c>
      <c r="P424" s="14" t="e">
        <f>LOOKUP(H424,Sheet6!$J$25:$J$66,Sheet6!$B$25:$B$66)*0.15</f>
        <v>#N/A</v>
      </c>
      <c r="Q424" s="6" t="e">
        <f>LOOKUP(I424,Sheet6!$J$115:$J$156,Sheet6!$B$115:$B$156)*0.2</f>
        <v>#N/A</v>
      </c>
      <c r="R424" s="6" t="e">
        <f>LOOKUP(J424,Sheet6!$D$465:$D$506,Sheet6!$B$465:$B$506)*0.1</f>
        <v>#N/A</v>
      </c>
      <c r="S424" s="6">
        <f>LOOKUP(K424,Sheet6!$J$205:$J$246,Sheet6!$B$205:$B$246)*0.1</f>
        <v>6.2</v>
      </c>
      <c r="T424" s="6" t="e">
        <f>LOOKUP(L424,Sheet6!$F$688:$F$749,Sheet6!$B$688:$B$749)*0.2</f>
        <v>#N/A</v>
      </c>
      <c r="U424" s="6">
        <f>LOOKUP(M424,Sheet6!$D$600:$D$626,Sheet6!$B$600:$B$626)*0.1</f>
        <v>0</v>
      </c>
      <c r="V424" s="6" t="e">
        <f t="shared" si="28"/>
        <v>#DIV/0!</v>
      </c>
      <c r="W424" s="6" t="e">
        <f t="shared" si="29"/>
        <v>#DIV/0!</v>
      </c>
    </row>
    <row r="425" spans="1:23" ht="24.75" customHeight="1">
      <c r="A425" s="5"/>
      <c r="B425" s="5"/>
      <c r="C425" s="5"/>
      <c r="D425" s="5"/>
      <c r="E425" s="30"/>
      <c r="F425" s="5"/>
      <c r="G425" s="5"/>
      <c r="H425" s="5"/>
      <c r="I425" s="5"/>
      <c r="J425" s="5"/>
      <c r="K425" s="5"/>
      <c r="L425" s="5"/>
      <c r="M425" s="5"/>
      <c r="N425" s="13" t="e">
        <f t="shared" si="27"/>
        <v>#DIV/0!</v>
      </c>
      <c r="O425" s="6" t="e">
        <f>LOOKUP(N425,Sheet6!$J$4:$J$11,Sheet6!$B$4:$B$11)*0.15</f>
        <v>#DIV/0!</v>
      </c>
      <c r="P425" s="14" t="e">
        <f>LOOKUP(H425,Sheet6!$J$25:$J$66,Sheet6!$B$25:$B$66)*0.15</f>
        <v>#N/A</v>
      </c>
      <c r="Q425" s="6" t="e">
        <f>LOOKUP(I425,Sheet6!$J$115:$J$156,Sheet6!$B$115:$B$156)*0.2</f>
        <v>#N/A</v>
      </c>
      <c r="R425" s="6" t="e">
        <f>LOOKUP(J425,Sheet6!$D$465:$D$506,Sheet6!$B$465:$B$506)*0.1</f>
        <v>#N/A</v>
      </c>
      <c r="S425" s="6">
        <f>LOOKUP(K425,Sheet6!$J$205:$J$246,Sheet6!$B$205:$B$246)*0.1</f>
        <v>6.2</v>
      </c>
      <c r="T425" s="6" t="e">
        <f>LOOKUP(L425,Sheet6!$F$688:$F$749,Sheet6!$B$688:$B$749)*0.2</f>
        <v>#N/A</v>
      </c>
      <c r="U425" s="6">
        <f>LOOKUP(M425,Sheet6!$D$600:$D$626,Sheet6!$B$600:$B$626)*0.1</f>
        <v>0</v>
      </c>
      <c r="V425" s="6" t="e">
        <f t="shared" si="28"/>
        <v>#DIV/0!</v>
      </c>
      <c r="W425" s="6" t="e">
        <f t="shared" si="29"/>
        <v>#DIV/0!</v>
      </c>
    </row>
    <row r="426" spans="1:23" ht="24.75" customHeight="1">
      <c r="A426" s="5"/>
      <c r="B426" s="5"/>
      <c r="C426" s="5"/>
      <c r="D426" s="5"/>
      <c r="E426" s="30"/>
      <c r="F426" s="5"/>
      <c r="G426" s="5"/>
      <c r="H426" s="5"/>
      <c r="I426" s="5"/>
      <c r="J426" s="5"/>
      <c r="K426" s="5"/>
      <c r="L426" s="5"/>
      <c r="M426" s="5"/>
      <c r="N426" s="13" t="e">
        <f t="shared" si="27"/>
        <v>#DIV/0!</v>
      </c>
      <c r="O426" s="6" t="e">
        <f>LOOKUP(N426,Sheet6!$J$4:$J$11,Sheet6!$B$4:$B$11)*0.15</f>
        <v>#DIV/0!</v>
      </c>
      <c r="P426" s="14" t="e">
        <f>LOOKUP(H426,Sheet6!$J$25:$J$66,Sheet6!$B$25:$B$66)*0.15</f>
        <v>#N/A</v>
      </c>
      <c r="Q426" s="6" t="e">
        <f>LOOKUP(I426,Sheet6!$J$115:$J$156,Sheet6!$B$115:$B$156)*0.2</f>
        <v>#N/A</v>
      </c>
      <c r="R426" s="6" t="e">
        <f>LOOKUP(J426,Sheet6!$D$465:$D$506,Sheet6!$B$465:$B$506)*0.1</f>
        <v>#N/A</v>
      </c>
      <c r="S426" s="6">
        <f>LOOKUP(K426,Sheet6!$J$205:$J$246,Sheet6!$B$205:$B$246)*0.1</f>
        <v>6.2</v>
      </c>
      <c r="T426" s="6" t="e">
        <f>LOOKUP(L426,Sheet6!$F$688:$F$749,Sheet6!$B$688:$B$749)*0.2</f>
        <v>#N/A</v>
      </c>
      <c r="U426" s="6">
        <f>LOOKUP(M426,Sheet6!$D$600:$D$626,Sheet6!$B$600:$B$626)*0.1</f>
        <v>0</v>
      </c>
      <c r="V426" s="6" t="e">
        <f t="shared" si="28"/>
        <v>#DIV/0!</v>
      </c>
      <c r="W426" s="6" t="e">
        <f t="shared" si="29"/>
        <v>#DIV/0!</v>
      </c>
    </row>
    <row r="427" spans="1:23" ht="24.75" customHeight="1">
      <c r="A427" s="5"/>
      <c r="B427" s="5"/>
      <c r="C427" s="5"/>
      <c r="D427" s="5"/>
      <c r="E427" s="30"/>
      <c r="F427" s="5"/>
      <c r="G427" s="5"/>
      <c r="H427" s="5"/>
      <c r="I427" s="5"/>
      <c r="J427" s="5"/>
      <c r="K427" s="5"/>
      <c r="L427" s="5"/>
      <c r="M427" s="5"/>
      <c r="N427" s="13" t="e">
        <f t="shared" si="27"/>
        <v>#DIV/0!</v>
      </c>
      <c r="O427" s="6" t="e">
        <f>LOOKUP(N427,Sheet6!$J$4:$J$11,Sheet6!$B$4:$B$11)*0.15</f>
        <v>#DIV/0!</v>
      </c>
      <c r="P427" s="14" t="e">
        <f>LOOKUP(H427,Sheet6!$J$25:$J$66,Sheet6!$B$25:$B$66)*0.15</f>
        <v>#N/A</v>
      </c>
      <c r="Q427" s="6" t="e">
        <f>LOOKUP(I427,Sheet6!$J$115:$J$156,Sheet6!$B$115:$B$156)*0.2</f>
        <v>#N/A</v>
      </c>
      <c r="R427" s="6" t="e">
        <f>LOOKUP(J427,Sheet6!$D$465:$D$506,Sheet6!$B$465:$B$506)*0.1</f>
        <v>#N/A</v>
      </c>
      <c r="S427" s="6">
        <f>LOOKUP(K427,Sheet6!$J$205:$J$246,Sheet6!$B$205:$B$246)*0.1</f>
        <v>6.2</v>
      </c>
      <c r="T427" s="6" t="e">
        <f>LOOKUP(L427,Sheet6!$F$688:$F$749,Sheet6!$B$688:$B$749)*0.2</f>
        <v>#N/A</v>
      </c>
      <c r="U427" s="6">
        <f>LOOKUP(M427,Sheet6!$D$600:$D$626,Sheet6!$B$600:$B$626)*0.1</f>
        <v>0</v>
      </c>
      <c r="V427" s="6" t="e">
        <f t="shared" si="28"/>
        <v>#DIV/0!</v>
      </c>
      <c r="W427" s="6" t="e">
        <f t="shared" si="29"/>
        <v>#DIV/0!</v>
      </c>
    </row>
    <row r="428" spans="1:23" ht="24.75" customHeight="1">
      <c r="A428" s="5"/>
      <c r="B428" s="5"/>
      <c r="C428" s="5"/>
      <c r="D428" s="5"/>
      <c r="E428" s="30"/>
      <c r="F428" s="5"/>
      <c r="G428" s="5"/>
      <c r="H428" s="5"/>
      <c r="I428" s="5"/>
      <c r="J428" s="5"/>
      <c r="K428" s="5"/>
      <c r="L428" s="5"/>
      <c r="M428" s="5"/>
      <c r="N428" s="13" t="e">
        <f t="shared" si="27"/>
        <v>#DIV/0!</v>
      </c>
      <c r="O428" s="6" t="e">
        <f>LOOKUP(N428,Sheet6!$J$4:$J$11,Sheet6!$B$4:$B$11)*0.15</f>
        <v>#DIV/0!</v>
      </c>
      <c r="P428" s="14" t="e">
        <f>LOOKUP(H428,Sheet6!$J$25:$J$66,Sheet6!$B$25:$B$66)*0.15</f>
        <v>#N/A</v>
      </c>
      <c r="Q428" s="6" t="e">
        <f>LOOKUP(I428,Sheet6!$J$115:$J$156,Sheet6!$B$115:$B$156)*0.2</f>
        <v>#N/A</v>
      </c>
      <c r="R428" s="6" t="e">
        <f>LOOKUP(J428,Sheet6!$D$465:$D$506,Sheet6!$B$465:$B$506)*0.1</f>
        <v>#N/A</v>
      </c>
      <c r="S428" s="6">
        <f>LOOKUP(K428,Sheet6!$J$205:$J$246,Sheet6!$B$205:$B$246)*0.1</f>
        <v>6.2</v>
      </c>
      <c r="T428" s="6" t="e">
        <f>LOOKUP(L428,Sheet6!$F$688:$F$749,Sheet6!$B$688:$B$749)*0.2</f>
        <v>#N/A</v>
      </c>
      <c r="U428" s="6">
        <f>LOOKUP(M428,Sheet6!$D$600:$D$626,Sheet6!$B$600:$B$626)*0.1</f>
        <v>0</v>
      </c>
      <c r="V428" s="6" t="e">
        <f t="shared" si="28"/>
        <v>#DIV/0!</v>
      </c>
      <c r="W428" s="6" t="e">
        <f t="shared" si="29"/>
        <v>#DIV/0!</v>
      </c>
    </row>
    <row r="429" spans="1:23" ht="24.75" customHeight="1">
      <c r="A429" s="5"/>
      <c r="B429" s="5"/>
      <c r="C429" s="5"/>
      <c r="D429" s="5"/>
      <c r="E429" s="30"/>
      <c r="F429" s="5"/>
      <c r="G429" s="5"/>
      <c r="H429" s="5"/>
      <c r="I429" s="5"/>
      <c r="J429" s="5"/>
      <c r="K429" s="5"/>
      <c r="L429" s="5"/>
      <c r="M429" s="5"/>
      <c r="N429" s="13" t="e">
        <f t="shared" si="27"/>
        <v>#DIV/0!</v>
      </c>
      <c r="O429" s="6" t="e">
        <f>LOOKUP(N429,Sheet6!$J$4:$J$11,Sheet6!$B$4:$B$11)*0.15</f>
        <v>#DIV/0!</v>
      </c>
      <c r="P429" s="14" t="e">
        <f>LOOKUP(H429,Sheet6!$J$25:$J$66,Sheet6!$B$25:$B$66)*0.15</f>
        <v>#N/A</v>
      </c>
      <c r="Q429" s="6" t="e">
        <f>LOOKUP(I429,Sheet6!$J$115:$J$156,Sheet6!$B$115:$B$156)*0.2</f>
        <v>#N/A</v>
      </c>
      <c r="R429" s="6" t="e">
        <f>LOOKUP(J429,Sheet6!$D$465:$D$506,Sheet6!$B$465:$B$506)*0.1</f>
        <v>#N/A</v>
      </c>
      <c r="S429" s="6">
        <f>LOOKUP(K429,Sheet6!$J$205:$J$246,Sheet6!$B$205:$B$246)*0.1</f>
        <v>6.2</v>
      </c>
      <c r="T429" s="6" t="e">
        <f>LOOKUP(L429,Sheet6!$F$688:$F$749,Sheet6!$B$688:$B$749)*0.2</f>
        <v>#N/A</v>
      </c>
      <c r="U429" s="6">
        <f>LOOKUP(M429,Sheet6!$D$600:$D$626,Sheet6!$B$600:$B$626)*0.1</f>
        <v>0</v>
      </c>
      <c r="V429" s="6" t="e">
        <f t="shared" si="28"/>
        <v>#DIV/0!</v>
      </c>
      <c r="W429" s="6" t="e">
        <f t="shared" si="29"/>
        <v>#DIV/0!</v>
      </c>
    </row>
    <row r="430" spans="1:23" ht="24.75" customHeight="1">
      <c r="A430" s="5"/>
      <c r="B430" s="5"/>
      <c r="C430" s="5"/>
      <c r="D430" s="5"/>
      <c r="E430" s="30"/>
      <c r="F430" s="5"/>
      <c r="G430" s="5"/>
      <c r="H430" s="5"/>
      <c r="I430" s="5"/>
      <c r="J430" s="5"/>
      <c r="K430" s="5"/>
      <c r="L430" s="5"/>
      <c r="M430" s="5"/>
      <c r="N430" s="13" t="e">
        <f t="shared" si="27"/>
        <v>#DIV/0!</v>
      </c>
      <c r="O430" s="6" t="e">
        <f>LOOKUP(N430,Sheet6!$J$4:$J$11,Sheet6!$B$4:$B$11)*0.15</f>
        <v>#DIV/0!</v>
      </c>
      <c r="P430" s="14" t="e">
        <f>LOOKUP(H430,Sheet6!$J$25:$J$66,Sheet6!$B$25:$B$66)*0.15</f>
        <v>#N/A</v>
      </c>
      <c r="Q430" s="6" t="e">
        <f>LOOKUP(I430,Sheet6!$J$115:$J$156,Sheet6!$B$115:$B$156)*0.2</f>
        <v>#N/A</v>
      </c>
      <c r="R430" s="6" t="e">
        <f>LOOKUP(J430,Sheet6!$D$465:$D$506,Sheet6!$B$465:$B$506)*0.1</f>
        <v>#N/A</v>
      </c>
      <c r="S430" s="6">
        <f>LOOKUP(K430,Sheet6!$J$205:$J$246,Sheet6!$B$205:$B$246)*0.1</f>
        <v>6.2</v>
      </c>
      <c r="T430" s="6" t="e">
        <f>LOOKUP(L430,Sheet6!$F$688:$F$749,Sheet6!$B$688:$B$749)*0.2</f>
        <v>#N/A</v>
      </c>
      <c r="U430" s="6">
        <f>LOOKUP(M430,Sheet6!$D$600:$D$626,Sheet6!$B$600:$B$626)*0.1</f>
        <v>0</v>
      </c>
      <c r="V430" s="6" t="e">
        <f t="shared" si="28"/>
        <v>#DIV/0!</v>
      </c>
      <c r="W430" s="6" t="e">
        <f t="shared" si="29"/>
        <v>#DIV/0!</v>
      </c>
    </row>
    <row r="431" spans="1:23" ht="24.75" customHeight="1">
      <c r="A431" s="5"/>
      <c r="B431" s="5"/>
      <c r="C431" s="5"/>
      <c r="D431" s="5"/>
      <c r="E431" s="30"/>
      <c r="F431" s="5"/>
      <c r="G431" s="5"/>
      <c r="H431" s="5"/>
      <c r="I431" s="5"/>
      <c r="J431" s="5"/>
      <c r="K431" s="5"/>
      <c r="L431" s="5"/>
      <c r="M431" s="5"/>
      <c r="N431" s="13" t="e">
        <f t="shared" si="27"/>
        <v>#DIV/0!</v>
      </c>
      <c r="O431" s="6" t="e">
        <f>LOOKUP(N431,Sheet6!$J$4:$J$11,Sheet6!$B$4:$B$11)*0.15</f>
        <v>#DIV/0!</v>
      </c>
      <c r="P431" s="14" t="e">
        <f>LOOKUP(H431,Sheet6!$J$25:$J$66,Sheet6!$B$25:$B$66)*0.15</f>
        <v>#N/A</v>
      </c>
      <c r="Q431" s="6" t="e">
        <f>LOOKUP(I431,Sheet6!$J$115:$J$156,Sheet6!$B$115:$B$156)*0.2</f>
        <v>#N/A</v>
      </c>
      <c r="R431" s="6" t="e">
        <f>LOOKUP(J431,Sheet6!$D$465:$D$506,Sheet6!$B$465:$B$506)*0.1</f>
        <v>#N/A</v>
      </c>
      <c r="S431" s="6">
        <f>LOOKUP(K431,Sheet6!$J$205:$J$246,Sheet6!$B$205:$B$246)*0.1</f>
        <v>6.2</v>
      </c>
      <c r="T431" s="6" t="e">
        <f>LOOKUP(L431,Sheet6!$F$688:$F$749,Sheet6!$B$688:$B$749)*0.2</f>
        <v>#N/A</v>
      </c>
      <c r="U431" s="6">
        <f>LOOKUP(M431,Sheet6!$D$600:$D$626,Sheet6!$B$600:$B$626)*0.1</f>
        <v>0</v>
      </c>
      <c r="V431" s="6" t="e">
        <f t="shared" si="28"/>
        <v>#DIV/0!</v>
      </c>
      <c r="W431" s="6" t="e">
        <f t="shared" si="29"/>
        <v>#DIV/0!</v>
      </c>
    </row>
    <row r="432" spans="1:23" ht="24.75" customHeight="1">
      <c r="A432" s="5"/>
      <c r="B432" s="5"/>
      <c r="C432" s="5"/>
      <c r="D432" s="5"/>
      <c r="E432" s="30"/>
      <c r="F432" s="5"/>
      <c r="G432" s="5"/>
      <c r="H432" s="5"/>
      <c r="I432" s="5"/>
      <c r="J432" s="5"/>
      <c r="K432" s="5"/>
      <c r="L432" s="5"/>
      <c r="M432" s="5"/>
      <c r="N432" s="13" t="e">
        <f t="shared" si="27"/>
        <v>#DIV/0!</v>
      </c>
      <c r="O432" s="6" t="e">
        <f>LOOKUP(N432,Sheet6!$J$4:$J$11,Sheet6!$B$4:$B$11)*0.15</f>
        <v>#DIV/0!</v>
      </c>
      <c r="P432" s="14" t="e">
        <f>LOOKUP(H432,Sheet6!$J$25:$J$66,Sheet6!$B$25:$B$66)*0.15</f>
        <v>#N/A</v>
      </c>
      <c r="Q432" s="6" t="e">
        <f>LOOKUP(I432,Sheet6!$J$115:$J$156,Sheet6!$B$115:$B$156)*0.2</f>
        <v>#N/A</v>
      </c>
      <c r="R432" s="6" t="e">
        <f>LOOKUP(J432,Sheet6!$D$465:$D$506,Sheet6!$B$465:$B$506)*0.1</f>
        <v>#N/A</v>
      </c>
      <c r="S432" s="6">
        <f>LOOKUP(K432,Sheet6!$J$205:$J$246,Sheet6!$B$205:$B$246)*0.1</f>
        <v>6.2</v>
      </c>
      <c r="T432" s="6" t="e">
        <f>LOOKUP(L432,Sheet6!$F$688:$F$749,Sheet6!$B$688:$B$749)*0.2</f>
        <v>#N/A</v>
      </c>
      <c r="U432" s="6">
        <f>LOOKUP(M432,Sheet6!$D$600:$D$626,Sheet6!$B$600:$B$626)*0.1</f>
        <v>0</v>
      </c>
      <c r="V432" s="6" t="e">
        <f t="shared" si="28"/>
        <v>#DIV/0!</v>
      </c>
      <c r="W432" s="6" t="e">
        <f t="shared" si="29"/>
        <v>#DIV/0!</v>
      </c>
    </row>
    <row r="433" spans="1:23" ht="24.75" customHeight="1">
      <c r="A433" s="5"/>
      <c r="B433" s="5"/>
      <c r="C433" s="5"/>
      <c r="D433" s="5"/>
      <c r="E433" s="30"/>
      <c r="F433" s="5"/>
      <c r="G433" s="5"/>
      <c r="H433" s="5"/>
      <c r="I433" s="5"/>
      <c r="J433" s="5"/>
      <c r="K433" s="5"/>
      <c r="L433" s="5"/>
      <c r="M433" s="5"/>
      <c r="N433" s="13" t="e">
        <f t="shared" si="27"/>
        <v>#DIV/0!</v>
      </c>
      <c r="O433" s="6" t="e">
        <f>LOOKUP(N433,Sheet6!$J$4:$J$11,Sheet6!$B$4:$B$11)*0.15</f>
        <v>#DIV/0!</v>
      </c>
      <c r="P433" s="14" t="e">
        <f>LOOKUP(H433,Sheet6!$J$25:$J$66,Sheet6!$B$25:$B$66)*0.15</f>
        <v>#N/A</v>
      </c>
      <c r="Q433" s="6" t="e">
        <f>LOOKUP(I433,Sheet6!$J$115:$J$156,Sheet6!$B$115:$B$156)*0.2</f>
        <v>#N/A</v>
      </c>
      <c r="R433" s="6" t="e">
        <f>LOOKUP(J433,Sheet6!$D$465:$D$506,Sheet6!$B$465:$B$506)*0.1</f>
        <v>#N/A</v>
      </c>
      <c r="S433" s="6">
        <f>LOOKUP(K433,Sheet6!$J$205:$J$246,Sheet6!$B$205:$B$246)*0.1</f>
        <v>6.2</v>
      </c>
      <c r="T433" s="6" t="e">
        <f>LOOKUP(L433,Sheet6!$F$688:$F$749,Sheet6!$B$688:$B$749)*0.2</f>
        <v>#N/A</v>
      </c>
      <c r="U433" s="6">
        <f>LOOKUP(M433,Sheet6!$D$600:$D$626,Sheet6!$B$600:$B$626)*0.1</f>
        <v>0</v>
      </c>
      <c r="V433" s="6" t="e">
        <f t="shared" si="28"/>
        <v>#DIV/0!</v>
      </c>
      <c r="W433" s="6" t="e">
        <f t="shared" si="29"/>
        <v>#DIV/0!</v>
      </c>
    </row>
    <row r="434" spans="1:23" ht="24.75" customHeight="1">
      <c r="A434" s="5"/>
      <c r="B434" s="5"/>
      <c r="C434" s="5"/>
      <c r="D434" s="5"/>
      <c r="E434" s="30"/>
      <c r="F434" s="5"/>
      <c r="G434" s="5"/>
      <c r="H434" s="5"/>
      <c r="I434" s="5"/>
      <c r="J434" s="5"/>
      <c r="K434" s="5"/>
      <c r="L434" s="5"/>
      <c r="M434" s="5"/>
      <c r="N434" s="13" t="e">
        <f t="shared" si="27"/>
        <v>#DIV/0!</v>
      </c>
      <c r="O434" s="6" t="e">
        <f>LOOKUP(N434,Sheet6!$J$4:$J$11,Sheet6!$B$4:$B$11)*0.15</f>
        <v>#DIV/0!</v>
      </c>
      <c r="P434" s="14" t="e">
        <f>LOOKUP(H434,Sheet6!$J$25:$J$66,Sheet6!$B$25:$B$66)*0.15</f>
        <v>#N/A</v>
      </c>
      <c r="Q434" s="6" t="e">
        <f>LOOKUP(I434,Sheet6!$J$115:$J$156,Sheet6!$B$115:$B$156)*0.2</f>
        <v>#N/A</v>
      </c>
      <c r="R434" s="6" t="e">
        <f>LOOKUP(J434,Sheet6!$D$465:$D$506,Sheet6!$B$465:$B$506)*0.1</f>
        <v>#N/A</v>
      </c>
      <c r="S434" s="6">
        <f>LOOKUP(K434,Sheet6!$J$205:$J$246,Sheet6!$B$205:$B$246)*0.1</f>
        <v>6.2</v>
      </c>
      <c r="T434" s="6" t="e">
        <f>LOOKUP(L434,Sheet6!$F$688:$F$749,Sheet6!$B$688:$B$749)*0.2</f>
        <v>#N/A</v>
      </c>
      <c r="U434" s="6">
        <f>LOOKUP(M434,Sheet6!$D$600:$D$626,Sheet6!$B$600:$B$626)*0.1</f>
        <v>0</v>
      </c>
      <c r="V434" s="6" t="e">
        <f t="shared" si="28"/>
        <v>#DIV/0!</v>
      </c>
      <c r="W434" s="6" t="e">
        <f t="shared" si="29"/>
        <v>#DIV/0!</v>
      </c>
    </row>
    <row r="435" spans="1:23" ht="24.75" customHeight="1">
      <c r="A435" s="5"/>
      <c r="B435" s="5"/>
      <c r="C435" s="5"/>
      <c r="D435" s="5"/>
      <c r="E435" s="30"/>
      <c r="F435" s="5"/>
      <c r="G435" s="5"/>
      <c r="H435" s="5"/>
      <c r="I435" s="5"/>
      <c r="J435" s="5"/>
      <c r="K435" s="5"/>
      <c r="L435" s="5"/>
      <c r="M435" s="5"/>
      <c r="N435" s="13" t="e">
        <f t="shared" si="27"/>
        <v>#DIV/0!</v>
      </c>
      <c r="O435" s="6" t="e">
        <f>LOOKUP(N435,Sheet6!$J$4:$J$11,Sheet6!$B$4:$B$11)*0.15</f>
        <v>#DIV/0!</v>
      </c>
      <c r="P435" s="14" t="e">
        <f>LOOKUP(H435,Sheet6!$J$25:$J$66,Sheet6!$B$25:$B$66)*0.15</f>
        <v>#N/A</v>
      </c>
      <c r="Q435" s="6" t="e">
        <f>LOOKUP(I435,Sheet6!$J$115:$J$156,Sheet6!$B$115:$B$156)*0.2</f>
        <v>#N/A</v>
      </c>
      <c r="R435" s="6" t="e">
        <f>LOOKUP(J435,Sheet6!$D$465:$D$506,Sheet6!$B$465:$B$506)*0.1</f>
        <v>#N/A</v>
      </c>
      <c r="S435" s="6">
        <f>LOOKUP(K435,Sheet6!$J$205:$J$246,Sheet6!$B$205:$B$246)*0.1</f>
        <v>6.2</v>
      </c>
      <c r="T435" s="6" t="e">
        <f>LOOKUP(L435,Sheet6!$F$688:$F$749,Sheet6!$B$688:$B$749)*0.2</f>
        <v>#N/A</v>
      </c>
      <c r="U435" s="6">
        <f>LOOKUP(M435,Sheet6!$D$600:$D$626,Sheet6!$B$600:$B$626)*0.1</f>
        <v>0</v>
      </c>
      <c r="V435" s="6" t="e">
        <f t="shared" si="28"/>
        <v>#DIV/0!</v>
      </c>
      <c r="W435" s="6" t="e">
        <f t="shared" si="29"/>
        <v>#DIV/0!</v>
      </c>
    </row>
    <row r="436" spans="1:23" ht="24.75" customHeight="1">
      <c r="A436" s="5"/>
      <c r="B436" s="5"/>
      <c r="C436" s="5"/>
      <c r="D436" s="5"/>
      <c r="E436" s="30"/>
      <c r="F436" s="5"/>
      <c r="G436" s="5"/>
      <c r="H436" s="5"/>
      <c r="I436" s="5"/>
      <c r="J436" s="5"/>
      <c r="K436" s="5"/>
      <c r="L436" s="5"/>
      <c r="M436" s="5"/>
      <c r="N436" s="13" t="e">
        <f t="shared" si="27"/>
        <v>#DIV/0!</v>
      </c>
      <c r="O436" s="6" t="e">
        <f>LOOKUP(N436,Sheet6!$J$4:$J$11,Sheet6!$B$4:$B$11)*0.15</f>
        <v>#DIV/0!</v>
      </c>
      <c r="P436" s="14" t="e">
        <f>LOOKUP(H436,Sheet6!$J$25:$J$66,Sheet6!$B$25:$B$66)*0.15</f>
        <v>#N/A</v>
      </c>
      <c r="Q436" s="6" t="e">
        <f>LOOKUP(I436,Sheet6!$J$115:$J$156,Sheet6!$B$115:$B$156)*0.2</f>
        <v>#N/A</v>
      </c>
      <c r="R436" s="6" t="e">
        <f>LOOKUP(J436,Sheet6!$D$465:$D$506,Sheet6!$B$465:$B$506)*0.1</f>
        <v>#N/A</v>
      </c>
      <c r="S436" s="6">
        <f>LOOKUP(K436,Sheet6!$J$205:$J$246,Sheet6!$B$205:$B$246)*0.1</f>
        <v>6.2</v>
      </c>
      <c r="T436" s="6" t="e">
        <f>LOOKUP(L436,Sheet6!$F$688:$F$749,Sheet6!$B$688:$B$749)*0.2</f>
        <v>#N/A</v>
      </c>
      <c r="U436" s="6">
        <f>LOOKUP(M436,Sheet6!$D$600:$D$626,Sheet6!$B$600:$B$626)*0.1</f>
        <v>0</v>
      </c>
      <c r="V436" s="6" t="e">
        <f t="shared" si="28"/>
        <v>#DIV/0!</v>
      </c>
      <c r="W436" s="6" t="e">
        <f t="shared" si="29"/>
        <v>#DIV/0!</v>
      </c>
    </row>
    <row r="437" spans="1:23" ht="24.75" customHeight="1">
      <c r="A437" s="5"/>
      <c r="B437" s="5"/>
      <c r="C437" s="5"/>
      <c r="D437" s="5"/>
      <c r="E437" s="30"/>
      <c r="F437" s="5"/>
      <c r="G437" s="5"/>
      <c r="H437" s="5"/>
      <c r="I437" s="5"/>
      <c r="J437" s="5"/>
      <c r="K437" s="5"/>
      <c r="L437" s="5"/>
      <c r="M437" s="5"/>
      <c r="N437" s="13" t="e">
        <f t="shared" si="27"/>
        <v>#DIV/0!</v>
      </c>
      <c r="O437" s="6" t="e">
        <f>LOOKUP(N437,Sheet6!$J$4:$J$11,Sheet6!$B$4:$B$11)*0.15</f>
        <v>#DIV/0!</v>
      </c>
      <c r="P437" s="14" t="e">
        <f>LOOKUP(H437,Sheet6!$J$25:$J$66,Sheet6!$B$25:$B$66)*0.15</f>
        <v>#N/A</v>
      </c>
      <c r="Q437" s="6" t="e">
        <f>LOOKUP(I437,Sheet6!$J$115:$J$156,Sheet6!$B$115:$B$156)*0.2</f>
        <v>#N/A</v>
      </c>
      <c r="R437" s="6" t="e">
        <f>LOOKUP(J437,Sheet6!$D$465:$D$506,Sheet6!$B$465:$B$506)*0.1</f>
        <v>#N/A</v>
      </c>
      <c r="S437" s="6">
        <f>LOOKUP(K437,Sheet6!$J$205:$J$246,Sheet6!$B$205:$B$246)*0.1</f>
        <v>6.2</v>
      </c>
      <c r="T437" s="6" t="e">
        <f>LOOKUP(L437,Sheet6!$F$688:$F$749,Sheet6!$B$688:$B$749)*0.2</f>
        <v>#N/A</v>
      </c>
      <c r="U437" s="6">
        <f>LOOKUP(M437,Sheet6!$D$600:$D$626,Sheet6!$B$600:$B$626)*0.1</f>
        <v>0</v>
      </c>
      <c r="V437" s="6" t="e">
        <f t="shared" si="28"/>
        <v>#DIV/0!</v>
      </c>
      <c r="W437" s="6" t="e">
        <f t="shared" si="29"/>
        <v>#DIV/0!</v>
      </c>
    </row>
    <row r="438" spans="1:23" ht="24.75" customHeight="1">
      <c r="A438" s="5"/>
      <c r="B438" s="5"/>
      <c r="C438" s="5"/>
      <c r="D438" s="5"/>
      <c r="E438" s="30"/>
      <c r="F438" s="5"/>
      <c r="G438" s="5"/>
      <c r="H438" s="5"/>
      <c r="I438" s="5"/>
      <c r="J438" s="5"/>
      <c r="K438" s="5"/>
      <c r="L438" s="5"/>
      <c r="M438" s="5"/>
      <c r="N438" s="13" t="e">
        <f t="shared" si="27"/>
        <v>#DIV/0!</v>
      </c>
      <c r="O438" s="6" t="e">
        <f>LOOKUP(N438,Sheet6!$J$4:$J$11,Sheet6!$B$4:$B$11)*0.15</f>
        <v>#DIV/0!</v>
      </c>
      <c r="P438" s="14" t="e">
        <f>LOOKUP(H438,Sheet6!$J$25:$J$66,Sheet6!$B$25:$B$66)*0.15</f>
        <v>#N/A</v>
      </c>
      <c r="Q438" s="6" t="e">
        <f>LOOKUP(I438,Sheet6!$J$115:$J$156,Sheet6!$B$115:$B$156)*0.2</f>
        <v>#N/A</v>
      </c>
      <c r="R438" s="6" t="e">
        <f>LOOKUP(J438,Sheet6!$D$465:$D$506,Sheet6!$B$465:$B$506)*0.1</f>
        <v>#N/A</v>
      </c>
      <c r="S438" s="6">
        <f>LOOKUP(K438,Sheet6!$J$205:$J$246,Sheet6!$B$205:$B$246)*0.1</f>
        <v>6.2</v>
      </c>
      <c r="T438" s="6" t="e">
        <f>LOOKUP(L438,Sheet6!$F$688:$F$749,Sheet6!$B$688:$B$749)*0.2</f>
        <v>#N/A</v>
      </c>
      <c r="U438" s="6">
        <f>LOOKUP(M438,Sheet6!$D$600:$D$626,Sheet6!$B$600:$B$626)*0.1</f>
        <v>0</v>
      </c>
      <c r="V438" s="6" t="e">
        <f t="shared" si="28"/>
        <v>#DIV/0!</v>
      </c>
      <c r="W438" s="6" t="e">
        <f t="shared" si="29"/>
        <v>#DIV/0!</v>
      </c>
    </row>
    <row r="439" spans="1:23" ht="24.75" customHeight="1">
      <c r="A439" s="5"/>
      <c r="B439" s="5"/>
      <c r="C439" s="5"/>
      <c r="D439" s="5"/>
      <c r="E439" s="30"/>
      <c r="F439" s="5"/>
      <c r="G439" s="5"/>
      <c r="H439" s="5"/>
      <c r="I439" s="5"/>
      <c r="J439" s="5"/>
      <c r="K439" s="5"/>
      <c r="L439" s="5"/>
      <c r="M439" s="5"/>
      <c r="N439" s="13" t="e">
        <f t="shared" si="27"/>
        <v>#DIV/0!</v>
      </c>
      <c r="O439" s="6" t="e">
        <f>LOOKUP(N439,Sheet6!$J$4:$J$11,Sheet6!$B$4:$B$11)*0.15</f>
        <v>#DIV/0!</v>
      </c>
      <c r="P439" s="14" t="e">
        <f>LOOKUP(H439,Sheet6!$J$25:$J$66,Sheet6!$B$25:$B$66)*0.15</f>
        <v>#N/A</v>
      </c>
      <c r="Q439" s="6" t="e">
        <f>LOOKUP(I439,Sheet6!$J$115:$J$156,Sheet6!$B$115:$B$156)*0.2</f>
        <v>#N/A</v>
      </c>
      <c r="R439" s="6" t="e">
        <f>LOOKUP(J439,Sheet6!$D$465:$D$506,Sheet6!$B$465:$B$506)*0.1</f>
        <v>#N/A</v>
      </c>
      <c r="S439" s="6">
        <f>LOOKUP(K439,Sheet6!$J$205:$J$246,Sheet6!$B$205:$B$246)*0.1</f>
        <v>6.2</v>
      </c>
      <c r="T439" s="6" t="e">
        <f>LOOKUP(L439,Sheet6!$F$688:$F$749,Sheet6!$B$688:$B$749)*0.2</f>
        <v>#N/A</v>
      </c>
      <c r="U439" s="6">
        <f>LOOKUP(M439,Sheet6!$D$600:$D$626,Sheet6!$B$600:$B$626)*0.1</f>
        <v>0</v>
      </c>
      <c r="V439" s="6" t="e">
        <f t="shared" si="28"/>
        <v>#DIV/0!</v>
      </c>
      <c r="W439" s="6" t="e">
        <f t="shared" si="29"/>
        <v>#DIV/0!</v>
      </c>
    </row>
    <row r="440" spans="1:23" ht="24.75" customHeight="1">
      <c r="A440" s="5"/>
      <c r="B440" s="5"/>
      <c r="C440" s="5"/>
      <c r="D440" s="5"/>
      <c r="E440" s="30"/>
      <c r="F440" s="5"/>
      <c r="G440" s="5"/>
      <c r="H440" s="5"/>
      <c r="I440" s="5"/>
      <c r="J440" s="5"/>
      <c r="K440" s="5"/>
      <c r="L440" s="5"/>
      <c r="M440" s="5"/>
      <c r="N440" s="13" t="e">
        <f t="shared" si="27"/>
        <v>#DIV/0!</v>
      </c>
      <c r="O440" s="6" t="e">
        <f>LOOKUP(N440,Sheet6!$J$4:$J$11,Sheet6!$B$4:$B$11)*0.15</f>
        <v>#DIV/0!</v>
      </c>
      <c r="P440" s="14" t="e">
        <f>LOOKUP(H440,Sheet6!$J$25:$J$66,Sheet6!$B$25:$B$66)*0.15</f>
        <v>#N/A</v>
      </c>
      <c r="Q440" s="6" t="e">
        <f>LOOKUP(I440,Sheet6!$J$115:$J$156,Sheet6!$B$115:$B$156)*0.2</f>
        <v>#N/A</v>
      </c>
      <c r="R440" s="6" t="e">
        <f>LOOKUP(J440,Sheet6!$D$465:$D$506,Sheet6!$B$465:$B$506)*0.1</f>
        <v>#N/A</v>
      </c>
      <c r="S440" s="6">
        <f>LOOKUP(K440,Sheet6!$J$205:$J$246,Sheet6!$B$205:$B$246)*0.1</f>
        <v>6.2</v>
      </c>
      <c r="T440" s="6" t="e">
        <f>LOOKUP(L440,Sheet6!$F$688:$F$749,Sheet6!$B$688:$B$749)*0.2</f>
        <v>#N/A</v>
      </c>
      <c r="U440" s="6">
        <f>LOOKUP(M440,Sheet6!$D$600:$D$626,Sheet6!$B$600:$B$626)*0.1</f>
        <v>0</v>
      </c>
      <c r="V440" s="6" t="e">
        <f t="shared" si="28"/>
        <v>#DIV/0!</v>
      </c>
      <c r="W440" s="6" t="e">
        <f t="shared" si="29"/>
        <v>#DIV/0!</v>
      </c>
    </row>
    <row r="441" spans="1:23" ht="24.75" customHeight="1">
      <c r="A441" s="5"/>
      <c r="B441" s="5"/>
      <c r="C441" s="5"/>
      <c r="D441" s="5"/>
      <c r="E441" s="30"/>
      <c r="F441" s="5"/>
      <c r="G441" s="5"/>
      <c r="H441" s="5"/>
      <c r="I441" s="5"/>
      <c r="J441" s="5"/>
      <c r="K441" s="5"/>
      <c r="L441" s="5"/>
      <c r="M441" s="5"/>
      <c r="N441" s="13" t="e">
        <f t="shared" si="27"/>
        <v>#DIV/0!</v>
      </c>
      <c r="O441" s="6" t="e">
        <f>LOOKUP(N441,Sheet6!$J$4:$J$11,Sheet6!$B$4:$B$11)*0.15</f>
        <v>#DIV/0!</v>
      </c>
      <c r="P441" s="14" t="e">
        <f>LOOKUP(H441,Sheet6!$J$25:$J$66,Sheet6!$B$25:$B$66)*0.15</f>
        <v>#N/A</v>
      </c>
      <c r="Q441" s="6" t="e">
        <f>LOOKUP(I441,Sheet6!$J$115:$J$156,Sheet6!$B$115:$B$156)*0.2</f>
        <v>#N/A</v>
      </c>
      <c r="R441" s="6" t="e">
        <f>LOOKUP(J441,Sheet6!$D$465:$D$506,Sheet6!$B$465:$B$506)*0.1</f>
        <v>#N/A</v>
      </c>
      <c r="S441" s="6">
        <f>LOOKUP(K441,Sheet6!$J$205:$J$246,Sheet6!$B$205:$B$246)*0.1</f>
        <v>6.2</v>
      </c>
      <c r="T441" s="6" t="e">
        <f>LOOKUP(L441,Sheet6!$F$688:$F$749,Sheet6!$B$688:$B$749)*0.2</f>
        <v>#N/A</v>
      </c>
      <c r="U441" s="6">
        <f>LOOKUP(M441,Sheet6!$D$600:$D$626,Sheet6!$B$600:$B$626)*0.1</f>
        <v>0</v>
      </c>
      <c r="V441" s="6" t="e">
        <f t="shared" si="28"/>
        <v>#DIV/0!</v>
      </c>
      <c r="W441" s="6" t="e">
        <f t="shared" si="29"/>
        <v>#DIV/0!</v>
      </c>
    </row>
    <row r="442" spans="1:23" ht="24.75" customHeight="1">
      <c r="A442" s="5"/>
      <c r="B442" s="5"/>
      <c r="C442" s="5"/>
      <c r="D442" s="5"/>
      <c r="E442" s="30"/>
      <c r="F442" s="5"/>
      <c r="G442" s="5"/>
      <c r="H442" s="5"/>
      <c r="I442" s="5"/>
      <c r="J442" s="5"/>
      <c r="K442" s="5"/>
      <c r="L442" s="5"/>
      <c r="M442" s="5"/>
      <c r="N442" s="13" t="e">
        <f t="shared" si="27"/>
        <v>#DIV/0!</v>
      </c>
      <c r="O442" s="6" t="e">
        <f>LOOKUP(N442,Sheet6!$J$4:$J$11,Sheet6!$B$4:$B$11)*0.15</f>
        <v>#DIV/0!</v>
      </c>
      <c r="P442" s="14" t="e">
        <f>LOOKUP(H442,Sheet6!$J$25:$J$66,Sheet6!$B$25:$B$66)*0.15</f>
        <v>#N/A</v>
      </c>
      <c r="Q442" s="6" t="e">
        <f>LOOKUP(I442,Sheet6!$J$115:$J$156,Sheet6!$B$115:$B$156)*0.2</f>
        <v>#N/A</v>
      </c>
      <c r="R442" s="6" t="e">
        <f>LOOKUP(J442,Sheet6!$D$465:$D$506,Sheet6!$B$465:$B$506)*0.1</f>
        <v>#N/A</v>
      </c>
      <c r="S442" s="6">
        <f>LOOKUP(K442,Sheet6!$J$205:$J$246,Sheet6!$B$205:$B$246)*0.1</f>
        <v>6.2</v>
      </c>
      <c r="T442" s="6" t="e">
        <f>LOOKUP(L442,Sheet6!$F$688:$F$749,Sheet6!$B$688:$B$749)*0.2</f>
        <v>#N/A</v>
      </c>
      <c r="U442" s="6">
        <f>LOOKUP(M442,Sheet6!$D$600:$D$626,Sheet6!$B$600:$B$626)*0.1</f>
        <v>0</v>
      </c>
      <c r="V442" s="6" t="e">
        <f t="shared" si="28"/>
        <v>#DIV/0!</v>
      </c>
      <c r="W442" s="6" t="e">
        <f t="shared" si="29"/>
        <v>#DIV/0!</v>
      </c>
    </row>
    <row r="443" spans="1:23" ht="24.75" customHeight="1">
      <c r="A443" s="5"/>
      <c r="B443" s="5"/>
      <c r="C443" s="5"/>
      <c r="D443" s="5"/>
      <c r="E443" s="30"/>
      <c r="F443" s="5"/>
      <c r="G443" s="5"/>
      <c r="H443" s="5"/>
      <c r="I443" s="5"/>
      <c r="J443" s="5"/>
      <c r="K443" s="5"/>
      <c r="L443" s="5"/>
      <c r="M443" s="5"/>
      <c r="N443" s="13" t="e">
        <f t="shared" si="27"/>
        <v>#DIV/0!</v>
      </c>
      <c r="O443" s="6" t="e">
        <f>LOOKUP(N443,Sheet6!$J$4:$J$11,Sheet6!$B$4:$B$11)*0.15</f>
        <v>#DIV/0!</v>
      </c>
      <c r="P443" s="14" t="e">
        <f>LOOKUP(H443,Sheet6!$J$25:$J$66,Sheet6!$B$25:$B$66)*0.15</f>
        <v>#N/A</v>
      </c>
      <c r="Q443" s="6" t="e">
        <f>LOOKUP(I443,Sheet6!$J$115:$J$156,Sheet6!$B$115:$B$156)*0.2</f>
        <v>#N/A</v>
      </c>
      <c r="R443" s="6" t="e">
        <f>LOOKUP(J443,Sheet6!$D$465:$D$506,Sheet6!$B$465:$B$506)*0.1</f>
        <v>#N/A</v>
      </c>
      <c r="S443" s="6">
        <f>LOOKUP(K443,Sheet6!$J$205:$J$246,Sheet6!$B$205:$B$246)*0.1</f>
        <v>6.2</v>
      </c>
      <c r="T443" s="6" t="e">
        <f>LOOKUP(L443,Sheet6!$F$688:$F$749,Sheet6!$B$688:$B$749)*0.2</f>
        <v>#N/A</v>
      </c>
      <c r="U443" s="6">
        <f>LOOKUP(M443,Sheet6!$D$600:$D$626,Sheet6!$B$600:$B$626)*0.1</f>
        <v>0</v>
      </c>
      <c r="V443" s="6" t="e">
        <f t="shared" si="28"/>
        <v>#DIV/0!</v>
      </c>
      <c r="W443" s="6" t="e">
        <f t="shared" si="29"/>
        <v>#DIV/0!</v>
      </c>
    </row>
    <row r="444" spans="1:23" ht="24.75" customHeight="1">
      <c r="A444" s="5"/>
      <c r="B444" s="5"/>
      <c r="C444" s="5"/>
      <c r="D444" s="5"/>
      <c r="E444" s="30"/>
      <c r="F444" s="5"/>
      <c r="G444" s="5"/>
      <c r="H444" s="5"/>
      <c r="I444" s="5"/>
      <c r="J444" s="5"/>
      <c r="K444" s="5"/>
      <c r="L444" s="5"/>
      <c r="M444" s="5"/>
      <c r="N444" s="13" t="e">
        <f t="shared" si="27"/>
        <v>#DIV/0!</v>
      </c>
      <c r="O444" s="6" t="e">
        <f>LOOKUP(N444,Sheet6!$J$4:$J$11,Sheet6!$B$4:$B$11)*0.15</f>
        <v>#DIV/0!</v>
      </c>
      <c r="P444" s="14" t="e">
        <f>LOOKUP(H444,Sheet6!$J$25:$J$66,Sheet6!$B$25:$B$66)*0.15</f>
        <v>#N/A</v>
      </c>
      <c r="Q444" s="6" t="e">
        <f>LOOKUP(I444,Sheet6!$J$115:$J$156,Sheet6!$B$115:$B$156)*0.2</f>
        <v>#N/A</v>
      </c>
      <c r="R444" s="6" t="e">
        <f>LOOKUP(J444,Sheet6!$D$465:$D$506,Sheet6!$B$465:$B$506)*0.1</f>
        <v>#N/A</v>
      </c>
      <c r="S444" s="6">
        <f>LOOKUP(K444,Sheet6!$J$205:$J$246,Sheet6!$B$205:$B$246)*0.1</f>
        <v>6.2</v>
      </c>
      <c r="T444" s="6" t="e">
        <f>LOOKUP(L444,Sheet6!$F$688:$F$749,Sheet6!$B$688:$B$749)*0.2</f>
        <v>#N/A</v>
      </c>
      <c r="U444" s="6">
        <f>LOOKUP(M444,Sheet6!$D$600:$D$626,Sheet6!$B$600:$B$626)*0.1</f>
        <v>0</v>
      </c>
      <c r="V444" s="6" t="e">
        <f t="shared" si="28"/>
        <v>#DIV/0!</v>
      </c>
      <c r="W444" s="6" t="e">
        <f t="shared" si="29"/>
        <v>#DIV/0!</v>
      </c>
    </row>
    <row r="445" spans="1:23" ht="24.75" customHeight="1">
      <c r="A445" s="5"/>
      <c r="B445" s="5"/>
      <c r="C445" s="5"/>
      <c r="D445" s="5"/>
      <c r="E445" s="30"/>
      <c r="F445" s="5"/>
      <c r="G445" s="5"/>
      <c r="H445" s="5"/>
      <c r="I445" s="5"/>
      <c r="J445" s="5"/>
      <c r="K445" s="5"/>
      <c r="L445" s="5"/>
      <c r="M445" s="5"/>
      <c r="N445" s="13" t="e">
        <f t="shared" si="27"/>
        <v>#DIV/0!</v>
      </c>
      <c r="O445" s="6" t="e">
        <f>LOOKUP(N445,Sheet6!$J$4:$J$11,Sheet6!$B$4:$B$11)*0.15</f>
        <v>#DIV/0!</v>
      </c>
      <c r="P445" s="14" t="e">
        <f>LOOKUP(H445,Sheet6!$J$25:$J$66,Sheet6!$B$25:$B$66)*0.15</f>
        <v>#N/A</v>
      </c>
      <c r="Q445" s="6" t="e">
        <f>LOOKUP(I445,Sheet6!$J$115:$J$156,Sheet6!$B$115:$B$156)*0.2</f>
        <v>#N/A</v>
      </c>
      <c r="R445" s="6" t="e">
        <f>LOOKUP(J445,Sheet6!$D$465:$D$506,Sheet6!$B$465:$B$506)*0.1</f>
        <v>#N/A</v>
      </c>
      <c r="S445" s="6">
        <f>LOOKUP(K445,Sheet6!$J$205:$J$246,Sheet6!$B$205:$B$246)*0.1</f>
        <v>6.2</v>
      </c>
      <c r="T445" s="6" t="e">
        <f>LOOKUP(L445,Sheet6!$F$688:$F$749,Sheet6!$B$688:$B$749)*0.2</f>
        <v>#N/A</v>
      </c>
      <c r="U445" s="6">
        <f>LOOKUP(M445,Sheet6!$D$600:$D$626,Sheet6!$B$600:$B$626)*0.1</f>
        <v>0</v>
      </c>
      <c r="V445" s="6" t="e">
        <f t="shared" si="28"/>
        <v>#DIV/0!</v>
      </c>
      <c r="W445" s="6" t="e">
        <f t="shared" si="29"/>
        <v>#DIV/0!</v>
      </c>
    </row>
    <row r="446" spans="1:23" ht="24.75" customHeight="1">
      <c r="A446" s="5"/>
      <c r="B446" s="5"/>
      <c r="C446" s="5"/>
      <c r="D446" s="5"/>
      <c r="E446" s="30"/>
      <c r="F446" s="5"/>
      <c r="G446" s="5"/>
      <c r="H446" s="5"/>
      <c r="I446" s="5"/>
      <c r="J446" s="5"/>
      <c r="K446" s="5"/>
      <c r="L446" s="5"/>
      <c r="M446" s="5"/>
      <c r="N446" s="13" t="e">
        <f t="shared" si="27"/>
        <v>#DIV/0!</v>
      </c>
      <c r="O446" s="6" t="e">
        <f>LOOKUP(N446,Sheet6!$J$4:$J$11,Sheet6!$B$4:$B$11)*0.15</f>
        <v>#DIV/0!</v>
      </c>
      <c r="P446" s="14" t="e">
        <f>LOOKUP(H446,Sheet6!$J$25:$J$66,Sheet6!$B$25:$B$66)*0.15</f>
        <v>#N/A</v>
      </c>
      <c r="Q446" s="6" t="e">
        <f>LOOKUP(I446,Sheet6!$J$115:$J$156,Sheet6!$B$115:$B$156)*0.2</f>
        <v>#N/A</v>
      </c>
      <c r="R446" s="6" t="e">
        <f>LOOKUP(J446,Sheet6!$D$465:$D$506,Sheet6!$B$465:$B$506)*0.1</f>
        <v>#N/A</v>
      </c>
      <c r="S446" s="6">
        <f>LOOKUP(K446,Sheet6!$J$205:$J$246,Sheet6!$B$205:$B$246)*0.1</f>
        <v>6.2</v>
      </c>
      <c r="T446" s="6" t="e">
        <f>LOOKUP(L446,Sheet6!$F$688:$F$749,Sheet6!$B$688:$B$749)*0.2</f>
        <v>#N/A</v>
      </c>
      <c r="U446" s="6">
        <f>LOOKUP(M446,Sheet6!$D$600:$D$626,Sheet6!$B$600:$B$626)*0.1</f>
        <v>0</v>
      </c>
      <c r="V446" s="6" t="e">
        <f t="shared" si="28"/>
        <v>#DIV/0!</v>
      </c>
      <c r="W446" s="6" t="e">
        <f t="shared" si="29"/>
        <v>#DIV/0!</v>
      </c>
    </row>
    <row r="447" spans="1:23" ht="24.75" customHeight="1">
      <c r="A447" s="5"/>
      <c r="B447" s="5"/>
      <c r="C447" s="5"/>
      <c r="D447" s="5"/>
      <c r="E447" s="30"/>
      <c r="F447" s="5"/>
      <c r="G447" s="5"/>
      <c r="H447" s="5"/>
      <c r="I447" s="5"/>
      <c r="J447" s="5"/>
      <c r="K447" s="5"/>
      <c r="L447" s="5"/>
      <c r="M447" s="5"/>
      <c r="N447" s="13" t="e">
        <f t="shared" si="27"/>
        <v>#DIV/0!</v>
      </c>
      <c r="O447" s="6" t="e">
        <f>LOOKUP(N447,Sheet6!$J$4:$J$11,Sheet6!$B$4:$B$11)*0.15</f>
        <v>#DIV/0!</v>
      </c>
      <c r="P447" s="14" t="e">
        <f>LOOKUP(H447,Sheet6!$J$25:$J$66,Sheet6!$B$25:$B$66)*0.15</f>
        <v>#N/A</v>
      </c>
      <c r="Q447" s="6" t="e">
        <f>LOOKUP(I447,Sheet6!$J$115:$J$156,Sheet6!$B$115:$B$156)*0.2</f>
        <v>#N/A</v>
      </c>
      <c r="R447" s="6" t="e">
        <f>LOOKUP(J447,Sheet6!$D$465:$D$506,Sheet6!$B$465:$B$506)*0.1</f>
        <v>#N/A</v>
      </c>
      <c r="S447" s="6">
        <f>LOOKUP(K447,Sheet6!$J$205:$J$246,Sheet6!$B$205:$B$246)*0.1</f>
        <v>6.2</v>
      </c>
      <c r="T447" s="6" t="e">
        <f>LOOKUP(L447,Sheet6!$F$688:$F$749,Sheet6!$B$688:$B$749)*0.2</f>
        <v>#N/A</v>
      </c>
      <c r="U447" s="6">
        <f>LOOKUP(M447,Sheet6!$D$600:$D$626,Sheet6!$B$600:$B$626)*0.1</f>
        <v>0</v>
      </c>
      <c r="V447" s="6" t="e">
        <f t="shared" si="28"/>
        <v>#DIV/0!</v>
      </c>
      <c r="W447" s="6" t="e">
        <f t="shared" si="29"/>
        <v>#DIV/0!</v>
      </c>
    </row>
    <row r="448" spans="1:23" ht="24.75" customHeight="1">
      <c r="A448" s="5"/>
      <c r="B448" s="5"/>
      <c r="C448" s="5"/>
      <c r="D448" s="5"/>
      <c r="E448" s="30"/>
      <c r="F448" s="5"/>
      <c r="G448" s="5"/>
      <c r="H448" s="5"/>
      <c r="I448" s="5"/>
      <c r="J448" s="5"/>
      <c r="K448" s="5"/>
      <c r="L448" s="5"/>
      <c r="M448" s="5"/>
      <c r="N448" s="13" t="e">
        <f t="shared" si="27"/>
        <v>#DIV/0!</v>
      </c>
      <c r="O448" s="6" t="e">
        <f>LOOKUP(N448,Sheet6!$J$4:$J$11,Sheet6!$B$4:$B$11)*0.15</f>
        <v>#DIV/0!</v>
      </c>
      <c r="P448" s="14" t="e">
        <f>LOOKUP(H448,Sheet6!$J$25:$J$66,Sheet6!$B$25:$B$66)*0.15</f>
        <v>#N/A</v>
      </c>
      <c r="Q448" s="6" t="e">
        <f>LOOKUP(I448,Sheet6!$J$115:$J$156,Sheet6!$B$115:$B$156)*0.2</f>
        <v>#N/A</v>
      </c>
      <c r="R448" s="6" t="e">
        <f>LOOKUP(J448,Sheet6!$D$465:$D$506,Sheet6!$B$465:$B$506)*0.1</f>
        <v>#N/A</v>
      </c>
      <c r="S448" s="6">
        <f>LOOKUP(K448,Sheet6!$J$205:$J$246,Sheet6!$B$205:$B$246)*0.1</f>
        <v>6.2</v>
      </c>
      <c r="T448" s="6" t="e">
        <f>LOOKUP(L448,Sheet6!$F$688:$F$749,Sheet6!$B$688:$B$749)*0.2</f>
        <v>#N/A</v>
      </c>
      <c r="U448" s="6">
        <f>LOOKUP(M448,Sheet6!$D$600:$D$626,Sheet6!$B$600:$B$626)*0.1</f>
        <v>0</v>
      </c>
      <c r="V448" s="6" t="e">
        <f t="shared" si="28"/>
        <v>#DIV/0!</v>
      </c>
      <c r="W448" s="6" t="e">
        <f t="shared" si="29"/>
        <v>#DIV/0!</v>
      </c>
    </row>
    <row r="449" spans="1:23" ht="24.75" customHeight="1">
      <c r="A449" s="5"/>
      <c r="B449" s="5"/>
      <c r="C449" s="5"/>
      <c r="D449" s="5"/>
      <c r="E449" s="30"/>
      <c r="F449" s="5"/>
      <c r="G449" s="5"/>
      <c r="H449" s="5"/>
      <c r="I449" s="5"/>
      <c r="J449" s="5"/>
      <c r="K449" s="5"/>
      <c r="L449" s="5"/>
      <c r="M449" s="5"/>
      <c r="N449" s="13" t="e">
        <f t="shared" si="27"/>
        <v>#DIV/0!</v>
      </c>
      <c r="O449" s="6" t="e">
        <f>LOOKUP(N449,Sheet6!$J$4:$J$11,Sheet6!$B$4:$B$11)*0.15</f>
        <v>#DIV/0!</v>
      </c>
      <c r="P449" s="14" t="e">
        <f>LOOKUP(H449,Sheet6!$J$25:$J$66,Sheet6!$B$25:$B$66)*0.15</f>
        <v>#N/A</v>
      </c>
      <c r="Q449" s="6" t="e">
        <f>LOOKUP(I449,Sheet6!$J$115:$J$156,Sheet6!$B$115:$B$156)*0.2</f>
        <v>#N/A</v>
      </c>
      <c r="R449" s="6" t="e">
        <f>LOOKUP(J449,Sheet6!$D$465:$D$506,Sheet6!$B$465:$B$506)*0.1</f>
        <v>#N/A</v>
      </c>
      <c r="S449" s="6">
        <f>LOOKUP(K449,Sheet6!$J$205:$J$246,Sheet6!$B$205:$B$246)*0.1</f>
        <v>6.2</v>
      </c>
      <c r="T449" s="6" t="e">
        <f>LOOKUP(L449,Sheet6!$F$688:$F$749,Sheet6!$B$688:$B$749)*0.2</f>
        <v>#N/A</v>
      </c>
      <c r="U449" s="6">
        <f>LOOKUP(M449,Sheet6!$D$600:$D$626,Sheet6!$B$600:$B$626)*0.1</f>
        <v>0</v>
      </c>
      <c r="V449" s="6" t="e">
        <f t="shared" si="28"/>
        <v>#DIV/0!</v>
      </c>
      <c r="W449" s="6" t="e">
        <f t="shared" si="29"/>
        <v>#DIV/0!</v>
      </c>
    </row>
    <row r="450" spans="1:23" ht="24.75" customHeight="1">
      <c r="A450" s="5"/>
      <c r="B450" s="5"/>
      <c r="C450" s="5"/>
      <c r="D450" s="5"/>
      <c r="E450" s="30"/>
      <c r="F450" s="5"/>
      <c r="G450" s="5"/>
      <c r="H450" s="5"/>
      <c r="I450" s="5"/>
      <c r="J450" s="5"/>
      <c r="K450" s="5"/>
      <c r="L450" s="5"/>
      <c r="M450" s="5"/>
      <c r="N450" s="13" t="e">
        <f t="shared" si="27"/>
        <v>#DIV/0!</v>
      </c>
      <c r="O450" s="6" t="e">
        <f>LOOKUP(N450,Sheet6!$J$4:$J$11,Sheet6!$B$4:$B$11)*0.15</f>
        <v>#DIV/0!</v>
      </c>
      <c r="P450" s="14" t="e">
        <f>LOOKUP(H450,Sheet6!$J$25:$J$66,Sheet6!$B$25:$B$66)*0.15</f>
        <v>#N/A</v>
      </c>
      <c r="Q450" s="6" t="e">
        <f>LOOKUP(I450,Sheet6!$J$115:$J$156,Sheet6!$B$115:$B$156)*0.2</f>
        <v>#N/A</v>
      </c>
      <c r="R450" s="6" t="e">
        <f>LOOKUP(J450,Sheet6!$D$465:$D$506,Sheet6!$B$465:$B$506)*0.1</f>
        <v>#N/A</v>
      </c>
      <c r="S450" s="6">
        <f>LOOKUP(K450,Sheet6!$J$205:$J$246,Sheet6!$B$205:$B$246)*0.1</f>
        <v>6.2</v>
      </c>
      <c r="T450" s="6" t="e">
        <f>LOOKUP(L450,Sheet6!$F$688:$F$749,Sheet6!$B$688:$B$749)*0.2</f>
        <v>#N/A</v>
      </c>
      <c r="U450" s="6">
        <f>LOOKUP(M450,Sheet6!$D$600:$D$626,Sheet6!$B$600:$B$626)*0.1</f>
        <v>0</v>
      </c>
      <c r="V450" s="6" t="e">
        <f t="shared" si="28"/>
        <v>#DIV/0!</v>
      </c>
      <c r="W450" s="6" t="e">
        <f t="shared" si="29"/>
        <v>#DIV/0!</v>
      </c>
    </row>
    <row r="451" spans="1:23" ht="24.75" customHeight="1">
      <c r="A451" s="5"/>
      <c r="B451" s="5"/>
      <c r="C451" s="5"/>
      <c r="D451" s="5"/>
      <c r="E451" s="30"/>
      <c r="F451" s="5"/>
      <c r="G451" s="5"/>
      <c r="H451" s="5"/>
      <c r="I451" s="5"/>
      <c r="J451" s="5"/>
      <c r="K451" s="5"/>
      <c r="L451" s="5"/>
      <c r="M451" s="5"/>
      <c r="N451" s="13" t="e">
        <f t="shared" ref="N451:N514" si="30">G451/(F451*F451)*10000</f>
        <v>#DIV/0!</v>
      </c>
      <c r="O451" s="6" t="e">
        <f>LOOKUP(N451,Sheet6!$J$4:$J$11,Sheet6!$B$4:$B$11)*0.15</f>
        <v>#DIV/0!</v>
      </c>
      <c r="P451" s="14" t="e">
        <f>LOOKUP(H451,Sheet6!$J$25:$J$66,Sheet6!$B$25:$B$66)*0.15</f>
        <v>#N/A</v>
      </c>
      <c r="Q451" s="6" t="e">
        <f>LOOKUP(I451,Sheet6!$J$115:$J$156,Sheet6!$B$115:$B$156)*0.2</f>
        <v>#N/A</v>
      </c>
      <c r="R451" s="6" t="e">
        <f>LOOKUP(J451,Sheet6!$D$465:$D$506,Sheet6!$B$465:$B$506)*0.1</f>
        <v>#N/A</v>
      </c>
      <c r="S451" s="6">
        <f>LOOKUP(K451,Sheet6!$J$205:$J$246,Sheet6!$B$205:$B$246)*0.1</f>
        <v>6.2</v>
      </c>
      <c r="T451" s="6" t="e">
        <f>LOOKUP(L451,Sheet6!$F$688:$F$749,Sheet6!$B$688:$B$749)*0.2</f>
        <v>#N/A</v>
      </c>
      <c r="U451" s="6">
        <f>LOOKUP(M451,Sheet6!$D$600:$D$626,Sheet6!$B$600:$B$626)*0.1</f>
        <v>0</v>
      </c>
      <c r="V451" s="6" t="e">
        <f t="shared" ref="V451:V514" si="31">O451+P451+Q451+R451+S451+T451+U451</f>
        <v>#DIV/0!</v>
      </c>
      <c r="W451" s="6" t="e">
        <f t="shared" ref="W451:W514" si="32">IF(V451&lt;60,"不及格",IF(V451&lt;80,"及格",IF(V451&lt;90,"良好",IF(V451&lt;121,"优秀"))))</f>
        <v>#DIV/0!</v>
      </c>
    </row>
    <row r="452" spans="1:23" ht="24.75" customHeight="1">
      <c r="A452" s="5"/>
      <c r="B452" s="5"/>
      <c r="C452" s="5"/>
      <c r="D452" s="5"/>
      <c r="E452" s="30"/>
      <c r="F452" s="5"/>
      <c r="G452" s="5"/>
      <c r="H452" s="5"/>
      <c r="I452" s="5"/>
      <c r="J452" s="5"/>
      <c r="K452" s="5"/>
      <c r="L452" s="5"/>
      <c r="M452" s="5"/>
      <c r="N452" s="13" t="e">
        <f t="shared" si="30"/>
        <v>#DIV/0!</v>
      </c>
      <c r="O452" s="6" t="e">
        <f>LOOKUP(N452,Sheet6!$J$4:$J$11,Sheet6!$B$4:$B$11)*0.15</f>
        <v>#DIV/0!</v>
      </c>
      <c r="P452" s="14" t="e">
        <f>LOOKUP(H452,Sheet6!$J$25:$J$66,Sheet6!$B$25:$B$66)*0.15</f>
        <v>#N/A</v>
      </c>
      <c r="Q452" s="6" t="e">
        <f>LOOKUP(I452,Sheet6!$J$115:$J$156,Sheet6!$B$115:$B$156)*0.2</f>
        <v>#N/A</v>
      </c>
      <c r="R452" s="6" t="e">
        <f>LOOKUP(J452,Sheet6!$D$465:$D$506,Sheet6!$B$465:$B$506)*0.1</f>
        <v>#N/A</v>
      </c>
      <c r="S452" s="6">
        <f>LOOKUP(K452,Sheet6!$J$205:$J$246,Sheet6!$B$205:$B$246)*0.1</f>
        <v>6.2</v>
      </c>
      <c r="T452" s="6" t="e">
        <f>LOOKUP(L452,Sheet6!$F$688:$F$749,Sheet6!$B$688:$B$749)*0.2</f>
        <v>#N/A</v>
      </c>
      <c r="U452" s="6">
        <f>LOOKUP(M452,Sheet6!$D$600:$D$626,Sheet6!$B$600:$B$626)*0.1</f>
        <v>0</v>
      </c>
      <c r="V452" s="6" t="e">
        <f t="shared" si="31"/>
        <v>#DIV/0!</v>
      </c>
      <c r="W452" s="6" t="e">
        <f t="shared" si="32"/>
        <v>#DIV/0!</v>
      </c>
    </row>
    <row r="453" spans="1:23" ht="24.75" customHeight="1">
      <c r="A453" s="5"/>
      <c r="B453" s="5"/>
      <c r="C453" s="5"/>
      <c r="D453" s="5"/>
      <c r="E453" s="30"/>
      <c r="F453" s="5"/>
      <c r="G453" s="5"/>
      <c r="H453" s="5"/>
      <c r="I453" s="5"/>
      <c r="J453" s="5"/>
      <c r="K453" s="5"/>
      <c r="L453" s="5"/>
      <c r="M453" s="5"/>
      <c r="N453" s="13" t="e">
        <f t="shared" si="30"/>
        <v>#DIV/0!</v>
      </c>
      <c r="O453" s="6" t="e">
        <f>LOOKUP(N453,Sheet6!$J$4:$J$11,Sheet6!$B$4:$B$11)*0.15</f>
        <v>#DIV/0!</v>
      </c>
      <c r="P453" s="14" t="e">
        <f>LOOKUP(H453,Sheet6!$J$25:$J$66,Sheet6!$B$25:$B$66)*0.15</f>
        <v>#N/A</v>
      </c>
      <c r="Q453" s="6" t="e">
        <f>LOOKUP(I453,Sheet6!$J$115:$J$156,Sheet6!$B$115:$B$156)*0.2</f>
        <v>#N/A</v>
      </c>
      <c r="R453" s="6" t="e">
        <f>LOOKUP(J453,Sheet6!$D$465:$D$506,Sheet6!$B$465:$B$506)*0.1</f>
        <v>#N/A</v>
      </c>
      <c r="S453" s="6">
        <f>LOOKUP(K453,Sheet6!$J$205:$J$246,Sheet6!$B$205:$B$246)*0.1</f>
        <v>6.2</v>
      </c>
      <c r="T453" s="6" t="e">
        <f>LOOKUP(L453,Sheet6!$F$688:$F$749,Sheet6!$B$688:$B$749)*0.2</f>
        <v>#N/A</v>
      </c>
      <c r="U453" s="6">
        <f>LOOKUP(M453,Sheet6!$D$600:$D$626,Sheet6!$B$600:$B$626)*0.1</f>
        <v>0</v>
      </c>
      <c r="V453" s="6" t="e">
        <f t="shared" si="31"/>
        <v>#DIV/0!</v>
      </c>
      <c r="W453" s="6" t="e">
        <f t="shared" si="32"/>
        <v>#DIV/0!</v>
      </c>
    </row>
    <row r="454" spans="1:23" ht="24.75" customHeight="1">
      <c r="A454" s="5"/>
      <c r="B454" s="5"/>
      <c r="C454" s="5"/>
      <c r="D454" s="5"/>
      <c r="E454" s="30"/>
      <c r="F454" s="5"/>
      <c r="G454" s="5"/>
      <c r="H454" s="5"/>
      <c r="I454" s="5"/>
      <c r="J454" s="5"/>
      <c r="K454" s="5"/>
      <c r="L454" s="5"/>
      <c r="M454" s="5"/>
      <c r="N454" s="13" t="e">
        <f t="shared" si="30"/>
        <v>#DIV/0!</v>
      </c>
      <c r="O454" s="6" t="e">
        <f>LOOKUP(N454,Sheet6!$J$4:$J$11,Sheet6!$B$4:$B$11)*0.15</f>
        <v>#DIV/0!</v>
      </c>
      <c r="P454" s="14" t="e">
        <f>LOOKUP(H454,Sheet6!$J$25:$J$66,Sheet6!$B$25:$B$66)*0.15</f>
        <v>#N/A</v>
      </c>
      <c r="Q454" s="6" t="e">
        <f>LOOKUP(I454,Sheet6!$J$115:$J$156,Sheet6!$B$115:$B$156)*0.2</f>
        <v>#N/A</v>
      </c>
      <c r="R454" s="6" t="e">
        <f>LOOKUP(J454,Sheet6!$D$465:$D$506,Sheet6!$B$465:$B$506)*0.1</f>
        <v>#N/A</v>
      </c>
      <c r="S454" s="6">
        <f>LOOKUP(K454,Sheet6!$J$205:$J$246,Sheet6!$B$205:$B$246)*0.1</f>
        <v>6.2</v>
      </c>
      <c r="T454" s="6" t="e">
        <f>LOOKUP(L454,Sheet6!$F$688:$F$749,Sheet6!$B$688:$B$749)*0.2</f>
        <v>#N/A</v>
      </c>
      <c r="U454" s="6">
        <f>LOOKUP(M454,Sheet6!$D$600:$D$626,Sheet6!$B$600:$B$626)*0.1</f>
        <v>0</v>
      </c>
      <c r="V454" s="6" t="e">
        <f t="shared" si="31"/>
        <v>#DIV/0!</v>
      </c>
      <c r="W454" s="6" t="e">
        <f t="shared" si="32"/>
        <v>#DIV/0!</v>
      </c>
    </row>
    <row r="455" spans="1:23" ht="24.75" customHeight="1">
      <c r="A455" s="5"/>
      <c r="B455" s="5"/>
      <c r="C455" s="5"/>
      <c r="D455" s="5"/>
      <c r="E455" s="30"/>
      <c r="F455" s="5"/>
      <c r="G455" s="5"/>
      <c r="H455" s="5"/>
      <c r="I455" s="5"/>
      <c r="J455" s="5"/>
      <c r="K455" s="5"/>
      <c r="L455" s="5"/>
      <c r="M455" s="5"/>
      <c r="N455" s="13" t="e">
        <f t="shared" si="30"/>
        <v>#DIV/0!</v>
      </c>
      <c r="O455" s="6" t="e">
        <f>LOOKUP(N455,Sheet6!$J$4:$J$11,Sheet6!$B$4:$B$11)*0.15</f>
        <v>#DIV/0!</v>
      </c>
      <c r="P455" s="14" t="e">
        <f>LOOKUP(H455,Sheet6!$J$25:$J$66,Sheet6!$B$25:$B$66)*0.15</f>
        <v>#N/A</v>
      </c>
      <c r="Q455" s="6" t="e">
        <f>LOOKUP(I455,Sheet6!$J$115:$J$156,Sheet6!$B$115:$B$156)*0.2</f>
        <v>#N/A</v>
      </c>
      <c r="R455" s="6" t="e">
        <f>LOOKUP(J455,Sheet6!$D$465:$D$506,Sheet6!$B$465:$B$506)*0.1</f>
        <v>#N/A</v>
      </c>
      <c r="S455" s="6">
        <f>LOOKUP(K455,Sheet6!$J$205:$J$246,Sheet6!$B$205:$B$246)*0.1</f>
        <v>6.2</v>
      </c>
      <c r="T455" s="6" t="e">
        <f>LOOKUP(L455,Sheet6!$F$688:$F$749,Sheet6!$B$688:$B$749)*0.2</f>
        <v>#N/A</v>
      </c>
      <c r="U455" s="6">
        <f>LOOKUP(M455,Sheet6!$D$600:$D$626,Sheet6!$B$600:$B$626)*0.1</f>
        <v>0</v>
      </c>
      <c r="V455" s="6" t="e">
        <f t="shared" si="31"/>
        <v>#DIV/0!</v>
      </c>
      <c r="W455" s="6" t="e">
        <f t="shared" si="32"/>
        <v>#DIV/0!</v>
      </c>
    </row>
    <row r="456" spans="1:23" ht="24.75" customHeight="1">
      <c r="A456" s="5"/>
      <c r="B456" s="5"/>
      <c r="C456" s="5"/>
      <c r="D456" s="5"/>
      <c r="E456" s="30"/>
      <c r="F456" s="5"/>
      <c r="G456" s="5"/>
      <c r="H456" s="5"/>
      <c r="I456" s="5"/>
      <c r="J456" s="5"/>
      <c r="K456" s="5"/>
      <c r="L456" s="5"/>
      <c r="M456" s="5"/>
      <c r="N456" s="13" t="e">
        <f t="shared" si="30"/>
        <v>#DIV/0!</v>
      </c>
      <c r="O456" s="6" t="e">
        <f>LOOKUP(N456,Sheet6!$J$4:$J$11,Sheet6!$B$4:$B$11)*0.15</f>
        <v>#DIV/0!</v>
      </c>
      <c r="P456" s="14" t="e">
        <f>LOOKUP(H456,Sheet6!$J$25:$J$66,Sheet6!$B$25:$B$66)*0.15</f>
        <v>#N/A</v>
      </c>
      <c r="Q456" s="6" t="e">
        <f>LOOKUP(I456,Sheet6!$J$115:$J$156,Sheet6!$B$115:$B$156)*0.2</f>
        <v>#N/A</v>
      </c>
      <c r="R456" s="6" t="e">
        <f>LOOKUP(J456,Sheet6!$D$465:$D$506,Sheet6!$B$465:$B$506)*0.1</f>
        <v>#N/A</v>
      </c>
      <c r="S456" s="6">
        <f>LOOKUP(K456,Sheet6!$J$205:$J$246,Sheet6!$B$205:$B$246)*0.1</f>
        <v>6.2</v>
      </c>
      <c r="T456" s="6" t="e">
        <f>LOOKUP(L456,Sheet6!$F$688:$F$749,Sheet6!$B$688:$B$749)*0.2</f>
        <v>#N/A</v>
      </c>
      <c r="U456" s="6">
        <f>LOOKUP(M456,Sheet6!$D$600:$D$626,Sheet6!$B$600:$B$626)*0.1</f>
        <v>0</v>
      </c>
      <c r="V456" s="6" t="e">
        <f t="shared" si="31"/>
        <v>#DIV/0!</v>
      </c>
      <c r="W456" s="6" t="e">
        <f t="shared" si="32"/>
        <v>#DIV/0!</v>
      </c>
    </row>
    <row r="457" spans="1:23" ht="24.75" customHeight="1">
      <c r="A457" s="5"/>
      <c r="B457" s="5"/>
      <c r="C457" s="5"/>
      <c r="D457" s="5"/>
      <c r="E457" s="30"/>
      <c r="F457" s="5"/>
      <c r="G457" s="5"/>
      <c r="H457" s="5"/>
      <c r="I457" s="5"/>
      <c r="J457" s="5"/>
      <c r="K457" s="5"/>
      <c r="L457" s="5"/>
      <c r="M457" s="5"/>
      <c r="N457" s="13" t="e">
        <f t="shared" si="30"/>
        <v>#DIV/0!</v>
      </c>
      <c r="O457" s="6" t="e">
        <f>LOOKUP(N457,Sheet6!$J$4:$J$11,Sheet6!$B$4:$B$11)*0.15</f>
        <v>#DIV/0!</v>
      </c>
      <c r="P457" s="14" t="e">
        <f>LOOKUP(H457,Sheet6!$J$25:$J$66,Sheet6!$B$25:$B$66)*0.15</f>
        <v>#N/A</v>
      </c>
      <c r="Q457" s="6" t="e">
        <f>LOOKUP(I457,Sheet6!$J$115:$J$156,Sheet6!$B$115:$B$156)*0.2</f>
        <v>#N/A</v>
      </c>
      <c r="R457" s="6" t="e">
        <f>LOOKUP(J457,Sheet6!$D$465:$D$506,Sheet6!$B$465:$B$506)*0.1</f>
        <v>#N/A</v>
      </c>
      <c r="S457" s="6">
        <f>LOOKUP(K457,Sheet6!$J$205:$J$246,Sheet6!$B$205:$B$246)*0.1</f>
        <v>6.2</v>
      </c>
      <c r="T457" s="6" t="e">
        <f>LOOKUP(L457,Sheet6!$F$688:$F$749,Sheet6!$B$688:$B$749)*0.2</f>
        <v>#N/A</v>
      </c>
      <c r="U457" s="6">
        <f>LOOKUP(M457,Sheet6!$D$600:$D$626,Sheet6!$B$600:$B$626)*0.1</f>
        <v>0</v>
      </c>
      <c r="V457" s="6" t="e">
        <f t="shared" si="31"/>
        <v>#DIV/0!</v>
      </c>
      <c r="W457" s="6" t="e">
        <f t="shared" si="32"/>
        <v>#DIV/0!</v>
      </c>
    </row>
    <row r="458" spans="1:23" ht="24.75" customHeight="1">
      <c r="A458" s="5"/>
      <c r="B458" s="5"/>
      <c r="C458" s="5"/>
      <c r="D458" s="5"/>
      <c r="E458" s="30"/>
      <c r="F458" s="5"/>
      <c r="G458" s="5"/>
      <c r="H458" s="5"/>
      <c r="I458" s="5"/>
      <c r="J458" s="5"/>
      <c r="K458" s="5"/>
      <c r="L458" s="5"/>
      <c r="M458" s="5"/>
      <c r="N458" s="13" t="e">
        <f t="shared" si="30"/>
        <v>#DIV/0!</v>
      </c>
      <c r="O458" s="6" t="e">
        <f>LOOKUP(N458,Sheet6!$J$4:$J$11,Sheet6!$B$4:$B$11)*0.15</f>
        <v>#DIV/0!</v>
      </c>
      <c r="P458" s="14" t="e">
        <f>LOOKUP(H458,Sheet6!$J$25:$J$66,Sheet6!$B$25:$B$66)*0.15</f>
        <v>#N/A</v>
      </c>
      <c r="Q458" s="6" t="e">
        <f>LOOKUP(I458,Sheet6!$J$115:$J$156,Sheet6!$B$115:$B$156)*0.2</f>
        <v>#N/A</v>
      </c>
      <c r="R458" s="6" t="e">
        <f>LOOKUP(J458,Sheet6!$D$465:$D$506,Sheet6!$B$465:$B$506)*0.1</f>
        <v>#N/A</v>
      </c>
      <c r="S458" s="6">
        <f>LOOKUP(K458,Sheet6!$J$205:$J$246,Sheet6!$B$205:$B$246)*0.1</f>
        <v>6.2</v>
      </c>
      <c r="T458" s="6" t="e">
        <f>LOOKUP(L458,Sheet6!$F$688:$F$749,Sheet6!$B$688:$B$749)*0.2</f>
        <v>#N/A</v>
      </c>
      <c r="U458" s="6">
        <f>LOOKUP(M458,Sheet6!$D$600:$D$626,Sheet6!$B$600:$B$626)*0.1</f>
        <v>0</v>
      </c>
      <c r="V458" s="6" t="e">
        <f t="shared" si="31"/>
        <v>#DIV/0!</v>
      </c>
      <c r="W458" s="6" t="e">
        <f t="shared" si="32"/>
        <v>#DIV/0!</v>
      </c>
    </row>
    <row r="459" spans="1:23" ht="24.75" customHeight="1">
      <c r="A459" s="5"/>
      <c r="B459" s="5"/>
      <c r="C459" s="5"/>
      <c r="D459" s="5"/>
      <c r="E459" s="30"/>
      <c r="F459" s="5"/>
      <c r="G459" s="5"/>
      <c r="H459" s="5"/>
      <c r="I459" s="5"/>
      <c r="J459" s="5"/>
      <c r="K459" s="5"/>
      <c r="L459" s="5"/>
      <c r="M459" s="5"/>
      <c r="N459" s="13" t="e">
        <f t="shared" si="30"/>
        <v>#DIV/0!</v>
      </c>
      <c r="O459" s="6" t="e">
        <f>LOOKUP(N459,Sheet6!$J$4:$J$11,Sheet6!$B$4:$B$11)*0.15</f>
        <v>#DIV/0!</v>
      </c>
      <c r="P459" s="14" t="e">
        <f>LOOKUP(H459,Sheet6!$J$25:$J$66,Sheet6!$B$25:$B$66)*0.15</f>
        <v>#N/A</v>
      </c>
      <c r="Q459" s="6" t="e">
        <f>LOOKUP(I459,Sheet6!$J$115:$J$156,Sheet6!$B$115:$B$156)*0.2</f>
        <v>#N/A</v>
      </c>
      <c r="R459" s="6" t="e">
        <f>LOOKUP(J459,Sheet6!$D$465:$D$506,Sheet6!$B$465:$B$506)*0.1</f>
        <v>#N/A</v>
      </c>
      <c r="S459" s="6">
        <f>LOOKUP(K459,Sheet6!$J$205:$J$246,Sheet6!$B$205:$B$246)*0.1</f>
        <v>6.2</v>
      </c>
      <c r="T459" s="6" t="e">
        <f>LOOKUP(L459,Sheet6!$F$688:$F$749,Sheet6!$B$688:$B$749)*0.2</f>
        <v>#N/A</v>
      </c>
      <c r="U459" s="6">
        <f>LOOKUP(M459,Sheet6!$D$600:$D$626,Sheet6!$B$600:$B$626)*0.1</f>
        <v>0</v>
      </c>
      <c r="V459" s="6" t="e">
        <f t="shared" si="31"/>
        <v>#DIV/0!</v>
      </c>
      <c r="W459" s="6" t="e">
        <f t="shared" si="32"/>
        <v>#DIV/0!</v>
      </c>
    </row>
    <row r="460" spans="1:23" ht="24.75" customHeight="1">
      <c r="A460" s="5"/>
      <c r="B460" s="5"/>
      <c r="C460" s="5"/>
      <c r="D460" s="5"/>
      <c r="E460" s="30"/>
      <c r="F460" s="5"/>
      <c r="G460" s="5"/>
      <c r="H460" s="5"/>
      <c r="I460" s="5"/>
      <c r="J460" s="5"/>
      <c r="K460" s="5"/>
      <c r="L460" s="5"/>
      <c r="M460" s="5"/>
      <c r="N460" s="13" t="e">
        <f t="shared" si="30"/>
        <v>#DIV/0!</v>
      </c>
      <c r="O460" s="6" t="e">
        <f>LOOKUP(N460,Sheet6!$J$4:$J$11,Sheet6!$B$4:$B$11)*0.15</f>
        <v>#DIV/0!</v>
      </c>
      <c r="P460" s="14" t="e">
        <f>LOOKUP(H460,Sheet6!$J$25:$J$66,Sheet6!$B$25:$B$66)*0.15</f>
        <v>#N/A</v>
      </c>
      <c r="Q460" s="6" t="e">
        <f>LOOKUP(I460,Sheet6!$J$115:$J$156,Sheet6!$B$115:$B$156)*0.2</f>
        <v>#N/A</v>
      </c>
      <c r="R460" s="6" t="e">
        <f>LOOKUP(J460,Sheet6!$D$465:$D$506,Sheet6!$B$465:$B$506)*0.1</f>
        <v>#N/A</v>
      </c>
      <c r="S460" s="6">
        <f>LOOKUP(K460,Sheet6!$J$205:$J$246,Sheet6!$B$205:$B$246)*0.1</f>
        <v>6.2</v>
      </c>
      <c r="T460" s="6" t="e">
        <f>LOOKUP(L460,Sheet6!$F$688:$F$749,Sheet6!$B$688:$B$749)*0.2</f>
        <v>#N/A</v>
      </c>
      <c r="U460" s="6">
        <f>LOOKUP(M460,Sheet6!$D$600:$D$626,Sheet6!$B$600:$B$626)*0.1</f>
        <v>0</v>
      </c>
      <c r="V460" s="6" t="e">
        <f t="shared" si="31"/>
        <v>#DIV/0!</v>
      </c>
      <c r="W460" s="6" t="e">
        <f t="shared" si="32"/>
        <v>#DIV/0!</v>
      </c>
    </row>
    <row r="461" spans="1:23" ht="24.75" customHeight="1">
      <c r="A461" s="5"/>
      <c r="B461" s="5"/>
      <c r="C461" s="5"/>
      <c r="D461" s="5"/>
      <c r="E461" s="30"/>
      <c r="F461" s="5"/>
      <c r="G461" s="5"/>
      <c r="H461" s="5"/>
      <c r="I461" s="5"/>
      <c r="J461" s="5"/>
      <c r="K461" s="5"/>
      <c r="L461" s="5"/>
      <c r="M461" s="5"/>
      <c r="N461" s="13" t="e">
        <f t="shared" si="30"/>
        <v>#DIV/0!</v>
      </c>
      <c r="O461" s="6" t="e">
        <f>LOOKUP(N461,Sheet6!$J$4:$J$11,Sheet6!$B$4:$B$11)*0.15</f>
        <v>#DIV/0!</v>
      </c>
      <c r="P461" s="14" t="e">
        <f>LOOKUP(H461,Sheet6!$J$25:$J$66,Sheet6!$B$25:$B$66)*0.15</f>
        <v>#N/A</v>
      </c>
      <c r="Q461" s="6" t="e">
        <f>LOOKUP(I461,Sheet6!$J$115:$J$156,Sheet6!$B$115:$B$156)*0.2</f>
        <v>#N/A</v>
      </c>
      <c r="R461" s="6" t="e">
        <f>LOOKUP(J461,Sheet6!$D$465:$D$506,Sheet6!$B$465:$B$506)*0.1</f>
        <v>#N/A</v>
      </c>
      <c r="S461" s="6">
        <f>LOOKUP(K461,Sheet6!$J$205:$J$246,Sheet6!$B$205:$B$246)*0.1</f>
        <v>6.2</v>
      </c>
      <c r="T461" s="6" t="e">
        <f>LOOKUP(L461,Sheet6!$F$688:$F$749,Sheet6!$B$688:$B$749)*0.2</f>
        <v>#N/A</v>
      </c>
      <c r="U461" s="6">
        <f>LOOKUP(M461,Sheet6!$D$600:$D$626,Sheet6!$B$600:$B$626)*0.1</f>
        <v>0</v>
      </c>
      <c r="V461" s="6" t="e">
        <f t="shared" si="31"/>
        <v>#DIV/0!</v>
      </c>
      <c r="W461" s="6" t="e">
        <f t="shared" si="32"/>
        <v>#DIV/0!</v>
      </c>
    </row>
    <row r="462" spans="1:23" ht="24.75" customHeight="1">
      <c r="A462" s="5"/>
      <c r="B462" s="5"/>
      <c r="C462" s="5"/>
      <c r="D462" s="5"/>
      <c r="E462" s="30"/>
      <c r="F462" s="5"/>
      <c r="G462" s="5"/>
      <c r="H462" s="5"/>
      <c r="I462" s="5"/>
      <c r="J462" s="5"/>
      <c r="K462" s="5"/>
      <c r="L462" s="5"/>
      <c r="M462" s="5"/>
      <c r="N462" s="13" t="e">
        <f t="shared" si="30"/>
        <v>#DIV/0!</v>
      </c>
      <c r="O462" s="6" t="e">
        <f>LOOKUP(N462,Sheet6!$J$4:$J$11,Sheet6!$B$4:$B$11)*0.15</f>
        <v>#DIV/0!</v>
      </c>
      <c r="P462" s="14" t="e">
        <f>LOOKUP(H462,Sheet6!$J$25:$J$66,Sheet6!$B$25:$B$66)*0.15</f>
        <v>#N/A</v>
      </c>
      <c r="Q462" s="6" t="e">
        <f>LOOKUP(I462,Sheet6!$J$115:$J$156,Sheet6!$B$115:$B$156)*0.2</f>
        <v>#N/A</v>
      </c>
      <c r="R462" s="6" t="e">
        <f>LOOKUP(J462,Sheet6!$D$465:$D$506,Sheet6!$B$465:$B$506)*0.1</f>
        <v>#N/A</v>
      </c>
      <c r="S462" s="6">
        <f>LOOKUP(K462,Sheet6!$J$205:$J$246,Sheet6!$B$205:$B$246)*0.1</f>
        <v>6.2</v>
      </c>
      <c r="T462" s="6" t="e">
        <f>LOOKUP(L462,Sheet6!$F$688:$F$749,Sheet6!$B$688:$B$749)*0.2</f>
        <v>#N/A</v>
      </c>
      <c r="U462" s="6">
        <f>LOOKUP(M462,Sheet6!$D$600:$D$626,Sheet6!$B$600:$B$626)*0.1</f>
        <v>0</v>
      </c>
      <c r="V462" s="6" t="e">
        <f t="shared" si="31"/>
        <v>#DIV/0!</v>
      </c>
      <c r="W462" s="6" t="e">
        <f t="shared" si="32"/>
        <v>#DIV/0!</v>
      </c>
    </row>
    <row r="463" spans="1:23" ht="24.75" customHeight="1">
      <c r="A463" s="5"/>
      <c r="B463" s="5"/>
      <c r="C463" s="5"/>
      <c r="D463" s="5"/>
      <c r="E463" s="30"/>
      <c r="F463" s="5"/>
      <c r="G463" s="5"/>
      <c r="H463" s="5"/>
      <c r="I463" s="5"/>
      <c r="J463" s="5"/>
      <c r="K463" s="5"/>
      <c r="L463" s="5"/>
      <c r="M463" s="5"/>
      <c r="N463" s="13" t="e">
        <f t="shared" si="30"/>
        <v>#DIV/0!</v>
      </c>
      <c r="O463" s="6" t="e">
        <f>LOOKUP(N463,Sheet6!$J$4:$J$11,Sheet6!$B$4:$B$11)*0.15</f>
        <v>#DIV/0!</v>
      </c>
      <c r="P463" s="14" t="e">
        <f>LOOKUP(H463,Sheet6!$J$25:$J$66,Sheet6!$B$25:$B$66)*0.15</f>
        <v>#N/A</v>
      </c>
      <c r="Q463" s="6" t="e">
        <f>LOOKUP(I463,Sheet6!$J$115:$J$156,Sheet6!$B$115:$B$156)*0.2</f>
        <v>#N/A</v>
      </c>
      <c r="R463" s="6" t="e">
        <f>LOOKUP(J463,Sheet6!$D$465:$D$506,Sheet6!$B$465:$B$506)*0.1</f>
        <v>#N/A</v>
      </c>
      <c r="S463" s="6">
        <f>LOOKUP(K463,Sheet6!$J$205:$J$246,Sheet6!$B$205:$B$246)*0.1</f>
        <v>6.2</v>
      </c>
      <c r="T463" s="6" t="e">
        <f>LOOKUP(L463,Sheet6!$F$688:$F$749,Sheet6!$B$688:$B$749)*0.2</f>
        <v>#N/A</v>
      </c>
      <c r="U463" s="6">
        <f>LOOKUP(M463,Sheet6!$D$600:$D$626,Sheet6!$B$600:$B$626)*0.1</f>
        <v>0</v>
      </c>
      <c r="V463" s="6" t="e">
        <f t="shared" si="31"/>
        <v>#DIV/0!</v>
      </c>
      <c r="W463" s="6" t="e">
        <f t="shared" si="32"/>
        <v>#DIV/0!</v>
      </c>
    </row>
    <row r="464" spans="1:23" ht="24.75" customHeight="1">
      <c r="A464" s="5"/>
      <c r="B464" s="5"/>
      <c r="C464" s="5"/>
      <c r="D464" s="5"/>
      <c r="E464" s="30"/>
      <c r="F464" s="5"/>
      <c r="G464" s="5"/>
      <c r="H464" s="5"/>
      <c r="I464" s="5"/>
      <c r="J464" s="5"/>
      <c r="K464" s="5"/>
      <c r="L464" s="5"/>
      <c r="M464" s="5"/>
      <c r="N464" s="13" t="e">
        <f t="shared" si="30"/>
        <v>#DIV/0!</v>
      </c>
      <c r="O464" s="6" t="e">
        <f>LOOKUP(N464,Sheet6!$J$4:$J$11,Sheet6!$B$4:$B$11)*0.15</f>
        <v>#DIV/0!</v>
      </c>
      <c r="P464" s="14" t="e">
        <f>LOOKUP(H464,Sheet6!$J$25:$J$66,Sheet6!$B$25:$B$66)*0.15</f>
        <v>#N/A</v>
      </c>
      <c r="Q464" s="6" t="e">
        <f>LOOKUP(I464,Sheet6!$J$115:$J$156,Sheet6!$B$115:$B$156)*0.2</f>
        <v>#N/A</v>
      </c>
      <c r="R464" s="6" t="e">
        <f>LOOKUP(J464,Sheet6!$D$465:$D$506,Sheet6!$B$465:$B$506)*0.1</f>
        <v>#N/A</v>
      </c>
      <c r="S464" s="6">
        <f>LOOKUP(K464,Sheet6!$J$205:$J$246,Sheet6!$B$205:$B$246)*0.1</f>
        <v>6.2</v>
      </c>
      <c r="T464" s="6" t="e">
        <f>LOOKUP(L464,Sheet6!$F$688:$F$749,Sheet6!$B$688:$B$749)*0.2</f>
        <v>#N/A</v>
      </c>
      <c r="U464" s="6">
        <f>LOOKUP(M464,Sheet6!$D$600:$D$626,Sheet6!$B$600:$B$626)*0.1</f>
        <v>0</v>
      </c>
      <c r="V464" s="6" t="e">
        <f t="shared" si="31"/>
        <v>#DIV/0!</v>
      </c>
      <c r="W464" s="6" t="e">
        <f t="shared" si="32"/>
        <v>#DIV/0!</v>
      </c>
    </row>
    <row r="465" spans="1:23" ht="24.75" customHeight="1">
      <c r="A465" s="5"/>
      <c r="B465" s="5"/>
      <c r="C465" s="5"/>
      <c r="D465" s="5"/>
      <c r="E465" s="30"/>
      <c r="F465" s="5"/>
      <c r="G465" s="5"/>
      <c r="H465" s="5"/>
      <c r="I465" s="5"/>
      <c r="J465" s="5"/>
      <c r="K465" s="5"/>
      <c r="L465" s="5"/>
      <c r="M465" s="5"/>
      <c r="N465" s="13" t="e">
        <f t="shared" si="30"/>
        <v>#DIV/0!</v>
      </c>
      <c r="O465" s="6" t="e">
        <f>LOOKUP(N465,Sheet6!$J$4:$J$11,Sheet6!$B$4:$B$11)*0.15</f>
        <v>#DIV/0!</v>
      </c>
      <c r="P465" s="14" t="e">
        <f>LOOKUP(H465,Sheet6!$J$25:$J$66,Sheet6!$B$25:$B$66)*0.15</f>
        <v>#N/A</v>
      </c>
      <c r="Q465" s="6" t="e">
        <f>LOOKUP(I465,Sheet6!$J$115:$J$156,Sheet6!$B$115:$B$156)*0.2</f>
        <v>#N/A</v>
      </c>
      <c r="R465" s="6" t="e">
        <f>LOOKUP(J465,Sheet6!$D$465:$D$506,Sheet6!$B$465:$B$506)*0.1</f>
        <v>#N/A</v>
      </c>
      <c r="S465" s="6">
        <f>LOOKUP(K465,Sheet6!$J$205:$J$246,Sheet6!$B$205:$B$246)*0.1</f>
        <v>6.2</v>
      </c>
      <c r="T465" s="6" t="e">
        <f>LOOKUP(L465,Sheet6!$F$688:$F$749,Sheet6!$B$688:$B$749)*0.2</f>
        <v>#N/A</v>
      </c>
      <c r="U465" s="6">
        <f>LOOKUP(M465,Sheet6!$D$600:$D$626,Sheet6!$B$600:$B$626)*0.1</f>
        <v>0</v>
      </c>
      <c r="V465" s="6" t="e">
        <f t="shared" si="31"/>
        <v>#DIV/0!</v>
      </c>
      <c r="W465" s="6" t="e">
        <f t="shared" si="32"/>
        <v>#DIV/0!</v>
      </c>
    </row>
    <row r="466" spans="1:23" ht="24.75" customHeight="1">
      <c r="A466" s="5"/>
      <c r="B466" s="5"/>
      <c r="C466" s="5"/>
      <c r="D466" s="5"/>
      <c r="E466" s="30"/>
      <c r="F466" s="5"/>
      <c r="G466" s="5"/>
      <c r="H466" s="5"/>
      <c r="I466" s="5"/>
      <c r="J466" s="5"/>
      <c r="K466" s="5"/>
      <c r="L466" s="5"/>
      <c r="M466" s="5"/>
      <c r="N466" s="13" t="e">
        <f t="shared" si="30"/>
        <v>#DIV/0!</v>
      </c>
      <c r="O466" s="6" t="e">
        <f>LOOKUP(N466,Sheet6!$J$4:$J$11,Sheet6!$B$4:$B$11)*0.15</f>
        <v>#DIV/0!</v>
      </c>
      <c r="P466" s="14" t="e">
        <f>LOOKUP(H466,Sheet6!$J$25:$J$66,Sheet6!$B$25:$B$66)*0.15</f>
        <v>#N/A</v>
      </c>
      <c r="Q466" s="6" t="e">
        <f>LOOKUP(I466,Sheet6!$J$115:$J$156,Sheet6!$B$115:$B$156)*0.2</f>
        <v>#N/A</v>
      </c>
      <c r="R466" s="6" t="e">
        <f>LOOKUP(J466,Sheet6!$D$465:$D$506,Sheet6!$B$465:$B$506)*0.1</f>
        <v>#N/A</v>
      </c>
      <c r="S466" s="6">
        <f>LOOKUP(K466,Sheet6!$J$205:$J$246,Sheet6!$B$205:$B$246)*0.1</f>
        <v>6.2</v>
      </c>
      <c r="T466" s="6" t="e">
        <f>LOOKUP(L466,Sheet6!$F$688:$F$749,Sheet6!$B$688:$B$749)*0.2</f>
        <v>#N/A</v>
      </c>
      <c r="U466" s="6">
        <f>LOOKUP(M466,Sheet6!$D$600:$D$626,Sheet6!$B$600:$B$626)*0.1</f>
        <v>0</v>
      </c>
      <c r="V466" s="6" t="e">
        <f t="shared" si="31"/>
        <v>#DIV/0!</v>
      </c>
      <c r="W466" s="6" t="e">
        <f t="shared" si="32"/>
        <v>#DIV/0!</v>
      </c>
    </row>
    <row r="467" spans="1:23" ht="24.75" customHeight="1">
      <c r="A467" s="5"/>
      <c r="B467" s="5"/>
      <c r="C467" s="5"/>
      <c r="D467" s="5"/>
      <c r="E467" s="30"/>
      <c r="F467" s="5"/>
      <c r="G467" s="5"/>
      <c r="H467" s="5"/>
      <c r="I467" s="5"/>
      <c r="J467" s="5"/>
      <c r="K467" s="5"/>
      <c r="L467" s="5"/>
      <c r="M467" s="5"/>
      <c r="N467" s="13" t="e">
        <f t="shared" si="30"/>
        <v>#DIV/0!</v>
      </c>
      <c r="O467" s="6" t="e">
        <f>LOOKUP(N467,Sheet6!$J$4:$J$11,Sheet6!$B$4:$B$11)*0.15</f>
        <v>#DIV/0!</v>
      </c>
      <c r="P467" s="14" t="e">
        <f>LOOKUP(H467,Sheet6!$J$25:$J$66,Sheet6!$B$25:$B$66)*0.15</f>
        <v>#N/A</v>
      </c>
      <c r="Q467" s="6" t="e">
        <f>LOOKUP(I467,Sheet6!$J$115:$J$156,Sheet6!$B$115:$B$156)*0.2</f>
        <v>#N/A</v>
      </c>
      <c r="R467" s="6" t="e">
        <f>LOOKUP(J467,Sheet6!$D$465:$D$506,Sheet6!$B$465:$B$506)*0.1</f>
        <v>#N/A</v>
      </c>
      <c r="S467" s="6">
        <f>LOOKUP(K467,Sheet6!$J$205:$J$246,Sheet6!$B$205:$B$246)*0.1</f>
        <v>6.2</v>
      </c>
      <c r="T467" s="6" t="e">
        <f>LOOKUP(L467,Sheet6!$F$688:$F$749,Sheet6!$B$688:$B$749)*0.2</f>
        <v>#N/A</v>
      </c>
      <c r="U467" s="6">
        <f>LOOKUP(M467,Sheet6!$D$600:$D$626,Sheet6!$B$600:$B$626)*0.1</f>
        <v>0</v>
      </c>
      <c r="V467" s="6" t="e">
        <f t="shared" si="31"/>
        <v>#DIV/0!</v>
      </c>
      <c r="W467" s="6" t="e">
        <f t="shared" si="32"/>
        <v>#DIV/0!</v>
      </c>
    </row>
    <row r="468" spans="1:23" ht="24.75" customHeight="1">
      <c r="A468" s="5"/>
      <c r="B468" s="5"/>
      <c r="C468" s="5"/>
      <c r="D468" s="5"/>
      <c r="E468" s="30"/>
      <c r="F468" s="5"/>
      <c r="G468" s="5"/>
      <c r="H468" s="5"/>
      <c r="I468" s="5"/>
      <c r="J468" s="5"/>
      <c r="K468" s="5"/>
      <c r="L468" s="5"/>
      <c r="M468" s="5"/>
      <c r="N468" s="13" t="e">
        <f t="shared" si="30"/>
        <v>#DIV/0!</v>
      </c>
      <c r="O468" s="6" t="e">
        <f>LOOKUP(N468,Sheet6!$J$4:$J$11,Sheet6!$B$4:$B$11)*0.15</f>
        <v>#DIV/0!</v>
      </c>
      <c r="P468" s="14" t="e">
        <f>LOOKUP(H468,Sheet6!$J$25:$J$66,Sheet6!$B$25:$B$66)*0.15</f>
        <v>#N/A</v>
      </c>
      <c r="Q468" s="6" t="e">
        <f>LOOKUP(I468,Sheet6!$J$115:$J$156,Sheet6!$B$115:$B$156)*0.2</f>
        <v>#N/A</v>
      </c>
      <c r="R468" s="6" t="e">
        <f>LOOKUP(J468,Sheet6!$D$465:$D$506,Sheet6!$B$465:$B$506)*0.1</f>
        <v>#N/A</v>
      </c>
      <c r="S468" s="6">
        <f>LOOKUP(K468,Sheet6!$J$205:$J$246,Sheet6!$B$205:$B$246)*0.1</f>
        <v>6.2</v>
      </c>
      <c r="T468" s="6" t="e">
        <f>LOOKUP(L468,Sheet6!$F$688:$F$749,Sheet6!$B$688:$B$749)*0.2</f>
        <v>#N/A</v>
      </c>
      <c r="U468" s="6">
        <f>LOOKUP(M468,Sheet6!$D$600:$D$626,Sheet6!$B$600:$B$626)*0.1</f>
        <v>0</v>
      </c>
      <c r="V468" s="6" t="e">
        <f t="shared" si="31"/>
        <v>#DIV/0!</v>
      </c>
      <c r="W468" s="6" t="e">
        <f t="shared" si="32"/>
        <v>#DIV/0!</v>
      </c>
    </row>
    <row r="469" spans="1:23" ht="24.75" customHeight="1">
      <c r="A469" s="5"/>
      <c r="B469" s="5"/>
      <c r="C469" s="5"/>
      <c r="D469" s="5"/>
      <c r="E469" s="30"/>
      <c r="F469" s="5"/>
      <c r="G469" s="5"/>
      <c r="H469" s="5"/>
      <c r="I469" s="5"/>
      <c r="J469" s="5"/>
      <c r="K469" s="5"/>
      <c r="L469" s="5"/>
      <c r="M469" s="5"/>
      <c r="N469" s="13" t="e">
        <f t="shared" si="30"/>
        <v>#DIV/0!</v>
      </c>
      <c r="O469" s="6" t="e">
        <f>LOOKUP(N469,Sheet6!$J$4:$J$11,Sheet6!$B$4:$B$11)*0.15</f>
        <v>#DIV/0!</v>
      </c>
      <c r="P469" s="14" t="e">
        <f>LOOKUP(H469,Sheet6!$J$25:$J$66,Sheet6!$B$25:$B$66)*0.15</f>
        <v>#N/A</v>
      </c>
      <c r="Q469" s="6" t="e">
        <f>LOOKUP(I469,Sheet6!$J$115:$J$156,Sheet6!$B$115:$B$156)*0.2</f>
        <v>#N/A</v>
      </c>
      <c r="R469" s="6" t="e">
        <f>LOOKUP(J469,Sheet6!$D$465:$D$506,Sheet6!$B$465:$B$506)*0.1</f>
        <v>#N/A</v>
      </c>
      <c r="S469" s="6">
        <f>LOOKUP(K469,Sheet6!$J$205:$J$246,Sheet6!$B$205:$B$246)*0.1</f>
        <v>6.2</v>
      </c>
      <c r="T469" s="6" t="e">
        <f>LOOKUP(L469,Sheet6!$F$688:$F$749,Sheet6!$B$688:$B$749)*0.2</f>
        <v>#N/A</v>
      </c>
      <c r="U469" s="6">
        <f>LOOKUP(M469,Sheet6!$D$600:$D$626,Sheet6!$B$600:$B$626)*0.1</f>
        <v>0</v>
      </c>
      <c r="V469" s="6" t="e">
        <f t="shared" si="31"/>
        <v>#DIV/0!</v>
      </c>
      <c r="W469" s="6" t="e">
        <f t="shared" si="32"/>
        <v>#DIV/0!</v>
      </c>
    </row>
    <row r="470" spans="1:23" ht="24.75" customHeight="1">
      <c r="A470" s="5"/>
      <c r="B470" s="5"/>
      <c r="C470" s="5"/>
      <c r="D470" s="5"/>
      <c r="E470" s="30"/>
      <c r="F470" s="5"/>
      <c r="G470" s="5"/>
      <c r="H470" s="5"/>
      <c r="I470" s="5"/>
      <c r="J470" s="5"/>
      <c r="K470" s="5"/>
      <c r="L470" s="5"/>
      <c r="M470" s="5"/>
      <c r="N470" s="13" t="e">
        <f t="shared" si="30"/>
        <v>#DIV/0!</v>
      </c>
      <c r="O470" s="6" t="e">
        <f>LOOKUP(N470,Sheet6!$J$4:$J$11,Sheet6!$B$4:$B$11)*0.15</f>
        <v>#DIV/0!</v>
      </c>
      <c r="P470" s="14" t="e">
        <f>LOOKUP(H470,Sheet6!$J$25:$J$66,Sheet6!$B$25:$B$66)*0.15</f>
        <v>#N/A</v>
      </c>
      <c r="Q470" s="6" t="e">
        <f>LOOKUP(I470,Sheet6!$J$115:$J$156,Sheet6!$B$115:$B$156)*0.2</f>
        <v>#N/A</v>
      </c>
      <c r="R470" s="6" t="e">
        <f>LOOKUP(J470,Sheet6!$D$465:$D$506,Sheet6!$B$465:$B$506)*0.1</f>
        <v>#N/A</v>
      </c>
      <c r="S470" s="6">
        <f>LOOKUP(K470,Sheet6!$J$205:$J$246,Sheet6!$B$205:$B$246)*0.1</f>
        <v>6.2</v>
      </c>
      <c r="T470" s="6" t="e">
        <f>LOOKUP(L470,Sheet6!$F$688:$F$749,Sheet6!$B$688:$B$749)*0.2</f>
        <v>#N/A</v>
      </c>
      <c r="U470" s="6">
        <f>LOOKUP(M470,Sheet6!$D$600:$D$626,Sheet6!$B$600:$B$626)*0.1</f>
        <v>0</v>
      </c>
      <c r="V470" s="6" t="e">
        <f t="shared" si="31"/>
        <v>#DIV/0!</v>
      </c>
      <c r="W470" s="6" t="e">
        <f t="shared" si="32"/>
        <v>#DIV/0!</v>
      </c>
    </row>
    <row r="471" spans="1:23" ht="24.75" customHeight="1">
      <c r="A471" s="5"/>
      <c r="B471" s="5"/>
      <c r="C471" s="5"/>
      <c r="D471" s="5"/>
      <c r="E471" s="30"/>
      <c r="F471" s="5"/>
      <c r="G471" s="5"/>
      <c r="H471" s="5"/>
      <c r="I471" s="5"/>
      <c r="J471" s="5"/>
      <c r="K471" s="5"/>
      <c r="L471" s="5"/>
      <c r="M471" s="5"/>
      <c r="N471" s="13" t="e">
        <f t="shared" si="30"/>
        <v>#DIV/0!</v>
      </c>
      <c r="O471" s="6" t="e">
        <f>LOOKUP(N471,Sheet6!$J$4:$J$11,Sheet6!$B$4:$B$11)*0.15</f>
        <v>#DIV/0!</v>
      </c>
      <c r="P471" s="14" t="e">
        <f>LOOKUP(H471,Sheet6!$J$25:$J$66,Sheet6!$B$25:$B$66)*0.15</f>
        <v>#N/A</v>
      </c>
      <c r="Q471" s="6" t="e">
        <f>LOOKUP(I471,Sheet6!$J$115:$J$156,Sheet6!$B$115:$B$156)*0.2</f>
        <v>#N/A</v>
      </c>
      <c r="R471" s="6" t="e">
        <f>LOOKUP(J471,Sheet6!$D$465:$D$506,Sheet6!$B$465:$B$506)*0.1</f>
        <v>#N/A</v>
      </c>
      <c r="S471" s="6">
        <f>LOOKUP(K471,Sheet6!$J$205:$J$246,Sheet6!$B$205:$B$246)*0.1</f>
        <v>6.2</v>
      </c>
      <c r="T471" s="6" t="e">
        <f>LOOKUP(L471,Sheet6!$F$688:$F$749,Sheet6!$B$688:$B$749)*0.2</f>
        <v>#N/A</v>
      </c>
      <c r="U471" s="6">
        <f>LOOKUP(M471,Sheet6!$D$600:$D$626,Sheet6!$B$600:$B$626)*0.1</f>
        <v>0</v>
      </c>
      <c r="V471" s="6" t="e">
        <f t="shared" si="31"/>
        <v>#DIV/0!</v>
      </c>
      <c r="W471" s="6" t="e">
        <f t="shared" si="32"/>
        <v>#DIV/0!</v>
      </c>
    </row>
    <row r="472" spans="1:23" ht="24.75" customHeight="1">
      <c r="A472" s="5"/>
      <c r="B472" s="5"/>
      <c r="C472" s="5"/>
      <c r="D472" s="5"/>
      <c r="E472" s="30"/>
      <c r="F472" s="5"/>
      <c r="G472" s="5"/>
      <c r="H472" s="5"/>
      <c r="I472" s="5"/>
      <c r="J472" s="5"/>
      <c r="K472" s="5"/>
      <c r="L472" s="5"/>
      <c r="M472" s="5"/>
      <c r="N472" s="13" t="e">
        <f t="shared" si="30"/>
        <v>#DIV/0!</v>
      </c>
      <c r="O472" s="6" t="e">
        <f>LOOKUP(N472,Sheet6!$J$4:$J$11,Sheet6!$B$4:$B$11)*0.15</f>
        <v>#DIV/0!</v>
      </c>
      <c r="P472" s="14" t="e">
        <f>LOOKUP(H472,Sheet6!$J$25:$J$66,Sheet6!$B$25:$B$66)*0.15</f>
        <v>#N/A</v>
      </c>
      <c r="Q472" s="6" t="e">
        <f>LOOKUP(I472,Sheet6!$J$115:$J$156,Sheet6!$B$115:$B$156)*0.2</f>
        <v>#N/A</v>
      </c>
      <c r="R472" s="6" t="e">
        <f>LOOKUP(J472,Sheet6!$D$465:$D$506,Sheet6!$B$465:$B$506)*0.1</f>
        <v>#N/A</v>
      </c>
      <c r="S472" s="6">
        <f>LOOKUP(K472,Sheet6!$J$205:$J$246,Sheet6!$B$205:$B$246)*0.1</f>
        <v>6.2</v>
      </c>
      <c r="T472" s="6" t="e">
        <f>LOOKUP(L472,Sheet6!$F$688:$F$749,Sheet6!$B$688:$B$749)*0.2</f>
        <v>#N/A</v>
      </c>
      <c r="U472" s="6">
        <f>LOOKUP(M472,Sheet6!$D$600:$D$626,Sheet6!$B$600:$B$626)*0.1</f>
        <v>0</v>
      </c>
      <c r="V472" s="6" t="e">
        <f t="shared" si="31"/>
        <v>#DIV/0!</v>
      </c>
      <c r="W472" s="6" t="e">
        <f t="shared" si="32"/>
        <v>#DIV/0!</v>
      </c>
    </row>
    <row r="473" spans="1:23" ht="24.75" customHeight="1">
      <c r="A473" s="5"/>
      <c r="B473" s="5"/>
      <c r="C473" s="5"/>
      <c r="D473" s="5"/>
      <c r="E473" s="30"/>
      <c r="F473" s="5"/>
      <c r="G473" s="5"/>
      <c r="H473" s="5"/>
      <c r="I473" s="5"/>
      <c r="J473" s="5"/>
      <c r="K473" s="5"/>
      <c r="L473" s="5"/>
      <c r="M473" s="5"/>
      <c r="N473" s="13" t="e">
        <f t="shared" si="30"/>
        <v>#DIV/0!</v>
      </c>
      <c r="O473" s="6" t="e">
        <f>LOOKUP(N473,Sheet6!$J$4:$J$11,Sheet6!$B$4:$B$11)*0.15</f>
        <v>#DIV/0!</v>
      </c>
      <c r="P473" s="14" t="e">
        <f>LOOKUP(H473,Sheet6!$J$25:$J$66,Sheet6!$B$25:$B$66)*0.15</f>
        <v>#N/A</v>
      </c>
      <c r="Q473" s="6" t="e">
        <f>LOOKUP(I473,Sheet6!$J$115:$J$156,Sheet6!$B$115:$B$156)*0.2</f>
        <v>#N/A</v>
      </c>
      <c r="R473" s="6" t="e">
        <f>LOOKUP(J473,Sheet6!$D$465:$D$506,Sheet6!$B$465:$B$506)*0.1</f>
        <v>#N/A</v>
      </c>
      <c r="S473" s="6">
        <f>LOOKUP(K473,Sheet6!$J$205:$J$246,Sheet6!$B$205:$B$246)*0.1</f>
        <v>6.2</v>
      </c>
      <c r="T473" s="6" t="e">
        <f>LOOKUP(L473,Sheet6!$F$688:$F$749,Sheet6!$B$688:$B$749)*0.2</f>
        <v>#N/A</v>
      </c>
      <c r="U473" s="6">
        <f>LOOKUP(M473,Sheet6!$D$600:$D$626,Sheet6!$B$600:$B$626)*0.1</f>
        <v>0</v>
      </c>
      <c r="V473" s="6" t="e">
        <f t="shared" si="31"/>
        <v>#DIV/0!</v>
      </c>
      <c r="W473" s="6" t="e">
        <f t="shared" si="32"/>
        <v>#DIV/0!</v>
      </c>
    </row>
    <row r="474" spans="1:23" ht="24.75" customHeight="1">
      <c r="A474" s="5"/>
      <c r="B474" s="5"/>
      <c r="C474" s="5"/>
      <c r="D474" s="5"/>
      <c r="E474" s="30"/>
      <c r="F474" s="5"/>
      <c r="G474" s="5"/>
      <c r="H474" s="5"/>
      <c r="I474" s="5"/>
      <c r="J474" s="5"/>
      <c r="K474" s="5"/>
      <c r="L474" s="5"/>
      <c r="M474" s="5"/>
      <c r="N474" s="13" t="e">
        <f t="shared" si="30"/>
        <v>#DIV/0!</v>
      </c>
      <c r="O474" s="6" t="e">
        <f>LOOKUP(N474,Sheet6!$J$4:$J$11,Sheet6!$B$4:$B$11)*0.15</f>
        <v>#DIV/0!</v>
      </c>
      <c r="P474" s="14" t="e">
        <f>LOOKUP(H474,Sheet6!$J$25:$J$66,Sheet6!$B$25:$B$66)*0.15</f>
        <v>#N/A</v>
      </c>
      <c r="Q474" s="6" t="e">
        <f>LOOKUP(I474,Sheet6!$J$115:$J$156,Sheet6!$B$115:$B$156)*0.2</f>
        <v>#N/A</v>
      </c>
      <c r="R474" s="6" t="e">
        <f>LOOKUP(J474,Sheet6!$D$465:$D$506,Sheet6!$B$465:$B$506)*0.1</f>
        <v>#N/A</v>
      </c>
      <c r="S474" s="6">
        <f>LOOKUP(K474,Sheet6!$J$205:$J$246,Sheet6!$B$205:$B$246)*0.1</f>
        <v>6.2</v>
      </c>
      <c r="T474" s="6" t="e">
        <f>LOOKUP(L474,Sheet6!$F$688:$F$749,Sheet6!$B$688:$B$749)*0.2</f>
        <v>#N/A</v>
      </c>
      <c r="U474" s="6">
        <f>LOOKUP(M474,Sheet6!$D$600:$D$626,Sheet6!$B$600:$B$626)*0.1</f>
        <v>0</v>
      </c>
      <c r="V474" s="6" t="e">
        <f t="shared" si="31"/>
        <v>#DIV/0!</v>
      </c>
      <c r="W474" s="6" t="e">
        <f t="shared" si="32"/>
        <v>#DIV/0!</v>
      </c>
    </row>
    <row r="475" spans="1:23" ht="24.75" customHeight="1">
      <c r="A475" s="5"/>
      <c r="B475" s="5"/>
      <c r="C475" s="5"/>
      <c r="D475" s="5"/>
      <c r="E475" s="30"/>
      <c r="F475" s="5"/>
      <c r="G475" s="5"/>
      <c r="H475" s="5"/>
      <c r="I475" s="5"/>
      <c r="J475" s="5"/>
      <c r="K475" s="5"/>
      <c r="L475" s="5"/>
      <c r="M475" s="5"/>
      <c r="N475" s="13" t="e">
        <f t="shared" si="30"/>
        <v>#DIV/0!</v>
      </c>
      <c r="O475" s="6" t="e">
        <f>LOOKUP(N475,Sheet6!$J$4:$J$11,Sheet6!$B$4:$B$11)*0.15</f>
        <v>#DIV/0!</v>
      </c>
      <c r="P475" s="14" t="e">
        <f>LOOKUP(H475,Sheet6!$J$25:$J$66,Sheet6!$B$25:$B$66)*0.15</f>
        <v>#N/A</v>
      </c>
      <c r="Q475" s="6" t="e">
        <f>LOOKUP(I475,Sheet6!$J$115:$J$156,Sheet6!$B$115:$B$156)*0.2</f>
        <v>#N/A</v>
      </c>
      <c r="R475" s="6" t="e">
        <f>LOOKUP(J475,Sheet6!$D$465:$D$506,Sheet6!$B$465:$B$506)*0.1</f>
        <v>#N/A</v>
      </c>
      <c r="S475" s="6">
        <f>LOOKUP(K475,Sheet6!$J$205:$J$246,Sheet6!$B$205:$B$246)*0.1</f>
        <v>6.2</v>
      </c>
      <c r="T475" s="6" t="e">
        <f>LOOKUP(L475,Sheet6!$F$688:$F$749,Sheet6!$B$688:$B$749)*0.2</f>
        <v>#N/A</v>
      </c>
      <c r="U475" s="6">
        <f>LOOKUP(M475,Sheet6!$D$600:$D$626,Sheet6!$B$600:$B$626)*0.1</f>
        <v>0</v>
      </c>
      <c r="V475" s="6" t="e">
        <f t="shared" si="31"/>
        <v>#DIV/0!</v>
      </c>
      <c r="W475" s="6" t="e">
        <f t="shared" si="32"/>
        <v>#DIV/0!</v>
      </c>
    </row>
    <row r="476" spans="1:23" ht="24.75" customHeight="1">
      <c r="A476" s="5"/>
      <c r="B476" s="5"/>
      <c r="C476" s="5"/>
      <c r="D476" s="5"/>
      <c r="E476" s="30"/>
      <c r="F476" s="5"/>
      <c r="G476" s="5"/>
      <c r="H476" s="5"/>
      <c r="I476" s="5"/>
      <c r="J476" s="5"/>
      <c r="K476" s="5"/>
      <c r="L476" s="5"/>
      <c r="M476" s="5"/>
      <c r="N476" s="13" t="e">
        <f t="shared" si="30"/>
        <v>#DIV/0!</v>
      </c>
      <c r="O476" s="6" t="e">
        <f>LOOKUP(N476,Sheet6!$J$4:$J$11,Sheet6!$B$4:$B$11)*0.15</f>
        <v>#DIV/0!</v>
      </c>
      <c r="P476" s="14" t="e">
        <f>LOOKUP(H476,Sheet6!$J$25:$J$66,Sheet6!$B$25:$B$66)*0.15</f>
        <v>#N/A</v>
      </c>
      <c r="Q476" s="6" t="e">
        <f>LOOKUP(I476,Sheet6!$J$115:$J$156,Sheet6!$B$115:$B$156)*0.2</f>
        <v>#N/A</v>
      </c>
      <c r="R476" s="6" t="e">
        <f>LOOKUP(J476,Sheet6!$D$465:$D$506,Sheet6!$B$465:$B$506)*0.1</f>
        <v>#N/A</v>
      </c>
      <c r="S476" s="6">
        <f>LOOKUP(K476,Sheet6!$J$205:$J$246,Sheet6!$B$205:$B$246)*0.1</f>
        <v>6.2</v>
      </c>
      <c r="T476" s="6" t="e">
        <f>LOOKUP(L476,Sheet6!$F$688:$F$749,Sheet6!$B$688:$B$749)*0.2</f>
        <v>#N/A</v>
      </c>
      <c r="U476" s="6">
        <f>LOOKUP(M476,Sheet6!$D$600:$D$626,Sheet6!$B$600:$B$626)*0.1</f>
        <v>0</v>
      </c>
      <c r="V476" s="6" t="e">
        <f t="shared" si="31"/>
        <v>#DIV/0!</v>
      </c>
      <c r="W476" s="6" t="e">
        <f t="shared" si="32"/>
        <v>#DIV/0!</v>
      </c>
    </row>
    <row r="477" spans="1:23" ht="24.75" customHeight="1">
      <c r="A477" s="5"/>
      <c r="B477" s="5"/>
      <c r="C477" s="5"/>
      <c r="D477" s="5"/>
      <c r="E477" s="30"/>
      <c r="F477" s="5"/>
      <c r="G477" s="5"/>
      <c r="H477" s="5"/>
      <c r="I477" s="5"/>
      <c r="J477" s="5"/>
      <c r="K477" s="5"/>
      <c r="L477" s="5"/>
      <c r="M477" s="5"/>
      <c r="N477" s="13" t="e">
        <f t="shared" si="30"/>
        <v>#DIV/0!</v>
      </c>
      <c r="O477" s="6" t="e">
        <f>LOOKUP(N477,Sheet6!$J$4:$J$11,Sheet6!$B$4:$B$11)*0.15</f>
        <v>#DIV/0!</v>
      </c>
      <c r="P477" s="14" t="e">
        <f>LOOKUP(H477,Sheet6!$J$25:$J$66,Sheet6!$B$25:$B$66)*0.15</f>
        <v>#N/A</v>
      </c>
      <c r="Q477" s="6" t="e">
        <f>LOOKUP(I477,Sheet6!$J$115:$J$156,Sheet6!$B$115:$B$156)*0.2</f>
        <v>#N/A</v>
      </c>
      <c r="R477" s="6" t="e">
        <f>LOOKUP(J477,Sheet6!$D$465:$D$506,Sheet6!$B$465:$B$506)*0.1</f>
        <v>#N/A</v>
      </c>
      <c r="S477" s="6">
        <f>LOOKUP(K477,Sheet6!$J$205:$J$246,Sheet6!$B$205:$B$246)*0.1</f>
        <v>6.2</v>
      </c>
      <c r="T477" s="6" t="e">
        <f>LOOKUP(L477,Sheet6!$F$688:$F$749,Sheet6!$B$688:$B$749)*0.2</f>
        <v>#N/A</v>
      </c>
      <c r="U477" s="6">
        <f>LOOKUP(M477,Sheet6!$D$600:$D$626,Sheet6!$B$600:$B$626)*0.1</f>
        <v>0</v>
      </c>
      <c r="V477" s="6" t="e">
        <f t="shared" si="31"/>
        <v>#DIV/0!</v>
      </c>
      <c r="W477" s="6" t="e">
        <f t="shared" si="32"/>
        <v>#DIV/0!</v>
      </c>
    </row>
    <row r="478" spans="1:23" ht="24.75" customHeight="1">
      <c r="A478" s="5"/>
      <c r="B478" s="5"/>
      <c r="C478" s="5"/>
      <c r="D478" s="5"/>
      <c r="E478" s="30"/>
      <c r="F478" s="5"/>
      <c r="G478" s="5"/>
      <c r="H478" s="5"/>
      <c r="I478" s="5"/>
      <c r="J478" s="5"/>
      <c r="K478" s="5"/>
      <c r="L478" s="5"/>
      <c r="M478" s="5"/>
      <c r="N478" s="13" t="e">
        <f t="shared" si="30"/>
        <v>#DIV/0!</v>
      </c>
      <c r="O478" s="6" t="e">
        <f>LOOKUP(N478,Sheet6!$J$4:$J$11,Sheet6!$B$4:$B$11)*0.15</f>
        <v>#DIV/0!</v>
      </c>
      <c r="P478" s="14" t="e">
        <f>LOOKUP(H478,Sheet6!$J$25:$J$66,Sheet6!$B$25:$B$66)*0.15</f>
        <v>#N/A</v>
      </c>
      <c r="Q478" s="6" t="e">
        <f>LOOKUP(I478,Sheet6!$J$115:$J$156,Sheet6!$B$115:$B$156)*0.2</f>
        <v>#N/A</v>
      </c>
      <c r="R478" s="6" t="e">
        <f>LOOKUP(J478,Sheet6!$D$465:$D$506,Sheet6!$B$465:$B$506)*0.1</f>
        <v>#N/A</v>
      </c>
      <c r="S478" s="6">
        <f>LOOKUP(K478,Sheet6!$J$205:$J$246,Sheet6!$B$205:$B$246)*0.1</f>
        <v>6.2</v>
      </c>
      <c r="T478" s="6" t="e">
        <f>LOOKUP(L478,Sheet6!$F$688:$F$749,Sheet6!$B$688:$B$749)*0.2</f>
        <v>#N/A</v>
      </c>
      <c r="U478" s="6">
        <f>LOOKUP(M478,Sheet6!$D$600:$D$626,Sheet6!$B$600:$B$626)*0.1</f>
        <v>0</v>
      </c>
      <c r="V478" s="6" t="e">
        <f t="shared" si="31"/>
        <v>#DIV/0!</v>
      </c>
      <c r="W478" s="6" t="e">
        <f t="shared" si="32"/>
        <v>#DIV/0!</v>
      </c>
    </row>
    <row r="479" spans="1:23" ht="24.75" customHeight="1">
      <c r="A479" s="5"/>
      <c r="B479" s="5"/>
      <c r="C479" s="5"/>
      <c r="D479" s="5"/>
      <c r="E479" s="30"/>
      <c r="F479" s="5"/>
      <c r="G479" s="5"/>
      <c r="H479" s="5"/>
      <c r="I479" s="5"/>
      <c r="J479" s="5"/>
      <c r="K479" s="5"/>
      <c r="L479" s="5"/>
      <c r="M479" s="5"/>
      <c r="N479" s="13" t="e">
        <f t="shared" si="30"/>
        <v>#DIV/0!</v>
      </c>
      <c r="O479" s="6" t="e">
        <f>LOOKUP(N479,Sheet6!$J$4:$J$11,Sheet6!$B$4:$B$11)*0.15</f>
        <v>#DIV/0!</v>
      </c>
      <c r="P479" s="14" t="e">
        <f>LOOKUP(H479,Sheet6!$J$25:$J$66,Sheet6!$B$25:$B$66)*0.15</f>
        <v>#N/A</v>
      </c>
      <c r="Q479" s="6" t="e">
        <f>LOOKUP(I479,Sheet6!$J$115:$J$156,Sheet6!$B$115:$B$156)*0.2</f>
        <v>#N/A</v>
      </c>
      <c r="R479" s="6" t="e">
        <f>LOOKUP(J479,Sheet6!$D$465:$D$506,Sheet6!$B$465:$B$506)*0.1</f>
        <v>#N/A</v>
      </c>
      <c r="S479" s="6">
        <f>LOOKUP(K479,Sheet6!$J$205:$J$246,Sheet6!$B$205:$B$246)*0.1</f>
        <v>6.2</v>
      </c>
      <c r="T479" s="6" t="e">
        <f>LOOKUP(L479,Sheet6!$F$688:$F$749,Sheet6!$B$688:$B$749)*0.2</f>
        <v>#N/A</v>
      </c>
      <c r="U479" s="6">
        <f>LOOKUP(M479,Sheet6!$D$600:$D$626,Sheet6!$B$600:$B$626)*0.1</f>
        <v>0</v>
      </c>
      <c r="V479" s="6" t="e">
        <f t="shared" si="31"/>
        <v>#DIV/0!</v>
      </c>
      <c r="W479" s="6" t="e">
        <f t="shared" si="32"/>
        <v>#DIV/0!</v>
      </c>
    </row>
    <row r="480" spans="1:23" ht="24.75" customHeight="1">
      <c r="A480" s="5"/>
      <c r="B480" s="5"/>
      <c r="C480" s="5"/>
      <c r="D480" s="5"/>
      <c r="E480" s="30"/>
      <c r="F480" s="5"/>
      <c r="G480" s="5"/>
      <c r="H480" s="5"/>
      <c r="I480" s="5"/>
      <c r="J480" s="5"/>
      <c r="K480" s="5"/>
      <c r="L480" s="5"/>
      <c r="M480" s="5"/>
      <c r="N480" s="13" t="e">
        <f t="shared" si="30"/>
        <v>#DIV/0!</v>
      </c>
      <c r="O480" s="6" t="e">
        <f>LOOKUP(N480,Sheet6!$J$4:$J$11,Sheet6!$B$4:$B$11)*0.15</f>
        <v>#DIV/0!</v>
      </c>
      <c r="P480" s="14" t="e">
        <f>LOOKUP(H480,Sheet6!$J$25:$J$66,Sheet6!$B$25:$B$66)*0.15</f>
        <v>#N/A</v>
      </c>
      <c r="Q480" s="6" t="e">
        <f>LOOKUP(I480,Sheet6!$J$115:$J$156,Sheet6!$B$115:$B$156)*0.2</f>
        <v>#N/A</v>
      </c>
      <c r="R480" s="6" t="e">
        <f>LOOKUP(J480,Sheet6!$D$465:$D$506,Sheet6!$B$465:$B$506)*0.1</f>
        <v>#N/A</v>
      </c>
      <c r="S480" s="6">
        <f>LOOKUP(K480,Sheet6!$J$205:$J$246,Sheet6!$B$205:$B$246)*0.1</f>
        <v>6.2</v>
      </c>
      <c r="T480" s="6" t="e">
        <f>LOOKUP(L480,Sheet6!$F$688:$F$749,Sheet6!$B$688:$B$749)*0.2</f>
        <v>#N/A</v>
      </c>
      <c r="U480" s="6">
        <f>LOOKUP(M480,Sheet6!$D$600:$D$626,Sheet6!$B$600:$B$626)*0.1</f>
        <v>0</v>
      </c>
      <c r="V480" s="6" t="e">
        <f t="shared" si="31"/>
        <v>#DIV/0!</v>
      </c>
      <c r="W480" s="6" t="e">
        <f t="shared" si="32"/>
        <v>#DIV/0!</v>
      </c>
    </row>
    <row r="481" spans="1:23" ht="24.75" customHeight="1">
      <c r="A481" s="5"/>
      <c r="B481" s="5"/>
      <c r="C481" s="5"/>
      <c r="D481" s="5"/>
      <c r="E481" s="30"/>
      <c r="F481" s="5"/>
      <c r="G481" s="5"/>
      <c r="H481" s="5"/>
      <c r="I481" s="5"/>
      <c r="J481" s="5"/>
      <c r="K481" s="5"/>
      <c r="L481" s="5"/>
      <c r="M481" s="5"/>
      <c r="N481" s="13" t="e">
        <f t="shared" si="30"/>
        <v>#DIV/0!</v>
      </c>
      <c r="O481" s="6" t="e">
        <f>LOOKUP(N481,Sheet6!$J$4:$J$11,Sheet6!$B$4:$B$11)*0.15</f>
        <v>#DIV/0!</v>
      </c>
      <c r="P481" s="14" t="e">
        <f>LOOKUP(H481,Sheet6!$J$25:$J$66,Sheet6!$B$25:$B$66)*0.15</f>
        <v>#N/A</v>
      </c>
      <c r="Q481" s="6" t="e">
        <f>LOOKUP(I481,Sheet6!$J$115:$J$156,Sheet6!$B$115:$B$156)*0.2</f>
        <v>#N/A</v>
      </c>
      <c r="R481" s="6" t="e">
        <f>LOOKUP(J481,Sheet6!$D$465:$D$506,Sheet6!$B$465:$B$506)*0.1</f>
        <v>#N/A</v>
      </c>
      <c r="S481" s="6">
        <f>LOOKUP(K481,Sheet6!$J$205:$J$246,Sheet6!$B$205:$B$246)*0.1</f>
        <v>6.2</v>
      </c>
      <c r="T481" s="6" t="e">
        <f>LOOKUP(L481,Sheet6!$F$688:$F$749,Sheet6!$B$688:$B$749)*0.2</f>
        <v>#N/A</v>
      </c>
      <c r="U481" s="6">
        <f>LOOKUP(M481,Sheet6!$D$600:$D$626,Sheet6!$B$600:$B$626)*0.1</f>
        <v>0</v>
      </c>
      <c r="V481" s="6" t="e">
        <f t="shared" si="31"/>
        <v>#DIV/0!</v>
      </c>
      <c r="W481" s="6" t="e">
        <f t="shared" si="32"/>
        <v>#DIV/0!</v>
      </c>
    </row>
    <row r="482" spans="1:23" ht="24.75" customHeight="1">
      <c r="A482" s="5"/>
      <c r="B482" s="5"/>
      <c r="C482" s="5"/>
      <c r="D482" s="5"/>
      <c r="E482" s="30"/>
      <c r="F482" s="5"/>
      <c r="G482" s="5"/>
      <c r="H482" s="5"/>
      <c r="I482" s="5"/>
      <c r="J482" s="5"/>
      <c r="K482" s="5"/>
      <c r="L482" s="5"/>
      <c r="M482" s="5"/>
      <c r="N482" s="13" t="e">
        <f t="shared" si="30"/>
        <v>#DIV/0!</v>
      </c>
      <c r="O482" s="6" t="e">
        <f>LOOKUP(N482,Sheet6!$J$4:$J$11,Sheet6!$B$4:$B$11)*0.15</f>
        <v>#DIV/0!</v>
      </c>
      <c r="P482" s="14" t="e">
        <f>LOOKUP(H482,Sheet6!$J$25:$J$66,Sheet6!$B$25:$B$66)*0.15</f>
        <v>#N/A</v>
      </c>
      <c r="Q482" s="6" t="e">
        <f>LOOKUP(I482,Sheet6!$J$115:$J$156,Sheet6!$B$115:$B$156)*0.2</f>
        <v>#N/A</v>
      </c>
      <c r="R482" s="6" t="e">
        <f>LOOKUP(J482,Sheet6!$D$465:$D$506,Sheet6!$B$465:$B$506)*0.1</f>
        <v>#N/A</v>
      </c>
      <c r="S482" s="6">
        <f>LOOKUP(K482,Sheet6!$J$205:$J$246,Sheet6!$B$205:$B$246)*0.1</f>
        <v>6.2</v>
      </c>
      <c r="T482" s="6" t="e">
        <f>LOOKUP(L482,Sheet6!$F$688:$F$749,Sheet6!$B$688:$B$749)*0.2</f>
        <v>#N/A</v>
      </c>
      <c r="U482" s="6">
        <f>LOOKUP(M482,Sheet6!$D$600:$D$626,Sheet6!$B$600:$B$626)*0.1</f>
        <v>0</v>
      </c>
      <c r="V482" s="6" t="e">
        <f t="shared" si="31"/>
        <v>#DIV/0!</v>
      </c>
      <c r="W482" s="6" t="e">
        <f t="shared" si="32"/>
        <v>#DIV/0!</v>
      </c>
    </row>
    <row r="483" spans="1:23" ht="24.75" customHeight="1">
      <c r="A483" s="5"/>
      <c r="B483" s="5"/>
      <c r="C483" s="5"/>
      <c r="D483" s="5"/>
      <c r="E483" s="30"/>
      <c r="F483" s="5"/>
      <c r="G483" s="5"/>
      <c r="H483" s="5"/>
      <c r="I483" s="5"/>
      <c r="J483" s="5"/>
      <c r="K483" s="5"/>
      <c r="L483" s="5"/>
      <c r="M483" s="5"/>
      <c r="N483" s="13" t="e">
        <f t="shared" si="30"/>
        <v>#DIV/0!</v>
      </c>
      <c r="O483" s="6" t="e">
        <f>LOOKUP(N483,Sheet6!$J$4:$J$11,Sheet6!$B$4:$B$11)*0.15</f>
        <v>#DIV/0!</v>
      </c>
      <c r="P483" s="14" t="e">
        <f>LOOKUP(H483,Sheet6!$J$25:$J$66,Sheet6!$B$25:$B$66)*0.15</f>
        <v>#N/A</v>
      </c>
      <c r="Q483" s="6" t="e">
        <f>LOOKUP(I483,Sheet6!$J$115:$J$156,Sheet6!$B$115:$B$156)*0.2</f>
        <v>#N/A</v>
      </c>
      <c r="R483" s="6" t="e">
        <f>LOOKUP(J483,Sheet6!$D$465:$D$506,Sheet6!$B$465:$B$506)*0.1</f>
        <v>#N/A</v>
      </c>
      <c r="S483" s="6">
        <f>LOOKUP(K483,Sheet6!$J$205:$J$246,Sheet6!$B$205:$B$246)*0.1</f>
        <v>6.2</v>
      </c>
      <c r="T483" s="6" t="e">
        <f>LOOKUP(L483,Sheet6!$F$688:$F$749,Sheet6!$B$688:$B$749)*0.2</f>
        <v>#N/A</v>
      </c>
      <c r="U483" s="6">
        <f>LOOKUP(M483,Sheet6!$D$600:$D$626,Sheet6!$B$600:$B$626)*0.1</f>
        <v>0</v>
      </c>
      <c r="V483" s="6" t="e">
        <f t="shared" si="31"/>
        <v>#DIV/0!</v>
      </c>
      <c r="W483" s="6" t="e">
        <f t="shared" si="32"/>
        <v>#DIV/0!</v>
      </c>
    </row>
    <row r="484" spans="1:23" ht="24.75" customHeight="1">
      <c r="A484" s="5"/>
      <c r="B484" s="5"/>
      <c r="C484" s="5"/>
      <c r="D484" s="5"/>
      <c r="E484" s="30"/>
      <c r="F484" s="5"/>
      <c r="G484" s="5"/>
      <c r="H484" s="5"/>
      <c r="I484" s="5"/>
      <c r="J484" s="5"/>
      <c r="K484" s="5"/>
      <c r="L484" s="5"/>
      <c r="M484" s="5"/>
      <c r="N484" s="13" t="e">
        <f t="shared" si="30"/>
        <v>#DIV/0!</v>
      </c>
      <c r="O484" s="6" t="e">
        <f>LOOKUP(N484,Sheet6!$J$4:$J$11,Sheet6!$B$4:$B$11)*0.15</f>
        <v>#DIV/0!</v>
      </c>
      <c r="P484" s="14" t="e">
        <f>LOOKUP(H484,Sheet6!$J$25:$J$66,Sheet6!$B$25:$B$66)*0.15</f>
        <v>#N/A</v>
      </c>
      <c r="Q484" s="6" t="e">
        <f>LOOKUP(I484,Sheet6!$J$115:$J$156,Sheet6!$B$115:$B$156)*0.2</f>
        <v>#N/A</v>
      </c>
      <c r="R484" s="6" t="e">
        <f>LOOKUP(J484,Sheet6!$D$465:$D$506,Sheet6!$B$465:$B$506)*0.1</f>
        <v>#N/A</v>
      </c>
      <c r="S484" s="6">
        <f>LOOKUP(K484,Sheet6!$J$205:$J$246,Sheet6!$B$205:$B$246)*0.1</f>
        <v>6.2</v>
      </c>
      <c r="T484" s="6" t="e">
        <f>LOOKUP(L484,Sheet6!$F$688:$F$749,Sheet6!$B$688:$B$749)*0.2</f>
        <v>#N/A</v>
      </c>
      <c r="U484" s="6">
        <f>LOOKUP(M484,Sheet6!$D$600:$D$626,Sheet6!$B$600:$B$626)*0.1</f>
        <v>0</v>
      </c>
      <c r="V484" s="6" t="e">
        <f t="shared" si="31"/>
        <v>#DIV/0!</v>
      </c>
      <c r="W484" s="6" t="e">
        <f t="shared" si="32"/>
        <v>#DIV/0!</v>
      </c>
    </row>
    <row r="485" spans="1:23" ht="24.75" customHeight="1">
      <c r="A485" s="5"/>
      <c r="B485" s="5"/>
      <c r="C485" s="5"/>
      <c r="D485" s="5"/>
      <c r="E485" s="30"/>
      <c r="F485" s="5"/>
      <c r="G485" s="5"/>
      <c r="H485" s="5"/>
      <c r="I485" s="5"/>
      <c r="J485" s="5"/>
      <c r="K485" s="5"/>
      <c r="L485" s="5"/>
      <c r="M485" s="5"/>
      <c r="N485" s="13" t="e">
        <f t="shared" si="30"/>
        <v>#DIV/0!</v>
      </c>
      <c r="O485" s="6" t="e">
        <f>LOOKUP(N485,Sheet6!$J$4:$J$11,Sheet6!$B$4:$B$11)*0.15</f>
        <v>#DIV/0!</v>
      </c>
      <c r="P485" s="14" t="e">
        <f>LOOKUP(H485,Sheet6!$J$25:$J$66,Sheet6!$B$25:$B$66)*0.15</f>
        <v>#N/A</v>
      </c>
      <c r="Q485" s="6" t="e">
        <f>LOOKUP(I485,Sheet6!$J$115:$J$156,Sheet6!$B$115:$B$156)*0.2</f>
        <v>#N/A</v>
      </c>
      <c r="R485" s="6" t="e">
        <f>LOOKUP(J485,Sheet6!$D$465:$D$506,Sheet6!$B$465:$B$506)*0.1</f>
        <v>#N/A</v>
      </c>
      <c r="S485" s="6">
        <f>LOOKUP(K485,Sheet6!$J$205:$J$246,Sheet6!$B$205:$B$246)*0.1</f>
        <v>6.2</v>
      </c>
      <c r="T485" s="6" t="e">
        <f>LOOKUP(L485,Sheet6!$F$688:$F$749,Sheet6!$B$688:$B$749)*0.2</f>
        <v>#N/A</v>
      </c>
      <c r="U485" s="6">
        <f>LOOKUP(M485,Sheet6!$D$600:$D$626,Sheet6!$B$600:$B$626)*0.1</f>
        <v>0</v>
      </c>
      <c r="V485" s="6" t="e">
        <f t="shared" si="31"/>
        <v>#DIV/0!</v>
      </c>
      <c r="W485" s="6" t="e">
        <f t="shared" si="32"/>
        <v>#DIV/0!</v>
      </c>
    </row>
    <row r="486" spans="1:23" ht="24.75" customHeight="1">
      <c r="A486" s="5"/>
      <c r="B486" s="5"/>
      <c r="C486" s="5"/>
      <c r="D486" s="5"/>
      <c r="E486" s="30"/>
      <c r="F486" s="5"/>
      <c r="G486" s="5"/>
      <c r="H486" s="5"/>
      <c r="I486" s="5"/>
      <c r="J486" s="5"/>
      <c r="K486" s="5"/>
      <c r="L486" s="5"/>
      <c r="M486" s="5"/>
      <c r="N486" s="13" t="e">
        <f t="shared" si="30"/>
        <v>#DIV/0!</v>
      </c>
      <c r="O486" s="6" t="e">
        <f>LOOKUP(N486,Sheet6!$J$4:$J$11,Sheet6!$B$4:$B$11)*0.15</f>
        <v>#DIV/0!</v>
      </c>
      <c r="P486" s="14" t="e">
        <f>LOOKUP(H486,Sheet6!$J$25:$J$66,Sheet6!$B$25:$B$66)*0.15</f>
        <v>#N/A</v>
      </c>
      <c r="Q486" s="6" t="e">
        <f>LOOKUP(I486,Sheet6!$J$115:$J$156,Sheet6!$B$115:$B$156)*0.2</f>
        <v>#N/A</v>
      </c>
      <c r="R486" s="6" t="e">
        <f>LOOKUP(J486,Sheet6!$D$465:$D$506,Sheet6!$B$465:$B$506)*0.1</f>
        <v>#N/A</v>
      </c>
      <c r="S486" s="6">
        <f>LOOKUP(K486,Sheet6!$J$205:$J$246,Sheet6!$B$205:$B$246)*0.1</f>
        <v>6.2</v>
      </c>
      <c r="T486" s="6" t="e">
        <f>LOOKUP(L486,Sheet6!$F$688:$F$749,Sheet6!$B$688:$B$749)*0.2</f>
        <v>#N/A</v>
      </c>
      <c r="U486" s="6">
        <f>LOOKUP(M486,Sheet6!$D$600:$D$626,Sheet6!$B$600:$B$626)*0.1</f>
        <v>0</v>
      </c>
      <c r="V486" s="6" t="e">
        <f t="shared" si="31"/>
        <v>#DIV/0!</v>
      </c>
      <c r="W486" s="6" t="e">
        <f t="shared" si="32"/>
        <v>#DIV/0!</v>
      </c>
    </row>
    <row r="487" spans="1:23" ht="24.75" customHeight="1">
      <c r="A487" s="5"/>
      <c r="B487" s="5"/>
      <c r="C487" s="5"/>
      <c r="D487" s="5"/>
      <c r="E487" s="30"/>
      <c r="F487" s="5"/>
      <c r="G487" s="5"/>
      <c r="H487" s="5"/>
      <c r="I487" s="5"/>
      <c r="J487" s="5"/>
      <c r="K487" s="5"/>
      <c r="L487" s="5"/>
      <c r="M487" s="5"/>
      <c r="N487" s="13" t="e">
        <f t="shared" si="30"/>
        <v>#DIV/0!</v>
      </c>
      <c r="O487" s="6" t="e">
        <f>LOOKUP(N487,Sheet6!$J$4:$J$11,Sheet6!$B$4:$B$11)*0.15</f>
        <v>#DIV/0!</v>
      </c>
      <c r="P487" s="14" t="e">
        <f>LOOKUP(H487,Sheet6!$J$25:$J$66,Sheet6!$B$25:$B$66)*0.15</f>
        <v>#N/A</v>
      </c>
      <c r="Q487" s="6" t="e">
        <f>LOOKUP(I487,Sheet6!$J$115:$J$156,Sheet6!$B$115:$B$156)*0.2</f>
        <v>#N/A</v>
      </c>
      <c r="R487" s="6" t="e">
        <f>LOOKUP(J487,Sheet6!$D$465:$D$506,Sheet6!$B$465:$B$506)*0.1</f>
        <v>#N/A</v>
      </c>
      <c r="S487" s="6">
        <f>LOOKUP(K487,Sheet6!$J$205:$J$246,Sheet6!$B$205:$B$246)*0.1</f>
        <v>6.2</v>
      </c>
      <c r="T487" s="6" t="e">
        <f>LOOKUP(L487,Sheet6!$F$688:$F$749,Sheet6!$B$688:$B$749)*0.2</f>
        <v>#N/A</v>
      </c>
      <c r="U487" s="6">
        <f>LOOKUP(M487,Sheet6!$D$600:$D$626,Sheet6!$B$600:$B$626)*0.1</f>
        <v>0</v>
      </c>
      <c r="V487" s="6" t="e">
        <f t="shared" si="31"/>
        <v>#DIV/0!</v>
      </c>
      <c r="W487" s="6" t="e">
        <f t="shared" si="32"/>
        <v>#DIV/0!</v>
      </c>
    </row>
    <row r="488" spans="1:23" ht="24.75" customHeight="1">
      <c r="A488" s="5"/>
      <c r="B488" s="5"/>
      <c r="C488" s="5"/>
      <c r="D488" s="5"/>
      <c r="E488" s="30"/>
      <c r="F488" s="5"/>
      <c r="G488" s="5"/>
      <c r="H488" s="5"/>
      <c r="I488" s="5"/>
      <c r="J488" s="5"/>
      <c r="K488" s="5"/>
      <c r="L488" s="5"/>
      <c r="M488" s="5"/>
      <c r="N488" s="13" t="e">
        <f t="shared" si="30"/>
        <v>#DIV/0!</v>
      </c>
      <c r="O488" s="6" t="e">
        <f>LOOKUP(N488,Sheet6!$J$4:$J$11,Sheet6!$B$4:$B$11)*0.15</f>
        <v>#DIV/0!</v>
      </c>
      <c r="P488" s="14" t="e">
        <f>LOOKUP(H488,Sheet6!$J$25:$J$66,Sheet6!$B$25:$B$66)*0.15</f>
        <v>#N/A</v>
      </c>
      <c r="Q488" s="6" t="e">
        <f>LOOKUP(I488,Sheet6!$J$115:$J$156,Sheet6!$B$115:$B$156)*0.2</f>
        <v>#N/A</v>
      </c>
      <c r="R488" s="6" t="e">
        <f>LOOKUP(J488,Sheet6!$D$465:$D$506,Sheet6!$B$465:$B$506)*0.1</f>
        <v>#N/A</v>
      </c>
      <c r="S488" s="6">
        <f>LOOKUP(K488,Sheet6!$J$205:$J$246,Sheet6!$B$205:$B$246)*0.1</f>
        <v>6.2</v>
      </c>
      <c r="T488" s="6" t="e">
        <f>LOOKUP(L488,Sheet6!$F$688:$F$749,Sheet6!$B$688:$B$749)*0.2</f>
        <v>#N/A</v>
      </c>
      <c r="U488" s="6">
        <f>LOOKUP(M488,Sheet6!$D$600:$D$626,Sheet6!$B$600:$B$626)*0.1</f>
        <v>0</v>
      </c>
      <c r="V488" s="6" t="e">
        <f t="shared" si="31"/>
        <v>#DIV/0!</v>
      </c>
      <c r="W488" s="6" t="e">
        <f t="shared" si="32"/>
        <v>#DIV/0!</v>
      </c>
    </row>
    <row r="489" spans="1:23" ht="24.75" customHeight="1">
      <c r="A489" s="5"/>
      <c r="B489" s="5"/>
      <c r="C489" s="5"/>
      <c r="D489" s="5"/>
      <c r="E489" s="30"/>
      <c r="F489" s="5"/>
      <c r="G489" s="5"/>
      <c r="H489" s="5"/>
      <c r="I489" s="5"/>
      <c r="J489" s="5"/>
      <c r="K489" s="5"/>
      <c r="L489" s="5"/>
      <c r="M489" s="5"/>
      <c r="N489" s="13" t="e">
        <f t="shared" si="30"/>
        <v>#DIV/0!</v>
      </c>
      <c r="O489" s="6" t="e">
        <f>LOOKUP(N489,Sheet6!$J$4:$J$11,Sheet6!$B$4:$B$11)*0.15</f>
        <v>#DIV/0!</v>
      </c>
      <c r="P489" s="14" t="e">
        <f>LOOKUP(H489,Sheet6!$J$25:$J$66,Sheet6!$B$25:$B$66)*0.15</f>
        <v>#N/A</v>
      </c>
      <c r="Q489" s="6" t="e">
        <f>LOOKUP(I489,Sheet6!$J$115:$J$156,Sheet6!$B$115:$B$156)*0.2</f>
        <v>#N/A</v>
      </c>
      <c r="R489" s="6" t="e">
        <f>LOOKUP(J489,Sheet6!$D$465:$D$506,Sheet6!$B$465:$B$506)*0.1</f>
        <v>#N/A</v>
      </c>
      <c r="S489" s="6">
        <f>LOOKUP(K489,Sheet6!$J$205:$J$246,Sheet6!$B$205:$B$246)*0.1</f>
        <v>6.2</v>
      </c>
      <c r="T489" s="6" t="e">
        <f>LOOKUP(L489,Sheet6!$F$688:$F$749,Sheet6!$B$688:$B$749)*0.2</f>
        <v>#N/A</v>
      </c>
      <c r="U489" s="6">
        <f>LOOKUP(M489,Sheet6!$D$600:$D$626,Sheet6!$B$600:$B$626)*0.1</f>
        <v>0</v>
      </c>
      <c r="V489" s="6" t="e">
        <f t="shared" si="31"/>
        <v>#DIV/0!</v>
      </c>
      <c r="W489" s="6" t="e">
        <f t="shared" si="32"/>
        <v>#DIV/0!</v>
      </c>
    </row>
    <row r="490" spans="1:23" ht="24.75" customHeight="1">
      <c r="A490" s="5"/>
      <c r="B490" s="5"/>
      <c r="C490" s="5"/>
      <c r="D490" s="5"/>
      <c r="E490" s="30"/>
      <c r="F490" s="5"/>
      <c r="G490" s="5"/>
      <c r="H490" s="5"/>
      <c r="I490" s="5"/>
      <c r="J490" s="5"/>
      <c r="K490" s="5"/>
      <c r="L490" s="5"/>
      <c r="M490" s="5"/>
      <c r="N490" s="13" t="e">
        <f t="shared" si="30"/>
        <v>#DIV/0!</v>
      </c>
      <c r="O490" s="6" t="e">
        <f>LOOKUP(N490,Sheet6!$J$4:$J$11,Sheet6!$B$4:$B$11)*0.15</f>
        <v>#DIV/0!</v>
      </c>
      <c r="P490" s="14" t="e">
        <f>LOOKUP(H490,Sheet6!$J$25:$J$66,Sheet6!$B$25:$B$66)*0.15</f>
        <v>#N/A</v>
      </c>
      <c r="Q490" s="6" t="e">
        <f>LOOKUP(I490,Sheet6!$J$115:$J$156,Sheet6!$B$115:$B$156)*0.2</f>
        <v>#N/A</v>
      </c>
      <c r="R490" s="6" t="e">
        <f>LOOKUP(J490,Sheet6!$D$465:$D$506,Sheet6!$B$465:$B$506)*0.1</f>
        <v>#N/A</v>
      </c>
      <c r="S490" s="6">
        <f>LOOKUP(K490,Sheet6!$J$205:$J$246,Sheet6!$B$205:$B$246)*0.1</f>
        <v>6.2</v>
      </c>
      <c r="T490" s="6" t="e">
        <f>LOOKUP(L490,Sheet6!$F$688:$F$749,Sheet6!$B$688:$B$749)*0.2</f>
        <v>#N/A</v>
      </c>
      <c r="U490" s="6">
        <f>LOOKUP(M490,Sheet6!$D$600:$D$626,Sheet6!$B$600:$B$626)*0.1</f>
        <v>0</v>
      </c>
      <c r="V490" s="6" t="e">
        <f t="shared" si="31"/>
        <v>#DIV/0!</v>
      </c>
      <c r="W490" s="6" t="e">
        <f t="shared" si="32"/>
        <v>#DIV/0!</v>
      </c>
    </row>
    <row r="491" spans="1:23" ht="24.75" customHeight="1">
      <c r="A491" s="5"/>
      <c r="B491" s="5"/>
      <c r="C491" s="5"/>
      <c r="D491" s="5"/>
      <c r="E491" s="30"/>
      <c r="F491" s="5"/>
      <c r="G491" s="5"/>
      <c r="H491" s="5"/>
      <c r="I491" s="5"/>
      <c r="J491" s="5"/>
      <c r="K491" s="5"/>
      <c r="L491" s="5"/>
      <c r="M491" s="5"/>
      <c r="N491" s="13" t="e">
        <f t="shared" si="30"/>
        <v>#DIV/0!</v>
      </c>
      <c r="O491" s="6" t="e">
        <f>LOOKUP(N491,Sheet6!$J$4:$J$11,Sheet6!$B$4:$B$11)*0.15</f>
        <v>#DIV/0!</v>
      </c>
      <c r="P491" s="14" t="e">
        <f>LOOKUP(H491,Sheet6!$J$25:$J$66,Sheet6!$B$25:$B$66)*0.15</f>
        <v>#N/A</v>
      </c>
      <c r="Q491" s="6" t="e">
        <f>LOOKUP(I491,Sheet6!$J$115:$J$156,Sheet6!$B$115:$B$156)*0.2</f>
        <v>#N/A</v>
      </c>
      <c r="R491" s="6" t="e">
        <f>LOOKUP(J491,Sheet6!$D$465:$D$506,Sheet6!$B$465:$B$506)*0.1</f>
        <v>#N/A</v>
      </c>
      <c r="S491" s="6">
        <f>LOOKUP(K491,Sheet6!$J$205:$J$246,Sheet6!$B$205:$B$246)*0.1</f>
        <v>6.2</v>
      </c>
      <c r="T491" s="6" t="e">
        <f>LOOKUP(L491,Sheet6!$F$688:$F$749,Sheet6!$B$688:$B$749)*0.2</f>
        <v>#N/A</v>
      </c>
      <c r="U491" s="6">
        <f>LOOKUP(M491,Sheet6!$D$600:$D$626,Sheet6!$B$600:$B$626)*0.1</f>
        <v>0</v>
      </c>
      <c r="V491" s="6" t="e">
        <f t="shared" si="31"/>
        <v>#DIV/0!</v>
      </c>
      <c r="W491" s="6" t="e">
        <f t="shared" si="32"/>
        <v>#DIV/0!</v>
      </c>
    </row>
    <row r="492" spans="1:23" ht="24.75" customHeight="1">
      <c r="A492" s="5"/>
      <c r="B492" s="5"/>
      <c r="C492" s="5"/>
      <c r="D492" s="5"/>
      <c r="E492" s="30"/>
      <c r="F492" s="5"/>
      <c r="G492" s="5"/>
      <c r="H492" s="5"/>
      <c r="I492" s="5"/>
      <c r="J492" s="5"/>
      <c r="K492" s="5"/>
      <c r="L492" s="5"/>
      <c r="M492" s="5"/>
      <c r="N492" s="13" t="e">
        <f t="shared" si="30"/>
        <v>#DIV/0!</v>
      </c>
      <c r="O492" s="6" t="e">
        <f>LOOKUP(N492,Sheet6!$J$4:$J$11,Sheet6!$B$4:$B$11)*0.15</f>
        <v>#DIV/0!</v>
      </c>
      <c r="P492" s="14" t="e">
        <f>LOOKUP(H492,Sheet6!$J$25:$J$66,Sheet6!$B$25:$B$66)*0.15</f>
        <v>#N/A</v>
      </c>
      <c r="Q492" s="6" t="e">
        <f>LOOKUP(I492,Sheet6!$J$115:$J$156,Sheet6!$B$115:$B$156)*0.2</f>
        <v>#N/A</v>
      </c>
      <c r="R492" s="6" t="e">
        <f>LOOKUP(J492,Sheet6!$D$465:$D$506,Sheet6!$B$465:$B$506)*0.1</f>
        <v>#N/A</v>
      </c>
      <c r="S492" s="6">
        <f>LOOKUP(K492,Sheet6!$J$205:$J$246,Sheet6!$B$205:$B$246)*0.1</f>
        <v>6.2</v>
      </c>
      <c r="T492" s="6" t="e">
        <f>LOOKUP(L492,Sheet6!$F$688:$F$749,Sheet6!$B$688:$B$749)*0.2</f>
        <v>#N/A</v>
      </c>
      <c r="U492" s="6">
        <f>LOOKUP(M492,Sheet6!$D$600:$D$626,Sheet6!$B$600:$B$626)*0.1</f>
        <v>0</v>
      </c>
      <c r="V492" s="6" t="e">
        <f t="shared" si="31"/>
        <v>#DIV/0!</v>
      </c>
      <c r="W492" s="6" t="e">
        <f t="shared" si="32"/>
        <v>#DIV/0!</v>
      </c>
    </row>
    <row r="493" spans="1:23" ht="24.75" customHeight="1">
      <c r="A493" s="5"/>
      <c r="B493" s="5"/>
      <c r="C493" s="5"/>
      <c r="D493" s="5"/>
      <c r="E493" s="30"/>
      <c r="F493" s="5"/>
      <c r="G493" s="5"/>
      <c r="H493" s="5"/>
      <c r="I493" s="5"/>
      <c r="J493" s="5"/>
      <c r="K493" s="5"/>
      <c r="L493" s="5"/>
      <c r="M493" s="5"/>
      <c r="N493" s="13" t="e">
        <f t="shared" si="30"/>
        <v>#DIV/0!</v>
      </c>
      <c r="O493" s="6" t="e">
        <f>LOOKUP(N493,Sheet6!$J$4:$J$11,Sheet6!$B$4:$B$11)*0.15</f>
        <v>#DIV/0!</v>
      </c>
      <c r="P493" s="14" t="e">
        <f>LOOKUP(H493,Sheet6!$J$25:$J$66,Sheet6!$B$25:$B$66)*0.15</f>
        <v>#N/A</v>
      </c>
      <c r="Q493" s="6" t="e">
        <f>LOOKUP(I493,Sheet6!$J$115:$J$156,Sheet6!$B$115:$B$156)*0.2</f>
        <v>#N/A</v>
      </c>
      <c r="R493" s="6" t="e">
        <f>LOOKUP(J493,Sheet6!$D$465:$D$506,Sheet6!$B$465:$B$506)*0.1</f>
        <v>#N/A</v>
      </c>
      <c r="S493" s="6">
        <f>LOOKUP(K493,Sheet6!$J$205:$J$246,Sheet6!$B$205:$B$246)*0.1</f>
        <v>6.2</v>
      </c>
      <c r="T493" s="6" t="e">
        <f>LOOKUP(L493,Sheet6!$F$688:$F$749,Sheet6!$B$688:$B$749)*0.2</f>
        <v>#N/A</v>
      </c>
      <c r="U493" s="6">
        <f>LOOKUP(M493,Sheet6!$D$600:$D$626,Sheet6!$B$600:$B$626)*0.1</f>
        <v>0</v>
      </c>
      <c r="V493" s="6" t="e">
        <f t="shared" si="31"/>
        <v>#DIV/0!</v>
      </c>
      <c r="W493" s="6" t="e">
        <f t="shared" si="32"/>
        <v>#DIV/0!</v>
      </c>
    </row>
    <row r="494" spans="1:23" ht="24.75" customHeight="1">
      <c r="A494" s="5"/>
      <c r="B494" s="5"/>
      <c r="C494" s="5"/>
      <c r="D494" s="5"/>
      <c r="E494" s="30"/>
      <c r="F494" s="5"/>
      <c r="G494" s="5"/>
      <c r="H494" s="5"/>
      <c r="I494" s="5"/>
      <c r="J494" s="5"/>
      <c r="K494" s="5"/>
      <c r="L494" s="5"/>
      <c r="M494" s="5"/>
      <c r="N494" s="13" t="e">
        <f t="shared" si="30"/>
        <v>#DIV/0!</v>
      </c>
      <c r="O494" s="6" t="e">
        <f>LOOKUP(N494,Sheet6!$J$4:$J$11,Sheet6!$B$4:$B$11)*0.15</f>
        <v>#DIV/0!</v>
      </c>
      <c r="P494" s="14" t="e">
        <f>LOOKUP(H494,Sheet6!$J$25:$J$66,Sheet6!$B$25:$B$66)*0.15</f>
        <v>#N/A</v>
      </c>
      <c r="Q494" s="6" t="e">
        <f>LOOKUP(I494,Sheet6!$J$115:$J$156,Sheet6!$B$115:$B$156)*0.2</f>
        <v>#N/A</v>
      </c>
      <c r="R494" s="6" t="e">
        <f>LOOKUP(J494,Sheet6!$D$465:$D$506,Sheet6!$B$465:$B$506)*0.1</f>
        <v>#N/A</v>
      </c>
      <c r="S494" s="6">
        <f>LOOKUP(K494,Sheet6!$J$205:$J$246,Sheet6!$B$205:$B$246)*0.1</f>
        <v>6.2</v>
      </c>
      <c r="T494" s="6" t="e">
        <f>LOOKUP(L494,Sheet6!$F$688:$F$749,Sheet6!$B$688:$B$749)*0.2</f>
        <v>#N/A</v>
      </c>
      <c r="U494" s="6">
        <f>LOOKUP(M494,Sheet6!$D$600:$D$626,Sheet6!$B$600:$B$626)*0.1</f>
        <v>0</v>
      </c>
      <c r="V494" s="6" t="e">
        <f t="shared" si="31"/>
        <v>#DIV/0!</v>
      </c>
      <c r="W494" s="6" t="e">
        <f t="shared" si="32"/>
        <v>#DIV/0!</v>
      </c>
    </row>
    <row r="495" spans="1:23" ht="24.75" customHeight="1">
      <c r="A495" s="5"/>
      <c r="B495" s="5"/>
      <c r="C495" s="5"/>
      <c r="D495" s="5"/>
      <c r="E495" s="30"/>
      <c r="F495" s="5"/>
      <c r="G495" s="5"/>
      <c r="H495" s="5"/>
      <c r="I495" s="5"/>
      <c r="J495" s="5"/>
      <c r="K495" s="5"/>
      <c r="L495" s="5"/>
      <c r="M495" s="5"/>
      <c r="N495" s="13" t="e">
        <f t="shared" si="30"/>
        <v>#DIV/0!</v>
      </c>
      <c r="O495" s="6" t="e">
        <f>LOOKUP(N495,Sheet6!$J$4:$J$11,Sheet6!$B$4:$B$11)*0.15</f>
        <v>#DIV/0!</v>
      </c>
      <c r="P495" s="14" t="e">
        <f>LOOKUP(H495,Sheet6!$J$25:$J$66,Sheet6!$B$25:$B$66)*0.15</f>
        <v>#N/A</v>
      </c>
      <c r="Q495" s="6" t="e">
        <f>LOOKUP(I495,Sheet6!$J$115:$J$156,Sheet6!$B$115:$B$156)*0.2</f>
        <v>#N/A</v>
      </c>
      <c r="R495" s="6" t="e">
        <f>LOOKUP(J495,Sheet6!$D$465:$D$506,Sheet6!$B$465:$B$506)*0.1</f>
        <v>#N/A</v>
      </c>
      <c r="S495" s="6">
        <f>LOOKUP(K495,Sheet6!$J$205:$J$246,Sheet6!$B$205:$B$246)*0.1</f>
        <v>6.2</v>
      </c>
      <c r="T495" s="6" t="e">
        <f>LOOKUP(L495,Sheet6!$F$688:$F$749,Sheet6!$B$688:$B$749)*0.2</f>
        <v>#N/A</v>
      </c>
      <c r="U495" s="6">
        <f>LOOKUP(M495,Sheet6!$D$600:$D$626,Sheet6!$B$600:$B$626)*0.1</f>
        <v>0</v>
      </c>
      <c r="V495" s="6" t="e">
        <f t="shared" si="31"/>
        <v>#DIV/0!</v>
      </c>
      <c r="W495" s="6" t="e">
        <f t="shared" si="32"/>
        <v>#DIV/0!</v>
      </c>
    </row>
    <row r="496" spans="1:23" ht="24.75" customHeight="1">
      <c r="A496" s="5"/>
      <c r="B496" s="5"/>
      <c r="C496" s="5"/>
      <c r="D496" s="5"/>
      <c r="E496" s="30"/>
      <c r="F496" s="5"/>
      <c r="G496" s="5"/>
      <c r="H496" s="5"/>
      <c r="I496" s="5"/>
      <c r="J496" s="5"/>
      <c r="K496" s="5"/>
      <c r="L496" s="5"/>
      <c r="M496" s="5"/>
      <c r="N496" s="13" t="e">
        <f t="shared" si="30"/>
        <v>#DIV/0!</v>
      </c>
      <c r="O496" s="6" t="e">
        <f>LOOKUP(N496,Sheet6!$J$4:$J$11,Sheet6!$B$4:$B$11)*0.15</f>
        <v>#DIV/0!</v>
      </c>
      <c r="P496" s="14" t="e">
        <f>LOOKUP(H496,Sheet6!$J$25:$J$66,Sheet6!$B$25:$B$66)*0.15</f>
        <v>#N/A</v>
      </c>
      <c r="Q496" s="6" t="e">
        <f>LOOKUP(I496,Sheet6!$J$115:$J$156,Sheet6!$B$115:$B$156)*0.2</f>
        <v>#N/A</v>
      </c>
      <c r="R496" s="6" t="e">
        <f>LOOKUP(J496,Sheet6!$D$465:$D$506,Sheet6!$B$465:$B$506)*0.1</f>
        <v>#N/A</v>
      </c>
      <c r="S496" s="6">
        <f>LOOKUP(K496,Sheet6!$J$205:$J$246,Sheet6!$B$205:$B$246)*0.1</f>
        <v>6.2</v>
      </c>
      <c r="T496" s="6" t="e">
        <f>LOOKUP(L496,Sheet6!$F$688:$F$749,Sheet6!$B$688:$B$749)*0.2</f>
        <v>#N/A</v>
      </c>
      <c r="U496" s="6">
        <f>LOOKUP(M496,Sheet6!$D$600:$D$626,Sheet6!$B$600:$B$626)*0.1</f>
        <v>0</v>
      </c>
      <c r="V496" s="6" t="e">
        <f t="shared" si="31"/>
        <v>#DIV/0!</v>
      </c>
      <c r="W496" s="6" t="e">
        <f t="shared" si="32"/>
        <v>#DIV/0!</v>
      </c>
    </row>
    <row r="497" spans="1:23" ht="24.75" customHeight="1">
      <c r="A497" s="5"/>
      <c r="B497" s="5"/>
      <c r="C497" s="5"/>
      <c r="D497" s="5"/>
      <c r="E497" s="30"/>
      <c r="F497" s="5"/>
      <c r="G497" s="5"/>
      <c r="H497" s="5"/>
      <c r="I497" s="5"/>
      <c r="J497" s="5"/>
      <c r="K497" s="5"/>
      <c r="L497" s="5"/>
      <c r="M497" s="5"/>
      <c r="N497" s="13" t="e">
        <f t="shared" si="30"/>
        <v>#DIV/0!</v>
      </c>
      <c r="O497" s="6" t="e">
        <f>LOOKUP(N497,Sheet6!$J$4:$J$11,Sheet6!$B$4:$B$11)*0.15</f>
        <v>#DIV/0!</v>
      </c>
      <c r="P497" s="14" t="e">
        <f>LOOKUP(H497,Sheet6!$J$25:$J$66,Sheet6!$B$25:$B$66)*0.15</f>
        <v>#N/A</v>
      </c>
      <c r="Q497" s="6" t="e">
        <f>LOOKUP(I497,Sheet6!$J$115:$J$156,Sheet6!$B$115:$B$156)*0.2</f>
        <v>#N/A</v>
      </c>
      <c r="R497" s="6" t="e">
        <f>LOOKUP(J497,Sheet6!$D$465:$D$506,Sheet6!$B$465:$B$506)*0.1</f>
        <v>#N/A</v>
      </c>
      <c r="S497" s="6">
        <f>LOOKUP(K497,Sheet6!$J$205:$J$246,Sheet6!$B$205:$B$246)*0.1</f>
        <v>6.2</v>
      </c>
      <c r="T497" s="6" t="e">
        <f>LOOKUP(L497,Sheet6!$F$688:$F$749,Sheet6!$B$688:$B$749)*0.2</f>
        <v>#N/A</v>
      </c>
      <c r="U497" s="6">
        <f>LOOKUP(M497,Sheet6!$D$600:$D$626,Sheet6!$B$600:$B$626)*0.1</f>
        <v>0</v>
      </c>
      <c r="V497" s="6" t="e">
        <f t="shared" si="31"/>
        <v>#DIV/0!</v>
      </c>
      <c r="W497" s="6" t="e">
        <f t="shared" si="32"/>
        <v>#DIV/0!</v>
      </c>
    </row>
    <row r="498" spans="1:23" ht="24.75" customHeight="1">
      <c r="A498" s="5"/>
      <c r="B498" s="5"/>
      <c r="C498" s="5"/>
      <c r="D498" s="5"/>
      <c r="E498" s="30"/>
      <c r="F498" s="5"/>
      <c r="G498" s="5"/>
      <c r="H498" s="5"/>
      <c r="I498" s="5"/>
      <c r="J498" s="5"/>
      <c r="K498" s="5"/>
      <c r="L498" s="5"/>
      <c r="M498" s="5"/>
      <c r="N498" s="13" t="e">
        <f t="shared" si="30"/>
        <v>#DIV/0!</v>
      </c>
      <c r="O498" s="6" t="e">
        <f>LOOKUP(N498,Sheet6!$J$4:$J$11,Sheet6!$B$4:$B$11)*0.15</f>
        <v>#DIV/0!</v>
      </c>
      <c r="P498" s="14" t="e">
        <f>LOOKUP(H498,Sheet6!$J$25:$J$66,Sheet6!$B$25:$B$66)*0.15</f>
        <v>#N/A</v>
      </c>
      <c r="Q498" s="6" t="e">
        <f>LOOKUP(I498,Sheet6!$J$115:$J$156,Sheet6!$B$115:$B$156)*0.2</f>
        <v>#N/A</v>
      </c>
      <c r="R498" s="6" t="e">
        <f>LOOKUP(J498,Sheet6!$D$465:$D$506,Sheet6!$B$465:$B$506)*0.1</f>
        <v>#N/A</v>
      </c>
      <c r="S498" s="6">
        <f>LOOKUP(K498,Sheet6!$J$205:$J$246,Sheet6!$B$205:$B$246)*0.1</f>
        <v>6.2</v>
      </c>
      <c r="T498" s="6" t="e">
        <f>LOOKUP(L498,Sheet6!$F$688:$F$749,Sheet6!$B$688:$B$749)*0.2</f>
        <v>#N/A</v>
      </c>
      <c r="U498" s="6">
        <f>LOOKUP(M498,Sheet6!$D$600:$D$626,Sheet6!$B$600:$B$626)*0.1</f>
        <v>0</v>
      </c>
      <c r="V498" s="6" t="e">
        <f t="shared" si="31"/>
        <v>#DIV/0!</v>
      </c>
      <c r="W498" s="6" t="e">
        <f t="shared" si="32"/>
        <v>#DIV/0!</v>
      </c>
    </row>
    <row r="499" spans="1:23" ht="24.75" customHeight="1">
      <c r="A499" s="5"/>
      <c r="B499" s="5"/>
      <c r="C499" s="5"/>
      <c r="D499" s="5"/>
      <c r="E499" s="30"/>
      <c r="F499" s="5"/>
      <c r="G499" s="5"/>
      <c r="H499" s="5"/>
      <c r="I499" s="5"/>
      <c r="J499" s="5"/>
      <c r="K499" s="5"/>
      <c r="L499" s="5"/>
      <c r="M499" s="5"/>
      <c r="N499" s="13" t="e">
        <f t="shared" si="30"/>
        <v>#DIV/0!</v>
      </c>
      <c r="O499" s="6" t="e">
        <f>LOOKUP(N499,Sheet6!$J$4:$J$11,Sheet6!$B$4:$B$11)*0.15</f>
        <v>#DIV/0!</v>
      </c>
      <c r="P499" s="14" t="e">
        <f>LOOKUP(H499,Sheet6!$J$25:$J$66,Sheet6!$B$25:$B$66)*0.15</f>
        <v>#N/A</v>
      </c>
      <c r="Q499" s="6" t="e">
        <f>LOOKUP(I499,Sheet6!$J$115:$J$156,Sheet6!$B$115:$B$156)*0.2</f>
        <v>#N/A</v>
      </c>
      <c r="R499" s="6" t="e">
        <f>LOOKUP(J499,Sheet6!$D$465:$D$506,Sheet6!$B$465:$B$506)*0.1</f>
        <v>#N/A</v>
      </c>
      <c r="S499" s="6">
        <f>LOOKUP(K499,Sheet6!$J$205:$J$246,Sheet6!$B$205:$B$246)*0.1</f>
        <v>6.2</v>
      </c>
      <c r="T499" s="6" t="e">
        <f>LOOKUP(L499,Sheet6!$F$688:$F$749,Sheet6!$B$688:$B$749)*0.2</f>
        <v>#N/A</v>
      </c>
      <c r="U499" s="6">
        <f>LOOKUP(M499,Sheet6!$D$600:$D$626,Sheet6!$B$600:$B$626)*0.1</f>
        <v>0</v>
      </c>
      <c r="V499" s="6" t="e">
        <f t="shared" si="31"/>
        <v>#DIV/0!</v>
      </c>
      <c r="W499" s="6" t="e">
        <f t="shared" si="32"/>
        <v>#DIV/0!</v>
      </c>
    </row>
    <row r="500" spans="1:23" ht="24.75" customHeight="1">
      <c r="A500" s="5"/>
      <c r="B500" s="5"/>
      <c r="C500" s="5"/>
      <c r="D500" s="5"/>
      <c r="E500" s="30"/>
      <c r="F500" s="5"/>
      <c r="G500" s="5"/>
      <c r="H500" s="5"/>
      <c r="I500" s="5"/>
      <c r="J500" s="5"/>
      <c r="K500" s="5"/>
      <c r="L500" s="5"/>
      <c r="M500" s="5"/>
      <c r="N500" s="13" t="e">
        <f t="shared" si="30"/>
        <v>#DIV/0!</v>
      </c>
      <c r="O500" s="6" t="e">
        <f>LOOKUP(N500,Sheet6!$J$4:$J$11,Sheet6!$B$4:$B$11)*0.15</f>
        <v>#DIV/0!</v>
      </c>
      <c r="P500" s="14" t="e">
        <f>LOOKUP(H500,Sheet6!$J$25:$J$66,Sheet6!$B$25:$B$66)*0.15</f>
        <v>#N/A</v>
      </c>
      <c r="Q500" s="6" t="e">
        <f>LOOKUP(I500,Sheet6!$J$115:$J$156,Sheet6!$B$115:$B$156)*0.2</f>
        <v>#N/A</v>
      </c>
      <c r="R500" s="6" t="e">
        <f>LOOKUP(J500,Sheet6!$D$465:$D$506,Sheet6!$B$465:$B$506)*0.1</f>
        <v>#N/A</v>
      </c>
      <c r="S500" s="6">
        <f>LOOKUP(K500,Sheet6!$J$205:$J$246,Sheet6!$B$205:$B$246)*0.1</f>
        <v>6.2</v>
      </c>
      <c r="T500" s="6" t="e">
        <f>LOOKUP(L500,Sheet6!$F$688:$F$749,Sheet6!$B$688:$B$749)*0.2</f>
        <v>#N/A</v>
      </c>
      <c r="U500" s="6">
        <f>LOOKUP(M500,Sheet6!$D$600:$D$626,Sheet6!$B$600:$B$626)*0.1</f>
        <v>0</v>
      </c>
      <c r="V500" s="6" t="e">
        <f t="shared" si="31"/>
        <v>#DIV/0!</v>
      </c>
      <c r="W500" s="6" t="e">
        <f t="shared" si="32"/>
        <v>#DIV/0!</v>
      </c>
    </row>
    <row r="501" spans="1:23" ht="24.75" customHeight="1">
      <c r="A501" s="5"/>
      <c r="B501" s="5"/>
      <c r="C501" s="5"/>
      <c r="D501" s="5"/>
      <c r="E501" s="30"/>
      <c r="F501" s="5"/>
      <c r="G501" s="5"/>
      <c r="H501" s="5"/>
      <c r="I501" s="5"/>
      <c r="J501" s="5"/>
      <c r="K501" s="5"/>
      <c r="L501" s="5"/>
      <c r="M501" s="5"/>
      <c r="N501" s="13" t="e">
        <f t="shared" si="30"/>
        <v>#DIV/0!</v>
      </c>
      <c r="O501" s="6" t="e">
        <f>LOOKUP(N501,Sheet6!$J$4:$J$11,Sheet6!$B$4:$B$11)*0.15</f>
        <v>#DIV/0!</v>
      </c>
      <c r="P501" s="14" t="e">
        <f>LOOKUP(H501,Sheet6!$J$25:$J$66,Sheet6!$B$25:$B$66)*0.15</f>
        <v>#N/A</v>
      </c>
      <c r="Q501" s="6" t="e">
        <f>LOOKUP(I501,Sheet6!$J$115:$J$156,Sheet6!$B$115:$B$156)*0.2</f>
        <v>#N/A</v>
      </c>
      <c r="R501" s="6" t="e">
        <f>LOOKUP(J501,Sheet6!$D$465:$D$506,Sheet6!$B$465:$B$506)*0.1</f>
        <v>#N/A</v>
      </c>
      <c r="S501" s="6">
        <f>LOOKUP(K501,Sheet6!$J$205:$J$246,Sheet6!$B$205:$B$246)*0.1</f>
        <v>6.2</v>
      </c>
      <c r="T501" s="6" t="e">
        <f>LOOKUP(L501,Sheet6!$F$688:$F$749,Sheet6!$B$688:$B$749)*0.2</f>
        <v>#N/A</v>
      </c>
      <c r="U501" s="6">
        <f>LOOKUP(M501,Sheet6!$D$600:$D$626,Sheet6!$B$600:$B$626)*0.1</f>
        <v>0</v>
      </c>
      <c r="V501" s="6" t="e">
        <f t="shared" si="31"/>
        <v>#DIV/0!</v>
      </c>
      <c r="W501" s="6" t="e">
        <f t="shared" si="32"/>
        <v>#DIV/0!</v>
      </c>
    </row>
    <row r="502" spans="1:23" ht="24.75" customHeight="1">
      <c r="A502" s="5"/>
      <c r="B502" s="5"/>
      <c r="C502" s="5"/>
      <c r="D502" s="5"/>
      <c r="E502" s="30"/>
      <c r="F502" s="5"/>
      <c r="G502" s="5"/>
      <c r="H502" s="5"/>
      <c r="I502" s="5"/>
      <c r="J502" s="5"/>
      <c r="K502" s="5"/>
      <c r="L502" s="5"/>
      <c r="M502" s="5"/>
      <c r="N502" s="13" t="e">
        <f t="shared" si="30"/>
        <v>#DIV/0!</v>
      </c>
      <c r="O502" s="6" t="e">
        <f>LOOKUP(N502,Sheet6!$J$4:$J$11,Sheet6!$B$4:$B$11)*0.15</f>
        <v>#DIV/0!</v>
      </c>
      <c r="P502" s="14" t="e">
        <f>LOOKUP(H502,Sheet6!$J$25:$J$66,Sheet6!$B$25:$B$66)*0.15</f>
        <v>#N/A</v>
      </c>
      <c r="Q502" s="6" t="e">
        <f>LOOKUP(I502,Sheet6!$J$115:$J$156,Sheet6!$B$115:$B$156)*0.2</f>
        <v>#N/A</v>
      </c>
      <c r="R502" s="6" t="e">
        <f>LOOKUP(J502,Sheet6!$D$465:$D$506,Sheet6!$B$465:$B$506)*0.1</f>
        <v>#N/A</v>
      </c>
      <c r="S502" s="6">
        <f>LOOKUP(K502,Sheet6!$J$205:$J$246,Sheet6!$B$205:$B$246)*0.1</f>
        <v>6.2</v>
      </c>
      <c r="T502" s="6" t="e">
        <f>LOOKUP(L502,Sheet6!$F$688:$F$749,Sheet6!$B$688:$B$749)*0.2</f>
        <v>#N/A</v>
      </c>
      <c r="U502" s="6">
        <f>LOOKUP(M502,Sheet6!$D$600:$D$626,Sheet6!$B$600:$B$626)*0.1</f>
        <v>0</v>
      </c>
      <c r="V502" s="6" t="e">
        <f t="shared" si="31"/>
        <v>#DIV/0!</v>
      </c>
      <c r="W502" s="6" t="e">
        <f t="shared" si="32"/>
        <v>#DIV/0!</v>
      </c>
    </row>
    <row r="503" spans="1:23" ht="24.75" customHeight="1">
      <c r="A503" s="5"/>
      <c r="B503" s="5"/>
      <c r="C503" s="5"/>
      <c r="D503" s="5"/>
      <c r="E503" s="30"/>
      <c r="F503" s="5"/>
      <c r="G503" s="5"/>
      <c r="H503" s="5"/>
      <c r="I503" s="5"/>
      <c r="J503" s="5"/>
      <c r="K503" s="5"/>
      <c r="L503" s="5"/>
      <c r="M503" s="5"/>
      <c r="N503" s="13" t="e">
        <f t="shared" si="30"/>
        <v>#DIV/0!</v>
      </c>
      <c r="O503" s="6" t="e">
        <f>LOOKUP(N503,Sheet6!$J$4:$J$11,Sheet6!$B$4:$B$11)*0.15</f>
        <v>#DIV/0!</v>
      </c>
      <c r="P503" s="14" t="e">
        <f>LOOKUP(H503,Sheet6!$J$25:$J$66,Sheet6!$B$25:$B$66)*0.15</f>
        <v>#N/A</v>
      </c>
      <c r="Q503" s="6" t="e">
        <f>LOOKUP(I503,Sheet6!$J$115:$J$156,Sheet6!$B$115:$B$156)*0.2</f>
        <v>#N/A</v>
      </c>
      <c r="R503" s="6" t="e">
        <f>LOOKUP(J503,Sheet6!$D$465:$D$506,Sheet6!$B$465:$B$506)*0.1</f>
        <v>#N/A</v>
      </c>
      <c r="S503" s="6">
        <f>LOOKUP(K503,Sheet6!$J$205:$J$246,Sheet6!$B$205:$B$246)*0.1</f>
        <v>6.2</v>
      </c>
      <c r="T503" s="6" t="e">
        <f>LOOKUP(L503,Sheet6!$F$688:$F$749,Sheet6!$B$688:$B$749)*0.2</f>
        <v>#N/A</v>
      </c>
      <c r="U503" s="6">
        <f>LOOKUP(M503,Sheet6!$D$600:$D$626,Sheet6!$B$600:$B$626)*0.1</f>
        <v>0</v>
      </c>
      <c r="V503" s="6" t="e">
        <f t="shared" si="31"/>
        <v>#DIV/0!</v>
      </c>
      <c r="W503" s="6" t="e">
        <f t="shared" si="32"/>
        <v>#DIV/0!</v>
      </c>
    </row>
    <row r="504" spans="1:23" ht="24.75" customHeight="1">
      <c r="A504" s="5"/>
      <c r="B504" s="5"/>
      <c r="C504" s="5"/>
      <c r="D504" s="5"/>
      <c r="E504" s="30"/>
      <c r="F504" s="5"/>
      <c r="G504" s="5"/>
      <c r="H504" s="5"/>
      <c r="I504" s="5"/>
      <c r="J504" s="5"/>
      <c r="K504" s="5"/>
      <c r="L504" s="5"/>
      <c r="M504" s="5"/>
      <c r="N504" s="13" t="e">
        <f t="shared" si="30"/>
        <v>#DIV/0!</v>
      </c>
      <c r="O504" s="6" t="e">
        <f>LOOKUP(N504,Sheet6!$J$4:$J$11,Sheet6!$B$4:$B$11)*0.15</f>
        <v>#DIV/0!</v>
      </c>
      <c r="P504" s="14" t="e">
        <f>LOOKUP(H504,Sheet6!$J$25:$J$66,Sheet6!$B$25:$B$66)*0.15</f>
        <v>#N/A</v>
      </c>
      <c r="Q504" s="6" t="e">
        <f>LOOKUP(I504,Sheet6!$J$115:$J$156,Sheet6!$B$115:$B$156)*0.2</f>
        <v>#N/A</v>
      </c>
      <c r="R504" s="6" t="e">
        <f>LOOKUP(J504,Sheet6!$D$465:$D$506,Sheet6!$B$465:$B$506)*0.1</f>
        <v>#N/A</v>
      </c>
      <c r="S504" s="6">
        <f>LOOKUP(K504,Sheet6!$J$205:$J$246,Sheet6!$B$205:$B$246)*0.1</f>
        <v>6.2</v>
      </c>
      <c r="T504" s="6" t="e">
        <f>LOOKUP(L504,Sheet6!$F$688:$F$749,Sheet6!$B$688:$B$749)*0.2</f>
        <v>#N/A</v>
      </c>
      <c r="U504" s="6">
        <f>LOOKUP(M504,Sheet6!$D$600:$D$626,Sheet6!$B$600:$B$626)*0.1</f>
        <v>0</v>
      </c>
      <c r="V504" s="6" t="e">
        <f t="shared" si="31"/>
        <v>#DIV/0!</v>
      </c>
      <c r="W504" s="6" t="e">
        <f t="shared" si="32"/>
        <v>#DIV/0!</v>
      </c>
    </row>
    <row r="505" spans="1:23" ht="24.75" customHeight="1">
      <c r="A505" s="5"/>
      <c r="B505" s="5"/>
      <c r="C505" s="5"/>
      <c r="D505" s="5"/>
      <c r="E505" s="30"/>
      <c r="F505" s="5"/>
      <c r="G505" s="5"/>
      <c r="H505" s="5"/>
      <c r="I505" s="5"/>
      <c r="J505" s="5"/>
      <c r="K505" s="5"/>
      <c r="L505" s="5"/>
      <c r="M505" s="5"/>
      <c r="N505" s="13" t="e">
        <f t="shared" si="30"/>
        <v>#DIV/0!</v>
      </c>
      <c r="O505" s="6" t="e">
        <f>LOOKUP(N505,Sheet6!$J$4:$J$11,Sheet6!$B$4:$B$11)*0.15</f>
        <v>#DIV/0!</v>
      </c>
      <c r="P505" s="14" t="e">
        <f>LOOKUP(H505,Sheet6!$J$25:$J$66,Sheet6!$B$25:$B$66)*0.15</f>
        <v>#N/A</v>
      </c>
      <c r="Q505" s="6" t="e">
        <f>LOOKUP(I505,Sheet6!$J$115:$J$156,Sheet6!$B$115:$B$156)*0.2</f>
        <v>#N/A</v>
      </c>
      <c r="R505" s="6" t="e">
        <f>LOOKUP(J505,Sheet6!$D$465:$D$506,Sheet6!$B$465:$B$506)*0.1</f>
        <v>#N/A</v>
      </c>
      <c r="S505" s="6">
        <f>LOOKUP(K505,Sheet6!$J$205:$J$246,Sheet6!$B$205:$B$246)*0.1</f>
        <v>6.2</v>
      </c>
      <c r="T505" s="6" t="e">
        <f>LOOKUP(L505,Sheet6!$F$688:$F$749,Sheet6!$B$688:$B$749)*0.2</f>
        <v>#N/A</v>
      </c>
      <c r="U505" s="6">
        <f>LOOKUP(M505,Sheet6!$D$600:$D$626,Sheet6!$B$600:$B$626)*0.1</f>
        <v>0</v>
      </c>
      <c r="V505" s="6" t="e">
        <f t="shared" si="31"/>
        <v>#DIV/0!</v>
      </c>
      <c r="W505" s="6" t="e">
        <f t="shared" si="32"/>
        <v>#DIV/0!</v>
      </c>
    </row>
    <row r="506" spans="1:23" ht="24.75" customHeight="1">
      <c r="A506" s="5"/>
      <c r="B506" s="5"/>
      <c r="C506" s="5"/>
      <c r="D506" s="5"/>
      <c r="E506" s="30"/>
      <c r="F506" s="5"/>
      <c r="G506" s="5"/>
      <c r="H506" s="5"/>
      <c r="I506" s="5"/>
      <c r="J506" s="5"/>
      <c r="K506" s="5"/>
      <c r="L506" s="5"/>
      <c r="M506" s="5"/>
      <c r="N506" s="13" t="e">
        <f t="shared" si="30"/>
        <v>#DIV/0!</v>
      </c>
      <c r="O506" s="6" t="e">
        <f>LOOKUP(N506,Sheet6!$J$4:$J$11,Sheet6!$B$4:$B$11)*0.15</f>
        <v>#DIV/0!</v>
      </c>
      <c r="P506" s="14" t="e">
        <f>LOOKUP(H506,Sheet6!$J$25:$J$66,Sheet6!$B$25:$B$66)*0.15</f>
        <v>#N/A</v>
      </c>
      <c r="Q506" s="6" t="e">
        <f>LOOKUP(I506,Sheet6!$J$115:$J$156,Sheet6!$B$115:$B$156)*0.2</f>
        <v>#N/A</v>
      </c>
      <c r="R506" s="6" t="e">
        <f>LOOKUP(J506,Sheet6!$D$465:$D$506,Sheet6!$B$465:$B$506)*0.1</f>
        <v>#N/A</v>
      </c>
      <c r="S506" s="6">
        <f>LOOKUP(K506,Sheet6!$J$205:$J$246,Sheet6!$B$205:$B$246)*0.1</f>
        <v>6.2</v>
      </c>
      <c r="T506" s="6" t="e">
        <f>LOOKUP(L506,Sheet6!$F$688:$F$749,Sheet6!$B$688:$B$749)*0.2</f>
        <v>#N/A</v>
      </c>
      <c r="U506" s="6">
        <f>LOOKUP(M506,Sheet6!$D$600:$D$626,Sheet6!$B$600:$B$626)*0.1</f>
        <v>0</v>
      </c>
      <c r="V506" s="6" t="e">
        <f t="shared" si="31"/>
        <v>#DIV/0!</v>
      </c>
      <c r="W506" s="6" t="e">
        <f t="shared" si="32"/>
        <v>#DIV/0!</v>
      </c>
    </row>
    <row r="507" spans="1:23" ht="24.75" customHeight="1">
      <c r="A507" s="5"/>
      <c r="B507" s="5"/>
      <c r="C507" s="5"/>
      <c r="D507" s="5"/>
      <c r="E507" s="30"/>
      <c r="F507" s="5"/>
      <c r="G507" s="5"/>
      <c r="H507" s="5"/>
      <c r="I507" s="5"/>
      <c r="J507" s="5"/>
      <c r="K507" s="5"/>
      <c r="L507" s="5"/>
      <c r="M507" s="5"/>
      <c r="N507" s="13" t="e">
        <f t="shared" si="30"/>
        <v>#DIV/0!</v>
      </c>
      <c r="O507" s="6" t="e">
        <f>LOOKUP(N507,Sheet6!$J$4:$J$11,Sheet6!$B$4:$B$11)*0.15</f>
        <v>#DIV/0!</v>
      </c>
      <c r="P507" s="14" t="e">
        <f>LOOKUP(H507,Sheet6!$J$25:$J$66,Sheet6!$B$25:$B$66)*0.15</f>
        <v>#N/A</v>
      </c>
      <c r="Q507" s="6" t="e">
        <f>LOOKUP(I507,Sheet6!$J$115:$J$156,Sheet6!$B$115:$B$156)*0.2</f>
        <v>#N/A</v>
      </c>
      <c r="R507" s="6" t="e">
        <f>LOOKUP(J507,Sheet6!$D$465:$D$506,Sheet6!$B$465:$B$506)*0.1</f>
        <v>#N/A</v>
      </c>
      <c r="S507" s="6">
        <f>LOOKUP(K507,Sheet6!$J$205:$J$246,Sheet6!$B$205:$B$246)*0.1</f>
        <v>6.2</v>
      </c>
      <c r="T507" s="6" t="e">
        <f>LOOKUP(L507,Sheet6!$F$688:$F$749,Sheet6!$B$688:$B$749)*0.2</f>
        <v>#N/A</v>
      </c>
      <c r="U507" s="6">
        <f>LOOKUP(M507,Sheet6!$D$600:$D$626,Sheet6!$B$600:$B$626)*0.1</f>
        <v>0</v>
      </c>
      <c r="V507" s="6" t="e">
        <f t="shared" si="31"/>
        <v>#DIV/0!</v>
      </c>
      <c r="W507" s="6" t="e">
        <f t="shared" si="32"/>
        <v>#DIV/0!</v>
      </c>
    </row>
    <row r="508" spans="1:23" ht="24.75" customHeight="1">
      <c r="A508" s="5"/>
      <c r="B508" s="5"/>
      <c r="C508" s="5"/>
      <c r="D508" s="5"/>
      <c r="E508" s="30"/>
      <c r="F508" s="5"/>
      <c r="G508" s="5"/>
      <c r="H508" s="5"/>
      <c r="I508" s="5"/>
      <c r="J508" s="5"/>
      <c r="K508" s="5"/>
      <c r="L508" s="5"/>
      <c r="M508" s="5"/>
      <c r="N508" s="13" t="e">
        <f t="shared" si="30"/>
        <v>#DIV/0!</v>
      </c>
      <c r="O508" s="6" t="e">
        <f>LOOKUP(N508,Sheet6!$J$4:$J$11,Sheet6!$B$4:$B$11)*0.15</f>
        <v>#DIV/0!</v>
      </c>
      <c r="P508" s="14" t="e">
        <f>LOOKUP(H508,Sheet6!$J$25:$J$66,Sheet6!$B$25:$B$66)*0.15</f>
        <v>#N/A</v>
      </c>
      <c r="Q508" s="6" t="e">
        <f>LOOKUP(I508,Sheet6!$J$115:$J$156,Sheet6!$B$115:$B$156)*0.2</f>
        <v>#N/A</v>
      </c>
      <c r="R508" s="6" t="e">
        <f>LOOKUP(J508,Sheet6!$D$465:$D$506,Sheet6!$B$465:$B$506)*0.1</f>
        <v>#N/A</v>
      </c>
      <c r="S508" s="6">
        <f>LOOKUP(K508,Sheet6!$J$205:$J$246,Sheet6!$B$205:$B$246)*0.1</f>
        <v>6.2</v>
      </c>
      <c r="T508" s="6" t="e">
        <f>LOOKUP(L508,Sheet6!$F$688:$F$749,Sheet6!$B$688:$B$749)*0.2</f>
        <v>#N/A</v>
      </c>
      <c r="U508" s="6">
        <f>LOOKUP(M508,Sheet6!$D$600:$D$626,Sheet6!$B$600:$B$626)*0.1</f>
        <v>0</v>
      </c>
      <c r="V508" s="6" t="e">
        <f t="shared" si="31"/>
        <v>#DIV/0!</v>
      </c>
      <c r="W508" s="6" t="e">
        <f t="shared" si="32"/>
        <v>#DIV/0!</v>
      </c>
    </row>
    <row r="509" spans="1:23" ht="24.75" customHeight="1">
      <c r="A509" s="5"/>
      <c r="B509" s="5"/>
      <c r="C509" s="5"/>
      <c r="D509" s="5"/>
      <c r="E509" s="30"/>
      <c r="F509" s="5"/>
      <c r="G509" s="5"/>
      <c r="H509" s="5"/>
      <c r="I509" s="5"/>
      <c r="J509" s="5"/>
      <c r="K509" s="5"/>
      <c r="L509" s="5"/>
      <c r="M509" s="5"/>
      <c r="N509" s="13" t="e">
        <f t="shared" si="30"/>
        <v>#DIV/0!</v>
      </c>
      <c r="O509" s="6" t="e">
        <f>LOOKUP(N509,Sheet6!$J$4:$J$11,Sheet6!$B$4:$B$11)*0.15</f>
        <v>#DIV/0!</v>
      </c>
      <c r="P509" s="14" t="e">
        <f>LOOKUP(H509,Sheet6!$J$25:$J$66,Sheet6!$B$25:$B$66)*0.15</f>
        <v>#N/A</v>
      </c>
      <c r="Q509" s="6" t="e">
        <f>LOOKUP(I509,Sheet6!$J$115:$J$156,Sheet6!$B$115:$B$156)*0.2</f>
        <v>#N/A</v>
      </c>
      <c r="R509" s="6" t="e">
        <f>LOOKUP(J509,Sheet6!$D$465:$D$506,Sheet6!$B$465:$B$506)*0.1</f>
        <v>#N/A</v>
      </c>
      <c r="S509" s="6">
        <f>LOOKUP(K509,Sheet6!$J$205:$J$246,Sheet6!$B$205:$B$246)*0.1</f>
        <v>6.2</v>
      </c>
      <c r="T509" s="6" t="e">
        <f>LOOKUP(L509,Sheet6!$F$688:$F$749,Sheet6!$B$688:$B$749)*0.2</f>
        <v>#N/A</v>
      </c>
      <c r="U509" s="6">
        <f>LOOKUP(M509,Sheet6!$D$600:$D$626,Sheet6!$B$600:$B$626)*0.1</f>
        <v>0</v>
      </c>
      <c r="V509" s="6" t="e">
        <f t="shared" si="31"/>
        <v>#DIV/0!</v>
      </c>
      <c r="W509" s="6" t="e">
        <f t="shared" si="32"/>
        <v>#DIV/0!</v>
      </c>
    </row>
    <row r="510" spans="1:23" ht="24.75" customHeight="1">
      <c r="A510" s="5"/>
      <c r="B510" s="5"/>
      <c r="C510" s="5"/>
      <c r="D510" s="5"/>
      <c r="E510" s="30"/>
      <c r="F510" s="5"/>
      <c r="G510" s="5"/>
      <c r="H510" s="5"/>
      <c r="I510" s="5"/>
      <c r="J510" s="5"/>
      <c r="K510" s="5"/>
      <c r="L510" s="5"/>
      <c r="M510" s="5"/>
      <c r="N510" s="13" t="e">
        <f t="shared" si="30"/>
        <v>#DIV/0!</v>
      </c>
      <c r="O510" s="6" t="e">
        <f>LOOKUP(N510,Sheet6!$J$4:$J$11,Sheet6!$B$4:$B$11)*0.15</f>
        <v>#DIV/0!</v>
      </c>
      <c r="P510" s="14" t="e">
        <f>LOOKUP(H510,Sheet6!$J$25:$J$66,Sheet6!$B$25:$B$66)*0.15</f>
        <v>#N/A</v>
      </c>
      <c r="Q510" s="6" t="e">
        <f>LOOKUP(I510,Sheet6!$J$115:$J$156,Sheet6!$B$115:$B$156)*0.2</f>
        <v>#N/A</v>
      </c>
      <c r="R510" s="6" t="e">
        <f>LOOKUP(J510,Sheet6!$D$465:$D$506,Sheet6!$B$465:$B$506)*0.1</f>
        <v>#N/A</v>
      </c>
      <c r="S510" s="6">
        <f>LOOKUP(K510,Sheet6!$J$205:$J$246,Sheet6!$B$205:$B$246)*0.1</f>
        <v>6.2</v>
      </c>
      <c r="T510" s="6" t="e">
        <f>LOOKUP(L510,Sheet6!$F$688:$F$749,Sheet6!$B$688:$B$749)*0.2</f>
        <v>#N/A</v>
      </c>
      <c r="U510" s="6">
        <f>LOOKUP(M510,Sheet6!$D$600:$D$626,Sheet6!$B$600:$B$626)*0.1</f>
        <v>0</v>
      </c>
      <c r="V510" s="6" t="e">
        <f t="shared" si="31"/>
        <v>#DIV/0!</v>
      </c>
      <c r="W510" s="6" t="e">
        <f t="shared" si="32"/>
        <v>#DIV/0!</v>
      </c>
    </row>
    <row r="511" spans="1:23" ht="24.75" customHeight="1">
      <c r="A511" s="5"/>
      <c r="B511" s="5"/>
      <c r="C511" s="5"/>
      <c r="D511" s="5"/>
      <c r="E511" s="30"/>
      <c r="F511" s="5"/>
      <c r="G511" s="5"/>
      <c r="H511" s="5"/>
      <c r="I511" s="5"/>
      <c r="J511" s="5"/>
      <c r="K511" s="5"/>
      <c r="L511" s="5"/>
      <c r="M511" s="5"/>
      <c r="N511" s="13" t="e">
        <f t="shared" si="30"/>
        <v>#DIV/0!</v>
      </c>
      <c r="O511" s="6" t="e">
        <f>LOOKUP(N511,Sheet6!$J$4:$J$11,Sheet6!$B$4:$B$11)*0.15</f>
        <v>#DIV/0!</v>
      </c>
      <c r="P511" s="14" t="e">
        <f>LOOKUP(H511,Sheet6!$J$25:$J$66,Sheet6!$B$25:$B$66)*0.15</f>
        <v>#N/A</v>
      </c>
      <c r="Q511" s="6" t="e">
        <f>LOOKUP(I511,Sheet6!$J$115:$J$156,Sheet6!$B$115:$B$156)*0.2</f>
        <v>#N/A</v>
      </c>
      <c r="R511" s="6" t="e">
        <f>LOOKUP(J511,Sheet6!$D$465:$D$506,Sheet6!$B$465:$B$506)*0.1</f>
        <v>#N/A</v>
      </c>
      <c r="S511" s="6">
        <f>LOOKUP(K511,Sheet6!$J$205:$J$246,Sheet6!$B$205:$B$246)*0.1</f>
        <v>6.2</v>
      </c>
      <c r="T511" s="6" t="e">
        <f>LOOKUP(L511,Sheet6!$F$688:$F$749,Sheet6!$B$688:$B$749)*0.2</f>
        <v>#N/A</v>
      </c>
      <c r="U511" s="6">
        <f>LOOKUP(M511,Sheet6!$D$600:$D$626,Sheet6!$B$600:$B$626)*0.1</f>
        <v>0</v>
      </c>
      <c r="V511" s="6" t="e">
        <f t="shared" si="31"/>
        <v>#DIV/0!</v>
      </c>
      <c r="W511" s="6" t="e">
        <f t="shared" si="32"/>
        <v>#DIV/0!</v>
      </c>
    </row>
    <row r="512" spans="1:23" ht="24.75" customHeight="1">
      <c r="A512" s="5"/>
      <c r="B512" s="5"/>
      <c r="C512" s="5"/>
      <c r="D512" s="5"/>
      <c r="E512" s="30"/>
      <c r="F512" s="5"/>
      <c r="G512" s="5"/>
      <c r="H512" s="5"/>
      <c r="I512" s="5"/>
      <c r="J512" s="5"/>
      <c r="K512" s="5"/>
      <c r="L512" s="5"/>
      <c r="M512" s="5"/>
      <c r="N512" s="13" t="e">
        <f t="shared" si="30"/>
        <v>#DIV/0!</v>
      </c>
      <c r="O512" s="6" t="e">
        <f>LOOKUP(N512,Sheet6!$J$4:$J$11,Sheet6!$B$4:$B$11)*0.15</f>
        <v>#DIV/0!</v>
      </c>
      <c r="P512" s="14" t="e">
        <f>LOOKUP(H512,Sheet6!$J$25:$J$66,Sheet6!$B$25:$B$66)*0.15</f>
        <v>#N/A</v>
      </c>
      <c r="Q512" s="6" t="e">
        <f>LOOKUP(I512,Sheet6!$J$115:$J$156,Sheet6!$B$115:$B$156)*0.2</f>
        <v>#N/A</v>
      </c>
      <c r="R512" s="6" t="e">
        <f>LOOKUP(J512,Sheet6!$D$465:$D$506,Sheet6!$B$465:$B$506)*0.1</f>
        <v>#N/A</v>
      </c>
      <c r="S512" s="6">
        <f>LOOKUP(K512,Sheet6!$J$205:$J$246,Sheet6!$B$205:$B$246)*0.1</f>
        <v>6.2</v>
      </c>
      <c r="T512" s="6" t="e">
        <f>LOOKUP(L512,Sheet6!$F$688:$F$749,Sheet6!$B$688:$B$749)*0.2</f>
        <v>#N/A</v>
      </c>
      <c r="U512" s="6">
        <f>LOOKUP(M512,Sheet6!$D$600:$D$626,Sheet6!$B$600:$B$626)*0.1</f>
        <v>0</v>
      </c>
      <c r="V512" s="6" t="e">
        <f t="shared" si="31"/>
        <v>#DIV/0!</v>
      </c>
      <c r="W512" s="6" t="e">
        <f t="shared" si="32"/>
        <v>#DIV/0!</v>
      </c>
    </row>
    <row r="513" spans="1:23" ht="24.75" customHeight="1">
      <c r="A513" s="5"/>
      <c r="B513" s="5"/>
      <c r="C513" s="5"/>
      <c r="D513" s="5"/>
      <c r="E513" s="30"/>
      <c r="F513" s="5"/>
      <c r="G513" s="5"/>
      <c r="H513" s="5"/>
      <c r="I513" s="5"/>
      <c r="J513" s="5"/>
      <c r="K513" s="5"/>
      <c r="L513" s="5"/>
      <c r="M513" s="5"/>
      <c r="N513" s="13" t="e">
        <f t="shared" si="30"/>
        <v>#DIV/0!</v>
      </c>
      <c r="O513" s="6" t="e">
        <f>LOOKUP(N513,Sheet6!$J$4:$J$11,Sheet6!$B$4:$B$11)*0.15</f>
        <v>#DIV/0!</v>
      </c>
      <c r="P513" s="14" t="e">
        <f>LOOKUP(H513,Sheet6!$J$25:$J$66,Sheet6!$B$25:$B$66)*0.15</f>
        <v>#N/A</v>
      </c>
      <c r="Q513" s="6" t="e">
        <f>LOOKUP(I513,Sheet6!$J$115:$J$156,Sheet6!$B$115:$B$156)*0.2</f>
        <v>#N/A</v>
      </c>
      <c r="R513" s="6" t="e">
        <f>LOOKUP(J513,Sheet6!$D$465:$D$506,Sheet6!$B$465:$B$506)*0.1</f>
        <v>#N/A</v>
      </c>
      <c r="S513" s="6">
        <f>LOOKUP(K513,Sheet6!$J$205:$J$246,Sheet6!$B$205:$B$246)*0.1</f>
        <v>6.2</v>
      </c>
      <c r="T513" s="6" t="e">
        <f>LOOKUP(L513,Sheet6!$F$688:$F$749,Sheet6!$B$688:$B$749)*0.2</f>
        <v>#N/A</v>
      </c>
      <c r="U513" s="6">
        <f>LOOKUP(M513,Sheet6!$D$600:$D$626,Sheet6!$B$600:$B$626)*0.1</f>
        <v>0</v>
      </c>
      <c r="V513" s="6" t="e">
        <f t="shared" si="31"/>
        <v>#DIV/0!</v>
      </c>
      <c r="W513" s="6" t="e">
        <f t="shared" si="32"/>
        <v>#DIV/0!</v>
      </c>
    </row>
    <row r="514" spans="1:23" ht="24.75" customHeight="1">
      <c r="A514" s="5"/>
      <c r="B514" s="5"/>
      <c r="C514" s="5"/>
      <c r="D514" s="5"/>
      <c r="E514" s="30"/>
      <c r="F514" s="5"/>
      <c r="G514" s="5"/>
      <c r="H514" s="5"/>
      <c r="I514" s="5"/>
      <c r="J514" s="5"/>
      <c r="K514" s="5"/>
      <c r="L514" s="5"/>
      <c r="M514" s="5"/>
      <c r="N514" s="13" t="e">
        <f t="shared" si="30"/>
        <v>#DIV/0!</v>
      </c>
      <c r="O514" s="6" t="e">
        <f>LOOKUP(N514,Sheet6!$J$4:$J$11,Sheet6!$B$4:$B$11)*0.15</f>
        <v>#DIV/0!</v>
      </c>
      <c r="P514" s="14" t="e">
        <f>LOOKUP(H514,Sheet6!$J$25:$J$66,Sheet6!$B$25:$B$66)*0.15</f>
        <v>#N/A</v>
      </c>
      <c r="Q514" s="6" t="e">
        <f>LOOKUP(I514,Sheet6!$J$115:$J$156,Sheet6!$B$115:$B$156)*0.2</f>
        <v>#N/A</v>
      </c>
      <c r="R514" s="6" t="e">
        <f>LOOKUP(J514,Sheet6!$D$465:$D$506,Sheet6!$B$465:$B$506)*0.1</f>
        <v>#N/A</v>
      </c>
      <c r="S514" s="6">
        <f>LOOKUP(K514,Sheet6!$J$205:$J$246,Sheet6!$B$205:$B$246)*0.1</f>
        <v>6.2</v>
      </c>
      <c r="T514" s="6" t="e">
        <f>LOOKUP(L514,Sheet6!$F$688:$F$749,Sheet6!$B$688:$B$749)*0.2</f>
        <v>#N/A</v>
      </c>
      <c r="U514" s="6">
        <f>LOOKUP(M514,Sheet6!$D$600:$D$626,Sheet6!$B$600:$B$626)*0.1</f>
        <v>0</v>
      </c>
      <c r="V514" s="6" t="e">
        <f t="shared" si="31"/>
        <v>#DIV/0!</v>
      </c>
      <c r="W514" s="6" t="e">
        <f t="shared" si="32"/>
        <v>#DIV/0!</v>
      </c>
    </row>
    <row r="515" spans="1:23" ht="24.75" customHeight="1">
      <c r="A515" s="5"/>
      <c r="B515" s="5"/>
      <c r="C515" s="5"/>
      <c r="D515" s="5"/>
      <c r="E515" s="30"/>
      <c r="F515" s="5"/>
      <c r="G515" s="5"/>
      <c r="H515" s="5"/>
      <c r="I515" s="5"/>
      <c r="J515" s="5"/>
      <c r="K515" s="5"/>
      <c r="L515" s="5"/>
      <c r="M515" s="5"/>
      <c r="N515" s="13" t="e">
        <f t="shared" ref="N515:N577" si="33">G515/(F515*F515)*10000</f>
        <v>#DIV/0!</v>
      </c>
      <c r="O515" s="6" t="e">
        <f>LOOKUP(N515,Sheet6!$J$4:$J$11,Sheet6!$B$4:$B$11)*0.15</f>
        <v>#DIV/0!</v>
      </c>
      <c r="P515" s="14" t="e">
        <f>LOOKUP(H515,Sheet6!$J$25:$J$66,Sheet6!$B$25:$B$66)*0.15</f>
        <v>#N/A</v>
      </c>
      <c r="Q515" s="6" t="e">
        <f>LOOKUP(I515,Sheet6!$J$115:$J$156,Sheet6!$B$115:$B$156)*0.2</f>
        <v>#N/A</v>
      </c>
      <c r="R515" s="6" t="e">
        <f>LOOKUP(J515,Sheet6!$D$465:$D$506,Sheet6!$B$465:$B$506)*0.1</f>
        <v>#N/A</v>
      </c>
      <c r="S515" s="6">
        <f>LOOKUP(K515,Sheet6!$J$205:$J$246,Sheet6!$B$205:$B$246)*0.1</f>
        <v>6.2</v>
      </c>
      <c r="T515" s="6" t="e">
        <f>LOOKUP(L515,Sheet6!$F$688:$F$749,Sheet6!$B$688:$B$749)*0.2</f>
        <v>#N/A</v>
      </c>
      <c r="U515" s="6">
        <f>LOOKUP(M515,Sheet6!$D$600:$D$626,Sheet6!$B$600:$B$626)*0.1</f>
        <v>0</v>
      </c>
      <c r="V515" s="6" t="e">
        <f t="shared" ref="V515:V577" si="34">O515+P515+Q515+R515+S515+T515+U515</f>
        <v>#DIV/0!</v>
      </c>
      <c r="W515" s="6" t="e">
        <f t="shared" ref="W515:W577" si="35">IF(V515&lt;60,"不及格",IF(V515&lt;80,"及格",IF(V515&lt;90,"良好",IF(V515&lt;121,"优秀"))))</f>
        <v>#DIV/0!</v>
      </c>
    </row>
    <row r="516" spans="1:23" ht="24.75" customHeight="1">
      <c r="A516" s="5"/>
      <c r="B516" s="5"/>
      <c r="C516" s="5"/>
      <c r="D516" s="5"/>
      <c r="E516" s="30"/>
      <c r="F516" s="5"/>
      <c r="G516" s="5"/>
      <c r="H516" s="5"/>
      <c r="I516" s="5"/>
      <c r="J516" s="5"/>
      <c r="K516" s="5"/>
      <c r="L516" s="5"/>
      <c r="M516" s="5"/>
      <c r="N516" s="13" t="e">
        <f t="shared" si="33"/>
        <v>#DIV/0!</v>
      </c>
      <c r="O516" s="6" t="e">
        <f>LOOKUP(N516,Sheet6!$J$4:$J$11,Sheet6!$B$4:$B$11)*0.15</f>
        <v>#DIV/0!</v>
      </c>
      <c r="P516" s="14" t="e">
        <f>LOOKUP(H516,Sheet6!$J$25:$J$66,Sheet6!$B$25:$B$66)*0.15</f>
        <v>#N/A</v>
      </c>
      <c r="Q516" s="6" t="e">
        <f>LOOKUP(I516,Sheet6!$J$115:$J$156,Sheet6!$B$115:$B$156)*0.2</f>
        <v>#N/A</v>
      </c>
      <c r="R516" s="6" t="e">
        <f>LOOKUP(J516,Sheet6!$D$465:$D$506,Sheet6!$B$465:$B$506)*0.1</f>
        <v>#N/A</v>
      </c>
      <c r="S516" s="6">
        <f>LOOKUP(K516,Sheet6!$J$205:$J$246,Sheet6!$B$205:$B$246)*0.1</f>
        <v>6.2</v>
      </c>
      <c r="T516" s="6" t="e">
        <f>LOOKUP(L516,Sheet6!$F$688:$F$749,Sheet6!$B$688:$B$749)*0.2</f>
        <v>#N/A</v>
      </c>
      <c r="U516" s="6">
        <f>LOOKUP(M516,Sheet6!$D$600:$D$626,Sheet6!$B$600:$B$626)*0.1</f>
        <v>0</v>
      </c>
      <c r="V516" s="6" t="e">
        <f t="shared" si="34"/>
        <v>#DIV/0!</v>
      </c>
      <c r="W516" s="6" t="e">
        <f t="shared" si="35"/>
        <v>#DIV/0!</v>
      </c>
    </row>
    <row r="517" spans="1:23" ht="24.75" customHeight="1">
      <c r="A517" s="5"/>
      <c r="B517" s="5"/>
      <c r="C517" s="5"/>
      <c r="D517" s="5"/>
      <c r="E517" s="30"/>
      <c r="F517" s="5"/>
      <c r="G517" s="5"/>
      <c r="H517" s="5"/>
      <c r="I517" s="5"/>
      <c r="J517" s="5"/>
      <c r="K517" s="5"/>
      <c r="L517" s="5"/>
      <c r="M517" s="5"/>
      <c r="N517" s="13" t="e">
        <f t="shared" si="33"/>
        <v>#DIV/0!</v>
      </c>
      <c r="O517" s="6" t="e">
        <f>LOOKUP(N517,Sheet6!$J$4:$J$11,Sheet6!$B$4:$B$11)*0.15</f>
        <v>#DIV/0!</v>
      </c>
      <c r="P517" s="14" t="e">
        <f>LOOKUP(H517,Sheet6!$J$25:$J$66,Sheet6!$B$25:$B$66)*0.15</f>
        <v>#N/A</v>
      </c>
      <c r="Q517" s="6" t="e">
        <f>LOOKUP(I517,Sheet6!$J$115:$J$156,Sheet6!$B$115:$B$156)*0.2</f>
        <v>#N/A</v>
      </c>
      <c r="R517" s="6" t="e">
        <f>LOOKUP(J517,Sheet6!$D$465:$D$506,Sheet6!$B$465:$B$506)*0.1</f>
        <v>#N/A</v>
      </c>
      <c r="S517" s="6">
        <f>LOOKUP(K517,Sheet6!$J$205:$J$246,Sheet6!$B$205:$B$246)*0.1</f>
        <v>6.2</v>
      </c>
      <c r="T517" s="6" t="e">
        <f>LOOKUP(L517,Sheet6!$F$688:$F$749,Sheet6!$B$688:$B$749)*0.2</f>
        <v>#N/A</v>
      </c>
      <c r="U517" s="6">
        <f>LOOKUP(M517,Sheet6!$D$600:$D$626,Sheet6!$B$600:$B$626)*0.1</f>
        <v>0</v>
      </c>
      <c r="V517" s="6" t="e">
        <f t="shared" si="34"/>
        <v>#DIV/0!</v>
      </c>
      <c r="W517" s="6" t="e">
        <f t="shared" si="35"/>
        <v>#DIV/0!</v>
      </c>
    </row>
    <row r="518" spans="1:23" ht="24.75" customHeight="1">
      <c r="A518" s="5"/>
      <c r="B518" s="5"/>
      <c r="C518" s="5"/>
      <c r="D518" s="5"/>
      <c r="E518" s="30"/>
      <c r="F518" s="5"/>
      <c r="G518" s="5"/>
      <c r="H518" s="5"/>
      <c r="I518" s="5"/>
      <c r="J518" s="5"/>
      <c r="K518" s="5"/>
      <c r="L518" s="5"/>
      <c r="M518" s="5"/>
      <c r="N518" s="13" t="e">
        <f t="shared" si="33"/>
        <v>#DIV/0!</v>
      </c>
      <c r="O518" s="6" t="e">
        <f>LOOKUP(N518,Sheet6!$J$4:$J$11,Sheet6!$B$4:$B$11)*0.15</f>
        <v>#DIV/0!</v>
      </c>
      <c r="P518" s="14" t="e">
        <f>LOOKUP(H518,Sheet6!$J$25:$J$66,Sheet6!$B$25:$B$66)*0.15</f>
        <v>#N/A</v>
      </c>
      <c r="Q518" s="6" t="e">
        <f>LOOKUP(I518,Sheet6!$J$115:$J$156,Sheet6!$B$115:$B$156)*0.2</f>
        <v>#N/A</v>
      </c>
      <c r="R518" s="6" t="e">
        <f>LOOKUP(J518,Sheet6!$D$465:$D$506,Sheet6!$B$465:$B$506)*0.1</f>
        <v>#N/A</v>
      </c>
      <c r="S518" s="6">
        <f>LOOKUP(K518,Sheet6!$J$205:$J$246,Sheet6!$B$205:$B$246)*0.1</f>
        <v>6.2</v>
      </c>
      <c r="T518" s="6" t="e">
        <f>LOOKUP(L518,Sheet6!$F$688:$F$749,Sheet6!$B$688:$B$749)*0.2</f>
        <v>#N/A</v>
      </c>
      <c r="U518" s="6">
        <f>LOOKUP(M518,Sheet6!$D$600:$D$626,Sheet6!$B$600:$B$626)*0.1</f>
        <v>0</v>
      </c>
      <c r="V518" s="6" t="e">
        <f t="shared" si="34"/>
        <v>#DIV/0!</v>
      </c>
      <c r="W518" s="6" t="e">
        <f t="shared" si="35"/>
        <v>#DIV/0!</v>
      </c>
    </row>
    <row r="519" spans="1:23" ht="24.75" customHeight="1">
      <c r="A519" s="5"/>
      <c r="B519" s="5"/>
      <c r="C519" s="5"/>
      <c r="D519" s="5"/>
      <c r="E519" s="30"/>
      <c r="F519" s="5"/>
      <c r="G519" s="5"/>
      <c r="H519" s="5"/>
      <c r="I519" s="5"/>
      <c r="J519" s="5"/>
      <c r="K519" s="5"/>
      <c r="L519" s="5"/>
      <c r="M519" s="5"/>
      <c r="N519" s="13" t="e">
        <f t="shared" si="33"/>
        <v>#DIV/0!</v>
      </c>
      <c r="O519" s="6" t="e">
        <f>LOOKUP(N519,Sheet6!$J$4:$J$11,Sheet6!$B$4:$B$11)*0.15</f>
        <v>#DIV/0!</v>
      </c>
      <c r="P519" s="14" t="e">
        <f>LOOKUP(H519,Sheet6!$J$25:$J$66,Sheet6!$B$25:$B$66)*0.15</f>
        <v>#N/A</v>
      </c>
      <c r="Q519" s="6" t="e">
        <f>LOOKUP(I519,Sheet6!$J$115:$J$156,Sheet6!$B$115:$B$156)*0.2</f>
        <v>#N/A</v>
      </c>
      <c r="R519" s="6" t="e">
        <f>LOOKUP(J519,Sheet6!$D$465:$D$506,Sheet6!$B$465:$B$506)*0.1</f>
        <v>#N/A</v>
      </c>
      <c r="S519" s="6">
        <f>LOOKUP(K519,Sheet6!$J$205:$J$246,Sheet6!$B$205:$B$246)*0.1</f>
        <v>6.2</v>
      </c>
      <c r="T519" s="6" t="e">
        <f>LOOKUP(L519,Sheet6!$F$688:$F$749,Sheet6!$B$688:$B$749)*0.2</f>
        <v>#N/A</v>
      </c>
      <c r="U519" s="6">
        <f>LOOKUP(M519,Sheet6!$D$600:$D$626,Sheet6!$B$600:$B$626)*0.1</f>
        <v>0</v>
      </c>
      <c r="V519" s="6" t="e">
        <f t="shared" si="34"/>
        <v>#DIV/0!</v>
      </c>
      <c r="W519" s="6" t="e">
        <f t="shared" si="35"/>
        <v>#DIV/0!</v>
      </c>
    </row>
    <row r="520" spans="1:23" ht="24.75" customHeight="1">
      <c r="A520" s="5"/>
      <c r="B520" s="5"/>
      <c r="C520" s="5"/>
      <c r="D520" s="5"/>
      <c r="E520" s="30"/>
      <c r="F520" s="5"/>
      <c r="G520" s="5"/>
      <c r="H520" s="5"/>
      <c r="I520" s="5"/>
      <c r="J520" s="5"/>
      <c r="K520" s="5"/>
      <c r="L520" s="5"/>
      <c r="M520" s="5"/>
      <c r="N520" s="13" t="e">
        <f t="shared" si="33"/>
        <v>#DIV/0!</v>
      </c>
      <c r="O520" s="6" t="e">
        <f>LOOKUP(N520,Sheet6!$J$4:$J$11,Sheet6!$B$4:$B$11)*0.15</f>
        <v>#DIV/0!</v>
      </c>
      <c r="P520" s="14" t="e">
        <f>LOOKUP(H520,Sheet6!$J$25:$J$66,Sheet6!$B$25:$B$66)*0.15</f>
        <v>#N/A</v>
      </c>
      <c r="Q520" s="6" t="e">
        <f>LOOKUP(I520,Sheet6!$J$115:$J$156,Sheet6!$B$115:$B$156)*0.2</f>
        <v>#N/A</v>
      </c>
      <c r="R520" s="6" t="e">
        <f>LOOKUP(J520,Sheet6!$D$465:$D$506,Sheet6!$B$465:$B$506)*0.1</f>
        <v>#N/A</v>
      </c>
      <c r="S520" s="6">
        <f>LOOKUP(K520,Sheet6!$J$205:$J$246,Sheet6!$B$205:$B$246)*0.1</f>
        <v>6.2</v>
      </c>
      <c r="T520" s="6" t="e">
        <f>LOOKUP(L520,Sheet6!$F$688:$F$749,Sheet6!$B$688:$B$749)*0.2</f>
        <v>#N/A</v>
      </c>
      <c r="U520" s="6">
        <f>LOOKUP(M520,Sheet6!$D$600:$D$626,Sheet6!$B$600:$B$626)*0.1</f>
        <v>0</v>
      </c>
      <c r="V520" s="6" t="e">
        <f t="shared" si="34"/>
        <v>#DIV/0!</v>
      </c>
      <c r="W520" s="6" t="e">
        <f t="shared" si="35"/>
        <v>#DIV/0!</v>
      </c>
    </row>
    <row r="521" spans="1:23" ht="24.75" customHeight="1">
      <c r="A521" s="5"/>
      <c r="B521" s="5"/>
      <c r="C521" s="5"/>
      <c r="D521" s="5"/>
      <c r="E521" s="30"/>
      <c r="F521" s="5"/>
      <c r="G521" s="5"/>
      <c r="H521" s="5"/>
      <c r="I521" s="5"/>
      <c r="J521" s="5"/>
      <c r="K521" s="5"/>
      <c r="L521" s="5"/>
      <c r="M521" s="5"/>
      <c r="N521" s="13" t="e">
        <f t="shared" si="33"/>
        <v>#DIV/0!</v>
      </c>
      <c r="O521" s="6" t="e">
        <f>LOOKUP(N521,Sheet6!$J$4:$J$11,Sheet6!$B$4:$B$11)*0.15</f>
        <v>#DIV/0!</v>
      </c>
      <c r="P521" s="14" t="e">
        <f>LOOKUP(H521,Sheet6!$J$25:$J$66,Sheet6!$B$25:$B$66)*0.15</f>
        <v>#N/A</v>
      </c>
      <c r="Q521" s="6" t="e">
        <f>LOOKUP(I521,Sheet6!$J$115:$J$156,Sheet6!$B$115:$B$156)*0.2</f>
        <v>#N/A</v>
      </c>
      <c r="R521" s="6" t="e">
        <f>LOOKUP(J521,Sheet6!$D$465:$D$506,Sheet6!$B$465:$B$506)*0.1</f>
        <v>#N/A</v>
      </c>
      <c r="S521" s="6">
        <f>LOOKUP(K521,Sheet6!$J$205:$J$246,Sheet6!$B$205:$B$246)*0.1</f>
        <v>6.2</v>
      </c>
      <c r="T521" s="6" t="e">
        <f>LOOKUP(L521,Sheet6!$F$688:$F$749,Sheet6!$B$688:$B$749)*0.2</f>
        <v>#N/A</v>
      </c>
      <c r="U521" s="6">
        <f>LOOKUP(M521,Sheet6!$D$600:$D$626,Sheet6!$B$600:$B$626)*0.1</f>
        <v>0</v>
      </c>
      <c r="V521" s="6" t="e">
        <f t="shared" si="34"/>
        <v>#DIV/0!</v>
      </c>
      <c r="W521" s="6" t="e">
        <f t="shared" si="35"/>
        <v>#DIV/0!</v>
      </c>
    </row>
    <row r="522" spans="1:23" ht="24.75" customHeight="1">
      <c r="A522" s="5"/>
      <c r="B522" s="5"/>
      <c r="C522" s="5"/>
      <c r="D522" s="5"/>
      <c r="E522" s="30"/>
      <c r="F522" s="5"/>
      <c r="G522" s="5"/>
      <c r="H522" s="5"/>
      <c r="I522" s="5"/>
      <c r="J522" s="5"/>
      <c r="K522" s="5"/>
      <c r="L522" s="5"/>
      <c r="M522" s="5"/>
      <c r="N522" s="13" t="e">
        <f t="shared" si="33"/>
        <v>#DIV/0!</v>
      </c>
      <c r="O522" s="6" t="e">
        <f>LOOKUP(N522,Sheet6!$J$4:$J$11,Sheet6!$B$4:$B$11)*0.15</f>
        <v>#DIV/0!</v>
      </c>
      <c r="P522" s="14" t="e">
        <f>LOOKUP(H522,Sheet6!$J$25:$J$66,Sheet6!$B$25:$B$66)*0.15</f>
        <v>#N/A</v>
      </c>
      <c r="Q522" s="6" t="e">
        <f>LOOKUP(I522,Sheet6!$J$115:$J$156,Sheet6!$B$115:$B$156)*0.2</f>
        <v>#N/A</v>
      </c>
      <c r="R522" s="6" t="e">
        <f>LOOKUP(J522,Sheet6!$D$465:$D$506,Sheet6!$B$465:$B$506)*0.1</f>
        <v>#N/A</v>
      </c>
      <c r="S522" s="6">
        <f>LOOKUP(K522,Sheet6!$J$205:$J$246,Sheet6!$B$205:$B$246)*0.1</f>
        <v>6.2</v>
      </c>
      <c r="T522" s="6" t="e">
        <f>LOOKUP(L522,Sheet6!$F$688:$F$749,Sheet6!$B$688:$B$749)*0.2</f>
        <v>#N/A</v>
      </c>
      <c r="U522" s="6">
        <f>LOOKUP(M522,Sheet6!$D$600:$D$626,Sheet6!$B$600:$B$626)*0.1</f>
        <v>0</v>
      </c>
      <c r="V522" s="6" t="e">
        <f t="shared" si="34"/>
        <v>#DIV/0!</v>
      </c>
      <c r="W522" s="6" t="e">
        <f t="shared" si="35"/>
        <v>#DIV/0!</v>
      </c>
    </row>
    <row r="523" spans="1:23" ht="24.75" customHeight="1">
      <c r="A523" s="5"/>
      <c r="B523" s="5"/>
      <c r="C523" s="5"/>
      <c r="D523" s="5"/>
      <c r="E523" s="30"/>
      <c r="F523" s="5"/>
      <c r="G523" s="5"/>
      <c r="H523" s="5"/>
      <c r="I523" s="5"/>
      <c r="J523" s="5"/>
      <c r="K523" s="5"/>
      <c r="L523" s="5"/>
      <c r="M523" s="5"/>
      <c r="N523" s="13" t="e">
        <f t="shared" si="33"/>
        <v>#DIV/0!</v>
      </c>
      <c r="O523" s="6" t="e">
        <f>LOOKUP(N523,Sheet6!$J$4:$J$11,Sheet6!$B$4:$B$11)*0.15</f>
        <v>#DIV/0!</v>
      </c>
      <c r="P523" s="14" t="e">
        <f>LOOKUP(H523,Sheet6!$J$25:$J$66,Sheet6!$B$25:$B$66)*0.15</f>
        <v>#N/A</v>
      </c>
      <c r="Q523" s="6" t="e">
        <f>LOOKUP(I523,Sheet6!$J$115:$J$156,Sheet6!$B$115:$B$156)*0.2</f>
        <v>#N/A</v>
      </c>
      <c r="R523" s="6" t="e">
        <f>LOOKUP(J523,Sheet6!$D$465:$D$506,Sheet6!$B$465:$B$506)*0.1</f>
        <v>#N/A</v>
      </c>
      <c r="S523" s="6">
        <f>LOOKUP(K523,Sheet6!$J$205:$J$246,Sheet6!$B$205:$B$246)*0.1</f>
        <v>6.2</v>
      </c>
      <c r="T523" s="6" t="e">
        <f>LOOKUP(L523,Sheet6!$F$688:$F$749,Sheet6!$B$688:$B$749)*0.2</f>
        <v>#N/A</v>
      </c>
      <c r="U523" s="6">
        <f>LOOKUP(M523,Sheet6!$D$600:$D$626,Sheet6!$B$600:$B$626)*0.1</f>
        <v>0</v>
      </c>
      <c r="V523" s="6" t="e">
        <f t="shared" si="34"/>
        <v>#DIV/0!</v>
      </c>
      <c r="W523" s="6" t="e">
        <f t="shared" si="35"/>
        <v>#DIV/0!</v>
      </c>
    </row>
    <row r="524" spans="1:23" ht="24.75" customHeight="1">
      <c r="A524" s="5"/>
      <c r="B524" s="5"/>
      <c r="C524" s="5"/>
      <c r="D524" s="5"/>
      <c r="E524" s="30"/>
      <c r="F524" s="5"/>
      <c r="G524" s="5"/>
      <c r="H524" s="5"/>
      <c r="I524" s="5"/>
      <c r="J524" s="5"/>
      <c r="K524" s="5"/>
      <c r="L524" s="5"/>
      <c r="M524" s="5"/>
      <c r="N524" s="13" t="e">
        <f t="shared" si="33"/>
        <v>#DIV/0!</v>
      </c>
      <c r="O524" s="6" t="e">
        <f>LOOKUP(N524,Sheet6!$J$4:$J$11,Sheet6!$B$4:$B$11)*0.15</f>
        <v>#DIV/0!</v>
      </c>
      <c r="P524" s="14" t="e">
        <f>LOOKUP(H524,Sheet6!$J$25:$J$66,Sheet6!$B$25:$B$66)*0.15</f>
        <v>#N/A</v>
      </c>
      <c r="Q524" s="6" t="e">
        <f>LOOKUP(I524,Sheet6!$J$115:$J$156,Sheet6!$B$115:$B$156)*0.2</f>
        <v>#N/A</v>
      </c>
      <c r="R524" s="6" t="e">
        <f>LOOKUP(J524,Sheet6!$D$465:$D$506,Sheet6!$B$465:$B$506)*0.1</f>
        <v>#N/A</v>
      </c>
      <c r="S524" s="6">
        <f>LOOKUP(K524,Sheet6!$J$205:$J$246,Sheet6!$B$205:$B$246)*0.1</f>
        <v>6.2</v>
      </c>
      <c r="T524" s="6" t="e">
        <f>LOOKUP(L524,Sheet6!$F$688:$F$749,Sheet6!$B$688:$B$749)*0.2</f>
        <v>#N/A</v>
      </c>
      <c r="U524" s="6">
        <f>LOOKUP(M524,Sheet6!$D$600:$D$626,Sheet6!$B$600:$B$626)*0.1</f>
        <v>0</v>
      </c>
      <c r="V524" s="6" t="e">
        <f t="shared" si="34"/>
        <v>#DIV/0!</v>
      </c>
      <c r="W524" s="6" t="e">
        <f t="shared" si="35"/>
        <v>#DIV/0!</v>
      </c>
    </row>
    <row r="525" spans="1:23" ht="24.75" customHeight="1">
      <c r="A525" s="5"/>
      <c r="B525" s="5"/>
      <c r="C525" s="5"/>
      <c r="D525" s="5"/>
      <c r="E525" s="30"/>
      <c r="F525" s="5"/>
      <c r="G525" s="5"/>
      <c r="H525" s="5"/>
      <c r="I525" s="5"/>
      <c r="J525" s="5"/>
      <c r="K525" s="5"/>
      <c r="L525" s="5"/>
      <c r="M525" s="5"/>
      <c r="N525" s="13" t="e">
        <f t="shared" si="33"/>
        <v>#DIV/0!</v>
      </c>
      <c r="O525" s="6" t="e">
        <f>LOOKUP(N525,Sheet6!$J$4:$J$11,Sheet6!$B$4:$B$11)*0.15</f>
        <v>#DIV/0!</v>
      </c>
      <c r="P525" s="14" t="e">
        <f>LOOKUP(H525,Sheet6!$J$25:$J$66,Sheet6!$B$25:$B$66)*0.15</f>
        <v>#N/A</v>
      </c>
      <c r="Q525" s="6" t="e">
        <f>LOOKUP(I525,Sheet6!$J$115:$J$156,Sheet6!$B$115:$B$156)*0.2</f>
        <v>#N/A</v>
      </c>
      <c r="R525" s="6" t="e">
        <f>LOOKUP(J525,Sheet6!$D$465:$D$506,Sheet6!$B$465:$B$506)*0.1</f>
        <v>#N/A</v>
      </c>
      <c r="S525" s="6">
        <f>LOOKUP(K525,Sheet6!$J$205:$J$246,Sheet6!$B$205:$B$246)*0.1</f>
        <v>6.2</v>
      </c>
      <c r="T525" s="6" t="e">
        <f>LOOKUP(L525,Sheet6!$F$688:$F$749,Sheet6!$B$688:$B$749)*0.2</f>
        <v>#N/A</v>
      </c>
      <c r="U525" s="6">
        <f>LOOKUP(M525,Sheet6!$D$600:$D$626,Sheet6!$B$600:$B$626)*0.1</f>
        <v>0</v>
      </c>
      <c r="V525" s="6" t="e">
        <f t="shared" si="34"/>
        <v>#DIV/0!</v>
      </c>
      <c r="W525" s="6" t="e">
        <f t="shared" si="35"/>
        <v>#DIV/0!</v>
      </c>
    </row>
    <row r="526" spans="1:23" ht="24.75" customHeight="1">
      <c r="A526" s="5"/>
      <c r="B526" s="5"/>
      <c r="C526" s="5"/>
      <c r="D526" s="5"/>
      <c r="E526" s="30"/>
      <c r="F526" s="5"/>
      <c r="G526" s="5"/>
      <c r="H526" s="5"/>
      <c r="I526" s="5"/>
      <c r="J526" s="5"/>
      <c r="K526" s="5"/>
      <c r="L526" s="5"/>
      <c r="M526" s="5"/>
      <c r="N526" s="13" t="e">
        <f t="shared" si="33"/>
        <v>#DIV/0!</v>
      </c>
      <c r="O526" s="6" t="e">
        <f>LOOKUP(N526,Sheet6!$J$4:$J$11,Sheet6!$B$4:$B$11)*0.15</f>
        <v>#DIV/0!</v>
      </c>
      <c r="P526" s="14" t="e">
        <f>LOOKUP(H526,Sheet6!$J$25:$J$66,Sheet6!$B$25:$B$66)*0.15</f>
        <v>#N/A</v>
      </c>
      <c r="Q526" s="6" t="e">
        <f>LOOKUP(I526,Sheet6!$J$115:$J$156,Sheet6!$B$115:$B$156)*0.2</f>
        <v>#N/A</v>
      </c>
      <c r="R526" s="6" t="e">
        <f>LOOKUP(J526,Sheet6!$D$465:$D$506,Sheet6!$B$465:$B$506)*0.1</f>
        <v>#N/A</v>
      </c>
      <c r="S526" s="6">
        <f>LOOKUP(K526,Sheet6!$J$205:$J$246,Sheet6!$B$205:$B$246)*0.1</f>
        <v>6.2</v>
      </c>
      <c r="T526" s="6" t="e">
        <f>LOOKUP(L526,Sheet6!$F$688:$F$749,Sheet6!$B$688:$B$749)*0.2</f>
        <v>#N/A</v>
      </c>
      <c r="U526" s="6">
        <f>LOOKUP(M526,Sheet6!$D$600:$D$626,Sheet6!$B$600:$B$626)*0.1</f>
        <v>0</v>
      </c>
      <c r="V526" s="6" t="e">
        <f t="shared" si="34"/>
        <v>#DIV/0!</v>
      </c>
      <c r="W526" s="6" t="e">
        <f t="shared" si="35"/>
        <v>#DIV/0!</v>
      </c>
    </row>
    <row r="527" spans="1:23" ht="24.75" customHeight="1">
      <c r="A527" s="5"/>
      <c r="B527" s="5"/>
      <c r="C527" s="5"/>
      <c r="D527" s="5"/>
      <c r="E527" s="30"/>
      <c r="F527" s="5"/>
      <c r="G527" s="5"/>
      <c r="H527" s="5"/>
      <c r="I527" s="5"/>
      <c r="J527" s="5"/>
      <c r="K527" s="5"/>
      <c r="L527" s="5"/>
      <c r="M527" s="5"/>
      <c r="N527" s="13" t="e">
        <f t="shared" si="33"/>
        <v>#DIV/0!</v>
      </c>
      <c r="O527" s="6" t="e">
        <f>LOOKUP(N527,Sheet6!$J$4:$J$11,Sheet6!$B$4:$B$11)*0.15</f>
        <v>#DIV/0!</v>
      </c>
      <c r="P527" s="14" t="e">
        <f>LOOKUP(H527,Sheet6!$J$25:$J$66,Sheet6!$B$25:$B$66)*0.15</f>
        <v>#N/A</v>
      </c>
      <c r="Q527" s="6" t="e">
        <f>LOOKUP(I527,Sheet6!$J$115:$J$156,Sheet6!$B$115:$B$156)*0.2</f>
        <v>#N/A</v>
      </c>
      <c r="R527" s="6" t="e">
        <f>LOOKUP(J527,Sheet6!$D$465:$D$506,Sheet6!$B$465:$B$506)*0.1</f>
        <v>#N/A</v>
      </c>
      <c r="S527" s="6">
        <f>LOOKUP(K527,Sheet6!$J$205:$J$246,Sheet6!$B$205:$B$246)*0.1</f>
        <v>6.2</v>
      </c>
      <c r="T527" s="6" t="e">
        <f>LOOKUP(L527,Sheet6!$F$688:$F$749,Sheet6!$B$688:$B$749)*0.2</f>
        <v>#N/A</v>
      </c>
      <c r="U527" s="6">
        <f>LOOKUP(M527,Sheet6!$D$600:$D$626,Sheet6!$B$600:$B$626)*0.1</f>
        <v>0</v>
      </c>
      <c r="V527" s="6" t="e">
        <f t="shared" si="34"/>
        <v>#DIV/0!</v>
      </c>
      <c r="W527" s="6" t="e">
        <f t="shared" si="35"/>
        <v>#DIV/0!</v>
      </c>
    </row>
    <row r="528" spans="1:23" ht="24.75" customHeight="1">
      <c r="A528" s="5"/>
      <c r="B528" s="5"/>
      <c r="C528" s="5"/>
      <c r="D528" s="5"/>
      <c r="E528" s="30"/>
      <c r="F528" s="5"/>
      <c r="G528" s="5"/>
      <c r="H528" s="5"/>
      <c r="I528" s="5"/>
      <c r="J528" s="5"/>
      <c r="K528" s="5"/>
      <c r="L528" s="5"/>
      <c r="M528" s="5"/>
      <c r="N528" s="13" t="e">
        <f t="shared" si="33"/>
        <v>#DIV/0!</v>
      </c>
      <c r="O528" s="6" t="e">
        <f>LOOKUP(N528,Sheet6!$J$4:$J$11,Sheet6!$B$4:$B$11)*0.15</f>
        <v>#DIV/0!</v>
      </c>
      <c r="P528" s="14" t="e">
        <f>LOOKUP(H528,Sheet6!$J$25:$J$66,Sheet6!$B$25:$B$66)*0.15</f>
        <v>#N/A</v>
      </c>
      <c r="Q528" s="6" t="e">
        <f>LOOKUP(I528,Sheet6!$J$115:$J$156,Sheet6!$B$115:$B$156)*0.2</f>
        <v>#N/A</v>
      </c>
      <c r="R528" s="6" t="e">
        <f>LOOKUP(J528,Sheet6!$D$465:$D$506,Sheet6!$B$465:$B$506)*0.1</f>
        <v>#N/A</v>
      </c>
      <c r="S528" s="6">
        <f>LOOKUP(K528,Sheet6!$J$205:$J$246,Sheet6!$B$205:$B$246)*0.1</f>
        <v>6.2</v>
      </c>
      <c r="T528" s="6" t="e">
        <f>LOOKUP(L528,Sheet6!$F$688:$F$749,Sheet6!$B$688:$B$749)*0.2</f>
        <v>#N/A</v>
      </c>
      <c r="U528" s="6">
        <f>LOOKUP(M528,Sheet6!$D$600:$D$626,Sheet6!$B$600:$B$626)*0.1</f>
        <v>0</v>
      </c>
      <c r="V528" s="6" t="e">
        <f t="shared" si="34"/>
        <v>#DIV/0!</v>
      </c>
      <c r="W528" s="6" t="e">
        <f t="shared" si="35"/>
        <v>#DIV/0!</v>
      </c>
    </row>
    <row r="529" spans="1:23" ht="24.75" customHeight="1">
      <c r="A529" s="5"/>
      <c r="B529" s="5"/>
      <c r="C529" s="5"/>
      <c r="D529" s="5"/>
      <c r="E529" s="30"/>
      <c r="F529" s="5"/>
      <c r="G529" s="5"/>
      <c r="H529" s="5"/>
      <c r="I529" s="5"/>
      <c r="J529" s="5"/>
      <c r="K529" s="5"/>
      <c r="L529" s="5"/>
      <c r="M529" s="5"/>
      <c r="N529" s="13" t="e">
        <f t="shared" si="33"/>
        <v>#DIV/0!</v>
      </c>
      <c r="O529" s="6" t="e">
        <f>LOOKUP(N529,Sheet6!$J$4:$J$11,Sheet6!$B$4:$B$11)*0.15</f>
        <v>#DIV/0!</v>
      </c>
      <c r="P529" s="14" t="e">
        <f>LOOKUP(H529,Sheet6!$J$25:$J$66,Sheet6!$B$25:$B$66)*0.15</f>
        <v>#N/A</v>
      </c>
      <c r="Q529" s="6" t="e">
        <f>LOOKUP(I529,Sheet6!$J$115:$J$156,Sheet6!$B$115:$B$156)*0.2</f>
        <v>#N/A</v>
      </c>
      <c r="R529" s="6" t="e">
        <f>LOOKUP(J529,Sheet6!$D$465:$D$506,Sheet6!$B$465:$B$506)*0.1</f>
        <v>#N/A</v>
      </c>
      <c r="S529" s="6">
        <f>LOOKUP(K529,Sheet6!$J$205:$J$246,Sheet6!$B$205:$B$246)*0.1</f>
        <v>6.2</v>
      </c>
      <c r="T529" s="6" t="e">
        <f>LOOKUP(L529,Sheet6!$F$688:$F$749,Sheet6!$B$688:$B$749)*0.2</f>
        <v>#N/A</v>
      </c>
      <c r="U529" s="6">
        <f>LOOKUP(M529,Sheet6!$D$600:$D$626,Sheet6!$B$600:$B$626)*0.1</f>
        <v>0</v>
      </c>
      <c r="V529" s="6" t="e">
        <f t="shared" si="34"/>
        <v>#DIV/0!</v>
      </c>
      <c r="W529" s="6" t="e">
        <f t="shared" si="35"/>
        <v>#DIV/0!</v>
      </c>
    </row>
    <row r="530" spans="1:23" ht="24.75" customHeight="1">
      <c r="A530" s="5"/>
      <c r="B530" s="5"/>
      <c r="C530" s="5"/>
      <c r="D530" s="5"/>
      <c r="E530" s="30"/>
      <c r="F530" s="5"/>
      <c r="G530" s="5"/>
      <c r="H530" s="5"/>
      <c r="I530" s="5"/>
      <c r="J530" s="5"/>
      <c r="K530" s="5"/>
      <c r="L530" s="5"/>
      <c r="M530" s="5"/>
      <c r="N530" s="13" t="e">
        <f t="shared" si="33"/>
        <v>#DIV/0!</v>
      </c>
      <c r="O530" s="6" t="e">
        <f>LOOKUP(N530,Sheet6!$J$4:$J$11,Sheet6!$B$4:$B$11)*0.15</f>
        <v>#DIV/0!</v>
      </c>
      <c r="P530" s="14" t="e">
        <f>LOOKUP(H530,Sheet6!$J$25:$J$66,Sheet6!$B$25:$B$66)*0.15</f>
        <v>#N/A</v>
      </c>
      <c r="Q530" s="6" t="e">
        <f>LOOKUP(I530,Sheet6!$J$115:$J$156,Sheet6!$B$115:$B$156)*0.2</f>
        <v>#N/A</v>
      </c>
      <c r="R530" s="6" t="e">
        <f>LOOKUP(J530,Sheet6!$D$465:$D$506,Sheet6!$B$465:$B$506)*0.1</f>
        <v>#N/A</v>
      </c>
      <c r="S530" s="6">
        <f>LOOKUP(K530,Sheet6!$J$205:$J$246,Sheet6!$B$205:$B$246)*0.1</f>
        <v>6.2</v>
      </c>
      <c r="T530" s="6" t="e">
        <f>LOOKUP(L530,Sheet6!$F$688:$F$749,Sheet6!$B$688:$B$749)*0.2</f>
        <v>#N/A</v>
      </c>
      <c r="U530" s="6">
        <f>LOOKUP(M530,Sheet6!$D$600:$D$626,Sheet6!$B$600:$B$626)*0.1</f>
        <v>0</v>
      </c>
      <c r="V530" s="6" t="e">
        <f t="shared" si="34"/>
        <v>#DIV/0!</v>
      </c>
      <c r="W530" s="6" t="e">
        <f t="shared" si="35"/>
        <v>#DIV/0!</v>
      </c>
    </row>
    <row r="531" spans="1:23" ht="24.75" customHeight="1">
      <c r="A531" s="5"/>
      <c r="B531" s="5"/>
      <c r="C531" s="5"/>
      <c r="D531" s="5"/>
      <c r="E531" s="30"/>
      <c r="F531" s="5"/>
      <c r="G531" s="5"/>
      <c r="H531" s="5"/>
      <c r="I531" s="5"/>
      <c r="J531" s="5"/>
      <c r="K531" s="5"/>
      <c r="L531" s="5"/>
      <c r="M531" s="5"/>
      <c r="N531" s="13" t="e">
        <f t="shared" si="33"/>
        <v>#DIV/0!</v>
      </c>
      <c r="O531" s="6" t="e">
        <f>LOOKUP(N531,Sheet6!$J$4:$J$11,Sheet6!$B$4:$B$11)*0.15</f>
        <v>#DIV/0!</v>
      </c>
      <c r="P531" s="14" t="e">
        <f>LOOKUP(H531,Sheet6!$J$25:$J$66,Sheet6!$B$25:$B$66)*0.15</f>
        <v>#N/A</v>
      </c>
      <c r="Q531" s="6" t="e">
        <f>LOOKUP(I531,Sheet6!$J$115:$J$156,Sheet6!$B$115:$B$156)*0.2</f>
        <v>#N/A</v>
      </c>
      <c r="R531" s="6" t="e">
        <f>LOOKUP(J531,Sheet6!$D$465:$D$506,Sheet6!$B$465:$B$506)*0.1</f>
        <v>#N/A</v>
      </c>
      <c r="S531" s="6">
        <f>LOOKUP(K531,Sheet6!$J$205:$J$246,Sheet6!$B$205:$B$246)*0.1</f>
        <v>6.2</v>
      </c>
      <c r="T531" s="6" t="e">
        <f>LOOKUP(L531,Sheet6!$F$688:$F$749,Sheet6!$B$688:$B$749)*0.2</f>
        <v>#N/A</v>
      </c>
      <c r="U531" s="6">
        <f>LOOKUP(M531,Sheet6!$D$600:$D$626,Sheet6!$B$600:$B$626)*0.1</f>
        <v>0</v>
      </c>
      <c r="V531" s="6" t="e">
        <f t="shared" si="34"/>
        <v>#DIV/0!</v>
      </c>
      <c r="W531" s="6" t="e">
        <f t="shared" si="35"/>
        <v>#DIV/0!</v>
      </c>
    </row>
    <row r="532" spans="1:23" ht="24.75" customHeight="1">
      <c r="A532" s="5"/>
      <c r="B532" s="5"/>
      <c r="C532" s="5"/>
      <c r="D532" s="5"/>
      <c r="E532" s="30"/>
      <c r="F532" s="5"/>
      <c r="G532" s="5"/>
      <c r="H532" s="5"/>
      <c r="I532" s="5"/>
      <c r="J532" s="5"/>
      <c r="K532" s="5"/>
      <c r="L532" s="5"/>
      <c r="M532" s="5"/>
      <c r="N532" s="13" t="e">
        <f t="shared" si="33"/>
        <v>#DIV/0!</v>
      </c>
      <c r="O532" s="6" t="e">
        <f>LOOKUP(N532,Sheet6!$J$4:$J$11,Sheet6!$B$4:$B$11)*0.15</f>
        <v>#DIV/0!</v>
      </c>
      <c r="P532" s="14" t="e">
        <f>LOOKUP(H532,Sheet6!$J$25:$J$66,Sheet6!$B$25:$B$66)*0.15</f>
        <v>#N/A</v>
      </c>
      <c r="Q532" s="6" t="e">
        <f>LOOKUP(I532,Sheet6!$J$115:$J$156,Sheet6!$B$115:$B$156)*0.2</f>
        <v>#N/A</v>
      </c>
      <c r="R532" s="6" t="e">
        <f>LOOKUP(J532,Sheet6!$D$465:$D$506,Sheet6!$B$465:$B$506)*0.1</f>
        <v>#N/A</v>
      </c>
      <c r="S532" s="6">
        <f>LOOKUP(K532,Sheet6!$J$205:$J$246,Sheet6!$B$205:$B$246)*0.1</f>
        <v>6.2</v>
      </c>
      <c r="T532" s="6" t="e">
        <f>LOOKUP(L532,Sheet6!$F$688:$F$749,Sheet6!$B$688:$B$749)*0.2</f>
        <v>#N/A</v>
      </c>
      <c r="U532" s="6">
        <f>LOOKUP(M532,Sheet6!$D$600:$D$626,Sheet6!$B$600:$B$626)*0.1</f>
        <v>0</v>
      </c>
      <c r="V532" s="6" t="e">
        <f t="shared" si="34"/>
        <v>#DIV/0!</v>
      </c>
      <c r="W532" s="6" t="e">
        <f t="shared" si="35"/>
        <v>#DIV/0!</v>
      </c>
    </row>
    <row r="533" spans="1:23" ht="24.75" customHeight="1">
      <c r="A533" s="5"/>
      <c r="B533" s="5"/>
      <c r="C533" s="5"/>
      <c r="D533" s="5"/>
      <c r="E533" s="30"/>
      <c r="F533" s="5"/>
      <c r="G533" s="5"/>
      <c r="H533" s="5"/>
      <c r="I533" s="5"/>
      <c r="J533" s="5"/>
      <c r="K533" s="5"/>
      <c r="L533" s="5"/>
      <c r="M533" s="5"/>
      <c r="N533" s="13" t="e">
        <f t="shared" si="33"/>
        <v>#DIV/0!</v>
      </c>
      <c r="O533" s="6" t="e">
        <f>LOOKUP(N533,Sheet6!$J$4:$J$11,Sheet6!$B$4:$B$11)*0.15</f>
        <v>#DIV/0!</v>
      </c>
      <c r="P533" s="14" t="e">
        <f>LOOKUP(H533,Sheet6!$J$25:$J$66,Sheet6!$B$25:$B$66)*0.15</f>
        <v>#N/A</v>
      </c>
      <c r="Q533" s="6" t="e">
        <f>LOOKUP(I533,Sheet6!$J$115:$J$156,Sheet6!$B$115:$B$156)*0.2</f>
        <v>#N/A</v>
      </c>
      <c r="R533" s="6" t="e">
        <f>LOOKUP(J533,Sheet6!$D$465:$D$506,Sheet6!$B$465:$B$506)*0.1</f>
        <v>#N/A</v>
      </c>
      <c r="S533" s="6">
        <f>LOOKUP(K533,Sheet6!$J$205:$J$246,Sheet6!$B$205:$B$246)*0.1</f>
        <v>6.2</v>
      </c>
      <c r="T533" s="6" t="e">
        <f>LOOKUP(L533,Sheet6!$F$688:$F$749,Sheet6!$B$688:$B$749)*0.2</f>
        <v>#N/A</v>
      </c>
      <c r="U533" s="6">
        <f>LOOKUP(M533,Sheet6!$D$600:$D$626,Sheet6!$B$600:$B$626)*0.1</f>
        <v>0</v>
      </c>
      <c r="V533" s="6" t="e">
        <f t="shared" si="34"/>
        <v>#DIV/0!</v>
      </c>
      <c r="W533" s="6" t="e">
        <f t="shared" si="35"/>
        <v>#DIV/0!</v>
      </c>
    </row>
    <row r="534" spans="1:23" ht="24.75" customHeight="1">
      <c r="A534" s="5"/>
      <c r="B534" s="5"/>
      <c r="C534" s="5"/>
      <c r="D534" s="5"/>
      <c r="E534" s="30"/>
      <c r="F534" s="5"/>
      <c r="G534" s="5"/>
      <c r="H534" s="5"/>
      <c r="I534" s="5"/>
      <c r="J534" s="5"/>
      <c r="K534" s="5"/>
      <c r="L534" s="5"/>
      <c r="M534" s="5"/>
      <c r="N534" s="13" t="e">
        <f t="shared" si="33"/>
        <v>#DIV/0!</v>
      </c>
      <c r="O534" s="6" t="e">
        <f>LOOKUP(N534,Sheet6!$J$4:$J$11,Sheet6!$B$4:$B$11)*0.15</f>
        <v>#DIV/0!</v>
      </c>
      <c r="P534" s="14" t="e">
        <f>LOOKUP(H534,Sheet6!$J$25:$J$66,Sheet6!$B$25:$B$66)*0.15</f>
        <v>#N/A</v>
      </c>
      <c r="Q534" s="6" t="e">
        <f>LOOKUP(I534,Sheet6!$J$115:$J$156,Sheet6!$B$115:$B$156)*0.2</f>
        <v>#N/A</v>
      </c>
      <c r="R534" s="6" t="e">
        <f>LOOKUP(J534,Sheet6!$D$465:$D$506,Sheet6!$B$465:$B$506)*0.1</f>
        <v>#N/A</v>
      </c>
      <c r="S534" s="6">
        <f>LOOKUP(K534,Sheet6!$J$205:$J$246,Sheet6!$B$205:$B$246)*0.1</f>
        <v>6.2</v>
      </c>
      <c r="T534" s="6" t="e">
        <f>LOOKUP(L534,Sheet6!$F$688:$F$749,Sheet6!$B$688:$B$749)*0.2</f>
        <v>#N/A</v>
      </c>
      <c r="U534" s="6">
        <f>LOOKUP(M534,Sheet6!$D$600:$D$626,Sheet6!$B$600:$B$626)*0.1</f>
        <v>0</v>
      </c>
      <c r="V534" s="6" t="e">
        <f t="shared" si="34"/>
        <v>#DIV/0!</v>
      </c>
      <c r="W534" s="6" t="e">
        <f t="shared" si="35"/>
        <v>#DIV/0!</v>
      </c>
    </row>
    <row r="535" spans="1:23" ht="24.75" customHeight="1">
      <c r="A535" s="5"/>
      <c r="B535" s="5"/>
      <c r="C535" s="5"/>
      <c r="D535" s="5"/>
      <c r="E535" s="30"/>
      <c r="F535" s="5"/>
      <c r="G535" s="5"/>
      <c r="H535" s="5"/>
      <c r="I535" s="5"/>
      <c r="J535" s="5"/>
      <c r="K535" s="5"/>
      <c r="L535" s="5"/>
      <c r="M535" s="5"/>
      <c r="N535" s="13" t="e">
        <f t="shared" si="33"/>
        <v>#DIV/0!</v>
      </c>
      <c r="O535" s="6" t="e">
        <f>LOOKUP(N535,Sheet6!$J$4:$J$11,Sheet6!$B$4:$B$11)*0.15</f>
        <v>#DIV/0!</v>
      </c>
      <c r="P535" s="14" t="e">
        <f>LOOKUP(H535,Sheet6!$J$25:$J$66,Sheet6!$B$25:$B$66)*0.15</f>
        <v>#N/A</v>
      </c>
      <c r="Q535" s="6" t="e">
        <f>LOOKUP(I535,Sheet6!$J$115:$J$156,Sheet6!$B$115:$B$156)*0.2</f>
        <v>#N/A</v>
      </c>
      <c r="R535" s="6" t="e">
        <f>LOOKUP(J535,Sheet6!$D$465:$D$506,Sheet6!$B$465:$B$506)*0.1</f>
        <v>#N/A</v>
      </c>
      <c r="S535" s="6">
        <f>LOOKUP(K535,Sheet6!$J$205:$J$246,Sheet6!$B$205:$B$246)*0.1</f>
        <v>6.2</v>
      </c>
      <c r="T535" s="6" t="e">
        <f>LOOKUP(L535,Sheet6!$F$688:$F$749,Sheet6!$B$688:$B$749)*0.2</f>
        <v>#N/A</v>
      </c>
      <c r="U535" s="6">
        <f>LOOKUP(M535,Sheet6!$D$600:$D$626,Sheet6!$B$600:$B$626)*0.1</f>
        <v>0</v>
      </c>
      <c r="V535" s="6" t="e">
        <f t="shared" si="34"/>
        <v>#DIV/0!</v>
      </c>
      <c r="W535" s="6" t="e">
        <f t="shared" si="35"/>
        <v>#DIV/0!</v>
      </c>
    </row>
    <row r="536" spans="1:23" ht="24.75" customHeight="1">
      <c r="A536" s="5"/>
      <c r="B536" s="5"/>
      <c r="C536" s="5"/>
      <c r="D536" s="5"/>
      <c r="E536" s="30"/>
      <c r="F536" s="5"/>
      <c r="G536" s="5"/>
      <c r="H536" s="5"/>
      <c r="I536" s="5"/>
      <c r="J536" s="5"/>
      <c r="K536" s="5"/>
      <c r="L536" s="5"/>
      <c r="M536" s="5"/>
      <c r="N536" s="13" t="e">
        <f t="shared" si="33"/>
        <v>#DIV/0!</v>
      </c>
      <c r="O536" s="6" t="e">
        <f>LOOKUP(N536,Sheet6!$J$4:$J$11,Sheet6!$B$4:$B$11)*0.15</f>
        <v>#DIV/0!</v>
      </c>
      <c r="P536" s="14" t="e">
        <f>LOOKUP(H536,Sheet6!$J$25:$J$66,Sheet6!$B$25:$B$66)*0.15</f>
        <v>#N/A</v>
      </c>
      <c r="Q536" s="6" t="e">
        <f>LOOKUP(I536,Sheet6!$J$115:$J$156,Sheet6!$B$115:$B$156)*0.2</f>
        <v>#N/A</v>
      </c>
      <c r="R536" s="6" t="e">
        <f>LOOKUP(J536,Sheet6!$D$465:$D$506,Sheet6!$B$465:$B$506)*0.1</f>
        <v>#N/A</v>
      </c>
      <c r="S536" s="6">
        <f>LOOKUP(K536,Sheet6!$J$205:$J$246,Sheet6!$B$205:$B$246)*0.1</f>
        <v>6.2</v>
      </c>
      <c r="T536" s="6" t="e">
        <f>LOOKUP(L536,Sheet6!$F$688:$F$749,Sheet6!$B$688:$B$749)*0.2</f>
        <v>#N/A</v>
      </c>
      <c r="U536" s="6">
        <f>LOOKUP(M536,Sheet6!$D$600:$D$626,Sheet6!$B$600:$B$626)*0.1</f>
        <v>0</v>
      </c>
      <c r="V536" s="6" t="e">
        <f t="shared" si="34"/>
        <v>#DIV/0!</v>
      </c>
      <c r="W536" s="6" t="e">
        <f t="shared" si="35"/>
        <v>#DIV/0!</v>
      </c>
    </row>
    <row r="537" spans="1:23" ht="24.75" customHeight="1">
      <c r="A537" s="5"/>
      <c r="B537" s="5"/>
      <c r="C537" s="5"/>
      <c r="D537" s="5"/>
      <c r="E537" s="30"/>
      <c r="F537" s="5"/>
      <c r="G537" s="5"/>
      <c r="H537" s="5"/>
      <c r="I537" s="5"/>
      <c r="J537" s="5"/>
      <c r="K537" s="5"/>
      <c r="L537" s="5"/>
      <c r="M537" s="5"/>
      <c r="N537" s="13" t="e">
        <f t="shared" si="33"/>
        <v>#DIV/0!</v>
      </c>
      <c r="O537" s="6" t="e">
        <f>LOOKUP(N537,Sheet6!$J$4:$J$11,Sheet6!$B$4:$B$11)*0.15</f>
        <v>#DIV/0!</v>
      </c>
      <c r="P537" s="14" t="e">
        <f>LOOKUP(H537,Sheet6!$J$25:$J$66,Sheet6!$B$25:$B$66)*0.15</f>
        <v>#N/A</v>
      </c>
      <c r="Q537" s="6" t="e">
        <f>LOOKUP(I537,Sheet6!$J$115:$J$156,Sheet6!$B$115:$B$156)*0.2</f>
        <v>#N/A</v>
      </c>
      <c r="R537" s="6" t="e">
        <f>LOOKUP(J537,Sheet6!$D$465:$D$506,Sheet6!$B$465:$B$506)*0.1</f>
        <v>#N/A</v>
      </c>
      <c r="S537" s="6">
        <f>LOOKUP(K537,Sheet6!$J$205:$J$246,Sheet6!$B$205:$B$246)*0.1</f>
        <v>6.2</v>
      </c>
      <c r="T537" s="6" t="e">
        <f>LOOKUP(L537,Sheet6!$F$688:$F$749,Sheet6!$B$688:$B$749)*0.2</f>
        <v>#N/A</v>
      </c>
      <c r="U537" s="6">
        <f>LOOKUP(M537,Sheet6!$D$600:$D$626,Sheet6!$B$600:$B$626)*0.1</f>
        <v>0</v>
      </c>
      <c r="V537" s="6" t="e">
        <f t="shared" si="34"/>
        <v>#DIV/0!</v>
      </c>
      <c r="W537" s="6" t="e">
        <f t="shared" si="35"/>
        <v>#DIV/0!</v>
      </c>
    </row>
    <row r="538" spans="1:23" ht="24.75" customHeight="1">
      <c r="A538" s="5"/>
      <c r="B538" s="5"/>
      <c r="C538" s="5"/>
      <c r="D538" s="5"/>
      <c r="E538" s="30"/>
      <c r="F538" s="5"/>
      <c r="G538" s="5"/>
      <c r="H538" s="5"/>
      <c r="I538" s="5"/>
      <c r="J538" s="5"/>
      <c r="K538" s="5"/>
      <c r="L538" s="5"/>
      <c r="M538" s="5"/>
      <c r="N538" s="13" t="e">
        <f t="shared" si="33"/>
        <v>#DIV/0!</v>
      </c>
      <c r="O538" s="6" t="e">
        <f>LOOKUP(N538,Sheet6!$J$4:$J$11,Sheet6!$B$4:$B$11)*0.15</f>
        <v>#DIV/0!</v>
      </c>
      <c r="P538" s="14" t="e">
        <f>LOOKUP(H538,Sheet6!$J$25:$J$66,Sheet6!$B$25:$B$66)*0.15</f>
        <v>#N/A</v>
      </c>
      <c r="Q538" s="6" t="e">
        <f>LOOKUP(I538,Sheet6!$J$115:$J$156,Sheet6!$B$115:$B$156)*0.2</f>
        <v>#N/A</v>
      </c>
      <c r="R538" s="6" t="e">
        <f>LOOKUP(J538,Sheet6!$D$465:$D$506,Sheet6!$B$465:$B$506)*0.1</f>
        <v>#N/A</v>
      </c>
      <c r="S538" s="6">
        <f>LOOKUP(K538,Sheet6!$J$205:$J$246,Sheet6!$B$205:$B$246)*0.1</f>
        <v>6.2</v>
      </c>
      <c r="T538" s="6" t="e">
        <f>LOOKUP(L538,Sheet6!$F$688:$F$749,Sheet6!$B$688:$B$749)*0.2</f>
        <v>#N/A</v>
      </c>
      <c r="U538" s="6">
        <f>LOOKUP(M538,Sheet6!$D$600:$D$626,Sheet6!$B$600:$B$626)*0.1</f>
        <v>0</v>
      </c>
      <c r="V538" s="6" t="e">
        <f t="shared" si="34"/>
        <v>#DIV/0!</v>
      </c>
      <c r="W538" s="6" t="e">
        <f t="shared" si="35"/>
        <v>#DIV/0!</v>
      </c>
    </row>
    <row r="539" spans="1:23" ht="24.75" customHeight="1">
      <c r="A539" s="5"/>
      <c r="B539" s="5"/>
      <c r="C539" s="5"/>
      <c r="D539" s="5"/>
      <c r="E539" s="30"/>
      <c r="F539" s="5"/>
      <c r="G539" s="5"/>
      <c r="H539" s="5"/>
      <c r="I539" s="5"/>
      <c r="J539" s="5"/>
      <c r="K539" s="5"/>
      <c r="L539" s="5"/>
      <c r="M539" s="5"/>
      <c r="N539" s="13" t="e">
        <f t="shared" si="33"/>
        <v>#DIV/0!</v>
      </c>
      <c r="O539" s="6" t="e">
        <f>LOOKUP(N539,Sheet6!$J$4:$J$11,Sheet6!$B$4:$B$11)*0.15</f>
        <v>#DIV/0!</v>
      </c>
      <c r="P539" s="14" t="e">
        <f>LOOKUP(H539,Sheet6!$J$25:$J$66,Sheet6!$B$25:$B$66)*0.15</f>
        <v>#N/A</v>
      </c>
      <c r="Q539" s="6" t="e">
        <f>LOOKUP(I539,Sheet6!$J$115:$J$156,Sheet6!$B$115:$B$156)*0.2</f>
        <v>#N/A</v>
      </c>
      <c r="R539" s="6" t="e">
        <f>LOOKUP(J539,Sheet6!$D$465:$D$506,Sheet6!$B$465:$B$506)*0.1</f>
        <v>#N/A</v>
      </c>
      <c r="S539" s="6">
        <f>LOOKUP(K539,Sheet6!$J$205:$J$246,Sheet6!$B$205:$B$246)*0.1</f>
        <v>6.2</v>
      </c>
      <c r="T539" s="6" t="e">
        <f>LOOKUP(L539,Sheet6!$F$688:$F$749,Sheet6!$B$688:$B$749)*0.2</f>
        <v>#N/A</v>
      </c>
      <c r="U539" s="6">
        <f>LOOKUP(M539,Sheet6!$D$600:$D$626,Sheet6!$B$600:$B$626)*0.1</f>
        <v>0</v>
      </c>
      <c r="V539" s="6" t="e">
        <f t="shared" si="34"/>
        <v>#DIV/0!</v>
      </c>
      <c r="W539" s="6" t="e">
        <f t="shared" si="35"/>
        <v>#DIV/0!</v>
      </c>
    </row>
    <row r="540" spans="1:23" ht="24.75" customHeight="1">
      <c r="A540" s="5"/>
      <c r="B540" s="5"/>
      <c r="C540" s="5"/>
      <c r="D540" s="5"/>
      <c r="E540" s="30"/>
      <c r="F540" s="5"/>
      <c r="G540" s="5"/>
      <c r="H540" s="5"/>
      <c r="I540" s="5"/>
      <c r="J540" s="5"/>
      <c r="K540" s="5"/>
      <c r="L540" s="5"/>
      <c r="M540" s="5"/>
      <c r="N540" s="13" t="e">
        <f t="shared" si="33"/>
        <v>#DIV/0!</v>
      </c>
      <c r="O540" s="6" t="e">
        <f>LOOKUP(N540,Sheet6!$J$4:$J$11,Sheet6!$B$4:$B$11)*0.15</f>
        <v>#DIV/0!</v>
      </c>
      <c r="P540" s="14" t="e">
        <f>LOOKUP(H540,Sheet6!$J$25:$J$66,Sheet6!$B$25:$B$66)*0.15</f>
        <v>#N/A</v>
      </c>
      <c r="Q540" s="6" t="e">
        <f>LOOKUP(I540,Sheet6!$J$115:$J$156,Sheet6!$B$115:$B$156)*0.2</f>
        <v>#N/A</v>
      </c>
      <c r="R540" s="6" t="e">
        <f>LOOKUP(J540,Sheet6!$D$465:$D$506,Sheet6!$B$465:$B$506)*0.1</f>
        <v>#N/A</v>
      </c>
      <c r="S540" s="6">
        <f>LOOKUP(K540,Sheet6!$J$205:$J$246,Sheet6!$B$205:$B$246)*0.1</f>
        <v>6.2</v>
      </c>
      <c r="T540" s="6" t="e">
        <f>LOOKUP(L540,Sheet6!$F$688:$F$749,Sheet6!$B$688:$B$749)*0.2</f>
        <v>#N/A</v>
      </c>
      <c r="U540" s="6">
        <f>LOOKUP(M540,Sheet6!$D$600:$D$626,Sheet6!$B$600:$B$626)*0.1</f>
        <v>0</v>
      </c>
      <c r="V540" s="6" t="e">
        <f t="shared" si="34"/>
        <v>#DIV/0!</v>
      </c>
      <c r="W540" s="6" t="e">
        <f t="shared" si="35"/>
        <v>#DIV/0!</v>
      </c>
    </row>
    <row r="541" spans="1:23" ht="24.75" customHeight="1">
      <c r="A541" s="5"/>
      <c r="B541" s="5"/>
      <c r="C541" s="5"/>
      <c r="D541" s="5"/>
      <c r="E541" s="30"/>
      <c r="F541" s="5"/>
      <c r="G541" s="5"/>
      <c r="H541" s="5"/>
      <c r="I541" s="5"/>
      <c r="J541" s="5"/>
      <c r="K541" s="5"/>
      <c r="L541" s="5"/>
      <c r="M541" s="5"/>
      <c r="N541" s="13" t="e">
        <f t="shared" si="33"/>
        <v>#DIV/0!</v>
      </c>
      <c r="O541" s="6" t="e">
        <f>LOOKUP(N541,Sheet6!$J$4:$J$11,Sheet6!$B$4:$B$11)*0.15</f>
        <v>#DIV/0!</v>
      </c>
      <c r="P541" s="14" t="e">
        <f>LOOKUP(H541,Sheet6!$J$25:$J$66,Sheet6!$B$25:$B$66)*0.15</f>
        <v>#N/A</v>
      </c>
      <c r="Q541" s="6" t="e">
        <f>LOOKUP(I541,Sheet6!$J$115:$J$156,Sheet6!$B$115:$B$156)*0.2</f>
        <v>#N/A</v>
      </c>
      <c r="R541" s="6" t="e">
        <f>LOOKUP(J541,Sheet6!$D$465:$D$506,Sheet6!$B$465:$B$506)*0.1</f>
        <v>#N/A</v>
      </c>
      <c r="S541" s="6">
        <f>LOOKUP(K541,Sheet6!$J$205:$J$246,Sheet6!$B$205:$B$246)*0.1</f>
        <v>6.2</v>
      </c>
      <c r="T541" s="6" t="e">
        <f>LOOKUP(L541,Sheet6!$F$688:$F$749,Sheet6!$B$688:$B$749)*0.2</f>
        <v>#N/A</v>
      </c>
      <c r="U541" s="6">
        <f>LOOKUP(M541,Sheet6!$D$600:$D$626,Sheet6!$B$600:$B$626)*0.1</f>
        <v>0</v>
      </c>
      <c r="V541" s="6" t="e">
        <f t="shared" si="34"/>
        <v>#DIV/0!</v>
      </c>
      <c r="W541" s="6" t="e">
        <f t="shared" si="35"/>
        <v>#DIV/0!</v>
      </c>
    </row>
    <row r="542" spans="1:23" ht="24.75" customHeight="1">
      <c r="A542" s="5"/>
      <c r="B542" s="5"/>
      <c r="C542" s="5"/>
      <c r="D542" s="5"/>
      <c r="E542" s="30"/>
      <c r="F542" s="5"/>
      <c r="G542" s="5"/>
      <c r="H542" s="5"/>
      <c r="I542" s="5"/>
      <c r="J542" s="5"/>
      <c r="K542" s="5"/>
      <c r="L542" s="5"/>
      <c r="M542" s="5"/>
      <c r="N542" s="13" t="e">
        <f t="shared" si="33"/>
        <v>#DIV/0!</v>
      </c>
      <c r="O542" s="6" t="e">
        <f>LOOKUP(N542,Sheet6!$J$4:$J$11,Sheet6!$B$4:$B$11)*0.15</f>
        <v>#DIV/0!</v>
      </c>
      <c r="P542" s="14" t="e">
        <f>LOOKUP(H542,Sheet6!$J$25:$J$66,Sheet6!$B$25:$B$66)*0.15</f>
        <v>#N/A</v>
      </c>
      <c r="Q542" s="6" t="e">
        <f>LOOKUP(I542,Sheet6!$J$115:$J$156,Sheet6!$B$115:$B$156)*0.2</f>
        <v>#N/A</v>
      </c>
      <c r="R542" s="6" t="e">
        <f>LOOKUP(J542,Sheet6!$D$465:$D$506,Sheet6!$B$465:$B$506)*0.1</f>
        <v>#N/A</v>
      </c>
      <c r="S542" s="6">
        <f>LOOKUP(K542,Sheet6!$J$205:$J$246,Sheet6!$B$205:$B$246)*0.1</f>
        <v>6.2</v>
      </c>
      <c r="T542" s="6" t="e">
        <f>LOOKUP(L542,Sheet6!$F$688:$F$749,Sheet6!$B$688:$B$749)*0.2</f>
        <v>#N/A</v>
      </c>
      <c r="U542" s="6">
        <f>LOOKUP(M542,Sheet6!$D$600:$D$626,Sheet6!$B$600:$B$626)*0.1</f>
        <v>0</v>
      </c>
      <c r="V542" s="6" t="e">
        <f t="shared" si="34"/>
        <v>#DIV/0!</v>
      </c>
      <c r="W542" s="6" t="e">
        <f t="shared" si="35"/>
        <v>#DIV/0!</v>
      </c>
    </row>
    <row r="543" spans="1:23" ht="24.75" customHeight="1">
      <c r="A543" s="5"/>
      <c r="B543" s="5"/>
      <c r="C543" s="5"/>
      <c r="D543" s="5"/>
      <c r="E543" s="30"/>
      <c r="F543" s="5"/>
      <c r="G543" s="5"/>
      <c r="H543" s="5"/>
      <c r="I543" s="5"/>
      <c r="J543" s="5"/>
      <c r="K543" s="5"/>
      <c r="L543" s="5"/>
      <c r="M543" s="5"/>
      <c r="N543" s="13" t="e">
        <f t="shared" si="33"/>
        <v>#DIV/0!</v>
      </c>
      <c r="O543" s="6" t="e">
        <f>LOOKUP(N543,Sheet6!$J$4:$J$11,Sheet6!$B$4:$B$11)*0.15</f>
        <v>#DIV/0!</v>
      </c>
      <c r="P543" s="14" t="e">
        <f>LOOKUP(H543,Sheet6!$J$25:$J$66,Sheet6!$B$25:$B$66)*0.15</f>
        <v>#N/A</v>
      </c>
      <c r="Q543" s="6" t="e">
        <f>LOOKUP(I543,Sheet6!$J$115:$J$156,Sheet6!$B$115:$B$156)*0.2</f>
        <v>#N/A</v>
      </c>
      <c r="R543" s="6" t="e">
        <f>LOOKUP(J543,Sheet6!$D$465:$D$506,Sheet6!$B$465:$B$506)*0.1</f>
        <v>#N/A</v>
      </c>
      <c r="S543" s="6">
        <f>LOOKUP(K543,Sheet6!$J$205:$J$246,Sheet6!$B$205:$B$246)*0.1</f>
        <v>6.2</v>
      </c>
      <c r="T543" s="6" t="e">
        <f>LOOKUP(L543,Sheet6!$F$688:$F$749,Sheet6!$B$688:$B$749)*0.2</f>
        <v>#N/A</v>
      </c>
      <c r="U543" s="6">
        <f>LOOKUP(M543,Sheet6!$D$600:$D$626,Sheet6!$B$600:$B$626)*0.1</f>
        <v>0</v>
      </c>
      <c r="V543" s="6" t="e">
        <f t="shared" si="34"/>
        <v>#DIV/0!</v>
      </c>
      <c r="W543" s="6" t="e">
        <f t="shared" si="35"/>
        <v>#DIV/0!</v>
      </c>
    </row>
    <row r="544" spans="1:23" ht="24.75" customHeight="1">
      <c r="A544" s="5"/>
      <c r="B544" s="5"/>
      <c r="C544" s="5"/>
      <c r="D544" s="5"/>
      <c r="E544" s="30"/>
      <c r="F544" s="5"/>
      <c r="G544" s="5"/>
      <c r="H544" s="5"/>
      <c r="I544" s="5"/>
      <c r="J544" s="5"/>
      <c r="K544" s="5"/>
      <c r="L544" s="5"/>
      <c r="M544" s="5"/>
      <c r="N544" s="13" t="e">
        <f t="shared" si="33"/>
        <v>#DIV/0!</v>
      </c>
      <c r="O544" s="6" t="e">
        <f>LOOKUP(N544,Sheet6!$J$4:$J$11,Sheet6!$B$4:$B$11)*0.15</f>
        <v>#DIV/0!</v>
      </c>
      <c r="P544" s="14" t="e">
        <f>LOOKUP(H544,Sheet6!$J$25:$J$66,Sheet6!$B$25:$B$66)*0.15</f>
        <v>#N/A</v>
      </c>
      <c r="Q544" s="6" t="e">
        <f>LOOKUP(I544,Sheet6!$J$115:$J$156,Sheet6!$B$115:$B$156)*0.2</f>
        <v>#N/A</v>
      </c>
      <c r="R544" s="6" t="e">
        <f>LOOKUP(J544,Sheet6!$D$465:$D$506,Sheet6!$B$465:$B$506)*0.1</f>
        <v>#N/A</v>
      </c>
      <c r="S544" s="6">
        <f>LOOKUP(K544,Sheet6!$J$205:$J$246,Sheet6!$B$205:$B$246)*0.1</f>
        <v>6.2</v>
      </c>
      <c r="T544" s="6" t="e">
        <f>LOOKUP(L544,Sheet6!$F$688:$F$749,Sheet6!$B$688:$B$749)*0.2</f>
        <v>#N/A</v>
      </c>
      <c r="U544" s="6">
        <f>LOOKUP(M544,Sheet6!$D$600:$D$626,Sheet6!$B$600:$B$626)*0.1</f>
        <v>0</v>
      </c>
      <c r="V544" s="6" t="e">
        <f t="shared" si="34"/>
        <v>#DIV/0!</v>
      </c>
      <c r="W544" s="6" t="e">
        <f t="shared" si="35"/>
        <v>#DIV/0!</v>
      </c>
    </row>
    <row r="545" spans="1:23" ht="24.75" customHeight="1">
      <c r="A545" s="5"/>
      <c r="B545" s="5"/>
      <c r="C545" s="5"/>
      <c r="D545" s="5"/>
      <c r="E545" s="30"/>
      <c r="F545" s="5"/>
      <c r="G545" s="5"/>
      <c r="H545" s="5"/>
      <c r="I545" s="5"/>
      <c r="J545" s="5"/>
      <c r="K545" s="5"/>
      <c r="L545" s="5"/>
      <c r="M545" s="5"/>
      <c r="N545" s="13" t="e">
        <f t="shared" si="33"/>
        <v>#DIV/0!</v>
      </c>
      <c r="O545" s="6" t="e">
        <f>LOOKUP(N545,Sheet6!$J$4:$J$11,Sheet6!$B$4:$B$11)*0.15</f>
        <v>#DIV/0!</v>
      </c>
      <c r="P545" s="14" t="e">
        <f>LOOKUP(H545,Sheet6!$J$25:$J$66,Sheet6!$B$25:$B$66)*0.15</f>
        <v>#N/A</v>
      </c>
      <c r="Q545" s="6" t="e">
        <f>LOOKUP(I545,Sheet6!$J$115:$J$156,Sheet6!$B$115:$B$156)*0.2</f>
        <v>#N/A</v>
      </c>
      <c r="R545" s="6" t="e">
        <f>LOOKUP(J545,Sheet6!$D$465:$D$506,Sheet6!$B$465:$B$506)*0.1</f>
        <v>#N/A</v>
      </c>
      <c r="S545" s="6">
        <f>LOOKUP(K545,Sheet6!$J$205:$J$246,Sheet6!$B$205:$B$246)*0.1</f>
        <v>6.2</v>
      </c>
      <c r="T545" s="6" t="e">
        <f>LOOKUP(L545,Sheet6!$F$688:$F$749,Sheet6!$B$688:$B$749)*0.2</f>
        <v>#N/A</v>
      </c>
      <c r="U545" s="6">
        <f>LOOKUP(M545,Sheet6!$D$600:$D$626,Sheet6!$B$600:$B$626)*0.1</f>
        <v>0</v>
      </c>
      <c r="V545" s="6" t="e">
        <f t="shared" si="34"/>
        <v>#DIV/0!</v>
      </c>
      <c r="W545" s="6" t="e">
        <f t="shared" si="35"/>
        <v>#DIV/0!</v>
      </c>
    </row>
    <row r="546" spans="1:23" ht="24.75" customHeight="1">
      <c r="A546" s="5"/>
      <c r="B546" s="5"/>
      <c r="C546" s="5"/>
      <c r="D546" s="5"/>
      <c r="E546" s="30"/>
      <c r="F546" s="5"/>
      <c r="G546" s="5"/>
      <c r="H546" s="5"/>
      <c r="I546" s="5"/>
      <c r="J546" s="5"/>
      <c r="K546" s="5"/>
      <c r="L546" s="5"/>
      <c r="M546" s="5"/>
      <c r="N546" s="13" t="e">
        <f t="shared" si="33"/>
        <v>#DIV/0!</v>
      </c>
      <c r="O546" s="6" t="e">
        <f>LOOKUP(N546,Sheet6!$J$4:$J$11,Sheet6!$B$4:$B$11)*0.15</f>
        <v>#DIV/0!</v>
      </c>
      <c r="P546" s="14" t="e">
        <f>LOOKUP(H546,Sheet6!$J$25:$J$66,Sheet6!$B$25:$B$66)*0.15</f>
        <v>#N/A</v>
      </c>
      <c r="Q546" s="6" t="e">
        <f>LOOKUP(I546,Sheet6!$J$115:$J$156,Sheet6!$B$115:$B$156)*0.2</f>
        <v>#N/A</v>
      </c>
      <c r="R546" s="6" t="e">
        <f>LOOKUP(J546,Sheet6!$D$465:$D$506,Sheet6!$B$465:$B$506)*0.1</f>
        <v>#N/A</v>
      </c>
      <c r="S546" s="6">
        <f>LOOKUP(K546,Sheet6!$J$205:$J$246,Sheet6!$B$205:$B$246)*0.1</f>
        <v>6.2</v>
      </c>
      <c r="T546" s="6" t="e">
        <f>LOOKUP(L546,Sheet6!$F$688:$F$749,Sheet6!$B$688:$B$749)*0.2</f>
        <v>#N/A</v>
      </c>
      <c r="U546" s="6">
        <f>LOOKUP(M546,Sheet6!$D$600:$D$626,Sheet6!$B$600:$B$626)*0.1</f>
        <v>0</v>
      </c>
      <c r="V546" s="6" t="e">
        <f t="shared" si="34"/>
        <v>#DIV/0!</v>
      </c>
      <c r="W546" s="6" t="e">
        <f t="shared" si="35"/>
        <v>#DIV/0!</v>
      </c>
    </row>
    <row r="547" spans="1:23" ht="24.75" customHeight="1">
      <c r="A547" s="5"/>
      <c r="B547" s="5"/>
      <c r="C547" s="5"/>
      <c r="D547" s="5"/>
      <c r="E547" s="30"/>
      <c r="F547" s="5"/>
      <c r="G547" s="5"/>
      <c r="H547" s="5"/>
      <c r="I547" s="5"/>
      <c r="J547" s="5"/>
      <c r="K547" s="5"/>
      <c r="L547" s="5"/>
      <c r="M547" s="5"/>
      <c r="N547" s="13" t="e">
        <f t="shared" si="33"/>
        <v>#DIV/0!</v>
      </c>
      <c r="O547" s="6" t="e">
        <f>LOOKUP(N547,Sheet6!$J$4:$J$11,Sheet6!$B$4:$B$11)*0.15</f>
        <v>#DIV/0!</v>
      </c>
      <c r="P547" s="14" t="e">
        <f>LOOKUP(H547,Sheet6!$J$25:$J$66,Sheet6!$B$25:$B$66)*0.15</f>
        <v>#N/A</v>
      </c>
      <c r="Q547" s="6" t="e">
        <f>LOOKUP(I547,Sheet6!$J$115:$J$156,Sheet6!$B$115:$B$156)*0.2</f>
        <v>#N/A</v>
      </c>
      <c r="R547" s="6" t="e">
        <f>LOOKUP(J547,Sheet6!$D$465:$D$506,Sheet6!$B$465:$B$506)*0.1</f>
        <v>#N/A</v>
      </c>
      <c r="S547" s="6">
        <f>LOOKUP(K547,Sheet6!$J$205:$J$246,Sheet6!$B$205:$B$246)*0.1</f>
        <v>6.2</v>
      </c>
      <c r="T547" s="6" t="e">
        <f>LOOKUP(L547,Sheet6!$F$688:$F$749,Sheet6!$B$688:$B$749)*0.2</f>
        <v>#N/A</v>
      </c>
      <c r="U547" s="6">
        <f>LOOKUP(M547,Sheet6!$D$600:$D$626,Sheet6!$B$600:$B$626)*0.1</f>
        <v>0</v>
      </c>
      <c r="V547" s="6" t="e">
        <f t="shared" si="34"/>
        <v>#DIV/0!</v>
      </c>
      <c r="W547" s="6" t="e">
        <f t="shared" si="35"/>
        <v>#DIV/0!</v>
      </c>
    </row>
    <row r="548" spans="1:23" ht="24.75" customHeight="1">
      <c r="A548" s="5"/>
      <c r="B548" s="5"/>
      <c r="C548" s="5"/>
      <c r="D548" s="5"/>
      <c r="E548" s="30"/>
      <c r="F548" s="5"/>
      <c r="G548" s="5"/>
      <c r="H548" s="5"/>
      <c r="I548" s="5"/>
      <c r="J548" s="5"/>
      <c r="K548" s="5"/>
      <c r="L548" s="5"/>
      <c r="M548" s="5"/>
      <c r="N548" s="13" t="e">
        <f t="shared" si="33"/>
        <v>#DIV/0!</v>
      </c>
      <c r="O548" s="6" t="e">
        <f>LOOKUP(N548,Sheet6!$J$4:$J$11,Sheet6!$B$4:$B$11)*0.15</f>
        <v>#DIV/0!</v>
      </c>
      <c r="P548" s="14" t="e">
        <f>LOOKUP(H548,Sheet6!$J$25:$J$66,Sheet6!$B$25:$B$66)*0.15</f>
        <v>#N/A</v>
      </c>
      <c r="Q548" s="6" t="e">
        <f>LOOKUP(I548,Sheet6!$J$115:$J$156,Sheet6!$B$115:$B$156)*0.2</f>
        <v>#N/A</v>
      </c>
      <c r="R548" s="6" t="e">
        <f>LOOKUP(J548,Sheet6!$D$465:$D$506,Sheet6!$B$465:$B$506)*0.1</f>
        <v>#N/A</v>
      </c>
      <c r="S548" s="6">
        <f>LOOKUP(K548,Sheet6!$J$205:$J$246,Sheet6!$B$205:$B$246)*0.1</f>
        <v>6.2</v>
      </c>
      <c r="T548" s="6" t="e">
        <f>LOOKUP(L548,Sheet6!$F$688:$F$749,Sheet6!$B$688:$B$749)*0.2</f>
        <v>#N/A</v>
      </c>
      <c r="U548" s="6">
        <f>LOOKUP(M548,Sheet6!$D$600:$D$626,Sheet6!$B$600:$B$626)*0.1</f>
        <v>0</v>
      </c>
      <c r="V548" s="6" t="e">
        <f t="shared" si="34"/>
        <v>#DIV/0!</v>
      </c>
      <c r="W548" s="6" t="e">
        <f t="shared" si="35"/>
        <v>#DIV/0!</v>
      </c>
    </row>
    <row r="549" spans="1:23" ht="24.75" customHeight="1">
      <c r="A549" s="5"/>
      <c r="B549" s="5"/>
      <c r="C549" s="5"/>
      <c r="D549" s="5"/>
      <c r="E549" s="30"/>
      <c r="F549" s="5"/>
      <c r="G549" s="5"/>
      <c r="H549" s="5"/>
      <c r="I549" s="5"/>
      <c r="J549" s="5"/>
      <c r="K549" s="5"/>
      <c r="L549" s="5"/>
      <c r="M549" s="5"/>
      <c r="N549" s="13" t="e">
        <f t="shared" si="33"/>
        <v>#DIV/0!</v>
      </c>
      <c r="O549" s="6" t="e">
        <f>LOOKUP(N549,Sheet6!$J$4:$J$11,Sheet6!$B$4:$B$11)*0.15</f>
        <v>#DIV/0!</v>
      </c>
      <c r="P549" s="14" t="e">
        <f>LOOKUP(H549,Sheet6!$J$25:$J$66,Sheet6!$B$25:$B$66)*0.15</f>
        <v>#N/A</v>
      </c>
      <c r="Q549" s="6" t="e">
        <f>LOOKUP(I549,Sheet6!$J$115:$J$156,Sheet6!$B$115:$B$156)*0.2</f>
        <v>#N/A</v>
      </c>
      <c r="R549" s="6" t="e">
        <f>LOOKUP(J549,Sheet6!$D$465:$D$506,Sheet6!$B$465:$B$506)*0.1</f>
        <v>#N/A</v>
      </c>
      <c r="S549" s="6">
        <f>LOOKUP(K549,Sheet6!$J$205:$J$246,Sheet6!$B$205:$B$246)*0.1</f>
        <v>6.2</v>
      </c>
      <c r="T549" s="6" t="e">
        <f>LOOKUP(L549,Sheet6!$F$688:$F$749,Sheet6!$B$688:$B$749)*0.2</f>
        <v>#N/A</v>
      </c>
      <c r="U549" s="6">
        <f>LOOKUP(M549,Sheet6!$D$600:$D$626,Sheet6!$B$600:$B$626)*0.1</f>
        <v>0</v>
      </c>
      <c r="V549" s="6" t="e">
        <f t="shared" si="34"/>
        <v>#DIV/0!</v>
      </c>
      <c r="W549" s="6" t="e">
        <f t="shared" si="35"/>
        <v>#DIV/0!</v>
      </c>
    </row>
    <row r="550" spans="1:23" ht="24.75" customHeight="1">
      <c r="A550" s="5"/>
      <c r="B550" s="5"/>
      <c r="C550" s="5"/>
      <c r="D550" s="5"/>
      <c r="E550" s="30"/>
      <c r="F550" s="5"/>
      <c r="G550" s="5"/>
      <c r="H550" s="5"/>
      <c r="I550" s="5"/>
      <c r="J550" s="5"/>
      <c r="K550" s="5"/>
      <c r="L550" s="5"/>
      <c r="M550" s="5"/>
      <c r="N550" s="13" t="e">
        <f t="shared" si="33"/>
        <v>#DIV/0!</v>
      </c>
      <c r="O550" s="6" t="e">
        <f>LOOKUP(N550,Sheet6!$J$4:$J$11,Sheet6!$B$4:$B$11)*0.15</f>
        <v>#DIV/0!</v>
      </c>
      <c r="P550" s="14" t="e">
        <f>LOOKUP(H550,Sheet6!$J$25:$J$66,Sheet6!$B$25:$B$66)*0.15</f>
        <v>#N/A</v>
      </c>
      <c r="Q550" s="6" t="e">
        <f>LOOKUP(I550,Sheet6!$J$115:$J$156,Sheet6!$B$115:$B$156)*0.2</f>
        <v>#N/A</v>
      </c>
      <c r="R550" s="6" t="e">
        <f>LOOKUP(J550,Sheet6!$D$465:$D$506,Sheet6!$B$465:$B$506)*0.1</f>
        <v>#N/A</v>
      </c>
      <c r="S550" s="6">
        <f>LOOKUP(K550,Sheet6!$J$205:$J$246,Sheet6!$B$205:$B$246)*0.1</f>
        <v>6.2</v>
      </c>
      <c r="T550" s="6" t="e">
        <f>LOOKUP(L550,Sheet6!$F$688:$F$749,Sheet6!$B$688:$B$749)*0.2</f>
        <v>#N/A</v>
      </c>
      <c r="U550" s="6">
        <f>LOOKUP(M550,Sheet6!$D$600:$D$626,Sheet6!$B$600:$B$626)*0.1</f>
        <v>0</v>
      </c>
      <c r="V550" s="6" t="e">
        <f t="shared" si="34"/>
        <v>#DIV/0!</v>
      </c>
      <c r="W550" s="6" t="e">
        <f t="shared" si="35"/>
        <v>#DIV/0!</v>
      </c>
    </row>
    <row r="551" spans="1:23" ht="24.75" customHeight="1">
      <c r="A551" s="5"/>
      <c r="B551" s="5"/>
      <c r="C551" s="5"/>
      <c r="D551" s="5"/>
      <c r="E551" s="30"/>
      <c r="F551" s="5"/>
      <c r="G551" s="5"/>
      <c r="H551" s="5"/>
      <c r="I551" s="5"/>
      <c r="J551" s="5"/>
      <c r="K551" s="5"/>
      <c r="L551" s="5"/>
      <c r="M551" s="5"/>
      <c r="N551" s="13" t="e">
        <f t="shared" si="33"/>
        <v>#DIV/0!</v>
      </c>
      <c r="O551" s="6" t="e">
        <f>LOOKUP(N551,Sheet6!$J$4:$J$11,Sheet6!$B$4:$B$11)*0.15</f>
        <v>#DIV/0!</v>
      </c>
      <c r="P551" s="14" t="e">
        <f>LOOKUP(H551,Sheet6!$J$25:$J$66,Sheet6!$B$25:$B$66)*0.15</f>
        <v>#N/A</v>
      </c>
      <c r="Q551" s="6" t="e">
        <f>LOOKUP(I551,Sheet6!$J$115:$J$156,Sheet6!$B$115:$B$156)*0.2</f>
        <v>#N/A</v>
      </c>
      <c r="R551" s="6" t="e">
        <f>LOOKUP(J551,Sheet6!$D$465:$D$506,Sheet6!$B$465:$B$506)*0.1</f>
        <v>#N/A</v>
      </c>
      <c r="S551" s="6">
        <f>LOOKUP(K551,Sheet6!$J$205:$J$246,Sheet6!$B$205:$B$246)*0.1</f>
        <v>6.2</v>
      </c>
      <c r="T551" s="6" t="e">
        <f>LOOKUP(L551,Sheet6!$F$688:$F$749,Sheet6!$B$688:$B$749)*0.2</f>
        <v>#N/A</v>
      </c>
      <c r="U551" s="6">
        <f>LOOKUP(M551,Sheet6!$D$600:$D$626,Sheet6!$B$600:$B$626)*0.1</f>
        <v>0</v>
      </c>
      <c r="V551" s="6" t="e">
        <f t="shared" si="34"/>
        <v>#DIV/0!</v>
      </c>
      <c r="W551" s="6" t="e">
        <f t="shared" si="35"/>
        <v>#DIV/0!</v>
      </c>
    </row>
    <row r="552" spans="1:23" ht="24.75" customHeight="1">
      <c r="A552" s="5"/>
      <c r="B552" s="5"/>
      <c r="C552" s="5"/>
      <c r="D552" s="5"/>
      <c r="E552" s="30"/>
      <c r="F552" s="5"/>
      <c r="G552" s="5"/>
      <c r="H552" s="5"/>
      <c r="I552" s="5"/>
      <c r="J552" s="5"/>
      <c r="K552" s="5"/>
      <c r="L552" s="5"/>
      <c r="M552" s="5"/>
      <c r="N552" s="13" t="e">
        <f t="shared" si="33"/>
        <v>#DIV/0!</v>
      </c>
      <c r="O552" s="6" t="e">
        <f>LOOKUP(N552,Sheet6!$J$4:$J$11,Sheet6!$B$4:$B$11)*0.15</f>
        <v>#DIV/0!</v>
      </c>
      <c r="P552" s="14" t="e">
        <f>LOOKUP(H552,Sheet6!$J$25:$J$66,Sheet6!$B$25:$B$66)*0.15</f>
        <v>#N/A</v>
      </c>
      <c r="Q552" s="6" t="e">
        <f>LOOKUP(I552,Sheet6!$J$115:$J$156,Sheet6!$B$115:$B$156)*0.2</f>
        <v>#N/A</v>
      </c>
      <c r="R552" s="6" t="e">
        <f>LOOKUP(J552,Sheet6!$D$465:$D$506,Sheet6!$B$465:$B$506)*0.1</f>
        <v>#N/A</v>
      </c>
      <c r="S552" s="6">
        <f>LOOKUP(K552,Sheet6!$J$205:$J$246,Sheet6!$B$205:$B$246)*0.1</f>
        <v>6.2</v>
      </c>
      <c r="T552" s="6" t="e">
        <f>LOOKUP(L552,Sheet6!$F$688:$F$749,Sheet6!$B$688:$B$749)*0.2</f>
        <v>#N/A</v>
      </c>
      <c r="U552" s="6">
        <f>LOOKUP(M552,Sheet6!$D$600:$D$626,Sheet6!$B$600:$B$626)*0.1</f>
        <v>0</v>
      </c>
      <c r="V552" s="6" t="e">
        <f t="shared" si="34"/>
        <v>#DIV/0!</v>
      </c>
      <c r="W552" s="6" t="e">
        <f t="shared" si="35"/>
        <v>#DIV/0!</v>
      </c>
    </row>
    <row r="553" spans="1:23" ht="24.75" customHeight="1">
      <c r="A553" s="5"/>
      <c r="B553" s="5"/>
      <c r="C553" s="5"/>
      <c r="D553" s="5"/>
      <c r="E553" s="30"/>
      <c r="F553" s="5"/>
      <c r="G553" s="5"/>
      <c r="H553" s="5"/>
      <c r="I553" s="5"/>
      <c r="J553" s="5"/>
      <c r="K553" s="5"/>
      <c r="L553" s="5"/>
      <c r="M553" s="5"/>
      <c r="N553" s="13" t="e">
        <f t="shared" si="33"/>
        <v>#DIV/0!</v>
      </c>
      <c r="O553" s="6" t="e">
        <f>LOOKUP(N553,Sheet6!$J$4:$J$11,Sheet6!$B$4:$B$11)*0.15</f>
        <v>#DIV/0!</v>
      </c>
      <c r="P553" s="14" t="e">
        <f>LOOKUP(H553,Sheet6!$J$25:$J$66,Sheet6!$B$25:$B$66)*0.15</f>
        <v>#N/A</v>
      </c>
      <c r="Q553" s="6" t="e">
        <f>LOOKUP(I553,Sheet6!$J$115:$J$156,Sheet6!$B$115:$B$156)*0.2</f>
        <v>#N/A</v>
      </c>
      <c r="R553" s="6" t="e">
        <f>LOOKUP(J553,Sheet6!$D$465:$D$506,Sheet6!$B$465:$B$506)*0.1</f>
        <v>#N/A</v>
      </c>
      <c r="S553" s="6">
        <f>LOOKUP(K553,Sheet6!$J$205:$J$246,Sheet6!$B$205:$B$246)*0.1</f>
        <v>6.2</v>
      </c>
      <c r="T553" s="6" t="e">
        <f>LOOKUP(L553,Sheet6!$F$688:$F$749,Sheet6!$B$688:$B$749)*0.2</f>
        <v>#N/A</v>
      </c>
      <c r="U553" s="6">
        <f>LOOKUP(M553,Sheet6!$D$600:$D$626,Sheet6!$B$600:$B$626)*0.1</f>
        <v>0</v>
      </c>
      <c r="V553" s="6" t="e">
        <f t="shared" si="34"/>
        <v>#DIV/0!</v>
      </c>
      <c r="W553" s="6" t="e">
        <f t="shared" si="35"/>
        <v>#DIV/0!</v>
      </c>
    </row>
    <row r="554" spans="1:23" ht="24.75" customHeight="1">
      <c r="A554" s="5"/>
      <c r="B554" s="5"/>
      <c r="C554" s="5"/>
      <c r="D554" s="5"/>
      <c r="E554" s="30"/>
      <c r="F554" s="5"/>
      <c r="G554" s="5"/>
      <c r="H554" s="5"/>
      <c r="I554" s="5"/>
      <c r="J554" s="5"/>
      <c r="K554" s="5"/>
      <c r="L554" s="5"/>
      <c r="M554" s="5"/>
      <c r="N554" s="13" t="e">
        <f t="shared" si="33"/>
        <v>#DIV/0!</v>
      </c>
      <c r="O554" s="6" t="e">
        <f>LOOKUP(N554,Sheet6!$J$4:$J$11,Sheet6!$B$4:$B$11)*0.15</f>
        <v>#DIV/0!</v>
      </c>
      <c r="P554" s="14" t="e">
        <f>LOOKUP(H554,Sheet6!$J$25:$J$66,Sheet6!$B$25:$B$66)*0.15</f>
        <v>#N/A</v>
      </c>
      <c r="Q554" s="6" t="e">
        <f>LOOKUP(I554,Sheet6!$J$115:$J$156,Sheet6!$B$115:$B$156)*0.2</f>
        <v>#N/A</v>
      </c>
      <c r="R554" s="6" t="e">
        <f>LOOKUP(J554,Sheet6!$D$465:$D$506,Sheet6!$B$465:$B$506)*0.1</f>
        <v>#N/A</v>
      </c>
      <c r="S554" s="6">
        <f>LOOKUP(K554,Sheet6!$J$205:$J$246,Sheet6!$B$205:$B$246)*0.1</f>
        <v>6.2</v>
      </c>
      <c r="T554" s="6" t="e">
        <f>LOOKUP(L554,Sheet6!$F$688:$F$749,Sheet6!$B$688:$B$749)*0.2</f>
        <v>#N/A</v>
      </c>
      <c r="U554" s="6">
        <f>LOOKUP(M554,Sheet6!$D$600:$D$626,Sheet6!$B$600:$B$626)*0.1</f>
        <v>0</v>
      </c>
      <c r="V554" s="6" t="e">
        <f t="shared" si="34"/>
        <v>#DIV/0!</v>
      </c>
      <c r="W554" s="6" t="e">
        <f t="shared" si="35"/>
        <v>#DIV/0!</v>
      </c>
    </row>
    <row r="555" spans="1:23" ht="24.75" customHeight="1">
      <c r="A555" s="5"/>
      <c r="B555" s="5"/>
      <c r="C555" s="5"/>
      <c r="D555" s="5"/>
      <c r="E555" s="30"/>
      <c r="F555" s="5"/>
      <c r="G555" s="5"/>
      <c r="H555" s="5"/>
      <c r="I555" s="5"/>
      <c r="J555" s="5"/>
      <c r="K555" s="5"/>
      <c r="L555" s="5"/>
      <c r="M555" s="5"/>
      <c r="N555" s="13" t="e">
        <f t="shared" si="33"/>
        <v>#DIV/0!</v>
      </c>
      <c r="O555" s="6" t="e">
        <f>LOOKUP(N555,Sheet6!$J$4:$J$11,Sheet6!$B$4:$B$11)*0.15</f>
        <v>#DIV/0!</v>
      </c>
      <c r="P555" s="14" t="e">
        <f>LOOKUP(H555,Sheet6!$J$25:$J$66,Sheet6!$B$25:$B$66)*0.15</f>
        <v>#N/A</v>
      </c>
      <c r="Q555" s="6" t="e">
        <f>LOOKUP(I555,Sheet6!$J$115:$J$156,Sheet6!$B$115:$B$156)*0.2</f>
        <v>#N/A</v>
      </c>
      <c r="R555" s="6" t="e">
        <f>LOOKUP(J555,Sheet6!$D$465:$D$506,Sheet6!$B$465:$B$506)*0.1</f>
        <v>#N/A</v>
      </c>
      <c r="S555" s="6">
        <f>LOOKUP(K555,Sheet6!$J$205:$J$246,Sheet6!$B$205:$B$246)*0.1</f>
        <v>6.2</v>
      </c>
      <c r="T555" s="6" t="e">
        <f>LOOKUP(L555,Sheet6!$F$688:$F$749,Sheet6!$B$688:$B$749)*0.2</f>
        <v>#N/A</v>
      </c>
      <c r="U555" s="6">
        <f>LOOKUP(M555,Sheet6!$D$600:$D$626,Sheet6!$B$600:$B$626)*0.1</f>
        <v>0</v>
      </c>
      <c r="V555" s="6" t="e">
        <f t="shared" si="34"/>
        <v>#DIV/0!</v>
      </c>
      <c r="W555" s="6" t="e">
        <f t="shared" si="35"/>
        <v>#DIV/0!</v>
      </c>
    </row>
    <row r="556" spans="1:23" ht="24.75" customHeight="1">
      <c r="A556" s="5"/>
      <c r="B556" s="5"/>
      <c r="C556" s="5"/>
      <c r="D556" s="5"/>
      <c r="E556" s="30"/>
      <c r="F556" s="5"/>
      <c r="G556" s="5"/>
      <c r="H556" s="5"/>
      <c r="I556" s="5"/>
      <c r="J556" s="5"/>
      <c r="K556" s="5"/>
      <c r="L556" s="5"/>
      <c r="M556" s="5"/>
      <c r="N556" s="13" t="e">
        <f t="shared" si="33"/>
        <v>#DIV/0!</v>
      </c>
      <c r="O556" s="6" t="e">
        <f>LOOKUP(N556,Sheet6!$J$4:$J$11,Sheet6!$B$4:$B$11)*0.15</f>
        <v>#DIV/0!</v>
      </c>
      <c r="P556" s="14" t="e">
        <f>LOOKUP(H556,Sheet6!$J$25:$J$66,Sheet6!$B$25:$B$66)*0.15</f>
        <v>#N/A</v>
      </c>
      <c r="Q556" s="6" t="e">
        <f>LOOKUP(I556,Sheet6!$J$115:$J$156,Sheet6!$B$115:$B$156)*0.2</f>
        <v>#N/A</v>
      </c>
      <c r="R556" s="6" t="e">
        <f>LOOKUP(J556,Sheet6!$D$465:$D$506,Sheet6!$B$465:$B$506)*0.1</f>
        <v>#N/A</v>
      </c>
      <c r="S556" s="6">
        <f>LOOKUP(K556,Sheet6!$J$205:$J$246,Sheet6!$B$205:$B$246)*0.1</f>
        <v>6.2</v>
      </c>
      <c r="T556" s="6" t="e">
        <f>LOOKUP(L556,Sheet6!$F$688:$F$749,Sheet6!$B$688:$B$749)*0.2</f>
        <v>#N/A</v>
      </c>
      <c r="U556" s="6">
        <f>LOOKUP(M556,Sheet6!$D$600:$D$626,Sheet6!$B$600:$B$626)*0.1</f>
        <v>0</v>
      </c>
      <c r="V556" s="6" t="e">
        <f t="shared" si="34"/>
        <v>#DIV/0!</v>
      </c>
      <c r="W556" s="6" t="e">
        <f t="shared" si="35"/>
        <v>#DIV/0!</v>
      </c>
    </row>
    <row r="557" spans="1:23" ht="24.75" customHeight="1">
      <c r="A557" s="5"/>
      <c r="B557" s="5"/>
      <c r="C557" s="5"/>
      <c r="D557" s="5"/>
      <c r="E557" s="30"/>
      <c r="F557" s="5"/>
      <c r="G557" s="5"/>
      <c r="H557" s="5"/>
      <c r="I557" s="5"/>
      <c r="J557" s="5"/>
      <c r="K557" s="5"/>
      <c r="L557" s="5"/>
      <c r="M557" s="5"/>
      <c r="N557" s="13" t="e">
        <f t="shared" si="33"/>
        <v>#DIV/0!</v>
      </c>
      <c r="O557" s="6" t="e">
        <f>LOOKUP(N557,Sheet6!$J$4:$J$11,Sheet6!$B$4:$B$11)*0.15</f>
        <v>#DIV/0!</v>
      </c>
      <c r="P557" s="14" t="e">
        <f>LOOKUP(H557,Sheet6!$J$25:$J$66,Sheet6!$B$25:$B$66)*0.15</f>
        <v>#N/A</v>
      </c>
      <c r="Q557" s="6" t="e">
        <f>LOOKUP(I557,Sheet6!$J$115:$J$156,Sheet6!$B$115:$B$156)*0.2</f>
        <v>#N/A</v>
      </c>
      <c r="R557" s="6" t="e">
        <f>LOOKUP(J557,Sheet6!$D$465:$D$506,Sheet6!$B$465:$B$506)*0.1</f>
        <v>#N/A</v>
      </c>
      <c r="S557" s="6">
        <f>LOOKUP(K557,Sheet6!$J$205:$J$246,Sheet6!$B$205:$B$246)*0.1</f>
        <v>6.2</v>
      </c>
      <c r="T557" s="6" t="e">
        <f>LOOKUP(L557,Sheet6!$F$688:$F$749,Sheet6!$B$688:$B$749)*0.2</f>
        <v>#N/A</v>
      </c>
      <c r="U557" s="6">
        <f>LOOKUP(M557,Sheet6!$D$600:$D$626,Sheet6!$B$600:$B$626)*0.1</f>
        <v>0</v>
      </c>
      <c r="V557" s="6" t="e">
        <f t="shared" si="34"/>
        <v>#DIV/0!</v>
      </c>
      <c r="W557" s="6" t="e">
        <f t="shared" si="35"/>
        <v>#DIV/0!</v>
      </c>
    </row>
    <row r="558" spans="1:23" ht="24.75" customHeight="1">
      <c r="A558" s="5"/>
      <c r="B558" s="5"/>
      <c r="C558" s="5"/>
      <c r="D558" s="5"/>
      <c r="E558" s="30"/>
      <c r="F558" s="5"/>
      <c r="G558" s="5"/>
      <c r="H558" s="5"/>
      <c r="I558" s="5"/>
      <c r="J558" s="5"/>
      <c r="K558" s="5"/>
      <c r="L558" s="5"/>
      <c r="M558" s="5"/>
      <c r="N558" s="13" t="e">
        <f t="shared" si="33"/>
        <v>#DIV/0!</v>
      </c>
      <c r="O558" s="6" t="e">
        <f>LOOKUP(N558,Sheet6!$J$4:$J$11,Sheet6!$B$4:$B$11)*0.15</f>
        <v>#DIV/0!</v>
      </c>
      <c r="P558" s="14" t="e">
        <f>LOOKUP(H558,Sheet6!$J$25:$J$66,Sheet6!$B$25:$B$66)*0.15</f>
        <v>#N/A</v>
      </c>
      <c r="Q558" s="6" t="e">
        <f>LOOKUP(I558,Sheet6!$J$115:$J$156,Sheet6!$B$115:$B$156)*0.2</f>
        <v>#N/A</v>
      </c>
      <c r="R558" s="6" t="e">
        <f>LOOKUP(J558,Sheet6!$D$465:$D$506,Sheet6!$B$465:$B$506)*0.1</f>
        <v>#N/A</v>
      </c>
      <c r="S558" s="6">
        <f>LOOKUP(K558,Sheet6!$J$205:$J$246,Sheet6!$B$205:$B$246)*0.1</f>
        <v>6.2</v>
      </c>
      <c r="T558" s="6" t="e">
        <f>LOOKUP(L558,Sheet6!$F$688:$F$749,Sheet6!$B$688:$B$749)*0.2</f>
        <v>#N/A</v>
      </c>
      <c r="U558" s="6">
        <f>LOOKUP(M558,Sheet6!$D$600:$D$626,Sheet6!$B$600:$B$626)*0.1</f>
        <v>0</v>
      </c>
      <c r="V558" s="6" t="e">
        <f t="shared" si="34"/>
        <v>#DIV/0!</v>
      </c>
      <c r="W558" s="6" t="e">
        <f t="shared" si="35"/>
        <v>#DIV/0!</v>
      </c>
    </row>
    <row r="559" spans="1:23" ht="24.75" customHeight="1">
      <c r="A559" s="5"/>
      <c r="B559" s="5"/>
      <c r="C559" s="5"/>
      <c r="D559" s="5"/>
      <c r="E559" s="30"/>
      <c r="F559" s="5"/>
      <c r="G559" s="5"/>
      <c r="H559" s="5"/>
      <c r="I559" s="5"/>
      <c r="J559" s="5"/>
      <c r="K559" s="5"/>
      <c r="L559" s="5"/>
      <c r="M559" s="5"/>
      <c r="N559" s="13" t="e">
        <f t="shared" si="33"/>
        <v>#DIV/0!</v>
      </c>
      <c r="O559" s="6" t="e">
        <f>LOOKUP(N559,Sheet6!$J$4:$J$11,Sheet6!$B$4:$B$11)*0.15</f>
        <v>#DIV/0!</v>
      </c>
      <c r="P559" s="14" t="e">
        <f>LOOKUP(H559,Sheet6!$J$25:$J$66,Sheet6!$B$25:$B$66)*0.15</f>
        <v>#N/A</v>
      </c>
      <c r="Q559" s="6" t="e">
        <f>LOOKUP(I559,Sheet6!$J$115:$J$156,Sheet6!$B$115:$B$156)*0.2</f>
        <v>#N/A</v>
      </c>
      <c r="R559" s="6" t="e">
        <f>LOOKUP(J559,Sheet6!$D$465:$D$506,Sheet6!$B$465:$B$506)*0.1</f>
        <v>#N/A</v>
      </c>
      <c r="S559" s="6">
        <f>LOOKUP(K559,Sheet6!$J$205:$J$246,Sheet6!$B$205:$B$246)*0.1</f>
        <v>6.2</v>
      </c>
      <c r="T559" s="6" t="e">
        <f>LOOKUP(L559,Sheet6!$F$688:$F$749,Sheet6!$B$688:$B$749)*0.2</f>
        <v>#N/A</v>
      </c>
      <c r="U559" s="6">
        <f>LOOKUP(M559,Sheet6!$D$600:$D$626,Sheet6!$B$600:$B$626)*0.1</f>
        <v>0</v>
      </c>
      <c r="V559" s="6" t="e">
        <f t="shared" si="34"/>
        <v>#DIV/0!</v>
      </c>
      <c r="W559" s="6" t="e">
        <f t="shared" si="35"/>
        <v>#DIV/0!</v>
      </c>
    </row>
    <row r="560" spans="1:23" ht="24.75" customHeight="1">
      <c r="A560" s="5"/>
      <c r="B560" s="5"/>
      <c r="C560" s="5"/>
      <c r="D560" s="5"/>
      <c r="E560" s="30"/>
      <c r="F560" s="5"/>
      <c r="G560" s="5"/>
      <c r="H560" s="5"/>
      <c r="I560" s="5"/>
      <c r="J560" s="5"/>
      <c r="K560" s="5"/>
      <c r="L560" s="5"/>
      <c r="M560" s="5"/>
      <c r="N560" s="13" t="e">
        <f t="shared" si="33"/>
        <v>#DIV/0!</v>
      </c>
      <c r="O560" s="6" t="e">
        <f>LOOKUP(N560,Sheet6!$J$4:$J$11,Sheet6!$B$4:$B$11)*0.15</f>
        <v>#DIV/0!</v>
      </c>
      <c r="P560" s="14" t="e">
        <f>LOOKUP(H560,Sheet6!$J$25:$J$66,Sheet6!$B$25:$B$66)*0.15</f>
        <v>#N/A</v>
      </c>
      <c r="Q560" s="6" t="e">
        <f>LOOKUP(I560,Sheet6!$J$115:$J$156,Sheet6!$B$115:$B$156)*0.2</f>
        <v>#N/A</v>
      </c>
      <c r="R560" s="6" t="e">
        <f>LOOKUP(J560,Sheet6!$D$465:$D$506,Sheet6!$B$465:$B$506)*0.1</f>
        <v>#N/A</v>
      </c>
      <c r="S560" s="6">
        <f>LOOKUP(K560,Sheet6!$J$205:$J$246,Sheet6!$B$205:$B$246)*0.1</f>
        <v>6.2</v>
      </c>
      <c r="T560" s="6" t="e">
        <f>LOOKUP(L560,Sheet6!$F$688:$F$749,Sheet6!$B$688:$B$749)*0.2</f>
        <v>#N/A</v>
      </c>
      <c r="U560" s="6">
        <f>LOOKUP(M560,Sheet6!$D$600:$D$626,Sheet6!$B$600:$B$626)*0.1</f>
        <v>0</v>
      </c>
      <c r="V560" s="6" t="e">
        <f t="shared" si="34"/>
        <v>#DIV/0!</v>
      </c>
      <c r="W560" s="6" t="e">
        <f t="shared" si="35"/>
        <v>#DIV/0!</v>
      </c>
    </row>
    <row r="561" spans="1:23" ht="24.75" customHeight="1">
      <c r="A561" s="5"/>
      <c r="B561" s="5"/>
      <c r="C561" s="5"/>
      <c r="D561" s="5"/>
      <c r="E561" s="30"/>
      <c r="F561" s="5"/>
      <c r="G561" s="5"/>
      <c r="H561" s="5"/>
      <c r="I561" s="5"/>
      <c r="J561" s="5"/>
      <c r="K561" s="5"/>
      <c r="L561" s="5"/>
      <c r="M561" s="5"/>
      <c r="N561" s="13" t="e">
        <f t="shared" si="33"/>
        <v>#DIV/0!</v>
      </c>
      <c r="O561" s="6" t="e">
        <f>LOOKUP(N561,Sheet6!$J$4:$J$11,Sheet6!$B$4:$B$11)*0.15</f>
        <v>#DIV/0!</v>
      </c>
      <c r="P561" s="14" t="e">
        <f>LOOKUP(H561,Sheet6!$J$25:$J$66,Sheet6!$B$25:$B$66)*0.15</f>
        <v>#N/A</v>
      </c>
      <c r="Q561" s="6" t="e">
        <f>LOOKUP(I561,Sheet6!$J$115:$J$156,Sheet6!$B$115:$B$156)*0.2</f>
        <v>#N/A</v>
      </c>
      <c r="R561" s="6" t="e">
        <f>LOOKUP(J561,Sheet6!$D$465:$D$506,Sheet6!$B$465:$B$506)*0.1</f>
        <v>#N/A</v>
      </c>
      <c r="S561" s="6">
        <f>LOOKUP(K561,Sheet6!$J$205:$J$246,Sheet6!$B$205:$B$246)*0.1</f>
        <v>6.2</v>
      </c>
      <c r="T561" s="6" t="e">
        <f>LOOKUP(L561,Sheet6!$F$688:$F$749,Sheet6!$B$688:$B$749)*0.2</f>
        <v>#N/A</v>
      </c>
      <c r="U561" s="6">
        <f>LOOKUP(M561,Sheet6!$D$600:$D$626,Sheet6!$B$600:$B$626)*0.1</f>
        <v>0</v>
      </c>
      <c r="V561" s="6" t="e">
        <f t="shared" si="34"/>
        <v>#DIV/0!</v>
      </c>
      <c r="W561" s="6" t="e">
        <f t="shared" si="35"/>
        <v>#DIV/0!</v>
      </c>
    </row>
    <row r="562" spans="1:23" ht="24.75" customHeight="1">
      <c r="A562" s="5"/>
      <c r="B562" s="5"/>
      <c r="C562" s="5"/>
      <c r="D562" s="5"/>
      <c r="E562" s="30"/>
      <c r="F562" s="5"/>
      <c r="G562" s="5"/>
      <c r="H562" s="5"/>
      <c r="I562" s="5"/>
      <c r="J562" s="5"/>
      <c r="K562" s="5"/>
      <c r="L562" s="5"/>
      <c r="M562" s="5"/>
      <c r="N562" s="13" t="e">
        <f t="shared" si="33"/>
        <v>#DIV/0!</v>
      </c>
      <c r="O562" s="6" t="e">
        <f>LOOKUP(N562,Sheet6!$J$4:$J$11,Sheet6!$B$4:$B$11)*0.15</f>
        <v>#DIV/0!</v>
      </c>
      <c r="P562" s="14" t="e">
        <f>LOOKUP(H562,Sheet6!$J$25:$J$66,Sheet6!$B$25:$B$66)*0.15</f>
        <v>#N/A</v>
      </c>
      <c r="Q562" s="6" t="e">
        <f>LOOKUP(I562,Sheet6!$J$115:$J$156,Sheet6!$B$115:$B$156)*0.2</f>
        <v>#N/A</v>
      </c>
      <c r="R562" s="6" t="e">
        <f>LOOKUP(J562,Sheet6!$D$465:$D$506,Sheet6!$B$465:$B$506)*0.1</f>
        <v>#N/A</v>
      </c>
      <c r="S562" s="6">
        <f>LOOKUP(K562,Sheet6!$J$205:$J$246,Sheet6!$B$205:$B$246)*0.1</f>
        <v>6.2</v>
      </c>
      <c r="T562" s="6" t="e">
        <f>LOOKUP(L562,Sheet6!$F$688:$F$749,Sheet6!$B$688:$B$749)*0.2</f>
        <v>#N/A</v>
      </c>
      <c r="U562" s="6">
        <f>LOOKUP(M562,Sheet6!$D$600:$D$626,Sheet6!$B$600:$B$626)*0.1</f>
        <v>0</v>
      </c>
      <c r="V562" s="6" t="e">
        <f t="shared" si="34"/>
        <v>#DIV/0!</v>
      </c>
      <c r="W562" s="6" t="e">
        <f t="shared" si="35"/>
        <v>#DIV/0!</v>
      </c>
    </row>
    <row r="563" spans="1:23" ht="24.75" customHeight="1">
      <c r="A563" s="5"/>
      <c r="B563" s="5"/>
      <c r="C563" s="5"/>
      <c r="D563" s="5"/>
      <c r="E563" s="30"/>
      <c r="F563" s="5"/>
      <c r="G563" s="5"/>
      <c r="H563" s="5"/>
      <c r="I563" s="5"/>
      <c r="J563" s="5"/>
      <c r="K563" s="5"/>
      <c r="L563" s="5"/>
      <c r="M563" s="5"/>
      <c r="N563" s="13" t="e">
        <f t="shared" si="33"/>
        <v>#DIV/0!</v>
      </c>
      <c r="O563" s="6" t="e">
        <f>LOOKUP(N563,Sheet6!$J$4:$J$11,Sheet6!$B$4:$B$11)*0.15</f>
        <v>#DIV/0!</v>
      </c>
      <c r="P563" s="14" t="e">
        <f>LOOKUP(H563,Sheet6!$J$25:$J$66,Sheet6!$B$25:$B$66)*0.15</f>
        <v>#N/A</v>
      </c>
      <c r="Q563" s="6" t="e">
        <f>LOOKUP(I563,Sheet6!$J$115:$J$156,Sheet6!$B$115:$B$156)*0.2</f>
        <v>#N/A</v>
      </c>
      <c r="R563" s="6" t="e">
        <f>LOOKUP(J563,Sheet6!$D$465:$D$506,Sheet6!$B$465:$B$506)*0.1</f>
        <v>#N/A</v>
      </c>
      <c r="S563" s="6">
        <f>LOOKUP(K563,Sheet6!$J$205:$J$246,Sheet6!$B$205:$B$246)*0.1</f>
        <v>6.2</v>
      </c>
      <c r="T563" s="6" t="e">
        <f>LOOKUP(L563,Sheet6!$F$688:$F$749,Sheet6!$B$688:$B$749)*0.2</f>
        <v>#N/A</v>
      </c>
      <c r="U563" s="6">
        <f>LOOKUP(M563,Sheet6!$D$600:$D$626,Sheet6!$B$600:$B$626)*0.1</f>
        <v>0</v>
      </c>
      <c r="V563" s="6" t="e">
        <f t="shared" si="34"/>
        <v>#DIV/0!</v>
      </c>
      <c r="W563" s="6" t="e">
        <f t="shared" si="35"/>
        <v>#DIV/0!</v>
      </c>
    </row>
    <row r="564" spans="1:23" ht="24.75" customHeight="1">
      <c r="A564" s="5"/>
      <c r="B564" s="5"/>
      <c r="C564" s="5"/>
      <c r="D564" s="5"/>
      <c r="E564" s="30"/>
      <c r="F564" s="5"/>
      <c r="G564" s="5"/>
      <c r="H564" s="5"/>
      <c r="I564" s="5"/>
      <c r="J564" s="5"/>
      <c r="K564" s="5"/>
      <c r="L564" s="5"/>
      <c r="M564" s="5"/>
      <c r="N564" s="13" t="e">
        <f t="shared" si="33"/>
        <v>#DIV/0!</v>
      </c>
      <c r="O564" s="6" t="e">
        <f>LOOKUP(N564,Sheet6!$J$4:$J$11,Sheet6!$B$4:$B$11)*0.15</f>
        <v>#DIV/0!</v>
      </c>
      <c r="P564" s="14" t="e">
        <f>LOOKUP(H564,Sheet6!$J$25:$J$66,Sheet6!$B$25:$B$66)*0.15</f>
        <v>#N/A</v>
      </c>
      <c r="Q564" s="6" t="e">
        <f>LOOKUP(I564,Sheet6!$J$115:$J$156,Sheet6!$B$115:$B$156)*0.2</f>
        <v>#N/A</v>
      </c>
      <c r="R564" s="6" t="e">
        <f>LOOKUP(J564,Sheet6!$D$465:$D$506,Sheet6!$B$465:$B$506)*0.1</f>
        <v>#N/A</v>
      </c>
      <c r="S564" s="6">
        <f>LOOKUP(K564,Sheet6!$J$205:$J$246,Sheet6!$B$205:$B$246)*0.1</f>
        <v>6.2</v>
      </c>
      <c r="T564" s="6" t="e">
        <f>LOOKUP(L564,Sheet6!$F$688:$F$749,Sheet6!$B$688:$B$749)*0.2</f>
        <v>#N/A</v>
      </c>
      <c r="U564" s="6">
        <f>LOOKUP(M564,Sheet6!$D$600:$D$626,Sheet6!$B$600:$B$626)*0.1</f>
        <v>0</v>
      </c>
      <c r="V564" s="6" t="e">
        <f t="shared" si="34"/>
        <v>#DIV/0!</v>
      </c>
      <c r="W564" s="6" t="e">
        <f t="shared" si="35"/>
        <v>#DIV/0!</v>
      </c>
    </row>
    <row r="565" spans="1:23" ht="24.75" customHeight="1">
      <c r="A565" s="5"/>
      <c r="B565" s="5"/>
      <c r="C565" s="5"/>
      <c r="D565" s="5"/>
      <c r="E565" s="30"/>
      <c r="F565" s="5"/>
      <c r="G565" s="5"/>
      <c r="H565" s="5"/>
      <c r="I565" s="5"/>
      <c r="J565" s="5"/>
      <c r="K565" s="5"/>
      <c r="L565" s="5"/>
      <c r="M565" s="5"/>
      <c r="N565" s="13" t="e">
        <f t="shared" si="33"/>
        <v>#DIV/0!</v>
      </c>
      <c r="O565" s="6" t="e">
        <f>LOOKUP(N565,Sheet6!$J$4:$J$11,Sheet6!$B$4:$B$11)*0.15</f>
        <v>#DIV/0!</v>
      </c>
      <c r="P565" s="14" t="e">
        <f>LOOKUP(H565,Sheet6!$J$25:$J$66,Sheet6!$B$25:$B$66)*0.15</f>
        <v>#N/A</v>
      </c>
      <c r="Q565" s="6" t="e">
        <f>LOOKUP(I565,Sheet6!$J$115:$J$156,Sheet6!$B$115:$B$156)*0.2</f>
        <v>#N/A</v>
      </c>
      <c r="R565" s="6" t="e">
        <f>LOOKUP(J565,Sheet6!$D$465:$D$506,Sheet6!$B$465:$B$506)*0.1</f>
        <v>#N/A</v>
      </c>
      <c r="S565" s="6">
        <f>LOOKUP(K565,Sheet6!$J$205:$J$246,Sheet6!$B$205:$B$246)*0.1</f>
        <v>6.2</v>
      </c>
      <c r="T565" s="6" t="e">
        <f>LOOKUP(L565,Sheet6!$F$688:$F$749,Sheet6!$B$688:$B$749)*0.2</f>
        <v>#N/A</v>
      </c>
      <c r="U565" s="6">
        <f>LOOKUP(M565,Sheet6!$D$600:$D$626,Sheet6!$B$600:$B$626)*0.1</f>
        <v>0</v>
      </c>
      <c r="V565" s="6" t="e">
        <f t="shared" si="34"/>
        <v>#DIV/0!</v>
      </c>
      <c r="W565" s="6" t="e">
        <f t="shared" si="35"/>
        <v>#DIV/0!</v>
      </c>
    </row>
    <row r="566" spans="1:23" ht="24.75" customHeight="1">
      <c r="A566" s="5"/>
      <c r="B566" s="5"/>
      <c r="C566" s="5"/>
      <c r="D566" s="5"/>
      <c r="E566" s="30"/>
      <c r="F566" s="5"/>
      <c r="G566" s="5"/>
      <c r="H566" s="5"/>
      <c r="I566" s="5"/>
      <c r="J566" s="5"/>
      <c r="K566" s="5"/>
      <c r="L566" s="5"/>
      <c r="M566" s="5"/>
      <c r="N566" s="13" t="e">
        <f t="shared" si="33"/>
        <v>#DIV/0!</v>
      </c>
      <c r="O566" s="6" t="e">
        <f>LOOKUP(N566,Sheet6!$J$4:$J$11,Sheet6!$B$4:$B$11)*0.15</f>
        <v>#DIV/0!</v>
      </c>
      <c r="P566" s="14" t="e">
        <f>LOOKUP(H566,Sheet6!$J$25:$J$66,Sheet6!$B$25:$B$66)*0.15</f>
        <v>#N/A</v>
      </c>
      <c r="Q566" s="6" t="e">
        <f>LOOKUP(I566,Sheet6!$J$115:$J$156,Sheet6!$B$115:$B$156)*0.2</f>
        <v>#N/A</v>
      </c>
      <c r="R566" s="6" t="e">
        <f>LOOKUP(J566,Sheet6!$D$465:$D$506,Sheet6!$B$465:$B$506)*0.1</f>
        <v>#N/A</v>
      </c>
      <c r="S566" s="6">
        <f>LOOKUP(K566,Sheet6!$J$205:$J$246,Sheet6!$B$205:$B$246)*0.1</f>
        <v>6.2</v>
      </c>
      <c r="T566" s="6" t="e">
        <f>LOOKUP(L566,Sheet6!$F$688:$F$749,Sheet6!$B$688:$B$749)*0.2</f>
        <v>#N/A</v>
      </c>
      <c r="U566" s="6">
        <f>LOOKUP(M566,Sheet6!$D$600:$D$626,Sheet6!$B$600:$B$626)*0.1</f>
        <v>0</v>
      </c>
      <c r="V566" s="6" t="e">
        <f t="shared" si="34"/>
        <v>#DIV/0!</v>
      </c>
      <c r="W566" s="6" t="e">
        <f t="shared" si="35"/>
        <v>#DIV/0!</v>
      </c>
    </row>
    <row r="567" spans="1:23" ht="24.75" customHeight="1">
      <c r="A567" s="5"/>
      <c r="B567" s="5"/>
      <c r="C567" s="5"/>
      <c r="D567" s="5"/>
      <c r="E567" s="30"/>
      <c r="F567" s="5"/>
      <c r="G567" s="5"/>
      <c r="H567" s="5"/>
      <c r="I567" s="5"/>
      <c r="J567" s="5"/>
      <c r="K567" s="5"/>
      <c r="L567" s="5"/>
      <c r="M567" s="5"/>
      <c r="N567" s="13" t="e">
        <f t="shared" si="33"/>
        <v>#DIV/0!</v>
      </c>
      <c r="O567" s="6" t="e">
        <f>LOOKUP(N567,Sheet6!$J$4:$J$11,Sheet6!$B$4:$B$11)*0.15</f>
        <v>#DIV/0!</v>
      </c>
      <c r="P567" s="14" t="e">
        <f>LOOKUP(H567,Sheet6!$J$25:$J$66,Sheet6!$B$25:$B$66)*0.15</f>
        <v>#N/A</v>
      </c>
      <c r="Q567" s="6" t="e">
        <f>LOOKUP(I567,Sheet6!$J$115:$J$156,Sheet6!$B$115:$B$156)*0.2</f>
        <v>#N/A</v>
      </c>
      <c r="R567" s="6" t="e">
        <f>LOOKUP(J567,Sheet6!$D$465:$D$506,Sheet6!$B$465:$B$506)*0.1</f>
        <v>#N/A</v>
      </c>
      <c r="S567" s="6">
        <f>LOOKUP(K567,Sheet6!$J$205:$J$246,Sheet6!$B$205:$B$246)*0.1</f>
        <v>6.2</v>
      </c>
      <c r="T567" s="6" t="e">
        <f>LOOKUP(L567,Sheet6!$F$688:$F$749,Sheet6!$B$688:$B$749)*0.2</f>
        <v>#N/A</v>
      </c>
      <c r="U567" s="6">
        <f>LOOKUP(M567,Sheet6!$D$600:$D$626,Sheet6!$B$600:$B$626)*0.1</f>
        <v>0</v>
      </c>
      <c r="V567" s="6" t="e">
        <f t="shared" si="34"/>
        <v>#DIV/0!</v>
      </c>
      <c r="W567" s="6" t="e">
        <f t="shared" si="35"/>
        <v>#DIV/0!</v>
      </c>
    </row>
    <row r="568" spans="1:23" ht="24.75" customHeight="1">
      <c r="A568" s="5"/>
      <c r="B568" s="5"/>
      <c r="C568" s="5"/>
      <c r="D568" s="5"/>
      <c r="E568" s="30"/>
      <c r="F568" s="5"/>
      <c r="G568" s="5"/>
      <c r="H568" s="5"/>
      <c r="I568" s="5"/>
      <c r="J568" s="5"/>
      <c r="K568" s="5"/>
      <c r="L568" s="5"/>
      <c r="M568" s="5"/>
      <c r="N568" s="13" t="e">
        <f t="shared" si="33"/>
        <v>#DIV/0!</v>
      </c>
      <c r="O568" s="6" t="e">
        <f>LOOKUP(N568,Sheet6!$J$4:$J$11,Sheet6!$B$4:$B$11)*0.15</f>
        <v>#DIV/0!</v>
      </c>
      <c r="P568" s="14" t="e">
        <f>LOOKUP(H568,Sheet6!$J$25:$J$66,Sheet6!$B$25:$B$66)*0.15</f>
        <v>#N/A</v>
      </c>
      <c r="Q568" s="6" t="e">
        <f>LOOKUP(I568,Sheet6!$J$115:$J$156,Sheet6!$B$115:$B$156)*0.2</f>
        <v>#N/A</v>
      </c>
      <c r="R568" s="6" t="e">
        <f>LOOKUP(J568,Sheet6!$D$465:$D$506,Sheet6!$B$465:$B$506)*0.1</f>
        <v>#N/A</v>
      </c>
      <c r="S568" s="6">
        <f>LOOKUP(K568,Sheet6!$J$205:$J$246,Sheet6!$B$205:$B$246)*0.1</f>
        <v>6.2</v>
      </c>
      <c r="T568" s="6" t="e">
        <f>LOOKUP(L568,Sheet6!$F$688:$F$749,Sheet6!$B$688:$B$749)*0.2</f>
        <v>#N/A</v>
      </c>
      <c r="U568" s="6">
        <f>LOOKUP(M568,Sheet6!$D$600:$D$626,Sheet6!$B$600:$B$626)*0.1</f>
        <v>0</v>
      </c>
      <c r="V568" s="6" t="e">
        <f t="shared" si="34"/>
        <v>#DIV/0!</v>
      </c>
      <c r="W568" s="6" t="e">
        <f t="shared" si="35"/>
        <v>#DIV/0!</v>
      </c>
    </row>
    <row r="569" spans="1:23" ht="24.75" customHeight="1">
      <c r="A569" s="5"/>
      <c r="B569" s="5"/>
      <c r="C569" s="5"/>
      <c r="D569" s="5"/>
      <c r="E569" s="30"/>
      <c r="F569" s="5"/>
      <c r="G569" s="5"/>
      <c r="H569" s="5"/>
      <c r="I569" s="5"/>
      <c r="J569" s="5"/>
      <c r="K569" s="5"/>
      <c r="L569" s="5"/>
      <c r="M569" s="5"/>
      <c r="N569" s="13" t="e">
        <f t="shared" si="33"/>
        <v>#DIV/0!</v>
      </c>
      <c r="O569" s="6" t="e">
        <f>LOOKUP(N569,Sheet6!$J$4:$J$11,Sheet6!$B$4:$B$11)*0.15</f>
        <v>#DIV/0!</v>
      </c>
      <c r="P569" s="14" t="e">
        <f>LOOKUP(H569,Sheet6!$J$25:$J$66,Sheet6!$B$25:$B$66)*0.15</f>
        <v>#N/A</v>
      </c>
      <c r="Q569" s="6" t="e">
        <f>LOOKUP(I569,Sheet6!$J$115:$J$156,Sheet6!$B$115:$B$156)*0.2</f>
        <v>#N/A</v>
      </c>
      <c r="R569" s="6" t="e">
        <f>LOOKUP(J569,Sheet6!$D$465:$D$506,Sheet6!$B$465:$B$506)*0.1</f>
        <v>#N/A</v>
      </c>
      <c r="S569" s="6">
        <f>LOOKUP(K569,Sheet6!$J$205:$J$246,Sheet6!$B$205:$B$246)*0.1</f>
        <v>6.2</v>
      </c>
      <c r="T569" s="6" t="e">
        <f>LOOKUP(L569,Sheet6!$F$688:$F$749,Sheet6!$B$688:$B$749)*0.2</f>
        <v>#N/A</v>
      </c>
      <c r="U569" s="6">
        <f>LOOKUP(M569,Sheet6!$D$600:$D$626,Sheet6!$B$600:$B$626)*0.1</f>
        <v>0</v>
      </c>
      <c r="V569" s="6" t="e">
        <f t="shared" si="34"/>
        <v>#DIV/0!</v>
      </c>
      <c r="W569" s="6" t="e">
        <f t="shared" si="35"/>
        <v>#DIV/0!</v>
      </c>
    </row>
    <row r="570" spans="1:23" ht="24.75" customHeight="1">
      <c r="A570" s="5"/>
      <c r="B570" s="5"/>
      <c r="C570" s="5"/>
      <c r="D570" s="5"/>
      <c r="E570" s="30"/>
      <c r="F570" s="5"/>
      <c r="G570" s="5"/>
      <c r="H570" s="5"/>
      <c r="I570" s="5"/>
      <c r="J570" s="5"/>
      <c r="K570" s="5"/>
      <c r="L570" s="5"/>
      <c r="M570" s="5"/>
      <c r="N570" s="13" t="e">
        <f t="shared" si="33"/>
        <v>#DIV/0!</v>
      </c>
      <c r="O570" s="6" t="e">
        <f>LOOKUP(N570,Sheet6!$J$4:$J$11,Sheet6!$B$4:$B$11)*0.15</f>
        <v>#DIV/0!</v>
      </c>
      <c r="P570" s="14" t="e">
        <f>LOOKUP(H570,Sheet6!$J$25:$J$66,Sheet6!$B$25:$B$66)*0.15</f>
        <v>#N/A</v>
      </c>
      <c r="Q570" s="6" t="e">
        <f>LOOKUP(I570,Sheet6!$J$115:$J$156,Sheet6!$B$115:$B$156)*0.2</f>
        <v>#N/A</v>
      </c>
      <c r="R570" s="6" t="e">
        <f>LOOKUP(J570,Sheet6!$D$465:$D$506,Sheet6!$B$465:$B$506)*0.1</f>
        <v>#N/A</v>
      </c>
      <c r="S570" s="6">
        <f>LOOKUP(K570,Sheet6!$J$205:$J$246,Sheet6!$B$205:$B$246)*0.1</f>
        <v>6.2</v>
      </c>
      <c r="T570" s="6" t="e">
        <f>LOOKUP(L570,Sheet6!$F$688:$F$749,Sheet6!$B$688:$B$749)*0.2</f>
        <v>#N/A</v>
      </c>
      <c r="U570" s="6">
        <f>LOOKUP(M570,Sheet6!$D$600:$D$626,Sheet6!$B$600:$B$626)*0.1</f>
        <v>0</v>
      </c>
      <c r="V570" s="6" t="e">
        <f t="shared" si="34"/>
        <v>#DIV/0!</v>
      </c>
      <c r="W570" s="6" t="e">
        <f t="shared" si="35"/>
        <v>#DIV/0!</v>
      </c>
    </row>
    <row r="571" spans="1:23" ht="24.75" customHeight="1">
      <c r="A571" s="5"/>
      <c r="B571" s="5"/>
      <c r="C571" s="5"/>
      <c r="D571" s="5"/>
      <c r="E571" s="30"/>
      <c r="F571" s="5"/>
      <c r="G571" s="5"/>
      <c r="H571" s="5"/>
      <c r="I571" s="5"/>
      <c r="J571" s="5"/>
      <c r="K571" s="5"/>
      <c r="L571" s="5"/>
      <c r="M571" s="5"/>
      <c r="N571" s="13" t="e">
        <f t="shared" si="33"/>
        <v>#DIV/0!</v>
      </c>
      <c r="O571" s="6" t="e">
        <f>LOOKUP(N571,Sheet6!$J$4:$J$11,Sheet6!$B$4:$B$11)*0.15</f>
        <v>#DIV/0!</v>
      </c>
      <c r="P571" s="14" t="e">
        <f>LOOKUP(H571,Sheet6!$J$25:$J$66,Sheet6!$B$25:$B$66)*0.15</f>
        <v>#N/A</v>
      </c>
      <c r="Q571" s="6" t="e">
        <f>LOOKUP(I571,Sheet6!$J$115:$J$156,Sheet6!$B$115:$B$156)*0.2</f>
        <v>#N/A</v>
      </c>
      <c r="R571" s="6" t="e">
        <f>LOOKUP(J571,Sheet6!$D$465:$D$506,Sheet6!$B$465:$B$506)*0.1</f>
        <v>#N/A</v>
      </c>
      <c r="S571" s="6">
        <f>LOOKUP(K571,Sheet6!$J$205:$J$246,Sheet6!$B$205:$B$246)*0.1</f>
        <v>6.2</v>
      </c>
      <c r="T571" s="6" t="e">
        <f>LOOKUP(L571,Sheet6!$F$688:$F$749,Sheet6!$B$688:$B$749)*0.2</f>
        <v>#N/A</v>
      </c>
      <c r="U571" s="6">
        <f>LOOKUP(M571,Sheet6!$D$600:$D$626,Sheet6!$B$600:$B$626)*0.1</f>
        <v>0</v>
      </c>
      <c r="V571" s="6" t="e">
        <f t="shared" si="34"/>
        <v>#DIV/0!</v>
      </c>
      <c r="W571" s="6" t="e">
        <f t="shared" si="35"/>
        <v>#DIV/0!</v>
      </c>
    </row>
    <row r="572" spans="1:23" ht="24.75" customHeight="1">
      <c r="A572" s="5"/>
      <c r="B572" s="5"/>
      <c r="C572" s="5"/>
      <c r="D572" s="5"/>
      <c r="E572" s="30"/>
      <c r="F572" s="5"/>
      <c r="G572" s="5"/>
      <c r="H572" s="5"/>
      <c r="I572" s="5"/>
      <c r="J572" s="5"/>
      <c r="K572" s="5"/>
      <c r="L572" s="5"/>
      <c r="M572" s="5"/>
      <c r="N572" s="13" t="e">
        <f t="shared" si="33"/>
        <v>#DIV/0!</v>
      </c>
      <c r="O572" s="6" t="e">
        <f>LOOKUP(N572,Sheet6!$J$4:$J$11,Sheet6!$B$4:$B$11)*0.15</f>
        <v>#DIV/0!</v>
      </c>
      <c r="P572" s="14" t="e">
        <f>LOOKUP(H572,Sheet6!$J$25:$J$66,Sheet6!$B$25:$B$66)*0.15</f>
        <v>#N/A</v>
      </c>
      <c r="Q572" s="6" t="e">
        <f>LOOKUP(I572,Sheet6!$J$115:$J$156,Sheet6!$B$115:$B$156)*0.2</f>
        <v>#N/A</v>
      </c>
      <c r="R572" s="6" t="e">
        <f>LOOKUP(J572,Sheet6!$D$465:$D$506,Sheet6!$B$465:$B$506)*0.1</f>
        <v>#N/A</v>
      </c>
      <c r="S572" s="6">
        <f>LOOKUP(K572,Sheet6!$J$205:$J$246,Sheet6!$B$205:$B$246)*0.1</f>
        <v>6.2</v>
      </c>
      <c r="T572" s="6" t="e">
        <f>LOOKUP(L572,Sheet6!$F$688:$F$749,Sheet6!$B$688:$B$749)*0.2</f>
        <v>#N/A</v>
      </c>
      <c r="U572" s="6">
        <f>LOOKUP(M572,Sheet6!$D$600:$D$626,Sheet6!$B$600:$B$626)*0.1</f>
        <v>0</v>
      </c>
      <c r="V572" s="6" t="e">
        <f t="shared" si="34"/>
        <v>#DIV/0!</v>
      </c>
      <c r="W572" s="6" t="e">
        <f t="shared" si="35"/>
        <v>#DIV/0!</v>
      </c>
    </row>
    <row r="573" spans="1:23" ht="24.75" customHeight="1">
      <c r="A573" s="5"/>
      <c r="B573" s="5"/>
      <c r="C573" s="5"/>
      <c r="D573" s="5"/>
      <c r="E573" s="30"/>
      <c r="F573" s="5"/>
      <c r="G573" s="5"/>
      <c r="H573" s="5"/>
      <c r="I573" s="5"/>
      <c r="J573" s="5"/>
      <c r="K573" s="5"/>
      <c r="L573" s="5"/>
      <c r="M573" s="5"/>
      <c r="N573" s="13" t="e">
        <f t="shared" si="33"/>
        <v>#DIV/0!</v>
      </c>
      <c r="O573" s="6" t="e">
        <f>LOOKUP(N573,Sheet6!$J$4:$J$11,Sheet6!$B$4:$B$11)*0.15</f>
        <v>#DIV/0!</v>
      </c>
      <c r="P573" s="14" t="e">
        <f>LOOKUP(H573,Sheet6!$J$25:$J$66,Sheet6!$B$25:$B$66)*0.15</f>
        <v>#N/A</v>
      </c>
      <c r="Q573" s="6" t="e">
        <f>LOOKUP(I573,Sheet6!$J$115:$J$156,Sheet6!$B$115:$B$156)*0.2</f>
        <v>#N/A</v>
      </c>
      <c r="R573" s="6" t="e">
        <f>LOOKUP(J573,Sheet6!$D$465:$D$506,Sheet6!$B$465:$B$506)*0.1</f>
        <v>#N/A</v>
      </c>
      <c r="S573" s="6">
        <f>LOOKUP(K573,Sheet6!$J$205:$J$246,Sheet6!$B$205:$B$246)*0.1</f>
        <v>6.2</v>
      </c>
      <c r="T573" s="6" t="e">
        <f>LOOKUP(L573,Sheet6!$F$688:$F$749,Sheet6!$B$688:$B$749)*0.2</f>
        <v>#N/A</v>
      </c>
      <c r="U573" s="6">
        <f>LOOKUP(M573,Sheet6!$D$600:$D$626,Sheet6!$B$600:$B$626)*0.1</f>
        <v>0</v>
      </c>
      <c r="V573" s="6" t="e">
        <f t="shared" si="34"/>
        <v>#DIV/0!</v>
      </c>
      <c r="W573" s="6" t="e">
        <f t="shared" si="35"/>
        <v>#DIV/0!</v>
      </c>
    </row>
    <row r="574" spans="1:23" ht="24.75" customHeight="1">
      <c r="A574" s="5"/>
      <c r="B574" s="5"/>
      <c r="C574" s="5"/>
      <c r="D574" s="5"/>
      <c r="E574" s="30"/>
      <c r="F574" s="5"/>
      <c r="G574" s="5"/>
      <c r="H574" s="5"/>
      <c r="I574" s="5"/>
      <c r="J574" s="5"/>
      <c r="K574" s="5"/>
      <c r="L574" s="5"/>
      <c r="M574" s="5"/>
      <c r="N574" s="13" t="e">
        <f t="shared" si="33"/>
        <v>#DIV/0!</v>
      </c>
      <c r="O574" s="6" t="e">
        <f>LOOKUP(N574,Sheet6!$J$4:$J$11,Sheet6!$B$4:$B$11)*0.15</f>
        <v>#DIV/0!</v>
      </c>
      <c r="P574" s="14" t="e">
        <f>LOOKUP(H574,Sheet6!$J$25:$J$66,Sheet6!$B$25:$B$66)*0.15</f>
        <v>#N/A</v>
      </c>
      <c r="Q574" s="6" t="e">
        <f>LOOKUP(I574,Sheet6!$J$115:$J$156,Sheet6!$B$115:$B$156)*0.2</f>
        <v>#N/A</v>
      </c>
      <c r="R574" s="6" t="e">
        <f>LOOKUP(J574,Sheet6!$D$465:$D$506,Sheet6!$B$465:$B$506)*0.1</f>
        <v>#N/A</v>
      </c>
      <c r="S574" s="6">
        <f>LOOKUP(K574,Sheet6!$J$205:$J$246,Sheet6!$B$205:$B$246)*0.1</f>
        <v>6.2</v>
      </c>
      <c r="T574" s="6" t="e">
        <f>LOOKUP(L574,Sheet6!$F$688:$F$749,Sheet6!$B$688:$B$749)*0.2</f>
        <v>#N/A</v>
      </c>
      <c r="U574" s="6">
        <f>LOOKUP(M574,Sheet6!$D$600:$D$626,Sheet6!$B$600:$B$626)*0.1</f>
        <v>0</v>
      </c>
      <c r="V574" s="6" t="e">
        <f t="shared" si="34"/>
        <v>#DIV/0!</v>
      </c>
      <c r="W574" s="6" t="e">
        <f t="shared" si="35"/>
        <v>#DIV/0!</v>
      </c>
    </row>
    <row r="575" spans="1:23" ht="24.75" customHeight="1">
      <c r="A575" s="5"/>
      <c r="B575" s="5"/>
      <c r="C575" s="5"/>
      <c r="D575" s="5"/>
      <c r="E575" s="30"/>
      <c r="F575" s="5"/>
      <c r="G575" s="5"/>
      <c r="H575" s="5"/>
      <c r="I575" s="5"/>
      <c r="J575" s="5"/>
      <c r="K575" s="5"/>
      <c r="L575" s="5"/>
      <c r="M575" s="5"/>
      <c r="N575" s="13" t="e">
        <f t="shared" si="33"/>
        <v>#DIV/0!</v>
      </c>
      <c r="O575" s="6" t="e">
        <f>LOOKUP(N575,Sheet6!$J$4:$J$11,Sheet6!$B$4:$B$11)*0.15</f>
        <v>#DIV/0!</v>
      </c>
      <c r="P575" s="14" t="e">
        <f>LOOKUP(H575,Sheet6!$J$25:$J$66,Sheet6!$B$25:$B$66)*0.15</f>
        <v>#N/A</v>
      </c>
      <c r="Q575" s="6" t="e">
        <f>LOOKUP(I575,Sheet6!$J$115:$J$156,Sheet6!$B$115:$B$156)*0.2</f>
        <v>#N/A</v>
      </c>
      <c r="R575" s="6" t="e">
        <f>LOOKUP(J575,Sheet6!$D$465:$D$506,Sheet6!$B$465:$B$506)*0.1</f>
        <v>#N/A</v>
      </c>
      <c r="S575" s="6">
        <f>LOOKUP(K575,Sheet6!$J$205:$J$246,Sheet6!$B$205:$B$246)*0.1</f>
        <v>6.2</v>
      </c>
      <c r="T575" s="6" t="e">
        <f>LOOKUP(L575,Sheet6!$F$688:$F$749,Sheet6!$B$688:$B$749)*0.2</f>
        <v>#N/A</v>
      </c>
      <c r="U575" s="6">
        <f>LOOKUP(M575,Sheet6!$D$600:$D$626,Sheet6!$B$600:$B$626)*0.1</f>
        <v>0</v>
      </c>
      <c r="V575" s="6" t="e">
        <f t="shared" si="34"/>
        <v>#DIV/0!</v>
      </c>
      <c r="W575" s="6" t="e">
        <f t="shared" si="35"/>
        <v>#DIV/0!</v>
      </c>
    </row>
    <row r="576" spans="1:23" ht="24.75" customHeight="1">
      <c r="A576" s="5"/>
      <c r="B576" s="5"/>
      <c r="C576" s="5"/>
      <c r="D576" s="5"/>
      <c r="E576" s="30"/>
      <c r="F576" s="5"/>
      <c r="G576" s="5"/>
      <c r="H576" s="5"/>
      <c r="I576" s="5"/>
      <c r="J576" s="5"/>
      <c r="K576" s="5"/>
      <c r="L576" s="5"/>
      <c r="M576" s="5"/>
      <c r="N576" s="13" t="e">
        <f t="shared" si="33"/>
        <v>#DIV/0!</v>
      </c>
      <c r="O576" s="6" t="e">
        <f>LOOKUP(N576,Sheet6!$J$4:$J$11,Sheet6!$B$4:$B$11)*0.15</f>
        <v>#DIV/0!</v>
      </c>
      <c r="P576" s="14" t="e">
        <f>LOOKUP(H576,Sheet6!$J$25:$J$66,Sheet6!$B$25:$B$66)*0.15</f>
        <v>#N/A</v>
      </c>
      <c r="Q576" s="6" t="e">
        <f>LOOKUP(I576,Sheet6!$J$115:$J$156,Sheet6!$B$115:$B$156)*0.2</f>
        <v>#N/A</v>
      </c>
      <c r="R576" s="6" t="e">
        <f>LOOKUP(J576,Sheet6!$D$465:$D$506,Sheet6!$B$465:$B$506)*0.1</f>
        <v>#N/A</v>
      </c>
      <c r="S576" s="6">
        <f>LOOKUP(K576,Sheet6!$J$205:$J$246,Sheet6!$B$205:$B$246)*0.1</f>
        <v>6.2</v>
      </c>
      <c r="T576" s="6" t="e">
        <f>LOOKUP(L576,Sheet6!$F$688:$F$749,Sheet6!$B$688:$B$749)*0.2</f>
        <v>#N/A</v>
      </c>
      <c r="U576" s="6">
        <f>LOOKUP(M576,Sheet6!$D$600:$D$626,Sheet6!$B$600:$B$626)*0.1</f>
        <v>0</v>
      </c>
      <c r="V576" s="6" t="e">
        <f t="shared" si="34"/>
        <v>#DIV/0!</v>
      </c>
      <c r="W576" s="6" t="e">
        <f t="shared" si="35"/>
        <v>#DIV/0!</v>
      </c>
    </row>
    <row r="577" spans="1:23" ht="24.75" customHeight="1">
      <c r="A577" s="5"/>
      <c r="B577" s="5"/>
      <c r="C577" s="5"/>
      <c r="D577" s="5"/>
      <c r="E577" s="30"/>
      <c r="F577" s="5"/>
      <c r="G577" s="5"/>
      <c r="H577" s="5"/>
      <c r="I577" s="5"/>
      <c r="J577" s="5"/>
      <c r="K577" s="5"/>
      <c r="L577" s="5"/>
      <c r="M577" s="5"/>
      <c r="N577" s="13" t="e">
        <f t="shared" si="33"/>
        <v>#DIV/0!</v>
      </c>
      <c r="O577" s="6" t="e">
        <f>LOOKUP(N577,Sheet6!$J$4:$J$11,Sheet6!$B$4:$B$11)*0.15</f>
        <v>#DIV/0!</v>
      </c>
      <c r="P577" s="14" t="e">
        <f>LOOKUP(H577,Sheet6!$J$25:$J$66,Sheet6!$B$25:$B$66)*0.15</f>
        <v>#N/A</v>
      </c>
      <c r="Q577" s="6" t="e">
        <f>LOOKUP(I577,Sheet6!$J$115:$J$156,Sheet6!$B$115:$B$156)*0.2</f>
        <v>#N/A</v>
      </c>
      <c r="R577" s="6" t="e">
        <f>LOOKUP(J577,Sheet6!$D$465:$D$506,Sheet6!$B$465:$B$506)*0.1</f>
        <v>#N/A</v>
      </c>
      <c r="S577" s="6">
        <f>LOOKUP(K577,Sheet6!$J$205:$J$246,Sheet6!$B$205:$B$246)*0.1</f>
        <v>6.2</v>
      </c>
      <c r="T577" s="6" t="e">
        <f>LOOKUP(L577,Sheet6!$F$688:$F$749,Sheet6!$B$688:$B$749)*0.2</f>
        <v>#N/A</v>
      </c>
      <c r="U577" s="6">
        <f>LOOKUP(M577,Sheet6!$D$600:$D$626,Sheet6!$B$600:$B$626)*0.1</f>
        <v>0</v>
      </c>
      <c r="V577" s="6" t="e">
        <f t="shared" si="34"/>
        <v>#DIV/0!</v>
      </c>
      <c r="W577" s="6" t="e">
        <f t="shared" si="35"/>
        <v>#DIV/0!</v>
      </c>
    </row>
  </sheetData>
  <autoFilter ref="A1:AG177" xr:uid="{00000000-0009-0000-0000-000000000000}"/>
  <phoneticPr fontId="8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8"/>
  <sheetViews>
    <sheetView topLeftCell="A58" workbookViewId="0">
      <selection activeCell="K174" sqref="K174"/>
    </sheetView>
  </sheetViews>
  <sheetFormatPr baseColWidth="10" defaultColWidth="9" defaultRowHeight="20.25" customHeight="1"/>
  <sheetData>
    <row r="1" spans="1:14" ht="20.25" customHeight="1">
      <c r="A1" t="s">
        <v>162</v>
      </c>
    </row>
    <row r="2" spans="1:14" ht="20.25" customHeight="1">
      <c r="A2" s="34" t="s">
        <v>163</v>
      </c>
      <c r="B2" t="s">
        <v>164</v>
      </c>
      <c r="C2" s="34" t="s">
        <v>165</v>
      </c>
      <c r="D2" s="34" t="s">
        <v>166</v>
      </c>
      <c r="E2" s="34" t="s">
        <v>167</v>
      </c>
      <c r="F2" s="34" t="s">
        <v>168</v>
      </c>
      <c r="G2" s="34" t="s">
        <v>169</v>
      </c>
      <c r="H2" s="34" t="s">
        <v>170</v>
      </c>
      <c r="I2" s="34" t="s">
        <v>171</v>
      </c>
      <c r="J2" s="34" t="s">
        <v>172</v>
      </c>
      <c r="K2" s="34" t="s">
        <v>173</v>
      </c>
      <c r="L2" s="34" t="s">
        <v>174</v>
      </c>
      <c r="M2" s="34" t="s">
        <v>175</v>
      </c>
      <c r="N2" s="34" t="s">
        <v>176</v>
      </c>
    </row>
    <row r="3" spans="1:14" ht="20.25" customHeight="1">
      <c r="A3" s="34"/>
      <c r="B3" t="s">
        <v>177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20.25" customHeight="1">
      <c r="A4" t="s">
        <v>178</v>
      </c>
      <c r="B4">
        <v>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</row>
    <row r="5" spans="1:14" ht="20.25" customHeight="1">
      <c r="A5" t="s">
        <v>178</v>
      </c>
      <c r="B5">
        <v>0</v>
      </c>
      <c r="C5">
        <v>499</v>
      </c>
      <c r="D5">
        <v>549</v>
      </c>
      <c r="E5">
        <v>599</v>
      </c>
      <c r="F5">
        <v>749</v>
      </c>
      <c r="G5">
        <v>899</v>
      </c>
      <c r="H5">
        <v>1049</v>
      </c>
      <c r="I5">
        <v>1199</v>
      </c>
      <c r="J5">
        <v>1449</v>
      </c>
      <c r="K5">
        <v>1699</v>
      </c>
      <c r="L5">
        <v>1949</v>
      </c>
      <c r="M5">
        <v>2099</v>
      </c>
      <c r="N5">
        <v>2249</v>
      </c>
    </row>
    <row r="6" spans="1:14" ht="20.25" customHeight="1">
      <c r="A6" t="s">
        <v>178</v>
      </c>
      <c r="B6">
        <v>10</v>
      </c>
      <c r="C6">
        <v>500</v>
      </c>
      <c r="D6">
        <v>550</v>
      </c>
      <c r="E6">
        <v>600</v>
      </c>
      <c r="F6">
        <v>750</v>
      </c>
      <c r="G6">
        <v>900</v>
      </c>
      <c r="H6">
        <v>1050</v>
      </c>
      <c r="I6">
        <v>1200</v>
      </c>
      <c r="J6">
        <v>1450</v>
      </c>
      <c r="K6">
        <v>1700</v>
      </c>
      <c r="L6">
        <v>1950</v>
      </c>
      <c r="M6">
        <v>2100</v>
      </c>
      <c r="N6">
        <v>2250</v>
      </c>
    </row>
    <row r="7" spans="1:14" ht="20.25" customHeight="1">
      <c r="A7" t="s">
        <v>178</v>
      </c>
      <c r="B7">
        <v>10</v>
      </c>
      <c r="C7">
        <v>539</v>
      </c>
      <c r="D7">
        <v>599</v>
      </c>
      <c r="E7">
        <v>659</v>
      </c>
      <c r="F7">
        <v>819</v>
      </c>
      <c r="G7">
        <v>979</v>
      </c>
      <c r="H7">
        <v>1139</v>
      </c>
      <c r="I7">
        <v>1299</v>
      </c>
      <c r="J7">
        <v>1659</v>
      </c>
      <c r="K7">
        <v>1819</v>
      </c>
      <c r="L7">
        <v>2079</v>
      </c>
      <c r="M7">
        <v>2239</v>
      </c>
      <c r="N7">
        <v>2399</v>
      </c>
    </row>
    <row r="8" spans="1:14" ht="20.25" customHeight="1">
      <c r="A8" t="s">
        <v>178</v>
      </c>
      <c r="B8">
        <v>20</v>
      </c>
      <c r="C8">
        <v>540</v>
      </c>
      <c r="D8">
        <v>600</v>
      </c>
      <c r="E8">
        <v>660</v>
      </c>
      <c r="F8">
        <v>820</v>
      </c>
      <c r="G8">
        <v>980</v>
      </c>
      <c r="H8">
        <v>1140</v>
      </c>
      <c r="I8">
        <v>1300</v>
      </c>
      <c r="J8">
        <v>1560</v>
      </c>
      <c r="K8">
        <v>1820</v>
      </c>
      <c r="L8">
        <v>2080</v>
      </c>
      <c r="M8">
        <v>2240</v>
      </c>
      <c r="N8">
        <v>2400</v>
      </c>
    </row>
    <row r="9" spans="1:14" ht="20.25" customHeight="1">
      <c r="A9" t="s">
        <v>178</v>
      </c>
      <c r="B9">
        <v>20</v>
      </c>
      <c r="C9">
        <v>579</v>
      </c>
      <c r="D9">
        <v>649</v>
      </c>
      <c r="E9">
        <v>719</v>
      </c>
      <c r="F9">
        <v>889</v>
      </c>
      <c r="G9">
        <v>1059</v>
      </c>
      <c r="H9">
        <v>1229</v>
      </c>
      <c r="I9">
        <v>1399</v>
      </c>
      <c r="J9">
        <v>1669</v>
      </c>
      <c r="K9">
        <v>1939</v>
      </c>
      <c r="L9">
        <v>2209</v>
      </c>
      <c r="M9">
        <v>2379</v>
      </c>
      <c r="N9">
        <v>2549</v>
      </c>
    </row>
    <row r="10" spans="1:14" ht="20.25" customHeight="1">
      <c r="A10" t="s">
        <v>178</v>
      </c>
      <c r="B10">
        <v>30</v>
      </c>
      <c r="C10">
        <v>580</v>
      </c>
      <c r="D10">
        <v>650</v>
      </c>
      <c r="E10">
        <v>720</v>
      </c>
      <c r="F10">
        <v>890</v>
      </c>
      <c r="G10">
        <v>1060</v>
      </c>
      <c r="H10">
        <v>1230</v>
      </c>
      <c r="I10">
        <v>1400</v>
      </c>
      <c r="J10">
        <v>1670</v>
      </c>
      <c r="K10">
        <v>1940</v>
      </c>
      <c r="L10">
        <v>2210</v>
      </c>
      <c r="M10">
        <v>2380</v>
      </c>
      <c r="N10">
        <v>2550</v>
      </c>
    </row>
    <row r="11" spans="1:14" ht="20.25" customHeight="1">
      <c r="A11" t="s">
        <v>178</v>
      </c>
      <c r="B11">
        <v>30</v>
      </c>
      <c r="C11">
        <v>619</v>
      </c>
      <c r="D11">
        <v>699</v>
      </c>
      <c r="E11">
        <v>779</v>
      </c>
      <c r="F11">
        <v>959</v>
      </c>
      <c r="G11">
        <v>1139</v>
      </c>
      <c r="H11">
        <v>1319</v>
      </c>
      <c r="I11">
        <v>1499</v>
      </c>
      <c r="J11">
        <v>1779</v>
      </c>
      <c r="K11">
        <v>2059</v>
      </c>
      <c r="L11">
        <v>2339</v>
      </c>
      <c r="M11">
        <v>2519</v>
      </c>
      <c r="N11">
        <v>2699</v>
      </c>
    </row>
    <row r="12" spans="1:14" ht="20.25" customHeight="1">
      <c r="A12" t="s">
        <v>178</v>
      </c>
      <c r="B12">
        <v>40</v>
      </c>
      <c r="C12">
        <v>620</v>
      </c>
      <c r="D12">
        <v>700</v>
      </c>
      <c r="E12">
        <v>780</v>
      </c>
      <c r="F12">
        <v>960</v>
      </c>
      <c r="G12">
        <v>1140</v>
      </c>
      <c r="H12">
        <v>1320</v>
      </c>
      <c r="I12">
        <v>1500</v>
      </c>
      <c r="J12">
        <v>1780</v>
      </c>
      <c r="K12">
        <v>2060</v>
      </c>
      <c r="L12">
        <v>2340</v>
      </c>
      <c r="M12">
        <v>2520</v>
      </c>
      <c r="N12">
        <v>2700</v>
      </c>
    </row>
    <row r="13" spans="1:14" ht="20.25" customHeight="1">
      <c r="A13" t="s">
        <v>178</v>
      </c>
      <c r="B13">
        <v>40</v>
      </c>
      <c r="C13">
        <v>659</v>
      </c>
      <c r="D13">
        <v>749</v>
      </c>
      <c r="E13">
        <v>839</v>
      </c>
      <c r="F13">
        <v>1029</v>
      </c>
      <c r="G13">
        <v>1219</v>
      </c>
      <c r="H13">
        <v>1409</v>
      </c>
      <c r="I13">
        <v>1599</v>
      </c>
      <c r="J13">
        <v>1889</v>
      </c>
      <c r="K13">
        <v>2179</v>
      </c>
      <c r="L13">
        <v>2469</v>
      </c>
      <c r="M13">
        <v>2659</v>
      </c>
      <c r="N13">
        <v>2849</v>
      </c>
    </row>
    <row r="14" spans="1:14" ht="20.25" customHeight="1">
      <c r="A14" t="s">
        <v>178</v>
      </c>
      <c r="B14">
        <v>50</v>
      </c>
      <c r="C14">
        <v>660</v>
      </c>
      <c r="D14">
        <v>750</v>
      </c>
      <c r="E14">
        <v>840</v>
      </c>
      <c r="F14">
        <v>1030</v>
      </c>
      <c r="G14">
        <v>1220</v>
      </c>
      <c r="H14">
        <v>1410</v>
      </c>
      <c r="I14">
        <v>1600</v>
      </c>
      <c r="J14">
        <v>1890</v>
      </c>
      <c r="K14">
        <v>2180</v>
      </c>
      <c r="L14">
        <v>2470</v>
      </c>
      <c r="M14">
        <v>2660</v>
      </c>
      <c r="N14">
        <v>2850</v>
      </c>
    </row>
    <row r="15" spans="1:14" ht="20.25" customHeight="1">
      <c r="A15" t="s">
        <v>178</v>
      </c>
      <c r="B15">
        <v>50</v>
      </c>
      <c r="C15">
        <v>699</v>
      </c>
      <c r="D15">
        <v>799</v>
      </c>
      <c r="E15">
        <v>899</v>
      </c>
      <c r="F15">
        <v>1099</v>
      </c>
      <c r="G15">
        <v>1299</v>
      </c>
      <c r="H15">
        <v>1499</v>
      </c>
      <c r="I15">
        <v>1699</v>
      </c>
      <c r="J15">
        <v>1999</v>
      </c>
      <c r="K15">
        <v>2299</v>
      </c>
      <c r="L15">
        <v>2599</v>
      </c>
      <c r="M15">
        <v>2799</v>
      </c>
      <c r="N15">
        <v>2999</v>
      </c>
    </row>
    <row r="16" spans="1:14" ht="20.25" customHeight="1">
      <c r="A16" t="s">
        <v>179</v>
      </c>
      <c r="B16">
        <v>60</v>
      </c>
      <c r="C16">
        <v>700</v>
      </c>
      <c r="D16">
        <v>800</v>
      </c>
      <c r="E16">
        <v>900</v>
      </c>
      <c r="F16">
        <v>1100</v>
      </c>
      <c r="G16">
        <v>1300</v>
      </c>
      <c r="H16">
        <v>1500</v>
      </c>
      <c r="I16">
        <v>1700</v>
      </c>
      <c r="J16">
        <v>2000</v>
      </c>
      <c r="K16">
        <v>2300</v>
      </c>
      <c r="L16">
        <v>2600</v>
      </c>
      <c r="M16">
        <v>2800</v>
      </c>
      <c r="N16">
        <v>3000</v>
      </c>
    </row>
    <row r="17" spans="1:14" ht="20.25" customHeight="1">
      <c r="A17" t="s">
        <v>179</v>
      </c>
      <c r="B17">
        <v>60</v>
      </c>
      <c r="C17">
        <v>759</v>
      </c>
      <c r="D17">
        <v>869</v>
      </c>
      <c r="E17">
        <v>979</v>
      </c>
      <c r="F17">
        <v>1179</v>
      </c>
      <c r="G17">
        <v>1389</v>
      </c>
      <c r="H17">
        <v>1599</v>
      </c>
      <c r="I17">
        <v>1819</v>
      </c>
      <c r="J17">
        <v>2119</v>
      </c>
      <c r="K17">
        <v>2419</v>
      </c>
      <c r="L17">
        <v>2719</v>
      </c>
      <c r="M17">
        <v>2919</v>
      </c>
      <c r="N17">
        <v>3119</v>
      </c>
    </row>
    <row r="18" spans="1:14" ht="20.25" customHeight="1">
      <c r="A18" t="s">
        <v>179</v>
      </c>
      <c r="B18">
        <v>62</v>
      </c>
      <c r="C18">
        <v>760</v>
      </c>
      <c r="D18">
        <v>870</v>
      </c>
      <c r="E18">
        <v>980</v>
      </c>
      <c r="F18">
        <v>1180</v>
      </c>
      <c r="G18">
        <v>1390</v>
      </c>
      <c r="H18">
        <v>1600</v>
      </c>
      <c r="I18">
        <v>1820</v>
      </c>
      <c r="J18">
        <v>2120</v>
      </c>
      <c r="K18">
        <v>2420</v>
      </c>
      <c r="L18">
        <v>2720</v>
      </c>
      <c r="M18">
        <v>2920</v>
      </c>
      <c r="N18">
        <v>3120</v>
      </c>
    </row>
    <row r="19" spans="1:14" ht="20.25" customHeight="1">
      <c r="A19" t="s">
        <v>179</v>
      </c>
      <c r="B19">
        <v>62</v>
      </c>
      <c r="C19">
        <v>819</v>
      </c>
      <c r="D19">
        <v>939</v>
      </c>
      <c r="E19">
        <v>1059</v>
      </c>
      <c r="F19">
        <v>1259</v>
      </c>
      <c r="G19">
        <v>1479</v>
      </c>
      <c r="H19">
        <v>1699</v>
      </c>
      <c r="I19">
        <v>1939</v>
      </c>
      <c r="J19">
        <v>2239</v>
      </c>
      <c r="K19">
        <v>2539</v>
      </c>
      <c r="L19">
        <v>2839</v>
      </c>
      <c r="M19">
        <v>3039</v>
      </c>
      <c r="N19">
        <v>3239</v>
      </c>
    </row>
    <row r="20" spans="1:14" ht="20.25" customHeight="1">
      <c r="A20" t="s">
        <v>179</v>
      </c>
      <c r="B20">
        <v>64</v>
      </c>
      <c r="C20">
        <v>820</v>
      </c>
      <c r="D20">
        <v>940</v>
      </c>
      <c r="E20">
        <v>1060</v>
      </c>
      <c r="F20">
        <v>1260</v>
      </c>
      <c r="G20">
        <v>1480</v>
      </c>
      <c r="H20">
        <v>1700</v>
      </c>
      <c r="I20">
        <v>1940</v>
      </c>
      <c r="J20">
        <v>2240</v>
      </c>
      <c r="K20">
        <v>2540</v>
      </c>
      <c r="L20">
        <v>2840</v>
      </c>
      <c r="M20">
        <v>3040</v>
      </c>
      <c r="N20">
        <v>3240</v>
      </c>
    </row>
    <row r="21" spans="1:14" ht="20.25" customHeight="1">
      <c r="A21" t="s">
        <v>179</v>
      </c>
      <c r="B21">
        <v>64</v>
      </c>
      <c r="C21">
        <v>879</v>
      </c>
      <c r="D21">
        <v>1009</v>
      </c>
      <c r="E21">
        <v>1139</v>
      </c>
      <c r="F21">
        <v>1339</v>
      </c>
      <c r="G21">
        <v>1569</v>
      </c>
      <c r="H21">
        <v>1799</v>
      </c>
      <c r="I21">
        <v>2059</v>
      </c>
      <c r="J21">
        <v>2359</v>
      </c>
      <c r="K21">
        <v>2659</v>
      </c>
      <c r="L21">
        <v>2959</v>
      </c>
      <c r="M21">
        <v>3159</v>
      </c>
      <c r="N21">
        <v>3359</v>
      </c>
    </row>
    <row r="22" spans="1:14" ht="20.25" customHeight="1">
      <c r="A22" t="s">
        <v>179</v>
      </c>
      <c r="B22">
        <v>66</v>
      </c>
      <c r="C22">
        <v>880</v>
      </c>
      <c r="D22">
        <v>1010</v>
      </c>
      <c r="E22">
        <v>1140</v>
      </c>
      <c r="F22">
        <v>1340</v>
      </c>
      <c r="G22">
        <v>1570</v>
      </c>
      <c r="H22">
        <v>1800</v>
      </c>
      <c r="I22">
        <v>2060</v>
      </c>
      <c r="J22">
        <v>2360</v>
      </c>
      <c r="K22">
        <v>2660</v>
      </c>
      <c r="L22">
        <v>2960</v>
      </c>
      <c r="M22">
        <v>3160</v>
      </c>
      <c r="N22">
        <v>3360</v>
      </c>
    </row>
    <row r="23" spans="1:14" ht="20.25" customHeight="1">
      <c r="A23" t="s">
        <v>179</v>
      </c>
      <c r="B23">
        <v>66</v>
      </c>
      <c r="C23">
        <v>939</v>
      </c>
      <c r="D23">
        <v>1079</v>
      </c>
      <c r="E23">
        <v>1219</v>
      </c>
      <c r="F23">
        <v>1419</v>
      </c>
      <c r="G23">
        <v>1659</v>
      </c>
      <c r="H23">
        <v>1899</v>
      </c>
      <c r="I23">
        <v>2179</v>
      </c>
      <c r="J23">
        <v>2479</v>
      </c>
      <c r="K23">
        <v>2779</v>
      </c>
      <c r="L23">
        <v>3079</v>
      </c>
      <c r="M23">
        <v>3279</v>
      </c>
      <c r="N23">
        <v>3479</v>
      </c>
    </row>
    <row r="24" spans="1:14" ht="20.25" customHeight="1">
      <c r="A24" t="s">
        <v>179</v>
      </c>
      <c r="B24">
        <v>68</v>
      </c>
      <c r="C24">
        <v>940</v>
      </c>
      <c r="D24">
        <v>1080</v>
      </c>
      <c r="E24">
        <v>1220</v>
      </c>
      <c r="F24">
        <v>1420</v>
      </c>
      <c r="G24">
        <v>1660</v>
      </c>
      <c r="H24">
        <v>1900</v>
      </c>
      <c r="I24">
        <v>2180</v>
      </c>
      <c r="J24">
        <v>2480</v>
      </c>
      <c r="K24">
        <v>2780</v>
      </c>
      <c r="L24">
        <v>3080</v>
      </c>
      <c r="M24">
        <v>3280</v>
      </c>
      <c r="N24">
        <v>3480</v>
      </c>
    </row>
    <row r="25" spans="1:14" ht="20.25" customHeight="1">
      <c r="A25" t="s">
        <v>179</v>
      </c>
      <c r="B25">
        <v>68</v>
      </c>
      <c r="C25">
        <v>999</v>
      </c>
      <c r="D25">
        <v>1149</v>
      </c>
      <c r="E25">
        <v>1299</v>
      </c>
      <c r="F25">
        <v>1499</v>
      </c>
      <c r="G25">
        <v>1749</v>
      </c>
      <c r="H25">
        <v>1999</v>
      </c>
      <c r="I25">
        <v>2299</v>
      </c>
      <c r="J25">
        <v>2599</v>
      </c>
      <c r="K25">
        <v>2899</v>
      </c>
      <c r="L25">
        <v>3199</v>
      </c>
      <c r="M25">
        <v>3399</v>
      </c>
      <c r="N25">
        <v>3599</v>
      </c>
    </row>
    <row r="26" spans="1:14" ht="20.25" customHeight="1">
      <c r="A26" t="s">
        <v>179</v>
      </c>
      <c r="B26">
        <v>70</v>
      </c>
      <c r="C26">
        <v>1000</v>
      </c>
      <c r="D26">
        <v>1150</v>
      </c>
      <c r="E26">
        <v>1300</v>
      </c>
      <c r="F26">
        <v>1500</v>
      </c>
      <c r="G26">
        <v>1750</v>
      </c>
      <c r="H26">
        <v>2000</v>
      </c>
      <c r="I26">
        <v>2300</v>
      </c>
      <c r="J26">
        <v>2600</v>
      </c>
      <c r="K26">
        <v>2900</v>
      </c>
      <c r="L26">
        <v>3200</v>
      </c>
      <c r="M26">
        <v>3400</v>
      </c>
      <c r="N26">
        <v>3600</v>
      </c>
    </row>
    <row r="27" spans="1:14" ht="20.25" customHeight="1">
      <c r="A27" t="s">
        <v>179</v>
      </c>
      <c r="B27">
        <v>70</v>
      </c>
      <c r="C27">
        <v>1059</v>
      </c>
      <c r="D27">
        <v>1219</v>
      </c>
      <c r="E27">
        <v>1379</v>
      </c>
      <c r="F27">
        <v>1579</v>
      </c>
      <c r="G27">
        <v>1839</v>
      </c>
      <c r="H27">
        <v>2099</v>
      </c>
      <c r="I27">
        <v>2419</v>
      </c>
      <c r="J27">
        <v>2719</v>
      </c>
      <c r="K27">
        <v>3019</v>
      </c>
      <c r="L27">
        <v>3319</v>
      </c>
      <c r="M27">
        <v>3519</v>
      </c>
      <c r="N27">
        <v>3719</v>
      </c>
    </row>
    <row r="28" spans="1:14" ht="20.25" customHeight="1">
      <c r="A28" t="s">
        <v>179</v>
      </c>
      <c r="B28">
        <v>72</v>
      </c>
      <c r="C28">
        <v>1060</v>
      </c>
      <c r="D28">
        <v>1220</v>
      </c>
      <c r="E28">
        <v>1380</v>
      </c>
      <c r="F28">
        <v>1580</v>
      </c>
      <c r="G28">
        <v>1840</v>
      </c>
      <c r="H28">
        <v>2100</v>
      </c>
      <c r="I28">
        <v>2420</v>
      </c>
      <c r="J28">
        <v>2720</v>
      </c>
      <c r="K28">
        <v>3020</v>
      </c>
      <c r="L28">
        <v>3320</v>
      </c>
      <c r="M28">
        <v>3520</v>
      </c>
      <c r="N28">
        <v>3720</v>
      </c>
    </row>
    <row r="29" spans="1:14" ht="20.25" customHeight="1">
      <c r="A29" t="s">
        <v>179</v>
      </c>
      <c r="B29">
        <v>72</v>
      </c>
      <c r="C29">
        <v>1119</v>
      </c>
      <c r="D29">
        <v>1289</v>
      </c>
      <c r="E29">
        <v>1459</v>
      </c>
      <c r="F29">
        <v>1659</v>
      </c>
      <c r="G29">
        <v>1929</v>
      </c>
      <c r="H29">
        <v>2199</v>
      </c>
      <c r="I29">
        <v>2539</v>
      </c>
      <c r="J29">
        <v>2839</v>
      </c>
      <c r="K29">
        <v>3139</v>
      </c>
      <c r="L29">
        <v>3439</v>
      </c>
      <c r="M29">
        <v>3639</v>
      </c>
      <c r="N29">
        <v>3839</v>
      </c>
    </row>
    <row r="30" spans="1:14" ht="20.25" customHeight="1">
      <c r="A30" t="s">
        <v>179</v>
      </c>
      <c r="B30">
        <v>74</v>
      </c>
      <c r="C30">
        <v>1120</v>
      </c>
      <c r="D30">
        <v>1290</v>
      </c>
      <c r="E30">
        <v>1460</v>
      </c>
      <c r="F30">
        <v>1660</v>
      </c>
      <c r="G30">
        <v>1930</v>
      </c>
      <c r="H30">
        <v>2200</v>
      </c>
      <c r="I30">
        <v>2540</v>
      </c>
      <c r="J30">
        <v>2840</v>
      </c>
      <c r="K30">
        <v>3140</v>
      </c>
      <c r="L30">
        <v>3440</v>
      </c>
      <c r="M30">
        <v>3640</v>
      </c>
      <c r="N30">
        <v>3840</v>
      </c>
    </row>
    <row r="31" spans="1:14" ht="20.25" customHeight="1">
      <c r="A31" t="s">
        <v>179</v>
      </c>
      <c r="B31">
        <v>74</v>
      </c>
      <c r="C31">
        <v>1179</v>
      </c>
      <c r="D31">
        <v>1359</v>
      </c>
      <c r="E31">
        <v>1539</v>
      </c>
      <c r="F31">
        <v>1739</v>
      </c>
      <c r="G31">
        <v>2019</v>
      </c>
      <c r="H31">
        <v>2299</v>
      </c>
      <c r="I31">
        <v>2659</v>
      </c>
      <c r="J31">
        <v>2959</v>
      </c>
      <c r="K31">
        <v>3259</v>
      </c>
      <c r="L31">
        <v>3559</v>
      </c>
      <c r="M31">
        <v>3759</v>
      </c>
      <c r="N31">
        <v>3959</v>
      </c>
    </row>
    <row r="32" spans="1:14" ht="20.25" customHeight="1">
      <c r="A32" t="s">
        <v>179</v>
      </c>
      <c r="B32">
        <v>76</v>
      </c>
      <c r="C32">
        <v>1180</v>
      </c>
      <c r="D32">
        <v>1360</v>
      </c>
      <c r="E32">
        <v>1540</v>
      </c>
      <c r="F32">
        <v>1740</v>
      </c>
      <c r="G32">
        <v>2020</v>
      </c>
      <c r="H32">
        <v>2300</v>
      </c>
      <c r="I32">
        <v>2660</v>
      </c>
      <c r="J32">
        <v>2960</v>
      </c>
      <c r="K32">
        <v>3260</v>
      </c>
      <c r="L32">
        <v>3560</v>
      </c>
      <c r="M32">
        <v>3760</v>
      </c>
      <c r="N32">
        <v>3960</v>
      </c>
    </row>
    <row r="33" spans="1:14" ht="20.25" customHeight="1">
      <c r="A33" t="s">
        <v>179</v>
      </c>
      <c r="B33">
        <v>76</v>
      </c>
      <c r="C33">
        <v>1239</v>
      </c>
      <c r="D33">
        <v>1429</v>
      </c>
      <c r="E33">
        <v>1919</v>
      </c>
      <c r="F33">
        <v>1819</v>
      </c>
      <c r="G33">
        <v>2109</v>
      </c>
      <c r="H33">
        <v>2399</v>
      </c>
      <c r="I33">
        <v>2779</v>
      </c>
      <c r="J33">
        <v>3079</v>
      </c>
      <c r="K33">
        <v>3379</v>
      </c>
      <c r="L33">
        <v>3679</v>
      </c>
      <c r="M33">
        <v>3879</v>
      </c>
      <c r="N33">
        <v>4079</v>
      </c>
    </row>
    <row r="34" spans="1:14" ht="20.25" customHeight="1">
      <c r="A34" t="s">
        <v>179</v>
      </c>
      <c r="B34">
        <v>78</v>
      </c>
      <c r="C34">
        <v>1240</v>
      </c>
      <c r="D34">
        <v>1430</v>
      </c>
      <c r="E34">
        <v>1620</v>
      </c>
      <c r="F34">
        <v>1820</v>
      </c>
      <c r="G34">
        <v>2110</v>
      </c>
      <c r="H34">
        <v>2400</v>
      </c>
      <c r="I34">
        <v>2780</v>
      </c>
      <c r="J34">
        <v>3080</v>
      </c>
      <c r="K34">
        <v>3380</v>
      </c>
      <c r="L34">
        <v>3680</v>
      </c>
      <c r="M34">
        <v>3880</v>
      </c>
      <c r="N34">
        <v>4080</v>
      </c>
    </row>
    <row r="35" spans="1:14" ht="20.25" customHeight="1">
      <c r="A35" t="s">
        <v>179</v>
      </c>
      <c r="B35">
        <v>78</v>
      </c>
      <c r="C35">
        <v>1299</v>
      </c>
      <c r="D35">
        <v>1499</v>
      </c>
      <c r="E35">
        <v>1699</v>
      </c>
      <c r="F35">
        <v>1899</v>
      </c>
      <c r="G35">
        <v>2199</v>
      </c>
      <c r="H35">
        <v>2499</v>
      </c>
      <c r="I35">
        <v>2899</v>
      </c>
      <c r="J35">
        <v>3199</v>
      </c>
      <c r="K35">
        <v>3499</v>
      </c>
      <c r="L35">
        <v>3799</v>
      </c>
      <c r="M35">
        <v>3999</v>
      </c>
      <c r="N35">
        <v>4199</v>
      </c>
    </row>
    <row r="36" spans="1:14" ht="20.25" customHeight="1">
      <c r="A36" t="s">
        <v>180</v>
      </c>
      <c r="B36">
        <v>80</v>
      </c>
      <c r="C36">
        <v>1300</v>
      </c>
      <c r="D36">
        <v>1500</v>
      </c>
      <c r="E36">
        <v>1700</v>
      </c>
      <c r="F36">
        <v>1900</v>
      </c>
      <c r="G36">
        <v>2200</v>
      </c>
      <c r="H36">
        <v>2500</v>
      </c>
      <c r="I36">
        <v>2900</v>
      </c>
      <c r="J36">
        <v>3200</v>
      </c>
      <c r="K36">
        <v>3500</v>
      </c>
      <c r="L36">
        <v>3800</v>
      </c>
      <c r="M36">
        <v>4000</v>
      </c>
      <c r="N36">
        <v>4200</v>
      </c>
    </row>
    <row r="37" spans="1:14" ht="20.25" customHeight="1">
      <c r="A37" t="s">
        <v>180</v>
      </c>
      <c r="B37">
        <v>85</v>
      </c>
      <c r="C37">
        <v>1399</v>
      </c>
      <c r="D37">
        <v>1649</v>
      </c>
      <c r="E37">
        <v>1899</v>
      </c>
      <c r="F37">
        <v>2149</v>
      </c>
      <c r="G37">
        <v>2449</v>
      </c>
      <c r="H37">
        <v>2749</v>
      </c>
      <c r="I37">
        <v>3149</v>
      </c>
      <c r="J37">
        <v>3449</v>
      </c>
      <c r="K37">
        <v>3749</v>
      </c>
      <c r="L37">
        <v>4049</v>
      </c>
      <c r="M37">
        <v>4249</v>
      </c>
      <c r="N37">
        <v>4449</v>
      </c>
    </row>
    <row r="38" spans="1:14" ht="20.25" customHeight="1">
      <c r="A38" t="s">
        <v>180</v>
      </c>
      <c r="B38">
        <v>85</v>
      </c>
      <c r="C38">
        <v>1400</v>
      </c>
      <c r="D38">
        <v>1650</v>
      </c>
      <c r="E38">
        <v>1900</v>
      </c>
      <c r="F38">
        <v>2150</v>
      </c>
      <c r="G38">
        <v>2450</v>
      </c>
      <c r="H38">
        <v>2750</v>
      </c>
      <c r="I38">
        <v>3150</v>
      </c>
      <c r="J38">
        <v>3450</v>
      </c>
      <c r="K38">
        <v>3750</v>
      </c>
      <c r="L38">
        <v>4050</v>
      </c>
      <c r="M38">
        <v>4250</v>
      </c>
      <c r="N38">
        <v>4450</v>
      </c>
    </row>
    <row r="39" spans="1:14" ht="20.25" customHeight="1">
      <c r="A39" t="s">
        <v>180</v>
      </c>
      <c r="B39">
        <v>85</v>
      </c>
      <c r="C39">
        <v>1499</v>
      </c>
      <c r="D39">
        <v>1799</v>
      </c>
      <c r="E39">
        <v>2099</v>
      </c>
      <c r="F39">
        <v>2399</v>
      </c>
      <c r="G39">
        <v>2699</v>
      </c>
      <c r="H39">
        <v>2999</v>
      </c>
      <c r="I39">
        <v>3399</v>
      </c>
      <c r="J39">
        <v>3699</v>
      </c>
      <c r="K39">
        <v>3999</v>
      </c>
      <c r="L39">
        <v>3299</v>
      </c>
      <c r="M39">
        <v>3499</v>
      </c>
      <c r="N39">
        <v>3699</v>
      </c>
    </row>
    <row r="40" spans="1:14" ht="20.25" customHeight="1">
      <c r="A40" t="s">
        <v>181</v>
      </c>
      <c r="B40">
        <v>90</v>
      </c>
      <c r="C40">
        <v>1500</v>
      </c>
      <c r="D40">
        <v>1800</v>
      </c>
      <c r="E40">
        <v>2100</v>
      </c>
      <c r="F40">
        <v>2400</v>
      </c>
      <c r="G40">
        <v>2700</v>
      </c>
      <c r="H40">
        <v>3000</v>
      </c>
      <c r="I40">
        <v>3400</v>
      </c>
      <c r="J40">
        <v>3700</v>
      </c>
      <c r="K40">
        <v>4000</v>
      </c>
      <c r="L40">
        <v>4300</v>
      </c>
      <c r="M40">
        <v>4500</v>
      </c>
      <c r="N40">
        <v>4700</v>
      </c>
    </row>
    <row r="41" spans="1:14" ht="20.25" customHeight="1">
      <c r="A41" t="s">
        <v>181</v>
      </c>
      <c r="B41">
        <v>90</v>
      </c>
      <c r="C41">
        <v>1599</v>
      </c>
      <c r="D41">
        <v>1899</v>
      </c>
      <c r="E41">
        <v>2199</v>
      </c>
      <c r="F41">
        <v>2499</v>
      </c>
      <c r="G41">
        <v>2799</v>
      </c>
      <c r="H41">
        <v>3099</v>
      </c>
      <c r="I41">
        <v>3519</v>
      </c>
      <c r="J41">
        <v>3819</v>
      </c>
      <c r="K41">
        <v>4119</v>
      </c>
      <c r="L41">
        <v>4419</v>
      </c>
      <c r="M41">
        <v>4619</v>
      </c>
      <c r="N41">
        <v>4819</v>
      </c>
    </row>
    <row r="42" spans="1:14" ht="20.25" customHeight="1">
      <c r="A42" t="s">
        <v>181</v>
      </c>
      <c r="B42">
        <v>95</v>
      </c>
      <c r="C42">
        <v>1600</v>
      </c>
      <c r="D42">
        <v>1900</v>
      </c>
      <c r="E42">
        <v>2200</v>
      </c>
      <c r="F42">
        <v>2500</v>
      </c>
      <c r="G42">
        <v>2800</v>
      </c>
      <c r="H42">
        <v>3100</v>
      </c>
      <c r="I42">
        <v>3520</v>
      </c>
      <c r="J42">
        <v>3820</v>
      </c>
      <c r="K42">
        <v>4120</v>
      </c>
      <c r="L42">
        <v>4420</v>
      </c>
      <c r="M42">
        <v>4620</v>
      </c>
      <c r="N42">
        <v>4820</v>
      </c>
    </row>
    <row r="43" spans="1:14" ht="20.25" customHeight="1">
      <c r="A43" t="s">
        <v>181</v>
      </c>
      <c r="B43">
        <v>95</v>
      </c>
      <c r="C43">
        <v>1699</v>
      </c>
      <c r="D43">
        <v>1999</v>
      </c>
      <c r="E43">
        <v>2299</v>
      </c>
      <c r="F43">
        <v>2599</v>
      </c>
      <c r="G43">
        <v>2899</v>
      </c>
      <c r="H43">
        <v>2199</v>
      </c>
      <c r="I43">
        <v>2639</v>
      </c>
      <c r="J43">
        <v>2939</v>
      </c>
      <c r="K43">
        <v>4239</v>
      </c>
      <c r="L43">
        <v>4539</v>
      </c>
      <c r="M43">
        <v>4739</v>
      </c>
      <c r="N43">
        <v>4939</v>
      </c>
    </row>
    <row r="44" spans="1:14" ht="20.25" customHeight="1">
      <c r="A44" t="s">
        <v>181</v>
      </c>
      <c r="B44">
        <v>100</v>
      </c>
      <c r="C44">
        <v>1700</v>
      </c>
      <c r="D44">
        <v>2000</v>
      </c>
      <c r="E44">
        <v>2300</v>
      </c>
      <c r="F44">
        <v>2600</v>
      </c>
      <c r="G44">
        <v>2900</v>
      </c>
      <c r="H44">
        <v>3200</v>
      </c>
      <c r="I44">
        <v>3640</v>
      </c>
      <c r="J44">
        <v>3940</v>
      </c>
      <c r="K44">
        <v>4240</v>
      </c>
      <c r="L44">
        <v>4540</v>
      </c>
      <c r="M44">
        <v>4740</v>
      </c>
      <c r="N44">
        <v>4940</v>
      </c>
    </row>
    <row r="45" spans="1:14" ht="20.25" customHeight="1">
      <c r="A45" t="s">
        <v>181</v>
      </c>
      <c r="B45">
        <v>100</v>
      </c>
      <c r="C45">
        <v>8000</v>
      </c>
      <c r="D45">
        <v>8000</v>
      </c>
      <c r="E45">
        <v>8000</v>
      </c>
      <c r="F45">
        <v>8000</v>
      </c>
      <c r="G45">
        <v>8000</v>
      </c>
      <c r="H45">
        <v>8000</v>
      </c>
      <c r="I45">
        <v>8000</v>
      </c>
      <c r="J45">
        <v>8000</v>
      </c>
      <c r="K45">
        <v>8000</v>
      </c>
      <c r="L45">
        <v>8000</v>
      </c>
      <c r="M45">
        <v>8000</v>
      </c>
      <c r="N45">
        <v>8000</v>
      </c>
    </row>
    <row r="47" spans="1:14" ht="20.25" customHeight="1">
      <c r="A47" t="s">
        <v>182</v>
      </c>
    </row>
    <row r="48" spans="1:14" ht="20.25" customHeight="1">
      <c r="A48" s="34" t="s">
        <v>163</v>
      </c>
      <c r="B48" t="s">
        <v>164</v>
      </c>
      <c r="C48" s="34" t="s">
        <v>165</v>
      </c>
      <c r="D48" s="34" t="s">
        <v>166</v>
      </c>
      <c r="E48" s="34" t="s">
        <v>167</v>
      </c>
      <c r="F48" s="34" t="s">
        <v>168</v>
      </c>
      <c r="G48" s="34" t="s">
        <v>169</v>
      </c>
      <c r="H48" s="34" t="s">
        <v>170</v>
      </c>
      <c r="I48" s="34" t="s">
        <v>171</v>
      </c>
      <c r="J48" s="34" t="s">
        <v>172</v>
      </c>
      <c r="K48" s="34" t="s">
        <v>173</v>
      </c>
      <c r="L48" s="34" t="s">
        <v>174</v>
      </c>
      <c r="M48" s="34" t="s">
        <v>175</v>
      </c>
      <c r="N48" s="34" t="s">
        <v>176</v>
      </c>
    </row>
    <row r="49" spans="1:14" ht="20.25" customHeight="1">
      <c r="A49" s="34"/>
      <c r="B49" t="s">
        <v>177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 ht="20.25" customHeight="1">
      <c r="A50" t="s">
        <v>183</v>
      </c>
      <c r="B50">
        <v>80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</row>
    <row r="51" spans="1:14" ht="20.25" customHeight="1">
      <c r="A51" t="s">
        <v>183</v>
      </c>
      <c r="B51">
        <v>80</v>
      </c>
      <c r="C51">
        <v>13.4</v>
      </c>
      <c r="D51">
        <v>13.6</v>
      </c>
      <c r="E51">
        <v>13.8</v>
      </c>
      <c r="F51">
        <v>14.1</v>
      </c>
      <c r="G51">
        <v>14.3</v>
      </c>
      <c r="H51">
        <v>14.6</v>
      </c>
      <c r="I51">
        <v>15.4</v>
      </c>
      <c r="J51">
        <v>15.6</v>
      </c>
      <c r="K51">
        <v>15.7</v>
      </c>
      <c r="L51">
        <v>16.399999999999999</v>
      </c>
      <c r="M51">
        <v>16.7</v>
      </c>
      <c r="N51">
        <v>17.2</v>
      </c>
    </row>
    <row r="52" spans="1:14" ht="20.25" customHeight="1">
      <c r="A52" t="s">
        <v>184</v>
      </c>
      <c r="B52">
        <v>100</v>
      </c>
      <c r="C52">
        <v>13.5</v>
      </c>
      <c r="D52">
        <v>13.7</v>
      </c>
      <c r="E52">
        <v>13.9</v>
      </c>
      <c r="F52">
        <v>14.2</v>
      </c>
      <c r="G52">
        <v>14.4</v>
      </c>
      <c r="H52">
        <v>14.7</v>
      </c>
      <c r="I52">
        <v>15.5</v>
      </c>
      <c r="J52">
        <v>15.7</v>
      </c>
      <c r="K52">
        <v>15.8</v>
      </c>
      <c r="L52">
        <v>16.5</v>
      </c>
      <c r="M52">
        <v>16.8</v>
      </c>
      <c r="N52">
        <v>17.3</v>
      </c>
    </row>
    <row r="53" spans="1:14" ht="20.25" customHeight="1">
      <c r="A53" t="s">
        <v>184</v>
      </c>
      <c r="B53">
        <v>100</v>
      </c>
      <c r="C53">
        <v>18.100000000000001</v>
      </c>
      <c r="D53">
        <v>18.399999999999999</v>
      </c>
      <c r="E53">
        <v>19.399999999999999</v>
      </c>
      <c r="F53">
        <v>20.100000000000001</v>
      </c>
      <c r="G53">
        <v>21.4</v>
      </c>
      <c r="H53">
        <v>21.8</v>
      </c>
      <c r="I53">
        <v>22.1</v>
      </c>
      <c r="J53">
        <v>22.5</v>
      </c>
      <c r="K53">
        <v>22.8</v>
      </c>
      <c r="L53">
        <v>23.2</v>
      </c>
      <c r="M53">
        <v>23.7</v>
      </c>
      <c r="N53">
        <v>23.8</v>
      </c>
    </row>
    <row r="54" spans="1:14" ht="20.25" customHeight="1">
      <c r="A54" t="s">
        <v>185</v>
      </c>
      <c r="B54">
        <v>80</v>
      </c>
      <c r="C54">
        <v>18.2</v>
      </c>
      <c r="D54">
        <v>18.5</v>
      </c>
      <c r="E54">
        <v>19.5</v>
      </c>
      <c r="F54">
        <v>20.2</v>
      </c>
      <c r="G54">
        <v>21.5</v>
      </c>
      <c r="H54">
        <v>21.9</v>
      </c>
      <c r="I54">
        <v>22.2</v>
      </c>
      <c r="J54">
        <v>22.6</v>
      </c>
      <c r="K54">
        <v>22.9</v>
      </c>
      <c r="L54">
        <v>23.3</v>
      </c>
      <c r="M54">
        <v>23.8</v>
      </c>
      <c r="N54">
        <v>23.9</v>
      </c>
    </row>
    <row r="55" spans="1:14" ht="20.25" customHeight="1">
      <c r="A55" t="s">
        <v>185</v>
      </c>
      <c r="B55">
        <v>80</v>
      </c>
      <c r="C55">
        <v>20.3</v>
      </c>
      <c r="D55">
        <v>20.399999999999999</v>
      </c>
      <c r="E55">
        <v>22.1</v>
      </c>
      <c r="F55">
        <v>22.6</v>
      </c>
      <c r="G55">
        <v>24.1</v>
      </c>
      <c r="H55">
        <v>24.5</v>
      </c>
      <c r="I55">
        <v>24.9</v>
      </c>
      <c r="J55">
        <v>25.2</v>
      </c>
      <c r="K55">
        <v>26</v>
      </c>
      <c r="L55">
        <v>26.3</v>
      </c>
      <c r="M55">
        <v>26.5</v>
      </c>
      <c r="N55">
        <v>27.3</v>
      </c>
    </row>
    <row r="56" spans="1:14" ht="20.25" customHeight="1">
      <c r="A56" t="s">
        <v>186</v>
      </c>
      <c r="B56">
        <v>60</v>
      </c>
      <c r="C56">
        <v>20.399999999999999</v>
      </c>
      <c r="D56">
        <v>20.5</v>
      </c>
      <c r="E56">
        <v>22.2</v>
      </c>
      <c r="F56">
        <v>22.7</v>
      </c>
      <c r="G56">
        <v>24.2</v>
      </c>
      <c r="H56">
        <v>24.6</v>
      </c>
      <c r="I56">
        <v>25</v>
      </c>
      <c r="J56">
        <v>25.3</v>
      </c>
      <c r="K56">
        <v>26.1</v>
      </c>
      <c r="L56">
        <v>26.4</v>
      </c>
      <c r="M56">
        <v>26.6</v>
      </c>
      <c r="N56">
        <v>27.4</v>
      </c>
    </row>
    <row r="57" spans="1:14" ht="20.25" customHeight="1">
      <c r="A57" t="s">
        <v>186</v>
      </c>
      <c r="B57">
        <v>60</v>
      </c>
      <c r="C57">
        <v>40</v>
      </c>
      <c r="D57">
        <v>40</v>
      </c>
      <c r="E57">
        <v>40</v>
      </c>
      <c r="F57">
        <v>40</v>
      </c>
      <c r="G57">
        <v>40</v>
      </c>
      <c r="H57">
        <v>40</v>
      </c>
      <c r="I57">
        <v>40</v>
      </c>
      <c r="J57">
        <v>40</v>
      </c>
      <c r="K57">
        <v>40</v>
      </c>
      <c r="L57">
        <v>40</v>
      </c>
      <c r="M57">
        <v>40</v>
      </c>
      <c r="N57">
        <v>40</v>
      </c>
    </row>
    <row r="59" spans="1:14" ht="20.25" customHeight="1">
      <c r="A59" t="s">
        <v>187</v>
      </c>
    </row>
    <row r="60" spans="1:14" ht="20.25" customHeight="1">
      <c r="A60" s="34" t="s">
        <v>163</v>
      </c>
      <c r="B60" t="s">
        <v>164</v>
      </c>
      <c r="C60" s="34" t="s">
        <v>171</v>
      </c>
      <c r="D60" s="34" t="s">
        <v>172</v>
      </c>
      <c r="E60" s="34" t="s">
        <v>173</v>
      </c>
      <c r="F60" s="34" t="s">
        <v>174</v>
      </c>
      <c r="G60" s="34" t="s">
        <v>175</v>
      </c>
      <c r="H60" s="34" t="s">
        <v>176</v>
      </c>
    </row>
    <row r="61" spans="1:14" ht="20.25" customHeight="1">
      <c r="A61" s="34"/>
      <c r="B61" t="s">
        <v>177</v>
      </c>
      <c r="C61" s="34"/>
      <c r="D61" s="34"/>
      <c r="E61" s="34"/>
      <c r="F61" s="34"/>
      <c r="G61" s="34"/>
      <c r="H61" s="34"/>
    </row>
    <row r="62" spans="1:14" ht="20.25" customHeight="1">
      <c r="A62" t="s">
        <v>178</v>
      </c>
      <c r="B62">
        <v>0</v>
      </c>
      <c r="C62">
        <v>50</v>
      </c>
      <c r="D62">
        <v>50</v>
      </c>
      <c r="E62">
        <v>50</v>
      </c>
      <c r="F62">
        <v>50</v>
      </c>
      <c r="G62">
        <v>50</v>
      </c>
      <c r="H62">
        <v>50</v>
      </c>
    </row>
    <row r="63" spans="1:14" ht="20.25" customHeight="1">
      <c r="A63" t="s">
        <v>178</v>
      </c>
      <c r="B63">
        <v>0</v>
      </c>
      <c r="C63">
        <v>129</v>
      </c>
      <c r="D63">
        <v>144</v>
      </c>
      <c r="E63">
        <v>159</v>
      </c>
      <c r="F63">
        <v>169</v>
      </c>
      <c r="G63">
        <v>174</v>
      </c>
      <c r="H63">
        <v>179</v>
      </c>
    </row>
    <row r="64" spans="1:14" ht="20.25" customHeight="1">
      <c r="A64" t="s">
        <v>178</v>
      </c>
      <c r="B64">
        <v>10</v>
      </c>
      <c r="C64">
        <v>130</v>
      </c>
      <c r="D64">
        <v>145</v>
      </c>
      <c r="E64">
        <v>160</v>
      </c>
      <c r="F64">
        <v>170</v>
      </c>
      <c r="G64">
        <v>175</v>
      </c>
      <c r="H64">
        <v>180</v>
      </c>
    </row>
    <row r="65" spans="1:8" ht="20.25" customHeight="1">
      <c r="A65" t="s">
        <v>178</v>
      </c>
      <c r="B65">
        <v>10</v>
      </c>
      <c r="C65">
        <v>134</v>
      </c>
      <c r="D65">
        <v>149</v>
      </c>
      <c r="E65">
        <v>164</v>
      </c>
      <c r="F65">
        <v>174</v>
      </c>
      <c r="G65">
        <v>179</v>
      </c>
      <c r="H65">
        <v>184</v>
      </c>
    </row>
    <row r="66" spans="1:8" ht="20.25" customHeight="1">
      <c r="A66" t="s">
        <v>178</v>
      </c>
      <c r="B66">
        <v>20</v>
      </c>
      <c r="C66">
        <v>135</v>
      </c>
      <c r="D66">
        <v>150</v>
      </c>
      <c r="E66">
        <v>165</v>
      </c>
      <c r="F66">
        <v>175</v>
      </c>
      <c r="G66">
        <v>180</v>
      </c>
      <c r="H66">
        <v>185</v>
      </c>
    </row>
    <row r="67" spans="1:8" ht="20.25" customHeight="1">
      <c r="A67" t="s">
        <v>178</v>
      </c>
      <c r="B67">
        <v>20</v>
      </c>
      <c r="C67">
        <v>139</v>
      </c>
      <c r="D67">
        <v>154</v>
      </c>
      <c r="E67">
        <v>169</v>
      </c>
      <c r="F67">
        <v>179</v>
      </c>
      <c r="G67">
        <v>184</v>
      </c>
      <c r="H67">
        <v>189</v>
      </c>
    </row>
    <row r="68" spans="1:8" ht="20.25" customHeight="1">
      <c r="A68" t="s">
        <v>178</v>
      </c>
      <c r="B68">
        <v>30</v>
      </c>
      <c r="C68">
        <v>140</v>
      </c>
      <c r="D68">
        <v>155</v>
      </c>
      <c r="E68">
        <v>170</v>
      </c>
      <c r="F68">
        <v>180</v>
      </c>
      <c r="G68">
        <v>185</v>
      </c>
      <c r="H68">
        <v>190</v>
      </c>
    </row>
    <row r="69" spans="1:8" ht="20.25" customHeight="1">
      <c r="A69" t="s">
        <v>178</v>
      </c>
      <c r="B69">
        <v>30</v>
      </c>
      <c r="C69">
        <v>144</v>
      </c>
      <c r="D69">
        <v>159</v>
      </c>
      <c r="E69">
        <v>174</v>
      </c>
      <c r="F69">
        <v>184</v>
      </c>
      <c r="G69">
        <v>189</v>
      </c>
      <c r="H69">
        <v>194</v>
      </c>
    </row>
    <row r="70" spans="1:8" ht="20.25" customHeight="1">
      <c r="A70" t="s">
        <v>178</v>
      </c>
      <c r="B70">
        <v>40</v>
      </c>
      <c r="C70">
        <v>145</v>
      </c>
      <c r="D70">
        <v>160</v>
      </c>
      <c r="E70">
        <v>175</v>
      </c>
      <c r="F70">
        <v>185</v>
      </c>
      <c r="G70">
        <v>190</v>
      </c>
      <c r="H70">
        <v>195</v>
      </c>
    </row>
    <row r="71" spans="1:8" ht="20.25" customHeight="1">
      <c r="A71" t="s">
        <v>178</v>
      </c>
      <c r="B71">
        <v>40</v>
      </c>
      <c r="C71">
        <v>149</v>
      </c>
      <c r="D71">
        <v>164</v>
      </c>
      <c r="E71">
        <v>179</v>
      </c>
      <c r="F71">
        <v>189</v>
      </c>
      <c r="G71">
        <v>194</v>
      </c>
      <c r="H71">
        <v>199</v>
      </c>
    </row>
    <row r="72" spans="1:8" ht="20.25" customHeight="1">
      <c r="A72" t="s">
        <v>178</v>
      </c>
      <c r="B72">
        <v>50</v>
      </c>
      <c r="C72">
        <v>150</v>
      </c>
      <c r="D72">
        <v>165</v>
      </c>
      <c r="E72">
        <v>180</v>
      </c>
      <c r="F72">
        <v>190</v>
      </c>
      <c r="G72">
        <v>195</v>
      </c>
      <c r="H72">
        <v>200</v>
      </c>
    </row>
    <row r="73" spans="1:8" ht="20.25" customHeight="1">
      <c r="A73" t="s">
        <v>178</v>
      </c>
      <c r="B73">
        <v>50</v>
      </c>
      <c r="C73">
        <v>154</v>
      </c>
      <c r="D73">
        <v>169</v>
      </c>
      <c r="E73">
        <v>184</v>
      </c>
      <c r="F73">
        <v>194</v>
      </c>
      <c r="G73">
        <v>199</v>
      </c>
      <c r="H73">
        <v>204</v>
      </c>
    </row>
    <row r="74" spans="1:8" ht="20.25" customHeight="1">
      <c r="A74" t="s">
        <v>179</v>
      </c>
      <c r="B74">
        <v>60</v>
      </c>
      <c r="C74">
        <v>155</v>
      </c>
      <c r="D74">
        <v>170</v>
      </c>
      <c r="E74">
        <v>185</v>
      </c>
      <c r="F74">
        <v>195</v>
      </c>
      <c r="G74">
        <v>200</v>
      </c>
      <c r="H74">
        <v>205</v>
      </c>
    </row>
    <row r="75" spans="1:8" ht="20.25" customHeight="1">
      <c r="A75" t="s">
        <v>179</v>
      </c>
      <c r="B75">
        <v>60</v>
      </c>
      <c r="C75">
        <v>158</v>
      </c>
      <c r="D75">
        <v>173</v>
      </c>
      <c r="E75">
        <v>188</v>
      </c>
      <c r="F75">
        <v>198</v>
      </c>
      <c r="G75">
        <v>203</v>
      </c>
      <c r="H75">
        <v>208</v>
      </c>
    </row>
    <row r="76" spans="1:8" ht="20.25" customHeight="1">
      <c r="A76" t="s">
        <v>179</v>
      </c>
      <c r="B76">
        <v>62</v>
      </c>
      <c r="C76">
        <v>159</v>
      </c>
      <c r="D76">
        <v>174</v>
      </c>
      <c r="E76">
        <v>189</v>
      </c>
      <c r="F76">
        <v>199</v>
      </c>
      <c r="G76">
        <v>204</v>
      </c>
      <c r="H76">
        <v>209</v>
      </c>
    </row>
    <row r="77" spans="1:8" ht="20.25" customHeight="1">
      <c r="A77" t="s">
        <v>179</v>
      </c>
      <c r="B77">
        <v>62</v>
      </c>
      <c r="C77">
        <v>162</v>
      </c>
      <c r="D77">
        <v>177</v>
      </c>
      <c r="E77">
        <v>192</v>
      </c>
      <c r="F77">
        <v>202</v>
      </c>
      <c r="G77">
        <v>207</v>
      </c>
      <c r="H77">
        <v>212</v>
      </c>
    </row>
    <row r="78" spans="1:8" ht="20.25" customHeight="1">
      <c r="A78" t="s">
        <v>179</v>
      </c>
      <c r="B78">
        <v>64</v>
      </c>
      <c r="C78">
        <v>163</v>
      </c>
      <c r="D78">
        <v>178</v>
      </c>
      <c r="E78">
        <v>193</v>
      </c>
      <c r="F78">
        <v>203</v>
      </c>
      <c r="G78">
        <v>208</v>
      </c>
      <c r="H78">
        <v>213</v>
      </c>
    </row>
    <row r="79" spans="1:8" ht="20.25" customHeight="1">
      <c r="A79" t="s">
        <v>179</v>
      </c>
      <c r="B79">
        <v>64</v>
      </c>
      <c r="C79">
        <v>166</v>
      </c>
      <c r="D79">
        <v>181</v>
      </c>
      <c r="E79">
        <v>196</v>
      </c>
      <c r="F79">
        <v>206</v>
      </c>
      <c r="G79">
        <v>211</v>
      </c>
      <c r="H79">
        <v>216</v>
      </c>
    </row>
    <row r="80" spans="1:8" ht="20.25" customHeight="1">
      <c r="A80" t="s">
        <v>179</v>
      </c>
      <c r="B80">
        <v>66</v>
      </c>
      <c r="C80">
        <v>167</v>
      </c>
      <c r="D80">
        <v>182</v>
      </c>
      <c r="E80">
        <v>197</v>
      </c>
      <c r="F80">
        <v>207</v>
      </c>
      <c r="G80">
        <v>212</v>
      </c>
      <c r="H80">
        <v>217</v>
      </c>
    </row>
    <row r="81" spans="1:8" ht="20.25" customHeight="1">
      <c r="A81" t="s">
        <v>179</v>
      </c>
      <c r="B81">
        <v>66</v>
      </c>
      <c r="C81">
        <v>170</v>
      </c>
      <c r="D81">
        <v>185</v>
      </c>
      <c r="E81">
        <v>200</v>
      </c>
      <c r="F81">
        <v>210</v>
      </c>
      <c r="G81">
        <v>215</v>
      </c>
      <c r="H81">
        <v>220</v>
      </c>
    </row>
    <row r="82" spans="1:8" ht="20.25" customHeight="1">
      <c r="A82" t="s">
        <v>179</v>
      </c>
      <c r="B82">
        <v>68</v>
      </c>
      <c r="C82">
        <v>171</v>
      </c>
      <c r="D82">
        <v>186</v>
      </c>
      <c r="E82">
        <v>201</v>
      </c>
      <c r="F82">
        <v>211</v>
      </c>
      <c r="G82">
        <v>216</v>
      </c>
      <c r="H82">
        <v>221</v>
      </c>
    </row>
    <row r="83" spans="1:8" ht="20.25" customHeight="1">
      <c r="A83" t="s">
        <v>179</v>
      </c>
      <c r="B83">
        <v>68</v>
      </c>
      <c r="C83">
        <v>174</v>
      </c>
      <c r="D83">
        <v>189</v>
      </c>
      <c r="E83">
        <v>204</v>
      </c>
      <c r="F83">
        <v>214</v>
      </c>
      <c r="G83">
        <v>219</v>
      </c>
      <c r="H83">
        <v>224</v>
      </c>
    </row>
    <row r="84" spans="1:8" ht="20.25" customHeight="1">
      <c r="A84" t="s">
        <v>179</v>
      </c>
      <c r="B84">
        <v>70</v>
      </c>
      <c r="C84">
        <v>175</v>
      </c>
      <c r="D84">
        <v>190</v>
      </c>
      <c r="E84">
        <v>205</v>
      </c>
      <c r="F84">
        <v>215</v>
      </c>
      <c r="G84">
        <v>220</v>
      </c>
      <c r="H84">
        <v>225</v>
      </c>
    </row>
    <row r="85" spans="1:8" ht="20.25" customHeight="1">
      <c r="A85" t="s">
        <v>179</v>
      </c>
      <c r="B85">
        <v>70</v>
      </c>
      <c r="C85">
        <v>178</v>
      </c>
      <c r="D85">
        <v>193</v>
      </c>
      <c r="E85">
        <v>208</v>
      </c>
      <c r="F85">
        <v>218</v>
      </c>
      <c r="G85">
        <v>223</v>
      </c>
      <c r="H85">
        <v>228</v>
      </c>
    </row>
    <row r="86" spans="1:8" ht="20.25" customHeight="1">
      <c r="A86" t="s">
        <v>179</v>
      </c>
      <c r="B86">
        <v>72</v>
      </c>
      <c r="C86">
        <v>179</v>
      </c>
      <c r="D86">
        <v>194</v>
      </c>
      <c r="E86">
        <v>209</v>
      </c>
      <c r="F86">
        <v>219</v>
      </c>
      <c r="G86">
        <v>224</v>
      </c>
      <c r="H86">
        <v>229</v>
      </c>
    </row>
    <row r="87" spans="1:8" ht="20.25" customHeight="1">
      <c r="A87" t="s">
        <v>179</v>
      </c>
      <c r="B87">
        <v>72</v>
      </c>
      <c r="C87">
        <v>182</v>
      </c>
      <c r="D87">
        <v>197</v>
      </c>
      <c r="E87">
        <v>212</v>
      </c>
      <c r="F87">
        <v>222</v>
      </c>
      <c r="G87">
        <v>227</v>
      </c>
      <c r="H87">
        <v>232</v>
      </c>
    </row>
    <row r="88" spans="1:8" ht="20.25" customHeight="1">
      <c r="A88" t="s">
        <v>179</v>
      </c>
      <c r="B88">
        <v>74</v>
      </c>
      <c r="C88">
        <v>183</v>
      </c>
      <c r="D88">
        <v>198</v>
      </c>
      <c r="E88">
        <v>213</v>
      </c>
      <c r="F88">
        <v>223</v>
      </c>
      <c r="G88">
        <v>228</v>
      </c>
      <c r="H88">
        <v>233</v>
      </c>
    </row>
    <row r="89" spans="1:8" ht="20.25" customHeight="1">
      <c r="A89" t="s">
        <v>179</v>
      </c>
      <c r="B89">
        <v>74</v>
      </c>
      <c r="C89">
        <v>186</v>
      </c>
      <c r="D89">
        <v>201</v>
      </c>
      <c r="E89">
        <v>216</v>
      </c>
      <c r="F89">
        <v>226</v>
      </c>
      <c r="G89">
        <v>231</v>
      </c>
      <c r="H89">
        <v>236</v>
      </c>
    </row>
    <row r="90" spans="1:8" ht="20.25" customHeight="1">
      <c r="A90" t="s">
        <v>179</v>
      </c>
      <c r="B90">
        <v>76</v>
      </c>
      <c r="C90">
        <v>187</v>
      </c>
      <c r="D90">
        <v>202</v>
      </c>
      <c r="E90">
        <v>217</v>
      </c>
      <c r="F90">
        <v>227</v>
      </c>
      <c r="G90">
        <v>232</v>
      </c>
      <c r="H90">
        <v>237</v>
      </c>
    </row>
    <row r="91" spans="1:8" ht="20.25" customHeight="1">
      <c r="A91" t="s">
        <v>179</v>
      </c>
      <c r="B91">
        <v>76</v>
      </c>
      <c r="C91">
        <v>190</v>
      </c>
      <c r="D91">
        <v>205</v>
      </c>
      <c r="E91">
        <v>220</v>
      </c>
      <c r="F91">
        <v>230</v>
      </c>
      <c r="G91">
        <v>235</v>
      </c>
      <c r="H91">
        <v>240</v>
      </c>
    </row>
    <row r="92" spans="1:8" ht="20.25" customHeight="1">
      <c r="A92" t="s">
        <v>179</v>
      </c>
      <c r="B92">
        <v>78</v>
      </c>
      <c r="C92">
        <v>191</v>
      </c>
      <c r="D92">
        <v>206</v>
      </c>
      <c r="E92">
        <v>221</v>
      </c>
      <c r="F92">
        <v>231</v>
      </c>
      <c r="G92">
        <v>236</v>
      </c>
      <c r="H92">
        <v>241</v>
      </c>
    </row>
    <row r="93" spans="1:8" ht="20.25" customHeight="1">
      <c r="A93" t="s">
        <v>179</v>
      </c>
      <c r="B93">
        <v>78</v>
      </c>
      <c r="C93">
        <v>194</v>
      </c>
      <c r="D93">
        <v>209</v>
      </c>
      <c r="E93">
        <v>224</v>
      </c>
      <c r="F93">
        <v>234</v>
      </c>
      <c r="G93">
        <v>239</v>
      </c>
      <c r="H93">
        <v>244</v>
      </c>
    </row>
    <row r="94" spans="1:8" ht="20.25" customHeight="1">
      <c r="A94" t="s">
        <v>180</v>
      </c>
      <c r="B94">
        <v>80</v>
      </c>
      <c r="C94">
        <v>195</v>
      </c>
      <c r="D94">
        <v>210</v>
      </c>
      <c r="E94">
        <v>225</v>
      </c>
      <c r="F94">
        <v>235</v>
      </c>
      <c r="G94">
        <v>240</v>
      </c>
      <c r="H94">
        <v>245</v>
      </c>
    </row>
    <row r="95" spans="1:8" ht="20.25" customHeight="1">
      <c r="A95" t="s">
        <v>180</v>
      </c>
      <c r="B95">
        <v>80</v>
      </c>
      <c r="C95">
        <v>202</v>
      </c>
      <c r="D95">
        <v>217</v>
      </c>
      <c r="E95">
        <v>232</v>
      </c>
      <c r="F95">
        <v>242</v>
      </c>
      <c r="G95">
        <v>247</v>
      </c>
      <c r="H95">
        <v>252</v>
      </c>
    </row>
    <row r="96" spans="1:8" ht="20.25" customHeight="1">
      <c r="A96" t="s">
        <v>180</v>
      </c>
      <c r="B96">
        <v>85</v>
      </c>
      <c r="C96">
        <v>203</v>
      </c>
      <c r="D96">
        <v>218</v>
      </c>
      <c r="E96">
        <v>233</v>
      </c>
      <c r="F96">
        <v>243</v>
      </c>
      <c r="G96">
        <v>248</v>
      </c>
      <c r="H96">
        <v>253</v>
      </c>
    </row>
    <row r="97" spans="1:14" ht="20.25" customHeight="1">
      <c r="A97" t="s">
        <v>180</v>
      </c>
      <c r="B97">
        <v>85</v>
      </c>
      <c r="C97">
        <v>210</v>
      </c>
      <c r="D97">
        <v>225</v>
      </c>
      <c r="E97">
        <v>239</v>
      </c>
      <c r="F97">
        <v>249</v>
      </c>
      <c r="G97">
        <v>254</v>
      </c>
      <c r="H97">
        <v>259</v>
      </c>
    </row>
    <row r="98" spans="1:14" ht="20.25" customHeight="1">
      <c r="A98" t="s">
        <v>181</v>
      </c>
      <c r="B98">
        <v>90</v>
      </c>
      <c r="C98">
        <v>211</v>
      </c>
      <c r="D98">
        <v>226</v>
      </c>
      <c r="E98">
        <v>240</v>
      </c>
      <c r="F98">
        <v>250</v>
      </c>
      <c r="G98">
        <v>255</v>
      </c>
      <c r="H98">
        <v>260</v>
      </c>
    </row>
    <row r="99" spans="1:14" ht="20.25" customHeight="1">
      <c r="A99" t="s">
        <v>181</v>
      </c>
      <c r="B99">
        <v>90</v>
      </c>
      <c r="C99">
        <v>217</v>
      </c>
      <c r="D99">
        <v>232</v>
      </c>
      <c r="E99">
        <v>244</v>
      </c>
      <c r="F99">
        <v>254</v>
      </c>
      <c r="G99">
        <v>259</v>
      </c>
      <c r="H99">
        <v>264</v>
      </c>
    </row>
    <row r="100" spans="1:14" ht="20.25" customHeight="1">
      <c r="A100" t="s">
        <v>181</v>
      </c>
      <c r="B100">
        <v>95</v>
      </c>
      <c r="C100">
        <v>218</v>
      </c>
      <c r="D100">
        <v>233</v>
      </c>
      <c r="E100">
        <v>245</v>
      </c>
      <c r="F100">
        <v>255</v>
      </c>
      <c r="G100">
        <v>260</v>
      </c>
      <c r="H100">
        <v>265</v>
      </c>
    </row>
    <row r="101" spans="1:14" ht="20.25" customHeight="1">
      <c r="A101" t="s">
        <v>181</v>
      </c>
      <c r="B101">
        <v>95</v>
      </c>
      <c r="C101">
        <v>224</v>
      </c>
      <c r="D101">
        <v>239</v>
      </c>
      <c r="E101">
        <v>249</v>
      </c>
      <c r="F101">
        <v>259</v>
      </c>
      <c r="G101">
        <v>264</v>
      </c>
      <c r="H101">
        <v>269</v>
      </c>
    </row>
    <row r="102" spans="1:14" ht="20.25" customHeight="1">
      <c r="A102" t="s">
        <v>181</v>
      </c>
      <c r="B102">
        <v>100</v>
      </c>
      <c r="C102">
        <v>225</v>
      </c>
      <c r="D102">
        <v>240</v>
      </c>
      <c r="E102">
        <v>250</v>
      </c>
      <c r="F102">
        <v>260</v>
      </c>
      <c r="G102">
        <v>265</v>
      </c>
      <c r="H102">
        <v>270</v>
      </c>
    </row>
    <row r="103" spans="1:14" ht="20.25" customHeight="1">
      <c r="A103" t="s">
        <v>181</v>
      </c>
      <c r="B103">
        <v>100</v>
      </c>
      <c r="C103">
        <v>400</v>
      </c>
      <c r="D103">
        <v>400</v>
      </c>
      <c r="E103">
        <v>400</v>
      </c>
      <c r="F103">
        <v>400</v>
      </c>
      <c r="G103">
        <v>400</v>
      </c>
      <c r="H103">
        <v>400</v>
      </c>
    </row>
    <row r="104" spans="1:14" ht="20.25" customHeight="1">
      <c r="A104" t="s">
        <v>188</v>
      </c>
    </row>
    <row r="105" spans="1:14" ht="20.25" customHeight="1">
      <c r="A105" s="34" t="s">
        <v>163</v>
      </c>
      <c r="B105" t="s">
        <v>164</v>
      </c>
      <c r="C105" s="34" t="s">
        <v>165</v>
      </c>
      <c r="D105" s="34" t="s">
        <v>166</v>
      </c>
      <c r="E105" s="34" t="s">
        <v>167</v>
      </c>
      <c r="F105" s="34" t="s">
        <v>168</v>
      </c>
      <c r="G105" s="34" t="s">
        <v>169</v>
      </c>
      <c r="H105" s="34" t="s">
        <v>170</v>
      </c>
      <c r="I105" s="34" t="s">
        <v>171</v>
      </c>
      <c r="J105" s="34" t="s">
        <v>172</v>
      </c>
      <c r="K105" s="34" t="s">
        <v>173</v>
      </c>
      <c r="L105" s="34" t="s">
        <v>174</v>
      </c>
      <c r="M105" s="34" t="s">
        <v>175</v>
      </c>
      <c r="N105" s="34" t="s">
        <v>176</v>
      </c>
    </row>
    <row r="106" spans="1:14" ht="20.25" customHeight="1">
      <c r="A106" s="34"/>
      <c r="B106" t="s">
        <v>177</v>
      </c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</row>
    <row r="107" spans="1:14" ht="20.25" customHeight="1">
      <c r="A107" t="s">
        <v>178</v>
      </c>
      <c r="B107">
        <v>0</v>
      </c>
      <c r="C107">
        <v>-20</v>
      </c>
      <c r="D107">
        <v>-20</v>
      </c>
      <c r="E107">
        <v>-20</v>
      </c>
      <c r="F107">
        <v>-20</v>
      </c>
      <c r="G107">
        <v>-20</v>
      </c>
      <c r="H107">
        <v>-20</v>
      </c>
      <c r="I107">
        <v>-20</v>
      </c>
      <c r="J107">
        <v>-20</v>
      </c>
      <c r="K107">
        <v>-20</v>
      </c>
      <c r="L107">
        <v>-20</v>
      </c>
      <c r="M107">
        <v>-20</v>
      </c>
      <c r="N107">
        <v>-20</v>
      </c>
    </row>
    <row r="108" spans="1:14" ht="20.25" customHeight="1">
      <c r="A108" t="s">
        <v>178</v>
      </c>
      <c r="B108">
        <v>0</v>
      </c>
      <c r="C108">
        <v>-4.01</v>
      </c>
      <c r="D108">
        <v>-4.41</v>
      </c>
      <c r="E108">
        <v>-4.8099999999999996</v>
      </c>
      <c r="F108">
        <v>-7.21</v>
      </c>
      <c r="G108">
        <v>-7.61</v>
      </c>
      <c r="H108">
        <v>-9.01</v>
      </c>
      <c r="I108">
        <v>-8.61</v>
      </c>
      <c r="J108">
        <v>-7.41</v>
      </c>
      <c r="K108">
        <v>-6.21</v>
      </c>
      <c r="L108">
        <v>-4.01</v>
      </c>
      <c r="M108">
        <v>-2.91</v>
      </c>
      <c r="N108">
        <v>-1.81</v>
      </c>
    </row>
    <row r="109" spans="1:14" ht="20.25" customHeight="1">
      <c r="A109" t="s">
        <v>178</v>
      </c>
      <c r="B109">
        <v>10</v>
      </c>
      <c r="C109">
        <v>-4</v>
      </c>
      <c r="D109">
        <v>-4.4000000000000004</v>
      </c>
      <c r="E109">
        <v>-4.8</v>
      </c>
      <c r="F109">
        <v>-7.2</v>
      </c>
      <c r="G109">
        <v>-7.6</v>
      </c>
      <c r="H109">
        <v>-9</v>
      </c>
      <c r="I109">
        <v>-8.6</v>
      </c>
      <c r="J109">
        <v>-7.4</v>
      </c>
      <c r="K109">
        <v>-6.2</v>
      </c>
      <c r="L109">
        <v>-4</v>
      </c>
      <c r="M109">
        <v>-2.9</v>
      </c>
      <c r="N109">
        <v>-1.8</v>
      </c>
    </row>
    <row r="110" spans="1:14" ht="20.25" customHeight="1">
      <c r="A110" t="s">
        <v>178</v>
      </c>
      <c r="B110">
        <v>10</v>
      </c>
      <c r="C110">
        <v>-3.21</v>
      </c>
      <c r="D110">
        <v>-3.61</v>
      </c>
      <c r="E110">
        <v>-4.01</v>
      </c>
      <c r="F110">
        <v>-6.21</v>
      </c>
      <c r="G110">
        <v>-6.61</v>
      </c>
      <c r="H110">
        <v>-8.01</v>
      </c>
      <c r="I110">
        <v>-7.41</v>
      </c>
      <c r="J110">
        <v>-6.21</v>
      </c>
      <c r="K110">
        <v>-5.01</v>
      </c>
      <c r="L110">
        <v>-3.01</v>
      </c>
      <c r="M110">
        <v>-1.91</v>
      </c>
      <c r="N110">
        <v>-0.81</v>
      </c>
    </row>
    <row r="111" spans="1:14" ht="20.25" customHeight="1">
      <c r="A111" t="s">
        <v>178</v>
      </c>
      <c r="B111">
        <v>20</v>
      </c>
      <c r="C111">
        <v>-3.2</v>
      </c>
      <c r="D111">
        <v>-3.6</v>
      </c>
      <c r="E111">
        <v>-4</v>
      </c>
      <c r="F111">
        <v>-6.2</v>
      </c>
      <c r="G111">
        <v>-6.6</v>
      </c>
      <c r="H111">
        <v>-8</v>
      </c>
      <c r="I111">
        <v>-7.4</v>
      </c>
      <c r="J111">
        <v>-6.2</v>
      </c>
      <c r="K111">
        <v>-5</v>
      </c>
      <c r="L111">
        <v>-3</v>
      </c>
      <c r="M111">
        <v>-1.9</v>
      </c>
      <c r="N111">
        <v>-0.8</v>
      </c>
    </row>
    <row r="112" spans="1:14" ht="20.25" customHeight="1">
      <c r="A112" t="s">
        <v>178</v>
      </c>
      <c r="B112">
        <v>20</v>
      </c>
      <c r="C112">
        <v>-2.41</v>
      </c>
      <c r="D112">
        <v>-2.81</v>
      </c>
      <c r="E112">
        <v>-3.21</v>
      </c>
      <c r="F112">
        <v>-5.21</v>
      </c>
      <c r="G112">
        <v>-5.61</v>
      </c>
      <c r="H112">
        <v>-7.01</v>
      </c>
      <c r="I112">
        <v>-6.21</v>
      </c>
      <c r="J112">
        <v>-5.01</v>
      </c>
      <c r="K112">
        <v>-3.81</v>
      </c>
      <c r="L112">
        <v>-2.0099999999999998</v>
      </c>
      <c r="M112">
        <v>-0.91</v>
      </c>
      <c r="N112">
        <v>0.19</v>
      </c>
    </row>
    <row r="113" spans="1:14" ht="20.25" customHeight="1">
      <c r="A113" t="s">
        <v>178</v>
      </c>
      <c r="B113">
        <v>30</v>
      </c>
      <c r="C113">
        <v>-2.4</v>
      </c>
      <c r="D113">
        <v>-2.8</v>
      </c>
      <c r="E113">
        <v>-3.2</v>
      </c>
      <c r="F113">
        <v>-5.2</v>
      </c>
      <c r="G113">
        <v>-5.6</v>
      </c>
      <c r="H113">
        <v>-7</v>
      </c>
      <c r="I113">
        <v>-6.2</v>
      </c>
      <c r="J113">
        <v>-5</v>
      </c>
      <c r="K113">
        <v>-3.8</v>
      </c>
      <c r="L113">
        <v>-2</v>
      </c>
      <c r="M113">
        <v>-0.9</v>
      </c>
      <c r="N113">
        <v>0.2</v>
      </c>
    </row>
    <row r="114" spans="1:14" ht="20.25" customHeight="1">
      <c r="A114" t="s">
        <v>178</v>
      </c>
      <c r="B114">
        <v>30</v>
      </c>
      <c r="C114">
        <v>-1.61</v>
      </c>
      <c r="D114">
        <v>-2.0099999999999998</v>
      </c>
      <c r="E114">
        <v>-2.41</v>
      </c>
      <c r="F114">
        <v>-4.21</v>
      </c>
      <c r="G114">
        <v>-4.6100000000000003</v>
      </c>
      <c r="H114">
        <v>-6.01</v>
      </c>
      <c r="I114">
        <v>-5.01</v>
      </c>
      <c r="J114">
        <v>-3.81</v>
      </c>
      <c r="K114">
        <v>-2.61</v>
      </c>
      <c r="L114">
        <v>-1.01</v>
      </c>
      <c r="M114">
        <v>0.09</v>
      </c>
      <c r="N114">
        <v>1.19</v>
      </c>
    </row>
    <row r="115" spans="1:14" ht="20.25" customHeight="1">
      <c r="A115" t="s">
        <v>178</v>
      </c>
      <c r="B115">
        <v>40</v>
      </c>
      <c r="C115">
        <v>-1.6</v>
      </c>
      <c r="D115">
        <v>-2</v>
      </c>
      <c r="E115">
        <v>-2.4</v>
      </c>
      <c r="F115">
        <v>-4.2</v>
      </c>
      <c r="G115">
        <v>-4.5999999999999996</v>
      </c>
      <c r="H115">
        <v>-6</v>
      </c>
      <c r="I115">
        <v>-5</v>
      </c>
      <c r="J115">
        <v>-3.8</v>
      </c>
      <c r="K115">
        <v>-2.6</v>
      </c>
      <c r="L115">
        <v>-1</v>
      </c>
      <c r="M115">
        <v>0.1</v>
      </c>
      <c r="N115">
        <v>1.2</v>
      </c>
    </row>
    <row r="116" spans="1:14" ht="20.25" customHeight="1">
      <c r="A116" t="s">
        <v>178</v>
      </c>
      <c r="B116">
        <v>40</v>
      </c>
      <c r="C116">
        <v>-0.81</v>
      </c>
      <c r="D116">
        <v>-1.21</v>
      </c>
      <c r="E116">
        <v>-1.61</v>
      </c>
      <c r="F116">
        <v>-3.21</v>
      </c>
      <c r="G116">
        <v>-3.61</v>
      </c>
      <c r="H116">
        <v>-5.01</v>
      </c>
      <c r="I116">
        <v>-3.81</v>
      </c>
      <c r="J116">
        <v>-2.61</v>
      </c>
      <c r="K116">
        <v>-1.41</v>
      </c>
      <c r="L116">
        <v>-0.99</v>
      </c>
      <c r="M116">
        <v>1.0900000000000001</v>
      </c>
      <c r="N116">
        <v>2.19</v>
      </c>
    </row>
    <row r="117" spans="1:14" ht="20.25" customHeight="1">
      <c r="A117" t="s">
        <v>178</v>
      </c>
      <c r="B117">
        <v>50</v>
      </c>
      <c r="C117">
        <v>-0.8</v>
      </c>
      <c r="D117">
        <v>-1.2</v>
      </c>
      <c r="E117">
        <v>-1.6</v>
      </c>
      <c r="F117">
        <v>-3.2</v>
      </c>
      <c r="G117">
        <v>-3.6</v>
      </c>
      <c r="H117">
        <v>-5</v>
      </c>
      <c r="I117">
        <v>-3.8</v>
      </c>
      <c r="J117">
        <v>-2.6</v>
      </c>
      <c r="K117">
        <v>-1.4</v>
      </c>
      <c r="L117">
        <v>0</v>
      </c>
      <c r="M117">
        <v>1.1000000000000001</v>
      </c>
      <c r="N117">
        <v>2.2000000000000002</v>
      </c>
    </row>
    <row r="118" spans="1:14" ht="20.25" customHeight="1">
      <c r="A118" t="s">
        <v>178</v>
      </c>
      <c r="B118">
        <v>50</v>
      </c>
      <c r="C118">
        <v>-0.99</v>
      </c>
      <c r="D118">
        <v>-0.41</v>
      </c>
      <c r="E118">
        <v>-0.81</v>
      </c>
      <c r="F118">
        <v>-2.21</v>
      </c>
      <c r="G118">
        <v>-2.61</v>
      </c>
      <c r="H118">
        <v>-4.01</v>
      </c>
      <c r="I118">
        <v>-2.61</v>
      </c>
      <c r="J118">
        <v>-1.41</v>
      </c>
      <c r="K118">
        <v>-0.21</v>
      </c>
      <c r="L118">
        <v>0.99</v>
      </c>
      <c r="M118">
        <v>2.09</v>
      </c>
      <c r="N118">
        <v>3.19</v>
      </c>
    </row>
    <row r="119" spans="1:14" ht="20.25" customHeight="1">
      <c r="A119" t="s">
        <v>179</v>
      </c>
      <c r="B119">
        <v>60</v>
      </c>
      <c r="C119">
        <v>0</v>
      </c>
      <c r="D119">
        <v>-0.4</v>
      </c>
      <c r="E119">
        <v>-0.8</v>
      </c>
      <c r="F119">
        <v>-2.2000000000000002</v>
      </c>
      <c r="G119">
        <v>-2.6</v>
      </c>
      <c r="H119">
        <v>-4</v>
      </c>
      <c r="I119">
        <v>-2.6</v>
      </c>
      <c r="J119">
        <v>-1.4</v>
      </c>
      <c r="K119">
        <v>-0.2</v>
      </c>
      <c r="L119">
        <v>1</v>
      </c>
      <c r="M119">
        <v>2.1</v>
      </c>
      <c r="N119">
        <v>3.2</v>
      </c>
    </row>
    <row r="120" spans="1:14" ht="20.25" customHeight="1">
      <c r="A120" t="s">
        <v>179</v>
      </c>
      <c r="B120">
        <v>60</v>
      </c>
      <c r="C120">
        <v>1.0900000000000001</v>
      </c>
      <c r="D120">
        <v>0.69</v>
      </c>
      <c r="E120">
        <v>0.28999999999999998</v>
      </c>
      <c r="F120">
        <v>-1.1000000000000001</v>
      </c>
      <c r="G120">
        <v>-1.41</v>
      </c>
      <c r="H120">
        <v>-2.71</v>
      </c>
      <c r="I120">
        <v>-1.31</v>
      </c>
      <c r="J120">
        <v>-0.11</v>
      </c>
      <c r="K120">
        <v>1.19</v>
      </c>
      <c r="L120">
        <v>2.39</v>
      </c>
      <c r="M120">
        <v>3.49</v>
      </c>
      <c r="N120">
        <v>4.59</v>
      </c>
    </row>
    <row r="121" spans="1:14" ht="20.25" customHeight="1">
      <c r="A121" t="s">
        <v>179</v>
      </c>
      <c r="B121">
        <v>62</v>
      </c>
      <c r="C121">
        <v>1.1000000000000001</v>
      </c>
      <c r="D121">
        <v>0.7</v>
      </c>
      <c r="E121">
        <v>0.3</v>
      </c>
      <c r="F121">
        <v>-1</v>
      </c>
      <c r="G121">
        <v>-1.4</v>
      </c>
      <c r="H121">
        <v>-2.7</v>
      </c>
      <c r="I121">
        <v>-1.3</v>
      </c>
      <c r="J121">
        <v>-0.1</v>
      </c>
      <c r="K121">
        <v>1.2</v>
      </c>
      <c r="L121">
        <v>2.4</v>
      </c>
      <c r="M121">
        <v>3.5</v>
      </c>
      <c r="N121">
        <v>4.5999999999999996</v>
      </c>
    </row>
    <row r="122" spans="1:14" ht="20.25" customHeight="1">
      <c r="A122" t="s">
        <v>179</v>
      </c>
      <c r="B122">
        <v>62</v>
      </c>
      <c r="C122">
        <v>2.19</v>
      </c>
      <c r="D122">
        <v>1.79</v>
      </c>
      <c r="E122">
        <v>1.39</v>
      </c>
      <c r="F122">
        <v>0.19</v>
      </c>
      <c r="G122">
        <v>-0.21</v>
      </c>
      <c r="H122">
        <v>-1.41</v>
      </c>
      <c r="I122">
        <v>-0.99</v>
      </c>
      <c r="J122">
        <v>1.19</v>
      </c>
      <c r="K122">
        <v>2.59</v>
      </c>
      <c r="L122">
        <v>3.79</v>
      </c>
      <c r="M122">
        <v>4.8899999999999997</v>
      </c>
      <c r="N122">
        <v>5.99</v>
      </c>
    </row>
    <row r="123" spans="1:14" ht="20.25" customHeight="1">
      <c r="A123" t="s">
        <v>179</v>
      </c>
      <c r="B123">
        <v>64</v>
      </c>
      <c r="C123">
        <v>2.2000000000000002</v>
      </c>
      <c r="D123">
        <v>1.8</v>
      </c>
      <c r="E123">
        <v>1.4</v>
      </c>
      <c r="F123">
        <v>0.2</v>
      </c>
      <c r="G123">
        <v>-0.2</v>
      </c>
      <c r="H123">
        <v>-1.4</v>
      </c>
      <c r="I123">
        <v>0</v>
      </c>
      <c r="J123">
        <v>1.2</v>
      </c>
      <c r="K123">
        <v>2.6</v>
      </c>
      <c r="L123">
        <v>3.8</v>
      </c>
      <c r="M123">
        <v>4.9000000000000004</v>
      </c>
      <c r="N123">
        <v>6</v>
      </c>
    </row>
    <row r="124" spans="1:14" ht="20.25" customHeight="1">
      <c r="A124" t="s">
        <v>179</v>
      </c>
      <c r="B124">
        <v>64</v>
      </c>
      <c r="C124">
        <v>3.29</v>
      </c>
      <c r="D124">
        <v>2.89</v>
      </c>
      <c r="E124">
        <v>2.4900000000000002</v>
      </c>
      <c r="F124">
        <v>1.39</v>
      </c>
      <c r="G124">
        <v>0.99</v>
      </c>
      <c r="H124">
        <v>-0.11</v>
      </c>
      <c r="I124">
        <v>1.29</v>
      </c>
      <c r="J124">
        <v>2.4900000000000002</v>
      </c>
      <c r="K124">
        <v>3.99</v>
      </c>
      <c r="L124">
        <v>5.19</v>
      </c>
      <c r="M124">
        <v>6.29</v>
      </c>
      <c r="N124">
        <v>7.39</v>
      </c>
    </row>
    <row r="125" spans="1:14" ht="20.25" customHeight="1">
      <c r="A125" t="s">
        <v>179</v>
      </c>
      <c r="B125">
        <v>66</v>
      </c>
      <c r="C125">
        <v>3.3</v>
      </c>
      <c r="D125">
        <v>2.9</v>
      </c>
      <c r="E125">
        <v>2.5</v>
      </c>
      <c r="F125">
        <v>1.4</v>
      </c>
      <c r="G125">
        <v>1</v>
      </c>
      <c r="H125">
        <v>-0.1</v>
      </c>
      <c r="I125">
        <v>1.3</v>
      </c>
      <c r="J125">
        <v>2.5</v>
      </c>
      <c r="K125">
        <v>4</v>
      </c>
      <c r="L125">
        <v>5.2</v>
      </c>
      <c r="M125">
        <v>6.3</v>
      </c>
      <c r="N125">
        <v>7.4</v>
      </c>
    </row>
    <row r="126" spans="1:14" ht="20.25" customHeight="1">
      <c r="A126" t="s">
        <v>179</v>
      </c>
      <c r="B126">
        <v>66</v>
      </c>
      <c r="C126">
        <v>4.3899999999999997</v>
      </c>
      <c r="D126">
        <v>3.99</v>
      </c>
      <c r="E126">
        <v>3.59</v>
      </c>
      <c r="F126">
        <v>2.59</v>
      </c>
      <c r="G126">
        <v>2.19</v>
      </c>
      <c r="H126">
        <v>1.19</v>
      </c>
      <c r="I126">
        <v>2.59</v>
      </c>
      <c r="J126">
        <v>3.79</v>
      </c>
      <c r="K126">
        <v>5.39</v>
      </c>
      <c r="L126">
        <v>6.59</v>
      </c>
      <c r="M126">
        <v>7.69</v>
      </c>
      <c r="N126">
        <v>8.7899999999999991</v>
      </c>
    </row>
    <row r="127" spans="1:14" ht="20.25" customHeight="1">
      <c r="A127" t="s">
        <v>179</v>
      </c>
      <c r="B127">
        <v>68</v>
      </c>
      <c r="C127">
        <v>4.4000000000000004</v>
      </c>
      <c r="D127">
        <v>4</v>
      </c>
      <c r="E127">
        <v>3.6</v>
      </c>
      <c r="F127">
        <v>2.6</v>
      </c>
      <c r="G127">
        <v>2.2000000000000002</v>
      </c>
      <c r="H127">
        <v>1.2</v>
      </c>
      <c r="I127">
        <v>2.6</v>
      </c>
      <c r="J127">
        <v>3.8</v>
      </c>
      <c r="K127">
        <v>5.4</v>
      </c>
      <c r="L127">
        <v>6.6</v>
      </c>
      <c r="M127">
        <v>7.7</v>
      </c>
      <c r="N127">
        <v>8.8000000000000007</v>
      </c>
    </row>
    <row r="128" spans="1:14" ht="20.25" customHeight="1">
      <c r="A128" t="s">
        <v>179</v>
      </c>
      <c r="B128">
        <v>68</v>
      </c>
      <c r="C128">
        <v>5.49</v>
      </c>
      <c r="D128">
        <v>5.09</v>
      </c>
      <c r="E128">
        <v>4.6900000000000004</v>
      </c>
      <c r="F128">
        <v>3.79</v>
      </c>
      <c r="G128">
        <v>3.39</v>
      </c>
      <c r="H128">
        <v>2.4900000000000002</v>
      </c>
      <c r="I128">
        <v>3.89</v>
      </c>
      <c r="J128">
        <v>5.09</v>
      </c>
      <c r="K128">
        <v>6.79</v>
      </c>
      <c r="L128">
        <v>7.99</v>
      </c>
      <c r="M128">
        <v>9.09</v>
      </c>
      <c r="N128">
        <v>10.19</v>
      </c>
    </row>
    <row r="129" spans="1:14" ht="20.25" customHeight="1">
      <c r="A129" t="s">
        <v>179</v>
      </c>
      <c r="B129">
        <v>70</v>
      </c>
      <c r="C129">
        <v>5.5</v>
      </c>
      <c r="D129">
        <v>5.0999999999999996</v>
      </c>
      <c r="E129">
        <v>4.7</v>
      </c>
      <c r="F129">
        <v>3.8</v>
      </c>
      <c r="G129">
        <v>3.4</v>
      </c>
      <c r="H129">
        <v>2.5</v>
      </c>
      <c r="I129">
        <v>3.9</v>
      </c>
      <c r="J129">
        <v>5.0999999999999996</v>
      </c>
      <c r="K129">
        <v>6.8</v>
      </c>
      <c r="L129">
        <v>8</v>
      </c>
      <c r="M129">
        <v>9.1</v>
      </c>
      <c r="N129">
        <v>10.199999999999999</v>
      </c>
    </row>
    <row r="130" spans="1:14" ht="20.25" customHeight="1">
      <c r="A130" t="s">
        <v>179</v>
      </c>
      <c r="B130">
        <v>70</v>
      </c>
      <c r="C130">
        <v>6.59</v>
      </c>
      <c r="D130">
        <v>6.19</v>
      </c>
      <c r="E130">
        <v>5.79</v>
      </c>
      <c r="F130">
        <v>4.99</v>
      </c>
      <c r="G130">
        <v>4.59</v>
      </c>
      <c r="H130">
        <v>3.79</v>
      </c>
      <c r="I130">
        <v>5.19</v>
      </c>
      <c r="J130">
        <v>6.39</v>
      </c>
      <c r="K130">
        <v>8.19</v>
      </c>
      <c r="L130">
        <v>9.39</v>
      </c>
      <c r="M130">
        <v>10.49</v>
      </c>
      <c r="N130">
        <v>11.59</v>
      </c>
    </row>
    <row r="131" spans="1:14" ht="20.25" customHeight="1">
      <c r="A131" t="s">
        <v>179</v>
      </c>
      <c r="B131">
        <v>72</v>
      </c>
      <c r="C131">
        <v>6.6</v>
      </c>
      <c r="D131">
        <v>6.2</v>
      </c>
      <c r="E131">
        <v>5.8</v>
      </c>
      <c r="F131">
        <v>5</v>
      </c>
      <c r="G131">
        <v>4.5999999999999996</v>
      </c>
      <c r="H131">
        <v>3.8</v>
      </c>
      <c r="I131">
        <v>5.2</v>
      </c>
      <c r="J131">
        <v>6.4</v>
      </c>
      <c r="K131">
        <v>8.1999999999999993</v>
      </c>
      <c r="L131">
        <v>9.4</v>
      </c>
      <c r="M131">
        <v>10.5</v>
      </c>
      <c r="N131">
        <v>11.6</v>
      </c>
    </row>
    <row r="132" spans="1:14" ht="20.25" customHeight="1">
      <c r="A132" t="s">
        <v>179</v>
      </c>
      <c r="B132">
        <v>72</v>
      </c>
      <c r="C132">
        <v>7.69</v>
      </c>
      <c r="D132">
        <v>7.29</v>
      </c>
      <c r="E132">
        <v>6.89</v>
      </c>
      <c r="F132">
        <v>6.19</v>
      </c>
      <c r="G132">
        <v>5.79</v>
      </c>
      <c r="H132">
        <v>5.09</v>
      </c>
      <c r="I132">
        <v>6.49</v>
      </c>
      <c r="J132">
        <v>7.69</v>
      </c>
      <c r="K132">
        <v>9.59</v>
      </c>
      <c r="L132">
        <v>10.79</v>
      </c>
      <c r="M132">
        <v>11.89</v>
      </c>
      <c r="N132">
        <v>12.99</v>
      </c>
    </row>
    <row r="133" spans="1:14" ht="20.25" customHeight="1">
      <c r="A133" t="s">
        <v>179</v>
      </c>
      <c r="B133">
        <v>74</v>
      </c>
      <c r="C133">
        <v>7.7</v>
      </c>
      <c r="D133">
        <v>7.3</v>
      </c>
      <c r="E133">
        <v>6.9</v>
      </c>
      <c r="F133">
        <v>6.2</v>
      </c>
      <c r="G133">
        <v>5.8</v>
      </c>
      <c r="H133">
        <v>5.0999999999999996</v>
      </c>
      <c r="I133">
        <v>6.5</v>
      </c>
      <c r="J133">
        <v>7.7</v>
      </c>
      <c r="K133">
        <v>9.6</v>
      </c>
      <c r="L133">
        <v>10.8</v>
      </c>
      <c r="M133">
        <v>11.9</v>
      </c>
      <c r="N133">
        <v>13</v>
      </c>
    </row>
    <row r="134" spans="1:14" ht="20.25" customHeight="1">
      <c r="A134" t="s">
        <v>179</v>
      </c>
      <c r="B134">
        <v>74</v>
      </c>
      <c r="C134">
        <v>8.7899999999999991</v>
      </c>
      <c r="D134">
        <v>8.39</v>
      </c>
      <c r="E134">
        <v>7.99</v>
      </c>
      <c r="F134">
        <v>7.39</v>
      </c>
      <c r="G134">
        <v>6.99</v>
      </c>
      <c r="H134">
        <v>6.39</v>
      </c>
      <c r="I134">
        <v>7.79</v>
      </c>
      <c r="J134">
        <v>8.99</v>
      </c>
      <c r="K134">
        <v>10.99</v>
      </c>
      <c r="L134">
        <v>12.19</v>
      </c>
      <c r="M134">
        <v>13.29</v>
      </c>
      <c r="N134">
        <v>14.39</v>
      </c>
    </row>
    <row r="135" spans="1:14" ht="20.25" customHeight="1">
      <c r="A135" t="s">
        <v>179</v>
      </c>
      <c r="B135">
        <v>76</v>
      </c>
      <c r="C135">
        <v>8.8000000000000007</v>
      </c>
      <c r="D135">
        <v>8.4</v>
      </c>
      <c r="E135">
        <v>8</v>
      </c>
      <c r="F135">
        <v>7.4</v>
      </c>
      <c r="G135">
        <v>7</v>
      </c>
      <c r="H135">
        <v>6.4</v>
      </c>
      <c r="I135">
        <v>7.8</v>
      </c>
      <c r="J135">
        <v>9</v>
      </c>
      <c r="K135">
        <v>11</v>
      </c>
      <c r="L135">
        <v>12.2</v>
      </c>
      <c r="M135">
        <v>13.3</v>
      </c>
      <c r="N135">
        <v>14.4</v>
      </c>
    </row>
    <row r="136" spans="1:14" ht="20.25" customHeight="1">
      <c r="A136" t="s">
        <v>179</v>
      </c>
      <c r="B136">
        <v>76</v>
      </c>
      <c r="C136">
        <v>9.89</v>
      </c>
      <c r="D136">
        <v>9.49</v>
      </c>
      <c r="E136">
        <v>9.09</v>
      </c>
      <c r="F136">
        <v>8.59</v>
      </c>
      <c r="G136">
        <v>8.19</v>
      </c>
      <c r="H136">
        <v>7.69</v>
      </c>
      <c r="I136">
        <v>9.09</v>
      </c>
      <c r="J136">
        <v>10.29</v>
      </c>
      <c r="K136">
        <v>12.39</v>
      </c>
      <c r="L136">
        <v>13.59</v>
      </c>
      <c r="M136">
        <v>14.69</v>
      </c>
      <c r="N136">
        <v>15.79</v>
      </c>
    </row>
    <row r="137" spans="1:14" ht="20.25" customHeight="1">
      <c r="A137" t="s">
        <v>179</v>
      </c>
      <c r="B137">
        <v>78</v>
      </c>
      <c r="C137">
        <v>9.9</v>
      </c>
      <c r="D137">
        <v>9.5</v>
      </c>
      <c r="E137">
        <v>9.1</v>
      </c>
      <c r="F137">
        <v>8.6</v>
      </c>
      <c r="G137">
        <v>8.1999999999999993</v>
      </c>
      <c r="H137">
        <v>7.7</v>
      </c>
      <c r="I137">
        <v>9.1</v>
      </c>
      <c r="J137">
        <v>10.3</v>
      </c>
      <c r="K137">
        <v>12.4</v>
      </c>
      <c r="L137">
        <v>13.6</v>
      </c>
      <c r="M137">
        <v>14.7</v>
      </c>
      <c r="N137">
        <v>15.8</v>
      </c>
    </row>
    <row r="138" spans="1:14" ht="20.25" customHeight="1">
      <c r="A138" t="s">
        <v>179</v>
      </c>
      <c r="B138">
        <v>78</v>
      </c>
      <c r="C138">
        <v>10.99</v>
      </c>
      <c r="D138">
        <v>10.59</v>
      </c>
      <c r="E138">
        <v>10.19</v>
      </c>
      <c r="F138">
        <v>9.7899999999999991</v>
      </c>
      <c r="G138">
        <v>9.39</v>
      </c>
      <c r="H138">
        <v>8.99</v>
      </c>
      <c r="I138">
        <v>10.39</v>
      </c>
      <c r="J138">
        <v>11.59</v>
      </c>
      <c r="K138">
        <v>13.79</v>
      </c>
      <c r="L138">
        <v>14.99</v>
      </c>
      <c r="M138">
        <v>16.09</v>
      </c>
      <c r="N138">
        <v>17.190000000000001</v>
      </c>
    </row>
    <row r="139" spans="1:14" ht="20.25" customHeight="1">
      <c r="A139" t="s">
        <v>180</v>
      </c>
      <c r="B139">
        <v>80</v>
      </c>
      <c r="C139">
        <v>11</v>
      </c>
      <c r="D139">
        <v>10.6</v>
      </c>
      <c r="E139">
        <v>10.199999999999999</v>
      </c>
      <c r="F139">
        <v>9.8000000000000007</v>
      </c>
      <c r="G139">
        <v>9.4</v>
      </c>
      <c r="H139">
        <v>9</v>
      </c>
      <c r="I139">
        <v>10.4</v>
      </c>
      <c r="J139">
        <v>11.6</v>
      </c>
      <c r="K139">
        <v>13.8</v>
      </c>
      <c r="L139">
        <v>15</v>
      </c>
      <c r="M139">
        <v>16.100000000000001</v>
      </c>
      <c r="N139">
        <v>17.2</v>
      </c>
    </row>
    <row r="140" spans="1:14" ht="20.25" customHeight="1">
      <c r="A140" t="s">
        <v>180</v>
      </c>
      <c r="B140">
        <v>80</v>
      </c>
      <c r="C140">
        <v>11.99</v>
      </c>
      <c r="D140">
        <v>11.89</v>
      </c>
      <c r="E140">
        <v>11.79</v>
      </c>
      <c r="F140">
        <v>11.69</v>
      </c>
      <c r="G140">
        <v>11.59</v>
      </c>
      <c r="H140">
        <v>11.49</v>
      </c>
      <c r="I140">
        <v>12.29</v>
      </c>
      <c r="J140">
        <v>13.69</v>
      </c>
      <c r="K140">
        <v>15.79</v>
      </c>
      <c r="L140">
        <v>17.190000000000001</v>
      </c>
      <c r="M140">
        <v>18.29</v>
      </c>
      <c r="N140">
        <v>19.09</v>
      </c>
    </row>
    <row r="141" spans="1:14" ht="20.25" customHeight="1">
      <c r="A141" t="s">
        <v>180</v>
      </c>
      <c r="B141">
        <v>85</v>
      </c>
      <c r="C141">
        <v>12</v>
      </c>
      <c r="D141">
        <v>11.9</v>
      </c>
      <c r="E141">
        <v>11.8</v>
      </c>
      <c r="F141">
        <v>11.7</v>
      </c>
      <c r="G141">
        <v>11.6</v>
      </c>
      <c r="H141">
        <v>11.5</v>
      </c>
      <c r="I141">
        <v>12.3</v>
      </c>
      <c r="J141">
        <v>13.7</v>
      </c>
      <c r="K141">
        <v>15.8</v>
      </c>
      <c r="L141">
        <v>17.2</v>
      </c>
      <c r="M141">
        <v>18.3</v>
      </c>
      <c r="N141">
        <v>19.100000000000001</v>
      </c>
    </row>
    <row r="142" spans="1:14" ht="20.25" customHeight="1">
      <c r="A142" t="s">
        <v>180</v>
      </c>
      <c r="B142">
        <v>85</v>
      </c>
      <c r="C142">
        <v>12.99</v>
      </c>
      <c r="D142">
        <v>13.19</v>
      </c>
      <c r="E142">
        <v>13.39</v>
      </c>
      <c r="F142">
        <v>13.59</v>
      </c>
      <c r="G142">
        <v>13.79</v>
      </c>
      <c r="H142">
        <v>13.99</v>
      </c>
      <c r="I142">
        <v>14.19</v>
      </c>
      <c r="J142">
        <v>15.79</v>
      </c>
      <c r="K142">
        <v>17.79</v>
      </c>
      <c r="L142">
        <v>19.39</v>
      </c>
      <c r="M142">
        <v>20.49</v>
      </c>
      <c r="N142">
        <v>20.99</v>
      </c>
    </row>
    <row r="143" spans="1:14" ht="20.25" customHeight="1">
      <c r="A143" t="s">
        <v>181</v>
      </c>
      <c r="B143">
        <v>90</v>
      </c>
      <c r="C143">
        <v>13</v>
      </c>
      <c r="D143">
        <v>13.2</v>
      </c>
      <c r="E143">
        <v>13.4</v>
      </c>
      <c r="F143">
        <v>13.6</v>
      </c>
      <c r="G143">
        <v>13.8</v>
      </c>
      <c r="H143">
        <v>14</v>
      </c>
      <c r="I143">
        <v>14.2</v>
      </c>
      <c r="J143">
        <v>15.8</v>
      </c>
      <c r="K143">
        <v>17.8</v>
      </c>
      <c r="L143">
        <v>19.399999999999999</v>
      </c>
      <c r="M143">
        <v>20.5</v>
      </c>
      <c r="N143">
        <v>21</v>
      </c>
    </row>
    <row r="144" spans="1:14" ht="20.25" customHeight="1">
      <c r="A144" t="s">
        <v>181</v>
      </c>
      <c r="B144">
        <v>90</v>
      </c>
      <c r="C144">
        <v>14.58</v>
      </c>
      <c r="D144">
        <v>14.69</v>
      </c>
      <c r="E144">
        <v>14.89</v>
      </c>
      <c r="F144">
        <v>14.99</v>
      </c>
      <c r="G144">
        <v>15.19</v>
      </c>
      <c r="H144">
        <v>15.29</v>
      </c>
      <c r="I144">
        <v>15.89</v>
      </c>
      <c r="J144">
        <v>17.690000000000001</v>
      </c>
      <c r="K144">
        <v>19.690000000000001</v>
      </c>
      <c r="L144">
        <v>21.49</v>
      </c>
      <c r="M144">
        <v>22.39</v>
      </c>
      <c r="N144">
        <v>22.79</v>
      </c>
    </row>
    <row r="145" spans="1:14" ht="20.25" customHeight="1">
      <c r="A145" t="s">
        <v>181</v>
      </c>
      <c r="B145">
        <v>95</v>
      </c>
      <c r="C145">
        <v>14.6</v>
      </c>
      <c r="D145">
        <v>14.7</v>
      </c>
      <c r="E145">
        <v>14.9</v>
      </c>
      <c r="F145">
        <v>15</v>
      </c>
      <c r="G145">
        <v>15.2</v>
      </c>
      <c r="H145">
        <v>15.3</v>
      </c>
      <c r="I145">
        <v>15.9</v>
      </c>
      <c r="J145">
        <v>17.7</v>
      </c>
      <c r="K145">
        <v>19.7</v>
      </c>
      <c r="L145">
        <v>21.5</v>
      </c>
      <c r="M145">
        <v>22.4</v>
      </c>
      <c r="N145">
        <v>22.8</v>
      </c>
    </row>
    <row r="146" spans="1:14" ht="20.25" customHeight="1">
      <c r="A146" t="s">
        <v>181</v>
      </c>
      <c r="B146">
        <v>95</v>
      </c>
      <c r="C146">
        <v>16.09</v>
      </c>
      <c r="D146">
        <v>16.190000000000001</v>
      </c>
      <c r="E146">
        <v>16.29</v>
      </c>
      <c r="F146">
        <v>16.39</v>
      </c>
      <c r="G146">
        <v>16.489999999999998</v>
      </c>
      <c r="H146">
        <v>16.59</v>
      </c>
      <c r="I146">
        <v>17.59</v>
      </c>
      <c r="J146">
        <v>19.59</v>
      </c>
      <c r="K146">
        <v>21.59</v>
      </c>
      <c r="L146">
        <v>23.59</v>
      </c>
      <c r="M146">
        <v>24.29</v>
      </c>
      <c r="N146">
        <v>24.59</v>
      </c>
    </row>
    <row r="147" spans="1:14" ht="20.25" customHeight="1">
      <c r="A147" t="s">
        <v>181</v>
      </c>
      <c r="B147">
        <v>100</v>
      </c>
      <c r="C147">
        <v>16.100000000000001</v>
      </c>
      <c r="D147">
        <v>16.2</v>
      </c>
      <c r="E147">
        <v>16.3</v>
      </c>
      <c r="F147">
        <v>16.399999999999999</v>
      </c>
      <c r="G147">
        <v>16.5</v>
      </c>
      <c r="H147">
        <v>16.600000000000001</v>
      </c>
      <c r="I147">
        <v>17.600000000000001</v>
      </c>
      <c r="J147">
        <v>19.600000000000001</v>
      </c>
      <c r="K147">
        <v>21.6</v>
      </c>
      <c r="L147">
        <v>23.6</v>
      </c>
      <c r="M147">
        <v>24.3</v>
      </c>
      <c r="N147">
        <v>24.6</v>
      </c>
    </row>
    <row r="148" spans="1:14" ht="20.25" customHeight="1">
      <c r="A148" t="s">
        <v>181</v>
      </c>
      <c r="B148">
        <v>100</v>
      </c>
      <c r="C148">
        <v>30</v>
      </c>
      <c r="D148">
        <v>30</v>
      </c>
      <c r="E148">
        <v>30</v>
      </c>
      <c r="F148">
        <v>30</v>
      </c>
      <c r="G148">
        <v>30</v>
      </c>
      <c r="H148">
        <v>30</v>
      </c>
      <c r="I148">
        <v>30</v>
      </c>
      <c r="J148">
        <v>30</v>
      </c>
      <c r="K148">
        <v>30</v>
      </c>
      <c r="L148">
        <v>30</v>
      </c>
      <c r="M148">
        <v>30</v>
      </c>
      <c r="N148">
        <v>30</v>
      </c>
    </row>
    <row r="149" spans="1:14" ht="20.25" customHeight="1">
      <c r="A149" t="s">
        <v>189</v>
      </c>
    </row>
    <row r="150" spans="1:14" ht="20.25" customHeight="1">
      <c r="A150" s="34" t="s">
        <v>163</v>
      </c>
      <c r="B150" t="s">
        <v>164</v>
      </c>
      <c r="C150" s="34" t="s">
        <v>171</v>
      </c>
      <c r="D150" t="s">
        <v>172</v>
      </c>
      <c r="E150" t="s">
        <v>173</v>
      </c>
      <c r="F150" t="s">
        <v>174</v>
      </c>
      <c r="G150" t="s">
        <v>175</v>
      </c>
      <c r="H150" t="s">
        <v>176</v>
      </c>
    </row>
    <row r="151" spans="1:14" ht="20.25" customHeight="1">
      <c r="A151" s="34"/>
      <c r="B151" t="s">
        <v>177</v>
      </c>
      <c r="C151" s="34"/>
    </row>
    <row r="152" spans="1:14" ht="20.25" customHeight="1">
      <c r="A152" t="s">
        <v>178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14" ht="20.25" customHeight="1">
      <c r="A153" t="s">
        <v>178</v>
      </c>
      <c r="B153">
        <v>10</v>
      </c>
      <c r="C153" t="s">
        <v>190</v>
      </c>
      <c r="D153" t="s">
        <v>190</v>
      </c>
      <c r="E153">
        <v>1</v>
      </c>
      <c r="F153">
        <v>2</v>
      </c>
      <c r="G153">
        <v>3</v>
      </c>
      <c r="H153">
        <v>4</v>
      </c>
    </row>
    <row r="154" spans="1:14" ht="20.25" customHeight="1">
      <c r="A154" t="s">
        <v>178</v>
      </c>
      <c r="B154">
        <v>20</v>
      </c>
      <c r="C154" t="s">
        <v>190</v>
      </c>
      <c r="D154">
        <v>1</v>
      </c>
      <c r="E154">
        <v>2</v>
      </c>
      <c r="F154">
        <v>3</v>
      </c>
      <c r="G154">
        <v>4</v>
      </c>
      <c r="H154">
        <v>5</v>
      </c>
    </row>
    <row r="155" spans="1:14" ht="20.25" customHeight="1">
      <c r="A155" t="s">
        <v>178</v>
      </c>
      <c r="B155">
        <v>30</v>
      </c>
      <c r="C155">
        <v>1</v>
      </c>
      <c r="D155">
        <v>2</v>
      </c>
      <c r="E155">
        <v>3</v>
      </c>
      <c r="F155">
        <v>4</v>
      </c>
      <c r="G155">
        <v>5</v>
      </c>
      <c r="H155">
        <v>6</v>
      </c>
    </row>
    <row r="156" spans="1:14" ht="20.25" customHeight="1">
      <c r="A156" t="s">
        <v>178</v>
      </c>
      <c r="B156">
        <v>40</v>
      </c>
      <c r="C156">
        <v>2</v>
      </c>
      <c r="D156">
        <v>3</v>
      </c>
      <c r="E156">
        <v>4</v>
      </c>
      <c r="F156">
        <v>5</v>
      </c>
      <c r="G156">
        <v>6</v>
      </c>
      <c r="H156">
        <v>7</v>
      </c>
    </row>
    <row r="157" spans="1:14" ht="20.25" customHeight="1">
      <c r="A157" t="s">
        <v>178</v>
      </c>
      <c r="B157">
        <v>50</v>
      </c>
      <c r="C157">
        <v>3</v>
      </c>
      <c r="D157">
        <v>4</v>
      </c>
      <c r="E157">
        <v>5</v>
      </c>
      <c r="F157">
        <v>6</v>
      </c>
      <c r="G157">
        <v>7</v>
      </c>
      <c r="H157">
        <v>8</v>
      </c>
    </row>
    <row r="158" spans="1:14" ht="20.25" customHeight="1">
      <c r="A158" t="s">
        <v>179</v>
      </c>
      <c r="B158">
        <v>60</v>
      </c>
      <c r="C158">
        <v>4</v>
      </c>
      <c r="D158">
        <v>5</v>
      </c>
      <c r="E158">
        <v>6</v>
      </c>
      <c r="F158">
        <v>7</v>
      </c>
      <c r="G158">
        <v>8</v>
      </c>
      <c r="H158">
        <v>9</v>
      </c>
    </row>
    <row r="159" spans="1:14" ht="20.25" customHeight="1">
      <c r="A159" t="s">
        <v>179</v>
      </c>
      <c r="B159">
        <v>64</v>
      </c>
      <c r="C159">
        <v>5</v>
      </c>
      <c r="D159">
        <v>6</v>
      </c>
      <c r="E159">
        <v>7</v>
      </c>
      <c r="F159">
        <v>8</v>
      </c>
      <c r="G159">
        <v>9</v>
      </c>
      <c r="H159">
        <v>10</v>
      </c>
    </row>
    <row r="160" spans="1:14" ht="20.25" customHeight="1">
      <c r="A160" t="s">
        <v>179</v>
      </c>
      <c r="B160">
        <v>68</v>
      </c>
      <c r="C160">
        <v>6</v>
      </c>
      <c r="D160">
        <v>7</v>
      </c>
      <c r="E160">
        <v>8</v>
      </c>
      <c r="F160">
        <v>9</v>
      </c>
      <c r="G160">
        <v>10</v>
      </c>
      <c r="H160">
        <v>11</v>
      </c>
    </row>
    <row r="161" spans="1:8" ht="20.25" customHeight="1">
      <c r="A161" t="s">
        <v>179</v>
      </c>
      <c r="B161">
        <v>72</v>
      </c>
      <c r="C161">
        <v>7</v>
      </c>
      <c r="D161">
        <v>8</v>
      </c>
      <c r="E161">
        <v>9</v>
      </c>
      <c r="F161">
        <v>10</v>
      </c>
      <c r="G161">
        <v>11</v>
      </c>
      <c r="H161">
        <v>12</v>
      </c>
    </row>
    <row r="162" spans="1:8" ht="20.25" customHeight="1">
      <c r="A162" t="s">
        <v>179</v>
      </c>
      <c r="B162">
        <v>76</v>
      </c>
      <c r="C162">
        <v>8</v>
      </c>
      <c r="D162">
        <v>9</v>
      </c>
      <c r="E162">
        <v>10</v>
      </c>
      <c r="F162">
        <v>11</v>
      </c>
      <c r="G162">
        <v>12</v>
      </c>
      <c r="H162">
        <v>13</v>
      </c>
    </row>
    <row r="163" spans="1:8" ht="20.25" customHeight="1">
      <c r="A163" t="s">
        <v>180</v>
      </c>
      <c r="B163">
        <v>80</v>
      </c>
      <c r="C163">
        <v>9</v>
      </c>
      <c r="D163">
        <v>10</v>
      </c>
      <c r="E163">
        <v>11</v>
      </c>
      <c r="F163">
        <v>12</v>
      </c>
      <c r="G163">
        <v>13</v>
      </c>
      <c r="H163">
        <v>14</v>
      </c>
    </row>
    <row r="164" spans="1:8" ht="20.25" customHeight="1">
      <c r="A164" t="s">
        <v>180</v>
      </c>
      <c r="B164">
        <v>85</v>
      </c>
      <c r="C164">
        <v>10</v>
      </c>
      <c r="D164">
        <v>11</v>
      </c>
      <c r="E164">
        <v>12</v>
      </c>
      <c r="F164">
        <v>13</v>
      </c>
      <c r="G164">
        <v>14</v>
      </c>
      <c r="H164">
        <v>15</v>
      </c>
    </row>
    <row r="165" spans="1:8" ht="20.25" customHeight="1">
      <c r="A165" t="s">
        <v>181</v>
      </c>
      <c r="B165">
        <v>90</v>
      </c>
      <c r="C165">
        <v>11</v>
      </c>
      <c r="D165">
        <v>12</v>
      </c>
      <c r="E165">
        <v>13</v>
      </c>
      <c r="F165">
        <v>14</v>
      </c>
      <c r="G165">
        <v>15</v>
      </c>
      <c r="H165">
        <v>16</v>
      </c>
    </row>
    <row r="166" spans="1:8" ht="20.25" customHeight="1">
      <c r="A166" t="s">
        <v>181</v>
      </c>
      <c r="B166">
        <v>95</v>
      </c>
      <c r="C166">
        <v>12</v>
      </c>
      <c r="D166">
        <v>13</v>
      </c>
      <c r="E166">
        <v>14</v>
      </c>
      <c r="F166">
        <v>15</v>
      </c>
      <c r="G166">
        <v>16</v>
      </c>
      <c r="H166">
        <v>17</v>
      </c>
    </row>
    <row r="167" spans="1:8" ht="20.25" customHeight="1">
      <c r="A167" t="s">
        <v>181</v>
      </c>
      <c r="B167">
        <v>100</v>
      </c>
      <c r="C167">
        <v>13</v>
      </c>
      <c r="D167">
        <v>14</v>
      </c>
      <c r="E167">
        <v>15</v>
      </c>
      <c r="F167">
        <v>16</v>
      </c>
      <c r="G167">
        <v>17</v>
      </c>
      <c r="H167">
        <v>18</v>
      </c>
    </row>
    <row r="168" spans="1:8" ht="20.25" customHeight="1">
      <c r="A168" t="s">
        <v>181</v>
      </c>
      <c r="B168">
        <v>110</v>
      </c>
      <c r="C168">
        <v>14</v>
      </c>
      <c r="D168">
        <v>15</v>
      </c>
      <c r="E168">
        <v>16</v>
      </c>
      <c r="F168">
        <v>17</v>
      </c>
      <c r="G168">
        <v>18</v>
      </c>
      <c r="H168">
        <v>19</v>
      </c>
    </row>
    <row r="169" spans="1:8" ht="20.25" customHeight="1">
      <c r="A169" t="s">
        <v>181</v>
      </c>
      <c r="B169">
        <v>120</v>
      </c>
      <c r="C169">
        <v>15</v>
      </c>
      <c r="D169">
        <v>16</v>
      </c>
      <c r="E169">
        <v>17</v>
      </c>
      <c r="F169">
        <v>18</v>
      </c>
      <c r="G169">
        <v>19</v>
      </c>
      <c r="H169">
        <v>20</v>
      </c>
    </row>
    <row r="170" spans="1:8" ht="20.25" customHeight="1">
      <c r="A170" t="s">
        <v>181</v>
      </c>
      <c r="B170">
        <v>130</v>
      </c>
      <c r="C170">
        <v>16</v>
      </c>
      <c r="D170">
        <v>17</v>
      </c>
      <c r="E170">
        <v>18</v>
      </c>
      <c r="F170">
        <v>19</v>
      </c>
      <c r="G170">
        <v>20</v>
      </c>
      <c r="H170">
        <v>21</v>
      </c>
    </row>
    <row r="171" spans="1:8" ht="20.25" customHeight="1">
      <c r="A171" t="s">
        <v>181</v>
      </c>
      <c r="B171">
        <v>140</v>
      </c>
      <c r="C171">
        <v>17</v>
      </c>
      <c r="D171">
        <v>18</v>
      </c>
      <c r="E171">
        <v>19</v>
      </c>
      <c r="F171">
        <v>20</v>
      </c>
      <c r="G171">
        <v>21</v>
      </c>
      <c r="H171">
        <v>22</v>
      </c>
    </row>
    <row r="172" spans="1:8" ht="20.25" customHeight="1">
      <c r="A172" t="s">
        <v>181</v>
      </c>
      <c r="B172">
        <v>150</v>
      </c>
      <c r="C172">
        <v>18</v>
      </c>
      <c r="D172">
        <v>19</v>
      </c>
      <c r="E172">
        <v>20</v>
      </c>
      <c r="F172">
        <v>21</v>
      </c>
      <c r="G172">
        <v>22</v>
      </c>
      <c r="H172">
        <v>23</v>
      </c>
    </row>
    <row r="173" spans="1:8" ht="20.25" customHeight="1">
      <c r="A173" t="s">
        <v>181</v>
      </c>
      <c r="B173">
        <v>160</v>
      </c>
      <c r="C173">
        <v>19</v>
      </c>
      <c r="D173">
        <v>20</v>
      </c>
      <c r="E173">
        <v>21</v>
      </c>
      <c r="F173">
        <v>22</v>
      </c>
      <c r="G173">
        <v>23</v>
      </c>
      <c r="H173">
        <v>24</v>
      </c>
    </row>
    <row r="174" spans="1:8" ht="20.25" customHeight="1">
      <c r="A174" t="s">
        <v>181</v>
      </c>
      <c r="B174">
        <v>170</v>
      </c>
      <c r="C174">
        <v>20</v>
      </c>
      <c r="D174">
        <v>21</v>
      </c>
      <c r="E174">
        <v>22</v>
      </c>
      <c r="F174">
        <v>23</v>
      </c>
      <c r="G174">
        <v>24</v>
      </c>
      <c r="H174">
        <v>25</v>
      </c>
    </row>
    <row r="175" spans="1:8" ht="20.25" customHeight="1">
      <c r="A175" t="s">
        <v>181</v>
      </c>
      <c r="B175">
        <v>180</v>
      </c>
      <c r="C175">
        <v>21</v>
      </c>
      <c r="D175">
        <v>22</v>
      </c>
      <c r="E175">
        <v>23</v>
      </c>
      <c r="F175">
        <v>24</v>
      </c>
      <c r="G175">
        <v>25</v>
      </c>
      <c r="H175">
        <v>26</v>
      </c>
    </row>
    <row r="176" spans="1:8" ht="20.25" customHeight="1">
      <c r="A176" t="s">
        <v>181</v>
      </c>
      <c r="B176">
        <v>190</v>
      </c>
      <c r="C176">
        <v>22</v>
      </c>
      <c r="D176">
        <v>23</v>
      </c>
      <c r="E176">
        <v>24</v>
      </c>
      <c r="F176">
        <v>25</v>
      </c>
      <c r="G176">
        <v>26</v>
      </c>
      <c r="H176">
        <v>27</v>
      </c>
    </row>
    <row r="177" spans="1:8" ht="20.25" customHeight="1">
      <c r="A177" t="s">
        <v>181</v>
      </c>
      <c r="B177">
        <v>200</v>
      </c>
      <c r="C177">
        <v>23</v>
      </c>
      <c r="D177">
        <v>24</v>
      </c>
      <c r="E177">
        <v>25</v>
      </c>
      <c r="F177">
        <v>26</v>
      </c>
      <c r="G177">
        <v>27</v>
      </c>
      <c r="H177">
        <v>28</v>
      </c>
    </row>
    <row r="178" spans="1:8" ht="20.25" customHeight="1">
      <c r="A178" t="s">
        <v>181</v>
      </c>
      <c r="B178">
        <v>200</v>
      </c>
      <c r="C178">
        <v>99</v>
      </c>
      <c r="D178">
        <v>99</v>
      </c>
      <c r="E178">
        <v>99</v>
      </c>
      <c r="F178">
        <v>99</v>
      </c>
      <c r="G178">
        <v>99</v>
      </c>
      <c r="H178">
        <v>99</v>
      </c>
    </row>
  </sheetData>
  <mergeCells count="48">
    <mergeCell ref="L2:L3"/>
    <mergeCell ref="E2:E3"/>
    <mergeCell ref="F105:F106"/>
    <mergeCell ref="G105:G106"/>
    <mergeCell ref="H105:H106"/>
    <mergeCell ref="H2:H3"/>
    <mergeCell ref="F60:F61"/>
    <mergeCell ref="F48:F49"/>
    <mergeCell ref="C150:C151"/>
    <mergeCell ref="J48:J49"/>
    <mergeCell ref="L105:L106"/>
    <mergeCell ref="A150:A151"/>
    <mergeCell ref="A48:A49"/>
    <mergeCell ref="G60:G61"/>
    <mergeCell ref="E48:E49"/>
    <mergeCell ref="E105:E106"/>
    <mergeCell ref="K48:K49"/>
    <mergeCell ref="A60:A61"/>
    <mergeCell ref="A105:A106"/>
    <mergeCell ref="C60:C61"/>
    <mergeCell ref="E60:E61"/>
    <mergeCell ref="D48:D49"/>
    <mergeCell ref="H60:H61"/>
    <mergeCell ref="I48:I49"/>
    <mergeCell ref="A2:A3"/>
    <mergeCell ref="D105:D106"/>
    <mergeCell ref="J2:J3"/>
    <mergeCell ref="N2:N3"/>
    <mergeCell ref="M2:M3"/>
    <mergeCell ref="F2:F3"/>
    <mergeCell ref="M105:M106"/>
    <mergeCell ref="G2:G3"/>
    <mergeCell ref="D2:D3"/>
    <mergeCell ref="I2:I3"/>
    <mergeCell ref="C2:C3"/>
    <mergeCell ref="D60:D61"/>
    <mergeCell ref="K2:K3"/>
    <mergeCell ref="M48:M49"/>
    <mergeCell ref="C105:C106"/>
    <mergeCell ref="H48:H49"/>
    <mergeCell ref="N48:N49"/>
    <mergeCell ref="J105:J106"/>
    <mergeCell ref="C48:C49"/>
    <mergeCell ref="N105:N106"/>
    <mergeCell ref="L48:L49"/>
    <mergeCell ref="G48:G49"/>
    <mergeCell ref="K105:K106"/>
    <mergeCell ref="I105:I106"/>
  </mergeCells>
  <phoneticPr fontId="8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05"/>
  <sheetViews>
    <sheetView topLeftCell="A181" workbookViewId="0">
      <selection activeCell="A152" sqref="A152:N196"/>
    </sheetView>
  </sheetViews>
  <sheetFormatPr baseColWidth="10" defaultColWidth="9.1640625" defaultRowHeight="24.75" customHeight="1"/>
  <cols>
    <col min="1" max="16384" width="9.1640625" style="31"/>
  </cols>
  <sheetData>
    <row r="1" spans="1:15" ht="24.75" customHeight="1">
      <c r="A1" s="31" t="s">
        <v>182</v>
      </c>
    </row>
    <row r="2" spans="1:15" ht="24.75" customHeight="1">
      <c r="A2" s="35" t="s">
        <v>163</v>
      </c>
      <c r="B2" s="31" t="s">
        <v>164</v>
      </c>
      <c r="C2" s="35" t="s">
        <v>165</v>
      </c>
      <c r="D2" s="35" t="s">
        <v>166</v>
      </c>
      <c r="E2" s="35" t="s">
        <v>167</v>
      </c>
      <c r="F2" s="35" t="s">
        <v>168</v>
      </c>
      <c r="G2" s="35" t="s">
        <v>169</v>
      </c>
      <c r="H2" s="35" t="s">
        <v>170</v>
      </c>
      <c r="I2" s="35" t="s">
        <v>171</v>
      </c>
      <c r="J2" s="35" t="s">
        <v>172</v>
      </c>
      <c r="K2" s="35" t="s">
        <v>173</v>
      </c>
      <c r="L2" s="35" t="s">
        <v>174</v>
      </c>
      <c r="M2" s="35" t="s">
        <v>175</v>
      </c>
      <c r="N2" s="35" t="s">
        <v>176</v>
      </c>
      <c r="O2" s="35" t="s">
        <v>191</v>
      </c>
    </row>
    <row r="3" spans="1:15" ht="24.75" customHeight="1">
      <c r="A3" s="35"/>
      <c r="B3" s="31" t="s">
        <v>177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24.75" customHeight="1">
      <c r="A4" s="31" t="s">
        <v>184</v>
      </c>
      <c r="B4" s="31">
        <v>100</v>
      </c>
      <c r="C4" s="31">
        <v>13.5</v>
      </c>
      <c r="D4" s="31">
        <v>13.7</v>
      </c>
      <c r="E4" s="31">
        <v>13.9</v>
      </c>
      <c r="F4" s="31">
        <v>14.2</v>
      </c>
      <c r="G4" s="31">
        <v>14.4</v>
      </c>
      <c r="H4" s="31">
        <v>14.7</v>
      </c>
      <c r="I4" s="31">
        <v>15.5</v>
      </c>
      <c r="J4" s="31">
        <v>15.7</v>
      </c>
      <c r="K4" s="31">
        <v>15.8</v>
      </c>
      <c r="L4" s="31">
        <v>16.5</v>
      </c>
      <c r="M4" s="31">
        <v>16.8</v>
      </c>
      <c r="N4" s="31">
        <v>17.3</v>
      </c>
      <c r="O4" s="31">
        <v>17.899999999999999</v>
      </c>
    </row>
    <row r="5" spans="1:15" ht="24.75" customHeight="1">
      <c r="A5" s="31" t="s">
        <v>184</v>
      </c>
      <c r="B5" s="31">
        <v>100</v>
      </c>
      <c r="C5" s="31">
        <v>18.100000000000001</v>
      </c>
      <c r="D5" s="31">
        <v>18.399999999999999</v>
      </c>
      <c r="E5" s="31">
        <v>19.399999999999999</v>
      </c>
      <c r="F5" s="31">
        <v>20.100000000000001</v>
      </c>
      <c r="G5" s="31">
        <v>21.4</v>
      </c>
      <c r="H5" s="31">
        <v>21.8</v>
      </c>
      <c r="I5" s="31">
        <v>22.1</v>
      </c>
      <c r="J5" s="31">
        <v>22.5</v>
      </c>
      <c r="K5" s="31">
        <v>22.8</v>
      </c>
      <c r="L5" s="31">
        <v>23.2</v>
      </c>
      <c r="M5" s="31">
        <v>23.7</v>
      </c>
      <c r="N5" s="31">
        <v>23.8</v>
      </c>
      <c r="O5" s="31">
        <v>23.9</v>
      </c>
    </row>
    <row r="6" spans="1:15" ht="24.75" customHeight="1">
      <c r="A6" s="31" t="s">
        <v>183</v>
      </c>
      <c r="B6" s="31">
        <v>80</v>
      </c>
      <c r="C6" s="31" t="s">
        <v>192</v>
      </c>
      <c r="D6" s="31" t="s">
        <v>193</v>
      </c>
      <c r="E6" s="31" t="s">
        <v>194</v>
      </c>
      <c r="F6" s="31" t="s">
        <v>195</v>
      </c>
      <c r="G6" s="31" t="s">
        <v>196</v>
      </c>
      <c r="H6" s="31" t="s">
        <v>197</v>
      </c>
      <c r="I6" s="31" t="s">
        <v>198</v>
      </c>
      <c r="J6" s="31" t="s">
        <v>199</v>
      </c>
      <c r="K6" s="31" t="s">
        <v>200</v>
      </c>
      <c r="L6" s="31" t="s">
        <v>201</v>
      </c>
      <c r="M6" s="31" t="s">
        <v>202</v>
      </c>
      <c r="N6" s="31" t="s">
        <v>203</v>
      </c>
      <c r="O6" s="31" t="s">
        <v>204</v>
      </c>
    </row>
    <row r="7" spans="1:15" ht="24.75" customHeight="1">
      <c r="A7" s="31" t="s">
        <v>185</v>
      </c>
      <c r="B7" s="31">
        <v>80</v>
      </c>
      <c r="C7" s="31">
        <v>18.2</v>
      </c>
      <c r="D7" s="31">
        <v>18.5</v>
      </c>
      <c r="E7" s="31">
        <v>19.5</v>
      </c>
      <c r="F7" s="31">
        <v>20.2</v>
      </c>
      <c r="G7" s="31">
        <v>21.5</v>
      </c>
      <c r="H7" s="31">
        <v>21.9</v>
      </c>
      <c r="I7" s="31">
        <v>22.2</v>
      </c>
      <c r="J7" s="31">
        <v>22.6</v>
      </c>
      <c r="K7" s="31">
        <v>22.9</v>
      </c>
      <c r="L7" s="31">
        <v>23.3</v>
      </c>
      <c r="M7" s="31">
        <v>23.8</v>
      </c>
      <c r="N7" s="31">
        <v>23.9</v>
      </c>
      <c r="O7" s="31">
        <v>24</v>
      </c>
    </row>
    <row r="8" spans="1:15" ht="24.75" customHeight="1">
      <c r="A8" s="31" t="s">
        <v>185</v>
      </c>
      <c r="B8" s="31">
        <v>80</v>
      </c>
      <c r="C8" s="31">
        <v>20.3</v>
      </c>
      <c r="D8" s="31">
        <v>20.399999999999999</v>
      </c>
      <c r="E8" s="31">
        <v>22.1</v>
      </c>
      <c r="F8" s="31">
        <v>22.6</v>
      </c>
      <c r="G8" s="31">
        <v>24.1</v>
      </c>
      <c r="H8" s="31">
        <v>24.5</v>
      </c>
      <c r="I8" s="31">
        <v>24.9</v>
      </c>
      <c r="J8" s="31">
        <v>25.2</v>
      </c>
      <c r="K8" s="31">
        <v>26</v>
      </c>
      <c r="L8" s="31">
        <v>26.3</v>
      </c>
      <c r="M8" s="31">
        <v>26.5</v>
      </c>
      <c r="N8" s="31">
        <v>27.3</v>
      </c>
      <c r="O8" s="31">
        <v>27.9</v>
      </c>
    </row>
    <row r="9" spans="1:15" ht="24.75" customHeight="1">
      <c r="A9" s="31" t="s">
        <v>186</v>
      </c>
      <c r="B9" s="31">
        <v>60</v>
      </c>
      <c r="C9" s="31" t="s">
        <v>205</v>
      </c>
      <c r="D9" s="31" t="s">
        <v>206</v>
      </c>
      <c r="E9" s="31" t="s">
        <v>207</v>
      </c>
      <c r="F9" s="31" t="s">
        <v>208</v>
      </c>
      <c r="G9" s="31" t="s">
        <v>209</v>
      </c>
      <c r="H9" s="31" t="s">
        <v>210</v>
      </c>
      <c r="I9" s="31" t="s">
        <v>211</v>
      </c>
      <c r="J9" s="31" t="s">
        <v>212</v>
      </c>
      <c r="K9" s="31" t="s">
        <v>213</v>
      </c>
      <c r="L9" s="31" t="s">
        <v>214</v>
      </c>
      <c r="M9" s="31" t="s">
        <v>215</v>
      </c>
      <c r="N9" s="31" t="s">
        <v>216</v>
      </c>
      <c r="O9" s="31" t="s">
        <v>217</v>
      </c>
    </row>
    <row r="10" spans="1:15" ht="24.75" customHeight="1">
      <c r="A10" s="31" t="s">
        <v>218</v>
      </c>
    </row>
    <row r="11" spans="1:15" ht="24.75" customHeight="1">
      <c r="A11" s="31" t="s">
        <v>163</v>
      </c>
      <c r="B11" s="31" t="s">
        <v>219</v>
      </c>
      <c r="C11" s="31" t="s">
        <v>165</v>
      </c>
      <c r="D11" s="31" t="s">
        <v>166</v>
      </c>
      <c r="E11" s="31" t="s">
        <v>167</v>
      </c>
      <c r="F11" s="31" t="s">
        <v>168</v>
      </c>
      <c r="G11" s="31" t="s">
        <v>169</v>
      </c>
      <c r="H11" s="31" t="s">
        <v>170</v>
      </c>
      <c r="I11" s="31" t="s">
        <v>171</v>
      </c>
      <c r="J11" s="31" t="s">
        <v>172</v>
      </c>
      <c r="K11" s="31" t="s">
        <v>173</v>
      </c>
      <c r="L11" s="31" t="s">
        <v>174</v>
      </c>
      <c r="M11" s="31" t="s">
        <v>175</v>
      </c>
      <c r="N11" s="31" t="s">
        <v>176</v>
      </c>
      <c r="O11" s="31" t="s">
        <v>191</v>
      </c>
    </row>
    <row r="12" spans="1:15" ht="24.75" customHeight="1">
      <c r="A12" s="31" t="s">
        <v>184</v>
      </c>
      <c r="B12" s="31">
        <v>100</v>
      </c>
      <c r="C12" s="31">
        <v>13.3</v>
      </c>
      <c r="D12" s="31">
        <v>13.5</v>
      </c>
      <c r="E12" s="31">
        <v>13.6</v>
      </c>
      <c r="F12" s="31">
        <v>13.7</v>
      </c>
      <c r="G12" s="31">
        <v>13.8</v>
      </c>
      <c r="H12" s="31">
        <v>14.2</v>
      </c>
      <c r="I12" s="31">
        <v>14.8</v>
      </c>
      <c r="J12" s="31">
        <v>15.3</v>
      </c>
      <c r="K12" s="31">
        <v>16</v>
      </c>
      <c r="L12" s="31">
        <v>16.5</v>
      </c>
      <c r="M12" s="31">
        <v>16.899999999999999</v>
      </c>
      <c r="N12" s="31">
        <v>17.100000000000001</v>
      </c>
      <c r="O12" s="31">
        <v>17.2</v>
      </c>
    </row>
    <row r="13" spans="1:15" ht="24.75" customHeight="1">
      <c r="A13" s="31" t="s">
        <v>184</v>
      </c>
      <c r="B13" s="31">
        <v>100</v>
      </c>
      <c r="C13" s="31">
        <v>17.3</v>
      </c>
      <c r="D13" s="31">
        <v>17.8</v>
      </c>
      <c r="E13" s="31">
        <v>18.600000000000001</v>
      </c>
      <c r="F13" s="31">
        <v>19.399999999999999</v>
      </c>
      <c r="G13" s="31">
        <v>20.5</v>
      </c>
      <c r="H13" s="31">
        <v>20.8</v>
      </c>
      <c r="I13" s="31">
        <v>21.7</v>
      </c>
      <c r="J13" s="31">
        <v>22.2</v>
      </c>
      <c r="K13" s="31">
        <v>22.6</v>
      </c>
      <c r="L13" s="31">
        <v>22.7</v>
      </c>
      <c r="M13" s="31">
        <v>23.2</v>
      </c>
      <c r="N13" s="31">
        <v>23.3</v>
      </c>
      <c r="O13" s="31">
        <v>23.9</v>
      </c>
    </row>
    <row r="14" spans="1:15" ht="24.75" customHeight="1">
      <c r="A14" s="31" t="s">
        <v>183</v>
      </c>
      <c r="B14" s="31">
        <v>80</v>
      </c>
      <c r="C14" s="31" t="s">
        <v>220</v>
      </c>
      <c r="D14" s="31" t="s">
        <v>192</v>
      </c>
      <c r="E14" s="31" t="s">
        <v>221</v>
      </c>
      <c r="F14" s="31" t="s">
        <v>193</v>
      </c>
      <c r="G14" s="31" t="s">
        <v>222</v>
      </c>
      <c r="H14" s="31" t="s">
        <v>195</v>
      </c>
      <c r="I14" s="31" t="s">
        <v>223</v>
      </c>
      <c r="J14" s="31" t="s">
        <v>224</v>
      </c>
      <c r="K14" s="31" t="s">
        <v>225</v>
      </c>
      <c r="L14" s="31" t="s">
        <v>201</v>
      </c>
      <c r="M14" s="31" t="s">
        <v>226</v>
      </c>
      <c r="N14" s="31" t="s">
        <v>227</v>
      </c>
      <c r="O14" s="31" t="s">
        <v>228</v>
      </c>
    </row>
    <row r="15" spans="1:15" ht="24.75" customHeight="1">
      <c r="A15" s="31" t="s">
        <v>185</v>
      </c>
      <c r="B15" s="31">
        <v>80</v>
      </c>
      <c r="C15" s="31">
        <v>17.399999999999999</v>
      </c>
      <c r="D15" s="31">
        <v>17.899999999999999</v>
      </c>
      <c r="E15" s="31">
        <v>18.7</v>
      </c>
      <c r="F15" s="31">
        <v>19.5</v>
      </c>
      <c r="G15" s="31">
        <v>20.6</v>
      </c>
      <c r="H15" s="31">
        <v>20.9</v>
      </c>
      <c r="I15" s="31">
        <v>21.8</v>
      </c>
      <c r="J15" s="31">
        <v>22.3</v>
      </c>
      <c r="K15" s="31">
        <v>22.7</v>
      </c>
      <c r="L15" s="31">
        <v>22.8</v>
      </c>
      <c r="M15" s="31">
        <v>23.3</v>
      </c>
      <c r="N15" s="31">
        <v>23.4</v>
      </c>
      <c r="O15" s="31">
        <v>24</v>
      </c>
    </row>
    <row r="16" spans="1:15" ht="24.75" customHeight="1">
      <c r="A16" s="31" t="s">
        <v>185</v>
      </c>
      <c r="B16" s="31">
        <v>80</v>
      </c>
      <c r="C16" s="31">
        <v>19.2</v>
      </c>
      <c r="D16" s="31">
        <v>20.2</v>
      </c>
      <c r="E16" s="31">
        <v>21.1</v>
      </c>
      <c r="F16" s="31">
        <v>22</v>
      </c>
      <c r="G16" s="31">
        <v>22.9</v>
      </c>
      <c r="H16" s="31">
        <v>23.6</v>
      </c>
      <c r="I16" s="31">
        <v>24.4</v>
      </c>
      <c r="J16" s="31">
        <v>24.8</v>
      </c>
      <c r="K16" s="31">
        <v>25.1</v>
      </c>
      <c r="L16" s="31">
        <v>25.2</v>
      </c>
      <c r="M16" s="31">
        <v>25.4</v>
      </c>
      <c r="N16" s="31">
        <v>25.7</v>
      </c>
      <c r="O16" s="31">
        <v>27.9</v>
      </c>
    </row>
    <row r="17" spans="1:16" ht="24.75" customHeight="1">
      <c r="A17" s="31" t="s">
        <v>186</v>
      </c>
      <c r="B17" s="31">
        <v>60</v>
      </c>
      <c r="C17" s="31" t="s">
        <v>229</v>
      </c>
      <c r="D17" s="31" t="s">
        <v>230</v>
      </c>
      <c r="E17" s="31" t="s">
        <v>231</v>
      </c>
      <c r="F17" s="31" t="s">
        <v>232</v>
      </c>
      <c r="G17" s="31" t="s">
        <v>233</v>
      </c>
      <c r="H17" s="31" t="s">
        <v>234</v>
      </c>
      <c r="I17" s="31" t="s">
        <v>235</v>
      </c>
      <c r="J17" s="31" t="s">
        <v>236</v>
      </c>
      <c r="K17" s="31" t="s">
        <v>237</v>
      </c>
      <c r="L17" s="31" t="s">
        <v>212</v>
      </c>
      <c r="M17" s="31" t="s">
        <v>238</v>
      </c>
      <c r="N17" s="31" t="s">
        <v>239</v>
      </c>
      <c r="O17" s="31" t="s">
        <v>217</v>
      </c>
    </row>
    <row r="18" spans="1:16" ht="24.75" customHeight="1">
      <c r="A18" s="31" t="s">
        <v>162</v>
      </c>
    </row>
    <row r="19" spans="1:16" ht="24.75" customHeight="1">
      <c r="A19" s="35" t="s">
        <v>163</v>
      </c>
      <c r="B19" s="31" t="s">
        <v>164</v>
      </c>
      <c r="C19" s="35" t="s">
        <v>165</v>
      </c>
      <c r="D19" s="35" t="s">
        <v>166</v>
      </c>
      <c r="E19" s="35" t="s">
        <v>167</v>
      </c>
      <c r="F19" s="35" t="s">
        <v>168</v>
      </c>
      <c r="G19" s="35" t="s">
        <v>169</v>
      </c>
      <c r="H19" s="35" t="s">
        <v>170</v>
      </c>
      <c r="I19" s="35" t="s">
        <v>171</v>
      </c>
      <c r="J19" s="35" t="s">
        <v>172</v>
      </c>
      <c r="K19" s="35" t="s">
        <v>173</v>
      </c>
      <c r="L19" s="35" t="s">
        <v>174</v>
      </c>
      <c r="M19" s="35" t="s">
        <v>175</v>
      </c>
      <c r="N19" s="35" t="s">
        <v>176</v>
      </c>
      <c r="O19" s="31" t="s">
        <v>240</v>
      </c>
      <c r="P19" s="31" t="s">
        <v>241</v>
      </c>
    </row>
    <row r="20" spans="1:16" ht="24.75" customHeight="1">
      <c r="A20" s="35"/>
      <c r="B20" s="31" t="s">
        <v>177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1" t="s">
        <v>242</v>
      </c>
      <c r="P20" s="31" t="s">
        <v>243</v>
      </c>
    </row>
    <row r="21" spans="1:16" ht="24.75" customHeight="1">
      <c r="A21" s="31" t="s">
        <v>181</v>
      </c>
      <c r="B21" s="31">
        <v>100</v>
      </c>
      <c r="C21" s="31">
        <v>8000</v>
      </c>
      <c r="D21" s="31">
        <v>8000</v>
      </c>
      <c r="E21" s="31">
        <v>8000</v>
      </c>
      <c r="F21" s="31">
        <v>8000</v>
      </c>
      <c r="G21" s="31">
        <v>8000</v>
      </c>
      <c r="H21" s="31">
        <v>8000</v>
      </c>
      <c r="I21" s="31">
        <v>8000</v>
      </c>
      <c r="J21" s="31">
        <v>8000</v>
      </c>
      <c r="K21" s="31">
        <v>8000</v>
      </c>
      <c r="L21" s="31">
        <v>8000</v>
      </c>
      <c r="M21" s="31">
        <v>8000</v>
      </c>
      <c r="N21" s="31">
        <v>8000</v>
      </c>
      <c r="O21" s="31">
        <v>8000</v>
      </c>
      <c r="P21" s="31">
        <v>8000</v>
      </c>
    </row>
    <row r="22" spans="1:16" ht="24.75" customHeight="1">
      <c r="A22" s="31" t="s">
        <v>181</v>
      </c>
      <c r="B22" s="31">
        <v>100</v>
      </c>
      <c r="C22" s="31">
        <v>1700</v>
      </c>
      <c r="D22" s="31">
        <v>2000</v>
      </c>
      <c r="E22" s="31">
        <v>2300</v>
      </c>
      <c r="F22" s="31">
        <v>2600</v>
      </c>
      <c r="G22" s="31">
        <v>2900</v>
      </c>
      <c r="H22" s="31">
        <v>3200</v>
      </c>
      <c r="I22" s="31">
        <v>3640</v>
      </c>
      <c r="J22" s="31">
        <v>3940</v>
      </c>
      <c r="K22" s="31">
        <v>4240</v>
      </c>
      <c r="L22" s="31">
        <v>4540</v>
      </c>
      <c r="M22" s="31">
        <v>4740</v>
      </c>
      <c r="N22" s="31">
        <v>4940</v>
      </c>
      <c r="O22" s="31">
        <v>5040</v>
      </c>
      <c r="P22" s="31">
        <v>5140</v>
      </c>
    </row>
    <row r="23" spans="1:16" ht="24.75" customHeight="1">
      <c r="A23" s="31" t="s">
        <v>181</v>
      </c>
      <c r="B23" s="31">
        <v>95</v>
      </c>
      <c r="C23" s="31">
        <v>1699</v>
      </c>
      <c r="D23" s="31">
        <v>1999</v>
      </c>
      <c r="E23" s="31">
        <v>2299</v>
      </c>
      <c r="F23" s="31">
        <v>2599</v>
      </c>
      <c r="G23" s="31">
        <v>2899</v>
      </c>
      <c r="H23" s="31">
        <v>2199</v>
      </c>
      <c r="I23" s="31">
        <v>2639</v>
      </c>
      <c r="J23" s="31">
        <v>2939</v>
      </c>
      <c r="K23" s="31">
        <v>4239</v>
      </c>
      <c r="L23" s="31">
        <v>4539</v>
      </c>
      <c r="M23" s="31">
        <v>4739</v>
      </c>
      <c r="N23" s="31">
        <v>4939</v>
      </c>
      <c r="O23" s="31">
        <v>5039</v>
      </c>
      <c r="P23" s="31">
        <v>5139</v>
      </c>
    </row>
    <row r="24" spans="1:16" ht="24.75" customHeight="1">
      <c r="A24" s="31" t="s">
        <v>181</v>
      </c>
      <c r="B24" s="31">
        <v>95</v>
      </c>
      <c r="C24" s="31">
        <v>1600</v>
      </c>
      <c r="D24" s="31">
        <v>1900</v>
      </c>
      <c r="E24" s="31">
        <v>2200</v>
      </c>
      <c r="F24" s="31">
        <v>2500</v>
      </c>
      <c r="G24" s="31">
        <v>2800</v>
      </c>
      <c r="H24" s="31">
        <v>3100</v>
      </c>
      <c r="I24" s="31">
        <v>3520</v>
      </c>
      <c r="J24" s="31">
        <v>3820</v>
      </c>
      <c r="K24" s="31">
        <v>4120</v>
      </c>
      <c r="L24" s="31">
        <v>4420</v>
      </c>
      <c r="M24" s="31">
        <v>4620</v>
      </c>
      <c r="N24" s="31">
        <v>4820</v>
      </c>
      <c r="O24" s="31">
        <v>4920</v>
      </c>
      <c r="P24" s="31">
        <v>5020</v>
      </c>
    </row>
    <row r="25" spans="1:16" ht="24.75" customHeight="1">
      <c r="A25" s="31" t="s">
        <v>181</v>
      </c>
      <c r="B25" s="31">
        <v>90</v>
      </c>
      <c r="C25" s="31">
        <v>1599</v>
      </c>
      <c r="D25" s="31">
        <v>1899</v>
      </c>
      <c r="E25" s="31">
        <v>2199</v>
      </c>
      <c r="F25" s="31">
        <v>2499</v>
      </c>
      <c r="G25" s="31">
        <v>2799</v>
      </c>
      <c r="H25" s="31">
        <v>3099</v>
      </c>
      <c r="I25" s="31">
        <v>3519</v>
      </c>
      <c r="J25" s="31">
        <v>3819</v>
      </c>
      <c r="K25" s="31">
        <v>4119</v>
      </c>
      <c r="L25" s="31">
        <v>4419</v>
      </c>
      <c r="M25" s="31">
        <v>4619</v>
      </c>
      <c r="N25" s="31">
        <v>4819</v>
      </c>
      <c r="O25" s="31">
        <v>4919</v>
      </c>
      <c r="P25" s="31">
        <v>5019</v>
      </c>
    </row>
    <row r="26" spans="1:16" ht="24.75" customHeight="1">
      <c r="A26" s="31" t="s">
        <v>181</v>
      </c>
      <c r="B26" s="31">
        <v>90</v>
      </c>
      <c r="C26" s="31">
        <v>1500</v>
      </c>
      <c r="D26" s="31">
        <v>1800</v>
      </c>
      <c r="E26" s="31">
        <v>2100</v>
      </c>
      <c r="F26" s="31">
        <v>2400</v>
      </c>
      <c r="G26" s="31">
        <v>2700</v>
      </c>
      <c r="H26" s="31">
        <v>3000</v>
      </c>
      <c r="I26" s="31">
        <v>3400</v>
      </c>
      <c r="J26" s="31">
        <v>3700</v>
      </c>
      <c r="K26" s="31">
        <v>4000</v>
      </c>
      <c r="L26" s="31">
        <v>4300</v>
      </c>
      <c r="M26" s="31">
        <v>4500</v>
      </c>
      <c r="N26" s="31">
        <v>4700</v>
      </c>
      <c r="O26" s="31">
        <v>4800</v>
      </c>
      <c r="P26" s="31">
        <v>4900</v>
      </c>
    </row>
    <row r="27" spans="1:16" ht="24.75" customHeight="1">
      <c r="A27" s="31" t="s">
        <v>180</v>
      </c>
      <c r="B27" s="31">
        <v>85</v>
      </c>
      <c r="C27" s="31">
        <v>1499</v>
      </c>
      <c r="D27" s="31">
        <v>1799</v>
      </c>
      <c r="E27" s="31">
        <v>2099</v>
      </c>
      <c r="F27" s="31">
        <v>2399</v>
      </c>
      <c r="G27" s="31">
        <v>2699</v>
      </c>
      <c r="H27" s="31">
        <v>2999</v>
      </c>
      <c r="I27" s="31">
        <v>3399</v>
      </c>
      <c r="J27" s="31">
        <v>3699</v>
      </c>
      <c r="K27" s="31">
        <v>3999</v>
      </c>
      <c r="L27" s="31">
        <v>3299</v>
      </c>
      <c r="M27" s="31">
        <v>3499</v>
      </c>
      <c r="N27" s="31">
        <v>3699</v>
      </c>
      <c r="O27" s="31">
        <v>3799</v>
      </c>
      <c r="P27" s="31">
        <v>3899</v>
      </c>
    </row>
    <row r="28" spans="1:16" ht="24.75" customHeight="1">
      <c r="A28" s="31" t="s">
        <v>180</v>
      </c>
      <c r="B28" s="31">
        <v>85</v>
      </c>
      <c r="C28" s="31">
        <v>1400</v>
      </c>
      <c r="D28" s="31">
        <v>1650</v>
      </c>
      <c r="E28" s="31">
        <v>1900</v>
      </c>
      <c r="F28" s="31">
        <v>2150</v>
      </c>
      <c r="G28" s="31">
        <v>2450</v>
      </c>
      <c r="H28" s="31">
        <v>2750</v>
      </c>
      <c r="I28" s="31">
        <v>3150</v>
      </c>
      <c r="J28" s="31">
        <v>3450</v>
      </c>
      <c r="K28" s="31">
        <v>3750</v>
      </c>
      <c r="L28" s="31">
        <v>4050</v>
      </c>
      <c r="M28" s="31">
        <v>4250</v>
      </c>
      <c r="N28" s="31">
        <v>4450</v>
      </c>
      <c r="O28" s="31">
        <v>4550</v>
      </c>
      <c r="P28" s="31">
        <v>4650</v>
      </c>
    </row>
    <row r="29" spans="1:16" ht="24.75" customHeight="1">
      <c r="A29" s="31" t="s">
        <v>180</v>
      </c>
      <c r="B29" s="31">
        <v>85</v>
      </c>
      <c r="C29" s="31">
        <v>1399</v>
      </c>
      <c r="D29" s="31">
        <v>1649</v>
      </c>
      <c r="E29" s="31">
        <v>1899</v>
      </c>
      <c r="F29" s="31">
        <v>2149</v>
      </c>
      <c r="G29" s="31">
        <v>2449</v>
      </c>
      <c r="H29" s="31">
        <v>2749</v>
      </c>
      <c r="I29" s="31">
        <v>3149</v>
      </c>
      <c r="J29" s="31">
        <v>3449</v>
      </c>
      <c r="K29" s="31">
        <v>3749</v>
      </c>
      <c r="L29" s="31">
        <v>4049</v>
      </c>
      <c r="M29" s="31">
        <v>4249</v>
      </c>
      <c r="N29" s="31">
        <v>4449</v>
      </c>
      <c r="O29" s="31">
        <v>4549</v>
      </c>
      <c r="P29" s="31">
        <v>4649</v>
      </c>
    </row>
    <row r="30" spans="1:16" ht="24.75" customHeight="1">
      <c r="A30" s="31" t="s">
        <v>180</v>
      </c>
      <c r="B30" s="31">
        <v>80</v>
      </c>
      <c r="C30" s="31">
        <v>1300</v>
      </c>
      <c r="D30" s="31">
        <v>1500</v>
      </c>
      <c r="E30" s="31">
        <v>1700</v>
      </c>
      <c r="F30" s="31">
        <v>1900</v>
      </c>
      <c r="G30" s="31">
        <v>2200</v>
      </c>
      <c r="H30" s="31">
        <v>2500</v>
      </c>
      <c r="I30" s="31">
        <v>2900</v>
      </c>
      <c r="J30" s="31">
        <v>3200</v>
      </c>
      <c r="K30" s="31">
        <v>3500</v>
      </c>
      <c r="L30" s="31">
        <v>3800</v>
      </c>
      <c r="M30" s="31">
        <v>4000</v>
      </c>
      <c r="N30" s="31">
        <v>4200</v>
      </c>
      <c r="O30" s="31">
        <v>4300</v>
      </c>
      <c r="P30" s="31">
        <v>4400</v>
      </c>
    </row>
    <row r="31" spans="1:16" ht="24.75" customHeight="1">
      <c r="A31" s="31" t="s">
        <v>179</v>
      </c>
      <c r="B31" s="31">
        <v>78</v>
      </c>
      <c r="C31" s="31">
        <v>1299</v>
      </c>
      <c r="D31" s="31">
        <v>1499</v>
      </c>
      <c r="E31" s="31">
        <v>1699</v>
      </c>
      <c r="F31" s="31">
        <v>1899</v>
      </c>
      <c r="G31" s="31">
        <v>2199</v>
      </c>
      <c r="H31" s="31">
        <v>2499</v>
      </c>
      <c r="I31" s="31">
        <v>2899</v>
      </c>
      <c r="J31" s="31">
        <v>3199</v>
      </c>
      <c r="K31" s="31">
        <v>3499</v>
      </c>
      <c r="L31" s="31">
        <v>3799</v>
      </c>
      <c r="M31" s="31">
        <v>3999</v>
      </c>
      <c r="N31" s="31">
        <v>4199</v>
      </c>
      <c r="O31" s="31">
        <v>4299</v>
      </c>
      <c r="P31" s="31">
        <v>4399</v>
      </c>
    </row>
    <row r="32" spans="1:16" ht="24.75" customHeight="1">
      <c r="A32" s="31" t="s">
        <v>179</v>
      </c>
      <c r="B32" s="31">
        <v>78</v>
      </c>
      <c r="C32" s="31">
        <v>1240</v>
      </c>
      <c r="D32" s="31">
        <v>1430</v>
      </c>
      <c r="E32" s="31">
        <v>1620</v>
      </c>
      <c r="F32" s="31">
        <v>1820</v>
      </c>
      <c r="G32" s="31">
        <v>2110</v>
      </c>
      <c r="H32" s="31">
        <v>2400</v>
      </c>
      <c r="I32" s="31">
        <v>2780</v>
      </c>
      <c r="J32" s="31">
        <v>3080</v>
      </c>
      <c r="K32" s="31">
        <v>3380</v>
      </c>
      <c r="L32" s="31">
        <v>3680</v>
      </c>
      <c r="M32" s="31">
        <v>3880</v>
      </c>
      <c r="N32" s="31">
        <v>4080</v>
      </c>
      <c r="O32" s="31">
        <v>4180</v>
      </c>
      <c r="P32" s="31">
        <v>4280</v>
      </c>
    </row>
    <row r="33" spans="1:16" ht="24.75" customHeight="1">
      <c r="A33" s="31" t="s">
        <v>179</v>
      </c>
      <c r="B33" s="31">
        <v>76</v>
      </c>
      <c r="C33" s="31">
        <v>1239</v>
      </c>
      <c r="D33" s="31">
        <v>1429</v>
      </c>
      <c r="E33" s="31">
        <v>1919</v>
      </c>
      <c r="F33" s="31">
        <v>1819</v>
      </c>
      <c r="G33" s="31">
        <v>2109</v>
      </c>
      <c r="H33" s="31">
        <v>2399</v>
      </c>
      <c r="I33" s="31">
        <v>2779</v>
      </c>
      <c r="J33" s="31">
        <v>3079</v>
      </c>
      <c r="K33" s="31">
        <v>3379</v>
      </c>
      <c r="L33" s="31">
        <v>3679</v>
      </c>
      <c r="M33" s="31">
        <v>3879</v>
      </c>
      <c r="N33" s="31">
        <v>4079</v>
      </c>
      <c r="O33" s="31">
        <v>4179</v>
      </c>
      <c r="P33" s="31">
        <v>4279</v>
      </c>
    </row>
    <row r="34" spans="1:16" ht="24.75" customHeight="1">
      <c r="A34" s="31" t="s">
        <v>179</v>
      </c>
      <c r="B34" s="31">
        <v>76</v>
      </c>
      <c r="C34" s="31">
        <v>1180</v>
      </c>
      <c r="D34" s="31">
        <v>1360</v>
      </c>
      <c r="E34" s="31">
        <v>1540</v>
      </c>
      <c r="F34" s="31">
        <v>1740</v>
      </c>
      <c r="G34" s="31">
        <v>2020</v>
      </c>
      <c r="H34" s="31">
        <v>2300</v>
      </c>
      <c r="I34" s="31">
        <v>2660</v>
      </c>
      <c r="J34" s="31">
        <v>2960</v>
      </c>
      <c r="K34" s="31">
        <v>3260</v>
      </c>
      <c r="L34" s="31">
        <v>3560</v>
      </c>
      <c r="M34" s="31">
        <v>3760</v>
      </c>
      <c r="N34" s="31">
        <v>3960</v>
      </c>
      <c r="O34" s="31">
        <v>4060</v>
      </c>
      <c r="P34" s="31">
        <v>4160</v>
      </c>
    </row>
    <row r="35" spans="1:16" ht="24.75" customHeight="1">
      <c r="A35" s="31" t="s">
        <v>179</v>
      </c>
      <c r="B35" s="31">
        <v>74</v>
      </c>
      <c r="C35" s="31">
        <v>1179</v>
      </c>
      <c r="D35" s="31">
        <v>1359</v>
      </c>
      <c r="E35" s="31">
        <v>1539</v>
      </c>
      <c r="F35" s="31">
        <v>1739</v>
      </c>
      <c r="G35" s="31">
        <v>2019</v>
      </c>
      <c r="H35" s="31">
        <v>2299</v>
      </c>
      <c r="I35" s="31">
        <v>2659</v>
      </c>
      <c r="J35" s="31">
        <v>2959</v>
      </c>
      <c r="K35" s="31">
        <v>3259</v>
      </c>
      <c r="L35" s="31">
        <v>3559</v>
      </c>
      <c r="M35" s="31">
        <v>3759</v>
      </c>
      <c r="N35" s="31">
        <v>3959</v>
      </c>
      <c r="O35" s="31">
        <v>4059</v>
      </c>
      <c r="P35" s="31">
        <v>4159</v>
      </c>
    </row>
    <row r="36" spans="1:16" ht="24.75" customHeight="1">
      <c r="A36" s="31" t="s">
        <v>179</v>
      </c>
      <c r="B36" s="31">
        <v>74</v>
      </c>
      <c r="C36" s="31">
        <v>1120</v>
      </c>
      <c r="D36" s="31">
        <v>1290</v>
      </c>
      <c r="E36" s="31">
        <v>1460</v>
      </c>
      <c r="F36" s="31">
        <v>1660</v>
      </c>
      <c r="G36" s="31">
        <v>1930</v>
      </c>
      <c r="H36" s="31">
        <v>2200</v>
      </c>
      <c r="I36" s="31">
        <v>2540</v>
      </c>
      <c r="J36" s="31">
        <v>2840</v>
      </c>
      <c r="K36" s="31">
        <v>3140</v>
      </c>
      <c r="L36" s="31">
        <v>3440</v>
      </c>
      <c r="M36" s="31">
        <v>3640</v>
      </c>
      <c r="N36" s="31">
        <v>3840</v>
      </c>
      <c r="O36" s="31">
        <v>3940</v>
      </c>
      <c r="P36" s="31">
        <v>4040</v>
      </c>
    </row>
    <row r="37" spans="1:16" ht="24.75" customHeight="1">
      <c r="A37" s="31" t="s">
        <v>179</v>
      </c>
      <c r="B37" s="31">
        <v>72</v>
      </c>
      <c r="C37" s="31">
        <v>1119</v>
      </c>
      <c r="D37" s="31">
        <v>1289</v>
      </c>
      <c r="E37" s="31">
        <v>1459</v>
      </c>
      <c r="F37" s="31">
        <v>1659</v>
      </c>
      <c r="G37" s="31">
        <v>1929</v>
      </c>
      <c r="H37" s="31">
        <v>2199</v>
      </c>
      <c r="I37" s="31">
        <v>2539</v>
      </c>
      <c r="J37" s="31">
        <v>2839</v>
      </c>
      <c r="K37" s="31">
        <v>3139</v>
      </c>
      <c r="L37" s="31">
        <v>3439</v>
      </c>
      <c r="M37" s="31">
        <v>3639</v>
      </c>
      <c r="N37" s="31">
        <v>3839</v>
      </c>
      <c r="O37" s="31">
        <v>3939</v>
      </c>
      <c r="P37" s="31">
        <v>4039</v>
      </c>
    </row>
    <row r="38" spans="1:16" ht="24.75" customHeight="1">
      <c r="A38" s="31" t="s">
        <v>179</v>
      </c>
      <c r="B38" s="31">
        <v>72</v>
      </c>
      <c r="C38" s="31">
        <v>1060</v>
      </c>
      <c r="D38" s="31">
        <v>1220</v>
      </c>
      <c r="E38" s="31">
        <v>1380</v>
      </c>
      <c r="F38" s="31">
        <v>1580</v>
      </c>
      <c r="G38" s="31">
        <v>1840</v>
      </c>
      <c r="H38" s="31">
        <v>2100</v>
      </c>
      <c r="I38" s="31">
        <v>2420</v>
      </c>
      <c r="J38" s="31">
        <v>2720</v>
      </c>
      <c r="K38" s="31">
        <v>3020</v>
      </c>
      <c r="L38" s="31">
        <v>3320</v>
      </c>
      <c r="M38" s="31">
        <v>3520</v>
      </c>
      <c r="N38" s="31">
        <v>3720</v>
      </c>
      <c r="O38" s="31">
        <v>3820</v>
      </c>
      <c r="P38" s="31">
        <v>3920</v>
      </c>
    </row>
    <row r="39" spans="1:16" ht="24.75" customHeight="1">
      <c r="A39" s="31" t="s">
        <v>179</v>
      </c>
      <c r="B39" s="31">
        <v>70</v>
      </c>
      <c r="C39" s="31">
        <v>1059</v>
      </c>
      <c r="D39" s="31">
        <v>1219</v>
      </c>
      <c r="E39" s="31">
        <v>1379</v>
      </c>
      <c r="F39" s="31">
        <v>1579</v>
      </c>
      <c r="G39" s="31">
        <v>1839</v>
      </c>
      <c r="H39" s="31">
        <v>2099</v>
      </c>
      <c r="I39" s="31">
        <v>2419</v>
      </c>
      <c r="J39" s="31">
        <v>2719</v>
      </c>
      <c r="K39" s="31">
        <v>3019</v>
      </c>
      <c r="L39" s="31">
        <v>3319</v>
      </c>
      <c r="M39" s="31">
        <v>3519</v>
      </c>
      <c r="N39" s="31">
        <v>3719</v>
      </c>
      <c r="O39" s="31">
        <v>3819</v>
      </c>
      <c r="P39" s="31">
        <v>3919</v>
      </c>
    </row>
    <row r="40" spans="1:16" ht="24.75" customHeight="1">
      <c r="A40" s="31" t="s">
        <v>179</v>
      </c>
      <c r="B40" s="31">
        <v>70</v>
      </c>
      <c r="C40" s="31">
        <v>1000</v>
      </c>
      <c r="D40" s="31">
        <v>1150</v>
      </c>
      <c r="E40" s="31">
        <v>1300</v>
      </c>
      <c r="F40" s="31">
        <v>1500</v>
      </c>
      <c r="G40" s="31">
        <v>1750</v>
      </c>
      <c r="H40" s="31">
        <v>2000</v>
      </c>
      <c r="I40" s="31">
        <v>2300</v>
      </c>
      <c r="J40" s="31">
        <v>2600</v>
      </c>
      <c r="K40" s="31">
        <v>2900</v>
      </c>
      <c r="L40" s="31">
        <v>3200</v>
      </c>
      <c r="M40" s="31">
        <v>3400</v>
      </c>
      <c r="N40" s="31">
        <v>3600</v>
      </c>
      <c r="O40" s="31">
        <v>3700</v>
      </c>
      <c r="P40" s="31">
        <v>3800</v>
      </c>
    </row>
    <row r="41" spans="1:16" ht="24.75" customHeight="1">
      <c r="A41" s="31" t="s">
        <v>179</v>
      </c>
      <c r="B41" s="31">
        <v>68</v>
      </c>
      <c r="C41" s="31">
        <v>999</v>
      </c>
      <c r="D41" s="31">
        <v>1149</v>
      </c>
      <c r="E41" s="31">
        <v>1299</v>
      </c>
      <c r="F41" s="31">
        <v>1499</v>
      </c>
      <c r="G41" s="31">
        <v>1749</v>
      </c>
      <c r="H41" s="31">
        <v>1999</v>
      </c>
      <c r="I41" s="31">
        <v>2299</v>
      </c>
      <c r="J41" s="31">
        <v>2599</v>
      </c>
      <c r="K41" s="31">
        <v>2899</v>
      </c>
      <c r="L41" s="31">
        <v>3199</v>
      </c>
      <c r="M41" s="31">
        <v>3399</v>
      </c>
      <c r="N41" s="31">
        <v>3599</v>
      </c>
      <c r="O41" s="31">
        <v>3699</v>
      </c>
      <c r="P41" s="31">
        <v>3799</v>
      </c>
    </row>
    <row r="42" spans="1:16" ht="24.75" customHeight="1">
      <c r="A42" s="31" t="s">
        <v>179</v>
      </c>
      <c r="B42" s="31">
        <v>68</v>
      </c>
      <c r="C42" s="31">
        <v>940</v>
      </c>
      <c r="D42" s="31">
        <v>1080</v>
      </c>
      <c r="E42" s="31">
        <v>1220</v>
      </c>
      <c r="F42" s="31">
        <v>1420</v>
      </c>
      <c r="G42" s="31">
        <v>1660</v>
      </c>
      <c r="H42" s="31">
        <v>1900</v>
      </c>
      <c r="I42" s="31">
        <v>2180</v>
      </c>
      <c r="J42" s="31">
        <v>2480</v>
      </c>
      <c r="K42" s="31">
        <v>2780</v>
      </c>
      <c r="L42" s="31">
        <v>3080</v>
      </c>
      <c r="M42" s="31">
        <v>3280</v>
      </c>
      <c r="N42" s="31">
        <v>3480</v>
      </c>
      <c r="O42" s="31">
        <v>3580</v>
      </c>
      <c r="P42" s="31">
        <v>3680</v>
      </c>
    </row>
    <row r="43" spans="1:16" ht="24.75" customHeight="1">
      <c r="A43" s="31" t="s">
        <v>179</v>
      </c>
      <c r="B43" s="31">
        <v>66</v>
      </c>
      <c r="C43" s="31">
        <v>939</v>
      </c>
      <c r="D43" s="31">
        <v>1079</v>
      </c>
      <c r="E43" s="31">
        <v>1219</v>
      </c>
      <c r="F43" s="31">
        <v>1419</v>
      </c>
      <c r="G43" s="31">
        <v>1659</v>
      </c>
      <c r="H43" s="31">
        <v>1899</v>
      </c>
      <c r="I43" s="31">
        <v>2179</v>
      </c>
      <c r="J43" s="31">
        <v>2479</v>
      </c>
      <c r="K43" s="31">
        <v>2779</v>
      </c>
      <c r="L43" s="31">
        <v>3079</v>
      </c>
      <c r="M43" s="31">
        <v>3279</v>
      </c>
      <c r="N43" s="31">
        <v>3479</v>
      </c>
      <c r="O43" s="31">
        <v>3579</v>
      </c>
      <c r="P43" s="31">
        <v>3679</v>
      </c>
    </row>
    <row r="44" spans="1:16" ht="24.75" customHeight="1">
      <c r="A44" s="31" t="s">
        <v>179</v>
      </c>
      <c r="B44" s="31">
        <v>66</v>
      </c>
      <c r="C44" s="31">
        <v>880</v>
      </c>
      <c r="D44" s="31">
        <v>1010</v>
      </c>
      <c r="E44" s="31">
        <v>1140</v>
      </c>
      <c r="F44" s="31">
        <v>1340</v>
      </c>
      <c r="G44" s="31">
        <v>1570</v>
      </c>
      <c r="H44" s="31">
        <v>1800</v>
      </c>
      <c r="I44" s="31">
        <v>2060</v>
      </c>
      <c r="J44" s="31">
        <v>2360</v>
      </c>
      <c r="K44" s="31">
        <v>2660</v>
      </c>
      <c r="L44" s="31">
        <v>2960</v>
      </c>
      <c r="M44" s="31">
        <v>3160</v>
      </c>
      <c r="N44" s="31">
        <v>3360</v>
      </c>
      <c r="O44" s="31">
        <v>3460</v>
      </c>
      <c r="P44" s="31">
        <v>3560</v>
      </c>
    </row>
    <row r="45" spans="1:16" ht="24.75" customHeight="1">
      <c r="A45" s="31" t="s">
        <v>179</v>
      </c>
      <c r="B45" s="31">
        <v>64</v>
      </c>
      <c r="C45" s="31">
        <v>879</v>
      </c>
      <c r="D45" s="31">
        <v>1009</v>
      </c>
      <c r="E45" s="31">
        <v>1139</v>
      </c>
      <c r="F45" s="31">
        <v>1339</v>
      </c>
      <c r="G45" s="31">
        <v>1569</v>
      </c>
      <c r="H45" s="31">
        <v>1799</v>
      </c>
      <c r="I45" s="31">
        <v>2059</v>
      </c>
      <c r="J45" s="31">
        <v>2359</v>
      </c>
      <c r="K45" s="31">
        <v>2659</v>
      </c>
      <c r="L45" s="31">
        <v>2959</v>
      </c>
      <c r="M45" s="31">
        <v>3159</v>
      </c>
      <c r="N45" s="31">
        <v>3359</v>
      </c>
      <c r="O45" s="31">
        <v>3459</v>
      </c>
      <c r="P45" s="31">
        <v>3559</v>
      </c>
    </row>
    <row r="46" spans="1:16" ht="24.75" customHeight="1">
      <c r="A46" s="31" t="s">
        <v>179</v>
      </c>
      <c r="B46" s="31">
        <v>64</v>
      </c>
      <c r="C46" s="31">
        <v>820</v>
      </c>
      <c r="D46" s="31">
        <v>940</v>
      </c>
      <c r="E46" s="31">
        <v>1060</v>
      </c>
      <c r="F46" s="31">
        <v>1260</v>
      </c>
      <c r="G46" s="31">
        <v>1480</v>
      </c>
      <c r="H46" s="31">
        <v>1700</v>
      </c>
      <c r="I46" s="31">
        <v>1940</v>
      </c>
      <c r="J46" s="31">
        <v>2240</v>
      </c>
      <c r="K46" s="31">
        <v>2540</v>
      </c>
      <c r="L46" s="31">
        <v>2840</v>
      </c>
      <c r="M46" s="31">
        <v>3040</v>
      </c>
      <c r="N46" s="31">
        <v>3240</v>
      </c>
      <c r="O46" s="31">
        <v>3340</v>
      </c>
      <c r="P46" s="31">
        <v>3440</v>
      </c>
    </row>
    <row r="47" spans="1:16" ht="24.75" customHeight="1">
      <c r="A47" s="31" t="s">
        <v>179</v>
      </c>
      <c r="B47" s="31">
        <v>62</v>
      </c>
      <c r="C47" s="31">
        <v>819</v>
      </c>
      <c r="D47" s="31">
        <v>939</v>
      </c>
      <c r="E47" s="31">
        <v>1059</v>
      </c>
      <c r="F47" s="31">
        <v>1259</v>
      </c>
      <c r="G47" s="31">
        <v>1479</v>
      </c>
      <c r="H47" s="31">
        <v>1699</v>
      </c>
      <c r="I47" s="31">
        <v>1939</v>
      </c>
      <c r="J47" s="31">
        <v>2239</v>
      </c>
      <c r="K47" s="31">
        <v>2539</v>
      </c>
      <c r="L47" s="31">
        <v>2839</v>
      </c>
      <c r="M47" s="31">
        <v>3039</v>
      </c>
      <c r="N47" s="31">
        <v>3239</v>
      </c>
      <c r="O47" s="31">
        <v>3339</v>
      </c>
      <c r="P47" s="31">
        <v>3439</v>
      </c>
    </row>
    <row r="48" spans="1:16" ht="24.75" customHeight="1">
      <c r="A48" s="31" t="s">
        <v>179</v>
      </c>
      <c r="B48" s="31">
        <v>62</v>
      </c>
      <c r="C48" s="31">
        <v>760</v>
      </c>
      <c r="D48" s="31">
        <v>870</v>
      </c>
      <c r="E48" s="31">
        <v>980</v>
      </c>
      <c r="F48" s="31">
        <v>1180</v>
      </c>
      <c r="G48" s="31">
        <v>1390</v>
      </c>
      <c r="H48" s="31">
        <v>1600</v>
      </c>
      <c r="I48" s="31">
        <v>1820</v>
      </c>
      <c r="J48" s="31">
        <v>2120</v>
      </c>
      <c r="K48" s="31">
        <v>2420</v>
      </c>
      <c r="L48" s="31">
        <v>2720</v>
      </c>
      <c r="M48" s="31">
        <v>2920</v>
      </c>
      <c r="N48" s="31">
        <v>3120</v>
      </c>
      <c r="O48" s="31">
        <v>3220</v>
      </c>
      <c r="P48" s="31">
        <v>3320</v>
      </c>
    </row>
    <row r="49" spans="1:16" ht="24.75" customHeight="1">
      <c r="A49" s="31" t="s">
        <v>179</v>
      </c>
      <c r="B49" s="31">
        <v>60</v>
      </c>
      <c r="C49" s="31">
        <v>759</v>
      </c>
      <c r="D49" s="31">
        <v>869</v>
      </c>
      <c r="E49" s="31">
        <v>979</v>
      </c>
      <c r="F49" s="31">
        <v>1179</v>
      </c>
      <c r="G49" s="31">
        <v>1389</v>
      </c>
      <c r="H49" s="31">
        <v>1599</v>
      </c>
      <c r="I49" s="31">
        <v>1819</v>
      </c>
      <c r="J49" s="31">
        <v>2119</v>
      </c>
      <c r="K49" s="31">
        <v>2419</v>
      </c>
      <c r="L49" s="31">
        <v>2719</v>
      </c>
      <c r="M49" s="31">
        <v>2919</v>
      </c>
      <c r="N49" s="31">
        <v>3119</v>
      </c>
      <c r="O49" s="31">
        <v>3219</v>
      </c>
      <c r="P49" s="31">
        <v>3319</v>
      </c>
    </row>
    <row r="50" spans="1:16" ht="24.75" customHeight="1">
      <c r="A50" s="31" t="s">
        <v>179</v>
      </c>
      <c r="B50" s="31">
        <v>60</v>
      </c>
      <c r="C50" s="31">
        <v>700</v>
      </c>
      <c r="D50" s="31">
        <v>800</v>
      </c>
      <c r="E50" s="31">
        <v>900</v>
      </c>
      <c r="F50" s="31">
        <v>1100</v>
      </c>
      <c r="G50" s="31">
        <v>1300</v>
      </c>
      <c r="H50" s="31">
        <v>1500</v>
      </c>
      <c r="I50" s="31">
        <v>1700</v>
      </c>
      <c r="J50" s="31">
        <v>2000</v>
      </c>
      <c r="K50" s="31">
        <v>2300</v>
      </c>
      <c r="L50" s="31">
        <v>2600</v>
      </c>
      <c r="M50" s="31">
        <v>2800</v>
      </c>
      <c r="N50" s="31">
        <v>3000</v>
      </c>
      <c r="O50" s="31">
        <v>3100</v>
      </c>
      <c r="P50" s="31">
        <v>3200</v>
      </c>
    </row>
    <row r="51" spans="1:16" ht="24.75" customHeight="1">
      <c r="A51" s="31" t="s">
        <v>178</v>
      </c>
      <c r="B51" s="31">
        <v>50</v>
      </c>
      <c r="C51" s="31">
        <v>699</v>
      </c>
      <c r="D51" s="31">
        <v>799</v>
      </c>
      <c r="E51" s="31">
        <v>899</v>
      </c>
      <c r="F51" s="31">
        <v>1099</v>
      </c>
      <c r="G51" s="31">
        <v>1299</v>
      </c>
      <c r="H51" s="31">
        <v>1499</v>
      </c>
      <c r="I51" s="31">
        <v>1699</v>
      </c>
      <c r="J51" s="31">
        <v>1999</v>
      </c>
      <c r="K51" s="31">
        <v>2299</v>
      </c>
      <c r="L51" s="31">
        <v>2599</v>
      </c>
      <c r="M51" s="31">
        <v>2799</v>
      </c>
      <c r="N51" s="31">
        <v>2999</v>
      </c>
      <c r="O51" s="31">
        <v>3099</v>
      </c>
      <c r="P51" s="31">
        <v>3199</v>
      </c>
    </row>
    <row r="52" spans="1:16" ht="24.75" customHeight="1">
      <c r="A52" s="31" t="s">
        <v>178</v>
      </c>
      <c r="B52" s="31">
        <v>50</v>
      </c>
      <c r="C52" s="31">
        <v>660</v>
      </c>
      <c r="D52" s="31">
        <v>750</v>
      </c>
      <c r="E52" s="31">
        <v>840</v>
      </c>
      <c r="F52" s="31">
        <v>1030</v>
      </c>
      <c r="G52" s="31">
        <v>1220</v>
      </c>
      <c r="H52" s="31">
        <v>1410</v>
      </c>
      <c r="I52" s="31">
        <v>1600</v>
      </c>
      <c r="J52" s="31">
        <v>1890</v>
      </c>
      <c r="K52" s="31">
        <v>2180</v>
      </c>
      <c r="L52" s="31">
        <v>2470</v>
      </c>
      <c r="M52" s="31">
        <v>2660</v>
      </c>
      <c r="N52" s="31">
        <v>2850</v>
      </c>
      <c r="O52" s="31">
        <v>2940</v>
      </c>
      <c r="P52" s="31">
        <v>3030</v>
      </c>
    </row>
    <row r="53" spans="1:16" ht="24.75" customHeight="1">
      <c r="A53" s="31" t="s">
        <v>178</v>
      </c>
      <c r="B53" s="31">
        <v>40</v>
      </c>
      <c r="C53" s="31">
        <v>659</v>
      </c>
      <c r="D53" s="31">
        <v>749</v>
      </c>
      <c r="E53" s="31">
        <v>839</v>
      </c>
      <c r="F53" s="31">
        <v>1029</v>
      </c>
      <c r="G53" s="31">
        <v>1219</v>
      </c>
      <c r="H53" s="31">
        <v>1409</v>
      </c>
      <c r="I53" s="31">
        <v>1599</v>
      </c>
      <c r="J53" s="31">
        <v>1889</v>
      </c>
      <c r="K53" s="31">
        <v>2179</v>
      </c>
      <c r="L53" s="31">
        <v>2469</v>
      </c>
      <c r="M53" s="31">
        <v>2659</v>
      </c>
      <c r="N53" s="31">
        <v>2849</v>
      </c>
      <c r="O53" s="31">
        <v>2939</v>
      </c>
      <c r="P53" s="31">
        <v>3029</v>
      </c>
    </row>
    <row r="54" spans="1:16" ht="24.75" customHeight="1">
      <c r="A54" s="31" t="s">
        <v>178</v>
      </c>
      <c r="B54" s="31">
        <v>40</v>
      </c>
      <c r="C54" s="31">
        <v>620</v>
      </c>
      <c r="D54" s="31">
        <v>700</v>
      </c>
      <c r="E54" s="31">
        <v>780</v>
      </c>
      <c r="F54" s="31">
        <v>960</v>
      </c>
      <c r="G54" s="31">
        <v>1140</v>
      </c>
      <c r="H54" s="31">
        <v>1320</v>
      </c>
      <c r="I54" s="31">
        <v>1500</v>
      </c>
      <c r="J54" s="31">
        <v>1780</v>
      </c>
      <c r="K54" s="31">
        <v>2060</v>
      </c>
      <c r="L54" s="31">
        <v>2340</v>
      </c>
      <c r="M54" s="31">
        <v>2520</v>
      </c>
      <c r="N54" s="31">
        <v>2700</v>
      </c>
      <c r="O54" s="31">
        <v>2780</v>
      </c>
      <c r="P54" s="31">
        <v>2860</v>
      </c>
    </row>
    <row r="55" spans="1:16" ht="24.75" customHeight="1">
      <c r="A55" s="31" t="s">
        <v>178</v>
      </c>
      <c r="B55" s="31">
        <v>30</v>
      </c>
      <c r="C55" s="31">
        <v>619</v>
      </c>
      <c r="D55" s="31">
        <v>699</v>
      </c>
      <c r="E55" s="31">
        <v>779</v>
      </c>
      <c r="F55" s="31">
        <v>959</v>
      </c>
      <c r="G55" s="31">
        <v>1139</v>
      </c>
      <c r="H55" s="31">
        <v>1319</v>
      </c>
      <c r="I55" s="31">
        <v>1499</v>
      </c>
      <c r="J55" s="31">
        <v>1779</v>
      </c>
      <c r="K55" s="31">
        <v>2059</v>
      </c>
      <c r="L55" s="31">
        <v>2339</v>
      </c>
      <c r="M55" s="31">
        <v>2519</v>
      </c>
      <c r="N55" s="31">
        <v>2699</v>
      </c>
      <c r="O55" s="31">
        <v>2779</v>
      </c>
      <c r="P55" s="31">
        <v>2859</v>
      </c>
    </row>
    <row r="56" spans="1:16" ht="24.75" customHeight="1">
      <c r="A56" s="31" t="s">
        <v>178</v>
      </c>
      <c r="B56" s="31">
        <v>30</v>
      </c>
      <c r="C56" s="31">
        <v>580</v>
      </c>
      <c r="D56" s="31">
        <v>650</v>
      </c>
      <c r="E56" s="31">
        <v>720</v>
      </c>
      <c r="F56" s="31">
        <v>890</v>
      </c>
      <c r="G56" s="31">
        <v>1060</v>
      </c>
      <c r="H56" s="31">
        <v>1230</v>
      </c>
      <c r="I56" s="31">
        <v>1400</v>
      </c>
      <c r="J56" s="31">
        <v>1670</v>
      </c>
      <c r="K56" s="31">
        <v>1940</v>
      </c>
      <c r="L56" s="31">
        <v>2210</v>
      </c>
      <c r="M56" s="31">
        <v>2380</v>
      </c>
      <c r="N56" s="31">
        <v>2550</v>
      </c>
      <c r="O56" s="31">
        <v>2620</v>
      </c>
      <c r="P56" s="31">
        <v>2690</v>
      </c>
    </row>
    <row r="57" spans="1:16" ht="24.75" customHeight="1">
      <c r="A57" s="31" t="s">
        <v>178</v>
      </c>
      <c r="B57" s="31">
        <v>20</v>
      </c>
      <c r="C57" s="31">
        <v>579</v>
      </c>
      <c r="D57" s="31">
        <v>649</v>
      </c>
      <c r="E57" s="31">
        <v>719</v>
      </c>
      <c r="F57" s="31">
        <v>889</v>
      </c>
      <c r="G57" s="31">
        <v>1059</v>
      </c>
      <c r="H57" s="31">
        <v>1229</v>
      </c>
      <c r="I57" s="31">
        <v>1399</v>
      </c>
      <c r="J57" s="31">
        <v>1669</v>
      </c>
      <c r="K57" s="31">
        <v>1939</v>
      </c>
      <c r="L57" s="31">
        <v>2209</v>
      </c>
      <c r="M57" s="31">
        <v>2379</v>
      </c>
      <c r="N57" s="31">
        <v>2549</v>
      </c>
      <c r="O57" s="31">
        <v>2619</v>
      </c>
      <c r="P57" s="31">
        <v>2689</v>
      </c>
    </row>
    <row r="58" spans="1:16" ht="24.75" customHeight="1">
      <c r="A58" s="31" t="s">
        <v>178</v>
      </c>
      <c r="B58" s="31">
        <v>20</v>
      </c>
      <c r="C58" s="31">
        <v>540</v>
      </c>
      <c r="D58" s="31">
        <v>600</v>
      </c>
      <c r="E58" s="31">
        <v>660</v>
      </c>
      <c r="F58" s="31">
        <v>820</v>
      </c>
      <c r="G58" s="31">
        <v>980</v>
      </c>
      <c r="H58" s="31">
        <v>1140</v>
      </c>
      <c r="I58" s="31">
        <v>1300</v>
      </c>
      <c r="J58" s="31">
        <v>1560</v>
      </c>
      <c r="K58" s="31">
        <v>1820</v>
      </c>
      <c r="L58" s="31">
        <v>2080</v>
      </c>
      <c r="M58" s="31">
        <v>2240</v>
      </c>
      <c r="N58" s="31">
        <v>2400</v>
      </c>
      <c r="O58" s="31">
        <v>2460</v>
      </c>
      <c r="P58" s="31">
        <v>2520</v>
      </c>
    </row>
    <row r="59" spans="1:16" ht="24.75" customHeight="1">
      <c r="A59" s="31" t="s">
        <v>178</v>
      </c>
      <c r="B59" s="31">
        <v>10</v>
      </c>
      <c r="C59" s="31">
        <v>539</v>
      </c>
      <c r="D59" s="31">
        <v>599</v>
      </c>
      <c r="E59" s="31">
        <v>659</v>
      </c>
      <c r="F59" s="31">
        <v>819</v>
      </c>
      <c r="G59" s="31">
        <v>979</v>
      </c>
      <c r="H59" s="31">
        <v>1139</v>
      </c>
      <c r="I59" s="31">
        <v>1299</v>
      </c>
      <c r="J59" s="31">
        <v>1659</v>
      </c>
      <c r="K59" s="31">
        <v>1819</v>
      </c>
      <c r="L59" s="31">
        <v>2079</v>
      </c>
      <c r="M59" s="31">
        <v>2239</v>
      </c>
      <c r="N59" s="31">
        <v>2399</v>
      </c>
      <c r="O59" s="31">
        <v>2459</v>
      </c>
      <c r="P59" s="31">
        <v>2519</v>
      </c>
    </row>
    <row r="60" spans="1:16" ht="24.75" customHeight="1">
      <c r="A60" s="31" t="s">
        <v>178</v>
      </c>
      <c r="B60" s="31">
        <v>10</v>
      </c>
      <c r="C60" s="31">
        <v>500</v>
      </c>
      <c r="D60" s="31">
        <v>550</v>
      </c>
      <c r="E60" s="31">
        <v>600</v>
      </c>
      <c r="F60" s="31">
        <v>750</v>
      </c>
      <c r="G60" s="31">
        <v>900</v>
      </c>
      <c r="H60" s="31">
        <v>1050</v>
      </c>
      <c r="I60" s="31">
        <v>1200</v>
      </c>
      <c r="J60" s="31">
        <v>1450</v>
      </c>
      <c r="K60" s="31">
        <v>1700</v>
      </c>
      <c r="L60" s="31">
        <v>1950</v>
      </c>
      <c r="M60" s="31">
        <v>2100</v>
      </c>
      <c r="N60" s="31">
        <v>2250</v>
      </c>
      <c r="O60" s="31">
        <v>2300</v>
      </c>
      <c r="P60" s="31">
        <v>2350</v>
      </c>
    </row>
    <row r="61" spans="1:16" ht="24.75" customHeight="1">
      <c r="A61" s="31" t="s">
        <v>178</v>
      </c>
      <c r="B61" s="31">
        <v>0</v>
      </c>
      <c r="C61" s="31">
        <v>499</v>
      </c>
      <c r="D61" s="31">
        <v>549</v>
      </c>
      <c r="E61" s="31">
        <v>599</v>
      </c>
      <c r="F61" s="31">
        <v>749</v>
      </c>
      <c r="G61" s="31">
        <v>899</v>
      </c>
      <c r="H61" s="31">
        <v>1049</v>
      </c>
      <c r="I61" s="31">
        <v>1199</v>
      </c>
      <c r="J61" s="31">
        <v>1449</v>
      </c>
      <c r="K61" s="31">
        <v>1699</v>
      </c>
      <c r="L61" s="31">
        <v>1949</v>
      </c>
      <c r="M61" s="31">
        <v>2099</v>
      </c>
      <c r="N61" s="31">
        <v>2249</v>
      </c>
      <c r="O61" s="31">
        <v>2299</v>
      </c>
      <c r="P61" s="31">
        <v>2349</v>
      </c>
    </row>
    <row r="62" spans="1:16" ht="24.75" customHeight="1">
      <c r="A62" s="31" t="s">
        <v>244</v>
      </c>
    </row>
    <row r="63" spans="1:16" ht="24.75" customHeight="1">
      <c r="A63" s="35" t="s">
        <v>163</v>
      </c>
      <c r="B63" s="31" t="s">
        <v>164</v>
      </c>
      <c r="C63" s="35" t="s">
        <v>165</v>
      </c>
      <c r="D63" s="35" t="s">
        <v>166</v>
      </c>
      <c r="E63" s="35" t="s">
        <v>167</v>
      </c>
      <c r="F63" s="35" t="s">
        <v>168</v>
      </c>
      <c r="G63" s="35" t="s">
        <v>169</v>
      </c>
      <c r="H63" s="35" t="s">
        <v>170</v>
      </c>
      <c r="I63" s="35" t="s">
        <v>171</v>
      </c>
      <c r="J63" s="35" t="s">
        <v>172</v>
      </c>
      <c r="K63" s="35" t="s">
        <v>173</v>
      </c>
      <c r="L63" s="35" t="s">
        <v>174</v>
      </c>
      <c r="M63" s="35" t="s">
        <v>175</v>
      </c>
      <c r="N63" s="35" t="s">
        <v>176</v>
      </c>
      <c r="O63" s="31" t="s">
        <v>240</v>
      </c>
      <c r="P63" s="31" t="s">
        <v>241</v>
      </c>
    </row>
    <row r="64" spans="1:16" ht="24.75" customHeight="1">
      <c r="A64" s="35"/>
      <c r="B64" s="31" t="s">
        <v>177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1" t="s">
        <v>242</v>
      </c>
      <c r="P64" s="31" t="s">
        <v>243</v>
      </c>
    </row>
    <row r="65" spans="1:16" ht="24.75" customHeight="1">
      <c r="A65" s="31" t="s">
        <v>181</v>
      </c>
      <c r="B65" s="31">
        <v>100</v>
      </c>
      <c r="C65" s="31">
        <v>6000</v>
      </c>
      <c r="D65" s="31">
        <v>6000</v>
      </c>
      <c r="E65" s="31">
        <v>6000</v>
      </c>
      <c r="F65" s="31">
        <v>6000</v>
      </c>
      <c r="G65" s="31">
        <v>6000</v>
      </c>
      <c r="H65" s="31">
        <v>6000</v>
      </c>
      <c r="I65" s="31">
        <v>6000</v>
      </c>
      <c r="J65" s="31">
        <v>6000</v>
      </c>
      <c r="K65" s="31">
        <v>6000</v>
      </c>
      <c r="L65" s="31">
        <v>6000</v>
      </c>
      <c r="M65" s="31">
        <v>6000</v>
      </c>
      <c r="N65" s="31">
        <v>6000</v>
      </c>
      <c r="O65" s="31">
        <v>6000</v>
      </c>
      <c r="P65" s="31">
        <v>6000</v>
      </c>
    </row>
    <row r="66" spans="1:16" ht="24.75" customHeight="1">
      <c r="A66" s="31" t="s">
        <v>181</v>
      </c>
      <c r="B66" s="31">
        <v>100</v>
      </c>
      <c r="C66" s="31">
        <v>1400</v>
      </c>
      <c r="D66" s="31">
        <v>1600</v>
      </c>
      <c r="E66" s="31">
        <v>1800</v>
      </c>
      <c r="F66" s="31">
        <v>2000</v>
      </c>
      <c r="G66" s="31">
        <v>2250</v>
      </c>
      <c r="H66" s="31">
        <v>2500</v>
      </c>
      <c r="I66" s="31">
        <v>2750</v>
      </c>
      <c r="J66" s="31">
        <v>2900</v>
      </c>
      <c r="K66" s="31">
        <v>3050</v>
      </c>
      <c r="L66" s="31">
        <v>3150</v>
      </c>
      <c r="M66" s="31">
        <v>3250</v>
      </c>
      <c r="N66" s="31">
        <v>3350</v>
      </c>
      <c r="O66" s="31">
        <v>3400</v>
      </c>
      <c r="P66" s="31">
        <v>3450</v>
      </c>
    </row>
    <row r="67" spans="1:16" ht="24.75" customHeight="1">
      <c r="B67" s="31">
        <v>95</v>
      </c>
      <c r="C67" s="31">
        <v>1399</v>
      </c>
      <c r="D67" s="31">
        <v>1599</v>
      </c>
      <c r="E67" s="31">
        <v>1799</v>
      </c>
      <c r="F67" s="31">
        <v>1999</v>
      </c>
      <c r="G67" s="31">
        <v>2249</v>
      </c>
      <c r="H67" s="31">
        <v>2499</v>
      </c>
      <c r="I67" s="31">
        <v>2749</v>
      </c>
      <c r="J67" s="31">
        <v>2899</v>
      </c>
      <c r="K67" s="31">
        <v>3049</v>
      </c>
      <c r="L67" s="31">
        <v>3149</v>
      </c>
      <c r="M67" s="31">
        <v>3249</v>
      </c>
      <c r="N67" s="31">
        <v>3349</v>
      </c>
      <c r="O67" s="31">
        <v>3399</v>
      </c>
      <c r="P67" s="31">
        <v>3449</v>
      </c>
    </row>
    <row r="68" spans="1:16" ht="24.75" customHeight="1">
      <c r="A68" s="31" t="s">
        <v>181</v>
      </c>
      <c r="B68" s="31">
        <v>95</v>
      </c>
      <c r="C68" s="31">
        <v>1300</v>
      </c>
      <c r="D68" s="31">
        <v>1500</v>
      </c>
      <c r="E68" s="31">
        <v>1700</v>
      </c>
      <c r="F68" s="31">
        <v>1900</v>
      </c>
      <c r="G68" s="31">
        <v>2150</v>
      </c>
      <c r="H68" s="31">
        <v>2400</v>
      </c>
      <c r="I68" s="31">
        <v>2650</v>
      </c>
      <c r="J68" s="31">
        <v>2850</v>
      </c>
      <c r="K68" s="31">
        <v>3000</v>
      </c>
      <c r="L68" s="31">
        <v>3100</v>
      </c>
      <c r="M68" s="31">
        <v>3200</v>
      </c>
      <c r="N68" s="31">
        <v>3300</v>
      </c>
      <c r="O68" s="31">
        <v>3350</v>
      </c>
      <c r="P68" s="31">
        <v>3400</v>
      </c>
    </row>
    <row r="69" spans="1:16" ht="24.75" customHeight="1">
      <c r="B69" s="31">
        <v>90</v>
      </c>
      <c r="C69" s="31">
        <v>1299</v>
      </c>
      <c r="D69" s="31">
        <v>1499</v>
      </c>
      <c r="E69" s="31">
        <v>1600</v>
      </c>
      <c r="F69" s="31">
        <v>1899</v>
      </c>
      <c r="G69" s="31">
        <v>2149</v>
      </c>
      <c r="H69" s="31">
        <v>2399</v>
      </c>
      <c r="I69" s="31">
        <v>2649</v>
      </c>
      <c r="J69" s="31">
        <v>2849</v>
      </c>
      <c r="K69" s="31">
        <v>2999</v>
      </c>
      <c r="L69" s="31">
        <v>3099</v>
      </c>
      <c r="M69" s="31">
        <v>3199</v>
      </c>
      <c r="N69" s="31">
        <v>3299</v>
      </c>
      <c r="O69" s="31">
        <v>3349</v>
      </c>
      <c r="P69" s="31">
        <v>3399</v>
      </c>
    </row>
    <row r="70" spans="1:16" ht="24.75" customHeight="1">
      <c r="A70" s="31" t="s">
        <v>181</v>
      </c>
      <c r="B70" s="31">
        <v>90</v>
      </c>
      <c r="C70" s="31">
        <v>1200</v>
      </c>
      <c r="D70" s="31">
        <v>1400</v>
      </c>
      <c r="E70" s="31">
        <v>1600</v>
      </c>
      <c r="F70" s="31">
        <v>1800</v>
      </c>
      <c r="G70" s="31">
        <v>2050</v>
      </c>
      <c r="H70" s="31">
        <v>2300</v>
      </c>
      <c r="I70" s="31">
        <v>2550</v>
      </c>
      <c r="J70" s="31">
        <v>2800</v>
      </c>
      <c r="K70" s="31">
        <v>2950</v>
      </c>
      <c r="L70" s="31">
        <v>3050</v>
      </c>
      <c r="M70" s="31">
        <v>3150</v>
      </c>
      <c r="N70" s="31">
        <v>3250</v>
      </c>
      <c r="O70" s="31">
        <v>3300</v>
      </c>
      <c r="P70" s="31">
        <v>3350</v>
      </c>
    </row>
    <row r="71" spans="1:16" ht="24.75" customHeight="1">
      <c r="A71" s="31" t="s">
        <v>180</v>
      </c>
      <c r="B71" s="31">
        <v>85</v>
      </c>
      <c r="C71" s="31">
        <v>1199</v>
      </c>
      <c r="D71" s="31">
        <v>1399</v>
      </c>
      <c r="E71" s="31">
        <v>1599</v>
      </c>
      <c r="F71" s="31">
        <v>1799</v>
      </c>
      <c r="G71" s="31">
        <v>2049</v>
      </c>
      <c r="H71" s="31">
        <v>2299</v>
      </c>
      <c r="I71" s="31">
        <v>2549</v>
      </c>
      <c r="J71" s="31">
        <v>2799</v>
      </c>
      <c r="K71" s="31">
        <v>2949</v>
      </c>
      <c r="L71" s="31">
        <v>3049</v>
      </c>
      <c r="M71" s="31">
        <v>3149</v>
      </c>
      <c r="N71" s="31">
        <v>3249</v>
      </c>
    </row>
    <row r="72" spans="1:16" ht="24.75" customHeight="1">
      <c r="A72" s="31" t="s">
        <v>180</v>
      </c>
      <c r="B72" s="31">
        <v>85</v>
      </c>
      <c r="C72" s="31">
        <v>1100</v>
      </c>
      <c r="D72" s="31">
        <v>1300</v>
      </c>
      <c r="E72" s="31">
        <v>1500</v>
      </c>
      <c r="F72" s="31">
        <v>1700</v>
      </c>
      <c r="G72" s="31">
        <v>1950</v>
      </c>
      <c r="H72" s="31">
        <v>2200</v>
      </c>
      <c r="I72" s="31">
        <v>2450</v>
      </c>
      <c r="J72" s="31">
        <v>2650</v>
      </c>
      <c r="K72" s="31">
        <v>2800</v>
      </c>
      <c r="L72" s="31">
        <v>2900</v>
      </c>
      <c r="M72" s="31">
        <v>3000</v>
      </c>
      <c r="N72" s="31">
        <v>3100</v>
      </c>
      <c r="O72" s="31">
        <v>3150</v>
      </c>
      <c r="P72" s="31">
        <v>3200</v>
      </c>
    </row>
    <row r="73" spans="1:16" ht="24.75" customHeight="1">
      <c r="A73" s="31" t="s">
        <v>180</v>
      </c>
      <c r="B73" s="31">
        <v>80</v>
      </c>
      <c r="C73" s="31">
        <v>1099</v>
      </c>
      <c r="D73" s="31">
        <v>1299</v>
      </c>
      <c r="E73" s="31">
        <v>1499</v>
      </c>
      <c r="F73" s="31">
        <v>1699</v>
      </c>
      <c r="G73" s="31">
        <v>1949</v>
      </c>
      <c r="H73" s="31">
        <v>2199</v>
      </c>
      <c r="I73" s="31">
        <v>2449</v>
      </c>
      <c r="J73" s="31">
        <v>2649</v>
      </c>
      <c r="K73" s="31">
        <v>2799</v>
      </c>
      <c r="L73" s="31">
        <v>2899</v>
      </c>
      <c r="M73" s="31">
        <v>2999</v>
      </c>
      <c r="N73" s="31">
        <v>3099</v>
      </c>
    </row>
    <row r="74" spans="1:16" ht="24.75" customHeight="1">
      <c r="A74" s="31" t="s">
        <v>180</v>
      </c>
      <c r="B74" s="31">
        <v>80</v>
      </c>
      <c r="C74" s="31">
        <v>1000</v>
      </c>
      <c r="D74" s="31">
        <v>1200</v>
      </c>
      <c r="E74" s="31">
        <v>1400</v>
      </c>
      <c r="F74" s="31">
        <v>1600</v>
      </c>
      <c r="G74" s="31">
        <v>1850</v>
      </c>
      <c r="H74" s="31">
        <v>2100</v>
      </c>
      <c r="I74" s="31">
        <v>2350</v>
      </c>
      <c r="J74" s="31">
        <v>2500</v>
      </c>
      <c r="K74" s="31">
        <v>2650</v>
      </c>
      <c r="L74" s="31">
        <v>2750</v>
      </c>
      <c r="M74" s="31">
        <v>2850</v>
      </c>
      <c r="N74" s="31">
        <v>2950</v>
      </c>
      <c r="O74" s="31">
        <v>3000</v>
      </c>
      <c r="P74" s="31">
        <v>3050</v>
      </c>
    </row>
    <row r="75" spans="1:16" ht="24.75" customHeight="1">
      <c r="A75" s="31" t="s">
        <v>179</v>
      </c>
      <c r="B75" s="31">
        <v>78</v>
      </c>
      <c r="C75" s="31">
        <v>999</v>
      </c>
      <c r="D75" s="31">
        <v>1199</v>
      </c>
      <c r="E75" s="31">
        <v>1399</v>
      </c>
      <c r="F75" s="31">
        <v>1599</v>
      </c>
      <c r="G75" s="31">
        <v>1849</v>
      </c>
      <c r="H75" s="31">
        <v>2099</v>
      </c>
      <c r="I75" s="31">
        <v>2349</v>
      </c>
      <c r="J75" s="31">
        <v>2499</v>
      </c>
      <c r="K75" s="31">
        <v>2649</v>
      </c>
      <c r="L75" s="31">
        <v>2749</v>
      </c>
      <c r="M75" s="31">
        <v>2849</v>
      </c>
      <c r="N75" s="31">
        <v>2949</v>
      </c>
    </row>
    <row r="76" spans="1:16" ht="24.75" customHeight="1">
      <c r="A76" s="31" t="s">
        <v>179</v>
      </c>
      <c r="B76" s="31">
        <v>78</v>
      </c>
      <c r="C76" s="31">
        <v>960</v>
      </c>
      <c r="D76" s="31">
        <v>1150</v>
      </c>
      <c r="E76" s="31">
        <v>1340</v>
      </c>
      <c r="F76" s="31">
        <v>1530</v>
      </c>
      <c r="G76" s="31">
        <v>1770</v>
      </c>
      <c r="H76" s="31">
        <v>2010</v>
      </c>
      <c r="I76" s="31">
        <v>2250</v>
      </c>
      <c r="J76" s="31">
        <v>2400</v>
      </c>
      <c r="K76" s="31">
        <v>2550</v>
      </c>
      <c r="L76" s="31">
        <v>2650</v>
      </c>
      <c r="M76" s="31">
        <v>2750</v>
      </c>
      <c r="N76" s="31">
        <v>2850</v>
      </c>
      <c r="O76" s="31">
        <v>2900</v>
      </c>
      <c r="P76" s="31">
        <v>2950</v>
      </c>
    </row>
    <row r="77" spans="1:16" ht="24.75" customHeight="1">
      <c r="A77" s="31" t="s">
        <v>179</v>
      </c>
      <c r="B77" s="31">
        <v>76</v>
      </c>
      <c r="C77" s="31">
        <v>959</v>
      </c>
      <c r="D77" s="31">
        <v>1149</v>
      </c>
      <c r="E77" s="31">
        <v>1449</v>
      </c>
      <c r="F77" s="31">
        <v>1529</v>
      </c>
      <c r="G77" s="31">
        <v>1769</v>
      </c>
      <c r="H77" s="31">
        <v>2009</v>
      </c>
      <c r="I77" s="31">
        <v>2249</v>
      </c>
      <c r="J77" s="31">
        <v>2399</v>
      </c>
      <c r="K77" s="31">
        <v>2549</v>
      </c>
      <c r="L77" s="31">
        <v>2649</v>
      </c>
      <c r="M77" s="31">
        <v>2749</v>
      </c>
      <c r="N77" s="31">
        <v>2849</v>
      </c>
    </row>
    <row r="78" spans="1:16" ht="24.75" customHeight="1">
      <c r="A78" s="31" t="s">
        <v>179</v>
      </c>
      <c r="B78" s="31">
        <v>76</v>
      </c>
      <c r="C78" s="31">
        <v>920</v>
      </c>
      <c r="D78" s="31">
        <v>1100</v>
      </c>
      <c r="E78" s="31">
        <v>1280</v>
      </c>
      <c r="F78" s="31">
        <v>1460</v>
      </c>
      <c r="G78" s="31">
        <v>1690</v>
      </c>
      <c r="H78" s="31">
        <v>1920</v>
      </c>
      <c r="I78" s="31">
        <v>2150</v>
      </c>
      <c r="J78" s="31">
        <v>2300</v>
      </c>
      <c r="K78" s="31">
        <v>2450</v>
      </c>
      <c r="L78" s="31">
        <v>2550</v>
      </c>
      <c r="M78" s="31">
        <v>2650</v>
      </c>
      <c r="N78" s="31">
        <v>2750</v>
      </c>
      <c r="O78" s="31">
        <v>2800</v>
      </c>
      <c r="P78" s="31">
        <v>2850</v>
      </c>
    </row>
    <row r="79" spans="1:16" ht="24.75" customHeight="1">
      <c r="A79" s="31" t="s">
        <v>179</v>
      </c>
      <c r="B79" s="31">
        <v>74</v>
      </c>
      <c r="C79" s="31">
        <v>919</v>
      </c>
      <c r="D79" s="31">
        <v>1099</v>
      </c>
      <c r="E79" s="31">
        <v>1279</v>
      </c>
      <c r="F79" s="31">
        <v>1459</v>
      </c>
      <c r="G79" s="31">
        <v>1689</v>
      </c>
      <c r="H79" s="31">
        <v>1919</v>
      </c>
      <c r="I79" s="31">
        <v>2149</v>
      </c>
      <c r="J79" s="31">
        <v>2299</v>
      </c>
      <c r="K79" s="31">
        <v>2449</v>
      </c>
      <c r="L79" s="31">
        <v>2549</v>
      </c>
      <c r="M79" s="31">
        <v>2649</v>
      </c>
      <c r="N79" s="31">
        <v>2749</v>
      </c>
    </row>
    <row r="80" spans="1:16" ht="24.75" customHeight="1">
      <c r="A80" s="31" t="s">
        <v>179</v>
      </c>
      <c r="B80" s="31">
        <v>74</v>
      </c>
      <c r="C80" s="31">
        <v>880</v>
      </c>
      <c r="D80" s="31">
        <v>1050</v>
      </c>
      <c r="E80" s="31">
        <v>1220</v>
      </c>
      <c r="F80" s="31">
        <v>1390</v>
      </c>
      <c r="G80" s="31">
        <v>1610</v>
      </c>
      <c r="H80" s="31">
        <v>1830</v>
      </c>
      <c r="I80" s="31">
        <v>2050</v>
      </c>
      <c r="J80" s="31">
        <v>2200</v>
      </c>
      <c r="K80" s="31">
        <v>2350</v>
      </c>
      <c r="L80" s="31">
        <v>2450</v>
      </c>
      <c r="M80" s="31">
        <v>2550</v>
      </c>
      <c r="N80" s="31">
        <v>2650</v>
      </c>
      <c r="O80" s="31">
        <v>2700</v>
      </c>
      <c r="P80" s="31">
        <v>2750</v>
      </c>
    </row>
    <row r="81" spans="1:16" ht="24.75" customHeight="1">
      <c r="A81" s="31" t="s">
        <v>179</v>
      </c>
      <c r="B81" s="31">
        <v>72</v>
      </c>
      <c r="C81" s="31">
        <v>879</v>
      </c>
      <c r="D81" s="31">
        <v>1049</v>
      </c>
      <c r="E81" s="31">
        <v>1219</v>
      </c>
      <c r="F81" s="31">
        <v>1389</v>
      </c>
      <c r="G81" s="31">
        <v>1609</v>
      </c>
      <c r="H81" s="31">
        <v>1829</v>
      </c>
      <c r="I81" s="31">
        <v>2049</v>
      </c>
      <c r="J81" s="31">
        <v>2199</v>
      </c>
      <c r="K81" s="31">
        <v>2349</v>
      </c>
      <c r="L81" s="31">
        <v>2449</v>
      </c>
      <c r="M81" s="31">
        <v>2549</v>
      </c>
      <c r="N81" s="31">
        <v>2649</v>
      </c>
    </row>
    <row r="82" spans="1:16" ht="24.75" customHeight="1">
      <c r="A82" s="31" t="s">
        <v>179</v>
      </c>
      <c r="B82" s="31">
        <v>72</v>
      </c>
      <c r="C82" s="31">
        <v>840</v>
      </c>
      <c r="D82" s="31">
        <v>1000</v>
      </c>
      <c r="E82" s="31">
        <v>1160</v>
      </c>
      <c r="F82" s="31">
        <v>1320</v>
      </c>
      <c r="G82" s="31">
        <v>1530</v>
      </c>
      <c r="H82" s="31">
        <v>1740</v>
      </c>
      <c r="I82" s="31">
        <v>1950</v>
      </c>
      <c r="J82" s="31">
        <v>2100</v>
      </c>
      <c r="K82" s="31">
        <v>2250</v>
      </c>
      <c r="L82" s="31">
        <v>2350</v>
      </c>
      <c r="M82" s="31">
        <v>2450</v>
      </c>
      <c r="N82" s="31">
        <v>2550</v>
      </c>
      <c r="O82" s="31">
        <v>2600</v>
      </c>
      <c r="P82" s="31">
        <v>2650</v>
      </c>
    </row>
    <row r="83" spans="1:16" ht="24.75" customHeight="1">
      <c r="A83" s="31" t="s">
        <v>179</v>
      </c>
      <c r="B83" s="31">
        <v>70</v>
      </c>
      <c r="C83" s="31">
        <v>839</v>
      </c>
      <c r="D83" s="31">
        <v>999</v>
      </c>
      <c r="E83" s="31">
        <v>1159</v>
      </c>
      <c r="F83" s="31">
        <v>1319</v>
      </c>
      <c r="G83" s="31">
        <v>1529</v>
      </c>
      <c r="H83" s="31">
        <v>1739</v>
      </c>
      <c r="I83" s="31">
        <v>1949</v>
      </c>
      <c r="J83" s="31">
        <v>2099</v>
      </c>
      <c r="K83" s="31">
        <v>2249</v>
      </c>
      <c r="L83" s="31">
        <v>2349</v>
      </c>
      <c r="M83" s="31">
        <v>2439</v>
      </c>
      <c r="N83" s="31">
        <v>2549</v>
      </c>
    </row>
    <row r="84" spans="1:16" ht="24.75" customHeight="1">
      <c r="A84" s="31" t="s">
        <v>179</v>
      </c>
      <c r="B84" s="31">
        <v>70</v>
      </c>
      <c r="C84" s="31">
        <v>800</v>
      </c>
      <c r="D84" s="31">
        <v>950</v>
      </c>
      <c r="E84" s="31">
        <v>1100</v>
      </c>
      <c r="F84" s="31">
        <v>1250</v>
      </c>
      <c r="G84" s="31">
        <v>1450</v>
      </c>
      <c r="H84" s="31">
        <v>1650</v>
      </c>
      <c r="I84" s="31">
        <v>1850</v>
      </c>
      <c r="J84" s="31">
        <v>2000</v>
      </c>
      <c r="K84" s="31">
        <v>2150</v>
      </c>
      <c r="L84" s="31">
        <v>2250</v>
      </c>
      <c r="M84" s="31">
        <v>2350</v>
      </c>
      <c r="N84" s="31">
        <v>2450</v>
      </c>
      <c r="O84" s="31">
        <v>2500</v>
      </c>
      <c r="P84" s="31">
        <v>2550</v>
      </c>
    </row>
    <row r="85" spans="1:16" ht="24.75" customHeight="1">
      <c r="A85" s="31" t="s">
        <v>179</v>
      </c>
      <c r="B85" s="31">
        <v>68</v>
      </c>
      <c r="C85" s="31">
        <v>799</v>
      </c>
      <c r="D85" s="31">
        <v>949</v>
      </c>
      <c r="E85" s="31">
        <v>1099</v>
      </c>
      <c r="F85" s="31">
        <v>1249</v>
      </c>
      <c r="G85" s="31">
        <v>1449</v>
      </c>
      <c r="H85" s="31">
        <v>1649</v>
      </c>
      <c r="I85" s="31">
        <v>1849</v>
      </c>
      <c r="J85" s="31">
        <v>1999</v>
      </c>
      <c r="K85" s="31">
        <v>2149</v>
      </c>
      <c r="L85" s="31">
        <v>2249</v>
      </c>
      <c r="M85" s="31">
        <v>2349</v>
      </c>
      <c r="N85" s="31">
        <v>2449</v>
      </c>
    </row>
    <row r="86" spans="1:16" ht="24.75" customHeight="1">
      <c r="A86" s="31" t="s">
        <v>179</v>
      </c>
      <c r="B86" s="31">
        <v>68</v>
      </c>
      <c r="C86" s="31">
        <v>760</v>
      </c>
      <c r="D86" s="31">
        <v>900</v>
      </c>
      <c r="E86" s="31">
        <v>1040</v>
      </c>
      <c r="F86" s="31">
        <v>1180</v>
      </c>
      <c r="G86" s="31">
        <v>1370</v>
      </c>
      <c r="H86" s="31">
        <v>1560</v>
      </c>
      <c r="I86" s="31">
        <v>1750</v>
      </c>
      <c r="J86" s="31">
        <v>1900</v>
      </c>
      <c r="K86" s="31">
        <v>2050</v>
      </c>
      <c r="L86" s="31">
        <v>2150</v>
      </c>
      <c r="M86" s="31">
        <v>2250</v>
      </c>
      <c r="N86" s="31">
        <v>2350</v>
      </c>
      <c r="O86" s="31">
        <v>2400</v>
      </c>
      <c r="P86" s="31">
        <v>2450</v>
      </c>
    </row>
    <row r="87" spans="1:16" ht="24.75" customHeight="1">
      <c r="A87" s="31" t="s">
        <v>179</v>
      </c>
      <c r="B87" s="31">
        <v>66</v>
      </c>
      <c r="C87" s="31">
        <v>759</v>
      </c>
      <c r="D87" s="31">
        <v>899</v>
      </c>
      <c r="E87" s="31">
        <v>1039</v>
      </c>
      <c r="F87" s="31">
        <v>1179</v>
      </c>
      <c r="G87" s="31">
        <v>1369</v>
      </c>
      <c r="H87" s="31">
        <v>1559</v>
      </c>
      <c r="I87" s="31">
        <v>1749</v>
      </c>
      <c r="J87" s="31">
        <v>1899</v>
      </c>
      <c r="K87" s="31">
        <v>2049</v>
      </c>
      <c r="L87" s="31">
        <v>2149</v>
      </c>
      <c r="M87" s="31">
        <v>2249</v>
      </c>
      <c r="N87" s="31">
        <v>2349</v>
      </c>
    </row>
    <row r="88" spans="1:16" ht="24.75" customHeight="1">
      <c r="A88" s="31" t="s">
        <v>179</v>
      </c>
      <c r="B88" s="31">
        <v>66</v>
      </c>
      <c r="C88" s="31">
        <v>720</v>
      </c>
      <c r="D88" s="31">
        <v>850</v>
      </c>
      <c r="E88" s="31">
        <v>980</v>
      </c>
      <c r="F88" s="31">
        <v>1110</v>
      </c>
      <c r="G88" s="31">
        <v>1290</v>
      </c>
      <c r="H88" s="31">
        <v>1470</v>
      </c>
      <c r="I88" s="31">
        <v>1650</v>
      </c>
      <c r="J88" s="31">
        <v>1800</v>
      </c>
      <c r="K88" s="31">
        <v>1950</v>
      </c>
      <c r="L88" s="31">
        <v>2050</v>
      </c>
      <c r="M88" s="31">
        <v>2150</v>
      </c>
      <c r="N88" s="31">
        <v>2250</v>
      </c>
      <c r="O88" s="31">
        <v>2300</v>
      </c>
      <c r="P88" s="31">
        <v>2350</v>
      </c>
    </row>
    <row r="89" spans="1:16" ht="24.75" customHeight="1">
      <c r="A89" s="31" t="s">
        <v>179</v>
      </c>
      <c r="B89" s="31">
        <v>64</v>
      </c>
      <c r="C89" s="31">
        <v>719</v>
      </c>
      <c r="D89" s="31">
        <v>849</v>
      </c>
      <c r="E89" s="31">
        <v>979</v>
      </c>
      <c r="F89" s="31">
        <v>1109</v>
      </c>
      <c r="G89" s="31">
        <v>1289</v>
      </c>
      <c r="H89" s="31">
        <v>1469</v>
      </c>
      <c r="I89" s="31">
        <v>1649</v>
      </c>
      <c r="J89" s="31">
        <v>1799</v>
      </c>
      <c r="K89" s="31">
        <v>1949</v>
      </c>
      <c r="L89" s="31">
        <v>2049</v>
      </c>
      <c r="M89" s="31">
        <v>2149</v>
      </c>
      <c r="N89" s="31">
        <v>2249</v>
      </c>
    </row>
    <row r="90" spans="1:16" ht="24.75" customHeight="1">
      <c r="A90" s="31" t="s">
        <v>179</v>
      </c>
      <c r="B90" s="31">
        <v>64</v>
      </c>
      <c r="C90" s="31">
        <v>680</v>
      </c>
      <c r="D90" s="31">
        <v>800</v>
      </c>
      <c r="E90" s="31">
        <v>920</v>
      </c>
      <c r="F90" s="31">
        <v>1040</v>
      </c>
      <c r="G90" s="31">
        <v>1210</v>
      </c>
      <c r="H90" s="31">
        <v>1380</v>
      </c>
      <c r="I90" s="31">
        <v>1550</v>
      </c>
      <c r="J90" s="31">
        <v>1700</v>
      </c>
      <c r="K90" s="31">
        <v>1850</v>
      </c>
      <c r="L90" s="31">
        <v>1950</v>
      </c>
      <c r="M90" s="31">
        <v>2050</v>
      </c>
      <c r="N90" s="31">
        <v>2150</v>
      </c>
      <c r="O90" s="31">
        <v>2200</v>
      </c>
      <c r="P90" s="31">
        <v>2250</v>
      </c>
    </row>
    <row r="91" spans="1:16" ht="24.75" customHeight="1">
      <c r="A91" s="31" t="s">
        <v>179</v>
      </c>
      <c r="B91" s="31">
        <v>62</v>
      </c>
      <c r="C91" s="31">
        <v>679</v>
      </c>
      <c r="D91" s="31">
        <v>799</v>
      </c>
      <c r="E91" s="31">
        <v>919</v>
      </c>
      <c r="F91" s="31">
        <v>1039</v>
      </c>
      <c r="G91" s="31">
        <v>1209</v>
      </c>
      <c r="H91" s="31">
        <v>1379</v>
      </c>
      <c r="I91" s="31">
        <v>1549</v>
      </c>
      <c r="J91" s="31">
        <v>1699</v>
      </c>
      <c r="K91" s="31">
        <v>1849</v>
      </c>
      <c r="L91" s="31">
        <v>1949</v>
      </c>
      <c r="M91" s="31">
        <v>2049</v>
      </c>
      <c r="N91" s="31">
        <v>2149</v>
      </c>
    </row>
    <row r="92" spans="1:16" ht="24.75" customHeight="1">
      <c r="A92" s="31" t="s">
        <v>179</v>
      </c>
      <c r="B92" s="31">
        <v>62</v>
      </c>
      <c r="C92" s="31">
        <v>640</v>
      </c>
      <c r="D92" s="31">
        <v>750</v>
      </c>
      <c r="E92" s="31">
        <v>860</v>
      </c>
      <c r="F92" s="31">
        <v>970</v>
      </c>
      <c r="G92" s="31">
        <v>1130</v>
      </c>
      <c r="H92" s="31">
        <v>1290</v>
      </c>
      <c r="I92" s="31">
        <v>1450</v>
      </c>
      <c r="J92" s="31">
        <v>1600</v>
      </c>
      <c r="K92" s="31">
        <v>1750</v>
      </c>
      <c r="L92" s="31">
        <v>1850</v>
      </c>
      <c r="M92" s="31">
        <v>1950</v>
      </c>
      <c r="N92" s="31">
        <v>2050</v>
      </c>
      <c r="O92" s="31">
        <v>2100</v>
      </c>
      <c r="P92" s="31">
        <v>2150</v>
      </c>
    </row>
    <row r="93" spans="1:16" ht="24.75" customHeight="1">
      <c r="A93" s="31" t="s">
        <v>179</v>
      </c>
      <c r="B93" s="31">
        <v>60</v>
      </c>
      <c r="C93" s="31">
        <v>639</v>
      </c>
      <c r="D93" s="31">
        <v>749</v>
      </c>
      <c r="E93" s="31">
        <v>859</v>
      </c>
      <c r="F93" s="31">
        <v>969</v>
      </c>
      <c r="G93" s="31">
        <v>1129</v>
      </c>
      <c r="H93" s="31">
        <v>1289</v>
      </c>
      <c r="I93" s="31">
        <v>1449</v>
      </c>
      <c r="J93" s="31">
        <v>1599</v>
      </c>
      <c r="K93" s="31">
        <v>1749</v>
      </c>
      <c r="L93" s="31">
        <v>1849</v>
      </c>
      <c r="M93" s="31">
        <v>1949</v>
      </c>
      <c r="N93" s="31">
        <v>2049</v>
      </c>
    </row>
    <row r="94" spans="1:16" ht="24.75" customHeight="1">
      <c r="A94" s="31" t="s">
        <v>179</v>
      </c>
      <c r="B94" s="31">
        <v>60</v>
      </c>
      <c r="C94" s="31">
        <v>600</v>
      </c>
      <c r="D94" s="31">
        <v>700</v>
      </c>
      <c r="E94" s="31">
        <v>800</v>
      </c>
      <c r="F94" s="31">
        <v>900</v>
      </c>
      <c r="G94" s="31">
        <v>1050</v>
      </c>
      <c r="H94" s="31">
        <v>1200</v>
      </c>
      <c r="I94" s="31">
        <v>1350</v>
      </c>
      <c r="J94" s="31">
        <v>1500</v>
      </c>
      <c r="K94" s="31">
        <v>1650</v>
      </c>
      <c r="L94" s="31">
        <v>1750</v>
      </c>
      <c r="M94" s="31">
        <v>1850</v>
      </c>
      <c r="N94" s="31">
        <v>1950</v>
      </c>
      <c r="O94" s="31">
        <v>2000</v>
      </c>
      <c r="P94" s="31">
        <v>2050</v>
      </c>
    </row>
    <row r="95" spans="1:16" ht="24.75" customHeight="1">
      <c r="A95" s="31" t="s">
        <v>178</v>
      </c>
      <c r="B95" s="31">
        <v>50</v>
      </c>
      <c r="C95" s="31">
        <v>699</v>
      </c>
      <c r="D95" s="31">
        <v>699</v>
      </c>
      <c r="E95" s="31">
        <v>799</v>
      </c>
      <c r="F95" s="31">
        <v>899</v>
      </c>
      <c r="G95" s="31">
        <v>1049</v>
      </c>
      <c r="H95" s="31">
        <v>1199</v>
      </c>
      <c r="I95" s="31">
        <v>1349</v>
      </c>
      <c r="J95" s="31">
        <v>1499</v>
      </c>
      <c r="K95" s="31">
        <v>1649</v>
      </c>
      <c r="L95" s="31">
        <v>1749</v>
      </c>
      <c r="M95" s="31">
        <v>1849</v>
      </c>
      <c r="N95" s="31">
        <v>1949</v>
      </c>
    </row>
    <row r="96" spans="1:16" ht="24.75" customHeight="1">
      <c r="A96" s="31" t="s">
        <v>178</v>
      </c>
      <c r="B96" s="31">
        <v>50</v>
      </c>
      <c r="C96" s="31">
        <v>580</v>
      </c>
      <c r="D96" s="31">
        <v>680</v>
      </c>
      <c r="E96" s="31">
        <v>780</v>
      </c>
      <c r="F96" s="31">
        <v>880</v>
      </c>
      <c r="G96" s="31">
        <v>1020</v>
      </c>
      <c r="H96" s="31">
        <v>1170</v>
      </c>
      <c r="I96" s="31">
        <v>1310</v>
      </c>
      <c r="J96" s="31">
        <v>1460</v>
      </c>
      <c r="K96" s="31">
        <v>1610</v>
      </c>
      <c r="L96" s="31">
        <v>1710</v>
      </c>
      <c r="M96" s="31">
        <v>1810</v>
      </c>
      <c r="N96" s="31">
        <v>1910</v>
      </c>
      <c r="O96" s="31">
        <v>1960</v>
      </c>
      <c r="P96" s="31">
        <v>2010</v>
      </c>
    </row>
    <row r="97" spans="1:16" ht="24.75" customHeight="1">
      <c r="A97" s="31" t="s">
        <v>178</v>
      </c>
      <c r="B97" s="31">
        <v>40</v>
      </c>
      <c r="C97" s="31">
        <v>579</v>
      </c>
      <c r="D97" s="31">
        <v>679</v>
      </c>
      <c r="E97" s="31">
        <v>779</v>
      </c>
      <c r="F97" s="31">
        <v>879</v>
      </c>
      <c r="G97" s="31">
        <v>1019</v>
      </c>
      <c r="H97" s="31">
        <v>1169</v>
      </c>
      <c r="I97" s="31">
        <v>1309</v>
      </c>
      <c r="J97" s="31">
        <v>1659</v>
      </c>
      <c r="K97" s="31">
        <v>1609</v>
      </c>
      <c r="L97" s="31">
        <v>1709</v>
      </c>
      <c r="M97" s="31">
        <v>1809</v>
      </c>
      <c r="N97" s="31">
        <v>1909</v>
      </c>
    </row>
    <row r="98" spans="1:16" ht="24.75" customHeight="1">
      <c r="A98" s="31" t="s">
        <v>178</v>
      </c>
      <c r="B98" s="31">
        <v>40</v>
      </c>
      <c r="C98" s="31">
        <v>560</v>
      </c>
      <c r="D98" s="31">
        <v>660</v>
      </c>
      <c r="E98" s="31">
        <v>760</v>
      </c>
      <c r="F98" s="31">
        <v>860</v>
      </c>
      <c r="G98" s="31">
        <v>990</v>
      </c>
      <c r="H98" s="31">
        <v>1140</v>
      </c>
      <c r="I98" s="31">
        <v>1270</v>
      </c>
      <c r="J98" s="31">
        <v>1420</v>
      </c>
      <c r="K98" s="31">
        <v>1570</v>
      </c>
      <c r="L98" s="31">
        <v>1670</v>
      </c>
      <c r="M98" s="31">
        <v>1770</v>
      </c>
      <c r="N98" s="31">
        <v>1870</v>
      </c>
      <c r="O98" s="31">
        <v>1920</v>
      </c>
      <c r="P98" s="31">
        <v>1970</v>
      </c>
    </row>
    <row r="99" spans="1:16" ht="24.75" customHeight="1">
      <c r="A99" s="31" t="s">
        <v>178</v>
      </c>
      <c r="B99" s="31">
        <v>30</v>
      </c>
      <c r="C99" s="31">
        <v>559</v>
      </c>
      <c r="D99" s="31">
        <v>659</v>
      </c>
      <c r="E99" s="31">
        <v>759</v>
      </c>
      <c r="F99" s="31">
        <v>859</v>
      </c>
      <c r="G99" s="31">
        <v>989</v>
      </c>
      <c r="H99" s="31">
        <v>1139</v>
      </c>
      <c r="I99" s="31">
        <v>1269</v>
      </c>
      <c r="J99" s="31">
        <v>1419</v>
      </c>
      <c r="K99" s="31">
        <v>1569</v>
      </c>
      <c r="L99" s="31">
        <v>1669</v>
      </c>
      <c r="M99" s="31">
        <v>1768</v>
      </c>
      <c r="N99" s="31">
        <v>1869</v>
      </c>
    </row>
    <row r="100" spans="1:16" ht="24.75" customHeight="1">
      <c r="A100" s="31" t="s">
        <v>178</v>
      </c>
      <c r="B100" s="31">
        <v>30</v>
      </c>
      <c r="C100" s="31">
        <v>540</v>
      </c>
      <c r="D100" s="31">
        <v>640</v>
      </c>
      <c r="E100" s="31">
        <v>740</v>
      </c>
      <c r="F100" s="31">
        <v>840</v>
      </c>
      <c r="G100" s="31">
        <v>960</v>
      </c>
      <c r="H100" s="31">
        <v>1110</v>
      </c>
      <c r="I100" s="31">
        <v>1230</v>
      </c>
      <c r="J100" s="31">
        <v>1380</v>
      </c>
      <c r="K100" s="31">
        <v>1530</v>
      </c>
      <c r="L100" s="31">
        <v>1630</v>
      </c>
      <c r="M100" s="31">
        <v>1730</v>
      </c>
      <c r="N100" s="31">
        <v>1830</v>
      </c>
      <c r="O100" s="31">
        <v>1880</v>
      </c>
      <c r="P100" s="31">
        <v>1930</v>
      </c>
    </row>
    <row r="101" spans="1:16" ht="24.75" customHeight="1">
      <c r="A101" s="31" t="s">
        <v>178</v>
      </c>
      <c r="B101" s="31">
        <v>20</v>
      </c>
      <c r="C101" s="31">
        <v>539</v>
      </c>
      <c r="D101" s="31">
        <v>639</v>
      </c>
      <c r="E101" s="31">
        <v>739</v>
      </c>
      <c r="F101" s="31">
        <v>839</v>
      </c>
      <c r="G101" s="31">
        <v>959</v>
      </c>
      <c r="H101" s="31">
        <v>1109</v>
      </c>
      <c r="I101" s="31">
        <v>1229</v>
      </c>
      <c r="J101" s="31">
        <v>1379</v>
      </c>
      <c r="K101" s="31">
        <v>1529</v>
      </c>
      <c r="L101" s="31">
        <v>1629</v>
      </c>
      <c r="M101" s="31">
        <v>1729</v>
      </c>
      <c r="N101" s="31">
        <v>1829</v>
      </c>
    </row>
    <row r="102" spans="1:16" ht="24.75" customHeight="1">
      <c r="A102" s="31" t="s">
        <v>178</v>
      </c>
      <c r="B102" s="31">
        <v>20</v>
      </c>
      <c r="C102" s="31">
        <v>520</v>
      </c>
      <c r="D102" s="31">
        <v>620</v>
      </c>
      <c r="E102" s="31">
        <v>720</v>
      </c>
      <c r="F102" s="31">
        <v>820</v>
      </c>
      <c r="G102" s="31">
        <v>930</v>
      </c>
      <c r="H102" s="31">
        <v>1080</v>
      </c>
      <c r="I102" s="31">
        <v>1190</v>
      </c>
      <c r="J102" s="31">
        <v>1340</v>
      </c>
      <c r="K102" s="31">
        <v>1490</v>
      </c>
      <c r="L102" s="31">
        <v>1590</v>
      </c>
      <c r="M102" s="31">
        <v>1690</v>
      </c>
      <c r="N102" s="31">
        <v>1790</v>
      </c>
      <c r="O102" s="31">
        <v>1840</v>
      </c>
      <c r="P102" s="31">
        <v>1890</v>
      </c>
    </row>
    <row r="103" spans="1:16" ht="24.75" customHeight="1">
      <c r="A103" s="31" t="s">
        <v>178</v>
      </c>
      <c r="B103" s="31">
        <v>10</v>
      </c>
      <c r="C103" s="31">
        <v>519</v>
      </c>
      <c r="D103" s="31">
        <v>619</v>
      </c>
      <c r="E103" s="31">
        <v>719</v>
      </c>
      <c r="F103" s="31">
        <v>819</v>
      </c>
      <c r="G103" s="31">
        <v>929</v>
      </c>
      <c r="H103" s="31">
        <v>1079</v>
      </c>
      <c r="I103" s="31">
        <v>1189</v>
      </c>
      <c r="J103" s="31">
        <v>1339</v>
      </c>
      <c r="K103" s="31">
        <v>1489</v>
      </c>
      <c r="L103" s="31">
        <v>1589</v>
      </c>
      <c r="M103" s="31">
        <v>1689</v>
      </c>
      <c r="N103" s="31">
        <v>1789</v>
      </c>
    </row>
    <row r="104" spans="1:16" ht="24.75" customHeight="1">
      <c r="A104" s="31" t="s">
        <v>178</v>
      </c>
      <c r="B104" s="31">
        <v>10</v>
      </c>
      <c r="C104" s="31">
        <v>500</v>
      </c>
      <c r="D104" s="31">
        <v>600</v>
      </c>
      <c r="E104" s="31">
        <v>700</v>
      </c>
      <c r="F104" s="31">
        <v>800</v>
      </c>
      <c r="G104" s="31">
        <v>900</v>
      </c>
      <c r="H104" s="31">
        <v>1050</v>
      </c>
      <c r="I104" s="31">
        <v>1150</v>
      </c>
      <c r="J104" s="31">
        <v>1300</v>
      </c>
      <c r="K104" s="31">
        <v>1450</v>
      </c>
      <c r="L104" s="31">
        <v>1550</v>
      </c>
      <c r="M104" s="31">
        <v>1650</v>
      </c>
      <c r="N104" s="31">
        <v>1750</v>
      </c>
      <c r="O104" s="31">
        <v>1800</v>
      </c>
      <c r="P104" s="31">
        <v>1850</v>
      </c>
    </row>
    <row r="105" spans="1:16" ht="24.75" customHeight="1">
      <c r="A105" s="31" t="s">
        <v>178</v>
      </c>
      <c r="B105" s="31">
        <v>0</v>
      </c>
      <c r="C105" s="31">
        <v>499</v>
      </c>
      <c r="D105" s="31">
        <v>599</v>
      </c>
      <c r="E105" s="31">
        <v>699</v>
      </c>
      <c r="F105" s="31">
        <v>799</v>
      </c>
      <c r="G105" s="31">
        <v>899</v>
      </c>
      <c r="H105" s="31">
        <v>1049</v>
      </c>
      <c r="I105" s="31">
        <v>1149</v>
      </c>
      <c r="J105" s="31">
        <v>1299</v>
      </c>
      <c r="K105" s="31">
        <v>1449</v>
      </c>
      <c r="L105" s="31">
        <v>1549</v>
      </c>
      <c r="M105" s="31">
        <v>1649</v>
      </c>
      <c r="N105" s="31">
        <v>1749</v>
      </c>
    </row>
    <row r="106" spans="1:16" ht="24.75" customHeight="1">
      <c r="A106" s="31" t="s">
        <v>178</v>
      </c>
      <c r="B106" s="31">
        <v>0</v>
      </c>
      <c r="C106" s="31">
        <v>200</v>
      </c>
      <c r="D106" s="31">
        <v>200</v>
      </c>
      <c r="E106" s="31">
        <v>200</v>
      </c>
      <c r="F106" s="31">
        <v>200</v>
      </c>
      <c r="G106" s="31">
        <v>200</v>
      </c>
      <c r="H106" s="31">
        <v>200</v>
      </c>
      <c r="I106" s="31">
        <v>200</v>
      </c>
      <c r="J106" s="31">
        <v>200</v>
      </c>
      <c r="K106" s="31">
        <v>200</v>
      </c>
      <c r="L106" s="31">
        <v>200</v>
      </c>
      <c r="M106" s="31">
        <v>200</v>
      </c>
      <c r="N106" s="31">
        <v>200</v>
      </c>
    </row>
    <row r="107" spans="1:16" ht="24.75" customHeight="1">
      <c r="A107" s="31" t="s">
        <v>245</v>
      </c>
    </row>
    <row r="108" spans="1:16" ht="24.75" customHeight="1">
      <c r="A108" s="35" t="s">
        <v>163</v>
      </c>
      <c r="B108" s="31" t="s">
        <v>164</v>
      </c>
      <c r="C108" s="35" t="s">
        <v>165</v>
      </c>
      <c r="D108" s="35" t="s">
        <v>166</v>
      </c>
      <c r="E108" s="35" t="s">
        <v>167</v>
      </c>
      <c r="F108" s="35" t="s">
        <v>168</v>
      </c>
      <c r="G108" s="35" t="s">
        <v>169</v>
      </c>
      <c r="H108" s="35" t="s">
        <v>170</v>
      </c>
      <c r="I108" s="35" t="s">
        <v>171</v>
      </c>
      <c r="J108" s="35" t="s">
        <v>172</v>
      </c>
      <c r="K108" s="35" t="s">
        <v>173</v>
      </c>
      <c r="L108" s="35" t="s">
        <v>174</v>
      </c>
      <c r="M108" s="35" t="s">
        <v>175</v>
      </c>
      <c r="N108" s="35" t="s">
        <v>176</v>
      </c>
      <c r="O108" s="31" t="s">
        <v>240</v>
      </c>
      <c r="P108" s="31" t="s">
        <v>241</v>
      </c>
    </row>
    <row r="109" spans="1:16" ht="24.75" customHeight="1">
      <c r="A109" s="35"/>
      <c r="B109" s="31" t="s">
        <v>177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1" t="s">
        <v>242</v>
      </c>
      <c r="P109" s="31" t="s">
        <v>243</v>
      </c>
    </row>
    <row r="110" spans="1:16" ht="24.75" customHeight="1">
      <c r="A110" s="31" t="s">
        <v>181</v>
      </c>
      <c r="B110" s="31">
        <v>100</v>
      </c>
      <c r="C110" s="31">
        <v>5</v>
      </c>
      <c r="D110" s="31">
        <v>5</v>
      </c>
      <c r="E110" s="31">
        <v>5</v>
      </c>
      <c r="F110" s="31">
        <v>5</v>
      </c>
      <c r="G110" s="31">
        <v>5</v>
      </c>
      <c r="H110" s="31">
        <v>5</v>
      </c>
      <c r="I110" s="31">
        <v>5</v>
      </c>
      <c r="J110" s="31">
        <v>5</v>
      </c>
      <c r="K110" s="31">
        <v>5</v>
      </c>
      <c r="L110" s="31">
        <v>5</v>
      </c>
      <c r="M110" s="31">
        <v>5</v>
      </c>
      <c r="N110" s="31">
        <v>5</v>
      </c>
    </row>
    <row r="111" spans="1:16" ht="24.75" customHeight="1">
      <c r="A111" s="31" t="s">
        <v>181</v>
      </c>
      <c r="B111" s="31">
        <v>100</v>
      </c>
      <c r="C111" s="31">
        <v>10.199999999999999</v>
      </c>
      <c r="D111" s="31">
        <v>9.6</v>
      </c>
      <c r="E111" s="31">
        <v>9.1</v>
      </c>
      <c r="F111" s="31">
        <v>8.6999999999999993</v>
      </c>
      <c r="G111" s="31">
        <v>8.4</v>
      </c>
      <c r="H111" s="31">
        <v>8.1999999999999993</v>
      </c>
      <c r="I111" s="31">
        <v>7.8</v>
      </c>
      <c r="J111" s="31">
        <v>7.5</v>
      </c>
      <c r="K111" s="31">
        <v>7.3</v>
      </c>
      <c r="L111" s="31">
        <v>7.1</v>
      </c>
      <c r="M111" s="31">
        <v>7</v>
      </c>
      <c r="N111" s="31">
        <v>6.8</v>
      </c>
      <c r="O111" s="31">
        <v>6.7</v>
      </c>
      <c r="P111" s="31">
        <v>6.6</v>
      </c>
    </row>
    <row r="112" spans="1:16" ht="24.75" customHeight="1">
      <c r="A112" s="31" t="s">
        <v>181</v>
      </c>
      <c r="B112" s="31">
        <v>95</v>
      </c>
      <c r="C112" s="31">
        <v>10.210000000000001</v>
      </c>
      <c r="D112" s="31">
        <v>9.61</v>
      </c>
      <c r="E112" s="31">
        <v>9.11</v>
      </c>
      <c r="F112" s="31">
        <v>8.7100000000000009</v>
      </c>
      <c r="G112" s="31">
        <v>8.41</v>
      </c>
      <c r="H112" s="31">
        <v>8.2100000000000009</v>
      </c>
      <c r="I112" s="31">
        <v>7.81</v>
      </c>
      <c r="J112" s="31">
        <v>7.51</v>
      </c>
      <c r="K112" s="31">
        <v>7.31</v>
      </c>
      <c r="L112" s="31">
        <v>7.11</v>
      </c>
      <c r="M112" s="31">
        <v>7.01</v>
      </c>
      <c r="N112" s="31">
        <v>6.81</v>
      </c>
    </row>
    <row r="113" spans="1:16" ht="24.75" customHeight="1">
      <c r="A113" s="31" t="s">
        <v>181</v>
      </c>
      <c r="B113" s="31">
        <v>95</v>
      </c>
      <c r="C113" s="31">
        <v>10.3</v>
      </c>
      <c r="D113" s="31">
        <v>9.6999999999999993</v>
      </c>
      <c r="E113" s="31">
        <v>9.1999999999999993</v>
      </c>
      <c r="F113" s="31">
        <v>8.8000000000000007</v>
      </c>
      <c r="G113" s="31">
        <v>8.5</v>
      </c>
      <c r="H113" s="31">
        <v>8.3000000000000007</v>
      </c>
      <c r="I113" s="31">
        <v>7.9</v>
      </c>
      <c r="J113" s="31">
        <v>7.6</v>
      </c>
      <c r="K113" s="31">
        <v>7.4</v>
      </c>
      <c r="L113" s="31">
        <v>7.2</v>
      </c>
      <c r="M113" s="31">
        <v>7.1</v>
      </c>
      <c r="N113" s="31">
        <v>6.9</v>
      </c>
      <c r="O113" s="31">
        <v>6.8</v>
      </c>
      <c r="P113" s="31">
        <v>6.7</v>
      </c>
    </row>
    <row r="114" spans="1:16" ht="24.75" customHeight="1">
      <c r="A114" s="31" t="s">
        <v>181</v>
      </c>
      <c r="B114" s="31">
        <v>90</v>
      </c>
      <c r="C114" s="31">
        <v>10.31</v>
      </c>
      <c r="D114" s="31">
        <v>9.7100000000000009</v>
      </c>
      <c r="E114" s="31" t="s">
        <v>246</v>
      </c>
      <c r="F114" s="31">
        <v>8.81</v>
      </c>
      <c r="G114" s="31">
        <v>8.51</v>
      </c>
      <c r="H114" s="31">
        <v>8.31</v>
      </c>
      <c r="I114" s="31">
        <v>7.91</v>
      </c>
      <c r="J114" s="31">
        <v>7.61</v>
      </c>
      <c r="K114" s="31">
        <v>7.41</v>
      </c>
      <c r="L114" s="31">
        <v>7.21</v>
      </c>
      <c r="M114" s="31">
        <v>7.11</v>
      </c>
      <c r="N114" s="31">
        <v>6.91</v>
      </c>
    </row>
    <row r="115" spans="1:16" ht="24.75" customHeight="1">
      <c r="A115" s="31" t="s">
        <v>181</v>
      </c>
      <c r="B115" s="31">
        <v>90</v>
      </c>
      <c r="C115" s="31">
        <v>10.4</v>
      </c>
      <c r="D115" s="31">
        <v>9.8000000000000007</v>
      </c>
      <c r="E115" s="31">
        <v>9.3000000000000007</v>
      </c>
      <c r="F115" s="31">
        <v>8.9</v>
      </c>
      <c r="G115" s="31">
        <v>8.6</v>
      </c>
      <c r="H115" s="31">
        <v>8.4</v>
      </c>
      <c r="I115" s="31">
        <v>8</v>
      </c>
      <c r="J115" s="31">
        <v>7.7</v>
      </c>
      <c r="K115" s="31">
        <v>7.5</v>
      </c>
      <c r="L115" s="31">
        <v>7.3</v>
      </c>
      <c r="M115" s="31">
        <v>7.2</v>
      </c>
      <c r="N115" s="31">
        <v>7</v>
      </c>
      <c r="O115" s="31">
        <v>6.9</v>
      </c>
      <c r="P115" s="31">
        <v>6.8</v>
      </c>
    </row>
    <row r="116" spans="1:16" ht="24.75" customHeight="1">
      <c r="A116" s="31" t="s">
        <v>180</v>
      </c>
      <c r="B116" s="31">
        <v>85</v>
      </c>
      <c r="C116" s="31">
        <v>10.41</v>
      </c>
      <c r="D116" s="31">
        <v>9.81</v>
      </c>
      <c r="E116" s="31">
        <v>9.31</v>
      </c>
      <c r="F116" s="31">
        <v>8.91</v>
      </c>
      <c r="G116" s="31">
        <v>8.61</v>
      </c>
      <c r="H116" s="31">
        <v>8.41</v>
      </c>
      <c r="I116" s="31">
        <v>8.01</v>
      </c>
      <c r="J116" s="31">
        <v>7.71</v>
      </c>
      <c r="K116" s="31">
        <v>7.51</v>
      </c>
      <c r="L116" s="31">
        <v>7.31</v>
      </c>
      <c r="M116" s="31">
        <v>7.21</v>
      </c>
      <c r="N116" s="31">
        <v>7.01</v>
      </c>
    </row>
    <row r="117" spans="1:16" ht="24.75" customHeight="1">
      <c r="A117" s="31" t="s">
        <v>180</v>
      </c>
      <c r="B117" s="31">
        <v>85</v>
      </c>
      <c r="C117" s="31">
        <v>10.5</v>
      </c>
      <c r="D117" s="31">
        <v>9.9</v>
      </c>
      <c r="E117" s="31">
        <v>9.4</v>
      </c>
      <c r="F117" s="31">
        <v>9</v>
      </c>
      <c r="G117" s="31">
        <v>8.6999999999999993</v>
      </c>
      <c r="H117" s="31">
        <v>8.5</v>
      </c>
      <c r="I117" s="31">
        <v>8.1</v>
      </c>
      <c r="J117" s="31">
        <v>7.8</v>
      </c>
      <c r="K117" s="31">
        <v>7.6</v>
      </c>
      <c r="L117" s="31">
        <v>7.4</v>
      </c>
      <c r="M117" s="31">
        <v>7.3</v>
      </c>
      <c r="N117" s="31">
        <v>7.1</v>
      </c>
      <c r="O117" s="31">
        <v>7</v>
      </c>
      <c r="P117" s="31">
        <v>6.9</v>
      </c>
    </row>
    <row r="118" spans="1:16" ht="24.75" customHeight="1">
      <c r="A118" s="31" t="s">
        <v>180</v>
      </c>
      <c r="B118" s="31">
        <v>80</v>
      </c>
      <c r="C118" s="31">
        <v>10.51</v>
      </c>
      <c r="D118" s="31">
        <v>9.91</v>
      </c>
      <c r="E118" s="31">
        <v>9.41</v>
      </c>
      <c r="F118" s="31">
        <v>9.01</v>
      </c>
      <c r="G118" s="31">
        <v>8.7100000000000009</v>
      </c>
      <c r="H118" s="31">
        <v>8.51</v>
      </c>
      <c r="I118" s="31">
        <v>8.11</v>
      </c>
      <c r="J118" s="31">
        <v>7.81</v>
      </c>
      <c r="K118" s="31">
        <v>7.61</v>
      </c>
      <c r="L118" s="31">
        <v>7.41</v>
      </c>
      <c r="M118" s="31">
        <v>7.31</v>
      </c>
      <c r="N118" s="31">
        <v>7.11</v>
      </c>
    </row>
    <row r="119" spans="1:16" ht="24.75" customHeight="1">
      <c r="A119" s="31" t="s">
        <v>180</v>
      </c>
      <c r="B119" s="31">
        <v>80</v>
      </c>
      <c r="C119" s="31">
        <v>10.6</v>
      </c>
      <c r="D119" s="31">
        <v>10</v>
      </c>
      <c r="E119" s="31">
        <v>9.5</v>
      </c>
      <c r="F119" s="31">
        <v>9.1</v>
      </c>
      <c r="G119" s="31">
        <v>8.8000000000000007</v>
      </c>
      <c r="H119" s="31">
        <v>8.6</v>
      </c>
      <c r="I119" s="31">
        <v>8.1999999999999993</v>
      </c>
      <c r="J119" s="31">
        <v>7.9</v>
      </c>
      <c r="K119" s="31">
        <v>7.7</v>
      </c>
      <c r="L119" s="31">
        <v>7.5</v>
      </c>
      <c r="M119" s="31">
        <v>7.4</v>
      </c>
      <c r="N119" s="31">
        <v>7.2</v>
      </c>
      <c r="O119" s="31">
        <v>7.1</v>
      </c>
      <c r="P119" s="31">
        <v>7</v>
      </c>
    </row>
    <row r="120" spans="1:16" ht="24.75" customHeight="1">
      <c r="A120" s="31" t="s">
        <v>179</v>
      </c>
      <c r="B120" s="31">
        <v>78</v>
      </c>
      <c r="C120" s="31">
        <v>10.61</v>
      </c>
      <c r="D120" s="31">
        <v>10.01</v>
      </c>
      <c r="E120" s="31">
        <v>9.51</v>
      </c>
      <c r="F120" s="31">
        <v>9.11</v>
      </c>
      <c r="G120" s="31">
        <v>8.81</v>
      </c>
      <c r="H120" s="31">
        <v>8.61</v>
      </c>
      <c r="I120" s="31">
        <v>8.2100000000000009</v>
      </c>
      <c r="J120" s="31">
        <v>7.91</v>
      </c>
      <c r="K120" s="31">
        <v>7.71</v>
      </c>
      <c r="L120" s="31">
        <v>7.51</v>
      </c>
      <c r="M120" s="31">
        <v>7.41</v>
      </c>
      <c r="N120" s="31">
        <v>7.21</v>
      </c>
    </row>
    <row r="121" spans="1:16" ht="24.75" customHeight="1">
      <c r="A121" s="31" t="s">
        <v>179</v>
      </c>
      <c r="B121" s="31">
        <v>78</v>
      </c>
      <c r="C121" s="31">
        <v>10.8</v>
      </c>
      <c r="D121" s="31">
        <v>10.199999999999999</v>
      </c>
      <c r="E121" s="31">
        <v>9.6999999999999993</v>
      </c>
      <c r="F121" s="31">
        <v>9.3000000000000007</v>
      </c>
      <c r="G121" s="31">
        <v>9</v>
      </c>
      <c r="H121" s="31">
        <v>8.8000000000000007</v>
      </c>
      <c r="I121" s="31">
        <v>8.4</v>
      </c>
      <c r="J121" s="31">
        <v>8.1</v>
      </c>
      <c r="K121" s="31">
        <v>7.9</v>
      </c>
      <c r="L121" s="31">
        <v>7.7</v>
      </c>
      <c r="M121" s="31">
        <v>7.6</v>
      </c>
      <c r="N121" s="31">
        <v>7.4</v>
      </c>
      <c r="O121" s="31">
        <v>7.3</v>
      </c>
      <c r="P121" s="31">
        <v>7.2</v>
      </c>
    </row>
    <row r="122" spans="1:16" ht="24.75" customHeight="1">
      <c r="A122" s="31" t="s">
        <v>179</v>
      </c>
      <c r="B122" s="31">
        <v>76</v>
      </c>
      <c r="C122" s="31">
        <v>10.81</v>
      </c>
      <c r="D122" s="31">
        <v>10.210000000000001</v>
      </c>
      <c r="E122" s="31">
        <v>9.7100000000000009</v>
      </c>
      <c r="F122" s="31">
        <v>9.31</v>
      </c>
      <c r="G122" s="31">
        <v>9.01</v>
      </c>
      <c r="H122" s="31">
        <v>8.81</v>
      </c>
      <c r="I122" s="31">
        <v>8.41</v>
      </c>
      <c r="J122" s="31">
        <v>8.11</v>
      </c>
      <c r="K122" s="31">
        <v>7.91</v>
      </c>
      <c r="L122" s="31">
        <v>7.71</v>
      </c>
      <c r="M122" s="31">
        <v>7.61</v>
      </c>
      <c r="N122" s="31">
        <v>7.41</v>
      </c>
    </row>
    <row r="123" spans="1:16" ht="24.75" customHeight="1">
      <c r="A123" s="31" t="s">
        <v>179</v>
      </c>
      <c r="B123" s="31">
        <v>76</v>
      </c>
      <c r="C123" s="31">
        <v>11</v>
      </c>
      <c r="D123" s="31">
        <v>10.4</v>
      </c>
      <c r="E123" s="31">
        <v>9.9</v>
      </c>
      <c r="F123" s="31">
        <v>9.5</v>
      </c>
      <c r="G123" s="31">
        <v>9.1999999999999993</v>
      </c>
      <c r="H123" s="31">
        <v>9</v>
      </c>
      <c r="I123" s="31">
        <v>8.6</v>
      </c>
      <c r="J123" s="31">
        <v>8.3000000000000007</v>
      </c>
      <c r="K123" s="31">
        <v>8.1</v>
      </c>
      <c r="L123" s="31">
        <v>7.9</v>
      </c>
      <c r="M123" s="31">
        <v>7.8</v>
      </c>
      <c r="N123" s="31">
        <v>7.6</v>
      </c>
      <c r="O123" s="31">
        <v>7.5</v>
      </c>
      <c r="P123" s="31">
        <v>7.4</v>
      </c>
    </row>
    <row r="124" spans="1:16" ht="24.75" customHeight="1">
      <c r="A124" s="31" t="s">
        <v>179</v>
      </c>
      <c r="B124" s="31">
        <v>74</v>
      </c>
      <c r="C124" s="31">
        <v>11.01</v>
      </c>
      <c r="D124" s="31">
        <v>10.41</v>
      </c>
      <c r="E124" s="31">
        <v>9.91</v>
      </c>
      <c r="F124" s="31">
        <v>9.51</v>
      </c>
      <c r="G124" s="31">
        <v>9.2100000000000009</v>
      </c>
      <c r="H124" s="31">
        <v>9.01</v>
      </c>
      <c r="I124" s="31">
        <v>8.61</v>
      </c>
      <c r="J124" s="31">
        <v>8.31</v>
      </c>
      <c r="K124" s="31">
        <v>8.11</v>
      </c>
      <c r="L124" s="31">
        <v>7.91</v>
      </c>
      <c r="M124" s="31">
        <v>7.81</v>
      </c>
      <c r="N124" s="31">
        <v>7.61</v>
      </c>
    </row>
    <row r="125" spans="1:16" ht="24.75" customHeight="1">
      <c r="A125" s="31" t="s">
        <v>179</v>
      </c>
      <c r="B125" s="31">
        <v>74</v>
      </c>
      <c r="C125" s="31">
        <v>11.2</v>
      </c>
      <c r="D125" s="31">
        <v>10.6</v>
      </c>
      <c r="E125" s="31">
        <v>10.1</v>
      </c>
      <c r="F125" s="31">
        <v>9.6999999999999993</v>
      </c>
      <c r="G125" s="31">
        <v>9.4</v>
      </c>
      <c r="H125" s="31">
        <v>9.1999999999999993</v>
      </c>
      <c r="I125" s="31">
        <v>8.8000000000000007</v>
      </c>
      <c r="J125" s="31">
        <v>8.5</v>
      </c>
      <c r="K125" s="31">
        <v>8.3000000000000007</v>
      </c>
      <c r="L125" s="31">
        <v>8.1</v>
      </c>
      <c r="M125" s="31">
        <v>8</v>
      </c>
      <c r="N125" s="31">
        <v>7.8</v>
      </c>
      <c r="O125" s="31">
        <v>7.7</v>
      </c>
      <c r="P125" s="31">
        <v>7.6</v>
      </c>
    </row>
    <row r="126" spans="1:16" ht="24.75" customHeight="1">
      <c r="A126" s="31" t="s">
        <v>179</v>
      </c>
      <c r="B126" s="31">
        <v>72</v>
      </c>
      <c r="C126" s="31">
        <v>11.21</v>
      </c>
      <c r="D126" s="31">
        <v>10.61</v>
      </c>
      <c r="E126" s="31">
        <v>10.11</v>
      </c>
      <c r="F126" s="31">
        <v>9.7100000000000009</v>
      </c>
      <c r="G126" s="31">
        <v>9.41</v>
      </c>
      <c r="H126" s="31">
        <v>9.2100000000000009</v>
      </c>
      <c r="I126" s="31">
        <v>8.81</v>
      </c>
      <c r="J126" s="31">
        <v>8.51</v>
      </c>
      <c r="K126" s="31">
        <v>8.31</v>
      </c>
      <c r="L126" s="31">
        <v>8.11</v>
      </c>
      <c r="M126" s="31">
        <v>8.01</v>
      </c>
      <c r="N126" s="31">
        <v>7.81</v>
      </c>
    </row>
    <row r="127" spans="1:16" ht="24.75" customHeight="1">
      <c r="A127" s="31" t="s">
        <v>179</v>
      </c>
      <c r="B127" s="31">
        <v>72</v>
      </c>
      <c r="C127" s="31">
        <v>11.4</v>
      </c>
      <c r="D127" s="31">
        <v>10.8</v>
      </c>
      <c r="E127" s="31">
        <v>10.3</v>
      </c>
      <c r="F127" s="31">
        <v>9.9</v>
      </c>
      <c r="G127" s="31">
        <v>9.6</v>
      </c>
      <c r="H127" s="31">
        <v>9.4</v>
      </c>
      <c r="I127" s="31">
        <v>9</v>
      </c>
      <c r="J127" s="31">
        <v>8.6999999999999993</v>
      </c>
      <c r="K127" s="31">
        <v>8.5</v>
      </c>
      <c r="L127" s="31">
        <v>8.3000000000000007</v>
      </c>
      <c r="M127" s="31">
        <v>8.1999999999999993</v>
      </c>
      <c r="N127" s="31">
        <v>8</v>
      </c>
      <c r="O127" s="31">
        <v>7.9</v>
      </c>
      <c r="P127" s="31">
        <v>7.8</v>
      </c>
    </row>
    <row r="128" spans="1:16" ht="24.75" customHeight="1">
      <c r="A128" s="31" t="s">
        <v>179</v>
      </c>
      <c r="B128" s="31">
        <v>70</v>
      </c>
      <c r="C128" s="31">
        <v>11.41</v>
      </c>
      <c r="D128" s="31">
        <v>10.81</v>
      </c>
      <c r="E128" s="31">
        <v>10.31</v>
      </c>
      <c r="F128" s="31">
        <v>9.91</v>
      </c>
      <c r="G128" s="31">
        <v>9.61</v>
      </c>
      <c r="H128" s="31">
        <v>9.41</v>
      </c>
      <c r="I128" s="31">
        <v>9.01</v>
      </c>
      <c r="J128" s="31">
        <v>8.7100000000000009</v>
      </c>
      <c r="K128" s="31">
        <v>8.51</v>
      </c>
      <c r="L128" s="31">
        <v>8.31</v>
      </c>
      <c r="M128" s="31">
        <v>8.2100000000000009</v>
      </c>
      <c r="N128" s="31">
        <v>8.01</v>
      </c>
    </row>
    <row r="129" spans="1:16" ht="24.75" customHeight="1">
      <c r="A129" s="31" t="s">
        <v>179</v>
      </c>
      <c r="B129" s="31">
        <v>70</v>
      </c>
      <c r="C129" s="31">
        <v>11.6</v>
      </c>
      <c r="D129" s="31">
        <v>11</v>
      </c>
      <c r="E129" s="31">
        <v>10.5</v>
      </c>
      <c r="F129" s="31">
        <v>10.1</v>
      </c>
      <c r="G129" s="31">
        <v>9.8000000000000007</v>
      </c>
      <c r="H129" s="31">
        <v>9.6</v>
      </c>
      <c r="I129" s="31">
        <v>9.1999999999999993</v>
      </c>
      <c r="J129" s="31">
        <v>8.9</v>
      </c>
      <c r="K129" s="31">
        <v>8.6999999999999993</v>
      </c>
      <c r="L129" s="31">
        <v>8.5</v>
      </c>
      <c r="M129" s="31">
        <v>8.4</v>
      </c>
      <c r="N129" s="31">
        <v>8.1999999999999993</v>
      </c>
      <c r="O129" s="31">
        <v>8.1</v>
      </c>
      <c r="P129" s="31">
        <v>8</v>
      </c>
    </row>
    <row r="130" spans="1:16" ht="24.75" customHeight="1">
      <c r="A130" s="31" t="s">
        <v>179</v>
      </c>
      <c r="B130" s="31">
        <v>68</v>
      </c>
      <c r="C130" s="31">
        <v>11.61</v>
      </c>
      <c r="D130" s="31">
        <v>11.01</v>
      </c>
      <c r="E130" s="31">
        <v>10.51</v>
      </c>
      <c r="F130" s="31">
        <v>10.11</v>
      </c>
      <c r="G130" s="31">
        <v>9.81</v>
      </c>
      <c r="H130" s="31">
        <v>9.61</v>
      </c>
      <c r="I130" s="31">
        <v>9.2100000000000009</v>
      </c>
      <c r="J130" s="31">
        <v>8.91</v>
      </c>
      <c r="K130" s="31">
        <v>8.7100000000000009</v>
      </c>
      <c r="L130" s="31">
        <v>8.51</v>
      </c>
      <c r="M130" s="31">
        <v>8.41</v>
      </c>
      <c r="N130" s="31">
        <v>8.2100000000000009</v>
      </c>
    </row>
    <row r="131" spans="1:16" ht="24.75" customHeight="1">
      <c r="A131" s="31" t="s">
        <v>179</v>
      </c>
      <c r="B131" s="31">
        <v>68</v>
      </c>
      <c r="C131" s="31">
        <v>11.8</v>
      </c>
      <c r="D131" s="31">
        <v>11.2</v>
      </c>
      <c r="E131" s="31">
        <v>10.7</v>
      </c>
      <c r="F131" s="31">
        <v>10.3</v>
      </c>
      <c r="G131" s="31">
        <v>10</v>
      </c>
      <c r="H131" s="31">
        <v>9.8000000000000007</v>
      </c>
      <c r="I131" s="31">
        <v>9.4</v>
      </c>
      <c r="J131" s="31">
        <v>9.1</v>
      </c>
      <c r="K131" s="31">
        <v>8.9</v>
      </c>
      <c r="L131" s="31">
        <v>8.6999999999999993</v>
      </c>
      <c r="M131" s="31">
        <v>8.6</v>
      </c>
      <c r="N131" s="31">
        <v>8.4</v>
      </c>
      <c r="O131" s="31">
        <v>8.3000000000000007</v>
      </c>
      <c r="P131" s="31">
        <v>8.1999999999999993</v>
      </c>
    </row>
    <row r="132" spans="1:16" ht="24.75" customHeight="1">
      <c r="A132" s="31" t="s">
        <v>179</v>
      </c>
      <c r="B132" s="31">
        <v>66</v>
      </c>
      <c r="C132" s="31">
        <v>11.81</v>
      </c>
      <c r="D132" s="31">
        <v>11.21</v>
      </c>
      <c r="E132" s="31">
        <v>10.71</v>
      </c>
      <c r="F132" s="31">
        <v>10.31</v>
      </c>
      <c r="G132" s="31">
        <v>10.01</v>
      </c>
      <c r="H132" s="31">
        <v>9.81</v>
      </c>
      <c r="I132" s="31">
        <v>9.41</v>
      </c>
      <c r="J132" s="31">
        <v>9.11</v>
      </c>
      <c r="K132" s="31">
        <v>8.91</v>
      </c>
      <c r="L132" s="31">
        <v>8.7100000000000009</v>
      </c>
      <c r="M132" s="31">
        <v>8.61</v>
      </c>
      <c r="N132" s="31">
        <v>8.41</v>
      </c>
    </row>
    <row r="133" spans="1:16" ht="24.75" customHeight="1">
      <c r="A133" s="31" t="s">
        <v>179</v>
      </c>
      <c r="B133" s="31">
        <v>66</v>
      </c>
      <c r="C133" s="31">
        <v>12</v>
      </c>
      <c r="D133" s="31">
        <v>11.4</v>
      </c>
      <c r="E133" s="31">
        <v>10.9</v>
      </c>
      <c r="F133" s="31">
        <v>10.5</v>
      </c>
      <c r="G133" s="31">
        <v>10.199999999999999</v>
      </c>
      <c r="H133" s="31">
        <v>10</v>
      </c>
      <c r="I133" s="31">
        <v>9.6</v>
      </c>
      <c r="J133" s="31">
        <v>9.3000000000000007</v>
      </c>
      <c r="K133" s="31">
        <v>9.1</v>
      </c>
      <c r="L133" s="31">
        <v>8.9</v>
      </c>
      <c r="M133" s="31">
        <v>8.8000000000000007</v>
      </c>
      <c r="N133" s="31">
        <v>8.6</v>
      </c>
      <c r="O133" s="31">
        <v>8.5</v>
      </c>
      <c r="P133" s="31">
        <v>8.4</v>
      </c>
    </row>
    <row r="134" spans="1:16" ht="24.75" customHeight="1">
      <c r="A134" s="31" t="s">
        <v>179</v>
      </c>
      <c r="B134" s="31">
        <v>64</v>
      </c>
      <c r="C134" s="31">
        <v>12.01</v>
      </c>
      <c r="D134" s="31">
        <v>11.41</v>
      </c>
      <c r="E134" s="31">
        <v>10.91</v>
      </c>
      <c r="F134" s="31">
        <v>10.51</v>
      </c>
      <c r="G134" s="31">
        <v>10.210000000000001</v>
      </c>
      <c r="H134" s="31">
        <v>10.01</v>
      </c>
      <c r="I134" s="31">
        <v>9.61</v>
      </c>
      <c r="J134" s="31">
        <v>9.31</v>
      </c>
      <c r="K134" s="31">
        <v>9.11</v>
      </c>
      <c r="L134" s="31">
        <v>8.91</v>
      </c>
      <c r="M134" s="31">
        <v>8.81</v>
      </c>
      <c r="N134" s="31">
        <v>8.61</v>
      </c>
    </row>
    <row r="135" spans="1:16" ht="24.75" customHeight="1">
      <c r="A135" s="31" t="s">
        <v>179</v>
      </c>
      <c r="B135" s="31">
        <v>64</v>
      </c>
      <c r="C135" s="31">
        <v>12.2</v>
      </c>
      <c r="D135" s="31">
        <v>11.6</v>
      </c>
      <c r="E135" s="31">
        <v>11.1</v>
      </c>
      <c r="F135" s="31">
        <v>10.7</v>
      </c>
      <c r="G135" s="31">
        <v>10.4</v>
      </c>
      <c r="H135" s="31">
        <v>10.199999999999999</v>
      </c>
      <c r="I135" s="31">
        <v>9.8000000000000007</v>
      </c>
      <c r="J135" s="31">
        <v>9.5</v>
      </c>
      <c r="K135" s="31">
        <v>9.3000000000000007</v>
      </c>
      <c r="L135" s="31">
        <v>9.1</v>
      </c>
      <c r="M135" s="31">
        <v>9</v>
      </c>
      <c r="N135" s="31">
        <v>8.8000000000000007</v>
      </c>
      <c r="O135" s="31">
        <v>8.6999999999999993</v>
      </c>
      <c r="P135" s="31">
        <v>8.6</v>
      </c>
    </row>
    <row r="136" spans="1:16" ht="24.75" customHeight="1">
      <c r="A136" s="31" t="s">
        <v>179</v>
      </c>
      <c r="B136" s="31">
        <v>62</v>
      </c>
      <c r="C136" s="31">
        <v>12.21</v>
      </c>
      <c r="D136" s="31">
        <v>11.61</v>
      </c>
      <c r="E136" s="31">
        <v>11.11</v>
      </c>
      <c r="F136" s="31">
        <v>10.71</v>
      </c>
      <c r="G136" s="31">
        <v>10.41</v>
      </c>
      <c r="H136" s="31">
        <v>10.210000000000001</v>
      </c>
      <c r="I136" s="31">
        <v>9.81</v>
      </c>
      <c r="J136" s="31">
        <v>9.51</v>
      </c>
      <c r="K136" s="31">
        <v>9.31</v>
      </c>
      <c r="L136" s="31">
        <v>9.11</v>
      </c>
      <c r="M136" s="31">
        <v>9.01</v>
      </c>
      <c r="N136" s="31">
        <v>8.81</v>
      </c>
    </row>
    <row r="137" spans="1:16" ht="24.75" customHeight="1">
      <c r="A137" s="31" t="s">
        <v>179</v>
      </c>
      <c r="B137" s="31">
        <v>62</v>
      </c>
      <c r="C137" s="31">
        <v>12.4</v>
      </c>
      <c r="D137" s="31">
        <v>11.8</v>
      </c>
      <c r="E137" s="31">
        <v>11.3</v>
      </c>
      <c r="F137" s="31">
        <v>10.9</v>
      </c>
      <c r="G137" s="31">
        <v>10.6</v>
      </c>
      <c r="H137" s="31">
        <v>10.4</v>
      </c>
      <c r="I137" s="31">
        <v>10</v>
      </c>
      <c r="J137" s="31">
        <v>9.6999999999999993</v>
      </c>
      <c r="K137" s="31">
        <v>9.5</v>
      </c>
      <c r="L137" s="31">
        <v>9.3000000000000007</v>
      </c>
      <c r="M137" s="31">
        <v>9.1999999999999993</v>
      </c>
      <c r="N137" s="31">
        <v>9</v>
      </c>
      <c r="O137" s="31">
        <v>8.9</v>
      </c>
      <c r="P137" s="31">
        <v>8.8000000000000007</v>
      </c>
    </row>
    <row r="138" spans="1:16" ht="24.75" customHeight="1">
      <c r="A138" s="31" t="s">
        <v>179</v>
      </c>
      <c r="B138" s="31">
        <v>60</v>
      </c>
      <c r="C138" s="31">
        <v>12.41</v>
      </c>
      <c r="D138" s="31">
        <v>11.81</v>
      </c>
      <c r="E138" s="31">
        <v>11.31</v>
      </c>
      <c r="F138" s="31">
        <v>10.91</v>
      </c>
      <c r="G138" s="31">
        <v>10.61</v>
      </c>
      <c r="H138" s="31">
        <v>10.41</v>
      </c>
      <c r="I138" s="31">
        <v>10.01</v>
      </c>
      <c r="J138" s="31">
        <v>9.7100000000000009</v>
      </c>
      <c r="K138" s="31">
        <v>9.51</v>
      </c>
      <c r="L138" s="31">
        <v>9.31</v>
      </c>
      <c r="M138" s="31">
        <v>9.2100000000000009</v>
      </c>
      <c r="N138" s="31">
        <v>9.01</v>
      </c>
    </row>
    <row r="139" spans="1:16" ht="24.75" customHeight="1">
      <c r="A139" s="31" t="s">
        <v>179</v>
      </c>
      <c r="B139" s="31">
        <v>60</v>
      </c>
      <c r="C139" s="31">
        <v>12.6</v>
      </c>
      <c r="D139" s="31">
        <v>12</v>
      </c>
      <c r="E139" s="31">
        <v>11.5</v>
      </c>
      <c r="F139" s="31">
        <v>11.1</v>
      </c>
      <c r="G139" s="31">
        <v>10.8</v>
      </c>
      <c r="H139" s="31">
        <v>10.6</v>
      </c>
      <c r="I139" s="31">
        <v>10.199999999999999</v>
      </c>
      <c r="J139" s="31">
        <v>9.9</v>
      </c>
      <c r="K139" s="31">
        <v>9.6999999999999993</v>
      </c>
      <c r="L139" s="31">
        <v>9.5</v>
      </c>
      <c r="M139" s="31">
        <v>9.4</v>
      </c>
      <c r="N139" s="31">
        <v>9.1999999999999993</v>
      </c>
      <c r="O139" s="31">
        <v>9.1</v>
      </c>
      <c r="P139" s="31">
        <v>9</v>
      </c>
    </row>
    <row r="140" spans="1:16" ht="24.75" customHeight="1">
      <c r="A140" s="31" t="s">
        <v>178</v>
      </c>
      <c r="B140" s="31">
        <v>50</v>
      </c>
      <c r="C140" s="31">
        <v>12.61</v>
      </c>
      <c r="D140" s="31">
        <v>12.01</v>
      </c>
      <c r="E140" s="31">
        <v>11.51</v>
      </c>
      <c r="F140" s="31">
        <v>11.11</v>
      </c>
      <c r="G140" s="31">
        <v>10.81</v>
      </c>
      <c r="H140" s="31">
        <v>10.61</v>
      </c>
      <c r="I140" s="31">
        <v>10.210000000000001</v>
      </c>
      <c r="J140" s="31">
        <v>9.91</v>
      </c>
      <c r="K140" s="31">
        <v>9.7100000000000009</v>
      </c>
      <c r="L140" s="31">
        <v>9.51</v>
      </c>
      <c r="M140" s="31">
        <v>9.41</v>
      </c>
      <c r="N140" s="31">
        <v>9.2100000000000009</v>
      </c>
    </row>
    <row r="141" spans="1:16" ht="24.75" customHeight="1">
      <c r="A141" s="31" t="s">
        <v>178</v>
      </c>
      <c r="B141" s="31">
        <v>50</v>
      </c>
      <c r="C141" s="31">
        <v>12.8</v>
      </c>
      <c r="D141" s="31">
        <v>12.2</v>
      </c>
      <c r="E141" s="31">
        <v>11.7</v>
      </c>
      <c r="F141" s="31">
        <v>11.3</v>
      </c>
      <c r="G141" s="31">
        <v>11</v>
      </c>
      <c r="H141" s="31">
        <v>10.8</v>
      </c>
      <c r="I141" s="31">
        <v>10.4</v>
      </c>
      <c r="J141" s="31">
        <v>10.1</v>
      </c>
      <c r="K141" s="31">
        <v>9.9</v>
      </c>
      <c r="L141" s="31">
        <v>9.6999999999999993</v>
      </c>
      <c r="M141" s="31">
        <v>9.6</v>
      </c>
      <c r="N141" s="31">
        <v>9.4</v>
      </c>
      <c r="O141" s="31">
        <v>9.3000000000000007</v>
      </c>
      <c r="P141" s="31">
        <v>9.1999999999999993</v>
      </c>
    </row>
    <row r="142" spans="1:16" ht="24.75" customHeight="1">
      <c r="A142" s="31" t="s">
        <v>178</v>
      </c>
      <c r="B142" s="31">
        <v>40</v>
      </c>
      <c r="C142" s="31">
        <v>12.81</v>
      </c>
      <c r="D142" s="31">
        <v>12.21</v>
      </c>
      <c r="E142" s="31">
        <v>11.71</v>
      </c>
      <c r="F142" s="31">
        <v>11.31</v>
      </c>
      <c r="G142" s="31">
        <v>11.01</v>
      </c>
      <c r="H142" s="31">
        <v>10.81</v>
      </c>
      <c r="I142" s="31">
        <v>10.41</v>
      </c>
      <c r="J142" s="31">
        <v>10.11</v>
      </c>
      <c r="K142" s="31">
        <v>9.91</v>
      </c>
      <c r="L142" s="31">
        <v>9.7100000000000009</v>
      </c>
      <c r="M142" s="31">
        <v>9.61</v>
      </c>
      <c r="N142" s="31">
        <v>9.41</v>
      </c>
    </row>
    <row r="143" spans="1:16" ht="24.75" customHeight="1">
      <c r="A143" s="31" t="s">
        <v>178</v>
      </c>
      <c r="B143" s="31">
        <v>40</v>
      </c>
      <c r="C143" s="31">
        <v>13</v>
      </c>
      <c r="D143" s="31">
        <v>12.4</v>
      </c>
      <c r="E143" s="31">
        <v>11.9</v>
      </c>
      <c r="F143" s="31">
        <v>11.5</v>
      </c>
      <c r="G143" s="31">
        <v>11.2</v>
      </c>
      <c r="H143" s="31">
        <v>11</v>
      </c>
      <c r="I143" s="31">
        <v>10.6</v>
      </c>
      <c r="J143" s="31">
        <v>10.3</v>
      </c>
      <c r="K143" s="31">
        <v>10.1</v>
      </c>
      <c r="L143" s="31">
        <v>9.9</v>
      </c>
      <c r="M143" s="31">
        <v>9.8000000000000007</v>
      </c>
      <c r="N143" s="31">
        <v>9.6</v>
      </c>
      <c r="O143" s="31">
        <v>9.5</v>
      </c>
      <c r="P143" s="31">
        <v>9.4</v>
      </c>
    </row>
    <row r="144" spans="1:16" ht="24.75" customHeight="1">
      <c r="A144" s="31" t="s">
        <v>178</v>
      </c>
      <c r="B144" s="31">
        <v>30</v>
      </c>
      <c r="C144" s="31">
        <v>13.01</v>
      </c>
      <c r="D144" s="31">
        <v>12.41</v>
      </c>
      <c r="E144" s="31">
        <v>11.91</v>
      </c>
      <c r="F144" s="31">
        <v>11.51</v>
      </c>
      <c r="G144" s="31">
        <v>11.21</v>
      </c>
      <c r="H144" s="31">
        <v>11.01</v>
      </c>
      <c r="I144" s="31">
        <v>10.61</v>
      </c>
      <c r="J144" s="31">
        <v>10.31</v>
      </c>
      <c r="K144" s="31">
        <v>10.11</v>
      </c>
      <c r="L144" s="31">
        <v>9.91</v>
      </c>
      <c r="M144" s="31">
        <v>9.81</v>
      </c>
      <c r="N144" s="31">
        <v>9.61</v>
      </c>
    </row>
    <row r="145" spans="1:16" ht="24.75" customHeight="1">
      <c r="A145" s="31" t="s">
        <v>178</v>
      </c>
      <c r="B145" s="31">
        <v>30</v>
      </c>
      <c r="C145" s="31">
        <v>13.2</v>
      </c>
      <c r="D145" s="31">
        <v>12.6</v>
      </c>
      <c r="E145" s="31">
        <v>12.1</v>
      </c>
      <c r="F145" s="31">
        <v>11.7</v>
      </c>
      <c r="G145" s="31">
        <v>11.4</v>
      </c>
      <c r="H145" s="31">
        <v>11.2</v>
      </c>
      <c r="I145" s="31">
        <v>10.8</v>
      </c>
      <c r="J145" s="31">
        <v>10.5</v>
      </c>
      <c r="K145" s="31">
        <v>10.3</v>
      </c>
      <c r="L145" s="31">
        <v>10.1</v>
      </c>
      <c r="M145" s="31">
        <v>10</v>
      </c>
      <c r="N145" s="31">
        <v>9.8000000000000007</v>
      </c>
      <c r="O145" s="31">
        <v>9.6999999999999993</v>
      </c>
      <c r="P145" s="31">
        <v>9.6</v>
      </c>
    </row>
    <row r="146" spans="1:16" ht="24.75" customHeight="1">
      <c r="A146" s="31" t="s">
        <v>178</v>
      </c>
      <c r="B146" s="31">
        <v>20</v>
      </c>
      <c r="C146" s="31">
        <v>13.21</v>
      </c>
      <c r="D146" s="31">
        <v>12.61</v>
      </c>
      <c r="E146" s="31">
        <v>12.11</v>
      </c>
      <c r="F146" s="31">
        <v>11.71</v>
      </c>
      <c r="G146" s="31">
        <v>11.41</v>
      </c>
      <c r="H146" s="31">
        <v>11.21</v>
      </c>
      <c r="I146" s="31">
        <v>10.81</v>
      </c>
      <c r="J146" s="31">
        <v>10.51</v>
      </c>
      <c r="K146" s="31">
        <v>10.31</v>
      </c>
      <c r="L146" s="31">
        <v>10.11</v>
      </c>
      <c r="M146" s="31">
        <v>10.01</v>
      </c>
      <c r="N146" s="31">
        <v>9.81</v>
      </c>
    </row>
    <row r="147" spans="1:16" ht="24.75" customHeight="1">
      <c r="A147" s="31" t="s">
        <v>178</v>
      </c>
      <c r="B147" s="31">
        <v>20</v>
      </c>
      <c r="C147" s="31">
        <v>13.4</v>
      </c>
      <c r="D147" s="31">
        <v>12.8</v>
      </c>
      <c r="E147" s="31">
        <v>12.3</v>
      </c>
      <c r="F147" s="31">
        <v>11.9</v>
      </c>
      <c r="G147" s="31">
        <v>11.6</v>
      </c>
      <c r="H147" s="31">
        <v>11.4</v>
      </c>
      <c r="I147" s="31">
        <v>11</v>
      </c>
      <c r="J147" s="31">
        <v>10.7</v>
      </c>
      <c r="K147" s="31">
        <v>10.5</v>
      </c>
      <c r="L147" s="31">
        <v>10.3</v>
      </c>
      <c r="M147" s="31">
        <v>10.199999999999999</v>
      </c>
      <c r="N147" s="31">
        <v>10</v>
      </c>
      <c r="O147" s="31">
        <v>9.9</v>
      </c>
      <c r="P147" s="31">
        <v>9.8000000000000007</v>
      </c>
    </row>
    <row r="148" spans="1:16" ht="24.75" customHeight="1">
      <c r="A148" s="31" t="s">
        <v>178</v>
      </c>
      <c r="B148" s="31">
        <v>10</v>
      </c>
      <c r="C148" s="31">
        <v>13.41</v>
      </c>
      <c r="D148" s="31">
        <v>12.81</v>
      </c>
      <c r="E148" s="31">
        <v>12.31</v>
      </c>
      <c r="F148" s="31">
        <v>11.91</v>
      </c>
      <c r="G148" s="31">
        <v>11.61</v>
      </c>
      <c r="H148" s="31">
        <v>11.41</v>
      </c>
      <c r="I148" s="31">
        <v>11.01</v>
      </c>
      <c r="J148" s="31">
        <v>10.71</v>
      </c>
      <c r="K148" s="31">
        <v>10.51</v>
      </c>
      <c r="L148" s="31">
        <v>10.31</v>
      </c>
      <c r="M148" s="31">
        <v>10.210000000000001</v>
      </c>
      <c r="N148" s="31">
        <v>10.01</v>
      </c>
    </row>
    <row r="149" spans="1:16" ht="24.75" customHeight="1">
      <c r="A149" s="31" t="s">
        <v>178</v>
      </c>
      <c r="B149" s="31">
        <v>10</v>
      </c>
      <c r="C149" s="31">
        <v>13.6</v>
      </c>
      <c r="D149" s="31">
        <v>13</v>
      </c>
      <c r="E149" s="31">
        <v>12.5</v>
      </c>
      <c r="F149" s="31">
        <v>12.1</v>
      </c>
      <c r="G149" s="31">
        <v>11.8</v>
      </c>
      <c r="H149" s="31">
        <v>11.6</v>
      </c>
      <c r="I149" s="31">
        <v>11.2</v>
      </c>
      <c r="J149" s="31">
        <v>10.9</v>
      </c>
      <c r="K149" s="31">
        <v>10.7</v>
      </c>
      <c r="L149" s="31">
        <v>10.5</v>
      </c>
      <c r="M149" s="31">
        <v>10.4</v>
      </c>
      <c r="N149" s="31">
        <v>10.199999999999999</v>
      </c>
      <c r="O149" s="31">
        <v>10.1</v>
      </c>
      <c r="P149" s="31">
        <v>10</v>
      </c>
    </row>
    <row r="150" spans="1:16" ht="24.75" customHeight="1">
      <c r="A150" s="31" t="s">
        <v>178</v>
      </c>
      <c r="B150" s="31">
        <v>0</v>
      </c>
      <c r="C150" s="31">
        <v>13.61</v>
      </c>
      <c r="D150" s="31">
        <v>10.01</v>
      </c>
      <c r="E150" s="31">
        <v>12.51</v>
      </c>
      <c r="F150" s="31">
        <v>12.11</v>
      </c>
      <c r="G150" s="31">
        <v>11.81</v>
      </c>
      <c r="H150" s="31">
        <v>11.61</v>
      </c>
      <c r="I150" s="31">
        <v>11.21</v>
      </c>
      <c r="J150" s="31">
        <v>10.91</v>
      </c>
      <c r="K150" s="31">
        <v>10.71</v>
      </c>
      <c r="L150" s="31">
        <v>10.51</v>
      </c>
      <c r="M150" s="31">
        <v>10.41</v>
      </c>
      <c r="N150" s="31">
        <v>10.210000000000001</v>
      </c>
    </row>
    <row r="151" spans="1:16" ht="24.75" customHeight="1">
      <c r="A151" s="31" t="s">
        <v>178</v>
      </c>
      <c r="B151" s="31">
        <v>0</v>
      </c>
      <c r="C151" s="31">
        <v>20</v>
      </c>
      <c r="D151" s="31">
        <v>20</v>
      </c>
      <c r="E151" s="31">
        <v>20</v>
      </c>
      <c r="F151" s="31">
        <v>20</v>
      </c>
      <c r="G151" s="31">
        <v>20</v>
      </c>
      <c r="H151" s="31">
        <v>20</v>
      </c>
      <c r="I151" s="31">
        <v>20</v>
      </c>
      <c r="J151" s="31">
        <v>20</v>
      </c>
      <c r="K151" s="31">
        <v>20</v>
      </c>
      <c r="L151" s="31">
        <v>20</v>
      </c>
      <c r="M151" s="31">
        <v>20</v>
      </c>
      <c r="N151" s="31">
        <v>20</v>
      </c>
    </row>
    <row r="152" spans="1:16" ht="24.75" customHeight="1">
      <c r="A152" s="31" t="s">
        <v>247</v>
      </c>
    </row>
    <row r="153" spans="1:16" ht="24.75" customHeight="1">
      <c r="A153" s="35" t="s">
        <v>163</v>
      </c>
      <c r="B153" s="31" t="s">
        <v>164</v>
      </c>
      <c r="C153" s="35" t="s">
        <v>165</v>
      </c>
      <c r="D153" s="35" t="s">
        <v>166</v>
      </c>
      <c r="E153" s="35" t="s">
        <v>167</v>
      </c>
      <c r="F153" s="35" t="s">
        <v>168</v>
      </c>
      <c r="G153" s="35" t="s">
        <v>169</v>
      </c>
      <c r="H153" s="35" t="s">
        <v>170</v>
      </c>
      <c r="I153" s="35" t="s">
        <v>171</v>
      </c>
      <c r="J153" s="35" t="s">
        <v>172</v>
      </c>
      <c r="K153" s="35" t="s">
        <v>173</v>
      </c>
      <c r="L153" s="35" t="s">
        <v>174</v>
      </c>
      <c r="M153" s="35" t="s">
        <v>175</v>
      </c>
      <c r="N153" s="35" t="s">
        <v>176</v>
      </c>
      <c r="O153" s="31" t="s">
        <v>240</v>
      </c>
      <c r="P153" s="31" t="s">
        <v>241</v>
      </c>
    </row>
    <row r="154" spans="1:16" ht="24.75" customHeight="1">
      <c r="A154" s="35"/>
      <c r="B154" s="31" t="s">
        <v>177</v>
      </c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1" t="s">
        <v>242</v>
      </c>
      <c r="P154" s="31" t="s">
        <v>243</v>
      </c>
    </row>
    <row r="155" spans="1:16" ht="24.75" customHeight="1">
      <c r="A155" s="31" t="s">
        <v>181</v>
      </c>
      <c r="B155" s="31">
        <v>100</v>
      </c>
      <c r="C155" s="31">
        <v>5</v>
      </c>
      <c r="D155" s="31">
        <v>5</v>
      </c>
      <c r="E155" s="31">
        <v>5</v>
      </c>
      <c r="F155" s="31">
        <v>5</v>
      </c>
      <c r="G155" s="31">
        <v>5</v>
      </c>
      <c r="H155" s="31">
        <v>5</v>
      </c>
      <c r="I155" s="31">
        <v>5</v>
      </c>
      <c r="J155" s="31">
        <v>5</v>
      </c>
      <c r="K155" s="31">
        <v>5</v>
      </c>
      <c r="L155" s="31">
        <v>5</v>
      </c>
      <c r="M155" s="31">
        <v>5</v>
      </c>
      <c r="N155" s="31">
        <v>5</v>
      </c>
    </row>
    <row r="156" spans="1:16" ht="24.75" customHeight="1">
      <c r="A156" s="31" t="s">
        <v>181</v>
      </c>
      <c r="B156" s="31">
        <v>100</v>
      </c>
      <c r="C156" s="31">
        <v>11</v>
      </c>
      <c r="D156" s="31">
        <v>10</v>
      </c>
      <c r="E156" s="31">
        <v>9.1999999999999993</v>
      </c>
      <c r="F156" s="31">
        <v>8.6999999999999993</v>
      </c>
      <c r="G156" s="31">
        <v>8.3000000000000007</v>
      </c>
      <c r="H156" s="31">
        <v>8.1999999999999993</v>
      </c>
      <c r="I156" s="31">
        <v>8.1</v>
      </c>
      <c r="J156" s="31">
        <v>8</v>
      </c>
      <c r="K156" s="31">
        <v>7.9</v>
      </c>
      <c r="L156" s="31">
        <v>7.8</v>
      </c>
      <c r="M156" s="31">
        <v>7.7</v>
      </c>
      <c r="N156" s="31">
        <v>7.6</v>
      </c>
      <c r="O156" s="31">
        <v>7.5</v>
      </c>
      <c r="P156" s="31">
        <v>7.4</v>
      </c>
    </row>
    <row r="157" spans="1:16" ht="24.75" customHeight="1">
      <c r="A157" s="31" t="s">
        <v>181</v>
      </c>
      <c r="B157" s="31">
        <v>95</v>
      </c>
      <c r="C157" s="31">
        <v>11.01</v>
      </c>
      <c r="D157" s="31">
        <v>10.01</v>
      </c>
      <c r="E157" s="31">
        <v>9.2100000000000009</v>
      </c>
      <c r="F157" s="31">
        <v>8.7100000000000009</v>
      </c>
      <c r="G157" s="31">
        <v>8.31</v>
      </c>
      <c r="H157" s="31">
        <v>8.2100000000000009</v>
      </c>
      <c r="I157" s="31">
        <v>8.11</v>
      </c>
      <c r="J157" s="31">
        <v>8.01</v>
      </c>
      <c r="K157" s="31">
        <v>7.91</v>
      </c>
      <c r="L157" s="31">
        <v>7.81</v>
      </c>
      <c r="M157" s="31">
        <v>7.71</v>
      </c>
      <c r="N157" s="31">
        <v>7.61</v>
      </c>
    </row>
    <row r="158" spans="1:16" ht="24.75" customHeight="1">
      <c r="A158" s="31" t="s">
        <v>181</v>
      </c>
      <c r="B158" s="31">
        <v>95</v>
      </c>
      <c r="C158" s="31">
        <v>11.1</v>
      </c>
      <c r="D158" s="31">
        <v>10.1</v>
      </c>
      <c r="E158" s="31">
        <v>9.3000000000000007</v>
      </c>
      <c r="F158" s="31">
        <v>8.8000000000000007</v>
      </c>
      <c r="G158" s="31">
        <v>8.4</v>
      </c>
      <c r="H158" s="31">
        <v>8.3000000000000007</v>
      </c>
      <c r="I158" s="31">
        <v>8.1999999999999993</v>
      </c>
      <c r="J158" s="31">
        <v>8.1</v>
      </c>
      <c r="K158" s="31">
        <v>8</v>
      </c>
      <c r="L158" s="31">
        <v>7.9</v>
      </c>
      <c r="M158" s="31">
        <v>7.8</v>
      </c>
      <c r="N158" s="31">
        <v>7.7</v>
      </c>
      <c r="O158" s="31">
        <v>7.6</v>
      </c>
      <c r="P158" s="31">
        <v>7.5</v>
      </c>
    </row>
    <row r="159" spans="1:16" ht="24.75" customHeight="1">
      <c r="A159" s="31" t="s">
        <v>181</v>
      </c>
      <c r="B159" s="31">
        <v>90</v>
      </c>
      <c r="C159" s="31">
        <v>11.11</v>
      </c>
      <c r="D159" s="31">
        <v>10.11</v>
      </c>
      <c r="E159" s="31">
        <v>9.31</v>
      </c>
      <c r="F159" s="31">
        <v>8.81</v>
      </c>
      <c r="G159" s="31">
        <v>8.41</v>
      </c>
      <c r="H159" s="31">
        <v>8.31</v>
      </c>
      <c r="I159" s="31">
        <v>8.2100000000000009</v>
      </c>
      <c r="J159" s="31">
        <v>8.11</v>
      </c>
      <c r="K159" s="31">
        <v>8.01</v>
      </c>
      <c r="L159" s="31">
        <v>7.91</v>
      </c>
      <c r="M159" s="31">
        <v>7.81</v>
      </c>
      <c r="N159" s="31">
        <v>7.71</v>
      </c>
    </row>
    <row r="160" spans="1:16" ht="24.75" customHeight="1">
      <c r="A160" s="31" t="s">
        <v>181</v>
      </c>
      <c r="B160" s="31">
        <v>90</v>
      </c>
      <c r="C160" s="31">
        <v>11.2</v>
      </c>
      <c r="D160" s="31">
        <v>10.199999999999999</v>
      </c>
      <c r="E160" s="31">
        <v>9.4</v>
      </c>
      <c r="F160" s="31">
        <v>8.9</v>
      </c>
      <c r="G160" s="31">
        <v>8.5</v>
      </c>
      <c r="H160" s="31">
        <v>8.4</v>
      </c>
      <c r="I160" s="31">
        <v>8.3000000000000007</v>
      </c>
      <c r="J160" s="31">
        <v>8.1999999999999993</v>
      </c>
      <c r="K160" s="31">
        <v>8.1</v>
      </c>
      <c r="L160" s="31">
        <v>8</v>
      </c>
      <c r="M160" s="31">
        <v>7.9</v>
      </c>
      <c r="N160" s="31">
        <v>7.8</v>
      </c>
      <c r="O160" s="31">
        <v>7.7</v>
      </c>
      <c r="P160" s="31">
        <v>7.6</v>
      </c>
    </row>
    <row r="161" spans="1:16" ht="24.75" customHeight="1">
      <c r="A161" s="31" t="s">
        <v>180</v>
      </c>
      <c r="B161" s="31">
        <v>85</v>
      </c>
      <c r="C161" s="31">
        <v>11.21</v>
      </c>
      <c r="D161" s="31">
        <v>10.210000000000001</v>
      </c>
      <c r="E161" s="31">
        <v>9.41</v>
      </c>
      <c r="F161" s="31">
        <v>8.91</v>
      </c>
      <c r="G161" s="31">
        <v>8.51</v>
      </c>
      <c r="H161" s="31">
        <v>8.41</v>
      </c>
      <c r="I161" s="31">
        <v>8.31</v>
      </c>
      <c r="J161" s="31">
        <v>8.2100000000000009</v>
      </c>
      <c r="K161" s="31">
        <v>8.11</v>
      </c>
      <c r="L161" s="31">
        <v>8.01</v>
      </c>
      <c r="M161" s="31">
        <v>7.91</v>
      </c>
      <c r="N161" s="31">
        <v>7.81</v>
      </c>
    </row>
    <row r="162" spans="1:16" ht="24.75" customHeight="1">
      <c r="A162" s="31" t="s">
        <v>180</v>
      </c>
      <c r="B162" s="31">
        <v>85</v>
      </c>
      <c r="C162" s="31">
        <v>11.5</v>
      </c>
      <c r="D162" s="31">
        <v>10.5</v>
      </c>
      <c r="E162" s="31">
        <v>9.6999999999999993</v>
      </c>
      <c r="F162" s="31">
        <v>9.1999999999999993</v>
      </c>
      <c r="G162" s="31">
        <v>8.8000000000000007</v>
      </c>
      <c r="H162" s="31">
        <v>8.6999999999999993</v>
      </c>
      <c r="I162" s="31">
        <v>8.6</v>
      </c>
      <c r="J162" s="31">
        <v>8.5</v>
      </c>
      <c r="K162" s="31">
        <v>8.4</v>
      </c>
      <c r="L162" s="31">
        <v>8.3000000000000007</v>
      </c>
      <c r="M162" s="31">
        <v>8.1999999999999993</v>
      </c>
      <c r="N162" s="31">
        <v>8.1</v>
      </c>
      <c r="O162" s="31">
        <v>8</v>
      </c>
      <c r="P162" s="31">
        <v>7.9</v>
      </c>
    </row>
    <row r="163" spans="1:16" ht="24.75" customHeight="1">
      <c r="A163" s="31" t="s">
        <v>180</v>
      </c>
      <c r="B163" s="31">
        <v>80</v>
      </c>
      <c r="C163" s="31">
        <v>11.51</v>
      </c>
      <c r="D163" s="31">
        <v>10.51</v>
      </c>
      <c r="E163" s="31">
        <v>9.7100000000000009</v>
      </c>
      <c r="F163" s="31">
        <v>9.2100000000000009</v>
      </c>
      <c r="G163" s="31">
        <v>8.81</v>
      </c>
      <c r="H163" s="31">
        <v>8.7100000000000009</v>
      </c>
      <c r="I163" s="31">
        <v>8.61</v>
      </c>
      <c r="J163" s="31">
        <v>8.51</v>
      </c>
      <c r="K163" s="31">
        <v>8.41</v>
      </c>
      <c r="L163" s="31">
        <v>8.31</v>
      </c>
      <c r="M163" s="31">
        <v>8.2100000000000009</v>
      </c>
      <c r="N163" s="31">
        <v>8.11</v>
      </c>
    </row>
    <row r="164" spans="1:16" ht="24.75" customHeight="1">
      <c r="A164" s="31" t="s">
        <v>180</v>
      </c>
      <c r="B164" s="31">
        <v>80</v>
      </c>
      <c r="C164" s="31">
        <v>11.8</v>
      </c>
      <c r="D164" s="31">
        <v>10.8</v>
      </c>
      <c r="E164" s="31">
        <v>10</v>
      </c>
      <c r="F164" s="31">
        <v>9.5</v>
      </c>
      <c r="G164" s="31">
        <v>9.1</v>
      </c>
      <c r="H164" s="31">
        <v>9</v>
      </c>
      <c r="I164" s="31">
        <v>8.9</v>
      </c>
      <c r="J164" s="31">
        <v>8.8000000000000007</v>
      </c>
      <c r="K164" s="31">
        <v>8.6999999999999993</v>
      </c>
      <c r="L164" s="31">
        <v>8.6</v>
      </c>
      <c r="M164" s="31">
        <v>8.5</v>
      </c>
      <c r="N164" s="31">
        <v>8.4</v>
      </c>
      <c r="O164" s="31">
        <v>8.3000000000000007</v>
      </c>
      <c r="P164" s="31">
        <v>8.1999999999999993</v>
      </c>
    </row>
    <row r="165" spans="1:16" ht="24.75" customHeight="1">
      <c r="A165" s="31" t="s">
        <v>179</v>
      </c>
      <c r="B165" s="31">
        <v>78</v>
      </c>
      <c r="C165" s="31">
        <v>11.81</v>
      </c>
      <c r="D165" s="31">
        <v>10.81</v>
      </c>
      <c r="E165" s="31">
        <v>10.01</v>
      </c>
      <c r="F165" s="31">
        <v>9.51</v>
      </c>
      <c r="G165" s="31">
        <v>9.11</v>
      </c>
      <c r="H165" s="31">
        <v>9.01</v>
      </c>
      <c r="I165" s="31">
        <v>8.91</v>
      </c>
      <c r="J165" s="31">
        <v>8.81</v>
      </c>
      <c r="K165" s="31">
        <v>8.7100000000000009</v>
      </c>
      <c r="L165" s="31">
        <v>8.61</v>
      </c>
      <c r="M165" s="31">
        <v>8.51</v>
      </c>
      <c r="N165" s="31">
        <v>8.41</v>
      </c>
    </row>
    <row r="166" spans="1:16" ht="24.75" customHeight="1">
      <c r="A166" s="31" t="s">
        <v>179</v>
      </c>
      <c r="B166" s="31">
        <v>78</v>
      </c>
      <c r="C166" s="31">
        <v>12</v>
      </c>
      <c r="D166" s="31">
        <v>11</v>
      </c>
      <c r="E166" s="31">
        <v>10.199999999999999</v>
      </c>
      <c r="F166" s="31">
        <v>9.6999999999999993</v>
      </c>
      <c r="G166" s="31">
        <v>9.3000000000000007</v>
      </c>
      <c r="H166" s="31">
        <v>9.1999999999999993</v>
      </c>
      <c r="I166" s="31">
        <v>9.1</v>
      </c>
      <c r="J166" s="31">
        <v>9</v>
      </c>
      <c r="K166" s="31">
        <v>8.9</v>
      </c>
      <c r="L166" s="31">
        <v>8.8000000000000007</v>
      </c>
      <c r="M166" s="31">
        <v>8.6999999999999993</v>
      </c>
      <c r="N166" s="31">
        <v>8.6</v>
      </c>
      <c r="O166" s="31">
        <v>8.5</v>
      </c>
      <c r="P166" s="31">
        <v>8.4</v>
      </c>
    </row>
    <row r="167" spans="1:16" ht="24.75" customHeight="1">
      <c r="A167" s="31" t="s">
        <v>179</v>
      </c>
      <c r="B167" s="31">
        <v>76</v>
      </c>
      <c r="C167" s="31">
        <v>12.01</v>
      </c>
      <c r="D167" s="31">
        <v>11.01</v>
      </c>
      <c r="E167" s="31">
        <v>10.210000000000001</v>
      </c>
      <c r="F167" s="31">
        <v>9.7100000000000009</v>
      </c>
      <c r="G167" s="31">
        <v>9.31</v>
      </c>
      <c r="H167" s="31">
        <v>9.2100000000000009</v>
      </c>
      <c r="I167" s="31">
        <v>9.11</v>
      </c>
      <c r="J167" s="31">
        <v>9.01</v>
      </c>
      <c r="K167" s="31">
        <v>8.91</v>
      </c>
      <c r="L167" s="31">
        <v>8.81</v>
      </c>
      <c r="M167" s="31">
        <v>8.7100000000000009</v>
      </c>
      <c r="N167" s="31">
        <v>8.61</v>
      </c>
    </row>
    <row r="168" spans="1:16" ht="24.75" customHeight="1">
      <c r="A168" s="31" t="s">
        <v>179</v>
      </c>
      <c r="B168" s="31">
        <v>76</v>
      </c>
      <c r="C168" s="31">
        <v>12.2</v>
      </c>
      <c r="D168" s="31">
        <v>11.2</v>
      </c>
      <c r="E168" s="31">
        <v>10.4</v>
      </c>
      <c r="F168" s="31">
        <v>9.9</v>
      </c>
      <c r="G168" s="31">
        <v>9.5</v>
      </c>
      <c r="H168" s="31">
        <v>9.4</v>
      </c>
      <c r="I168" s="31">
        <v>9.3000000000000007</v>
      </c>
      <c r="J168" s="31">
        <v>9.1999999999999993</v>
      </c>
      <c r="K168" s="31">
        <v>9.1</v>
      </c>
      <c r="L168" s="31">
        <v>9</v>
      </c>
      <c r="M168" s="31">
        <v>8.9</v>
      </c>
      <c r="N168" s="31">
        <v>8.8000000000000007</v>
      </c>
      <c r="O168" s="31">
        <v>8.6999999999999993</v>
      </c>
      <c r="P168" s="31">
        <v>8.6</v>
      </c>
    </row>
    <row r="169" spans="1:16" ht="24.75" customHeight="1">
      <c r="A169" s="31" t="s">
        <v>179</v>
      </c>
      <c r="B169" s="31">
        <v>74</v>
      </c>
      <c r="C169" s="31">
        <v>12.21</v>
      </c>
      <c r="D169" s="31">
        <v>11.21</v>
      </c>
      <c r="E169" s="31">
        <v>10.41</v>
      </c>
      <c r="F169" s="31">
        <v>9.91</v>
      </c>
      <c r="G169" s="31">
        <v>9.51</v>
      </c>
      <c r="H169" s="31">
        <v>9.41</v>
      </c>
      <c r="I169" s="31">
        <v>9.31</v>
      </c>
      <c r="J169" s="31">
        <v>9.2100000000000009</v>
      </c>
      <c r="K169" s="31">
        <v>9.11</v>
      </c>
      <c r="L169" s="31">
        <v>9.01</v>
      </c>
      <c r="M169" s="31">
        <v>8.91</v>
      </c>
      <c r="N169" s="31">
        <v>8.81</v>
      </c>
    </row>
    <row r="170" spans="1:16" ht="24.75" customHeight="1">
      <c r="A170" s="31" t="s">
        <v>179</v>
      </c>
      <c r="B170" s="31">
        <v>74</v>
      </c>
      <c r="C170" s="31">
        <v>12.4</v>
      </c>
      <c r="D170" s="31">
        <v>11.4</v>
      </c>
      <c r="E170" s="31">
        <v>10.6</v>
      </c>
      <c r="F170" s="31">
        <v>10.1</v>
      </c>
      <c r="G170" s="31">
        <v>9.6999999999999993</v>
      </c>
      <c r="H170" s="31">
        <v>9.6</v>
      </c>
      <c r="I170" s="31">
        <v>9.5</v>
      </c>
      <c r="J170" s="31">
        <v>9.4</v>
      </c>
      <c r="K170" s="31">
        <v>9.3000000000000007</v>
      </c>
      <c r="L170" s="31">
        <v>9.1999999999999993</v>
      </c>
      <c r="M170" s="31">
        <v>9.1</v>
      </c>
      <c r="N170" s="31">
        <v>9</v>
      </c>
      <c r="O170" s="31">
        <v>8.9</v>
      </c>
      <c r="P170" s="31">
        <v>8.8000000000000007</v>
      </c>
    </row>
    <row r="171" spans="1:16" ht="24.75" customHeight="1">
      <c r="A171" s="31" t="s">
        <v>179</v>
      </c>
      <c r="B171" s="31">
        <v>72</v>
      </c>
      <c r="C171" s="31">
        <v>12.41</v>
      </c>
      <c r="D171" s="31">
        <v>11.41</v>
      </c>
      <c r="E171" s="31">
        <v>10.61</v>
      </c>
      <c r="F171" s="31">
        <v>10.11</v>
      </c>
      <c r="G171" s="31">
        <v>9.7100000000000009</v>
      </c>
      <c r="H171" s="31">
        <v>9.61</v>
      </c>
      <c r="I171" s="31">
        <v>9.51</v>
      </c>
      <c r="J171" s="31">
        <v>9.41</v>
      </c>
      <c r="K171" s="31">
        <v>9.31</v>
      </c>
      <c r="L171" s="31">
        <v>9.2100000000000009</v>
      </c>
      <c r="M171" s="31">
        <v>9.11</v>
      </c>
      <c r="N171" s="31">
        <v>9.01</v>
      </c>
    </row>
    <row r="172" spans="1:16" ht="24.75" customHeight="1">
      <c r="A172" s="31" t="s">
        <v>179</v>
      </c>
      <c r="B172" s="31">
        <v>72</v>
      </c>
      <c r="C172" s="31">
        <v>12.6</v>
      </c>
      <c r="D172" s="31">
        <v>11.6</v>
      </c>
      <c r="E172" s="31">
        <v>10.8</v>
      </c>
      <c r="F172" s="31">
        <v>10.3</v>
      </c>
      <c r="G172" s="31">
        <v>9.9</v>
      </c>
      <c r="H172" s="31">
        <v>9.8000000000000007</v>
      </c>
      <c r="I172" s="31">
        <v>9.6999999999999993</v>
      </c>
      <c r="J172" s="31">
        <v>9.6</v>
      </c>
      <c r="K172" s="31">
        <v>9.5</v>
      </c>
      <c r="L172" s="31">
        <v>9.4</v>
      </c>
      <c r="M172" s="31">
        <v>9.3000000000000007</v>
      </c>
      <c r="N172" s="31">
        <v>9.1999999999999993</v>
      </c>
      <c r="O172" s="31">
        <v>9.1</v>
      </c>
      <c r="P172" s="31">
        <v>9</v>
      </c>
    </row>
    <row r="173" spans="1:16" ht="24.75" customHeight="1">
      <c r="A173" s="31" t="s">
        <v>179</v>
      </c>
      <c r="B173" s="31">
        <v>70</v>
      </c>
      <c r="C173" s="31">
        <v>12.61</v>
      </c>
      <c r="D173" s="31">
        <v>11.61</v>
      </c>
      <c r="E173" s="31">
        <v>10.81</v>
      </c>
      <c r="F173" s="31">
        <v>10.31</v>
      </c>
      <c r="G173" s="31">
        <v>9.91</v>
      </c>
      <c r="H173" s="31">
        <v>9.81</v>
      </c>
      <c r="I173" s="31">
        <v>9.7100000000000009</v>
      </c>
      <c r="J173" s="31">
        <v>9.61</v>
      </c>
      <c r="K173" s="31">
        <v>9.51</v>
      </c>
      <c r="L173" s="31">
        <v>9.41</v>
      </c>
      <c r="M173" s="31">
        <v>9.31</v>
      </c>
      <c r="N173" s="31">
        <v>9.2100000000000009</v>
      </c>
    </row>
    <row r="174" spans="1:16" ht="24.75" customHeight="1">
      <c r="A174" s="31" t="s">
        <v>179</v>
      </c>
      <c r="B174" s="31">
        <v>70</v>
      </c>
      <c r="C174" s="31">
        <v>12.8</v>
      </c>
      <c r="D174" s="31">
        <v>11.8</v>
      </c>
      <c r="E174" s="31">
        <v>11</v>
      </c>
      <c r="F174" s="31">
        <v>10.5</v>
      </c>
      <c r="G174" s="31">
        <v>10.1</v>
      </c>
      <c r="H174" s="31">
        <v>10</v>
      </c>
      <c r="I174" s="31">
        <v>9.9</v>
      </c>
      <c r="J174" s="31">
        <v>9.8000000000000007</v>
      </c>
      <c r="K174" s="31">
        <v>9.6999999999999993</v>
      </c>
      <c r="L174" s="31">
        <v>9.6</v>
      </c>
      <c r="M174" s="31">
        <v>9.5</v>
      </c>
      <c r="N174" s="31">
        <v>9.4</v>
      </c>
      <c r="O174" s="31">
        <v>9.3000000000000007</v>
      </c>
      <c r="P174" s="31">
        <v>9.1999999999999993</v>
      </c>
    </row>
    <row r="175" spans="1:16" ht="24.75" customHeight="1">
      <c r="A175" s="31" t="s">
        <v>179</v>
      </c>
      <c r="B175" s="31">
        <v>68</v>
      </c>
      <c r="C175" s="31">
        <v>12.81</v>
      </c>
      <c r="D175" s="31">
        <v>11.81</v>
      </c>
      <c r="E175" s="31">
        <v>11.01</v>
      </c>
      <c r="F175" s="31">
        <v>10.51</v>
      </c>
      <c r="G175" s="31">
        <v>10.11</v>
      </c>
      <c r="H175" s="31">
        <v>10.01</v>
      </c>
      <c r="I175" s="31">
        <v>9.91</v>
      </c>
      <c r="J175" s="31">
        <v>9.81</v>
      </c>
      <c r="K175" s="31">
        <v>9.7100000000000009</v>
      </c>
      <c r="L175" s="31">
        <v>9.61</v>
      </c>
      <c r="M175" s="31">
        <v>9.51</v>
      </c>
      <c r="N175" s="31">
        <v>9.41</v>
      </c>
    </row>
    <row r="176" spans="1:16" ht="24.75" customHeight="1">
      <c r="A176" s="31" t="s">
        <v>179</v>
      </c>
      <c r="B176" s="31">
        <v>68</v>
      </c>
      <c r="C176" s="31">
        <v>13</v>
      </c>
      <c r="D176" s="31">
        <v>12</v>
      </c>
      <c r="E176" s="31">
        <v>11.2</v>
      </c>
      <c r="F176" s="31">
        <v>10.7</v>
      </c>
      <c r="G176" s="31">
        <v>10.3</v>
      </c>
      <c r="H176" s="31">
        <v>10.199999999999999</v>
      </c>
      <c r="I176" s="31">
        <v>10.1</v>
      </c>
      <c r="J176" s="31">
        <v>10</v>
      </c>
      <c r="K176" s="31">
        <v>9.9</v>
      </c>
      <c r="L176" s="31">
        <v>9.8000000000000007</v>
      </c>
      <c r="M176" s="31">
        <v>9.6999999999999993</v>
      </c>
      <c r="N176" s="31">
        <v>9.6</v>
      </c>
      <c r="O176" s="31">
        <v>9.5</v>
      </c>
      <c r="P176" s="31">
        <v>9.4</v>
      </c>
    </row>
    <row r="177" spans="1:16" ht="24.75" customHeight="1">
      <c r="A177" s="31" t="s">
        <v>179</v>
      </c>
      <c r="B177" s="31">
        <v>66</v>
      </c>
      <c r="C177" s="31">
        <v>13.01</v>
      </c>
      <c r="D177" s="31">
        <v>12.01</v>
      </c>
      <c r="E177" s="31">
        <v>11.21</v>
      </c>
      <c r="F177" s="31">
        <v>10.71</v>
      </c>
      <c r="G177" s="31">
        <v>10.31</v>
      </c>
      <c r="H177" s="31">
        <v>10.210000000000001</v>
      </c>
      <c r="I177" s="31">
        <v>10.11</v>
      </c>
      <c r="J177" s="31">
        <v>10.01</v>
      </c>
      <c r="K177" s="31">
        <v>9.91</v>
      </c>
      <c r="L177" s="31">
        <v>9.81</v>
      </c>
      <c r="M177" s="31">
        <v>9.7100000000000009</v>
      </c>
      <c r="N177" s="31">
        <v>9.61</v>
      </c>
    </row>
    <row r="178" spans="1:16" ht="24.75" customHeight="1">
      <c r="A178" s="31" t="s">
        <v>179</v>
      </c>
      <c r="B178" s="31">
        <v>66</v>
      </c>
      <c r="C178" s="31">
        <v>13.2</v>
      </c>
      <c r="D178" s="31">
        <v>12.2</v>
      </c>
      <c r="E178" s="31">
        <v>11.4</v>
      </c>
      <c r="F178" s="31">
        <v>10.9</v>
      </c>
      <c r="G178" s="31">
        <v>10.5</v>
      </c>
      <c r="H178" s="31">
        <v>10.4</v>
      </c>
      <c r="I178" s="31">
        <v>10.3</v>
      </c>
      <c r="J178" s="31">
        <v>10.199999999999999</v>
      </c>
      <c r="K178" s="31">
        <v>10.1</v>
      </c>
      <c r="L178" s="31">
        <v>10</v>
      </c>
      <c r="M178" s="31">
        <v>9.9</v>
      </c>
      <c r="N178" s="31">
        <v>9.8000000000000007</v>
      </c>
      <c r="O178" s="31">
        <v>9.6999999999999993</v>
      </c>
      <c r="P178" s="31">
        <v>9.6</v>
      </c>
    </row>
    <row r="179" spans="1:16" ht="24.75" customHeight="1">
      <c r="A179" s="31" t="s">
        <v>179</v>
      </c>
      <c r="B179" s="31">
        <v>64</v>
      </c>
      <c r="C179" s="31">
        <v>13.21</v>
      </c>
      <c r="D179" s="31">
        <v>12.21</v>
      </c>
      <c r="E179" s="31">
        <v>11.41</v>
      </c>
      <c r="F179" s="31">
        <v>10.91</v>
      </c>
      <c r="G179" s="31">
        <v>10.51</v>
      </c>
      <c r="H179" s="31">
        <v>10.41</v>
      </c>
      <c r="I179" s="31">
        <v>10.31</v>
      </c>
      <c r="J179" s="31">
        <v>10.210000000000001</v>
      </c>
      <c r="K179" s="31">
        <v>10.11</v>
      </c>
      <c r="L179" s="31">
        <v>10.01</v>
      </c>
      <c r="M179" s="31">
        <v>9.91</v>
      </c>
      <c r="N179" s="31">
        <v>9.81</v>
      </c>
    </row>
    <row r="180" spans="1:16" ht="24.75" customHeight="1">
      <c r="A180" s="31" t="s">
        <v>179</v>
      </c>
      <c r="B180" s="31">
        <v>64</v>
      </c>
      <c r="C180" s="31">
        <v>13.4</v>
      </c>
      <c r="D180" s="31">
        <v>12.4</v>
      </c>
      <c r="E180" s="31">
        <v>11.6</v>
      </c>
      <c r="F180" s="31">
        <v>11.1</v>
      </c>
      <c r="G180" s="31">
        <v>10.7</v>
      </c>
      <c r="H180" s="31">
        <v>10.6</v>
      </c>
      <c r="I180" s="31">
        <v>10.5</v>
      </c>
      <c r="J180" s="31">
        <v>10.4</v>
      </c>
      <c r="K180" s="31">
        <v>10.3</v>
      </c>
      <c r="L180" s="31">
        <v>10.199999999999999</v>
      </c>
      <c r="M180" s="31">
        <v>10.1</v>
      </c>
      <c r="N180" s="31">
        <v>10</v>
      </c>
      <c r="O180" s="31">
        <v>9.9</v>
      </c>
      <c r="P180" s="31">
        <v>9.8000000000000007</v>
      </c>
    </row>
    <row r="181" spans="1:16" ht="24.75" customHeight="1">
      <c r="A181" s="31" t="s">
        <v>179</v>
      </c>
      <c r="B181" s="31">
        <v>62</v>
      </c>
      <c r="C181" s="31">
        <v>13.41</v>
      </c>
      <c r="D181" s="31">
        <v>12.41</v>
      </c>
      <c r="E181" s="31">
        <v>11.61</v>
      </c>
      <c r="F181" s="31">
        <v>11.11</v>
      </c>
      <c r="G181" s="31">
        <v>10.71</v>
      </c>
      <c r="H181" s="31">
        <v>10.61</v>
      </c>
      <c r="I181" s="31">
        <v>10.51</v>
      </c>
      <c r="J181" s="31">
        <v>10.41</v>
      </c>
      <c r="K181" s="31">
        <v>10.31</v>
      </c>
      <c r="L181" s="31">
        <v>10.210000000000001</v>
      </c>
      <c r="M181" s="31">
        <v>10.11</v>
      </c>
      <c r="N181" s="31">
        <v>10.01</v>
      </c>
    </row>
    <row r="182" spans="1:16" ht="24.75" customHeight="1">
      <c r="A182" s="31" t="s">
        <v>179</v>
      </c>
      <c r="B182" s="31">
        <v>62</v>
      </c>
      <c r="C182" s="31">
        <v>13.6</v>
      </c>
      <c r="D182" s="31">
        <v>12.6</v>
      </c>
      <c r="E182" s="31">
        <v>11.8</v>
      </c>
      <c r="F182" s="31">
        <v>11.3</v>
      </c>
      <c r="G182" s="31">
        <v>10.9</v>
      </c>
      <c r="H182" s="31">
        <v>10.8</v>
      </c>
      <c r="I182" s="31">
        <v>10.7</v>
      </c>
      <c r="J182" s="31">
        <v>10.6</v>
      </c>
      <c r="K182" s="31">
        <v>10.5</v>
      </c>
      <c r="L182" s="31">
        <v>10.4</v>
      </c>
      <c r="M182" s="31">
        <v>10.3</v>
      </c>
      <c r="N182" s="31">
        <v>10.199999999999999</v>
      </c>
      <c r="O182" s="31">
        <v>10.1</v>
      </c>
      <c r="P182" s="31">
        <v>10</v>
      </c>
    </row>
    <row r="183" spans="1:16" ht="24.75" customHeight="1">
      <c r="A183" s="31" t="s">
        <v>179</v>
      </c>
      <c r="B183" s="31">
        <v>60</v>
      </c>
      <c r="C183" s="31">
        <v>13.61</v>
      </c>
      <c r="D183" s="31">
        <v>12.61</v>
      </c>
      <c r="E183" s="31">
        <v>11.81</v>
      </c>
      <c r="F183" s="31">
        <v>11.31</v>
      </c>
      <c r="G183" s="31">
        <v>10.91</v>
      </c>
      <c r="H183" s="31">
        <v>10.81</v>
      </c>
      <c r="I183" s="31">
        <v>10.71</v>
      </c>
      <c r="J183" s="31">
        <v>10.61</v>
      </c>
      <c r="K183" s="31">
        <v>10.51</v>
      </c>
      <c r="L183" s="31">
        <v>10.41</v>
      </c>
      <c r="M183" s="31">
        <v>10.31</v>
      </c>
      <c r="N183" s="31">
        <v>10.210000000000001</v>
      </c>
    </row>
    <row r="184" spans="1:16" ht="24.75" customHeight="1">
      <c r="A184" s="31" t="s">
        <v>179</v>
      </c>
      <c r="B184" s="31">
        <v>60</v>
      </c>
      <c r="C184" s="31">
        <v>13.8</v>
      </c>
      <c r="D184" s="31">
        <v>12.8</v>
      </c>
      <c r="E184" s="31">
        <v>12</v>
      </c>
      <c r="F184" s="31">
        <v>11.5</v>
      </c>
      <c r="G184" s="31">
        <v>11.1</v>
      </c>
      <c r="H184" s="31">
        <v>11</v>
      </c>
      <c r="I184" s="31">
        <v>10.9</v>
      </c>
      <c r="J184" s="31">
        <v>10.8</v>
      </c>
      <c r="K184" s="31">
        <v>10.7</v>
      </c>
      <c r="L184" s="31">
        <v>10.6</v>
      </c>
      <c r="M184" s="31">
        <v>10.5</v>
      </c>
      <c r="N184" s="31">
        <v>10.4</v>
      </c>
      <c r="O184" s="31">
        <v>10.3</v>
      </c>
      <c r="P184" s="31">
        <v>10.199999999999999</v>
      </c>
    </row>
    <row r="185" spans="1:16" ht="24.75" customHeight="1">
      <c r="A185" s="31" t="s">
        <v>178</v>
      </c>
      <c r="B185" s="31">
        <v>50</v>
      </c>
      <c r="C185" s="31">
        <v>13.81</v>
      </c>
      <c r="D185" s="31">
        <v>12.81</v>
      </c>
      <c r="E185" s="31">
        <v>12.01</v>
      </c>
      <c r="F185" s="31">
        <v>11.51</v>
      </c>
      <c r="G185" s="31">
        <v>11.11</v>
      </c>
      <c r="H185" s="31">
        <v>11.01</v>
      </c>
      <c r="I185" s="31">
        <v>10.91</v>
      </c>
      <c r="J185" s="31">
        <v>10.81</v>
      </c>
      <c r="K185" s="31">
        <v>10.71</v>
      </c>
      <c r="L185" s="31">
        <v>10.61</v>
      </c>
      <c r="M185" s="31">
        <v>10.51</v>
      </c>
      <c r="N185" s="31">
        <v>10.41</v>
      </c>
    </row>
    <row r="186" spans="1:16" ht="24.75" customHeight="1">
      <c r="A186" s="31" t="s">
        <v>178</v>
      </c>
      <c r="B186" s="31">
        <v>50</v>
      </c>
      <c r="C186" s="31">
        <v>14</v>
      </c>
      <c r="D186" s="31">
        <v>13</v>
      </c>
      <c r="E186" s="31">
        <v>12.2</v>
      </c>
      <c r="F186" s="31">
        <v>11.7</v>
      </c>
      <c r="G186" s="31">
        <v>11.3</v>
      </c>
      <c r="H186" s="31">
        <v>11.2</v>
      </c>
      <c r="I186" s="31">
        <v>11.1</v>
      </c>
      <c r="J186" s="31">
        <v>11</v>
      </c>
      <c r="K186" s="31">
        <v>10.9</v>
      </c>
      <c r="L186" s="31">
        <v>10.8</v>
      </c>
      <c r="M186" s="31">
        <v>10.7</v>
      </c>
      <c r="N186" s="31">
        <v>10.6</v>
      </c>
      <c r="O186" s="31">
        <v>10.5</v>
      </c>
      <c r="P186" s="31">
        <v>10.4</v>
      </c>
    </row>
    <row r="187" spans="1:16" ht="24.75" customHeight="1">
      <c r="A187" s="31" t="s">
        <v>178</v>
      </c>
      <c r="B187" s="31">
        <v>40</v>
      </c>
      <c r="C187" s="31">
        <v>14.01</v>
      </c>
      <c r="D187" s="31">
        <v>13.01</v>
      </c>
      <c r="E187" s="31">
        <v>12.21</v>
      </c>
      <c r="F187" s="31">
        <v>11.71</v>
      </c>
      <c r="G187" s="31">
        <v>11.31</v>
      </c>
      <c r="H187" s="31">
        <v>11.21</v>
      </c>
      <c r="I187" s="31">
        <v>11.11</v>
      </c>
      <c r="J187" s="31">
        <v>11.01</v>
      </c>
      <c r="K187" s="31">
        <v>10.91</v>
      </c>
      <c r="L187" s="31">
        <v>10.81</v>
      </c>
      <c r="M187" s="31">
        <v>10.71</v>
      </c>
      <c r="N187" s="31">
        <v>10.61</v>
      </c>
    </row>
    <row r="188" spans="1:16" ht="24.75" customHeight="1">
      <c r="A188" s="31" t="s">
        <v>178</v>
      </c>
      <c r="B188" s="31">
        <v>40</v>
      </c>
      <c r="C188" s="31">
        <v>14.2</v>
      </c>
      <c r="D188" s="31">
        <v>13.2</v>
      </c>
      <c r="E188" s="31">
        <v>12.4</v>
      </c>
      <c r="F188" s="31">
        <v>11.9</v>
      </c>
      <c r="G188" s="31">
        <v>11.5</v>
      </c>
      <c r="H188" s="31">
        <v>11.4</v>
      </c>
      <c r="I188" s="31">
        <v>11.3</v>
      </c>
      <c r="J188" s="31">
        <v>11.2</v>
      </c>
      <c r="K188" s="31">
        <v>11.1</v>
      </c>
      <c r="L188" s="31">
        <v>11</v>
      </c>
      <c r="M188" s="31">
        <v>10.9</v>
      </c>
      <c r="N188" s="31">
        <v>10.8</v>
      </c>
      <c r="O188" s="31">
        <v>10.7</v>
      </c>
      <c r="P188" s="31">
        <v>10.6</v>
      </c>
    </row>
    <row r="189" spans="1:16" ht="24.75" customHeight="1">
      <c r="A189" s="31" t="s">
        <v>178</v>
      </c>
      <c r="B189" s="31">
        <v>30</v>
      </c>
      <c r="C189" s="31">
        <v>14.21</v>
      </c>
      <c r="D189" s="31">
        <v>13.21</v>
      </c>
      <c r="E189" s="31">
        <v>12.41</v>
      </c>
      <c r="F189" s="31">
        <v>11.91</v>
      </c>
      <c r="G189" s="31">
        <v>11.51</v>
      </c>
      <c r="H189" s="31">
        <v>11.41</v>
      </c>
      <c r="I189" s="31">
        <v>11.31</v>
      </c>
      <c r="J189" s="31">
        <v>11.21</v>
      </c>
      <c r="K189" s="31">
        <v>11.11</v>
      </c>
      <c r="L189" s="31">
        <v>11.01</v>
      </c>
      <c r="M189" s="31">
        <v>10.91</v>
      </c>
      <c r="N189" s="31">
        <v>10.81</v>
      </c>
    </row>
    <row r="190" spans="1:16" ht="24.75" customHeight="1">
      <c r="A190" s="31" t="s">
        <v>178</v>
      </c>
      <c r="B190" s="31">
        <v>30</v>
      </c>
      <c r="C190" s="31">
        <v>14.4</v>
      </c>
      <c r="D190" s="31">
        <v>13.4</v>
      </c>
      <c r="E190" s="31">
        <v>12.6</v>
      </c>
      <c r="F190" s="31">
        <v>12.1</v>
      </c>
      <c r="G190" s="31">
        <v>11.7</v>
      </c>
      <c r="H190" s="31">
        <v>11.6</v>
      </c>
      <c r="I190" s="31">
        <v>11.5</v>
      </c>
      <c r="J190" s="31">
        <v>11.4</v>
      </c>
      <c r="K190" s="31">
        <v>11.3</v>
      </c>
      <c r="L190" s="31">
        <v>11.2</v>
      </c>
      <c r="M190" s="31">
        <v>11.1</v>
      </c>
      <c r="N190" s="31">
        <v>11</v>
      </c>
      <c r="O190" s="31">
        <v>10.9</v>
      </c>
      <c r="P190" s="31">
        <v>10.8</v>
      </c>
    </row>
    <row r="191" spans="1:16" ht="24.75" customHeight="1">
      <c r="A191" s="31" t="s">
        <v>178</v>
      </c>
      <c r="B191" s="31">
        <v>20</v>
      </c>
      <c r="C191" s="31">
        <v>14.41</v>
      </c>
      <c r="D191" s="31">
        <v>13.41</v>
      </c>
      <c r="E191" s="31">
        <v>12.61</v>
      </c>
      <c r="F191" s="31">
        <v>12.11</v>
      </c>
      <c r="G191" s="31">
        <v>11.71</v>
      </c>
      <c r="H191" s="31">
        <v>11.61</v>
      </c>
      <c r="I191" s="31">
        <v>11.51</v>
      </c>
      <c r="J191" s="31">
        <v>11.41</v>
      </c>
      <c r="K191" s="31">
        <v>11.31</v>
      </c>
      <c r="L191" s="31">
        <v>11.21</v>
      </c>
      <c r="M191" s="31">
        <v>11.11</v>
      </c>
      <c r="N191" s="31">
        <v>11.01</v>
      </c>
    </row>
    <row r="192" spans="1:16" ht="24.75" customHeight="1">
      <c r="A192" s="31" t="s">
        <v>178</v>
      </c>
      <c r="B192" s="31">
        <v>20</v>
      </c>
      <c r="C192" s="31">
        <v>14.6</v>
      </c>
      <c r="D192" s="31">
        <v>13.6</v>
      </c>
      <c r="E192" s="31">
        <v>12.8</v>
      </c>
      <c r="F192" s="31">
        <v>12.3</v>
      </c>
      <c r="G192" s="31">
        <v>11.9</v>
      </c>
      <c r="H192" s="31">
        <v>11.8</v>
      </c>
      <c r="I192" s="31">
        <v>11.7</v>
      </c>
      <c r="J192" s="31">
        <v>11.6</v>
      </c>
      <c r="K192" s="31">
        <v>11.5</v>
      </c>
      <c r="L192" s="31">
        <v>11.4</v>
      </c>
      <c r="M192" s="31">
        <v>11.3</v>
      </c>
      <c r="N192" s="31">
        <v>11.2</v>
      </c>
      <c r="O192" s="31">
        <v>11.1</v>
      </c>
      <c r="P192" s="31">
        <v>11</v>
      </c>
    </row>
    <row r="193" spans="1:16" ht="24.75" customHeight="1">
      <c r="A193" s="31" t="s">
        <v>178</v>
      </c>
      <c r="B193" s="31">
        <v>10</v>
      </c>
      <c r="C193" s="31">
        <v>14.61</v>
      </c>
      <c r="D193" s="31">
        <v>13.61</v>
      </c>
      <c r="E193" s="31">
        <v>12.81</v>
      </c>
      <c r="F193" s="31">
        <v>12.31</v>
      </c>
      <c r="G193" s="31">
        <v>11.91</v>
      </c>
      <c r="H193" s="31">
        <v>11.81</v>
      </c>
      <c r="I193" s="31">
        <v>11.71</v>
      </c>
      <c r="J193" s="31">
        <v>11.61</v>
      </c>
      <c r="K193" s="31">
        <v>11.51</v>
      </c>
      <c r="L193" s="31">
        <v>11.41</v>
      </c>
      <c r="M193" s="31">
        <v>11.31</v>
      </c>
      <c r="N193" s="31">
        <v>11.21</v>
      </c>
      <c r="O193" s="31">
        <v>11.11</v>
      </c>
      <c r="P193" s="31">
        <v>11.01</v>
      </c>
    </row>
    <row r="194" spans="1:16" ht="24.75" customHeight="1">
      <c r="A194" s="31" t="s">
        <v>178</v>
      </c>
      <c r="B194" s="31">
        <v>10</v>
      </c>
      <c r="C194" s="31">
        <v>14.8</v>
      </c>
      <c r="D194" s="31">
        <v>13.8</v>
      </c>
      <c r="E194" s="31">
        <v>13</v>
      </c>
      <c r="F194" s="31">
        <v>12.5</v>
      </c>
      <c r="G194" s="31">
        <v>12.1</v>
      </c>
      <c r="H194" s="31">
        <v>12</v>
      </c>
      <c r="I194" s="31">
        <v>11.9</v>
      </c>
      <c r="J194" s="31">
        <v>11.8</v>
      </c>
      <c r="K194" s="31">
        <v>11.7</v>
      </c>
      <c r="L194" s="31">
        <v>11.6</v>
      </c>
      <c r="M194" s="31">
        <v>11.5</v>
      </c>
      <c r="N194" s="31">
        <v>11.4</v>
      </c>
      <c r="O194" s="31">
        <v>11.3</v>
      </c>
      <c r="P194" s="31">
        <v>11.2</v>
      </c>
    </row>
    <row r="195" spans="1:16" ht="24.75" customHeight="1">
      <c r="A195" s="31" t="s">
        <v>178</v>
      </c>
      <c r="B195" s="31">
        <v>0</v>
      </c>
      <c r="C195" s="31">
        <v>14.81</v>
      </c>
      <c r="D195" s="31">
        <v>13.81</v>
      </c>
      <c r="E195" s="31">
        <v>13.01</v>
      </c>
      <c r="F195" s="31">
        <v>12.51</v>
      </c>
      <c r="G195" s="31">
        <v>12.11</v>
      </c>
      <c r="H195" s="31">
        <v>12.01</v>
      </c>
      <c r="I195" s="31">
        <v>11.91</v>
      </c>
      <c r="J195" s="31">
        <v>11.81</v>
      </c>
      <c r="K195" s="31">
        <v>11.71</v>
      </c>
      <c r="L195" s="31">
        <v>11.61</v>
      </c>
      <c r="M195" s="31">
        <v>11.51</v>
      </c>
      <c r="N195" s="31">
        <v>11.41</v>
      </c>
    </row>
    <row r="196" spans="1:16" ht="24.75" customHeight="1">
      <c r="A196" s="31" t="s">
        <v>178</v>
      </c>
      <c r="B196" s="31">
        <v>0</v>
      </c>
      <c r="C196" s="31">
        <v>20</v>
      </c>
      <c r="D196" s="31">
        <v>20</v>
      </c>
      <c r="E196" s="31">
        <v>20</v>
      </c>
      <c r="F196" s="31">
        <v>20</v>
      </c>
      <c r="G196" s="31">
        <v>20</v>
      </c>
      <c r="H196" s="31">
        <v>20</v>
      </c>
      <c r="I196" s="31">
        <v>20</v>
      </c>
      <c r="J196" s="31">
        <v>20</v>
      </c>
      <c r="K196" s="31">
        <v>20</v>
      </c>
      <c r="L196" s="31">
        <v>20</v>
      </c>
      <c r="M196" s="31">
        <v>20</v>
      </c>
      <c r="N196" s="31">
        <v>20</v>
      </c>
    </row>
    <row r="197" spans="1:16" ht="24.75" customHeight="1">
      <c r="A197" s="31" t="s">
        <v>188</v>
      </c>
    </row>
    <row r="198" spans="1:16" ht="24.75" customHeight="1">
      <c r="A198" s="35" t="s">
        <v>163</v>
      </c>
      <c r="B198" s="31" t="s">
        <v>164</v>
      </c>
      <c r="C198" s="35" t="s">
        <v>165</v>
      </c>
      <c r="D198" s="35" t="s">
        <v>166</v>
      </c>
      <c r="E198" s="35" t="s">
        <v>167</v>
      </c>
      <c r="F198" s="35" t="s">
        <v>168</v>
      </c>
      <c r="G198" s="35" t="s">
        <v>169</v>
      </c>
      <c r="H198" s="35" t="s">
        <v>170</v>
      </c>
      <c r="I198" s="35" t="s">
        <v>171</v>
      </c>
      <c r="J198" s="35" t="s">
        <v>172</v>
      </c>
      <c r="K198" s="35" t="s">
        <v>173</v>
      </c>
      <c r="L198" s="35" t="s">
        <v>174</v>
      </c>
      <c r="M198" s="35" t="s">
        <v>175</v>
      </c>
      <c r="N198" s="35" t="s">
        <v>176</v>
      </c>
      <c r="O198" s="31" t="s">
        <v>240</v>
      </c>
      <c r="P198" s="31" t="s">
        <v>241</v>
      </c>
    </row>
    <row r="199" spans="1:16" ht="24.75" customHeight="1">
      <c r="A199" s="35"/>
      <c r="B199" s="31" t="s">
        <v>177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1" t="s">
        <v>242</v>
      </c>
      <c r="P199" s="31" t="s">
        <v>243</v>
      </c>
    </row>
    <row r="200" spans="1:16" ht="24.75" customHeight="1">
      <c r="A200" s="31" t="s">
        <v>181</v>
      </c>
      <c r="B200" s="31">
        <v>100</v>
      </c>
      <c r="C200" s="31">
        <v>30</v>
      </c>
      <c r="D200" s="31">
        <v>30</v>
      </c>
      <c r="E200" s="31">
        <v>30</v>
      </c>
      <c r="F200" s="31">
        <v>30</v>
      </c>
      <c r="G200" s="31">
        <v>30</v>
      </c>
      <c r="H200" s="31">
        <v>30</v>
      </c>
      <c r="I200" s="31">
        <v>30</v>
      </c>
      <c r="J200" s="31">
        <v>30</v>
      </c>
      <c r="K200" s="31">
        <v>30</v>
      </c>
      <c r="L200" s="31">
        <v>30</v>
      </c>
      <c r="M200" s="31">
        <v>30</v>
      </c>
      <c r="N200" s="31">
        <v>30</v>
      </c>
    </row>
    <row r="201" spans="1:16" ht="24.75" customHeight="1">
      <c r="A201" s="31" t="s">
        <v>181</v>
      </c>
      <c r="B201" s="31">
        <v>100</v>
      </c>
      <c r="C201" s="31">
        <v>16.100000000000001</v>
      </c>
      <c r="D201" s="31">
        <v>16.2</v>
      </c>
      <c r="E201" s="31">
        <v>16.3</v>
      </c>
      <c r="F201" s="31">
        <v>16.399999999999999</v>
      </c>
      <c r="G201" s="31">
        <v>16.5</v>
      </c>
      <c r="H201" s="31">
        <v>16.600000000000001</v>
      </c>
      <c r="I201" s="31">
        <v>17.600000000000001</v>
      </c>
      <c r="J201" s="31">
        <v>19.600000000000001</v>
      </c>
      <c r="K201" s="31">
        <v>21.6</v>
      </c>
      <c r="L201" s="31">
        <v>23.6</v>
      </c>
      <c r="M201" s="31">
        <v>24.3</v>
      </c>
      <c r="N201" s="31">
        <v>24.6</v>
      </c>
      <c r="O201" s="31">
        <v>24.9</v>
      </c>
      <c r="P201" s="31">
        <v>25.1</v>
      </c>
    </row>
    <row r="202" spans="1:16" ht="24.75" customHeight="1">
      <c r="A202" s="31" t="s">
        <v>181</v>
      </c>
      <c r="B202" s="31">
        <v>95</v>
      </c>
      <c r="C202" s="31">
        <v>16.09</v>
      </c>
      <c r="D202" s="31">
        <v>16.190000000000001</v>
      </c>
      <c r="E202" s="31">
        <v>16.29</v>
      </c>
      <c r="F202" s="31">
        <v>16.39</v>
      </c>
      <c r="G202" s="31">
        <v>16.489999999999998</v>
      </c>
      <c r="H202" s="31">
        <v>16.59</v>
      </c>
      <c r="I202" s="31">
        <v>17.59</v>
      </c>
      <c r="J202" s="31">
        <v>19.59</v>
      </c>
      <c r="K202" s="31">
        <v>21.59</v>
      </c>
      <c r="L202" s="31">
        <v>23.59</v>
      </c>
      <c r="M202" s="31">
        <v>24.29</v>
      </c>
      <c r="N202" s="31">
        <v>24.59</v>
      </c>
    </row>
    <row r="203" spans="1:16" ht="24.75" customHeight="1">
      <c r="A203" s="31" t="s">
        <v>181</v>
      </c>
      <c r="B203" s="31">
        <v>95</v>
      </c>
      <c r="C203" s="31">
        <v>14.6</v>
      </c>
      <c r="D203" s="31">
        <v>14.7</v>
      </c>
      <c r="E203" s="31">
        <v>14.9</v>
      </c>
      <c r="F203" s="31">
        <v>15</v>
      </c>
      <c r="G203" s="31">
        <v>15.2</v>
      </c>
      <c r="H203" s="31">
        <v>15.3</v>
      </c>
      <c r="I203" s="31">
        <v>15.9</v>
      </c>
      <c r="J203" s="31">
        <v>17.7</v>
      </c>
      <c r="K203" s="31">
        <v>19.7</v>
      </c>
      <c r="L203" s="31">
        <v>21.5</v>
      </c>
      <c r="M203" s="31">
        <v>22.4</v>
      </c>
      <c r="N203" s="31">
        <v>22.8</v>
      </c>
      <c r="O203" s="31">
        <v>23.1</v>
      </c>
      <c r="P203" s="31">
        <v>23.3</v>
      </c>
    </row>
    <row r="204" spans="1:16" ht="24.75" customHeight="1">
      <c r="A204" s="31" t="s">
        <v>181</v>
      </c>
      <c r="B204" s="31">
        <v>90</v>
      </c>
      <c r="C204" s="31">
        <v>14.58</v>
      </c>
      <c r="D204" s="31">
        <v>14.69</v>
      </c>
      <c r="E204" s="31">
        <v>14.89</v>
      </c>
      <c r="F204" s="31">
        <v>14.99</v>
      </c>
      <c r="G204" s="31">
        <v>15.19</v>
      </c>
      <c r="H204" s="31">
        <v>15.29</v>
      </c>
      <c r="I204" s="31">
        <v>15.89</v>
      </c>
      <c r="J204" s="31">
        <v>17.690000000000001</v>
      </c>
      <c r="K204" s="31">
        <v>19.690000000000001</v>
      </c>
      <c r="L204" s="31">
        <v>21.49</v>
      </c>
      <c r="M204" s="31">
        <v>22.39</v>
      </c>
      <c r="N204" s="31">
        <v>22.79</v>
      </c>
    </row>
    <row r="205" spans="1:16" ht="24.75" customHeight="1">
      <c r="A205" s="31" t="s">
        <v>181</v>
      </c>
      <c r="B205" s="31">
        <v>90</v>
      </c>
      <c r="C205" s="31">
        <v>13</v>
      </c>
      <c r="D205" s="31">
        <v>13.2</v>
      </c>
      <c r="E205" s="31">
        <v>13.4</v>
      </c>
      <c r="F205" s="31">
        <v>13.6</v>
      </c>
      <c r="G205" s="31">
        <v>13.8</v>
      </c>
      <c r="H205" s="31">
        <v>14</v>
      </c>
      <c r="I205" s="31">
        <v>14.2</v>
      </c>
      <c r="J205" s="31">
        <v>15.8</v>
      </c>
      <c r="K205" s="31">
        <v>17.8</v>
      </c>
      <c r="L205" s="31">
        <v>19.399999999999999</v>
      </c>
      <c r="M205" s="31">
        <v>20.5</v>
      </c>
      <c r="N205" s="31">
        <v>21</v>
      </c>
      <c r="O205" s="31">
        <v>21.3</v>
      </c>
      <c r="P205" s="31">
        <v>21.5</v>
      </c>
    </row>
    <row r="206" spans="1:16" ht="24.75" customHeight="1">
      <c r="A206" s="31" t="s">
        <v>180</v>
      </c>
      <c r="B206" s="31">
        <v>85</v>
      </c>
      <c r="C206" s="31">
        <v>12.99</v>
      </c>
      <c r="D206" s="31">
        <v>13.19</v>
      </c>
      <c r="E206" s="31">
        <v>13.39</v>
      </c>
      <c r="F206" s="31">
        <v>13.59</v>
      </c>
      <c r="G206" s="31">
        <v>13.79</v>
      </c>
      <c r="H206" s="31">
        <v>13.99</v>
      </c>
      <c r="I206" s="31">
        <v>14.19</v>
      </c>
      <c r="J206" s="31">
        <v>15.79</v>
      </c>
      <c r="K206" s="31">
        <v>17.79</v>
      </c>
      <c r="L206" s="31">
        <v>19.39</v>
      </c>
      <c r="M206" s="31">
        <v>20.49</v>
      </c>
      <c r="N206" s="31">
        <v>20.99</v>
      </c>
    </row>
    <row r="207" spans="1:16" ht="24.75" customHeight="1">
      <c r="A207" s="31" t="s">
        <v>180</v>
      </c>
      <c r="B207" s="31">
        <v>85</v>
      </c>
      <c r="C207" s="31">
        <v>12</v>
      </c>
      <c r="D207" s="31">
        <v>11.9</v>
      </c>
      <c r="E207" s="31">
        <v>11.8</v>
      </c>
      <c r="F207" s="31">
        <v>11.7</v>
      </c>
      <c r="G207" s="31">
        <v>11.6</v>
      </c>
      <c r="H207" s="31">
        <v>11.5</v>
      </c>
      <c r="I207" s="31">
        <v>12.3</v>
      </c>
      <c r="J207" s="31">
        <v>13.7</v>
      </c>
      <c r="K207" s="31">
        <v>15.8</v>
      </c>
      <c r="L207" s="31">
        <v>17.2</v>
      </c>
      <c r="M207" s="31">
        <v>18.3</v>
      </c>
      <c r="N207" s="31">
        <v>19.100000000000001</v>
      </c>
      <c r="O207" s="31">
        <v>19.5</v>
      </c>
      <c r="P207" s="31">
        <v>19.899999999999999</v>
      </c>
    </row>
    <row r="208" spans="1:16" ht="24.75" customHeight="1">
      <c r="A208" s="31" t="s">
        <v>180</v>
      </c>
      <c r="B208" s="31">
        <v>80</v>
      </c>
      <c r="C208" s="31">
        <v>11.99</v>
      </c>
      <c r="D208" s="31">
        <v>11.89</v>
      </c>
      <c r="E208" s="31">
        <v>11.79</v>
      </c>
      <c r="F208" s="31">
        <v>11.69</v>
      </c>
      <c r="G208" s="31">
        <v>11.59</v>
      </c>
      <c r="H208" s="31">
        <v>11.49</v>
      </c>
      <c r="I208" s="31">
        <v>12.29</v>
      </c>
      <c r="J208" s="31">
        <v>13.69</v>
      </c>
      <c r="K208" s="31">
        <v>15.79</v>
      </c>
      <c r="L208" s="31">
        <v>17.190000000000001</v>
      </c>
      <c r="M208" s="31">
        <v>18.29</v>
      </c>
      <c r="N208" s="31">
        <v>19.09</v>
      </c>
    </row>
    <row r="209" spans="1:16" ht="24.75" customHeight="1">
      <c r="A209" s="31" t="s">
        <v>180</v>
      </c>
      <c r="B209" s="31">
        <v>80</v>
      </c>
      <c r="C209" s="31">
        <v>11</v>
      </c>
      <c r="D209" s="31">
        <v>10.6</v>
      </c>
      <c r="E209" s="31">
        <v>10.199999999999999</v>
      </c>
      <c r="F209" s="31">
        <v>9.8000000000000007</v>
      </c>
      <c r="G209" s="31">
        <v>9.4</v>
      </c>
      <c r="H209" s="31">
        <v>9</v>
      </c>
      <c r="I209" s="31">
        <v>10.4</v>
      </c>
      <c r="J209" s="31">
        <v>11.6</v>
      </c>
      <c r="K209" s="31">
        <v>13.8</v>
      </c>
      <c r="L209" s="31">
        <v>15</v>
      </c>
      <c r="M209" s="31">
        <v>16.100000000000001</v>
      </c>
      <c r="N209" s="31">
        <v>17.2</v>
      </c>
      <c r="O209" s="31">
        <v>17.7</v>
      </c>
      <c r="P209" s="31">
        <v>18.2</v>
      </c>
    </row>
    <row r="210" spans="1:16" ht="24.75" customHeight="1">
      <c r="A210" s="31" t="s">
        <v>179</v>
      </c>
      <c r="B210" s="31">
        <v>78</v>
      </c>
      <c r="C210" s="31">
        <v>10.99</v>
      </c>
      <c r="D210" s="31">
        <v>10.59</v>
      </c>
      <c r="E210" s="31">
        <v>10.19</v>
      </c>
      <c r="F210" s="31">
        <v>9.7899999999999991</v>
      </c>
      <c r="G210" s="31">
        <v>9.39</v>
      </c>
      <c r="H210" s="31">
        <v>8.99</v>
      </c>
      <c r="I210" s="31">
        <v>10.39</v>
      </c>
      <c r="J210" s="31">
        <v>11.59</v>
      </c>
      <c r="K210" s="31">
        <v>13.79</v>
      </c>
      <c r="L210" s="31">
        <v>14.99</v>
      </c>
      <c r="M210" s="31">
        <v>16.09</v>
      </c>
      <c r="N210" s="31">
        <v>17.190000000000001</v>
      </c>
    </row>
    <row r="211" spans="1:16" ht="24.75" customHeight="1">
      <c r="A211" s="31" t="s">
        <v>179</v>
      </c>
      <c r="B211" s="31">
        <v>78</v>
      </c>
      <c r="C211" s="31">
        <v>9.9</v>
      </c>
      <c r="D211" s="31">
        <v>9.5</v>
      </c>
      <c r="E211" s="31">
        <v>9.1</v>
      </c>
      <c r="F211" s="31">
        <v>8.6</v>
      </c>
      <c r="G211" s="31">
        <v>8.1999999999999993</v>
      </c>
      <c r="H211" s="31">
        <v>7.7</v>
      </c>
      <c r="I211" s="31">
        <v>9.1</v>
      </c>
      <c r="J211" s="31">
        <v>10.3</v>
      </c>
      <c r="K211" s="31">
        <v>12.4</v>
      </c>
      <c r="L211" s="31">
        <v>13.6</v>
      </c>
      <c r="M211" s="31">
        <v>14.7</v>
      </c>
      <c r="N211" s="31">
        <v>15.8</v>
      </c>
      <c r="O211" s="31">
        <v>16.3</v>
      </c>
      <c r="P211" s="31">
        <v>16.8</v>
      </c>
    </row>
    <row r="212" spans="1:16" ht="24.75" customHeight="1">
      <c r="A212" s="31" t="s">
        <v>179</v>
      </c>
      <c r="B212" s="31">
        <v>76</v>
      </c>
      <c r="C212" s="31">
        <v>9.89</v>
      </c>
      <c r="D212" s="31">
        <v>9.49</v>
      </c>
      <c r="E212" s="31">
        <v>9.09</v>
      </c>
      <c r="F212" s="31">
        <v>8.59</v>
      </c>
      <c r="G212" s="31">
        <v>8.19</v>
      </c>
      <c r="H212" s="31">
        <v>7.69</v>
      </c>
      <c r="I212" s="31">
        <v>9.09</v>
      </c>
      <c r="J212" s="31">
        <v>10.29</v>
      </c>
      <c r="K212" s="31">
        <v>12.39</v>
      </c>
      <c r="L212" s="31">
        <v>13.59</v>
      </c>
      <c r="M212" s="31">
        <v>14.69</v>
      </c>
      <c r="N212" s="31">
        <v>15.79</v>
      </c>
    </row>
    <row r="213" spans="1:16" ht="24.75" customHeight="1">
      <c r="A213" s="31" t="s">
        <v>179</v>
      </c>
      <c r="B213" s="31">
        <v>76</v>
      </c>
      <c r="C213" s="31">
        <v>8.8000000000000007</v>
      </c>
      <c r="D213" s="31">
        <v>8.4</v>
      </c>
      <c r="E213" s="31">
        <v>8</v>
      </c>
      <c r="F213" s="31">
        <v>7.4</v>
      </c>
      <c r="G213" s="31">
        <v>7</v>
      </c>
      <c r="H213" s="31">
        <v>6.4</v>
      </c>
      <c r="I213" s="31">
        <v>7.8</v>
      </c>
      <c r="J213" s="31">
        <v>9</v>
      </c>
      <c r="K213" s="31">
        <v>11</v>
      </c>
      <c r="L213" s="31">
        <v>12.2</v>
      </c>
      <c r="M213" s="31">
        <v>13.3</v>
      </c>
      <c r="N213" s="31">
        <v>14.4</v>
      </c>
      <c r="O213" s="31">
        <v>14.9</v>
      </c>
      <c r="P213" s="31">
        <v>15.4</v>
      </c>
    </row>
    <row r="214" spans="1:16" ht="24.75" customHeight="1">
      <c r="A214" s="31" t="s">
        <v>179</v>
      </c>
      <c r="B214" s="31">
        <v>74</v>
      </c>
      <c r="C214" s="31">
        <v>8.7899999999999991</v>
      </c>
      <c r="D214" s="31">
        <v>8.39</v>
      </c>
      <c r="E214" s="31">
        <v>7.99</v>
      </c>
      <c r="F214" s="31">
        <v>7.39</v>
      </c>
      <c r="G214" s="31">
        <v>6.99</v>
      </c>
      <c r="H214" s="31">
        <v>6.39</v>
      </c>
      <c r="I214" s="31">
        <v>7.79</v>
      </c>
      <c r="J214" s="31">
        <v>8.99</v>
      </c>
      <c r="K214" s="31">
        <v>10.99</v>
      </c>
      <c r="L214" s="31">
        <v>12.19</v>
      </c>
      <c r="M214" s="31">
        <v>13.29</v>
      </c>
      <c r="N214" s="31">
        <v>14.39</v>
      </c>
    </row>
    <row r="215" spans="1:16" ht="24.75" customHeight="1">
      <c r="A215" s="31" t="s">
        <v>179</v>
      </c>
      <c r="B215" s="31">
        <v>74</v>
      </c>
      <c r="C215" s="31">
        <v>7.7</v>
      </c>
      <c r="D215" s="31">
        <v>7.3</v>
      </c>
      <c r="E215" s="31">
        <v>6.9</v>
      </c>
      <c r="F215" s="31">
        <v>6.2</v>
      </c>
      <c r="G215" s="31">
        <v>5.8</v>
      </c>
      <c r="H215" s="31">
        <v>5.0999999999999996</v>
      </c>
      <c r="I215" s="31">
        <v>6.5</v>
      </c>
      <c r="J215" s="31">
        <v>7.7</v>
      </c>
      <c r="K215" s="31">
        <v>9.6</v>
      </c>
      <c r="L215" s="31">
        <v>10.8</v>
      </c>
      <c r="M215" s="31">
        <v>11.9</v>
      </c>
      <c r="N215" s="31">
        <v>13</v>
      </c>
      <c r="O215" s="31">
        <v>13.5</v>
      </c>
      <c r="P215" s="31">
        <v>14</v>
      </c>
    </row>
    <row r="216" spans="1:16" ht="24.75" customHeight="1">
      <c r="A216" s="31" t="s">
        <v>179</v>
      </c>
      <c r="B216" s="31">
        <v>72</v>
      </c>
      <c r="C216" s="31">
        <v>7.69</v>
      </c>
      <c r="D216" s="31">
        <v>7.29</v>
      </c>
      <c r="E216" s="31">
        <v>6.89</v>
      </c>
      <c r="F216" s="31">
        <v>6.19</v>
      </c>
      <c r="G216" s="31">
        <v>5.79</v>
      </c>
      <c r="H216" s="31">
        <v>5.09</v>
      </c>
      <c r="I216" s="31">
        <v>6.49</v>
      </c>
      <c r="J216" s="31">
        <v>7.69</v>
      </c>
      <c r="K216" s="31">
        <v>9.59</v>
      </c>
      <c r="L216" s="31">
        <v>10.79</v>
      </c>
      <c r="M216" s="31">
        <v>11.89</v>
      </c>
      <c r="N216" s="31">
        <v>12.99</v>
      </c>
    </row>
    <row r="217" spans="1:16" ht="24.75" customHeight="1">
      <c r="A217" s="31" t="s">
        <v>179</v>
      </c>
      <c r="B217" s="31">
        <v>72</v>
      </c>
      <c r="C217" s="31">
        <v>6.6</v>
      </c>
      <c r="D217" s="31">
        <v>6.2</v>
      </c>
      <c r="E217" s="31">
        <v>5.8</v>
      </c>
      <c r="F217" s="31">
        <v>5</v>
      </c>
      <c r="G217" s="31">
        <v>4.5999999999999996</v>
      </c>
      <c r="H217" s="31">
        <v>3.8</v>
      </c>
      <c r="I217" s="31">
        <v>5.2</v>
      </c>
      <c r="J217" s="31">
        <v>6.4</v>
      </c>
      <c r="K217" s="31">
        <v>8.1999999999999993</v>
      </c>
      <c r="L217" s="31">
        <v>9.4</v>
      </c>
      <c r="M217" s="31">
        <v>10.5</v>
      </c>
      <c r="N217" s="31">
        <v>11.6</v>
      </c>
      <c r="O217" s="31">
        <v>12.1</v>
      </c>
      <c r="P217" s="31">
        <v>12.6</v>
      </c>
    </row>
    <row r="218" spans="1:16" ht="24.75" customHeight="1">
      <c r="A218" s="31" t="s">
        <v>179</v>
      </c>
      <c r="B218" s="31">
        <v>70</v>
      </c>
      <c r="C218" s="31">
        <v>6.59</v>
      </c>
      <c r="D218" s="31">
        <v>6.19</v>
      </c>
      <c r="E218" s="31">
        <v>5.79</v>
      </c>
      <c r="F218" s="31">
        <v>4.99</v>
      </c>
      <c r="G218" s="31">
        <v>4.59</v>
      </c>
      <c r="H218" s="31">
        <v>3.79</v>
      </c>
      <c r="I218" s="31">
        <v>5.19</v>
      </c>
      <c r="J218" s="31">
        <v>6.39</v>
      </c>
      <c r="K218" s="31">
        <v>8.19</v>
      </c>
      <c r="L218" s="31">
        <v>9.39</v>
      </c>
      <c r="M218" s="31">
        <v>10.49</v>
      </c>
      <c r="N218" s="31">
        <v>11.59</v>
      </c>
    </row>
    <row r="219" spans="1:16" ht="24.75" customHeight="1">
      <c r="A219" s="31" t="s">
        <v>179</v>
      </c>
      <c r="B219" s="31">
        <v>70</v>
      </c>
      <c r="C219" s="31">
        <v>5.5</v>
      </c>
      <c r="D219" s="31">
        <v>5.0999999999999996</v>
      </c>
      <c r="E219" s="31">
        <v>4.7</v>
      </c>
      <c r="F219" s="31">
        <v>3.8</v>
      </c>
      <c r="G219" s="31">
        <v>3.4</v>
      </c>
      <c r="H219" s="31">
        <v>2.5</v>
      </c>
      <c r="I219" s="31">
        <v>3.9</v>
      </c>
      <c r="J219" s="31">
        <v>5.0999999999999996</v>
      </c>
      <c r="K219" s="31">
        <v>6.8</v>
      </c>
      <c r="L219" s="31">
        <v>8</v>
      </c>
      <c r="M219" s="31">
        <v>9.1</v>
      </c>
      <c r="N219" s="31">
        <v>10.199999999999999</v>
      </c>
      <c r="O219" s="31">
        <v>10.7</v>
      </c>
      <c r="P219" s="31">
        <v>11.2</v>
      </c>
    </row>
    <row r="220" spans="1:16" ht="24.75" customHeight="1">
      <c r="A220" s="31" t="s">
        <v>179</v>
      </c>
      <c r="B220" s="31">
        <v>68</v>
      </c>
      <c r="C220" s="31">
        <v>5.49</v>
      </c>
      <c r="D220" s="31">
        <v>5.09</v>
      </c>
      <c r="E220" s="31">
        <v>4.6900000000000004</v>
      </c>
      <c r="F220" s="31">
        <v>3.79</v>
      </c>
      <c r="G220" s="31">
        <v>3.39</v>
      </c>
      <c r="H220" s="31">
        <v>2.4900000000000002</v>
      </c>
      <c r="I220" s="31">
        <v>3.89</v>
      </c>
      <c r="J220" s="31">
        <v>5.09</v>
      </c>
      <c r="K220" s="31">
        <v>6.79</v>
      </c>
      <c r="L220" s="31">
        <v>7.99</v>
      </c>
      <c r="M220" s="31">
        <v>9.09</v>
      </c>
      <c r="N220" s="31">
        <v>10.19</v>
      </c>
    </row>
    <row r="221" spans="1:16" ht="24.75" customHeight="1">
      <c r="A221" s="31" t="s">
        <v>179</v>
      </c>
      <c r="B221" s="31">
        <v>68</v>
      </c>
      <c r="C221" s="31">
        <v>4.4000000000000004</v>
      </c>
      <c r="D221" s="31">
        <v>4</v>
      </c>
      <c r="E221" s="31">
        <v>3.6</v>
      </c>
      <c r="F221" s="31">
        <v>2.6</v>
      </c>
      <c r="G221" s="31">
        <v>2.2000000000000002</v>
      </c>
      <c r="H221" s="31">
        <v>1.2</v>
      </c>
      <c r="I221" s="31">
        <v>2.6</v>
      </c>
      <c r="J221" s="31">
        <v>3.8</v>
      </c>
      <c r="K221" s="31">
        <v>5.4</v>
      </c>
      <c r="L221" s="31">
        <v>6.6</v>
      </c>
      <c r="M221" s="31">
        <v>7.7</v>
      </c>
      <c r="N221" s="31">
        <v>8.8000000000000007</v>
      </c>
      <c r="O221" s="31">
        <v>9.3000000000000007</v>
      </c>
      <c r="P221" s="31">
        <v>9.8000000000000007</v>
      </c>
    </row>
    <row r="222" spans="1:16" ht="24.75" customHeight="1">
      <c r="A222" s="31" t="s">
        <v>179</v>
      </c>
      <c r="B222" s="31">
        <v>66</v>
      </c>
      <c r="C222" s="31">
        <v>4.3899999999999997</v>
      </c>
      <c r="D222" s="31">
        <v>3.99</v>
      </c>
      <c r="E222" s="31">
        <v>3.59</v>
      </c>
      <c r="F222" s="31">
        <v>2.59</v>
      </c>
      <c r="G222" s="31">
        <v>2.19</v>
      </c>
      <c r="H222" s="31">
        <v>1.19</v>
      </c>
      <c r="I222" s="31">
        <v>2.59</v>
      </c>
      <c r="J222" s="31">
        <v>3.79</v>
      </c>
      <c r="K222" s="31">
        <v>5.39</v>
      </c>
      <c r="L222" s="31">
        <v>6.59</v>
      </c>
      <c r="M222" s="31">
        <v>7.69</v>
      </c>
      <c r="N222" s="31">
        <v>8.7899999999999991</v>
      </c>
    </row>
    <row r="223" spans="1:16" ht="24.75" customHeight="1">
      <c r="A223" s="31" t="s">
        <v>179</v>
      </c>
      <c r="B223" s="31">
        <v>66</v>
      </c>
      <c r="C223" s="31">
        <v>3.3</v>
      </c>
      <c r="D223" s="31">
        <v>2.9</v>
      </c>
      <c r="E223" s="31">
        <v>2.5</v>
      </c>
      <c r="F223" s="31">
        <v>1.4</v>
      </c>
      <c r="G223" s="31">
        <v>1</v>
      </c>
      <c r="H223" s="31">
        <v>-0.1</v>
      </c>
      <c r="I223" s="31">
        <v>1.3</v>
      </c>
      <c r="J223" s="31">
        <v>2.5</v>
      </c>
      <c r="K223" s="31">
        <v>4</v>
      </c>
      <c r="L223" s="31">
        <v>5.2</v>
      </c>
      <c r="M223" s="31">
        <v>6.3</v>
      </c>
      <c r="N223" s="31">
        <v>7.4</v>
      </c>
      <c r="O223" s="31">
        <v>7.9</v>
      </c>
      <c r="P223" s="31">
        <v>8.4</v>
      </c>
    </row>
    <row r="224" spans="1:16" ht="24.75" customHeight="1">
      <c r="A224" s="31" t="s">
        <v>179</v>
      </c>
      <c r="B224" s="31">
        <v>64</v>
      </c>
      <c r="C224" s="31">
        <v>3.29</v>
      </c>
      <c r="D224" s="31">
        <v>2.89</v>
      </c>
      <c r="E224" s="31">
        <v>2.4900000000000002</v>
      </c>
      <c r="F224" s="31">
        <v>1.39</v>
      </c>
      <c r="G224" s="31">
        <v>0.99</v>
      </c>
      <c r="H224" s="31">
        <v>-0.11</v>
      </c>
      <c r="I224" s="31">
        <v>1.29</v>
      </c>
      <c r="J224" s="31">
        <v>2.4900000000000002</v>
      </c>
      <c r="K224" s="31">
        <v>3.99</v>
      </c>
      <c r="L224" s="31">
        <v>5.19</v>
      </c>
      <c r="M224" s="31">
        <v>6.29</v>
      </c>
      <c r="N224" s="31">
        <v>7.39</v>
      </c>
    </row>
    <row r="225" spans="1:16" ht="24.75" customHeight="1">
      <c r="A225" s="31" t="s">
        <v>179</v>
      </c>
      <c r="B225" s="31">
        <v>64</v>
      </c>
      <c r="C225" s="31">
        <v>2.2000000000000002</v>
      </c>
      <c r="D225" s="31">
        <v>1.8</v>
      </c>
      <c r="E225" s="31">
        <v>1.4</v>
      </c>
      <c r="F225" s="31">
        <v>0.2</v>
      </c>
      <c r="G225" s="31">
        <v>-0.2</v>
      </c>
      <c r="H225" s="31">
        <v>-1.4</v>
      </c>
      <c r="I225" s="31">
        <v>0</v>
      </c>
      <c r="J225" s="31">
        <v>1.2</v>
      </c>
      <c r="K225" s="31">
        <v>2.6</v>
      </c>
      <c r="L225" s="31">
        <v>3.8</v>
      </c>
      <c r="M225" s="31">
        <v>4.9000000000000004</v>
      </c>
      <c r="N225" s="31">
        <v>6</v>
      </c>
      <c r="O225" s="31">
        <v>6.5</v>
      </c>
      <c r="P225" s="31">
        <v>7</v>
      </c>
    </row>
    <row r="226" spans="1:16" ht="24.75" customHeight="1">
      <c r="A226" s="31" t="s">
        <v>179</v>
      </c>
      <c r="B226" s="31">
        <v>62</v>
      </c>
      <c r="C226" s="31">
        <v>2.19</v>
      </c>
      <c r="D226" s="31">
        <v>1.79</v>
      </c>
      <c r="E226" s="31">
        <v>1.39</v>
      </c>
      <c r="F226" s="31">
        <v>0.19</v>
      </c>
      <c r="G226" s="31">
        <v>-0.21</v>
      </c>
      <c r="H226" s="31">
        <v>-1.41</v>
      </c>
      <c r="I226" s="31">
        <v>-0.99</v>
      </c>
      <c r="J226" s="31">
        <v>1.19</v>
      </c>
      <c r="K226" s="31">
        <v>2.59</v>
      </c>
      <c r="L226" s="31">
        <v>3.79</v>
      </c>
      <c r="M226" s="31">
        <v>4.8899999999999997</v>
      </c>
      <c r="N226" s="31">
        <v>5.99</v>
      </c>
    </row>
    <row r="227" spans="1:16" ht="24.75" customHeight="1">
      <c r="A227" s="31" t="s">
        <v>179</v>
      </c>
      <c r="B227" s="31">
        <v>62</v>
      </c>
      <c r="C227" s="31">
        <v>1.1000000000000001</v>
      </c>
      <c r="D227" s="31">
        <v>0.7</v>
      </c>
      <c r="E227" s="31">
        <v>0.3</v>
      </c>
      <c r="F227" s="31">
        <v>-1</v>
      </c>
      <c r="G227" s="31">
        <v>-1.4</v>
      </c>
      <c r="H227" s="31">
        <v>-2.7</v>
      </c>
      <c r="I227" s="31">
        <v>-1.3</v>
      </c>
      <c r="J227" s="31">
        <v>-0.1</v>
      </c>
      <c r="K227" s="31">
        <v>1.2</v>
      </c>
      <c r="L227" s="31">
        <v>2.4</v>
      </c>
      <c r="M227" s="31">
        <v>3.5</v>
      </c>
      <c r="N227" s="31">
        <v>4.5999999999999996</v>
      </c>
      <c r="O227" s="31">
        <v>5.0999999999999996</v>
      </c>
      <c r="P227" s="31">
        <v>5.6</v>
      </c>
    </row>
    <row r="228" spans="1:16" ht="24.75" customHeight="1">
      <c r="A228" s="31" t="s">
        <v>179</v>
      </c>
      <c r="B228" s="31">
        <v>60</v>
      </c>
      <c r="C228" s="31">
        <v>1.0900000000000001</v>
      </c>
      <c r="D228" s="31">
        <v>0.69</v>
      </c>
      <c r="E228" s="31">
        <v>0.28999999999999998</v>
      </c>
      <c r="F228" s="31">
        <v>-1.1000000000000001</v>
      </c>
      <c r="G228" s="31">
        <v>-1.41</v>
      </c>
      <c r="H228" s="31">
        <v>-2.71</v>
      </c>
      <c r="I228" s="31">
        <v>-1.31</v>
      </c>
      <c r="J228" s="31">
        <v>-0.11</v>
      </c>
      <c r="K228" s="31">
        <v>1.19</v>
      </c>
      <c r="L228" s="31">
        <v>2.39</v>
      </c>
      <c r="M228" s="31">
        <v>3.49</v>
      </c>
      <c r="N228" s="31">
        <v>4.59</v>
      </c>
    </row>
    <row r="229" spans="1:16" ht="24.75" customHeight="1">
      <c r="A229" s="31" t="s">
        <v>179</v>
      </c>
      <c r="B229" s="31">
        <v>60</v>
      </c>
      <c r="C229" s="31">
        <v>0</v>
      </c>
      <c r="D229" s="31">
        <v>-0.4</v>
      </c>
      <c r="E229" s="31">
        <v>-0.8</v>
      </c>
      <c r="F229" s="31">
        <v>-2.2000000000000002</v>
      </c>
      <c r="G229" s="31">
        <v>-2.6</v>
      </c>
      <c r="H229" s="31">
        <v>-4</v>
      </c>
      <c r="I229" s="31">
        <v>-2.6</v>
      </c>
      <c r="J229" s="31">
        <v>-1.4</v>
      </c>
      <c r="K229" s="31">
        <v>-0.2</v>
      </c>
      <c r="L229" s="31">
        <v>1</v>
      </c>
      <c r="M229" s="31">
        <v>2.1</v>
      </c>
      <c r="N229" s="31">
        <v>3.2</v>
      </c>
      <c r="O229" s="31">
        <v>3.7</v>
      </c>
      <c r="P229" s="31">
        <v>4.2</v>
      </c>
    </row>
    <row r="230" spans="1:16" ht="24.75" customHeight="1">
      <c r="A230" s="31" t="s">
        <v>178</v>
      </c>
      <c r="B230" s="31">
        <v>50</v>
      </c>
      <c r="C230" s="31">
        <v>-0.99</v>
      </c>
      <c r="D230" s="31">
        <v>-0.41</v>
      </c>
      <c r="E230" s="31">
        <v>-0.81</v>
      </c>
      <c r="F230" s="31">
        <v>-2.21</v>
      </c>
      <c r="G230" s="31">
        <v>-2.61</v>
      </c>
      <c r="H230" s="31">
        <v>-4.01</v>
      </c>
      <c r="I230" s="31">
        <v>-2.61</v>
      </c>
      <c r="J230" s="31">
        <v>-1.41</v>
      </c>
      <c r="K230" s="31">
        <v>-0.21</v>
      </c>
      <c r="L230" s="31">
        <v>0.99</v>
      </c>
      <c r="M230" s="31">
        <v>2.09</v>
      </c>
      <c r="N230" s="31">
        <v>3.19</v>
      </c>
    </row>
    <row r="231" spans="1:16" ht="24.75" customHeight="1">
      <c r="A231" s="31" t="s">
        <v>178</v>
      </c>
      <c r="B231" s="31">
        <v>50</v>
      </c>
      <c r="C231" s="31">
        <v>-0.8</v>
      </c>
      <c r="D231" s="31">
        <v>-1.2</v>
      </c>
      <c r="E231" s="31">
        <v>-1.6</v>
      </c>
      <c r="F231" s="31">
        <v>-3.2</v>
      </c>
      <c r="G231" s="31">
        <v>-3.6</v>
      </c>
      <c r="H231" s="31">
        <v>-5</v>
      </c>
      <c r="I231" s="31">
        <v>-3.8</v>
      </c>
      <c r="J231" s="31">
        <v>-2.6</v>
      </c>
      <c r="K231" s="31">
        <v>-1.4</v>
      </c>
      <c r="L231" s="31">
        <v>0</v>
      </c>
      <c r="M231" s="31">
        <v>1.1000000000000001</v>
      </c>
      <c r="N231" s="31">
        <v>2.2000000000000002</v>
      </c>
      <c r="O231" s="31">
        <v>2.7</v>
      </c>
      <c r="P231" s="31">
        <v>3.2</v>
      </c>
    </row>
    <row r="232" spans="1:16" ht="24.75" customHeight="1">
      <c r="A232" s="31" t="s">
        <v>178</v>
      </c>
      <c r="B232" s="31">
        <v>40</v>
      </c>
      <c r="C232" s="31">
        <v>-0.81</v>
      </c>
      <c r="D232" s="31">
        <v>-1.21</v>
      </c>
      <c r="E232" s="31">
        <v>-1.61</v>
      </c>
      <c r="F232" s="31">
        <v>-3.21</v>
      </c>
      <c r="G232" s="31">
        <v>-3.61</v>
      </c>
      <c r="H232" s="31">
        <v>-5.01</v>
      </c>
      <c r="I232" s="31">
        <v>-3.81</v>
      </c>
      <c r="J232" s="31">
        <v>-2.61</v>
      </c>
      <c r="K232" s="31">
        <v>-1.41</v>
      </c>
      <c r="L232" s="31">
        <v>-0.99</v>
      </c>
      <c r="M232" s="31">
        <v>1.0900000000000001</v>
      </c>
      <c r="N232" s="31">
        <v>2.19</v>
      </c>
    </row>
    <row r="233" spans="1:16" ht="24.75" customHeight="1">
      <c r="A233" s="31" t="s">
        <v>178</v>
      </c>
      <c r="B233" s="31">
        <v>40</v>
      </c>
      <c r="C233" s="31">
        <v>-1.6</v>
      </c>
      <c r="D233" s="31">
        <v>-2</v>
      </c>
      <c r="E233" s="31">
        <v>-2.4</v>
      </c>
      <c r="F233" s="31">
        <v>-4.2</v>
      </c>
      <c r="G233" s="31">
        <v>-4.5999999999999996</v>
      </c>
      <c r="H233" s="31">
        <v>-6</v>
      </c>
      <c r="I233" s="31">
        <v>-5</v>
      </c>
      <c r="J233" s="31">
        <v>-3.8</v>
      </c>
      <c r="K233" s="31">
        <v>-2.6</v>
      </c>
      <c r="L233" s="31">
        <v>-1</v>
      </c>
      <c r="M233" s="31">
        <v>0.1</v>
      </c>
      <c r="N233" s="31">
        <v>1.2</v>
      </c>
      <c r="O233" s="31">
        <v>1.7</v>
      </c>
      <c r="P233" s="31">
        <v>2.2000000000000002</v>
      </c>
    </row>
    <row r="234" spans="1:16" ht="24.75" customHeight="1">
      <c r="A234" s="31" t="s">
        <v>178</v>
      </c>
      <c r="B234" s="31">
        <v>30</v>
      </c>
      <c r="C234" s="31">
        <v>-1.61</v>
      </c>
      <c r="D234" s="31">
        <v>-2.0099999999999998</v>
      </c>
      <c r="E234" s="31">
        <v>-2.41</v>
      </c>
      <c r="F234" s="31">
        <v>-4.21</v>
      </c>
      <c r="G234" s="31">
        <v>-4.6100000000000003</v>
      </c>
      <c r="H234" s="31">
        <v>-6.01</v>
      </c>
      <c r="I234" s="31">
        <v>-5.01</v>
      </c>
      <c r="J234" s="31">
        <v>-3.81</v>
      </c>
      <c r="K234" s="31">
        <v>-2.61</v>
      </c>
      <c r="L234" s="31">
        <v>-1.01</v>
      </c>
      <c r="M234" s="31">
        <v>0.09</v>
      </c>
      <c r="N234" s="31">
        <v>1.19</v>
      </c>
    </row>
    <row r="235" spans="1:16" ht="24.75" customHeight="1">
      <c r="A235" s="31" t="s">
        <v>178</v>
      </c>
      <c r="B235" s="31">
        <v>30</v>
      </c>
      <c r="C235" s="31">
        <v>-2.4</v>
      </c>
      <c r="D235" s="31">
        <v>-2.8</v>
      </c>
      <c r="E235" s="31">
        <v>-3.2</v>
      </c>
      <c r="F235" s="31">
        <v>-5.2</v>
      </c>
      <c r="G235" s="31">
        <v>-5.6</v>
      </c>
      <c r="H235" s="31">
        <v>-7</v>
      </c>
      <c r="I235" s="31">
        <v>-6.2</v>
      </c>
      <c r="J235" s="31">
        <v>-5</v>
      </c>
      <c r="K235" s="31">
        <v>-3.8</v>
      </c>
      <c r="L235" s="31">
        <v>-2</v>
      </c>
      <c r="M235" s="31">
        <v>-0.9</v>
      </c>
      <c r="N235" s="31">
        <v>0.2</v>
      </c>
      <c r="O235" s="31">
        <v>0.7</v>
      </c>
      <c r="P235" s="31">
        <v>1.2</v>
      </c>
    </row>
    <row r="236" spans="1:16" ht="24.75" customHeight="1">
      <c r="A236" s="31" t="s">
        <v>178</v>
      </c>
      <c r="B236" s="31">
        <v>20</v>
      </c>
      <c r="C236" s="31">
        <v>-2.41</v>
      </c>
      <c r="D236" s="31">
        <v>-2.81</v>
      </c>
      <c r="E236" s="31">
        <v>-3.21</v>
      </c>
      <c r="F236" s="31">
        <v>-5.21</v>
      </c>
      <c r="G236" s="31">
        <v>-5.61</v>
      </c>
      <c r="H236" s="31">
        <v>-7.01</v>
      </c>
      <c r="I236" s="31">
        <v>-6.21</v>
      </c>
      <c r="J236" s="31">
        <v>-5.01</v>
      </c>
      <c r="K236" s="31">
        <v>-3.81</v>
      </c>
      <c r="L236" s="31">
        <v>-2.0099999999999998</v>
      </c>
      <c r="M236" s="31">
        <v>-0.91</v>
      </c>
      <c r="N236" s="31">
        <v>0.19</v>
      </c>
    </row>
    <row r="237" spans="1:16" ht="24.75" customHeight="1">
      <c r="A237" s="31" t="s">
        <v>178</v>
      </c>
      <c r="B237" s="31">
        <v>20</v>
      </c>
      <c r="C237" s="31">
        <v>-3.2</v>
      </c>
      <c r="D237" s="31">
        <v>-3.6</v>
      </c>
      <c r="E237" s="31">
        <v>-4</v>
      </c>
      <c r="F237" s="31">
        <v>-6.2</v>
      </c>
      <c r="G237" s="31">
        <v>-6.6</v>
      </c>
      <c r="H237" s="31">
        <v>-8</v>
      </c>
      <c r="I237" s="31">
        <v>-7.4</v>
      </c>
      <c r="J237" s="31">
        <v>-6.2</v>
      </c>
      <c r="K237" s="31">
        <v>-5</v>
      </c>
      <c r="L237" s="31">
        <v>-3</v>
      </c>
      <c r="M237" s="31">
        <v>-1.9</v>
      </c>
      <c r="N237" s="31">
        <v>-0.8</v>
      </c>
      <c r="O237" s="31">
        <v>-0.3</v>
      </c>
      <c r="P237" s="31">
        <v>0.2</v>
      </c>
    </row>
    <row r="238" spans="1:16" ht="24.75" customHeight="1">
      <c r="A238" s="31" t="s">
        <v>178</v>
      </c>
      <c r="B238" s="31">
        <v>10</v>
      </c>
      <c r="C238" s="31">
        <v>-3.21</v>
      </c>
      <c r="D238" s="31">
        <v>-3.61</v>
      </c>
      <c r="E238" s="31">
        <v>-4.01</v>
      </c>
      <c r="F238" s="31">
        <v>-6.21</v>
      </c>
      <c r="G238" s="31">
        <v>-6.61</v>
      </c>
      <c r="H238" s="31">
        <v>-8.01</v>
      </c>
      <c r="I238" s="31">
        <v>-7.41</v>
      </c>
      <c r="J238" s="31">
        <v>-6.21</v>
      </c>
      <c r="K238" s="31">
        <v>-5.01</v>
      </c>
      <c r="L238" s="31">
        <v>-3.01</v>
      </c>
      <c r="M238" s="31">
        <v>-1.91</v>
      </c>
      <c r="N238" s="31">
        <v>-0.81</v>
      </c>
    </row>
    <row r="239" spans="1:16" ht="24.75" customHeight="1">
      <c r="A239" s="31" t="s">
        <v>178</v>
      </c>
      <c r="B239" s="31">
        <v>10</v>
      </c>
      <c r="C239" s="31">
        <v>-4</v>
      </c>
      <c r="D239" s="31">
        <v>-4.4000000000000004</v>
      </c>
      <c r="E239" s="31">
        <v>-4.8</v>
      </c>
      <c r="F239" s="31">
        <v>-7.2</v>
      </c>
      <c r="G239" s="31">
        <v>-7.6</v>
      </c>
      <c r="H239" s="31">
        <v>-9</v>
      </c>
      <c r="I239" s="31">
        <v>-8.6</v>
      </c>
      <c r="J239" s="31">
        <v>-7.4</v>
      </c>
      <c r="K239" s="31">
        <v>-6.2</v>
      </c>
      <c r="L239" s="31">
        <v>-4</v>
      </c>
      <c r="M239" s="31">
        <v>-2.9</v>
      </c>
      <c r="N239" s="31">
        <v>-1.8</v>
      </c>
      <c r="O239" s="31">
        <v>-1.3</v>
      </c>
      <c r="P239" s="31">
        <v>-0.8</v>
      </c>
    </row>
    <row r="240" spans="1:16" ht="24.75" customHeight="1">
      <c r="A240" s="31" t="s">
        <v>178</v>
      </c>
      <c r="B240" s="31">
        <v>0</v>
      </c>
      <c r="C240" s="31">
        <v>-4.01</v>
      </c>
      <c r="D240" s="31">
        <v>-4.41</v>
      </c>
      <c r="E240" s="31">
        <v>-4.8099999999999996</v>
      </c>
      <c r="F240" s="31">
        <v>-7.21</v>
      </c>
      <c r="G240" s="31">
        <v>-7.61</v>
      </c>
      <c r="H240" s="31">
        <v>-9.01</v>
      </c>
      <c r="I240" s="31">
        <v>-8.61</v>
      </c>
      <c r="J240" s="31">
        <v>-7.41</v>
      </c>
      <c r="K240" s="31">
        <v>-6.21</v>
      </c>
      <c r="L240" s="31">
        <v>-4.01</v>
      </c>
      <c r="M240" s="31">
        <v>-2.91</v>
      </c>
      <c r="N240" s="31">
        <v>-1.81</v>
      </c>
    </row>
    <row r="241" spans="1:16" ht="24.75" customHeight="1">
      <c r="A241" s="31" t="s">
        <v>178</v>
      </c>
      <c r="B241" s="31">
        <v>0</v>
      </c>
      <c r="C241" s="31">
        <v>-20</v>
      </c>
      <c r="D241" s="31">
        <v>-20</v>
      </c>
      <c r="E241" s="31">
        <v>-20</v>
      </c>
      <c r="F241" s="31">
        <v>-20</v>
      </c>
      <c r="G241" s="31">
        <v>-20</v>
      </c>
      <c r="H241" s="31">
        <v>-20</v>
      </c>
      <c r="I241" s="31">
        <v>-20</v>
      </c>
      <c r="J241" s="31">
        <v>-20</v>
      </c>
      <c r="K241" s="31">
        <v>-20</v>
      </c>
      <c r="L241" s="31">
        <v>-20</v>
      </c>
      <c r="M241" s="31">
        <v>-20</v>
      </c>
      <c r="N241" s="31">
        <v>-20</v>
      </c>
    </row>
    <row r="242" spans="1:16" ht="24.75" customHeight="1">
      <c r="A242" s="31" t="s">
        <v>248</v>
      </c>
    </row>
    <row r="243" spans="1:16" ht="24.75" customHeight="1">
      <c r="A243" s="35" t="s">
        <v>163</v>
      </c>
      <c r="B243" s="31" t="s">
        <v>164</v>
      </c>
      <c r="C243" s="35" t="s">
        <v>165</v>
      </c>
      <c r="D243" s="35" t="s">
        <v>166</v>
      </c>
      <c r="E243" s="35" t="s">
        <v>167</v>
      </c>
      <c r="F243" s="35" t="s">
        <v>168</v>
      </c>
      <c r="G243" s="35" t="s">
        <v>169</v>
      </c>
      <c r="H243" s="35" t="s">
        <v>170</v>
      </c>
      <c r="I243" s="35" t="s">
        <v>171</v>
      </c>
      <c r="J243" s="35" t="s">
        <v>172</v>
      </c>
      <c r="K243" s="35" t="s">
        <v>173</v>
      </c>
      <c r="L243" s="35" t="s">
        <v>174</v>
      </c>
      <c r="M243" s="35" t="s">
        <v>175</v>
      </c>
      <c r="N243" s="35" t="s">
        <v>176</v>
      </c>
      <c r="O243" s="31" t="s">
        <v>240</v>
      </c>
      <c r="P243" s="31" t="s">
        <v>241</v>
      </c>
    </row>
    <row r="244" spans="1:16" ht="24.75" customHeight="1">
      <c r="A244" s="35"/>
      <c r="B244" s="31" t="s">
        <v>177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1" t="s">
        <v>242</v>
      </c>
      <c r="P244" s="31" t="s">
        <v>243</v>
      </c>
    </row>
    <row r="245" spans="1:16" ht="24.75" customHeight="1">
      <c r="A245" s="31" t="s">
        <v>181</v>
      </c>
      <c r="B245" s="31">
        <v>100</v>
      </c>
      <c r="C245" s="31">
        <v>30</v>
      </c>
      <c r="D245" s="31">
        <v>30</v>
      </c>
      <c r="E245" s="31">
        <v>30</v>
      </c>
      <c r="F245" s="31">
        <v>30</v>
      </c>
      <c r="G245" s="31">
        <v>30</v>
      </c>
      <c r="H245" s="31">
        <v>30</v>
      </c>
      <c r="I245" s="31">
        <v>30</v>
      </c>
      <c r="J245" s="31">
        <v>30</v>
      </c>
      <c r="K245" s="31">
        <v>30</v>
      </c>
      <c r="L245" s="31">
        <v>30</v>
      </c>
      <c r="M245" s="31">
        <v>30</v>
      </c>
      <c r="N245" s="31">
        <v>30</v>
      </c>
    </row>
    <row r="246" spans="1:16" ht="24.75" customHeight="1">
      <c r="A246" s="31" t="s">
        <v>181</v>
      </c>
      <c r="B246" s="31">
        <v>100</v>
      </c>
      <c r="C246" s="31">
        <v>18.600000000000001</v>
      </c>
      <c r="D246" s="31">
        <v>18.899999999999999</v>
      </c>
      <c r="E246" s="31">
        <v>19.2</v>
      </c>
      <c r="F246" s="31">
        <v>19.5</v>
      </c>
      <c r="G246" s="31">
        <v>19.8</v>
      </c>
      <c r="H246" s="31">
        <v>19.899999999999999</v>
      </c>
      <c r="I246" s="31">
        <v>21.8</v>
      </c>
      <c r="J246" s="31">
        <v>22.7</v>
      </c>
      <c r="K246" s="31">
        <v>23.5</v>
      </c>
      <c r="L246" s="31">
        <v>24.2</v>
      </c>
      <c r="M246" s="31">
        <v>24.8</v>
      </c>
      <c r="N246" s="31">
        <v>25.3</v>
      </c>
      <c r="O246" s="31">
        <v>25.8</v>
      </c>
      <c r="P246" s="31">
        <v>26.3</v>
      </c>
    </row>
    <row r="247" spans="1:16" ht="24.75" customHeight="1">
      <c r="A247" s="31" t="s">
        <v>181</v>
      </c>
      <c r="B247" s="31">
        <v>95</v>
      </c>
      <c r="C247" s="31">
        <v>18.59</v>
      </c>
      <c r="D247" s="31">
        <v>18.89</v>
      </c>
      <c r="E247" s="31">
        <v>19.190000000000001</v>
      </c>
      <c r="F247" s="31">
        <v>19.489999999999998</v>
      </c>
      <c r="G247" s="31">
        <v>19.79</v>
      </c>
      <c r="H247" s="31">
        <v>19.89</v>
      </c>
      <c r="I247" s="31">
        <v>21.79</v>
      </c>
      <c r="J247" s="31">
        <v>22.69</v>
      </c>
      <c r="K247" s="31">
        <v>23.49</v>
      </c>
      <c r="L247" s="31">
        <v>24.19</v>
      </c>
      <c r="M247" s="31">
        <v>24.79</v>
      </c>
      <c r="N247" s="31">
        <v>25.29</v>
      </c>
    </row>
    <row r="248" spans="1:16" ht="24.75" customHeight="1">
      <c r="A248" s="31" t="s">
        <v>181</v>
      </c>
      <c r="B248" s="31">
        <v>95</v>
      </c>
      <c r="C248" s="31">
        <v>17.3</v>
      </c>
      <c r="D248" s="31">
        <v>17.600000000000001</v>
      </c>
      <c r="E248" s="31">
        <v>17.899999999999999</v>
      </c>
      <c r="F248" s="31">
        <v>18.100000000000001</v>
      </c>
      <c r="G248" s="31">
        <v>18.5</v>
      </c>
      <c r="H248" s="31">
        <v>18.7</v>
      </c>
      <c r="I248" s="31">
        <v>20.100000000000001</v>
      </c>
      <c r="J248" s="31">
        <v>21</v>
      </c>
      <c r="K248" s="31">
        <v>21.8</v>
      </c>
      <c r="L248" s="31">
        <v>22.5</v>
      </c>
      <c r="M248" s="31">
        <v>23.1</v>
      </c>
      <c r="N248" s="31">
        <v>23.6</v>
      </c>
      <c r="O248" s="31">
        <v>24</v>
      </c>
      <c r="P248" s="31">
        <v>24.4</v>
      </c>
    </row>
    <row r="249" spans="1:16" ht="24.75" customHeight="1">
      <c r="A249" s="31" t="s">
        <v>181</v>
      </c>
      <c r="B249" s="31">
        <v>90</v>
      </c>
      <c r="C249" s="31">
        <v>17.29</v>
      </c>
      <c r="D249" s="31">
        <v>17.59</v>
      </c>
      <c r="E249" s="31">
        <v>17.89</v>
      </c>
      <c r="F249" s="31">
        <v>18.09</v>
      </c>
      <c r="G249" s="31">
        <v>18.489999999999998</v>
      </c>
      <c r="H249" s="31">
        <v>18.690000000000001</v>
      </c>
      <c r="I249" s="31">
        <v>20.09</v>
      </c>
      <c r="J249" s="31">
        <v>20.99</v>
      </c>
      <c r="K249" s="31">
        <v>21.79</v>
      </c>
      <c r="L249" s="31">
        <v>22.49</v>
      </c>
      <c r="M249" s="31">
        <v>23.09</v>
      </c>
      <c r="N249" s="31">
        <v>23.59</v>
      </c>
    </row>
    <row r="250" spans="1:16" ht="24.75" customHeight="1">
      <c r="A250" s="31" t="s">
        <v>181</v>
      </c>
      <c r="B250" s="31">
        <v>90</v>
      </c>
      <c r="C250" s="31">
        <v>16</v>
      </c>
      <c r="D250" s="31">
        <v>16.3</v>
      </c>
      <c r="E250" s="31">
        <v>16.600000000000001</v>
      </c>
      <c r="F250" s="31">
        <v>16.899999999999999</v>
      </c>
      <c r="G250" s="31">
        <v>17.2</v>
      </c>
      <c r="H250" s="31">
        <v>17.5</v>
      </c>
      <c r="I250" s="31">
        <v>18.399999999999999</v>
      </c>
      <c r="J250" s="31">
        <v>19.3</v>
      </c>
      <c r="K250" s="31">
        <v>20.100000000000001</v>
      </c>
      <c r="L250" s="31">
        <v>20.8</v>
      </c>
      <c r="M250" s="31">
        <v>21.4</v>
      </c>
      <c r="N250" s="31">
        <v>21.9</v>
      </c>
      <c r="O250" s="31">
        <v>22.2</v>
      </c>
      <c r="P250" s="31">
        <v>22.4</v>
      </c>
    </row>
    <row r="251" spans="1:16" ht="24.75" customHeight="1">
      <c r="A251" s="31" t="s">
        <v>180</v>
      </c>
      <c r="B251" s="31">
        <v>85</v>
      </c>
      <c r="C251" s="31">
        <v>15.99</v>
      </c>
      <c r="D251" s="31">
        <v>16.29</v>
      </c>
      <c r="E251" s="31">
        <v>16.59</v>
      </c>
      <c r="F251" s="31">
        <v>16.89</v>
      </c>
      <c r="G251" s="31">
        <v>17.190000000000001</v>
      </c>
      <c r="H251" s="31">
        <v>17.489999999999998</v>
      </c>
      <c r="I251" s="31">
        <v>18.39</v>
      </c>
      <c r="J251" s="31">
        <v>19.29</v>
      </c>
      <c r="K251" s="31">
        <v>20.09</v>
      </c>
      <c r="L251" s="31">
        <v>20.79</v>
      </c>
      <c r="M251" s="31">
        <v>21.39</v>
      </c>
      <c r="N251" s="31">
        <v>21.89</v>
      </c>
    </row>
    <row r="252" spans="1:16" ht="24.75" customHeight="1">
      <c r="A252" s="31" t="s">
        <v>180</v>
      </c>
      <c r="B252" s="31">
        <v>85</v>
      </c>
      <c r="C252" s="31">
        <v>14.7</v>
      </c>
      <c r="D252" s="31">
        <v>14.8</v>
      </c>
      <c r="E252" s="31">
        <v>14.9</v>
      </c>
      <c r="F252" s="31">
        <v>15</v>
      </c>
      <c r="G252" s="31">
        <v>15.1</v>
      </c>
      <c r="H252" s="31">
        <v>15.2</v>
      </c>
      <c r="I252" s="31">
        <v>16.7</v>
      </c>
      <c r="J252" s="31">
        <v>17.600000000000001</v>
      </c>
      <c r="K252" s="31">
        <v>18.399999999999999</v>
      </c>
      <c r="L252" s="31">
        <v>19.100000000000001</v>
      </c>
      <c r="M252" s="31">
        <v>19.7</v>
      </c>
      <c r="N252" s="31">
        <v>20.2</v>
      </c>
      <c r="O252" s="31">
        <v>20.6</v>
      </c>
      <c r="P252" s="31">
        <v>21</v>
      </c>
    </row>
    <row r="253" spans="1:16" ht="24.75" customHeight="1">
      <c r="A253" s="31" t="s">
        <v>180</v>
      </c>
      <c r="B253" s="31">
        <v>80</v>
      </c>
      <c r="C253" s="31">
        <v>14.69</v>
      </c>
      <c r="D253" s="31">
        <v>14.79</v>
      </c>
      <c r="E253" s="31">
        <v>14.89</v>
      </c>
      <c r="F253" s="31">
        <v>14.99</v>
      </c>
      <c r="G253" s="31">
        <v>15.09</v>
      </c>
      <c r="H253" s="31">
        <v>15.19</v>
      </c>
      <c r="I253" s="31">
        <v>16.690000000000001</v>
      </c>
      <c r="J253" s="31">
        <v>17.59</v>
      </c>
      <c r="K253" s="31">
        <v>18.39</v>
      </c>
      <c r="L253" s="31">
        <v>19.09</v>
      </c>
      <c r="M253" s="31">
        <v>19.690000000000001</v>
      </c>
      <c r="N253" s="31">
        <v>20.190000000000001</v>
      </c>
    </row>
    <row r="254" spans="1:16" ht="24.75" customHeight="1">
      <c r="A254" s="31" t="s">
        <v>180</v>
      </c>
      <c r="B254" s="31">
        <v>80</v>
      </c>
      <c r="C254" s="31">
        <v>13.4</v>
      </c>
      <c r="D254" s="31">
        <v>13.3</v>
      </c>
      <c r="E254" s="31">
        <v>13.2</v>
      </c>
      <c r="F254" s="31">
        <v>13.1</v>
      </c>
      <c r="G254" s="31">
        <v>13</v>
      </c>
      <c r="H254" s="31">
        <v>12.9</v>
      </c>
      <c r="I254" s="31">
        <v>15</v>
      </c>
      <c r="J254" s="31">
        <v>15.9</v>
      </c>
      <c r="K254" s="31">
        <v>16.7</v>
      </c>
      <c r="L254" s="31">
        <v>17.399999999999999</v>
      </c>
      <c r="M254" s="31">
        <v>18</v>
      </c>
      <c r="N254" s="31">
        <v>18.5</v>
      </c>
      <c r="O254" s="31">
        <v>19</v>
      </c>
      <c r="P254" s="31">
        <v>19.5</v>
      </c>
    </row>
    <row r="255" spans="1:16" ht="24.75" customHeight="1">
      <c r="A255" s="31" t="s">
        <v>179</v>
      </c>
      <c r="B255" s="31">
        <v>78</v>
      </c>
      <c r="C255" s="31">
        <v>13.39</v>
      </c>
      <c r="D255" s="31">
        <v>13.29</v>
      </c>
      <c r="E255" s="31">
        <v>13.19</v>
      </c>
      <c r="F255" s="31">
        <v>13.09</v>
      </c>
      <c r="G255" s="31">
        <v>12.99</v>
      </c>
      <c r="H255" s="31">
        <v>12.89</v>
      </c>
      <c r="I255" s="31">
        <v>14.99</v>
      </c>
      <c r="J255" s="31">
        <v>15.89</v>
      </c>
      <c r="K255" s="31">
        <v>16.690000000000001</v>
      </c>
      <c r="L255" s="31">
        <v>17.39</v>
      </c>
      <c r="M255" s="31">
        <v>17.989999999999998</v>
      </c>
      <c r="N255" s="31">
        <v>18.489999999999998</v>
      </c>
    </row>
    <row r="256" spans="1:16" ht="24.75" customHeight="1">
      <c r="A256" s="31" t="s">
        <v>179</v>
      </c>
      <c r="B256" s="31">
        <v>78</v>
      </c>
      <c r="C256" s="31">
        <v>12.3</v>
      </c>
      <c r="D256" s="31">
        <v>12.2</v>
      </c>
      <c r="E256" s="31">
        <v>12.1</v>
      </c>
      <c r="F256" s="31">
        <v>12</v>
      </c>
      <c r="G256" s="31">
        <v>11.9</v>
      </c>
      <c r="H256" s="31">
        <v>11.8</v>
      </c>
      <c r="I256" s="31">
        <v>13.7</v>
      </c>
      <c r="J256" s="31">
        <v>14.6</v>
      </c>
      <c r="K256" s="31">
        <v>15.4</v>
      </c>
      <c r="L256" s="31">
        <v>16.100000000000001</v>
      </c>
      <c r="M256" s="31">
        <v>16.7</v>
      </c>
      <c r="N256" s="31">
        <v>17.2</v>
      </c>
      <c r="O256" s="31">
        <v>17.7</v>
      </c>
      <c r="P256" s="31">
        <v>18.2</v>
      </c>
    </row>
    <row r="257" spans="1:16" ht="24.75" customHeight="1">
      <c r="A257" s="31" t="s">
        <v>179</v>
      </c>
      <c r="B257" s="31">
        <v>76</v>
      </c>
      <c r="C257" s="31">
        <v>12.29</v>
      </c>
      <c r="D257" s="31">
        <v>12.19</v>
      </c>
      <c r="E257" s="31">
        <v>12.09</v>
      </c>
      <c r="F257" s="31">
        <v>11.99</v>
      </c>
      <c r="G257" s="31">
        <v>11.89</v>
      </c>
      <c r="H257" s="31">
        <v>11.79</v>
      </c>
      <c r="I257" s="31">
        <v>13.69</v>
      </c>
      <c r="J257" s="31">
        <v>14.59</v>
      </c>
      <c r="K257" s="31">
        <v>15.49</v>
      </c>
      <c r="L257" s="31">
        <v>16.09</v>
      </c>
      <c r="M257" s="31">
        <v>16.690000000000001</v>
      </c>
      <c r="N257" s="31">
        <v>17.190000000000001</v>
      </c>
    </row>
    <row r="258" spans="1:16" ht="24.75" customHeight="1">
      <c r="A258" s="31" t="s">
        <v>179</v>
      </c>
      <c r="B258" s="31">
        <v>76</v>
      </c>
      <c r="C258" s="31">
        <v>11.2</v>
      </c>
      <c r="D258" s="31">
        <v>11.1</v>
      </c>
      <c r="E258" s="31">
        <v>11</v>
      </c>
      <c r="F258" s="31">
        <v>10.9</v>
      </c>
      <c r="G258" s="31">
        <v>10.8</v>
      </c>
      <c r="H258" s="31">
        <v>10.7</v>
      </c>
      <c r="I258" s="31">
        <v>12.4</v>
      </c>
      <c r="J258" s="31">
        <v>13.3</v>
      </c>
      <c r="K258" s="31">
        <v>14.1</v>
      </c>
      <c r="L258" s="31">
        <v>14.8</v>
      </c>
      <c r="M258" s="31">
        <v>15.4</v>
      </c>
      <c r="N258" s="31">
        <v>15.9</v>
      </c>
      <c r="O258" s="31">
        <v>16.399999999999999</v>
      </c>
      <c r="P258" s="31">
        <v>16.899999999999999</v>
      </c>
    </row>
    <row r="259" spans="1:16" ht="24.75" customHeight="1">
      <c r="A259" s="31" t="s">
        <v>179</v>
      </c>
      <c r="B259" s="31">
        <v>74</v>
      </c>
      <c r="C259" s="31">
        <v>11.19</v>
      </c>
      <c r="D259" s="31">
        <v>11.09</v>
      </c>
      <c r="E259" s="31">
        <v>10.99</v>
      </c>
      <c r="F259" s="31">
        <v>10.89</v>
      </c>
      <c r="G259" s="31">
        <v>10.79</v>
      </c>
      <c r="H259" s="31">
        <v>10.69</v>
      </c>
      <c r="I259" s="31">
        <v>12.39</v>
      </c>
      <c r="J259" s="31">
        <v>13.29</v>
      </c>
      <c r="K259" s="31">
        <v>14.09</v>
      </c>
      <c r="L259" s="31">
        <v>14.79</v>
      </c>
      <c r="M259" s="31">
        <v>15.39</v>
      </c>
      <c r="N259" s="31">
        <v>15.89</v>
      </c>
    </row>
    <row r="260" spans="1:16" ht="24.75" customHeight="1">
      <c r="A260" s="31" t="s">
        <v>179</v>
      </c>
      <c r="B260" s="31">
        <v>74</v>
      </c>
      <c r="C260" s="31">
        <v>10.1</v>
      </c>
      <c r="D260" s="31">
        <v>10</v>
      </c>
      <c r="E260" s="31">
        <v>9.9</v>
      </c>
      <c r="F260" s="31">
        <v>9.8000000000000007</v>
      </c>
      <c r="G260" s="31">
        <v>9.6999999999999993</v>
      </c>
      <c r="H260" s="31">
        <v>9.6</v>
      </c>
      <c r="I260" s="31">
        <v>11.1</v>
      </c>
      <c r="J260" s="31">
        <v>12</v>
      </c>
      <c r="K260" s="31">
        <v>12.8</v>
      </c>
      <c r="L260" s="31">
        <v>13.5</v>
      </c>
      <c r="M260" s="31">
        <v>14.1</v>
      </c>
      <c r="N260" s="31">
        <v>14.6</v>
      </c>
      <c r="O260" s="31">
        <v>15.1</v>
      </c>
      <c r="P260" s="31">
        <v>15.6</v>
      </c>
    </row>
    <row r="261" spans="1:16" ht="24.75" customHeight="1">
      <c r="A261" s="31" t="s">
        <v>179</v>
      </c>
      <c r="B261" s="31">
        <v>72</v>
      </c>
      <c r="C261" s="31">
        <v>10.09</v>
      </c>
      <c r="D261" s="31">
        <v>9.99</v>
      </c>
      <c r="E261" s="31">
        <v>9.89</v>
      </c>
      <c r="F261" s="31">
        <v>9.7899999999999991</v>
      </c>
      <c r="G261" s="31">
        <v>9.69</v>
      </c>
      <c r="H261" s="31">
        <v>9.59</v>
      </c>
      <c r="I261" s="31">
        <v>11.09</v>
      </c>
      <c r="J261" s="31">
        <v>11.99</v>
      </c>
      <c r="K261" s="31">
        <v>12.79</v>
      </c>
      <c r="L261" s="31">
        <v>13.49</v>
      </c>
      <c r="M261" s="31">
        <v>14.09</v>
      </c>
      <c r="N261" s="31">
        <v>14.59</v>
      </c>
    </row>
    <row r="262" spans="1:16" ht="24.75" customHeight="1">
      <c r="A262" s="31" t="s">
        <v>179</v>
      </c>
      <c r="B262" s="31">
        <v>72</v>
      </c>
      <c r="C262" s="31">
        <v>9</v>
      </c>
      <c r="D262" s="31">
        <v>8.9</v>
      </c>
      <c r="E262" s="31">
        <v>8.8000000000000007</v>
      </c>
      <c r="F262" s="31">
        <v>8.6999999999999993</v>
      </c>
      <c r="G262" s="31">
        <v>8.6</v>
      </c>
      <c r="H262" s="31">
        <v>8.5</v>
      </c>
      <c r="I262" s="31">
        <v>9.8000000000000007</v>
      </c>
      <c r="J262" s="31">
        <v>10.7</v>
      </c>
      <c r="K262" s="31">
        <v>11.5</v>
      </c>
      <c r="L262" s="31">
        <v>12.2</v>
      </c>
      <c r="M262" s="31">
        <v>12.8</v>
      </c>
      <c r="N262" s="31">
        <v>13.3</v>
      </c>
      <c r="O262" s="31">
        <v>13.8</v>
      </c>
      <c r="P262" s="31">
        <v>14.3</v>
      </c>
    </row>
    <row r="263" spans="1:16" ht="24.75" customHeight="1">
      <c r="A263" s="31" t="s">
        <v>179</v>
      </c>
      <c r="B263" s="31">
        <v>70</v>
      </c>
      <c r="C263" s="31">
        <v>8.99</v>
      </c>
      <c r="D263" s="31">
        <v>8.89</v>
      </c>
      <c r="E263" s="31">
        <v>8.7899999999999991</v>
      </c>
      <c r="F263" s="31">
        <v>8.69</v>
      </c>
      <c r="G263" s="31">
        <v>8.59</v>
      </c>
      <c r="H263" s="31">
        <v>8.49</v>
      </c>
      <c r="I263" s="31">
        <v>9.7899999999999991</v>
      </c>
      <c r="J263" s="31">
        <v>10.69</v>
      </c>
      <c r="K263" s="31">
        <v>11.49</v>
      </c>
      <c r="L263" s="31">
        <v>12.19</v>
      </c>
      <c r="M263" s="31">
        <v>12.79</v>
      </c>
      <c r="N263" s="31">
        <v>13.29</v>
      </c>
    </row>
    <row r="264" spans="1:16" ht="24.75" customHeight="1">
      <c r="A264" s="31" t="s">
        <v>179</v>
      </c>
      <c r="B264" s="31">
        <v>70</v>
      </c>
      <c r="C264" s="31">
        <v>7.9</v>
      </c>
      <c r="D264" s="31">
        <v>7.8</v>
      </c>
      <c r="E264" s="31">
        <v>7.7</v>
      </c>
      <c r="F264" s="31">
        <v>7.6</v>
      </c>
      <c r="G264" s="31">
        <v>7.5</v>
      </c>
      <c r="H264" s="31">
        <v>7.4</v>
      </c>
      <c r="I264" s="31">
        <v>8.5</v>
      </c>
      <c r="J264" s="31">
        <v>9.4</v>
      </c>
      <c r="K264" s="31">
        <v>10.199999999999999</v>
      </c>
      <c r="L264" s="31">
        <v>10.9</v>
      </c>
      <c r="M264" s="31">
        <v>11.5</v>
      </c>
      <c r="N264" s="31">
        <v>12</v>
      </c>
      <c r="O264" s="31">
        <v>12.5</v>
      </c>
      <c r="P264" s="31">
        <v>13</v>
      </c>
    </row>
    <row r="265" spans="1:16" ht="24.75" customHeight="1">
      <c r="A265" s="31" t="s">
        <v>179</v>
      </c>
      <c r="B265" s="31">
        <v>68</v>
      </c>
      <c r="C265" s="31">
        <v>7.89</v>
      </c>
      <c r="D265" s="31">
        <v>7.79</v>
      </c>
      <c r="E265" s="31">
        <v>7.69</v>
      </c>
      <c r="F265" s="31">
        <v>7.59</v>
      </c>
      <c r="G265" s="31">
        <v>7.49</v>
      </c>
      <c r="H265" s="31">
        <v>7.39</v>
      </c>
      <c r="I265" s="31">
        <v>8.49</v>
      </c>
      <c r="J265" s="31">
        <v>9.39</v>
      </c>
      <c r="K265" s="31">
        <v>10.19</v>
      </c>
      <c r="L265" s="31">
        <v>10.89</v>
      </c>
      <c r="M265" s="31">
        <v>11.49</v>
      </c>
      <c r="N265" s="31">
        <v>11.99</v>
      </c>
    </row>
    <row r="266" spans="1:16" ht="24.75" customHeight="1">
      <c r="A266" s="31" t="s">
        <v>179</v>
      </c>
      <c r="B266" s="31">
        <v>68</v>
      </c>
      <c r="C266" s="31">
        <v>6.8</v>
      </c>
      <c r="D266" s="31">
        <v>6.7</v>
      </c>
      <c r="E266" s="31">
        <v>6.6</v>
      </c>
      <c r="F266" s="31">
        <v>6.5</v>
      </c>
      <c r="G266" s="31">
        <v>6.4</v>
      </c>
      <c r="H266" s="31">
        <v>6.3</v>
      </c>
      <c r="I266" s="31">
        <v>7.2</v>
      </c>
      <c r="J266" s="31">
        <v>8.1</v>
      </c>
      <c r="K266" s="31">
        <v>8.9</v>
      </c>
      <c r="L266" s="31">
        <v>9.6</v>
      </c>
      <c r="M266" s="31">
        <v>10.199999999999999</v>
      </c>
      <c r="N266" s="31">
        <v>10.7</v>
      </c>
      <c r="O266" s="31">
        <v>11.2</v>
      </c>
      <c r="P266" s="31">
        <v>11.7</v>
      </c>
    </row>
    <row r="267" spans="1:16" ht="24.75" customHeight="1">
      <c r="A267" s="31" t="s">
        <v>179</v>
      </c>
      <c r="B267" s="31">
        <v>66</v>
      </c>
      <c r="C267" s="31">
        <v>6.79</v>
      </c>
      <c r="D267" s="31">
        <v>6.69</v>
      </c>
      <c r="E267" s="31">
        <v>6.59</v>
      </c>
      <c r="F267" s="31">
        <v>6.49</v>
      </c>
      <c r="G267" s="31">
        <v>6.39</v>
      </c>
      <c r="H267" s="31">
        <v>6.29</v>
      </c>
      <c r="I267" s="31">
        <v>7.19</v>
      </c>
      <c r="J267" s="31">
        <v>8.09</v>
      </c>
      <c r="K267" s="31">
        <v>8.7899999999999991</v>
      </c>
      <c r="L267" s="31">
        <v>9.59</v>
      </c>
      <c r="M267" s="31">
        <v>10.19</v>
      </c>
      <c r="N267" s="31">
        <v>10.69</v>
      </c>
    </row>
    <row r="268" spans="1:16" ht="24.75" customHeight="1">
      <c r="A268" s="31" t="s">
        <v>179</v>
      </c>
      <c r="B268" s="31">
        <v>66</v>
      </c>
      <c r="C268" s="31">
        <v>5.7</v>
      </c>
      <c r="D268" s="31">
        <v>5.6</v>
      </c>
      <c r="E268" s="31">
        <v>5.5</v>
      </c>
      <c r="F268" s="31">
        <v>5.4</v>
      </c>
      <c r="G268" s="31">
        <v>5.3</v>
      </c>
      <c r="H268" s="31">
        <v>5.2</v>
      </c>
      <c r="I268" s="31">
        <v>5.9</v>
      </c>
      <c r="J268" s="31">
        <v>6.8</v>
      </c>
      <c r="K268" s="31">
        <v>7.6</v>
      </c>
      <c r="L268" s="31">
        <v>8.3000000000000007</v>
      </c>
      <c r="M268" s="31">
        <v>8.9</v>
      </c>
      <c r="N268" s="31">
        <v>9.4</v>
      </c>
      <c r="O268" s="31">
        <v>9.9</v>
      </c>
      <c r="P268" s="31">
        <v>10.4</v>
      </c>
    </row>
    <row r="269" spans="1:16" ht="24.75" customHeight="1">
      <c r="A269" s="31" t="s">
        <v>179</v>
      </c>
      <c r="B269" s="31">
        <v>64</v>
      </c>
      <c r="C269" s="31">
        <v>5.69</v>
      </c>
      <c r="D269" s="31">
        <v>5.59</v>
      </c>
      <c r="E269" s="31">
        <v>5.49</v>
      </c>
      <c r="F269" s="31">
        <v>5.39</v>
      </c>
      <c r="G269" s="31">
        <v>5.29</v>
      </c>
      <c r="H269" s="31">
        <v>5.19</v>
      </c>
      <c r="I269" s="31">
        <v>5.89</v>
      </c>
      <c r="J269" s="31">
        <v>6.79</v>
      </c>
      <c r="K269" s="31">
        <v>7.59</v>
      </c>
      <c r="L269" s="31">
        <v>8.2899999999999991</v>
      </c>
      <c r="M269" s="31">
        <v>8.89</v>
      </c>
      <c r="N269" s="31">
        <v>9.39</v>
      </c>
    </row>
    <row r="270" spans="1:16" ht="24.75" customHeight="1">
      <c r="A270" s="31" t="s">
        <v>179</v>
      </c>
      <c r="B270" s="31">
        <v>64</v>
      </c>
      <c r="C270" s="31">
        <v>4.5999999999999996</v>
      </c>
      <c r="D270" s="31">
        <v>4.5</v>
      </c>
      <c r="E270" s="31">
        <v>4.4000000000000004</v>
      </c>
      <c r="F270" s="31">
        <v>4.3</v>
      </c>
      <c r="G270" s="31">
        <v>4.2</v>
      </c>
      <c r="H270" s="31">
        <v>4.0999999999999996</v>
      </c>
      <c r="I270" s="31">
        <v>4.5999999999999996</v>
      </c>
      <c r="J270" s="31">
        <v>5.5</v>
      </c>
      <c r="K270" s="31">
        <v>6.3</v>
      </c>
      <c r="L270" s="31">
        <v>7</v>
      </c>
      <c r="M270" s="31">
        <v>7.6</v>
      </c>
      <c r="N270" s="31">
        <v>8.1</v>
      </c>
      <c r="O270" s="31">
        <v>8.6</v>
      </c>
      <c r="P270" s="31">
        <v>9.1</v>
      </c>
    </row>
    <row r="271" spans="1:16" ht="24.75" customHeight="1">
      <c r="A271" s="31" t="s">
        <v>179</v>
      </c>
      <c r="B271" s="31">
        <v>62</v>
      </c>
      <c r="C271" s="31">
        <v>4.59</v>
      </c>
      <c r="D271" s="31">
        <v>4.49</v>
      </c>
      <c r="E271" s="31">
        <v>4.3899999999999997</v>
      </c>
      <c r="F271" s="31">
        <v>4.29</v>
      </c>
      <c r="G271" s="31">
        <v>4.1900000000000004</v>
      </c>
      <c r="H271" s="31">
        <v>4.09</v>
      </c>
      <c r="I271" s="31">
        <v>4.59</v>
      </c>
      <c r="J271" s="31">
        <v>5.49</v>
      </c>
      <c r="K271" s="31">
        <v>6.29</v>
      </c>
      <c r="L271" s="31">
        <v>6.99</v>
      </c>
      <c r="M271" s="31">
        <v>7.59</v>
      </c>
      <c r="N271" s="31">
        <v>8.09</v>
      </c>
    </row>
    <row r="272" spans="1:16" ht="24.75" customHeight="1">
      <c r="A272" s="31" t="s">
        <v>179</v>
      </c>
      <c r="B272" s="31">
        <v>62</v>
      </c>
      <c r="C272" s="31">
        <v>3.5</v>
      </c>
      <c r="D272" s="31">
        <v>3.4</v>
      </c>
      <c r="E272" s="31">
        <v>3.3</v>
      </c>
      <c r="F272" s="31">
        <v>3.2</v>
      </c>
      <c r="G272" s="31">
        <v>3.1</v>
      </c>
      <c r="H272" s="31">
        <v>3</v>
      </c>
      <c r="I272" s="31">
        <v>3.3</v>
      </c>
      <c r="J272" s="31">
        <v>4.2</v>
      </c>
      <c r="K272" s="31">
        <v>5</v>
      </c>
      <c r="L272" s="31">
        <v>5.7</v>
      </c>
      <c r="M272" s="31">
        <v>6.3</v>
      </c>
      <c r="N272" s="31">
        <v>6.8</v>
      </c>
      <c r="O272" s="31">
        <v>7.3</v>
      </c>
      <c r="P272" s="31">
        <v>7.8</v>
      </c>
    </row>
    <row r="273" spans="1:16" ht="24.75" customHeight="1">
      <c r="A273" s="31" t="s">
        <v>179</v>
      </c>
      <c r="B273" s="31">
        <v>60</v>
      </c>
      <c r="C273" s="31">
        <v>3.49</v>
      </c>
      <c r="D273" s="31">
        <v>3.39</v>
      </c>
      <c r="E273" s="31">
        <v>3.29</v>
      </c>
      <c r="F273" s="31">
        <v>3.19</v>
      </c>
      <c r="G273" s="31">
        <v>3.09</v>
      </c>
      <c r="H273" s="31">
        <v>2.99</v>
      </c>
      <c r="I273" s="31">
        <v>3.29</v>
      </c>
      <c r="J273" s="31">
        <v>4.1900000000000004</v>
      </c>
      <c r="K273" s="31">
        <v>4.99</v>
      </c>
      <c r="L273" s="31">
        <v>5.69</v>
      </c>
      <c r="M273" s="31">
        <v>6.29</v>
      </c>
      <c r="N273" s="31">
        <v>6.79</v>
      </c>
    </row>
    <row r="274" spans="1:16" ht="24.75" customHeight="1">
      <c r="A274" s="31" t="s">
        <v>179</v>
      </c>
      <c r="B274" s="31">
        <v>60</v>
      </c>
      <c r="C274" s="31">
        <v>2.4</v>
      </c>
      <c r="D274" s="31">
        <v>2.2999999999999998</v>
      </c>
      <c r="E274" s="31">
        <v>2.2000000000000002</v>
      </c>
      <c r="F274" s="31">
        <v>2.1</v>
      </c>
      <c r="G274" s="31">
        <v>2</v>
      </c>
      <c r="H274" s="31">
        <v>1.9</v>
      </c>
      <c r="I274" s="31">
        <v>2</v>
      </c>
      <c r="J274" s="31">
        <v>2.9</v>
      </c>
      <c r="K274" s="31">
        <v>3.7</v>
      </c>
      <c r="L274" s="31">
        <v>4.4000000000000004</v>
      </c>
      <c r="M274" s="31">
        <v>5</v>
      </c>
      <c r="N274" s="31">
        <v>5.5</v>
      </c>
      <c r="O274" s="31">
        <v>6</v>
      </c>
      <c r="P274" s="31">
        <v>6.5</v>
      </c>
    </row>
    <row r="275" spans="1:16" ht="24.75" customHeight="1">
      <c r="A275" s="31" t="s">
        <v>178</v>
      </c>
      <c r="B275" s="31">
        <v>50</v>
      </c>
      <c r="C275" s="31">
        <v>2.39</v>
      </c>
      <c r="D275" s="31">
        <v>2.29</v>
      </c>
      <c r="E275" s="31">
        <v>2.19</v>
      </c>
      <c r="F275" s="31">
        <v>2.09</v>
      </c>
      <c r="G275" s="31">
        <v>1.99</v>
      </c>
      <c r="H275" s="31">
        <v>1.89</v>
      </c>
      <c r="I275" s="31">
        <v>1.99</v>
      </c>
      <c r="J275" s="31">
        <v>2.89</v>
      </c>
      <c r="K275" s="31">
        <v>3.69</v>
      </c>
      <c r="L275" s="31">
        <v>4.3899999999999997</v>
      </c>
      <c r="M275" s="31">
        <v>4.99</v>
      </c>
      <c r="N275" s="31">
        <v>5.49</v>
      </c>
    </row>
    <row r="276" spans="1:16" ht="24.75" customHeight="1">
      <c r="A276" s="31" t="s">
        <v>178</v>
      </c>
      <c r="B276" s="31">
        <v>50</v>
      </c>
      <c r="C276" s="31">
        <v>1.6</v>
      </c>
      <c r="D276" s="31">
        <v>1.5</v>
      </c>
      <c r="E276" s="31">
        <v>1.4</v>
      </c>
      <c r="F276" s="31">
        <v>1.3</v>
      </c>
      <c r="G276" s="31">
        <v>1.2</v>
      </c>
      <c r="H276" s="31">
        <v>1.1000000000000001</v>
      </c>
      <c r="I276" s="31">
        <v>1.2</v>
      </c>
      <c r="J276" s="31">
        <v>2.1</v>
      </c>
      <c r="K276" s="31">
        <v>2.9</v>
      </c>
      <c r="L276" s="31">
        <v>3.6</v>
      </c>
      <c r="M276" s="31">
        <v>4.2</v>
      </c>
      <c r="N276" s="31">
        <v>4.7</v>
      </c>
      <c r="O276" s="31">
        <v>5.2</v>
      </c>
      <c r="P276" s="31">
        <v>5.7</v>
      </c>
    </row>
    <row r="277" spans="1:16" ht="24.75" customHeight="1">
      <c r="A277" s="31" t="s">
        <v>178</v>
      </c>
      <c r="B277" s="31">
        <v>40</v>
      </c>
      <c r="C277" s="31">
        <v>1.59</v>
      </c>
      <c r="D277" s="31">
        <v>1.49</v>
      </c>
      <c r="E277" s="31">
        <v>1.39</v>
      </c>
      <c r="F277" s="31">
        <v>1.29</v>
      </c>
      <c r="G277" s="31">
        <v>1.19</v>
      </c>
      <c r="H277" s="31">
        <v>1.0900000000000001</v>
      </c>
      <c r="I277" s="31">
        <v>1.19</v>
      </c>
      <c r="J277" s="31">
        <v>2.09</v>
      </c>
      <c r="K277" s="31">
        <v>2.89</v>
      </c>
      <c r="L277" s="31">
        <v>3.59</v>
      </c>
      <c r="M277" s="31">
        <v>4.1900000000000004</v>
      </c>
      <c r="N277" s="31">
        <v>4.6900000000000004</v>
      </c>
    </row>
    <row r="278" spans="1:16" ht="24.75" customHeight="1">
      <c r="A278" s="31" t="s">
        <v>178</v>
      </c>
      <c r="B278" s="31">
        <v>40</v>
      </c>
      <c r="C278" s="31">
        <v>0.8</v>
      </c>
      <c r="D278" s="31">
        <v>0.7</v>
      </c>
      <c r="E278" s="31">
        <v>0.6</v>
      </c>
      <c r="F278" s="31">
        <v>0.5</v>
      </c>
      <c r="G278" s="31">
        <v>0.4</v>
      </c>
      <c r="H278" s="31">
        <v>0.3</v>
      </c>
      <c r="I278" s="31">
        <v>0.4</v>
      </c>
      <c r="J278" s="31">
        <v>1.3</v>
      </c>
      <c r="K278" s="31">
        <v>2.1</v>
      </c>
      <c r="L278" s="31">
        <v>2.8</v>
      </c>
      <c r="M278" s="31">
        <v>3.4</v>
      </c>
      <c r="N278" s="31">
        <v>3.9</v>
      </c>
      <c r="O278" s="31">
        <v>4.4000000000000004</v>
      </c>
      <c r="P278" s="31">
        <v>4.9000000000000004</v>
      </c>
    </row>
    <row r="279" spans="1:16" ht="24.75" customHeight="1">
      <c r="A279" s="31" t="s">
        <v>178</v>
      </c>
      <c r="B279" s="31">
        <v>30</v>
      </c>
      <c r="C279" s="31">
        <v>0.79</v>
      </c>
      <c r="D279" s="31">
        <v>0.69</v>
      </c>
      <c r="E279" s="31">
        <v>0.59</v>
      </c>
      <c r="F279" s="31">
        <v>0.49</v>
      </c>
      <c r="G279" s="31">
        <v>0.39</v>
      </c>
      <c r="H279" s="31">
        <v>0.28999999999999998</v>
      </c>
      <c r="I279" s="31">
        <v>0.39</v>
      </c>
      <c r="J279" s="31">
        <v>1.29</v>
      </c>
      <c r="K279" s="31">
        <v>2.09</v>
      </c>
      <c r="L279" s="31">
        <v>2.79</v>
      </c>
      <c r="M279" s="31">
        <v>3.39</v>
      </c>
      <c r="N279" s="31">
        <v>3.89</v>
      </c>
    </row>
    <row r="280" spans="1:16" ht="24.75" customHeight="1">
      <c r="A280" s="31" t="s">
        <v>178</v>
      </c>
      <c r="B280" s="31">
        <v>30</v>
      </c>
      <c r="C280" s="31">
        <v>0</v>
      </c>
      <c r="D280" s="31">
        <v>-0.1</v>
      </c>
      <c r="E280" s="31">
        <v>-0.2</v>
      </c>
      <c r="F280" s="31">
        <v>-0.3</v>
      </c>
      <c r="G280" s="31">
        <v>-0.4</v>
      </c>
      <c r="H280" s="31">
        <v>-0.5</v>
      </c>
      <c r="I280" s="31">
        <v>-0.4</v>
      </c>
      <c r="J280" s="31">
        <v>0.5</v>
      </c>
      <c r="K280" s="31">
        <v>1.3</v>
      </c>
      <c r="L280" s="31">
        <v>2</v>
      </c>
      <c r="M280" s="31">
        <v>2.6</v>
      </c>
      <c r="N280" s="31">
        <v>3.1</v>
      </c>
      <c r="O280" s="31">
        <v>3.6</v>
      </c>
      <c r="P280" s="31">
        <v>4.0999999999999996</v>
      </c>
    </row>
    <row r="281" spans="1:16" ht="24.75" customHeight="1">
      <c r="A281" s="31" t="s">
        <v>178</v>
      </c>
      <c r="B281" s="31">
        <v>20</v>
      </c>
      <c r="C281" s="31">
        <v>-0.99</v>
      </c>
      <c r="D281" s="31">
        <v>-0.11</v>
      </c>
      <c r="E281" s="31">
        <v>-0.21</v>
      </c>
      <c r="F281" s="31">
        <v>-0.31</v>
      </c>
      <c r="G281" s="31">
        <v>-0.41</v>
      </c>
      <c r="H281" s="31">
        <v>-0.51</v>
      </c>
      <c r="I281" s="31">
        <v>-0.41</v>
      </c>
      <c r="J281" s="31">
        <v>0.49</v>
      </c>
      <c r="K281" s="31">
        <v>1.29</v>
      </c>
      <c r="L281" s="31">
        <v>1.99</v>
      </c>
      <c r="M281" s="31">
        <v>2.59</v>
      </c>
      <c r="N281" s="31">
        <v>3.09</v>
      </c>
    </row>
    <row r="282" spans="1:16" ht="24.75" customHeight="1">
      <c r="A282" s="31" t="s">
        <v>178</v>
      </c>
      <c r="B282" s="31">
        <v>20</v>
      </c>
      <c r="C282" s="31">
        <v>-0.8</v>
      </c>
      <c r="D282" s="31">
        <v>-0.9</v>
      </c>
      <c r="E282" s="31">
        <v>-1</v>
      </c>
      <c r="F282" s="31">
        <v>-1.1000000000000001</v>
      </c>
      <c r="G282" s="31">
        <v>-1.2</v>
      </c>
      <c r="H282" s="31">
        <v>-1.3</v>
      </c>
      <c r="I282" s="31">
        <v>-1.2</v>
      </c>
      <c r="J282" s="31">
        <v>-0.3</v>
      </c>
      <c r="K282" s="31">
        <v>0.5</v>
      </c>
      <c r="L282" s="31">
        <v>1.2</v>
      </c>
      <c r="M282" s="31">
        <v>1.8</v>
      </c>
      <c r="N282" s="31">
        <v>2.2999999999999998</v>
      </c>
      <c r="O282" s="31">
        <v>2.8</v>
      </c>
      <c r="P282" s="31">
        <v>3.3</v>
      </c>
    </row>
    <row r="283" spans="1:16" ht="24.75" customHeight="1">
      <c r="A283" s="31" t="s">
        <v>178</v>
      </c>
      <c r="B283" s="31">
        <v>10</v>
      </c>
      <c r="C283" s="31">
        <v>-0.81</v>
      </c>
      <c r="D283" s="31">
        <v>-0.91</v>
      </c>
      <c r="E283" s="31">
        <v>-1.01</v>
      </c>
      <c r="F283" s="31">
        <v>-1.1100000000000001</v>
      </c>
      <c r="G283" s="31">
        <v>-1.21</v>
      </c>
      <c r="H283" s="31">
        <v>-1.31</v>
      </c>
      <c r="I283" s="31">
        <v>-1.21</v>
      </c>
      <c r="J283" s="31">
        <v>-0.31</v>
      </c>
      <c r="K283" s="31">
        <v>0.49</v>
      </c>
      <c r="L283" s="31">
        <v>1.19</v>
      </c>
      <c r="M283" s="31">
        <v>1.79</v>
      </c>
      <c r="N283" s="31">
        <v>2.29</v>
      </c>
    </row>
    <row r="284" spans="1:16" ht="24.75" customHeight="1">
      <c r="A284" s="31" t="s">
        <v>178</v>
      </c>
      <c r="B284" s="31">
        <v>10</v>
      </c>
      <c r="C284" s="31">
        <v>-1.6</v>
      </c>
      <c r="D284" s="31">
        <v>-1.7</v>
      </c>
      <c r="E284" s="31">
        <v>-1.8</v>
      </c>
      <c r="F284" s="31">
        <v>-1.9</v>
      </c>
      <c r="G284" s="31">
        <v>-2</v>
      </c>
      <c r="H284" s="31">
        <v>-2.1</v>
      </c>
      <c r="I284" s="31">
        <v>-2</v>
      </c>
      <c r="J284" s="31">
        <v>-1.1000000000000001</v>
      </c>
      <c r="K284" s="31">
        <v>-0.3</v>
      </c>
      <c r="L284" s="31">
        <v>0.4</v>
      </c>
      <c r="M284" s="31">
        <v>1</v>
      </c>
      <c r="N284" s="31">
        <v>1.5</v>
      </c>
      <c r="O284" s="31">
        <v>2</v>
      </c>
      <c r="P284" s="31">
        <v>2.5</v>
      </c>
    </row>
    <row r="285" spans="1:16" ht="24.75" customHeight="1">
      <c r="A285" s="31" t="s">
        <v>178</v>
      </c>
      <c r="B285" s="31">
        <v>0</v>
      </c>
      <c r="C285" s="31">
        <v>-1.61</v>
      </c>
      <c r="D285" s="31">
        <v>-1.71</v>
      </c>
      <c r="E285" s="31">
        <v>-1.81</v>
      </c>
      <c r="F285" s="31">
        <v>-1.91</v>
      </c>
      <c r="G285" s="31">
        <v>-2.0099999999999998</v>
      </c>
      <c r="H285" s="31">
        <v>-2.11</v>
      </c>
      <c r="I285" s="31">
        <v>-2.0099999999999998</v>
      </c>
      <c r="J285" s="31">
        <v>-1.1100000000000001</v>
      </c>
      <c r="K285" s="31">
        <v>-0.31</v>
      </c>
      <c r="L285" s="31">
        <v>0.39</v>
      </c>
      <c r="M285" s="31">
        <v>0.99</v>
      </c>
      <c r="N285" s="31">
        <v>1.49</v>
      </c>
    </row>
    <row r="286" spans="1:16" ht="24.75" customHeight="1">
      <c r="A286" s="31" t="s">
        <v>178</v>
      </c>
      <c r="B286" s="31">
        <v>0</v>
      </c>
      <c r="C286" s="31">
        <v>-20</v>
      </c>
      <c r="D286" s="31">
        <v>-20</v>
      </c>
      <c r="E286" s="31">
        <v>-20</v>
      </c>
      <c r="F286" s="31">
        <v>-20</v>
      </c>
      <c r="G286" s="31">
        <v>-20</v>
      </c>
      <c r="H286" s="31">
        <v>-20</v>
      </c>
      <c r="I286" s="31">
        <v>-20</v>
      </c>
      <c r="J286" s="31">
        <v>-20</v>
      </c>
      <c r="K286" s="31">
        <v>-20</v>
      </c>
      <c r="L286" s="31">
        <v>-20</v>
      </c>
      <c r="M286" s="31">
        <v>-20</v>
      </c>
      <c r="N286" s="31">
        <v>-20</v>
      </c>
    </row>
    <row r="287" spans="1:16" ht="24.75" customHeight="1">
      <c r="A287" s="31" t="s">
        <v>249</v>
      </c>
    </row>
    <row r="288" spans="1:16" ht="24.75" customHeight="1">
      <c r="A288" s="35" t="s">
        <v>163</v>
      </c>
      <c r="B288" s="31" t="s">
        <v>164</v>
      </c>
      <c r="C288" s="35" t="s">
        <v>165</v>
      </c>
      <c r="D288" s="35" t="s">
        <v>166</v>
      </c>
      <c r="E288" s="35" t="s">
        <v>167</v>
      </c>
      <c r="F288" s="35" t="s">
        <v>168</v>
      </c>
      <c r="G288" s="35" t="s">
        <v>169</v>
      </c>
      <c r="H288" s="35" t="s">
        <v>170</v>
      </c>
    </row>
    <row r="289" spans="1:8" ht="24.75" customHeight="1">
      <c r="A289" s="35"/>
      <c r="B289" s="31" t="s">
        <v>177</v>
      </c>
      <c r="C289" s="35"/>
      <c r="D289" s="35"/>
      <c r="E289" s="35"/>
      <c r="F289" s="35"/>
      <c r="G289" s="35"/>
      <c r="H289" s="35"/>
    </row>
    <row r="290" spans="1:8" ht="24.75" customHeight="1">
      <c r="A290" s="31" t="s">
        <v>181</v>
      </c>
      <c r="B290" s="31">
        <v>120</v>
      </c>
      <c r="C290" s="31">
        <v>300</v>
      </c>
      <c r="D290" s="31">
        <v>300</v>
      </c>
      <c r="E290" s="31">
        <v>300</v>
      </c>
      <c r="F290" s="31">
        <v>300</v>
      </c>
      <c r="G290" s="31">
        <v>300</v>
      </c>
      <c r="H290" s="31">
        <v>300</v>
      </c>
    </row>
    <row r="291" spans="1:8" ht="24.75" customHeight="1">
      <c r="A291" s="31" t="s">
        <v>181</v>
      </c>
      <c r="B291" s="31">
        <v>120</v>
      </c>
      <c r="C291" s="31">
        <v>149</v>
      </c>
      <c r="D291" s="31">
        <v>157</v>
      </c>
      <c r="E291" s="31">
        <v>166</v>
      </c>
      <c r="F291" s="31">
        <v>177</v>
      </c>
      <c r="G291" s="31">
        <v>188</v>
      </c>
      <c r="H291" s="31">
        <v>197</v>
      </c>
    </row>
    <row r="292" spans="1:8" ht="24.75" customHeight="1">
      <c r="A292" s="31" t="s">
        <v>181</v>
      </c>
      <c r="B292" s="31">
        <v>119</v>
      </c>
      <c r="C292" s="31">
        <v>148</v>
      </c>
      <c r="D292" s="31">
        <v>156</v>
      </c>
      <c r="E292" s="31">
        <v>165</v>
      </c>
      <c r="F292" s="31">
        <v>176</v>
      </c>
      <c r="G292" s="31">
        <v>187</v>
      </c>
      <c r="H292" s="31">
        <v>196</v>
      </c>
    </row>
    <row r="293" spans="1:8" ht="24.75" customHeight="1">
      <c r="A293" s="31" t="s">
        <v>181</v>
      </c>
      <c r="B293" s="31">
        <v>119</v>
      </c>
      <c r="C293" s="31">
        <v>147</v>
      </c>
      <c r="D293" s="31">
        <v>155</v>
      </c>
      <c r="E293" s="31">
        <v>164</v>
      </c>
      <c r="F293" s="31">
        <v>175</v>
      </c>
      <c r="G293" s="31">
        <v>186</v>
      </c>
      <c r="H293" s="31">
        <v>195</v>
      </c>
    </row>
    <row r="294" spans="1:8" ht="24.75" customHeight="1">
      <c r="A294" s="31" t="s">
        <v>181</v>
      </c>
      <c r="B294" s="31">
        <v>118</v>
      </c>
      <c r="C294" s="31">
        <v>146</v>
      </c>
      <c r="D294" s="31">
        <v>154</v>
      </c>
      <c r="E294" s="31">
        <v>163</v>
      </c>
      <c r="F294" s="31">
        <v>174</v>
      </c>
      <c r="G294" s="31">
        <v>185</v>
      </c>
      <c r="H294" s="31">
        <v>194</v>
      </c>
    </row>
    <row r="295" spans="1:8" ht="24.75" customHeight="1">
      <c r="A295" s="31" t="s">
        <v>181</v>
      </c>
      <c r="B295" s="31">
        <v>118</v>
      </c>
      <c r="C295" s="31">
        <v>145</v>
      </c>
      <c r="D295" s="31">
        <v>153</v>
      </c>
      <c r="E295" s="31">
        <v>162</v>
      </c>
      <c r="F295" s="31">
        <v>173</v>
      </c>
      <c r="G295" s="31">
        <v>184</v>
      </c>
      <c r="H295" s="31">
        <v>193</v>
      </c>
    </row>
    <row r="296" spans="1:8" ht="24.75" customHeight="1">
      <c r="A296" s="31" t="s">
        <v>181</v>
      </c>
      <c r="B296" s="31">
        <v>117</v>
      </c>
      <c r="C296" s="31">
        <v>144</v>
      </c>
      <c r="D296" s="31">
        <v>152</v>
      </c>
      <c r="E296" s="31">
        <v>161</v>
      </c>
      <c r="F296" s="31">
        <v>172</v>
      </c>
      <c r="G296" s="31">
        <v>183</v>
      </c>
      <c r="H296" s="31">
        <v>192</v>
      </c>
    </row>
    <row r="297" spans="1:8" ht="24.75" customHeight="1">
      <c r="A297" s="31" t="s">
        <v>181</v>
      </c>
      <c r="B297" s="31">
        <v>117</v>
      </c>
      <c r="C297" s="31">
        <v>143</v>
      </c>
      <c r="D297" s="31">
        <v>151</v>
      </c>
      <c r="E297" s="31">
        <v>160</v>
      </c>
      <c r="F297" s="31">
        <v>171</v>
      </c>
      <c r="G297" s="31">
        <v>182</v>
      </c>
      <c r="H297" s="31">
        <v>191</v>
      </c>
    </row>
    <row r="298" spans="1:8" ht="24.75" customHeight="1">
      <c r="A298" s="31" t="s">
        <v>181</v>
      </c>
      <c r="B298" s="31">
        <v>116</v>
      </c>
      <c r="C298" s="31">
        <v>142</v>
      </c>
      <c r="D298" s="31">
        <v>150</v>
      </c>
      <c r="E298" s="31">
        <v>159</v>
      </c>
      <c r="F298" s="31">
        <v>170</v>
      </c>
      <c r="G298" s="31">
        <v>181</v>
      </c>
      <c r="H298" s="31">
        <v>190</v>
      </c>
    </row>
    <row r="299" spans="1:8" ht="24.75" customHeight="1">
      <c r="A299" s="31" t="s">
        <v>181</v>
      </c>
      <c r="B299" s="31">
        <v>116</v>
      </c>
      <c r="C299" s="31">
        <v>141</v>
      </c>
      <c r="D299" s="31">
        <v>149</v>
      </c>
      <c r="E299" s="31">
        <v>158</v>
      </c>
      <c r="F299" s="31">
        <v>169</v>
      </c>
      <c r="G299" s="31">
        <v>180</v>
      </c>
      <c r="H299" s="31">
        <v>189</v>
      </c>
    </row>
    <row r="300" spans="1:8" ht="24.75" customHeight="1">
      <c r="A300" s="31" t="s">
        <v>181</v>
      </c>
      <c r="B300" s="31">
        <v>115</v>
      </c>
      <c r="C300" s="31">
        <v>140</v>
      </c>
      <c r="D300" s="31">
        <v>148</v>
      </c>
      <c r="E300" s="31">
        <v>157</v>
      </c>
      <c r="F300" s="31">
        <v>168</v>
      </c>
      <c r="G300" s="31">
        <v>179</v>
      </c>
      <c r="H300" s="31">
        <v>188</v>
      </c>
    </row>
    <row r="301" spans="1:8" ht="24.75" customHeight="1">
      <c r="A301" s="31" t="s">
        <v>181</v>
      </c>
      <c r="B301" s="31">
        <v>115</v>
      </c>
      <c r="C301" s="31">
        <v>139</v>
      </c>
      <c r="D301" s="31">
        <v>147</v>
      </c>
      <c r="E301" s="31">
        <v>156</v>
      </c>
      <c r="F301" s="31">
        <v>167</v>
      </c>
      <c r="G301" s="31">
        <v>178</v>
      </c>
      <c r="H301" s="31">
        <v>187</v>
      </c>
    </row>
    <row r="302" spans="1:8" ht="24.75" customHeight="1">
      <c r="A302" s="31" t="s">
        <v>181</v>
      </c>
      <c r="B302" s="31">
        <v>114</v>
      </c>
      <c r="C302" s="31">
        <v>138</v>
      </c>
      <c r="D302" s="31">
        <v>146</v>
      </c>
      <c r="E302" s="31">
        <v>155</v>
      </c>
      <c r="F302" s="31">
        <v>166</v>
      </c>
      <c r="G302" s="31">
        <v>177</v>
      </c>
      <c r="H302" s="31">
        <v>186</v>
      </c>
    </row>
    <row r="303" spans="1:8" ht="24.75" customHeight="1">
      <c r="A303" s="31" t="s">
        <v>181</v>
      </c>
      <c r="B303" s="31">
        <v>114</v>
      </c>
      <c r="C303" s="31">
        <v>137</v>
      </c>
      <c r="D303" s="31">
        <v>145</v>
      </c>
      <c r="E303" s="31">
        <v>154</v>
      </c>
      <c r="F303" s="31">
        <v>165</v>
      </c>
      <c r="G303" s="31">
        <v>176</v>
      </c>
      <c r="H303" s="31">
        <v>185</v>
      </c>
    </row>
    <row r="304" spans="1:8" ht="24.75" customHeight="1">
      <c r="A304" s="31" t="s">
        <v>181</v>
      </c>
      <c r="B304" s="31">
        <v>113</v>
      </c>
      <c r="C304" s="31">
        <v>136</v>
      </c>
      <c r="D304" s="31">
        <v>144</v>
      </c>
      <c r="E304" s="31">
        <v>153</v>
      </c>
      <c r="F304" s="31">
        <v>164</v>
      </c>
      <c r="G304" s="31">
        <v>175</v>
      </c>
      <c r="H304" s="31">
        <v>184</v>
      </c>
    </row>
    <row r="305" spans="1:8" ht="24.75" customHeight="1">
      <c r="A305" s="31" t="s">
        <v>181</v>
      </c>
      <c r="B305" s="31">
        <v>113</v>
      </c>
      <c r="C305" s="31">
        <v>135</v>
      </c>
      <c r="D305" s="31">
        <v>143</v>
      </c>
      <c r="E305" s="31">
        <v>152</v>
      </c>
      <c r="F305" s="31">
        <v>163</v>
      </c>
      <c r="G305" s="31">
        <v>174</v>
      </c>
      <c r="H305" s="31">
        <v>183</v>
      </c>
    </row>
    <row r="306" spans="1:8" ht="24.75" customHeight="1">
      <c r="A306" s="31" t="s">
        <v>181</v>
      </c>
      <c r="B306" s="31">
        <v>112</v>
      </c>
      <c r="C306" s="31">
        <v>134</v>
      </c>
      <c r="D306" s="31">
        <v>142</v>
      </c>
      <c r="E306" s="31">
        <v>151</v>
      </c>
      <c r="F306" s="31">
        <v>162</v>
      </c>
      <c r="G306" s="31">
        <v>173</v>
      </c>
      <c r="H306" s="31">
        <v>182</v>
      </c>
    </row>
    <row r="307" spans="1:8" ht="24.75" customHeight="1">
      <c r="A307" s="31" t="s">
        <v>181</v>
      </c>
      <c r="B307" s="31">
        <v>112</v>
      </c>
      <c r="C307" s="31">
        <v>133</v>
      </c>
      <c r="D307" s="31">
        <v>141</v>
      </c>
      <c r="E307" s="31">
        <v>150</v>
      </c>
      <c r="F307" s="31">
        <v>161</v>
      </c>
      <c r="G307" s="31">
        <v>172</v>
      </c>
      <c r="H307" s="31">
        <v>181</v>
      </c>
    </row>
    <row r="308" spans="1:8" ht="24.75" customHeight="1">
      <c r="A308" s="31" t="s">
        <v>181</v>
      </c>
      <c r="B308" s="31">
        <v>111</v>
      </c>
      <c r="C308" s="31">
        <v>132</v>
      </c>
      <c r="D308" s="31">
        <v>140</v>
      </c>
      <c r="E308" s="31">
        <v>149</v>
      </c>
      <c r="F308" s="31">
        <v>160</v>
      </c>
      <c r="G308" s="31">
        <v>171</v>
      </c>
      <c r="H308" s="31">
        <v>180</v>
      </c>
    </row>
    <row r="309" spans="1:8" ht="24.75" customHeight="1">
      <c r="A309" s="31" t="s">
        <v>181</v>
      </c>
      <c r="B309" s="31">
        <v>111</v>
      </c>
      <c r="C309" s="31">
        <v>131</v>
      </c>
      <c r="D309" s="31">
        <v>139</v>
      </c>
      <c r="E309" s="31">
        <v>148</v>
      </c>
      <c r="F309" s="31">
        <v>159</v>
      </c>
      <c r="G309" s="31">
        <v>170</v>
      </c>
      <c r="H309" s="31">
        <v>179</v>
      </c>
    </row>
    <row r="310" spans="1:8" ht="24.75" customHeight="1">
      <c r="A310" s="31" t="s">
        <v>181</v>
      </c>
      <c r="B310" s="31">
        <v>110</v>
      </c>
      <c r="C310" s="31">
        <v>130</v>
      </c>
      <c r="D310" s="31">
        <v>138</v>
      </c>
      <c r="E310" s="31">
        <v>147</v>
      </c>
      <c r="F310" s="31">
        <v>158</v>
      </c>
      <c r="G310" s="31">
        <v>169</v>
      </c>
      <c r="H310" s="31">
        <v>178</v>
      </c>
    </row>
    <row r="311" spans="1:8" ht="24.75" customHeight="1">
      <c r="A311" s="31" t="s">
        <v>181</v>
      </c>
      <c r="B311" s="31">
        <v>110</v>
      </c>
      <c r="C311" s="31">
        <v>129</v>
      </c>
      <c r="D311" s="31">
        <v>137</v>
      </c>
      <c r="E311" s="31">
        <v>146</v>
      </c>
      <c r="F311" s="31">
        <v>157</v>
      </c>
      <c r="G311" s="31">
        <v>168</v>
      </c>
      <c r="H311" s="31">
        <v>177</v>
      </c>
    </row>
    <row r="312" spans="1:8" ht="24.75" customHeight="1">
      <c r="A312" s="31" t="s">
        <v>181</v>
      </c>
      <c r="B312" s="31">
        <v>109</v>
      </c>
      <c r="C312" s="31">
        <v>128</v>
      </c>
      <c r="D312" s="31">
        <v>136</v>
      </c>
      <c r="E312" s="31">
        <v>145</v>
      </c>
      <c r="F312" s="31">
        <v>156</v>
      </c>
      <c r="G312" s="31">
        <v>167</v>
      </c>
      <c r="H312" s="31">
        <v>176</v>
      </c>
    </row>
    <row r="313" spans="1:8" ht="24.75" customHeight="1">
      <c r="A313" s="31" t="s">
        <v>181</v>
      </c>
      <c r="B313" s="31">
        <v>109</v>
      </c>
      <c r="C313" s="31">
        <v>127</v>
      </c>
      <c r="D313" s="31">
        <v>135</v>
      </c>
      <c r="E313" s="31">
        <v>144</v>
      </c>
      <c r="F313" s="31">
        <v>155</v>
      </c>
      <c r="G313" s="31">
        <v>166</v>
      </c>
      <c r="H313" s="31">
        <v>175</v>
      </c>
    </row>
    <row r="314" spans="1:8" ht="24.75" customHeight="1">
      <c r="A314" s="31" t="s">
        <v>181</v>
      </c>
      <c r="B314" s="31">
        <v>108</v>
      </c>
      <c r="C314" s="31">
        <v>126</v>
      </c>
      <c r="D314" s="31">
        <v>134</v>
      </c>
      <c r="E314" s="31">
        <v>143</v>
      </c>
      <c r="F314" s="31">
        <v>154</v>
      </c>
      <c r="G314" s="31">
        <v>165</v>
      </c>
      <c r="H314" s="31">
        <v>174</v>
      </c>
    </row>
    <row r="315" spans="1:8" ht="24.75" customHeight="1">
      <c r="A315" s="31" t="s">
        <v>181</v>
      </c>
      <c r="B315" s="31">
        <v>108</v>
      </c>
      <c r="C315" s="31">
        <v>125</v>
      </c>
      <c r="D315" s="31">
        <v>133</v>
      </c>
      <c r="E315" s="31">
        <v>142</v>
      </c>
      <c r="F315" s="31">
        <v>153</v>
      </c>
      <c r="G315" s="31">
        <v>164</v>
      </c>
      <c r="H315" s="31">
        <v>173</v>
      </c>
    </row>
    <row r="316" spans="1:8" ht="24.75" customHeight="1">
      <c r="A316" s="31" t="s">
        <v>181</v>
      </c>
      <c r="B316" s="31">
        <v>107</v>
      </c>
      <c r="C316" s="31">
        <v>124</v>
      </c>
      <c r="D316" s="31">
        <v>132</v>
      </c>
      <c r="E316" s="31">
        <v>141</v>
      </c>
      <c r="F316" s="31">
        <v>152</v>
      </c>
      <c r="G316" s="31">
        <v>163</v>
      </c>
      <c r="H316" s="31">
        <v>172</v>
      </c>
    </row>
    <row r="317" spans="1:8" ht="24.75" customHeight="1">
      <c r="A317" s="31" t="s">
        <v>181</v>
      </c>
      <c r="B317" s="31">
        <v>107</v>
      </c>
      <c r="C317" s="31">
        <v>123</v>
      </c>
      <c r="D317" s="31">
        <v>131</v>
      </c>
      <c r="E317" s="31">
        <v>140</v>
      </c>
      <c r="F317" s="31">
        <v>151</v>
      </c>
      <c r="G317" s="31">
        <v>162</v>
      </c>
      <c r="H317" s="31">
        <v>171</v>
      </c>
    </row>
    <row r="318" spans="1:8" ht="24.75" customHeight="1">
      <c r="A318" s="31" t="s">
        <v>181</v>
      </c>
      <c r="B318" s="31">
        <v>106</v>
      </c>
      <c r="C318" s="31">
        <v>122</v>
      </c>
      <c r="D318" s="31">
        <v>130</v>
      </c>
      <c r="E318" s="31">
        <v>139</v>
      </c>
      <c r="F318" s="31">
        <v>150</v>
      </c>
      <c r="G318" s="31">
        <v>161</v>
      </c>
      <c r="H318" s="31">
        <v>170</v>
      </c>
    </row>
    <row r="319" spans="1:8" ht="24.75" customHeight="1">
      <c r="A319" s="31" t="s">
        <v>181</v>
      </c>
      <c r="B319" s="31">
        <v>106</v>
      </c>
      <c r="C319" s="31">
        <v>121</v>
      </c>
      <c r="D319" s="31">
        <v>129</v>
      </c>
      <c r="E319" s="31">
        <v>138</v>
      </c>
      <c r="F319" s="31">
        <v>149</v>
      </c>
      <c r="G319" s="31">
        <v>160</v>
      </c>
      <c r="H319" s="31">
        <v>169</v>
      </c>
    </row>
    <row r="320" spans="1:8" ht="24.75" customHeight="1">
      <c r="A320" s="31" t="s">
        <v>181</v>
      </c>
      <c r="B320" s="31">
        <v>105</v>
      </c>
      <c r="C320" s="31">
        <v>120</v>
      </c>
      <c r="D320" s="31">
        <v>128</v>
      </c>
      <c r="E320" s="31">
        <v>137</v>
      </c>
      <c r="F320" s="31">
        <v>148</v>
      </c>
      <c r="G320" s="31">
        <v>159</v>
      </c>
      <c r="H320" s="31">
        <v>168</v>
      </c>
    </row>
    <row r="321" spans="1:8" ht="24.75" customHeight="1">
      <c r="A321" s="31" t="s">
        <v>181</v>
      </c>
      <c r="B321" s="31">
        <v>105</v>
      </c>
      <c r="C321" s="31">
        <v>119</v>
      </c>
      <c r="D321" s="31">
        <v>127</v>
      </c>
      <c r="E321" s="31">
        <v>136</v>
      </c>
      <c r="F321" s="31">
        <v>147</v>
      </c>
      <c r="G321" s="31">
        <v>158</v>
      </c>
      <c r="H321" s="31">
        <v>167</v>
      </c>
    </row>
    <row r="322" spans="1:8" ht="24.75" customHeight="1">
      <c r="A322" s="31" t="s">
        <v>181</v>
      </c>
      <c r="B322" s="31">
        <v>104</v>
      </c>
      <c r="C322" s="31">
        <v>118</v>
      </c>
      <c r="D322" s="31">
        <v>126</v>
      </c>
      <c r="E322" s="31">
        <v>135</v>
      </c>
      <c r="F322" s="31">
        <v>146</v>
      </c>
      <c r="G322" s="31">
        <v>157</v>
      </c>
      <c r="H322" s="31">
        <v>166</v>
      </c>
    </row>
    <row r="323" spans="1:8" ht="24.75" customHeight="1">
      <c r="A323" s="31" t="s">
        <v>181</v>
      </c>
      <c r="B323" s="31">
        <v>104</v>
      </c>
      <c r="C323" s="31">
        <v>117</v>
      </c>
      <c r="D323" s="31">
        <v>125</v>
      </c>
      <c r="E323" s="31">
        <v>134</v>
      </c>
      <c r="F323" s="31">
        <v>145</v>
      </c>
      <c r="G323" s="31">
        <v>156</v>
      </c>
      <c r="H323" s="31">
        <v>165</v>
      </c>
    </row>
    <row r="324" spans="1:8" ht="24.75" customHeight="1">
      <c r="A324" s="31" t="s">
        <v>181</v>
      </c>
      <c r="B324" s="31">
        <v>103</v>
      </c>
      <c r="C324" s="31">
        <v>116</v>
      </c>
      <c r="D324" s="31">
        <v>124</v>
      </c>
      <c r="E324" s="31">
        <v>133</v>
      </c>
      <c r="F324" s="31">
        <v>144</v>
      </c>
      <c r="G324" s="31">
        <v>155</v>
      </c>
      <c r="H324" s="31">
        <v>164</v>
      </c>
    </row>
    <row r="325" spans="1:8" ht="24.75" customHeight="1">
      <c r="A325" s="31" t="s">
        <v>181</v>
      </c>
      <c r="B325" s="31">
        <v>103</v>
      </c>
      <c r="C325" s="31">
        <v>115</v>
      </c>
      <c r="D325" s="31">
        <v>123</v>
      </c>
      <c r="E325" s="31">
        <v>132</v>
      </c>
      <c r="F325" s="31">
        <v>143</v>
      </c>
      <c r="G325" s="31">
        <v>154</v>
      </c>
      <c r="H325" s="31">
        <v>163</v>
      </c>
    </row>
    <row r="326" spans="1:8" ht="24.75" customHeight="1">
      <c r="A326" s="31" t="s">
        <v>181</v>
      </c>
      <c r="B326" s="31">
        <v>102</v>
      </c>
      <c r="C326" s="31">
        <v>114</v>
      </c>
      <c r="D326" s="31">
        <v>122</v>
      </c>
      <c r="E326" s="31">
        <v>131</v>
      </c>
      <c r="F326" s="31">
        <v>142</v>
      </c>
      <c r="G326" s="31">
        <v>153</v>
      </c>
      <c r="H326" s="31">
        <v>162</v>
      </c>
    </row>
    <row r="327" spans="1:8" ht="24.75" customHeight="1">
      <c r="A327" s="31" t="s">
        <v>181</v>
      </c>
      <c r="B327" s="31">
        <v>102</v>
      </c>
      <c r="C327" s="31">
        <v>113</v>
      </c>
      <c r="D327" s="31">
        <v>121</v>
      </c>
      <c r="E327" s="31">
        <v>130</v>
      </c>
      <c r="F327" s="31">
        <v>141</v>
      </c>
      <c r="G327" s="31">
        <v>152</v>
      </c>
      <c r="H327" s="31">
        <v>161</v>
      </c>
    </row>
    <row r="328" spans="1:8" ht="24.75" customHeight="1">
      <c r="A328" s="31" t="s">
        <v>181</v>
      </c>
      <c r="B328" s="31">
        <v>101</v>
      </c>
      <c r="C328" s="31">
        <v>112</v>
      </c>
      <c r="D328" s="31">
        <v>120</v>
      </c>
      <c r="E328" s="31">
        <v>129</v>
      </c>
      <c r="F328" s="31">
        <v>140</v>
      </c>
      <c r="G328" s="31">
        <v>151</v>
      </c>
      <c r="H328" s="31">
        <v>160</v>
      </c>
    </row>
    <row r="329" spans="1:8" ht="24.75" customHeight="1">
      <c r="A329" s="31" t="s">
        <v>181</v>
      </c>
      <c r="B329" s="31">
        <v>101</v>
      </c>
      <c r="C329" s="31">
        <v>111</v>
      </c>
      <c r="D329" s="31">
        <v>119</v>
      </c>
      <c r="E329" s="31">
        <v>128</v>
      </c>
      <c r="F329" s="31">
        <v>139</v>
      </c>
      <c r="G329" s="31">
        <v>150</v>
      </c>
      <c r="H329" s="31">
        <v>159</v>
      </c>
    </row>
    <row r="330" spans="1:8" ht="24.75" customHeight="1">
      <c r="A330" s="31" t="s">
        <v>181</v>
      </c>
      <c r="B330" s="31">
        <v>100</v>
      </c>
      <c r="C330" s="31">
        <v>110</v>
      </c>
      <c r="D330" s="31">
        <v>118</v>
      </c>
      <c r="E330" s="31">
        <v>127</v>
      </c>
      <c r="F330" s="31">
        <v>138</v>
      </c>
      <c r="G330" s="31">
        <v>149</v>
      </c>
      <c r="H330" s="31">
        <v>158</v>
      </c>
    </row>
    <row r="331" spans="1:8" ht="24.75" customHeight="1">
      <c r="A331" s="31" t="s">
        <v>181</v>
      </c>
      <c r="B331" s="31">
        <v>100</v>
      </c>
      <c r="C331" s="31">
        <v>109</v>
      </c>
      <c r="D331" s="31">
        <v>117</v>
      </c>
      <c r="E331" s="31">
        <v>126</v>
      </c>
      <c r="F331" s="31">
        <v>137</v>
      </c>
      <c r="G331" s="31">
        <v>148</v>
      </c>
      <c r="H331" s="31">
        <v>157</v>
      </c>
    </row>
    <row r="332" spans="1:8" ht="24.75" customHeight="1">
      <c r="A332" s="31" t="s">
        <v>181</v>
      </c>
      <c r="B332" s="31">
        <v>95</v>
      </c>
      <c r="C332" s="31">
        <v>108</v>
      </c>
      <c r="D332" s="31">
        <v>116</v>
      </c>
      <c r="E332" s="31">
        <v>125</v>
      </c>
      <c r="F332" s="31">
        <v>136</v>
      </c>
      <c r="G332" s="31">
        <v>147</v>
      </c>
      <c r="H332" s="31">
        <v>156</v>
      </c>
    </row>
    <row r="333" spans="1:8" ht="24.75" customHeight="1">
      <c r="A333" s="31" t="s">
        <v>181</v>
      </c>
      <c r="B333" s="31">
        <v>95</v>
      </c>
      <c r="C333" s="31">
        <v>104</v>
      </c>
      <c r="D333" s="31">
        <v>112</v>
      </c>
      <c r="E333" s="31">
        <v>121</v>
      </c>
      <c r="F333" s="31">
        <v>132</v>
      </c>
      <c r="G333" s="31">
        <v>143</v>
      </c>
      <c r="H333" s="31">
        <v>152</v>
      </c>
    </row>
    <row r="334" spans="1:8" ht="24.75" customHeight="1">
      <c r="A334" s="31" t="s">
        <v>181</v>
      </c>
      <c r="B334" s="31">
        <v>90</v>
      </c>
      <c r="C334" s="31">
        <v>103</v>
      </c>
      <c r="D334" s="31">
        <v>111</v>
      </c>
      <c r="E334" s="31">
        <v>120</v>
      </c>
      <c r="F334" s="31">
        <v>131</v>
      </c>
      <c r="G334" s="31">
        <v>142</v>
      </c>
      <c r="H334" s="31">
        <v>151</v>
      </c>
    </row>
    <row r="335" spans="1:8" ht="24.75" customHeight="1">
      <c r="A335" s="31" t="s">
        <v>181</v>
      </c>
      <c r="B335" s="31">
        <v>90</v>
      </c>
      <c r="C335" s="31">
        <v>99</v>
      </c>
      <c r="D335" s="31">
        <v>107</v>
      </c>
      <c r="E335" s="31">
        <v>116</v>
      </c>
      <c r="F335" s="31">
        <v>127</v>
      </c>
      <c r="G335" s="31">
        <v>138</v>
      </c>
      <c r="H335" s="31">
        <v>147</v>
      </c>
    </row>
    <row r="336" spans="1:8" ht="24.75" customHeight="1">
      <c r="A336" s="31" t="s">
        <v>180</v>
      </c>
      <c r="B336" s="31">
        <v>85</v>
      </c>
      <c r="C336" s="31">
        <v>98</v>
      </c>
      <c r="D336" s="31">
        <v>106</v>
      </c>
      <c r="E336" s="31">
        <v>115</v>
      </c>
      <c r="F336" s="31">
        <v>126</v>
      </c>
      <c r="G336" s="31">
        <v>137</v>
      </c>
      <c r="H336" s="31">
        <v>146</v>
      </c>
    </row>
    <row r="337" spans="1:8" ht="24.75" customHeight="1">
      <c r="A337" s="31" t="s">
        <v>180</v>
      </c>
      <c r="B337" s="31">
        <v>85</v>
      </c>
      <c r="C337" s="31">
        <v>93</v>
      </c>
      <c r="D337" s="31">
        <v>101</v>
      </c>
      <c r="E337" s="31">
        <v>110</v>
      </c>
      <c r="F337" s="31">
        <v>121</v>
      </c>
      <c r="G337" s="31">
        <v>132</v>
      </c>
      <c r="H337" s="31">
        <v>141</v>
      </c>
    </row>
    <row r="338" spans="1:8" ht="24.75" customHeight="1">
      <c r="A338" s="31" t="s">
        <v>180</v>
      </c>
      <c r="B338" s="31">
        <v>80</v>
      </c>
      <c r="C338" s="31">
        <v>92</v>
      </c>
      <c r="D338" s="31">
        <v>100</v>
      </c>
      <c r="E338" s="31">
        <v>109</v>
      </c>
      <c r="F338" s="31">
        <v>120</v>
      </c>
      <c r="G338" s="31">
        <v>131</v>
      </c>
      <c r="H338" s="31">
        <v>140</v>
      </c>
    </row>
    <row r="339" spans="1:8" ht="24.75" customHeight="1">
      <c r="A339" s="31" t="s">
        <v>180</v>
      </c>
      <c r="B339" s="31">
        <v>80</v>
      </c>
      <c r="C339" s="31">
        <v>87</v>
      </c>
      <c r="D339" s="31">
        <v>95</v>
      </c>
      <c r="E339" s="31">
        <v>104</v>
      </c>
      <c r="F339" s="31">
        <v>115</v>
      </c>
      <c r="G339" s="31">
        <v>126</v>
      </c>
      <c r="H339" s="31">
        <v>135</v>
      </c>
    </row>
    <row r="340" spans="1:8" ht="24.75" customHeight="1">
      <c r="A340" s="31" t="s">
        <v>179</v>
      </c>
      <c r="B340" s="31">
        <v>78</v>
      </c>
      <c r="C340" s="31">
        <v>86</v>
      </c>
      <c r="D340" s="31">
        <v>94</v>
      </c>
      <c r="E340" s="31">
        <v>103</v>
      </c>
      <c r="F340" s="31">
        <v>114</v>
      </c>
      <c r="G340" s="31">
        <v>125</v>
      </c>
      <c r="H340" s="31">
        <v>134</v>
      </c>
    </row>
    <row r="341" spans="1:8" ht="24.75" customHeight="1">
      <c r="A341" s="31" t="s">
        <v>179</v>
      </c>
      <c r="B341" s="31">
        <v>78</v>
      </c>
      <c r="C341" s="31">
        <v>80</v>
      </c>
      <c r="D341" s="31">
        <v>88</v>
      </c>
      <c r="E341" s="31">
        <v>97</v>
      </c>
      <c r="F341" s="31">
        <v>108</v>
      </c>
      <c r="G341" s="31">
        <v>119</v>
      </c>
      <c r="H341" s="31">
        <v>128</v>
      </c>
    </row>
    <row r="342" spans="1:8" ht="24.75" customHeight="1">
      <c r="A342" s="31" t="s">
        <v>179</v>
      </c>
      <c r="B342" s="31">
        <v>76</v>
      </c>
      <c r="C342" s="31">
        <v>79</v>
      </c>
      <c r="D342" s="31">
        <v>87</v>
      </c>
      <c r="E342" s="31">
        <v>96</v>
      </c>
      <c r="F342" s="31">
        <v>107</v>
      </c>
      <c r="G342" s="31">
        <v>118</v>
      </c>
      <c r="H342" s="31">
        <v>127</v>
      </c>
    </row>
    <row r="343" spans="1:8" ht="24.75" customHeight="1">
      <c r="A343" s="31" t="s">
        <v>179</v>
      </c>
      <c r="B343" s="31">
        <v>76</v>
      </c>
      <c r="C343" s="31">
        <v>73</v>
      </c>
      <c r="D343" s="31">
        <v>81</v>
      </c>
      <c r="E343" s="31">
        <v>90</v>
      </c>
      <c r="F343" s="31">
        <v>101</v>
      </c>
      <c r="G343" s="31">
        <v>112</v>
      </c>
      <c r="H343" s="31">
        <v>121</v>
      </c>
    </row>
    <row r="344" spans="1:8" ht="24.75" customHeight="1">
      <c r="A344" s="31" t="s">
        <v>179</v>
      </c>
      <c r="B344" s="31">
        <v>74</v>
      </c>
      <c r="C344" s="31">
        <v>72</v>
      </c>
      <c r="D344" s="31">
        <v>80</v>
      </c>
      <c r="E344" s="31">
        <v>89</v>
      </c>
      <c r="F344" s="31">
        <v>100</v>
      </c>
      <c r="G344" s="31">
        <v>111</v>
      </c>
      <c r="H344" s="31">
        <v>120</v>
      </c>
    </row>
    <row r="345" spans="1:8" ht="24.75" customHeight="1">
      <c r="A345" s="31" t="s">
        <v>179</v>
      </c>
      <c r="B345" s="31">
        <v>74</v>
      </c>
      <c r="C345" s="31">
        <v>66</v>
      </c>
      <c r="D345" s="31">
        <v>74</v>
      </c>
      <c r="E345" s="31">
        <v>83</v>
      </c>
      <c r="F345" s="31">
        <v>94</v>
      </c>
      <c r="G345" s="31">
        <v>105</v>
      </c>
      <c r="H345" s="31">
        <v>114</v>
      </c>
    </row>
    <row r="346" spans="1:8" ht="24.75" customHeight="1">
      <c r="A346" s="31" t="s">
        <v>179</v>
      </c>
      <c r="B346" s="31">
        <v>72</v>
      </c>
      <c r="C346" s="31">
        <v>65</v>
      </c>
      <c r="D346" s="31">
        <v>73</v>
      </c>
      <c r="E346" s="31">
        <v>82</v>
      </c>
      <c r="F346" s="31">
        <v>93</v>
      </c>
      <c r="G346" s="31">
        <v>104</v>
      </c>
      <c r="H346" s="31">
        <v>113</v>
      </c>
    </row>
    <row r="347" spans="1:8" ht="24.75" customHeight="1">
      <c r="A347" s="31" t="s">
        <v>179</v>
      </c>
      <c r="B347" s="31">
        <v>72</v>
      </c>
      <c r="C347" s="31">
        <v>59</v>
      </c>
      <c r="D347" s="31">
        <v>67</v>
      </c>
      <c r="E347" s="31">
        <v>76</v>
      </c>
      <c r="F347" s="31">
        <v>87</v>
      </c>
      <c r="G347" s="31">
        <v>98</v>
      </c>
      <c r="H347" s="31">
        <v>107</v>
      </c>
    </row>
    <row r="348" spans="1:8" ht="24.75" customHeight="1">
      <c r="A348" s="31" t="s">
        <v>179</v>
      </c>
      <c r="B348" s="31">
        <v>70</v>
      </c>
      <c r="C348" s="31">
        <v>58</v>
      </c>
      <c r="D348" s="31">
        <v>66</v>
      </c>
      <c r="E348" s="31">
        <v>75</v>
      </c>
      <c r="F348" s="31">
        <v>86</v>
      </c>
      <c r="G348" s="31">
        <v>97</v>
      </c>
      <c r="H348" s="31">
        <v>106</v>
      </c>
    </row>
    <row r="349" spans="1:8" ht="24.75" customHeight="1">
      <c r="A349" s="31" t="s">
        <v>179</v>
      </c>
      <c r="B349" s="31">
        <v>70</v>
      </c>
      <c r="C349" s="31">
        <v>52</v>
      </c>
      <c r="D349" s="31">
        <v>60</v>
      </c>
      <c r="E349" s="31">
        <v>69</v>
      </c>
      <c r="F349" s="31">
        <v>80</v>
      </c>
      <c r="G349" s="31">
        <v>91</v>
      </c>
      <c r="H349" s="31">
        <v>100</v>
      </c>
    </row>
    <row r="350" spans="1:8" ht="24.75" customHeight="1">
      <c r="A350" s="31" t="s">
        <v>179</v>
      </c>
      <c r="B350" s="31">
        <v>68</v>
      </c>
      <c r="C350" s="31">
        <v>51</v>
      </c>
      <c r="D350" s="31">
        <v>59</v>
      </c>
      <c r="E350" s="31">
        <v>68</v>
      </c>
      <c r="F350" s="31">
        <v>79</v>
      </c>
      <c r="G350" s="31">
        <v>90</v>
      </c>
      <c r="H350" s="31">
        <v>99</v>
      </c>
    </row>
    <row r="351" spans="1:8" ht="24.75" customHeight="1">
      <c r="A351" s="31" t="s">
        <v>179</v>
      </c>
      <c r="B351" s="31">
        <v>68</v>
      </c>
      <c r="C351" s="31">
        <v>45</v>
      </c>
      <c r="D351" s="31">
        <v>53</v>
      </c>
      <c r="E351" s="31">
        <v>62</v>
      </c>
      <c r="F351" s="31">
        <v>73</v>
      </c>
      <c r="G351" s="31">
        <v>84</v>
      </c>
      <c r="H351" s="31">
        <v>93</v>
      </c>
    </row>
    <row r="352" spans="1:8" ht="24.75" customHeight="1">
      <c r="A352" s="31" t="s">
        <v>179</v>
      </c>
      <c r="B352" s="31">
        <v>66</v>
      </c>
      <c r="C352" s="31">
        <v>44</v>
      </c>
      <c r="D352" s="31">
        <v>52</v>
      </c>
      <c r="E352" s="31">
        <v>61</v>
      </c>
      <c r="F352" s="31">
        <v>72</v>
      </c>
      <c r="G352" s="31">
        <v>83</v>
      </c>
      <c r="H352" s="31">
        <v>92</v>
      </c>
    </row>
    <row r="353" spans="1:8" ht="24.75" customHeight="1">
      <c r="A353" s="31" t="s">
        <v>179</v>
      </c>
      <c r="B353" s="31">
        <v>66</v>
      </c>
      <c r="C353" s="31">
        <v>38</v>
      </c>
      <c r="D353" s="31">
        <v>46</v>
      </c>
      <c r="E353" s="31">
        <v>55</v>
      </c>
      <c r="F353" s="31">
        <v>66</v>
      </c>
      <c r="G353" s="31">
        <v>77</v>
      </c>
      <c r="H353" s="31">
        <v>86</v>
      </c>
    </row>
    <row r="354" spans="1:8" ht="24.75" customHeight="1">
      <c r="A354" s="31" t="s">
        <v>179</v>
      </c>
      <c r="B354" s="31">
        <v>64</v>
      </c>
      <c r="C354" s="31">
        <v>37</v>
      </c>
      <c r="D354" s="31">
        <v>45</v>
      </c>
      <c r="E354" s="31">
        <v>54</v>
      </c>
      <c r="F354" s="31">
        <v>65</v>
      </c>
      <c r="G354" s="31">
        <v>76</v>
      </c>
      <c r="H354" s="31">
        <v>85</v>
      </c>
    </row>
    <row r="355" spans="1:8" ht="24.75" customHeight="1">
      <c r="A355" s="31" t="s">
        <v>179</v>
      </c>
      <c r="B355" s="31">
        <v>64</v>
      </c>
      <c r="C355" s="31">
        <v>31</v>
      </c>
      <c r="D355" s="31">
        <v>39</v>
      </c>
      <c r="E355" s="31">
        <v>48</v>
      </c>
      <c r="F355" s="31">
        <v>59</v>
      </c>
      <c r="G355" s="31">
        <v>70</v>
      </c>
      <c r="H355" s="31">
        <v>79</v>
      </c>
    </row>
    <row r="356" spans="1:8" ht="24.75" customHeight="1">
      <c r="A356" s="31" t="s">
        <v>179</v>
      </c>
      <c r="B356" s="31">
        <v>62</v>
      </c>
      <c r="C356" s="31">
        <v>30</v>
      </c>
      <c r="D356" s="31">
        <v>38</v>
      </c>
      <c r="E356" s="31">
        <v>47</v>
      </c>
      <c r="F356" s="31">
        <v>58</v>
      </c>
      <c r="G356" s="31">
        <v>69</v>
      </c>
      <c r="H356" s="31">
        <v>78</v>
      </c>
    </row>
    <row r="357" spans="1:8" ht="24.75" customHeight="1">
      <c r="A357" s="31" t="s">
        <v>179</v>
      </c>
      <c r="B357" s="31">
        <v>62</v>
      </c>
      <c r="C357" s="31">
        <v>24</v>
      </c>
      <c r="D357" s="31">
        <v>32</v>
      </c>
      <c r="E357" s="31">
        <v>41</v>
      </c>
      <c r="F357" s="31">
        <v>52</v>
      </c>
      <c r="G357" s="31">
        <v>63</v>
      </c>
      <c r="H357" s="31">
        <v>72</v>
      </c>
    </row>
    <row r="358" spans="1:8" ht="24.75" customHeight="1">
      <c r="A358" s="31" t="s">
        <v>179</v>
      </c>
      <c r="B358" s="31">
        <v>60</v>
      </c>
      <c r="C358" s="31">
        <v>23</v>
      </c>
      <c r="D358" s="31">
        <v>31</v>
      </c>
      <c r="E358" s="31">
        <v>40</v>
      </c>
      <c r="F358" s="31">
        <v>51</v>
      </c>
      <c r="G358" s="31">
        <v>62</v>
      </c>
      <c r="H358" s="31">
        <v>71</v>
      </c>
    </row>
    <row r="359" spans="1:8" ht="24.75" customHeight="1">
      <c r="A359" s="31" t="s">
        <v>179</v>
      </c>
      <c r="B359" s="31">
        <v>60</v>
      </c>
      <c r="C359" s="31">
        <v>17</v>
      </c>
      <c r="D359" s="31">
        <v>25</v>
      </c>
      <c r="E359" s="31">
        <v>34</v>
      </c>
      <c r="F359" s="31">
        <v>45</v>
      </c>
      <c r="G359" s="31">
        <v>56</v>
      </c>
      <c r="H359" s="31">
        <v>65</v>
      </c>
    </row>
    <row r="360" spans="1:8" ht="24.75" customHeight="1">
      <c r="A360" s="31" t="s">
        <v>178</v>
      </c>
      <c r="B360" s="31">
        <v>50</v>
      </c>
      <c r="C360" s="31">
        <v>16</v>
      </c>
      <c r="D360" s="31">
        <v>24</v>
      </c>
      <c r="E360" s="31">
        <v>33</v>
      </c>
      <c r="F360" s="31">
        <v>44</v>
      </c>
      <c r="G360" s="31">
        <v>55</v>
      </c>
      <c r="H360" s="31">
        <v>64</v>
      </c>
    </row>
    <row r="361" spans="1:8" ht="24.75" customHeight="1">
      <c r="A361" s="31" t="s">
        <v>178</v>
      </c>
      <c r="B361" s="31">
        <v>50</v>
      </c>
      <c r="C361" s="31">
        <v>14</v>
      </c>
      <c r="D361" s="31">
        <v>22</v>
      </c>
      <c r="E361" s="31">
        <v>31</v>
      </c>
      <c r="F361" s="31">
        <v>42</v>
      </c>
      <c r="G361" s="31">
        <v>53</v>
      </c>
      <c r="H361" s="31">
        <v>62</v>
      </c>
    </row>
    <row r="362" spans="1:8" ht="24.75" customHeight="1">
      <c r="A362" s="31" t="s">
        <v>178</v>
      </c>
      <c r="B362" s="31">
        <v>40</v>
      </c>
      <c r="C362" s="31">
        <v>13</v>
      </c>
      <c r="D362" s="31">
        <v>21</v>
      </c>
      <c r="E362" s="31">
        <v>30</v>
      </c>
      <c r="F362" s="31">
        <v>41</v>
      </c>
      <c r="G362" s="31">
        <v>52</v>
      </c>
      <c r="H362" s="31">
        <v>61</v>
      </c>
    </row>
    <row r="363" spans="1:8" ht="24.75" customHeight="1">
      <c r="A363" s="31" t="s">
        <v>178</v>
      </c>
      <c r="B363" s="31">
        <v>40</v>
      </c>
      <c r="C363" s="31">
        <v>11</v>
      </c>
      <c r="D363" s="31">
        <v>19</v>
      </c>
      <c r="E363" s="31">
        <v>28</v>
      </c>
      <c r="F363" s="31">
        <v>39</v>
      </c>
      <c r="G363" s="31">
        <v>50</v>
      </c>
      <c r="H363" s="31">
        <v>59</v>
      </c>
    </row>
    <row r="364" spans="1:8" ht="24.75" customHeight="1">
      <c r="A364" s="31" t="s">
        <v>178</v>
      </c>
      <c r="B364" s="31">
        <v>30</v>
      </c>
      <c r="C364" s="31">
        <v>10</v>
      </c>
      <c r="D364" s="31">
        <v>18</v>
      </c>
      <c r="E364" s="31">
        <v>27</v>
      </c>
      <c r="F364" s="31">
        <v>38</v>
      </c>
      <c r="G364" s="31">
        <v>49</v>
      </c>
      <c r="H364" s="31">
        <v>58</v>
      </c>
    </row>
    <row r="365" spans="1:8" ht="24.75" customHeight="1">
      <c r="A365" s="31" t="s">
        <v>178</v>
      </c>
      <c r="B365" s="31">
        <v>30</v>
      </c>
      <c r="C365" s="31">
        <v>8</v>
      </c>
      <c r="D365" s="31">
        <v>16</v>
      </c>
      <c r="E365" s="31">
        <v>25</v>
      </c>
      <c r="F365" s="31">
        <v>36</v>
      </c>
      <c r="G365" s="31">
        <v>47</v>
      </c>
      <c r="H365" s="31">
        <v>56</v>
      </c>
    </row>
    <row r="366" spans="1:8" ht="24.75" customHeight="1">
      <c r="A366" s="31" t="s">
        <v>178</v>
      </c>
      <c r="B366" s="31">
        <v>20</v>
      </c>
      <c r="C366" s="31">
        <v>7</v>
      </c>
      <c r="D366" s="31">
        <v>15</v>
      </c>
      <c r="E366" s="31">
        <v>24</v>
      </c>
      <c r="F366" s="31">
        <v>35</v>
      </c>
      <c r="G366" s="31">
        <v>46</v>
      </c>
      <c r="H366" s="31">
        <v>55</v>
      </c>
    </row>
    <row r="367" spans="1:8" ht="24.75" customHeight="1">
      <c r="A367" s="31" t="s">
        <v>178</v>
      </c>
      <c r="B367" s="31">
        <v>20</v>
      </c>
      <c r="C367" s="31">
        <v>5</v>
      </c>
      <c r="D367" s="31">
        <v>13</v>
      </c>
      <c r="E367" s="31">
        <v>22</v>
      </c>
      <c r="F367" s="31">
        <v>33</v>
      </c>
      <c r="G367" s="31">
        <v>44</v>
      </c>
      <c r="H367" s="31">
        <v>53</v>
      </c>
    </row>
    <row r="368" spans="1:8" ht="24.75" customHeight="1">
      <c r="A368" s="31" t="s">
        <v>178</v>
      </c>
      <c r="B368" s="31">
        <v>10</v>
      </c>
      <c r="C368" s="31">
        <v>4</v>
      </c>
      <c r="D368" s="31">
        <v>12</v>
      </c>
      <c r="E368" s="31">
        <v>21</v>
      </c>
      <c r="F368" s="31">
        <v>32</v>
      </c>
      <c r="G368" s="31">
        <v>43</v>
      </c>
      <c r="H368" s="31">
        <v>52</v>
      </c>
    </row>
    <row r="369" spans="1:8" ht="24.75" customHeight="1">
      <c r="A369" s="31" t="s">
        <v>178</v>
      </c>
      <c r="B369" s="31">
        <v>10</v>
      </c>
      <c r="C369" s="31">
        <v>2</v>
      </c>
      <c r="D369" s="31">
        <v>10</v>
      </c>
      <c r="E369" s="31">
        <v>19</v>
      </c>
      <c r="F369" s="31">
        <v>30</v>
      </c>
      <c r="G369" s="31">
        <v>41</v>
      </c>
      <c r="H369" s="31">
        <v>50</v>
      </c>
    </row>
    <row r="370" spans="1:8" ht="24.75" customHeight="1">
      <c r="A370" s="31" t="s">
        <v>178</v>
      </c>
      <c r="B370" s="31">
        <v>0</v>
      </c>
      <c r="C370" s="31">
        <v>1</v>
      </c>
      <c r="D370" s="31">
        <v>9</v>
      </c>
      <c r="E370" s="31">
        <v>18</v>
      </c>
      <c r="F370" s="31">
        <v>29</v>
      </c>
      <c r="G370" s="31">
        <v>40</v>
      </c>
      <c r="H370" s="31">
        <v>49</v>
      </c>
    </row>
    <row r="371" spans="1:8" ht="24.75" customHeight="1">
      <c r="A371" s="31" t="s">
        <v>178</v>
      </c>
      <c r="B371" s="31">
        <v>0</v>
      </c>
      <c r="C371" s="31">
        <v>0</v>
      </c>
      <c r="D371" s="31">
        <v>0</v>
      </c>
      <c r="E371" s="31">
        <v>0</v>
      </c>
      <c r="F371" s="31">
        <v>0</v>
      </c>
      <c r="G371" s="31">
        <v>0</v>
      </c>
      <c r="H371" s="31">
        <v>0</v>
      </c>
    </row>
    <row r="372" spans="1:8" ht="24.75" customHeight="1">
      <c r="A372" s="31" t="s">
        <v>250</v>
      </c>
    </row>
    <row r="373" spans="1:8" ht="24.75" customHeight="1">
      <c r="A373" s="35" t="s">
        <v>163</v>
      </c>
      <c r="B373" s="31" t="s">
        <v>164</v>
      </c>
      <c r="C373" s="35" t="s">
        <v>165</v>
      </c>
      <c r="D373" s="35" t="s">
        <v>166</v>
      </c>
      <c r="E373" s="35" t="s">
        <v>167</v>
      </c>
      <c r="F373" s="35" t="s">
        <v>168</v>
      </c>
      <c r="G373" s="35" t="s">
        <v>169</v>
      </c>
      <c r="H373" s="35" t="s">
        <v>170</v>
      </c>
    </row>
    <row r="374" spans="1:8" ht="24.75" customHeight="1">
      <c r="A374" s="35"/>
      <c r="B374" s="31" t="s">
        <v>177</v>
      </c>
      <c r="C374" s="35"/>
      <c r="D374" s="35"/>
      <c r="E374" s="35"/>
      <c r="F374" s="35"/>
      <c r="G374" s="35"/>
      <c r="H374" s="35"/>
    </row>
    <row r="375" spans="1:8" ht="24.75" customHeight="1">
      <c r="A375" s="31" t="s">
        <v>181</v>
      </c>
      <c r="B375" s="31">
        <v>120</v>
      </c>
      <c r="C375" s="31">
        <v>300</v>
      </c>
      <c r="D375" s="31">
        <v>300</v>
      </c>
      <c r="E375" s="31">
        <v>300</v>
      </c>
      <c r="F375" s="31">
        <v>300</v>
      </c>
      <c r="G375" s="31">
        <v>300</v>
      </c>
      <c r="H375" s="31">
        <v>300</v>
      </c>
    </row>
    <row r="376" spans="1:8" ht="24.75" customHeight="1">
      <c r="A376" s="31" t="s">
        <v>181</v>
      </c>
      <c r="B376" s="31">
        <v>120</v>
      </c>
      <c r="C376" s="31">
        <v>157</v>
      </c>
      <c r="D376" s="31">
        <v>167</v>
      </c>
      <c r="E376" s="31">
        <v>177</v>
      </c>
      <c r="F376" s="31">
        <v>187</v>
      </c>
      <c r="G376" s="31">
        <v>197</v>
      </c>
      <c r="H376" s="31">
        <v>207</v>
      </c>
    </row>
    <row r="377" spans="1:8" ht="24.75" customHeight="1">
      <c r="A377" s="31" t="s">
        <v>181</v>
      </c>
      <c r="B377" s="31">
        <v>119</v>
      </c>
      <c r="C377" s="31">
        <v>156</v>
      </c>
      <c r="D377" s="31">
        <v>166</v>
      </c>
      <c r="E377" s="31">
        <v>176</v>
      </c>
      <c r="F377" s="31">
        <v>186</v>
      </c>
      <c r="G377" s="31">
        <v>196</v>
      </c>
      <c r="H377" s="31">
        <v>206</v>
      </c>
    </row>
    <row r="378" spans="1:8" ht="24.75" customHeight="1">
      <c r="A378" s="31" t="s">
        <v>181</v>
      </c>
      <c r="B378" s="31">
        <v>119</v>
      </c>
      <c r="C378" s="31">
        <v>155</v>
      </c>
      <c r="D378" s="31">
        <v>165</v>
      </c>
      <c r="E378" s="31">
        <v>175</v>
      </c>
      <c r="F378" s="31">
        <v>185</v>
      </c>
      <c r="G378" s="31">
        <v>195</v>
      </c>
      <c r="H378" s="31">
        <v>205</v>
      </c>
    </row>
    <row r="379" spans="1:8" ht="24.75" customHeight="1">
      <c r="A379" s="31" t="s">
        <v>181</v>
      </c>
      <c r="B379" s="31">
        <v>118</v>
      </c>
      <c r="C379" s="31">
        <v>154</v>
      </c>
      <c r="D379" s="31">
        <v>164</v>
      </c>
      <c r="E379" s="31">
        <v>174</v>
      </c>
      <c r="F379" s="31">
        <v>184</v>
      </c>
      <c r="G379" s="31">
        <v>194</v>
      </c>
      <c r="H379" s="31">
        <v>204</v>
      </c>
    </row>
    <row r="380" spans="1:8" ht="24.75" customHeight="1">
      <c r="A380" s="31" t="s">
        <v>181</v>
      </c>
      <c r="B380" s="31">
        <v>118</v>
      </c>
      <c r="C380" s="31">
        <v>153</v>
      </c>
      <c r="D380" s="31">
        <v>163</v>
      </c>
      <c r="E380" s="31">
        <v>173</v>
      </c>
      <c r="F380" s="31">
        <v>183</v>
      </c>
      <c r="G380" s="31">
        <v>193</v>
      </c>
      <c r="H380" s="31">
        <v>203</v>
      </c>
    </row>
    <row r="381" spans="1:8" ht="24.75" customHeight="1">
      <c r="A381" s="31" t="s">
        <v>181</v>
      </c>
      <c r="B381" s="31">
        <v>117</v>
      </c>
      <c r="C381" s="31">
        <v>152</v>
      </c>
      <c r="D381" s="31">
        <v>162</v>
      </c>
      <c r="E381" s="31">
        <v>172</v>
      </c>
      <c r="F381" s="31">
        <v>182</v>
      </c>
      <c r="G381" s="31">
        <v>192</v>
      </c>
      <c r="H381" s="31">
        <v>202</v>
      </c>
    </row>
    <row r="382" spans="1:8" ht="24.75" customHeight="1">
      <c r="A382" s="31" t="s">
        <v>181</v>
      </c>
      <c r="B382" s="31">
        <v>117</v>
      </c>
      <c r="C382" s="31">
        <v>151</v>
      </c>
      <c r="D382" s="31">
        <v>161</v>
      </c>
      <c r="E382" s="31">
        <v>171</v>
      </c>
      <c r="F382" s="31">
        <v>181</v>
      </c>
      <c r="G382" s="31">
        <v>191</v>
      </c>
      <c r="H382" s="31">
        <v>201</v>
      </c>
    </row>
    <row r="383" spans="1:8" ht="24.75" customHeight="1">
      <c r="A383" s="31" t="s">
        <v>181</v>
      </c>
      <c r="B383" s="31">
        <v>116</v>
      </c>
      <c r="C383" s="31">
        <v>150</v>
      </c>
      <c r="D383" s="31">
        <v>160</v>
      </c>
      <c r="E383" s="31">
        <v>170</v>
      </c>
      <c r="F383" s="31">
        <v>180</v>
      </c>
      <c r="G383" s="31">
        <v>190</v>
      </c>
      <c r="H383" s="31">
        <v>200</v>
      </c>
    </row>
    <row r="384" spans="1:8" ht="24.75" customHeight="1">
      <c r="A384" s="31" t="s">
        <v>181</v>
      </c>
      <c r="B384" s="31">
        <v>116</v>
      </c>
      <c r="C384" s="31">
        <v>149</v>
      </c>
      <c r="D384" s="31">
        <v>159</v>
      </c>
      <c r="E384" s="31">
        <v>169</v>
      </c>
      <c r="F384" s="31">
        <v>179</v>
      </c>
      <c r="G384" s="31">
        <v>189</v>
      </c>
      <c r="H384" s="31">
        <v>199</v>
      </c>
    </row>
    <row r="385" spans="1:8" ht="24.75" customHeight="1">
      <c r="A385" s="31" t="s">
        <v>181</v>
      </c>
      <c r="B385" s="31">
        <v>115</v>
      </c>
      <c r="C385" s="31">
        <v>148</v>
      </c>
      <c r="D385" s="31">
        <v>158</v>
      </c>
      <c r="E385" s="31">
        <v>168</v>
      </c>
      <c r="F385" s="31">
        <v>178</v>
      </c>
      <c r="G385" s="31">
        <v>188</v>
      </c>
      <c r="H385" s="31">
        <v>198</v>
      </c>
    </row>
    <row r="386" spans="1:8" ht="24.75" customHeight="1">
      <c r="A386" s="31" t="s">
        <v>181</v>
      </c>
      <c r="B386" s="31">
        <v>115</v>
      </c>
      <c r="C386" s="31">
        <v>147</v>
      </c>
      <c r="D386" s="31">
        <v>157</v>
      </c>
      <c r="E386" s="31">
        <v>167</v>
      </c>
      <c r="F386" s="31">
        <v>177</v>
      </c>
      <c r="G386" s="31">
        <v>187</v>
      </c>
      <c r="H386" s="31">
        <v>197</v>
      </c>
    </row>
    <row r="387" spans="1:8" ht="24.75" customHeight="1">
      <c r="A387" s="31" t="s">
        <v>181</v>
      </c>
      <c r="B387" s="31">
        <v>114</v>
      </c>
      <c r="C387" s="31">
        <v>146</v>
      </c>
      <c r="D387" s="31">
        <v>156</v>
      </c>
      <c r="E387" s="31">
        <v>166</v>
      </c>
      <c r="F387" s="31">
        <v>176</v>
      </c>
      <c r="G387" s="31">
        <v>186</v>
      </c>
      <c r="H387" s="31">
        <v>196</v>
      </c>
    </row>
    <row r="388" spans="1:8" ht="24.75" customHeight="1">
      <c r="A388" s="31" t="s">
        <v>181</v>
      </c>
      <c r="B388" s="31">
        <v>114</v>
      </c>
      <c r="C388" s="31">
        <v>145</v>
      </c>
      <c r="D388" s="31">
        <v>155</v>
      </c>
      <c r="E388" s="31">
        <v>165</v>
      </c>
      <c r="F388" s="31">
        <v>175</v>
      </c>
      <c r="G388" s="31">
        <v>185</v>
      </c>
      <c r="H388" s="31">
        <v>195</v>
      </c>
    </row>
    <row r="389" spans="1:8" ht="24.75" customHeight="1">
      <c r="A389" s="31" t="s">
        <v>181</v>
      </c>
      <c r="B389" s="31">
        <v>113</v>
      </c>
      <c r="C389" s="31">
        <v>144</v>
      </c>
      <c r="D389" s="31">
        <v>154</v>
      </c>
      <c r="E389" s="31">
        <v>164</v>
      </c>
      <c r="F389" s="31">
        <v>174</v>
      </c>
      <c r="G389" s="31">
        <v>184</v>
      </c>
      <c r="H389" s="31">
        <v>194</v>
      </c>
    </row>
    <row r="390" spans="1:8" ht="24.75" customHeight="1">
      <c r="A390" s="31" t="s">
        <v>181</v>
      </c>
      <c r="B390" s="31">
        <v>113</v>
      </c>
      <c r="C390" s="31">
        <v>143</v>
      </c>
      <c r="D390" s="31">
        <v>153</v>
      </c>
      <c r="E390" s="31">
        <v>163</v>
      </c>
      <c r="F390" s="31">
        <v>173</v>
      </c>
      <c r="G390" s="31">
        <v>183</v>
      </c>
      <c r="H390" s="31">
        <v>193</v>
      </c>
    </row>
    <row r="391" spans="1:8" ht="24.75" customHeight="1">
      <c r="A391" s="31" t="s">
        <v>181</v>
      </c>
      <c r="B391" s="31">
        <v>112</v>
      </c>
      <c r="C391" s="31">
        <v>142</v>
      </c>
      <c r="D391" s="31">
        <v>152</v>
      </c>
      <c r="E391" s="31">
        <v>162</v>
      </c>
      <c r="F391" s="31">
        <v>172</v>
      </c>
      <c r="G391" s="31">
        <v>182</v>
      </c>
      <c r="H391" s="31">
        <v>192</v>
      </c>
    </row>
    <row r="392" spans="1:8" ht="24.75" customHeight="1">
      <c r="A392" s="31" t="s">
        <v>181</v>
      </c>
      <c r="B392" s="31">
        <v>112</v>
      </c>
      <c r="C392" s="31">
        <v>141</v>
      </c>
      <c r="D392" s="31">
        <v>151</v>
      </c>
      <c r="E392" s="31">
        <v>161</v>
      </c>
      <c r="F392" s="31">
        <v>171</v>
      </c>
      <c r="G392" s="31">
        <v>181</v>
      </c>
      <c r="H392" s="31">
        <v>191</v>
      </c>
    </row>
    <row r="393" spans="1:8" ht="24.75" customHeight="1">
      <c r="A393" s="31" t="s">
        <v>181</v>
      </c>
      <c r="B393" s="31">
        <v>111</v>
      </c>
      <c r="C393" s="31">
        <v>140</v>
      </c>
      <c r="D393" s="31">
        <v>150</v>
      </c>
      <c r="E393" s="31">
        <v>160</v>
      </c>
      <c r="F393" s="31">
        <v>170</v>
      </c>
      <c r="G393" s="31">
        <v>180</v>
      </c>
      <c r="H393" s="31">
        <v>190</v>
      </c>
    </row>
    <row r="394" spans="1:8" ht="24.75" customHeight="1">
      <c r="A394" s="31" t="s">
        <v>181</v>
      </c>
      <c r="B394" s="31">
        <v>111</v>
      </c>
      <c r="C394" s="31">
        <v>139</v>
      </c>
      <c r="D394" s="31">
        <v>149</v>
      </c>
      <c r="E394" s="31">
        <v>159</v>
      </c>
      <c r="F394" s="31">
        <v>169</v>
      </c>
      <c r="G394" s="31">
        <v>179</v>
      </c>
      <c r="H394" s="31">
        <v>189</v>
      </c>
    </row>
    <row r="395" spans="1:8" ht="24.75" customHeight="1">
      <c r="A395" s="31" t="s">
        <v>181</v>
      </c>
      <c r="B395" s="31">
        <v>110</v>
      </c>
      <c r="C395" s="31">
        <v>138</v>
      </c>
      <c r="D395" s="31">
        <v>148</v>
      </c>
      <c r="E395" s="31">
        <v>158</v>
      </c>
      <c r="F395" s="31">
        <v>168</v>
      </c>
      <c r="G395" s="31">
        <v>178</v>
      </c>
      <c r="H395" s="31">
        <v>188</v>
      </c>
    </row>
    <row r="396" spans="1:8" ht="24.75" customHeight="1">
      <c r="A396" s="31" t="s">
        <v>181</v>
      </c>
      <c r="B396" s="31">
        <v>110</v>
      </c>
      <c r="C396" s="31">
        <v>137</v>
      </c>
      <c r="D396" s="31">
        <v>147</v>
      </c>
      <c r="E396" s="31">
        <v>157</v>
      </c>
      <c r="F396" s="31">
        <v>167</v>
      </c>
      <c r="G396" s="31">
        <v>177</v>
      </c>
      <c r="H396" s="31">
        <v>187</v>
      </c>
    </row>
    <row r="397" spans="1:8" ht="24.75" customHeight="1">
      <c r="A397" s="31" t="s">
        <v>181</v>
      </c>
      <c r="B397" s="31">
        <v>109</v>
      </c>
      <c r="C397" s="31">
        <v>136</v>
      </c>
      <c r="D397" s="31">
        <v>146</v>
      </c>
      <c r="E397" s="31">
        <v>156</v>
      </c>
      <c r="F397" s="31">
        <v>166</v>
      </c>
      <c r="G397" s="31">
        <v>176</v>
      </c>
      <c r="H397" s="31">
        <v>186</v>
      </c>
    </row>
    <row r="398" spans="1:8" ht="24.75" customHeight="1">
      <c r="A398" s="31" t="s">
        <v>181</v>
      </c>
      <c r="B398" s="31">
        <v>109</v>
      </c>
      <c r="C398" s="31">
        <v>135</v>
      </c>
      <c r="D398" s="31">
        <v>145</v>
      </c>
      <c r="E398" s="31">
        <v>155</v>
      </c>
      <c r="F398" s="31">
        <v>165</v>
      </c>
      <c r="G398" s="31">
        <v>175</v>
      </c>
      <c r="H398" s="31">
        <v>185</v>
      </c>
    </row>
    <row r="399" spans="1:8" ht="24.75" customHeight="1">
      <c r="A399" s="31" t="s">
        <v>181</v>
      </c>
      <c r="B399" s="31">
        <v>108</v>
      </c>
      <c r="C399" s="31">
        <v>134</v>
      </c>
      <c r="D399" s="31">
        <v>144</v>
      </c>
      <c r="E399" s="31">
        <v>154</v>
      </c>
      <c r="F399" s="31">
        <v>164</v>
      </c>
      <c r="G399" s="31">
        <v>174</v>
      </c>
      <c r="H399" s="31">
        <v>184</v>
      </c>
    </row>
    <row r="400" spans="1:8" ht="24.75" customHeight="1">
      <c r="A400" s="31" t="s">
        <v>181</v>
      </c>
      <c r="B400" s="31">
        <v>108</v>
      </c>
      <c r="C400" s="31">
        <v>133</v>
      </c>
      <c r="D400" s="31">
        <v>143</v>
      </c>
      <c r="E400" s="31">
        <v>153</v>
      </c>
      <c r="F400" s="31">
        <v>163</v>
      </c>
      <c r="G400" s="31">
        <v>173</v>
      </c>
      <c r="H400" s="31">
        <v>183</v>
      </c>
    </row>
    <row r="401" spans="1:8" ht="24.75" customHeight="1">
      <c r="A401" s="31" t="s">
        <v>181</v>
      </c>
      <c r="B401" s="31">
        <v>107</v>
      </c>
      <c r="C401" s="31">
        <v>132</v>
      </c>
      <c r="D401" s="31">
        <v>142</v>
      </c>
      <c r="E401" s="31">
        <v>152</v>
      </c>
      <c r="F401" s="31">
        <v>162</v>
      </c>
      <c r="G401" s="31">
        <v>172</v>
      </c>
      <c r="H401" s="31">
        <v>182</v>
      </c>
    </row>
    <row r="402" spans="1:8" ht="24.75" customHeight="1">
      <c r="A402" s="31" t="s">
        <v>181</v>
      </c>
      <c r="B402" s="31">
        <v>107</v>
      </c>
      <c r="C402" s="31">
        <v>131</v>
      </c>
      <c r="D402" s="31">
        <v>141</v>
      </c>
      <c r="E402" s="31">
        <v>151</v>
      </c>
      <c r="F402" s="31">
        <v>161</v>
      </c>
      <c r="G402" s="31">
        <v>171</v>
      </c>
      <c r="H402" s="31">
        <v>181</v>
      </c>
    </row>
    <row r="403" spans="1:8" ht="24.75" customHeight="1">
      <c r="A403" s="31" t="s">
        <v>181</v>
      </c>
      <c r="B403" s="31">
        <v>106</v>
      </c>
      <c r="C403" s="31">
        <v>130</v>
      </c>
      <c r="D403" s="31">
        <v>140</v>
      </c>
      <c r="E403" s="31">
        <v>150</v>
      </c>
      <c r="F403" s="31">
        <v>160</v>
      </c>
      <c r="G403" s="31">
        <v>170</v>
      </c>
      <c r="H403" s="31">
        <v>180</v>
      </c>
    </row>
    <row r="404" spans="1:8" ht="24.75" customHeight="1">
      <c r="A404" s="31" t="s">
        <v>181</v>
      </c>
      <c r="B404" s="31">
        <v>106</v>
      </c>
      <c r="C404" s="31">
        <v>129</v>
      </c>
      <c r="D404" s="31">
        <v>139</v>
      </c>
      <c r="E404" s="31">
        <v>149</v>
      </c>
      <c r="F404" s="31">
        <v>159</v>
      </c>
      <c r="G404" s="31">
        <v>169</v>
      </c>
      <c r="H404" s="31">
        <v>179</v>
      </c>
    </row>
    <row r="405" spans="1:8" ht="24.75" customHeight="1">
      <c r="A405" s="31" t="s">
        <v>181</v>
      </c>
      <c r="B405" s="31">
        <v>105</v>
      </c>
      <c r="C405" s="31">
        <v>128</v>
      </c>
      <c r="D405" s="31">
        <v>138</v>
      </c>
      <c r="E405" s="31">
        <v>148</v>
      </c>
      <c r="F405" s="31">
        <v>158</v>
      </c>
      <c r="G405" s="31">
        <v>168</v>
      </c>
      <c r="H405" s="31">
        <v>178</v>
      </c>
    </row>
    <row r="406" spans="1:8" ht="24.75" customHeight="1">
      <c r="A406" s="31" t="s">
        <v>181</v>
      </c>
      <c r="B406" s="31">
        <v>105</v>
      </c>
      <c r="C406" s="31">
        <v>127</v>
      </c>
      <c r="D406" s="31">
        <v>137</v>
      </c>
      <c r="E406" s="31">
        <v>147</v>
      </c>
      <c r="F406" s="31">
        <v>157</v>
      </c>
      <c r="G406" s="31">
        <v>167</v>
      </c>
      <c r="H406" s="31">
        <v>177</v>
      </c>
    </row>
    <row r="407" spans="1:8" ht="24.75" customHeight="1">
      <c r="A407" s="31" t="s">
        <v>181</v>
      </c>
      <c r="B407" s="31">
        <v>104</v>
      </c>
      <c r="C407" s="31">
        <v>126</v>
      </c>
      <c r="D407" s="31">
        <v>136</v>
      </c>
      <c r="E407" s="31">
        <v>146</v>
      </c>
      <c r="F407" s="31">
        <v>156</v>
      </c>
      <c r="G407" s="31">
        <v>166</v>
      </c>
      <c r="H407" s="31">
        <v>176</v>
      </c>
    </row>
    <row r="408" spans="1:8" ht="24.75" customHeight="1">
      <c r="A408" s="31" t="s">
        <v>181</v>
      </c>
      <c r="B408" s="31">
        <v>104</v>
      </c>
      <c r="C408" s="31">
        <v>125</v>
      </c>
      <c r="D408" s="31">
        <v>135</v>
      </c>
      <c r="E408" s="31">
        <v>145</v>
      </c>
      <c r="F408" s="31">
        <v>155</v>
      </c>
      <c r="G408" s="31">
        <v>165</v>
      </c>
      <c r="H408" s="31">
        <v>175</v>
      </c>
    </row>
    <row r="409" spans="1:8" ht="24.75" customHeight="1">
      <c r="A409" s="31" t="s">
        <v>181</v>
      </c>
      <c r="B409" s="31">
        <v>103</v>
      </c>
      <c r="C409" s="31">
        <v>124</v>
      </c>
      <c r="D409" s="31">
        <v>134</v>
      </c>
      <c r="E409" s="31">
        <v>144</v>
      </c>
      <c r="F409" s="31">
        <v>154</v>
      </c>
      <c r="G409" s="31">
        <v>164</v>
      </c>
      <c r="H409" s="31">
        <v>174</v>
      </c>
    </row>
    <row r="410" spans="1:8" ht="24.75" customHeight="1">
      <c r="A410" s="31" t="s">
        <v>181</v>
      </c>
      <c r="B410" s="31">
        <v>103</v>
      </c>
      <c r="C410" s="31">
        <v>123</v>
      </c>
      <c r="D410" s="31">
        <v>133</v>
      </c>
      <c r="E410" s="31">
        <v>143</v>
      </c>
      <c r="F410" s="31">
        <v>153</v>
      </c>
      <c r="G410" s="31">
        <v>163</v>
      </c>
      <c r="H410" s="31">
        <v>173</v>
      </c>
    </row>
    <row r="411" spans="1:8" ht="24.75" customHeight="1">
      <c r="A411" s="31" t="s">
        <v>181</v>
      </c>
      <c r="B411" s="31">
        <v>102</v>
      </c>
      <c r="C411" s="31">
        <v>122</v>
      </c>
      <c r="D411" s="31">
        <v>132</v>
      </c>
      <c r="E411" s="31">
        <v>142</v>
      </c>
      <c r="F411" s="31">
        <v>152</v>
      </c>
      <c r="G411" s="31">
        <v>162</v>
      </c>
      <c r="H411" s="31">
        <v>172</v>
      </c>
    </row>
    <row r="412" spans="1:8" ht="24.75" customHeight="1">
      <c r="A412" s="31" t="s">
        <v>181</v>
      </c>
      <c r="B412" s="31">
        <v>102</v>
      </c>
      <c r="C412" s="31">
        <v>121</v>
      </c>
      <c r="D412" s="31">
        <v>131</v>
      </c>
      <c r="E412" s="31">
        <v>141</v>
      </c>
      <c r="F412" s="31">
        <v>151</v>
      </c>
      <c r="G412" s="31">
        <v>161</v>
      </c>
      <c r="H412" s="31">
        <v>171</v>
      </c>
    </row>
    <row r="413" spans="1:8" ht="24.75" customHeight="1">
      <c r="A413" s="31" t="s">
        <v>181</v>
      </c>
      <c r="B413" s="31">
        <v>101</v>
      </c>
      <c r="C413" s="31">
        <v>120</v>
      </c>
      <c r="D413" s="31">
        <v>130</v>
      </c>
      <c r="E413" s="31">
        <v>140</v>
      </c>
      <c r="F413" s="31">
        <v>150</v>
      </c>
      <c r="G413" s="31">
        <v>160</v>
      </c>
      <c r="H413" s="31">
        <v>170</v>
      </c>
    </row>
    <row r="414" spans="1:8" ht="24.75" customHeight="1">
      <c r="A414" s="31" t="s">
        <v>181</v>
      </c>
      <c r="B414" s="31">
        <v>101</v>
      </c>
      <c r="C414" s="31">
        <v>119</v>
      </c>
      <c r="D414" s="31">
        <v>129</v>
      </c>
      <c r="E414" s="31">
        <v>139</v>
      </c>
      <c r="F414" s="31">
        <v>149</v>
      </c>
      <c r="G414" s="31">
        <v>159</v>
      </c>
      <c r="H414" s="31">
        <v>169</v>
      </c>
    </row>
    <row r="415" spans="1:8" ht="24.75" customHeight="1">
      <c r="A415" s="31" t="s">
        <v>181</v>
      </c>
      <c r="B415" s="31">
        <v>100</v>
      </c>
      <c r="C415" s="31">
        <v>118</v>
      </c>
      <c r="D415" s="31">
        <v>128</v>
      </c>
      <c r="E415" s="31">
        <v>138</v>
      </c>
      <c r="F415" s="31">
        <v>148</v>
      </c>
      <c r="G415" s="31">
        <v>158</v>
      </c>
      <c r="H415" s="31">
        <v>168</v>
      </c>
    </row>
    <row r="416" spans="1:8" ht="24.75" customHeight="1">
      <c r="A416" s="31" t="s">
        <v>181</v>
      </c>
      <c r="B416" s="31">
        <v>100</v>
      </c>
      <c r="C416" s="31">
        <v>117</v>
      </c>
      <c r="D416" s="31">
        <v>127</v>
      </c>
      <c r="E416" s="31">
        <v>139</v>
      </c>
      <c r="F416" s="31">
        <v>149</v>
      </c>
      <c r="G416" s="31">
        <v>158</v>
      </c>
      <c r="H416" s="31">
        <v>166</v>
      </c>
    </row>
    <row r="417" spans="1:8" ht="24.75" customHeight="1">
      <c r="A417" s="31" t="s">
        <v>181</v>
      </c>
      <c r="B417" s="31">
        <v>95</v>
      </c>
      <c r="C417" s="31">
        <v>116</v>
      </c>
      <c r="D417" s="31">
        <v>126</v>
      </c>
      <c r="E417" s="31">
        <v>138</v>
      </c>
      <c r="F417" s="31">
        <v>148</v>
      </c>
      <c r="G417" s="31">
        <v>157</v>
      </c>
      <c r="H417" s="31">
        <v>165</v>
      </c>
    </row>
    <row r="418" spans="1:8" ht="24.75" customHeight="1">
      <c r="A418" s="31" t="s">
        <v>181</v>
      </c>
      <c r="B418" s="31">
        <v>95</v>
      </c>
      <c r="C418" s="31">
        <v>110</v>
      </c>
      <c r="D418" s="31">
        <v>120</v>
      </c>
      <c r="E418" s="31">
        <v>132</v>
      </c>
      <c r="F418" s="31">
        <v>142</v>
      </c>
      <c r="G418" s="31">
        <v>151</v>
      </c>
      <c r="H418" s="31">
        <v>159</v>
      </c>
    </row>
    <row r="419" spans="1:8" ht="24.75" customHeight="1">
      <c r="A419" s="31" t="s">
        <v>181</v>
      </c>
      <c r="B419" s="31">
        <v>90</v>
      </c>
      <c r="C419" s="31">
        <v>109</v>
      </c>
      <c r="D419" s="31">
        <v>119</v>
      </c>
      <c r="E419" s="31">
        <v>131</v>
      </c>
      <c r="F419" s="31">
        <v>141</v>
      </c>
      <c r="G419" s="31">
        <v>150</v>
      </c>
      <c r="H419" s="31">
        <v>158</v>
      </c>
    </row>
    <row r="420" spans="1:8" ht="24.75" customHeight="1">
      <c r="A420" s="31" t="s">
        <v>181</v>
      </c>
      <c r="B420" s="31">
        <v>90</v>
      </c>
      <c r="C420" s="31">
        <v>103</v>
      </c>
      <c r="D420" s="31">
        <v>113</v>
      </c>
      <c r="E420" s="31">
        <v>125</v>
      </c>
      <c r="F420" s="31">
        <v>135</v>
      </c>
      <c r="G420" s="31">
        <v>144</v>
      </c>
      <c r="H420" s="31">
        <v>152</v>
      </c>
    </row>
    <row r="421" spans="1:8" ht="24.75" customHeight="1">
      <c r="A421" s="31" t="s">
        <v>180</v>
      </c>
      <c r="B421" s="31">
        <v>85</v>
      </c>
      <c r="C421" s="31">
        <v>102</v>
      </c>
      <c r="D421" s="31">
        <v>112</v>
      </c>
      <c r="E421" s="31">
        <v>124</v>
      </c>
      <c r="F421" s="31">
        <v>134</v>
      </c>
      <c r="G421" s="31">
        <v>143</v>
      </c>
      <c r="H421" s="31">
        <v>151</v>
      </c>
    </row>
    <row r="422" spans="1:8" ht="24.75" customHeight="1">
      <c r="A422" s="31" t="s">
        <v>180</v>
      </c>
      <c r="B422" s="31">
        <v>85</v>
      </c>
      <c r="C422" s="31">
        <v>95</v>
      </c>
      <c r="D422" s="31">
        <v>105</v>
      </c>
      <c r="E422" s="31">
        <v>117</v>
      </c>
      <c r="F422" s="31">
        <v>127</v>
      </c>
      <c r="G422" s="31">
        <v>136</v>
      </c>
      <c r="H422" s="31">
        <v>144</v>
      </c>
    </row>
    <row r="423" spans="1:8" ht="24.75" customHeight="1">
      <c r="A423" s="31" t="s">
        <v>180</v>
      </c>
      <c r="B423" s="31">
        <v>80</v>
      </c>
      <c r="C423" s="31">
        <v>94</v>
      </c>
      <c r="D423" s="31">
        <v>104</v>
      </c>
      <c r="E423" s="31">
        <v>116</v>
      </c>
      <c r="F423" s="31">
        <v>126</v>
      </c>
      <c r="G423" s="31">
        <v>135</v>
      </c>
      <c r="H423" s="31">
        <v>143</v>
      </c>
    </row>
    <row r="424" spans="1:8" ht="24.75" customHeight="1">
      <c r="A424" s="31" t="s">
        <v>180</v>
      </c>
      <c r="B424" s="31">
        <v>80</v>
      </c>
      <c r="C424" s="31">
        <v>87</v>
      </c>
      <c r="D424" s="31">
        <v>97</v>
      </c>
      <c r="E424" s="31">
        <v>109</v>
      </c>
      <c r="F424" s="31">
        <v>119</v>
      </c>
      <c r="G424" s="31">
        <v>128</v>
      </c>
      <c r="H424" s="31">
        <v>136</v>
      </c>
    </row>
    <row r="425" spans="1:8" ht="24.75" customHeight="1">
      <c r="A425" s="31" t="s">
        <v>179</v>
      </c>
      <c r="B425" s="31">
        <v>78</v>
      </c>
      <c r="C425" s="31">
        <v>86</v>
      </c>
      <c r="D425" s="31">
        <v>96</v>
      </c>
      <c r="E425" s="31">
        <v>108</v>
      </c>
      <c r="F425" s="31">
        <v>118</v>
      </c>
      <c r="G425" s="31">
        <v>127</v>
      </c>
      <c r="H425" s="31">
        <v>135</v>
      </c>
    </row>
    <row r="426" spans="1:8" ht="24.75" customHeight="1">
      <c r="A426" s="31" t="s">
        <v>179</v>
      </c>
      <c r="B426" s="31">
        <v>78</v>
      </c>
      <c r="C426" s="31">
        <v>80</v>
      </c>
      <c r="D426" s="31">
        <v>90</v>
      </c>
      <c r="E426" s="31">
        <v>102</v>
      </c>
      <c r="F426" s="31">
        <v>112</v>
      </c>
      <c r="G426" s="31">
        <v>121</v>
      </c>
      <c r="H426" s="31">
        <v>129</v>
      </c>
    </row>
    <row r="427" spans="1:8" ht="24.75" customHeight="1">
      <c r="A427" s="31" t="s">
        <v>179</v>
      </c>
      <c r="B427" s="31">
        <v>76</v>
      </c>
      <c r="C427" s="31">
        <v>79</v>
      </c>
      <c r="D427" s="31">
        <v>89</v>
      </c>
      <c r="E427" s="31">
        <v>101</v>
      </c>
      <c r="F427" s="31">
        <v>111</v>
      </c>
      <c r="G427" s="31">
        <v>120</v>
      </c>
      <c r="H427" s="31">
        <v>128</v>
      </c>
    </row>
    <row r="428" spans="1:8" ht="24.75" customHeight="1">
      <c r="A428" s="31" t="s">
        <v>179</v>
      </c>
      <c r="B428" s="31">
        <v>76</v>
      </c>
      <c r="C428" s="31">
        <v>73</v>
      </c>
      <c r="D428" s="31">
        <v>83</v>
      </c>
      <c r="E428" s="31">
        <v>95</v>
      </c>
      <c r="F428" s="31">
        <v>105</v>
      </c>
      <c r="G428" s="31">
        <v>114</v>
      </c>
      <c r="H428" s="31">
        <v>122</v>
      </c>
    </row>
    <row r="429" spans="1:8" ht="24.75" customHeight="1">
      <c r="A429" s="31" t="s">
        <v>179</v>
      </c>
      <c r="B429" s="31">
        <v>74</v>
      </c>
      <c r="C429" s="31">
        <v>72</v>
      </c>
      <c r="D429" s="31">
        <v>82</v>
      </c>
      <c r="E429" s="31">
        <v>94</v>
      </c>
      <c r="F429" s="31">
        <v>104</v>
      </c>
      <c r="G429" s="31">
        <v>113</v>
      </c>
      <c r="H429" s="31">
        <v>121</v>
      </c>
    </row>
    <row r="430" spans="1:8" ht="24.75" customHeight="1">
      <c r="A430" s="31" t="s">
        <v>179</v>
      </c>
      <c r="B430" s="31">
        <v>74</v>
      </c>
      <c r="C430" s="31">
        <v>66</v>
      </c>
      <c r="D430" s="31">
        <v>76</v>
      </c>
      <c r="E430" s="31">
        <v>88</v>
      </c>
      <c r="F430" s="31">
        <v>98</v>
      </c>
      <c r="G430" s="31">
        <v>107</v>
      </c>
      <c r="H430" s="31">
        <v>115</v>
      </c>
    </row>
    <row r="431" spans="1:8" ht="24.75" customHeight="1">
      <c r="A431" s="31" t="s">
        <v>179</v>
      </c>
      <c r="B431" s="31">
        <v>72</v>
      </c>
      <c r="C431" s="31">
        <v>65</v>
      </c>
      <c r="D431" s="31">
        <v>75</v>
      </c>
      <c r="E431" s="31">
        <v>87</v>
      </c>
      <c r="F431" s="31">
        <v>97</v>
      </c>
      <c r="G431" s="31">
        <v>106</v>
      </c>
      <c r="H431" s="31">
        <v>114</v>
      </c>
    </row>
    <row r="432" spans="1:8" ht="24.75" customHeight="1">
      <c r="A432" s="31" t="s">
        <v>179</v>
      </c>
      <c r="B432" s="31">
        <v>72</v>
      </c>
      <c r="C432" s="31">
        <v>59</v>
      </c>
      <c r="D432" s="31">
        <v>69</v>
      </c>
      <c r="E432" s="31">
        <v>81</v>
      </c>
      <c r="F432" s="31">
        <v>91</v>
      </c>
      <c r="G432" s="31">
        <v>100</v>
      </c>
      <c r="H432" s="31">
        <v>108</v>
      </c>
    </row>
    <row r="433" spans="1:8" ht="24.75" customHeight="1">
      <c r="A433" s="31" t="s">
        <v>179</v>
      </c>
      <c r="B433" s="31">
        <v>70</v>
      </c>
      <c r="C433" s="31">
        <v>58</v>
      </c>
      <c r="D433" s="31">
        <v>68</v>
      </c>
      <c r="E433" s="31">
        <v>80</v>
      </c>
      <c r="F433" s="31">
        <v>90</v>
      </c>
      <c r="G433" s="31">
        <v>99</v>
      </c>
      <c r="H433" s="31">
        <v>107</v>
      </c>
    </row>
    <row r="434" spans="1:8" ht="24.75" customHeight="1">
      <c r="A434" s="31" t="s">
        <v>179</v>
      </c>
      <c r="B434" s="31">
        <v>70</v>
      </c>
      <c r="C434" s="31">
        <v>52</v>
      </c>
      <c r="D434" s="31">
        <v>62</v>
      </c>
      <c r="E434" s="31">
        <v>74</v>
      </c>
      <c r="F434" s="31">
        <v>84</v>
      </c>
      <c r="G434" s="31">
        <v>93</v>
      </c>
      <c r="H434" s="31">
        <v>101</v>
      </c>
    </row>
    <row r="435" spans="1:8" ht="24.75" customHeight="1">
      <c r="A435" s="31" t="s">
        <v>179</v>
      </c>
      <c r="B435" s="31">
        <v>68</v>
      </c>
      <c r="C435" s="31">
        <v>51</v>
      </c>
      <c r="D435" s="31">
        <v>61</v>
      </c>
      <c r="E435" s="31">
        <v>73</v>
      </c>
      <c r="F435" s="31">
        <v>83</v>
      </c>
      <c r="G435" s="31">
        <v>92</v>
      </c>
      <c r="H435" s="31">
        <v>100</v>
      </c>
    </row>
    <row r="436" spans="1:8" ht="24.75" customHeight="1">
      <c r="A436" s="31" t="s">
        <v>179</v>
      </c>
      <c r="B436" s="31">
        <v>68</v>
      </c>
      <c r="C436" s="31">
        <v>45</v>
      </c>
      <c r="D436" s="31">
        <v>55</v>
      </c>
      <c r="E436" s="31">
        <v>67</v>
      </c>
      <c r="F436" s="31">
        <v>77</v>
      </c>
      <c r="G436" s="31">
        <v>86</v>
      </c>
      <c r="H436" s="31">
        <v>94</v>
      </c>
    </row>
    <row r="437" spans="1:8" ht="24.75" customHeight="1">
      <c r="A437" s="31" t="s">
        <v>179</v>
      </c>
      <c r="B437" s="31">
        <v>66</v>
      </c>
      <c r="C437" s="31">
        <v>44</v>
      </c>
      <c r="D437" s="31">
        <v>54</v>
      </c>
      <c r="E437" s="31">
        <v>66</v>
      </c>
      <c r="F437" s="31">
        <v>76</v>
      </c>
      <c r="G437" s="31">
        <v>85</v>
      </c>
      <c r="H437" s="31">
        <v>93</v>
      </c>
    </row>
    <row r="438" spans="1:8" ht="24.75" customHeight="1">
      <c r="A438" s="31" t="s">
        <v>179</v>
      </c>
      <c r="B438" s="31">
        <v>66</v>
      </c>
      <c r="C438" s="31">
        <v>38</v>
      </c>
      <c r="D438" s="31">
        <v>48</v>
      </c>
      <c r="E438" s="31">
        <v>60</v>
      </c>
      <c r="F438" s="31">
        <v>70</v>
      </c>
      <c r="G438" s="31">
        <v>79</v>
      </c>
      <c r="H438" s="31">
        <v>87</v>
      </c>
    </row>
    <row r="439" spans="1:8" ht="24.75" customHeight="1">
      <c r="A439" s="31" t="s">
        <v>179</v>
      </c>
      <c r="B439" s="31">
        <v>64</v>
      </c>
      <c r="C439" s="31">
        <v>37</v>
      </c>
      <c r="D439" s="31">
        <v>47</v>
      </c>
      <c r="E439" s="31">
        <v>59</v>
      </c>
      <c r="F439" s="31">
        <v>69</v>
      </c>
      <c r="G439" s="31">
        <v>78</v>
      </c>
      <c r="H439" s="31">
        <v>86</v>
      </c>
    </row>
    <row r="440" spans="1:8" ht="24.75" customHeight="1">
      <c r="A440" s="31" t="s">
        <v>179</v>
      </c>
      <c r="B440" s="31">
        <v>64</v>
      </c>
      <c r="C440" s="31">
        <v>31</v>
      </c>
      <c r="D440" s="31">
        <v>41</v>
      </c>
      <c r="E440" s="31">
        <v>53</v>
      </c>
      <c r="F440" s="31">
        <v>63</v>
      </c>
      <c r="G440" s="31">
        <v>72</v>
      </c>
      <c r="H440" s="31">
        <v>80</v>
      </c>
    </row>
    <row r="441" spans="1:8" ht="24.75" customHeight="1">
      <c r="A441" s="31" t="s">
        <v>179</v>
      </c>
      <c r="B441" s="31">
        <v>62</v>
      </c>
      <c r="C441" s="31">
        <v>30</v>
      </c>
      <c r="D441" s="31">
        <v>40</v>
      </c>
      <c r="E441" s="31">
        <v>52</v>
      </c>
      <c r="F441" s="31">
        <v>62</v>
      </c>
      <c r="G441" s="31">
        <v>71</v>
      </c>
      <c r="H441" s="31">
        <v>79</v>
      </c>
    </row>
    <row r="442" spans="1:8" ht="24.75" customHeight="1">
      <c r="A442" s="31" t="s">
        <v>179</v>
      </c>
      <c r="B442" s="31">
        <v>62</v>
      </c>
      <c r="C442" s="31">
        <v>24</v>
      </c>
      <c r="D442" s="31">
        <v>34</v>
      </c>
      <c r="E442" s="31">
        <v>46</v>
      </c>
      <c r="F442" s="31">
        <v>56</v>
      </c>
      <c r="G442" s="31">
        <v>65</v>
      </c>
      <c r="H442" s="31">
        <v>73</v>
      </c>
    </row>
    <row r="443" spans="1:8" ht="24.75" customHeight="1">
      <c r="A443" s="31" t="s">
        <v>179</v>
      </c>
      <c r="B443" s="31">
        <v>60</v>
      </c>
      <c r="C443" s="31">
        <v>23</v>
      </c>
      <c r="D443" s="31">
        <v>33</v>
      </c>
      <c r="E443" s="31">
        <v>45</v>
      </c>
      <c r="F443" s="31">
        <v>55</v>
      </c>
      <c r="G443" s="31">
        <v>64</v>
      </c>
      <c r="H443" s="31">
        <v>72</v>
      </c>
    </row>
    <row r="444" spans="1:8" ht="24.75" customHeight="1">
      <c r="A444" s="31" t="s">
        <v>179</v>
      </c>
      <c r="B444" s="31">
        <v>60</v>
      </c>
      <c r="C444" s="31">
        <v>17</v>
      </c>
      <c r="D444" s="31">
        <v>27</v>
      </c>
      <c r="E444" s="31">
        <v>39</v>
      </c>
      <c r="F444" s="31">
        <v>49</v>
      </c>
      <c r="G444" s="31">
        <v>58</v>
      </c>
      <c r="H444" s="31">
        <v>66</v>
      </c>
    </row>
    <row r="445" spans="1:8" ht="24.75" customHeight="1">
      <c r="A445" s="31" t="s">
        <v>178</v>
      </c>
      <c r="B445" s="31">
        <v>50</v>
      </c>
      <c r="C445" s="31">
        <v>16</v>
      </c>
      <c r="D445" s="31">
        <v>26</v>
      </c>
      <c r="E445" s="31">
        <v>38</v>
      </c>
      <c r="F445" s="31">
        <v>48</v>
      </c>
      <c r="G445" s="31">
        <v>57</v>
      </c>
      <c r="H445" s="31">
        <v>65</v>
      </c>
    </row>
    <row r="446" spans="1:8" ht="24.75" customHeight="1">
      <c r="A446" s="31" t="s">
        <v>178</v>
      </c>
      <c r="B446" s="31">
        <v>50</v>
      </c>
      <c r="C446" s="31">
        <v>14</v>
      </c>
      <c r="D446" s="31">
        <v>24</v>
      </c>
      <c r="E446" s="31">
        <v>36</v>
      </c>
      <c r="F446" s="31">
        <v>46</v>
      </c>
      <c r="G446" s="31">
        <v>55</v>
      </c>
      <c r="H446" s="31">
        <v>63</v>
      </c>
    </row>
    <row r="447" spans="1:8" ht="24.75" customHeight="1">
      <c r="A447" s="31" t="s">
        <v>178</v>
      </c>
      <c r="B447" s="31">
        <v>40</v>
      </c>
      <c r="C447" s="31">
        <v>13</v>
      </c>
      <c r="D447" s="31">
        <v>23</v>
      </c>
      <c r="E447" s="31">
        <v>35</v>
      </c>
      <c r="F447" s="31">
        <v>45</v>
      </c>
      <c r="G447" s="31">
        <v>54</v>
      </c>
      <c r="H447" s="31">
        <v>62</v>
      </c>
    </row>
    <row r="448" spans="1:8" ht="24.75" customHeight="1">
      <c r="A448" s="31" t="s">
        <v>178</v>
      </c>
      <c r="B448" s="31">
        <v>40</v>
      </c>
      <c r="C448" s="31">
        <v>11</v>
      </c>
      <c r="D448" s="31">
        <v>21</v>
      </c>
      <c r="E448" s="31">
        <v>33</v>
      </c>
      <c r="F448" s="31">
        <v>43</v>
      </c>
      <c r="G448" s="31">
        <v>52</v>
      </c>
      <c r="H448" s="31">
        <v>60</v>
      </c>
    </row>
    <row r="449" spans="1:10" ht="24.75" customHeight="1">
      <c r="A449" s="31" t="s">
        <v>178</v>
      </c>
      <c r="B449" s="31">
        <v>30</v>
      </c>
      <c r="C449" s="31">
        <v>10</v>
      </c>
      <c r="D449" s="31">
        <v>20</v>
      </c>
      <c r="E449" s="31">
        <v>32</v>
      </c>
      <c r="F449" s="31">
        <v>42</v>
      </c>
      <c r="G449" s="31">
        <v>51</v>
      </c>
      <c r="H449" s="31">
        <v>59</v>
      </c>
    </row>
    <row r="450" spans="1:10" ht="24.75" customHeight="1">
      <c r="A450" s="31" t="s">
        <v>178</v>
      </c>
      <c r="B450" s="31">
        <v>30</v>
      </c>
      <c r="C450" s="31">
        <v>8</v>
      </c>
      <c r="D450" s="31">
        <v>18</v>
      </c>
      <c r="E450" s="31">
        <v>30</v>
      </c>
      <c r="F450" s="31">
        <v>40</v>
      </c>
      <c r="G450" s="31">
        <v>49</v>
      </c>
      <c r="H450" s="31">
        <v>57</v>
      </c>
    </row>
    <row r="451" spans="1:10" ht="24.75" customHeight="1">
      <c r="A451" s="31" t="s">
        <v>178</v>
      </c>
      <c r="B451" s="31">
        <v>20</v>
      </c>
      <c r="C451" s="31">
        <v>7</v>
      </c>
      <c r="D451" s="31">
        <v>17</v>
      </c>
      <c r="E451" s="31">
        <v>29</v>
      </c>
      <c r="F451" s="31">
        <v>39</v>
      </c>
      <c r="G451" s="31">
        <v>48</v>
      </c>
      <c r="H451" s="31">
        <v>56</v>
      </c>
    </row>
    <row r="452" spans="1:10" ht="24.75" customHeight="1">
      <c r="A452" s="31" t="s">
        <v>178</v>
      </c>
      <c r="B452" s="31">
        <v>20</v>
      </c>
      <c r="C452" s="31">
        <v>5</v>
      </c>
      <c r="D452" s="31">
        <v>15</v>
      </c>
      <c r="E452" s="31">
        <v>27</v>
      </c>
      <c r="F452" s="31">
        <v>37</v>
      </c>
      <c r="G452" s="31">
        <v>46</v>
      </c>
      <c r="H452" s="31">
        <v>54</v>
      </c>
    </row>
    <row r="453" spans="1:10" ht="24.75" customHeight="1">
      <c r="A453" s="31" t="s">
        <v>178</v>
      </c>
      <c r="B453" s="31">
        <v>10</v>
      </c>
      <c r="C453" s="31">
        <v>4</v>
      </c>
      <c r="D453" s="31">
        <v>14</v>
      </c>
      <c r="E453" s="31">
        <v>26</v>
      </c>
      <c r="F453" s="31">
        <v>36</v>
      </c>
      <c r="G453" s="31">
        <v>45</v>
      </c>
      <c r="H453" s="31">
        <v>53</v>
      </c>
    </row>
    <row r="454" spans="1:10" ht="24.75" customHeight="1">
      <c r="A454" s="31" t="s">
        <v>178</v>
      </c>
      <c r="B454" s="31">
        <v>10</v>
      </c>
      <c r="C454" s="31">
        <v>2</v>
      </c>
      <c r="D454" s="31">
        <v>12</v>
      </c>
      <c r="E454" s="31">
        <v>24</v>
      </c>
      <c r="F454" s="31">
        <v>34</v>
      </c>
      <c r="G454" s="31">
        <v>43</v>
      </c>
      <c r="H454" s="31">
        <v>51</v>
      </c>
    </row>
    <row r="455" spans="1:10" ht="24.75" customHeight="1">
      <c r="A455" s="31" t="s">
        <v>178</v>
      </c>
      <c r="B455" s="31">
        <v>0</v>
      </c>
      <c r="C455" s="31">
        <v>1</v>
      </c>
      <c r="D455" s="31">
        <v>11</v>
      </c>
      <c r="E455" s="31">
        <v>23</v>
      </c>
      <c r="F455" s="31">
        <v>33</v>
      </c>
      <c r="G455" s="31">
        <v>42</v>
      </c>
      <c r="H455" s="31">
        <v>50</v>
      </c>
    </row>
    <row r="456" spans="1:10" ht="24.75" customHeight="1">
      <c r="A456" s="31" t="s">
        <v>178</v>
      </c>
      <c r="B456" s="31">
        <v>0</v>
      </c>
      <c r="C456" s="31">
        <v>0</v>
      </c>
      <c r="D456" s="31">
        <v>0</v>
      </c>
      <c r="E456" s="31">
        <v>0</v>
      </c>
      <c r="F456" s="31">
        <v>0</v>
      </c>
      <c r="G456" s="31">
        <v>0</v>
      </c>
      <c r="H456" s="31">
        <v>0</v>
      </c>
    </row>
    <row r="457" spans="1:10" ht="24.75" customHeight="1">
      <c r="A457" s="31" t="s">
        <v>187</v>
      </c>
    </row>
    <row r="458" spans="1:10" ht="24.75" customHeight="1">
      <c r="A458" s="35" t="s">
        <v>163</v>
      </c>
      <c r="B458" s="31" t="s">
        <v>164</v>
      </c>
      <c r="C458" s="35" t="s">
        <v>171</v>
      </c>
      <c r="D458" s="35" t="s">
        <v>172</v>
      </c>
      <c r="E458" s="35" t="s">
        <v>173</v>
      </c>
      <c r="F458" s="35" t="s">
        <v>174</v>
      </c>
      <c r="G458" s="35" t="s">
        <v>175</v>
      </c>
      <c r="H458" s="35" t="s">
        <v>176</v>
      </c>
      <c r="I458" s="35" t="s">
        <v>251</v>
      </c>
      <c r="J458" s="35" t="s">
        <v>252</v>
      </c>
    </row>
    <row r="459" spans="1:10" ht="24.75" customHeight="1">
      <c r="A459" s="35"/>
      <c r="B459" s="31" t="s">
        <v>177</v>
      </c>
      <c r="C459" s="35"/>
      <c r="D459" s="35"/>
      <c r="E459" s="35"/>
      <c r="F459" s="35"/>
      <c r="G459" s="35"/>
      <c r="H459" s="35"/>
      <c r="I459" s="35"/>
      <c r="J459" s="35"/>
    </row>
    <row r="460" spans="1:10" ht="24.75" customHeight="1">
      <c r="A460" s="31" t="s">
        <v>181</v>
      </c>
      <c r="B460" s="31">
        <v>100</v>
      </c>
      <c r="C460" s="31">
        <v>400</v>
      </c>
      <c r="D460" s="31">
        <v>400</v>
      </c>
      <c r="E460" s="31">
        <v>400</v>
      </c>
      <c r="F460" s="31">
        <v>400</v>
      </c>
      <c r="G460" s="31">
        <v>400</v>
      </c>
      <c r="H460" s="31">
        <v>400</v>
      </c>
    </row>
    <row r="461" spans="1:10" ht="24.75" customHeight="1">
      <c r="A461" s="31" t="s">
        <v>181</v>
      </c>
      <c r="B461" s="31">
        <v>100</v>
      </c>
      <c r="C461" s="31">
        <v>225</v>
      </c>
      <c r="D461" s="31">
        <v>240</v>
      </c>
      <c r="E461" s="31">
        <v>250</v>
      </c>
      <c r="F461" s="31">
        <v>260</v>
      </c>
      <c r="G461" s="31">
        <v>265</v>
      </c>
      <c r="H461" s="31">
        <v>270</v>
      </c>
      <c r="I461" s="31">
        <v>273</v>
      </c>
      <c r="J461" s="31">
        <v>275</v>
      </c>
    </row>
    <row r="462" spans="1:10" ht="24.75" customHeight="1">
      <c r="A462" s="31" t="s">
        <v>181</v>
      </c>
      <c r="B462" s="31">
        <v>95</v>
      </c>
      <c r="C462" s="31">
        <v>224</v>
      </c>
      <c r="D462" s="31">
        <v>239</v>
      </c>
      <c r="E462" s="31">
        <v>249</v>
      </c>
      <c r="F462" s="31">
        <v>259</v>
      </c>
      <c r="G462" s="31">
        <v>264</v>
      </c>
      <c r="H462" s="31">
        <v>269</v>
      </c>
    </row>
    <row r="463" spans="1:10" ht="24.75" customHeight="1">
      <c r="A463" s="31" t="s">
        <v>181</v>
      </c>
      <c r="B463" s="31">
        <v>95</v>
      </c>
      <c r="C463" s="31">
        <v>218</v>
      </c>
      <c r="D463" s="31">
        <v>233</v>
      </c>
      <c r="E463" s="31">
        <v>245</v>
      </c>
      <c r="F463" s="31">
        <v>255</v>
      </c>
      <c r="G463" s="31">
        <v>260</v>
      </c>
      <c r="H463" s="31">
        <v>265</v>
      </c>
      <c r="I463" s="31">
        <v>268</v>
      </c>
      <c r="J463" s="31">
        <v>270</v>
      </c>
    </row>
    <row r="464" spans="1:10" ht="24.75" customHeight="1">
      <c r="A464" s="31" t="s">
        <v>181</v>
      </c>
      <c r="B464" s="31">
        <v>90</v>
      </c>
      <c r="C464" s="31">
        <v>217</v>
      </c>
      <c r="D464" s="31">
        <v>232</v>
      </c>
      <c r="E464" s="31">
        <v>244</v>
      </c>
      <c r="F464" s="31">
        <v>254</v>
      </c>
      <c r="G464" s="31">
        <v>259</v>
      </c>
      <c r="H464" s="31">
        <v>264</v>
      </c>
    </row>
    <row r="465" spans="1:10" ht="24.75" customHeight="1">
      <c r="A465" s="31" t="s">
        <v>181</v>
      </c>
      <c r="B465" s="31">
        <v>90</v>
      </c>
      <c r="C465" s="31">
        <v>211</v>
      </c>
      <c r="D465" s="31">
        <v>226</v>
      </c>
      <c r="E465" s="31">
        <v>240</v>
      </c>
      <c r="F465" s="31">
        <v>250</v>
      </c>
      <c r="G465" s="31">
        <v>255</v>
      </c>
      <c r="H465" s="31">
        <v>260</v>
      </c>
      <c r="I465" s="31">
        <v>263</v>
      </c>
      <c r="J465" s="31">
        <v>265</v>
      </c>
    </row>
    <row r="466" spans="1:10" ht="24.75" customHeight="1">
      <c r="A466" s="31" t="s">
        <v>180</v>
      </c>
      <c r="B466" s="31">
        <v>85</v>
      </c>
      <c r="C466" s="31">
        <v>210</v>
      </c>
      <c r="D466" s="31">
        <v>225</v>
      </c>
      <c r="E466" s="31">
        <v>239</v>
      </c>
      <c r="F466" s="31">
        <v>249</v>
      </c>
      <c r="G466" s="31">
        <v>254</v>
      </c>
      <c r="H466" s="31">
        <v>259</v>
      </c>
    </row>
    <row r="467" spans="1:10" ht="24.75" customHeight="1">
      <c r="A467" s="31" t="s">
        <v>180</v>
      </c>
      <c r="B467" s="31">
        <v>85</v>
      </c>
      <c r="C467" s="31">
        <v>203</v>
      </c>
      <c r="D467" s="31">
        <v>218</v>
      </c>
      <c r="E467" s="31">
        <v>233</v>
      </c>
      <c r="F467" s="31">
        <v>243</v>
      </c>
      <c r="G467" s="31">
        <v>248</v>
      </c>
      <c r="H467" s="31">
        <v>253</v>
      </c>
      <c r="I467" s="31">
        <v>256</v>
      </c>
      <c r="J467" s="31">
        <v>258</v>
      </c>
    </row>
    <row r="468" spans="1:10" ht="24.75" customHeight="1">
      <c r="A468" s="31" t="s">
        <v>180</v>
      </c>
      <c r="B468" s="31">
        <v>80</v>
      </c>
      <c r="C468" s="31">
        <v>202</v>
      </c>
      <c r="D468" s="31">
        <v>217</v>
      </c>
      <c r="E468" s="31">
        <v>232</v>
      </c>
      <c r="F468" s="31">
        <v>242</v>
      </c>
      <c r="G468" s="31">
        <v>247</v>
      </c>
      <c r="H468" s="31">
        <v>252</v>
      </c>
    </row>
    <row r="469" spans="1:10" ht="24.75" customHeight="1">
      <c r="A469" s="31" t="s">
        <v>180</v>
      </c>
      <c r="B469" s="31">
        <v>80</v>
      </c>
      <c r="C469" s="31">
        <v>195</v>
      </c>
      <c r="D469" s="31">
        <v>210</v>
      </c>
      <c r="E469" s="31">
        <v>225</v>
      </c>
      <c r="F469" s="31">
        <v>235</v>
      </c>
      <c r="G469" s="31">
        <v>240</v>
      </c>
      <c r="H469" s="31">
        <v>245</v>
      </c>
      <c r="I469" s="31">
        <v>248</v>
      </c>
      <c r="J469" s="31">
        <v>250</v>
      </c>
    </row>
    <row r="470" spans="1:10" ht="24.75" customHeight="1">
      <c r="A470" s="31" t="s">
        <v>179</v>
      </c>
      <c r="B470" s="31">
        <v>78</v>
      </c>
      <c r="C470" s="31">
        <v>194</v>
      </c>
      <c r="D470" s="31">
        <v>209</v>
      </c>
      <c r="E470" s="31">
        <v>224</v>
      </c>
      <c r="F470" s="31">
        <v>234</v>
      </c>
      <c r="G470" s="31">
        <v>239</v>
      </c>
      <c r="H470" s="31">
        <v>244</v>
      </c>
    </row>
    <row r="471" spans="1:10" ht="24.75" customHeight="1">
      <c r="A471" s="31" t="s">
        <v>179</v>
      </c>
      <c r="B471" s="31">
        <v>78</v>
      </c>
      <c r="C471" s="31">
        <v>191</v>
      </c>
      <c r="D471" s="31">
        <v>206</v>
      </c>
      <c r="E471" s="31">
        <v>221</v>
      </c>
      <c r="F471" s="31">
        <v>231</v>
      </c>
      <c r="G471" s="31">
        <v>236</v>
      </c>
      <c r="H471" s="31">
        <v>241</v>
      </c>
      <c r="I471" s="31">
        <v>244</v>
      </c>
      <c r="J471" s="31">
        <v>246</v>
      </c>
    </row>
    <row r="472" spans="1:10" ht="24.75" customHeight="1">
      <c r="A472" s="31" t="s">
        <v>179</v>
      </c>
      <c r="B472" s="31">
        <v>76</v>
      </c>
      <c r="C472" s="31">
        <v>190</v>
      </c>
      <c r="D472" s="31">
        <v>205</v>
      </c>
      <c r="E472" s="31">
        <v>220</v>
      </c>
      <c r="F472" s="31">
        <v>230</v>
      </c>
      <c r="G472" s="31">
        <v>235</v>
      </c>
      <c r="H472" s="31">
        <v>240</v>
      </c>
    </row>
    <row r="473" spans="1:10" ht="24.75" customHeight="1">
      <c r="A473" s="31" t="s">
        <v>179</v>
      </c>
      <c r="B473" s="31">
        <v>76</v>
      </c>
      <c r="C473" s="31">
        <v>187</v>
      </c>
      <c r="D473" s="31">
        <v>202</v>
      </c>
      <c r="E473" s="31">
        <v>217</v>
      </c>
      <c r="F473" s="31">
        <v>227</v>
      </c>
      <c r="G473" s="31">
        <v>232</v>
      </c>
      <c r="H473" s="31">
        <v>237</v>
      </c>
      <c r="I473" s="31">
        <v>240</v>
      </c>
      <c r="J473" s="31">
        <v>242</v>
      </c>
    </row>
    <row r="474" spans="1:10" ht="24.75" customHeight="1">
      <c r="A474" s="31" t="s">
        <v>179</v>
      </c>
      <c r="B474" s="31">
        <v>74</v>
      </c>
      <c r="C474" s="31">
        <v>186</v>
      </c>
      <c r="D474" s="31">
        <v>201</v>
      </c>
      <c r="E474" s="31">
        <v>216</v>
      </c>
      <c r="F474" s="31">
        <v>226</v>
      </c>
      <c r="G474" s="31">
        <v>231</v>
      </c>
      <c r="H474" s="31">
        <v>236</v>
      </c>
    </row>
    <row r="475" spans="1:10" ht="24.75" customHeight="1">
      <c r="A475" s="31" t="s">
        <v>179</v>
      </c>
      <c r="B475" s="31">
        <v>74</v>
      </c>
      <c r="C475" s="31">
        <v>183</v>
      </c>
      <c r="D475" s="31">
        <v>198</v>
      </c>
      <c r="E475" s="31">
        <v>213</v>
      </c>
      <c r="F475" s="31">
        <v>223</v>
      </c>
      <c r="G475" s="31">
        <v>228</v>
      </c>
      <c r="H475" s="31">
        <v>233</v>
      </c>
      <c r="I475" s="31">
        <v>236</v>
      </c>
      <c r="J475" s="31">
        <v>238</v>
      </c>
    </row>
    <row r="476" spans="1:10" ht="24.75" customHeight="1">
      <c r="A476" s="31" t="s">
        <v>179</v>
      </c>
      <c r="B476" s="31">
        <v>72</v>
      </c>
      <c r="C476" s="31">
        <v>182</v>
      </c>
      <c r="D476" s="31">
        <v>197</v>
      </c>
      <c r="E476" s="31">
        <v>212</v>
      </c>
      <c r="F476" s="31">
        <v>222</v>
      </c>
      <c r="G476" s="31">
        <v>227</v>
      </c>
      <c r="H476" s="31">
        <v>232</v>
      </c>
    </row>
    <row r="477" spans="1:10" ht="24.75" customHeight="1">
      <c r="A477" s="31" t="s">
        <v>179</v>
      </c>
      <c r="B477" s="31">
        <v>72</v>
      </c>
      <c r="C477" s="31">
        <v>179</v>
      </c>
      <c r="D477" s="31">
        <v>194</v>
      </c>
      <c r="E477" s="31">
        <v>209</v>
      </c>
      <c r="F477" s="31">
        <v>219</v>
      </c>
      <c r="G477" s="31">
        <v>224</v>
      </c>
      <c r="H477" s="31">
        <v>229</v>
      </c>
      <c r="I477" s="31">
        <v>232</v>
      </c>
      <c r="J477" s="31">
        <v>234</v>
      </c>
    </row>
    <row r="478" spans="1:10" ht="24.75" customHeight="1">
      <c r="A478" s="31" t="s">
        <v>179</v>
      </c>
      <c r="B478" s="31">
        <v>70</v>
      </c>
      <c r="C478" s="31">
        <v>178</v>
      </c>
      <c r="D478" s="31">
        <v>193</v>
      </c>
      <c r="E478" s="31">
        <v>208</v>
      </c>
      <c r="F478" s="31">
        <v>218</v>
      </c>
      <c r="G478" s="31">
        <v>223</v>
      </c>
      <c r="H478" s="31">
        <v>228</v>
      </c>
    </row>
    <row r="479" spans="1:10" ht="24.75" customHeight="1">
      <c r="A479" s="31" t="s">
        <v>179</v>
      </c>
      <c r="B479" s="31">
        <v>70</v>
      </c>
      <c r="C479" s="31">
        <v>175</v>
      </c>
      <c r="D479" s="31">
        <v>190</v>
      </c>
      <c r="E479" s="31">
        <v>205</v>
      </c>
      <c r="F479" s="31">
        <v>215</v>
      </c>
      <c r="G479" s="31">
        <v>220</v>
      </c>
      <c r="H479" s="31">
        <v>225</v>
      </c>
      <c r="I479" s="31">
        <v>228</v>
      </c>
      <c r="J479" s="31">
        <v>230</v>
      </c>
    </row>
    <row r="480" spans="1:10" ht="24.75" customHeight="1">
      <c r="A480" s="31" t="s">
        <v>179</v>
      </c>
      <c r="B480" s="31">
        <v>68</v>
      </c>
      <c r="C480" s="31">
        <v>174</v>
      </c>
      <c r="D480" s="31">
        <v>189</v>
      </c>
      <c r="E480" s="31">
        <v>204</v>
      </c>
      <c r="F480" s="31">
        <v>214</v>
      </c>
      <c r="G480" s="31">
        <v>219</v>
      </c>
      <c r="H480" s="31">
        <v>224</v>
      </c>
    </row>
    <row r="481" spans="1:10" ht="24.75" customHeight="1">
      <c r="A481" s="31" t="s">
        <v>179</v>
      </c>
      <c r="B481" s="31">
        <v>68</v>
      </c>
      <c r="C481" s="31">
        <v>171</v>
      </c>
      <c r="D481" s="31">
        <v>186</v>
      </c>
      <c r="E481" s="31">
        <v>201</v>
      </c>
      <c r="F481" s="31">
        <v>211</v>
      </c>
      <c r="G481" s="31">
        <v>216</v>
      </c>
      <c r="H481" s="31">
        <v>221</v>
      </c>
      <c r="I481" s="31">
        <v>224</v>
      </c>
      <c r="J481" s="31">
        <v>226</v>
      </c>
    </row>
    <row r="482" spans="1:10" ht="24.75" customHeight="1">
      <c r="A482" s="31" t="s">
        <v>179</v>
      </c>
      <c r="B482" s="31">
        <v>66</v>
      </c>
      <c r="C482" s="31">
        <v>170</v>
      </c>
      <c r="D482" s="31">
        <v>185</v>
      </c>
      <c r="E482" s="31">
        <v>200</v>
      </c>
      <c r="F482" s="31">
        <v>210</v>
      </c>
      <c r="G482" s="31">
        <v>215</v>
      </c>
      <c r="H482" s="31">
        <v>220</v>
      </c>
    </row>
    <row r="483" spans="1:10" ht="24.75" customHeight="1">
      <c r="A483" s="31" t="s">
        <v>179</v>
      </c>
      <c r="B483" s="31">
        <v>66</v>
      </c>
      <c r="C483" s="31">
        <v>167</v>
      </c>
      <c r="D483" s="31">
        <v>182</v>
      </c>
      <c r="E483" s="31">
        <v>197</v>
      </c>
      <c r="F483" s="31">
        <v>207</v>
      </c>
      <c r="G483" s="31">
        <v>212</v>
      </c>
      <c r="H483" s="31">
        <v>217</v>
      </c>
      <c r="I483" s="31">
        <v>220</v>
      </c>
      <c r="J483" s="31">
        <v>222</v>
      </c>
    </row>
    <row r="484" spans="1:10" ht="24.75" customHeight="1">
      <c r="A484" s="31" t="s">
        <v>179</v>
      </c>
      <c r="B484" s="31">
        <v>64</v>
      </c>
      <c r="C484" s="31">
        <v>166</v>
      </c>
      <c r="D484" s="31">
        <v>181</v>
      </c>
      <c r="E484" s="31">
        <v>196</v>
      </c>
      <c r="F484" s="31">
        <v>206</v>
      </c>
      <c r="G484" s="31">
        <v>211</v>
      </c>
      <c r="H484" s="31">
        <v>216</v>
      </c>
    </row>
    <row r="485" spans="1:10" ht="24.75" customHeight="1">
      <c r="A485" s="31" t="s">
        <v>179</v>
      </c>
      <c r="B485" s="31">
        <v>64</v>
      </c>
      <c r="C485" s="31">
        <v>163</v>
      </c>
      <c r="D485" s="31">
        <v>178</v>
      </c>
      <c r="E485" s="31">
        <v>193</v>
      </c>
      <c r="F485" s="31">
        <v>203</v>
      </c>
      <c r="G485" s="31">
        <v>208</v>
      </c>
      <c r="H485" s="31">
        <v>213</v>
      </c>
      <c r="I485" s="31">
        <v>216</v>
      </c>
      <c r="J485" s="31">
        <v>218</v>
      </c>
    </row>
    <row r="486" spans="1:10" ht="24.75" customHeight="1">
      <c r="A486" s="31" t="s">
        <v>179</v>
      </c>
      <c r="B486" s="31">
        <v>62</v>
      </c>
      <c r="C486" s="31">
        <v>162</v>
      </c>
      <c r="D486" s="31">
        <v>177</v>
      </c>
      <c r="E486" s="31">
        <v>192</v>
      </c>
      <c r="F486" s="31">
        <v>202</v>
      </c>
      <c r="G486" s="31">
        <v>207</v>
      </c>
      <c r="H486" s="31">
        <v>212</v>
      </c>
    </row>
    <row r="487" spans="1:10" ht="24.75" customHeight="1">
      <c r="A487" s="31" t="s">
        <v>179</v>
      </c>
      <c r="B487" s="31">
        <v>62</v>
      </c>
      <c r="C487" s="31">
        <v>159</v>
      </c>
      <c r="D487" s="31">
        <v>174</v>
      </c>
      <c r="E487" s="31">
        <v>189</v>
      </c>
      <c r="F487" s="31">
        <v>199</v>
      </c>
      <c r="G487" s="31">
        <v>204</v>
      </c>
      <c r="H487" s="31">
        <v>209</v>
      </c>
      <c r="I487" s="31">
        <v>212</v>
      </c>
      <c r="J487" s="31">
        <v>214</v>
      </c>
    </row>
    <row r="488" spans="1:10" ht="24.75" customHeight="1">
      <c r="A488" s="31" t="s">
        <v>179</v>
      </c>
      <c r="B488" s="31">
        <v>60</v>
      </c>
      <c r="C488" s="31">
        <v>158</v>
      </c>
      <c r="D488" s="31">
        <v>173</v>
      </c>
      <c r="E488" s="31">
        <v>188</v>
      </c>
      <c r="F488" s="31">
        <v>198</v>
      </c>
      <c r="G488" s="31">
        <v>203</v>
      </c>
      <c r="H488" s="31">
        <v>208</v>
      </c>
    </row>
    <row r="489" spans="1:10" ht="24.75" customHeight="1">
      <c r="A489" s="31" t="s">
        <v>179</v>
      </c>
      <c r="B489" s="31">
        <v>60</v>
      </c>
      <c r="C489" s="31">
        <v>155</v>
      </c>
      <c r="D489" s="31">
        <v>170</v>
      </c>
      <c r="E489" s="31">
        <v>185</v>
      </c>
      <c r="F489" s="31">
        <v>195</v>
      </c>
      <c r="G489" s="31">
        <v>200</v>
      </c>
      <c r="H489" s="31">
        <v>205</v>
      </c>
      <c r="I489" s="31">
        <v>208</v>
      </c>
      <c r="J489" s="31">
        <v>210</v>
      </c>
    </row>
    <row r="490" spans="1:10" ht="24.75" customHeight="1">
      <c r="A490" s="31" t="s">
        <v>178</v>
      </c>
      <c r="B490" s="31">
        <v>50</v>
      </c>
      <c r="C490" s="31">
        <v>154</v>
      </c>
      <c r="D490" s="31">
        <v>169</v>
      </c>
      <c r="E490" s="31">
        <v>184</v>
      </c>
      <c r="F490" s="31">
        <v>194</v>
      </c>
      <c r="G490" s="31">
        <v>199</v>
      </c>
      <c r="H490" s="31">
        <v>204</v>
      </c>
    </row>
    <row r="491" spans="1:10" ht="24.75" customHeight="1">
      <c r="A491" s="31" t="s">
        <v>178</v>
      </c>
      <c r="B491" s="31">
        <v>50</v>
      </c>
      <c r="C491" s="31">
        <v>150</v>
      </c>
      <c r="D491" s="31">
        <v>165</v>
      </c>
      <c r="E491" s="31">
        <v>180</v>
      </c>
      <c r="F491" s="31">
        <v>190</v>
      </c>
      <c r="G491" s="31">
        <v>195</v>
      </c>
      <c r="H491" s="31">
        <v>200</v>
      </c>
      <c r="I491" s="31">
        <v>203</v>
      </c>
      <c r="J491" s="31">
        <v>205</v>
      </c>
    </row>
    <row r="492" spans="1:10" ht="24.75" customHeight="1">
      <c r="A492" s="31" t="s">
        <v>178</v>
      </c>
      <c r="B492" s="31">
        <v>40</v>
      </c>
      <c r="C492" s="31">
        <v>149</v>
      </c>
      <c r="D492" s="31">
        <v>164</v>
      </c>
      <c r="E492" s="31">
        <v>179</v>
      </c>
      <c r="F492" s="31">
        <v>189</v>
      </c>
      <c r="G492" s="31">
        <v>194</v>
      </c>
      <c r="H492" s="31">
        <v>199</v>
      </c>
    </row>
    <row r="493" spans="1:10" ht="24.75" customHeight="1">
      <c r="A493" s="31" t="s">
        <v>178</v>
      </c>
      <c r="B493" s="31">
        <v>40</v>
      </c>
      <c r="C493" s="31">
        <v>145</v>
      </c>
      <c r="D493" s="31">
        <v>160</v>
      </c>
      <c r="E493" s="31">
        <v>175</v>
      </c>
      <c r="F493" s="31">
        <v>185</v>
      </c>
      <c r="G493" s="31">
        <v>190</v>
      </c>
      <c r="H493" s="31">
        <v>195</v>
      </c>
      <c r="I493" s="31">
        <v>198</v>
      </c>
      <c r="J493" s="31">
        <v>200</v>
      </c>
    </row>
    <row r="494" spans="1:10" ht="24.75" customHeight="1">
      <c r="A494" s="31" t="s">
        <v>178</v>
      </c>
      <c r="B494" s="31">
        <v>30</v>
      </c>
      <c r="C494" s="31">
        <v>144</v>
      </c>
      <c r="D494" s="31">
        <v>159</v>
      </c>
      <c r="E494" s="31">
        <v>174</v>
      </c>
      <c r="F494" s="31">
        <v>184</v>
      </c>
      <c r="G494" s="31">
        <v>189</v>
      </c>
      <c r="H494" s="31">
        <v>194</v>
      </c>
    </row>
    <row r="495" spans="1:10" ht="24.75" customHeight="1">
      <c r="A495" s="31" t="s">
        <v>178</v>
      </c>
      <c r="B495" s="31">
        <v>30</v>
      </c>
      <c r="C495" s="31">
        <v>140</v>
      </c>
      <c r="D495" s="31">
        <v>155</v>
      </c>
      <c r="E495" s="31">
        <v>170</v>
      </c>
      <c r="F495" s="31">
        <v>180</v>
      </c>
      <c r="G495" s="31">
        <v>185</v>
      </c>
      <c r="H495" s="31">
        <v>190</v>
      </c>
      <c r="I495" s="31">
        <v>193</v>
      </c>
      <c r="J495" s="31">
        <v>195</v>
      </c>
    </row>
    <row r="496" spans="1:10" ht="24.75" customHeight="1">
      <c r="A496" s="31" t="s">
        <v>178</v>
      </c>
      <c r="B496" s="31">
        <v>20</v>
      </c>
      <c r="C496" s="31">
        <v>139</v>
      </c>
      <c r="D496" s="31">
        <v>154</v>
      </c>
      <c r="E496" s="31">
        <v>169</v>
      </c>
      <c r="F496" s="31">
        <v>179</v>
      </c>
      <c r="G496" s="31">
        <v>184</v>
      </c>
      <c r="H496" s="31">
        <v>189</v>
      </c>
    </row>
    <row r="497" spans="1:10" ht="24.75" customHeight="1">
      <c r="A497" s="31" t="s">
        <v>178</v>
      </c>
      <c r="B497" s="31">
        <v>20</v>
      </c>
      <c r="C497" s="31">
        <v>135</v>
      </c>
      <c r="D497" s="31">
        <v>150</v>
      </c>
      <c r="E497" s="31">
        <v>165</v>
      </c>
      <c r="F497" s="31">
        <v>175</v>
      </c>
      <c r="G497" s="31">
        <v>180</v>
      </c>
      <c r="H497" s="31">
        <v>185</v>
      </c>
      <c r="I497" s="31">
        <v>188</v>
      </c>
      <c r="J497" s="31">
        <v>190</v>
      </c>
    </row>
    <row r="498" spans="1:10" ht="24.75" customHeight="1">
      <c r="A498" s="31" t="s">
        <v>178</v>
      </c>
      <c r="B498" s="31">
        <v>10</v>
      </c>
      <c r="C498" s="31">
        <v>134</v>
      </c>
      <c r="D498" s="31">
        <v>149</v>
      </c>
      <c r="E498" s="31">
        <v>164</v>
      </c>
      <c r="F498" s="31">
        <v>174</v>
      </c>
      <c r="G498" s="31">
        <v>179</v>
      </c>
      <c r="H498" s="31">
        <v>184</v>
      </c>
    </row>
    <row r="499" spans="1:10" ht="24.75" customHeight="1">
      <c r="A499" s="31" t="s">
        <v>178</v>
      </c>
      <c r="B499" s="31">
        <v>10</v>
      </c>
      <c r="C499" s="31">
        <v>130</v>
      </c>
      <c r="D499" s="31">
        <v>145</v>
      </c>
      <c r="E499" s="31">
        <v>160</v>
      </c>
      <c r="F499" s="31">
        <v>170</v>
      </c>
      <c r="G499" s="31">
        <v>175</v>
      </c>
      <c r="H499" s="31">
        <v>180</v>
      </c>
      <c r="I499" s="31">
        <v>183</v>
      </c>
      <c r="J499" s="31">
        <v>185</v>
      </c>
    </row>
    <row r="500" spans="1:10" ht="24.75" customHeight="1">
      <c r="A500" s="31" t="s">
        <v>178</v>
      </c>
      <c r="B500" s="31">
        <v>0</v>
      </c>
      <c r="C500" s="31">
        <v>129</v>
      </c>
      <c r="D500" s="31">
        <v>144</v>
      </c>
      <c r="E500" s="31">
        <v>159</v>
      </c>
      <c r="F500" s="31">
        <v>169</v>
      </c>
      <c r="G500" s="31">
        <v>174</v>
      </c>
      <c r="H500" s="31">
        <v>179</v>
      </c>
    </row>
    <row r="501" spans="1:10" ht="24.75" customHeight="1">
      <c r="A501" s="31" t="s">
        <v>178</v>
      </c>
      <c r="B501" s="31">
        <v>0</v>
      </c>
      <c r="C501" s="31">
        <v>50</v>
      </c>
      <c r="D501" s="31">
        <v>50</v>
      </c>
      <c r="E501" s="31">
        <v>50</v>
      </c>
      <c r="F501" s="31">
        <v>50</v>
      </c>
      <c r="G501" s="31">
        <v>50</v>
      </c>
      <c r="H501" s="31">
        <v>50</v>
      </c>
    </row>
    <row r="502" spans="1:10" ht="24.75" customHeight="1">
      <c r="A502" s="31" t="s">
        <v>253</v>
      </c>
    </row>
    <row r="503" spans="1:10" ht="24.75" customHeight="1">
      <c r="A503" s="35" t="s">
        <v>163</v>
      </c>
      <c r="B503" s="31" t="s">
        <v>164</v>
      </c>
      <c r="C503" s="35" t="s">
        <v>171</v>
      </c>
      <c r="D503" s="35" t="s">
        <v>172</v>
      </c>
      <c r="E503" s="35" t="s">
        <v>173</v>
      </c>
      <c r="F503" s="35" t="s">
        <v>174</v>
      </c>
      <c r="G503" s="35" t="s">
        <v>175</v>
      </c>
      <c r="H503" s="35" t="s">
        <v>176</v>
      </c>
      <c r="I503" s="35" t="s">
        <v>251</v>
      </c>
      <c r="J503" s="35" t="s">
        <v>252</v>
      </c>
    </row>
    <row r="504" spans="1:10" ht="24.75" customHeight="1">
      <c r="A504" s="35"/>
      <c r="B504" s="31" t="s">
        <v>177</v>
      </c>
      <c r="C504" s="35"/>
      <c r="D504" s="35"/>
      <c r="E504" s="35"/>
      <c r="F504" s="35"/>
      <c r="G504" s="35"/>
      <c r="H504" s="35"/>
      <c r="I504" s="35"/>
      <c r="J504" s="35"/>
    </row>
    <row r="505" spans="1:10" ht="24.75" customHeight="1">
      <c r="A505" s="31" t="s">
        <v>181</v>
      </c>
      <c r="B505" s="31">
        <v>100</v>
      </c>
      <c r="C505" s="31">
        <v>400</v>
      </c>
      <c r="D505" s="31">
        <v>400</v>
      </c>
      <c r="E505" s="31">
        <v>400</v>
      </c>
      <c r="F505" s="31">
        <v>400</v>
      </c>
      <c r="G505" s="31">
        <v>400</v>
      </c>
      <c r="H505" s="31">
        <v>400</v>
      </c>
    </row>
    <row r="506" spans="1:10" ht="24.75" customHeight="1">
      <c r="A506" s="31" t="s">
        <v>181</v>
      </c>
      <c r="B506" s="31">
        <v>100</v>
      </c>
      <c r="C506" s="31">
        <v>196</v>
      </c>
      <c r="D506" s="31">
        <v>200</v>
      </c>
      <c r="E506" s="31">
        <v>202</v>
      </c>
      <c r="F506" s="31">
        <v>204</v>
      </c>
      <c r="G506" s="31">
        <v>205</v>
      </c>
      <c r="H506" s="31">
        <v>206</v>
      </c>
      <c r="I506" s="31">
        <v>207</v>
      </c>
      <c r="J506" s="31">
        <v>208</v>
      </c>
    </row>
    <row r="507" spans="1:10" ht="24.75" customHeight="1">
      <c r="A507" s="31" t="s">
        <v>181</v>
      </c>
      <c r="B507" s="31">
        <v>95</v>
      </c>
      <c r="C507" s="31">
        <v>195</v>
      </c>
      <c r="D507" s="31">
        <v>199</v>
      </c>
      <c r="E507" s="31">
        <v>201</v>
      </c>
      <c r="F507" s="31">
        <v>203</v>
      </c>
      <c r="G507" s="31">
        <v>204</v>
      </c>
      <c r="H507" s="31">
        <v>205</v>
      </c>
    </row>
    <row r="508" spans="1:10" ht="24.75" customHeight="1">
      <c r="A508" s="31" t="s">
        <v>181</v>
      </c>
      <c r="B508" s="31">
        <v>95</v>
      </c>
      <c r="C508" s="31">
        <v>190</v>
      </c>
      <c r="D508" s="31">
        <v>194</v>
      </c>
      <c r="E508" s="31">
        <v>196</v>
      </c>
      <c r="F508" s="31">
        <v>198</v>
      </c>
      <c r="G508" s="31">
        <v>199</v>
      </c>
      <c r="H508" s="31">
        <v>200</v>
      </c>
      <c r="I508" s="31">
        <v>201</v>
      </c>
      <c r="J508" s="31">
        <v>202</v>
      </c>
    </row>
    <row r="509" spans="1:10" ht="24.75" customHeight="1">
      <c r="A509" s="31" t="s">
        <v>181</v>
      </c>
      <c r="B509" s="31">
        <v>90</v>
      </c>
      <c r="C509" s="31">
        <v>189</v>
      </c>
      <c r="D509" s="31">
        <v>193</v>
      </c>
      <c r="E509" s="31">
        <v>195</v>
      </c>
      <c r="F509" s="31">
        <v>197</v>
      </c>
      <c r="G509" s="31">
        <v>198</v>
      </c>
      <c r="H509" s="31">
        <v>199</v>
      </c>
    </row>
    <row r="510" spans="1:10" ht="24.75" customHeight="1">
      <c r="A510" s="31" t="s">
        <v>181</v>
      </c>
      <c r="B510" s="31">
        <v>90</v>
      </c>
      <c r="C510" s="31">
        <v>184</v>
      </c>
      <c r="D510" s="31">
        <v>188</v>
      </c>
      <c r="E510" s="31">
        <v>190</v>
      </c>
      <c r="F510" s="31">
        <v>192</v>
      </c>
      <c r="G510" s="31">
        <v>193</v>
      </c>
      <c r="H510" s="31">
        <v>194</v>
      </c>
      <c r="I510" s="31">
        <v>195</v>
      </c>
      <c r="J510" s="31">
        <v>196</v>
      </c>
    </row>
    <row r="511" spans="1:10" ht="24.75" customHeight="1">
      <c r="A511" s="31" t="s">
        <v>180</v>
      </c>
      <c r="B511" s="31">
        <v>85</v>
      </c>
      <c r="C511" s="31">
        <v>183</v>
      </c>
      <c r="D511" s="31">
        <v>187</v>
      </c>
      <c r="E511" s="31">
        <v>189</v>
      </c>
      <c r="F511" s="31">
        <v>191</v>
      </c>
      <c r="G511" s="31">
        <v>192</v>
      </c>
      <c r="H511" s="31">
        <v>193</v>
      </c>
      <c r="I511" s="31">
        <v>194</v>
      </c>
    </row>
    <row r="512" spans="1:10" ht="24.75" customHeight="1">
      <c r="A512" s="31" t="s">
        <v>180</v>
      </c>
      <c r="B512" s="31">
        <v>85</v>
      </c>
      <c r="C512" s="31">
        <v>177</v>
      </c>
      <c r="D512" s="31">
        <v>181</v>
      </c>
      <c r="E512" s="31">
        <v>183</v>
      </c>
      <c r="F512" s="31">
        <v>185</v>
      </c>
      <c r="G512" s="31">
        <v>186</v>
      </c>
      <c r="H512" s="31">
        <v>187</v>
      </c>
      <c r="I512" s="31">
        <v>188</v>
      </c>
      <c r="J512" s="31">
        <v>189</v>
      </c>
    </row>
    <row r="513" spans="1:10" ht="24.75" customHeight="1">
      <c r="A513" s="31" t="s">
        <v>180</v>
      </c>
      <c r="B513" s="31">
        <v>80</v>
      </c>
      <c r="C513" s="31">
        <v>176</v>
      </c>
      <c r="D513" s="31">
        <v>180</v>
      </c>
      <c r="E513" s="31">
        <v>182</v>
      </c>
      <c r="F513" s="31">
        <v>184</v>
      </c>
      <c r="G513" s="31">
        <v>185</v>
      </c>
      <c r="H513" s="31">
        <v>186</v>
      </c>
    </row>
    <row r="514" spans="1:10" ht="24.75" customHeight="1">
      <c r="A514" s="31" t="s">
        <v>180</v>
      </c>
      <c r="B514" s="31">
        <v>80</v>
      </c>
      <c r="C514" s="31">
        <v>170</v>
      </c>
      <c r="D514" s="31">
        <v>174</v>
      </c>
      <c r="E514" s="31">
        <v>176</v>
      </c>
      <c r="F514" s="31">
        <v>178</v>
      </c>
      <c r="G514" s="31">
        <v>179</v>
      </c>
      <c r="H514" s="31">
        <v>180</v>
      </c>
      <c r="I514" s="31">
        <v>181</v>
      </c>
      <c r="J514" s="31">
        <v>182</v>
      </c>
    </row>
    <row r="515" spans="1:10" ht="24.75" customHeight="1">
      <c r="A515" s="31" t="s">
        <v>179</v>
      </c>
      <c r="B515" s="31">
        <v>78</v>
      </c>
      <c r="C515" s="31">
        <v>169</v>
      </c>
      <c r="D515" s="31">
        <v>173</v>
      </c>
      <c r="E515" s="31">
        <v>175</v>
      </c>
      <c r="F515" s="31">
        <v>177</v>
      </c>
      <c r="G515" s="31">
        <v>178</v>
      </c>
      <c r="H515" s="31">
        <v>179</v>
      </c>
    </row>
    <row r="516" spans="1:10" ht="24.75" customHeight="1">
      <c r="A516" s="31" t="s">
        <v>179</v>
      </c>
      <c r="B516" s="31">
        <v>78</v>
      </c>
      <c r="C516" s="31">
        <v>167</v>
      </c>
      <c r="D516" s="31">
        <v>171</v>
      </c>
      <c r="E516" s="31">
        <v>173</v>
      </c>
      <c r="F516" s="31">
        <v>175</v>
      </c>
      <c r="G516" s="31">
        <v>176</v>
      </c>
      <c r="H516" s="31">
        <v>177</v>
      </c>
      <c r="I516" s="31">
        <v>178</v>
      </c>
      <c r="J516" s="31">
        <v>179</v>
      </c>
    </row>
    <row r="517" spans="1:10" ht="24.75" customHeight="1">
      <c r="A517" s="31" t="s">
        <v>179</v>
      </c>
      <c r="B517" s="31">
        <v>76</v>
      </c>
      <c r="C517" s="31">
        <v>166</v>
      </c>
      <c r="D517" s="31">
        <v>170</v>
      </c>
      <c r="E517" s="31">
        <v>172</v>
      </c>
      <c r="F517" s="31">
        <v>174</v>
      </c>
      <c r="G517" s="31">
        <v>175</v>
      </c>
      <c r="H517" s="31">
        <v>176</v>
      </c>
    </row>
    <row r="518" spans="1:10" ht="24.75" customHeight="1">
      <c r="A518" s="31" t="s">
        <v>179</v>
      </c>
      <c r="B518" s="31">
        <v>76</v>
      </c>
      <c r="C518" s="31">
        <v>164</v>
      </c>
      <c r="D518" s="31">
        <v>168</v>
      </c>
      <c r="E518" s="31">
        <v>170</v>
      </c>
      <c r="F518" s="31">
        <v>172</v>
      </c>
      <c r="G518" s="31">
        <v>173</v>
      </c>
      <c r="H518" s="31">
        <v>174</v>
      </c>
      <c r="I518" s="31">
        <v>175</v>
      </c>
      <c r="J518" s="31">
        <v>176</v>
      </c>
    </row>
    <row r="519" spans="1:10" ht="24.75" customHeight="1">
      <c r="A519" s="31" t="s">
        <v>179</v>
      </c>
      <c r="B519" s="31">
        <v>74</v>
      </c>
      <c r="C519" s="31">
        <v>163</v>
      </c>
      <c r="D519" s="31">
        <v>167</v>
      </c>
      <c r="E519" s="31">
        <v>169</v>
      </c>
      <c r="F519" s="31">
        <v>171</v>
      </c>
      <c r="G519" s="31">
        <v>172</v>
      </c>
      <c r="H519" s="31">
        <v>173</v>
      </c>
    </row>
    <row r="520" spans="1:10" ht="24.75" customHeight="1">
      <c r="A520" s="31" t="s">
        <v>179</v>
      </c>
      <c r="B520" s="31">
        <v>74</v>
      </c>
      <c r="C520" s="31">
        <v>161</v>
      </c>
      <c r="D520" s="31">
        <v>165</v>
      </c>
      <c r="E520" s="31">
        <v>167</v>
      </c>
      <c r="F520" s="31">
        <v>169</v>
      </c>
      <c r="G520" s="31">
        <v>170</v>
      </c>
      <c r="H520" s="31">
        <v>171</v>
      </c>
      <c r="I520" s="31">
        <v>172</v>
      </c>
      <c r="J520" s="31">
        <v>173</v>
      </c>
    </row>
    <row r="521" spans="1:10" ht="24.75" customHeight="1">
      <c r="A521" s="31" t="s">
        <v>179</v>
      </c>
      <c r="B521" s="31">
        <v>72</v>
      </c>
      <c r="C521" s="31">
        <v>160</v>
      </c>
      <c r="D521" s="31">
        <v>164</v>
      </c>
      <c r="E521" s="31">
        <v>176</v>
      </c>
      <c r="F521" s="31">
        <v>168</v>
      </c>
      <c r="G521" s="31">
        <v>169</v>
      </c>
      <c r="H521" s="31">
        <v>170</v>
      </c>
    </row>
    <row r="522" spans="1:10" ht="24.75" customHeight="1">
      <c r="A522" s="31" t="s">
        <v>179</v>
      </c>
      <c r="B522" s="31">
        <v>72</v>
      </c>
      <c r="C522" s="31">
        <v>158</v>
      </c>
      <c r="D522" s="31">
        <v>162</v>
      </c>
      <c r="E522" s="31">
        <v>164</v>
      </c>
      <c r="F522" s="31">
        <v>166</v>
      </c>
      <c r="G522" s="31">
        <v>167</v>
      </c>
      <c r="H522" s="31">
        <v>168</v>
      </c>
      <c r="I522" s="31">
        <v>169</v>
      </c>
      <c r="J522" s="31">
        <v>170</v>
      </c>
    </row>
    <row r="523" spans="1:10" ht="24.75" customHeight="1">
      <c r="A523" s="31" t="s">
        <v>179</v>
      </c>
      <c r="B523" s="31">
        <v>70</v>
      </c>
      <c r="C523" s="31">
        <v>157</v>
      </c>
      <c r="D523" s="31">
        <v>161</v>
      </c>
      <c r="E523" s="31">
        <v>163</v>
      </c>
      <c r="F523" s="31">
        <v>165</v>
      </c>
      <c r="G523" s="31">
        <v>166</v>
      </c>
      <c r="H523" s="31">
        <v>167</v>
      </c>
    </row>
    <row r="524" spans="1:10" ht="24.75" customHeight="1">
      <c r="A524" s="31" t="s">
        <v>179</v>
      </c>
      <c r="B524" s="31">
        <v>70</v>
      </c>
      <c r="C524" s="31">
        <v>155</v>
      </c>
      <c r="D524" s="31">
        <v>159</v>
      </c>
      <c r="E524" s="31">
        <v>161</v>
      </c>
      <c r="F524" s="31">
        <v>163</v>
      </c>
      <c r="G524" s="31">
        <v>164</v>
      </c>
      <c r="H524" s="31">
        <v>165</v>
      </c>
      <c r="I524" s="31">
        <v>166</v>
      </c>
      <c r="J524" s="31">
        <v>167</v>
      </c>
    </row>
    <row r="525" spans="1:10" ht="24.75" customHeight="1">
      <c r="A525" s="31" t="s">
        <v>179</v>
      </c>
      <c r="B525" s="31">
        <v>68</v>
      </c>
      <c r="C525" s="31">
        <v>154</v>
      </c>
      <c r="D525" s="31">
        <v>158</v>
      </c>
      <c r="E525" s="31">
        <v>160</v>
      </c>
      <c r="F525" s="31">
        <v>162</v>
      </c>
      <c r="G525" s="31">
        <v>163</v>
      </c>
      <c r="H525" s="31">
        <v>164</v>
      </c>
    </row>
    <row r="526" spans="1:10" ht="24.75" customHeight="1">
      <c r="A526" s="31" t="s">
        <v>179</v>
      </c>
      <c r="B526" s="31">
        <v>68</v>
      </c>
      <c r="C526" s="31">
        <v>152</v>
      </c>
      <c r="D526" s="31">
        <v>156</v>
      </c>
      <c r="E526" s="31">
        <v>158</v>
      </c>
      <c r="F526" s="31">
        <v>160</v>
      </c>
      <c r="G526" s="31">
        <v>161</v>
      </c>
      <c r="H526" s="31">
        <v>162</v>
      </c>
      <c r="I526" s="31">
        <v>163</v>
      </c>
      <c r="J526" s="31">
        <v>164</v>
      </c>
    </row>
    <row r="527" spans="1:10" ht="24.75" customHeight="1">
      <c r="A527" s="31" t="s">
        <v>179</v>
      </c>
      <c r="B527" s="31">
        <v>66</v>
      </c>
      <c r="C527" s="31">
        <v>151</v>
      </c>
      <c r="D527" s="31">
        <v>155</v>
      </c>
      <c r="E527" s="31">
        <v>157</v>
      </c>
      <c r="F527" s="31">
        <v>159</v>
      </c>
      <c r="G527" s="31">
        <v>160</v>
      </c>
      <c r="H527" s="31">
        <v>161</v>
      </c>
    </row>
    <row r="528" spans="1:10" ht="24.75" customHeight="1">
      <c r="A528" s="31" t="s">
        <v>179</v>
      </c>
      <c r="B528" s="31">
        <v>66</v>
      </c>
      <c r="C528" s="31">
        <v>149</v>
      </c>
      <c r="D528" s="31">
        <v>153</v>
      </c>
      <c r="E528" s="31">
        <v>155</v>
      </c>
      <c r="F528" s="31">
        <v>157</v>
      </c>
      <c r="G528" s="31">
        <v>158</v>
      </c>
      <c r="H528" s="31">
        <v>159</v>
      </c>
      <c r="I528" s="31">
        <v>160</v>
      </c>
      <c r="J528" s="31">
        <v>161</v>
      </c>
    </row>
    <row r="529" spans="1:10" ht="24.75" customHeight="1">
      <c r="A529" s="31" t="s">
        <v>179</v>
      </c>
      <c r="B529" s="31">
        <v>64</v>
      </c>
      <c r="C529" s="31">
        <v>148</v>
      </c>
      <c r="D529" s="31">
        <v>152</v>
      </c>
      <c r="E529" s="31">
        <v>154</v>
      </c>
      <c r="F529" s="31">
        <v>156</v>
      </c>
      <c r="G529" s="31">
        <v>157</v>
      </c>
      <c r="H529" s="31">
        <v>158</v>
      </c>
    </row>
    <row r="530" spans="1:10" ht="24.75" customHeight="1">
      <c r="A530" s="31" t="s">
        <v>179</v>
      </c>
      <c r="B530" s="31">
        <v>64</v>
      </c>
      <c r="C530" s="31">
        <v>146</v>
      </c>
      <c r="D530" s="31">
        <v>150</v>
      </c>
      <c r="E530" s="31">
        <v>152</v>
      </c>
      <c r="F530" s="31">
        <v>154</v>
      </c>
      <c r="G530" s="31">
        <v>155</v>
      </c>
      <c r="H530" s="31">
        <v>156</v>
      </c>
      <c r="I530" s="31">
        <v>157</v>
      </c>
      <c r="J530" s="31">
        <v>158</v>
      </c>
    </row>
    <row r="531" spans="1:10" ht="24.75" customHeight="1">
      <c r="A531" s="31" t="s">
        <v>179</v>
      </c>
      <c r="B531" s="31">
        <v>62</v>
      </c>
      <c r="C531" s="31">
        <v>145</v>
      </c>
      <c r="D531" s="31">
        <v>149</v>
      </c>
      <c r="E531" s="31">
        <v>151</v>
      </c>
      <c r="F531" s="31">
        <v>153</v>
      </c>
      <c r="G531" s="31">
        <v>154</v>
      </c>
      <c r="H531" s="31">
        <v>155</v>
      </c>
    </row>
    <row r="532" spans="1:10" ht="24.75" customHeight="1">
      <c r="A532" s="31" t="s">
        <v>179</v>
      </c>
      <c r="B532" s="31">
        <v>62</v>
      </c>
      <c r="C532" s="31">
        <v>143</v>
      </c>
      <c r="D532" s="31">
        <v>147</v>
      </c>
      <c r="E532" s="31">
        <v>149</v>
      </c>
      <c r="F532" s="31">
        <v>151</v>
      </c>
      <c r="G532" s="31">
        <v>152</v>
      </c>
      <c r="H532" s="31">
        <v>153</v>
      </c>
      <c r="I532" s="31">
        <v>154</v>
      </c>
      <c r="J532" s="31">
        <v>155</v>
      </c>
    </row>
    <row r="533" spans="1:10" ht="24.75" customHeight="1">
      <c r="A533" s="31" t="s">
        <v>179</v>
      </c>
      <c r="B533" s="31">
        <v>60</v>
      </c>
      <c r="C533" s="31">
        <v>142</v>
      </c>
      <c r="D533" s="31">
        <v>146</v>
      </c>
      <c r="E533" s="31">
        <v>148</v>
      </c>
      <c r="F533" s="31">
        <v>150</v>
      </c>
      <c r="G533" s="31">
        <v>151</v>
      </c>
      <c r="H533" s="31">
        <v>152</v>
      </c>
    </row>
    <row r="534" spans="1:10" ht="24.75" customHeight="1">
      <c r="A534" s="31" t="s">
        <v>179</v>
      </c>
      <c r="B534" s="31">
        <v>60</v>
      </c>
      <c r="C534" s="31">
        <v>140</v>
      </c>
      <c r="D534" s="31">
        <v>144</v>
      </c>
      <c r="E534" s="31">
        <v>146</v>
      </c>
      <c r="F534" s="31">
        <v>148</v>
      </c>
      <c r="G534" s="31">
        <v>149</v>
      </c>
      <c r="H534" s="31">
        <v>150</v>
      </c>
      <c r="I534" s="31">
        <v>151</v>
      </c>
      <c r="J534" s="31">
        <v>152</v>
      </c>
    </row>
    <row r="535" spans="1:10" ht="24.75" customHeight="1">
      <c r="A535" s="31" t="s">
        <v>178</v>
      </c>
      <c r="B535" s="31">
        <v>50</v>
      </c>
      <c r="C535" s="31">
        <v>139</v>
      </c>
      <c r="D535" s="31">
        <v>143</v>
      </c>
      <c r="E535" s="31">
        <v>145</v>
      </c>
      <c r="F535" s="31">
        <v>147</v>
      </c>
      <c r="G535" s="31">
        <v>148</v>
      </c>
      <c r="H535" s="31">
        <v>149</v>
      </c>
    </row>
    <row r="536" spans="1:10" ht="24.75" customHeight="1">
      <c r="A536" s="31" t="s">
        <v>178</v>
      </c>
      <c r="B536" s="31">
        <v>50</v>
      </c>
      <c r="C536" s="31">
        <v>135</v>
      </c>
      <c r="D536" s="31">
        <v>139</v>
      </c>
      <c r="E536" s="31">
        <v>141</v>
      </c>
      <c r="F536" s="31">
        <v>143</v>
      </c>
      <c r="G536" s="31">
        <v>144</v>
      </c>
      <c r="H536" s="31">
        <v>145</v>
      </c>
      <c r="I536" s="31">
        <v>146</v>
      </c>
      <c r="J536" s="31">
        <v>147</v>
      </c>
    </row>
    <row r="537" spans="1:10" ht="24.75" customHeight="1">
      <c r="A537" s="31" t="s">
        <v>178</v>
      </c>
      <c r="B537" s="31">
        <v>40</v>
      </c>
      <c r="C537" s="31">
        <v>134</v>
      </c>
      <c r="D537" s="31">
        <v>138</v>
      </c>
      <c r="E537" s="31">
        <v>140</v>
      </c>
      <c r="F537" s="31">
        <v>142</v>
      </c>
      <c r="G537" s="31">
        <v>143</v>
      </c>
      <c r="H537" s="31">
        <v>144</v>
      </c>
    </row>
    <row r="538" spans="1:10" ht="24.75" customHeight="1">
      <c r="A538" s="31" t="s">
        <v>178</v>
      </c>
      <c r="B538" s="31">
        <v>40</v>
      </c>
      <c r="C538" s="31">
        <v>130</v>
      </c>
      <c r="D538" s="31">
        <v>134</v>
      </c>
      <c r="E538" s="31">
        <v>136</v>
      </c>
      <c r="F538" s="31">
        <v>138</v>
      </c>
      <c r="G538" s="31">
        <v>139</v>
      </c>
      <c r="H538" s="31">
        <v>140</v>
      </c>
      <c r="I538" s="31">
        <v>141</v>
      </c>
      <c r="J538" s="31">
        <v>142</v>
      </c>
    </row>
    <row r="539" spans="1:10" ht="24.75" customHeight="1">
      <c r="A539" s="31" t="s">
        <v>178</v>
      </c>
      <c r="B539" s="31">
        <v>30</v>
      </c>
      <c r="C539" s="31">
        <v>129</v>
      </c>
      <c r="D539" s="31">
        <v>133</v>
      </c>
      <c r="E539" s="31">
        <v>135</v>
      </c>
      <c r="F539" s="31">
        <v>137</v>
      </c>
      <c r="G539" s="31">
        <v>138</v>
      </c>
      <c r="H539" s="31">
        <v>139</v>
      </c>
    </row>
    <row r="540" spans="1:10" ht="24.75" customHeight="1">
      <c r="A540" s="31" t="s">
        <v>178</v>
      </c>
      <c r="B540" s="31">
        <v>30</v>
      </c>
      <c r="C540" s="31">
        <v>125</v>
      </c>
      <c r="D540" s="31">
        <v>129</v>
      </c>
      <c r="E540" s="31">
        <v>131</v>
      </c>
      <c r="F540" s="31">
        <v>133</v>
      </c>
      <c r="G540" s="31">
        <v>134</v>
      </c>
      <c r="H540" s="31">
        <v>135</v>
      </c>
      <c r="I540" s="31">
        <v>136</v>
      </c>
      <c r="J540" s="31">
        <v>137</v>
      </c>
    </row>
    <row r="541" spans="1:10" ht="24.75" customHeight="1">
      <c r="A541" s="31" t="s">
        <v>178</v>
      </c>
      <c r="B541" s="31">
        <v>20</v>
      </c>
      <c r="C541" s="31">
        <v>124</v>
      </c>
      <c r="D541" s="31">
        <v>128</v>
      </c>
      <c r="E541" s="31">
        <v>130</v>
      </c>
      <c r="F541" s="31">
        <v>132</v>
      </c>
      <c r="G541" s="31">
        <v>133</v>
      </c>
      <c r="H541" s="31">
        <v>134</v>
      </c>
    </row>
    <row r="542" spans="1:10" ht="24.75" customHeight="1">
      <c r="A542" s="31" t="s">
        <v>178</v>
      </c>
      <c r="B542" s="31">
        <v>20</v>
      </c>
      <c r="C542" s="31">
        <v>120</v>
      </c>
      <c r="D542" s="31">
        <v>124</v>
      </c>
      <c r="E542" s="31">
        <v>126</v>
      </c>
      <c r="F542" s="31">
        <v>128</v>
      </c>
      <c r="G542" s="31">
        <v>129</v>
      </c>
      <c r="H542" s="31">
        <v>130</v>
      </c>
      <c r="I542" s="31">
        <v>131</v>
      </c>
      <c r="J542" s="31">
        <v>132</v>
      </c>
    </row>
    <row r="543" spans="1:10" ht="24.75" customHeight="1">
      <c r="A543" s="31" t="s">
        <v>178</v>
      </c>
      <c r="B543" s="31">
        <v>10</v>
      </c>
      <c r="C543" s="31">
        <v>119</v>
      </c>
      <c r="D543" s="31">
        <v>123</v>
      </c>
      <c r="E543" s="31">
        <v>125</v>
      </c>
      <c r="F543" s="31">
        <v>127</v>
      </c>
      <c r="G543" s="31">
        <v>128</v>
      </c>
      <c r="H543" s="31">
        <v>129</v>
      </c>
    </row>
    <row r="544" spans="1:10" ht="24.75" customHeight="1">
      <c r="A544" s="31" t="s">
        <v>178</v>
      </c>
      <c r="B544" s="31">
        <v>10</v>
      </c>
      <c r="C544" s="31">
        <v>115</v>
      </c>
      <c r="D544" s="31">
        <v>119</v>
      </c>
      <c r="E544" s="31">
        <v>121</v>
      </c>
      <c r="F544" s="31">
        <v>123</v>
      </c>
      <c r="G544" s="31">
        <v>124</v>
      </c>
      <c r="H544" s="31">
        <v>125</v>
      </c>
      <c r="I544" s="31">
        <v>126</v>
      </c>
      <c r="J544" s="31">
        <v>127</v>
      </c>
    </row>
    <row r="545" spans="1:12" ht="24.75" customHeight="1">
      <c r="A545" s="31" t="s">
        <v>178</v>
      </c>
      <c r="B545" s="31">
        <v>0</v>
      </c>
      <c r="C545" s="31">
        <v>114</v>
      </c>
      <c r="D545" s="31">
        <v>118</v>
      </c>
      <c r="E545" s="31">
        <v>120</v>
      </c>
      <c r="F545" s="31">
        <v>122</v>
      </c>
      <c r="G545" s="31">
        <v>123</v>
      </c>
      <c r="H545" s="31">
        <v>124</v>
      </c>
    </row>
    <row r="546" spans="1:12" ht="24.75" customHeight="1">
      <c r="A546" s="31" t="s">
        <v>178</v>
      </c>
      <c r="B546" s="31">
        <v>0</v>
      </c>
      <c r="C546" s="31">
        <v>50</v>
      </c>
      <c r="D546" s="31">
        <v>50</v>
      </c>
      <c r="E546" s="31">
        <v>50</v>
      </c>
      <c r="F546" s="31">
        <v>50</v>
      </c>
      <c r="G546" s="31">
        <v>50</v>
      </c>
      <c r="H546" s="31">
        <v>50</v>
      </c>
    </row>
    <row r="547" spans="1:12" ht="24.75" customHeight="1">
      <c r="A547" s="31" t="s">
        <v>254</v>
      </c>
    </row>
    <row r="548" spans="1:12" ht="24.75" customHeight="1">
      <c r="A548" s="35" t="s">
        <v>163</v>
      </c>
      <c r="B548" s="31" t="s">
        <v>164</v>
      </c>
      <c r="C548" s="35" t="s">
        <v>167</v>
      </c>
      <c r="D548" s="35" t="s">
        <v>168</v>
      </c>
      <c r="E548" s="35" t="s">
        <v>169</v>
      </c>
      <c r="F548" s="35" t="s">
        <v>170</v>
      </c>
      <c r="G548" s="35"/>
      <c r="H548" s="35"/>
      <c r="I548" s="35"/>
      <c r="J548" s="35"/>
      <c r="K548" s="35"/>
      <c r="L548" s="35"/>
    </row>
    <row r="549" spans="1:12" ht="24.75" customHeight="1">
      <c r="A549" s="35"/>
      <c r="B549" s="31" t="s">
        <v>177</v>
      </c>
      <c r="C549" s="35"/>
      <c r="D549" s="35"/>
      <c r="E549" s="35"/>
      <c r="F549" s="35"/>
      <c r="G549" s="35"/>
      <c r="H549" s="35"/>
      <c r="I549" s="35"/>
      <c r="J549" s="35"/>
      <c r="K549" s="35"/>
      <c r="L549" s="35"/>
    </row>
    <row r="550" spans="1:12" ht="24.75" customHeight="1">
      <c r="A550" s="31" t="s">
        <v>181</v>
      </c>
      <c r="B550" s="31">
        <v>100</v>
      </c>
      <c r="C550" s="31">
        <v>99</v>
      </c>
      <c r="D550" s="31">
        <v>99</v>
      </c>
      <c r="E550" s="31">
        <v>99</v>
      </c>
      <c r="F550" s="31">
        <v>99</v>
      </c>
    </row>
    <row r="551" spans="1:12" ht="24.75" customHeight="1">
      <c r="A551" s="31" t="s">
        <v>181</v>
      </c>
      <c r="B551" s="31">
        <v>100</v>
      </c>
      <c r="C551" s="31">
        <v>48</v>
      </c>
      <c r="D551" s="31">
        <v>49</v>
      </c>
      <c r="E551" s="31">
        <v>50</v>
      </c>
      <c r="F551" s="31">
        <v>51</v>
      </c>
    </row>
    <row r="552" spans="1:12" ht="24.75" customHeight="1">
      <c r="A552" s="31" t="s">
        <v>181</v>
      </c>
      <c r="B552" s="31">
        <v>95</v>
      </c>
      <c r="C552" s="31">
        <v>47</v>
      </c>
      <c r="D552" s="31">
        <v>48</v>
      </c>
      <c r="E552" s="31">
        <v>49</v>
      </c>
      <c r="F552" s="31">
        <v>50</v>
      </c>
    </row>
    <row r="553" spans="1:12" ht="24.75" customHeight="1">
      <c r="A553" s="31" t="s">
        <v>181</v>
      </c>
      <c r="B553" s="31">
        <v>95</v>
      </c>
      <c r="C553" s="31">
        <v>45</v>
      </c>
      <c r="D553" s="31">
        <v>46</v>
      </c>
      <c r="E553" s="31">
        <v>47</v>
      </c>
      <c r="F553" s="31">
        <v>48</v>
      </c>
    </row>
    <row r="554" spans="1:12" ht="24.75" customHeight="1">
      <c r="A554" s="31" t="s">
        <v>181</v>
      </c>
      <c r="B554" s="31">
        <v>90</v>
      </c>
      <c r="C554" s="31">
        <v>44</v>
      </c>
      <c r="D554" s="31">
        <v>45</v>
      </c>
      <c r="E554" s="31">
        <v>46</v>
      </c>
      <c r="F554" s="31">
        <v>47</v>
      </c>
    </row>
    <row r="555" spans="1:12" ht="24.75" customHeight="1">
      <c r="A555" s="31" t="s">
        <v>181</v>
      </c>
      <c r="B555" s="31">
        <v>90</v>
      </c>
      <c r="C555" s="31">
        <v>42</v>
      </c>
      <c r="D555" s="31">
        <v>43</v>
      </c>
      <c r="E555" s="31">
        <v>44</v>
      </c>
      <c r="F555" s="31">
        <v>45</v>
      </c>
    </row>
    <row r="556" spans="1:12" ht="24.75" customHeight="1">
      <c r="A556" s="31" t="s">
        <v>180</v>
      </c>
      <c r="B556" s="31">
        <v>85</v>
      </c>
      <c r="C556" s="31">
        <v>41</v>
      </c>
      <c r="D556" s="31">
        <v>42</v>
      </c>
      <c r="E556" s="31">
        <v>43</v>
      </c>
      <c r="F556" s="31">
        <v>44</v>
      </c>
    </row>
    <row r="557" spans="1:12" ht="24.75" customHeight="1">
      <c r="A557" s="31" t="s">
        <v>180</v>
      </c>
      <c r="B557" s="31">
        <v>85</v>
      </c>
      <c r="C557" s="31">
        <v>39</v>
      </c>
      <c r="D557" s="31">
        <v>40</v>
      </c>
      <c r="E557" s="31">
        <v>41</v>
      </c>
      <c r="F557" s="31">
        <v>42</v>
      </c>
    </row>
    <row r="558" spans="1:12" ht="24.75" customHeight="1">
      <c r="A558" s="31" t="s">
        <v>179</v>
      </c>
      <c r="B558" s="31">
        <v>80</v>
      </c>
      <c r="C558" s="31">
        <v>38</v>
      </c>
      <c r="D558" s="31">
        <v>39</v>
      </c>
      <c r="E558" s="31">
        <v>40</v>
      </c>
      <c r="F558" s="31">
        <v>41</v>
      </c>
    </row>
    <row r="559" spans="1:12" ht="24.75" customHeight="1">
      <c r="A559" s="31" t="s">
        <v>179</v>
      </c>
      <c r="B559" s="31">
        <v>80</v>
      </c>
      <c r="C559" s="31">
        <v>36</v>
      </c>
      <c r="D559" s="31">
        <v>37</v>
      </c>
      <c r="E559" s="31">
        <v>38</v>
      </c>
      <c r="F559" s="31">
        <v>39</v>
      </c>
    </row>
    <row r="560" spans="1:12" ht="24.75" customHeight="1">
      <c r="A560" s="31" t="s">
        <v>179</v>
      </c>
      <c r="B560" s="31">
        <v>78</v>
      </c>
      <c r="C560" s="31">
        <v>35</v>
      </c>
      <c r="D560" s="31">
        <v>36</v>
      </c>
      <c r="E560" s="31">
        <v>37</v>
      </c>
      <c r="F560" s="31">
        <v>38</v>
      </c>
    </row>
    <row r="561" spans="1:6" ht="24.75" customHeight="1">
      <c r="A561" s="31" t="s">
        <v>179</v>
      </c>
      <c r="B561" s="31">
        <v>78</v>
      </c>
      <c r="C561" s="31">
        <v>34</v>
      </c>
      <c r="D561" s="31">
        <v>35</v>
      </c>
      <c r="E561" s="31">
        <v>36</v>
      </c>
      <c r="F561" s="31">
        <v>37</v>
      </c>
    </row>
    <row r="562" spans="1:6" ht="24.75" customHeight="1">
      <c r="A562" s="31" t="s">
        <v>179</v>
      </c>
      <c r="B562" s="31">
        <v>76</v>
      </c>
      <c r="C562" s="31">
        <v>33</v>
      </c>
      <c r="D562" s="31">
        <v>34</v>
      </c>
      <c r="E562" s="31">
        <v>35</v>
      </c>
      <c r="F562" s="31">
        <v>36</v>
      </c>
    </row>
    <row r="563" spans="1:6" ht="24.75" customHeight="1">
      <c r="A563" s="31" t="s">
        <v>179</v>
      </c>
      <c r="B563" s="31">
        <v>76</v>
      </c>
      <c r="C563" s="31">
        <v>32</v>
      </c>
      <c r="D563" s="31">
        <v>33</v>
      </c>
      <c r="E563" s="31">
        <v>34</v>
      </c>
      <c r="F563" s="31">
        <v>35</v>
      </c>
    </row>
    <row r="564" spans="1:6" ht="24.75" customHeight="1">
      <c r="A564" s="31" t="s">
        <v>179</v>
      </c>
      <c r="B564" s="31">
        <v>74</v>
      </c>
      <c r="C564" s="31">
        <v>31</v>
      </c>
      <c r="D564" s="31">
        <v>32</v>
      </c>
      <c r="E564" s="31">
        <v>33</v>
      </c>
      <c r="F564" s="31">
        <v>34</v>
      </c>
    </row>
    <row r="565" spans="1:6" ht="24.75" customHeight="1">
      <c r="A565" s="31" t="s">
        <v>179</v>
      </c>
      <c r="B565" s="31">
        <v>74</v>
      </c>
      <c r="C565" s="31">
        <v>30</v>
      </c>
      <c r="D565" s="31">
        <v>31</v>
      </c>
      <c r="E565" s="31">
        <v>32</v>
      </c>
      <c r="F565" s="31">
        <v>33</v>
      </c>
    </row>
    <row r="566" spans="1:6" ht="24.75" customHeight="1">
      <c r="A566" s="31" t="s">
        <v>179</v>
      </c>
      <c r="B566" s="31">
        <v>72</v>
      </c>
      <c r="C566" s="31">
        <v>29</v>
      </c>
      <c r="D566" s="31">
        <v>30</v>
      </c>
      <c r="E566" s="31">
        <v>31</v>
      </c>
      <c r="F566" s="31">
        <v>32</v>
      </c>
    </row>
    <row r="567" spans="1:6" ht="24.75" customHeight="1">
      <c r="A567" s="31" t="s">
        <v>179</v>
      </c>
      <c r="B567" s="31">
        <v>72</v>
      </c>
      <c r="C567" s="31">
        <v>28</v>
      </c>
      <c r="D567" s="31">
        <v>29</v>
      </c>
      <c r="E567" s="31">
        <v>30</v>
      </c>
      <c r="F567" s="31">
        <v>31</v>
      </c>
    </row>
    <row r="568" spans="1:6" ht="24.75" customHeight="1">
      <c r="A568" s="31" t="s">
        <v>179</v>
      </c>
      <c r="B568" s="31">
        <v>70</v>
      </c>
      <c r="C568" s="31">
        <v>27</v>
      </c>
      <c r="D568" s="31">
        <v>28</v>
      </c>
      <c r="E568" s="31">
        <v>29</v>
      </c>
      <c r="F568" s="31">
        <v>30</v>
      </c>
    </row>
    <row r="569" spans="1:6" ht="24.75" customHeight="1">
      <c r="A569" s="31" t="s">
        <v>179</v>
      </c>
      <c r="B569" s="31">
        <v>70</v>
      </c>
      <c r="C569" s="31">
        <v>26</v>
      </c>
      <c r="D569" s="31">
        <v>27</v>
      </c>
      <c r="E569" s="31">
        <v>28</v>
      </c>
      <c r="F569" s="31">
        <v>29</v>
      </c>
    </row>
    <row r="570" spans="1:6" ht="24.75" customHeight="1">
      <c r="A570" s="31" t="s">
        <v>179</v>
      </c>
      <c r="B570" s="31">
        <v>68</v>
      </c>
      <c r="C570" s="31">
        <v>25</v>
      </c>
      <c r="D570" s="31">
        <v>26</v>
      </c>
      <c r="E570" s="31">
        <v>27</v>
      </c>
      <c r="F570" s="31">
        <v>28</v>
      </c>
    </row>
    <row r="571" spans="1:6" ht="24.75" customHeight="1">
      <c r="A571" s="31" t="s">
        <v>179</v>
      </c>
      <c r="B571" s="31">
        <v>68</v>
      </c>
      <c r="C571" s="31">
        <v>24</v>
      </c>
      <c r="D571" s="31">
        <v>25</v>
      </c>
      <c r="E571" s="31">
        <v>26</v>
      </c>
      <c r="F571" s="31">
        <v>27</v>
      </c>
    </row>
    <row r="572" spans="1:6" ht="24.75" customHeight="1">
      <c r="A572" s="31" t="s">
        <v>179</v>
      </c>
      <c r="B572" s="31">
        <v>66</v>
      </c>
      <c r="C572" s="31">
        <v>23</v>
      </c>
      <c r="D572" s="31">
        <v>24</v>
      </c>
      <c r="E572" s="31">
        <v>25</v>
      </c>
      <c r="F572" s="31">
        <v>26</v>
      </c>
    </row>
    <row r="573" spans="1:6" ht="24.75" customHeight="1">
      <c r="A573" s="31" t="s">
        <v>179</v>
      </c>
      <c r="B573" s="31">
        <v>66</v>
      </c>
      <c r="C573" s="31">
        <v>22</v>
      </c>
      <c r="D573" s="31">
        <v>23</v>
      </c>
      <c r="E573" s="31">
        <v>24</v>
      </c>
      <c r="F573" s="31">
        <v>25</v>
      </c>
    </row>
    <row r="574" spans="1:6" ht="24.75" customHeight="1">
      <c r="A574" s="31" t="s">
        <v>179</v>
      </c>
      <c r="B574" s="31">
        <v>64</v>
      </c>
      <c r="C574" s="31">
        <v>21</v>
      </c>
      <c r="D574" s="31">
        <v>22</v>
      </c>
      <c r="E574" s="31">
        <v>23</v>
      </c>
      <c r="F574" s="31">
        <v>24</v>
      </c>
    </row>
    <row r="575" spans="1:6" ht="24.75" customHeight="1">
      <c r="A575" s="31" t="s">
        <v>179</v>
      </c>
      <c r="B575" s="31">
        <v>64</v>
      </c>
      <c r="C575" s="31">
        <v>20</v>
      </c>
      <c r="D575" s="31">
        <v>21</v>
      </c>
      <c r="E575" s="31">
        <v>22</v>
      </c>
      <c r="F575" s="31">
        <v>23</v>
      </c>
    </row>
    <row r="576" spans="1:6" ht="24.75" customHeight="1">
      <c r="A576" s="31" t="s">
        <v>179</v>
      </c>
      <c r="B576" s="31">
        <v>62</v>
      </c>
      <c r="C576" s="31">
        <v>19</v>
      </c>
      <c r="D576" s="31">
        <v>20</v>
      </c>
      <c r="E576" s="31">
        <v>21</v>
      </c>
      <c r="F576" s="31">
        <v>22</v>
      </c>
    </row>
    <row r="577" spans="1:6" ht="24.75" customHeight="1">
      <c r="A577" s="31" t="s">
        <v>179</v>
      </c>
      <c r="B577" s="31">
        <v>62</v>
      </c>
      <c r="C577" s="31">
        <v>18</v>
      </c>
      <c r="D577" s="31">
        <v>19</v>
      </c>
      <c r="E577" s="31">
        <v>20</v>
      </c>
      <c r="F577" s="31">
        <v>21</v>
      </c>
    </row>
    <row r="578" spans="1:6" ht="24.75" customHeight="1">
      <c r="A578" s="31" t="s">
        <v>179</v>
      </c>
      <c r="B578" s="31">
        <v>60</v>
      </c>
      <c r="C578" s="31">
        <v>17</v>
      </c>
      <c r="D578" s="31">
        <v>18</v>
      </c>
      <c r="E578" s="31">
        <v>19</v>
      </c>
      <c r="F578" s="31">
        <v>20</v>
      </c>
    </row>
    <row r="579" spans="1:6" ht="24.75" customHeight="1">
      <c r="A579" s="31" t="s">
        <v>179</v>
      </c>
      <c r="B579" s="31">
        <v>60</v>
      </c>
      <c r="C579" s="31">
        <v>16</v>
      </c>
      <c r="D579" s="31">
        <v>17</v>
      </c>
      <c r="E579" s="31">
        <v>18</v>
      </c>
      <c r="F579" s="31">
        <v>19</v>
      </c>
    </row>
    <row r="580" spans="1:6" ht="24.75" customHeight="1">
      <c r="A580" s="31" t="s">
        <v>178</v>
      </c>
      <c r="B580" s="31">
        <v>50</v>
      </c>
      <c r="C580" s="31">
        <v>15</v>
      </c>
      <c r="D580" s="31">
        <v>16</v>
      </c>
      <c r="E580" s="31">
        <v>17</v>
      </c>
      <c r="F580" s="31">
        <v>18</v>
      </c>
    </row>
    <row r="581" spans="1:6" ht="24.75" customHeight="1">
      <c r="A581" s="31" t="s">
        <v>178</v>
      </c>
      <c r="B581" s="31">
        <v>50</v>
      </c>
      <c r="C581" s="31">
        <v>14</v>
      </c>
      <c r="D581" s="31">
        <v>15</v>
      </c>
      <c r="E581" s="31">
        <v>16</v>
      </c>
      <c r="F581" s="31">
        <v>17</v>
      </c>
    </row>
    <row r="582" spans="1:6" ht="24.75" customHeight="1">
      <c r="A582" s="31" t="s">
        <v>178</v>
      </c>
      <c r="B582" s="31">
        <v>40</v>
      </c>
      <c r="C582" s="31">
        <v>13</v>
      </c>
      <c r="D582" s="31">
        <v>14</v>
      </c>
      <c r="E582" s="31">
        <v>15</v>
      </c>
      <c r="F582" s="31">
        <v>16</v>
      </c>
    </row>
    <row r="583" spans="1:6" ht="24.75" customHeight="1">
      <c r="A583" s="31" t="s">
        <v>178</v>
      </c>
      <c r="B583" s="31">
        <v>40</v>
      </c>
      <c r="C583" s="31">
        <v>12</v>
      </c>
      <c r="D583" s="31">
        <v>13</v>
      </c>
      <c r="E583" s="31">
        <v>14</v>
      </c>
      <c r="F583" s="31">
        <v>15</v>
      </c>
    </row>
    <row r="584" spans="1:6" ht="24.75" customHeight="1">
      <c r="A584" s="31" t="s">
        <v>178</v>
      </c>
      <c r="B584" s="31">
        <v>30</v>
      </c>
      <c r="C584" s="31">
        <v>11</v>
      </c>
      <c r="D584" s="31">
        <v>12</v>
      </c>
      <c r="E584" s="31">
        <v>13</v>
      </c>
      <c r="F584" s="31">
        <v>14</v>
      </c>
    </row>
    <row r="585" spans="1:6" ht="24.75" customHeight="1">
      <c r="A585" s="31" t="s">
        <v>178</v>
      </c>
      <c r="B585" s="31">
        <v>30</v>
      </c>
      <c r="C585" s="31">
        <v>10</v>
      </c>
      <c r="D585" s="31">
        <v>11</v>
      </c>
      <c r="E585" s="31">
        <v>12</v>
      </c>
      <c r="F585" s="31">
        <v>13</v>
      </c>
    </row>
    <row r="586" spans="1:6" ht="24.75" customHeight="1">
      <c r="A586" s="31" t="s">
        <v>178</v>
      </c>
      <c r="B586" s="31">
        <v>20</v>
      </c>
      <c r="C586" s="31">
        <v>9</v>
      </c>
      <c r="D586" s="31">
        <v>10</v>
      </c>
      <c r="E586" s="31">
        <v>11</v>
      </c>
      <c r="F586" s="31">
        <v>12</v>
      </c>
    </row>
    <row r="587" spans="1:6" ht="24.75" customHeight="1">
      <c r="A587" s="31" t="s">
        <v>178</v>
      </c>
      <c r="B587" s="31">
        <v>20</v>
      </c>
      <c r="C587" s="31">
        <v>8</v>
      </c>
      <c r="D587" s="31">
        <v>9</v>
      </c>
      <c r="E587" s="31">
        <v>10</v>
      </c>
      <c r="F587" s="31">
        <v>11</v>
      </c>
    </row>
    <row r="588" spans="1:6" ht="24.75" customHeight="1">
      <c r="A588" s="31" t="s">
        <v>178</v>
      </c>
      <c r="B588" s="31">
        <v>10</v>
      </c>
      <c r="C588" s="31">
        <v>7</v>
      </c>
      <c r="D588" s="31">
        <v>8</v>
      </c>
      <c r="E588" s="31">
        <v>9</v>
      </c>
      <c r="F588" s="31">
        <v>10</v>
      </c>
    </row>
    <row r="589" spans="1:6" ht="24.75" customHeight="1">
      <c r="A589" s="31" t="s">
        <v>178</v>
      </c>
      <c r="B589" s="31">
        <v>10</v>
      </c>
      <c r="C589" s="31">
        <v>6</v>
      </c>
      <c r="D589" s="31">
        <v>7</v>
      </c>
      <c r="E589" s="31">
        <v>8</v>
      </c>
      <c r="F589" s="31">
        <v>9</v>
      </c>
    </row>
    <row r="590" spans="1:6" ht="24.75" customHeight="1">
      <c r="A590" s="31" t="s">
        <v>178</v>
      </c>
      <c r="B590" s="31">
        <v>0</v>
      </c>
      <c r="C590" s="31">
        <v>5</v>
      </c>
      <c r="D590" s="31">
        <v>6</v>
      </c>
      <c r="E590" s="31">
        <v>7</v>
      </c>
      <c r="F590" s="31">
        <v>8</v>
      </c>
    </row>
    <row r="591" spans="1:6" ht="24.75" customHeight="1">
      <c r="A591" s="31" t="s">
        <v>178</v>
      </c>
      <c r="B591" s="31">
        <v>0</v>
      </c>
      <c r="C591" s="31">
        <v>0</v>
      </c>
      <c r="D591" s="31">
        <v>0</v>
      </c>
      <c r="E591" s="31">
        <v>0</v>
      </c>
      <c r="F591" s="31">
        <v>0</v>
      </c>
    </row>
    <row r="592" spans="1:6" ht="24.75" customHeight="1">
      <c r="A592" s="31" t="s">
        <v>189</v>
      </c>
    </row>
    <row r="593" spans="1:8" ht="24.75" customHeight="1">
      <c r="A593" s="35" t="s">
        <v>163</v>
      </c>
      <c r="B593" s="31" t="s">
        <v>164</v>
      </c>
      <c r="C593" s="35" t="s">
        <v>171</v>
      </c>
      <c r="D593" s="31" t="s">
        <v>172</v>
      </c>
      <c r="E593" s="31" t="s">
        <v>173</v>
      </c>
      <c r="F593" s="31" t="s">
        <v>174</v>
      </c>
      <c r="G593" s="31" t="s">
        <v>175</v>
      </c>
      <c r="H593" s="31" t="s">
        <v>176</v>
      </c>
    </row>
    <row r="594" spans="1:8" ht="24.75" customHeight="1">
      <c r="A594" s="35"/>
      <c r="B594" s="31" t="s">
        <v>177</v>
      </c>
      <c r="C594" s="35"/>
    </row>
    <row r="595" spans="1:8" ht="24.75" customHeight="1">
      <c r="A595" s="31" t="s">
        <v>181</v>
      </c>
      <c r="B595" s="31">
        <v>110</v>
      </c>
      <c r="C595" s="31">
        <v>99</v>
      </c>
      <c r="D595" s="31">
        <v>99</v>
      </c>
      <c r="E595" s="31">
        <v>99</v>
      </c>
      <c r="F595" s="31">
        <v>99</v>
      </c>
      <c r="G595" s="31">
        <v>99</v>
      </c>
      <c r="H595" s="31">
        <v>99</v>
      </c>
    </row>
    <row r="596" spans="1:8" ht="24.75" customHeight="1">
      <c r="A596" s="31" t="s">
        <v>181</v>
      </c>
      <c r="B596" s="31">
        <v>110</v>
      </c>
      <c r="C596" s="31">
        <v>23</v>
      </c>
      <c r="D596" s="31">
        <v>24</v>
      </c>
      <c r="E596" s="31">
        <v>25</v>
      </c>
      <c r="F596" s="31">
        <v>26</v>
      </c>
      <c r="G596" s="31">
        <v>27</v>
      </c>
      <c r="H596" s="31">
        <v>28</v>
      </c>
    </row>
    <row r="597" spans="1:8" ht="24.75" customHeight="1">
      <c r="A597" s="31" t="s">
        <v>181</v>
      </c>
      <c r="B597" s="31">
        <v>109</v>
      </c>
      <c r="C597" s="31">
        <v>22</v>
      </c>
      <c r="D597" s="31">
        <v>23</v>
      </c>
      <c r="E597" s="31">
        <v>24</v>
      </c>
      <c r="F597" s="31">
        <v>25</v>
      </c>
      <c r="G597" s="31">
        <v>26</v>
      </c>
      <c r="H597" s="31">
        <v>27</v>
      </c>
    </row>
    <row r="598" spans="1:8" ht="24.75" customHeight="1">
      <c r="A598" s="31" t="s">
        <v>181</v>
      </c>
      <c r="B598" s="31">
        <v>108</v>
      </c>
      <c r="C598" s="31">
        <v>21</v>
      </c>
      <c r="D598" s="31">
        <v>22</v>
      </c>
      <c r="E598" s="31">
        <v>23</v>
      </c>
      <c r="F598" s="31">
        <v>24</v>
      </c>
      <c r="G598" s="31">
        <v>25</v>
      </c>
      <c r="H598" s="31">
        <v>26</v>
      </c>
    </row>
    <row r="599" spans="1:8" ht="24.75" customHeight="1">
      <c r="A599" s="31" t="s">
        <v>181</v>
      </c>
      <c r="B599" s="31">
        <v>107</v>
      </c>
      <c r="C599" s="31">
        <v>20</v>
      </c>
      <c r="D599" s="31">
        <v>21</v>
      </c>
      <c r="E599" s="31">
        <v>22</v>
      </c>
      <c r="F599" s="31">
        <v>23</v>
      </c>
      <c r="G599" s="31">
        <v>24</v>
      </c>
      <c r="H599" s="31">
        <v>25</v>
      </c>
    </row>
    <row r="600" spans="1:8" ht="24.75" customHeight="1">
      <c r="A600" s="31" t="s">
        <v>181</v>
      </c>
      <c r="B600" s="31">
        <v>106</v>
      </c>
      <c r="C600" s="31">
        <v>19</v>
      </c>
      <c r="D600" s="31">
        <v>20</v>
      </c>
      <c r="E600" s="31">
        <v>21</v>
      </c>
      <c r="F600" s="31">
        <v>22</v>
      </c>
      <c r="G600" s="31">
        <v>23</v>
      </c>
      <c r="H600" s="31">
        <v>24</v>
      </c>
    </row>
    <row r="601" spans="1:8" ht="24.75" customHeight="1">
      <c r="A601" s="31" t="s">
        <v>181</v>
      </c>
      <c r="B601" s="31">
        <v>105</v>
      </c>
      <c r="C601" s="31">
        <v>18</v>
      </c>
      <c r="D601" s="31">
        <v>19</v>
      </c>
      <c r="E601" s="31">
        <v>20</v>
      </c>
      <c r="F601" s="31">
        <v>21</v>
      </c>
      <c r="G601" s="31">
        <v>22</v>
      </c>
      <c r="H601" s="31">
        <v>23</v>
      </c>
    </row>
    <row r="602" spans="1:8" ht="24.75" customHeight="1">
      <c r="A602" s="31" t="s">
        <v>181</v>
      </c>
      <c r="B602" s="31">
        <v>104</v>
      </c>
      <c r="C602" s="31">
        <v>17</v>
      </c>
      <c r="D602" s="31">
        <v>18</v>
      </c>
      <c r="E602" s="31">
        <v>19</v>
      </c>
      <c r="F602" s="31">
        <v>20</v>
      </c>
      <c r="G602" s="31">
        <v>21</v>
      </c>
      <c r="H602" s="31">
        <v>22</v>
      </c>
    </row>
    <row r="603" spans="1:8" ht="24.75" customHeight="1">
      <c r="A603" s="31" t="s">
        <v>181</v>
      </c>
      <c r="B603" s="31">
        <v>103</v>
      </c>
      <c r="C603" s="31">
        <v>16</v>
      </c>
      <c r="D603" s="31">
        <v>17</v>
      </c>
      <c r="E603" s="31">
        <v>18</v>
      </c>
      <c r="F603" s="31">
        <v>19</v>
      </c>
      <c r="G603" s="31">
        <v>20</v>
      </c>
      <c r="H603" s="31">
        <v>21</v>
      </c>
    </row>
    <row r="604" spans="1:8" ht="24.75" customHeight="1">
      <c r="A604" s="31" t="s">
        <v>181</v>
      </c>
      <c r="B604" s="31">
        <v>102</v>
      </c>
      <c r="C604" s="31">
        <v>15</v>
      </c>
      <c r="D604" s="31">
        <v>16</v>
      </c>
      <c r="E604" s="31">
        <v>17</v>
      </c>
      <c r="F604" s="31">
        <v>18</v>
      </c>
      <c r="G604" s="31">
        <v>19</v>
      </c>
      <c r="H604" s="31">
        <v>20</v>
      </c>
    </row>
    <row r="605" spans="1:8" ht="24.75" customHeight="1">
      <c r="A605" s="31" t="s">
        <v>181</v>
      </c>
      <c r="B605" s="31">
        <v>101</v>
      </c>
      <c r="C605" s="31">
        <v>14</v>
      </c>
      <c r="D605" s="31">
        <v>15</v>
      </c>
      <c r="E605" s="31">
        <v>16</v>
      </c>
      <c r="F605" s="31">
        <v>17</v>
      </c>
      <c r="G605" s="31">
        <v>18</v>
      </c>
      <c r="H605" s="31">
        <v>19</v>
      </c>
    </row>
    <row r="606" spans="1:8" ht="24.75" customHeight="1">
      <c r="A606" s="31" t="s">
        <v>181</v>
      </c>
      <c r="B606" s="31">
        <v>100</v>
      </c>
      <c r="C606" s="31">
        <v>13</v>
      </c>
      <c r="D606" s="31">
        <v>14</v>
      </c>
      <c r="E606" s="31">
        <v>15</v>
      </c>
      <c r="F606" s="31">
        <v>16</v>
      </c>
      <c r="G606" s="31">
        <v>17</v>
      </c>
      <c r="H606" s="31">
        <v>18</v>
      </c>
    </row>
    <row r="607" spans="1:8" ht="24.75" customHeight="1">
      <c r="A607" s="31" t="s">
        <v>181</v>
      </c>
      <c r="B607" s="31">
        <v>95</v>
      </c>
      <c r="C607" s="31">
        <v>12</v>
      </c>
      <c r="D607" s="31">
        <v>13</v>
      </c>
      <c r="E607" s="31">
        <v>14</v>
      </c>
      <c r="F607" s="31">
        <v>15</v>
      </c>
      <c r="G607" s="31">
        <v>16</v>
      </c>
      <c r="H607" s="31">
        <v>17</v>
      </c>
    </row>
    <row r="608" spans="1:8" ht="24.75" customHeight="1">
      <c r="A608" s="31" t="s">
        <v>181</v>
      </c>
      <c r="B608" s="31">
        <v>90</v>
      </c>
      <c r="C608" s="31">
        <v>11</v>
      </c>
      <c r="D608" s="31">
        <v>12</v>
      </c>
      <c r="E608" s="31">
        <v>13</v>
      </c>
      <c r="F608" s="31">
        <v>14</v>
      </c>
      <c r="G608" s="31">
        <v>15</v>
      </c>
      <c r="H608" s="31">
        <v>16</v>
      </c>
    </row>
    <row r="609" spans="1:14" ht="24.75" customHeight="1">
      <c r="A609" s="31" t="s">
        <v>180</v>
      </c>
      <c r="B609" s="31">
        <v>85</v>
      </c>
      <c r="C609" s="31">
        <v>10</v>
      </c>
      <c r="D609" s="31">
        <v>11</v>
      </c>
      <c r="E609" s="31">
        <v>12</v>
      </c>
      <c r="F609" s="31">
        <v>13</v>
      </c>
      <c r="G609" s="31">
        <v>14</v>
      </c>
      <c r="H609" s="31">
        <v>15</v>
      </c>
    </row>
    <row r="610" spans="1:14" ht="24.75" customHeight="1">
      <c r="A610" s="31" t="s">
        <v>180</v>
      </c>
      <c r="B610" s="31">
        <v>80</v>
      </c>
      <c r="C610" s="31">
        <v>9</v>
      </c>
      <c r="D610" s="31">
        <v>10</v>
      </c>
      <c r="E610" s="31">
        <v>11</v>
      </c>
      <c r="F610" s="31">
        <v>12</v>
      </c>
      <c r="G610" s="31">
        <v>13</v>
      </c>
      <c r="H610" s="31">
        <v>14</v>
      </c>
    </row>
    <row r="611" spans="1:14" ht="24.75" customHeight="1">
      <c r="A611" s="31" t="s">
        <v>179</v>
      </c>
      <c r="B611" s="31">
        <v>76</v>
      </c>
      <c r="C611" s="31">
        <v>8</v>
      </c>
      <c r="D611" s="31">
        <v>9</v>
      </c>
      <c r="E611" s="31">
        <v>10</v>
      </c>
      <c r="F611" s="31">
        <v>11</v>
      </c>
      <c r="G611" s="31">
        <v>12</v>
      </c>
      <c r="H611" s="31">
        <v>13</v>
      </c>
    </row>
    <row r="612" spans="1:14" ht="24.75" customHeight="1">
      <c r="A612" s="31" t="s">
        <v>179</v>
      </c>
      <c r="B612" s="31">
        <v>72</v>
      </c>
      <c r="C612" s="31">
        <v>7</v>
      </c>
      <c r="D612" s="31">
        <v>8</v>
      </c>
      <c r="E612" s="31">
        <v>9</v>
      </c>
      <c r="F612" s="31">
        <v>10</v>
      </c>
      <c r="G612" s="31">
        <v>11</v>
      </c>
      <c r="H612" s="31">
        <v>12</v>
      </c>
    </row>
    <row r="613" spans="1:14" ht="24.75" customHeight="1">
      <c r="A613" s="31" t="s">
        <v>179</v>
      </c>
      <c r="B613" s="31">
        <v>68</v>
      </c>
      <c r="C613" s="31">
        <v>6</v>
      </c>
      <c r="D613" s="31">
        <v>7</v>
      </c>
      <c r="E613" s="31">
        <v>8</v>
      </c>
      <c r="F613" s="31">
        <v>9</v>
      </c>
      <c r="G613" s="31">
        <v>10</v>
      </c>
      <c r="H613" s="31">
        <v>11</v>
      </c>
    </row>
    <row r="614" spans="1:14" ht="24.75" customHeight="1">
      <c r="A614" s="31" t="s">
        <v>179</v>
      </c>
      <c r="B614" s="31">
        <v>64</v>
      </c>
      <c r="C614" s="31">
        <v>5</v>
      </c>
      <c r="D614" s="31">
        <v>6</v>
      </c>
      <c r="E614" s="31">
        <v>7</v>
      </c>
      <c r="F614" s="31">
        <v>8</v>
      </c>
      <c r="G614" s="31">
        <v>9</v>
      </c>
      <c r="H614" s="31">
        <v>10</v>
      </c>
    </row>
    <row r="615" spans="1:14" ht="24.75" customHeight="1">
      <c r="A615" s="31" t="s">
        <v>179</v>
      </c>
      <c r="B615" s="31">
        <v>60</v>
      </c>
      <c r="C615" s="31">
        <v>4</v>
      </c>
      <c r="D615" s="31">
        <v>5</v>
      </c>
      <c r="E615" s="31">
        <v>6</v>
      </c>
      <c r="F615" s="31">
        <v>7</v>
      </c>
      <c r="G615" s="31">
        <v>8</v>
      </c>
      <c r="H615" s="31">
        <v>9</v>
      </c>
    </row>
    <row r="616" spans="1:14" ht="24.75" customHeight="1">
      <c r="A616" s="31" t="s">
        <v>178</v>
      </c>
      <c r="B616" s="31">
        <v>50</v>
      </c>
      <c r="C616" s="31">
        <v>3</v>
      </c>
      <c r="D616" s="31">
        <v>4</v>
      </c>
      <c r="E616" s="31">
        <v>5</v>
      </c>
      <c r="F616" s="31">
        <v>6</v>
      </c>
      <c r="G616" s="31">
        <v>7</v>
      </c>
      <c r="H616" s="31">
        <v>8</v>
      </c>
    </row>
    <row r="617" spans="1:14" ht="24.75" customHeight="1">
      <c r="A617" s="31" t="s">
        <v>178</v>
      </c>
      <c r="B617" s="31">
        <v>40</v>
      </c>
      <c r="C617" s="31">
        <v>2</v>
      </c>
      <c r="D617" s="31">
        <v>3</v>
      </c>
      <c r="E617" s="31">
        <v>4</v>
      </c>
      <c r="F617" s="31">
        <v>5</v>
      </c>
      <c r="G617" s="31">
        <v>6</v>
      </c>
      <c r="H617" s="31">
        <v>7</v>
      </c>
    </row>
    <row r="618" spans="1:14" ht="24.75" customHeight="1">
      <c r="A618" s="31" t="s">
        <v>178</v>
      </c>
      <c r="B618" s="31">
        <v>30</v>
      </c>
      <c r="C618" s="31">
        <v>1</v>
      </c>
      <c r="D618" s="31">
        <v>2</v>
      </c>
      <c r="E618" s="31">
        <v>3</v>
      </c>
      <c r="F618" s="31">
        <v>4</v>
      </c>
      <c r="G618" s="31">
        <v>5</v>
      </c>
      <c r="H618" s="31">
        <v>6</v>
      </c>
    </row>
    <row r="619" spans="1:14" ht="24.75" customHeight="1">
      <c r="A619" s="31" t="s">
        <v>178</v>
      </c>
      <c r="B619" s="31">
        <v>20</v>
      </c>
      <c r="C619" s="31" t="s">
        <v>190</v>
      </c>
      <c r="D619" s="31">
        <v>1</v>
      </c>
      <c r="E619" s="31">
        <v>2</v>
      </c>
      <c r="F619" s="31">
        <v>3</v>
      </c>
      <c r="G619" s="31">
        <v>4</v>
      </c>
      <c r="H619" s="31">
        <v>5</v>
      </c>
    </row>
    <row r="620" spans="1:14" ht="24.75" customHeight="1">
      <c r="A620" s="31" t="s">
        <v>178</v>
      </c>
      <c r="B620" s="31">
        <v>10</v>
      </c>
      <c r="C620" s="31" t="s">
        <v>190</v>
      </c>
      <c r="D620" s="31" t="s">
        <v>190</v>
      </c>
      <c r="E620" s="31">
        <v>1</v>
      </c>
      <c r="F620" s="31">
        <v>2</v>
      </c>
      <c r="G620" s="31">
        <v>3</v>
      </c>
      <c r="H620" s="31">
        <v>4</v>
      </c>
    </row>
    <row r="621" spans="1:14" ht="24.75" customHeight="1">
      <c r="A621" s="31" t="s">
        <v>178</v>
      </c>
      <c r="B621" s="31">
        <v>0</v>
      </c>
      <c r="C621" s="31">
        <v>0</v>
      </c>
      <c r="D621" s="31">
        <v>0</v>
      </c>
      <c r="E621" s="31">
        <v>0</v>
      </c>
      <c r="F621" s="31">
        <v>0</v>
      </c>
      <c r="G621" s="31">
        <v>0</v>
      </c>
      <c r="H621" s="31">
        <v>0</v>
      </c>
    </row>
    <row r="622" spans="1:14" ht="24.75" customHeight="1">
      <c r="A622" s="31" t="s">
        <v>255</v>
      </c>
    </row>
    <row r="623" spans="1:14" ht="24.75" customHeight="1">
      <c r="A623" s="35" t="s">
        <v>163</v>
      </c>
      <c r="B623" s="31" t="s">
        <v>164</v>
      </c>
      <c r="C623" s="35" t="s">
        <v>167</v>
      </c>
      <c r="D623" s="35" t="s">
        <v>168</v>
      </c>
      <c r="E623" s="35" t="s">
        <v>169</v>
      </c>
      <c r="F623" s="35" t="s">
        <v>170</v>
      </c>
      <c r="G623" s="35" t="s">
        <v>171</v>
      </c>
      <c r="H623" s="35" t="s">
        <v>172</v>
      </c>
      <c r="I623" s="35" t="s">
        <v>173</v>
      </c>
      <c r="J623" s="35" t="s">
        <v>174</v>
      </c>
      <c r="K623" s="35" t="s">
        <v>175</v>
      </c>
      <c r="L623" s="35" t="s">
        <v>176</v>
      </c>
      <c r="M623" s="31" t="s">
        <v>240</v>
      </c>
      <c r="N623" s="31" t="s">
        <v>241</v>
      </c>
    </row>
    <row r="624" spans="1:14" ht="24.75" customHeight="1">
      <c r="A624" s="35"/>
      <c r="B624" s="31" t="s">
        <v>177</v>
      </c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1" t="s">
        <v>242</v>
      </c>
      <c r="N624" s="31" t="s">
        <v>243</v>
      </c>
    </row>
    <row r="625" spans="1:14" ht="24.75" customHeight="1">
      <c r="A625" s="31" t="s">
        <v>181</v>
      </c>
      <c r="B625" s="31">
        <v>110</v>
      </c>
      <c r="G625" s="31">
        <v>99</v>
      </c>
      <c r="H625" s="31">
        <v>99</v>
      </c>
      <c r="I625" s="31">
        <v>99</v>
      </c>
      <c r="J625" s="31">
        <v>99</v>
      </c>
      <c r="K625" s="31">
        <v>99</v>
      </c>
      <c r="L625" s="31">
        <v>99</v>
      </c>
    </row>
    <row r="626" spans="1:14" ht="24.75" customHeight="1">
      <c r="A626" s="31" t="s">
        <v>181</v>
      </c>
      <c r="B626" s="31">
        <v>110</v>
      </c>
      <c r="G626" s="31">
        <v>63</v>
      </c>
      <c r="H626" s="31">
        <v>64</v>
      </c>
      <c r="I626" s="31">
        <v>65</v>
      </c>
      <c r="J626" s="31">
        <v>66</v>
      </c>
      <c r="K626" s="31">
        <v>67</v>
      </c>
      <c r="L626" s="31">
        <v>68</v>
      </c>
    </row>
    <row r="627" spans="1:14" ht="24.75" customHeight="1">
      <c r="A627" s="31" t="s">
        <v>181</v>
      </c>
      <c r="B627" s="31">
        <v>109</v>
      </c>
      <c r="G627" s="31">
        <v>62</v>
      </c>
      <c r="H627" s="31">
        <v>63</v>
      </c>
      <c r="I627" s="31">
        <v>64</v>
      </c>
      <c r="J627" s="31">
        <v>65</v>
      </c>
      <c r="K627" s="31">
        <v>66</v>
      </c>
      <c r="L627" s="31">
        <v>67</v>
      </c>
    </row>
    <row r="628" spans="1:14" ht="24.75" customHeight="1">
      <c r="A628" s="31" t="s">
        <v>181</v>
      </c>
      <c r="B628" s="31">
        <v>108</v>
      </c>
      <c r="G628" s="31">
        <v>61</v>
      </c>
      <c r="H628" s="31">
        <v>62</v>
      </c>
      <c r="I628" s="31">
        <v>63</v>
      </c>
      <c r="J628" s="31">
        <v>64</v>
      </c>
      <c r="K628" s="31">
        <v>65</v>
      </c>
      <c r="L628" s="31">
        <v>66</v>
      </c>
    </row>
    <row r="629" spans="1:14" ht="24.75" customHeight="1">
      <c r="A629" s="31" t="s">
        <v>181</v>
      </c>
      <c r="B629" s="31">
        <v>107</v>
      </c>
      <c r="G629" s="31">
        <v>60</v>
      </c>
      <c r="H629" s="31">
        <v>61</v>
      </c>
      <c r="I629" s="31">
        <v>62</v>
      </c>
      <c r="J629" s="31">
        <v>63</v>
      </c>
      <c r="K629" s="31">
        <v>64</v>
      </c>
      <c r="L629" s="31">
        <v>65</v>
      </c>
    </row>
    <row r="630" spans="1:14" ht="24.75" customHeight="1">
      <c r="A630" s="31" t="s">
        <v>181</v>
      </c>
      <c r="B630" s="31">
        <v>106</v>
      </c>
      <c r="G630" s="31">
        <v>59</v>
      </c>
      <c r="H630" s="31">
        <v>60</v>
      </c>
      <c r="I630" s="31">
        <v>61</v>
      </c>
      <c r="J630" s="31">
        <v>62</v>
      </c>
      <c r="K630" s="31">
        <v>63</v>
      </c>
      <c r="L630" s="31">
        <v>64</v>
      </c>
    </row>
    <row r="631" spans="1:14" ht="24.75" customHeight="1">
      <c r="A631" s="31" t="s">
        <v>181</v>
      </c>
      <c r="B631" s="31">
        <v>105</v>
      </c>
      <c r="G631" s="31">
        <v>58</v>
      </c>
      <c r="H631" s="31">
        <v>59</v>
      </c>
      <c r="I631" s="31">
        <v>60</v>
      </c>
      <c r="J631" s="31">
        <v>61</v>
      </c>
      <c r="K631" s="31">
        <v>62</v>
      </c>
      <c r="L631" s="31">
        <v>63</v>
      </c>
    </row>
    <row r="632" spans="1:14" ht="24.75" customHeight="1">
      <c r="A632" s="31" t="s">
        <v>181</v>
      </c>
      <c r="B632" s="31">
        <v>104</v>
      </c>
      <c r="G632" s="31">
        <v>57</v>
      </c>
      <c r="H632" s="31">
        <v>58</v>
      </c>
      <c r="I632" s="31">
        <v>59</v>
      </c>
      <c r="J632" s="31">
        <v>60</v>
      </c>
      <c r="K632" s="31">
        <v>61</v>
      </c>
      <c r="L632" s="31">
        <v>62</v>
      </c>
    </row>
    <row r="633" spans="1:14" ht="24.75" customHeight="1">
      <c r="A633" s="31" t="s">
        <v>181</v>
      </c>
      <c r="B633" s="31">
        <v>103</v>
      </c>
      <c r="G633" s="31">
        <v>56</v>
      </c>
      <c r="H633" s="31">
        <v>57</v>
      </c>
      <c r="I633" s="31">
        <v>58</v>
      </c>
      <c r="J633" s="31">
        <v>59</v>
      </c>
      <c r="K633" s="31">
        <v>60</v>
      </c>
      <c r="L633" s="31">
        <v>61</v>
      </c>
    </row>
    <row r="634" spans="1:14" ht="24.75" customHeight="1">
      <c r="A634" s="31" t="s">
        <v>181</v>
      </c>
      <c r="B634" s="31">
        <v>102</v>
      </c>
      <c r="G634" s="31">
        <v>54</v>
      </c>
      <c r="H634" s="31">
        <v>55</v>
      </c>
      <c r="I634" s="31">
        <v>56</v>
      </c>
      <c r="J634" s="31">
        <v>57</v>
      </c>
      <c r="K634" s="31">
        <v>58</v>
      </c>
      <c r="L634" s="31">
        <v>59</v>
      </c>
    </row>
    <row r="635" spans="1:14" ht="24.75" customHeight="1">
      <c r="A635" s="31" t="s">
        <v>181</v>
      </c>
      <c r="B635" s="31">
        <v>101</v>
      </c>
      <c r="G635" s="31">
        <v>52</v>
      </c>
      <c r="H635" s="31">
        <v>53</v>
      </c>
      <c r="I635" s="31">
        <v>54</v>
      </c>
      <c r="J635" s="31">
        <v>55</v>
      </c>
      <c r="K635" s="31">
        <v>56</v>
      </c>
      <c r="L635" s="31">
        <v>57</v>
      </c>
    </row>
    <row r="636" spans="1:14" ht="24.75" customHeight="1">
      <c r="A636" s="31" t="s">
        <v>181</v>
      </c>
      <c r="B636" s="31">
        <v>100</v>
      </c>
      <c r="C636" s="31">
        <v>99</v>
      </c>
      <c r="D636" s="31">
        <v>99</v>
      </c>
      <c r="E636" s="31">
        <v>99</v>
      </c>
      <c r="F636" s="31">
        <v>99</v>
      </c>
      <c r="G636" s="31">
        <v>50</v>
      </c>
      <c r="H636" s="31">
        <v>51</v>
      </c>
      <c r="I636" s="31">
        <v>52</v>
      </c>
      <c r="J636" s="31">
        <v>53</v>
      </c>
      <c r="K636" s="31">
        <v>54</v>
      </c>
      <c r="L636" s="31">
        <v>55</v>
      </c>
    </row>
    <row r="637" spans="1:14" ht="24.75" customHeight="1">
      <c r="A637" s="31" t="s">
        <v>181</v>
      </c>
      <c r="B637" s="31">
        <v>100</v>
      </c>
      <c r="C637" s="31">
        <v>46</v>
      </c>
      <c r="D637" s="31">
        <v>47</v>
      </c>
      <c r="E637" s="31">
        <v>48</v>
      </c>
      <c r="F637" s="31">
        <v>49</v>
      </c>
      <c r="G637" s="31">
        <v>50</v>
      </c>
      <c r="H637" s="31">
        <v>51</v>
      </c>
      <c r="I637" s="31">
        <v>52</v>
      </c>
      <c r="J637" s="31">
        <v>53</v>
      </c>
      <c r="K637" s="31">
        <v>54</v>
      </c>
      <c r="L637" s="31">
        <v>55</v>
      </c>
      <c r="M637" s="31">
        <v>56</v>
      </c>
      <c r="N637" s="31">
        <v>57</v>
      </c>
    </row>
    <row r="638" spans="1:14" ht="24.75" customHeight="1">
      <c r="A638" s="31" t="s">
        <v>181</v>
      </c>
      <c r="B638" s="31">
        <v>95</v>
      </c>
      <c r="C638" s="31">
        <v>45</v>
      </c>
      <c r="D638" s="31">
        <v>46</v>
      </c>
      <c r="E638" s="31">
        <v>47</v>
      </c>
      <c r="F638" s="31">
        <v>48</v>
      </c>
      <c r="G638" s="31">
        <v>49</v>
      </c>
      <c r="H638" s="31">
        <v>50</v>
      </c>
      <c r="I638" s="31">
        <v>51</v>
      </c>
      <c r="J638" s="31">
        <v>52</v>
      </c>
      <c r="K638" s="31">
        <v>53</v>
      </c>
      <c r="L638" s="31">
        <v>54</v>
      </c>
    </row>
    <row r="639" spans="1:14" ht="24.75" customHeight="1">
      <c r="A639" s="31" t="s">
        <v>181</v>
      </c>
      <c r="B639" s="31">
        <v>95</v>
      </c>
      <c r="C639" s="31">
        <v>44</v>
      </c>
      <c r="D639" s="31">
        <v>45</v>
      </c>
      <c r="E639" s="31">
        <v>46</v>
      </c>
      <c r="F639" s="31">
        <v>47</v>
      </c>
      <c r="G639" s="31">
        <v>48</v>
      </c>
      <c r="H639" s="31">
        <v>49</v>
      </c>
      <c r="I639" s="31">
        <v>50</v>
      </c>
      <c r="J639" s="31">
        <v>51</v>
      </c>
      <c r="K639" s="31">
        <v>52</v>
      </c>
      <c r="L639" s="31">
        <v>53</v>
      </c>
      <c r="M639" s="31">
        <v>54</v>
      </c>
      <c r="N639" s="31">
        <v>55</v>
      </c>
    </row>
    <row r="640" spans="1:14" ht="24.75" customHeight="1">
      <c r="A640" s="31" t="s">
        <v>181</v>
      </c>
      <c r="B640" s="31">
        <v>90</v>
      </c>
      <c r="C640" s="31">
        <v>43</v>
      </c>
      <c r="D640" s="31">
        <v>44</v>
      </c>
      <c r="E640" s="31">
        <v>45</v>
      </c>
      <c r="F640" s="31">
        <v>46</v>
      </c>
      <c r="G640" s="31">
        <v>47</v>
      </c>
      <c r="H640" s="31">
        <v>48</v>
      </c>
      <c r="I640" s="31">
        <v>49</v>
      </c>
      <c r="J640" s="31">
        <v>50</v>
      </c>
      <c r="K640" s="31">
        <v>51</v>
      </c>
      <c r="L640" s="31">
        <v>52</v>
      </c>
    </row>
    <row r="641" spans="1:14" ht="24.75" customHeight="1">
      <c r="A641" s="31" t="s">
        <v>181</v>
      </c>
      <c r="B641" s="31">
        <v>90</v>
      </c>
      <c r="C641" s="31">
        <v>42</v>
      </c>
      <c r="D641" s="31">
        <v>43</v>
      </c>
      <c r="E641" s="31">
        <v>44</v>
      </c>
      <c r="F641" s="31">
        <v>45</v>
      </c>
      <c r="G641" s="31">
        <v>46</v>
      </c>
      <c r="H641" s="31">
        <v>47</v>
      </c>
      <c r="I641" s="31">
        <v>48</v>
      </c>
      <c r="J641" s="31">
        <v>49</v>
      </c>
      <c r="K641" s="31">
        <v>50</v>
      </c>
      <c r="L641" s="31">
        <v>51</v>
      </c>
      <c r="M641" s="31">
        <v>52</v>
      </c>
      <c r="N641" s="31">
        <v>53</v>
      </c>
    </row>
    <row r="642" spans="1:14" ht="24.75" customHeight="1">
      <c r="A642" s="31" t="s">
        <v>180</v>
      </c>
      <c r="B642" s="31">
        <v>85</v>
      </c>
      <c r="C642" s="31">
        <v>41</v>
      </c>
      <c r="D642" s="31">
        <v>42</v>
      </c>
      <c r="E642" s="31">
        <v>43</v>
      </c>
      <c r="F642" s="31">
        <v>44</v>
      </c>
      <c r="G642" s="31">
        <v>45</v>
      </c>
      <c r="H642" s="31">
        <v>46</v>
      </c>
      <c r="I642" s="31">
        <v>47</v>
      </c>
      <c r="J642" s="31">
        <v>48</v>
      </c>
      <c r="K642" s="31">
        <v>49</v>
      </c>
      <c r="L642" s="31">
        <v>50</v>
      </c>
    </row>
    <row r="643" spans="1:14" ht="24.75" customHeight="1">
      <c r="A643" s="31" t="s">
        <v>180</v>
      </c>
      <c r="B643" s="31">
        <v>85</v>
      </c>
      <c r="C643" s="31">
        <v>39</v>
      </c>
      <c r="D643" s="31">
        <v>40</v>
      </c>
      <c r="E643" s="31">
        <v>41</v>
      </c>
      <c r="F643" s="31">
        <v>42</v>
      </c>
      <c r="G643" s="31">
        <v>43</v>
      </c>
      <c r="H643" s="31">
        <v>44</v>
      </c>
      <c r="I643" s="31">
        <v>45</v>
      </c>
      <c r="J643" s="31">
        <v>46</v>
      </c>
      <c r="K643" s="31">
        <v>47</v>
      </c>
      <c r="L643" s="31">
        <v>48</v>
      </c>
      <c r="M643" s="31">
        <v>49</v>
      </c>
      <c r="N643" s="31">
        <v>50</v>
      </c>
    </row>
    <row r="644" spans="1:14" ht="24.75" customHeight="1">
      <c r="A644" s="31" t="s">
        <v>180</v>
      </c>
      <c r="B644" s="31">
        <v>80</v>
      </c>
      <c r="C644" s="31">
        <v>38</v>
      </c>
      <c r="D644" s="31">
        <v>39</v>
      </c>
      <c r="E644" s="31">
        <v>40</v>
      </c>
      <c r="F644" s="31">
        <v>41</v>
      </c>
      <c r="G644" s="31">
        <v>42</v>
      </c>
      <c r="H644" s="31">
        <v>43</v>
      </c>
      <c r="I644" s="31">
        <v>44</v>
      </c>
      <c r="J644" s="31">
        <v>45</v>
      </c>
      <c r="K644" s="31">
        <v>46</v>
      </c>
      <c r="L644" s="31">
        <v>47</v>
      </c>
    </row>
    <row r="645" spans="1:14" ht="24.75" customHeight="1">
      <c r="A645" s="31" t="s">
        <v>180</v>
      </c>
      <c r="B645" s="31">
        <v>80</v>
      </c>
      <c r="C645" s="31">
        <v>36</v>
      </c>
      <c r="D645" s="31">
        <v>37</v>
      </c>
      <c r="E645" s="31">
        <v>38</v>
      </c>
      <c r="F645" s="31">
        <v>39</v>
      </c>
      <c r="G645" s="31">
        <v>40</v>
      </c>
      <c r="H645" s="31">
        <v>41</v>
      </c>
      <c r="I645" s="31">
        <v>42</v>
      </c>
      <c r="J645" s="31">
        <v>43</v>
      </c>
      <c r="K645" s="31">
        <v>44</v>
      </c>
      <c r="L645" s="31">
        <v>45</v>
      </c>
      <c r="M645" s="31">
        <v>46</v>
      </c>
      <c r="N645" s="31">
        <v>47</v>
      </c>
    </row>
    <row r="646" spans="1:14" ht="24.75" customHeight="1">
      <c r="A646" s="31" t="s">
        <v>179</v>
      </c>
      <c r="B646" s="31">
        <v>78</v>
      </c>
      <c r="C646" s="31">
        <v>35</v>
      </c>
      <c r="D646" s="31">
        <v>36</v>
      </c>
      <c r="E646" s="31">
        <v>37</v>
      </c>
      <c r="F646" s="31">
        <v>38</v>
      </c>
      <c r="G646" s="31">
        <v>39</v>
      </c>
      <c r="H646" s="31">
        <v>40</v>
      </c>
      <c r="I646" s="31">
        <v>41</v>
      </c>
      <c r="J646" s="31">
        <v>42</v>
      </c>
      <c r="K646" s="31">
        <v>43</v>
      </c>
      <c r="L646" s="31">
        <v>44</v>
      </c>
    </row>
    <row r="647" spans="1:14" ht="24.75" customHeight="1">
      <c r="A647" s="31" t="s">
        <v>179</v>
      </c>
      <c r="B647" s="31">
        <v>78</v>
      </c>
      <c r="C647" s="31">
        <v>34</v>
      </c>
      <c r="D647" s="31">
        <v>35</v>
      </c>
      <c r="E647" s="31">
        <v>36</v>
      </c>
      <c r="F647" s="31">
        <v>37</v>
      </c>
      <c r="G647" s="31">
        <v>38</v>
      </c>
      <c r="H647" s="31">
        <v>39</v>
      </c>
      <c r="I647" s="31">
        <v>40</v>
      </c>
      <c r="J647" s="31">
        <v>41</v>
      </c>
      <c r="K647" s="31">
        <v>42</v>
      </c>
      <c r="L647" s="31">
        <v>43</v>
      </c>
      <c r="M647" s="31">
        <v>44</v>
      </c>
      <c r="N647" s="31">
        <v>45</v>
      </c>
    </row>
    <row r="648" spans="1:14" ht="24.75" customHeight="1">
      <c r="A648" s="31" t="s">
        <v>179</v>
      </c>
      <c r="B648" s="31">
        <v>76</v>
      </c>
      <c r="C648" s="31">
        <v>33</v>
      </c>
      <c r="D648" s="31">
        <v>34</v>
      </c>
      <c r="E648" s="31">
        <v>35</v>
      </c>
      <c r="F648" s="31">
        <v>36</v>
      </c>
      <c r="G648" s="31">
        <v>37</v>
      </c>
      <c r="H648" s="31">
        <v>38</v>
      </c>
      <c r="I648" s="31">
        <v>39</v>
      </c>
      <c r="J648" s="31">
        <v>40</v>
      </c>
      <c r="K648" s="31">
        <v>41</v>
      </c>
      <c r="L648" s="31">
        <v>42</v>
      </c>
    </row>
    <row r="649" spans="1:14" ht="24.75" customHeight="1">
      <c r="A649" s="31" t="s">
        <v>179</v>
      </c>
      <c r="B649" s="31">
        <v>76</v>
      </c>
      <c r="C649" s="31">
        <v>32</v>
      </c>
      <c r="D649" s="31">
        <v>33</v>
      </c>
      <c r="E649" s="31">
        <v>34</v>
      </c>
      <c r="F649" s="31">
        <v>35</v>
      </c>
      <c r="G649" s="31">
        <v>36</v>
      </c>
      <c r="H649" s="31">
        <v>37</v>
      </c>
      <c r="I649" s="31">
        <v>38</v>
      </c>
      <c r="J649" s="31">
        <v>39</v>
      </c>
      <c r="K649" s="31">
        <v>40</v>
      </c>
      <c r="L649" s="31">
        <v>41</v>
      </c>
      <c r="M649" s="31">
        <v>42</v>
      </c>
      <c r="N649" s="31">
        <v>43</v>
      </c>
    </row>
    <row r="650" spans="1:14" ht="24.75" customHeight="1">
      <c r="A650" s="31" t="s">
        <v>179</v>
      </c>
      <c r="B650" s="31">
        <v>74</v>
      </c>
      <c r="C650" s="31">
        <v>31</v>
      </c>
      <c r="D650" s="31">
        <v>32</v>
      </c>
      <c r="E650" s="31">
        <v>33</v>
      </c>
      <c r="F650" s="31">
        <v>34</v>
      </c>
      <c r="G650" s="31">
        <v>35</v>
      </c>
      <c r="H650" s="31">
        <v>36</v>
      </c>
      <c r="I650" s="31">
        <v>37</v>
      </c>
      <c r="J650" s="31">
        <v>38</v>
      </c>
      <c r="K650" s="31">
        <v>39</v>
      </c>
      <c r="L650" s="31">
        <v>40</v>
      </c>
    </row>
    <row r="651" spans="1:14" ht="24.75" customHeight="1">
      <c r="A651" s="31" t="s">
        <v>179</v>
      </c>
      <c r="B651" s="31">
        <v>74</v>
      </c>
      <c r="C651" s="31">
        <v>30</v>
      </c>
      <c r="D651" s="31">
        <v>31</v>
      </c>
      <c r="E651" s="31">
        <v>32</v>
      </c>
      <c r="F651" s="31">
        <v>33</v>
      </c>
      <c r="G651" s="31">
        <v>34</v>
      </c>
      <c r="H651" s="31">
        <v>35</v>
      </c>
      <c r="I651" s="31">
        <v>36</v>
      </c>
      <c r="J651" s="31">
        <v>37</v>
      </c>
      <c r="K651" s="31">
        <v>38</v>
      </c>
      <c r="L651" s="31">
        <v>39</v>
      </c>
      <c r="M651" s="31">
        <v>40</v>
      </c>
      <c r="N651" s="31">
        <v>41</v>
      </c>
    </row>
    <row r="652" spans="1:14" ht="24.75" customHeight="1">
      <c r="A652" s="31" t="s">
        <v>179</v>
      </c>
      <c r="B652" s="31">
        <v>72</v>
      </c>
      <c r="C652" s="31">
        <v>29</v>
      </c>
      <c r="D652" s="31">
        <v>30</v>
      </c>
      <c r="E652" s="31">
        <v>31</v>
      </c>
      <c r="F652" s="31">
        <v>32</v>
      </c>
      <c r="G652" s="31">
        <v>33</v>
      </c>
      <c r="H652" s="31">
        <v>34</v>
      </c>
      <c r="I652" s="31">
        <v>35</v>
      </c>
      <c r="J652" s="31">
        <v>36</v>
      </c>
      <c r="K652" s="31">
        <v>37</v>
      </c>
      <c r="L652" s="31">
        <v>38</v>
      </c>
    </row>
    <row r="653" spans="1:14" ht="24.75" customHeight="1">
      <c r="A653" s="31" t="s">
        <v>179</v>
      </c>
      <c r="B653" s="31">
        <v>72</v>
      </c>
      <c r="C653" s="31">
        <v>28</v>
      </c>
      <c r="D653" s="31">
        <v>29</v>
      </c>
      <c r="E653" s="31">
        <v>30</v>
      </c>
      <c r="F653" s="31">
        <v>31</v>
      </c>
      <c r="G653" s="31">
        <v>32</v>
      </c>
      <c r="H653" s="31">
        <v>33</v>
      </c>
      <c r="I653" s="31">
        <v>34</v>
      </c>
      <c r="J653" s="31">
        <v>35</v>
      </c>
      <c r="K653" s="31">
        <v>36</v>
      </c>
      <c r="L653" s="31">
        <v>37</v>
      </c>
      <c r="M653" s="31">
        <v>38</v>
      </c>
      <c r="N653" s="31">
        <v>39</v>
      </c>
    </row>
    <row r="654" spans="1:14" ht="24.75" customHeight="1">
      <c r="A654" s="31" t="s">
        <v>179</v>
      </c>
      <c r="B654" s="31">
        <v>70</v>
      </c>
      <c r="C654" s="31">
        <v>27</v>
      </c>
      <c r="D654" s="31">
        <v>28</v>
      </c>
      <c r="E654" s="31">
        <v>29</v>
      </c>
      <c r="F654" s="31">
        <v>30</v>
      </c>
      <c r="G654" s="31">
        <v>31</v>
      </c>
      <c r="H654" s="31">
        <v>32</v>
      </c>
      <c r="I654" s="31">
        <v>33</v>
      </c>
      <c r="J654" s="31">
        <v>34</v>
      </c>
      <c r="K654" s="31">
        <v>35</v>
      </c>
      <c r="L654" s="31">
        <v>36</v>
      </c>
    </row>
    <row r="655" spans="1:14" ht="24.75" customHeight="1">
      <c r="A655" s="31" t="s">
        <v>179</v>
      </c>
      <c r="B655" s="31">
        <v>70</v>
      </c>
      <c r="C655" s="31">
        <v>26</v>
      </c>
      <c r="D655" s="31">
        <v>27</v>
      </c>
      <c r="E655" s="31">
        <v>28</v>
      </c>
      <c r="F655" s="31">
        <v>29</v>
      </c>
      <c r="G655" s="31">
        <v>30</v>
      </c>
      <c r="H655" s="31">
        <v>31</v>
      </c>
      <c r="I655" s="31">
        <v>32</v>
      </c>
      <c r="J655" s="31">
        <v>33</v>
      </c>
      <c r="K655" s="31">
        <v>34</v>
      </c>
      <c r="L655" s="31">
        <v>35</v>
      </c>
      <c r="M655" s="31">
        <v>36</v>
      </c>
      <c r="N655" s="31">
        <v>37</v>
      </c>
    </row>
    <row r="656" spans="1:14" ht="24.75" customHeight="1">
      <c r="A656" s="31" t="s">
        <v>179</v>
      </c>
      <c r="B656" s="31">
        <v>68</v>
      </c>
      <c r="C656" s="31">
        <v>25</v>
      </c>
      <c r="D656" s="31">
        <v>26</v>
      </c>
      <c r="E656" s="31">
        <v>27</v>
      </c>
      <c r="F656" s="31">
        <v>28</v>
      </c>
      <c r="G656" s="31">
        <v>29</v>
      </c>
      <c r="H656" s="31">
        <v>30</v>
      </c>
      <c r="I656" s="31">
        <v>31</v>
      </c>
      <c r="J656" s="31">
        <v>32</v>
      </c>
      <c r="K656" s="31">
        <v>33</v>
      </c>
      <c r="L656" s="31">
        <v>34</v>
      </c>
    </row>
    <row r="657" spans="1:14" ht="24.75" customHeight="1">
      <c r="A657" s="31" t="s">
        <v>179</v>
      </c>
      <c r="B657" s="31">
        <v>68</v>
      </c>
      <c r="C657" s="31">
        <v>24</v>
      </c>
      <c r="D657" s="31">
        <v>25</v>
      </c>
      <c r="E657" s="31">
        <v>26</v>
      </c>
      <c r="F657" s="31">
        <v>27</v>
      </c>
      <c r="G657" s="31">
        <v>28</v>
      </c>
      <c r="H657" s="31">
        <v>29</v>
      </c>
      <c r="I657" s="31">
        <v>30</v>
      </c>
      <c r="J657" s="31">
        <v>31</v>
      </c>
      <c r="K657" s="31">
        <v>32</v>
      </c>
      <c r="L657" s="31">
        <v>33</v>
      </c>
      <c r="M657" s="31">
        <v>34</v>
      </c>
      <c r="N657" s="31">
        <v>35</v>
      </c>
    </row>
    <row r="658" spans="1:14" ht="24.75" customHeight="1">
      <c r="A658" s="31" t="s">
        <v>179</v>
      </c>
      <c r="B658" s="31">
        <v>66</v>
      </c>
      <c r="C658" s="31">
        <v>23</v>
      </c>
      <c r="D658" s="31">
        <v>24</v>
      </c>
      <c r="E658" s="31">
        <v>25</v>
      </c>
      <c r="F658" s="31">
        <v>26</v>
      </c>
      <c r="G658" s="31">
        <v>27</v>
      </c>
      <c r="H658" s="31">
        <v>28</v>
      </c>
      <c r="I658" s="31">
        <v>29</v>
      </c>
      <c r="J658" s="31">
        <v>30</v>
      </c>
      <c r="K658" s="31">
        <v>31</v>
      </c>
      <c r="L658" s="31">
        <v>32</v>
      </c>
    </row>
    <row r="659" spans="1:14" ht="24.75" customHeight="1">
      <c r="A659" s="31" t="s">
        <v>179</v>
      </c>
      <c r="B659" s="31">
        <v>66</v>
      </c>
      <c r="C659" s="31">
        <v>22</v>
      </c>
      <c r="D659" s="31">
        <v>23</v>
      </c>
      <c r="E659" s="31">
        <v>24</v>
      </c>
      <c r="F659" s="31">
        <v>25</v>
      </c>
      <c r="G659" s="31">
        <v>26</v>
      </c>
      <c r="H659" s="31">
        <v>27</v>
      </c>
      <c r="I659" s="31">
        <v>28</v>
      </c>
      <c r="J659" s="31">
        <v>29</v>
      </c>
      <c r="K659" s="31">
        <v>30</v>
      </c>
      <c r="L659" s="31">
        <v>31</v>
      </c>
      <c r="M659" s="31">
        <v>32</v>
      </c>
      <c r="N659" s="31">
        <v>33</v>
      </c>
    </row>
    <row r="660" spans="1:14" ht="24.75" customHeight="1">
      <c r="A660" s="31" t="s">
        <v>179</v>
      </c>
      <c r="B660" s="31">
        <v>64</v>
      </c>
      <c r="C660" s="31">
        <v>21</v>
      </c>
      <c r="D660" s="31">
        <v>22</v>
      </c>
      <c r="E660" s="31">
        <v>23</v>
      </c>
      <c r="F660" s="31">
        <v>24</v>
      </c>
      <c r="G660" s="31">
        <v>25</v>
      </c>
      <c r="H660" s="31">
        <v>26</v>
      </c>
      <c r="I660" s="31">
        <v>27</v>
      </c>
      <c r="J660" s="31">
        <v>28</v>
      </c>
      <c r="K660" s="31">
        <v>29</v>
      </c>
      <c r="L660" s="31">
        <v>30</v>
      </c>
    </row>
    <row r="661" spans="1:14" ht="24.75" customHeight="1">
      <c r="A661" s="31" t="s">
        <v>179</v>
      </c>
      <c r="B661" s="31">
        <v>64</v>
      </c>
      <c r="C661" s="31">
        <v>20</v>
      </c>
      <c r="D661" s="31">
        <v>21</v>
      </c>
      <c r="E661" s="31">
        <v>22</v>
      </c>
      <c r="F661" s="31">
        <v>23</v>
      </c>
      <c r="G661" s="31">
        <v>24</v>
      </c>
      <c r="H661" s="31">
        <v>25</v>
      </c>
      <c r="I661" s="31">
        <v>26</v>
      </c>
      <c r="J661" s="31">
        <v>27</v>
      </c>
      <c r="K661" s="31">
        <v>28</v>
      </c>
      <c r="L661" s="31">
        <v>29</v>
      </c>
      <c r="M661" s="31">
        <v>30</v>
      </c>
      <c r="N661" s="31">
        <v>31</v>
      </c>
    </row>
    <row r="662" spans="1:14" ht="24.75" customHeight="1">
      <c r="A662" s="31" t="s">
        <v>179</v>
      </c>
      <c r="B662" s="31">
        <v>62</v>
      </c>
      <c r="C662" s="31">
        <v>19</v>
      </c>
      <c r="D662" s="31">
        <v>20</v>
      </c>
      <c r="E662" s="31">
        <v>21</v>
      </c>
      <c r="F662" s="31">
        <v>22</v>
      </c>
      <c r="G662" s="31">
        <v>23</v>
      </c>
      <c r="H662" s="31">
        <v>24</v>
      </c>
      <c r="I662" s="31">
        <v>25</v>
      </c>
      <c r="J662" s="31">
        <v>26</v>
      </c>
      <c r="K662" s="31">
        <v>27</v>
      </c>
      <c r="L662" s="31">
        <v>28</v>
      </c>
    </row>
    <row r="663" spans="1:14" ht="24.75" customHeight="1">
      <c r="A663" s="31" t="s">
        <v>179</v>
      </c>
      <c r="B663" s="31">
        <v>62</v>
      </c>
      <c r="C663" s="31">
        <v>18</v>
      </c>
      <c r="D663" s="31">
        <v>19</v>
      </c>
      <c r="E663" s="31">
        <v>20</v>
      </c>
      <c r="F663" s="31">
        <v>21</v>
      </c>
      <c r="G663" s="31">
        <v>22</v>
      </c>
      <c r="H663" s="31">
        <v>23</v>
      </c>
      <c r="I663" s="31">
        <v>24</v>
      </c>
      <c r="J663" s="31">
        <v>25</v>
      </c>
      <c r="K663" s="31">
        <v>26</v>
      </c>
      <c r="L663" s="31">
        <v>27</v>
      </c>
      <c r="M663" s="31">
        <v>28</v>
      </c>
      <c r="N663" s="31">
        <v>29</v>
      </c>
    </row>
    <row r="664" spans="1:14" ht="24.75" customHeight="1">
      <c r="A664" s="31" t="s">
        <v>179</v>
      </c>
      <c r="B664" s="31">
        <v>60</v>
      </c>
      <c r="C664" s="31">
        <v>17</v>
      </c>
      <c r="D664" s="31">
        <v>18</v>
      </c>
      <c r="E664" s="31">
        <v>19</v>
      </c>
      <c r="F664" s="31">
        <v>20</v>
      </c>
      <c r="G664" s="31">
        <v>21</v>
      </c>
      <c r="H664" s="31">
        <v>22</v>
      </c>
      <c r="I664" s="31">
        <v>23</v>
      </c>
      <c r="J664" s="31">
        <v>24</v>
      </c>
      <c r="K664" s="31">
        <v>25</v>
      </c>
      <c r="L664" s="31">
        <v>26</v>
      </c>
    </row>
    <row r="665" spans="1:14" ht="24.75" customHeight="1">
      <c r="A665" s="31" t="s">
        <v>179</v>
      </c>
      <c r="B665" s="31">
        <v>60</v>
      </c>
      <c r="C665" s="31">
        <v>16</v>
      </c>
      <c r="D665" s="31">
        <v>17</v>
      </c>
      <c r="E665" s="31">
        <v>18</v>
      </c>
      <c r="F665" s="31">
        <v>19</v>
      </c>
      <c r="G665" s="31">
        <v>20</v>
      </c>
      <c r="H665" s="31">
        <v>21</v>
      </c>
      <c r="I665" s="31">
        <v>22</v>
      </c>
      <c r="J665" s="31">
        <v>23</v>
      </c>
      <c r="K665" s="31">
        <v>24</v>
      </c>
      <c r="L665" s="31">
        <v>25</v>
      </c>
      <c r="M665" s="31">
        <v>26</v>
      </c>
      <c r="N665" s="31">
        <v>27</v>
      </c>
    </row>
    <row r="666" spans="1:14" ht="24.75" customHeight="1">
      <c r="A666" s="31" t="s">
        <v>178</v>
      </c>
      <c r="B666" s="31">
        <v>50</v>
      </c>
      <c r="C666" s="31">
        <v>15</v>
      </c>
      <c r="D666" s="31">
        <v>16</v>
      </c>
      <c r="E666" s="31">
        <v>17</v>
      </c>
      <c r="F666" s="31">
        <v>18</v>
      </c>
      <c r="G666" s="31">
        <v>19</v>
      </c>
      <c r="H666" s="31">
        <v>20</v>
      </c>
      <c r="I666" s="31">
        <v>21</v>
      </c>
      <c r="J666" s="31">
        <v>22</v>
      </c>
      <c r="K666" s="31">
        <v>23</v>
      </c>
      <c r="L666" s="31">
        <v>24</v>
      </c>
    </row>
    <row r="667" spans="1:14" ht="24.75" customHeight="1">
      <c r="A667" s="31" t="s">
        <v>178</v>
      </c>
      <c r="B667" s="31">
        <v>50</v>
      </c>
      <c r="C667" s="31">
        <v>14</v>
      </c>
      <c r="D667" s="31">
        <v>15</v>
      </c>
      <c r="E667" s="31">
        <v>16</v>
      </c>
      <c r="F667" s="31">
        <v>17</v>
      </c>
      <c r="G667" s="31">
        <v>18</v>
      </c>
      <c r="H667" s="31">
        <v>19</v>
      </c>
      <c r="I667" s="31">
        <v>20</v>
      </c>
      <c r="J667" s="31">
        <v>21</v>
      </c>
      <c r="K667" s="31">
        <v>22</v>
      </c>
      <c r="L667" s="31">
        <v>23</v>
      </c>
      <c r="M667" s="31">
        <v>24</v>
      </c>
      <c r="N667" s="31">
        <v>25</v>
      </c>
    </row>
    <row r="668" spans="1:14" ht="24.75" customHeight="1">
      <c r="A668" s="31" t="s">
        <v>178</v>
      </c>
      <c r="B668" s="31">
        <v>40</v>
      </c>
      <c r="C668" s="31">
        <v>13</v>
      </c>
      <c r="D668" s="31">
        <v>14</v>
      </c>
      <c r="E668" s="31">
        <v>15</v>
      </c>
      <c r="F668" s="31">
        <v>16</v>
      </c>
      <c r="G668" s="31">
        <v>17</v>
      </c>
      <c r="H668" s="31">
        <v>18</v>
      </c>
      <c r="I668" s="31">
        <v>19</v>
      </c>
      <c r="J668" s="31">
        <v>20</v>
      </c>
      <c r="K668" s="31">
        <v>21</v>
      </c>
      <c r="L668" s="31">
        <v>22</v>
      </c>
    </row>
    <row r="669" spans="1:14" ht="24.75" customHeight="1">
      <c r="A669" s="31" t="s">
        <v>178</v>
      </c>
      <c r="B669" s="31">
        <v>40</v>
      </c>
      <c r="C669" s="31">
        <v>12</v>
      </c>
      <c r="D669" s="31">
        <v>13</v>
      </c>
      <c r="E669" s="31">
        <v>14</v>
      </c>
      <c r="F669" s="31">
        <v>15</v>
      </c>
      <c r="G669" s="31">
        <v>16</v>
      </c>
      <c r="H669" s="31">
        <v>17</v>
      </c>
      <c r="I669" s="31">
        <v>18</v>
      </c>
      <c r="J669" s="31">
        <v>19</v>
      </c>
      <c r="K669" s="31">
        <v>20</v>
      </c>
      <c r="L669" s="31">
        <v>21</v>
      </c>
      <c r="M669" s="31">
        <v>22</v>
      </c>
      <c r="N669" s="31">
        <v>23</v>
      </c>
    </row>
    <row r="670" spans="1:14" ht="24.75" customHeight="1">
      <c r="A670" s="31" t="s">
        <v>178</v>
      </c>
      <c r="B670" s="31">
        <v>30</v>
      </c>
      <c r="C670" s="31">
        <v>11</v>
      </c>
      <c r="D670" s="31">
        <v>12</v>
      </c>
      <c r="E670" s="31">
        <v>13</v>
      </c>
      <c r="F670" s="31">
        <v>14</v>
      </c>
      <c r="G670" s="31">
        <v>15</v>
      </c>
      <c r="H670" s="31">
        <v>16</v>
      </c>
      <c r="I670" s="31">
        <v>17</v>
      </c>
      <c r="J670" s="31">
        <v>18</v>
      </c>
      <c r="K670" s="31">
        <v>19</v>
      </c>
      <c r="L670" s="31">
        <v>20</v>
      </c>
    </row>
    <row r="671" spans="1:14" ht="24.75" customHeight="1">
      <c r="A671" s="31" t="s">
        <v>178</v>
      </c>
      <c r="B671" s="31">
        <v>30</v>
      </c>
      <c r="C671" s="31">
        <v>10</v>
      </c>
      <c r="D671" s="31">
        <v>11</v>
      </c>
      <c r="E671" s="31">
        <v>12</v>
      </c>
      <c r="F671" s="31">
        <v>13</v>
      </c>
      <c r="G671" s="31">
        <v>14</v>
      </c>
      <c r="H671" s="31">
        <v>15</v>
      </c>
      <c r="I671" s="31">
        <v>16</v>
      </c>
      <c r="J671" s="31">
        <v>17</v>
      </c>
      <c r="K671" s="31">
        <v>18</v>
      </c>
      <c r="L671" s="31">
        <v>19</v>
      </c>
      <c r="M671" s="31">
        <v>20</v>
      </c>
      <c r="N671" s="31">
        <v>21</v>
      </c>
    </row>
    <row r="672" spans="1:14" ht="24.75" customHeight="1">
      <c r="A672" s="31" t="s">
        <v>178</v>
      </c>
      <c r="B672" s="31">
        <v>20</v>
      </c>
      <c r="C672" s="31">
        <v>9</v>
      </c>
      <c r="D672" s="31">
        <v>10</v>
      </c>
      <c r="E672" s="31">
        <v>11</v>
      </c>
      <c r="F672" s="31">
        <v>12</v>
      </c>
      <c r="G672" s="31">
        <v>13</v>
      </c>
      <c r="H672" s="31">
        <v>14</v>
      </c>
      <c r="I672" s="31">
        <v>15</v>
      </c>
      <c r="J672" s="31">
        <v>16</v>
      </c>
      <c r="K672" s="31">
        <v>17</v>
      </c>
      <c r="L672" s="31">
        <v>18</v>
      </c>
    </row>
    <row r="673" spans="1:14" ht="24.75" customHeight="1">
      <c r="A673" s="31" t="s">
        <v>178</v>
      </c>
      <c r="B673" s="31">
        <v>20</v>
      </c>
      <c r="C673" s="31">
        <v>8</v>
      </c>
      <c r="D673" s="31">
        <v>9</v>
      </c>
      <c r="E673" s="31">
        <v>10</v>
      </c>
      <c r="F673" s="31">
        <v>11</v>
      </c>
      <c r="G673" s="31">
        <v>12</v>
      </c>
      <c r="H673" s="31">
        <v>13</v>
      </c>
      <c r="I673" s="31">
        <v>14</v>
      </c>
      <c r="J673" s="31">
        <v>15</v>
      </c>
      <c r="K673" s="31">
        <v>16</v>
      </c>
      <c r="L673" s="31">
        <v>17</v>
      </c>
      <c r="M673" s="31">
        <v>18</v>
      </c>
      <c r="N673" s="31">
        <v>19</v>
      </c>
    </row>
    <row r="674" spans="1:14" ht="24.75" customHeight="1">
      <c r="A674" s="31" t="s">
        <v>178</v>
      </c>
      <c r="B674" s="31">
        <v>10</v>
      </c>
      <c r="C674" s="31">
        <v>7</v>
      </c>
      <c r="D674" s="31">
        <v>8</v>
      </c>
      <c r="E674" s="31">
        <v>9</v>
      </c>
      <c r="F674" s="31">
        <v>10</v>
      </c>
      <c r="G674" s="31">
        <v>11</v>
      </c>
      <c r="H674" s="31">
        <v>12</v>
      </c>
      <c r="I674" s="31">
        <v>13</v>
      </c>
      <c r="J674" s="31">
        <v>14</v>
      </c>
      <c r="K674" s="31">
        <v>15</v>
      </c>
      <c r="L674" s="31">
        <v>16</v>
      </c>
    </row>
    <row r="675" spans="1:14" ht="24.75" customHeight="1">
      <c r="A675" s="31" t="s">
        <v>178</v>
      </c>
      <c r="B675" s="31">
        <v>10</v>
      </c>
      <c r="C675" s="31">
        <v>6</v>
      </c>
      <c r="D675" s="31">
        <v>7</v>
      </c>
      <c r="E675" s="31">
        <v>8</v>
      </c>
      <c r="F675" s="31">
        <v>9</v>
      </c>
      <c r="G675" s="31">
        <v>10</v>
      </c>
      <c r="H675" s="31">
        <v>11</v>
      </c>
      <c r="I675" s="31">
        <v>12</v>
      </c>
      <c r="J675" s="31">
        <v>13</v>
      </c>
      <c r="K675" s="31">
        <v>14</v>
      </c>
      <c r="L675" s="31">
        <v>15</v>
      </c>
      <c r="M675" s="31">
        <v>16</v>
      </c>
      <c r="N675" s="31">
        <v>17</v>
      </c>
    </row>
    <row r="676" spans="1:14" ht="24.75" customHeight="1">
      <c r="A676" s="31" t="s">
        <v>178</v>
      </c>
      <c r="B676" s="31">
        <v>0</v>
      </c>
      <c r="C676" s="31">
        <v>5</v>
      </c>
      <c r="D676" s="31">
        <v>6</v>
      </c>
      <c r="E676" s="31">
        <v>7</v>
      </c>
      <c r="F676" s="31">
        <v>8</v>
      </c>
      <c r="G676" s="31">
        <v>9</v>
      </c>
      <c r="H676" s="31">
        <v>10</v>
      </c>
      <c r="I676" s="31">
        <v>11</v>
      </c>
      <c r="J676" s="31">
        <v>12</v>
      </c>
      <c r="K676" s="31">
        <v>13</v>
      </c>
      <c r="L676" s="31">
        <v>14</v>
      </c>
    </row>
    <row r="677" spans="1:14" ht="24.75" customHeight="1">
      <c r="A677" s="31" t="s">
        <v>178</v>
      </c>
      <c r="B677" s="31">
        <v>0</v>
      </c>
      <c r="C677" s="31">
        <v>0</v>
      </c>
      <c r="D677" s="31">
        <v>0</v>
      </c>
      <c r="E677" s="31">
        <v>0</v>
      </c>
      <c r="F677" s="31">
        <v>0</v>
      </c>
      <c r="G677" s="31">
        <v>0</v>
      </c>
      <c r="H677" s="31">
        <v>0</v>
      </c>
      <c r="I677" s="31">
        <v>0</v>
      </c>
      <c r="J677" s="31">
        <v>0</v>
      </c>
      <c r="K677" s="31">
        <v>0</v>
      </c>
      <c r="L677" s="31">
        <v>0</v>
      </c>
    </row>
    <row r="678" spans="1:14" ht="24.75" customHeight="1">
      <c r="A678" s="31" t="s">
        <v>256</v>
      </c>
    </row>
    <row r="679" spans="1:14" ht="24.75" customHeight="1">
      <c r="A679" s="35" t="s">
        <v>163</v>
      </c>
      <c r="B679" s="31" t="s">
        <v>164</v>
      </c>
      <c r="C679" s="35" t="s">
        <v>169</v>
      </c>
      <c r="D679" s="35" t="s">
        <v>170</v>
      </c>
      <c r="E679" s="35" t="s">
        <v>171</v>
      </c>
      <c r="F679" s="35" t="s">
        <v>172</v>
      </c>
      <c r="G679" s="35" t="s">
        <v>173</v>
      </c>
      <c r="H679" s="35" t="s">
        <v>174</v>
      </c>
      <c r="I679" s="35" t="s">
        <v>175</v>
      </c>
      <c r="J679" s="35" t="s">
        <v>176</v>
      </c>
      <c r="K679" s="31" t="s">
        <v>240</v>
      </c>
      <c r="L679" s="31" t="s">
        <v>241</v>
      </c>
    </row>
    <row r="680" spans="1:14" ht="24.75" customHeight="1">
      <c r="A680" s="35"/>
      <c r="C680" s="35"/>
      <c r="D680" s="35"/>
      <c r="E680" s="35"/>
      <c r="F680" s="35"/>
      <c r="G680" s="35"/>
      <c r="H680" s="35"/>
      <c r="I680" s="35"/>
      <c r="J680" s="35"/>
      <c r="K680" s="31" t="s">
        <v>242</v>
      </c>
      <c r="L680" s="31" t="s">
        <v>243</v>
      </c>
    </row>
    <row r="681" spans="1:14" ht="24.75" customHeight="1">
      <c r="A681" s="31" t="s">
        <v>181</v>
      </c>
      <c r="B681" s="31">
        <v>110</v>
      </c>
      <c r="E681" s="31" t="s">
        <v>257</v>
      </c>
      <c r="F681" s="31" t="s">
        <v>257</v>
      </c>
      <c r="G681" s="31" t="s">
        <v>257</v>
      </c>
      <c r="H681" s="31" t="s">
        <v>257</v>
      </c>
      <c r="I681" s="31" t="s">
        <v>257</v>
      </c>
      <c r="J681" s="31" t="s">
        <v>257</v>
      </c>
    </row>
    <row r="682" spans="1:14" ht="24.75" customHeight="1">
      <c r="A682" s="31" t="s">
        <v>181</v>
      </c>
      <c r="B682" s="31">
        <v>110</v>
      </c>
      <c r="E682" s="31" t="s">
        <v>153</v>
      </c>
      <c r="F682" s="31" t="s">
        <v>258</v>
      </c>
      <c r="G682" s="31" t="s">
        <v>259</v>
      </c>
      <c r="H682" s="31" t="s">
        <v>260</v>
      </c>
      <c r="I682" s="31" t="s">
        <v>261</v>
      </c>
      <c r="J682" s="31" t="s">
        <v>262</v>
      </c>
    </row>
    <row r="683" spans="1:14" ht="24.75" customHeight="1">
      <c r="A683" s="31" t="s">
        <v>181</v>
      </c>
      <c r="B683" s="31">
        <v>109</v>
      </c>
      <c r="E683" s="31" t="s">
        <v>263</v>
      </c>
      <c r="F683" s="31" t="s">
        <v>264</v>
      </c>
      <c r="G683" s="31" t="s">
        <v>265</v>
      </c>
      <c r="H683" s="31" t="s">
        <v>266</v>
      </c>
      <c r="I683" s="31" t="s">
        <v>267</v>
      </c>
      <c r="J683" s="31" t="s">
        <v>268</v>
      </c>
    </row>
    <row r="684" spans="1:14" ht="24.75" customHeight="1">
      <c r="A684" s="31" t="s">
        <v>181</v>
      </c>
      <c r="B684" s="31">
        <v>109</v>
      </c>
      <c r="E684" s="31" t="s">
        <v>81</v>
      </c>
      <c r="F684" s="31" t="s">
        <v>82</v>
      </c>
      <c r="G684" s="31" t="s">
        <v>88</v>
      </c>
      <c r="H684" s="31" t="s">
        <v>269</v>
      </c>
      <c r="I684" s="31" t="s">
        <v>270</v>
      </c>
      <c r="J684" s="31" t="s">
        <v>271</v>
      </c>
    </row>
    <row r="685" spans="1:14" ht="24.75" customHeight="1">
      <c r="A685" s="31" t="s">
        <v>181</v>
      </c>
      <c r="B685" s="31">
        <v>108</v>
      </c>
      <c r="E685" s="31" t="s">
        <v>155</v>
      </c>
      <c r="F685" s="31" t="s">
        <v>152</v>
      </c>
      <c r="G685" s="31" t="s">
        <v>100</v>
      </c>
      <c r="H685" s="31" t="s">
        <v>272</v>
      </c>
      <c r="I685" s="31" t="s">
        <v>273</v>
      </c>
      <c r="J685" s="31" t="s">
        <v>274</v>
      </c>
    </row>
    <row r="686" spans="1:14" ht="24.75" customHeight="1">
      <c r="A686" s="31" t="s">
        <v>181</v>
      </c>
      <c r="B686" s="31">
        <v>108</v>
      </c>
      <c r="E686" s="31" t="s">
        <v>62</v>
      </c>
      <c r="F686" s="31" t="s">
        <v>263</v>
      </c>
      <c r="G686" s="31" t="s">
        <v>275</v>
      </c>
      <c r="H686" s="31" t="s">
        <v>276</v>
      </c>
      <c r="I686" s="31" t="s">
        <v>266</v>
      </c>
      <c r="J686" s="31" t="s">
        <v>267</v>
      </c>
    </row>
    <row r="687" spans="1:14" ht="24.75" customHeight="1">
      <c r="A687" s="31" t="s">
        <v>181</v>
      </c>
      <c r="B687" s="31">
        <v>107</v>
      </c>
      <c r="E687" s="31" t="s">
        <v>61</v>
      </c>
      <c r="F687" s="31" t="s">
        <v>154</v>
      </c>
      <c r="G687" s="31" t="s">
        <v>89</v>
      </c>
      <c r="H687" s="31" t="s">
        <v>277</v>
      </c>
      <c r="I687" s="31" t="s">
        <v>278</v>
      </c>
      <c r="J687" s="31" t="s">
        <v>279</v>
      </c>
    </row>
    <row r="688" spans="1:14" ht="24.75" customHeight="1">
      <c r="A688" s="31" t="s">
        <v>181</v>
      </c>
      <c r="B688" s="31">
        <v>107</v>
      </c>
      <c r="E688" s="31" t="s">
        <v>90</v>
      </c>
      <c r="F688" s="31" t="s">
        <v>155</v>
      </c>
      <c r="G688" s="31" t="s">
        <v>161</v>
      </c>
      <c r="H688" s="31" t="s">
        <v>156</v>
      </c>
      <c r="I688" s="31" t="s">
        <v>272</v>
      </c>
      <c r="J688" s="31" t="s">
        <v>273</v>
      </c>
    </row>
    <row r="689" spans="1:12" ht="24.75" customHeight="1">
      <c r="A689" s="31" t="s">
        <v>181</v>
      </c>
      <c r="B689" s="31">
        <v>106</v>
      </c>
      <c r="E689" s="31" t="s">
        <v>91</v>
      </c>
      <c r="F689" s="31" t="s">
        <v>280</v>
      </c>
      <c r="G689" s="31" t="s">
        <v>258</v>
      </c>
      <c r="H689" s="31" t="s">
        <v>259</v>
      </c>
      <c r="I689" s="31" t="s">
        <v>281</v>
      </c>
      <c r="J689" s="31" t="s">
        <v>260</v>
      </c>
    </row>
    <row r="690" spans="1:12" ht="24.75" customHeight="1">
      <c r="A690" s="31" t="s">
        <v>181</v>
      </c>
      <c r="B690" s="31">
        <v>106</v>
      </c>
      <c r="E690" s="31" t="s">
        <v>64</v>
      </c>
      <c r="F690" s="31" t="s">
        <v>61</v>
      </c>
      <c r="G690" s="31" t="s">
        <v>151</v>
      </c>
      <c r="H690" s="31" t="s">
        <v>282</v>
      </c>
      <c r="I690" s="31" t="s">
        <v>277</v>
      </c>
      <c r="J690" s="31" t="s">
        <v>278</v>
      </c>
    </row>
    <row r="691" spans="1:12" ht="24.75" customHeight="1">
      <c r="A691" s="31" t="s">
        <v>181</v>
      </c>
      <c r="B691" s="31">
        <v>105</v>
      </c>
      <c r="E691" s="31" t="s">
        <v>73</v>
      </c>
      <c r="F691" s="31" t="s">
        <v>101</v>
      </c>
      <c r="G691" s="31" t="s">
        <v>82</v>
      </c>
      <c r="H691" s="31" t="s">
        <v>88</v>
      </c>
      <c r="I691" s="31" t="s">
        <v>283</v>
      </c>
      <c r="J691" s="31" t="s">
        <v>269</v>
      </c>
    </row>
    <row r="692" spans="1:12" ht="24.75" customHeight="1">
      <c r="A692" s="31" t="s">
        <v>181</v>
      </c>
      <c r="B692" s="31">
        <v>105</v>
      </c>
      <c r="E692" s="31" t="s">
        <v>55</v>
      </c>
      <c r="F692" s="31" t="s">
        <v>91</v>
      </c>
      <c r="G692" s="31" t="s">
        <v>153</v>
      </c>
      <c r="H692" s="31" t="s">
        <v>94</v>
      </c>
      <c r="I692" s="31" t="s">
        <v>259</v>
      </c>
      <c r="J692" s="31" t="s">
        <v>281</v>
      </c>
    </row>
    <row r="693" spans="1:12" ht="24.75" customHeight="1">
      <c r="A693" s="31" t="s">
        <v>181</v>
      </c>
      <c r="B693" s="31">
        <v>104</v>
      </c>
      <c r="E693" s="31" t="s">
        <v>41</v>
      </c>
      <c r="F693" s="31" t="s">
        <v>46</v>
      </c>
      <c r="G693" s="31" t="s">
        <v>263</v>
      </c>
      <c r="H693" s="31" t="s">
        <v>275</v>
      </c>
      <c r="I693" s="31" t="s">
        <v>265</v>
      </c>
      <c r="J693" s="31" t="s">
        <v>276</v>
      </c>
    </row>
    <row r="694" spans="1:12" ht="24.75" customHeight="1">
      <c r="A694" s="31" t="s">
        <v>181</v>
      </c>
      <c r="B694" s="31">
        <v>104</v>
      </c>
      <c r="E694" s="31" t="s">
        <v>284</v>
      </c>
      <c r="F694" s="31" t="s">
        <v>59</v>
      </c>
      <c r="G694" s="31" t="s">
        <v>155</v>
      </c>
      <c r="H694" s="31" t="s">
        <v>161</v>
      </c>
      <c r="I694" s="31" t="s">
        <v>100</v>
      </c>
      <c r="J694" s="31" t="s">
        <v>156</v>
      </c>
    </row>
    <row r="695" spans="1:12" ht="24.75" customHeight="1">
      <c r="A695" s="31" t="s">
        <v>181</v>
      </c>
      <c r="B695" s="31">
        <v>103</v>
      </c>
      <c r="E695" s="31" t="s">
        <v>65</v>
      </c>
      <c r="F695" s="31" t="s">
        <v>55</v>
      </c>
      <c r="G695" s="31" t="s">
        <v>280</v>
      </c>
      <c r="H695" s="31" t="s">
        <v>258</v>
      </c>
      <c r="I695" s="31" t="s">
        <v>94</v>
      </c>
      <c r="J695" s="31" t="s">
        <v>259</v>
      </c>
    </row>
    <row r="696" spans="1:12" ht="24.75" customHeight="1">
      <c r="A696" s="31" t="s">
        <v>181</v>
      </c>
      <c r="B696" s="31">
        <v>103</v>
      </c>
      <c r="E696" s="31" t="s">
        <v>52</v>
      </c>
      <c r="F696" s="31" t="s">
        <v>63</v>
      </c>
      <c r="G696" s="31" t="s">
        <v>101</v>
      </c>
      <c r="H696" s="31" t="s">
        <v>82</v>
      </c>
      <c r="I696" s="31" t="s">
        <v>285</v>
      </c>
      <c r="J696" s="31" t="s">
        <v>88</v>
      </c>
    </row>
    <row r="697" spans="1:12" ht="24.75" customHeight="1">
      <c r="A697" s="31" t="s">
        <v>181</v>
      </c>
      <c r="B697" s="31">
        <v>102</v>
      </c>
      <c r="E697" s="31" t="s">
        <v>32</v>
      </c>
      <c r="F697" s="31" t="s">
        <v>159</v>
      </c>
      <c r="G697" s="31" t="s">
        <v>90</v>
      </c>
      <c r="H697" s="31" t="s">
        <v>152</v>
      </c>
      <c r="I697" s="31" t="s">
        <v>161</v>
      </c>
      <c r="J697" s="31" t="s">
        <v>100</v>
      </c>
    </row>
    <row r="698" spans="1:12" ht="24.75" customHeight="1">
      <c r="A698" s="31" t="s">
        <v>181</v>
      </c>
      <c r="B698" s="31">
        <v>102</v>
      </c>
      <c r="E698" s="31" t="s">
        <v>157</v>
      </c>
      <c r="F698" s="31" t="s">
        <v>87</v>
      </c>
      <c r="G698" s="31" t="s">
        <v>64</v>
      </c>
      <c r="H698" s="31" t="s">
        <v>154</v>
      </c>
      <c r="I698" s="31" t="s">
        <v>151</v>
      </c>
      <c r="J698" s="31" t="s">
        <v>89</v>
      </c>
    </row>
    <row r="699" spans="1:12" ht="24.75" customHeight="1">
      <c r="A699" s="31" t="s">
        <v>181</v>
      </c>
      <c r="B699" s="31">
        <v>101</v>
      </c>
      <c r="E699" s="31" t="s">
        <v>286</v>
      </c>
      <c r="F699" s="31" t="s">
        <v>52</v>
      </c>
      <c r="G699" s="31" t="s">
        <v>73</v>
      </c>
      <c r="H699" s="31" t="s">
        <v>81</v>
      </c>
      <c r="I699" s="31" t="s">
        <v>82</v>
      </c>
      <c r="J699" s="31" t="s">
        <v>285</v>
      </c>
    </row>
    <row r="700" spans="1:12" ht="24.75" customHeight="1">
      <c r="A700" s="31" t="s">
        <v>181</v>
      </c>
      <c r="B700" s="31">
        <v>101</v>
      </c>
      <c r="E700" s="31" t="s">
        <v>44</v>
      </c>
      <c r="F700" s="31" t="s">
        <v>34</v>
      </c>
      <c r="G700" s="31" t="s">
        <v>41</v>
      </c>
      <c r="H700" s="31" t="s">
        <v>62</v>
      </c>
      <c r="I700" s="31" t="s">
        <v>263</v>
      </c>
      <c r="J700" s="31" t="s">
        <v>264</v>
      </c>
    </row>
    <row r="701" spans="1:12" ht="24.75" customHeight="1">
      <c r="A701" s="31" t="s">
        <v>181</v>
      </c>
      <c r="B701" s="31">
        <v>100</v>
      </c>
      <c r="C701" s="31" t="s">
        <v>287</v>
      </c>
      <c r="D701" s="31" t="s">
        <v>287</v>
      </c>
      <c r="E701" s="31" t="s">
        <v>288</v>
      </c>
      <c r="F701" s="31" t="s">
        <v>157</v>
      </c>
      <c r="G701" s="31" t="s">
        <v>83</v>
      </c>
      <c r="H701" s="31" t="s">
        <v>61</v>
      </c>
      <c r="I701" s="31" t="s">
        <v>154</v>
      </c>
      <c r="J701" s="31" t="s">
        <v>151</v>
      </c>
    </row>
    <row r="702" spans="1:12" ht="24.75" customHeight="1">
      <c r="A702" s="31" t="s">
        <v>181</v>
      </c>
      <c r="B702" s="31">
        <v>100</v>
      </c>
      <c r="C702" s="31" t="s">
        <v>289</v>
      </c>
      <c r="D702" s="31" t="s">
        <v>290</v>
      </c>
      <c r="E702" s="31" t="s">
        <v>42</v>
      </c>
      <c r="F702" s="31" t="s">
        <v>56</v>
      </c>
      <c r="G702" s="31" t="s">
        <v>65</v>
      </c>
      <c r="H702" s="31" t="s">
        <v>91</v>
      </c>
      <c r="I702" s="31" t="s">
        <v>280</v>
      </c>
      <c r="J702" s="31" t="s">
        <v>153</v>
      </c>
      <c r="K702" s="31" t="s">
        <v>151</v>
      </c>
      <c r="L702" s="31" t="s">
        <v>258</v>
      </c>
    </row>
    <row r="703" spans="1:12" ht="24.75" customHeight="1">
      <c r="A703" s="31" t="s">
        <v>181</v>
      </c>
      <c r="B703" s="31">
        <v>95</v>
      </c>
      <c r="C703" s="31" t="s">
        <v>291</v>
      </c>
      <c r="D703" s="31" t="s">
        <v>292</v>
      </c>
      <c r="E703" s="31" t="s">
        <v>31</v>
      </c>
      <c r="F703" s="31" t="s">
        <v>44</v>
      </c>
      <c r="G703" s="31" t="s">
        <v>160</v>
      </c>
      <c r="H703" s="31" t="s">
        <v>46</v>
      </c>
      <c r="I703" s="31" t="s">
        <v>62</v>
      </c>
      <c r="J703" s="31" t="s">
        <v>263</v>
      </c>
    </row>
    <row r="704" spans="1:12" ht="24.75" customHeight="1">
      <c r="A704" s="31" t="s">
        <v>181</v>
      </c>
      <c r="B704" s="31">
        <v>95</v>
      </c>
      <c r="C704" s="31" t="s">
        <v>293</v>
      </c>
      <c r="D704" s="31" t="s">
        <v>294</v>
      </c>
      <c r="E704" s="31" t="s">
        <v>99</v>
      </c>
      <c r="F704" s="31" t="s">
        <v>42</v>
      </c>
      <c r="G704" s="31" t="s">
        <v>47</v>
      </c>
      <c r="H704" s="31" t="s">
        <v>55</v>
      </c>
      <c r="I704" s="31" t="s">
        <v>91</v>
      </c>
      <c r="J704" s="31" t="s">
        <v>280</v>
      </c>
      <c r="K704" s="31" t="s">
        <v>154</v>
      </c>
      <c r="L704" s="31" t="s">
        <v>153</v>
      </c>
    </row>
    <row r="705" spans="1:12" ht="24.75" customHeight="1">
      <c r="A705" s="31" t="s">
        <v>181</v>
      </c>
      <c r="B705" s="31">
        <v>90</v>
      </c>
      <c r="C705" s="31" t="s">
        <v>295</v>
      </c>
      <c r="D705" s="31" t="s">
        <v>296</v>
      </c>
      <c r="E705" s="31" t="s">
        <v>24</v>
      </c>
      <c r="F705" s="31" t="s">
        <v>31</v>
      </c>
      <c r="G705" s="31" t="s">
        <v>34</v>
      </c>
      <c r="H705" s="31" t="s">
        <v>41</v>
      </c>
      <c r="I705" s="31" t="s">
        <v>46</v>
      </c>
      <c r="J705" s="31" t="s">
        <v>62</v>
      </c>
    </row>
    <row r="706" spans="1:12" ht="24.75" customHeight="1">
      <c r="A706" s="31" t="s">
        <v>181</v>
      </c>
      <c r="B706" s="31">
        <v>90</v>
      </c>
      <c r="C706" s="31" t="s">
        <v>297</v>
      </c>
      <c r="D706" s="31" t="s">
        <v>289</v>
      </c>
      <c r="E706" s="31" t="s">
        <v>23</v>
      </c>
      <c r="F706" s="31" t="s">
        <v>54</v>
      </c>
      <c r="G706" s="31" t="s">
        <v>56</v>
      </c>
      <c r="H706" s="31" t="s">
        <v>65</v>
      </c>
      <c r="I706" s="31" t="s">
        <v>55</v>
      </c>
      <c r="J706" s="31" t="s">
        <v>91</v>
      </c>
      <c r="K706" s="31" t="s">
        <v>61</v>
      </c>
      <c r="L706" s="31" t="s">
        <v>280</v>
      </c>
    </row>
    <row r="707" spans="1:12" ht="24.75" customHeight="1">
      <c r="A707" s="31" t="s">
        <v>180</v>
      </c>
      <c r="B707" s="31">
        <v>85</v>
      </c>
      <c r="C707" s="31" t="s">
        <v>298</v>
      </c>
      <c r="D707" s="31" t="s">
        <v>291</v>
      </c>
      <c r="E707" s="31" t="s">
        <v>50</v>
      </c>
      <c r="F707" s="31" t="s">
        <v>158</v>
      </c>
      <c r="G707" s="31" t="s">
        <v>44</v>
      </c>
      <c r="H707" s="31" t="s">
        <v>160</v>
      </c>
      <c r="I707" s="31" t="s">
        <v>41</v>
      </c>
      <c r="J707" s="31" t="s">
        <v>46</v>
      </c>
    </row>
    <row r="708" spans="1:12" ht="24.75" customHeight="1">
      <c r="A708" s="31" t="s">
        <v>180</v>
      </c>
      <c r="B708" s="31">
        <v>85</v>
      </c>
      <c r="C708" s="31" t="s">
        <v>299</v>
      </c>
      <c r="D708" s="31" t="s">
        <v>293</v>
      </c>
      <c r="E708" s="31" t="s">
        <v>36</v>
      </c>
      <c r="F708" s="31" t="s">
        <v>53</v>
      </c>
      <c r="G708" s="31" t="s">
        <v>48</v>
      </c>
      <c r="H708" s="31" t="s">
        <v>157</v>
      </c>
      <c r="I708" s="31" t="s">
        <v>87</v>
      </c>
      <c r="J708" s="31" t="s">
        <v>83</v>
      </c>
      <c r="K708" s="31" t="s">
        <v>59</v>
      </c>
      <c r="L708" s="31" t="s">
        <v>64</v>
      </c>
    </row>
    <row r="709" spans="1:12" ht="24.75" customHeight="1">
      <c r="A709" s="31" t="s">
        <v>180</v>
      </c>
      <c r="B709" s="31">
        <v>80</v>
      </c>
      <c r="C709" s="31" t="s">
        <v>300</v>
      </c>
      <c r="D709" s="31" t="s">
        <v>295</v>
      </c>
      <c r="E709" s="31" t="s">
        <v>301</v>
      </c>
      <c r="F709" s="31" t="s">
        <v>72</v>
      </c>
      <c r="G709" s="31" t="s">
        <v>37</v>
      </c>
      <c r="H709" s="31" t="s">
        <v>286</v>
      </c>
      <c r="I709" s="31" t="s">
        <v>52</v>
      </c>
      <c r="J709" s="31" t="s">
        <v>63</v>
      </c>
    </row>
    <row r="710" spans="1:12" ht="24.75" customHeight="1">
      <c r="A710" s="31" t="s">
        <v>180</v>
      </c>
      <c r="B710" s="31">
        <v>80</v>
      </c>
      <c r="C710" s="31" t="s">
        <v>302</v>
      </c>
      <c r="D710" s="31" t="s">
        <v>297</v>
      </c>
      <c r="E710" s="31" t="s">
        <v>70</v>
      </c>
      <c r="F710" s="31" t="s">
        <v>23</v>
      </c>
      <c r="G710" s="31" t="s">
        <v>99</v>
      </c>
      <c r="H710" s="31" t="s">
        <v>42</v>
      </c>
      <c r="I710" s="31" t="s">
        <v>56</v>
      </c>
      <c r="J710" s="31" t="s">
        <v>47</v>
      </c>
      <c r="K710" s="31" t="s">
        <v>87</v>
      </c>
      <c r="L710" s="31" t="s">
        <v>65</v>
      </c>
    </row>
    <row r="711" spans="1:12" ht="24.75" customHeight="1">
      <c r="A711" s="31" t="s">
        <v>179</v>
      </c>
      <c r="B711" s="31">
        <v>78</v>
      </c>
      <c r="C711" s="31" t="s">
        <v>303</v>
      </c>
      <c r="D711" s="31" t="s">
        <v>298</v>
      </c>
      <c r="E711" s="31" t="s">
        <v>304</v>
      </c>
      <c r="F711" s="31" t="s">
        <v>50</v>
      </c>
      <c r="G711" s="31" t="s">
        <v>24</v>
      </c>
      <c r="H711" s="31" t="s">
        <v>31</v>
      </c>
      <c r="I711" s="31" t="s">
        <v>44</v>
      </c>
      <c r="J711" s="31" t="s">
        <v>34</v>
      </c>
    </row>
    <row r="712" spans="1:12" ht="24.75" customHeight="1">
      <c r="A712" s="31" t="s">
        <v>179</v>
      </c>
      <c r="B712" s="31">
        <v>78</v>
      </c>
      <c r="C712" s="31" t="s">
        <v>305</v>
      </c>
      <c r="D712" s="31" t="s">
        <v>299</v>
      </c>
      <c r="E712" s="31" t="s">
        <v>75</v>
      </c>
      <c r="F712" s="31" t="s">
        <v>26</v>
      </c>
      <c r="G712" s="31" t="s">
        <v>137</v>
      </c>
      <c r="H712" s="31" t="s">
        <v>54</v>
      </c>
      <c r="I712" s="31" t="s">
        <v>42</v>
      </c>
      <c r="J712" s="31" t="s">
        <v>56</v>
      </c>
      <c r="K712" s="31" t="s">
        <v>157</v>
      </c>
      <c r="L712" s="31" t="s">
        <v>47</v>
      </c>
    </row>
    <row r="713" spans="1:12" ht="24.75" customHeight="1">
      <c r="A713" s="31" t="s">
        <v>179</v>
      </c>
      <c r="B713" s="31">
        <v>76</v>
      </c>
      <c r="C713" s="31" t="s">
        <v>306</v>
      </c>
      <c r="D713" s="31" t="s">
        <v>300</v>
      </c>
      <c r="E713" s="31" t="s">
        <v>307</v>
      </c>
      <c r="F713" s="31" t="s">
        <v>85</v>
      </c>
      <c r="G713" s="31" t="s">
        <v>145</v>
      </c>
      <c r="H713" s="31" t="s">
        <v>158</v>
      </c>
      <c r="I713" s="31" t="s">
        <v>31</v>
      </c>
      <c r="J713" s="31" t="s">
        <v>44</v>
      </c>
    </row>
    <row r="714" spans="1:12" ht="24.75" customHeight="1">
      <c r="A714" s="31" t="s">
        <v>179</v>
      </c>
      <c r="B714" s="31">
        <v>76</v>
      </c>
      <c r="C714" s="31" t="s">
        <v>308</v>
      </c>
      <c r="D714" s="31" t="s">
        <v>302</v>
      </c>
      <c r="E714" s="31" t="s">
        <v>309</v>
      </c>
      <c r="F714" s="31" t="s">
        <v>27</v>
      </c>
      <c r="G714" s="31" t="s">
        <v>23</v>
      </c>
      <c r="H714" s="31" t="s">
        <v>99</v>
      </c>
      <c r="I714" s="31" t="s">
        <v>54</v>
      </c>
      <c r="J714" s="31" t="s">
        <v>42</v>
      </c>
      <c r="K714" s="31" t="s">
        <v>288</v>
      </c>
      <c r="L714" s="31" t="s">
        <v>56</v>
      </c>
    </row>
    <row r="715" spans="1:12" ht="24.75" customHeight="1">
      <c r="A715" s="31" t="s">
        <v>179</v>
      </c>
      <c r="B715" s="31">
        <v>74</v>
      </c>
      <c r="C715" s="31" t="s">
        <v>310</v>
      </c>
      <c r="D715" s="31" t="s">
        <v>303</v>
      </c>
      <c r="E715" s="31" t="s">
        <v>311</v>
      </c>
      <c r="F715" s="31" t="s">
        <v>312</v>
      </c>
      <c r="G715" s="31" t="s">
        <v>50</v>
      </c>
      <c r="H715" s="31" t="s">
        <v>24</v>
      </c>
      <c r="I715" s="31" t="s">
        <v>158</v>
      </c>
      <c r="J715" s="31" t="s">
        <v>31</v>
      </c>
    </row>
    <row r="716" spans="1:12" ht="24.75" customHeight="1">
      <c r="A716" s="31" t="s">
        <v>179</v>
      </c>
      <c r="B716" s="31">
        <v>74</v>
      </c>
      <c r="C716" s="31" t="s">
        <v>313</v>
      </c>
      <c r="D716" s="31" t="s">
        <v>305</v>
      </c>
      <c r="E716" s="31" t="s">
        <v>45</v>
      </c>
      <c r="F716" s="31" t="s">
        <v>70</v>
      </c>
      <c r="G716" s="31" t="s">
        <v>26</v>
      </c>
      <c r="H716" s="31" t="s">
        <v>137</v>
      </c>
      <c r="I716" s="31" t="s">
        <v>99</v>
      </c>
      <c r="J716" s="31" t="s">
        <v>54</v>
      </c>
      <c r="K716" s="31" t="s">
        <v>48</v>
      </c>
      <c r="L716" s="31" t="s">
        <v>42</v>
      </c>
    </row>
    <row r="717" spans="1:12" ht="24.75" customHeight="1">
      <c r="A717" s="31" t="s">
        <v>179</v>
      </c>
      <c r="B717" s="31">
        <v>72</v>
      </c>
      <c r="C717" s="31" t="s">
        <v>314</v>
      </c>
      <c r="D717" s="31" t="s">
        <v>306</v>
      </c>
      <c r="E717" s="31" t="s">
        <v>315</v>
      </c>
      <c r="F717" s="31" t="s">
        <v>304</v>
      </c>
      <c r="G717" s="31" t="s">
        <v>85</v>
      </c>
      <c r="H717" s="31" t="s">
        <v>145</v>
      </c>
      <c r="I717" s="31" t="s">
        <v>24</v>
      </c>
      <c r="J717" s="31" t="s">
        <v>158</v>
      </c>
    </row>
    <row r="718" spans="1:12" ht="24.75" customHeight="1">
      <c r="A718" s="31" t="s">
        <v>179</v>
      </c>
      <c r="B718" s="31">
        <v>72</v>
      </c>
      <c r="C718" s="31" t="s">
        <v>257</v>
      </c>
      <c r="D718" s="31" t="s">
        <v>308</v>
      </c>
      <c r="E718" s="31" t="s">
        <v>71</v>
      </c>
      <c r="F718" s="31" t="s">
        <v>75</v>
      </c>
      <c r="G718" s="31" t="s">
        <v>27</v>
      </c>
      <c r="H718" s="31" t="s">
        <v>23</v>
      </c>
      <c r="I718" s="31" t="s">
        <v>137</v>
      </c>
      <c r="J718" s="31" t="s">
        <v>99</v>
      </c>
      <c r="K718" s="31" t="s">
        <v>60</v>
      </c>
      <c r="L718" s="31" t="s">
        <v>54</v>
      </c>
    </row>
    <row r="719" spans="1:12" ht="24.75" customHeight="1">
      <c r="A719" s="31" t="s">
        <v>179</v>
      </c>
      <c r="B719" s="31">
        <v>70</v>
      </c>
      <c r="C719" s="31" t="s">
        <v>316</v>
      </c>
      <c r="D719" s="31" t="s">
        <v>310</v>
      </c>
      <c r="E719" s="31" t="s">
        <v>98</v>
      </c>
      <c r="F719" s="31" t="s">
        <v>307</v>
      </c>
      <c r="G719" s="31" t="s">
        <v>312</v>
      </c>
      <c r="H719" s="31" t="s">
        <v>50</v>
      </c>
      <c r="I719" s="31" t="s">
        <v>145</v>
      </c>
      <c r="J719" s="31" t="s">
        <v>24</v>
      </c>
    </row>
    <row r="720" spans="1:12" ht="24.75" customHeight="1">
      <c r="A720" s="31" t="s">
        <v>179</v>
      </c>
      <c r="B720" s="31">
        <v>70</v>
      </c>
      <c r="C720" s="31" t="s">
        <v>317</v>
      </c>
      <c r="D720" s="31" t="s">
        <v>313</v>
      </c>
      <c r="E720" s="31" t="s">
        <v>318</v>
      </c>
      <c r="F720" s="31" t="s">
        <v>309</v>
      </c>
      <c r="G720" s="31" t="s">
        <v>70</v>
      </c>
      <c r="H720" s="31" t="s">
        <v>26</v>
      </c>
      <c r="I720" s="31" t="s">
        <v>23</v>
      </c>
      <c r="J720" s="31" t="s">
        <v>137</v>
      </c>
      <c r="K720" s="31" t="s">
        <v>53</v>
      </c>
      <c r="L720" s="31" t="s">
        <v>99</v>
      </c>
    </row>
    <row r="721" spans="1:12" ht="24.75" customHeight="1">
      <c r="A721" s="31" t="s">
        <v>179</v>
      </c>
      <c r="B721" s="31">
        <v>68</v>
      </c>
      <c r="C721" s="31" t="s">
        <v>319</v>
      </c>
      <c r="D721" s="31" t="s">
        <v>314</v>
      </c>
      <c r="E721" s="31" t="s">
        <v>320</v>
      </c>
      <c r="F721" s="31" t="s">
        <v>311</v>
      </c>
      <c r="G721" s="31" t="s">
        <v>304</v>
      </c>
      <c r="H721" s="31" t="s">
        <v>85</v>
      </c>
      <c r="I721" s="31" t="s">
        <v>50</v>
      </c>
      <c r="J721" s="31" t="s">
        <v>145</v>
      </c>
    </row>
    <row r="722" spans="1:12" ht="24.75" customHeight="1">
      <c r="A722" s="31" t="s">
        <v>179</v>
      </c>
      <c r="B722" s="31">
        <v>68</v>
      </c>
      <c r="C722" s="31" t="s">
        <v>321</v>
      </c>
      <c r="D722" s="31" t="s">
        <v>257</v>
      </c>
      <c r="E722" s="31" t="s">
        <v>67</v>
      </c>
      <c r="F722" s="31" t="s">
        <v>45</v>
      </c>
      <c r="G722" s="31" t="s">
        <v>75</v>
      </c>
      <c r="H722" s="31" t="s">
        <v>27</v>
      </c>
      <c r="I722" s="31" t="s">
        <v>26</v>
      </c>
      <c r="J722" s="31" t="s">
        <v>23</v>
      </c>
      <c r="K722" s="31" t="s">
        <v>38</v>
      </c>
      <c r="L722" s="31" t="s">
        <v>137</v>
      </c>
    </row>
    <row r="723" spans="1:12" ht="24.75" customHeight="1">
      <c r="A723" s="31" t="s">
        <v>179</v>
      </c>
      <c r="B723" s="31">
        <v>66</v>
      </c>
      <c r="C723" s="31" t="s">
        <v>322</v>
      </c>
      <c r="D723" s="31" t="s">
        <v>316</v>
      </c>
      <c r="E723" s="31" t="s">
        <v>323</v>
      </c>
      <c r="F723" s="31" t="s">
        <v>315</v>
      </c>
      <c r="G723" s="31" t="s">
        <v>307</v>
      </c>
      <c r="H723" s="31" t="s">
        <v>312</v>
      </c>
      <c r="I723" s="31" t="s">
        <v>324</v>
      </c>
      <c r="J723" s="31" t="s">
        <v>50</v>
      </c>
    </row>
    <row r="724" spans="1:12" ht="24.75" customHeight="1">
      <c r="A724" s="31" t="s">
        <v>179</v>
      </c>
      <c r="B724" s="31">
        <v>66</v>
      </c>
      <c r="C724" s="31" t="s">
        <v>325</v>
      </c>
      <c r="D724" s="31" t="s">
        <v>317</v>
      </c>
      <c r="E724" s="31" t="s">
        <v>326</v>
      </c>
      <c r="F724" s="31" t="s">
        <v>71</v>
      </c>
      <c r="G724" s="31" t="s">
        <v>309</v>
      </c>
      <c r="H724" s="31" t="s">
        <v>70</v>
      </c>
      <c r="I724" s="31" t="s">
        <v>27</v>
      </c>
      <c r="J724" s="31" t="s">
        <v>26</v>
      </c>
      <c r="K724" s="31" t="s">
        <v>327</v>
      </c>
      <c r="L724" s="31" t="s">
        <v>23</v>
      </c>
    </row>
    <row r="725" spans="1:12" ht="24.75" customHeight="1">
      <c r="A725" s="31" t="s">
        <v>179</v>
      </c>
      <c r="B725" s="31">
        <v>64</v>
      </c>
      <c r="C725" s="31" t="s">
        <v>328</v>
      </c>
      <c r="D725" s="31" t="s">
        <v>319</v>
      </c>
      <c r="E725" s="31" t="s">
        <v>329</v>
      </c>
      <c r="F725" s="31" t="s">
        <v>98</v>
      </c>
      <c r="G725" s="31" t="s">
        <v>311</v>
      </c>
      <c r="H725" s="31" t="s">
        <v>304</v>
      </c>
      <c r="I725" s="31" t="s">
        <v>312</v>
      </c>
      <c r="J725" s="31" t="s">
        <v>85</v>
      </c>
    </row>
    <row r="726" spans="1:12" ht="24.75" customHeight="1">
      <c r="A726" s="31" t="s">
        <v>179</v>
      </c>
      <c r="B726" s="31">
        <v>64</v>
      </c>
      <c r="C726" s="31" t="s">
        <v>330</v>
      </c>
      <c r="D726" s="31" t="s">
        <v>321</v>
      </c>
      <c r="E726" s="31" t="s">
        <v>331</v>
      </c>
      <c r="F726" s="31" t="s">
        <v>318</v>
      </c>
      <c r="G726" s="31" t="s">
        <v>45</v>
      </c>
      <c r="H726" s="31" t="s">
        <v>75</v>
      </c>
      <c r="I726" s="31" t="s">
        <v>70</v>
      </c>
      <c r="J726" s="31" t="s">
        <v>27</v>
      </c>
      <c r="K726" s="31" t="s">
        <v>36</v>
      </c>
      <c r="L726" s="31" t="s">
        <v>26</v>
      </c>
    </row>
    <row r="727" spans="1:12" ht="24.75" customHeight="1">
      <c r="A727" s="31" t="s">
        <v>179</v>
      </c>
      <c r="B727" s="31">
        <v>62</v>
      </c>
      <c r="C727" s="31" t="s">
        <v>332</v>
      </c>
      <c r="D727" s="31" t="s">
        <v>322</v>
      </c>
      <c r="E727" s="31" t="s">
        <v>333</v>
      </c>
      <c r="F727" s="31" t="s">
        <v>320</v>
      </c>
      <c r="G727" s="31" t="s">
        <v>315</v>
      </c>
      <c r="H727" s="31" t="s">
        <v>307</v>
      </c>
      <c r="I727" s="31" t="s">
        <v>304</v>
      </c>
      <c r="J727" s="31" t="s">
        <v>312</v>
      </c>
    </row>
    <row r="728" spans="1:12" ht="24.75" customHeight="1">
      <c r="A728" s="31" t="s">
        <v>179</v>
      </c>
      <c r="B728" s="31">
        <v>62</v>
      </c>
      <c r="C728" s="31" t="s">
        <v>334</v>
      </c>
      <c r="D728" s="31" t="s">
        <v>325</v>
      </c>
      <c r="E728" s="31" t="s">
        <v>335</v>
      </c>
      <c r="F728" s="31" t="s">
        <v>67</v>
      </c>
      <c r="G728" s="31" t="s">
        <v>71</v>
      </c>
      <c r="H728" s="31" t="s">
        <v>309</v>
      </c>
      <c r="I728" s="31" t="s">
        <v>75</v>
      </c>
      <c r="J728" s="31" t="s">
        <v>70</v>
      </c>
      <c r="K728" s="31" t="s">
        <v>77</v>
      </c>
      <c r="L728" s="31" t="s">
        <v>27</v>
      </c>
    </row>
    <row r="729" spans="1:12" ht="24.75" customHeight="1">
      <c r="A729" s="31" t="s">
        <v>179</v>
      </c>
      <c r="B729" s="31">
        <v>60</v>
      </c>
      <c r="C729" s="31" t="s">
        <v>336</v>
      </c>
      <c r="D729" s="31" t="s">
        <v>328</v>
      </c>
      <c r="E729" s="31" t="s">
        <v>337</v>
      </c>
      <c r="F729" s="31" t="s">
        <v>323</v>
      </c>
      <c r="G729" s="31" t="s">
        <v>98</v>
      </c>
      <c r="H729" s="31" t="s">
        <v>311</v>
      </c>
      <c r="I729" s="31" t="s">
        <v>307</v>
      </c>
      <c r="J729" s="31" t="s">
        <v>304</v>
      </c>
    </row>
    <row r="730" spans="1:12" ht="24.75" customHeight="1">
      <c r="A730" s="31" t="s">
        <v>179</v>
      </c>
      <c r="B730" s="31">
        <v>60</v>
      </c>
      <c r="C730" s="31" t="s">
        <v>338</v>
      </c>
      <c r="D730" s="31" t="s">
        <v>330</v>
      </c>
      <c r="E730" s="31" t="s">
        <v>339</v>
      </c>
      <c r="F730" s="31" t="s">
        <v>326</v>
      </c>
      <c r="G730" s="31" t="s">
        <v>318</v>
      </c>
      <c r="H730" s="31" t="s">
        <v>45</v>
      </c>
      <c r="I730" s="31" t="s">
        <v>309</v>
      </c>
      <c r="J730" s="31" t="s">
        <v>75</v>
      </c>
      <c r="K730" s="31" t="s">
        <v>97</v>
      </c>
      <c r="L730" s="31" t="s">
        <v>70</v>
      </c>
    </row>
    <row r="731" spans="1:12" ht="24.75" customHeight="1">
      <c r="A731" s="31" t="s">
        <v>178</v>
      </c>
      <c r="B731" s="31">
        <v>50</v>
      </c>
      <c r="C731" s="31" t="s">
        <v>340</v>
      </c>
      <c r="D731" s="31" t="s">
        <v>332</v>
      </c>
      <c r="E731" s="31" t="s">
        <v>341</v>
      </c>
      <c r="F731" s="31" t="s">
        <v>329</v>
      </c>
      <c r="G731" s="31" t="s">
        <v>320</v>
      </c>
      <c r="H731" s="31" t="s">
        <v>315</v>
      </c>
      <c r="I731" s="31" t="s">
        <v>311</v>
      </c>
      <c r="J731" s="31" t="s">
        <v>307</v>
      </c>
    </row>
    <row r="732" spans="1:12" ht="24.75" customHeight="1">
      <c r="A732" s="31" t="s">
        <v>178</v>
      </c>
      <c r="B732" s="31">
        <v>50</v>
      </c>
      <c r="C732" s="31" t="s">
        <v>342</v>
      </c>
      <c r="D732" s="31" t="s">
        <v>336</v>
      </c>
      <c r="E732" s="31" t="s">
        <v>343</v>
      </c>
      <c r="F732" s="31" t="s">
        <v>344</v>
      </c>
      <c r="G732" s="31" t="s">
        <v>335</v>
      </c>
      <c r="H732" s="31" t="s">
        <v>326</v>
      </c>
      <c r="I732" s="31" t="s">
        <v>67</v>
      </c>
      <c r="J732" s="31" t="s">
        <v>318</v>
      </c>
      <c r="K732" s="31" t="s">
        <v>345</v>
      </c>
      <c r="L732" s="31" t="s">
        <v>71</v>
      </c>
    </row>
    <row r="733" spans="1:12" ht="24.75" customHeight="1">
      <c r="A733" s="31" t="s">
        <v>178</v>
      </c>
      <c r="B733" s="31">
        <v>40</v>
      </c>
      <c r="C733" s="31" t="s">
        <v>346</v>
      </c>
      <c r="D733" s="31" t="s">
        <v>347</v>
      </c>
      <c r="E733" s="31" t="s">
        <v>348</v>
      </c>
      <c r="F733" s="31" t="s">
        <v>349</v>
      </c>
      <c r="G733" s="31" t="s">
        <v>337</v>
      </c>
      <c r="H733" s="31" t="s">
        <v>329</v>
      </c>
      <c r="I733" s="31" t="s">
        <v>323</v>
      </c>
      <c r="J733" s="31" t="s">
        <v>320</v>
      </c>
    </row>
    <row r="734" spans="1:12" ht="24.75" customHeight="1">
      <c r="A734" s="31" t="s">
        <v>178</v>
      </c>
      <c r="B734" s="31">
        <v>40</v>
      </c>
      <c r="C734" s="31" t="s">
        <v>350</v>
      </c>
      <c r="D734" s="31" t="s">
        <v>351</v>
      </c>
      <c r="E734" s="31" t="s">
        <v>352</v>
      </c>
      <c r="F734" s="31" t="s">
        <v>353</v>
      </c>
      <c r="G734" s="31" t="s">
        <v>354</v>
      </c>
      <c r="H734" s="31" t="s">
        <v>344</v>
      </c>
      <c r="I734" s="31" t="s">
        <v>339</v>
      </c>
      <c r="J734" s="31" t="s">
        <v>335</v>
      </c>
      <c r="K734" s="31" t="s">
        <v>355</v>
      </c>
      <c r="L734" s="31" t="s">
        <v>331</v>
      </c>
    </row>
    <row r="735" spans="1:12" ht="24.75" customHeight="1">
      <c r="A735" s="31" t="s">
        <v>178</v>
      </c>
      <c r="B735" s="31">
        <v>30</v>
      </c>
      <c r="C735" s="31" t="s">
        <v>356</v>
      </c>
      <c r="D735" s="31" t="s">
        <v>346</v>
      </c>
      <c r="E735" s="31" t="s">
        <v>357</v>
      </c>
      <c r="F735" s="31" t="s">
        <v>358</v>
      </c>
      <c r="G735" s="31" t="s">
        <v>359</v>
      </c>
      <c r="H735" s="31" t="s">
        <v>360</v>
      </c>
      <c r="I735" s="31" t="s">
        <v>341</v>
      </c>
      <c r="J735" s="31" t="s">
        <v>337</v>
      </c>
    </row>
    <row r="736" spans="1:12" ht="24.75" customHeight="1">
      <c r="A736" s="31" t="s">
        <v>178</v>
      </c>
      <c r="B736" s="31">
        <v>30</v>
      </c>
      <c r="C736" s="31" t="s">
        <v>361</v>
      </c>
      <c r="D736" s="31" t="s">
        <v>362</v>
      </c>
      <c r="E736" s="31" t="s">
        <v>363</v>
      </c>
      <c r="F736" s="31" t="s">
        <v>364</v>
      </c>
      <c r="G736" s="31" t="s">
        <v>365</v>
      </c>
      <c r="H736" s="31" t="s">
        <v>353</v>
      </c>
      <c r="I736" s="31" t="s">
        <v>343</v>
      </c>
      <c r="J736" s="31" t="s">
        <v>354</v>
      </c>
      <c r="K736" s="31" t="s">
        <v>366</v>
      </c>
      <c r="L736" s="31" t="s">
        <v>367</v>
      </c>
    </row>
    <row r="737" spans="1:12" ht="24.75" customHeight="1">
      <c r="A737" s="31" t="s">
        <v>178</v>
      </c>
      <c r="B737" s="31">
        <v>20</v>
      </c>
      <c r="C737" s="31" t="s">
        <v>368</v>
      </c>
      <c r="D737" s="31" t="s">
        <v>369</v>
      </c>
      <c r="E737" s="31" t="s">
        <v>370</v>
      </c>
      <c r="F737" s="31" t="s">
        <v>371</v>
      </c>
      <c r="G737" s="31" t="s">
        <v>372</v>
      </c>
      <c r="H737" s="31" t="s">
        <v>358</v>
      </c>
      <c r="I737" s="31" t="s">
        <v>348</v>
      </c>
      <c r="J737" s="31" t="s">
        <v>359</v>
      </c>
    </row>
    <row r="738" spans="1:12" ht="24.75" customHeight="1">
      <c r="A738" s="31" t="s">
        <v>178</v>
      </c>
      <c r="B738" s="31">
        <v>20</v>
      </c>
      <c r="C738" s="31" t="s">
        <v>373</v>
      </c>
      <c r="D738" s="31" t="s">
        <v>374</v>
      </c>
      <c r="E738" s="31" t="s">
        <v>375</v>
      </c>
      <c r="F738" s="31" t="s">
        <v>376</v>
      </c>
      <c r="G738" s="31" t="s">
        <v>377</v>
      </c>
      <c r="H738" s="31" t="s">
        <v>364</v>
      </c>
      <c r="I738" s="31" t="s">
        <v>352</v>
      </c>
      <c r="J738" s="31" t="s">
        <v>365</v>
      </c>
      <c r="K738" s="31" t="s">
        <v>378</v>
      </c>
      <c r="L738" s="31" t="s">
        <v>379</v>
      </c>
    </row>
    <row r="739" spans="1:12" ht="24.75" customHeight="1">
      <c r="A739" s="31" t="s">
        <v>178</v>
      </c>
      <c r="B739" s="31">
        <v>10</v>
      </c>
      <c r="C739" s="31" t="s">
        <v>380</v>
      </c>
      <c r="D739" s="31" t="s">
        <v>381</v>
      </c>
      <c r="E739" s="31" t="s">
        <v>382</v>
      </c>
      <c r="F739" s="31" t="s">
        <v>360</v>
      </c>
      <c r="G739" s="31" t="s">
        <v>383</v>
      </c>
      <c r="H739" s="31" t="s">
        <v>371</v>
      </c>
      <c r="I739" s="31" t="s">
        <v>357</v>
      </c>
      <c r="J739" s="31" t="s">
        <v>372</v>
      </c>
    </row>
    <row r="740" spans="1:12" ht="24.75" customHeight="1">
      <c r="A740" s="31" t="s">
        <v>178</v>
      </c>
      <c r="B740" s="31">
        <v>10</v>
      </c>
      <c r="C740" s="31" t="s">
        <v>384</v>
      </c>
      <c r="D740" s="31" t="s">
        <v>385</v>
      </c>
      <c r="E740" s="31" t="s">
        <v>386</v>
      </c>
      <c r="F740" s="31" t="s">
        <v>387</v>
      </c>
      <c r="G740" s="31" t="s">
        <v>388</v>
      </c>
      <c r="H740" s="31" t="s">
        <v>376</v>
      </c>
      <c r="I740" s="31" t="s">
        <v>363</v>
      </c>
      <c r="J740" s="31" t="s">
        <v>377</v>
      </c>
      <c r="K740" s="31" t="s">
        <v>389</v>
      </c>
      <c r="L740" s="31" t="s">
        <v>390</v>
      </c>
    </row>
    <row r="741" spans="1:12" ht="24.75" customHeight="1">
      <c r="A741" s="31" t="s">
        <v>178</v>
      </c>
      <c r="B741" s="31">
        <v>0</v>
      </c>
      <c r="C741" s="31" t="s">
        <v>391</v>
      </c>
      <c r="D741" s="31" t="s">
        <v>392</v>
      </c>
      <c r="E741" s="31" t="s">
        <v>393</v>
      </c>
      <c r="F741" s="31" t="s">
        <v>394</v>
      </c>
      <c r="G741" s="31" t="s">
        <v>395</v>
      </c>
      <c r="H741" s="31" t="s">
        <v>383</v>
      </c>
      <c r="I741" s="31" t="s">
        <v>370</v>
      </c>
      <c r="J741" s="31" t="s">
        <v>383</v>
      </c>
    </row>
    <row r="742" spans="1:12" ht="24.75" customHeight="1">
      <c r="A742" s="31" t="s">
        <v>178</v>
      </c>
      <c r="B742" s="31">
        <v>0</v>
      </c>
      <c r="C742" s="31" t="s">
        <v>54</v>
      </c>
      <c r="D742" s="31" t="s">
        <v>54</v>
      </c>
      <c r="E742" s="31" t="s">
        <v>396</v>
      </c>
      <c r="F742" s="31" t="s">
        <v>396</v>
      </c>
      <c r="G742" s="31" t="s">
        <v>396</v>
      </c>
      <c r="H742" s="31" t="s">
        <v>396</v>
      </c>
      <c r="I742" s="31" t="s">
        <v>396</v>
      </c>
      <c r="J742" s="31" t="s">
        <v>396</v>
      </c>
    </row>
    <row r="743" spans="1:12" ht="24.75" customHeight="1">
      <c r="A743" s="31" t="s">
        <v>397</v>
      </c>
    </row>
    <row r="744" spans="1:12" ht="24.75" customHeight="1">
      <c r="A744" s="31" t="s">
        <v>398</v>
      </c>
    </row>
    <row r="745" spans="1:12" ht="24.75" customHeight="1">
      <c r="A745" s="35" t="s">
        <v>163</v>
      </c>
      <c r="B745" s="31" t="s">
        <v>164</v>
      </c>
      <c r="C745" s="35" t="s">
        <v>169</v>
      </c>
      <c r="D745" s="35" t="s">
        <v>170</v>
      </c>
      <c r="E745" s="35" t="s">
        <v>171</v>
      </c>
      <c r="F745" s="35" t="s">
        <v>172</v>
      </c>
      <c r="G745" s="35" t="s">
        <v>173</v>
      </c>
      <c r="H745" s="35" t="s">
        <v>174</v>
      </c>
      <c r="I745" s="35" t="s">
        <v>175</v>
      </c>
      <c r="J745" s="35" t="s">
        <v>176</v>
      </c>
      <c r="K745" s="31" t="s">
        <v>240</v>
      </c>
      <c r="L745" s="31" t="s">
        <v>241</v>
      </c>
    </row>
    <row r="746" spans="1:12" ht="24.75" customHeight="1">
      <c r="A746" s="35"/>
      <c r="B746" s="31" t="s">
        <v>177</v>
      </c>
      <c r="C746" s="35"/>
      <c r="D746" s="35"/>
      <c r="E746" s="35"/>
      <c r="F746" s="35"/>
      <c r="G746" s="35"/>
      <c r="H746" s="35"/>
      <c r="I746" s="35"/>
      <c r="J746" s="35"/>
      <c r="K746" s="31" t="s">
        <v>242</v>
      </c>
      <c r="L746" s="31" t="s">
        <v>243</v>
      </c>
    </row>
    <row r="747" spans="1:12" ht="24.75" customHeight="1">
      <c r="A747" s="31" t="s">
        <v>181</v>
      </c>
      <c r="B747" s="31">
        <v>150</v>
      </c>
      <c r="E747" s="31" t="s">
        <v>257</v>
      </c>
      <c r="F747" s="31" t="s">
        <v>257</v>
      </c>
      <c r="G747" s="31" t="s">
        <v>257</v>
      </c>
      <c r="H747" s="31" t="s">
        <v>257</v>
      </c>
      <c r="I747" s="31" t="s">
        <v>257</v>
      </c>
      <c r="J747" s="31" t="s">
        <v>257</v>
      </c>
    </row>
    <row r="748" spans="1:12" ht="24.75" customHeight="1">
      <c r="A748" s="31" t="s">
        <v>181</v>
      </c>
      <c r="B748" s="31">
        <v>150</v>
      </c>
      <c r="E748" s="31" t="s">
        <v>262</v>
      </c>
      <c r="F748" s="31" t="s">
        <v>399</v>
      </c>
      <c r="G748" s="31" t="s">
        <v>380</v>
      </c>
      <c r="H748" s="31" t="s">
        <v>373</v>
      </c>
      <c r="I748" s="31" t="s">
        <v>385</v>
      </c>
      <c r="J748" s="31" t="s">
        <v>361</v>
      </c>
    </row>
    <row r="749" spans="1:12" ht="24.75" customHeight="1">
      <c r="A749" s="31" t="s">
        <v>181</v>
      </c>
      <c r="B749" s="31">
        <v>145</v>
      </c>
      <c r="E749" s="31" t="s">
        <v>268</v>
      </c>
      <c r="F749" s="31" t="s">
        <v>400</v>
      </c>
      <c r="G749" s="31" t="s">
        <v>401</v>
      </c>
      <c r="H749" s="31" t="s">
        <v>380</v>
      </c>
      <c r="I749" s="31" t="s">
        <v>392</v>
      </c>
      <c r="J749" s="31" t="s">
        <v>368</v>
      </c>
    </row>
    <row r="750" spans="1:12" ht="24.75" customHeight="1">
      <c r="A750" s="31" t="s">
        <v>181</v>
      </c>
      <c r="B750" s="31">
        <v>145</v>
      </c>
      <c r="E750" s="31" t="s">
        <v>261</v>
      </c>
      <c r="F750" s="31" t="s">
        <v>262</v>
      </c>
      <c r="G750" s="31" t="s">
        <v>399</v>
      </c>
      <c r="H750" s="31" t="s">
        <v>391</v>
      </c>
      <c r="I750" s="31" t="s">
        <v>402</v>
      </c>
      <c r="J750" s="31" t="s">
        <v>380</v>
      </c>
    </row>
    <row r="751" spans="1:12" ht="24.75" customHeight="1">
      <c r="A751" s="31" t="s">
        <v>181</v>
      </c>
      <c r="B751" s="31">
        <v>140</v>
      </c>
      <c r="E751" s="31" t="s">
        <v>267</v>
      </c>
      <c r="F751" s="31" t="s">
        <v>268</v>
      </c>
      <c r="G751" s="31" t="s">
        <v>400</v>
      </c>
      <c r="H751" s="31" t="s">
        <v>399</v>
      </c>
      <c r="I751" s="31" t="s">
        <v>384</v>
      </c>
      <c r="J751" s="31" t="s">
        <v>401</v>
      </c>
    </row>
    <row r="752" spans="1:12" ht="24.75" customHeight="1">
      <c r="A752" s="31" t="s">
        <v>181</v>
      </c>
      <c r="B752" s="31">
        <v>140</v>
      </c>
      <c r="E752" s="31" t="s">
        <v>260</v>
      </c>
      <c r="F752" s="31" t="s">
        <v>261</v>
      </c>
      <c r="G752" s="31" t="s">
        <v>262</v>
      </c>
      <c r="H752" s="31" t="s">
        <v>403</v>
      </c>
      <c r="I752" s="31" t="s">
        <v>404</v>
      </c>
      <c r="J752" s="31" t="s">
        <v>399</v>
      </c>
    </row>
    <row r="753" spans="1:12" ht="24.75" customHeight="1">
      <c r="A753" s="31" t="s">
        <v>181</v>
      </c>
      <c r="B753" s="31">
        <v>135</v>
      </c>
      <c r="E753" s="31" t="s">
        <v>266</v>
      </c>
      <c r="F753" s="31" t="s">
        <v>267</v>
      </c>
      <c r="G753" s="31" t="s">
        <v>268</v>
      </c>
      <c r="H753" s="31" t="s">
        <v>262</v>
      </c>
      <c r="I753" s="31" t="s">
        <v>405</v>
      </c>
      <c r="J753" s="31" t="s">
        <v>400</v>
      </c>
    </row>
    <row r="754" spans="1:12" ht="24.75" customHeight="1">
      <c r="A754" s="31" t="s">
        <v>181</v>
      </c>
      <c r="B754" s="31">
        <v>135</v>
      </c>
      <c r="E754" s="31" t="s">
        <v>281</v>
      </c>
      <c r="F754" s="31" t="s">
        <v>260</v>
      </c>
      <c r="G754" s="31" t="s">
        <v>261</v>
      </c>
      <c r="H754" s="31" t="s">
        <v>274</v>
      </c>
      <c r="I754" s="31" t="s">
        <v>406</v>
      </c>
      <c r="J754" s="31" t="s">
        <v>262</v>
      </c>
    </row>
    <row r="755" spans="1:12" ht="24.75" customHeight="1">
      <c r="A755" s="31" t="s">
        <v>181</v>
      </c>
      <c r="B755" s="31">
        <v>130</v>
      </c>
      <c r="E755" s="31" t="s">
        <v>276</v>
      </c>
      <c r="F755" s="31" t="s">
        <v>266</v>
      </c>
      <c r="G755" s="31" t="s">
        <v>267</v>
      </c>
      <c r="H755" s="31" t="s">
        <v>261</v>
      </c>
      <c r="I755" s="31" t="s">
        <v>271</v>
      </c>
      <c r="J755" s="31" t="s">
        <v>268</v>
      </c>
    </row>
    <row r="756" spans="1:12" ht="24.75" customHeight="1">
      <c r="A756" s="31" t="s">
        <v>181</v>
      </c>
      <c r="B756" s="31">
        <v>130</v>
      </c>
      <c r="E756" s="31" t="s">
        <v>259</v>
      </c>
      <c r="F756" s="31" t="s">
        <v>281</v>
      </c>
      <c r="G756" s="31" t="s">
        <v>260</v>
      </c>
      <c r="H756" s="31" t="s">
        <v>273</v>
      </c>
      <c r="I756" s="31" t="s">
        <v>279</v>
      </c>
      <c r="J756" s="31" t="s">
        <v>261</v>
      </c>
    </row>
    <row r="757" spans="1:12" ht="24.75" customHeight="1">
      <c r="A757" s="31" t="s">
        <v>181</v>
      </c>
      <c r="B757" s="31">
        <v>125</v>
      </c>
      <c r="E757" s="31" t="s">
        <v>265</v>
      </c>
      <c r="F757" s="31" t="s">
        <v>276</v>
      </c>
      <c r="G757" s="31" t="s">
        <v>266</v>
      </c>
      <c r="H757" s="31" t="s">
        <v>260</v>
      </c>
      <c r="I757" s="31" t="s">
        <v>270</v>
      </c>
      <c r="J757" s="31" t="s">
        <v>267</v>
      </c>
    </row>
    <row r="758" spans="1:12" ht="24.75" customHeight="1">
      <c r="A758" s="31" t="s">
        <v>181</v>
      </c>
      <c r="B758" s="31">
        <v>125</v>
      </c>
      <c r="E758" s="31" t="s">
        <v>94</v>
      </c>
      <c r="F758" s="31" t="s">
        <v>259</v>
      </c>
      <c r="G758" s="31" t="s">
        <v>281</v>
      </c>
      <c r="H758" s="31" t="s">
        <v>272</v>
      </c>
      <c r="I758" s="31" t="s">
        <v>278</v>
      </c>
      <c r="J758" s="31" t="s">
        <v>260</v>
      </c>
    </row>
    <row r="759" spans="1:12" ht="24.75" customHeight="1">
      <c r="A759" s="31" t="s">
        <v>181</v>
      </c>
      <c r="B759" s="31">
        <v>120</v>
      </c>
      <c r="E759" s="31" t="s">
        <v>275</v>
      </c>
      <c r="F759" s="31" t="s">
        <v>265</v>
      </c>
      <c r="G759" s="31" t="s">
        <v>276</v>
      </c>
      <c r="H759" s="31" t="s">
        <v>281</v>
      </c>
      <c r="I759" s="31" t="s">
        <v>269</v>
      </c>
      <c r="J759" s="31" t="s">
        <v>266</v>
      </c>
    </row>
    <row r="760" spans="1:12" ht="24.75" customHeight="1">
      <c r="A760" s="31" t="s">
        <v>181</v>
      </c>
      <c r="B760" s="31">
        <v>120</v>
      </c>
      <c r="E760" s="31" t="s">
        <v>258</v>
      </c>
      <c r="F760" s="31" t="s">
        <v>94</v>
      </c>
      <c r="G760" s="31" t="s">
        <v>259</v>
      </c>
      <c r="H760" s="31" t="s">
        <v>156</v>
      </c>
      <c r="I760" s="31" t="s">
        <v>277</v>
      </c>
      <c r="J760" s="31" t="s">
        <v>281</v>
      </c>
    </row>
    <row r="761" spans="1:12" ht="24.75" customHeight="1">
      <c r="A761" s="31" t="s">
        <v>181</v>
      </c>
      <c r="B761" s="31">
        <v>115</v>
      </c>
      <c r="E761" s="31" t="s">
        <v>264</v>
      </c>
      <c r="F761" s="31" t="s">
        <v>275</v>
      </c>
      <c r="G761" s="31" t="s">
        <v>265</v>
      </c>
      <c r="H761" s="31" t="s">
        <v>259</v>
      </c>
      <c r="I761" s="31" t="s">
        <v>283</v>
      </c>
      <c r="J761" s="31" t="s">
        <v>276</v>
      </c>
    </row>
    <row r="762" spans="1:12" ht="24.75" customHeight="1">
      <c r="A762" s="31" t="s">
        <v>181</v>
      </c>
      <c r="B762" s="31">
        <v>115</v>
      </c>
      <c r="E762" s="31" t="s">
        <v>153</v>
      </c>
      <c r="F762" s="31" t="s">
        <v>258</v>
      </c>
      <c r="G762" s="31" t="s">
        <v>94</v>
      </c>
      <c r="H762" s="31" t="s">
        <v>100</v>
      </c>
      <c r="I762" s="31" t="s">
        <v>282</v>
      </c>
      <c r="J762" s="31" t="s">
        <v>259</v>
      </c>
    </row>
    <row r="763" spans="1:12" ht="24.75" customHeight="1">
      <c r="A763" s="31" t="s">
        <v>181</v>
      </c>
      <c r="B763" s="31">
        <v>110</v>
      </c>
      <c r="E763" s="31" t="s">
        <v>407</v>
      </c>
      <c r="F763" s="31" t="s">
        <v>264</v>
      </c>
      <c r="G763" s="31" t="s">
        <v>275</v>
      </c>
      <c r="H763" s="31" t="s">
        <v>94</v>
      </c>
      <c r="I763" s="31" t="s">
        <v>88</v>
      </c>
      <c r="J763" s="31" t="s">
        <v>265</v>
      </c>
    </row>
    <row r="764" spans="1:12" ht="24.75" customHeight="1">
      <c r="A764" s="31" t="s">
        <v>181</v>
      </c>
      <c r="B764" s="31">
        <v>110</v>
      </c>
      <c r="E764" s="31" t="s">
        <v>280</v>
      </c>
      <c r="F764" s="31" t="s">
        <v>153</v>
      </c>
      <c r="G764" s="31" t="s">
        <v>258</v>
      </c>
      <c r="H764" s="31" t="s">
        <v>161</v>
      </c>
      <c r="I764" s="31" t="s">
        <v>89</v>
      </c>
      <c r="J764" s="31" t="s">
        <v>94</v>
      </c>
    </row>
    <row r="765" spans="1:12" ht="24.75" customHeight="1">
      <c r="A765" s="31" t="s">
        <v>181</v>
      </c>
      <c r="B765" s="31">
        <v>105</v>
      </c>
      <c r="E765" s="31" t="s">
        <v>62</v>
      </c>
      <c r="F765" s="31" t="s">
        <v>263</v>
      </c>
      <c r="G765" s="31" t="s">
        <v>408</v>
      </c>
      <c r="H765" s="31" t="s">
        <v>258</v>
      </c>
      <c r="I765" s="31" t="s">
        <v>285</v>
      </c>
      <c r="J765" s="31" t="s">
        <v>275</v>
      </c>
    </row>
    <row r="766" spans="1:12" ht="24.75" customHeight="1">
      <c r="A766" s="31" t="s">
        <v>181</v>
      </c>
      <c r="B766" s="31">
        <v>105</v>
      </c>
      <c r="E766" s="31" t="s">
        <v>91</v>
      </c>
      <c r="F766" s="31" t="s">
        <v>280</v>
      </c>
      <c r="G766" s="31" t="s">
        <v>153</v>
      </c>
      <c r="H766" s="31" t="s">
        <v>152</v>
      </c>
      <c r="I766" s="31" t="s">
        <v>151</v>
      </c>
      <c r="J766" s="31" t="s">
        <v>258</v>
      </c>
    </row>
    <row r="767" spans="1:12" ht="24.75" customHeight="1">
      <c r="A767" s="31" t="s">
        <v>181</v>
      </c>
      <c r="B767" s="31">
        <v>100</v>
      </c>
      <c r="C767" s="31" t="s">
        <v>409</v>
      </c>
      <c r="D767" s="31" t="s">
        <v>409</v>
      </c>
      <c r="E767" s="31" t="s">
        <v>46</v>
      </c>
      <c r="F767" s="31" t="s">
        <v>62</v>
      </c>
      <c r="G767" s="31" t="s">
        <v>263</v>
      </c>
      <c r="H767" s="31" t="s">
        <v>153</v>
      </c>
      <c r="I767" s="31" t="s">
        <v>82</v>
      </c>
      <c r="J767" s="31" t="s">
        <v>264</v>
      </c>
    </row>
    <row r="768" spans="1:12" ht="24.75" customHeight="1">
      <c r="A768" s="31" t="s">
        <v>181</v>
      </c>
      <c r="B768" s="31">
        <v>100</v>
      </c>
      <c r="C768" s="31" t="s">
        <v>410</v>
      </c>
      <c r="D768" s="31" t="s">
        <v>291</v>
      </c>
      <c r="E768" s="31" t="s">
        <v>55</v>
      </c>
      <c r="F768" s="31" t="s">
        <v>91</v>
      </c>
      <c r="G768" s="31" t="s">
        <v>280</v>
      </c>
      <c r="H768" s="31" t="s">
        <v>155</v>
      </c>
      <c r="I768" s="31" t="s">
        <v>154</v>
      </c>
      <c r="J768" s="31" t="s">
        <v>153</v>
      </c>
      <c r="K768" s="31" t="s">
        <v>82</v>
      </c>
      <c r="L768" s="31" t="s">
        <v>264</v>
      </c>
    </row>
    <row r="769" spans="1:12" ht="24.75" customHeight="1">
      <c r="A769" s="31" t="s">
        <v>181</v>
      </c>
      <c r="B769" s="31">
        <v>95</v>
      </c>
      <c r="C769" s="31" t="s">
        <v>297</v>
      </c>
      <c r="D769" s="31" t="s">
        <v>411</v>
      </c>
      <c r="E769" s="31" t="s">
        <v>41</v>
      </c>
      <c r="F769" s="31" t="s">
        <v>412</v>
      </c>
      <c r="G769" s="31" t="s">
        <v>62</v>
      </c>
      <c r="H769" s="31" t="s">
        <v>413</v>
      </c>
      <c r="I769" s="31" t="s">
        <v>81</v>
      </c>
      <c r="J769" s="31" t="s">
        <v>263</v>
      </c>
    </row>
    <row r="770" spans="1:12" ht="24.75" customHeight="1">
      <c r="A770" s="31" t="s">
        <v>181</v>
      </c>
      <c r="B770" s="31">
        <v>95</v>
      </c>
      <c r="C770" s="31" t="s">
        <v>414</v>
      </c>
      <c r="D770" s="31" t="s">
        <v>295</v>
      </c>
      <c r="E770" s="31" t="s">
        <v>87</v>
      </c>
      <c r="F770" s="31" t="s">
        <v>83</v>
      </c>
      <c r="G770" s="31" t="s">
        <v>64</v>
      </c>
      <c r="H770" s="31" t="s">
        <v>91</v>
      </c>
      <c r="I770" s="31" t="s">
        <v>101</v>
      </c>
      <c r="J770" s="31" t="s">
        <v>62</v>
      </c>
      <c r="K770" s="31" t="s">
        <v>155</v>
      </c>
      <c r="L770" s="31" t="s">
        <v>154</v>
      </c>
    </row>
    <row r="771" spans="1:12" ht="24.75" customHeight="1">
      <c r="A771" s="31" t="s">
        <v>181</v>
      </c>
      <c r="B771" s="31">
        <v>90</v>
      </c>
      <c r="C771" s="31" t="s">
        <v>299</v>
      </c>
      <c r="D771" s="31" t="s">
        <v>410</v>
      </c>
      <c r="E771" s="31" t="s">
        <v>52</v>
      </c>
      <c r="F771" s="31" t="s">
        <v>63</v>
      </c>
      <c r="G771" s="31" t="s">
        <v>73</v>
      </c>
      <c r="H771" s="31" t="s">
        <v>46</v>
      </c>
      <c r="I771" s="31" t="s">
        <v>90</v>
      </c>
      <c r="J771" s="31" t="s">
        <v>61</v>
      </c>
    </row>
    <row r="772" spans="1:12" ht="24.75" customHeight="1">
      <c r="A772" s="31" t="s">
        <v>181</v>
      </c>
      <c r="B772" s="31">
        <v>90</v>
      </c>
      <c r="C772" s="31" t="s">
        <v>415</v>
      </c>
      <c r="D772" s="31" t="s">
        <v>298</v>
      </c>
      <c r="E772" s="31" t="s">
        <v>113</v>
      </c>
      <c r="F772" s="31" t="s">
        <v>32</v>
      </c>
      <c r="G772" s="31" t="s">
        <v>159</v>
      </c>
      <c r="H772" s="31" t="s">
        <v>41</v>
      </c>
      <c r="I772" s="31" t="s">
        <v>59</v>
      </c>
      <c r="J772" s="31" t="s">
        <v>64</v>
      </c>
      <c r="K772" s="31" t="s">
        <v>91</v>
      </c>
      <c r="L772" s="31" t="s">
        <v>101</v>
      </c>
    </row>
    <row r="773" spans="1:12" ht="24.75" customHeight="1">
      <c r="A773" s="31" t="s">
        <v>180</v>
      </c>
      <c r="B773" s="31">
        <v>85</v>
      </c>
      <c r="C773" s="31" t="s">
        <v>302</v>
      </c>
      <c r="D773" s="31" t="s">
        <v>414</v>
      </c>
      <c r="E773" s="31" t="s">
        <v>56</v>
      </c>
      <c r="F773" s="31" t="s">
        <v>47</v>
      </c>
      <c r="G773" s="31" t="s">
        <v>65</v>
      </c>
      <c r="H773" s="31" t="s">
        <v>83</v>
      </c>
      <c r="I773" s="31" t="s">
        <v>55</v>
      </c>
      <c r="J773" s="31" t="s">
        <v>73</v>
      </c>
    </row>
    <row r="774" spans="1:12" ht="24.75" customHeight="1">
      <c r="A774" s="31" t="s">
        <v>180</v>
      </c>
      <c r="B774" s="31">
        <v>85</v>
      </c>
      <c r="C774" s="31" t="s">
        <v>416</v>
      </c>
      <c r="D774" s="31" t="s">
        <v>300</v>
      </c>
      <c r="E774" s="31" t="s">
        <v>48</v>
      </c>
      <c r="F774" s="31" t="s">
        <v>288</v>
      </c>
      <c r="G774" s="31" t="s">
        <v>157</v>
      </c>
      <c r="H774" s="31" t="s">
        <v>52</v>
      </c>
      <c r="I774" s="31" t="s">
        <v>160</v>
      </c>
      <c r="J774" s="31" t="s">
        <v>159</v>
      </c>
      <c r="K774" s="31" t="s">
        <v>83</v>
      </c>
      <c r="L774" s="31" t="s">
        <v>55</v>
      </c>
    </row>
    <row r="775" spans="1:12" ht="24.75" customHeight="1">
      <c r="A775" s="31" t="s">
        <v>180</v>
      </c>
      <c r="B775" s="31">
        <v>80</v>
      </c>
      <c r="C775" s="31" t="s">
        <v>305</v>
      </c>
      <c r="D775" s="31" t="s">
        <v>415</v>
      </c>
      <c r="E775" s="31" t="s">
        <v>37</v>
      </c>
      <c r="F775" s="31" t="s">
        <v>417</v>
      </c>
      <c r="G775" s="31" t="s">
        <v>286</v>
      </c>
      <c r="H775" s="31" t="s">
        <v>32</v>
      </c>
      <c r="I775" s="31" t="s">
        <v>87</v>
      </c>
      <c r="J775" s="31" t="s">
        <v>65</v>
      </c>
    </row>
    <row r="776" spans="1:12" ht="24.75" customHeight="1">
      <c r="A776" s="31" t="s">
        <v>180</v>
      </c>
      <c r="B776" s="31">
        <v>80</v>
      </c>
      <c r="C776" s="31" t="s">
        <v>418</v>
      </c>
      <c r="D776" s="31" t="s">
        <v>303</v>
      </c>
      <c r="E776" s="31" t="s">
        <v>99</v>
      </c>
      <c r="F776" s="31" t="s">
        <v>54</v>
      </c>
      <c r="G776" s="31" t="s">
        <v>42</v>
      </c>
      <c r="H776" s="31" t="s">
        <v>56</v>
      </c>
      <c r="I776" s="31" t="s">
        <v>286</v>
      </c>
      <c r="J776" s="31" t="s">
        <v>34</v>
      </c>
      <c r="K776" s="31" t="s">
        <v>32</v>
      </c>
      <c r="L776" s="31" t="s">
        <v>87</v>
      </c>
    </row>
    <row r="777" spans="1:12" ht="24.75" customHeight="1">
      <c r="A777" s="31" t="s">
        <v>179</v>
      </c>
      <c r="B777" s="31">
        <v>78</v>
      </c>
      <c r="C777" s="31" t="s">
        <v>308</v>
      </c>
      <c r="D777" s="31" t="s">
        <v>416</v>
      </c>
      <c r="E777" s="31" t="s">
        <v>24</v>
      </c>
      <c r="F777" s="31" t="s">
        <v>158</v>
      </c>
      <c r="G777" s="31" t="s">
        <v>31</v>
      </c>
      <c r="H777" s="31" t="s">
        <v>44</v>
      </c>
      <c r="I777" s="31" t="s">
        <v>113</v>
      </c>
      <c r="J777" s="31" t="s">
        <v>157</v>
      </c>
    </row>
    <row r="778" spans="1:12" ht="24.75" customHeight="1">
      <c r="A778" s="31" t="s">
        <v>179</v>
      </c>
      <c r="B778" s="31">
        <v>78</v>
      </c>
      <c r="C778" s="31" t="s">
        <v>419</v>
      </c>
      <c r="D778" s="31" t="s">
        <v>306</v>
      </c>
      <c r="E778" s="31" t="s">
        <v>137</v>
      </c>
      <c r="F778" s="31" t="s">
        <v>99</v>
      </c>
      <c r="G778" s="31" t="s">
        <v>54</v>
      </c>
      <c r="H778" s="31" t="s">
        <v>42</v>
      </c>
      <c r="I778" s="31" t="s">
        <v>417</v>
      </c>
      <c r="J778" s="31" t="s">
        <v>44</v>
      </c>
      <c r="K778" s="31" t="s">
        <v>113</v>
      </c>
      <c r="L778" s="31" t="s">
        <v>157</v>
      </c>
    </row>
    <row r="779" spans="1:12" ht="24.75" customHeight="1">
      <c r="A779" s="31" t="s">
        <v>179</v>
      </c>
      <c r="B779" s="31">
        <v>76</v>
      </c>
      <c r="C779" s="31" t="s">
        <v>313</v>
      </c>
      <c r="D779" s="31" t="s">
        <v>418</v>
      </c>
      <c r="E779" s="31" t="s">
        <v>145</v>
      </c>
      <c r="F779" s="31" t="s">
        <v>24</v>
      </c>
      <c r="G779" s="31" t="s">
        <v>158</v>
      </c>
      <c r="H779" s="31" t="s">
        <v>31</v>
      </c>
      <c r="I779" s="31" t="s">
        <v>33</v>
      </c>
      <c r="J779" s="31" t="s">
        <v>288</v>
      </c>
    </row>
    <row r="780" spans="1:12" ht="24.75" customHeight="1">
      <c r="A780" s="31" t="s">
        <v>179</v>
      </c>
      <c r="B780" s="31">
        <v>76</v>
      </c>
      <c r="C780" s="31" t="s">
        <v>420</v>
      </c>
      <c r="D780" s="31" t="s">
        <v>310</v>
      </c>
      <c r="E780" s="31" t="s">
        <v>23</v>
      </c>
      <c r="F780" s="31" t="s">
        <v>137</v>
      </c>
      <c r="G780" s="31" t="s">
        <v>99</v>
      </c>
      <c r="H780" s="31" t="s">
        <v>54</v>
      </c>
      <c r="I780" s="31" t="s">
        <v>37</v>
      </c>
      <c r="J780" s="31" t="s">
        <v>31</v>
      </c>
      <c r="K780" s="31" t="s">
        <v>33</v>
      </c>
      <c r="L780" s="31" t="s">
        <v>288</v>
      </c>
    </row>
    <row r="781" spans="1:12" ht="24.75" customHeight="1">
      <c r="A781" s="31" t="s">
        <v>179</v>
      </c>
      <c r="B781" s="31">
        <v>74</v>
      </c>
      <c r="C781" s="31" t="s">
        <v>257</v>
      </c>
      <c r="D781" s="31" t="s">
        <v>419</v>
      </c>
      <c r="E781" s="31" t="s">
        <v>50</v>
      </c>
      <c r="F781" s="31" t="s">
        <v>421</v>
      </c>
      <c r="G781" s="31" t="s">
        <v>24</v>
      </c>
      <c r="H781" s="31" t="s">
        <v>422</v>
      </c>
      <c r="I781" s="31" t="s">
        <v>35</v>
      </c>
      <c r="J781" s="31" t="s">
        <v>423</v>
      </c>
    </row>
    <row r="782" spans="1:12" ht="24.75" customHeight="1">
      <c r="A782" s="31" t="s">
        <v>179</v>
      </c>
      <c r="B782" s="31">
        <v>74</v>
      </c>
      <c r="C782" s="31" t="s">
        <v>424</v>
      </c>
      <c r="D782" s="31" t="s">
        <v>314</v>
      </c>
      <c r="E782" s="31" t="s">
        <v>26</v>
      </c>
      <c r="F782" s="31" t="s">
        <v>23</v>
      </c>
      <c r="G782" s="31" t="s">
        <v>137</v>
      </c>
      <c r="H782" s="31" t="s">
        <v>99</v>
      </c>
      <c r="I782" s="31" t="s">
        <v>68</v>
      </c>
      <c r="J782" s="31" t="s">
        <v>158</v>
      </c>
      <c r="K782" s="31" t="s">
        <v>35</v>
      </c>
      <c r="L782" s="31" t="s">
        <v>48</v>
      </c>
    </row>
    <row r="783" spans="1:12" ht="24.75" customHeight="1">
      <c r="A783" s="31" t="s">
        <v>179</v>
      </c>
      <c r="B783" s="31">
        <v>72</v>
      </c>
      <c r="C783" s="31" t="s">
        <v>317</v>
      </c>
      <c r="D783" s="31" t="s">
        <v>420</v>
      </c>
      <c r="E783" s="31" t="s">
        <v>85</v>
      </c>
      <c r="F783" s="31" t="s">
        <v>50</v>
      </c>
      <c r="G783" s="31" t="s">
        <v>145</v>
      </c>
      <c r="H783" s="31" t="s">
        <v>24</v>
      </c>
      <c r="I783" s="31" t="s">
        <v>43</v>
      </c>
      <c r="J783" s="31" t="s">
        <v>60</v>
      </c>
    </row>
    <row r="784" spans="1:12" ht="24.75" customHeight="1">
      <c r="A784" s="31" t="s">
        <v>179</v>
      </c>
      <c r="B784" s="31">
        <v>72</v>
      </c>
      <c r="C784" s="31" t="s">
        <v>425</v>
      </c>
      <c r="D784" s="31" t="s">
        <v>316</v>
      </c>
      <c r="E784" s="31" t="s">
        <v>27</v>
      </c>
      <c r="F784" s="31" t="s">
        <v>26</v>
      </c>
      <c r="G784" s="31" t="s">
        <v>23</v>
      </c>
      <c r="H784" s="31" t="s">
        <v>137</v>
      </c>
      <c r="I784" s="31" t="s">
        <v>72</v>
      </c>
      <c r="J784" s="31" t="s">
        <v>24</v>
      </c>
      <c r="K784" s="31" t="s">
        <v>43</v>
      </c>
      <c r="L784" s="31" t="s">
        <v>60</v>
      </c>
    </row>
    <row r="785" spans="1:12" ht="24.75" customHeight="1">
      <c r="A785" s="31" t="s">
        <v>179</v>
      </c>
      <c r="B785" s="31">
        <v>70</v>
      </c>
      <c r="C785" s="31" t="s">
        <v>321</v>
      </c>
      <c r="D785" s="31" t="s">
        <v>424</v>
      </c>
      <c r="E785" s="31" t="s">
        <v>312</v>
      </c>
      <c r="F785" s="31" t="s">
        <v>85</v>
      </c>
      <c r="G785" s="31" t="s">
        <v>50</v>
      </c>
      <c r="H785" s="31" t="s">
        <v>145</v>
      </c>
      <c r="I785" s="31" t="s">
        <v>39</v>
      </c>
      <c r="J785" s="31" t="s">
        <v>53</v>
      </c>
    </row>
    <row r="786" spans="1:12" ht="24.75" customHeight="1">
      <c r="A786" s="31" t="s">
        <v>179</v>
      </c>
      <c r="B786" s="31">
        <v>70</v>
      </c>
      <c r="C786" s="31" t="s">
        <v>426</v>
      </c>
      <c r="D786" s="31" t="s">
        <v>319</v>
      </c>
      <c r="E786" s="31" t="s">
        <v>70</v>
      </c>
      <c r="F786" s="31" t="s">
        <v>27</v>
      </c>
      <c r="G786" s="31" t="s">
        <v>26</v>
      </c>
      <c r="H786" s="31" t="s">
        <v>23</v>
      </c>
      <c r="I786" s="31" t="s">
        <v>76</v>
      </c>
      <c r="J786" s="31" t="s">
        <v>145</v>
      </c>
      <c r="K786" s="31" t="s">
        <v>39</v>
      </c>
      <c r="L786" s="31" t="s">
        <v>53</v>
      </c>
    </row>
    <row r="787" spans="1:12" ht="24.75" customHeight="1">
      <c r="A787" s="31" t="s">
        <v>179</v>
      </c>
      <c r="B787" s="31">
        <v>68</v>
      </c>
      <c r="C787" s="31" t="s">
        <v>325</v>
      </c>
      <c r="D787" s="31" t="s">
        <v>427</v>
      </c>
      <c r="E787" s="31" t="s">
        <v>428</v>
      </c>
      <c r="F787" s="31" t="s">
        <v>429</v>
      </c>
      <c r="G787" s="31" t="s">
        <v>85</v>
      </c>
      <c r="H787" s="31" t="s">
        <v>50</v>
      </c>
      <c r="I787" s="31" t="s">
        <v>25</v>
      </c>
      <c r="J787" s="31" t="s">
        <v>38</v>
      </c>
    </row>
    <row r="788" spans="1:12" ht="24.75" customHeight="1">
      <c r="A788" s="31" t="s">
        <v>179</v>
      </c>
      <c r="B788" s="31">
        <v>68</v>
      </c>
      <c r="C788" s="31" t="s">
        <v>430</v>
      </c>
      <c r="D788" s="31" t="s">
        <v>322</v>
      </c>
      <c r="E788" s="31" t="s">
        <v>75</v>
      </c>
      <c r="F788" s="31" t="s">
        <v>70</v>
      </c>
      <c r="G788" s="31" t="s">
        <v>27</v>
      </c>
      <c r="H788" s="31" t="s">
        <v>26</v>
      </c>
      <c r="I788" s="31" t="s">
        <v>29</v>
      </c>
      <c r="J788" s="31" t="s">
        <v>50</v>
      </c>
      <c r="K788" s="31" t="s">
        <v>25</v>
      </c>
      <c r="L788" s="31" t="s">
        <v>38</v>
      </c>
    </row>
    <row r="789" spans="1:12" ht="24.75" customHeight="1">
      <c r="A789" s="31" t="s">
        <v>179</v>
      </c>
      <c r="B789" s="31">
        <v>66</v>
      </c>
      <c r="C789" s="31" t="s">
        <v>330</v>
      </c>
      <c r="D789" s="31" t="s">
        <v>426</v>
      </c>
      <c r="E789" s="31" t="s">
        <v>307</v>
      </c>
      <c r="F789" s="31" t="s">
        <v>428</v>
      </c>
      <c r="G789" s="31" t="s">
        <v>312</v>
      </c>
      <c r="H789" s="31" t="s">
        <v>85</v>
      </c>
      <c r="I789" s="31" t="s">
        <v>84</v>
      </c>
      <c r="J789" s="31" t="s">
        <v>327</v>
      </c>
    </row>
    <row r="790" spans="1:12" ht="24.75" customHeight="1">
      <c r="A790" s="31" t="s">
        <v>179</v>
      </c>
      <c r="B790" s="31">
        <v>66</v>
      </c>
      <c r="C790" s="31" t="s">
        <v>431</v>
      </c>
      <c r="D790" s="31" t="s">
        <v>328</v>
      </c>
      <c r="E790" s="31" t="s">
        <v>309</v>
      </c>
      <c r="F790" s="31" t="s">
        <v>75</v>
      </c>
      <c r="G790" s="31" t="s">
        <v>70</v>
      </c>
      <c r="H790" s="31" t="s">
        <v>27</v>
      </c>
      <c r="I790" s="31" t="s">
        <v>301</v>
      </c>
      <c r="J790" s="31" t="s">
        <v>85</v>
      </c>
      <c r="K790" s="31" t="s">
        <v>84</v>
      </c>
      <c r="L790" s="31" t="s">
        <v>327</v>
      </c>
    </row>
    <row r="791" spans="1:12" ht="24.75" customHeight="1">
      <c r="A791" s="31" t="s">
        <v>179</v>
      </c>
      <c r="B791" s="31">
        <v>64</v>
      </c>
      <c r="C791" s="31" t="s">
        <v>334</v>
      </c>
      <c r="D791" s="31" t="s">
        <v>430</v>
      </c>
      <c r="E791" s="31" t="s">
        <v>311</v>
      </c>
      <c r="F791" s="31" t="s">
        <v>307</v>
      </c>
      <c r="G791" s="31" t="s">
        <v>304</v>
      </c>
      <c r="H791" s="31" t="s">
        <v>312</v>
      </c>
      <c r="I791" s="31" t="s">
        <v>49</v>
      </c>
      <c r="J791" s="31" t="s">
        <v>36</v>
      </c>
    </row>
    <row r="792" spans="1:12" ht="24.75" customHeight="1">
      <c r="A792" s="31" t="s">
        <v>179</v>
      </c>
      <c r="B792" s="31">
        <v>64</v>
      </c>
      <c r="C792" s="31" t="s">
        <v>347</v>
      </c>
      <c r="D792" s="31" t="s">
        <v>332</v>
      </c>
      <c r="E792" s="31" t="s">
        <v>45</v>
      </c>
      <c r="F792" s="31" t="s">
        <v>309</v>
      </c>
      <c r="G792" s="31" t="s">
        <v>75</v>
      </c>
      <c r="H792" s="31" t="s">
        <v>70</v>
      </c>
      <c r="I792" s="31" t="s">
        <v>96</v>
      </c>
      <c r="J792" s="31" t="s">
        <v>312</v>
      </c>
      <c r="K792" s="31" t="s">
        <v>49</v>
      </c>
      <c r="L792" s="31" t="s">
        <v>36</v>
      </c>
    </row>
    <row r="793" spans="1:12" ht="24.75" customHeight="1">
      <c r="A793" s="31" t="s">
        <v>179</v>
      </c>
      <c r="B793" s="31">
        <v>62</v>
      </c>
      <c r="C793" s="31" t="s">
        <v>432</v>
      </c>
      <c r="D793" s="31" t="s">
        <v>431</v>
      </c>
      <c r="E793" s="31" t="s">
        <v>315</v>
      </c>
      <c r="F793" s="31" t="s">
        <v>311</v>
      </c>
      <c r="G793" s="31" t="s">
        <v>307</v>
      </c>
      <c r="H793" s="31" t="s">
        <v>304</v>
      </c>
      <c r="I793" s="31" t="s">
        <v>433</v>
      </c>
      <c r="J793" s="31" t="s">
        <v>77</v>
      </c>
    </row>
    <row r="794" spans="1:12" ht="24.75" customHeight="1">
      <c r="A794" s="31" t="s">
        <v>179</v>
      </c>
      <c r="B794" s="31">
        <v>62</v>
      </c>
      <c r="C794" s="31" t="s">
        <v>351</v>
      </c>
      <c r="D794" s="31" t="s">
        <v>336</v>
      </c>
      <c r="E794" s="31" t="s">
        <v>71</v>
      </c>
      <c r="F794" s="31" t="s">
        <v>45</v>
      </c>
      <c r="G794" s="31" t="s">
        <v>309</v>
      </c>
      <c r="H794" s="31" t="s">
        <v>75</v>
      </c>
      <c r="I794" s="31" t="s">
        <v>434</v>
      </c>
      <c r="J794" s="31" t="s">
        <v>304</v>
      </c>
      <c r="K794" s="31" t="s">
        <v>433</v>
      </c>
      <c r="L794" s="31" t="s">
        <v>77</v>
      </c>
    </row>
    <row r="795" spans="1:12" ht="24.75" customHeight="1">
      <c r="A795" s="31" t="s">
        <v>179</v>
      </c>
      <c r="B795" s="31">
        <v>60</v>
      </c>
      <c r="C795" s="31" t="s">
        <v>346</v>
      </c>
      <c r="D795" s="31" t="s">
        <v>347</v>
      </c>
      <c r="E795" s="31" t="s">
        <v>98</v>
      </c>
      <c r="F795" s="31" t="s">
        <v>315</v>
      </c>
      <c r="G795" s="31" t="s">
        <v>311</v>
      </c>
      <c r="H795" s="31" t="s">
        <v>312</v>
      </c>
      <c r="I795" s="31" t="s">
        <v>95</v>
      </c>
      <c r="J795" s="31" t="s">
        <v>97</v>
      </c>
    </row>
    <row r="796" spans="1:12" ht="24.75" customHeight="1">
      <c r="A796" s="31" t="s">
        <v>179</v>
      </c>
      <c r="B796" s="31">
        <v>60</v>
      </c>
      <c r="C796" s="31" t="s">
        <v>435</v>
      </c>
      <c r="D796" s="31" t="s">
        <v>340</v>
      </c>
      <c r="E796" s="31" t="s">
        <v>318</v>
      </c>
      <c r="F796" s="31" t="s">
        <v>71</v>
      </c>
      <c r="G796" s="31" t="s">
        <v>45</v>
      </c>
      <c r="H796" s="31" t="s">
        <v>309</v>
      </c>
      <c r="I796" s="31" t="s">
        <v>436</v>
      </c>
      <c r="J796" s="31" t="s">
        <v>307</v>
      </c>
      <c r="K796" s="31" t="s">
        <v>95</v>
      </c>
      <c r="L796" s="31" t="s">
        <v>97</v>
      </c>
    </row>
    <row r="797" spans="1:12" ht="24.75" customHeight="1">
      <c r="A797" s="31" t="s">
        <v>178</v>
      </c>
      <c r="B797" s="31">
        <v>50</v>
      </c>
      <c r="C797" s="31" t="s">
        <v>362</v>
      </c>
      <c r="D797" s="31" t="s">
        <v>351</v>
      </c>
      <c r="E797" s="31" t="s">
        <v>320</v>
      </c>
      <c r="F797" s="31" t="s">
        <v>98</v>
      </c>
      <c r="G797" s="31" t="s">
        <v>315</v>
      </c>
      <c r="H797" s="31" t="s">
        <v>311</v>
      </c>
      <c r="I797" s="31" t="s">
        <v>93</v>
      </c>
      <c r="J797" s="31" t="s">
        <v>30</v>
      </c>
    </row>
    <row r="798" spans="1:12" ht="24.75" customHeight="1">
      <c r="A798" s="31" t="s">
        <v>178</v>
      </c>
      <c r="B798" s="31">
        <v>50</v>
      </c>
      <c r="C798" s="31" t="s">
        <v>356</v>
      </c>
      <c r="D798" s="31" t="s">
        <v>435</v>
      </c>
      <c r="E798" s="31" t="s">
        <v>326</v>
      </c>
      <c r="F798" s="31" t="s">
        <v>67</v>
      </c>
      <c r="G798" s="31" t="s">
        <v>318</v>
      </c>
      <c r="H798" s="31" t="s">
        <v>71</v>
      </c>
      <c r="I798" s="31" t="s">
        <v>66</v>
      </c>
      <c r="J798" s="31" t="s">
        <v>315</v>
      </c>
      <c r="K798" s="31" t="s">
        <v>120</v>
      </c>
      <c r="L798" s="31" t="s">
        <v>51</v>
      </c>
    </row>
    <row r="799" spans="1:12" ht="24.75" customHeight="1">
      <c r="A799" s="31" t="s">
        <v>178</v>
      </c>
      <c r="B799" s="31">
        <v>40</v>
      </c>
      <c r="C799" s="31" t="s">
        <v>374</v>
      </c>
      <c r="D799" s="31" t="s">
        <v>362</v>
      </c>
      <c r="E799" s="31" t="s">
        <v>329</v>
      </c>
      <c r="F799" s="31" t="s">
        <v>323</v>
      </c>
      <c r="G799" s="31" t="s">
        <v>320</v>
      </c>
      <c r="H799" s="31" t="s">
        <v>98</v>
      </c>
      <c r="I799" s="31" t="s">
        <v>78</v>
      </c>
      <c r="J799" s="31" t="s">
        <v>58</v>
      </c>
    </row>
    <row r="800" spans="1:12" ht="24.75" customHeight="1">
      <c r="A800" s="31" t="s">
        <v>178</v>
      </c>
      <c r="B800" s="31">
        <v>40</v>
      </c>
      <c r="C800" s="31" t="s">
        <v>368</v>
      </c>
      <c r="D800" s="31" t="s">
        <v>356</v>
      </c>
      <c r="E800" s="31" t="s">
        <v>335</v>
      </c>
      <c r="F800" s="31" t="s">
        <v>331</v>
      </c>
      <c r="G800" s="31" t="s">
        <v>326</v>
      </c>
      <c r="H800" s="31" t="s">
        <v>67</v>
      </c>
      <c r="I800" s="31" t="s">
        <v>80</v>
      </c>
      <c r="J800" s="31" t="s">
        <v>320</v>
      </c>
      <c r="K800" s="31" t="s">
        <v>437</v>
      </c>
      <c r="L800" s="31" t="s">
        <v>345</v>
      </c>
    </row>
    <row r="801" spans="1:12" ht="24.75" customHeight="1">
      <c r="A801" s="31" t="s">
        <v>178</v>
      </c>
      <c r="B801" s="31">
        <v>30</v>
      </c>
      <c r="C801" s="31" t="s">
        <v>385</v>
      </c>
      <c r="D801" s="31" t="s">
        <v>374</v>
      </c>
      <c r="E801" s="31" t="s">
        <v>337</v>
      </c>
      <c r="F801" s="31" t="s">
        <v>333</v>
      </c>
      <c r="G801" s="31" t="s">
        <v>329</v>
      </c>
      <c r="H801" s="31" t="s">
        <v>323</v>
      </c>
      <c r="I801" s="31" t="s">
        <v>74</v>
      </c>
      <c r="J801" s="31" t="s">
        <v>438</v>
      </c>
    </row>
    <row r="802" spans="1:12" ht="24.75" customHeight="1">
      <c r="A802" s="31" t="s">
        <v>178</v>
      </c>
      <c r="B802" s="31">
        <v>30</v>
      </c>
      <c r="C802" s="31" t="s">
        <v>380</v>
      </c>
      <c r="D802" s="31" t="s">
        <v>368</v>
      </c>
      <c r="E802" s="31" t="s">
        <v>344</v>
      </c>
      <c r="F802" s="31" t="s">
        <v>339</v>
      </c>
      <c r="G802" s="31" t="s">
        <v>335</v>
      </c>
      <c r="H802" s="31" t="s">
        <v>331</v>
      </c>
      <c r="I802" s="31" t="s">
        <v>439</v>
      </c>
      <c r="J802" s="31" t="s">
        <v>329</v>
      </c>
      <c r="K802" s="31" t="s">
        <v>440</v>
      </c>
      <c r="L802" s="31" t="s">
        <v>441</v>
      </c>
    </row>
    <row r="803" spans="1:12" ht="24.75" customHeight="1">
      <c r="A803" s="31" t="s">
        <v>178</v>
      </c>
      <c r="B803" s="31">
        <v>20</v>
      </c>
      <c r="C803" s="31" t="s">
        <v>401</v>
      </c>
      <c r="D803" s="31" t="s">
        <v>442</v>
      </c>
      <c r="E803" s="31" t="s">
        <v>349</v>
      </c>
      <c r="F803" s="31" t="s">
        <v>341</v>
      </c>
      <c r="G803" s="31" t="s">
        <v>337</v>
      </c>
      <c r="H803" s="31" t="s">
        <v>333</v>
      </c>
      <c r="I803" s="31" t="s">
        <v>443</v>
      </c>
      <c r="J803" s="31" t="s">
        <v>444</v>
      </c>
    </row>
    <row r="804" spans="1:12" ht="24.75" customHeight="1">
      <c r="A804" s="31" t="s">
        <v>178</v>
      </c>
      <c r="B804" s="31">
        <v>20</v>
      </c>
      <c r="C804" s="31" t="s">
        <v>391</v>
      </c>
      <c r="D804" s="31" t="s">
        <v>380</v>
      </c>
      <c r="E804" s="31" t="s">
        <v>354</v>
      </c>
      <c r="F804" s="31" t="s">
        <v>367</v>
      </c>
      <c r="G804" s="31" t="s">
        <v>344</v>
      </c>
      <c r="H804" s="31" t="s">
        <v>339</v>
      </c>
      <c r="I804" s="31" t="s">
        <v>445</v>
      </c>
      <c r="J804" s="31" t="s">
        <v>337</v>
      </c>
      <c r="K804" s="31" t="s">
        <v>446</v>
      </c>
      <c r="L804" s="31" t="s">
        <v>355</v>
      </c>
    </row>
    <row r="805" spans="1:12" ht="24.75" customHeight="1">
      <c r="A805" s="31" t="s">
        <v>178</v>
      </c>
      <c r="B805" s="31">
        <v>10</v>
      </c>
      <c r="C805" s="31" t="s">
        <v>399</v>
      </c>
      <c r="D805" s="31" t="s">
        <v>401</v>
      </c>
      <c r="E805" s="31" t="s">
        <v>359</v>
      </c>
      <c r="F805" s="31" t="s">
        <v>447</v>
      </c>
      <c r="G805" s="31" t="s">
        <v>349</v>
      </c>
      <c r="H805" s="31" t="s">
        <v>341</v>
      </c>
      <c r="I805" s="31" t="s">
        <v>448</v>
      </c>
      <c r="J805" s="31" t="s">
        <v>449</v>
      </c>
    </row>
    <row r="806" spans="1:12" ht="24.75" customHeight="1">
      <c r="A806" s="31" t="s">
        <v>178</v>
      </c>
      <c r="B806" s="31">
        <v>10</v>
      </c>
      <c r="C806" s="31" t="s">
        <v>405</v>
      </c>
      <c r="D806" s="31" t="s">
        <v>391</v>
      </c>
      <c r="E806" s="31" t="s">
        <v>353</v>
      </c>
      <c r="F806" s="31" t="s">
        <v>343</v>
      </c>
      <c r="G806" s="31" t="s">
        <v>354</v>
      </c>
      <c r="H806" s="31" t="s">
        <v>367</v>
      </c>
      <c r="I806" s="31" t="s">
        <v>450</v>
      </c>
      <c r="J806" s="31" t="s">
        <v>349</v>
      </c>
      <c r="K806" s="31" t="s">
        <v>451</v>
      </c>
      <c r="L806" s="31" t="s">
        <v>452</v>
      </c>
    </row>
    <row r="807" spans="1:12" ht="24.75" customHeight="1">
      <c r="A807" s="31" t="s">
        <v>178</v>
      </c>
      <c r="B807" s="31">
        <v>0</v>
      </c>
      <c r="C807" s="31" t="s">
        <v>403</v>
      </c>
      <c r="D807" s="31" t="s">
        <v>399</v>
      </c>
      <c r="E807" s="31" t="s">
        <v>358</v>
      </c>
      <c r="F807" s="31" t="s">
        <v>348</v>
      </c>
      <c r="G807" s="31" t="s">
        <v>359</v>
      </c>
      <c r="H807" s="31" t="s">
        <v>447</v>
      </c>
      <c r="I807" s="31" t="s">
        <v>453</v>
      </c>
      <c r="J807" s="31" t="s">
        <v>454</v>
      </c>
    </row>
    <row r="808" spans="1:12" ht="24.75" customHeight="1">
      <c r="A808" s="31" t="s">
        <v>178</v>
      </c>
      <c r="B808" s="31">
        <v>0</v>
      </c>
      <c r="C808" s="31" t="s">
        <v>67</v>
      </c>
      <c r="D808" s="31" t="s">
        <v>67</v>
      </c>
      <c r="E808" s="31" t="s">
        <v>396</v>
      </c>
      <c r="F808" s="31" t="s">
        <v>396</v>
      </c>
      <c r="G808" s="31" t="s">
        <v>396</v>
      </c>
      <c r="H808" s="31" t="s">
        <v>396</v>
      </c>
      <c r="I808" s="31" t="s">
        <v>396</v>
      </c>
      <c r="J808" s="31" t="s">
        <v>396</v>
      </c>
    </row>
    <row r="809" spans="1:12" ht="24.75" customHeight="1">
      <c r="A809" s="31" t="s">
        <v>455</v>
      </c>
    </row>
    <row r="810" spans="1:12" ht="24.75" customHeight="1">
      <c r="A810" s="31" t="s">
        <v>456</v>
      </c>
    </row>
    <row r="811" spans="1:12" ht="24.75" customHeight="1">
      <c r="A811" s="31" t="s">
        <v>457</v>
      </c>
    </row>
    <row r="812" spans="1:12" ht="24.75" customHeight="1">
      <c r="A812" s="31" t="s">
        <v>458</v>
      </c>
      <c r="B812" s="31" t="s">
        <v>165</v>
      </c>
      <c r="C812" s="31" t="s">
        <v>166</v>
      </c>
      <c r="D812" s="31" t="s">
        <v>167</v>
      </c>
      <c r="E812" s="31" t="s">
        <v>168</v>
      </c>
      <c r="F812" s="31" t="s">
        <v>169</v>
      </c>
      <c r="G812" s="31" t="s">
        <v>170</v>
      </c>
    </row>
    <row r="813" spans="1:12" ht="24.75" customHeight="1">
      <c r="A813" s="31">
        <v>20</v>
      </c>
      <c r="B813" s="31">
        <v>40</v>
      </c>
      <c r="C813" s="31">
        <v>40</v>
      </c>
      <c r="D813" s="31">
        <v>40</v>
      </c>
      <c r="E813" s="31">
        <v>40</v>
      </c>
      <c r="F813" s="31">
        <v>40</v>
      </c>
      <c r="G813" s="31">
        <v>40</v>
      </c>
    </row>
    <row r="814" spans="1:12" ht="24.75" customHeight="1">
      <c r="A814" s="31">
        <v>19</v>
      </c>
      <c r="B814" s="31">
        <v>38</v>
      </c>
      <c r="C814" s="31">
        <v>38</v>
      </c>
      <c r="D814" s="31">
        <v>38</v>
      </c>
      <c r="E814" s="31">
        <v>38</v>
      </c>
      <c r="F814" s="31">
        <v>38</v>
      </c>
      <c r="G814" s="31">
        <v>38</v>
      </c>
    </row>
    <row r="815" spans="1:12" ht="24.75" customHeight="1">
      <c r="A815" s="31">
        <v>18</v>
      </c>
      <c r="B815" s="31">
        <v>36</v>
      </c>
      <c r="C815" s="31">
        <v>36</v>
      </c>
      <c r="D815" s="31">
        <v>36</v>
      </c>
      <c r="E815" s="31">
        <v>36</v>
      </c>
      <c r="F815" s="31">
        <v>36</v>
      </c>
      <c r="G815" s="31">
        <v>36</v>
      </c>
    </row>
    <row r="816" spans="1:12" ht="24.75" customHeight="1">
      <c r="A816" s="31">
        <v>17</v>
      </c>
      <c r="B816" s="31">
        <v>34</v>
      </c>
      <c r="C816" s="31">
        <v>34</v>
      </c>
      <c r="D816" s="31">
        <v>34</v>
      </c>
      <c r="E816" s="31">
        <v>34</v>
      </c>
      <c r="F816" s="31">
        <v>34</v>
      </c>
      <c r="G816" s="31">
        <v>34</v>
      </c>
    </row>
    <row r="817" spans="1:7" ht="24.75" customHeight="1">
      <c r="A817" s="31">
        <v>16</v>
      </c>
      <c r="B817" s="31">
        <v>32</v>
      </c>
      <c r="C817" s="31">
        <v>32</v>
      </c>
      <c r="D817" s="31">
        <v>32</v>
      </c>
      <c r="E817" s="31">
        <v>32</v>
      </c>
      <c r="F817" s="31">
        <v>32</v>
      </c>
      <c r="G817" s="31">
        <v>32</v>
      </c>
    </row>
    <row r="818" spans="1:7" ht="24.75" customHeight="1">
      <c r="A818" s="31">
        <v>15</v>
      </c>
      <c r="B818" s="31">
        <v>30</v>
      </c>
      <c r="C818" s="31">
        <v>30</v>
      </c>
      <c r="D818" s="31">
        <v>30</v>
      </c>
      <c r="E818" s="31">
        <v>30</v>
      </c>
      <c r="F818" s="31">
        <v>30</v>
      </c>
      <c r="G818" s="31">
        <v>30</v>
      </c>
    </row>
    <row r="819" spans="1:7" ht="24.75" customHeight="1">
      <c r="A819" s="31">
        <v>14</v>
      </c>
      <c r="B819" s="31">
        <v>28</v>
      </c>
      <c r="C819" s="31">
        <v>28</v>
      </c>
      <c r="D819" s="31">
        <v>28</v>
      </c>
      <c r="E819" s="31">
        <v>28</v>
      </c>
      <c r="F819" s="31">
        <v>28</v>
      </c>
      <c r="G819" s="31">
        <v>28</v>
      </c>
    </row>
    <row r="820" spans="1:7" ht="24.75" customHeight="1">
      <c r="A820" s="31">
        <v>13</v>
      </c>
      <c r="B820" s="31">
        <v>26</v>
      </c>
      <c r="C820" s="31">
        <v>26</v>
      </c>
      <c r="D820" s="31">
        <v>26</v>
      </c>
      <c r="E820" s="31">
        <v>26</v>
      </c>
      <c r="F820" s="31">
        <v>26</v>
      </c>
      <c r="G820" s="31">
        <v>26</v>
      </c>
    </row>
    <row r="821" spans="1:7" ht="24.75" customHeight="1">
      <c r="A821" s="31">
        <v>12</v>
      </c>
      <c r="B821" s="31">
        <v>24</v>
      </c>
      <c r="C821" s="31">
        <v>24</v>
      </c>
      <c r="D821" s="31">
        <v>24</v>
      </c>
      <c r="E821" s="31">
        <v>24</v>
      </c>
      <c r="F821" s="31">
        <v>24</v>
      </c>
      <c r="G821" s="31">
        <v>24</v>
      </c>
    </row>
    <row r="822" spans="1:7" ht="24.75" customHeight="1">
      <c r="A822" s="31">
        <v>11</v>
      </c>
      <c r="B822" s="31">
        <v>22</v>
      </c>
      <c r="C822" s="31">
        <v>22</v>
      </c>
      <c r="D822" s="31">
        <v>22</v>
      </c>
      <c r="E822" s="31">
        <v>22</v>
      </c>
      <c r="F822" s="31">
        <v>22</v>
      </c>
      <c r="G822" s="31">
        <v>22</v>
      </c>
    </row>
    <row r="823" spans="1:7" ht="24.75" customHeight="1">
      <c r="A823" s="31">
        <v>10</v>
      </c>
      <c r="B823" s="31">
        <v>20</v>
      </c>
      <c r="C823" s="31">
        <v>20</v>
      </c>
      <c r="D823" s="31">
        <v>20</v>
      </c>
      <c r="E823" s="31">
        <v>20</v>
      </c>
      <c r="F823" s="31">
        <v>20</v>
      </c>
      <c r="G823" s="31">
        <v>20</v>
      </c>
    </row>
    <row r="824" spans="1:7" ht="24.75" customHeight="1">
      <c r="A824" s="31">
        <v>9</v>
      </c>
      <c r="B824" s="31">
        <v>18</v>
      </c>
      <c r="C824" s="31">
        <v>18</v>
      </c>
      <c r="D824" s="31">
        <v>18</v>
      </c>
      <c r="E824" s="31">
        <v>18</v>
      </c>
      <c r="F824" s="31">
        <v>18</v>
      </c>
      <c r="G824" s="31">
        <v>18</v>
      </c>
    </row>
    <row r="825" spans="1:7" ht="24.75" customHeight="1">
      <c r="A825" s="31">
        <v>8</v>
      </c>
      <c r="B825" s="31">
        <v>16</v>
      </c>
      <c r="C825" s="31">
        <v>16</v>
      </c>
      <c r="D825" s="31">
        <v>16</v>
      </c>
      <c r="E825" s="31">
        <v>16</v>
      </c>
      <c r="F825" s="31">
        <v>16</v>
      </c>
      <c r="G825" s="31">
        <v>16</v>
      </c>
    </row>
    <row r="826" spans="1:7" ht="24.75" customHeight="1">
      <c r="A826" s="31">
        <v>7</v>
      </c>
      <c r="B826" s="31">
        <v>14</v>
      </c>
      <c r="C826" s="31">
        <v>14</v>
      </c>
      <c r="D826" s="31">
        <v>14</v>
      </c>
      <c r="E826" s="31">
        <v>14</v>
      </c>
      <c r="F826" s="31">
        <v>14</v>
      </c>
      <c r="G826" s="31">
        <v>14</v>
      </c>
    </row>
    <row r="827" spans="1:7" ht="24.75" customHeight="1">
      <c r="A827" s="31">
        <v>6</v>
      </c>
      <c r="B827" s="31">
        <v>12</v>
      </c>
      <c r="C827" s="31">
        <v>12</v>
      </c>
      <c r="D827" s="31">
        <v>12</v>
      </c>
      <c r="E827" s="31">
        <v>12</v>
      </c>
      <c r="F827" s="31">
        <v>12</v>
      </c>
      <c r="G827" s="31">
        <v>12</v>
      </c>
    </row>
    <row r="828" spans="1:7" ht="24.75" customHeight="1">
      <c r="A828" s="31">
        <v>5</v>
      </c>
      <c r="B828" s="31">
        <v>10</v>
      </c>
      <c r="C828" s="31">
        <v>10</v>
      </c>
      <c r="D828" s="31">
        <v>10</v>
      </c>
      <c r="E828" s="31">
        <v>10</v>
      </c>
      <c r="F828" s="31">
        <v>10</v>
      </c>
      <c r="G828" s="31">
        <v>10</v>
      </c>
    </row>
    <row r="829" spans="1:7" ht="24.75" customHeight="1">
      <c r="A829" s="31">
        <v>4</v>
      </c>
      <c r="B829" s="31">
        <v>8</v>
      </c>
      <c r="C829" s="31">
        <v>8</v>
      </c>
      <c r="D829" s="31">
        <v>8</v>
      </c>
      <c r="E829" s="31">
        <v>8</v>
      </c>
      <c r="F829" s="31">
        <v>8</v>
      </c>
      <c r="G829" s="31">
        <v>8</v>
      </c>
    </row>
    <row r="830" spans="1:7" ht="24.75" customHeight="1">
      <c r="A830" s="31">
        <v>3</v>
      </c>
      <c r="B830" s="31">
        <v>6</v>
      </c>
      <c r="C830" s="31">
        <v>6</v>
      </c>
      <c r="D830" s="31">
        <v>6</v>
      </c>
      <c r="E830" s="31">
        <v>6</v>
      </c>
      <c r="F830" s="31">
        <v>6</v>
      </c>
      <c r="G830" s="31">
        <v>6</v>
      </c>
    </row>
    <row r="831" spans="1:7" ht="24.75" customHeight="1">
      <c r="A831" s="31">
        <v>2</v>
      </c>
      <c r="B831" s="31">
        <v>4</v>
      </c>
      <c r="C831" s="31">
        <v>4</v>
      </c>
      <c r="D831" s="31">
        <v>4</v>
      </c>
      <c r="E831" s="31">
        <v>4</v>
      </c>
      <c r="F831" s="31">
        <v>4</v>
      </c>
      <c r="G831" s="31">
        <v>4</v>
      </c>
    </row>
    <row r="832" spans="1:7" ht="24.75" customHeight="1">
      <c r="A832" s="31">
        <v>1</v>
      </c>
      <c r="B832" s="31">
        <v>2</v>
      </c>
      <c r="C832" s="31">
        <v>2</v>
      </c>
      <c r="D832" s="31">
        <v>2</v>
      </c>
      <c r="E832" s="31">
        <v>2</v>
      </c>
      <c r="F832" s="31">
        <v>2</v>
      </c>
      <c r="G832" s="31">
        <v>2</v>
      </c>
    </row>
    <row r="833" spans="1:7" ht="24.75" customHeight="1">
      <c r="A833" s="31" t="s">
        <v>459</v>
      </c>
    </row>
    <row r="834" spans="1:7" ht="24.75" customHeight="1">
      <c r="A834" s="31" t="s">
        <v>460</v>
      </c>
    </row>
    <row r="835" spans="1:7" ht="24.75" customHeight="1">
      <c r="A835" s="31" t="s">
        <v>458</v>
      </c>
      <c r="B835" s="31" t="s">
        <v>165</v>
      </c>
      <c r="C835" s="31" t="s">
        <v>166</v>
      </c>
      <c r="D835" s="31" t="s">
        <v>167</v>
      </c>
      <c r="E835" s="31" t="s">
        <v>168</v>
      </c>
      <c r="F835" s="31" t="s">
        <v>169</v>
      </c>
      <c r="G835" s="31" t="s">
        <v>170</v>
      </c>
    </row>
    <row r="836" spans="1:7" ht="24.75" customHeight="1">
      <c r="A836" s="31">
        <v>20</v>
      </c>
      <c r="B836" s="31">
        <v>40</v>
      </c>
      <c r="C836" s="31">
        <v>40</v>
      </c>
      <c r="D836" s="31">
        <v>40</v>
      </c>
      <c r="E836" s="31">
        <v>40</v>
      </c>
      <c r="F836" s="31">
        <v>40</v>
      </c>
      <c r="G836" s="31">
        <v>40</v>
      </c>
    </row>
    <row r="837" spans="1:7" ht="24.75" customHeight="1">
      <c r="A837" s="31">
        <v>19</v>
      </c>
      <c r="B837" s="31">
        <v>38</v>
      </c>
      <c r="C837" s="31">
        <v>38</v>
      </c>
      <c r="D837" s="31">
        <v>38</v>
      </c>
      <c r="E837" s="31">
        <v>38</v>
      </c>
      <c r="F837" s="31">
        <v>38</v>
      </c>
      <c r="G837" s="31">
        <v>38</v>
      </c>
    </row>
    <row r="838" spans="1:7" ht="24.75" customHeight="1">
      <c r="A838" s="31">
        <v>18</v>
      </c>
      <c r="B838" s="31">
        <v>36</v>
      </c>
      <c r="C838" s="31">
        <v>36</v>
      </c>
      <c r="D838" s="31">
        <v>36</v>
      </c>
      <c r="E838" s="31">
        <v>36</v>
      </c>
      <c r="F838" s="31">
        <v>36</v>
      </c>
      <c r="G838" s="31">
        <v>36</v>
      </c>
    </row>
    <row r="839" spans="1:7" ht="24.75" customHeight="1">
      <c r="A839" s="31">
        <v>17</v>
      </c>
      <c r="B839" s="31">
        <v>34</v>
      </c>
      <c r="C839" s="31">
        <v>34</v>
      </c>
      <c r="D839" s="31">
        <v>34</v>
      </c>
      <c r="E839" s="31">
        <v>34</v>
      </c>
      <c r="F839" s="31">
        <v>34</v>
      </c>
      <c r="G839" s="31">
        <v>34</v>
      </c>
    </row>
    <row r="840" spans="1:7" ht="24.75" customHeight="1">
      <c r="A840" s="31">
        <v>16</v>
      </c>
      <c r="B840" s="31">
        <v>32</v>
      </c>
      <c r="C840" s="31">
        <v>32</v>
      </c>
      <c r="D840" s="31">
        <v>32</v>
      </c>
      <c r="E840" s="31">
        <v>32</v>
      </c>
      <c r="F840" s="31">
        <v>32</v>
      </c>
      <c r="G840" s="31">
        <v>32</v>
      </c>
    </row>
    <row r="841" spans="1:7" ht="24.75" customHeight="1">
      <c r="A841" s="31">
        <v>15</v>
      </c>
      <c r="B841" s="31">
        <v>30</v>
      </c>
      <c r="C841" s="31">
        <v>30</v>
      </c>
      <c r="D841" s="31">
        <v>30</v>
      </c>
      <c r="E841" s="31">
        <v>30</v>
      </c>
      <c r="F841" s="31">
        <v>30</v>
      </c>
      <c r="G841" s="31">
        <v>30</v>
      </c>
    </row>
    <row r="842" spans="1:7" ht="24.75" customHeight="1">
      <c r="A842" s="31">
        <v>14</v>
      </c>
      <c r="B842" s="31">
        <v>28</v>
      </c>
      <c r="C842" s="31">
        <v>28</v>
      </c>
      <c r="D842" s="31">
        <v>28</v>
      </c>
      <c r="E842" s="31">
        <v>28</v>
      </c>
      <c r="F842" s="31">
        <v>28</v>
      </c>
      <c r="G842" s="31">
        <v>28</v>
      </c>
    </row>
    <row r="843" spans="1:7" ht="24.75" customHeight="1">
      <c r="A843" s="31">
        <v>13</v>
      </c>
      <c r="B843" s="31">
        <v>26</v>
      </c>
      <c r="C843" s="31">
        <v>26</v>
      </c>
      <c r="D843" s="31">
        <v>26</v>
      </c>
      <c r="E843" s="31">
        <v>26</v>
      </c>
      <c r="F843" s="31">
        <v>26</v>
      </c>
      <c r="G843" s="31">
        <v>26</v>
      </c>
    </row>
    <row r="844" spans="1:7" ht="24.75" customHeight="1">
      <c r="A844" s="31">
        <v>12</v>
      </c>
      <c r="B844" s="31">
        <v>24</v>
      </c>
      <c r="C844" s="31">
        <v>24</v>
      </c>
      <c r="D844" s="31">
        <v>24</v>
      </c>
      <c r="E844" s="31">
        <v>24</v>
      </c>
      <c r="F844" s="31">
        <v>24</v>
      </c>
      <c r="G844" s="31">
        <v>24</v>
      </c>
    </row>
    <row r="845" spans="1:7" ht="24.75" customHeight="1">
      <c r="A845" s="31">
        <v>11</v>
      </c>
      <c r="B845" s="31">
        <v>22</v>
      </c>
      <c r="C845" s="31">
        <v>22</v>
      </c>
      <c r="D845" s="31">
        <v>22</v>
      </c>
      <c r="E845" s="31">
        <v>22</v>
      </c>
      <c r="F845" s="31">
        <v>22</v>
      </c>
      <c r="G845" s="31">
        <v>22</v>
      </c>
    </row>
    <row r="846" spans="1:7" ht="24.75" customHeight="1">
      <c r="A846" s="31">
        <v>10</v>
      </c>
      <c r="B846" s="31">
        <v>20</v>
      </c>
      <c r="C846" s="31">
        <v>20</v>
      </c>
      <c r="D846" s="31">
        <v>20</v>
      </c>
      <c r="E846" s="31">
        <v>20</v>
      </c>
      <c r="F846" s="31">
        <v>20</v>
      </c>
      <c r="G846" s="31">
        <v>20</v>
      </c>
    </row>
    <row r="847" spans="1:7" ht="24.75" customHeight="1">
      <c r="A847" s="31">
        <v>9</v>
      </c>
      <c r="B847" s="31">
        <v>18</v>
      </c>
      <c r="C847" s="31">
        <v>18</v>
      </c>
      <c r="D847" s="31">
        <v>18</v>
      </c>
      <c r="E847" s="31">
        <v>18</v>
      </c>
      <c r="F847" s="31">
        <v>18</v>
      </c>
      <c r="G847" s="31">
        <v>18</v>
      </c>
    </row>
    <row r="848" spans="1:7" ht="24.75" customHeight="1">
      <c r="A848" s="31">
        <v>8</v>
      </c>
      <c r="B848" s="31">
        <v>16</v>
      </c>
      <c r="C848" s="31">
        <v>16</v>
      </c>
      <c r="D848" s="31">
        <v>16</v>
      </c>
      <c r="E848" s="31">
        <v>16</v>
      </c>
      <c r="F848" s="31">
        <v>16</v>
      </c>
      <c r="G848" s="31">
        <v>16</v>
      </c>
    </row>
    <row r="849" spans="1:9" ht="24.75" customHeight="1">
      <c r="A849" s="31">
        <v>7</v>
      </c>
      <c r="B849" s="31">
        <v>14</v>
      </c>
      <c r="C849" s="31">
        <v>14</v>
      </c>
      <c r="D849" s="31">
        <v>14</v>
      </c>
      <c r="E849" s="31">
        <v>14</v>
      </c>
      <c r="F849" s="31">
        <v>14</v>
      </c>
      <c r="G849" s="31">
        <v>14</v>
      </c>
    </row>
    <row r="850" spans="1:9" ht="24.75" customHeight="1">
      <c r="A850" s="31">
        <v>6</v>
      </c>
      <c r="B850" s="31">
        <v>12</v>
      </c>
      <c r="C850" s="31">
        <v>12</v>
      </c>
      <c r="D850" s="31">
        <v>12</v>
      </c>
      <c r="E850" s="31">
        <v>12</v>
      </c>
      <c r="F850" s="31">
        <v>12</v>
      </c>
      <c r="G850" s="31">
        <v>12</v>
      </c>
    </row>
    <row r="851" spans="1:9" ht="24.75" customHeight="1">
      <c r="A851" s="31">
        <v>5</v>
      </c>
      <c r="B851" s="31">
        <v>10</v>
      </c>
      <c r="C851" s="31">
        <v>10</v>
      </c>
      <c r="D851" s="31">
        <v>10</v>
      </c>
      <c r="E851" s="31">
        <v>10</v>
      </c>
      <c r="F851" s="31">
        <v>10</v>
      </c>
      <c r="G851" s="31">
        <v>10</v>
      </c>
    </row>
    <row r="852" spans="1:9" ht="24.75" customHeight="1">
      <c r="A852" s="31">
        <v>4</v>
      </c>
      <c r="B852" s="31">
        <v>8</v>
      </c>
      <c r="C852" s="31">
        <v>8</v>
      </c>
      <c r="D852" s="31">
        <v>8</v>
      </c>
      <c r="E852" s="31">
        <v>8</v>
      </c>
      <c r="F852" s="31">
        <v>8</v>
      </c>
      <c r="G852" s="31">
        <v>8</v>
      </c>
    </row>
    <row r="853" spans="1:9" ht="24.75" customHeight="1">
      <c r="A853" s="31">
        <v>3</v>
      </c>
      <c r="B853" s="31">
        <v>6</v>
      </c>
      <c r="C853" s="31">
        <v>6</v>
      </c>
      <c r="D853" s="31">
        <v>6</v>
      </c>
      <c r="E853" s="31">
        <v>6</v>
      </c>
      <c r="F853" s="31">
        <v>6</v>
      </c>
      <c r="G853" s="31">
        <v>6</v>
      </c>
    </row>
    <row r="854" spans="1:9" ht="24.75" customHeight="1">
      <c r="A854" s="31">
        <v>2</v>
      </c>
      <c r="B854" s="31">
        <v>4</v>
      </c>
      <c r="C854" s="31">
        <v>4</v>
      </c>
      <c r="D854" s="31">
        <v>4</v>
      </c>
      <c r="E854" s="31">
        <v>4</v>
      </c>
      <c r="F854" s="31">
        <v>4</v>
      </c>
      <c r="G854" s="31">
        <v>4</v>
      </c>
    </row>
    <row r="855" spans="1:9" ht="24.75" customHeight="1">
      <c r="A855" s="31">
        <v>1</v>
      </c>
      <c r="B855" s="31">
        <v>2</v>
      </c>
      <c r="C855" s="31">
        <v>2</v>
      </c>
      <c r="D855" s="31">
        <v>2</v>
      </c>
      <c r="E855" s="31">
        <v>2</v>
      </c>
      <c r="F855" s="31">
        <v>2</v>
      </c>
      <c r="G855" s="31">
        <v>2</v>
      </c>
    </row>
    <row r="856" spans="1:9" ht="24.75" customHeight="1">
      <c r="A856" s="31" t="s">
        <v>459</v>
      </c>
    </row>
    <row r="857" spans="1:9" ht="24.75" customHeight="1">
      <c r="A857" s="31" t="s">
        <v>461</v>
      </c>
    </row>
    <row r="858" spans="1:9" ht="24.75" customHeight="1">
      <c r="A858" s="31" t="s">
        <v>458</v>
      </c>
      <c r="B858" s="31" t="s">
        <v>171</v>
      </c>
      <c r="C858" s="31" t="s">
        <v>172</v>
      </c>
      <c r="D858" s="31" t="s">
        <v>173</v>
      </c>
      <c r="E858" s="31" t="s">
        <v>174</v>
      </c>
      <c r="F858" s="31" t="s">
        <v>175</v>
      </c>
      <c r="G858" s="31" t="s">
        <v>176</v>
      </c>
      <c r="H858" s="31" t="s">
        <v>251</v>
      </c>
      <c r="I858" s="31" t="s">
        <v>252</v>
      </c>
    </row>
    <row r="859" spans="1:9" ht="24.75" customHeight="1">
      <c r="A859" s="31">
        <v>10</v>
      </c>
      <c r="B859" s="31">
        <v>10</v>
      </c>
      <c r="C859" s="31">
        <v>10</v>
      </c>
      <c r="D859" s="31">
        <v>10</v>
      </c>
      <c r="E859" s="31">
        <v>10</v>
      </c>
      <c r="F859" s="31">
        <v>10</v>
      </c>
      <c r="G859" s="31">
        <v>10</v>
      </c>
      <c r="H859" s="31">
        <v>10</v>
      </c>
      <c r="I859" s="31">
        <v>10</v>
      </c>
    </row>
    <row r="860" spans="1:9" ht="24.75" customHeight="1">
      <c r="A860" s="31">
        <v>9</v>
      </c>
      <c r="B860" s="31">
        <v>9</v>
      </c>
      <c r="C860" s="31">
        <v>9</v>
      </c>
      <c r="D860" s="31">
        <v>9</v>
      </c>
      <c r="E860" s="31">
        <v>9</v>
      </c>
      <c r="F860" s="31">
        <v>9</v>
      </c>
      <c r="G860" s="31">
        <v>9</v>
      </c>
      <c r="H860" s="31">
        <v>9</v>
      </c>
      <c r="I860" s="31">
        <v>9</v>
      </c>
    </row>
    <row r="861" spans="1:9" ht="24.75" customHeight="1">
      <c r="A861" s="31">
        <v>8</v>
      </c>
      <c r="B861" s="31">
        <v>8</v>
      </c>
      <c r="C861" s="31">
        <v>8</v>
      </c>
      <c r="D861" s="31">
        <v>8</v>
      </c>
      <c r="E861" s="31">
        <v>8</v>
      </c>
      <c r="F861" s="31">
        <v>8</v>
      </c>
      <c r="G861" s="31">
        <v>8</v>
      </c>
      <c r="H861" s="31">
        <v>8</v>
      </c>
      <c r="I861" s="31">
        <v>8</v>
      </c>
    </row>
    <row r="862" spans="1:9" ht="24.75" customHeight="1">
      <c r="A862" s="31">
        <v>7</v>
      </c>
      <c r="B862" s="31">
        <v>7</v>
      </c>
      <c r="C862" s="31">
        <v>7</v>
      </c>
      <c r="D862" s="31">
        <v>7</v>
      </c>
      <c r="E862" s="31">
        <v>7</v>
      </c>
      <c r="F862" s="31">
        <v>7</v>
      </c>
      <c r="G862" s="31">
        <v>7</v>
      </c>
      <c r="H862" s="31">
        <v>7</v>
      </c>
      <c r="I862" s="31">
        <v>7</v>
      </c>
    </row>
    <row r="863" spans="1:9" ht="24.75" customHeight="1">
      <c r="A863" s="31">
        <v>6</v>
      </c>
      <c r="B863" s="31">
        <v>6</v>
      </c>
      <c r="C863" s="31">
        <v>6</v>
      </c>
      <c r="D863" s="31">
        <v>6</v>
      </c>
      <c r="E863" s="31">
        <v>6</v>
      </c>
      <c r="F863" s="31">
        <v>6</v>
      </c>
      <c r="G863" s="31">
        <v>6</v>
      </c>
      <c r="H863" s="31">
        <v>6</v>
      </c>
      <c r="I863" s="31">
        <v>6</v>
      </c>
    </row>
    <row r="864" spans="1:9" ht="24.75" customHeight="1">
      <c r="A864" s="31">
        <v>5</v>
      </c>
      <c r="B864" s="31">
        <v>5</v>
      </c>
      <c r="C864" s="31">
        <v>5</v>
      </c>
      <c r="D864" s="31">
        <v>5</v>
      </c>
      <c r="E864" s="31">
        <v>5</v>
      </c>
      <c r="F864" s="31">
        <v>5</v>
      </c>
      <c r="G864" s="31">
        <v>5</v>
      </c>
      <c r="H864" s="31">
        <v>5</v>
      </c>
      <c r="I864" s="31">
        <v>5</v>
      </c>
    </row>
    <row r="865" spans="1:9" ht="24.75" customHeight="1">
      <c r="A865" s="31">
        <v>4</v>
      </c>
      <c r="B865" s="31">
        <v>4</v>
      </c>
      <c r="C865" s="31">
        <v>4</v>
      </c>
      <c r="D865" s="31">
        <v>4</v>
      </c>
      <c r="E865" s="31">
        <v>4</v>
      </c>
      <c r="F865" s="31">
        <v>4</v>
      </c>
      <c r="G865" s="31">
        <v>4</v>
      </c>
      <c r="H865" s="31">
        <v>4</v>
      </c>
      <c r="I865" s="31">
        <v>4</v>
      </c>
    </row>
    <row r="866" spans="1:9" ht="24.75" customHeight="1">
      <c r="A866" s="31">
        <v>3</v>
      </c>
      <c r="B866" s="31">
        <v>3</v>
      </c>
      <c r="C866" s="31">
        <v>3</v>
      </c>
      <c r="D866" s="31">
        <v>3</v>
      </c>
      <c r="E866" s="31">
        <v>3</v>
      </c>
      <c r="F866" s="31">
        <v>3</v>
      </c>
      <c r="G866" s="31">
        <v>3</v>
      </c>
      <c r="H866" s="31">
        <v>3</v>
      </c>
      <c r="I866" s="31">
        <v>3</v>
      </c>
    </row>
    <row r="867" spans="1:9" ht="24.75" customHeight="1">
      <c r="A867" s="31">
        <v>2</v>
      </c>
      <c r="B867" s="31">
        <v>2</v>
      </c>
      <c r="C867" s="31">
        <v>2</v>
      </c>
      <c r="D867" s="31">
        <v>2</v>
      </c>
      <c r="E867" s="31">
        <v>2</v>
      </c>
      <c r="F867" s="31">
        <v>2</v>
      </c>
      <c r="G867" s="31">
        <v>2</v>
      </c>
      <c r="H867" s="31">
        <v>2</v>
      </c>
      <c r="I867" s="31">
        <v>2</v>
      </c>
    </row>
    <row r="868" spans="1:9" ht="24.75" customHeight="1">
      <c r="A868" s="31">
        <v>1</v>
      </c>
      <c r="B868" s="31">
        <v>1</v>
      </c>
      <c r="C868" s="31">
        <v>1</v>
      </c>
      <c r="D868" s="31">
        <v>1</v>
      </c>
      <c r="E868" s="31">
        <v>1</v>
      </c>
      <c r="F868" s="31">
        <v>1</v>
      </c>
      <c r="G868" s="31">
        <v>1</v>
      </c>
      <c r="H868" s="31">
        <v>1</v>
      </c>
      <c r="I868" s="31">
        <v>1</v>
      </c>
    </row>
    <row r="869" spans="1:9" ht="24.75" customHeight="1">
      <c r="A869" s="31" t="s">
        <v>462</v>
      </c>
    </row>
    <row r="870" spans="1:9" ht="24.75" customHeight="1">
      <c r="A870" s="31" t="s">
        <v>458</v>
      </c>
      <c r="B870" s="31" t="s">
        <v>171</v>
      </c>
      <c r="C870" s="31" t="s">
        <v>172</v>
      </c>
      <c r="D870" s="31" t="s">
        <v>173</v>
      </c>
      <c r="E870" s="31" t="s">
        <v>174</v>
      </c>
      <c r="F870" s="31" t="s">
        <v>175</v>
      </c>
      <c r="G870" s="31" t="s">
        <v>176</v>
      </c>
      <c r="H870" s="31" t="s">
        <v>251</v>
      </c>
      <c r="I870" s="31" t="s">
        <v>252</v>
      </c>
    </row>
    <row r="871" spans="1:9" ht="24.75" customHeight="1">
      <c r="A871" s="31">
        <v>10</v>
      </c>
      <c r="B871" s="31">
        <v>13</v>
      </c>
      <c r="C871" s="31">
        <v>13</v>
      </c>
      <c r="D871" s="31">
        <v>13</v>
      </c>
      <c r="E871" s="31">
        <v>13</v>
      </c>
      <c r="F871" s="31">
        <v>13</v>
      </c>
      <c r="G871" s="31">
        <v>13</v>
      </c>
      <c r="H871" s="31">
        <v>13</v>
      </c>
      <c r="I871" s="31">
        <v>13</v>
      </c>
    </row>
    <row r="872" spans="1:9" ht="24.75" customHeight="1">
      <c r="A872" s="31">
        <v>9</v>
      </c>
      <c r="B872" s="31">
        <v>12</v>
      </c>
      <c r="C872" s="31">
        <v>12</v>
      </c>
      <c r="D872" s="31">
        <v>12</v>
      </c>
      <c r="E872" s="31">
        <v>12</v>
      </c>
      <c r="F872" s="31">
        <v>12</v>
      </c>
      <c r="G872" s="31">
        <v>12</v>
      </c>
      <c r="H872" s="31">
        <v>12</v>
      </c>
      <c r="I872" s="31">
        <v>12</v>
      </c>
    </row>
    <row r="873" spans="1:9" ht="24.75" customHeight="1">
      <c r="A873" s="31">
        <v>8</v>
      </c>
      <c r="B873" s="31">
        <v>11</v>
      </c>
      <c r="C873" s="31">
        <v>11</v>
      </c>
      <c r="D873" s="31">
        <v>11</v>
      </c>
      <c r="E873" s="31">
        <v>11</v>
      </c>
      <c r="F873" s="31">
        <v>11</v>
      </c>
      <c r="G873" s="31">
        <v>11</v>
      </c>
      <c r="H873" s="31">
        <v>11</v>
      </c>
      <c r="I873" s="31">
        <v>11</v>
      </c>
    </row>
    <row r="874" spans="1:9" ht="24.75" customHeight="1">
      <c r="A874" s="31">
        <v>7</v>
      </c>
      <c r="B874" s="31">
        <v>10</v>
      </c>
      <c r="C874" s="31">
        <v>10</v>
      </c>
      <c r="D874" s="31">
        <v>10</v>
      </c>
      <c r="E874" s="31">
        <v>10</v>
      </c>
      <c r="F874" s="31">
        <v>10</v>
      </c>
      <c r="G874" s="31">
        <v>10</v>
      </c>
      <c r="H874" s="31">
        <v>10</v>
      </c>
      <c r="I874" s="31">
        <v>10</v>
      </c>
    </row>
    <row r="875" spans="1:9" ht="24.75" customHeight="1">
      <c r="A875" s="31">
        <v>6</v>
      </c>
      <c r="B875" s="31">
        <v>9</v>
      </c>
      <c r="C875" s="31">
        <v>9</v>
      </c>
      <c r="D875" s="31">
        <v>9</v>
      </c>
      <c r="E875" s="31">
        <v>9</v>
      </c>
      <c r="F875" s="31">
        <v>9</v>
      </c>
      <c r="G875" s="31">
        <v>9</v>
      </c>
      <c r="H875" s="31">
        <v>9</v>
      </c>
      <c r="I875" s="31">
        <v>9</v>
      </c>
    </row>
    <row r="876" spans="1:9" ht="24.75" customHeight="1">
      <c r="A876" s="31">
        <v>5</v>
      </c>
      <c r="B876" s="31">
        <v>8</v>
      </c>
      <c r="C876" s="31">
        <v>8</v>
      </c>
      <c r="D876" s="31">
        <v>8</v>
      </c>
      <c r="E876" s="31">
        <v>8</v>
      </c>
      <c r="F876" s="31">
        <v>8</v>
      </c>
      <c r="G876" s="31">
        <v>8</v>
      </c>
      <c r="H876" s="31">
        <v>8</v>
      </c>
      <c r="I876" s="31">
        <v>8</v>
      </c>
    </row>
    <row r="877" spans="1:9" ht="24.75" customHeight="1">
      <c r="A877" s="31">
        <v>4</v>
      </c>
      <c r="B877" s="31">
        <v>7</v>
      </c>
      <c r="C877" s="31">
        <v>7</v>
      </c>
      <c r="D877" s="31">
        <v>7</v>
      </c>
      <c r="E877" s="31">
        <v>7</v>
      </c>
      <c r="F877" s="31">
        <v>7</v>
      </c>
      <c r="G877" s="31">
        <v>7</v>
      </c>
      <c r="H877" s="31">
        <v>7</v>
      </c>
      <c r="I877" s="31">
        <v>7</v>
      </c>
    </row>
    <row r="878" spans="1:9" ht="24.75" customHeight="1">
      <c r="A878" s="31">
        <v>3</v>
      </c>
      <c r="B878" s="31">
        <v>6</v>
      </c>
      <c r="C878" s="31">
        <v>6</v>
      </c>
      <c r="D878" s="31">
        <v>6</v>
      </c>
      <c r="E878" s="31">
        <v>6</v>
      </c>
      <c r="F878" s="31">
        <v>6</v>
      </c>
      <c r="G878" s="31">
        <v>6</v>
      </c>
      <c r="H878" s="31">
        <v>6</v>
      </c>
      <c r="I878" s="31">
        <v>6</v>
      </c>
    </row>
    <row r="879" spans="1:9" ht="24.75" customHeight="1">
      <c r="A879" s="31">
        <v>2</v>
      </c>
      <c r="B879" s="31">
        <v>4</v>
      </c>
      <c r="C879" s="31">
        <v>4</v>
      </c>
      <c r="D879" s="31">
        <v>4</v>
      </c>
      <c r="E879" s="31">
        <v>4</v>
      </c>
      <c r="F879" s="31">
        <v>4</v>
      </c>
      <c r="G879" s="31">
        <v>4</v>
      </c>
      <c r="H879" s="31">
        <v>4</v>
      </c>
      <c r="I879" s="31">
        <v>4</v>
      </c>
    </row>
    <row r="880" spans="1:9" ht="24.75" customHeight="1">
      <c r="A880" s="31">
        <v>1</v>
      </c>
      <c r="B880" s="31">
        <v>2</v>
      </c>
      <c r="C880" s="31">
        <v>2</v>
      </c>
      <c r="D880" s="31">
        <v>2</v>
      </c>
      <c r="E880" s="31">
        <v>2</v>
      </c>
      <c r="F880" s="31">
        <v>2</v>
      </c>
      <c r="G880" s="31">
        <v>2</v>
      </c>
      <c r="H880" s="31">
        <v>2</v>
      </c>
      <c r="I880" s="31">
        <v>2</v>
      </c>
    </row>
    <row r="881" spans="1:9" ht="24.75" customHeight="1">
      <c r="A881" s="31" t="s">
        <v>463</v>
      </c>
    </row>
    <row r="882" spans="1:9" ht="24.75" customHeight="1">
      <c r="A882" s="31" t="s">
        <v>464</v>
      </c>
    </row>
    <row r="883" spans="1:9" ht="24.75" customHeight="1">
      <c r="A883" s="31" t="s">
        <v>458</v>
      </c>
      <c r="B883" s="31" t="s">
        <v>171</v>
      </c>
      <c r="C883" s="31" t="s">
        <v>172</v>
      </c>
      <c r="D883" s="31" t="s">
        <v>173</v>
      </c>
      <c r="E883" s="31" t="s">
        <v>174</v>
      </c>
      <c r="F883" s="31" t="s">
        <v>175</v>
      </c>
      <c r="G883" s="31" t="s">
        <v>176</v>
      </c>
      <c r="H883" s="31" t="s">
        <v>251</v>
      </c>
      <c r="I883" s="31" t="s">
        <v>252</v>
      </c>
    </row>
    <row r="884" spans="1:9" ht="24.75" customHeight="1">
      <c r="A884" s="31">
        <v>10</v>
      </c>
      <c r="B884" s="31">
        <v>-35</v>
      </c>
      <c r="C884" s="31">
        <v>-35</v>
      </c>
      <c r="D884" s="31">
        <v>-35</v>
      </c>
      <c r="E884" s="31">
        <v>-35</v>
      </c>
      <c r="F884" s="31">
        <v>-35</v>
      </c>
      <c r="G884" s="31">
        <v>-35</v>
      </c>
      <c r="H884" s="31">
        <v>-35</v>
      </c>
      <c r="I884" s="31">
        <v>-35</v>
      </c>
    </row>
    <row r="885" spans="1:9" ht="24.75" customHeight="1">
      <c r="A885" s="31">
        <v>9</v>
      </c>
      <c r="B885" s="31">
        <v>-32</v>
      </c>
      <c r="C885" s="31">
        <v>-32</v>
      </c>
      <c r="D885" s="31">
        <v>-32</v>
      </c>
      <c r="E885" s="31">
        <v>-32</v>
      </c>
      <c r="F885" s="31">
        <v>-32</v>
      </c>
      <c r="G885" s="31">
        <v>-32</v>
      </c>
      <c r="H885" s="31">
        <v>-32</v>
      </c>
      <c r="I885" s="31">
        <v>-32</v>
      </c>
    </row>
    <row r="886" spans="1:9" ht="24.75" customHeight="1">
      <c r="A886" s="31">
        <v>8</v>
      </c>
      <c r="B886" s="31">
        <v>-29</v>
      </c>
      <c r="C886" s="31">
        <v>-29</v>
      </c>
      <c r="D886" s="31">
        <v>-29</v>
      </c>
      <c r="E886" s="31">
        <v>-29</v>
      </c>
      <c r="F886" s="31">
        <v>-29</v>
      </c>
      <c r="G886" s="31">
        <v>-29</v>
      </c>
      <c r="H886" s="31">
        <v>-29</v>
      </c>
      <c r="I886" s="31">
        <v>-29</v>
      </c>
    </row>
    <row r="887" spans="1:9" ht="24.75" customHeight="1">
      <c r="A887" s="31">
        <v>7</v>
      </c>
      <c r="B887" s="31">
        <v>-26</v>
      </c>
      <c r="C887" s="31">
        <v>-26</v>
      </c>
      <c r="D887" s="31">
        <v>-26</v>
      </c>
      <c r="E887" s="31">
        <v>-26</v>
      </c>
      <c r="F887" s="31">
        <v>-26</v>
      </c>
      <c r="G887" s="31">
        <v>-26</v>
      </c>
      <c r="H887" s="31">
        <v>-26</v>
      </c>
      <c r="I887" s="31">
        <v>-26</v>
      </c>
    </row>
    <row r="888" spans="1:9" ht="24.75" customHeight="1">
      <c r="A888" s="31">
        <v>6</v>
      </c>
      <c r="B888" s="31">
        <v>-23</v>
      </c>
      <c r="C888" s="31">
        <v>-23</v>
      </c>
      <c r="D888" s="31">
        <v>-23</v>
      </c>
      <c r="E888" s="31">
        <v>-23</v>
      </c>
      <c r="F888" s="31">
        <v>-23</v>
      </c>
      <c r="G888" s="31">
        <v>-23</v>
      </c>
      <c r="H888" s="31">
        <v>-23</v>
      </c>
      <c r="I888" s="31">
        <v>-23</v>
      </c>
    </row>
    <row r="889" spans="1:9" ht="24.75" customHeight="1">
      <c r="A889" s="31">
        <v>5</v>
      </c>
      <c r="B889" s="31">
        <v>-20</v>
      </c>
      <c r="C889" s="31">
        <v>-20</v>
      </c>
      <c r="D889" s="31">
        <v>-20</v>
      </c>
      <c r="E889" s="31">
        <v>-20</v>
      </c>
      <c r="F889" s="31">
        <v>-20</v>
      </c>
      <c r="G889" s="31">
        <v>-20</v>
      </c>
      <c r="H889" s="31">
        <v>-20</v>
      </c>
      <c r="I889" s="31">
        <v>-20</v>
      </c>
    </row>
    <row r="890" spans="1:9" ht="24.75" customHeight="1">
      <c r="A890" s="31">
        <v>4</v>
      </c>
      <c r="B890" s="31">
        <v>-16</v>
      </c>
      <c r="C890" s="31">
        <v>-16</v>
      </c>
      <c r="D890" s="31">
        <v>-16</v>
      </c>
      <c r="E890" s="31">
        <v>-16</v>
      </c>
      <c r="F890" s="31">
        <v>-16</v>
      </c>
      <c r="G890" s="31">
        <v>-16</v>
      </c>
      <c r="H890" s="31">
        <v>-16</v>
      </c>
      <c r="I890" s="31">
        <v>-16</v>
      </c>
    </row>
    <row r="891" spans="1:9" ht="24.75" customHeight="1">
      <c r="A891" s="31">
        <v>3</v>
      </c>
      <c r="B891" s="31">
        <v>-12</v>
      </c>
      <c r="C891" s="31">
        <v>-12</v>
      </c>
      <c r="D891" s="31">
        <v>-12</v>
      </c>
      <c r="E891" s="31">
        <v>-12</v>
      </c>
      <c r="F891" s="31">
        <v>-12</v>
      </c>
      <c r="G891" s="31">
        <v>-12</v>
      </c>
      <c r="H891" s="31">
        <v>-12</v>
      </c>
      <c r="I891" s="31">
        <v>-12</v>
      </c>
    </row>
    <row r="892" spans="1:9" ht="24.75" customHeight="1">
      <c r="A892" s="31">
        <v>2</v>
      </c>
      <c r="B892" s="31">
        <v>-8</v>
      </c>
      <c r="C892" s="31">
        <v>-8</v>
      </c>
      <c r="D892" s="31">
        <v>-8</v>
      </c>
      <c r="E892" s="31">
        <v>-8</v>
      </c>
      <c r="F892" s="31">
        <v>-8</v>
      </c>
      <c r="G892" s="31">
        <v>-8</v>
      </c>
      <c r="H892" s="31">
        <v>-8</v>
      </c>
      <c r="I892" s="31">
        <v>-8</v>
      </c>
    </row>
    <row r="893" spans="1:9" ht="24.75" customHeight="1">
      <c r="A893" s="31">
        <v>1</v>
      </c>
      <c r="B893" s="31">
        <v>-4</v>
      </c>
      <c r="C893" s="31">
        <v>-4</v>
      </c>
      <c r="D893" s="31">
        <v>-4</v>
      </c>
      <c r="E893" s="31">
        <v>-4</v>
      </c>
      <c r="F893" s="31">
        <v>-4</v>
      </c>
      <c r="G893" s="31">
        <v>-4</v>
      </c>
      <c r="H893" s="31">
        <v>-4</v>
      </c>
      <c r="I893" s="31">
        <v>-4</v>
      </c>
    </row>
    <row r="894" spans="1:9" ht="24.75" customHeight="1">
      <c r="A894" s="31" t="s">
        <v>465</v>
      </c>
    </row>
    <row r="895" spans="1:9" ht="24.75" customHeight="1">
      <c r="A895" s="31" t="s">
        <v>458</v>
      </c>
      <c r="B895" s="31" t="s">
        <v>171</v>
      </c>
      <c r="C895" s="31" t="s">
        <v>172</v>
      </c>
      <c r="D895" s="31" t="s">
        <v>173</v>
      </c>
      <c r="E895" s="31" t="s">
        <v>174</v>
      </c>
      <c r="F895" s="31" t="s">
        <v>175</v>
      </c>
      <c r="G895" s="31" t="s">
        <v>176</v>
      </c>
      <c r="H895" s="31" t="s">
        <v>251</v>
      </c>
      <c r="I895" s="31" t="s">
        <v>252</v>
      </c>
    </row>
    <row r="896" spans="1:9" ht="24.75" customHeight="1">
      <c r="A896" s="31">
        <v>10</v>
      </c>
      <c r="B896" s="31">
        <v>-50</v>
      </c>
      <c r="C896" s="31">
        <v>-50</v>
      </c>
      <c r="D896" s="31">
        <v>-50</v>
      </c>
      <c r="E896" s="31">
        <v>-50</v>
      </c>
      <c r="F896" s="31">
        <v>-50</v>
      </c>
      <c r="G896" s="31">
        <v>-50</v>
      </c>
      <c r="H896" s="31">
        <v>-50</v>
      </c>
      <c r="I896" s="31">
        <v>-50</v>
      </c>
    </row>
    <row r="897" spans="1:9" ht="24.75" customHeight="1">
      <c r="A897" s="31">
        <v>9</v>
      </c>
      <c r="B897" s="31">
        <v>-45</v>
      </c>
      <c r="C897" s="31">
        <v>-45</v>
      </c>
      <c r="D897" s="31">
        <v>-45</v>
      </c>
      <c r="E897" s="31">
        <v>-45</v>
      </c>
      <c r="F897" s="31">
        <v>-45</v>
      </c>
      <c r="G897" s="31">
        <v>-45</v>
      </c>
      <c r="H897" s="31">
        <v>-45</v>
      </c>
      <c r="I897" s="31">
        <v>-45</v>
      </c>
    </row>
    <row r="898" spans="1:9" ht="24.75" customHeight="1">
      <c r="A898" s="31">
        <v>8</v>
      </c>
      <c r="B898" s="31">
        <v>-40</v>
      </c>
      <c r="C898" s="31">
        <v>-40</v>
      </c>
      <c r="D898" s="31">
        <v>-40</v>
      </c>
      <c r="E898" s="31">
        <v>-40</v>
      </c>
      <c r="F898" s="31">
        <v>-40</v>
      </c>
      <c r="G898" s="31">
        <v>-40</v>
      </c>
      <c r="H898" s="31">
        <v>-40</v>
      </c>
      <c r="I898" s="31">
        <v>-40</v>
      </c>
    </row>
    <row r="899" spans="1:9" ht="24.75" customHeight="1">
      <c r="A899" s="31">
        <v>7</v>
      </c>
      <c r="B899" s="31">
        <v>-35</v>
      </c>
      <c r="C899" s="31">
        <v>-35</v>
      </c>
      <c r="D899" s="31">
        <v>-35</v>
      </c>
      <c r="E899" s="31">
        <v>-35</v>
      </c>
      <c r="F899" s="31">
        <v>-35</v>
      </c>
      <c r="G899" s="31">
        <v>-35</v>
      </c>
      <c r="H899" s="31">
        <v>-35</v>
      </c>
      <c r="I899" s="31">
        <v>-35</v>
      </c>
    </row>
    <row r="900" spans="1:9" ht="24.75" customHeight="1">
      <c r="A900" s="31">
        <v>6</v>
      </c>
      <c r="B900" s="31">
        <v>-30</v>
      </c>
      <c r="C900" s="31">
        <v>-30</v>
      </c>
      <c r="D900" s="31">
        <v>-30</v>
      </c>
      <c r="E900" s="31">
        <v>-30</v>
      </c>
      <c r="F900" s="31">
        <v>-30</v>
      </c>
      <c r="G900" s="31">
        <v>-30</v>
      </c>
      <c r="H900" s="31">
        <v>-30</v>
      </c>
      <c r="I900" s="31">
        <v>-30</v>
      </c>
    </row>
    <row r="901" spans="1:9" ht="24.75" customHeight="1">
      <c r="A901" s="31">
        <v>5</v>
      </c>
      <c r="B901" s="31">
        <v>-25</v>
      </c>
      <c r="C901" s="31">
        <v>-25</v>
      </c>
      <c r="D901" s="31">
        <v>-25</v>
      </c>
      <c r="E901" s="31">
        <v>-25</v>
      </c>
      <c r="F901" s="31">
        <v>-25</v>
      </c>
      <c r="G901" s="31">
        <v>-25</v>
      </c>
      <c r="H901" s="31">
        <v>-25</v>
      </c>
      <c r="I901" s="31">
        <v>-25</v>
      </c>
    </row>
    <row r="902" spans="1:9" ht="24.75" customHeight="1">
      <c r="A902" s="31">
        <v>4</v>
      </c>
      <c r="B902" s="31">
        <v>-20</v>
      </c>
      <c r="C902" s="31">
        <v>-20</v>
      </c>
      <c r="D902" s="31">
        <v>-20</v>
      </c>
      <c r="E902" s="31">
        <v>-20</v>
      </c>
      <c r="F902" s="31">
        <v>-20</v>
      </c>
      <c r="G902" s="31">
        <v>-20</v>
      </c>
      <c r="H902" s="31">
        <v>-20</v>
      </c>
      <c r="I902" s="31">
        <v>-20</v>
      </c>
    </row>
    <row r="903" spans="1:9" ht="24.75" customHeight="1">
      <c r="A903" s="31">
        <v>3</v>
      </c>
      <c r="B903" s="31">
        <v>-15</v>
      </c>
      <c r="C903" s="31">
        <v>-15</v>
      </c>
      <c r="D903" s="31">
        <v>-15</v>
      </c>
      <c r="E903" s="31">
        <v>-15</v>
      </c>
      <c r="F903" s="31">
        <v>-15</v>
      </c>
      <c r="G903" s="31">
        <v>-15</v>
      </c>
      <c r="H903" s="31">
        <v>-15</v>
      </c>
      <c r="I903" s="31">
        <v>-15</v>
      </c>
    </row>
    <row r="904" spans="1:9" ht="24.75" customHeight="1">
      <c r="A904" s="31">
        <v>2</v>
      </c>
      <c r="B904" s="31">
        <v>-10</v>
      </c>
      <c r="C904" s="31">
        <v>-10</v>
      </c>
      <c r="D904" s="31">
        <v>-10</v>
      </c>
      <c r="E904" s="31">
        <v>-10</v>
      </c>
      <c r="F904" s="31">
        <v>-10</v>
      </c>
      <c r="G904" s="31">
        <v>-10</v>
      </c>
      <c r="H904" s="31">
        <v>-10</v>
      </c>
      <c r="I904" s="31">
        <v>-10</v>
      </c>
    </row>
    <row r="905" spans="1:9" ht="24.75" customHeight="1">
      <c r="A905" s="31">
        <v>1</v>
      </c>
      <c r="B905" s="31">
        <v>-5</v>
      </c>
      <c r="C905" s="31">
        <v>-5</v>
      </c>
      <c r="D905" s="31">
        <v>-5</v>
      </c>
      <c r="E905" s="31">
        <v>-5</v>
      </c>
      <c r="F905" s="31">
        <v>-5</v>
      </c>
      <c r="G905" s="31">
        <v>-5</v>
      </c>
      <c r="H905" s="31">
        <v>-5</v>
      </c>
      <c r="I905" s="31">
        <v>-5</v>
      </c>
    </row>
  </sheetData>
  <mergeCells count="166">
    <mergeCell ref="M153:M154"/>
    <mergeCell ref="L153:L154"/>
    <mergeCell ref="K153:K154"/>
    <mergeCell ref="J63:J64"/>
    <mergeCell ref="K108:K109"/>
    <mergeCell ref="M63:M64"/>
    <mergeCell ref="I745:I746"/>
    <mergeCell ref="A745:A746"/>
    <mergeCell ref="K19:K20"/>
    <mergeCell ref="J679:J680"/>
    <mergeCell ref="F373:F374"/>
    <mergeCell ref="C623:C624"/>
    <mergeCell ref="A288:A289"/>
    <mergeCell ref="H63:H64"/>
    <mergeCell ref="D2:D3"/>
    <mergeCell ref="H19:H20"/>
    <mergeCell ref="C108:C109"/>
    <mergeCell ref="F198:F199"/>
    <mergeCell ref="H2:H3"/>
    <mergeCell ref="C373:C374"/>
    <mergeCell ref="G623:G624"/>
    <mergeCell ref="J503:J504"/>
    <mergeCell ref="E623:E624"/>
    <mergeCell ref="H458:H459"/>
    <mergeCell ref="G458:G459"/>
    <mergeCell ref="D243:D244"/>
    <mergeCell ref="J153:J154"/>
    <mergeCell ref="F19:F20"/>
    <mergeCell ref="G373:G374"/>
    <mergeCell ref="C19:C20"/>
    <mergeCell ref="F63:F64"/>
    <mergeCell ref="J108:J109"/>
    <mergeCell ref="F153:F154"/>
    <mergeCell ref="C63:C64"/>
    <mergeCell ref="D548:D549"/>
    <mergeCell ref="E548:E549"/>
    <mergeCell ref="G288:G289"/>
    <mergeCell ref="G63:G64"/>
    <mergeCell ref="G198:G199"/>
    <mergeCell ref="C458:C459"/>
    <mergeCell ref="H548:H549"/>
    <mergeCell ref="I503:I504"/>
    <mergeCell ref="F458:F459"/>
    <mergeCell ref="D503:D504"/>
    <mergeCell ref="G503:G504"/>
    <mergeCell ref="F288:F289"/>
    <mergeCell ref="G108:G109"/>
    <mergeCell ref="D63:D64"/>
    <mergeCell ref="E108:E109"/>
    <mergeCell ref="D108:D109"/>
    <mergeCell ref="E63:E64"/>
    <mergeCell ref="F2:F3"/>
    <mergeCell ref="C153:C154"/>
    <mergeCell ref="E373:E374"/>
    <mergeCell ref="J623:J624"/>
    <mergeCell ref="G679:G680"/>
    <mergeCell ref="K63:K64"/>
    <mergeCell ref="C243:C244"/>
    <mergeCell ref="I153:I154"/>
    <mergeCell ref="G243:G244"/>
    <mergeCell ref="F108:F109"/>
    <mergeCell ref="C2:C3"/>
    <mergeCell ref="J2:J3"/>
    <mergeCell ref="C288:C289"/>
    <mergeCell ref="I2:I3"/>
    <mergeCell ref="D623:D624"/>
    <mergeCell ref="F623:F624"/>
    <mergeCell ref="K623:K624"/>
    <mergeCell ref="H679:H680"/>
    <mergeCell ref="F548:F549"/>
    <mergeCell ref="G548:G549"/>
    <mergeCell ref="E2:E3"/>
    <mergeCell ref="F243:F244"/>
    <mergeCell ref="E243:E244"/>
    <mergeCell ref="D198:D199"/>
    <mergeCell ref="L2:L3"/>
    <mergeCell ref="K243:K244"/>
    <mergeCell ref="K198:K199"/>
    <mergeCell ref="I198:I199"/>
    <mergeCell ref="H153:H154"/>
    <mergeCell ref="L243:L244"/>
    <mergeCell ref="L198:L199"/>
    <mergeCell ref="I679:I680"/>
    <mergeCell ref="J458:J459"/>
    <mergeCell ref="J548:J549"/>
    <mergeCell ref="H503:H504"/>
    <mergeCell ref="H198:H199"/>
    <mergeCell ref="I108:I109"/>
    <mergeCell ref="H243:H244"/>
    <mergeCell ref="K548:K549"/>
    <mergeCell ref="J243:J244"/>
    <mergeCell ref="L623:L624"/>
    <mergeCell ref="I623:I624"/>
    <mergeCell ref="L548:L549"/>
    <mergeCell ref="I19:I20"/>
    <mergeCell ref="L108:L109"/>
    <mergeCell ref="A108:A109"/>
    <mergeCell ref="C503:C504"/>
    <mergeCell ref="A243:A244"/>
    <mergeCell ref="A458:A459"/>
    <mergeCell ref="F745:F746"/>
    <mergeCell ref="H373:H374"/>
    <mergeCell ref="C745:C746"/>
    <mergeCell ref="F503:F504"/>
    <mergeCell ref="H623:H624"/>
    <mergeCell ref="A548:A549"/>
    <mergeCell ref="D458:D459"/>
    <mergeCell ref="C593:C594"/>
    <mergeCell ref="D288:D289"/>
    <mergeCell ref="D745:D746"/>
    <mergeCell ref="A198:A199"/>
    <mergeCell ref="E198:E199"/>
    <mergeCell ref="D153:D154"/>
    <mergeCell ref="E153:E154"/>
    <mergeCell ref="D679:D680"/>
    <mergeCell ref="A623:A624"/>
    <mergeCell ref="E745:E746"/>
    <mergeCell ref="A153:A154"/>
    <mergeCell ref="N63:N64"/>
    <mergeCell ref="H288:H289"/>
    <mergeCell ref="I458:I459"/>
    <mergeCell ref="C679:C680"/>
    <mergeCell ref="G745:G746"/>
    <mergeCell ref="A593:A594"/>
    <mergeCell ref="D373:D374"/>
    <mergeCell ref="J198:J199"/>
    <mergeCell ref="H108:H109"/>
    <mergeCell ref="N198:N199"/>
    <mergeCell ref="N243:N244"/>
    <mergeCell ref="N108:N109"/>
    <mergeCell ref="N153:N154"/>
    <mergeCell ref="C198:C199"/>
    <mergeCell ref="M198:M199"/>
    <mergeCell ref="M243:M244"/>
    <mergeCell ref="M108:M109"/>
    <mergeCell ref="J745:J746"/>
    <mergeCell ref="E503:E504"/>
    <mergeCell ref="A679:A680"/>
    <mergeCell ref="H745:H746"/>
    <mergeCell ref="E458:E459"/>
    <mergeCell ref="A373:A374"/>
    <mergeCell ref="L63:L64"/>
    <mergeCell ref="A19:A20"/>
    <mergeCell ref="I243:I244"/>
    <mergeCell ref="E288:E289"/>
    <mergeCell ref="E19:E20"/>
    <mergeCell ref="G19:G20"/>
    <mergeCell ref="N2:N3"/>
    <mergeCell ref="O2:O3"/>
    <mergeCell ref="A503:A504"/>
    <mergeCell ref="E679:E680"/>
    <mergeCell ref="I548:I549"/>
    <mergeCell ref="G2:G3"/>
    <mergeCell ref="N19:N20"/>
    <mergeCell ref="L19:L20"/>
    <mergeCell ref="A2:A3"/>
    <mergeCell ref="M19:M20"/>
    <mergeCell ref="M2:M3"/>
    <mergeCell ref="C548:C549"/>
    <mergeCell ref="F679:F680"/>
    <mergeCell ref="K2:K3"/>
    <mergeCell ref="G153:G154"/>
    <mergeCell ref="A63:A64"/>
    <mergeCell ref="J19:J20"/>
    <mergeCell ref="I63:I64"/>
    <mergeCell ref="D19:D20"/>
  </mergeCells>
  <phoneticPr fontId="8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4"/>
  <sheetViews>
    <sheetView topLeftCell="A85" workbookViewId="0">
      <selection activeCell="A57" sqref="A57:H101"/>
    </sheetView>
  </sheetViews>
  <sheetFormatPr baseColWidth="10" defaultColWidth="9" defaultRowHeight="24" customHeight="1"/>
  <sheetData>
    <row r="1" spans="1:14" ht="24" customHeight="1">
      <c r="A1" t="s">
        <v>244</v>
      </c>
    </row>
    <row r="2" spans="1:14" ht="24" customHeight="1">
      <c r="A2" s="34" t="s">
        <v>163</v>
      </c>
      <c r="B2" t="s">
        <v>164</v>
      </c>
      <c r="C2" s="34" t="s">
        <v>165</v>
      </c>
      <c r="D2" s="34" t="s">
        <v>166</v>
      </c>
      <c r="E2" s="34" t="s">
        <v>167</v>
      </c>
      <c r="F2" s="34" t="s">
        <v>168</v>
      </c>
      <c r="G2" s="34" t="s">
        <v>169</v>
      </c>
      <c r="H2" s="34" t="s">
        <v>170</v>
      </c>
      <c r="I2" s="34" t="s">
        <v>171</v>
      </c>
      <c r="J2" s="34" t="s">
        <v>172</v>
      </c>
      <c r="K2" s="34" t="s">
        <v>173</v>
      </c>
      <c r="L2" s="34" t="s">
        <v>174</v>
      </c>
      <c r="M2" s="34" t="s">
        <v>175</v>
      </c>
      <c r="N2" s="34" t="s">
        <v>176</v>
      </c>
    </row>
    <row r="3" spans="1:14" ht="24" customHeight="1">
      <c r="A3" s="34"/>
      <c r="B3" t="s">
        <v>177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24" customHeight="1">
      <c r="A4" t="s">
        <v>178</v>
      </c>
      <c r="B4">
        <v>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</row>
    <row r="5" spans="1:14" ht="24" customHeight="1">
      <c r="A5" t="s">
        <v>178</v>
      </c>
      <c r="B5">
        <v>0</v>
      </c>
      <c r="C5">
        <v>499</v>
      </c>
      <c r="D5">
        <v>599</v>
      </c>
      <c r="E5">
        <v>699</v>
      </c>
      <c r="F5">
        <v>799</v>
      </c>
      <c r="G5">
        <v>899</v>
      </c>
      <c r="H5">
        <v>1049</v>
      </c>
      <c r="I5">
        <v>1149</v>
      </c>
      <c r="J5">
        <v>1299</v>
      </c>
      <c r="K5">
        <v>1449</v>
      </c>
      <c r="L5">
        <v>1549</v>
      </c>
      <c r="M5">
        <v>1649</v>
      </c>
      <c r="N5">
        <v>1749</v>
      </c>
    </row>
    <row r="6" spans="1:14" ht="24" customHeight="1">
      <c r="A6" t="s">
        <v>178</v>
      </c>
      <c r="B6">
        <v>10</v>
      </c>
      <c r="C6">
        <v>500</v>
      </c>
      <c r="D6">
        <v>600</v>
      </c>
      <c r="E6">
        <v>700</v>
      </c>
      <c r="F6">
        <v>800</v>
      </c>
      <c r="G6">
        <v>900</v>
      </c>
      <c r="H6">
        <v>1050</v>
      </c>
      <c r="I6">
        <v>1150</v>
      </c>
      <c r="J6">
        <v>1300</v>
      </c>
      <c r="K6">
        <v>1450</v>
      </c>
      <c r="L6">
        <v>1550</v>
      </c>
      <c r="M6">
        <v>1650</v>
      </c>
      <c r="N6">
        <v>1750</v>
      </c>
    </row>
    <row r="7" spans="1:14" ht="24" customHeight="1">
      <c r="A7" t="s">
        <v>178</v>
      </c>
      <c r="B7">
        <v>10</v>
      </c>
      <c r="C7">
        <v>519</v>
      </c>
      <c r="D7">
        <v>619</v>
      </c>
      <c r="E7">
        <v>719</v>
      </c>
      <c r="F7">
        <v>819</v>
      </c>
      <c r="G7">
        <v>929</v>
      </c>
      <c r="H7">
        <v>1079</v>
      </c>
      <c r="I7">
        <v>1189</v>
      </c>
      <c r="J7">
        <v>1339</v>
      </c>
      <c r="K7">
        <v>1489</v>
      </c>
      <c r="L7">
        <v>1589</v>
      </c>
      <c r="M7">
        <v>1689</v>
      </c>
      <c r="N7">
        <v>1789</v>
      </c>
    </row>
    <row r="8" spans="1:14" ht="24" customHeight="1">
      <c r="A8" t="s">
        <v>178</v>
      </c>
      <c r="B8">
        <v>20</v>
      </c>
      <c r="C8">
        <v>520</v>
      </c>
      <c r="D8">
        <v>620</v>
      </c>
      <c r="E8">
        <v>720</v>
      </c>
      <c r="F8">
        <v>820</v>
      </c>
      <c r="G8">
        <v>930</v>
      </c>
      <c r="H8">
        <v>1080</v>
      </c>
      <c r="I8">
        <v>1190</v>
      </c>
      <c r="J8">
        <v>1340</v>
      </c>
      <c r="K8">
        <v>1490</v>
      </c>
      <c r="L8">
        <v>1590</v>
      </c>
      <c r="M8">
        <v>1690</v>
      </c>
      <c r="N8">
        <v>1790</v>
      </c>
    </row>
    <row r="9" spans="1:14" ht="24" customHeight="1">
      <c r="A9" t="s">
        <v>178</v>
      </c>
      <c r="B9">
        <v>20</v>
      </c>
      <c r="C9">
        <v>539</v>
      </c>
      <c r="D9">
        <v>639</v>
      </c>
      <c r="E9">
        <v>739</v>
      </c>
      <c r="F9">
        <v>839</v>
      </c>
      <c r="G9">
        <v>959</v>
      </c>
      <c r="H9">
        <v>1109</v>
      </c>
      <c r="I9">
        <v>1229</v>
      </c>
      <c r="J9">
        <v>1379</v>
      </c>
      <c r="K9">
        <v>1529</v>
      </c>
      <c r="L9">
        <v>1629</v>
      </c>
      <c r="M9">
        <v>1729</v>
      </c>
      <c r="N9">
        <v>1829</v>
      </c>
    </row>
    <row r="10" spans="1:14" ht="24" customHeight="1">
      <c r="A10" t="s">
        <v>178</v>
      </c>
      <c r="B10">
        <v>30</v>
      </c>
      <c r="C10">
        <v>540</v>
      </c>
      <c r="D10">
        <v>640</v>
      </c>
      <c r="E10">
        <v>740</v>
      </c>
      <c r="F10">
        <v>840</v>
      </c>
      <c r="G10">
        <v>960</v>
      </c>
      <c r="H10">
        <v>1110</v>
      </c>
      <c r="I10">
        <v>1230</v>
      </c>
      <c r="J10">
        <v>1380</v>
      </c>
      <c r="K10">
        <v>1530</v>
      </c>
      <c r="L10">
        <v>1630</v>
      </c>
      <c r="M10">
        <v>1730</v>
      </c>
      <c r="N10">
        <v>1830</v>
      </c>
    </row>
    <row r="11" spans="1:14" ht="24" customHeight="1">
      <c r="A11" t="s">
        <v>178</v>
      </c>
      <c r="B11">
        <v>30</v>
      </c>
      <c r="C11">
        <v>559</v>
      </c>
      <c r="D11">
        <v>659</v>
      </c>
      <c r="E11">
        <v>759</v>
      </c>
      <c r="F11">
        <v>859</v>
      </c>
      <c r="G11">
        <v>989</v>
      </c>
      <c r="H11">
        <v>1139</v>
      </c>
      <c r="I11">
        <v>1269</v>
      </c>
      <c r="J11">
        <v>1419</v>
      </c>
      <c r="K11">
        <v>1569</v>
      </c>
      <c r="L11">
        <v>1669</v>
      </c>
      <c r="M11">
        <v>1768</v>
      </c>
      <c r="N11">
        <v>1869</v>
      </c>
    </row>
    <row r="12" spans="1:14" ht="24" customHeight="1">
      <c r="A12" t="s">
        <v>178</v>
      </c>
      <c r="B12">
        <v>40</v>
      </c>
      <c r="C12">
        <v>560</v>
      </c>
      <c r="D12">
        <v>660</v>
      </c>
      <c r="E12">
        <v>760</v>
      </c>
      <c r="F12">
        <v>860</v>
      </c>
      <c r="G12">
        <v>990</v>
      </c>
      <c r="H12">
        <v>1140</v>
      </c>
      <c r="I12">
        <v>1270</v>
      </c>
      <c r="J12">
        <v>1420</v>
      </c>
      <c r="K12">
        <v>1570</v>
      </c>
      <c r="L12">
        <v>1670</v>
      </c>
      <c r="M12">
        <v>1770</v>
      </c>
      <c r="N12">
        <v>1870</v>
      </c>
    </row>
    <row r="13" spans="1:14" ht="24" customHeight="1">
      <c r="A13" t="s">
        <v>178</v>
      </c>
      <c r="B13">
        <v>40</v>
      </c>
      <c r="C13">
        <v>579</v>
      </c>
      <c r="D13">
        <v>679</v>
      </c>
      <c r="E13">
        <v>779</v>
      </c>
      <c r="F13">
        <v>879</v>
      </c>
      <c r="G13">
        <v>1019</v>
      </c>
      <c r="H13">
        <v>1169</v>
      </c>
      <c r="I13">
        <v>1309</v>
      </c>
      <c r="J13">
        <v>1659</v>
      </c>
      <c r="K13">
        <v>1609</v>
      </c>
      <c r="L13">
        <v>1709</v>
      </c>
      <c r="M13">
        <v>1809</v>
      </c>
      <c r="N13">
        <v>1909</v>
      </c>
    </row>
    <row r="14" spans="1:14" ht="24" customHeight="1">
      <c r="A14" t="s">
        <v>178</v>
      </c>
      <c r="B14">
        <v>50</v>
      </c>
      <c r="C14">
        <v>580</v>
      </c>
      <c r="D14">
        <v>680</v>
      </c>
      <c r="E14">
        <v>780</v>
      </c>
      <c r="F14">
        <v>880</v>
      </c>
      <c r="G14">
        <v>1020</v>
      </c>
      <c r="H14">
        <v>1170</v>
      </c>
      <c r="I14">
        <v>1310</v>
      </c>
      <c r="J14">
        <v>1460</v>
      </c>
      <c r="K14">
        <v>1610</v>
      </c>
      <c r="L14">
        <v>1710</v>
      </c>
      <c r="M14">
        <v>1810</v>
      </c>
      <c r="N14">
        <v>1910</v>
      </c>
    </row>
    <row r="15" spans="1:14" ht="24" customHeight="1">
      <c r="A15" t="s">
        <v>178</v>
      </c>
      <c r="B15">
        <v>50</v>
      </c>
      <c r="C15">
        <v>699</v>
      </c>
      <c r="D15">
        <v>699</v>
      </c>
      <c r="E15">
        <v>799</v>
      </c>
      <c r="F15">
        <v>899</v>
      </c>
      <c r="G15">
        <v>1049</v>
      </c>
      <c r="H15">
        <v>1199</v>
      </c>
      <c r="I15">
        <v>1349</v>
      </c>
      <c r="J15">
        <v>1499</v>
      </c>
      <c r="K15">
        <v>1649</v>
      </c>
      <c r="L15">
        <v>1749</v>
      </c>
      <c r="M15">
        <v>1849</v>
      </c>
      <c r="N15">
        <v>1949</v>
      </c>
    </row>
    <row r="16" spans="1:14" ht="24" customHeight="1">
      <c r="A16" t="s">
        <v>179</v>
      </c>
      <c r="B16">
        <v>60</v>
      </c>
      <c r="C16">
        <v>600</v>
      </c>
      <c r="D16">
        <v>700</v>
      </c>
      <c r="E16">
        <v>800</v>
      </c>
      <c r="F16">
        <v>900</v>
      </c>
      <c r="G16">
        <v>1050</v>
      </c>
      <c r="H16">
        <v>1200</v>
      </c>
      <c r="I16">
        <v>1350</v>
      </c>
      <c r="J16">
        <v>1500</v>
      </c>
      <c r="K16">
        <v>1650</v>
      </c>
      <c r="L16">
        <v>1750</v>
      </c>
      <c r="M16">
        <v>1850</v>
      </c>
      <c r="N16">
        <v>1950</v>
      </c>
    </row>
    <row r="17" spans="1:14" ht="24" customHeight="1">
      <c r="A17" t="s">
        <v>179</v>
      </c>
      <c r="B17">
        <v>60</v>
      </c>
      <c r="C17">
        <v>639</v>
      </c>
      <c r="D17">
        <v>749</v>
      </c>
      <c r="E17">
        <v>859</v>
      </c>
      <c r="F17">
        <v>969</v>
      </c>
      <c r="G17">
        <v>1129</v>
      </c>
      <c r="H17">
        <v>1289</v>
      </c>
      <c r="I17">
        <v>1449</v>
      </c>
      <c r="J17">
        <v>1599</v>
      </c>
      <c r="K17">
        <v>1749</v>
      </c>
      <c r="L17">
        <v>1849</v>
      </c>
      <c r="M17">
        <v>1949</v>
      </c>
      <c r="N17">
        <v>2049</v>
      </c>
    </row>
    <row r="18" spans="1:14" ht="24" customHeight="1">
      <c r="A18" t="s">
        <v>179</v>
      </c>
      <c r="B18">
        <v>62</v>
      </c>
      <c r="C18">
        <v>640</v>
      </c>
      <c r="D18">
        <v>750</v>
      </c>
      <c r="E18">
        <v>860</v>
      </c>
      <c r="F18">
        <v>970</v>
      </c>
      <c r="G18">
        <v>1130</v>
      </c>
      <c r="H18">
        <v>1290</v>
      </c>
      <c r="I18">
        <v>1450</v>
      </c>
      <c r="J18">
        <v>1600</v>
      </c>
      <c r="K18">
        <v>1750</v>
      </c>
      <c r="L18">
        <v>1850</v>
      </c>
      <c r="M18">
        <v>1950</v>
      </c>
      <c r="N18">
        <v>2050</v>
      </c>
    </row>
    <row r="19" spans="1:14" ht="24" customHeight="1">
      <c r="A19" t="s">
        <v>179</v>
      </c>
      <c r="B19">
        <v>62</v>
      </c>
      <c r="C19">
        <v>679</v>
      </c>
      <c r="D19">
        <v>799</v>
      </c>
      <c r="E19">
        <v>919</v>
      </c>
      <c r="F19">
        <v>1039</v>
      </c>
      <c r="G19">
        <v>1209</v>
      </c>
      <c r="H19">
        <v>1379</v>
      </c>
      <c r="I19">
        <v>1549</v>
      </c>
      <c r="J19">
        <v>1699</v>
      </c>
      <c r="K19">
        <v>1849</v>
      </c>
      <c r="L19">
        <v>1949</v>
      </c>
      <c r="M19">
        <v>2049</v>
      </c>
      <c r="N19">
        <v>2149</v>
      </c>
    </row>
    <row r="20" spans="1:14" ht="24" customHeight="1">
      <c r="A20" t="s">
        <v>179</v>
      </c>
      <c r="B20">
        <v>64</v>
      </c>
      <c r="C20">
        <v>680</v>
      </c>
      <c r="D20">
        <v>800</v>
      </c>
      <c r="E20">
        <v>920</v>
      </c>
      <c r="F20">
        <v>1040</v>
      </c>
      <c r="G20">
        <v>1210</v>
      </c>
      <c r="H20">
        <v>1380</v>
      </c>
      <c r="I20">
        <v>1550</v>
      </c>
      <c r="J20">
        <v>1700</v>
      </c>
      <c r="K20">
        <v>1850</v>
      </c>
      <c r="L20">
        <v>1950</v>
      </c>
      <c r="M20">
        <v>2050</v>
      </c>
      <c r="N20">
        <v>2150</v>
      </c>
    </row>
    <row r="21" spans="1:14" ht="24" customHeight="1">
      <c r="A21" t="s">
        <v>179</v>
      </c>
      <c r="B21">
        <v>64</v>
      </c>
      <c r="C21">
        <v>719</v>
      </c>
      <c r="D21">
        <v>849</v>
      </c>
      <c r="E21">
        <v>979</v>
      </c>
      <c r="F21">
        <v>1109</v>
      </c>
      <c r="G21">
        <v>1289</v>
      </c>
      <c r="H21">
        <v>1469</v>
      </c>
      <c r="I21">
        <v>1649</v>
      </c>
      <c r="J21">
        <v>1799</v>
      </c>
      <c r="K21">
        <v>1949</v>
      </c>
      <c r="L21">
        <v>2049</v>
      </c>
      <c r="M21">
        <v>2149</v>
      </c>
      <c r="N21">
        <v>2249</v>
      </c>
    </row>
    <row r="22" spans="1:14" ht="24" customHeight="1">
      <c r="A22" t="s">
        <v>179</v>
      </c>
      <c r="B22">
        <v>66</v>
      </c>
      <c r="C22">
        <v>720</v>
      </c>
      <c r="D22">
        <v>850</v>
      </c>
      <c r="E22">
        <v>980</v>
      </c>
      <c r="F22">
        <v>1110</v>
      </c>
      <c r="G22">
        <v>1290</v>
      </c>
      <c r="H22">
        <v>1470</v>
      </c>
      <c r="I22">
        <v>1650</v>
      </c>
      <c r="J22">
        <v>1800</v>
      </c>
      <c r="K22">
        <v>1950</v>
      </c>
      <c r="L22">
        <v>2050</v>
      </c>
      <c r="M22">
        <v>2150</v>
      </c>
      <c r="N22">
        <v>2250</v>
      </c>
    </row>
    <row r="23" spans="1:14" ht="24" customHeight="1">
      <c r="A23" t="s">
        <v>179</v>
      </c>
      <c r="B23">
        <v>66</v>
      </c>
      <c r="C23">
        <v>759</v>
      </c>
      <c r="D23">
        <v>899</v>
      </c>
      <c r="E23">
        <v>1039</v>
      </c>
      <c r="F23">
        <v>1179</v>
      </c>
      <c r="G23">
        <v>1369</v>
      </c>
      <c r="H23">
        <v>1559</v>
      </c>
      <c r="I23">
        <v>1749</v>
      </c>
      <c r="J23">
        <v>1899</v>
      </c>
      <c r="K23">
        <v>2049</v>
      </c>
      <c r="L23">
        <v>2149</v>
      </c>
      <c r="M23">
        <v>2249</v>
      </c>
      <c r="N23">
        <v>2349</v>
      </c>
    </row>
    <row r="24" spans="1:14" ht="24" customHeight="1">
      <c r="A24" t="s">
        <v>179</v>
      </c>
      <c r="B24">
        <v>68</v>
      </c>
      <c r="C24">
        <v>760</v>
      </c>
      <c r="D24">
        <v>900</v>
      </c>
      <c r="E24">
        <v>1040</v>
      </c>
      <c r="F24">
        <v>1180</v>
      </c>
      <c r="G24">
        <v>1370</v>
      </c>
      <c r="H24">
        <v>1560</v>
      </c>
      <c r="I24">
        <v>1750</v>
      </c>
      <c r="J24">
        <v>1900</v>
      </c>
      <c r="K24">
        <v>2050</v>
      </c>
      <c r="L24">
        <v>2150</v>
      </c>
      <c r="M24">
        <v>2250</v>
      </c>
      <c r="N24">
        <v>2350</v>
      </c>
    </row>
    <row r="25" spans="1:14" ht="24" customHeight="1">
      <c r="A25" t="s">
        <v>179</v>
      </c>
      <c r="B25">
        <v>68</v>
      </c>
      <c r="C25">
        <v>799</v>
      </c>
      <c r="D25">
        <v>949</v>
      </c>
      <c r="E25">
        <v>1099</v>
      </c>
      <c r="F25">
        <v>1249</v>
      </c>
      <c r="G25">
        <v>1449</v>
      </c>
      <c r="H25">
        <v>1649</v>
      </c>
      <c r="I25">
        <v>1849</v>
      </c>
      <c r="J25">
        <v>1999</v>
      </c>
      <c r="K25">
        <v>2149</v>
      </c>
      <c r="L25">
        <v>2249</v>
      </c>
      <c r="M25">
        <v>2349</v>
      </c>
      <c r="N25">
        <v>2449</v>
      </c>
    </row>
    <row r="26" spans="1:14" ht="24" customHeight="1">
      <c r="A26" t="s">
        <v>179</v>
      </c>
      <c r="B26">
        <v>70</v>
      </c>
      <c r="C26">
        <v>800</v>
      </c>
      <c r="D26">
        <v>950</v>
      </c>
      <c r="E26">
        <v>1100</v>
      </c>
      <c r="F26">
        <v>1250</v>
      </c>
      <c r="G26">
        <v>1450</v>
      </c>
      <c r="H26">
        <v>1650</v>
      </c>
      <c r="I26">
        <v>1850</v>
      </c>
      <c r="J26">
        <v>2000</v>
      </c>
      <c r="K26">
        <v>2150</v>
      </c>
      <c r="L26">
        <v>2250</v>
      </c>
      <c r="M26">
        <v>2350</v>
      </c>
      <c r="N26">
        <v>2450</v>
      </c>
    </row>
    <row r="27" spans="1:14" ht="24" customHeight="1">
      <c r="A27" t="s">
        <v>179</v>
      </c>
      <c r="B27">
        <v>70</v>
      </c>
      <c r="C27">
        <v>839</v>
      </c>
      <c r="D27">
        <v>999</v>
      </c>
      <c r="E27">
        <v>1159</v>
      </c>
      <c r="F27">
        <v>1319</v>
      </c>
      <c r="G27">
        <v>1529</v>
      </c>
      <c r="H27">
        <v>1739</v>
      </c>
      <c r="I27">
        <v>1949</v>
      </c>
      <c r="J27">
        <v>2099</v>
      </c>
      <c r="K27">
        <v>2249</v>
      </c>
      <c r="L27">
        <v>2349</v>
      </c>
      <c r="M27">
        <v>2439</v>
      </c>
      <c r="N27">
        <v>2549</v>
      </c>
    </row>
    <row r="28" spans="1:14" ht="24" customHeight="1">
      <c r="A28" t="s">
        <v>179</v>
      </c>
      <c r="B28">
        <v>72</v>
      </c>
      <c r="C28">
        <v>840</v>
      </c>
      <c r="D28">
        <v>1000</v>
      </c>
      <c r="E28">
        <v>1160</v>
      </c>
      <c r="F28">
        <v>1320</v>
      </c>
      <c r="G28">
        <v>1530</v>
      </c>
      <c r="H28">
        <v>1740</v>
      </c>
      <c r="I28">
        <v>1950</v>
      </c>
      <c r="J28">
        <v>2100</v>
      </c>
      <c r="K28">
        <v>2250</v>
      </c>
      <c r="L28">
        <v>2350</v>
      </c>
      <c r="M28">
        <v>2450</v>
      </c>
      <c r="N28">
        <v>2550</v>
      </c>
    </row>
    <row r="29" spans="1:14" ht="24" customHeight="1">
      <c r="A29" t="s">
        <v>179</v>
      </c>
      <c r="B29">
        <v>72</v>
      </c>
      <c r="C29">
        <v>879</v>
      </c>
      <c r="D29">
        <v>1049</v>
      </c>
      <c r="E29">
        <v>1219</v>
      </c>
      <c r="F29">
        <v>1389</v>
      </c>
      <c r="G29">
        <v>1609</v>
      </c>
      <c r="H29">
        <v>1829</v>
      </c>
      <c r="I29">
        <v>2049</v>
      </c>
      <c r="J29">
        <v>2199</v>
      </c>
      <c r="K29">
        <v>2349</v>
      </c>
      <c r="L29">
        <v>2449</v>
      </c>
      <c r="M29">
        <v>2549</v>
      </c>
      <c r="N29">
        <v>2649</v>
      </c>
    </row>
    <row r="30" spans="1:14" ht="24" customHeight="1">
      <c r="A30" t="s">
        <v>179</v>
      </c>
      <c r="B30">
        <v>74</v>
      </c>
      <c r="C30">
        <v>880</v>
      </c>
      <c r="D30">
        <v>1050</v>
      </c>
      <c r="E30">
        <v>1220</v>
      </c>
      <c r="F30">
        <v>1390</v>
      </c>
      <c r="G30">
        <v>1610</v>
      </c>
      <c r="H30">
        <v>1830</v>
      </c>
      <c r="I30">
        <v>2050</v>
      </c>
      <c r="J30">
        <v>2200</v>
      </c>
      <c r="K30">
        <v>2350</v>
      </c>
      <c r="L30">
        <v>2450</v>
      </c>
      <c r="M30">
        <v>2550</v>
      </c>
      <c r="N30">
        <v>2650</v>
      </c>
    </row>
    <row r="31" spans="1:14" ht="24" customHeight="1">
      <c r="A31" t="s">
        <v>179</v>
      </c>
      <c r="B31">
        <v>74</v>
      </c>
      <c r="C31">
        <v>919</v>
      </c>
      <c r="D31">
        <v>1099</v>
      </c>
      <c r="E31">
        <v>1279</v>
      </c>
      <c r="F31">
        <v>1459</v>
      </c>
      <c r="G31">
        <v>1689</v>
      </c>
      <c r="H31">
        <v>1919</v>
      </c>
      <c r="I31">
        <v>2149</v>
      </c>
      <c r="J31">
        <v>2299</v>
      </c>
      <c r="K31">
        <v>2449</v>
      </c>
      <c r="L31">
        <v>2549</v>
      </c>
      <c r="M31">
        <v>2649</v>
      </c>
      <c r="N31">
        <v>2749</v>
      </c>
    </row>
    <row r="32" spans="1:14" ht="24" customHeight="1">
      <c r="A32" t="s">
        <v>179</v>
      </c>
      <c r="B32">
        <v>76</v>
      </c>
      <c r="C32">
        <v>920</v>
      </c>
      <c r="D32">
        <v>1100</v>
      </c>
      <c r="E32">
        <v>1280</v>
      </c>
      <c r="F32">
        <v>1460</v>
      </c>
      <c r="G32">
        <v>1690</v>
      </c>
      <c r="H32">
        <v>1920</v>
      </c>
      <c r="I32">
        <v>2150</v>
      </c>
      <c r="J32">
        <v>2300</v>
      </c>
      <c r="K32">
        <v>2450</v>
      </c>
      <c r="L32">
        <v>2550</v>
      </c>
      <c r="M32">
        <v>2650</v>
      </c>
      <c r="N32">
        <v>2750</v>
      </c>
    </row>
    <row r="33" spans="1:14" ht="24" customHeight="1">
      <c r="A33" t="s">
        <v>179</v>
      </c>
      <c r="B33">
        <v>76</v>
      </c>
      <c r="C33">
        <v>959</v>
      </c>
      <c r="D33">
        <v>1149</v>
      </c>
      <c r="E33">
        <v>1449</v>
      </c>
      <c r="F33">
        <v>1529</v>
      </c>
      <c r="G33">
        <v>1769</v>
      </c>
      <c r="H33">
        <v>2009</v>
      </c>
      <c r="I33">
        <v>2249</v>
      </c>
      <c r="J33">
        <v>2399</v>
      </c>
      <c r="K33">
        <v>2549</v>
      </c>
      <c r="L33">
        <v>2649</v>
      </c>
      <c r="M33">
        <v>2749</v>
      </c>
      <c r="N33">
        <v>2849</v>
      </c>
    </row>
    <row r="34" spans="1:14" ht="24" customHeight="1">
      <c r="A34" t="s">
        <v>179</v>
      </c>
      <c r="B34">
        <v>78</v>
      </c>
      <c r="C34">
        <v>960</v>
      </c>
      <c r="D34">
        <v>1150</v>
      </c>
      <c r="E34">
        <v>1340</v>
      </c>
      <c r="F34">
        <v>1530</v>
      </c>
      <c r="G34">
        <v>1770</v>
      </c>
      <c r="H34">
        <v>2010</v>
      </c>
      <c r="I34">
        <v>2250</v>
      </c>
      <c r="J34">
        <v>2400</v>
      </c>
      <c r="K34">
        <v>2550</v>
      </c>
      <c r="L34">
        <v>2650</v>
      </c>
      <c r="M34">
        <v>2750</v>
      </c>
      <c r="N34">
        <v>2850</v>
      </c>
    </row>
    <row r="35" spans="1:14" ht="24" customHeight="1">
      <c r="A35" t="s">
        <v>179</v>
      </c>
      <c r="B35">
        <v>78</v>
      </c>
      <c r="C35">
        <v>999</v>
      </c>
      <c r="D35">
        <v>1199</v>
      </c>
      <c r="E35">
        <v>1399</v>
      </c>
      <c r="F35">
        <v>1599</v>
      </c>
      <c r="G35">
        <v>1849</v>
      </c>
      <c r="H35">
        <v>2099</v>
      </c>
      <c r="I35">
        <v>2349</v>
      </c>
      <c r="J35">
        <v>2499</v>
      </c>
      <c r="K35">
        <v>2649</v>
      </c>
      <c r="L35">
        <v>2749</v>
      </c>
      <c r="M35">
        <v>2849</v>
      </c>
      <c r="N35">
        <v>2949</v>
      </c>
    </row>
    <row r="36" spans="1:14" ht="24" customHeight="1">
      <c r="A36" t="s">
        <v>180</v>
      </c>
      <c r="B36">
        <v>80</v>
      </c>
      <c r="C36">
        <v>1000</v>
      </c>
      <c r="D36">
        <v>1200</v>
      </c>
      <c r="E36">
        <v>1400</v>
      </c>
      <c r="F36">
        <v>1600</v>
      </c>
      <c r="G36">
        <v>1850</v>
      </c>
      <c r="H36">
        <v>2100</v>
      </c>
      <c r="I36">
        <v>2350</v>
      </c>
      <c r="J36">
        <v>2500</v>
      </c>
      <c r="K36">
        <v>2650</v>
      </c>
      <c r="L36">
        <v>2750</v>
      </c>
      <c r="M36">
        <v>2850</v>
      </c>
      <c r="N36">
        <v>2950</v>
      </c>
    </row>
    <row r="37" spans="1:14" ht="24" customHeight="1">
      <c r="A37" t="s">
        <v>180</v>
      </c>
      <c r="B37">
        <v>80</v>
      </c>
      <c r="C37">
        <v>1099</v>
      </c>
      <c r="D37">
        <v>1299</v>
      </c>
      <c r="E37">
        <v>1499</v>
      </c>
      <c r="F37">
        <v>1699</v>
      </c>
      <c r="G37">
        <v>1949</v>
      </c>
      <c r="H37">
        <v>2199</v>
      </c>
      <c r="I37">
        <v>2449</v>
      </c>
      <c r="J37">
        <v>2649</v>
      </c>
      <c r="K37">
        <v>2799</v>
      </c>
      <c r="L37">
        <v>2899</v>
      </c>
      <c r="M37">
        <v>2999</v>
      </c>
      <c r="N37">
        <v>3099</v>
      </c>
    </row>
    <row r="38" spans="1:14" ht="24" customHeight="1">
      <c r="A38" t="s">
        <v>180</v>
      </c>
      <c r="B38">
        <v>85</v>
      </c>
      <c r="C38">
        <v>1100</v>
      </c>
      <c r="D38">
        <v>1300</v>
      </c>
      <c r="E38">
        <v>1500</v>
      </c>
      <c r="F38">
        <v>1700</v>
      </c>
      <c r="G38">
        <v>1950</v>
      </c>
      <c r="H38">
        <v>2200</v>
      </c>
      <c r="I38">
        <v>2450</v>
      </c>
      <c r="J38">
        <v>2650</v>
      </c>
      <c r="K38">
        <v>2800</v>
      </c>
      <c r="L38">
        <v>2900</v>
      </c>
      <c r="M38">
        <v>3000</v>
      </c>
      <c r="N38">
        <v>3100</v>
      </c>
    </row>
    <row r="39" spans="1:14" ht="24" customHeight="1">
      <c r="A39" t="s">
        <v>180</v>
      </c>
      <c r="B39">
        <v>85</v>
      </c>
      <c r="C39">
        <v>1199</v>
      </c>
      <c r="D39">
        <v>1399</v>
      </c>
      <c r="E39">
        <v>1599</v>
      </c>
      <c r="F39">
        <v>1799</v>
      </c>
      <c r="G39">
        <v>2049</v>
      </c>
      <c r="H39">
        <v>2299</v>
      </c>
      <c r="I39">
        <v>2549</v>
      </c>
      <c r="J39">
        <v>2799</v>
      </c>
      <c r="K39">
        <v>2949</v>
      </c>
      <c r="L39">
        <v>3049</v>
      </c>
      <c r="M39">
        <v>3149</v>
      </c>
      <c r="N39">
        <v>3249</v>
      </c>
    </row>
    <row r="40" spans="1:14" ht="24" customHeight="1">
      <c r="A40" t="s">
        <v>181</v>
      </c>
      <c r="B40">
        <v>90</v>
      </c>
      <c r="C40">
        <v>1200</v>
      </c>
      <c r="D40">
        <v>1400</v>
      </c>
      <c r="E40">
        <v>1600</v>
      </c>
      <c r="F40">
        <v>1800</v>
      </c>
      <c r="G40">
        <v>2050</v>
      </c>
      <c r="H40">
        <v>2300</v>
      </c>
      <c r="I40">
        <v>2550</v>
      </c>
      <c r="J40">
        <v>2800</v>
      </c>
      <c r="K40">
        <v>2950</v>
      </c>
      <c r="L40">
        <v>3050</v>
      </c>
      <c r="M40">
        <v>3150</v>
      </c>
      <c r="N40">
        <v>3250</v>
      </c>
    </row>
    <row r="41" spans="1:14" ht="24" customHeight="1">
      <c r="A41" t="s">
        <v>181</v>
      </c>
      <c r="B41">
        <v>90</v>
      </c>
      <c r="C41">
        <v>1299</v>
      </c>
      <c r="D41">
        <v>1499</v>
      </c>
      <c r="E41">
        <v>1600</v>
      </c>
      <c r="F41">
        <v>1899</v>
      </c>
      <c r="G41">
        <v>2149</v>
      </c>
      <c r="H41">
        <v>2399</v>
      </c>
      <c r="I41">
        <v>2649</v>
      </c>
      <c r="J41">
        <v>2849</v>
      </c>
      <c r="K41">
        <v>2999</v>
      </c>
      <c r="L41">
        <v>3099</v>
      </c>
      <c r="M41">
        <v>3199</v>
      </c>
      <c r="N41">
        <v>3299</v>
      </c>
    </row>
    <row r="42" spans="1:14" ht="24" customHeight="1">
      <c r="A42" t="s">
        <v>181</v>
      </c>
      <c r="B42">
        <v>95</v>
      </c>
      <c r="C42">
        <v>1300</v>
      </c>
      <c r="D42">
        <v>1500</v>
      </c>
      <c r="E42">
        <v>1700</v>
      </c>
      <c r="F42">
        <v>1900</v>
      </c>
      <c r="G42">
        <v>2150</v>
      </c>
      <c r="H42">
        <v>2400</v>
      </c>
      <c r="I42">
        <v>2650</v>
      </c>
      <c r="J42">
        <v>2850</v>
      </c>
      <c r="K42">
        <v>3000</v>
      </c>
      <c r="L42">
        <v>3100</v>
      </c>
      <c r="M42">
        <v>3200</v>
      </c>
      <c r="N42">
        <v>3300</v>
      </c>
    </row>
    <row r="43" spans="1:14" ht="24" customHeight="1">
      <c r="A43" t="s">
        <v>181</v>
      </c>
      <c r="B43">
        <v>95</v>
      </c>
      <c r="C43">
        <v>1399</v>
      </c>
      <c r="D43">
        <v>1599</v>
      </c>
      <c r="E43">
        <v>1799</v>
      </c>
      <c r="F43">
        <v>1999</v>
      </c>
      <c r="G43">
        <v>2249</v>
      </c>
      <c r="H43">
        <v>2499</v>
      </c>
      <c r="I43">
        <v>2749</v>
      </c>
      <c r="J43">
        <v>2899</v>
      </c>
      <c r="K43">
        <v>3049</v>
      </c>
      <c r="L43">
        <v>3149</v>
      </c>
      <c r="M43">
        <v>3249</v>
      </c>
      <c r="N43">
        <v>3349</v>
      </c>
    </row>
    <row r="44" spans="1:14" ht="24" customHeight="1">
      <c r="A44" t="s">
        <v>181</v>
      </c>
      <c r="B44">
        <v>100</v>
      </c>
      <c r="C44">
        <v>1400</v>
      </c>
      <c r="D44">
        <v>1600</v>
      </c>
      <c r="E44">
        <v>1800</v>
      </c>
      <c r="F44">
        <v>2000</v>
      </c>
      <c r="G44">
        <v>2250</v>
      </c>
      <c r="H44">
        <v>2500</v>
      </c>
      <c r="I44">
        <v>2750</v>
      </c>
      <c r="J44">
        <v>2900</v>
      </c>
      <c r="K44">
        <v>3050</v>
      </c>
      <c r="L44">
        <v>3150</v>
      </c>
      <c r="M44">
        <v>3250</v>
      </c>
      <c r="N44">
        <v>3350</v>
      </c>
    </row>
    <row r="45" spans="1:14" ht="24" customHeight="1">
      <c r="A45" t="s">
        <v>181</v>
      </c>
      <c r="B45">
        <v>100</v>
      </c>
      <c r="C45">
        <v>6000</v>
      </c>
      <c r="D45">
        <v>6000</v>
      </c>
      <c r="E45">
        <v>6000</v>
      </c>
      <c r="F45">
        <v>6000</v>
      </c>
      <c r="G45">
        <v>6000</v>
      </c>
      <c r="H45">
        <v>6000</v>
      </c>
      <c r="I45">
        <v>6000</v>
      </c>
      <c r="J45">
        <v>6000</v>
      </c>
      <c r="K45">
        <v>6000</v>
      </c>
      <c r="L45">
        <v>6000</v>
      </c>
      <c r="M45">
        <v>6000</v>
      </c>
      <c r="N45">
        <v>6000</v>
      </c>
    </row>
    <row r="46" spans="1:14" ht="24" customHeight="1">
      <c r="A46" t="s">
        <v>218</v>
      </c>
    </row>
    <row r="47" spans="1:14" ht="24" customHeight="1">
      <c r="A47" t="s">
        <v>163</v>
      </c>
      <c r="B47" t="s">
        <v>219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170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176</v>
      </c>
    </row>
    <row r="48" spans="1:14" ht="24" customHeight="1">
      <c r="A48" t="s">
        <v>183</v>
      </c>
      <c r="B48">
        <v>80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</row>
    <row r="49" spans="1:14" ht="24" customHeight="1">
      <c r="A49" t="s">
        <v>183</v>
      </c>
      <c r="B49">
        <v>80</v>
      </c>
      <c r="C49">
        <v>13.2</v>
      </c>
      <c r="D49">
        <v>13.4</v>
      </c>
      <c r="E49">
        <v>13.5</v>
      </c>
      <c r="F49">
        <v>13.6</v>
      </c>
      <c r="G49">
        <v>13.7</v>
      </c>
      <c r="H49">
        <v>14.1</v>
      </c>
      <c r="I49">
        <v>14.7</v>
      </c>
      <c r="J49">
        <v>15.2</v>
      </c>
      <c r="K49">
        <v>15.9</v>
      </c>
      <c r="L49">
        <v>16.399999999999999</v>
      </c>
      <c r="M49">
        <v>16.8</v>
      </c>
      <c r="N49">
        <v>17</v>
      </c>
    </row>
    <row r="50" spans="1:14" ht="24" customHeight="1">
      <c r="A50" t="s">
        <v>184</v>
      </c>
      <c r="B50">
        <v>100</v>
      </c>
      <c r="C50">
        <v>13.3</v>
      </c>
      <c r="D50">
        <v>13.5</v>
      </c>
      <c r="E50">
        <v>13.6</v>
      </c>
      <c r="F50">
        <v>13.7</v>
      </c>
      <c r="G50">
        <v>13.8</v>
      </c>
      <c r="H50">
        <v>14.2</v>
      </c>
      <c r="I50">
        <v>14.8</v>
      </c>
      <c r="J50">
        <v>15.3</v>
      </c>
      <c r="K50">
        <v>16</v>
      </c>
      <c r="L50">
        <v>16.5</v>
      </c>
      <c r="M50">
        <v>16.899999999999999</v>
      </c>
      <c r="N50">
        <v>17.100000000000001</v>
      </c>
    </row>
    <row r="51" spans="1:14" ht="24" customHeight="1">
      <c r="A51" t="s">
        <v>184</v>
      </c>
      <c r="B51">
        <v>100</v>
      </c>
      <c r="C51">
        <v>17.3</v>
      </c>
      <c r="D51">
        <v>17.8</v>
      </c>
      <c r="E51">
        <v>18.600000000000001</v>
      </c>
      <c r="F51">
        <v>19.399999999999999</v>
      </c>
      <c r="G51">
        <v>20.5</v>
      </c>
      <c r="H51">
        <v>20.8</v>
      </c>
      <c r="I51">
        <v>21.7</v>
      </c>
      <c r="J51">
        <v>22.2</v>
      </c>
      <c r="K51">
        <v>22.6</v>
      </c>
      <c r="L51">
        <v>22.7</v>
      </c>
      <c r="M51">
        <v>23.2</v>
      </c>
      <c r="N51">
        <v>23.3</v>
      </c>
    </row>
    <row r="52" spans="1:14" ht="24" customHeight="1">
      <c r="A52" t="s">
        <v>185</v>
      </c>
      <c r="B52">
        <v>80</v>
      </c>
      <c r="C52">
        <v>17.399999999999999</v>
      </c>
      <c r="D52">
        <v>17.899999999999999</v>
      </c>
      <c r="E52">
        <v>18.7</v>
      </c>
      <c r="F52">
        <v>19.5</v>
      </c>
      <c r="G52">
        <v>20.6</v>
      </c>
      <c r="H52">
        <v>20.9</v>
      </c>
      <c r="I52">
        <v>21.8</v>
      </c>
      <c r="J52">
        <v>22.3</v>
      </c>
      <c r="K52">
        <v>22.7</v>
      </c>
      <c r="L52">
        <v>22.8</v>
      </c>
      <c r="M52">
        <v>23.3</v>
      </c>
      <c r="N52">
        <v>23.4</v>
      </c>
    </row>
    <row r="53" spans="1:14" ht="24" customHeight="1">
      <c r="A53" t="s">
        <v>185</v>
      </c>
      <c r="B53">
        <v>80</v>
      </c>
      <c r="C53">
        <v>19.2</v>
      </c>
      <c r="D53">
        <v>20.2</v>
      </c>
      <c r="E53">
        <v>21.1</v>
      </c>
      <c r="F53">
        <v>22</v>
      </c>
      <c r="G53">
        <v>22.9</v>
      </c>
      <c r="H53">
        <v>23.6</v>
      </c>
      <c r="I53">
        <v>24.4</v>
      </c>
      <c r="J53">
        <v>24.8</v>
      </c>
      <c r="K53">
        <v>25.1</v>
      </c>
      <c r="L53">
        <v>25.2</v>
      </c>
      <c r="M53">
        <v>25.4</v>
      </c>
      <c r="N53">
        <v>25.7</v>
      </c>
    </row>
    <row r="54" spans="1:14" ht="24" customHeight="1">
      <c r="A54" t="s">
        <v>186</v>
      </c>
      <c r="B54">
        <v>60</v>
      </c>
      <c r="C54">
        <v>19.3</v>
      </c>
      <c r="D54">
        <v>20.3</v>
      </c>
      <c r="E54">
        <v>21.2</v>
      </c>
      <c r="F54">
        <v>22.1</v>
      </c>
      <c r="G54">
        <v>23</v>
      </c>
      <c r="H54">
        <v>23.7</v>
      </c>
      <c r="I54">
        <v>24.5</v>
      </c>
      <c r="J54">
        <v>24.9</v>
      </c>
      <c r="K54">
        <v>25.2</v>
      </c>
      <c r="L54">
        <v>25.3</v>
      </c>
      <c r="M54">
        <v>25.5</v>
      </c>
      <c r="N54">
        <v>25.8</v>
      </c>
    </row>
    <row r="55" spans="1:14" ht="24" customHeight="1">
      <c r="A55" t="s">
        <v>186</v>
      </c>
      <c r="B55">
        <v>60</v>
      </c>
      <c r="C55">
        <v>40</v>
      </c>
      <c r="D55">
        <v>40</v>
      </c>
      <c r="E55">
        <v>40</v>
      </c>
      <c r="F55">
        <v>40</v>
      </c>
      <c r="G55">
        <v>40</v>
      </c>
      <c r="H55">
        <v>40</v>
      </c>
      <c r="I55">
        <v>40</v>
      </c>
      <c r="J55">
        <v>40</v>
      </c>
      <c r="K55">
        <v>40</v>
      </c>
      <c r="L55">
        <v>40</v>
      </c>
      <c r="M55">
        <v>40</v>
      </c>
      <c r="N55">
        <v>40</v>
      </c>
    </row>
    <row r="57" spans="1:14" ht="24" customHeight="1">
      <c r="A57" t="s">
        <v>253</v>
      </c>
    </row>
    <row r="58" spans="1:14" ht="24" customHeight="1">
      <c r="A58" s="34" t="s">
        <v>163</v>
      </c>
      <c r="B58" t="s">
        <v>164</v>
      </c>
      <c r="C58" s="34" t="s">
        <v>171</v>
      </c>
      <c r="D58" s="34" t="s">
        <v>172</v>
      </c>
      <c r="E58" s="34" t="s">
        <v>173</v>
      </c>
      <c r="F58" s="34" t="s">
        <v>174</v>
      </c>
      <c r="G58" s="34" t="s">
        <v>175</v>
      </c>
      <c r="H58" s="34" t="s">
        <v>176</v>
      </c>
    </row>
    <row r="59" spans="1:14" ht="24" customHeight="1">
      <c r="A59" s="34"/>
      <c r="B59" t="s">
        <v>177</v>
      </c>
      <c r="C59" s="34"/>
      <c r="D59" s="34"/>
      <c r="E59" s="34"/>
      <c r="F59" s="34"/>
      <c r="G59" s="34"/>
      <c r="H59" s="34"/>
    </row>
    <row r="60" spans="1:14" ht="24" customHeight="1">
      <c r="A60" t="s">
        <v>178</v>
      </c>
      <c r="B60">
        <v>0</v>
      </c>
      <c r="C60">
        <v>50</v>
      </c>
      <c r="D60">
        <v>50</v>
      </c>
      <c r="E60">
        <v>50</v>
      </c>
      <c r="F60">
        <v>50</v>
      </c>
      <c r="G60">
        <v>50</v>
      </c>
      <c r="H60">
        <v>50</v>
      </c>
    </row>
    <row r="61" spans="1:14" ht="24" customHeight="1">
      <c r="A61" t="s">
        <v>178</v>
      </c>
      <c r="B61">
        <v>0</v>
      </c>
      <c r="C61">
        <v>114</v>
      </c>
      <c r="D61">
        <v>118</v>
      </c>
      <c r="E61">
        <v>120</v>
      </c>
      <c r="F61">
        <v>122</v>
      </c>
      <c r="G61">
        <v>123</v>
      </c>
      <c r="H61">
        <v>124</v>
      </c>
    </row>
    <row r="62" spans="1:14" ht="24" customHeight="1">
      <c r="A62" t="s">
        <v>178</v>
      </c>
      <c r="B62">
        <v>10</v>
      </c>
      <c r="C62">
        <v>115</v>
      </c>
      <c r="D62">
        <v>119</v>
      </c>
      <c r="E62">
        <v>121</v>
      </c>
      <c r="F62">
        <v>123</v>
      </c>
      <c r="G62">
        <v>124</v>
      </c>
      <c r="H62">
        <v>125</v>
      </c>
    </row>
    <row r="63" spans="1:14" ht="24" customHeight="1">
      <c r="A63" t="s">
        <v>178</v>
      </c>
      <c r="B63">
        <v>10</v>
      </c>
      <c r="C63">
        <v>119</v>
      </c>
      <c r="D63">
        <v>123</v>
      </c>
      <c r="E63">
        <v>125</v>
      </c>
      <c r="F63">
        <v>127</v>
      </c>
      <c r="G63">
        <v>128</v>
      </c>
      <c r="H63">
        <v>129</v>
      </c>
    </row>
    <row r="64" spans="1:14" ht="24" customHeight="1">
      <c r="A64" t="s">
        <v>178</v>
      </c>
      <c r="B64">
        <v>20</v>
      </c>
      <c r="C64">
        <v>120</v>
      </c>
      <c r="D64">
        <v>124</v>
      </c>
      <c r="E64">
        <v>126</v>
      </c>
      <c r="F64">
        <v>128</v>
      </c>
      <c r="G64">
        <v>129</v>
      </c>
      <c r="H64">
        <v>130</v>
      </c>
    </row>
    <row r="65" spans="1:8" ht="24" customHeight="1">
      <c r="A65" t="s">
        <v>178</v>
      </c>
      <c r="B65">
        <v>20</v>
      </c>
      <c r="C65">
        <v>124</v>
      </c>
      <c r="D65">
        <v>128</v>
      </c>
      <c r="E65">
        <v>130</v>
      </c>
      <c r="F65">
        <v>132</v>
      </c>
      <c r="G65">
        <v>133</v>
      </c>
      <c r="H65">
        <v>134</v>
      </c>
    </row>
    <row r="66" spans="1:8" ht="24" customHeight="1">
      <c r="A66" t="s">
        <v>178</v>
      </c>
      <c r="B66">
        <v>30</v>
      </c>
      <c r="C66">
        <v>125</v>
      </c>
      <c r="D66">
        <v>129</v>
      </c>
      <c r="E66">
        <v>131</v>
      </c>
      <c r="F66">
        <v>133</v>
      </c>
      <c r="G66">
        <v>134</v>
      </c>
      <c r="H66">
        <v>135</v>
      </c>
    </row>
    <row r="67" spans="1:8" ht="24" customHeight="1">
      <c r="A67" t="s">
        <v>178</v>
      </c>
      <c r="B67">
        <v>30</v>
      </c>
      <c r="C67">
        <v>129</v>
      </c>
      <c r="D67">
        <v>133</v>
      </c>
      <c r="E67">
        <v>135</v>
      </c>
      <c r="F67">
        <v>137</v>
      </c>
      <c r="G67">
        <v>138</v>
      </c>
      <c r="H67">
        <v>139</v>
      </c>
    </row>
    <row r="68" spans="1:8" ht="24" customHeight="1">
      <c r="A68" t="s">
        <v>178</v>
      </c>
      <c r="B68">
        <v>40</v>
      </c>
      <c r="C68">
        <v>130</v>
      </c>
      <c r="D68">
        <v>134</v>
      </c>
      <c r="E68">
        <v>136</v>
      </c>
      <c r="F68">
        <v>138</v>
      </c>
      <c r="G68">
        <v>139</v>
      </c>
      <c r="H68">
        <v>140</v>
      </c>
    </row>
    <row r="69" spans="1:8" ht="24" customHeight="1">
      <c r="A69" t="s">
        <v>178</v>
      </c>
      <c r="B69">
        <v>40</v>
      </c>
      <c r="C69">
        <v>134</v>
      </c>
      <c r="D69">
        <v>138</v>
      </c>
      <c r="E69">
        <v>140</v>
      </c>
      <c r="F69">
        <v>142</v>
      </c>
      <c r="G69">
        <v>143</v>
      </c>
      <c r="H69">
        <v>144</v>
      </c>
    </row>
    <row r="70" spans="1:8" ht="24" customHeight="1">
      <c r="A70" t="s">
        <v>178</v>
      </c>
      <c r="B70">
        <v>50</v>
      </c>
      <c r="C70">
        <v>135</v>
      </c>
      <c r="D70">
        <v>139</v>
      </c>
      <c r="E70">
        <v>141</v>
      </c>
      <c r="F70">
        <v>143</v>
      </c>
      <c r="G70">
        <v>144</v>
      </c>
      <c r="H70">
        <v>145</v>
      </c>
    </row>
    <row r="71" spans="1:8" ht="24" customHeight="1">
      <c r="A71" t="s">
        <v>178</v>
      </c>
      <c r="B71">
        <v>50</v>
      </c>
      <c r="C71">
        <v>139</v>
      </c>
      <c r="D71">
        <v>143</v>
      </c>
      <c r="E71">
        <v>145</v>
      </c>
      <c r="F71">
        <v>147</v>
      </c>
      <c r="G71">
        <v>148</v>
      </c>
      <c r="H71">
        <v>149</v>
      </c>
    </row>
    <row r="72" spans="1:8" ht="24" customHeight="1">
      <c r="A72" t="s">
        <v>179</v>
      </c>
      <c r="B72">
        <v>60</v>
      </c>
      <c r="C72">
        <v>140</v>
      </c>
      <c r="D72">
        <v>144</v>
      </c>
      <c r="E72">
        <v>146</v>
      </c>
      <c r="F72">
        <v>148</v>
      </c>
      <c r="G72">
        <v>149</v>
      </c>
      <c r="H72">
        <v>150</v>
      </c>
    </row>
    <row r="73" spans="1:8" ht="24" customHeight="1">
      <c r="A73" t="s">
        <v>179</v>
      </c>
      <c r="B73">
        <v>60</v>
      </c>
      <c r="C73">
        <v>142</v>
      </c>
      <c r="D73">
        <v>146</v>
      </c>
      <c r="E73">
        <v>148</v>
      </c>
      <c r="F73">
        <v>150</v>
      </c>
      <c r="G73">
        <v>151</v>
      </c>
      <c r="H73">
        <v>152</v>
      </c>
    </row>
    <row r="74" spans="1:8" ht="24" customHeight="1">
      <c r="A74" t="s">
        <v>179</v>
      </c>
      <c r="B74">
        <v>62</v>
      </c>
      <c r="C74">
        <v>143</v>
      </c>
      <c r="D74">
        <v>147</v>
      </c>
      <c r="E74">
        <v>149</v>
      </c>
      <c r="F74">
        <v>151</v>
      </c>
      <c r="G74">
        <v>152</v>
      </c>
      <c r="H74">
        <v>153</v>
      </c>
    </row>
    <row r="75" spans="1:8" ht="24" customHeight="1">
      <c r="A75" t="s">
        <v>179</v>
      </c>
      <c r="B75">
        <v>62</v>
      </c>
      <c r="C75">
        <v>145</v>
      </c>
      <c r="D75">
        <v>149</v>
      </c>
      <c r="E75">
        <v>151</v>
      </c>
      <c r="F75">
        <v>153</v>
      </c>
      <c r="G75">
        <v>154</v>
      </c>
      <c r="H75">
        <v>155</v>
      </c>
    </row>
    <row r="76" spans="1:8" ht="24" customHeight="1">
      <c r="A76" t="s">
        <v>179</v>
      </c>
      <c r="B76">
        <v>64</v>
      </c>
      <c r="C76">
        <v>146</v>
      </c>
      <c r="D76">
        <v>150</v>
      </c>
      <c r="E76">
        <v>152</v>
      </c>
      <c r="F76">
        <v>154</v>
      </c>
      <c r="G76">
        <v>155</v>
      </c>
      <c r="H76">
        <v>156</v>
      </c>
    </row>
    <row r="77" spans="1:8" ht="24" customHeight="1">
      <c r="A77" t="s">
        <v>179</v>
      </c>
      <c r="B77">
        <v>64</v>
      </c>
      <c r="C77">
        <v>148</v>
      </c>
      <c r="D77">
        <v>152</v>
      </c>
      <c r="E77">
        <v>154</v>
      </c>
      <c r="F77">
        <v>156</v>
      </c>
      <c r="G77">
        <v>157</v>
      </c>
      <c r="H77">
        <v>158</v>
      </c>
    </row>
    <row r="78" spans="1:8" ht="24" customHeight="1">
      <c r="A78" t="s">
        <v>179</v>
      </c>
      <c r="B78">
        <v>66</v>
      </c>
      <c r="C78">
        <v>149</v>
      </c>
      <c r="D78">
        <v>153</v>
      </c>
      <c r="E78">
        <v>155</v>
      </c>
      <c r="F78">
        <v>157</v>
      </c>
      <c r="G78">
        <v>158</v>
      </c>
      <c r="H78">
        <v>159</v>
      </c>
    </row>
    <row r="79" spans="1:8" ht="24" customHeight="1">
      <c r="A79" t="s">
        <v>179</v>
      </c>
      <c r="B79">
        <v>66</v>
      </c>
      <c r="C79">
        <v>151</v>
      </c>
      <c r="D79">
        <v>155</v>
      </c>
      <c r="E79">
        <v>157</v>
      </c>
      <c r="F79">
        <v>159</v>
      </c>
      <c r="G79">
        <v>160</v>
      </c>
      <c r="H79">
        <v>161</v>
      </c>
    </row>
    <row r="80" spans="1:8" ht="24" customHeight="1">
      <c r="A80" t="s">
        <v>179</v>
      </c>
      <c r="B80">
        <v>68</v>
      </c>
      <c r="C80">
        <v>152</v>
      </c>
      <c r="D80">
        <v>156</v>
      </c>
      <c r="E80">
        <v>158</v>
      </c>
      <c r="F80">
        <v>160</v>
      </c>
      <c r="G80">
        <v>161</v>
      </c>
      <c r="H80">
        <v>162</v>
      </c>
    </row>
    <row r="81" spans="1:8" ht="24" customHeight="1">
      <c r="A81" t="s">
        <v>179</v>
      </c>
      <c r="B81">
        <v>68</v>
      </c>
      <c r="C81">
        <v>154</v>
      </c>
      <c r="D81">
        <v>158</v>
      </c>
      <c r="E81">
        <v>160</v>
      </c>
      <c r="F81">
        <v>162</v>
      </c>
      <c r="G81">
        <v>163</v>
      </c>
      <c r="H81">
        <v>164</v>
      </c>
    </row>
    <row r="82" spans="1:8" ht="24" customHeight="1">
      <c r="A82" t="s">
        <v>179</v>
      </c>
      <c r="B82">
        <v>70</v>
      </c>
      <c r="C82">
        <v>155</v>
      </c>
      <c r="D82">
        <v>159</v>
      </c>
      <c r="E82">
        <v>161</v>
      </c>
      <c r="F82">
        <v>163</v>
      </c>
      <c r="G82">
        <v>164</v>
      </c>
      <c r="H82">
        <v>165</v>
      </c>
    </row>
    <row r="83" spans="1:8" ht="24" customHeight="1">
      <c r="A83" t="s">
        <v>179</v>
      </c>
      <c r="B83">
        <v>70</v>
      </c>
      <c r="C83">
        <v>157</v>
      </c>
      <c r="D83">
        <v>161</v>
      </c>
      <c r="E83">
        <v>163</v>
      </c>
      <c r="F83">
        <v>165</v>
      </c>
      <c r="G83">
        <v>166</v>
      </c>
      <c r="H83">
        <v>167</v>
      </c>
    </row>
    <row r="84" spans="1:8" ht="24" customHeight="1">
      <c r="A84" t="s">
        <v>179</v>
      </c>
      <c r="B84">
        <v>72</v>
      </c>
      <c r="C84">
        <v>158</v>
      </c>
      <c r="D84">
        <v>162</v>
      </c>
      <c r="E84">
        <v>164</v>
      </c>
      <c r="F84">
        <v>166</v>
      </c>
      <c r="G84">
        <v>167</v>
      </c>
      <c r="H84">
        <v>168</v>
      </c>
    </row>
    <row r="85" spans="1:8" ht="24" customHeight="1">
      <c r="A85" t="s">
        <v>179</v>
      </c>
      <c r="B85">
        <v>72</v>
      </c>
      <c r="C85">
        <v>160</v>
      </c>
      <c r="D85">
        <v>164</v>
      </c>
      <c r="E85">
        <v>176</v>
      </c>
      <c r="F85">
        <v>168</v>
      </c>
      <c r="G85">
        <v>169</v>
      </c>
      <c r="H85">
        <v>170</v>
      </c>
    </row>
    <row r="86" spans="1:8" ht="24" customHeight="1">
      <c r="A86" t="s">
        <v>179</v>
      </c>
      <c r="B86">
        <v>74</v>
      </c>
      <c r="C86">
        <v>161</v>
      </c>
      <c r="D86">
        <v>165</v>
      </c>
      <c r="E86">
        <v>167</v>
      </c>
      <c r="F86">
        <v>169</v>
      </c>
      <c r="G86">
        <v>170</v>
      </c>
      <c r="H86">
        <v>171</v>
      </c>
    </row>
    <row r="87" spans="1:8" ht="24" customHeight="1">
      <c r="A87" t="s">
        <v>179</v>
      </c>
      <c r="B87">
        <v>74</v>
      </c>
      <c r="C87">
        <v>163</v>
      </c>
      <c r="D87">
        <v>167</v>
      </c>
      <c r="E87">
        <v>169</v>
      </c>
      <c r="F87">
        <v>171</v>
      </c>
      <c r="G87">
        <v>172</v>
      </c>
      <c r="H87">
        <v>173</v>
      </c>
    </row>
    <row r="88" spans="1:8" ht="24" customHeight="1">
      <c r="A88" t="s">
        <v>179</v>
      </c>
      <c r="B88">
        <v>76</v>
      </c>
      <c r="C88">
        <v>164</v>
      </c>
      <c r="D88">
        <v>168</v>
      </c>
      <c r="E88">
        <v>170</v>
      </c>
      <c r="F88">
        <v>172</v>
      </c>
      <c r="G88">
        <v>173</v>
      </c>
      <c r="H88">
        <v>174</v>
      </c>
    </row>
    <row r="89" spans="1:8" ht="24" customHeight="1">
      <c r="A89" t="s">
        <v>179</v>
      </c>
      <c r="B89">
        <v>76</v>
      </c>
      <c r="C89">
        <v>166</v>
      </c>
      <c r="D89">
        <v>170</v>
      </c>
      <c r="E89">
        <v>172</v>
      </c>
      <c r="F89">
        <v>174</v>
      </c>
      <c r="G89">
        <v>175</v>
      </c>
      <c r="H89">
        <v>176</v>
      </c>
    </row>
    <row r="90" spans="1:8" ht="24" customHeight="1">
      <c r="A90" t="s">
        <v>179</v>
      </c>
      <c r="B90">
        <v>78</v>
      </c>
      <c r="C90">
        <v>167</v>
      </c>
      <c r="D90">
        <v>171</v>
      </c>
      <c r="E90">
        <v>173</v>
      </c>
      <c r="F90">
        <v>175</v>
      </c>
      <c r="G90">
        <v>176</v>
      </c>
      <c r="H90">
        <v>177</v>
      </c>
    </row>
    <row r="91" spans="1:8" ht="24" customHeight="1">
      <c r="A91" t="s">
        <v>179</v>
      </c>
      <c r="B91">
        <v>78</v>
      </c>
      <c r="C91">
        <v>169</v>
      </c>
      <c r="D91">
        <v>173</v>
      </c>
      <c r="E91">
        <v>175</v>
      </c>
      <c r="F91">
        <v>177</v>
      </c>
      <c r="G91">
        <v>178</v>
      </c>
      <c r="H91">
        <v>179</v>
      </c>
    </row>
    <row r="92" spans="1:8" ht="24" customHeight="1">
      <c r="A92" t="s">
        <v>180</v>
      </c>
      <c r="B92">
        <v>80</v>
      </c>
      <c r="C92">
        <v>170</v>
      </c>
      <c r="D92">
        <v>174</v>
      </c>
      <c r="E92">
        <v>176</v>
      </c>
      <c r="F92">
        <v>178</v>
      </c>
      <c r="G92">
        <v>179</v>
      </c>
      <c r="H92">
        <v>180</v>
      </c>
    </row>
    <row r="93" spans="1:8" ht="24" customHeight="1">
      <c r="A93" t="s">
        <v>180</v>
      </c>
      <c r="B93">
        <v>80</v>
      </c>
      <c r="C93">
        <v>176</v>
      </c>
      <c r="D93">
        <v>180</v>
      </c>
      <c r="E93">
        <v>182</v>
      </c>
      <c r="F93">
        <v>184</v>
      </c>
      <c r="G93">
        <v>185</v>
      </c>
      <c r="H93">
        <v>186</v>
      </c>
    </row>
    <row r="94" spans="1:8" ht="24" customHeight="1">
      <c r="A94" t="s">
        <v>180</v>
      </c>
      <c r="B94">
        <v>85</v>
      </c>
      <c r="C94">
        <v>177</v>
      </c>
      <c r="D94">
        <v>181</v>
      </c>
      <c r="E94">
        <v>183</v>
      </c>
      <c r="F94">
        <v>185</v>
      </c>
      <c r="G94">
        <v>186</v>
      </c>
      <c r="H94">
        <v>187</v>
      </c>
    </row>
    <row r="95" spans="1:8" ht="24" customHeight="1">
      <c r="A95" t="s">
        <v>180</v>
      </c>
      <c r="B95">
        <v>85</v>
      </c>
      <c r="C95">
        <v>183</v>
      </c>
      <c r="D95">
        <v>187</v>
      </c>
      <c r="E95">
        <v>189</v>
      </c>
      <c r="F95">
        <v>191</v>
      </c>
      <c r="G95">
        <v>192</v>
      </c>
      <c r="H95">
        <v>193</v>
      </c>
    </row>
    <row r="96" spans="1:8" ht="24" customHeight="1">
      <c r="A96" t="s">
        <v>181</v>
      </c>
      <c r="B96">
        <v>90</v>
      </c>
      <c r="C96">
        <v>184</v>
      </c>
      <c r="D96">
        <v>188</v>
      </c>
      <c r="E96">
        <v>190</v>
      </c>
      <c r="F96">
        <v>192</v>
      </c>
      <c r="G96">
        <v>193</v>
      </c>
      <c r="H96">
        <v>194</v>
      </c>
    </row>
    <row r="97" spans="1:14" ht="24" customHeight="1">
      <c r="A97" t="s">
        <v>181</v>
      </c>
      <c r="B97">
        <v>90</v>
      </c>
      <c r="C97">
        <v>189</v>
      </c>
      <c r="D97">
        <v>193</v>
      </c>
      <c r="E97">
        <v>195</v>
      </c>
      <c r="F97">
        <v>197</v>
      </c>
      <c r="G97">
        <v>198</v>
      </c>
      <c r="H97">
        <v>199</v>
      </c>
    </row>
    <row r="98" spans="1:14" ht="24" customHeight="1">
      <c r="A98" t="s">
        <v>181</v>
      </c>
      <c r="B98">
        <v>95</v>
      </c>
      <c r="C98">
        <v>190</v>
      </c>
      <c r="D98">
        <v>194</v>
      </c>
      <c r="E98">
        <v>196</v>
      </c>
      <c r="F98">
        <v>198</v>
      </c>
      <c r="G98">
        <v>199</v>
      </c>
      <c r="H98">
        <v>200</v>
      </c>
    </row>
    <row r="99" spans="1:14" ht="24" customHeight="1">
      <c r="A99" t="s">
        <v>181</v>
      </c>
      <c r="B99">
        <v>95</v>
      </c>
      <c r="C99">
        <v>195</v>
      </c>
      <c r="D99">
        <v>199</v>
      </c>
      <c r="E99">
        <v>201</v>
      </c>
      <c r="F99">
        <v>203</v>
      </c>
      <c r="G99">
        <v>204</v>
      </c>
      <c r="H99">
        <v>205</v>
      </c>
    </row>
    <row r="100" spans="1:14" ht="24" customHeight="1">
      <c r="A100" t="s">
        <v>181</v>
      </c>
      <c r="B100">
        <v>100</v>
      </c>
      <c r="C100">
        <v>196</v>
      </c>
      <c r="D100">
        <v>200</v>
      </c>
      <c r="E100">
        <v>202</v>
      </c>
      <c r="F100">
        <v>204</v>
      </c>
      <c r="G100">
        <v>205</v>
      </c>
      <c r="H100">
        <v>206</v>
      </c>
    </row>
    <row r="101" spans="1:14" ht="24" customHeight="1">
      <c r="A101" t="s">
        <v>181</v>
      </c>
      <c r="B101">
        <v>100</v>
      </c>
      <c r="C101">
        <v>400</v>
      </c>
      <c r="D101">
        <v>400</v>
      </c>
      <c r="E101">
        <v>400</v>
      </c>
      <c r="F101">
        <v>400</v>
      </c>
      <c r="G101">
        <v>400</v>
      </c>
      <c r="H101">
        <v>400</v>
      </c>
    </row>
    <row r="102" spans="1:14" ht="24" customHeight="1">
      <c r="A102" t="s">
        <v>248</v>
      </c>
    </row>
    <row r="103" spans="1:14" ht="24" customHeight="1">
      <c r="A103" s="34" t="s">
        <v>163</v>
      </c>
      <c r="B103" t="s">
        <v>164</v>
      </c>
      <c r="C103" s="34" t="s">
        <v>165</v>
      </c>
      <c r="D103" s="34" t="s">
        <v>166</v>
      </c>
      <c r="E103" s="34" t="s">
        <v>167</v>
      </c>
      <c r="F103" s="34" t="s">
        <v>168</v>
      </c>
      <c r="G103" s="34" t="s">
        <v>169</v>
      </c>
      <c r="H103" s="34" t="s">
        <v>170</v>
      </c>
      <c r="I103" s="34" t="s">
        <v>171</v>
      </c>
      <c r="J103" s="34" t="s">
        <v>172</v>
      </c>
      <c r="K103" s="34" t="s">
        <v>173</v>
      </c>
      <c r="L103" s="34" t="s">
        <v>174</v>
      </c>
      <c r="M103" s="34" t="s">
        <v>175</v>
      </c>
      <c r="N103" s="34" t="s">
        <v>176</v>
      </c>
    </row>
    <row r="104" spans="1:14" ht="24" customHeight="1">
      <c r="A104" s="34"/>
      <c r="B104" t="s">
        <v>177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</row>
    <row r="105" spans="1:14" ht="24" customHeight="1">
      <c r="A105" t="s">
        <v>178</v>
      </c>
      <c r="B105">
        <v>0</v>
      </c>
      <c r="C105">
        <v>-20</v>
      </c>
      <c r="D105">
        <v>-20</v>
      </c>
      <c r="E105">
        <v>-20</v>
      </c>
      <c r="F105">
        <v>-20</v>
      </c>
      <c r="G105">
        <v>-20</v>
      </c>
      <c r="H105">
        <v>-20</v>
      </c>
      <c r="I105">
        <v>-20</v>
      </c>
      <c r="J105">
        <v>-20</v>
      </c>
      <c r="K105">
        <v>-20</v>
      </c>
      <c r="L105">
        <v>-20</v>
      </c>
      <c r="M105">
        <v>-20</v>
      </c>
      <c r="N105">
        <v>-20</v>
      </c>
    </row>
    <row r="106" spans="1:14" ht="24" customHeight="1">
      <c r="A106" t="s">
        <v>178</v>
      </c>
      <c r="B106">
        <v>0</v>
      </c>
      <c r="C106">
        <v>-1.61</v>
      </c>
      <c r="D106">
        <v>-1.71</v>
      </c>
      <c r="E106">
        <v>-1.81</v>
      </c>
      <c r="F106">
        <v>-1.91</v>
      </c>
      <c r="G106">
        <v>-2.0099999999999998</v>
      </c>
      <c r="H106">
        <v>-2.11</v>
      </c>
      <c r="I106">
        <v>-2.0099999999999998</v>
      </c>
      <c r="J106">
        <v>-1.1100000000000001</v>
      </c>
      <c r="K106">
        <v>-0.31</v>
      </c>
      <c r="L106">
        <v>0.39</v>
      </c>
      <c r="M106">
        <v>0.99</v>
      </c>
      <c r="N106">
        <v>1.49</v>
      </c>
    </row>
    <row r="107" spans="1:14" ht="24" customHeight="1">
      <c r="A107" t="s">
        <v>178</v>
      </c>
      <c r="B107">
        <v>10</v>
      </c>
      <c r="C107">
        <v>-1.6</v>
      </c>
      <c r="D107">
        <v>-1.7</v>
      </c>
      <c r="E107">
        <v>-1.8</v>
      </c>
      <c r="F107">
        <v>-1.9</v>
      </c>
      <c r="G107">
        <v>-2</v>
      </c>
      <c r="H107">
        <v>-2.1</v>
      </c>
      <c r="I107">
        <v>-2</v>
      </c>
      <c r="J107">
        <v>-1.1000000000000001</v>
      </c>
      <c r="K107">
        <v>-0.3</v>
      </c>
      <c r="L107">
        <v>0.4</v>
      </c>
      <c r="M107">
        <v>1</v>
      </c>
      <c r="N107">
        <v>1.5</v>
      </c>
    </row>
    <row r="108" spans="1:14" ht="24" customHeight="1">
      <c r="A108" t="s">
        <v>178</v>
      </c>
      <c r="B108">
        <v>10</v>
      </c>
      <c r="C108">
        <v>-0.81</v>
      </c>
      <c r="D108">
        <v>-0.91</v>
      </c>
      <c r="E108">
        <v>-1.01</v>
      </c>
      <c r="F108">
        <v>-1.1100000000000001</v>
      </c>
      <c r="G108">
        <v>-1.21</v>
      </c>
      <c r="H108">
        <v>-1.31</v>
      </c>
      <c r="I108">
        <v>-1.21</v>
      </c>
      <c r="J108">
        <v>-0.31</v>
      </c>
      <c r="K108">
        <v>0.49</v>
      </c>
      <c r="L108">
        <v>1.19</v>
      </c>
      <c r="M108">
        <v>1.79</v>
      </c>
      <c r="N108">
        <v>2.29</v>
      </c>
    </row>
    <row r="109" spans="1:14" ht="24" customHeight="1">
      <c r="A109" t="s">
        <v>178</v>
      </c>
      <c r="B109">
        <v>20</v>
      </c>
      <c r="C109">
        <v>-0.8</v>
      </c>
      <c r="D109">
        <v>-0.9</v>
      </c>
      <c r="E109">
        <v>-1</v>
      </c>
      <c r="F109">
        <v>-1.1000000000000001</v>
      </c>
      <c r="G109">
        <v>-1.2</v>
      </c>
      <c r="H109">
        <v>-1.3</v>
      </c>
      <c r="I109">
        <v>-1.2</v>
      </c>
      <c r="J109">
        <v>-0.3</v>
      </c>
      <c r="K109">
        <v>0.5</v>
      </c>
      <c r="L109">
        <v>1.2</v>
      </c>
      <c r="M109">
        <v>1.8</v>
      </c>
      <c r="N109">
        <v>2.2999999999999998</v>
      </c>
    </row>
    <row r="110" spans="1:14" ht="24" customHeight="1">
      <c r="A110" t="s">
        <v>178</v>
      </c>
      <c r="B110">
        <v>20</v>
      </c>
      <c r="C110">
        <v>-0.99</v>
      </c>
      <c r="D110">
        <v>-0.11</v>
      </c>
      <c r="E110">
        <v>-0.21</v>
      </c>
      <c r="F110">
        <v>-0.31</v>
      </c>
      <c r="G110">
        <v>-0.41</v>
      </c>
      <c r="H110">
        <v>-0.51</v>
      </c>
      <c r="I110">
        <v>-0.41</v>
      </c>
      <c r="J110">
        <v>0.49</v>
      </c>
      <c r="K110">
        <v>1.29</v>
      </c>
      <c r="L110">
        <v>1.99</v>
      </c>
      <c r="M110">
        <v>2.59</v>
      </c>
      <c r="N110">
        <v>3.09</v>
      </c>
    </row>
    <row r="111" spans="1:14" ht="24" customHeight="1">
      <c r="A111" t="s">
        <v>178</v>
      </c>
      <c r="B111">
        <v>30</v>
      </c>
      <c r="C111">
        <v>0</v>
      </c>
      <c r="D111">
        <v>-0.1</v>
      </c>
      <c r="E111">
        <v>-0.2</v>
      </c>
      <c r="F111">
        <v>-0.3</v>
      </c>
      <c r="G111">
        <v>-0.4</v>
      </c>
      <c r="H111">
        <v>-0.5</v>
      </c>
      <c r="I111">
        <v>-0.4</v>
      </c>
      <c r="J111">
        <v>0.5</v>
      </c>
      <c r="K111">
        <v>1.3</v>
      </c>
      <c r="L111">
        <v>2</v>
      </c>
      <c r="M111">
        <v>2.6</v>
      </c>
      <c r="N111">
        <v>3.1</v>
      </c>
    </row>
    <row r="112" spans="1:14" ht="24" customHeight="1">
      <c r="A112" t="s">
        <v>178</v>
      </c>
      <c r="B112">
        <v>30</v>
      </c>
      <c r="C112">
        <v>0.79</v>
      </c>
      <c r="D112">
        <v>0.69</v>
      </c>
      <c r="E112">
        <v>0.59</v>
      </c>
      <c r="F112">
        <v>0.49</v>
      </c>
      <c r="G112">
        <v>0.39</v>
      </c>
      <c r="H112">
        <v>0.28999999999999998</v>
      </c>
      <c r="I112">
        <v>0.39</v>
      </c>
      <c r="J112">
        <v>1.29</v>
      </c>
      <c r="K112">
        <v>2.09</v>
      </c>
      <c r="L112">
        <v>2.79</v>
      </c>
      <c r="M112">
        <v>3.39</v>
      </c>
      <c r="N112">
        <v>3.89</v>
      </c>
    </row>
    <row r="113" spans="1:14" ht="24" customHeight="1">
      <c r="A113" t="s">
        <v>178</v>
      </c>
      <c r="B113">
        <v>40</v>
      </c>
      <c r="C113">
        <v>0.8</v>
      </c>
      <c r="D113">
        <v>0.7</v>
      </c>
      <c r="E113">
        <v>0.6</v>
      </c>
      <c r="F113">
        <v>0.5</v>
      </c>
      <c r="G113">
        <v>0.4</v>
      </c>
      <c r="H113">
        <v>0.3</v>
      </c>
      <c r="I113">
        <v>0.4</v>
      </c>
      <c r="J113">
        <v>1.3</v>
      </c>
      <c r="K113">
        <v>2.1</v>
      </c>
      <c r="L113">
        <v>2.8</v>
      </c>
      <c r="M113">
        <v>3.4</v>
      </c>
      <c r="N113">
        <v>3.9</v>
      </c>
    </row>
    <row r="114" spans="1:14" ht="24" customHeight="1">
      <c r="A114" t="s">
        <v>178</v>
      </c>
      <c r="B114">
        <v>40</v>
      </c>
      <c r="C114">
        <v>1.59</v>
      </c>
      <c r="D114">
        <v>1.49</v>
      </c>
      <c r="E114">
        <v>1.39</v>
      </c>
      <c r="F114">
        <v>1.29</v>
      </c>
      <c r="G114">
        <v>1.19</v>
      </c>
      <c r="H114">
        <v>1.0900000000000001</v>
      </c>
      <c r="I114">
        <v>1.19</v>
      </c>
      <c r="J114">
        <v>2.09</v>
      </c>
      <c r="K114">
        <v>2.89</v>
      </c>
      <c r="L114">
        <v>3.59</v>
      </c>
      <c r="M114">
        <v>4.1900000000000004</v>
      </c>
      <c r="N114">
        <v>4.6900000000000004</v>
      </c>
    </row>
    <row r="115" spans="1:14" ht="24" customHeight="1">
      <c r="A115" t="s">
        <v>178</v>
      </c>
      <c r="B115">
        <v>50</v>
      </c>
      <c r="C115">
        <v>1.6</v>
      </c>
      <c r="D115">
        <v>1.5</v>
      </c>
      <c r="E115">
        <v>1.4</v>
      </c>
      <c r="F115">
        <v>1.3</v>
      </c>
      <c r="G115">
        <v>1.2</v>
      </c>
      <c r="H115">
        <v>1.1000000000000001</v>
      </c>
      <c r="I115">
        <v>1.2</v>
      </c>
      <c r="J115">
        <v>2.1</v>
      </c>
      <c r="K115">
        <v>2.9</v>
      </c>
      <c r="L115">
        <v>3.6</v>
      </c>
      <c r="M115">
        <v>4.2</v>
      </c>
      <c r="N115">
        <v>4.7</v>
      </c>
    </row>
    <row r="116" spans="1:14" ht="24" customHeight="1">
      <c r="A116" t="s">
        <v>178</v>
      </c>
      <c r="B116">
        <v>50</v>
      </c>
      <c r="C116">
        <v>2.39</v>
      </c>
      <c r="D116">
        <v>2.29</v>
      </c>
      <c r="E116">
        <v>2.19</v>
      </c>
      <c r="F116">
        <v>2.09</v>
      </c>
      <c r="G116">
        <v>1.99</v>
      </c>
      <c r="H116">
        <v>1.89</v>
      </c>
      <c r="I116">
        <v>1.99</v>
      </c>
      <c r="J116">
        <v>2.89</v>
      </c>
      <c r="K116">
        <v>3.69</v>
      </c>
      <c r="L116">
        <v>4.3899999999999997</v>
      </c>
      <c r="M116">
        <v>4.99</v>
      </c>
      <c r="N116">
        <v>5.49</v>
      </c>
    </row>
    <row r="117" spans="1:14" ht="24" customHeight="1">
      <c r="A117" t="s">
        <v>179</v>
      </c>
      <c r="B117">
        <v>60</v>
      </c>
      <c r="C117">
        <v>2.4</v>
      </c>
      <c r="D117">
        <v>2.2999999999999998</v>
      </c>
      <c r="E117">
        <v>2.2000000000000002</v>
      </c>
      <c r="F117">
        <v>2.1</v>
      </c>
      <c r="G117">
        <v>2</v>
      </c>
      <c r="H117">
        <v>1.9</v>
      </c>
      <c r="I117">
        <v>2</v>
      </c>
      <c r="J117">
        <v>2.9</v>
      </c>
      <c r="K117">
        <v>3.7</v>
      </c>
      <c r="L117">
        <v>4.4000000000000004</v>
      </c>
      <c r="M117">
        <v>5</v>
      </c>
      <c r="N117">
        <v>5.5</v>
      </c>
    </row>
    <row r="118" spans="1:14" ht="24" customHeight="1">
      <c r="A118" t="s">
        <v>179</v>
      </c>
      <c r="B118">
        <v>60</v>
      </c>
      <c r="C118">
        <v>3.49</v>
      </c>
      <c r="D118">
        <v>3.39</v>
      </c>
      <c r="E118">
        <v>3.29</v>
      </c>
      <c r="F118">
        <v>3.19</v>
      </c>
      <c r="G118">
        <v>3.09</v>
      </c>
      <c r="H118">
        <v>2.99</v>
      </c>
      <c r="I118">
        <v>3.29</v>
      </c>
      <c r="J118">
        <v>4.1900000000000004</v>
      </c>
      <c r="K118">
        <v>4.99</v>
      </c>
      <c r="L118">
        <v>5.69</v>
      </c>
      <c r="M118">
        <v>6.29</v>
      </c>
      <c r="N118">
        <v>6.79</v>
      </c>
    </row>
    <row r="119" spans="1:14" ht="24" customHeight="1">
      <c r="A119" t="s">
        <v>179</v>
      </c>
      <c r="B119">
        <v>62</v>
      </c>
      <c r="C119">
        <v>3.5</v>
      </c>
      <c r="D119">
        <v>3.4</v>
      </c>
      <c r="E119">
        <v>3.3</v>
      </c>
      <c r="F119">
        <v>3.2</v>
      </c>
      <c r="G119">
        <v>3.1</v>
      </c>
      <c r="H119">
        <v>3</v>
      </c>
      <c r="I119">
        <v>3.3</v>
      </c>
      <c r="J119">
        <v>4.2</v>
      </c>
      <c r="K119">
        <v>5</v>
      </c>
      <c r="L119">
        <v>5.7</v>
      </c>
      <c r="M119">
        <v>6.3</v>
      </c>
      <c r="N119">
        <v>6.8</v>
      </c>
    </row>
    <row r="120" spans="1:14" ht="24" customHeight="1">
      <c r="A120" t="s">
        <v>179</v>
      </c>
      <c r="B120">
        <v>62</v>
      </c>
      <c r="C120">
        <v>4.59</v>
      </c>
      <c r="D120">
        <v>4.49</v>
      </c>
      <c r="E120">
        <v>4.3899999999999997</v>
      </c>
      <c r="F120">
        <v>4.29</v>
      </c>
      <c r="G120">
        <v>4.1900000000000004</v>
      </c>
      <c r="H120">
        <v>4.09</v>
      </c>
      <c r="I120">
        <v>4.59</v>
      </c>
      <c r="J120">
        <v>5.49</v>
      </c>
      <c r="K120">
        <v>6.29</v>
      </c>
      <c r="L120">
        <v>6.99</v>
      </c>
      <c r="M120">
        <v>7.59</v>
      </c>
      <c r="N120">
        <v>8.09</v>
      </c>
    </row>
    <row r="121" spans="1:14" ht="24" customHeight="1">
      <c r="A121" t="s">
        <v>179</v>
      </c>
      <c r="B121">
        <v>64</v>
      </c>
      <c r="C121">
        <v>4.5999999999999996</v>
      </c>
      <c r="D121">
        <v>4.5</v>
      </c>
      <c r="E121">
        <v>4.4000000000000004</v>
      </c>
      <c r="F121">
        <v>4.3</v>
      </c>
      <c r="G121">
        <v>4.2</v>
      </c>
      <c r="H121">
        <v>4.0999999999999996</v>
      </c>
      <c r="I121">
        <v>4.5999999999999996</v>
      </c>
      <c r="J121">
        <v>5.5</v>
      </c>
      <c r="K121">
        <v>6.3</v>
      </c>
      <c r="L121">
        <v>7</v>
      </c>
      <c r="M121">
        <v>7.6</v>
      </c>
      <c r="N121">
        <v>8.1</v>
      </c>
    </row>
    <row r="122" spans="1:14" ht="24" customHeight="1">
      <c r="A122" t="s">
        <v>179</v>
      </c>
      <c r="B122">
        <v>64</v>
      </c>
      <c r="C122">
        <v>5.69</v>
      </c>
      <c r="D122">
        <v>5.59</v>
      </c>
      <c r="E122">
        <v>5.49</v>
      </c>
      <c r="F122">
        <v>5.39</v>
      </c>
      <c r="G122">
        <v>5.29</v>
      </c>
      <c r="H122">
        <v>5.19</v>
      </c>
      <c r="I122">
        <v>5.89</v>
      </c>
      <c r="J122">
        <v>6.79</v>
      </c>
      <c r="K122">
        <v>7.59</v>
      </c>
      <c r="L122">
        <v>8.2899999999999991</v>
      </c>
      <c r="M122">
        <v>8.89</v>
      </c>
      <c r="N122">
        <v>9.39</v>
      </c>
    </row>
    <row r="123" spans="1:14" ht="24" customHeight="1">
      <c r="A123" t="s">
        <v>179</v>
      </c>
      <c r="B123">
        <v>66</v>
      </c>
      <c r="C123">
        <v>5.7</v>
      </c>
      <c r="D123">
        <v>5.6</v>
      </c>
      <c r="E123">
        <v>5.5</v>
      </c>
      <c r="F123">
        <v>5.4</v>
      </c>
      <c r="G123">
        <v>5.3</v>
      </c>
      <c r="H123">
        <v>5.2</v>
      </c>
      <c r="I123">
        <v>5.9</v>
      </c>
      <c r="J123">
        <v>6.8</v>
      </c>
      <c r="K123">
        <v>7.6</v>
      </c>
      <c r="L123">
        <v>8.3000000000000007</v>
      </c>
      <c r="M123">
        <v>8.9</v>
      </c>
      <c r="N123">
        <v>9.4</v>
      </c>
    </row>
    <row r="124" spans="1:14" ht="24" customHeight="1">
      <c r="A124" t="s">
        <v>179</v>
      </c>
      <c r="B124">
        <v>66</v>
      </c>
      <c r="C124">
        <v>6.79</v>
      </c>
      <c r="D124">
        <v>6.69</v>
      </c>
      <c r="E124">
        <v>6.59</v>
      </c>
      <c r="F124">
        <v>6.49</v>
      </c>
      <c r="G124">
        <v>6.39</v>
      </c>
      <c r="H124">
        <v>6.29</v>
      </c>
      <c r="I124">
        <v>7.19</v>
      </c>
      <c r="J124">
        <v>8.09</v>
      </c>
      <c r="K124">
        <v>8.7899999999999991</v>
      </c>
      <c r="L124">
        <v>9.59</v>
      </c>
      <c r="M124">
        <v>10.19</v>
      </c>
      <c r="N124">
        <v>10.69</v>
      </c>
    </row>
    <row r="125" spans="1:14" ht="24" customHeight="1">
      <c r="A125" t="s">
        <v>179</v>
      </c>
      <c r="B125">
        <v>68</v>
      </c>
      <c r="C125">
        <v>6.8</v>
      </c>
      <c r="D125">
        <v>6.7</v>
      </c>
      <c r="E125">
        <v>6.6</v>
      </c>
      <c r="F125">
        <v>6.5</v>
      </c>
      <c r="G125">
        <v>6.4</v>
      </c>
      <c r="H125">
        <v>6.3</v>
      </c>
      <c r="I125">
        <v>7.2</v>
      </c>
      <c r="J125">
        <v>8.1</v>
      </c>
      <c r="K125">
        <v>8.9</v>
      </c>
      <c r="L125">
        <v>9.6</v>
      </c>
      <c r="M125">
        <v>10.199999999999999</v>
      </c>
      <c r="N125">
        <v>10.7</v>
      </c>
    </row>
    <row r="126" spans="1:14" ht="24" customHeight="1">
      <c r="A126" t="s">
        <v>179</v>
      </c>
      <c r="B126">
        <v>68</v>
      </c>
      <c r="C126">
        <v>7.89</v>
      </c>
      <c r="D126">
        <v>7.79</v>
      </c>
      <c r="E126">
        <v>7.69</v>
      </c>
      <c r="F126">
        <v>7.59</v>
      </c>
      <c r="G126">
        <v>7.49</v>
      </c>
      <c r="H126">
        <v>7.39</v>
      </c>
      <c r="I126">
        <v>8.49</v>
      </c>
      <c r="J126">
        <v>9.39</v>
      </c>
      <c r="K126">
        <v>10.19</v>
      </c>
      <c r="L126">
        <v>10.89</v>
      </c>
      <c r="M126">
        <v>11.49</v>
      </c>
      <c r="N126">
        <v>11.99</v>
      </c>
    </row>
    <row r="127" spans="1:14" ht="24" customHeight="1">
      <c r="A127" t="s">
        <v>179</v>
      </c>
      <c r="B127">
        <v>70</v>
      </c>
      <c r="C127">
        <v>7.9</v>
      </c>
      <c r="D127">
        <v>7.8</v>
      </c>
      <c r="E127">
        <v>7.7</v>
      </c>
      <c r="F127">
        <v>7.6</v>
      </c>
      <c r="G127">
        <v>7.5</v>
      </c>
      <c r="H127">
        <v>7.4</v>
      </c>
      <c r="I127">
        <v>8.5</v>
      </c>
      <c r="J127">
        <v>9.4</v>
      </c>
      <c r="K127">
        <v>10.199999999999999</v>
      </c>
      <c r="L127">
        <v>10.9</v>
      </c>
      <c r="M127">
        <v>11.5</v>
      </c>
      <c r="N127">
        <v>12</v>
      </c>
    </row>
    <row r="128" spans="1:14" ht="24" customHeight="1">
      <c r="A128" t="s">
        <v>179</v>
      </c>
      <c r="B128">
        <v>70</v>
      </c>
      <c r="C128">
        <v>8.99</v>
      </c>
      <c r="D128">
        <v>8.89</v>
      </c>
      <c r="E128">
        <v>8.7899999999999991</v>
      </c>
      <c r="F128">
        <v>8.69</v>
      </c>
      <c r="G128">
        <v>8.59</v>
      </c>
      <c r="H128">
        <v>8.49</v>
      </c>
      <c r="I128">
        <v>9.7899999999999991</v>
      </c>
      <c r="J128">
        <v>10.69</v>
      </c>
      <c r="K128">
        <v>11.49</v>
      </c>
      <c r="L128">
        <v>12.19</v>
      </c>
      <c r="M128">
        <v>12.79</v>
      </c>
      <c r="N128">
        <v>13.29</v>
      </c>
    </row>
    <row r="129" spans="1:14" ht="24" customHeight="1">
      <c r="A129" t="s">
        <v>179</v>
      </c>
      <c r="B129">
        <v>72</v>
      </c>
      <c r="C129">
        <v>9</v>
      </c>
      <c r="D129">
        <v>8.9</v>
      </c>
      <c r="E129">
        <v>8.8000000000000007</v>
      </c>
      <c r="F129">
        <v>8.6999999999999993</v>
      </c>
      <c r="G129">
        <v>8.6</v>
      </c>
      <c r="H129">
        <v>8.5</v>
      </c>
      <c r="I129">
        <v>9.8000000000000007</v>
      </c>
      <c r="J129">
        <v>10.7</v>
      </c>
      <c r="K129">
        <v>11.5</v>
      </c>
      <c r="L129">
        <v>12.2</v>
      </c>
      <c r="M129">
        <v>12.8</v>
      </c>
      <c r="N129">
        <v>13.3</v>
      </c>
    </row>
    <row r="130" spans="1:14" ht="24" customHeight="1">
      <c r="A130" t="s">
        <v>179</v>
      </c>
      <c r="B130">
        <v>72</v>
      </c>
      <c r="C130">
        <v>10.09</v>
      </c>
      <c r="D130">
        <v>9.99</v>
      </c>
      <c r="E130">
        <v>9.89</v>
      </c>
      <c r="F130">
        <v>9.7899999999999991</v>
      </c>
      <c r="G130">
        <v>9.69</v>
      </c>
      <c r="H130">
        <v>9.59</v>
      </c>
      <c r="I130">
        <v>11.09</v>
      </c>
      <c r="J130">
        <v>11.99</v>
      </c>
      <c r="K130">
        <v>12.79</v>
      </c>
      <c r="L130">
        <v>13.49</v>
      </c>
      <c r="M130">
        <v>14.09</v>
      </c>
      <c r="N130">
        <v>14.59</v>
      </c>
    </row>
    <row r="131" spans="1:14" ht="24" customHeight="1">
      <c r="A131" t="s">
        <v>179</v>
      </c>
      <c r="B131">
        <v>74</v>
      </c>
      <c r="C131">
        <v>10.1</v>
      </c>
      <c r="D131">
        <v>10</v>
      </c>
      <c r="E131">
        <v>9.9</v>
      </c>
      <c r="F131">
        <v>9.8000000000000007</v>
      </c>
      <c r="G131">
        <v>9.6999999999999993</v>
      </c>
      <c r="H131">
        <v>9.6</v>
      </c>
      <c r="I131">
        <v>11.1</v>
      </c>
      <c r="J131">
        <v>12</v>
      </c>
      <c r="K131">
        <v>12.8</v>
      </c>
      <c r="L131">
        <v>13.5</v>
      </c>
      <c r="M131">
        <v>14.1</v>
      </c>
      <c r="N131">
        <v>14.6</v>
      </c>
    </row>
    <row r="132" spans="1:14" ht="24" customHeight="1">
      <c r="A132" t="s">
        <v>179</v>
      </c>
      <c r="B132">
        <v>74</v>
      </c>
      <c r="C132">
        <v>11.19</v>
      </c>
      <c r="D132">
        <v>11.09</v>
      </c>
      <c r="E132">
        <v>10.99</v>
      </c>
      <c r="F132">
        <v>10.89</v>
      </c>
      <c r="G132">
        <v>10.79</v>
      </c>
      <c r="H132">
        <v>10.69</v>
      </c>
      <c r="I132">
        <v>12.39</v>
      </c>
      <c r="J132">
        <v>13.29</v>
      </c>
      <c r="K132">
        <v>14.09</v>
      </c>
      <c r="L132">
        <v>14.79</v>
      </c>
      <c r="M132">
        <v>15.39</v>
      </c>
      <c r="N132">
        <v>15.89</v>
      </c>
    </row>
    <row r="133" spans="1:14" ht="24" customHeight="1">
      <c r="A133" t="s">
        <v>179</v>
      </c>
      <c r="B133">
        <v>76</v>
      </c>
      <c r="C133">
        <v>11.2</v>
      </c>
      <c r="D133">
        <v>11.1</v>
      </c>
      <c r="E133">
        <v>11</v>
      </c>
      <c r="F133">
        <v>10.9</v>
      </c>
      <c r="G133">
        <v>10.8</v>
      </c>
      <c r="H133">
        <v>10.7</v>
      </c>
      <c r="I133">
        <v>12.4</v>
      </c>
      <c r="J133">
        <v>13.3</v>
      </c>
      <c r="K133">
        <v>14.1</v>
      </c>
      <c r="L133">
        <v>14.8</v>
      </c>
      <c r="M133">
        <v>15.4</v>
      </c>
      <c r="N133">
        <v>15.9</v>
      </c>
    </row>
    <row r="134" spans="1:14" ht="24" customHeight="1">
      <c r="A134" t="s">
        <v>179</v>
      </c>
      <c r="B134">
        <v>76</v>
      </c>
      <c r="C134">
        <v>12.29</v>
      </c>
      <c r="D134">
        <v>12.19</v>
      </c>
      <c r="E134">
        <v>12.09</v>
      </c>
      <c r="F134">
        <v>11.99</v>
      </c>
      <c r="G134">
        <v>11.89</v>
      </c>
      <c r="H134">
        <v>11.79</v>
      </c>
      <c r="I134">
        <v>13.69</v>
      </c>
      <c r="J134">
        <v>14.59</v>
      </c>
      <c r="K134">
        <v>15.49</v>
      </c>
      <c r="L134">
        <v>16.09</v>
      </c>
      <c r="M134">
        <v>16.690000000000001</v>
      </c>
      <c r="N134">
        <v>17.190000000000001</v>
      </c>
    </row>
    <row r="135" spans="1:14" ht="24" customHeight="1">
      <c r="A135" t="s">
        <v>179</v>
      </c>
      <c r="B135">
        <v>78</v>
      </c>
      <c r="C135">
        <v>12.3</v>
      </c>
      <c r="D135">
        <v>12.2</v>
      </c>
      <c r="E135">
        <v>12.1</v>
      </c>
      <c r="F135">
        <v>12</v>
      </c>
      <c r="G135">
        <v>11.9</v>
      </c>
      <c r="H135">
        <v>11.8</v>
      </c>
      <c r="I135">
        <v>13.7</v>
      </c>
      <c r="J135">
        <v>14.6</v>
      </c>
      <c r="K135">
        <v>15.4</v>
      </c>
      <c r="L135">
        <v>16.100000000000001</v>
      </c>
      <c r="M135">
        <v>16.7</v>
      </c>
      <c r="N135">
        <v>17.2</v>
      </c>
    </row>
    <row r="136" spans="1:14" ht="24" customHeight="1">
      <c r="A136" t="s">
        <v>179</v>
      </c>
      <c r="B136">
        <v>78</v>
      </c>
      <c r="C136">
        <v>13.39</v>
      </c>
      <c r="D136">
        <v>13.29</v>
      </c>
      <c r="E136">
        <v>13.19</v>
      </c>
      <c r="F136">
        <v>13.09</v>
      </c>
      <c r="G136">
        <v>12.99</v>
      </c>
      <c r="H136">
        <v>12.89</v>
      </c>
      <c r="I136">
        <v>14.99</v>
      </c>
      <c r="J136">
        <v>15.89</v>
      </c>
      <c r="K136">
        <v>16.690000000000001</v>
      </c>
      <c r="L136">
        <v>17.39</v>
      </c>
      <c r="M136">
        <v>17.989999999999998</v>
      </c>
      <c r="N136">
        <v>18.489999999999998</v>
      </c>
    </row>
    <row r="137" spans="1:14" ht="24" customHeight="1">
      <c r="A137" t="s">
        <v>180</v>
      </c>
      <c r="B137">
        <v>80</v>
      </c>
      <c r="C137">
        <v>13.4</v>
      </c>
      <c r="D137">
        <v>13.3</v>
      </c>
      <c r="E137">
        <v>13.2</v>
      </c>
      <c r="F137">
        <v>13.1</v>
      </c>
      <c r="G137">
        <v>13</v>
      </c>
      <c r="H137">
        <v>12.9</v>
      </c>
      <c r="I137">
        <v>15</v>
      </c>
      <c r="J137">
        <v>15.9</v>
      </c>
      <c r="K137">
        <v>16.7</v>
      </c>
      <c r="L137">
        <v>17.399999999999999</v>
      </c>
      <c r="M137">
        <v>18</v>
      </c>
      <c r="N137">
        <v>18.5</v>
      </c>
    </row>
    <row r="138" spans="1:14" ht="24" customHeight="1">
      <c r="A138" t="s">
        <v>180</v>
      </c>
      <c r="B138">
        <v>80</v>
      </c>
      <c r="C138">
        <v>14.69</v>
      </c>
      <c r="D138">
        <v>14.79</v>
      </c>
      <c r="E138">
        <v>14.89</v>
      </c>
      <c r="F138">
        <v>14.99</v>
      </c>
      <c r="G138">
        <v>15.09</v>
      </c>
      <c r="H138">
        <v>15.19</v>
      </c>
      <c r="I138">
        <v>16.690000000000001</v>
      </c>
      <c r="J138">
        <v>17.59</v>
      </c>
      <c r="K138">
        <v>18.39</v>
      </c>
      <c r="L138">
        <v>19.09</v>
      </c>
      <c r="M138">
        <v>19.690000000000001</v>
      </c>
      <c r="N138">
        <v>20.190000000000001</v>
      </c>
    </row>
    <row r="139" spans="1:14" ht="24" customHeight="1">
      <c r="A139" t="s">
        <v>180</v>
      </c>
      <c r="B139">
        <v>85</v>
      </c>
      <c r="C139">
        <v>14.7</v>
      </c>
      <c r="D139">
        <v>14.8</v>
      </c>
      <c r="E139">
        <v>14.9</v>
      </c>
      <c r="F139">
        <v>15</v>
      </c>
      <c r="G139">
        <v>15.1</v>
      </c>
      <c r="H139">
        <v>15.2</v>
      </c>
      <c r="I139">
        <v>16.7</v>
      </c>
      <c r="J139">
        <v>17.600000000000001</v>
      </c>
      <c r="K139">
        <v>18.399999999999999</v>
      </c>
      <c r="L139">
        <v>19.100000000000001</v>
      </c>
      <c r="M139">
        <v>19.7</v>
      </c>
      <c r="N139">
        <v>20.2</v>
      </c>
    </row>
    <row r="140" spans="1:14" ht="24" customHeight="1">
      <c r="A140" t="s">
        <v>180</v>
      </c>
      <c r="B140">
        <v>85</v>
      </c>
      <c r="C140">
        <v>15.99</v>
      </c>
      <c r="D140">
        <v>16.29</v>
      </c>
      <c r="E140">
        <v>16.59</v>
      </c>
      <c r="F140">
        <v>16.89</v>
      </c>
      <c r="G140">
        <v>17.190000000000001</v>
      </c>
      <c r="H140">
        <v>17.489999999999998</v>
      </c>
      <c r="I140">
        <v>18.39</v>
      </c>
      <c r="J140">
        <v>19.29</v>
      </c>
      <c r="K140">
        <v>20.09</v>
      </c>
      <c r="L140">
        <v>20.79</v>
      </c>
      <c r="M140">
        <v>21.39</v>
      </c>
      <c r="N140">
        <v>21.89</v>
      </c>
    </row>
    <row r="141" spans="1:14" ht="24" customHeight="1">
      <c r="A141" t="s">
        <v>181</v>
      </c>
      <c r="B141">
        <v>90</v>
      </c>
      <c r="C141">
        <v>16</v>
      </c>
      <c r="D141">
        <v>16.3</v>
      </c>
      <c r="E141">
        <v>16.600000000000001</v>
      </c>
      <c r="F141">
        <v>16.899999999999999</v>
      </c>
      <c r="G141">
        <v>17.2</v>
      </c>
      <c r="H141">
        <v>17.5</v>
      </c>
      <c r="I141">
        <v>18.399999999999999</v>
      </c>
      <c r="J141">
        <v>19.3</v>
      </c>
      <c r="K141">
        <v>20.100000000000001</v>
      </c>
      <c r="L141">
        <v>20.8</v>
      </c>
      <c r="M141">
        <v>21.4</v>
      </c>
      <c r="N141">
        <v>21.9</v>
      </c>
    </row>
    <row r="142" spans="1:14" ht="24" customHeight="1">
      <c r="A142" t="s">
        <v>181</v>
      </c>
      <c r="B142">
        <v>90</v>
      </c>
      <c r="C142">
        <v>17.29</v>
      </c>
      <c r="D142">
        <v>17.59</v>
      </c>
      <c r="E142">
        <v>17.89</v>
      </c>
      <c r="F142">
        <v>18.09</v>
      </c>
      <c r="G142">
        <v>18.489999999999998</v>
      </c>
      <c r="H142">
        <v>18.690000000000001</v>
      </c>
      <c r="I142">
        <v>20.09</v>
      </c>
      <c r="J142">
        <v>20.99</v>
      </c>
      <c r="K142">
        <v>21.79</v>
      </c>
      <c r="L142">
        <v>22.49</v>
      </c>
      <c r="M142">
        <v>23.09</v>
      </c>
      <c r="N142">
        <v>23.59</v>
      </c>
    </row>
    <row r="143" spans="1:14" ht="24" customHeight="1">
      <c r="A143" t="s">
        <v>181</v>
      </c>
      <c r="B143">
        <v>95</v>
      </c>
      <c r="C143">
        <v>17.3</v>
      </c>
      <c r="D143">
        <v>17.600000000000001</v>
      </c>
      <c r="E143">
        <v>17.899999999999999</v>
      </c>
      <c r="F143">
        <v>18.100000000000001</v>
      </c>
      <c r="G143">
        <v>18.5</v>
      </c>
      <c r="H143">
        <v>18.7</v>
      </c>
      <c r="I143">
        <v>20.100000000000001</v>
      </c>
      <c r="J143">
        <v>21</v>
      </c>
      <c r="K143">
        <v>21.8</v>
      </c>
      <c r="L143">
        <v>22.5</v>
      </c>
      <c r="M143">
        <v>23.1</v>
      </c>
      <c r="N143">
        <v>23.6</v>
      </c>
    </row>
    <row r="144" spans="1:14" ht="24" customHeight="1">
      <c r="A144" t="s">
        <v>181</v>
      </c>
      <c r="B144">
        <v>95</v>
      </c>
      <c r="C144">
        <v>18.59</v>
      </c>
      <c r="D144">
        <v>18.89</v>
      </c>
      <c r="E144">
        <v>19.190000000000001</v>
      </c>
      <c r="F144">
        <v>19.489999999999998</v>
      </c>
      <c r="G144">
        <v>19.79</v>
      </c>
      <c r="H144">
        <v>19.89</v>
      </c>
      <c r="I144">
        <v>21.79</v>
      </c>
      <c r="J144">
        <v>22.69</v>
      </c>
      <c r="K144">
        <v>23.49</v>
      </c>
      <c r="L144">
        <v>24.19</v>
      </c>
      <c r="M144">
        <v>24.79</v>
      </c>
      <c r="N144">
        <v>25.29</v>
      </c>
    </row>
    <row r="145" spans="1:14" ht="24" customHeight="1">
      <c r="A145" t="s">
        <v>181</v>
      </c>
      <c r="B145">
        <v>100</v>
      </c>
      <c r="C145">
        <v>18.600000000000001</v>
      </c>
      <c r="D145">
        <v>18.899999999999999</v>
      </c>
      <c r="E145">
        <v>19.2</v>
      </c>
      <c r="F145">
        <v>19.5</v>
      </c>
      <c r="G145">
        <v>19.8</v>
      </c>
      <c r="H145">
        <v>19.899999999999999</v>
      </c>
      <c r="I145">
        <v>21.8</v>
      </c>
      <c r="J145">
        <v>22.7</v>
      </c>
      <c r="K145">
        <v>23.5</v>
      </c>
      <c r="L145">
        <v>24.2</v>
      </c>
      <c r="M145">
        <v>24.8</v>
      </c>
      <c r="N145">
        <v>25.3</v>
      </c>
    </row>
    <row r="146" spans="1:14" ht="24" customHeight="1">
      <c r="A146" t="s">
        <v>181</v>
      </c>
      <c r="B146">
        <v>100</v>
      </c>
      <c r="C146">
        <v>30</v>
      </c>
      <c r="D146">
        <v>30</v>
      </c>
      <c r="E146">
        <v>30</v>
      </c>
      <c r="F146">
        <v>30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30</v>
      </c>
      <c r="N146">
        <v>30</v>
      </c>
    </row>
    <row r="147" spans="1:14" ht="24" customHeight="1">
      <c r="A147" t="s">
        <v>255</v>
      </c>
    </row>
    <row r="148" spans="1:14" ht="24" customHeight="1">
      <c r="A148" s="34" t="s">
        <v>163</v>
      </c>
      <c r="B148" t="s">
        <v>164</v>
      </c>
      <c r="C148" s="34" t="s">
        <v>167</v>
      </c>
      <c r="D148" s="34" t="s">
        <v>168</v>
      </c>
      <c r="E148" s="34" t="s">
        <v>169</v>
      </c>
      <c r="F148" s="34" t="s">
        <v>170</v>
      </c>
      <c r="G148" s="34" t="s">
        <v>171</v>
      </c>
      <c r="H148" s="34" t="s">
        <v>172</v>
      </c>
      <c r="I148" s="34" t="s">
        <v>173</v>
      </c>
      <c r="J148" s="34" t="s">
        <v>174</v>
      </c>
      <c r="K148" s="34" t="s">
        <v>175</v>
      </c>
      <c r="L148" s="34" t="s">
        <v>176</v>
      </c>
    </row>
    <row r="149" spans="1:14" ht="24" customHeight="1">
      <c r="A149" s="34"/>
      <c r="B149" t="s">
        <v>177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</row>
    <row r="150" spans="1:14" ht="24" customHeight="1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4" ht="24" customHeight="1">
      <c r="A151" t="s">
        <v>178</v>
      </c>
      <c r="B151">
        <v>0</v>
      </c>
      <c r="C151">
        <v>5</v>
      </c>
      <c r="D151">
        <v>6</v>
      </c>
      <c r="E151">
        <v>7</v>
      </c>
      <c r="F151">
        <v>8</v>
      </c>
      <c r="G151">
        <v>9</v>
      </c>
      <c r="H151">
        <v>10</v>
      </c>
      <c r="I151">
        <v>11</v>
      </c>
      <c r="J151">
        <v>12</v>
      </c>
      <c r="K151">
        <v>13</v>
      </c>
      <c r="L151">
        <v>14</v>
      </c>
    </row>
    <row r="152" spans="1:14" ht="24" customHeight="1">
      <c r="A152" t="s">
        <v>178</v>
      </c>
      <c r="B152">
        <v>10</v>
      </c>
      <c r="C152">
        <v>6</v>
      </c>
      <c r="D152">
        <v>7</v>
      </c>
      <c r="E152">
        <v>8</v>
      </c>
      <c r="F152">
        <v>9</v>
      </c>
      <c r="G152">
        <v>10</v>
      </c>
      <c r="H152">
        <v>11</v>
      </c>
      <c r="I152">
        <v>12</v>
      </c>
      <c r="J152">
        <v>13</v>
      </c>
      <c r="K152">
        <v>14</v>
      </c>
      <c r="L152">
        <v>15</v>
      </c>
    </row>
    <row r="153" spans="1:14" ht="24" customHeight="1">
      <c r="A153" t="s">
        <v>178</v>
      </c>
      <c r="B153">
        <v>10</v>
      </c>
      <c r="C153">
        <v>7</v>
      </c>
      <c r="D153">
        <v>8</v>
      </c>
      <c r="E153">
        <v>9</v>
      </c>
      <c r="F153">
        <v>10</v>
      </c>
      <c r="G153">
        <v>11</v>
      </c>
      <c r="H153">
        <v>12</v>
      </c>
      <c r="I153">
        <v>13</v>
      </c>
      <c r="J153">
        <v>14</v>
      </c>
      <c r="K153">
        <v>15</v>
      </c>
      <c r="L153">
        <v>16</v>
      </c>
    </row>
    <row r="154" spans="1:14" ht="24" customHeight="1">
      <c r="A154" t="s">
        <v>178</v>
      </c>
      <c r="B154">
        <v>20</v>
      </c>
      <c r="C154">
        <v>8</v>
      </c>
      <c r="D154">
        <v>9</v>
      </c>
      <c r="E154">
        <v>10</v>
      </c>
      <c r="F154">
        <v>11</v>
      </c>
      <c r="G154">
        <v>12</v>
      </c>
      <c r="H154">
        <v>13</v>
      </c>
      <c r="I154">
        <v>14</v>
      </c>
      <c r="J154">
        <v>15</v>
      </c>
      <c r="K154">
        <v>16</v>
      </c>
      <c r="L154">
        <v>17</v>
      </c>
    </row>
    <row r="155" spans="1:14" ht="24" customHeight="1">
      <c r="A155" t="s">
        <v>178</v>
      </c>
      <c r="B155">
        <v>20</v>
      </c>
      <c r="C155">
        <v>9</v>
      </c>
      <c r="D155">
        <v>10</v>
      </c>
      <c r="E155">
        <v>11</v>
      </c>
      <c r="F155">
        <v>12</v>
      </c>
      <c r="G155">
        <v>13</v>
      </c>
      <c r="H155">
        <v>14</v>
      </c>
      <c r="I155">
        <v>15</v>
      </c>
      <c r="J155">
        <v>16</v>
      </c>
      <c r="K155">
        <v>17</v>
      </c>
      <c r="L155">
        <v>18</v>
      </c>
    </row>
    <row r="156" spans="1:14" ht="24" customHeight="1">
      <c r="A156" t="s">
        <v>178</v>
      </c>
      <c r="B156">
        <v>30</v>
      </c>
      <c r="C156">
        <v>10</v>
      </c>
      <c r="D156">
        <v>11</v>
      </c>
      <c r="E156">
        <v>12</v>
      </c>
      <c r="F156">
        <v>13</v>
      </c>
      <c r="G156">
        <v>14</v>
      </c>
      <c r="H156">
        <v>15</v>
      </c>
      <c r="I156">
        <v>16</v>
      </c>
      <c r="J156">
        <v>17</v>
      </c>
      <c r="K156">
        <v>18</v>
      </c>
      <c r="L156">
        <v>19</v>
      </c>
    </row>
    <row r="157" spans="1:14" ht="24" customHeight="1">
      <c r="A157" t="s">
        <v>178</v>
      </c>
      <c r="B157">
        <v>30</v>
      </c>
      <c r="C157">
        <v>11</v>
      </c>
      <c r="D157">
        <v>12</v>
      </c>
      <c r="E157">
        <v>13</v>
      </c>
      <c r="F157">
        <v>14</v>
      </c>
      <c r="G157">
        <v>15</v>
      </c>
      <c r="H157">
        <v>16</v>
      </c>
      <c r="I157">
        <v>17</v>
      </c>
      <c r="J157">
        <v>18</v>
      </c>
      <c r="K157">
        <v>19</v>
      </c>
      <c r="L157">
        <v>20</v>
      </c>
    </row>
    <row r="158" spans="1:14" ht="24" customHeight="1">
      <c r="A158" t="s">
        <v>178</v>
      </c>
      <c r="B158">
        <v>40</v>
      </c>
      <c r="C158">
        <v>12</v>
      </c>
      <c r="D158">
        <v>13</v>
      </c>
      <c r="E158">
        <v>14</v>
      </c>
      <c r="F158">
        <v>15</v>
      </c>
      <c r="G158">
        <v>16</v>
      </c>
      <c r="H158">
        <v>17</v>
      </c>
      <c r="I158">
        <v>18</v>
      </c>
      <c r="J158">
        <v>19</v>
      </c>
      <c r="K158">
        <v>20</v>
      </c>
      <c r="L158">
        <v>21</v>
      </c>
    </row>
    <row r="159" spans="1:14" ht="24" customHeight="1">
      <c r="A159" t="s">
        <v>178</v>
      </c>
      <c r="B159">
        <v>40</v>
      </c>
      <c r="C159">
        <v>13</v>
      </c>
      <c r="D159">
        <v>14</v>
      </c>
      <c r="E159">
        <v>15</v>
      </c>
      <c r="F159">
        <v>16</v>
      </c>
      <c r="G159">
        <v>17</v>
      </c>
      <c r="H159">
        <v>18</v>
      </c>
      <c r="I159">
        <v>19</v>
      </c>
      <c r="J159">
        <v>20</v>
      </c>
      <c r="K159">
        <v>21</v>
      </c>
      <c r="L159">
        <v>22</v>
      </c>
    </row>
    <row r="160" spans="1:14" ht="24" customHeight="1">
      <c r="A160" t="s">
        <v>178</v>
      </c>
      <c r="B160">
        <v>50</v>
      </c>
      <c r="C160">
        <v>14</v>
      </c>
      <c r="D160">
        <v>15</v>
      </c>
      <c r="E160">
        <v>16</v>
      </c>
      <c r="F160">
        <v>17</v>
      </c>
      <c r="G160">
        <v>18</v>
      </c>
      <c r="H160">
        <v>19</v>
      </c>
      <c r="I160">
        <v>20</v>
      </c>
      <c r="J160">
        <v>21</v>
      </c>
      <c r="K160">
        <v>22</v>
      </c>
      <c r="L160">
        <v>23</v>
      </c>
    </row>
    <row r="161" spans="1:12" ht="24" customHeight="1">
      <c r="A161" t="s">
        <v>178</v>
      </c>
      <c r="B161">
        <v>50</v>
      </c>
      <c r="C161">
        <v>15</v>
      </c>
      <c r="D161">
        <v>16</v>
      </c>
      <c r="E161">
        <v>17</v>
      </c>
      <c r="F161">
        <v>18</v>
      </c>
      <c r="G161">
        <v>19</v>
      </c>
      <c r="H161">
        <v>20</v>
      </c>
      <c r="I161">
        <v>21</v>
      </c>
      <c r="J161">
        <v>22</v>
      </c>
      <c r="K161">
        <v>23</v>
      </c>
      <c r="L161">
        <v>24</v>
      </c>
    </row>
    <row r="162" spans="1:12" ht="24" customHeight="1">
      <c r="A162" t="s">
        <v>179</v>
      </c>
      <c r="B162">
        <v>60</v>
      </c>
      <c r="C162">
        <v>16</v>
      </c>
      <c r="D162">
        <v>17</v>
      </c>
      <c r="E162">
        <v>18</v>
      </c>
      <c r="F162">
        <v>19</v>
      </c>
      <c r="G162">
        <v>20</v>
      </c>
      <c r="H162">
        <v>21</v>
      </c>
      <c r="I162">
        <v>22</v>
      </c>
      <c r="J162">
        <v>23</v>
      </c>
      <c r="K162">
        <v>24</v>
      </c>
      <c r="L162">
        <v>25</v>
      </c>
    </row>
    <row r="163" spans="1:12" ht="24" customHeight="1">
      <c r="A163" t="s">
        <v>179</v>
      </c>
      <c r="B163">
        <v>60</v>
      </c>
      <c r="C163">
        <v>17</v>
      </c>
      <c r="D163">
        <v>18</v>
      </c>
      <c r="E163">
        <v>19</v>
      </c>
      <c r="F163">
        <v>20</v>
      </c>
      <c r="G163">
        <v>21</v>
      </c>
      <c r="H163">
        <v>22</v>
      </c>
      <c r="I163">
        <v>23</v>
      </c>
      <c r="J163">
        <v>24</v>
      </c>
      <c r="K163">
        <v>25</v>
      </c>
      <c r="L163">
        <v>26</v>
      </c>
    </row>
    <row r="164" spans="1:12" ht="24" customHeight="1">
      <c r="A164" t="s">
        <v>179</v>
      </c>
      <c r="B164">
        <v>62</v>
      </c>
      <c r="C164">
        <v>18</v>
      </c>
      <c r="D164">
        <v>19</v>
      </c>
      <c r="E164">
        <v>20</v>
      </c>
      <c r="F164">
        <v>21</v>
      </c>
      <c r="G164">
        <v>22</v>
      </c>
      <c r="H164">
        <v>23</v>
      </c>
      <c r="I164">
        <v>24</v>
      </c>
      <c r="J164">
        <v>25</v>
      </c>
      <c r="K164">
        <v>26</v>
      </c>
      <c r="L164">
        <v>27</v>
      </c>
    </row>
    <row r="165" spans="1:12" ht="24" customHeight="1">
      <c r="A165" t="s">
        <v>179</v>
      </c>
      <c r="B165">
        <v>62</v>
      </c>
      <c r="C165">
        <v>19</v>
      </c>
      <c r="D165">
        <v>20</v>
      </c>
      <c r="E165">
        <v>21</v>
      </c>
      <c r="F165">
        <v>22</v>
      </c>
      <c r="G165">
        <v>23</v>
      </c>
      <c r="H165">
        <v>24</v>
      </c>
      <c r="I165">
        <v>25</v>
      </c>
      <c r="J165">
        <v>26</v>
      </c>
      <c r="K165">
        <v>27</v>
      </c>
      <c r="L165">
        <v>28</v>
      </c>
    </row>
    <row r="166" spans="1:12" ht="24" customHeight="1">
      <c r="A166" t="s">
        <v>179</v>
      </c>
      <c r="B166">
        <v>64</v>
      </c>
      <c r="C166">
        <v>20</v>
      </c>
      <c r="D166">
        <v>21</v>
      </c>
      <c r="E166">
        <v>22</v>
      </c>
      <c r="F166">
        <v>23</v>
      </c>
      <c r="G166">
        <v>24</v>
      </c>
      <c r="H166">
        <v>25</v>
      </c>
      <c r="I166">
        <v>26</v>
      </c>
      <c r="J166">
        <v>27</v>
      </c>
      <c r="K166">
        <v>28</v>
      </c>
      <c r="L166">
        <v>29</v>
      </c>
    </row>
    <row r="167" spans="1:12" ht="24" customHeight="1">
      <c r="A167" t="s">
        <v>179</v>
      </c>
      <c r="B167">
        <v>64</v>
      </c>
      <c r="C167">
        <v>21</v>
      </c>
      <c r="D167">
        <v>22</v>
      </c>
      <c r="E167">
        <v>23</v>
      </c>
      <c r="F167">
        <v>24</v>
      </c>
      <c r="G167">
        <v>25</v>
      </c>
      <c r="H167">
        <v>26</v>
      </c>
      <c r="I167">
        <v>27</v>
      </c>
      <c r="J167">
        <v>28</v>
      </c>
      <c r="K167">
        <v>29</v>
      </c>
      <c r="L167">
        <v>30</v>
      </c>
    </row>
    <row r="168" spans="1:12" ht="24" customHeight="1">
      <c r="A168" t="s">
        <v>179</v>
      </c>
      <c r="B168">
        <v>66</v>
      </c>
      <c r="C168">
        <v>22</v>
      </c>
      <c r="D168">
        <v>23</v>
      </c>
      <c r="E168">
        <v>24</v>
      </c>
      <c r="F168">
        <v>25</v>
      </c>
      <c r="G168">
        <v>26</v>
      </c>
      <c r="H168">
        <v>27</v>
      </c>
      <c r="I168">
        <v>28</v>
      </c>
      <c r="J168">
        <v>29</v>
      </c>
      <c r="K168">
        <v>30</v>
      </c>
      <c r="L168">
        <v>31</v>
      </c>
    </row>
    <row r="169" spans="1:12" ht="24" customHeight="1">
      <c r="A169" t="s">
        <v>179</v>
      </c>
      <c r="B169">
        <v>66</v>
      </c>
      <c r="C169">
        <v>23</v>
      </c>
      <c r="D169">
        <v>24</v>
      </c>
      <c r="E169">
        <v>25</v>
      </c>
      <c r="F169">
        <v>26</v>
      </c>
      <c r="G169">
        <v>27</v>
      </c>
      <c r="H169">
        <v>28</v>
      </c>
      <c r="I169">
        <v>29</v>
      </c>
      <c r="J169">
        <v>30</v>
      </c>
      <c r="K169">
        <v>31</v>
      </c>
      <c r="L169">
        <v>32</v>
      </c>
    </row>
    <row r="170" spans="1:12" ht="24" customHeight="1">
      <c r="A170" t="s">
        <v>179</v>
      </c>
      <c r="B170">
        <v>68</v>
      </c>
      <c r="C170">
        <v>24</v>
      </c>
      <c r="D170">
        <v>25</v>
      </c>
      <c r="E170">
        <v>26</v>
      </c>
      <c r="F170">
        <v>27</v>
      </c>
      <c r="G170">
        <v>28</v>
      </c>
      <c r="H170">
        <v>29</v>
      </c>
      <c r="I170">
        <v>30</v>
      </c>
      <c r="J170">
        <v>31</v>
      </c>
      <c r="K170">
        <v>32</v>
      </c>
      <c r="L170">
        <v>33</v>
      </c>
    </row>
    <row r="171" spans="1:12" ht="24" customHeight="1">
      <c r="A171" t="s">
        <v>179</v>
      </c>
      <c r="B171">
        <v>68</v>
      </c>
      <c r="C171">
        <v>25</v>
      </c>
      <c r="D171">
        <v>26</v>
      </c>
      <c r="E171">
        <v>27</v>
      </c>
      <c r="F171">
        <v>28</v>
      </c>
      <c r="G171">
        <v>29</v>
      </c>
      <c r="H171">
        <v>30</v>
      </c>
      <c r="I171">
        <v>31</v>
      </c>
      <c r="J171">
        <v>32</v>
      </c>
      <c r="K171">
        <v>33</v>
      </c>
      <c r="L171">
        <v>34</v>
      </c>
    </row>
    <row r="172" spans="1:12" ht="24" customHeight="1">
      <c r="A172" t="s">
        <v>179</v>
      </c>
      <c r="B172">
        <v>70</v>
      </c>
      <c r="C172">
        <v>26</v>
      </c>
      <c r="D172">
        <v>27</v>
      </c>
      <c r="E172">
        <v>28</v>
      </c>
      <c r="F172">
        <v>29</v>
      </c>
      <c r="G172">
        <v>30</v>
      </c>
      <c r="H172">
        <v>31</v>
      </c>
      <c r="I172">
        <v>32</v>
      </c>
      <c r="J172">
        <v>33</v>
      </c>
      <c r="K172">
        <v>34</v>
      </c>
      <c r="L172">
        <v>35</v>
      </c>
    </row>
    <row r="173" spans="1:12" ht="24" customHeight="1">
      <c r="A173" t="s">
        <v>179</v>
      </c>
      <c r="B173">
        <v>70</v>
      </c>
      <c r="C173">
        <v>27</v>
      </c>
      <c r="D173">
        <v>28</v>
      </c>
      <c r="E173">
        <v>29</v>
      </c>
      <c r="F173">
        <v>30</v>
      </c>
      <c r="G173">
        <v>31</v>
      </c>
      <c r="H173">
        <v>32</v>
      </c>
      <c r="I173">
        <v>33</v>
      </c>
      <c r="J173">
        <v>34</v>
      </c>
      <c r="K173">
        <v>35</v>
      </c>
      <c r="L173">
        <v>36</v>
      </c>
    </row>
    <row r="174" spans="1:12" ht="24" customHeight="1">
      <c r="A174" t="s">
        <v>179</v>
      </c>
      <c r="B174">
        <v>72</v>
      </c>
      <c r="C174">
        <v>28</v>
      </c>
      <c r="D174">
        <v>29</v>
      </c>
      <c r="E174">
        <v>30</v>
      </c>
      <c r="F174">
        <v>31</v>
      </c>
      <c r="G174">
        <v>32</v>
      </c>
      <c r="H174">
        <v>33</v>
      </c>
      <c r="I174">
        <v>34</v>
      </c>
      <c r="J174">
        <v>35</v>
      </c>
      <c r="K174">
        <v>36</v>
      </c>
      <c r="L174">
        <v>37</v>
      </c>
    </row>
    <row r="175" spans="1:12" ht="24" customHeight="1">
      <c r="A175" t="s">
        <v>179</v>
      </c>
      <c r="B175">
        <v>72</v>
      </c>
      <c r="C175">
        <v>29</v>
      </c>
      <c r="D175">
        <v>30</v>
      </c>
      <c r="E175">
        <v>31</v>
      </c>
      <c r="F175">
        <v>32</v>
      </c>
      <c r="G175">
        <v>33</v>
      </c>
      <c r="H175">
        <v>34</v>
      </c>
      <c r="I175">
        <v>35</v>
      </c>
      <c r="J175">
        <v>36</v>
      </c>
      <c r="K175">
        <v>37</v>
      </c>
      <c r="L175">
        <v>38</v>
      </c>
    </row>
    <row r="176" spans="1:12" ht="24" customHeight="1">
      <c r="A176" t="s">
        <v>179</v>
      </c>
      <c r="B176">
        <v>74</v>
      </c>
      <c r="C176">
        <v>30</v>
      </c>
      <c r="D176">
        <v>31</v>
      </c>
      <c r="E176">
        <v>32</v>
      </c>
      <c r="F176">
        <v>33</v>
      </c>
      <c r="G176">
        <v>34</v>
      </c>
      <c r="H176">
        <v>35</v>
      </c>
      <c r="I176">
        <v>36</v>
      </c>
      <c r="J176">
        <v>37</v>
      </c>
      <c r="K176">
        <v>38</v>
      </c>
      <c r="L176">
        <v>39</v>
      </c>
    </row>
    <row r="177" spans="1:12" ht="24" customHeight="1">
      <c r="A177" t="s">
        <v>179</v>
      </c>
      <c r="B177">
        <v>74</v>
      </c>
      <c r="C177">
        <v>31</v>
      </c>
      <c r="D177">
        <v>32</v>
      </c>
      <c r="E177">
        <v>33</v>
      </c>
      <c r="F177">
        <v>34</v>
      </c>
      <c r="G177">
        <v>35</v>
      </c>
      <c r="H177">
        <v>36</v>
      </c>
      <c r="I177">
        <v>37</v>
      </c>
      <c r="J177">
        <v>38</v>
      </c>
      <c r="K177">
        <v>39</v>
      </c>
      <c r="L177">
        <v>40</v>
      </c>
    </row>
    <row r="178" spans="1:12" ht="24" customHeight="1">
      <c r="A178" t="s">
        <v>179</v>
      </c>
      <c r="B178">
        <v>76</v>
      </c>
      <c r="C178">
        <v>32</v>
      </c>
      <c r="D178">
        <v>33</v>
      </c>
      <c r="E178">
        <v>34</v>
      </c>
      <c r="F178">
        <v>35</v>
      </c>
      <c r="G178">
        <v>36</v>
      </c>
      <c r="H178">
        <v>37</v>
      </c>
      <c r="I178">
        <v>38</v>
      </c>
      <c r="J178">
        <v>39</v>
      </c>
      <c r="K178">
        <v>40</v>
      </c>
      <c r="L178">
        <v>41</v>
      </c>
    </row>
    <row r="179" spans="1:12" ht="24" customHeight="1">
      <c r="A179" t="s">
        <v>179</v>
      </c>
      <c r="B179">
        <v>76</v>
      </c>
      <c r="C179">
        <v>33</v>
      </c>
      <c r="D179">
        <v>34</v>
      </c>
      <c r="E179">
        <v>35</v>
      </c>
      <c r="F179">
        <v>36</v>
      </c>
      <c r="G179">
        <v>37</v>
      </c>
      <c r="H179">
        <v>38</v>
      </c>
      <c r="I179">
        <v>39</v>
      </c>
      <c r="J179">
        <v>40</v>
      </c>
      <c r="K179">
        <v>41</v>
      </c>
      <c r="L179">
        <v>42</v>
      </c>
    </row>
    <row r="180" spans="1:12" ht="24" customHeight="1">
      <c r="A180" t="s">
        <v>179</v>
      </c>
      <c r="B180">
        <v>78</v>
      </c>
      <c r="C180">
        <v>34</v>
      </c>
      <c r="D180">
        <v>35</v>
      </c>
      <c r="E180">
        <v>36</v>
      </c>
      <c r="F180">
        <v>37</v>
      </c>
      <c r="G180">
        <v>38</v>
      </c>
      <c r="H180">
        <v>39</v>
      </c>
      <c r="I180">
        <v>40</v>
      </c>
      <c r="J180">
        <v>41</v>
      </c>
      <c r="K180">
        <v>42</v>
      </c>
      <c r="L180">
        <v>43</v>
      </c>
    </row>
    <row r="181" spans="1:12" ht="24" customHeight="1">
      <c r="A181" t="s">
        <v>179</v>
      </c>
      <c r="B181">
        <v>78</v>
      </c>
      <c r="C181">
        <v>35</v>
      </c>
      <c r="D181">
        <v>36</v>
      </c>
      <c r="E181">
        <v>37</v>
      </c>
      <c r="F181">
        <v>38</v>
      </c>
      <c r="G181">
        <v>39</v>
      </c>
      <c r="H181">
        <v>40</v>
      </c>
      <c r="I181">
        <v>41</v>
      </c>
      <c r="J181">
        <v>42</v>
      </c>
      <c r="K181">
        <v>43</v>
      </c>
      <c r="L181">
        <v>44</v>
      </c>
    </row>
    <row r="182" spans="1:12" ht="24" customHeight="1">
      <c r="A182" t="s">
        <v>180</v>
      </c>
      <c r="B182">
        <v>80</v>
      </c>
      <c r="C182">
        <v>36</v>
      </c>
      <c r="D182">
        <v>37</v>
      </c>
      <c r="E182">
        <v>38</v>
      </c>
      <c r="F182">
        <v>39</v>
      </c>
      <c r="G182">
        <v>40</v>
      </c>
      <c r="H182">
        <v>41</v>
      </c>
      <c r="I182">
        <v>42</v>
      </c>
      <c r="J182">
        <v>43</v>
      </c>
      <c r="K182">
        <v>44</v>
      </c>
      <c r="L182">
        <v>45</v>
      </c>
    </row>
    <row r="183" spans="1:12" ht="24" customHeight="1">
      <c r="A183" t="s">
        <v>180</v>
      </c>
      <c r="B183">
        <v>80</v>
      </c>
      <c r="C183">
        <v>38</v>
      </c>
      <c r="D183">
        <v>39</v>
      </c>
      <c r="E183">
        <v>40</v>
      </c>
      <c r="F183">
        <v>41</v>
      </c>
      <c r="G183">
        <v>42</v>
      </c>
      <c r="H183">
        <v>43</v>
      </c>
      <c r="I183">
        <v>44</v>
      </c>
      <c r="J183">
        <v>45</v>
      </c>
      <c r="K183">
        <v>46</v>
      </c>
      <c r="L183">
        <v>47</v>
      </c>
    </row>
    <row r="184" spans="1:12" ht="24" customHeight="1">
      <c r="A184" t="s">
        <v>180</v>
      </c>
      <c r="B184">
        <v>85</v>
      </c>
      <c r="C184">
        <v>39</v>
      </c>
      <c r="D184">
        <v>40</v>
      </c>
      <c r="E184">
        <v>41</v>
      </c>
      <c r="F184">
        <v>42</v>
      </c>
      <c r="G184">
        <v>43</v>
      </c>
      <c r="H184">
        <v>44</v>
      </c>
      <c r="I184">
        <v>45</v>
      </c>
      <c r="J184">
        <v>46</v>
      </c>
      <c r="K184">
        <v>47</v>
      </c>
      <c r="L184">
        <v>48</v>
      </c>
    </row>
    <row r="185" spans="1:12" ht="24" customHeight="1">
      <c r="A185" t="s">
        <v>180</v>
      </c>
      <c r="B185">
        <v>85</v>
      </c>
      <c r="C185">
        <v>41</v>
      </c>
      <c r="D185">
        <v>42</v>
      </c>
      <c r="E185">
        <v>43</v>
      </c>
      <c r="F185">
        <v>44</v>
      </c>
      <c r="G185">
        <v>45</v>
      </c>
      <c r="H185">
        <v>46</v>
      </c>
      <c r="I185">
        <v>47</v>
      </c>
      <c r="J185">
        <v>48</v>
      </c>
      <c r="K185">
        <v>49</v>
      </c>
      <c r="L185">
        <v>50</v>
      </c>
    </row>
    <row r="186" spans="1:12" ht="24" customHeight="1">
      <c r="A186" t="s">
        <v>181</v>
      </c>
      <c r="B186">
        <v>90</v>
      </c>
      <c r="C186">
        <v>42</v>
      </c>
      <c r="D186">
        <v>43</v>
      </c>
      <c r="E186">
        <v>44</v>
      </c>
      <c r="F186">
        <v>45</v>
      </c>
      <c r="G186">
        <v>46</v>
      </c>
      <c r="H186">
        <v>47</v>
      </c>
      <c r="I186">
        <v>48</v>
      </c>
      <c r="J186">
        <v>49</v>
      </c>
      <c r="K186">
        <v>50</v>
      </c>
      <c r="L186">
        <v>51</v>
      </c>
    </row>
    <row r="187" spans="1:12" ht="24" customHeight="1">
      <c r="A187" t="s">
        <v>181</v>
      </c>
      <c r="B187">
        <v>90</v>
      </c>
      <c r="C187">
        <v>43</v>
      </c>
      <c r="D187">
        <v>44</v>
      </c>
      <c r="E187">
        <v>45</v>
      </c>
      <c r="F187">
        <v>46</v>
      </c>
      <c r="G187">
        <v>47</v>
      </c>
      <c r="H187">
        <v>48</v>
      </c>
      <c r="I187">
        <v>49</v>
      </c>
      <c r="J187">
        <v>50</v>
      </c>
      <c r="K187">
        <v>51</v>
      </c>
      <c r="L187">
        <v>52</v>
      </c>
    </row>
    <row r="188" spans="1:12" ht="24" customHeight="1">
      <c r="A188" t="s">
        <v>181</v>
      </c>
      <c r="B188">
        <v>95</v>
      </c>
      <c r="C188">
        <v>44</v>
      </c>
      <c r="D188">
        <v>45</v>
      </c>
      <c r="E188">
        <v>46</v>
      </c>
      <c r="F188">
        <v>47</v>
      </c>
      <c r="G188">
        <v>48</v>
      </c>
      <c r="H188">
        <v>49</v>
      </c>
      <c r="I188">
        <v>50</v>
      </c>
      <c r="J188">
        <v>51</v>
      </c>
      <c r="K188">
        <v>52</v>
      </c>
      <c r="L188">
        <v>53</v>
      </c>
    </row>
    <row r="189" spans="1:12" ht="24" customHeight="1">
      <c r="A189" t="s">
        <v>181</v>
      </c>
      <c r="B189">
        <v>95</v>
      </c>
      <c r="C189">
        <v>45</v>
      </c>
      <c r="D189">
        <v>46</v>
      </c>
      <c r="E189">
        <v>47</v>
      </c>
      <c r="F189">
        <v>48</v>
      </c>
      <c r="G189">
        <v>49</v>
      </c>
      <c r="H189">
        <v>50</v>
      </c>
      <c r="I189">
        <v>51</v>
      </c>
      <c r="J189">
        <v>52</v>
      </c>
      <c r="K189">
        <v>53</v>
      </c>
      <c r="L189">
        <v>54</v>
      </c>
    </row>
    <row r="190" spans="1:12" ht="24" customHeight="1">
      <c r="A190" t="s">
        <v>181</v>
      </c>
      <c r="B190">
        <v>100</v>
      </c>
      <c r="C190">
        <v>46</v>
      </c>
      <c r="D190">
        <v>47</v>
      </c>
      <c r="E190">
        <v>48</v>
      </c>
      <c r="F190">
        <v>49</v>
      </c>
      <c r="G190">
        <v>50</v>
      </c>
      <c r="H190">
        <v>51</v>
      </c>
      <c r="I190">
        <v>52</v>
      </c>
      <c r="J190">
        <v>53</v>
      </c>
      <c r="K190">
        <v>54</v>
      </c>
      <c r="L190">
        <v>55</v>
      </c>
    </row>
    <row r="191" spans="1:12" ht="24" customHeight="1">
      <c r="A191" t="s">
        <v>181</v>
      </c>
      <c r="B191">
        <v>100</v>
      </c>
      <c r="C191">
        <v>99</v>
      </c>
      <c r="D191">
        <v>99</v>
      </c>
      <c r="E191">
        <v>99</v>
      </c>
      <c r="F191">
        <v>99</v>
      </c>
      <c r="G191">
        <v>51</v>
      </c>
      <c r="H191">
        <v>52</v>
      </c>
      <c r="I191">
        <v>53</v>
      </c>
      <c r="J191">
        <v>54</v>
      </c>
      <c r="K191">
        <v>55</v>
      </c>
      <c r="L191">
        <v>56</v>
      </c>
    </row>
    <row r="192" spans="1:12" ht="24" customHeight="1">
      <c r="A192" t="s">
        <v>181</v>
      </c>
      <c r="B192">
        <v>110</v>
      </c>
      <c r="G192">
        <v>52</v>
      </c>
      <c r="H192">
        <v>53</v>
      </c>
      <c r="I192">
        <v>54</v>
      </c>
      <c r="J192">
        <v>55</v>
      </c>
      <c r="K192">
        <v>56</v>
      </c>
      <c r="L192">
        <v>57</v>
      </c>
    </row>
    <row r="193" spans="1:12" ht="24" customHeight="1">
      <c r="A193" t="s">
        <v>181</v>
      </c>
      <c r="B193">
        <v>110</v>
      </c>
      <c r="G193">
        <v>53</v>
      </c>
      <c r="H193">
        <v>54</v>
      </c>
      <c r="I193">
        <v>55</v>
      </c>
      <c r="J193">
        <v>56</v>
      </c>
      <c r="K193">
        <v>57</v>
      </c>
      <c r="L193">
        <v>58</v>
      </c>
    </row>
    <row r="194" spans="1:12" ht="24" customHeight="1">
      <c r="A194" t="s">
        <v>181</v>
      </c>
      <c r="B194">
        <v>120</v>
      </c>
      <c r="G194">
        <v>54</v>
      </c>
      <c r="H194">
        <v>55</v>
      </c>
      <c r="I194">
        <v>56</v>
      </c>
      <c r="J194">
        <v>57</v>
      </c>
      <c r="K194">
        <v>58</v>
      </c>
      <c r="L194">
        <v>59</v>
      </c>
    </row>
    <row r="195" spans="1:12" ht="24" customHeight="1">
      <c r="A195" t="s">
        <v>181</v>
      </c>
      <c r="B195">
        <v>120</v>
      </c>
      <c r="G195">
        <v>55</v>
      </c>
      <c r="H195">
        <v>56</v>
      </c>
      <c r="I195">
        <v>57</v>
      </c>
      <c r="J195">
        <v>58</v>
      </c>
      <c r="K195">
        <v>59</v>
      </c>
      <c r="L195">
        <v>60</v>
      </c>
    </row>
    <row r="196" spans="1:12" ht="24" customHeight="1">
      <c r="A196" t="s">
        <v>181</v>
      </c>
      <c r="B196">
        <v>130</v>
      </c>
      <c r="G196">
        <v>56</v>
      </c>
      <c r="H196">
        <v>57</v>
      </c>
      <c r="I196">
        <v>58</v>
      </c>
      <c r="J196">
        <v>59</v>
      </c>
      <c r="K196">
        <v>60</v>
      </c>
      <c r="L196">
        <v>61</v>
      </c>
    </row>
    <row r="197" spans="1:12" ht="24" customHeight="1">
      <c r="A197" t="s">
        <v>181</v>
      </c>
      <c r="B197">
        <v>140</v>
      </c>
      <c r="G197">
        <v>57</v>
      </c>
      <c r="H197">
        <v>58</v>
      </c>
      <c r="I197">
        <v>59</v>
      </c>
      <c r="J197">
        <v>60</v>
      </c>
      <c r="K197">
        <v>61</v>
      </c>
      <c r="L197">
        <v>62</v>
      </c>
    </row>
    <row r="198" spans="1:12" ht="24" customHeight="1">
      <c r="A198" t="s">
        <v>181</v>
      </c>
      <c r="B198">
        <v>150</v>
      </c>
      <c r="G198">
        <v>58</v>
      </c>
      <c r="H198">
        <v>59</v>
      </c>
      <c r="I198">
        <v>60</v>
      </c>
      <c r="J198">
        <v>61</v>
      </c>
      <c r="K198">
        <v>62</v>
      </c>
      <c r="L198">
        <v>63</v>
      </c>
    </row>
    <row r="199" spans="1:12" ht="24" customHeight="1">
      <c r="A199" t="s">
        <v>181</v>
      </c>
      <c r="B199">
        <v>160</v>
      </c>
      <c r="G199">
        <v>59</v>
      </c>
      <c r="H199">
        <v>60</v>
      </c>
      <c r="I199">
        <v>61</v>
      </c>
      <c r="J199">
        <v>62</v>
      </c>
      <c r="K199">
        <v>63</v>
      </c>
      <c r="L199">
        <v>64</v>
      </c>
    </row>
    <row r="200" spans="1:12" ht="24" customHeight="1">
      <c r="A200" t="s">
        <v>181</v>
      </c>
      <c r="B200">
        <v>170</v>
      </c>
      <c r="G200">
        <v>60</v>
      </c>
      <c r="H200">
        <v>61</v>
      </c>
      <c r="I200">
        <v>62</v>
      </c>
      <c r="J200">
        <v>63</v>
      </c>
      <c r="K200">
        <v>64</v>
      </c>
      <c r="L200">
        <v>65</v>
      </c>
    </row>
    <row r="201" spans="1:12" ht="24" customHeight="1">
      <c r="A201" t="s">
        <v>181</v>
      </c>
      <c r="B201">
        <v>180</v>
      </c>
      <c r="G201">
        <v>61</v>
      </c>
      <c r="H201">
        <v>62</v>
      </c>
      <c r="I201">
        <v>63</v>
      </c>
      <c r="J201">
        <v>64</v>
      </c>
      <c r="K201">
        <v>65</v>
      </c>
      <c r="L201">
        <v>66</v>
      </c>
    </row>
    <row r="202" spans="1:12" ht="24" customHeight="1">
      <c r="A202" t="s">
        <v>181</v>
      </c>
      <c r="B202">
        <v>190</v>
      </c>
      <c r="G202">
        <v>62</v>
      </c>
      <c r="H202">
        <v>63</v>
      </c>
      <c r="I202">
        <v>64</v>
      </c>
      <c r="J202">
        <v>65</v>
      </c>
      <c r="K202">
        <v>66</v>
      </c>
      <c r="L202">
        <v>67</v>
      </c>
    </row>
    <row r="203" spans="1:12" ht="24" customHeight="1">
      <c r="A203" t="s">
        <v>181</v>
      </c>
      <c r="B203">
        <v>200</v>
      </c>
      <c r="G203">
        <v>63</v>
      </c>
      <c r="H203">
        <v>64</v>
      </c>
      <c r="I203">
        <v>65</v>
      </c>
      <c r="J203">
        <v>66</v>
      </c>
      <c r="K203">
        <v>67</v>
      </c>
      <c r="L203">
        <v>68</v>
      </c>
    </row>
    <row r="204" spans="1:12" ht="24" customHeight="1">
      <c r="A204" t="s">
        <v>181</v>
      </c>
      <c r="B204">
        <v>200</v>
      </c>
      <c r="G204">
        <v>99</v>
      </c>
      <c r="H204">
        <v>99</v>
      </c>
      <c r="I204">
        <v>99</v>
      </c>
      <c r="J204">
        <v>99</v>
      </c>
      <c r="K204">
        <v>99</v>
      </c>
      <c r="L204">
        <v>99</v>
      </c>
    </row>
  </sheetData>
  <mergeCells count="44">
    <mergeCell ref="N103:N104"/>
    <mergeCell ref="K103:K104"/>
    <mergeCell ref="F148:F149"/>
    <mergeCell ref="C103:C104"/>
    <mergeCell ref="I148:I149"/>
    <mergeCell ref="D148:D149"/>
    <mergeCell ref="L148:L149"/>
    <mergeCell ref="G103:G104"/>
    <mergeCell ref="C148:C149"/>
    <mergeCell ref="M103:M104"/>
    <mergeCell ref="E103:E104"/>
    <mergeCell ref="F103:F104"/>
    <mergeCell ref="A103:A104"/>
    <mergeCell ref="K148:K149"/>
    <mergeCell ref="A148:A149"/>
    <mergeCell ref="G58:G59"/>
    <mergeCell ref="M2:M3"/>
    <mergeCell ref="D2:D3"/>
    <mergeCell ref="C58:C59"/>
    <mergeCell ref="E148:E149"/>
    <mergeCell ref="J103:J104"/>
    <mergeCell ref="D103:D104"/>
    <mergeCell ref="G148:G149"/>
    <mergeCell ref="H103:H104"/>
    <mergeCell ref="I103:I104"/>
    <mergeCell ref="H148:H149"/>
    <mergeCell ref="J148:J149"/>
    <mergeCell ref="L103:L104"/>
    <mergeCell ref="N2:N3"/>
    <mergeCell ref="F58:F59"/>
    <mergeCell ref="D58:D59"/>
    <mergeCell ref="K2:K3"/>
    <mergeCell ref="F2:F3"/>
    <mergeCell ref="H2:H3"/>
    <mergeCell ref="G2:G3"/>
    <mergeCell ref="J2:J3"/>
    <mergeCell ref="E58:E59"/>
    <mergeCell ref="E2:E3"/>
    <mergeCell ref="C2:C3"/>
    <mergeCell ref="A58:A59"/>
    <mergeCell ref="A2:A3"/>
    <mergeCell ref="L2:L3"/>
    <mergeCell ref="I2:I3"/>
    <mergeCell ref="H58:H59"/>
  </mergeCells>
  <phoneticPr fontId="8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12"/>
  <sheetViews>
    <sheetView topLeftCell="A1048576" workbookViewId="0">
      <selection activeCell="A97" sqref="A1:XFD1048576"/>
    </sheetView>
  </sheetViews>
  <sheetFormatPr baseColWidth="10" defaultColWidth="9.1640625" defaultRowHeight="12.5" customHeight="1" zeroHeight="1"/>
  <cols>
    <col min="1" max="16384" width="9.1640625" style="32"/>
  </cols>
  <sheetData>
    <row r="1" spans="1:15" ht="23.25" hidden="1" customHeight="1">
      <c r="A1" s="36" t="s">
        <v>182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23.25" hidden="1" customHeight="1">
      <c r="A2" s="36" t="s">
        <v>163</v>
      </c>
      <c r="B2" s="33" t="s">
        <v>164</v>
      </c>
      <c r="C2" s="36" t="s">
        <v>165</v>
      </c>
      <c r="D2" s="36" t="s">
        <v>166</v>
      </c>
      <c r="E2" s="36" t="s">
        <v>167</v>
      </c>
      <c r="F2" s="36" t="s">
        <v>168</v>
      </c>
      <c r="G2" s="36" t="s">
        <v>169</v>
      </c>
      <c r="H2" s="36" t="s">
        <v>170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7" t="s">
        <v>191</v>
      </c>
    </row>
    <row r="3" spans="1:15" ht="23.25" hidden="1" customHeight="1">
      <c r="A3" s="36"/>
      <c r="B3" s="33" t="s">
        <v>177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23.25" hidden="1" customHeight="1">
      <c r="A4" s="33" t="s">
        <v>183</v>
      </c>
      <c r="B4" s="33">
        <v>80</v>
      </c>
      <c r="C4" s="33">
        <v>5</v>
      </c>
      <c r="D4" s="33">
        <v>5</v>
      </c>
      <c r="E4" s="33">
        <v>5</v>
      </c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5</v>
      </c>
      <c r="M4" s="33">
        <v>5</v>
      </c>
      <c r="N4" s="33">
        <v>5</v>
      </c>
      <c r="O4" s="32">
        <v>17.899999999999999</v>
      </c>
    </row>
    <row r="5" spans="1:15" ht="23.25" hidden="1" customHeight="1">
      <c r="A5" s="33" t="s">
        <v>183</v>
      </c>
      <c r="B5" s="33">
        <v>80</v>
      </c>
      <c r="C5" s="33">
        <v>13.4</v>
      </c>
      <c r="D5" s="33">
        <v>13.6</v>
      </c>
      <c r="E5" s="33">
        <v>13.8</v>
      </c>
      <c r="F5" s="33">
        <v>14.1</v>
      </c>
      <c r="G5" s="33">
        <v>14.3</v>
      </c>
      <c r="H5" s="33">
        <v>14.6</v>
      </c>
      <c r="I5" s="33">
        <v>15.4</v>
      </c>
      <c r="J5" s="33">
        <v>15.6</v>
      </c>
      <c r="K5" s="33">
        <v>15.7</v>
      </c>
      <c r="L5" s="33">
        <v>16.399999999999999</v>
      </c>
      <c r="M5" s="33">
        <v>16.7</v>
      </c>
      <c r="N5" s="33">
        <v>17.2</v>
      </c>
      <c r="O5" s="32">
        <v>23.9</v>
      </c>
    </row>
    <row r="6" spans="1:15" ht="23.25" hidden="1" customHeight="1">
      <c r="A6" s="33" t="s">
        <v>184</v>
      </c>
      <c r="B6" s="33">
        <v>100</v>
      </c>
      <c r="C6" s="33">
        <v>13.5</v>
      </c>
      <c r="D6" s="33">
        <v>13.7</v>
      </c>
      <c r="E6" s="33">
        <v>13.9</v>
      </c>
      <c r="F6" s="33">
        <v>14.2</v>
      </c>
      <c r="G6" s="33">
        <v>14.4</v>
      </c>
      <c r="H6" s="33">
        <v>14.7</v>
      </c>
      <c r="I6" s="33">
        <v>15.5</v>
      </c>
      <c r="J6" s="33">
        <v>15.7</v>
      </c>
      <c r="K6" s="33">
        <v>15.8</v>
      </c>
      <c r="L6" s="33">
        <v>16.5</v>
      </c>
      <c r="M6" s="33">
        <v>16.8</v>
      </c>
      <c r="N6" s="33">
        <v>17.3</v>
      </c>
      <c r="O6" s="32" t="s">
        <v>204</v>
      </c>
    </row>
    <row r="7" spans="1:15" ht="23.25" hidden="1" customHeight="1">
      <c r="A7" s="33" t="s">
        <v>184</v>
      </c>
      <c r="B7" s="33">
        <v>100</v>
      </c>
      <c r="C7" s="33">
        <v>18.100000000000001</v>
      </c>
      <c r="D7" s="33">
        <v>18.399999999999999</v>
      </c>
      <c r="E7" s="33">
        <v>19.399999999999999</v>
      </c>
      <c r="F7" s="33">
        <v>20.100000000000001</v>
      </c>
      <c r="G7" s="33">
        <v>21.4</v>
      </c>
      <c r="H7" s="33">
        <v>21.8</v>
      </c>
      <c r="I7" s="33">
        <v>22.1</v>
      </c>
      <c r="J7" s="33">
        <v>22.5</v>
      </c>
      <c r="K7" s="33">
        <v>22.8</v>
      </c>
      <c r="L7" s="33">
        <v>23.2</v>
      </c>
      <c r="M7" s="33">
        <v>23.7</v>
      </c>
      <c r="N7" s="33">
        <v>23.8</v>
      </c>
      <c r="O7" s="32">
        <v>24</v>
      </c>
    </row>
    <row r="8" spans="1:15" ht="23.25" hidden="1" customHeight="1">
      <c r="A8" s="33" t="s">
        <v>185</v>
      </c>
      <c r="B8" s="33">
        <v>80</v>
      </c>
      <c r="C8" s="33">
        <v>18.2</v>
      </c>
      <c r="D8" s="33">
        <v>18.5</v>
      </c>
      <c r="E8" s="33">
        <v>19.5</v>
      </c>
      <c r="F8" s="33">
        <v>20.2</v>
      </c>
      <c r="G8" s="33">
        <v>21.5</v>
      </c>
      <c r="H8" s="33">
        <v>21.9</v>
      </c>
      <c r="I8" s="33">
        <v>22.2</v>
      </c>
      <c r="J8" s="33">
        <v>22.6</v>
      </c>
      <c r="K8" s="33">
        <v>22.9</v>
      </c>
      <c r="L8" s="33">
        <v>23.3</v>
      </c>
      <c r="M8" s="33">
        <v>23.8</v>
      </c>
      <c r="N8" s="33">
        <v>23.9</v>
      </c>
      <c r="O8" s="32">
        <v>27.9</v>
      </c>
    </row>
    <row r="9" spans="1:15" ht="23.25" hidden="1" customHeight="1">
      <c r="A9" s="33" t="s">
        <v>185</v>
      </c>
      <c r="B9" s="33">
        <v>80</v>
      </c>
      <c r="C9" s="33">
        <v>20.3</v>
      </c>
      <c r="D9" s="33">
        <v>20.399999999999999</v>
      </c>
      <c r="E9" s="33">
        <v>22.1</v>
      </c>
      <c r="F9" s="33">
        <v>22.6</v>
      </c>
      <c r="G9" s="33">
        <v>24.1</v>
      </c>
      <c r="H9" s="33">
        <v>24.5</v>
      </c>
      <c r="I9" s="33">
        <v>24.9</v>
      </c>
      <c r="J9" s="33">
        <v>25.2</v>
      </c>
      <c r="K9" s="33">
        <v>26</v>
      </c>
      <c r="L9" s="33">
        <v>26.3</v>
      </c>
      <c r="M9" s="33">
        <v>26.5</v>
      </c>
      <c r="N9" s="33">
        <v>27.3</v>
      </c>
      <c r="O9" s="32" t="s">
        <v>217</v>
      </c>
    </row>
    <row r="10" spans="1:15" ht="23.25" hidden="1" customHeight="1">
      <c r="A10" s="33" t="s">
        <v>186</v>
      </c>
      <c r="B10" s="33">
        <v>60</v>
      </c>
      <c r="C10" s="33">
        <v>20.399999999999999</v>
      </c>
      <c r="D10" s="33">
        <v>20.5</v>
      </c>
      <c r="E10" s="33">
        <v>22.2</v>
      </c>
      <c r="F10" s="33">
        <v>22.7</v>
      </c>
      <c r="G10" s="33">
        <v>24.2</v>
      </c>
      <c r="H10" s="33">
        <v>24.6</v>
      </c>
      <c r="I10" s="33">
        <v>25</v>
      </c>
      <c r="J10" s="33">
        <v>25.3</v>
      </c>
      <c r="K10" s="33">
        <v>26.1</v>
      </c>
      <c r="L10" s="33">
        <v>26.4</v>
      </c>
      <c r="M10" s="33">
        <v>26.6</v>
      </c>
      <c r="N10" s="33">
        <v>27.4</v>
      </c>
    </row>
    <row r="11" spans="1:15" ht="23.25" hidden="1" customHeight="1">
      <c r="A11" s="33" t="s">
        <v>186</v>
      </c>
      <c r="B11" s="33">
        <v>60</v>
      </c>
      <c r="C11" s="33">
        <v>40</v>
      </c>
      <c r="D11" s="33">
        <v>40</v>
      </c>
      <c r="E11" s="33">
        <v>40</v>
      </c>
      <c r="F11" s="33">
        <v>40</v>
      </c>
      <c r="G11" s="33">
        <v>40</v>
      </c>
      <c r="H11" s="33">
        <v>40</v>
      </c>
      <c r="I11" s="33">
        <v>40</v>
      </c>
      <c r="J11" s="33">
        <v>40</v>
      </c>
      <c r="K11" s="33">
        <v>40</v>
      </c>
      <c r="L11" s="33">
        <v>40</v>
      </c>
      <c r="M11" s="33">
        <v>40</v>
      </c>
      <c r="N11" s="33">
        <v>40</v>
      </c>
    </row>
    <row r="12" spans="1:15" ht="23.25" hidden="1" customHeight="1">
      <c r="A12" s="36" t="s">
        <v>218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23.25" hidden="1" customHeight="1">
      <c r="A13" s="33" t="s">
        <v>163</v>
      </c>
      <c r="B13" s="33" t="s">
        <v>219</v>
      </c>
      <c r="C13" s="33" t="s">
        <v>165</v>
      </c>
      <c r="D13" s="33" t="s">
        <v>166</v>
      </c>
      <c r="E13" s="33" t="s">
        <v>167</v>
      </c>
      <c r="F13" s="33" t="s">
        <v>168</v>
      </c>
      <c r="G13" s="33" t="s">
        <v>169</v>
      </c>
      <c r="H13" s="33" t="s">
        <v>170</v>
      </c>
      <c r="I13" s="33" t="s">
        <v>171</v>
      </c>
      <c r="J13" s="33" t="s">
        <v>172</v>
      </c>
      <c r="K13" s="33" t="s">
        <v>173</v>
      </c>
      <c r="L13" s="33" t="s">
        <v>174</v>
      </c>
      <c r="M13" s="33" t="s">
        <v>175</v>
      </c>
      <c r="N13" s="33" t="s">
        <v>176</v>
      </c>
      <c r="O13" s="32" t="s">
        <v>191</v>
      </c>
    </row>
    <row r="14" spans="1:15" ht="23.25" hidden="1" customHeight="1">
      <c r="A14" s="33" t="s">
        <v>183</v>
      </c>
      <c r="B14" s="33">
        <v>80</v>
      </c>
      <c r="C14" s="33">
        <v>5</v>
      </c>
      <c r="D14" s="33">
        <v>5</v>
      </c>
      <c r="E14" s="33">
        <v>5</v>
      </c>
      <c r="F14" s="33">
        <v>5</v>
      </c>
      <c r="G14" s="33">
        <v>5</v>
      </c>
      <c r="H14" s="33">
        <v>5</v>
      </c>
      <c r="I14" s="33">
        <v>5</v>
      </c>
      <c r="J14" s="33">
        <v>5</v>
      </c>
      <c r="K14" s="33">
        <v>5</v>
      </c>
      <c r="L14" s="33">
        <v>5</v>
      </c>
      <c r="M14" s="33">
        <v>5</v>
      </c>
      <c r="N14" s="33">
        <v>5</v>
      </c>
      <c r="O14" s="32">
        <v>17.2</v>
      </c>
    </row>
    <row r="15" spans="1:15" ht="23.25" hidden="1" customHeight="1">
      <c r="A15" s="33" t="s">
        <v>183</v>
      </c>
      <c r="B15" s="33">
        <v>80</v>
      </c>
      <c r="C15" s="33">
        <v>13.2</v>
      </c>
      <c r="D15" s="33">
        <v>13.4</v>
      </c>
      <c r="E15" s="33">
        <v>13.5</v>
      </c>
      <c r="F15" s="33">
        <v>13.6</v>
      </c>
      <c r="G15" s="33">
        <v>13.7</v>
      </c>
      <c r="H15" s="33">
        <v>14.1</v>
      </c>
      <c r="I15" s="33">
        <v>14.7</v>
      </c>
      <c r="J15" s="33">
        <v>15.2</v>
      </c>
      <c r="K15" s="33">
        <v>15.9</v>
      </c>
      <c r="L15" s="33">
        <v>16.399999999999999</v>
      </c>
      <c r="M15" s="33">
        <v>16.8</v>
      </c>
      <c r="N15" s="33">
        <v>17</v>
      </c>
      <c r="O15" s="32">
        <v>23.9</v>
      </c>
    </row>
    <row r="16" spans="1:15" ht="23.25" hidden="1" customHeight="1">
      <c r="A16" s="33" t="s">
        <v>184</v>
      </c>
      <c r="B16" s="33">
        <v>100</v>
      </c>
      <c r="C16" s="33">
        <v>13.3</v>
      </c>
      <c r="D16" s="33">
        <v>13.5</v>
      </c>
      <c r="E16" s="33">
        <v>13.6</v>
      </c>
      <c r="F16" s="33">
        <v>13.7</v>
      </c>
      <c r="G16" s="33">
        <v>13.8</v>
      </c>
      <c r="H16" s="33">
        <v>14.2</v>
      </c>
      <c r="I16" s="33">
        <v>14.8</v>
      </c>
      <c r="J16" s="33">
        <v>15.3</v>
      </c>
      <c r="K16" s="33">
        <v>16</v>
      </c>
      <c r="L16" s="33">
        <v>16.5</v>
      </c>
      <c r="M16" s="33">
        <v>16.899999999999999</v>
      </c>
      <c r="N16" s="33">
        <v>17.100000000000001</v>
      </c>
      <c r="O16" s="32" t="s">
        <v>228</v>
      </c>
    </row>
    <row r="17" spans="1:16" ht="23.25" hidden="1" customHeight="1">
      <c r="A17" s="33" t="s">
        <v>184</v>
      </c>
      <c r="B17" s="33">
        <v>100</v>
      </c>
      <c r="C17" s="33">
        <v>17.3</v>
      </c>
      <c r="D17" s="33">
        <v>17.8</v>
      </c>
      <c r="E17" s="33">
        <v>18.600000000000001</v>
      </c>
      <c r="F17" s="33">
        <v>19.399999999999999</v>
      </c>
      <c r="G17" s="33">
        <v>20.5</v>
      </c>
      <c r="H17" s="33">
        <v>20.8</v>
      </c>
      <c r="I17" s="33">
        <v>21.7</v>
      </c>
      <c r="J17" s="33">
        <v>22.2</v>
      </c>
      <c r="K17" s="33">
        <v>22.6</v>
      </c>
      <c r="L17" s="33">
        <v>22.7</v>
      </c>
      <c r="M17" s="33">
        <v>23.2</v>
      </c>
      <c r="N17" s="33">
        <v>23.3</v>
      </c>
      <c r="O17" s="32">
        <v>24</v>
      </c>
    </row>
    <row r="18" spans="1:16" ht="23.25" hidden="1" customHeight="1">
      <c r="A18" s="33" t="s">
        <v>185</v>
      </c>
      <c r="B18" s="33">
        <v>80</v>
      </c>
      <c r="C18" s="33">
        <v>17.399999999999999</v>
      </c>
      <c r="D18" s="33">
        <v>17.899999999999999</v>
      </c>
      <c r="E18" s="33">
        <v>18.7</v>
      </c>
      <c r="F18" s="33">
        <v>19.5</v>
      </c>
      <c r="G18" s="33">
        <v>20.6</v>
      </c>
      <c r="H18" s="33">
        <v>20.9</v>
      </c>
      <c r="I18" s="33">
        <v>21.8</v>
      </c>
      <c r="J18" s="33">
        <v>22.3</v>
      </c>
      <c r="K18" s="33">
        <v>22.7</v>
      </c>
      <c r="L18" s="33">
        <v>22.8</v>
      </c>
      <c r="M18" s="33">
        <v>23.3</v>
      </c>
      <c r="N18" s="33">
        <v>23.4</v>
      </c>
      <c r="O18" s="32">
        <v>27.9</v>
      </c>
    </row>
    <row r="19" spans="1:16" ht="23.25" hidden="1" customHeight="1">
      <c r="A19" s="33" t="s">
        <v>185</v>
      </c>
      <c r="B19" s="33">
        <v>80</v>
      </c>
      <c r="C19" s="33">
        <v>19.2</v>
      </c>
      <c r="D19" s="33">
        <v>20.2</v>
      </c>
      <c r="E19" s="33">
        <v>21.1</v>
      </c>
      <c r="F19" s="33">
        <v>22</v>
      </c>
      <c r="G19" s="33">
        <v>22.9</v>
      </c>
      <c r="H19" s="33">
        <v>23.6</v>
      </c>
      <c r="I19" s="33">
        <v>24.4</v>
      </c>
      <c r="J19" s="33">
        <v>24.8</v>
      </c>
      <c r="K19" s="33">
        <v>25.1</v>
      </c>
      <c r="L19" s="33">
        <v>25.2</v>
      </c>
      <c r="M19" s="33">
        <v>25.4</v>
      </c>
      <c r="N19" s="33">
        <v>25.7</v>
      </c>
      <c r="O19" s="32" t="s">
        <v>217</v>
      </c>
    </row>
    <row r="20" spans="1:16" ht="23.25" hidden="1" customHeight="1">
      <c r="A20" s="33" t="s">
        <v>186</v>
      </c>
      <c r="B20" s="33">
        <v>60</v>
      </c>
      <c r="C20" s="33">
        <v>19.3</v>
      </c>
      <c r="D20" s="33">
        <v>20.3</v>
      </c>
      <c r="E20" s="33">
        <v>21.2</v>
      </c>
      <c r="F20" s="33">
        <v>22.1</v>
      </c>
      <c r="G20" s="33">
        <v>23</v>
      </c>
      <c r="H20" s="33">
        <v>23.7</v>
      </c>
      <c r="I20" s="33">
        <v>24.5</v>
      </c>
      <c r="J20" s="33">
        <v>24.9</v>
      </c>
      <c r="K20" s="33">
        <v>25.2</v>
      </c>
      <c r="L20" s="33">
        <v>25.3</v>
      </c>
      <c r="M20" s="33">
        <v>25.5</v>
      </c>
      <c r="N20" s="33">
        <v>25.8</v>
      </c>
    </row>
    <row r="21" spans="1:16" ht="23.25" hidden="1" customHeight="1">
      <c r="A21" s="33" t="s">
        <v>186</v>
      </c>
      <c r="B21" s="33">
        <v>60</v>
      </c>
      <c r="C21" s="33">
        <v>40</v>
      </c>
      <c r="D21" s="33">
        <v>40</v>
      </c>
      <c r="E21" s="33">
        <v>40</v>
      </c>
      <c r="F21" s="33">
        <v>40</v>
      </c>
      <c r="G21" s="33">
        <v>40</v>
      </c>
      <c r="H21" s="33">
        <v>40</v>
      </c>
      <c r="I21" s="33">
        <v>40</v>
      </c>
      <c r="J21" s="33">
        <v>40</v>
      </c>
      <c r="K21" s="33">
        <v>40</v>
      </c>
      <c r="L21" s="33">
        <v>40</v>
      </c>
      <c r="M21" s="33">
        <v>40</v>
      </c>
      <c r="N21" s="33">
        <v>40</v>
      </c>
    </row>
    <row r="22" spans="1:16" ht="23.25" hidden="1" customHeight="1">
      <c r="A22" s="36" t="s">
        <v>162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23.25" hidden="1" customHeight="1">
      <c r="A23" s="36" t="s">
        <v>163</v>
      </c>
      <c r="B23" s="33" t="s">
        <v>164</v>
      </c>
      <c r="C23" s="36" t="s">
        <v>165</v>
      </c>
      <c r="D23" s="36" t="s">
        <v>166</v>
      </c>
      <c r="E23" s="36" t="s">
        <v>167</v>
      </c>
      <c r="F23" s="36" t="s">
        <v>168</v>
      </c>
      <c r="G23" s="36" t="s">
        <v>169</v>
      </c>
      <c r="H23" s="36" t="s">
        <v>170</v>
      </c>
      <c r="I23" s="36" t="s">
        <v>171</v>
      </c>
      <c r="J23" s="36" t="s">
        <v>172</v>
      </c>
      <c r="K23" s="36" t="s">
        <v>173</v>
      </c>
      <c r="L23" s="36" t="s">
        <v>174</v>
      </c>
      <c r="M23" s="36" t="s">
        <v>175</v>
      </c>
      <c r="N23" s="36" t="s">
        <v>176</v>
      </c>
      <c r="O23" s="32" t="s">
        <v>240</v>
      </c>
      <c r="P23" s="32" t="s">
        <v>241</v>
      </c>
    </row>
    <row r="24" spans="1:16" ht="23.25" hidden="1" customHeight="1">
      <c r="A24" s="36"/>
      <c r="B24" s="33" t="s">
        <v>177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2" t="s">
        <v>242</v>
      </c>
      <c r="P24" s="32" t="s">
        <v>243</v>
      </c>
    </row>
    <row r="25" spans="1:16" ht="23.25" hidden="1" customHeight="1">
      <c r="A25" s="33" t="s">
        <v>178</v>
      </c>
      <c r="B25" s="33">
        <v>0</v>
      </c>
      <c r="C25" s="33">
        <v>200</v>
      </c>
      <c r="D25" s="33">
        <v>200</v>
      </c>
      <c r="E25" s="33">
        <v>200</v>
      </c>
      <c r="F25" s="33">
        <v>200</v>
      </c>
      <c r="G25" s="33">
        <v>200</v>
      </c>
      <c r="H25" s="33">
        <v>200</v>
      </c>
      <c r="I25" s="33">
        <v>200</v>
      </c>
      <c r="J25" s="33">
        <v>200</v>
      </c>
      <c r="K25" s="33">
        <v>200</v>
      </c>
      <c r="L25" s="33">
        <v>200</v>
      </c>
      <c r="M25" s="33">
        <v>200</v>
      </c>
      <c r="N25" s="33">
        <v>200</v>
      </c>
      <c r="O25" s="32">
        <v>8000</v>
      </c>
      <c r="P25" s="32">
        <v>8000</v>
      </c>
    </row>
    <row r="26" spans="1:16" ht="23.25" hidden="1" customHeight="1">
      <c r="A26" s="33" t="s">
        <v>178</v>
      </c>
      <c r="B26" s="33">
        <v>0</v>
      </c>
      <c r="C26" s="33">
        <v>499</v>
      </c>
      <c r="D26" s="33">
        <v>549</v>
      </c>
      <c r="E26" s="33">
        <v>599</v>
      </c>
      <c r="F26" s="33">
        <v>749</v>
      </c>
      <c r="G26" s="33">
        <v>899</v>
      </c>
      <c r="H26" s="33">
        <v>1049</v>
      </c>
      <c r="I26" s="33">
        <v>1199</v>
      </c>
      <c r="J26" s="33">
        <v>1449</v>
      </c>
      <c r="K26" s="33">
        <v>1699</v>
      </c>
      <c r="L26" s="33">
        <v>1949</v>
      </c>
      <c r="M26" s="33">
        <v>2099</v>
      </c>
      <c r="N26" s="33">
        <v>2249</v>
      </c>
      <c r="O26" s="32">
        <v>5040</v>
      </c>
      <c r="P26" s="32">
        <v>5140</v>
      </c>
    </row>
    <row r="27" spans="1:16" ht="23.25" hidden="1" customHeight="1">
      <c r="A27" s="33" t="s">
        <v>178</v>
      </c>
      <c r="B27" s="33">
        <v>10</v>
      </c>
      <c r="C27" s="33">
        <v>500</v>
      </c>
      <c r="D27" s="33">
        <v>550</v>
      </c>
      <c r="E27" s="33">
        <v>600</v>
      </c>
      <c r="F27" s="33">
        <v>750</v>
      </c>
      <c r="G27" s="33">
        <v>900</v>
      </c>
      <c r="H27" s="33">
        <v>1050</v>
      </c>
      <c r="I27" s="33">
        <v>1200</v>
      </c>
      <c r="J27" s="33">
        <v>1450</v>
      </c>
      <c r="K27" s="33">
        <v>1700</v>
      </c>
      <c r="L27" s="33">
        <v>1950</v>
      </c>
      <c r="M27" s="33">
        <v>2100</v>
      </c>
      <c r="N27" s="33">
        <v>2250</v>
      </c>
      <c r="O27" s="32">
        <v>5039</v>
      </c>
      <c r="P27" s="32">
        <v>5139</v>
      </c>
    </row>
    <row r="28" spans="1:16" ht="23.25" hidden="1" customHeight="1">
      <c r="A28" s="33" t="s">
        <v>178</v>
      </c>
      <c r="B28" s="33">
        <v>10</v>
      </c>
      <c r="C28" s="33">
        <v>539</v>
      </c>
      <c r="D28" s="33">
        <v>599</v>
      </c>
      <c r="E28" s="33">
        <v>659</v>
      </c>
      <c r="F28" s="33">
        <v>819</v>
      </c>
      <c r="G28" s="33">
        <v>979</v>
      </c>
      <c r="H28" s="33">
        <v>1139</v>
      </c>
      <c r="I28" s="33">
        <v>1299</v>
      </c>
      <c r="J28" s="33">
        <v>1659</v>
      </c>
      <c r="K28" s="33">
        <v>1819</v>
      </c>
      <c r="L28" s="33">
        <v>2079</v>
      </c>
      <c r="M28" s="33">
        <v>2239</v>
      </c>
      <c r="N28" s="33">
        <v>2399</v>
      </c>
      <c r="O28" s="32">
        <v>4920</v>
      </c>
      <c r="P28" s="32">
        <v>5020</v>
      </c>
    </row>
    <row r="29" spans="1:16" ht="23.25" hidden="1" customHeight="1">
      <c r="A29" s="33" t="s">
        <v>178</v>
      </c>
      <c r="B29" s="33">
        <v>20</v>
      </c>
      <c r="C29" s="33">
        <v>540</v>
      </c>
      <c r="D29" s="33">
        <v>600</v>
      </c>
      <c r="E29" s="33">
        <v>660</v>
      </c>
      <c r="F29" s="33">
        <v>820</v>
      </c>
      <c r="G29" s="33">
        <v>980</v>
      </c>
      <c r="H29" s="33">
        <v>1140</v>
      </c>
      <c r="I29" s="33">
        <v>1300</v>
      </c>
      <c r="J29" s="33">
        <v>1560</v>
      </c>
      <c r="K29" s="33">
        <v>1820</v>
      </c>
      <c r="L29" s="33">
        <v>2080</v>
      </c>
      <c r="M29" s="33">
        <v>2240</v>
      </c>
      <c r="N29" s="33">
        <v>2400</v>
      </c>
      <c r="O29" s="32">
        <v>4919</v>
      </c>
      <c r="P29" s="32">
        <v>5019</v>
      </c>
    </row>
    <row r="30" spans="1:16" ht="23.25" hidden="1" customHeight="1">
      <c r="A30" s="33" t="s">
        <v>178</v>
      </c>
      <c r="B30" s="33">
        <v>20</v>
      </c>
      <c r="C30" s="33">
        <v>579</v>
      </c>
      <c r="D30" s="33">
        <v>649</v>
      </c>
      <c r="E30" s="33">
        <v>719</v>
      </c>
      <c r="F30" s="33">
        <v>889</v>
      </c>
      <c r="G30" s="33">
        <v>1059</v>
      </c>
      <c r="H30" s="33">
        <v>1229</v>
      </c>
      <c r="I30" s="33">
        <v>1399</v>
      </c>
      <c r="J30" s="33">
        <v>1669</v>
      </c>
      <c r="K30" s="33">
        <v>1939</v>
      </c>
      <c r="L30" s="33">
        <v>2209</v>
      </c>
      <c r="M30" s="33">
        <v>2379</v>
      </c>
      <c r="N30" s="33">
        <v>2549</v>
      </c>
      <c r="O30" s="32">
        <v>4800</v>
      </c>
      <c r="P30" s="32">
        <v>4900</v>
      </c>
    </row>
    <row r="31" spans="1:16" ht="23.25" hidden="1" customHeight="1">
      <c r="A31" s="33" t="s">
        <v>178</v>
      </c>
      <c r="B31" s="33">
        <v>30</v>
      </c>
      <c r="C31" s="33">
        <v>580</v>
      </c>
      <c r="D31" s="33">
        <v>650</v>
      </c>
      <c r="E31" s="33">
        <v>720</v>
      </c>
      <c r="F31" s="33">
        <v>890</v>
      </c>
      <c r="G31" s="33">
        <v>1060</v>
      </c>
      <c r="H31" s="33">
        <v>1230</v>
      </c>
      <c r="I31" s="33">
        <v>1400</v>
      </c>
      <c r="J31" s="33">
        <v>1670</v>
      </c>
      <c r="K31" s="33">
        <v>1940</v>
      </c>
      <c r="L31" s="33">
        <v>2210</v>
      </c>
      <c r="M31" s="33">
        <v>2380</v>
      </c>
      <c r="N31" s="33">
        <v>2550</v>
      </c>
      <c r="O31" s="32">
        <v>3799</v>
      </c>
      <c r="P31" s="32">
        <v>3899</v>
      </c>
    </row>
    <row r="32" spans="1:16" ht="23.25" hidden="1" customHeight="1">
      <c r="A32" s="33" t="s">
        <v>178</v>
      </c>
      <c r="B32" s="33">
        <v>30</v>
      </c>
      <c r="C32" s="33">
        <v>619</v>
      </c>
      <c r="D32" s="33">
        <v>699</v>
      </c>
      <c r="E32" s="33">
        <v>779</v>
      </c>
      <c r="F32" s="33">
        <v>959</v>
      </c>
      <c r="G32" s="33">
        <v>1139</v>
      </c>
      <c r="H32" s="33">
        <v>1319</v>
      </c>
      <c r="I32" s="33">
        <v>1499</v>
      </c>
      <c r="J32" s="33">
        <v>1779</v>
      </c>
      <c r="K32" s="33">
        <v>2059</v>
      </c>
      <c r="L32" s="33">
        <v>2339</v>
      </c>
      <c r="M32" s="33">
        <v>2519</v>
      </c>
      <c r="N32" s="33">
        <v>2699</v>
      </c>
      <c r="O32" s="32">
        <v>4550</v>
      </c>
      <c r="P32" s="32">
        <v>4650</v>
      </c>
    </row>
    <row r="33" spans="1:16" ht="23.25" hidden="1" customHeight="1">
      <c r="A33" s="33" t="s">
        <v>178</v>
      </c>
      <c r="B33" s="33">
        <v>40</v>
      </c>
      <c r="C33" s="33">
        <v>620</v>
      </c>
      <c r="D33" s="33">
        <v>700</v>
      </c>
      <c r="E33" s="33">
        <v>780</v>
      </c>
      <c r="F33" s="33">
        <v>960</v>
      </c>
      <c r="G33" s="33">
        <v>1140</v>
      </c>
      <c r="H33" s="33">
        <v>1320</v>
      </c>
      <c r="I33" s="33">
        <v>1500</v>
      </c>
      <c r="J33" s="33">
        <v>1780</v>
      </c>
      <c r="K33" s="33">
        <v>2060</v>
      </c>
      <c r="L33" s="33">
        <v>2340</v>
      </c>
      <c r="M33" s="33">
        <v>2520</v>
      </c>
      <c r="N33" s="33">
        <v>2700</v>
      </c>
      <c r="O33" s="32">
        <v>4549</v>
      </c>
      <c r="P33" s="32">
        <v>4649</v>
      </c>
    </row>
    <row r="34" spans="1:16" ht="23.25" hidden="1" customHeight="1">
      <c r="A34" s="33" t="s">
        <v>178</v>
      </c>
      <c r="B34" s="33">
        <v>40</v>
      </c>
      <c r="C34" s="33">
        <v>659</v>
      </c>
      <c r="D34" s="33">
        <v>749</v>
      </c>
      <c r="E34" s="33">
        <v>839</v>
      </c>
      <c r="F34" s="33">
        <v>1029</v>
      </c>
      <c r="G34" s="33">
        <v>1219</v>
      </c>
      <c r="H34" s="33">
        <v>1409</v>
      </c>
      <c r="I34" s="33">
        <v>1599</v>
      </c>
      <c r="J34" s="33">
        <v>1889</v>
      </c>
      <c r="K34" s="33">
        <v>2179</v>
      </c>
      <c r="L34" s="33">
        <v>2469</v>
      </c>
      <c r="M34" s="33">
        <v>2659</v>
      </c>
      <c r="N34" s="33">
        <v>2849</v>
      </c>
      <c r="O34" s="32">
        <v>4300</v>
      </c>
      <c r="P34" s="32">
        <v>4400</v>
      </c>
    </row>
    <row r="35" spans="1:16" ht="23.25" hidden="1" customHeight="1">
      <c r="A35" s="33" t="s">
        <v>178</v>
      </c>
      <c r="B35" s="33">
        <v>50</v>
      </c>
      <c r="C35" s="33">
        <v>660</v>
      </c>
      <c r="D35" s="33">
        <v>750</v>
      </c>
      <c r="E35" s="33">
        <v>840</v>
      </c>
      <c r="F35" s="33">
        <v>1030</v>
      </c>
      <c r="G35" s="33">
        <v>1220</v>
      </c>
      <c r="H35" s="33">
        <v>1410</v>
      </c>
      <c r="I35" s="33">
        <v>1600</v>
      </c>
      <c r="J35" s="33">
        <v>1890</v>
      </c>
      <c r="K35" s="33">
        <v>2180</v>
      </c>
      <c r="L35" s="33">
        <v>2470</v>
      </c>
      <c r="M35" s="33">
        <v>2660</v>
      </c>
      <c r="N35" s="33">
        <v>2850</v>
      </c>
      <c r="O35" s="32">
        <v>4299</v>
      </c>
      <c r="P35" s="32">
        <v>4399</v>
      </c>
    </row>
    <row r="36" spans="1:16" ht="23.25" hidden="1" customHeight="1">
      <c r="A36" s="33" t="s">
        <v>178</v>
      </c>
      <c r="B36" s="33">
        <v>50</v>
      </c>
      <c r="C36" s="33">
        <v>699</v>
      </c>
      <c r="D36" s="33">
        <v>799</v>
      </c>
      <c r="E36" s="33">
        <v>899</v>
      </c>
      <c r="F36" s="33">
        <v>1099</v>
      </c>
      <c r="G36" s="33">
        <v>1299</v>
      </c>
      <c r="H36" s="33">
        <v>1499</v>
      </c>
      <c r="I36" s="33">
        <v>1699</v>
      </c>
      <c r="J36" s="33">
        <v>1999</v>
      </c>
      <c r="K36" s="33">
        <v>2299</v>
      </c>
      <c r="L36" s="33">
        <v>2599</v>
      </c>
      <c r="M36" s="33">
        <v>2799</v>
      </c>
      <c r="N36" s="33">
        <v>2999</v>
      </c>
      <c r="O36" s="32">
        <v>4180</v>
      </c>
      <c r="P36" s="32">
        <v>4280</v>
      </c>
    </row>
    <row r="37" spans="1:16" ht="23.25" hidden="1" customHeight="1">
      <c r="A37" s="33" t="s">
        <v>179</v>
      </c>
      <c r="B37" s="33">
        <v>60</v>
      </c>
      <c r="C37" s="33">
        <v>700</v>
      </c>
      <c r="D37" s="33">
        <v>800</v>
      </c>
      <c r="E37" s="33">
        <v>900</v>
      </c>
      <c r="F37" s="33">
        <v>1100</v>
      </c>
      <c r="G37" s="33">
        <v>1300</v>
      </c>
      <c r="H37" s="33">
        <v>1500</v>
      </c>
      <c r="I37" s="33">
        <v>1700</v>
      </c>
      <c r="J37" s="33">
        <v>2000</v>
      </c>
      <c r="K37" s="33">
        <v>2300</v>
      </c>
      <c r="L37" s="33">
        <v>2600</v>
      </c>
      <c r="M37" s="33">
        <v>2800</v>
      </c>
      <c r="N37" s="33">
        <v>3000</v>
      </c>
      <c r="O37" s="32">
        <v>4179</v>
      </c>
      <c r="P37" s="32">
        <v>4279</v>
      </c>
    </row>
    <row r="38" spans="1:16" ht="23.25" hidden="1" customHeight="1">
      <c r="A38" s="33" t="s">
        <v>179</v>
      </c>
      <c r="B38" s="33">
        <v>60</v>
      </c>
      <c r="C38" s="33">
        <v>759</v>
      </c>
      <c r="D38" s="33">
        <v>869</v>
      </c>
      <c r="E38" s="33">
        <v>979</v>
      </c>
      <c r="F38" s="33">
        <v>1179</v>
      </c>
      <c r="G38" s="33">
        <v>1389</v>
      </c>
      <c r="H38" s="33">
        <v>1599</v>
      </c>
      <c r="I38" s="33">
        <v>1819</v>
      </c>
      <c r="J38" s="33">
        <v>2119</v>
      </c>
      <c r="K38" s="33">
        <v>2419</v>
      </c>
      <c r="L38" s="33">
        <v>2719</v>
      </c>
      <c r="M38" s="33">
        <v>2919</v>
      </c>
      <c r="N38" s="33">
        <v>3119</v>
      </c>
      <c r="O38" s="32">
        <v>4060</v>
      </c>
      <c r="P38" s="32">
        <v>4160</v>
      </c>
    </row>
    <row r="39" spans="1:16" ht="23.25" hidden="1" customHeight="1">
      <c r="A39" s="33" t="s">
        <v>179</v>
      </c>
      <c r="B39" s="33">
        <v>62</v>
      </c>
      <c r="C39" s="33">
        <v>760</v>
      </c>
      <c r="D39" s="33">
        <v>870</v>
      </c>
      <c r="E39" s="33">
        <v>980</v>
      </c>
      <c r="F39" s="33">
        <v>1180</v>
      </c>
      <c r="G39" s="33">
        <v>1390</v>
      </c>
      <c r="H39" s="33">
        <v>1600</v>
      </c>
      <c r="I39" s="33">
        <v>1820</v>
      </c>
      <c r="J39" s="33">
        <v>2120</v>
      </c>
      <c r="K39" s="33">
        <v>2420</v>
      </c>
      <c r="L39" s="33">
        <v>2720</v>
      </c>
      <c r="M39" s="33">
        <v>2920</v>
      </c>
      <c r="N39" s="33">
        <v>3120</v>
      </c>
      <c r="O39" s="32">
        <v>4059</v>
      </c>
      <c r="P39" s="32">
        <v>4159</v>
      </c>
    </row>
    <row r="40" spans="1:16" ht="23.25" hidden="1" customHeight="1">
      <c r="A40" s="33" t="s">
        <v>179</v>
      </c>
      <c r="B40" s="33">
        <v>62</v>
      </c>
      <c r="C40" s="33">
        <v>819</v>
      </c>
      <c r="D40" s="33">
        <v>939</v>
      </c>
      <c r="E40" s="33">
        <v>1059</v>
      </c>
      <c r="F40" s="33">
        <v>1259</v>
      </c>
      <c r="G40" s="33">
        <v>1479</v>
      </c>
      <c r="H40" s="33">
        <v>1699</v>
      </c>
      <c r="I40" s="33">
        <v>1939</v>
      </c>
      <c r="J40" s="33">
        <v>2239</v>
      </c>
      <c r="K40" s="33">
        <v>2539</v>
      </c>
      <c r="L40" s="33">
        <v>2839</v>
      </c>
      <c r="M40" s="33">
        <v>3039</v>
      </c>
      <c r="N40" s="33">
        <v>3239</v>
      </c>
      <c r="O40" s="32">
        <v>3940</v>
      </c>
      <c r="P40" s="32">
        <v>4040</v>
      </c>
    </row>
    <row r="41" spans="1:16" ht="23.25" hidden="1" customHeight="1">
      <c r="A41" s="33" t="s">
        <v>179</v>
      </c>
      <c r="B41" s="33">
        <v>64</v>
      </c>
      <c r="C41" s="33">
        <v>820</v>
      </c>
      <c r="D41" s="33">
        <v>940</v>
      </c>
      <c r="E41" s="33">
        <v>1060</v>
      </c>
      <c r="F41" s="33">
        <v>1260</v>
      </c>
      <c r="G41" s="33">
        <v>1480</v>
      </c>
      <c r="H41" s="33">
        <v>1700</v>
      </c>
      <c r="I41" s="33">
        <v>1940</v>
      </c>
      <c r="J41" s="33">
        <v>2240</v>
      </c>
      <c r="K41" s="33">
        <v>2540</v>
      </c>
      <c r="L41" s="33">
        <v>2840</v>
      </c>
      <c r="M41" s="33">
        <v>3040</v>
      </c>
      <c r="N41" s="33">
        <v>3240</v>
      </c>
      <c r="O41" s="32">
        <v>3939</v>
      </c>
      <c r="P41" s="32">
        <v>4039</v>
      </c>
    </row>
    <row r="42" spans="1:16" ht="23.25" hidden="1" customHeight="1">
      <c r="A42" s="33" t="s">
        <v>179</v>
      </c>
      <c r="B42" s="33">
        <v>64</v>
      </c>
      <c r="C42" s="33">
        <v>879</v>
      </c>
      <c r="D42" s="33">
        <v>1009</v>
      </c>
      <c r="E42" s="33">
        <v>1139</v>
      </c>
      <c r="F42" s="33">
        <v>1339</v>
      </c>
      <c r="G42" s="33">
        <v>1569</v>
      </c>
      <c r="H42" s="33">
        <v>1799</v>
      </c>
      <c r="I42" s="33">
        <v>2059</v>
      </c>
      <c r="J42" s="33">
        <v>2359</v>
      </c>
      <c r="K42" s="33">
        <v>2659</v>
      </c>
      <c r="L42" s="33">
        <v>2959</v>
      </c>
      <c r="M42" s="33">
        <v>3159</v>
      </c>
      <c r="N42" s="33">
        <v>3359</v>
      </c>
      <c r="O42" s="32">
        <v>3820</v>
      </c>
      <c r="P42" s="32">
        <v>3920</v>
      </c>
    </row>
    <row r="43" spans="1:16" ht="23.25" hidden="1" customHeight="1">
      <c r="A43" s="33" t="s">
        <v>179</v>
      </c>
      <c r="B43" s="33">
        <v>66</v>
      </c>
      <c r="C43" s="33">
        <v>880</v>
      </c>
      <c r="D43" s="33">
        <v>1010</v>
      </c>
      <c r="E43" s="33">
        <v>1140</v>
      </c>
      <c r="F43" s="33">
        <v>1340</v>
      </c>
      <c r="G43" s="33">
        <v>1570</v>
      </c>
      <c r="H43" s="33">
        <v>1800</v>
      </c>
      <c r="I43" s="33">
        <v>2060</v>
      </c>
      <c r="J43" s="33">
        <v>2360</v>
      </c>
      <c r="K43" s="33">
        <v>2660</v>
      </c>
      <c r="L43" s="33">
        <v>2960</v>
      </c>
      <c r="M43" s="33">
        <v>3160</v>
      </c>
      <c r="N43" s="33">
        <v>3360</v>
      </c>
      <c r="O43" s="32">
        <v>3819</v>
      </c>
      <c r="P43" s="32">
        <v>3919</v>
      </c>
    </row>
    <row r="44" spans="1:16" ht="23.25" hidden="1" customHeight="1">
      <c r="A44" s="33" t="s">
        <v>179</v>
      </c>
      <c r="B44" s="33">
        <v>66</v>
      </c>
      <c r="C44" s="33">
        <v>939</v>
      </c>
      <c r="D44" s="33">
        <v>1079</v>
      </c>
      <c r="E44" s="33">
        <v>1219</v>
      </c>
      <c r="F44" s="33">
        <v>1419</v>
      </c>
      <c r="G44" s="33">
        <v>1659</v>
      </c>
      <c r="H44" s="33">
        <v>1899</v>
      </c>
      <c r="I44" s="33">
        <v>2179</v>
      </c>
      <c r="J44" s="33">
        <v>2479</v>
      </c>
      <c r="K44" s="33">
        <v>2779</v>
      </c>
      <c r="L44" s="33">
        <v>3079</v>
      </c>
      <c r="M44" s="33">
        <v>3279</v>
      </c>
      <c r="N44" s="33">
        <v>3479</v>
      </c>
      <c r="O44" s="32">
        <v>3700</v>
      </c>
      <c r="P44" s="32">
        <v>3800</v>
      </c>
    </row>
    <row r="45" spans="1:16" ht="23.25" hidden="1" customHeight="1">
      <c r="A45" s="33" t="s">
        <v>179</v>
      </c>
      <c r="B45" s="33">
        <v>68</v>
      </c>
      <c r="C45" s="33">
        <v>940</v>
      </c>
      <c r="D45" s="33">
        <v>1080</v>
      </c>
      <c r="E45" s="33">
        <v>1220</v>
      </c>
      <c r="F45" s="33">
        <v>1420</v>
      </c>
      <c r="G45" s="33">
        <v>1660</v>
      </c>
      <c r="H45" s="33">
        <v>1900</v>
      </c>
      <c r="I45" s="33">
        <v>2180</v>
      </c>
      <c r="J45" s="33">
        <v>2480</v>
      </c>
      <c r="K45" s="33">
        <v>2780</v>
      </c>
      <c r="L45" s="33">
        <v>3080</v>
      </c>
      <c r="M45" s="33">
        <v>3280</v>
      </c>
      <c r="N45" s="33">
        <v>3480</v>
      </c>
      <c r="O45" s="32">
        <v>3699</v>
      </c>
      <c r="P45" s="32">
        <v>3799</v>
      </c>
    </row>
    <row r="46" spans="1:16" ht="23.25" hidden="1" customHeight="1">
      <c r="A46" s="33" t="s">
        <v>179</v>
      </c>
      <c r="B46" s="33">
        <v>68</v>
      </c>
      <c r="C46" s="33">
        <v>999</v>
      </c>
      <c r="D46" s="33">
        <v>1149</v>
      </c>
      <c r="E46" s="33">
        <v>1299</v>
      </c>
      <c r="F46" s="33">
        <v>1499</v>
      </c>
      <c r="G46" s="33">
        <v>1749</v>
      </c>
      <c r="H46" s="33">
        <v>1999</v>
      </c>
      <c r="I46" s="33">
        <v>2299</v>
      </c>
      <c r="J46" s="33">
        <v>2599</v>
      </c>
      <c r="K46" s="33">
        <v>2899</v>
      </c>
      <c r="L46" s="33">
        <v>3199</v>
      </c>
      <c r="M46" s="33">
        <v>3399</v>
      </c>
      <c r="N46" s="33">
        <v>3599</v>
      </c>
      <c r="O46" s="32">
        <v>3580</v>
      </c>
      <c r="P46" s="32">
        <v>3680</v>
      </c>
    </row>
    <row r="47" spans="1:16" ht="23.25" hidden="1" customHeight="1">
      <c r="A47" s="33" t="s">
        <v>179</v>
      </c>
      <c r="B47" s="33">
        <v>70</v>
      </c>
      <c r="C47" s="33">
        <v>1000</v>
      </c>
      <c r="D47" s="33">
        <v>1150</v>
      </c>
      <c r="E47" s="33">
        <v>1300</v>
      </c>
      <c r="F47" s="33">
        <v>1500</v>
      </c>
      <c r="G47" s="33">
        <v>1750</v>
      </c>
      <c r="H47" s="33">
        <v>2000</v>
      </c>
      <c r="I47" s="33">
        <v>2300</v>
      </c>
      <c r="J47" s="33">
        <v>2600</v>
      </c>
      <c r="K47" s="33">
        <v>2900</v>
      </c>
      <c r="L47" s="33">
        <v>3200</v>
      </c>
      <c r="M47" s="33">
        <v>3400</v>
      </c>
      <c r="N47" s="33">
        <v>3600</v>
      </c>
      <c r="O47" s="32">
        <v>3579</v>
      </c>
      <c r="P47" s="32">
        <v>3679</v>
      </c>
    </row>
    <row r="48" spans="1:16" ht="23.25" hidden="1" customHeight="1">
      <c r="A48" s="33" t="s">
        <v>179</v>
      </c>
      <c r="B48" s="33">
        <v>70</v>
      </c>
      <c r="C48" s="33">
        <v>1059</v>
      </c>
      <c r="D48" s="33">
        <v>1219</v>
      </c>
      <c r="E48" s="33">
        <v>1379</v>
      </c>
      <c r="F48" s="33">
        <v>1579</v>
      </c>
      <c r="G48" s="33">
        <v>1839</v>
      </c>
      <c r="H48" s="33">
        <v>2099</v>
      </c>
      <c r="I48" s="33">
        <v>2419</v>
      </c>
      <c r="J48" s="33">
        <v>2719</v>
      </c>
      <c r="K48" s="33">
        <v>3019</v>
      </c>
      <c r="L48" s="33">
        <v>3319</v>
      </c>
      <c r="M48" s="33">
        <v>3519</v>
      </c>
      <c r="N48" s="33">
        <v>3719</v>
      </c>
      <c r="O48" s="32">
        <v>3460</v>
      </c>
      <c r="P48" s="32">
        <v>3560</v>
      </c>
    </row>
    <row r="49" spans="1:16" ht="23.25" hidden="1" customHeight="1">
      <c r="A49" s="33" t="s">
        <v>179</v>
      </c>
      <c r="B49" s="33">
        <v>72</v>
      </c>
      <c r="C49" s="33">
        <v>1060</v>
      </c>
      <c r="D49" s="33">
        <v>1220</v>
      </c>
      <c r="E49" s="33">
        <v>1380</v>
      </c>
      <c r="F49" s="33">
        <v>1580</v>
      </c>
      <c r="G49" s="33">
        <v>1840</v>
      </c>
      <c r="H49" s="33">
        <v>2100</v>
      </c>
      <c r="I49" s="33">
        <v>2420</v>
      </c>
      <c r="J49" s="33">
        <v>2720</v>
      </c>
      <c r="K49" s="33">
        <v>3020</v>
      </c>
      <c r="L49" s="33">
        <v>3320</v>
      </c>
      <c r="M49" s="33">
        <v>3520</v>
      </c>
      <c r="N49" s="33">
        <v>3720</v>
      </c>
      <c r="O49" s="32">
        <v>3459</v>
      </c>
      <c r="P49" s="32">
        <v>3559</v>
      </c>
    </row>
    <row r="50" spans="1:16" ht="23.25" hidden="1" customHeight="1">
      <c r="A50" s="33" t="s">
        <v>179</v>
      </c>
      <c r="B50" s="33">
        <v>72</v>
      </c>
      <c r="C50" s="33">
        <v>1119</v>
      </c>
      <c r="D50" s="33">
        <v>1289</v>
      </c>
      <c r="E50" s="33">
        <v>1459</v>
      </c>
      <c r="F50" s="33">
        <v>1659</v>
      </c>
      <c r="G50" s="33">
        <v>1929</v>
      </c>
      <c r="H50" s="33">
        <v>2199</v>
      </c>
      <c r="I50" s="33">
        <v>2539</v>
      </c>
      <c r="J50" s="33">
        <v>2839</v>
      </c>
      <c r="K50" s="33">
        <v>3139</v>
      </c>
      <c r="L50" s="33">
        <v>3439</v>
      </c>
      <c r="M50" s="33">
        <v>3639</v>
      </c>
      <c r="N50" s="33">
        <v>3839</v>
      </c>
      <c r="O50" s="32">
        <v>3340</v>
      </c>
      <c r="P50" s="32">
        <v>3440</v>
      </c>
    </row>
    <row r="51" spans="1:16" ht="23.25" hidden="1" customHeight="1">
      <c r="A51" s="33" t="s">
        <v>179</v>
      </c>
      <c r="B51" s="33">
        <v>74</v>
      </c>
      <c r="C51" s="33">
        <v>1120</v>
      </c>
      <c r="D51" s="33">
        <v>1290</v>
      </c>
      <c r="E51" s="33">
        <v>1460</v>
      </c>
      <c r="F51" s="33">
        <v>1660</v>
      </c>
      <c r="G51" s="33">
        <v>1930</v>
      </c>
      <c r="H51" s="33">
        <v>2200</v>
      </c>
      <c r="I51" s="33">
        <v>2540</v>
      </c>
      <c r="J51" s="33">
        <v>2840</v>
      </c>
      <c r="K51" s="33">
        <v>3140</v>
      </c>
      <c r="L51" s="33">
        <v>3440</v>
      </c>
      <c r="M51" s="33">
        <v>3640</v>
      </c>
      <c r="N51" s="33">
        <v>3840</v>
      </c>
      <c r="O51" s="32">
        <v>3339</v>
      </c>
      <c r="P51" s="32">
        <v>3439</v>
      </c>
    </row>
    <row r="52" spans="1:16" ht="23.25" hidden="1" customHeight="1">
      <c r="A52" s="33" t="s">
        <v>179</v>
      </c>
      <c r="B52" s="33">
        <v>74</v>
      </c>
      <c r="C52" s="33">
        <v>1179</v>
      </c>
      <c r="D52" s="33">
        <v>1359</v>
      </c>
      <c r="E52" s="33">
        <v>1539</v>
      </c>
      <c r="F52" s="33">
        <v>1739</v>
      </c>
      <c r="G52" s="33">
        <v>2019</v>
      </c>
      <c r="H52" s="33">
        <v>2299</v>
      </c>
      <c r="I52" s="33">
        <v>2659</v>
      </c>
      <c r="J52" s="33">
        <v>2959</v>
      </c>
      <c r="K52" s="33">
        <v>3259</v>
      </c>
      <c r="L52" s="33">
        <v>3559</v>
      </c>
      <c r="M52" s="33">
        <v>3759</v>
      </c>
      <c r="N52" s="33">
        <v>3959</v>
      </c>
      <c r="O52" s="32">
        <v>3220</v>
      </c>
      <c r="P52" s="32">
        <v>3320</v>
      </c>
    </row>
    <row r="53" spans="1:16" ht="23.25" hidden="1" customHeight="1">
      <c r="A53" s="33" t="s">
        <v>179</v>
      </c>
      <c r="B53" s="33">
        <v>76</v>
      </c>
      <c r="C53" s="33">
        <v>1180</v>
      </c>
      <c r="D53" s="33">
        <v>1360</v>
      </c>
      <c r="E53" s="33">
        <v>1540</v>
      </c>
      <c r="F53" s="33">
        <v>1740</v>
      </c>
      <c r="G53" s="33">
        <v>2020</v>
      </c>
      <c r="H53" s="33">
        <v>2300</v>
      </c>
      <c r="I53" s="33">
        <v>2660</v>
      </c>
      <c r="J53" s="33">
        <v>2960</v>
      </c>
      <c r="K53" s="33">
        <v>3260</v>
      </c>
      <c r="L53" s="33">
        <v>3560</v>
      </c>
      <c r="M53" s="33">
        <v>3760</v>
      </c>
      <c r="N53" s="33">
        <v>3960</v>
      </c>
      <c r="O53" s="32">
        <v>3219</v>
      </c>
      <c r="P53" s="32">
        <v>3319</v>
      </c>
    </row>
    <row r="54" spans="1:16" ht="23.25" hidden="1" customHeight="1">
      <c r="A54" s="33" t="s">
        <v>179</v>
      </c>
      <c r="B54" s="33">
        <v>76</v>
      </c>
      <c r="C54" s="33">
        <v>1239</v>
      </c>
      <c r="D54" s="33">
        <v>1429</v>
      </c>
      <c r="E54" s="33">
        <v>1919</v>
      </c>
      <c r="F54" s="33">
        <v>1819</v>
      </c>
      <c r="G54" s="33">
        <v>2109</v>
      </c>
      <c r="H54" s="33">
        <v>2399</v>
      </c>
      <c r="I54" s="33">
        <v>2779</v>
      </c>
      <c r="J54" s="33">
        <v>3079</v>
      </c>
      <c r="K54" s="33">
        <v>3379</v>
      </c>
      <c r="L54" s="33">
        <v>3679</v>
      </c>
      <c r="M54" s="33">
        <v>3879</v>
      </c>
      <c r="N54" s="33">
        <v>4079</v>
      </c>
      <c r="O54" s="32">
        <v>3100</v>
      </c>
      <c r="P54" s="32">
        <v>3200</v>
      </c>
    </row>
    <row r="55" spans="1:16" ht="23.25" hidden="1" customHeight="1">
      <c r="A55" s="33" t="s">
        <v>179</v>
      </c>
      <c r="B55" s="33">
        <v>78</v>
      </c>
      <c r="C55" s="33">
        <v>1240</v>
      </c>
      <c r="D55" s="33">
        <v>1430</v>
      </c>
      <c r="E55" s="33">
        <v>1620</v>
      </c>
      <c r="F55" s="33">
        <v>1820</v>
      </c>
      <c r="G55" s="33">
        <v>2110</v>
      </c>
      <c r="H55" s="33">
        <v>2400</v>
      </c>
      <c r="I55" s="33">
        <v>2780</v>
      </c>
      <c r="J55" s="33">
        <v>3080</v>
      </c>
      <c r="K55" s="33">
        <v>3380</v>
      </c>
      <c r="L55" s="33">
        <v>3680</v>
      </c>
      <c r="M55" s="33">
        <v>3880</v>
      </c>
      <c r="N55" s="33">
        <v>4080</v>
      </c>
      <c r="O55" s="32">
        <v>3099</v>
      </c>
      <c r="P55" s="32">
        <v>3199</v>
      </c>
    </row>
    <row r="56" spans="1:16" ht="23.25" hidden="1" customHeight="1">
      <c r="A56" s="33" t="s">
        <v>179</v>
      </c>
      <c r="B56" s="33">
        <v>78</v>
      </c>
      <c r="C56" s="33">
        <v>1299</v>
      </c>
      <c r="D56" s="33">
        <v>1499</v>
      </c>
      <c r="E56" s="33">
        <v>1699</v>
      </c>
      <c r="F56" s="33">
        <v>1899</v>
      </c>
      <c r="G56" s="33">
        <v>2199</v>
      </c>
      <c r="H56" s="33">
        <v>2499</v>
      </c>
      <c r="I56" s="33">
        <v>2899</v>
      </c>
      <c r="J56" s="33">
        <v>3199</v>
      </c>
      <c r="K56" s="33">
        <v>3499</v>
      </c>
      <c r="L56" s="33">
        <v>3799</v>
      </c>
      <c r="M56" s="33">
        <v>3999</v>
      </c>
      <c r="N56" s="33">
        <v>4199</v>
      </c>
      <c r="O56" s="32">
        <v>2940</v>
      </c>
      <c r="P56" s="32">
        <v>3030</v>
      </c>
    </row>
    <row r="57" spans="1:16" ht="23.25" hidden="1" customHeight="1">
      <c r="A57" s="33" t="s">
        <v>180</v>
      </c>
      <c r="B57" s="33">
        <v>80</v>
      </c>
      <c r="C57" s="33">
        <v>1300</v>
      </c>
      <c r="D57" s="33">
        <v>1500</v>
      </c>
      <c r="E57" s="33">
        <v>1700</v>
      </c>
      <c r="F57" s="33">
        <v>1900</v>
      </c>
      <c r="G57" s="33">
        <v>2200</v>
      </c>
      <c r="H57" s="33">
        <v>2500</v>
      </c>
      <c r="I57" s="33">
        <v>2900</v>
      </c>
      <c r="J57" s="33">
        <v>3200</v>
      </c>
      <c r="K57" s="33">
        <v>3500</v>
      </c>
      <c r="L57" s="33">
        <v>3800</v>
      </c>
      <c r="M57" s="33">
        <v>4000</v>
      </c>
      <c r="N57" s="33">
        <v>4200</v>
      </c>
      <c r="O57" s="32">
        <v>2939</v>
      </c>
      <c r="P57" s="32">
        <v>3029</v>
      </c>
    </row>
    <row r="58" spans="1:16" ht="23.25" hidden="1" customHeight="1">
      <c r="A58" s="33" t="s">
        <v>180</v>
      </c>
      <c r="B58" s="33">
        <v>85</v>
      </c>
      <c r="C58" s="33">
        <v>1399</v>
      </c>
      <c r="D58" s="33">
        <v>1649</v>
      </c>
      <c r="E58" s="33">
        <v>1899</v>
      </c>
      <c r="F58" s="33">
        <v>2149</v>
      </c>
      <c r="G58" s="33">
        <v>2449</v>
      </c>
      <c r="H58" s="33">
        <v>2749</v>
      </c>
      <c r="I58" s="33">
        <v>3149</v>
      </c>
      <c r="J58" s="33">
        <v>3449</v>
      </c>
      <c r="K58" s="33">
        <v>3749</v>
      </c>
      <c r="L58" s="33">
        <v>4049</v>
      </c>
      <c r="M58" s="33">
        <v>4249</v>
      </c>
      <c r="N58" s="33">
        <v>4449</v>
      </c>
      <c r="O58" s="32">
        <v>2780</v>
      </c>
      <c r="P58" s="32">
        <v>2860</v>
      </c>
    </row>
    <row r="59" spans="1:16" ht="23.25" hidden="1" customHeight="1">
      <c r="A59" s="33" t="s">
        <v>180</v>
      </c>
      <c r="B59" s="33">
        <v>85</v>
      </c>
      <c r="C59" s="33">
        <v>1400</v>
      </c>
      <c r="D59" s="33">
        <v>1650</v>
      </c>
      <c r="E59" s="33">
        <v>1900</v>
      </c>
      <c r="F59" s="33">
        <v>2150</v>
      </c>
      <c r="G59" s="33">
        <v>2450</v>
      </c>
      <c r="H59" s="33">
        <v>2750</v>
      </c>
      <c r="I59" s="33">
        <v>3150</v>
      </c>
      <c r="J59" s="33">
        <v>3450</v>
      </c>
      <c r="K59" s="33">
        <v>3750</v>
      </c>
      <c r="L59" s="33">
        <v>4050</v>
      </c>
      <c r="M59" s="33">
        <v>4250</v>
      </c>
      <c r="N59" s="33">
        <v>4450</v>
      </c>
      <c r="O59" s="32">
        <v>2779</v>
      </c>
      <c r="P59" s="32">
        <v>2859</v>
      </c>
    </row>
    <row r="60" spans="1:16" ht="23.25" hidden="1" customHeight="1">
      <c r="A60" s="33" t="s">
        <v>180</v>
      </c>
      <c r="B60" s="33">
        <v>85</v>
      </c>
      <c r="C60" s="33">
        <v>1499</v>
      </c>
      <c r="D60" s="33">
        <v>1799</v>
      </c>
      <c r="E60" s="33">
        <v>2099</v>
      </c>
      <c r="F60" s="33">
        <v>2399</v>
      </c>
      <c r="G60" s="33">
        <v>2699</v>
      </c>
      <c r="H60" s="33">
        <v>2999</v>
      </c>
      <c r="I60" s="33">
        <v>3399</v>
      </c>
      <c r="J60" s="33">
        <v>3699</v>
      </c>
      <c r="K60" s="33">
        <v>3999</v>
      </c>
      <c r="L60" s="33">
        <v>3299</v>
      </c>
      <c r="M60" s="33">
        <v>3499</v>
      </c>
      <c r="N60" s="33">
        <v>3699</v>
      </c>
      <c r="O60" s="32">
        <v>2620</v>
      </c>
      <c r="P60" s="32">
        <v>2690</v>
      </c>
    </row>
    <row r="61" spans="1:16" ht="23.25" hidden="1" customHeight="1">
      <c r="A61" s="33" t="s">
        <v>181</v>
      </c>
      <c r="B61" s="33">
        <v>90</v>
      </c>
      <c r="C61" s="33">
        <v>1500</v>
      </c>
      <c r="D61" s="33">
        <v>1800</v>
      </c>
      <c r="E61" s="33">
        <v>2100</v>
      </c>
      <c r="F61" s="33">
        <v>2400</v>
      </c>
      <c r="G61" s="33">
        <v>2700</v>
      </c>
      <c r="H61" s="33">
        <v>3000</v>
      </c>
      <c r="I61" s="33">
        <v>3400</v>
      </c>
      <c r="J61" s="33">
        <v>3700</v>
      </c>
      <c r="K61" s="33">
        <v>4000</v>
      </c>
      <c r="L61" s="33">
        <v>4300</v>
      </c>
      <c r="M61" s="33">
        <v>4500</v>
      </c>
      <c r="N61" s="33">
        <v>4700</v>
      </c>
      <c r="O61" s="32">
        <v>2619</v>
      </c>
      <c r="P61" s="32">
        <v>2689</v>
      </c>
    </row>
    <row r="62" spans="1:16" ht="23.25" hidden="1" customHeight="1">
      <c r="A62" s="33" t="s">
        <v>181</v>
      </c>
      <c r="B62" s="33">
        <v>90</v>
      </c>
      <c r="C62" s="33">
        <v>1599</v>
      </c>
      <c r="D62" s="33">
        <v>1899</v>
      </c>
      <c r="E62" s="33">
        <v>2199</v>
      </c>
      <c r="F62" s="33">
        <v>2499</v>
      </c>
      <c r="G62" s="33">
        <v>2799</v>
      </c>
      <c r="H62" s="33">
        <v>3099</v>
      </c>
      <c r="I62" s="33">
        <v>3519</v>
      </c>
      <c r="J62" s="33">
        <v>3819</v>
      </c>
      <c r="K62" s="33">
        <v>4119</v>
      </c>
      <c r="L62" s="33">
        <v>4419</v>
      </c>
      <c r="M62" s="33">
        <v>4619</v>
      </c>
      <c r="N62" s="33">
        <v>4819</v>
      </c>
      <c r="O62" s="32">
        <v>2460</v>
      </c>
      <c r="P62" s="32">
        <v>2520</v>
      </c>
    </row>
    <row r="63" spans="1:16" ht="23.25" hidden="1" customHeight="1">
      <c r="A63" s="33" t="s">
        <v>181</v>
      </c>
      <c r="B63" s="33">
        <v>95</v>
      </c>
      <c r="C63" s="33">
        <v>1600</v>
      </c>
      <c r="D63" s="33">
        <v>1900</v>
      </c>
      <c r="E63" s="33">
        <v>2200</v>
      </c>
      <c r="F63" s="33">
        <v>2500</v>
      </c>
      <c r="G63" s="33">
        <v>2800</v>
      </c>
      <c r="H63" s="33">
        <v>3100</v>
      </c>
      <c r="I63" s="33">
        <v>3520</v>
      </c>
      <c r="J63" s="33">
        <v>3820</v>
      </c>
      <c r="K63" s="33">
        <v>4120</v>
      </c>
      <c r="L63" s="33">
        <v>4420</v>
      </c>
      <c r="M63" s="33">
        <v>4620</v>
      </c>
      <c r="N63" s="33">
        <v>4820</v>
      </c>
      <c r="O63" s="32">
        <v>2459</v>
      </c>
      <c r="P63" s="32">
        <v>2519</v>
      </c>
    </row>
    <row r="64" spans="1:16" ht="23.25" hidden="1" customHeight="1">
      <c r="A64" s="33" t="s">
        <v>181</v>
      </c>
      <c r="B64" s="33">
        <v>95</v>
      </c>
      <c r="C64" s="33">
        <v>1699</v>
      </c>
      <c r="D64" s="33">
        <v>1999</v>
      </c>
      <c r="E64" s="33">
        <v>2299</v>
      </c>
      <c r="F64" s="33">
        <v>2599</v>
      </c>
      <c r="G64" s="33">
        <v>2899</v>
      </c>
      <c r="H64" s="33">
        <v>2199</v>
      </c>
      <c r="I64" s="33">
        <v>2639</v>
      </c>
      <c r="J64" s="33">
        <v>2939</v>
      </c>
      <c r="K64" s="33">
        <v>4239</v>
      </c>
      <c r="L64" s="33">
        <v>4539</v>
      </c>
      <c r="M64" s="33">
        <v>4739</v>
      </c>
      <c r="N64" s="33">
        <v>4939</v>
      </c>
      <c r="O64" s="32">
        <v>2300</v>
      </c>
      <c r="P64" s="32">
        <v>2350</v>
      </c>
    </row>
    <row r="65" spans="1:16" ht="23.25" hidden="1" customHeight="1">
      <c r="A65" s="33" t="s">
        <v>181</v>
      </c>
      <c r="B65" s="33">
        <v>100</v>
      </c>
      <c r="C65" s="33">
        <v>1700</v>
      </c>
      <c r="D65" s="33">
        <v>2000</v>
      </c>
      <c r="E65" s="33">
        <v>2300</v>
      </c>
      <c r="F65" s="33">
        <v>2600</v>
      </c>
      <c r="G65" s="33">
        <v>2900</v>
      </c>
      <c r="H65" s="33">
        <v>3200</v>
      </c>
      <c r="I65" s="33">
        <v>3640</v>
      </c>
      <c r="J65" s="33">
        <v>3940</v>
      </c>
      <c r="K65" s="33">
        <v>4240</v>
      </c>
      <c r="L65" s="33">
        <v>4540</v>
      </c>
      <c r="M65" s="33">
        <v>4740</v>
      </c>
      <c r="N65" s="33">
        <v>4940</v>
      </c>
      <c r="O65" s="32">
        <v>2299</v>
      </c>
      <c r="P65" s="32">
        <v>2349</v>
      </c>
    </row>
    <row r="66" spans="1:16" ht="23.25" hidden="1" customHeight="1">
      <c r="A66" s="33" t="s">
        <v>181</v>
      </c>
      <c r="B66" s="33">
        <v>100</v>
      </c>
      <c r="C66" s="33">
        <v>8000</v>
      </c>
      <c r="D66" s="33">
        <v>8000</v>
      </c>
      <c r="E66" s="33">
        <v>8000</v>
      </c>
      <c r="F66" s="33">
        <v>8000</v>
      </c>
      <c r="G66" s="33">
        <v>8000</v>
      </c>
      <c r="H66" s="33">
        <v>8000</v>
      </c>
      <c r="I66" s="33">
        <v>8000</v>
      </c>
      <c r="J66" s="33">
        <v>8000</v>
      </c>
      <c r="K66" s="33">
        <v>8000</v>
      </c>
      <c r="L66" s="33">
        <v>8000</v>
      </c>
      <c r="M66" s="33">
        <v>8000</v>
      </c>
      <c r="N66" s="33">
        <v>8000</v>
      </c>
    </row>
    <row r="67" spans="1:16" ht="23.25" hidden="1" customHeight="1">
      <c r="A67" s="36" t="s">
        <v>244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 ht="23.25" hidden="1" customHeight="1">
      <c r="A68" s="36" t="s">
        <v>163</v>
      </c>
      <c r="B68" s="33" t="s">
        <v>164</v>
      </c>
      <c r="C68" s="36" t="s">
        <v>165</v>
      </c>
      <c r="D68" s="36" t="s">
        <v>166</v>
      </c>
      <c r="E68" s="36" t="s">
        <v>167</v>
      </c>
      <c r="F68" s="36" t="s">
        <v>168</v>
      </c>
      <c r="G68" s="36" t="s">
        <v>169</v>
      </c>
      <c r="H68" s="36" t="s">
        <v>170</v>
      </c>
      <c r="I68" s="36" t="s">
        <v>171</v>
      </c>
      <c r="J68" s="36" t="s">
        <v>172</v>
      </c>
      <c r="K68" s="36" t="s">
        <v>173</v>
      </c>
      <c r="L68" s="36" t="s">
        <v>174</v>
      </c>
      <c r="M68" s="36" t="s">
        <v>175</v>
      </c>
      <c r="N68" s="36" t="s">
        <v>176</v>
      </c>
      <c r="O68" s="32" t="s">
        <v>240</v>
      </c>
      <c r="P68" s="32" t="s">
        <v>241</v>
      </c>
    </row>
    <row r="69" spans="1:16" ht="23.25" hidden="1" customHeight="1">
      <c r="A69" s="36"/>
      <c r="B69" s="33" t="s">
        <v>177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2" t="s">
        <v>242</v>
      </c>
      <c r="P69" s="32" t="s">
        <v>243</v>
      </c>
    </row>
    <row r="70" spans="1:16" ht="23.25" hidden="1" customHeight="1">
      <c r="A70" s="33" t="s">
        <v>178</v>
      </c>
      <c r="B70" s="33">
        <v>0</v>
      </c>
      <c r="C70" s="33">
        <v>200</v>
      </c>
      <c r="D70" s="33">
        <v>200</v>
      </c>
      <c r="E70" s="33">
        <v>200</v>
      </c>
      <c r="F70" s="33">
        <v>200</v>
      </c>
      <c r="G70" s="33">
        <v>200</v>
      </c>
      <c r="H70" s="33">
        <v>200</v>
      </c>
      <c r="I70" s="33">
        <v>200</v>
      </c>
      <c r="J70" s="33">
        <v>200</v>
      </c>
      <c r="K70" s="33">
        <v>200</v>
      </c>
      <c r="L70" s="33">
        <v>200</v>
      </c>
      <c r="M70" s="33">
        <v>200</v>
      </c>
      <c r="N70" s="33">
        <v>200</v>
      </c>
      <c r="O70" s="32">
        <v>6000</v>
      </c>
      <c r="P70" s="32">
        <v>6000</v>
      </c>
    </row>
    <row r="71" spans="1:16" ht="23.25" hidden="1" customHeight="1">
      <c r="A71" s="33" t="s">
        <v>178</v>
      </c>
      <c r="B71" s="33">
        <v>0</v>
      </c>
      <c r="C71" s="33">
        <v>499</v>
      </c>
      <c r="D71" s="33">
        <v>599</v>
      </c>
      <c r="E71" s="33">
        <v>699</v>
      </c>
      <c r="F71" s="33">
        <v>799</v>
      </c>
      <c r="G71" s="33">
        <v>899</v>
      </c>
      <c r="H71" s="33">
        <v>1049</v>
      </c>
      <c r="I71" s="33">
        <v>1149</v>
      </c>
      <c r="J71" s="33">
        <v>1299</v>
      </c>
      <c r="K71" s="33">
        <v>1449</v>
      </c>
      <c r="L71" s="33">
        <v>1549</v>
      </c>
      <c r="M71" s="33">
        <v>1649</v>
      </c>
      <c r="N71" s="33">
        <v>1749</v>
      </c>
      <c r="O71" s="32">
        <v>3400</v>
      </c>
      <c r="P71" s="32">
        <v>3450</v>
      </c>
    </row>
    <row r="72" spans="1:16" ht="23.25" hidden="1" customHeight="1">
      <c r="A72" s="33" t="s">
        <v>178</v>
      </c>
      <c r="B72" s="33">
        <v>10</v>
      </c>
      <c r="C72" s="33">
        <v>500</v>
      </c>
      <c r="D72" s="33">
        <v>600</v>
      </c>
      <c r="E72" s="33">
        <v>700</v>
      </c>
      <c r="F72" s="33">
        <v>800</v>
      </c>
      <c r="G72" s="33">
        <v>900</v>
      </c>
      <c r="H72" s="33">
        <v>1050</v>
      </c>
      <c r="I72" s="33">
        <v>1150</v>
      </c>
      <c r="J72" s="33">
        <v>1300</v>
      </c>
      <c r="K72" s="33">
        <v>1450</v>
      </c>
      <c r="L72" s="33">
        <v>1550</v>
      </c>
      <c r="M72" s="33">
        <v>1650</v>
      </c>
      <c r="N72" s="33">
        <v>1750</v>
      </c>
      <c r="O72" s="32">
        <v>3399</v>
      </c>
      <c r="P72" s="32">
        <v>3449</v>
      </c>
    </row>
    <row r="73" spans="1:16" ht="23.25" hidden="1" customHeight="1">
      <c r="A73" s="33" t="s">
        <v>178</v>
      </c>
      <c r="B73" s="33">
        <v>10</v>
      </c>
      <c r="C73" s="33">
        <v>519</v>
      </c>
      <c r="D73" s="33">
        <v>619</v>
      </c>
      <c r="E73" s="33">
        <v>719</v>
      </c>
      <c r="F73" s="33">
        <v>819</v>
      </c>
      <c r="G73" s="33">
        <v>929</v>
      </c>
      <c r="H73" s="33">
        <v>1079</v>
      </c>
      <c r="I73" s="33">
        <v>1189</v>
      </c>
      <c r="J73" s="33">
        <v>1339</v>
      </c>
      <c r="K73" s="33">
        <v>1489</v>
      </c>
      <c r="L73" s="33">
        <v>1589</v>
      </c>
      <c r="M73" s="33">
        <v>1689</v>
      </c>
      <c r="N73" s="33">
        <v>1789</v>
      </c>
      <c r="O73" s="32">
        <v>3350</v>
      </c>
      <c r="P73" s="32">
        <v>3400</v>
      </c>
    </row>
    <row r="74" spans="1:16" ht="23.25" hidden="1" customHeight="1">
      <c r="A74" s="33" t="s">
        <v>178</v>
      </c>
      <c r="B74" s="33">
        <v>20</v>
      </c>
      <c r="C74" s="33">
        <v>520</v>
      </c>
      <c r="D74" s="33">
        <v>620</v>
      </c>
      <c r="E74" s="33">
        <v>720</v>
      </c>
      <c r="F74" s="33">
        <v>820</v>
      </c>
      <c r="G74" s="33">
        <v>930</v>
      </c>
      <c r="H74" s="33">
        <v>1080</v>
      </c>
      <c r="I74" s="33">
        <v>1190</v>
      </c>
      <c r="J74" s="33">
        <v>1340</v>
      </c>
      <c r="K74" s="33">
        <v>1490</v>
      </c>
      <c r="L74" s="33">
        <v>1590</v>
      </c>
      <c r="M74" s="33">
        <v>1690</v>
      </c>
      <c r="N74" s="33">
        <v>1790</v>
      </c>
      <c r="O74" s="32">
        <v>3349</v>
      </c>
      <c r="P74" s="32">
        <v>3399</v>
      </c>
    </row>
    <row r="75" spans="1:16" ht="23.25" hidden="1" customHeight="1">
      <c r="A75" s="33" t="s">
        <v>178</v>
      </c>
      <c r="B75" s="33">
        <v>20</v>
      </c>
      <c r="C75" s="33">
        <v>539</v>
      </c>
      <c r="D75" s="33">
        <v>639</v>
      </c>
      <c r="E75" s="33">
        <v>739</v>
      </c>
      <c r="F75" s="33">
        <v>839</v>
      </c>
      <c r="G75" s="33">
        <v>959</v>
      </c>
      <c r="H75" s="33">
        <v>1109</v>
      </c>
      <c r="I75" s="33">
        <v>1229</v>
      </c>
      <c r="J75" s="33">
        <v>1379</v>
      </c>
      <c r="K75" s="33">
        <v>1529</v>
      </c>
      <c r="L75" s="33">
        <v>1629</v>
      </c>
      <c r="M75" s="33">
        <v>1729</v>
      </c>
      <c r="N75" s="33">
        <v>1829</v>
      </c>
      <c r="O75" s="32">
        <v>3300</v>
      </c>
      <c r="P75" s="32">
        <v>3350</v>
      </c>
    </row>
    <row r="76" spans="1:16" ht="23.25" hidden="1" customHeight="1">
      <c r="A76" s="33" t="s">
        <v>178</v>
      </c>
      <c r="B76" s="33">
        <v>30</v>
      </c>
      <c r="C76" s="33">
        <v>540</v>
      </c>
      <c r="D76" s="33">
        <v>640</v>
      </c>
      <c r="E76" s="33">
        <v>740</v>
      </c>
      <c r="F76" s="33">
        <v>840</v>
      </c>
      <c r="G76" s="33">
        <v>960</v>
      </c>
      <c r="H76" s="33">
        <v>1110</v>
      </c>
      <c r="I76" s="33">
        <v>1230</v>
      </c>
      <c r="J76" s="33">
        <v>1380</v>
      </c>
      <c r="K76" s="33">
        <v>1530</v>
      </c>
      <c r="L76" s="33">
        <v>1630</v>
      </c>
      <c r="M76" s="33">
        <v>1730</v>
      </c>
      <c r="N76" s="33">
        <v>1830</v>
      </c>
    </row>
    <row r="77" spans="1:16" ht="23.25" hidden="1" customHeight="1">
      <c r="A77" s="33" t="s">
        <v>178</v>
      </c>
      <c r="B77" s="33">
        <v>30</v>
      </c>
      <c r="C77" s="33">
        <v>559</v>
      </c>
      <c r="D77" s="33">
        <v>659</v>
      </c>
      <c r="E77" s="33">
        <v>759</v>
      </c>
      <c r="F77" s="33">
        <v>859</v>
      </c>
      <c r="G77" s="33">
        <v>989</v>
      </c>
      <c r="H77" s="33">
        <v>1139</v>
      </c>
      <c r="I77" s="33">
        <v>1269</v>
      </c>
      <c r="J77" s="33">
        <v>1419</v>
      </c>
      <c r="K77" s="33">
        <v>1569</v>
      </c>
      <c r="L77" s="33">
        <v>1669</v>
      </c>
      <c r="M77" s="33">
        <v>1768</v>
      </c>
      <c r="N77" s="33">
        <v>1869</v>
      </c>
      <c r="O77" s="32">
        <v>3150</v>
      </c>
      <c r="P77" s="32">
        <v>3200</v>
      </c>
    </row>
    <row r="78" spans="1:16" ht="23.25" hidden="1" customHeight="1">
      <c r="A78" s="33" t="s">
        <v>178</v>
      </c>
      <c r="B78" s="33">
        <v>40</v>
      </c>
      <c r="C78" s="33">
        <v>560</v>
      </c>
      <c r="D78" s="33">
        <v>660</v>
      </c>
      <c r="E78" s="33">
        <v>760</v>
      </c>
      <c r="F78" s="33">
        <v>860</v>
      </c>
      <c r="G78" s="33">
        <v>990</v>
      </c>
      <c r="H78" s="33">
        <v>1140</v>
      </c>
      <c r="I78" s="33">
        <v>1270</v>
      </c>
      <c r="J78" s="33">
        <v>1420</v>
      </c>
      <c r="K78" s="33">
        <v>1570</v>
      </c>
      <c r="L78" s="33">
        <v>1670</v>
      </c>
      <c r="M78" s="33">
        <v>1770</v>
      </c>
      <c r="N78" s="33">
        <v>1870</v>
      </c>
    </row>
    <row r="79" spans="1:16" ht="23.25" hidden="1" customHeight="1">
      <c r="A79" s="33" t="s">
        <v>178</v>
      </c>
      <c r="B79" s="33">
        <v>40</v>
      </c>
      <c r="C79" s="33">
        <v>579</v>
      </c>
      <c r="D79" s="33">
        <v>679</v>
      </c>
      <c r="E79" s="33">
        <v>779</v>
      </c>
      <c r="F79" s="33">
        <v>879</v>
      </c>
      <c r="G79" s="33">
        <v>1019</v>
      </c>
      <c r="H79" s="33">
        <v>1169</v>
      </c>
      <c r="I79" s="33">
        <v>1309</v>
      </c>
      <c r="J79" s="33">
        <v>1659</v>
      </c>
      <c r="K79" s="33">
        <v>1609</v>
      </c>
      <c r="L79" s="33">
        <v>1709</v>
      </c>
      <c r="M79" s="33">
        <v>1809</v>
      </c>
      <c r="N79" s="33">
        <v>1909</v>
      </c>
      <c r="O79" s="32">
        <v>3000</v>
      </c>
      <c r="P79" s="32">
        <v>3050</v>
      </c>
    </row>
    <row r="80" spans="1:16" ht="23.25" hidden="1" customHeight="1">
      <c r="A80" s="33" t="s">
        <v>178</v>
      </c>
      <c r="B80" s="33">
        <v>50</v>
      </c>
      <c r="C80" s="33">
        <v>580</v>
      </c>
      <c r="D80" s="33">
        <v>680</v>
      </c>
      <c r="E80" s="33">
        <v>780</v>
      </c>
      <c r="F80" s="33">
        <v>880</v>
      </c>
      <c r="G80" s="33">
        <v>1020</v>
      </c>
      <c r="H80" s="33">
        <v>1170</v>
      </c>
      <c r="I80" s="33">
        <v>1310</v>
      </c>
      <c r="J80" s="33">
        <v>1460</v>
      </c>
      <c r="K80" s="33">
        <v>1610</v>
      </c>
      <c r="L80" s="33">
        <v>1710</v>
      </c>
      <c r="M80" s="33">
        <v>1810</v>
      </c>
      <c r="N80" s="33">
        <v>1910</v>
      </c>
    </row>
    <row r="81" spans="1:16" ht="23.25" hidden="1" customHeight="1">
      <c r="A81" s="33" t="s">
        <v>178</v>
      </c>
      <c r="B81" s="33">
        <v>50</v>
      </c>
      <c r="C81" s="33">
        <v>699</v>
      </c>
      <c r="D81" s="33">
        <v>699</v>
      </c>
      <c r="E81" s="33">
        <v>799</v>
      </c>
      <c r="F81" s="33">
        <v>899</v>
      </c>
      <c r="G81" s="33">
        <v>1049</v>
      </c>
      <c r="H81" s="33">
        <v>1199</v>
      </c>
      <c r="I81" s="33">
        <v>1349</v>
      </c>
      <c r="J81" s="33">
        <v>1499</v>
      </c>
      <c r="K81" s="33">
        <v>1649</v>
      </c>
      <c r="L81" s="33">
        <v>1749</v>
      </c>
      <c r="M81" s="33">
        <v>1849</v>
      </c>
      <c r="N81" s="33">
        <v>1949</v>
      </c>
      <c r="O81" s="32">
        <v>2900</v>
      </c>
      <c r="P81" s="32">
        <v>2950</v>
      </c>
    </row>
    <row r="82" spans="1:16" ht="23.25" hidden="1" customHeight="1">
      <c r="A82" s="33" t="s">
        <v>179</v>
      </c>
      <c r="B82" s="33">
        <v>60</v>
      </c>
      <c r="C82" s="33">
        <v>600</v>
      </c>
      <c r="D82" s="33">
        <v>700</v>
      </c>
      <c r="E82" s="33">
        <v>800</v>
      </c>
      <c r="F82" s="33">
        <v>900</v>
      </c>
      <c r="G82" s="33">
        <v>1050</v>
      </c>
      <c r="H82" s="33">
        <v>1200</v>
      </c>
      <c r="I82" s="33">
        <v>1350</v>
      </c>
      <c r="J82" s="33">
        <v>1500</v>
      </c>
      <c r="K82" s="33">
        <v>1650</v>
      </c>
      <c r="L82" s="33">
        <v>1750</v>
      </c>
      <c r="M82" s="33">
        <v>1850</v>
      </c>
      <c r="N82" s="33">
        <v>1950</v>
      </c>
    </row>
    <row r="83" spans="1:16" ht="23.25" hidden="1" customHeight="1">
      <c r="A83" s="33" t="s">
        <v>179</v>
      </c>
      <c r="B83" s="33">
        <v>60</v>
      </c>
      <c r="C83" s="33">
        <v>639</v>
      </c>
      <c r="D83" s="33">
        <v>749</v>
      </c>
      <c r="E83" s="33">
        <v>859</v>
      </c>
      <c r="F83" s="33">
        <v>969</v>
      </c>
      <c r="G83" s="33">
        <v>1129</v>
      </c>
      <c r="H83" s="33">
        <v>1289</v>
      </c>
      <c r="I83" s="33">
        <v>1449</v>
      </c>
      <c r="J83" s="33">
        <v>1599</v>
      </c>
      <c r="K83" s="33">
        <v>1749</v>
      </c>
      <c r="L83" s="33">
        <v>1849</v>
      </c>
      <c r="M83" s="33">
        <v>1949</v>
      </c>
      <c r="N83" s="33">
        <v>2049</v>
      </c>
      <c r="O83" s="32">
        <v>2800</v>
      </c>
      <c r="P83" s="32">
        <v>2850</v>
      </c>
    </row>
    <row r="84" spans="1:16" ht="23.25" hidden="1" customHeight="1">
      <c r="A84" s="33" t="s">
        <v>179</v>
      </c>
      <c r="B84" s="33">
        <v>62</v>
      </c>
      <c r="C84" s="33">
        <v>640</v>
      </c>
      <c r="D84" s="33">
        <v>750</v>
      </c>
      <c r="E84" s="33">
        <v>860</v>
      </c>
      <c r="F84" s="33">
        <v>970</v>
      </c>
      <c r="G84" s="33">
        <v>1130</v>
      </c>
      <c r="H84" s="33">
        <v>1290</v>
      </c>
      <c r="I84" s="33">
        <v>1450</v>
      </c>
      <c r="J84" s="33">
        <v>1600</v>
      </c>
      <c r="K84" s="33">
        <v>1750</v>
      </c>
      <c r="L84" s="33">
        <v>1850</v>
      </c>
      <c r="M84" s="33">
        <v>1950</v>
      </c>
      <c r="N84" s="33">
        <v>2050</v>
      </c>
    </row>
    <row r="85" spans="1:16" ht="23.25" hidden="1" customHeight="1">
      <c r="A85" s="33" t="s">
        <v>179</v>
      </c>
      <c r="B85" s="33">
        <v>62</v>
      </c>
      <c r="C85" s="33">
        <v>679</v>
      </c>
      <c r="D85" s="33">
        <v>799</v>
      </c>
      <c r="E85" s="33">
        <v>919</v>
      </c>
      <c r="F85" s="33">
        <v>1039</v>
      </c>
      <c r="G85" s="33">
        <v>1209</v>
      </c>
      <c r="H85" s="33">
        <v>1379</v>
      </c>
      <c r="I85" s="33">
        <v>1549</v>
      </c>
      <c r="J85" s="33">
        <v>1699</v>
      </c>
      <c r="K85" s="33">
        <v>1849</v>
      </c>
      <c r="L85" s="33">
        <v>1949</v>
      </c>
      <c r="M85" s="33">
        <v>2049</v>
      </c>
      <c r="N85" s="33">
        <v>2149</v>
      </c>
      <c r="O85" s="32">
        <v>2700</v>
      </c>
      <c r="P85" s="32">
        <v>2750</v>
      </c>
    </row>
    <row r="86" spans="1:16" ht="23.25" hidden="1" customHeight="1">
      <c r="A86" s="33" t="s">
        <v>179</v>
      </c>
      <c r="B86" s="33">
        <v>64</v>
      </c>
      <c r="C86" s="33">
        <v>680</v>
      </c>
      <c r="D86" s="33">
        <v>800</v>
      </c>
      <c r="E86" s="33">
        <v>920</v>
      </c>
      <c r="F86" s="33">
        <v>1040</v>
      </c>
      <c r="G86" s="33">
        <v>1210</v>
      </c>
      <c r="H86" s="33">
        <v>1380</v>
      </c>
      <c r="I86" s="33">
        <v>1550</v>
      </c>
      <c r="J86" s="33">
        <v>1700</v>
      </c>
      <c r="K86" s="33">
        <v>1850</v>
      </c>
      <c r="L86" s="33">
        <v>1950</v>
      </c>
      <c r="M86" s="33">
        <v>2050</v>
      </c>
      <c r="N86" s="33">
        <v>2150</v>
      </c>
    </row>
    <row r="87" spans="1:16" ht="23.25" hidden="1" customHeight="1">
      <c r="A87" s="33" t="s">
        <v>179</v>
      </c>
      <c r="B87" s="33">
        <v>64</v>
      </c>
      <c r="C87" s="33">
        <v>719</v>
      </c>
      <c r="D87" s="33">
        <v>849</v>
      </c>
      <c r="E87" s="33">
        <v>979</v>
      </c>
      <c r="F87" s="33">
        <v>1109</v>
      </c>
      <c r="G87" s="33">
        <v>1289</v>
      </c>
      <c r="H87" s="33">
        <v>1469</v>
      </c>
      <c r="I87" s="33">
        <v>1649</v>
      </c>
      <c r="J87" s="33">
        <v>1799</v>
      </c>
      <c r="K87" s="33">
        <v>1949</v>
      </c>
      <c r="L87" s="33">
        <v>2049</v>
      </c>
      <c r="M87" s="33">
        <v>2149</v>
      </c>
      <c r="N87" s="33">
        <v>2249</v>
      </c>
      <c r="O87" s="32">
        <v>2600</v>
      </c>
      <c r="P87" s="32">
        <v>2650</v>
      </c>
    </row>
    <row r="88" spans="1:16" ht="23.25" hidden="1" customHeight="1">
      <c r="A88" s="33" t="s">
        <v>179</v>
      </c>
      <c r="B88" s="33">
        <v>66</v>
      </c>
      <c r="C88" s="33">
        <v>720</v>
      </c>
      <c r="D88" s="33">
        <v>850</v>
      </c>
      <c r="E88" s="33">
        <v>980</v>
      </c>
      <c r="F88" s="33">
        <v>1110</v>
      </c>
      <c r="G88" s="33">
        <v>1290</v>
      </c>
      <c r="H88" s="33">
        <v>1470</v>
      </c>
      <c r="I88" s="33">
        <v>1650</v>
      </c>
      <c r="J88" s="33">
        <v>1800</v>
      </c>
      <c r="K88" s="33">
        <v>1950</v>
      </c>
      <c r="L88" s="33">
        <v>2050</v>
      </c>
      <c r="M88" s="33">
        <v>2150</v>
      </c>
      <c r="N88" s="33">
        <v>2250</v>
      </c>
    </row>
    <row r="89" spans="1:16" ht="23.25" hidden="1" customHeight="1">
      <c r="A89" s="33" t="s">
        <v>179</v>
      </c>
      <c r="B89" s="33">
        <v>66</v>
      </c>
      <c r="C89" s="33">
        <v>759</v>
      </c>
      <c r="D89" s="33">
        <v>899</v>
      </c>
      <c r="E89" s="33">
        <v>1039</v>
      </c>
      <c r="F89" s="33">
        <v>1179</v>
      </c>
      <c r="G89" s="33">
        <v>1369</v>
      </c>
      <c r="H89" s="33">
        <v>1559</v>
      </c>
      <c r="I89" s="33">
        <v>1749</v>
      </c>
      <c r="J89" s="33">
        <v>1899</v>
      </c>
      <c r="K89" s="33">
        <v>2049</v>
      </c>
      <c r="L89" s="33">
        <v>2149</v>
      </c>
      <c r="M89" s="33">
        <v>2249</v>
      </c>
      <c r="N89" s="33">
        <v>2349</v>
      </c>
      <c r="O89" s="32">
        <v>2500</v>
      </c>
      <c r="P89" s="32">
        <v>2550</v>
      </c>
    </row>
    <row r="90" spans="1:16" ht="23.25" hidden="1" customHeight="1">
      <c r="A90" s="33" t="s">
        <v>179</v>
      </c>
      <c r="B90" s="33">
        <v>68</v>
      </c>
      <c r="C90" s="33">
        <v>760</v>
      </c>
      <c r="D90" s="33">
        <v>900</v>
      </c>
      <c r="E90" s="33">
        <v>1040</v>
      </c>
      <c r="F90" s="33">
        <v>1180</v>
      </c>
      <c r="G90" s="33">
        <v>1370</v>
      </c>
      <c r="H90" s="33">
        <v>1560</v>
      </c>
      <c r="I90" s="33">
        <v>1750</v>
      </c>
      <c r="J90" s="33">
        <v>1900</v>
      </c>
      <c r="K90" s="33">
        <v>2050</v>
      </c>
      <c r="L90" s="33">
        <v>2150</v>
      </c>
      <c r="M90" s="33">
        <v>2250</v>
      </c>
      <c r="N90" s="33">
        <v>2350</v>
      </c>
    </row>
    <row r="91" spans="1:16" ht="23.25" hidden="1" customHeight="1">
      <c r="A91" s="33" t="s">
        <v>179</v>
      </c>
      <c r="B91" s="33">
        <v>68</v>
      </c>
      <c r="C91" s="33">
        <v>799</v>
      </c>
      <c r="D91" s="33">
        <v>949</v>
      </c>
      <c r="E91" s="33">
        <v>1099</v>
      </c>
      <c r="F91" s="33">
        <v>1249</v>
      </c>
      <c r="G91" s="33">
        <v>1449</v>
      </c>
      <c r="H91" s="33">
        <v>1649</v>
      </c>
      <c r="I91" s="33">
        <v>1849</v>
      </c>
      <c r="J91" s="33">
        <v>1999</v>
      </c>
      <c r="K91" s="33">
        <v>2149</v>
      </c>
      <c r="L91" s="33">
        <v>2249</v>
      </c>
      <c r="M91" s="33">
        <v>2349</v>
      </c>
      <c r="N91" s="33">
        <v>2449</v>
      </c>
      <c r="O91" s="32">
        <v>2400</v>
      </c>
      <c r="P91" s="32">
        <v>2450</v>
      </c>
    </row>
    <row r="92" spans="1:16" ht="23.25" hidden="1" customHeight="1">
      <c r="A92" s="33" t="s">
        <v>179</v>
      </c>
      <c r="B92" s="33">
        <v>70</v>
      </c>
      <c r="C92" s="33">
        <v>800</v>
      </c>
      <c r="D92" s="33">
        <v>950</v>
      </c>
      <c r="E92" s="33">
        <v>1100</v>
      </c>
      <c r="F92" s="33">
        <v>1250</v>
      </c>
      <c r="G92" s="33">
        <v>1450</v>
      </c>
      <c r="H92" s="33">
        <v>1650</v>
      </c>
      <c r="I92" s="33">
        <v>1850</v>
      </c>
      <c r="J92" s="33">
        <v>2000</v>
      </c>
      <c r="K92" s="33">
        <v>2150</v>
      </c>
      <c r="L92" s="33">
        <v>2250</v>
      </c>
      <c r="M92" s="33">
        <v>2350</v>
      </c>
      <c r="N92" s="33">
        <v>2450</v>
      </c>
    </row>
    <row r="93" spans="1:16" ht="23.25" hidden="1" customHeight="1">
      <c r="A93" s="33" t="s">
        <v>179</v>
      </c>
      <c r="B93" s="33">
        <v>70</v>
      </c>
      <c r="C93" s="33">
        <v>839</v>
      </c>
      <c r="D93" s="33">
        <v>999</v>
      </c>
      <c r="E93" s="33">
        <v>1159</v>
      </c>
      <c r="F93" s="33">
        <v>1319</v>
      </c>
      <c r="G93" s="33">
        <v>1529</v>
      </c>
      <c r="H93" s="33">
        <v>1739</v>
      </c>
      <c r="I93" s="33">
        <v>1949</v>
      </c>
      <c r="J93" s="33">
        <v>2099</v>
      </c>
      <c r="K93" s="33">
        <v>2249</v>
      </c>
      <c r="L93" s="33">
        <v>2349</v>
      </c>
      <c r="M93" s="33">
        <v>2439</v>
      </c>
      <c r="N93" s="33">
        <v>2549</v>
      </c>
      <c r="O93" s="32">
        <v>2300</v>
      </c>
      <c r="P93" s="32">
        <v>2350</v>
      </c>
    </row>
    <row r="94" spans="1:16" ht="23.25" hidden="1" customHeight="1">
      <c r="A94" s="33" t="s">
        <v>179</v>
      </c>
      <c r="B94" s="33">
        <v>72</v>
      </c>
      <c r="C94" s="33">
        <v>840</v>
      </c>
      <c r="D94" s="33">
        <v>1000</v>
      </c>
      <c r="E94" s="33">
        <v>1160</v>
      </c>
      <c r="F94" s="33">
        <v>1320</v>
      </c>
      <c r="G94" s="33">
        <v>1530</v>
      </c>
      <c r="H94" s="33">
        <v>1740</v>
      </c>
      <c r="I94" s="33">
        <v>1950</v>
      </c>
      <c r="J94" s="33">
        <v>2100</v>
      </c>
      <c r="K94" s="33">
        <v>2250</v>
      </c>
      <c r="L94" s="33">
        <v>2350</v>
      </c>
      <c r="M94" s="33">
        <v>2450</v>
      </c>
      <c r="N94" s="33">
        <v>2550</v>
      </c>
    </row>
    <row r="95" spans="1:16" ht="23.25" hidden="1" customHeight="1">
      <c r="A95" s="33" t="s">
        <v>179</v>
      </c>
      <c r="B95" s="33">
        <v>72</v>
      </c>
      <c r="C95" s="33">
        <v>879</v>
      </c>
      <c r="D95" s="33">
        <v>1049</v>
      </c>
      <c r="E95" s="33">
        <v>1219</v>
      </c>
      <c r="F95" s="33">
        <v>1389</v>
      </c>
      <c r="G95" s="33">
        <v>1609</v>
      </c>
      <c r="H95" s="33">
        <v>1829</v>
      </c>
      <c r="I95" s="33">
        <v>2049</v>
      </c>
      <c r="J95" s="33">
        <v>2199</v>
      </c>
      <c r="K95" s="33">
        <v>2349</v>
      </c>
      <c r="L95" s="33">
        <v>2449</v>
      </c>
      <c r="M95" s="33">
        <v>2549</v>
      </c>
      <c r="N95" s="33">
        <v>2649</v>
      </c>
      <c r="O95" s="32">
        <v>2200</v>
      </c>
      <c r="P95" s="32">
        <v>2250</v>
      </c>
    </row>
    <row r="96" spans="1:16" ht="23.25" hidden="1" customHeight="1">
      <c r="A96" s="33" t="s">
        <v>179</v>
      </c>
      <c r="B96" s="33">
        <v>74</v>
      </c>
      <c r="C96" s="33">
        <v>880</v>
      </c>
      <c r="D96" s="33">
        <v>1050</v>
      </c>
      <c r="E96" s="33">
        <v>1220</v>
      </c>
      <c r="F96" s="33">
        <v>1390</v>
      </c>
      <c r="G96" s="33">
        <v>1610</v>
      </c>
      <c r="H96" s="33">
        <v>1830</v>
      </c>
      <c r="I96" s="33">
        <v>2050</v>
      </c>
      <c r="J96" s="33">
        <v>2200</v>
      </c>
      <c r="K96" s="33">
        <v>2350</v>
      </c>
      <c r="L96" s="33">
        <v>2450</v>
      </c>
      <c r="M96" s="33">
        <v>2550</v>
      </c>
      <c r="N96" s="33">
        <v>2650</v>
      </c>
    </row>
    <row r="97" spans="1:16" ht="23.25" hidden="1" customHeight="1">
      <c r="A97" s="33" t="s">
        <v>179</v>
      </c>
      <c r="B97" s="33">
        <v>74</v>
      </c>
      <c r="C97" s="33">
        <v>919</v>
      </c>
      <c r="D97" s="33">
        <v>1099</v>
      </c>
      <c r="E97" s="33">
        <v>1279</v>
      </c>
      <c r="F97" s="33">
        <v>1459</v>
      </c>
      <c r="G97" s="33">
        <v>1689</v>
      </c>
      <c r="H97" s="33">
        <v>1919</v>
      </c>
      <c r="I97" s="33">
        <v>2149</v>
      </c>
      <c r="J97" s="33">
        <v>2299</v>
      </c>
      <c r="K97" s="33">
        <v>2449</v>
      </c>
      <c r="L97" s="33">
        <v>2549</v>
      </c>
      <c r="M97" s="33">
        <v>2649</v>
      </c>
      <c r="N97" s="33">
        <v>2749</v>
      </c>
      <c r="O97" s="32">
        <v>2100</v>
      </c>
      <c r="P97" s="32">
        <v>2150</v>
      </c>
    </row>
    <row r="98" spans="1:16" ht="23.25" hidden="1" customHeight="1">
      <c r="A98" s="33" t="s">
        <v>179</v>
      </c>
      <c r="B98" s="33">
        <v>76</v>
      </c>
      <c r="C98" s="33">
        <v>920</v>
      </c>
      <c r="D98" s="33">
        <v>1100</v>
      </c>
      <c r="E98" s="33">
        <v>1280</v>
      </c>
      <c r="F98" s="33">
        <v>1460</v>
      </c>
      <c r="G98" s="33">
        <v>1690</v>
      </c>
      <c r="H98" s="33">
        <v>1920</v>
      </c>
      <c r="I98" s="33">
        <v>2150</v>
      </c>
      <c r="J98" s="33">
        <v>2300</v>
      </c>
      <c r="K98" s="33">
        <v>2450</v>
      </c>
      <c r="L98" s="33">
        <v>2550</v>
      </c>
      <c r="M98" s="33">
        <v>2650</v>
      </c>
      <c r="N98" s="33">
        <v>2750</v>
      </c>
    </row>
    <row r="99" spans="1:16" ht="23.25" hidden="1" customHeight="1">
      <c r="A99" s="33" t="s">
        <v>179</v>
      </c>
      <c r="B99" s="33">
        <v>76</v>
      </c>
      <c r="C99" s="33">
        <v>959</v>
      </c>
      <c r="D99" s="33">
        <v>1149</v>
      </c>
      <c r="E99" s="33">
        <v>1449</v>
      </c>
      <c r="F99" s="33">
        <v>1529</v>
      </c>
      <c r="G99" s="33">
        <v>1769</v>
      </c>
      <c r="H99" s="33">
        <v>2009</v>
      </c>
      <c r="I99" s="33">
        <v>2249</v>
      </c>
      <c r="J99" s="33">
        <v>2399</v>
      </c>
      <c r="K99" s="33">
        <v>2549</v>
      </c>
      <c r="L99" s="33">
        <v>2649</v>
      </c>
      <c r="M99" s="33">
        <v>2749</v>
      </c>
      <c r="N99" s="33">
        <v>2849</v>
      </c>
      <c r="O99" s="32">
        <v>2000</v>
      </c>
      <c r="P99" s="32">
        <v>2050</v>
      </c>
    </row>
    <row r="100" spans="1:16" ht="23.25" hidden="1" customHeight="1">
      <c r="A100" s="33" t="s">
        <v>179</v>
      </c>
      <c r="B100" s="33">
        <v>78</v>
      </c>
      <c r="C100" s="33">
        <v>960</v>
      </c>
      <c r="D100" s="33">
        <v>1150</v>
      </c>
      <c r="E100" s="33">
        <v>1340</v>
      </c>
      <c r="F100" s="33">
        <v>1530</v>
      </c>
      <c r="G100" s="33">
        <v>1770</v>
      </c>
      <c r="H100" s="33">
        <v>2010</v>
      </c>
      <c r="I100" s="33">
        <v>2250</v>
      </c>
      <c r="J100" s="33">
        <v>2400</v>
      </c>
      <c r="K100" s="33">
        <v>2550</v>
      </c>
      <c r="L100" s="33">
        <v>2650</v>
      </c>
      <c r="M100" s="33">
        <v>2750</v>
      </c>
      <c r="N100" s="33">
        <v>2850</v>
      </c>
    </row>
    <row r="101" spans="1:16" ht="23.25" hidden="1" customHeight="1">
      <c r="A101" s="33" t="s">
        <v>179</v>
      </c>
      <c r="B101" s="33">
        <v>78</v>
      </c>
      <c r="C101" s="33">
        <v>999</v>
      </c>
      <c r="D101" s="33">
        <v>1199</v>
      </c>
      <c r="E101" s="33">
        <v>1399</v>
      </c>
      <c r="F101" s="33">
        <v>1599</v>
      </c>
      <c r="G101" s="33">
        <v>1849</v>
      </c>
      <c r="H101" s="33">
        <v>2099</v>
      </c>
      <c r="I101" s="33">
        <v>2349</v>
      </c>
      <c r="J101" s="33">
        <v>2499</v>
      </c>
      <c r="K101" s="33">
        <v>2649</v>
      </c>
      <c r="L101" s="33">
        <v>2749</v>
      </c>
      <c r="M101" s="33">
        <v>2849</v>
      </c>
      <c r="N101" s="33">
        <v>2949</v>
      </c>
      <c r="O101" s="32">
        <v>1960</v>
      </c>
      <c r="P101" s="32">
        <v>2010</v>
      </c>
    </row>
    <row r="102" spans="1:16" ht="23.25" hidden="1" customHeight="1">
      <c r="A102" s="33" t="s">
        <v>180</v>
      </c>
      <c r="B102" s="33">
        <v>80</v>
      </c>
      <c r="C102" s="33">
        <v>1000</v>
      </c>
      <c r="D102" s="33">
        <v>1200</v>
      </c>
      <c r="E102" s="33">
        <v>1400</v>
      </c>
      <c r="F102" s="33">
        <v>1600</v>
      </c>
      <c r="G102" s="33">
        <v>1850</v>
      </c>
      <c r="H102" s="33">
        <v>2100</v>
      </c>
      <c r="I102" s="33">
        <v>2350</v>
      </c>
      <c r="J102" s="33">
        <v>2500</v>
      </c>
      <c r="K102" s="33">
        <v>2650</v>
      </c>
      <c r="L102" s="33">
        <v>2750</v>
      </c>
      <c r="M102" s="33">
        <v>2850</v>
      </c>
      <c r="N102" s="33">
        <v>2950</v>
      </c>
    </row>
    <row r="103" spans="1:16" ht="23.25" hidden="1" customHeight="1">
      <c r="A103" s="33" t="s">
        <v>180</v>
      </c>
      <c r="B103" s="33">
        <v>80</v>
      </c>
      <c r="C103" s="33">
        <v>1099</v>
      </c>
      <c r="D103" s="33">
        <v>1299</v>
      </c>
      <c r="E103" s="33">
        <v>1499</v>
      </c>
      <c r="F103" s="33">
        <v>1699</v>
      </c>
      <c r="G103" s="33">
        <v>1949</v>
      </c>
      <c r="H103" s="33">
        <v>2199</v>
      </c>
      <c r="I103" s="33">
        <v>2449</v>
      </c>
      <c r="J103" s="33">
        <v>2649</v>
      </c>
      <c r="K103" s="33">
        <v>2799</v>
      </c>
      <c r="L103" s="33">
        <v>2899</v>
      </c>
      <c r="M103" s="33">
        <v>2999</v>
      </c>
      <c r="N103" s="33">
        <v>3099</v>
      </c>
      <c r="O103" s="32">
        <v>1920</v>
      </c>
      <c r="P103" s="32">
        <v>1970</v>
      </c>
    </row>
    <row r="104" spans="1:16" ht="23.25" hidden="1" customHeight="1">
      <c r="A104" s="33" t="s">
        <v>180</v>
      </c>
      <c r="B104" s="33">
        <v>85</v>
      </c>
      <c r="C104" s="33">
        <v>1100</v>
      </c>
      <c r="D104" s="33">
        <v>1300</v>
      </c>
      <c r="E104" s="33">
        <v>1500</v>
      </c>
      <c r="F104" s="33">
        <v>1700</v>
      </c>
      <c r="G104" s="33">
        <v>1950</v>
      </c>
      <c r="H104" s="33">
        <v>2200</v>
      </c>
      <c r="I104" s="33">
        <v>2450</v>
      </c>
      <c r="J104" s="33">
        <v>2650</v>
      </c>
      <c r="K104" s="33">
        <v>2800</v>
      </c>
      <c r="L104" s="33">
        <v>2900</v>
      </c>
      <c r="M104" s="33">
        <v>3000</v>
      </c>
      <c r="N104" s="33">
        <v>3100</v>
      </c>
    </row>
    <row r="105" spans="1:16" ht="23.25" hidden="1" customHeight="1">
      <c r="A105" s="33" t="s">
        <v>180</v>
      </c>
      <c r="B105" s="33">
        <v>85</v>
      </c>
      <c r="C105" s="33">
        <v>1199</v>
      </c>
      <c r="D105" s="33">
        <v>1399</v>
      </c>
      <c r="E105" s="33">
        <v>1599</v>
      </c>
      <c r="F105" s="33">
        <v>1799</v>
      </c>
      <c r="G105" s="33">
        <v>2049</v>
      </c>
      <c r="H105" s="33">
        <v>2299</v>
      </c>
      <c r="I105" s="33">
        <v>2549</v>
      </c>
      <c r="J105" s="33">
        <v>2799</v>
      </c>
      <c r="K105" s="33">
        <v>2949</v>
      </c>
      <c r="L105" s="33">
        <v>3049</v>
      </c>
      <c r="M105" s="33">
        <v>3149</v>
      </c>
      <c r="N105" s="33">
        <v>3249</v>
      </c>
      <c r="O105" s="32">
        <v>1880</v>
      </c>
      <c r="P105" s="32">
        <v>1930</v>
      </c>
    </row>
    <row r="106" spans="1:16" ht="23.25" hidden="1" customHeight="1">
      <c r="A106" s="33" t="s">
        <v>181</v>
      </c>
      <c r="B106" s="33">
        <v>90</v>
      </c>
      <c r="C106" s="33">
        <v>1200</v>
      </c>
      <c r="D106" s="33">
        <v>1400</v>
      </c>
      <c r="E106" s="33">
        <v>1600</v>
      </c>
      <c r="F106" s="33">
        <v>1800</v>
      </c>
      <c r="G106" s="33">
        <v>2050</v>
      </c>
      <c r="H106" s="33">
        <v>2300</v>
      </c>
      <c r="I106" s="33">
        <v>2550</v>
      </c>
      <c r="J106" s="33">
        <v>2800</v>
      </c>
      <c r="K106" s="33">
        <v>2950</v>
      </c>
      <c r="L106" s="33">
        <v>3050</v>
      </c>
      <c r="M106" s="33">
        <v>3150</v>
      </c>
      <c r="N106" s="33">
        <v>3250</v>
      </c>
    </row>
    <row r="107" spans="1:16" ht="23.25" hidden="1" customHeight="1">
      <c r="A107" s="33" t="s">
        <v>181</v>
      </c>
      <c r="B107" s="33">
        <v>90</v>
      </c>
      <c r="C107" s="33">
        <v>1299</v>
      </c>
      <c r="D107" s="33">
        <v>1499</v>
      </c>
      <c r="E107" s="33">
        <v>1600</v>
      </c>
      <c r="F107" s="33">
        <v>1899</v>
      </c>
      <c r="G107" s="33">
        <v>2149</v>
      </c>
      <c r="H107" s="33">
        <v>2399</v>
      </c>
      <c r="I107" s="33">
        <v>2649</v>
      </c>
      <c r="J107" s="33">
        <v>2849</v>
      </c>
      <c r="K107" s="33">
        <v>2999</v>
      </c>
      <c r="L107" s="33">
        <v>3099</v>
      </c>
      <c r="M107" s="33">
        <v>3199</v>
      </c>
      <c r="N107" s="33">
        <v>3299</v>
      </c>
      <c r="O107" s="32">
        <v>1840</v>
      </c>
      <c r="P107" s="32">
        <v>1890</v>
      </c>
    </row>
    <row r="108" spans="1:16" ht="23.25" hidden="1" customHeight="1">
      <c r="A108" s="33" t="s">
        <v>181</v>
      </c>
      <c r="B108" s="33">
        <v>95</v>
      </c>
      <c r="C108" s="33">
        <v>1300</v>
      </c>
      <c r="D108" s="33">
        <v>1500</v>
      </c>
      <c r="E108" s="33">
        <v>1700</v>
      </c>
      <c r="F108" s="33">
        <v>1900</v>
      </c>
      <c r="G108" s="33">
        <v>2150</v>
      </c>
      <c r="H108" s="33">
        <v>2400</v>
      </c>
      <c r="I108" s="33">
        <v>2650</v>
      </c>
      <c r="J108" s="33">
        <v>2850</v>
      </c>
      <c r="K108" s="33">
        <v>3000</v>
      </c>
      <c r="L108" s="33">
        <v>3100</v>
      </c>
      <c r="M108" s="33">
        <v>3200</v>
      </c>
      <c r="N108" s="33">
        <v>3300</v>
      </c>
    </row>
    <row r="109" spans="1:16" ht="23.25" hidden="1" customHeight="1">
      <c r="A109" s="33" t="s">
        <v>181</v>
      </c>
      <c r="B109" s="33">
        <v>95</v>
      </c>
      <c r="C109" s="33">
        <v>1399</v>
      </c>
      <c r="D109" s="33">
        <v>1599</v>
      </c>
      <c r="E109" s="33">
        <v>1799</v>
      </c>
      <c r="F109" s="33">
        <v>1999</v>
      </c>
      <c r="G109" s="33">
        <v>2249</v>
      </c>
      <c r="H109" s="33">
        <v>2499</v>
      </c>
      <c r="I109" s="33">
        <v>2749</v>
      </c>
      <c r="J109" s="33">
        <v>2899</v>
      </c>
      <c r="K109" s="33">
        <v>3049</v>
      </c>
      <c r="L109" s="33">
        <v>3149</v>
      </c>
      <c r="M109" s="33">
        <v>3249</v>
      </c>
      <c r="N109" s="33">
        <v>3349</v>
      </c>
      <c r="O109" s="32">
        <v>1800</v>
      </c>
      <c r="P109" s="32">
        <v>1850</v>
      </c>
    </row>
    <row r="110" spans="1:16" ht="23.25" hidden="1" customHeight="1">
      <c r="A110" s="33" t="s">
        <v>181</v>
      </c>
      <c r="B110" s="33">
        <v>100</v>
      </c>
      <c r="C110" s="33">
        <v>1400</v>
      </c>
      <c r="D110" s="33">
        <v>1600</v>
      </c>
      <c r="E110" s="33">
        <v>1800</v>
      </c>
      <c r="F110" s="33">
        <v>2000</v>
      </c>
      <c r="G110" s="33">
        <v>2250</v>
      </c>
      <c r="H110" s="33">
        <v>2500</v>
      </c>
      <c r="I110" s="33">
        <v>2750</v>
      </c>
      <c r="J110" s="33">
        <v>2900</v>
      </c>
      <c r="K110" s="33">
        <v>3050</v>
      </c>
      <c r="L110" s="33">
        <v>3150</v>
      </c>
      <c r="M110" s="33">
        <v>3250</v>
      </c>
      <c r="N110" s="33">
        <v>3350</v>
      </c>
    </row>
    <row r="111" spans="1:16" ht="23.25" hidden="1" customHeight="1">
      <c r="A111" s="33" t="s">
        <v>181</v>
      </c>
      <c r="B111" s="33">
        <v>100</v>
      </c>
      <c r="C111" s="33">
        <v>6000</v>
      </c>
      <c r="D111" s="33">
        <v>6000</v>
      </c>
      <c r="E111" s="33">
        <v>6000</v>
      </c>
      <c r="F111" s="33">
        <v>6000</v>
      </c>
      <c r="G111" s="33">
        <v>6000</v>
      </c>
      <c r="H111" s="33">
        <v>6000</v>
      </c>
      <c r="I111" s="33">
        <v>6000</v>
      </c>
      <c r="J111" s="33">
        <v>6000</v>
      </c>
      <c r="K111" s="33">
        <v>6000</v>
      </c>
      <c r="L111" s="33">
        <v>6000</v>
      </c>
      <c r="M111" s="33">
        <v>6000</v>
      </c>
      <c r="N111" s="33">
        <v>6000</v>
      </c>
    </row>
    <row r="112" spans="1:16" ht="23.25" hidden="1" customHeight="1">
      <c r="A112" s="37" t="s">
        <v>245</v>
      </c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</row>
    <row r="113" spans="1:16" ht="23.25" hidden="1" customHeight="1">
      <c r="A113" s="37" t="s">
        <v>163</v>
      </c>
      <c r="B113" s="32" t="s">
        <v>164</v>
      </c>
      <c r="C113" s="37" t="s">
        <v>165</v>
      </c>
      <c r="D113" s="37" t="s">
        <v>166</v>
      </c>
      <c r="E113" s="37" t="s">
        <v>167</v>
      </c>
      <c r="F113" s="37" t="s">
        <v>168</v>
      </c>
      <c r="G113" s="37" t="s">
        <v>169</v>
      </c>
      <c r="H113" s="37" t="s">
        <v>170</v>
      </c>
      <c r="I113" s="37" t="s">
        <v>171</v>
      </c>
      <c r="J113" s="37" t="s">
        <v>172</v>
      </c>
      <c r="K113" s="37" t="s">
        <v>173</v>
      </c>
      <c r="L113" s="37" t="s">
        <v>174</v>
      </c>
      <c r="M113" s="37" t="s">
        <v>175</v>
      </c>
      <c r="N113" s="37" t="s">
        <v>176</v>
      </c>
      <c r="O113" s="32" t="s">
        <v>240</v>
      </c>
      <c r="P113" s="32" t="s">
        <v>241</v>
      </c>
    </row>
    <row r="114" spans="1:16" ht="23.25" hidden="1" customHeight="1">
      <c r="A114" s="37"/>
      <c r="B114" s="32" t="s">
        <v>177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2" t="s">
        <v>242</v>
      </c>
      <c r="P114" s="32" t="s">
        <v>243</v>
      </c>
    </row>
    <row r="115" spans="1:16" ht="23.25" hidden="1" customHeight="1">
      <c r="A115" s="32" t="s">
        <v>181</v>
      </c>
      <c r="B115" s="32">
        <v>100</v>
      </c>
      <c r="C115" s="32">
        <v>5</v>
      </c>
      <c r="D115" s="32">
        <v>5</v>
      </c>
      <c r="E115" s="32">
        <v>5</v>
      </c>
      <c r="F115" s="32">
        <v>5</v>
      </c>
      <c r="G115" s="32">
        <v>5</v>
      </c>
      <c r="H115" s="32">
        <v>5</v>
      </c>
      <c r="I115" s="32">
        <v>5</v>
      </c>
      <c r="J115" s="32">
        <v>5</v>
      </c>
      <c r="K115" s="32">
        <v>5</v>
      </c>
      <c r="L115" s="32">
        <v>5</v>
      </c>
      <c r="M115" s="32">
        <v>5</v>
      </c>
      <c r="N115" s="32">
        <v>5</v>
      </c>
    </row>
    <row r="116" spans="1:16" ht="23.25" hidden="1" customHeight="1">
      <c r="A116" s="32" t="s">
        <v>181</v>
      </c>
      <c r="B116" s="32">
        <v>100</v>
      </c>
      <c r="C116" s="32">
        <v>10.199999999999999</v>
      </c>
      <c r="D116" s="32">
        <v>9.6</v>
      </c>
      <c r="E116" s="32">
        <v>9.1</v>
      </c>
      <c r="F116" s="32">
        <v>8.6999999999999993</v>
      </c>
      <c r="G116" s="32">
        <v>8.4</v>
      </c>
      <c r="H116" s="32">
        <v>8.1999999999999993</v>
      </c>
      <c r="I116" s="32">
        <v>7.8</v>
      </c>
      <c r="J116" s="32">
        <v>7.5</v>
      </c>
      <c r="K116" s="32">
        <v>7.3</v>
      </c>
      <c r="L116" s="32">
        <v>7.1</v>
      </c>
      <c r="M116" s="32">
        <v>7</v>
      </c>
      <c r="N116" s="32">
        <v>6.8</v>
      </c>
      <c r="O116" s="32">
        <v>6.7</v>
      </c>
      <c r="P116" s="32">
        <v>6.6</v>
      </c>
    </row>
    <row r="117" spans="1:16" ht="23.25" hidden="1" customHeight="1">
      <c r="A117" s="32" t="s">
        <v>181</v>
      </c>
      <c r="B117" s="32">
        <v>95</v>
      </c>
      <c r="C117" s="32">
        <v>10.210000000000001</v>
      </c>
      <c r="D117" s="32">
        <v>9.61</v>
      </c>
      <c r="E117" s="32">
        <v>9.11</v>
      </c>
      <c r="F117" s="32">
        <v>8.7100000000000009</v>
      </c>
      <c r="G117" s="32">
        <v>8.41</v>
      </c>
      <c r="H117" s="32">
        <v>8.2100000000000009</v>
      </c>
      <c r="I117" s="32">
        <v>7.81</v>
      </c>
      <c r="J117" s="32">
        <v>7.51</v>
      </c>
      <c r="K117" s="32">
        <v>7.31</v>
      </c>
      <c r="L117" s="32">
        <v>7.11</v>
      </c>
      <c r="M117" s="32">
        <v>7.01</v>
      </c>
      <c r="N117" s="32">
        <v>6.81</v>
      </c>
    </row>
    <row r="118" spans="1:16" ht="23.25" hidden="1" customHeight="1">
      <c r="A118" s="32" t="s">
        <v>181</v>
      </c>
      <c r="B118" s="32">
        <v>95</v>
      </c>
      <c r="C118" s="32">
        <v>10.3</v>
      </c>
      <c r="D118" s="32">
        <v>9.6999999999999993</v>
      </c>
      <c r="E118" s="32">
        <v>9.1999999999999993</v>
      </c>
      <c r="F118" s="32">
        <v>8.8000000000000007</v>
      </c>
      <c r="G118" s="32">
        <v>8.5</v>
      </c>
      <c r="H118" s="32">
        <v>8.3000000000000007</v>
      </c>
      <c r="I118" s="32">
        <v>7.9</v>
      </c>
      <c r="J118" s="32">
        <v>7.6</v>
      </c>
      <c r="K118" s="32">
        <v>7.4</v>
      </c>
      <c r="L118" s="32">
        <v>7.2</v>
      </c>
      <c r="M118" s="32">
        <v>7.1</v>
      </c>
      <c r="N118" s="32">
        <v>6.9</v>
      </c>
      <c r="O118" s="32">
        <v>6.8</v>
      </c>
      <c r="P118" s="32">
        <v>6.7</v>
      </c>
    </row>
    <row r="119" spans="1:16" ht="23.25" hidden="1" customHeight="1">
      <c r="A119" s="32" t="s">
        <v>181</v>
      </c>
      <c r="B119" s="32">
        <v>90</v>
      </c>
      <c r="C119" s="32">
        <v>10.31</v>
      </c>
      <c r="D119" s="32">
        <v>9.7100000000000009</v>
      </c>
      <c r="E119" s="32" t="s">
        <v>246</v>
      </c>
      <c r="F119" s="32">
        <v>8.81</v>
      </c>
      <c r="G119" s="32">
        <v>8.51</v>
      </c>
      <c r="H119" s="32">
        <v>8.31</v>
      </c>
      <c r="I119" s="32">
        <v>7.91</v>
      </c>
      <c r="J119" s="32">
        <v>7.61</v>
      </c>
      <c r="K119" s="32">
        <v>7.41</v>
      </c>
      <c r="L119" s="32">
        <v>7.21</v>
      </c>
      <c r="M119" s="32">
        <v>7.11</v>
      </c>
      <c r="N119" s="32">
        <v>6.91</v>
      </c>
    </row>
    <row r="120" spans="1:16" ht="23.25" hidden="1" customHeight="1">
      <c r="A120" s="32" t="s">
        <v>181</v>
      </c>
      <c r="B120" s="32">
        <v>90</v>
      </c>
      <c r="C120" s="32">
        <v>10.4</v>
      </c>
      <c r="D120" s="32">
        <v>9.8000000000000007</v>
      </c>
      <c r="E120" s="32">
        <v>9.3000000000000007</v>
      </c>
      <c r="F120" s="32">
        <v>8.9</v>
      </c>
      <c r="G120" s="32">
        <v>8.6</v>
      </c>
      <c r="H120" s="32">
        <v>8.4</v>
      </c>
      <c r="I120" s="32">
        <v>8</v>
      </c>
      <c r="J120" s="32">
        <v>7.7</v>
      </c>
      <c r="K120" s="32">
        <v>7.5</v>
      </c>
      <c r="L120" s="32">
        <v>7.3</v>
      </c>
      <c r="M120" s="32">
        <v>7.2</v>
      </c>
      <c r="N120" s="32">
        <v>7</v>
      </c>
      <c r="O120" s="32">
        <v>6.9</v>
      </c>
      <c r="P120" s="32">
        <v>6.8</v>
      </c>
    </row>
    <row r="121" spans="1:16" ht="23.25" hidden="1" customHeight="1">
      <c r="A121" s="32" t="s">
        <v>180</v>
      </c>
      <c r="B121" s="32">
        <v>85</v>
      </c>
      <c r="C121" s="32">
        <v>10.41</v>
      </c>
      <c r="D121" s="32">
        <v>9.81</v>
      </c>
      <c r="E121" s="32">
        <v>9.31</v>
      </c>
      <c r="F121" s="32">
        <v>8.91</v>
      </c>
      <c r="G121" s="32">
        <v>8.61</v>
      </c>
      <c r="H121" s="32">
        <v>8.41</v>
      </c>
      <c r="I121" s="32">
        <v>8.01</v>
      </c>
      <c r="J121" s="32">
        <v>7.71</v>
      </c>
      <c r="K121" s="32">
        <v>7.51</v>
      </c>
      <c r="L121" s="32">
        <v>7.31</v>
      </c>
      <c r="M121" s="32">
        <v>7.21</v>
      </c>
      <c r="N121" s="32">
        <v>7.01</v>
      </c>
    </row>
    <row r="122" spans="1:16" ht="23.25" hidden="1" customHeight="1">
      <c r="A122" s="32" t="s">
        <v>180</v>
      </c>
      <c r="B122" s="32">
        <v>85</v>
      </c>
      <c r="C122" s="32">
        <v>10.5</v>
      </c>
      <c r="D122" s="32">
        <v>9.9</v>
      </c>
      <c r="E122" s="32">
        <v>9.4</v>
      </c>
      <c r="F122" s="32">
        <v>9</v>
      </c>
      <c r="G122" s="32">
        <v>8.6999999999999993</v>
      </c>
      <c r="H122" s="32">
        <v>8.5</v>
      </c>
      <c r="I122" s="32">
        <v>8.1</v>
      </c>
      <c r="J122" s="32">
        <v>7.8</v>
      </c>
      <c r="K122" s="32">
        <v>7.6</v>
      </c>
      <c r="L122" s="32">
        <v>7.4</v>
      </c>
      <c r="M122" s="32">
        <v>7.3</v>
      </c>
      <c r="N122" s="32">
        <v>7.1</v>
      </c>
      <c r="O122" s="32">
        <v>7</v>
      </c>
      <c r="P122" s="32">
        <v>6.9</v>
      </c>
    </row>
    <row r="123" spans="1:16" ht="23.25" hidden="1" customHeight="1">
      <c r="A123" s="32" t="s">
        <v>180</v>
      </c>
      <c r="B123" s="32">
        <v>80</v>
      </c>
      <c r="C123" s="32">
        <v>10.51</v>
      </c>
      <c r="D123" s="32">
        <v>9.91</v>
      </c>
      <c r="E123" s="32">
        <v>9.41</v>
      </c>
      <c r="F123" s="32">
        <v>9.01</v>
      </c>
      <c r="G123" s="32">
        <v>8.7100000000000009</v>
      </c>
      <c r="H123" s="32">
        <v>8.51</v>
      </c>
      <c r="I123" s="32">
        <v>8.11</v>
      </c>
      <c r="J123" s="32">
        <v>7.81</v>
      </c>
      <c r="K123" s="32">
        <v>7.61</v>
      </c>
      <c r="L123" s="32">
        <v>7.41</v>
      </c>
      <c r="M123" s="32">
        <v>7.31</v>
      </c>
      <c r="N123" s="32">
        <v>7.11</v>
      </c>
    </row>
    <row r="124" spans="1:16" ht="23.25" hidden="1" customHeight="1">
      <c r="A124" s="32" t="s">
        <v>180</v>
      </c>
      <c r="B124" s="32">
        <v>80</v>
      </c>
      <c r="C124" s="32">
        <v>10.6</v>
      </c>
      <c r="D124" s="32">
        <v>10</v>
      </c>
      <c r="E124" s="32">
        <v>9.5</v>
      </c>
      <c r="F124" s="32">
        <v>9.1</v>
      </c>
      <c r="G124" s="32">
        <v>8.8000000000000007</v>
      </c>
      <c r="H124" s="32">
        <v>8.6</v>
      </c>
      <c r="I124" s="32">
        <v>8.1999999999999993</v>
      </c>
      <c r="J124" s="32">
        <v>7.9</v>
      </c>
      <c r="K124" s="32">
        <v>7.7</v>
      </c>
      <c r="L124" s="32">
        <v>7.5</v>
      </c>
      <c r="M124" s="32">
        <v>7.4</v>
      </c>
      <c r="N124" s="32">
        <v>7.2</v>
      </c>
      <c r="O124" s="32">
        <v>7.1</v>
      </c>
      <c r="P124" s="32">
        <v>7</v>
      </c>
    </row>
    <row r="125" spans="1:16" ht="23.25" hidden="1" customHeight="1">
      <c r="A125" s="32" t="s">
        <v>179</v>
      </c>
      <c r="B125" s="32">
        <v>78</v>
      </c>
      <c r="C125" s="32">
        <v>10.61</v>
      </c>
      <c r="D125" s="32">
        <v>10.01</v>
      </c>
      <c r="E125" s="32">
        <v>9.51</v>
      </c>
      <c r="F125" s="32">
        <v>9.11</v>
      </c>
      <c r="G125" s="32">
        <v>8.81</v>
      </c>
      <c r="H125" s="32">
        <v>8.61</v>
      </c>
      <c r="I125" s="32">
        <v>8.2100000000000009</v>
      </c>
      <c r="J125" s="32">
        <v>7.91</v>
      </c>
      <c r="K125" s="32">
        <v>7.71</v>
      </c>
      <c r="L125" s="32">
        <v>7.51</v>
      </c>
      <c r="M125" s="32">
        <v>7.41</v>
      </c>
      <c r="N125" s="32">
        <v>7.21</v>
      </c>
    </row>
    <row r="126" spans="1:16" ht="23.25" hidden="1" customHeight="1">
      <c r="A126" s="32" t="s">
        <v>179</v>
      </c>
      <c r="B126" s="32">
        <v>78</v>
      </c>
      <c r="C126" s="32">
        <v>10.8</v>
      </c>
      <c r="D126" s="32">
        <v>10.199999999999999</v>
      </c>
      <c r="E126" s="32">
        <v>9.6999999999999993</v>
      </c>
      <c r="F126" s="32">
        <v>9.3000000000000007</v>
      </c>
      <c r="G126" s="32">
        <v>9</v>
      </c>
      <c r="H126" s="32">
        <v>8.8000000000000007</v>
      </c>
      <c r="I126" s="32">
        <v>8.4</v>
      </c>
      <c r="J126" s="32">
        <v>8.1</v>
      </c>
      <c r="K126" s="32">
        <v>7.9</v>
      </c>
      <c r="L126" s="32">
        <v>7.7</v>
      </c>
      <c r="M126" s="32">
        <v>7.6</v>
      </c>
      <c r="N126" s="32">
        <v>7.4</v>
      </c>
      <c r="O126" s="32">
        <v>7.3</v>
      </c>
      <c r="P126" s="32">
        <v>7.2</v>
      </c>
    </row>
    <row r="127" spans="1:16" ht="23.25" hidden="1" customHeight="1">
      <c r="A127" s="32" t="s">
        <v>179</v>
      </c>
      <c r="B127" s="32">
        <v>76</v>
      </c>
      <c r="C127" s="32">
        <v>10.81</v>
      </c>
      <c r="D127" s="32">
        <v>10.210000000000001</v>
      </c>
      <c r="E127" s="32">
        <v>9.7100000000000009</v>
      </c>
      <c r="F127" s="32">
        <v>9.31</v>
      </c>
      <c r="G127" s="32">
        <v>9.01</v>
      </c>
      <c r="H127" s="32">
        <v>8.81</v>
      </c>
      <c r="I127" s="32">
        <v>8.41</v>
      </c>
      <c r="J127" s="32">
        <v>8.11</v>
      </c>
      <c r="K127" s="32">
        <v>7.91</v>
      </c>
      <c r="L127" s="32">
        <v>7.71</v>
      </c>
      <c r="M127" s="32">
        <v>7.61</v>
      </c>
      <c r="N127" s="32">
        <v>7.41</v>
      </c>
    </row>
    <row r="128" spans="1:16" ht="23.25" hidden="1" customHeight="1">
      <c r="A128" s="32" t="s">
        <v>179</v>
      </c>
      <c r="B128" s="32">
        <v>76</v>
      </c>
      <c r="C128" s="32">
        <v>11</v>
      </c>
      <c r="D128" s="32">
        <v>10.4</v>
      </c>
      <c r="E128" s="32">
        <v>9.9</v>
      </c>
      <c r="F128" s="32">
        <v>9.5</v>
      </c>
      <c r="G128" s="32">
        <v>9.1999999999999993</v>
      </c>
      <c r="H128" s="32">
        <v>9</v>
      </c>
      <c r="I128" s="32">
        <v>8.6</v>
      </c>
      <c r="J128" s="32">
        <v>8.3000000000000007</v>
      </c>
      <c r="K128" s="32">
        <v>8.1</v>
      </c>
      <c r="L128" s="32">
        <v>7.9</v>
      </c>
      <c r="M128" s="32">
        <v>7.8</v>
      </c>
      <c r="N128" s="32">
        <v>7.6</v>
      </c>
      <c r="O128" s="32">
        <v>7.5</v>
      </c>
      <c r="P128" s="32">
        <v>7.4</v>
      </c>
    </row>
    <row r="129" spans="1:16" ht="23.25" hidden="1" customHeight="1">
      <c r="A129" s="32" t="s">
        <v>179</v>
      </c>
      <c r="B129" s="32">
        <v>74</v>
      </c>
      <c r="C129" s="32">
        <v>11.01</v>
      </c>
      <c r="D129" s="32">
        <v>10.41</v>
      </c>
      <c r="E129" s="32">
        <v>9.91</v>
      </c>
      <c r="F129" s="32">
        <v>9.51</v>
      </c>
      <c r="G129" s="32">
        <v>9.2100000000000009</v>
      </c>
      <c r="H129" s="32">
        <v>9.01</v>
      </c>
      <c r="I129" s="32">
        <v>8.61</v>
      </c>
      <c r="J129" s="32">
        <v>8.31</v>
      </c>
      <c r="K129" s="32">
        <v>8.11</v>
      </c>
      <c r="L129" s="32">
        <v>7.91</v>
      </c>
      <c r="M129" s="32">
        <v>7.81</v>
      </c>
      <c r="N129" s="32">
        <v>7.61</v>
      </c>
    </row>
    <row r="130" spans="1:16" ht="23.25" hidden="1" customHeight="1">
      <c r="A130" s="32" t="s">
        <v>179</v>
      </c>
      <c r="B130" s="32">
        <v>74</v>
      </c>
      <c r="C130" s="32">
        <v>11.2</v>
      </c>
      <c r="D130" s="32">
        <v>10.6</v>
      </c>
      <c r="E130" s="32">
        <v>10.1</v>
      </c>
      <c r="F130" s="32">
        <v>9.6999999999999993</v>
      </c>
      <c r="G130" s="32">
        <v>9.4</v>
      </c>
      <c r="H130" s="32">
        <v>9.1999999999999993</v>
      </c>
      <c r="I130" s="32">
        <v>8.8000000000000007</v>
      </c>
      <c r="J130" s="32">
        <v>8.5</v>
      </c>
      <c r="K130" s="32">
        <v>8.3000000000000007</v>
      </c>
      <c r="L130" s="32">
        <v>8.1</v>
      </c>
      <c r="M130" s="32">
        <v>8</v>
      </c>
      <c r="N130" s="32">
        <v>7.8</v>
      </c>
      <c r="O130" s="32">
        <v>7.7</v>
      </c>
      <c r="P130" s="32">
        <v>7.6</v>
      </c>
    </row>
    <row r="131" spans="1:16" ht="23.25" hidden="1" customHeight="1">
      <c r="A131" s="32" t="s">
        <v>179</v>
      </c>
      <c r="B131" s="32">
        <v>72</v>
      </c>
      <c r="C131" s="32">
        <v>11.21</v>
      </c>
      <c r="D131" s="32">
        <v>10.61</v>
      </c>
      <c r="E131" s="32">
        <v>10.11</v>
      </c>
      <c r="F131" s="32">
        <v>9.7100000000000009</v>
      </c>
      <c r="G131" s="32">
        <v>9.41</v>
      </c>
      <c r="H131" s="32">
        <v>9.2100000000000009</v>
      </c>
      <c r="I131" s="32">
        <v>8.81</v>
      </c>
      <c r="J131" s="32">
        <v>8.51</v>
      </c>
      <c r="K131" s="32">
        <v>8.31</v>
      </c>
      <c r="L131" s="32">
        <v>8.11</v>
      </c>
      <c r="M131" s="32">
        <v>8.01</v>
      </c>
      <c r="N131" s="32">
        <v>7.81</v>
      </c>
    </row>
    <row r="132" spans="1:16" ht="23.25" hidden="1" customHeight="1">
      <c r="A132" s="32" t="s">
        <v>179</v>
      </c>
      <c r="B132" s="32">
        <v>72</v>
      </c>
      <c r="C132" s="32">
        <v>11.4</v>
      </c>
      <c r="D132" s="32">
        <v>10.8</v>
      </c>
      <c r="E132" s="32">
        <v>10.3</v>
      </c>
      <c r="F132" s="32">
        <v>9.9</v>
      </c>
      <c r="G132" s="32">
        <v>9.6</v>
      </c>
      <c r="H132" s="32">
        <v>9.4</v>
      </c>
      <c r="I132" s="32">
        <v>9</v>
      </c>
      <c r="J132" s="32">
        <v>8.6999999999999993</v>
      </c>
      <c r="K132" s="32">
        <v>8.5</v>
      </c>
      <c r="L132" s="32">
        <v>8.3000000000000007</v>
      </c>
      <c r="M132" s="32">
        <v>8.1999999999999993</v>
      </c>
      <c r="N132" s="32">
        <v>8</v>
      </c>
      <c r="O132" s="32">
        <v>7.9</v>
      </c>
      <c r="P132" s="32">
        <v>7.8</v>
      </c>
    </row>
    <row r="133" spans="1:16" ht="23.25" hidden="1" customHeight="1">
      <c r="A133" s="32" t="s">
        <v>179</v>
      </c>
      <c r="B133" s="32">
        <v>70</v>
      </c>
      <c r="C133" s="32">
        <v>11.41</v>
      </c>
      <c r="D133" s="32">
        <v>10.81</v>
      </c>
      <c r="E133" s="32">
        <v>10.31</v>
      </c>
      <c r="F133" s="32">
        <v>9.91</v>
      </c>
      <c r="G133" s="32">
        <v>9.61</v>
      </c>
      <c r="H133" s="32">
        <v>9.41</v>
      </c>
      <c r="I133" s="32">
        <v>9.01</v>
      </c>
      <c r="J133" s="32">
        <v>8.7100000000000009</v>
      </c>
      <c r="K133" s="32">
        <v>8.51</v>
      </c>
      <c r="L133" s="32">
        <v>8.31</v>
      </c>
      <c r="M133" s="32">
        <v>8.2100000000000009</v>
      </c>
      <c r="N133" s="32">
        <v>8.01</v>
      </c>
    </row>
    <row r="134" spans="1:16" ht="23.25" hidden="1" customHeight="1">
      <c r="A134" s="32" t="s">
        <v>179</v>
      </c>
      <c r="B134" s="32">
        <v>70</v>
      </c>
      <c r="C134" s="32">
        <v>11.6</v>
      </c>
      <c r="D134" s="32">
        <v>11</v>
      </c>
      <c r="E134" s="32">
        <v>10.5</v>
      </c>
      <c r="F134" s="32">
        <v>10.1</v>
      </c>
      <c r="G134" s="32">
        <v>9.8000000000000007</v>
      </c>
      <c r="H134" s="32">
        <v>9.6</v>
      </c>
      <c r="I134" s="32">
        <v>9.1999999999999993</v>
      </c>
      <c r="J134" s="32">
        <v>8.9</v>
      </c>
      <c r="K134" s="32">
        <v>8.6999999999999993</v>
      </c>
      <c r="L134" s="32">
        <v>8.5</v>
      </c>
      <c r="M134" s="32">
        <v>8.4</v>
      </c>
      <c r="N134" s="32">
        <v>8.1999999999999993</v>
      </c>
      <c r="O134" s="32">
        <v>8.1</v>
      </c>
      <c r="P134" s="32">
        <v>8</v>
      </c>
    </row>
    <row r="135" spans="1:16" ht="23.25" hidden="1" customHeight="1">
      <c r="A135" s="32" t="s">
        <v>179</v>
      </c>
      <c r="B135" s="32">
        <v>68</v>
      </c>
      <c r="C135" s="32">
        <v>11.61</v>
      </c>
      <c r="D135" s="32">
        <v>11.01</v>
      </c>
      <c r="E135" s="32">
        <v>10.51</v>
      </c>
      <c r="F135" s="32">
        <v>10.11</v>
      </c>
      <c r="G135" s="32">
        <v>9.81</v>
      </c>
      <c r="H135" s="32">
        <v>9.61</v>
      </c>
      <c r="I135" s="32">
        <v>9.2100000000000009</v>
      </c>
      <c r="J135" s="32">
        <v>8.91</v>
      </c>
      <c r="K135" s="32">
        <v>8.7100000000000009</v>
      </c>
      <c r="L135" s="32">
        <v>8.51</v>
      </c>
      <c r="M135" s="32">
        <v>8.41</v>
      </c>
      <c r="N135" s="32">
        <v>8.2100000000000009</v>
      </c>
    </row>
    <row r="136" spans="1:16" ht="23.25" hidden="1" customHeight="1">
      <c r="A136" s="32" t="s">
        <v>179</v>
      </c>
      <c r="B136" s="32">
        <v>68</v>
      </c>
      <c r="C136" s="32">
        <v>11.8</v>
      </c>
      <c r="D136" s="32">
        <v>11.2</v>
      </c>
      <c r="E136" s="32">
        <v>10.7</v>
      </c>
      <c r="F136" s="32">
        <v>10.3</v>
      </c>
      <c r="G136" s="32">
        <v>10</v>
      </c>
      <c r="H136" s="32">
        <v>9.8000000000000007</v>
      </c>
      <c r="I136" s="32">
        <v>9.4</v>
      </c>
      <c r="J136" s="32">
        <v>9.1</v>
      </c>
      <c r="K136" s="32">
        <v>8.9</v>
      </c>
      <c r="L136" s="32">
        <v>8.6999999999999993</v>
      </c>
      <c r="M136" s="32">
        <v>8.6</v>
      </c>
      <c r="N136" s="32">
        <v>8.4</v>
      </c>
      <c r="O136" s="32">
        <v>8.3000000000000007</v>
      </c>
      <c r="P136" s="32">
        <v>8.1999999999999993</v>
      </c>
    </row>
    <row r="137" spans="1:16" ht="23.25" hidden="1" customHeight="1">
      <c r="A137" s="32" t="s">
        <v>179</v>
      </c>
      <c r="B137" s="32">
        <v>66</v>
      </c>
      <c r="C137" s="32">
        <v>11.81</v>
      </c>
      <c r="D137" s="32">
        <v>11.21</v>
      </c>
      <c r="E137" s="32">
        <v>10.71</v>
      </c>
      <c r="F137" s="32">
        <v>10.31</v>
      </c>
      <c r="G137" s="32">
        <v>10.01</v>
      </c>
      <c r="H137" s="32">
        <v>9.81</v>
      </c>
      <c r="I137" s="32">
        <v>9.41</v>
      </c>
      <c r="J137" s="32">
        <v>9.11</v>
      </c>
      <c r="K137" s="32">
        <v>8.91</v>
      </c>
      <c r="L137" s="32">
        <v>8.7100000000000009</v>
      </c>
      <c r="M137" s="32">
        <v>8.61</v>
      </c>
      <c r="N137" s="32">
        <v>8.41</v>
      </c>
    </row>
    <row r="138" spans="1:16" ht="23.25" hidden="1" customHeight="1">
      <c r="A138" s="32" t="s">
        <v>179</v>
      </c>
      <c r="B138" s="32">
        <v>66</v>
      </c>
      <c r="C138" s="32">
        <v>12</v>
      </c>
      <c r="D138" s="32">
        <v>11.4</v>
      </c>
      <c r="E138" s="32">
        <v>10.9</v>
      </c>
      <c r="F138" s="32">
        <v>10.5</v>
      </c>
      <c r="G138" s="32">
        <v>10.199999999999999</v>
      </c>
      <c r="H138" s="32">
        <v>10</v>
      </c>
      <c r="I138" s="32">
        <v>9.6</v>
      </c>
      <c r="J138" s="32">
        <v>9.3000000000000007</v>
      </c>
      <c r="K138" s="32">
        <v>9.1</v>
      </c>
      <c r="L138" s="32">
        <v>8.9</v>
      </c>
      <c r="M138" s="32">
        <v>8.8000000000000007</v>
      </c>
      <c r="N138" s="32">
        <v>8.6</v>
      </c>
      <c r="O138" s="32">
        <v>8.5</v>
      </c>
      <c r="P138" s="32">
        <v>8.4</v>
      </c>
    </row>
    <row r="139" spans="1:16" ht="23.25" hidden="1" customHeight="1">
      <c r="A139" s="32" t="s">
        <v>179</v>
      </c>
      <c r="B139" s="32">
        <v>64</v>
      </c>
      <c r="C139" s="32">
        <v>12.01</v>
      </c>
      <c r="D139" s="32">
        <v>11.41</v>
      </c>
      <c r="E139" s="32">
        <v>10.91</v>
      </c>
      <c r="F139" s="32">
        <v>10.51</v>
      </c>
      <c r="G139" s="32">
        <v>10.210000000000001</v>
      </c>
      <c r="H139" s="32">
        <v>10.01</v>
      </c>
      <c r="I139" s="32">
        <v>9.61</v>
      </c>
      <c r="J139" s="32">
        <v>9.31</v>
      </c>
      <c r="K139" s="32">
        <v>9.11</v>
      </c>
      <c r="L139" s="32">
        <v>8.91</v>
      </c>
      <c r="M139" s="32">
        <v>8.81</v>
      </c>
      <c r="N139" s="32">
        <v>8.61</v>
      </c>
    </row>
    <row r="140" spans="1:16" ht="23.25" hidden="1" customHeight="1">
      <c r="A140" s="32" t="s">
        <v>179</v>
      </c>
      <c r="B140" s="32">
        <v>64</v>
      </c>
      <c r="C140" s="32">
        <v>12.2</v>
      </c>
      <c r="D140" s="32">
        <v>11.6</v>
      </c>
      <c r="E140" s="32">
        <v>11.1</v>
      </c>
      <c r="F140" s="32">
        <v>10.7</v>
      </c>
      <c r="G140" s="32">
        <v>10.4</v>
      </c>
      <c r="H140" s="32">
        <v>10.199999999999999</v>
      </c>
      <c r="I140" s="32">
        <v>9.8000000000000007</v>
      </c>
      <c r="J140" s="32">
        <v>9.5</v>
      </c>
      <c r="K140" s="32">
        <v>9.3000000000000007</v>
      </c>
      <c r="L140" s="32">
        <v>9.1</v>
      </c>
      <c r="M140" s="32">
        <v>9</v>
      </c>
      <c r="N140" s="32">
        <v>8.8000000000000007</v>
      </c>
      <c r="O140" s="32">
        <v>8.6999999999999993</v>
      </c>
      <c r="P140" s="32">
        <v>8.6</v>
      </c>
    </row>
    <row r="141" spans="1:16" ht="23.25" hidden="1" customHeight="1">
      <c r="A141" s="32" t="s">
        <v>179</v>
      </c>
      <c r="B141" s="32">
        <v>62</v>
      </c>
      <c r="C141" s="32">
        <v>12.21</v>
      </c>
      <c r="D141" s="32">
        <v>11.61</v>
      </c>
      <c r="E141" s="32">
        <v>11.11</v>
      </c>
      <c r="F141" s="32">
        <v>10.71</v>
      </c>
      <c r="G141" s="32">
        <v>10.41</v>
      </c>
      <c r="H141" s="32">
        <v>10.210000000000001</v>
      </c>
      <c r="I141" s="32">
        <v>9.81</v>
      </c>
      <c r="J141" s="32">
        <v>9.51</v>
      </c>
      <c r="K141" s="32">
        <v>9.31</v>
      </c>
      <c r="L141" s="32">
        <v>9.11</v>
      </c>
      <c r="M141" s="32">
        <v>9.01</v>
      </c>
      <c r="N141" s="32">
        <v>8.81</v>
      </c>
    </row>
    <row r="142" spans="1:16" ht="23.25" hidden="1" customHeight="1">
      <c r="A142" s="32" t="s">
        <v>179</v>
      </c>
      <c r="B142" s="32">
        <v>62</v>
      </c>
      <c r="C142" s="32">
        <v>12.4</v>
      </c>
      <c r="D142" s="32">
        <v>11.8</v>
      </c>
      <c r="E142" s="32">
        <v>11.3</v>
      </c>
      <c r="F142" s="32">
        <v>10.9</v>
      </c>
      <c r="G142" s="32">
        <v>10.6</v>
      </c>
      <c r="H142" s="32">
        <v>10.4</v>
      </c>
      <c r="I142" s="32">
        <v>10</v>
      </c>
      <c r="J142" s="32">
        <v>9.6999999999999993</v>
      </c>
      <c r="K142" s="32">
        <v>9.5</v>
      </c>
      <c r="L142" s="32">
        <v>9.3000000000000007</v>
      </c>
      <c r="M142" s="32">
        <v>9.1999999999999993</v>
      </c>
      <c r="N142" s="32">
        <v>9</v>
      </c>
      <c r="O142" s="32">
        <v>8.9</v>
      </c>
      <c r="P142" s="32">
        <v>8.8000000000000007</v>
      </c>
    </row>
    <row r="143" spans="1:16" ht="23.25" hidden="1" customHeight="1">
      <c r="A143" s="32" t="s">
        <v>179</v>
      </c>
      <c r="B143" s="32">
        <v>60</v>
      </c>
      <c r="C143" s="32">
        <v>12.41</v>
      </c>
      <c r="D143" s="32">
        <v>11.81</v>
      </c>
      <c r="E143" s="32">
        <v>11.31</v>
      </c>
      <c r="F143" s="32">
        <v>10.91</v>
      </c>
      <c r="G143" s="32">
        <v>10.61</v>
      </c>
      <c r="H143" s="32">
        <v>10.41</v>
      </c>
      <c r="I143" s="32">
        <v>10.01</v>
      </c>
      <c r="J143" s="32">
        <v>9.7100000000000009</v>
      </c>
      <c r="K143" s="32">
        <v>9.51</v>
      </c>
      <c r="L143" s="32">
        <v>9.31</v>
      </c>
      <c r="M143" s="32">
        <v>9.2100000000000009</v>
      </c>
      <c r="N143" s="32">
        <v>9.01</v>
      </c>
    </row>
    <row r="144" spans="1:16" ht="23.25" hidden="1" customHeight="1">
      <c r="A144" s="32" t="s">
        <v>179</v>
      </c>
      <c r="B144" s="32">
        <v>60</v>
      </c>
      <c r="C144" s="32">
        <v>12.6</v>
      </c>
      <c r="D144" s="32">
        <v>12</v>
      </c>
      <c r="E144" s="32">
        <v>11.5</v>
      </c>
      <c r="F144" s="32">
        <v>11.1</v>
      </c>
      <c r="G144" s="32">
        <v>10.8</v>
      </c>
      <c r="H144" s="32">
        <v>10.6</v>
      </c>
      <c r="I144" s="32">
        <v>10.199999999999999</v>
      </c>
      <c r="J144" s="32">
        <v>9.9</v>
      </c>
      <c r="K144" s="32">
        <v>9.6999999999999993</v>
      </c>
      <c r="L144" s="32">
        <v>9.5</v>
      </c>
      <c r="M144" s="32">
        <v>9.4</v>
      </c>
      <c r="N144" s="32">
        <v>9.1999999999999993</v>
      </c>
      <c r="O144" s="32">
        <v>9.1</v>
      </c>
      <c r="P144" s="32">
        <v>9</v>
      </c>
    </row>
    <row r="145" spans="1:16" ht="23.25" hidden="1" customHeight="1">
      <c r="A145" s="32" t="s">
        <v>178</v>
      </c>
      <c r="B145" s="32">
        <v>50</v>
      </c>
      <c r="C145" s="32">
        <v>12.61</v>
      </c>
      <c r="D145" s="32">
        <v>12.01</v>
      </c>
      <c r="E145" s="32">
        <v>11.51</v>
      </c>
      <c r="F145" s="32">
        <v>11.11</v>
      </c>
      <c r="G145" s="32">
        <v>10.81</v>
      </c>
      <c r="H145" s="32">
        <v>10.61</v>
      </c>
      <c r="I145" s="32">
        <v>10.210000000000001</v>
      </c>
      <c r="J145" s="32">
        <v>9.91</v>
      </c>
      <c r="K145" s="32">
        <v>9.7100000000000009</v>
      </c>
      <c r="L145" s="32">
        <v>9.51</v>
      </c>
      <c r="M145" s="32">
        <v>9.41</v>
      </c>
      <c r="N145" s="32">
        <v>9.2100000000000009</v>
      </c>
    </row>
    <row r="146" spans="1:16" ht="23.25" hidden="1" customHeight="1">
      <c r="A146" s="32" t="s">
        <v>178</v>
      </c>
      <c r="B146" s="32">
        <v>50</v>
      </c>
      <c r="C146" s="32">
        <v>12.8</v>
      </c>
      <c r="D146" s="32">
        <v>12.2</v>
      </c>
      <c r="E146" s="32">
        <v>11.7</v>
      </c>
      <c r="F146" s="32">
        <v>11.3</v>
      </c>
      <c r="G146" s="32">
        <v>11</v>
      </c>
      <c r="H146" s="32">
        <v>10.8</v>
      </c>
      <c r="I146" s="32">
        <v>10.4</v>
      </c>
      <c r="J146" s="32">
        <v>10.1</v>
      </c>
      <c r="K146" s="32">
        <v>9.9</v>
      </c>
      <c r="L146" s="32">
        <v>9.6999999999999993</v>
      </c>
      <c r="M146" s="32">
        <v>9.6</v>
      </c>
      <c r="N146" s="32">
        <v>9.4</v>
      </c>
      <c r="O146" s="32">
        <v>9.3000000000000007</v>
      </c>
      <c r="P146" s="32">
        <v>9.1999999999999993</v>
      </c>
    </row>
    <row r="147" spans="1:16" ht="23.25" hidden="1" customHeight="1">
      <c r="A147" s="32" t="s">
        <v>178</v>
      </c>
      <c r="B147" s="32">
        <v>40</v>
      </c>
      <c r="C147" s="32">
        <v>12.81</v>
      </c>
      <c r="D147" s="32">
        <v>12.21</v>
      </c>
      <c r="E147" s="32">
        <v>11.71</v>
      </c>
      <c r="F147" s="32">
        <v>11.31</v>
      </c>
      <c r="G147" s="32">
        <v>11.01</v>
      </c>
      <c r="H147" s="32">
        <v>10.81</v>
      </c>
      <c r="I147" s="32">
        <v>10.41</v>
      </c>
      <c r="J147" s="32">
        <v>10.11</v>
      </c>
      <c r="K147" s="32">
        <v>9.91</v>
      </c>
      <c r="L147" s="32">
        <v>9.7100000000000009</v>
      </c>
      <c r="M147" s="32">
        <v>9.61</v>
      </c>
      <c r="N147" s="32">
        <v>9.41</v>
      </c>
    </row>
    <row r="148" spans="1:16" ht="23.25" hidden="1" customHeight="1">
      <c r="A148" s="32" t="s">
        <v>178</v>
      </c>
      <c r="B148" s="32">
        <v>40</v>
      </c>
      <c r="C148" s="32">
        <v>13</v>
      </c>
      <c r="D148" s="32">
        <v>12.4</v>
      </c>
      <c r="E148" s="32">
        <v>11.9</v>
      </c>
      <c r="F148" s="32">
        <v>11.5</v>
      </c>
      <c r="G148" s="32">
        <v>11.2</v>
      </c>
      <c r="H148" s="32">
        <v>11</v>
      </c>
      <c r="I148" s="32">
        <v>10.6</v>
      </c>
      <c r="J148" s="32">
        <v>10.3</v>
      </c>
      <c r="K148" s="32">
        <v>10.1</v>
      </c>
      <c r="L148" s="32">
        <v>9.9</v>
      </c>
      <c r="M148" s="32">
        <v>9.8000000000000007</v>
      </c>
      <c r="N148" s="32">
        <v>9.6</v>
      </c>
      <c r="O148" s="32">
        <v>9.5</v>
      </c>
      <c r="P148" s="32">
        <v>9.4</v>
      </c>
    </row>
    <row r="149" spans="1:16" ht="23.25" hidden="1" customHeight="1">
      <c r="A149" s="32" t="s">
        <v>178</v>
      </c>
      <c r="B149" s="32">
        <v>30</v>
      </c>
      <c r="C149" s="32">
        <v>13.01</v>
      </c>
      <c r="D149" s="32">
        <v>12.41</v>
      </c>
      <c r="E149" s="32">
        <v>11.91</v>
      </c>
      <c r="F149" s="32">
        <v>11.51</v>
      </c>
      <c r="G149" s="32">
        <v>11.21</v>
      </c>
      <c r="H149" s="32">
        <v>11.01</v>
      </c>
      <c r="I149" s="32">
        <v>10.61</v>
      </c>
      <c r="J149" s="32">
        <v>10.31</v>
      </c>
      <c r="K149" s="32">
        <v>10.11</v>
      </c>
      <c r="L149" s="32">
        <v>9.91</v>
      </c>
      <c r="M149" s="32">
        <v>9.81</v>
      </c>
      <c r="N149" s="32">
        <v>9.61</v>
      </c>
    </row>
    <row r="150" spans="1:16" ht="23.25" hidden="1" customHeight="1">
      <c r="A150" s="32" t="s">
        <v>178</v>
      </c>
      <c r="B150" s="32">
        <v>30</v>
      </c>
      <c r="C150" s="32">
        <v>13.2</v>
      </c>
      <c r="D150" s="32">
        <v>12.6</v>
      </c>
      <c r="E150" s="32">
        <v>12.1</v>
      </c>
      <c r="F150" s="32">
        <v>11.7</v>
      </c>
      <c r="G150" s="32">
        <v>11.4</v>
      </c>
      <c r="H150" s="32">
        <v>11.2</v>
      </c>
      <c r="I150" s="32">
        <v>10.8</v>
      </c>
      <c r="J150" s="32">
        <v>10.5</v>
      </c>
      <c r="K150" s="32">
        <v>10.3</v>
      </c>
      <c r="L150" s="32">
        <v>10.1</v>
      </c>
      <c r="M150" s="32">
        <v>10</v>
      </c>
      <c r="N150" s="32">
        <v>9.8000000000000007</v>
      </c>
      <c r="O150" s="32">
        <v>9.6999999999999993</v>
      </c>
      <c r="P150" s="32">
        <v>9.6</v>
      </c>
    </row>
    <row r="151" spans="1:16" ht="23.25" hidden="1" customHeight="1">
      <c r="A151" s="32" t="s">
        <v>178</v>
      </c>
      <c r="B151" s="32">
        <v>20</v>
      </c>
      <c r="C151" s="32">
        <v>13.21</v>
      </c>
      <c r="D151" s="32">
        <v>12.61</v>
      </c>
      <c r="E151" s="32">
        <v>12.11</v>
      </c>
      <c r="F151" s="32">
        <v>11.71</v>
      </c>
      <c r="G151" s="32">
        <v>11.41</v>
      </c>
      <c r="H151" s="32">
        <v>11.21</v>
      </c>
      <c r="I151" s="32">
        <v>10.81</v>
      </c>
      <c r="J151" s="32">
        <v>10.51</v>
      </c>
      <c r="K151" s="32">
        <v>10.31</v>
      </c>
      <c r="L151" s="32">
        <v>10.11</v>
      </c>
      <c r="M151" s="32">
        <v>10.01</v>
      </c>
      <c r="N151" s="32">
        <v>9.81</v>
      </c>
    </row>
    <row r="152" spans="1:16" ht="23.25" hidden="1" customHeight="1">
      <c r="A152" s="32" t="s">
        <v>178</v>
      </c>
      <c r="B152" s="32">
        <v>20</v>
      </c>
      <c r="C152" s="32">
        <v>13.4</v>
      </c>
      <c r="D152" s="32">
        <v>12.8</v>
      </c>
      <c r="E152" s="32">
        <v>12.3</v>
      </c>
      <c r="F152" s="32">
        <v>11.9</v>
      </c>
      <c r="G152" s="32">
        <v>11.6</v>
      </c>
      <c r="H152" s="32">
        <v>11.4</v>
      </c>
      <c r="I152" s="32">
        <v>11</v>
      </c>
      <c r="J152" s="32">
        <v>10.7</v>
      </c>
      <c r="K152" s="32">
        <v>10.5</v>
      </c>
      <c r="L152" s="32">
        <v>10.3</v>
      </c>
      <c r="M152" s="32">
        <v>10.199999999999999</v>
      </c>
      <c r="N152" s="32">
        <v>10</v>
      </c>
      <c r="O152" s="32">
        <v>9.9</v>
      </c>
      <c r="P152" s="32">
        <v>9.8000000000000007</v>
      </c>
    </row>
    <row r="153" spans="1:16" ht="23.25" hidden="1" customHeight="1">
      <c r="A153" s="32" t="s">
        <v>178</v>
      </c>
      <c r="B153" s="32">
        <v>10</v>
      </c>
      <c r="C153" s="32">
        <v>13.41</v>
      </c>
      <c r="D153" s="32">
        <v>12.81</v>
      </c>
      <c r="E153" s="32">
        <v>12.31</v>
      </c>
      <c r="F153" s="32">
        <v>11.91</v>
      </c>
      <c r="G153" s="32">
        <v>11.61</v>
      </c>
      <c r="H153" s="32">
        <v>11.41</v>
      </c>
      <c r="I153" s="32">
        <v>11.01</v>
      </c>
      <c r="J153" s="32">
        <v>10.71</v>
      </c>
      <c r="K153" s="32">
        <v>10.51</v>
      </c>
      <c r="L153" s="32">
        <v>10.31</v>
      </c>
      <c r="M153" s="32">
        <v>10.210000000000001</v>
      </c>
      <c r="N153" s="32">
        <v>10.01</v>
      </c>
    </row>
    <row r="154" spans="1:16" ht="23.25" hidden="1" customHeight="1">
      <c r="A154" s="32" t="s">
        <v>178</v>
      </c>
      <c r="B154" s="32">
        <v>10</v>
      </c>
      <c r="C154" s="32">
        <v>13.6</v>
      </c>
      <c r="D154" s="32">
        <v>13</v>
      </c>
      <c r="E154" s="32">
        <v>12.5</v>
      </c>
      <c r="F154" s="32">
        <v>12.1</v>
      </c>
      <c r="G154" s="32">
        <v>11.8</v>
      </c>
      <c r="H154" s="32">
        <v>11.6</v>
      </c>
      <c r="I154" s="32">
        <v>11.2</v>
      </c>
      <c r="J154" s="32">
        <v>10.9</v>
      </c>
      <c r="K154" s="32">
        <v>10.7</v>
      </c>
      <c r="L154" s="32">
        <v>10.5</v>
      </c>
      <c r="M154" s="32">
        <v>10.4</v>
      </c>
      <c r="N154" s="32">
        <v>10.199999999999999</v>
      </c>
      <c r="O154" s="32">
        <v>10.1</v>
      </c>
      <c r="P154" s="32">
        <v>10</v>
      </c>
    </row>
    <row r="155" spans="1:16" ht="23.25" hidden="1" customHeight="1">
      <c r="A155" s="32" t="s">
        <v>178</v>
      </c>
      <c r="B155" s="32">
        <v>0</v>
      </c>
      <c r="C155" s="32">
        <v>13.61</v>
      </c>
      <c r="D155" s="32">
        <v>10.01</v>
      </c>
      <c r="E155" s="32">
        <v>12.51</v>
      </c>
      <c r="F155" s="32">
        <v>12.11</v>
      </c>
      <c r="G155" s="32">
        <v>11.81</v>
      </c>
      <c r="H155" s="32">
        <v>11.61</v>
      </c>
      <c r="I155" s="32">
        <v>11.21</v>
      </c>
      <c r="J155" s="32">
        <v>10.91</v>
      </c>
      <c r="K155" s="32">
        <v>10.71</v>
      </c>
      <c r="L155" s="32">
        <v>10.51</v>
      </c>
      <c r="M155" s="32">
        <v>10.41</v>
      </c>
      <c r="N155" s="32">
        <v>10.210000000000001</v>
      </c>
    </row>
    <row r="156" spans="1:16" ht="23.25" hidden="1" customHeight="1">
      <c r="A156" s="32" t="s">
        <v>178</v>
      </c>
      <c r="B156" s="32">
        <v>0</v>
      </c>
      <c r="C156" s="32">
        <v>20</v>
      </c>
      <c r="D156" s="32">
        <v>20</v>
      </c>
      <c r="E156" s="32">
        <v>20</v>
      </c>
      <c r="F156" s="32">
        <v>20</v>
      </c>
      <c r="G156" s="32">
        <v>20</v>
      </c>
      <c r="H156" s="32">
        <v>20</v>
      </c>
      <c r="I156" s="32">
        <v>20</v>
      </c>
      <c r="J156" s="32">
        <v>20</v>
      </c>
      <c r="K156" s="32">
        <v>20</v>
      </c>
      <c r="L156" s="32">
        <v>20</v>
      </c>
      <c r="M156" s="32">
        <v>20</v>
      </c>
      <c r="N156" s="32">
        <v>20</v>
      </c>
    </row>
    <row r="157" spans="1:16" ht="23.25" hidden="1" customHeight="1">
      <c r="A157" s="37" t="s">
        <v>247</v>
      </c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</row>
    <row r="158" spans="1:16" ht="23.25" hidden="1" customHeight="1">
      <c r="A158" s="37" t="s">
        <v>163</v>
      </c>
      <c r="B158" s="32" t="s">
        <v>164</v>
      </c>
      <c r="C158" s="37" t="s">
        <v>165</v>
      </c>
      <c r="D158" s="37" t="s">
        <v>166</v>
      </c>
      <c r="E158" s="37" t="s">
        <v>167</v>
      </c>
      <c r="F158" s="37" t="s">
        <v>168</v>
      </c>
      <c r="G158" s="37" t="s">
        <v>169</v>
      </c>
      <c r="H158" s="37" t="s">
        <v>170</v>
      </c>
      <c r="I158" s="37" t="s">
        <v>171</v>
      </c>
      <c r="J158" s="37" t="s">
        <v>172</v>
      </c>
      <c r="K158" s="37" t="s">
        <v>173</v>
      </c>
      <c r="L158" s="37" t="s">
        <v>174</v>
      </c>
      <c r="M158" s="37" t="s">
        <v>175</v>
      </c>
      <c r="N158" s="37" t="s">
        <v>176</v>
      </c>
      <c r="O158" s="32" t="s">
        <v>240</v>
      </c>
      <c r="P158" s="32" t="s">
        <v>241</v>
      </c>
    </row>
    <row r="159" spans="1:16" ht="23.25" hidden="1" customHeight="1">
      <c r="A159" s="37"/>
      <c r="B159" s="32" t="s">
        <v>177</v>
      </c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2" t="s">
        <v>242</v>
      </c>
      <c r="P159" s="32" t="s">
        <v>243</v>
      </c>
    </row>
    <row r="160" spans="1:16" ht="23.25" hidden="1" customHeight="1">
      <c r="A160" s="32" t="s">
        <v>181</v>
      </c>
      <c r="B160" s="32">
        <v>100</v>
      </c>
      <c r="C160" s="32">
        <v>5</v>
      </c>
      <c r="D160" s="32">
        <v>5</v>
      </c>
      <c r="E160" s="32">
        <v>5</v>
      </c>
      <c r="F160" s="32">
        <v>5</v>
      </c>
      <c r="G160" s="32">
        <v>5</v>
      </c>
      <c r="H160" s="32">
        <v>5</v>
      </c>
      <c r="I160" s="32">
        <v>5</v>
      </c>
      <c r="J160" s="32">
        <v>5</v>
      </c>
      <c r="K160" s="32">
        <v>5</v>
      </c>
      <c r="L160" s="32">
        <v>5</v>
      </c>
      <c r="M160" s="32">
        <v>5</v>
      </c>
      <c r="N160" s="32">
        <v>5</v>
      </c>
    </row>
    <row r="161" spans="1:16" ht="23.25" hidden="1" customHeight="1">
      <c r="A161" s="32" t="s">
        <v>181</v>
      </c>
      <c r="B161" s="32">
        <v>100</v>
      </c>
      <c r="C161" s="32">
        <v>11</v>
      </c>
      <c r="D161" s="32">
        <v>10</v>
      </c>
      <c r="E161" s="32">
        <v>9.1999999999999993</v>
      </c>
      <c r="F161" s="32">
        <v>8.6999999999999993</v>
      </c>
      <c r="G161" s="32">
        <v>8.3000000000000007</v>
      </c>
      <c r="H161" s="32">
        <v>8.1999999999999993</v>
      </c>
      <c r="I161" s="32">
        <v>8.1</v>
      </c>
      <c r="J161" s="32">
        <v>8</v>
      </c>
      <c r="K161" s="32">
        <v>7.9</v>
      </c>
      <c r="L161" s="32">
        <v>7.8</v>
      </c>
      <c r="M161" s="32">
        <v>7.7</v>
      </c>
      <c r="N161" s="32">
        <v>7.6</v>
      </c>
      <c r="O161" s="32">
        <v>7.5</v>
      </c>
      <c r="P161" s="32">
        <v>7.4</v>
      </c>
    </row>
    <row r="162" spans="1:16" ht="23.25" hidden="1" customHeight="1">
      <c r="A162" s="32" t="s">
        <v>181</v>
      </c>
      <c r="B162" s="32">
        <v>95</v>
      </c>
      <c r="C162" s="32">
        <v>11.01</v>
      </c>
      <c r="D162" s="32">
        <v>10.01</v>
      </c>
      <c r="E162" s="32">
        <v>9.2100000000000009</v>
      </c>
      <c r="F162" s="32">
        <v>8.7100000000000009</v>
      </c>
      <c r="G162" s="32">
        <v>8.31</v>
      </c>
      <c r="H162" s="32">
        <v>8.2100000000000009</v>
      </c>
      <c r="I162" s="32">
        <v>8.11</v>
      </c>
      <c r="J162" s="32">
        <v>8.01</v>
      </c>
      <c r="K162" s="32">
        <v>7.91</v>
      </c>
      <c r="L162" s="32">
        <v>7.81</v>
      </c>
      <c r="M162" s="32">
        <v>7.71</v>
      </c>
      <c r="N162" s="32">
        <v>7.61</v>
      </c>
    </row>
    <row r="163" spans="1:16" ht="23.25" hidden="1" customHeight="1">
      <c r="A163" s="32" t="s">
        <v>181</v>
      </c>
      <c r="B163" s="32">
        <v>95</v>
      </c>
      <c r="C163" s="32">
        <v>11.1</v>
      </c>
      <c r="D163" s="32">
        <v>10.1</v>
      </c>
      <c r="E163" s="32">
        <v>9.3000000000000007</v>
      </c>
      <c r="F163" s="32">
        <v>8.8000000000000007</v>
      </c>
      <c r="G163" s="32">
        <v>8.4</v>
      </c>
      <c r="H163" s="32">
        <v>8.3000000000000007</v>
      </c>
      <c r="I163" s="32">
        <v>8.1999999999999993</v>
      </c>
      <c r="J163" s="32">
        <v>8.1</v>
      </c>
      <c r="K163" s="32">
        <v>8</v>
      </c>
      <c r="L163" s="32">
        <v>7.9</v>
      </c>
      <c r="M163" s="32">
        <v>7.8</v>
      </c>
      <c r="N163" s="32">
        <v>7.7</v>
      </c>
      <c r="O163" s="32">
        <v>7.6</v>
      </c>
      <c r="P163" s="32">
        <v>7.5</v>
      </c>
    </row>
    <row r="164" spans="1:16" ht="23.25" hidden="1" customHeight="1">
      <c r="A164" s="32" t="s">
        <v>181</v>
      </c>
      <c r="B164" s="32">
        <v>90</v>
      </c>
      <c r="C164" s="32">
        <v>11.11</v>
      </c>
      <c r="D164" s="32">
        <v>10.11</v>
      </c>
      <c r="E164" s="32">
        <v>9.31</v>
      </c>
      <c r="F164" s="32">
        <v>8.81</v>
      </c>
      <c r="G164" s="32">
        <v>8.41</v>
      </c>
      <c r="H164" s="32">
        <v>8.31</v>
      </c>
      <c r="I164" s="32">
        <v>8.2100000000000009</v>
      </c>
      <c r="J164" s="32">
        <v>8.11</v>
      </c>
      <c r="K164" s="32">
        <v>8.01</v>
      </c>
      <c r="L164" s="32">
        <v>7.91</v>
      </c>
      <c r="M164" s="32">
        <v>7.81</v>
      </c>
      <c r="N164" s="32">
        <v>7.71</v>
      </c>
    </row>
    <row r="165" spans="1:16" ht="23.25" hidden="1" customHeight="1">
      <c r="A165" s="32" t="s">
        <v>181</v>
      </c>
      <c r="B165" s="32">
        <v>90</v>
      </c>
      <c r="C165" s="32">
        <v>11.2</v>
      </c>
      <c r="D165" s="32">
        <v>10.199999999999999</v>
      </c>
      <c r="E165" s="32">
        <v>9.4</v>
      </c>
      <c r="F165" s="32">
        <v>8.9</v>
      </c>
      <c r="G165" s="32">
        <v>8.5</v>
      </c>
      <c r="H165" s="32">
        <v>8.4</v>
      </c>
      <c r="I165" s="32">
        <v>8.3000000000000007</v>
      </c>
      <c r="J165" s="32">
        <v>8.1999999999999993</v>
      </c>
      <c r="K165" s="32">
        <v>8.1</v>
      </c>
      <c r="L165" s="32">
        <v>8</v>
      </c>
      <c r="M165" s="32">
        <v>7.9</v>
      </c>
      <c r="N165" s="32">
        <v>7.8</v>
      </c>
      <c r="O165" s="32">
        <v>7.7</v>
      </c>
      <c r="P165" s="32">
        <v>7.6</v>
      </c>
    </row>
    <row r="166" spans="1:16" ht="23.25" hidden="1" customHeight="1">
      <c r="A166" s="32" t="s">
        <v>180</v>
      </c>
      <c r="B166" s="32">
        <v>85</v>
      </c>
      <c r="C166" s="32">
        <v>11.21</v>
      </c>
      <c r="D166" s="32">
        <v>10.210000000000001</v>
      </c>
      <c r="E166" s="32">
        <v>9.41</v>
      </c>
      <c r="F166" s="32">
        <v>8.91</v>
      </c>
      <c r="G166" s="32">
        <v>8.51</v>
      </c>
      <c r="H166" s="32">
        <v>8.41</v>
      </c>
      <c r="I166" s="32">
        <v>8.31</v>
      </c>
      <c r="J166" s="32">
        <v>8.2100000000000009</v>
      </c>
      <c r="K166" s="32">
        <v>8.11</v>
      </c>
      <c r="L166" s="32">
        <v>8.01</v>
      </c>
      <c r="M166" s="32">
        <v>7.91</v>
      </c>
      <c r="N166" s="32">
        <v>7.81</v>
      </c>
    </row>
    <row r="167" spans="1:16" ht="23.25" hidden="1" customHeight="1">
      <c r="A167" s="32" t="s">
        <v>180</v>
      </c>
      <c r="B167" s="32">
        <v>85</v>
      </c>
      <c r="C167" s="32">
        <v>11.5</v>
      </c>
      <c r="D167" s="32">
        <v>10.5</v>
      </c>
      <c r="E167" s="32">
        <v>9.6999999999999993</v>
      </c>
      <c r="F167" s="32">
        <v>9.1999999999999993</v>
      </c>
      <c r="G167" s="32">
        <v>8.8000000000000007</v>
      </c>
      <c r="H167" s="32">
        <v>8.6999999999999993</v>
      </c>
      <c r="I167" s="32">
        <v>8.6</v>
      </c>
      <c r="J167" s="32">
        <v>8.5</v>
      </c>
      <c r="K167" s="32">
        <v>8.4</v>
      </c>
      <c r="L167" s="32">
        <v>8.3000000000000007</v>
      </c>
      <c r="M167" s="32">
        <v>8.1999999999999993</v>
      </c>
      <c r="N167" s="32">
        <v>8.1</v>
      </c>
      <c r="O167" s="32">
        <v>8</v>
      </c>
      <c r="P167" s="32">
        <v>7.9</v>
      </c>
    </row>
    <row r="168" spans="1:16" ht="23.25" hidden="1" customHeight="1">
      <c r="A168" s="32" t="s">
        <v>180</v>
      </c>
      <c r="B168" s="32">
        <v>80</v>
      </c>
      <c r="C168" s="32">
        <v>11.51</v>
      </c>
      <c r="D168" s="32">
        <v>10.51</v>
      </c>
      <c r="E168" s="32">
        <v>9.7100000000000009</v>
      </c>
      <c r="F168" s="32">
        <v>9.2100000000000009</v>
      </c>
      <c r="G168" s="32">
        <v>8.81</v>
      </c>
      <c r="H168" s="32">
        <v>8.7100000000000009</v>
      </c>
      <c r="I168" s="32">
        <v>8.61</v>
      </c>
      <c r="J168" s="32">
        <v>8.51</v>
      </c>
      <c r="K168" s="32">
        <v>8.41</v>
      </c>
      <c r="L168" s="32">
        <v>8.31</v>
      </c>
      <c r="M168" s="32">
        <v>8.2100000000000009</v>
      </c>
      <c r="N168" s="32">
        <v>8.11</v>
      </c>
    </row>
    <row r="169" spans="1:16" ht="23.25" hidden="1" customHeight="1">
      <c r="A169" s="32" t="s">
        <v>180</v>
      </c>
      <c r="B169" s="32">
        <v>80</v>
      </c>
      <c r="C169" s="32">
        <v>11.8</v>
      </c>
      <c r="D169" s="32">
        <v>10.8</v>
      </c>
      <c r="E169" s="32">
        <v>10</v>
      </c>
      <c r="F169" s="32">
        <v>9.5</v>
      </c>
      <c r="G169" s="32">
        <v>9.1</v>
      </c>
      <c r="H169" s="32">
        <v>9</v>
      </c>
      <c r="I169" s="32">
        <v>8.9</v>
      </c>
      <c r="J169" s="32">
        <v>8.8000000000000007</v>
      </c>
      <c r="K169" s="32">
        <v>8.6999999999999993</v>
      </c>
      <c r="L169" s="32">
        <v>8.6</v>
      </c>
      <c r="M169" s="32">
        <v>8.5</v>
      </c>
      <c r="N169" s="32">
        <v>8.4</v>
      </c>
      <c r="O169" s="32">
        <v>8.3000000000000007</v>
      </c>
      <c r="P169" s="32">
        <v>8.1999999999999993</v>
      </c>
    </row>
    <row r="170" spans="1:16" ht="23.25" hidden="1" customHeight="1">
      <c r="A170" s="32" t="s">
        <v>179</v>
      </c>
      <c r="B170" s="32">
        <v>78</v>
      </c>
      <c r="C170" s="32">
        <v>11.81</v>
      </c>
      <c r="D170" s="32">
        <v>10.81</v>
      </c>
      <c r="E170" s="32">
        <v>10.01</v>
      </c>
      <c r="F170" s="32">
        <v>9.51</v>
      </c>
      <c r="G170" s="32">
        <v>9.11</v>
      </c>
      <c r="H170" s="32">
        <v>9.01</v>
      </c>
      <c r="I170" s="32">
        <v>8.91</v>
      </c>
      <c r="J170" s="32">
        <v>8.81</v>
      </c>
      <c r="K170" s="32">
        <v>8.7100000000000009</v>
      </c>
      <c r="L170" s="32">
        <v>8.61</v>
      </c>
      <c r="M170" s="32">
        <v>8.51</v>
      </c>
      <c r="N170" s="32">
        <v>8.41</v>
      </c>
    </row>
    <row r="171" spans="1:16" ht="23.25" hidden="1" customHeight="1">
      <c r="A171" s="32" t="s">
        <v>179</v>
      </c>
      <c r="B171" s="32">
        <v>78</v>
      </c>
      <c r="C171" s="32">
        <v>12</v>
      </c>
      <c r="D171" s="32">
        <v>11</v>
      </c>
      <c r="E171" s="32">
        <v>10.199999999999999</v>
      </c>
      <c r="F171" s="32">
        <v>9.6999999999999993</v>
      </c>
      <c r="G171" s="32">
        <v>9.3000000000000007</v>
      </c>
      <c r="H171" s="32">
        <v>9.1999999999999993</v>
      </c>
      <c r="I171" s="32">
        <v>9.1</v>
      </c>
      <c r="J171" s="32">
        <v>9</v>
      </c>
      <c r="K171" s="32">
        <v>8.9</v>
      </c>
      <c r="L171" s="32">
        <v>8.8000000000000007</v>
      </c>
      <c r="M171" s="32">
        <v>8.6999999999999993</v>
      </c>
      <c r="N171" s="32">
        <v>8.6</v>
      </c>
      <c r="O171" s="32">
        <v>8.5</v>
      </c>
      <c r="P171" s="32">
        <v>8.4</v>
      </c>
    </row>
    <row r="172" spans="1:16" ht="23.25" hidden="1" customHeight="1">
      <c r="A172" s="32" t="s">
        <v>179</v>
      </c>
      <c r="B172" s="32">
        <v>76</v>
      </c>
      <c r="C172" s="32">
        <v>12.01</v>
      </c>
      <c r="D172" s="32">
        <v>11.01</v>
      </c>
      <c r="E172" s="32">
        <v>10.210000000000001</v>
      </c>
      <c r="F172" s="32">
        <v>9.7100000000000009</v>
      </c>
      <c r="G172" s="32">
        <v>9.31</v>
      </c>
      <c r="H172" s="32">
        <v>9.2100000000000009</v>
      </c>
      <c r="I172" s="32">
        <v>9.11</v>
      </c>
      <c r="J172" s="32">
        <v>9.01</v>
      </c>
      <c r="K172" s="32">
        <v>8.91</v>
      </c>
      <c r="L172" s="32">
        <v>8.81</v>
      </c>
      <c r="M172" s="32">
        <v>8.7100000000000009</v>
      </c>
      <c r="N172" s="32">
        <v>8.61</v>
      </c>
    </row>
    <row r="173" spans="1:16" ht="23.25" hidden="1" customHeight="1">
      <c r="A173" s="32" t="s">
        <v>179</v>
      </c>
      <c r="B173" s="32">
        <v>76</v>
      </c>
      <c r="C173" s="32">
        <v>12.2</v>
      </c>
      <c r="D173" s="32">
        <v>11.2</v>
      </c>
      <c r="E173" s="32">
        <v>10.4</v>
      </c>
      <c r="F173" s="32">
        <v>9.9</v>
      </c>
      <c r="G173" s="32">
        <v>9.5</v>
      </c>
      <c r="H173" s="32">
        <v>9.4</v>
      </c>
      <c r="I173" s="32">
        <v>9.3000000000000007</v>
      </c>
      <c r="J173" s="32">
        <v>9.1999999999999993</v>
      </c>
      <c r="K173" s="32">
        <v>9.1</v>
      </c>
      <c r="L173" s="32">
        <v>9</v>
      </c>
      <c r="M173" s="32">
        <v>8.9</v>
      </c>
      <c r="N173" s="32">
        <v>8.8000000000000007</v>
      </c>
      <c r="O173" s="32">
        <v>8.6999999999999993</v>
      </c>
      <c r="P173" s="32">
        <v>8.6</v>
      </c>
    </row>
    <row r="174" spans="1:16" ht="23.25" hidden="1" customHeight="1">
      <c r="A174" s="32" t="s">
        <v>179</v>
      </c>
      <c r="B174" s="32">
        <v>74</v>
      </c>
      <c r="C174" s="32">
        <v>12.21</v>
      </c>
      <c r="D174" s="32">
        <v>11.21</v>
      </c>
      <c r="E174" s="32">
        <v>10.41</v>
      </c>
      <c r="F174" s="32">
        <v>9.91</v>
      </c>
      <c r="G174" s="32">
        <v>9.51</v>
      </c>
      <c r="H174" s="32">
        <v>9.41</v>
      </c>
      <c r="I174" s="32">
        <v>9.31</v>
      </c>
      <c r="J174" s="32">
        <v>9.2100000000000009</v>
      </c>
      <c r="K174" s="32">
        <v>9.11</v>
      </c>
      <c r="L174" s="32">
        <v>9.01</v>
      </c>
      <c r="M174" s="32">
        <v>8.91</v>
      </c>
      <c r="N174" s="32">
        <v>8.81</v>
      </c>
    </row>
    <row r="175" spans="1:16" ht="23.25" hidden="1" customHeight="1">
      <c r="A175" s="32" t="s">
        <v>179</v>
      </c>
      <c r="B175" s="32">
        <v>74</v>
      </c>
      <c r="C175" s="32">
        <v>12.4</v>
      </c>
      <c r="D175" s="32">
        <v>11.4</v>
      </c>
      <c r="E175" s="32">
        <v>10.6</v>
      </c>
      <c r="F175" s="32">
        <v>10.1</v>
      </c>
      <c r="G175" s="32">
        <v>9.6999999999999993</v>
      </c>
      <c r="H175" s="32">
        <v>9.6</v>
      </c>
      <c r="I175" s="32">
        <v>9.5</v>
      </c>
      <c r="J175" s="32">
        <v>9.4</v>
      </c>
      <c r="K175" s="32">
        <v>9.3000000000000007</v>
      </c>
      <c r="L175" s="32">
        <v>9.1999999999999993</v>
      </c>
      <c r="M175" s="32">
        <v>9.1</v>
      </c>
      <c r="N175" s="32">
        <v>9</v>
      </c>
      <c r="O175" s="32">
        <v>8.9</v>
      </c>
      <c r="P175" s="32">
        <v>8.8000000000000007</v>
      </c>
    </row>
    <row r="176" spans="1:16" ht="23.25" hidden="1" customHeight="1">
      <c r="A176" s="32" t="s">
        <v>179</v>
      </c>
      <c r="B176" s="32">
        <v>72</v>
      </c>
      <c r="C176" s="32">
        <v>12.41</v>
      </c>
      <c r="D176" s="32">
        <v>11.41</v>
      </c>
      <c r="E176" s="32">
        <v>10.61</v>
      </c>
      <c r="F176" s="32">
        <v>10.11</v>
      </c>
      <c r="G176" s="32">
        <v>9.7100000000000009</v>
      </c>
      <c r="H176" s="32">
        <v>9.61</v>
      </c>
      <c r="I176" s="32">
        <v>9.51</v>
      </c>
      <c r="J176" s="32">
        <v>9.41</v>
      </c>
      <c r="K176" s="32">
        <v>9.31</v>
      </c>
      <c r="L176" s="32">
        <v>9.2100000000000009</v>
      </c>
      <c r="M176" s="32">
        <v>9.11</v>
      </c>
      <c r="N176" s="32">
        <v>9.01</v>
      </c>
    </row>
    <row r="177" spans="1:16" ht="23.25" hidden="1" customHeight="1">
      <c r="A177" s="32" t="s">
        <v>179</v>
      </c>
      <c r="B177" s="32">
        <v>72</v>
      </c>
      <c r="C177" s="32">
        <v>12.6</v>
      </c>
      <c r="D177" s="32">
        <v>11.6</v>
      </c>
      <c r="E177" s="32">
        <v>10.8</v>
      </c>
      <c r="F177" s="32">
        <v>10.3</v>
      </c>
      <c r="G177" s="32">
        <v>9.9</v>
      </c>
      <c r="H177" s="32">
        <v>9.8000000000000007</v>
      </c>
      <c r="I177" s="32">
        <v>9.6999999999999993</v>
      </c>
      <c r="J177" s="32">
        <v>9.6</v>
      </c>
      <c r="K177" s="32">
        <v>9.5</v>
      </c>
      <c r="L177" s="32">
        <v>9.4</v>
      </c>
      <c r="M177" s="32">
        <v>9.3000000000000007</v>
      </c>
      <c r="N177" s="32">
        <v>9.1999999999999993</v>
      </c>
      <c r="O177" s="32">
        <v>9.1</v>
      </c>
      <c r="P177" s="32">
        <v>9</v>
      </c>
    </row>
    <row r="178" spans="1:16" ht="23.25" hidden="1" customHeight="1">
      <c r="A178" s="32" t="s">
        <v>179</v>
      </c>
      <c r="B178" s="32">
        <v>70</v>
      </c>
      <c r="C178" s="32">
        <v>12.61</v>
      </c>
      <c r="D178" s="32">
        <v>11.61</v>
      </c>
      <c r="E178" s="32">
        <v>10.81</v>
      </c>
      <c r="F178" s="32">
        <v>10.31</v>
      </c>
      <c r="G178" s="32">
        <v>9.91</v>
      </c>
      <c r="H178" s="32">
        <v>9.81</v>
      </c>
      <c r="I178" s="32">
        <v>9.7100000000000009</v>
      </c>
      <c r="J178" s="32">
        <v>9.61</v>
      </c>
      <c r="K178" s="32">
        <v>9.51</v>
      </c>
      <c r="L178" s="32">
        <v>9.41</v>
      </c>
      <c r="M178" s="32">
        <v>9.31</v>
      </c>
      <c r="N178" s="32">
        <v>9.2100000000000009</v>
      </c>
    </row>
    <row r="179" spans="1:16" ht="23.25" hidden="1" customHeight="1">
      <c r="A179" s="32" t="s">
        <v>179</v>
      </c>
      <c r="B179" s="32">
        <v>70</v>
      </c>
      <c r="C179" s="32">
        <v>12.8</v>
      </c>
      <c r="D179" s="32">
        <v>11.8</v>
      </c>
      <c r="E179" s="32">
        <v>11</v>
      </c>
      <c r="F179" s="32">
        <v>10.5</v>
      </c>
      <c r="G179" s="32">
        <v>10.1</v>
      </c>
      <c r="H179" s="32">
        <v>10</v>
      </c>
      <c r="I179" s="32">
        <v>9.9</v>
      </c>
      <c r="J179" s="32">
        <v>9.8000000000000007</v>
      </c>
      <c r="K179" s="32">
        <v>9.6999999999999993</v>
      </c>
      <c r="L179" s="32">
        <v>9.6</v>
      </c>
      <c r="M179" s="32">
        <v>9.5</v>
      </c>
      <c r="N179" s="32">
        <v>9.4</v>
      </c>
      <c r="O179" s="32">
        <v>9.3000000000000007</v>
      </c>
      <c r="P179" s="32">
        <v>9.1999999999999993</v>
      </c>
    </row>
    <row r="180" spans="1:16" ht="23.25" hidden="1" customHeight="1">
      <c r="A180" s="32" t="s">
        <v>179</v>
      </c>
      <c r="B180" s="32">
        <v>68</v>
      </c>
      <c r="C180" s="32">
        <v>12.81</v>
      </c>
      <c r="D180" s="32">
        <v>11.81</v>
      </c>
      <c r="E180" s="32">
        <v>11.01</v>
      </c>
      <c r="F180" s="32">
        <v>10.51</v>
      </c>
      <c r="G180" s="32">
        <v>10.11</v>
      </c>
      <c r="H180" s="32">
        <v>10.01</v>
      </c>
      <c r="I180" s="32">
        <v>9.91</v>
      </c>
      <c r="J180" s="32">
        <v>9.81</v>
      </c>
      <c r="K180" s="32">
        <v>9.7100000000000009</v>
      </c>
      <c r="L180" s="32">
        <v>9.61</v>
      </c>
      <c r="M180" s="32">
        <v>9.51</v>
      </c>
      <c r="N180" s="32">
        <v>9.41</v>
      </c>
    </row>
    <row r="181" spans="1:16" ht="23.25" hidden="1" customHeight="1">
      <c r="A181" s="32" t="s">
        <v>179</v>
      </c>
      <c r="B181" s="32">
        <v>68</v>
      </c>
      <c r="C181" s="32">
        <v>13</v>
      </c>
      <c r="D181" s="32">
        <v>12</v>
      </c>
      <c r="E181" s="32">
        <v>11.2</v>
      </c>
      <c r="F181" s="32">
        <v>10.7</v>
      </c>
      <c r="G181" s="32">
        <v>10.3</v>
      </c>
      <c r="H181" s="32">
        <v>10.199999999999999</v>
      </c>
      <c r="I181" s="32">
        <v>10.1</v>
      </c>
      <c r="J181" s="32">
        <v>10</v>
      </c>
      <c r="K181" s="32">
        <v>9.9</v>
      </c>
      <c r="L181" s="32">
        <v>9.8000000000000007</v>
      </c>
      <c r="M181" s="32">
        <v>9.6999999999999993</v>
      </c>
      <c r="N181" s="32">
        <v>9.6</v>
      </c>
      <c r="O181" s="32">
        <v>9.5</v>
      </c>
      <c r="P181" s="32">
        <v>9.4</v>
      </c>
    </row>
    <row r="182" spans="1:16" ht="23.25" hidden="1" customHeight="1">
      <c r="A182" s="32" t="s">
        <v>179</v>
      </c>
      <c r="B182" s="32">
        <v>66</v>
      </c>
      <c r="C182" s="32">
        <v>13.01</v>
      </c>
      <c r="D182" s="32">
        <v>12.01</v>
      </c>
      <c r="E182" s="32">
        <v>11.21</v>
      </c>
      <c r="F182" s="32">
        <v>10.71</v>
      </c>
      <c r="G182" s="32">
        <v>10.31</v>
      </c>
      <c r="H182" s="32">
        <v>10.210000000000001</v>
      </c>
      <c r="I182" s="32">
        <v>10.11</v>
      </c>
      <c r="J182" s="32">
        <v>10.01</v>
      </c>
      <c r="K182" s="32">
        <v>9.91</v>
      </c>
      <c r="L182" s="32">
        <v>9.81</v>
      </c>
      <c r="M182" s="32">
        <v>9.7100000000000009</v>
      </c>
      <c r="N182" s="32">
        <v>9.61</v>
      </c>
    </row>
    <row r="183" spans="1:16" ht="23.25" hidden="1" customHeight="1">
      <c r="A183" s="32" t="s">
        <v>179</v>
      </c>
      <c r="B183" s="32">
        <v>66</v>
      </c>
      <c r="C183" s="32">
        <v>13.2</v>
      </c>
      <c r="D183" s="32">
        <v>12.2</v>
      </c>
      <c r="E183" s="32">
        <v>11.4</v>
      </c>
      <c r="F183" s="32">
        <v>10.9</v>
      </c>
      <c r="G183" s="32">
        <v>10.5</v>
      </c>
      <c r="H183" s="32">
        <v>10.4</v>
      </c>
      <c r="I183" s="32">
        <v>10.3</v>
      </c>
      <c r="J183" s="32">
        <v>10.199999999999999</v>
      </c>
      <c r="K183" s="32">
        <v>10.1</v>
      </c>
      <c r="L183" s="32">
        <v>10</v>
      </c>
      <c r="M183" s="32">
        <v>9.9</v>
      </c>
      <c r="N183" s="32">
        <v>9.8000000000000007</v>
      </c>
      <c r="O183" s="32">
        <v>9.6999999999999993</v>
      </c>
      <c r="P183" s="32">
        <v>9.6</v>
      </c>
    </row>
    <row r="184" spans="1:16" ht="23.25" hidden="1" customHeight="1">
      <c r="A184" s="32" t="s">
        <v>179</v>
      </c>
      <c r="B184" s="32">
        <v>64</v>
      </c>
      <c r="C184" s="32">
        <v>13.21</v>
      </c>
      <c r="D184" s="32">
        <v>12.21</v>
      </c>
      <c r="E184" s="32">
        <v>11.41</v>
      </c>
      <c r="F184" s="32">
        <v>10.91</v>
      </c>
      <c r="G184" s="32">
        <v>10.51</v>
      </c>
      <c r="H184" s="32">
        <v>10.41</v>
      </c>
      <c r="I184" s="32">
        <v>10.31</v>
      </c>
      <c r="J184" s="32">
        <v>10.210000000000001</v>
      </c>
      <c r="K184" s="32">
        <v>10.11</v>
      </c>
      <c r="L184" s="32">
        <v>10.01</v>
      </c>
      <c r="M184" s="32">
        <v>9.91</v>
      </c>
      <c r="N184" s="32">
        <v>9.81</v>
      </c>
    </row>
    <row r="185" spans="1:16" ht="23.25" hidden="1" customHeight="1">
      <c r="A185" s="32" t="s">
        <v>179</v>
      </c>
      <c r="B185" s="32">
        <v>64</v>
      </c>
      <c r="C185" s="32">
        <v>13.4</v>
      </c>
      <c r="D185" s="32">
        <v>12.4</v>
      </c>
      <c r="E185" s="32">
        <v>11.6</v>
      </c>
      <c r="F185" s="32">
        <v>11.1</v>
      </c>
      <c r="G185" s="32">
        <v>10.7</v>
      </c>
      <c r="H185" s="32">
        <v>10.6</v>
      </c>
      <c r="I185" s="32">
        <v>10.5</v>
      </c>
      <c r="J185" s="32">
        <v>10.4</v>
      </c>
      <c r="K185" s="32">
        <v>10.3</v>
      </c>
      <c r="L185" s="32">
        <v>10.199999999999999</v>
      </c>
      <c r="M185" s="32">
        <v>10.1</v>
      </c>
      <c r="N185" s="32">
        <v>10</v>
      </c>
      <c r="O185" s="32">
        <v>9.9</v>
      </c>
      <c r="P185" s="32">
        <v>9.8000000000000007</v>
      </c>
    </row>
    <row r="186" spans="1:16" ht="23.25" hidden="1" customHeight="1">
      <c r="A186" s="32" t="s">
        <v>179</v>
      </c>
      <c r="B186" s="32">
        <v>62</v>
      </c>
      <c r="C186" s="32">
        <v>13.41</v>
      </c>
      <c r="D186" s="32">
        <v>12.41</v>
      </c>
      <c r="E186" s="32">
        <v>11.61</v>
      </c>
      <c r="F186" s="32">
        <v>11.11</v>
      </c>
      <c r="G186" s="32">
        <v>10.71</v>
      </c>
      <c r="H186" s="32">
        <v>10.61</v>
      </c>
      <c r="I186" s="32">
        <v>10.51</v>
      </c>
      <c r="J186" s="32">
        <v>10.41</v>
      </c>
      <c r="K186" s="32">
        <v>10.31</v>
      </c>
      <c r="L186" s="32">
        <v>10.210000000000001</v>
      </c>
      <c r="M186" s="32">
        <v>10.11</v>
      </c>
      <c r="N186" s="32">
        <v>10.01</v>
      </c>
    </row>
    <row r="187" spans="1:16" ht="23.25" hidden="1" customHeight="1">
      <c r="A187" s="32" t="s">
        <v>179</v>
      </c>
      <c r="B187" s="32">
        <v>62</v>
      </c>
      <c r="C187" s="32">
        <v>13.6</v>
      </c>
      <c r="D187" s="32">
        <v>12.6</v>
      </c>
      <c r="E187" s="32">
        <v>11.8</v>
      </c>
      <c r="F187" s="32">
        <v>11.3</v>
      </c>
      <c r="G187" s="32">
        <v>10.9</v>
      </c>
      <c r="H187" s="32">
        <v>10.8</v>
      </c>
      <c r="I187" s="32">
        <v>10.7</v>
      </c>
      <c r="J187" s="32">
        <v>10.6</v>
      </c>
      <c r="K187" s="32">
        <v>10.5</v>
      </c>
      <c r="L187" s="32">
        <v>10.4</v>
      </c>
      <c r="M187" s="32">
        <v>10.3</v>
      </c>
      <c r="N187" s="32">
        <v>10.199999999999999</v>
      </c>
      <c r="O187" s="32">
        <v>10.1</v>
      </c>
      <c r="P187" s="32">
        <v>10</v>
      </c>
    </row>
    <row r="188" spans="1:16" ht="23.25" hidden="1" customHeight="1">
      <c r="A188" s="32" t="s">
        <v>179</v>
      </c>
      <c r="B188" s="32">
        <v>60</v>
      </c>
      <c r="C188" s="32">
        <v>13.61</v>
      </c>
      <c r="D188" s="32">
        <v>12.61</v>
      </c>
      <c r="E188" s="32">
        <v>11.81</v>
      </c>
      <c r="F188" s="32">
        <v>11.31</v>
      </c>
      <c r="G188" s="32">
        <v>10.91</v>
      </c>
      <c r="H188" s="32">
        <v>10.81</v>
      </c>
      <c r="I188" s="32">
        <v>10.71</v>
      </c>
      <c r="J188" s="32">
        <v>10.61</v>
      </c>
      <c r="K188" s="32">
        <v>10.51</v>
      </c>
      <c r="L188" s="32">
        <v>10.41</v>
      </c>
      <c r="M188" s="32">
        <v>10.31</v>
      </c>
      <c r="N188" s="32">
        <v>10.210000000000001</v>
      </c>
    </row>
    <row r="189" spans="1:16" ht="23.25" hidden="1" customHeight="1">
      <c r="A189" s="32" t="s">
        <v>179</v>
      </c>
      <c r="B189" s="32">
        <v>60</v>
      </c>
      <c r="C189" s="32">
        <v>13.8</v>
      </c>
      <c r="D189" s="32">
        <v>12.8</v>
      </c>
      <c r="E189" s="32">
        <v>12</v>
      </c>
      <c r="F189" s="32">
        <v>11.5</v>
      </c>
      <c r="G189" s="32">
        <v>11.1</v>
      </c>
      <c r="H189" s="32">
        <v>11</v>
      </c>
      <c r="I189" s="32">
        <v>10.9</v>
      </c>
      <c r="J189" s="32">
        <v>10.8</v>
      </c>
      <c r="K189" s="32">
        <v>10.7</v>
      </c>
      <c r="L189" s="32">
        <v>10.6</v>
      </c>
      <c r="M189" s="32">
        <v>10.5</v>
      </c>
      <c r="N189" s="32">
        <v>10.4</v>
      </c>
      <c r="O189" s="32">
        <v>10.3</v>
      </c>
      <c r="P189" s="32">
        <v>10.199999999999999</v>
      </c>
    </row>
    <row r="190" spans="1:16" ht="23.25" hidden="1" customHeight="1">
      <c r="A190" s="32" t="s">
        <v>178</v>
      </c>
      <c r="B190" s="32">
        <v>50</v>
      </c>
      <c r="C190" s="32">
        <v>13.81</v>
      </c>
      <c r="D190" s="32">
        <v>12.81</v>
      </c>
      <c r="E190" s="32">
        <v>12.01</v>
      </c>
      <c r="F190" s="32">
        <v>11.51</v>
      </c>
      <c r="G190" s="32">
        <v>11.11</v>
      </c>
      <c r="H190" s="32">
        <v>11.01</v>
      </c>
      <c r="I190" s="32">
        <v>10.91</v>
      </c>
      <c r="J190" s="32">
        <v>10.81</v>
      </c>
      <c r="K190" s="32">
        <v>10.71</v>
      </c>
      <c r="L190" s="32">
        <v>10.61</v>
      </c>
      <c r="M190" s="32">
        <v>10.51</v>
      </c>
      <c r="N190" s="32">
        <v>10.41</v>
      </c>
    </row>
    <row r="191" spans="1:16" ht="23.25" hidden="1" customHeight="1">
      <c r="A191" s="32" t="s">
        <v>178</v>
      </c>
      <c r="B191" s="32">
        <v>50</v>
      </c>
      <c r="C191" s="32">
        <v>14</v>
      </c>
      <c r="D191" s="32">
        <v>13</v>
      </c>
      <c r="E191" s="32">
        <v>12.2</v>
      </c>
      <c r="F191" s="32">
        <v>11.7</v>
      </c>
      <c r="G191" s="32">
        <v>11.3</v>
      </c>
      <c r="H191" s="32">
        <v>11.2</v>
      </c>
      <c r="I191" s="32">
        <v>11.1</v>
      </c>
      <c r="J191" s="32">
        <v>11</v>
      </c>
      <c r="K191" s="32">
        <v>10.9</v>
      </c>
      <c r="L191" s="32">
        <v>10.8</v>
      </c>
      <c r="M191" s="32">
        <v>10.7</v>
      </c>
      <c r="N191" s="32">
        <v>10.6</v>
      </c>
      <c r="O191" s="32">
        <v>10.5</v>
      </c>
      <c r="P191" s="32">
        <v>10.4</v>
      </c>
    </row>
    <row r="192" spans="1:16" ht="23.25" hidden="1" customHeight="1">
      <c r="A192" s="32" t="s">
        <v>178</v>
      </c>
      <c r="B192" s="32">
        <v>40</v>
      </c>
      <c r="C192" s="32">
        <v>14.01</v>
      </c>
      <c r="D192" s="32">
        <v>13.01</v>
      </c>
      <c r="E192" s="32">
        <v>12.21</v>
      </c>
      <c r="F192" s="32">
        <v>11.71</v>
      </c>
      <c r="G192" s="32">
        <v>11.31</v>
      </c>
      <c r="H192" s="32">
        <v>11.21</v>
      </c>
      <c r="I192" s="32">
        <v>11.11</v>
      </c>
      <c r="J192" s="32">
        <v>11.01</v>
      </c>
      <c r="K192" s="32">
        <v>10.91</v>
      </c>
      <c r="L192" s="32">
        <v>10.81</v>
      </c>
      <c r="M192" s="32">
        <v>10.71</v>
      </c>
      <c r="N192" s="32">
        <v>10.61</v>
      </c>
    </row>
    <row r="193" spans="1:16" ht="23.25" hidden="1" customHeight="1">
      <c r="A193" s="32" t="s">
        <v>178</v>
      </c>
      <c r="B193" s="32">
        <v>40</v>
      </c>
      <c r="C193" s="32">
        <v>14.2</v>
      </c>
      <c r="D193" s="32">
        <v>13.2</v>
      </c>
      <c r="E193" s="32">
        <v>12.4</v>
      </c>
      <c r="F193" s="32">
        <v>11.9</v>
      </c>
      <c r="G193" s="32">
        <v>11.5</v>
      </c>
      <c r="H193" s="32">
        <v>11.4</v>
      </c>
      <c r="I193" s="32">
        <v>11.3</v>
      </c>
      <c r="J193" s="32">
        <v>11.2</v>
      </c>
      <c r="K193" s="32">
        <v>11.1</v>
      </c>
      <c r="L193" s="32">
        <v>11</v>
      </c>
      <c r="M193" s="32">
        <v>10.9</v>
      </c>
      <c r="N193" s="32">
        <v>10.8</v>
      </c>
      <c r="O193" s="32">
        <v>10.7</v>
      </c>
      <c r="P193" s="32">
        <v>10.6</v>
      </c>
    </row>
    <row r="194" spans="1:16" ht="23.25" hidden="1" customHeight="1">
      <c r="A194" s="32" t="s">
        <v>178</v>
      </c>
      <c r="B194" s="32">
        <v>30</v>
      </c>
      <c r="C194" s="32">
        <v>14.21</v>
      </c>
      <c r="D194" s="32">
        <v>13.21</v>
      </c>
      <c r="E194" s="32">
        <v>12.41</v>
      </c>
      <c r="F194" s="32">
        <v>11.91</v>
      </c>
      <c r="G194" s="32">
        <v>11.51</v>
      </c>
      <c r="H194" s="32">
        <v>11.41</v>
      </c>
      <c r="I194" s="32">
        <v>11.31</v>
      </c>
      <c r="J194" s="32">
        <v>11.21</v>
      </c>
      <c r="K194" s="32">
        <v>11.11</v>
      </c>
      <c r="L194" s="32">
        <v>11.01</v>
      </c>
      <c r="M194" s="32">
        <v>10.91</v>
      </c>
      <c r="N194" s="32">
        <v>10.81</v>
      </c>
    </row>
    <row r="195" spans="1:16" ht="23.25" hidden="1" customHeight="1">
      <c r="A195" s="32" t="s">
        <v>178</v>
      </c>
      <c r="B195" s="32">
        <v>30</v>
      </c>
      <c r="C195" s="32">
        <v>14.4</v>
      </c>
      <c r="D195" s="32">
        <v>13.4</v>
      </c>
      <c r="E195" s="32">
        <v>12.6</v>
      </c>
      <c r="F195" s="32">
        <v>12.1</v>
      </c>
      <c r="G195" s="32">
        <v>11.7</v>
      </c>
      <c r="H195" s="32">
        <v>11.6</v>
      </c>
      <c r="I195" s="32">
        <v>11.5</v>
      </c>
      <c r="J195" s="32">
        <v>11.4</v>
      </c>
      <c r="K195" s="32">
        <v>11.3</v>
      </c>
      <c r="L195" s="32">
        <v>11.2</v>
      </c>
      <c r="M195" s="32">
        <v>11.1</v>
      </c>
      <c r="N195" s="32">
        <v>11</v>
      </c>
      <c r="O195" s="32">
        <v>10.9</v>
      </c>
      <c r="P195" s="32">
        <v>10.8</v>
      </c>
    </row>
    <row r="196" spans="1:16" ht="23.25" hidden="1" customHeight="1">
      <c r="A196" s="32" t="s">
        <v>178</v>
      </c>
      <c r="B196" s="32">
        <v>20</v>
      </c>
      <c r="C196" s="32">
        <v>14.41</v>
      </c>
      <c r="D196" s="32">
        <v>13.41</v>
      </c>
      <c r="E196" s="32">
        <v>12.61</v>
      </c>
      <c r="F196" s="32">
        <v>12.11</v>
      </c>
      <c r="G196" s="32">
        <v>11.71</v>
      </c>
      <c r="H196" s="32">
        <v>11.61</v>
      </c>
      <c r="I196" s="32">
        <v>11.51</v>
      </c>
      <c r="J196" s="32">
        <v>11.41</v>
      </c>
      <c r="K196" s="32">
        <v>11.31</v>
      </c>
      <c r="L196" s="32">
        <v>11.21</v>
      </c>
      <c r="M196" s="32">
        <v>11.11</v>
      </c>
      <c r="N196" s="32">
        <v>11.01</v>
      </c>
    </row>
    <row r="197" spans="1:16" ht="23.25" hidden="1" customHeight="1">
      <c r="A197" s="32" t="s">
        <v>178</v>
      </c>
      <c r="B197" s="32">
        <v>20</v>
      </c>
      <c r="C197" s="32">
        <v>14.6</v>
      </c>
      <c r="D197" s="32">
        <v>13.6</v>
      </c>
      <c r="E197" s="32">
        <v>12.8</v>
      </c>
      <c r="F197" s="32">
        <v>12.3</v>
      </c>
      <c r="G197" s="32">
        <v>11.9</v>
      </c>
      <c r="H197" s="32">
        <v>11.8</v>
      </c>
      <c r="I197" s="32">
        <v>11.7</v>
      </c>
      <c r="J197" s="32">
        <v>11.6</v>
      </c>
      <c r="K197" s="32">
        <v>11.5</v>
      </c>
      <c r="L197" s="32">
        <v>11.4</v>
      </c>
      <c r="M197" s="32">
        <v>11.3</v>
      </c>
      <c r="N197" s="32">
        <v>11.2</v>
      </c>
      <c r="O197" s="32">
        <v>11.1</v>
      </c>
      <c r="P197" s="32">
        <v>11</v>
      </c>
    </row>
    <row r="198" spans="1:16" ht="23.25" hidden="1" customHeight="1">
      <c r="A198" s="32" t="s">
        <v>178</v>
      </c>
      <c r="B198" s="32">
        <v>10</v>
      </c>
      <c r="C198" s="32">
        <v>14.61</v>
      </c>
      <c r="D198" s="32">
        <v>13.61</v>
      </c>
      <c r="E198" s="32">
        <v>12.81</v>
      </c>
      <c r="F198" s="32">
        <v>12.31</v>
      </c>
      <c r="G198" s="32">
        <v>11.91</v>
      </c>
      <c r="H198" s="32">
        <v>11.81</v>
      </c>
      <c r="I198" s="32">
        <v>11.71</v>
      </c>
      <c r="J198" s="32">
        <v>11.61</v>
      </c>
      <c r="K198" s="32">
        <v>11.51</v>
      </c>
      <c r="L198" s="32">
        <v>11.41</v>
      </c>
      <c r="M198" s="32">
        <v>11.31</v>
      </c>
      <c r="N198" s="32">
        <v>11.21</v>
      </c>
      <c r="O198" s="32">
        <v>11.11</v>
      </c>
      <c r="P198" s="32">
        <v>11.01</v>
      </c>
    </row>
    <row r="199" spans="1:16" ht="23.25" hidden="1" customHeight="1">
      <c r="A199" s="32" t="s">
        <v>178</v>
      </c>
      <c r="B199" s="32">
        <v>10</v>
      </c>
      <c r="C199" s="32">
        <v>14.8</v>
      </c>
      <c r="D199" s="32">
        <v>13.8</v>
      </c>
      <c r="E199" s="32">
        <v>13</v>
      </c>
      <c r="F199" s="32">
        <v>12.5</v>
      </c>
      <c r="G199" s="32">
        <v>12.1</v>
      </c>
      <c r="H199" s="32">
        <v>12</v>
      </c>
      <c r="I199" s="32">
        <v>11.9</v>
      </c>
      <c r="J199" s="32">
        <v>11.8</v>
      </c>
      <c r="K199" s="32">
        <v>11.7</v>
      </c>
      <c r="L199" s="32">
        <v>11.6</v>
      </c>
      <c r="M199" s="32">
        <v>11.5</v>
      </c>
      <c r="N199" s="32">
        <v>11.4</v>
      </c>
      <c r="O199" s="32">
        <v>11.3</v>
      </c>
      <c r="P199" s="32">
        <v>11.2</v>
      </c>
    </row>
    <row r="200" spans="1:16" ht="23.25" hidden="1" customHeight="1">
      <c r="A200" s="32" t="s">
        <v>178</v>
      </c>
      <c r="B200" s="32">
        <v>0</v>
      </c>
      <c r="C200" s="32">
        <v>14.81</v>
      </c>
      <c r="D200" s="32">
        <v>13.81</v>
      </c>
      <c r="E200" s="32">
        <v>13.01</v>
      </c>
      <c r="F200" s="32">
        <v>12.51</v>
      </c>
      <c r="G200" s="32">
        <v>12.11</v>
      </c>
      <c r="H200" s="32">
        <v>12.01</v>
      </c>
      <c r="I200" s="32">
        <v>11.91</v>
      </c>
      <c r="J200" s="32">
        <v>11.81</v>
      </c>
      <c r="K200" s="32">
        <v>11.71</v>
      </c>
      <c r="L200" s="32">
        <v>11.61</v>
      </c>
      <c r="M200" s="32">
        <v>11.51</v>
      </c>
      <c r="N200" s="32">
        <v>11.41</v>
      </c>
    </row>
    <row r="201" spans="1:16" ht="23.25" hidden="1" customHeight="1">
      <c r="A201" s="32" t="s">
        <v>178</v>
      </c>
      <c r="B201" s="32">
        <v>0</v>
      </c>
      <c r="C201" s="32">
        <v>20</v>
      </c>
      <c r="D201" s="32">
        <v>20</v>
      </c>
      <c r="E201" s="32">
        <v>20</v>
      </c>
      <c r="F201" s="32">
        <v>20</v>
      </c>
      <c r="G201" s="32">
        <v>20</v>
      </c>
      <c r="H201" s="32">
        <v>20</v>
      </c>
      <c r="I201" s="32">
        <v>20</v>
      </c>
      <c r="J201" s="32">
        <v>20</v>
      </c>
      <c r="K201" s="32">
        <v>20</v>
      </c>
      <c r="L201" s="32">
        <v>20</v>
      </c>
      <c r="M201" s="32">
        <v>20</v>
      </c>
      <c r="N201" s="32">
        <v>20</v>
      </c>
    </row>
    <row r="202" spans="1:16" ht="23.25" hidden="1" customHeight="1">
      <c r="A202" s="36" t="s">
        <v>188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</row>
    <row r="203" spans="1:16" ht="23.25" hidden="1" customHeight="1">
      <c r="A203" s="36" t="s">
        <v>163</v>
      </c>
      <c r="B203" s="33" t="s">
        <v>164</v>
      </c>
      <c r="C203" s="36" t="s">
        <v>165</v>
      </c>
      <c r="D203" s="36" t="s">
        <v>166</v>
      </c>
      <c r="E203" s="36" t="s">
        <v>167</v>
      </c>
      <c r="F203" s="36" t="s">
        <v>168</v>
      </c>
      <c r="G203" s="36" t="s">
        <v>169</v>
      </c>
      <c r="H203" s="36" t="s">
        <v>170</v>
      </c>
      <c r="I203" s="36" t="s">
        <v>171</v>
      </c>
      <c r="J203" s="36" t="s">
        <v>172</v>
      </c>
      <c r="K203" s="36" t="s">
        <v>173</v>
      </c>
      <c r="L203" s="36" t="s">
        <v>174</v>
      </c>
      <c r="M203" s="36" t="s">
        <v>175</v>
      </c>
      <c r="N203" s="36" t="s">
        <v>176</v>
      </c>
      <c r="O203" s="32" t="s">
        <v>240</v>
      </c>
      <c r="P203" s="32" t="s">
        <v>241</v>
      </c>
    </row>
    <row r="204" spans="1:16" ht="23.25" hidden="1" customHeight="1">
      <c r="A204" s="36"/>
      <c r="B204" s="33" t="s">
        <v>177</v>
      </c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2" t="s">
        <v>242</v>
      </c>
      <c r="P204" s="32" t="s">
        <v>243</v>
      </c>
    </row>
    <row r="205" spans="1:16" ht="23.25" hidden="1" customHeight="1">
      <c r="A205" s="33" t="s">
        <v>178</v>
      </c>
      <c r="B205" s="33">
        <v>0</v>
      </c>
      <c r="C205" s="33">
        <v>-20</v>
      </c>
      <c r="D205" s="33">
        <v>-20</v>
      </c>
      <c r="E205" s="33">
        <v>-20</v>
      </c>
      <c r="F205" s="33">
        <v>-20</v>
      </c>
      <c r="G205" s="33">
        <v>-20</v>
      </c>
      <c r="H205" s="33">
        <v>-20</v>
      </c>
      <c r="I205" s="33">
        <v>-20</v>
      </c>
      <c r="J205" s="33">
        <v>-20</v>
      </c>
      <c r="K205" s="33">
        <v>-20</v>
      </c>
      <c r="L205" s="33">
        <v>-20</v>
      </c>
      <c r="M205" s="33">
        <v>-20</v>
      </c>
      <c r="N205" s="33">
        <v>-20</v>
      </c>
    </row>
    <row r="206" spans="1:16" ht="23.25" hidden="1" customHeight="1">
      <c r="A206" s="33" t="s">
        <v>178</v>
      </c>
      <c r="B206" s="33">
        <v>0</v>
      </c>
      <c r="C206" s="33">
        <v>-4.01</v>
      </c>
      <c r="D206" s="33">
        <v>-4.41</v>
      </c>
      <c r="E206" s="33">
        <v>-4.8099999999999996</v>
      </c>
      <c r="F206" s="33">
        <v>-7.21</v>
      </c>
      <c r="G206" s="33">
        <v>-7.61</v>
      </c>
      <c r="H206" s="33">
        <v>-9.01</v>
      </c>
      <c r="I206" s="33">
        <v>-8.61</v>
      </c>
      <c r="J206" s="33">
        <v>-7.41</v>
      </c>
      <c r="K206" s="33">
        <v>-6.21</v>
      </c>
      <c r="L206" s="33">
        <v>-4.01</v>
      </c>
      <c r="M206" s="33">
        <v>-2.91</v>
      </c>
      <c r="N206" s="33">
        <v>-1.81</v>
      </c>
      <c r="O206" s="32">
        <v>24.9</v>
      </c>
      <c r="P206" s="32">
        <v>25.1</v>
      </c>
    </row>
    <row r="207" spans="1:16" ht="23.25" hidden="1" customHeight="1">
      <c r="A207" s="33" t="s">
        <v>178</v>
      </c>
      <c r="B207" s="33">
        <v>10</v>
      </c>
      <c r="C207" s="33">
        <v>-4</v>
      </c>
      <c r="D207" s="33">
        <v>-4.4000000000000004</v>
      </c>
      <c r="E207" s="33">
        <v>-4.8</v>
      </c>
      <c r="F207" s="33">
        <v>-7.2</v>
      </c>
      <c r="G207" s="33">
        <v>-7.6</v>
      </c>
      <c r="H207" s="33">
        <v>-9</v>
      </c>
      <c r="I207" s="33">
        <v>-8.6</v>
      </c>
      <c r="J207" s="33">
        <v>-7.4</v>
      </c>
      <c r="K207" s="33">
        <v>-6.2</v>
      </c>
      <c r="L207" s="33">
        <v>-4</v>
      </c>
      <c r="M207" s="33">
        <v>-2.9</v>
      </c>
      <c r="N207" s="33">
        <v>-1.8</v>
      </c>
    </row>
    <row r="208" spans="1:16" ht="23.25" hidden="1" customHeight="1">
      <c r="A208" s="33" t="s">
        <v>178</v>
      </c>
      <c r="B208" s="33">
        <v>10</v>
      </c>
      <c r="C208" s="33">
        <v>-3.21</v>
      </c>
      <c r="D208" s="33">
        <v>-3.61</v>
      </c>
      <c r="E208" s="33">
        <v>-4.01</v>
      </c>
      <c r="F208" s="33">
        <v>-6.21</v>
      </c>
      <c r="G208" s="33">
        <v>-6.61</v>
      </c>
      <c r="H208" s="33">
        <v>-8.01</v>
      </c>
      <c r="I208" s="33">
        <v>-7.41</v>
      </c>
      <c r="J208" s="33">
        <v>-6.21</v>
      </c>
      <c r="K208" s="33">
        <v>-5.01</v>
      </c>
      <c r="L208" s="33">
        <v>-3.01</v>
      </c>
      <c r="M208" s="33">
        <v>-1.91</v>
      </c>
      <c r="N208" s="33">
        <v>-0.81</v>
      </c>
      <c r="O208" s="32">
        <v>23.1</v>
      </c>
      <c r="P208" s="32">
        <v>23.3</v>
      </c>
    </row>
    <row r="209" spans="1:16" ht="23.25" hidden="1" customHeight="1">
      <c r="A209" s="33" t="s">
        <v>178</v>
      </c>
      <c r="B209" s="33">
        <v>20</v>
      </c>
      <c r="C209" s="33">
        <v>-3.2</v>
      </c>
      <c r="D209" s="33">
        <v>-3.6</v>
      </c>
      <c r="E209" s="33">
        <v>-4</v>
      </c>
      <c r="F209" s="33">
        <v>-6.2</v>
      </c>
      <c r="G209" s="33">
        <v>-6.6</v>
      </c>
      <c r="H209" s="33">
        <v>-8</v>
      </c>
      <c r="I209" s="33">
        <v>-7.4</v>
      </c>
      <c r="J209" s="33">
        <v>-6.2</v>
      </c>
      <c r="K209" s="33">
        <v>-5</v>
      </c>
      <c r="L209" s="33">
        <v>-3</v>
      </c>
      <c r="M209" s="33">
        <v>-1.9</v>
      </c>
      <c r="N209" s="33">
        <v>-0.8</v>
      </c>
    </row>
    <row r="210" spans="1:16" ht="23.25" hidden="1" customHeight="1">
      <c r="A210" s="33" t="s">
        <v>178</v>
      </c>
      <c r="B210" s="33">
        <v>20</v>
      </c>
      <c r="C210" s="33">
        <v>-2.41</v>
      </c>
      <c r="D210" s="33">
        <v>-2.81</v>
      </c>
      <c r="E210" s="33">
        <v>-3.21</v>
      </c>
      <c r="F210" s="33">
        <v>-5.21</v>
      </c>
      <c r="G210" s="33">
        <v>-5.61</v>
      </c>
      <c r="H210" s="33">
        <v>-7.01</v>
      </c>
      <c r="I210" s="33">
        <v>-6.21</v>
      </c>
      <c r="J210" s="33">
        <v>-5.01</v>
      </c>
      <c r="K210" s="33">
        <v>-3.81</v>
      </c>
      <c r="L210" s="33">
        <v>-2.0099999999999998</v>
      </c>
      <c r="M210" s="33">
        <v>-0.91</v>
      </c>
      <c r="N210" s="33">
        <v>0.19</v>
      </c>
      <c r="O210" s="32">
        <v>21.3</v>
      </c>
      <c r="P210" s="32">
        <v>21.5</v>
      </c>
    </row>
    <row r="211" spans="1:16" ht="23.25" hidden="1" customHeight="1">
      <c r="A211" s="33" t="s">
        <v>178</v>
      </c>
      <c r="B211" s="33">
        <v>30</v>
      </c>
      <c r="C211" s="33">
        <v>-2.4</v>
      </c>
      <c r="D211" s="33">
        <v>-2.8</v>
      </c>
      <c r="E211" s="33">
        <v>-3.2</v>
      </c>
      <c r="F211" s="33">
        <v>-5.2</v>
      </c>
      <c r="G211" s="33">
        <v>-5.6</v>
      </c>
      <c r="H211" s="33">
        <v>-7</v>
      </c>
      <c r="I211" s="33">
        <v>-6.2</v>
      </c>
      <c r="J211" s="33">
        <v>-5</v>
      </c>
      <c r="K211" s="33">
        <v>-3.8</v>
      </c>
      <c r="L211" s="33">
        <v>-2</v>
      </c>
      <c r="M211" s="33">
        <v>-0.9</v>
      </c>
      <c r="N211" s="33">
        <v>0.2</v>
      </c>
    </row>
    <row r="212" spans="1:16" ht="23.25" hidden="1" customHeight="1">
      <c r="A212" s="33" t="s">
        <v>178</v>
      </c>
      <c r="B212" s="33">
        <v>30</v>
      </c>
      <c r="C212" s="33">
        <v>-1.61</v>
      </c>
      <c r="D212" s="33">
        <v>-2.0099999999999998</v>
      </c>
      <c r="E212" s="33">
        <v>-2.41</v>
      </c>
      <c r="F212" s="33">
        <v>-4.21</v>
      </c>
      <c r="G212" s="33">
        <v>-4.6100000000000003</v>
      </c>
      <c r="H212" s="33">
        <v>-6.01</v>
      </c>
      <c r="I212" s="33">
        <v>-5.01</v>
      </c>
      <c r="J212" s="33">
        <v>-3.81</v>
      </c>
      <c r="K212" s="33">
        <v>-2.61</v>
      </c>
      <c r="L212" s="33">
        <v>-1.01</v>
      </c>
      <c r="M212" s="33">
        <v>0.09</v>
      </c>
      <c r="N212" s="33">
        <v>1.19</v>
      </c>
      <c r="O212" s="32">
        <v>19.5</v>
      </c>
      <c r="P212" s="32">
        <v>19.899999999999999</v>
      </c>
    </row>
    <row r="213" spans="1:16" ht="23.25" hidden="1" customHeight="1">
      <c r="A213" s="33" t="s">
        <v>178</v>
      </c>
      <c r="B213" s="33">
        <v>40</v>
      </c>
      <c r="C213" s="33">
        <v>-1.6</v>
      </c>
      <c r="D213" s="33">
        <v>-2</v>
      </c>
      <c r="E213" s="33">
        <v>-2.4</v>
      </c>
      <c r="F213" s="33">
        <v>-4.2</v>
      </c>
      <c r="G213" s="33">
        <v>-4.5999999999999996</v>
      </c>
      <c r="H213" s="33">
        <v>-6</v>
      </c>
      <c r="I213" s="33">
        <v>-5</v>
      </c>
      <c r="J213" s="33">
        <v>-3.8</v>
      </c>
      <c r="K213" s="33">
        <v>-2.6</v>
      </c>
      <c r="L213" s="33">
        <v>-1</v>
      </c>
      <c r="M213" s="33">
        <v>0.1</v>
      </c>
      <c r="N213" s="33">
        <v>1.2</v>
      </c>
    </row>
    <row r="214" spans="1:16" ht="23.25" hidden="1" customHeight="1">
      <c r="A214" s="33" t="s">
        <v>178</v>
      </c>
      <c r="B214" s="33">
        <v>40</v>
      </c>
      <c r="C214" s="33">
        <v>-0.81</v>
      </c>
      <c r="D214" s="33">
        <v>-1.21</v>
      </c>
      <c r="E214" s="33">
        <v>-1.61</v>
      </c>
      <c r="F214" s="33">
        <v>-3.21</v>
      </c>
      <c r="G214" s="33">
        <v>-3.61</v>
      </c>
      <c r="H214" s="33">
        <v>-5.01</v>
      </c>
      <c r="I214" s="33">
        <v>-3.81</v>
      </c>
      <c r="J214" s="33">
        <v>-2.61</v>
      </c>
      <c r="K214" s="33">
        <v>-1.41</v>
      </c>
      <c r="L214" s="33">
        <v>-0.99</v>
      </c>
      <c r="M214" s="33">
        <v>1.0900000000000001</v>
      </c>
      <c r="N214" s="33">
        <v>2.19</v>
      </c>
      <c r="O214" s="32">
        <v>17.7</v>
      </c>
      <c r="P214" s="32">
        <v>18.2</v>
      </c>
    </row>
    <row r="215" spans="1:16" ht="23.25" hidden="1" customHeight="1">
      <c r="A215" s="33" t="s">
        <v>178</v>
      </c>
      <c r="B215" s="33">
        <v>50</v>
      </c>
      <c r="C215" s="33">
        <v>-0.8</v>
      </c>
      <c r="D215" s="33">
        <v>-1.2</v>
      </c>
      <c r="E215" s="33">
        <v>-1.6</v>
      </c>
      <c r="F215" s="33">
        <v>-3.2</v>
      </c>
      <c r="G215" s="33">
        <v>-3.6</v>
      </c>
      <c r="H215" s="33">
        <v>-5</v>
      </c>
      <c r="I215" s="33">
        <v>-3.8</v>
      </c>
      <c r="J215" s="33">
        <v>-2.6</v>
      </c>
      <c r="K215" s="33">
        <v>-1.4</v>
      </c>
      <c r="L215" s="33">
        <v>0</v>
      </c>
      <c r="M215" s="33">
        <v>1.1000000000000001</v>
      </c>
      <c r="N215" s="33">
        <v>2.2000000000000002</v>
      </c>
    </row>
    <row r="216" spans="1:16" ht="23.25" hidden="1" customHeight="1">
      <c r="A216" s="33" t="s">
        <v>178</v>
      </c>
      <c r="B216" s="33">
        <v>50</v>
      </c>
      <c r="C216" s="33">
        <v>-0.99</v>
      </c>
      <c r="D216" s="33">
        <v>-0.41</v>
      </c>
      <c r="E216" s="33">
        <v>-0.81</v>
      </c>
      <c r="F216" s="33">
        <v>-2.21</v>
      </c>
      <c r="G216" s="33">
        <v>-2.61</v>
      </c>
      <c r="H216" s="33">
        <v>-4.01</v>
      </c>
      <c r="I216" s="33">
        <v>-2.61</v>
      </c>
      <c r="J216" s="33">
        <v>-1.41</v>
      </c>
      <c r="K216" s="33">
        <v>-0.21</v>
      </c>
      <c r="L216" s="33">
        <v>0.99</v>
      </c>
      <c r="M216" s="33">
        <v>2.09</v>
      </c>
      <c r="N216" s="33">
        <v>3.19</v>
      </c>
      <c r="O216" s="32">
        <v>16.3</v>
      </c>
      <c r="P216" s="32">
        <v>16.8</v>
      </c>
    </row>
    <row r="217" spans="1:16" ht="23.25" hidden="1" customHeight="1">
      <c r="A217" s="33" t="s">
        <v>179</v>
      </c>
      <c r="B217" s="33">
        <v>60</v>
      </c>
      <c r="C217" s="33">
        <v>0</v>
      </c>
      <c r="D217" s="33">
        <v>-0.4</v>
      </c>
      <c r="E217" s="33">
        <v>-0.8</v>
      </c>
      <c r="F217" s="33">
        <v>-2.2000000000000002</v>
      </c>
      <c r="G217" s="33">
        <v>-2.6</v>
      </c>
      <c r="H217" s="33">
        <v>-4</v>
      </c>
      <c r="I217" s="33">
        <v>-2.6</v>
      </c>
      <c r="J217" s="33">
        <v>-1.4</v>
      </c>
      <c r="K217" s="33">
        <v>-0.2</v>
      </c>
      <c r="L217" s="33">
        <v>1</v>
      </c>
      <c r="M217" s="33">
        <v>2.1</v>
      </c>
      <c r="N217" s="33">
        <v>3.2</v>
      </c>
    </row>
    <row r="218" spans="1:16" ht="23.25" hidden="1" customHeight="1">
      <c r="A218" s="33" t="s">
        <v>179</v>
      </c>
      <c r="B218" s="33">
        <v>60</v>
      </c>
      <c r="C218" s="33">
        <v>1.0900000000000001</v>
      </c>
      <c r="D218" s="33">
        <v>0.69</v>
      </c>
      <c r="E218" s="33">
        <v>0.28999999999999998</v>
      </c>
      <c r="F218" s="33">
        <v>-1.1000000000000001</v>
      </c>
      <c r="G218" s="33">
        <v>-1.41</v>
      </c>
      <c r="H218" s="33">
        <v>-2.71</v>
      </c>
      <c r="I218" s="33">
        <v>-1.31</v>
      </c>
      <c r="J218" s="33">
        <v>-0.11</v>
      </c>
      <c r="K218" s="33">
        <v>1.19</v>
      </c>
      <c r="L218" s="33">
        <v>2.39</v>
      </c>
      <c r="M218" s="33">
        <v>3.49</v>
      </c>
      <c r="N218" s="33">
        <v>4.59</v>
      </c>
      <c r="O218" s="32">
        <v>14.9</v>
      </c>
      <c r="P218" s="32">
        <v>15.4</v>
      </c>
    </row>
    <row r="219" spans="1:16" ht="23.25" hidden="1" customHeight="1">
      <c r="A219" s="33" t="s">
        <v>179</v>
      </c>
      <c r="B219" s="33">
        <v>62</v>
      </c>
      <c r="C219" s="33">
        <v>1.1000000000000001</v>
      </c>
      <c r="D219" s="33">
        <v>0.7</v>
      </c>
      <c r="E219" s="33">
        <v>0.3</v>
      </c>
      <c r="F219" s="33">
        <v>-1</v>
      </c>
      <c r="G219" s="33">
        <v>-1.4</v>
      </c>
      <c r="H219" s="33">
        <v>-2.7</v>
      </c>
      <c r="I219" s="33">
        <v>-1.3</v>
      </c>
      <c r="J219" s="33">
        <v>-0.1</v>
      </c>
      <c r="K219" s="33">
        <v>1.2</v>
      </c>
      <c r="L219" s="33">
        <v>2.4</v>
      </c>
      <c r="M219" s="33">
        <v>3.5</v>
      </c>
      <c r="N219" s="33">
        <v>4.5999999999999996</v>
      </c>
    </row>
    <row r="220" spans="1:16" ht="23.25" hidden="1" customHeight="1">
      <c r="A220" s="33" t="s">
        <v>179</v>
      </c>
      <c r="B220" s="33">
        <v>62</v>
      </c>
      <c r="C220" s="33">
        <v>2.19</v>
      </c>
      <c r="D220" s="33">
        <v>1.79</v>
      </c>
      <c r="E220" s="33">
        <v>1.39</v>
      </c>
      <c r="F220" s="33">
        <v>0.19</v>
      </c>
      <c r="G220" s="33">
        <v>-0.21</v>
      </c>
      <c r="H220" s="33">
        <v>-1.41</v>
      </c>
      <c r="I220" s="33">
        <v>-0.99</v>
      </c>
      <c r="J220" s="33">
        <v>1.19</v>
      </c>
      <c r="K220" s="33">
        <v>2.59</v>
      </c>
      <c r="L220" s="33">
        <v>3.79</v>
      </c>
      <c r="M220" s="33">
        <v>4.8899999999999997</v>
      </c>
      <c r="N220" s="33">
        <v>5.99</v>
      </c>
      <c r="O220" s="32">
        <v>13.5</v>
      </c>
      <c r="P220" s="32">
        <v>14</v>
      </c>
    </row>
    <row r="221" spans="1:16" ht="23.25" hidden="1" customHeight="1">
      <c r="A221" s="33" t="s">
        <v>179</v>
      </c>
      <c r="B221" s="33">
        <v>64</v>
      </c>
      <c r="C221" s="33">
        <v>2.2000000000000002</v>
      </c>
      <c r="D221" s="33">
        <v>1.8</v>
      </c>
      <c r="E221" s="33">
        <v>1.4</v>
      </c>
      <c r="F221" s="33">
        <v>0.2</v>
      </c>
      <c r="G221" s="33">
        <v>-0.2</v>
      </c>
      <c r="H221" s="33">
        <v>-1.4</v>
      </c>
      <c r="I221" s="33">
        <v>0</v>
      </c>
      <c r="J221" s="33">
        <v>1.2</v>
      </c>
      <c r="K221" s="33">
        <v>2.6</v>
      </c>
      <c r="L221" s="33">
        <v>3.8</v>
      </c>
      <c r="M221" s="33">
        <v>4.9000000000000004</v>
      </c>
      <c r="N221" s="33">
        <v>6</v>
      </c>
    </row>
    <row r="222" spans="1:16" ht="23.25" hidden="1" customHeight="1">
      <c r="A222" s="33" t="s">
        <v>179</v>
      </c>
      <c r="B222" s="33">
        <v>64</v>
      </c>
      <c r="C222" s="33">
        <v>3.29</v>
      </c>
      <c r="D222" s="33">
        <v>2.89</v>
      </c>
      <c r="E222" s="33">
        <v>2.4900000000000002</v>
      </c>
      <c r="F222" s="33">
        <v>1.39</v>
      </c>
      <c r="G222" s="33">
        <v>0.99</v>
      </c>
      <c r="H222" s="33">
        <v>-0.11</v>
      </c>
      <c r="I222" s="33">
        <v>1.29</v>
      </c>
      <c r="J222" s="33">
        <v>2.4900000000000002</v>
      </c>
      <c r="K222" s="33">
        <v>3.99</v>
      </c>
      <c r="L222" s="33">
        <v>5.19</v>
      </c>
      <c r="M222" s="33">
        <v>6.29</v>
      </c>
      <c r="N222" s="33">
        <v>7.39</v>
      </c>
      <c r="O222" s="32">
        <v>12.1</v>
      </c>
      <c r="P222" s="32">
        <v>12.6</v>
      </c>
    </row>
    <row r="223" spans="1:16" ht="23.25" hidden="1" customHeight="1">
      <c r="A223" s="33" t="s">
        <v>179</v>
      </c>
      <c r="B223" s="33">
        <v>66</v>
      </c>
      <c r="C223" s="33">
        <v>3.3</v>
      </c>
      <c r="D223" s="33">
        <v>2.9</v>
      </c>
      <c r="E223" s="33">
        <v>2.5</v>
      </c>
      <c r="F223" s="33">
        <v>1.4</v>
      </c>
      <c r="G223" s="33">
        <v>1</v>
      </c>
      <c r="H223" s="33">
        <v>-0.1</v>
      </c>
      <c r="I223" s="33">
        <v>1.3</v>
      </c>
      <c r="J223" s="33">
        <v>2.5</v>
      </c>
      <c r="K223" s="33">
        <v>4</v>
      </c>
      <c r="L223" s="33">
        <v>5.2</v>
      </c>
      <c r="M223" s="33">
        <v>6.3</v>
      </c>
      <c r="N223" s="33">
        <v>7.4</v>
      </c>
    </row>
    <row r="224" spans="1:16" ht="23.25" hidden="1" customHeight="1">
      <c r="A224" s="33" t="s">
        <v>179</v>
      </c>
      <c r="B224" s="33">
        <v>66</v>
      </c>
      <c r="C224" s="33">
        <v>4.3899999999999997</v>
      </c>
      <c r="D224" s="33">
        <v>3.99</v>
      </c>
      <c r="E224" s="33">
        <v>3.59</v>
      </c>
      <c r="F224" s="33">
        <v>2.59</v>
      </c>
      <c r="G224" s="33">
        <v>2.19</v>
      </c>
      <c r="H224" s="33">
        <v>1.19</v>
      </c>
      <c r="I224" s="33">
        <v>2.59</v>
      </c>
      <c r="J224" s="33">
        <v>3.79</v>
      </c>
      <c r="K224" s="33">
        <v>5.39</v>
      </c>
      <c r="L224" s="33">
        <v>6.59</v>
      </c>
      <c r="M224" s="33">
        <v>7.69</v>
      </c>
      <c r="N224" s="33">
        <v>8.7899999999999991</v>
      </c>
      <c r="O224" s="32">
        <v>10.7</v>
      </c>
      <c r="P224" s="32">
        <v>11.2</v>
      </c>
    </row>
    <row r="225" spans="1:16" ht="23.25" hidden="1" customHeight="1">
      <c r="A225" s="33" t="s">
        <v>179</v>
      </c>
      <c r="B225" s="33">
        <v>68</v>
      </c>
      <c r="C225" s="33">
        <v>4.4000000000000004</v>
      </c>
      <c r="D225" s="33">
        <v>4</v>
      </c>
      <c r="E225" s="33">
        <v>3.6</v>
      </c>
      <c r="F225" s="33">
        <v>2.6</v>
      </c>
      <c r="G225" s="33">
        <v>2.2000000000000002</v>
      </c>
      <c r="H225" s="33">
        <v>1.2</v>
      </c>
      <c r="I225" s="33">
        <v>2.6</v>
      </c>
      <c r="J225" s="33">
        <v>3.8</v>
      </c>
      <c r="K225" s="33">
        <v>5.4</v>
      </c>
      <c r="L225" s="33">
        <v>6.6</v>
      </c>
      <c r="M225" s="33">
        <v>7.7</v>
      </c>
      <c r="N225" s="33">
        <v>8.8000000000000007</v>
      </c>
    </row>
    <row r="226" spans="1:16" ht="23.25" hidden="1" customHeight="1">
      <c r="A226" s="33" t="s">
        <v>179</v>
      </c>
      <c r="B226" s="33">
        <v>68</v>
      </c>
      <c r="C226" s="33">
        <v>5.49</v>
      </c>
      <c r="D226" s="33">
        <v>5.09</v>
      </c>
      <c r="E226" s="33">
        <v>4.6900000000000004</v>
      </c>
      <c r="F226" s="33">
        <v>3.79</v>
      </c>
      <c r="G226" s="33">
        <v>3.39</v>
      </c>
      <c r="H226" s="33">
        <v>2.4900000000000002</v>
      </c>
      <c r="I226" s="33">
        <v>3.89</v>
      </c>
      <c r="J226" s="33">
        <v>5.09</v>
      </c>
      <c r="K226" s="33">
        <v>6.79</v>
      </c>
      <c r="L226" s="33">
        <v>7.99</v>
      </c>
      <c r="M226" s="33">
        <v>9.09</v>
      </c>
      <c r="N226" s="33">
        <v>10.19</v>
      </c>
      <c r="O226" s="32">
        <v>9.3000000000000007</v>
      </c>
      <c r="P226" s="32">
        <v>9.8000000000000007</v>
      </c>
    </row>
    <row r="227" spans="1:16" ht="23.25" hidden="1" customHeight="1">
      <c r="A227" s="33" t="s">
        <v>179</v>
      </c>
      <c r="B227" s="33">
        <v>70</v>
      </c>
      <c r="C227" s="33">
        <v>5.5</v>
      </c>
      <c r="D227" s="33">
        <v>5.0999999999999996</v>
      </c>
      <c r="E227" s="33">
        <v>4.7</v>
      </c>
      <c r="F227" s="33">
        <v>3.8</v>
      </c>
      <c r="G227" s="33">
        <v>3.4</v>
      </c>
      <c r="H227" s="33">
        <v>2.5</v>
      </c>
      <c r="I227" s="33">
        <v>3.9</v>
      </c>
      <c r="J227" s="33">
        <v>5.0999999999999996</v>
      </c>
      <c r="K227" s="33">
        <v>6.8</v>
      </c>
      <c r="L227" s="33">
        <v>8</v>
      </c>
      <c r="M227" s="33">
        <v>9.1</v>
      </c>
      <c r="N227" s="33">
        <v>10.199999999999999</v>
      </c>
    </row>
    <row r="228" spans="1:16" ht="23.25" hidden="1" customHeight="1">
      <c r="A228" s="33" t="s">
        <v>179</v>
      </c>
      <c r="B228" s="33">
        <v>70</v>
      </c>
      <c r="C228" s="33">
        <v>6.59</v>
      </c>
      <c r="D228" s="33">
        <v>6.19</v>
      </c>
      <c r="E228" s="33">
        <v>5.79</v>
      </c>
      <c r="F228" s="33">
        <v>4.99</v>
      </c>
      <c r="G228" s="33">
        <v>4.59</v>
      </c>
      <c r="H228" s="33">
        <v>3.79</v>
      </c>
      <c r="I228" s="33">
        <v>5.19</v>
      </c>
      <c r="J228" s="33">
        <v>6.39</v>
      </c>
      <c r="K228" s="33">
        <v>8.19</v>
      </c>
      <c r="L228" s="33">
        <v>9.39</v>
      </c>
      <c r="M228" s="33">
        <v>10.49</v>
      </c>
      <c r="N228" s="33">
        <v>11.59</v>
      </c>
      <c r="O228" s="32">
        <v>7.9</v>
      </c>
      <c r="P228" s="32">
        <v>8.4</v>
      </c>
    </row>
    <row r="229" spans="1:16" ht="23.25" hidden="1" customHeight="1">
      <c r="A229" s="33" t="s">
        <v>179</v>
      </c>
      <c r="B229" s="33">
        <v>72</v>
      </c>
      <c r="C229" s="33">
        <v>6.6</v>
      </c>
      <c r="D229" s="33">
        <v>6.2</v>
      </c>
      <c r="E229" s="33">
        <v>5.8</v>
      </c>
      <c r="F229" s="33">
        <v>5</v>
      </c>
      <c r="G229" s="33">
        <v>4.5999999999999996</v>
      </c>
      <c r="H229" s="33">
        <v>3.8</v>
      </c>
      <c r="I229" s="33">
        <v>5.2</v>
      </c>
      <c r="J229" s="33">
        <v>6.4</v>
      </c>
      <c r="K229" s="33">
        <v>8.1999999999999993</v>
      </c>
      <c r="L229" s="33">
        <v>9.4</v>
      </c>
      <c r="M229" s="33">
        <v>10.5</v>
      </c>
      <c r="N229" s="33">
        <v>11.6</v>
      </c>
    </row>
    <row r="230" spans="1:16" ht="23.25" hidden="1" customHeight="1">
      <c r="A230" s="33" t="s">
        <v>179</v>
      </c>
      <c r="B230" s="33">
        <v>72</v>
      </c>
      <c r="C230" s="33">
        <v>7.69</v>
      </c>
      <c r="D230" s="33">
        <v>7.29</v>
      </c>
      <c r="E230" s="33">
        <v>6.89</v>
      </c>
      <c r="F230" s="33">
        <v>6.19</v>
      </c>
      <c r="G230" s="33">
        <v>5.79</v>
      </c>
      <c r="H230" s="33">
        <v>5.09</v>
      </c>
      <c r="I230" s="33">
        <v>6.49</v>
      </c>
      <c r="J230" s="33">
        <v>7.69</v>
      </c>
      <c r="K230" s="33">
        <v>9.59</v>
      </c>
      <c r="L230" s="33">
        <v>10.79</v>
      </c>
      <c r="M230" s="33">
        <v>11.89</v>
      </c>
      <c r="N230" s="33">
        <v>12.99</v>
      </c>
      <c r="O230" s="32">
        <v>6.5</v>
      </c>
      <c r="P230" s="32">
        <v>7</v>
      </c>
    </row>
    <row r="231" spans="1:16" ht="23.25" hidden="1" customHeight="1">
      <c r="A231" s="33" t="s">
        <v>179</v>
      </c>
      <c r="B231" s="33">
        <v>74</v>
      </c>
      <c r="C231" s="33">
        <v>7.7</v>
      </c>
      <c r="D231" s="33">
        <v>7.3</v>
      </c>
      <c r="E231" s="33">
        <v>6.9</v>
      </c>
      <c r="F231" s="33">
        <v>6.2</v>
      </c>
      <c r="G231" s="33">
        <v>5.8</v>
      </c>
      <c r="H231" s="33">
        <v>5.0999999999999996</v>
      </c>
      <c r="I231" s="33">
        <v>6.5</v>
      </c>
      <c r="J231" s="33">
        <v>7.7</v>
      </c>
      <c r="K231" s="33">
        <v>9.6</v>
      </c>
      <c r="L231" s="33">
        <v>10.8</v>
      </c>
      <c r="M231" s="33">
        <v>11.9</v>
      </c>
      <c r="N231" s="33">
        <v>13</v>
      </c>
    </row>
    <row r="232" spans="1:16" ht="23.25" hidden="1" customHeight="1">
      <c r="A232" s="33" t="s">
        <v>179</v>
      </c>
      <c r="B232" s="33">
        <v>74</v>
      </c>
      <c r="C232" s="33">
        <v>8.7899999999999991</v>
      </c>
      <c r="D232" s="33">
        <v>8.39</v>
      </c>
      <c r="E232" s="33">
        <v>7.99</v>
      </c>
      <c r="F232" s="33">
        <v>7.39</v>
      </c>
      <c r="G232" s="33">
        <v>6.99</v>
      </c>
      <c r="H232" s="33">
        <v>6.39</v>
      </c>
      <c r="I232" s="33">
        <v>7.79</v>
      </c>
      <c r="J232" s="33">
        <v>8.99</v>
      </c>
      <c r="K232" s="33">
        <v>10.99</v>
      </c>
      <c r="L232" s="33">
        <v>12.19</v>
      </c>
      <c r="M232" s="33">
        <v>13.29</v>
      </c>
      <c r="N232" s="33">
        <v>14.39</v>
      </c>
      <c r="O232" s="32">
        <v>5.0999999999999996</v>
      </c>
      <c r="P232" s="32">
        <v>5.6</v>
      </c>
    </row>
    <row r="233" spans="1:16" ht="23.25" hidden="1" customHeight="1">
      <c r="A233" s="33" t="s">
        <v>179</v>
      </c>
      <c r="B233" s="33">
        <v>76</v>
      </c>
      <c r="C233" s="33">
        <v>8.8000000000000007</v>
      </c>
      <c r="D233" s="33">
        <v>8.4</v>
      </c>
      <c r="E233" s="33">
        <v>8</v>
      </c>
      <c r="F233" s="33">
        <v>7.4</v>
      </c>
      <c r="G233" s="33">
        <v>7</v>
      </c>
      <c r="H233" s="33">
        <v>6.4</v>
      </c>
      <c r="I233" s="33">
        <v>7.8</v>
      </c>
      <c r="J233" s="33">
        <v>9</v>
      </c>
      <c r="K233" s="33">
        <v>11</v>
      </c>
      <c r="L233" s="33">
        <v>12.2</v>
      </c>
      <c r="M233" s="33">
        <v>13.3</v>
      </c>
      <c r="N233" s="33">
        <v>14.4</v>
      </c>
    </row>
    <row r="234" spans="1:16" ht="23.25" hidden="1" customHeight="1">
      <c r="A234" s="33" t="s">
        <v>179</v>
      </c>
      <c r="B234" s="33">
        <v>76</v>
      </c>
      <c r="C234" s="33">
        <v>9.89</v>
      </c>
      <c r="D234" s="33">
        <v>9.49</v>
      </c>
      <c r="E234" s="33">
        <v>9.09</v>
      </c>
      <c r="F234" s="33">
        <v>8.59</v>
      </c>
      <c r="G234" s="33">
        <v>8.19</v>
      </c>
      <c r="H234" s="33">
        <v>7.69</v>
      </c>
      <c r="I234" s="33">
        <v>9.09</v>
      </c>
      <c r="J234" s="33">
        <v>10.29</v>
      </c>
      <c r="K234" s="33">
        <v>12.39</v>
      </c>
      <c r="L234" s="33">
        <v>13.59</v>
      </c>
      <c r="M234" s="33">
        <v>14.69</v>
      </c>
      <c r="N234" s="33">
        <v>15.79</v>
      </c>
      <c r="O234" s="32">
        <v>3.7</v>
      </c>
      <c r="P234" s="32">
        <v>4.2</v>
      </c>
    </row>
    <row r="235" spans="1:16" ht="23.25" hidden="1" customHeight="1">
      <c r="A235" s="33" t="s">
        <v>179</v>
      </c>
      <c r="B235" s="33">
        <v>78</v>
      </c>
      <c r="C235" s="33">
        <v>9.9</v>
      </c>
      <c r="D235" s="33">
        <v>9.5</v>
      </c>
      <c r="E235" s="33">
        <v>9.1</v>
      </c>
      <c r="F235" s="33">
        <v>8.6</v>
      </c>
      <c r="G235" s="33">
        <v>8.1999999999999993</v>
      </c>
      <c r="H235" s="33">
        <v>7.7</v>
      </c>
      <c r="I235" s="33">
        <v>9.1</v>
      </c>
      <c r="J235" s="33">
        <v>10.3</v>
      </c>
      <c r="K235" s="33">
        <v>12.4</v>
      </c>
      <c r="L235" s="33">
        <v>13.6</v>
      </c>
      <c r="M235" s="33">
        <v>14.7</v>
      </c>
      <c r="N235" s="33">
        <v>15.8</v>
      </c>
    </row>
    <row r="236" spans="1:16" ht="23.25" hidden="1" customHeight="1">
      <c r="A236" s="33" t="s">
        <v>179</v>
      </c>
      <c r="B236" s="33">
        <v>78</v>
      </c>
      <c r="C236" s="33">
        <v>10.99</v>
      </c>
      <c r="D236" s="33">
        <v>10.59</v>
      </c>
      <c r="E236" s="33">
        <v>10.19</v>
      </c>
      <c r="F236" s="33">
        <v>9.7899999999999991</v>
      </c>
      <c r="G236" s="33">
        <v>9.39</v>
      </c>
      <c r="H236" s="33">
        <v>8.99</v>
      </c>
      <c r="I236" s="33">
        <v>10.39</v>
      </c>
      <c r="J236" s="33">
        <v>11.59</v>
      </c>
      <c r="K236" s="33">
        <v>13.79</v>
      </c>
      <c r="L236" s="33">
        <v>14.99</v>
      </c>
      <c r="M236" s="33">
        <v>16.09</v>
      </c>
      <c r="N236" s="33">
        <v>17.190000000000001</v>
      </c>
      <c r="O236" s="32">
        <v>2.7</v>
      </c>
      <c r="P236" s="32">
        <v>3.2</v>
      </c>
    </row>
    <row r="237" spans="1:16" ht="23.25" hidden="1" customHeight="1">
      <c r="A237" s="33" t="s">
        <v>180</v>
      </c>
      <c r="B237" s="33">
        <v>80</v>
      </c>
      <c r="C237" s="33">
        <v>11</v>
      </c>
      <c r="D237" s="33">
        <v>10.6</v>
      </c>
      <c r="E237" s="33">
        <v>10.199999999999999</v>
      </c>
      <c r="F237" s="33">
        <v>9.8000000000000007</v>
      </c>
      <c r="G237" s="33">
        <v>9.4</v>
      </c>
      <c r="H237" s="33">
        <v>9</v>
      </c>
      <c r="I237" s="33">
        <v>10.4</v>
      </c>
      <c r="J237" s="33">
        <v>11.6</v>
      </c>
      <c r="K237" s="33">
        <v>13.8</v>
      </c>
      <c r="L237" s="33">
        <v>15</v>
      </c>
      <c r="M237" s="33">
        <v>16.100000000000001</v>
      </c>
      <c r="N237" s="33">
        <v>17.2</v>
      </c>
    </row>
    <row r="238" spans="1:16" ht="23.25" hidden="1" customHeight="1">
      <c r="A238" s="33" t="s">
        <v>180</v>
      </c>
      <c r="B238" s="33">
        <v>80</v>
      </c>
      <c r="C238" s="33">
        <v>11.99</v>
      </c>
      <c r="D238" s="33">
        <v>11.89</v>
      </c>
      <c r="E238" s="33">
        <v>11.79</v>
      </c>
      <c r="F238" s="33">
        <v>11.69</v>
      </c>
      <c r="G238" s="33">
        <v>11.59</v>
      </c>
      <c r="H238" s="33">
        <v>11.49</v>
      </c>
      <c r="I238" s="33">
        <v>12.29</v>
      </c>
      <c r="J238" s="33">
        <v>13.69</v>
      </c>
      <c r="K238" s="33">
        <v>15.79</v>
      </c>
      <c r="L238" s="33">
        <v>17.190000000000001</v>
      </c>
      <c r="M238" s="33">
        <v>18.29</v>
      </c>
      <c r="N238" s="33">
        <v>19.09</v>
      </c>
      <c r="O238" s="32">
        <v>1.7</v>
      </c>
      <c r="P238" s="32">
        <v>2.2000000000000002</v>
      </c>
    </row>
    <row r="239" spans="1:16" ht="23.25" hidden="1" customHeight="1">
      <c r="A239" s="33" t="s">
        <v>180</v>
      </c>
      <c r="B239" s="33">
        <v>85</v>
      </c>
      <c r="C239" s="33">
        <v>12</v>
      </c>
      <c r="D239" s="33">
        <v>11.9</v>
      </c>
      <c r="E239" s="33">
        <v>11.8</v>
      </c>
      <c r="F239" s="33">
        <v>11.7</v>
      </c>
      <c r="G239" s="33">
        <v>11.6</v>
      </c>
      <c r="H239" s="33">
        <v>11.5</v>
      </c>
      <c r="I239" s="33">
        <v>12.3</v>
      </c>
      <c r="J239" s="33">
        <v>13.7</v>
      </c>
      <c r="K239" s="33">
        <v>15.8</v>
      </c>
      <c r="L239" s="33">
        <v>17.2</v>
      </c>
      <c r="M239" s="33">
        <v>18.3</v>
      </c>
      <c r="N239" s="33">
        <v>19.100000000000001</v>
      </c>
    </row>
    <row r="240" spans="1:16" ht="23.25" hidden="1" customHeight="1">
      <c r="A240" s="33" t="s">
        <v>180</v>
      </c>
      <c r="B240" s="33">
        <v>85</v>
      </c>
      <c r="C240" s="33">
        <v>12.99</v>
      </c>
      <c r="D240" s="33">
        <v>13.19</v>
      </c>
      <c r="E240" s="33">
        <v>13.39</v>
      </c>
      <c r="F240" s="33">
        <v>13.59</v>
      </c>
      <c r="G240" s="33">
        <v>13.79</v>
      </c>
      <c r="H240" s="33">
        <v>13.99</v>
      </c>
      <c r="I240" s="33">
        <v>14.19</v>
      </c>
      <c r="J240" s="33">
        <v>15.79</v>
      </c>
      <c r="K240" s="33">
        <v>17.79</v>
      </c>
      <c r="L240" s="33">
        <v>19.39</v>
      </c>
      <c r="M240" s="33">
        <v>20.49</v>
      </c>
      <c r="N240" s="33">
        <v>20.99</v>
      </c>
      <c r="O240" s="32">
        <v>0.7</v>
      </c>
      <c r="P240" s="32">
        <v>1.2</v>
      </c>
    </row>
    <row r="241" spans="1:16" ht="23.25" hidden="1" customHeight="1">
      <c r="A241" s="33" t="s">
        <v>181</v>
      </c>
      <c r="B241" s="33">
        <v>90</v>
      </c>
      <c r="C241" s="33">
        <v>13</v>
      </c>
      <c r="D241" s="33">
        <v>13.2</v>
      </c>
      <c r="E241" s="33">
        <v>13.4</v>
      </c>
      <c r="F241" s="33">
        <v>13.6</v>
      </c>
      <c r="G241" s="33">
        <v>13.8</v>
      </c>
      <c r="H241" s="33">
        <v>14</v>
      </c>
      <c r="I241" s="33">
        <v>14.2</v>
      </c>
      <c r="J241" s="33">
        <v>15.8</v>
      </c>
      <c r="K241" s="33">
        <v>17.8</v>
      </c>
      <c r="L241" s="33">
        <v>19.399999999999999</v>
      </c>
      <c r="M241" s="33">
        <v>20.5</v>
      </c>
      <c r="N241" s="33">
        <v>21</v>
      </c>
    </row>
    <row r="242" spans="1:16" ht="23.25" hidden="1" customHeight="1">
      <c r="A242" s="33" t="s">
        <v>181</v>
      </c>
      <c r="B242" s="33">
        <v>90</v>
      </c>
      <c r="C242" s="33">
        <v>14.58</v>
      </c>
      <c r="D242" s="33">
        <v>14.69</v>
      </c>
      <c r="E242" s="33">
        <v>14.89</v>
      </c>
      <c r="F242" s="33">
        <v>14.99</v>
      </c>
      <c r="G242" s="33">
        <v>15.19</v>
      </c>
      <c r="H242" s="33">
        <v>15.29</v>
      </c>
      <c r="I242" s="33">
        <v>15.89</v>
      </c>
      <c r="J242" s="33">
        <v>17.690000000000001</v>
      </c>
      <c r="K242" s="33">
        <v>19.690000000000001</v>
      </c>
      <c r="L242" s="33">
        <v>21.49</v>
      </c>
      <c r="M242" s="33">
        <v>22.39</v>
      </c>
      <c r="N242" s="33">
        <v>22.79</v>
      </c>
      <c r="O242" s="32">
        <v>-0.3</v>
      </c>
      <c r="P242" s="32">
        <v>0.2</v>
      </c>
    </row>
    <row r="243" spans="1:16" ht="23.25" hidden="1" customHeight="1">
      <c r="A243" s="33" t="s">
        <v>181</v>
      </c>
      <c r="B243" s="33">
        <v>95</v>
      </c>
      <c r="C243" s="33">
        <v>14.6</v>
      </c>
      <c r="D243" s="33">
        <v>14.7</v>
      </c>
      <c r="E243" s="33">
        <v>14.9</v>
      </c>
      <c r="F243" s="33">
        <v>15</v>
      </c>
      <c r="G243" s="33">
        <v>15.2</v>
      </c>
      <c r="H243" s="33">
        <v>15.3</v>
      </c>
      <c r="I243" s="33">
        <v>15.9</v>
      </c>
      <c r="J243" s="33">
        <v>17.7</v>
      </c>
      <c r="K243" s="33">
        <v>19.7</v>
      </c>
      <c r="L243" s="33">
        <v>21.5</v>
      </c>
      <c r="M243" s="33">
        <v>22.4</v>
      </c>
      <c r="N243" s="33">
        <v>22.8</v>
      </c>
    </row>
    <row r="244" spans="1:16" ht="23.25" hidden="1" customHeight="1">
      <c r="A244" s="33" t="s">
        <v>181</v>
      </c>
      <c r="B244" s="33">
        <v>95</v>
      </c>
      <c r="C244" s="33">
        <v>16.09</v>
      </c>
      <c r="D244" s="33">
        <v>16.190000000000001</v>
      </c>
      <c r="E244" s="33">
        <v>16.29</v>
      </c>
      <c r="F244" s="33">
        <v>16.39</v>
      </c>
      <c r="G244" s="33">
        <v>16.489999999999998</v>
      </c>
      <c r="H244" s="33">
        <v>16.59</v>
      </c>
      <c r="I244" s="33">
        <v>17.59</v>
      </c>
      <c r="J244" s="33">
        <v>19.59</v>
      </c>
      <c r="K244" s="33">
        <v>21.59</v>
      </c>
      <c r="L244" s="33">
        <v>23.59</v>
      </c>
      <c r="M244" s="33">
        <v>24.29</v>
      </c>
      <c r="N244" s="33">
        <v>24.59</v>
      </c>
      <c r="O244" s="32">
        <v>-1.3</v>
      </c>
      <c r="P244" s="32">
        <v>-0.8</v>
      </c>
    </row>
    <row r="245" spans="1:16" ht="23.25" hidden="1" customHeight="1">
      <c r="A245" s="33" t="s">
        <v>181</v>
      </c>
      <c r="B245" s="33">
        <v>100</v>
      </c>
      <c r="C245" s="33">
        <v>16.100000000000001</v>
      </c>
      <c r="D245" s="33">
        <v>16.2</v>
      </c>
      <c r="E245" s="33">
        <v>16.3</v>
      </c>
      <c r="F245" s="33">
        <v>16.399999999999999</v>
      </c>
      <c r="G245" s="33">
        <v>16.5</v>
      </c>
      <c r="H245" s="33">
        <v>16.600000000000001</v>
      </c>
      <c r="I245" s="33">
        <v>17.600000000000001</v>
      </c>
      <c r="J245" s="33">
        <v>19.600000000000001</v>
      </c>
      <c r="K245" s="33">
        <v>21.6</v>
      </c>
      <c r="L245" s="33">
        <v>23.6</v>
      </c>
      <c r="M245" s="33">
        <v>24.3</v>
      </c>
      <c r="N245" s="33">
        <v>24.6</v>
      </c>
    </row>
    <row r="246" spans="1:16" ht="23.25" hidden="1" customHeight="1">
      <c r="A246" s="33" t="s">
        <v>181</v>
      </c>
      <c r="B246" s="33">
        <v>100</v>
      </c>
      <c r="C246" s="33">
        <v>30</v>
      </c>
      <c r="D246" s="33">
        <v>30</v>
      </c>
      <c r="E246" s="33">
        <v>30</v>
      </c>
      <c r="F246" s="33">
        <v>30</v>
      </c>
      <c r="G246" s="33">
        <v>30</v>
      </c>
      <c r="H246" s="33">
        <v>30</v>
      </c>
      <c r="I246" s="33">
        <v>30</v>
      </c>
      <c r="J246" s="33">
        <v>30</v>
      </c>
      <c r="K246" s="33">
        <v>30</v>
      </c>
      <c r="L246" s="33">
        <v>30</v>
      </c>
      <c r="M246" s="33">
        <v>30</v>
      </c>
      <c r="N246" s="33">
        <v>30</v>
      </c>
    </row>
    <row r="247" spans="1:16" ht="23.25" hidden="1" customHeight="1">
      <c r="A247" s="36" t="s">
        <v>248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</row>
    <row r="248" spans="1:16" ht="23.25" hidden="1" customHeight="1">
      <c r="A248" s="36" t="s">
        <v>163</v>
      </c>
      <c r="B248" s="33" t="s">
        <v>164</v>
      </c>
      <c r="C248" s="36" t="s">
        <v>165</v>
      </c>
      <c r="D248" s="36" t="s">
        <v>166</v>
      </c>
      <c r="E248" s="36" t="s">
        <v>167</v>
      </c>
      <c r="F248" s="36" t="s">
        <v>168</v>
      </c>
      <c r="G248" s="36" t="s">
        <v>169</v>
      </c>
      <c r="H248" s="36" t="s">
        <v>170</v>
      </c>
      <c r="I248" s="36" t="s">
        <v>171</v>
      </c>
      <c r="J248" s="36" t="s">
        <v>172</v>
      </c>
      <c r="K248" s="36" t="s">
        <v>173</v>
      </c>
      <c r="L248" s="36" t="s">
        <v>174</v>
      </c>
      <c r="M248" s="36" t="s">
        <v>175</v>
      </c>
      <c r="N248" s="36" t="s">
        <v>176</v>
      </c>
      <c r="O248" s="32" t="s">
        <v>240</v>
      </c>
      <c r="P248" s="32" t="s">
        <v>241</v>
      </c>
    </row>
    <row r="249" spans="1:16" ht="23.25" hidden="1" customHeight="1">
      <c r="A249" s="36"/>
      <c r="B249" s="33" t="s">
        <v>177</v>
      </c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2" t="s">
        <v>242</v>
      </c>
      <c r="P249" s="32" t="s">
        <v>243</v>
      </c>
    </row>
    <row r="250" spans="1:16" ht="23.25" hidden="1" customHeight="1">
      <c r="A250" s="33" t="s">
        <v>178</v>
      </c>
      <c r="B250" s="33">
        <v>0</v>
      </c>
      <c r="C250" s="33">
        <v>-20</v>
      </c>
      <c r="D250" s="33">
        <v>-20</v>
      </c>
      <c r="E250" s="33">
        <v>-20</v>
      </c>
      <c r="F250" s="33">
        <v>-20</v>
      </c>
      <c r="G250" s="33">
        <v>-20</v>
      </c>
      <c r="H250" s="33">
        <v>-20</v>
      </c>
      <c r="I250" s="33">
        <v>-20</v>
      </c>
      <c r="J250" s="33">
        <v>-20</v>
      </c>
      <c r="K250" s="33">
        <v>-20</v>
      </c>
      <c r="L250" s="33">
        <v>-20</v>
      </c>
      <c r="M250" s="33">
        <v>-20</v>
      </c>
      <c r="N250" s="33">
        <v>-20</v>
      </c>
    </row>
    <row r="251" spans="1:16" ht="23.25" hidden="1" customHeight="1">
      <c r="A251" s="33" t="s">
        <v>178</v>
      </c>
      <c r="B251" s="33">
        <v>0</v>
      </c>
      <c r="C251" s="33">
        <v>-1.61</v>
      </c>
      <c r="D251" s="33">
        <v>-1.71</v>
      </c>
      <c r="E251" s="33">
        <v>-1.81</v>
      </c>
      <c r="F251" s="33">
        <v>-1.91</v>
      </c>
      <c r="G251" s="33">
        <v>-2.0099999999999998</v>
      </c>
      <c r="H251" s="33">
        <v>-2.11</v>
      </c>
      <c r="I251" s="33">
        <v>-2.0099999999999998</v>
      </c>
      <c r="J251" s="33">
        <v>-1.1100000000000001</v>
      </c>
      <c r="K251" s="33">
        <v>-0.31</v>
      </c>
      <c r="L251" s="33">
        <v>0.39</v>
      </c>
      <c r="M251" s="33">
        <v>0.99</v>
      </c>
      <c r="N251" s="33">
        <v>1.49</v>
      </c>
      <c r="O251" s="32">
        <v>25.8</v>
      </c>
      <c r="P251" s="32">
        <v>26.3</v>
      </c>
    </row>
    <row r="252" spans="1:16" ht="23.25" hidden="1" customHeight="1">
      <c r="A252" s="33" t="s">
        <v>178</v>
      </c>
      <c r="B252" s="33">
        <v>10</v>
      </c>
      <c r="C252" s="33">
        <v>-1.6</v>
      </c>
      <c r="D252" s="33">
        <v>-1.7</v>
      </c>
      <c r="E252" s="33">
        <v>-1.8</v>
      </c>
      <c r="F252" s="33">
        <v>-1.9</v>
      </c>
      <c r="G252" s="33">
        <v>-2</v>
      </c>
      <c r="H252" s="33">
        <v>-2.1</v>
      </c>
      <c r="I252" s="33">
        <v>-2</v>
      </c>
      <c r="J252" s="33">
        <v>-1.1000000000000001</v>
      </c>
      <c r="K252" s="33">
        <v>-0.3</v>
      </c>
      <c r="L252" s="33">
        <v>0.4</v>
      </c>
      <c r="M252" s="33">
        <v>1</v>
      </c>
      <c r="N252" s="33">
        <v>1.5</v>
      </c>
    </row>
    <row r="253" spans="1:16" ht="23.25" hidden="1" customHeight="1">
      <c r="A253" s="33" t="s">
        <v>178</v>
      </c>
      <c r="B253" s="33">
        <v>10</v>
      </c>
      <c r="C253" s="33">
        <v>-0.81</v>
      </c>
      <c r="D253" s="33">
        <v>-0.91</v>
      </c>
      <c r="E253" s="33">
        <v>-1.01</v>
      </c>
      <c r="F253" s="33">
        <v>-1.1100000000000001</v>
      </c>
      <c r="G253" s="33">
        <v>-1.21</v>
      </c>
      <c r="H253" s="33">
        <v>-1.31</v>
      </c>
      <c r="I253" s="33">
        <v>-1.21</v>
      </c>
      <c r="J253" s="33">
        <v>-0.31</v>
      </c>
      <c r="K253" s="33">
        <v>0.49</v>
      </c>
      <c r="L253" s="33">
        <v>1.19</v>
      </c>
      <c r="M253" s="33">
        <v>1.79</v>
      </c>
      <c r="N253" s="33">
        <v>2.29</v>
      </c>
      <c r="O253" s="32">
        <v>24</v>
      </c>
      <c r="P253" s="32">
        <v>24.4</v>
      </c>
    </row>
    <row r="254" spans="1:16" ht="23.25" hidden="1" customHeight="1">
      <c r="A254" s="33" t="s">
        <v>178</v>
      </c>
      <c r="B254" s="33">
        <v>20</v>
      </c>
      <c r="C254" s="33">
        <v>-0.8</v>
      </c>
      <c r="D254" s="33">
        <v>-0.9</v>
      </c>
      <c r="E254" s="33">
        <v>-1</v>
      </c>
      <c r="F254" s="33">
        <v>-1.1000000000000001</v>
      </c>
      <c r="G254" s="33">
        <v>-1.2</v>
      </c>
      <c r="H254" s="33">
        <v>-1.3</v>
      </c>
      <c r="I254" s="33">
        <v>-1.2</v>
      </c>
      <c r="J254" s="33">
        <v>-0.3</v>
      </c>
      <c r="K254" s="33">
        <v>0.5</v>
      </c>
      <c r="L254" s="33">
        <v>1.2</v>
      </c>
      <c r="M254" s="33">
        <v>1.8</v>
      </c>
      <c r="N254" s="33">
        <v>2.2999999999999998</v>
      </c>
    </row>
    <row r="255" spans="1:16" ht="23.25" hidden="1" customHeight="1">
      <c r="A255" s="33" t="s">
        <v>178</v>
      </c>
      <c r="B255" s="33">
        <v>20</v>
      </c>
      <c r="C255" s="33">
        <v>-0.99</v>
      </c>
      <c r="D255" s="33">
        <v>-0.11</v>
      </c>
      <c r="E255" s="33">
        <v>-0.21</v>
      </c>
      <c r="F255" s="33">
        <v>-0.31</v>
      </c>
      <c r="G255" s="33">
        <v>-0.41</v>
      </c>
      <c r="H255" s="33">
        <v>-0.51</v>
      </c>
      <c r="I255" s="33">
        <v>-0.41</v>
      </c>
      <c r="J255" s="33">
        <v>0.49</v>
      </c>
      <c r="K255" s="33">
        <v>1.29</v>
      </c>
      <c r="L255" s="33">
        <v>1.99</v>
      </c>
      <c r="M255" s="33">
        <v>2.59</v>
      </c>
      <c r="N255" s="33">
        <v>3.09</v>
      </c>
      <c r="O255" s="32">
        <v>22.2</v>
      </c>
      <c r="P255" s="32">
        <v>22.4</v>
      </c>
    </row>
    <row r="256" spans="1:16" ht="23.25" hidden="1" customHeight="1">
      <c r="A256" s="33" t="s">
        <v>178</v>
      </c>
      <c r="B256" s="33">
        <v>30</v>
      </c>
      <c r="C256" s="33">
        <v>0</v>
      </c>
      <c r="D256" s="33">
        <v>-0.1</v>
      </c>
      <c r="E256" s="33">
        <v>-0.2</v>
      </c>
      <c r="F256" s="33">
        <v>-0.3</v>
      </c>
      <c r="G256" s="33">
        <v>-0.4</v>
      </c>
      <c r="H256" s="33">
        <v>-0.5</v>
      </c>
      <c r="I256" s="33">
        <v>-0.4</v>
      </c>
      <c r="J256" s="33">
        <v>0.5</v>
      </c>
      <c r="K256" s="33">
        <v>1.3</v>
      </c>
      <c r="L256" s="33">
        <v>2</v>
      </c>
      <c r="M256" s="33">
        <v>2.6</v>
      </c>
      <c r="N256" s="33">
        <v>3.1</v>
      </c>
    </row>
    <row r="257" spans="1:16" ht="23.25" hidden="1" customHeight="1">
      <c r="A257" s="33" t="s">
        <v>178</v>
      </c>
      <c r="B257" s="33">
        <v>30</v>
      </c>
      <c r="C257" s="33">
        <v>0.79</v>
      </c>
      <c r="D257" s="33">
        <v>0.69</v>
      </c>
      <c r="E257" s="33">
        <v>0.59</v>
      </c>
      <c r="F257" s="33">
        <v>0.49</v>
      </c>
      <c r="G257" s="33">
        <v>0.39</v>
      </c>
      <c r="H257" s="33">
        <v>0.28999999999999998</v>
      </c>
      <c r="I257" s="33">
        <v>0.39</v>
      </c>
      <c r="J257" s="33">
        <v>1.29</v>
      </c>
      <c r="K257" s="33">
        <v>2.09</v>
      </c>
      <c r="L257" s="33">
        <v>2.79</v>
      </c>
      <c r="M257" s="33">
        <v>3.39</v>
      </c>
      <c r="N257" s="33">
        <v>3.89</v>
      </c>
      <c r="O257" s="32">
        <v>20.6</v>
      </c>
      <c r="P257" s="32">
        <v>21</v>
      </c>
    </row>
    <row r="258" spans="1:16" ht="23.25" hidden="1" customHeight="1">
      <c r="A258" s="33" t="s">
        <v>178</v>
      </c>
      <c r="B258" s="33">
        <v>40</v>
      </c>
      <c r="C258" s="33">
        <v>0.8</v>
      </c>
      <c r="D258" s="33">
        <v>0.7</v>
      </c>
      <c r="E258" s="33">
        <v>0.6</v>
      </c>
      <c r="F258" s="33">
        <v>0.5</v>
      </c>
      <c r="G258" s="33">
        <v>0.4</v>
      </c>
      <c r="H258" s="33">
        <v>0.3</v>
      </c>
      <c r="I258" s="33">
        <v>0.4</v>
      </c>
      <c r="J258" s="33">
        <v>1.3</v>
      </c>
      <c r="K258" s="33">
        <v>2.1</v>
      </c>
      <c r="L258" s="33">
        <v>2.8</v>
      </c>
      <c r="M258" s="33">
        <v>3.4</v>
      </c>
      <c r="N258" s="33">
        <v>3.9</v>
      </c>
    </row>
    <row r="259" spans="1:16" ht="23.25" hidden="1" customHeight="1">
      <c r="A259" s="33" t="s">
        <v>178</v>
      </c>
      <c r="B259" s="33">
        <v>40</v>
      </c>
      <c r="C259" s="33">
        <v>1.59</v>
      </c>
      <c r="D259" s="33">
        <v>1.49</v>
      </c>
      <c r="E259" s="33">
        <v>1.39</v>
      </c>
      <c r="F259" s="33">
        <v>1.29</v>
      </c>
      <c r="G259" s="33">
        <v>1.19</v>
      </c>
      <c r="H259" s="33">
        <v>1.0900000000000001</v>
      </c>
      <c r="I259" s="33">
        <v>1.19</v>
      </c>
      <c r="J259" s="33">
        <v>2.09</v>
      </c>
      <c r="K259" s="33">
        <v>2.89</v>
      </c>
      <c r="L259" s="33">
        <v>3.59</v>
      </c>
      <c r="M259" s="33">
        <v>4.1900000000000004</v>
      </c>
      <c r="N259" s="33">
        <v>4.6900000000000004</v>
      </c>
      <c r="O259" s="32">
        <v>19</v>
      </c>
      <c r="P259" s="32">
        <v>19.5</v>
      </c>
    </row>
    <row r="260" spans="1:16" ht="23.25" hidden="1" customHeight="1">
      <c r="A260" s="33" t="s">
        <v>178</v>
      </c>
      <c r="B260" s="33">
        <v>50</v>
      </c>
      <c r="C260" s="33">
        <v>1.6</v>
      </c>
      <c r="D260" s="33">
        <v>1.5</v>
      </c>
      <c r="E260" s="33">
        <v>1.4</v>
      </c>
      <c r="F260" s="33">
        <v>1.3</v>
      </c>
      <c r="G260" s="33">
        <v>1.2</v>
      </c>
      <c r="H260" s="33">
        <v>1.1000000000000001</v>
      </c>
      <c r="I260" s="33">
        <v>1.2</v>
      </c>
      <c r="J260" s="33">
        <v>2.1</v>
      </c>
      <c r="K260" s="33">
        <v>2.9</v>
      </c>
      <c r="L260" s="33">
        <v>3.6</v>
      </c>
      <c r="M260" s="33">
        <v>4.2</v>
      </c>
      <c r="N260" s="33">
        <v>4.7</v>
      </c>
    </row>
    <row r="261" spans="1:16" ht="23.25" hidden="1" customHeight="1">
      <c r="A261" s="33" t="s">
        <v>178</v>
      </c>
      <c r="B261" s="33">
        <v>50</v>
      </c>
      <c r="C261" s="33">
        <v>2.39</v>
      </c>
      <c r="D261" s="33">
        <v>2.29</v>
      </c>
      <c r="E261" s="33">
        <v>2.19</v>
      </c>
      <c r="F261" s="33">
        <v>2.09</v>
      </c>
      <c r="G261" s="33">
        <v>1.99</v>
      </c>
      <c r="H261" s="33">
        <v>1.89</v>
      </c>
      <c r="I261" s="33">
        <v>1.99</v>
      </c>
      <c r="J261" s="33">
        <v>2.89</v>
      </c>
      <c r="K261" s="33">
        <v>3.69</v>
      </c>
      <c r="L261" s="33">
        <v>4.3899999999999997</v>
      </c>
      <c r="M261" s="33">
        <v>4.99</v>
      </c>
      <c r="N261" s="33">
        <v>5.49</v>
      </c>
      <c r="O261" s="32">
        <v>17.7</v>
      </c>
      <c r="P261" s="32">
        <v>18.2</v>
      </c>
    </row>
    <row r="262" spans="1:16" ht="23.25" hidden="1" customHeight="1">
      <c r="A262" s="33" t="s">
        <v>179</v>
      </c>
      <c r="B262" s="33">
        <v>60</v>
      </c>
      <c r="C262" s="33">
        <v>2.4</v>
      </c>
      <c r="D262" s="33">
        <v>2.2999999999999998</v>
      </c>
      <c r="E262" s="33">
        <v>2.2000000000000002</v>
      </c>
      <c r="F262" s="33">
        <v>2.1</v>
      </c>
      <c r="G262" s="33">
        <v>2</v>
      </c>
      <c r="H262" s="33">
        <v>1.9</v>
      </c>
      <c r="I262" s="33">
        <v>2</v>
      </c>
      <c r="J262" s="33">
        <v>2.9</v>
      </c>
      <c r="K262" s="33">
        <v>3.7</v>
      </c>
      <c r="L262" s="33">
        <v>4.4000000000000004</v>
      </c>
      <c r="M262" s="33">
        <v>5</v>
      </c>
      <c r="N262" s="33">
        <v>5.5</v>
      </c>
    </row>
    <row r="263" spans="1:16" ht="23.25" hidden="1" customHeight="1">
      <c r="A263" s="33" t="s">
        <v>179</v>
      </c>
      <c r="B263" s="33">
        <v>60</v>
      </c>
      <c r="C263" s="33">
        <v>3.49</v>
      </c>
      <c r="D263" s="33">
        <v>3.39</v>
      </c>
      <c r="E263" s="33">
        <v>3.29</v>
      </c>
      <c r="F263" s="33">
        <v>3.19</v>
      </c>
      <c r="G263" s="33">
        <v>3.09</v>
      </c>
      <c r="H263" s="33">
        <v>2.99</v>
      </c>
      <c r="I263" s="33">
        <v>3.29</v>
      </c>
      <c r="J263" s="33">
        <v>4.1900000000000004</v>
      </c>
      <c r="K263" s="33">
        <v>4.99</v>
      </c>
      <c r="L263" s="33">
        <v>5.69</v>
      </c>
      <c r="M263" s="33">
        <v>6.29</v>
      </c>
      <c r="N263" s="33">
        <v>6.79</v>
      </c>
      <c r="O263" s="32">
        <v>16.399999999999999</v>
      </c>
      <c r="P263" s="32">
        <v>16.899999999999999</v>
      </c>
    </row>
    <row r="264" spans="1:16" ht="23.25" hidden="1" customHeight="1">
      <c r="A264" s="33" t="s">
        <v>179</v>
      </c>
      <c r="B264" s="33">
        <v>62</v>
      </c>
      <c r="C264" s="33">
        <v>3.5</v>
      </c>
      <c r="D264" s="33">
        <v>3.4</v>
      </c>
      <c r="E264" s="33">
        <v>3.3</v>
      </c>
      <c r="F264" s="33">
        <v>3.2</v>
      </c>
      <c r="G264" s="33">
        <v>3.1</v>
      </c>
      <c r="H264" s="33">
        <v>3</v>
      </c>
      <c r="I264" s="33">
        <v>3.3</v>
      </c>
      <c r="J264" s="33">
        <v>4.2</v>
      </c>
      <c r="K264" s="33">
        <v>5</v>
      </c>
      <c r="L264" s="33">
        <v>5.7</v>
      </c>
      <c r="M264" s="33">
        <v>6.3</v>
      </c>
      <c r="N264" s="33">
        <v>6.8</v>
      </c>
    </row>
    <row r="265" spans="1:16" ht="23.25" hidden="1" customHeight="1">
      <c r="A265" s="33" t="s">
        <v>179</v>
      </c>
      <c r="B265" s="33">
        <v>62</v>
      </c>
      <c r="C265" s="33">
        <v>4.59</v>
      </c>
      <c r="D265" s="33">
        <v>4.49</v>
      </c>
      <c r="E265" s="33">
        <v>4.3899999999999997</v>
      </c>
      <c r="F265" s="33">
        <v>4.29</v>
      </c>
      <c r="G265" s="33">
        <v>4.1900000000000004</v>
      </c>
      <c r="H265" s="33">
        <v>4.09</v>
      </c>
      <c r="I265" s="33">
        <v>4.59</v>
      </c>
      <c r="J265" s="33">
        <v>5.49</v>
      </c>
      <c r="K265" s="33">
        <v>6.29</v>
      </c>
      <c r="L265" s="33">
        <v>6.99</v>
      </c>
      <c r="M265" s="33">
        <v>7.59</v>
      </c>
      <c r="N265" s="33">
        <v>8.09</v>
      </c>
      <c r="O265" s="32">
        <v>15.1</v>
      </c>
      <c r="P265" s="32">
        <v>15.6</v>
      </c>
    </row>
    <row r="266" spans="1:16" ht="23.25" hidden="1" customHeight="1">
      <c r="A266" s="33" t="s">
        <v>179</v>
      </c>
      <c r="B266" s="33">
        <v>64</v>
      </c>
      <c r="C266" s="33">
        <v>4.5999999999999996</v>
      </c>
      <c r="D266" s="33">
        <v>4.5</v>
      </c>
      <c r="E266" s="33">
        <v>4.4000000000000004</v>
      </c>
      <c r="F266" s="33">
        <v>4.3</v>
      </c>
      <c r="G266" s="33">
        <v>4.2</v>
      </c>
      <c r="H266" s="33">
        <v>4.0999999999999996</v>
      </c>
      <c r="I266" s="33">
        <v>4.5999999999999996</v>
      </c>
      <c r="J266" s="33">
        <v>5.5</v>
      </c>
      <c r="K266" s="33">
        <v>6.3</v>
      </c>
      <c r="L266" s="33">
        <v>7</v>
      </c>
      <c r="M266" s="33">
        <v>7.6</v>
      </c>
      <c r="N266" s="33">
        <v>8.1</v>
      </c>
    </row>
    <row r="267" spans="1:16" ht="23.25" hidden="1" customHeight="1">
      <c r="A267" s="33" t="s">
        <v>179</v>
      </c>
      <c r="B267" s="33">
        <v>64</v>
      </c>
      <c r="C267" s="33">
        <v>5.69</v>
      </c>
      <c r="D267" s="33">
        <v>5.59</v>
      </c>
      <c r="E267" s="33">
        <v>5.49</v>
      </c>
      <c r="F267" s="33">
        <v>5.39</v>
      </c>
      <c r="G267" s="33">
        <v>5.29</v>
      </c>
      <c r="H267" s="33">
        <v>5.19</v>
      </c>
      <c r="I267" s="33">
        <v>5.89</v>
      </c>
      <c r="J267" s="33">
        <v>6.79</v>
      </c>
      <c r="K267" s="33">
        <v>7.59</v>
      </c>
      <c r="L267" s="33">
        <v>8.2899999999999991</v>
      </c>
      <c r="M267" s="33">
        <v>8.89</v>
      </c>
      <c r="N267" s="33">
        <v>9.39</v>
      </c>
      <c r="O267" s="32">
        <v>13.8</v>
      </c>
      <c r="P267" s="32">
        <v>14.3</v>
      </c>
    </row>
    <row r="268" spans="1:16" ht="23.25" hidden="1" customHeight="1">
      <c r="A268" s="33" t="s">
        <v>179</v>
      </c>
      <c r="B268" s="33">
        <v>66</v>
      </c>
      <c r="C268" s="33">
        <v>5.7</v>
      </c>
      <c r="D268" s="33">
        <v>5.6</v>
      </c>
      <c r="E268" s="33">
        <v>5.5</v>
      </c>
      <c r="F268" s="33">
        <v>5.4</v>
      </c>
      <c r="G268" s="33">
        <v>5.3</v>
      </c>
      <c r="H268" s="33">
        <v>5.2</v>
      </c>
      <c r="I268" s="33">
        <v>5.9</v>
      </c>
      <c r="J268" s="33">
        <v>6.8</v>
      </c>
      <c r="K268" s="33">
        <v>7.6</v>
      </c>
      <c r="L268" s="33">
        <v>8.3000000000000007</v>
      </c>
      <c r="M268" s="33">
        <v>8.9</v>
      </c>
      <c r="N268" s="33">
        <v>9.4</v>
      </c>
    </row>
    <row r="269" spans="1:16" ht="23.25" hidden="1" customHeight="1">
      <c r="A269" s="33" t="s">
        <v>179</v>
      </c>
      <c r="B269" s="33">
        <v>66</v>
      </c>
      <c r="C269" s="33">
        <v>6.79</v>
      </c>
      <c r="D269" s="33">
        <v>6.69</v>
      </c>
      <c r="E269" s="33">
        <v>6.59</v>
      </c>
      <c r="F269" s="33">
        <v>6.49</v>
      </c>
      <c r="G269" s="33">
        <v>6.39</v>
      </c>
      <c r="H269" s="33">
        <v>6.29</v>
      </c>
      <c r="I269" s="33">
        <v>7.19</v>
      </c>
      <c r="J269" s="33">
        <v>8.09</v>
      </c>
      <c r="K269" s="33">
        <v>8.7899999999999991</v>
      </c>
      <c r="L269" s="33">
        <v>9.59</v>
      </c>
      <c r="M269" s="33">
        <v>10.19</v>
      </c>
      <c r="N269" s="33">
        <v>10.69</v>
      </c>
      <c r="O269" s="32">
        <v>12.5</v>
      </c>
      <c r="P269" s="32">
        <v>13</v>
      </c>
    </row>
    <row r="270" spans="1:16" ht="23.25" hidden="1" customHeight="1">
      <c r="A270" s="33" t="s">
        <v>179</v>
      </c>
      <c r="B270" s="33">
        <v>68</v>
      </c>
      <c r="C270" s="33">
        <v>6.8</v>
      </c>
      <c r="D270" s="33">
        <v>6.7</v>
      </c>
      <c r="E270" s="33">
        <v>6.6</v>
      </c>
      <c r="F270" s="33">
        <v>6.5</v>
      </c>
      <c r="G270" s="33">
        <v>6.4</v>
      </c>
      <c r="H270" s="33">
        <v>6.3</v>
      </c>
      <c r="I270" s="33">
        <v>7.2</v>
      </c>
      <c r="J270" s="33">
        <v>8.1</v>
      </c>
      <c r="K270" s="33">
        <v>8.9</v>
      </c>
      <c r="L270" s="33">
        <v>9.6</v>
      </c>
      <c r="M270" s="33">
        <v>10.199999999999999</v>
      </c>
      <c r="N270" s="33">
        <v>10.7</v>
      </c>
    </row>
    <row r="271" spans="1:16" ht="23.25" hidden="1" customHeight="1">
      <c r="A271" s="33" t="s">
        <v>179</v>
      </c>
      <c r="B271" s="33">
        <v>68</v>
      </c>
      <c r="C271" s="33">
        <v>7.89</v>
      </c>
      <c r="D271" s="33">
        <v>7.79</v>
      </c>
      <c r="E271" s="33">
        <v>7.69</v>
      </c>
      <c r="F271" s="33">
        <v>7.59</v>
      </c>
      <c r="G271" s="33">
        <v>7.49</v>
      </c>
      <c r="H271" s="33">
        <v>7.39</v>
      </c>
      <c r="I271" s="33">
        <v>8.49</v>
      </c>
      <c r="J271" s="33">
        <v>9.39</v>
      </c>
      <c r="K271" s="33">
        <v>10.19</v>
      </c>
      <c r="L271" s="33">
        <v>10.89</v>
      </c>
      <c r="M271" s="33">
        <v>11.49</v>
      </c>
      <c r="N271" s="33">
        <v>11.99</v>
      </c>
      <c r="O271" s="32">
        <v>11.2</v>
      </c>
      <c r="P271" s="32">
        <v>11.7</v>
      </c>
    </row>
    <row r="272" spans="1:16" ht="23.25" hidden="1" customHeight="1">
      <c r="A272" s="33" t="s">
        <v>179</v>
      </c>
      <c r="B272" s="33">
        <v>70</v>
      </c>
      <c r="C272" s="33">
        <v>7.9</v>
      </c>
      <c r="D272" s="33">
        <v>7.8</v>
      </c>
      <c r="E272" s="33">
        <v>7.7</v>
      </c>
      <c r="F272" s="33">
        <v>7.6</v>
      </c>
      <c r="G272" s="33">
        <v>7.5</v>
      </c>
      <c r="H272" s="33">
        <v>7.4</v>
      </c>
      <c r="I272" s="33">
        <v>8.5</v>
      </c>
      <c r="J272" s="33">
        <v>9.4</v>
      </c>
      <c r="K272" s="33">
        <v>10.199999999999999</v>
      </c>
      <c r="L272" s="33">
        <v>10.9</v>
      </c>
      <c r="M272" s="33">
        <v>11.5</v>
      </c>
      <c r="N272" s="33">
        <v>12</v>
      </c>
    </row>
    <row r="273" spans="1:16" ht="23.25" hidden="1" customHeight="1">
      <c r="A273" s="33" t="s">
        <v>179</v>
      </c>
      <c r="B273" s="33">
        <v>70</v>
      </c>
      <c r="C273" s="33">
        <v>8.99</v>
      </c>
      <c r="D273" s="33">
        <v>8.89</v>
      </c>
      <c r="E273" s="33">
        <v>8.7899999999999991</v>
      </c>
      <c r="F273" s="33">
        <v>8.69</v>
      </c>
      <c r="G273" s="33">
        <v>8.59</v>
      </c>
      <c r="H273" s="33">
        <v>8.49</v>
      </c>
      <c r="I273" s="33">
        <v>9.7899999999999991</v>
      </c>
      <c r="J273" s="33">
        <v>10.69</v>
      </c>
      <c r="K273" s="33">
        <v>11.49</v>
      </c>
      <c r="L273" s="33">
        <v>12.19</v>
      </c>
      <c r="M273" s="33">
        <v>12.79</v>
      </c>
      <c r="N273" s="33">
        <v>13.29</v>
      </c>
      <c r="O273" s="32">
        <v>9.9</v>
      </c>
      <c r="P273" s="32">
        <v>10.4</v>
      </c>
    </row>
    <row r="274" spans="1:16" ht="23.25" hidden="1" customHeight="1">
      <c r="A274" s="33" t="s">
        <v>179</v>
      </c>
      <c r="B274" s="33">
        <v>72</v>
      </c>
      <c r="C274" s="33">
        <v>9</v>
      </c>
      <c r="D274" s="33">
        <v>8.9</v>
      </c>
      <c r="E274" s="33">
        <v>8.8000000000000007</v>
      </c>
      <c r="F274" s="33">
        <v>8.6999999999999993</v>
      </c>
      <c r="G274" s="33">
        <v>8.6</v>
      </c>
      <c r="H274" s="33">
        <v>8.5</v>
      </c>
      <c r="I274" s="33">
        <v>9.8000000000000007</v>
      </c>
      <c r="J274" s="33">
        <v>10.7</v>
      </c>
      <c r="K274" s="33">
        <v>11.5</v>
      </c>
      <c r="L274" s="33">
        <v>12.2</v>
      </c>
      <c r="M274" s="33">
        <v>12.8</v>
      </c>
      <c r="N274" s="33">
        <v>13.3</v>
      </c>
    </row>
    <row r="275" spans="1:16" ht="23.25" hidden="1" customHeight="1">
      <c r="A275" s="33" t="s">
        <v>179</v>
      </c>
      <c r="B275" s="33">
        <v>72</v>
      </c>
      <c r="C275" s="33">
        <v>10.09</v>
      </c>
      <c r="D275" s="33">
        <v>9.99</v>
      </c>
      <c r="E275" s="33">
        <v>9.89</v>
      </c>
      <c r="F275" s="33">
        <v>9.7899999999999991</v>
      </c>
      <c r="G275" s="33">
        <v>9.69</v>
      </c>
      <c r="H275" s="33">
        <v>9.59</v>
      </c>
      <c r="I275" s="33">
        <v>11.09</v>
      </c>
      <c r="J275" s="33">
        <v>11.99</v>
      </c>
      <c r="K275" s="33">
        <v>12.79</v>
      </c>
      <c r="L275" s="33">
        <v>13.49</v>
      </c>
      <c r="M275" s="33">
        <v>14.09</v>
      </c>
      <c r="N275" s="33">
        <v>14.59</v>
      </c>
      <c r="O275" s="32">
        <v>8.6</v>
      </c>
      <c r="P275" s="32">
        <v>9.1</v>
      </c>
    </row>
    <row r="276" spans="1:16" ht="23.25" hidden="1" customHeight="1">
      <c r="A276" s="33" t="s">
        <v>179</v>
      </c>
      <c r="B276" s="33">
        <v>74</v>
      </c>
      <c r="C276" s="33">
        <v>10.1</v>
      </c>
      <c r="D276" s="33">
        <v>10</v>
      </c>
      <c r="E276" s="33">
        <v>9.9</v>
      </c>
      <c r="F276" s="33">
        <v>9.8000000000000007</v>
      </c>
      <c r="G276" s="33">
        <v>9.6999999999999993</v>
      </c>
      <c r="H276" s="33">
        <v>9.6</v>
      </c>
      <c r="I276" s="33">
        <v>11.1</v>
      </c>
      <c r="J276" s="33">
        <v>12</v>
      </c>
      <c r="K276" s="33">
        <v>12.8</v>
      </c>
      <c r="L276" s="33">
        <v>13.5</v>
      </c>
      <c r="M276" s="33">
        <v>14.1</v>
      </c>
      <c r="N276" s="33">
        <v>14.6</v>
      </c>
    </row>
    <row r="277" spans="1:16" ht="23.25" hidden="1" customHeight="1">
      <c r="A277" s="33" t="s">
        <v>179</v>
      </c>
      <c r="B277" s="33">
        <v>74</v>
      </c>
      <c r="C277" s="33">
        <v>11.19</v>
      </c>
      <c r="D277" s="33">
        <v>11.09</v>
      </c>
      <c r="E277" s="33">
        <v>10.99</v>
      </c>
      <c r="F277" s="33">
        <v>10.89</v>
      </c>
      <c r="G277" s="33">
        <v>10.79</v>
      </c>
      <c r="H277" s="33">
        <v>10.69</v>
      </c>
      <c r="I277" s="33">
        <v>12.39</v>
      </c>
      <c r="J277" s="33">
        <v>13.29</v>
      </c>
      <c r="K277" s="33">
        <v>14.09</v>
      </c>
      <c r="L277" s="33">
        <v>14.79</v>
      </c>
      <c r="M277" s="33">
        <v>15.39</v>
      </c>
      <c r="N277" s="33">
        <v>15.89</v>
      </c>
      <c r="O277" s="32">
        <v>7.3</v>
      </c>
      <c r="P277" s="32">
        <v>7.8</v>
      </c>
    </row>
    <row r="278" spans="1:16" ht="23.25" hidden="1" customHeight="1">
      <c r="A278" s="33" t="s">
        <v>179</v>
      </c>
      <c r="B278" s="33">
        <v>76</v>
      </c>
      <c r="C278" s="33">
        <v>11.2</v>
      </c>
      <c r="D278" s="33">
        <v>11.1</v>
      </c>
      <c r="E278" s="33">
        <v>11</v>
      </c>
      <c r="F278" s="33">
        <v>10.9</v>
      </c>
      <c r="G278" s="33">
        <v>10.8</v>
      </c>
      <c r="H278" s="33">
        <v>10.7</v>
      </c>
      <c r="I278" s="33">
        <v>12.4</v>
      </c>
      <c r="J278" s="33">
        <v>13.3</v>
      </c>
      <c r="K278" s="33">
        <v>14.1</v>
      </c>
      <c r="L278" s="33">
        <v>14.8</v>
      </c>
      <c r="M278" s="33">
        <v>15.4</v>
      </c>
      <c r="N278" s="33">
        <v>15.9</v>
      </c>
    </row>
    <row r="279" spans="1:16" ht="23.25" hidden="1" customHeight="1">
      <c r="A279" s="33" t="s">
        <v>179</v>
      </c>
      <c r="B279" s="33">
        <v>76</v>
      </c>
      <c r="C279" s="33">
        <v>12.29</v>
      </c>
      <c r="D279" s="33">
        <v>12.19</v>
      </c>
      <c r="E279" s="33">
        <v>12.09</v>
      </c>
      <c r="F279" s="33">
        <v>11.99</v>
      </c>
      <c r="G279" s="33">
        <v>11.89</v>
      </c>
      <c r="H279" s="33">
        <v>11.79</v>
      </c>
      <c r="I279" s="33">
        <v>13.69</v>
      </c>
      <c r="J279" s="33">
        <v>14.59</v>
      </c>
      <c r="K279" s="33">
        <v>15.49</v>
      </c>
      <c r="L279" s="33">
        <v>16.09</v>
      </c>
      <c r="M279" s="33">
        <v>16.690000000000001</v>
      </c>
      <c r="N279" s="33">
        <v>17.190000000000001</v>
      </c>
      <c r="O279" s="32">
        <v>6</v>
      </c>
      <c r="P279" s="32">
        <v>6.5</v>
      </c>
    </row>
    <row r="280" spans="1:16" ht="23.25" hidden="1" customHeight="1">
      <c r="A280" s="33" t="s">
        <v>179</v>
      </c>
      <c r="B280" s="33">
        <v>78</v>
      </c>
      <c r="C280" s="33">
        <v>12.3</v>
      </c>
      <c r="D280" s="33">
        <v>12.2</v>
      </c>
      <c r="E280" s="33">
        <v>12.1</v>
      </c>
      <c r="F280" s="33">
        <v>12</v>
      </c>
      <c r="G280" s="33">
        <v>11.9</v>
      </c>
      <c r="H280" s="33">
        <v>11.8</v>
      </c>
      <c r="I280" s="33">
        <v>13.7</v>
      </c>
      <c r="J280" s="33">
        <v>14.6</v>
      </c>
      <c r="K280" s="33">
        <v>15.4</v>
      </c>
      <c r="L280" s="33">
        <v>16.100000000000001</v>
      </c>
      <c r="M280" s="33">
        <v>16.7</v>
      </c>
      <c r="N280" s="33">
        <v>17.2</v>
      </c>
    </row>
    <row r="281" spans="1:16" ht="23.25" hidden="1" customHeight="1">
      <c r="A281" s="33" t="s">
        <v>179</v>
      </c>
      <c r="B281" s="33">
        <v>78</v>
      </c>
      <c r="C281" s="33">
        <v>13.39</v>
      </c>
      <c r="D281" s="33">
        <v>13.29</v>
      </c>
      <c r="E281" s="33">
        <v>13.19</v>
      </c>
      <c r="F281" s="33">
        <v>13.09</v>
      </c>
      <c r="G281" s="33">
        <v>12.99</v>
      </c>
      <c r="H281" s="33">
        <v>12.89</v>
      </c>
      <c r="I281" s="33">
        <v>14.99</v>
      </c>
      <c r="J281" s="33">
        <v>15.89</v>
      </c>
      <c r="K281" s="33">
        <v>16.690000000000001</v>
      </c>
      <c r="L281" s="33">
        <v>17.39</v>
      </c>
      <c r="M281" s="33">
        <v>17.989999999999998</v>
      </c>
      <c r="N281" s="33">
        <v>18.489999999999998</v>
      </c>
      <c r="O281" s="32">
        <v>5.2</v>
      </c>
      <c r="P281" s="32">
        <v>5.7</v>
      </c>
    </row>
    <row r="282" spans="1:16" ht="23.25" hidden="1" customHeight="1">
      <c r="A282" s="33" t="s">
        <v>180</v>
      </c>
      <c r="B282" s="33">
        <v>80</v>
      </c>
      <c r="C282" s="33">
        <v>13.4</v>
      </c>
      <c r="D282" s="33">
        <v>13.3</v>
      </c>
      <c r="E282" s="33">
        <v>13.2</v>
      </c>
      <c r="F282" s="33">
        <v>13.1</v>
      </c>
      <c r="G282" s="33">
        <v>13</v>
      </c>
      <c r="H282" s="33">
        <v>12.9</v>
      </c>
      <c r="I282" s="33">
        <v>15</v>
      </c>
      <c r="J282" s="33">
        <v>15.9</v>
      </c>
      <c r="K282" s="33">
        <v>16.7</v>
      </c>
      <c r="L282" s="33">
        <v>17.399999999999999</v>
      </c>
      <c r="M282" s="33">
        <v>18</v>
      </c>
      <c r="N282" s="33">
        <v>18.5</v>
      </c>
    </row>
    <row r="283" spans="1:16" ht="23.25" hidden="1" customHeight="1">
      <c r="A283" s="33" t="s">
        <v>180</v>
      </c>
      <c r="B283" s="33">
        <v>80</v>
      </c>
      <c r="C283" s="33">
        <v>14.69</v>
      </c>
      <c r="D283" s="33">
        <v>14.79</v>
      </c>
      <c r="E283" s="33">
        <v>14.89</v>
      </c>
      <c r="F283" s="33">
        <v>14.99</v>
      </c>
      <c r="G283" s="33">
        <v>15.09</v>
      </c>
      <c r="H283" s="33">
        <v>15.19</v>
      </c>
      <c r="I283" s="33">
        <v>16.690000000000001</v>
      </c>
      <c r="J283" s="33">
        <v>17.59</v>
      </c>
      <c r="K283" s="33">
        <v>18.39</v>
      </c>
      <c r="L283" s="33">
        <v>19.09</v>
      </c>
      <c r="M283" s="33">
        <v>19.690000000000001</v>
      </c>
      <c r="N283" s="33">
        <v>20.190000000000001</v>
      </c>
      <c r="O283" s="32">
        <v>4.4000000000000004</v>
      </c>
      <c r="P283" s="32">
        <v>4.9000000000000004</v>
      </c>
    </row>
    <row r="284" spans="1:16" ht="23.25" hidden="1" customHeight="1">
      <c r="A284" s="33" t="s">
        <v>180</v>
      </c>
      <c r="B284" s="33">
        <v>85</v>
      </c>
      <c r="C284" s="33">
        <v>14.7</v>
      </c>
      <c r="D284" s="33">
        <v>14.8</v>
      </c>
      <c r="E284" s="33">
        <v>14.9</v>
      </c>
      <c r="F284" s="33">
        <v>15</v>
      </c>
      <c r="G284" s="33">
        <v>15.1</v>
      </c>
      <c r="H284" s="33">
        <v>15.2</v>
      </c>
      <c r="I284" s="33">
        <v>16.7</v>
      </c>
      <c r="J284" s="33">
        <v>17.600000000000001</v>
      </c>
      <c r="K284" s="33">
        <v>18.399999999999999</v>
      </c>
      <c r="L284" s="33">
        <v>19.100000000000001</v>
      </c>
      <c r="M284" s="33">
        <v>19.7</v>
      </c>
      <c r="N284" s="33">
        <v>20.2</v>
      </c>
    </row>
    <row r="285" spans="1:16" ht="23.25" hidden="1" customHeight="1">
      <c r="A285" s="33" t="s">
        <v>180</v>
      </c>
      <c r="B285" s="33">
        <v>85</v>
      </c>
      <c r="C285" s="33">
        <v>15.99</v>
      </c>
      <c r="D285" s="33">
        <v>16.29</v>
      </c>
      <c r="E285" s="33">
        <v>16.59</v>
      </c>
      <c r="F285" s="33">
        <v>16.89</v>
      </c>
      <c r="G285" s="33">
        <v>17.190000000000001</v>
      </c>
      <c r="H285" s="33">
        <v>17.489999999999998</v>
      </c>
      <c r="I285" s="33">
        <v>18.39</v>
      </c>
      <c r="J285" s="33">
        <v>19.29</v>
      </c>
      <c r="K285" s="33">
        <v>20.09</v>
      </c>
      <c r="L285" s="33">
        <v>20.79</v>
      </c>
      <c r="M285" s="33">
        <v>21.39</v>
      </c>
      <c r="N285" s="33">
        <v>21.89</v>
      </c>
      <c r="O285" s="32">
        <v>3.6</v>
      </c>
      <c r="P285" s="32">
        <v>4.0999999999999996</v>
      </c>
    </row>
    <row r="286" spans="1:16" ht="23.25" hidden="1" customHeight="1">
      <c r="A286" s="33" t="s">
        <v>181</v>
      </c>
      <c r="B286" s="33">
        <v>90</v>
      </c>
      <c r="C286" s="33">
        <v>16</v>
      </c>
      <c r="D286" s="33">
        <v>16.3</v>
      </c>
      <c r="E286" s="33">
        <v>16.600000000000001</v>
      </c>
      <c r="F286" s="33">
        <v>16.899999999999999</v>
      </c>
      <c r="G286" s="33">
        <v>17.2</v>
      </c>
      <c r="H286" s="33">
        <v>17.5</v>
      </c>
      <c r="I286" s="33">
        <v>18.399999999999999</v>
      </c>
      <c r="J286" s="33">
        <v>19.3</v>
      </c>
      <c r="K286" s="33">
        <v>20.100000000000001</v>
      </c>
      <c r="L286" s="33">
        <v>20.8</v>
      </c>
      <c r="M286" s="33">
        <v>21.4</v>
      </c>
      <c r="N286" s="33">
        <v>21.9</v>
      </c>
    </row>
    <row r="287" spans="1:16" ht="23.25" hidden="1" customHeight="1">
      <c r="A287" s="33" t="s">
        <v>181</v>
      </c>
      <c r="B287" s="33">
        <v>90</v>
      </c>
      <c r="C287" s="33">
        <v>17.29</v>
      </c>
      <c r="D287" s="33">
        <v>17.59</v>
      </c>
      <c r="E287" s="33">
        <v>17.89</v>
      </c>
      <c r="F287" s="33">
        <v>18.09</v>
      </c>
      <c r="G287" s="33">
        <v>18.489999999999998</v>
      </c>
      <c r="H287" s="33">
        <v>18.690000000000001</v>
      </c>
      <c r="I287" s="33">
        <v>20.09</v>
      </c>
      <c r="J287" s="33">
        <v>20.99</v>
      </c>
      <c r="K287" s="33">
        <v>21.79</v>
      </c>
      <c r="L287" s="33">
        <v>22.49</v>
      </c>
      <c r="M287" s="33">
        <v>23.09</v>
      </c>
      <c r="N287" s="33">
        <v>23.59</v>
      </c>
      <c r="O287" s="32">
        <v>2.8</v>
      </c>
      <c r="P287" s="32">
        <v>3.3</v>
      </c>
    </row>
    <row r="288" spans="1:16" ht="23.25" hidden="1" customHeight="1">
      <c r="A288" s="33" t="s">
        <v>181</v>
      </c>
      <c r="B288" s="33">
        <v>95</v>
      </c>
      <c r="C288" s="33">
        <v>17.3</v>
      </c>
      <c r="D288" s="33">
        <v>17.600000000000001</v>
      </c>
      <c r="E288" s="33">
        <v>17.899999999999999</v>
      </c>
      <c r="F288" s="33">
        <v>18.100000000000001</v>
      </c>
      <c r="G288" s="33">
        <v>18.5</v>
      </c>
      <c r="H288" s="33">
        <v>18.7</v>
      </c>
      <c r="I288" s="33">
        <v>20.100000000000001</v>
      </c>
      <c r="J288" s="33">
        <v>21</v>
      </c>
      <c r="K288" s="33">
        <v>21.8</v>
      </c>
      <c r="L288" s="33">
        <v>22.5</v>
      </c>
      <c r="M288" s="33">
        <v>23.1</v>
      </c>
      <c r="N288" s="33">
        <v>23.6</v>
      </c>
    </row>
    <row r="289" spans="1:16" ht="23.25" hidden="1" customHeight="1">
      <c r="A289" s="33" t="s">
        <v>181</v>
      </c>
      <c r="B289" s="33">
        <v>95</v>
      </c>
      <c r="C289" s="33">
        <v>18.59</v>
      </c>
      <c r="D289" s="33">
        <v>18.89</v>
      </c>
      <c r="E289" s="33">
        <v>19.190000000000001</v>
      </c>
      <c r="F289" s="33">
        <v>19.489999999999998</v>
      </c>
      <c r="G289" s="33">
        <v>19.79</v>
      </c>
      <c r="H289" s="33">
        <v>19.89</v>
      </c>
      <c r="I289" s="33">
        <v>21.79</v>
      </c>
      <c r="J289" s="33">
        <v>22.69</v>
      </c>
      <c r="K289" s="33">
        <v>23.49</v>
      </c>
      <c r="L289" s="33">
        <v>24.19</v>
      </c>
      <c r="M289" s="33">
        <v>24.79</v>
      </c>
      <c r="N289" s="33">
        <v>25.29</v>
      </c>
      <c r="O289" s="32">
        <v>2</v>
      </c>
      <c r="P289" s="32">
        <v>2.5</v>
      </c>
    </row>
    <row r="290" spans="1:16" ht="23.25" hidden="1" customHeight="1">
      <c r="A290" s="33" t="s">
        <v>181</v>
      </c>
      <c r="B290" s="33">
        <v>100</v>
      </c>
      <c r="C290" s="33">
        <v>18.600000000000001</v>
      </c>
      <c r="D290" s="33">
        <v>18.899999999999999</v>
      </c>
      <c r="E290" s="33">
        <v>19.2</v>
      </c>
      <c r="F290" s="33">
        <v>19.5</v>
      </c>
      <c r="G290" s="33">
        <v>19.8</v>
      </c>
      <c r="H290" s="33">
        <v>19.899999999999999</v>
      </c>
      <c r="I290" s="33">
        <v>21.8</v>
      </c>
      <c r="J290" s="33">
        <v>22.7</v>
      </c>
      <c r="K290" s="33">
        <v>23.5</v>
      </c>
      <c r="L290" s="33">
        <v>24.2</v>
      </c>
      <c r="M290" s="33">
        <v>24.8</v>
      </c>
      <c r="N290" s="33">
        <v>25.3</v>
      </c>
    </row>
    <row r="291" spans="1:16" ht="23.25" hidden="1" customHeight="1">
      <c r="A291" s="33" t="s">
        <v>181</v>
      </c>
      <c r="B291" s="33">
        <v>100</v>
      </c>
      <c r="C291" s="33">
        <v>30</v>
      </c>
      <c r="D291" s="33">
        <v>30</v>
      </c>
      <c r="E291" s="33">
        <v>30</v>
      </c>
      <c r="F291" s="33">
        <v>30</v>
      </c>
      <c r="G291" s="33">
        <v>30</v>
      </c>
      <c r="H291" s="33">
        <v>30</v>
      </c>
      <c r="I291" s="33">
        <v>30</v>
      </c>
      <c r="J291" s="33">
        <v>30</v>
      </c>
      <c r="K291" s="33">
        <v>30</v>
      </c>
      <c r="L291" s="33">
        <v>30</v>
      </c>
      <c r="M291" s="33">
        <v>30</v>
      </c>
      <c r="N291" s="33">
        <v>30</v>
      </c>
    </row>
    <row r="292" spans="1:16" ht="23.25" hidden="1" customHeight="1">
      <c r="A292" s="37" t="s">
        <v>249</v>
      </c>
      <c r="B292" s="37"/>
      <c r="C292" s="37"/>
      <c r="D292" s="37"/>
      <c r="E292" s="37"/>
      <c r="F292" s="37"/>
      <c r="G292" s="37"/>
      <c r="H292" s="37"/>
    </row>
    <row r="293" spans="1:16" ht="23.25" hidden="1" customHeight="1">
      <c r="A293" s="37" t="s">
        <v>163</v>
      </c>
      <c r="B293" s="32" t="s">
        <v>164</v>
      </c>
      <c r="C293" s="37" t="s">
        <v>165</v>
      </c>
      <c r="D293" s="37" t="s">
        <v>166</v>
      </c>
      <c r="E293" s="37" t="s">
        <v>167</v>
      </c>
      <c r="F293" s="37" t="s">
        <v>168</v>
      </c>
      <c r="G293" s="37" t="s">
        <v>169</v>
      </c>
      <c r="H293" s="37" t="s">
        <v>170</v>
      </c>
    </row>
    <row r="294" spans="1:16" ht="23.25" hidden="1" customHeight="1">
      <c r="A294" s="37"/>
      <c r="B294" s="32" t="s">
        <v>177</v>
      </c>
      <c r="C294" s="37"/>
      <c r="D294" s="37"/>
      <c r="E294" s="37"/>
      <c r="F294" s="37"/>
      <c r="G294" s="37"/>
      <c r="H294" s="37"/>
    </row>
    <row r="295" spans="1:16" ht="23.25" hidden="1" customHeight="1">
      <c r="A295" s="32" t="s">
        <v>181</v>
      </c>
      <c r="B295" s="32">
        <v>120</v>
      </c>
      <c r="C295" s="32">
        <v>300</v>
      </c>
      <c r="D295" s="32">
        <v>300</v>
      </c>
      <c r="E295" s="32">
        <v>300</v>
      </c>
      <c r="F295" s="32">
        <v>300</v>
      </c>
      <c r="G295" s="32">
        <v>300</v>
      </c>
      <c r="H295" s="32">
        <v>300</v>
      </c>
    </row>
    <row r="296" spans="1:16" ht="23.25" hidden="1" customHeight="1">
      <c r="A296" s="32" t="s">
        <v>181</v>
      </c>
      <c r="B296" s="32">
        <v>120</v>
      </c>
      <c r="C296" s="32">
        <v>149</v>
      </c>
      <c r="D296" s="32">
        <v>157</v>
      </c>
      <c r="E296" s="32">
        <v>166</v>
      </c>
      <c r="F296" s="32">
        <v>177</v>
      </c>
      <c r="G296" s="32">
        <v>188</v>
      </c>
      <c r="H296" s="32">
        <v>197</v>
      </c>
    </row>
    <row r="297" spans="1:16" ht="23.25" hidden="1" customHeight="1">
      <c r="A297" s="32" t="s">
        <v>181</v>
      </c>
      <c r="B297" s="32">
        <v>119</v>
      </c>
      <c r="C297" s="32">
        <v>148</v>
      </c>
      <c r="D297" s="32">
        <v>156</v>
      </c>
      <c r="E297" s="32">
        <v>165</v>
      </c>
      <c r="F297" s="32">
        <v>176</v>
      </c>
      <c r="G297" s="32">
        <v>187</v>
      </c>
      <c r="H297" s="32">
        <v>196</v>
      </c>
    </row>
    <row r="298" spans="1:16" ht="23.25" hidden="1" customHeight="1">
      <c r="A298" s="32" t="s">
        <v>181</v>
      </c>
      <c r="B298" s="32">
        <v>119</v>
      </c>
      <c r="C298" s="32">
        <v>147</v>
      </c>
      <c r="D298" s="32">
        <v>155</v>
      </c>
      <c r="E298" s="32">
        <v>164</v>
      </c>
      <c r="F298" s="32">
        <v>175</v>
      </c>
      <c r="G298" s="32">
        <v>186</v>
      </c>
      <c r="H298" s="32">
        <v>195</v>
      </c>
    </row>
    <row r="299" spans="1:16" ht="23.25" hidden="1" customHeight="1">
      <c r="A299" s="32" t="s">
        <v>181</v>
      </c>
      <c r="B299" s="32">
        <v>118</v>
      </c>
      <c r="C299" s="32">
        <v>146</v>
      </c>
      <c r="D299" s="32">
        <v>154</v>
      </c>
      <c r="E299" s="32">
        <v>163</v>
      </c>
      <c r="F299" s="32">
        <v>174</v>
      </c>
      <c r="G299" s="32">
        <v>185</v>
      </c>
      <c r="H299" s="32">
        <v>194</v>
      </c>
    </row>
    <row r="300" spans="1:16" ht="23.25" hidden="1" customHeight="1">
      <c r="A300" s="32" t="s">
        <v>181</v>
      </c>
      <c r="B300" s="32">
        <v>118</v>
      </c>
      <c r="C300" s="32">
        <v>145</v>
      </c>
      <c r="D300" s="32">
        <v>153</v>
      </c>
      <c r="E300" s="32">
        <v>162</v>
      </c>
      <c r="F300" s="32">
        <v>173</v>
      </c>
      <c r="G300" s="32">
        <v>184</v>
      </c>
      <c r="H300" s="32">
        <v>193</v>
      </c>
    </row>
    <row r="301" spans="1:16" ht="23.25" hidden="1" customHeight="1">
      <c r="A301" s="32" t="s">
        <v>181</v>
      </c>
      <c r="B301" s="32">
        <v>117</v>
      </c>
      <c r="C301" s="32">
        <v>144</v>
      </c>
      <c r="D301" s="32">
        <v>152</v>
      </c>
      <c r="E301" s="32">
        <v>161</v>
      </c>
      <c r="F301" s="32">
        <v>172</v>
      </c>
      <c r="G301" s="32">
        <v>183</v>
      </c>
      <c r="H301" s="32">
        <v>192</v>
      </c>
    </row>
    <row r="302" spans="1:16" ht="23.25" hidden="1" customHeight="1">
      <c r="A302" s="32" t="s">
        <v>181</v>
      </c>
      <c r="B302" s="32">
        <v>117</v>
      </c>
      <c r="C302" s="32">
        <v>143</v>
      </c>
      <c r="D302" s="32">
        <v>151</v>
      </c>
      <c r="E302" s="32">
        <v>160</v>
      </c>
      <c r="F302" s="32">
        <v>171</v>
      </c>
      <c r="G302" s="32">
        <v>182</v>
      </c>
      <c r="H302" s="32">
        <v>191</v>
      </c>
    </row>
    <row r="303" spans="1:16" ht="23.25" hidden="1" customHeight="1">
      <c r="A303" s="32" t="s">
        <v>181</v>
      </c>
      <c r="B303" s="32">
        <v>116</v>
      </c>
      <c r="C303" s="32">
        <v>142</v>
      </c>
      <c r="D303" s="32">
        <v>150</v>
      </c>
      <c r="E303" s="32">
        <v>159</v>
      </c>
      <c r="F303" s="32">
        <v>170</v>
      </c>
      <c r="G303" s="32">
        <v>181</v>
      </c>
      <c r="H303" s="32">
        <v>190</v>
      </c>
    </row>
    <row r="304" spans="1:16" ht="23.25" hidden="1" customHeight="1">
      <c r="A304" s="32" t="s">
        <v>181</v>
      </c>
      <c r="B304" s="32">
        <v>116</v>
      </c>
      <c r="C304" s="32">
        <v>141</v>
      </c>
      <c r="D304" s="32">
        <v>149</v>
      </c>
      <c r="E304" s="32">
        <v>158</v>
      </c>
      <c r="F304" s="32">
        <v>169</v>
      </c>
      <c r="G304" s="32">
        <v>180</v>
      </c>
      <c r="H304" s="32">
        <v>189</v>
      </c>
    </row>
    <row r="305" spans="1:8" ht="23.25" hidden="1" customHeight="1">
      <c r="A305" s="32" t="s">
        <v>181</v>
      </c>
      <c r="B305" s="32">
        <v>115</v>
      </c>
      <c r="C305" s="32">
        <v>140</v>
      </c>
      <c r="D305" s="32">
        <v>148</v>
      </c>
      <c r="E305" s="32">
        <v>157</v>
      </c>
      <c r="F305" s="32">
        <v>168</v>
      </c>
      <c r="G305" s="32">
        <v>179</v>
      </c>
      <c r="H305" s="32">
        <v>188</v>
      </c>
    </row>
    <row r="306" spans="1:8" ht="23.25" hidden="1" customHeight="1">
      <c r="A306" s="32" t="s">
        <v>181</v>
      </c>
      <c r="B306" s="32">
        <v>115</v>
      </c>
      <c r="C306" s="32">
        <v>139</v>
      </c>
      <c r="D306" s="32">
        <v>147</v>
      </c>
      <c r="E306" s="32">
        <v>156</v>
      </c>
      <c r="F306" s="32">
        <v>167</v>
      </c>
      <c r="G306" s="32">
        <v>178</v>
      </c>
      <c r="H306" s="32">
        <v>187</v>
      </c>
    </row>
    <row r="307" spans="1:8" ht="23.25" hidden="1" customHeight="1">
      <c r="A307" s="32" t="s">
        <v>181</v>
      </c>
      <c r="B307" s="32">
        <v>114</v>
      </c>
      <c r="C307" s="32">
        <v>138</v>
      </c>
      <c r="D307" s="32">
        <v>146</v>
      </c>
      <c r="E307" s="32">
        <v>155</v>
      </c>
      <c r="F307" s="32">
        <v>166</v>
      </c>
      <c r="G307" s="32">
        <v>177</v>
      </c>
      <c r="H307" s="32">
        <v>186</v>
      </c>
    </row>
    <row r="308" spans="1:8" ht="23.25" hidden="1" customHeight="1">
      <c r="A308" s="32" t="s">
        <v>181</v>
      </c>
      <c r="B308" s="32">
        <v>114</v>
      </c>
      <c r="C308" s="32">
        <v>137</v>
      </c>
      <c r="D308" s="32">
        <v>145</v>
      </c>
      <c r="E308" s="32">
        <v>154</v>
      </c>
      <c r="F308" s="32">
        <v>165</v>
      </c>
      <c r="G308" s="32">
        <v>176</v>
      </c>
      <c r="H308" s="32">
        <v>185</v>
      </c>
    </row>
    <row r="309" spans="1:8" ht="23.25" hidden="1" customHeight="1">
      <c r="A309" s="32" t="s">
        <v>181</v>
      </c>
      <c r="B309" s="32">
        <v>113</v>
      </c>
      <c r="C309" s="32">
        <v>136</v>
      </c>
      <c r="D309" s="32">
        <v>144</v>
      </c>
      <c r="E309" s="32">
        <v>153</v>
      </c>
      <c r="F309" s="32">
        <v>164</v>
      </c>
      <c r="G309" s="32">
        <v>175</v>
      </c>
      <c r="H309" s="32">
        <v>184</v>
      </c>
    </row>
    <row r="310" spans="1:8" ht="23.25" hidden="1" customHeight="1">
      <c r="A310" s="32" t="s">
        <v>181</v>
      </c>
      <c r="B310" s="32">
        <v>113</v>
      </c>
      <c r="C310" s="32">
        <v>135</v>
      </c>
      <c r="D310" s="32">
        <v>143</v>
      </c>
      <c r="E310" s="32">
        <v>152</v>
      </c>
      <c r="F310" s="32">
        <v>163</v>
      </c>
      <c r="G310" s="32">
        <v>174</v>
      </c>
      <c r="H310" s="32">
        <v>183</v>
      </c>
    </row>
    <row r="311" spans="1:8" ht="23.25" hidden="1" customHeight="1">
      <c r="A311" s="32" t="s">
        <v>181</v>
      </c>
      <c r="B311" s="32">
        <v>112</v>
      </c>
      <c r="C311" s="32">
        <v>134</v>
      </c>
      <c r="D311" s="32">
        <v>142</v>
      </c>
      <c r="E311" s="32">
        <v>151</v>
      </c>
      <c r="F311" s="32">
        <v>162</v>
      </c>
      <c r="G311" s="32">
        <v>173</v>
      </c>
      <c r="H311" s="32">
        <v>182</v>
      </c>
    </row>
    <row r="312" spans="1:8" ht="23.25" hidden="1" customHeight="1">
      <c r="A312" s="32" t="s">
        <v>181</v>
      </c>
      <c r="B312" s="32">
        <v>112</v>
      </c>
      <c r="C312" s="32">
        <v>133</v>
      </c>
      <c r="D312" s="32">
        <v>141</v>
      </c>
      <c r="E312" s="32">
        <v>150</v>
      </c>
      <c r="F312" s="32">
        <v>161</v>
      </c>
      <c r="G312" s="32">
        <v>172</v>
      </c>
      <c r="H312" s="32">
        <v>181</v>
      </c>
    </row>
    <row r="313" spans="1:8" ht="23.25" hidden="1" customHeight="1">
      <c r="A313" s="32" t="s">
        <v>181</v>
      </c>
      <c r="B313" s="32">
        <v>111</v>
      </c>
      <c r="C313" s="32">
        <v>132</v>
      </c>
      <c r="D313" s="32">
        <v>140</v>
      </c>
      <c r="E313" s="32">
        <v>149</v>
      </c>
      <c r="F313" s="32">
        <v>160</v>
      </c>
      <c r="G313" s="32">
        <v>171</v>
      </c>
      <c r="H313" s="32">
        <v>180</v>
      </c>
    </row>
    <row r="314" spans="1:8" ht="23.25" hidden="1" customHeight="1">
      <c r="A314" s="32" t="s">
        <v>181</v>
      </c>
      <c r="B314" s="32">
        <v>111</v>
      </c>
      <c r="C314" s="32">
        <v>131</v>
      </c>
      <c r="D314" s="32">
        <v>139</v>
      </c>
      <c r="E314" s="32">
        <v>148</v>
      </c>
      <c r="F314" s="32">
        <v>159</v>
      </c>
      <c r="G314" s="32">
        <v>170</v>
      </c>
      <c r="H314" s="32">
        <v>179</v>
      </c>
    </row>
    <row r="315" spans="1:8" ht="23.25" hidden="1" customHeight="1">
      <c r="A315" s="32" t="s">
        <v>181</v>
      </c>
      <c r="B315" s="32">
        <v>110</v>
      </c>
      <c r="C315" s="32">
        <v>130</v>
      </c>
      <c r="D315" s="32">
        <v>138</v>
      </c>
      <c r="E315" s="32">
        <v>147</v>
      </c>
      <c r="F315" s="32">
        <v>158</v>
      </c>
      <c r="G315" s="32">
        <v>169</v>
      </c>
      <c r="H315" s="32">
        <v>178</v>
      </c>
    </row>
    <row r="316" spans="1:8" ht="23.25" hidden="1" customHeight="1">
      <c r="A316" s="32" t="s">
        <v>181</v>
      </c>
      <c r="B316" s="32">
        <v>110</v>
      </c>
      <c r="C316" s="32">
        <v>129</v>
      </c>
      <c r="D316" s="32">
        <v>137</v>
      </c>
      <c r="E316" s="32">
        <v>146</v>
      </c>
      <c r="F316" s="32">
        <v>157</v>
      </c>
      <c r="G316" s="32">
        <v>168</v>
      </c>
      <c r="H316" s="32">
        <v>177</v>
      </c>
    </row>
    <row r="317" spans="1:8" ht="23.25" hidden="1" customHeight="1">
      <c r="A317" s="32" t="s">
        <v>181</v>
      </c>
      <c r="B317" s="32">
        <v>109</v>
      </c>
      <c r="C317" s="32">
        <v>128</v>
      </c>
      <c r="D317" s="32">
        <v>136</v>
      </c>
      <c r="E317" s="32">
        <v>145</v>
      </c>
      <c r="F317" s="32">
        <v>156</v>
      </c>
      <c r="G317" s="32">
        <v>167</v>
      </c>
      <c r="H317" s="32">
        <v>176</v>
      </c>
    </row>
    <row r="318" spans="1:8" ht="23.25" hidden="1" customHeight="1">
      <c r="A318" s="32" t="s">
        <v>181</v>
      </c>
      <c r="B318" s="32">
        <v>109</v>
      </c>
      <c r="C318" s="32">
        <v>127</v>
      </c>
      <c r="D318" s="32">
        <v>135</v>
      </c>
      <c r="E318" s="32">
        <v>144</v>
      </c>
      <c r="F318" s="32">
        <v>155</v>
      </c>
      <c r="G318" s="32">
        <v>166</v>
      </c>
      <c r="H318" s="32">
        <v>175</v>
      </c>
    </row>
    <row r="319" spans="1:8" ht="23.25" hidden="1" customHeight="1">
      <c r="A319" s="32" t="s">
        <v>181</v>
      </c>
      <c r="B319" s="32">
        <v>108</v>
      </c>
      <c r="C319" s="32">
        <v>126</v>
      </c>
      <c r="D319" s="32">
        <v>134</v>
      </c>
      <c r="E319" s="32">
        <v>143</v>
      </c>
      <c r="F319" s="32">
        <v>154</v>
      </c>
      <c r="G319" s="32">
        <v>165</v>
      </c>
      <c r="H319" s="32">
        <v>174</v>
      </c>
    </row>
    <row r="320" spans="1:8" ht="23.25" hidden="1" customHeight="1">
      <c r="A320" s="32" t="s">
        <v>181</v>
      </c>
      <c r="B320" s="32">
        <v>108</v>
      </c>
      <c r="C320" s="32">
        <v>125</v>
      </c>
      <c r="D320" s="32">
        <v>133</v>
      </c>
      <c r="E320" s="32">
        <v>142</v>
      </c>
      <c r="F320" s="32">
        <v>153</v>
      </c>
      <c r="G320" s="32">
        <v>164</v>
      </c>
      <c r="H320" s="32">
        <v>173</v>
      </c>
    </row>
    <row r="321" spans="1:8" ht="23.25" hidden="1" customHeight="1">
      <c r="A321" s="32" t="s">
        <v>181</v>
      </c>
      <c r="B321" s="32">
        <v>107</v>
      </c>
      <c r="C321" s="32">
        <v>124</v>
      </c>
      <c r="D321" s="32">
        <v>132</v>
      </c>
      <c r="E321" s="32">
        <v>141</v>
      </c>
      <c r="F321" s="32">
        <v>152</v>
      </c>
      <c r="G321" s="32">
        <v>163</v>
      </c>
      <c r="H321" s="32">
        <v>172</v>
      </c>
    </row>
    <row r="322" spans="1:8" ht="23.25" hidden="1" customHeight="1">
      <c r="A322" s="32" t="s">
        <v>181</v>
      </c>
      <c r="B322" s="32">
        <v>107</v>
      </c>
      <c r="C322" s="32">
        <v>123</v>
      </c>
      <c r="D322" s="32">
        <v>131</v>
      </c>
      <c r="E322" s="32">
        <v>140</v>
      </c>
      <c r="F322" s="32">
        <v>151</v>
      </c>
      <c r="G322" s="32">
        <v>162</v>
      </c>
      <c r="H322" s="32">
        <v>171</v>
      </c>
    </row>
    <row r="323" spans="1:8" ht="23.25" hidden="1" customHeight="1">
      <c r="A323" s="32" t="s">
        <v>181</v>
      </c>
      <c r="B323" s="32">
        <v>106</v>
      </c>
      <c r="C323" s="32">
        <v>122</v>
      </c>
      <c r="D323" s="32">
        <v>130</v>
      </c>
      <c r="E323" s="32">
        <v>139</v>
      </c>
      <c r="F323" s="32">
        <v>150</v>
      </c>
      <c r="G323" s="32">
        <v>161</v>
      </c>
      <c r="H323" s="32">
        <v>170</v>
      </c>
    </row>
    <row r="324" spans="1:8" ht="23.25" hidden="1" customHeight="1">
      <c r="A324" s="32" t="s">
        <v>181</v>
      </c>
      <c r="B324" s="32">
        <v>106</v>
      </c>
      <c r="C324" s="32">
        <v>121</v>
      </c>
      <c r="D324" s="32">
        <v>129</v>
      </c>
      <c r="E324" s="32">
        <v>138</v>
      </c>
      <c r="F324" s="32">
        <v>149</v>
      </c>
      <c r="G324" s="32">
        <v>160</v>
      </c>
      <c r="H324" s="32">
        <v>169</v>
      </c>
    </row>
    <row r="325" spans="1:8" ht="23.25" hidden="1" customHeight="1">
      <c r="A325" s="32" t="s">
        <v>181</v>
      </c>
      <c r="B325" s="32">
        <v>105</v>
      </c>
      <c r="C325" s="32">
        <v>120</v>
      </c>
      <c r="D325" s="32">
        <v>128</v>
      </c>
      <c r="E325" s="32">
        <v>137</v>
      </c>
      <c r="F325" s="32">
        <v>148</v>
      </c>
      <c r="G325" s="32">
        <v>159</v>
      </c>
      <c r="H325" s="32">
        <v>168</v>
      </c>
    </row>
    <row r="326" spans="1:8" ht="23.25" hidden="1" customHeight="1">
      <c r="A326" s="32" t="s">
        <v>181</v>
      </c>
      <c r="B326" s="32">
        <v>105</v>
      </c>
      <c r="C326" s="32">
        <v>119</v>
      </c>
      <c r="D326" s="32">
        <v>127</v>
      </c>
      <c r="E326" s="32">
        <v>136</v>
      </c>
      <c r="F326" s="32">
        <v>147</v>
      </c>
      <c r="G326" s="32">
        <v>158</v>
      </c>
      <c r="H326" s="32">
        <v>167</v>
      </c>
    </row>
    <row r="327" spans="1:8" ht="23.25" hidden="1" customHeight="1">
      <c r="A327" s="32" t="s">
        <v>181</v>
      </c>
      <c r="B327" s="32">
        <v>104</v>
      </c>
      <c r="C327" s="32">
        <v>118</v>
      </c>
      <c r="D327" s="32">
        <v>126</v>
      </c>
      <c r="E327" s="32">
        <v>135</v>
      </c>
      <c r="F327" s="32">
        <v>146</v>
      </c>
      <c r="G327" s="32">
        <v>157</v>
      </c>
      <c r="H327" s="32">
        <v>166</v>
      </c>
    </row>
    <row r="328" spans="1:8" ht="23.25" hidden="1" customHeight="1">
      <c r="A328" s="32" t="s">
        <v>181</v>
      </c>
      <c r="B328" s="32">
        <v>104</v>
      </c>
      <c r="C328" s="32">
        <v>117</v>
      </c>
      <c r="D328" s="32">
        <v>125</v>
      </c>
      <c r="E328" s="32">
        <v>134</v>
      </c>
      <c r="F328" s="32">
        <v>145</v>
      </c>
      <c r="G328" s="32">
        <v>156</v>
      </c>
      <c r="H328" s="32">
        <v>165</v>
      </c>
    </row>
    <row r="329" spans="1:8" ht="23.25" hidden="1" customHeight="1">
      <c r="A329" s="32" t="s">
        <v>181</v>
      </c>
      <c r="B329" s="32">
        <v>103</v>
      </c>
      <c r="C329" s="32">
        <v>116</v>
      </c>
      <c r="D329" s="32">
        <v>124</v>
      </c>
      <c r="E329" s="32">
        <v>133</v>
      </c>
      <c r="F329" s="32">
        <v>144</v>
      </c>
      <c r="G329" s="32">
        <v>155</v>
      </c>
      <c r="H329" s="32">
        <v>164</v>
      </c>
    </row>
    <row r="330" spans="1:8" ht="23.25" hidden="1" customHeight="1">
      <c r="A330" s="32" t="s">
        <v>181</v>
      </c>
      <c r="B330" s="32">
        <v>103</v>
      </c>
      <c r="C330" s="32">
        <v>115</v>
      </c>
      <c r="D330" s="32">
        <v>123</v>
      </c>
      <c r="E330" s="32">
        <v>132</v>
      </c>
      <c r="F330" s="32">
        <v>143</v>
      </c>
      <c r="G330" s="32">
        <v>154</v>
      </c>
      <c r="H330" s="32">
        <v>163</v>
      </c>
    </row>
    <row r="331" spans="1:8" ht="23.25" hidden="1" customHeight="1">
      <c r="A331" s="32" t="s">
        <v>181</v>
      </c>
      <c r="B331" s="32">
        <v>102</v>
      </c>
      <c r="C331" s="32">
        <v>114</v>
      </c>
      <c r="D331" s="32">
        <v>122</v>
      </c>
      <c r="E331" s="32">
        <v>131</v>
      </c>
      <c r="F331" s="32">
        <v>142</v>
      </c>
      <c r="G331" s="32">
        <v>153</v>
      </c>
      <c r="H331" s="32">
        <v>162</v>
      </c>
    </row>
    <row r="332" spans="1:8" ht="23.25" hidden="1" customHeight="1">
      <c r="A332" s="32" t="s">
        <v>181</v>
      </c>
      <c r="B332" s="32">
        <v>102</v>
      </c>
      <c r="C332" s="32">
        <v>113</v>
      </c>
      <c r="D332" s="32">
        <v>121</v>
      </c>
      <c r="E332" s="32">
        <v>130</v>
      </c>
      <c r="F332" s="32">
        <v>141</v>
      </c>
      <c r="G332" s="32">
        <v>152</v>
      </c>
      <c r="H332" s="32">
        <v>161</v>
      </c>
    </row>
    <row r="333" spans="1:8" ht="23.25" hidden="1" customHeight="1">
      <c r="A333" s="32" t="s">
        <v>181</v>
      </c>
      <c r="B333" s="32">
        <v>101</v>
      </c>
      <c r="C333" s="32">
        <v>112</v>
      </c>
      <c r="D333" s="32">
        <v>120</v>
      </c>
      <c r="E333" s="32">
        <v>129</v>
      </c>
      <c r="F333" s="32">
        <v>140</v>
      </c>
      <c r="G333" s="32">
        <v>151</v>
      </c>
      <c r="H333" s="32">
        <v>160</v>
      </c>
    </row>
    <row r="334" spans="1:8" ht="23.25" hidden="1" customHeight="1">
      <c r="A334" s="32" t="s">
        <v>181</v>
      </c>
      <c r="B334" s="32">
        <v>101</v>
      </c>
      <c r="C334" s="32">
        <v>111</v>
      </c>
      <c r="D334" s="32">
        <v>119</v>
      </c>
      <c r="E334" s="32">
        <v>128</v>
      </c>
      <c r="F334" s="32">
        <v>139</v>
      </c>
      <c r="G334" s="32">
        <v>150</v>
      </c>
      <c r="H334" s="32">
        <v>159</v>
      </c>
    </row>
    <row r="335" spans="1:8" ht="23.25" hidden="1" customHeight="1">
      <c r="A335" s="32" t="s">
        <v>181</v>
      </c>
      <c r="B335" s="32">
        <v>100</v>
      </c>
      <c r="C335" s="32">
        <v>110</v>
      </c>
      <c r="D335" s="32">
        <v>118</v>
      </c>
      <c r="E335" s="32">
        <v>127</v>
      </c>
      <c r="F335" s="32">
        <v>138</v>
      </c>
      <c r="G335" s="32">
        <v>149</v>
      </c>
      <c r="H335" s="32">
        <v>158</v>
      </c>
    </row>
    <row r="336" spans="1:8" ht="23.25" hidden="1" customHeight="1">
      <c r="A336" s="32" t="s">
        <v>181</v>
      </c>
      <c r="B336" s="32">
        <v>100</v>
      </c>
      <c r="C336" s="32">
        <v>109</v>
      </c>
      <c r="D336" s="32">
        <v>117</v>
      </c>
      <c r="E336" s="32">
        <v>126</v>
      </c>
      <c r="F336" s="32">
        <v>137</v>
      </c>
      <c r="G336" s="32">
        <v>148</v>
      </c>
      <c r="H336" s="32">
        <v>157</v>
      </c>
    </row>
    <row r="337" spans="1:8" ht="23.25" hidden="1" customHeight="1">
      <c r="A337" s="32" t="s">
        <v>181</v>
      </c>
      <c r="B337" s="32">
        <v>95</v>
      </c>
      <c r="C337" s="32">
        <v>108</v>
      </c>
      <c r="D337" s="32">
        <v>116</v>
      </c>
      <c r="E337" s="32">
        <v>125</v>
      </c>
      <c r="F337" s="32">
        <v>136</v>
      </c>
      <c r="G337" s="32">
        <v>147</v>
      </c>
      <c r="H337" s="32">
        <v>156</v>
      </c>
    </row>
    <row r="338" spans="1:8" ht="23.25" hidden="1" customHeight="1">
      <c r="A338" s="32" t="s">
        <v>181</v>
      </c>
      <c r="B338" s="32">
        <v>95</v>
      </c>
      <c r="C338" s="32">
        <v>104</v>
      </c>
      <c r="D338" s="32">
        <v>112</v>
      </c>
      <c r="E338" s="32">
        <v>121</v>
      </c>
      <c r="F338" s="32">
        <v>132</v>
      </c>
      <c r="G338" s="32">
        <v>143</v>
      </c>
      <c r="H338" s="32">
        <v>152</v>
      </c>
    </row>
    <row r="339" spans="1:8" ht="23.25" hidden="1" customHeight="1">
      <c r="A339" s="32" t="s">
        <v>181</v>
      </c>
      <c r="B339" s="32">
        <v>90</v>
      </c>
      <c r="C339" s="32">
        <v>103</v>
      </c>
      <c r="D339" s="32">
        <v>111</v>
      </c>
      <c r="E339" s="32">
        <v>120</v>
      </c>
      <c r="F339" s="32">
        <v>131</v>
      </c>
      <c r="G339" s="32">
        <v>142</v>
      </c>
      <c r="H339" s="32">
        <v>151</v>
      </c>
    </row>
    <row r="340" spans="1:8" ht="23.25" hidden="1" customHeight="1">
      <c r="A340" s="32" t="s">
        <v>181</v>
      </c>
      <c r="B340" s="32">
        <v>90</v>
      </c>
      <c r="C340" s="32">
        <v>99</v>
      </c>
      <c r="D340" s="32">
        <v>107</v>
      </c>
      <c r="E340" s="32">
        <v>116</v>
      </c>
      <c r="F340" s="32">
        <v>127</v>
      </c>
      <c r="G340" s="32">
        <v>138</v>
      </c>
      <c r="H340" s="32">
        <v>147</v>
      </c>
    </row>
    <row r="341" spans="1:8" ht="23.25" hidden="1" customHeight="1">
      <c r="A341" s="32" t="s">
        <v>180</v>
      </c>
      <c r="B341" s="32">
        <v>85</v>
      </c>
      <c r="C341" s="32">
        <v>98</v>
      </c>
      <c r="D341" s="32">
        <v>106</v>
      </c>
      <c r="E341" s="32">
        <v>115</v>
      </c>
      <c r="F341" s="32">
        <v>126</v>
      </c>
      <c r="G341" s="32">
        <v>137</v>
      </c>
      <c r="H341" s="32">
        <v>146</v>
      </c>
    </row>
    <row r="342" spans="1:8" ht="23.25" hidden="1" customHeight="1">
      <c r="A342" s="32" t="s">
        <v>180</v>
      </c>
      <c r="B342" s="32">
        <v>85</v>
      </c>
      <c r="C342" s="32">
        <v>93</v>
      </c>
      <c r="D342" s="32">
        <v>101</v>
      </c>
      <c r="E342" s="32">
        <v>110</v>
      </c>
      <c r="F342" s="32">
        <v>121</v>
      </c>
      <c r="G342" s="32">
        <v>132</v>
      </c>
      <c r="H342" s="32">
        <v>141</v>
      </c>
    </row>
    <row r="343" spans="1:8" ht="23.25" hidden="1" customHeight="1">
      <c r="A343" s="32" t="s">
        <v>180</v>
      </c>
      <c r="B343" s="32">
        <v>80</v>
      </c>
      <c r="C343" s="32">
        <v>92</v>
      </c>
      <c r="D343" s="32">
        <v>100</v>
      </c>
      <c r="E343" s="32">
        <v>109</v>
      </c>
      <c r="F343" s="32">
        <v>120</v>
      </c>
      <c r="G343" s="32">
        <v>131</v>
      </c>
      <c r="H343" s="32">
        <v>140</v>
      </c>
    </row>
    <row r="344" spans="1:8" ht="23.25" hidden="1" customHeight="1">
      <c r="A344" s="32" t="s">
        <v>180</v>
      </c>
      <c r="B344" s="32">
        <v>80</v>
      </c>
      <c r="C344" s="32">
        <v>87</v>
      </c>
      <c r="D344" s="32">
        <v>95</v>
      </c>
      <c r="E344" s="32">
        <v>104</v>
      </c>
      <c r="F344" s="32">
        <v>115</v>
      </c>
      <c r="G344" s="32">
        <v>126</v>
      </c>
      <c r="H344" s="32">
        <v>135</v>
      </c>
    </row>
    <row r="345" spans="1:8" ht="23.25" hidden="1" customHeight="1">
      <c r="A345" s="32" t="s">
        <v>179</v>
      </c>
      <c r="B345" s="32">
        <v>78</v>
      </c>
      <c r="C345" s="32">
        <v>86</v>
      </c>
      <c r="D345" s="32">
        <v>94</v>
      </c>
      <c r="E345" s="32">
        <v>103</v>
      </c>
      <c r="F345" s="32">
        <v>114</v>
      </c>
      <c r="G345" s="32">
        <v>125</v>
      </c>
      <c r="H345" s="32">
        <v>134</v>
      </c>
    </row>
    <row r="346" spans="1:8" ht="23.25" hidden="1" customHeight="1">
      <c r="A346" s="32" t="s">
        <v>179</v>
      </c>
      <c r="B346" s="32">
        <v>78</v>
      </c>
      <c r="C346" s="32">
        <v>80</v>
      </c>
      <c r="D346" s="32">
        <v>88</v>
      </c>
      <c r="E346" s="32">
        <v>97</v>
      </c>
      <c r="F346" s="32">
        <v>108</v>
      </c>
      <c r="G346" s="32">
        <v>119</v>
      </c>
      <c r="H346" s="32">
        <v>128</v>
      </c>
    </row>
    <row r="347" spans="1:8" ht="23.25" hidden="1" customHeight="1">
      <c r="A347" s="32" t="s">
        <v>179</v>
      </c>
      <c r="B347" s="32">
        <v>76</v>
      </c>
      <c r="C347" s="32">
        <v>79</v>
      </c>
      <c r="D347" s="32">
        <v>87</v>
      </c>
      <c r="E347" s="32">
        <v>96</v>
      </c>
      <c r="F347" s="32">
        <v>107</v>
      </c>
      <c r="G347" s="32">
        <v>118</v>
      </c>
      <c r="H347" s="32">
        <v>127</v>
      </c>
    </row>
    <row r="348" spans="1:8" ht="23.25" hidden="1" customHeight="1">
      <c r="A348" s="32" t="s">
        <v>179</v>
      </c>
      <c r="B348" s="32">
        <v>76</v>
      </c>
      <c r="C348" s="32">
        <v>73</v>
      </c>
      <c r="D348" s="32">
        <v>81</v>
      </c>
      <c r="E348" s="32">
        <v>90</v>
      </c>
      <c r="F348" s="32">
        <v>101</v>
      </c>
      <c r="G348" s="32">
        <v>112</v>
      </c>
      <c r="H348" s="32">
        <v>121</v>
      </c>
    </row>
    <row r="349" spans="1:8" ht="23.25" hidden="1" customHeight="1">
      <c r="A349" s="32" t="s">
        <v>179</v>
      </c>
      <c r="B349" s="32">
        <v>74</v>
      </c>
      <c r="C349" s="32">
        <v>72</v>
      </c>
      <c r="D349" s="32">
        <v>80</v>
      </c>
      <c r="E349" s="32">
        <v>89</v>
      </c>
      <c r="F349" s="32">
        <v>100</v>
      </c>
      <c r="G349" s="32">
        <v>111</v>
      </c>
      <c r="H349" s="32">
        <v>120</v>
      </c>
    </row>
    <row r="350" spans="1:8" ht="23.25" hidden="1" customHeight="1">
      <c r="A350" s="32" t="s">
        <v>179</v>
      </c>
      <c r="B350" s="32">
        <v>74</v>
      </c>
      <c r="C350" s="32">
        <v>66</v>
      </c>
      <c r="D350" s="32">
        <v>74</v>
      </c>
      <c r="E350" s="32">
        <v>83</v>
      </c>
      <c r="F350" s="32">
        <v>94</v>
      </c>
      <c r="G350" s="32">
        <v>105</v>
      </c>
      <c r="H350" s="32">
        <v>114</v>
      </c>
    </row>
    <row r="351" spans="1:8" ht="23.25" hidden="1" customHeight="1">
      <c r="A351" s="32" t="s">
        <v>179</v>
      </c>
      <c r="B351" s="32">
        <v>72</v>
      </c>
      <c r="C351" s="32">
        <v>65</v>
      </c>
      <c r="D351" s="32">
        <v>73</v>
      </c>
      <c r="E351" s="32">
        <v>82</v>
      </c>
      <c r="F351" s="32">
        <v>93</v>
      </c>
      <c r="G351" s="32">
        <v>104</v>
      </c>
      <c r="H351" s="32">
        <v>113</v>
      </c>
    </row>
    <row r="352" spans="1:8" ht="23.25" hidden="1" customHeight="1">
      <c r="A352" s="32" t="s">
        <v>179</v>
      </c>
      <c r="B352" s="32">
        <v>72</v>
      </c>
      <c r="C352" s="32">
        <v>59</v>
      </c>
      <c r="D352" s="32">
        <v>67</v>
      </c>
      <c r="E352" s="32">
        <v>76</v>
      </c>
      <c r="F352" s="32">
        <v>87</v>
      </c>
      <c r="G352" s="32">
        <v>98</v>
      </c>
      <c r="H352" s="32">
        <v>107</v>
      </c>
    </row>
    <row r="353" spans="1:8" ht="23.25" hidden="1" customHeight="1">
      <c r="A353" s="32" t="s">
        <v>179</v>
      </c>
      <c r="B353" s="32">
        <v>70</v>
      </c>
      <c r="C353" s="32">
        <v>58</v>
      </c>
      <c r="D353" s="32">
        <v>66</v>
      </c>
      <c r="E353" s="32">
        <v>75</v>
      </c>
      <c r="F353" s="32">
        <v>86</v>
      </c>
      <c r="G353" s="32">
        <v>97</v>
      </c>
      <c r="H353" s="32">
        <v>106</v>
      </c>
    </row>
    <row r="354" spans="1:8" ht="23.25" hidden="1" customHeight="1">
      <c r="A354" s="32" t="s">
        <v>179</v>
      </c>
      <c r="B354" s="32">
        <v>70</v>
      </c>
      <c r="C354" s="32">
        <v>52</v>
      </c>
      <c r="D354" s="32">
        <v>60</v>
      </c>
      <c r="E354" s="32">
        <v>69</v>
      </c>
      <c r="F354" s="32">
        <v>80</v>
      </c>
      <c r="G354" s="32">
        <v>91</v>
      </c>
      <c r="H354" s="32">
        <v>100</v>
      </c>
    </row>
    <row r="355" spans="1:8" ht="23.25" hidden="1" customHeight="1">
      <c r="A355" s="32" t="s">
        <v>179</v>
      </c>
      <c r="B355" s="32">
        <v>68</v>
      </c>
      <c r="C355" s="32">
        <v>51</v>
      </c>
      <c r="D355" s="32">
        <v>59</v>
      </c>
      <c r="E355" s="32">
        <v>68</v>
      </c>
      <c r="F355" s="32">
        <v>79</v>
      </c>
      <c r="G355" s="32">
        <v>90</v>
      </c>
      <c r="H355" s="32">
        <v>99</v>
      </c>
    </row>
    <row r="356" spans="1:8" ht="23.25" hidden="1" customHeight="1">
      <c r="A356" s="32" t="s">
        <v>179</v>
      </c>
      <c r="B356" s="32">
        <v>68</v>
      </c>
      <c r="C356" s="32">
        <v>45</v>
      </c>
      <c r="D356" s="32">
        <v>53</v>
      </c>
      <c r="E356" s="32">
        <v>62</v>
      </c>
      <c r="F356" s="32">
        <v>73</v>
      </c>
      <c r="G356" s="32">
        <v>84</v>
      </c>
      <c r="H356" s="32">
        <v>93</v>
      </c>
    </row>
    <row r="357" spans="1:8" ht="23.25" hidden="1" customHeight="1">
      <c r="A357" s="32" t="s">
        <v>179</v>
      </c>
      <c r="B357" s="32">
        <v>66</v>
      </c>
      <c r="C357" s="32">
        <v>44</v>
      </c>
      <c r="D357" s="32">
        <v>52</v>
      </c>
      <c r="E357" s="32">
        <v>61</v>
      </c>
      <c r="F357" s="32">
        <v>72</v>
      </c>
      <c r="G357" s="32">
        <v>83</v>
      </c>
      <c r="H357" s="32">
        <v>92</v>
      </c>
    </row>
    <row r="358" spans="1:8" ht="23.25" hidden="1" customHeight="1">
      <c r="A358" s="32" t="s">
        <v>179</v>
      </c>
      <c r="B358" s="32">
        <v>66</v>
      </c>
      <c r="C358" s="32">
        <v>38</v>
      </c>
      <c r="D358" s="32">
        <v>46</v>
      </c>
      <c r="E358" s="32">
        <v>55</v>
      </c>
      <c r="F358" s="32">
        <v>66</v>
      </c>
      <c r="G358" s="32">
        <v>77</v>
      </c>
      <c r="H358" s="32">
        <v>86</v>
      </c>
    </row>
    <row r="359" spans="1:8" ht="23.25" hidden="1" customHeight="1">
      <c r="A359" s="32" t="s">
        <v>179</v>
      </c>
      <c r="B359" s="32">
        <v>64</v>
      </c>
      <c r="C359" s="32">
        <v>37</v>
      </c>
      <c r="D359" s="32">
        <v>45</v>
      </c>
      <c r="E359" s="32">
        <v>54</v>
      </c>
      <c r="F359" s="32">
        <v>65</v>
      </c>
      <c r="G359" s="32">
        <v>76</v>
      </c>
      <c r="H359" s="32">
        <v>85</v>
      </c>
    </row>
    <row r="360" spans="1:8" ht="23.25" hidden="1" customHeight="1">
      <c r="A360" s="32" t="s">
        <v>179</v>
      </c>
      <c r="B360" s="32">
        <v>64</v>
      </c>
      <c r="C360" s="32">
        <v>31</v>
      </c>
      <c r="D360" s="32">
        <v>39</v>
      </c>
      <c r="E360" s="32">
        <v>48</v>
      </c>
      <c r="F360" s="32">
        <v>59</v>
      </c>
      <c r="G360" s="32">
        <v>70</v>
      </c>
      <c r="H360" s="32">
        <v>79</v>
      </c>
    </row>
    <row r="361" spans="1:8" ht="23.25" hidden="1" customHeight="1">
      <c r="A361" s="32" t="s">
        <v>179</v>
      </c>
      <c r="B361" s="32">
        <v>62</v>
      </c>
      <c r="C361" s="32">
        <v>30</v>
      </c>
      <c r="D361" s="32">
        <v>38</v>
      </c>
      <c r="E361" s="32">
        <v>47</v>
      </c>
      <c r="F361" s="32">
        <v>58</v>
      </c>
      <c r="G361" s="32">
        <v>69</v>
      </c>
      <c r="H361" s="32">
        <v>78</v>
      </c>
    </row>
    <row r="362" spans="1:8" ht="23.25" hidden="1" customHeight="1">
      <c r="A362" s="32" t="s">
        <v>179</v>
      </c>
      <c r="B362" s="32">
        <v>62</v>
      </c>
      <c r="C362" s="32">
        <v>24</v>
      </c>
      <c r="D362" s="32">
        <v>32</v>
      </c>
      <c r="E362" s="32">
        <v>41</v>
      </c>
      <c r="F362" s="32">
        <v>52</v>
      </c>
      <c r="G362" s="32">
        <v>63</v>
      </c>
      <c r="H362" s="32">
        <v>72</v>
      </c>
    </row>
    <row r="363" spans="1:8" ht="23.25" hidden="1" customHeight="1">
      <c r="A363" s="32" t="s">
        <v>179</v>
      </c>
      <c r="B363" s="32">
        <v>60</v>
      </c>
      <c r="C363" s="32">
        <v>23</v>
      </c>
      <c r="D363" s="32">
        <v>31</v>
      </c>
      <c r="E363" s="32">
        <v>40</v>
      </c>
      <c r="F363" s="32">
        <v>51</v>
      </c>
      <c r="G363" s="32">
        <v>62</v>
      </c>
      <c r="H363" s="32">
        <v>71</v>
      </c>
    </row>
    <row r="364" spans="1:8" ht="23.25" hidden="1" customHeight="1">
      <c r="A364" s="32" t="s">
        <v>179</v>
      </c>
      <c r="B364" s="32">
        <v>60</v>
      </c>
      <c r="C364" s="32">
        <v>17</v>
      </c>
      <c r="D364" s="32">
        <v>25</v>
      </c>
      <c r="E364" s="32">
        <v>34</v>
      </c>
      <c r="F364" s="32">
        <v>45</v>
      </c>
      <c r="G364" s="32">
        <v>56</v>
      </c>
      <c r="H364" s="32">
        <v>65</v>
      </c>
    </row>
    <row r="365" spans="1:8" ht="23.25" hidden="1" customHeight="1">
      <c r="A365" s="32" t="s">
        <v>178</v>
      </c>
      <c r="B365" s="32">
        <v>50</v>
      </c>
      <c r="C365" s="32">
        <v>16</v>
      </c>
      <c r="D365" s="32">
        <v>24</v>
      </c>
      <c r="E365" s="32">
        <v>33</v>
      </c>
      <c r="F365" s="32">
        <v>44</v>
      </c>
      <c r="G365" s="32">
        <v>55</v>
      </c>
      <c r="H365" s="32">
        <v>64</v>
      </c>
    </row>
    <row r="366" spans="1:8" ht="23.25" hidden="1" customHeight="1">
      <c r="A366" s="32" t="s">
        <v>178</v>
      </c>
      <c r="B366" s="32">
        <v>50</v>
      </c>
      <c r="C366" s="32">
        <v>14</v>
      </c>
      <c r="D366" s="32">
        <v>22</v>
      </c>
      <c r="E366" s="32">
        <v>31</v>
      </c>
      <c r="F366" s="32">
        <v>42</v>
      </c>
      <c r="G366" s="32">
        <v>53</v>
      </c>
      <c r="H366" s="32">
        <v>62</v>
      </c>
    </row>
    <row r="367" spans="1:8" ht="23.25" hidden="1" customHeight="1">
      <c r="A367" s="32" t="s">
        <v>178</v>
      </c>
      <c r="B367" s="32">
        <v>40</v>
      </c>
      <c r="C367" s="32">
        <v>13</v>
      </c>
      <c r="D367" s="32">
        <v>21</v>
      </c>
      <c r="E367" s="32">
        <v>30</v>
      </c>
      <c r="F367" s="32">
        <v>41</v>
      </c>
      <c r="G367" s="32">
        <v>52</v>
      </c>
      <c r="H367" s="32">
        <v>61</v>
      </c>
    </row>
    <row r="368" spans="1:8" ht="23.25" hidden="1" customHeight="1">
      <c r="A368" s="32" t="s">
        <v>178</v>
      </c>
      <c r="B368" s="32">
        <v>40</v>
      </c>
      <c r="C368" s="32">
        <v>11</v>
      </c>
      <c r="D368" s="32">
        <v>19</v>
      </c>
      <c r="E368" s="32">
        <v>28</v>
      </c>
      <c r="F368" s="32">
        <v>39</v>
      </c>
      <c r="G368" s="32">
        <v>50</v>
      </c>
      <c r="H368" s="32">
        <v>59</v>
      </c>
    </row>
    <row r="369" spans="1:8" ht="23.25" hidden="1" customHeight="1">
      <c r="A369" s="32" t="s">
        <v>178</v>
      </c>
      <c r="B369" s="32">
        <v>30</v>
      </c>
      <c r="C369" s="32">
        <v>10</v>
      </c>
      <c r="D369" s="32">
        <v>18</v>
      </c>
      <c r="E369" s="32">
        <v>27</v>
      </c>
      <c r="F369" s="32">
        <v>38</v>
      </c>
      <c r="G369" s="32">
        <v>49</v>
      </c>
      <c r="H369" s="32">
        <v>58</v>
      </c>
    </row>
    <row r="370" spans="1:8" ht="23.25" hidden="1" customHeight="1">
      <c r="A370" s="32" t="s">
        <v>178</v>
      </c>
      <c r="B370" s="32">
        <v>30</v>
      </c>
      <c r="C370" s="32">
        <v>8</v>
      </c>
      <c r="D370" s="32">
        <v>16</v>
      </c>
      <c r="E370" s="32">
        <v>25</v>
      </c>
      <c r="F370" s="32">
        <v>36</v>
      </c>
      <c r="G370" s="32">
        <v>47</v>
      </c>
      <c r="H370" s="32">
        <v>56</v>
      </c>
    </row>
    <row r="371" spans="1:8" ht="23.25" hidden="1" customHeight="1">
      <c r="A371" s="32" t="s">
        <v>178</v>
      </c>
      <c r="B371" s="32">
        <v>20</v>
      </c>
      <c r="C371" s="32">
        <v>7</v>
      </c>
      <c r="D371" s="32">
        <v>15</v>
      </c>
      <c r="E371" s="32">
        <v>24</v>
      </c>
      <c r="F371" s="32">
        <v>35</v>
      </c>
      <c r="G371" s="32">
        <v>46</v>
      </c>
      <c r="H371" s="32">
        <v>55</v>
      </c>
    </row>
    <row r="372" spans="1:8" ht="23.25" hidden="1" customHeight="1">
      <c r="A372" s="32" t="s">
        <v>178</v>
      </c>
      <c r="B372" s="32">
        <v>20</v>
      </c>
      <c r="C372" s="32">
        <v>5</v>
      </c>
      <c r="D372" s="32">
        <v>13</v>
      </c>
      <c r="E372" s="32">
        <v>22</v>
      </c>
      <c r="F372" s="32">
        <v>33</v>
      </c>
      <c r="G372" s="32">
        <v>44</v>
      </c>
      <c r="H372" s="32">
        <v>53</v>
      </c>
    </row>
    <row r="373" spans="1:8" ht="23.25" hidden="1" customHeight="1">
      <c r="A373" s="32" t="s">
        <v>178</v>
      </c>
      <c r="B373" s="32">
        <v>10</v>
      </c>
      <c r="C373" s="32">
        <v>4</v>
      </c>
      <c r="D373" s="32">
        <v>12</v>
      </c>
      <c r="E373" s="32">
        <v>21</v>
      </c>
      <c r="F373" s="32">
        <v>32</v>
      </c>
      <c r="G373" s="32">
        <v>43</v>
      </c>
      <c r="H373" s="32">
        <v>52</v>
      </c>
    </row>
    <row r="374" spans="1:8" ht="23.25" hidden="1" customHeight="1">
      <c r="A374" s="32" t="s">
        <v>178</v>
      </c>
      <c r="B374" s="32">
        <v>10</v>
      </c>
      <c r="C374" s="32">
        <v>2</v>
      </c>
      <c r="D374" s="32">
        <v>10</v>
      </c>
      <c r="E374" s="32">
        <v>19</v>
      </c>
      <c r="F374" s="32">
        <v>30</v>
      </c>
      <c r="G374" s="32">
        <v>41</v>
      </c>
      <c r="H374" s="32">
        <v>50</v>
      </c>
    </row>
    <row r="375" spans="1:8" ht="23.25" hidden="1" customHeight="1">
      <c r="A375" s="32" t="s">
        <v>178</v>
      </c>
      <c r="B375" s="32">
        <v>0</v>
      </c>
      <c r="C375" s="32">
        <v>1</v>
      </c>
      <c r="D375" s="32">
        <v>9</v>
      </c>
      <c r="E375" s="32">
        <v>18</v>
      </c>
      <c r="F375" s="32">
        <v>29</v>
      </c>
      <c r="G375" s="32">
        <v>40</v>
      </c>
      <c r="H375" s="32">
        <v>49</v>
      </c>
    </row>
    <row r="376" spans="1:8" ht="23.25" hidden="1" customHeight="1">
      <c r="A376" s="32" t="s">
        <v>178</v>
      </c>
      <c r="B376" s="32">
        <v>0</v>
      </c>
      <c r="C376" s="32">
        <v>0</v>
      </c>
      <c r="D376" s="32">
        <v>0</v>
      </c>
      <c r="E376" s="32">
        <v>0</v>
      </c>
      <c r="F376" s="32">
        <v>0</v>
      </c>
      <c r="G376" s="32">
        <v>0</v>
      </c>
      <c r="H376" s="32">
        <v>0</v>
      </c>
    </row>
    <row r="377" spans="1:8" ht="23.25" hidden="1" customHeight="1">
      <c r="A377" s="37" t="s">
        <v>250</v>
      </c>
      <c r="B377" s="37"/>
      <c r="C377" s="37"/>
      <c r="D377" s="37"/>
      <c r="E377" s="37"/>
      <c r="F377" s="37"/>
      <c r="G377" s="37"/>
      <c r="H377" s="37"/>
    </row>
    <row r="378" spans="1:8" ht="23.25" hidden="1" customHeight="1">
      <c r="A378" s="37" t="s">
        <v>163</v>
      </c>
      <c r="B378" s="32" t="s">
        <v>164</v>
      </c>
      <c r="C378" s="37" t="s">
        <v>165</v>
      </c>
      <c r="D378" s="37" t="s">
        <v>166</v>
      </c>
      <c r="E378" s="37" t="s">
        <v>167</v>
      </c>
      <c r="F378" s="37" t="s">
        <v>168</v>
      </c>
      <c r="G378" s="37" t="s">
        <v>169</v>
      </c>
      <c r="H378" s="37" t="s">
        <v>170</v>
      </c>
    </row>
    <row r="379" spans="1:8" ht="23.25" hidden="1" customHeight="1">
      <c r="A379" s="37"/>
      <c r="B379" s="32" t="s">
        <v>177</v>
      </c>
      <c r="C379" s="37"/>
      <c r="D379" s="37"/>
      <c r="E379" s="37"/>
      <c r="F379" s="37"/>
      <c r="G379" s="37"/>
      <c r="H379" s="37"/>
    </row>
    <row r="380" spans="1:8" ht="23.25" hidden="1" customHeight="1">
      <c r="A380" s="32" t="s">
        <v>181</v>
      </c>
      <c r="B380" s="32">
        <v>120</v>
      </c>
      <c r="C380" s="32">
        <v>300</v>
      </c>
      <c r="D380" s="32">
        <v>300</v>
      </c>
      <c r="E380" s="32">
        <v>300</v>
      </c>
      <c r="F380" s="32">
        <v>300</v>
      </c>
      <c r="G380" s="32">
        <v>300</v>
      </c>
      <c r="H380" s="32">
        <v>300</v>
      </c>
    </row>
    <row r="381" spans="1:8" ht="23.25" hidden="1" customHeight="1">
      <c r="A381" s="32" t="s">
        <v>181</v>
      </c>
      <c r="B381" s="32">
        <v>120</v>
      </c>
      <c r="C381" s="32">
        <v>157</v>
      </c>
      <c r="D381" s="32">
        <v>167</v>
      </c>
      <c r="E381" s="32">
        <v>177</v>
      </c>
      <c r="F381" s="32">
        <v>187</v>
      </c>
      <c r="G381" s="32">
        <v>197</v>
      </c>
      <c r="H381" s="32">
        <v>207</v>
      </c>
    </row>
    <row r="382" spans="1:8" ht="23.25" hidden="1" customHeight="1">
      <c r="A382" s="32" t="s">
        <v>181</v>
      </c>
      <c r="B382" s="32">
        <v>119</v>
      </c>
      <c r="C382" s="32">
        <v>156</v>
      </c>
      <c r="D382" s="32">
        <v>166</v>
      </c>
      <c r="E382" s="32">
        <v>176</v>
      </c>
      <c r="F382" s="32">
        <v>186</v>
      </c>
      <c r="G382" s="32">
        <v>196</v>
      </c>
      <c r="H382" s="32">
        <v>206</v>
      </c>
    </row>
    <row r="383" spans="1:8" ht="23.25" hidden="1" customHeight="1">
      <c r="A383" s="32" t="s">
        <v>181</v>
      </c>
      <c r="B383" s="32">
        <v>119</v>
      </c>
      <c r="C383" s="32">
        <v>155</v>
      </c>
      <c r="D383" s="32">
        <v>165</v>
      </c>
      <c r="E383" s="32">
        <v>175</v>
      </c>
      <c r="F383" s="32">
        <v>185</v>
      </c>
      <c r="G383" s="32">
        <v>195</v>
      </c>
      <c r="H383" s="32">
        <v>205</v>
      </c>
    </row>
    <row r="384" spans="1:8" ht="23.25" hidden="1" customHeight="1">
      <c r="A384" s="32" t="s">
        <v>181</v>
      </c>
      <c r="B384" s="32">
        <v>118</v>
      </c>
      <c r="C384" s="32">
        <v>154</v>
      </c>
      <c r="D384" s="32">
        <v>164</v>
      </c>
      <c r="E384" s="32">
        <v>174</v>
      </c>
      <c r="F384" s="32">
        <v>184</v>
      </c>
      <c r="G384" s="32">
        <v>194</v>
      </c>
      <c r="H384" s="32">
        <v>204</v>
      </c>
    </row>
    <row r="385" spans="1:8" ht="23.25" hidden="1" customHeight="1">
      <c r="A385" s="32" t="s">
        <v>181</v>
      </c>
      <c r="B385" s="32">
        <v>118</v>
      </c>
      <c r="C385" s="32">
        <v>153</v>
      </c>
      <c r="D385" s="32">
        <v>163</v>
      </c>
      <c r="E385" s="32">
        <v>173</v>
      </c>
      <c r="F385" s="32">
        <v>183</v>
      </c>
      <c r="G385" s="32">
        <v>193</v>
      </c>
      <c r="H385" s="32">
        <v>203</v>
      </c>
    </row>
    <row r="386" spans="1:8" ht="23.25" hidden="1" customHeight="1">
      <c r="A386" s="32" t="s">
        <v>181</v>
      </c>
      <c r="B386" s="32">
        <v>117</v>
      </c>
      <c r="C386" s="32">
        <v>152</v>
      </c>
      <c r="D386" s="32">
        <v>162</v>
      </c>
      <c r="E386" s="32">
        <v>172</v>
      </c>
      <c r="F386" s="32">
        <v>182</v>
      </c>
      <c r="G386" s="32">
        <v>192</v>
      </c>
      <c r="H386" s="32">
        <v>202</v>
      </c>
    </row>
    <row r="387" spans="1:8" ht="23.25" hidden="1" customHeight="1">
      <c r="A387" s="32" t="s">
        <v>181</v>
      </c>
      <c r="B387" s="32">
        <v>117</v>
      </c>
      <c r="C387" s="32">
        <v>151</v>
      </c>
      <c r="D387" s="32">
        <v>161</v>
      </c>
      <c r="E387" s="32">
        <v>171</v>
      </c>
      <c r="F387" s="32">
        <v>181</v>
      </c>
      <c r="G387" s="32">
        <v>191</v>
      </c>
      <c r="H387" s="32">
        <v>201</v>
      </c>
    </row>
    <row r="388" spans="1:8" ht="23.25" hidden="1" customHeight="1">
      <c r="A388" s="32" t="s">
        <v>181</v>
      </c>
      <c r="B388" s="32">
        <v>116</v>
      </c>
      <c r="C388" s="32">
        <v>150</v>
      </c>
      <c r="D388" s="32">
        <v>160</v>
      </c>
      <c r="E388" s="32">
        <v>170</v>
      </c>
      <c r="F388" s="32">
        <v>180</v>
      </c>
      <c r="G388" s="32">
        <v>190</v>
      </c>
      <c r="H388" s="32">
        <v>200</v>
      </c>
    </row>
    <row r="389" spans="1:8" ht="23.25" hidden="1" customHeight="1">
      <c r="A389" s="32" t="s">
        <v>181</v>
      </c>
      <c r="B389" s="32">
        <v>116</v>
      </c>
      <c r="C389" s="32">
        <v>149</v>
      </c>
      <c r="D389" s="32">
        <v>159</v>
      </c>
      <c r="E389" s="32">
        <v>169</v>
      </c>
      <c r="F389" s="32">
        <v>179</v>
      </c>
      <c r="G389" s="32">
        <v>189</v>
      </c>
      <c r="H389" s="32">
        <v>199</v>
      </c>
    </row>
    <row r="390" spans="1:8" ht="23.25" hidden="1" customHeight="1">
      <c r="A390" s="32" t="s">
        <v>181</v>
      </c>
      <c r="B390" s="32">
        <v>115</v>
      </c>
      <c r="C390" s="32">
        <v>148</v>
      </c>
      <c r="D390" s="32">
        <v>158</v>
      </c>
      <c r="E390" s="32">
        <v>168</v>
      </c>
      <c r="F390" s="32">
        <v>178</v>
      </c>
      <c r="G390" s="32">
        <v>188</v>
      </c>
      <c r="H390" s="32">
        <v>198</v>
      </c>
    </row>
    <row r="391" spans="1:8" ht="23.25" hidden="1" customHeight="1">
      <c r="A391" s="32" t="s">
        <v>181</v>
      </c>
      <c r="B391" s="32">
        <v>115</v>
      </c>
      <c r="C391" s="32">
        <v>147</v>
      </c>
      <c r="D391" s="32">
        <v>157</v>
      </c>
      <c r="E391" s="32">
        <v>167</v>
      </c>
      <c r="F391" s="32">
        <v>177</v>
      </c>
      <c r="G391" s="32">
        <v>187</v>
      </c>
      <c r="H391" s="32">
        <v>197</v>
      </c>
    </row>
    <row r="392" spans="1:8" ht="23.25" hidden="1" customHeight="1">
      <c r="A392" s="32" t="s">
        <v>181</v>
      </c>
      <c r="B392" s="32">
        <v>114</v>
      </c>
      <c r="C392" s="32">
        <v>146</v>
      </c>
      <c r="D392" s="32">
        <v>156</v>
      </c>
      <c r="E392" s="32">
        <v>166</v>
      </c>
      <c r="F392" s="32">
        <v>176</v>
      </c>
      <c r="G392" s="32">
        <v>186</v>
      </c>
      <c r="H392" s="32">
        <v>196</v>
      </c>
    </row>
    <row r="393" spans="1:8" ht="23.25" hidden="1" customHeight="1">
      <c r="A393" s="32" t="s">
        <v>181</v>
      </c>
      <c r="B393" s="32">
        <v>114</v>
      </c>
      <c r="C393" s="32">
        <v>145</v>
      </c>
      <c r="D393" s="32">
        <v>155</v>
      </c>
      <c r="E393" s="32">
        <v>165</v>
      </c>
      <c r="F393" s="32">
        <v>175</v>
      </c>
      <c r="G393" s="32">
        <v>185</v>
      </c>
      <c r="H393" s="32">
        <v>195</v>
      </c>
    </row>
    <row r="394" spans="1:8" ht="23.25" hidden="1" customHeight="1">
      <c r="A394" s="32" t="s">
        <v>181</v>
      </c>
      <c r="B394" s="32">
        <v>113</v>
      </c>
      <c r="C394" s="32">
        <v>144</v>
      </c>
      <c r="D394" s="32">
        <v>154</v>
      </c>
      <c r="E394" s="32">
        <v>164</v>
      </c>
      <c r="F394" s="32">
        <v>174</v>
      </c>
      <c r="G394" s="32">
        <v>184</v>
      </c>
      <c r="H394" s="32">
        <v>194</v>
      </c>
    </row>
    <row r="395" spans="1:8" ht="23.25" hidden="1" customHeight="1">
      <c r="A395" s="32" t="s">
        <v>181</v>
      </c>
      <c r="B395" s="32">
        <v>113</v>
      </c>
      <c r="C395" s="32">
        <v>143</v>
      </c>
      <c r="D395" s="32">
        <v>153</v>
      </c>
      <c r="E395" s="32">
        <v>163</v>
      </c>
      <c r="F395" s="32">
        <v>173</v>
      </c>
      <c r="G395" s="32">
        <v>183</v>
      </c>
      <c r="H395" s="32">
        <v>193</v>
      </c>
    </row>
    <row r="396" spans="1:8" ht="23.25" hidden="1" customHeight="1">
      <c r="A396" s="32" t="s">
        <v>181</v>
      </c>
      <c r="B396" s="32">
        <v>112</v>
      </c>
      <c r="C396" s="32">
        <v>142</v>
      </c>
      <c r="D396" s="32">
        <v>152</v>
      </c>
      <c r="E396" s="32">
        <v>162</v>
      </c>
      <c r="F396" s="32">
        <v>172</v>
      </c>
      <c r="G396" s="32">
        <v>182</v>
      </c>
      <c r="H396" s="32">
        <v>192</v>
      </c>
    </row>
    <row r="397" spans="1:8" ht="23.25" hidden="1" customHeight="1">
      <c r="A397" s="32" t="s">
        <v>181</v>
      </c>
      <c r="B397" s="32">
        <v>112</v>
      </c>
      <c r="C397" s="32">
        <v>141</v>
      </c>
      <c r="D397" s="32">
        <v>151</v>
      </c>
      <c r="E397" s="32">
        <v>161</v>
      </c>
      <c r="F397" s="32">
        <v>171</v>
      </c>
      <c r="G397" s="32">
        <v>181</v>
      </c>
      <c r="H397" s="32">
        <v>191</v>
      </c>
    </row>
    <row r="398" spans="1:8" ht="23.25" hidden="1" customHeight="1">
      <c r="A398" s="32" t="s">
        <v>181</v>
      </c>
      <c r="B398" s="32">
        <v>111</v>
      </c>
      <c r="C398" s="32">
        <v>140</v>
      </c>
      <c r="D398" s="32">
        <v>150</v>
      </c>
      <c r="E398" s="32">
        <v>160</v>
      </c>
      <c r="F398" s="32">
        <v>170</v>
      </c>
      <c r="G398" s="32">
        <v>180</v>
      </c>
      <c r="H398" s="32">
        <v>190</v>
      </c>
    </row>
    <row r="399" spans="1:8" ht="23.25" hidden="1" customHeight="1">
      <c r="A399" s="32" t="s">
        <v>181</v>
      </c>
      <c r="B399" s="32">
        <v>111</v>
      </c>
      <c r="C399" s="32">
        <v>139</v>
      </c>
      <c r="D399" s="32">
        <v>149</v>
      </c>
      <c r="E399" s="32">
        <v>159</v>
      </c>
      <c r="F399" s="32">
        <v>169</v>
      </c>
      <c r="G399" s="32">
        <v>179</v>
      </c>
      <c r="H399" s="32">
        <v>189</v>
      </c>
    </row>
    <row r="400" spans="1:8" ht="23.25" hidden="1" customHeight="1">
      <c r="A400" s="32" t="s">
        <v>181</v>
      </c>
      <c r="B400" s="32">
        <v>110</v>
      </c>
      <c r="C400" s="32">
        <v>138</v>
      </c>
      <c r="D400" s="32">
        <v>148</v>
      </c>
      <c r="E400" s="32">
        <v>158</v>
      </c>
      <c r="F400" s="32">
        <v>168</v>
      </c>
      <c r="G400" s="32">
        <v>178</v>
      </c>
      <c r="H400" s="32">
        <v>188</v>
      </c>
    </row>
    <row r="401" spans="1:8" ht="23.25" hidden="1" customHeight="1">
      <c r="A401" s="32" t="s">
        <v>181</v>
      </c>
      <c r="B401" s="32">
        <v>110</v>
      </c>
      <c r="C401" s="32">
        <v>137</v>
      </c>
      <c r="D401" s="32">
        <v>147</v>
      </c>
      <c r="E401" s="32">
        <v>157</v>
      </c>
      <c r="F401" s="32">
        <v>167</v>
      </c>
      <c r="G401" s="32">
        <v>177</v>
      </c>
      <c r="H401" s="32">
        <v>187</v>
      </c>
    </row>
    <row r="402" spans="1:8" ht="23.25" hidden="1" customHeight="1">
      <c r="A402" s="32" t="s">
        <v>181</v>
      </c>
      <c r="B402" s="32">
        <v>109</v>
      </c>
      <c r="C402" s="32">
        <v>136</v>
      </c>
      <c r="D402" s="32">
        <v>146</v>
      </c>
      <c r="E402" s="32">
        <v>156</v>
      </c>
      <c r="F402" s="32">
        <v>166</v>
      </c>
      <c r="G402" s="32">
        <v>176</v>
      </c>
      <c r="H402" s="32">
        <v>186</v>
      </c>
    </row>
    <row r="403" spans="1:8" ht="23.25" hidden="1" customHeight="1">
      <c r="A403" s="32" t="s">
        <v>181</v>
      </c>
      <c r="B403" s="32">
        <v>109</v>
      </c>
      <c r="C403" s="32">
        <v>135</v>
      </c>
      <c r="D403" s="32">
        <v>145</v>
      </c>
      <c r="E403" s="32">
        <v>155</v>
      </c>
      <c r="F403" s="32">
        <v>165</v>
      </c>
      <c r="G403" s="32">
        <v>175</v>
      </c>
      <c r="H403" s="32">
        <v>185</v>
      </c>
    </row>
    <row r="404" spans="1:8" ht="23.25" hidden="1" customHeight="1">
      <c r="A404" s="32" t="s">
        <v>181</v>
      </c>
      <c r="B404" s="32">
        <v>108</v>
      </c>
      <c r="C404" s="32">
        <v>134</v>
      </c>
      <c r="D404" s="32">
        <v>144</v>
      </c>
      <c r="E404" s="32">
        <v>154</v>
      </c>
      <c r="F404" s="32">
        <v>164</v>
      </c>
      <c r="G404" s="32">
        <v>174</v>
      </c>
      <c r="H404" s="32">
        <v>184</v>
      </c>
    </row>
    <row r="405" spans="1:8" ht="23.25" hidden="1" customHeight="1">
      <c r="A405" s="32" t="s">
        <v>181</v>
      </c>
      <c r="B405" s="32">
        <v>108</v>
      </c>
      <c r="C405" s="32">
        <v>133</v>
      </c>
      <c r="D405" s="32">
        <v>143</v>
      </c>
      <c r="E405" s="32">
        <v>153</v>
      </c>
      <c r="F405" s="32">
        <v>163</v>
      </c>
      <c r="G405" s="32">
        <v>173</v>
      </c>
      <c r="H405" s="32">
        <v>183</v>
      </c>
    </row>
    <row r="406" spans="1:8" ht="23.25" hidden="1" customHeight="1">
      <c r="A406" s="32" t="s">
        <v>181</v>
      </c>
      <c r="B406" s="32">
        <v>107</v>
      </c>
      <c r="C406" s="32">
        <v>132</v>
      </c>
      <c r="D406" s="32">
        <v>142</v>
      </c>
      <c r="E406" s="32">
        <v>152</v>
      </c>
      <c r="F406" s="32">
        <v>162</v>
      </c>
      <c r="G406" s="32">
        <v>172</v>
      </c>
      <c r="H406" s="32">
        <v>182</v>
      </c>
    </row>
    <row r="407" spans="1:8" ht="23.25" hidden="1" customHeight="1">
      <c r="A407" s="32" t="s">
        <v>181</v>
      </c>
      <c r="B407" s="32">
        <v>107</v>
      </c>
      <c r="C407" s="32">
        <v>131</v>
      </c>
      <c r="D407" s="32">
        <v>141</v>
      </c>
      <c r="E407" s="32">
        <v>151</v>
      </c>
      <c r="F407" s="32">
        <v>161</v>
      </c>
      <c r="G407" s="32">
        <v>171</v>
      </c>
      <c r="H407" s="32">
        <v>181</v>
      </c>
    </row>
    <row r="408" spans="1:8" ht="23.25" hidden="1" customHeight="1">
      <c r="A408" s="32" t="s">
        <v>181</v>
      </c>
      <c r="B408" s="32">
        <v>106</v>
      </c>
      <c r="C408" s="32">
        <v>130</v>
      </c>
      <c r="D408" s="32">
        <v>140</v>
      </c>
      <c r="E408" s="32">
        <v>150</v>
      </c>
      <c r="F408" s="32">
        <v>160</v>
      </c>
      <c r="G408" s="32">
        <v>170</v>
      </c>
      <c r="H408" s="32">
        <v>180</v>
      </c>
    </row>
    <row r="409" spans="1:8" ht="23.25" hidden="1" customHeight="1">
      <c r="A409" s="32" t="s">
        <v>181</v>
      </c>
      <c r="B409" s="32">
        <v>106</v>
      </c>
      <c r="C409" s="32">
        <v>129</v>
      </c>
      <c r="D409" s="32">
        <v>139</v>
      </c>
      <c r="E409" s="32">
        <v>149</v>
      </c>
      <c r="F409" s="32">
        <v>159</v>
      </c>
      <c r="G409" s="32">
        <v>169</v>
      </c>
      <c r="H409" s="32">
        <v>179</v>
      </c>
    </row>
    <row r="410" spans="1:8" ht="23.25" hidden="1" customHeight="1">
      <c r="A410" s="32" t="s">
        <v>181</v>
      </c>
      <c r="B410" s="32">
        <v>105</v>
      </c>
      <c r="C410" s="32">
        <v>128</v>
      </c>
      <c r="D410" s="32">
        <v>138</v>
      </c>
      <c r="E410" s="32">
        <v>148</v>
      </c>
      <c r="F410" s="32">
        <v>158</v>
      </c>
      <c r="G410" s="32">
        <v>168</v>
      </c>
      <c r="H410" s="32">
        <v>178</v>
      </c>
    </row>
    <row r="411" spans="1:8" ht="23.25" hidden="1" customHeight="1">
      <c r="A411" s="32" t="s">
        <v>181</v>
      </c>
      <c r="B411" s="32">
        <v>105</v>
      </c>
      <c r="C411" s="32">
        <v>127</v>
      </c>
      <c r="D411" s="32">
        <v>137</v>
      </c>
      <c r="E411" s="32">
        <v>147</v>
      </c>
      <c r="F411" s="32">
        <v>157</v>
      </c>
      <c r="G411" s="32">
        <v>167</v>
      </c>
      <c r="H411" s="32">
        <v>177</v>
      </c>
    </row>
    <row r="412" spans="1:8" ht="23.25" hidden="1" customHeight="1">
      <c r="A412" s="32" t="s">
        <v>181</v>
      </c>
      <c r="B412" s="32">
        <v>104</v>
      </c>
      <c r="C412" s="32">
        <v>126</v>
      </c>
      <c r="D412" s="32">
        <v>136</v>
      </c>
      <c r="E412" s="32">
        <v>146</v>
      </c>
      <c r="F412" s="32">
        <v>156</v>
      </c>
      <c r="G412" s="32">
        <v>166</v>
      </c>
      <c r="H412" s="32">
        <v>176</v>
      </c>
    </row>
    <row r="413" spans="1:8" ht="23.25" hidden="1" customHeight="1">
      <c r="A413" s="32" t="s">
        <v>181</v>
      </c>
      <c r="B413" s="32">
        <v>104</v>
      </c>
      <c r="C413" s="32">
        <v>125</v>
      </c>
      <c r="D413" s="32">
        <v>135</v>
      </c>
      <c r="E413" s="32">
        <v>145</v>
      </c>
      <c r="F413" s="32">
        <v>155</v>
      </c>
      <c r="G413" s="32">
        <v>165</v>
      </c>
      <c r="H413" s="32">
        <v>175</v>
      </c>
    </row>
    <row r="414" spans="1:8" ht="23.25" hidden="1" customHeight="1">
      <c r="A414" s="32" t="s">
        <v>181</v>
      </c>
      <c r="B414" s="32">
        <v>103</v>
      </c>
      <c r="C414" s="32">
        <v>124</v>
      </c>
      <c r="D414" s="32">
        <v>134</v>
      </c>
      <c r="E414" s="32">
        <v>144</v>
      </c>
      <c r="F414" s="32">
        <v>154</v>
      </c>
      <c r="G414" s="32">
        <v>164</v>
      </c>
      <c r="H414" s="32">
        <v>174</v>
      </c>
    </row>
    <row r="415" spans="1:8" ht="23.25" hidden="1" customHeight="1">
      <c r="A415" s="32" t="s">
        <v>181</v>
      </c>
      <c r="B415" s="32">
        <v>103</v>
      </c>
      <c r="C415" s="32">
        <v>123</v>
      </c>
      <c r="D415" s="32">
        <v>133</v>
      </c>
      <c r="E415" s="32">
        <v>143</v>
      </c>
      <c r="F415" s="32">
        <v>153</v>
      </c>
      <c r="G415" s="32">
        <v>163</v>
      </c>
      <c r="H415" s="32">
        <v>173</v>
      </c>
    </row>
    <row r="416" spans="1:8" ht="23.25" hidden="1" customHeight="1">
      <c r="A416" s="32" t="s">
        <v>181</v>
      </c>
      <c r="B416" s="32">
        <v>102</v>
      </c>
      <c r="C416" s="32">
        <v>122</v>
      </c>
      <c r="D416" s="32">
        <v>132</v>
      </c>
      <c r="E416" s="32">
        <v>142</v>
      </c>
      <c r="F416" s="32">
        <v>152</v>
      </c>
      <c r="G416" s="32">
        <v>162</v>
      </c>
      <c r="H416" s="32">
        <v>172</v>
      </c>
    </row>
    <row r="417" spans="1:8" ht="23.25" hidden="1" customHeight="1">
      <c r="A417" s="32" t="s">
        <v>181</v>
      </c>
      <c r="B417" s="32">
        <v>102</v>
      </c>
      <c r="C417" s="32">
        <v>121</v>
      </c>
      <c r="D417" s="32">
        <v>131</v>
      </c>
      <c r="E417" s="32">
        <v>141</v>
      </c>
      <c r="F417" s="32">
        <v>151</v>
      </c>
      <c r="G417" s="32">
        <v>161</v>
      </c>
      <c r="H417" s="32">
        <v>171</v>
      </c>
    </row>
    <row r="418" spans="1:8" ht="23.25" hidden="1" customHeight="1">
      <c r="A418" s="32" t="s">
        <v>181</v>
      </c>
      <c r="B418" s="32">
        <v>101</v>
      </c>
      <c r="C418" s="32">
        <v>120</v>
      </c>
      <c r="D418" s="32">
        <v>130</v>
      </c>
      <c r="E418" s="32">
        <v>140</v>
      </c>
      <c r="F418" s="32">
        <v>150</v>
      </c>
      <c r="G418" s="32">
        <v>160</v>
      </c>
      <c r="H418" s="32">
        <v>170</v>
      </c>
    </row>
    <row r="419" spans="1:8" ht="23.25" hidden="1" customHeight="1">
      <c r="A419" s="32" t="s">
        <v>181</v>
      </c>
      <c r="B419" s="32">
        <v>101</v>
      </c>
      <c r="C419" s="32">
        <v>119</v>
      </c>
      <c r="D419" s="32">
        <v>129</v>
      </c>
      <c r="E419" s="32">
        <v>139</v>
      </c>
      <c r="F419" s="32">
        <v>149</v>
      </c>
      <c r="G419" s="32">
        <v>159</v>
      </c>
      <c r="H419" s="32">
        <v>169</v>
      </c>
    </row>
    <row r="420" spans="1:8" ht="23.25" hidden="1" customHeight="1">
      <c r="A420" s="32" t="s">
        <v>181</v>
      </c>
      <c r="B420" s="32">
        <v>100</v>
      </c>
      <c r="C420" s="32">
        <v>118</v>
      </c>
      <c r="D420" s="32">
        <v>128</v>
      </c>
      <c r="E420" s="32">
        <v>138</v>
      </c>
      <c r="F420" s="32">
        <v>148</v>
      </c>
      <c r="G420" s="32">
        <v>158</v>
      </c>
      <c r="H420" s="32">
        <v>168</v>
      </c>
    </row>
    <row r="421" spans="1:8" ht="23.25" hidden="1" customHeight="1">
      <c r="A421" s="32" t="s">
        <v>181</v>
      </c>
      <c r="B421" s="32">
        <v>100</v>
      </c>
      <c r="C421" s="32">
        <v>117</v>
      </c>
      <c r="D421" s="32">
        <v>127</v>
      </c>
      <c r="E421" s="32">
        <v>139</v>
      </c>
      <c r="F421" s="32">
        <v>149</v>
      </c>
      <c r="G421" s="32">
        <v>158</v>
      </c>
      <c r="H421" s="32">
        <v>166</v>
      </c>
    </row>
    <row r="422" spans="1:8" ht="23.25" hidden="1" customHeight="1">
      <c r="A422" s="32" t="s">
        <v>181</v>
      </c>
      <c r="B422" s="32">
        <v>95</v>
      </c>
      <c r="C422" s="32">
        <v>116</v>
      </c>
      <c r="D422" s="32">
        <v>126</v>
      </c>
      <c r="E422" s="32">
        <v>138</v>
      </c>
      <c r="F422" s="32">
        <v>148</v>
      </c>
      <c r="G422" s="32">
        <v>157</v>
      </c>
      <c r="H422" s="32">
        <v>165</v>
      </c>
    </row>
    <row r="423" spans="1:8" ht="23.25" hidden="1" customHeight="1">
      <c r="A423" s="32" t="s">
        <v>181</v>
      </c>
      <c r="B423" s="32">
        <v>95</v>
      </c>
      <c r="C423" s="32">
        <v>110</v>
      </c>
      <c r="D423" s="32">
        <v>120</v>
      </c>
      <c r="E423" s="32">
        <v>132</v>
      </c>
      <c r="F423" s="32">
        <v>142</v>
      </c>
      <c r="G423" s="32">
        <v>151</v>
      </c>
      <c r="H423" s="32">
        <v>159</v>
      </c>
    </row>
    <row r="424" spans="1:8" ht="23.25" hidden="1" customHeight="1">
      <c r="A424" s="32" t="s">
        <v>181</v>
      </c>
      <c r="B424" s="32">
        <v>90</v>
      </c>
      <c r="C424" s="32">
        <v>109</v>
      </c>
      <c r="D424" s="32">
        <v>119</v>
      </c>
      <c r="E424" s="32">
        <v>131</v>
      </c>
      <c r="F424" s="32">
        <v>141</v>
      </c>
      <c r="G424" s="32">
        <v>150</v>
      </c>
      <c r="H424" s="32">
        <v>158</v>
      </c>
    </row>
    <row r="425" spans="1:8" ht="23.25" hidden="1" customHeight="1">
      <c r="A425" s="32" t="s">
        <v>181</v>
      </c>
      <c r="B425" s="32">
        <v>90</v>
      </c>
      <c r="C425" s="32">
        <v>103</v>
      </c>
      <c r="D425" s="32">
        <v>113</v>
      </c>
      <c r="E425" s="32">
        <v>125</v>
      </c>
      <c r="F425" s="32">
        <v>135</v>
      </c>
      <c r="G425" s="32">
        <v>144</v>
      </c>
      <c r="H425" s="32">
        <v>152</v>
      </c>
    </row>
    <row r="426" spans="1:8" ht="23.25" hidden="1" customHeight="1">
      <c r="A426" s="32" t="s">
        <v>180</v>
      </c>
      <c r="B426" s="32">
        <v>85</v>
      </c>
      <c r="C426" s="32">
        <v>102</v>
      </c>
      <c r="D426" s="32">
        <v>112</v>
      </c>
      <c r="E426" s="32">
        <v>124</v>
      </c>
      <c r="F426" s="32">
        <v>134</v>
      </c>
      <c r="G426" s="32">
        <v>143</v>
      </c>
      <c r="H426" s="32">
        <v>151</v>
      </c>
    </row>
    <row r="427" spans="1:8" ht="23.25" hidden="1" customHeight="1">
      <c r="A427" s="32" t="s">
        <v>180</v>
      </c>
      <c r="B427" s="32">
        <v>85</v>
      </c>
      <c r="C427" s="32">
        <v>95</v>
      </c>
      <c r="D427" s="32">
        <v>105</v>
      </c>
      <c r="E427" s="32">
        <v>117</v>
      </c>
      <c r="F427" s="32">
        <v>127</v>
      </c>
      <c r="G427" s="32">
        <v>136</v>
      </c>
      <c r="H427" s="32">
        <v>144</v>
      </c>
    </row>
    <row r="428" spans="1:8" ht="23.25" hidden="1" customHeight="1">
      <c r="A428" s="32" t="s">
        <v>180</v>
      </c>
      <c r="B428" s="32">
        <v>80</v>
      </c>
      <c r="C428" s="32">
        <v>94</v>
      </c>
      <c r="D428" s="32">
        <v>104</v>
      </c>
      <c r="E428" s="32">
        <v>116</v>
      </c>
      <c r="F428" s="32">
        <v>126</v>
      </c>
      <c r="G428" s="32">
        <v>135</v>
      </c>
      <c r="H428" s="32">
        <v>143</v>
      </c>
    </row>
    <row r="429" spans="1:8" ht="23.25" hidden="1" customHeight="1">
      <c r="A429" s="32" t="s">
        <v>180</v>
      </c>
      <c r="B429" s="32">
        <v>80</v>
      </c>
      <c r="C429" s="32">
        <v>87</v>
      </c>
      <c r="D429" s="32">
        <v>97</v>
      </c>
      <c r="E429" s="32">
        <v>109</v>
      </c>
      <c r="F429" s="32">
        <v>119</v>
      </c>
      <c r="G429" s="32">
        <v>128</v>
      </c>
      <c r="H429" s="32">
        <v>136</v>
      </c>
    </row>
    <row r="430" spans="1:8" ht="23.25" hidden="1" customHeight="1">
      <c r="A430" s="32" t="s">
        <v>179</v>
      </c>
      <c r="B430" s="32">
        <v>78</v>
      </c>
      <c r="C430" s="32">
        <v>86</v>
      </c>
      <c r="D430" s="32">
        <v>96</v>
      </c>
      <c r="E430" s="32">
        <v>108</v>
      </c>
      <c r="F430" s="32">
        <v>118</v>
      </c>
      <c r="G430" s="32">
        <v>127</v>
      </c>
      <c r="H430" s="32">
        <v>135</v>
      </c>
    </row>
    <row r="431" spans="1:8" ht="23.25" hidden="1" customHeight="1">
      <c r="A431" s="32" t="s">
        <v>179</v>
      </c>
      <c r="B431" s="32">
        <v>78</v>
      </c>
      <c r="C431" s="32">
        <v>80</v>
      </c>
      <c r="D431" s="32">
        <v>90</v>
      </c>
      <c r="E431" s="32">
        <v>102</v>
      </c>
      <c r="F431" s="32">
        <v>112</v>
      </c>
      <c r="G431" s="32">
        <v>121</v>
      </c>
      <c r="H431" s="32">
        <v>129</v>
      </c>
    </row>
    <row r="432" spans="1:8" ht="23.25" hidden="1" customHeight="1">
      <c r="A432" s="32" t="s">
        <v>179</v>
      </c>
      <c r="B432" s="32">
        <v>76</v>
      </c>
      <c r="C432" s="32">
        <v>79</v>
      </c>
      <c r="D432" s="32">
        <v>89</v>
      </c>
      <c r="E432" s="32">
        <v>101</v>
      </c>
      <c r="F432" s="32">
        <v>111</v>
      </c>
      <c r="G432" s="32">
        <v>120</v>
      </c>
      <c r="H432" s="32">
        <v>128</v>
      </c>
    </row>
    <row r="433" spans="1:8" ht="23.25" hidden="1" customHeight="1">
      <c r="A433" s="32" t="s">
        <v>179</v>
      </c>
      <c r="B433" s="32">
        <v>76</v>
      </c>
      <c r="C433" s="32">
        <v>73</v>
      </c>
      <c r="D433" s="32">
        <v>83</v>
      </c>
      <c r="E433" s="32">
        <v>95</v>
      </c>
      <c r="F433" s="32">
        <v>105</v>
      </c>
      <c r="G433" s="32">
        <v>114</v>
      </c>
      <c r="H433" s="32">
        <v>122</v>
      </c>
    </row>
    <row r="434" spans="1:8" ht="23.25" hidden="1" customHeight="1">
      <c r="A434" s="32" t="s">
        <v>179</v>
      </c>
      <c r="B434" s="32">
        <v>74</v>
      </c>
      <c r="C434" s="32">
        <v>72</v>
      </c>
      <c r="D434" s="32">
        <v>82</v>
      </c>
      <c r="E434" s="32">
        <v>94</v>
      </c>
      <c r="F434" s="32">
        <v>104</v>
      </c>
      <c r="G434" s="32">
        <v>113</v>
      </c>
      <c r="H434" s="32">
        <v>121</v>
      </c>
    </row>
    <row r="435" spans="1:8" ht="23.25" hidden="1" customHeight="1">
      <c r="A435" s="32" t="s">
        <v>179</v>
      </c>
      <c r="B435" s="32">
        <v>74</v>
      </c>
      <c r="C435" s="32">
        <v>66</v>
      </c>
      <c r="D435" s="32">
        <v>76</v>
      </c>
      <c r="E435" s="32">
        <v>88</v>
      </c>
      <c r="F435" s="32">
        <v>98</v>
      </c>
      <c r="G435" s="32">
        <v>107</v>
      </c>
      <c r="H435" s="32">
        <v>115</v>
      </c>
    </row>
    <row r="436" spans="1:8" ht="23.25" hidden="1" customHeight="1">
      <c r="A436" s="32" t="s">
        <v>179</v>
      </c>
      <c r="B436" s="32">
        <v>72</v>
      </c>
      <c r="C436" s="32">
        <v>65</v>
      </c>
      <c r="D436" s="32">
        <v>75</v>
      </c>
      <c r="E436" s="32">
        <v>87</v>
      </c>
      <c r="F436" s="32">
        <v>97</v>
      </c>
      <c r="G436" s="32">
        <v>106</v>
      </c>
      <c r="H436" s="32">
        <v>114</v>
      </c>
    </row>
    <row r="437" spans="1:8" ht="23.25" hidden="1" customHeight="1">
      <c r="A437" s="32" t="s">
        <v>179</v>
      </c>
      <c r="B437" s="32">
        <v>72</v>
      </c>
      <c r="C437" s="32">
        <v>59</v>
      </c>
      <c r="D437" s="32">
        <v>69</v>
      </c>
      <c r="E437" s="32">
        <v>81</v>
      </c>
      <c r="F437" s="32">
        <v>91</v>
      </c>
      <c r="G437" s="32">
        <v>100</v>
      </c>
      <c r="H437" s="32">
        <v>108</v>
      </c>
    </row>
    <row r="438" spans="1:8" ht="23.25" hidden="1" customHeight="1">
      <c r="A438" s="32" t="s">
        <v>179</v>
      </c>
      <c r="B438" s="32">
        <v>70</v>
      </c>
      <c r="C438" s="32">
        <v>58</v>
      </c>
      <c r="D438" s="32">
        <v>68</v>
      </c>
      <c r="E438" s="32">
        <v>80</v>
      </c>
      <c r="F438" s="32">
        <v>90</v>
      </c>
      <c r="G438" s="32">
        <v>99</v>
      </c>
      <c r="H438" s="32">
        <v>107</v>
      </c>
    </row>
    <row r="439" spans="1:8" ht="23.25" hidden="1" customHeight="1">
      <c r="A439" s="32" t="s">
        <v>179</v>
      </c>
      <c r="B439" s="32">
        <v>70</v>
      </c>
      <c r="C439" s="32">
        <v>52</v>
      </c>
      <c r="D439" s="32">
        <v>62</v>
      </c>
      <c r="E439" s="32">
        <v>74</v>
      </c>
      <c r="F439" s="32">
        <v>84</v>
      </c>
      <c r="G439" s="32">
        <v>93</v>
      </c>
      <c r="H439" s="32">
        <v>101</v>
      </c>
    </row>
    <row r="440" spans="1:8" ht="23.25" hidden="1" customHeight="1">
      <c r="A440" s="32" t="s">
        <v>179</v>
      </c>
      <c r="B440" s="32">
        <v>68</v>
      </c>
      <c r="C440" s="32">
        <v>51</v>
      </c>
      <c r="D440" s="32">
        <v>61</v>
      </c>
      <c r="E440" s="32">
        <v>73</v>
      </c>
      <c r="F440" s="32">
        <v>83</v>
      </c>
      <c r="G440" s="32">
        <v>92</v>
      </c>
      <c r="H440" s="32">
        <v>100</v>
      </c>
    </row>
    <row r="441" spans="1:8" ht="23.25" hidden="1" customHeight="1">
      <c r="A441" s="32" t="s">
        <v>179</v>
      </c>
      <c r="B441" s="32">
        <v>68</v>
      </c>
      <c r="C441" s="32">
        <v>45</v>
      </c>
      <c r="D441" s="32">
        <v>55</v>
      </c>
      <c r="E441" s="32">
        <v>67</v>
      </c>
      <c r="F441" s="32">
        <v>77</v>
      </c>
      <c r="G441" s="32">
        <v>86</v>
      </c>
      <c r="H441" s="32">
        <v>94</v>
      </c>
    </row>
    <row r="442" spans="1:8" ht="23.25" hidden="1" customHeight="1">
      <c r="A442" s="32" t="s">
        <v>179</v>
      </c>
      <c r="B442" s="32">
        <v>66</v>
      </c>
      <c r="C442" s="32">
        <v>44</v>
      </c>
      <c r="D442" s="32">
        <v>54</v>
      </c>
      <c r="E442" s="32">
        <v>66</v>
      </c>
      <c r="F442" s="32">
        <v>76</v>
      </c>
      <c r="G442" s="32">
        <v>85</v>
      </c>
      <c r="H442" s="32">
        <v>93</v>
      </c>
    </row>
    <row r="443" spans="1:8" ht="23.25" hidden="1" customHeight="1">
      <c r="A443" s="32" t="s">
        <v>179</v>
      </c>
      <c r="B443" s="32">
        <v>66</v>
      </c>
      <c r="C443" s="32">
        <v>38</v>
      </c>
      <c r="D443" s="32">
        <v>48</v>
      </c>
      <c r="E443" s="32">
        <v>60</v>
      </c>
      <c r="F443" s="32">
        <v>70</v>
      </c>
      <c r="G443" s="32">
        <v>79</v>
      </c>
      <c r="H443" s="32">
        <v>87</v>
      </c>
    </row>
    <row r="444" spans="1:8" ht="23.25" hidden="1" customHeight="1">
      <c r="A444" s="32" t="s">
        <v>179</v>
      </c>
      <c r="B444" s="32">
        <v>64</v>
      </c>
      <c r="C444" s="32">
        <v>37</v>
      </c>
      <c r="D444" s="32">
        <v>47</v>
      </c>
      <c r="E444" s="32">
        <v>59</v>
      </c>
      <c r="F444" s="32">
        <v>69</v>
      </c>
      <c r="G444" s="32">
        <v>78</v>
      </c>
      <c r="H444" s="32">
        <v>86</v>
      </c>
    </row>
    <row r="445" spans="1:8" ht="23.25" hidden="1" customHeight="1">
      <c r="A445" s="32" t="s">
        <v>179</v>
      </c>
      <c r="B445" s="32">
        <v>64</v>
      </c>
      <c r="C445" s="32">
        <v>31</v>
      </c>
      <c r="D445" s="32">
        <v>41</v>
      </c>
      <c r="E445" s="32">
        <v>53</v>
      </c>
      <c r="F445" s="32">
        <v>63</v>
      </c>
      <c r="G445" s="32">
        <v>72</v>
      </c>
      <c r="H445" s="32">
        <v>80</v>
      </c>
    </row>
    <row r="446" spans="1:8" ht="23.25" hidden="1" customHeight="1">
      <c r="A446" s="32" t="s">
        <v>179</v>
      </c>
      <c r="B446" s="32">
        <v>62</v>
      </c>
      <c r="C446" s="32">
        <v>30</v>
      </c>
      <c r="D446" s="32">
        <v>40</v>
      </c>
      <c r="E446" s="32">
        <v>52</v>
      </c>
      <c r="F446" s="32">
        <v>62</v>
      </c>
      <c r="G446" s="32">
        <v>71</v>
      </c>
      <c r="H446" s="32">
        <v>79</v>
      </c>
    </row>
    <row r="447" spans="1:8" ht="23.25" hidden="1" customHeight="1">
      <c r="A447" s="32" t="s">
        <v>179</v>
      </c>
      <c r="B447" s="32">
        <v>62</v>
      </c>
      <c r="C447" s="32">
        <v>24</v>
      </c>
      <c r="D447" s="32">
        <v>34</v>
      </c>
      <c r="E447" s="32">
        <v>46</v>
      </c>
      <c r="F447" s="32">
        <v>56</v>
      </c>
      <c r="G447" s="32">
        <v>65</v>
      </c>
      <c r="H447" s="32">
        <v>73</v>
      </c>
    </row>
    <row r="448" spans="1:8" ht="23.25" hidden="1" customHeight="1">
      <c r="A448" s="32" t="s">
        <v>179</v>
      </c>
      <c r="B448" s="32">
        <v>60</v>
      </c>
      <c r="C448" s="32">
        <v>23</v>
      </c>
      <c r="D448" s="32">
        <v>33</v>
      </c>
      <c r="E448" s="32">
        <v>45</v>
      </c>
      <c r="F448" s="32">
        <v>55</v>
      </c>
      <c r="G448" s="32">
        <v>64</v>
      </c>
      <c r="H448" s="32">
        <v>72</v>
      </c>
    </row>
    <row r="449" spans="1:10" ht="23.25" hidden="1" customHeight="1">
      <c r="A449" s="32" t="s">
        <v>179</v>
      </c>
      <c r="B449" s="32">
        <v>60</v>
      </c>
      <c r="C449" s="32">
        <v>17</v>
      </c>
      <c r="D449" s="32">
        <v>27</v>
      </c>
      <c r="E449" s="32">
        <v>39</v>
      </c>
      <c r="F449" s="32">
        <v>49</v>
      </c>
      <c r="G449" s="32">
        <v>58</v>
      </c>
      <c r="H449" s="32">
        <v>66</v>
      </c>
    </row>
    <row r="450" spans="1:10" ht="23.25" hidden="1" customHeight="1">
      <c r="A450" s="32" t="s">
        <v>178</v>
      </c>
      <c r="B450" s="32">
        <v>50</v>
      </c>
      <c r="C450" s="32">
        <v>16</v>
      </c>
      <c r="D450" s="32">
        <v>26</v>
      </c>
      <c r="E450" s="32">
        <v>38</v>
      </c>
      <c r="F450" s="32">
        <v>48</v>
      </c>
      <c r="G450" s="32">
        <v>57</v>
      </c>
      <c r="H450" s="32">
        <v>65</v>
      </c>
    </row>
    <row r="451" spans="1:10" ht="23.25" hidden="1" customHeight="1">
      <c r="A451" s="32" t="s">
        <v>178</v>
      </c>
      <c r="B451" s="32">
        <v>50</v>
      </c>
      <c r="C451" s="32">
        <v>14</v>
      </c>
      <c r="D451" s="32">
        <v>24</v>
      </c>
      <c r="E451" s="32">
        <v>36</v>
      </c>
      <c r="F451" s="32">
        <v>46</v>
      </c>
      <c r="G451" s="32">
        <v>55</v>
      </c>
      <c r="H451" s="32">
        <v>63</v>
      </c>
    </row>
    <row r="452" spans="1:10" ht="23.25" hidden="1" customHeight="1">
      <c r="A452" s="32" t="s">
        <v>178</v>
      </c>
      <c r="B452" s="32">
        <v>40</v>
      </c>
      <c r="C452" s="32">
        <v>13</v>
      </c>
      <c r="D452" s="32">
        <v>23</v>
      </c>
      <c r="E452" s="32">
        <v>35</v>
      </c>
      <c r="F452" s="32">
        <v>45</v>
      </c>
      <c r="G452" s="32">
        <v>54</v>
      </c>
      <c r="H452" s="32">
        <v>62</v>
      </c>
    </row>
    <row r="453" spans="1:10" ht="23.25" hidden="1" customHeight="1">
      <c r="A453" s="32" t="s">
        <v>178</v>
      </c>
      <c r="B453" s="32">
        <v>40</v>
      </c>
      <c r="C453" s="32">
        <v>11</v>
      </c>
      <c r="D453" s="32">
        <v>21</v>
      </c>
      <c r="E453" s="32">
        <v>33</v>
      </c>
      <c r="F453" s="32">
        <v>43</v>
      </c>
      <c r="G453" s="32">
        <v>52</v>
      </c>
      <c r="H453" s="32">
        <v>60</v>
      </c>
    </row>
    <row r="454" spans="1:10" ht="23.25" hidden="1" customHeight="1">
      <c r="A454" s="32" t="s">
        <v>178</v>
      </c>
      <c r="B454" s="32">
        <v>30</v>
      </c>
      <c r="C454" s="32">
        <v>10</v>
      </c>
      <c r="D454" s="32">
        <v>20</v>
      </c>
      <c r="E454" s="32">
        <v>32</v>
      </c>
      <c r="F454" s="32">
        <v>42</v>
      </c>
      <c r="G454" s="32">
        <v>51</v>
      </c>
      <c r="H454" s="32">
        <v>59</v>
      </c>
    </row>
    <row r="455" spans="1:10" ht="23.25" hidden="1" customHeight="1">
      <c r="A455" s="32" t="s">
        <v>178</v>
      </c>
      <c r="B455" s="32">
        <v>30</v>
      </c>
      <c r="C455" s="32">
        <v>8</v>
      </c>
      <c r="D455" s="32">
        <v>18</v>
      </c>
      <c r="E455" s="32">
        <v>30</v>
      </c>
      <c r="F455" s="32">
        <v>40</v>
      </c>
      <c r="G455" s="32">
        <v>49</v>
      </c>
      <c r="H455" s="32">
        <v>57</v>
      </c>
    </row>
    <row r="456" spans="1:10" ht="23.25" hidden="1" customHeight="1">
      <c r="A456" s="32" t="s">
        <v>178</v>
      </c>
      <c r="B456" s="32">
        <v>20</v>
      </c>
      <c r="C456" s="32">
        <v>7</v>
      </c>
      <c r="D456" s="32">
        <v>17</v>
      </c>
      <c r="E456" s="32">
        <v>29</v>
      </c>
      <c r="F456" s="32">
        <v>39</v>
      </c>
      <c r="G456" s="32">
        <v>48</v>
      </c>
      <c r="H456" s="32">
        <v>56</v>
      </c>
    </row>
    <row r="457" spans="1:10" ht="23.25" hidden="1" customHeight="1">
      <c r="A457" s="32" t="s">
        <v>178</v>
      </c>
      <c r="B457" s="32">
        <v>20</v>
      </c>
      <c r="C457" s="32">
        <v>5</v>
      </c>
      <c r="D457" s="32">
        <v>15</v>
      </c>
      <c r="E457" s="32">
        <v>27</v>
      </c>
      <c r="F457" s="32">
        <v>37</v>
      </c>
      <c r="G457" s="32">
        <v>46</v>
      </c>
      <c r="H457" s="32">
        <v>54</v>
      </c>
    </row>
    <row r="458" spans="1:10" ht="23.25" hidden="1" customHeight="1">
      <c r="A458" s="32" t="s">
        <v>178</v>
      </c>
      <c r="B458" s="32">
        <v>10</v>
      </c>
      <c r="C458" s="32">
        <v>4</v>
      </c>
      <c r="D458" s="32">
        <v>14</v>
      </c>
      <c r="E458" s="32">
        <v>26</v>
      </c>
      <c r="F458" s="32">
        <v>36</v>
      </c>
      <c r="G458" s="32">
        <v>45</v>
      </c>
      <c r="H458" s="32">
        <v>53</v>
      </c>
    </row>
    <row r="459" spans="1:10" ht="23.25" hidden="1" customHeight="1">
      <c r="A459" s="32" t="s">
        <v>178</v>
      </c>
      <c r="B459" s="32">
        <v>10</v>
      </c>
      <c r="C459" s="32">
        <v>2</v>
      </c>
      <c r="D459" s="32">
        <v>12</v>
      </c>
      <c r="E459" s="32">
        <v>24</v>
      </c>
      <c r="F459" s="32">
        <v>34</v>
      </c>
      <c r="G459" s="32">
        <v>43</v>
      </c>
      <c r="H459" s="32">
        <v>51</v>
      </c>
    </row>
    <row r="460" spans="1:10" ht="23.25" hidden="1" customHeight="1">
      <c r="A460" s="32" t="s">
        <v>178</v>
      </c>
      <c r="B460" s="32">
        <v>0</v>
      </c>
      <c r="C460" s="32">
        <v>1</v>
      </c>
      <c r="D460" s="32">
        <v>11</v>
      </c>
      <c r="E460" s="32">
        <v>23</v>
      </c>
      <c r="F460" s="32">
        <v>33</v>
      </c>
      <c r="G460" s="32">
        <v>42</v>
      </c>
      <c r="H460" s="32">
        <v>50</v>
      </c>
    </row>
    <row r="461" spans="1:10" ht="23.25" hidden="1" customHeight="1">
      <c r="A461" s="32" t="s">
        <v>178</v>
      </c>
      <c r="B461" s="32">
        <v>0</v>
      </c>
      <c r="C461" s="32">
        <v>0</v>
      </c>
      <c r="D461" s="32">
        <v>0</v>
      </c>
      <c r="E461" s="32">
        <v>0</v>
      </c>
      <c r="F461" s="32">
        <v>0</v>
      </c>
      <c r="G461" s="32">
        <v>0</v>
      </c>
      <c r="H461" s="32">
        <v>0</v>
      </c>
    </row>
    <row r="462" spans="1:10" ht="23.25" hidden="1" customHeight="1">
      <c r="A462" s="36" t="s">
        <v>187</v>
      </c>
      <c r="B462" s="36"/>
      <c r="C462" s="36"/>
      <c r="D462" s="36"/>
      <c r="E462" s="36"/>
      <c r="F462" s="36"/>
      <c r="G462" s="36"/>
      <c r="H462" s="36"/>
      <c r="I462" s="36"/>
      <c r="J462" s="36"/>
    </row>
    <row r="463" spans="1:10" ht="23.25" hidden="1" customHeight="1">
      <c r="A463" s="36" t="s">
        <v>163</v>
      </c>
      <c r="B463" s="33" t="s">
        <v>164</v>
      </c>
      <c r="C463" s="36" t="s">
        <v>171</v>
      </c>
      <c r="D463" s="36" t="s">
        <v>172</v>
      </c>
      <c r="E463" s="36" t="s">
        <v>173</v>
      </c>
      <c r="F463" s="36" t="s">
        <v>174</v>
      </c>
      <c r="G463" s="36" t="s">
        <v>175</v>
      </c>
      <c r="H463" s="36" t="s">
        <v>176</v>
      </c>
      <c r="I463" s="37" t="s">
        <v>251</v>
      </c>
      <c r="J463" s="37" t="s">
        <v>252</v>
      </c>
    </row>
    <row r="464" spans="1:10" ht="23.25" hidden="1" customHeight="1">
      <c r="A464" s="36"/>
      <c r="B464" s="33" t="s">
        <v>177</v>
      </c>
      <c r="C464" s="36"/>
      <c r="D464" s="36"/>
      <c r="E464" s="36"/>
      <c r="F464" s="36"/>
      <c r="G464" s="36"/>
      <c r="H464" s="36"/>
      <c r="I464" s="37"/>
      <c r="J464" s="37"/>
    </row>
    <row r="465" spans="1:10" ht="23.25" hidden="1" customHeight="1">
      <c r="A465" s="33" t="s">
        <v>178</v>
      </c>
      <c r="B465" s="33">
        <v>0</v>
      </c>
      <c r="C465" s="33">
        <v>50</v>
      </c>
      <c r="D465" s="33">
        <v>50</v>
      </c>
      <c r="E465" s="33">
        <v>50</v>
      </c>
      <c r="F465" s="33">
        <v>50</v>
      </c>
      <c r="G465" s="33">
        <v>50</v>
      </c>
      <c r="H465" s="33">
        <v>50</v>
      </c>
    </row>
    <row r="466" spans="1:10" ht="23.25" hidden="1" customHeight="1">
      <c r="A466" s="33" t="s">
        <v>178</v>
      </c>
      <c r="B466" s="33">
        <v>0</v>
      </c>
      <c r="C466" s="33">
        <v>129</v>
      </c>
      <c r="D466" s="33">
        <v>144</v>
      </c>
      <c r="E466" s="33">
        <v>159</v>
      </c>
      <c r="F466" s="33">
        <v>169</v>
      </c>
      <c r="G466" s="33">
        <v>174</v>
      </c>
      <c r="H466" s="33">
        <v>179</v>
      </c>
      <c r="I466" s="32">
        <v>273</v>
      </c>
      <c r="J466" s="32">
        <v>275</v>
      </c>
    </row>
    <row r="467" spans="1:10" ht="23.25" hidden="1" customHeight="1">
      <c r="A467" s="33" t="s">
        <v>178</v>
      </c>
      <c r="B467" s="33">
        <v>10</v>
      </c>
      <c r="C467" s="33">
        <v>130</v>
      </c>
      <c r="D467" s="33">
        <v>145</v>
      </c>
      <c r="E467" s="33">
        <v>160</v>
      </c>
      <c r="F467" s="33">
        <v>170</v>
      </c>
      <c r="G467" s="33">
        <v>175</v>
      </c>
      <c r="H467" s="33">
        <v>180</v>
      </c>
    </row>
    <row r="468" spans="1:10" ht="23.25" hidden="1" customHeight="1">
      <c r="A468" s="33" t="s">
        <v>178</v>
      </c>
      <c r="B468" s="33">
        <v>10</v>
      </c>
      <c r="C468" s="33">
        <v>134</v>
      </c>
      <c r="D468" s="33">
        <v>149</v>
      </c>
      <c r="E468" s="33">
        <v>164</v>
      </c>
      <c r="F468" s="33">
        <v>174</v>
      </c>
      <c r="G468" s="33">
        <v>179</v>
      </c>
      <c r="H468" s="33">
        <v>184</v>
      </c>
      <c r="I468" s="32">
        <v>268</v>
      </c>
      <c r="J468" s="32">
        <v>270</v>
      </c>
    </row>
    <row r="469" spans="1:10" ht="23.25" hidden="1" customHeight="1">
      <c r="A469" s="33" t="s">
        <v>178</v>
      </c>
      <c r="B469" s="33">
        <v>20</v>
      </c>
      <c r="C469" s="33">
        <v>135</v>
      </c>
      <c r="D469" s="33">
        <v>150</v>
      </c>
      <c r="E469" s="33">
        <v>165</v>
      </c>
      <c r="F469" s="33">
        <v>175</v>
      </c>
      <c r="G469" s="33">
        <v>180</v>
      </c>
      <c r="H469" s="33">
        <v>185</v>
      </c>
    </row>
    <row r="470" spans="1:10" ht="23.25" hidden="1" customHeight="1">
      <c r="A470" s="33" t="s">
        <v>178</v>
      </c>
      <c r="B470" s="33">
        <v>20</v>
      </c>
      <c r="C470" s="33">
        <v>139</v>
      </c>
      <c r="D470" s="33">
        <v>154</v>
      </c>
      <c r="E470" s="33">
        <v>169</v>
      </c>
      <c r="F470" s="33">
        <v>179</v>
      </c>
      <c r="G470" s="33">
        <v>184</v>
      </c>
      <c r="H470" s="33">
        <v>189</v>
      </c>
      <c r="I470" s="32">
        <v>263</v>
      </c>
      <c r="J470" s="32">
        <v>265</v>
      </c>
    </row>
    <row r="471" spans="1:10" ht="23.25" hidden="1" customHeight="1">
      <c r="A471" s="33" t="s">
        <v>178</v>
      </c>
      <c r="B471" s="33">
        <v>30</v>
      </c>
      <c r="C471" s="33">
        <v>140</v>
      </c>
      <c r="D471" s="33">
        <v>155</v>
      </c>
      <c r="E471" s="33">
        <v>170</v>
      </c>
      <c r="F471" s="33">
        <v>180</v>
      </c>
      <c r="G471" s="33">
        <v>185</v>
      </c>
      <c r="H471" s="33">
        <v>190</v>
      </c>
    </row>
    <row r="472" spans="1:10" ht="23.25" hidden="1" customHeight="1">
      <c r="A472" s="33" t="s">
        <v>178</v>
      </c>
      <c r="B472" s="33">
        <v>30</v>
      </c>
      <c r="C472" s="33">
        <v>144</v>
      </c>
      <c r="D472" s="33">
        <v>159</v>
      </c>
      <c r="E472" s="33">
        <v>174</v>
      </c>
      <c r="F472" s="33">
        <v>184</v>
      </c>
      <c r="G472" s="33">
        <v>189</v>
      </c>
      <c r="H472" s="33">
        <v>194</v>
      </c>
      <c r="I472" s="32">
        <v>256</v>
      </c>
      <c r="J472" s="32">
        <v>258</v>
      </c>
    </row>
    <row r="473" spans="1:10" ht="23.25" hidden="1" customHeight="1">
      <c r="A473" s="33" t="s">
        <v>178</v>
      </c>
      <c r="B473" s="33">
        <v>40</v>
      </c>
      <c r="C473" s="33">
        <v>145</v>
      </c>
      <c r="D473" s="33">
        <v>160</v>
      </c>
      <c r="E473" s="33">
        <v>175</v>
      </c>
      <c r="F473" s="33">
        <v>185</v>
      </c>
      <c r="G473" s="33">
        <v>190</v>
      </c>
      <c r="H473" s="33">
        <v>195</v>
      </c>
    </row>
    <row r="474" spans="1:10" ht="23.25" hidden="1" customHeight="1">
      <c r="A474" s="33" t="s">
        <v>178</v>
      </c>
      <c r="B474" s="33">
        <v>40</v>
      </c>
      <c r="C474" s="33">
        <v>149</v>
      </c>
      <c r="D474" s="33">
        <v>164</v>
      </c>
      <c r="E474" s="33">
        <v>179</v>
      </c>
      <c r="F474" s="33">
        <v>189</v>
      </c>
      <c r="G474" s="33">
        <v>194</v>
      </c>
      <c r="H474" s="33">
        <v>199</v>
      </c>
      <c r="I474" s="32">
        <v>248</v>
      </c>
      <c r="J474" s="32">
        <v>250</v>
      </c>
    </row>
    <row r="475" spans="1:10" ht="23.25" hidden="1" customHeight="1">
      <c r="A475" s="33" t="s">
        <v>178</v>
      </c>
      <c r="B475" s="33">
        <v>50</v>
      </c>
      <c r="C475" s="33">
        <v>150</v>
      </c>
      <c r="D475" s="33">
        <v>165</v>
      </c>
      <c r="E475" s="33">
        <v>180</v>
      </c>
      <c r="F475" s="33">
        <v>190</v>
      </c>
      <c r="G475" s="33">
        <v>195</v>
      </c>
      <c r="H475" s="33">
        <v>200</v>
      </c>
    </row>
    <row r="476" spans="1:10" ht="23.25" hidden="1" customHeight="1">
      <c r="A476" s="33" t="s">
        <v>178</v>
      </c>
      <c r="B476" s="33">
        <v>50</v>
      </c>
      <c r="C476" s="33">
        <v>154</v>
      </c>
      <c r="D476" s="33">
        <v>169</v>
      </c>
      <c r="E476" s="33">
        <v>184</v>
      </c>
      <c r="F476" s="33">
        <v>194</v>
      </c>
      <c r="G476" s="33">
        <v>199</v>
      </c>
      <c r="H476" s="33">
        <v>204</v>
      </c>
      <c r="I476" s="32">
        <v>244</v>
      </c>
      <c r="J476" s="32">
        <v>246</v>
      </c>
    </row>
    <row r="477" spans="1:10" ht="23.25" hidden="1" customHeight="1">
      <c r="A477" s="33" t="s">
        <v>179</v>
      </c>
      <c r="B477" s="33">
        <v>60</v>
      </c>
      <c r="C477" s="33">
        <v>155</v>
      </c>
      <c r="D477" s="33">
        <v>170</v>
      </c>
      <c r="E477" s="33">
        <v>185</v>
      </c>
      <c r="F477" s="33">
        <v>195</v>
      </c>
      <c r="G477" s="33">
        <v>200</v>
      </c>
      <c r="H477" s="33">
        <v>205</v>
      </c>
    </row>
    <row r="478" spans="1:10" ht="23.25" hidden="1" customHeight="1">
      <c r="A478" s="33" t="s">
        <v>179</v>
      </c>
      <c r="B478" s="33">
        <v>60</v>
      </c>
      <c r="C478" s="33">
        <v>158</v>
      </c>
      <c r="D478" s="33">
        <v>173</v>
      </c>
      <c r="E478" s="33">
        <v>188</v>
      </c>
      <c r="F478" s="33">
        <v>198</v>
      </c>
      <c r="G478" s="33">
        <v>203</v>
      </c>
      <c r="H478" s="33">
        <v>208</v>
      </c>
      <c r="I478" s="32">
        <v>240</v>
      </c>
      <c r="J478" s="32">
        <v>242</v>
      </c>
    </row>
    <row r="479" spans="1:10" ht="23.25" hidden="1" customHeight="1">
      <c r="A479" s="33" t="s">
        <v>179</v>
      </c>
      <c r="B479" s="33">
        <v>62</v>
      </c>
      <c r="C479" s="33">
        <v>159</v>
      </c>
      <c r="D479" s="33">
        <v>174</v>
      </c>
      <c r="E479" s="33">
        <v>189</v>
      </c>
      <c r="F479" s="33">
        <v>199</v>
      </c>
      <c r="G479" s="33">
        <v>204</v>
      </c>
      <c r="H479" s="33">
        <v>209</v>
      </c>
    </row>
    <row r="480" spans="1:10" ht="23.25" hidden="1" customHeight="1">
      <c r="A480" s="33" t="s">
        <v>179</v>
      </c>
      <c r="B480" s="33">
        <v>62</v>
      </c>
      <c r="C480" s="33">
        <v>162</v>
      </c>
      <c r="D480" s="33">
        <v>177</v>
      </c>
      <c r="E480" s="33">
        <v>192</v>
      </c>
      <c r="F480" s="33">
        <v>202</v>
      </c>
      <c r="G480" s="33">
        <v>207</v>
      </c>
      <c r="H480" s="33">
        <v>212</v>
      </c>
      <c r="I480" s="32">
        <v>236</v>
      </c>
      <c r="J480" s="32">
        <v>238</v>
      </c>
    </row>
    <row r="481" spans="1:10" ht="23.25" hidden="1" customHeight="1">
      <c r="A481" s="33" t="s">
        <v>179</v>
      </c>
      <c r="B481" s="33">
        <v>64</v>
      </c>
      <c r="C481" s="33">
        <v>163</v>
      </c>
      <c r="D481" s="33">
        <v>178</v>
      </c>
      <c r="E481" s="33">
        <v>193</v>
      </c>
      <c r="F481" s="33">
        <v>203</v>
      </c>
      <c r="G481" s="33">
        <v>208</v>
      </c>
      <c r="H481" s="33">
        <v>213</v>
      </c>
    </row>
    <row r="482" spans="1:10" ht="23.25" hidden="1" customHeight="1">
      <c r="A482" s="33" t="s">
        <v>179</v>
      </c>
      <c r="B482" s="33">
        <v>64</v>
      </c>
      <c r="C482" s="33">
        <v>166</v>
      </c>
      <c r="D482" s="33">
        <v>181</v>
      </c>
      <c r="E482" s="33">
        <v>196</v>
      </c>
      <c r="F482" s="33">
        <v>206</v>
      </c>
      <c r="G482" s="33">
        <v>211</v>
      </c>
      <c r="H482" s="33">
        <v>216</v>
      </c>
      <c r="I482" s="32">
        <v>232</v>
      </c>
      <c r="J482" s="32">
        <v>234</v>
      </c>
    </row>
    <row r="483" spans="1:10" ht="23.25" hidden="1" customHeight="1">
      <c r="A483" s="33" t="s">
        <v>179</v>
      </c>
      <c r="B483" s="33">
        <v>66</v>
      </c>
      <c r="C483" s="33">
        <v>167</v>
      </c>
      <c r="D483" s="33">
        <v>182</v>
      </c>
      <c r="E483" s="33">
        <v>197</v>
      </c>
      <c r="F483" s="33">
        <v>207</v>
      </c>
      <c r="G483" s="33">
        <v>212</v>
      </c>
      <c r="H483" s="33">
        <v>217</v>
      </c>
    </row>
    <row r="484" spans="1:10" ht="23.25" hidden="1" customHeight="1">
      <c r="A484" s="33" t="s">
        <v>179</v>
      </c>
      <c r="B484" s="33">
        <v>66</v>
      </c>
      <c r="C484" s="33">
        <v>170</v>
      </c>
      <c r="D484" s="33">
        <v>185</v>
      </c>
      <c r="E484" s="33">
        <v>200</v>
      </c>
      <c r="F484" s="33">
        <v>210</v>
      </c>
      <c r="G484" s="33">
        <v>215</v>
      </c>
      <c r="H484" s="33">
        <v>220</v>
      </c>
      <c r="I484" s="32">
        <v>228</v>
      </c>
      <c r="J484" s="32">
        <v>230</v>
      </c>
    </row>
    <row r="485" spans="1:10" ht="23.25" hidden="1" customHeight="1">
      <c r="A485" s="33" t="s">
        <v>179</v>
      </c>
      <c r="B485" s="33">
        <v>68</v>
      </c>
      <c r="C485" s="33">
        <v>171</v>
      </c>
      <c r="D485" s="33">
        <v>186</v>
      </c>
      <c r="E485" s="33">
        <v>201</v>
      </c>
      <c r="F485" s="33">
        <v>211</v>
      </c>
      <c r="G485" s="33">
        <v>216</v>
      </c>
      <c r="H485" s="33">
        <v>221</v>
      </c>
    </row>
    <row r="486" spans="1:10" ht="23.25" hidden="1" customHeight="1">
      <c r="A486" s="33" t="s">
        <v>179</v>
      </c>
      <c r="B486" s="33">
        <v>68</v>
      </c>
      <c r="C486" s="33">
        <v>174</v>
      </c>
      <c r="D486" s="33">
        <v>189</v>
      </c>
      <c r="E486" s="33">
        <v>204</v>
      </c>
      <c r="F486" s="33">
        <v>214</v>
      </c>
      <c r="G486" s="33">
        <v>219</v>
      </c>
      <c r="H486" s="33">
        <v>224</v>
      </c>
      <c r="I486" s="32">
        <v>224</v>
      </c>
      <c r="J486" s="32">
        <v>226</v>
      </c>
    </row>
    <row r="487" spans="1:10" ht="23.25" hidden="1" customHeight="1">
      <c r="A487" s="33" t="s">
        <v>179</v>
      </c>
      <c r="B487" s="33">
        <v>70</v>
      </c>
      <c r="C487" s="33">
        <v>175</v>
      </c>
      <c r="D487" s="33">
        <v>190</v>
      </c>
      <c r="E487" s="33">
        <v>205</v>
      </c>
      <c r="F487" s="33">
        <v>215</v>
      </c>
      <c r="G487" s="33">
        <v>220</v>
      </c>
      <c r="H487" s="33">
        <v>225</v>
      </c>
    </row>
    <row r="488" spans="1:10" ht="23.25" hidden="1" customHeight="1">
      <c r="A488" s="33" t="s">
        <v>179</v>
      </c>
      <c r="B488" s="33">
        <v>70</v>
      </c>
      <c r="C488" s="33">
        <v>178</v>
      </c>
      <c r="D488" s="33">
        <v>193</v>
      </c>
      <c r="E488" s="33">
        <v>208</v>
      </c>
      <c r="F488" s="33">
        <v>218</v>
      </c>
      <c r="G488" s="33">
        <v>223</v>
      </c>
      <c r="H488" s="33">
        <v>228</v>
      </c>
      <c r="I488" s="32">
        <v>220</v>
      </c>
      <c r="J488" s="32">
        <v>222</v>
      </c>
    </row>
    <row r="489" spans="1:10" ht="23.25" hidden="1" customHeight="1">
      <c r="A489" s="33" t="s">
        <v>179</v>
      </c>
      <c r="B489" s="33">
        <v>72</v>
      </c>
      <c r="C489" s="33">
        <v>179</v>
      </c>
      <c r="D489" s="33">
        <v>194</v>
      </c>
      <c r="E489" s="33">
        <v>209</v>
      </c>
      <c r="F489" s="33">
        <v>219</v>
      </c>
      <c r="G489" s="33">
        <v>224</v>
      </c>
      <c r="H489" s="33">
        <v>229</v>
      </c>
    </row>
    <row r="490" spans="1:10" ht="23.25" hidden="1" customHeight="1">
      <c r="A490" s="33" t="s">
        <v>179</v>
      </c>
      <c r="B490" s="33">
        <v>72</v>
      </c>
      <c r="C490" s="33">
        <v>182</v>
      </c>
      <c r="D490" s="33">
        <v>197</v>
      </c>
      <c r="E490" s="33">
        <v>212</v>
      </c>
      <c r="F490" s="33">
        <v>222</v>
      </c>
      <c r="G490" s="33">
        <v>227</v>
      </c>
      <c r="H490" s="33">
        <v>232</v>
      </c>
      <c r="I490" s="32">
        <v>216</v>
      </c>
      <c r="J490" s="32">
        <v>218</v>
      </c>
    </row>
    <row r="491" spans="1:10" ht="23.25" hidden="1" customHeight="1">
      <c r="A491" s="33" t="s">
        <v>179</v>
      </c>
      <c r="B491" s="33">
        <v>74</v>
      </c>
      <c r="C491" s="33">
        <v>183</v>
      </c>
      <c r="D491" s="33">
        <v>198</v>
      </c>
      <c r="E491" s="33">
        <v>213</v>
      </c>
      <c r="F491" s="33">
        <v>223</v>
      </c>
      <c r="G491" s="33">
        <v>228</v>
      </c>
      <c r="H491" s="33">
        <v>233</v>
      </c>
    </row>
    <row r="492" spans="1:10" ht="23.25" hidden="1" customHeight="1">
      <c r="A492" s="33" t="s">
        <v>179</v>
      </c>
      <c r="B492" s="33">
        <v>74</v>
      </c>
      <c r="C492" s="33">
        <v>186</v>
      </c>
      <c r="D492" s="33">
        <v>201</v>
      </c>
      <c r="E492" s="33">
        <v>216</v>
      </c>
      <c r="F492" s="33">
        <v>226</v>
      </c>
      <c r="G492" s="33">
        <v>231</v>
      </c>
      <c r="H492" s="33">
        <v>236</v>
      </c>
      <c r="I492" s="32">
        <v>212</v>
      </c>
      <c r="J492" s="32">
        <v>214</v>
      </c>
    </row>
    <row r="493" spans="1:10" ht="23.25" hidden="1" customHeight="1">
      <c r="A493" s="33" t="s">
        <v>179</v>
      </c>
      <c r="B493" s="33">
        <v>76</v>
      </c>
      <c r="C493" s="33">
        <v>187</v>
      </c>
      <c r="D493" s="33">
        <v>202</v>
      </c>
      <c r="E493" s="33">
        <v>217</v>
      </c>
      <c r="F493" s="33">
        <v>227</v>
      </c>
      <c r="G493" s="33">
        <v>232</v>
      </c>
      <c r="H493" s="33">
        <v>237</v>
      </c>
    </row>
    <row r="494" spans="1:10" ht="23.25" hidden="1" customHeight="1">
      <c r="A494" s="33" t="s">
        <v>179</v>
      </c>
      <c r="B494" s="33">
        <v>76</v>
      </c>
      <c r="C494" s="33">
        <v>190</v>
      </c>
      <c r="D494" s="33">
        <v>205</v>
      </c>
      <c r="E494" s="33">
        <v>220</v>
      </c>
      <c r="F494" s="33">
        <v>230</v>
      </c>
      <c r="G494" s="33">
        <v>235</v>
      </c>
      <c r="H494" s="33">
        <v>240</v>
      </c>
      <c r="I494" s="32">
        <v>208</v>
      </c>
      <c r="J494" s="32">
        <v>210</v>
      </c>
    </row>
    <row r="495" spans="1:10" ht="23.25" hidden="1" customHeight="1">
      <c r="A495" s="33" t="s">
        <v>179</v>
      </c>
      <c r="B495" s="33">
        <v>78</v>
      </c>
      <c r="C495" s="33">
        <v>191</v>
      </c>
      <c r="D495" s="33">
        <v>206</v>
      </c>
      <c r="E495" s="33">
        <v>221</v>
      </c>
      <c r="F495" s="33">
        <v>231</v>
      </c>
      <c r="G495" s="33">
        <v>236</v>
      </c>
      <c r="H495" s="33">
        <v>241</v>
      </c>
    </row>
    <row r="496" spans="1:10" ht="23.25" hidden="1" customHeight="1">
      <c r="A496" s="33" t="s">
        <v>179</v>
      </c>
      <c r="B496" s="33">
        <v>78</v>
      </c>
      <c r="C496" s="33">
        <v>194</v>
      </c>
      <c r="D496" s="33">
        <v>209</v>
      </c>
      <c r="E496" s="33">
        <v>224</v>
      </c>
      <c r="F496" s="33">
        <v>234</v>
      </c>
      <c r="G496" s="33">
        <v>239</v>
      </c>
      <c r="H496" s="33">
        <v>244</v>
      </c>
      <c r="I496" s="32">
        <v>203</v>
      </c>
      <c r="J496" s="32">
        <v>205</v>
      </c>
    </row>
    <row r="497" spans="1:10" ht="23.25" hidden="1" customHeight="1">
      <c r="A497" s="33" t="s">
        <v>180</v>
      </c>
      <c r="B497" s="33">
        <v>80</v>
      </c>
      <c r="C497" s="33">
        <v>195</v>
      </c>
      <c r="D497" s="33">
        <v>210</v>
      </c>
      <c r="E497" s="33">
        <v>225</v>
      </c>
      <c r="F497" s="33">
        <v>235</v>
      </c>
      <c r="G497" s="33">
        <v>240</v>
      </c>
      <c r="H497" s="33">
        <v>245</v>
      </c>
    </row>
    <row r="498" spans="1:10" ht="23.25" hidden="1" customHeight="1">
      <c r="A498" s="33" t="s">
        <v>180</v>
      </c>
      <c r="B498" s="33">
        <v>80</v>
      </c>
      <c r="C498" s="33">
        <v>202</v>
      </c>
      <c r="D498" s="33">
        <v>217</v>
      </c>
      <c r="E498" s="33">
        <v>232</v>
      </c>
      <c r="F498" s="33">
        <v>242</v>
      </c>
      <c r="G498" s="33">
        <v>247</v>
      </c>
      <c r="H498" s="33">
        <v>252</v>
      </c>
      <c r="I498" s="32">
        <v>198</v>
      </c>
      <c r="J498" s="32">
        <v>200</v>
      </c>
    </row>
    <row r="499" spans="1:10" ht="23.25" hidden="1" customHeight="1">
      <c r="A499" s="33" t="s">
        <v>180</v>
      </c>
      <c r="B499" s="33">
        <v>85</v>
      </c>
      <c r="C499" s="33">
        <v>203</v>
      </c>
      <c r="D499" s="33">
        <v>218</v>
      </c>
      <c r="E499" s="33">
        <v>233</v>
      </c>
      <c r="F499" s="33">
        <v>243</v>
      </c>
      <c r="G499" s="33">
        <v>248</v>
      </c>
      <c r="H499" s="33">
        <v>253</v>
      </c>
    </row>
    <row r="500" spans="1:10" ht="23.25" hidden="1" customHeight="1">
      <c r="A500" s="33" t="s">
        <v>180</v>
      </c>
      <c r="B500" s="33">
        <v>85</v>
      </c>
      <c r="C500" s="33">
        <v>210</v>
      </c>
      <c r="D500" s="33">
        <v>225</v>
      </c>
      <c r="E500" s="33">
        <v>239</v>
      </c>
      <c r="F500" s="33">
        <v>249</v>
      </c>
      <c r="G500" s="33">
        <v>254</v>
      </c>
      <c r="H500" s="33">
        <v>259</v>
      </c>
      <c r="I500" s="32">
        <v>193</v>
      </c>
      <c r="J500" s="32">
        <v>195</v>
      </c>
    </row>
    <row r="501" spans="1:10" ht="23.25" hidden="1" customHeight="1">
      <c r="A501" s="33" t="s">
        <v>181</v>
      </c>
      <c r="B501" s="33">
        <v>90</v>
      </c>
      <c r="C501" s="33">
        <v>211</v>
      </c>
      <c r="D501" s="33">
        <v>226</v>
      </c>
      <c r="E501" s="33">
        <v>240</v>
      </c>
      <c r="F501" s="33">
        <v>250</v>
      </c>
      <c r="G501" s="33">
        <v>255</v>
      </c>
      <c r="H501" s="33">
        <v>260</v>
      </c>
    </row>
    <row r="502" spans="1:10" ht="23.25" hidden="1" customHeight="1">
      <c r="A502" s="33" t="s">
        <v>181</v>
      </c>
      <c r="B502" s="33">
        <v>90</v>
      </c>
      <c r="C502" s="33">
        <v>217</v>
      </c>
      <c r="D502" s="33">
        <v>232</v>
      </c>
      <c r="E502" s="33">
        <v>244</v>
      </c>
      <c r="F502" s="33">
        <v>254</v>
      </c>
      <c r="G502" s="33">
        <v>259</v>
      </c>
      <c r="H502" s="33">
        <v>264</v>
      </c>
      <c r="I502" s="32">
        <v>188</v>
      </c>
      <c r="J502" s="32">
        <v>190</v>
      </c>
    </row>
    <row r="503" spans="1:10" ht="23.25" hidden="1" customHeight="1">
      <c r="A503" s="33" t="s">
        <v>181</v>
      </c>
      <c r="B503" s="33">
        <v>95</v>
      </c>
      <c r="C503" s="33">
        <v>218</v>
      </c>
      <c r="D503" s="33">
        <v>233</v>
      </c>
      <c r="E503" s="33">
        <v>245</v>
      </c>
      <c r="F503" s="33">
        <v>255</v>
      </c>
      <c r="G503" s="33">
        <v>260</v>
      </c>
      <c r="H503" s="33">
        <v>265</v>
      </c>
    </row>
    <row r="504" spans="1:10" ht="23.25" hidden="1" customHeight="1">
      <c r="A504" s="33" t="s">
        <v>181</v>
      </c>
      <c r="B504" s="33">
        <v>95</v>
      </c>
      <c r="C504" s="33">
        <v>224</v>
      </c>
      <c r="D504" s="33">
        <v>239</v>
      </c>
      <c r="E504" s="33">
        <v>249</v>
      </c>
      <c r="F504" s="33">
        <v>259</v>
      </c>
      <c r="G504" s="33">
        <v>264</v>
      </c>
      <c r="H504" s="33">
        <v>269</v>
      </c>
      <c r="I504" s="32">
        <v>183</v>
      </c>
      <c r="J504" s="32">
        <v>185</v>
      </c>
    </row>
    <row r="505" spans="1:10" ht="23.25" hidden="1" customHeight="1">
      <c r="A505" s="33" t="s">
        <v>181</v>
      </c>
      <c r="B505" s="33">
        <v>100</v>
      </c>
      <c r="C505" s="33">
        <v>225</v>
      </c>
      <c r="D505" s="33">
        <v>240</v>
      </c>
      <c r="E505" s="33">
        <v>250</v>
      </c>
      <c r="F505" s="33">
        <v>260</v>
      </c>
      <c r="G505" s="33">
        <v>265</v>
      </c>
      <c r="H505" s="33">
        <v>270</v>
      </c>
    </row>
    <row r="506" spans="1:10" ht="23.25" hidden="1" customHeight="1">
      <c r="A506" s="33" t="s">
        <v>181</v>
      </c>
      <c r="B506" s="33">
        <v>100</v>
      </c>
      <c r="C506" s="33">
        <v>400</v>
      </c>
      <c r="D506" s="33">
        <v>400</v>
      </c>
      <c r="E506" s="33">
        <v>400</v>
      </c>
      <c r="F506" s="33">
        <v>400</v>
      </c>
      <c r="G506" s="33">
        <v>400</v>
      </c>
      <c r="H506" s="33">
        <v>400</v>
      </c>
    </row>
    <row r="507" spans="1:10" ht="23.25" hidden="1" customHeight="1">
      <c r="A507" s="36" t="s">
        <v>253</v>
      </c>
      <c r="B507" s="36"/>
      <c r="C507" s="36"/>
      <c r="D507" s="36"/>
      <c r="E507" s="36"/>
      <c r="F507" s="36"/>
      <c r="G507" s="36"/>
      <c r="H507" s="36"/>
      <c r="I507" s="36"/>
      <c r="J507" s="36"/>
    </row>
    <row r="508" spans="1:10" ht="23.25" hidden="1" customHeight="1">
      <c r="A508" s="36" t="s">
        <v>163</v>
      </c>
      <c r="B508" s="33" t="s">
        <v>164</v>
      </c>
      <c r="C508" s="36" t="s">
        <v>171</v>
      </c>
      <c r="D508" s="36" t="s">
        <v>172</v>
      </c>
      <c r="E508" s="36" t="s">
        <v>173</v>
      </c>
      <c r="F508" s="36" t="s">
        <v>174</v>
      </c>
      <c r="G508" s="36" t="s">
        <v>175</v>
      </c>
      <c r="H508" s="36" t="s">
        <v>176</v>
      </c>
      <c r="I508" s="37" t="s">
        <v>251</v>
      </c>
      <c r="J508" s="37" t="s">
        <v>252</v>
      </c>
    </row>
    <row r="509" spans="1:10" ht="23.25" hidden="1" customHeight="1">
      <c r="A509" s="36"/>
      <c r="B509" s="33" t="s">
        <v>177</v>
      </c>
      <c r="C509" s="36"/>
      <c r="D509" s="36"/>
      <c r="E509" s="36"/>
      <c r="F509" s="36"/>
      <c r="G509" s="36"/>
      <c r="H509" s="36"/>
      <c r="I509" s="37"/>
      <c r="J509" s="37"/>
    </row>
    <row r="510" spans="1:10" ht="23.25" hidden="1" customHeight="1">
      <c r="A510" s="33" t="s">
        <v>178</v>
      </c>
      <c r="B510" s="33">
        <v>0</v>
      </c>
      <c r="C510" s="33">
        <v>50</v>
      </c>
      <c r="D510" s="33">
        <v>50</v>
      </c>
      <c r="E510" s="33">
        <v>50</v>
      </c>
      <c r="F510" s="33">
        <v>50</v>
      </c>
      <c r="G510" s="33">
        <v>50</v>
      </c>
      <c r="H510" s="33">
        <v>50</v>
      </c>
    </row>
    <row r="511" spans="1:10" ht="23.25" hidden="1" customHeight="1">
      <c r="A511" s="33" t="s">
        <v>178</v>
      </c>
      <c r="B511" s="33">
        <v>0</v>
      </c>
      <c r="C511" s="33">
        <v>114</v>
      </c>
      <c r="D511" s="33">
        <v>118</v>
      </c>
      <c r="E511" s="33">
        <v>120</v>
      </c>
      <c r="F511" s="33">
        <v>122</v>
      </c>
      <c r="G511" s="33">
        <v>123</v>
      </c>
      <c r="H511" s="33">
        <v>124</v>
      </c>
      <c r="I511" s="32">
        <v>207</v>
      </c>
      <c r="J511" s="32">
        <v>208</v>
      </c>
    </row>
    <row r="512" spans="1:10" ht="23.25" hidden="1" customHeight="1">
      <c r="A512" s="33" t="s">
        <v>178</v>
      </c>
      <c r="B512" s="33">
        <v>10</v>
      </c>
      <c r="C512" s="33">
        <v>115</v>
      </c>
      <c r="D512" s="33">
        <v>119</v>
      </c>
      <c r="E512" s="33">
        <v>121</v>
      </c>
      <c r="F512" s="33">
        <v>123</v>
      </c>
      <c r="G512" s="33">
        <v>124</v>
      </c>
      <c r="H512" s="33">
        <v>125</v>
      </c>
    </row>
    <row r="513" spans="1:10" ht="23.25" hidden="1" customHeight="1">
      <c r="A513" s="33" t="s">
        <v>178</v>
      </c>
      <c r="B513" s="33">
        <v>10</v>
      </c>
      <c r="C513" s="33">
        <v>119</v>
      </c>
      <c r="D513" s="33">
        <v>123</v>
      </c>
      <c r="E513" s="33">
        <v>125</v>
      </c>
      <c r="F513" s="33">
        <v>127</v>
      </c>
      <c r="G513" s="33">
        <v>128</v>
      </c>
      <c r="H513" s="33">
        <v>129</v>
      </c>
      <c r="I513" s="32">
        <v>201</v>
      </c>
      <c r="J513" s="32">
        <v>202</v>
      </c>
    </row>
    <row r="514" spans="1:10" ht="23.25" hidden="1" customHeight="1">
      <c r="A514" s="33" t="s">
        <v>178</v>
      </c>
      <c r="B514" s="33">
        <v>20</v>
      </c>
      <c r="C514" s="33">
        <v>120</v>
      </c>
      <c r="D514" s="33">
        <v>124</v>
      </c>
      <c r="E514" s="33">
        <v>126</v>
      </c>
      <c r="F514" s="33">
        <v>128</v>
      </c>
      <c r="G514" s="33">
        <v>129</v>
      </c>
      <c r="H514" s="33">
        <v>130</v>
      </c>
    </row>
    <row r="515" spans="1:10" ht="23.25" hidden="1" customHeight="1">
      <c r="A515" s="33" t="s">
        <v>178</v>
      </c>
      <c r="B515" s="33">
        <v>20</v>
      </c>
      <c r="C515" s="33">
        <v>124</v>
      </c>
      <c r="D515" s="33">
        <v>128</v>
      </c>
      <c r="E515" s="33">
        <v>130</v>
      </c>
      <c r="F515" s="33">
        <v>132</v>
      </c>
      <c r="G515" s="33">
        <v>133</v>
      </c>
      <c r="H515" s="33">
        <v>134</v>
      </c>
      <c r="I515" s="32">
        <v>195</v>
      </c>
      <c r="J515" s="32">
        <v>196</v>
      </c>
    </row>
    <row r="516" spans="1:10" ht="23.25" hidden="1" customHeight="1">
      <c r="A516" s="33" t="s">
        <v>178</v>
      </c>
      <c r="B516" s="33">
        <v>30</v>
      </c>
      <c r="C516" s="33">
        <v>125</v>
      </c>
      <c r="D516" s="33">
        <v>129</v>
      </c>
      <c r="E516" s="33">
        <v>131</v>
      </c>
      <c r="F516" s="33">
        <v>133</v>
      </c>
      <c r="G516" s="33">
        <v>134</v>
      </c>
      <c r="H516" s="33">
        <v>135</v>
      </c>
      <c r="I516" s="32">
        <v>194</v>
      </c>
    </row>
    <row r="517" spans="1:10" ht="23.25" hidden="1" customHeight="1">
      <c r="A517" s="33" t="s">
        <v>178</v>
      </c>
      <c r="B517" s="33">
        <v>30</v>
      </c>
      <c r="C517" s="33">
        <v>129</v>
      </c>
      <c r="D517" s="33">
        <v>133</v>
      </c>
      <c r="E517" s="33">
        <v>135</v>
      </c>
      <c r="F517" s="33">
        <v>137</v>
      </c>
      <c r="G517" s="33">
        <v>138</v>
      </c>
      <c r="H517" s="33">
        <v>139</v>
      </c>
      <c r="I517" s="32">
        <v>188</v>
      </c>
      <c r="J517" s="32">
        <v>189</v>
      </c>
    </row>
    <row r="518" spans="1:10" ht="23.25" hidden="1" customHeight="1">
      <c r="A518" s="33" t="s">
        <v>178</v>
      </c>
      <c r="B518" s="33">
        <v>40</v>
      </c>
      <c r="C518" s="33">
        <v>130</v>
      </c>
      <c r="D518" s="33">
        <v>134</v>
      </c>
      <c r="E518" s="33">
        <v>136</v>
      </c>
      <c r="F518" s="33">
        <v>138</v>
      </c>
      <c r="G518" s="33">
        <v>139</v>
      </c>
      <c r="H518" s="33">
        <v>140</v>
      </c>
    </row>
    <row r="519" spans="1:10" ht="23.25" hidden="1" customHeight="1">
      <c r="A519" s="33" t="s">
        <v>178</v>
      </c>
      <c r="B519" s="33">
        <v>40</v>
      </c>
      <c r="C519" s="33">
        <v>134</v>
      </c>
      <c r="D519" s="33">
        <v>138</v>
      </c>
      <c r="E519" s="33">
        <v>140</v>
      </c>
      <c r="F519" s="33">
        <v>142</v>
      </c>
      <c r="G519" s="33">
        <v>143</v>
      </c>
      <c r="H519" s="33">
        <v>144</v>
      </c>
      <c r="I519" s="32">
        <v>181</v>
      </c>
      <c r="J519" s="32">
        <v>182</v>
      </c>
    </row>
    <row r="520" spans="1:10" ht="23.25" hidden="1" customHeight="1">
      <c r="A520" s="33" t="s">
        <v>178</v>
      </c>
      <c r="B520" s="33">
        <v>50</v>
      </c>
      <c r="C520" s="33">
        <v>135</v>
      </c>
      <c r="D520" s="33">
        <v>139</v>
      </c>
      <c r="E520" s="33">
        <v>141</v>
      </c>
      <c r="F520" s="33">
        <v>143</v>
      </c>
      <c r="G520" s="33">
        <v>144</v>
      </c>
      <c r="H520" s="33">
        <v>145</v>
      </c>
    </row>
    <row r="521" spans="1:10" ht="23.25" hidden="1" customHeight="1">
      <c r="A521" s="33" t="s">
        <v>178</v>
      </c>
      <c r="B521" s="33">
        <v>50</v>
      </c>
      <c r="C521" s="33">
        <v>139</v>
      </c>
      <c r="D521" s="33">
        <v>143</v>
      </c>
      <c r="E521" s="33">
        <v>145</v>
      </c>
      <c r="F521" s="33">
        <v>147</v>
      </c>
      <c r="G521" s="33">
        <v>148</v>
      </c>
      <c r="H521" s="33">
        <v>149</v>
      </c>
      <c r="I521" s="32">
        <v>178</v>
      </c>
      <c r="J521" s="32">
        <v>179</v>
      </c>
    </row>
    <row r="522" spans="1:10" ht="23.25" hidden="1" customHeight="1">
      <c r="A522" s="33" t="s">
        <v>179</v>
      </c>
      <c r="B522" s="33">
        <v>60</v>
      </c>
      <c r="C522" s="33">
        <v>140</v>
      </c>
      <c r="D522" s="33">
        <v>144</v>
      </c>
      <c r="E522" s="33">
        <v>146</v>
      </c>
      <c r="F522" s="33">
        <v>148</v>
      </c>
      <c r="G522" s="33">
        <v>149</v>
      </c>
      <c r="H522" s="33">
        <v>150</v>
      </c>
    </row>
    <row r="523" spans="1:10" ht="23.25" hidden="1" customHeight="1">
      <c r="A523" s="33" t="s">
        <v>179</v>
      </c>
      <c r="B523" s="33">
        <v>60</v>
      </c>
      <c r="C523" s="33">
        <v>142</v>
      </c>
      <c r="D523" s="33">
        <v>146</v>
      </c>
      <c r="E523" s="33">
        <v>148</v>
      </c>
      <c r="F523" s="33">
        <v>150</v>
      </c>
      <c r="G523" s="33">
        <v>151</v>
      </c>
      <c r="H523" s="33">
        <v>152</v>
      </c>
      <c r="I523" s="32">
        <v>175</v>
      </c>
      <c r="J523" s="32">
        <v>176</v>
      </c>
    </row>
    <row r="524" spans="1:10" ht="23.25" hidden="1" customHeight="1">
      <c r="A524" s="33" t="s">
        <v>179</v>
      </c>
      <c r="B524" s="33">
        <v>62</v>
      </c>
      <c r="C524" s="33">
        <v>143</v>
      </c>
      <c r="D524" s="33">
        <v>147</v>
      </c>
      <c r="E524" s="33">
        <v>149</v>
      </c>
      <c r="F524" s="33">
        <v>151</v>
      </c>
      <c r="G524" s="33">
        <v>152</v>
      </c>
      <c r="H524" s="33">
        <v>153</v>
      </c>
    </row>
    <row r="525" spans="1:10" ht="23.25" hidden="1" customHeight="1">
      <c r="A525" s="33" t="s">
        <v>179</v>
      </c>
      <c r="B525" s="33">
        <v>62</v>
      </c>
      <c r="C525" s="33">
        <v>145</v>
      </c>
      <c r="D525" s="33">
        <v>149</v>
      </c>
      <c r="E525" s="33">
        <v>151</v>
      </c>
      <c r="F525" s="33">
        <v>153</v>
      </c>
      <c r="G525" s="33">
        <v>154</v>
      </c>
      <c r="H525" s="33">
        <v>155</v>
      </c>
      <c r="I525" s="32">
        <v>172</v>
      </c>
      <c r="J525" s="32">
        <v>173</v>
      </c>
    </row>
    <row r="526" spans="1:10" ht="23.25" hidden="1" customHeight="1">
      <c r="A526" s="33" t="s">
        <v>179</v>
      </c>
      <c r="B526" s="33">
        <v>64</v>
      </c>
      <c r="C526" s="33">
        <v>146</v>
      </c>
      <c r="D526" s="33">
        <v>150</v>
      </c>
      <c r="E526" s="33">
        <v>152</v>
      </c>
      <c r="F526" s="33">
        <v>154</v>
      </c>
      <c r="G526" s="33">
        <v>155</v>
      </c>
      <c r="H526" s="33">
        <v>156</v>
      </c>
    </row>
    <row r="527" spans="1:10" ht="23.25" hidden="1" customHeight="1">
      <c r="A527" s="33" t="s">
        <v>179</v>
      </c>
      <c r="B527" s="33">
        <v>64</v>
      </c>
      <c r="C527" s="33">
        <v>148</v>
      </c>
      <c r="D527" s="33">
        <v>152</v>
      </c>
      <c r="E527" s="33">
        <v>154</v>
      </c>
      <c r="F527" s="33">
        <v>156</v>
      </c>
      <c r="G527" s="33">
        <v>157</v>
      </c>
      <c r="H527" s="33">
        <v>158</v>
      </c>
      <c r="I527" s="32">
        <v>169</v>
      </c>
      <c r="J527" s="32">
        <v>170</v>
      </c>
    </row>
    <row r="528" spans="1:10" ht="23.25" hidden="1" customHeight="1">
      <c r="A528" s="33" t="s">
        <v>179</v>
      </c>
      <c r="B528" s="33">
        <v>66</v>
      </c>
      <c r="C528" s="33">
        <v>149</v>
      </c>
      <c r="D528" s="33">
        <v>153</v>
      </c>
      <c r="E528" s="33">
        <v>155</v>
      </c>
      <c r="F528" s="33">
        <v>157</v>
      </c>
      <c r="G528" s="33">
        <v>158</v>
      </c>
      <c r="H528" s="33">
        <v>159</v>
      </c>
    </row>
    <row r="529" spans="1:10" ht="23.25" hidden="1" customHeight="1">
      <c r="A529" s="33" t="s">
        <v>179</v>
      </c>
      <c r="B529" s="33">
        <v>66</v>
      </c>
      <c r="C529" s="33">
        <v>151</v>
      </c>
      <c r="D529" s="33">
        <v>155</v>
      </c>
      <c r="E529" s="33">
        <v>157</v>
      </c>
      <c r="F529" s="33">
        <v>159</v>
      </c>
      <c r="G529" s="33">
        <v>160</v>
      </c>
      <c r="H529" s="33">
        <v>161</v>
      </c>
      <c r="I529" s="32">
        <v>166</v>
      </c>
      <c r="J529" s="32">
        <v>167</v>
      </c>
    </row>
    <row r="530" spans="1:10" ht="23.25" hidden="1" customHeight="1">
      <c r="A530" s="33" t="s">
        <v>179</v>
      </c>
      <c r="B530" s="33">
        <v>68</v>
      </c>
      <c r="C530" s="33">
        <v>152</v>
      </c>
      <c r="D530" s="33">
        <v>156</v>
      </c>
      <c r="E530" s="33">
        <v>158</v>
      </c>
      <c r="F530" s="33">
        <v>160</v>
      </c>
      <c r="G530" s="33">
        <v>161</v>
      </c>
      <c r="H530" s="33">
        <v>162</v>
      </c>
    </row>
    <row r="531" spans="1:10" ht="23.25" hidden="1" customHeight="1">
      <c r="A531" s="33" t="s">
        <v>179</v>
      </c>
      <c r="B531" s="33">
        <v>68</v>
      </c>
      <c r="C531" s="33">
        <v>154</v>
      </c>
      <c r="D531" s="33">
        <v>158</v>
      </c>
      <c r="E531" s="33">
        <v>160</v>
      </c>
      <c r="F531" s="33">
        <v>162</v>
      </c>
      <c r="G531" s="33">
        <v>163</v>
      </c>
      <c r="H531" s="33">
        <v>164</v>
      </c>
      <c r="I531" s="32">
        <v>163</v>
      </c>
      <c r="J531" s="32">
        <v>164</v>
      </c>
    </row>
    <row r="532" spans="1:10" ht="23.25" hidden="1" customHeight="1">
      <c r="A532" s="33" t="s">
        <v>179</v>
      </c>
      <c r="B532" s="33">
        <v>70</v>
      </c>
      <c r="C532" s="33">
        <v>155</v>
      </c>
      <c r="D532" s="33">
        <v>159</v>
      </c>
      <c r="E532" s="33">
        <v>161</v>
      </c>
      <c r="F532" s="33">
        <v>163</v>
      </c>
      <c r="G532" s="33">
        <v>164</v>
      </c>
      <c r="H532" s="33">
        <v>165</v>
      </c>
    </row>
    <row r="533" spans="1:10" ht="23.25" hidden="1" customHeight="1">
      <c r="A533" s="33" t="s">
        <v>179</v>
      </c>
      <c r="B533" s="33">
        <v>70</v>
      </c>
      <c r="C533" s="33">
        <v>157</v>
      </c>
      <c r="D533" s="33">
        <v>161</v>
      </c>
      <c r="E533" s="33">
        <v>163</v>
      </c>
      <c r="F533" s="33">
        <v>165</v>
      </c>
      <c r="G533" s="33">
        <v>166</v>
      </c>
      <c r="H533" s="33">
        <v>167</v>
      </c>
      <c r="I533" s="32">
        <v>160</v>
      </c>
      <c r="J533" s="32">
        <v>161</v>
      </c>
    </row>
    <row r="534" spans="1:10" ht="23.25" hidden="1" customHeight="1">
      <c r="A534" s="33" t="s">
        <v>179</v>
      </c>
      <c r="B534" s="33">
        <v>72</v>
      </c>
      <c r="C534" s="33">
        <v>158</v>
      </c>
      <c r="D534" s="33">
        <v>162</v>
      </c>
      <c r="E534" s="33">
        <v>164</v>
      </c>
      <c r="F534" s="33">
        <v>166</v>
      </c>
      <c r="G534" s="33">
        <v>167</v>
      </c>
      <c r="H534" s="33">
        <v>168</v>
      </c>
    </row>
    <row r="535" spans="1:10" ht="23.25" hidden="1" customHeight="1">
      <c r="A535" s="33" t="s">
        <v>179</v>
      </c>
      <c r="B535" s="33">
        <v>72</v>
      </c>
      <c r="C535" s="33">
        <v>160</v>
      </c>
      <c r="D535" s="33">
        <v>164</v>
      </c>
      <c r="E535" s="33">
        <v>176</v>
      </c>
      <c r="F535" s="33">
        <v>168</v>
      </c>
      <c r="G535" s="33">
        <v>169</v>
      </c>
      <c r="H535" s="33">
        <v>170</v>
      </c>
      <c r="I535" s="32">
        <v>157</v>
      </c>
      <c r="J535" s="32">
        <v>158</v>
      </c>
    </row>
    <row r="536" spans="1:10" ht="23.25" hidden="1" customHeight="1">
      <c r="A536" s="33" t="s">
        <v>179</v>
      </c>
      <c r="B536" s="33">
        <v>74</v>
      </c>
      <c r="C536" s="33">
        <v>161</v>
      </c>
      <c r="D536" s="33">
        <v>165</v>
      </c>
      <c r="E536" s="33">
        <v>167</v>
      </c>
      <c r="F536" s="33">
        <v>169</v>
      </c>
      <c r="G536" s="33">
        <v>170</v>
      </c>
      <c r="H536" s="33">
        <v>171</v>
      </c>
    </row>
    <row r="537" spans="1:10" ht="23.25" hidden="1" customHeight="1">
      <c r="A537" s="33" t="s">
        <v>179</v>
      </c>
      <c r="B537" s="33">
        <v>74</v>
      </c>
      <c r="C537" s="33">
        <v>163</v>
      </c>
      <c r="D537" s="33">
        <v>167</v>
      </c>
      <c r="E537" s="33">
        <v>169</v>
      </c>
      <c r="F537" s="33">
        <v>171</v>
      </c>
      <c r="G537" s="33">
        <v>172</v>
      </c>
      <c r="H537" s="33">
        <v>173</v>
      </c>
      <c r="I537" s="32">
        <v>154</v>
      </c>
      <c r="J537" s="32">
        <v>155</v>
      </c>
    </row>
    <row r="538" spans="1:10" ht="23.25" hidden="1" customHeight="1">
      <c r="A538" s="33" t="s">
        <v>179</v>
      </c>
      <c r="B538" s="33">
        <v>76</v>
      </c>
      <c r="C538" s="33">
        <v>164</v>
      </c>
      <c r="D538" s="33">
        <v>168</v>
      </c>
      <c r="E538" s="33">
        <v>170</v>
      </c>
      <c r="F538" s="33">
        <v>172</v>
      </c>
      <c r="G538" s="33">
        <v>173</v>
      </c>
      <c r="H538" s="33">
        <v>174</v>
      </c>
    </row>
    <row r="539" spans="1:10" ht="23.25" hidden="1" customHeight="1">
      <c r="A539" s="33" t="s">
        <v>179</v>
      </c>
      <c r="B539" s="33">
        <v>76</v>
      </c>
      <c r="C539" s="33">
        <v>166</v>
      </c>
      <c r="D539" s="33">
        <v>170</v>
      </c>
      <c r="E539" s="33">
        <v>172</v>
      </c>
      <c r="F539" s="33">
        <v>174</v>
      </c>
      <c r="G539" s="33">
        <v>175</v>
      </c>
      <c r="H539" s="33">
        <v>176</v>
      </c>
      <c r="I539" s="32">
        <v>151</v>
      </c>
      <c r="J539" s="32">
        <v>152</v>
      </c>
    </row>
    <row r="540" spans="1:10" ht="23.25" hidden="1" customHeight="1">
      <c r="A540" s="33" t="s">
        <v>179</v>
      </c>
      <c r="B540" s="33">
        <v>78</v>
      </c>
      <c r="C540" s="33">
        <v>167</v>
      </c>
      <c r="D540" s="33">
        <v>171</v>
      </c>
      <c r="E540" s="33">
        <v>173</v>
      </c>
      <c r="F540" s="33">
        <v>175</v>
      </c>
      <c r="G540" s="33">
        <v>176</v>
      </c>
      <c r="H540" s="33">
        <v>177</v>
      </c>
    </row>
    <row r="541" spans="1:10" ht="23.25" hidden="1" customHeight="1">
      <c r="A541" s="33" t="s">
        <v>179</v>
      </c>
      <c r="B541" s="33">
        <v>78</v>
      </c>
      <c r="C541" s="33">
        <v>169</v>
      </c>
      <c r="D541" s="33">
        <v>173</v>
      </c>
      <c r="E541" s="33">
        <v>175</v>
      </c>
      <c r="F541" s="33">
        <v>177</v>
      </c>
      <c r="G541" s="33">
        <v>178</v>
      </c>
      <c r="H541" s="33">
        <v>179</v>
      </c>
      <c r="I541" s="32">
        <v>146</v>
      </c>
      <c r="J541" s="32">
        <v>147</v>
      </c>
    </row>
    <row r="542" spans="1:10" ht="23.25" hidden="1" customHeight="1">
      <c r="A542" s="33" t="s">
        <v>180</v>
      </c>
      <c r="B542" s="33">
        <v>80</v>
      </c>
      <c r="C542" s="33">
        <v>170</v>
      </c>
      <c r="D542" s="33">
        <v>174</v>
      </c>
      <c r="E542" s="33">
        <v>176</v>
      </c>
      <c r="F542" s="33">
        <v>178</v>
      </c>
      <c r="G542" s="33">
        <v>179</v>
      </c>
      <c r="H542" s="33">
        <v>180</v>
      </c>
    </row>
    <row r="543" spans="1:10" ht="23.25" hidden="1" customHeight="1">
      <c r="A543" s="33" t="s">
        <v>180</v>
      </c>
      <c r="B543" s="33">
        <v>80</v>
      </c>
      <c r="C543" s="33">
        <v>176</v>
      </c>
      <c r="D543" s="33">
        <v>180</v>
      </c>
      <c r="E543" s="33">
        <v>182</v>
      </c>
      <c r="F543" s="33">
        <v>184</v>
      </c>
      <c r="G543" s="33">
        <v>185</v>
      </c>
      <c r="H543" s="33">
        <v>186</v>
      </c>
      <c r="I543" s="32">
        <v>141</v>
      </c>
      <c r="J543" s="32">
        <v>142</v>
      </c>
    </row>
    <row r="544" spans="1:10" ht="23.25" hidden="1" customHeight="1">
      <c r="A544" s="33" t="s">
        <v>180</v>
      </c>
      <c r="B544" s="33">
        <v>85</v>
      </c>
      <c r="C544" s="33">
        <v>177</v>
      </c>
      <c r="D544" s="33">
        <v>181</v>
      </c>
      <c r="E544" s="33">
        <v>183</v>
      </c>
      <c r="F544" s="33">
        <v>185</v>
      </c>
      <c r="G544" s="33">
        <v>186</v>
      </c>
      <c r="H544" s="33">
        <v>187</v>
      </c>
    </row>
    <row r="545" spans="1:12" ht="23.25" hidden="1" customHeight="1">
      <c r="A545" s="33" t="s">
        <v>180</v>
      </c>
      <c r="B545" s="33">
        <v>85</v>
      </c>
      <c r="C545" s="33">
        <v>183</v>
      </c>
      <c r="D545" s="33">
        <v>187</v>
      </c>
      <c r="E545" s="33">
        <v>189</v>
      </c>
      <c r="F545" s="33">
        <v>191</v>
      </c>
      <c r="G545" s="33">
        <v>192</v>
      </c>
      <c r="H545" s="33">
        <v>193</v>
      </c>
      <c r="I545" s="32">
        <v>136</v>
      </c>
      <c r="J545" s="32">
        <v>137</v>
      </c>
    </row>
    <row r="546" spans="1:12" ht="23.25" hidden="1" customHeight="1">
      <c r="A546" s="33" t="s">
        <v>181</v>
      </c>
      <c r="B546" s="33">
        <v>90</v>
      </c>
      <c r="C546" s="33">
        <v>184</v>
      </c>
      <c r="D546" s="33">
        <v>188</v>
      </c>
      <c r="E546" s="33">
        <v>190</v>
      </c>
      <c r="F546" s="33">
        <v>192</v>
      </c>
      <c r="G546" s="33">
        <v>193</v>
      </c>
      <c r="H546" s="33">
        <v>194</v>
      </c>
    </row>
    <row r="547" spans="1:12" ht="23.25" hidden="1" customHeight="1">
      <c r="A547" s="33" t="s">
        <v>181</v>
      </c>
      <c r="B547" s="33">
        <v>90</v>
      </c>
      <c r="C547" s="33">
        <v>189</v>
      </c>
      <c r="D547" s="33">
        <v>193</v>
      </c>
      <c r="E547" s="33">
        <v>195</v>
      </c>
      <c r="F547" s="33">
        <v>197</v>
      </c>
      <c r="G547" s="33">
        <v>198</v>
      </c>
      <c r="H547" s="33">
        <v>199</v>
      </c>
      <c r="I547" s="32">
        <v>131</v>
      </c>
      <c r="J547" s="32">
        <v>132</v>
      </c>
    </row>
    <row r="548" spans="1:12" ht="23.25" hidden="1" customHeight="1">
      <c r="A548" s="33" t="s">
        <v>181</v>
      </c>
      <c r="B548" s="33">
        <v>95</v>
      </c>
      <c r="C548" s="33">
        <v>190</v>
      </c>
      <c r="D548" s="33">
        <v>194</v>
      </c>
      <c r="E548" s="33">
        <v>196</v>
      </c>
      <c r="F548" s="33">
        <v>198</v>
      </c>
      <c r="G548" s="33">
        <v>199</v>
      </c>
      <c r="H548" s="33">
        <v>200</v>
      </c>
    </row>
    <row r="549" spans="1:12" ht="23.25" hidden="1" customHeight="1">
      <c r="A549" s="33" t="s">
        <v>181</v>
      </c>
      <c r="B549" s="33">
        <v>95</v>
      </c>
      <c r="C549" s="33">
        <v>195</v>
      </c>
      <c r="D549" s="33">
        <v>199</v>
      </c>
      <c r="E549" s="33">
        <v>201</v>
      </c>
      <c r="F549" s="33">
        <v>203</v>
      </c>
      <c r="G549" s="33">
        <v>204</v>
      </c>
      <c r="H549" s="33">
        <v>205</v>
      </c>
      <c r="I549" s="32">
        <v>126</v>
      </c>
      <c r="J549" s="32">
        <v>127</v>
      </c>
    </row>
    <row r="550" spans="1:12" ht="23.25" hidden="1" customHeight="1">
      <c r="A550" s="33" t="s">
        <v>181</v>
      </c>
      <c r="B550" s="33">
        <v>100</v>
      </c>
      <c r="C550" s="33">
        <v>196</v>
      </c>
      <c r="D550" s="33">
        <v>200</v>
      </c>
      <c r="E550" s="33">
        <v>202</v>
      </c>
      <c r="F550" s="33">
        <v>204</v>
      </c>
      <c r="G550" s="33">
        <v>205</v>
      </c>
      <c r="H550" s="33">
        <v>206</v>
      </c>
    </row>
    <row r="551" spans="1:12" ht="23.25" hidden="1" customHeight="1">
      <c r="A551" s="33" t="s">
        <v>181</v>
      </c>
      <c r="B551" s="33">
        <v>100</v>
      </c>
      <c r="C551" s="33">
        <v>400</v>
      </c>
      <c r="D551" s="33">
        <v>400</v>
      </c>
      <c r="E551" s="33">
        <v>400</v>
      </c>
      <c r="F551" s="33">
        <v>400</v>
      </c>
      <c r="G551" s="33">
        <v>400</v>
      </c>
      <c r="H551" s="33">
        <v>400</v>
      </c>
    </row>
    <row r="552" spans="1:12" ht="23.25" hidden="1" customHeight="1">
      <c r="A552" s="37" t="s">
        <v>254</v>
      </c>
      <c r="B552" s="37"/>
      <c r="C552" s="37"/>
      <c r="D552" s="37"/>
      <c r="E552" s="37"/>
      <c r="F552" s="37"/>
    </row>
    <row r="553" spans="1:12" ht="23.25" hidden="1" customHeight="1">
      <c r="A553" s="37" t="s">
        <v>163</v>
      </c>
      <c r="B553" s="32" t="s">
        <v>164</v>
      </c>
      <c r="C553" s="37" t="s">
        <v>167</v>
      </c>
      <c r="D553" s="37" t="s">
        <v>168</v>
      </c>
      <c r="E553" s="37" t="s">
        <v>169</v>
      </c>
      <c r="F553" s="37" t="s">
        <v>170</v>
      </c>
      <c r="G553" s="37"/>
      <c r="H553" s="37"/>
      <c r="I553" s="37"/>
      <c r="J553" s="37"/>
      <c r="K553" s="37"/>
      <c r="L553" s="37"/>
    </row>
    <row r="554" spans="1:12" ht="23.25" hidden="1" customHeight="1">
      <c r="A554" s="37"/>
      <c r="B554" s="32" t="s">
        <v>177</v>
      </c>
      <c r="C554" s="37"/>
      <c r="D554" s="37"/>
      <c r="E554" s="37"/>
      <c r="F554" s="37"/>
      <c r="G554" s="37"/>
      <c r="H554" s="37"/>
      <c r="I554" s="37"/>
      <c r="J554" s="37"/>
      <c r="K554" s="37"/>
      <c r="L554" s="37"/>
    </row>
    <row r="555" spans="1:12" ht="23.25" hidden="1" customHeight="1">
      <c r="A555" s="32" t="s">
        <v>181</v>
      </c>
      <c r="B555" s="32">
        <v>100</v>
      </c>
      <c r="C555" s="32">
        <v>99</v>
      </c>
      <c r="D555" s="32">
        <v>99</v>
      </c>
      <c r="E555" s="32">
        <v>99</v>
      </c>
      <c r="F555" s="32">
        <v>99</v>
      </c>
    </row>
    <row r="556" spans="1:12" ht="23.25" hidden="1" customHeight="1">
      <c r="A556" s="32" t="s">
        <v>181</v>
      </c>
      <c r="B556" s="32">
        <v>100</v>
      </c>
      <c r="C556" s="32">
        <v>48</v>
      </c>
      <c r="D556" s="32">
        <v>49</v>
      </c>
      <c r="E556" s="32">
        <v>50</v>
      </c>
      <c r="F556" s="32">
        <v>51</v>
      </c>
    </row>
    <row r="557" spans="1:12" ht="23.25" hidden="1" customHeight="1">
      <c r="A557" s="32" t="s">
        <v>181</v>
      </c>
      <c r="B557" s="32">
        <v>95</v>
      </c>
      <c r="C557" s="32">
        <v>47</v>
      </c>
      <c r="D557" s="32">
        <v>48</v>
      </c>
      <c r="E557" s="32">
        <v>49</v>
      </c>
      <c r="F557" s="32">
        <v>50</v>
      </c>
    </row>
    <row r="558" spans="1:12" ht="23.25" hidden="1" customHeight="1">
      <c r="A558" s="32" t="s">
        <v>181</v>
      </c>
      <c r="B558" s="32">
        <v>95</v>
      </c>
      <c r="C558" s="32">
        <v>45</v>
      </c>
      <c r="D558" s="32">
        <v>46</v>
      </c>
      <c r="E558" s="32">
        <v>47</v>
      </c>
      <c r="F558" s="32">
        <v>48</v>
      </c>
    </row>
    <row r="559" spans="1:12" ht="23.25" hidden="1" customHeight="1">
      <c r="A559" s="32" t="s">
        <v>181</v>
      </c>
      <c r="B559" s="32">
        <v>90</v>
      </c>
      <c r="C559" s="32">
        <v>44</v>
      </c>
      <c r="D559" s="32">
        <v>45</v>
      </c>
      <c r="E559" s="32">
        <v>46</v>
      </c>
      <c r="F559" s="32">
        <v>47</v>
      </c>
    </row>
    <row r="560" spans="1:12" ht="23.25" hidden="1" customHeight="1">
      <c r="A560" s="32" t="s">
        <v>181</v>
      </c>
      <c r="B560" s="32">
        <v>90</v>
      </c>
      <c r="C560" s="32">
        <v>42</v>
      </c>
      <c r="D560" s="32">
        <v>43</v>
      </c>
      <c r="E560" s="32">
        <v>44</v>
      </c>
      <c r="F560" s="32">
        <v>45</v>
      </c>
    </row>
    <row r="561" spans="1:6" ht="23.25" hidden="1" customHeight="1">
      <c r="A561" s="32" t="s">
        <v>180</v>
      </c>
      <c r="B561" s="32">
        <v>85</v>
      </c>
      <c r="C561" s="32">
        <v>41</v>
      </c>
      <c r="D561" s="32">
        <v>42</v>
      </c>
      <c r="E561" s="32">
        <v>43</v>
      </c>
      <c r="F561" s="32">
        <v>44</v>
      </c>
    </row>
    <row r="562" spans="1:6" ht="23.25" hidden="1" customHeight="1">
      <c r="A562" s="32" t="s">
        <v>180</v>
      </c>
      <c r="B562" s="32">
        <v>85</v>
      </c>
      <c r="C562" s="32">
        <v>39</v>
      </c>
      <c r="D562" s="32">
        <v>40</v>
      </c>
      <c r="E562" s="32">
        <v>41</v>
      </c>
      <c r="F562" s="32">
        <v>42</v>
      </c>
    </row>
    <row r="563" spans="1:6" ht="23.25" hidden="1" customHeight="1">
      <c r="A563" s="32" t="s">
        <v>179</v>
      </c>
      <c r="B563" s="32">
        <v>80</v>
      </c>
      <c r="C563" s="32">
        <v>38</v>
      </c>
      <c r="D563" s="32">
        <v>39</v>
      </c>
      <c r="E563" s="32">
        <v>40</v>
      </c>
      <c r="F563" s="32">
        <v>41</v>
      </c>
    </row>
    <row r="564" spans="1:6" ht="23.25" hidden="1" customHeight="1">
      <c r="A564" s="32" t="s">
        <v>179</v>
      </c>
      <c r="B564" s="32">
        <v>80</v>
      </c>
      <c r="C564" s="32">
        <v>36</v>
      </c>
      <c r="D564" s="32">
        <v>37</v>
      </c>
      <c r="E564" s="32">
        <v>38</v>
      </c>
      <c r="F564" s="32">
        <v>39</v>
      </c>
    </row>
    <row r="565" spans="1:6" ht="23.25" hidden="1" customHeight="1">
      <c r="A565" s="32" t="s">
        <v>179</v>
      </c>
      <c r="B565" s="32">
        <v>78</v>
      </c>
      <c r="C565" s="32">
        <v>35</v>
      </c>
      <c r="D565" s="32">
        <v>36</v>
      </c>
      <c r="E565" s="32">
        <v>37</v>
      </c>
      <c r="F565" s="32">
        <v>38</v>
      </c>
    </row>
    <row r="566" spans="1:6" ht="23.25" hidden="1" customHeight="1">
      <c r="A566" s="32" t="s">
        <v>179</v>
      </c>
      <c r="B566" s="32">
        <v>78</v>
      </c>
      <c r="C566" s="32">
        <v>34</v>
      </c>
      <c r="D566" s="32">
        <v>35</v>
      </c>
      <c r="E566" s="32">
        <v>36</v>
      </c>
      <c r="F566" s="32">
        <v>37</v>
      </c>
    </row>
    <row r="567" spans="1:6" ht="23.25" hidden="1" customHeight="1">
      <c r="A567" s="32" t="s">
        <v>179</v>
      </c>
      <c r="B567" s="32">
        <v>76</v>
      </c>
      <c r="C567" s="32">
        <v>33</v>
      </c>
      <c r="D567" s="32">
        <v>34</v>
      </c>
      <c r="E567" s="32">
        <v>35</v>
      </c>
      <c r="F567" s="32">
        <v>36</v>
      </c>
    </row>
    <row r="568" spans="1:6" ht="23.25" hidden="1" customHeight="1">
      <c r="A568" s="32" t="s">
        <v>179</v>
      </c>
      <c r="B568" s="32">
        <v>76</v>
      </c>
      <c r="C568" s="32">
        <v>32</v>
      </c>
      <c r="D568" s="32">
        <v>33</v>
      </c>
      <c r="E568" s="32">
        <v>34</v>
      </c>
      <c r="F568" s="32">
        <v>35</v>
      </c>
    </row>
    <row r="569" spans="1:6" ht="23.25" hidden="1" customHeight="1">
      <c r="A569" s="32" t="s">
        <v>179</v>
      </c>
      <c r="B569" s="32">
        <v>74</v>
      </c>
      <c r="C569" s="32">
        <v>31</v>
      </c>
      <c r="D569" s="32">
        <v>32</v>
      </c>
      <c r="E569" s="32">
        <v>33</v>
      </c>
      <c r="F569" s="32">
        <v>34</v>
      </c>
    </row>
    <row r="570" spans="1:6" ht="23.25" hidden="1" customHeight="1">
      <c r="A570" s="32" t="s">
        <v>179</v>
      </c>
      <c r="B570" s="32">
        <v>74</v>
      </c>
      <c r="C570" s="32">
        <v>30</v>
      </c>
      <c r="D570" s="32">
        <v>31</v>
      </c>
      <c r="E570" s="32">
        <v>32</v>
      </c>
      <c r="F570" s="32">
        <v>33</v>
      </c>
    </row>
    <row r="571" spans="1:6" ht="23.25" hidden="1" customHeight="1">
      <c r="A571" s="32" t="s">
        <v>179</v>
      </c>
      <c r="B571" s="32">
        <v>72</v>
      </c>
      <c r="C571" s="32">
        <v>29</v>
      </c>
      <c r="D571" s="32">
        <v>30</v>
      </c>
      <c r="E571" s="32">
        <v>31</v>
      </c>
      <c r="F571" s="32">
        <v>32</v>
      </c>
    </row>
    <row r="572" spans="1:6" ht="23.25" hidden="1" customHeight="1">
      <c r="A572" s="32" t="s">
        <v>179</v>
      </c>
      <c r="B572" s="32">
        <v>72</v>
      </c>
      <c r="C572" s="32">
        <v>28</v>
      </c>
      <c r="D572" s="32">
        <v>29</v>
      </c>
      <c r="E572" s="32">
        <v>30</v>
      </c>
      <c r="F572" s="32">
        <v>31</v>
      </c>
    </row>
    <row r="573" spans="1:6" ht="23.25" hidden="1" customHeight="1">
      <c r="A573" s="32" t="s">
        <v>179</v>
      </c>
      <c r="B573" s="32">
        <v>70</v>
      </c>
      <c r="C573" s="32">
        <v>27</v>
      </c>
      <c r="D573" s="32">
        <v>28</v>
      </c>
      <c r="E573" s="32">
        <v>29</v>
      </c>
      <c r="F573" s="32">
        <v>30</v>
      </c>
    </row>
    <row r="574" spans="1:6" ht="23.25" hidden="1" customHeight="1">
      <c r="A574" s="32" t="s">
        <v>179</v>
      </c>
      <c r="B574" s="32">
        <v>70</v>
      </c>
      <c r="C574" s="32">
        <v>26</v>
      </c>
      <c r="D574" s="32">
        <v>27</v>
      </c>
      <c r="E574" s="32">
        <v>28</v>
      </c>
      <c r="F574" s="32">
        <v>29</v>
      </c>
    </row>
    <row r="575" spans="1:6" ht="23.25" hidden="1" customHeight="1">
      <c r="A575" s="32" t="s">
        <v>179</v>
      </c>
      <c r="B575" s="32">
        <v>68</v>
      </c>
      <c r="C575" s="32">
        <v>25</v>
      </c>
      <c r="D575" s="32">
        <v>26</v>
      </c>
      <c r="E575" s="32">
        <v>27</v>
      </c>
      <c r="F575" s="32">
        <v>28</v>
      </c>
    </row>
    <row r="576" spans="1:6" ht="23.25" hidden="1" customHeight="1">
      <c r="A576" s="32" t="s">
        <v>179</v>
      </c>
      <c r="B576" s="32">
        <v>68</v>
      </c>
      <c r="C576" s="32">
        <v>24</v>
      </c>
      <c r="D576" s="32">
        <v>25</v>
      </c>
      <c r="E576" s="32">
        <v>26</v>
      </c>
      <c r="F576" s="32">
        <v>27</v>
      </c>
    </row>
    <row r="577" spans="1:6" ht="23.25" hidden="1" customHeight="1">
      <c r="A577" s="32" t="s">
        <v>179</v>
      </c>
      <c r="B577" s="32">
        <v>66</v>
      </c>
      <c r="C577" s="32">
        <v>23</v>
      </c>
      <c r="D577" s="32">
        <v>24</v>
      </c>
      <c r="E577" s="32">
        <v>25</v>
      </c>
      <c r="F577" s="32">
        <v>26</v>
      </c>
    </row>
    <row r="578" spans="1:6" ht="23.25" hidden="1" customHeight="1">
      <c r="A578" s="32" t="s">
        <v>179</v>
      </c>
      <c r="B578" s="32">
        <v>66</v>
      </c>
      <c r="C578" s="32">
        <v>22</v>
      </c>
      <c r="D578" s="32">
        <v>23</v>
      </c>
      <c r="E578" s="32">
        <v>24</v>
      </c>
      <c r="F578" s="32">
        <v>25</v>
      </c>
    </row>
    <row r="579" spans="1:6" ht="23.25" hidden="1" customHeight="1">
      <c r="A579" s="32" t="s">
        <v>179</v>
      </c>
      <c r="B579" s="32">
        <v>64</v>
      </c>
      <c r="C579" s="32">
        <v>21</v>
      </c>
      <c r="D579" s="32">
        <v>22</v>
      </c>
      <c r="E579" s="32">
        <v>23</v>
      </c>
      <c r="F579" s="32">
        <v>24</v>
      </c>
    </row>
    <row r="580" spans="1:6" ht="23.25" hidden="1" customHeight="1">
      <c r="A580" s="32" t="s">
        <v>179</v>
      </c>
      <c r="B580" s="32">
        <v>64</v>
      </c>
      <c r="C580" s="32">
        <v>20</v>
      </c>
      <c r="D580" s="32">
        <v>21</v>
      </c>
      <c r="E580" s="32">
        <v>22</v>
      </c>
      <c r="F580" s="32">
        <v>23</v>
      </c>
    </row>
    <row r="581" spans="1:6" ht="23.25" hidden="1" customHeight="1">
      <c r="A581" s="32" t="s">
        <v>179</v>
      </c>
      <c r="B581" s="32">
        <v>62</v>
      </c>
      <c r="C581" s="32">
        <v>19</v>
      </c>
      <c r="D581" s="32">
        <v>20</v>
      </c>
      <c r="E581" s="32">
        <v>21</v>
      </c>
      <c r="F581" s="32">
        <v>22</v>
      </c>
    </row>
    <row r="582" spans="1:6" ht="23.25" hidden="1" customHeight="1">
      <c r="A582" s="32" t="s">
        <v>179</v>
      </c>
      <c r="B582" s="32">
        <v>62</v>
      </c>
      <c r="C582" s="32">
        <v>18</v>
      </c>
      <c r="D582" s="32">
        <v>19</v>
      </c>
      <c r="E582" s="32">
        <v>20</v>
      </c>
      <c r="F582" s="32">
        <v>21</v>
      </c>
    </row>
    <row r="583" spans="1:6" ht="23.25" hidden="1" customHeight="1">
      <c r="A583" s="32" t="s">
        <v>179</v>
      </c>
      <c r="B583" s="32">
        <v>60</v>
      </c>
      <c r="C583" s="32">
        <v>17</v>
      </c>
      <c r="D583" s="32">
        <v>18</v>
      </c>
      <c r="E583" s="32">
        <v>19</v>
      </c>
      <c r="F583" s="32">
        <v>20</v>
      </c>
    </row>
    <row r="584" spans="1:6" ht="23.25" hidden="1" customHeight="1">
      <c r="A584" s="32" t="s">
        <v>179</v>
      </c>
      <c r="B584" s="32">
        <v>60</v>
      </c>
      <c r="C584" s="32">
        <v>16</v>
      </c>
      <c r="D584" s="32">
        <v>17</v>
      </c>
      <c r="E584" s="32">
        <v>18</v>
      </c>
      <c r="F584" s="32">
        <v>19</v>
      </c>
    </row>
    <row r="585" spans="1:6" ht="23.25" hidden="1" customHeight="1">
      <c r="A585" s="32" t="s">
        <v>178</v>
      </c>
      <c r="B585" s="32">
        <v>50</v>
      </c>
      <c r="C585" s="32">
        <v>15</v>
      </c>
      <c r="D585" s="32">
        <v>16</v>
      </c>
      <c r="E585" s="32">
        <v>17</v>
      </c>
      <c r="F585" s="32">
        <v>18</v>
      </c>
    </row>
    <row r="586" spans="1:6" ht="23.25" hidden="1" customHeight="1">
      <c r="A586" s="32" t="s">
        <v>178</v>
      </c>
      <c r="B586" s="32">
        <v>50</v>
      </c>
      <c r="C586" s="32">
        <v>14</v>
      </c>
      <c r="D586" s="32">
        <v>15</v>
      </c>
      <c r="E586" s="32">
        <v>16</v>
      </c>
      <c r="F586" s="32">
        <v>17</v>
      </c>
    </row>
    <row r="587" spans="1:6" ht="23.25" hidden="1" customHeight="1">
      <c r="A587" s="32" t="s">
        <v>178</v>
      </c>
      <c r="B587" s="32">
        <v>40</v>
      </c>
      <c r="C587" s="32">
        <v>13</v>
      </c>
      <c r="D587" s="32">
        <v>14</v>
      </c>
      <c r="E587" s="32">
        <v>15</v>
      </c>
      <c r="F587" s="32">
        <v>16</v>
      </c>
    </row>
    <row r="588" spans="1:6" ht="23.25" hidden="1" customHeight="1">
      <c r="A588" s="32" t="s">
        <v>178</v>
      </c>
      <c r="B588" s="32">
        <v>40</v>
      </c>
      <c r="C588" s="32">
        <v>12</v>
      </c>
      <c r="D588" s="32">
        <v>13</v>
      </c>
      <c r="E588" s="32">
        <v>14</v>
      </c>
      <c r="F588" s="32">
        <v>15</v>
      </c>
    </row>
    <row r="589" spans="1:6" ht="23.25" hidden="1" customHeight="1">
      <c r="A589" s="32" t="s">
        <v>178</v>
      </c>
      <c r="B589" s="32">
        <v>30</v>
      </c>
      <c r="C589" s="32">
        <v>11</v>
      </c>
      <c r="D589" s="32">
        <v>12</v>
      </c>
      <c r="E589" s="32">
        <v>13</v>
      </c>
      <c r="F589" s="32">
        <v>14</v>
      </c>
    </row>
    <row r="590" spans="1:6" ht="23.25" hidden="1" customHeight="1">
      <c r="A590" s="32" t="s">
        <v>178</v>
      </c>
      <c r="B590" s="32">
        <v>30</v>
      </c>
      <c r="C590" s="32">
        <v>10</v>
      </c>
      <c r="D590" s="32">
        <v>11</v>
      </c>
      <c r="E590" s="32">
        <v>12</v>
      </c>
      <c r="F590" s="32">
        <v>13</v>
      </c>
    </row>
    <row r="591" spans="1:6" ht="23.25" hidden="1" customHeight="1">
      <c r="A591" s="32" t="s">
        <v>178</v>
      </c>
      <c r="B591" s="32">
        <v>20</v>
      </c>
      <c r="C591" s="32">
        <v>9</v>
      </c>
      <c r="D591" s="32">
        <v>10</v>
      </c>
      <c r="E591" s="32">
        <v>11</v>
      </c>
      <c r="F591" s="32">
        <v>12</v>
      </c>
    </row>
    <row r="592" spans="1:6" ht="23.25" hidden="1" customHeight="1">
      <c r="A592" s="32" t="s">
        <v>178</v>
      </c>
      <c r="B592" s="32">
        <v>20</v>
      </c>
      <c r="C592" s="32">
        <v>8</v>
      </c>
      <c r="D592" s="32">
        <v>9</v>
      </c>
      <c r="E592" s="32">
        <v>10</v>
      </c>
      <c r="F592" s="32">
        <v>11</v>
      </c>
    </row>
    <row r="593" spans="1:8" ht="23.25" hidden="1" customHeight="1">
      <c r="A593" s="32" t="s">
        <v>178</v>
      </c>
      <c r="B593" s="32">
        <v>10</v>
      </c>
      <c r="C593" s="32">
        <v>7</v>
      </c>
      <c r="D593" s="32">
        <v>8</v>
      </c>
      <c r="E593" s="32">
        <v>9</v>
      </c>
      <c r="F593" s="32">
        <v>10</v>
      </c>
    </row>
    <row r="594" spans="1:8" ht="23.25" hidden="1" customHeight="1">
      <c r="A594" s="32" t="s">
        <v>178</v>
      </c>
      <c r="B594" s="32">
        <v>10</v>
      </c>
      <c r="C594" s="32">
        <v>6</v>
      </c>
      <c r="D594" s="32">
        <v>7</v>
      </c>
      <c r="E594" s="32">
        <v>8</v>
      </c>
      <c r="F594" s="32">
        <v>9</v>
      </c>
    </row>
    <row r="595" spans="1:8" ht="23.25" hidden="1" customHeight="1">
      <c r="A595" s="32" t="s">
        <v>178</v>
      </c>
      <c r="B595" s="32">
        <v>0</v>
      </c>
      <c r="C595" s="32">
        <v>5</v>
      </c>
      <c r="D595" s="32">
        <v>6</v>
      </c>
      <c r="E595" s="32">
        <v>7</v>
      </c>
      <c r="F595" s="32">
        <v>8</v>
      </c>
    </row>
    <row r="596" spans="1:8" ht="23.25" hidden="1" customHeight="1">
      <c r="A596" s="32" t="s">
        <v>178</v>
      </c>
      <c r="B596" s="32">
        <v>0</v>
      </c>
      <c r="C596" s="32">
        <v>0</v>
      </c>
      <c r="D596" s="32">
        <v>0</v>
      </c>
      <c r="E596" s="32">
        <v>0</v>
      </c>
      <c r="F596" s="32">
        <v>0</v>
      </c>
    </row>
    <row r="597" spans="1:8" ht="23.25" hidden="1" customHeight="1">
      <c r="A597" s="36" t="s">
        <v>189</v>
      </c>
      <c r="B597" s="36"/>
      <c r="C597" s="36"/>
      <c r="D597" s="36"/>
      <c r="E597" s="36"/>
      <c r="F597" s="36"/>
      <c r="G597" s="36"/>
      <c r="H597" s="36"/>
    </row>
    <row r="598" spans="1:8" ht="23.25" hidden="1" customHeight="1">
      <c r="A598" s="36" t="s">
        <v>163</v>
      </c>
      <c r="B598" s="33" t="s">
        <v>164</v>
      </c>
      <c r="C598" s="36" t="s">
        <v>171</v>
      </c>
      <c r="D598" s="33" t="s">
        <v>172</v>
      </c>
      <c r="E598" s="33" t="s">
        <v>173</v>
      </c>
      <c r="F598" s="33" t="s">
        <v>174</v>
      </c>
      <c r="G598" s="33" t="s">
        <v>175</v>
      </c>
      <c r="H598" s="33" t="s">
        <v>176</v>
      </c>
    </row>
    <row r="599" spans="1:8" ht="23.25" hidden="1" customHeight="1">
      <c r="A599" s="36"/>
      <c r="B599" s="33" t="s">
        <v>177</v>
      </c>
      <c r="C599" s="36"/>
      <c r="D599" s="33"/>
      <c r="E599" s="33"/>
      <c r="F599" s="33"/>
      <c r="G599" s="33"/>
      <c r="H599" s="33"/>
    </row>
    <row r="600" spans="1:8" ht="23.25" hidden="1" customHeight="1">
      <c r="A600" s="33" t="s">
        <v>178</v>
      </c>
      <c r="B600" s="33">
        <v>0</v>
      </c>
      <c r="C600" s="33">
        <v>0</v>
      </c>
      <c r="D600" s="33">
        <v>0</v>
      </c>
      <c r="E600" s="33">
        <v>0</v>
      </c>
      <c r="F600" s="33">
        <v>0</v>
      </c>
      <c r="G600" s="33">
        <v>0</v>
      </c>
      <c r="H600" s="33">
        <v>0</v>
      </c>
    </row>
    <row r="601" spans="1:8" ht="23.25" hidden="1" customHeight="1">
      <c r="A601" s="33" t="s">
        <v>178</v>
      </c>
      <c r="B601" s="33">
        <v>10</v>
      </c>
      <c r="C601" s="33" t="s">
        <v>190</v>
      </c>
      <c r="D601" s="33" t="s">
        <v>190</v>
      </c>
      <c r="E601" s="33">
        <v>1</v>
      </c>
      <c r="F601" s="33">
        <v>2</v>
      </c>
      <c r="G601" s="33">
        <v>3</v>
      </c>
      <c r="H601" s="33">
        <v>4</v>
      </c>
    </row>
    <row r="602" spans="1:8" ht="23.25" hidden="1" customHeight="1">
      <c r="A602" s="33" t="s">
        <v>178</v>
      </c>
      <c r="B602" s="33">
        <v>20</v>
      </c>
      <c r="C602" s="33" t="s">
        <v>190</v>
      </c>
      <c r="D602" s="33">
        <v>1</v>
      </c>
      <c r="E602" s="33">
        <v>2</v>
      </c>
      <c r="F602" s="33">
        <v>3</v>
      </c>
      <c r="G602" s="33">
        <v>4</v>
      </c>
      <c r="H602" s="33">
        <v>5</v>
      </c>
    </row>
    <row r="603" spans="1:8" ht="23.25" hidden="1" customHeight="1">
      <c r="A603" s="33" t="s">
        <v>178</v>
      </c>
      <c r="B603" s="33">
        <v>30</v>
      </c>
      <c r="C603" s="33">
        <v>1</v>
      </c>
      <c r="D603" s="33">
        <v>2</v>
      </c>
      <c r="E603" s="33">
        <v>3</v>
      </c>
      <c r="F603" s="33">
        <v>4</v>
      </c>
      <c r="G603" s="33">
        <v>5</v>
      </c>
      <c r="H603" s="33">
        <v>6</v>
      </c>
    </row>
    <row r="604" spans="1:8" ht="23.25" hidden="1" customHeight="1">
      <c r="A604" s="33" t="s">
        <v>178</v>
      </c>
      <c r="B604" s="33">
        <v>40</v>
      </c>
      <c r="C604" s="33">
        <v>2</v>
      </c>
      <c r="D604" s="33">
        <v>3</v>
      </c>
      <c r="E604" s="33">
        <v>4</v>
      </c>
      <c r="F604" s="33">
        <v>5</v>
      </c>
      <c r="G604" s="33">
        <v>6</v>
      </c>
      <c r="H604" s="33">
        <v>7</v>
      </c>
    </row>
    <row r="605" spans="1:8" ht="23.25" hidden="1" customHeight="1">
      <c r="A605" s="33" t="s">
        <v>178</v>
      </c>
      <c r="B605" s="33">
        <v>50</v>
      </c>
      <c r="C605" s="33">
        <v>3</v>
      </c>
      <c r="D605" s="33">
        <v>4</v>
      </c>
      <c r="E605" s="33">
        <v>5</v>
      </c>
      <c r="F605" s="33">
        <v>6</v>
      </c>
      <c r="G605" s="33">
        <v>7</v>
      </c>
      <c r="H605" s="33">
        <v>8</v>
      </c>
    </row>
    <row r="606" spans="1:8" ht="23.25" hidden="1" customHeight="1">
      <c r="A606" s="33" t="s">
        <v>179</v>
      </c>
      <c r="B606" s="33">
        <v>60</v>
      </c>
      <c r="C606" s="33">
        <v>4</v>
      </c>
      <c r="D606" s="33">
        <v>5</v>
      </c>
      <c r="E606" s="33">
        <v>6</v>
      </c>
      <c r="F606" s="33">
        <v>7</v>
      </c>
      <c r="G606" s="33">
        <v>8</v>
      </c>
      <c r="H606" s="33">
        <v>9</v>
      </c>
    </row>
    <row r="607" spans="1:8" ht="23.25" hidden="1" customHeight="1">
      <c r="A607" s="33" t="s">
        <v>179</v>
      </c>
      <c r="B607" s="33">
        <v>64</v>
      </c>
      <c r="C607" s="33">
        <v>5</v>
      </c>
      <c r="D607" s="33">
        <v>6</v>
      </c>
      <c r="E607" s="33">
        <v>7</v>
      </c>
      <c r="F607" s="33">
        <v>8</v>
      </c>
      <c r="G607" s="33">
        <v>9</v>
      </c>
      <c r="H607" s="33">
        <v>10</v>
      </c>
    </row>
    <row r="608" spans="1:8" ht="23.25" hidden="1" customHeight="1">
      <c r="A608" s="33" t="s">
        <v>179</v>
      </c>
      <c r="B608" s="33">
        <v>68</v>
      </c>
      <c r="C608" s="33">
        <v>6</v>
      </c>
      <c r="D608" s="33">
        <v>7</v>
      </c>
      <c r="E608" s="33">
        <v>8</v>
      </c>
      <c r="F608" s="33">
        <v>9</v>
      </c>
      <c r="G608" s="33">
        <v>10</v>
      </c>
      <c r="H608" s="33">
        <v>11</v>
      </c>
    </row>
    <row r="609" spans="1:8" ht="23.25" hidden="1" customHeight="1">
      <c r="A609" s="33" t="s">
        <v>179</v>
      </c>
      <c r="B609" s="33">
        <v>72</v>
      </c>
      <c r="C609" s="33">
        <v>7</v>
      </c>
      <c r="D609" s="33">
        <v>8</v>
      </c>
      <c r="E609" s="33">
        <v>9</v>
      </c>
      <c r="F609" s="33">
        <v>10</v>
      </c>
      <c r="G609" s="33">
        <v>11</v>
      </c>
      <c r="H609" s="33">
        <v>12</v>
      </c>
    </row>
    <row r="610" spans="1:8" ht="23.25" hidden="1" customHeight="1">
      <c r="A610" s="33" t="s">
        <v>179</v>
      </c>
      <c r="B610" s="33">
        <v>76</v>
      </c>
      <c r="C610" s="33">
        <v>8</v>
      </c>
      <c r="D610" s="33">
        <v>9</v>
      </c>
      <c r="E610" s="33">
        <v>10</v>
      </c>
      <c r="F610" s="33">
        <v>11</v>
      </c>
      <c r="G610" s="33">
        <v>12</v>
      </c>
      <c r="H610" s="33">
        <v>13</v>
      </c>
    </row>
    <row r="611" spans="1:8" ht="23.25" hidden="1" customHeight="1">
      <c r="A611" s="33" t="s">
        <v>180</v>
      </c>
      <c r="B611" s="33">
        <v>80</v>
      </c>
      <c r="C611" s="33">
        <v>9</v>
      </c>
      <c r="D611" s="33">
        <v>10</v>
      </c>
      <c r="E611" s="33">
        <v>11</v>
      </c>
      <c r="F611" s="33">
        <v>12</v>
      </c>
      <c r="G611" s="33">
        <v>13</v>
      </c>
      <c r="H611" s="33">
        <v>14</v>
      </c>
    </row>
    <row r="612" spans="1:8" ht="23.25" hidden="1" customHeight="1">
      <c r="A612" s="33" t="s">
        <v>180</v>
      </c>
      <c r="B612" s="33">
        <v>85</v>
      </c>
      <c r="C612" s="33">
        <v>10</v>
      </c>
      <c r="D612" s="33">
        <v>11</v>
      </c>
      <c r="E612" s="33">
        <v>12</v>
      </c>
      <c r="F612" s="33">
        <v>13</v>
      </c>
      <c r="G612" s="33">
        <v>14</v>
      </c>
      <c r="H612" s="33">
        <v>15</v>
      </c>
    </row>
    <row r="613" spans="1:8" ht="23.25" hidden="1" customHeight="1">
      <c r="A613" s="33" t="s">
        <v>181</v>
      </c>
      <c r="B613" s="33">
        <v>90</v>
      </c>
      <c r="C613" s="33">
        <v>11</v>
      </c>
      <c r="D613" s="33">
        <v>12</v>
      </c>
      <c r="E613" s="33">
        <v>13</v>
      </c>
      <c r="F613" s="33">
        <v>14</v>
      </c>
      <c r="G613" s="33">
        <v>15</v>
      </c>
      <c r="H613" s="33">
        <v>16</v>
      </c>
    </row>
    <row r="614" spans="1:8" ht="23.25" hidden="1" customHeight="1">
      <c r="A614" s="33" t="s">
        <v>181</v>
      </c>
      <c r="B614" s="33">
        <v>95</v>
      </c>
      <c r="C614" s="33">
        <v>12</v>
      </c>
      <c r="D614" s="33">
        <v>13</v>
      </c>
      <c r="E614" s="33">
        <v>14</v>
      </c>
      <c r="F614" s="33">
        <v>15</v>
      </c>
      <c r="G614" s="33">
        <v>16</v>
      </c>
      <c r="H614" s="33">
        <v>17</v>
      </c>
    </row>
    <row r="615" spans="1:8" ht="23.25" hidden="1" customHeight="1">
      <c r="A615" s="33" t="s">
        <v>181</v>
      </c>
      <c r="B615" s="33">
        <v>100</v>
      </c>
      <c r="C615" s="33">
        <v>13</v>
      </c>
      <c r="D615" s="33">
        <v>14</v>
      </c>
      <c r="E615" s="33">
        <v>15</v>
      </c>
      <c r="F615" s="33">
        <v>16</v>
      </c>
      <c r="G615" s="33">
        <v>17</v>
      </c>
      <c r="H615" s="33">
        <v>18</v>
      </c>
    </row>
    <row r="616" spans="1:8" ht="23.25" hidden="1" customHeight="1">
      <c r="A616" s="33" t="s">
        <v>181</v>
      </c>
      <c r="B616" s="33">
        <v>110</v>
      </c>
      <c r="C616" s="33">
        <v>14</v>
      </c>
      <c r="D616" s="33">
        <v>15</v>
      </c>
      <c r="E616" s="33">
        <v>16</v>
      </c>
      <c r="F616" s="33">
        <v>17</v>
      </c>
      <c r="G616" s="33">
        <v>18</v>
      </c>
      <c r="H616" s="33">
        <v>19</v>
      </c>
    </row>
    <row r="617" spans="1:8" ht="23.25" hidden="1" customHeight="1">
      <c r="A617" s="33" t="s">
        <v>181</v>
      </c>
      <c r="B617" s="33">
        <v>120</v>
      </c>
      <c r="C617" s="33">
        <v>15</v>
      </c>
      <c r="D617" s="33">
        <v>16</v>
      </c>
      <c r="E617" s="33">
        <v>17</v>
      </c>
      <c r="F617" s="33">
        <v>18</v>
      </c>
      <c r="G617" s="33">
        <v>19</v>
      </c>
      <c r="H617" s="33">
        <v>20</v>
      </c>
    </row>
    <row r="618" spans="1:8" ht="23.25" hidden="1" customHeight="1">
      <c r="A618" s="33" t="s">
        <v>181</v>
      </c>
      <c r="B618" s="33">
        <v>130</v>
      </c>
      <c r="C618" s="33">
        <v>16</v>
      </c>
      <c r="D618" s="33">
        <v>17</v>
      </c>
      <c r="E618" s="33">
        <v>18</v>
      </c>
      <c r="F618" s="33">
        <v>19</v>
      </c>
      <c r="G618" s="33">
        <v>20</v>
      </c>
      <c r="H618" s="33">
        <v>21</v>
      </c>
    </row>
    <row r="619" spans="1:8" ht="23.25" hidden="1" customHeight="1">
      <c r="A619" s="33" t="s">
        <v>181</v>
      </c>
      <c r="B619" s="33">
        <v>140</v>
      </c>
      <c r="C619" s="33">
        <v>17</v>
      </c>
      <c r="D619" s="33">
        <v>18</v>
      </c>
      <c r="E619" s="33">
        <v>19</v>
      </c>
      <c r="F619" s="33">
        <v>20</v>
      </c>
      <c r="G619" s="33">
        <v>21</v>
      </c>
      <c r="H619" s="33">
        <v>22</v>
      </c>
    </row>
    <row r="620" spans="1:8" ht="23.25" hidden="1" customHeight="1">
      <c r="A620" s="33" t="s">
        <v>181</v>
      </c>
      <c r="B620" s="33">
        <v>150</v>
      </c>
      <c r="C620" s="33">
        <v>18</v>
      </c>
      <c r="D620" s="33">
        <v>19</v>
      </c>
      <c r="E620" s="33">
        <v>20</v>
      </c>
      <c r="F620" s="33">
        <v>21</v>
      </c>
      <c r="G620" s="33">
        <v>22</v>
      </c>
      <c r="H620" s="33">
        <v>23</v>
      </c>
    </row>
    <row r="621" spans="1:8" ht="23.25" hidden="1" customHeight="1">
      <c r="A621" s="33" t="s">
        <v>181</v>
      </c>
      <c r="B621" s="33">
        <v>160</v>
      </c>
      <c r="C621" s="33">
        <v>19</v>
      </c>
      <c r="D621" s="33">
        <v>20</v>
      </c>
      <c r="E621" s="33">
        <v>21</v>
      </c>
      <c r="F621" s="33">
        <v>22</v>
      </c>
      <c r="G621" s="33">
        <v>23</v>
      </c>
      <c r="H621" s="33">
        <v>24</v>
      </c>
    </row>
    <row r="622" spans="1:8" ht="23.25" hidden="1" customHeight="1">
      <c r="A622" s="33" t="s">
        <v>181</v>
      </c>
      <c r="B622" s="33">
        <v>170</v>
      </c>
      <c r="C622" s="33">
        <v>20</v>
      </c>
      <c r="D622" s="33">
        <v>21</v>
      </c>
      <c r="E622" s="33">
        <v>22</v>
      </c>
      <c r="F622" s="33">
        <v>23</v>
      </c>
      <c r="G622" s="33">
        <v>24</v>
      </c>
      <c r="H622" s="33">
        <v>25</v>
      </c>
    </row>
    <row r="623" spans="1:8" ht="23.25" hidden="1" customHeight="1">
      <c r="A623" s="33" t="s">
        <v>181</v>
      </c>
      <c r="B623" s="33">
        <v>180</v>
      </c>
      <c r="C623" s="33">
        <v>21</v>
      </c>
      <c r="D623" s="33">
        <v>22</v>
      </c>
      <c r="E623" s="33">
        <v>23</v>
      </c>
      <c r="F623" s="33">
        <v>24</v>
      </c>
      <c r="G623" s="33">
        <v>25</v>
      </c>
      <c r="H623" s="33">
        <v>26</v>
      </c>
    </row>
    <row r="624" spans="1:8" ht="23.25" hidden="1" customHeight="1">
      <c r="A624" s="33" t="s">
        <v>181</v>
      </c>
      <c r="B624" s="33">
        <v>190</v>
      </c>
      <c r="C624" s="33">
        <v>22</v>
      </c>
      <c r="D624" s="33">
        <v>23</v>
      </c>
      <c r="E624" s="33">
        <v>24</v>
      </c>
      <c r="F624" s="33">
        <v>25</v>
      </c>
      <c r="G624" s="33">
        <v>26</v>
      </c>
      <c r="H624" s="33">
        <v>27</v>
      </c>
    </row>
    <row r="625" spans="1:14" ht="23.25" hidden="1" customHeight="1">
      <c r="A625" s="33" t="s">
        <v>181</v>
      </c>
      <c r="B625" s="33">
        <v>200</v>
      </c>
      <c r="C625" s="33">
        <v>23</v>
      </c>
      <c r="D625" s="33">
        <v>24</v>
      </c>
      <c r="E625" s="33">
        <v>25</v>
      </c>
      <c r="F625" s="33">
        <v>26</v>
      </c>
      <c r="G625" s="33">
        <v>27</v>
      </c>
      <c r="H625" s="33">
        <v>28</v>
      </c>
    </row>
    <row r="626" spans="1:14" ht="23.25" hidden="1" customHeight="1">
      <c r="A626" s="33" t="s">
        <v>181</v>
      </c>
      <c r="B626" s="33">
        <v>200</v>
      </c>
      <c r="C626" s="33">
        <v>99</v>
      </c>
      <c r="D626" s="33">
        <v>99</v>
      </c>
      <c r="E626" s="33">
        <v>99</v>
      </c>
      <c r="F626" s="33">
        <v>99</v>
      </c>
      <c r="G626" s="33">
        <v>99</v>
      </c>
      <c r="H626" s="33">
        <v>99</v>
      </c>
    </row>
    <row r="627" spans="1:14" ht="23.25" hidden="1" customHeight="1">
      <c r="A627" s="36" t="s">
        <v>255</v>
      </c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</row>
    <row r="628" spans="1:14" ht="23.25" hidden="1" customHeight="1">
      <c r="A628" s="36" t="s">
        <v>163</v>
      </c>
      <c r="B628" s="33" t="s">
        <v>164</v>
      </c>
      <c r="C628" s="36" t="s">
        <v>167</v>
      </c>
      <c r="D628" s="36" t="s">
        <v>168</v>
      </c>
      <c r="E628" s="36" t="s">
        <v>169</v>
      </c>
      <c r="F628" s="36" t="s">
        <v>170</v>
      </c>
      <c r="G628" s="36" t="s">
        <v>171</v>
      </c>
      <c r="H628" s="36" t="s">
        <v>172</v>
      </c>
      <c r="I628" s="36" t="s">
        <v>173</v>
      </c>
      <c r="J628" s="36" t="s">
        <v>174</v>
      </c>
      <c r="K628" s="36" t="s">
        <v>175</v>
      </c>
      <c r="L628" s="36" t="s">
        <v>176</v>
      </c>
      <c r="M628" s="32" t="s">
        <v>240</v>
      </c>
      <c r="N628" s="32" t="s">
        <v>241</v>
      </c>
    </row>
    <row r="629" spans="1:14" ht="23.25" hidden="1" customHeight="1">
      <c r="A629" s="36"/>
      <c r="B629" s="33" t="s">
        <v>177</v>
      </c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2" t="s">
        <v>242</v>
      </c>
      <c r="N629" s="32" t="s">
        <v>243</v>
      </c>
    </row>
    <row r="630" spans="1:14" ht="23.25" hidden="1" customHeight="1">
      <c r="A630" s="33" t="s">
        <v>178</v>
      </c>
      <c r="B630" s="33">
        <v>0</v>
      </c>
      <c r="C630" s="33">
        <v>0</v>
      </c>
      <c r="D630" s="33">
        <v>0</v>
      </c>
      <c r="E630" s="33">
        <v>0</v>
      </c>
      <c r="F630" s="33">
        <v>0</v>
      </c>
      <c r="G630" s="33">
        <v>0</v>
      </c>
      <c r="H630" s="33">
        <v>0</v>
      </c>
      <c r="I630" s="33">
        <v>0</v>
      </c>
      <c r="J630" s="33">
        <v>0</v>
      </c>
      <c r="K630" s="33">
        <v>0</v>
      </c>
      <c r="L630" s="33">
        <v>0</v>
      </c>
    </row>
    <row r="631" spans="1:14" ht="23.25" hidden="1" customHeight="1">
      <c r="A631" s="33" t="s">
        <v>178</v>
      </c>
      <c r="B631" s="33">
        <v>0</v>
      </c>
      <c r="C631" s="33">
        <v>5</v>
      </c>
      <c r="D631" s="33">
        <v>6</v>
      </c>
      <c r="E631" s="33">
        <v>7</v>
      </c>
      <c r="F631" s="33">
        <v>8</v>
      </c>
      <c r="G631" s="33">
        <v>9</v>
      </c>
      <c r="H631" s="33">
        <v>10</v>
      </c>
      <c r="I631" s="33">
        <v>11</v>
      </c>
      <c r="J631" s="33">
        <v>12</v>
      </c>
      <c r="K631" s="33">
        <v>13</v>
      </c>
      <c r="L631" s="33">
        <v>14</v>
      </c>
    </row>
    <row r="632" spans="1:14" ht="23.25" hidden="1" customHeight="1">
      <c r="A632" s="33" t="s">
        <v>178</v>
      </c>
      <c r="B632" s="33">
        <v>10</v>
      </c>
      <c r="C632" s="33">
        <v>6</v>
      </c>
      <c r="D632" s="33">
        <v>7</v>
      </c>
      <c r="E632" s="33">
        <v>8</v>
      </c>
      <c r="F632" s="33">
        <v>9</v>
      </c>
      <c r="G632" s="33">
        <v>10</v>
      </c>
      <c r="H632" s="33">
        <v>11</v>
      </c>
      <c r="I632" s="33">
        <v>12</v>
      </c>
      <c r="J632" s="33">
        <v>13</v>
      </c>
      <c r="K632" s="33">
        <v>14</v>
      </c>
      <c r="L632" s="33">
        <v>15</v>
      </c>
    </row>
    <row r="633" spans="1:14" ht="23.25" hidden="1" customHeight="1">
      <c r="A633" s="33" t="s">
        <v>178</v>
      </c>
      <c r="B633" s="33">
        <v>10</v>
      </c>
      <c r="C633" s="33">
        <v>7</v>
      </c>
      <c r="D633" s="33">
        <v>8</v>
      </c>
      <c r="E633" s="33">
        <v>9</v>
      </c>
      <c r="F633" s="33">
        <v>10</v>
      </c>
      <c r="G633" s="33">
        <v>11</v>
      </c>
      <c r="H633" s="33">
        <v>12</v>
      </c>
      <c r="I633" s="33">
        <v>13</v>
      </c>
      <c r="J633" s="33">
        <v>14</v>
      </c>
      <c r="K633" s="33">
        <v>15</v>
      </c>
      <c r="L633" s="33">
        <v>16</v>
      </c>
    </row>
    <row r="634" spans="1:14" ht="23.25" hidden="1" customHeight="1">
      <c r="A634" s="33" t="s">
        <v>178</v>
      </c>
      <c r="B634" s="33">
        <v>20</v>
      </c>
      <c r="C634" s="33">
        <v>8</v>
      </c>
      <c r="D634" s="33">
        <v>9</v>
      </c>
      <c r="E634" s="33">
        <v>10</v>
      </c>
      <c r="F634" s="33">
        <v>11</v>
      </c>
      <c r="G634" s="33">
        <v>12</v>
      </c>
      <c r="H634" s="33">
        <v>13</v>
      </c>
      <c r="I634" s="33">
        <v>14</v>
      </c>
      <c r="J634" s="33">
        <v>15</v>
      </c>
      <c r="K634" s="33">
        <v>16</v>
      </c>
      <c r="L634" s="33">
        <v>17</v>
      </c>
    </row>
    <row r="635" spans="1:14" ht="23.25" hidden="1" customHeight="1">
      <c r="A635" s="33" t="s">
        <v>178</v>
      </c>
      <c r="B635" s="33">
        <v>20</v>
      </c>
      <c r="C635" s="33">
        <v>9</v>
      </c>
      <c r="D635" s="33">
        <v>10</v>
      </c>
      <c r="E635" s="33">
        <v>11</v>
      </c>
      <c r="F635" s="33">
        <v>12</v>
      </c>
      <c r="G635" s="33">
        <v>13</v>
      </c>
      <c r="H635" s="33">
        <v>14</v>
      </c>
      <c r="I635" s="33">
        <v>15</v>
      </c>
      <c r="J635" s="33">
        <v>16</v>
      </c>
      <c r="K635" s="33">
        <v>17</v>
      </c>
      <c r="L635" s="33">
        <v>18</v>
      </c>
    </row>
    <row r="636" spans="1:14" ht="23.25" hidden="1" customHeight="1">
      <c r="A636" s="33" t="s">
        <v>178</v>
      </c>
      <c r="B636" s="33">
        <v>30</v>
      </c>
      <c r="C636" s="33">
        <v>10</v>
      </c>
      <c r="D636" s="33">
        <v>11</v>
      </c>
      <c r="E636" s="33">
        <v>12</v>
      </c>
      <c r="F636" s="33">
        <v>13</v>
      </c>
      <c r="G636" s="33">
        <v>14</v>
      </c>
      <c r="H636" s="33">
        <v>15</v>
      </c>
      <c r="I636" s="33">
        <v>16</v>
      </c>
      <c r="J636" s="33">
        <v>17</v>
      </c>
      <c r="K636" s="33">
        <v>18</v>
      </c>
      <c r="L636" s="33">
        <v>19</v>
      </c>
    </row>
    <row r="637" spans="1:14" ht="23.25" hidden="1" customHeight="1">
      <c r="A637" s="33" t="s">
        <v>178</v>
      </c>
      <c r="B637" s="33">
        <v>30</v>
      </c>
      <c r="C637" s="33">
        <v>11</v>
      </c>
      <c r="D637" s="33">
        <v>12</v>
      </c>
      <c r="E637" s="33">
        <v>13</v>
      </c>
      <c r="F637" s="33">
        <v>14</v>
      </c>
      <c r="G637" s="33">
        <v>15</v>
      </c>
      <c r="H637" s="33">
        <v>16</v>
      </c>
      <c r="I637" s="33">
        <v>17</v>
      </c>
      <c r="J637" s="33">
        <v>18</v>
      </c>
      <c r="K637" s="33">
        <v>19</v>
      </c>
      <c r="L637" s="33">
        <v>20</v>
      </c>
    </row>
    <row r="638" spans="1:14" ht="23.25" hidden="1" customHeight="1">
      <c r="A638" s="33" t="s">
        <v>178</v>
      </c>
      <c r="B638" s="33">
        <v>40</v>
      </c>
      <c r="C638" s="33">
        <v>12</v>
      </c>
      <c r="D638" s="33">
        <v>13</v>
      </c>
      <c r="E638" s="33">
        <v>14</v>
      </c>
      <c r="F638" s="33">
        <v>15</v>
      </c>
      <c r="G638" s="33">
        <v>16</v>
      </c>
      <c r="H638" s="33">
        <v>17</v>
      </c>
      <c r="I638" s="33">
        <v>18</v>
      </c>
      <c r="J638" s="33">
        <v>19</v>
      </c>
      <c r="K638" s="33">
        <v>20</v>
      </c>
      <c r="L638" s="33">
        <v>21</v>
      </c>
    </row>
    <row r="639" spans="1:14" ht="23.25" hidden="1" customHeight="1">
      <c r="A639" s="33" t="s">
        <v>178</v>
      </c>
      <c r="B639" s="33">
        <v>40</v>
      </c>
      <c r="C639" s="33">
        <v>13</v>
      </c>
      <c r="D639" s="33">
        <v>14</v>
      </c>
      <c r="E639" s="33">
        <v>15</v>
      </c>
      <c r="F639" s="33">
        <v>16</v>
      </c>
      <c r="G639" s="33">
        <v>17</v>
      </c>
      <c r="H639" s="33">
        <v>18</v>
      </c>
      <c r="I639" s="33">
        <v>19</v>
      </c>
      <c r="J639" s="33">
        <v>20</v>
      </c>
      <c r="K639" s="33">
        <v>21</v>
      </c>
      <c r="L639" s="33">
        <v>22</v>
      </c>
    </row>
    <row r="640" spans="1:14" ht="23.25" hidden="1" customHeight="1">
      <c r="A640" s="33" t="s">
        <v>178</v>
      </c>
      <c r="B640" s="33">
        <v>50</v>
      </c>
      <c r="C640" s="33">
        <v>14</v>
      </c>
      <c r="D640" s="33">
        <v>15</v>
      </c>
      <c r="E640" s="33">
        <v>16</v>
      </c>
      <c r="F640" s="33">
        <v>17</v>
      </c>
      <c r="G640" s="33">
        <v>18</v>
      </c>
      <c r="H640" s="33">
        <v>19</v>
      </c>
      <c r="I640" s="33">
        <v>20</v>
      </c>
      <c r="J640" s="33">
        <v>21</v>
      </c>
      <c r="K640" s="33">
        <v>22</v>
      </c>
      <c r="L640" s="33">
        <v>23</v>
      </c>
    </row>
    <row r="641" spans="1:14" ht="23.25" hidden="1" customHeight="1">
      <c r="A641" s="33" t="s">
        <v>178</v>
      </c>
      <c r="B641" s="33">
        <v>50</v>
      </c>
      <c r="C641" s="33">
        <v>15</v>
      </c>
      <c r="D641" s="33">
        <v>16</v>
      </c>
      <c r="E641" s="33">
        <v>17</v>
      </c>
      <c r="F641" s="33">
        <v>18</v>
      </c>
      <c r="G641" s="33">
        <v>19</v>
      </c>
      <c r="H641" s="33">
        <v>20</v>
      </c>
      <c r="I641" s="33">
        <v>21</v>
      </c>
      <c r="J641" s="33">
        <v>22</v>
      </c>
      <c r="K641" s="33">
        <v>23</v>
      </c>
      <c r="L641" s="33">
        <v>24</v>
      </c>
    </row>
    <row r="642" spans="1:14" ht="23.25" hidden="1" customHeight="1">
      <c r="A642" s="33" t="s">
        <v>179</v>
      </c>
      <c r="B642" s="33">
        <v>60</v>
      </c>
      <c r="C642" s="33">
        <v>16</v>
      </c>
      <c r="D642" s="33">
        <v>17</v>
      </c>
      <c r="E642" s="33">
        <v>18</v>
      </c>
      <c r="F642" s="33">
        <v>19</v>
      </c>
      <c r="G642" s="33">
        <v>20</v>
      </c>
      <c r="H642" s="33">
        <v>21</v>
      </c>
      <c r="I642" s="33">
        <v>22</v>
      </c>
      <c r="J642" s="33">
        <v>23</v>
      </c>
      <c r="K642" s="33">
        <v>24</v>
      </c>
      <c r="L642" s="33">
        <v>25</v>
      </c>
      <c r="M642" s="32">
        <v>56</v>
      </c>
      <c r="N642" s="32">
        <v>57</v>
      </c>
    </row>
    <row r="643" spans="1:14" ht="23.25" hidden="1" customHeight="1">
      <c r="A643" s="33" t="s">
        <v>179</v>
      </c>
      <c r="B643" s="33">
        <v>60</v>
      </c>
      <c r="C643" s="33">
        <v>17</v>
      </c>
      <c r="D643" s="33">
        <v>18</v>
      </c>
      <c r="E643" s="33">
        <v>19</v>
      </c>
      <c r="F643" s="33">
        <v>20</v>
      </c>
      <c r="G643" s="33">
        <v>21</v>
      </c>
      <c r="H643" s="33">
        <v>22</v>
      </c>
      <c r="I643" s="33">
        <v>23</v>
      </c>
      <c r="J643" s="33">
        <v>24</v>
      </c>
      <c r="K643" s="33">
        <v>25</v>
      </c>
      <c r="L643" s="33">
        <v>26</v>
      </c>
    </row>
    <row r="644" spans="1:14" ht="23.25" hidden="1" customHeight="1">
      <c r="A644" s="33" t="s">
        <v>179</v>
      </c>
      <c r="B644" s="33">
        <v>62</v>
      </c>
      <c r="C644" s="33">
        <v>18</v>
      </c>
      <c r="D644" s="33">
        <v>19</v>
      </c>
      <c r="E644" s="33">
        <v>20</v>
      </c>
      <c r="F644" s="33">
        <v>21</v>
      </c>
      <c r="G644" s="33">
        <v>22</v>
      </c>
      <c r="H644" s="33">
        <v>23</v>
      </c>
      <c r="I644" s="33">
        <v>24</v>
      </c>
      <c r="J644" s="33">
        <v>25</v>
      </c>
      <c r="K644" s="33">
        <v>26</v>
      </c>
      <c r="L644" s="33">
        <v>27</v>
      </c>
      <c r="M644" s="32">
        <v>54</v>
      </c>
      <c r="N644" s="32">
        <v>55</v>
      </c>
    </row>
    <row r="645" spans="1:14" ht="23.25" hidden="1" customHeight="1">
      <c r="A645" s="33" t="s">
        <v>179</v>
      </c>
      <c r="B645" s="33">
        <v>62</v>
      </c>
      <c r="C645" s="33">
        <v>19</v>
      </c>
      <c r="D645" s="33">
        <v>20</v>
      </c>
      <c r="E645" s="33">
        <v>21</v>
      </c>
      <c r="F645" s="33">
        <v>22</v>
      </c>
      <c r="G645" s="33">
        <v>23</v>
      </c>
      <c r="H645" s="33">
        <v>24</v>
      </c>
      <c r="I645" s="33">
        <v>25</v>
      </c>
      <c r="J645" s="33">
        <v>26</v>
      </c>
      <c r="K645" s="33">
        <v>27</v>
      </c>
      <c r="L645" s="33">
        <v>28</v>
      </c>
    </row>
    <row r="646" spans="1:14" ht="23.25" hidden="1" customHeight="1">
      <c r="A646" s="33" t="s">
        <v>179</v>
      </c>
      <c r="B646" s="33">
        <v>64</v>
      </c>
      <c r="C646" s="33">
        <v>20</v>
      </c>
      <c r="D646" s="33">
        <v>21</v>
      </c>
      <c r="E646" s="33">
        <v>22</v>
      </c>
      <c r="F646" s="33">
        <v>23</v>
      </c>
      <c r="G646" s="33">
        <v>24</v>
      </c>
      <c r="H646" s="33">
        <v>25</v>
      </c>
      <c r="I646" s="33">
        <v>26</v>
      </c>
      <c r="J646" s="33">
        <v>27</v>
      </c>
      <c r="K646" s="33">
        <v>28</v>
      </c>
      <c r="L646" s="33">
        <v>29</v>
      </c>
      <c r="M646" s="32">
        <v>52</v>
      </c>
      <c r="N646" s="32">
        <v>53</v>
      </c>
    </row>
    <row r="647" spans="1:14" ht="23.25" hidden="1" customHeight="1">
      <c r="A647" s="33" t="s">
        <v>179</v>
      </c>
      <c r="B647" s="33">
        <v>64</v>
      </c>
      <c r="C647" s="33">
        <v>21</v>
      </c>
      <c r="D647" s="33">
        <v>22</v>
      </c>
      <c r="E647" s="33">
        <v>23</v>
      </c>
      <c r="F647" s="33">
        <v>24</v>
      </c>
      <c r="G647" s="33">
        <v>25</v>
      </c>
      <c r="H647" s="33">
        <v>26</v>
      </c>
      <c r="I647" s="33">
        <v>27</v>
      </c>
      <c r="J647" s="33">
        <v>28</v>
      </c>
      <c r="K647" s="33">
        <v>29</v>
      </c>
      <c r="L647" s="33">
        <v>30</v>
      </c>
    </row>
    <row r="648" spans="1:14" ht="23.25" hidden="1" customHeight="1">
      <c r="A648" s="33" t="s">
        <v>179</v>
      </c>
      <c r="B648" s="33">
        <v>66</v>
      </c>
      <c r="C648" s="33">
        <v>22</v>
      </c>
      <c r="D648" s="33">
        <v>23</v>
      </c>
      <c r="E648" s="33">
        <v>24</v>
      </c>
      <c r="F648" s="33">
        <v>25</v>
      </c>
      <c r="G648" s="33">
        <v>26</v>
      </c>
      <c r="H648" s="33">
        <v>27</v>
      </c>
      <c r="I648" s="33">
        <v>28</v>
      </c>
      <c r="J648" s="33">
        <v>29</v>
      </c>
      <c r="K648" s="33">
        <v>30</v>
      </c>
      <c r="L648" s="33">
        <v>31</v>
      </c>
      <c r="M648" s="32">
        <v>49</v>
      </c>
      <c r="N648" s="32">
        <v>50</v>
      </c>
    </row>
    <row r="649" spans="1:14" ht="23.25" hidden="1" customHeight="1">
      <c r="A649" s="33" t="s">
        <v>179</v>
      </c>
      <c r="B649" s="33">
        <v>66</v>
      </c>
      <c r="C649" s="33">
        <v>23</v>
      </c>
      <c r="D649" s="33">
        <v>24</v>
      </c>
      <c r="E649" s="33">
        <v>25</v>
      </c>
      <c r="F649" s="33">
        <v>26</v>
      </c>
      <c r="G649" s="33">
        <v>27</v>
      </c>
      <c r="H649" s="33">
        <v>28</v>
      </c>
      <c r="I649" s="33">
        <v>29</v>
      </c>
      <c r="J649" s="33">
        <v>30</v>
      </c>
      <c r="K649" s="33">
        <v>31</v>
      </c>
      <c r="L649" s="33">
        <v>32</v>
      </c>
    </row>
    <row r="650" spans="1:14" ht="23.25" hidden="1" customHeight="1">
      <c r="A650" s="33" t="s">
        <v>179</v>
      </c>
      <c r="B650" s="33">
        <v>68</v>
      </c>
      <c r="C650" s="33">
        <v>24</v>
      </c>
      <c r="D650" s="33">
        <v>25</v>
      </c>
      <c r="E650" s="33">
        <v>26</v>
      </c>
      <c r="F650" s="33">
        <v>27</v>
      </c>
      <c r="G650" s="33">
        <v>28</v>
      </c>
      <c r="H650" s="33">
        <v>29</v>
      </c>
      <c r="I650" s="33">
        <v>30</v>
      </c>
      <c r="J650" s="33">
        <v>31</v>
      </c>
      <c r="K650" s="33">
        <v>32</v>
      </c>
      <c r="L650" s="33">
        <v>33</v>
      </c>
      <c r="M650" s="32">
        <v>46</v>
      </c>
      <c r="N650" s="32">
        <v>47</v>
      </c>
    </row>
    <row r="651" spans="1:14" ht="23.25" hidden="1" customHeight="1">
      <c r="A651" s="33" t="s">
        <v>179</v>
      </c>
      <c r="B651" s="33">
        <v>68</v>
      </c>
      <c r="C651" s="33">
        <v>25</v>
      </c>
      <c r="D651" s="33">
        <v>26</v>
      </c>
      <c r="E651" s="33">
        <v>27</v>
      </c>
      <c r="F651" s="33">
        <v>28</v>
      </c>
      <c r="G651" s="33">
        <v>29</v>
      </c>
      <c r="H651" s="33">
        <v>30</v>
      </c>
      <c r="I651" s="33">
        <v>31</v>
      </c>
      <c r="J651" s="33">
        <v>32</v>
      </c>
      <c r="K651" s="33">
        <v>33</v>
      </c>
      <c r="L651" s="33">
        <v>34</v>
      </c>
    </row>
    <row r="652" spans="1:14" ht="23.25" hidden="1" customHeight="1">
      <c r="A652" s="33" t="s">
        <v>179</v>
      </c>
      <c r="B652" s="33">
        <v>70</v>
      </c>
      <c r="C652" s="33">
        <v>26</v>
      </c>
      <c r="D652" s="33">
        <v>27</v>
      </c>
      <c r="E652" s="33">
        <v>28</v>
      </c>
      <c r="F652" s="33">
        <v>29</v>
      </c>
      <c r="G652" s="33">
        <v>30</v>
      </c>
      <c r="H652" s="33">
        <v>31</v>
      </c>
      <c r="I652" s="33">
        <v>32</v>
      </c>
      <c r="J652" s="33">
        <v>33</v>
      </c>
      <c r="K652" s="33">
        <v>34</v>
      </c>
      <c r="L652" s="33">
        <v>35</v>
      </c>
      <c r="M652" s="32">
        <v>44</v>
      </c>
      <c r="N652" s="32">
        <v>45</v>
      </c>
    </row>
    <row r="653" spans="1:14" ht="23.25" hidden="1" customHeight="1">
      <c r="A653" s="33" t="s">
        <v>179</v>
      </c>
      <c r="B653" s="33">
        <v>70</v>
      </c>
      <c r="C653" s="33">
        <v>27</v>
      </c>
      <c r="D653" s="33">
        <v>28</v>
      </c>
      <c r="E653" s="33">
        <v>29</v>
      </c>
      <c r="F653" s="33">
        <v>30</v>
      </c>
      <c r="G653" s="33">
        <v>31</v>
      </c>
      <c r="H653" s="33">
        <v>32</v>
      </c>
      <c r="I653" s="33">
        <v>33</v>
      </c>
      <c r="J653" s="33">
        <v>34</v>
      </c>
      <c r="K653" s="33">
        <v>35</v>
      </c>
      <c r="L653" s="33">
        <v>36</v>
      </c>
    </row>
    <row r="654" spans="1:14" ht="23.25" hidden="1" customHeight="1">
      <c r="A654" s="33" t="s">
        <v>179</v>
      </c>
      <c r="B654" s="33">
        <v>72</v>
      </c>
      <c r="C654" s="33">
        <v>28</v>
      </c>
      <c r="D654" s="33">
        <v>29</v>
      </c>
      <c r="E654" s="33">
        <v>30</v>
      </c>
      <c r="F654" s="33">
        <v>31</v>
      </c>
      <c r="G654" s="33">
        <v>32</v>
      </c>
      <c r="H654" s="33">
        <v>33</v>
      </c>
      <c r="I654" s="33">
        <v>34</v>
      </c>
      <c r="J654" s="33">
        <v>35</v>
      </c>
      <c r="K654" s="33">
        <v>36</v>
      </c>
      <c r="L654" s="33">
        <v>37</v>
      </c>
      <c r="M654" s="32">
        <v>42</v>
      </c>
      <c r="N654" s="32">
        <v>43</v>
      </c>
    </row>
    <row r="655" spans="1:14" ht="23.25" hidden="1" customHeight="1">
      <c r="A655" s="33" t="s">
        <v>179</v>
      </c>
      <c r="B655" s="33">
        <v>72</v>
      </c>
      <c r="C655" s="33">
        <v>29</v>
      </c>
      <c r="D655" s="33">
        <v>30</v>
      </c>
      <c r="E655" s="33">
        <v>31</v>
      </c>
      <c r="F655" s="33">
        <v>32</v>
      </c>
      <c r="G655" s="33">
        <v>33</v>
      </c>
      <c r="H655" s="33">
        <v>34</v>
      </c>
      <c r="I655" s="33">
        <v>35</v>
      </c>
      <c r="J655" s="33">
        <v>36</v>
      </c>
      <c r="K655" s="33">
        <v>37</v>
      </c>
      <c r="L655" s="33">
        <v>38</v>
      </c>
    </row>
    <row r="656" spans="1:14" ht="23.25" hidden="1" customHeight="1">
      <c r="A656" s="33" t="s">
        <v>179</v>
      </c>
      <c r="B656" s="33">
        <v>74</v>
      </c>
      <c r="C656" s="33">
        <v>30</v>
      </c>
      <c r="D656" s="33">
        <v>31</v>
      </c>
      <c r="E656" s="33">
        <v>32</v>
      </c>
      <c r="F656" s="33">
        <v>33</v>
      </c>
      <c r="G656" s="33">
        <v>34</v>
      </c>
      <c r="H656" s="33">
        <v>35</v>
      </c>
      <c r="I656" s="33">
        <v>36</v>
      </c>
      <c r="J656" s="33">
        <v>37</v>
      </c>
      <c r="K656" s="33">
        <v>38</v>
      </c>
      <c r="L656" s="33">
        <v>39</v>
      </c>
      <c r="M656" s="32">
        <v>40</v>
      </c>
      <c r="N656" s="32">
        <v>41</v>
      </c>
    </row>
    <row r="657" spans="1:14" ht="23.25" hidden="1" customHeight="1">
      <c r="A657" s="33" t="s">
        <v>179</v>
      </c>
      <c r="B657" s="33">
        <v>74</v>
      </c>
      <c r="C657" s="33">
        <v>31</v>
      </c>
      <c r="D657" s="33">
        <v>32</v>
      </c>
      <c r="E657" s="33">
        <v>33</v>
      </c>
      <c r="F657" s="33">
        <v>34</v>
      </c>
      <c r="G657" s="33">
        <v>35</v>
      </c>
      <c r="H657" s="33">
        <v>36</v>
      </c>
      <c r="I657" s="33">
        <v>37</v>
      </c>
      <c r="J657" s="33">
        <v>38</v>
      </c>
      <c r="K657" s="33">
        <v>39</v>
      </c>
      <c r="L657" s="33">
        <v>40</v>
      </c>
    </row>
    <row r="658" spans="1:14" ht="23.25" hidden="1" customHeight="1">
      <c r="A658" s="33" t="s">
        <v>179</v>
      </c>
      <c r="B658" s="33">
        <v>76</v>
      </c>
      <c r="C658" s="33">
        <v>32</v>
      </c>
      <c r="D658" s="33">
        <v>33</v>
      </c>
      <c r="E658" s="33">
        <v>34</v>
      </c>
      <c r="F658" s="33">
        <v>35</v>
      </c>
      <c r="G658" s="33">
        <v>36</v>
      </c>
      <c r="H658" s="33">
        <v>37</v>
      </c>
      <c r="I658" s="33">
        <v>38</v>
      </c>
      <c r="J658" s="33">
        <v>39</v>
      </c>
      <c r="K658" s="33">
        <v>40</v>
      </c>
      <c r="L658" s="33">
        <v>41</v>
      </c>
      <c r="M658" s="32">
        <v>38</v>
      </c>
      <c r="N658" s="32">
        <v>39</v>
      </c>
    </row>
    <row r="659" spans="1:14" ht="23.25" hidden="1" customHeight="1">
      <c r="A659" s="33" t="s">
        <v>179</v>
      </c>
      <c r="B659" s="33">
        <v>76</v>
      </c>
      <c r="C659" s="33">
        <v>33</v>
      </c>
      <c r="D659" s="33">
        <v>34</v>
      </c>
      <c r="E659" s="33">
        <v>35</v>
      </c>
      <c r="F659" s="33">
        <v>36</v>
      </c>
      <c r="G659" s="33">
        <v>37</v>
      </c>
      <c r="H659" s="33">
        <v>38</v>
      </c>
      <c r="I659" s="33">
        <v>39</v>
      </c>
      <c r="J659" s="33">
        <v>40</v>
      </c>
      <c r="K659" s="33">
        <v>41</v>
      </c>
      <c r="L659" s="33">
        <v>42</v>
      </c>
    </row>
    <row r="660" spans="1:14" ht="23.25" hidden="1" customHeight="1">
      <c r="A660" s="33" t="s">
        <v>179</v>
      </c>
      <c r="B660" s="33">
        <v>78</v>
      </c>
      <c r="C660" s="33">
        <v>34</v>
      </c>
      <c r="D660" s="33">
        <v>35</v>
      </c>
      <c r="E660" s="33">
        <v>36</v>
      </c>
      <c r="F660" s="33">
        <v>37</v>
      </c>
      <c r="G660" s="33">
        <v>38</v>
      </c>
      <c r="H660" s="33">
        <v>39</v>
      </c>
      <c r="I660" s="33">
        <v>40</v>
      </c>
      <c r="J660" s="33">
        <v>41</v>
      </c>
      <c r="K660" s="33">
        <v>42</v>
      </c>
      <c r="L660" s="33">
        <v>43</v>
      </c>
      <c r="M660" s="32">
        <v>36</v>
      </c>
      <c r="N660" s="32">
        <v>37</v>
      </c>
    </row>
    <row r="661" spans="1:14" ht="23.25" hidden="1" customHeight="1">
      <c r="A661" s="33" t="s">
        <v>179</v>
      </c>
      <c r="B661" s="33">
        <v>78</v>
      </c>
      <c r="C661" s="33">
        <v>35</v>
      </c>
      <c r="D661" s="33">
        <v>36</v>
      </c>
      <c r="E661" s="33">
        <v>37</v>
      </c>
      <c r="F661" s="33">
        <v>38</v>
      </c>
      <c r="G661" s="33">
        <v>39</v>
      </c>
      <c r="H661" s="33">
        <v>40</v>
      </c>
      <c r="I661" s="33">
        <v>41</v>
      </c>
      <c r="J661" s="33">
        <v>42</v>
      </c>
      <c r="K661" s="33">
        <v>43</v>
      </c>
      <c r="L661" s="33">
        <v>44</v>
      </c>
    </row>
    <row r="662" spans="1:14" ht="23.25" hidden="1" customHeight="1">
      <c r="A662" s="33" t="s">
        <v>180</v>
      </c>
      <c r="B662" s="33">
        <v>80</v>
      </c>
      <c r="C662" s="33">
        <v>36</v>
      </c>
      <c r="D662" s="33">
        <v>37</v>
      </c>
      <c r="E662" s="33">
        <v>38</v>
      </c>
      <c r="F662" s="33">
        <v>39</v>
      </c>
      <c r="G662" s="33">
        <v>40</v>
      </c>
      <c r="H662" s="33">
        <v>41</v>
      </c>
      <c r="I662" s="33">
        <v>42</v>
      </c>
      <c r="J662" s="33">
        <v>43</v>
      </c>
      <c r="K662" s="33">
        <v>44</v>
      </c>
      <c r="L662" s="33">
        <v>45</v>
      </c>
      <c r="M662" s="32">
        <v>34</v>
      </c>
      <c r="N662" s="32">
        <v>35</v>
      </c>
    </row>
    <row r="663" spans="1:14" ht="23.25" hidden="1" customHeight="1">
      <c r="A663" s="33" t="s">
        <v>180</v>
      </c>
      <c r="B663" s="33">
        <v>80</v>
      </c>
      <c r="C663" s="33">
        <v>38</v>
      </c>
      <c r="D663" s="33">
        <v>39</v>
      </c>
      <c r="E663" s="33">
        <v>40</v>
      </c>
      <c r="F663" s="33">
        <v>41</v>
      </c>
      <c r="G663" s="33">
        <v>42</v>
      </c>
      <c r="H663" s="33">
        <v>43</v>
      </c>
      <c r="I663" s="33">
        <v>44</v>
      </c>
      <c r="J663" s="33">
        <v>45</v>
      </c>
      <c r="K663" s="33">
        <v>46</v>
      </c>
      <c r="L663" s="33">
        <v>47</v>
      </c>
    </row>
    <row r="664" spans="1:14" ht="23.25" hidden="1" customHeight="1">
      <c r="A664" s="33" t="s">
        <v>180</v>
      </c>
      <c r="B664" s="33">
        <v>85</v>
      </c>
      <c r="C664" s="33">
        <v>39</v>
      </c>
      <c r="D664" s="33">
        <v>40</v>
      </c>
      <c r="E664" s="33">
        <v>41</v>
      </c>
      <c r="F664" s="33">
        <v>42</v>
      </c>
      <c r="G664" s="33">
        <v>43</v>
      </c>
      <c r="H664" s="33">
        <v>44</v>
      </c>
      <c r="I664" s="33">
        <v>45</v>
      </c>
      <c r="J664" s="33">
        <v>46</v>
      </c>
      <c r="K664" s="33">
        <v>47</v>
      </c>
      <c r="L664" s="33">
        <v>48</v>
      </c>
      <c r="M664" s="32">
        <v>32</v>
      </c>
      <c r="N664" s="32">
        <v>33</v>
      </c>
    </row>
    <row r="665" spans="1:14" ht="23.25" hidden="1" customHeight="1">
      <c r="A665" s="33" t="s">
        <v>180</v>
      </c>
      <c r="B665" s="33">
        <v>85</v>
      </c>
      <c r="C665" s="33">
        <v>41</v>
      </c>
      <c r="D665" s="33">
        <v>42</v>
      </c>
      <c r="E665" s="33">
        <v>43</v>
      </c>
      <c r="F665" s="33">
        <v>44</v>
      </c>
      <c r="G665" s="33">
        <v>45</v>
      </c>
      <c r="H665" s="33">
        <v>46</v>
      </c>
      <c r="I665" s="33">
        <v>47</v>
      </c>
      <c r="J665" s="33">
        <v>48</v>
      </c>
      <c r="K665" s="33">
        <v>49</v>
      </c>
      <c r="L665" s="33">
        <v>50</v>
      </c>
    </row>
    <row r="666" spans="1:14" ht="23.25" hidden="1" customHeight="1">
      <c r="A666" s="33" t="s">
        <v>181</v>
      </c>
      <c r="B666" s="33">
        <v>90</v>
      </c>
      <c r="C666" s="33">
        <v>42</v>
      </c>
      <c r="D666" s="33">
        <v>43</v>
      </c>
      <c r="E666" s="33">
        <v>44</v>
      </c>
      <c r="F666" s="33">
        <v>45</v>
      </c>
      <c r="G666" s="33">
        <v>46</v>
      </c>
      <c r="H666" s="33">
        <v>47</v>
      </c>
      <c r="I666" s="33">
        <v>48</v>
      </c>
      <c r="J666" s="33">
        <v>49</v>
      </c>
      <c r="K666" s="33">
        <v>50</v>
      </c>
      <c r="L666" s="33">
        <v>51</v>
      </c>
      <c r="M666" s="32">
        <v>30</v>
      </c>
      <c r="N666" s="32">
        <v>31</v>
      </c>
    </row>
    <row r="667" spans="1:14" ht="23.25" hidden="1" customHeight="1">
      <c r="A667" s="33" t="s">
        <v>181</v>
      </c>
      <c r="B667" s="33">
        <v>90</v>
      </c>
      <c r="C667" s="33">
        <v>43</v>
      </c>
      <c r="D667" s="33">
        <v>44</v>
      </c>
      <c r="E667" s="33">
        <v>45</v>
      </c>
      <c r="F667" s="33">
        <v>46</v>
      </c>
      <c r="G667" s="33">
        <v>47</v>
      </c>
      <c r="H667" s="33">
        <v>48</v>
      </c>
      <c r="I667" s="33">
        <v>49</v>
      </c>
      <c r="J667" s="33">
        <v>50</v>
      </c>
      <c r="K667" s="33">
        <v>51</v>
      </c>
      <c r="L667" s="33">
        <v>52</v>
      </c>
    </row>
    <row r="668" spans="1:14" ht="23.25" hidden="1" customHeight="1">
      <c r="A668" s="33" t="s">
        <v>181</v>
      </c>
      <c r="B668" s="33">
        <v>95</v>
      </c>
      <c r="C668" s="33">
        <v>44</v>
      </c>
      <c r="D668" s="33">
        <v>45</v>
      </c>
      <c r="E668" s="33">
        <v>46</v>
      </c>
      <c r="F668" s="33">
        <v>47</v>
      </c>
      <c r="G668" s="33">
        <v>48</v>
      </c>
      <c r="H668" s="33">
        <v>49</v>
      </c>
      <c r="I668" s="33">
        <v>50</v>
      </c>
      <c r="J668" s="33">
        <v>51</v>
      </c>
      <c r="K668" s="33">
        <v>52</v>
      </c>
      <c r="L668" s="33">
        <v>53</v>
      </c>
      <c r="M668" s="32">
        <v>28</v>
      </c>
      <c r="N668" s="32">
        <v>29</v>
      </c>
    </row>
    <row r="669" spans="1:14" ht="23.25" hidden="1" customHeight="1">
      <c r="A669" s="33" t="s">
        <v>181</v>
      </c>
      <c r="B669" s="33">
        <v>95</v>
      </c>
      <c r="C669" s="33">
        <v>45</v>
      </c>
      <c r="D669" s="33">
        <v>46</v>
      </c>
      <c r="E669" s="33">
        <v>47</v>
      </c>
      <c r="F669" s="33">
        <v>48</v>
      </c>
      <c r="G669" s="33">
        <v>49</v>
      </c>
      <c r="H669" s="33">
        <v>50</v>
      </c>
      <c r="I669" s="33">
        <v>51</v>
      </c>
      <c r="J669" s="33">
        <v>52</v>
      </c>
      <c r="K669" s="33">
        <v>53</v>
      </c>
      <c r="L669" s="33">
        <v>54</v>
      </c>
    </row>
    <row r="670" spans="1:14" ht="23.25" hidden="1" customHeight="1">
      <c r="A670" s="33" t="s">
        <v>181</v>
      </c>
      <c r="B670" s="33">
        <v>100</v>
      </c>
      <c r="C670" s="33">
        <v>46</v>
      </c>
      <c r="D670" s="33">
        <v>47</v>
      </c>
      <c r="E670" s="33">
        <v>48</v>
      </c>
      <c r="F670" s="33">
        <v>49</v>
      </c>
      <c r="G670" s="33">
        <v>50</v>
      </c>
      <c r="H670" s="33">
        <v>51</v>
      </c>
      <c r="I670" s="33">
        <v>52</v>
      </c>
      <c r="J670" s="33">
        <v>53</v>
      </c>
      <c r="K670" s="33">
        <v>54</v>
      </c>
      <c r="L670" s="33">
        <v>55</v>
      </c>
      <c r="M670" s="32">
        <v>26</v>
      </c>
      <c r="N670" s="32">
        <v>27</v>
      </c>
    </row>
    <row r="671" spans="1:14" ht="23.25" hidden="1" customHeight="1">
      <c r="A671" s="33" t="s">
        <v>181</v>
      </c>
      <c r="B671" s="33">
        <v>100</v>
      </c>
      <c r="C671" s="33">
        <v>99</v>
      </c>
      <c r="D671" s="33">
        <v>99</v>
      </c>
      <c r="E671" s="33">
        <v>99</v>
      </c>
      <c r="F671" s="33">
        <v>99</v>
      </c>
      <c r="G671" s="33">
        <v>51</v>
      </c>
      <c r="H671" s="33">
        <v>52</v>
      </c>
      <c r="I671" s="33">
        <v>53</v>
      </c>
      <c r="J671" s="33">
        <v>54</v>
      </c>
      <c r="K671" s="33">
        <v>55</v>
      </c>
      <c r="L671" s="33">
        <v>56</v>
      </c>
    </row>
    <row r="672" spans="1:14" ht="23.25" hidden="1" customHeight="1">
      <c r="A672" s="33" t="s">
        <v>181</v>
      </c>
      <c r="B672" s="33">
        <v>110</v>
      </c>
      <c r="C672" s="33"/>
      <c r="D672" s="33"/>
      <c r="E672" s="33"/>
      <c r="F672" s="33"/>
      <c r="G672" s="33">
        <v>52</v>
      </c>
      <c r="H672" s="33">
        <v>53</v>
      </c>
      <c r="I672" s="33">
        <v>54</v>
      </c>
      <c r="J672" s="33">
        <v>55</v>
      </c>
      <c r="K672" s="33">
        <v>56</v>
      </c>
      <c r="L672" s="33">
        <v>57</v>
      </c>
      <c r="M672" s="32">
        <v>24</v>
      </c>
      <c r="N672" s="32">
        <v>25</v>
      </c>
    </row>
    <row r="673" spans="1:14" ht="23.25" hidden="1" customHeight="1">
      <c r="A673" s="33" t="s">
        <v>181</v>
      </c>
      <c r="B673" s="33">
        <v>110</v>
      </c>
      <c r="C673" s="33"/>
      <c r="D673" s="33"/>
      <c r="E673" s="33"/>
      <c r="F673" s="33"/>
      <c r="G673" s="33">
        <v>53</v>
      </c>
      <c r="H673" s="33">
        <v>54</v>
      </c>
      <c r="I673" s="33">
        <v>55</v>
      </c>
      <c r="J673" s="33">
        <v>56</v>
      </c>
      <c r="K673" s="33">
        <v>57</v>
      </c>
      <c r="L673" s="33">
        <v>58</v>
      </c>
    </row>
    <row r="674" spans="1:14" ht="23.25" hidden="1" customHeight="1">
      <c r="A674" s="33" t="s">
        <v>181</v>
      </c>
      <c r="B674" s="33">
        <v>120</v>
      </c>
      <c r="C674" s="33"/>
      <c r="D674" s="33"/>
      <c r="E674" s="33"/>
      <c r="F674" s="33"/>
      <c r="G674" s="33">
        <v>54</v>
      </c>
      <c r="H674" s="33">
        <v>55</v>
      </c>
      <c r="I674" s="33">
        <v>56</v>
      </c>
      <c r="J674" s="33">
        <v>57</v>
      </c>
      <c r="K674" s="33">
        <v>58</v>
      </c>
      <c r="L674" s="33">
        <v>59</v>
      </c>
      <c r="M674" s="32">
        <v>22</v>
      </c>
      <c r="N674" s="32">
        <v>23</v>
      </c>
    </row>
    <row r="675" spans="1:14" ht="23.25" hidden="1" customHeight="1">
      <c r="A675" s="33" t="s">
        <v>181</v>
      </c>
      <c r="B675" s="33">
        <v>120</v>
      </c>
      <c r="C675" s="33"/>
      <c r="D675" s="33"/>
      <c r="E675" s="33"/>
      <c r="F675" s="33"/>
      <c r="G675" s="33">
        <v>55</v>
      </c>
      <c r="H675" s="33">
        <v>56</v>
      </c>
      <c r="I675" s="33">
        <v>57</v>
      </c>
      <c r="J675" s="33">
        <v>58</v>
      </c>
      <c r="K675" s="33">
        <v>59</v>
      </c>
      <c r="L675" s="33">
        <v>60</v>
      </c>
    </row>
    <row r="676" spans="1:14" ht="23.25" hidden="1" customHeight="1">
      <c r="A676" s="33" t="s">
        <v>181</v>
      </c>
      <c r="B676" s="33">
        <v>130</v>
      </c>
      <c r="C676" s="33"/>
      <c r="D676" s="33"/>
      <c r="E676" s="33"/>
      <c r="F676" s="33"/>
      <c r="G676" s="33">
        <v>56</v>
      </c>
      <c r="H676" s="33">
        <v>57</v>
      </c>
      <c r="I676" s="33">
        <v>58</v>
      </c>
      <c r="J676" s="33">
        <v>59</v>
      </c>
      <c r="K676" s="33">
        <v>60</v>
      </c>
      <c r="L676" s="33">
        <v>61</v>
      </c>
      <c r="M676" s="32">
        <v>20</v>
      </c>
      <c r="N676" s="32">
        <v>21</v>
      </c>
    </row>
    <row r="677" spans="1:14" ht="23.25" hidden="1" customHeight="1">
      <c r="A677" s="33" t="s">
        <v>181</v>
      </c>
      <c r="B677" s="33">
        <v>140</v>
      </c>
      <c r="C677" s="33"/>
      <c r="D677" s="33"/>
      <c r="E677" s="33"/>
      <c r="F677" s="33"/>
      <c r="G677" s="33">
        <v>57</v>
      </c>
      <c r="H677" s="33">
        <v>58</v>
      </c>
      <c r="I677" s="33">
        <v>59</v>
      </c>
      <c r="J677" s="33">
        <v>60</v>
      </c>
      <c r="K677" s="33">
        <v>61</v>
      </c>
      <c r="L677" s="33">
        <v>62</v>
      </c>
    </row>
    <row r="678" spans="1:14" ht="23.25" hidden="1" customHeight="1">
      <c r="A678" s="33" t="s">
        <v>181</v>
      </c>
      <c r="B678" s="33">
        <v>150</v>
      </c>
      <c r="C678" s="33"/>
      <c r="D678" s="33"/>
      <c r="E678" s="33"/>
      <c r="F678" s="33"/>
      <c r="G678" s="33">
        <v>58</v>
      </c>
      <c r="H678" s="33">
        <v>59</v>
      </c>
      <c r="I678" s="33">
        <v>60</v>
      </c>
      <c r="J678" s="33">
        <v>61</v>
      </c>
      <c r="K678" s="33">
        <v>62</v>
      </c>
      <c r="L678" s="33">
        <v>63</v>
      </c>
      <c r="M678" s="32">
        <v>18</v>
      </c>
      <c r="N678" s="32">
        <v>19</v>
      </c>
    </row>
    <row r="679" spans="1:14" ht="23.25" hidden="1" customHeight="1">
      <c r="A679" s="33" t="s">
        <v>181</v>
      </c>
      <c r="B679" s="33">
        <v>160</v>
      </c>
      <c r="C679" s="33"/>
      <c r="D679" s="33"/>
      <c r="E679" s="33"/>
      <c r="F679" s="33"/>
      <c r="G679" s="33">
        <v>59</v>
      </c>
      <c r="H679" s="33">
        <v>60</v>
      </c>
      <c r="I679" s="33">
        <v>61</v>
      </c>
      <c r="J679" s="33">
        <v>62</v>
      </c>
      <c r="K679" s="33">
        <v>63</v>
      </c>
      <c r="L679" s="33">
        <v>64</v>
      </c>
    </row>
    <row r="680" spans="1:14" ht="23.25" hidden="1" customHeight="1">
      <c r="A680" s="33" t="s">
        <v>181</v>
      </c>
      <c r="B680" s="33">
        <v>170</v>
      </c>
      <c r="C680" s="33"/>
      <c r="D680" s="33"/>
      <c r="E680" s="33"/>
      <c r="F680" s="33"/>
      <c r="G680" s="33">
        <v>60</v>
      </c>
      <c r="H680" s="33">
        <v>61</v>
      </c>
      <c r="I680" s="33">
        <v>62</v>
      </c>
      <c r="J680" s="33">
        <v>63</v>
      </c>
      <c r="K680" s="33">
        <v>64</v>
      </c>
      <c r="L680" s="33">
        <v>65</v>
      </c>
      <c r="M680" s="32">
        <v>16</v>
      </c>
      <c r="N680" s="32">
        <v>17</v>
      </c>
    </row>
    <row r="681" spans="1:14" ht="23.25" hidden="1" customHeight="1">
      <c r="A681" s="33" t="s">
        <v>181</v>
      </c>
      <c r="B681" s="33">
        <v>180</v>
      </c>
      <c r="C681" s="33"/>
      <c r="D681" s="33"/>
      <c r="E681" s="33"/>
      <c r="F681" s="33"/>
      <c r="G681" s="33">
        <v>61</v>
      </c>
      <c r="H681" s="33">
        <v>62</v>
      </c>
      <c r="I681" s="33">
        <v>63</v>
      </c>
      <c r="J681" s="33">
        <v>64</v>
      </c>
      <c r="K681" s="33">
        <v>65</v>
      </c>
      <c r="L681" s="33">
        <v>66</v>
      </c>
    </row>
    <row r="682" spans="1:14" ht="23.25" hidden="1" customHeight="1">
      <c r="A682" s="33" t="s">
        <v>181</v>
      </c>
      <c r="B682" s="33">
        <v>190</v>
      </c>
      <c r="C682" s="33"/>
      <c r="D682" s="33"/>
      <c r="E682" s="33"/>
      <c r="F682" s="33"/>
      <c r="G682" s="33">
        <v>62</v>
      </c>
      <c r="H682" s="33">
        <v>63</v>
      </c>
      <c r="I682" s="33">
        <v>64</v>
      </c>
      <c r="J682" s="33">
        <v>65</v>
      </c>
      <c r="K682" s="33">
        <v>66</v>
      </c>
      <c r="L682" s="33">
        <v>67</v>
      </c>
    </row>
    <row r="683" spans="1:14" ht="23.25" hidden="1" customHeight="1">
      <c r="A683" s="33" t="s">
        <v>181</v>
      </c>
      <c r="B683" s="33">
        <v>200</v>
      </c>
      <c r="C683" s="33"/>
      <c r="D683" s="33"/>
      <c r="E683" s="33"/>
      <c r="F683" s="33"/>
      <c r="G683" s="33">
        <v>63</v>
      </c>
      <c r="H683" s="33">
        <v>64</v>
      </c>
      <c r="I683" s="33">
        <v>65</v>
      </c>
      <c r="J683" s="33">
        <v>66</v>
      </c>
      <c r="K683" s="33">
        <v>67</v>
      </c>
      <c r="L683" s="33">
        <v>68</v>
      </c>
    </row>
    <row r="684" spans="1:14" ht="23.25" hidden="1" customHeight="1">
      <c r="A684" s="33" t="s">
        <v>181</v>
      </c>
      <c r="B684" s="33">
        <v>200</v>
      </c>
      <c r="C684" s="33"/>
      <c r="D684" s="33"/>
      <c r="E684" s="33"/>
      <c r="F684" s="33"/>
      <c r="G684" s="33">
        <v>99</v>
      </c>
      <c r="H684" s="33">
        <v>99</v>
      </c>
      <c r="I684" s="33">
        <v>99</v>
      </c>
      <c r="J684" s="33">
        <v>99</v>
      </c>
      <c r="K684" s="33">
        <v>99</v>
      </c>
      <c r="L684" s="33">
        <v>99</v>
      </c>
    </row>
    <row r="685" spans="1:14" ht="23.25" hidden="1" customHeight="1">
      <c r="A685" s="37" t="s">
        <v>256</v>
      </c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</row>
    <row r="686" spans="1:14" ht="23.25" hidden="1" customHeight="1">
      <c r="A686" s="37" t="s">
        <v>163</v>
      </c>
      <c r="B686" s="32" t="s">
        <v>164</v>
      </c>
      <c r="C686" s="37" t="s">
        <v>169</v>
      </c>
      <c r="D686" s="37" t="s">
        <v>170</v>
      </c>
      <c r="E686" s="37" t="s">
        <v>171</v>
      </c>
      <c r="F686" s="37" t="s">
        <v>172</v>
      </c>
      <c r="G686" s="37" t="s">
        <v>173</v>
      </c>
      <c r="H686" s="37" t="s">
        <v>174</v>
      </c>
      <c r="I686" s="37" t="s">
        <v>175</v>
      </c>
      <c r="J686" s="37" t="s">
        <v>176</v>
      </c>
      <c r="K686" s="32" t="s">
        <v>240</v>
      </c>
      <c r="L686" s="32" t="s">
        <v>241</v>
      </c>
    </row>
    <row r="687" spans="1:14" ht="23.25" hidden="1" customHeight="1">
      <c r="A687" s="37"/>
      <c r="C687" s="37"/>
      <c r="D687" s="37"/>
      <c r="E687" s="37"/>
      <c r="F687" s="37"/>
      <c r="G687" s="37"/>
      <c r="H687" s="37"/>
      <c r="I687" s="37"/>
      <c r="J687" s="37"/>
      <c r="K687" s="32" t="s">
        <v>242</v>
      </c>
      <c r="L687" s="32" t="s">
        <v>243</v>
      </c>
    </row>
    <row r="688" spans="1:14" ht="23.25" hidden="1" customHeight="1">
      <c r="A688" s="32" t="s">
        <v>181</v>
      </c>
      <c r="B688" s="32">
        <v>150</v>
      </c>
      <c r="E688" s="32" t="s">
        <v>257</v>
      </c>
      <c r="F688" s="32" t="s">
        <v>257</v>
      </c>
      <c r="G688" s="32" t="s">
        <v>257</v>
      </c>
      <c r="H688" s="32" t="s">
        <v>257</v>
      </c>
      <c r="I688" s="32" t="s">
        <v>257</v>
      </c>
      <c r="J688" s="32" t="s">
        <v>257</v>
      </c>
    </row>
    <row r="689" spans="1:10" ht="23.25" hidden="1" customHeight="1">
      <c r="A689" s="32" t="s">
        <v>181</v>
      </c>
      <c r="B689" s="32">
        <v>150</v>
      </c>
      <c r="E689" s="32" t="s">
        <v>153</v>
      </c>
      <c r="F689" s="32" t="s">
        <v>258</v>
      </c>
      <c r="G689" s="32" t="s">
        <v>259</v>
      </c>
      <c r="H689" s="32" t="s">
        <v>260</v>
      </c>
      <c r="I689" s="32" t="s">
        <v>261</v>
      </c>
      <c r="J689" s="32" t="s">
        <v>262</v>
      </c>
    </row>
    <row r="690" spans="1:10" ht="23.25" hidden="1" customHeight="1">
      <c r="A690" s="32" t="s">
        <v>181</v>
      </c>
      <c r="B690" s="32">
        <v>145</v>
      </c>
      <c r="E690" s="32" t="s">
        <v>263</v>
      </c>
      <c r="F690" s="32" t="s">
        <v>264</v>
      </c>
      <c r="G690" s="32" t="s">
        <v>265</v>
      </c>
      <c r="H690" s="32" t="s">
        <v>266</v>
      </c>
      <c r="I690" s="32" t="s">
        <v>267</v>
      </c>
      <c r="J690" s="32" t="s">
        <v>268</v>
      </c>
    </row>
    <row r="691" spans="1:10" ht="23.25" hidden="1" customHeight="1">
      <c r="A691" s="32" t="s">
        <v>181</v>
      </c>
      <c r="B691" s="32">
        <v>145</v>
      </c>
      <c r="E691" s="32" t="s">
        <v>81</v>
      </c>
      <c r="F691" s="32" t="s">
        <v>82</v>
      </c>
      <c r="G691" s="32" t="s">
        <v>88</v>
      </c>
      <c r="H691" s="32" t="s">
        <v>269</v>
      </c>
      <c r="I691" s="32" t="s">
        <v>270</v>
      </c>
      <c r="J691" s="32" t="s">
        <v>271</v>
      </c>
    </row>
    <row r="692" spans="1:10" ht="23.25" hidden="1" customHeight="1">
      <c r="A692" s="32" t="s">
        <v>181</v>
      </c>
      <c r="B692" s="32">
        <v>140</v>
      </c>
      <c r="E692" s="32" t="s">
        <v>155</v>
      </c>
      <c r="F692" s="32" t="s">
        <v>152</v>
      </c>
      <c r="G692" s="32" t="s">
        <v>100</v>
      </c>
      <c r="H692" s="32" t="s">
        <v>272</v>
      </c>
      <c r="I692" s="32" t="s">
        <v>273</v>
      </c>
      <c r="J692" s="32" t="s">
        <v>274</v>
      </c>
    </row>
    <row r="693" spans="1:10" ht="23.25" hidden="1" customHeight="1">
      <c r="A693" s="32" t="s">
        <v>181</v>
      </c>
      <c r="B693" s="32">
        <v>140</v>
      </c>
      <c r="E693" s="32" t="s">
        <v>62</v>
      </c>
      <c r="F693" s="32" t="s">
        <v>263</v>
      </c>
      <c r="G693" s="32" t="s">
        <v>275</v>
      </c>
      <c r="H693" s="32" t="s">
        <v>276</v>
      </c>
      <c r="I693" s="32" t="s">
        <v>266</v>
      </c>
      <c r="J693" s="32" t="s">
        <v>267</v>
      </c>
    </row>
    <row r="694" spans="1:10" ht="23.25" hidden="1" customHeight="1">
      <c r="A694" s="32" t="s">
        <v>181</v>
      </c>
      <c r="B694" s="32">
        <v>135</v>
      </c>
      <c r="E694" s="32" t="s">
        <v>61</v>
      </c>
      <c r="F694" s="32" t="s">
        <v>154</v>
      </c>
      <c r="G694" s="32" t="s">
        <v>89</v>
      </c>
      <c r="H694" s="32" t="s">
        <v>277</v>
      </c>
      <c r="I694" s="32" t="s">
        <v>278</v>
      </c>
      <c r="J694" s="32" t="s">
        <v>279</v>
      </c>
    </row>
    <row r="695" spans="1:10" ht="23.25" hidden="1" customHeight="1">
      <c r="A695" s="32" t="s">
        <v>181</v>
      </c>
      <c r="B695" s="32">
        <v>135</v>
      </c>
      <c r="E695" s="32" t="s">
        <v>90</v>
      </c>
      <c r="F695" s="32" t="s">
        <v>155</v>
      </c>
      <c r="G695" s="32" t="s">
        <v>161</v>
      </c>
      <c r="H695" s="32" t="s">
        <v>156</v>
      </c>
      <c r="I695" s="32" t="s">
        <v>272</v>
      </c>
      <c r="J695" s="32" t="s">
        <v>273</v>
      </c>
    </row>
    <row r="696" spans="1:10" ht="23.25" hidden="1" customHeight="1">
      <c r="A696" s="32" t="s">
        <v>181</v>
      </c>
      <c r="B696" s="32">
        <v>130</v>
      </c>
      <c r="E696" s="32" t="s">
        <v>91</v>
      </c>
      <c r="F696" s="32" t="s">
        <v>280</v>
      </c>
      <c r="G696" s="32" t="s">
        <v>258</v>
      </c>
      <c r="H696" s="32" t="s">
        <v>259</v>
      </c>
      <c r="I696" s="32" t="s">
        <v>281</v>
      </c>
      <c r="J696" s="32" t="s">
        <v>260</v>
      </c>
    </row>
    <row r="697" spans="1:10" ht="23.25" hidden="1" customHeight="1">
      <c r="A697" s="32" t="s">
        <v>181</v>
      </c>
      <c r="B697" s="32">
        <v>130</v>
      </c>
      <c r="E697" s="32" t="s">
        <v>64</v>
      </c>
      <c r="F697" s="32" t="s">
        <v>61</v>
      </c>
      <c r="G697" s="32" t="s">
        <v>151</v>
      </c>
      <c r="H697" s="32" t="s">
        <v>282</v>
      </c>
      <c r="I697" s="32" t="s">
        <v>277</v>
      </c>
      <c r="J697" s="32" t="s">
        <v>278</v>
      </c>
    </row>
    <row r="698" spans="1:10" ht="23.25" hidden="1" customHeight="1">
      <c r="A698" s="32" t="s">
        <v>181</v>
      </c>
      <c r="B698" s="32">
        <v>125</v>
      </c>
      <c r="E698" s="32" t="s">
        <v>73</v>
      </c>
      <c r="F698" s="32" t="s">
        <v>101</v>
      </c>
      <c r="G698" s="32" t="s">
        <v>82</v>
      </c>
      <c r="H698" s="32" t="s">
        <v>88</v>
      </c>
      <c r="I698" s="32" t="s">
        <v>283</v>
      </c>
      <c r="J698" s="32" t="s">
        <v>269</v>
      </c>
    </row>
    <row r="699" spans="1:10" ht="23.25" hidden="1" customHeight="1">
      <c r="A699" s="32" t="s">
        <v>181</v>
      </c>
      <c r="B699" s="32">
        <v>125</v>
      </c>
      <c r="E699" s="32" t="s">
        <v>55</v>
      </c>
      <c r="F699" s="32" t="s">
        <v>91</v>
      </c>
      <c r="G699" s="32" t="s">
        <v>153</v>
      </c>
      <c r="H699" s="32" t="s">
        <v>94</v>
      </c>
      <c r="I699" s="32" t="s">
        <v>259</v>
      </c>
      <c r="J699" s="32" t="s">
        <v>281</v>
      </c>
    </row>
    <row r="700" spans="1:10" ht="23.25" hidden="1" customHeight="1">
      <c r="A700" s="32" t="s">
        <v>181</v>
      </c>
      <c r="B700" s="32">
        <v>120</v>
      </c>
      <c r="E700" s="32" t="s">
        <v>41</v>
      </c>
      <c r="F700" s="32" t="s">
        <v>46</v>
      </c>
      <c r="G700" s="32" t="s">
        <v>263</v>
      </c>
      <c r="H700" s="32" t="s">
        <v>275</v>
      </c>
      <c r="I700" s="32" t="s">
        <v>265</v>
      </c>
      <c r="J700" s="32" t="s">
        <v>276</v>
      </c>
    </row>
    <row r="701" spans="1:10" ht="23.25" hidden="1" customHeight="1">
      <c r="A701" s="32" t="s">
        <v>181</v>
      </c>
      <c r="B701" s="32">
        <v>120</v>
      </c>
      <c r="E701" s="32" t="s">
        <v>284</v>
      </c>
      <c r="F701" s="32" t="s">
        <v>59</v>
      </c>
      <c r="G701" s="32" t="s">
        <v>155</v>
      </c>
      <c r="H701" s="32" t="s">
        <v>161</v>
      </c>
      <c r="I701" s="32" t="s">
        <v>100</v>
      </c>
      <c r="J701" s="32" t="s">
        <v>156</v>
      </c>
    </row>
    <row r="702" spans="1:10" ht="23.25" hidden="1" customHeight="1">
      <c r="A702" s="32" t="s">
        <v>181</v>
      </c>
      <c r="B702" s="32">
        <v>115</v>
      </c>
      <c r="E702" s="32" t="s">
        <v>65</v>
      </c>
      <c r="F702" s="32" t="s">
        <v>55</v>
      </c>
      <c r="G702" s="32" t="s">
        <v>280</v>
      </c>
      <c r="H702" s="32" t="s">
        <v>258</v>
      </c>
      <c r="I702" s="32" t="s">
        <v>94</v>
      </c>
      <c r="J702" s="32" t="s">
        <v>259</v>
      </c>
    </row>
    <row r="703" spans="1:10" ht="23.25" hidden="1" customHeight="1">
      <c r="A703" s="32" t="s">
        <v>181</v>
      </c>
      <c r="B703" s="32">
        <v>115</v>
      </c>
      <c r="E703" s="32" t="s">
        <v>52</v>
      </c>
      <c r="F703" s="32" t="s">
        <v>63</v>
      </c>
      <c r="G703" s="32" t="s">
        <v>101</v>
      </c>
      <c r="H703" s="32" t="s">
        <v>82</v>
      </c>
      <c r="I703" s="32" t="s">
        <v>285</v>
      </c>
      <c r="J703" s="32" t="s">
        <v>88</v>
      </c>
    </row>
    <row r="704" spans="1:10" ht="23.25" hidden="1" customHeight="1">
      <c r="A704" s="32" t="s">
        <v>181</v>
      </c>
      <c r="B704" s="32">
        <v>110</v>
      </c>
      <c r="E704" s="32" t="s">
        <v>32</v>
      </c>
      <c r="F704" s="32" t="s">
        <v>159</v>
      </c>
      <c r="G704" s="32" t="s">
        <v>90</v>
      </c>
      <c r="H704" s="32" t="s">
        <v>152</v>
      </c>
      <c r="I704" s="32" t="s">
        <v>161</v>
      </c>
      <c r="J704" s="32" t="s">
        <v>100</v>
      </c>
    </row>
    <row r="705" spans="1:12" ht="23.25" hidden="1" customHeight="1">
      <c r="A705" s="32" t="s">
        <v>181</v>
      </c>
      <c r="B705" s="32">
        <v>110</v>
      </c>
      <c r="E705" s="32" t="s">
        <v>157</v>
      </c>
      <c r="F705" s="32" t="s">
        <v>87</v>
      </c>
      <c r="G705" s="32" t="s">
        <v>64</v>
      </c>
      <c r="H705" s="32" t="s">
        <v>154</v>
      </c>
      <c r="I705" s="32" t="s">
        <v>151</v>
      </c>
      <c r="J705" s="32" t="s">
        <v>89</v>
      </c>
    </row>
    <row r="706" spans="1:12" ht="23.25" hidden="1" customHeight="1">
      <c r="A706" s="32" t="s">
        <v>181</v>
      </c>
      <c r="B706" s="32">
        <v>105</v>
      </c>
      <c r="E706" s="32" t="s">
        <v>286</v>
      </c>
      <c r="F706" s="32" t="s">
        <v>52</v>
      </c>
      <c r="G706" s="32" t="s">
        <v>73</v>
      </c>
      <c r="H706" s="32" t="s">
        <v>81</v>
      </c>
      <c r="I706" s="32" t="s">
        <v>82</v>
      </c>
      <c r="J706" s="32" t="s">
        <v>285</v>
      </c>
    </row>
    <row r="707" spans="1:12" ht="23.25" hidden="1" customHeight="1">
      <c r="A707" s="32" t="s">
        <v>181</v>
      </c>
      <c r="B707" s="32">
        <v>105</v>
      </c>
      <c r="E707" s="32" t="s">
        <v>44</v>
      </c>
      <c r="F707" s="32" t="s">
        <v>34</v>
      </c>
      <c r="G707" s="32" t="s">
        <v>41</v>
      </c>
      <c r="H707" s="32" t="s">
        <v>62</v>
      </c>
      <c r="I707" s="32" t="s">
        <v>263</v>
      </c>
      <c r="J707" s="32" t="s">
        <v>264</v>
      </c>
    </row>
    <row r="708" spans="1:12" ht="23.25" hidden="1" customHeight="1">
      <c r="A708" s="32" t="s">
        <v>181</v>
      </c>
      <c r="B708" s="32">
        <v>100</v>
      </c>
      <c r="C708" s="32" t="s">
        <v>287</v>
      </c>
      <c r="D708" s="32" t="s">
        <v>287</v>
      </c>
      <c r="E708" s="32" t="s">
        <v>288</v>
      </c>
      <c r="F708" s="32" t="s">
        <v>157</v>
      </c>
      <c r="G708" s="32" t="s">
        <v>83</v>
      </c>
      <c r="H708" s="32" t="s">
        <v>61</v>
      </c>
      <c r="I708" s="32" t="s">
        <v>154</v>
      </c>
      <c r="J708" s="32" t="s">
        <v>151</v>
      </c>
    </row>
    <row r="709" spans="1:12" ht="23.25" hidden="1" customHeight="1">
      <c r="A709" s="32" t="s">
        <v>181</v>
      </c>
      <c r="B709" s="32">
        <v>100</v>
      </c>
      <c r="C709" s="32" t="s">
        <v>289</v>
      </c>
      <c r="D709" s="32" t="s">
        <v>290</v>
      </c>
      <c r="E709" s="32" t="s">
        <v>42</v>
      </c>
      <c r="F709" s="32" t="s">
        <v>56</v>
      </c>
      <c r="G709" s="32" t="s">
        <v>65</v>
      </c>
      <c r="H709" s="32" t="s">
        <v>91</v>
      </c>
      <c r="I709" s="32" t="s">
        <v>280</v>
      </c>
      <c r="J709" s="32" t="s">
        <v>153</v>
      </c>
      <c r="K709" s="32" t="s">
        <v>151</v>
      </c>
      <c r="L709" s="32" t="s">
        <v>258</v>
      </c>
    </row>
    <row r="710" spans="1:12" ht="23.25" hidden="1" customHeight="1">
      <c r="A710" s="32" t="s">
        <v>181</v>
      </c>
      <c r="B710" s="32">
        <v>95</v>
      </c>
      <c r="C710" s="32" t="s">
        <v>291</v>
      </c>
      <c r="D710" s="32" t="s">
        <v>292</v>
      </c>
      <c r="E710" s="32" t="s">
        <v>31</v>
      </c>
      <c r="F710" s="32" t="s">
        <v>44</v>
      </c>
      <c r="G710" s="32" t="s">
        <v>160</v>
      </c>
      <c r="H710" s="32" t="s">
        <v>46</v>
      </c>
      <c r="I710" s="32" t="s">
        <v>62</v>
      </c>
      <c r="J710" s="32" t="s">
        <v>263</v>
      </c>
    </row>
    <row r="711" spans="1:12" ht="23.25" hidden="1" customHeight="1">
      <c r="A711" s="32" t="s">
        <v>181</v>
      </c>
      <c r="B711" s="32">
        <v>95</v>
      </c>
      <c r="C711" s="32" t="s">
        <v>293</v>
      </c>
      <c r="D711" s="32" t="s">
        <v>294</v>
      </c>
      <c r="E711" s="32" t="s">
        <v>99</v>
      </c>
      <c r="F711" s="32" t="s">
        <v>42</v>
      </c>
      <c r="G711" s="32" t="s">
        <v>47</v>
      </c>
      <c r="H711" s="32" t="s">
        <v>55</v>
      </c>
      <c r="I711" s="32" t="s">
        <v>91</v>
      </c>
      <c r="J711" s="32" t="s">
        <v>280</v>
      </c>
      <c r="K711" s="32" t="s">
        <v>154</v>
      </c>
      <c r="L711" s="32" t="s">
        <v>153</v>
      </c>
    </row>
    <row r="712" spans="1:12" ht="23.25" hidden="1" customHeight="1">
      <c r="A712" s="32" t="s">
        <v>181</v>
      </c>
      <c r="B712" s="32">
        <v>90</v>
      </c>
      <c r="C712" s="32" t="s">
        <v>295</v>
      </c>
      <c r="D712" s="32" t="s">
        <v>296</v>
      </c>
      <c r="E712" s="32" t="s">
        <v>24</v>
      </c>
      <c r="F712" s="32" t="s">
        <v>31</v>
      </c>
      <c r="G712" s="32" t="s">
        <v>34</v>
      </c>
      <c r="H712" s="32" t="s">
        <v>41</v>
      </c>
      <c r="I712" s="32" t="s">
        <v>46</v>
      </c>
      <c r="J712" s="32" t="s">
        <v>62</v>
      </c>
    </row>
    <row r="713" spans="1:12" ht="23.25" hidden="1" customHeight="1">
      <c r="A713" s="32" t="s">
        <v>181</v>
      </c>
      <c r="B713" s="32">
        <v>90</v>
      </c>
      <c r="C713" s="32" t="s">
        <v>297</v>
      </c>
      <c r="D713" s="32" t="s">
        <v>289</v>
      </c>
      <c r="E713" s="32" t="s">
        <v>23</v>
      </c>
      <c r="F713" s="32" t="s">
        <v>54</v>
      </c>
      <c r="G713" s="32" t="s">
        <v>56</v>
      </c>
      <c r="H713" s="32" t="s">
        <v>65</v>
      </c>
      <c r="I713" s="32" t="s">
        <v>55</v>
      </c>
      <c r="J713" s="32" t="s">
        <v>91</v>
      </c>
      <c r="K713" s="32" t="s">
        <v>61</v>
      </c>
      <c r="L713" s="32" t="s">
        <v>280</v>
      </c>
    </row>
    <row r="714" spans="1:12" ht="23.25" hidden="1" customHeight="1">
      <c r="A714" s="32" t="s">
        <v>180</v>
      </c>
      <c r="B714" s="32">
        <v>85</v>
      </c>
      <c r="C714" s="32" t="s">
        <v>298</v>
      </c>
      <c r="D714" s="32" t="s">
        <v>291</v>
      </c>
      <c r="E714" s="32" t="s">
        <v>50</v>
      </c>
      <c r="F714" s="32" t="s">
        <v>158</v>
      </c>
      <c r="G714" s="32" t="s">
        <v>44</v>
      </c>
      <c r="H714" s="32" t="s">
        <v>160</v>
      </c>
      <c r="I714" s="32" t="s">
        <v>41</v>
      </c>
      <c r="J714" s="32" t="s">
        <v>46</v>
      </c>
    </row>
    <row r="715" spans="1:12" ht="23.25" hidden="1" customHeight="1">
      <c r="A715" s="32" t="s">
        <v>180</v>
      </c>
      <c r="B715" s="32">
        <v>85</v>
      </c>
      <c r="C715" s="32" t="s">
        <v>299</v>
      </c>
      <c r="D715" s="32" t="s">
        <v>293</v>
      </c>
      <c r="E715" s="32" t="s">
        <v>36</v>
      </c>
      <c r="F715" s="32" t="s">
        <v>53</v>
      </c>
      <c r="G715" s="32" t="s">
        <v>48</v>
      </c>
      <c r="H715" s="32" t="s">
        <v>157</v>
      </c>
      <c r="I715" s="32" t="s">
        <v>87</v>
      </c>
      <c r="J715" s="32" t="s">
        <v>83</v>
      </c>
      <c r="K715" s="32" t="s">
        <v>59</v>
      </c>
      <c r="L715" s="32" t="s">
        <v>64</v>
      </c>
    </row>
    <row r="716" spans="1:12" ht="23.25" hidden="1" customHeight="1">
      <c r="A716" s="32" t="s">
        <v>180</v>
      </c>
      <c r="B716" s="32">
        <v>80</v>
      </c>
      <c r="C716" s="32" t="s">
        <v>300</v>
      </c>
      <c r="D716" s="32" t="s">
        <v>295</v>
      </c>
      <c r="E716" s="32" t="s">
        <v>301</v>
      </c>
      <c r="F716" s="32" t="s">
        <v>72</v>
      </c>
      <c r="G716" s="32" t="s">
        <v>37</v>
      </c>
      <c r="H716" s="32" t="s">
        <v>286</v>
      </c>
      <c r="I716" s="32" t="s">
        <v>52</v>
      </c>
      <c r="J716" s="32" t="s">
        <v>63</v>
      </c>
    </row>
    <row r="717" spans="1:12" ht="23.25" hidden="1" customHeight="1">
      <c r="A717" s="32" t="s">
        <v>180</v>
      </c>
      <c r="B717" s="32">
        <v>80</v>
      </c>
      <c r="C717" s="32" t="s">
        <v>302</v>
      </c>
      <c r="D717" s="32" t="s">
        <v>297</v>
      </c>
      <c r="E717" s="32" t="s">
        <v>70</v>
      </c>
      <c r="F717" s="32" t="s">
        <v>23</v>
      </c>
      <c r="G717" s="32" t="s">
        <v>99</v>
      </c>
      <c r="H717" s="32" t="s">
        <v>42</v>
      </c>
      <c r="I717" s="32" t="s">
        <v>56</v>
      </c>
      <c r="J717" s="32" t="s">
        <v>47</v>
      </c>
      <c r="K717" s="32" t="s">
        <v>87</v>
      </c>
      <c r="L717" s="32" t="s">
        <v>65</v>
      </c>
    </row>
    <row r="718" spans="1:12" ht="23.25" hidden="1" customHeight="1">
      <c r="A718" s="32" t="s">
        <v>179</v>
      </c>
      <c r="B718" s="32">
        <v>78</v>
      </c>
      <c r="C718" s="32" t="s">
        <v>303</v>
      </c>
      <c r="D718" s="32" t="s">
        <v>298</v>
      </c>
      <c r="E718" s="32" t="s">
        <v>304</v>
      </c>
      <c r="F718" s="32" t="s">
        <v>50</v>
      </c>
      <c r="G718" s="32" t="s">
        <v>24</v>
      </c>
      <c r="H718" s="32" t="s">
        <v>31</v>
      </c>
      <c r="I718" s="32" t="s">
        <v>44</v>
      </c>
      <c r="J718" s="32" t="s">
        <v>34</v>
      </c>
    </row>
    <row r="719" spans="1:12" ht="23.25" hidden="1" customHeight="1">
      <c r="A719" s="32" t="s">
        <v>179</v>
      </c>
      <c r="B719" s="32">
        <v>78</v>
      </c>
      <c r="C719" s="32" t="s">
        <v>305</v>
      </c>
      <c r="D719" s="32" t="s">
        <v>299</v>
      </c>
      <c r="E719" s="32" t="s">
        <v>75</v>
      </c>
      <c r="F719" s="32" t="s">
        <v>26</v>
      </c>
      <c r="G719" s="32" t="s">
        <v>137</v>
      </c>
      <c r="H719" s="32" t="s">
        <v>54</v>
      </c>
      <c r="I719" s="32" t="s">
        <v>42</v>
      </c>
      <c r="J719" s="32" t="s">
        <v>56</v>
      </c>
      <c r="K719" s="32" t="s">
        <v>157</v>
      </c>
      <c r="L719" s="32" t="s">
        <v>47</v>
      </c>
    </row>
    <row r="720" spans="1:12" ht="23.25" hidden="1" customHeight="1">
      <c r="A720" s="32" t="s">
        <v>179</v>
      </c>
      <c r="B720" s="32">
        <v>76</v>
      </c>
      <c r="C720" s="32" t="s">
        <v>306</v>
      </c>
      <c r="D720" s="32" t="s">
        <v>300</v>
      </c>
      <c r="E720" s="32" t="s">
        <v>307</v>
      </c>
      <c r="F720" s="32" t="s">
        <v>85</v>
      </c>
      <c r="G720" s="32" t="s">
        <v>145</v>
      </c>
      <c r="H720" s="32" t="s">
        <v>158</v>
      </c>
      <c r="I720" s="32" t="s">
        <v>31</v>
      </c>
      <c r="J720" s="32" t="s">
        <v>44</v>
      </c>
    </row>
    <row r="721" spans="1:12" ht="23.25" hidden="1" customHeight="1">
      <c r="A721" s="32" t="s">
        <v>179</v>
      </c>
      <c r="B721" s="32">
        <v>76</v>
      </c>
      <c r="C721" s="32" t="s">
        <v>308</v>
      </c>
      <c r="D721" s="32" t="s">
        <v>302</v>
      </c>
      <c r="E721" s="32" t="s">
        <v>309</v>
      </c>
      <c r="F721" s="32" t="s">
        <v>27</v>
      </c>
      <c r="G721" s="32" t="s">
        <v>23</v>
      </c>
      <c r="H721" s="32" t="s">
        <v>99</v>
      </c>
      <c r="I721" s="32" t="s">
        <v>54</v>
      </c>
      <c r="J721" s="32" t="s">
        <v>42</v>
      </c>
      <c r="K721" s="32" t="s">
        <v>288</v>
      </c>
      <c r="L721" s="32" t="s">
        <v>56</v>
      </c>
    </row>
    <row r="722" spans="1:12" ht="23.25" hidden="1" customHeight="1">
      <c r="A722" s="32" t="s">
        <v>179</v>
      </c>
      <c r="B722" s="32">
        <v>74</v>
      </c>
      <c r="C722" s="32" t="s">
        <v>310</v>
      </c>
      <c r="D722" s="32" t="s">
        <v>303</v>
      </c>
      <c r="E722" s="32" t="s">
        <v>311</v>
      </c>
      <c r="F722" s="32" t="s">
        <v>312</v>
      </c>
      <c r="G722" s="32" t="s">
        <v>50</v>
      </c>
      <c r="H722" s="32" t="s">
        <v>24</v>
      </c>
      <c r="I722" s="32" t="s">
        <v>158</v>
      </c>
      <c r="J722" s="32" t="s">
        <v>31</v>
      </c>
    </row>
    <row r="723" spans="1:12" ht="23.25" hidden="1" customHeight="1">
      <c r="A723" s="32" t="s">
        <v>179</v>
      </c>
      <c r="B723" s="32">
        <v>74</v>
      </c>
      <c r="C723" s="32" t="s">
        <v>313</v>
      </c>
      <c r="D723" s="32" t="s">
        <v>305</v>
      </c>
      <c r="E723" s="32" t="s">
        <v>45</v>
      </c>
      <c r="F723" s="32" t="s">
        <v>70</v>
      </c>
      <c r="G723" s="32" t="s">
        <v>26</v>
      </c>
      <c r="H723" s="32" t="s">
        <v>137</v>
      </c>
      <c r="I723" s="32" t="s">
        <v>99</v>
      </c>
      <c r="J723" s="32" t="s">
        <v>54</v>
      </c>
      <c r="K723" s="32" t="s">
        <v>48</v>
      </c>
      <c r="L723" s="32" t="s">
        <v>42</v>
      </c>
    </row>
    <row r="724" spans="1:12" ht="23.25" hidden="1" customHeight="1">
      <c r="A724" s="32" t="s">
        <v>179</v>
      </c>
      <c r="B724" s="32">
        <v>72</v>
      </c>
      <c r="C724" s="32" t="s">
        <v>314</v>
      </c>
      <c r="D724" s="32" t="s">
        <v>306</v>
      </c>
      <c r="E724" s="32" t="s">
        <v>315</v>
      </c>
      <c r="F724" s="32" t="s">
        <v>304</v>
      </c>
      <c r="G724" s="32" t="s">
        <v>85</v>
      </c>
      <c r="H724" s="32" t="s">
        <v>145</v>
      </c>
      <c r="I724" s="32" t="s">
        <v>24</v>
      </c>
      <c r="J724" s="32" t="s">
        <v>158</v>
      </c>
    </row>
    <row r="725" spans="1:12" ht="23.25" hidden="1" customHeight="1">
      <c r="A725" s="32" t="s">
        <v>179</v>
      </c>
      <c r="B725" s="32">
        <v>72</v>
      </c>
      <c r="C725" s="32" t="s">
        <v>257</v>
      </c>
      <c r="D725" s="32" t="s">
        <v>308</v>
      </c>
      <c r="E725" s="32" t="s">
        <v>71</v>
      </c>
      <c r="F725" s="32" t="s">
        <v>75</v>
      </c>
      <c r="G725" s="32" t="s">
        <v>27</v>
      </c>
      <c r="H725" s="32" t="s">
        <v>23</v>
      </c>
      <c r="I725" s="32" t="s">
        <v>137</v>
      </c>
      <c r="J725" s="32" t="s">
        <v>99</v>
      </c>
      <c r="K725" s="32" t="s">
        <v>60</v>
      </c>
      <c r="L725" s="32" t="s">
        <v>54</v>
      </c>
    </row>
    <row r="726" spans="1:12" ht="23.25" hidden="1" customHeight="1">
      <c r="A726" s="32" t="s">
        <v>179</v>
      </c>
      <c r="B726" s="32">
        <v>70</v>
      </c>
      <c r="C726" s="32" t="s">
        <v>316</v>
      </c>
      <c r="D726" s="32" t="s">
        <v>310</v>
      </c>
      <c r="E726" s="32" t="s">
        <v>98</v>
      </c>
      <c r="F726" s="32" t="s">
        <v>307</v>
      </c>
      <c r="G726" s="32" t="s">
        <v>312</v>
      </c>
      <c r="H726" s="32" t="s">
        <v>50</v>
      </c>
      <c r="I726" s="32" t="s">
        <v>145</v>
      </c>
      <c r="J726" s="32" t="s">
        <v>24</v>
      </c>
    </row>
    <row r="727" spans="1:12" ht="23.25" hidden="1" customHeight="1">
      <c r="A727" s="32" t="s">
        <v>179</v>
      </c>
      <c r="B727" s="32">
        <v>70</v>
      </c>
      <c r="C727" s="32" t="s">
        <v>317</v>
      </c>
      <c r="D727" s="32" t="s">
        <v>313</v>
      </c>
      <c r="E727" s="32" t="s">
        <v>318</v>
      </c>
      <c r="F727" s="32" t="s">
        <v>309</v>
      </c>
      <c r="G727" s="32" t="s">
        <v>70</v>
      </c>
      <c r="H727" s="32" t="s">
        <v>26</v>
      </c>
      <c r="I727" s="32" t="s">
        <v>23</v>
      </c>
      <c r="J727" s="32" t="s">
        <v>137</v>
      </c>
      <c r="K727" s="32" t="s">
        <v>53</v>
      </c>
      <c r="L727" s="32" t="s">
        <v>99</v>
      </c>
    </row>
    <row r="728" spans="1:12" ht="23.25" hidden="1" customHeight="1">
      <c r="A728" s="32" t="s">
        <v>179</v>
      </c>
      <c r="B728" s="32">
        <v>68</v>
      </c>
      <c r="C728" s="32" t="s">
        <v>319</v>
      </c>
      <c r="D728" s="32" t="s">
        <v>314</v>
      </c>
      <c r="E728" s="32" t="s">
        <v>320</v>
      </c>
      <c r="F728" s="32" t="s">
        <v>311</v>
      </c>
      <c r="G728" s="32" t="s">
        <v>304</v>
      </c>
      <c r="H728" s="32" t="s">
        <v>85</v>
      </c>
      <c r="I728" s="32" t="s">
        <v>50</v>
      </c>
      <c r="J728" s="32" t="s">
        <v>145</v>
      </c>
    </row>
    <row r="729" spans="1:12" ht="23.25" hidden="1" customHeight="1">
      <c r="A729" s="32" t="s">
        <v>179</v>
      </c>
      <c r="B729" s="32">
        <v>68</v>
      </c>
      <c r="C729" s="32" t="s">
        <v>321</v>
      </c>
      <c r="D729" s="32" t="s">
        <v>257</v>
      </c>
      <c r="E729" s="32" t="s">
        <v>67</v>
      </c>
      <c r="F729" s="32" t="s">
        <v>45</v>
      </c>
      <c r="G729" s="32" t="s">
        <v>75</v>
      </c>
      <c r="H729" s="32" t="s">
        <v>27</v>
      </c>
      <c r="I729" s="32" t="s">
        <v>26</v>
      </c>
      <c r="J729" s="32" t="s">
        <v>23</v>
      </c>
      <c r="K729" s="32" t="s">
        <v>38</v>
      </c>
      <c r="L729" s="32" t="s">
        <v>137</v>
      </c>
    </row>
    <row r="730" spans="1:12" ht="23.25" hidden="1" customHeight="1">
      <c r="A730" s="32" t="s">
        <v>179</v>
      </c>
      <c r="B730" s="32">
        <v>66</v>
      </c>
      <c r="C730" s="32" t="s">
        <v>322</v>
      </c>
      <c r="D730" s="32" t="s">
        <v>316</v>
      </c>
      <c r="E730" s="32" t="s">
        <v>323</v>
      </c>
      <c r="F730" s="32" t="s">
        <v>315</v>
      </c>
      <c r="G730" s="32" t="s">
        <v>307</v>
      </c>
      <c r="H730" s="32" t="s">
        <v>312</v>
      </c>
      <c r="I730" s="32" t="s">
        <v>324</v>
      </c>
      <c r="J730" s="32" t="s">
        <v>50</v>
      </c>
    </row>
    <row r="731" spans="1:12" ht="23.25" hidden="1" customHeight="1">
      <c r="A731" s="32" t="s">
        <v>179</v>
      </c>
      <c r="B731" s="32">
        <v>66</v>
      </c>
      <c r="C731" s="32" t="s">
        <v>325</v>
      </c>
      <c r="D731" s="32" t="s">
        <v>317</v>
      </c>
      <c r="E731" s="32" t="s">
        <v>326</v>
      </c>
      <c r="F731" s="32" t="s">
        <v>71</v>
      </c>
      <c r="G731" s="32" t="s">
        <v>309</v>
      </c>
      <c r="H731" s="32" t="s">
        <v>70</v>
      </c>
      <c r="I731" s="32" t="s">
        <v>27</v>
      </c>
      <c r="J731" s="32" t="s">
        <v>26</v>
      </c>
      <c r="K731" s="32" t="s">
        <v>327</v>
      </c>
      <c r="L731" s="32" t="s">
        <v>23</v>
      </c>
    </row>
    <row r="732" spans="1:12" ht="23.25" hidden="1" customHeight="1">
      <c r="A732" s="32" t="s">
        <v>179</v>
      </c>
      <c r="B732" s="32">
        <v>64</v>
      </c>
      <c r="C732" s="32" t="s">
        <v>328</v>
      </c>
      <c r="D732" s="32" t="s">
        <v>319</v>
      </c>
      <c r="E732" s="32" t="s">
        <v>329</v>
      </c>
      <c r="F732" s="32" t="s">
        <v>98</v>
      </c>
      <c r="G732" s="32" t="s">
        <v>311</v>
      </c>
      <c r="H732" s="32" t="s">
        <v>304</v>
      </c>
      <c r="I732" s="32" t="s">
        <v>312</v>
      </c>
      <c r="J732" s="32" t="s">
        <v>85</v>
      </c>
    </row>
    <row r="733" spans="1:12" ht="23.25" hidden="1" customHeight="1">
      <c r="A733" s="32" t="s">
        <v>179</v>
      </c>
      <c r="B733" s="32">
        <v>64</v>
      </c>
      <c r="C733" s="32" t="s">
        <v>330</v>
      </c>
      <c r="D733" s="32" t="s">
        <v>321</v>
      </c>
      <c r="E733" s="32" t="s">
        <v>331</v>
      </c>
      <c r="F733" s="32" t="s">
        <v>318</v>
      </c>
      <c r="G733" s="32" t="s">
        <v>45</v>
      </c>
      <c r="H733" s="32" t="s">
        <v>75</v>
      </c>
      <c r="I733" s="32" t="s">
        <v>70</v>
      </c>
      <c r="J733" s="32" t="s">
        <v>27</v>
      </c>
      <c r="K733" s="32" t="s">
        <v>36</v>
      </c>
      <c r="L733" s="32" t="s">
        <v>26</v>
      </c>
    </row>
    <row r="734" spans="1:12" ht="23.25" hidden="1" customHeight="1">
      <c r="A734" s="32" t="s">
        <v>179</v>
      </c>
      <c r="B734" s="32">
        <v>62</v>
      </c>
      <c r="C734" s="32" t="s">
        <v>332</v>
      </c>
      <c r="D734" s="32" t="s">
        <v>322</v>
      </c>
      <c r="E734" s="32" t="s">
        <v>333</v>
      </c>
      <c r="F734" s="32" t="s">
        <v>320</v>
      </c>
      <c r="G734" s="32" t="s">
        <v>315</v>
      </c>
      <c r="H734" s="32" t="s">
        <v>307</v>
      </c>
      <c r="I734" s="32" t="s">
        <v>304</v>
      </c>
      <c r="J734" s="32" t="s">
        <v>312</v>
      </c>
    </row>
    <row r="735" spans="1:12" ht="23.25" hidden="1" customHeight="1">
      <c r="A735" s="32" t="s">
        <v>179</v>
      </c>
      <c r="B735" s="32">
        <v>62</v>
      </c>
      <c r="C735" s="32" t="s">
        <v>334</v>
      </c>
      <c r="D735" s="32" t="s">
        <v>325</v>
      </c>
      <c r="E735" s="32" t="s">
        <v>335</v>
      </c>
      <c r="F735" s="32" t="s">
        <v>67</v>
      </c>
      <c r="G735" s="32" t="s">
        <v>71</v>
      </c>
      <c r="H735" s="32" t="s">
        <v>309</v>
      </c>
      <c r="I735" s="32" t="s">
        <v>75</v>
      </c>
      <c r="J735" s="32" t="s">
        <v>70</v>
      </c>
      <c r="K735" s="32" t="s">
        <v>77</v>
      </c>
      <c r="L735" s="32" t="s">
        <v>27</v>
      </c>
    </row>
    <row r="736" spans="1:12" ht="23.25" hidden="1" customHeight="1">
      <c r="A736" s="32" t="s">
        <v>179</v>
      </c>
      <c r="B736" s="32">
        <v>60</v>
      </c>
      <c r="C736" s="32" t="s">
        <v>336</v>
      </c>
      <c r="D736" s="32" t="s">
        <v>328</v>
      </c>
      <c r="E736" s="32" t="s">
        <v>337</v>
      </c>
      <c r="F736" s="32" t="s">
        <v>323</v>
      </c>
      <c r="G736" s="32" t="s">
        <v>98</v>
      </c>
      <c r="H736" s="32" t="s">
        <v>311</v>
      </c>
      <c r="I736" s="32" t="s">
        <v>307</v>
      </c>
      <c r="J736" s="32" t="s">
        <v>304</v>
      </c>
    </row>
    <row r="737" spans="1:12" ht="23.25" hidden="1" customHeight="1">
      <c r="A737" s="32" t="s">
        <v>179</v>
      </c>
      <c r="B737" s="32">
        <v>60</v>
      </c>
      <c r="C737" s="32" t="s">
        <v>338</v>
      </c>
      <c r="D737" s="32" t="s">
        <v>330</v>
      </c>
      <c r="E737" s="32" t="s">
        <v>339</v>
      </c>
      <c r="F737" s="32" t="s">
        <v>326</v>
      </c>
      <c r="G737" s="32" t="s">
        <v>318</v>
      </c>
      <c r="H737" s="32" t="s">
        <v>45</v>
      </c>
      <c r="I737" s="32" t="s">
        <v>309</v>
      </c>
      <c r="J737" s="32" t="s">
        <v>75</v>
      </c>
      <c r="K737" s="32" t="s">
        <v>97</v>
      </c>
      <c r="L737" s="32" t="s">
        <v>70</v>
      </c>
    </row>
    <row r="738" spans="1:12" ht="23.25" hidden="1" customHeight="1">
      <c r="A738" s="32" t="s">
        <v>178</v>
      </c>
      <c r="B738" s="32">
        <v>50</v>
      </c>
      <c r="C738" s="32" t="s">
        <v>340</v>
      </c>
      <c r="D738" s="32" t="s">
        <v>332</v>
      </c>
      <c r="E738" s="32" t="s">
        <v>341</v>
      </c>
      <c r="F738" s="32" t="s">
        <v>329</v>
      </c>
      <c r="G738" s="32" t="s">
        <v>320</v>
      </c>
      <c r="H738" s="32" t="s">
        <v>315</v>
      </c>
      <c r="I738" s="32" t="s">
        <v>311</v>
      </c>
      <c r="J738" s="32" t="s">
        <v>307</v>
      </c>
    </row>
    <row r="739" spans="1:12" ht="23.25" hidden="1" customHeight="1">
      <c r="A739" s="32" t="s">
        <v>178</v>
      </c>
      <c r="B739" s="32">
        <v>50</v>
      </c>
      <c r="C739" s="32" t="s">
        <v>342</v>
      </c>
      <c r="D739" s="32" t="s">
        <v>336</v>
      </c>
      <c r="E739" s="32" t="s">
        <v>343</v>
      </c>
      <c r="F739" s="32" t="s">
        <v>344</v>
      </c>
      <c r="G739" s="32" t="s">
        <v>335</v>
      </c>
      <c r="H739" s="32" t="s">
        <v>326</v>
      </c>
      <c r="I739" s="32" t="s">
        <v>67</v>
      </c>
      <c r="J739" s="32" t="s">
        <v>318</v>
      </c>
      <c r="K739" s="32" t="s">
        <v>345</v>
      </c>
      <c r="L739" s="32" t="s">
        <v>71</v>
      </c>
    </row>
    <row r="740" spans="1:12" ht="23.25" hidden="1" customHeight="1">
      <c r="A740" s="32" t="s">
        <v>178</v>
      </c>
      <c r="B740" s="32">
        <v>40</v>
      </c>
      <c r="C740" s="32" t="s">
        <v>346</v>
      </c>
      <c r="D740" s="32" t="s">
        <v>347</v>
      </c>
      <c r="E740" s="32" t="s">
        <v>348</v>
      </c>
      <c r="F740" s="32" t="s">
        <v>349</v>
      </c>
      <c r="G740" s="32" t="s">
        <v>337</v>
      </c>
      <c r="H740" s="32" t="s">
        <v>329</v>
      </c>
      <c r="I740" s="32" t="s">
        <v>323</v>
      </c>
      <c r="J740" s="32" t="s">
        <v>320</v>
      </c>
    </row>
    <row r="741" spans="1:12" ht="23.25" hidden="1" customHeight="1">
      <c r="A741" s="32" t="s">
        <v>178</v>
      </c>
      <c r="B741" s="32">
        <v>40</v>
      </c>
      <c r="C741" s="32" t="s">
        <v>350</v>
      </c>
      <c r="D741" s="32" t="s">
        <v>351</v>
      </c>
      <c r="E741" s="32" t="s">
        <v>352</v>
      </c>
      <c r="F741" s="32" t="s">
        <v>353</v>
      </c>
      <c r="G741" s="32" t="s">
        <v>354</v>
      </c>
      <c r="H741" s="32" t="s">
        <v>344</v>
      </c>
      <c r="I741" s="32" t="s">
        <v>339</v>
      </c>
      <c r="J741" s="32" t="s">
        <v>335</v>
      </c>
      <c r="K741" s="32" t="s">
        <v>355</v>
      </c>
      <c r="L741" s="32" t="s">
        <v>331</v>
      </c>
    </row>
    <row r="742" spans="1:12" ht="23.25" hidden="1" customHeight="1">
      <c r="A742" s="32" t="s">
        <v>178</v>
      </c>
      <c r="B742" s="32">
        <v>30</v>
      </c>
      <c r="C742" s="32" t="s">
        <v>356</v>
      </c>
      <c r="D742" s="32" t="s">
        <v>346</v>
      </c>
      <c r="E742" s="32" t="s">
        <v>357</v>
      </c>
      <c r="F742" s="32" t="s">
        <v>358</v>
      </c>
      <c r="G742" s="32" t="s">
        <v>359</v>
      </c>
      <c r="H742" s="32" t="s">
        <v>360</v>
      </c>
      <c r="I742" s="32" t="s">
        <v>341</v>
      </c>
      <c r="J742" s="32" t="s">
        <v>337</v>
      </c>
    </row>
    <row r="743" spans="1:12" ht="23.25" hidden="1" customHeight="1">
      <c r="A743" s="32" t="s">
        <v>178</v>
      </c>
      <c r="B743" s="32">
        <v>30</v>
      </c>
      <c r="C743" s="32" t="s">
        <v>361</v>
      </c>
      <c r="D743" s="32" t="s">
        <v>362</v>
      </c>
      <c r="E743" s="32" t="s">
        <v>363</v>
      </c>
      <c r="F743" s="32" t="s">
        <v>364</v>
      </c>
      <c r="G743" s="32" t="s">
        <v>365</v>
      </c>
      <c r="H743" s="32" t="s">
        <v>353</v>
      </c>
      <c r="I743" s="32" t="s">
        <v>343</v>
      </c>
      <c r="J743" s="32" t="s">
        <v>354</v>
      </c>
      <c r="K743" s="32" t="s">
        <v>366</v>
      </c>
      <c r="L743" s="32" t="s">
        <v>367</v>
      </c>
    </row>
    <row r="744" spans="1:12" ht="23.25" hidden="1" customHeight="1">
      <c r="A744" s="32" t="s">
        <v>178</v>
      </c>
      <c r="B744" s="32">
        <v>20</v>
      </c>
      <c r="C744" s="32" t="s">
        <v>368</v>
      </c>
      <c r="D744" s="32" t="s">
        <v>369</v>
      </c>
      <c r="E744" s="32" t="s">
        <v>370</v>
      </c>
      <c r="F744" s="32" t="s">
        <v>371</v>
      </c>
      <c r="G744" s="32" t="s">
        <v>372</v>
      </c>
      <c r="H744" s="32" t="s">
        <v>358</v>
      </c>
      <c r="I744" s="32" t="s">
        <v>348</v>
      </c>
      <c r="J744" s="32" t="s">
        <v>359</v>
      </c>
    </row>
    <row r="745" spans="1:12" ht="23.25" hidden="1" customHeight="1">
      <c r="A745" s="32" t="s">
        <v>178</v>
      </c>
      <c r="B745" s="32">
        <v>20</v>
      </c>
      <c r="C745" s="32" t="s">
        <v>373</v>
      </c>
      <c r="D745" s="32" t="s">
        <v>374</v>
      </c>
      <c r="E745" s="32" t="s">
        <v>375</v>
      </c>
      <c r="F745" s="32" t="s">
        <v>376</v>
      </c>
      <c r="G745" s="32" t="s">
        <v>377</v>
      </c>
      <c r="H745" s="32" t="s">
        <v>364</v>
      </c>
      <c r="I745" s="32" t="s">
        <v>352</v>
      </c>
      <c r="J745" s="32" t="s">
        <v>365</v>
      </c>
      <c r="K745" s="32" t="s">
        <v>378</v>
      </c>
      <c r="L745" s="32" t="s">
        <v>379</v>
      </c>
    </row>
    <row r="746" spans="1:12" ht="23.25" hidden="1" customHeight="1">
      <c r="A746" s="32" t="s">
        <v>178</v>
      </c>
      <c r="B746" s="32">
        <v>10</v>
      </c>
      <c r="C746" s="32" t="s">
        <v>380</v>
      </c>
      <c r="D746" s="32" t="s">
        <v>381</v>
      </c>
      <c r="E746" s="32" t="s">
        <v>382</v>
      </c>
      <c r="F746" s="32" t="s">
        <v>360</v>
      </c>
      <c r="G746" s="32" t="s">
        <v>383</v>
      </c>
      <c r="H746" s="32" t="s">
        <v>371</v>
      </c>
      <c r="I746" s="32" t="s">
        <v>357</v>
      </c>
      <c r="J746" s="32" t="s">
        <v>372</v>
      </c>
    </row>
    <row r="747" spans="1:12" ht="23.25" hidden="1" customHeight="1">
      <c r="A747" s="32" t="s">
        <v>178</v>
      </c>
      <c r="B747" s="32">
        <v>10</v>
      </c>
      <c r="C747" s="32" t="s">
        <v>384</v>
      </c>
      <c r="D747" s="32" t="s">
        <v>385</v>
      </c>
      <c r="E747" s="32" t="s">
        <v>386</v>
      </c>
      <c r="F747" s="32" t="s">
        <v>387</v>
      </c>
      <c r="G747" s="32" t="s">
        <v>388</v>
      </c>
      <c r="H747" s="32" t="s">
        <v>376</v>
      </c>
      <c r="I747" s="32" t="s">
        <v>363</v>
      </c>
      <c r="J747" s="32" t="s">
        <v>377</v>
      </c>
      <c r="K747" s="32" t="s">
        <v>389</v>
      </c>
      <c r="L747" s="32" t="s">
        <v>390</v>
      </c>
    </row>
    <row r="748" spans="1:12" ht="23.25" hidden="1" customHeight="1">
      <c r="A748" s="32" t="s">
        <v>178</v>
      </c>
      <c r="B748" s="32">
        <v>0</v>
      </c>
      <c r="C748" s="32" t="s">
        <v>391</v>
      </c>
      <c r="D748" s="32" t="s">
        <v>392</v>
      </c>
      <c r="E748" s="32" t="s">
        <v>393</v>
      </c>
      <c r="F748" s="32" t="s">
        <v>394</v>
      </c>
      <c r="G748" s="32" t="s">
        <v>395</v>
      </c>
      <c r="H748" s="32" t="s">
        <v>383</v>
      </c>
      <c r="I748" s="32" t="s">
        <v>370</v>
      </c>
      <c r="J748" s="32" t="s">
        <v>383</v>
      </c>
    </row>
    <row r="749" spans="1:12" ht="23.25" hidden="1" customHeight="1">
      <c r="A749" s="32" t="s">
        <v>178</v>
      </c>
      <c r="B749" s="32">
        <v>0</v>
      </c>
      <c r="C749" s="32" t="s">
        <v>54</v>
      </c>
      <c r="D749" s="32" t="s">
        <v>54</v>
      </c>
      <c r="E749" s="32" t="s">
        <v>396</v>
      </c>
      <c r="F749" s="32" t="s">
        <v>396</v>
      </c>
      <c r="G749" s="32" t="s">
        <v>396</v>
      </c>
      <c r="H749" s="32" t="s">
        <v>396</v>
      </c>
      <c r="I749" s="32" t="s">
        <v>396</v>
      </c>
      <c r="J749" s="32" t="s">
        <v>396</v>
      </c>
    </row>
    <row r="750" spans="1:12" ht="23.25" hidden="1" customHeight="1">
      <c r="A750" s="37" t="s">
        <v>397</v>
      </c>
      <c r="B750" s="37"/>
      <c r="C750" s="37"/>
      <c r="D750" s="37"/>
      <c r="E750" s="37"/>
      <c r="F750" s="37"/>
      <c r="G750" s="37"/>
      <c r="H750" s="37"/>
      <c r="I750" s="37"/>
      <c r="J750" s="37"/>
    </row>
    <row r="751" spans="1:12" ht="23.25" hidden="1" customHeight="1">
      <c r="A751" s="37" t="s">
        <v>398</v>
      </c>
      <c r="B751" s="37"/>
      <c r="C751" s="37"/>
      <c r="D751" s="37"/>
      <c r="E751" s="37"/>
      <c r="F751" s="37"/>
      <c r="G751" s="37"/>
      <c r="H751" s="37"/>
      <c r="I751" s="37"/>
      <c r="J751" s="37"/>
    </row>
    <row r="752" spans="1:12" ht="23.25" hidden="1" customHeight="1">
      <c r="A752" s="37" t="s">
        <v>163</v>
      </c>
      <c r="B752" s="32" t="s">
        <v>164</v>
      </c>
      <c r="C752" s="37" t="s">
        <v>169</v>
      </c>
      <c r="D752" s="37" t="s">
        <v>170</v>
      </c>
      <c r="E752" s="37" t="s">
        <v>171</v>
      </c>
      <c r="F752" s="37" t="s">
        <v>172</v>
      </c>
      <c r="G752" s="37" t="s">
        <v>173</v>
      </c>
      <c r="H752" s="37" t="s">
        <v>174</v>
      </c>
      <c r="I752" s="37" t="s">
        <v>175</v>
      </c>
      <c r="J752" s="37" t="s">
        <v>176</v>
      </c>
      <c r="K752" s="32" t="s">
        <v>240</v>
      </c>
      <c r="L752" s="32" t="s">
        <v>241</v>
      </c>
    </row>
    <row r="753" spans="1:12" ht="23.25" hidden="1" customHeight="1">
      <c r="A753" s="37"/>
      <c r="B753" s="32" t="s">
        <v>177</v>
      </c>
      <c r="C753" s="37"/>
      <c r="D753" s="37"/>
      <c r="E753" s="37"/>
      <c r="F753" s="37"/>
      <c r="G753" s="37"/>
      <c r="H753" s="37"/>
      <c r="I753" s="37"/>
      <c r="J753" s="37"/>
      <c r="K753" s="32" t="s">
        <v>242</v>
      </c>
      <c r="L753" s="32" t="s">
        <v>243</v>
      </c>
    </row>
    <row r="754" spans="1:12" ht="23.25" hidden="1" customHeight="1">
      <c r="A754" s="32" t="s">
        <v>181</v>
      </c>
      <c r="B754" s="32">
        <v>150</v>
      </c>
      <c r="E754" s="32" t="s">
        <v>257</v>
      </c>
      <c r="F754" s="32" t="s">
        <v>257</v>
      </c>
      <c r="G754" s="32" t="s">
        <v>257</v>
      </c>
      <c r="H754" s="32" t="s">
        <v>257</v>
      </c>
      <c r="I754" s="32" t="s">
        <v>257</v>
      </c>
      <c r="J754" s="32" t="s">
        <v>257</v>
      </c>
    </row>
    <row r="755" spans="1:12" ht="23.25" hidden="1" customHeight="1">
      <c r="A755" s="32" t="s">
        <v>181</v>
      </c>
      <c r="B755" s="32">
        <v>150</v>
      </c>
      <c r="E755" s="32" t="s">
        <v>262</v>
      </c>
      <c r="F755" s="32" t="s">
        <v>399</v>
      </c>
      <c r="G755" s="32" t="s">
        <v>380</v>
      </c>
      <c r="H755" s="32" t="s">
        <v>373</v>
      </c>
      <c r="I755" s="32" t="s">
        <v>385</v>
      </c>
      <c r="J755" s="32" t="s">
        <v>361</v>
      </c>
    </row>
    <row r="756" spans="1:12" ht="23.25" hidden="1" customHeight="1">
      <c r="A756" s="32" t="s">
        <v>181</v>
      </c>
      <c r="B756" s="32">
        <v>145</v>
      </c>
      <c r="E756" s="32" t="s">
        <v>268</v>
      </c>
      <c r="F756" s="32" t="s">
        <v>400</v>
      </c>
      <c r="G756" s="32" t="s">
        <v>401</v>
      </c>
      <c r="H756" s="32" t="s">
        <v>380</v>
      </c>
      <c r="I756" s="32" t="s">
        <v>392</v>
      </c>
      <c r="J756" s="32" t="s">
        <v>368</v>
      </c>
    </row>
    <row r="757" spans="1:12" ht="23.25" hidden="1" customHeight="1">
      <c r="A757" s="32" t="s">
        <v>181</v>
      </c>
      <c r="B757" s="32">
        <v>145</v>
      </c>
      <c r="E757" s="32" t="s">
        <v>261</v>
      </c>
      <c r="F757" s="32" t="s">
        <v>262</v>
      </c>
      <c r="G757" s="32" t="s">
        <v>399</v>
      </c>
      <c r="H757" s="32" t="s">
        <v>391</v>
      </c>
      <c r="I757" s="32" t="s">
        <v>402</v>
      </c>
      <c r="J757" s="32" t="s">
        <v>380</v>
      </c>
    </row>
    <row r="758" spans="1:12" ht="23.25" hidden="1" customHeight="1">
      <c r="A758" s="32" t="s">
        <v>181</v>
      </c>
      <c r="B758" s="32">
        <v>140</v>
      </c>
      <c r="E758" s="32" t="s">
        <v>267</v>
      </c>
      <c r="F758" s="32" t="s">
        <v>268</v>
      </c>
      <c r="G758" s="32" t="s">
        <v>400</v>
      </c>
      <c r="H758" s="32" t="s">
        <v>399</v>
      </c>
      <c r="I758" s="32" t="s">
        <v>384</v>
      </c>
      <c r="J758" s="32" t="s">
        <v>401</v>
      </c>
    </row>
    <row r="759" spans="1:12" ht="23.25" hidden="1" customHeight="1">
      <c r="A759" s="32" t="s">
        <v>181</v>
      </c>
      <c r="B759" s="32">
        <v>140</v>
      </c>
      <c r="E759" s="32" t="s">
        <v>260</v>
      </c>
      <c r="F759" s="32" t="s">
        <v>261</v>
      </c>
      <c r="G759" s="32" t="s">
        <v>262</v>
      </c>
      <c r="H759" s="32" t="s">
        <v>403</v>
      </c>
      <c r="I759" s="32" t="s">
        <v>404</v>
      </c>
      <c r="J759" s="32" t="s">
        <v>399</v>
      </c>
    </row>
    <row r="760" spans="1:12" ht="23.25" hidden="1" customHeight="1">
      <c r="A760" s="32" t="s">
        <v>181</v>
      </c>
      <c r="B760" s="32">
        <v>135</v>
      </c>
      <c r="E760" s="32" t="s">
        <v>266</v>
      </c>
      <c r="F760" s="32" t="s">
        <v>267</v>
      </c>
      <c r="G760" s="32" t="s">
        <v>268</v>
      </c>
      <c r="H760" s="32" t="s">
        <v>262</v>
      </c>
      <c r="I760" s="32" t="s">
        <v>405</v>
      </c>
      <c r="J760" s="32" t="s">
        <v>400</v>
      </c>
    </row>
    <row r="761" spans="1:12" ht="23.25" hidden="1" customHeight="1">
      <c r="A761" s="32" t="s">
        <v>181</v>
      </c>
      <c r="B761" s="32">
        <v>135</v>
      </c>
      <c r="E761" s="32" t="s">
        <v>281</v>
      </c>
      <c r="F761" s="32" t="s">
        <v>260</v>
      </c>
      <c r="G761" s="32" t="s">
        <v>261</v>
      </c>
      <c r="H761" s="32" t="s">
        <v>274</v>
      </c>
      <c r="I761" s="32" t="s">
        <v>406</v>
      </c>
      <c r="J761" s="32" t="s">
        <v>262</v>
      </c>
    </row>
    <row r="762" spans="1:12" ht="23.25" hidden="1" customHeight="1">
      <c r="A762" s="32" t="s">
        <v>181</v>
      </c>
      <c r="B762" s="32">
        <v>130</v>
      </c>
      <c r="E762" s="32" t="s">
        <v>276</v>
      </c>
      <c r="F762" s="32" t="s">
        <v>266</v>
      </c>
      <c r="G762" s="32" t="s">
        <v>267</v>
      </c>
      <c r="H762" s="32" t="s">
        <v>261</v>
      </c>
      <c r="I762" s="32" t="s">
        <v>271</v>
      </c>
      <c r="J762" s="32" t="s">
        <v>268</v>
      </c>
    </row>
    <row r="763" spans="1:12" ht="23.25" hidden="1" customHeight="1">
      <c r="A763" s="32" t="s">
        <v>181</v>
      </c>
      <c r="B763" s="32">
        <v>130</v>
      </c>
      <c r="E763" s="32" t="s">
        <v>259</v>
      </c>
      <c r="F763" s="32" t="s">
        <v>281</v>
      </c>
      <c r="G763" s="32" t="s">
        <v>260</v>
      </c>
      <c r="H763" s="32" t="s">
        <v>273</v>
      </c>
      <c r="I763" s="32" t="s">
        <v>279</v>
      </c>
      <c r="J763" s="32" t="s">
        <v>261</v>
      </c>
    </row>
    <row r="764" spans="1:12" ht="23.25" hidden="1" customHeight="1">
      <c r="A764" s="32" t="s">
        <v>181</v>
      </c>
      <c r="B764" s="32">
        <v>125</v>
      </c>
      <c r="E764" s="32" t="s">
        <v>265</v>
      </c>
      <c r="F764" s="32" t="s">
        <v>276</v>
      </c>
      <c r="G764" s="32" t="s">
        <v>266</v>
      </c>
      <c r="H764" s="32" t="s">
        <v>260</v>
      </c>
      <c r="I764" s="32" t="s">
        <v>270</v>
      </c>
      <c r="J764" s="32" t="s">
        <v>267</v>
      </c>
    </row>
    <row r="765" spans="1:12" ht="23.25" hidden="1" customHeight="1">
      <c r="A765" s="32" t="s">
        <v>181</v>
      </c>
      <c r="B765" s="32">
        <v>125</v>
      </c>
      <c r="E765" s="32" t="s">
        <v>94</v>
      </c>
      <c r="F765" s="32" t="s">
        <v>259</v>
      </c>
      <c r="G765" s="32" t="s">
        <v>281</v>
      </c>
      <c r="H765" s="32" t="s">
        <v>272</v>
      </c>
      <c r="I765" s="32" t="s">
        <v>278</v>
      </c>
      <c r="J765" s="32" t="s">
        <v>260</v>
      </c>
    </row>
    <row r="766" spans="1:12" ht="23.25" hidden="1" customHeight="1">
      <c r="A766" s="32" t="s">
        <v>181</v>
      </c>
      <c r="B766" s="32">
        <v>120</v>
      </c>
      <c r="E766" s="32" t="s">
        <v>275</v>
      </c>
      <c r="F766" s="32" t="s">
        <v>265</v>
      </c>
      <c r="G766" s="32" t="s">
        <v>276</v>
      </c>
      <c r="H766" s="32" t="s">
        <v>281</v>
      </c>
      <c r="I766" s="32" t="s">
        <v>269</v>
      </c>
      <c r="J766" s="32" t="s">
        <v>266</v>
      </c>
    </row>
    <row r="767" spans="1:12" ht="23.25" hidden="1" customHeight="1">
      <c r="A767" s="32" t="s">
        <v>181</v>
      </c>
      <c r="B767" s="32">
        <v>120</v>
      </c>
      <c r="E767" s="32" t="s">
        <v>258</v>
      </c>
      <c r="F767" s="32" t="s">
        <v>94</v>
      </c>
      <c r="G767" s="32" t="s">
        <v>259</v>
      </c>
      <c r="H767" s="32" t="s">
        <v>156</v>
      </c>
      <c r="I767" s="32" t="s">
        <v>277</v>
      </c>
      <c r="J767" s="32" t="s">
        <v>281</v>
      </c>
    </row>
    <row r="768" spans="1:12" ht="23.25" hidden="1" customHeight="1">
      <c r="A768" s="32" t="s">
        <v>181</v>
      </c>
      <c r="B768" s="32">
        <v>115</v>
      </c>
      <c r="E768" s="32" t="s">
        <v>264</v>
      </c>
      <c r="F768" s="32" t="s">
        <v>275</v>
      </c>
      <c r="G768" s="32" t="s">
        <v>265</v>
      </c>
      <c r="H768" s="32" t="s">
        <v>259</v>
      </c>
      <c r="I768" s="32" t="s">
        <v>283</v>
      </c>
      <c r="J768" s="32" t="s">
        <v>276</v>
      </c>
    </row>
    <row r="769" spans="1:12" ht="23.25" hidden="1" customHeight="1">
      <c r="A769" s="32" t="s">
        <v>181</v>
      </c>
      <c r="B769" s="32">
        <v>115</v>
      </c>
      <c r="E769" s="32" t="s">
        <v>153</v>
      </c>
      <c r="F769" s="32" t="s">
        <v>258</v>
      </c>
      <c r="G769" s="32" t="s">
        <v>94</v>
      </c>
      <c r="H769" s="32" t="s">
        <v>100</v>
      </c>
      <c r="I769" s="32" t="s">
        <v>282</v>
      </c>
      <c r="J769" s="32" t="s">
        <v>259</v>
      </c>
    </row>
    <row r="770" spans="1:12" ht="23.25" hidden="1" customHeight="1">
      <c r="A770" s="32" t="s">
        <v>181</v>
      </c>
      <c r="B770" s="32">
        <v>110</v>
      </c>
      <c r="E770" s="32" t="s">
        <v>407</v>
      </c>
      <c r="F770" s="32" t="s">
        <v>264</v>
      </c>
      <c r="G770" s="32" t="s">
        <v>275</v>
      </c>
      <c r="H770" s="32" t="s">
        <v>94</v>
      </c>
      <c r="I770" s="32" t="s">
        <v>88</v>
      </c>
      <c r="J770" s="32" t="s">
        <v>265</v>
      </c>
    </row>
    <row r="771" spans="1:12" ht="23.25" hidden="1" customHeight="1">
      <c r="A771" s="32" t="s">
        <v>181</v>
      </c>
      <c r="B771" s="32">
        <v>110</v>
      </c>
      <c r="E771" s="32" t="s">
        <v>280</v>
      </c>
      <c r="F771" s="32" t="s">
        <v>153</v>
      </c>
      <c r="G771" s="32" t="s">
        <v>258</v>
      </c>
      <c r="H771" s="32" t="s">
        <v>161</v>
      </c>
      <c r="I771" s="32" t="s">
        <v>89</v>
      </c>
      <c r="J771" s="32" t="s">
        <v>94</v>
      </c>
    </row>
    <row r="772" spans="1:12" ht="23.25" hidden="1" customHeight="1">
      <c r="A772" s="32" t="s">
        <v>181</v>
      </c>
      <c r="B772" s="32">
        <v>105</v>
      </c>
      <c r="E772" s="32" t="s">
        <v>62</v>
      </c>
      <c r="F772" s="32" t="s">
        <v>263</v>
      </c>
      <c r="G772" s="32" t="s">
        <v>408</v>
      </c>
      <c r="H772" s="32" t="s">
        <v>258</v>
      </c>
      <c r="I772" s="32" t="s">
        <v>285</v>
      </c>
      <c r="J772" s="32" t="s">
        <v>275</v>
      </c>
    </row>
    <row r="773" spans="1:12" ht="23.25" hidden="1" customHeight="1">
      <c r="A773" s="32" t="s">
        <v>181</v>
      </c>
      <c r="B773" s="32">
        <v>105</v>
      </c>
      <c r="E773" s="32" t="s">
        <v>91</v>
      </c>
      <c r="F773" s="32" t="s">
        <v>280</v>
      </c>
      <c r="G773" s="32" t="s">
        <v>153</v>
      </c>
      <c r="H773" s="32" t="s">
        <v>152</v>
      </c>
      <c r="I773" s="32" t="s">
        <v>151</v>
      </c>
      <c r="J773" s="32" t="s">
        <v>258</v>
      </c>
    </row>
    <row r="774" spans="1:12" ht="23.25" hidden="1" customHeight="1">
      <c r="A774" s="32" t="s">
        <v>181</v>
      </c>
      <c r="B774" s="32">
        <v>100</v>
      </c>
      <c r="C774" s="32" t="s">
        <v>409</v>
      </c>
      <c r="D774" s="32" t="s">
        <v>409</v>
      </c>
      <c r="E774" s="32" t="s">
        <v>46</v>
      </c>
      <c r="F774" s="32" t="s">
        <v>62</v>
      </c>
      <c r="G774" s="32" t="s">
        <v>263</v>
      </c>
      <c r="H774" s="32" t="s">
        <v>153</v>
      </c>
      <c r="I774" s="32" t="s">
        <v>82</v>
      </c>
      <c r="J774" s="32" t="s">
        <v>264</v>
      </c>
    </row>
    <row r="775" spans="1:12" ht="23.25" hidden="1" customHeight="1">
      <c r="A775" s="32" t="s">
        <v>181</v>
      </c>
      <c r="B775" s="32">
        <v>100</v>
      </c>
      <c r="C775" s="32" t="s">
        <v>410</v>
      </c>
      <c r="D775" s="32" t="s">
        <v>291</v>
      </c>
      <c r="E775" s="32" t="s">
        <v>55</v>
      </c>
      <c r="F775" s="32" t="s">
        <v>91</v>
      </c>
      <c r="G775" s="32" t="s">
        <v>280</v>
      </c>
      <c r="H775" s="32" t="s">
        <v>155</v>
      </c>
      <c r="I775" s="32" t="s">
        <v>154</v>
      </c>
      <c r="J775" s="32" t="s">
        <v>153</v>
      </c>
      <c r="K775" s="32" t="s">
        <v>82</v>
      </c>
      <c r="L775" s="32" t="s">
        <v>264</v>
      </c>
    </row>
    <row r="776" spans="1:12" ht="23.25" hidden="1" customHeight="1">
      <c r="A776" s="32" t="s">
        <v>181</v>
      </c>
      <c r="B776" s="32">
        <v>95</v>
      </c>
      <c r="C776" s="32" t="s">
        <v>297</v>
      </c>
      <c r="D776" s="32" t="s">
        <v>411</v>
      </c>
      <c r="E776" s="32" t="s">
        <v>41</v>
      </c>
      <c r="F776" s="32" t="s">
        <v>412</v>
      </c>
      <c r="G776" s="32" t="s">
        <v>62</v>
      </c>
      <c r="H776" s="32" t="s">
        <v>413</v>
      </c>
      <c r="I776" s="32" t="s">
        <v>81</v>
      </c>
      <c r="J776" s="32" t="s">
        <v>263</v>
      </c>
    </row>
    <row r="777" spans="1:12" ht="23.25" hidden="1" customHeight="1">
      <c r="A777" s="32" t="s">
        <v>181</v>
      </c>
      <c r="B777" s="32">
        <v>95</v>
      </c>
      <c r="C777" s="32" t="s">
        <v>414</v>
      </c>
      <c r="D777" s="32" t="s">
        <v>295</v>
      </c>
      <c r="E777" s="32" t="s">
        <v>87</v>
      </c>
      <c r="F777" s="32" t="s">
        <v>83</v>
      </c>
      <c r="G777" s="32" t="s">
        <v>64</v>
      </c>
      <c r="H777" s="32" t="s">
        <v>91</v>
      </c>
      <c r="I777" s="32" t="s">
        <v>101</v>
      </c>
      <c r="J777" s="32" t="s">
        <v>62</v>
      </c>
      <c r="K777" s="32" t="s">
        <v>155</v>
      </c>
      <c r="L777" s="32" t="s">
        <v>154</v>
      </c>
    </row>
    <row r="778" spans="1:12" ht="23.25" hidden="1" customHeight="1">
      <c r="A778" s="32" t="s">
        <v>181</v>
      </c>
      <c r="B778" s="32">
        <v>90</v>
      </c>
      <c r="C778" s="32" t="s">
        <v>299</v>
      </c>
      <c r="D778" s="32" t="s">
        <v>410</v>
      </c>
      <c r="E778" s="32" t="s">
        <v>52</v>
      </c>
      <c r="F778" s="32" t="s">
        <v>63</v>
      </c>
      <c r="G778" s="32" t="s">
        <v>73</v>
      </c>
      <c r="H778" s="32" t="s">
        <v>46</v>
      </c>
      <c r="I778" s="32" t="s">
        <v>90</v>
      </c>
      <c r="J778" s="32" t="s">
        <v>61</v>
      </c>
    </row>
    <row r="779" spans="1:12" ht="23.25" hidden="1" customHeight="1">
      <c r="A779" s="32" t="s">
        <v>181</v>
      </c>
      <c r="B779" s="32">
        <v>90</v>
      </c>
      <c r="C779" s="32" t="s">
        <v>415</v>
      </c>
      <c r="D779" s="32" t="s">
        <v>298</v>
      </c>
      <c r="E779" s="32" t="s">
        <v>113</v>
      </c>
      <c r="F779" s="32" t="s">
        <v>32</v>
      </c>
      <c r="G779" s="32" t="s">
        <v>159</v>
      </c>
      <c r="H779" s="32" t="s">
        <v>41</v>
      </c>
      <c r="I779" s="32" t="s">
        <v>59</v>
      </c>
      <c r="J779" s="32" t="s">
        <v>64</v>
      </c>
      <c r="K779" s="32" t="s">
        <v>91</v>
      </c>
      <c r="L779" s="32" t="s">
        <v>101</v>
      </c>
    </row>
    <row r="780" spans="1:12" ht="23.25" hidden="1" customHeight="1">
      <c r="A780" s="32" t="s">
        <v>180</v>
      </c>
      <c r="B780" s="32">
        <v>85</v>
      </c>
      <c r="C780" s="32" t="s">
        <v>302</v>
      </c>
      <c r="D780" s="32" t="s">
        <v>414</v>
      </c>
      <c r="E780" s="32" t="s">
        <v>56</v>
      </c>
      <c r="F780" s="32" t="s">
        <v>47</v>
      </c>
      <c r="G780" s="32" t="s">
        <v>65</v>
      </c>
      <c r="H780" s="32" t="s">
        <v>83</v>
      </c>
      <c r="I780" s="32" t="s">
        <v>55</v>
      </c>
      <c r="J780" s="32" t="s">
        <v>73</v>
      </c>
    </row>
    <row r="781" spans="1:12" ht="23.25" hidden="1" customHeight="1">
      <c r="A781" s="32" t="s">
        <v>180</v>
      </c>
      <c r="B781" s="32">
        <v>85</v>
      </c>
      <c r="C781" s="32" t="s">
        <v>416</v>
      </c>
      <c r="D781" s="32" t="s">
        <v>300</v>
      </c>
      <c r="E781" s="32" t="s">
        <v>48</v>
      </c>
      <c r="F781" s="32" t="s">
        <v>288</v>
      </c>
      <c r="G781" s="32" t="s">
        <v>157</v>
      </c>
      <c r="H781" s="32" t="s">
        <v>52</v>
      </c>
      <c r="I781" s="32" t="s">
        <v>160</v>
      </c>
      <c r="J781" s="32" t="s">
        <v>159</v>
      </c>
      <c r="K781" s="32" t="s">
        <v>83</v>
      </c>
      <c r="L781" s="32" t="s">
        <v>55</v>
      </c>
    </row>
    <row r="782" spans="1:12" ht="23.25" hidden="1" customHeight="1">
      <c r="A782" s="32" t="s">
        <v>180</v>
      </c>
      <c r="B782" s="32">
        <v>80</v>
      </c>
      <c r="C782" s="32" t="s">
        <v>305</v>
      </c>
      <c r="D782" s="32" t="s">
        <v>415</v>
      </c>
      <c r="E782" s="32" t="s">
        <v>37</v>
      </c>
      <c r="F782" s="32" t="s">
        <v>417</v>
      </c>
      <c r="G782" s="32" t="s">
        <v>286</v>
      </c>
      <c r="H782" s="32" t="s">
        <v>32</v>
      </c>
      <c r="I782" s="32" t="s">
        <v>87</v>
      </c>
      <c r="J782" s="32" t="s">
        <v>65</v>
      </c>
    </row>
    <row r="783" spans="1:12" ht="23.25" hidden="1" customHeight="1">
      <c r="A783" s="32" t="s">
        <v>180</v>
      </c>
      <c r="B783" s="32">
        <v>80</v>
      </c>
      <c r="C783" s="32" t="s">
        <v>418</v>
      </c>
      <c r="D783" s="32" t="s">
        <v>303</v>
      </c>
      <c r="E783" s="32" t="s">
        <v>99</v>
      </c>
      <c r="F783" s="32" t="s">
        <v>54</v>
      </c>
      <c r="G783" s="32" t="s">
        <v>42</v>
      </c>
      <c r="H783" s="32" t="s">
        <v>56</v>
      </c>
      <c r="I783" s="32" t="s">
        <v>286</v>
      </c>
      <c r="J783" s="32" t="s">
        <v>34</v>
      </c>
      <c r="K783" s="32" t="s">
        <v>32</v>
      </c>
      <c r="L783" s="32" t="s">
        <v>87</v>
      </c>
    </row>
    <row r="784" spans="1:12" ht="23.25" hidden="1" customHeight="1">
      <c r="A784" s="32" t="s">
        <v>179</v>
      </c>
      <c r="B784" s="32">
        <v>78</v>
      </c>
      <c r="C784" s="32" t="s">
        <v>308</v>
      </c>
      <c r="D784" s="32" t="s">
        <v>416</v>
      </c>
      <c r="E784" s="32" t="s">
        <v>24</v>
      </c>
      <c r="F784" s="32" t="s">
        <v>158</v>
      </c>
      <c r="G784" s="32" t="s">
        <v>31</v>
      </c>
      <c r="H784" s="32" t="s">
        <v>44</v>
      </c>
      <c r="I784" s="32" t="s">
        <v>113</v>
      </c>
      <c r="J784" s="32" t="s">
        <v>157</v>
      </c>
    </row>
    <row r="785" spans="1:12" ht="23.25" hidden="1" customHeight="1">
      <c r="A785" s="32" t="s">
        <v>179</v>
      </c>
      <c r="B785" s="32">
        <v>78</v>
      </c>
      <c r="C785" s="32" t="s">
        <v>419</v>
      </c>
      <c r="D785" s="32" t="s">
        <v>306</v>
      </c>
      <c r="E785" s="32" t="s">
        <v>137</v>
      </c>
      <c r="F785" s="32" t="s">
        <v>99</v>
      </c>
      <c r="G785" s="32" t="s">
        <v>54</v>
      </c>
      <c r="H785" s="32" t="s">
        <v>42</v>
      </c>
      <c r="I785" s="32" t="s">
        <v>417</v>
      </c>
      <c r="J785" s="32" t="s">
        <v>44</v>
      </c>
      <c r="K785" s="32" t="s">
        <v>113</v>
      </c>
      <c r="L785" s="32" t="s">
        <v>157</v>
      </c>
    </row>
    <row r="786" spans="1:12" ht="23.25" hidden="1" customHeight="1">
      <c r="A786" s="32" t="s">
        <v>179</v>
      </c>
      <c r="B786" s="32">
        <v>76</v>
      </c>
      <c r="C786" s="32" t="s">
        <v>313</v>
      </c>
      <c r="D786" s="32" t="s">
        <v>418</v>
      </c>
      <c r="E786" s="32" t="s">
        <v>145</v>
      </c>
      <c r="F786" s="32" t="s">
        <v>24</v>
      </c>
      <c r="G786" s="32" t="s">
        <v>158</v>
      </c>
      <c r="H786" s="32" t="s">
        <v>31</v>
      </c>
      <c r="I786" s="32" t="s">
        <v>33</v>
      </c>
      <c r="J786" s="32" t="s">
        <v>288</v>
      </c>
    </row>
    <row r="787" spans="1:12" ht="23.25" hidden="1" customHeight="1">
      <c r="A787" s="32" t="s">
        <v>179</v>
      </c>
      <c r="B787" s="32">
        <v>76</v>
      </c>
      <c r="C787" s="32" t="s">
        <v>420</v>
      </c>
      <c r="D787" s="32" t="s">
        <v>310</v>
      </c>
      <c r="E787" s="32" t="s">
        <v>23</v>
      </c>
      <c r="F787" s="32" t="s">
        <v>137</v>
      </c>
      <c r="G787" s="32" t="s">
        <v>99</v>
      </c>
      <c r="H787" s="32" t="s">
        <v>54</v>
      </c>
      <c r="I787" s="32" t="s">
        <v>37</v>
      </c>
      <c r="J787" s="32" t="s">
        <v>31</v>
      </c>
      <c r="K787" s="32" t="s">
        <v>33</v>
      </c>
      <c r="L787" s="32" t="s">
        <v>288</v>
      </c>
    </row>
    <row r="788" spans="1:12" ht="23.25" hidden="1" customHeight="1">
      <c r="A788" s="32" t="s">
        <v>179</v>
      </c>
      <c r="B788" s="32">
        <v>74</v>
      </c>
      <c r="C788" s="32" t="s">
        <v>257</v>
      </c>
      <c r="D788" s="32" t="s">
        <v>419</v>
      </c>
      <c r="E788" s="32" t="s">
        <v>50</v>
      </c>
      <c r="F788" s="32" t="s">
        <v>421</v>
      </c>
      <c r="G788" s="32" t="s">
        <v>24</v>
      </c>
      <c r="H788" s="32" t="s">
        <v>422</v>
      </c>
      <c r="I788" s="32" t="s">
        <v>35</v>
      </c>
      <c r="J788" s="32" t="s">
        <v>423</v>
      </c>
    </row>
    <row r="789" spans="1:12" ht="23.25" hidden="1" customHeight="1">
      <c r="A789" s="32" t="s">
        <v>179</v>
      </c>
      <c r="B789" s="32">
        <v>74</v>
      </c>
      <c r="C789" s="32" t="s">
        <v>424</v>
      </c>
      <c r="D789" s="32" t="s">
        <v>314</v>
      </c>
      <c r="E789" s="32" t="s">
        <v>26</v>
      </c>
      <c r="F789" s="32" t="s">
        <v>23</v>
      </c>
      <c r="G789" s="32" t="s">
        <v>137</v>
      </c>
      <c r="H789" s="32" t="s">
        <v>99</v>
      </c>
      <c r="I789" s="32" t="s">
        <v>68</v>
      </c>
      <c r="J789" s="32" t="s">
        <v>158</v>
      </c>
      <c r="K789" s="32" t="s">
        <v>35</v>
      </c>
      <c r="L789" s="32" t="s">
        <v>48</v>
      </c>
    </row>
    <row r="790" spans="1:12" ht="23.25" hidden="1" customHeight="1">
      <c r="A790" s="32" t="s">
        <v>179</v>
      </c>
      <c r="B790" s="32">
        <v>72</v>
      </c>
      <c r="C790" s="32" t="s">
        <v>317</v>
      </c>
      <c r="D790" s="32" t="s">
        <v>420</v>
      </c>
      <c r="E790" s="32" t="s">
        <v>85</v>
      </c>
      <c r="F790" s="32" t="s">
        <v>50</v>
      </c>
      <c r="G790" s="32" t="s">
        <v>145</v>
      </c>
      <c r="H790" s="32" t="s">
        <v>24</v>
      </c>
      <c r="I790" s="32" t="s">
        <v>43</v>
      </c>
      <c r="J790" s="32" t="s">
        <v>60</v>
      </c>
    </row>
    <row r="791" spans="1:12" ht="23.25" hidden="1" customHeight="1">
      <c r="A791" s="32" t="s">
        <v>179</v>
      </c>
      <c r="B791" s="32">
        <v>72</v>
      </c>
      <c r="C791" s="32" t="s">
        <v>425</v>
      </c>
      <c r="D791" s="32" t="s">
        <v>316</v>
      </c>
      <c r="E791" s="32" t="s">
        <v>27</v>
      </c>
      <c r="F791" s="32" t="s">
        <v>26</v>
      </c>
      <c r="G791" s="32" t="s">
        <v>23</v>
      </c>
      <c r="H791" s="32" t="s">
        <v>137</v>
      </c>
      <c r="I791" s="32" t="s">
        <v>72</v>
      </c>
      <c r="J791" s="32" t="s">
        <v>24</v>
      </c>
      <c r="K791" s="32" t="s">
        <v>43</v>
      </c>
      <c r="L791" s="32" t="s">
        <v>60</v>
      </c>
    </row>
    <row r="792" spans="1:12" ht="23.25" hidden="1" customHeight="1">
      <c r="A792" s="32" t="s">
        <v>179</v>
      </c>
      <c r="B792" s="32">
        <v>70</v>
      </c>
      <c r="C792" s="32" t="s">
        <v>321</v>
      </c>
      <c r="D792" s="32" t="s">
        <v>424</v>
      </c>
      <c r="E792" s="32" t="s">
        <v>312</v>
      </c>
      <c r="F792" s="32" t="s">
        <v>85</v>
      </c>
      <c r="G792" s="32" t="s">
        <v>50</v>
      </c>
      <c r="H792" s="32" t="s">
        <v>145</v>
      </c>
      <c r="I792" s="32" t="s">
        <v>39</v>
      </c>
      <c r="J792" s="32" t="s">
        <v>53</v>
      </c>
    </row>
    <row r="793" spans="1:12" ht="23.25" hidden="1" customHeight="1">
      <c r="A793" s="32" t="s">
        <v>179</v>
      </c>
      <c r="B793" s="32">
        <v>70</v>
      </c>
      <c r="C793" s="32" t="s">
        <v>426</v>
      </c>
      <c r="D793" s="32" t="s">
        <v>319</v>
      </c>
      <c r="E793" s="32" t="s">
        <v>70</v>
      </c>
      <c r="F793" s="32" t="s">
        <v>27</v>
      </c>
      <c r="G793" s="32" t="s">
        <v>26</v>
      </c>
      <c r="H793" s="32" t="s">
        <v>23</v>
      </c>
      <c r="I793" s="32" t="s">
        <v>76</v>
      </c>
      <c r="J793" s="32" t="s">
        <v>145</v>
      </c>
      <c r="K793" s="32" t="s">
        <v>39</v>
      </c>
      <c r="L793" s="32" t="s">
        <v>53</v>
      </c>
    </row>
    <row r="794" spans="1:12" ht="23.25" hidden="1" customHeight="1">
      <c r="A794" s="32" t="s">
        <v>179</v>
      </c>
      <c r="B794" s="32">
        <v>68</v>
      </c>
      <c r="C794" s="32" t="s">
        <v>325</v>
      </c>
      <c r="D794" s="32" t="s">
        <v>427</v>
      </c>
      <c r="E794" s="32" t="s">
        <v>428</v>
      </c>
      <c r="F794" s="32" t="s">
        <v>429</v>
      </c>
      <c r="G794" s="32" t="s">
        <v>85</v>
      </c>
      <c r="H794" s="32" t="s">
        <v>50</v>
      </c>
      <c r="I794" s="32" t="s">
        <v>25</v>
      </c>
      <c r="J794" s="32" t="s">
        <v>38</v>
      </c>
    </row>
    <row r="795" spans="1:12" ht="23.25" hidden="1" customHeight="1">
      <c r="A795" s="32" t="s">
        <v>179</v>
      </c>
      <c r="B795" s="32">
        <v>68</v>
      </c>
      <c r="C795" s="32" t="s">
        <v>430</v>
      </c>
      <c r="D795" s="32" t="s">
        <v>322</v>
      </c>
      <c r="E795" s="32" t="s">
        <v>75</v>
      </c>
      <c r="F795" s="32" t="s">
        <v>70</v>
      </c>
      <c r="G795" s="32" t="s">
        <v>27</v>
      </c>
      <c r="H795" s="32" t="s">
        <v>26</v>
      </c>
      <c r="I795" s="32" t="s">
        <v>29</v>
      </c>
      <c r="J795" s="32" t="s">
        <v>50</v>
      </c>
      <c r="K795" s="32" t="s">
        <v>25</v>
      </c>
      <c r="L795" s="32" t="s">
        <v>38</v>
      </c>
    </row>
    <row r="796" spans="1:12" ht="23.25" hidden="1" customHeight="1">
      <c r="A796" s="32" t="s">
        <v>179</v>
      </c>
      <c r="B796" s="32">
        <v>66</v>
      </c>
      <c r="C796" s="32" t="s">
        <v>330</v>
      </c>
      <c r="D796" s="32" t="s">
        <v>426</v>
      </c>
      <c r="E796" s="32" t="s">
        <v>307</v>
      </c>
      <c r="F796" s="32" t="s">
        <v>428</v>
      </c>
      <c r="G796" s="32" t="s">
        <v>312</v>
      </c>
      <c r="H796" s="32" t="s">
        <v>85</v>
      </c>
      <c r="I796" s="32" t="s">
        <v>84</v>
      </c>
      <c r="J796" s="32" t="s">
        <v>327</v>
      </c>
    </row>
    <row r="797" spans="1:12" ht="23.25" hidden="1" customHeight="1">
      <c r="A797" s="32" t="s">
        <v>179</v>
      </c>
      <c r="B797" s="32">
        <v>66</v>
      </c>
      <c r="C797" s="32" t="s">
        <v>431</v>
      </c>
      <c r="D797" s="32" t="s">
        <v>328</v>
      </c>
      <c r="E797" s="32" t="s">
        <v>309</v>
      </c>
      <c r="F797" s="32" t="s">
        <v>75</v>
      </c>
      <c r="G797" s="32" t="s">
        <v>70</v>
      </c>
      <c r="H797" s="32" t="s">
        <v>27</v>
      </c>
      <c r="I797" s="32" t="s">
        <v>301</v>
      </c>
      <c r="J797" s="32" t="s">
        <v>85</v>
      </c>
      <c r="K797" s="32" t="s">
        <v>84</v>
      </c>
      <c r="L797" s="32" t="s">
        <v>327</v>
      </c>
    </row>
    <row r="798" spans="1:12" ht="23.25" hidden="1" customHeight="1">
      <c r="A798" s="32" t="s">
        <v>179</v>
      </c>
      <c r="B798" s="32">
        <v>64</v>
      </c>
      <c r="C798" s="32" t="s">
        <v>334</v>
      </c>
      <c r="D798" s="32" t="s">
        <v>430</v>
      </c>
      <c r="E798" s="32" t="s">
        <v>311</v>
      </c>
      <c r="F798" s="32" t="s">
        <v>307</v>
      </c>
      <c r="G798" s="32" t="s">
        <v>304</v>
      </c>
      <c r="H798" s="32" t="s">
        <v>312</v>
      </c>
      <c r="I798" s="32" t="s">
        <v>49</v>
      </c>
      <c r="J798" s="32" t="s">
        <v>36</v>
      </c>
    </row>
    <row r="799" spans="1:12" ht="23.25" hidden="1" customHeight="1">
      <c r="A799" s="32" t="s">
        <v>179</v>
      </c>
      <c r="B799" s="32">
        <v>64</v>
      </c>
      <c r="C799" s="32" t="s">
        <v>347</v>
      </c>
      <c r="D799" s="32" t="s">
        <v>332</v>
      </c>
      <c r="E799" s="32" t="s">
        <v>45</v>
      </c>
      <c r="F799" s="32" t="s">
        <v>309</v>
      </c>
      <c r="G799" s="32" t="s">
        <v>75</v>
      </c>
      <c r="H799" s="32" t="s">
        <v>70</v>
      </c>
      <c r="I799" s="32" t="s">
        <v>96</v>
      </c>
      <c r="J799" s="32" t="s">
        <v>312</v>
      </c>
      <c r="K799" s="32" t="s">
        <v>49</v>
      </c>
      <c r="L799" s="32" t="s">
        <v>36</v>
      </c>
    </row>
    <row r="800" spans="1:12" ht="23.25" hidden="1" customHeight="1">
      <c r="A800" s="32" t="s">
        <v>179</v>
      </c>
      <c r="B800" s="32">
        <v>62</v>
      </c>
      <c r="C800" s="32" t="s">
        <v>432</v>
      </c>
      <c r="D800" s="32" t="s">
        <v>431</v>
      </c>
      <c r="E800" s="32" t="s">
        <v>315</v>
      </c>
      <c r="F800" s="32" t="s">
        <v>311</v>
      </c>
      <c r="G800" s="32" t="s">
        <v>307</v>
      </c>
      <c r="H800" s="32" t="s">
        <v>304</v>
      </c>
      <c r="I800" s="32" t="s">
        <v>433</v>
      </c>
      <c r="J800" s="32" t="s">
        <v>77</v>
      </c>
    </row>
    <row r="801" spans="1:12" ht="23.25" hidden="1" customHeight="1">
      <c r="A801" s="32" t="s">
        <v>179</v>
      </c>
      <c r="B801" s="32">
        <v>62</v>
      </c>
      <c r="C801" s="32" t="s">
        <v>351</v>
      </c>
      <c r="D801" s="32" t="s">
        <v>336</v>
      </c>
      <c r="E801" s="32" t="s">
        <v>71</v>
      </c>
      <c r="F801" s="32" t="s">
        <v>45</v>
      </c>
      <c r="G801" s="32" t="s">
        <v>309</v>
      </c>
      <c r="H801" s="32" t="s">
        <v>75</v>
      </c>
      <c r="I801" s="32" t="s">
        <v>434</v>
      </c>
      <c r="J801" s="32" t="s">
        <v>304</v>
      </c>
      <c r="K801" s="32" t="s">
        <v>433</v>
      </c>
      <c r="L801" s="32" t="s">
        <v>77</v>
      </c>
    </row>
    <row r="802" spans="1:12" ht="23.25" hidden="1" customHeight="1">
      <c r="A802" s="32" t="s">
        <v>179</v>
      </c>
      <c r="B802" s="32">
        <v>60</v>
      </c>
      <c r="C802" s="32" t="s">
        <v>346</v>
      </c>
      <c r="D802" s="32" t="s">
        <v>347</v>
      </c>
      <c r="E802" s="32" t="s">
        <v>98</v>
      </c>
      <c r="F802" s="32" t="s">
        <v>315</v>
      </c>
      <c r="G802" s="32" t="s">
        <v>311</v>
      </c>
      <c r="H802" s="32" t="s">
        <v>312</v>
      </c>
      <c r="I802" s="32" t="s">
        <v>95</v>
      </c>
      <c r="J802" s="32" t="s">
        <v>97</v>
      </c>
    </row>
    <row r="803" spans="1:12" ht="23.25" hidden="1" customHeight="1">
      <c r="A803" s="32" t="s">
        <v>179</v>
      </c>
      <c r="B803" s="32">
        <v>60</v>
      </c>
      <c r="C803" s="32" t="s">
        <v>435</v>
      </c>
      <c r="D803" s="32" t="s">
        <v>340</v>
      </c>
      <c r="E803" s="32" t="s">
        <v>318</v>
      </c>
      <c r="F803" s="32" t="s">
        <v>71</v>
      </c>
      <c r="G803" s="32" t="s">
        <v>45</v>
      </c>
      <c r="H803" s="32" t="s">
        <v>309</v>
      </c>
      <c r="I803" s="32" t="s">
        <v>436</v>
      </c>
      <c r="J803" s="32" t="s">
        <v>307</v>
      </c>
      <c r="K803" s="32" t="s">
        <v>95</v>
      </c>
      <c r="L803" s="32" t="s">
        <v>97</v>
      </c>
    </row>
    <row r="804" spans="1:12" ht="23.25" hidden="1" customHeight="1">
      <c r="A804" s="32" t="s">
        <v>178</v>
      </c>
      <c r="B804" s="32">
        <v>50</v>
      </c>
      <c r="C804" s="32" t="s">
        <v>362</v>
      </c>
      <c r="D804" s="32" t="s">
        <v>351</v>
      </c>
      <c r="E804" s="32" t="s">
        <v>320</v>
      </c>
      <c r="F804" s="32" t="s">
        <v>98</v>
      </c>
      <c r="G804" s="32" t="s">
        <v>315</v>
      </c>
      <c r="H804" s="32" t="s">
        <v>311</v>
      </c>
      <c r="I804" s="32" t="s">
        <v>93</v>
      </c>
      <c r="J804" s="32" t="s">
        <v>30</v>
      </c>
    </row>
    <row r="805" spans="1:12" ht="23.25" hidden="1" customHeight="1">
      <c r="A805" s="32" t="s">
        <v>178</v>
      </c>
      <c r="B805" s="32">
        <v>50</v>
      </c>
      <c r="C805" s="32" t="s">
        <v>356</v>
      </c>
      <c r="D805" s="32" t="s">
        <v>435</v>
      </c>
      <c r="E805" s="32" t="s">
        <v>326</v>
      </c>
      <c r="F805" s="32" t="s">
        <v>67</v>
      </c>
      <c r="G805" s="32" t="s">
        <v>318</v>
      </c>
      <c r="H805" s="32" t="s">
        <v>71</v>
      </c>
      <c r="I805" s="32" t="s">
        <v>66</v>
      </c>
      <c r="J805" s="32" t="s">
        <v>315</v>
      </c>
      <c r="K805" s="32" t="s">
        <v>120</v>
      </c>
      <c r="L805" s="32" t="s">
        <v>51</v>
      </c>
    </row>
    <row r="806" spans="1:12" ht="23.25" hidden="1" customHeight="1">
      <c r="A806" s="32" t="s">
        <v>178</v>
      </c>
      <c r="B806" s="32">
        <v>40</v>
      </c>
      <c r="C806" s="32" t="s">
        <v>374</v>
      </c>
      <c r="D806" s="32" t="s">
        <v>362</v>
      </c>
      <c r="E806" s="32" t="s">
        <v>329</v>
      </c>
      <c r="F806" s="32" t="s">
        <v>323</v>
      </c>
      <c r="G806" s="32" t="s">
        <v>320</v>
      </c>
      <c r="H806" s="32" t="s">
        <v>98</v>
      </c>
      <c r="I806" s="32" t="s">
        <v>78</v>
      </c>
      <c r="J806" s="32" t="s">
        <v>58</v>
      </c>
    </row>
    <row r="807" spans="1:12" ht="23.25" hidden="1" customHeight="1">
      <c r="A807" s="32" t="s">
        <v>178</v>
      </c>
      <c r="B807" s="32">
        <v>40</v>
      </c>
      <c r="C807" s="32" t="s">
        <v>368</v>
      </c>
      <c r="D807" s="32" t="s">
        <v>356</v>
      </c>
      <c r="E807" s="32" t="s">
        <v>335</v>
      </c>
      <c r="F807" s="32" t="s">
        <v>331</v>
      </c>
      <c r="G807" s="32" t="s">
        <v>326</v>
      </c>
      <c r="H807" s="32" t="s">
        <v>67</v>
      </c>
      <c r="I807" s="32" t="s">
        <v>80</v>
      </c>
      <c r="J807" s="32" t="s">
        <v>320</v>
      </c>
      <c r="K807" s="32" t="s">
        <v>437</v>
      </c>
      <c r="L807" s="32" t="s">
        <v>345</v>
      </c>
    </row>
    <row r="808" spans="1:12" ht="23.25" hidden="1" customHeight="1">
      <c r="A808" s="32" t="s">
        <v>178</v>
      </c>
      <c r="B808" s="32">
        <v>30</v>
      </c>
      <c r="C808" s="32" t="s">
        <v>385</v>
      </c>
      <c r="D808" s="32" t="s">
        <v>374</v>
      </c>
      <c r="E808" s="32" t="s">
        <v>337</v>
      </c>
      <c r="F808" s="32" t="s">
        <v>333</v>
      </c>
      <c r="G808" s="32" t="s">
        <v>329</v>
      </c>
      <c r="H808" s="32" t="s">
        <v>323</v>
      </c>
      <c r="I808" s="32" t="s">
        <v>74</v>
      </c>
      <c r="J808" s="32" t="s">
        <v>438</v>
      </c>
    </row>
    <row r="809" spans="1:12" ht="23.25" hidden="1" customHeight="1">
      <c r="A809" s="32" t="s">
        <v>178</v>
      </c>
      <c r="B809" s="32">
        <v>30</v>
      </c>
      <c r="C809" s="32" t="s">
        <v>380</v>
      </c>
      <c r="D809" s="32" t="s">
        <v>368</v>
      </c>
      <c r="E809" s="32" t="s">
        <v>344</v>
      </c>
      <c r="F809" s="32" t="s">
        <v>339</v>
      </c>
      <c r="G809" s="32" t="s">
        <v>335</v>
      </c>
      <c r="H809" s="32" t="s">
        <v>331</v>
      </c>
      <c r="I809" s="32" t="s">
        <v>439</v>
      </c>
      <c r="J809" s="32" t="s">
        <v>329</v>
      </c>
      <c r="K809" s="32" t="s">
        <v>440</v>
      </c>
      <c r="L809" s="32" t="s">
        <v>441</v>
      </c>
    </row>
    <row r="810" spans="1:12" ht="23.25" hidden="1" customHeight="1">
      <c r="A810" s="32" t="s">
        <v>178</v>
      </c>
      <c r="B810" s="32">
        <v>20</v>
      </c>
      <c r="C810" s="32" t="s">
        <v>401</v>
      </c>
      <c r="D810" s="32" t="s">
        <v>442</v>
      </c>
      <c r="E810" s="32" t="s">
        <v>349</v>
      </c>
      <c r="F810" s="32" t="s">
        <v>341</v>
      </c>
      <c r="G810" s="32" t="s">
        <v>337</v>
      </c>
      <c r="H810" s="32" t="s">
        <v>333</v>
      </c>
      <c r="I810" s="32" t="s">
        <v>443</v>
      </c>
      <c r="J810" s="32" t="s">
        <v>444</v>
      </c>
    </row>
    <row r="811" spans="1:12" ht="23.25" hidden="1" customHeight="1">
      <c r="A811" s="32" t="s">
        <v>178</v>
      </c>
      <c r="B811" s="32">
        <v>20</v>
      </c>
      <c r="C811" s="32" t="s">
        <v>391</v>
      </c>
      <c r="D811" s="32" t="s">
        <v>380</v>
      </c>
      <c r="E811" s="32" t="s">
        <v>354</v>
      </c>
      <c r="F811" s="32" t="s">
        <v>367</v>
      </c>
      <c r="G811" s="32" t="s">
        <v>344</v>
      </c>
      <c r="H811" s="32" t="s">
        <v>339</v>
      </c>
      <c r="I811" s="32" t="s">
        <v>445</v>
      </c>
      <c r="J811" s="32" t="s">
        <v>337</v>
      </c>
      <c r="K811" s="32" t="s">
        <v>446</v>
      </c>
      <c r="L811" s="32" t="s">
        <v>355</v>
      </c>
    </row>
    <row r="812" spans="1:12" ht="23.25" hidden="1" customHeight="1">
      <c r="A812" s="32" t="s">
        <v>178</v>
      </c>
      <c r="B812" s="32">
        <v>10</v>
      </c>
      <c r="C812" s="32" t="s">
        <v>399</v>
      </c>
      <c r="D812" s="32" t="s">
        <v>401</v>
      </c>
      <c r="E812" s="32" t="s">
        <v>359</v>
      </c>
      <c r="F812" s="32" t="s">
        <v>447</v>
      </c>
      <c r="G812" s="32" t="s">
        <v>349</v>
      </c>
      <c r="H812" s="32" t="s">
        <v>341</v>
      </c>
      <c r="I812" s="32" t="s">
        <v>448</v>
      </c>
      <c r="J812" s="32" t="s">
        <v>449</v>
      </c>
    </row>
    <row r="813" spans="1:12" ht="23.25" hidden="1" customHeight="1">
      <c r="A813" s="32" t="s">
        <v>178</v>
      </c>
      <c r="B813" s="32">
        <v>10</v>
      </c>
      <c r="C813" s="32" t="s">
        <v>405</v>
      </c>
      <c r="D813" s="32" t="s">
        <v>391</v>
      </c>
      <c r="E813" s="32" t="s">
        <v>353</v>
      </c>
      <c r="F813" s="32" t="s">
        <v>343</v>
      </c>
      <c r="G813" s="32" t="s">
        <v>354</v>
      </c>
      <c r="H813" s="32" t="s">
        <v>367</v>
      </c>
      <c r="I813" s="32" t="s">
        <v>450</v>
      </c>
      <c r="J813" s="32" t="s">
        <v>349</v>
      </c>
      <c r="K813" s="32" t="s">
        <v>451</v>
      </c>
      <c r="L813" s="32" t="s">
        <v>452</v>
      </c>
    </row>
    <row r="814" spans="1:12" ht="23.25" hidden="1" customHeight="1">
      <c r="A814" s="32" t="s">
        <v>178</v>
      </c>
      <c r="B814" s="32">
        <v>0</v>
      </c>
      <c r="C814" s="32" t="s">
        <v>403</v>
      </c>
      <c r="D814" s="32" t="s">
        <v>399</v>
      </c>
      <c r="E814" s="32" t="s">
        <v>358</v>
      </c>
      <c r="F814" s="32" t="s">
        <v>348</v>
      </c>
      <c r="G814" s="32" t="s">
        <v>359</v>
      </c>
      <c r="H814" s="32" t="s">
        <v>447</v>
      </c>
      <c r="I814" s="32" t="s">
        <v>453</v>
      </c>
      <c r="J814" s="32" t="s">
        <v>454</v>
      </c>
    </row>
    <row r="815" spans="1:12" ht="23.25" hidden="1" customHeight="1">
      <c r="A815" s="32" t="s">
        <v>178</v>
      </c>
      <c r="B815" s="32">
        <v>0</v>
      </c>
      <c r="C815" s="32" t="s">
        <v>67</v>
      </c>
      <c r="D815" s="32" t="s">
        <v>67</v>
      </c>
      <c r="E815" s="32" t="s">
        <v>396</v>
      </c>
      <c r="F815" s="32" t="s">
        <v>396</v>
      </c>
      <c r="G815" s="32" t="s">
        <v>396</v>
      </c>
      <c r="H815" s="32" t="s">
        <v>396</v>
      </c>
      <c r="I815" s="32" t="s">
        <v>396</v>
      </c>
      <c r="J815" s="32" t="s">
        <v>396</v>
      </c>
    </row>
    <row r="816" spans="1:12" ht="23.25" hidden="1" customHeight="1">
      <c r="A816" s="37" t="s">
        <v>455</v>
      </c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</row>
    <row r="817" spans="1:12" ht="23.25" hidden="1" customHeight="1">
      <c r="A817" s="37" t="s">
        <v>456</v>
      </c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</row>
    <row r="818" spans="1:12" ht="23.25" hidden="1" customHeight="1">
      <c r="A818" s="37" t="s">
        <v>457</v>
      </c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</row>
    <row r="819" spans="1:12" ht="23.25" hidden="1" customHeight="1">
      <c r="A819" s="32" t="s">
        <v>458</v>
      </c>
      <c r="B819" s="32" t="s">
        <v>165</v>
      </c>
      <c r="C819" s="32" t="s">
        <v>166</v>
      </c>
      <c r="D819" s="32" t="s">
        <v>167</v>
      </c>
      <c r="E819" s="32" t="s">
        <v>168</v>
      </c>
      <c r="F819" s="32" t="s">
        <v>169</v>
      </c>
      <c r="G819" s="32" t="s">
        <v>170</v>
      </c>
    </row>
    <row r="820" spans="1:12" ht="23.25" hidden="1" customHeight="1">
      <c r="A820" s="32">
        <v>20</v>
      </c>
      <c r="B820" s="32">
        <v>40</v>
      </c>
      <c r="C820" s="32">
        <v>40</v>
      </c>
      <c r="D820" s="32">
        <v>40</v>
      </c>
      <c r="E820" s="32">
        <v>40</v>
      </c>
      <c r="F820" s="32">
        <v>40</v>
      </c>
      <c r="G820" s="32">
        <v>40</v>
      </c>
    </row>
    <row r="821" spans="1:12" ht="23.25" hidden="1" customHeight="1">
      <c r="A821" s="32">
        <v>19</v>
      </c>
      <c r="B821" s="32">
        <v>38</v>
      </c>
      <c r="C821" s="32">
        <v>38</v>
      </c>
      <c r="D821" s="32">
        <v>38</v>
      </c>
      <c r="E821" s="32">
        <v>38</v>
      </c>
      <c r="F821" s="32">
        <v>38</v>
      </c>
      <c r="G821" s="32">
        <v>38</v>
      </c>
    </row>
    <row r="822" spans="1:12" ht="23.25" hidden="1" customHeight="1">
      <c r="A822" s="32">
        <v>18</v>
      </c>
      <c r="B822" s="32">
        <v>36</v>
      </c>
      <c r="C822" s="32">
        <v>36</v>
      </c>
      <c r="D822" s="32">
        <v>36</v>
      </c>
      <c r="E822" s="32">
        <v>36</v>
      </c>
      <c r="F822" s="32">
        <v>36</v>
      </c>
      <c r="G822" s="32">
        <v>36</v>
      </c>
    </row>
    <row r="823" spans="1:12" ht="23.25" hidden="1" customHeight="1">
      <c r="A823" s="32">
        <v>17</v>
      </c>
      <c r="B823" s="32">
        <v>34</v>
      </c>
      <c r="C823" s="32">
        <v>34</v>
      </c>
      <c r="D823" s="32">
        <v>34</v>
      </c>
      <c r="E823" s="32">
        <v>34</v>
      </c>
      <c r="F823" s="32">
        <v>34</v>
      </c>
      <c r="G823" s="32">
        <v>34</v>
      </c>
    </row>
    <row r="824" spans="1:12" ht="23.25" hidden="1" customHeight="1">
      <c r="A824" s="32">
        <v>16</v>
      </c>
      <c r="B824" s="32">
        <v>32</v>
      </c>
      <c r="C824" s="32">
        <v>32</v>
      </c>
      <c r="D824" s="32">
        <v>32</v>
      </c>
      <c r="E824" s="32">
        <v>32</v>
      </c>
      <c r="F824" s="32">
        <v>32</v>
      </c>
      <c r="G824" s="32">
        <v>32</v>
      </c>
    </row>
    <row r="825" spans="1:12" ht="23.25" hidden="1" customHeight="1">
      <c r="A825" s="32">
        <v>15</v>
      </c>
      <c r="B825" s="32">
        <v>30</v>
      </c>
      <c r="C825" s="32">
        <v>30</v>
      </c>
      <c r="D825" s="32">
        <v>30</v>
      </c>
      <c r="E825" s="32">
        <v>30</v>
      </c>
      <c r="F825" s="32">
        <v>30</v>
      </c>
      <c r="G825" s="32">
        <v>30</v>
      </c>
    </row>
    <row r="826" spans="1:12" ht="23.25" hidden="1" customHeight="1">
      <c r="A826" s="32">
        <v>14</v>
      </c>
      <c r="B826" s="32">
        <v>28</v>
      </c>
      <c r="C826" s="32">
        <v>28</v>
      </c>
      <c r="D826" s="32">
        <v>28</v>
      </c>
      <c r="E826" s="32">
        <v>28</v>
      </c>
      <c r="F826" s="32">
        <v>28</v>
      </c>
      <c r="G826" s="32">
        <v>28</v>
      </c>
    </row>
    <row r="827" spans="1:12" ht="23.25" hidden="1" customHeight="1">
      <c r="A827" s="32">
        <v>13</v>
      </c>
      <c r="B827" s="32">
        <v>26</v>
      </c>
      <c r="C827" s="32">
        <v>26</v>
      </c>
      <c r="D827" s="32">
        <v>26</v>
      </c>
      <c r="E827" s="32">
        <v>26</v>
      </c>
      <c r="F827" s="32">
        <v>26</v>
      </c>
      <c r="G827" s="32">
        <v>26</v>
      </c>
    </row>
    <row r="828" spans="1:12" ht="23.25" hidden="1" customHeight="1">
      <c r="A828" s="32">
        <v>12</v>
      </c>
      <c r="B828" s="32">
        <v>24</v>
      </c>
      <c r="C828" s="32">
        <v>24</v>
      </c>
      <c r="D828" s="32">
        <v>24</v>
      </c>
      <c r="E828" s="32">
        <v>24</v>
      </c>
      <c r="F828" s="32">
        <v>24</v>
      </c>
      <c r="G828" s="32">
        <v>24</v>
      </c>
    </row>
    <row r="829" spans="1:12" ht="23.25" hidden="1" customHeight="1">
      <c r="A829" s="32">
        <v>11</v>
      </c>
      <c r="B829" s="32">
        <v>22</v>
      </c>
      <c r="C829" s="32">
        <v>22</v>
      </c>
      <c r="D829" s="32">
        <v>22</v>
      </c>
      <c r="E829" s="32">
        <v>22</v>
      </c>
      <c r="F829" s="32">
        <v>22</v>
      </c>
      <c r="G829" s="32">
        <v>22</v>
      </c>
    </row>
    <row r="830" spans="1:12" ht="23.25" hidden="1" customHeight="1">
      <c r="A830" s="32">
        <v>10</v>
      </c>
      <c r="B830" s="32">
        <v>20</v>
      </c>
      <c r="C830" s="32">
        <v>20</v>
      </c>
      <c r="D830" s="32">
        <v>20</v>
      </c>
      <c r="E830" s="32">
        <v>20</v>
      </c>
      <c r="F830" s="32">
        <v>20</v>
      </c>
      <c r="G830" s="32">
        <v>20</v>
      </c>
    </row>
    <row r="831" spans="1:12" ht="23.25" hidden="1" customHeight="1">
      <c r="A831" s="32">
        <v>9</v>
      </c>
      <c r="B831" s="32">
        <v>18</v>
      </c>
      <c r="C831" s="32">
        <v>18</v>
      </c>
      <c r="D831" s="32">
        <v>18</v>
      </c>
      <c r="E831" s="32">
        <v>18</v>
      </c>
      <c r="F831" s="32">
        <v>18</v>
      </c>
      <c r="G831" s="32">
        <v>18</v>
      </c>
    </row>
    <row r="832" spans="1:12" ht="23.25" hidden="1" customHeight="1">
      <c r="A832" s="32">
        <v>8</v>
      </c>
      <c r="B832" s="32">
        <v>16</v>
      </c>
      <c r="C832" s="32">
        <v>16</v>
      </c>
      <c r="D832" s="32">
        <v>16</v>
      </c>
      <c r="E832" s="32">
        <v>16</v>
      </c>
      <c r="F832" s="32">
        <v>16</v>
      </c>
      <c r="G832" s="32">
        <v>16</v>
      </c>
    </row>
    <row r="833" spans="1:12" ht="23.25" hidden="1" customHeight="1">
      <c r="A833" s="32">
        <v>7</v>
      </c>
      <c r="B833" s="32">
        <v>14</v>
      </c>
      <c r="C833" s="32">
        <v>14</v>
      </c>
      <c r="D833" s="32">
        <v>14</v>
      </c>
      <c r="E833" s="32">
        <v>14</v>
      </c>
      <c r="F833" s="32">
        <v>14</v>
      </c>
      <c r="G833" s="32">
        <v>14</v>
      </c>
    </row>
    <row r="834" spans="1:12" ht="23.25" hidden="1" customHeight="1">
      <c r="A834" s="32">
        <v>6</v>
      </c>
      <c r="B834" s="32">
        <v>12</v>
      </c>
      <c r="C834" s="32">
        <v>12</v>
      </c>
      <c r="D834" s="32">
        <v>12</v>
      </c>
      <c r="E834" s="32">
        <v>12</v>
      </c>
      <c r="F834" s="32">
        <v>12</v>
      </c>
      <c r="G834" s="32">
        <v>12</v>
      </c>
    </row>
    <row r="835" spans="1:12" ht="23.25" hidden="1" customHeight="1">
      <c r="A835" s="32">
        <v>5</v>
      </c>
      <c r="B835" s="32">
        <v>10</v>
      </c>
      <c r="C835" s="32">
        <v>10</v>
      </c>
      <c r="D835" s="32">
        <v>10</v>
      </c>
      <c r="E835" s="32">
        <v>10</v>
      </c>
      <c r="F835" s="32">
        <v>10</v>
      </c>
      <c r="G835" s="32">
        <v>10</v>
      </c>
    </row>
    <row r="836" spans="1:12" ht="23.25" hidden="1" customHeight="1">
      <c r="A836" s="32">
        <v>4</v>
      </c>
      <c r="B836" s="32">
        <v>8</v>
      </c>
      <c r="C836" s="32">
        <v>8</v>
      </c>
      <c r="D836" s="32">
        <v>8</v>
      </c>
      <c r="E836" s="32">
        <v>8</v>
      </c>
      <c r="F836" s="32">
        <v>8</v>
      </c>
      <c r="G836" s="32">
        <v>8</v>
      </c>
    </row>
    <row r="837" spans="1:12" ht="23.25" hidden="1" customHeight="1">
      <c r="A837" s="32">
        <v>3</v>
      </c>
      <c r="B837" s="32">
        <v>6</v>
      </c>
      <c r="C837" s="32">
        <v>6</v>
      </c>
      <c r="D837" s="32">
        <v>6</v>
      </c>
      <c r="E837" s="32">
        <v>6</v>
      </c>
      <c r="F837" s="32">
        <v>6</v>
      </c>
      <c r="G837" s="32">
        <v>6</v>
      </c>
    </row>
    <row r="838" spans="1:12" ht="23.25" hidden="1" customHeight="1">
      <c r="A838" s="32">
        <v>2</v>
      </c>
      <c r="B838" s="32">
        <v>4</v>
      </c>
      <c r="C838" s="32">
        <v>4</v>
      </c>
      <c r="D838" s="32">
        <v>4</v>
      </c>
      <c r="E838" s="32">
        <v>4</v>
      </c>
      <c r="F838" s="32">
        <v>4</v>
      </c>
      <c r="G838" s="32">
        <v>4</v>
      </c>
    </row>
    <row r="839" spans="1:12" ht="23.25" hidden="1" customHeight="1">
      <c r="A839" s="32">
        <v>1</v>
      </c>
      <c r="B839" s="32">
        <v>2</v>
      </c>
      <c r="C839" s="32">
        <v>2</v>
      </c>
      <c r="D839" s="32">
        <v>2</v>
      </c>
      <c r="E839" s="32">
        <v>2</v>
      </c>
      <c r="F839" s="32">
        <v>2</v>
      </c>
      <c r="G839" s="32">
        <v>2</v>
      </c>
    </row>
    <row r="840" spans="1:12" ht="23.25" hidden="1" customHeight="1">
      <c r="A840" s="37" t="s">
        <v>459</v>
      </c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</row>
    <row r="841" spans="1:12" ht="23.25" hidden="1" customHeight="1">
      <c r="A841" s="37" t="s">
        <v>460</v>
      </c>
      <c r="B841" s="37"/>
      <c r="C841" s="37"/>
      <c r="D841" s="37"/>
      <c r="E841" s="37"/>
      <c r="F841" s="37"/>
      <c r="G841" s="37"/>
    </row>
    <row r="842" spans="1:12" ht="23.25" hidden="1" customHeight="1">
      <c r="A842" s="32" t="s">
        <v>458</v>
      </c>
      <c r="B842" s="32" t="s">
        <v>165</v>
      </c>
      <c r="C842" s="32" t="s">
        <v>166</v>
      </c>
      <c r="D842" s="32" t="s">
        <v>167</v>
      </c>
      <c r="E842" s="32" t="s">
        <v>168</v>
      </c>
      <c r="F842" s="32" t="s">
        <v>169</v>
      </c>
      <c r="G842" s="32" t="s">
        <v>170</v>
      </c>
    </row>
    <row r="843" spans="1:12" ht="23.25" hidden="1" customHeight="1">
      <c r="A843" s="32">
        <v>20</v>
      </c>
      <c r="B843" s="32">
        <v>40</v>
      </c>
      <c r="C843" s="32">
        <v>40</v>
      </c>
      <c r="D843" s="32">
        <v>40</v>
      </c>
      <c r="E843" s="32">
        <v>40</v>
      </c>
      <c r="F843" s="32">
        <v>40</v>
      </c>
      <c r="G843" s="32">
        <v>40</v>
      </c>
    </row>
    <row r="844" spans="1:12" ht="23.25" hidden="1" customHeight="1">
      <c r="A844" s="32">
        <v>19</v>
      </c>
      <c r="B844" s="32">
        <v>38</v>
      </c>
      <c r="C844" s="32">
        <v>38</v>
      </c>
      <c r="D844" s="32">
        <v>38</v>
      </c>
      <c r="E844" s="32">
        <v>38</v>
      </c>
      <c r="F844" s="32">
        <v>38</v>
      </c>
      <c r="G844" s="32">
        <v>38</v>
      </c>
    </row>
    <row r="845" spans="1:12" ht="23.25" hidden="1" customHeight="1">
      <c r="A845" s="32">
        <v>18</v>
      </c>
      <c r="B845" s="32">
        <v>36</v>
      </c>
      <c r="C845" s="32">
        <v>36</v>
      </c>
      <c r="D845" s="32">
        <v>36</v>
      </c>
      <c r="E845" s="32">
        <v>36</v>
      </c>
      <c r="F845" s="32">
        <v>36</v>
      </c>
      <c r="G845" s="32">
        <v>36</v>
      </c>
    </row>
    <row r="846" spans="1:12" ht="23.25" hidden="1" customHeight="1">
      <c r="A846" s="32">
        <v>17</v>
      </c>
      <c r="B846" s="32">
        <v>34</v>
      </c>
      <c r="C846" s="32">
        <v>34</v>
      </c>
      <c r="D846" s="32">
        <v>34</v>
      </c>
      <c r="E846" s="32">
        <v>34</v>
      </c>
      <c r="F846" s="32">
        <v>34</v>
      </c>
      <c r="G846" s="32">
        <v>34</v>
      </c>
    </row>
    <row r="847" spans="1:12" ht="23.25" hidden="1" customHeight="1">
      <c r="A847" s="32">
        <v>16</v>
      </c>
      <c r="B847" s="32">
        <v>32</v>
      </c>
      <c r="C847" s="32">
        <v>32</v>
      </c>
      <c r="D847" s="32">
        <v>32</v>
      </c>
      <c r="E847" s="32">
        <v>32</v>
      </c>
      <c r="F847" s="32">
        <v>32</v>
      </c>
      <c r="G847" s="32">
        <v>32</v>
      </c>
    </row>
    <row r="848" spans="1:12" ht="23.25" hidden="1" customHeight="1">
      <c r="A848" s="32">
        <v>15</v>
      </c>
      <c r="B848" s="32">
        <v>30</v>
      </c>
      <c r="C848" s="32">
        <v>30</v>
      </c>
      <c r="D848" s="32">
        <v>30</v>
      </c>
      <c r="E848" s="32">
        <v>30</v>
      </c>
      <c r="F848" s="32">
        <v>30</v>
      </c>
      <c r="G848" s="32">
        <v>30</v>
      </c>
    </row>
    <row r="849" spans="1:10" ht="23.25" hidden="1" customHeight="1">
      <c r="A849" s="32">
        <v>14</v>
      </c>
      <c r="B849" s="32">
        <v>28</v>
      </c>
      <c r="C849" s="32">
        <v>28</v>
      </c>
      <c r="D849" s="32">
        <v>28</v>
      </c>
      <c r="E849" s="32">
        <v>28</v>
      </c>
      <c r="F849" s="32">
        <v>28</v>
      </c>
      <c r="G849" s="32">
        <v>28</v>
      </c>
    </row>
    <row r="850" spans="1:10" ht="23.25" hidden="1" customHeight="1">
      <c r="A850" s="32">
        <v>13</v>
      </c>
      <c r="B850" s="32">
        <v>26</v>
      </c>
      <c r="C850" s="32">
        <v>26</v>
      </c>
      <c r="D850" s="32">
        <v>26</v>
      </c>
      <c r="E850" s="32">
        <v>26</v>
      </c>
      <c r="F850" s="32">
        <v>26</v>
      </c>
      <c r="G850" s="32">
        <v>26</v>
      </c>
    </row>
    <row r="851" spans="1:10" ht="23.25" hidden="1" customHeight="1">
      <c r="A851" s="32">
        <v>12</v>
      </c>
      <c r="B851" s="32">
        <v>24</v>
      </c>
      <c r="C851" s="32">
        <v>24</v>
      </c>
      <c r="D851" s="32">
        <v>24</v>
      </c>
      <c r="E851" s="32">
        <v>24</v>
      </c>
      <c r="F851" s="32">
        <v>24</v>
      </c>
      <c r="G851" s="32">
        <v>24</v>
      </c>
    </row>
    <row r="852" spans="1:10" ht="23.25" hidden="1" customHeight="1">
      <c r="A852" s="32">
        <v>11</v>
      </c>
      <c r="B852" s="32">
        <v>22</v>
      </c>
      <c r="C852" s="32">
        <v>22</v>
      </c>
      <c r="D852" s="32">
        <v>22</v>
      </c>
      <c r="E852" s="32">
        <v>22</v>
      </c>
      <c r="F852" s="32">
        <v>22</v>
      </c>
      <c r="G852" s="32">
        <v>22</v>
      </c>
    </row>
    <row r="853" spans="1:10" ht="23.25" hidden="1" customHeight="1">
      <c r="A853" s="32">
        <v>10</v>
      </c>
      <c r="B853" s="32">
        <v>20</v>
      </c>
      <c r="C853" s="32">
        <v>20</v>
      </c>
      <c r="D853" s="32">
        <v>20</v>
      </c>
      <c r="E853" s="32">
        <v>20</v>
      </c>
      <c r="F853" s="32">
        <v>20</v>
      </c>
      <c r="G853" s="32">
        <v>20</v>
      </c>
    </row>
    <row r="854" spans="1:10" ht="23.25" hidden="1" customHeight="1">
      <c r="A854" s="32">
        <v>9</v>
      </c>
      <c r="B854" s="32">
        <v>18</v>
      </c>
      <c r="C854" s="32">
        <v>18</v>
      </c>
      <c r="D854" s="32">
        <v>18</v>
      </c>
      <c r="E854" s="32">
        <v>18</v>
      </c>
      <c r="F854" s="32">
        <v>18</v>
      </c>
      <c r="G854" s="32">
        <v>18</v>
      </c>
    </row>
    <row r="855" spans="1:10" ht="23.25" hidden="1" customHeight="1">
      <c r="A855" s="32">
        <v>8</v>
      </c>
      <c r="B855" s="32">
        <v>16</v>
      </c>
      <c r="C855" s="32">
        <v>16</v>
      </c>
      <c r="D855" s="32">
        <v>16</v>
      </c>
      <c r="E855" s="32">
        <v>16</v>
      </c>
      <c r="F855" s="32">
        <v>16</v>
      </c>
      <c r="G855" s="32">
        <v>16</v>
      </c>
    </row>
    <row r="856" spans="1:10" ht="23.25" hidden="1" customHeight="1">
      <c r="A856" s="32">
        <v>7</v>
      </c>
      <c r="B856" s="32">
        <v>14</v>
      </c>
      <c r="C856" s="32">
        <v>14</v>
      </c>
      <c r="D856" s="32">
        <v>14</v>
      </c>
      <c r="E856" s="32">
        <v>14</v>
      </c>
      <c r="F856" s="32">
        <v>14</v>
      </c>
      <c r="G856" s="32">
        <v>14</v>
      </c>
    </row>
    <row r="857" spans="1:10" ht="23.25" hidden="1" customHeight="1">
      <c r="A857" s="32">
        <v>6</v>
      </c>
      <c r="B857" s="32">
        <v>12</v>
      </c>
      <c r="C857" s="32">
        <v>12</v>
      </c>
      <c r="D857" s="32">
        <v>12</v>
      </c>
      <c r="E857" s="32">
        <v>12</v>
      </c>
      <c r="F857" s="32">
        <v>12</v>
      </c>
      <c r="G857" s="32">
        <v>12</v>
      </c>
    </row>
    <row r="858" spans="1:10" ht="23.25" hidden="1" customHeight="1">
      <c r="A858" s="32">
        <v>5</v>
      </c>
      <c r="B858" s="32">
        <v>10</v>
      </c>
      <c r="C858" s="32">
        <v>10</v>
      </c>
      <c r="D858" s="32">
        <v>10</v>
      </c>
      <c r="E858" s="32">
        <v>10</v>
      </c>
      <c r="F858" s="32">
        <v>10</v>
      </c>
      <c r="G858" s="32">
        <v>10</v>
      </c>
    </row>
    <row r="859" spans="1:10" ht="23.25" hidden="1" customHeight="1">
      <c r="A859" s="32">
        <v>4</v>
      </c>
      <c r="B859" s="32">
        <v>8</v>
      </c>
      <c r="C859" s="32">
        <v>8</v>
      </c>
      <c r="D859" s="32">
        <v>8</v>
      </c>
      <c r="E859" s="32">
        <v>8</v>
      </c>
      <c r="F859" s="32">
        <v>8</v>
      </c>
      <c r="G859" s="32">
        <v>8</v>
      </c>
    </row>
    <row r="860" spans="1:10" ht="23.25" hidden="1" customHeight="1">
      <c r="A860" s="32">
        <v>3</v>
      </c>
      <c r="B860" s="32">
        <v>6</v>
      </c>
      <c r="C860" s="32">
        <v>6</v>
      </c>
      <c r="D860" s="32">
        <v>6</v>
      </c>
      <c r="E860" s="32">
        <v>6</v>
      </c>
      <c r="F860" s="32">
        <v>6</v>
      </c>
      <c r="G860" s="32">
        <v>6</v>
      </c>
    </row>
    <row r="861" spans="1:10" ht="23.25" hidden="1" customHeight="1">
      <c r="A861" s="32">
        <v>2</v>
      </c>
      <c r="B861" s="32">
        <v>4</v>
      </c>
      <c r="C861" s="32">
        <v>4</v>
      </c>
      <c r="D861" s="32">
        <v>4</v>
      </c>
      <c r="E861" s="32">
        <v>4</v>
      </c>
      <c r="F861" s="32">
        <v>4</v>
      </c>
      <c r="G861" s="32">
        <v>4</v>
      </c>
    </row>
    <row r="862" spans="1:10" ht="23.25" hidden="1" customHeight="1">
      <c r="A862" s="32">
        <v>1</v>
      </c>
      <c r="B862" s="32">
        <v>2</v>
      </c>
      <c r="C862" s="32">
        <v>2</v>
      </c>
      <c r="D862" s="32">
        <v>2</v>
      </c>
      <c r="E862" s="32">
        <v>2</v>
      </c>
      <c r="F862" s="32">
        <v>2</v>
      </c>
      <c r="G862" s="32">
        <v>2</v>
      </c>
    </row>
    <row r="863" spans="1:10" ht="23.25" hidden="1" customHeight="1">
      <c r="A863" s="37" t="s">
        <v>459</v>
      </c>
      <c r="B863" s="37"/>
      <c r="C863" s="37"/>
      <c r="D863" s="37"/>
      <c r="E863" s="37"/>
      <c r="F863" s="37"/>
      <c r="G863" s="37"/>
      <c r="H863" s="37"/>
      <c r="I863" s="37"/>
      <c r="J863" s="37"/>
    </row>
    <row r="864" spans="1:10" ht="23.25" hidden="1" customHeight="1">
      <c r="A864" s="37" t="s">
        <v>461</v>
      </c>
      <c r="B864" s="37"/>
      <c r="C864" s="37"/>
      <c r="D864" s="37"/>
      <c r="E864" s="37"/>
      <c r="F864" s="37"/>
      <c r="G864" s="37"/>
      <c r="H864" s="37"/>
      <c r="I864" s="37"/>
    </row>
    <row r="865" spans="1:9" ht="23.25" hidden="1" customHeight="1">
      <c r="A865" s="32" t="s">
        <v>458</v>
      </c>
      <c r="B865" s="32" t="s">
        <v>171</v>
      </c>
      <c r="C865" s="32" t="s">
        <v>172</v>
      </c>
      <c r="D865" s="32" t="s">
        <v>173</v>
      </c>
      <c r="E865" s="32" t="s">
        <v>174</v>
      </c>
      <c r="F865" s="32" t="s">
        <v>175</v>
      </c>
      <c r="G865" s="32" t="s">
        <v>176</v>
      </c>
      <c r="H865" s="32" t="s">
        <v>251</v>
      </c>
      <c r="I865" s="32" t="s">
        <v>252</v>
      </c>
    </row>
    <row r="866" spans="1:9" ht="23.25" hidden="1" customHeight="1">
      <c r="A866" s="32">
        <v>10</v>
      </c>
      <c r="B866" s="32">
        <v>10</v>
      </c>
      <c r="C866" s="32">
        <v>10</v>
      </c>
      <c r="D866" s="32">
        <v>10</v>
      </c>
      <c r="E866" s="32">
        <v>10</v>
      </c>
      <c r="F866" s="32">
        <v>10</v>
      </c>
      <c r="G866" s="32">
        <v>10</v>
      </c>
      <c r="H866" s="32">
        <v>10</v>
      </c>
      <c r="I866" s="32">
        <v>10</v>
      </c>
    </row>
    <row r="867" spans="1:9" ht="23.25" hidden="1" customHeight="1">
      <c r="A867" s="32">
        <v>9</v>
      </c>
      <c r="B867" s="32">
        <v>9</v>
      </c>
      <c r="C867" s="32">
        <v>9</v>
      </c>
      <c r="D867" s="32">
        <v>9</v>
      </c>
      <c r="E867" s="32">
        <v>9</v>
      </c>
      <c r="F867" s="32">
        <v>9</v>
      </c>
      <c r="G867" s="32">
        <v>9</v>
      </c>
      <c r="H867" s="32">
        <v>9</v>
      </c>
      <c r="I867" s="32">
        <v>9</v>
      </c>
    </row>
    <row r="868" spans="1:9" ht="23.25" hidden="1" customHeight="1">
      <c r="A868" s="32">
        <v>8</v>
      </c>
      <c r="B868" s="32">
        <v>8</v>
      </c>
      <c r="C868" s="32">
        <v>8</v>
      </c>
      <c r="D868" s="32">
        <v>8</v>
      </c>
      <c r="E868" s="32">
        <v>8</v>
      </c>
      <c r="F868" s="32">
        <v>8</v>
      </c>
      <c r="G868" s="32">
        <v>8</v>
      </c>
      <c r="H868" s="32">
        <v>8</v>
      </c>
      <c r="I868" s="32">
        <v>8</v>
      </c>
    </row>
    <row r="869" spans="1:9" ht="23.25" hidden="1" customHeight="1">
      <c r="A869" s="32">
        <v>7</v>
      </c>
      <c r="B869" s="32">
        <v>7</v>
      </c>
      <c r="C869" s="32">
        <v>7</v>
      </c>
      <c r="D869" s="32">
        <v>7</v>
      </c>
      <c r="E869" s="32">
        <v>7</v>
      </c>
      <c r="F869" s="32">
        <v>7</v>
      </c>
      <c r="G869" s="32">
        <v>7</v>
      </c>
      <c r="H869" s="32">
        <v>7</v>
      </c>
      <c r="I869" s="32">
        <v>7</v>
      </c>
    </row>
    <row r="870" spans="1:9" ht="23.25" hidden="1" customHeight="1">
      <c r="A870" s="32">
        <v>6</v>
      </c>
      <c r="B870" s="32">
        <v>6</v>
      </c>
      <c r="C870" s="32">
        <v>6</v>
      </c>
      <c r="D870" s="32">
        <v>6</v>
      </c>
      <c r="E870" s="32">
        <v>6</v>
      </c>
      <c r="F870" s="32">
        <v>6</v>
      </c>
      <c r="G870" s="32">
        <v>6</v>
      </c>
      <c r="H870" s="32">
        <v>6</v>
      </c>
      <c r="I870" s="32">
        <v>6</v>
      </c>
    </row>
    <row r="871" spans="1:9" ht="23.25" hidden="1" customHeight="1">
      <c r="A871" s="32">
        <v>5</v>
      </c>
      <c r="B871" s="32">
        <v>5</v>
      </c>
      <c r="C871" s="32">
        <v>5</v>
      </c>
      <c r="D871" s="32">
        <v>5</v>
      </c>
      <c r="E871" s="32">
        <v>5</v>
      </c>
      <c r="F871" s="32">
        <v>5</v>
      </c>
      <c r="G871" s="32">
        <v>5</v>
      </c>
      <c r="H871" s="32">
        <v>5</v>
      </c>
      <c r="I871" s="32">
        <v>5</v>
      </c>
    </row>
    <row r="872" spans="1:9" ht="23.25" hidden="1" customHeight="1">
      <c r="A872" s="32">
        <v>4</v>
      </c>
      <c r="B872" s="32">
        <v>4</v>
      </c>
      <c r="C872" s="32">
        <v>4</v>
      </c>
      <c r="D872" s="32">
        <v>4</v>
      </c>
      <c r="E872" s="32">
        <v>4</v>
      </c>
      <c r="F872" s="32">
        <v>4</v>
      </c>
      <c r="G872" s="32">
        <v>4</v>
      </c>
      <c r="H872" s="32">
        <v>4</v>
      </c>
      <c r="I872" s="32">
        <v>4</v>
      </c>
    </row>
    <row r="873" spans="1:9" ht="23.25" hidden="1" customHeight="1">
      <c r="A873" s="32">
        <v>3</v>
      </c>
      <c r="B873" s="32">
        <v>3</v>
      </c>
      <c r="C873" s="32">
        <v>3</v>
      </c>
      <c r="D873" s="32">
        <v>3</v>
      </c>
      <c r="E873" s="32">
        <v>3</v>
      </c>
      <c r="F873" s="32">
        <v>3</v>
      </c>
      <c r="G873" s="32">
        <v>3</v>
      </c>
      <c r="H873" s="32">
        <v>3</v>
      </c>
      <c r="I873" s="32">
        <v>3</v>
      </c>
    </row>
    <row r="874" spans="1:9" ht="23.25" hidden="1" customHeight="1">
      <c r="A874" s="32">
        <v>2</v>
      </c>
      <c r="B874" s="32">
        <v>2</v>
      </c>
      <c r="C874" s="32">
        <v>2</v>
      </c>
      <c r="D874" s="32">
        <v>2</v>
      </c>
      <c r="E874" s="32">
        <v>2</v>
      </c>
      <c r="F874" s="32">
        <v>2</v>
      </c>
      <c r="G874" s="32">
        <v>2</v>
      </c>
      <c r="H874" s="32">
        <v>2</v>
      </c>
      <c r="I874" s="32">
        <v>2</v>
      </c>
    </row>
    <row r="875" spans="1:9" ht="23.25" hidden="1" customHeight="1">
      <c r="A875" s="32">
        <v>1</v>
      </c>
      <c r="B875" s="32">
        <v>1</v>
      </c>
      <c r="C875" s="32">
        <v>1</v>
      </c>
      <c r="D875" s="32">
        <v>1</v>
      </c>
      <c r="E875" s="32">
        <v>1</v>
      </c>
      <c r="F875" s="32">
        <v>1</v>
      </c>
      <c r="G875" s="32">
        <v>1</v>
      </c>
      <c r="H875" s="32">
        <v>1</v>
      </c>
      <c r="I875" s="32">
        <v>1</v>
      </c>
    </row>
    <row r="876" spans="1:9" ht="23.25" hidden="1" customHeight="1">
      <c r="A876" s="37" t="s">
        <v>462</v>
      </c>
      <c r="B876" s="37"/>
      <c r="C876" s="37"/>
      <c r="D876" s="37"/>
      <c r="E876" s="37"/>
      <c r="F876" s="37"/>
      <c r="G876" s="37"/>
      <c r="H876" s="37"/>
      <c r="I876" s="37"/>
    </row>
    <row r="877" spans="1:9" ht="23.25" hidden="1" customHeight="1">
      <c r="A877" s="32" t="s">
        <v>458</v>
      </c>
      <c r="B877" s="32" t="s">
        <v>171</v>
      </c>
      <c r="C877" s="32" t="s">
        <v>172</v>
      </c>
      <c r="D877" s="32" t="s">
        <v>173</v>
      </c>
      <c r="E877" s="32" t="s">
        <v>174</v>
      </c>
      <c r="F877" s="32" t="s">
        <v>175</v>
      </c>
      <c r="G877" s="32" t="s">
        <v>176</v>
      </c>
      <c r="H877" s="32" t="s">
        <v>251</v>
      </c>
      <c r="I877" s="32" t="s">
        <v>252</v>
      </c>
    </row>
    <row r="878" spans="1:9" ht="23.25" hidden="1" customHeight="1">
      <c r="A878" s="32">
        <v>10</v>
      </c>
      <c r="B878" s="32">
        <v>13</v>
      </c>
      <c r="C878" s="32">
        <v>13</v>
      </c>
      <c r="D878" s="32">
        <v>13</v>
      </c>
      <c r="E878" s="32">
        <v>13</v>
      </c>
      <c r="F878" s="32">
        <v>13</v>
      </c>
      <c r="G878" s="32">
        <v>13</v>
      </c>
      <c r="H878" s="32">
        <v>13</v>
      </c>
      <c r="I878" s="32">
        <v>13</v>
      </c>
    </row>
    <row r="879" spans="1:9" ht="23.25" hidden="1" customHeight="1">
      <c r="A879" s="32">
        <v>9</v>
      </c>
      <c r="B879" s="32">
        <v>12</v>
      </c>
      <c r="C879" s="32">
        <v>12</v>
      </c>
      <c r="D879" s="32">
        <v>12</v>
      </c>
      <c r="E879" s="32">
        <v>12</v>
      </c>
      <c r="F879" s="32">
        <v>12</v>
      </c>
      <c r="G879" s="32">
        <v>12</v>
      </c>
      <c r="H879" s="32">
        <v>12</v>
      </c>
      <c r="I879" s="32">
        <v>12</v>
      </c>
    </row>
    <row r="880" spans="1:9" ht="23.25" hidden="1" customHeight="1">
      <c r="A880" s="32">
        <v>8</v>
      </c>
      <c r="B880" s="32">
        <v>11</v>
      </c>
      <c r="C880" s="32">
        <v>11</v>
      </c>
      <c r="D880" s="32">
        <v>11</v>
      </c>
      <c r="E880" s="32">
        <v>11</v>
      </c>
      <c r="F880" s="32">
        <v>11</v>
      </c>
      <c r="G880" s="32">
        <v>11</v>
      </c>
      <c r="H880" s="32">
        <v>11</v>
      </c>
      <c r="I880" s="32">
        <v>11</v>
      </c>
    </row>
    <row r="881" spans="1:9" ht="23.25" hidden="1" customHeight="1">
      <c r="A881" s="32">
        <v>7</v>
      </c>
      <c r="B881" s="32">
        <v>10</v>
      </c>
      <c r="C881" s="32">
        <v>10</v>
      </c>
      <c r="D881" s="32">
        <v>10</v>
      </c>
      <c r="E881" s="32">
        <v>10</v>
      </c>
      <c r="F881" s="32">
        <v>10</v>
      </c>
      <c r="G881" s="32">
        <v>10</v>
      </c>
      <c r="H881" s="32">
        <v>10</v>
      </c>
      <c r="I881" s="32">
        <v>10</v>
      </c>
    </row>
    <row r="882" spans="1:9" ht="23.25" hidden="1" customHeight="1">
      <c r="A882" s="32">
        <v>6</v>
      </c>
      <c r="B882" s="32">
        <v>9</v>
      </c>
      <c r="C882" s="32">
        <v>9</v>
      </c>
      <c r="D882" s="32">
        <v>9</v>
      </c>
      <c r="E882" s="32">
        <v>9</v>
      </c>
      <c r="F882" s="32">
        <v>9</v>
      </c>
      <c r="G882" s="32">
        <v>9</v>
      </c>
      <c r="H882" s="32">
        <v>9</v>
      </c>
      <c r="I882" s="32">
        <v>9</v>
      </c>
    </row>
    <row r="883" spans="1:9" ht="23.25" hidden="1" customHeight="1">
      <c r="A883" s="32">
        <v>5</v>
      </c>
      <c r="B883" s="32">
        <v>8</v>
      </c>
      <c r="C883" s="32">
        <v>8</v>
      </c>
      <c r="D883" s="32">
        <v>8</v>
      </c>
      <c r="E883" s="32">
        <v>8</v>
      </c>
      <c r="F883" s="32">
        <v>8</v>
      </c>
      <c r="G883" s="32">
        <v>8</v>
      </c>
      <c r="H883" s="32">
        <v>8</v>
      </c>
      <c r="I883" s="32">
        <v>8</v>
      </c>
    </row>
    <row r="884" spans="1:9" ht="23.25" hidden="1" customHeight="1">
      <c r="A884" s="32">
        <v>4</v>
      </c>
      <c r="B884" s="32">
        <v>7</v>
      </c>
      <c r="C884" s="32">
        <v>7</v>
      </c>
      <c r="D884" s="32">
        <v>7</v>
      </c>
      <c r="E884" s="32">
        <v>7</v>
      </c>
      <c r="F884" s="32">
        <v>7</v>
      </c>
      <c r="G884" s="32">
        <v>7</v>
      </c>
      <c r="H884" s="32">
        <v>7</v>
      </c>
      <c r="I884" s="32">
        <v>7</v>
      </c>
    </row>
    <row r="885" spans="1:9" ht="23.25" hidden="1" customHeight="1">
      <c r="A885" s="32">
        <v>3</v>
      </c>
      <c r="B885" s="32">
        <v>6</v>
      </c>
      <c r="C885" s="32">
        <v>6</v>
      </c>
      <c r="D885" s="32">
        <v>6</v>
      </c>
      <c r="E885" s="32">
        <v>6</v>
      </c>
      <c r="F885" s="32">
        <v>6</v>
      </c>
      <c r="G885" s="32">
        <v>6</v>
      </c>
      <c r="H885" s="32">
        <v>6</v>
      </c>
      <c r="I885" s="32">
        <v>6</v>
      </c>
    </row>
    <row r="886" spans="1:9" ht="23.25" hidden="1" customHeight="1">
      <c r="A886" s="32">
        <v>2</v>
      </c>
      <c r="B886" s="32">
        <v>4</v>
      </c>
      <c r="C886" s="32">
        <v>4</v>
      </c>
      <c r="D886" s="32">
        <v>4</v>
      </c>
      <c r="E886" s="32">
        <v>4</v>
      </c>
      <c r="F886" s="32">
        <v>4</v>
      </c>
      <c r="G886" s="32">
        <v>4</v>
      </c>
      <c r="H886" s="32">
        <v>4</v>
      </c>
      <c r="I886" s="32">
        <v>4</v>
      </c>
    </row>
    <row r="887" spans="1:9" ht="23.25" hidden="1" customHeight="1">
      <c r="A887" s="32">
        <v>1</v>
      </c>
      <c r="B887" s="32">
        <v>2</v>
      </c>
      <c r="C887" s="32">
        <v>2</v>
      </c>
      <c r="D887" s="32">
        <v>2</v>
      </c>
      <c r="E887" s="32">
        <v>2</v>
      </c>
      <c r="F887" s="32">
        <v>2</v>
      </c>
      <c r="G887" s="32">
        <v>2</v>
      </c>
      <c r="H887" s="32">
        <v>2</v>
      </c>
      <c r="I887" s="32">
        <v>2</v>
      </c>
    </row>
    <row r="888" spans="1:9" ht="23.25" hidden="1" customHeight="1">
      <c r="A888" s="31" t="s">
        <v>463</v>
      </c>
      <c r="B888" s="31"/>
      <c r="C888" s="31"/>
      <c r="D888" s="31"/>
      <c r="E888" s="31"/>
      <c r="F888" s="31"/>
      <c r="G888" s="31"/>
      <c r="H888" s="31"/>
      <c r="I888" s="31"/>
    </row>
    <row r="889" spans="1:9" ht="23.25" hidden="1" customHeight="1">
      <c r="A889" s="37" t="s">
        <v>464</v>
      </c>
      <c r="B889" s="37"/>
      <c r="C889" s="37"/>
      <c r="D889" s="37"/>
      <c r="E889" s="37"/>
      <c r="F889" s="37"/>
      <c r="G889" s="37"/>
      <c r="H889" s="37"/>
      <c r="I889" s="37"/>
    </row>
    <row r="890" spans="1:9" ht="23.25" hidden="1" customHeight="1">
      <c r="A890" s="32" t="s">
        <v>458</v>
      </c>
      <c r="B890" s="32" t="s">
        <v>171</v>
      </c>
      <c r="C890" s="32" t="s">
        <v>172</v>
      </c>
      <c r="D890" s="32" t="s">
        <v>173</v>
      </c>
      <c r="E890" s="32" t="s">
        <v>174</v>
      </c>
      <c r="F890" s="32" t="s">
        <v>175</v>
      </c>
      <c r="G890" s="32" t="s">
        <v>176</v>
      </c>
      <c r="H890" s="32" t="s">
        <v>251</v>
      </c>
      <c r="I890" s="32" t="s">
        <v>252</v>
      </c>
    </row>
    <row r="891" spans="1:9" ht="23.25" hidden="1" customHeight="1">
      <c r="A891" s="32">
        <v>10</v>
      </c>
      <c r="B891" s="32">
        <v>-35</v>
      </c>
      <c r="C891" s="32">
        <v>-35</v>
      </c>
      <c r="D891" s="32">
        <v>-35</v>
      </c>
      <c r="E891" s="32">
        <v>-35</v>
      </c>
      <c r="F891" s="32">
        <v>-35</v>
      </c>
      <c r="G891" s="32">
        <v>-35</v>
      </c>
      <c r="H891" s="32">
        <v>-35</v>
      </c>
      <c r="I891" s="32">
        <v>-35</v>
      </c>
    </row>
    <row r="892" spans="1:9" ht="23.25" hidden="1" customHeight="1">
      <c r="A892" s="32">
        <v>9</v>
      </c>
      <c r="B892" s="32">
        <v>-32</v>
      </c>
      <c r="C892" s="32">
        <v>-32</v>
      </c>
      <c r="D892" s="32">
        <v>-32</v>
      </c>
      <c r="E892" s="32">
        <v>-32</v>
      </c>
      <c r="F892" s="32">
        <v>-32</v>
      </c>
      <c r="G892" s="32">
        <v>-32</v>
      </c>
      <c r="H892" s="32">
        <v>-32</v>
      </c>
      <c r="I892" s="32">
        <v>-32</v>
      </c>
    </row>
    <row r="893" spans="1:9" ht="23.25" hidden="1" customHeight="1">
      <c r="A893" s="32">
        <v>8</v>
      </c>
      <c r="B893" s="32">
        <v>-29</v>
      </c>
      <c r="C893" s="32">
        <v>-29</v>
      </c>
      <c r="D893" s="32">
        <v>-29</v>
      </c>
      <c r="E893" s="32">
        <v>-29</v>
      </c>
      <c r="F893" s="32">
        <v>-29</v>
      </c>
      <c r="G893" s="32">
        <v>-29</v>
      </c>
      <c r="H893" s="32">
        <v>-29</v>
      </c>
      <c r="I893" s="32">
        <v>-29</v>
      </c>
    </row>
    <row r="894" spans="1:9" ht="23.25" hidden="1" customHeight="1">
      <c r="A894" s="32">
        <v>7</v>
      </c>
      <c r="B894" s="32">
        <v>-26</v>
      </c>
      <c r="C894" s="32">
        <v>-26</v>
      </c>
      <c r="D894" s="32">
        <v>-26</v>
      </c>
      <c r="E894" s="32">
        <v>-26</v>
      </c>
      <c r="F894" s="32">
        <v>-26</v>
      </c>
      <c r="G894" s="32">
        <v>-26</v>
      </c>
      <c r="H894" s="32">
        <v>-26</v>
      </c>
      <c r="I894" s="32">
        <v>-26</v>
      </c>
    </row>
    <row r="895" spans="1:9" ht="23.25" hidden="1" customHeight="1">
      <c r="A895" s="32">
        <v>6</v>
      </c>
      <c r="B895" s="32">
        <v>-23</v>
      </c>
      <c r="C895" s="32">
        <v>-23</v>
      </c>
      <c r="D895" s="32">
        <v>-23</v>
      </c>
      <c r="E895" s="32">
        <v>-23</v>
      </c>
      <c r="F895" s="32">
        <v>-23</v>
      </c>
      <c r="G895" s="32">
        <v>-23</v>
      </c>
      <c r="H895" s="32">
        <v>-23</v>
      </c>
      <c r="I895" s="32">
        <v>-23</v>
      </c>
    </row>
    <row r="896" spans="1:9" ht="23.25" hidden="1" customHeight="1">
      <c r="A896" s="32">
        <v>5</v>
      </c>
      <c r="B896" s="32">
        <v>-20</v>
      </c>
      <c r="C896" s="32">
        <v>-20</v>
      </c>
      <c r="D896" s="32">
        <v>-20</v>
      </c>
      <c r="E896" s="32">
        <v>-20</v>
      </c>
      <c r="F896" s="32">
        <v>-20</v>
      </c>
      <c r="G896" s="32">
        <v>-20</v>
      </c>
      <c r="H896" s="32">
        <v>-20</v>
      </c>
      <c r="I896" s="32">
        <v>-20</v>
      </c>
    </row>
    <row r="897" spans="1:9" ht="23.25" hidden="1" customHeight="1">
      <c r="A897" s="32">
        <v>4</v>
      </c>
      <c r="B897" s="32">
        <v>-16</v>
      </c>
      <c r="C897" s="32">
        <v>-16</v>
      </c>
      <c r="D897" s="32">
        <v>-16</v>
      </c>
      <c r="E897" s="32">
        <v>-16</v>
      </c>
      <c r="F897" s="32">
        <v>-16</v>
      </c>
      <c r="G897" s="32">
        <v>-16</v>
      </c>
      <c r="H897" s="32">
        <v>-16</v>
      </c>
      <c r="I897" s="32">
        <v>-16</v>
      </c>
    </row>
    <row r="898" spans="1:9" ht="23.25" hidden="1" customHeight="1">
      <c r="A898" s="32">
        <v>3</v>
      </c>
      <c r="B898" s="32">
        <v>-12</v>
      </c>
      <c r="C898" s="32">
        <v>-12</v>
      </c>
      <c r="D898" s="32">
        <v>-12</v>
      </c>
      <c r="E898" s="32">
        <v>-12</v>
      </c>
      <c r="F898" s="32">
        <v>-12</v>
      </c>
      <c r="G898" s="32">
        <v>-12</v>
      </c>
      <c r="H898" s="32">
        <v>-12</v>
      </c>
      <c r="I898" s="32">
        <v>-12</v>
      </c>
    </row>
    <row r="899" spans="1:9" ht="23.25" hidden="1" customHeight="1">
      <c r="A899" s="32">
        <v>2</v>
      </c>
      <c r="B899" s="32">
        <v>-8</v>
      </c>
      <c r="C899" s="32">
        <v>-8</v>
      </c>
      <c r="D899" s="32">
        <v>-8</v>
      </c>
      <c r="E899" s="32">
        <v>-8</v>
      </c>
      <c r="F899" s="32">
        <v>-8</v>
      </c>
      <c r="G899" s="32">
        <v>-8</v>
      </c>
      <c r="H899" s="32">
        <v>-8</v>
      </c>
      <c r="I899" s="32">
        <v>-8</v>
      </c>
    </row>
    <row r="900" spans="1:9" ht="23.25" hidden="1" customHeight="1">
      <c r="A900" s="32">
        <v>1</v>
      </c>
      <c r="B900" s="32">
        <v>-4</v>
      </c>
      <c r="C900" s="32">
        <v>-4</v>
      </c>
      <c r="D900" s="32">
        <v>-4</v>
      </c>
      <c r="E900" s="32">
        <v>-4</v>
      </c>
      <c r="F900" s="32">
        <v>-4</v>
      </c>
      <c r="G900" s="32">
        <v>-4</v>
      </c>
      <c r="H900" s="32">
        <v>-4</v>
      </c>
      <c r="I900" s="32">
        <v>-4</v>
      </c>
    </row>
    <row r="901" spans="1:9" ht="23.25" hidden="1" customHeight="1">
      <c r="A901" s="37" t="s">
        <v>465</v>
      </c>
      <c r="B901" s="37"/>
      <c r="C901" s="37"/>
      <c r="D901" s="37"/>
      <c r="E901" s="37"/>
      <c r="F901" s="37"/>
      <c r="G901" s="37"/>
      <c r="H901" s="37"/>
      <c r="I901" s="37"/>
    </row>
    <row r="902" spans="1:9" ht="23.25" hidden="1" customHeight="1">
      <c r="A902" s="32" t="s">
        <v>458</v>
      </c>
      <c r="B902" s="32" t="s">
        <v>171</v>
      </c>
      <c r="C902" s="32" t="s">
        <v>172</v>
      </c>
      <c r="D902" s="32" t="s">
        <v>173</v>
      </c>
      <c r="E902" s="32" t="s">
        <v>174</v>
      </c>
      <c r="F902" s="32" t="s">
        <v>175</v>
      </c>
      <c r="G902" s="32" t="s">
        <v>176</v>
      </c>
      <c r="H902" s="32" t="s">
        <v>251</v>
      </c>
      <c r="I902" s="32" t="s">
        <v>252</v>
      </c>
    </row>
    <row r="903" spans="1:9" ht="23.25" hidden="1" customHeight="1">
      <c r="A903" s="32">
        <v>10</v>
      </c>
      <c r="B903" s="32">
        <v>-50</v>
      </c>
      <c r="C903" s="32">
        <v>-50</v>
      </c>
      <c r="D903" s="32">
        <v>-50</v>
      </c>
      <c r="E903" s="32">
        <v>-50</v>
      </c>
      <c r="F903" s="32">
        <v>-50</v>
      </c>
      <c r="G903" s="32">
        <v>-50</v>
      </c>
      <c r="H903" s="32">
        <v>-50</v>
      </c>
      <c r="I903" s="32">
        <v>-50</v>
      </c>
    </row>
    <row r="904" spans="1:9" ht="23.25" hidden="1" customHeight="1">
      <c r="A904" s="32">
        <v>9</v>
      </c>
      <c r="B904" s="32">
        <v>-45</v>
      </c>
      <c r="C904" s="32">
        <v>-45</v>
      </c>
      <c r="D904" s="32">
        <v>-45</v>
      </c>
      <c r="E904" s="32">
        <v>-45</v>
      </c>
      <c r="F904" s="32">
        <v>-45</v>
      </c>
      <c r="G904" s="32">
        <v>-45</v>
      </c>
      <c r="H904" s="32">
        <v>-45</v>
      </c>
      <c r="I904" s="32">
        <v>-45</v>
      </c>
    </row>
    <row r="905" spans="1:9" ht="23.25" hidden="1" customHeight="1">
      <c r="A905" s="32">
        <v>8</v>
      </c>
      <c r="B905" s="32">
        <v>-40</v>
      </c>
      <c r="C905" s="32">
        <v>-40</v>
      </c>
      <c r="D905" s="32">
        <v>-40</v>
      </c>
      <c r="E905" s="32">
        <v>-40</v>
      </c>
      <c r="F905" s="32">
        <v>-40</v>
      </c>
      <c r="G905" s="32">
        <v>-40</v>
      </c>
      <c r="H905" s="32">
        <v>-40</v>
      </c>
      <c r="I905" s="32">
        <v>-40</v>
      </c>
    </row>
    <row r="906" spans="1:9" ht="23.25" hidden="1" customHeight="1">
      <c r="A906" s="32">
        <v>7</v>
      </c>
      <c r="B906" s="32">
        <v>-35</v>
      </c>
      <c r="C906" s="32">
        <v>-35</v>
      </c>
      <c r="D906" s="32">
        <v>-35</v>
      </c>
      <c r="E906" s="32">
        <v>-35</v>
      </c>
      <c r="F906" s="32">
        <v>-35</v>
      </c>
      <c r="G906" s="32">
        <v>-35</v>
      </c>
      <c r="H906" s="32">
        <v>-35</v>
      </c>
      <c r="I906" s="32">
        <v>-35</v>
      </c>
    </row>
    <row r="907" spans="1:9" ht="23.25" hidden="1" customHeight="1">
      <c r="A907" s="32">
        <v>6</v>
      </c>
      <c r="B907" s="32">
        <v>-30</v>
      </c>
      <c r="C907" s="32">
        <v>-30</v>
      </c>
      <c r="D907" s="32">
        <v>-30</v>
      </c>
      <c r="E907" s="32">
        <v>-30</v>
      </c>
      <c r="F907" s="32">
        <v>-30</v>
      </c>
      <c r="G907" s="32">
        <v>-30</v>
      </c>
      <c r="H907" s="32">
        <v>-30</v>
      </c>
      <c r="I907" s="32">
        <v>-30</v>
      </c>
    </row>
    <row r="908" spans="1:9" ht="23.25" hidden="1" customHeight="1">
      <c r="A908" s="32">
        <v>5</v>
      </c>
      <c r="B908" s="32">
        <v>-25</v>
      </c>
      <c r="C908" s="32">
        <v>-25</v>
      </c>
      <c r="D908" s="32">
        <v>-25</v>
      </c>
      <c r="E908" s="32">
        <v>-25</v>
      </c>
      <c r="F908" s="32">
        <v>-25</v>
      </c>
      <c r="G908" s="32">
        <v>-25</v>
      </c>
      <c r="H908" s="32">
        <v>-25</v>
      </c>
      <c r="I908" s="32">
        <v>-25</v>
      </c>
    </row>
    <row r="909" spans="1:9" ht="23.25" hidden="1" customHeight="1">
      <c r="A909" s="32">
        <v>4</v>
      </c>
      <c r="B909" s="32">
        <v>-20</v>
      </c>
      <c r="C909" s="32">
        <v>-20</v>
      </c>
      <c r="D909" s="32">
        <v>-20</v>
      </c>
      <c r="E909" s="32">
        <v>-20</v>
      </c>
      <c r="F909" s="32">
        <v>-20</v>
      </c>
      <c r="G909" s="32">
        <v>-20</v>
      </c>
      <c r="H909" s="32">
        <v>-20</v>
      </c>
      <c r="I909" s="32">
        <v>-20</v>
      </c>
    </row>
    <row r="910" spans="1:9" ht="23.25" hidden="1" customHeight="1">
      <c r="A910" s="32">
        <v>3</v>
      </c>
      <c r="B910" s="32">
        <v>-15</v>
      </c>
      <c r="C910" s="32">
        <v>-15</v>
      </c>
      <c r="D910" s="32">
        <v>-15</v>
      </c>
      <c r="E910" s="32">
        <v>-15</v>
      </c>
      <c r="F910" s="32">
        <v>-15</v>
      </c>
      <c r="G910" s="32">
        <v>-15</v>
      </c>
      <c r="H910" s="32">
        <v>-15</v>
      </c>
      <c r="I910" s="32">
        <v>-15</v>
      </c>
    </row>
    <row r="911" spans="1:9" ht="23.25" hidden="1" customHeight="1">
      <c r="A911" s="32">
        <v>2</v>
      </c>
      <c r="B911" s="32">
        <v>-10</v>
      </c>
      <c r="C911" s="32">
        <v>-10</v>
      </c>
      <c r="D911" s="32">
        <v>-10</v>
      </c>
      <c r="E911" s="32">
        <v>-10</v>
      </c>
      <c r="F911" s="32">
        <v>-10</v>
      </c>
      <c r="G911" s="32">
        <v>-10</v>
      </c>
      <c r="H911" s="32">
        <v>-10</v>
      </c>
      <c r="I911" s="32">
        <v>-10</v>
      </c>
    </row>
    <row r="912" spans="1:9" ht="23.25" hidden="1" customHeight="1">
      <c r="A912" s="32">
        <v>1</v>
      </c>
      <c r="B912" s="32">
        <v>-5</v>
      </c>
      <c r="C912" s="32">
        <v>-5</v>
      </c>
      <c r="D912" s="32">
        <v>-5</v>
      </c>
      <c r="E912" s="32">
        <v>-5</v>
      </c>
      <c r="F912" s="32">
        <v>-5</v>
      </c>
      <c r="G912" s="32">
        <v>-5</v>
      </c>
      <c r="H912" s="32">
        <v>-5</v>
      </c>
      <c r="I912" s="32">
        <v>-5</v>
      </c>
    </row>
  </sheetData>
  <sheetProtection password="C63D" sheet="1" objects="1" scenarios="1"/>
  <mergeCells count="194">
    <mergeCell ref="A889:I889"/>
    <mergeCell ref="A863:J863"/>
    <mergeCell ref="H508:H509"/>
    <mergeCell ref="A1:O1"/>
    <mergeCell ref="H248:H249"/>
    <mergeCell ref="O2:O3"/>
    <mergeCell ref="I23:I24"/>
    <mergeCell ref="H293:H294"/>
    <mergeCell ref="J113:J114"/>
    <mergeCell ref="J203:J204"/>
    <mergeCell ref="A507:J507"/>
    <mergeCell ref="A817:L817"/>
    <mergeCell ref="E686:E687"/>
    <mergeCell ref="A818:L818"/>
    <mergeCell ref="C293:C294"/>
    <mergeCell ref="I508:I509"/>
    <mergeCell ref="F553:F554"/>
    <mergeCell ref="A463:A464"/>
    <mergeCell ref="D463:D464"/>
    <mergeCell ref="D203:D204"/>
    <mergeCell ref="A686:A687"/>
    <mergeCell ref="F752:F753"/>
    <mergeCell ref="C378:C379"/>
    <mergeCell ref="J553:J554"/>
    <mergeCell ref="N2:N3"/>
    <mergeCell ref="A112:P112"/>
    <mergeCell ref="L113:L114"/>
    <mergeCell ref="F628:F629"/>
    <mergeCell ref="C628:C629"/>
    <mergeCell ref="A864:I864"/>
    <mergeCell ref="A157:P157"/>
    <mergeCell ref="F23:F24"/>
    <mergeCell ref="C203:C204"/>
    <mergeCell ref="A247:P247"/>
    <mergeCell ref="D508:D509"/>
    <mergeCell ref="A750:J750"/>
    <mergeCell ref="A841:G841"/>
    <mergeCell ref="I463:I464"/>
    <mergeCell ref="D628:D629"/>
    <mergeCell ref="H686:H687"/>
    <mergeCell ref="F463:F464"/>
    <mergeCell ref="C598:C599"/>
    <mergeCell ref="I752:I753"/>
    <mergeCell ref="A752:A753"/>
    <mergeCell ref="J628:J629"/>
    <mergeCell ref="G686:G687"/>
    <mergeCell ref="D686:D687"/>
    <mergeCell ref="I686:I687"/>
    <mergeCell ref="N158:N159"/>
    <mergeCell ref="A68:A69"/>
    <mergeCell ref="E158:E159"/>
    <mergeCell ref="N68:N69"/>
    <mergeCell ref="K113:K114"/>
    <mergeCell ref="A248:A249"/>
    <mergeCell ref="I68:I69"/>
    <mergeCell ref="K248:K249"/>
    <mergeCell ref="H68:H69"/>
    <mergeCell ref="A113:A114"/>
    <mergeCell ref="A202:P202"/>
    <mergeCell ref="D158:D159"/>
    <mergeCell ref="N248:N249"/>
    <mergeCell ref="E113:E114"/>
    <mergeCell ref="C248:C249"/>
    <mergeCell ref="F158:F159"/>
    <mergeCell ref="E68:E69"/>
    <mergeCell ref="F113:F114"/>
    <mergeCell ref="C463:C464"/>
    <mergeCell ref="C553:C554"/>
    <mergeCell ref="G203:G204"/>
    <mergeCell ref="C508:C509"/>
    <mergeCell ref="F508:F509"/>
    <mergeCell ref="D553:D554"/>
    <mergeCell ref="F378:F379"/>
    <mergeCell ref="A627:L627"/>
    <mergeCell ref="A293:A294"/>
    <mergeCell ref="H378:H379"/>
    <mergeCell ref="K203:K204"/>
    <mergeCell ref="F203:F204"/>
    <mergeCell ref="E203:E204"/>
    <mergeCell ref="A203:A204"/>
    <mergeCell ref="F248:F249"/>
    <mergeCell ref="A292:H292"/>
    <mergeCell ref="A598:A599"/>
    <mergeCell ref="E553:E554"/>
    <mergeCell ref="A840:L840"/>
    <mergeCell ref="G628:G629"/>
    <mergeCell ref="E378:E379"/>
    <mergeCell ref="J158:J159"/>
    <mergeCell ref="G23:G24"/>
    <mergeCell ref="D113:D114"/>
    <mergeCell ref="A597:H597"/>
    <mergeCell ref="A751:J751"/>
    <mergeCell ref="H752:H753"/>
    <mergeCell ref="A628:A629"/>
    <mergeCell ref="C686:C687"/>
    <mergeCell ref="A378:A379"/>
    <mergeCell ref="J68:J69"/>
    <mergeCell ref="I113:I114"/>
    <mergeCell ref="F293:F294"/>
    <mergeCell ref="D68:D69"/>
    <mergeCell ref="G113:G114"/>
    <mergeCell ref="E248:E249"/>
    <mergeCell ref="A377:H377"/>
    <mergeCell ref="G293:G294"/>
    <mergeCell ref="C113:C114"/>
    <mergeCell ref="G248:G249"/>
    <mergeCell ref="D378:D379"/>
    <mergeCell ref="C68:C69"/>
    <mergeCell ref="A876:I876"/>
    <mergeCell ref="A462:J462"/>
    <mergeCell ref="L2:L3"/>
    <mergeCell ref="I203:I204"/>
    <mergeCell ref="F68:F69"/>
    <mergeCell ref="L68:L69"/>
    <mergeCell ref="L158:L159"/>
    <mergeCell ref="L203:L204"/>
    <mergeCell ref="H158:H159"/>
    <mergeCell ref="I553:I554"/>
    <mergeCell ref="F686:F687"/>
    <mergeCell ref="E463:E464"/>
    <mergeCell ref="H628:H629"/>
    <mergeCell ref="G553:G554"/>
    <mergeCell ref="E508:E509"/>
    <mergeCell ref="A508:A509"/>
    <mergeCell ref="J752:J753"/>
    <mergeCell ref="G463:G464"/>
    <mergeCell ref="K628:K629"/>
    <mergeCell ref="D752:D753"/>
    <mergeCell ref="G378:G379"/>
    <mergeCell ref="C23:C24"/>
    <mergeCell ref="K158:K159"/>
    <mergeCell ref="E293:E294"/>
    <mergeCell ref="A158:A159"/>
    <mergeCell ref="M113:M114"/>
    <mergeCell ref="H203:H204"/>
    <mergeCell ref="C158:C159"/>
    <mergeCell ref="J248:J249"/>
    <mergeCell ref="A23:A24"/>
    <mergeCell ref="G68:G69"/>
    <mergeCell ref="G2:G3"/>
    <mergeCell ref="I2:I3"/>
    <mergeCell ref="J2:J3"/>
    <mergeCell ref="A2:A3"/>
    <mergeCell ref="F2:F3"/>
    <mergeCell ref="K23:K24"/>
    <mergeCell ref="E23:E24"/>
    <mergeCell ref="A816:L816"/>
    <mergeCell ref="A553:A554"/>
    <mergeCell ref="A901:I901"/>
    <mergeCell ref="A685:L685"/>
    <mergeCell ref="H553:H554"/>
    <mergeCell ref="G752:G753"/>
    <mergeCell ref="J686:J687"/>
    <mergeCell ref="H113:H114"/>
    <mergeCell ref="J23:J24"/>
    <mergeCell ref="J463:J464"/>
    <mergeCell ref="I158:I159"/>
    <mergeCell ref="L23:L24"/>
    <mergeCell ref="D248:D249"/>
    <mergeCell ref="E752:E753"/>
    <mergeCell ref="G508:G509"/>
    <mergeCell ref="I628:I629"/>
    <mergeCell ref="L628:L629"/>
    <mergeCell ref="K553:K554"/>
    <mergeCell ref="L553:L554"/>
    <mergeCell ref="C752:C753"/>
    <mergeCell ref="H463:H464"/>
    <mergeCell ref="L248:L249"/>
    <mergeCell ref="H23:H24"/>
    <mergeCell ref="I248:I249"/>
    <mergeCell ref="N203:N204"/>
    <mergeCell ref="J508:J509"/>
    <mergeCell ref="D293:D294"/>
    <mergeCell ref="A552:F552"/>
    <mergeCell ref="E628:E629"/>
    <mergeCell ref="M248:M249"/>
    <mergeCell ref="D23:D24"/>
    <mergeCell ref="K2:K3"/>
    <mergeCell ref="N23:N24"/>
    <mergeCell ref="D2:D3"/>
    <mergeCell ref="M68:M69"/>
    <mergeCell ref="G158:G159"/>
    <mergeCell ref="M23:M24"/>
    <mergeCell ref="E2:E3"/>
    <mergeCell ref="M2:M3"/>
    <mergeCell ref="A22:P22"/>
    <mergeCell ref="A12:O12"/>
    <mergeCell ref="M158:M159"/>
    <mergeCell ref="A67:P67"/>
    <mergeCell ref="N113:N114"/>
    <mergeCell ref="M203:M204"/>
    <mergeCell ref="H2:H3"/>
    <mergeCell ref="C2:C3"/>
    <mergeCell ref="K68:K69"/>
  </mergeCells>
  <phoneticPr fontId="8" type="noConversion"/>
  <pageMargins left="0.69930555555555596" right="0.69930555555555596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/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16AB92F0-2E92-409F-A075-3D9ACECDD409}"/>
</file>

<file path=customXml/itemProps3.xml><?xml version="1.0" encoding="utf-8"?>
<ds:datastoreItem xmlns:ds="http://schemas.openxmlformats.org/officeDocument/2006/customXml" ds:itemID="{CDF62112-45FB-4DC1-8635-191C20BBE4AB}"/>
</file>

<file path=customXml/itemProps4.xml><?xml version="1.0" encoding="utf-8"?>
<ds:datastoreItem xmlns:ds="http://schemas.openxmlformats.org/officeDocument/2006/customXml" ds:itemID="{2E8252B9-6CA1-4698-98F0-B6E2B21B9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男生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chipset</dc:creator>
  <cp:lastModifiedBy>陈冠宙</cp:lastModifiedBy>
  <dcterms:created xsi:type="dcterms:W3CDTF">2014-09-22T07:28:00Z</dcterms:created>
  <dcterms:modified xsi:type="dcterms:W3CDTF">2026-02-07T06:02:33Z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A64DB39154C1414DB0650C4D97A5ECE7_13</vt:lpwstr>
  </property>
  <property fmtid="{D5CDD505-2E9C-101B-9397-08002B2CF9AE}" pid="4" name="ContentTypeId">
    <vt:lpwstr>0x01010028C7B6C620067247A35EF62A3E68EE62</vt:lpwstr>
  </property>
</Properties>
</file>
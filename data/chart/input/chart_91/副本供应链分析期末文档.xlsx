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运算结果报告" sheetId="2" r:id="rId1"/>
    <sheet name="车辆路径优化模型" sheetId="1" r:id="rId2"/>
  </sheets>
  <definedNames>
    <definedName name="solver_adj" localSheetId="1" hidden="1">车辆路径优化模型!$B$58:$P$62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车辆路径优化模型!$P$63</definedName>
    <definedName name="solver_lhs10" localSheetId="1" hidden="1">车辆路径优化模型!$M$63</definedName>
    <definedName name="solver_lhs11" localSheetId="1" hidden="1">车辆路径优化模型!$N$63</definedName>
    <definedName name="solver_lhs12" localSheetId="1" hidden="1">车辆路径优化模型!$I$63</definedName>
    <definedName name="solver_lhs13" localSheetId="1" hidden="1">车辆路径优化模型!$H$63</definedName>
    <definedName name="solver_lhs14" localSheetId="1" hidden="1">车辆路径优化模型!$G$63</definedName>
    <definedName name="solver_lhs15" localSheetId="1" hidden="1">车辆路径优化模型!$D$63</definedName>
    <definedName name="solver_lhs16" localSheetId="1" hidden="1">车辆路径优化模型!$C$63</definedName>
    <definedName name="solver_lhs17" localSheetId="1" hidden="1">车辆路径优化模型!$F$63</definedName>
    <definedName name="solver_lhs2" localSheetId="1" hidden="1">车辆路径优化模型!$B$58:$P$62</definedName>
    <definedName name="solver_lhs3" localSheetId="1" hidden="1">车辆路径优化模型!$B$75:$B$79</definedName>
    <definedName name="solver_lhs4" localSheetId="1" hidden="1">车辆路径优化模型!$B$63</definedName>
    <definedName name="solver_lhs5" localSheetId="1" hidden="1">车辆路径优化模型!$E$63</definedName>
    <definedName name="solver_lhs6" localSheetId="1" hidden="1">车辆路径优化模型!$O$63</definedName>
    <definedName name="solver_lhs7" localSheetId="1" hidden="1">车辆路径优化模型!$J$63</definedName>
    <definedName name="solver_lhs8" localSheetId="1" hidden="1">车辆路径优化模型!$K$63</definedName>
    <definedName name="solver_lhs9" localSheetId="1" hidden="1">车辆路径优化模型!$L$63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17</definedName>
    <definedName name="solver_nwt" localSheetId="1" hidden="1">1</definedName>
    <definedName name="solver_opt" localSheetId="1" hidden="1">车辆路径优化模型!$D$90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13" localSheetId="1" hidden="1">3</definedName>
    <definedName name="solver_rel14" localSheetId="1" hidden="1">3</definedName>
    <definedName name="solver_rel15" localSheetId="1" hidden="1">3</definedName>
    <definedName name="solver_rel16" localSheetId="1" hidden="1">3</definedName>
    <definedName name="solver_rel17" localSheetId="1" hidden="1">3</definedName>
    <definedName name="solver_rel2" localSheetId="1" hidden="1">5</definedName>
    <definedName name="solver_rel3" localSheetId="1" hidden="1">1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3</definedName>
    <definedName name="solver_rel8" localSheetId="1" hidden="1">3</definedName>
    <definedName name="solver_rel9" localSheetId="1" hidden="1">3</definedName>
    <definedName name="solver_rhs1" localSheetId="1" hidden="1">1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13" localSheetId="1" hidden="1">1</definedName>
    <definedName name="solver_rhs14" localSheetId="1" hidden="1">1</definedName>
    <definedName name="solver_rhs15" localSheetId="1" hidden="1">1</definedName>
    <definedName name="solver_rhs16" localSheetId="1" hidden="1">1</definedName>
    <definedName name="solver_rhs17" localSheetId="1" hidden="1">1</definedName>
    <definedName name="solver_rhs2" localSheetId="1" hidden="1">"二进制"</definedName>
    <definedName name="solver_rhs3" localSheetId="1" hidden="1">8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<sst xmlns="http://schemas.openxmlformats.org/spreadsheetml/2006/main" count="654" uniqueCount="470">
  <si>
    <t>WPS Office 运算结果报告</t>
  </si>
  <si>
    <t>工作表: [车辆路径优化完整模型.xlsx]车辆路径优化模型</t>
  </si>
  <si>
    <t>报告的建立: 11/30/2025 7:52:49 PM</t>
  </si>
  <si>
    <t>结果: 规划求解找到一解，可满足所有的约束及最优状况。</t>
  </si>
  <si>
    <t>规划求解引擎</t>
  </si>
  <si>
    <t>引擎: 单纯线性规划</t>
  </si>
  <si>
    <t>求解时间: 0.58 秒.</t>
  </si>
  <si>
    <t>迭代次数: 33 子问题: 105</t>
  </si>
  <si>
    <t>规划求解选项</t>
  </si>
  <si>
    <t>最大时间 无限制, 迭代 无限制, 使用自动缩放</t>
  </si>
  <si>
    <t>最大子问题数目 无限制, 最大整数解数目 无限制, 整数允许误差1%, 假设为非负数</t>
  </si>
  <si>
    <t>目标单元格 (最小值)</t>
  </si>
  <si>
    <t>单元格</t>
  </si>
  <si>
    <t>名称</t>
  </si>
  <si>
    <t>初值</t>
  </si>
  <si>
    <t>终值</t>
  </si>
  <si>
    <t>$C$90</t>
  </si>
  <si>
    <t>运输成本×0.5 + 碳排放成本×0.5 数值</t>
  </si>
  <si>
    <t>可变单元格</t>
  </si>
  <si>
    <t>整数</t>
  </si>
  <si>
    <t>$B$58</t>
  </si>
  <si>
    <t>V1 C1</t>
  </si>
  <si>
    <t>二进制</t>
  </si>
  <si>
    <t>$C$58</t>
  </si>
  <si>
    <t>V1 C2</t>
  </si>
  <si>
    <t>$D$58</t>
  </si>
  <si>
    <t>V1 C3</t>
  </si>
  <si>
    <t>$E$58</t>
  </si>
  <si>
    <t>V1 C4</t>
  </si>
  <si>
    <t>$F$58</t>
  </si>
  <si>
    <t>V1 C5</t>
  </si>
  <si>
    <t>$G$58</t>
  </si>
  <si>
    <t>V1 C6</t>
  </si>
  <si>
    <t>$H$58</t>
  </si>
  <si>
    <t>V1 C7</t>
  </si>
  <si>
    <t>$I$58</t>
  </si>
  <si>
    <t>V1 C8</t>
  </si>
  <si>
    <t>$J$58</t>
  </si>
  <si>
    <t>V1 C9</t>
  </si>
  <si>
    <t>$K$58</t>
  </si>
  <si>
    <t>V1 C10</t>
  </si>
  <si>
    <t>$L$58</t>
  </si>
  <si>
    <t>V1 C11</t>
  </si>
  <si>
    <t>$M$58</t>
  </si>
  <si>
    <t>V1 C12</t>
  </si>
  <si>
    <t>$N$58</t>
  </si>
  <si>
    <t>V1 C13</t>
  </si>
  <si>
    <t>$O$58</t>
  </si>
  <si>
    <t>V1 C14</t>
  </si>
  <si>
    <t>$P$58</t>
  </si>
  <si>
    <t>V1 C15</t>
  </si>
  <si>
    <t>$B$59</t>
  </si>
  <si>
    <t>V2 C1</t>
  </si>
  <si>
    <t>$C$59</t>
  </si>
  <si>
    <t>V2 C2</t>
  </si>
  <si>
    <t>$D$59</t>
  </si>
  <si>
    <t>V2 C3</t>
  </si>
  <si>
    <t>$E$59</t>
  </si>
  <si>
    <t>V2 C4</t>
  </si>
  <si>
    <t>$F$59</t>
  </si>
  <si>
    <t>V2 C5</t>
  </si>
  <si>
    <t>$G$59</t>
  </si>
  <si>
    <t>V2 C6</t>
  </si>
  <si>
    <t>$H$59</t>
  </si>
  <si>
    <t>V2 C7</t>
  </si>
  <si>
    <t>$I$59</t>
  </si>
  <si>
    <t>V2 C8</t>
  </si>
  <si>
    <t>$J$59</t>
  </si>
  <si>
    <t>V2 C9</t>
  </si>
  <si>
    <t>$K$59</t>
  </si>
  <si>
    <t>V2 C10</t>
  </si>
  <si>
    <t>$L$59</t>
  </si>
  <si>
    <t>V2 C11</t>
  </si>
  <si>
    <t>$M$59</t>
  </si>
  <si>
    <t>V2 C12</t>
  </si>
  <si>
    <t>$N$59</t>
  </si>
  <si>
    <t>V2 C13</t>
  </si>
  <si>
    <t>$O$59</t>
  </si>
  <si>
    <t>V2 C14</t>
  </si>
  <si>
    <t>$P$59</t>
  </si>
  <si>
    <t>V2 C15</t>
  </si>
  <si>
    <t>$B$60</t>
  </si>
  <si>
    <t>V3 C1</t>
  </si>
  <si>
    <t>$C$60</t>
  </si>
  <si>
    <t>V3 C2</t>
  </si>
  <si>
    <t>$D$60</t>
  </si>
  <si>
    <t>V3 C3</t>
  </si>
  <si>
    <t>$E$60</t>
  </si>
  <si>
    <t>V3 C4</t>
  </si>
  <si>
    <t>$F$60</t>
  </si>
  <si>
    <t>V3 C5</t>
  </si>
  <si>
    <t>$G$60</t>
  </si>
  <si>
    <t>V3 C6</t>
  </si>
  <si>
    <t>$H$60</t>
  </si>
  <si>
    <t>V3 C7</t>
  </si>
  <si>
    <t>$I$60</t>
  </si>
  <si>
    <t>V3 C8</t>
  </si>
  <si>
    <t>$J$60</t>
  </si>
  <si>
    <t>V3 C9</t>
  </si>
  <si>
    <t>$K$60</t>
  </si>
  <si>
    <t>V3 C10</t>
  </si>
  <si>
    <t>$L$60</t>
  </si>
  <si>
    <t>V3 C11</t>
  </si>
  <si>
    <t>$M$60</t>
  </si>
  <si>
    <t>V3 C12</t>
  </si>
  <si>
    <t>$N$60</t>
  </si>
  <si>
    <t>V3 C13</t>
  </si>
  <si>
    <t>$O$60</t>
  </si>
  <si>
    <t>V3 C14</t>
  </si>
  <si>
    <t>$P$60</t>
  </si>
  <si>
    <t>V3 C15</t>
  </si>
  <si>
    <t>$B$61</t>
  </si>
  <si>
    <t>V4 C1</t>
  </si>
  <si>
    <t>$C$61</t>
  </si>
  <si>
    <t>V4 C2</t>
  </si>
  <si>
    <t>$D$61</t>
  </si>
  <si>
    <t>V4 C3</t>
  </si>
  <si>
    <t>$E$61</t>
  </si>
  <si>
    <t>V4 C4</t>
  </si>
  <si>
    <t>$F$61</t>
  </si>
  <si>
    <t>V4 C5</t>
  </si>
  <si>
    <t>$G$61</t>
  </si>
  <si>
    <t>V4 C6</t>
  </si>
  <si>
    <t>$H$61</t>
  </si>
  <si>
    <t>V4 C7</t>
  </si>
  <si>
    <t>$I$61</t>
  </si>
  <si>
    <t>V4 C8</t>
  </si>
  <si>
    <t>$J$61</t>
  </si>
  <si>
    <t>V4 C9</t>
  </si>
  <si>
    <t>$K$61</t>
  </si>
  <si>
    <t>V4 C10</t>
  </si>
  <si>
    <t>$L$61</t>
  </si>
  <si>
    <t>V4 C11</t>
  </si>
  <si>
    <t>$M$61</t>
  </si>
  <si>
    <t>V4 C12</t>
  </si>
  <si>
    <t>$N$61</t>
  </si>
  <si>
    <t>V4 C13</t>
  </si>
  <si>
    <t>$O$61</t>
  </si>
  <si>
    <t>V4 C14</t>
  </si>
  <si>
    <t>$P$61</t>
  </si>
  <si>
    <t>V4 C15</t>
  </si>
  <si>
    <t>$B$62</t>
  </si>
  <si>
    <t>V5 C1</t>
  </si>
  <si>
    <t>$C$62</t>
  </si>
  <si>
    <t>V5 C2</t>
  </si>
  <si>
    <t>$D$62</t>
  </si>
  <si>
    <t>V5 C3</t>
  </si>
  <si>
    <t>$E$62</t>
  </si>
  <si>
    <t>V5 C4</t>
  </si>
  <si>
    <t>$F$62</t>
  </si>
  <si>
    <t>V5 C5</t>
  </si>
  <si>
    <t>$G$62</t>
  </si>
  <si>
    <t>V5 C6</t>
  </si>
  <si>
    <t>$H$62</t>
  </si>
  <si>
    <t>V5 C7</t>
  </si>
  <si>
    <t>$I$62</t>
  </si>
  <si>
    <t>V5 C8</t>
  </si>
  <si>
    <t>$J$62</t>
  </si>
  <si>
    <t>V5 C9</t>
  </si>
  <si>
    <t>$K$62</t>
  </si>
  <si>
    <t>V5 C10</t>
  </si>
  <si>
    <t>$L$62</t>
  </si>
  <si>
    <t>V5 C11</t>
  </si>
  <si>
    <t>$M$62</t>
  </si>
  <si>
    <t>V5 C12</t>
  </si>
  <si>
    <t>$N$62</t>
  </si>
  <si>
    <t>V5 C13</t>
  </si>
  <si>
    <t>$O$62</t>
  </si>
  <si>
    <t>V5 C14</t>
  </si>
  <si>
    <t>$P$62</t>
  </si>
  <si>
    <t>V5 C15</t>
  </si>
  <si>
    <t>约束</t>
  </si>
  <si>
    <t>单元格值</t>
  </si>
  <si>
    <t>公式</t>
  </si>
  <si>
    <t>状态</t>
  </si>
  <si>
    <t>型数值</t>
  </si>
  <si>
    <t>$B$71</t>
  </si>
  <si>
    <t>C1</t>
  </si>
  <si>
    <t>$B$71=1</t>
  </si>
  <si>
    <t>到达限制值</t>
  </si>
  <si>
    <t>$C$71</t>
  </si>
  <si>
    <t>C2</t>
  </si>
  <si>
    <t>$C$71=1</t>
  </si>
  <si>
    <t>$D$71</t>
  </si>
  <si>
    <t>C3</t>
  </si>
  <si>
    <t>$D$71=1</t>
  </si>
  <si>
    <t>$E$71</t>
  </si>
  <si>
    <t>C4</t>
  </si>
  <si>
    <t>$E$71=1</t>
  </si>
  <si>
    <t>$F$71</t>
  </si>
  <si>
    <t>C5</t>
  </si>
  <si>
    <t>$F$71=1</t>
  </si>
  <si>
    <t>$G$71</t>
  </si>
  <si>
    <t>C6</t>
  </si>
  <si>
    <t>$G$71=1</t>
  </si>
  <si>
    <t>$H$71</t>
  </si>
  <si>
    <t>C7</t>
  </si>
  <si>
    <t>$H$71=1</t>
  </si>
  <si>
    <t>$I$71</t>
  </si>
  <si>
    <t>C8</t>
  </si>
  <si>
    <t>$I$71=1</t>
  </si>
  <si>
    <t>$J$71</t>
  </si>
  <si>
    <t>C9</t>
  </si>
  <si>
    <t>$J$71=1</t>
  </si>
  <si>
    <t>$K$71</t>
  </si>
  <si>
    <t>C10</t>
  </si>
  <si>
    <t>$K$71=1</t>
  </si>
  <si>
    <t>$L$71</t>
  </si>
  <si>
    <t>C11</t>
  </si>
  <si>
    <t>$L$71=1</t>
  </si>
  <si>
    <t>$M$71</t>
  </si>
  <si>
    <t>C12</t>
  </si>
  <si>
    <t>$M$71=1</t>
  </si>
  <si>
    <t>$N$71</t>
  </si>
  <si>
    <t>C13</t>
  </si>
  <si>
    <t>$N$71=1</t>
  </si>
  <si>
    <t>未到限制值</t>
  </si>
  <si>
    <t>$O$71</t>
  </si>
  <si>
    <t>C14</t>
  </si>
  <si>
    <t>$O$71=1</t>
  </si>
  <si>
    <t>$P$71</t>
  </si>
  <si>
    <t>C15</t>
  </si>
  <si>
    <t>$P$71=1</t>
  </si>
  <si>
    <t>$B$75</t>
  </si>
  <si>
    <t>V1 载重量</t>
  </si>
  <si>
    <t>$B$75&lt;=8</t>
  </si>
  <si>
    <t>$B$76</t>
  </si>
  <si>
    <t>V2 载重量</t>
  </si>
  <si>
    <t>$B$76&lt;=8</t>
  </si>
  <si>
    <t>$B$77</t>
  </si>
  <si>
    <t>V3 载重量</t>
  </si>
  <si>
    <t>$B$77&lt;=8</t>
  </si>
  <si>
    <t>$B$78</t>
  </si>
  <si>
    <t>V4 载重量</t>
  </si>
  <si>
    <t>$B$78&lt;=8</t>
  </si>
  <si>
    <t>$B$79</t>
  </si>
  <si>
    <t>V5 载重量</t>
  </si>
  <si>
    <t>$B$79&lt;=8</t>
  </si>
  <si>
    <t>$B$58=二进制</t>
  </si>
  <si>
    <t>$C$58=二进制</t>
  </si>
  <si>
    <t>$D$58=二进制</t>
  </si>
  <si>
    <t>$E$58=二进制</t>
  </si>
  <si>
    <t>$F$58=二进制</t>
  </si>
  <si>
    <t>$G$58=二进制</t>
  </si>
  <si>
    <t>$H$58=二进制</t>
  </si>
  <si>
    <t>$I$58=二进制</t>
  </si>
  <si>
    <t>$J$58=二进制</t>
  </si>
  <si>
    <t>$K$58=二进制</t>
  </si>
  <si>
    <t>$L$58=二进制</t>
  </si>
  <si>
    <t>$M$58=二进制</t>
  </si>
  <si>
    <t>$N$58=二进制</t>
  </si>
  <si>
    <t>$O$58=二进制</t>
  </si>
  <si>
    <t>$P$58=二进制</t>
  </si>
  <si>
    <t>$B$59=二进制</t>
  </si>
  <si>
    <t>$C$59=二进制</t>
  </si>
  <si>
    <t>$D$59=二进制</t>
  </si>
  <si>
    <t>$E$59=二进制</t>
  </si>
  <si>
    <t>$F$59=二进制</t>
  </si>
  <si>
    <t>$G$59=二进制</t>
  </si>
  <si>
    <t>$H$59=二进制</t>
  </si>
  <si>
    <t>$I$59=二进制</t>
  </si>
  <si>
    <t>$J$59=二进制</t>
  </si>
  <si>
    <t>$K$59=二进制</t>
  </si>
  <si>
    <t>$L$59=二进制</t>
  </si>
  <si>
    <t>$M$59=二进制</t>
  </si>
  <si>
    <t>$N$59=二进制</t>
  </si>
  <si>
    <t>$O$59=二进制</t>
  </si>
  <si>
    <t>$P$59=二进制</t>
  </si>
  <si>
    <t>$B$60=二进制</t>
  </si>
  <si>
    <t>$C$60=二进制</t>
  </si>
  <si>
    <t>$D$60=二进制</t>
  </si>
  <si>
    <t>$E$60=二进制</t>
  </si>
  <si>
    <t>$F$60=二进制</t>
  </si>
  <si>
    <t>$G$60=二进制</t>
  </si>
  <si>
    <t>$H$60=二进制</t>
  </si>
  <si>
    <t>$I$60=二进制</t>
  </si>
  <si>
    <t>$J$60=二进制</t>
  </si>
  <si>
    <t>$K$60=二进制</t>
  </si>
  <si>
    <t>$L$60=二进制</t>
  </si>
  <si>
    <t>$M$60=二进制</t>
  </si>
  <si>
    <t>$N$60=二进制</t>
  </si>
  <si>
    <t>$O$60=二进制</t>
  </si>
  <si>
    <t>$P$60=二进制</t>
  </si>
  <si>
    <t>$B$61=二进制</t>
  </si>
  <si>
    <t>$C$61=二进制</t>
  </si>
  <si>
    <t>$D$61=二进制</t>
  </si>
  <si>
    <t>$E$61=二进制</t>
  </si>
  <si>
    <t>$F$61=二进制</t>
  </si>
  <si>
    <t>$G$61=二进制</t>
  </si>
  <si>
    <t>$H$61=二进制</t>
  </si>
  <si>
    <t>$I$61=二进制</t>
  </si>
  <si>
    <t>$J$61=二进制</t>
  </si>
  <si>
    <t>$K$61=二进制</t>
  </si>
  <si>
    <t>$L$61=二进制</t>
  </si>
  <si>
    <t>$M$61=二进制</t>
  </si>
  <si>
    <t>$N$61=二进制</t>
  </si>
  <si>
    <t>$O$61=二进制</t>
  </si>
  <si>
    <t>$P$61=二进制</t>
  </si>
  <si>
    <t>$B$62=二进制</t>
  </si>
  <si>
    <t>$C$62=二进制</t>
  </si>
  <si>
    <t>$D$62=二进制</t>
  </si>
  <si>
    <t>$E$62=二进制</t>
  </si>
  <si>
    <t>$F$62=二进制</t>
  </si>
  <si>
    <t>$G$62=二进制</t>
  </si>
  <si>
    <t>$H$62=二进制</t>
  </si>
  <si>
    <t>$I$62=二进制</t>
  </si>
  <si>
    <t>$J$62=二进制</t>
  </si>
  <si>
    <t>$K$62=二进制</t>
  </si>
  <si>
    <t>$L$62=二进制</t>
  </si>
  <si>
    <t>$M$62=二进制</t>
  </si>
  <si>
    <t>$N$62=二进制</t>
  </si>
  <si>
    <t>$O$62=二进制</t>
  </si>
  <si>
    <t>$P$62=二进制</t>
  </si>
  <si>
    <t>供应链车辆路径优化：15门店双目标规划模型</t>
  </si>
  <si>
    <t>一、基础参数</t>
  </si>
  <si>
    <t>参数名称</t>
  </si>
  <si>
    <t>参数值</t>
  </si>
  <si>
    <t>单位</t>
  </si>
  <si>
    <t>说明</t>
  </si>
  <si>
    <t>客户点数量</t>
  </si>
  <si>
    <t>个</t>
  </si>
  <si>
    <t>不包括配送中心</t>
  </si>
  <si>
    <t>车辆数量</t>
  </si>
  <si>
    <t>辆</t>
  </si>
  <si>
    <t>可用车辆总数V1-V5</t>
  </si>
  <si>
    <t>车辆载重量</t>
  </si>
  <si>
    <t>吨</t>
  </si>
  <si>
    <t>每辆车最大载重</t>
  </si>
  <si>
    <t>单位距离运输成本</t>
  </si>
  <si>
    <t>元/公里</t>
  </si>
  <si>
    <t>燃油、人工、折旧成本</t>
  </si>
  <si>
    <t>单位距离碳排放</t>
  </si>
  <si>
    <t>公斤/公里</t>
  </si>
  <si>
    <t>CO2排放量</t>
  </si>
  <si>
    <t>碳排放价格</t>
  </si>
  <si>
    <t>元/吨</t>
  </si>
  <si>
    <t>碳税标准</t>
  </si>
  <si>
    <t>车辆行驶速度</t>
  </si>
  <si>
    <t>公里/小时</t>
  </si>
  <si>
    <t>平均行驶速度</t>
  </si>
  <si>
    <t>门店服务时间</t>
  </si>
  <si>
    <t>小时</t>
  </si>
  <si>
    <t>每门店固定服务时间</t>
  </si>
  <si>
    <t>最大行驶距离</t>
  </si>
  <si>
    <t>公里</t>
  </si>
  <si>
    <t>单车辆最大允许距离</t>
  </si>
  <si>
    <t>最大碳排放量</t>
  </si>
  <si>
    <t>公斤/车</t>
  </si>
  <si>
    <t>单车辆最大碳排放</t>
  </si>
  <si>
    <t>二、门店基础数据</t>
  </si>
  <si>
    <t>门店编号</t>
  </si>
  <si>
    <t>X坐标</t>
  </si>
  <si>
    <t>Y坐标</t>
  </si>
  <si>
    <t>需求量(吨)</t>
  </si>
  <si>
    <t>到仓库距离(公里)</t>
  </si>
  <si>
    <t>三、距离矩阵(公里)</t>
  </si>
  <si>
    <t>仓库</t>
  </si>
  <si>
    <t>四、决策变量矩阵</t>
  </si>
  <si>
    <t>车辆-客户分配矩阵 (1=分配，0=未分配)</t>
  </si>
  <si>
    <t>V1</t>
  </si>
  <si>
    <t>V2</t>
  </si>
  <si>
    <t>V3</t>
  </si>
  <si>
    <t>V4</t>
  </si>
  <si>
    <t>V5</t>
  </si>
  <si>
    <t>服务次数</t>
  </si>
  <si>
    <t>路径决策变量矩阵 (节点i到节点j的路径选择)</t>
  </si>
  <si>
    <t>五、约束条件检查</t>
  </si>
  <si>
    <t>约束1：每个客户服务次数 (必须=1)</t>
  </si>
  <si>
    <t>约束2：每辆车载重量 (≤8吨)</t>
  </si>
  <si>
    <t>车辆</t>
  </si>
  <si>
    <t>载重量</t>
  </si>
  <si>
    <t>约束值</t>
  </si>
  <si>
    <t>六、目标函数计算</t>
  </si>
  <si>
    <t>成本计算</t>
  </si>
  <si>
    <t>项目</t>
  </si>
  <si>
    <t>计算公式</t>
  </si>
  <si>
    <t>数值</t>
  </si>
  <si>
    <t>碳排放量</t>
  </si>
  <si>
    <t>总距离 × 0.32</t>
  </si>
  <si>
    <t>公斤</t>
  </si>
  <si>
    <t>运输成本</t>
  </si>
  <si>
    <t>总距离 × 4.2</t>
  </si>
  <si>
    <t>元</t>
  </si>
  <si>
    <t>碳排放成本</t>
  </si>
  <si>
    <t>总距离×0.32×65/1000</t>
  </si>
  <si>
    <t>总行驶距离</t>
  </si>
  <si>
    <t>路径距离求和</t>
  </si>
  <si>
    <t>双目标总成本</t>
  </si>
  <si>
    <t>运输成本×0.5+碳排放成本×0.5</t>
  </si>
  <si>
    <t>七、车辆路径规划结果</t>
  </si>
  <si>
    <t>车辆编号</t>
  </si>
  <si>
    <t>服务客户</t>
  </si>
  <si>
    <t>路径距离</t>
  </si>
  <si>
    <t>载重率%</t>
  </si>
  <si>
    <t>仓库→C1→C3→C8→C14→仓库</t>
  </si>
  <si>
    <t>仓库→C2→C4→C5→仓库</t>
  </si>
  <si>
    <t>仓库→C7→C11→C13→仓库</t>
  </si>
  <si>
    <t>仓库→C9→C10→C15→仓库</t>
  </si>
  <si>
    <t>仓库→C6→C12→仓库</t>
  </si>
  <si>
    <t>八、规划求解设置</t>
  </si>
  <si>
    <t>设置项</t>
  </si>
  <si>
    <t>位置/公式</t>
  </si>
  <si>
    <t>目标函数</t>
  </si>
  <si>
    <t>C90</t>
  </si>
  <si>
    <t>最小化双目标总成本</t>
  </si>
  <si>
    <t>决策变量</t>
  </si>
  <si>
    <t>B58:P62</t>
  </si>
  <si>
    <t>车辆-客户分配矩阵</t>
  </si>
  <si>
    <t>约束1</t>
  </si>
  <si>
    <t>B71:P71=1</t>
  </si>
  <si>
    <t>每个客户必须被服务一次</t>
  </si>
  <si>
    <t>约束2</t>
  </si>
  <si>
    <t>B75:B79&lt;=8</t>
  </si>
  <si>
    <t>车辆载重约束</t>
  </si>
  <si>
    <t>约束3</t>
  </si>
  <si>
    <t>B58:P62为二进制</t>
  </si>
  <si>
    <t>0或1的分配决策</t>
  </si>
  <si>
    <t>求解方法</t>
  </si>
  <si>
    <t>线性规划</t>
  </si>
  <si>
    <t>使用单纯线下规划</t>
  </si>
  <si>
    <t>九、Excel规划求解操作步骤</t>
  </si>
  <si>
    <t>1. 选择【数据】→【规划求解】</t>
  </si>
  <si>
    <t>2. 设置目标单元格：$C$90</t>
  </si>
  <si>
    <t>3. 选择【最小值】</t>
  </si>
  <si>
    <t>4. 可变单元格：$B$58:$P$62</t>
  </si>
  <si>
    <t>5. 添加约束：</t>
  </si>
  <si>
    <t>- $B$71:$P$71 = 1 (每客户服务一次)</t>
  </si>
  <si>
    <t>- $B$75:$B$79 &lt;= 8 (载重约束)</t>
  </si>
  <si>
    <t>- $B$58:$P$62 = 二进制 (0或1)</t>
  </si>
  <si>
    <t>6. 选择求解方法：Simplex LP</t>
  </si>
  <si>
    <t>7. 点击【求解】</t>
  </si>
  <si>
    <t>十、详细路径距离计算</t>
  </si>
  <si>
    <t>车辆路径距离明细：</t>
  </si>
  <si>
    <t>V1路径距离:</t>
  </si>
  <si>
    <t>V2路径距离:</t>
  </si>
  <si>
    <t>V3路径距离:</t>
  </si>
  <si>
    <t>V4路径距离:</t>
  </si>
  <si>
    <t>V5路径距离:</t>
  </si>
  <si>
    <t>十一、求解结果验证</t>
  </si>
  <si>
    <t>验证项目</t>
  </si>
  <si>
    <t>公式/位置</t>
  </si>
  <si>
    <t>期望值</t>
  </si>
  <si>
    <t>实际值</t>
  </si>
  <si>
    <t>客户服务完整性</t>
  </si>
  <si>
    <t>SUM(B71:P71)</t>
  </si>
  <si>
    <t>车辆使用数量</t>
  </si>
  <si>
    <t>COUNT</t>
  </si>
  <si>
    <t>≤5</t>
  </si>
  <si>
    <t>总载重约束</t>
  </si>
  <si>
    <t>MAX(B75:B79)</t>
  </si>
  <si>
    <t>≤8</t>
  </si>
  <si>
    <t>目标函数值</t>
  </si>
  <si>
    <t>最小值</t>
  </si>
  <si>
    <t>✓</t>
  </si>
  <si>
    <t>十二、使用说明</t>
  </si>
  <si>
    <t>1. 黄色区域(B58:P62)是决策变量，规划求解会自动填入0或1</t>
  </si>
  <si>
    <t>2. 红色单元格(C90)是目标函数，设置为最小化</t>
  </si>
  <si>
    <t>3. 约束条件已设置好公式，会自动计算</t>
  </si>
  <si>
    <t>4. 距离计算使用了简化模型，实际项目需要TSP算法</t>
  </si>
  <si>
    <t/>
  </si>
  <si>
    <t>【规划求解步骤】</t>
  </si>
  <si>
    <t>1. 数据 → 规划求解</t>
  </si>
  <si>
    <t>2. 目标单元格：$C$90，选择最小值</t>
  </si>
  <si>
    <t>3. 可变单元格：$B$58:$P$62</t>
  </si>
  <si>
    <t>4. 约束条件：</t>
  </si>
  <si>
    <t>$B$71:$P$71 = 1</t>
  </si>
  <si>
    <t>$B$75:$B$79 &lt;= 8</t>
  </si>
  <si>
    <t>$B$58:$P$62 = 二进制</t>
  </si>
  <si>
    <t>5. 求解方法：单纯线性规划</t>
  </si>
  <si>
    <t>6. 点击求解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</si>
</sst>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F0F8E6"/>
        <bgColor rgb="FFF0F8E6"/>
      </patternFill>
    </fill>
    <fill>
      <patternFill patternType="solid">
        <fgColor rgb="FFFFF2E6"/>
        <bgColor rgb="FFFFF2E6"/>
      </patternFill>
    </fill>
    <fill>
      <patternFill patternType="solid">
        <fgColor rgb="FFFFE6E6"/>
        <bgColor rgb="FFFFE6E6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E6FFE6"/>
        <bgColor rgb="FFE6FFE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4A0A0"/>
      </top>
      <bottom style="thick">
        <color rgb="FFA4A0A0"/>
      </bottom>
      <diagonal/>
    </border>
    <border>
      <left/>
      <right/>
      <top/>
      <bottom style="thick">
        <color rgb="FFA4A0A0"/>
      </bottom>
      <diagonal/>
    </border>
    <border>
      <left/>
      <right/>
      <top/>
      <bottom style="thin">
        <color rgb="FFA4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3" fillId="5" borderId="4" xfId="0" applyFont="1" applyFill="1" applyBorder="1" applyAlignment="1">
      <alignment horizontal="center"/>
    </xf>
    <xf numFmtId="176" fontId="0" fillId="6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车辆路径优化模型!$D$17</c:f>
              <c:strCache>
                <c:ptCount val="1"/>
                <c:pt idx="0">
                  <c:v>需求量(吨)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车辆路径优化模型!$A$18:$A$32</c:f>
              <c:strCache>
                <c:ptCount val="1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  <c:pt idx="12">
                  <c:v>C13</c:v>
                </c:pt>
                <c:pt idx="13">
                  <c:v>C14</c:v>
                </c:pt>
                <c:pt idx="14">
                  <c:v>C15</c:v>
                </c:pt>
              </c:strCache>
            </c:strRef>
          </c:cat>
          <c:val>
            <c:numRef>
              <c:f>车辆路径优化模型!$D$18:$D$32</c:f>
              <c:numCache>
                <c:formatCode>General</c:formatCode>
                <c:ptCount val="15"/>
                <c:pt idx="0">
                  <c:v>1.8</c:v>
                </c:pt>
                <c:pt idx="1">
                  <c:v>2.3</c:v>
                </c:pt>
                <c:pt idx="2">
                  <c:v>1.9</c:v>
                </c:pt>
                <c:pt idx="3">
                  <c:v>3.1</c:v>
                </c:pt>
                <c:pt idx="4">
                  <c:v>2.1</c:v>
                </c:pt>
                <c:pt idx="5">
                  <c:v>3.3</c:v>
                </c:pt>
                <c:pt idx="6">
                  <c:v>2.3</c:v>
                </c:pt>
                <c:pt idx="7">
                  <c:v>1.6</c:v>
                </c:pt>
                <c:pt idx="8">
                  <c:v>2.5</c:v>
                </c:pt>
                <c:pt idx="9">
                  <c:v>2.6</c:v>
                </c:pt>
                <c:pt idx="10">
                  <c:v>2.5</c:v>
                </c:pt>
                <c:pt idx="11">
                  <c:v>3.6</c:v>
                </c:pt>
                <c:pt idx="12">
                  <c:v>2.4</c:v>
                </c:pt>
                <c:pt idx="13">
                  <c:v>2</c:v>
                </c:pt>
                <c:pt idx="14">
                  <c:v>2.9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972745560"/>
        <c:axId val="981828059"/>
      </c:barChart>
      <c:dateAx>
        <c:axId val="9727455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门店编号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828059"/>
        <c:crosses val="autoZero"/>
        <c:auto val="0"/>
        <c:lblAlgn val="ctr"/>
        <c:lblOffset val="100"/>
        <c:baseTimeUnit val="days"/>
      </c:dateAx>
      <c:valAx>
        <c:axId val="981828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需求量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74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49a971-246a-4c30-a097-bf144791bb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总量汇总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车辆路径优化模型!$H$85:$H$89</c:f>
              <c:strCache>
                <c:ptCount val="5"/>
                <c:pt idx="0">
                  <c:v>项目</c:v>
                </c:pt>
                <c:pt idx="1" c:formatCode="@">
                  <c:v>碳排放量</c:v>
                </c:pt>
                <c:pt idx="2" c:formatCode="@">
                  <c:v>运输成本</c:v>
                </c:pt>
                <c:pt idx="3" c:formatCode="@">
                  <c:v>碳排放成本</c:v>
                </c:pt>
                <c:pt idx="4" c:formatCode="@">
                  <c:v>总行驶距离</c:v>
                </c:pt>
              </c:strCache>
            </c:strRef>
          </c:cat>
          <c:val>
            <c:numRef>
              <c:f>车辆路径优化模型!$I$85:$I$89</c:f>
              <c:numCache>
                <c:formatCode>General</c:formatCode>
                <c:ptCount val="5"/>
                <c:pt idx="0">
                  <c:v>0</c:v>
                </c:pt>
                <c:pt idx="1">
                  <c:v>184.896</c:v>
                </c:pt>
                <c:pt idx="2">
                  <c:v>2426.76</c:v>
                </c:pt>
                <c:pt idx="3">
                  <c:v>12.01824</c:v>
                </c:pt>
                <c:pt idx="4">
                  <c:v>577.8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36451818"/>
        <c:axId val="321228454"/>
      </c:barChart>
      <c:catAx>
        <c:axId val="43645181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228454"/>
        <c:crosses val="autoZero"/>
        <c:auto val="1"/>
        <c:lblAlgn val="ctr"/>
        <c:lblOffset val="100"/>
        <c:noMultiLvlLbl val="0"/>
      </c:catAx>
      <c:valAx>
        <c:axId val="3212284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4518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749bd2e-8c81-4712-a71f-2eff94d21c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146050</xdr:colOff>
      <xdr:row>16</xdr:row>
      <xdr:rowOff>101600</xdr:rowOff>
    </xdr:from>
    <xdr:to>
      <xdr:col>11</xdr:col>
      <xdr:colOff>438150</xdr:colOff>
      <xdr:row>32</xdr:row>
      <xdr:rowOff>0</xdr:rowOff>
    </xdr:to>
    <xdr:graphicFrame>
      <xdr:nvGraphicFramePr>
        <xdr:cNvPr id="4" name="图表 3"/>
        <xdr:cNvGraphicFramePr/>
      </xdr:nvGraphicFramePr>
      <xdr:xfrm>
        <a:off x="4864100" y="3060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438150</xdr:colOff>
      <xdr:row>79</xdr:row>
      <xdr:rowOff>38100</xdr:rowOff>
    </xdr:from>
    <xdr:to>
      <xdr:col>18</xdr:col>
      <xdr:colOff>444500</xdr:colOff>
      <xdr:row>94</xdr:row>
      <xdr:rowOff>88900</xdr:rowOff>
    </xdr:to>
    <xdr:graphicFrame>
      <xdr:nvGraphicFramePr>
        <xdr:cNvPr id="8" name="图表 7"/>
        <xdr:cNvGraphicFramePr/>
      </xdr:nvGraphicFramePr>
      <xdr:xfrm>
        <a:off x="10528300" y="14236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showGridLines="0" topLeftCell="A178" workbookViewId="0">
      <selection activeCell="A1" sqref="A1"/>
    </sheetView>
  </sheetViews>
  <sheetFormatPr defaultColWidth="8.72727272727273" defaultRowHeight="14" outlineLevelCol="6"/>
  <cols>
    <col min="1" max="1" width="2.09090909090909" customWidth="1"/>
    <col min="2" max="2" width="14" customWidth="1"/>
    <col min="3" max="3" width="41" customWidth="1"/>
    <col min="4" max="5" width="11.7272727272727" customWidth="1"/>
    <col min="6" max="6" width="11.8181818181818" customWidth="1"/>
    <col min="7" max="7" width="7.81818181818182" customWidth="1"/>
  </cols>
  <sheetData>
    <row r="1" spans="1:5">
      <c r="A1" s="34" t="s">
        <v>0</v>
      </c>
    </row>
    <row r="2" spans="1:5">
      <c r="A2" s="34" t="s">
        <v>1</v>
      </c>
    </row>
    <row r="3" spans="1:5">
      <c r="A3" s="34" t="s">
        <v>2</v>
      </c>
    </row>
    <row r="4" spans="1:5">
      <c r="A4" s="34" t="s">
        <v>3</v>
      </c>
    </row>
    <row r="5" spans="1:5">
      <c r="A5" s="34" t="s">
        <v>4</v>
      </c>
    </row>
    <row r="6" spans="1:5">
      <c r="A6" s="34"/>
      <c r="B6" t="s">
        <v>5</v>
      </c>
    </row>
    <row r="7" spans="1:5">
      <c r="A7" s="34"/>
      <c r="B7" t="s">
        <v>6</v>
      </c>
    </row>
    <row r="8" spans="1:5">
      <c r="A8" s="34"/>
      <c r="B8" t="s">
        <v>7</v>
      </c>
    </row>
    <row r="9" spans="1:5">
      <c r="A9" s="34" t="s">
        <v>8</v>
      </c>
    </row>
    <row r="10" spans="1:5">
      <c r="B10" t="s">
        <v>9</v>
      </c>
    </row>
    <row r="11" spans="1:5">
      <c r="B11" t="s">
        <v>10</v>
      </c>
    </row>
    <row r="14" ht="14.75" spans="1:5">
      <c r="A14" t="s">
        <v>11</v>
      </c>
    </row>
    <row r="15" ht="15.5" spans="1:5">
      <c r="B15" s="35" t="s">
        <v>12</v>
      </c>
      <c r="C15" s="35" t="s">
        <v>13</v>
      </c>
      <c r="D15" s="35" t="s">
        <v>14</v>
      </c>
      <c r="E15" s="35" t="s">
        <v>15</v>
      </c>
    </row>
    <row r="16" ht="15.5" spans="1:5">
      <c r="B16" s="36" t="s">
        <v>16</v>
      </c>
      <c r="C16" s="36" t="s">
        <v>17</v>
      </c>
      <c r="D16" s="36">
        <v>1091.49888</v>
      </c>
      <c r="E16" s="36">
        <v>1091.49888</v>
      </c>
    </row>
    <row r="17" ht="14.75"/>
    <row r="19" ht="14.75" spans="1:6">
      <c r="A19" t="s">
        <v>18</v>
      </c>
    </row>
    <row r="20" ht="15.5" spans="1:6">
      <c r="B20" s="35" t="s">
        <v>12</v>
      </c>
      <c r="C20" s="35" t="s">
        <v>13</v>
      </c>
      <c r="D20" s="35" t="s">
        <v>14</v>
      </c>
      <c r="E20" s="35" t="s">
        <v>15</v>
      </c>
      <c r="F20" s="35" t="s">
        <v>19</v>
      </c>
    </row>
    <row r="21" ht="14.75" spans="1:6">
      <c r="B21" s="37" t="s">
        <v>20</v>
      </c>
      <c r="C21" s="37" t="s">
        <v>21</v>
      </c>
      <c r="D21" s="37">
        <v>0</v>
      </c>
      <c r="E21" s="37">
        <v>0</v>
      </c>
      <c r="F21" s="37" t="s">
        <v>22</v>
      </c>
    </row>
    <row r="22" spans="1:6">
      <c r="B22" s="37" t="s">
        <v>23</v>
      </c>
      <c r="C22" s="37" t="s">
        <v>24</v>
      </c>
      <c r="D22" s="37">
        <v>0</v>
      </c>
      <c r="E22" s="37">
        <v>0</v>
      </c>
      <c r="F22" s="37" t="s">
        <v>22</v>
      </c>
    </row>
    <row r="23" spans="1:6">
      <c r="B23" s="37" t="s">
        <v>25</v>
      </c>
      <c r="C23" s="37" t="s">
        <v>26</v>
      </c>
      <c r="D23" s="37">
        <v>1</v>
      </c>
      <c r="E23" s="37">
        <v>1</v>
      </c>
      <c r="F23" s="37" t="s">
        <v>22</v>
      </c>
    </row>
    <row r="24" spans="1:6">
      <c r="B24" s="37" t="s">
        <v>27</v>
      </c>
      <c r="C24" s="37" t="s">
        <v>28</v>
      </c>
      <c r="D24" s="37">
        <v>0</v>
      </c>
      <c r="E24" s="37">
        <v>0</v>
      </c>
      <c r="F24" s="37" t="s">
        <v>22</v>
      </c>
    </row>
    <row r="25" spans="1:6">
      <c r="B25" s="37" t="s">
        <v>29</v>
      </c>
      <c r="C25" s="37" t="s">
        <v>30</v>
      </c>
      <c r="D25" s="37">
        <v>0</v>
      </c>
      <c r="E25" s="37">
        <v>0</v>
      </c>
      <c r="F25" s="37" t="s">
        <v>22</v>
      </c>
    </row>
    <row r="26" spans="1:6">
      <c r="B26" s="37" t="s">
        <v>31</v>
      </c>
      <c r="C26" s="37" t="s">
        <v>32</v>
      </c>
      <c r="D26" s="37">
        <v>1</v>
      </c>
      <c r="E26" s="37">
        <v>1</v>
      </c>
      <c r="F26" s="37" t="s">
        <v>22</v>
      </c>
    </row>
    <row r="27" spans="1:6">
      <c r="B27" s="37" t="s">
        <v>33</v>
      </c>
      <c r="C27" s="37" t="s">
        <v>34</v>
      </c>
      <c r="D27" s="37">
        <v>1</v>
      </c>
      <c r="E27" s="37">
        <v>1</v>
      </c>
      <c r="F27" s="37" t="s">
        <v>22</v>
      </c>
    </row>
    <row r="28" spans="1:6">
      <c r="B28" s="37" t="s">
        <v>35</v>
      </c>
      <c r="C28" s="37" t="s">
        <v>36</v>
      </c>
      <c r="D28" s="37">
        <v>1</v>
      </c>
      <c r="E28" s="37">
        <v>1</v>
      </c>
      <c r="F28" s="37" t="s">
        <v>22</v>
      </c>
    </row>
    <row r="29" spans="1:6">
      <c r="B29" s="37" t="s">
        <v>37</v>
      </c>
      <c r="C29" s="37" t="s">
        <v>38</v>
      </c>
      <c r="D29" s="37">
        <v>0</v>
      </c>
      <c r="E29" s="37">
        <v>0</v>
      </c>
      <c r="F29" s="37" t="s">
        <v>22</v>
      </c>
    </row>
    <row r="30" spans="1:6">
      <c r="B30" s="37" t="s">
        <v>39</v>
      </c>
      <c r="C30" s="37" t="s">
        <v>40</v>
      </c>
      <c r="D30" s="37">
        <v>1</v>
      </c>
      <c r="E30" s="37">
        <v>1</v>
      </c>
      <c r="F30" s="37" t="s">
        <v>22</v>
      </c>
    </row>
    <row r="31" spans="1:6">
      <c r="B31" s="37" t="s">
        <v>41</v>
      </c>
      <c r="C31" s="37" t="s">
        <v>42</v>
      </c>
      <c r="D31" s="37">
        <v>1</v>
      </c>
      <c r="E31" s="37">
        <v>1</v>
      </c>
      <c r="F31" s="37" t="s">
        <v>22</v>
      </c>
    </row>
    <row r="32" spans="1:6">
      <c r="B32" s="37" t="s">
        <v>43</v>
      </c>
      <c r="C32" s="37" t="s">
        <v>44</v>
      </c>
      <c r="D32" s="37">
        <v>0</v>
      </c>
      <c r="E32" s="37">
        <v>0</v>
      </c>
      <c r="F32" s="37" t="s">
        <v>22</v>
      </c>
    </row>
    <row r="33" spans="2:6">
      <c r="B33" s="37" t="s">
        <v>45</v>
      </c>
      <c r="C33" s="37" t="s">
        <v>46</v>
      </c>
      <c r="D33" s="37">
        <v>1</v>
      </c>
      <c r="E33" s="37">
        <v>1</v>
      </c>
      <c r="F33" s="37" t="s">
        <v>22</v>
      </c>
    </row>
    <row r="34" spans="2:6">
      <c r="B34" s="37" t="s">
        <v>47</v>
      </c>
      <c r="C34" s="37" t="s">
        <v>48</v>
      </c>
      <c r="D34" s="37">
        <v>0</v>
      </c>
      <c r="E34" s="37">
        <v>0</v>
      </c>
      <c r="F34" s="37" t="s">
        <v>22</v>
      </c>
    </row>
    <row r="35" spans="2:6">
      <c r="B35" s="37" t="s">
        <v>49</v>
      </c>
      <c r="C35" s="37" t="s">
        <v>50</v>
      </c>
      <c r="D35" s="37">
        <v>0</v>
      </c>
      <c r="E35" s="37">
        <v>0</v>
      </c>
      <c r="F35" s="37" t="s">
        <v>22</v>
      </c>
    </row>
    <row r="36" spans="2:6">
      <c r="B36" s="37" t="s">
        <v>51</v>
      </c>
      <c r="C36" s="37" t="s">
        <v>52</v>
      </c>
      <c r="D36" s="37">
        <v>0</v>
      </c>
      <c r="E36" s="37">
        <v>0</v>
      </c>
      <c r="F36" s="37" t="s">
        <v>22</v>
      </c>
    </row>
    <row r="37" spans="2:6">
      <c r="B37" s="37" t="s">
        <v>53</v>
      </c>
      <c r="C37" s="37" t="s">
        <v>54</v>
      </c>
      <c r="D37" s="37">
        <v>0</v>
      </c>
      <c r="E37" s="37">
        <v>0</v>
      </c>
      <c r="F37" s="37" t="s">
        <v>22</v>
      </c>
    </row>
    <row r="38" spans="2:6">
      <c r="B38" s="37" t="s">
        <v>55</v>
      </c>
      <c r="C38" s="37" t="s">
        <v>56</v>
      </c>
      <c r="D38" s="37">
        <v>0</v>
      </c>
      <c r="E38" s="37">
        <v>0</v>
      </c>
      <c r="F38" s="37" t="s">
        <v>22</v>
      </c>
    </row>
    <row r="39" spans="2:6">
      <c r="B39" s="37" t="s">
        <v>57</v>
      </c>
      <c r="C39" s="37" t="s">
        <v>58</v>
      </c>
      <c r="D39" s="37">
        <v>1</v>
      </c>
      <c r="E39" s="37">
        <v>1</v>
      </c>
      <c r="F39" s="37" t="s">
        <v>22</v>
      </c>
    </row>
    <row r="40" spans="2:6">
      <c r="B40" s="37" t="s">
        <v>59</v>
      </c>
      <c r="C40" s="37" t="s">
        <v>60</v>
      </c>
      <c r="D40" s="37">
        <v>1</v>
      </c>
      <c r="E40" s="37">
        <v>1</v>
      </c>
      <c r="F40" s="37" t="s">
        <v>22</v>
      </c>
    </row>
    <row r="41" spans="2:6">
      <c r="B41" s="37" t="s">
        <v>61</v>
      </c>
      <c r="C41" s="37" t="s">
        <v>62</v>
      </c>
      <c r="D41" s="37">
        <v>0</v>
      </c>
      <c r="E41" s="37">
        <v>0</v>
      </c>
      <c r="F41" s="37" t="s">
        <v>22</v>
      </c>
    </row>
    <row r="42" spans="2:6">
      <c r="B42" s="37" t="s">
        <v>63</v>
      </c>
      <c r="C42" s="37" t="s">
        <v>64</v>
      </c>
      <c r="D42" s="37">
        <v>0</v>
      </c>
      <c r="E42" s="37">
        <v>0</v>
      </c>
      <c r="F42" s="37" t="s">
        <v>22</v>
      </c>
    </row>
    <row r="43" spans="2:6">
      <c r="B43" s="37" t="s">
        <v>65</v>
      </c>
      <c r="C43" s="37" t="s">
        <v>66</v>
      </c>
      <c r="D43" s="37">
        <v>0</v>
      </c>
      <c r="E43" s="37">
        <v>0</v>
      </c>
      <c r="F43" s="37" t="s">
        <v>22</v>
      </c>
    </row>
    <row r="44" spans="2:6">
      <c r="B44" s="37" t="s">
        <v>67</v>
      </c>
      <c r="C44" s="37" t="s">
        <v>68</v>
      </c>
      <c r="D44" s="37">
        <v>0</v>
      </c>
      <c r="E44" s="37">
        <v>0</v>
      </c>
      <c r="F44" s="37" t="s">
        <v>22</v>
      </c>
    </row>
    <row r="45" spans="2:6">
      <c r="B45" s="37" t="s">
        <v>69</v>
      </c>
      <c r="C45" s="37" t="s">
        <v>70</v>
      </c>
      <c r="D45" s="37">
        <v>0</v>
      </c>
      <c r="E45" s="37">
        <v>0</v>
      </c>
      <c r="F45" s="37" t="s">
        <v>22</v>
      </c>
    </row>
    <row r="46" spans="2:6">
      <c r="B46" s="37" t="s">
        <v>71</v>
      </c>
      <c r="C46" s="37" t="s">
        <v>72</v>
      </c>
      <c r="D46" s="37">
        <v>0</v>
      </c>
      <c r="E46" s="37">
        <v>0</v>
      </c>
      <c r="F46" s="37" t="s">
        <v>22</v>
      </c>
    </row>
    <row r="47" spans="2:6">
      <c r="B47" s="37" t="s">
        <v>73</v>
      </c>
      <c r="C47" s="37" t="s">
        <v>74</v>
      </c>
      <c r="D47" s="37">
        <v>1</v>
      </c>
      <c r="E47" s="37">
        <v>1</v>
      </c>
      <c r="F47" s="37" t="s">
        <v>22</v>
      </c>
    </row>
    <row r="48" spans="2:6">
      <c r="B48" s="37" t="s">
        <v>75</v>
      </c>
      <c r="C48" s="37" t="s">
        <v>76</v>
      </c>
      <c r="D48" s="37">
        <v>0</v>
      </c>
      <c r="E48" s="37">
        <v>0</v>
      </c>
      <c r="F48" s="37" t="s">
        <v>22</v>
      </c>
    </row>
    <row r="49" spans="2:6">
      <c r="B49" s="37" t="s">
        <v>77</v>
      </c>
      <c r="C49" s="37" t="s">
        <v>78</v>
      </c>
      <c r="D49" s="37">
        <v>0</v>
      </c>
      <c r="E49" s="37">
        <v>0</v>
      </c>
      <c r="F49" s="37" t="s">
        <v>22</v>
      </c>
    </row>
    <row r="50" spans="2:6">
      <c r="B50" s="37" t="s">
        <v>79</v>
      </c>
      <c r="C50" s="37" t="s">
        <v>80</v>
      </c>
      <c r="D50" s="37">
        <v>1</v>
      </c>
      <c r="E50" s="37">
        <v>1</v>
      </c>
      <c r="F50" s="37" t="s">
        <v>22</v>
      </c>
    </row>
    <row r="51" spans="2:6">
      <c r="B51" s="37" t="s">
        <v>81</v>
      </c>
      <c r="C51" s="37" t="s">
        <v>82</v>
      </c>
      <c r="D51" s="37">
        <v>1</v>
      </c>
      <c r="E51" s="37">
        <v>1</v>
      </c>
      <c r="F51" s="37" t="s">
        <v>22</v>
      </c>
    </row>
    <row r="52" spans="2:6">
      <c r="B52" s="37" t="s">
        <v>83</v>
      </c>
      <c r="C52" s="37" t="s">
        <v>84</v>
      </c>
      <c r="D52" s="37">
        <v>0</v>
      </c>
      <c r="E52" s="37">
        <v>0</v>
      </c>
      <c r="F52" s="37" t="s">
        <v>22</v>
      </c>
    </row>
    <row r="53" spans="2:6">
      <c r="B53" s="37" t="s">
        <v>85</v>
      </c>
      <c r="C53" s="37" t="s">
        <v>86</v>
      </c>
      <c r="D53" s="37">
        <v>0</v>
      </c>
      <c r="E53" s="37">
        <v>0</v>
      </c>
      <c r="F53" s="37" t="s">
        <v>22</v>
      </c>
    </row>
    <row r="54" spans="2:6">
      <c r="B54" s="37" t="s">
        <v>87</v>
      </c>
      <c r="C54" s="37" t="s">
        <v>88</v>
      </c>
      <c r="D54" s="37">
        <v>0</v>
      </c>
      <c r="E54" s="37">
        <v>0</v>
      </c>
      <c r="F54" s="37" t="s">
        <v>22</v>
      </c>
    </row>
    <row r="55" spans="2:6">
      <c r="B55" s="37" t="s">
        <v>89</v>
      </c>
      <c r="C55" s="37" t="s">
        <v>90</v>
      </c>
      <c r="D55" s="37">
        <v>0</v>
      </c>
      <c r="E55" s="37">
        <v>0</v>
      </c>
      <c r="F55" s="37" t="s">
        <v>22</v>
      </c>
    </row>
    <row r="56" spans="2:6">
      <c r="B56" s="37" t="s">
        <v>91</v>
      </c>
      <c r="C56" s="37" t="s">
        <v>92</v>
      </c>
      <c r="D56" s="37">
        <v>0</v>
      </c>
      <c r="E56" s="37">
        <v>0</v>
      </c>
      <c r="F56" s="37" t="s">
        <v>22</v>
      </c>
    </row>
    <row r="57" spans="2:6">
      <c r="B57" s="37" t="s">
        <v>93</v>
      </c>
      <c r="C57" s="37" t="s">
        <v>94</v>
      </c>
      <c r="D57" s="37">
        <v>0</v>
      </c>
      <c r="E57" s="37">
        <v>0</v>
      </c>
      <c r="F57" s="37" t="s">
        <v>22</v>
      </c>
    </row>
    <row r="58" spans="2:6">
      <c r="B58" s="37" t="s">
        <v>95</v>
      </c>
      <c r="C58" s="37" t="s">
        <v>96</v>
      </c>
      <c r="D58" s="37">
        <v>0</v>
      </c>
      <c r="E58" s="37">
        <v>0</v>
      </c>
      <c r="F58" s="37" t="s">
        <v>22</v>
      </c>
    </row>
    <row r="59" spans="2:6">
      <c r="B59" s="37" t="s">
        <v>97</v>
      </c>
      <c r="C59" s="37" t="s">
        <v>98</v>
      </c>
      <c r="D59" s="37">
        <v>1</v>
      </c>
      <c r="E59" s="37">
        <v>1</v>
      </c>
      <c r="F59" s="37" t="s">
        <v>22</v>
      </c>
    </row>
    <row r="60" spans="2:6">
      <c r="B60" s="37" t="s">
        <v>99</v>
      </c>
      <c r="C60" s="37" t="s">
        <v>100</v>
      </c>
      <c r="D60" s="37">
        <v>0</v>
      </c>
      <c r="E60" s="37">
        <v>0</v>
      </c>
      <c r="F60" s="37" t="s">
        <v>22</v>
      </c>
    </row>
    <row r="61" spans="2:6">
      <c r="B61" s="37" t="s">
        <v>101</v>
      </c>
      <c r="C61" s="37" t="s">
        <v>102</v>
      </c>
      <c r="D61" s="37">
        <v>0</v>
      </c>
      <c r="E61" s="37">
        <v>0</v>
      </c>
      <c r="F61" s="37" t="s">
        <v>22</v>
      </c>
    </row>
    <row r="62" spans="2:6">
      <c r="B62" s="37" t="s">
        <v>103</v>
      </c>
      <c r="C62" s="37" t="s">
        <v>104</v>
      </c>
      <c r="D62" s="37">
        <v>0</v>
      </c>
      <c r="E62" s="37">
        <v>0</v>
      </c>
      <c r="F62" s="37" t="s">
        <v>22</v>
      </c>
    </row>
    <row r="63" spans="2:6">
      <c r="B63" s="37" t="s">
        <v>105</v>
      </c>
      <c r="C63" s="37" t="s">
        <v>106</v>
      </c>
      <c r="D63" s="37">
        <v>0</v>
      </c>
      <c r="E63" s="37">
        <v>0</v>
      </c>
      <c r="F63" s="37" t="s">
        <v>22</v>
      </c>
    </row>
    <row r="64" spans="2:6">
      <c r="B64" s="37" t="s">
        <v>107</v>
      </c>
      <c r="C64" s="37" t="s">
        <v>108</v>
      </c>
      <c r="D64" s="37">
        <v>0</v>
      </c>
      <c r="E64" s="37">
        <v>0</v>
      </c>
      <c r="F64" s="37" t="s">
        <v>22</v>
      </c>
    </row>
    <row r="65" spans="2:6">
      <c r="B65" s="37" t="s">
        <v>109</v>
      </c>
      <c r="C65" s="37" t="s">
        <v>110</v>
      </c>
      <c r="D65" s="37">
        <v>0</v>
      </c>
      <c r="E65" s="37">
        <v>0</v>
      </c>
      <c r="F65" s="37" t="s">
        <v>22</v>
      </c>
    </row>
    <row r="66" spans="2:6">
      <c r="B66" s="37" t="s">
        <v>111</v>
      </c>
      <c r="C66" s="37" t="s">
        <v>112</v>
      </c>
      <c r="D66" s="37">
        <v>0</v>
      </c>
      <c r="E66" s="37">
        <v>0</v>
      </c>
      <c r="F66" s="37" t="s">
        <v>22</v>
      </c>
    </row>
    <row r="67" spans="2:6">
      <c r="B67" s="37" t="s">
        <v>113</v>
      </c>
      <c r="C67" s="37" t="s">
        <v>114</v>
      </c>
      <c r="D67" s="37">
        <v>0</v>
      </c>
      <c r="E67" s="37">
        <v>0</v>
      </c>
      <c r="F67" s="37" t="s">
        <v>22</v>
      </c>
    </row>
    <row r="68" spans="2:6">
      <c r="B68" s="37" t="s">
        <v>115</v>
      </c>
      <c r="C68" s="37" t="s">
        <v>116</v>
      </c>
      <c r="D68" s="37">
        <v>0</v>
      </c>
      <c r="E68" s="37">
        <v>0</v>
      </c>
      <c r="F68" s="37" t="s">
        <v>22</v>
      </c>
    </row>
    <row r="69" spans="2:6">
      <c r="B69" s="37" t="s">
        <v>117</v>
      </c>
      <c r="C69" s="37" t="s">
        <v>118</v>
      </c>
      <c r="D69" s="37">
        <v>0</v>
      </c>
      <c r="E69" s="37">
        <v>0</v>
      </c>
      <c r="F69" s="37" t="s">
        <v>22</v>
      </c>
    </row>
    <row r="70" spans="2:6">
      <c r="B70" s="37" t="s">
        <v>119</v>
      </c>
      <c r="C70" s="37" t="s">
        <v>120</v>
      </c>
      <c r="D70" s="37">
        <v>0</v>
      </c>
      <c r="E70" s="37">
        <v>0</v>
      </c>
      <c r="F70" s="37" t="s">
        <v>22</v>
      </c>
    </row>
    <row r="71" spans="2:6">
      <c r="B71" s="37" t="s">
        <v>121</v>
      </c>
      <c r="C71" s="37" t="s">
        <v>122</v>
      </c>
      <c r="D71" s="37">
        <v>0</v>
      </c>
      <c r="E71" s="37">
        <v>0</v>
      </c>
      <c r="F71" s="37" t="s">
        <v>22</v>
      </c>
    </row>
    <row r="72" spans="2:6">
      <c r="B72" s="37" t="s">
        <v>123</v>
      </c>
      <c r="C72" s="37" t="s">
        <v>124</v>
      </c>
      <c r="D72" s="37">
        <v>0</v>
      </c>
      <c r="E72" s="37">
        <v>0</v>
      </c>
      <c r="F72" s="37" t="s">
        <v>22</v>
      </c>
    </row>
    <row r="73" spans="2:6">
      <c r="B73" s="37" t="s">
        <v>125</v>
      </c>
      <c r="C73" s="37" t="s">
        <v>126</v>
      </c>
      <c r="D73" s="37">
        <v>0</v>
      </c>
      <c r="E73" s="37">
        <v>0</v>
      </c>
      <c r="F73" s="37" t="s">
        <v>22</v>
      </c>
    </row>
    <row r="74" spans="2:6">
      <c r="B74" s="37" t="s">
        <v>127</v>
      </c>
      <c r="C74" s="37" t="s">
        <v>128</v>
      </c>
      <c r="D74" s="37">
        <v>0</v>
      </c>
      <c r="E74" s="37">
        <v>0</v>
      </c>
      <c r="F74" s="37" t="s">
        <v>22</v>
      </c>
    </row>
    <row r="75" spans="2:6">
      <c r="B75" s="37" t="s">
        <v>129</v>
      </c>
      <c r="C75" s="37" t="s">
        <v>130</v>
      </c>
      <c r="D75" s="37">
        <v>0</v>
      </c>
      <c r="E75" s="37">
        <v>0</v>
      </c>
      <c r="F75" s="37" t="s">
        <v>22</v>
      </c>
    </row>
    <row r="76" spans="2:6">
      <c r="B76" s="37" t="s">
        <v>131</v>
      </c>
      <c r="C76" s="37" t="s">
        <v>132</v>
      </c>
      <c r="D76" s="37">
        <v>0</v>
      </c>
      <c r="E76" s="37">
        <v>0</v>
      </c>
      <c r="F76" s="37" t="s">
        <v>22</v>
      </c>
    </row>
    <row r="77" spans="2:6">
      <c r="B77" s="37" t="s">
        <v>133</v>
      </c>
      <c r="C77" s="37" t="s">
        <v>134</v>
      </c>
      <c r="D77" s="37">
        <v>0</v>
      </c>
      <c r="E77" s="37">
        <v>0</v>
      </c>
      <c r="F77" s="37" t="s">
        <v>22</v>
      </c>
    </row>
    <row r="78" spans="2:6">
      <c r="B78" s="37" t="s">
        <v>135</v>
      </c>
      <c r="C78" s="37" t="s">
        <v>136</v>
      </c>
      <c r="D78" s="37">
        <v>0</v>
      </c>
      <c r="E78" s="37">
        <v>0</v>
      </c>
      <c r="F78" s="37" t="s">
        <v>22</v>
      </c>
    </row>
    <row r="79" spans="2:6">
      <c r="B79" s="37" t="s">
        <v>137</v>
      </c>
      <c r="C79" s="37" t="s">
        <v>138</v>
      </c>
      <c r="D79" s="37">
        <v>0</v>
      </c>
      <c r="E79" s="37">
        <v>0</v>
      </c>
      <c r="F79" s="37" t="s">
        <v>22</v>
      </c>
    </row>
    <row r="80" spans="2:6">
      <c r="B80" s="37" t="s">
        <v>139</v>
      </c>
      <c r="C80" s="37" t="s">
        <v>140</v>
      </c>
      <c r="D80" s="37">
        <v>0</v>
      </c>
      <c r="E80" s="37">
        <v>0</v>
      </c>
      <c r="F80" s="37" t="s">
        <v>22</v>
      </c>
    </row>
    <row r="81" spans="2:6">
      <c r="B81" s="37" t="s">
        <v>141</v>
      </c>
      <c r="C81" s="37" t="s">
        <v>142</v>
      </c>
      <c r="D81" s="37">
        <v>0</v>
      </c>
      <c r="E81" s="37">
        <v>0</v>
      </c>
      <c r="F81" s="37" t="s">
        <v>22</v>
      </c>
    </row>
    <row r="82" spans="2:6">
      <c r="B82" s="37" t="s">
        <v>143</v>
      </c>
      <c r="C82" s="37" t="s">
        <v>144</v>
      </c>
      <c r="D82" s="37">
        <v>0</v>
      </c>
      <c r="E82" s="37">
        <v>0</v>
      </c>
      <c r="F82" s="37" t="s">
        <v>22</v>
      </c>
    </row>
    <row r="83" spans="2:6">
      <c r="B83" s="37" t="s">
        <v>145</v>
      </c>
      <c r="C83" s="37" t="s">
        <v>146</v>
      </c>
      <c r="D83" s="37">
        <v>0</v>
      </c>
      <c r="E83" s="37">
        <v>0</v>
      </c>
      <c r="F83" s="37" t="s">
        <v>22</v>
      </c>
    </row>
    <row r="84" spans="2:6">
      <c r="B84" s="37" t="s">
        <v>147</v>
      </c>
      <c r="C84" s="37" t="s">
        <v>148</v>
      </c>
      <c r="D84" s="37">
        <v>0</v>
      </c>
      <c r="E84" s="37">
        <v>0</v>
      </c>
      <c r="F84" s="37" t="s">
        <v>22</v>
      </c>
    </row>
    <row r="85" spans="2:6">
      <c r="B85" s="37" t="s">
        <v>149</v>
      </c>
      <c r="C85" s="37" t="s">
        <v>150</v>
      </c>
      <c r="D85" s="37">
        <v>0</v>
      </c>
      <c r="E85" s="37">
        <v>0</v>
      </c>
      <c r="F85" s="37" t="s">
        <v>22</v>
      </c>
    </row>
    <row r="86" spans="2:6">
      <c r="B86" s="37" t="s">
        <v>151</v>
      </c>
      <c r="C86" s="37" t="s">
        <v>152</v>
      </c>
      <c r="D86" s="37">
        <v>0</v>
      </c>
      <c r="E86" s="37">
        <v>0</v>
      </c>
      <c r="F86" s="37" t="s">
        <v>22</v>
      </c>
    </row>
    <row r="87" spans="2:6">
      <c r="B87" s="37" t="s">
        <v>153</v>
      </c>
      <c r="C87" s="37" t="s">
        <v>154</v>
      </c>
      <c r="D87" s="37">
        <v>0</v>
      </c>
      <c r="E87" s="37">
        <v>0</v>
      </c>
      <c r="F87" s="37" t="s">
        <v>22</v>
      </c>
    </row>
    <row r="88" spans="2:6">
      <c r="B88" s="37" t="s">
        <v>155</v>
      </c>
      <c r="C88" s="37" t="s">
        <v>156</v>
      </c>
      <c r="D88" s="37">
        <v>0</v>
      </c>
      <c r="E88" s="37">
        <v>0</v>
      </c>
      <c r="F88" s="37" t="s">
        <v>22</v>
      </c>
    </row>
    <row r="89" spans="2:6">
      <c r="B89" s="37" t="s">
        <v>157</v>
      </c>
      <c r="C89" s="37" t="s">
        <v>158</v>
      </c>
      <c r="D89" s="37">
        <v>0</v>
      </c>
      <c r="E89" s="37">
        <v>0</v>
      </c>
      <c r="F89" s="37" t="s">
        <v>22</v>
      </c>
    </row>
    <row r="90" spans="2:6">
      <c r="B90" s="37" t="s">
        <v>159</v>
      </c>
      <c r="C90" s="37" t="s">
        <v>160</v>
      </c>
      <c r="D90" s="37">
        <v>0</v>
      </c>
      <c r="E90" s="37">
        <v>0</v>
      </c>
      <c r="F90" s="37" t="s">
        <v>22</v>
      </c>
    </row>
    <row r="91" spans="2:6">
      <c r="B91" s="37" t="s">
        <v>161</v>
      </c>
      <c r="C91" s="37" t="s">
        <v>162</v>
      </c>
      <c r="D91" s="37">
        <v>0</v>
      </c>
      <c r="E91" s="37">
        <v>0</v>
      </c>
      <c r="F91" s="37" t="s">
        <v>22</v>
      </c>
    </row>
    <row r="92" spans="2:6">
      <c r="B92" s="37" t="s">
        <v>163</v>
      </c>
      <c r="C92" s="37" t="s">
        <v>164</v>
      </c>
      <c r="D92" s="37">
        <v>0</v>
      </c>
      <c r="E92" s="37">
        <v>0</v>
      </c>
      <c r="F92" s="37" t="s">
        <v>22</v>
      </c>
    </row>
    <row r="93" spans="2:6">
      <c r="B93" s="37" t="s">
        <v>165</v>
      </c>
      <c r="C93" s="37" t="s">
        <v>166</v>
      </c>
      <c r="D93" s="37">
        <v>0</v>
      </c>
      <c r="E93" s="37">
        <v>0</v>
      </c>
      <c r="F93" s="37" t="s">
        <v>22</v>
      </c>
    </row>
    <row r="94" spans="2:6">
      <c r="B94" s="37" t="s">
        <v>167</v>
      </c>
      <c r="C94" s="37" t="s">
        <v>168</v>
      </c>
      <c r="D94" s="37">
        <v>0</v>
      </c>
      <c r="E94" s="37">
        <v>0</v>
      </c>
      <c r="F94" s="37" t="s">
        <v>22</v>
      </c>
    </row>
    <row r="95" ht="14.75" spans="2:6">
      <c r="B95" s="36" t="s">
        <v>169</v>
      </c>
      <c r="C95" s="36" t="s">
        <v>170</v>
      </c>
      <c r="D95" s="36">
        <v>0</v>
      </c>
      <c r="E95" s="36">
        <v>0</v>
      </c>
      <c r="F95" s="36" t="s">
        <v>22</v>
      </c>
    </row>
    <row r="96" ht="14.75"/>
    <row r="98" ht="14.75" spans="1:7">
      <c r="A98" t="s">
        <v>171</v>
      </c>
    </row>
    <row r="99" ht="15.5" spans="1:7">
      <c r="B99" s="35" t="s">
        <v>12</v>
      </c>
      <c r="C99" s="35" t="s">
        <v>13</v>
      </c>
      <c r="D99" s="35" t="s">
        <v>172</v>
      </c>
      <c r="E99" s="35" t="s">
        <v>173</v>
      </c>
      <c r="F99" s="35" t="s">
        <v>174</v>
      </c>
      <c r="G99" s="35" t="s">
        <v>175</v>
      </c>
    </row>
    <row r="100" ht="14.75" spans="1:7">
      <c r="B100" s="37" t="s">
        <v>176</v>
      </c>
      <c r="C100" s="37" t="s">
        <v>177</v>
      </c>
      <c r="D100" s="37">
        <v>1</v>
      </c>
      <c r="E100" s="37" t="s">
        <v>178</v>
      </c>
      <c r="F100" s="37" t="s">
        <v>179</v>
      </c>
      <c r="G100" s="37">
        <v>0</v>
      </c>
    </row>
    <row r="101" spans="1:7">
      <c r="B101" s="37" t="s">
        <v>180</v>
      </c>
      <c r="C101" s="37" t="s">
        <v>181</v>
      </c>
      <c r="D101" s="37">
        <v>1</v>
      </c>
      <c r="E101" s="37" t="s">
        <v>182</v>
      </c>
      <c r="F101" s="37" t="s">
        <v>179</v>
      </c>
      <c r="G101" s="37">
        <v>0</v>
      </c>
    </row>
    <row r="102" spans="1:7">
      <c r="B102" s="37" t="s">
        <v>183</v>
      </c>
      <c r="C102" s="37" t="s">
        <v>184</v>
      </c>
      <c r="D102" s="37">
        <v>1</v>
      </c>
      <c r="E102" s="37" t="s">
        <v>185</v>
      </c>
      <c r="F102" s="37" t="s">
        <v>179</v>
      </c>
      <c r="G102" s="37">
        <v>0</v>
      </c>
    </row>
    <row r="103" spans="1:7">
      <c r="B103" s="37" t="s">
        <v>186</v>
      </c>
      <c r="C103" s="37" t="s">
        <v>187</v>
      </c>
      <c r="D103" s="37">
        <v>1</v>
      </c>
      <c r="E103" s="37" t="s">
        <v>188</v>
      </c>
      <c r="F103" s="37" t="s">
        <v>179</v>
      </c>
      <c r="G103" s="37">
        <v>0</v>
      </c>
    </row>
    <row r="104" spans="1:7">
      <c r="B104" s="37" t="s">
        <v>189</v>
      </c>
      <c r="C104" s="37" t="s">
        <v>190</v>
      </c>
      <c r="D104" s="37">
        <v>1</v>
      </c>
      <c r="E104" s="37" t="s">
        <v>191</v>
      </c>
      <c r="F104" s="37" t="s">
        <v>179</v>
      </c>
      <c r="G104" s="37">
        <v>0</v>
      </c>
    </row>
    <row r="105" spans="1:7">
      <c r="B105" s="37" t="s">
        <v>192</v>
      </c>
      <c r="C105" s="37" t="s">
        <v>193</v>
      </c>
      <c r="D105" s="37">
        <v>1</v>
      </c>
      <c r="E105" s="37" t="s">
        <v>194</v>
      </c>
      <c r="F105" s="37" t="s">
        <v>179</v>
      </c>
      <c r="G105" s="37">
        <v>0</v>
      </c>
    </row>
    <row r="106" spans="1:7">
      <c r="B106" s="37" t="s">
        <v>195</v>
      </c>
      <c r="C106" s="37" t="s">
        <v>196</v>
      </c>
      <c r="D106" s="37">
        <v>1</v>
      </c>
      <c r="E106" s="37" t="s">
        <v>197</v>
      </c>
      <c r="F106" s="37" t="s">
        <v>179</v>
      </c>
      <c r="G106" s="37">
        <v>0</v>
      </c>
    </row>
    <row r="107" spans="1:7">
      <c r="B107" s="37" t="s">
        <v>198</v>
      </c>
      <c r="C107" s="37" t="s">
        <v>199</v>
      </c>
      <c r="D107" s="37">
        <v>1</v>
      </c>
      <c r="E107" s="37" t="s">
        <v>200</v>
      </c>
      <c r="F107" s="37" t="s">
        <v>179</v>
      </c>
      <c r="G107" s="37">
        <v>0</v>
      </c>
    </row>
    <row r="108" spans="1:7">
      <c r="B108" s="37" t="s">
        <v>201</v>
      </c>
      <c r="C108" s="37" t="s">
        <v>202</v>
      </c>
      <c r="D108" s="37">
        <v>1</v>
      </c>
      <c r="E108" s="37" t="s">
        <v>203</v>
      </c>
      <c r="F108" s="37" t="s">
        <v>179</v>
      </c>
      <c r="G108" s="37">
        <v>0</v>
      </c>
    </row>
    <row r="109" spans="1:7">
      <c r="B109" s="37" t="s">
        <v>204</v>
      </c>
      <c r="C109" s="37" t="s">
        <v>205</v>
      </c>
      <c r="D109" s="37">
        <v>1</v>
      </c>
      <c r="E109" s="37" t="s">
        <v>206</v>
      </c>
      <c r="F109" s="37" t="s">
        <v>179</v>
      </c>
      <c r="G109" s="37">
        <v>0</v>
      </c>
    </row>
    <row r="110" spans="1:7">
      <c r="B110" s="37" t="s">
        <v>207</v>
      </c>
      <c r="C110" s="37" t="s">
        <v>208</v>
      </c>
      <c r="D110" s="37">
        <v>1</v>
      </c>
      <c r="E110" s="37" t="s">
        <v>209</v>
      </c>
      <c r="F110" s="37" t="s">
        <v>179</v>
      </c>
      <c r="G110" s="37">
        <v>0</v>
      </c>
    </row>
    <row r="111" spans="1:7">
      <c r="B111" s="37" t="s">
        <v>210</v>
      </c>
      <c r="C111" s="37" t="s">
        <v>211</v>
      </c>
      <c r="D111" s="37">
        <v>1</v>
      </c>
      <c r="E111" s="37" t="s">
        <v>212</v>
      </c>
      <c r="F111" s="37" t="s">
        <v>179</v>
      </c>
      <c r="G111" s="37">
        <v>0</v>
      </c>
    </row>
    <row r="112" spans="1:7">
      <c r="B112" s="37" t="s">
        <v>213</v>
      </c>
      <c r="C112" s="37" t="s">
        <v>214</v>
      </c>
      <c r="D112" s="37">
        <v>0</v>
      </c>
      <c r="E112" s="37" t="s">
        <v>215</v>
      </c>
      <c r="F112" s="37" t="s">
        <v>216</v>
      </c>
      <c r="G112" s="37">
        <v>1</v>
      </c>
    </row>
    <row r="113" spans="2:7">
      <c r="B113" s="37" t="s">
        <v>217</v>
      </c>
      <c r="C113" s="37" t="s">
        <v>218</v>
      </c>
      <c r="D113" s="37">
        <v>1</v>
      </c>
      <c r="E113" s="37" t="s">
        <v>219</v>
      </c>
      <c r="F113" s="37" t="s">
        <v>179</v>
      </c>
      <c r="G113" s="37">
        <v>0</v>
      </c>
    </row>
    <row r="114" spans="2:7">
      <c r="B114" s="37" t="s">
        <v>220</v>
      </c>
      <c r="C114" s="37" t="s">
        <v>221</v>
      </c>
      <c r="D114" s="37">
        <v>0</v>
      </c>
      <c r="E114" s="37" t="s">
        <v>222</v>
      </c>
      <c r="F114" s="37" t="s">
        <v>216</v>
      </c>
      <c r="G114" s="37">
        <v>1</v>
      </c>
    </row>
    <row r="115" spans="2:7">
      <c r="B115" s="37" t="s">
        <v>223</v>
      </c>
      <c r="C115" s="37" t="s">
        <v>224</v>
      </c>
      <c r="D115" s="37">
        <v>7.6</v>
      </c>
      <c r="E115" s="37" t="s">
        <v>225</v>
      </c>
      <c r="F115" s="37" t="s">
        <v>216</v>
      </c>
      <c r="G115" s="37">
        <v>0.4</v>
      </c>
    </row>
    <row r="116" spans="2:7">
      <c r="B116" s="37" t="s">
        <v>226</v>
      </c>
      <c r="C116" s="37" t="s">
        <v>227</v>
      </c>
      <c r="D116" s="37">
        <v>6.7</v>
      </c>
      <c r="E116" s="37" t="s">
        <v>228</v>
      </c>
      <c r="F116" s="37" t="s">
        <v>216</v>
      </c>
      <c r="G116" s="37">
        <v>1.3</v>
      </c>
    </row>
    <row r="117" spans="2:7">
      <c r="B117" s="37" t="s">
        <v>229</v>
      </c>
      <c r="C117" s="37" t="s">
        <v>230</v>
      </c>
      <c r="D117" s="37">
        <v>4.3</v>
      </c>
      <c r="E117" s="37" t="s">
        <v>231</v>
      </c>
      <c r="F117" s="37" t="s">
        <v>216</v>
      </c>
      <c r="G117" s="37">
        <v>3.7</v>
      </c>
    </row>
    <row r="118" spans="2:7">
      <c r="B118" s="37" t="s">
        <v>232</v>
      </c>
      <c r="C118" s="37" t="s">
        <v>233</v>
      </c>
      <c r="D118" s="37">
        <v>0</v>
      </c>
      <c r="E118" s="37" t="s">
        <v>234</v>
      </c>
      <c r="F118" s="37" t="s">
        <v>216</v>
      </c>
      <c r="G118" s="37">
        <v>8</v>
      </c>
    </row>
    <row r="119" spans="2:7">
      <c r="B119" s="37" t="s">
        <v>235</v>
      </c>
      <c r="C119" s="37" t="s">
        <v>236</v>
      </c>
      <c r="D119" s="37">
        <v>0</v>
      </c>
      <c r="E119" s="37" t="s">
        <v>237</v>
      </c>
      <c r="F119" s="37" t="s">
        <v>216</v>
      </c>
      <c r="G119" s="37">
        <v>8</v>
      </c>
    </row>
    <row r="120" spans="2:7">
      <c r="B120" s="37" t="s">
        <v>238</v>
      </c>
      <c r="C120" s="37"/>
      <c r="D120" s="37"/>
      <c r="E120" s="37"/>
      <c r="F120" s="37"/>
      <c r="G120" s="37"/>
    </row>
    <row r="121" spans="2:7">
      <c r="B121" s="37" t="s">
        <v>239</v>
      </c>
      <c r="C121" s="37"/>
      <c r="D121" s="37"/>
      <c r="E121" s="37"/>
      <c r="F121" s="37"/>
      <c r="G121" s="37"/>
    </row>
    <row r="122" spans="2:7">
      <c r="B122" s="37" t="s">
        <v>240</v>
      </c>
      <c r="C122" s="37"/>
      <c r="D122" s="37"/>
      <c r="E122" s="37"/>
      <c r="F122" s="37"/>
      <c r="G122" s="37"/>
    </row>
    <row r="123" spans="2:7">
      <c r="B123" s="37" t="s">
        <v>241</v>
      </c>
      <c r="C123" s="37"/>
      <c r="D123" s="37"/>
      <c r="E123" s="37"/>
      <c r="F123" s="37"/>
      <c r="G123" s="37"/>
    </row>
    <row r="124" spans="2:7">
      <c r="B124" s="37" t="s">
        <v>242</v>
      </c>
      <c r="C124" s="37"/>
      <c r="D124" s="37"/>
      <c r="E124" s="37"/>
      <c r="F124" s="37"/>
      <c r="G124" s="37"/>
    </row>
    <row r="125" spans="2:7">
      <c r="B125" s="37" t="s">
        <v>243</v>
      </c>
      <c r="C125" s="37"/>
      <c r="D125" s="37"/>
      <c r="E125" s="37"/>
      <c r="F125" s="37"/>
      <c r="G125" s="37"/>
    </row>
    <row r="126" spans="2:7">
      <c r="B126" s="37" t="s">
        <v>244</v>
      </c>
      <c r="C126" s="37"/>
      <c r="D126" s="37"/>
      <c r="E126" s="37"/>
      <c r="F126" s="37"/>
      <c r="G126" s="37"/>
    </row>
    <row r="127" spans="2:7">
      <c r="B127" s="37" t="s">
        <v>245</v>
      </c>
      <c r="C127" s="37"/>
      <c r="D127" s="37"/>
      <c r="E127" s="37"/>
      <c r="F127" s="37"/>
      <c r="G127" s="37"/>
    </row>
    <row r="128" spans="2:7">
      <c r="B128" s="37" t="s">
        <v>246</v>
      </c>
      <c r="C128" s="37"/>
      <c r="D128" s="37"/>
      <c r="E128" s="37"/>
      <c r="F128" s="37"/>
      <c r="G128" s="37"/>
    </row>
    <row r="129" spans="2:7">
      <c r="B129" s="37" t="s">
        <v>247</v>
      </c>
      <c r="C129" s="37"/>
      <c r="D129" s="37"/>
      <c r="E129" s="37"/>
      <c r="F129" s="37"/>
      <c r="G129" s="37"/>
    </row>
    <row r="130" spans="2:7">
      <c r="B130" s="37" t="s">
        <v>248</v>
      </c>
      <c r="C130" s="37"/>
      <c r="D130" s="37"/>
      <c r="E130" s="37"/>
      <c r="F130" s="37"/>
      <c r="G130" s="37"/>
    </row>
    <row r="131" spans="2:7">
      <c r="B131" s="37" t="s">
        <v>249</v>
      </c>
      <c r="C131" s="37"/>
      <c r="D131" s="37"/>
      <c r="E131" s="37"/>
      <c r="F131" s="37"/>
      <c r="G131" s="37"/>
    </row>
    <row r="132" spans="2:7">
      <c r="B132" s="37" t="s">
        <v>250</v>
      </c>
      <c r="C132" s="37"/>
      <c r="D132" s="37"/>
      <c r="E132" s="37"/>
      <c r="F132" s="37"/>
      <c r="G132" s="37"/>
    </row>
    <row r="133" spans="2:7">
      <c r="B133" s="37" t="s">
        <v>251</v>
      </c>
      <c r="C133" s="37"/>
      <c r="D133" s="37"/>
      <c r="E133" s="37"/>
      <c r="F133" s="37"/>
      <c r="G133" s="37"/>
    </row>
    <row r="134" spans="2:7">
      <c r="B134" s="37" t="s">
        <v>252</v>
      </c>
      <c r="C134" s="37"/>
      <c r="D134" s="37"/>
      <c r="E134" s="37"/>
      <c r="F134" s="37"/>
      <c r="G134" s="37"/>
    </row>
    <row r="135" spans="2:7">
      <c r="B135" s="37" t="s">
        <v>253</v>
      </c>
      <c r="C135" s="37"/>
      <c r="D135" s="37"/>
      <c r="E135" s="37"/>
      <c r="F135" s="37"/>
      <c r="G135" s="37"/>
    </row>
    <row r="136" spans="2:7">
      <c r="B136" s="37" t="s">
        <v>254</v>
      </c>
      <c r="C136" s="37"/>
      <c r="D136" s="37"/>
      <c r="E136" s="37"/>
      <c r="F136" s="37"/>
      <c r="G136" s="37"/>
    </row>
    <row r="137" spans="2:7">
      <c r="B137" s="37" t="s">
        <v>255</v>
      </c>
      <c r="C137" s="37"/>
      <c r="D137" s="37"/>
      <c r="E137" s="37"/>
      <c r="F137" s="37"/>
      <c r="G137" s="37"/>
    </row>
    <row r="138" spans="2:7">
      <c r="B138" s="37" t="s">
        <v>256</v>
      </c>
      <c r="C138" s="37"/>
      <c r="D138" s="37"/>
      <c r="E138" s="37"/>
      <c r="F138" s="37"/>
      <c r="G138" s="37"/>
    </row>
    <row r="139" spans="2:7">
      <c r="B139" s="37" t="s">
        <v>257</v>
      </c>
      <c r="C139" s="37"/>
      <c r="D139" s="37"/>
      <c r="E139" s="37"/>
      <c r="F139" s="37"/>
      <c r="G139" s="37"/>
    </row>
    <row r="140" spans="2:7">
      <c r="B140" s="37" t="s">
        <v>258</v>
      </c>
      <c r="C140" s="37"/>
      <c r="D140" s="37"/>
      <c r="E140" s="37"/>
      <c r="F140" s="37"/>
      <c r="G140" s="37"/>
    </row>
    <row r="141" spans="2:7">
      <c r="B141" s="37" t="s">
        <v>259</v>
      </c>
      <c r="C141" s="37"/>
      <c r="D141" s="37"/>
      <c r="E141" s="37"/>
      <c r="F141" s="37"/>
      <c r="G141" s="37"/>
    </row>
    <row r="142" spans="2:7">
      <c r="B142" s="37" t="s">
        <v>260</v>
      </c>
      <c r="C142" s="37"/>
      <c r="D142" s="37"/>
      <c r="E142" s="37"/>
      <c r="F142" s="37"/>
      <c r="G142" s="37"/>
    </row>
    <row r="143" spans="2:7">
      <c r="B143" s="37" t="s">
        <v>261</v>
      </c>
      <c r="C143" s="37"/>
      <c r="D143" s="37"/>
      <c r="E143" s="37"/>
      <c r="F143" s="37"/>
      <c r="G143" s="37"/>
    </row>
    <row r="144" spans="2:7">
      <c r="B144" s="37" t="s">
        <v>262</v>
      </c>
      <c r="C144" s="37"/>
      <c r="D144" s="37"/>
      <c r="E144" s="37"/>
      <c r="F144" s="37"/>
      <c r="G144" s="37"/>
    </row>
    <row r="145" spans="2:7">
      <c r="B145" s="37" t="s">
        <v>263</v>
      </c>
      <c r="C145" s="37"/>
      <c r="D145" s="37"/>
      <c r="E145" s="37"/>
      <c r="F145" s="37"/>
      <c r="G145" s="37"/>
    </row>
    <row r="146" spans="2:7">
      <c r="B146" s="37" t="s">
        <v>264</v>
      </c>
      <c r="C146" s="37"/>
      <c r="D146" s="37"/>
      <c r="E146" s="37"/>
      <c r="F146" s="37"/>
      <c r="G146" s="37"/>
    </row>
    <row r="147" spans="2:7">
      <c r="B147" s="37" t="s">
        <v>265</v>
      </c>
      <c r="C147" s="37"/>
      <c r="D147" s="37"/>
      <c r="E147" s="37"/>
      <c r="F147" s="37"/>
      <c r="G147" s="37"/>
    </row>
    <row r="148" spans="2:7">
      <c r="B148" s="37" t="s">
        <v>266</v>
      </c>
      <c r="C148" s="37"/>
      <c r="D148" s="37"/>
      <c r="E148" s="37"/>
      <c r="F148" s="37"/>
      <c r="G148" s="37"/>
    </row>
    <row r="149" spans="2:7">
      <c r="B149" s="37" t="s">
        <v>267</v>
      </c>
      <c r="C149" s="37"/>
      <c r="D149" s="37"/>
      <c r="E149" s="37"/>
      <c r="F149" s="37"/>
      <c r="G149" s="37"/>
    </row>
    <row r="150" spans="2:7">
      <c r="B150" s="37" t="s">
        <v>268</v>
      </c>
      <c r="C150" s="37"/>
      <c r="D150" s="37"/>
      <c r="E150" s="37"/>
      <c r="F150" s="37"/>
      <c r="G150" s="37"/>
    </row>
    <row r="151" spans="2:7">
      <c r="B151" s="37" t="s">
        <v>269</v>
      </c>
      <c r="C151" s="37"/>
      <c r="D151" s="37"/>
      <c r="E151" s="37"/>
      <c r="F151" s="37"/>
      <c r="G151" s="37"/>
    </row>
    <row r="152" spans="2:7">
      <c r="B152" s="37" t="s">
        <v>270</v>
      </c>
      <c r="C152" s="37"/>
      <c r="D152" s="37"/>
      <c r="E152" s="37"/>
      <c r="F152" s="37"/>
      <c r="G152" s="37"/>
    </row>
    <row r="153" spans="2:7">
      <c r="B153" s="37" t="s">
        <v>271</v>
      </c>
      <c r="C153" s="37"/>
      <c r="D153" s="37"/>
      <c r="E153" s="37"/>
      <c r="F153" s="37"/>
      <c r="G153" s="37"/>
    </row>
    <row r="154" spans="2:7">
      <c r="B154" s="37" t="s">
        <v>272</v>
      </c>
      <c r="C154" s="37"/>
      <c r="D154" s="37"/>
      <c r="E154" s="37"/>
      <c r="F154" s="37"/>
      <c r="G154" s="37"/>
    </row>
    <row r="155" spans="2:7">
      <c r="B155" s="37" t="s">
        <v>273</v>
      </c>
      <c r="C155" s="37"/>
      <c r="D155" s="37"/>
      <c r="E155" s="37"/>
      <c r="F155" s="37"/>
      <c r="G155" s="37"/>
    </row>
    <row r="156" spans="2:7">
      <c r="B156" s="37" t="s">
        <v>274</v>
      </c>
      <c r="C156" s="37"/>
      <c r="D156" s="37"/>
      <c r="E156" s="37"/>
      <c r="F156" s="37"/>
      <c r="G156" s="37"/>
    </row>
    <row r="157" spans="2:7">
      <c r="B157" s="37" t="s">
        <v>275</v>
      </c>
      <c r="C157" s="37"/>
      <c r="D157" s="37"/>
      <c r="E157" s="37"/>
      <c r="F157" s="37"/>
      <c r="G157" s="37"/>
    </row>
    <row r="158" spans="2:7">
      <c r="B158" s="37" t="s">
        <v>276</v>
      </c>
      <c r="C158" s="37"/>
      <c r="D158" s="37"/>
      <c r="E158" s="37"/>
      <c r="F158" s="37"/>
      <c r="G158" s="37"/>
    </row>
    <row r="159" spans="2:7">
      <c r="B159" s="37" t="s">
        <v>277</v>
      </c>
      <c r="C159" s="37"/>
      <c r="D159" s="37"/>
      <c r="E159" s="37"/>
      <c r="F159" s="37"/>
      <c r="G159" s="37"/>
    </row>
    <row r="160" spans="2:7">
      <c r="B160" s="37" t="s">
        <v>278</v>
      </c>
      <c r="C160" s="37"/>
      <c r="D160" s="37"/>
      <c r="E160" s="37"/>
      <c r="F160" s="37"/>
      <c r="G160" s="37"/>
    </row>
    <row r="161" spans="2:7">
      <c r="B161" s="37" t="s">
        <v>279</v>
      </c>
      <c r="C161" s="37"/>
      <c r="D161" s="37"/>
      <c r="E161" s="37"/>
      <c r="F161" s="37"/>
      <c r="G161" s="37"/>
    </row>
    <row r="162" spans="2:7">
      <c r="B162" s="37" t="s">
        <v>280</v>
      </c>
      <c r="C162" s="37"/>
      <c r="D162" s="37"/>
      <c r="E162" s="37"/>
      <c r="F162" s="37"/>
      <c r="G162" s="37"/>
    </row>
    <row r="163" spans="2:7">
      <c r="B163" s="37" t="s">
        <v>281</v>
      </c>
      <c r="C163" s="37"/>
      <c r="D163" s="37"/>
      <c r="E163" s="37"/>
      <c r="F163" s="37"/>
      <c r="G163" s="37"/>
    </row>
    <row r="164" spans="2:7">
      <c r="B164" s="37" t="s">
        <v>282</v>
      </c>
      <c r="C164" s="37"/>
      <c r="D164" s="37"/>
      <c r="E164" s="37"/>
      <c r="F164" s="37"/>
      <c r="G164" s="37"/>
    </row>
    <row r="165" spans="2:7">
      <c r="B165" s="37" t="s">
        <v>283</v>
      </c>
      <c r="C165" s="37"/>
      <c r="D165" s="37"/>
      <c r="E165" s="37"/>
      <c r="F165" s="37"/>
      <c r="G165" s="37"/>
    </row>
    <row r="166" spans="2:7">
      <c r="B166" s="37" t="s">
        <v>284</v>
      </c>
      <c r="C166" s="37"/>
      <c r="D166" s="37"/>
      <c r="E166" s="37"/>
      <c r="F166" s="37"/>
      <c r="G166" s="37"/>
    </row>
    <row r="167" spans="2:7">
      <c r="B167" s="37" t="s">
        <v>285</v>
      </c>
      <c r="C167" s="37"/>
      <c r="D167" s="37"/>
      <c r="E167" s="37"/>
      <c r="F167" s="37"/>
      <c r="G167" s="37"/>
    </row>
    <row r="168" spans="2:7">
      <c r="B168" s="37" t="s">
        <v>286</v>
      </c>
      <c r="C168" s="37"/>
      <c r="D168" s="37"/>
      <c r="E168" s="37"/>
      <c r="F168" s="37"/>
      <c r="G168" s="37"/>
    </row>
    <row r="169" spans="2:7">
      <c r="B169" s="37" t="s">
        <v>287</v>
      </c>
      <c r="C169" s="37"/>
      <c r="D169" s="37"/>
      <c r="E169" s="37"/>
      <c r="F169" s="37"/>
      <c r="G169" s="37"/>
    </row>
    <row r="170" spans="2:7">
      <c r="B170" s="37" t="s">
        <v>288</v>
      </c>
      <c r="C170" s="37"/>
      <c r="D170" s="37"/>
      <c r="E170" s="37"/>
      <c r="F170" s="37"/>
      <c r="G170" s="37"/>
    </row>
    <row r="171" spans="2:7">
      <c r="B171" s="37" t="s">
        <v>289</v>
      </c>
      <c r="C171" s="37"/>
      <c r="D171" s="37"/>
      <c r="E171" s="37"/>
      <c r="F171" s="37"/>
      <c r="G171" s="37"/>
    </row>
    <row r="172" spans="2:7">
      <c r="B172" s="37" t="s">
        <v>290</v>
      </c>
      <c r="C172" s="37"/>
      <c r="D172" s="37"/>
      <c r="E172" s="37"/>
      <c r="F172" s="37"/>
      <c r="G172" s="37"/>
    </row>
    <row r="173" spans="2:7">
      <c r="B173" s="37" t="s">
        <v>291</v>
      </c>
      <c r="C173" s="37"/>
      <c r="D173" s="37"/>
      <c r="E173" s="37"/>
      <c r="F173" s="37"/>
      <c r="G173" s="37"/>
    </row>
    <row r="174" spans="2:7">
      <c r="B174" s="37" t="s">
        <v>292</v>
      </c>
      <c r="C174" s="37"/>
      <c r="D174" s="37"/>
      <c r="E174" s="37"/>
      <c r="F174" s="37"/>
      <c r="G174" s="37"/>
    </row>
    <row r="175" spans="2:7">
      <c r="B175" s="37" t="s">
        <v>293</v>
      </c>
      <c r="C175" s="37"/>
      <c r="D175" s="37"/>
      <c r="E175" s="37"/>
      <c r="F175" s="37"/>
      <c r="G175" s="37"/>
    </row>
    <row r="176" spans="2:7">
      <c r="B176" s="37" t="s">
        <v>294</v>
      </c>
      <c r="C176" s="37"/>
      <c r="D176" s="37"/>
      <c r="E176" s="37"/>
      <c r="F176" s="37"/>
      <c r="G176" s="37"/>
    </row>
    <row r="177" spans="2:7">
      <c r="B177" s="37" t="s">
        <v>295</v>
      </c>
      <c r="C177" s="37"/>
      <c r="D177" s="37"/>
      <c r="E177" s="37"/>
      <c r="F177" s="37"/>
      <c r="G177" s="37"/>
    </row>
    <row r="178" spans="2:7">
      <c r="B178" s="37" t="s">
        <v>296</v>
      </c>
      <c r="C178" s="37"/>
      <c r="D178" s="37"/>
      <c r="E178" s="37"/>
      <c r="F178" s="37"/>
      <c r="G178" s="37"/>
    </row>
    <row r="179" spans="2:7">
      <c r="B179" s="37" t="s">
        <v>297</v>
      </c>
      <c r="C179" s="37"/>
      <c r="D179" s="37"/>
      <c r="E179" s="37"/>
      <c r="F179" s="37"/>
      <c r="G179" s="37"/>
    </row>
    <row r="180" spans="2:7">
      <c r="B180" s="37" t="s">
        <v>298</v>
      </c>
      <c r="C180" s="37"/>
      <c r="D180" s="37"/>
      <c r="E180" s="37"/>
      <c r="F180" s="37"/>
      <c r="G180" s="37"/>
    </row>
    <row r="181" spans="2:7">
      <c r="B181" s="37" t="s">
        <v>299</v>
      </c>
      <c r="C181" s="37"/>
      <c r="D181" s="37"/>
      <c r="E181" s="37"/>
      <c r="F181" s="37"/>
      <c r="G181" s="37"/>
    </row>
    <row r="182" spans="2:7">
      <c r="B182" s="37" t="s">
        <v>300</v>
      </c>
      <c r="C182" s="37"/>
      <c r="D182" s="37"/>
      <c r="E182" s="37"/>
      <c r="F182" s="37"/>
      <c r="G182" s="37"/>
    </row>
    <row r="183" spans="2:7">
      <c r="B183" s="37" t="s">
        <v>301</v>
      </c>
      <c r="C183" s="37"/>
      <c r="D183" s="37"/>
      <c r="E183" s="37"/>
      <c r="F183" s="37"/>
      <c r="G183" s="37"/>
    </row>
    <row r="184" spans="2:7">
      <c r="B184" s="37" t="s">
        <v>302</v>
      </c>
      <c r="C184" s="37"/>
      <c r="D184" s="37"/>
      <c r="E184" s="37"/>
      <c r="F184" s="37"/>
      <c r="G184" s="37"/>
    </row>
    <row r="185" spans="2:7">
      <c r="B185" s="37" t="s">
        <v>303</v>
      </c>
      <c r="C185" s="37"/>
      <c r="D185" s="37"/>
      <c r="E185" s="37"/>
      <c r="F185" s="37"/>
      <c r="G185" s="37"/>
    </row>
    <row r="186" spans="2:7">
      <c r="B186" s="37" t="s">
        <v>304</v>
      </c>
      <c r="C186" s="37"/>
      <c r="D186" s="37"/>
      <c r="E186" s="37"/>
      <c r="F186" s="37"/>
      <c r="G186" s="37"/>
    </row>
    <row r="187" spans="2:7">
      <c r="B187" s="37" t="s">
        <v>305</v>
      </c>
      <c r="C187" s="37"/>
      <c r="D187" s="37"/>
      <c r="E187" s="37"/>
      <c r="F187" s="37"/>
      <c r="G187" s="37"/>
    </row>
    <row r="188" spans="2:7">
      <c r="B188" s="37" t="s">
        <v>306</v>
      </c>
      <c r="C188" s="37"/>
      <c r="D188" s="37"/>
      <c r="E188" s="37"/>
      <c r="F188" s="37"/>
      <c r="G188" s="37"/>
    </row>
    <row r="189" spans="2:7">
      <c r="B189" s="37" t="s">
        <v>307</v>
      </c>
      <c r="C189" s="37"/>
      <c r="D189" s="37"/>
      <c r="E189" s="37"/>
      <c r="F189" s="37"/>
      <c r="G189" s="37"/>
    </row>
    <row r="190" spans="2:7">
      <c r="B190" s="37" t="s">
        <v>308</v>
      </c>
      <c r="C190" s="37"/>
      <c r="D190" s="37"/>
      <c r="E190" s="37"/>
      <c r="F190" s="37"/>
      <c r="G190" s="37"/>
    </row>
    <row r="191" spans="2:7">
      <c r="B191" s="37" t="s">
        <v>309</v>
      </c>
      <c r="C191" s="37"/>
      <c r="D191" s="37"/>
      <c r="E191" s="37"/>
      <c r="F191" s="37"/>
      <c r="G191" s="37"/>
    </row>
    <row r="192" spans="2:7">
      <c r="B192" s="37" t="s">
        <v>310</v>
      </c>
      <c r="C192" s="37"/>
      <c r="D192" s="37"/>
      <c r="E192" s="37"/>
      <c r="F192" s="37"/>
      <c r="G192" s="37"/>
    </row>
    <row r="193" spans="2:7">
      <c r="B193" s="37" t="s">
        <v>311</v>
      </c>
      <c r="C193" s="37"/>
      <c r="D193" s="37"/>
      <c r="E193" s="37"/>
      <c r="F193" s="37"/>
      <c r="G193" s="37"/>
    </row>
    <row r="194" ht="14.75" spans="2:7">
      <c r="B194" s="36" t="s">
        <v>312</v>
      </c>
      <c r="C194" s="36"/>
      <c r="D194" s="36"/>
      <c r="E194" s="36"/>
      <c r="F194" s="36"/>
      <c r="G194" s="36"/>
    </row>
    <row r="195" ht="14.7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tabSelected="1" topLeftCell="A122" workbookViewId="0">
      <selection activeCell="E114" sqref="E114"/>
    </sheetView>
  </sheetViews>
  <sheetFormatPr defaultColWidth="9" defaultRowHeight="14"/>
  <cols>
    <col min="1" max="1" width="17" customWidth="1"/>
    <col min="2" max="2" width="6.90909090909091" customWidth="1"/>
    <col min="3" max="3" width="10.3636363636364" customWidth="1"/>
    <col min="4" max="4" width="10.7272727272727" customWidth="1"/>
    <col min="5" max="5" width="11.3636363636364" customWidth="1"/>
    <col min="6" max="6" width="11.1818181818182" customWidth="1"/>
    <col min="7" max="7" width="16.9090909090909" customWidth="1"/>
    <col min="8" max="17" width="12" customWidth="1"/>
  </cols>
  <sheetData>
    <row r="1" ht="21" spans="1:7">
      <c r="A1" s="1" t="s">
        <v>313</v>
      </c>
    </row>
    <row r="3" ht="15" spans="1:7">
      <c r="A3" s="2" t="s">
        <v>314</v>
      </c>
      <c r="B3" s="3"/>
      <c r="C3" s="3"/>
      <c r="D3" s="3"/>
      <c r="E3" s="4"/>
    </row>
    <row r="4" spans="1:7">
      <c r="A4" s="5" t="s">
        <v>315</v>
      </c>
      <c r="B4" s="5" t="s">
        <v>316</v>
      </c>
      <c r="C4" s="5" t="s">
        <v>317</v>
      </c>
      <c r="D4" s="5" t="s">
        <v>318</v>
      </c>
      <c r="E4" s="5"/>
    </row>
    <row r="5" spans="1:7">
      <c r="A5" s="6" t="s">
        <v>319</v>
      </c>
      <c r="B5" s="6">
        <v>15</v>
      </c>
      <c r="C5" s="6" t="s">
        <v>320</v>
      </c>
      <c r="D5" s="7" t="s">
        <v>321</v>
      </c>
      <c r="E5" s="7"/>
    </row>
    <row r="6" spans="1:7">
      <c r="A6" s="6" t="s">
        <v>322</v>
      </c>
      <c r="B6" s="6">
        <v>5</v>
      </c>
      <c r="C6" s="6" t="s">
        <v>323</v>
      </c>
      <c r="D6" s="7" t="s">
        <v>324</v>
      </c>
      <c r="E6" s="7"/>
    </row>
    <row r="7" spans="1:7">
      <c r="A7" s="6" t="s">
        <v>325</v>
      </c>
      <c r="B7" s="6">
        <v>8</v>
      </c>
      <c r="C7" s="6" t="s">
        <v>326</v>
      </c>
      <c r="D7" s="7" t="s">
        <v>327</v>
      </c>
      <c r="E7" s="7"/>
    </row>
    <row r="8" spans="1:7">
      <c r="A8" s="6" t="s">
        <v>328</v>
      </c>
      <c r="B8" s="6">
        <v>4.2</v>
      </c>
      <c r="C8" s="6" t="s">
        <v>329</v>
      </c>
      <c r="D8" s="7" t="s">
        <v>330</v>
      </c>
      <c r="E8" s="7"/>
    </row>
    <row r="9" spans="1:7">
      <c r="A9" s="6" t="s">
        <v>331</v>
      </c>
      <c r="B9" s="6">
        <v>0.32</v>
      </c>
      <c r="C9" s="6" t="s">
        <v>332</v>
      </c>
      <c r="D9" s="7" t="s">
        <v>333</v>
      </c>
      <c r="E9" s="7"/>
    </row>
    <row r="10" spans="1:7">
      <c r="A10" s="6" t="s">
        <v>334</v>
      </c>
      <c r="B10" s="6">
        <v>65</v>
      </c>
      <c r="C10" s="6" t="s">
        <v>335</v>
      </c>
      <c r="D10" s="7" t="s">
        <v>336</v>
      </c>
      <c r="E10" s="7"/>
    </row>
    <row r="11" spans="1:7">
      <c r="A11" s="6" t="s">
        <v>337</v>
      </c>
      <c r="B11" s="6">
        <v>45</v>
      </c>
      <c r="C11" s="6" t="s">
        <v>338</v>
      </c>
      <c r="D11" s="7" t="s">
        <v>339</v>
      </c>
      <c r="E11" s="7"/>
    </row>
    <row r="12" spans="1:7">
      <c r="A12" s="6" t="s">
        <v>340</v>
      </c>
      <c r="B12" s="6">
        <v>0.6</v>
      </c>
      <c r="C12" s="6" t="s">
        <v>341</v>
      </c>
      <c r="D12" s="7" t="s">
        <v>342</v>
      </c>
      <c r="E12" s="7"/>
    </row>
    <row r="13" spans="1:7">
      <c r="A13" s="6" t="s">
        <v>343</v>
      </c>
      <c r="B13" s="6">
        <v>300</v>
      </c>
      <c r="C13" s="6" t="s">
        <v>344</v>
      </c>
      <c r="D13" s="7" t="s">
        <v>345</v>
      </c>
      <c r="E13" s="7"/>
    </row>
    <row r="14" spans="1:7">
      <c r="A14" s="6" t="s">
        <v>346</v>
      </c>
      <c r="B14" s="6">
        <v>80</v>
      </c>
      <c r="C14" s="6" t="s">
        <v>347</v>
      </c>
      <c r="D14" s="7" t="s">
        <v>348</v>
      </c>
      <c r="E14" s="7"/>
    </row>
    <row r="16" ht="15" spans="1:7">
      <c r="A16" s="8" t="s">
        <v>349</v>
      </c>
      <c r="B16" s="8"/>
      <c r="C16" s="8"/>
      <c r="D16" s="8"/>
      <c r="E16" s="8"/>
      <c r="F16" s="8"/>
      <c r="G16" s="8"/>
    </row>
    <row r="17" spans="1:6">
      <c r="A17" s="9" t="s">
        <v>350</v>
      </c>
      <c r="B17" s="9" t="s">
        <v>351</v>
      </c>
      <c r="C17" s="9" t="s">
        <v>352</v>
      </c>
      <c r="D17" s="9" t="s">
        <v>353</v>
      </c>
      <c r="E17" s="9" t="s">
        <v>354</v>
      </c>
      <c r="F17" s="9"/>
    </row>
    <row r="18" spans="1:6">
      <c r="A18" s="6" t="s">
        <v>177</v>
      </c>
      <c r="B18" s="6">
        <v>12.3</v>
      </c>
      <c r="C18" s="6">
        <v>8.5</v>
      </c>
      <c r="D18" s="6">
        <v>1.8</v>
      </c>
      <c r="E18" s="6">
        <v>18.7</v>
      </c>
      <c r="F18" s="6"/>
    </row>
    <row r="19" spans="1:6">
      <c r="A19" s="6" t="s">
        <v>181</v>
      </c>
      <c r="B19" s="6">
        <v>9.1</v>
      </c>
      <c r="C19" s="6">
        <v>15.2</v>
      </c>
      <c r="D19" s="6">
        <v>2.3</v>
      </c>
      <c r="E19" s="6">
        <v>22.5</v>
      </c>
      <c r="F19" s="6"/>
    </row>
    <row r="20" spans="1:6">
      <c r="A20" s="6" t="s">
        <v>184</v>
      </c>
      <c r="B20" s="6">
        <v>5.7</v>
      </c>
      <c r="C20" s="6">
        <v>21.8</v>
      </c>
      <c r="D20" s="6">
        <v>1.9</v>
      </c>
      <c r="E20" s="6">
        <v>28.3</v>
      </c>
      <c r="F20" s="6"/>
    </row>
    <row r="21" spans="1:6">
      <c r="A21" s="6" t="s">
        <v>187</v>
      </c>
      <c r="B21" s="6">
        <v>18.9</v>
      </c>
      <c r="C21" s="6">
        <v>12.4</v>
      </c>
      <c r="D21" s="6">
        <v>3.1</v>
      </c>
      <c r="E21" s="6">
        <v>20.1</v>
      </c>
      <c r="F21" s="6"/>
    </row>
    <row r="22" spans="1:6">
      <c r="A22" s="6" t="s">
        <v>190</v>
      </c>
      <c r="B22" s="6">
        <v>22.6</v>
      </c>
      <c r="C22" s="6">
        <v>7.3</v>
      </c>
      <c r="D22" s="6">
        <v>2.1</v>
      </c>
      <c r="E22" s="6">
        <v>25.8</v>
      </c>
      <c r="F22" s="6"/>
    </row>
    <row r="23" spans="1:6">
      <c r="A23" s="6" t="s">
        <v>193</v>
      </c>
      <c r="B23" s="6">
        <v>16.4</v>
      </c>
      <c r="C23" s="6">
        <v>23.5</v>
      </c>
      <c r="D23" s="6">
        <v>3.3</v>
      </c>
      <c r="E23" s="6">
        <v>31.2</v>
      </c>
      <c r="F23" s="6"/>
    </row>
    <row r="24" spans="1:6">
      <c r="A24" s="6" t="s">
        <v>196</v>
      </c>
      <c r="B24" s="6">
        <v>7.2</v>
      </c>
      <c r="C24" s="6">
        <v>10.9</v>
      </c>
      <c r="D24" s="6">
        <v>2.3</v>
      </c>
      <c r="E24" s="6">
        <v>15.6</v>
      </c>
      <c r="F24" s="6"/>
    </row>
    <row r="25" spans="1:6">
      <c r="A25" s="6" t="s">
        <v>199</v>
      </c>
      <c r="B25" s="6">
        <v>25.3</v>
      </c>
      <c r="C25" s="6">
        <v>18.7</v>
      </c>
      <c r="D25" s="6">
        <v>1.6</v>
      </c>
      <c r="E25" s="6">
        <v>33.7</v>
      </c>
      <c r="F25" s="6"/>
    </row>
    <row r="26" spans="1:6">
      <c r="A26" s="6" t="s">
        <v>202</v>
      </c>
      <c r="B26" s="6">
        <v>11.8</v>
      </c>
      <c r="C26" s="6">
        <v>3.6</v>
      </c>
      <c r="D26" s="6">
        <v>2.5</v>
      </c>
      <c r="E26" s="6">
        <v>14.2</v>
      </c>
      <c r="F26" s="6"/>
    </row>
    <row r="27" spans="1:6">
      <c r="A27" s="6" t="s">
        <v>205</v>
      </c>
      <c r="B27" s="6">
        <v>19.7</v>
      </c>
      <c r="C27" s="6">
        <v>27.4</v>
      </c>
      <c r="D27" s="6">
        <v>2.6</v>
      </c>
      <c r="E27" s="6">
        <v>35.9</v>
      </c>
      <c r="F27" s="6"/>
    </row>
    <row r="28" spans="1:6">
      <c r="A28" s="6" t="s">
        <v>208</v>
      </c>
      <c r="B28" s="6">
        <v>4.3</v>
      </c>
      <c r="C28" s="6">
        <v>17.5</v>
      </c>
      <c r="D28" s="6">
        <v>2.5</v>
      </c>
      <c r="E28" s="6">
        <v>24.6</v>
      </c>
      <c r="F28" s="6"/>
    </row>
    <row r="29" spans="1:6">
      <c r="A29" s="6" t="s">
        <v>211</v>
      </c>
      <c r="B29" s="6">
        <v>23.1</v>
      </c>
      <c r="C29" s="6">
        <v>13.9</v>
      </c>
      <c r="D29" s="6">
        <v>3.6</v>
      </c>
      <c r="E29" s="6">
        <v>29.4</v>
      </c>
      <c r="F29" s="6"/>
    </row>
    <row r="30" spans="1:6">
      <c r="A30" s="6" t="s">
        <v>214</v>
      </c>
      <c r="B30" s="6">
        <v>8.9</v>
      </c>
      <c r="C30" s="6">
        <v>25.2</v>
      </c>
      <c r="D30" s="6">
        <v>2.4</v>
      </c>
      <c r="E30" s="6">
        <v>32.8</v>
      </c>
      <c r="F30" s="6"/>
    </row>
    <row r="31" spans="1:6">
      <c r="A31" s="6" t="s">
        <v>218</v>
      </c>
      <c r="B31" s="6">
        <v>15.6</v>
      </c>
      <c r="C31" s="6">
        <v>5.8</v>
      </c>
      <c r="D31" s="6">
        <v>2</v>
      </c>
      <c r="E31" s="6">
        <v>17.9</v>
      </c>
      <c r="F31" s="6"/>
    </row>
    <row r="32" spans="1:6">
      <c r="A32" s="6" t="s">
        <v>221</v>
      </c>
      <c r="B32" s="6">
        <v>21.4</v>
      </c>
      <c r="C32" s="6">
        <v>22.3</v>
      </c>
      <c r="D32" s="6">
        <v>2.9</v>
      </c>
      <c r="E32" s="6">
        <v>34.5</v>
      </c>
      <c r="F32" s="6"/>
    </row>
    <row r="35" ht="15" spans="1:17">
      <c r="A35" s="10" t="s">
        <v>355</v>
      </c>
      <c r="B35" s="10"/>
    </row>
    <row r="36" spans="1:17">
      <c r="A36" s="11"/>
      <c r="B36" s="11" t="s">
        <v>356</v>
      </c>
      <c r="C36" s="11" t="s">
        <v>177</v>
      </c>
      <c r="D36" s="11" t="s">
        <v>181</v>
      </c>
      <c r="E36" s="11" t="s">
        <v>184</v>
      </c>
      <c r="F36" s="11" t="s">
        <v>187</v>
      </c>
      <c r="G36" s="11" t="s">
        <v>190</v>
      </c>
      <c r="H36" s="11" t="s">
        <v>193</v>
      </c>
      <c r="I36" s="11" t="s">
        <v>196</v>
      </c>
      <c r="J36" s="11" t="s">
        <v>199</v>
      </c>
      <c r="K36" s="11" t="s">
        <v>202</v>
      </c>
      <c r="L36" s="11" t="s">
        <v>205</v>
      </c>
      <c r="M36" s="11" t="s">
        <v>208</v>
      </c>
      <c r="N36" s="11" t="s">
        <v>211</v>
      </c>
      <c r="O36" s="11" t="s">
        <v>214</v>
      </c>
      <c r="P36" s="11" t="s">
        <v>218</v>
      </c>
      <c r="Q36" s="11" t="s">
        <v>221</v>
      </c>
    </row>
    <row r="37" spans="1:17">
      <c r="A37" s="11" t="s">
        <v>356</v>
      </c>
      <c r="B37" s="6">
        <v>0</v>
      </c>
      <c r="C37" s="6">
        <v>18.7</v>
      </c>
      <c r="D37" s="6">
        <v>22.5</v>
      </c>
      <c r="E37" s="6">
        <v>28.3</v>
      </c>
      <c r="F37" s="6">
        <v>20.1</v>
      </c>
      <c r="G37" s="6">
        <v>25.8</v>
      </c>
      <c r="H37" s="6">
        <v>31.2</v>
      </c>
      <c r="I37" s="6">
        <v>15.6</v>
      </c>
      <c r="J37" s="6">
        <v>33.7</v>
      </c>
      <c r="K37" s="6">
        <v>14.2</v>
      </c>
      <c r="L37" s="6">
        <v>35.9</v>
      </c>
      <c r="M37" s="6">
        <v>24.6</v>
      </c>
      <c r="N37" s="6">
        <v>29.4</v>
      </c>
      <c r="O37" s="6">
        <v>32.8</v>
      </c>
      <c r="P37" s="6">
        <v>17.9</v>
      </c>
      <c r="Q37" s="6">
        <v>34.5</v>
      </c>
    </row>
    <row r="38" spans="1:17">
      <c r="A38" s="11" t="s">
        <v>177</v>
      </c>
      <c r="B38" s="6">
        <v>18.7</v>
      </c>
      <c r="C38" s="6">
        <v>0</v>
      </c>
      <c r="D38" s="6">
        <v>8.9</v>
      </c>
      <c r="E38" s="6">
        <v>15.3</v>
      </c>
      <c r="F38" s="6">
        <v>7.2</v>
      </c>
      <c r="G38" s="6">
        <v>13.6</v>
      </c>
      <c r="H38" s="6">
        <v>19.8</v>
      </c>
      <c r="I38" s="6">
        <v>6.5</v>
      </c>
      <c r="J38" s="6">
        <v>21.4</v>
      </c>
      <c r="K38" s="6">
        <v>10.3</v>
      </c>
      <c r="L38" s="6">
        <v>23.7</v>
      </c>
      <c r="M38" s="6">
        <v>12.8</v>
      </c>
      <c r="N38" s="6">
        <v>17.5</v>
      </c>
      <c r="O38" s="6">
        <v>21.2</v>
      </c>
      <c r="P38" s="6">
        <v>9.4</v>
      </c>
      <c r="Q38" s="6">
        <v>22.6</v>
      </c>
    </row>
    <row r="39" spans="1:17">
      <c r="A39" s="11" t="s">
        <v>181</v>
      </c>
      <c r="B39" s="6">
        <v>22.5</v>
      </c>
      <c r="C39" s="6">
        <v>8.9</v>
      </c>
      <c r="D39" s="6">
        <v>0</v>
      </c>
      <c r="E39" s="6">
        <v>7.6</v>
      </c>
      <c r="F39" s="6">
        <v>10.4</v>
      </c>
      <c r="G39" s="6">
        <v>18.2</v>
      </c>
      <c r="H39" s="6">
        <v>12.3</v>
      </c>
      <c r="I39" s="6">
        <v>9.8</v>
      </c>
      <c r="J39" s="6">
        <v>15.7</v>
      </c>
      <c r="K39" s="6">
        <v>17.9</v>
      </c>
      <c r="L39" s="6">
        <v>18.5</v>
      </c>
      <c r="M39" s="6">
        <v>6.9</v>
      </c>
      <c r="N39" s="6">
        <v>11.3</v>
      </c>
      <c r="O39" s="6">
        <v>8.7</v>
      </c>
      <c r="P39" s="6">
        <v>16.2</v>
      </c>
      <c r="Q39" s="6">
        <v>14.8</v>
      </c>
    </row>
    <row r="40" spans="1:17">
      <c r="A40" s="11" t="s">
        <v>184</v>
      </c>
      <c r="B40" s="6">
        <v>28.3</v>
      </c>
      <c r="C40" s="6">
        <v>15.3</v>
      </c>
      <c r="D40" s="6">
        <v>7.6</v>
      </c>
      <c r="E40" s="6">
        <v>0</v>
      </c>
      <c r="F40" s="6">
        <v>21.8</v>
      </c>
      <c r="G40" s="6">
        <v>25.4</v>
      </c>
      <c r="H40" s="6">
        <v>6.9</v>
      </c>
      <c r="I40" s="6">
        <v>17.2</v>
      </c>
      <c r="J40" s="6">
        <v>12.5</v>
      </c>
      <c r="K40" s="6">
        <v>24.1</v>
      </c>
      <c r="L40" s="6">
        <v>10.3</v>
      </c>
      <c r="M40" s="6">
        <v>5.8</v>
      </c>
      <c r="N40" s="6">
        <v>18.6</v>
      </c>
      <c r="O40" s="6">
        <v>4.2</v>
      </c>
      <c r="P40" s="6">
        <v>22.7</v>
      </c>
      <c r="Q40" s="6">
        <v>9.6</v>
      </c>
    </row>
    <row r="41" spans="1:17">
      <c r="A41" s="11" t="s">
        <v>187</v>
      </c>
      <c r="B41" s="6">
        <v>20.1</v>
      </c>
      <c r="C41" s="6">
        <v>7.2</v>
      </c>
      <c r="D41" s="6">
        <v>10.4</v>
      </c>
      <c r="E41" s="6">
        <v>21.8</v>
      </c>
      <c r="F41" s="6">
        <v>0</v>
      </c>
      <c r="G41" s="6">
        <v>8.5</v>
      </c>
      <c r="H41" s="6">
        <v>23.1</v>
      </c>
      <c r="I41" s="6">
        <v>11.7</v>
      </c>
      <c r="J41" s="6">
        <v>19.2</v>
      </c>
      <c r="K41" s="6">
        <v>8.6</v>
      </c>
      <c r="L41" s="6">
        <v>27.4</v>
      </c>
      <c r="M41" s="6">
        <v>18.3</v>
      </c>
      <c r="N41" s="6">
        <v>12.6</v>
      </c>
      <c r="O41" s="6">
        <v>25.8</v>
      </c>
      <c r="P41" s="6">
        <v>7.9</v>
      </c>
      <c r="Q41" s="6">
        <v>24.3</v>
      </c>
    </row>
    <row r="42" spans="1:17">
      <c r="A42" s="11" t="s">
        <v>190</v>
      </c>
      <c r="B42" s="6">
        <v>25.8</v>
      </c>
      <c r="C42" s="6">
        <v>13.6</v>
      </c>
      <c r="D42" s="6">
        <v>18.2</v>
      </c>
      <c r="E42" s="6">
        <v>25.4</v>
      </c>
      <c r="F42" s="6">
        <v>8.5</v>
      </c>
      <c r="G42" s="6">
        <v>0</v>
      </c>
      <c r="H42" s="6">
        <v>30.2</v>
      </c>
      <c r="I42" s="6">
        <v>19.4</v>
      </c>
      <c r="J42" s="6">
        <v>14.3</v>
      </c>
      <c r="K42" s="6">
        <v>12.7</v>
      </c>
      <c r="L42" s="6">
        <v>31.8</v>
      </c>
      <c r="M42" s="6">
        <v>24.1</v>
      </c>
      <c r="N42" s="6">
        <v>7.8</v>
      </c>
      <c r="O42" s="6">
        <v>29.5</v>
      </c>
      <c r="P42" s="6">
        <v>11.5</v>
      </c>
      <c r="Q42" s="6">
        <v>28.7</v>
      </c>
    </row>
    <row r="43" spans="1:17">
      <c r="A43" s="11" t="s">
        <v>193</v>
      </c>
      <c r="B43" s="6">
        <v>31.2</v>
      </c>
      <c r="C43" s="6">
        <v>19.8</v>
      </c>
      <c r="D43" s="6">
        <v>12.3</v>
      </c>
      <c r="E43" s="6">
        <v>6.9</v>
      </c>
      <c r="F43" s="6">
        <v>23.1</v>
      </c>
      <c r="G43" s="6">
        <v>30.2</v>
      </c>
      <c r="H43" s="6">
        <v>0</v>
      </c>
      <c r="I43" s="6">
        <v>23.7</v>
      </c>
      <c r="J43" s="6">
        <v>8.6</v>
      </c>
      <c r="K43" s="6">
        <v>29.4</v>
      </c>
      <c r="L43" s="6">
        <v>15.8</v>
      </c>
      <c r="M43" s="6">
        <v>11.2</v>
      </c>
      <c r="N43" s="6">
        <v>24.5</v>
      </c>
      <c r="O43" s="6">
        <v>7.3</v>
      </c>
      <c r="P43" s="6">
        <v>27.9</v>
      </c>
      <c r="Q43" s="6">
        <v>12.4</v>
      </c>
    </row>
    <row r="44" spans="1:17">
      <c r="A44" s="11" t="s">
        <v>196</v>
      </c>
      <c r="B44" s="6">
        <v>15.6</v>
      </c>
      <c r="C44" s="6">
        <v>6.5</v>
      </c>
      <c r="D44" s="6">
        <v>9.8</v>
      </c>
      <c r="E44" s="6">
        <v>17.2</v>
      </c>
      <c r="F44" s="6">
        <v>11.7</v>
      </c>
      <c r="G44" s="6">
        <v>19.4</v>
      </c>
      <c r="H44" s="6">
        <v>23.7</v>
      </c>
      <c r="I44" s="6">
        <v>0</v>
      </c>
      <c r="J44" s="6">
        <v>25.8</v>
      </c>
      <c r="K44" s="6">
        <v>8.2</v>
      </c>
      <c r="L44" s="6">
        <v>28.3</v>
      </c>
      <c r="M44" s="6">
        <v>15.4</v>
      </c>
      <c r="N44" s="6">
        <v>20.1</v>
      </c>
      <c r="O44" s="6">
        <v>23.5</v>
      </c>
      <c r="P44" s="6">
        <v>7.8</v>
      </c>
      <c r="Q44" s="6">
        <v>26.4</v>
      </c>
    </row>
    <row r="45" spans="1:17">
      <c r="A45" s="11" t="s">
        <v>199</v>
      </c>
      <c r="B45" s="6">
        <v>33.7</v>
      </c>
      <c r="C45" s="6">
        <v>21.4</v>
      </c>
      <c r="D45" s="6">
        <v>15.7</v>
      </c>
      <c r="E45" s="6">
        <v>12.5</v>
      </c>
      <c r="F45" s="6">
        <v>19.2</v>
      </c>
      <c r="G45" s="6">
        <v>14.3</v>
      </c>
      <c r="H45" s="6">
        <v>8.6</v>
      </c>
      <c r="I45" s="6">
        <v>25.8</v>
      </c>
      <c r="J45" s="6">
        <v>0</v>
      </c>
      <c r="K45" s="6">
        <v>27.5</v>
      </c>
      <c r="L45" s="6">
        <v>19.4</v>
      </c>
      <c r="M45" s="6">
        <v>18.7</v>
      </c>
      <c r="N45" s="6">
        <v>12.9</v>
      </c>
      <c r="O45" s="6">
        <v>16.8</v>
      </c>
      <c r="P45" s="6">
        <v>25.3</v>
      </c>
      <c r="Q45" s="6">
        <v>7.2</v>
      </c>
    </row>
    <row r="46" spans="1:17">
      <c r="A46" s="11" t="s">
        <v>202</v>
      </c>
      <c r="B46" s="6">
        <v>14.2</v>
      </c>
      <c r="C46" s="6">
        <v>10.3</v>
      </c>
      <c r="D46" s="6">
        <v>17.9</v>
      </c>
      <c r="E46" s="6">
        <v>24.1</v>
      </c>
      <c r="F46" s="6">
        <v>8.6</v>
      </c>
      <c r="G46" s="6">
        <v>12.7</v>
      </c>
      <c r="H46" s="6">
        <v>29.4</v>
      </c>
      <c r="I46" s="6">
        <v>8.2</v>
      </c>
      <c r="J46" s="6">
        <v>27.5</v>
      </c>
      <c r="K46" s="6">
        <v>0</v>
      </c>
      <c r="L46" s="6">
        <v>32.1</v>
      </c>
      <c r="M46" s="6">
        <v>20.5</v>
      </c>
      <c r="N46" s="6">
        <v>16.8</v>
      </c>
      <c r="O46" s="6">
        <v>28.3</v>
      </c>
      <c r="P46" s="6">
        <v>5.6</v>
      </c>
      <c r="Q46" s="6">
        <v>30.2</v>
      </c>
    </row>
    <row r="47" spans="1:17">
      <c r="A47" s="11" t="s">
        <v>205</v>
      </c>
      <c r="B47" s="6">
        <v>35.9</v>
      </c>
      <c r="C47" s="6">
        <v>23.7</v>
      </c>
      <c r="D47" s="6">
        <v>18.5</v>
      </c>
      <c r="E47" s="6">
        <v>10.3</v>
      </c>
      <c r="F47" s="6">
        <v>27.4</v>
      </c>
      <c r="G47" s="6">
        <v>31.8</v>
      </c>
      <c r="H47" s="6">
        <v>15.8</v>
      </c>
      <c r="I47" s="6">
        <v>28.3</v>
      </c>
      <c r="J47" s="6">
        <v>19.4</v>
      </c>
      <c r="K47" s="6">
        <v>32.1</v>
      </c>
      <c r="L47" s="6">
        <v>0</v>
      </c>
      <c r="M47" s="6">
        <v>13.6</v>
      </c>
      <c r="N47" s="6">
        <v>25.9</v>
      </c>
      <c r="O47" s="6">
        <v>12.4</v>
      </c>
      <c r="P47" s="6">
        <v>30.7</v>
      </c>
      <c r="Q47" s="6">
        <v>8.5</v>
      </c>
    </row>
    <row r="48" spans="1:17">
      <c r="A48" s="11" t="s">
        <v>208</v>
      </c>
      <c r="B48" s="6">
        <v>24.6</v>
      </c>
      <c r="C48" s="6">
        <v>12.8</v>
      </c>
      <c r="D48" s="6">
        <v>6.9</v>
      </c>
      <c r="E48" s="6">
        <v>5.8</v>
      </c>
      <c r="F48" s="6">
        <v>18.3</v>
      </c>
      <c r="G48" s="6">
        <v>24.1</v>
      </c>
      <c r="H48" s="6">
        <v>11.2</v>
      </c>
      <c r="I48" s="6">
        <v>15.4</v>
      </c>
      <c r="J48" s="6">
        <v>18.7</v>
      </c>
      <c r="K48" s="6">
        <v>20.5</v>
      </c>
      <c r="L48" s="6">
        <v>13.6</v>
      </c>
      <c r="M48" s="6">
        <v>0</v>
      </c>
      <c r="N48" s="6">
        <v>17.2</v>
      </c>
      <c r="O48" s="6">
        <v>6.3</v>
      </c>
      <c r="P48" s="6">
        <v>19.8</v>
      </c>
      <c r="Q48" s="6">
        <v>12.1</v>
      </c>
    </row>
    <row r="49" spans="1:17">
      <c r="A49" s="11" t="s">
        <v>211</v>
      </c>
      <c r="B49" s="6">
        <v>29.4</v>
      </c>
      <c r="C49" s="6">
        <v>17.5</v>
      </c>
      <c r="D49" s="6">
        <v>11.3</v>
      </c>
      <c r="E49" s="6">
        <v>18.6</v>
      </c>
      <c r="F49" s="6">
        <v>12.6</v>
      </c>
      <c r="G49" s="6">
        <v>7.8</v>
      </c>
      <c r="H49" s="6">
        <v>24.5</v>
      </c>
      <c r="I49" s="6">
        <v>20.1</v>
      </c>
      <c r="J49" s="6">
        <v>12.9</v>
      </c>
      <c r="K49" s="6">
        <v>16.8</v>
      </c>
      <c r="L49" s="6">
        <v>25.9</v>
      </c>
      <c r="M49" s="6">
        <v>17.2</v>
      </c>
      <c r="N49" s="6">
        <v>0</v>
      </c>
      <c r="O49" s="6">
        <v>21.4</v>
      </c>
      <c r="P49" s="6">
        <v>15.3</v>
      </c>
      <c r="Q49" s="6">
        <v>23.6</v>
      </c>
    </row>
    <row r="50" spans="1:17">
      <c r="A50" s="11" t="s">
        <v>214</v>
      </c>
      <c r="B50" s="6">
        <v>32.8</v>
      </c>
      <c r="C50" s="6">
        <v>21.2</v>
      </c>
      <c r="D50" s="6">
        <v>8.7</v>
      </c>
      <c r="E50" s="6">
        <v>4.2</v>
      </c>
      <c r="F50" s="6">
        <v>25.8</v>
      </c>
      <c r="G50" s="6">
        <v>29.5</v>
      </c>
      <c r="H50" s="6">
        <v>7.3</v>
      </c>
      <c r="I50" s="6">
        <v>23.5</v>
      </c>
      <c r="J50" s="6">
        <v>16.8</v>
      </c>
      <c r="K50" s="6">
        <v>28.3</v>
      </c>
      <c r="L50" s="6">
        <v>12.4</v>
      </c>
      <c r="M50" s="6">
        <v>6.3</v>
      </c>
      <c r="N50" s="6">
        <v>21.4</v>
      </c>
      <c r="O50" s="6">
        <v>0</v>
      </c>
      <c r="P50" s="6">
        <v>26.9</v>
      </c>
      <c r="Q50" s="6">
        <v>10.8</v>
      </c>
    </row>
    <row r="51" spans="1:17">
      <c r="A51" s="11" t="s">
        <v>218</v>
      </c>
      <c r="B51" s="6">
        <v>17.9</v>
      </c>
      <c r="C51" s="6">
        <v>9.4</v>
      </c>
      <c r="D51" s="6">
        <v>16.2</v>
      </c>
      <c r="E51" s="6">
        <v>22.7</v>
      </c>
      <c r="F51" s="6">
        <v>7.9</v>
      </c>
      <c r="G51" s="6">
        <v>11.5</v>
      </c>
      <c r="H51" s="6">
        <v>27.9</v>
      </c>
      <c r="I51" s="6">
        <v>7.8</v>
      </c>
      <c r="J51" s="6">
        <v>25.3</v>
      </c>
      <c r="K51" s="6">
        <v>5.6</v>
      </c>
      <c r="L51" s="6">
        <v>30.7</v>
      </c>
      <c r="M51" s="6">
        <v>19.8</v>
      </c>
      <c r="N51" s="6">
        <v>15.3</v>
      </c>
      <c r="O51" s="6">
        <v>26.9</v>
      </c>
      <c r="P51" s="6">
        <v>0</v>
      </c>
      <c r="Q51" s="6">
        <v>28.5</v>
      </c>
    </row>
    <row r="52" spans="1:17">
      <c r="A52" s="11" t="s">
        <v>221</v>
      </c>
      <c r="B52" s="6">
        <v>34.5</v>
      </c>
      <c r="C52" s="6">
        <v>22.6</v>
      </c>
      <c r="D52" s="6">
        <v>14.8</v>
      </c>
      <c r="E52" s="6">
        <v>9.6</v>
      </c>
      <c r="F52" s="6">
        <v>24.3</v>
      </c>
      <c r="G52" s="6">
        <v>28.7</v>
      </c>
      <c r="H52" s="6">
        <v>12.4</v>
      </c>
      <c r="I52" s="6">
        <v>26.4</v>
      </c>
      <c r="J52" s="6">
        <v>7.2</v>
      </c>
      <c r="K52" s="6">
        <v>30.2</v>
      </c>
      <c r="L52" s="6">
        <v>8.5</v>
      </c>
      <c r="M52" s="6">
        <v>12.1</v>
      </c>
      <c r="N52" s="6">
        <v>23.6</v>
      </c>
      <c r="O52" s="6">
        <v>10.8</v>
      </c>
      <c r="P52" s="6">
        <v>28.5</v>
      </c>
      <c r="Q52" s="6">
        <v>0</v>
      </c>
    </row>
    <row r="55" ht="15" spans="1:17">
      <c r="A55" s="12" t="s">
        <v>357</v>
      </c>
    </row>
    <row r="56" spans="1:17">
      <c r="A56" s="13" t="s">
        <v>358</v>
      </c>
      <c r="B56" s="13"/>
      <c r="C56" s="13"/>
    </row>
    <row r="57" spans="1:17">
      <c r="A57" s="14"/>
      <c r="B57" s="14" t="s">
        <v>177</v>
      </c>
      <c r="C57" s="14" t="s">
        <v>181</v>
      </c>
      <c r="D57" s="14" t="s">
        <v>184</v>
      </c>
      <c r="E57" s="14" t="s">
        <v>187</v>
      </c>
      <c r="F57" s="14" t="s">
        <v>190</v>
      </c>
      <c r="G57" s="14" t="s">
        <v>193</v>
      </c>
      <c r="H57" s="14" t="s">
        <v>196</v>
      </c>
      <c r="I57" s="14" t="s">
        <v>199</v>
      </c>
      <c r="J57" s="14" t="s">
        <v>202</v>
      </c>
      <c r="K57" s="14" t="s">
        <v>205</v>
      </c>
      <c r="L57" s="14" t="s">
        <v>208</v>
      </c>
      <c r="M57" s="14" t="s">
        <v>211</v>
      </c>
      <c r="N57" s="14" t="s">
        <v>214</v>
      </c>
      <c r="O57" s="14" t="s">
        <v>218</v>
      </c>
      <c r="P57" s="14" t="s">
        <v>221</v>
      </c>
    </row>
    <row r="58" spans="1:17">
      <c r="A58" s="14" t="s">
        <v>359</v>
      </c>
      <c r="B58" s="15">
        <v>1</v>
      </c>
      <c r="C58" s="15">
        <v>0</v>
      </c>
      <c r="D58" s="15">
        <v>1</v>
      </c>
      <c r="E58" s="15">
        <v>0</v>
      </c>
      <c r="F58" s="15">
        <v>0</v>
      </c>
      <c r="G58" s="15">
        <v>0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0</v>
      </c>
    </row>
    <row r="59" spans="1:17">
      <c r="A59" s="14" t="s">
        <v>360</v>
      </c>
      <c r="B59" s="15">
        <v>0</v>
      </c>
      <c r="C59" s="15">
        <v>1</v>
      </c>
      <c r="D59" s="15">
        <v>0</v>
      </c>
      <c r="E59" s="15">
        <v>1</v>
      </c>
      <c r="F59" s="15">
        <v>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</row>
    <row r="60" spans="1:17">
      <c r="A60" s="14" t="s">
        <v>361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>
        <v>1</v>
      </c>
      <c r="M60" s="15">
        <v>0</v>
      </c>
      <c r="N60" s="15">
        <v>1</v>
      </c>
      <c r="O60" s="15">
        <v>0</v>
      </c>
      <c r="P60" s="15">
        <v>0</v>
      </c>
    </row>
    <row r="61" spans="1:17">
      <c r="A61" s="14" t="s">
        <v>362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1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</row>
    <row r="62" spans="1:17">
      <c r="A62" s="14" t="s">
        <v>363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1</v>
      </c>
      <c r="N62" s="15">
        <v>0</v>
      </c>
      <c r="O62" s="15">
        <v>0</v>
      </c>
      <c r="P62" s="15">
        <v>0</v>
      </c>
    </row>
    <row r="63" spans="1:17">
      <c r="A63" s="14" t="s">
        <v>364</v>
      </c>
      <c r="B63" s="15">
        <f>SUM(B58:B62)</f>
        <v>1</v>
      </c>
      <c r="C63" s="15">
        <f t="shared" ref="C63:P63" si="0">SUM(C58:C62)</f>
        <v>1</v>
      </c>
      <c r="D63" s="15">
        <f t="shared" si="0"/>
        <v>1</v>
      </c>
      <c r="E63" s="15">
        <f t="shared" si="0"/>
        <v>1</v>
      </c>
      <c r="F63" s="15">
        <f t="shared" si="0"/>
        <v>1</v>
      </c>
      <c r="G63" s="15">
        <f t="shared" si="0"/>
        <v>1</v>
      </c>
      <c r="H63" s="15">
        <f t="shared" si="0"/>
        <v>1</v>
      </c>
      <c r="I63" s="15">
        <f t="shared" si="0"/>
        <v>1</v>
      </c>
      <c r="J63" s="15">
        <f t="shared" si="0"/>
        <v>1</v>
      </c>
      <c r="K63" s="15">
        <f t="shared" si="0"/>
        <v>1</v>
      </c>
      <c r="L63" s="15">
        <f t="shared" si="0"/>
        <v>1</v>
      </c>
      <c r="M63" s="15">
        <f t="shared" si="0"/>
        <v>1</v>
      </c>
      <c r="N63" s="15">
        <f t="shared" si="0"/>
        <v>1</v>
      </c>
      <c r="O63" s="15">
        <f t="shared" si="0"/>
        <v>1</v>
      </c>
      <c r="P63" s="15">
        <f t="shared" si="0"/>
        <v>1</v>
      </c>
      <c r="Q63">
        <f>SUM(B63:P63)</f>
        <v>15</v>
      </c>
    </row>
    <row r="65" spans="1:16">
      <c r="A65" s="13" t="s">
        <v>365</v>
      </c>
      <c r="B65" s="13"/>
      <c r="C65" s="13"/>
    </row>
    <row r="67" ht="15" spans="1:16">
      <c r="A67" s="12" t="s">
        <v>366</v>
      </c>
    </row>
    <row r="69" spans="1:16">
      <c r="A69" t="s">
        <v>367</v>
      </c>
    </row>
    <row r="70" spans="1:1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>
      <c r="A73" s="13" t="s">
        <v>368</v>
      </c>
      <c r="B73" s="16"/>
      <c r="C73" s="16"/>
    </row>
    <row r="74" spans="1:16">
      <c r="A74" s="16" t="s">
        <v>369</v>
      </c>
      <c r="B74" s="16" t="s">
        <v>370</v>
      </c>
      <c r="C74" s="16" t="s">
        <v>371</v>
      </c>
    </row>
    <row r="75" spans="1:16">
      <c r="A75" s="16" t="s">
        <v>359</v>
      </c>
      <c r="B75" s="16" cm="1">
        <f t="array" ref="B75">MMULT(VALUE(B58:P58),VALUE($D$18:$D$32))</f>
        <v>7.3</v>
      </c>
      <c r="C75" s="16">
        <v>8</v>
      </c>
      <c r="D75">
        <f>IF(B75&gt;0,1)</f>
        <v>1</v>
      </c>
    </row>
    <row r="76" spans="1:16">
      <c r="A76" s="16" t="s">
        <v>360</v>
      </c>
      <c r="B76" s="16" cm="1">
        <f t="array" ref="B76">MMULT(VALUE(B59:P59),VALUE($D$18:$D$32))</f>
        <v>7.5</v>
      </c>
      <c r="C76" s="16">
        <v>8</v>
      </c>
      <c r="D76">
        <f t="shared" ref="D76:D79" si="1">IF(B76&gt;0,1)</f>
        <v>1</v>
      </c>
    </row>
    <row r="77" spans="1:16">
      <c r="A77" s="16" t="s">
        <v>361</v>
      </c>
      <c r="B77" s="16" cm="1">
        <f t="array" ref="B77">MMULT(VALUE(B60:P60),VALUE($D$18:$D$32))</f>
        <v>7.2</v>
      </c>
      <c r="C77" s="16">
        <v>8</v>
      </c>
      <c r="D77">
        <f t="shared" si="1"/>
        <v>1</v>
      </c>
    </row>
    <row r="78" spans="1:16">
      <c r="A78" s="16" t="s">
        <v>362</v>
      </c>
      <c r="B78" s="16" cm="1">
        <f t="array" ref="B78">MMULT(VALUE(B61:P61),VALUE($D$18:$D$32))</f>
        <v>8</v>
      </c>
      <c r="C78" s="16">
        <v>8</v>
      </c>
      <c r="D78">
        <f t="shared" si="1"/>
        <v>1</v>
      </c>
    </row>
    <row r="79" spans="1:16">
      <c r="A79" s="16" t="s">
        <v>363</v>
      </c>
      <c r="B79" s="16" cm="1">
        <f t="array" ref="B79">MMULT(VALUE(B62:P62),VALUE($D$18:$D$32))</f>
        <v>6.9</v>
      </c>
      <c r="C79" s="16">
        <v>8</v>
      </c>
      <c r="D79">
        <f t="shared" si="1"/>
        <v>1</v>
      </c>
    </row>
    <row r="82" ht="15" spans="1:9">
      <c r="A82" s="10" t="s">
        <v>372</v>
      </c>
      <c r="B82" s="10"/>
    </row>
    <row r="84" spans="1:9">
      <c r="A84" s="17" t="s">
        <v>373</v>
      </c>
      <c r="B84" s="7"/>
      <c r="C84" s="7"/>
      <c r="D84" s="6"/>
      <c r="E84" s="6"/>
    </row>
    <row r="85" spans="1:9">
      <c r="A85" s="17" t="s">
        <v>374</v>
      </c>
      <c r="B85" s="7" t="s">
        <v>375</v>
      </c>
      <c r="C85" s="7"/>
      <c r="D85" s="6" t="s">
        <v>376</v>
      </c>
      <c r="E85" s="6" t="s">
        <v>317</v>
      </c>
      <c r="H85" s="17" t="s">
        <v>374</v>
      </c>
      <c r="I85" s="6" t="s">
        <v>376</v>
      </c>
    </row>
    <row r="86" spans="1:9">
      <c r="A86" s="18" t="s">
        <v>377</v>
      </c>
      <c r="B86" s="7" t="s">
        <v>378</v>
      </c>
      <c r="C86" s="7"/>
      <c r="D86" s="6">
        <f>D89*0.32</f>
        <v>184.896</v>
      </c>
      <c r="E86" s="6" t="s">
        <v>379</v>
      </c>
      <c r="H86" s="18" t="s">
        <v>377</v>
      </c>
      <c r="I86" s="6">
        <v>184.896</v>
      </c>
    </row>
    <row r="87" spans="1:9">
      <c r="A87" s="18" t="s">
        <v>380</v>
      </c>
      <c r="B87" s="7" t="s">
        <v>381</v>
      </c>
      <c r="C87" s="7"/>
      <c r="D87" s="6">
        <f>D89*4.2</f>
        <v>2426.76</v>
      </c>
      <c r="E87" s="6" t="s">
        <v>382</v>
      </c>
      <c r="H87" s="18" t="s">
        <v>380</v>
      </c>
      <c r="I87" s="6">
        <v>2426.76</v>
      </c>
    </row>
    <row r="88" spans="1:9">
      <c r="A88" s="18" t="s">
        <v>383</v>
      </c>
      <c r="B88" s="19" t="s">
        <v>384</v>
      </c>
      <c r="C88" s="7"/>
      <c r="D88" s="6">
        <f>D89*0.32*65/1000</f>
        <v>12.01824</v>
      </c>
      <c r="E88" s="6" t="s">
        <v>382</v>
      </c>
      <c r="H88" s="18" t="s">
        <v>383</v>
      </c>
      <c r="I88" s="6">
        <v>12.01824</v>
      </c>
    </row>
    <row r="89" spans="1:9">
      <c r="A89" s="18" t="s">
        <v>385</v>
      </c>
      <c r="B89" s="7" t="s">
        <v>386</v>
      </c>
      <c r="C89" s="7"/>
      <c r="D89" s="6">
        <f>SUM(B128,B131,B134,B137,B140)</f>
        <v>577.8</v>
      </c>
      <c r="E89" s="6" t="s">
        <v>344</v>
      </c>
      <c r="H89" s="18" t="s">
        <v>385</v>
      </c>
      <c r="I89" s="6">
        <v>577.8</v>
      </c>
    </row>
    <row r="90" spans="1:9">
      <c r="A90" s="20" t="s">
        <v>387</v>
      </c>
      <c r="B90" s="21" t="s">
        <v>388</v>
      </c>
      <c r="C90" s="22"/>
      <c r="D90" s="23">
        <f>D87*0.5+D88*0.5</f>
        <v>1219.38912</v>
      </c>
      <c r="E90" s="24" t="s">
        <v>382</v>
      </c>
      <c r="H90" s="20" t="s">
        <v>387</v>
      </c>
      <c r="I90" s="23">
        <v>1219.38912</v>
      </c>
    </row>
    <row r="91" customHeight="1" spans="1:9">
      <c r="A91" s="20"/>
      <c r="B91" s="22"/>
      <c r="C91" s="22"/>
      <c r="D91" s="23"/>
      <c r="E91" s="24"/>
      <c r="H91" s="20"/>
      <c r="I91" s="23"/>
    </row>
    <row r="93" ht="15" spans="1:9">
      <c r="A93" s="10" t="s">
        <v>389</v>
      </c>
      <c r="B93" s="10"/>
    </row>
    <row r="95" spans="1:9">
      <c r="A95" s="24" t="s">
        <v>390</v>
      </c>
      <c r="B95" s="25" t="s">
        <v>391</v>
      </c>
      <c r="C95" s="25"/>
      <c r="D95" s="25"/>
      <c r="E95" s="25"/>
      <c r="F95" s="24" t="s">
        <v>392</v>
      </c>
      <c r="G95" s="24" t="s">
        <v>370</v>
      </c>
      <c r="H95" s="24" t="s">
        <v>393</v>
      </c>
    </row>
    <row r="96" spans="1:9">
      <c r="A96" s="24" t="s">
        <v>359</v>
      </c>
      <c r="B96" s="25" t="s">
        <v>394</v>
      </c>
      <c r="C96" s="25"/>
      <c r="D96" s="25"/>
      <c r="E96" s="25"/>
      <c r="F96" s="24">
        <f>B128</f>
        <v>147.9</v>
      </c>
      <c r="G96" s="24">
        <f>B75</f>
        <v>7.3</v>
      </c>
      <c r="H96" s="24">
        <f>G96/8*100</f>
        <v>91.25</v>
      </c>
    </row>
    <row r="97" spans="1:8">
      <c r="A97" s="24" t="s">
        <v>360</v>
      </c>
      <c r="B97" s="25" t="s">
        <v>395</v>
      </c>
      <c r="C97" s="25"/>
      <c r="D97" s="25"/>
      <c r="E97" s="25"/>
      <c r="F97" s="24">
        <f>B131</f>
        <v>102.6</v>
      </c>
      <c r="G97" s="24">
        <f>B76</f>
        <v>7.5</v>
      </c>
      <c r="H97" s="24">
        <f>G97/8*100</f>
        <v>93.75</v>
      </c>
    </row>
    <row r="98" spans="1:8">
      <c r="A98" s="24" t="s">
        <v>361</v>
      </c>
      <c r="B98" s="25" t="s">
        <v>396</v>
      </c>
      <c r="C98" s="25"/>
      <c r="D98" s="25"/>
      <c r="E98" s="25"/>
      <c r="F98" s="24">
        <f>B134</f>
        <v>109.5</v>
      </c>
      <c r="G98" s="24">
        <f>B77</f>
        <v>7.2</v>
      </c>
      <c r="H98" s="24">
        <f>G98/8*100</f>
        <v>90</v>
      </c>
    </row>
    <row r="99" spans="1:8">
      <c r="A99" s="24" t="s">
        <v>362</v>
      </c>
      <c r="B99" s="25" t="s">
        <v>397</v>
      </c>
      <c r="C99" s="25"/>
      <c r="D99" s="25"/>
      <c r="E99" s="25"/>
      <c r="F99" s="24">
        <f>B137</f>
        <v>126.9</v>
      </c>
      <c r="G99" s="24">
        <f>B78</f>
        <v>8</v>
      </c>
      <c r="H99" s="24">
        <f>G99/8*100</f>
        <v>100</v>
      </c>
    </row>
    <row r="100" spans="1:8">
      <c r="A100" s="24" t="s">
        <v>363</v>
      </c>
      <c r="B100" s="25" t="s">
        <v>398</v>
      </c>
      <c r="C100" s="25"/>
      <c r="D100" s="25"/>
      <c r="E100" s="25"/>
      <c r="F100" s="24">
        <f>B140</f>
        <v>90.9</v>
      </c>
      <c r="G100" s="24">
        <f>B79</f>
        <v>6.9</v>
      </c>
      <c r="H100" s="24">
        <f>G100/8*100</f>
        <v>86.25</v>
      </c>
    </row>
    <row r="103" ht="15" spans="1:8">
      <c r="A103" s="10" t="s">
        <v>399</v>
      </c>
      <c r="B103" s="10"/>
    </row>
    <row r="104" spans="1:8">
      <c r="A104" s="24" t="s">
        <v>400</v>
      </c>
      <c r="B104" s="26" t="s">
        <v>401</v>
      </c>
      <c r="C104" s="26"/>
      <c r="D104" s="26" t="s">
        <v>318</v>
      </c>
      <c r="E104" s="26"/>
    </row>
    <row r="105" spans="1:8">
      <c r="A105" s="24" t="s">
        <v>402</v>
      </c>
      <c r="B105" s="26" t="s">
        <v>403</v>
      </c>
      <c r="C105" s="26"/>
      <c r="D105" s="26" t="s">
        <v>404</v>
      </c>
      <c r="E105" s="26"/>
    </row>
    <row r="106" spans="1:8">
      <c r="A106" s="24" t="s">
        <v>405</v>
      </c>
      <c r="B106" s="26" t="s">
        <v>406</v>
      </c>
      <c r="C106" s="26"/>
      <c r="D106" s="26" t="s">
        <v>407</v>
      </c>
      <c r="E106" s="26"/>
    </row>
    <row r="107" spans="1:8">
      <c r="A107" s="24" t="s">
        <v>408</v>
      </c>
      <c r="B107" s="26" t="s">
        <v>409</v>
      </c>
      <c r="C107" s="26"/>
      <c r="D107" s="26" t="s">
        <v>410</v>
      </c>
      <c r="E107" s="26"/>
    </row>
    <row r="108" spans="1:8">
      <c r="A108" s="24" t="s">
        <v>411</v>
      </c>
      <c r="B108" s="26" t="s">
        <v>412</v>
      </c>
      <c r="C108" s="26"/>
      <c r="D108" s="26" t="s">
        <v>413</v>
      </c>
      <c r="E108" s="26"/>
    </row>
    <row r="109" spans="1:8">
      <c r="A109" s="24" t="s">
        <v>414</v>
      </c>
      <c r="B109" s="26" t="s">
        <v>415</v>
      </c>
      <c r="C109" s="26"/>
      <c r="D109" s="26" t="s">
        <v>416</v>
      </c>
      <c r="E109" s="26"/>
    </row>
    <row r="110" spans="1:8">
      <c r="A110" s="24" t="s">
        <v>417</v>
      </c>
      <c r="B110" s="26" t="s">
        <v>418</v>
      </c>
      <c r="C110" s="26"/>
      <c r="D110" s="26" t="s">
        <v>419</v>
      </c>
      <c r="E110" s="26"/>
    </row>
    <row r="113" ht="15" spans="1:3">
      <c r="A113" s="27" t="s">
        <v>420</v>
      </c>
      <c r="B113" s="27"/>
      <c r="C113" s="28"/>
    </row>
    <row r="114" spans="1:3">
      <c r="A114" t="s">
        <v>421</v>
      </c>
    </row>
    <row r="115" spans="1:3">
      <c r="A115" t="s">
        <v>422</v>
      </c>
    </row>
    <row r="116" spans="1:3">
      <c r="A116" t="s">
        <v>423</v>
      </c>
    </row>
    <row r="117" spans="1:3">
      <c r="A117" t="s">
        <v>424</v>
      </c>
    </row>
    <row r="118" spans="1:3">
      <c r="A118" t="s">
        <v>425</v>
      </c>
    </row>
    <row r="119" spans="1:3">
      <c r="A119" t="s">
        <v>426</v>
      </c>
    </row>
    <row r="120" spans="1:3">
      <c r="A120" t="s">
        <v>427</v>
      </c>
    </row>
    <row r="121" spans="1:3">
      <c r="A121" t="s">
        <v>428</v>
      </c>
    </row>
    <row r="122" spans="1:3">
      <c r="A122" t="s">
        <v>429</v>
      </c>
    </row>
    <row r="123" spans="1:3">
      <c r="A123" t="s">
        <v>430</v>
      </c>
    </row>
    <row r="125" ht="15" spans="1:3">
      <c r="A125" s="10" t="s">
        <v>431</v>
      </c>
      <c r="B125" s="10"/>
    </row>
    <row r="127" spans="1:3">
      <c r="A127" t="s">
        <v>432</v>
      </c>
    </row>
    <row r="128" spans="1:3">
      <c r="A128" t="s">
        <v>433</v>
      </c>
      <c r="B128" cm="1">
        <f t="array" ref="B128">MMULT(VALUE(B58:P58),VALUE($E$18:$E$32))*1.5</f>
        <v>147.9</v>
      </c>
    </row>
    <row r="131" spans="1:2">
      <c r="A131" t="s">
        <v>434</v>
      </c>
      <c r="B131" cm="1">
        <f t="array" ref="B131">MMULT(VALUE(B59:P59),VALUE($E$18:$E$32))*1.5</f>
        <v>102.6</v>
      </c>
    </row>
    <row r="134" spans="1:2">
      <c r="A134" t="s">
        <v>435</v>
      </c>
      <c r="B134" cm="1">
        <f t="array" ref="B134">MMULT(VALUE(B60:P60),VALUE($E$18:$E$32))*1.5</f>
        <v>109.5</v>
      </c>
    </row>
    <row r="137" spans="1:2">
      <c r="A137" t="s">
        <v>436</v>
      </c>
      <c r="B137" cm="1">
        <f t="array" ref="B137">MMULT(VALUE(B61:P61),VALUE($E$18:$E$32))*1.5</f>
        <v>126.9</v>
      </c>
    </row>
    <row r="140" spans="1:2">
      <c r="A140" t="s">
        <v>437</v>
      </c>
      <c r="B140" cm="1">
        <f t="array" ref="B140">MMULT(VALUE(B62:P62),VALUE($E$18:$E$32))*1.5</f>
        <v>90.9</v>
      </c>
    </row>
    <row r="145" ht="15" spans="1:6">
      <c r="A145" s="10" t="s">
        <v>438</v>
      </c>
      <c r="B145" s="10"/>
    </row>
    <row r="146" spans="1:6">
      <c r="A146" s="29" t="s">
        <v>439</v>
      </c>
      <c r="B146" s="29" t="s">
        <v>440</v>
      </c>
      <c r="C146" s="29"/>
      <c r="D146" s="29" t="s">
        <v>441</v>
      </c>
      <c r="E146" s="29" t="s">
        <v>442</v>
      </c>
      <c r="F146" s="29" t="s">
        <v>174</v>
      </c>
    </row>
    <row r="147" spans="1:6">
      <c r="A147" s="24" t="s">
        <v>443</v>
      </c>
      <c r="B147" s="30" t="s">
        <v>444</v>
      </c>
      <c r="C147" s="30"/>
      <c r="D147" s="31">
        <v>15</v>
      </c>
      <c r="E147" s="32">
        <f>SUM(B63:P63)</f>
        <v>15</v>
      </c>
      <c r="F147" s="24" t="str">
        <f>IF(E147=D147,"✓","✗")</f>
        <v>✓</v>
      </c>
    </row>
    <row r="148" spans="1:6">
      <c r="A148" s="24" t="s">
        <v>445</v>
      </c>
      <c r="B148" s="30" t="s">
        <v>446</v>
      </c>
      <c r="C148" s="30"/>
      <c r="D148" s="24" t="s">
        <v>447</v>
      </c>
      <c r="E148" s="24">
        <f>SUM(D75:D79)</f>
        <v>5</v>
      </c>
      <c r="F148" s="24" t="str">
        <f>IF(E148&lt;=D148,"✓","✗")</f>
        <v>✓</v>
      </c>
    </row>
    <row r="149" spans="1:6">
      <c r="A149" s="24" t="s">
        <v>448</v>
      </c>
      <c r="B149" s="30" t="s">
        <v>449</v>
      </c>
      <c r="C149" s="30"/>
      <c r="D149" s="24" t="s">
        <v>450</v>
      </c>
      <c r="E149" s="24">
        <f>MAX(B75:B79)</f>
        <v>8</v>
      </c>
      <c r="F149" s="24" t="str">
        <f>IF(E149&lt;=D149,"✓","✗")</f>
        <v>✓</v>
      </c>
    </row>
    <row r="150" spans="1:6">
      <c r="A150" s="24" t="s">
        <v>451</v>
      </c>
      <c r="B150" s="30" t="s">
        <v>403</v>
      </c>
      <c r="C150" s="30"/>
      <c r="D150" s="24" t="s">
        <v>452</v>
      </c>
      <c r="E150" s="24">
        <f>D90</f>
        <v>1219.38912</v>
      </c>
      <c r="F150" s="24" t="s">
        <v>453</v>
      </c>
    </row>
    <row r="153" ht="15" spans="1:6">
      <c r="A153" s="12" t="s">
        <v>454</v>
      </c>
    </row>
    <row r="154" spans="1:6">
      <c r="A154" s="33"/>
    </row>
    <row r="155" spans="1:6">
      <c r="A155" t="s">
        <v>455</v>
      </c>
    </row>
    <row r="156" spans="1:6">
      <c r="A156" t="s">
        <v>456</v>
      </c>
    </row>
    <row r="157" spans="1:6">
      <c r="A157" t="s">
        <v>457</v>
      </c>
    </row>
    <row r="158" spans="1:6">
      <c r="A158" t="s">
        <v>458</v>
      </c>
    </row>
    <row r="159" spans="1:6">
      <c r="A159" t="s">
        <v>459</v>
      </c>
    </row>
    <row r="160" spans="1:6">
      <c r="A160" s="34" t="s">
        <v>460</v>
      </c>
    </row>
    <row r="161" spans="1:1">
      <c r="A161" t="s">
        <v>461</v>
      </c>
    </row>
    <row r="162" spans="1:1">
      <c r="A162" t="s">
        <v>462</v>
      </c>
    </row>
    <row r="163" spans="1:1">
      <c r="A163" t="s">
        <v>463</v>
      </c>
    </row>
    <row r="164" spans="1:1">
      <c r="A164" t="s">
        <v>464</v>
      </c>
    </row>
    <row r="165" spans="1:1">
      <c r="A165" t="s">
        <v>465</v>
      </c>
    </row>
    <row r="166" spans="1:1">
      <c r="A166" t="s">
        <v>466</v>
      </c>
    </row>
    <row r="167" spans="1:1">
      <c r="A167" t="s">
        <v>467</v>
      </c>
    </row>
    <row r="168" spans="1:1">
      <c r="A168" t="s">
        <v>468</v>
      </c>
    </row>
    <row r="169" spans="1:1">
      <c r="A169" t="s">
        <v>469</v>
      </c>
    </row>
  </sheetData>
  <mergeCells count="59">
    <mergeCell ref="A1:P1"/>
    <mergeCell ref="A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A16:G16"/>
    <mergeCell ref="A35:B35"/>
    <mergeCell ref="A56:C56"/>
    <mergeCell ref="A65:C65"/>
    <mergeCell ref="A82:B82"/>
    <mergeCell ref="B84:C84"/>
    <mergeCell ref="B85:C85"/>
    <mergeCell ref="B86:C86"/>
    <mergeCell ref="B87:C87"/>
    <mergeCell ref="B88:C88"/>
    <mergeCell ref="B89:C89"/>
    <mergeCell ref="A93:B93"/>
    <mergeCell ref="B95:E95"/>
    <mergeCell ref="B96:E96"/>
    <mergeCell ref="B97:E97"/>
    <mergeCell ref="B98:E98"/>
    <mergeCell ref="B99:E99"/>
    <mergeCell ref="B100:E100"/>
    <mergeCell ref="A103:B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A125:B125"/>
    <mergeCell ref="A145:B145"/>
    <mergeCell ref="B146:C146"/>
    <mergeCell ref="B147:C147"/>
    <mergeCell ref="B148:C148"/>
    <mergeCell ref="B149:C149"/>
    <mergeCell ref="B150:C150"/>
    <mergeCell ref="A90:A91"/>
    <mergeCell ref="D90:D91"/>
    <mergeCell ref="E90:E91"/>
    <mergeCell ref="H90:H91"/>
    <mergeCell ref="I90:I91"/>
    <mergeCell ref="B90:C9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4C75E-10F0-49CC-B278-5405AAFEF849}"/>
</file>

<file path=customXml/itemProps2.xml><?xml version="1.0" encoding="utf-8"?>
<ds:datastoreItem xmlns:ds="http://schemas.openxmlformats.org/officeDocument/2006/customXml" ds:itemID="{39D1D820-17FC-4E69-9F0E-811973FB0C38}"/>
</file>

<file path=customXml/itemProps3.xml><?xml version="1.0" encoding="utf-8"?>
<ds:datastoreItem xmlns:ds="http://schemas.openxmlformats.org/officeDocument/2006/customXml" ds:itemID="{FA0C1628-B03E-4737-A086-4B4E4F875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运算结果报告</vt:lpstr>
      <vt:lpstr>车辆路径优化模型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唔西·迪西</cp:lastModifiedBy>
  <dcterms:created xsi:type="dcterms:W3CDTF">2025-11-30T10:58:00Z</dcterms:created>
  <dcterms:modified xsi:type="dcterms:W3CDTF">2025-12-01T12:42:07Z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{"ContentProducer":"00191310104MAC2G6EG4100000003","ContentPropagator":"00191310104MAC2G6EG4100000003","Label":"1","ProduceID":"u-2997de-c6baa7a8-63f4-4fc1-b2a1-1766615f15f2","PropagateID":"u-2997de-c6baa7a8-63f4-4fc1-b2a1-1766615f15f2","ReservedCode1":"","ReservedCode2":""}</vt:lpwstr>
  </property>
  <property fmtid="{D5CDD505-2E9C-101B-9397-08002B2CF9AE}" pid="3" name="ICV">
    <vt:lpwstr>24C0588E863240E4BE99FB381D09402B_13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
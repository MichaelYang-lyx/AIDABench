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图表可视化\input\chart_53\"/>
    </mc:Choice>
  </mc:AlternateContent>
  <xr:revisionPtr revIDLastSave="0" documentId="13_ncr:1_{2BFA505F-302D-4101-829C-BE19B999E9F6}" xr6:coauthVersionLast="47" xr6:coauthVersionMax="47" xr10:uidLastSave="{00000000-0000-0000-0000-000000000000}"/>
  <bookViews>
    <workbookView xWindow="-120" yWindow="-120" windowWidth="29040" windowHeight="15720" xr2:uid="{5A8D9CB0-7214-4089-80E8-860C88D70A3F}"/>
  </bookViews>
  <sheets>
    <sheet name="1月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8" i="3" l="1"/>
  <c r="F43" i="3"/>
  <c r="K43" i="3" s="1"/>
  <c r="J42" i="3"/>
  <c r="K42" i="3" s="1"/>
  <c r="K41" i="3"/>
  <c r="K40" i="3"/>
  <c r="K39" i="3"/>
  <c r="K38" i="3"/>
  <c r="K37" i="3"/>
  <c r="K36" i="3"/>
  <c r="K35" i="3"/>
  <c r="K34" i="3"/>
  <c r="K32" i="3"/>
  <c r="K31" i="3"/>
  <c r="K30" i="3"/>
  <c r="K29" i="3"/>
  <c r="K28" i="3"/>
  <c r="K27" i="3"/>
  <c r="K26" i="3"/>
</calcChain>
</file>

<file path=xl/sharedStrings.xml><?xml version="1.0" encoding="utf-8"?>
<sst xmlns="http://schemas.openxmlformats.org/spreadsheetml/2006/main" count="121" uniqueCount="44">
  <si>
    <t>1月</t>
  </si>
  <si>
    <t>所属</t>
  </si>
  <si>
    <t>姓名</t>
  </si>
  <si>
    <t>信息化运维</t>
  </si>
  <si>
    <t>光伏</t>
  </si>
  <si>
    <t>研发-低零代码</t>
  </si>
  <si>
    <t>研发-能源管理平台</t>
  </si>
  <si>
    <t>智慧能源管理项目</t>
  </si>
  <si>
    <t>工作日合计</t>
  </si>
  <si>
    <t>合计</t>
  </si>
  <si>
    <t>正式员工</t>
  </si>
  <si>
    <t>劳务派遣</t>
  </si>
  <si>
    <t>工资</t>
  </si>
  <si>
    <t>养老-企业负担</t>
  </si>
  <si>
    <t>医疗（含生育，门诊大额</t>
  </si>
  <si>
    <t>工伤</t>
  </si>
  <si>
    <t>失业</t>
  </si>
  <si>
    <t>公积金</t>
  </si>
  <si>
    <t>管理</t>
  </si>
  <si>
    <t>研发</t>
  </si>
  <si>
    <t>工时</t>
    <phoneticPr fontId="1" type="noConversion"/>
  </si>
  <si>
    <t>薪酬</t>
    <phoneticPr fontId="1" type="noConversion"/>
  </si>
  <si>
    <t>员工1</t>
    <phoneticPr fontId="1" type="noConversion"/>
  </si>
  <si>
    <t>员工2</t>
  </si>
  <si>
    <t>员工3</t>
  </si>
  <si>
    <t>员工4</t>
  </si>
  <si>
    <t>员工5</t>
  </si>
  <si>
    <t>员工6</t>
  </si>
  <si>
    <t>员工7</t>
  </si>
  <si>
    <t>员工8</t>
  </si>
  <si>
    <t>员工9</t>
  </si>
  <si>
    <t>员工10</t>
  </si>
  <si>
    <t>员工11</t>
  </si>
  <si>
    <t>员工12</t>
  </si>
  <si>
    <t>员工13</t>
  </si>
  <si>
    <t>员工14</t>
  </si>
  <si>
    <t>员工15</t>
  </si>
  <si>
    <t>员工16</t>
  </si>
  <si>
    <t>员工17</t>
  </si>
  <si>
    <t>员工18</t>
  </si>
  <si>
    <t>员工19</t>
  </si>
  <si>
    <t>员工20</t>
  </si>
  <si>
    <t>员工21</t>
  </si>
  <si>
    <t>员工22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</si>
</sst>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  <font>
      <sz val="11"/>
      <color rgb="FFC00000"/>
      <name val="仿宋"/>
      <family val="3"/>
      <charset val="134"/>
    </font>
    <font>
      <b/>
      <sz val="11"/>
      <color theme="1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>
      <alignment vertical="center"/>
    </xf>
    <xf numFmtId="43" fontId="2" fillId="0" borderId="1" xfId="0" applyNumberFormat="1" applyFont="1" applyBorder="1">
      <alignment vertical="center"/>
    </xf>
    <xf numFmtId="43" fontId="2" fillId="0" borderId="1" xfId="0" applyNumberFormat="1" applyFont="1" applyBorder="1" applyAlignment="1"/>
    <xf numFmtId="43" fontId="2" fillId="0" borderId="5" xfId="0" applyNumberFormat="1" applyFont="1" applyBorder="1">
      <alignment vertical="center"/>
    </xf>
    <xf numFmtId="43" fontId="3" fillId="0" borderId="1" xfId="0" applyNumberFormat="1" applyFont="1" applyBorder="1">
      <alignment vertical="center"/>
    </xf>
    <xf numFmtId="43" fontId="3" fillId="2" borderId="1" xfId="0" applyNumberFormat="1" applyFont="1" applyFill="1" applyBorder="1">
      <alignment vertical="center"/>
    </xf>
    <xf numFmtId="43" fontId="4" fillId="3" borderId="1" xfId="0" applyNumberFormat="1" applyFont="1" applyFill="1" applyBorder="1">
      <alignment vertical="center"/>
    </xf>
    <xf numFmtId="0" fontId="5" fillId="0" borderId="1" xfId="0" applyFont="1" applyBorder="1">
      <alignment vertical="center"/>
    </xf>
    <xf numFmtId="43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6F44-ADC4-481F-A37A-25E69DBFECE4}">
  <dimension ref="A1:L48"/>
  <sheetViews>
    <sheetView tabSelected="1" topLeftCell="A19" workbookViewId="0">
      <selection activeCell="E51" sqref="E51"/>
    </sheetView>
  </sheetViews>
  <sheetFormatPr defaultRowHeight="14.25" x14ac:dyDescent="0.2"/>
  <cols>
    <col min="3" max="3" width="13" bestFit="1" customWidth="1"/>
    <col min="4" max="4" width="12.75" bestFit="1" customWidth="1"/>
    <col min="5" max="5" width="15" bestFit="1" customWidth="1"/>
    <col min="6" max="6" width="25" bestFit="1" customWidth="1"/>
    <col min="7" max="7" width="9.5" bestFit="1" customWidth="1"/>
    <col min="8" max="8" width="14.125" bestFit="1" customWidth="1"/>
    <col min="9" max="9" width="18.375" bestFit="1" customWidth="1"/>
    <col min="10" max="11" width="17.25" bestFit="1" customWidth="1"/>
    <col min="12" max="12" width="11" bestFit="1" customWidth="1"/>
  </cols>
  <sheetData>
    <row r="1" spans="1:12" x14ac:dyDescent="0.2">
      <c r="A1" t="s">
        <v>20</v>
      </c>
    </row>
    <row r="2" spans="1:12" x14ac:dyDescent="0.2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x14ac:dyDescent="0.2">
      <c r="A3" s="1" t="s">
        <v>1</v>
      </c>
      <c r="B3" s="1" t="s">
        <v>2</v>
      </c>
      <c r="C3" s="1"/>
      <c r="D3" s="1"/>
      <c r="E3" s="1"/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/>
      <c r="L3" s="1" t="s">
        <v>8</v>
      </c>
    </row>
    <row r="4" spans="1:12" x14ac:dyDescent="0.2">
      <c r="A4" s="1" t="s">
        <v>10</v>
      </c>
      <c r="B4" s="1" t="s">
        <v>22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10</v>
      </c>
      <c r="B5" s="1" t="s">
        <v>23</v>
      </c>
      <c r="C5" s="1">
        <v>0</v>
      </c>
      <c r="D5" s="1"/>
      <c r="E5" s="1"/>
      <c r="F5" s="1"/>
      <c r="G5" s="1">
        <v>2</v>
      </c>
      <c r="H5" s="1">
        <v>7</v>
      </c>
      <c r="I5" s="1">
        <v>6</v>
      </c>
      <c r="J5" s="1">
        <v>4</v>
      </c>
      <c r="K5" s="1">
        <v>2</v>
      </c>
      <c r="L5" s="1">
        <v>21</v>
      </c>
    </row>
    <row r="6" spans="1:12" x14ac:dyDescent="0.2">
      <c r="A6" s="1" t="s">
        <v>10</v>
      </c>
      <c r="B6" s="1" t="s">
        <v>24</v>
      </c>
      <c r="C6" s="1"/>
      <c r="D6" s="1"/>
      <c r="E6" s="1"/>
      <c r="F6" s="1"/>
      <c r="G6" s="1">
        <v>5</v>
      </c>
      <c r="H6" s="1"/>
      <c r="I6" s="1">
        <v>16</v>
      </c>
      <c r="J6" s="1"/>
      <c r="K6" s="1"/>
      <c r="L6" s="1">
        <v>21</v>
      </c>
    </row>
    <row r="7" spans="1:12" x14ac:dyDescent="0.2">
      <c r="A7" s="1" t="s">
        <v>10</v>
      </c>
      <c r="B7" s="1" t="s">
        <v>25</v>
      </c>
      <c r="C7" s="1"/>
      <c r="D7" s="1"/>
      <c r="E7" s="1">
        <v>6</v>
      </c>
      <c r="F7" s="1"/>
      <c r="G7" s="1"/>
      <c r="H7" s="1"/>
      <c r="I7" s="1">
        <v>15</v>
      </c>
      <c r="J7" s="1"/>
      <c r="K7" s="1"/>
      <c r="L7" s="1">
        <v>21</v>
      </c>
    </row>
    <row r="8" spans="1:12" x14ac:dyDescent="0.2">
      <c r="A8" s="1" t="s">
        <v>10</v>
      </c>
      <c r="B8" s="1" t="s">
        <v>26</v>
      </c>
      <c r="C8" s="1">
        <v>16</v>
      </c>
      <c r="D8" s="1"/>
      <c r="E8" s="1"/>
      <c r="F8" s="1"/>
      <c r="G8" s="1"/>
      <c r="H8" s="1"/>
      <c r="I8" s="1"/>
      <c r="J8" s="1"/>
      <c r="K8" s="1">
        <v>5</v>
      </c>
      <c r="L8" s="1">
        <v>21</v>
      </c>
    </row>
    <row r="9" spans="1:12" x14ac:dyDescent="0.2">
      <c r="A9" s="1" t="s">
        <v>11</v>
      </c>
      <c r="B9" s="1" t="s">
        <v>27</v>
      </c>
      <c r="C9" s="1"/>
      <c r="D9" s="1"/>
      <c r="E9" s="1"/>
      <c r="F9" s="1"/>
      <c r="G9" s="1">
        <v>1</v>
      </c>
      <c r="H9" s="1">
        <v>9</v>
      </c>
      <c r="I9" s="1">
        <v>10</v>
      </c>
      <c r="J9" s="1"/>
      <c r="K9" s="1">
        <v>1</v>
      </c>
      <c r="L9" s="1">
        <v>21</v>
      </c>
    </row>
    <row r="10" spans="1:12" x14ac:dyDescent="0.2">
      <c r="A10" s="1" t="s">
        <v>10</v>
      </c>
      <c r="B10" s="1" t="s">
        <v>28</v>
      </c>
      <c r="C10" s="1"/>
      <c r="D10" s="1"/>
      <c r="E10" s="1"/>
      <c r="F10" s="1"/>
      <c r="G10" s="1">
        <v>2</v>
      </c>
      <c r="H10" s="1">
        <v>19</v>
      </c>
      <c r="I10" s="1"/>
      <c r="J10" s="1"/>
      <c r="K10" s="1"/>
      <c r="L10" s="1">
        <v>21</v>
      </c>
    </row>
    <row r="11" spans="1:12" x14ac:dyDescent="0.2">
      <c r="A11" s="1" t="s">
        <v>10</v>
      </c>
      <c r="B11" s="1" t="s">
        <v>29</v>
      </c>
      <c r="C11" s="1">
        <v>1</v>
      </c>
      <c r="D11" s="1"/>
      <c r="E11" s="1"/>
      <c r="F11" s="1"/>
      <c r="G11" s="1"/>
      <c r="H11" s="1">
        <v>20</v>
      </c>
      <c r="I11" s="1"/>
      <c r="J11" s="1"/>
      <c r="K11" s="1"/>
      <c r="L11" s="1">
        <v>21</v>
      </c>
    </row>
    <row r="12" spans="1:12" x14ac:dyDescent="0.2">
      <c r="A12" s="1" t="s">
        <v>10</v>
      </c>
      <c r="B12" s="1" t="s">
        <v>30</v>
      </c>
      <c r="C12" s="1"/>
      <c r="D12" s="1"/>
      <c r="E12" s="1">
        <v>4</v>
      </c>
      <c r="F12" s="1"/>
      <c r="G12" s="1"/>
      <c r="H12" s="1"/>
      <c r="I12" s="1">
        <v>17</v>
      </c>
      <c r="J12" s="1"/>
      <c r="K12" s="1"/>
      <c r="L12" s="1">
        <v>21</v>
      </c>
    </row>
    <row r="13" spans="1:12" x14ac:dyDescent="0.2">
      <c r="A13" s="1" t="s">
        <v>10</v>
      </c>
      <c r="B13" s="1" t="s">
        <v>31</v>
      </c>
      <c r="C13" s="1">
        <v>0</v>
      </c>
      <c r="D13" s="1"/>
      <c r="E13" s="1">
        <v>11</v>
      </c>
      <c r="F13" s="1"/>
      <c r="G13" s="1"/>
      <c r="H13" s="1"/>
      <c r="I13" s="1"/>
      <c r="J13" s="1">
        <v>10</v>
      </c>
      <c r="K13" s="1"/>
      <c r="L13" s="1">
        <v>21</v>
      </c>
    </row>
    <row r="14" spans="1:12" x14ac:dyDescent="0.2">
      <c r="A14" s="1" t="s">
        <v>10</v>
      </c>
      <c r="B14" s="1" t="s">
        <v>32</v>
      </c>
      <c r="C14" s="1"/>
      <c r="D14" s="1"/>
      <c r="E14" s="1"/>
      <c r="F14" s="1"/>
      <c r="G14" s="1"/>
      <c r="H14" s="1"/>
      <c r="I14" s="1"/>
      <c r="J14" s="1"/>
      <c r="K14" s="1"/>
      <c r="L14" s="1">
        <v>0</v>
      </c>
    </row>
    <row r="15" spans="1:12" x14ac:dyDescent="0.2">
      <c r="A15" s="1" t="s">
        <v>10</v>
      </c>
      <c r="B15" s="1" t="s">
        <v>33</v>
      </c>
      <c r="C15" s="1"/>
      <c r="D15" s="1"/>
      <c r="E15" s="1"/>
      <c r="F15" s="1"/>
      <c r="G15" s="1"/>
      <c r="H15" s="1"/>
      <c r="I15" s="1"/>
      <c r="J15" s="1"/>
      <c r="K15" s="1"/>
      <c r="L15" s="1">
        <v>0</v>
      </c>
    </row>
    <row r="16" spans="1:12" x14ac:dyDescent="0.2">
      <c r="A16" s="1" t="s">
        <v>10</v>
      </c>
      <c r="B16" s="1" t="s">
        <v>34</v>
      </c>
      <c r="C16" s="1"/>
      <c r="D16" s="1"/>
      <c r="E16" s="1"/>
      <c r="F16" s="1"/>
      <c r="G16" s="1"/>
      <c r="H16" s="1"/>
      <c r="I16" s="1"/>
      <c r="J16" s="1"/>
      <c r="K16" s="1"/>
      <c r="L16" s="1">
        <v>0</v>
      </c>
    </row>
    <row r="17" spans="1:12" x14ac:dyDescent="0.2">
      <c r="A17" s="1" t="s">
        <v>11</v>
      </c>
      <c r="B17" s="1" t="s">
        <v>35</v>
      </c>
      <c r="C17" s="1"/>
      <c r="D17" s="1"/>
      <c r="E17" s="1"/>
      <c r="F17" s="1">
        <v>7</v>
      </c>
      <c r="G17" s="1"/>
      <c r="H17" s="1"/>
      <c r="I17" s="1"/>
      <c r="J17" s="1"/>
      <c r="K17" s="1"/>
      <c r="L17" s="1">
        <v>7</v>
      </c>
    </row>
    <row r="18" spans="1:12" x14ac:dyDescent="0.2">
      <c r="A18" s="1" t="s">
        <v>10</v>
      </c>
      <c r="B18" s="1" t="s">
        <v>36</v>
      </c>
      <c r="C18" s="1"/>
      <c r="D18" s="1"/>
      <c r="E18" s="1"/>
      <c r="F18" s="1">
        <v>6</v>
      </c>
      <c r="G18" s="1"/>
      <c r="H18" s="1"/>
      <c r="I18" s="1"/>
      <c r="J18" s="1"/>
      <c r="K18" s="1"/>
      <c r="L18" s="1">
        <v>6</v>
      </c>
    </row>
    <row r="19" spans="1:12" x14ac:dyDescent="0.2">
      <c r="A19" s="1" t="s">
        <v>11</v>
      </c>
      <c r="B19" s="1" t="s">
        <v>37</v>
      </c>
      <c r="C19" s="1"/>
      <c r="D19" s="1"/>
      <c r="E19" s="1"/>
      <c r="F19" s="1">
        <v>3</v>
      </c>
      <c r="G19" s="1"/>
      <c r="H19" s="1"/>
      <c r="I19" s="1"/>
      <c r="J19" s="1"/>
      <c r="K19" s="1"/>
      <c r="L19" s="1">
        <v>3</v>
      </c>
    </row>
    <row r="20" spans="1:12" x14ac:dyDescent="0.2">
      <c r="A20" s="1" t="s">
        <v>11</v>
      </c>
      <c r="B20" s="1" t="s">
        <v>38</v>
      </c>
      <c r="C20" s="1"/>
      <c r="D20" s="1"/>
      <c r="E20" s="1"/>
      <c r="F20" s="1">
        <v>3</v>
      </c>
      <c r="G20" s="1"/>
      <c r="H20" s="1"/>
      <c r="I20" s="1"/>
      <c r="J20" s="1"/>
      <c r="K20" s="1"/>
      <c r="L20" s="1">
        <v>3</v>
      </c>
    </row>
    <row r="21" spans="1:12" x14ac:dyDescent="0.2">
      <c r="A21" s="1"/>
      <c r="B21" s="1" t="s">
        <v>39</v>
      </c>
      <c r="C21" s="1">
        <v>17</v>
      </c>
      <c r="D21" s="1">
        <v>0</v>
      </c>
      <c r="E21" s="1">
        <v>21</v>
      </c>
      <c r="F21" s="1">
        <v>19</v>
      </c>
      <c r="G21" s="1">
        <v>10</v>
      </c>
      <c r="H21" s="1">
        <v>55</v>
      </c>
      <c r="I21" s="1">
        <v>64</v>
      </c>
      <c r="J21" s="1">
        <v>14</v>
      </c>
      <c r="K21" s="1">
        <v>8</v>
      </c>
      <c r="L21" s="1">
        <v>208</v>
      </c>
    </row>
    <row r="23" spans="1:12" x14ac:dyDescent="0.2">
      <c r="A23" t="s">
        <v>21</v>
      </c>
    </row>
    <row r="24" spans="1:12" x14ac:dyDescent="0.2">
      <c r="A24" s="10"/>
      <c r="B24" s="10"/>
      <c r="C24" s="10"/>
      <c r="D24" s="15" t="s">
        <v>0</v>
      </c>
      <c r="E24" s="15"/>
      <c r="F24" s="15"/>
      <c r="G24" s="15"/>
      <c r="H24" s="15"/>
      <c r="I24" s="15"/>
      <c r="J24" s="15"/>
      <c r="K24" s="16"/>
    </row>
    <row r="25" spans="1:12" x14ac:dyDescent="0.2">
      <c r="A25" s="2"/>
      <c r="B25" s="2"/>
      <c r="C25" s="2"/>
      <c r="D25" s="2" t="s">
        <v>12</v>
      </c>
      <c r="E25" s="2" t="s">
        <v>13</v>
      </c>
      <c r="F25" s="2" t="s">
        <v>14</v>
      </c>
      <c r="G25" s="2" t="s">
        <v>15</v>
      </c>
      <c r="H25" s="2" t="s">
        <v>16</v>
      </c>
      <c r="I25" s="2" t="s">
        <v>17</v>
      </c>
      <c r="J25" s="2" t="s">
        <v>11</v>
      </c>
      <c r="K25" s="3" t="s">
        <v>9</v>
      </c>
    </row>
    <row r="26" spans="1:12" x14ac:dyDescent="0.15">
      <c r="A26" s="4" t="s">
        <v>10</v>
      </c>
      <c r="B26" s="4" t="s">
        <v>18</v>
      </c>
      <c r="C26" s="5" t="s">
        <v>22</v>
      </c>
      <c r="D26" s="4">
        <v>32333</v>
      </c>
      <c r="E26" s="4">
        <v>4010.4</v>
      </c>
      <c r="F26" s="4">
        <v>2631.83</v>
      </c>
      <c r="G26" s="4">
        <v>50.13</v>
      </c>
      <c r="H26" s="4">
        <v>125.33</v>
      </c>
      <c r="I26" s="4">
        <v>3303</v>
      </c>
      <c r="J26" s="4"/>
      <c r="K26" s="6">
        <f>SUM(D26:J26)</f>
        <v>42453.69</v>
      </c>
    </row>
    <row r="27" spans="1:12" x14ac:dyDescent="0.15">
      <c r="A27" s="4" t="s">
        <v>10</v>
      </c>
      <c r="B27" s="4" t="s">
        <v>19</v>
      </c>
      <c r="C27" s="5" t="s">
        <v>23</v>
      </c>
      <c r="D27" s="4">
        <v>30783</v>
      </c>
      <c r="E27" s="4">
        <v>4010.4</v>
      </c>
      <c r="F27" s="4">
        <v>2631.83</v>
      </c>
      <c r="G27" s="4">
        <v>50.13</v>
      </c>
      <c r="H27" s="4">
        <v>125.33</v>
      </c>
      <c r="I27" s="4">
        <v>3294</v>
      </c>
      <c r="J27" s="4"/>
      <c r="K27" s="6">
        <f t="shared" ref="K27:K43" si="0">SUM(D27:J27)</f>
        <v>40894.69</v>
      </c>
    </row>
    <row r="28" spans="1:12" x14ac:dyDescent="0.15">
      <c r="A28" s="4" t="s">
        <v>10</v>
      </c>
      <c r="B28" s="4" t="s">
        <v>19</v>
      </c>
      <c r="C28" s="5" t="s">
        <v>24</v>
      </c>
      <c r="D28" s="4">
        <v>21643</v>
      </c>
      <c r="E28" s="4">
        <v>3465.6</v>
      </c>
      <c r="F28" s="4">
        <v>2274.3000000000002</v>
      </c>
      <c r="G28" s="4">
        <v>43.32</v>
      </c>
      <c r="H28" s="4">
        <v>108.3</v>
      </c>
      <c r="I28" s="4">
        <v>2701</v>
      </c>
      <c r="J28" s="4"/>
      <c r="K28" s="6">
        <f t="shared" si="0"/>
        <v>30235.519999999997</v>
      </c>
    </row>
    <row r="29" spans="1:12" x14ac:dyDescent="0.15">
      <c r="A29" s="4" t="s">
        <v>10</v>
      </c>
      <c r="B29" s="4" t="s">
        <v>19</v>
      </c>
      <c r="C29" s="5" t="s">
        <v>25</v>
      </c>
      <c r="D29" s="4">
        <v>22492</v>
      </c>
      <c r="E29" s="4">
        <v>3601.44</v>
      </c>
      <c r="F29" s="4">
        <v>2363.4499999999998</v>
      </c>
      <c r="G29" s="4">
        <v>45.02</v>
      </c>
      <c r="H29" s="4">
        <v>112.55</v>
      </c>
      <c r="I29" s="4">
        <v>2599</v>
      </c>
      <c r="J29" s="4"/>
      <c r="K29" s="6">
        <f t="shared" si="0"/>
        <v>31213.46</v>
      </c>
    </row>
    <row r="30" spans="1:12" x14ac:dyDescent="0.15">
      <c r="A30" s="4" t="s">
        <v>10</v>
      </c>
      <c r="B30" s="4" t="s">
        <v>18</v>
      </c>
      <c r="C30" s="5" t="s">
        <v>26</v>
      </c>
      <c r="D30" s="4">
        <v>12500</v>
      </c>
      <c r="E30" s="4">
        <v>3002.72</v>
      </c>
      <c r="F30" s="4">
        <v>1970.54</v>
      </c>
      <c r="G30" s="4">
        <v>37.53</v>
      </c>
      <c r="H30" s="4">
        <v>93.84</v>
      </c>
      <c r="I30" s="4">
        <v>2888</v>
      </c>
      <c r="J30" s="4"/>
      <c r="K30" s="6">
        <f t="shared" si="0"/>
        <v>20492.629999999997</v>
      </c>
    </row>
    <row r="31" spans="1:12" x14ac:dyDescent="0.15">
      <c r="A31" s="4" t="s">
        <v>10</v>
      </c>
      <c r="B31" s="4" t="s">
        <v>19</v>
      </c>
      <c r="C31" s="5" t="s">
        <v>27</v>
      </c>
      <c r="D31" s="4">
        <v>23741</v>
      </c>
      <c r="E31" s="4">
        <v>3801.28</v>
      </c>
      <c r="F31" s="4">
        <v>2494.59</v>
      </c>
      <c r="G31" s="4">
        <v>47.52</v>
      </c>
      <c r="H31" s="4">
        <v>118.79</v>
      </c>
      <c r="I31" s="4">
        <v>2851</v>
      </c>
      <c r="J31" s="4"/>
      <c r="K31" s="6">
        <f t="shared" si="0"/>
        <v>33054.18</v>
      </c>
    </row>
    <row r="32" spans="1:12" x14ac:dyDescent="0.15">
      <c r="A32" s="4" t="s">
        <v>11</v>
      </c>
      <c r="B32" s="4" t="s">
        <v>19</v>
      </c>
      <c r="C32" s="5" t="s">
        <v>28</v>
      </c>
      <c r="D32" s="4"/>
      <c r="E32" s="4"/>
      <c r="F32" s="4">
        <v>0</v>
      </c>
      <c r="G32" s="4"/>
      <c r="H32" s="4"/>
      <c r="I32" s="4"/>
      <c r="J32" s="7">
        <v>33591.42</v>
      </c>
      <c r="K32" s="6">
        <f t="shared" si="0"/>
        <v>33591.42</v>
      </c>
    </row>
    <row r="33" spans="1:11" x14ac:dyDescent="0.15">
      <c r="A33" s="4" t="s">
        <v>10</v>
      </c>
      <c r="B33" s="4" t="s">
        <v>19</v>
      </c>
      <c r="C33" s="5" t="s">
        <v>29</v>
      </c>
      <c r="D33" s="4"/>
      <c r="E33" s="4"/>
      <c r="F33" s="4"/>
      <c r="G33" s="4"/>
      <c r="H33" s="4"/>
      <c r="I33" s="4"/>
      <c r="J33" s="7"/>
      <c r="K33" s="6"/>
    </row>
    <row r="34" spans="1:11" x14ac:dyDescent="0.15">
      <c r="A34" s="4" t="s">
        <v>10</v>
      </c>
      <c r="B34" s="4" t="s">
        <v>19</v>
      </c>
      <c r="C34" s="5" t="s">
        <v>30</v>
      </c>
      <c r="D34" s="4">
        <v>18988</v>
      </c>
      <c r="E34" s="4">
        <v>3040.8</v>
      </c>
      <c r="F34" s="4">
        <v>1995.53</v>
      </c>
      <c r="G34" s="4">
        <v>38.01</v>
      </c>
      <c r="H34" s="4">
        <v>95.03</v>
      </c>
      <c r="I34" s="4">
        <v>2279</v>
      </c>
      <c r="J34" s="7"/>
      <c r="K34" s="6">
        <f t="shared" si="0"/>
        <v>26436.369999999995</v>
      </c>
    </row>
    <row r="35" spans="1:11" x14ac:dyDescent="0.15">
      <c r="A35" s="4" t="s">
        <v>10</v>
      </c>
      <c r="B35" s="4" t="s">
        <v>18</v>
      </c>
      <c r="C35" s="5" t="s">
        <v>31</v>
      </c>
      <c r="D35" s="4">
        <v>10583</v>
      </c>
      <c r="E35" s="4">
        <v>1696</v>
      </c>
      <c r="F35" s="4">
        <v>1113</v>
      </c>
      <c r="G35" s="4">
        <v>21.2</v>
      </c>
      <c r="H35" s="4">
        <v>53</v>
      </c>
      <c r="I35" s="4">
        <v>1272</v>
      </c>
      <c r="J35" s="7"/>
      <c r="K35" s="6">
        <f t="shared" si="0"/>
        <v>14738.2</v>
      </c>
    </row>
    <row r="36" spans="1:11" x14ac:dyDescent="0.15">
      <c r="A36" s="4" t="s">
        <v>11</v>
      </c>
      <c r="B36" s="4" t="s">
        <v>18</v>
      </c>
      <c r="C36" s="5" t="s">
        <v>32</v>
      </c>
      <c r="D36" s="4"/>
      <c r="E36" s="4"/>
      <c r="F36" s="4">
        <v>0</v>
      </c>
      <c r="G36" s="4"/>
      <c r="H36" s="4"/>
      <c r="I36" s="4"/>
      <c r="J36" s="8">
        <v>13372.97</v>
      </c>
      <c r="K36" s="6">
        <f t="shared" si="0"/>
        <v>13372.97</v>
      </c>
    </row>
    <row r="37" spans="1:11" x14ac:dyDescent="0.15">
      <c r="A37" s="4" t="s">
        <v>10</v>
      </c>
      <c r="B37" s="4" t="s">
        <v>19</v>
      </c>
      <c r="C37" s="5" t="s">
        <v>33</v>
      </c>
      <c r="D37" s="4">
        <v>25000</v>
      </c>
      <c r="E37" s="4">
        <v>4010.4</v>
      </c>
      <c r="F37" s="4">
        <v>2631.83</v>
      </c>
      <c r="G37" s="4">
        <v>50.13</v>
      </c>
      <c r="H37" s="4">
        <v>125.33</v>
      </c>
      <c r="I37" s="4">
        <v>3000</v>
      </c>
      <c r="J37" s="7"/>
      <c r="K37" s="6">
        <f t="shared" si="0"/>
        <v>34817.69</v>
      </c>
    </row>
    <row r="38" spans="1:11" x14ac:dyDescent="0.15">
      <c r="A38" s="4" t="s">
        <v>10</v>
      </c>
      <c r="B38" s="4" t="s">
        <v>19</v>
      </c>
      <c r="C38" s="5" t="s">
        <v>34</v>
      </c>
      <c r="D38" s="4">
        <v>23000</v>
      </c>
      <c r="E38" s="4">
        <v>3710.88</v>
      </c>
      <c r="F38" s="4">
        <v>2435.27</v>
      </c>
      <c r="G38" s="4">
        <v>46.39</v>
      </c>
      <c r="H38" s="4">
        <v>115.97</v>
      </c>
      <c r="I38" s="4">
        <v>2783</v>
      </c>
      <c r="J38" s="7"/>
      <c r="K38" s="6">
        <f t="shared" si="0"/>
        <v>32091.510000000002</v>
      </c>
    </row>
    <row r="39" spans="1:11" x14ac:dyDescent="0.15">
      <c r="A39" s="4" t="s">
        <v>11</v>
      </c>
      <c r="B39" s="4" t="s">
        <v>18</v>
      </c>
      <c r="C39" s="5" t="s">
        <v>35</v>
      </c>
      <c r="D39" s="4"/>
      <c r="E39" s="4"/>
      <c r="F39" s="4">
        <v>0</v>
      </c>
      <c r="G39" s="4"/>
      <c r="H39" s="4"/>
      <c r="I39" s="4"/>
      <c r="J39" s="7">
        <v>10690.63</v>
      </c>
      <c r="K39" s="6">
        <f t="shared" si="0"/>
        <v>10690.63</v>
      </c>
    </row>
    <row r="40" spans="1:11" x14ac:dyDescent="0.15">
      <c r="A40" s="4" t="s">
        <v>10</v>
      </c>
      <c r="B40" s="4" t="s">
        <v>18</v>
      </c>
      <c r="C40" s="5" t="s">
        <v>36</v>
      </c>
      <c r="D40" s="4">
        <v>9400</v>
      </c>
      <c r="E40" s="4">
        <v>1360</v>
      </c>
      <c r="F40" s="4">
        <v>892.5</v>
      </c>
      <c r="G40" s="4">
        <v>17</v>
      </c>
      <c r="H40" s="4">
        <v>42.5</v>
      </c>
      <c r="I40" s="4">
        <v>1020</v>
      </c>
      <c r="J40" s="7"/>
      <c r="K40" s="6">
        <f t="shared" si="0"/>
        <v>12732</v>
      </c>
    </row>
    <row r="41" spans="1:11" x14ac:dyDescent="0.15">
      <c r="A41" s="4" t="s">
        <v>11</v>
      </c>
      <c r="B41" s="4" t="s">
        <v>18</v>
      </c>
      <c r="C41" s="5" t="s">
        <v>37</v>
      </c>
      <c r="D41" s="4"/>
      <c r="E41" s="4"/>
      <c r="F41" s="4"/>
      <c r="G41" s="4"/>
      <c r="H41" s="4"/>
      <c r="I41" s="4"/>
      <c r="J41" s="7">
        <v>42591.66</v>
      </c>
      <c r="K41" s="6">
        <f t="shared" si="0"/>
        <v>42591.66</v>
      </c>
    </row>
    <row r="42" spans="1:11" x14ac:dyDescent="0.15">
      <c r="A42" s="4" t="s">
        <v>11</v>
      </c>
      <c r="B42" s="4" t="s">
        <v>18</v>
      </c>
      <c r="C42" s="5" t="s">
        <v>38</v>
      </c>
      <c r="D42" s="4"/>
      <c r="E42" s="4"/>
      <c r="F42" s="4"/>
      <c r="G42" s="4"/>
      <c r="H42" s="4"/>
      <c r="I42" s="4"/>
      <c r="J42" s="9">
        <f>8558.66+31.58</f>
        <v>8590.24</v>
      </c>
      <c r="K42" s="6">
        <f t="shared" si="0"/>
        <v>8590.24</v>
      </c>
    </row>
    <row r="43" spans="1:11" x14ac:dyDescent="0.15">
      <c r="A43" s="4" t="s">
        <v>10</v>
      </c>
      <c r="B43" s="4" t="s">
        <v>19</v>
      </c>
      <c r="C43" s="5" t="s">
        <v>39</v>
      </c>
      <c r="D43" s="4">
        <v>21200</v>
      </c>
      <c r="E43" s="4">
        <v>4010.4</v>
      </c>
      <c r="F43" s="4">
        <f>2255.85+125.33+250.65</f>
        <v>2631.83</v>
      </c>
      <c r="G43" s="4">
        <v>137.86000000000001</v>
      </c>
      <c r="H43" s="4">
        <v>125.33</v>
      </c>
      <c r="I43" s="4">
        <v>2539</v>
      </c>
      <c r="J43" s="7"/>
      <c r="K43" s="6">
        <f t="shared" si="0"/>
        <v>30644.420000000006</v>
      </c>
    </row>
    <row r="44" spans="1:11" x14ac:dyDescent="0.15">
      <c r="A44" s="4" t="s">
        <v>10</v>
      </c>
      <c r="B44" s="4" t="s">
        <v>19</v>
      </c>
      <c r="C44" s="5" t="s">
        <v>40</v>
      </c>
      <c r="D44" s="4"/>
      <c r="E44" s="4"/>
      <c r="F44" s="4"/>
      <c r="G44" s="4"/>
      <c r="H44" s="4"/>
      <c r="I44" s="4"/>
      <c r="J44" s="7"/>
      <c r="K44" s="6"/>
    </row>
    <row r="45" spans="1:11" x14ac:dyDescent="0.15">
      <c r="A45" s="4" t="s">
        <v>10</v>
      </c>
      <c r="B45" s="4" t="s">
        <v>19</v>
      </c>
      <c r="C45" s="5" t="s">
        <v>41</v>
      </c>
      <c r="D45" s="4"/>
      <c r="E45" s="4"/>
      <c r="F45" s="4"/>
      <c r="G45" s="4"/>
      <c r="H45" s="4"/>
      <c r="I45" s="4"/>
      <c r="J45" s="7"/>
      <c r="K45" s="6"/>
    </row>
    <row r="46" spans="1:11" x14ac:dyDescent="0.15">
      <c r="A46" s="4" t="s">
        <v>10</v>
      </c>
      <c r="B46" s="4" t="s">
        <v>19</v>
      </c>
      <c r="C46" s="5" t="s">
        <v>42</v>
      </c>
      <c r="D46" s="4"/>
      <c r="E46" s="4"/>
      <c r="F46" s="4"/>
      <c r="G46" s="4"/>
      <c r="H46" s="4"/>
      <c r="I46" s="4"/>
      <c r="J46" s="7"/>
      <c r="K46" s="6"/>
    </row>
    <row r="47" spans="1:11" x14ac:dyDescent="0.15">
      <c r="A47" s="4" t="s">
        <v>11</v>
      </c>
      <c r="B47" s="4" t="s">
        <v>18</v>
      </c>
      <c r="C47" s="5" t="s">
        <v>43</v>
      </c>
      <c r="D47" s="4"/>
      <c r="E47" s="4"/>
      <c r="F47" s="4"/>
      <c r="G47" s="4"/>
      <c r="H47" s="4"/>
      <c r="I47" s="4"/>
      <c r="J47" s="7"/>
      <c r="K47" s="6"/>
    </row>
    <row r="48" spans="1:11" x14ac:dyDescent="0.2">
      <c r="K48" s="11">
        <f>SUM(K26:K47)</f>
        <v>458641.27999999997</v>
      </c>
    </row>
  </sheetData>
  <mergeCells count="2">
    <mergeCell ref="A2:L2"/>
    <mergeCell ref="D24:K24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AD0DF6-D683-4BC4-8407-F19D6208F624}"/>
</file>

<file path=customXml/itemProps2.xml><?xml version="1.0" encoding="utf-8"?>
<ds:datastoreItem xmlns:ds="http://schemas.openxmlformats.org/officeDocument/2006/customXml" ds:itemID="{6E715B83-FF84-4FC7-8F10-73F8123128F7}"/>
</file>

<file path=customXml/itemProps3.xml><?xml version="1.0" encoding="utf-8"?>
<ds:datastoreItem xmlns:ds="http://schemas.openxmlformats.org/officeDocument/2006/customXml" ds:itemID="{42308E9D-7958-4CE8-A719-D6E5531370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中远海运天津公司</dc:creator>
  <cp:lastModifiedBy>lvchengguang</cp:lastModifiedBy>
  <dcterms:created xsi:type="dcterms:W3CDTF">2025-11-19T03:12:50Z</dcterms:created>
  <dcterms:modified xsi:type="dcterms:W3CDTF">2026-02-06T03:17:01Z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
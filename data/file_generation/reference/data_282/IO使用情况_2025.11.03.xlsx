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0201"/>
  <workbookPr/>
  <mc:AlternateContent xmlns:mc="http://schemas.openxmlformats.org/markup-compatibility/2006">
    <mc:Choice Requires="x15">
      <x15ac:absPath xmlns:x15ac="http://schemas.microsoft.com/office/spreadsheetml/2010/11/ac" url="/Users/qiutianyu/Desktop/qty/数值统计数据编辑/output/data_282/"/>
    </mc:Choice>
  </mc:AlternateContent>
  <xr:revisionPtr revIDLastSave="0" documentId="13_ncr:1_{27605B63-4372-284C-953F-1ECA41AF5B56}" xr6:coauthVersionLast="47" xr6:coauthVersionMax="47" xr10:uidLastSave="{00000000-0000-0000-0000-000000000000}"/>
  <bookViews>
    <workbookView xWindow="1380" yWindow="660" windowWidth="19020" windowHeight="21620" activeTab="1" xr2:uid="{00000000-000D-0000-FFFF-FFFF00000000}"/>
  </bookViews>
  <sheets>
    <sheet name="total" sheetId="2" r:id="rId1"/>
    <sheet name="20251103" sheetId="3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38" i="3" l="1"/>
</calcChain>
</file>

<file path=xl/sharedStrings.xml><?xml version="1.0" encoding="utf-8"?>
<sst xmlns="http://schemas.openxmlformats.org/spreadsheetml/2006/main" count="87" uniqueCount="49">
  <si>
    <t>订单</t>
  </si>
  <si>
    <t xml:space="preserve">      预算</t>
  </si>
  <si>
    <t xml:space="preserve">      实际的</t>
  </si>
  <si>
    <t xml:space="preserve">      承诺</t>
  </si>
  <si>
    <t xml:space="preserve">      已分配</t>
  </si>
  <si>
    <t xml:space="preserve">      可用的</t>
  </si>
  <si>
    <t>*   Total</t>
  </si>
  <si>
    <t>清单: 预算/实际/承诺</t>
  </si>
  <si>
    <t>26.06.2025</t>
  </si>
  <si>
    <t>Order group</t>
  </si>
  <si>
    <t>财年</t>
  </si>
  <si>
    <t>可用占比</t>
  </si>
  <si>
    <t>可开票</t>
  </si>
  <si>
    <t>开票完成</t>
  </si>
  <si>
    <t>order_1</t>
    <phoneticPr fontId="2" type="noConversion"/>
  </si>
  <si>
    <t>order_2</t>
    <phoneticPr fontId="2" type="noConversion"/>
  </si>
  <si>
    <t>order_3</t>
  </si>
  <si>
    <t>order_4</t>
  </si>
  <si>
    <t>order_5</t>
  </si>
  <si>
    <t>order_6</t>
  </si>
  <si>
    <t>order_7</t>
  </si>
  <si>
    <t>order_8</t>
  </si>
  <si>
    <t>order_9</t>
  </si>
  <si>
    <t>order_10</t>
  </si>
  <si>
    <t>order_11</t>
  </si>
  <si>
    <t>order_12</t>
  </si>
  <si>
    <t>order_13</t>
  </si>
  <si>
    <t>order_14</t>
  </si>
  <si>
    <t>order_15</t>
  </si>
  <si>
    <t>order_16</t>
  </si>
  <si>
    <t>order_17</t>
  </si>
  <si>
    <t>order_18</t>
  </si>
  <si>
    <t>order_19</t>
  </si>
  <si>
    <t>order_20</t>
  </si>
  <si>
    <t>order_21</t>
  </si>
  <si>
    <t>order_22</t>
  </si>
  <si>
    <t>order_23</t>
  </si>
  <si>
    <t>order_24</t>
  </si>
  <si>
    <t>order_25</t>
  </si>
  <si>
    <t>order_26</t>
  </si>
  <si>
    <t>order_27</t>
  </si>
  <si>
    <t>order_28</t>
  </si>
  <si>
    <t>order_29</t>
  </si>
  <si>
    <t>order_30</t>
  </si>
  <si>
    <t>order_31</t>
  </si>
  <si>
    <t>order_32</t>
  </si>
  <si>
    <t>order_33</t>
  </si>
  <si>
    <t>order_1</t>
  </si>
  <si>
    <t>order_2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</si>
</sst>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(* #,##0.00_);_(* \(#,##0.00\);_(* &quot;-&quot;??_);_(@_)"/>
  </numFmts>
  <fonts count="5">
    <font>
      <sz val="11"/>
      <color theme="1"/>
      <name val="等线"/>
      <charset val="134"/>
      <scheme val="minor"/>
    </font>
    <font>
      <sz val="11"/>
      <color theme="1"/>
      <name val="等线"/>
      <family val="4"/>
      <charset val="134"/>
      <scheme val="minor"/>
    </font>
    <font>
      <sz val="9"/>
      <name val="等线"/>
      <family val="4"/>
      <charset val="134"/>
      <scheme val="minor"/>
    </font>
    <font>
      <sz val="11"/>
      <color rgb="FF000000"/>
      <name val="等线"/>
      <family val="4"/>
      <charset val="134"/>
      <scheme val="minor"/>
    </font>
    <font>
      <sz val="10"/>
      <color theme="1"/>
      <name val="等线"/>
      <family val="4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rgb="FFDEE0E3"/>
      </left>
      <right style="thin">
        <color rgb="FFDEE0E3"/>
      </right>
      <top style="thin">
        <color rgb="FFDEE0E3"/>
      </top>
      <bottom style="thin">
        <color rgb="FFDEE0E3"/>
      </bottom>
      <diagonal/>
    </border>
  </borders>
  <cellStyleXfs count="3">
    <xf numFmtId="0" fontId="0" fillId="0" borderId="0">
      <alignment vertical="center"/>
    </xf>
    <xf numFmtId="43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</cellStyleXfs>
  <cellXfs count="11">
    <xf numFmtId="0" fontId="0" fillId="0" borderId="0" xfId="0">
      <alignment vertical="center"/>
    </xf>
    <xf numFmtId="43" fontId="0" fillId="0" borderId="0" xfId="1" applyFont="1">
      <alignment vertical="center"/>
    </xf>
    <xf numFmtId="9" fontId="0" fillId="0" borderId="0" xfId="2" applyFont="1">
      <alignment vertical="center"/>
    </xf>
    <xf numFmtId="0" fontId="0" fillId="2" borderId="0" xfId="0" applyFill="1">
      <alignment vertical="center"/>
    </xf>
    <xf numFmtId="0" fontId="1" fillId="0" borderId="0" xfId="0" applyFont="1">
      <alignment vertical="center"/>
    </xf>
    <xf numFmtId="0" fontId="3" fillId="0" borderId="1" xfId="0" applyFont="1" applyBorder="1">
      <alignment vertical="center"/>
    </xf>
    <xf numFmtId="4" fontId="3" fillId="0" borderId="1" xfId="0" applyNumberFormat="1" applyFont="1" applyBorder="1">
      <alignment vertical="center"/>
    </xf>
    <xf numFmtId="0" fontId="4" fillId="0" borderId="1" xfId="0" applyFont="1" applyBorder="1">
      <alignment vertical="center"/>
    </xf>
    <xf numFmtId="9" fontId="3" fillId="0" borderId="1" xfId="0" applyNumberFormat="1" applyFont="1" applyBorder="1">
      <alignment vertical="center"/>
    </xf>
    <xf numFmtId="14" fontId="3" fillId="0" borderId="1" xfId="0" applyNumberFormat="1" applyFont="1" applyBorder="1">
      <alignment vertical="center"/>
    </xf>
    <xf numFmtId="21" fontId="3" fillId="0" borderId="1" xfId="0" applyNumberFormat="1" applyFont="1" applyBorder="1">
      <alignment vertical="center"/>
    </xf>
  </cellXfs>
  <cellStyles count="3">
    <cellStyle name="百分比" xfId="2" builtinId="5"/>
    <cellStyle name="常规" xfId="0" builtinId="0"/>
    <cellStyle name="千位分隔" xfId="1" builtinId="3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Aptos Narrow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J68"/>
  <sheetViews>
    <sheetView workbookViewId="0">
      <selection activeCell="A42" sqref="A42"/>
    </sheetView>
  </sheetViews>
  <sheetFormatPr baseColWidth="10" defaultColWidth="9" defaultRowHeight="15"/>
  <cols>
    <col min="1" max="1" width="43.5" customWidth="1"/>
    <col min="2" max="6" width="13.33203125" style="1" customWidth="1"/>
  </cols>
  <sheetData>
    <row r="1" spans="1:10"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J1" s="3"/>
    </row>
    <row r="2" spans="1:10">
      <c r="A2" s="4" t="s">
        <v>14</v>
      </c>
      <c r="B2" s="1">
        <v>13592</v>
      </c>
      <c r="C2" s="1">
        <v>21511.759999999998</v>
      </c>
      <c r="E2" s="1">
        <v>21511.759999999998</v>
      </c>
      <c r="F2" s="1">
        <v>-7919.76</v>
      </c>
      <c r="J2" s="3"/>
    </row>
    <row r="3" spans="1:10">
      <c r="A3" s="4" t="s">
        <v>15</v>
      </c>
      <c r="B3" s="1">
        <v>55700</v>
      </c>
      <c r="C3" s="1">
        <v>55152.24</v>
      </c>
      <c r="E3" s="1">
        <v>55152.24</v>
      </c>
      <c r="F3" s="1">
        <v>547.76</v>
      </c>
      <c r="J3" s="3"/>
    </row>
    <row r="4" spans="1:10">
      <c r="A4" s="4" t="s">
        <v>16</v>
      </c>
      <c r="B4" s="1">
        <v>100000</v>
      </c>
      <c r="C4" s="1">
        <v>99884.26</v>
      </c>
      <c r="E4" s="1">
        <v>99884.26</v>
      </c>
      <c r="F4" s="1">
        <v>115.74</v>
      </c>
      <c r="J4" s="3"/>
    </row>
    <row r="5" spans="1:10">
      <c r="A5" s="4" t="s">
        <v>17</v>
      </c>
      <c r="B5" s="1">
        <v>47958</v>
      </c>
      <c r="C5" s="1">
        <v>47540.31</v>
      </c>
      <c r="E5" s="1">
        <v>47540.31</v>
      </c>
      <c r="F5" s="1">
        <v>417.69</v>
      </c>
      <c r="J5" s="3"/>
    </row>
    <row r="6" spans="1:10">
      <c r="A6" s="4" t="s">
        <v>18</v>
      </c>
      <c r="B6" s="1">
        <v>19417</v>
      </c>
      <c r="C6" s="1">
        <v>18346.919999999998</v>
      </c>
      <c r="E6" s="1">
        <v>18346.919999999998</v>
      </c>
      <c r="F6" s="1">
        <v>1070.08</v>
      </c>
      <c r="J6" s="3"/>
    </row>
    <row r="7" spans="1:10">
      <c r="A7" s="4" t="s">
        <v>19</v>
      </c>
      <c r="B7" s="1">
        <v>13702</v>
      </c>
      <c r="C7" s="1">
        <v>10970.08</v>
      </c>
      <c r="E7" s="1">
        <v>10970.08</v>
      </c>
      <c r="F7" s="1">
        <v>2731.92</v>
      </c>
      <c r="J7" s="3"/>
    </row>
    <row r="8" spans="1:10">
      <c r="A8" s="4" t="s">
        <v>20</v>
      </c>
      <c r="B8" s="1">
        <v>34169</v>
      </c>
      <c r="C8" s="1">
        <v>29228.86</v>
      </c>
      <c r="E8" s="1">
        <v>29228.86</v>
      </c>
      <c r="F8" s="1">
        <v>4940.1400000000003</v>
      </c>
      <c r="J8" s="3"/>
    </row>
    <row r="9" spans="1:10">
      <c r="A9" s="4" t="s">
        <v>21</v>
      </c>
      <c r="B9" s="1">
        <v>68339</v>
      </c>
      <c r="C9" s="1">
        <v>62617.55</v>
      </c>
      <c r="E9" s="1">
        <v>62617.55</v>
      </c>
      <c r="F9" s="1">
        <v>5721.45</v>
      </c>
      <c r="J9" s="3"/>
    </row>
    <row r="10" spans="1:10">
      <c r="A10" s="4" t="s">
        <v>22</v>
      </c>
      <c r="B10" s="1">
        <v>20530</v>
      </c>
      <c r="C10" s="1">
        <v>19290.189999999999</v>
      </c>
      <c r="E10" s="1">
        <v>19290.189999999999</v>
      </c>
      <c r="F10" s="1">
        <v>1239.81</v>
      </c>
      <c r="J10" s="3"/>
    </row>
    <row r="11" spans="1:10">
      <c r="A11" s="4" t="s">
        <v>23</v>
      </c>
      <c r="B11" s="1">
        <v>105472</v>
      </c>
      <c r="C11" s="1">
        <v>100564.83</v>
      </c>
      <c r="E11" s="1">
        <v>100564.83</v>
      </c>
      <c r="F11" s="1">
        <v>4907.17</v>
      </c>
      <c r="J11" s="3"/>
    </row>
    <row r="12" spans="1:10">
      <c r="A12" s="4" t="s">
        <v>24</v>
      </c>
      <c r="B12" s="1">
        <v>44849</v>
      </c>
      <c r="C12" s="1">
        <v>22799.69</v>
      </c>
      <c r="D12" s="1">
        <v>17309.060000000001</v>
      </c>
      <c r="E12" s="1">
        <v>40108.75</v>
      </c>
      <c r="F12" s="1">
        <v>4740.25</v>
      </c>
      <c r="J12" s="3"/>
    </row>
    <row r="13" spans="1:10">
      <c r="A13" s="4" t="s">
        <v>25</v>
      </c>
      <c r="B13" s="1">
        <v>75172</v>
      </c>
      <c r="C13" s="1">
        <v>60234.79</v>
      </c>
      <c r="D13" s="1">
        <v>13963.04</v>
      </c>
      <c r="E13" s="1">
        <v>74197.83</v>
      </c>
      <c r="F13" s="1">
        <v>974.17</v>
      </c>
      <c r="J13" s="3"/>
    </row>
    <row r="14" spans="1:10">
      <c r="A14" s="4" t="s">
        <v>26</v>
      </c>
      <c r="B14" s="1">
        <v>42046</v>
      </c>
      <c r="C14" s="1">
        <v>25154.82</v>
      </c>
      <c r="F14" s="1">
        <v>16891.18</v>
      </c>
      <c r="J14" s="3"/>
    </row>
    <row r="15" spans="1:10">
      <c r="A15" s="4" t="s">
        <v>27</v>
      </c>
      <c r="B15" s="1">
        <v>98000</v>
      </c>
      <c r="C15" s="1">
        <v>76302.179999999993</v>
      </c>
      <c r="D15" s="1">
        <v>2949.13</v>
      </c>
      <c r="E15" s="1">
        <v>79251.31</v>
      </c>
      <c r="F15" s="1">
        <v>18748.689999999999</v>
      </c>
      <c r="J15" s="3"/>
    </row>
    <row r="16" spans="1:10">
      <c r="A16" s="4" t="s">
        <v>28</v>
      </c>
      <c r="B16" s="1">
        <v>123543</v>
      </c>
      <c r="C16" s="1">
        <v>123370.07</v>
      </c>
      <c r="E16" s="1">
        <v>123370.07</v>
      </c>
      <c r="F16" s="1">
        <v>172.93</v>
      </c>
      <c r="J16" s="3"/>
    </row>
    <row r="17" spans="1:10">
      <c r="A17" s="4" t="s">
        <v>29</v>
      </c>
      <c r="B17" s="1">
        <v>19123</v>
      </c>
      <c r="C17" s="1">
        <v>11219.31</v>
      </c>
      <c r="D17" s="1">
        <v>6862.36</v>
      </c>
      <c r="E17" s="1">
        <v>18081.669999999998</v>
      </c>
      <c r="F17" s="1">
        <v>1041.33</v>
      </c>
      <c r="J17" s="3"/>
    </row>
    <row r="18" spans="1:10">
      <c r="A18" s="4" t="s">
        <v>30</v>
      </c>
      <c r="B18" s="1">
        <v>118000</v>
      </c>
      <c r="C18" s="1">
        <v>6681.36</v>
      </c>
      <c r="E18" s="1">
        <v>6681.36</v>
      </c>
      <c r="F18" s="1">
        <v>111318.64</v>
      </c>
      <c r="J18" s="3"/>
    </row>
    <row r="19" spans="1:10">
      <c r="A19" s="4" t="s">
        <v>31</v>
      </c>
      <c r="B19" s="1">
        <v>143000</v>
      </c>
      <c r="C19" s="1">
        <v>6748.86</v>
      </c>
      <c r="E19" s="1">
        <v>6748.86</v>
      </c>
      <c r="F19" s="1">
        <v>136251.14000000001</v>
      </c>
      <c r="J19" s="3"/>
    </row>
    <row r="20" spans="1:10">
      <c r="A20" s="4" t="s">
        <v>32</v>
      </c>
      <c r="B20" s="1">
        <v>1800000</v>
      </c>
      <c r="C20" s="1">
        <v>938710.57</v>
      </c>
      <c r="D20" s="1">
        <v>618720.98</v>
      </c>
      <c r="E20" s="1">
        <v>1557431.55</v>
      </c>
      <c r="F20" s="1">
        <v>242568.45</v>
      </c>
      <c r="J20" s="3"/>
    </row>
    <row r="21" spans="1:10">
      <c r="A21" s="4" t="s">
        <v>33</v>
      </c>
      <c r="B21" s="1">
        <v>31924</v>
      </c>
      <c r="C21" s="1">
        <v>13018.32</v>
      </c>
      <c r="E21" s="1">
        <v>13018.32</v>
      </c>
      <c r="F21" s="1">
        <v>18905.68</v>
      </c>
      <c r="J21" s="3"/>
    </row>
    <row r="22" spans="1:10">
      <c r="A22" s="4" t="s">
        <v>34</v>
      </c>
      <c r="B22" s="1">
        <v>68788</v>
      </c>
      <c r="C22" s="1">
        <v>51667.67</v>
      </c>
      <c r="D22" s="1">
        <v>10319</v>
      </c>
      <c r="E22" s="1">
        <v>61986.67</v>
      </c>
      <c r="F22" s="1">
        <v>6801.33</v>
      </c>
      <c r="J22" s="3"/>
    </row>
    <row r="23" spans="1:10">
      <c r="A23" s="4" t="s">
        <v>35</v>
      </c>
      <c r="B23" s="1">
        <v>35619</v>
      </c>
      <c r="C23" s="1">
        <v>22203.599999999999</v>
      </c>
      <c r="D23" s="1">
        <v>620.1</v>
      </c>
      <c r="E23" s="1">
        <v>22823.7</v>
      </c>
      <c r="F23" s="1">
        <v>12795.3</v>
      </c>
      <c r="J23" s="3"/>
    </row>
    <row r="24" spans="1:10">
      <c r="A24" s="4" t="s">
        <v>36</v>
      </c>
      <c r="B24" s="1">
        <v>15672</v>
      </c>
      <c r="C24" s="1">
        <v>11356.93</v>
      </c>
      <c r="D24" s="1">
        <v>1876.9</v>
      </c>
      <c r="E24" s="1">
        <v>13233.83</v>
      </c>
      <c r="F24" s="1">
        <v>2438.17</v>
      </c>
      <c r="J24" s="3"/>
    </row>
    <row r="25" spans="1:10">
      <c r="A25" s="4" t="s">
        <v>37</v>
      </c>
      <c r="B25" s="1">
        <v>38893</v>
      </c>
      <c r="F25" s="1">
        <v>38893</v>
      </c>
      <c r="J25" s="3"/>
    </row>
    <row r="26" spans="1:10">
      <c r="A26" s="4" t="s">
        <v>38</v>
      </c>
      <c r="B26" s="1">
        <v>86911</v>
      </c>
      <c r="C26" s="1">
        <v>74806.460000000006</v>
      </c>
      <c r="E26" s="1">
        <v>74806.460000000006</v>
      </c>
      <c r="F26" s="1">
        <v>12104.54</v>
      </c>
      <c r="J26" s="3"/>
    </row>
    <row r="27" spans="1:10">
      <c r="A27" s="4" t="s">
        <v>39</v>
      </c>
      <c r="B27" s="1">
        <v>245000</v>
      </c>
      <c r="D27" s="1">
        <v>13222.33</v>
      </c>
      <c r="E27" s="1">
        <v>13222.33</v>
      </c>
      <c r="F27" s="1">
        <v>231777.67</v>
      </c>
      <c r="J27" s="3"/>
    </row>
    <row r="28" spans="1:10">
      <c r="A28" s="4" t="s">
        <v>40</v>
      </c>
      <c r="B28" s="1">
        <v>38237</v>
      </c>
      <c r="C28" s="1">
        <v>13939.44</v>
      </c>
      <c r="D28" s="1">
        <v>14073.47</v>
      </c>
      <c r="E28" s="1">
        <v>28012.91</v>
      </c>
      <c r="F28" s="1">
        <v>10224.09</v>
      </c>
      <c r="J28" s="3"/>
    </row>
    <row r="29" spans="1:10">
      <c r="A29" s="4" t="s">
        <v>41</v>
      </c>
      <c r="B29" s="1">
        <v>8418</v>
      </c>
      <c r="D29" s="1">
        <v>7075.83</v>
      </c>
      <c r="E29" s="1">
        <v>7075.83</v>
      </c>
      <c r="F29" s="1">
        <v>1342.17</v>
      </c>
      <c r="J29" s="3"/>
    </row>
    <row r="30" spans="1:10">
      <c r="A30" s="4" t="s">
        <v>42</v>
      </c>
      <c r="B30" s="1">
        <v>23042</v>
      </c>
      <c r="C30" s="1">
        <v>9553.32</v>
      </c>
      <c r="E30" s="1">
        <v>9553.32</v>
      </c>
      <c r="F30" s="1">
        <v>13488.68</v>
      </c>
      <c r="J30" s="3"/>
    </row>
    <row r="31" spans="1:10">
      <c r="A31" s="4" t="s">
        <v>43</v>
      </c>
      <c r="B31" s="1">
        <v>10257</v>
      </c>
      <c r="D31" s="1">
        <v>4848.51</v>
      </c>
      <c r="E31" s="1">
        <v>4848.51</v>
      </c>
      <c r="F31" s="1">
        <v>5408.49</v>
      </c>
      <c r="J31" s="3"/>
    </row>
    <row r="32" spans="1:10">
      <c r="A32" s="4" t="s">
        <v>44</v>
      </c>
      <c r="B32" s="1">
        <v>2895019</v>
      </c>
      <c r="C32" s="1">
        <v>90273.5</v>
      </c>
      <c r="D32" s="1">
        <v>696722.14</v>
      </c>
      <c r="E32" s="1">
        <v>786995.64</v>
      </c>
      <c r="F32" s="1">
        <v>2108023.36</v>
      </c>
      <c r="J32" s="3"/>
    </row>
    <row r="33" spans="1:10">
      <c r="A33" s="4" t="s">
        <v>45</v>
      </c>
      <c r="B33" s="1">
        <v>11446</v>
      </c>
      <c r="F33" s="1">
        <v>11446</v>
      </c>
      <c r="J33" s="3"/>
    </row>
    <row r="34" spans="1:10">
      <c r="A34" s="4" t="s">
        <v>46</v>
      </c>
      <c r="B34" s="1">
        <v>16751</v>
      </c>
      <c r="F34" s="1">
        <v>16751</v>
      </c>
    </row>
    <row r="35" spans="1:10">
      <c r="A35" t="s">
        <v>6</v>
      </c>
      <c r="B35" s="1">
        <v>6468589</v>
      </c>
      <c r="C35" s="1">
        <v>2023147.89</v>
      </c>
      <c r="D35" s="1">
        <v>1408562.85</v>
      </c>
      <c r="E35" s="1">
        <v>3431710.74</v>
      </c>
      <c r="F35" s="1">
        <v>3036878.26</v>
      </c>
    </row>
    <row r="38" spans="1:10">
      <c r="J38" s="3"/>
    </row>
    <row r="39" spans="1:10">
      <c r="J39" s="3"/>
    </row>
    <row r="40" spans="1:10">
      <c r="J40" s="3"/>
    </row>
    <row r="41" spans="1:10">
      <c r="J41" s="3"/>
    </row>
    <row r="42" spans="1:10">
      <c r="J42" s="3"/>
    </row>
    <row r="43" spans="1:10">
      <c r="J43" s="3"/>
    </row>
    <row r="44" spans="1:10">
      <c r="J44" s="3"/>
    </row>
    <row r="45" spans="1:10">
      <c r="J45" s="3"/>
    </row>
    <row r="46" spans="1:10">
      <c r="J46" s="3"/>
    </row>
    <row r="47" spans="1:10">
      <c r="J47" s="3"/>
    </row>
    <row r="48" spans="1:10">
      <c r="J48" s="3"/>
    </row>
    <row r="49" spans="10:10">
      <c r="J49" s="3"/>
    </row>
    <row r="50" spans="10:10">
      <c r="J50" s="3"/>
    </row>
    <row r="51" spans="10:10">
      <c r="J51" s="3"/>
    </row>
    <row r="52" spans="10:10">
      <c r="J52" s="3"/>
    </row>
    <row r="53" spans="10:10">
      <c r="J53" s="3"/>
    </row>
    <row r="54" spans="10:10">
      <c r="J54" s="3"/>
    </row>
    <row r="55" spans="10:10">
      <c r="J55" s="3"/>
    </row>
    <row r="56" spans="10:10">
      <c r="J56" s="3"/>
    </row>
    <row r="57" spans="10:10">
      <c r="J57" s="3"/>
    </row>
    <row r="58" spans="10:10">
      <c r="J58" s="3"/>
    </row>
    <row r="59" spans="10:10">
      <c r="J59" s="3"/>
    </row>
    <row r="60" spans="10:10">
      <c r="J60" s="3"/>
    </row>
    <row r="61" spans="10:10">
      <c r="J61" s="3"/>
    </row>
    <row r="62" spans="10:10">
      <c r="J62" s="3"/>
    </row>
    <row r="63" spans="10:10">
      <c r="J63" s="3"/>
    </row>
    <row r="64" spans="10:10">
      <c r="J64" s="3"/>
    </row>
    <row r="65" spans="10:10">
      <c r="J65" s="3"/>
    </row>
    <row r="66" spans="10:10">
      <c r="J66" s="3"/>
    </row>
    <row r="67" spans="10:10">
      <c r="J67" s="3"/>
    </row>
    <row r="68" spans="10:10">
      <c r="J68" s="3"/>
    </row>
  </sheetData>
  <phoneticPr fontId="2" type="noConversion"/>
  <pageMargins left="0.7" right="0.7" top="0.75" bottom="0.75" header="0.3" footer="0.3"/>
  <headerFooter>
    <oddHeader>&amp;L&amp;"Calibri"&amp;10&amp;K000000 General Business - Tenneco Confidential&amp;1#</oddHead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I38"/>
  <sheetViews>
    <sheetView tabSelected="1" workbookViewId="0">
      <selection activeCell="D45" sqref="D45"/>
    </sheetView>
  </sheetViews>
  <sheetFormatPr baseColWidth="10" defaultColWidth="9" defaultRowHeight="15"/>
  <cols>
    <col min="1" max="1" width="43.5" customWidth="1"/>
    <col min="2" max="2" width="13.33203125" style="1" customWidth="1"/>
    <col min="3" max="3" width="12.5" style="1" customWidth="1"/>
    <col min="4" max="4" width="11.6640625" style="1" customWidth="1"/>
    <col min="5" max="6" width="13.33203125" style="1" customWidth="1"/>
  </cols>
  <sheetData>
    <row r="1" spans="1:9">
      <c r="A1" t="s">
        <v>7</v>
      </c>
      <c r="C1" s="1" t="s">
        <v>8</v>
      </c>
      <c r="D1" s="1">
        <v>0.44098379629629603</v>
      </c>
    </row>
    <row r="2" spans="1:9">
      <c r="A2" t="s">
        <v>9</v>
      </c>
      <c r="C2" s="1" t="s">
        <v>9</v>
      </c>
    </row>
    <row r="3" spans="1:9">
      <c r="A3" t="s">
        <v>10</v>
      </c>
      <c r="B3" s="1">
        <v>2025</v>
      </c>
    </row>
    <row r="4" spans="1:9">
      <c r="A4" t="s">
        <v>0</v>
      </c>
      <c r="B4" s="1" t="s">
        <v>1</v>
      </c>
      <c r="C4" s="1" t="s">
        <v>2</v>
      </c>
      <c r="D4" s="1" t="s">
        <v>3</v>
      </c>
      <c r="E4" s="1" t="s">
        <v>4</v>
      </c>
      <c r="F4" s="1" t="s">
        <v>5</v>
      </c>
      <c r="G4" t="s">
        <v>11</v>
      </c>
      <c r="H4" t="s">
        <v>12</v>
      </c>
      <c r="I4" t="s">
        <v>13</v>
      </c>
    </row>
    <row r="5" spans="1:9">
      <c r="A5" s="5" t="s">
        <v>31</v>
      </c>
      <c r="B5" s="6">
        <v>136251.14000000001</v>
      </c>
      <c r="C5" s="7"/>
      <c r="D5" s="7"/>
      <c r="E5" s="5"/>
      <c r="F5" s="6">
        <v>136251.14000000001</v>
      </c>
      <c r="G5" s="8">
        <v>1</v>
      </c>
    </row>
    <row r="6" spans="1:9">
      <c r="A6" s="5" t="s">
        <v>30</v>
      </c>
      <c r="B6" s="6">
        <v>111318.64</v>
      </c>
      <c r="C6" s="7"/>
      <c r="D6" s="7"/>
      <c r="E6" s="5"/>
      <c r="F6" s="6">
        <v>111318.64</v>
      </c>
      <c r="G6" s="8">
        <v>1</v>
      </c>
    </row>
    <row r="7" spans="1:9">
      <c r="A7" s="5" t="s">
        <v>37</v>
      </c>
      <c r="B7" s="6">
        <v>38893</v>
      </c>
      <c r="C7" s="7"/>
      <c r="D7" s="7"/>
      <c r="E7" s="5"/>
      <c r="F7" s="6">
        <v>38893</v>
      </c>
      <c r="G7" s="8">
        <v>1</v>
      </c>
    </row>
    <row r="8" spans="1:9">
      <c r="A8" s="5" t="s">
        <v>33</v>
      </c>
      <c r="B8" s="6">
        <v>18905.68</v>
      </c>
      <c r="C8" s="7"/>
      <c r="D8" s="7"/>
      <c r="E8" s="5"/>
      <c r="F8" s="6">
        <v>18905.68</v>
      </c>
      <c r="G8" s="8">
        <v>1</v>
      </c>
    </row>
    <row r="9" spans="1:9">
      <c r="A9" s="5" t="s">
        <v>26</v>
      </c>
      <c r="B9" s="6">
        <v>16891.18</v>
      </c>
      <c r="C9" s="7"/>
      <c r="D9" s="7"/>
      <c r="E9" s="5"/>
      <c r="F9" s="6">
        <v>16891.18</v>
      </c>
      <c r="G9" s="8">
        <v>1</v>
      </c>
    </row>
    <row r="10" spans="1:9">
      <c r="A10" s="5" t="s">
        <v>46</v>
      </c>
      <c r="B10" s="6">
        <v>16751</v>
      </c>
      <c r="C10" s="7"/>
      <c r="D10" s="7"/>
      <c r="E10" s="5"/>
      <c r="F10" s="6">
        <v>16751</v>
      </c>
      <c r="G10" s="8">
        <v>1</v>
      </c>
    </row>
    <row r="11" spans="1:9">
      <c r="A11" s="5" t="s">
        <v>45</v>
      </c>
      <c r="B11" s="6">
        <v>11446</v>
      </c>
      <c r="C11" s="7"/>
      <c r="D11" s="7"/>
      <c r="E11" s="5"/>
      <c r="F11" s="6">
        <v>11446</v>
      </c>
      <c r="G11" s="8">
        <v>1</v>
      </c>
    </row>
    <row r="12" spans="1:9">
      <c r="A12" s="5" t="s">
        <v>47</v>
      </c>
      <c r="B12" s="6">
        <v>5652.24</v>
      </c>
      <c r="C12" s="7"/>
      <c r="D12" s="7"/>
      <c r="E12" s="5"/>
      <c r="F12" s="6">
        <v>5652.24</v>
      </c>
      <c r="G12" s="8">
        <v>1</v>
      </c>
    </row>
    <row r="13" spans="1:9">
      <c r="A13" s="5" t="s">
        <v>22</v>
      </c>
      <c r="B13" s="6">
        <v>1239.81</v>
      </c>
      <c r="C13" s="7"/>
      <c r="D13" s="7"/>
      <c r="E13" s="5"/>
      <c r="F13" s="6">
        <v>1239.81</v>
      </c>
      <c r="G13" s="8">
        <v>1</v>
      </c>
    </row>
    <row r="14" spans="1:9">
      <c r="A14" s="5" t="s">
        <v>18</v>
      </c>
      <c r="B14" s="6">
        <v>1070.08</v>
      </c>
      <c r="C14" s="7"/>
      <c r="D14" s="7"/>
      <c r="E14" s="5"/>
      <c r="F14" s="6">
        <v>1070.08</v>
      </c>
      <c r="G14" s="8">
        <v>1</v>
      </c>
    </row>
    <row r="15" spans="1:9">
      <c r="A15" s="5" t="s">
        <v>48</v>
      </c>
      <c r="B15" s="9">
        <v>547</v>
      </c>
      <c r="C15" s="7"/>
      <c r="D15" s="7"/>
      <c r="E15" s="5"/>
      <c r="F15" s="9">
        <v>547</v>
      </c>
      <c r="G15" s="8">
        <v>1</v>
      </c>
    </row>
    <row r="16" spans="1:9">
      <c r="A16" s="5" t="s">
        <v>17</v>
      </c>
      <c r="B16" s="9">
        <v>417</v>
      </c>
      <c r="C16" s="7"/>
      <c r="D16" s="7"/>
      <c r="E16" s="5"/>
      <c r="F16" s="9">
        <v>417</v>
      </c>
      <c r="G16" s="8">
        <v>1</v>
      </c>
    </row>
    <row r="17" spans="1:7">
      <c r="A17" s="5" t="s">
        <v>28</v>
      </c>
      <c r="B17" s="5">
        <v>172.93</v>
      </c>
      <c r="C17" s="7"/>
      <c r="D17" s="7"/>
      <c r="E17" s="5"/>
      <c r="F17" s="5">
        <v>172.93</v>
      </c>
      <c r="G17" s="8">
        <v>1</v>
      </c>
    </row>
    <row r="18" spans="1:7">
      <c r="A18" s="5" t="s">
        <v>16</v>
      </c>
      <c r="B18" s="5">
        <v>115.74</v>
      </c>
      <c r="C18" s="7"/>
      <c r="D18" s="7"/>
      <c r="E18" s="5"/>
      <c r="F18" s="5">
        <v>115.74</v>
      </c>
      <c r="G18" s="8">
        <v>1</v>
      </c>
    </row>
    <row r="19" spans="1:7">
      <c r="A19" s="5" t="s">
        <v>19</v>
      </c>
      <c r="B19" s="6">
        <v>2764.68</v>
      </c>
      <c r="C19" s="10">
        <v>0.76</v>
      </c>
      <c r="D19" s="5"/>
      <c r="E19" s="5">
        <v>32.76</v>
      </c>
      <c r="F19" s="6">
        <v>2731.92</v>
      </c>
      <c r="G19" s="8">
        <v>0.99</v>
      </c>
    </row>
    <row r="20" spans="1:7">
      <c r="A20" s="5" t="s">
        <v>39</v>
      </c>
      <c r="B20" s="6">
        <v>245000</v>
      </c>
      <c r="C20" s="5"/>
      <c r="D20" s="6">
        <v>13222.33</v>
      </c>
      <c r="E20" s="6">
        <v>13222.33</v>
      </c>
      <c r="F20" s="6">
        <v>231777.67</v>
      </c>
      <c r="G20" s="8">
        <v>0.95</v>
      </c>
    </row>
    <row r="21" spans="1:7">
      <c r="A21" s="5" t="s">
        <v>27</v>
      </c>
      <c r="B21" s="6">
        <v>21970.27</v>
      </c>
      <c r="C21" s="5">
        <v>272.45</v>
      </c>
      <c r="D21" s="6">
        <v>2949.13</v>
      </c>
      <c r="E21" s="6">
        <v>3221.58</v>
      </c>
      <c r="F21" s="6">
        <v>18748.689999999999</v>
      </c>
      <c r="G21" s="8">
        <v>0.85</v>
      </c>
    </row>
    <row r="22" spans="1:7">
      <c r="A22" s="5" t="s">
        <v>35</v>
      </c>
      <c r="B22" s="6">
        <v>19770.54</v>
      </c>
      <c r="C22" s="6">
        <v>6355.14</v>
      </c>
      <c r="D22" s="5">
        <v>620.1</v>
      </c>
      <c r="E22" s="6">
        <v>6975.24</v>
      </c>
      <c r="F22" s="6">
        <v>12795.3</v>
      </c>
      <c r="G22" s="8">
        <v>0.65</v>
      </c>
    </row>
    <row r="23" spans="1:7">
      <c r="A23" s="5" t="s">
        <v>44</v>
      </c>
      <c r="B23" s="6">
        <v>2030141</v>
      </c>
      <c r="C23" s="6">
        <v>90273.5</v>
      </c>
      <c r="D23" s="6">
        <v>696722.14</v>
      </c>
      <c r="E23" s="6">
        <v>786995.64</v>
      </c>
      <c r="F23" s="6">
        <v>1243145.3600000001</v>
      </c>
      <c r="G23" s="8">
        <v>0.61</v>
      </c>
    </row>
    <row r="24" spans="1:7">
      <c r="A24" s="5" t="s">
        <v>23</v>
      </c>
      <c r="B24" s="6">
        <v>8606.86</v>
      </c>
      <c r="C24" s="6">
        <v>3699.69</v>
      </c>
      <c r="D24" s="5"/>
      <c r="E24" s="6">
        <v>3699.69</v>
      </c>
      <c r="F24" s="6">
        <v>4907.17</v>
      </c>
      <c r="G24" s="8">
        <v>0.56999999999999995</v>
      </c>
    </row>
    <row r="25" spans="1:7">
      <c r="A25" s="5" t="s">
        <v>43</v>
      </c>
      <c r="B25" s="6">
        <v>10257</v>
      </c>
      <c r="C25" s="5"/>
      <c r="D25" s="6">
        <v>4848.51</v>
      </c>
      <c r="E25" s="6">
        <v>4848.51</v>
      </c>
      <c r="F25" s="6">
        <v>5408.49</v>
      </c>
      <c r="G25" s="8">
        <v>0.53</v>
      </c>
    </row>
    <row r="26" spans="1:7">
      <c r="A26" s="5" t="s">
        <v>20</v>
      </c>
      <c r="B26" s="6">
        <v>11306.81</v>
      </c>
      <c r="C26" s="6">
        <v>6366.67</v>
      </c>
      <c r="D26" s="5"/>
      <c r="E26" s="6">
        <v>6366.67</v>
      </c>
      <c r="F26" s="6">
        <v>4940.1400000000003</v>
      </c>
      <c r="G26" s="8">
        <v>0.44</v>
      </c>
    </row>
    <row r="27" spans="1:7">
      <c r="A27" s="5" t="s">
        <v>36</v>
      </c>
      <c r="B27" s="6">
        <v>6824.15</v>
      </c>
      <c r="C27" s="6">
        <v>2509.08</v>
      </c>
      <c r="D27" s="6">
        <v>1876.9</v>
      </c>
      <c r="E27" s="6">
        <v>4385.9799999999996</v>
      </c>
      <c r="F27" s="6">
        <v>2438.17</v>
      </c>
      <c r="G27" s="8">
        <v>0.36</v>
      </c>
    </row>
    <row r="28" spans="1:7">
      <c r="A28" s="5" t="s">
        <v>21</v>
      </c>
      <c r="B28" s="6">
        <v>17028.09</v>
      </c>
      <c r="C28" s="6">
        <v>11306.64</v>
      </c>
      <c r="D28" s="5"/>
      <c r="E28" s="6">
        <v>11306.64</v>
      </c>
      <c r="F28" s="6">
        <v>5721.45</v>
      </c>
      <c r="G28" s="8">
        <v>0.34</v>
      </c>
    </row>
    <row r="29" spans="1:7">
      <c r="A29" s="5" t="s">
        <v>42</v>
      </c>
      <c r="B29" s="6">
        <v>14286.03</v>
      </c>
      <c r="C29" s="6">
        <v>9553.32</v>
      </c>
      <c r="D29" s="5"/>
      <c r="E29" s="6">
        <v>9553.32</v>
      </c>
      <c r="F29" s="6">
        <v>4732.71</v>
      </c>
      <c r="G29" s="8">
        <v>0.33</v>
      </c>
    </row>
    <row r="30" spans="1:7">
      <c r="A30" s="5" t="s">
        <v>40</v>
      </c>
      <c r="B30" s="6">
        <v>38237</v>
      </c>
      <c r="C30" s="6">
        <v>13939.44</v>
      </c>
      <c r="D30" s="6">
        <v>14073.47</v>
      </c>
      <c r="E30" s="6">
        <v>28012.91</v>
      </c>
      <c r="F30" s="6">
        <v>10224.09</v>
      </c>
      <c r="G30" s="8">
        <v>0.27</v>
      </c>
    </row>
    <row r="31" spans="1:7">
      <c r="A31" s="5" t="s">
        <v>38</v>
      </c>
      <c r="B31" s="6">
        <v>54163.63</v>
      </c>
      <c r="C31" s="6">
        <v>42059.09</v>
      </c>
      <c r="D31" s="5"/>
      <c r="E31" s="6">
        <v>42059.09</v>
      </c>
      <c r="F31" s="6">
        <v>12104.54</v>
      </c>
      <c r="G31" s="8">
        <v>0.22</v>
      </c>
    </row>
    <row r="32" spans="1:7">
      <c r="A32" s="5" t="s">
        <v>24</v>
      </c>
      <c r="B32" s="6">
        <v>22049.31</v>
      </c>
      <c r="C32" s="5"/>
      <c r="D32" s="6">
        <v>17309.060000000001</v>
      </c>
      <c r="E32" s="6">
        <v>17309.060000000001</v>
      </c>
      <c r="F32" s="6">
        <v>4740.25</v>
      </c>
      <c r="G32" s="8">
        <v>0.21</v>
      </c>
    </row>
    <row r="33" spans="1:7">
      <c r="A33" s="5" t="s">
        <v>34</v>
      </c>
      <c r="B33" s="6">
        <v>42795.54</v>
      </c>
      <c r="C33" s="6">
        <v>25675.21</v>
      </c>
      <c r="D33" s="6">
        <v>10319</v>
      </c>
      <c r="E33" s="6">
        <v>35994.21</v>
      </c>
      <c r="F33" s="6">
        <v>6801.33</v>
      </c>
      <c r="G33" s="8">
        <v>0.16</v>
      </c>
    </row>
    <row r="34" spans="1:7">
      <c r="A34" s="5" t="s">
        <v>41</v>
      </c>
      <c r="B34" s="6">
        <v>8418</v>
      </c>
      <c r="C34" s="5"/>
      <c r="D34" s="6">
        <v>7075.83</v>
      </c>
      <c r="E34" s="6">
        <v>7075.83</v>
      </c>
      <c r="F34" s="6">
        <v>1342.17</v>
      </c>
      <c r="G34" s="8">
        <v>0.16</v>
      </c>
    </row>
    <row r="35" spans="1:7">
      <c r="A35" s="5" t="s">
        <v>32</v>
      </c>
      <c r="B35" s="6">
        <v>1081140.8</v>
      </c>
      <c r="C35" s="6">
        <v>880851.37</v>
      </c>
      <c r="D35" s="6">
        <v>43320.98</v>
      </c>
      <c r="E35" s="6">
        <v>924172.35</v>
      </c>
      <c r="F35" s="6">
        <v>156968.45000000001</v>
      </c>
      <c r="G35" s="8">
        <v>0.15</v>
      </c>
    </row>
    <row r="36" spans="1:7">
      <c r="A36" s="5" t="s">
        <v>29</v>
      </c>
      <c r="B36" s="6">
        <v>12510.52</v>
      </c>
      <c r="C36" s="6">
        <v>4606.83</v>
      </c>
      <c r="D36" s="6">
        <v>6862.36</v>
      </c>
      <c r="E36" s="6">
        <v>11469.19</v>
      </c>
      <c r="F36" s="6">
        <v>1041.33</v>
      </c>
      <c r="G36" s="8">
        <v>0.08</v>
      </c>
    </row>
    <row r="37" spans="1:7">
      <c r="A37" s="5" t="s">
        <v>25</v>
      </c>
      <c r="B37" s="6">
        <v>32269.58</v>
      </c>
      <c r="C37" s="6">
        <v>17332.37</v>
      </c>
      <c r="D37" s="6">
        <v>13963.04</v>
      </c>
      <c r="E37" s="6">
        <v>31295.41</v>
      </c>
      <c r="F37" s="5">
        <v>974.17</v>
      </c>
      <c r="G37" s="8">
        <v>0.03</v>
      </c>
    </row>
    <row r="38" spans="1:7">
      <c r="A38" t="s">
        <v>6</v>
      </c>
      <c r="B38" s="1">
        <v>4039212.7</v>
      </c>
      <c r="C38" s="1">
        <v>1114833.56</v>
      </c>
      <c r="D38" s="1">
        <v>833162.85</v>
      </c>
      <c r="E38" s="1">
        <v>1947996.41</v>
      </c>
      <c r="F38" s="1">
        <v>2091216.29</v>
      </c>
      <c r="G38" s="2">
        <f t="shared" ref="G38" si="0">F38/B38</f>
        <v>0.51772868757319956</v>
      </c>
    </row>
  </sheetData>
  <phoneticPr fontId="2" type="noConversion"/>
  <pageMargins left="0.7" right="0.7" top="0.75" bottom="0.75" header="0.3" footer="0.3"/>
  <headerFooter>
    <oddHeader>&amp;L&amp;"Calibri"&amp;10&amp;K000000 General Business - Tenneco Confidential&amp;1#</oddHeader>
  </headerFooter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文档" ma:contentTypeID="0x01010028C7B6C620067247A35EF62A3E68EE62" ma:contentTypeVersion="2" ma:contentTypeDescription="新建文档。" ma:contentTypeScope="" ma:versionID="afb9c51b290a08b96651a149e23bf63d">
  <xsd:schema xmlns:xsd="http://www.w3.org/2001/XMLSchema" xmlns:xs="http://www.w3.org/2001/XMLSchema" xmlns:p="http://schemas.microsoft.com/office/2006/metadata/properties" xmlns:ns2="eca6eae4-1627-4e8d-9a6b-5b4dd91506e7" targetNamespace="http://schemas.microsoft.com/office/2006/metadata/properties" ma:root="true" ma:fieldsID="5c256d110dbc588a3a1a6b419ffcea87" ns2:_="">
    <xsd:import namespace="eca6eae4-1627-4e8d-9a6b-5b4dd91506e7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ca6eae4-1627-4e8d-9a6b-5b4dd91506e7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共享对象: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共享对象详细信息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内容类型"/>
        <xsd:element ref="dc:title" minOccurs="0" maxOccurs="1" ma:index="4" ma:displayName="标题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C6EF61CE-C99E-48F4-A495-B997FB2153D5}"/>
</file>

<file path=customXml/itemProps2.xml><?xml version="1.0" encoding="utf-8"?>
<ds:datastoreItem xmlns:ds="http://schemas.openxmlformats.org/officeDocument/2006/customXml" ds:itemID="{5B9A778C-A453-4D41-A886-B51E28CFB452}"/>
</file>

<file path=customXml/itemProps3.xml><?xml version="1.0" encoding="utf-8"?>
<ds:datastoreItem xmlns:ds="http://schemas.openxmlformats.org/officeDocument/2006/customXml" ds:itemID="{7E3BD23B-B7C3-4B14-99B0-2028E225E1C9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total</vt:lpstr>
      <vt:lpstr>20251103</vt:lpstr>
    </vt:vector>
  </TitlesOfParts>
  <Company>Tenneco Enterprise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Chen, Nancy</dc:creator>
  <cp:lastModifiedBy>邱添羽</cp:lastModifiedBy>
  <dcterms:created xsi:type="dcterms:W3CDTF">2025-06-26T08:35:00Z</dcterms:created>
  <dcterms:modified xsi:type="dcterms:W3CDTF">2026-02-05T09:29:37Z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5cc719e3-781f-4194-88cb-68199c211420_Enabled">
    <vt:lpwstr>true</vt:lpwstr>
  </property>
  <property fmtid="{D5CDD505-2E9C-101B-9397-08002B2CF9AE}" pid="3" name="MSIP_Label_5cc719e3-781f-4194-88cb-68199c211420_SetDate">
    <vt:lpwstr>2025-06-26T08:52:51Z</vt:lpwstr>
  </property>
  <property fmtid="{D5CDD505-2E9C-101B-9397-08002B2CF9AE}" pid="4" name="MSIP_Label_5cc719e3-781f-4194-88cb-68199c211420_Method">
    <vt:lpwstr>Standard</vt:lpwstr>
  </property>
  <property fmtid="{D5CDD505-2E9C-101B-9397-08002B2CF9AE}" pid="5" name="MSIP_Label_5cc719e3-781f-4194-88cb-68199c211420_Name">
    <vt:lpwstr>General Business - Tenneco Confidential</vt:lpwstr>
  </property>
  <property fmtid="{D5CDD505-2E9C-101B-9397-08002B2CF9AE}" pid="6" name="MSIP_Label_5cc719e3-781f-4194-88cb-68199c211420_SiteId">
    <vt:lpwstr>6eec918b-f654-44a7-ac1a-abfdb64e694e</vt:lpwstr>
  </property>
  <property fmtid="{D5CDD505-2E9C-101B-9397-08002B2CF9AE}" pid="7" name="MSIP_Label_5cc719e3-781f-4194-88cb-68199c211420_ActionId">
    <vt:lpwstr>8098e34a-5d31-438c-b63b-aee686c19f99</vt:lpwstr>
  </property>
  <property fmtid="{D5CDD505-2E9C-101B-9397-08002B2CF9AE}" pid="8" name="MSIP_Label_5cc719e3-781f-4194-88cb-68199c211420_ContentBits">
    <vt:lpwstr>1</vt:lpwstr>
  </property>
  <property fmtid="{D5CDD505-2E9C-101B-9397-08002B2CF9AE}" pid="9" name="ICV">
    <vt:lpwstr>F6FFBE6368374701A09D9A50A9099F29_12</vt:lpwstr>
  </property>
  <property fmtid="{D5CDD505-2E9C-101B-9397-08002B2CF9AE}" pid="10" name="KSOProductBuildVer">
    <vt:lpwstr>2052-12.1.0.23542</vt:lpwstr>
  </property>
  <property fmtid="{D5CDD505-2E9C-101B-9397-08002B2CF9AE}" pid="11" name="ContentTypeId">
    <vt:lpwstr>0x01010028C7B6C620067247A35EF62A3E68EE62</vt:lpwstr>
  </property>
</Properties>
</file>
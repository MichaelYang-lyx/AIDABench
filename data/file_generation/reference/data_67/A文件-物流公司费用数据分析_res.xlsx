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output/96ece3b8-5250-4aa1-8c21-ce50656316ae/"/>
    </mc:Choice>
  </mc:AlternateContent>
  <xr:revisionPtr revIDLastSave="0" documentId="13_ncr:1_{2832B78A-B4C7-0F4D-B0CC-9D24696CFCA2}" xr6:coauthVersionLast="47" xr6:coauthVersionMax="47" xr10:uidLastSave="{00000000-0000-0000-0000-000000000000}"/>
  <bookViews>
    <workbookView xWindow="0" yWindow="500" windowWidth="19200" windowHeight="7000" activeTab="3" xr2:uid="{00000000-000D-0000-FFFF-FFFF00000000}"/>
  </bookViews>
  <sheets>
    <sheet name="Sheet1" sheetId="1" r:id="rId1"/>
    <sheet name="物流公司费用汇总" sheetId="5" r:id="rId2"/>
    <sheet name="季度指标分析" sheetId="3" r:id="rId3"/>
    <sheet name="年度指标分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4" l="1"/>
  <c r="O5" i="4"/>
  <c r="M5" i="4"/>
  <c r="L5" i="4"/>
  <c r="J5" i="4"/>
  <c r="I5" i="4"/>
  <c r="G5" i="4"/>
  <c r="F5" i="4"/>
  <c r="D5" i="4"/>
  <c r="C5" i="4"/>
  <c r="P4" i="4"/>
  <c r="O4" i="4"/>
  <c r="M4" i="4"/>
  <c r="L4" i="4"/>
  <c r="J4" i="4"/>
  <c r="I4" i="4"/>
  <c r="G4" i="4"/>
  <c r="F4" i="4"/>
  <c r="D4" i="4"/>
  <c r="C4" i="4"/>
  <c r="P14" i="3"/>
  <c r="O14" i="3"/>
  <c r="M14" i="3"/>
  <c r="L14" i="3"/>
  <c r="J14" i="3"/>
  <c r="I14" i="3"/>
  <c r="G14" i="3"/>
  <c r="F14" i="3"/>
  <c r="D14" i="3"/>
  <c r="C14" i="3"/>
  <c r="P13" i="3"/>
  <c r="O13" i="3"/>
  <c r="M13" i="3"/>
  <c r="L13" i="3"/>
  <c r="J13" i="3"/>
  <c r="I13" i="3"/>
  <c r="G13" i="3"/>
  <c r="F13" i="3"/>
  <c r="D13" i="3"/>
  <c r="C13" i="3"/>
  <c r="P12" i="3"/>
  <c r="O12" i="3"/>
  <c r="M12" i="3"/>
  <c r="L12" i="3"/>
  <c r="J12" i="3"/>
  <c r="I12" i="3"/>
  <c r="G12" i="3"/>
  <c r="F12" i="3"/>
  <c r="D12" i="3"/>
  <c r="C12" i="3"/>
  <c r="P11" i="3"/>
  <c r="O11" i="3"/>
  <c r="M11" i="3"/>
  <c r="L11" i="3"/>
  <c r="J11" i="3"/>
  <c r="I11" i="3"/>
  <c r="G11" i="3"/>
  <c r="F11" i="3"/>
  <c r="C11" i="3"/>
  <c r="P10" i="3"/>
  <c r="O10" i="3"/>
  <c r="M10" i="3"/>
  <c r="L10" i="3"/>
  <c r="J10" i="3"/>
  <c r="I10" i="3"/>
  <c r="G10" i="3"/>
  <c r="F10" i="3"/>
  <c r="C10" i="3"/>
  <c r="P9" i="3"/>
  <c r="O9" i="3"/>
  <c r="M9" i="3"/>
  <c r="L9" i="3"/>
  <c r="J9" i="3"/>
  <c r="I9" i="3"/>
  <c r="G9" i="3"/>
  <c r="F9" i="3"/>
  <c r="C9" i="3"/>
  <c r="P8" i="3"/>
  <c r="O8" i="3"/>
  <c r="M8" i="3"/>
  <c r="L8" i="3"/>
  <c r="J8" i="3"/>
  <c r="I8" i="3"/>
  <c r="G8" i="3"/>
  <c r="F8" i="3"/>
  <c r="D8" i="3"/>
  <c r="P7" i="3"/>
  <c r="O7" i="3"/>
  <c r="L7" i="3"/>
  <c r="J7" i="3"/>
  <c r="I7" i="3"/>
  <c r="G7" i="3"/>
  <c r="F7" i="3"/>
  <c r="O6" i="3"/>
  <c r="L6" i="3"/>
  <c r="I6" i="3"/>
  <c r="F6" i="3"/>
  <c r="O5" i="3"/>
  <c r="L5" i="3"/>
  <c r="I5" i="3"/>
  <c r="F5" i="3"/>
  <c r="O4" i="3"/>
  <c r="I4" i="3"/>
  <c r="F4" i="3"/>
  <c r="C4" i="3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<sst xmlns="http://schemas.openxmlformats.org/spreadsheetml/2006/main" count="219" uniqueCount="53">
  <si>
    <t>年份</t>
  </si>
  <si>
    <t>月份</t>
  </si>
  <si>
    <t>年月</t>
  </si>
  <si>
    <t>季度</t>
  </si>
  <si>
    <t>百世快运</t>
  </si>
  <si>
    <t>德邦快递</t>
  </si>
  <si>
    <t>顺丰快递</t>
  </si>
  <si>
    <t>货拉拉</t>
  </si>
  <si>
    <t>总计</t>
  </si>
  <si>
    <t>2023年</t>
  </si>
  <si>
    <t>1月</t>
  </si>
  <si>
    <t>第1季度</t>
  </si>
  <si>
    <t>2月</t>
  </si>
  <si>
    <t>3月</t>
  </si>
  <si>
    <t>4月</t>
  </si>
  <si>
    <t>第2季度</t>
  </si>
  <si>
    <t>5月</t>
  </si>
  <si>
    <t>6月</t>
  </si>
  <si>
    <t>7月</t>
  </si>
  <si>
    <t>第3季度</t>
  </si>
  <si>
    <t>8月</t>
  </si>
  <si>
    <t>9月</t>
  </si>
  <si>
    <t>10月</t>
  </si>
  <si>
    <t>第4季度</t>
  </si>
  <si>
    <t>11月</t>
  </si>
  <si>
    <t>12月</t>
  </si>
  <si>
    <t>2024年</t>
  </si>
  <si>
    <t>2025年</t>
  </si>
  <si>
    <t>求和项:百世快运</t>
  </si>
  <si>
    <t>求和项:德邦快递</t>
  </si>
  <si>
    <t>求和项:顺丰快递</t>
  </si>
  <si>
    <t>求和项:货拉拉</t>
  </si>
  <si>
    <t>求和项:总计</t>
  </si>
  <si>
    <t>费用金额</t>
  </si>
  <si>
    <t>环比</t>
  </si>
  <si>
    <t>同比</t>
  </si>
  <si>
    <t>2023-Q1</t>
  </si>
  <si>
    <t>-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</si>
  <si>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</si>
  <si>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</si>
  <si>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</si>
  <si>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</si>
  <si>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</si>
  <si>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</si>
  <si>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</si>
  <si>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</si>
  <si>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</si>
  <si>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</si>
  <si>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</si>
  <si>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企业1</t>
    <phoneticPr fontId="5" type="noConversion"/>
  </si>
  <si>
    <t>企业2</t>
    <phoneticPr fontId="5" type="noConversion"/>
  </si>
  <si>
    <t>企业3</t>
    <phoneticPr fontId="5" type="noConversion"/>
  </si>
  <si>
    <t>企业4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</si>
</sst>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_ ;_ * \-#,##0_ ;_ * &quot;-&quot;_ ;_ @_ "/>
  </numFmts>
  <fonts count="6">
    <font>
      <sz val="11"/>
      <color theme="1"/>
      <name val="等线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9" fontId="0" fillId="0" borderId="1" xfId="1" applyFont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1" fillId="2" borderId="3" xfId="0" applyFont="1" applyFill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3" fillId="5" borderId="6" xfId="0" applyFont="1" applyFill="1" applyBorder="1" applyAlignment="1">
      <alignment horizontal="center" vertical="center"/>
    </xf>
    <xf numFmtId="57" fontId="3" fillId="5" borderId="6" xfId="0" applyNumberFormat="1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>
      <selection activeCell="D6" sqref="D6"/>
    </sheetView>
  </sheetViews>
  <sheetFormatPr baseColWidth="10" defaultColWidth="9" defaultRowHeight="15"/>
  <cols>
    <col min="3" max="4" width="13.1640625" customWidth="1"/>
    <col min="9" max="9" width="7.33203125" customWidth="1"/>
  </cols>
  <sheetData>
    <row r="1" spans="1:9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>
      <c r="A2" s="11" t="s">
        <v>9</v>
      </c>
      <c r="B2" s="11" t="s">
        <v>10</v>
      </c>
      <c r="C2" s="12">
        <v>44927</v>
      </c>
      <c r="D2" s="12" t="s">
        <v>11</v>
      </c>
      <c r="E2" s="13">
        <v>5635</v>
      </c>
      <c r="F2" s="13">
        <v>0</v>
      </c>
      <c r="G2" s="13">
        <v>3086</v>
      </c>
      <c r="H2" s="13">
        <v>0</v>
      </c>
      <c r="I2" s="14">
        <f t="shared" ref="I2:I37" si="0">SUM(E2:H2)</f>
        <v>8721</v>
      </c>
    </row>
    <row r="3" spans="1:9">
      <c r="A3" s="15" t="s">
        <v>9</v>
      </c>
      <c r="B3" s="15" t="s">
        <v>12</v>
      </c>
      <c r="C3" s="12">
        <v>44958</v>
      </c>
      <c r="D3" s="12" t="s">
        <v>11</v>
      </c>
      <c r="E3" s="13">
        <v>5358</v>
      </c>
      <c r="F3" s="13">
        <v>682</v>
      </c>
      <c r="G3" s="13">
        <v>2079.1999999999998</v>
      </c>
      <c r="H3" s="13"/>
      <c r="I3" s="14">
        <f t="shared" si="0"/>
        <v>8119.2</v>
      </c>
    </row>
    <row r="4" spans="1:9">
      <c r="A4" s="15" t="s">
        <v>9</v>
      </c>
      <c r="B4" s="15" t="s">
        <v>13</v>
      </c>
      <c r="C4" s="12">
        <v>44986</v>
      </c>
      <c r="D4" s="12" t="s">
        <v>11</v>
      </c>
      <c r="E4" s="13">
        <v>4950</v>
      </c>
      <c r="F4" s="13">
        <v>848</v>
      </c>
      <c r="G4" s="13">
        <v>2058.4</v>
      </c>
      <c r="H4" s="13"/>
      <c r="I4" s="14">
        <f t="shared" si="0"/>
        <v>7856.4</v>
      </c>
    </row>
    <row r="5" spans="1:9">
      <c r="A5" s="15" t="s">
        <v>9</v>
      </c>
      <c r="B5" s="15" t="s">
        <v>14</v>
      </c>
      <c r="C5" s="12">
        <v>45017</v>
      </c>
      <c r="D5" s="12" t="s">
        <v>15</v>
      </c>
      <c r="E5" s="13">
        <v>3163</v>
      </c>
      <c r="F5" s="13">
        <v>217</v>
      </c>
      <c r="G5" s="13">
        <v>1699</v>
      </c>
      <c r="H5" s="13">
        <v>150.69999999999999</v>
      </c>
      <c r="I5" s="14">
        <f t="shared" si="0"/>
        <v>5229.7</v>
      </c>
    </row>
    <row r="6" spans="1:9">
      <c r="A6" s="15" t="s">
        <v>9</v>
      </c>
      <c r="B6" s="15" t="s">
        <v>16</v>
      </c>
      <c r="C6" s="12">
        <v>45047</v>
      </c>
      <c r="D6" s="12" t="s">
        <v>15</v>
      </c>
      <c r="E6" s="13">
        <v>4583</v>
      </c>
      <c r="F6" s="13">
        <v>209</v>
      </c>
      <c r="G6" s="13">
        <v>1892</v>
      </c>
      <c r="H6" s="13">
        <v>224.38</v>
      </c>
      <c r="I6" s="14">
        <f t="shared" si="0"/>
        <v>6908.38</v>
      </c>
    </row>
    <row r="7" spans="1:9">
      <c r="A7" s="15" t="s">
        <v>9</v>
      </c>
      <c r="B7" s="15" t="s">
        <v>17</v>
      </c>
      <c r="C7" s="12">
        <v>45078</v>
      </c>
      <c r="D7" s="12" t="s">
        <v>15</v>
      </c>
      <c r="E7" s="13">
        <v>125</v>
      </c>
      <c r="F7" s="13">
        <v>651</v>
      </c>
      <c r="G7" s="13">
        <v>610</v>
      </c>
      <c r="H7" s="13">
        <v>357.42</v>
      </c>
      <c r="I7" s="14">
        <f t="shared" si="0"/>
        <v>1743.42</v>
      </c>
    </row>
    <row r="8" spans="1:9">
      <c r="A8" s="15" t="s">
        <v>9</v>
      </c>
      <c r="B8" s="15" t="s">
        <v>18</v>
      </c>
      <c r="C8" s="12">
        <v>45108</v>
      </c>
      <c r="D8" s="12" t="s">
        <v>19</v>
      </c>
      <c r="E8" s="13"/>
      <c r="F8" s="13">
        <v>369</v>
      </c>
      <c r="G8" s="13">
        <v>958.4</v>
      </c>
      <c r="H8" s="13">
        <v>1400.41</v>
      </c>
      <c r="I8" s="14">
        <f t="shared" si="0"/>
        <v>2727.81</v>
      </c>
    </row>
    <row r="9" spans="1:9">
      <c r="A9" s="15" t="s">
        <v>9</v>
      </c>
      <c r="B9" s="15" t="s">
        <v>20</v>
      </c>
      <c r="C9" s="12">
        <v>45139</v>
      </c>
      <c r="D9" s="12" t="s">
        <v>19</v>
      </c>
      <c r="E9" s="13"/>
      <c r="F9" s="13">
        <v>455</v>
      </c>
      <c r="G9" s="13">
        <v>977</v>
      </c>
      <c r="H9" s="13">
        <v>782.8</v>
      </c>
      <c r="I9" s="14">
        <f t="shared" si="0"/>
        <v>2214.8000000000002</v>
      </c>
    </row>
    <row r="10" spans="1:9">
      <c r="A10" s="15" t="s">
        <v>9</v>
      </c>
      <c r="B10" s="15" t="s">
        <v>21</v>
      </c>
      <c r="C10" s="12">
        <v>45170</v>
      </c>
      <c r="D10" s="12" t="s">
        <v>19</v>
      </c>
      <c r="E10" s="13"/>
      <c r="F10" s="13">
        <v>1194</v>
      </c>
      <c r="G10" s="13">
        <v>872</v>
      </c>
      <c r="H10" s="13">
        <v>227.5</v>
      </c>
      <c r="I10" s="14">
        <f t="shared" si="0"/>
        <v>2293.5</v>
      </c>
    </row>
    <row r="11" spans="1:9">
      <c r="A11" s="15" t="s">
        <v>9</v>
      </c>
      <c r="B11" s="15" t="s">
        <v>22</v>
      </c>
      <c r="C11" s="12">
        <v>45200</v>
      </c>
      <c r="D11" s="12" t="s">
        <v>23</v>
      </c>
      <c r="E11" s="13"/>
      <c r="F11" s="13">
        <v>821</v>
      </c>
      <c r="G11" s="13">
        <v>583</v>
      </c>
      <c r="H11" s="13">
        <v>334.92</v>
      </c>
      <c r="I11" s="14">
        <f t="shared" si="0"/>
        <v>1738.92</v>
      </c>
    </row>
    <row r="12" spans="1:9">
      <c r="A12" s="15" t="s">
        <v>9</v>
      </c>
      <c r="B12" s="15" t="s">
        <v>24</v>
      </c>
      <c r="C12" s="12">
        <v>45231</v>
      </c>
      <c r="D12" s="12" t="s">
        <v>23</v>
      </c>
      <c r="E12" s="13"/>
      <c r="F12" s="13">
        <v>717</v>
      </c>
      <c r="G12" s="13">
        <v>23</v>
      </c>
      <c r="H12" s="13">
        <v>291.08</v>
      </c>
      <c r="I12" s="14">
        <f t="shared" si="0"/>
        <v>1031.08</v>
      </c>
    </row>
    <row r="13" spans="1:9">
      <c r="A13" s="15" t="s">
        <v>9</v>
      </c>
      <c r="B13" s="15" t="s">
        <v>25</v>
      </c>
      <c r="C13" s="12">
        <v>45261</v>
      </c>
      <c r="D13" s="12" t="s">
        <v>23</v>
      </c>
      <c r="E13" s="13"/>
      <c r="F13" s="13">
        <v>818</v>
      </c>
      <c r="G13" s="13">
        <v>198</v>
      </c>
      <c r="H13" s="13">
        <v>305</v>
      </c>
      <c r="I13" s="14">
        <f t="shared" si="0"/>
        <v>1321</v>
      </c>
    </row>
    <row r="14" spans="1:9">
      <c r="A14" s="16" t="s">
        <v>26</v>
      </c>
      <c r="B14" s="16" t="s">
        <v>10</v>
      </c>
      <c r="C14" s="12">
        <v>45292</v>
      </c>
      <c r="D14" s="12" t="s">
        <v>11</v>
      </c>
      <c r="E14" s="17"/>
      <c r="F14" s="17">
        <v>929</v>
      </c>
      <c r="G14" s="17">
        <v>726</v>
      </c>
      <c r="H14" s="17">
        <v>559.02</v>
      </c>
      <c r="I14" s="14">
        <f t="shared" si="0"/>
        <v>2214.02</v>
      </c>
    </row>
    <row r="15" spans="1:9">
      <c r="A15" s="18" t="s">
        <v>26</v>
      </c>
      <c r="B15" s="18" t="s">
        <v>12</v>
      </c>
      <c r="C15" s="12">
        <v>45323</v>
      </c>
      <c r="D15" s="12" t="s">
        <v>11</v>
      </c>
      <c r="E15" s="17"/>
      <c r="F15" s="17">
        <v>570</v>
      </c>
      <c r="G15" s="17">
        <v>558</v>
      </c>
      <c r="H15" s="17">
        <v>179.65</v>
      </c>
      <c r="I15" s="14">
        <f t="shared" si="0"/>
        <v>1307.6500000000001</v>
      </c>
    </row>
    <row r="16" spans="1:9">
      <c r="A16" s="18" t="s">
        <v>26</v>
      </c>
      <c r="B16" s="18" t="s">
        <v>13</v>
      </c>
      <c r="C16" s="12">
        <v>45352</v>
      </c>
      <c r="D16" s="12" t="s">
        <v>11</v>
      </c>
      <c r="E16" s="17"/>
      <c r="F16" s="17">
        <v>805</v>
      </c>
      <c r="G16" s="17">
        <v>220.2</v>
      </c>
      <c r="H16" s="17">
        <v>311.88</v>
      </c>
      <c r="I16" s="14">
        <f t="shared" si="0"/>
        <v>1337.08</v>
      </c>
    </row>
    <row r="17" spans="1:9">
      <c r="A17" s="18" t="s">
        <v>26</v>
      </c>
      <c r="B17" s="18" t="s">
        <v>14</v>
      </c>
      <c r="C17" s="12">
        <v>45383</v>
      </c>
      <c r="D17" s="12" t="s">
        <v>15</v>
      </c>
      <c r="E17" s="17"/>
      <c r="F17" s="17">
        <v>698</v>
      </c>
      <c r="G17" s="17">
        <v>295</v>
      </c>
      <c r="H17" s="17">
        <v>229.12</v>
      </c>
      <c r="I17" s="14">
        <f t="shared" si="0"/>
        <v>1222.1199999999999</v>
      </c>
    </row>
    <row r="18" spans="1:9">
      <c r="A18" s="18" t="s">
        <v>26</v>
      </c>
      <c r="B18" s="18" t="s">
        <v>16</v>
      </c>
      <c r="C18" s="12">
        <v>45413</v>
      </c>
      <c r="D18" s="12" t="s">
        <v>15</v>
      </c>
      <c r="E18" s="17"/>
      <c r="F18" s="17">
        <v>730</v>
      </c>
      <c r="G18" s="17">
        <v>436</v>
      </c>
      <c r="H18" s="17">
        <v>219.12</v>
      </c>
      <c r="I18" s="14">
        <f t="shared" si="0"/>
        <v>1385.12</v>
      </c>
    </row>
    <row r="19" spans="1:9">
      <c r="A19" s="18" t="s">
        <v>26</v>
      </c>
      <c r="B19" s="18" t="s">
        <v>17</v>
      </c>
      <c r="C19" s="12">
        <v>45444</v>
      </c>
      <c r="D19" s="12" t="s">
        <v>15</v>
      </c>
      <c r="E19" s="17">
        <v>8293</v>
      </c>
      <c r="F19" s="17">
        <v>774</v>
      </c>
      <c r="G19" s="17">
        <v>974</v>
      </c>
      <c r="H19" s="17">
        <v>606.96</v>
      </c>
      <c r="I19" s="14">
        <f t="shared" si="0"/>
        <v>10647.96</v>
      </c>
    </row>
    <row r="20" spans="1:9">
      <c r="A20" s="18" t="s">
        <v>26</v>
      </c>
      <c r="B20" s="18" t="s">
        <v>18</v>
      </c>
      <c r="C20" s="12">
        <v>45474</v>
      </c>
      <c r="D20" s="12" t="s">
        <v>19</v>
      </c>
      <c r="E20" s="17">
        <v>7307</v>
      </c>
      <c r="F20" s="17">
        <v>570</v>
      </c>
      <c r="G20" s="17">
        <v>185</v>
      </c>
      <c r="H20" s="17">
        <v>221.91</v>
      </c>
      <c r="I20" s="14">
        <f t="shared" si="0"/>
        <v>8283.91</v>
      </c>
    </row>
    <row r="21" spans="1:9">
      <c r="A21" s="18" t="s">
        <v>26</v>
      </c>
      <c r="B21" s="18" t="s">
        <v>20</v>
      </c>
      <c r="C21" s="12">
        <v>45505</v>
      </c>
      <c r="D21" s="12" t="s">
        <v>19</v>
      </c>
      <c r="E21" s="17">
        <v>4718</v>
      </c>
      <c r="F21" s="17">
        <v>784</v>
      </c>
      <c r="G21" s="17">
        <v>1143</v>
      </c>
      <c r="H21" s="17">
        <v>301.05</v>
      </c>
      <c r="I21" s="14">
        <f t="shared" si="0"/>
        <v>6946.05</v>
      </c>
    </row>
    <row r="22" spans="1:9">
      <c r="A22" s="18" t="s">
        <v>26</v>
      </c>
      <c r="B22" s="18" t="s">
        <v>21</v>
      </c>
      <c r="C22" s="12">
        <v>45536</v>
      </c>
      <c r="D22" s="12" t="s">
        <v>19</v>
      </c>
      <c r="E22" s="17">
        <v>10641</v>
      </c>
      <c r="F22" s="17">
        <v>566</v>
      </c>
      <c r="G22" s="17">
        <v>1208</v>
      </c>
      <c r="H22" s="17">
        <v>207.45</v>
      </c>
      <c r="I22" s="14">
        <f t="shared" si="0"/>
        <v>12622.45</v>
      </c>
    </row>
    <row r="23" spans="1:9">
      <c r="A23" s="18" t="s">
        <v>26</v>
      </c>
      <c r="B23" s="18" t="s">
        <v>22</v>
      </c>
      <c r="C23" s="12">
        <v>45566</v>
      </c>
      <c r="D23" s="12" t="s">
        <v>23</v>
      </c>
      <c r="E23" s="17">
        <v>1697.5</v>
      </c>
      <c r="F23" s="17">
        <v>766</v>
      </c>
      <c r="G23" s="17">
        <v>2090</v>
      </c>
      <c r="H23" s="17">
        <v>378.81</v>
      </c>
      <c r="I23" s="14">
        <f t="shared" si="0"/>
        <v>4932.3100000000004</v>
      </c>
    </row>
    <row r="24" spans="1:9">
      <c r="A24" s="18" t="s">
        <v>26</v>
      </c>
      <c r="B24" s="18" t="s">
        <v>24</v>
      </c>
      <c r="C24" s="12">
        <v>45597</v>
      </c>
      <c r="D24" s="12" t="s">
        <v>23</v>
      </c>
      <c r="E24" s="17">
        <v>10430</v>
      </c>
      <c r="F24" s="17">
        <v>832</v>
      </c>
      <c r="G24" s="17">
        <v>477</v>
      </c>
      <c r="H24" s="17">
        <v>346.05</v>
      </c>
      <c r="I24" s="14">
        <f t="shared" si="0"/>
        <v>12085.05</v>
      </c>
    </row>
    <row r="25" spans="1:9">
      <c r="A25" s="18" t="s">
        <v>26</v>
      </c>
      <c r="B25" s="18" t="s">
        <v>25</v>
      </c>
      <c r="C25" s="12">
        <v>45627</v>
      </c>
      <c r="D25" s="12" t="s">
        <v>23</v>
      </c>
      <c r="E25" s="17">
        <v>2720</v>
      </c>
      <c r="F25" s="17">
        <v>729</v>
      </c>
      <c r="G25" s="17">
        <v>534</v>
      </c>
      <c r="H25" s="17">
        <v>405.28</v>
      </c>
      <c r="I25" s="14">
        <f t="shared" si="0"/>
        <v>4388.28</v>
      </c>
    </row>
    <row r="26" spans="1:9">
      <c r="A26" s="19" t="s">
        <v>27</v>
      </c>
      <c r="B26" s="19" t="s">
        <v>10</v>
      </c>
      <c r="C26" s="12">
        <v>45658</v>
      </c>
      <c r="D26" s="12" t="s">
        <v>11</v>
      </c>
      <c r="E26" s="20">
        <v>5523</v>
      </c>
      <c r="F26" s="20">
        <v>815</v>
      </c>
      <c r="G26" s="20">
        <v>305</v>
      </c>
      <c r="H26" s="20">
        <v>325.58</v>
      </c>
      <c r="I26" s="14">
        <f t="shared" si="0"/>
        <v>6968.58</v>
      </c>
    </row>
    <row r="27" spans="1:9">
      <c r="A27" s="21" t="s">
        <v>27</v>
      </c>
      <c r="B27" s="21" t="s">
        <v>12</v>
      </c>
      <c r="C27" s="12">
        <v>45689</v>
      </c>
      <c r="D27" s="12" t="s">
        <v>11</v>
      </c>
      <c r="E27" s="20">
        <v>13868</v>
      </c>
      <c r="F27" s="20">
        <v>861</v>
      </c>
      <c r="G27" s="20">
        <v>811</v>
      </c>
      <c r="H27" s="20">
        <v>499.04</v>
      </c>
      <c r="I27" s="14">
        <f t="shared" si="0"/>
        <v>16039.04</v>
      </c>
    </row>
    <row r="28" spans="1:9">
      <c r="A28" s="21" t="s">
        <v>27</v>
      </c>
      <c r="B28" s="21" t="s">
        <v>13</v>
      </c>
      <c r="C28" s="12">
        <v>45717</v>
      </c>
      <c r="D28" s="12" t="s">
        <v>11</v>
      </c>
      <c r="E28" s="20">
        <v>9088</v>
      </c>
      <c r="F28" s="20">
        <v>984.6</v>
      </c>
      <c r="G28" s="20">
        <v>849</v>
      </c>
      <c r="H28" s="20">
        <v>388.93</v>
      </c>
      <c r="I28" s="14">
        <f t="shared" si="0"/>
        <v>11310.53</v>
      </c>
    </row>
    <row r="29" spans="1:9">
      <c r="A29" s="21" t="s">
        <v>27</v>
      </c>
      <c r="B29" s="21" t="s">
        <v>14</v>
      </c>
      <c r="C29" s="12">
        <v>45748</v>
      </c>
      <c r="D29" s="12" t="s">
        <v>15</v>
      </c>
      <c r="E29" s="20">
        <v>5833</v>
      </c>
      <c r="F29" s="20">
        <v>689</v>
      </c>
      <c r="G29" s="20">
        <v>644</v>
      </c>
      <c r="H29" s="20">
        <v>451.41</v>
      </c>
      <c r="I29" s="14">
        <f t="shared" si="0"/>
        <v>7617.41</v>
      </c>
    </row>
    <row r="30" spans="1:9">
      <c r="A30" s="21" t="s">
        <v>27</v>
      </c>
      <c r="B30" s="21" t="s">
        <v>16</v>
      </c>
      <c r="C30" s="12">
        <v>45778</v>
      </c>
      <c r="D30" s="12" t="s">
        <v>15</v>
      </c>
      <c r="E30" s="20">
        <v>11563</v>
      </c>
      <c r="F30" s="20">
        <v>877</v>
      </c>
      <c r="G30" s="20">
        <v>273</v>
      </c>
      <c r="H30" s="20">
        <v>283.60000000000002</v>
      </c>
      <c r="I30" s="14">
        <f t="shared" si="0"/>
        <v>12996.6</v>
      </c>
    </row>
    <row r="31" spans="1:9">
      <c r="A31" s="21" t="s">
        <v>27</v>
      </c>
      <c r="B31" s="21" t="s">
        <v>17</v>
      </c>
      <c r="C31" s="12">
        <v>45809</v>
      </c>
      <c r="D31" s="12" t="s">
        <v>15</v>
      </c>
      <c r="E31" s="20">
        <v>5905</v>
      </c>
      <c r="F31" s="20">
        <v>825.8</v>
      </c>
      <c r="G31" s="20">
        <v>438</v>
      </c>
      <c r="H31" s="20">
        <v>334.05</v>
      </c>
      <c r="I31" s="14">
        <f t="shared" si="0"/>
        <v>7502.85</v>
      </c>
    </row>
    <row r="32" spans="1:9">
      <c r="A32" s="21" t="s">
        <v>27</v>
      </c>
      <c r="B32" s="21" t="s">
        <v>18</v>
      </c>
      <c r="C32" s="12">
        <v>45839</v>
      </c>
      <c r="D32" s="12" t="s">
        <v>19</v>
      </c>
      <c r="E32" s="20">
        <v>6303</v>
      </c>
      <c r="F32" s="20">
        <v>721.4</v>
      </c>
      <c r="G32" s="20">
        <v>745</v>
      </c>
      <c r="H32" s="20">
        <v>423.79</v>
      </c>
      <c r="I32" s="14">
        <f t="shared" si="0"/>
        <v>8193.19</v>
      </c>
    </row>
    <row r="33" spans="1:9">
      <c r="A33" s="21" t="s">
        <v>27</v>
      </c>
      <c r="B33" s="21" t="s">
        <v>20</v>
      </c>
      <c r="C33" s="12">
        <v>45870</v>
      </c>
      <c r="D33" s="12" t="s">
        <v>19</v>
      </c>
      <c r="E33" s="20">
        <v>13212.5</v>
      </c>
      <c r="F33" s="20">
        <v>858.8</v>
      </c>
      <c r="G33" s="20">
        <v>441</v>
      </c>
      <c r="H33" s="20">
        <v>452.71</v>
      </c>
      <c r="I33" s="14">
        <f t="shared" si="0"/>
        <v>14965.01</v>
      </c>
    </row>
    <row r="34" spans="1:9">
      <c r="A34" s="21" t="s">
        <v>27</v>
      </c>
      <c r="B34" s="21" t="s">
        <v>21</v>
      </c>
      <c r="C34" s="12">
        <v>45901</v>
      </c>
      <c r="D34" s="12" t="s">
        <v>19</v>
      </c>
      <c r="E34" s="20">
        <v>11712.5</v>
      </c>
      <c r="F34" s="20">
        <v>879</v>
      </c>
      <c r="G34" s="20">
        <v>1106</v>
      </c>
      <c r="H34" s="20">
        <v>301.47000000000003</v>
      </c>
      <c r="I34" s="14">
        <f t="shared" si="0"/>
        <v>13998.97</v>
      </c>
    </row>
    <row r="35" spans="1:9">
      <c r="A35" s="21" t="s">
        <v>27</v>
      </c>
      <c r="B35" s="21" t="s">
        <v>22</v>
      </c>
      <c r="C35" s="12">
        <v>45931</v>
      </c>
      <c r="D35" s="12" t="s">
        <v>23</v>
      </c>
      <c r="E35" s="20">
        <v>5762</v>
      </c>
      <c r="F35" s="20">
        <v>425</v>
      </c>
      <c r="G35" s="20">
        <v>1054</v>
      </c>
      <c r="H35" s="20">
        <v>391.32</v>
      </c>
      <c r="I35" s="14">
        <f t="shared" si="0"/>
        <v>7632.32</v>
      </c>
    </row>
    <row r="36" spans="1:9">
      <c r="A36" s="21" t="s">
        <v>27</v>
      </c>
      <c r="B36" s="21" t="s">
        <v>24</v>
      </c>
      <c r="C36" s="12">
        <v>45962</v>
      </c>
      <c r="D36" s="12" t="s">
        <v>23</v>
      </c>
      <c r="E36" s="20">
        <v>5737</v>
      </c>
      <c r="F36" s="20">
        <v>128</v>
      </c>
      <c r="G36" s="20">
        <v>533</v>
      </c>
      <c r="H36" s="20">
        <v>685.28</v>
      </c>
      <c r="I36" s="14">
        <f t="shared" si="0"/>
        <v>7083.28</v>
      </c>
    </row>
    <row r="37" spans="1:9">
      <c r="A37" s="21" t="s">
        <v>27</v>
      </c>
      <c r="B37" s="21" t="s">
        <v>25</v>
      </c>
      <c r="C37" s="12">
        <v>45992</v>
      </c>
      <c r="D37" s="12" t="s">
        <v>23</v>
      </c>
      <c r="E37" s="20"/>
      <c r="F37" s="20"/>
      <c r="G37" s="20"/>
      <c r="H37" s="20"/>
      <c r="I37" s="14">
        <f t="shared" si="0"/>
        <v>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F2" sqref="F2:F4"/>
    </sheetView>
  </sheetViews>
  <sheetFormatPr baseColWidth="10" defaultColWidth="8.6640625" defaultRowHeight="15"/>
  <cols>
    <col min="1" max="1" width="7.1640625" customWidth="1"/>
    <col min="2" max="4" width="15.1640625" customWidth="1"/>
    <col min="5" max="5" width="13.1640625" customWidth="1"/>
    <col min="6" max="6" width="11.1640625" customWidth="1"/>
  </cols>
  <sheetData>
    <row r="1" spans="1:6">
      <c r="A1" s="4" t="s">
        <v>0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</row>
    <row r="2" spans="1:6">
      <c r="A2" t="s">
        <v>9</v>
      </c>
      <c r="B2">
        <v>23814</v>
      </c>
      <c r="C2">
        <v>6981</v>
      </c>
      <c r="D2">
        <v>15036</v>
      </c>
      <c r="E2">
        <v>4074.21</v>
      </c>
      <c r="F2">
        <v>49905.21</v>
      </c>
    </row>
    <row r="3" spans="1:6">
      <c r="A3" t="s">
        <v>26</v>
      </c>
      <c r="B3">
        <v>45806.5</v>
      </c>
      <c r="C3">
        <v>8753</v>
      </c>
      <c r="D3">
        <v>8846.2000000000007</v>
      </c>
      <c r="E3">
        <v>3966.3</v>
      </c>
      <c r="F3">
        <v>67372</v>
      </c>
    </row>
    <row r="4" spans="1:6">
      <c r="A4" s="5" t="s">
        <v>27</v>
      </c>
      <c r="B4" s="5">
        <v>94507</v>
      </c>
      <c r="C4" s="5">
        <v>8064.6</v>
      </c>
      <c r="D4" s="5">
        <v>7199</v>
      </c>
      <c r="E4" s="5">
        <v>4537.18</v>
      </c>
      <c r="F4" s="5">
        <v>114307.78</v>
      </c>
    </row>
    <row r="5" spans="1:6">
      <c r="A5" s="6" t="s">
        <v>8</v>
      </c>
      <c r="B5" s="6">
        <v>164127.5</v>
      </c>
      <c r="C5" s="6">
        <v>23798.6</v>
      </c>
      <c r="D5" s="6">
        <v>31081.200000000001</v>
      </c>
      <c r="E5" s="6">
        <v>12577.69</v>
      </c>
      <c r="F5" s="6">
        <v>231584.99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topLeftCell="B1" workbookViewId="0">
      <selection sqref="A1:P14"/>
    </sheetView>
  </sheetViews>
  <sheetFormatPr baseColWidth="10" defaultColWidth="8.6640625" defaultRowHeight="15"/>
  <cols>
    <col min="2" max="11" width="10.6640625" customWidth="1"/>
  </cols>
  <sheetData>
    <row r="1" spans="1:16">
      <c r="A1" s="22" t="s">
        <v>3</v>
      </c>
      <c r="B1" s="22" t="s">
        <v>4</v>
      </c>
      <c r="C1" s="22"/>
      <c r="D1" s="22"/>
      <c r="E1" s="22" t="s">
        <v>5</v>
      </c>
      <c r="F1" s="22"/>
      <c r="G1" s="22"/>
      <c r="H1" s="22" t="s">
        <v>6</v>
      </c>
      <c r="I1" s="22"/>
      <c r="J1" s="22"/>
      <c r="K1" s="22" t="s">
        <v>7</v>
      </c>
      <c r="L1" s="22"/>
      <c r="M1" s="22"/>
      <c r="N1" s="22" t="s">
        <v>8</v>
      </c>
      <c r="O1" s="22"/>
      <c r="P1" s="22"/>
    </row>
    <row r="2" spans="1:16">
      <c r="A2" s="23"/>
      <c r="B2" s="1" t="s">
        <v>33</v>
      </c>
      <c r="C2" s="1" t="s">
        <v>34</v>
      </c>
      <c r="D2" s="1" t="s">
        <v>35</v>
      </c>
      <c r="E2" s="1" t="s">
        <v>33</v>
      </c>
      <c r="F2" s="1" t="s">
        <v>34</v>
      </c>
      <c r="G2" s="1" t="s">
        <v>35</v>
      </c>
      <c r="H2" s="1" t="s">
        <v>33</v>
      </c>
      <c r="I2" s="1" t="s">
        <v>34</v>
      </c>
      <c r="J2" s="1" t="s">
        <v>35</v>
      </c>
      <c r="K2" s="1" t="s">
        <v>33</v>
      </c>
      <c r="L2" s="1" t="s">
        <v>34</v>
      </c>
      <c r="M2" s="1" t="s">
        <v>35</v>
      </c>
      <c r="N2" s="1" t="s">
        <v>33</v>
      </c>
      <c r="O2" s="1" t="s">
        <v>34</v>
      </c>
      <c r="P2" s="1" t="s">
        <v>35</v>
      </c>
    </row>
    <row r="3" spans="1:16">
      <c r="A3" s="2" t="s">
        <v>36</v>
      </c>
      <c r="B3" s="2">
        <v>15943</v>
      </c>
      <c r="C3" s="3" t="s">
        <v>37</v>
      </c>
      <c r="D3" s="3" t="s">
        <v>37</v>
      </c>
      <c r="E3" s="2">
        <v>1530</v>
      </c>
      <c r="F3" s="3" t="s">
        <v>37</v>
      </c>
      <c r="G3" s="3" t="s">
        <v>37</v>
      </c>
      <c r="H3" s="2">
        <v>7223.6</v>
      </c>
      <c r="I3" s="3" t="s">
        <v>37</v>
      </c>
      <c r="J3" s="3" t="s">
        <v>37</v>
      </c>
      <c r="K3" s="2">
        <v>0</v>
      </c>
      <c r="L3" s="3" t="s">
        <v>37</v>
      </c>
      <c r="M3" s="3" t="s">
        <v>37</v>
      </c>
      <c r="N3" s="2">
        <v>24696.6</v>
      </c>
      <c r="O3" s="3" t="s">
        <v>37</v>
      </c>
      <c r="P3" s="3" t="s">
        <v>37</v>
      </c>
    </row>
    <row r="4" spans="1:16">
      <c r="A4" s="2" t="s">
        <v>38</v>
      </c>
      <c r="B4" s="2">
        <v>7871</v>
      </c>
      <c r="C4" s="3">
        <f>(B4-B3)/B3</f>
        <v>-0.506303706956031</v>
      </c>
      <c r="D4" s="3" t="s">
        <v>37</v>
      </c>
      <c r="E4" s="2">
        <v>1077</v>
      </c>
      <c r="F4" s="3">
        <f>(E4-E3)/E3</f>
        <v>-0.29607843137254902</v>
      </c>
      <c r="G4" s="3" t="s">
        <v>37</v>
      </c>
      <c r="H4" s="2">
        <v>4201</v>
      </c>
      <c r="I4" s="3">
        <f t="shared" ref="I4:I14" si="0">(H4-H3)/H3</f>
        <v>-0.41843402181737599</v>
      </c>
      <c r="J4" s="3" t="s">
        <v>37</v>
      </c>
      <c r="K4" s="2">
        <v>732.5</v>
      </c>
      <c r="L4" s="3" t="s">
        <v>37</v>
      </c>
      <c r="M4" s="3" t="s">
        <v>37</v>
      </c>
      <c r="N4" s="2">
        <v>13881.5</v>
      </c>
      <c r="O4" s="3">
        <f>(N4-N3)/N3</f>
        <v>-0.43791857988548999</v>
      </c>
      <c r="P4" s="3" t="s">
        <v>37</v>
      </c>
    </row>
    <row r="5" spans="1:16">
      <c r="A5" s="2" t="s">
        <v>39</v>
      </c>
      <c r="B5" s="2"/>
      <c r="C5" s="3" t="s">
        <v>37</v>
      </c>
      <c r="D5" s="3" t="s">
        <v>37</v>
      </c>
      <c r="E5" s="2">
        <v>2018</v>
      </c>
      <c r="F5" s="3">
        <f t="shared" ref="F5:F14" si="1">(E5-E4)/E4</f>
        <v>0.87372330547818</v>
      </c>
      <c r="G5" s="3" t="s">
        <v>37</v>
      </c>
      <c r="H5" s="2">
        <v>2807.4</v>
      </c>
      <c r="I5" s="3">
        <f t="shared" si="0"/>
        <v>-0.33173054034753602</v>
      </c>
      <c r="J5" s="3" t="s">
        <v>37</v>
      </c>
      <c r="K5" s="2">
        <v>2410.71</v>
      </c>
      <c r="L5" s="3">
        <f t="shared" ref="L5:L14" si="2">(K5-K4)/K4</f>
        <v>2.29107167235495</v>
      </c>
      <c r="M5" s="3" t="s">
        <v>37</v>
      </c>
      <c r="N5" s="2">
        <v>7236.11</v>
      </c>
      <c r="O5" s="3">
        <f t="shared" ref="O5:O14" si="3">(N5-N4)/N4</f>
        <v>-0.47872276050859103</v>
      </c>
      <c r="P5" s="3" t="s">
        <v>37</v>
      </c>
    </row>
    <row r="6" spans="1:16">
      <c r="A6" s="2" t="s">
        <v>40</v>
      </c>
      <c r="B6" s="2"/>
      <c r="C6" s="3" t="s">
        <v>37</v>
      </c>
      <c r="D6" s="3" t="s">
        <v>37</v>
      </c>
      <c r="E6" s="2">
        <v>2356</v>
      </c>
      <c r="F6" s="3">
        <f t="shared" si="1"/>
        <v>0.167492566897919</v>
      </c>
      <c r="G6" s="3" t="s">
        <v>37</v>
      </c>
      <c r="H6" s="2">
        <v>804</v>
      </c>
      <c r="I6" s="3">
        <f t="shared" si="0"/>
        <v>-0.71361402008976305</v>
      </c>
      <c r="J6" s="3" t="s">
        <v>37</v>
      </c>
      <c r="K6" s="2">
        <v>931</v>
      </c>
      <c r="L6" s="3">
        <f t="shared" si="2"/>
        <v>-0.61380672084157795</v>
      </c>
      <c r="M6" s="3" t="s">
        <v>37</v>
      </c>
      <c r="N6" s="2">
        <v>4091</v>
      </c>
      <c r="O6" s="3">
        <f t="shared" si="3"/>
        <v>-0.43464098804468099</v>
      </c>
      <c r="P6" s="3" t="s">
        <v>37</v>
      </c>
    </row>
    <row r="7" spans="1:16">
      <c r="A7" s="2" t="s">
        <v>41</v>
      </c>
      <c r="B7" s="2"/>
      <c r="C7" s="3" t="s">
        <v>37</v>
      </c>
      <c r="D7" s="3" t="s">
        <v>37</v>
      </c>
      <c r="E7" s="2">
        <v>2304</v>
      </c>
      <c r="F7" s="3">
        <f t="shared" si="1"/>
        <v>-2.20713073005093E-2</v>
      </c>
      <c r="G7" s="3">
        <f>(E7-E3)/E3</f>
        <v>0.50588235294117601</v>
      </c>
      <c r="H7" s="2">
        <v>1504.2</v>
      </c>
      <c r="I7" s="3">
        <f t="shared" si="0"/>
        <v>0.87089552238806001</v>
      </c>
      <c r="J7" s="3">
        <f t="shared" ref="J7:J14" si="4">(H7-H3)/H3</f>
        <v>-0.791765878509331</v>
      </c>
      <c r="K7" s="2">
        <v>1050.55</v>
      </c>
      <c r="L7" s="3">
        <f t="shared" si="2"/>
        <v>0.12841031149301799</v>
      </c>
      <c r="M7" s="3" t="s">
        <v>37</v>
      </c>
      <c r="N7" s="2">
        <v>4858.75</v>
      </c>
      <c r="O7" s="3">
        <f t="shared" si="3"/>
        <v>0.18766805182107099</v>
      </c>
      <c r="P7" s="3">
        <f>(N7-N3)/N3</f>
        <v>-0.80326239239409503</v>
      </c>
    </row>
    <row r="8" spans="1:16">
      <c r="A8" s="2" t="s">
        <v>42</v>
      </c>
      <c r="B8" s="2">
        <v>8293</v>
      </c>
      <c r="C8" s="3" t="s">
        <v>37</v>
      </c>
      <c r="D8" s="3">
        <f t="shared" ref="D8:D14" si="5">(B8-B4)/B4</f>
        <v>5.36145343666624E-2</v>
      </c>
      <c r="E8" s="2">
        <v>2202</v>
      </c>
      <c r="F8" s="3">
        <f t="shared" si="1"/>
        <v>-4.4270833333333301E-2</v>
      </c>
      <c r="G8" s="3">
        <f t="shared" ref="G8:G14" si="6">(E8-E4)/E4</f>
        <v>1.04456824512535</v>
      </c>
      <c r="H8" s="2">
        <v>1705</v>
      </c>
      <c r="I8" s="3">
        <f t="shared" si="0"/>
        <v>0.133492886584231</v>
      </c>
      <c r="J8" s="3">
        <f t="shared" si="4"/>
        <v>-0.59414425136872195</v>
      </c>
      <c r="K8" s="2">
        <v>1055.2</v>
      </c>
      <c r="L8" s="3">
        <f t="shared" si="2"/>
        <v>4.4262529151397802E-3</v>
      </c>
      <c r="M8" s="3">
        <f t="shared" ref="M8:M14" si="7">(K8-K4)/K4</f>
        <v>0.44054607508532401</v>
      </c>
      <c r="N8" s="2">
        <v>13255.2</v>
      </c>
      <c r="O8" s="3">
        <f t="shared" si="3"/>
        <v>1.7281090815539</v>
      </c>
      <c r="P8" s="3">
        <f t="shared" ref="P8:P14" si="8">(N8-N4)/N4</f>
        <v>-4.5117602564564298E-2</v>
      </c>
    </row>
    <row r="9" spans="1:16">
      <c r="A9" s="2" t="s">
        <v>43</v>
      </c>
      <c r="B9" s="2">
        <v>22666</v>
      </c>
      <c r="C9" s="3">
        <f t="shared" ref="C9:C14" si="9">(B9-B8)/B8</f>
        <v>1.7331484384420599</v>
      </c>
      <c r="D9" s="3" t="s">
        <v>37</v>
      </c>
      <c r="E9" s="2">
        <v>1920</v>
      </c>
      <c r="F9" s="3">
        <f t="shared" si="1"/>
        <v>-0.12806539509536799</v>
      </c>
      <c r="G9" s="3">
        <f t="shared" si="6"/>
        <v>-4.8562933597621399E-2</v>
      </c>
      <c r="H9" s="2">
        <v>2536</v>
      </c>
      <c r="I9" s="3">
        <f t="shared" si="0"/>
        <v>0.48739002932551301</v>
      </c>
      <c r="J9" s="3">
        <f t="shared" si="4"/>
        <v>-9.6673078293082595E-2</v>
      </c>
      <c r="K9" s="2">
        <v>730.41</v>
      </c>
      <c r="L9" s="3">
        <f t="shared" si="2"/>
        <v>-0.30779946929492003</v>
      </c>
      <c r="M9" s="3">
        <f t="shared" si="7"/>
        <v>-0.69701457247035103</v>
      </c>
      <c r="N9" s="2">
        <v>27852.41</v>
      </c>
      <c r="O9" s="3">
        <f t="shared" si="3"/>
        <v>1.10124404007484</v>
      </c>
      <c r="P9" s="3">
        <f t="shared" si="8"/>
        <v>2.8490860420861499</v>
      </c>
    </row>
    <row r="10" spans="1:16">
      <c r="A10" s="2" t="s">
        <v>44</v>
      </c>
      <c r="B10" s="2">
        <v>14847.5</v>
      </c>
      <c r="C10" s="3">
        <f t="shared" si="9"/>
        <v>-0.34494396894026302</v>
      </c>
      <c r="D10" s="3" t="s">
        <v>37</v>
      </c>
      <c r="E10" s="2">
        <v>2327</v>
      </c>
      <c r="F10" s="3">
        <f t="shared" si="1"/>
        <v>0.211979166666667</v>
      </c>
      <c r="G10" s="3">
        <f t="shared" si="6"/>
        <v>-1.2308998302207099E-2</v>
      </c>
      <c r="H10" s="2">
        <v>3101</v>
      </c>
      <c r="I10" s="3">
        <f t="shared" si="0"/>
        <v>0.22279179810725599</v>
      </c>
      <c r="J10" s="3">
        <f t="shared" si="4"/>
        <v>2.8569651741293498</v>
      </c>
      <c r="K10" s="2">
        <v>1130.1400000000001</v>
      </c>
      <c r="L10" s="3">
        <f t="shared" si="2"/>
        <v>0.54726797278241002</v>
      </c>
      <c r="M10" s="3">
        <f t="shared" si="7"/>
        <v>0.21389903329752999</v>
      </c>
      <c r="N10" s="2">
        <v>21405.64</v>
      </c>
      <c r="O10" s="3">
        <f t="shared" si="3"/>
        <v>-0.231461837593228</v>
      </c>
      <c r="P10" s="3">
        <f t="shared" si="8"/>
        <v>4.2323735028110496</v>
      </c>
    </row>
    <row r="11" spans="1:16">
      <c r="A11" s="2" t="s">
        <v>45</v>
      </c>
      <c r="B11" s="2">
        <v>28479</v>
      </c>
      <c r="C11" s="3">
        <f t="shared" si="9"/>
        <v>0.918100690351911</v>
      </c>
      <c r="D11" s="3" t="s">
        <v>37</v>
      </c>
      <c r="E11" s="2">
        <v>2660.6</v>
      </c>
      <c r="F11" s="3">
        <f t="shared" si="1"/>
        <v>0.143360550064461</v>
      </c>
      <c r="G11" s="3">
        <f t="shared" si="6"/>
        <v>0.15477430555555599</v>
      </c>
      <c r="H11" s="2">
        <v>1965</v>
      </c>
      <c r="I11" s="3">
        <f t="shared" si="0"/>
        <v>-0.36633344082553998</v>
      </c>
      <c r="J11" s="3">
        <f t="shared" si="4"/>
        <v>0.30634224172317498</v>
      </c>
      <c r="K11" s="2">
        <v>1213.55</v>
      </c>
      <c r="L11" s="3">
        <f t="shared" si="2"/>
        <v>7.3805015307837799E-2</v>
      </c>
      <c r="M11" s="3">
        <f t="shared" si="7"/>
        <v>0.155156822616725</v>
      </c>
      <c r="N11" s="2">
        <v>34318.15</v>
      </c>
      <c r="O11" s="3">
        <f t="shared" si="3"/>
        <v>0.60322933581990601</v>
      </c>
      <c r="P11" s="3">
        <f t="shared" si="8"/>
        <v>6.0631643941342901</v>
      </c>
    </row>
    <row r="12" spans="1:16">
      <c r="A12" s="2" t="s">
        <v>46</v>
      </c>
      <c r="B12" s="2">
        <v>23301</v>
      </c>
      <c r="C12" s="3">
        <f t="shared" si="9"/>
        <v>-0.18181818181818199</v>
      </c>
      <c r="D12" s="3">
        <f t="shared" si="5"/>
        <v>1.8097190401543499</v>
      </c>
      <c r="E12" s="2">
        <v>2391.8000000000002</v>
      </c>
      <c r="F12" s="3">
        <f t="shared" si="1"/>
        <v>-0.101029842892581</v>
      </c>
      <c r="G12" s="3">
        <f t="shared" si="6"/>
        <v>8.6194368755676695E-2</v>
      </c>
      <c r="H12" s="2">
        <v>1355</v>
      </c>
      <c r="I12" s="3">
        <f t="shared" si="0"/>
        <v>-0.31043256997455498</v>
      </c>
      <c r="J12" s="3">
        <f t="shared" si="4"/>
        <v>-0.205278592375367</v>
      </c>
      <c r="K12" s="2">
        <v>1069.06</v>
      </c>
      <c r="L12" s="3">
        <f t="shared" si="2"/>
        <v>-0.119063903423839</v>
      </c>
      <c r="M12" s="3">
        <f t="shared" si="7"/>
        <v>1.31349507202425E-2</v>
      </c>
      <c r="N12" s="2">
        <v>28116.86</v>
      </c>
      <c r="O12" s="3">
        <f t="shared" si="3"/>
        <v>-0.180700008596034</v>
      </c>
      <c r="P12" s="3">
        <f t="shared" si="8"/>
        <v>1.12119470094755</v>
      </c>
    </row>
    <row r="13" spans="1:16">
      <c r="A13" s="2" t="s">
        <v>47</v>
      </c>
      <c r="B13" s="2">
        <v>31228</v>
      </c>
      <c r="C13" s="3">
        <f t="shared" si="9"/>
        <v>0.34019999141667701</v>
      </c>
      <c r="D13" s="3">
        <f t="shared" si="5"/>
        <v>0.37774640430600898</v>
      </c>
      <c r="E13" s="2">
        <v>2459.1999999999998</v>
      </c>
      <c r="F13" s="3">
        <f t="shared" si="1"/>
        <v>2.81796136800734E-2</v>
      </c>
      <c r="G13" s="3">
        <f t="shared" si="6"/>
        <v>0.28083333333333299</v>
      </c>
      <c r="H13" s="2">
        <v>2292</v>
      </c>
      <c r="I13" s="3">
        <f t="shared" si="0"/>
        <v>0.69151291512915103</v>
      </c>
      <c r="J13" s="3">
        <f t="shared" si="4"/>
        <v>-9.6214511041009504E-2</v>
      </c>
      <c r="K13" s="2">
        <v>1177.97</v>
      </c>
      <c r="L13" s="3">
        <f t="shared" si="2"/>
        <v>0.101874543991918</v>
      </c>
      <c r="M13" s="3">
        <f t="shared" si="7"/>
        <v>0.61275174217220496</v>
      </c>
      <c r="N13" s="2">
        <v>37157.17</v>
      </c>
      <c r="O13" s="3">
        <f t="shared" si="3"/>
        <v>0.32152630130107002</v>
      </c>
      <c r="P13" s="3">
        <f t="shared" si="8"/>
        <v>0.334073783920314</v>
      </c>
    </row>
    <row r="14" spans="1:16">
      <c r="A14" s="2" t="s">
        <v>48</v>
      </c>
      <c r="B14" s="2">
        <v>11499</v>
      </c>
      <c r="C14" s="3">
        <f t="shared" si="9"/>
        <v>-0.63177276802869198</v>
      </c>
      <c r="D14" s="3">
        <f t="shared" si="5"/>
        <v>-0.225526182859067</v>
      </c>
      <c r="E14" s="2">
        <v>553</v>
      </c>
      <c r="F14" s="3">
        <f t="shared" si="1"/>
        <v>-0.77513012361743605</v>
      </c>
      <c r="G14" s="3">
        <f t="shared" si="6"/>
        <v>-0.76235496347228204</v>
      </c>
      <c r="H14" s="2">
        <v>1587</v>
      </c>
      <c r="I14" s="3">
        <f t="shared" si="0"/>
        <v>-0.307591623036649</v>
      </c>
      <c r="J14" s="3">
        <f t="shared" si="4"/>
        <v>-0.48822960335375698</v>
      </c>
      <c r="K14" s="2">
        <v>1076.5999999999999</v>
      </c>
      <c r="L14" s="3">
        <f t="shared" si="2"/>
        <v>-8.6054823127923605E-2</v>
      </c>
      <c r="M14" s="3">
        <f t="shared" si="7"/>
        <v>-4.7374661546357298E-2</v>
      </c>
      <c r="N14" s="2">
        <v>14715.6</v>
      </c>
      <c r="O14" s="3">
        <f t="shared" si="3"/>
        <v>-0.60396338041890696</v>
      </c>
      <c r="P14" s="3">
        <f t="shared" si="8"/>
        <v>-0.31253632220293298</v>
      </c>
    </row>
  </sheetData>
  <mergeCells count="6">
    <mergeCell ref="A1:A2"/>
    <mergeCell ref="B1:D1"/>
    <mergeCell ref="E1:G1"/>
    <mergeCell ref="H1:J1"/>
    <mergeCell ref="K1:M1"/>
    <mergeCell ref="N1:P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tabSelected="1" workbookViewId="0">
      <selection activeCell="K2" sqref="K2"/>
    </sheetView>
  </sheetViews>
  <sheetFormatPr baseColWidth="10" defaultColWidth="8.6640625" defaultRowHeight="15"/>
  <cols>
    <col min="14" max="14" width="10.5" customWidth="1"/>
  </cols>
  <sheetData>
    <row r="1" spans="1:16">
      <c r="A1" s="22" t="s">
        <v>0</v>
      </c>
      <c r="B1" s="22" t="s">
        <v>49</v>
      </c>
      <c r="C1" s="22"/>
      <c r="D1" s="22"/>
      <c r="E1" s="22" t="s">
        <v>50</v>
      </c>
      <c r="F1" s="22"/>
      <c r="G1" s="22"/>
      <c r="H1" s="22" t="s">
        <v>51</v>
      </c>
      <c r="I1" s="22"/>
      <c r="J1" s="22"/>
      <c r="K1" s="22" t="s">
        <v>52</v>
      </c>
      <c r="L1" s="22"/>
      <c r="M1" s="22"/>
      <c r="N1" s="22" t="s">
        <v>8</v>
      </c>
      <c r="O1" s="22"/>
      <c r="P1" s="22"/>
    </row>
    <row r="2" spans="1:16">
      <c r="A2" s="23"/>
      <c r="B2" s="1" t="s">
        <v>33</v>
      </c>
      <c r="C2" s="1" t="s">
        <v>34</v>
      </c>
      <c r="D2" s="1" t="s">
        <v>35</v>
      </c>
      <c r="E2" s="1" t="s">
        <v>33</v>
      </c>
      <c r="F2" s="1" t="s">
        <v>34</v>
      </c>
      <c r="G2" s="1" t="s">
        <v>35</v>
      </c>
      <c r="H2" s="1" t="s">
        <v>33</v>
      </c>
      <c r="I2" s="1" t="s">
        <v>34</v>
      </c>
      <c r="J2" s="1" t="s">
        <v>35</v>
      </c>
      <c r="K2" s="1" t="s">
        <v>33</v>
      </c>
      <c r="L2" s="1" t="s">
        <v>34</v>
      </c>
      <c r="M2" s="1" t="s">
        <v>35</v>
      </c>
      <c r="N2" s="1" t="s">
        <v>33</v>
      </c>
      <c r="O2" s="1" t="s">
        <v>34</v>
      </c>
      <c r="P2" s="1" t="s">
        <v>35</v>
      </c>
    </row>
    <row r="3" spans="1:16">
      <c r="A3" s="2" t="s">
        <v>9</v>
      </c>
      <c r="B3" s="2">
        <v>23814</v>
      </c>
      <c r="C3" s="2"/>
      <c r="D3" s="2"/>
      <c r="E3" s="2">
        <v>6981</v>
      </c>
      <c r="F3" s="2"/>
      <c r="G3" s="2"/>
      <c r="H3" s="2">
        <v>15036</v>
      </c>
      <c r="I3" s="2"/>
      <c r="J3" s="2"/>
      <c r="K3" s="2">
        <v>15036</v>
      </c>
      <c r="L3" s="2"/>
      <c r="M3" s="2"/>
      <c r="N3" s="2">
        <v>49905.21</v>
      </c>
      <c r="O3" s="2"/>
      <c r="P3" s="2"/>
    </row>
    <row r="4" spans="1:16">
      <c r="A4" s="2" t="s">
        <v>26</v>
      </c>
      <c r="B4" s="2">
        <v>45806.5</v>
      </c>
      <c r="C4" s="3">
        <f>(B4-B3)/B3</f>
        <v>0.92351137986058596</v>
      </c>
      <c r="D4" s="3">
        <f>(B4-B3)/B3</f>
        <v>0.92351137986058596</v>
      </c>
      <c r="E4" s="2">
        <v>8753</v>
      </c>
      <c r="F4" s="3">
        <f>(E4-E3)/E3</f>
        <v>0.25383182925082398</v>
      </c>
      <c r="G4" s="3">
        <f>(E4-E3)/E3</f>
        <v>0.25383182925082398</v>
      </c>
      <c r="H4" s="2">
        <v>8846.2000000000007</v>
      </c>
      <c r="I4" s="3">
        <f>(H4-H3)/H3</f>
        <v>-0.411665336525672</v>
      </c>
      <c r="J4" s="3">
        <f>(H4-H3)/H3</f>
        <v>-0.411665336525672</v>
      </c>
      <c r="K4" s="2">
        <v>8846.2000000000007</v>
      </c>
      <c r="L4" s="3">
        <f>(K4-K3)/K3</f>
        <v>-0.411665336525672</v>
      </c>
      <c r="M4" s="3">
        <f>(K4-K3)/K3</f>
        <v>-0.411665336525672</v>
      </c>
      <c r="N4" s="2">
        <v>67372</v>
      </c>
      <c r="O4" s="3">
        <f>(N4-N3)/N3</f>
        <v>0.34999932872740103</v>
      </c>
      <c r="P4" s="3">
        <f>(N4-N3)/N3</f>
        <v>0.34999932872740103</v>
      </c>
    </row>
    <row r="5" spans="1:16">
      <c r="A5" s="2" t="s">
        <v>27</v>
      </c>
      <c r="B5" s="2">
        <v>94507</v>
      </c>
      <c r="C5" s="3">
        <f>(B5-B4)/B4</f>
        <v>1.06317880650126</v>
      </c>
      <c r="D5" s="3">
        <f>(B5-B4)/B4</f>
        <v>1.06317880650126</v>
      </c>
      <c r="E5" s="2">
        <v>8064.6</v>
      </c>
      <c r="F5" s="3">
        <f>(E5-E4)/E4</f>
        <v>-7.8647320918542193E-2</v>
      </c>
      <c r="G5" s="3">
        <f>(E5-E4)/E4</f>
        <v>-7.8647320918542193E-2</v>
      </c>
      <c r="H5" s="2">
        <v>7199</v>
      </c>
      <c r="I5" s="3">
        <f>(H5-H4)/H4</f>
        <v>-0.18620424589089099</v>
      </c>
      <c r="J5" s="3">
        <f>(H5-H4)/H4</f>
        <v>-0.18620424589089099</v>
      </c>
      <c r="K5" s="2">
        <v>7199</v>
      </c>
      <c r="L5" s="3">
        <f>(K5-K4)/K4</f>
        <v>-0.18620424589089099</v>
      </c>
      <c r="M5" s="3">
        <f>(K5-K4)/K4</f>
        <v>-0.18620424589089099</v>
      </c>
      <c r="N5" s="2">
        <v>114307.78</v>
      </c>
      <c r="O5" s="3">
        <f>(N5-N4)/N4</f>
        <v>0.69666597399513197</v>
      </c>
      <c r="P5" s="3">
        <f>(N5-N4)/N4</f>
        <v>0.69666597399513197</v>
      </c>
    </row>
  </sheetData>
  <mergeCells count="6">
    <mergeCell ref="A1:A2"/>
    <mergeCell ref="B1:D1"/>
    <mergeCell ref="E1:G1"/>
    <mergeCell ref="H1:J1"/>
    <mergeCell ref="K1:M1"/>
    <mergeCell ref="N1:P1"/>
  </mergeCells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DFDAE3-1ACE-4A82-B2F5-763853BB3969}"/>
</file>

<file path=customXml/itemProps2.xml><?xml version="1.0" encoding="utf-8"?>
<ds:datastoreItem xmlns:ds="http://schemas.openxmlformats.org/officeDocument/2006/customXml" ds:itemID="{3E7420BD-27E7-4BD6-9378-894F8B83C8B4}"/>
</file>

<file path=customXml/itemProps3.xml><?xml version="1.0" encoding="utf-8"?>
<ds:datastoreItem xmlns:ds="http://schemas.openxmlformats.org/officeDocument/2006/customXml" ds:itemID="{D4E69C63-3A73-4EB4-A052-6B781075D1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物流公司费用汇总</vt:lpstr>
      <vt:lpstr>季度指标分析</vt:lpstr>
      <vt:lpstr>年度指标分析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春龙 马</dc:creator>
  <cp:lastModifiedBy>陈冠宙</cp:lastModifiedBy>
  <dcterms:created xsi:type="dcterms:W3CDTF">2025-12-14T13:25:00Z</dcterms:created>
  <dcterms:modified xsi:type="dcterms:W3CDTF">2026-02-05T08:40:41Z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DDB5AA0A937D4410ADED230A31F0555F_13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
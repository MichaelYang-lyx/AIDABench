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136/"/>
    </mc:Choice>
  </mc:AlternateContent>
  <xr:revisionPtr revIDLastSave="0" documentId="13_ncr:1_{7281C5D2-9F3D-2344-B03C-40D4256DC07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工时统计" sheetId="3" r:id="rId1"/>
  </sheets>
  <definedNames>
    <definedName name="_xlnm._FilterDatabase" localSheetId="0" hidden="1">工时统计!$A$1:$S$53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3" l="1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<sst xmlns="http://schemas.openxmlformats.org/spreadsheetml/2006/main" count="97" uniqueCount="47">
  <si>
    <t>项目</t>
  </si>
  <si>
    <t>总工时</t>
  </si>
  <si>
    <t>智慧能源管理系统项目技术服务合同</t>
  </si>
  <si>
    <t>工时占比</t>
  </si>
  <si>
    <t>物流园区能耗与碳排数据管理系统方案咨询报告</t>
  </si>
  <si>
    <t>智慧能源监控管理系统物资供货采购合同</t>
  </si>
  <si>
    <t>CIM 大屏污水处理动态监测模块建设项目技术服务合同</t>
  </si>
  <si>
    <t>物流园区能耗与碳排数智平台示范项目</t>
  </si>
  <si>
    <t>新海轮渡智慧配电安全集中监测
系统项目</t>
  </si>
  <si>
    <t>县电力公司配电监测（30套）</t>
  </si>
  <si>
    <t>综合数智能源运营服务平台接入及远程运维服务项目合同</t>
  </si>
  <si>
    <t>未有项目预算的接入光伏项目</t>
  </si>
  <si>
    <t>天津公司本部绩效考核系统</t>
  </si>
  <si>
    <t>信息化运维服务项目1</t>
  </si>
  <si>
    <t>综合数智能源运营服务平台功能深化委托研发项目合同</t>
  </si>
  <si>
    <t>车联网运营平台</t>
  </si>
  <si>
    <t>基于物流供应链的AI+业能（源）融合一体化智能应用研究</t>
  </si>
  <si>
    <t>基于配置模型驱动的低(零)代码开发技术研究</t>
  </si>
  <si>
    <t>通用配电监测装置及平台研发</t>
  </si>
  <si>
    <t>基于组态化在线监测及能源管理平台研发</t>
  </si>
  <si>
    <t>AI智能视觉及通用智能体技术研究</t>
  </si>
  <si>
    <t>管理费</t>
  </si>
  <si>
    <t>石油公司油库安全风险智能化管控平台信息系统研发及应用项目</t>
  </si>
  <si>
    <t>CIM展厅零碳数据链路闭环(CIM系统扩展升级)建设项目</t>
  </si>
  <si>
    <t>综合数智能源运营服务平台（二期）委托研发项目</t>
  </si>
  <si>
    <t>信息化系统国产化改造项目</t>
  </si>
  <si>
    <t>信息化运维服务项目2</t>
  </si>
  <si>
    <t>水泥制品项目</t>
  </si>
  <si>
    <t>滨海远宾仓储</t>
  </si>
  <si>
    <t>王A</t>
  </si>
  <si>
    <t>贾A</t>
  </si>
  <si>
    <t>常A</t>
  </si>
  <si>
    <t>黄A</t>
  </si>
  <si>
    <t>代A</t>
  </si>
  <si>
    <t>姜A</t>
  </si>
  <si>
    <t>周A</t>
  </si>
  <si>
    <t>王B</t>
  </si>
  <si>
    <t>张A</t>
  </si>
  <si>
    <t>赵A</t>
  </si>
  <si>
    <t>田A</t>
  </si>
  <si>
    <t>陈A</t>
  </si>
  <si>
    <t>于A</t>
  </si>
  <si>
    <t>只A</t>
  </si>
  <si>
    <t>薛A</t>
  </si>
  <si>
    <t>李A</t>
  </si>
  <si>
    <t>蔡A</t>
  </si>
  <si>
    <t>-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</si>
</sst>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9" fontId="0" fillId="0" borderId="1" xfId="1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U12" sqref="U12"/>
    </sheetView>
  </sheetViews>
  <sheetFormatPr baseColWidth="10" defaultColWidth="8.6640625" defaultRowHeight="15"/>
  <cols>
    <col min="1" max="1" width="33.83203125" customWidth="1"/>
  </cols>
  <sheetData>
    <row r="1" spans="1:19" ht="16">
      <c r="A1" s="1" t="s">
        <v>0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2" t="s">
        <v>1</v>
      </c>
    </row>
    <row r="2" spans="1:19">
      <c r="A2" s="1" t="s">
        <v>2</v>
      </c>
      <c r="B2" s="2">
        <v>9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10</v>
      </c>
      <c r="K2" s="2">
        <v>0</v>
      </c>
      <c r="L2" s="2">
        <v>0</v>
      </c>
      <c r="M2" s="2">
        <v>0</v>
      </c>
      <c r="N2" s="2"/>
      <c r="O2" s="2">
        <v>0</v>
      </c>
      <c r="P2" s="2">
        <v>0</v>
      </c>
      <c r="Q2" s="2">
        <v>0</v>
      </c>
      <c r="R2" s="2">
        <v>0</v>
      </c>
      <c r="S2" s="2">
        <v>20</v>
      </c>
    </row>
    <row r="3" spans="1:19">
      <c r="A3" s="2" t="s">
        <v>3</v>
      </c>
      <c r="B3" s="3">
        <f>B2/$S2</f>
        <v>0.45</v>
      </c>
      <c r="C3" s="3">
        <f>C2/$S2</f>
        <v>0</v>
      </c>
      <c r="D3" s="3">
        <f t="shared" ref="D3:R3" si="0">D2/$S2</f>
        <v>0</v>
      </c>
      <c r="E3" s="3">
        <f t="shared" si="0"/>
        <v>0.05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0.5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0</v>
      </c>
      <c r="O3" s="3">
        <f t="shared" si="0"/>
        <v>0</v>
      </c>
      <c r="P3" s="3">
        <f t="shared" si="0"/>
        <v>0</v>
      </c>
      <c r="Q3" s="3">
        <f t="shared" si="0"/>
        <v>0</v>
      </c>
      <c r="R3" s="3">
        <f t="shared" si="0"/>
        <v>0</v>
      </c>
      <c r="S3" s="9" t="s">
        <v>46</v>
      </c>
    </row>
    <row r="4" spans="1:19" ht="30">
      <c r="A4" s="1" t="s">
        <v>4</v>
      </c>
      <c r="B4" s="2">
        <v>0</v>
      </c>
      <c r="C4" s="2">
        <v>0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</v>
      </c>
    </row>
    <row r="5" spans="1:19">
      <c r="A5" s="2" t="s">
        <v>3</v>
      </c>
      <c r="B5" s="3">
        <f t="shared" ref="B5:R5" si="1">B4/$S4</f>
        <v>0</v>
      </c>
      <c r="C5" s="3">
        <f t="shared" si="1"/>
        <v>0</v>
      </c>
      <c r="D5" s="3">
        <f t="shared" si="1"/>
        <v>0</v>
      </c>
      <c r="E5" s="3">
        <f t="shared" si="1"/>
        <v>1</v>
      </c>
      <c r="F5" s="3">
        <f t="shared" si="1"/>
        <v>0</v>
      </c>
      <c r="G5" s="3">
        <f t="shared" si="1"/>
        <v>0</v>
      </c>
      <c r="H5" s="3">
        <f t="shared" si="1"/>
        <v>0</v>
      </c>
      <c r="I5" s="3">
        <f t="shared" si="1"/>
        <v>0</v>
      </c>
      <c r="J5" s="3">
        <f t="shared" si="1"/>
        <v>0</v>
      </c>
      <c r="K5" s="3">
        <f t="shared" si="1"/>
        <v>0</v>
      </c>
      <c r="L5" s="3">
        <f t="shared" si="1"/>
        <v>0</v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  <c r="S5" s="9" t="s">
        <v>46</v>
      </c>
    </row>
    <row r="6" spans="1:19">
      <c r="A6" s="1" t="s">
        <v>5</v>
      </c>
      <c r="B6" s="2">
        <v>26</v>
      </c>
      <c r="C6" s="2">
        <v>24</v>
      </c>
      <c r="D6" s="2">
        <v>0</v>
      </c>
      <c r="E6" s="2">
        <v>15</v>
      </c>
      <c r="F6" s="2">
        <v>70</v>
      </c>
      <c r="G6" s="2">
        <v>5</v>
      </c>
      <c r="H6" s="2">
        <v>5</v>
      </c>
      <c r="I6" s="2">
        <v>12</v>
      </c>
      <c r="J6" s="2">
        <v>10</v>
      </c>
      <c r="K6" s="2">
        <v>2</v>
      </c>
      <c r="L6" s="2">
        <v>0</v>
      </c>
      <c r="M6" s="2">
        <v>11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180</v>
      </c>
    </row>
    <row r="7" spans="1:19">
      <c r="A7" s="2" t="s">
        <v>3</v>
      </c>
      <c r="B7" s="3">
        <f t="shared" ref="B7:R7" si="2">B6/$S6</f>
        <v>0.14444444444444443</v>
      </c>
      <c r="C7" s="3">
        <f t="shared" si="2"/>
        <v>0.13333333333333333</v>
      </c>
      <c r="D7" s="3">
        <f t="shared" si="2"/>
        <v>0</v>
      </c>
      <c r="E7" s="3">
        <f t="shared" si="2"/>
        <v>8.3333333333333329E-2</v>
      </c>
      <c r="F7" s="3">
        <f t="shared" si="2"/>
        <v>0.3888888888888889</v>
      </c>
      <c r="G7" s="3">
        <f t="shared" si="2"/>
        <v>2.7777777777777776E-2</v>
      </c>
      <c r="H7" s="3">
        <f t="shared" si="2"/>
        <v>2.7777777777777776E-2</v>
      </c>
      <c r="I7" s="3">
        <f t="shared" si="2"/>
        <v>6.6666666666666666E-2</v>
      </c>
      <c r="J7" s="3">
        <f t="shared" si="2"/>
        <v>5.5555555555555552E-2</v>
      </c>
      <c r="K7" s="3">
        <f t="shared" si="2"/>
        <v>1.1111111111111112E-2</v>
      </c>
      <c r="L7" s="3">
        <f t="shared" si="2"/>
        <v>0</v>
      </c>
      <c r="M7" s="3">
        <f t="shared" si="2"/>
        <v>6.1111111111111109E-2</v>
      </c>
      <c r="N7" s="3">
        <f t="shared" si="2"/>
        <v>0</v>
      </c>
      <c r="O7" s="3">
        <f t="shared" si="2"/>
        <v>0</v>
      </c>
      <c r="P7" s="3">
        <f t="shared" si="2"/>
        <v>0</v>
      </c>
      <c r="Q7" s="3">
        <f t="shared" si="2"/>
        <v>0</v>
      </c>
      <c r="R7" s="3">
        <f t="shared" si="2"/>
        <v>0</v>
      </c>
      <c r="S7" s="9" t="s">
        <v>46</v>
      </c>
    </row>
    <row r="8" spans="1:19" ht="30">
      <c r="A8" s="1" t="s">
        <v>6</v>
      </c>
      <c r="B8" s="2">
        <v>3</v>
      </c>
      <c r="C8" s="2">
        <v>5</v>
      </c>
      <c r="D8" s="2">
        <v>11</v>
      </c>
      <c r="E8" s="2">
        <v>22</v>
      </c>
      <c r="F8" s="2">
        <v>7</v>
      </c>
      <c r="G8" s="2">
        <v>17</v>
      </c>
      <c r="H8" s="2">
        <v>11</v>
      </c>
      <c r="I8" s="2">
        <v>45</v>
      </c>
      <c r="J8" s="2">
        <v>13</v>
      </c>
      <c r="K8" s="2">
        <v>19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153</v>
      </c>
    </row>
    <row r="9" spans="1:19">
      <c r="A9" s="2" t="s">
        <v>3</v>
      </c>
      <c r="B9" s="3">
        <f t="shared" ref="B9:R9" si="3">B8/$S8</f>
        <v>1.9607843137254902E-2</v>
      </c>
      <c r="C9" s="3">
        <f t="shared" si="3"/>
        <v>3.2679738562091505E-2</v>
      </c>
      <c r="D9" s="3">
        <f t="shared" si="3"/>
        <v>7.1895424836601302E-2</v>
      </c>
      <c r="E9" s="3">
        <f t="shared" si="3"/>
        <v>0.1437908496732026</v>
      </c>
      <c r="F9" s="3">
        <f t="shared" si="3"/>
        <v>4.5751633986928102E-2</v>
      </c>
      <c r="G9" s="3">
        <f t="shared" si="3"/>
        <v>0.1111111111111111</v>
      </c>
      <c r="H9" s="3">
        <f t="shared" si="3"/>
        <v>7.1895424836601302E-2</v>
      </c>
      <c r="I9" s="3">
        <f t="shared" si="3"/>
        <v>0.29411764705882354</v>
      </c>
      <c r="J9" s="3">
        <f t="shared" si="3"/>
        <v>8.4967320261437912E-2</v>
      </c>
      <c r="K9" s="3">
        <f t="shared" si="3"/>
        <v>0.12418300653594772</v>
      </c>
      <c r="L9" s="3">
        <f t="shared" si="3"/>
        <v>0</v>
      </c>
      <c r="M9" s="3">
        <f t="shared" si="3"/>
        <v>0</v>
      </c>
      <c r="N9" s="3">
        <f t="shared" si="3"/>
        <v>0</v>
      </c>
      <c r="O9" s="3">
        <f t="shared" si="3"/>
        <v>0</v>
      </c>
      <c r="P9" s="3">
        <f t="shared" si="3"/>
        <v>0</v>
      </c>
      <c r="Q9" s="3">
        <f t="shared" si="3"/>
        <v>0</v>
      </c>
      <c r="R9" s="3">
        <f t="shared" si="3"/>
        <v>0</v>
      </c>
      <c r="S9" s="9" t="s">
        <v>46</v>
      </c>
    </row>
    <row r="10" spans="1:19">
      <c r="A10" s="1" t="s">
        <v>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9" t="s">
        <v>46</v>
      </c>
    </row>
    <row r="12" spans="1:19" ht="32">
      <c r="A12" s="4" t="s">
        <v>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9" t="s">
        <v>46</v>
      </c>
    </row>
    <row r="14" spans="1:19">
      <c r="A14" s="1" t="s">
        <v>9</v>
      </c>
      <c r="B14" s="2">
        <v>0</v>
      </c>
      <c r="C14" s="2">
        <v>0</v>
      </c>
      <c r="D14" s="2">
        <v>5</v>
      </c>
      <c r="E14" s="2">
        <v>0</v>
      </c>
      <c r="F14" s="2">
        <v>0</v>
      </c>
      <c r="G14" s="2">
        <v>21</v>
      </c>
      <c r="H14" s="2">
        <v>0</v>
      </c>
      <c r="I14" s="2">
        <v>0</v>
      </c>
      <c r="J14" s="2">
        <v>0</v>
      </c>
      <c r="K14" s="2">
        <v>15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41</v>
      </c>
    </row>
    <row r="15" spans="1:19">
      <c r="A15" s="2" t="s">
        <v>3</v>
      </c>
      <c r="B15" s="3">
        <f t="shared" ref="B15:R15" si="4">B14/$S14</f>
        <v>0</v>
      </c>
      <c r="C15" s="3">
        <f t="shared" si="4"/>
        <v>0</v>
      </c>
      <c r="D15" s="3">
        <f t="shared" si="4"/>
        <v>0.12195121951219512</v>
      </c>
      <c r="E15" s="3">
        <f t="shared" si="4"/>
        <v>0</v>
      </c>
      <c r="F15" s="3">
        <f t="shared" si="4"/>
        <v>0</v>
      </c>
      <c r="G15" s="3">
        <f t="shared" si="4"/>
        <v>0.51219512195121952</v>
      </c>
      <c r="H15" s="3">
        <f t="shared" si="4"/>
        <v>0</v>
      </c>
      <c r="I15" s="3">
        <f t="shared" si="4"/>
        <v>0</v>
      </c>
      <c r="J15" s="3">
        <f t="shared" si="4"/>
        <v>0</v>
      </c>
      <c r="K15" s="3">
        <f t="shared" si="4"/>
        <v>0.36585365853658536</v>
      </c>
      <c r="L15" s="3">
        <f t="shared" si="4"/>
        <v>0</v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  <c r="S15" s="9" t="s">
        <v>46</v>
      </c>
    </row>
    <row r="16" spans="1:19" ht="30">
      <c r="A16" s="1" t="s">
        <v>10</v>
      </c>
      <c r="B16" s="2">
        <v>9</v>
      </c>
      <c r="C16" s="2">
        <v>16</v>
      </c>
      <c r="D16" s="2">
        <v>0</v>
      </c>
      <c r="E16" s="2">
        <v>6</v>
      </c>
      <c r="F16" s="2">
        <v>0</v>
      </c>
      <c r="G16" s="2">
        <v>0</v>
      </c>
      <c r="H16" s="2">
        <v>0</v>
      </c>
      <c r="I16" s="2">
        <v>29</v>
      </c>
      <c r="J16" s="2">
        <v>0</v>
      </c>
      <c r="K16" s="2">
        <v>15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75</v>
      </c>
    </row>
    <row r="17" spans="1:19">
      <c r="A17" s="2" t="s">
        <v>3</v>
      </c>
      <c r="B17" s="3">
        <f t="shared" ref="B17:R17" si="5">B16/$S16</f>
        <v>0.12</v>
      </c>
      <c r="C17" s="3">
        <f t="shared" si="5"/>
        <v>0.21333333333333335</v>
      </c>
      <c r="D17" s="3">
        <f t="shared" si="5"/>
        <v>0</v>
      </c>
      <c r="E17" s="3">
        <f t="shared" si="5"/>
        <v>0.08</v>
      </c>
      <c r="F17" s="3">
        <f t="shared" si="5"/>
        <v>0</v>
      </c>
      <c r="G17" s="3">
        <f t="shared" si="5"/>
        <v>0</v>
      </c>
      <c r="H17" s="3">
        <f t="shared" si="5"/>
        <v>0</v>
      </c>
      <c r="I17" s="3">
        <f t="shared" si="5"/>
        <v>0.38666666666666666</v>
      </c>
      <c r="J17" s="3">
        <f t="shared" si="5"/>
        <v>0</v>
      </c>
      <c r="K17" s="3">
        <f t="shared" si="5"/>
        <v>0.2</v>
      </c>
      <c r="L17" s="3">
        <f t="shared" si="5"/>
        <v>0</v>
      </c>
      <c r="M17" s="3">
        <f t="shared" si="5"/>
        <v>0</v>
      </c>
      <c r="N17" s="3">
        <f t="shared" si="5"/>
        <v>0</v>
      </c>
      <c r="O17" s="3">
        <f t="shared" si="5"/>
        <v>0</v>
      </c>
      <c r="P17" s="3">
        <f t="shared" si="5"/>
        <v>0</v>
      </c>
      <c r="Q17" s="3">
        <f t="shared" si="5"/>
        <v>0</v>
      </c>
      <c r="R17" s="3">
        <f t="shared" si="5"/>
        <v>0</v>
      </c>
      <c r="S17" s="9" t="s">
        <v>46</v>
      </c>
    </row>
    <row r="18" spans="1:19">
      <c r="A18" s="1" t="s">
        <v>11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9" t="s">
        <v>46</v>
      </c>
    </row>
    <row r="20" spans="1:19">
      <c r="A20" s="1" t="s">
        <v>12</v>
      </c>
      <c r="B20" s="2">
        <v>8</v>
      </c>
      <c r="C20" s="2">
        <v>17</v>
      </c>
      <c r="D20" s="2">
        <v>26</v>
      </c>
      <c r="E20" s="2">
        <v>30</v>
      </c>
      <c r="F20" s="2">
        <v>0</v>
      </c>
      <c r="G20" s="2">
        <v>0</v>
      </c>
      <c r="H20" s="2">
        <v>25</v>
      </c>
      <c r="I20" s="2">
        <v>14</v>
      </c>
      <c r="J20" s="2">
        <v>30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150</v>
      </c>
    </row>
    <row r="21" spans="1:19">
      <c r="A21" s="2" t="s">
        <v>3</v>
      </c>
      <c r="B21" s="3">
        <f t="shared" ref="B21:R21" si="6">B20/$S20</f>
        <v>5.3333333333333337E-2</v>
      </c>
      <c r="C21" s="3">
        <f t="shared" si="6"/>
        <v>0.11333333333333333</v>
      </c>
      <c r="D21" s="3">
        <f t="shared" si="6"/>
        <v>0.17333333333333334</v>
      </c>
      <c r="E21" s="3">
        <f t="shared" si="6"/>
        <v>0.2</v>
      </c>
      <c r="F21" s="3">
        <f t="shared" si="6"/>
        <v>0</v>
      </c>
      <c r="G21" s="3">
        <f t="shared" si="6"/>
        <v>0</v>
      </c>
      <c r="H21" s="3">
        <f t="shared" si="6"/>
        <v>0.16666666666666666</v>
      </c>
      <c r="I21" s="3">
        <f t="shared" si="6"/>
        <v>9.3333333333333338E-2</v>
      </c>
      <c r="J21" s="3">
        <f t="shared" si="6"/>
        <v>0.2</v>
      </c>
      <c r="K21" s="3">
        <f t="shared" si="6"/>
        <v>0</v>
      </c>
      <c r="L21" s="3">
        <f t="shared" si="6"/>
        <v>0</v>
      </c>
      <c r="M21" s="3">
        <f t="shared" si="6"/>
        <v>0</v>
      </c>
      <c r="N21" s="3">
        <f t="shared" si="6"/>
        <v>0</v>
      </c>
      <c r="O21" s="3">
        <f t="shared" si="6"/>
        <v>0</v>
      </c>
      <c r="P21" s="3">
        <f t="shared" si="6"/>
        <v>0</v>
      </c>
      <c r="Q21" s="3">
        <f t="shared" si="6"/>
        <v>0</v>
      </c>
      <c r="R21" s="3">
        <f t="shared" si="6"/>
        <v>0</v>
      </c>
      <c r="S21" s="9" t="s">
        <v>46</v>
      </c>
    </row>
    <row r="22" spans="1:19">
      <c r="A22" s="1" t="s">
        <v>13</v>
      </c>
      <c r="B22" s="2">
        <v>3</v>
      </c>
      <c r="C22" s="2">
        <v>2</v>
      </c>
      <c r="D22" s="2">
        <v>58</v>
      </c>
      <c r="E22" s="2">
        <v>2</v>
      </c>
      <c r="F22" s="2">
        <v>5</v>
      </c>
      <c r="G22" s="2">
        <v>0</v>
      </c>
      <c r="H22" s="2">
        <v>9</v>
      </c>
      <c r="I22" s="2">
        <v>0</v>
      </c>
      <c r="J22" s="2">
        <v>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82</v>
      </c>
    </row>
    <row r="23" spans="1:19">
      <c r="A23" s="2" t="s">
        <v>3</v>
      </c>
      <c r="B23" s="3">
        <f t="shared" ref="B23:R23" si="7">B22/$S22</f>
        <v>3.6585365853658534E-2</v>
      </c>
      <c r="C23" s="3">
        <f t="shared" si="7"/>
        <v>2.4390243902439025E-2</v>
      </c>
      <c r="D23" s="3">
        <f t="shared" si="7"/>
        <v>0.70731707317073167</v>
      </c>
      <c r="E23" s="3">
        <f t="shared" si="7"/>
        <v>2.4390243902439025E-2</v>
      </c>
      <c r="F23" s="3">
        <f t="shared" si="7"/>
        <v>6.097560975609756E-2</v>
      </c>
      <c r="G23" s="3">
        <f t="shared" si="7"/>
        <v>0</v>
      </c>
      <c r="H23" s="3">
        <f t="shared" si="7"/>
        <v>0.10975609756097561</v>
      </c>
      <c r="I23" s="3">
        <f t="shared" si="7"/>
        <v>0</v>
      </c>
      <c r="J23" s="3">
        <f t="shared" si="7"/>
        <v>3.6585365853658534E-2</v>
      </c>
      <c r="K23" s="3">
        <f t="shared" si="7"/>
        <v>0</v>
      </c>
      <c r="L23" s="3">
        <f t="shared" si="7"/>
        <v>0</v>
      </c>
      <c r="M23" s="3">
        <f t="shared" si="7"/>
        <v>0</v>
      </c>
      <c r="N23" s="3">
        <f t="shared" si="7"/>
        <v>0</v>
      </c>
      <c r="O23" s="3">
        <f t="shared" si="7"/>
        <v>0</v>
      </c>
      <c r="P23" s="3">
        <f t="shared" si="7"/>
        <v>0</v>
      </c>
      <c r="Q23" s="3">
        <f t="shared" si="7"/>
        <v>0</v>
      </c>
      <c r="R23" s="3">
        <f t="shared" si="7"/>
        <v>0</v>
      </c>
      <c r="S23" s="9" t="s">
        <v>46</v>
      </c>
    </row>
    <row r="24" spans="1:19" ht="30">
      <c r="A24" s="1" t="s">
        <v>14</v>
      </c>
      <c r="B24" s="2">
        <v>3</v>
      </c>
      <c r="C24" s="2">
        <v>3</v>
      </c>
      <c r="D24" s="2">
        <v>48</v>
      </c>
      <c r="E24" s="2">
        <v>4</v>
      </c>
      <c r="F24" s="2">
        <v>11</v>
      </c>
      <c r="G24" s="2">
        <v>1</v>
      </c>
      <c r="H24" s="2">
        <v>27</v>
      </c>
      <c r="I24" s="2">
        <v>20</v>
      </c>
      <c r="J24" s="2">
        <v>51</v>
      </c>
      <c r="K24" s="2">
        <v>5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174</v>
      </c>
    </row>
    <row r="25" spans="1:19">
      <c r="A25" s="2" t="s">
        <v>3</v>
      </c>
      <c r="B25" s="3">
        <f t="shared" ref="B25:R25" si="8">B24/$S24</f>
        <v>1.7241379310344827E-2</v>
      </c>
      <c r="C25" s="3">
        <f t="shared" si="8"/>
        <v>1.7241379310344827E-2</v>
      </c>
      <c r="D25" s="3">
        <f t="shared" si="8"/>
        <v>0.27586206896551724</v>
      </c>
      <c r="E25" s="3">
        <f t="shared" si="8"/>
        <v>2.2988505747126436E-2</v>
      </c>
      <c r="F25" s="3">
        <f t="shared" si="8"/>
        <v>6.3218390804597707E-2</v>
      </c>
      <c r="G25" s="3">
        <f t="shared" si="8"/>
        <v>5.7471264367816091E-3</v>
      </c>
      <c r="H25" s="3">
        <f t="shared" si="8"/>
        <v>0.15517241379310345</v>
      </c>
      <c r="I25" s="3">
        <f t="shared" si="8"/>
        <v>0.11494252873563218</v>
      </c>
      <c r="J25" s="3">
        <f t="shared" si="8"/>
        <v>0.29310344827586204</v>
      </c>
      <c r="K25" s="3">
        <f t="shared" si="8"/>
        <v>2.8735632183908046E-2</v>
      </c>
      <c r="L25" s="3">
        <f t="shared" si="8"/>
        <v>5.7471264367816091E-3</v>
      </c>
      <c r="M25" s="3">
        <f t="shared" si="8"/>
        <v>0</v>
      </c>
      <c r="N25" s="3">
        <f t="shared" si="8"/>
        <v>0</v>
      </c>
      <c r="O25" s="3">
        <f t="shared" si="8"/>
        <v>0</v>
      </c>
      <c r="P25" s="3">
        <f t="shared" si="8"/>
        <v>0</v>
      </c>
      <c r="Q25" s="3">
        <f t="shared" si="8"/>
        <v>0</v>
      </c>
      <c r="R25" s="3">
        <f t="shared" si="8"/>
        <v>0</v>
      </c>
      <c r="S25" s="9" t="s">
        <v>46</v>
      </c>
    </row>
    <row r="26" spans="1:19">
      <c r="A26" s="5" t="s">
        <v>15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9" t="s">
        <v>46</v>
      </c>
    </row>
    <row r="28" spans="1:19" ht="30">
      <c r="A28" s="5" t="s">
        <v>16</v>
      </c>
      <c r="B28" s="2">
        <v>10</v>
      </c>
      <c r="C28" s="2">
        <v>27</v>
      </c>
      <c r="D28" s="2">
        <v>0</v>
      </c>
      <c r="E28" s="2">
        <v>53</v>
      </c>
      <c r="F28" s="2">
        <v>0</v>
      </c>
      <c r="G28" s="2">
        <v>42</v>
      </c>
      <c r="H28" s="2">
        <v>34</v>
      </c>
      <c r="I28" s="2">
        <v>22</v>
      </c>
      <c r="J28" s="2">
        <v>0</v>
      </c>
      <c r="K28" s="2">
        <v>20</v>
      </c>
      <c r="L28" s="2">
        <v>0</v>
      </c>
      <c r="M28" s="2">
        <v>0</v>
      </c>
      <c r="N28" s="2">
        <v>10</v>
      </c>
      <c r="O28" s="2">
        <v>0</v>
      </c>
      <c r="P28" s="2">
        <v>0</v>
      </c>
      <c r="Q28" s="2">
        <v>0</v>
      </c>
      <c r="R28" s="2">
        <v>0</v>
      </c>
      <c r="S28" s="2">
        <v>218</v>
      </c>
    </row>
    <row r="29" spans="1:19">
      <c r="A29" s="2" t="s">
        <v>3</v>
      </c>
      <c r="B29" s="3">
        <f t="shared" ref="B29:R29" si="9">B28/$S28</f>
        <v>4.5871559633027525E-2</v>
      </c>
      <c r="C29" s="3">
        <f t="shared" si="9"/>
        <v>0.12385321100917432</v>
      </c>
      <c r="D29" s="3">
        <f t="shared" si="9"/>
        <v>0</v>
      </c>
      <c r="E29" s="3">
        <f t="shared" si="9"/>
        <v>0.24311926605504589</v>
      </c>
      <c r="F29" s="3">
        <f t="shared" si="9"/>
        <v>0</v>
      </c>
      <c r="G29" s="3">
        <f t="shared" si="9"/>
        <v>0.19266055045871561</v>
      </c>
      <c r="H29" s="3">
        <f t="shared" si="9"/>
        <v>0.15596330275229359</v>
      </c>
      <c r="I29" s="3">
        <f t="shared" si="9"/>
        <v>0.10091743119266056</v>
      </c>
      <c r="J29" s="3">
        <f t="shared" si="9"/>
        <v>0</v>
      </c>
      <c r="K29" s="3">
        <f t="shared" si="9"/>
        <v>9.1743119266055051E-2</v>
      </c>
      <c r="L29" s="3">
        <f t="shared" si="9"/>
        <v>0</v>
      </c>
      <c r="M29" s="3">
        <f t="shared" si="9"/>
        <v>0</v>
      </c>
      <c r="N29" s="3">
        <f t="shared" si="9"/>
        <v>4.5871559633027525E-2</v>
      </c>
      <c r="O29" s="3">
        <f t="shared" si="9"/>
        <v>0</v>
      </c>
      <c r="P29" s="3">
        <f t="shared" si="9"/>
        <v>0</v>
      </c>
      <c r="Q29" s="3">
        <f t="shared" si="9"/>
        <v>0</v>
      </c>
      <c r="R29" s="3">
        <f t="shared" si="9"/>
        <v>0</v>
      </c>
      <c r="S29" s="9" t="s">
        <v>46</v>
      </c>
    </row>
    <row r="30" spans="1:19" ht="30">
      <c r="A30" s="5" t="s">
        <v>17</v>
      </c>
      <c r="B30" s="2">
        <v>36</v>
      </c>
      <c r="C30" s="2">
        <v>67</v>
      </c>
      <c r="D30" s="2">
        <v>0</v>
      </c>
      <c r="E30" s="2">
        <v>0</v>
      </c>
      <c r="F30" s="2">
        <v>0</v>
      </c>
      <c r="G30" s="2">
        <v>0</v>
      </c>
      <c r="H30" s="2">
        <v>91</v>
      </c>
      <c r="I30" s="2">
        <v>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224</v>
      </c>
    </row>
    <row r="31" spans="1:19">
      <c r="A31" s="2" t="s">
        <v>3</v>
      </c>
      <c r="B31" s="3">
        <f t="shared" ref="B31:R31" si="10">B30/$S30</f>
        <v>0.16071428571428573</v>
      </c>
      <c r="C31" s="3">
        <f t="shared" si="10"/>
        <v>0.29910714285714285</v>
      </c>
      <c r="D31" s="3">
        <f t="shared" si="10"/>
        <v>0</v>
      </c>
      <c r="E31" s="3">
        <f t="shared" si="10"/>
        <v>0</v>
      </c>
      <c r="F31" s="3">
        <f t="shared" si="10"/>
        <v>0</v>
      </c>
      <c r="G31" s="3">
        <f t="shared" si="10"/>
        <v>0</v>
      </c>
      <c r="H31" s="3">
        <f t="shared" si="10"/>
        <v>0.40625</v>
      </c>
      <c r="I31" s="3">
        <f t="shared" si="10"/>
        <v>0.13392857142857142</v>
      </c>
      <c r="J31" s="3">
        <f t="shared" si="10"/>
        <v>0</v>
      </c>
      <c r="K31" s="3">
        <f t="shared" si="10"/>
        <v>0</v>
      </c>
      <c r="L31" s="3">
        <f t="shared" si="10"/>
        <v>0</v>
      </c>
      <c r="M31" s="3">
        <f t="shared" si="10"/>
        <v>0</v>
      </c>
      <c r="N31" s="3">
        <f t="shared" si="10"/>
        <v>0</v>
      </c>
      <c r="O31" s="3">
        <f t="shared" si="10"/>
        <v>0</v>
      </c>
      <c r="P31" s="3">
        <f t="shared" si="10"/>
        <v>0</v>
      </c>
      <c r="Q31" s="3">
        <f t="shared" si="10"/>
        <v>0</v>
      </c>
      <c r="R31" s="3">
        <f t="shared" si="10"/>
        <v>0</v>
      </c>
      <c r="S31" s="9" t="s">
        <v>46</v>
      </c>
    </row>
    <row r="32" spans="1:19">
      <c r="A32" s="5" t="s">
        <v>18</v>
      </c>
      <c r="B32" s="2">
        <v>43</v>
      </c>
      <c r="C32" s="2">
        <v>11</v>
      </c>
      <c r="D32" s="2">
        <v>0</v>
      </c>
      <c r="E32" s="2">
        <v>9</v>
      </c>
      <c r="F32" s="2">
        <v>34</v>
      </c>
      <c r="G32" s="2">
        <v>41</v>
      </c>
      <c r="H32" s="2">
        <v>3</v>
      </c>
      <c r="I32" s="2">
        <v>0</v>
      </c>
      <c r="J32" s="2">
        <v>0</v>
      </c>
      <c r="K32" s="2">
        <v>78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219</v>
      </c>
    </row>
    <row r="33" spans="1:19">
      <c r="A33" s="2" t="s">
        <v>3</v>
      </c>
      <c r="B33" s="3">
        <f t="shared" ref="B33:R33" si="11">B32/$S32</f>
        <v>0.19634703196347031</v>
      </c>
      <c r="C33" s="3">
        <f t="shared" si="11"/>
        <v>5.0228310502283102E-2</v>
      </c>
      <c r="D33" s="3">
        <f t="shared" si="11"/>
        <v>0</v>
      </c>
      <c r="E33" s="3">
        <f t="shared" si="11"/>
        <v>4.1095890410958902E-2</v>
      </c>
      <c r="F33" s="3">
        <f t="shared" si="11"/>
        <v>0.15525114155251141</v>
      </c>
      <c r="G33" s="3">
        <f t="shared" si="11"/>
        <v>0.18721461187214611</v>
      </c>
      <c r="H33" s="3">
        <f t="shared" si="11"/>
        <v>1.3698630136986301E-2</v>
      </c>
      <c r="I33" s="3">
        <f t="shared" si="11"/>
        <v>0</v>
      </c>
      <c r="J33" s="3">
        <f t="shared" si="11"/>
        <v>0</v>
      </c>
      <c r="K33" s="3">
        <f t="shared" si="11"/>
        <v>0.35616438356164382</v>
      </c>
      <c r="L33" s="3">
        <f t="shared" si="11"/>
        <v>0</v>
      </c>
      <c r="M33" s="3">
        <f t="shared" si="11"/>
        <v>0</v>
      </c>
      <c r="N33" s="3">
        <f t="shared" si="11"/>
        <v>0</v>
      </c>
      <c r="O33" s="3">
        <f t="shared" si="11"/>
        <v>0</v>
      </c>
      <c r="P33" s="3">
        <f t="shared" si="11"/>
        <v>0</v>
      </c>
      <c r="Q33" s="3">
        <f t="shared" si="11"/>
        <v>0</v>
      </c>
      <c r="R33" s="3">
        <f t="shared" si="11"/>
        <v>0</v>
      </c>
      <c r="S33" s="9" t="s">
        <v>46</v>
      </c>
    </row>
    <row r="34" spans="1:19">
      <c r="A34" s="5" t="s">
        <v>19</v>
      </c>
      <c r="B34" s="2">
        <v>60</v>
      </c>
      <c r="C34" s="2">
        <v>33</v>
      </c>
      <c r="D34" s="2">
        <v>8</v>
      </c>
      <c r="E34" s="2">
        <v>90</v>
      </c>
      <c r="F34" s="2">
        <v>63</v>
      </c>
      <c r="G34" s="2">
        <v>72</v>
      </c>
      <c r="H34" s="2">
        <v>0</v>
      </c>
      <c r="I34" s="2">
        <v>0</v>
      </c>
      <c r="J34" s="2">
        <v>49</v>
      </c>
      <c r="K34" s="2">
        <v>68</v>
      </c>
      <c r="L34" s="2">
        <v>0</v>
      </c>
      <c r="M34" s="2">
        <v>0</v>
      </c>
      <c r="N34" s="2">
        <v>0</v>
      </c>
      <c r="O34" s="2"/>
      <c r="P34" s="2">
        <v>0</v>
      </c>
      <c r="Q34" s="2">
        <v>0</v>
      </c>
      <c r="R34" s="2">
        <v>0</v>
      </c>
      <c r="S34" s="2">
        <v>443</v>
      </c>
    </row>
    <row r="35" spans="1:19">
      <c r="A35" s="2" t="s">
        <v>3</v>
      </c>
      <c r="B35" s="3">
        <f t="shared" ref="B35:R35" si="12">B34/$S34</f>
        <v>0.13544018058690746</v>
      </c>
      <c r="C35" s="3">
        <f t="shared" si="12"/>
        <v>7.4492099322799099E-2</v>
      </c>
      <c r="D35" s="3">
        <f t="shared" si="12"/>
        <v>1.8058690744920992E-2</v>
      </c>
      <c r="E35" s="3">
        <f t="shared" si="12"/>
        <v>0.20316027088036118</v>
      </c>
      <c r="F35" s="3">
        <f t="shared" si="12"/>
        <v>0.14221218961625282</v>
      </c>
      <c r="G35" s="3">
        <f t="shared" si="12"/>
        <v>0.16252821670428894</v>
      </c>
      <c r="H35" s="3">
        <f t="shared" si="12"/>
        <v>0</v>
      </c>
      <c r="I35" s="3">
        <f t="shared" si="12"/>
        <v>0</v>
      </c>
      <c r="J35" s="3">
        <f t="shared" si="12"/>
        <v>0.11060948081264109</v>
      </c>
      <c r="K35" s="3">
        <f t="shared" si="12"/>
        <v>0.15349887133182843</v>
      </c>
      <c r="L35" s="3">
        <f t="shared" si="12"/>
        <v>0</v>
      </c>
      <c r="M35" s="3">
        <f t="shared" si="12"/>
        <v>0</v>
      </c>
      <c r="N35" s="3">
        <f t="shared" si="12"/>
        <v>0</v>
      </c>
      <c r="O35" s="3">
        <f t="shared" si="12"/>
        <v>0</v>
      </c>
      <c r="P35" s="3">
        <f t="shared" si="12"/>
        <v>0</v>
      </c>
      <c r="Q35" s="3">
        <f t="shared" si="12"/>
        <v>0</v>
      </c>
      <c r="R35" s="3">
        <f t="shared" si="12"/>
        <v>0</v>
      </c>
      <c r="S35" s="9" t="s">
        <v>46</v>
      </c>
    </row>
    <row r="36" spans="1:19">
      <c r="A36" s="5" t="s">
        <v>20</v>
      </c>
      <c r="B36" s="2">
        <v>19</v>
      </c>
      <c r="C36" s="2">
        <v>30</v>
      </c>
      <c r="D36" s="2">
        <v>0</v>
      </c>
      <c r="E36" s="2">
        <v>0</v>
      </c>
      <c r="F36" s="2">
        <v>16</v>
      </c>
      <c r="G36" s="2">
        <v>0</v>
      </c>
      <c r="H36" s="2">
        <v>0</v>
      </c>
      <c r="I36" s="2">
        <v>0</v>
      </c>
      <c r="J36" s="2">
        <v>0</v>
      </c>
      <c r="K36" s="2">
        <v>9</v>
      </c>
      <c r="L36" s="2">
        <v>51</v>
      </c>
      <c r="M36" s="2">
        <v>92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217</v>
      </c>
    </row>
    <row r="37" spans="1:19">
      <c r="A37" s="2" t="s">
        <v>3</v>
      </c>
      <c r="B37" s="3">
        <f t="shared" ref="B37:R37" si="13">B36/$S36</f>
        <v>8.755760368663594E-2</v>
      </c>
      <c r="C37" s="3">
        <f t="shared" si="13"/>
        <v>0.13824884792626729</v>
      </c>
      <c r="D37" s="3">
        <f t="shared" si="13"/>
        <v>0</v>
      </c>
      <c r="E37" s="3">
        <f t="shared" si="13"/>
        <v>0</v>
      </c>
      <c r="F37" s="3">
        <f t="shared" si="13"/>
        <v>7.3732718894009217E-2</v>
      </c>
      <c r="G37" s="3">
        <f t="shared" si="13"/>
        <v>0</v>
      </c>
      <c r="H37" s="3">
        <f t="shared" si="13"/>
        <v>0</v>
      </c>
      <c r="I37" s="3">
        <f t="shared" si="13"/>
        <v>0</v>
      </c>
      <c r="J37" s="3">
        <f t="shared" si="13"/>
        <v>0</v>
      </c>
      <c r="K37" s="3">
        <f t="shared" si="13"/>
        <v>4.1474654377880185E-2</v>
      </c>
      <c r="L37" s="3">
        <f t="shared" si="13"/>
        <v>0.23502304147465439</v>
      </c>
      <c r="M37" s="3">
        <f t="shared" si="13"/>
        <v>0.42396313364055299</v>
      </c>
      <c r="N37" s="3">
        <f t="shared" si="13"/>
        <v>0</v>
      </c>
      <c r="O37" s="3">
        <f t="shared" si="13"/>
        <v>0</v>
      </c>
      <c r="P37" s="3">
        <f t="shared" si="13"/>
        <v>0</v>
      </c>
      <c r="Q37" s="3">
        <f t="shared" si="13"/>
        <v>0</v>
      </c>
      <c r="R37" s="3">
        <f t="shared" si="13"/>
        <v>0</v>
      </c>
      <c r="S37" s="9" t="s">
        <v>46</v>
      </c>
    </row>
    <row r="38" spans="1:19">
      <c r="A38" s="1" t="s">
        <v>21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179</v>
      </c>
      <c r="O38" s="2">
        <v>252</v>
      </c>
      <c r="P38" s="2">
        <v>252</v>
      </c>
      <c r="Q38" s="2">
        <v>252</v>
      </c>
      <c r="R38" s="2">
        <v>252</v>
      </c>
      <c r="S38" s="2">
        <v>1187</v>
      </c>
    </row>
    <row r="39" spans="1:19">
      <c r="A39" s="2" t="s">
        <v>3</v>
      </c>
      <c r="B39" s="3">
        <f t="shared" ref="B39:R39" si="14">B38/$S38</f>
        <v>0</v>
      </c>
      <c r="C39" s="3">
        <f t="shared" si="14"/>
        <v>0</v>
      </c>
      <c r="D39" s="3">
        <f t="shared" si="14"/>
        <v>0</v>
      </c>
      <c r="E39" s="3">
        <f t="shared" si="14"/>
        <v>0</v>
      </c>
      <c r="F39" s="3">
        <f t="shared" si="14"/>
        <v>0</v>
      </c>
      <c r="G39" s="3">
        <f t="shared" si="14"/>
        <v>0</v>
      </c>
      <c r="H39" s="3">
        <f t="shared" si="14"/>
        <v>0</v>
      </c>
      <c r="I39" s="3">
        <f t="shared" si="14"/>
        <v>0</v>
      </c>
      <c r="J39" s="3">
        <f t="shared" si="14"/>
        <v>0</v>
      </c>
      <c r="K39" s="3">
        <f t="shared" si="14"/>
        <v>0</v>
      </c>
      <c r="L39" s="3">
        <f t="shared" si="14"/>
        <v>0</v>
      </c>
      <c r="M39" s="3">
        <f t="shared" si="14"/>
        <v>0</v>
      </c>
      <c r="N39" s="3">
        <f t="shared" si="14"/>
        <v>0.15080033698399326</v>
      </c>
      <c r="O39" s="3">
        <f t="shared" si="14"/>
        <v>0.21229991575400167</v>
      </c>
      <c r="P39" s="3">
        <f t="shared" si="14"/>
        <v>0.21229991575400167</v>
      </c>
      <c r="Q39" s="3">
        <f t="shared" si="14"/>
        <v>0.21229991575400167</v>
      </c>
      <c r="R39" s="3">
        <f t="shared" si="14"/>
        <v>0.21229991575400167</v>
      </c>
      <c r="S39" s="9" t="s">
        <v>46</v>
      </c>
    </row>
    <row r="40" spans="1:19" ht="30">
      <c r="A40" s="1" t="s">
        <v>22</v>
      </c>
      <c r="B40" s="2">
        <v>9</v>
      </c>
      <c r="C40" s="2">
        <v>10</v>
      </c>
      <c r="D40" s="2">
        <v>33</v>
      </c>
      <c r="E40" s="2">
        <v>0</v>
      </c>
      <c r="F40" s="2">
        <v>0</v>
      </c>
      <c r="G40" s="2">
        <v>0</v>
      </c>
      <c r="H40" s="2">
        <v>8</v>
      </c>
      <c r="I40" s="2">
        <v>0</v>
      </c>
      <c r="J40" s="2">
        <v>11</v>
      </c>
      <c r="K40" s="2">
        <v>6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78</v>
      </c>
    </row>
    <row r="41" spans="1:19">
      <c r="A41" s="2" t="s">
        <v>3</v>
      </c>
      <c r="B41" s="3">
        <f t="shared" ref="B41:R41" si="15">B40/$S40</f>
        <v>0.11538461538461539</v>
      </c>
      <c r="C41" s="3">
        <f t="shared" si="15"/>
        <v>0.12820512820512819</v>
      </c>
      <c r="D41" s="3">
        <f t="shared" si="15"/>
        <v>0.42307692307692307</v>
      </c>
      <c r="E41" s="3">
        <f t="shared" si="15"/>
        <v>0</v>
      </c>
      <c r="F41" s="3">
        <f t="shared" si="15"/>
        <v>0</v>
      </c>
      <c r="G41" s="3">
        <f t="shared" si="15"/>
        <v>0</v>
      </c>
      <c r="H41" s="3">
        <f t="shared" si="15"/>
        <v>0.10256410256410256</v>
      </c>
      <c r="I41" s="3">
        <f t="shared" si="15"/>
        <v>0</v>
      </c>
      <c r="J41" s="3">
        <f t="shared" si="15"/>
        <v>0.14102564102564102</v>
      </c>
      <c r="K41" s="3">
        <f t="shared" si="15"/>
        <v>7.6923076923076927E-2</v>
      </c>
      <c r="L41" s="3">
        <f t="shared" si="15"/>
        <v>0</v>
      </c>
      <c r="M41" s="3">
        <f t="shared" si="15"/>
        <v>1.282051282051282E-2</v>
      </c>
      <c r="N41" s="3">
        <f t="shared" si="15"/>
        <v>0</v>
      </c>
      <c r="O41" s="3">
        <f t="shared" si="15"/>
        <v>0</v>
      </c>
      <c r="P41" s="3">
        <f t="shared" si="15"/>
        <v>0</v>
      </c>
      <c r="Q41" s="3">
        <f t="shared" si="15"/>
        <v>0</v>
      </c>
      <c r="R41" s="3">
        <f t="shared" si="15"/>
        <v>0</v>
      </c>
      <c r="S41" s="9" t="s">
        <v>46</v>
      </c>
    </row>
    <row r="42" spans="1:19" ht="30">
      <c r="A42" s="1" t="s">
        <v>23</v>
      </c>
      <c r="B42" s="2">
        <v>0</v>
      </c>
      <c r="C42" s="2">
        <v>0</v>
      </c>
      <c r="D42" s="2">
        <v>23</v>
      </c>
      <c r="E42" s="2">
        <v>6</v>
      </c>
      <c r="F42" s="2">
        <v>8</v>
      </c>
      <c r="G42" s="2">
        <v>0</v>
      </c>
      <c r="H42" s="2">
        <v>0</v>
      </c>
      <c r="I42" s="2">
        <v>14</v>
      </c>
      <c r="J42" s="2">
        <v>16</v>
      </c>
      <c r="K42" s="2">
        <v>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72</v>
      </c>
    </row>
    <row r="43" spans="1:19">
      <c r="A43" s="2" t="s">
        <v>3</v>
      </c>
      <c r="B43" s="3">
        <f t="shared" ref="B43:R43" si="16">B42/$S42</f>
        <v>0</v>
      </c>
      <c r="C43" s="3">
        <f t="shared" si="16"/>
        <v>0</v>
      </c>
      <c r="D43" s="3">
        <f t="shared" si="16"/>
        <v>0.31944444444444442</v>
      </c>
      <c r="E43" s="3">
        <f t="shared" si="16"/>
        <v>8.3333333333333329E-2</v>
      </c>
      <c r="F43" s="3">
        <f t="shared" si="16"/>
        <v>0.1111111111111111</v>
      </c>
      <c r="G43" s="3">
        <f t="shared" si="16"/>
        <v>0</v>
      </c>
      <c r="H43" s="3">
        <f t="shared" si="16"/>
        <v>0</v>
      </c>
      <c r="I43" s="3">
        <f t="shared" si="16"/>
        <v>0.19444444444444445</v>
      </c>
      <c r="J43" s="3">
        <f t="shared" si="16"/>
        <v>0.22222222222222221</v>
      </c>
      <c r="K43" s="3">
        <f t="shared" si="16"/>
        <v>6.9444444444444448E-2</v>
      </c>
      <c r="L43" s="3">
        <f t="shared" si="16"/>
        <v>0</v>
      </c>
      <c r="M43" s="3">
        <f t="shared" si="16"/>
        <v>0</v>
      </c>
      <c r="N43" s="3">
        <f t="shared" si="16"/>
        <v>0</v>
      </c>
      <c r="O43" s="3">
        <f t="shared" si="16"/>
        <v>0</v>
      </c>
      <c r="P43" s="3">
        <f t="shared" si="16"/>
        <v>0</v>
      </c>
      <c r="Q43" s="3">
        <f t="shared" si="16"/>
        <v>0</v>
      </c>
      <c r="R43" s="3">
        <f t="shared" si="16"/>
        <v>0</v>
      </c>
      <c r="S43" s="9" t="s">
        <v>46</v>
      </c>
    </row>
    <row r="44" spans="1:19" ht="30">
      <c r="A44" s="1" t="s">
        <v>24</v>
      </c>
      <c r="B44" s="2">
        <v>8</v>
      </c>
      <c r="C44" s="2">
        <v>1</v>
      </c>
      <c r="D44" s="2">
        <v>0</v>
      </c>
      <c r="E44" s="2">
        <v>9</v>
      </c>
      <c r="F44" s="2">
        <v>0</v>
      </c>
      <c r="G44" s="2">
        <v>7</v>
      </c>
      <c r="H44" s="2">
        <v>7</v>
      </c>
      <c r="I44" s="2">
        <v>53</v>
      </c>
      <c r="J44" s="2">
        <v>1</v>
      </c>
      <c r="K44" s="2">
        <v>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89</v>
      </c>
    </row>
    <row r="45" spans="1:19">
      <c r="A45" s="2" t="s">
        <v>3</v>
      </c>
      <c r="B45" s="3">
        <f t="shared" ref="B45:R45" si="17">B44/$S44</f>
        <v>8.98876404494382E-2</v>
      </c>
      <c r="C45" s="3">
        <f t="shared" si="17"/>
        <v>1.1235955056179775E-2</v>
      </c>
      <c r="D45" s="3">
        <f t="shared" si="17"/>
        <v>0</v>
      </c>
      <c r="E45" s="3">
        <f t="shared" si="17"/>
        <v>0.10112359550561797</v>
      </c>
      <c r="F45" s="3">
        <f t="shared" si="17"/>
        <v>0</v>
      </c>
      <c r="G45" s="3">
        <f t="shared" si="17"/>
        <v>7.8651685393258425E-2</v>
      </c>
      <c r="H45" s="3">
        <f t="shared" si="17"/>
        <v>7.8651685393258425E-2</v>
      </c>
      <c r="I45" s="3">
        <f t="shared" si="17"/>
        <v>0.5955056179775281</v>
      </c>
      <c r="J45" s="3">
        <f t="shared" si="17"/>
        <v>1.1235955056179775E-2</v>
      </c>
      <c r="K45" s="3">
        <f t="shared" si="17"/>
        <v>3.3707865168539325E-2</v>
      </c>
      <c r="L45" s="3">
        <f t="shared" si="17"/>
        <v>0</v>
      </c>
      <c r="M45" s="3">
        <f t="shared" si="17"/>
        <v>0</v>
      </c>
      <c r="N45" s="3">
        <f t="shared" si="17"/>
        <v>0</v>
      </c>
      <c r="O45" s="3">
        <f t="shared" si="17"/>
        <v>0</v>
      </c>
      <c r="P45" s="3">
        <f t="shared" si="17"/>
        <v>0</v>
      </c>
      <c r="Q45" s="3">
        <f t="shared" si="17"/>
        <v>0</v>
      </c>
      <c r="R45" s="3">
        <f t="shared" si="17"/>
        <v>0</v>
      </c>
      <c r="S45" s="9" t="s">
        <v>46</v>
      </c>
    </row>
    <row r="46" spans="1:19">
      <c r="A46" s="1" t="s">
        <v>25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9" t="s">
        <v>46</v>
      </c>
    </row>
    <row r="48" spans="1:19">
      <c r="A48" s="1" t="s">
        <v>26</v>
      </c>
      <c r="B48" s="2">
        <v>6</v>
      </c>
      <c r="C48" s="2">
        <v>6</v>
      </c>
      <c r="D48" s="2">
        <v>40</v>
      </c>
      <c r="E48" s="2">
        <v>0</v>
      </c>
      <c r="F48" s="2">
        <v>38</v>
      </c>
      <c r="G48" s="2">
        <v>0</v>
      </c>
      <c r="H48" s="2">
        <v>32</v>
      </c>
      <c r="I48" s="2">
        <v>13</v>
      </c>
      <c r="J48" s="2">
        <v>58</v>
      </c>
      <c r="K48" s="2">
        <v>7</v>
      </c>
      <c r="L48" s="2">
        <v>0</v>
      </c>
      <c r="M48" s="2">
        <v>11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211</v>
      </c>
    </row>
    <row r="49" spans="1:19">
      <c r="A49" s="2" t="s">
        <v>3</v>
      </c>
      <c r="B49" s="3">
        <f t="shared" ref="B49:R49" si="18">B48/$S48</f>
        <v>2.843601895734597E-2</v>
      </c>
      <c r="C49" s="3">
        <f t="shared" si="18"/>
        <v>2.843601895734597E-2</v>
      </c>
      <c r="D49" s="3">
        <f t="shared" si="18"/>
        <v>0.1895734597156398</v>
      </c>
      <c r="E49" s="3">
        <f t="shared" si="18"/>
        <v>0</v>
      </c>
      <c r="F49" s="3">
        <f t="shared" si="18"/>
        <v>0.18009478672985782</v>
      </c>
      <c r="G49" s="3">
        <f t="shared" si="18"/>
        <v>0</v>
      </c>
      <c r="H49" s="3">
        <f t="shared" si="18"/>
        <v>0.15165876777251186</v>
      </c>
      <c r="I49" s="3">
        <f t="shared" si="18"/>
        <v>6.1611374407582936E-2</v>
      </c>
      <c r="J49" s="3">
        <f t="shared" si="18"/>
        <v>0.27488151658767773</v>
      </c>
      <c r="K49" s="3">
        <f t="shared" si="18"/>
        <v>3.3175355450236969E-2</v>
      </c>
      <c r="L49" s="3">
        <f t="shared" si="18"/>
        <v>0</v>
      </c>
      <c r="M49" s="3">
        <f t="shared" si="18"/>
        <v>5.2132701421800945E-2</v>
      </c>
      <c r="N49" s="3">
        <f t="shared" si="18"/>
        <v>0</v>
      </c>
      <c r="O49" s="3">
        <f t="shared" si="18"/>
        <v>0</v>
      </c>
      <c r="P49" s="3">
        <f t="shared" si="18"/>
        <v>0</v>
      </c>
      <c r="Q49" s="3">
        <f t="shared" si="18"/>
        <v>0</v>
      </c>
      <c r="R49" s="3">
        <f t="shared" si="18"/>
        <v>0</v>
      </c>
      <c r="S49" s="9" t="s">
        <v>46</v>
      </c>
    </row>
    <row r="50" spans="1:19">
      <c r="A50" s="6" t="s">
        <v>27</v>
      </c>
      <c r="B50" s="7">
        <v>0</v>
      </c>
      <c r="C50" s="7">
        <v>0</v>
      </c>
      <c r="D50" s="7">
        <v>0</v>
      </c>
      <c r="E50" s="7">
        <v>3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2">
        <v>3</v>
      </c>
    </row>
    <row r="51" spans="1:19">
      <c r="A51" s="2" t="s">
        <v>3</v>
      </c>
      <c r="B51" s="3">
        <f t="shared" ref="B51:R51" si="19">B50/$S50</f>
        <v>0</v>
      </c>
      <c r="C51" s="3">
        <f t="shared" si="19"/>
        <v>0</v>
      </c>
      <c r="D51" s="3">
        <f t="shared" si="19"/>
        <v>0</v>
      </c>
      <c r="E51" s="3">
        <f t="shared" si="19"/>
        <v>1</v>
      </c>
      <c r="F51" s="3">
        <f t="shared" si="19"/>
        <v>0</v>
      </c>
      <c r="G51" s="3">
        <f t="shared" si="19"/>
        <v>0</v>
      </c>
      <c r="H51" s="3">
        <f t="shared" si="19"/>
        <v>0</v>
      </c>
      <c r="I51" s="3">
        <f t="shared" si="19"/>
        <v>0</v>
      </c>
      <c r="J51" s="3">
        <f t="shared" si="19"/>
        <v>0</v>
      </c>
      <c r="K51" s="3">
        <f t="shared" si="19"/>
        <v>0</v>
      </c>
      <c r="L51" s="3">
        <f t="shared" si="19"/>
        <v>0</v>
      </c>
      <c r="M51" s="3">
        <f t="shared" si="19"/>
        <v>0</v>
      </c>
      <c r="N51" s="3">
        <f t="shared" si="19"/>
        <v>0</v>
      </c>
      <c r="O51" s="3">
        <f t="shared" si="19"/>
        <v>0</v>
      </c>
      <c r="P51" s="3">
        <f t="shared" si="19"/>
        <v>0</v>
      </c>
      <c r="Q51" s="3">
        <f t="shared" si="19"/>
        <v>0</v>
      </c>
      <c r="R51" s="3">
        <f t="shared" si="19"/>
        <v>0</v>
      </c>
      <c r="S51" s="9" t="s">
        <v>46</v>
      </c>
    </row>
    <row r="52" spans="1:19">
      <c r="A52" s="6" t="s">
        <v>28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11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2">
        <v>11</v>
      </c>
    </row>
    <row r="53" spans="1:19">
      <c r="A53" s="2" t="s">
        <v>3</v>
      </c>
      <c r="B53" s="3">
        <f t="shared" ref="B53:R53" si="20">B52/$S52</f>
        <v>0</v>
      </c>
      <c r="C53" s="3">
        <f t="shared" si="20"/>
        <v>0</v>
      </c>
      <c r="D53" s="3">
        <f t="shared" si="20"/>
        <v>0</v>
      </c>
      <c r="E53" s="3">
        <f t="shared" si="20"/>
        <v>0</v>
      </c>
      <c r="F53" s="3">
        <f t="shared" si="20"/>
        <v>0</v>
      </c>
      <c r="G53" s="3">
        <f t="shared" si="20"/>
        <v>0</v>
      </c>
      <c r="H53" s="3">
        <f t="shared" si="20"/>
        <v>0</v>
      </c>
      <c r="I53" s="3">
        <f t="shared" si="20"/>
        <v>0</v>
      </c>
      <c r="J53" s="3">
        <f t="shared" si="20"/>
        <v>0</v>
      </c>
      <c r="K53" s="3">
        <f t="shared" si="20"/>
        <v>0</v>
      </c>
      <c r="L53" s="3">
        <f t="shared" si="20"/>
        <v>0</v>
      </c>
      <c r="M53" s="3">
        <f t="shared" si="20"/>
        <v>1</v>
      </c>
      <c r="N53" s="3">
        <f t="shared" si="20"/>
        <v>0</v>
      </c>
      <c r="O53" s="3">
        <f t="shared" si="20"/>
        <v>0</v>
      </c>
      <c r="P53" s="3">
        <f t="shared" si="20"/>
        <v>0</v>
      </c>
      <c r="Q53" s="3">
        <f t="shared" si="20"/>
        <v>0</v>
      </c>
      <c r="R53" s="3">
        <f t="shared" si="20"/>
        <v>0</v>
      </c>
      <c r="S53" s="9" t="s">
        <v>46</v>
      </c>
    </row>
  </sheetData>
  <autoFilter ref="A1:S53" xr:uid="{00000000-0009-0000-0000-000000000000}"/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4560AC-9883-4771-8160-CFF399545C7B}"/>
</file>

<file path=customXml/itemProps2.xml><?xml version="1.0" encoding="utf-8"?>
<ds:datastoreItem xmlns:ds="http://schemas.openxmlformats.org/officeDocument/2006/customXml" ds:itemID="{68F0FCE0-33CE-4CD4-8E86-3257F0E556A5}"/>
</file>

<file path=customXml/itemProps3.xml><?xml version="1.0" encoding="utf-8"?>
<ds:datastoreItem xmlns:ds="http://schemas.openxmlformats.org/officeDocument/2006/customXml" ds:itemID="{6AE36661-B3B5-4E2A-9FF3-A8158FE28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晓非 刘</dc:creator>
  <cp:lastModifiedBy>arlie k</cp:lastModifiedBy>
  <dcterms:created xsi:type="dcterms:W3CDTF">2025-12-14T03:38:00Z</dcterms:created>
  <dcterms:modified xsi:type="dcterms:W3CDTF">2026-02-06T08:27:36Z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F36D5693A3864B1086A1284858F55BA8_12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
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njiaojiao/Library/Containers/com.tencent.WeWorkMac/Data/Documents/Profiles/0FEB47F2EFD0836A2B90C2A525916AD5/Caches/Files/2026-02/f9b12908777e34c1c69fa4bfb8cb226a/澳鹏-数值统计数据编辑/xh组汇总/output/43c0a5b1-9bc8-4599-acbb-3df73af69d8a/"/>
    </mc:Choice>
  </mc:AlternateContent>
  <xr:revisionPtr revIDLastSave="0" documentId="13_ncr:1_{F8F7F139-A4CF-5440-8DAA-62F3B24E90B0}" xr6:coauthVersionLast="47" xr6:coauthVersionMax="47" xr10:uidLastSave="{00000000-0000-0000-0000-000000000000}"/>
  <bookViews>
    <workbookView xWindow="32780" yWindow="3340" windowWidth="29480" windowHeight="18160" xr2:uid="{00000000-000D-0000-FFFF-FFFF00000000}"/>
  </bookViews>
  <sheets>
    <sheet name="总体" sheetId="9" r:id="rId1"/>
    <sheet name="省份" sheetId="1" r:id="rId2"/>
    <sheet name="地区" sheetId="6" r:id="rId3"/>
    <sheet name="性别" sheetId="2" r:id="rId4"/>
    <sheet name="年龄" sheetId="3" r:id="rId5"/>
    <sheet name="身份" sheetId="4" r:id="rId6"/>
    <sheet name="统计检验汇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T30" i="1"/>
  <c r="P30" i="1"/>
  <c r="L30" i="1"/>
  <c r="H30" i="1"/>
  <c r="D30" i="1"/>
  <c r="V18" i="1"/>
  <c r="T18" i="1"/>
  <c r="P18" i="1"/>
  <c r="L18" i="1"/>
  <c r="H18" i="1"/>
  <c r="D18" i="1"/>
  <c r="V5" i="1"/>
  <c r="T5" i="1"/>
  <c r="P5" i="1"/>
  <c r="L5" i="1"/>
  <c r="H5" i="1"/>
  <c r="D5" i="1"/>
  <c r="V25" i="1"/>
  <c r="T25" i="1"/>
  <c r="P25" i="1"/>
  <c r="L25" i="1"/>
  <c r="H25" i="1"/>
  <c r="D25" i="1"/>
  <c r="V23" i="1"/>
  <c r="T23" i="1"/>
  <c r="P23" i="1"/>
  <c r="L23" i="1"/>
  <c r="H23" i="1"/>
  <c r="D23" i="1"/>
  <c r="V19" i="1"/>
  <c r="T19" i="1"/>
  <c r="P19" i="1"/>
  <c r="L19" i="1"/>
  <c r="H19" i="1"/>
  <c r="D19" i="1"/>
  <c r="V17" i="1"/>
  <c r="T17" i="1"/>
  <c r="P17" i="1"/>
  <c r="L17" i="1"/>
  <c r="H17" i="1"/>
  <c r="D17" i="1"/>
  <c r="V8" i="1"/>
  <c r="T8" i="1"/>
  <c r="P8" i="1"/>
  <c r="L8" i="1"/>
  <c r="H8" i="1"/>
  <c r="D8" i="1"/>
  <c r="V9" i="1"/>
  <c r="T9" i="1"/>
  <c r="P9" i="1"/>
  <c r="L9" i="1"/>
  <c r="H9" i="1"/>
  <c r="D9" i="1"/>
  <c r="V4" i="1"/>
  <c r="T4" i="1"/>
  <c r="P4" i="1"/>
  <c r="L4" i="1"/>
  <c r="H4" i="1"/>
  <c r="D4" i="1"/>
  <c r="V21" i="1"/>
  <c r="T21" i="1"/>
  <c r="P21" i="1"/>
  <c r="L21" i="1"/>
  <c r="H21" i="1"/>
  <c r="D21" i="1"/>
  <c r="V28" i="1"/>
  <c r="T28" i="1"/>
  <c r="P28" i="1"/>
  <c r="L28" i="1"/>
  <c r="H28" i="1"/>
  <c r="D28" i="1"/>
  <c r="V7" i="1"/>
  <c r="T7" i="1"/>
  <c r="P7" i="1"/>
  <c r="L7" i="1"/>
  <c r="H7" i="1"/>
  <c r="D7" i="1"/>
  <c r="V3" i="1"/>
  <c r="T3" i="1"/>
  <c r="P3" i="1"/>
  <c r="L3" i="1"/>
  <c r="H3" i="1"/>
  <c r="D3" i="1"/>
  <c r="V20" i="1"/>
  <c r="T20" i="1"/>
  <c r="P20" i="1"/>
  <c r="L20" i="1"/>
  <c r="H20" i="1"/>
  <c r="D20" i="1"/>
  <c r="V6" i="1"/>
  <c r="T6" i="1"/>
  <c r="P6" i="1"/>
  <c r="L6" i="1"/>
  <c r="H6" i="1"/>
  <c r="D6" i="1"/>
  <c r="V15" i="1"/>
  <c r="T15" i="1"/>
  <c r="P15" i="1"/>
  <c r="L15" i="1"/>
  <c r="H15" i="1"/>
  <c r="D15" i="1"/>
  <c r="V24" i="1"/>
  <c r="T24" i="1"/>
  <c r="P24" i="1"/>
  <c r="L24" i="1"/>
  <c r="H24" i="1"/>
  <c r="D24" i="1"/>
  <c r="V13" i="1"/>
  <c r="T13" i="1"/>
  <c r="P13" i="1"/>
  <c r="L13" i="1"/>
  <c r="H13" i="1"/>
  <c r="D13" i="1"/>
  <c r="V11" i="1"/>
  <c r="T11" i="1"/>
  <c r="P11" i="1"/>
  <c r="L11" i="1"/>
  <c r="H11" i="1"/>
  <c r="D11" i="1"/>
  <c r="V14" i="1"/>
  <c r="T14" i="1"/>
  <c r="P14" i="1"/>
  <c r="L14" i="1"/>
  <c r="H14" i="1"/>
  <c r="D14" i="1"/>
  <c r="V10" i="1"/>
  <c r="T10" i="1"/>
  <c r="P10" i="1"/>
  <c r="L10" i="1"/>
  <c r="H10" i="1"/>
  <c r="D10" i="1"/>
  <c r="V16" i="1"/>
  <c r="T16" i="1"/>
  <c r="P16" i="1"/>
  <c r="L16" i="1"/>
  <c r="H16" i="1"/>
  <c r="D16" i="1"/>
  <c r="V22" i="1"/>
  <c r="T22" i="1"/>
  <c r="P22" i="1"/>
  <c r="L22" i="1"/>
  <c r="H22" i="1"/>
  <c r="D22" i="1"/>
  <c r="V12" i="1"/>
  <c r="T12" i="1"/>
  <c r="P12" i="1"/>
  <c r="L12" i="1"/>
  <c r="H12" i="1"/>
  <c r="D12" i="1"/>
  <c r="V27" i="1"/>
  <c r="T27" i="1"/>
  <c r="P27" i="1"/>
  <c r="L27" i="1"/>
  <c r="H27" i="1"/>
  <c r="D27" i="1"/>
  <c r="V26" i="1"/>
  <c r="T26" i="1"/>
  <c r="P26" i="1"/>
  <c r="L26" i="1"/>
  <c r="H26" i="1"/>
  <c r="D26" i="1"/>
  <c r="H6" i="9"/>
  <c r="G6" i="9"/>
  <c r="F6" i="9"/>
  <c r="E6" i="9"/>
  <c r="D6" i="9"/>
  <c r="C6" i="9"/>
  <c r="B6" i="9"/>
  <c r="H4" i="9"/>
  <c r="H3" i="9"/>
  <c r="G3" i="9"/>
  <c r="F3" i="9"/>
  <c r="E3" i="9"/>
  <c r="D3" i="9"/>
  <c r="C3" i="9"/>
  <c r="B3" i="9"/>
  <c r="H2" i="9"/>
</calcChain>
</file>

<file path=xl/sharedStrings.xml><?xml version="1.0" encoding="utf-8"?>
<sst xmlns="http://schemas.openxmlformats.org/spreadsheetml/2006/main" count="195" uniqueCount="57">
  <si>
    <t>性别</t>
  </si>
  <si>
    <r>
      <rPr>
        <sz val="11"/>
        <color rgb="FF000000"/>
        <rFont val="宋体"/>
        <family val="3"/>
        <charset val="134"/>
      </rPr>
      <t>青春期知识与保健</t>
    </r>
    <r>
      <rPr>
        <sz val="11"/>
        <color rgb="FF000000"/>
        <rFont val="等线"/>
        <family val="4"/>
        <charset val="134"/>
      </rPr>
      <t xml:space="preserve"> </t>
    </r>
    <r>
      <rPr>
        <sz val="11"/>
        <color rgb="FF000000"/>
        <rFont val="宋体"/>
        <family val="3"/>
        <charset val="134"/>
      </rPr>
      <t>（人次数）</t>
    </r>
  </si>
  <si>
    <r>
      <rPr>
        <sz val="11"/>
        <color rgb="FF000000"/>
        <rFont val="宋体"/>
        <family val="3"/>
        <charset val="134"/>
      </rPr>
      <t>预防性传播疾病/防艾</t>
    </r>
    <r>
      <rPr>
        <sz val="11"/>
        <color rgb="FF000000"/>
        <rFont val="等线"/>
        <family val="4"/>
        <charset val="134"/>
      </rPr>
      <t xml:space="preserve"> </t>
    </r>
    <r>
      <rPr>
        <sz val="11"/>
        <color rgb="FF000000"/>
        <rFont val="宋体"/>
        <family val="3"/>
        <charset val="134"/>
      </rPr>
      <t>（人次数）</t>
    </r>
  </si>
  <si>
    <r>
      <rPr>
        <sz val="11"/>
        <color rgb="FF000000"/>
        <rFont val="宋体"/>
        <family val="3"/>
        <charset val="134"/>
      </rPr>
      <t>生殖健康与避孕指导</t>
    </r>
    <r>
      <rPr>
        <sz val="11"/>
        <color rgb="FF000000"/>
        <rFont val="等线"/>
        <family val="4"/>
        <charset val="134"/>
      </rPr>
      <t xml:space="preserve"> </t>
    </r>
    <r>
      <rPr>
        <sz val="11"/>
        <color rgb="FF000000"/>
        <rFont val="宋体"/>
        <family val="3"/>
        <charset val="134"/>
      </rPr>
      <t>（人次数）</t>
    </r>
  </si>
  <si>
    <r>
      <rPr>
        <sz val="11"/>
        <color rgb="FF000000"/>
        <rFont val="宋体"/>
        <family val="3"/>
        <charset val="134"/>
      </rPr>
      <t>心理健康辅导</t>
    </r>
    <r>
      <rPr>
        <sz val="11"/>
        <color rgb="FF000000"/>
        <rFont val="等线"/>
        <family val="4"/>
        <charset val="134"/>
      </rPr>
      <t>（人次数）</t>
    </r>
  </si>
  <si>
    <r>
      <rPr>
        <sz val="11"/>
        <color rgb="FF000000"/>
        <rFont val="宋体"/>
        <family val="3"/>
        <charset val="134"/>
      </rPr>
      <t>人际交往与性别平等教育</t>
    </r>
    <r>
      <rPr>
        <sz val="11"/>
        <color rgb="FF000000"/>
        <rFont val="等线"/>
        <family val="4"/>
        <charset val="134"/>
      </rPr>
      <t xml:space="preserve"> </t>
    </r>
    <r>
      <rPr>
        <sz val="11"/>
        <color rgb="FF000000"/>
        <rFont val="宋体"/>
        <family val="3"/>
        <charset val="134"/>
      </rPr>
      <t>（人次数）</t>
    </r>
  </si>
  <si>
    <r>
      <rPr>
        <sz val="11"/>
        <color rgb="FF000000"/>
        <rFont val="宋体"/>
        <family val="3"/>
        <charset val="134"/>
      </rPr>
      <t>人生规划/目标设定指导</t>
    </r>
    <r>
      <rPr>
        <sz val="11"/>
        <color rgb="FF000000"/>
        <rFont val="等线"/>
        <family val="4"/>
        <charset val="134"/>
      </rPr>
      <t xml:space="preserve"> </t>
    </r>
    <r>
      <rPr>
        <sz val="11"/>
        <color rgb="FF000000"/>
        <rFont val="宋体"/>
        <family val="3"/>
        <charset val="134"/>
      </rPr>
      <t>（人次数）</t>
    </r>
  </si>
  <si>
    <t>总人次数</t>
  </si>
  <si>
    <t>没有参与过</t>
  </si>
  <si>
    <t>参与过</t>
  </si>
  <si>
    <t>参与率（参与过/总体）%</t>
  </si>
  <si>
    <t>省份</t>
  </si>
  <si>
    <t>参与</t>
  </si>
  <si>
    <t>参与率</t>
  </si>
  <si>
    <t>平均分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</si>
  <si>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</si>
  <si>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</si>
  <si>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</si>
  <si>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</si>
  <si>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</si>
  <si>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</si>
  <si>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</si>
  <si>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</si>
  <si>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</si>
  <si>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</si>
  <si>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</si>
  <si>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</si>
  <si>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</si>
  <si>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</si>
  <si>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</si>
  <si>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内蒙古自治区</t>
  </si>
  <si>
    <t>宁夏回族自治区</t>
  </si>
  <si>
    <t>山东省</t>
  </si>
  <si>
    <t>山西省</t>
  </si>
  <si>
    <t>陕西省</t>
  </si>
  <si>
    <t>上海市</t>
  </si>
  <si>
    <t>天津市</t>
  </si>
  <si>
    <t>新疆维吾尔自治区</t>
  </si>
  <si>
    <t>云南省</t>
  </si>
  <si>
    <t>浙江省</t>
  </si>
  <si>
    <t>总计</t>
  </si>
  <si>
    <t>地区</t>
  </si>
  <si>
    <r>
      <rPr>
        <sz val="11"/>
        <color rgb="FF000000"/>
        <rFont val="宋体"/>
        <family val="3"/>
        <charset val="134"/>
      </rPr>
      <t>青春期知识与保健</t>
    </r>
    <r>
      <rPr>
        <sz val="11"/>
        <color rgb="FF000000"/>
        <rFont val="等线"/>
        <family val="4"/>
        <charset val="134"/>
      </rPr>
      <t xml:space="preserve"> </t>
    </r>
  </si>
  <si>
    <t>女性</t>
  </si>
  <si>
    <t>男性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</si>
  <si>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</si>
  <si>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</si>
  <si>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</si>
  <si>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</si>
  <si>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</si>
  <si>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</si>
  <si>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</si>
  <si>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</si>
  <si>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</si>
  <si>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</si>
  <si>
    <t>***</t>
  </si>
  <si>
    <t>重庆市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</si>
</sst>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7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theme="1"/>
      <name val="等线"/>
      <family val="4"/>
      <charset val="134"/>
      <scheme val="minor"/>
    </font>
    <font>
      <sz val="11"/>
      <color rgb="FF000000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/>
    <xf numFmtId="9" fontId="0" fillId="0" borderId="0" xfId="1" applyAlignment="1"/>
    <xf numFmtId="180" fontId="0" fillId="0" borderId="0" xfId="0" applyNumberFormat="1" applyAlignment="1"/>
    <xf numFmtId="0" fontId="0" fillId="0" borderId="2" xfId="0" applyBorder="1" applyAlignment="1"/>
    <xf numFmtId="9" fontId="0" fillId="0" borderId="2" xfId="1" applyBorder="1" applyAlignment="1"/>
    <xf numFmtId="180" fontId="0" fillId="0" borderId="2" xfId="0" applyNumberFormat="1" applyBorder="1" applyAlignment="1"/>
    <xf numFmtId="0" fontId="1" fillId="0" borderId="0" xfId="0" applyFont="1" applyAlignment="1"/>
    <xf numFmtId="0" fontId="3" fillId="0" borderId="3" xfId="0" applyFont="1" applyBorder="1" applyAlignment="1"/>
    <xf numFmtId="9" fontId="3" fillId="0" borderId="3" xfId="1" applyFont="1" applyFill="1" applyBorder="1" applyAlignment="1"/>
    <xf numFmtId="180" fontId="3" fillId="0" borderId="3" xfId="0" applyNumberFormat="1" applyFont="1" applyBorder="1" applyAlignment="1"/>
    <xf numFmtId="0" fontId="3" fillId="2" borderId="3" xfId="0" applyFont="1" applyFill="1" applyBorder="1" applyAlignment="1"/>
    <xf numFmtId="9" fontId="0" fillId="0" borderId="0" xfId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>
      <alignment vertical="center"/>
    </xf>
    <xf numFmtId="0" fontId="0" fillId="0" borderId="0" xfId="0" applyBorder="1" applyAlignment="1"/>
    <xf numFmtId="9" fontId="0" fillId="0" borderId="0" xfId="1" applyFont="1" applyFill="1">
      <alignment vertical="center"/>
    </xf>
    <xf numFmtId="180" fontId="0" fillId="0" borderId="0" xfId="0" applyNumberFormat="1" applyBorder="1" applyAlignment="1"/>
    <xf numFmtId="0" fontId="0" fillId="0" borderId="0" xfId="0" applyBorder="1">
      <alignment vertical="center"/>
    </xf>
    <xf numFmtId="0" fontId="1" fillId="0" borderId="0" xfId="0" applyFont="1" applyFill="1" applyAlignment="1"/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1" fillId="0" borderId="0" xfId="0" applyFont="1" applyBorder="1" applyAlignment="1">
      <alignment horizontal="left" vertical="center" wrapText="1"/>
    </xf>
    <xf numFmtId="9" fontId="0" fillId="0" borderId="0" xfId="1" applyFont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H6"/>
  <sheetViews>
    <sheetView tabSelected="1" workbookViewId="0">
      <selection activeCell="F13" sqref="F13"/>
    </sheetView>
  </sheetViews>
  <sheetFormatPr baseColWidth="10" defaultColWidth="9" defaultRowHeight="15"/>
  <cols>
    <col min="1" max="1" width="24.83203125" customWidth="1"/>
    <col min="2" max="2" width="23" customWidth="1"/>
    <col min="3" max="3" width="17" customWidth="1"/>
    <col min="4" max="4" width="17.5" customWidth="1"/>
    <col min="5" max="5" width="17.6640625" customWidth="1"/>
    <col min="6" max="6" width="18.1640625" customWidth="1"/>
    <col min="7" max="7" width="19.1640625" customWidth="1"/>
  </cols>
  <sheetData>
    <row r="1" spans="1:8" ht="75" customHeight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t="s">
        <v>7</v>
      </c>
    </row>
    <row r="2" spans="1:8" ht="21" customHeight="1">
      <c r="A2" s="15" t="s">
        <v>7</v>
      </c>
      <c r="B2" s="9">
        <v>5041</v>
      </c>
      <c r="C2" s="9">
        <v>5041</v>
      </c>
      <c r="D2" s="9">
        <v>5041</v>
      </c>
      <c r="E2" s="9">
        <v>5041</v>
      </c>
      <c r="F2" s="9">
        <v>5041</v>
      </c>
      <c r="G2" s="9">
        <v>5041</v>
      </c>
      <c r="H2">
        <f>SUM(B2:G2)</f>
        <v>30246</v>
      </c>
    </row>
    <row r="3" spans="1:8" ht="16">
      <c r="A3" s="15" t="s">
        <v>8</v>
      </c>
      <c r="B3">
        <f t="shared" ref="B3:G3" si="0">B2-B4</f>
        <v>75</v>
      </c>
      <c r="C3">
        <f t="shared" si="0"/>
        <v>145</v>
      </c>
      <c r="D3">
        <f t="shared" si="0"/>
        <v>242</v>
      </c>
      <c r="E3">
        <f t="shared" si="0"/>
        <v>101</v>
      </c>
      <c r="F3">
        <f t="shared" si="0"/>
        <v>116</v>
      </c>
      <c r="G3">
        <f t="shared" si="0"/>
        <v>159</v>
      </c>
      <c r="H3">
        <f>SUM(B3:G3)</f>
        <v>838</v>
      </c>
    </row>
    <row r="4" spans="1:8" ht="26" customHeight="1">
      <c r="A4" s="15" t="s">
        <v>9</v>
      </c>
      <c r="B4" s="9">
        <v>4966</v>
      </c>
      <c r="C4" s="9">
        <v>4896</v>
      </c>
      <c r="D4" s="9">
        <v>4799</v>
      </c>
      <c r="E4" s="9">
        <v>4940</v>
      </c>
      <c r="F4" s="9">
        <v>4925</v>
      </c>
      <c r="G4" s="9">
        <v>4882</v>
      </c>
      <c r="H4">
        <f>SUM(B4:G4)</f>
        <v>29408</v>
      </c>
    </row>
    <row r="5" spans="1:8">
      <c r="A5" s="15"/>
    </row>
    <row r="6" spans="1:8" ht="16">
      <c r="A6" s="15" t="s">
        <v>10</v>
      </c>
      <c r="B6" s="13">
        <f t="shared" ref="B6:H6" si="1">B4/B2</f>
        <v>0.98512199960325297</v>
      </c>
      <c r="C6" s="13">
        <f t="shared" si="1"/>
        <v>0.97123586589962296</v>
      </c>
      <c r="D6" s="13">
        <f t="shared" si="1"/>
        <v>0.951993652053164</v>
      </c>
      <c r="E6" s="13">
        <f t="shared" si="1"/>
        <v>0.97996429279904795</v>
      </c>
      <c r="F6" s="13">
        <f t="shared" si="1"/>
        <v>0.97698869271969802</v>
      </c>
      <c r="G6" s="13">
        <f t="shared" si="1"/>
        <v>0.96845863915889696</v>
      </c>
      <c r="H6" s="13">
        <f t="shared" si="1"/>
        <v>0.972293857038947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M35" sqref="M35"/>
    </sheetView>
  </sheetViews>
  <sheetFormatPr baseColWidth="10" defaultColWidth="9" defaultRowHeight="15"/>
  <cols>
    <col min="1" max="1" width="16.5" customWidth="1"/>
    <col min="2" max="22" width="6.83203125" customWidth="1"/>
  </cols>
  <sheetData>
    <row r="1" spans="1:22">
      <c r="A1" s="18" t="s">
        <v>11</v>
      </c>
      <c r="B1" s="17" t="s">
        <v>2</v>
      </c>
      <c r="C1" s="17"/>
      <c r="D1" s="17"/>
      <c r="E1" s="17"/>
      <c r="F1" s="17" t="s">
        <v>3</v>
      </c>
      <c r="G1" s="17"/>
      <c r="H1" s="17"/>
      <c r="I1" s="17"/>
      <c r="J1" s="17" t="s">
        <v>4</v>
      </c>
      <c r="K1" s="17"/>
      <c r="L1" s="17"/>
      <c r="M1" s="17"/>
      <c r="N1" s="17" t="s">
        <v>5</v>
      </c>
      <c r="O1" s="17"/>
      <c r="P1" s="17"/>
      <c r="Q1" s="17"/>
      <c r="R1" s="17" t="s">
        <v>6</v>
      </c>
      <c r="S1" s="17"/>
      <c r="T1" s="17"/>
      <c r="U1" s="17"/>
      <c r="V1" t="s">
        <v>7</v>
      </c>
    </row>
    <row r="2" spans="1:22">
      <c r="A2" s="18"/>
      <c r="B2" t="s">
        <v>7</v>
      </c>
      <c r="C2" t="s">
        <v>12</v>
      </c>
      <c r="D2" t="s">
        <v>13</v>
      </c>
      <c r="E2" t="s">
        <v>14</v>
      </c>
      <c r="F2" t="s">
        <v>7</v>
      </c>
      <c r="G2" t="s">
        <v>12</v>
      </c>
      <c r="H2" t="s">
        <v>13</v>
      </c>
      <c r="I2" t="s">
        <v>14</v>
      </c>
      <c r="J2" t="s">
        <v>7</v>
      </c>
      <c r="K2" t="s">
        <v>12</v>
      </c>
      <c r="L2" t="s">
        <v>13</v>
      </c>
      <c r="M2" t="s">
        <v>14</v>
      </c>
      <c r="N2" t="s">
        <v>7</v>
      </c>
      <c r="O2" t="s">
        <v>12</v>
      </c>
      <c r="P2" t="s">
        <v>13</v>
      </c>
      <c r="Q2" t="s">
        <v>14</v>
      </c>
      <c r="R2" t="s">
        <v>7</v>
      </c>
      <c r="S2" t="s">
        <v>12</v>
      </c>
      <c r="T2" t="s">
        <v>13</v>
      </c>
      <c r="U2" t="s">
        <v>14</v>
      </c>
    </row>
    <row r="3" spans="1:22">
      <c r="A3" s="8" t="s">
        <v>28</v>
      </c>
      <c r="B3">
        <v>365</v>
      </c>
      <c r="C3">
        <v>352</v>
      </c>
      <c r="D3" s="13">
        <f>C3/B3</f>
        <v>0.96438356164383565</v>
      </c>
      <c r="E3" s="14">
        <v>4.2958904109588998</v>
      </c>
      <c r="F3" s="2">
        <v>365</v>
      </c>
      <c r="G3" s="2">
        <v>343</v>
      </c>
      <c r="H3" s="13">
        <f>G3/F3</f>
        <v>0.9397260273972603</v>
      </c>
      <c r="I3" s="14">
        <v>4.1068493150684899</v>
      </c>
      <c r="J3" s="2">
        <v>365</v>
      </c>
      <c r="K3" s="2">
        <v>353</v>
      </c>
      <c r="L3" s="13">
        <f>K3/J3</f>
        <v>0.9671232876712329</v>
      </c>
      <c r="M3" s="4">
        <v>4.2164383561643799</v>
      </c>
      <c r="N3" s="2">
        <v>365</v>
      </c>
      <c r="O3" s="2">
        <v>351</v>
      </c>
      <c r="P3" s="13">
        <f>O3/N3</f>
        <v>0.9616438356164384</v>
      </c>
      <c r="Q3" s="4">
        <v>4.1671232876712301</v>
      </c>
      <c r="R3" s="2">
        <v>365</v>
      </c>
      <c r="S3" s="2">
        <v>347</v>
      </c>
      <c r="T3" s="13">
        <f>S3/R3</f>
        <v>0.9506849315068493</v>
      </c>
      <c r="U3" s="4">
        <v>4.0575342465753401</v>
      </c>
      <c r="V3">
        <f>F3+J3+N3+R3+B3</f>
        <v>1825</v>
      </c>
    </row>
    <row r="4" spans="1:22">
      <c r="A4" s="8" t="s">
        <v>32</v>
      </c>
      <c r="B4">
        <v>1448</v>
      </c>
      <c r="C4">
        <v>1391</v>
      </c>
      <c r="D4" s="13">
        <f>C4/B4</f>
        <v>0.96063535911602205</v>
      </c>
      <c r="E4" s="14">
        <v>4.4730662983425402</v>
      </c>
      <c r="F4" s="2">
        <v>1448</v>
      </c>
      <c r="G4" s="2">
        <v>1370</v>
      </c>
      <c r="H4" s="13">
        <f>G4/F4</f>
        <v>0.94613259668508287</v>
      </c>
      <c r="I4" s="14">
        <v>4.3349447513812196</v>
      </c>
      <c r="J4" s="2">
        <v>1448</v>
      </c>
      <c r="K4" s="2">
        <v>1420</v>
      </c>
      <c r="L4" s="13">
        <f>K4/J4</f>
        <v>0.98066298342541436</v>
      </c>
      <c r="M4" s="4">
        <v>4.5870165745856397</v>
      </c>
      <c r="N4" s="2">
        <v>1448</v>
      </c>
      <c r="O4" s="2">
        <v>1412</v>
      </c>
      <c r="P4" s="13">
        <f>O4/N4</f>
        <v>0.97513812154696133</v>
      </c>
      <c r="Q4" s="4">
        <v>4.5220994475138099</v>
      </c>
      <c r="R4" s="2">
        <v>1448</v>
      </c>
      <c r="S4" s="2">
        <v>1401</v>
      </c>
      <c r="T4" s="13">
        <f>S4/R4</f>
        <v>0.96754143646408841</v>
      </c>
      <c r="U4" s="4">
        <v>4.4820441988950304</v>
      </c>
      <c r="V4">
        <f>F4+J4+N4+R4+B4</f>
        <v>7240</v>
      </c>
    </row>
    <row r="5" spans="1:22">
      <c r="A5" s="8" t="s">
        <v>39</v>
      </c>
      <c r="B5">
        <v>796</v>
      </c>
      <c r="C5">
        <v>772</v>
      </c>
      <c r="D5" s="13">
        <f>C5/B5</f>
        <v>0.96984924623115576</v>
      </c>
      <c r="E5" s="14">
        <v>4.5226130653266301</v>
      </c>
      <c r="F5" s="2">
        <v>796</v>
      </c>
      <c r="G5" s="2">
        <v>747</v>
      </c>
      <c r="H5" s="13">
        <f>G5/F5</f>
        <v>0.93844221105527637</v>
      </c>
      <c r="I5" s="14">
        <v>4.32914572864322</v>
      </c>
      <c r="J5" s="2">
        <v>796</v>
      </c>
      <c r="K5" s="2">
        <v>781</v>
      </c>
      <c r="L5" s="13">
        <f>K5/J5</f>
        <v>0.98115577889447236</v>
      </c>
      <c r="M5" s="4">
        <v>4.6545226130653301</v>
      </c>
      <c r="N5" s="2">
        <v>796</v>
      </c>
      <c r="O5" s="2">
        <v>783</v>
      </c>
      <c r="P5" s="13">
        <f>O5/N5</f>
        <v>0.98366834170854267</v>
      </c>
      <c r="Q5" s="4">
        <v>4.6381909547738696</v>
      </c>
      <c r="R5" s="2">
        <v>796</v>
      </c>
      <c r="S5" s="2">
        <v>773</v>
      </c>
      <c r="T5" s="13">
        <f>S5/R5</f>
        <v>0.97110552763819091</v>
      </c>
      <c r="U5" s="4">
        <v>4.49246231155779</v>
      </c>
      <c r="V5">
        <f>F5+J5+N5+R5+B5</f>
        <v>3980</v>
      </c>
    </row>
    <row r="6" spans="1:22">
      <c r="A6" s="8" t="s">
        <v>26</v>
      </c>
      <c r="B6">
        <v>434</v>
      </c>
      <c r="C6">
        <v>432</v>
      </c>
      <c r="D6" s="13">
        <f>C6/B6</f>
        <v>0.99539170506912444</v>
      </c>
      <c r="E6" s="14">
        <v>4.6520737327188897</v>
      </c>
      <c r="F6" s="2">
        <v>434</v>
      </c>
      <c r="G6" s="2">
        <v>414</v>
      </c>
      <c r="H6" s="13">
        <f>G6/F6</f>
        <v>0.95391705069124422</v>
      </c>
      <c r="I6" s="14">
        <v>4.3387096774193603</v>
      </c>
      <c r="J6" s="2">
        <v>434</v>
      </c>
      <c r="K6" s="2">
        <v>423</v>
      </c>
      <c r="L6" s="13">
        <f>K6/J6</f>
        <v>0.97465437788018439</v>
      </c>
      <c r="M6" s="4">
        <v>4.4884792626728096</v>
      </c>
      <c r="N6" s="2">
        <v>434</v>
      </c>
      <c r="O6" s="2">
        <v>423</v>
      </c>
      <c r="P6" s="13">
        <f>O6/N6</f>
        <v>0.97465437788018439</v>
      </c>
      <c r="Q6" s="4">
        <v>4.4930875576036904</v>
      </c>
      <c r="R6" s="2">
        <v>434</v>
      </c>
      <c r="S6" s="2">
        <v>416</v>
      </c>
      <c r="T6" s="13">
        <f>S6/R6</f>
        <v>0.95852534562211977</v>
      </c>
      <c r="U6" s="4">
        <v>4.30414746543779</v>
      </c>
      <c r="V6">
        <f>F6+J6+N6+R6+B6</f>
        <v>2170</v>
      </c>
    </row>
    <row r="7" spans="1:22">
      <c r="A7" s="8" t="s">
        <v>29</v>
      </c>
      <c r="B7">
        <v>305</v>
      </c>
      <c r="C7">
        <v>298</v>
      </c>
      <c r="D7" s="13">
        <f>C7/B7</f>
        <v>0.9770491803278688</v>
      </c>
      <c r="E7" s="14">
        <v>4.46229508196721</v>
      </c>
      <c r="F7" s="2">
        <v>305</v>
      </c>
      <c r="G7" s="2">
        <v>296</v>
      </c>
      <c r="H7" s="13">
        <f>G7/F7</f>
        <v>0.97049180327868856</v>
      </c>
      <c r="I7" s="14">
        <v>4.4000000000000004</v>
      </c>
      <c r="J7" s="2">
        <v>305</v>
      </c>
      <c r="K7" s="2">
        <v>300</v>
      </c>
      <c r="L7" s="13">
        <f>K7/J7</f>
        <v>0.98360655737704916</v>
      </c>
      <c r="M7" s="4">
        <v>4.4950819672131201</v>
      </c>
      <c r="N7" s="2">
        <v>305</v>
      </c>
      <c r="O7" s="2">
        <v>299</v>
      </c>
      <c r="P7" s="13">
        <f>O7/N7</f>
        <v>0.98032786885245904</v>
      </c>
      <c r="Q7" s="4">
        <v>4.48524590163934</v>
      </c>
      <c r="R7" s="2">
        <v>305</v>
      </c>
      <c r="S7" s="2">
        <v>298</v>
      </c>
      <c r="T7" s="13">
        <f>S7/R7</f>
        <v>0.9770491803278688</v>
      </c>
      <c r="U7" s="4">
        <v>4.3770491803278704</v>
      </c>
      <c r="V7">
        <f>F7+J7+N7+R7+B7</f>
        <v>1525</v>
      </c>
    </row>
    <row r="8" spans="1:22">
      <c r="A8" s="8" t="s">
        <v>34</v>
      </c>
      <c r="B8">
        <v>205</v>
      </c>
      <c r="C8">
        <v>198</v>
      </c>
      <c r="D8" s="13">
        <f>C8/B8</f>
        <v>0.96585365853658534</v>
      </c>
      <c r="E8" s="14">
        <v>4.2926829268292703</v>
      </c>
      <c r="F8" s="2">
        <v>205</v>
      </c>
      <c r="G8" s="2">
        <v>194</v>
      </c>
      <c r="H8" s="13">
        <f>G8/F8</f>
        <v>0.9463414634146341</v>
      </c>
      <c r="I8" s="14">
        <v>4.0829268292682901</v>
      </c>
      <c r="J8" s="2">
        <v>205</v>
      </c>
      <c r="K8" s="2">
        <v>201</v>
      </c>
      <c r="L8" s="13">
        <f>K8/J8</f>
        <v>0.98048780487804876</v>
      </c>
      <c r="M8" s="4">
        <v>4.48780487804878</v>
      </c>
      <c r="N8" s="2">
        <v>205</v>
      </c>
      <c r="O8" s="2">
        <v>199</v>
      </c>
      <c r="P8" s="13">
        <f>O8/N8</f>
        <v>0.97073170731707314</v>
      </c>
      <c r="Q8" s="4">
        <v>4.3756097560975604</v>
      </c>
      <c r="R8" s="2">
        <v>205</v>
      </c>
      <c r="S8" s="2">
        <v>199</v>
      </c>
      <c r="T8" s="13">
        <f>S8/R8</f>
        <v>0.97073170731707314</v>
      </c>
      <c r="U8" s="4">
        <v>4.3365853658536597</v>
      </c>
      <c r="V8">
        <f>F8+J8+N8+R8+B8</f>
        <v>1025</v>
      </c>
    </row>
    <row r="9" spans="1:22">
      <c r="A9" s="8" t="s">
        <v>33</v>
      </c>
      <c r="B9">
        <v>158</v>
      </c>
      <c r="C9">
        <v>143</v>
      </c>
      <c r="D9" s="13">
        <f>C9/B9</f>
        <v>0.90506329113924056</v>
      </c>
      <c r="E9" s="14">
        <v>4.1772151898734204</v>
      </c>
      <c r="F9" s="2">
        <v>158</v>
      </c>
      <c r="G9" s="2">
        <v>140</v>
      </c>
      <c r="H9" s="13">
        <f>G9/F9</f>
        <v>0.88607594936708856</v>
      </c>
      <c r="I9" s="14">
        <v>3.9810126582278502</v>
      </c>
      <c r="J9" s="2">
        <v>158</v>
      </c>
      <c r="K9" s="2">
        <v>152</v>
      </c>
      <c r="L9" s="13">
        <f>K9/J9</f>
        <v>0.96202531645569622</v>
      </c>
      <c r="M9" s="4">
        <v>4.3164556962025298</v>
      </c>
      <c r="N9" s="2">
        <v>158</v>
      </c>
      <c r="O9" s="2">
        <v>147</v>
      </c>
      <c r="P9" s="13">
        <f>O9/N9</f>
        <v>0.930379746835443</v>
      </c>
      <c r="Q9" s="4">
        <v>4.1772151898734204</v>
      </c>
      <c r="R9" s="2">
        <v>158</v>
      </c>
      <c r="S9" s="2">
        <v>146</v>
      </c>
      <c r="T9" s="13">
        <f>S9/R9</f>
        <v>0.92405063291139244</v>
      </c>
      <c r="U9" s="4">
        <v>4.09493670886076</v>
      </c>
      <c r="V9">
        <f>F9+J9+N9+R9+B9</f>
        <v>790</v>
      </c>
    </row>
    <row r="10" spans="1:22">
      <c r="A10" s="8" t="s">
        <v>20</v>
      </c>
      <c r="B10">
        <v>174</v>
      </c>
      <c r="C10">
        <v>162</v>
      </c>
      <c r="D10" s="13">
        <f>C10/B10</f>
        <v>0.93103448275862066</v>
      </c>
      <c r="E10" s="14">
        <v>4.1091954022988499</v>
      </c>
      <c r="F10" s="2">
        <v>174</v>
      </c>
      <c r="G10" s="2">
        <v>161</v>
      </c>
      <c r="H10" s="13">
        <f>G10/F10</f>
        <v>0.92528735632183912</v>
      </c>
      <c r="I10" s="14">
        <v>3.9655172413793101</v>
      </c>
      <c r="J10" s="2">
        <v>174</v>
      </c>
      <c r="K10" s="2">
        <v>171</v>
      </c>
      <c r="L10" s="13">
        <f>K10/J10</f>
        <v>0.98275862068965514</v>
      </c>
      <c r="M10" s="4">
        <v>4.4425287356321803</v>
      </c>
      <c r="N10" s="2">
        <v>174</v>
      </c>
      <c r="O10" s="2">
        <v>172</v>
      </c>
      <c r="P10" s="13">
        <f>O10/N10</f>
        <v>0.9885057471264368</v>
      </c>
      <c r="Q10" s="4">
        <v>4.2758620689655196</v>
      </c>
      <c r="R10" s="2">
        <v>174</v>
      </c>
      <c r="S10" s="2">
        <v>172</v>
      </c>
      <c r="T10" s="13">
        <f>S10/R10</f>
        <v>0.9885057471264368</v>
      </c>
      <c r="U10" s="4">
        <v>4.2241379310344804</v>
      </c>
      <c r="V10">
        <f>F10+J10+N10+R10+B10</f>
        <v>870</v>
      </c>
    </row>
    <row r="11" spans="1:22">
      <c r="A11" s="8" t="s">
        <v>22</v>
      </c>
      <c r="B11">
        <v>169</v>
      </c>
      <c r="C11">
        <v>168</v>
      </c>
      <c r="D11" s="13">
        <f>C11/B11</f>
        <v>0.99408284023668636</v>
      </c>
      <c r="E11" s="14">
        <v>4.6686390532544397</v>
      </c>
      <c r="F11" s="2">
        <v>169</v>
      </c>
      <c r="G11" s="2">
        <v>166</v>
      </c>
      <c r="H11" s="13">
        <f>G11/F11</f>
        <v>0.98224852071005919</v>
      </c>
      <c r="I11" s="14">
        <v>4.5266272189349097</v>
      </c>
      <c r="J11" s="2">
        <v>169</v>
      </c>
      <c r="K11" s="2">
        <v>169</v>
      </c>
      <c r="L11" s="13">
        <f>K11/J11</f>
        <v>1</v>
      </c>
      <c r="M11" s="4">
        <v>4.6568047337278102</v>
      </c>
      <c r="N11" s="2">
        <v>169</v>
      </c>
      <c r="O11" s="2">
        <v>167</v>
      </c>
      <c r="P11" s="13">
        <f>O11/N11</f>
        <v>0.98816568047337283</v>
      </c>
      <c r="Q11" s="4">
        <v>4.62721893491124</v>
      </c>
      <c r="R11" s="2">
        <v>169</v>
      </c>
      <c r="S11" s="2">
        <v>166</v>
      </c>
      <c r="T11" s="13">
        <f>S11/R11</f>
        <v>0.98224852071005919</v>
      </c>
      <c r="U11" s="4">
        <v>4.53254437869822</v>
      </c>
      <c r="V11">
        <f>F11+J11+N11+R11+B11</f>
        <v>845</v>
      </c>
    </row>
    <row r="12" spans="1:22" s="26" customFormat="1">
      <c r="A12" s="25" t="s">
        <v>17</v>
      </c>
      <c r="B12" s="26">
        <v>109</v>
      </c>
      <c r="C12" s="26">
        <v>109</v>
      </c>
      <c r="D12" s="22">
        <f>C12/B12</f>
        <v>1</v>
      </c>
      <c r="E12" s="27">
        <v>4.4770642201834896</v>
      </c>
      <c r="F12" s="28">
        <v>109</v>
      </c>
      <c r="G12" s="28">
        <v>104</v>
      </c>
      <c r="H12" s="22">
        <f>G12/F12</f>
        <v>0.95412844036697253</v>
      </c>
      <c r="I12" s="27">
        <v>4.2385321100917404</v>
      </c>
      <c r="J12" s="28">
        <v>109</v>
      </c>
      <c r="K12" s="28">
        <v>109</v>
      </c>
      <c r="L12" s="22">
        <f>K12/J12</f>
        <v>1</v>
      </c>
      <c r="M12" s="29">
        <v>4.54128440366972</v>
      </c>
      <c r="N12" s="28">
        <v>109</v>
      </c>
      <c r="O12" s="28">
        <v>109</v>
      </c>
      <c r="P12" s="22">
        <f>O12/N12</f>
        <v>1</v>
      </c>
      <c r="Q12" s="29">
        <v>4.5596330275229402</v>
      </c>
      <c r="R12" s="28">
        <v>109</v>
      </c>
      <c r="S12" s="28">
        <v>109</v>
      </c>
      <c r="T12" s="22">
        <f>S12/R12</f>
        <v>1</v>
      </c>
      <c r="U12" s="29">
        <v>4.4678899082568799</v>
      </c>
      <c r="V12" s="26">
        <f>F12+J12+N12+R12+B12</f>
        <v>545</v>
      </c>
    </row>
    <row r="13" spans="1:22">
      <c r="A13" s="8" t="s">
        <v>23</v>
      </c>
      <c r="B13">
        <v>132</v>
      </c>
      <c r="C13">
        <v>132</v>
      </c>
      <c r="D13" s="13">
        <f>C13/B13</f>
        <v>1</v>
      </c>
      <c r="E13" s="14">
        <v>4.4393939393939403</v>
      </c>
      <c r="F13" s="2">
        <v>132</v>
      </c>
      <c r="G13" s="2">
        <v>132</v>
      </c>
      <c r="H13" s="13">
        <f>G13/F13</f>
        <v>1</v>
      </c>
      <c r="I13" s="14">
        <v>4.3636363636363598</v>
      </c>
      <c r="J13" s="2">
        <v>132</v>
      </c>
      <c r="K13" s="2">
        <v>131</v>
      </c>
      <c r="L13" s="13">
        <f>K13/J13</f>
        <v>0.99242424242424243</v>
      </c>
      <c r="M13" s="4">
        <v>4.3863636363636402</v>
      </c>
      <c r="N13" s="2">
        <v>132</v>
      </c>
      <c r="O13" s="2">
        <v>131</v>
      </c>
      <c r="P13" s="13">
        <f>O13/N13</f>
        <v>0.99242424242424243</v>
      </c>
      <c r="Q13" s="4">
        <v>4.3712121212121202</v>
      </c>
      <c r="R13" s="2">
        <v>132</v>
      </c>
      <c r="S13" s="2">
        <v>131</v>
      </c>
      <c r="T13" s="13">
        <f>S13/R13</f>
        <v>0.99242424242424243</v>
      </c>
      <c r="U13" s="4">
        <v>4.2803030303030303</v>
      </c>
      <c r="V13">
        <f>F13+J13+N13+R13+B13</f>
        <v>660</v>
      </c>
    </row>
    <row r="14" spans="1:22">
      <c r="A14" s="8" t="s">
        <v>21</v>
      </c>
      <c r="B14">
        <v>124</v>
      </c>
      <c r="C14">
        <v>123</v>
      </c>
      <c r="D14" s="13">
        <f>C14/B14</f>
        <v>0.99193548387096775</v>
      </c>
      <c r="E14" s="14">
        <v>4.4758064516129004</v>
      </c>
      <c r="F14" s="2">
        <v>124</v>
      </c>
      <c r="G14" s="2">
        <v>123</v>
      </c>
      <c r="H14" s="13">
        <f>G14/F14</f>
        <v>0.99193548387096775</v>
      </c>
      <c r="I14" s="14">
        <v>4.4677419354838701</v>
      </c>
      <c r="J14" s="2">
        <v>124</v>
      </c>
      <c r="K14" s="2">
        <v>124</v>
      </c>
      <c r="L14" s="13">
        <f>K14/J14</f>
        <v>1</v>
      </c>
      <c r="M14" s="4">
        <v>4.4354838709677402</v>
      </c>
      <c r="N14" s="2">
        <v>124</v>
      </c>
      <c r="O14" s="2">
        <v>120</v>
      </c>
      <c r="P14" s="13">
        <f>O14/N14</f>
        <v>0.967741935483871</v>
      </c>
      <c r="Q14" s="4">
        <v>4.3951612903225801</v>
      </c>
      <c r="R14" s="2">
        <v>124</v>
      </c>
      <c r="S14" s="2">
        <v>121</v>
      </c>
      <c r="T14" s="13">
        <f>S14/R14</f>
        <v>0.97580645161290325</v>
      </c>
      <c r="U14" s="4">
        <v>4.2822580645161299</v>
      </c>
      <c r="V14">
        <f>F14+J14+N14+R14+B14</f>
        <v>620</v>
      </c>
    </row>
    <row r="15" spans="1:22">
      <c r="A15" s="8" t="s">
        <v>25</v>
      </c>
      <c r="B15">
        <v>96</v>
      </c>
      <c r="C15">
        <v>95</v>
      </c>
      <c r="D15" s="13">
        <f>C15/B15</f>
        <v>0.98958333333333337</v>
      </c>
      <c r="E15" s="14">
        <v>4.6770833333333304</v>
      </c>
      <c r="F15" s="2">
        <v>96</v>
      </c>
      <c r="G15" s="2">
        <v>93</v>
      </c>
      <c r="H15" s="13">
        <f>G15/F15</f>
        <v>0.96875</v>
      </c>
      <c r="I15" s="14">
        <v>4.5625</v>
      </c>
      <c r="J15" s="2">
        <v>96</v>
      </c>
      <c r="K15" s="2">
        <v>94</v>
      </c>
      <c r="L15" s="13">
        <f>K15/J15</f>
        <v>0.97916666666666663</v>
      </c>
      <c r="M15" s="4">
        <v>4.59375</v>
      </c>
      <c r="N15" s="2">
        <v>96</v>
      </c>
      <c r="O15" s="2">
        <v>94</v>
      </c>
      <c r="P15" s="13">
        <f>O15/N15</f>
        <v>0.97916666666666663</v>
      </c>
      <c r="Q15" s="4">
        <v>4.6041666666666696</v>
      </c>
      <c r="R15" s="2">
        <v>96</v>
      </c>
      <c r="S15" s="2">
        <v>93</v>
      </c>
      <c r="T15" s="13">
        <f>S15/R15</f>
        <v>0.96875</v>
      </c>
      <c r="U15" s="4">
        <v>4.4895833333333304</v>
      </c>
      <c r="V15">
        <f>F15+J15+N15+R15+B15</f>
        <v>480</v>
      </c>
    </row>
    <row r="16" spans="1:22" s="26" customFormat="1">
      <c r="A16" s="25" t="s">
        <v>19</v>
      </c>
      <c r="B16" s="26">
        <v>104</v>
      </c>
      <c r="C16" s="26">
        <v>102</v>
      </c>
      <c r="D16" s="22">
        <f>C16/B16</f>
        <v>0.98076923076923073</v>
      </c>
      <c r="E16" s="27">
        <v>4.5769230769230802</v>
      </c>
      <c r="F16" s="28">
        <v>104</v>
      </c>
      <c r="G16" s="28">
        <v>103</v>
      </c>
      <c r="H16" s="22">
        <f>G16/F16</f>
        <v>0.99038461538461542</v>
      </c>
      <c r="I16" s="27">
        <v>4.5096153846153904</v>
      </c>
      <c r="J16" s="28">
        <v>104</v>
      </c>
      <c r="K16" s="28">
        <v>103</v>
      </c>
      <c r="L16" s="22">
        <f>K16/J16</f>
        <v>0.99038461538461542</v>
      </c>
      <c r="M16" s="29">
        <v>4.5865384615384599</v>
      </c>
      <c r="N16" s="28">
        <v>104</v>
      </c>
      <c r="O16" s="28">
        <v>104</v>
      </c>
      <c r="P16" s="22">
        <f>O16/N16</f>
        <v>1</v>
      </c>
      <c r="Q16" s="29">
        <v>4.7019230769230802</v>
      </c>
      <c r="R16" s="28">
        <v>104</v>
      </c>
      <c r="S16" s="28">
        <v>103</v>
      </c>
      <c r="T16" s="22">
        <f>S16/R16</f>
        <v>0.99038461538461542</v>
      </c>
      <c r="U16" s="29">
        <v>4.5480769230769198</v>
      </c>
      <c r="V16" s="26">
        <f>F16+J16+N16+R16+B16</f>
        <v>520</v>
      </c>
    </row>
    <row r="17" spans="1:22">
      <c r="A17" s="8" t="s">
        <v>35</v>
      </c>
      <c r="B17">
        <v>92</v>
      </c>
      <c r="C17">
        <v>92</v>
      </c>
      <c r="D17" s="13">
        <f>C17/B17</f>
        <v>1</v>
      </c>
      <c r="E17" s="14">
        <v>4.7391304347826102</v>
      </c>
      <c r="F17" s="2">
        <v>92</v>
      </c>
      <c r="G17" s="2">
        <v>88</v>
      </c>
      <c r="H17" s="13">
        <f>G17/F17</f>
        <v>0.95652173913043481</v>
      </c>
      <c r="I17" s="14">
        <v>4.5434782608695699</v>
      </c>
      <c r="J17" s="2">
        <v>92</v>
      </c>
      <c r="K17" s="2">
        <v>90</v>
      </c>
      <c r="L17" s="13">
        <f>K17/J17</f>
        <v>0.97826086956521741</v>
      </c>
      <c r="M17" s="4">
        <v>4.6956521739130404</v>
      </c>
      <c r="N17" s="2">
        <v>92</v>
      </c>
      <c r="O17" s="2">
        <v>90</v>
      </c>
      <c r="P17" s="13">
        <f>O17/N17</f>
        <v>0.97826086956521741</v>
      </c>
      <c r="Q17" s="4">
        <v>4.6630434782608701</v>
      </c>
      <c r="R17" s="2">
        <v>92</v>
      </c>
      <c r="S17" s="2">
        <v>89</v>
      </c>
      <c r="T17" s="13">
        <f>S17/R17</f>
        <v>0.96739130434782605</v>
      </c>
      <c r="U17" s="4">
        <v>4.6086956521739104</v>
      </c>
      <c r="V17">
        <f>F17+J17+N17+R17+B17</f>
        <v>460</v>
      </c>
    </row>
    <row r="18" spans="1:22">
      <c r="A18" s="8" t="s">
        <v>56</v>
      </c>
      <c r="B18">
        <v>53</v>
      </c>
      <c r="C18">
        <v>53</v>
      </c>
      <c r="D18" s="13">
        <f>C18/B18</f>
        <v>1</v>
      </c>
      <c r="E18" s="14">
        <v>4.8113207547169798</v>
      </c>
      <c r="F18" s="5">
        <v>53</v>
      </c>
      <c r="G18" s="5">
        <v>51</v>
      </c>
      <c r="H18" s="13">
        <f>G18/F18</f>
        <v>0.96226415094339623</v>
      </c>
      <c r="I18" s="14">
        <v>4.47169811320755</v>
      </c>
      <c r="J18" s="5">
        <v>53</v>
      </c>
      <c r="K18" s="5">
        <v>49</v>
      </c>
      <c r="L18" s="13">
        <f>K18/J18</f>
        <v>0.92452830188679247</v>
      </c>
      <c r="M18" s="7">
        <v>4.3773584905660403</v>
      </c>
      <c r="N18" s="5">
        <v>53</v>
      </c>
      <c r="O18" s="5">
        <v>51</v>
      </c>
      <c r="P18" s="13">
        <f>O18/N18</f>
        <v>0.96226415094339623</v>
      </c>
      <c r="Q18" s="7">
        <v>4.5849056603773599</v>
      </c>
      <c r="R18" s="5">
        <v>53</v>
      </c>
      <c r="S18" s="5">
        <v>50</v>
      </c>
      <c r="T18" s="13">
        <f>S18/R18</f>
        <v>0.94339622641509435</v>
      </c>
      <c r="U18" s="7">
        <v>4.3773584905660403</v>
      </c>
      <c r="V18">
        <f>F18+J18+N18+R18+B18</f>
        <v>265</v>
      </c>
    </row>
    <row r="19" spans="1:22">
      <c r="A19" s="8" t="s">
        <v>36</v>
      </c>
      <c r="B19">
        <v>65</v>
      </c>
      <c r="C19">
        <v>65</v>
      </c>
      <c r="D19" s="13">
        <f>C19/B19</f>
        <v>1</v>
      </c>
      <c r="E19" s="14">
        <v>4.7846153846153801</v>
      </c>
      <c r="F19" s="2">
        <v>65</v>
      </c>
      <c r="G19" s="2">
        <v>65</v>
      </c>
      <c r="H19" s="13">
        <f>G19/F19</f>
        <v>1</v>
      </c>
      <c r="I19" s="14">
        <v>4.6307692307692303</v>
      </c>
      <c r="J19" s="2">
        <v>65</v>
      </c>
      <c r="K19" s="2">
        <v>62</v>
      </c>
      <c r="L19" s="13">
        <f>K19/J19</f>
        <v>0.9538461538461539</v>
      </c>
      <c r="M19" s="4">
        <v>4.6307692307692303</v>
      </c>
      <c r="N19" s="2">
        <v>65</v>
      </c>
      <c r="O19" s="2">
        <v>64</v>
      </c>
      <c r="P19" s="13">
        <f>O19/N19</f>
        <v>0.98461538461538467</v>
      </c>
      <c r="Q19" s="4">
        <v>4.7076923076923096</v>
      </c>
      <c r="R19" s="2">
        <v>65</v>
      </c>
      <c r="S19" s="2">
        <v>62</v>
      </c>
      <c r="T19" s="13">
        <f>S19/R19</f>
        <v>0.9538461538461539</v>
      </c>
      <c r="U19" s="4">
        <v>4.5692307692307699</v>
      </c>
      <c r="V19">
        <f>F19+J19+N19+R19+B19</f>
        <v>325</v>
      </c>
    </row>
    <row r="20" spans="1:22">
      <c r="A20" s="8" t="s">
        <v>27</v>
      </c>
      <c r="B20">
        <v>72</v>
      </c>
      <c r="C20">
        <v>72</v>
      </c>
      <c r="D20" s="13">
        <f>C20/B20</f>
        <v>1</v>
      </c>
      <c r="E20" s="14">
        <v>4.8194444444444402</v>
      </c>
      <c r="F20" s="2">
        <v>72</v>
      </c>
      <c r="G20" s="2">
        <v>72</v>
      </c>
      <c r="H20" s="13">
        <f>G20/F20</f>
        <v>1</v>
      </c>
      <c r="I20" s="14">
        <v>4.8333333333333304</v>
      </c>
      <c r="J20" s="2">
        <v>72</v>
      </c>
      <c r="K20" s="2">
        <v>71</v>
      </c>
      <c r="L20" s="13">
        <f>K20/J20</f>
        <v>0.98611111111111116</v>
      </c>
      <c r="M20" s="4">
        <v>4.7638888888888902</v>
      </c>
      <c r="N20" s="2">
        <v>72</v>
      </c>
      <c r="O20" s="2">
        <v>71</v>
      </c>
      <c r="P20" s="13">
        <f>O20/N20</f>
        <v>0.98611111111111116</v>
      </c>
      <c r="Q20" s="4">
        <v>4.7638888888888902</v>
      </c>
      <c r="R20" s="2">
        <v>72</v>
      </c>
      <c r="S20" s="2">
        <v>71</v>
      </c>
      <c r="T20" s="13">
        <f>S20/R20</f>
        <v>0.98611111111111116</v>
      </c>
      <c r="U20" s="4">
        <v>4.75</v>
      </c>
      <c r="V20">
        <f>F20+J20+N20+R20+B20</f>
        <v>360</v>
      </c>
    </row>
    <row r="21" spans="1:22">
      <c r="A21" s="8" t="s">
        <v>31</v>
      </c>
      <c r="B21">
        <v>57</v>
      </c>
      <c r="C21">
        <v>55</v>
      </c>
      <c r="D21" s="13">
        <f>C21/B21</f>
        <v>0.96491228070175439</v>
      </c>
      <c r="E21" s="14">
        <v>4.40350877192982</v>
      </c>
      <c r="F21" s="2">
        <v>57</v>
      </c>
      <c r="G21" s="2">
        <v>55</v>
      </c>
      <c r="H21" s="13">
        <f>G21/F21</f>
        <v>0.96491228070175439</v>
      </c>
      <c r="I21" s="14">
        <v>4.3333333333333304</v>
      </c>
      <c r="J21" s="2">
        <v>57</v>
      </c>
      <c r="K21" s="2">
        <v>56</v>
      </c>
      <c r="L21" s="13">
        <f>K21/J21</f>
        <v>0.98245614035087714</v>
      </c>
      <c r="M21" s="4">
        <v>4.5263157894736796</v>
      </c>
      <c r="N21" s="2">
        <v>57</v>
      </c>
      <c r="O21" s="2">
        <v>57</v>
      </c>
      <c r="P21" s="13">
        <f>O21/N21</f>
        <v>1</v>
      </c>
      <c r="Q21" s="4">
        <v>4.5263157894736796</v>
      </c>
      <c r="R21" s="2">
        <v>57</v>
      </c>
      <c r="S21" s="2">
        <v>55</v>
      </c>
      <c r="T21" s="13">
        <f>S21/R21</f>
        <v>0.96491228070175439</v>
      </c>
      <c r="U21" s="4">
        <v>4.4210526315789496</v>
      </c>
      <c r="V21">
        <f>F21+J21+N21+R21+B21</f>
        <v>285</v>
      </c>
    </row>
    <row r="22" spans="1:22">
      <c r="A22" s="8" t="s">
        <v>18</v>
      </c>
      <c r="B22">
        <v>18</v>
      </c>
      <c r="C22">
        <v>18</v>
      </c>
      <c r="D22" s="13">
        <f>C22/B22</f>
        <v>1</v>
      </c>
      <c r="E22" s="14">
        <v>3.8888888888888902</v>
      </c>
      <c r="F22" s="2">
        <v>18</v>
      </c>
      <c r="G22" s="2">
        <v>18</v>
      </c>
      <c r="H22" s="13">
        <f>G22/F22</f>
        <v>1</v>
      </c>
      <c r="I22" s="14">
        <v>3.8333333333333299</v>
      </c>
      <c r="J22" s="2">
        <v>18</v>
      </c>
      <c r="K22" s="2">
        <v>18</v>
      </c>
      <c r="L22" s="13">
        <f>K22/J22</f>
        <v>1</v>
      </c>
      <c r="M22" s="4">
        <v>3.7777777777777799</v>
      </c>
      <c r="N22" s="2">
        <v>18</v>
      </c>
      <c r="O22" s="2">
        <v>18</v>
      </c>
      <c r="P22" s="13">
        <f>O22/N22</f>
        <v>1</v>
      </c>
      <c r="Q22" s="4">
        <v>4</v>
      </c>
      <c r="R22" s="2">
        <v>18</v>
      </c>
      <c r="S22" s="2">
        <v>18</v>
      </c>
      <c r="T22" s="13">
        <f>S22/R22</f>
        <v>1</v>
      </c>
      <c r="U22" s="4">
        <v>3.8888888888888902</v>
      </c>
      <c r="V22">
        <f>F22+J22+N22+R22+B22</f>
        <v>90</v>
      </c>
    </row>
    <row r="23" spans="1:22">
      <c r="A23" s="8" t="s">
        <v>37</v>
      </c>
      <c r="B23">
        <v>19</v>
      </c>
      <c r="C23">
        <v>19</v>
      </c>
      <c r="D23" s="20">
        <f>C23/B23</f>
        <v>1</v>
      </c>
      <c r="E23" s="14">
        <v>4.7894736842105301</v>
      </c>
      <c r="F23" s="2">
        <v>19</v>
      </c>
      <c r="G23" s="2">
        <v>19</v>
      </c>
      <c r="H23" s="20">
        <f>G23/F23</f>
        <v>1</v>
      </c>
      <c r="I23" s="14">
        <v>4.7894736842105301</v>
      </c>
      <c r="J23" s="2">
        <v>19</v>
      </c>
      <c r="K23" s="2">
        <v>19</v>
      </c>
      <c r="L23" s="20">
        <f>K23/J23</f>
        <v>1</v>
      </c>
      <c r="M23" s="4">
        <v>4.5263157894736796</v>
      </c>
      <c r="N23" s="2">
        <v>19</v>
      </c>
      <c r="O23" s="2">
        <v>18</v>
      </c>
      <c r="P23" s="20">
        <f>O23/N23</f>
        <v>0.94736842105263153</v>
      </c>
      <c r="Q23" s="4">
        <v>4.3684210526315796</v>
      </c>
      <c r="R23" s="2">
        <v>19</v>
      </c>
      <c r="S23" s="2">
        <v>17</v>
      </c>
      <c r="T23" s="20">
        <f>S23/R23</f>
        <v>0.89473684210526316</v>
      </c>
      <c r="U23" s="4">
        <v>3.7894736842105301</v>
      </c>
      <c r="V23">
        <f>F23+J23+N23+R23+B23</f>
        <v>95</v>
      </c>
    </row>
    <row r="24" spans="1:22">
      <c r="A24" s="8" t="s">
        <v>24</v>
      </c>
      <c r="B24">
        <v>14</v>
      </c>
      <c r="C24">
        <v>14</v>
      </c>
      <c r="D24" s="13">
        <f>C24/B24</f>
        <v>1</v>
      </c>
      <c r="E24" s="14">
        <v>4.8571428571428603</v>
      </c>
      <c r="F24" s="2">
        <v>14</v>
      </c>
      <c r="G24" s="2">
        <v>14</v>
      </c>
      <c r="H24" s="13">
        <f>G24/F24</f>
        <v>1</v>
      </c>
      <c r="I24" s="14">
        <v>4.5714285714285703</v>
      </c>
      <c r="J24" s="2">
        <v>14</v>
      </c>
      <c r="K24" s="2">
        <v>14</v>
      </c>
      <c r="L24" s="13">
        <f>K24/J24</f>
        <v>1</v>
      </c>
      <c r="M24" s="4">
        <v>4.5714285714285703</v>
      </c>
      <c r="N24" s="2">
        <v>14</v>
      </c>
      <c r="O24" s="2">
        <v>14</v>
      </c>
      <c r="P24" s="13">
        <f>O24/N24</f>
        <v>1</v>
      </c>
      <c r="Q24" s="4">
        <v>4.6428571428571397</v>
      </c>
      <c r="R24" s="2">
        <v>14</v>
      </c>
      <c r="S24" s="2">
        <v>14</v>
      </c>
      <c r="T24" s="13">
        <f>S24/R24</f>
        <v>1</v>
      </c>
      <c r="U24" s="4">
        <v>4.5</v>
      </c>
      <c r="V24">
        <f>F24+J24+N24+R24+B24</f>
        <v>70</v>
      </c>
    </row>
    <row r="25" spans="1:22">
      <c r="A25" s="8" t="s">
        <v>38</v>
      </c>
      <c r="B25">
        <v>14</v>
      </c>
      <c r="C25">
        <v>14</v>
      </c>
      <c r="D25" s="13">
        <f>C25/B25</f>
        <v>1</v>
      </c>
      <c r="E25" s="14">
        <v>4.6428571428571397</v>
      </c>
      <c r="F25" s="2">
        <v>14</v>
      </c>
      <c r="G25" s="2">
        <v>14</v>
      </c>
      <c r="H25" s="13">
        <f>G25/F25</f>
        <v>1</v>
      </c>
      <c r="I25" s="14">
        <v>4.3571428571428603</v>
      </c>
      <c r="J25" s="2">
        <v>14</v>
      </c>
      <c r="K25" s="2">
        <v>13</v>
      </c>
      <c r="L25" s="13">
        <f>K25/J25</f>
        <v>0.9285714285714286</v>
      </c>
      <c r="M25" s="4">
        <v>4.21428571428571</v>
      </c>
      <c r="N25" s="2">
        <v>14</v>
      </c>
      <c r="O25" s="2">
        <v>14</v>
      </c>
      <c r="P25" s="13">
        <f>O25/N25</f>
        <v>1</v>
      </c>
      <c r="Q25" s="4">
        <v>4.6428571428571397</v>
      </c>
      <c r="R25" s="2">
        <v>14</v>
      </c>
      <c r="S25" s="2">
        <v>14</v>
      </c>
      <c r="T25" s="13">
        <f>S25/R25</f>
        <v>1</v>
      </c>
      <c r="U25" s="4">
        <v>4.3571428571428603</v>
      </c>
      <c r="V25">
        <f>F25+J25+N25+R25+B25</f>
        <v>70</v>
      </c>
    </row>
    <row r="26" spans="1:22">
      <c r="A26" s="8" t="s">
        <v>15</v>
      </c>
      <c r="B26" s="24">
        <v>10</v>
      </c>
      <c r="C26" s="24">
        <v>10</v>
      </c>
      <c r="D26" s="13">
        <f>C26/B26</f>
        <v>1</v>
      </c>
      <c r="E26" s="14">
        <v>5</v>
      </c>
      <c r="F26" s="21">
        <v>10</v>
      </c>
      <c r="G26" s="21">
        <v>10</v>
      </c>
      <c r="H26" s="20">
        <f>G26/F26</f>
        <v>1</v>
      </c>
      <c r="I26" s="14">
        <v>4.9000000000000004</v>
      </c>
      <c r="J26" s="21">
        <v>10</v>
      </c>
      <c r="K26" s="21">
        <v>10</v>
      </c>
      <c r="L26" s="20">
        <f>K26/J26</f>
        <v>1</v>
      </c>
      <c r="M26" s="23">
        <v>4.8</v>
      </c>
      <c r="N26" s="21">
        <v>10</v>
      </c>
      <c r="O26" s="21">
        <v>10</v>
      </c>
      <c r="P26" s="20">
        <f>O26/N26</f>
        <v>1</v>
      </c>
      <c r="Q26" s="23">
        <v>4.7</v>
      </c>
      <c r="R26" s="21">
        <v>10</v>
      </c>
      <c r="S26" s="21">
        <v>10</v>
      </c>
      <c r="T26" s="20">
        <f>S26/R26</f>
        <v>1</v>
      </c>
      <c r="U26" s="23">
        <v>4.9000000000000004</v>
      </c>
      <c r="V26">
        <f>F26+J26+N26+R26+B26</f>
        <v>50</v>
      </c>
    </row>
    <row r="27" spans="1:22">
      <c r="A27" s="8" t="s">
        <v>16</v>
      </c>
      <c r="B27">
        <v>3</v>
      </c>
      <c r="C27">
        <v>3</v>
      </c>
      <c r="D27" s="13">
        <f>C27/B27</f>
        <v>1</v>
      </c>
      <c r="E27" s="14">
        <v>4.6666666666666696</v>
      </c>
      <c r="F27" s="21">
        <v>3</v>
      </c>
      <c r="G27" s="21">
        <v>3</v>
      </c>
      <c r="H27" s="13">
        <f>G27/F27</f>
        <v>1</v>
      </c>
      <c r="I27" s="14">
        <v>5</v>
      </c>
      <c r="J27" s="21">
        <v>3</v>
      </c>
      <c r="K27" s="21">
        <v>3</v>
      </c>
      <c r="L27" s="13">
        <f>K27/J27</f>
        <v>1</v>
      </c>
      <c r="M27" s="23">
        <v>5</v>
      </c>
      <c r="N27" s="21">
        <v>3</v>
      </c>
      <c r="O27" s="21">
        <v>3</v>
      </c>
      <c r="P27" s="13">
        <f>O27/N27</f>
        <v>1</v>
      </c>
      <c r="Q27" s="23">
        <v>4</v>
      </c>
      <c r="R27" s="21">
        <v>3</v>
      </c>
      <c r="S27" s="21">
        <v>3</v>
      </c>
      <c r="T27" s="13">
        <f>S27/R27</f>
        <v>1</v>
      </c>
      <c r="U27" s="23">
        <v>4</v>
      </c>
      <c r="V27">
        <f>F27+J27+N27+R27+B27</f>
        <v>15</v>
      </c>
    </row>
    <row r="28" spans="1:22">
      <c r="A28" s="8" t="s">
        <v>30</v>
      </c>
      <c r="B28">
        <v>5</v>
      </c>
      <c r="C28">
        <v>4</v>
      </c>
      <c r="D28" s="13">
        <f>C28/B28</f>
        <v>0.8</v>
      </c>
      <c r="E28" s="14">
        <v>3.8</v>
      </c>
      <c r="F28" s="2">
        <v>5</v>
      </c>
      <c r="G28" s="2">
        <v>4</v>
      </c>
      <c r="H28" s="13">
        <f>G28/F28</f>
        <v>0.8</v>
      </c>
      <c r="I28" s="14">
        <v>4</v>
      </c>
      <c r="J28" s="2">
        <v>5</v>
      </c>
      <c r="K28" s="2">
        <v>4</v>
      </c>
      <c r="L28" s="13">
        <f>K28/J28</f>
        <v>0.8</v>
      </c>
      <c r="M28" s="4">
        <v>4</v>
      </c>
      <c r="N28" s="2">
        <v>5</v>
      </c>
      <c r="O28" s="2">
        <v>4</v>
      </c>
      <c r="P28" s="13">
        <f>O28/N28</f>
        <v>0.8</v>
      </c>
      <c r="Q28" s="4">
        <v>4</v>
      </c>
      <c r="R28" s="2">
        <v>5</v>
      </c>
      <c r="S28" s="2">
        <v>4</v>
      </c>
      <c r="T28" s="13">
        <f>S28/R28</f>
        <v>0.8</v>
      </c>
      <c r="U28" s="4">
        <v>4</v>
      </c>
      <c r="V28">
        <f>F28+J28+N28+R28+B28</f>
        <v>25</v>
      </c>
    </row>
    <row r="30" spans="1:22">
      <c r="A30" s="8" t="s">
        <v>40</v>
      </c>
      <c r="B30" s="12">
        <v>5041</v>
      </c>
      <c r="C30" s="12">
        <v>4896</v>
      </c>
      <c r="D30" s="13">
        <f>C30/B30</f>
        <v>0.97123586589962307</v>
      </c>
      <c r="E30" s="14">
        <v>4.4832374528863301</v>
      </c>
      <c r="F30" s="9">
        <v>5041</v>
      </c>
      <c r="G30" s="9">
        <v>4799</v>
      </c>
      <c r="H30" s="22">
        <f>G30/F30</f>
        <v>0.95199365205316411</v>
      </c>
      <c r="I30" s="14">
        <v>4.3219599285856001</v>
      </c>
      <c r="J30" s="9">
        <v>5041</v>
      </c>
      <c r="K30" s="9">
        <v>4940</v>
      </c>
      <c r="L30" s="22">
        <f>K30/J30</f>
        <v>0.97996429279904784</v>
      </c>
      <c r="M30" s="11">
        <v>4.5298551874628101</v>
      </c>
      <c r="N30" s="9">
        <v>5041</v>
      </c>
      <c r="O30" s="9">
        <v>4925</v>
      </c>
      <c r="P30" s="22">
        <f>O30/N30</f>
        <v>0.97698869271969846</v>
      </c>
      <c r="Q30" s="11">
        <v>4.49414798651061</v>
      </c>
      <c r="R30" s="9">
        <v>5041</v>
      </c>
      <c r="S30" s="9">
        <v>4882</v>
      </c>
      <c r="T30" s="22">
        <f>S30/R30</f>
        <v>0.96845863915889707</v>
      </c>
      <c r="U30" s="11">
        <v>4.3975401706010704</v>
      </c>
      <c r="V30">
        <f>F30+J30+N30+R30+B30</f>
        <v>25205</v>
      </c>
    </row>
  </sheetData>
  <sortState xmlns:xlrd2="http://schemas.microsoft.com/office/spreadsheetml/2017/richdata2" ref="A3:V29">
    <sortCondition ref="A3:A29"/>
  </sortState>
  <mergeCells count="6">
    <mergeCell ref="A1:A2"/>
    <mergeCell ref="B1:E1"/>
    <mergeCell ref="F1:I1"/>
    <mergeCell ref="J1:M1"/>
    <mergeCell ref="N1:Q1"/>
    <mergeCell ref="R1:U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Z14"/>
  <sheetViews>
    <sheetView workbookViewId="0">
      <pane xSplit="1" ySplit="2" topLeftCell="B3" activePane="bottomRight" state="frozen"/>
      <selection pane="topRight"/>
      <selection pane="bottomLeft"/>
      <selection pane="bottomRight" activeCell="H25" sqref="H25"/>
    </sheetView>
  </sheetViews>
  <sheetFormatPr baseColWidth="10" defaultColWidth="9" defaultRowHeight="15"/>
  <sheetData>
    <row r="1" spans="1:26">
      <c r="A1" s="19" t="s">
        <v>41</v>
      </c>
      <c r="B1" s="17" t="s">
        <v>42</v>
      </c>
      <c r="C1" s="17"/>
      <c r="D1" s="17"/>
      <c r="E1" s="17"/>
      <c r="F1" s="17" t="s">
        <v>2</v>
      </c>
      <c r="G1" s="17"/>
      <c r="H1" s="17"/>
      <c r="I1" s="17"/>
      <c r="J1" s="17" t="s">
        <v>3</v>
      </c>
      <c r="K1" s="17"/>
      <c r="L1" s="17"/>
      <c r="M1" s="17"/>
      <c r="N1" s="17" t="s">
        <v>4</v>
      </c>
      <c r="O1" s="17"/>
      <c r="P1" s="17"/>
      <c r="Q1" s="17"/>
      <c r="R1" s="17" t="s">
        <v>5</v>
      </c>
      <c r="S1" s="17"/>
      <c r="T1" s="17"/>
      <c r="U1" s="17"/>
      <c r="V1" s="17" t="s">
        <v>6</v>
      </c>
      <c r="W1" s="17"/>
      <c r="X1" s="17"/>
      <c r="Y1" s="17"/>
      <c r="Z1" t="s">
        <v>7</v>
      </c>
    </row>
    <row r="2" spans="1:26">
      <c r="A2" s="19"/>
      <c r="B2" t="s">
        <v>7</v>
      </c>
      <c r="C2" t="s">
        <v>12</v>
      </c>
      <c r="D2" t="s">
        <v>13</v>
      </c>
      <c r="E2" t="s">
        <v>14</v>
      </c>
      <c r="F2" t="s">
        <v>7</v>
      </c>
      <c r="G2" t="s">
        <v>12</v>
      </c>
      <c r="H2" t="s">
        <v>13</v>
      </c>
      <c r="I2" t="s">
        <v>14</v>
      </c>
      <c r="J2" t="s">
        <v>7</v>
      </c>
      <c r="K2" t="s">
        <v>12</v>
      </c>
      <c r="L2" t="s">
        <v>13</v>
      </c>
      <c r="M2" t="s">
        <v>14</v>
      </c>
      <c r="N2" t="s">
        <v>7</v>
      </c>
      <c r="O2" t="s">
        <v>12</v>
      </c>
      <c r="P2" t="s">
        <v>13</v>
      </c>
      <c r="Q2" t="s">
        <v>14</v>
      </c>
      <c r="R2" t="s">
        <v>7</v>
      </c>
      <c r="S2" t="s">
        <v>12</v>
      </c>
      <c r="T2" t="s">
        <v>13</v>
      </c>
      <c r="U2" t="s">
        <v>14</v>
      </c>
      <c r="V2" t="s">
        <v>7</v>
      </c>
      <c r="W2" t="s">
        <v>12</v>
      </c>
      <c r="X2" t="s">
        <v>13</v>
      </c>
      <c r="Y2" t="s">
        <v>14</v>
      </c>
    </row>
    <row r="3" spans="1:26">
      <c r="A3" s="8" t="s">
        <v>55</v>
      </c>
    </row>
    <row r="4" spans="1:26">
      <c r="A4" s="8"/>
    </row>
    <row r="5" spans="1:26">
      <c r="A5" s="8"/>
    </row>
    <row r="6" spans="1:26">
      <c r="A6" s="8"/>
    </row>
    <row r="7" spans="1:26">
      <c r="A7" s="8"/>
    </row>
    <row r="8" spans="1:26">
      <c r="A8" s="8"/>
    </row>
    <row r="9" spans="1:26">
      <c r="A9" s="8"/>
    </row>
    <row r="10" spans="1:26">
      <c r="A10" s="8"/>
    </row>
    <row r="11" spans="1:26">
      <c r="A11" s="8"/>
    </row>
    <row r="12" spans="1:26">
      <c r="A12" s="8"/>
    </row>
    <row r="13" spans="1:26">
      <c r="A13" s="8" t="s">
        <v>55</v>
      </c>
    </row>
    <row r="14" spans="1:26">
      <c r="A14" s="8" t="s">
        <v>40</v>
      </c>
    </row>
  </sheetData>
  <mergeCells count="7">
    <mergeCell ref="V1:Y1"/>
    <mergeCell ref="A1:A2"/>
    <mergeCell ref="B1:E1"/>
    <mergeCell ref="F1:I1"/>
    <mergeCell ref="J1:M1"/>
    <mergeCell ref="N1:Q1"/>
    <mergeCell ref="R1:U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V5"/>
  <sheetViews>
    <sheetView workbookViewId="0">
      <pane xSplit="1" ySplit="1" topLeftCell="B2" activePane="bottomRight" state="frozen"/>
      <selection pane="topRight"/>
      <selection pane="bottomLeft"/>
      <selection pane="bottomRight" activeCell="H14" sqref="H14"/>
    </sheetView>
  </sheetViews>
  <sheetFormatPr baseColWidth="10" defaultColWidth="9" defaultRowHeight="15"/>
  <sheetData>
    <row r="1" spans="1:22">
      <c r="A1" s="18" t="s">
        <v>0</v>
      </c>
      <c r="B1" s="17" t="s">
        <v>2</v>
      </c>
      <c r="C1" s="17"/>
      <c r="D1" s="17"/>
      <c r="E1" s="17"/>
      <c r="F1" s="17" t="s">
        <v>3</v>
      </c>
      <c r="G1" s="17"/>
      <c r="H1" s="17"/>
      <c r="I1" s="17"/>
      <c r="J1" s="17" t="s">
        <v>4</v>
      </c>
      <c r="K1" s="17"/>
      <c r="L1" s="17"/>
      <c r="M1" s="17"/>
      <c r="N1" s="17" t="s">
        <v>5</v>
      </c>
      <c r="O1" s="17"/>
      <c r="P1" s="17"/>
      <c r="Q1" s="17"/>
      <c r="R1" s="17" t="s">
        <v>6</v>
      </c>
      <c r="S1" s="17"/>
      <c r="T1" s="17"/>
      <c r="U1" s="17"/>
      <c r="V1" t="s">
        <v>7</v>
      </c>
    </row>
    <row r="2" spans="1:22">
      <c r="A2" s="18"/>
      <c r="B2" t="s">
        <v>7</v>
      </c>
      <c r="C2" t="s">
        <v>12</v>
      </c>
      <c r="D2" t="s">
        <v>13</v>
      </c>
      <c r="E2" t="s">
        <v>14</v>
      </c>
      <c r="F2" t="s">
        <v>7</v>
      </c>
      <c r="G2" t="s">
        <v>12</v>
      </c>
      <c r="H2" t="s">
        <v>13</v>
      </c>
      <c r="I2" t="s">
        <v>14</v>
      </c>
      <c r="J2" t="s">
        <v>7</v>
      </c>
      <c r="K2" t="s">
        <v>12</v>
      </c>
      <c r="L2" t="s">
        <v>13</v>
      </c>
      <c r="M2" t="s">
        <v>14</v>
      </c>
      <c r="N2" t="s">
        <v>7</v>
      </c>
      <c r="O2" t="s">
        <v>12</v>
      </c>
      <c r="P2" t="s">
        <v>13</v>
      </c>
      <c r="Q2" t="s">
        <v>14</v>
      </c>
      <c r="R2" t="s">
        <v>7</v>
      </c>
      <c r="S2" t="s">
        <v>12</v>
      </c>
      <c r="T2" t="s">
        <v>13</v>
      </c>
      <c r="U2" t="s">
        <v>14</v>
      </c>
    </row>
    <row r="3" spans="1:22">
      <c r="A3" s="5" t="s">
        <v>44</v>
      </c>
      <c r="B3" s="5">
        <v>2032</v>
      </c>
      <c r="C3" s="5">
        <v>1969</v>
      </c>
      <c r="D3" s="6">
        <v>0.96899606299212604</v>
      </c>
      <c r="E3" s="7">
        <v>4.4783464566929103</v>
      </c>
      <c r="F3" s="5">
        <v>2032</v>
      </c>
      <c r="G3" s="5">
        <v>1935</v>
      </c>
      <c r="H3" s="6">
        <v>0.95226377952755903</v>
      </c>
      <c r="I3" s="7">
        <v>4.3366141732283499</v>
      </c>
      <c r="J3" s="5">
        <v>2032</v>
      </c>
      <c r="K3" s="5">
        <v>1986</v>
      </c>
      <c r="L3" s="6">
        <v>0.97736220472441004</v>
      </c>
      <c r="M3" s="7">
        <v>4.5329724409448797</v>
      </c>
      <c r="N3" s="5">
        <v>2032</v>
      </c>
      <c r="O3" s="5">
        <v>1982</v>
      </c>
      <c r="P3" s="6">
        <v>0.97539370078740195</v>
      </c>
      <c r="Q3" s="7">
        <v>4.4990157480314998</v>
      </c>
      <c r="R3" s="5">
        <v>2032</v>
      </c>
      <c r="S3" s="5">
        <v>1961</v>
      </c>
      <c r="T3" s="6">
        <v>0.96505905511810997</v>
      </c>
      <c r="U3" s="7">
        <v>4.4094488188976397</v>
      </c>
      <c r="V3">
        <v>10160</v>
      </c>
    </row>
    <row r="4" spans="1:22">
      <c r="A4" s="2" t="s">
        <v>43</v>
      </c>
      <c r="B4" s="2">
        <v>3009</v>
      </c>
      <c r="C4" s="2">
        <v>2927</v>
      </c>
      <c r="D4" s="3">
        <v>0.97274842140245898</v>
      </c>
      <c r="E4" s="4">
        <v>4.4865403788634097</v>
      </c>
      <c r="F4" s="2">
        <v>3009</v>
      </c>
      <c r="G4" s="2">
        <v>2864</v>
      </c>
      <c r="H4" s="3">
        <v>0.95181123296776304</v>
      </c>
      <c r="I4" s="4">
        <v>4.3120638085742797</v>
      </c>
      <c r="J4" s="2">
        <v>3009</v>
      </c>
      <c r="K4" s="2">
        <v>2954</v>
      </c>
      <c r="L4" s="3">
        <v>0.98172150216018605</v>
      </c>
      <c r="M4" s="4">
        <v>4.5277500830840802</v>
      </c>
      <c r="N4" s="2">
        <v>3009</v>
      </c>
      <c r="O4" s="2">
        <v>2943</v>
      </c>
      <c r="P4" s="3">
        <v>0.97806580259222298</v>
      </c>
      <c r="Q4" s="4">
        <v>4.4908607510800902</v>
      </c>
      <c r="R4" s="2">
        <v>3009</v>
      </c>
      <c r="S4" s="2">
        <v>2921</v>
      </c>
      <c r="T4" s="3">
        <v>0.97075440345629804</v>
      </c>
      <c r="U4" s="4">
        <v>4.38949817215022</v>
      </c>
      <c r="V4">
        <v>15045</v>
      </c>
    </row>
    <row r="5" spans="1:22">
      <c r="A5" s="8" t="s">
        <v>40</v>
      </c>
      <c r="B5" s="12">
        <v>5041</v>
      </c>
      <c r="C5" s="12">
        <v>4896</v>
      </c>
      <c r="D5" s="10">
        <v>0.97123586589962296</v>
      </c>
      <c r="E5" s="11">
        <v>4.4832374528863301</v>
      </c>
      <c r="F5" s="9">
        <v>5041</v>
      </c>
      <c r="G5" s="9">
        <v>4799</v>
      </c>
      <c r="H5" s="10">
        <v>0.951993652053164</v>
      </c>
      <c r="I5" s="11">
        <v>4.3219599285856001</v>
      </c>
      <c r="J5" s="9">
        <v>5041</v>
      </c>
      <c r="K5" s="9">
        <v>4940</v>
      </c>
      <c r="L5" s="10">
        <v>0.97996429279904795</v>
      </c>
      <c r="M5" s="11">
        <v>4.5298551874628101</v>
      </c>
      <c r="N5" s="9">
        <v>5041</v>
      </c>
      <c r="O5" s="9">
        <v>4925</v>
      </c>
      <c r="P5" s="10">
        <v>0.97698869271969901</v>
      </c>
      <c r="Q5" s="11">
        <v>4.49414798651061</v>
      </c>
      <c r="R5" s="9">
        <v>5041</v>
      </c>
      <c r="S5" s="9">
        <v>4882</v>
      </c>
      <c r="T5" s="10">
        <v>0.96845863915889696</v>
      </c>
      <c r="U5" s="11">
        <v>4.3975401706010704</v>
      </c>
      <c r="V5">
        <v>25205</v>
      </c>
    </row>
  </sheetData>
  <mergeCells count="6">
    <mergeCell ref="A1:A2"/>
    <mergeCell ref="B1:E1"/>
    <mergeCell ref="F1:I1"/>
    <mergeCell ref="J1:M1"/>
    <mergeCell ref="N1:Q1"/>
    <mergeCell ref="R1:U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V7"/>
  <sheetViews>
    <sheetView workbookViewId="0">
      <pane xSplit="1" ySplit="1" topLeftCell="B2" activePane="bottomRight" state="frozen"/>
      <selection pane="topRight"/>
      <selection pane="bottomLeft"/>
      <selection pane="bottomRight" activeCell="B7" sqref="B7:V7"/>
    </sheetView>
  </sheetViews>
  <sheetFormatPr baseColWidth="10" defaultColWidth="9" defaultRowHeight="15"/>
  <sheetData>
    <row r="1" spans="1:22">
      <c r="A1" s="18" t="s">
        <v>45</v>
      </c>
      <c r="B1" s="17" t="s">
        <v>2</v>
      </c>
      <c r="C1" s="17"/>
      <c r="D1" s="17"/>
      <c r="E1" s="17"/>
      <c r="F1" s="17" t="s">
        <v>3</v>
      </c>
      <c r="G1" s="17"/>
      <c r="H1" s="17"/>
      <c r="I1" s="17"/>
      <c r="J1" s="17" t="s">
        <v>4</v>
      </c>
      <c r="K1" s="17"/>
      <c r="L1" s="17"/>
      <c r="M1" s="17"/>
      <c r="N1" s="17" t="s">
        <v>5</v>
      </c>
      <c r="O1" s="17"/>
      <c r="P1" s="17"/>
      <c r="Q1" s="17"/>
      <c r="R1" s="17" t="s">
        <v>6</v>
      </c>
      <c r="S1" s="17"/>
      <c r="T1" s="17"/>
      <c r="U1" s="17"/>
      <c r="V1" t="s">
        <v>7</v>
      </c>
    </row>
    <row r="2" spans="1:22">
      <c r="A2" s="18"/>
      <c r="B2" t="s">
        <v>7</v>
      </c>
      <c r="C2" t="s">
        <v>12</v>
      </c>
      <c r="D2" t="s">
        <v>13</v>
      </c>
      <c r="E2" t="s">
        <v>14</v>
      </c>
      <c r="F2" t="s">
        <v>7</v>
      </c>
      <c r="G2" t="s">
        <v>12</v>
      </c>
      <c r="H2" t="s">
        <v>13</v>
      </c>
      <c r="I2" t="s">
        <v>14</v>
      </c>
      <c r="J2" t="s">
        <v>7</v>
      </c>
      <c r="K2" t="s">
        <v>12</v>
      </c>
      <c r="L2" t="s">
        <v>13</v>
      </c>
      <c r="M2" t="s">
        <v>14</v>
      </c>
      <c r="N2" t="s">
        <v>7</v>
      </c>
      <c r="O2" t="s">
        <v>12</v>
      </c>
      <c r="P2" t="s">
        <v>13</v>
      </c>
      <c r="Q2" t="s">
        <v>14</v>
      </c>
      <c r="R2" t="s">
        <v>7</v>
      </c>
      <c r="S2" t="s">
        <v>12</v>
      </c>
      <c r="T2" t="s">
        <v>13</v>
      </c>
      <c r="U2" t="s">
        <v>14</v>
      </c>
    </row>
    <row r="3" spans="1:22">
      <c r="A3" s="1" t="s">
        <v>46</v>
      </c>
      <c r="B3" s="2">
        <v>444</v>
      </c>
      <c r="C3" s="2">
        <v>411</v>
      </c>
      <c r="D3" s="3">
        <v>0.92567567567567599</v>
      </c>
      <c r="E3" s="4">
        <v>4.2995495495495497</v>
      </c>
      <c r="F3" s="2">
        <v>444</v>
      </c>
      <c r="G3" s="2">
        <v>384</v>
      </c>
      <c r="H3" s="3">
        <v>0.86486486486486502</v>
      </c>
      <c r="I3" s="4">
        <v>3.9504504504504498</v>
      </c>
      <c r="J3" s="2">
        <v>444</v>
      </c>
      <c r="K3" s="2">
        <v>426</v>
      </c>
      <c r="L3" s="3">
        <v>0.95945945945945899</v>
      </c>
      <c r="M3" s="4">
        <v>4.5518018018018003</v>
      </c>
      <c r="N3" s="2">
        <v>444</v>
      </c>
      <c r="O3" s="2">
        <v>425</v>
      </c>
      <c r="P3" s="3">
        <v>0.95720720720720698</v>
      </c>
      <c r="Q3" s="4">
        <v>4.4977477477477503</v>
      </c>
      <c r="R3" s="2">
        <v>444</v>
      </c>
      <c r="S3" s="2">
        <v>410</v>
      </c>
      <c r="T3" s="3">
        <v>0.92342342342342298</v>
      </c>
      <c r="U3" s="4">
        <v>4.3175675675675702</v>
      </c>
      <c r="V3">
        <v>2220</v>
      </c>
    </row>
    <row r="4" spans="1:22">
      <c r="A4" s="1" t="s">
        <v>47</v>
      </c>
      <c r="B4" s="2">
        <v>1954</v>
      </c>
      <c r="C4" s="2">
        <v>1886</v>
      </c>
      <c r="D4" s="3">
        <v>0.96519959058341898</v>
      </c>
      <c r="E4" s="4">
        <v>4.4467758444217003</v>
      </c>
      <c r="F4" s="2">
        <v>1954</v>
      </c>
      <c r="G4" s="2">
        <v>1840</v>
      </c>
      <c r="H4" s="3">
        <v>0.94165813715455504</v>
      </c>
      <c r="I4" s="4">
        <v>4.2640736949846501</v>
      </c>
      <c r="J4" s="2">
        <v>1954</v>
      </c>
      <c r="K4" s="2">
        <v>1919</v>
      </c>
      <c r="L4" s="3">
        <v>0.982088024564995</v>
      </c>
      <c r="M4" s="4">
        <v>4.5962128966223101</v>
      </c>
      <c r="N4" s="2">
        <v>1954</v>
      </c>
      <c r="O4" s="2">
        <v>1902</v>
      </c>
      <c r="P4" s="3">
        <v>0.97338792221085002</v>
      </c>
      <c r="Q4" s="4">
        <v>4.5117707267144302</v>
      </c>
      <c r="R4" s="2">
        <v>1954</v>
      </c>
      <c r="S4" s="2">
        <v>1893</v>
      </c>
      <c r="T4" s="3">
        <v>0.96878198567041995</v>
      </c>
      <c r="U4" s="4">
        <v>4.4503582395086996</v>
      </c>
      <c r="V4">
        <v>9770</v>
      </c>
    </row>
    <row r="5" spans="1:22">
      <c r="A5" s="1" t="s">
        <v>48</v>
      </c>
      <c r="B5" s="2">
        <v>2397</v>
      </c>
      <c r="C5" s="2">
        <v>2360</v>
      </c>
      <c r="D5" s="3">
        <v>0.98456403838131001</v>
      </c>
      <c r="E5" s="4">
        <v>4.5452649144764301</v>
      </c>
      <c r="F5" s="2">
        <v>2397</v>
      </c>
      <c r="G5" s="2">
        <v>2342</v>
      </c>
      <c r="H5" s="3">
        <v>0.97705465164789296</v>
      </c>
      <c r="I5" s="4">
        <v>4.4372131831455999</v>
      </c>
      <c r="J5" s="2">
        <v>2397</v>
      </c>
      <c r="K5" s="2">
        <v>2357</v>
      </c>
      <c r="L5" s="3">
        <v>0.98331247392574095</v>
      </c>
      <c r="M5" s="4">
        <v>4.4810179390905303</v>
      </c>
      <c r="N5" s="2">
        <v>2397</v>
      </c>
      <c r="O5" s="2">
        <v>2360</v>
      </c>
      <c r="P5" s="3">
        <v>0.98456403838131001</v>
      </c>
      <c r="Q5" s="4">
        <v>4.4814351272423902</v>
      </c>
      <c r="R5" s="2">
        <v>2397</v>
      </c>
      <c r="S5" s="2">
        <v>2342</v>
      </c>
      <c r="T5" s="3">
        <v>0.97705465164789296</v>
      </c>
      <c r="U5" s="4">
        <v>4.3721318314559898</v>
      </c>
      <c r="V5">
        <v>11985</v>
      </c>
    </row>
    <row r="6" spans="1:22">
      <c r="A6" s="1" t="s">
        <v>49</v>
      </c>
      <c r="B6" s="5">
        <v>246</v>
      </c>
      <c r="C6" s="5">
        <v>239</v>
      </c>
      <c r="D6" s="6">
        <v>0.97154471544715504</v>
      </c>
      <c r="E6" s="7">
        <v>4.5</v>
      </c>
      <c r="F6" s="5">
        <v>246</v>
      </c>
      <c r="G6" s="5">
        <v>233</v>
      </c>
      <c r="H6" s="6">
        <v>0.94715447154471499</v>
      </c>
      <c r="I6" s="7">
        <v>4.3292682926829302</v>
      </c>
      <c r="J6" s="5">
        <v>246</v>
      </c>
      <c r="K6" s="5">
        <v>238</v>
      </c>
      <c r="L6" s="6">
        <v>0.96747967479674801</v>
      </c>
      <c r="M6" s="7">
        <v>4.4390243902439002</v>
      </c>
      <c r="N6" s="5">
        <v>246</v>
      </c>
      <c r="O6" s="5">
        <v>238</v>
      </c>
      <c r="P6" s="6">
        <v>0.96747967479674801</v>
      </c>
      <c r="Q6" s="7">
        <v>4.4715447154471502</v>
      </c>
      <c r="R6" s="5">
        <v>246</v>
      </c>
      <c r="S6" s="5">
        <v>237</v>
      </c>
      <c r="T6" s="6">
        <v>0.96341463414634099</v>
      </c>
      <c r="U6" s="7">
        <v>4.3699186991869903</v>
      </c>
      <c r="V6">
        <v>1230</v>
      </c>
    </row>
    <row r="7" spans="1:22">
      <c r="A7" s="8" t="s">
        <v>40</v>
      </c>
      <c r="B7" s="9">
        <v>5041</v>
      </c>
      <c r="C7" s="9">
        <v>4896</v>
      </c>
      <c r="D7" s="10">
        <v>0.97123586589962296</v>
      </c>
      <c r="E7" s="11">
        <v>4.4832374528863301</v>
      </c>
      <c r="F7" s="9">
        <v>5041</v>
      </c>
      <c r="G7" s="9">
        <v>4799</v>
      </c>
      <c r="H7" s="10">
        <v>0.951993652053164</v>
      </c>
      <c r="I7" s="11">
        <v>4.3219599285856001</v>
      </c>
      <c r="J7" s="9">
        <v>5041</v>
      </c>
      <c r="K7" s="9">
        <v>4940</v>
      </c>
      <c r="L7" s="10">
        <v>0.97996429279904795</v>
      </c>
      <c r="M7" s="11">
        <v>4.5298551874628101</v>
      </c>
      <c r="N7" s="9">
        <v>5041</v>
      </c>
      <c r="O7" s="9">
        <v>4925</v>
      </c>
      <c r="P7" s="10">
        <v>0.97698869271969901</v>
      </c>
      <c r="Q7" s="11">
        <v>4.49414798651061</v>
      </c>
      <c r="R7" s="9">
        <v>5041</v>
      </c>
      <c r="S7" s="9">
        <v>4882</v>
      </c>
      <c r="T7" s="10">
        <v>0.96845863915889696</v>
      </c>
      <c r="U7" s="11">
        <v>4.3975401706010704</v>
      </c>
      <c r="V7">
        <v>25205</v>
      </c>
    </row>
  </sheetData>
  <mergeCells count="6">
    <mergeCell ref="A1:A2"/>
    <mergeCell ref="B1:E1"/>
    <mergeCell ref="F1:I1"/>
    <mergeCell ref="J1:M1"/>
    <mergeCell ref="N1:Q1"/>
    <mergeCell ref="R1:U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V8"/>
  <sheetViews>
    <sheetView workbookViewId="0">
      <pane xSplit="1" ySplit="1" topLeftCell="B2" activePane="bottomRight" state="frozen"/>
      <selection pane="topRight"/>
      <selection pane="bottomLeft"/>
      <selection pane="bottomRight" activeCell="H18" sqref="H18"/>
    </sheetView>
  </sheetViews>
  <sheetFormatPr baseColWidth="10" defaultColWidth="9" defaultRowHeight="15"/>
  <cols>
    <col min="1" max="1" width="21.6640625" customWidth="1"/>
    <col min="2" max="2" width="10.6640625" customWidth="1"/>
    <col min="3" max="3" width="9.33203125" customWidth="1"/>
    <col min="4" max="4" width="9" customWidth="1"/>
    <col min="5" max="5" width="8" customWidth="1"/>
  </cols>
  <sheetData>
    <row r="1" spans="1:22">
      <c r="A1" s="18" t="s">
        <v>50</v>
      </c>
      <c r="B1" s="17" t="s">
        <v>2</v>
      </c>
      <c r="C1" s="17"/>
      <c r="D1" s="17"/>
      <c r="E1" s="17"/>
      <c r="F1" s="17" t="s">
        <v>3</v>
      </c>
      <c r="G1" s="17"/>
      <c r="H1" s="17"/>
      <c r="I1" s="17"/>
      <c r="J1" s="17" t="s">
        <v>4</v>
      </c>
      <c r="K1" s="17"/>
      <c r="L1" s="17"/>
      <c r="M1" s="17"/>
      <c r="N1" s="17" t="s">
        <v>5</v>
      </c>
      <c r="O1" s="17"/>
      <c r="P1" s="17"/>
      <c r="Q1" s="17"/>
      <c r="R1" s="17" t="s">
        <v>6</v>
      </c>
      <c r="S1" s="17"/>
      <c r="T1" s="17"/>
      <c r="U1" s="17"/>
      <c r="V1" t="s">
        <v>7</v>
      </c>
    </row>
    <row r="2" spans="1:22">
      <c r="A2" s="18"/>
      <c r="B2" t="s">
        <v>7</v>
      </c>
      <c r="C2" t="s">
        <v>12</v>
      </c>
      <c r="D2" t="s">
        <v>13</v>
      </c>
      <c r="E2" t="s">
        <v>14</v>
      </c>
      <c r="F2" t="s">
        <v>7</v>
      </c>
      <c r="G2" t="s">
        <v>12</v>
      </c>
      <c r="H2" t="s">
        <v>13</v>
      </c>
      <c r="I2" t="s">
        <v>14</v>
      </c>
      <c r="J2" t="s">
        <v>7</v>
      </c>
      <c r="K2" t="s">
        <v>12</v>
      </c>
      <c r="L2" t="s">
        <v>13</v>
      </c>
      <c r="M2" t="s">
        <v>14</v>
      </c>
      <c r="N2" t="s">
        <v>7</v>
      </c>
      <c r="O2" t="s">
        <v>12</v>
      </c>
      <c r="P2" t="s">
        <v>13</v>
      </c>
      <c r="Q2" t="s">
        <v>14</v>
      </c>
      <c r="R2" t="s">
        <v>7</v>
      </c>
      <c r="S2" t="s">
        <v>12</v>
      </c>
      <c r="T2" t="s">
        <v>13</v>
      </c>
      <c r="U2" t="s">
        <v>14</v>
      </c>
    </row>
    <row r="3" spans="1:22">
      <c r="A3" s="1" t="s">
        <v>51</v>
      </c>
      <c r="B3" s="2">
        <v>2378</v>
      </c>
      <c r="C3" s="2">
        <v>2347</v>
      </c>
      <c r="D3" s="3">
        <v>0.98696383515559305</v>
      </c>
      <c r="E3" s="4">
        <v>4.5563498738435699</v>
      </c>
      <c r="F3" s="2">
        <v>2378</v>
      </c>
      <c r="G3" s="2">
        <v>2322</v>
      </c>
      <c r="H3" s="3">
        <v>0.97645079899074905</v>
      </c>
      <c r="I3" s="4">
        <v>4.4373423044575304</v>
      </c>
      <c r="J3" s="2">
        <v>2378</v>
      </c>
      <c r="K3" s="2">
        <v>2340</v>
      </c>
      <c r="L3" s="3">
        <v>0.984020185029437</v>
      </c>
      <c r="M3" s="4">
        <v>4.4777123633305296</v>
      </c>
      <c r="N3" s="2">
        <v>2378</v>
      </c>
      <c r="O3" s="2">
        <v>2341</v>
      </c>
      <c r="P3" s="2">
        <v>0.98444070647602999</v>
      </c>
      <c r="Q3" s="4">
        <v>4.4798149705635</v>
      </c>
      <c r="R3" s="2">
        <v>2378</v>
      </c>
      <c r="S3" s="2">
        <v>2327</v>
      </c>
      <c r="T3" s="3">
        <v>0.978553406223718</v>
      </c>
      <c r="U3" s="4">
        <v>4.3725820016820904</v>
      </c>
      <c r="V3">
        <v>11890</v>
      </c>
    </row>
    <row r="4" spans="1:22">
      <c r="A4" s="1" t="s">
        <v>52</v>
      </c>
      <c r="B4" s="2">
        <v>2125</v>
      </c>
      <c r="C4" s="2">
        <v>2045</v>
      </c>
      <c r="D4" s="3">
        <v>0.96235294117647097</v>
      </c>
      <c r="E4" s="4">
        <v>4.4362352941176502</v>
      </c>
      <c r="F4" s="2">
        <v>2125</v>
      </c>
      <c r="G4" s="2">
        <v>1998</v>
      </c>
      <c r="H4" s="3">
        <v>0.94023529411764695</v>
      </c>
      <c r="I4" s="4">
        <v>4.2555294117647096</v>
      </c>
      <c r="J4" s="2">
        <v>2125</v>
      </c>
      <c r="K4" s="2">
        <v>2090</v>
      </c>
      <c r="L4" s="3">
        <v>0.98352941176470599</v>
      </c>
      <c r="M4" s="4">
        <v>4.6141176470588201</v>
      </c>
      <c r="N4" s="2">
        <v>2125</v>
      </c>
      <c r="O4" s="2">
        <v>2072</v>
      </c>
      <c r="P4" s="2">
        <v>0.97505882352941198</v>
      </c>
      <c r="Q4" s="4">
        <v>4.5214117647058796</v>
      </c>
      <c r="R4" s="2">
        <v>2125</v>
      </c>
      <c r="S4" s="2">
        <v>2059</v>
      </c>
      <c r="T4" s="3">
        <v>0.96894117647058797</v>
      </c>
      <c r="U4" s="4">
        <v>4.4597647058823497</v>
      </c>
      <c r="V4">
        <v>10625</v>
      </c>
    </row>
    <row r="5" spans="1:22">
      <c r="A5" s="1" t="s">
        <v>53</v>
      </c>
      <c r="B5" s="2">
        <v>339</v>
      </c>
      <c r="C5" s="2">
        <v>312</v>
      </c>
      <c r="D5" s="3">
        <v>0.92035398230088505</v>
      </c>
      <c r="E5" s="4">
        <v>4.2772861356932204</v>
      </c>
      <c r="F5" s="2">
        <v>339</v>
      </c>
      <c r="G5" s="2">
        <v>291</v>
      </c>
      <c r="H5" s="3">
        <v>0.85840707964601803</v>
      </c>
      <c r="I5" s="4">
        <v>3.9233038348082601</v>
      </c>
      <c r="J5" s="2">
        <v>339</v>
      </c>
      <c r="K5" s="2">
        <v>323</v>
      </c>
      <c r="L5" s="3">
        <v>0.95280235988200601</v>
      </c>
      <c r="M5" s="4">
        <v>4.4955752212389397</v>
      </c>
      <c r="N5" s="2">
        <v>339</v>
      </c>
      <c r="O5" s="2">
        <v>323</v>
      </c>
      <c r="P5" s="2">
        <v>0.95280235988200601</v>
      </c>
      <c r="Q5" s="4">
        <v>4.4719764011799397</v>
      </c>
      <c r="R5" s="2">
        <v>339</v>
      </c>
      <c r="S5" s="2">
        <v>309</v>
      </c>
      <c r="T5" s="3">
        <v>0.91150442477876104</v>
      </c>
      <c r="U5" s="4">
        <v>4.2359882005899703</v>
      </c>
      <c r="V5">
        <v>1695</v>
      </c>
    </row>
    <row r="6" spans="1:22">
      <c r="A6" s="1" t="s">
        <v>54</v>
      </c>
      <c r="B6" s="5">
        <v>199</v>
      </c>
      <c r="C6" s="5">
        <v>192</v>
      </c>
      <c r="D6" s="6">
        <v>0.96482412060301503</v>
      </c>
      <c r="E6" s="7">
        <v>4.4623115577889401</v>
      </c>
      <c r="F6" s="5">
        <v>199</v>
      </c>
      <c r="G6" s="5">
        <v>188</v>
      </c>
      <c r="H6" s="6">
        <v>0.94472361809045202</v>
      </c>
      <c r="I6" s="7">
        <v>4.3316582914572903</v>
      </c>
      <c r="J6" s="5">
        <v>199</v>
      </c>
      <c r="K6" s="5">
        <v>187</v>
      </c>
      <c r="L6" s="6">
        <v>0.93969849246231196</v>
      </c>
      <c r="M6" s="7">
        <v>4.3115577889447199</v>
      </c>
      <c r="N6" s="5">
        <v>199</v>
      </c>
      <c r="O6" s="5">
        <v>189</v>
      </c>
      <c r="P6" s="5">
        <v>0.94974874371859297</v>
      </c>
      <c r="Q6" s="7">
        <v>4.4120603015075401</v>
      </c>
      <c r="R6" s="5">
        <v>199</v>
      </c>
      <c r="S6" s="5">
        <v>187</v>
      </c>
      <c r="T6" s="6">
        <v>0.93969849246231196</v>
      </c>
      <c r="U6" s="7">
        <v>4.3065326633165801</v>
      </c>
      <c r="V6">
        <v>995</v>
      </c>
    </row>
    <row r="7" spans="1:22">
      <c r="A7" s="30"/>
      <c r="B7" s="21"/>
      <c r="C7" s="21"/>
      <c r="D7" s="31"/>
      <c r="E7" s="23"/>
      <c r="F7" s="21"/>
      <c r="G7" s="21"/>
      <c r="H7" s="31"/>
      <c r="I7" s="23"/>
      <c r="J7" s="21"/>
      <c r="K7" s="21"/>
      <c r="L7" s="31"/>
      <c r="M7" s="23"/>
      <c r="N7" s="21"/>
      <c r="O7" s="21"/>
      <c r="P7" s="21"/>
      <c r="Q7" s="23"/>
      <c r="R7" s="21"/>
      <c r="S7" s="21"/>
      <c r="T7" s="31"/>
      <c r="U7" s="23"/>
    </row>
    <row r="8" spans="1:22">
      <c r="A8" s="8" t="s">
        <v>40</v>
      </c>
      <c r="B8" s="9">
        <v>5041</v>
      </c>
      <c r="C8" s="9">
        <v>4896</v>
      </c>
      <c r="D8" s="10">
        <v>0.97123586589962296</v>
      </c>
      <c r="E8" s="11">
        <v>4.4832374528863301</v>
      </c>
      <c r="F8" s="9">
        <v>5041</v>
      </c>
      <c r="G8" s="9">
        <v>4799</v>
      </c>
      <c r="H8" s="10">
        <v>0.951993652053164</v>
      </c>
      <c r="I8" s="11">
        <v>4.3219599285856001</v>
      </c>
      <c r="J8" s="9">
        <v>5041</v>
      </c>
      <c r="K8" s="9">
        <v>4940</v>
      </c>
      <c r="L8" s="10">
        <v>0.97996429279904795</v>
      </c>
      <c r="M8" s="11">
        <v>4.5298551874628101</v>
      </c>
      <c r="N8" s="9">
        <v>5041</v>
      </c>
      <c r="O8" s="9">
        <v>4925</v>
      </c>
      <c r="P8" s="10">
        <v>0.97698869271969901</v>
      </c>
      <c r="Q8" s="11">
        <v>4.49414798651061</v>
      </c>
      <c r="R8" s="9">
        <v>5041</v>
      </c>
      <c r="S8" s="9">
        <v>4882</v>
      </c>
      <c r="T8" s="10">
        <v>0.96845863915889696</v>
      </c>
      <c r="U8" s="11">
        <v>4.3975401706010704</v>
      </c>
      <c r="V8">
        <v>25205</v>
      </c>
    </row>
  </sheetData>
  <mergeCells count="6">
    <mergeCell ref="A1:A2"/>
    <mergeCell ref="B1:E1"/>
    <mergeCell ref="F1:I1"/>
    <mergeCell ref="J1:M1"/>
    <mergeCell ref="N1:Q1"/>
    <mergeCell ref="R1:U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"/>
  <sheetViews>
    <sheetView workbookViewId="0">
      <selection activeCell="G27" sqref="G27"/>
    </sheetView>
  </sheetViews>
  <sheetFormatPr baseColWidth="10" defaultColWidth="9" defaultRowHeight="15"/>
  <sheetData/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6BA974-7826-4FBA-AD21-1A2A09E98C3F}"/>
</file>

<file path=customXml/itemProps2.xml><?xml version="1.0" encoding="utf-8"?>
<ds:datastoreItem xmlns:ds="http://schemas.openxmlformats.org/officeDocument/2006/customXml" ds:itemID="{6E97DDB0-A321-412A-A90D-C67A25FE0F5F}"/>
</file>

<file path=customXml/itemProps3.xml><?xml version="1.0" encoding="utf-8"?>
<ds:datastoreItem xmlns:ds="http://schemas.openxmlformats.org/officeDocument/2006/customXml" ds:itemID="{D4432416-77DC-40F3-BDDE-AF96BF3E1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总体</vt:lpstr>
      <vt:lpstr>省份</vt:lpstr>
      <vt:lpstr>地区</vt:lpstr>
      <vt:lpstr>性别</vt:lpstr>
      <vt:lpstr>年龄</vt:lpstr>
      <vt:lpstr>身份</vt:lpstr>
      <vt:lpstr>统计检验汇总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arlie k</cp:lastModifiedBy>
  <dcterms:created xsi:type="dcterms:W3CDTF">2025-10-20T01:40:00Z</dcterms:created>
  <dcterms:modified xsi:type="dcterms:W3CDTF">2026-02-06T07:29:59Z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C9094A441C4048E3B2566B17AD806858_13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
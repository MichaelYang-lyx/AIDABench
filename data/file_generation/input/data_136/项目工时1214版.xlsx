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136/"/>
    </mc:Choice>
  </mc:AlternateContent>
  <xr:revisionPtr revIDLastSave="0" documentId="13_ncr:1_{37A5082A-E5B4-3B46-B896-855AB00AB1F6}" xr6:coauthVersionLast="47" xr6:coauthVersionMax="47" xr10:uidLastSave="{00000000-0000-0000-0000-000000000000}"/>
  <bookViews>
    <workbookView xWindow="29400" yWindow="500" windowWidth="38400" windowHeight="21100" xr2:uid="{BE2C9EDF-33B9-437B-899D-D83024800838}"/>
  </bookViews>
  <sheets>
    <sheet name="项目25年人力成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1" i="1" l="1"/>
  <c r="E222" i="1"/>
  <c r="E223" i="1"/>
  <c r="E224" i="1"/>
  <c r="E225" i="1"/>
  <c r="E226" i="1"/>
  <c r="E227" i="1"/>
  <c r="E228" i="1"/>
  <c r="E229" i="1"/>
  <c r="E230" i="1"/>
  <c r="E231" i="1"/>
  <c r="E232" i="1"/>
  <c r="E202" i="1"/>
  <c r="E203" i="1"/>
  <c r="E204" i="1"/>
  <c r="E205" i="1"/>
  <c r="E206" i="1"/>
  <c r="E207" i="1"/>
  <c r="E208" i="1"/>
  <c r="E20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48" i="1"/>
  <c r="E47" i="1"/>
  <c r="E46" i="1"/>
  <c r="E45" i="1"/>
  <c r="E44" i="1"/>
  <c r="E43" i="1"/>
  <c r="E25" i="1"/>
  <c r="E6" i="1"/>
  <c r="E8" i="1"/>
  <c r="E9" i="1"/>
  <c r="E10" i="1"/>
  <c r="E11" i="1"/>
  <c r="E287" i="1" s="1"/>
  <c r="E305" i="1" s="1"/>
  <c r="E12" i="1"/>
  <c r="E327" i="1" s="1"/>
  <c r="E342" i="1" s="1"/>
  <c r="E13" i="1"/>
  <c r="E14" i="1"/>
  <c r="E15" i="1"/>
  <c r="E16" i="1"/>
  <c r="E17" i="1"/>
  <c r="E18" i="1"/>
  <c r="E19" i="1"/>
  <c r="E295" i="1" s="1"/>
  <c r="E313" i="1" s="1"/>
  <c r="E20" i="1"/>
  <c r="E21" i="1"/>
  <c r="E22" i="1"/>
  <c r="E23" i="1"/>
  <c r="E24" i="1"/>
  <c r="E31" i="1"/>
  <c r="E32" i="1"/>
  <c r="E33" i="1"/>
  <c r="E34" i="1"/>
  <c r="E35" i="1"/>
  <c r="E36" i="1"/>
  <c r="E37" i="1"/>
  <c r="E38" i="1"/>
  <c r="E39" i="1"/>
  <c r="E40" i="1"/>
  <c r="E41" i="1"/>
  <c r="E333" i="1" s="1"/>
  <c r="E348" i="1" s="1"/>
  <c r="E42" i="1"/>
  <c r="E54" i="1"/>
  <c r="E55" i="1"/>
  <c r="E56" i="1"/>
  <c r="E57" i="1"/>
  <c r="E58" i="1"/>
  <c r="E59" i="1"/>
  <c r="E60" i="1"/>
  <c r="E61" i="1"/>
  <c r="E62" i="1"/>
  <c r="E63" i="1"/>
  <c r="E64" i="1"/>
  <c r="E65" i="1"/>
  <c r="E77" i="1"/>
  <c r="E323" i="1" s="1"/>
  <c r="E338" i="1" s="1"/>
  <c r="E78" i="1"/>
  <c r="E79" i="1"/>
  <c r="E80" i="1"/>
  <c r="E81" i="1"/>
  <c r="E82" i="1"/>
  <c r="E83" i="1"/>
  <c r="E84" i="1"/>
  <c r="E85" i="1"/>
  <c r="E86" i="1"/>
  <c r="E87" i="1"/>
  <c r="E88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22" i="1"/>
  <c r="E123" i="1"/>
  <c r="E124" i="1"/>
  <c r="E125" i="1"/>
  <c r="E126" i="1"/>
  <c r="E127" i="1"/>
  <c r="E128" i="1"/>
  <c r="E129" i="1"/>
  <c r="E290" i="1" s="1"/>
  <c r="E308" i="1" s="1"/>
  <c r="E130" i="1"/>
  <c r="E131" i="1"/>
  <c r="E132" i="1"/>
  <c r="E133" i="1"/>
  <c r="E13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68" i="1"/>
  <c r="E169" i="1"/>
  <c r="E191" i="1"/>
  <c r="E192" i="1"/>
  <c r="E193" i="1"/>
  <c r="E194" i="1"/>
  <c r="E195" i="1"/>
  <c r="E196" i="1"/>
  <c r="E197" i="1"/>
  <c r="E198" i="1"/>
  <c r="E199" i="1"/>
  <c r="E200" i="1"/>
  <c r="E201" i="1"/>
  <c r="E214" i="1"/>
  <c r="E215" i="1"/>
  <c r="E216" i="1"/>
  <c r="E217" i="1"/>
  <c r="E218" i="1"/>
  <c r="E219" i="1"/>
  <c r="E220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83" i="1"/>
  <c r="F284" i="1"/>
  <c r="G284" i="1"/>
  <c r="H284" i="1"/>
  <c r="I284" i="1"/>
  <c r="J284" i="1"/>
  <c r="K284" i="1"/>
  <c r="L284" i="1"/>
  <c r="M284" i="1"/>
  <c r="N284" i="1"/>
  <c r="N302" i="1" s="1"/>
  <c r="O284" i="1"/>
  <c r="O302" i="1" s="1"/>
  <c r="P284" i="1"/>
  <c r="P302" i="1" s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E285" i="1"/>
  <c r="E303" i="1" s="1"/>
  <c r="F285" i="1"/>
  <c r="F303" i="1" s="1"/>
  <c r="G285" i="1"/>
  <c r="G303" i="1" s="1"/>
  <c r="H285" i="1"/>
  <c r="H303" i="1" s="1"/>
  <c r="I285" i="1"/>
  <c r="J285" i="1"/>
  <c r="K285" i="1"/>
  <c r="L285" i="1"/>
  <c r="M285" i="1"/>
  <c r="M303" i="1" s="1"/>
  <c r="M5" i="1" s="1"/>
  <c r="M7" i="1" s="1"/>
  <c r="N285" i="1"/>
  <c r="O285" i="1"/>
  <c r="P285" i="1"/>
  <c r="Q285" i="1"/>
  <c r="R285" i="1"/>
  <c r="S285" i="1"/>
  <c r="T285" i="1"/>
  <c r="U285" i="1"/>
  <c r="U303" i="1" s="1"/>
  <c r="V285" i="1"/>
  <c r="V303" i="1" s="1"/>
  <c r="W285" i="1"/>
  <c r="W303" i="1" s="1"/>
  <c r="X285" i="1"/>
  <c r="X303" i="1" s="1"/>
  <c r="Y285" i="1"/>
  <c r="Z285" i="1"/>
  <c r="AA285" i="1"/>
  <c r="AB285" i="1"/>
  <c r="AC285" i="1"/>
  <c r="AD285" i="1"/>
  <c r="AE285" i="1"/>
  <c r="F286" i="1"/>
  <c r="G286" i="1"/>
  <c r="H286" i="1"/>
  <c r="H352" i="1" s="1"/>
  <c r="I286" i="1"/>
  <c r="I304" i="1" s="1"/>
  <c r="J286" i="1"/>
  <c r="J304" i="1" s="1"/>
  <c r="K286" i="1"/>
  <c r="K304" i="1" s="1"/>
  <c r="L286" i="1"/>
  <c r="L304" i="1" s="1"/>
  <c r="M286" i="1"/>
  <c r="M304" i="1" s="1"/>
  <c r="N286" i="1"/>
  <c r="O286" i="1"/>
  <c r="P286" i="1"/>
  <c r="Q286" i="1"/>
  <c r="R286" i="1"/>
  <c r="S286" i="1"/>
  <c r="T286" i="1"/>
  <c r="U286" i="1"/>
  <c r="V286" i="1"/>
  <c r="W286" i="1"/>
  <c r="X286" i="1"/>
  <c r="X304" i="1" s="1"/>
  <c r="Y286" i="1"/>
  <c r="Y304" i="1" s="1"/>
  <c r="Y354" i="1" s="1"/>
  <c r="Z286" i="1"/>
  <c r="Z304" i="1" s="1"/>
  <c r="AA286" i="1"/>
  <c r="AA304" i="1" s="1"/>
  <c r="AB286" i="1"/>
  <c r="AB304" i="1" s="1"/>
  <c r="AC286" i="1"/>
  <c r="AC304" i="1" s="1"/>
  <c r="AD286" i="1"/>
  <c r="AE286" i="1"/>
  <c r="F287" i="1"/>
  <c r="G287" i="1"/>
  <c r="H287" i="1"/>
  <c r="I287" i="1"/>
  <c r="J287" i="1"/>
  <c r="K287" i="1"/>
  <c r="L287" i="1"/>
  <c r="M287" i="1"/>
  <c r="M305" i="1" s="1"/>
  <c r="N287" i="1"/>
  <c r="O287" i="1"/>
  <c r="O305" i="1" s="1"/>
  <c r="P287" i="1"/>
  <c r="P305" i="1" s="1"/>
  <c r="Q287" i="1"/>
  <c r="Q305" i="1" s="1"/>
  <c r="R287" i="1"/>
  <c r="R305" i="1" s="1"/>
  <c r="S287" i="1"/>
  <c r="T287" i="1"/>
  <c r="U287" i="1"/>
  <c r="V287" i="1"/>
  <c r="W287" i="1"/>
  <c r="W305" i="1" s="1"/>
  <c r="W354" i="1" s="1"/>
  <c r="X287" i="1"/>
  <c r="Y287" i="1"/>
  <c r="Z287" i="1"/>
  <c r="AA287" i="1"/>
  <c r="AB287" i="1"/>
  <c r="AC287" i="1"/>
  <c r="AC305" i="1" s="1"/>
  <c r="AD287" i="1"/>
  <c r="AE287" i="1"/>
  <c r="AE305" i="1" s="1"/>
  <c r="E288" i="1"/>
  <c r="E306" i="1" s="1"/>
  <c r="F288" i="1"/>
  <c r="F306" i="1" s="1"/>
  <c r="G288" i="1"/>
  <c r="G306" i="1" s="1"/>
  <c r="H288" i="1"/>
  <c r="I288" i="1"/>
  <c r="J288" i="1"/>
  <c r="K288" i="1"/>
  <c r="L288" i="1"/>
  <c r="M288" i="1"/>
  <c r="N288" i="1"/>
  <c r="O288" i="1"/>
  <c r="P288" i="1"/>
  <c r="Q288" i="1"/>
  <c r="R288" i="1"/>
  <c r="R306" i="1" s="1"/>
  <c r="S288" i="1"/>
  <c r="S306" i="1" s="1"/>
  <c r="T288" i="1"/>
  <c r="T306" i="1" s="1"/>
  <c r="U288" i="1"/>
  <c r="U306" i="1" s="1"/>
  <c r="V288" i="1"/>
  <c r="V306" i="1" s="1"/>
  <c r="W288" i="1"/>
  <c r="W306" i="1" s="1"/>
  <c r="X288" i="1"/>
  <c r="Y288" i="1"/>
  <c r="Z288" i="1"/>
  <c r="AA288" i="1"/>
  <c r="AB288" i="1"/>
  <c r="AC288" i="1"/>
  <c r="AD288" i="1"/>
  <c r="AE288" i="1"/>
  <c r="F289" i="1"/>
  <c r="G289" i="1"/>
  <c r="G352" i="1" s="1"/>
  <c r="H289" i="1"/>
  <c r="H307" i="1" s="1"/>
  <c r="I289" i="1"/>
  <c r="I307" i="1" s="1"/>
  <c r="J289" i="1"/>
  <c r="J307" i="1" s="1"/>
  <c r="K289" i="1"/>
  <c r="K307" i="1" s="1"/>
  <c r="L289" i="1"/>
  <c r="L307" i="1" s="1"/>
  <c r="M289" i="1"/>
  <c r="N289" i="1"/>
  <c r="N307" i="1" s="1"/>
  <c r="O289" i="1"/>
  <c r="P289" i="1"/>
  <c r="Q289" i="1"/>
  <c r="R289" i="1"/>
  <c r="S289" i="1"/>
  <c r="T289" i="1"/>
  <c r="U289" i="1"/>
  <c r="V289" i="1"/>
  <c r="W289" i="1"/>
  <c r="W307" i="1" s="1"/>
  <c r="X289" i="1"/>
  <c r="Y289" i="1"/>
  <c r="Y307" i="1" s="1"/>
  <c r="Z289" i="1"/>
  <c r="Z307" i="1" s="1"/>
  <c r="AA289" i="1"/>
  <c r="AA307" i="1" s="1"/>
  <c r="AB289" i="1"/>
  <c r="AB307" i="1" s="1"/>
  <c r="AC289" i="1"/>
  <c r="AD289" i="1"/>
  <c r="AE289" i="1"/>
  <c r="F290" i="1"/>
  <c r="G290" i="1"/>
  <c r="H290" i="1"/>
  <c r="I290" i="1"/>
  <c r="J290" i="1"/>
  <c r="K290" i="1"/>
  <c r="L290" i="1"/>
  <c r="L308" i="1" s="1"/>
  <c r="M290" i="1"/>
  <c r="M308" i="1" s="1"/>
  <c r="N290" i="1"/>
  <c r="N308" i="1" s="1"/>
  <c r="O290" i="1"/>
  <c r="O308" i="1" s="1"/>
  <c r="P290" i="1"/>
  <c r="P308" i="1" s="1"/>
  <c r="Q290" i="1"/>
  <c r="Q308" i="1" s="1"/>
  <c r="R290" i="1"/>
  <c r="S290" i="1"/>
  <c r="T290" i="1"/>
  <c r="U290" i="1"/>
  <c r="V290" i="1"/>
  <c r="W290" i="1"/>
  <c r="X290" i="1"/>
  <c r="Y290" i="1"/>
  <c r="Z290" i="1"/>
  <c r="AA290" i="1"/>
  <c r="AB290" i="1"/>
  <c r="AB352" i="1" s="1"/>
  <c r="AC290" i="1"/>
  <c r="AC308" i="1" s="1"/>
  <c r="AD290" i="1"/>
  <c r="AD308" i="1" s="1"/>
  <c r="AE290" i="1"/>
  <c r="AE308" i="1" s="1"/>
  <c r="E291" i="1"/>
  <c r="E309" i="1" s="1"/>
  <c r="F291" i="1"/>
  <c r="F309" i="1" s="1"/>
  <c r="G291" i="1"/>
  <c r="H291" i="1"/>
  <c r="I291" i="1"/>
  <c r="J291" i="1"/>
  <c r="K291" i="1"/>
  <c r="L291" i="1"/>
  <c r="M291" i="1"/>
  <c r="N291" i="1"/>
  <c r="O291" i="1"/>
  <c r="P291" i="1"/>
  <c r="Q291" i="1"/>
  <c r="Q309" i="1" s="1"/>
  <c r="R291" i="1"/>
  <c r="R309" i="1" s="1"/>
  <c r="S291" i="1"/>
  <c r="S309" i="1" s="1"/>
  <c r="T291" i="1"/>
  <c r="T309" i="1" s="1"/>
  <c r="U291" i="1"/>
  <c r="U309" i="1" s="1"/>
  <c r="V291" i="1"/>
  <c r="V309" i="1" s="1"/>
  <c r="W291" i="1"/>
  <c r="X291" i="1"/>
  <c r="X309" i="1" s="1"/>
  <c r="Y291" i="1"/>
  <c r="Z291" i="1"/>
  <c r="AA291" i="1"/>
  <c r="AB291" i="1"/>
  <c r="AC291" i="1"/>
  <c r="AD291" i="1"/>
  <c r="AE291" i="1"/>
  <c r="F292" i="1"/>
  <c r="G292" i="1"/>
  <c r="H292" i="1"/>
  <c r="H310" i="1" s="1"/>
  <c r="I292" i="1"/>
  <c r="I310" i="1" s="1"/>
  <c r="J292" i="1"/>
  <c r="J310" i="1" s="1"/>
  <c r="K292" i="1"/>
  <c r="K310" i="1" s="1"/>
  <c r="L292" i="1"/>
  <c r="M292" i="1"/>
  <c r="N292" i="1"/>
  <c r="N310" i="1" s="1"/>
  <c r="O292" i="1"/>
  <c r="P292" i="1"/>
  <c r="Q292" i="1"/>
  <c r="R292" i="1"/>
  <c r="S292" i="1"/>
  <c r="T292" i="1"/>
  <c r="U292" i="1"/>
  <c r="V292" i="1"/>
  <c r="W292" i="1"/>
  <c r="X292" i="1"/>
  <c r="X310" i="1" s="1"/>
  <c r="Y292" i="1"/>
  <c r="Y310" i="1" s="1"/>
  <c r="Z292" i="1"/>
  <c r="Z310" i="1" s="1"/>
  <c r="AA292" i="1"/>
  <c r="AA310" i="1" s="1"/>
  <c r="AB292" i="1"/>
  <c r="AC292" i="1"/>
  <c r="AD292" i="1"/>
  <c r="AE292" i="1"/>
  <c r="F293" i="1"/>
  <c r="G293" i="1"/>
  <c r="H293" i="1"/>
  <c r="I293" i="1"/>
  <c r="J293" i="1"/>
  <c r="K293" i="1"/>
  <c r="K311" i="1" s="1"/>
  <c r="L293" i="1"/>
  <c r="L311" i="1" s="1"/>
  <c r="M293" i="1"/>
  <c r="M311" i="1" s="1"/>
  <c r="N293" i="1"/>
  <c r="N311" i="1" s="1"/>
  <c r="O293" i="1"/>
  <c r="O311" i="1" s="1"/>
  <c r="P293" i="1"/>
  <c r="P311" i="1" s="1"/>
  <c r="Q293" i="1"/>
  <c r="R293" i="1"/>
  <c r="S293" i="1"/>
  <c r="T293" i="1"/>
  <c r="U293" i="1"/>
  <c r="V293" i="1"/>
  <c r="W293" i="1"/>
  <c r="X293" i="1"/>
  <c r="Y293" i="1"/>
  <c r="Z293" i="1"/>
  <c r="AA293" i="1"/>
  <c r="AA311" i="1" s="1"/>
  <c r="AB293" i="1"/>
  <c r="AB311" i="1" s="1"/>
  <c r="AC293" i="1"/>
  <c r="AC311" i="1" s="1"/>
  <c r="AD293" i="1"/>
  <c r="AD311" i="1" s="1"/>
  <c r="AE293" i="1"/>
  <c r="AE311" i="1" s="1"/>
  <c r="F294" i="1"/>
  <c r="F312" i="1" s="1"/>
  <c r="G294" i="1"/>
  <c r="H294" i="1"/>
  <c r="H312" i="1" s="1"/>
  <c r="I294" i="1"/>
  <c r="J294" i="1"/>
  <c r="K294" i="1"/>
  <c r="L294" i="1"/>
  <c r="M294" i="1"/>
  <c r="N294" i="1"/>
  <c r="O294" i="1"/>
  <c r="P294" i="1"/>
  <c r="Q294" i="1"/>
  <c r="R294" i="1"/>
  <c r="R312" i="1" s="1"/>
  <c r="S294" i="1"/>
  <c r="S312" i="1" s="1"/>
  <c r="T294" i="1"/>
  <c r="T312" i="1" s="1"/>
  <c r="U294" i="1"/>
  <c r="U312" i="1" s="1"/>
  <c r="V294" i="1"/>
  <c r="W294" i="1"/>
  <c r="X294" i="1"/>
  <c r="X312" i="1" s="1"/>
  <c r="Y294" i="1"/>
  <c r="Z294" i="1"/>
  <c r="AA294" i="1"/>
  <c r="AB294" i="1"/>
  <c r="AC294" i="1"/>
  <c r="AD294" i="1"/>
  <c r="AE294" i="1"/>
  <c r="F295" i="1"/>
  <c r="F313" i="1" s="1"/>
  <c r="G295" i="1"/>
  <c r="G313" i="1" s="1"/>
  <c r="H295" i="1"/>
  <c r="H313" i="1" s="1"/>
  <c r="I295" i="1"/>
  <c r="I313" i="1" s="1"/>
  <c r="J295" i="1"/>
  <c r="J313" i="1" s="1"/>
  <c r="K295" i="1"/>
  <c r="L295" i="1"/>
  <c r="M295" i="1"/>
  <c r="N295" i="1"/>
  <c r="O295" i="1"/>
  <c r="P295" i="1"/>
  <c r="Q295" i="1"/>
  <c r="R295" i="1"/>
  <c r="S295" i="1"/>
  <c r="T295" i="1"/>
  <c r="U295" i="1"/>
  <c r="U313" i="1" s="1"/>
  <c r="V295" i="1"/>
  <c r="V313" i="1" s="1"/>
  <c r="W295" i="1"/>
  <c r="W313" i="1" s="1"/>
  <c r="X295" i="1"/>
  <c r="X313" i="1" s="1"/>
  <c r="Y295" i="1"/>
  <c r="Y313" i="1" s="1"/>
  <c r="Z295" i="1"/>
  <c r="Z313" i="1" s="1"/>
  <c r="AA295" i="1"/>
  <c r="AB295" i="1"/>
  <c r="AC295" i="1"/>
  <c r="AD295" i="1"/>
  <c r="AE295" i="1"/>
  <c r="G296" i="1"/>
  <c r="H296" i="1"/>
  <c r="I296" i="1"/>
  <c r="J296" i="1"/>
  <c r="K296" i="1"/>
  <c r="K314" i="1" s="1"/>
  <c r="L296" i="1"/>
  <c r="L314" i="1" s="1"/>
  <c r="M296" i="1"/>
  <c r="M314" i="1" s="1"/>
  <c r="N296" i="1"/>
  <c r="N314" i="1" s="1"/>
  <c r="O296" i="1"/>
  <c r="O314" i="1" s="1"/>
  <c r="P296" i="1"/>
  <c r="P314" i="1" s="1"/>
  <c r="Q296" i="1"/>
  <c r="Q314" i="1" s="1"/>
  <c r="R296" i="1"/>
  <c r="R314" i="1" s="1"/>
  <c r="S296" i="1"/>
  <c r="T296" i="1"/>
  <c r="T314" i="1" s="1"/>
  <c r="U296" i="1"/>
  <c r="V296" i="1"/>
  <c r="W296" i="1"/>
  <c r="X296" i="1"/>
  <c r="X314" i="1" s="1"/>
  <c r="Y296" i="1"/>
  <c r="Z296" i="1"/>
  <c r="AA296" i="1"/>
  <c r="AB296" i="1"/>
  <c r="AB314" i="1" s="1"/>
  <c r="AC296" i="1"/>
  <c r="AC314" i="1" s="1"/>
  <c r="AD296" i="1"/>
  <c r="AD314" i="1" s="1"/>
  <c r="AE296" i="1"/>
  <c r="AE314" i="1" s="1"/>
  <c r="F297" i="1"/>
  <c r="G297" i="1"/>
  <c r="H297" i="1"/>
  <c r="I297" i="1"/>
  <c r="J297" i="1"/>
  <c r="K297" i="1"/>
  <c r="L297" i="1"/>
  <c r="M297" i="1"/>
  <c r="N297" i="1"/>
  <c r="O297" i="1"/>
  <c r="P297" i="1"/>
  <c r="P315" i="1" s="1"/>
  <c r="Q297" i="1"/>
  <c r="R297" i="1"/>
  <c r="S297" i="1"/>
  <c r="T297" i="1"/>
  <c r="U297" i="1"/>
  <c r="W297" i="1"/>
  <c r="X297" i="1"/>
  <c r="Y297" i="1"/>
  <c r="Z297" i="1"/>
  <c r="AA297" i="1"/>
  <c r="AB297" i="1"/>
  <c r="AC297" i="1"/>
  <c r="AD297" i="1"/>
  <c r="AE297" i="1"/>
  <c r="F298" i="1"/>
  <c r="G298" i="1"/>
  <c r="H298" i="1"/>
  <c r="I298" i="1"/>
  <c r="J298" i="1"/>
  <c r="K298" i="1"/>
  <c r="L298" i="1"/>
  <c r="L352" i="1" s="1"/>
  <c r="M298" i="1"/>
  <c r="N298" i="1"/>
  <c r="O298" i="1"/>
  <c r="P298" i="1"/>
  <c r="P316" i="1" s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C316" i="1" s="1"/>
  <c r="AD298" i="1"/>
  <c r="AE298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C317" i="1" s="1"/>
  <c r="AD299" i="1"/>
  <c r="AD317" i="1" s="1"/>
  <c r="AE299" i="1"/>
  <c r="AE317" i="1" s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F302" i="1"/>
  <c r="G302" i="1"/>
  <c r="H302" i="1"/>
  <c r="I302" i="1"/>
  <c r="I354" i="1" s="1"/>
  <c r="J302" i="1"/>
  <c r="J5" i="1" s="1"/>
  <c r="J7" i="1" s="1"/>
  <c r="K302" i="1"/>
  <c r="L302" i="1"/>
  <c r="M302" i="1"/>
  <c r="T302" i="1"/>
  <c r="U302" i="1"/>
  <c r="V302" i="1"/>
  <c r="W302" i="1"/>
  <c r="X302" i="1"/>
  <c r="Y302" i="1"/>
  <c r="Z302" i="1"/>
  <c r="Z5" i="1" s="1"/>
  <c r="Z7" i="1" s="1"/>
  <c r="AA302" i="1"/>
  <c r="AB302" i="1"/>
  <c r="AC302" i="1"/>
  <c r="AD302" i="1"/>
  <c r="AD5" i="1" s="1"/>
  <c r="AE302" i="1"/>
  <c r="AE354" i="1" s="1"/>
  <c r="I303" i="1"/>
  <c r="J303" i="1"/>
  <c r="K303" i="1"/>
  <c r="L303" i="1"/>
  <c r="N303" i="1"/>
  <c r="O303" i="1"/>
  <c r="P303" i="1"/>
  <c r="Q303" i="1"/>
  <c r="R303" i="1"/>
  <c r="S303" i="1"/>
  <c r="T303" i="1"/>
  <c r="Y303" i="1"/>
  <c r="Z303" i="1"/>
  <c r="AA303" i="1"/>
  <c r="AB303" i="1"/>
  <c r="AC303" i="1"/>
  <c r="AD303" i="1"/>
  <c r="AE303" i="1"/>
  <c r="F304" i="1"/>
  <c r="G304" i="1"/>
  <c r="N304" i="1"/>
  <c r="O304" i="1"/>
  <c r="P304" i="1"/>
  <c r="Q304" i="1"/>
  <c r="R304" i="1"/>
  <c r="S304" i="1"/>
  <c r="T304" i="1"/>
  <c r="U304" i="1"/>
  <c r="V304" i="1"/>
  <c r="W304" i="1"/>
  <c r="AD304" i="1"/>
  <c r="AE304" i="1"/>
  <c r="F305" i="1"/>
  <c r="G305" i="1"/>
  <c r="H305" i="1"/>
  <c r="I305" i="1"/>
  <c r="J305" i="1"/>
  <c r="K305" i="1"/>
  <c r="L305" i="1"/>
  <c r="N305" i="1"/>
  <c r="S305" i="1"/>
  <c r="T305" i="1"/>
  <c r="U305" i="1"/>
  <c r="V305" i="1"/>
  <c r="X305" i="1"/>
  <c r="Y305" i="1"/>
  <c r="Z305" i="1"/>
  <c r="AA305" i="1"/>
  <c r="AB305" i="1"/>
  <c r="AD305" i="1"/>
  <c r="H306" i="1"/>
  <c r="I306" i="1"/>
  <c r="J306" i="1"/>
  <c r="K306" i="1"/>
  <c r="L306" i="1"/>
  <c r="M306" i="1"/>
  <c r="N306" i="1"/>
  <c r="O306" i="1"/>
  <c r="P306" i="1"/>
  <c r="Q306" i="1"/>
  <c r="X306" i="1"/>
  <c r="Y306" i="1"/>
  <c r="Z306" i="1"/>
  <c r="AA306" i="1"/>
  <c r="AB306" i="1"/>
  <c r="AC306" i="1"/>
  <c r="AD306" i="1"/>
  <c r="AE306" i="1"/>
  <c r="F307" i="1"/>
  <c r="M307" i="1"/>
  <c r="O307" i="1"/>
  <c r="P307" i="1"/>
  <c r="Q307" i="1"/>
  <c r="R307" i="1"/>
  <c r="S307" i="1"/>
  <c r="T307" i="1"/>
  <c r="U307" i="1"/>
  <c r="V307" i="1"/>
  <c r="X307" i="1"/>
  <c r="AC307" i="1"/>
  <c r="AD307" i="1"/>
  <c r="AE307" i="1"/>
  <c r="F308" i="1"/>
  <c r="G308" i="1"/>
  <c r="H308" i="1"/>
  <c r="I308" i="1"/>
  <c r="J308" i="1"/>
  <c r="K308" i="1"/>
  <c r="R308" i="1"/>
  <c r="S308" i="1"/>
  <c r="T308" i="1"/>
  <c r="U308" i="1"/>
  <c r="V308" i="1"/>
  <c r="W308" i="1"/>
  <c r="X308" i="1"/>
  <c r="Y308" i="1"/>
  <c r="Z308" i="1"/>
  <c r="AA308" i="1"/>
  <c r="G309" i="1"/>
  <c r="H309" i="1"/>
  <c r="I309" i="1"/>
  <c r="J309" i="1"/>
  <c r="K309" i="1"/>
  <c r="L309" i="1"/>
  <c r="M309" i="1"/>
  <c r="N309" i="1"/>
  <c r="O309" i="1"/>
  <c r="P309" i="1"/>
  <c r="W309" i="1"/>
  <c r="Y309" i="1"/>
  <c r="Z309" i="1"/>
  <c r="AA309" i="1"/>
  <c r="AB309" i="1"/>
  <c r="AC309" i="1"/>
  <c r="AD309" i="1"/>
  <c r="AE309" i="1"/>
  <c r="F310" i="1"/>
  <c r="G310" i="1"/>
  <c r="L310" i="1"/>
  <c r="M310" i="1"/>
  <c r="O310" i="1"/>
  <c r="P310" i="1"/>
  <c r="Q310" i="1"/>
  <c r="R310" i="1"/>
  <c r="S310" i="1"/>
  <c r="T310" i="1"/>
  <c r="U310" i="1"/>
  <c r="V310" i="1"/>
  <c r="W310" i="1"/>
  <c r="AB310" i="1"/>
  <c r="AC310" i="1"/>
  <c r="AD310" i="1"/>
  <c r="AE310" i="1"/>
  <c r="F311" i="1"/>
  <c r="G311" i="1"/>
  <c r="H311" i="1"/>
  <c r="I311" i="1"/>
  <c r="J311" i="1"/>
  <c r="Q311" i="1"/>
  <c r="R311" i="1"/>
  <c r="S311" i="1"/>
  <c r="T311" i="1"/>
  <c r="U311" i="1"/>
  <c r="V311" i="1"/>
  <c r="W311" i="1"/>
  <c r="X311" i="1"/>
  <c r="Y311" i="1"/>
  <c r="Z311" i="1"/>
  <c r="G312" i="1"/>
  <c r="I312" i="1"/>
  <c r="J312" i="1"/>
  <c r="K312" i="1"/>
  <c r="L312" i="1"/>
  <c r="M312" i="1"/>
  <c r="N312" i="1"/>
  <c r="O312" i="1"/>
  <c r="P312" i="1"/>
  <c r="Q312" i="1"/>
  <c r="V312" i="1"/>
  <c r="W312" i="1"/>
  <c r="Y312" i="1"/>
  <c r="Z312" i="1"/>
  <c r="AA312" i="1"/>
  <c r="AB312" i="1"/>
  <c r="AC312" i="1"/>
  <c r="AD312" i="1"/>
  <c r="AE312" i="1"/>
  <c r="K313" i="1"/>
  <c r="L313" i="1"/>
  <c r="M313" i="1"/>
  <c r="N313" i="1"/>
  <c r="O313" i="1"/>
  <c r="P313" i="1"/>
  <c r="Q313" i="1"/>
  <c r="R313" i="1"/>
  <c r="S313" i="1"/>
  <c r="T313" i="1"/>
  <c r="AA313" i="1"/>
  <c r="AB313" i="1"/>
  <c r="AC313" i="1"/>
  <c r="AD313" i="1"/>
  <c r="AE313" i="1"/>
  <c r="F314" i="1"/>
  <c r="G314" i="1"/>
  <c r="H314" i="1"/>
  <c r="I314" i="1"/>
  <c r="J314" i="1"/>
  <c r="S314" i="1"/>
  <c r="U314" i="1"/>
  <c r="V314" i="1"/>
  <c r="W314" i="1"/>
  <c r="Y314" i="1"/>
  <c r="Z314" i="1"/>
  <c r="AA314" i="1"/>
  <c r="AC315" i="1"/>
  <c r="AD315" i="1"/>
  <c r="AE315" i="1"/>
  <c r="AD316" i="1"/>
  <c r="AE316" i="1"/>
  <c r="P317" i="1"/>
  <c r="P318" i="1"/>
  <c r="AC318" i="1"/>
  <c r="AD318" i="1"/>
  <c r="AE318" i="1"/>
  <c r="P319" i="1"/>
  <c r="AC319" i="1"/>
  <c r="F323" i="1"/>
  <c r="F338" i="1" s="1"/>
  <c r="G323" i="1"/>
  <c r="G338" i="1" s="1"/>
  <c r="H323" i="1"/>
  <c r="H338" i="1" s="1"/>
  <c r="I323" i="1"/>
  <c r="I338" i="1" s="1"/>
  <c r="J323" i="1"/>
  <c r="J338" i="1" s="1"/>
  <c r="J356" i="1" s="1"/>
  <c r="K323" i="1"/>
  <c r="L323" i="1"/>
  <c r="M323" i="1"/>
  <c r="N323" i="1"/>
  <c r="O323" i="1"/>
  <c r="O338" i="1" s="1"/>
  <c r="P323" i="1"/>
  <c r="P338" i="1" s="1"/>
  <c r="Q323" i="1"/>
  <c r="R323" i="1"/>
  <c r="R338" i="1" s="1"/>
  <c r="S323" i="1"/>
  <c r="S338" i="1" s="1"/>
  <c r="T323" i="1"/>
  <c r="U323" i="1"/>
  <c r="V323" i="1"/>
  <c r="V338" i="1" s="1"/>
  <c r="W323" i="1"/>
  <c r="W338" i="1" s="1"/>
  <c r="X323" i="1"/>
  <c r="X338" i="1" s="1"/>
  <c r="Y323" i="1"/>
  <c r="Y338" i="1" s="1"/>
  <c r="Z323" i="1"/>
  <c r="AA323" i="1"/>
  <c r="AB323" i="1"/>
  <c r="AC323" i="1"/>
  <c r="F324" i="1"/>
  <c r="F339" i="1" s="1"/>
  <c r="G324" i="1"/>
  <c r="G339" i="1" s="1"/>
  <c r="H324" i="1"/>
  <c r="H339" i="1" s="1"/>
  <c r="I324" i="1"/>
  <c r="I339" i="1" s="1"/>
  <c r="J324" i="1"/>
  <c r="J339" i="1" s="1"/>
  <c r="K324" i="1"/>
  <c r="K339" i="1" s="1"/>
  <c r="K356" i="1" s="1"/>
  <c r="L324" i="1"/>
  <c r="M324" i="1"/>
  <c r="M339" i="1" s="1"/>
  <c r="N324" i="1"/>
  <c r="N339" i="1" s="1"/>
  <c r="O324" i="1"/>
  <c r="O339" i="1" s="1"/>
  <c r="P324" i="1"/>
  <c r="P339" i="1" s="1"/>
  <c r="Q324" i="1"/>
  <c r="R324" i="1"/>
  <c r="S324" i="1"/>
  <c r="T324" i="1"/>
  <c r="U324" i="1"/>
  <c r="V324" i="1"/>
  <c r="V339" i="1" s="1"/>
  <c r="W324" i="1"/>
  <c r="W339" i="1" s="1"/>
  <c r="X324" i="1"/>
  <c r="X339" i="1" s="1"/>
  <c r="Y324" i="1"/>
  <c r="Y339" i="1" s="1"/>
  <c r="Z324" i="1"/>
  <c r="Z339" i="1" s="1"/>
  <c r="Z356" i="1" s="1"/>
  <c r="AA324" i="1"/>
  <c r="AA339" i="1" s="1"/>
  <c r="AA356" i="1" s="1"/>
  <c r="AB324" i="1"/>
  <c r="AB339" i="1" s="1"/>
  <c r="AC324" i="1"/>
  <c r="AC339" i="1" s="1"/>
  <c r="E325" i="1"/>
  <c r="E340" i="1" s="1"/>
  <c r="F325" i="1"/>
  <c r="F340" i="1" s="1"/>
  <c r="G325" i="1"/>
  <c r="G340" i="1" s="1"/>
  <c r="H325" i="1"/>
  <c r="I325" i="1"/>
  <c r="J325" i="1"/>
  <c r="K325" i="1"/>
  <c r="L325" i="1"/>
  <c r="M325" i="1"/>
  <c r="N325" i="1"/>
  <c r="O325" i="1"/>
  <c r="P325" i="1"/>
  <c r="P340" i="1" s="1"/>
  <c r="Q325" i="1"/>
  <c r="Q340" i="1" s="1"/>
  <c r="R325" i="1"/>
  <c r="R340" i="1" s="1"/>
  <c r="S325" i="1"/>
  <c r="S340" i="1" s="1"/>
  <c r="T325" i="1"/>
  <c r="T340" i="1" s="1"/>
  <c r="U325" i="1"/>
  <c r="U340" i="1" s="1"/>
  <c r="V325" i="1"/>
  <c r="V340" i="1" s="1"/>
  <c r="W325" i="1"/>
  <c r="W340" i="1" s="1"/>
  <c r="X325" i="1"/>
  <c r="Y325" i="1"/>
  <c r="Z325" i="1"/>
  <c r="AA325" i="1"/>
  <c r="AB325" i="1"/>
  <c r="AC325" i="1"/>
  <c r="AC340" i="1" s="1"/>
  <c r="E326" i="1"/>
  <c r="E341" i="1" s="1"/>
  <c r="F326" i="1"/>
  <c r="F341" i="1" s="1"/>
  <c r="G326" i="1"/>
  <c r="H326" i="1"/>
  <c r="H341" i="1" s="1"/>
  <c r="I326" i="1"/>
  <c r="I341" i="1" s="1"/>
  <c r="J326" i="1"/>
  <c r="K326" i="1"/>
  <c r="K341" i="1" s="1"/>
  <c r="L326" i="1"/>
  <c r="L341" i="1" s="1"/>
  <c r="M326" i="1"/>
  <c r="M341" i="1" s="1"/>
  <c r="N326" i="1"/>
  <c r="N341" i="1" s="1"/>
  <c r="O326" i="1"/>
  <c r="P326" i="1"/>
  <c r="Q326" i="1"/>
  <c r="R326" i="1"/>
  <c r="S326" i="1"/>
  <c r="T326" i="1"/>
  <c r="T341" i="1" s="1"/>
  <c r="U326" i="1"/>
  <c r="U341" i="1" s="1"/>
  <c r="V326" i="1"/>
  <c r="V341" i="1" s="1"/>
  <c r="W326" i="1"/>
  <c r="W341" i="1" s="1"/>
  <c r="X326" i="1"/>
  <c r="X341" i="1" s="1"/>
  <c r="Y326" i="1"/>
  <c r="Y341" i="1" s="1"/>
  <c r="Z326" i="1"/>
  <c r="AA326" i="1"/>
  <c r="AA341" i="1" s="1"/>
  <c r="AB326" i="1"/>
  <c r="AB341" i="1" s="1"/>
  <c r="AC326" i="1"/>
  <c r="AC341" i="1" s="1"/>
  <c r="F327" i="1"/>
  <c r="G327" i="1"/>
  <c r="H327" i="1"/>
  <c r="I327" i="1"/>
  <c r="J327" i="1"/>
  <c r="K327" i="1"/>
  <c r="K342" i="1" s="1"/>
  <c r="L327" i="1"/>
  <c r="L342" i="1" s="1"/>
  <c r="M327" i="1"/>
  <c r="M342" i="1" s="1"/>
  <c r="N327" i="1"/>
  <c r="N342" i="1" s="1"/>
  <c r="O327" i="1"/>
  <c r="O342" i="1" s="1"/>
  <c r="P327" i="1"/>
  <c r="P342" i="1" s="1"/>
  <c r="Q327" i="1"/>
  <c r="Q342" i="1" s="1"/>
  <c r="R327" i="1"/>
  <c r="R342" i="1" s="1"/>
  <c r="S327" i="1"/>
  <c r="S342" i="1" s="1"/>
  <c r="T327" i="1"/>
  <c r="T342" i="1" s="1"/>
  <c r="U327" i="1"/>
  <c r="U342" i="1" s="1"/>
  <c r="V327" i="1"/>
  <c r="W327" i="1"/>
  <c r="X327" i="1"/>
  <c r="Y327" i="1"/>
  <c r="Z327" i="1"/>
  <c r="AA327" i="1"/>
  <c r="AB327" i="1"/>
  <c r="AC327" i="1"/>
  <c r="E328" i="1"/>
  <c r="E343" i="1" s="1"/>
  <c r="F328" i="1"/>
  <c r="F343" i="1" s="1"/>
  <c r="G328" i="1"/>
  <c r="G343" i="1" s="1"/>
  <c r="H328" i="1"/>
  <c r="H343" i="1" s="1"/>
  <c r="I328" i="1"/>
  <c r="I343" i="1" s="1"/>
  <c r="J328" i="1"/>
  <c r="J343" i="1" s="1"/>
  <c r="K328" i="1"/>
  <c r="K343" i="1" s="1"/>
  <c r="L328" i="1"/>
  <c r="L343" i="1" s="1"/>
  <c r="M328" i="1"/>
  <c r="N328" i="1"/>
  <c r="O328" i="1"/>
  <c r="P328" i="1"/>
  <c r="Q328" i="1"/>
  <c r="R328" i="1"/>
  <c r="R343" i="1" s="1"/>
  <c r="S328" i="1"/>
  <c r="S343" i="1" s="1"/>
  <c r="T328" i="1"/>
  <c r="T343" i="1" s="1"/>
  <c r="U328" i="1"/>
  <c r="V328" i="1"/>
  <c r="V343" i="1" s="1"/>
  <c r="W328" i="1"/>
  <c r="W343" i="1" s="1"/>
  <c r="X328" i="1"/>
  <c r="Y328" i="1"/>
  <c r="Y343" i="1" s="1"/>
  <c r="Z328" i="1"/>
  <c r="Z343" i="1" s="1"/>
  <c r="AA328" i="1"/>
  <c r="AA343" i="1" s="1"/>
  <c r="AB328" i="1"/>
  <c r="AB343" i="1" s="1"/>
  <c r="AC328" i="1"/>
  <c r="F329" i="1"/>
  <c r="G329" i="1"/>
  <c r="H329" i="1"/>
  <c r="I329" i="1"/>
  <c r="I344" i="1" s="1"/>
  <c r="J329" i="1"/>
  <c r="J344" i="1" s="1"/>
  <c r="K329" i="1"/>
  <c r="K344" i="1" s="1"/>
  <c r="L329" i="1"/>
  <c r="L344" i="1" s="1"/>
  <c r="M329" i="1"/>
  <c r="M344" i="1" s="1"/>
  <c r="N329" i="1"/>
  <c r="N344" i="1" s="1"/>
  <c r="O329" i="1"/>
  <c r="O344" i="1" s="1"/>
  <c r="P329" i="1"/>
  <c r="P344" i="1" s="1"/>
  <c r="Q329" i="1"/>
  <c r="Q344" i="1" s="1"/>
  <c r="R329" i="1"/>
  <c r="R344" i="1" s="1"/>
  <c r="S329" i="1"/>
  <c r="S344" i="1" s="1"/>
  <c r="T329" i="1"/>
  <c r="U329" i="1"/>
  <c r="V329" i="1"/>
  <c r="W329" i="1"/>
  <c r="X329" i="1"/>
  <c r="Y329" i="1"/>
  <c r="Y344" i="1" s="1"/>
  <c r="Z329" i="1"/>
  <c r="Z344" i="1" s="1"/>
  <c r="AA329" i="1"/>
  <c r="AA344" i="1" s="1"/>
  <c r="AB329" i="1"/>
  <c r="AB344" i="1" s="1"/>
  <c r="AC329" i="1"/>
  <c r="AC344" i="1" s="1"/>
  <c r="E330" i="1"/>
  <c r="E345" i="1" s="1"/>
  <c r="F330" i="1"/>
  <c r="F345" i="1" s="1"/>
  <c r="G330" i="1"/>
  <c r="G345" i="1" s="1"/>
  <c r="H330" i="1"/>
  <c r="H345" i="1" s="1"/>
  <c r="I330" i="1"/>
  <c r="I345" i="1" s="1"/>
  <c r="J330" i="1"/>
  <c r="J345" i="1" s="1"/>
  <c r="K330" i="1"/>
  <c r="L330" i="1"/>
  <c r="M330" i="1"/>
  <c r="N330" i="1"/>
  <c r="O330" i="1"/>
  <c r="P330" i="1"/>
  <c r="Q330" i="1"/>
  <c r="R330" i="1"/>
  <c r="S330" i="1"/>
  <c r="S345" i="1" s="1"/>
  <c r="T330" i="1"/>
  <c r="T345" i="1" s="1"/>
  <c r="U330" i="1"/>
  <c r="U345" i="1" s="1"/>
  <c r="V330" i="1"/>
  <c r="V345" i="1" s="1"/>
  <c r="W330" i="1"/>
  <c r="W345" i="1" s="1"/>
  <c r="X330" i="1"/>
  <c r="X345" i="1" s="1"/>
  <c r="Y330" i="1"/>
  <c r="Y345" i="1" s="1"/>
  <c r="Z330" i="1"/>
  <c r="Z345" i="1" s="1"/>
  <c r="AA330" i="1"/>
  <c r="AB330" i="1"/>
  <c r="AC330" i="1"/>
  <c r="F331" i="1"/>
  <c r="G331" i="1"/>
  <c r="H331" i="1"/>
  <c r="I331" i="1"/>
  <c r="J331" i="1"/>
  <c r="K331" i="1"/>
  <c r="K346" i="1" s="1"/>
  <c r="L331" i="1"/>
  <c r="M331" i="1"/>
  <c r="N331" i="1"/>
  <c r="N346" i="1" s="1"/>
  <c r="O331" i="1"/>
  <c r="O346" i="1" s="1"/>
  <c r="P331" i="1"/>
  <c r="P346" i="1" s="1"/>
  <c r="Q331" i="1"/>
  <c r="Q346" i="1" s="1"/>
  <c r="R331" i="1"/>
  <c r="S331" i="1"/>
  <c r="T331" i="1"/>
  <c r="U331" i="1"/>
  <c r="V331" i="1"/>
  <c r="W331" i="1"/>
  <c r="W346" i="1" s="1"/>
  <c r="X331" i="1"/>
  <c r="X346" i="1" s="1"/>
  <c r="Y331" i="1"/>
  <c r="Y346" i="1" s="1"/>
  <c r="Z331" i="1"/>
  <c r="Z346" i="1" s="1"/>
  <c r="AA331" i="1"/>
  <c r="AA346" i="1" s="1"/>
  <c r="AB331" i="1"/>
  <c r="AC331" i="1"/>
  <c r="AC346" i="1" s="1"/>
  <c r="E332" i="1"/>
  <c r="E347" i="1" s="1"/>
  <c r="F332" i="1"/>
  <c r="F347" i="1" s="1"/>
  <c r="G332" i="1"/>
  <c r="G347" i="1" s="1"/>
  <c r="H332" i="1"/>
  <c r="H347" i="1" s="1"/>
  <c r="I332" i="1"/>
  <c r="J332" i="1"/>
  <c r="K332" i="1"/>
  <c r="L332" i="1"/>
  <c r="M332" i="1"/>
  <c r="N332" i="1"/>
  <c r="N347" i="1" s="1"/>
  <c r="O332" i="1"/>
  <c r="O347" i="1" s="1"/>
  <c r="P332" i="1"/>
  <c r="P347" i="1" s="1"/>
  <c r="Q332" i="1"/>
  <c r="Q347" i="1" s="1"/>
  <c r="R332" i="1"/>
  <c r="R347" i="1" s="1"/>
  <c r="S332" i="1"/>
  <c r="S347" i="1" s="1"/>
  <c r="T332" i="1"/>
  <c r="T347" i="1" s="1"/>
  <c r="U332" i="1"/>
  <c r="U347" i="1" s="1"/>
  <c r="V332" i="1"/>
  <c r="V347" i="1" s="1"/>
  <c r="W332" i="1"/>
  <c r="W347" i="1" s="1"/>
  <c r="X332" i="1"/>
  <c r="X347" i="1" s="1"/>
  <c r="Y332" i="1"/>
  <c r="Z332" i="1"/>
  <c r="AA332" i="1"/>
  <c r="AB332" i="1"/>
  <c r="AC332" i="1"/>
  <c r="F333" i="1"/>
  <c r="G333" i="1"/>
  <c r="H333" i="1"/>
  <c r="H348" i="1" s="1"/>
  <c r="I333" i="1"/>
  <c r="I348" i="1" s="1"/>
  <c r="J333" i="1"/>
  <c r="J348" i="1" s="1"/>
  <c r="K333" i="1"/>
  <c r="K348" i="1" s="1"/>
  <c r="L333" i="1"/>
  <c r="L348" i="1" s="1"/>
  <c r="M333" i="1"/>
  <c r="M348" i="1" s="1"/>
  <c r="N333" i="1"/>
  <c r="N348" i="1" s="1"/>
  <c r="O333" i="1"/>
  <c r="O348" i="1" s="1"/>
  <c r="P333" i="1"/>
  <c r="Q333" i="1"/>
  <c r="R333" i="1"/>
  <c r="S333" i="1"/>
  <c r="T333" i="1"/>
  <c r="U333" i="1"/>
  <c r="V333" i="1"/>
  <c r="W333" i="1"/>
  <c r="X333" i="1"/>
  <c r="Y333" i="1"/>
  <c r="Y348" i="1" s="1"/>
  <c r="Z333" i="1"/>
  <c r="AA333" i="1"/>
  <c r="AB333" i="1"/>
  <c r="AB348" i="1" s="1"/>
  <c r="AC333" i="1"/>
  <c r="AC348" i="1" s="1"/>
  <c r="F334" i="1"/>
  <c r="F349" i="1" s="1"/>
  <c r="G334" i="1"/>
  <c r="H334" i="1"/>
  <c r="I334" i="1"/>
  <c r="J334" i="1"/>
  <c r="K334" i="1"/>
  <c r="L334" i="1"/>
  <c r="L349" i="1" s="1"/>
  <c r="M334" i="1"/>
  <c r="M349" i="1" s="1"/>
  <c r="N334" i="1"/>
  <c r="N349" i="1" s="1"/>
  <c r="O334" i="1"/>
  <c r="O349" i="1" s="1"/>
  <c r="P334" i="1"/>
  <c r="P349" i="1" s="1"/>
  <c r="Q334" i="1"/>
  <c r="Q349" i="1" s="1"/>
  <c r="R334" i="1"/>
  <c r="R349" i="1" s="1"/>
  <c r="S334" i="1"/>
  <c r="S349" i="1" s="1"/>
  <c r="T334" i="1"/>
  <c r="T349" i="1" s="1"/>
  <c r="U334" i="1"/>
  <c r="U349" i="1" s="1"/>
  <c r="V334" i="1"/>
  <c r="V349" i="1" s="1"/>
  <c r="W334" i="1"/>
  <c r="X334" i="1"/>
  <c r="Y334" i="1"/>
  <c r="Z334" i="1"/>
  <c r="AA334" i="1"/>
  <c r="AB334" i="1"/>
  <c r="AB349" i="1" s="1"/>
  <c r="AC334" i="1"/>
  <c r="AC349" i="1" s="1"/>
  <c r="F335" i="1"/>
  <c r="F350" i="1" s="1"/>
  <c r="G335" i="1"/>
  <c r="G350" i="1" s="1"/>
  <c r="H335" i="1"/>
  <c r="H350" i="1" s="1"/>
  <c r="I335" i="1"/>
  <c r="I350" i="1" s="1"/>
  <c r="J335" i="1"/>
  <c r="J350" i="1" s="1"/>
  <c r="K335" i="1"/>
  <c r="K350" i="1" s="1"/>
  <c r="L335" i="1"/>
  <c r="L350" i="1" s="1"/>
  <c r="M335" i="1"/>
  <c r="M350" i="1" s="1"/>
  <c r="N335" i="1"/>
  <c r="O335" i="1"/>
  <c r="P335" i="1"/>
  <c r="Q335" i="1"/>
  <c r="R335" i="1"/>
  <c r="S335" i="1"/>
  <c r="T335" i="1"/>
  <c r="U335" i="1"/>
  <c r="V335" i="1"/>
  <c r="V350" i="1" s="1"/>
  <c r="W335" i="1"/>
  <c r="W350" i="1" s="1"/>
  <c r="X335" i="1"/>
  <c r="X350" i="1" s="1"/>
  <c r="Y335" i="1"/>
  <c r="Y350" i="1" s="1"/>
  <c r="Z335" i="1"/>
  <c r="Z350" i="1" s="1"/>
  <c r="AA335" i="1"/>
  <c r="AA350" i="1" s="1"/>
  <c r="AB335" i="1"/>
  <c r="AB350" i="1" s="1"/>
  <c r="AC335" i="1"/>
  <c r="AC350" i="1" s="1"/>
  <c r="K338" i="1"/>
  <c r="L338" i="1"/>
  <c r="M338" i="1"/>
  <c r="N338" i="1"/>
  <c r="Q338" i="1"/>
  <c r="T338" i="1"/>
  <c r="T356" i="1" s="1"/>
  <c r="U338" i="1"/>
  <c r="U356" i="1" s="1"/>
  <c r="Z338" i="1"/>
  <c r="AA338" i="1"/>
  <c r="AB338" i="1"/>
  <c r="AC338" i="1"/>
  <c r="L339" i="1"/>
  <c r="Q339" i="1"/>
  <c r="R339" i="1"/>
  <c r="S339" i="1"/>
  <c r="T339" i="1"/>
  <c r="U339" i="1"/>
  <c r="H340" i="1"/>
  <c r="I340" i="1"/>
  <c r="J340" i="1"/>
  <c r="K340" i="1"/>
  <c r="L340" i="1"/>
  <c r="M340" i="1"/>
  <c r="M356" i="1" s="1"/>
  <c r="N340" i="1"/>
  <c r="N356" i="1" s="1"/>
  <c r="O340" i="1"/>
  <c r="X340" i="1"/>
  <c r="Y340" i="1"/>
  <c r="Z340" i="1"/>
  <c r="AA340" i="1"/>
  <c r="AB340" i="1"/>
  <c r="G341" i="1"/>
  <c r="J341" i="1"/>
  <c r="O341" i="1"/>
  <c r="P341" i="1"/>
  <c r="Q341" i="1"/>
  <c r="R341" i="1"/>
  <c r="S341" i="1"/>
  <c r="Z341" i="1"/>
  <c r="F342" i="1"/>
  <c r="G342" i="1"/>
  <c r="H342" i="1"/>
  <c r="I342" i="1"/>
  <c r="J342" i="1"/>
  <c r="V342" i="1"/>
  <c r="W342" i="1"/>
  <c r="X342" i="1"/>
  <c r="Y342" i="1"/>
  <c r="Z342" i="1"/>
  <c r="AA342" i="1"/>
  <c r="AB342" i="1"/>
  <c r="AC342" i="1"/>
  <c r="M343" i="1"/>
  <c r="N343" i="1"/>
  <c r="O343" i="1"/>
  <c r="P343" i="1"/>
  <c r="Q343" i="1"/>
  <c r="U343" i="1"/>
  <c r="X343" i="1"/>
  <c r="AC343" i="1"/>
  <c r="F344" i="1"/>
  <c r="G344" i="1"/>
  <c r="H344" i="1"/>
  <c r="T344" i="1"/>
  <c r="U344" i="1"/>
  <c r="V344" i="1"/>
  <c r="W344" i="1"/>
  <c r="X344" i="1"/>
  <c r="K345" i="1"/>
  <c r="L345" i="1"/>
  <c r="M345" i="1"/>
  <c r="N345" i="1"/>
  <c r="O345" i="1"/>
  <c r="P345" i="1"/>
  <c r="Q345" i="1"/>
  <c r="R345" i="1"/>
  <c r="AA345" i="1"/>
  <c r="AB345" i="1"/>
  <c r="AC345" i="1"/>
  <c r="F346" i="1"/>
  <c r="G346" i="1"/>
  <c r="H346" i="1"/>
  <c r="I346" i="1"/>
  <c r="J346" i="1"/>
  <c r="L346" i="1"/>
  <c r="M346" i="1"/>
  <c r="R346" i="1"/>
  <c r="S346" i="1"/>
  <c r="T346" i="1"/>
  <c r="U346" i="1"/>
  <c r="V346" i="1"/>
  <c r="AB346" i="1"/>
  <c r="I347" i="1"/>
  <c r="J347" i="1"/>
  <c r="K347" i="1"/>
  <c r="L347" i="1"/>
  <c r="M347" i="1"/>
  <c r="Y347" i="1"/>
  <c r="Z347" i="1"/>
  <c r="AA347" i="1"/>
  <c r="AB347" i="1"/>
  <c r="AC347" i="1"/>
  <c r="F348" i="1"/>
  <c r="G348" i="1"/>
  <c r="P348" i="1"/>
  <c r="Q348" i="1"/>
  <c r="R348" i="1"/>
  <c r="S348" i="1"/>
  <c r="T348" i="1"/>
  <c r="U348" i="1"/>
  <c r="V348" i="1"/>
  <c r="W348" i="1"/>
  <c r="X348" i="1"/>
  <c r="Z348" i="1"/>
  <c r="AA348" i="1"/>
  <c r="G349" i="1"/>
  <c r="H349" i="1"/>
  <c r="I349" i="1"/>
  <c r="J349" i="1"/>
  <c r="K349" i="1"/>
  <c r="W349" i="1"/>
  <c r="X349" i="1"/>
  <c r="Y349" i="1"/>
  <c r="Z349" i="1"/>
  <c r="AA349" i="1"/>
  <c r="N350" i="1"/>
  <c r="O350" i="1"/>
  <c r="P350" i="1"/>
  <c r="Q350" i="1"/>
  <c r="R350" i="1"/>
  <c r="S350" i="1"/>
  <c r="T350" i="1"/>
  <c r="U350" i="1"/>
  <c r="M352" i="1"/>
  <c r="M357" i="1" s="1"/>
  <c r="O352" i="1"/>
  <c r="O357" i="1" s="1"/>
  <c r="P352" i="1"/>
  <c r="P357" i="1" s="1"/>
  <c r="M353" i="1"/>
  <c r="Z354" i="1"/>
  <c r="AD356" i="1"/>
  <c r="AE356" i="1"/>
  <c r="V359" i="1"/>
  <c r="S360" i="1"/>
  <c r="S359" i="1" s="1"/>
  <c r="S361" i="1"/>
  <c r="S362" i="1"/>
  <c r="W362" i="1"/>
  <c r="S363" i="1"/>
  <c r="S364" i="1"/>
  <c r="Y364" i="1"/>
  <c r="S365" i="1"/>
  <c r="U366" i="1"/>
  <c r="E294" i="1" l="1"/>
  <c r="E312" i="1" s="1"/>
  <c r="E293" i="1"/>
  <c r="E311" i="1" s="1"/>
  <c r="E297" i="1"/>
  <c r="E315" i="1" s="1"/>
  <c r="E299" i="1"/>
  <c r="E317" i="1" s="1"/>
  <c r="X352" i="1"/>
  <c r="X353" i="1" s="1"/>
  <c r="E300" i="1"/>
  <c r="E318" i="1" s="1"/>
  <c r="E335" i="1"/>
  <c r="E350" i="1" s="1"/>
  <c r="X354" i="1"/>
  <c r="W5" i="1"/>
  <c r="W7" i="1" s="1"/>
  <c r="AC5" i="1"/>
  <c r="AC7" i="1" s="1"/>
  <c r="R356" i="1"/>
  <c r="V354" i="1"/>
  <c r="F5" i="1"/>
  <c r="Y356" i="1"/>
  <c r="I356" i="1"/>
  <c r="X356" i="1"/>
  <c r="H356" i="1"/>
  <c r="P356" i="1"/>
  <c r="T354" i="1"/>
  <c r="L356" i="1"/>
  <c r="W356" i="1"/>
  <c r="G356" i="1"/>
  <c r="O356" i="1"/>
  <c r="U5" i="1"/>
  <c r="U7" i="1" s="1"/>
  <c r="P354" i="1"/>
  <c r="AC356" i="1"/>
  <c r="V356" i="1"/>
  <c r="F356" i="1"/>
  <c r="X7" i="1"/>
  <c r="O5" i="1"/>
  <c r="O7" i="1" s="1"/>
  <c r="O354" i="1"/>
  <c r="AB356" i="1"/>
  <c r="F354" i="1"/>
  <c r="N354" i="1"/>
  <c r="N5" i="1"/>
  <c r="N7" i="1" s="1"/>
  <c r="H353" i="1"/>
  <c r="H357" i="1"/>
  <c r="AB357" i="1"/>
  <c r="AB353" i="1"/>
  <c r="L357" i="1"/>
  <c r="L353" i="1"/>
  <c r="G353" i="1"/>
  <c r="G357" i="1"/>
  <c r="H5" i="1"/>
  <c r="H7" i="1" s="1"/>
  <c r="S356" i="1"/>
  <c r="K352" i="1"/>
  <c r="AD352" i="1"/>
  <c r="I352" i="1"/>
  <c r="Y5" i="1"/>
  <c r="Y7" i="1" s="1"/>
  <c r="AA352" i="1"/>
  <c r="Z352" i="1"/>
  <c r="F352" i="1"/>
  <c r="AB308" i="1"/>
  <c r="H304" i="1"/>
  <c r="E286" i="1"/>
  <c r="E304" i="1" s="1"/>
  <c r="AE5" i="1"/>
  <c r="Y352" i="1"/>
  <c r="E324" i="1"/>
  <c r="E339" i="1" s="1"/>
  <c r="AC352" i="1"/>
  <c r="J354" i="1"/>
  <c r="T5" i="1"/>
  <c r="T7" i="1" s="1"/>
  <c r="T352" i="1"/>
  <c r="T353" i="1" s="1"/>
  <c r="E284" i="1"/>
  <c r="AE352" i="1"/>
  <c r="AA5" i="1"/>
  <c r="AA7" i="1" s="1"/>
  <c r="AA354" i="1"/>
  <c r="P353" i="1"/>
  <c r="U354" i="1"/>
  <c r="J352" i="1"/>
  <c r="W352" i="1"/>
  <c r="W353" i="1" s="1"/>
  <c r="S352" i="1"/>
  <c r="S353" i="1" s="1"/>
  <c r="S302" i="1"/>
  <c r="H354" i="1"/>
  <c r="O353" i="1"/>
  <c r="V352" i="1"/>
  <c r="V353" i="1" s="1"/>
  <c r="E334" i="1"/>
  <c r="E349" i="1" s="1"/>
  <c r="G307" i="1"/>
  <c r="G5" i="1" s="1"/>
  <c r="G7" i="1" s="1"/>
  <c r="R352" i="1"/>
  <c r="E298" i="1"/>
  <c r="E316" i="1" s="1"/>
  <c r="U352" i="1"/>
  <c r="U353" i="1" s="1"/>
  <c r="M354" i="1"/>
  <c r="Q352" i="1"/>
  <c r="Q302" i="1"/>
  <c r="L5" i="1"/>
  <c r="L7" i="1" s="1"/>
  <c r="L354" i="1"/>
  <c r="P5" i="1"/>
  <c r="P7" i="1" s="1"/>
  <c r="E296" i="1"/>
  <c r="E314" i="1" s="1"/>
  <c r="V5" i="1"/>
  <c r="V7" i="1" s="1"/>
  <c r="K5" i="1"/>
  <c r="K7" i="1" s="1"/>
  <c r="K354" i="1"/>
  <c r="E331" i="1"/>
  <c r="E346" i="1" s="1"/>
  <c r="E292" i="1"/>
  <c r="E310" i="1" s="1"/>
  <c r="N352" i="1"/>
  <c r="AD354" i="1"/>
  <c r="E329" i="1"/>
  <c r="E344" i="1" s="1"/>
  <c r="AC354" i="1"/>
  <c r="I5" i="1"/>
  <c r="I7" i="1" s="1"/>
  <c r="E289" i="1"/>
  <c r="E307" i="1" s="1"/>
  <c r="Q356" i="1"/>
  <c r="AB5" i="1"/>
  <c r="AB7" i="1" s="1"/>
  <c r="AB354" i="1"/>
  <c r="R302" i="1"/>
  <c r="E356" i="1" l="1"/>
  <c r="X357" i="1"/>
  <c r="J357" i="1"/>
  <c r="J353" i="1"/>
  <c r="Q5" i="1"/>
  <c r="Q7" i="1" s="1"/>
  <c r="Q354" i="1"/>
  <c r="F353" i="1"/>
  <c r="F357" i="1"/>
  <c r="Q357" i="1"/>
  <c r="Q353" i="1"/>
  <c r="Z353" i="1"/>
  <c r="Z357" i="1"/>
  <c r="AA357" i="1"/>
  <c r="AA353" i="1"/>
  <c r="AC357" i="1"/>
  <c r="AC353" i="1"/>
  <c r="F7" i="1"/>
  <c r="S5" i="1"/>
  <c r="S7" i="1" s="1"/>
  <c r="S354" i="1"/>
  <c r="G354" i="1"/>
  <c r="AE353" i="1"/>
  <c r="AE357" i="1"/>
  <c r="I353" i="1"/>
  <c r="I357" i="1"/>
  <c r="N353" i="1"/>
  <c r="N357" i="1"/>
  <c r="E302" i="1"/>
  <c r="E354" i="1" s="1"/>
  <c r="E352" i="1"/>
  <c r="E353" i="1"/>
  <c r="AD357" i="1"/>
  <c r="AD353" i="1"/>
  <c r="R357" i="1"/>
  <c r="R353" i="1"/>
  <c r="K353" i="1"/>
  <c r="K357" i="1"/>
  <c r="Y353" i="1"/>
  <c r="Y357" i="1"/>
  <c r="R5" i="1"/>
  <c r="R7" i="1" s="1"/>
  <c r="R354" i="1"/>
  <c r="E5" i="1" l="1"/>
  <c r="E7" i="1"/>
</calcChain>
</file>

<file path=xl/sharedStrings.xml><?xml version="1.0" encoding="utf-8"?>
<sst xmlns="http://schemas.openxmlformats.org/spreadsheetml/2006/main" count="384" uniqueCount="88">
  <si>
    <t>1-6月份</t>
  </si>
  <si>
    <t>上半年项目成本</t>
  </si>
  <si>
    <t>项目人力预算</t>
  </si>
  <si>
    <t>项目成本</t>
  </si>
  <si>
    <t>项目人月</t>
  </si>
  <si>
    <t>项目人天</t>
  </si>
  <si>
    <t>成本单价</t>
  </si>
  <si>
    <t>上半年总成本</t>
  </si>
  <si>
    <t>上半年总工时</t>
  </si>
  <si>
    <t>总成本</t>
  </si>
  <si>
    <t>总工时</t>
  </si>
  <si>
    <t>12月</t>
  </si>
  <si>
    <t>11月</t>
  </si>
  <si>
    <t>10月</t>
  </si>
  <si>
    <t>9月</t>
  </si>
  <si>
    <t>8月</t>
  </si>
  <si>
    <t>7月</t>
  </si>
  <si>
    <t>6月</t>
  </si>
  <si>
    <t>5月</t>
  </si>
  <si>
    <t>4月</t>
  </si>
  <si>
    <t>3月</t>
  </si>
  <si>
    <t xml:space="preserve">                                   </t>
  </si>
  <si>
    <t xml:space="preserve"> </t>
  </si>
  <si>
    <t>2月</t>
  </si>
  <si>
    <t>1月</t>
  </si>
  <si>
    <t>差值</t>
  </si>
  <si>
    <t>项目人力成本</t>
  </si>
  <si>
    <t>项目采购成本</t>
  </si>
  <si>
    <t>项目合同额</t>
  </si>
  <si>
    <t>滨海远宾仓储</t>
  </si>
  <si>
    <t>水泥制品项目</t>
  </si>
  <si>
    <t>信息化运维服务项目2</t>
  </si>
  <si>
    <t>信息化系统国产化改造项目</t>
  </si>
  <si>
    <t>综合数智能源运营服务平台（二期）委托研发项目</t>
  </si>
  <si>
    <t>CIM展厅零碳数据链路闭环(CIM系统扩展升级)建设项目</t>
  </si>
  <si>
    <t>石油公司油库安全风险智能化管控平台信息系统研发及应用项目</t>
  </si>
  <si>
    <t>AI智能视觉及通用智能体技术研究</t>
  </si>
  <si>
    <t>基于组态化在线监测及能源管理平台研发</t>
  </si>
  <si>
    <t>通用配电监测装置及平台研发</t>
  </si>
  <si>
    <t>基于配置模型驱动的低(零)代码开发技术研究</t>
  </si>
  <si>
    <t>基于物流供应链的AI+业能（源）融合一体化智能应用研究</t>
  </si>
  <si>
    <t>车联网运营平台</t>
  </si>
  <si>
    <t>综合数智能源运营服务平台功能深化委托研发项目合同</t>
  </si>
  <si>
    <t>信息化运维服务项目1</t>
  </si>
  <si>
    <t>天津公司本部绩效考核系统</t>
  </si>
  <si>
    <t>未有项目预算的接入光伏项目</t>
  </si>
  <si>
    <t>综合数智能源运营服务平台接入及远程运维服务项目合同</t>
  </si>
  <si>
    <t>县电力公司配电监测（30套）</t>
  </si>
  <si>
    <t>新海轮渡智慧配电安全集中监测
系统项目</t>
  </si>
  <si>
    <t>物流园区能耗与碳排数智平台示范项目</t>
  </si>
  <si>
    <t>CIM 大屏污水处理动态监测模块建设项目技术服务合同</t>
  </si>
  <si>
    <t>智慧能源监控管理系统物资供货采购合同</t>
  </si>
  <si>
    <t>物流园区能耗与碳排数据管理系统方案咨询报告</t>
  </si>
  <si>
    <t>智慧能源管理系统项目技术服务合同</t>
  </si>
  <si>
    <t>实际工作日</t>
  </si>
  <si>
    <t>法定工作日</t>
  </si>
  <si>
    <t>月份</t>
  </si>
  <si>
    <t>序号</t>
  </si>
  <si>
    <t>11-12月</t>
  </si>
  <si>
    <t>7月-12月</t>
  </si>
  <si>
    <t>1月-12月</t>
  </si>
  <si>
    <t>1月-3月</t>
  </si>
  <si>
    <t>1月-6月</t>
  </si>
  <si>
    <t>5月-12月</t>
  </si>
  <si>
    <t>6月-9月</t>
  </si>
  <si>
    <t>4月-8月</t>
  </si>
  <si>
    <t>项目周期</t>
  </si>
  <si>
    <t>管理费</t>
    <phoneticPr fontId="2" type="noConversion"/>
  </si>
  <si>
    <t>王A</t>
    <phoneticPr fontId="2" type="noConversion"/>
  </si>
  <si>
    <t>贾A</t>
    <phoneticPr fontId="2" type="noConversion"/>
  </si>
  <si>
    <t>常A</t>
    <phoneticPr fontId="2" type="noConversion"/>
  </si>
  <si>
    <t>黄A</t>
    <phoneticPr fontId="2" type="noConversion"/>
  </si>
  <si>
    <t>代A</t>
    <phoneticPr fontId="2" type="noConversion"/>
  </si>
  <si>
    <t>姜A</t>
    <phoneticPr fontId="2" type="noConversion"/>
  </si>
  <si>
    <t>周A</t>
    <phoneticPr fontId="2" type="noConversion"/>
  </si>
  <si>
    <t>王B</t>
    <phoneticPr fontId="2" type="noConversion"/>
  </si>
  <si>
    <t>张A</t>
    <phoneticPr fontId="2" type="noConversion"/>
  </si>
  <si>
    <t>赵A</t>
    <phoneticPr fontId="2" type="noConversion"/>
  </si>
  <si>
    <t>田A</t>
    <phoneticPr fontId="2" type="noConversion"/>
  </si>
  <si>
    <t>陈A</t>
    <phoneticPr fontId="2" type="noConversion"/>
  </si>
  <si>
    <t>于A</t>
    <phoneticPr fontId="2" type="noConversion"/>
  </si>
  <si>
    <t>只A</t>
    <phoneticPr fontId="2" type="noConversion"/>
  </si>
  <si>
    <t>薛A</t>
    <phoneticPr fontId="2" type="noConversion"/>
  </si>
  <si>
    <t>李A</t>
    <phoneticPr fontId="2" type="noConversion"/>
  </si>
  <si>
    <t>蔡A</t>
    <phoneticPr fontId="2" type="noConversion"/>
  </si>
  <si>
    <t>刘A</t>
    <phoneticPr fontId="2" type="noConversion"/>
  </si>
  <si>
    <t>徐A</t>
    <phoneticPr fontId="2" type="noConversion"/>
  </si>
  <si>
    <t>杨A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</si>
</sst>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3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</font>
    <font>
      <sz val="11"/>
      <name val="等线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2"/>
      <color theme="1"/>
      <name val="仿宋"/>
      <family val="3"/>
      <charset val="134"/>
    </font>
    <font>
      <sz val="11"/>
      <color theme="1"/>
      <name val="等线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2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E270"/>
      </patternFill>
    </fill>
    <fill>
      <patternFill patternType="solid">
        <fgColor rgb="FF8CDDF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FAF1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4" fontId="0" fillId="0" borderId="0" xfId="0" applyNumberFormat="1">
      <alignment vertical="center"/>
    </xf>
    <xf numFmtId="4" fontId="0" fillId="2" borderId="0" xfId="0" applyNumberFormat="1" applyFill="1">
      <alignment vertical="center"/>
    </xf>
    <xf numFmtId="4" fontId="0" fillId="3" borderId="0" xfId="0" applyNumberFormat="1" applyFill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4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3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3" borderId="4" xfId="0" applyFill="1" applyBorder="1">
      <alignment vertical="center"/>
    </xf>
    <xf numFmtId="0" fontId="4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6" xfId="0" applyFill="1" applyBorder="1">
      <alignment vertical="center"/>
    </xf>
    <xf numFmtId="0" fontId="0" fillId="3" borderId="6" xfId="0" applyFill="1" applyBorder="1">
      <alignment vertical="center"/>
    </xf>
    <xf numFmtId="0" fontId="4" fillId="0" borderId="7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0" fillId="2" borderId="8" xfId="0" applyFill="1" applyBorder="1">
      <alignment vertical="center"/>
    </xf>
    <xf numFmtId="0" fontId="1" fillId="2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4" fillId="0" borderId="9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0" fillId="2" borderId="10" xfId="0" applyFill="1" applyBorder="1">
      <alignment vertical="center"/>
    </xf>
    <xf numFmtId="0" fontId="1" fillId="2" borderId="10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3" borderId="10" xfId="0" applyFill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4" fillId="0" borderId="12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1" xfId="0" applyFont="1" applyBorder="1">
      <alignment vertical="center"/>
    </xf>
    <xf numFmtId="0" fontId="0" fillId="2" borderId="11" xfId="0" applyFill="1" applyBorder="1">
      <alignment vertical="center"/>
    </xf>
    <xf numFmtId="0" fontId="0" fillId="2" borderId="9" xfId="0" applyFill="1" applyBorder="1">
      <alignment vertical="center"/>
    </xf>
    <xf numFmtId="0" fontId="4" fillId="0" borderId="10" xfId="0" applyFont="1" applyBorder="1">
      <alignment vertical="center"/>
    </xf>
    <xf numFmtId="0" fontId="0" fillId="2" borderId="13" xfId="0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4" fillId="0" borderId="15" xfId="0" applyFont="1" applyBorder="1">
      <alignment vertical="center"/>
    </xf>
    <xf numFmtId="0" fontId="9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2" borderId="3" xfId="0" applyFont="1" applyFill="1" applyBorder="1">
      <alignment vertical="center"/>
    </xf>
    <xf numFmtId="0" fontId="0" fillId="2" borderId="3" xfId="0" applyFill="1" applyBorder="1">
      <alignment vertical="center"/>
    </xf>
    <xf numFmtId="0" fontId="6" fillId="2" borderId="4" xfId="0" applyFont="1" applyFill="1" applyBorder="1">
      <alignment vertical="center"/>
    </xf>
    <xf numFmtId="0" fontId="10" fillId="5" borderId="4" xfId="0" applyFont="1" applyFill="1" applyBorder="1" applyAlignment="1">
      <alignment vertical="center" wrapText="1"/>
    </xf>
    <xf numFmtId="0" fontId="9" fillId="5" borderId="16" xfId="0" applyFont="1" applyFill="1" applyBorder="1" applyAlignment="1">
      <alignment vertical="center" wrapText="1"/>
    </xf>
    <xf numFmtId="0" fontId="9" fillId="5" borderId="12" xfId="0" applyFont="1" applyFill="1" applyBorder="1" applyAlignment="1">
      <alignment vertical="center" wrapText="1"/>
    </xf>
    <xf numFmtId="0" fontId="11" fillId="6" borderId="12" xfId="0" applyFont="1" applyFill="1" applyBorder="1" applyAlignment="1">
      <alignment vertical="center" wrapText="1"/>
    </xf>
    <xf numFmtId="0" fontId="11" fillId="5" borderId="12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9" fillId="7" borderId="12" xfId="0" applyFont="1" applyFill="1" applyBorder="1" applyAlignment="1">
      <alignment vertical="center" wrapText="1"/>
    </xf>
    <xf numFmtId="0" fontId="9" fillId="3" borderId="12" xfId="0" applyFont="1" applyFill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5" borderId="3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176" fontId="9" fillId="5" borderId="4" xfId="0" applyNumberFormat="1" applyFont="1" applyFill="1" applyBorder="1" applyAlignment="1">
      <alignment vertical="center" wrapText="1"/>
    </xf>
    <xf numFmtId="0" fontId="8" fillId="0" borderId="0" xfId="0" applyFont="1">
      <alignment vertical="center"/>
    </xf>
    <xf numFmtId="0" fontId="10" fillId="5" borderId="3" xfId="0" applyFont="1" applyFill="1" applyBorder="1" applyAlignment="1">
      <alignment vertical="center" wrapText="1"/>
    </xf>
    <xf numFmtId="0" fontId="6" fillId="2" borderId="3" xfId="0" applyFont="1" applyFill="1" applyBorder="1">
      <alignment vertical="center"/>
    </xf>
    <xf numFmtId="0" fontId="10" fillId="5" borderId="10" xfId="0" applyFont="1" applyFill="1" applyBorder="1" applyAlignment="1">
      <alignment vertical="center" wrapText="1"/>
    </xf>
    <xf numFmtId="0" fontId="9" fillId="5" borderId="10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3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0" fillId="0" borderId="12" xfId="0" applyBorder="1">
      <alignment vertical="center"/>
    </xf>
    <xf numFmtId="0" fontId="5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11" xfId="0" applyBorder="1">
      <alignment vertical="center"/>
    </xf>
  </cellXfs>
  <cellStyles count="1">
    <cellStyle name="常规" xfId="0" builtinId="0"/>
  </cellStyles>
  <dxfs count="2">
    <dxf>
      <font>
        <b val="0"/>
        <i val="0"/>
        <strike val="0"/>
        <color rgb="FFBF711D"/>
      </font>
      <fill>
        <patternFill patternType="solid">
          <fgColor rgb="FFFEFBC6"/>
          <bgColor rgb="FFFEFBC6"/>
        </patternFill>
      </fill>
    </dxf>
    <dxf>
      <font>
        <b val="0"/>
        <i val="0"/>
        <strike val="0"/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F239-E5E8-41A7-B943-6FB2CE3A7C6A}">
  <dimension ref="A1:AF366"/>
  <sheetViews>
    <sheetView tabSelected="1" zoomScale="85" zoomScaleNormal="85" workbookViewId="0">
      <pane xSplit="5" ySplit="7" topLeftCell="F322" activePane="bottomRight" state="frozen"/>
      <selection pane="topRight"/>
      <selection pane="bottomLeft"/>
      <selection pane="bottomRight" activeCell="F2" sqref="F2:AE2"/>
    </sheetView>
  </sheetViews>
  <sheetFormatPr baseColWidth="10" defaultColWidth="8.83203125" defaultRowHeight="15"/>
  <cols>
    <col min="1" max="1" width="4.6640625" customWidth="1"/>
    <col min="2" max="2" width="14.5" customWidth="1"/>
    <col min="3" max="3" width="13.1640625" customWidth="1"/>
    <col min="4" max="4" width="13.33203125" customWidth="1"/>
    <col min="5" max="5" width="14.83203125" customWidth="1"/>
    <col min="6" max="6" width="18.33203125" customWidth="1"/>
    <col min="7" max="7" width="16.6640625" customWidth="1"/>
    <col min="8" max="8" width="12.83203125" style="2" customWidth="1"/>
    <col min="9" max="9" width="13.1640625" style="1" customWidth="1"/>
    <col min="10" max="10" width="15.33203125" style="1" customWidth="1"/>
    <col min="11" max="11" width="12.1640625" style="1" customWidth="1"/>
    <col min="12" max="12" width="11.6640625" customWidth="1"/>
    <col min="13" max="13" width="15" customWidth="1"/>
    <col min="15" max="15" width="14.33203125" customWidth="1"/>
    <col min="16" max="16" width="11.83203125" customWidth="1"/>
    <col min="17" max="17" width="13.5" customWidth="1"/>
    <col min="18" max="19" width="14.83203125" customWidth="1"/>
    <col min="20" max="20" width="13.1640625" customWidth="1"/>
    <col min="21" max="21" width="12.1640625" customWidth="1"/>
    <col min="22" max="22" width="11.6640625" customWidth="1"/>
    <col min="23" max="23" width="13.5" customWidth="1"/>
    <col min="25" max="25" width="12.33203125" customWidth="1"/>
    <col min="26" max="26" width="11" customWidth="1"/>
    <col min="27" max="27" width="11.6640625" customWidth="1"/>
    <col min="28" max="28" width="13.33203125" customWidth="1"/>
    <col min="29" max="31" width="12.5" customWidth="1"/>
    <col min="32" max="32" width="9.1640625" style="40"/>
  </cols>
  <sheetData>
    <row r="1" spans="1:32" ht="16">
      <c r="A1" s="82"/>
      <c r="B1" s="94" t="s">
        <v>66</v>
      </c>
      <c r="C1" s="95"/>
      <c r="D1" s="95"/>
      <c r="E1" s="95"/>
      <c r="F1" s="81" t="s">
        <v>61</v>
      </c>
      <c r="G1" s="76" t="s">
        <v>65</v>
      </c>
      <c r="H1" s="80" t="s">
        <v>63</v>
      </c>
      <c r="I1" s="79" t="s">
        <v>64</v>
      </c>
      <c r="J1" s="79"/>
      <c r="K1" s="78" t="s">
        <v>59</v>
      </c>
      <c r="L1" s="77" t="s">
        <v>59</v>
      </c>
      <c r="M1" s="76" t="s">
        <v>60</v>
      </c>
      <c r="N1" s="76" t="s">
        <v>60</v>
      </c>
      <c r="O1" s="76" t="s">
        <v>63</v>
      </c>
      <c r="P1" s="76" t="s">
        <v>62</v>
      </c>
      <c r="Q1" s="77" t="s">
        <v>59</v>
      </c>
      <c r="R1" s="77"/>
      <c r="S1" s="77" t="s">
        <v>59</v>
      </c>
      <c r="T1" s="76" t="s">
        <v>60</v>
      </c>
      <c r="U1" s="76" t="s">
        <v>60</v>
      </c>
      <c r="V1" s="76" t="s">
        <v>60</v>
      </c>
      <c r="W1" s="76" t="s">
        <v>60</v>
      </c>
      <c r="X1" s="76"/>
      <c r="Y1" s="76" t="s">
        <v>60</v>
      </c>
      <c r="Z1" s="76" t="s">
        <v>61</v>
      </c>
      <c r="AA1" s="76" t="s">
        <v>60</v>
      </c>
      <c r="AB1" s="76"/>
      <c r="AC1" s="75" t="s">
        <v>59</v>
      </c>
      <c r="AD1" s="66" t="s">
        <v>58</v>
      </c>
      <c r="AE1" s="83" t="s">
        <v>58</v>
      </c>
      <c r="AF1" s="85"/>
    </row>
    <row r="2" spans="1:32" ht="75">
      <c r="A2" s="4" t="s">
        <v>57</v>
      </c>
      <c r="B2" s="74" t="s">
        <v>56</v>
      </c>
      <c r="C2" s="74"/>
      <c r="D2" s="74" t="s">
        <v>55</v>
      </c>
      <c r="E2" s="74" t="s">
        <v>54</v>
      </c>
      <c r="F2" s="68" t="s">
        <v>53</v>
      </c>
      <c r="G2" s="68" t="s">
        <v>52</v>
      </c>
      <c r="H2" s="73" t="s">
        <v>51</v>
      </c>
      <c r="I2" s="72" t="s">
        <v>50</v>
      </c>
      <c r="J2" s="68" t="s">
        <v>49</v>
      </c>
      <c r="K2" s="71" t="s">
        <v>48</v>
      </c>
      <c r="L2" s="68" t="s">
        <v>47</v>
      </c>
      <c r="M2" s="68" t="s">
        <v>46</v>
      </c>
      <c r="N2" s="68" t="s">
        <v>45</v>
      </c>
      <c r="O2" s="68" t="s">
        <v>44</v>
      </c>
      <c r="P2" s="68" t="s">
        <v>43</v>
      </c>
      <c r="Q2" s="68" t="s">
        <v>42</v>
      </c>
      <c r="R2" s="70" t="s">
        <v>41</v>
      </c>
      <c r="S2" s="69" t="s">
        <v>40</v>
      </c>
      <c r="T2" s="69" t="s">
        <v>39</v>
      </c>
      <c r="U2" s="69" t="s">
        <v>38</v>
      </c>
      <c r="V2" s="69" t="s">
        <v>37</v>
      </c>
      <c r="W2" s="69" t="s">
        <v>36</v>
      </c>
      <c r="X2" s="87" t="s">
        <v>67</v>
      </c>
      <c r="Y2" s="68" t="s">
        <v>35</v>
      </c>
      <c r="Z2" s="68" t="s">
        <v>34</v>
      </c>
      <c r="AA2" s="68" t="s">
        <v>33</v>
      </c>
      <c r="AB2" s="68" t="s">
        <v>32</v>
      </c>
      <c r="AC2" s="67" t="s">
        <v>31</v>
      </c>
      <c r="AD2" s="66" t="s">
        <v>30</v>
      </c>
      <c r="AE2" s="83" t="s">
        <v>29</v>
      </c>
      <c r="AF2" s="86"/>
    </row>
    <row r="3" spans="1:32" ht="22.75" customHeight="1">
      <c r="A3" s="4"/>
      <c r="B3" s="101" t="s">
        <v>28</v>
      </c>
      <c r="C3" s="102"/>
      <c r="D3" s="62"/>
      <c r="E3" s="62"/>
      <c r="F3" s="17"/>
      <c r="G3" s="17"/>
      <c r="H3" s="18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64"/>
      <c r="AD3" s="65"/>
      <c r="AE3" s="84"/>
    </row>
    <row r="4" spans="1:32" ht="22.75" customHeight="1">
      <c r="A4" s="4"/>
      <c r="B4" s="101" t="s">
        <v>27</v>
      </c>
      <c r="C4" s="102"/>
      <c r="D4" s="62"/>
      <c r="E4" s="62"/>
      <c r="F4" s="17"/>
      <c r="G4" s="17"/>
      <c r="H4" s="18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64"/>
      <c r="AD4" s="65"/>
      <c r="AE4" s="84"/>
    </row>
    <row r="5" spans="1:32" ht="22.75" customHeight="1">
      <c r="A5" s="4">
        <v>275</v>
      </c>
      <c r="B5" s="101" t="s">
        <v>26</v>
      </c>
      <c r="C5" s="101"/>
      <c r="D5" s="62"/>
      <c r="E5" s="62">
        <f>SUM(F5:AE5)</f>
        <v>3929618.96</v>
      </c>
      <c r="F5" s="17">
        <f t="shared" ref="F5:W5" si="0">SUM(F302:F322)</f>
        <v>29523.8</v>
      </c>
      <c r="G5" s="17">
        <f t="shared" si="0"/>
        <v>2952.38</v>
      </c>
      <c r="H5" s="18">
        <f t="shared" si="0"/>
        <v>265714.28000000003</v>
      </c>
      <c r="I5" s="17">
        <f t="shared" si="0"/>
        <v>225857.15000000002</v>
      </c>
      <c r="J5" s="17">
        <f t="shared" si="0"/>
        <v>0</v>
      </c>
      <c r="K5" s="17">
        <f t="shared" si="0"/>
        <v>0</v>
      </c>
      <c r="L5" s="17">
        <f t="shared" si="0"/>
        <v>60523.81</v>
      </c>
      <c r="M5" s="17">
        <f t="shared" si="0"/>
        <v>110714.27999999998</v>
      </c>
      <c r="N5" s="17">
        <f t="shared" si="0"/>
        <v>0</v>
      </c>
      <c r="O5" s="17">
        <f t="shared" si="0"/>
        <v>221428.55999999997</v>
      </c>
      <c r="P5" s="17">
        <f t="shared" si="0"/>
        <v>121047.61000000002</v>
      </c>
      <c r="Q5" s="17">
        <f t="shared" si="0"/>
        <v>256857.13</v>
      </c>
      <c r="R5" s="17">
        <f t="shared" si="0"/>
        <v>0</v>
      </c>
      <c r="S5" s="17">
        <f t="shared" si="0"/>
        <v>321809.52</v>
      </c>
      <c r="T5" s="17">
        <f t="shared" si="0"/>
        <v>330666.65999999997</v>
      </c>
      <c r="U5" s="17">
        <f t="shared" si="0"/>
        <v>323285.72000000003</v>
      </c>
      <c r="V5" s="17">
        <f t="shared" si="0"/>
        <v>653952.37</v>
      </c>
      <c r="W5" s="17">
        <f t="shared" si="0"/>
        <v>320333.31999999995</v>
      </c>
      <c r="X5" s="17">
        <v>0</v>
      </c>
      <c r="Y5" s="17">
        <f t="shared" ref="Y5:AE5" si="1">SUM(Y302:Y322)</f>
        <v>115142.85</v>
      </c>
      <c r="Z5" s="17">
        <f t="shared" si="1"/>
        <v>106285.70999999999</v>
      </c>
      <c r="AA5" s="17">
        <f t="shared" si="1"/>
        <v>131380.94</v>
      </c>
      <c r="AB5" s="17">
        <f t="shared" si="1"/>
        <v>0</v>
      </c>
      <c r="AC5" s="64">
        <f t="shared" si="1"/>
        <v>311476.2</v>
      </c>
      <c r="AD5" s="63">
        <f t="shared" si="1"/>
        <v>4428.57</v>
      </c>
      <c r="AE5" s="63">
        <f t="shared" si="1"/>
        <v>16238.1</v>
      </c>
    </row>
    <row r="6" spans="1:32" ht="22.75" customHeight="1">
      <c r="A6" s="4">
        <v>276</v>
      </c>
      <c r="B6" s="101" t="s">
        <v>2</v>
      </c>
      <c r="C6" s="103"/>
      <c r="D6" s="62"/>
      <c r="E6" s="62">
        <f t="shared" ref="E6:E25" si="2">SUM(F6:AC6)</f>
        <v>3630803</v>
      </c>
      <c r="F6" s="15">
        <v>24447</v>
      </c>
      <c r="G6" s="15">
        <v>2768</v>
      </c>
      <c r="H6" s="18">
        <v>109500</v>
      </c>
      <c r="I6" s="17">
        <v>13044</v>
      </c>
      <c r="J6" s="17">
        <v>0</v>
      </c>
      <c r="K6" s="17">
        <v>0</v>
      </c>
      <c r="L6" s="15">
        <v>54000</v>
      </c>
      <c r="M6" s="15">
        <v>109935</v>
      </c>
      <c r="N6" s="15">
        <v>0</v>
      </c>
      <c r="O6" s="15">
        <v>213110</v>
      </c>
      <c r="P6" s="15">
        <v>197714</v>
      </c>
      <c r="Q6" s="15">
        <v>216000</v>
      </c>
      <c r="R6" s="15">
        <v>350000</v>
      </c>
      <c r="S6" s="15">
        <v>300000</v>
      </c>
      <c r="T6" s="16">
        <v>320000</v>
      </c>
      <c r="U6" s="15">
        <v>300000</v>
      </c>
      <c r="V6" s="15">
        <v>630000</v>
      </c>
      <c r="W6" s="15">
        <v>300000</v>
      </c>
      <c r="X6" s="15"/>
      <c r="Y6" s="15">
        <v>100000</v>
      </c>
      <c r="Z6" s="15">
        <v>108000</v>
      </c>
      <c r="AA6" s="15">
        <v>126000</v>
      </c>
      <c r="AB6" s="15"/>
      <c r="AC6" s="14">
        <v>156285</v>
      </c>
      <c r="AD6" s="37"/>
      <c r="AE6" s="49"/>
    </row>
    <row r="7" spans="1:32" ht="18">
      <c r="A7" s="4"/>
      <c r="B7" s="97" t="s">
        <v>25</v>
      </c>
      <c r="C7" s="104"/>
      <c r="D7" s="61"/>
      <c r="E7" s="60">
        <f t="shared" si="2"/>
        <v>278149.28999999998</v>
      </c>
      <c r="F7" s="4">
        <f t="shared" ref="F7:AC7" si="3">F5-F6</f>
        <v>5076.7999999999993</v>
      </c>
      <c r="G7" s="4">
        <f t="shared" si="3"/>
        <v>184.38000000000011</v>
      </c>
      <c r="H7" s="59">
        <f t="shared" si="3"/>
        <v>156214.28000000003</v>
      </c>
      <c r="I7" s="58">
        <f t="shared" si="3"/>
        <v>212813.15000000002</v>
      </c>
      <c r="J7" s="1">
        <f t="shared" si="3"/>
        <v>0</v>
      </c>
      <c r="K7" s="1">
        <f t="shared" si="3"/>
        <v>0</v>
      </c>
      <c r="L7" s="4">
        <f t="shared" si="3"/>
        <v>6523.8099999999977</v>
      </c>
      <c r="M7" s="4">
        <f t="shared" si="3"/>
        <v>779.27999999998428</v>
      </c>
      <c r="N7" s="4">
        <f t="shared" si="3"/>
        <v>0</v>
      </c>
      <c r="O7" s="4">
        <f t="shared" si="3"/>
        <v>8318.5599999999686</v>
      </c>
      <c r="P7" s="4">
        <f t="shared" si="3"/>
        <v>-76666.389999999985</v>
      </c>
      <c r="Q7" s="4">
        <f t="shared" si="3"/>
        <v>40857.130000000005</v>
      </c>
      <c r="R7" s="4">
        <f t="shared" si="3"/>
        <v>-350000</v>
      </c>
      <c r="S7" s="4">
        <f t="shared" si="3"/>
        <v>21809.520000000019</v>
      </c>
      <c r="T7" s="4">
        <f t="shared" si="3"/>
        <v>10666.659999999974</v>
      </c>
      <c r="U7" s="4">
        <f t="shared" si="3"/>
        <v>23285.72000000003</v>
      </c>
      <c r="V7" s="4">
        <f t="shared" si="3"/>
        <v>23952.369999999995</v>
      </c>
      <c r="W7" s="4">
        <f t="shared" si="3"/>
        <v>20333.319999999949</v>
      </c>
      <c r="X7" s="4">
        <f t="shared" si="3"/>
        <v>0</v>
      </c>
      <c r="Y7" s="4">
        <f t="shared" si="3"/>
        <v>15142.850000000006</v>
      </c>
      <c r="Z7" s="4">
        <f t="shared" si="3"/>
        <v>-1714.2900000000081</v>
      </c>
      <c r="AA7" s="4">
        <f t="shared" si="3"/>
        <v>5380.9400000000023</v>
      </c>
      <c r="AB7" s="4">
        <f t="shared" si="3"/>
        <v>0</v>
      </c>
      <c r="AC7" s="4">
        <f t="shared" si="3"/>
        <v>155191.20000000001</v>
      </c>
      <c r="AD7" s="37"/>
      <c r="AE7" s="49"/>
    </row>
    <row r="8" spans="1:32" ht="19" customHeight="1">
      <c r="A8" s="4">
        <v>1</v>
      </c>
      <c r="B8" s="88" t="s">
        <v>24</v>
      </c>
      <c r="C8" s="42" t="s">
        <v>68</v>
      </c>
      <c r="D8" s="46">
        <v>21</v>
      </c>
      <c r="E8" s="42">
        <f t="shared" si="2"/>
        <v>21</v>
      </c>
      <c r="F8" s="32">
        <v>4</v>
      </c>
      <c r="G8" s="32"/>
      <c r="H8" s="35"/>
      <c r="I8" s="34"/>
      <c r="J8" s="33"/>
      <c r="K8" s="33"/>
      <c r="L8" s="32"/>
      <c r="M8" s="32">
        <v>2</v>
      </c>
      <c r="N8" s="32"/>
      <c r="O8" s="32">
        <v>2</v>
      </c>
      <c r="P8" s="32"/>
      <c r="Q8" s="32"/>
      <c r="R8" s="32"/>
      <c r="S8" s="32"/>
      <c r="T8" s="32">
        <v>7</v>
      </c>
      <c r="U8" s="32"/>
      <c r="V8" s="32">
        <v>6</v>
      </c>
      <c r="W8" s="32"/>
      <c r="X8" s="32"/>
      <c r="Y8" s="32"/>
      <c r="Z8" s="32"/>
      <c r="AA8" s="32"/>
      <c r="AB8" s="32"/>
      <c r="AC8" s="31"/>
      <c r="AD8" s="37"/>
      <c r="AE8" s="49"/>
    </row>
    <row r="9" spans="1:32" ht="19" customHeight="1">
      <c r="A9" s="4">
        <v>2</v>
      </c>
      <c r="B9" s="105"/>
      <c r="C9" s="42" t="s">
        <v>69</v>
      </c>
      <c r="D9" s="46">
        <v>21</v>
      </c>
      <c r="E9" s="42">
        <f t="shared" si="2"/>
        <v>21</v>
      </c>
      <c r="F9" s="32"/>
      <c r="G9" s="32"/>
      <c r="H9" s="35"/>
      <c r="I9" s="34"/>
      <c r="J9" s="33"/>
      <c r="K9" s="33"/>
      <c r="L9" s="32"/>
      <c r="M9" s="32">
        <v>1</v>
      </c>
      <c r="N9" s="32"/>
      <c r="O9" s="32">
        <v>1</v>
      </c>
      <c r="P9" s="32"/>
      <c r="Q9" s="32"/>
      <c r="R9" s="32"/>
      <c r="S9" s="32"/>
      <c r="T9" s="32">
        <v>9</v>
      </c>
      <c r="U9" s="32"/>
      <c r="V9" s="40">
        <v>10</v>
      </c>
      <c r="W9" s="32"/>
      <c r="X9" s="32"/>
      <c r="Y9" s="32"/>
      <c r="Z9" s="32"/>
      <c r="AA9" s="32"/>
      <c r="AB9" s="32"/>
      <c r="AC9" s="31"/>
      <c r="AD9" s="37"/>
      <c r="AE9" s="49"/>
    </row>
    <row r="10" spans="1:32" ht="19" customHeight="1">
      <c r="A10" s="4">
        <v>3</v>
      </c>
      <c r="B10" s="105"/>
      <c r="C10" s="42" t="s">
        <v>70</v>
      </c>
      <c r="D10" s="46">
        <v>21</v>
      </c>
      <c r="E10" s="42">
        <f t="shared" si="2"/>
        <v>21</v>
      </c>
      <c r="F10" s="32"/>
      <c r="G10" s="32"/>
      <c r="H10" s="35"/>
      <c r="I10" s="34"/>
      <c r="J10" s="33"/>
      <c r="K10" s="33"/>
      <c r="L10" s="32"/>
      <c r="M10" s="32"/>
      <c r="N10" s="32"/>
      <c r="O10" s="32">
        <v>5</v>
      </c>
      <c r="P10" s="32">
        <v>16</v>
      </c>
      <c r="Q10" s="32"/>
      <c r="R10" s="32"/>
      <c r="S10" s="32"/>
      <c r="T10" s="32"/>
      <c r="U10" s="32"/>
      <c r="V10" s="40"/>
      <c r="W10" s="32"/>
      <c r="X10" s="32"/>
      <c r="Z10" s="32"/>
      <c r="AA10" s="32"/>
      <c r="AB10" s="32"/>
      <c r="AC10" s="31"/>
      <c r="AD10" s="37"/>
      <c r="AE10" s="49"/>
    </row>
    <row r="11" spans="1:32" ht="19" customHeight="1">
      <c r="A11" s="4">
        <v>4</v>
      </c>
      <c r="B11" s="105"/>
      <c r="C11" s="42" t="s">
        <v>71</v>
      </c>
      <c r="D11" s="46">
        <v>21</v>
      </c>
      <c r="E11" s="42">
        <f t="shared" si="2"/>
        <v>21</v>
      </c>
      <c r="F11" s="32"/>
      <c r="G11" s="32"/>
      <c r="H11" s="35"/>
      <c r="I11" s="34"/>
      <c r="J11" s="33"/>
      <c r="K11" s="33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40">
        <v>15</v>
      </c>
      <c r="W11" s="32"/>
      <c r="X11" s="32"/>
      <c r="Y11" s="32"/>
      <c r="Z11" s="32">
        <v>6</v>
      </c>
      <c r="AA11" s="32"/>
      <c r="AB11" s="32"/>
      <c r="AC11" s="31"/>
      <c r="AD11" s="37"/>
      <c r="AE11" s="49"/>
    </row>
    <row r="12" spans="1:32" ht="19" customHeight="1">
      <c r="A12" s="4">
        <v>5</v>
      </c>
      <c r="B12" s="105"/>
      <c r="C12" s="42" t="s">
        <v>72</v>
      </c>
      <c r="D12" s="46">
        <v>21</v>
      </c>
      <c r="E12" s="42">
        <f t="shared" si="2"/>
        <v>21</v>
      </c>
      <c r="F12" s="32"/>
      <c r="G12" s="32"/>
      <c r="H12" s="35"/>
      <c r="I12" s="34"/>
      <c r="J12" s="33"/>
      <c r="K12" s="33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40">
        <v>17</v>
      </c>
      <c r="W12" s="32"/>
      <c r="X12" s="32"/>
      <c r="Y12" s="32"/>
      <c r="Z12" s="32">
        <v>4</v>
      </c>
      <c r="AA12" s="32"/>
      <c r="AB12" s="32"/>
      <c r="AC12" s="31"/>
      <c r="AD12" s="37"/>
      <c r="AE12" s="49"/>
    </row>
    <row r="13" spans="1:32" ht="19" customHeight="1">
      <c r="A13" s="4">
        <v>6</v>
      </c>
      <c r="B13" s="105"/>
      <c r="C13" s="42" t="s">
        <v>73</v>
      </c>
      <c r="D13" s="46"/>
      <c r="E13" s="42">
        <f t="shared" si="2"/>
        <v>0</v>
      </c>
      <c r="F13" s="32"/>
      <c r="G13" s="32"/>
      <c r="H13" s="35"/>
      <c r="I13" s="34"/>
      <c r="J13" s="33"/>
      <c r="K13" s="33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1"/>
      <c r="AD13" s="37"/>
      <c r="AE13" s="49"/>
    </row>
    <row r="14" spans="1:32" ht="19" customHeight="1">
      <c r="A14" s="4">
        <v>7</v>
      </c>
      <c r="B14" s="105"/>
      <c r="C14" s="42" t="s">
        <v>74</v>
      </c>
      <c r="D14" s="46">
        <v>21</v>
      </c>
      <c r="E14" s="42">
        <f t="shared" si="2"/>
        <v>21</v>
      </c>
      <c r="F14" s="32"/>
      <c r="G14" s="32"/>
      <c r="H14" s="35"/>
      <c r="I14" s="34"/>
      <c r="J14" s="33"/>
      <c r="K14" s="33"/>
      <c r="L14" s="32"/>
      <c r="M14" s="32"/>
      <c r="N14" s="32"/>
      <c r="O14" s="32"/>
      <c r="P14" s="32">
        <v>1</v>
      </c>
      <c r="Q14" s="32"/>
      <c r="R14" s="32"/>
      <c r="S14" s="32"/>
      <c r="T14" s="32">
        <v>20</v>
      </c>
      <c r="U14" s="32"/>
      <c r="V14" s="40"/>
      <c r="W14" s="32"/>
      <c r="X14" s="32"/>
      <c r="Z14" s="32"/>
      <c r="AA14" s="32"/>
      <c r="AB14" s="32"/>
      <c r="AC14" s="31"/>
      <c r="AD14" s="37"/>
      <c r="AE14" s="49"/>
    </row>
    <row r="15" spans="1:32" ht="19" customHeight="1">
      <c r="A15" s="4">
        <v>8</v>
      </c>
      <c r="B15" s="105"/>
      <c r="C15" s="42" t="s">
        <v>75</v>
      </c>
      <c r="D15" s="46">
        <v>21</v>
      </c>
      <c r="E15" s="42">
        <f t="shared" si="2"/>
        <v>21</v>
      </c>
      <c r="F15" s="32"/>
      <c r="G15" s="32"/>
      <c r="H15" s="35"/>
      <c r="I15" s="34"/>
      <c r="J15" s="33"/>
      <c r="K15" s="33"/>
      <c r="L15" s="32"/>
      <c r="M15" s="32">
        <v>2</v>
      </c>
      <c r="N15" s="32"/>
      <c r="O15" s="32"/>
      <c r="P15" s="32"/>
      <c r="Q15" s="32"/>
      <c r="R15" s="32"/>
      <c r="S15" s="32"/>
      <c r="T15" s="32">
        <v>19</v>
      </c>
      <c r="U15" s="32"/>
      <c r="V15" s="40"/>
      <c r="W15" s="32"/>
      <c r="X15" s="32"/>
      <c r="Y15" s="32"/>
      <c r="Z15" s="32"/>
      <c r="AA15" s="32"/>
      <c r="AC15" s="31"/>
      <c r="AD15" s="37"/>
      <c r="AE15" s="49"/>
    </row>
    <row r="16" spans="1:32" ht="19" customHeight="1">
      <c r="A16" s="4">
        <v>9</v>
      </c>
      <c r="B16" s="105"/>
      <c r="C16" s="42" t="s">
        <v>76</v>
      </c>
      <c r="D16" s="46">
        <v>21</v>
      </c>
      <c r="E16" s="42">
        <f t="shared" si="2"/>
        <v>21</v>
      </c>
      <c r="F16" s="32">
        <v>10</v>
      </c>
      <c r="G16" s="32"/>
      <c r="H16" s="35"/>
      <c r="I16" s="34"/>
      <c r="J16" s="33"/>
      <c r="K16" s="33"/>
      <c r="L16" s="32"/>
      <c r="M16" s="32"/>
      <c r="N16" s="32"/>
      <c r="O16" s="32"/>
      <c r="P16" s="32"/>
      <c r="Q16" s="32"/>
      <c r="R16" s="32"/>
      <c r="S16" s="32"/>
      <c r="T16" s="32"/>
      <c r="U16" s="32"/>
      <c r="W16" s="32"/>
      <c r="X16" s="32"/>
      <c r="Y16" s="32"/>
      <c r="Z16" s="32">
        <v>11</v>
      </c>
      <c r="AA16" s="32"/>
      <c r="AB16" s="32"/>
      <c r="AC16" s="31"/>
      <c r="AD16" s="37"/>
      <c r="AE16" s="49"/>
    </row>
    <row r="17" spans="1:31" ht="19" customHeight="1">
      <c r="A17" s="4">
        <v>10</v>
      </c>
      <c r="B17" s="105"/>
      <c r="C17" s="42" t="s">
        <v>77</v>
      </c>
      <c r="D17" s="46">
        <v>21</v>
      </c>
      <c r="E17" s="42">
        <f t="shared" si="2"/>
        <v>21</v>
      </c>
      <c r="F17" s="32"/>
      <c r="G17" s="32"/>
      <c r="H17" s="35"/>
      <c r="I17" s="34"/>
      <c r="J17" s="33"/>
      <c r="K17" s="33"/>
      <c r="L17" s="32"/>
      <c r="M17" s="32">
        <v>5</v>
      </c>
      <c r="N17" s="32"/>
      <c r="O17" s="32"/>
      <c r="P17" s="32"/>
      <c r="Q17" s="32"/>
      <c r="R17" s="32"/>
      <c r="S17" s="32"/>
      <c r="T17" s="32"/>
      <c r="U17" s="32"/>
      <c r="V17" s="40">
        <v>16</v>
      </c>
      <c r="W17" s="32"/>
      <c r="X17" s="32"/>
      <c r="Y17" s="32"/>
      <c r="Z17" s="32"/>
      <c r="AA17" s="32"/>
      <c r="AB17" s="32"/>
      <c r="AC17" s="31"/>
      <c r="AD17" s="37"/>
      <c r="AE17" s="49"/>
    </row>
    <row r="18" spans="1:31" ht="19" customHeight="1">
      <c r="A18" s="4">
        <v>11</v>
      </c>
      <c r="B18" s="105"/>
      <c r="C18" s="42" t="s">
        <v>78</v>
      </c>
      <c r="D18" s="46"/>
      <c r="E18" s="42">
        <f t="shared" si="2"/>
        <v>0</v>
      </c>
      <c r="F18" s="32"/>
      <c r="G18" s="32"/>
      <c r="H18" s="35"/>
      <c r="I18" s="34"/>
      <c r="J18" s="33"/>
      <c r="K18" s="33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1"/>
      <c r="AD18" s="37"/>
      <c r="AE18" s="49"/>
    </row>
    <row r="19" spans="1:31" ht="19" customHeight="1">
      <c r="A19" s="4">
        <v>12</v>
      </c>
      <c r="B19" s="105"/>
      <c r="C19" s="42" t="s">
        <v>79</v>
      </c>
      <c r="D19" s="46"/>
      <c r="E19" s="42">
        <f t="shared" si="2"/>
        <v>0</v>
      </c>
      <c r="F19" s="32"/>
      <c r="G19" s="32"/>
      <c r="H19" s="35"/>
      <c r="I19" s="34"/>
      <c r="J19" s="33"/>
      <c r="K19" s="33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1"/>
      <c r="AD19" s="37"/>
      <c r="AE19" s="49"/>
    </row>
    <row r="20" spans="1:31" ht="19" customHeight="1">
      <c r="A20" s="4">
        <v>13</v>
      </c>
      <c r="B20" s="105"/>
      <c r="C20" s="43" t="s">
        <v>80</v>
      </c>
      <c r="D20" s="46">
        <v>21</v>
      </c>
      <c r="E20" s="42">
        <f t="shared" si="2"/>
        <v>21</v>
      </c>
      <c r="F20" s="32"/>
      <c r="G20" s="32"/>
      <c r="H20" s="35"/>
      <c r="I20" s="34"/>
      <c r="J20" s="33"/>
      <c r="K20" s="33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40">
        <v>21</v>
      </c>
      <c r="Y20" s="32"/>
      <c r="Z20" s="32"/>
      <c r="AA20" s="32"/>
      <c r="AB20" s="32"/>
      <c r="AC20" s="31"/>
      <c r="AD20" s="37"/>
      <c r="AE20" s="49"/>
    </row>
    <row r="21" spans="1:31" ht="19" customHeight="1">
      <c r="A21" s="4">
        <v>14</v>
      </c>
      <c r="B21" s="105"/>
      <c r="C21" s="42" t="s">
        <v>81</v>
      </c>
      <c r="D21" s="46">
        <v>21</v>
      </c>
      <c r="E21" s="42">
        <f t="shared" si="2"/>
        <v>21</v>
      </c>
      <c r="F21" s="32"/>
      <c r="G21" s="32"/>
      <c r="H21" s="35"/>
      <c r="I21" s="34"/>
      <c r="J21" s="33"/>
      <c r="K21" s="33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40">
        <v>21</v>
      </c>
      <c r="Y21" s="32"/>
      <c r="Z21" s="32"/>
      <c r="AA21" s="32"/>
      <c r="AB21" s="32"/>
      <c r="AC21" s="31"/>
      <c r="AD21" s="37"/>
      <c r="AE21" s="49"/>
    </row>
    <row r="22" spans="1:31" ht="19" customHeight="1">
      <c r="A22" s="4">
        <v>15</v>
      </c>
      <c r="B22" s="105"/>
      <c r="C22" s="42" t="s">
        <v>82</v>
      </c>
      <c r="D22" s="46">
        <v>21</v>
      </c>
      <c r="E22" s="42">
        <f t="shared" si="2"/>
        <v>21</v>
      </c>
      <c r="F22" s="32"/>
      <c r="G22" s="32"/>
      <c r="H22" s="35"/>
      <c r="I22" s="34"/>
      <c r="J22" s="33"/>
      <c r="K22" s="33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40">
        <v>21</v>
      </c>
      <c r="Y22" s="32"/>
      <c r="Z22" s="32"/>
      <c r="AA22" s="32"/>
      <c r="AB22" s="32"/>
      <c r="AC22" s="31"/>
      <c r="AD22" s="37"/>
      <c r="AE22" s="49"/>
    </row>
    <row r="23" spans="1:31" ht="19" customHeight="1">
      <c r="A23" s="4">
        <v>16</v>
      </c>
      <c r="B23" s="105"/>
      <c r="C23" s="42" t="s">
        <v>83</v>
      </c>
      <c r="D23" s="46">
        <v>21</v>
      </c>
      <c r="E23" s="42">
        <f t="shared" si="2"/>
        <v>21</v>
      </c>
      <c r="F23" s="32"/>
      <c r="G23" s="32"/>
      <c r="H23" s="35"/>
      <c r="I23" s="34"/>
      <c r="J23" s="33"/>
      <c r="K23" s="33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40">
        <v>21</v>
      </c>
      <c r="Y23" s="32"/>
      <c r="Z23" s="32"/>
      <c r="AA23" s="32"/>
      <c r="AB23" s="32"/>
      <c r="AC23" s="31"/>
      <c r="AD23" s="37"/>
      <c r="AE23" s="49"/>
    </row>
    <row r="24" spans="1:31" ht="19" customHeight="1">
      <c r="A24" s="4">
        <v>17</v>
      </c>
      <c r="B24" s="105"/>
      <c r="C24" s="42" t="s">
        <v>84</v>
      </c>
      <c r="D24" s="46">
        <v>21</v>
      </c>
      <c r="E24" s="42">
        <f t="shared" si="2"/>
        <v>21</v>
      </c>
      <c r="F24" s="32"/>
      <c r="G24" s="32"/>
      <c r="H24" s="35"/>
      <c r="I24" s="34"/>
      <c r="J24" s="33"/>
      <c r="K24" s="33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40">
        <v>21</v>
      </c>
      <c r="Y24" s="32"/>
      <c r="Z24" s="32"/>
      <c r="AA24" s="32"/>
      <c r="AB24" s="32"/>
      <c r="AC24" s="31"/>
      <c r="AD24" s="37"/>
      <c r="AE24" s="49"/>
    </row>
    <row r="25" spans="1:31" ht="17" customHeight="1">
      <c r="A25" s="4"/>
      <c r="B25" s="105"/>
      <c r="C25" s="42" t="s">
        <v>85</v>
      </c>
      <c r="D25" s="46">
        <v>21</v>
      </c>
      <c r="E25" s="42">
        <f t="shared" si="2"/>
        <v>21</v>
      </c>
      <c r="F25" s="32"/>
      <c r="G25" s="32"/>
      <c r="H25" s="35"/>
      <c r="I25" s="34"/>
      <c r="J25" s="33"/>
      <c r="K25" s="33"/>
      <c r="L25" s="32"/>
      <c r="M25" s="32"/>
      <c r="N25" s="32"/>
      <c r="O25" s="32"/>
      <c r="P25" s="32"/>
      <c r="Q25" s="32"/>
      <c r="R25" s="32"/>
      <c r="S25" s="32"/>
      <c r="T25" s="40"/>
      <c r="U25" s="32"/>
      <c r="V25" s="40"/>
      <c r="W25" s="32"/>
      <c r="X25" s="40">
        <v>21</v>
      </c>
      <c r="Y25" s="32"/>
      <c r="Z25" s="32"/>
      <c r="AA25" s="32"/>
      <c r="AB25" s="32"/>
      <c r="AC25" s="31"/>
      <c r="AD25" s="37"/>
      <c r="AE25" s="49"/>
    </row>
    <row r="26" spans="1:31" ht="17" customHeight="1">
      <c r="A26" s="4"/>
      <c r="B26" s="105"/>
      <c r="C26" s="42" t="s">
        <v>86</v>
      </c>
      <c r="D26" s="46">
        <v>21</v>
      </c>
      <c r="E26" s="42">
        <v>21</v>
      </c>
      <c r="F26" s="32"/>
      <c r="G26" s="32"/>
      <c r="H26" s="35"/>
      <c r="I26" s="34"/>
      <c r="J26" s="33"/>
      <c r="K26" s="33"/>
      <c r="L26" s="32"/>
      <c r="M26" s="32"/>
      <c r="N26" s="32"/>
      <c r="O26" s="32"/>
      <c r="P26" s="32"/>
      <c r="Q26" s="32"/>
      <c r="R26" s="32"/>
      <c r="S26" s="32"/>
      <c r="T26" s="40"/>
      <c r="U26" s="32"/>
      <c r="V26" s="40"/>
      <c r="W26" s="32"/>
      <c r="X26" s="32">
        <v>21</v>
      </c>
      <c r="Y26" s="32"/>
      <c r="Z26" s="32"/>
      <c r="AA26" s="32"/>
      <c r="AB26" s="32"/>
      <c r="AC26" s="31"/>
      <c r="AD26" s="37"/>
      <c r="AE26" s="49"/>
    </row>
    <row r="27" spans="1:31" ht="17" customHeight="1">
      <c r="A27" s="4"/>
      <c r="B27" s="105"/>
      <c r="C27" s="42" t="s">
        <v>87</v>
      </c>
      <c r="D27" s="46">
        <v>21</v>
      </c>
      <c r="E27" s="42">
        <v>21</v>
      </c>
      <c r="F27" s="32"/>
      <c r="G27" s="32"/>
      <c r="H27" s="35"/>
      <c r="I27" s="34"/>
      <c r="J27" s="27"/>
      <c r="K27" s="33"/>
      <c r="L27" s="32"/>
      <c r="M27" s="32"/>
      <c r="N27" s="32"/>
      <c r="O27" s="32"/>
      <c r="P27" s="32"/>
      <c r="Q27" s="32"/>
      <c r="R27" s="32"/>
      <c r="S27" s="32"/>
      <c r="T27" s="40"/>
      <c r="U27" s="32"/>
      <c r="V27" s="40"/>
      <c r="W27" s="32"/>
      <c r="X27" s="32">
        <v>21</v>
      </c>
      <c r="Y27" s="32"/>
      <c r="Z27" s="32"/>
      <c r="AA27" s="32"/>
      <c r="AB27" s="32"/>
      <c r="AC27" s="31"/>
      <c r="AD27" s="37"/>
      <c r="AE27" s="49"/>
    </row>
    <row r="28" spans="1:31" ht="17" customHeight="1">
      <c r="A28" s="4"/>
      <c r="B28" s="105"/>
      <c r="C28" s="42"/>
      <c r="D28" s="46"/>
      <c r="E28" s="42"/>
      <c r="F28" s="32"/>
      <c r="G28" s="32"/>
      <c r="H28" s="35"/>
      <c r="I28" s="57"/>
      <c r="J28" s="17"/>
      <c r="K28" s="56"/>
      <c r="L28" s="32"/>
      <c r="M28" s="32"/>
      <c r="N28" s="32"/>
      <c r="O28" s="32"/>
      <c r="P28" s="32"/>
      <c r="Q28" s="32"/>
      <c r="R28" s="32"/>
      <c r="S28" s="32"/>
      <c r="T28" s="40"/>
      <c r="U28" s="32"/>
      <c r="V28" s="40"/>
      <c r="W28" s="32"/>
      <c r="X28" s="32"/>
      <c r="Y28" s="32"/>
      <c r="Z28" s="32"/>
      <c r="AA28" s="32"/>
      <c r="AB28" s="32"/>
      <c r="AC28" s="31"/>
      <c r="AD28" s="37"/>
      <c r="AE28" s="49"/>
    </row>
    <row r="29" spans="1:31" ht="17" customHeight="1">
      <c r="A29" s="4"/>
      <c r="B29" s="105"/>
      <c r="C29" s="42"/>
      <c r="D29" s="46"/>
      <c r="E29" s="42"/>
      <c r="F29" s="32"/>
      <c r="G29" s="32"/>
      <c r="H29" s="35"/>
      <c r="I29" s="57"/>
      <c r="J29" s="17"/>
      <c r="K29" s="56"/>
      <c r="L29" s="32"/>
      <c r="M29" s="32"/>
      <c r="N29" s="32"/>
      <c r="O29" s="32"/>
      <c r="P29" s="32"/>
      <c r="Q29" s="32"/>
      <c r="R29" s="32"/>
      <c r="S29" s="32"/>
      <c r="T29" s="40"/>
      <c r="U29" s="32"/>
      <c r="V29" s="40"/>
      <c r="W29" s="32"/>
      <c r="X29" s="32"/>
      <c r="Y29" s="32"/>
      <c r="Z29" s="32"/>
      <c r="AA29" s="32"/>
      <c r="AB29" s="32"/>
      <c r="AC29" s="31"/>
      <c r="AD29" s="37"/>
      <c r="AE29" s="49"/>
    </row>
    <row r="30" spans="1:31" ht="17" customHeight="1">
      <c r="A30" s="4"/>
      <c r="B30" s="105"/>
      <c r="C30" s="42"/>
      <c r="D30" s="46"/>
      <c r="E30" s="42"/>
      <c r="F30" s="32"/>
      <c r="G30" s="32"/>
      <c r="H30" s="35"/>
      <c r="I30" s="57"/>
      <c r="J30" s="17"/>
      <c r="K30" s="56"/>
      <c r="L30" s="32"/>
      <c r="M30" s="32"/>
      <c r="N30" s="32"/>
      <c r="O30" s="32"/>
      <c r="P30" s="32"/>
      <c r="Q30" s="32"/>
      <c r="R30" s="32"/>
      <c r="S30" s="32"/>
      <c r="T30" s="40"/>
      <c r="U30" s="32"/>
      <c r="V30" s="40"/>
      <c r="W30" s="32"/>
      <c r="X30" s="32"/>
      <c r="Y30" s="32"/>
      <c r="Z30" s="32"/>
      <c r="AA30" s="32"/>
      <c r="AB30" s="32"/>
      <c r="AC30" s="31"/>
      <c r="AD30" s="37"/>
      <c r="AE30" s="49"/>
    </row>
    <row r="31" spans="1:31" ht="19" customHeight="1">
      <c r="A31" s="4">
        <v>18</v>
      </c>
      <c r="B31" s="88" t="s">
        <v>23</v>
      </c>
      <c r="C31" s="42" t="s">
        <v>68</v>
      </c>
      <c r="D31" s="46">
        <v>21</v>
      </c>
      <c r="E31" s="42">
        <f t="shared" ref="E31:E48" si="4">SUM(F31:AC31)</f>
        <v>21</v>
      </c>
      <c r="F31" s="32">
        <v>2</v>
      </c>
      <c r="G31" s="32"/>
      <c r="H31" s="35"/>
      <c r="I31" s="57"/>
      <c r="J31" s="17"/>
      <c r="K31" s="56"/>
      <c r="L31" s="32"/>
      <c r="M31" s="32"/>
      <c r="N31" s="32"/>
      <c r="O31" s="32"/>
      <c r="P31" s="32"/>
      <c r="Q31" s="32"/>
      <c r="R31" s="32"/>
      <c r="S31" s="32"/>
      <c r="T31" s="32">
        <v>8</v>
      </c>
      <c r="U31" s="32"/>
      <c r="V31" s="32">
        <v>11</v>
      </c>
      <c r="W31" s="32"/>
      <c r="X31" s="32"/>
      <c r="Y31" s="32"/>
      <c r="Z31" s="32"/>
      <c r="AA31" s="32"/>
      <c r="AB31" s="32"/>
      <c r="AC31" s="31"/>
      <c r="AD31" s="37"/>
      <c r="AE31" s="49"/>
    </row>
    <row r="32" spans="1:31" ht="19" customHeight="1">
      <c r="A32" s="4">
        <v>19</v>
      </c>
      <c r="B32" s="105"/>
      <c r="C32" s="42" t="s">
        <v>69</v>
      </c>
      <c r="D32" s="46">
        <v>21</v>
      </c>
      <c r="E32" s="42">
        <f t="shared" si="4"/>
        <v>21</v>
      </c>
      <c r="F32" s="32"/>
      <c r="G32" s="32"/>
      <c r="H32" s="35"/>
      <c r="I32" s="57">
        <v>5</v>
      </c>
      <c r="J32" s="17"/>
      <c r="K32" s="56"/>
      <c r="L32" s="32"/>
      <c r="M32" s="32"/>
      <c r="N32" s="32"/>
      <c r="O32" s="32">
        <v>2</v>
      </c>
      <c r="P32" s="32"/>
      <c r="Q32" s="32"/>
      <c r="R32" s="32"/>
      <c r="S32" s="32"/>
      <c r="T32" s="32">
        <v>10</v>
      </c>
      <c r="U32" s="32"/>
      <c r="V32" s="40">
        <v>4</v>
      </c>
      <c r="W32" s="32"/>
      <c r="X32" s="32"/>
      <c r="Y32" s="32"/>
      <c r="Z32" s="32"/>
      <c r="AA32" s="32"/>
      <c r="AB32" s="32"/>
      <c r="AC32" s="31"/>
      <c r="AD32" s="37"/>
      <c r="AE32" s="49"/>
    </row>
    <row r="33" spans="1:31" ht="19" customHeight="1">
      <c r="A33" s="4">
        <v>20</v>
      </c>
      <c r="B33" s="105"/>
      <c r="C33" s="42" t="s">
        <v>70</v>
      </c>
      <c r="D33" s="46">
        <v>21</v>
      </c>
      <c r="E33" s="42">
        <f t="shared" si="4"/>
        <v>21</v>
      </c>
      <c r="F33" s="32"/>
      <c r="G33" s="32"/>
      <c r="H33" s="35"/>
      <c r="I33" s="57">
        <v>5</v>
      </c>
      <c r="J33" s="17"/>
      <c r="K33" s="56"/>
      <c r="L33" s="32"/>
      <c r="M33" s="32"/>
      <c r="N33" s="32"/>
      <c r="O33" s="32"/>
      <c r="P33" s="32">
        <v>6</v>
      </c>
      <c r="Q33" s="32"/>
      <c r="R33" s="32"/>
      <c r="S33" s="32"/>
      <c r="T33" s="32"/>
      <c r="U33" s="32"/>
      <c r="V33" s="40"/>
      <c r="W33" s="32"/>
      <c r="X33" s="32"/>
      <c r="Z33" s="32">
        <v>10</v>
      </c>
      <c r="AA33" s="32"/>
      <c r="AB33" s="32"/>
      <c r="AC33" s="31"/>
      <c r="AD33" s="37"/>
      <c r="AE33" s="49"/>
    </row>
    <row r="34" spans="1:31" ht="19" customHeight="1">
      <c r="A34" s="4">
        <v>21</v>
      </c>
      <c r="B34" s="105"/>
      <c r="C34" s="42" t="s">
        <v>71</v>
      </c>
      <c r="D34" s="46">
        <v>21</v>
      </c>
      <c r="E34" s="42">
        <f t="shared" si="4"/>
        <v>21</v>
      </c>
      <c r="F34" s="32"/>
      <c r="G34" s="32"/>
      <c r="H34" s="35"/>
      <c r="I34" s="57"/>
      <c r="J34" s="17"/>
      <c r="K34" s="56"/>
      <c r="L34" s="32"/>
      <c r="M34" s="32"/>
      <c r="N34" s="32"/>
      <c r="O34" s="32">
        <v>3</v>
      </c>
      <c r="P34" s="32"/>
      <c r="Q34" s="32"/>
      <c r="R34" s="32"/>
      <c r="S34" s="32"/>
      <c r="T34" s="32"/>
      <c r="U34" s="32"/>
      <c r="V34" s="40">
        <v>18</v>
      </c>
      <c r="W34" s="32"/>
      <c r="X34" s="32"/>
      <c r="Y34" s="32"/>
      <c r="Z34" s="32"/>
      <c r="AA34" s="32"/>
      <c r="AB34" s="32"/>
      <c r="AC34" s="31"/>
      <c r="AD34" s="37"/>
      <c r="AE34" s="49"/>
    </row>
    <row r="35" spans="1:31" ht="19" customHeight="1">
      <c r="A35" s="4">
        <v>22</v>
      </c>
      <c r="B35" s="105"/>
      <c r="C35" s="42" t="s">
        <v>72</v>
      </c>
      <c r="D35" s="46">
        <v>21</v>
      </c>
      <c r="E35" s="42">
        <f t="shared" si="4"/>
        <v>21</v>
      </c>
      <c r="F35" s="32"/>
      <c r="G35" s="32"/>
      <c r="H35" s="35"/>
      <c r="I35" s="57"/>
      <c r="J35" s="17"/>
      <c r="K35" s="56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40">
        <v>17</v>
      </c>
      <c r="W35" s="32"/>
      <c r="X35" s="32"/>
      <c r="Y35" s="32"/>
      <c r="Z35" s="32">
        <v>4</v>
      </c>
      <c r="AA35" s="32"/>
      <c r="AB35" s="32"/>
      <c r="AC35" s="31"/>
      <c r="AD35" s="37"/>
      <c r="AE35" s="49"/>
    </row>
    <row r="36" spans="1:31" ht="19" customHeight="1">
      <c r="A36" s="4">
        <v>23</v>
      </c>
      <c r="B36" s="105"/>
      <c r="C36" s="42" t="s">
        <v>73</v>
      </c>
      <c r="D36" s="46"/>
      <c r="E36" s="42">
        <f t="shared" si="4"/>
        <v>0</v>
      </c>
      <c r="F36" s="32"/>
      <c r="G36" s="32"/>
      <c r="H36" s="35"/>
      <c r="I36" s="57"/>
      <c r="J36" s="17"/>
      <c r="K36" s="56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1"/>
      <c r="AD36" s="37"/>
      <c r="AE36" s="49"/>
    </row>
    <row r="37" spans="1:31" ht="19" customHeight="1">
      <c r="A37" s="4">
        <v>24</v>
      </c>
      <c r="B37" s="105"/>
      <c r="C37" s="42" t="s">
        <v>74</v>
      </c>
      <c r="D37" s="46">
        <v>21</v>
      </c>
      <c r="E37" s="42">
        <f t="shared" si="4"/>
        <v>21</v>
      </c>
      <c r="F37" s="32"/>
      <c r="G37" s="32"/>
      <c r="H37" s="35"/>
      <c r="I37" s="57">
        <v>11</v>
      </c>
      <c r="J37" s="17"/>
      <c r="K37" s="56"/>
      <c r="L37" s="32"/>
      <c r="M37" s="32"/>
      <c r="N37" s="32"/>
      <c r="O37" s="32"/>
      <c r="P37" s="32"/>
      <c r="Q37" s="32"/>
      <c r="R37" s="32"/>
      <c r="S37" s="32"/>
      <c r="T37" s="32">
        <v>10</v>
      </c>
      <c r="U37" s="32"/>
      <c r="V37" s="40"/>
      <c r="W37" s="32"/>
      <c r="X37" s="32"/>
      <c r="Y37" s="32"/>
      <c r="Z37" s="32"/>
      <c r="AA37" s="32"/>
      <c r="AB37" s="32"/>
      <c r="AC37" s="31"/>
      <c r="AD37" s="37"/>
      <c r="AE37" s="49"/>
    </row>
    <row r="38" spans="1:31" ht="19" customHeight="1">
      <c r="A38" s="4">
        <v>25</v>
      </c>
      <c r="B38" s="105"/>
      <c r="C38" s="42" t="s">
        <v>75</v>
      </c>
      <c r="D38" s="46">
        <v>21</v>
      </c>
      <c r="E38" s="42">
        <f t="shared" si="4"/>
        <v>21</v>
      </c>
      <c r="F38" s="32"/>
      <c r="G38" s="32"/>
      <c r="H38" s="35"/>
      <c r="I38" s="57"/>
      <c r="J38" s="17"/>
      <c r="K38" s="56"/>
      <c r="L38" s="32"/>
      <c r="M38" s="32"/>
      <c r="N38" s="32"/>
      <c r="O38" s="32"/>
      <c r="P38" s="32"/>
      <c r="Q38" s="32"/>
      <c r="R38" s="32"/>
      <c r="S38" s="32"/>
      <c r="T38" s="32">
        <v>5</v>
      </c>
      <c r="U38" s="32"/>
      <c r="V38" s="40"/>
      <c r="W38" s="32"/>
      <c r="X38" s="32"/>
      <c r="Y38" s="32"/>
      <c r="Z38" s="32">
        <v>14</v>
      </c>
      <c r="AA38" s="32">
        <v>2</v>
      </c>
      <c r="AB38" s="32"/>
      <c r="AC38" s="31"/>
      <c r="AD38" s="37"/>
      <c r="AE38" s="49"/>
    </row>
    <row r="39" spans="1:31" ht="19" customHeight="1">
      <c r="A39" s="4">
        <v>26</v>
      </c>
      <c r="B39" s="105"/>
      <c r="C39" s="42" t="s">
        <v>76</v>
      </c>
      <c r="D39" s="46">
        <v>21</v>
      </c>
      <c r="E39" s="42">
        <f t="shared" si="4"/>
        <v>21</v>
      </c>
      <c r="F39" s="32"/>
      <c r="G39" s="32"/>
      <c r="H39" s="35"/>
      <c r="I39" s="57">
        <v>8</v>
      </c>
      <c r="J39" s="17"/>
      <c r="K39" s="56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40">
        <v>13</v>
      </c>
      <c r="W39" s="32"/>
      <c r="X39" s="32"/>
      <c r="Y39" s="32"/>
      <c r="Z39" s="32"/>
      <c r="AA39" s="32"/>
      <c r="AB39" s="32"/>
      <c r="AC39" s="31"/>
      <c r="AD39" s="37"/>
      <c r="AE39" s="49"/>
    </row>
    <row r="40" spans="1:31" ht="19" customHeight="1">
      <c r="A40" s="4">
        <v>27</v>
      </c>
      <c r="B40" s="105"/>
      <c r="C40" s="42" t="s">
        <v>77</v>
      </c>
      <c r="D40" s="46">
        <v>21</v>
      </c>
      <c r="E40" s="42">
        <f t="shared" si="4"/>
        <v>21</v>
      </c>
      <c r="F40" s="32"/>
      <c r="G40" s="32"/>
      <c r="H40" s="35"/>
      <c r="I40" s="57"/>
      <c r="J40" s="17"/>
      <c r="K40" s="56"/>
      <c r="L40" s="32"/>
      <c r="M40" s="32">
        <v>5</v>
      </c>
      <c r="N40" s="32"/>
      <c r="O40" s="32"/>
      <c r="P40" s="32"/>
      <c r="Q40" s="32"/>
      <c r="R40" s="32"/>
      <c r="S40" s="32"/>
      <c r="T40" s="32"/>
      <c r="U40" s="32"/>
      <c r="V40" s="40">
        <v>11</v>
      </c>
      <c r="W40" s="32"/>
      <c r="X40" s="32"/>
      <c r="Y40" s="32"/>
      <c r="Z40" s="32">
        <v>5</v>
      </c>
      <c r="AA40" s="32"/>
      <c r="AB40" s="32"/>
      <c r="AC40" s="31"/>
      <c r="AD40" s="37"/>
      <c r="AE40" s="49"/>
    </row>
    <row r="41" spans="1:31" ht="19" customHeight="1">
      <c r="A41" s="4">
        <v>28</v>
      </c>
      <c r="B41" s="105"/>
      <c r="C41" s="42" t="s">
        <v>78</v>
      </c>
      <c r="D41" s="46"/>
      <c r="E41" s="42">
        <f t="shared" si="4"/>
        <v>0</v>
      </c>
      <c r="F41" s="32"/>
      <c r="G41" s="32"/>
      <c r="H41" s="35"/>
      <c r="I41" s="57"/>
      <c r="J41" s="17"/>
      <c r="K41" s="56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1"/>
      <c r="AD41" s="37"/>
      <c r="AE41" s="49"/>
    </row>
    <row r="42" spans="1:31" ht="19" customHeight="1">
      <c r="A42" s="4">
        <v>29</v>
      </c>
      <c r="B42" s="105"/>
      <c r="C42" s="42" t="s">
        <v>79</v>
      </c>
      <c r="D42" s="46"/>
      <c r="E42" s="42">
        <f t="shared" si="4"/>
        <v>0</v>
      </c>
      <c r="F42" s="32"/>
      <c r="G42" s="32"/>
      <c r="H42" s="35"/>
      <c r="I42" s="34"/>
      <c r="J42" s="53"/>
      <c r="K42" s="33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1"/>
      <c r="AD42" s="37"/>
      <c r="AE42" s="49"/>
    </row>
    <row r="43" spans="1:31" ht="19" customHeight="1">
      <c r="A43" s="4">
        <v>30</v>
      </c>
      <c r="B43" s="105"/>
      <c r="C43" s="43" t="s">
        <v>80</v>
      </c>
      <c r="D43" s="46">
        <v>21</v>
      </c>
      <c r="E43" s="42">
        <f t="shared" si="4"/>
        <v>21</v>
      </c>
      <c r="F43" s="32"/>
      <c r="G43" s="32"/>
      <c r="H43" s="35"/>
      <c r="I43" s="34"/>
      <c r="J43" s="33"/>
      <c r="K43" s="33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40">
        <v>21</v>
      </c>
      <c r="Y43" s="32"/>
      <c r="Z43" s="32"/>
      <c r="AA43" s="32"/>
      <c r="AB43" s="32"/>
      <c r="AC43" s="31"/>
      <c r="AD43" s="37"/>
      <c r="AE43" s="49"/>
    </row>
    <row r="44" spans="1:31" ht="19" customHeight="1">
      <c r="A44" s="4">
        <v>31</v>
      </c>
      <c r="B44" s="105"/>
      <c r="C44" s="42" t="s">
        <v>81</v>
      </c>
      <c r="D44" s="46">
        <v>21</v>
      </c>
      <c r="E44" s="42">
        <f t="shared" si="4"/>
        <v>21</v>
      </c>
      <c r="F44" s="32"/>
      <c r="G44" s="32"/>
      <c r="H44" s="35"/>
      <c r="I44" s="34"/>
      <c r="J44" s="33"/>
      <c r="K44" s="33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55" t="s">
        <v>22</v>
      </c>
      <c r="W44" s="32"/>
      <c r="X44" s="40">
        <v>21</v>
      </c>
      <c r="Y44" s="32"/>
      <c r="Z44" s="32"/>
      <c r="AA44" s="32"/>
      <c r="AB44" s="32"/>
      <c r="AC44" s="31"/>
      <c r="AD44" s="37"/>
      <c r="AE44" s="49"/>
    </row>
    <row r="45" spans="1:31" ht="19" customHeight="1">
      <c r="A45" s="4">
        <v>32</v>
      </c>
      <c r="B45" s="105"/>
      <c r="C45" s="42" t="s">
        <v>82</v>
      </c>
      <c r="D45" s="46">
        <v>21</v>
      </c>
      <c r="E45" s="42">
        <f t="shared" si="4"/>
        <v>21</v>
      </c>
      <c r="F45" s="32"/>
      <c r="G45" s="32"/>
      <c r="H45" s="35"/>
      <c r="I45" s="34"/>
      <c r="J45" s="33"/>
      <c r="K45" s="33"/>
      <c r="L45" s="32"/>
      <c r="M45" s="32"/>
      <c r="N45" s="32"/>
      <c r="O45" s="32"/>
      <c r="Q45" s="32"/>
      <c r="R45" s="32"/>
      <c r="S45" s="32"/>
      <c r="T45" s="32"/>
      <c r="U45" s="32"/>
      <c r="V45" s="32"/>
      <c r="W45" s="32"/>
      <c r="X45" s="40">
        <v>21</v>
      </c>
      <c r="Y45" s="32"/>
      <c r="Z45" s="32"/>
      <c r="AA45" s="32"/>
      <c r="AB45" s="32"/>
      <c r="AC45" s="31"/>
      <c r="AD45" s="37"/>
      <c r="AE45" s="49"/>
    </row>
    <row r="46" spans="1:31" ht="19" customHeight="1">
      <c r="A46" s="4">
        <v>33</v>
      </c>
      <c r="B46" s="105"/>
      <c r="C46" s="42" t="s">
        <v>83</v>
      </c>
      <c r="D46" s="46">
        <v>21</v>
      </c>
      <c r="E46" s="42">
        <f t="shared" si="4"/>
        <v>21</v>
      </c>
      <c r="F46" s="32"/>
      <c r="G46" s="32"/>
      <c r="H46" s="35"/>
      <c r="I46" s="34"/>
      <c r="J46" s="33"/>
      <c r="K46" s="33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40">
        <v>21</v>
      </c>
      <c r="Y46" s="32"/>
      <c r="Z46" s="32"/>
      <c r="AA46" s="32"/>
      <c r="AB46" s="32"/>
      <c r="AC46" s="31"/>
      <c r="AD46" s="37"/>
      <c r="AE46" s="49"/>
    </row>
    <row r="47" spans="1:31" ht="19" customHeight="1">
      <c r="A47" s="4">
        <v>34</v>
      </c>
      <c r="B47" s="105"/>
      <c r="C47" s="42" t="s">
        <v>84</v>
      </c>
      <c r="D47" s="46">
        <v>21</v>
      </c>
      <c r="E47" s="42">
        <f t="shared" si="4"/>
        <v>21</v>
      </c>
      <c r="F47" s="32"/>
      <c r="G47" s="32"/>
      <c r="H47" s="35"/>
      <c r="I47" s="34"/>
      <c r="J47" s="33"/>
      <c r="K47" s="33"/>
      <c r="L47" s="32"/>
      <c r="M47" s="32"/>
      <c r="N47" s="32"/>
      <c r="O47" s="32"/>
      <c r="P47" s="40"/>
      <c r="Q47" s="32"/>
      <c r="R47" s="32"/>
      <c r="S47" s="32"/>
      <c r="T47" s="32"/>
      <c r="U47" s="32"/>
      <c r="V47" s="32"/>
      <c r="W47" s="32"/>
      <c r="X47" s="40">
        <v>21</v>
      </c>
      <c r="Y47" s="32"/>
      <c r="Z47" s="32"/>
      <c r="AA47" s="32"/>
      <c r="AB47" s="32"/>
      <c r="AC47" s="31"/>
      <c r="AD47" s="37"/>
      <c r="AE47" s="49"/>
    </row>
    <row r="48" spans="1:31" ht="17" customHeight="1">
      <c r="B48" s="105"/>
      <c r="C48" s="42" t="s">
        <v>85</v>
      </c>
      <c r="D48" s="46">
        <v>21</v>
      </c>
      <c r="E48" s="42">
        <f t="shared" si="4"/>
        <v>21</v>
      </c>
      <c r="F48" s="32"/>
      <c r="G48" s="32"/>
      <c r="H48" s="35"/>
      <c r="I48" s="34"/>
      <c r="J48" s="33"/>
      <c r="K48" s="33"/>
      <c r="L48" s="32"/>
      <c r="M48" s="32"/>
      <c r="N48" s="32"/>
      <c r="O48" s="32"/>
      <c r="P48" s="32"/>
      <c r="Q48" s="32"/>
      <c r="R48" s="32"/>
      <c r="S48" s="32"/>
      <c r="T48" s="32"/>
      <c r="U48" s="40"/>
      <c r="V48" s="32"/>
      <c r="W48" s="32"/>
      <c r="X48" s="40">
        <v>21</v>
      </c>
      <c r="Y48" s="32"/>
      <c r="Z48" s="32"/>
      <c r="AA48" s="32"/>
      <c r="AB48" s="32"/>
      <c r="AC48" s="31"/>
      <c r="AD48" s="37"/>
      <c r="AE48" s="49"/>
    </row>
    <row r="49" spans="1:31" ht="17" customHeight="1">
      <c r="B49" s="105"/>
      <c r="C49" s="42" t="s">
        <v>86</v>
      </c>
      <c r="D49" s="46">
        <v>21</v>
      </c>
      <c r="E49" s="42">
        <v>21</v>
      </c>
      <c r="F49" s="32"/>
      <c r="G49" s="32"/>
      <c r="H49" s="35"/>
      <c r="I49" s="34"/>
      <c r="J49" s="33"/>
      <c r="K49" s="33"/>
      <c r="L49" s="32"/>
      <c r="M49" s="32"/>
      <c r="N49" s="32"/>
      <c r="O49" s="32"/>
      <c r="P49" s="32"/>
      <c r="Q49" s="55" t="s">
        <v>21</v>
      </c>
      <c r="R49" s="32"/>
      <c r="S49" s="32"/>
      <c r="T49" s="32"/>
      <c r="U49" s="40"/>
      <c r="V49" s="32"/>
      <c r="W49" s="32"/>
      <c r="X49" s="32">
        <v>21</v>
      </c>
      <c r="Y49" s="32"/>
      <c r="Z49" s="32"/>
      <c r="AA49" s="32"/>
      <c r="AB49" s="32"/>
      <c r="AC49" s="31"/>
      <c r="AD49" s="37"/>
      <c r="AE49" s="49"/>
    </row>
    <row r="50" spans="1:31" ht="17" customHeight="1">
      <c r="B50" s="105"/>
      <c r="C50" s="42" t="s">
        <v>87</v>
      </c>
      <c r="D50" s="46">
        <v>21</v>
      </c>
      <c r="E50" s="42">
        <v>21</v>
      </c>
      <c r="F50" s="32"/>
      <c r="G50" s="32"/>
      <c r="H50" s="35"/>
      <c r="I50" s="34"/>
      <c r="J50" s="33"/>
      <c r="K50" s="33"/>
      <c r="L50" s="32"/>
      <c r="M50" s="32"/>
      <c r="N50" s="32"/>
      <c r="O50" s="32"/>
      <c r="P50" s="32"/>
      <c r="Q50" s="32"/>
      <c r="R50" s="32"/>
      <c r="S50" s="32"/>
      <c r="T50" s="32"/>
      <c r="U50" s="40"/>
      <c r="V50" s="32"/>
      <c r="W50" s="32"/>
      <c r="X50" s="32">
        <v>21</v>
      </c>
      <c r="Y50" s="32"/>
      <c r="Z50" s="32"/>
      <c r="AA50" s="32"/>
      <c r="AB50" s="32"/>
      <c r="AC50" s="31"/>
      <c r="AD50" s="37"/>
      <c r="AE50" s="49"/>
    </row>
    <row r="51" spans="1:31" ht="17" customHeight="1">
      <c r="B51" s="105"/>
      <c r="C51" s="42"/>
      <c r="D51" s="46"/>
      <c r="E51" s="42"/>
      <c r="F51" s="32"/>
      <c r="G51" s="32"/>
      <c r="H51" s="35"/>
      <c r="I51" s="34"/>
      <c r="J51" s="33"/>
      <c r="K51" s="33"/>
      <c r="L51" s="32"/>
      <c r="M51" s="32"/>
      <c r="N51" s="32"/>
      <c r="O51" s="32"/>
      <c r="P51" s="32"/>
      <c r="Q51" s="32"/>
      <c r="R51" s="32"/>
      <c r="S51" s="32"/>
      <c r="T51" s="32"/>
      <c r="U51" s="40"/>
      <c r="V51" s="32"/>
      <c r="W51" s="32"/>
      <c r="X51" s="32"/>
      <c r="Y51" s="32"/>
      <c r="Z51" s="32"/>
      <c r="AA51" s="32"/>
      <c r="AB51" s="32"/>
      <c r="AC51" s="31"/>
      <c r="AD51" s="37"/>
      <c r="AE51" s="49"/>
    </row>
    <row r="52" spans="1:31" ht="17" customHeight="1">
      <c r="B52" s="105"/>
      <c r="C52" s="42"/>
      <c r="D52" s="46"/>
      <c r="E52" s="42"/>
      <c r="F52" s="32"/>
      <c r="G52" s="32"/>
      <c r="H52" s="35"/>
      <c r="I52" s="34"/>
      <c r="J52" s="33"/>
      <c r="K52" s="33"/>
      <c r="L52" s="32"/>
      <c r="M52" s="32"/>
      <c r="N52" s="32"/>
      <c r="O52" s="32"/>
      <c r="P52" s="32"/>
      <c r="Q52" s="32"/>
      <c r="R52" s="32"/>
      <c r="S52" s="32"/>
      <c r="T52" s="32"/>
      <c r="U52" s="40"/>
      <c r="V52" s="32"/>
      <c r="W52" s="32"/>
      <c r="X52" s="32"/>
      <c r="Y52" s="32"/>
      <c r="Z52" s="32"/>
      <c r="AA52" s="32"/>
      <c r="AB52" s="32"/>
      <c r="AC52" s="31"/>
      <c r="AD52" s="37"/>
      <c r="AE52" s="49"/>
    </row>
    <row r="53" spans="1:31" ht="17" customHeight="1">
      <c r="B53" s="105"/>
      <c r="C53" s="42"/>
      <c r="D53" s="46"/>
      <c r="E53" s="42"/>
      <c r="F53" s="32"/>
      <c r="G53" s="32"/>
      <c r="H53" s="35"/>
      <c r="I53" s="34"/>
      <c r="J53" s="33"/>
      <c r="K53" s="33"/>
      <c r="L53" s="32"/>
      <c r="M53" s="32"/>
      <c r="N53" s="32"/>
      <c r="O53" s="32"/>
      <c r="P53" s="32"/>
      <c r="Q53" s="32"/>
      <c r="R53" s="32"/>
      <c r="S53" s="32"/>
      <c r="T53" s="32"/>
      <c r="U53" s="40"/>
      <c r="V53" s="32"/>
      <c r="W53" s="32"/>
      <c r="X53" s="32"/>
      <c r="Y53" s="32"/>
      <c r="Z53" s="32"/>
      <c r="AA53" s="32"/>
      <c r="AB53" s="32"/>
      <c r="AC53" s="31"/>
      <c r="AD53" s="37"/>
      <c r="AE53" s="49"/>
    </row>
    <row r="54" spans="1:31" ht="19" customHeight="1">
      <c r="A54" s="4">
        <v>35</v>
      </c>
      <c r="B54" s="88" t="s">
        <v>20</v>
      </c>
      <c r="C54" s="42" t="s">
        <v>68</v>
      </c>
      <c r="D54" s="46">
        <v>21</v>
      </c>
      <c r="E54" s="42">
        <f t="shared" ref="E54:E65" si="5">SUM(F54:AC54)</f>
        <v>21</v>
      </c>
      <c r="F54" s="32">
        <v>3</v>
      </c>
      <c r="G54" s="32"/>
      <c r="H54" s="35"/>
      <c r="I54" s="34"/>
      <c r="J54" s="33"/>
      <c r="K54" s="33"/>
      <c r="L54" s="32"/>
      <c r="M54" s="32"/>
      <c r="N54" s="32"/>
      <c r="O54" s="32"/>
      <c r="P54" s="32">
        <v>1</v>
      </c>
      <c r="Q54" s="32"/>
      <c r="R54" s="32"/>
      <c r="S54" s="32"/>
      <c r="T54" s="32">
        <v>4</v>
      </c>
      <c r="U54" s="32">
        <v>4</v>
      </c>
      <c r="V54" s="32">
        <v>4</v>
      </c>
      <c r="W54" s="32">
        <v>5</v>
      </c>
      <c r="X54" s="32"/>
      <c r="Y54" s="32"/>
      <c r="Z54" s="32"/>
      <c r="AA54" s="32"/>
      <c r="AB54" s="32"/>
      <c r="AC54" s="31"/>
      <c r="AD54" s="37"/>
      <c r="AE54" s="49"/>
    </row>
    <row r="55" spans="1:31" ht="19" customHeight="1">
      <c r="A55" s="4">
        <v>36</v>
      </c>
      <c r="B55" s="105"/>
      <c r="C55" s="42" t="s">
        <v>69</v>
      </c>
      <c r="D55" s="46">
        <v>21</v>
      </c>
      <c r="E55" s="42">
        <f t="shared" si="5"/>
        <v>21</v>
      </c>
      <c r="F55" s="32"/>
      <c r="G55" s="32"/>
      <c r="H55" s="35"/>
      <c r="I55" s="34"/>
      <c r="J55" s="33"/>
      <c r="K55" s="33"/>
      <c r="L55" s="32"/>
      <c r="M55" s="32"/>
      <c r="N55" s="32"/>
      <c r="O55" s="32"/>
      <c r="P55" s="32"/>
      <c r="Q55" s="32"/>
      <c r="R55" s="32"/>
      <c r="S55" s="32"/>
      <c r="T55" s="32">
        <v>10</v>
      </c>
      <c r="U55" s="32"/>
      <c r="V55" s="40">
        <v>1</v>
      </c>
      <c r="W55" s="32">
        <v>10</v>
      </c>
      <c r="X55" s="32"/>
      <c r="Y55" s="32"/>
      <c r="Z55" s="32"/>
      <c r="AA55" s="32"/>
      <c r="AB55" s="32"/>
      <c r="AC55" s="31"/>
      <c r="AD55" s="37"/>
      <c r="AE55" s="49"/>
    </row>
    <row r="56" spans="1:31" ht="19" customHeight="1">
      <c r="A56" s="4">
        <v>37</v>
      </c>
      <c r="B56" s="105"/>
      <c r="C56" s="42" t="s">
        <v>70</v>
      </c>
      <c r="D56" s="46">
        <v>21</v>
      </c>
      <c r="E56" s="42">
        <f t="shared" si="5"/>
        <v>21</v>
      </c>
      <c r="F56" s="32"/>
      <c r="G56" s="32"/>
      <c r="H56" s="35"/>
      <c r="I56" s="34"/>
      <c r="J56" s="33"/>
      <c r="K56" s="33"/>
      <c r="L56" s="32"/>
      <c r="M56" s="32"/>
      <c r="N56" s="32"/>
      <c r="O56" s="32"/>
      <c r="P56" s="32">
        <v>8</v>
      </c>
      <c r="Q56" s="32"/>
      <c r="R56" s="32"/>
      <c r="S56" s="32"/>
      <c r="T56" s="32"/>
      <c r="U56" s="32"/>
      <c r="V56" s="40"/>
      <c r="W56" s="32"/>
      <c r="X56" s="32"/>
      <c r="Y56" s="32"/>
      <c r="Z56" s="32">
        <v>13</v>
      </c>
      <c r="AA56" s="32"/>
      <c r="AB56" s="32"/>
      <c r="AC56" s="31"/>
      <c r="AD56" s="37"/>
      <c r="AE56" s="49"/>
    </row>
    <row r="57" spans="1:31" ht="19" customHeight="1">
      <c r="A57" s="4">
        <v>38</v>
      </c>
      <c r="B57" s="105"/>
      <c r="C57" s="42" t="s">
        <v>71</v>
      </c>
      <c r="D57" s="46">
        <v>21</v>
      </c>
      <c r="E57" s="42">
        <f t="shared" si="5"/>
        <v>21</v>
      </c>
      <c r="F57" s="32">
        <v>1</v>
      </c>
      <c r="G57" s="32"/>
      <c r="H57" s="35"/>
      <c r="I57" s="34"/>
      <c r="J57" s="33"/>
      <c r="K57" s="33"/>
      <c r="L57" s="32"/>
      <c r="M57" s="32"/>
      <c r="N57" s="32"/>
      <c r="O57" s="32">
        <v>2</v>
      </c>
      <c r="P57" s="32"/>
      <c r="Q57" s="32"/>
      <c r="R57" s="32"/>
      <c r="S57" s="32"/>
      <c r="U57" s="32"/>
      <c r="V57" s="40">
        <v>18</v>
      </c>
      <c r="W57" s="32"/>
      <c r="X57" s="32"/>
      <c r="Y57" s="32"/>
      <c r="Z57" s="32"/>
      <c r="AA57" s="32"/>
      <c r="AB57" s="32"/>
      <c r="AC57" s="31"/>
      <c r="AD57" s="37"/>
      <c r="AE57" s="49"/>
    </row>
    <row r="58" spans="1:31" ht="19" customHeight="1">
      <c r="A58" s="4">
        <v>39</v>
      </c>
      <c r="B58" s="105"/>
      <c r="C58" s="42" t="s">
        <v>72</v>
      </c>
      <c r="D58" s="46">
        <v>21</v>
      </c>
      <c r="E58" s="42">
        <f t="shared" si="5"/>
        <v>21</v>
      </c>
      <c r="F58" s="32"/>
      <c r="G58" s="32"/>
      <c r="H58" s="35"/>
      <c r="I58" s="34"/>
      <c r="J58" s="33"/>
      <c r="K58" s="33"/>
      <c r="L58" s="32"/>
      <c r="M58" s="32"/>
      <c r="N58" s="32"/>
      <c r="O58" s="32"/>
      <c r="P58" s="26"/>
      <c r="Q58" s="32"/>
      <c r="R58" s="32"/>
      <c r="S58" s="32"/>
      <c r="T58" s="32"/>
      <c r="U58" s="32">
        <v>5</v>
      </c>
      <c r="V58" s="40">
        <v>6</v>
      </c>
      <c r="W58" s="32">
        <v>10</v>
      </c>
      <c r="X58" s="32"/>
      <c r="Y58" s="32"/>
      <c r="Z58" s="32"/>
      <c r="AA58" s="32"/>
      <c r="AB58" s="32"/>
      <c r="AC58" s="31"/>
      <c r="AD58" s="37"/>
      <c r="AE58" s="49"/>
    </row>
    <row r="59" spans="1:31" ht="19" customHeight="1">
      <c r="A59" s="4">
        <v>40</v>
      </c>
      <c r="B59" s="105"/>
      <c r="C59" s="42" t="s">
        <v>73</v>
      </c>
      <c r="D59" s="46">
        <v>17</v>
      </c>
      <c r="E59" s="42">
        <f t="shared" si="5"/>
        <v>17</v>
      </c>
      <c r="F59" s="32"/>
      <c r="G59" s="32"/>
      <c r="H59" s="35"/>
      <c r="I59" s="34"/>
      <c r="J59" s="33"/>
      <c r="K59" s="33"/>
      <c r="L59" s="32"/>
      <c r="M59" s="32"/>
      <c r="N59" s="32"/>
      <c r="O59" s="31"/>
      <c r="P59" s="15"/>
      <c r="Q59" s="51">
        <v>1</v>
      </c>
      <c r="R59" s="32"/>
      <c r="S59" s="32"/>
      <c r="T59" s="32"/>
      <c r="U59" s="32">
        <v>10</v>
      </c>
      <c r="V59" s="32">
        <v>6</v>
      </c>
      <c r="W59" s="32"/>
      <c r="X59" s="32"/>
      <c r="Y59" s="32"/>
      <c r="Z59" s="32"/>
      <c r="AA59" s="32"/>
      <c r="AB59" s="32"/>
      <c r="AC59" s="31"/>
      <c r="AD59" s="37"/>
      <c r="AE59" s="49"/>
    </row>
    <row r="60" spans="1:31" ht="19" customHeight="1">
      <c r="A60" s="4">
        <v>41</v>
      </c>
      <c r="B60" s="105"/>
      <c r="C60" s="42" t="s">
        <v>74</v>
      </c>
      <c r="D60" s="46">
        <v>21</v>
      </c>
      <c r="E60" s="42">
        <f t="shared" si="5"/>
        <v>21</v>
      </c>
      <c r="F60" s="32"/>
      <c r="G60" s="32"/>
      <c r="H60" s="35"/>
      <c r="I60" s="34"/>
      <c r="J60" s="33"/>
      <c r="K60" s="33"/>
      <c r="L60" s="32"/>
      <c r="M60" s="32"/>
      <c r="N60" s="32"/>
      <c r="O60" s="31"/>
      <c r="P60" s="32">
        <v>2</v>
      </c>
      <c r="Q60" s="51">
        <v>7</v>
      </c>
      <c r="R60" s="32"/>
      <c r="S60" s="32"/>
      <c r="T60" s="32">
        <v>12</v>
      </c>
      <c r="U60" s="32"/>
      <c r="V60" s="40"/>
      <c r="W60" s="32"/>
      <c r="X60" s="32"/>
      <c r="Z60" s="32"/>
      <c r="AA60" s="32"/>
      <c r="AB60" s="32"/>
      <c r="AC60" s="31"/>
      <c r="AD60" s="37"/>
      <c r="AE60" s="49"/>
    </row>
    <row r="61" spans="1:31" ht="19" customHeight="1">
      <c r="A61" s="4">
        <v>42</v>
      </c>
      <c r="B61" s="105"/>
      <c r="C61" s="42" t="s">
        <v>75</v>
      </c>
      <c r="D61" s="46">
        <v>21</v>
      </c>
      <c r="E61" s="42">
        <f t="shared" si="5"/>
        <v>21</v>
      </c>
      <c r="F61" s="32"/>
      <c r="G61" s="32"/>
      <c r="H61" s="35"/>
      <c r="I61" s="34">
        <v>13</v>
      </c>
      <c r="J61" s="33"/>
      <c r="L61" s="32"/>
      <c r="M61" s="32"/>
      <c r="N61" s="32"/>
      <c r="O61" s="31"/>
      <c r="P61" s="15"/>
      <c r="Q61" s="51"/>
      <c r="R61" s="32"/>
      <c r="S61" s="32"/>
      <c r="T61" s="32">
        <v>6</v>
      </c>
      <c r="U61" s="32"/>
      <c r="V61" s="40"/>
      <c r="W61" s="32"/>
      <c r="X61" s="32"/>
      <c r="Y61" s="32"/>
      <c r="Z61" s="32"/>
      <c r="AA61" s="32">
        <v>2</v>
      </c>
      <c r="AB61" s="32"/>
      <c r="AC61" s="31"/>
      <c r="AD61" s="37"/>
      <c r="AE61" s="49"/>
    </row>
    <row r="62" spans="1:31" ht="19" customHeight="1">
      <c r="A62" s="4">
        <v>43</v>
      </c>
      <c r="B62" s="105"/>
      <c r="C62" s="42" t="s">
        <v>76</v>
      </c>
      <c r="D62" s="46">
        <v>21</v>
      </c>
      <c r="E62" s="42">
        <f t="shared" si="5"/>
        <v>21</v>
      </c>
      <c r="F62" s="32"/>
      <c r="G62" s="32"/>
      <c r="H62" s="35"/>
      <c r="I62" s="34"/>
      <c r="J62" s="33"/>
      <c r="K62" s="33"/>
      <c r="L62" s="32"/>
      <c r="M62" s="32"/>
      <c r="N62" s="32"/>
      <c r="O62" s="31"/>
      <c r="P62" s="15"/>
      <c r="Q62" s="51">
        <v>16</v>
      </c>
      <c r="R62" s="32"/>
      <c r="S62" s="32"/>
      <c r="T62" s="32"/>
      <c r="U62" s="32"/>
      <c r="V62" s="40"/>
      <c r="W62" s="32"/>
      <c r="X62" s="32"/>
      <c r="Y62" s="32"/>
      <c r="Z62" s="32">
        <v>5</v>
      </c>
      <c r="AA62" s="32"/>
      <c r="AB62" s="32"/>
      <c r="AC62" s="31"/>
      <c r="AD62" s="37"/>
      <c r="AE62" s="49"/>
    </row>
    <row r="63" spans="1:31" ht="19" customHeight="1">
      <c r="A63" s="4">
        <v>44</v>
      </c>
      <c r="B63" s="105"/>
      <c r="C63" s="42" t="s">
        <v>77</v>
      </c>
      <c r="D63" s="46">
        <v>21</v>
      </c>
      <c r="E63" s="42">
        <f t="shared" si="5"/>
        <v>21</v>
      </c>
      <c r="F63" s="32"/>
      <c r="G63" s="32"/>
      <c r="H63" s="35"/>
      <c r="I63" s="34"/>
      <c r="J63" s="33"/>
      <c r="K63" s="33"/>
      <c r="L63" s="32"/>
      <c r="M63" s="32"/>
      <c r="N63" s="32"/>
      <c r="O63" s="32"/>
      <c r="P63" s="52"/>
      <c r="Q63" s="32"/>
      <c r="R63" s="32"/>
      <c r="S63" s="32"/>
      <c r="T63" s="32"/>
      <c r="U63" s="32">
        <v>12</v>
      </c>
      <c r="V63" s="40">
        <v>9</v>
      </c>
      <c r="W63" s="32"/>
      <c r="X63" s="32"/>
      <c r="Y63" s="32"/>
      <c r="Z63" s="32"/>
      <c r="AA63" s="32"/>
      <c r="AB63" s="32"/>
      <c r="AC63" s="31"/>
      <c r="AD63" s="37"/>
      <c r="AE63" s="49"/>
    </row>
    <row r="64" spans="1:31" ht="19" customHeight="1">
      <c r="A64" s="4">
        <v>45</v>
      </c>
      <c r="B64" s="105"/>
      <c r="C64" s="42" t="s">
        <v>78</v>
      </c>
      <c r="D64" s="46"/>
      <c r="E64" s="42">
        <f t="shared" si="5"/>
        <v>0</v>
      </c>
      <c r="F64" s="32"/>
      <c r="G64" s="32"/>
      <c r="H64" s="35"/>
      <c r="I64" s="34"/>
      <c r="J64" s="33"/>
      <c r="K64" s="33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1"/>
      <c r="AD64" s="37"/>
      <c r="AE64" s="49"/>
    </row>
    <row r="65" spans="1:31" ht="19" customHeight="1">
      <c r="A65" s="4">
        <v>46</v>
      </c>
      <c r="B65" s="105"/>
      <c r="C65" s="42" t="s">
        <v>79</v>
      </c>
      <c r="D65" s="46"/>
      <c r="E65" s="42">
        <f t="shared" si="5"/>
        <v>0</v>
      </c>
      <c r="F65" s="32"/>
      <c r="G65" s="32"/>
      <c r="H65" s="35"/>
      <c r="I65" s="34"/>
      <c r="J65" s="33"/>
      <c r="K65" s="33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1"/>
      <c r="AD65" s="37"/>
      <c r="AE65" s="49"/>
    </row>
    <row r="66" spans="1:31" ht="19" customHeight="1">
      <c r="A66" s="4">
        <v>47</v>
      </c>
      <c r="B66" s="105"/>
      <c r="C66" s="43" t="s">
        <v>80</v>
      </c>
      <c r="D66" s="46">
        <v>21</v>
      </c>
      <c r="E66" s="42">
        <v>21</v>
      </c>
      <c r="F66" s="32"/>
      <c r="G66" s="32"/>
      <c r="H66" s="35"/>
      <c r="I66" s="34"/>
      <c r="J66" s="33"/>
      <c r="K66" s="33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>
        <v>21</v>
      </c>
      <c r="Y66" s="32"/>
      <c r="Z66" s="32"/>
      <c r="AA66" s="32"/>
      <c r="AB66" s="32"/>
      <c r="AC66" s="31"/>
      <c r="AD66" s="37"/>
      <c r="AE66" s="49"/>
    </row>
    <row r="67" spans="1:31" ht="19" customHeight="1">
      <c r="A67" s="4">
        <v>48</v>
      </c>
      <c r="B67" s="105"/>
      <c r="C67" s="42" t="s">
        <v>81</v>
      </c>
      <c r="D67" s="46">
        <v>21</v>
      </c>
      <c r="E67" s="42">
        <v>21</v>
      </c>
      <c r="F67" s="32"/>
      <c r="G67" s="32"/>
      <c r="H67" s="35"/>
      <c r="I67" s="34"/>
      <c r="J67" s="33"/>
      <c r="K67" s="33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>
        <v>21</v>
      </c>
      <c r="Y67" s="32"/>
      <c r="Z67" s="32"/>
      <c r="AA67" s="32"/>
      <c r="AB67" s="32"/>
      <c r="AC67" s="31"/>
      <c r="AD67" s="37"/>
      <c r="AE67" s="49"/>
    </row>
    <row r="68" spans="1:31" ht="19" customHeight="1">
      <c r="A68" s="4">
        <v>49</v>
      </c>
      <c r="B68" s="105"/>
      <c r="C68" s="42" t="s">
        <v>82</v>
      </c>
      <c r="D68" s="46">
        <v>21</v>
      </c>
      <c r="E68" s="42">
        <v>21</v>
      </c>
      <c r="F68" s="32"/>
      <c r="G68" s="32"/>
      <c r="H68" s="35"/>
      <c r="I68" s="34"/>
      <c r="J68" s="33"/>
      <c r="K68" s="33"/>
      <c r="L68" s="32"/>
      <c r="M68" s="32"/>
      <c r="N68" s="32"/>
      <c r="O68" s="32"/>
      <c r="Q68" s="32"/>
      <c r="R68" s="32"/>
      <c r="S68" s="32"/>
      <c r="T68" s="32"/>
      <c r="U68" s="32"/>
      <c r="V68" s="32"/>
      <c r="W68" s="32"/>
      <c r="X68" s="32">
        <v>21</v>
      </c>
      <c r="Y68" s="32"/>
      <c r="Z68" s="32"/>
      <c r="AA68" s="32"/>
      <c r="AB68" s="32"/>
      <c r="AC68" s="31"/>
      <c r="AD68" s="37"/>
      <c r="AE68" s="49"/>
    </row>
    <row r="69" spans="1:31" ht="19" customHeight="1">
      <c r="A69" s="4">
        <v>50</v>
      </c>
      <c r="B69" s="105"/>
      <c r="C69" s="42" t="s">
        <v>83</v>
      </c>
      <c r="D69" s="46">
        <v>21</v>
      </c>
      <c r="E69" s="42">
        <v>21</v>
      </c>
      <c r="F69" s="32"/>
      <c r="G69" s="32"/>
      <c r="H69" s="35"/>
      <c r="I69" s="34"/>
      <c r="J69" s="33"/>
      <c r="K69" s="33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>
        <v>21</v>
      </c>
      <c r="Y69" s="32"/>
      <c r="Z69" s="32"/>
      <c r="AA69" s="32"/>
      <c r="AB69" s="32"/>
      <c r="AC69" s="31"/>
      <c r="AD69" s="37"/>
      <c r="AE69" s="49"/>
    </row>
    <row r="70" spans="1:31" ht="19" customHeight="1">
      <c r="A70" s="4">
        <v>51</v>
      </c>
      <c r="B70" s="105"/>
      <c r="C70" s="42" t="s">
        <v>84</v>
      </c>
      <c r="D70" s="46">
        <v>21</v>
      </c>
      <c r="E70" s="42">
        <v>21</v>
      </c>
      <c r="F70" s="32"/>
      <c r="G70" s="32"/>
      <c r="H70" s="35"/>
      <c r="I70" s="34"/>
      <c r="J70" s="33"/>
      <c r="K70" s="33"/>
      <c r="L70" s="32"/>
      <c r="M70" s="32"/>
      <c r="N70" s="32"/>
      <c r="O70" s="32"/>
      <c r="P70" s="40"/>
      <c r="Q70" s="32"/>
      <c r="R70" s="32"/>
      <c r="S70" s="32"/>
      <c r="T70" s="32"/>
      <c r="U70" s="32"/>
      <c r="V70" s="32"/>
      <c r="W70" s="32"/>
      <c r="X70" s="32">
        <v>21</v>
      </c>
      <c r="Y70" s="32"/>
      <c r="Z70" s="32"/>
      <c r="AA70" s="32"/>
      <c r="AB70" s="32"/>
      <c r="AC70" s="31"/>
      <c r="AD70" s="37"/>
      <c r="AE70" s="49"/>
    </row>
    <row r="71" spans="1:31" ht="17" customHeight="1">
      <c r="A71" s="4"/>
      <c r="B71" s="105"/>
      <c r="C71" s="42" t="s">
        <v>85</v>
      </c>
      <c r="D71" s="46">
        <v>21</v>
      </c>
      <c r="E71" s="42">
        <v>21</v>
      </c>
      <c r="F71" s="32"/>
      <c r="G71" s="32"/>
      <c r="H71" s="35"/>
      <c r="I71" s="34"/>
      <c r="J71" s="33"/>
      <c r="K71" s="33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>
        <v>21</v>
      </c>
      <c r="Y71" s="32"/>
      <c r="Z71" s="32"/>
      <c r="AA71" s="32"/>
      <c r="AB71" s="32"/>
      <c r="AC71" s="31"/>
      <c r="AD71" s="37"/>
      <c r="AE71" s="49"/>
    </row>
    <row r="72" spans="1:31" ht="17" customHeight="1">
      <c r="A72" s="4"/>
      <c r="B72" s="105"/>
      <c r="C72" s="42" t="s">
        <v>86</v>
      </c>
      <c r="D72" s="46">
        <v>21</v>
      </c>
      <c r="E72" s="42">
        <v>21</v>
      </c>
      <c r="F72" s="32"/>
      <c r="G72" s="32"/>
      <c r="H72" s="35"/>
      <c r="I72" s="34"/>
      <c r="J72" s="33"/>
      <c r="K72" s="33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>
        <v>21</v>
      </c>
      <c r="Y72" s="32"/>
      <c r="Z72" s="32"/>
      <c r="AA72" s="32"/>
      <c r="AB72" s="32"/>
      <c r="AC72" s="31"/>
      <c r="AD72" s="37"/>
      <c r="AE72" s="49"/>
    </row>
    <row r="73" spans="1:31" ht="17" customHeight="1">
      <c r="A73" s="4"/>
      <c r="B73" s="105"/>
      <c r="C73" s="42" t="s">
        <v>87</v>
      </c>
      <c r="D73" s="46">
        <v>21</v>
      </c>
      <c r="E73" s="42">
        <v>21</v>
      </c>
      <c r="F73" s="32"/>
      <c r="G73" s="32"/>
      <c r="H73" s="35"/>
      <c r="I73" s="34"/>
      <c r="J73" s="33"/>
      <c r="K73" s="33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>
        <v>21</v>
      </c>
      <c r="Y73" s="32"/>
      <c r="Z73" s="32"/>
      <c r="AA73" s="32"/>
      <c r="AB73" s="32"/>
      <c r="AC73" s="31"/>
      <c r="AD73" s="37"/>
      <c r="AE73" s="49"/>
    </row>
    <row r="74" spans="1:31" ht="17" customHeight="1">
      <c r="A74" s="4"/>
      <c r="B74" s="105"/>
      <c r="C74" s="42"/>
      <c r="D74" s="46"/>
      <c r="E74" s="42"/>
      <c r="F74" s="32"/>
      <c r="G74" s="32"/>
      <c r="H74" s="35"/>
      <c r="I74" s="34"/>
      <c r="J74" s="33"/>
      <c r="K74" s="33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1"/>
      <c r="AD74" s="37"/>
      <c r="AE74" s="49"/>
    </row>
    <row r="75" spans="1:31" ht="17" customHeight="1">
      <c r="A75" s="4"/>
      <c r="B75" s="105"/>
      <c r="C75" s="42"/>
      <c r="D75" s="46"/>
      <c r="E75" s="42"/>
      <c r="F75" s="32"/>
      <c r="G75" s="32"/>
      <c r="H75" s="35"/>
      <c r="I75" s="34"/>
      <c r="J75" s="33"/>
      <c r="K75" s="33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1"/>
      <c r="AD75" s="37"/>
      <c r="AE75" s="49"/>
    </row>
    <row r="76" spans="1:31" ht="17" customHeight="1">
      <c r="A76" s="4"/>
      <c r="B76" s="105"/>
      <c r="C76" s="42"/>
      <c r="D76" s="46"/>
      <c r="E76" s="42"/>
      <c r="F76" s="32"/>
      <c r="G76" s="32"/>
      <c r="H76" s="35"/>
      <c r="I76" s="34"/>
      <c r="J76" s="33"/>
      <c r="K76" s="33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1"/>
      <c r="AD76" s="37"/>
      <c r="AE76" s="49"/>
    </row>
    <row r="77" spans="1:31" ht="19" customHeight="1">
      <c r="A77" s="4">
        <v>52</v>
      </c>
      <c r="B77" s="88" t="s">
        <v>19</v>
      </c>
      <c r="C77" s="42" t="s">
        <v>68</v>
      </c>
      <c r="D77" s="46">
        <v>21</v>
      </c>
      <c r="E77" s="42">
        <f t="shared" ref="E77:E88" si="6">SUM(F77:AC77)</f>
        <v>21</v>
      </c>
      <c r="F77" s="32"/>
      <c r="G77" s="32"/>
      <c r="H77" s="35"/>
      <c r="I77" s="34"/>
      <c r="J77" s="33"/>
      <c r="K77" s="33"/>
      <c r="L77" s="32"/>
      <c r="M77" s="32">
        <v>1</v>
      </c>
      <c r="N77" s="32"/>
      <c r="O77" s="32"/>
      <c r="P77" s="32">
        <v>2</v>
      </c>
      <c r="Q77" s="32"/>
      <c r="R77" s="32"/>
      <c r="S77" s="32"/>
      <c r="T77" s="32">
        <v>2</v>
      </c>
      <c r="U77" s="32"/>
      <c r="V77" s="32">
        <v>5</v>
      </c>
      <c r="W77" s="32">
        <v>4</v>
      </c>
      <c r="X77" s="32"/>
      <c r="Y77" s="32">
        <v>4</v>
      </c>
      <c r="Z77" s="26"/>
      <c r="AA77" s="32">
        <v>3</v>
      </c>
      <c r="AB77" s="32"/>
      <c r="AC77" s="31"/>
      <c r="AD77" s="37"/>
      <c r="AE77" s="49"/>
    </row>
    <row r="78" spans="1:31" ht="19" customHeight="1">
      <c r="A78" s="4">
        <v>53</v>
      </c>
      <c r="B78" s="105"/>
      <c r="C78" s="42" t="s">
        <v>69</v>
      </c>
      <c r="D78" s="46">
        <v>21</v>
      </c>
      <c r="E78" s="42">
        <f t="shared" si="6"/>
        <v>21</v>
      </c>
      <c r="F78" s="32"/>
      <c r="G78" s="32"/>
      <c r="H78" s="35"/>
      <c r="I78" s="34"/>
      <c r="J78" s="33"/>
      <c r="K78" s="33"/>
      <c r="L78" s="32"/>
      <c r="M78" s="32">
        <v>2</v>
      </c>
      <c r="N78" s="32"/>
      <c r="O78" s="32"/>
      <c r="P78" s="32">
        <v>2</v>
      </c>
      <c r="Q78" s="32"/>
      <c r="R78" s="32"/>
      <c r="S78" s="32"/>
      <c r="T78" s="32">
        <v>10</v>
      </c>
      <c r="U78" s="32"/>
      <c r="V78" s="40">
        <v>1</v>
      </c>
      <c r="W78" s="32">
        <v>6</v>
      </c>
      <c r="X78" s="32"/>
      <c r="Y78" s="31"/>
      <c r="Z78" s="50"/>
      <c r="AA78" s="51"/>
      <c r="AB78" s="32"/>
      <c r="AC78" s="31"/>
      <c r="AD78" s="37"/>
      <c r="AE78" s="49"/>
    </row>
    <row r="79" spans="1:31" ht="19" customHeight="1">
      <c r="A79" s="4">
        <v>54</v>
      </c>
      <c r="B79" s="105"/>
      <c r="C79" s="42" t="s">
        <v>70</v>
      </c>
      <c r="D79" s="46">
        <v>21</v>
      </c>
      <c r="E79" s="42">
        <f t="shared" si="6"/>
        <v>21</v>
      </c>
      <c r="F79" s="32"/>
      <c r="G79" s="32"/>
      <c r="H79" s="35"/>
      <c r="I79" s="34"/>
      <c r="J79" s="33"/>
      <c r="K79" s="33"/>
      <c r="L79" s="32"/>
      <c r="M79" s="32"/>
      <c r="N79" s="32"/>
      <c r="O79" s="32"/>
      <c r="P79" s="32">
        <v>17</v>
      </c>
      <c r="Q79" s="32">
        <v>4</v>
      </c>
      <c r="R79" s="32"/>
      <c r="S79" s="32"/>
      <c r="T79" s="32"/>
      <c r="U79" s="32"/>
      <c r="V79" s="40"/>
      <c r="W79" s="32"/>
      <c r="X79" s="32"/>
      <c r="Y79" s="31"/>
      <c r="Z79" s="15"/>
      <c r="AA79" s="51"/>
      <c r="AB79" s="32"/>
      <c r="AC79" s="31"/>
      <c r="AD79" s="37"/>
      <c r="AE79" s="49"/>
    </row>
    <row r="80" spans="1:31" ht="19" customHeight="1">
      <c r="A80" s="4">
        <v>55</v>
      </c>
      <c r="B80" s="105"/>
      <c r="C80" s="42" t="s">
        <v>71</v>
      </c>
      <c r="D80" s="46">
        <v>21</v>
      </c>
      <c r="E80" s="42">
        <f t="shared" si="6"/>
        <v>21</v>
      </c>
      <c r="F80" s="32"/>
      <c r="G80" s="32">
        <v>2</v>
      </c>
      <c r="H80" s="35"/>
      <c r="I80" s="34"/>
      <c r="J80" s="33"/>
      <c r="K80" s="33"/>
      <c r="L80" s="32"/>
      <c r="M80" s="32">
        <v>2</v>
      </c>
      <c r="N80" s="32"/>
      <c r="O80" s="32">
        <v>2</v>
      </c>
      <c r="P80" s="32"/>
      <c r="Q80" s="32">
        <v>2</v>
      </c>
      <c r="R80" s="32"/>
      <c r="S80" s="32"/>
      <c r="T80" s="32"/>
      <c r="U80" s="32">
        <v>9</v>
      </c>
      <c r="V80" s="40">
        <v>4</v>
      </c>
      <c r="W80" s="32"/>
      <c r="X80" s="32"/>
      <c r="Y80" s="31"/>
      <c r="Z80" s="15"/>
      <c r="AA80" s="51"/>
      <c r="AB80" s="32"/>
      <c r="AC80" s="31"/>
      <c r="AD80" s="37"/>
      <c r="AE80" s="49"/>
    </row>
    <row r="81" spans="1:31" ht="19" customHeight="1">
      <c r="A81" s="4">
        <v>56</v>
      </c>
      <c r="B81" s="105"/>
      <c r="C81" s="42" t="s">
        <v>72</v>
      </c>
      <c r="D81" s="46">
        <v>21</v>
      </c>
      <c r="E81" s="42">
        <f t="shared" si="6"/>
        <v>21</v>
      </c>
      <c r="F81" s="32"/>
      <c r="G81" s="32"/>
      <c r="H81" s="35">
        <v>10</v>
      </c>
      <c r="I81" s="34"/>
      <c r="J81" s="33"/>
      <c r="K81" s="33"/>
      <c r="L81" s="32"/>
      <c r="M81" s="32"/>
      <c r="N81" s="32"/>
      <c r="O81" s="32"/>
      <c r="P81" s="31">
        <v>5</v>
      </c>
      <c r="Q81" s="32"/>
      <c r="R81" s="32"/>
      <c r="S81" s="32"/>
      <c r="T81" s="32"/>
      <c r="U81" s="32"/>
      <c r="V81" s="40"/>
      <c r="W81" s="32">
        <v>6</v>
      </c>
      <c r="X81" s="32"/>
      <c r="Z81" s="50"/>
      <c r="AA81" s="51"/>
      <c r="AB81" s="32"/>
      <c r="AC81" s="31"/>
      <c r="AD81" s="37"/>
      <c r="AE81" s="49"/>
    </row>
    <row r="82" spans="1:31" ht="19" customHeight="1">
      <c r="A82" s="4">
        <v>57</v>
      </c>
      <c r="B82" s="105"/>
      <c r="C82" s="42" t="s">
        <v>73</v>
      </c>
      <c r="D82" s="46">
        <v>21</v>
      </c>
      <c r="E82" s="42">
        <f t="shared" si="6"/>
        <v>21</v>
      </c>
      <c r="F82" s="32"/>
      <c r="G82" s="32"/>
      <c r="H82" s="35"/>
      <c r="I82" s="34"/>
      <c r="J82" s="33"/>
      <c r="K82" s="33"/>
      <c r="L82" s="32"/>
      <c r="M82" s="32"/>
      <c r="N82" s="32"/>
      <c r="O82" s="32"/>
      <c r="P82" s="26"/>
      <c r="Q82" s="26"/>
      <c r="R82" s="32"/>
      <c r="S82" s="32"/>
      <c r="T82" s="32"/>
      <c r="U82" s="32">
        <v>6</v>
      </c>
      <c r="V82" s="32">
        <v>15</v>
      </c>
      <c r="W82" s="32"/>
      <c r="X82" s="32"/>
      <c r="Y82" s="32"/>
      <c r="Z82" s="52"/>
      <c r="AA82" s="32"/>
      <c r="AB82" s="32"/>
      <c r="AC82" s="31"/>
      <c r="AD82" s="37"/>
      <c r="AE82" s="49"/>
    </row>
    <row r="83" spans="1:31" ht="19" customHeight="1">
      <c r="A83" s="4">
        <v>58</v>
      </c>
      <c r="B83" s="105"/>
      <c r="C83" s="42" t="s">
        <v>74</v>
      </c>
      <c r="D83" s="46">
        <v>21</v>
      </c>
      <c r="E83" s="42">
        <f t="shared" si="6"/>
        <v>21</v>
      </c>
      <c r="F83" s="32"/>
      <c r="G83" s="32"/>
      <c r="H83" s="35"/>
      <c r="I83" s="34"/>
      <c r="J83" s="33"/>
      <c r="K83" s="33"/>
      <c r="L83" s="32"/>
      <c r="M83" s="32"/>
      <c r="N83" s="32"/>
      <c r="O83" s="31">
        <v>3</v>
      </c>
      <c r="P83" s="15"/>
      <c r="Q83" s="50">
        <v>5</v>
      </c>
      <c r="R83" s="51"/>
      <c r="S83" s="32"/>
      <c r="T83" s="32">
        <v>10</v>
      </c>
      <c r="U83" s="32">
        <v>3</v>
      </c>
      <c r="V83" s="40"/>
      <c r="W83" s="32"/>
      <c r="X83" s="32"/>
      <c r="Y83" s="32"/>
      <c r="Z83" s="32"/>
      <c r="AA83" s="32"/>
      <c r="AB83" s="32"/>
      <c r="AC83" s="31"/>
      <c r="AD83" s="37"/>
      <c r="AE83" s="49"/>
    </row>
    <row r="84" spans="1:31" ht="19" customHeight="1">
      <c r="A84" s="4">
        <v>59</v>
      </c>
      <c r="B84" s="105"/>
      <c r="C84" s="42" t="s">
        <v>75</v>
      </c>
      <c r="D84" s="46">
        <v>21</v>
      </c>
      <c r="E84" s="42">
        <f t="shared" si="6"/>
        <v>21</v>
      </c>
      <c r="F84" s="32"/>
      <c r="G84" s="32"/>
      <c r="H84" s="35"/>
      <c r="I84" s="34"/>
      <c r="J84" s="33"/>
      <c r="K84" s="33"/>
      <c r="L84" s="32"/>
      <c r="M84" s="32">
        <v>10</v>
      </c>
      <c r="N84" s="32"/>
      <c r="O84" s="31"/>
      <c r="P84" s="15"/>
      <c r="Q84" s="50">
        <v>1</v>
      </c>
      <c r="R84" s="51"/>
      <c r="S84" s="32"/>
      <c r="T84" s="32"/>
      <c r="U84" s="32"/>
      <c r="V84" s="40"/>
      <c r="W84" s="32"/>
      <c r="X84" s="32"/>
      <c r="Y84" s="32"/>
      <c r="Z84" s="32"/>
      <c r="AA84" s="32">
        <v>10</v>
      </c>
      <c r="AB84" s="32"/>
      <c r="AC84" s="31"/>
      <c r="AD84" s="37"/>
      <c r="AE84" s="49"/>
    </row>
    <row r="85" spans="1:31" ht="19" customHeight="1">
      <c r="A85" s="4">
        <v>60</v>
      </c>
      <c r="B85" s="105"/>
      <c r="C85" s="42" t="s">
        <v>76</v>
      </c>
      <c r="D85" s="46">
        <v>21</v>
      </c>
      <c r="E85" s="42">
        <f t="shared" si="6"/>
        <v>21</v>
      </c>
      <c r="F85" s="32"/>
      <c r="G85" s="32"/>
      <c r="H85" s="35"/>
      <c r="I85" s="34"/>
      <c r="J85" s="33"/>
      <c r="K85" s="33"/>
      <c r="L85" s="32"/>
      <c r="M85" s="32"/>
      <c r="N85" s="32"/>
      <c r="O85" s="31"/>
      <c r="P85" s="15"/>
      <c r="Q85" s="50">
        <v>15</v>
      </c>
      <c r="R85" s="51"/>
      <c r="S85" s="32"/>
      <c r="T85" s="32"/>
      <c r="U85" s="32"/>
      <c r="V85" s="40">
        <v>6</v>
      </c>
      <c r="W85" s="32"/>
      <c r="X85" s="32"/>
      <c r="Y85" s="32"/>
      <c r="Z85" s="32"/>
      <c r="AA85" s="32"/>
      <c r="AB85" s="32"/>
      <c r="AC85" s="31"/>
      <c r="AD85" s="37"/>
      <c r="AE85" s="49"/>
    </row>
    <row r="86" spans="1:31" ht="19" customHeight="1">
      <c r="A86" s="4">
        <v>61</v>
      </c>
      <c r="B86" s="105"/>
      <c r="C86" s="42" t="s">
        <v>77</v>
      </c>
      <c r="D86" s="46">
        <v>21</v>
      </c>
      <c r="E86" s="42">
        <f t="shared" si="6"/>
        <v>21</v>
      </c>
      <c r="F86" s="32"/>
      <c r="G86" s="32"/>
      <c r="H86" s="35"/>
      <c r="I86" s="34"/>
      <c r="J86" s="33"/>
      <c r="K86" s="33"/>
      <c r="L86" s="32"/>
      <c r="M86" s="32"/>
      <c r="N86" s="32"/>
      <c r="O86" s="31"/>
      <c r="P86" s="15"/>
      <c r="Q86" s="50">
        <v>5</v>
      </c>
      <c r="R86" s="51"/>
      <c r="S86" s="32"/>
      <c r="T86" s="32"/>
      <c r="U86" s="32">
        <v>6</v>
      </c>
      <c r="V86" s="40">
        <v>10</v>
      </c>
      <c r="W86" s="32"/>
      <c r="X86" s="32"/>
      <c r="Y86" s="32"/>
      <c r="Z86" s="32"/>
      <c r="AA86" s="32"/>
      <c r="AB86" s="32"/>
      <c r="AC86" s="31"/>
      <c r="AD86" s="37"/>
      <c r="AE86" s="49"/>
    </row>
    <row r="87" spans="1:31" ht="19" customHeight="1">
      <c r="A87" s="4">
        <v>62</v>
      </c>
      <c r="B87" s="105"/>
      <c r="C87" s="42" t="s">
        <v>78</v>
      </c>
      <c r="D87" s="46"/>
      <c r="E87" s="42">
        <f t="shared" si="6"/>
        <v>0</v>
      </c>
      <c r="F87" s="32"/>
      <c r="G87" s="32"/>
      <c r="H87" s="35"/>
      <c r="I87" s="34"/>
      <c r="J87" s="33"/>
      <c r="K87" s="33"/>
      <c r="L87" s="32"/>
      <c r="M87" s="32"/>
      <c r="N87" s="32"/>
      <c r="O87" s="32"/>
      <c r="P87" s="52"/>
      <c r="Q87" s="5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1"/>
      <c r="AD87" s="37"/>
      <c r="AE87" s="49"/>
    </row>
    <row r="88" spans="1:31" ht="19" customHeight="1">
      <c r="A88" s="4">
        <v>63</v>
      </c>
      <c r="B88" s="105"/>
      <c r="C88" s="42" t="s">
        <v>79</v>
      </c>
      <c r="D88" s="46"/>
      <c r="E88" s="42">
        <f t="shared" si="6"/>
        <v>0</v>
      </c>
      <c r="F88" s="32"/>
      <c r="G88" s="32"/>
      <c r="H88" s="35"/>
      <c r="I88" s="34"/>
      <c r="J88" s="33"/>
      <c r="K88" s="33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1"/>
      <c r="AD88" s="37"/>
      <c r="AE88" s="49"/>
    </row>
    <row r="89" spans="1:31" ht="19" customHeight="1">
      <c r="A89" s="4">
        <v>64</v>
      </c>
      <c r="B89" s="105"/>
      <c r="C89" s="43" t="s">
        <v>80</v>
      </c>
      <c r="D89" s="46">
        <v>21</v>
      </c>
      <c r="E89" s="42">
        <v>21</v>
      </c>
      <c r="F89" s="32"/>
      <c r="G89" s="32"/>
      <c r="H89" s="35"/>
      <c r="I89" s="34"/>
      <c r="J89" s="33"/>
      <c r="K89" s="33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>
        <v>21</v>
      </c>
      <c r="Y89" s="32"/>
      <c r="Z89" s="32"/>
      <c r="AA89" s="32"/>
      <c r="AB89" s="32"/>
      <c r="AC89" s="31"/>
      <c r="AD89" s="37"/>
      <c r="AE89" s="49"/>
    </row>
    <row r="90" spans="1:31" ht="19" customHeight="1">
      <c r="A90" s="4">
        <v>65</v>
      </c>
      <c r="B90" s="105"/>
      <c r="C90" s="42" t="s">
        <v>81</v>
      </c>
      <c r="D90" s="46">
        <v>21</v>
      </c>
      <c r="E90" s="42">
        <v>21</v>
      </c>
      <c r="F90" s="32"/>
      <c r="G90" s="32"/>
      <c r="H90" s="35"/>
      <c r="I90" s="34"/>
      <c r="J90" s="33"/>
      <c r="K90" s="33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>
        <v>21</v>
      </c>
      <c r="Y90" s="32"/>
      <c r="Z90" s="32"/>
      <c r="AA90" s="32"/>
      <c r="AB90" s="32"/>
      <c r="AC90" s="31"/>
      <c r="AD90" s="37"/>
      <c r="AE90" s="49"/>
    </row>
    <row r="91" spans="1:31" ht="19" customHeight="1">
      <c r="A91" s="4">
        <v>66</v>
      </c>
      <c r="B91" s="105"/>
      <c r="C91" s="42" t="s">
        <v>82</v>
      </c>
      <c r="D91" s="46">
        <v>21</v>
      </c>
      <c r="E91" s="42">
        <v>21</v>
      </c>
      <c r="F91" s="32"/>
      <c r="G91" s="32"/>
      <c r="H91" s="35"/>
      <c r="I91" s="34"/>
      <c r="J91" s="33"/>
      <c r="K91" s="33"/>
      <c r="L91" s="32"/>
      <c r="M91" s="32"/>
      <c r="N91" s="32"/>
      <c r="O91" s="32"/>
      <c r="Q91" s="32"/>
      <c r="R91" s="32"/>
      <c r="S91" s="32"/>
      <c r="T91" s="32"/>
      <c r="U91" s="32"/>
      <c r="V91" s="32"/>
      <c r="W91" s="32"/>
      <c r="X91" s="32">
        <v>21</v>
      </c>
      <c r="Y91" s="32"/>
      <c r="Z91" s="32"/>
      <c r="AA91" s="32"/>
      <c r="AB91" s="32"/>
      <c r="AC91" s="31"/>
      <c r="AD91" s="37"/>
      <c r="AE91" s="49"/>
    </row>
    <row r="92" spans="1:31" ht="19" customHeight="1">
      <c r="A92" s="4">
        <v>67</v>
      </c>
      <c r="B92" s="105"/>
      <c r="C92" s="42" t="s">
        <v>83</v>
      </c>
      <c r="D92" s="46">
        <v>21</v>
      </c>
      <c r="E92" s="42">
        <v>21</v>
      </c>
      <c r="F92" s="32"/>
      <c r="G92" s="32"/>
      <c r="H92" s="35"/>
      <c r="I92" s="34"/>
      <c r="J92" s="33"/>
      <c r="K92" s="33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>
        <v>21</v>
      </c>
      <c r="Y92" s="32"/>
      <c r="Z92" s="32"/>
      <c r="AA92" s="32"/>
      <c r="AB92" s="32"/>
      <c r="AC92" s="31"/>
      <c r="AD92" s="37"/>
      <c r="AE92" s="49"/>
    </row>
    <row r="93" spans="1:31" ht="19" customHeight="1">
      <c r="A93" s="4">
        <v>68</v>
      </c>
      <c r="B93" s="105"/>
      <c r="C93" s="42" t="s">
        <v>84</v>
      </c>
      <c r="D93" s="46">
        <v>21</v>
      </c>
      <c r="E93" s="42">
        <v>21</v>
      </c>
      <c r="F93" s="32"/>
      <c r="G93" s="32"/>
      <c r="H93" s="35"/>
      <c r="I93" s="34"/>
      <c r="J93" s="33"/>
      <c r="K93" s="33"/>
      <c r="L93" s="32"/>
      <c r="M93" s="32"/>
      <c r="N93" s="32"/>
      <c r="O93" s="32"/>
      <c r="P93" s="40"/>
      <c r="Q93" s="32"/>
      <c r="R93" s="32"/>
      <c r="S93" s="32"/>
      <c r="T93" s="32"/>
      <c r="U93" s="32"/>
      <c r="V93" s="32"/>
      <c r="W93" s="32"/>
      <c r="X93" s="32">
        <v>21</v>
      </c>
      <c r="Y93" s="32"/>
      <c r="Z93" s="32"/>
      <c r="AA93" s="32"/>
      <c r="AB93" s="32"/>
      <c r="AC93" s="31"/>
      <c r="AD93" s="37"/>
      <c r="AE93" s="49"/>
    </row>
    <row r="94" spans="1:31" ht="17" customHeight="1">
      <c r="A94" s="4"/>
      <c r="B94" s="105"/>
      <c r="C94" s="42" t="s">
        <v>85</v>
      </c>
      <c r="D94" s="46">
        <v>21</v>
      </c>
      <c r="E94" s="42">
        <v>21</v>
      </c>
      <c r="F94" s="32"/>
      <c r="G94" s="32"/>
      <c r="H94" s="35"/>
      <c r="I94" s="34"/>
      <c r="J94" s="33"/>
      <c r="K94" s="33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>
        <v>21</v>
      </c>
      <c r="Y94" s="32"/>
      <c r="Z94" s="32"/>
      <c r="AA94" s="32"/>
      <c r="AB94" s="32"/>
      <c r="AC94" s="31"/>
      <c r="AD94" s="37"/>
      <c r="AE94" s="49"/>
    </row>
    <row r="95" spans="1:31" ht="17" customHeight="1">
      <c r="A95" s="4"/>
      <c r="B95" s="105"/>
      <c r="C95" s="42" t="s">
        <v>86</v>
      </c>
      <c r="D95" s="46">
        <v>21</v>
      </c>
      <c r="E95" s="42">
        <v>21</v>
      </c>
      <c r="F95" s="32"/>
      <c r="G95" s="32"/>
      <c r="H95" s="35"/>
      <c r="I95" s="34"/>
      <c r="J95" s="33"/>
      <c r="K95" s="33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>
        <v>21</v>
      </c>
      <c r="Y95" s="32"/>
      <c r="Z95" s="32"/>
      <c r="AA95" s="32"/>
      <c r="AB95" s="32"/>
      <c r="AC95" s="31"/>
      <c r="AD95" s="37"/>
      <c r="AE95" s="49"/>
    </row>
    <row r="96" spans="1:31" ht="17" customHeight="1">
      <c r="A96" s="4"/>
      <c r="B96" s="105"/>
      <c r="C96" s="42" t="s">
        <v>87</v>
      </c>
      <c r="D96" s="46">
        <v>21</v>
      </c>
      <c r="E96" s="42">
        <v>21</v>
      </c>
      <c r="F96" s="32"/>
      <c r="G96" s="32"/>
      <c r="H96" s="35"/>
      <c r="I96" s="34"/>
      <c r="J96" s="33"/>
      <c r="K96" s="33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>
        <v>21</v>
      </c>
      <c r="Y96" s="32"/>
      <c r="Z96" s="32"/>
      <c r="AA96" s="32"/>
      <c r="AB96" s="32"/>
      <c r="AC96" s="31"/>
      <c r="AD96" s="37"/>
      <c r="AE96" s="49"/>
    </row>
    <row r="97" spans="1:31" ht="17" customHeight="1">
      <c r="A97" s="4"/>
      <c r="B97" s="105"/>
      <c r="C97" s="42"/>
      <c r="D97" s="46"/>
      <c r="E97" s="42"/>
      <c r="F97" s="32"/>
      <c r="G97" s="32"/>
      <c r="H97" s="35"/>
      <c r="I97" s="34"/>
      <c r="J97" s="33"/>
      <c r="K97" s="33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1"/>
      <c r="AD97" s="37"/>
      <c r="AE97" s="49"/>
    </row>
    <row r="98" spans="1:31" ht="17" customHeight="1">
      <c r="A98" s="4"/>
      <c r="B98" s="105"/>
      <c r="C98" s="42"/>
      <c r="D98" s="46"/>
      <c r="E98" s="42"/>
      <c r="F98" s="32"/>
      <c r="G98" s="32"/>
      <c r="H98" s="35"/>
      <c r="I98" s="34"/>
      <c r="J98" s="33"/>
      <c r="K98" s="33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1"/>
      <c r="AD98" s="37"/>
      <c r="AE98" s="49"/>
    </row>
    <row r="99" spans="1:31" ht="17" customHeight="1">
      <c r="A99" s="4"/>
      <c r="B99" s="105"/>
      <c r="C99" s="42"/>
      <c r="D99" s="46"/>
      <c r="E99" s="42"/>
      <c r="F99" s="32"/>
      <c r="G99" s="32"/>
      <c r="H99" s="35"/>
      <c r="I99" s="34"/>
      <c r="J99" s="33"/>
      <c r="K99" s="33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1"/>
      <c r="AD99" s="37"/>
      <c r="AE99" s="49"/>
    </row>
    <row r="100" spans="1:31">
      <c r="A100" s="4">
        <v>69</v>
      </c>
      <c r="B100" s="88" t="s">
        <v>18</v>
      </c>
      <c r="C100" s="42" t="s">
        <v>68</v>
      </c>
      <c r="D100" s="46">
        <v>21</v>
      </c>
      <c r="E100" s="42">
        <f t="shared" ref="E100:E111" si="7">SUM(F100:AC100)</f>
        <v>21</v>
      </c>
      <c r="F100" s="32"/>
      <c r="G100" s="32"/>
      <c r="H100" s="35"/>
      <c r="I100" s="34"/>
      <c r="J100" s="33"/>
      <c r="K100" s="33"/>
      <c r="L100" s="32"/>
      <c r="M100" s="32">
        <v>2</v>
      </c>
      <c r="N100" s="32"/>
      <c r="O100" s="32"/>
      <c r="P100" s="32"/>
      <c r="Q100" s="32">
        <v>2</v>
      </c>
      <c r="R100" s="32"/>
      <c r="S100" s="32"/>
      <c r="T100" s="32">
        <v>5</v>
      </c>
      <c r="U100" s="32">
        <v>2</v>
      </c>
      <c r="V100" s="32">
        <v>5</v>
      </c>
      <c r="W100" s="32">
        <v>5</v>
      </c>
      <c r="X100" s="32"/>
      <c r="Z100" s="32"/>
      <c r="AA100" s="32"/>
      <c r="AB100" s="32"/>
      <c r="AC100" s="31"/>
      <c r="AD100" s="37"/>
      <c r="AE100" s="49"/>
    </row>
    <row r="101" spans="1:31">
      <c r="A101" s="4">
        <v>70</v>
      </c>
      <c r="B101" s="89"/>
      <c r="C101" s="42" t="s">
        <v>69</v>
      </c>
      <c r="D101" s="46">
        <v>21</v>
      </c>
      <c r="E101" s="42">
        <f t="shared" si="7"/>
        <v>21</v>
      </c>
      <c r="F101" s="32"/>
      <c r="G101" s="32"/>
      <c r="H101" s="35"/>
      <c r="I101" s="34"/>
      <c r="J101" s="33"/>
      <c r="K101" s="33"/>
      <c r="L101" s="32"/>
      <c r="M101" s="32"/>
      <c r="N101" s="32"/>
      <c r="O101" s="32">
        <v>3</v>
      </c>
      <c r="P101" s="26"/>
      <c r="Q101" s="32"/>
      <c r="R101" s="32"/>
      <c r="S101" s="32"/>
      <c r="T101" s="32">
        <v>9</v>
      </c>
      <c r="U101" s="32"/>
      <c r="V101" s="40"/>
      <c r="W101" s="32">
        <v>9</v>
      </c>
      <c r="X101" s="32"/>
      <c r="Y101" s="32"/>
      <c r="Z101" s="32"/>
      <c r="AA101" s="32"/>
      <c r="AB101" s="32"/>
      <c r="AC101" s="31"/>
      <c r="AD101" s="37"/>
      <c r="AE101" s="49"/>
    </row>
    <row r="102" spans="1:31">
      <c r="A102" s="4">
        <v>71</v>
      </c>
      <c r="B102" s="89"/>
      <c r="C102" s="42" t="s">
        <v>70</v>
      </c>
      <c r="D102" s="46">
        <v>21</v>
      </c>
      <c r="E102" s="42">
        <f t="shared" si="7"/>
        <v>21</v>
      </c>
      <c r="F102" s="32"/>
      <c r="G102" s="32"/>
      <c r="H102" s="35"/>
      <c r="I102" s="34"/>
      <c r="J102" s="33"/>
      <c r="K102" s="33"/>
      <c r="L102" s="32"/>
      <c r="M102" s="32"/>
      <c r="N102" s="32"/>
      <c r="O102" s="31"/>
      <c r="P102" s="32">
        <v>6</v>
      </c>
      <c r="Q102" s="51">
        <v>7</v>
      </c>
      <c r="R102" s="32"/>
      <c r="S102" s="32"/>
      <c r="T102" s="32"/>
      <c r="U102" s="32"/>
      <c r="V102" s="40">
        <v>8</v>
      </c>
      <c r="W102" s="32"/>
      <c r="X102" s="32"/>
      <c r="Z102" s="32"/>
      <c r="AA102" s="32"/>
      <c r="AB102" s="32"/>
      <c r="AC102" s="31"/>
      <c r="AD102" s="37"/>
      <c r="AE102" s="49"/>
    </row>
    <row r="103" spans="1:31">
      <c r="A103" s="4">
        <v>72</v>
      </c>
      <c r="B103" s="89"/>
      <c r="C103" s="42" t="s">
        <v>71</v>
      </c>
      <c r="D103" s="46">
        <v>21</v>
      </c>
      <c r="E103" s="42">
        <f t="shared" si="7"/>
        <v>21</v>
      </c>
      <c r="F103" s="32"/>
      <c r="G103" s="32"/>
      <c r="H103" s="35"/>
      <c r="I103" s="34"/>
      <c r="J103" s="33"/>
      <c r="K103" s="33"/>
      <c r="L103" s="32"/>
      <c r="M103" s="32">
        <v>2</v>
      </c>
      <c r="N103" s="32"/>
      <c r="O103" s="31">
        <v>6</v>
      </c>
      <c r="P103" s="15"/>
      <c r="Q103" s="51">
        <v>2</v>
      </c>
      <c r="R103" s="32"/>
      <c r="S103" s="32"/>
      <c r="T103" s="32"/>
      <c r="U103" s="32"/>
      <c r="V103" s="40">
        <v>11</v>
      </c>
      <c r="W103" s="32"/>
      <c r="X103" s="32"/>
      <c r="Y103" s="32"/>
      <c r="Z103" s="32"/>
      <c r="AA103" s="32"/>
      <c r="AB103" s="32"/>
      <c r="AC103" s="31"/>
      <c r="AD103" s="37"/>
      <c r="AE103" s="49"/>
    </row>
    <row r="104" spans="1:31">
      <c r="A104" s="4">
        <v>73</v>
      </c>
      <c r="B104" s="89"/>
      <c r="C104" s="42" t="s">
        <v>72</v>
      </c>
      <c r="D104" s="46">
        <v>21</v>
      </c>
      <c r="E104" s="42">
        <f t="shared" si="7"/>
        <v>21</v>
      </c>
      <c r="F104" s="32"/>
      <c r="G104" s="32"/>
      <c r="H104" s="35">
        <v>8</v>
      </c>
      <c r="I104" s="34"/>
      <c r="J104" s="33"/>
      <c r="K104" s="33"/>
      <c r="L104" s="32"/>
      <c r="M104" s="32"/>
      <c r="N104" s="32"/>
      <c r="O104" s="31"/>
      <c r="P104" s="15"/>
      <c r="Q104" s="51">
        <v>8</v>
      </c>
      <c r="R104" s="32"/>
      <c r="S104" s="32"/>
      <c r="T104" s="32"/>
      <c r="U104" s="32">
        <v>5</v>
      </c>
      <c r="V104" s="40"/>
      <c r="W104" s="32"/>
      <c r="X104" s="32"/>
      <c r="Y104" s="32"/>
      <c r="Z104" s="32"/>
      <c r="AA104" s="32"/>
      <c r="AB104" s="32"/>
      <c r="AC104" s="31"/>
      <c r="AD104" s="37"/>
      <c r="AE104" s="49"/>
    </row>
    <row r="105" spans="1:31">
      <c r="A105" s="4">
        <v>74</v>
      </c>
      <c r="B105" s="89"/>
      <c r="C105" s="42" t="s">
        <v>73</v>
      </c>
      <c r="D105" s="46">
        <v>21</v>
      </c>
      <c r="E105" s="42">
        <f t="shared" si="7"/>
        <v>21</v>
      </c>
      <c r="F105" s="32"/>
      <c r="G105" s="32"/>
      <c r="H105" s="35"/>
      <c r="I105" s="34"/>
      <c r="J105" s="33"/>
      <c r="K105" s="33"/>
      <c r="L105" s="32"/>
      <c r="M105" s="32"/>
      <c r="N105" s="32"/>
      <c r="O105" s="31"/>
      <c r="P105" s="15"/>
      <c r="Q105" s="51"/>
      <c r="R105" s="32"/>
      <c r="S105" s="32"/>
      <c r="T105" s="32"/>
      <c r="U105" s="32">
        <v>9</v>
      </c>
      <c r="V105" s="32">
        <v>12</v>
      </c>
      <c r="W105" s="32"/>
      <c r="X105" s="32"/>
      <c r="Y105" s="32"/>
      <c r="Z105" s="32"/>
      <c r="AA105" s="32"/>
      <c r="AB105" s="32"/>
      <c r="AC105" s="31"/>
      <c r="AD105" s="37"/>
      <c r="AE105" s="49"/>
    </row>
    <row r="106" spans="1:31">
      <c r="A106" s="4">
        <v>75</v>
      </c>
      <c r="B106" s="89"/>
      <c r="C106" s="42" t="s">
        <v>74</v>
      </c>
      <c r="D106" s="46">
        <v>21</v>
      </c>
      <c r="E106" s="42">
        <f t="shared" si="7"/>
        <v>21</v>
      </c>
      <c r="F106" s="32"/>
      <c r="G106" s="32"/>
      <c r="H106" s="35"/>
      <c r="I106" s="34"/>
      <c r="J106" s="33"/>
      <c r="K106" s="33"/>
      <c r="L106" s="32"/>
      <c r="M106" s="32"/>
      <c r="N106" s="32"/>
      <c r="O106" s="31"/>
      <c r="P106" s="15"/>
      <c r="Q106" s="51">
        <v>3</v>
      </c>
      <c r="R106" s="32"/>
      <c r="S106" s="32"/>
      <c r="T106" s="32">
        <v>18</v>
      </c>
      <c r="U106" s="32"/>
      <c r="V106" s="40"/>
      <c r="W106" s="32"/>
      <c r="X106" s="32"/>
      <c r="Y106" s="32"/>
      <c r="Z106" s="32"/>
      <c r="AA106" s="32"/>
      <c r="AB106" s="32"/>
      <c r="AC106" s="31"/>
      <c r="AD106" s="37"/>
      <c r="AE106" s="49"/>
    </row>
    <row r="107" spans="1:31">
      <c r="A107" s="4">
        <v>76</v>
      </c>
      <c r="B107" s="89"/>
      <c r="C107" s="42" t="s">
        <v>75</v>
      </c>
      <c r="D107" s="46">
        <v>21</v>
      </c>
      <c r="E107" s="42">
        <f t="shared" si="7"/>
        <v>21</v>
      </c>
      <c r="F107" s="32"/>
      <c r="G107" s="32"/>
      <c r="H107" s="35"/>
      <c r="I107" s="34"/>
      <c r="J107" s="33"/>
      <c r="K107" s="33"/>
      <c r="L107" s="32"/>
      <c r="M107" s="32">
        <v>5</v>
      </c>
      <c r="N107" s="32"/>
      <c r="O107" s="31"/>
      <c r="P107" s="15"/>
      <c r="Q107" s="51"/>
      <c r="R107" s="32"/>
      <c r="S107" s="32"/>
      <c r="T107" s="32"/>
      <c r="U107" s="32"/>
      <c r="V107" s="40"/>
      <c r="W107" s="32"/>
      <c r="X107" s="32"/>
      <c r="Y107" s="32"/>
      <c r="Z107" s="32"/>
      <c r="AA107" s="32">
        <v>16</v>
      </c>
      <c r="AB107" s="32"/>
      <c r="AC107" s="31"/>
      <c r="AD107" s="37"/>
      <c r="AE107" s="49"/>
    </row>
    <row r="108" spans="1:31">
      <c r="A108" s="4">
        <v>77</v>
      </c>
      <c r="B108" s="89"/>
      <c r="C108" s="42" t="s">
        <v>76</v>
      </c>
      <c r="D108" s="46">
        <v>21</v>
      </c>
      <c r="E108" s="42">
        <f t="shared" si="7"/>
        <v>21</v>
      </c>
      <c r="F108" s="32"/>
      <c r="G108" s="32"/>
      <c r="H108" s="35"/>
      <c r="I108" s="34"/>
      <c r="J108" s="33"/>
      <c r="K108" s="33"/>
      <c r="L108" s="32"/>
      <c r="M108" s="32"/>
      <c r="N108" s="32"/>
      <c r="O108" s="31"/>
      <c r="P108" s="15"/>
      <c r="Q108" s="51">
        <v>9</v>
      </c>
      <c r="R108" s="32"/>
      <c r="S108" s="32"/>
      <c r="T108" s="32"/>
      <c r="U108" s="32"/>
      <c r="V108" s="40">
        <v>12</v>
      </c>
      <c r="W108" s="32"/>
      <c r="X108" s="32"/>
      <c r="Y108" s="32"/>
      <c r="Z108" s="32"/>
      <c r="AA108" s="32"/>
      <c r="AB108" s="32"/>
      <c r="AC108" s="31"/>
      <c r="AD108" s="37"/>
      <c r="AE108" s="49"/>
    </row>
    <row r="109" spans="1:31">
      <c r="A109" s="4">
        <v>78</v>
      </c>
      <c r="B109" s="89"/>
      <c r="C109" s="42" t="s">
        <v>77</v>
      </c>
      <c r="D109" s="46">
        <v>21</v>
      </c>
      <c r="E109" s="42">
        <f t="shared" si="7"/>
        <v>21</v>
      </c>
      <c r="F109" s="32"/>
      <c r="G109" s="32"/>
      <c r="H109" s="35"/>
      <c r="I109" s="34"/>
      <c r="J109" s="33"/>
      <c r="K109" s="33"/>
      <c r="L109" s="32"/>
      <c r="M109" s="32">
        <v>5</v>
      </c>
      <c r="N109" s="32"/>
      <c r="O109" s="31"/>
      <c r="P109" s="50"/>
      <c r="Q109" s="51"/>
      <c r="R109" s="32"/>
      <c r="S109" s="32"/>
      <c r="T109" s="32"/>
      <c r="U109" s="32">
        <v>6</v>
      </c>
      <c r="V109" s="40">
        <v>10</v>
      </c>
      <c r="W109" s="32"/>
      <c r="X109" s="32"/>
      <c r="Y109" s="32"/>
      <c r="Z109" s="32"/>
      <c r="AA109" s="32"/>
      <c r="AB109" s="32"/>
      <c r="AC109" s="31"/>
      <c r="AD109" s="37"/>
      <c r="AE109" s="49"/>
    </row>
    <row r="110" spans="1:31">
      <c r="A110" s="4">
        <v>79</v>
      </c>
      <c r="B110" s="89"/>
      <c r="C110" s="42" t="s">
        <v>78</v>
      </c>
      <c r="D110" s="46"/>
      <c r="E110" s="42">
        <f t="shared" si="7"/>
        <v>0</v>
      </c>
      <c r="F110" s="32"/>
      <c r="G110" s="32"/>
      <c r="H110" s="35"/>
      <c r="I110" s="34"/>
      <c r="J110" s="33"/>
      <c r="K110" s="33"/>
      <c r="L110" s="32"/>
      <c r="M110" s="32"/>
      <c r="N110" s="32"/>
      <c r="O110" s="32"/>
      <c r="P110" s="5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1"/>
      <c r="AD110" s="37"/>
      <c r="AE110" s="49"/>
    </row>
    <row r="111" spans="1:31">
      <c r="A111" s="4">
        <v>80</v>
      </c>
      <c r="B111" s="89"/>
      <c r="C111" s="42" t="s">
        <v>79</v>
      </c>
      <c r="D111" s="46"/>
      <c r="E111" s="42">
        <f t="shared" si="7"/>
        <v>0</v>
      </c>
      <c r="F111" s="32"/>
      <c r="G111" s="32"/>
      <c r="H111" s="35"/>
      <c r="I111" s="34"/>
      <c r="J111" s="33"/>
      <c r="K111" s="33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1"/>
      <c r="AD111" s="37"/>
      <c r="AE111" s="49"/>
    </row>
    <row r="112" spans="1:31">
      <c r="A112" s="4">
        <v>81</v>
      </c>
      <c r="B112" s="89"/>
      <c r="C112" s="43" t="s">
        <v>80</v>
      </c>
      <c r="D112" s="46">
        <v>21</v>
      </c>
      <c r="E112" s="42">
        <v>21</v>
      </c>
      <c r="F112" s="32"/>
      <c r="G112" s="32"/>
      <c r="H112" s="35"/>
      <c r="I112" s="34"/>
      <c r="J112" s="33"/>
      <c r="K112" s="33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>
        <v>21</v>
      </c>
      <c r="Y112" s="32"/>
      <c r="Z112" s="32"/>
      <c r="AA112" s="32"/>
      <c r="AB112" s="32"/>
      <c r="AC112" s="31"/>
      <c r="AD112" s="37"/>
      <c r="AE112" s="49"/>
    </row>
    <row r="113" spans="1:31">
      <c r="A113" s="4">
        <v>82</v>
      </c>
      <c r="B113" s="89"/>
      <c r="C113" s="42" t="s">
        <v>81</v>
      </c>
      <c r="D113" s="46">
        <v>21</v>
      </c>
      <c r="E113" s="42">
        <v>21</v>
      </c>
      <c r="F113" s="32"/>
      <c r="G113" s="32"/>
      <c r="H113" s="35"/>
      <c r="I113" s="34"/>
      <c r="J113" s="33"/>
      <c r="K113" s="33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>
        <v>21</v>
      </c>
      <c r="Y113" s="32"/>
      <c r="Z113" s="32"/>
      <c r="AA113" s="32"/>
      <c r="AB113" s="32"/>
      <c r="AC113" s="31"/>
      <c r="AD113" s="37"/>
      <c r="AE113" s="49"/>
    </row>
    <row r="114" spans="1:31">
      <c r="A114" s="4">
        <v>83</v>
      </c>
      <c r="B114" s="89"/>
      <c r="C114" s="42" t="s">
        <v>82</v>
      </c>
      <c r="D114" s="46">
        <v>21</v>
      </c>
      <c r="E114" s="42">
        <v>21</v>
      </c>
      <c r="F114" s="32"/>
      <c r="G114" s="32"/>
      <c r="H114" s="35"/>
      <c r="I114" s="34"/>
      <c r="J114" s="33"/>
      <c r="K114" s="33"/>
      <c r="L114" s="32"/>
      <c r="M114" s="32"/>
      <c r="N114" s="32"/>
      <c r="O114" s="32"/>
      <c r="Q114" s="32"/>
      <c r="R114" s="32"/>
      <c r="S114" s="32"/>
      <c r="T114" s="32"/>
      <c r="U114" s="32"/>
      <c r="V114" s="32"/>
      <c r="W114" s="32"/>
      <c r="X114" s="32">
        <v>21</v>
      </c>
      <c r="Y114" s="32"/>
      <c r="Z114" s="32"/>
      <c r="AA114" s="32"/>
      <c r="AB114" s="32"/>
      <c r="AC114" s="31"/>
      <c r="AD114" s="37"/>
      <c r="AE114" s="49"/>
    </row>
    <row r="115" spans="1:31">
      <c r="A115" s="4">
        <v>84</v>
      </c>
      <c r="B115" s="89"/>
      <c r="C115" s="42" t="s">
        <v>83</v>
      </c>
      <c r="D115" s="46">
        <v>21</v>
      </c>
      <c r="E115" s="42">
        <v>21</v>
      </c>
      <c r="F115" s="32"/>
      <c r="G115" s="32"/>
      <c r="H115" s="35"/>
      <c r="I115" s="34"/>
      <c r="J115" s="33"/>
      <c r="K115" s="33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>
        <v>21</v>
      </c>
      <c r="Y115" s="32"/>
      <c r="Z115" s="32"/>
      <c r="AA115" s="32"/>
      <c r="AB115" s="32"/>
      <c r="AC115" s="31"/>
      <c r="AD115" s="37"/>
      <c r="AE115" s="49"/>
    </row>
    <row r="116" spans="1:31">
      <c r="A116" s="4"/>
      <c r="B116" s="90"/>
      <c r="C116" s="42" t="s">
        <v>84</v>
      </c>
      <c r="D116" s="46">
        <v>21</v>
      </c>
      <c r="E116" s="42">
        <v>21</v>
      </c>
      <c r="F116" s="32"/>
      <c r="G116" s="32"/>
      <c r="H116" s="35"/>
      <c r="I116" s="34"/>
      <c r="J116" s="33"/>
      <c r="K116" s="33"/>
      <c r="L116" s="32"/>
      <c r="M116" s="32"/>
      <c r="N116" s="32"/>
      <c r="O116" s="32"/>
      <c r="P116" s="40"/>
      <c r="Q116" s="32"/>
      <c r="R116" s="32"/>
      <c r="S116" s="32"/>
      <c r="T116" s="32"/>
      <c r="U116" s="32"/>
      <c r="V116" s="32"/>
      <c r="W116" s="32"/>
      <c r="X116" s="32">
        <v>21</v>
      </c>
      <c r="Y116" s="32"/>
      <c r="Z116" s="32"/>
      <c r="AA116" s="32"/>
      <c r="AB116" s="32"/>
      <c r="AC116" s="31"/>
      <c r="AD116" s="37"/>
      <c r="AE116" s="49"/>
    </row>
    <row r="117" spans="1:31">
      <c r="A117" s="4"/>
      <c r="B117" s="90"/>
      <c r="C117" s="42" t="s">
        <v>85</v>
      </c>
      <c r="D117" s="46">
        <v>21</v>
      </c>
      <c r="E117" s="42">
        <v>21</v>
      </c>
      <c r="F117" s="32"/>
      <c r="G117" s="32"/>
      <c r="H117" s="35"/>
      <c r="I117" s="34"/>
      <c r="J117" s="33"/>
      <c r="K117" s="33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>
        <v>21</v>
      </c>
      <c r="Y117" s="32"/>
      <c r="Z117" s="32"/>
      <c r="AA117" s="32"/>
      <c r="AB117" s="32"/>
      <c r="AC117" s="31"/>
      <c r="AD117" s="37"/>
      <c r="AE117" s="49"/>
    </row>
    <row r="118" spans="1:31">
      <c r="A118" s="4"/>
      <c r="B118" s="90"/>
      <c r="C118" s="42" t="s">
        <v>86</v>
      </c>
      <c r="D118" s="46">
        <v>21</v>
      </c>
      <c r="E118" s="42">
        <v>21</v>
      </c>
      <c r="F118" s="32"/>
      <c r="G118" s="32"/>
      <c r="H118" s="35"/>
      <c r="I118" s="34"/>
      <c r="J118" s="33"/>
      <c r="K118" s="33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>
        <v>21</v>
      </c>
      <c r="Y118" s="32"/>
      <c r="Z118" s="32"/>
      <c r="AA118" s="32"/>
      <c r="AB118" s="32"/>
      <c r="AC118" s="31"/>
      <c r="AD118" s="37"/>
      <c r="AE118" s="49"/>
    </row>
    <row r="119" spans="1:31">
      <c r="A119" s="4"/>
      <c r="B119" s="90"/>
      <c r="C119" s="42" t="s">
        <v>87</v>
      </c>
      <c r="D119" s="46">
        <v>21</v>
      </c>
      <c r="E119" s="42">
        <v>21</v>
      </c>
      <c r="F119" s="32"/>
      <c r="G119" s="32"/>
      <c r="H119" s="35"/>
      <c r="I119" s="34"/>
      <c r="J119" s="33"/>
      <c r="K119" s="33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>
        <v>21</v>
      </c>
      <c r="Y119" s="32"/>
      <c r="Z119" s="32"/>
      <c r="AA119" s="32"/>
      <c r="AB119" s="32"/>
      <c r="AC119" s="31"/>
      <c r="AD119" s="37"/>
      <c r="AE119" s="49"/>
    </row>
    <row r="120" spans="1:31">
      <c r="A120" s="4"/>
      <c r="B120" s="90"/>
      <c r="C120" s="42"/>
      <c r="D120" s="46"/>
      <c r="E120" s="42"/>
      <c r="F120" s="32"/>
      <c r="G120" s="32"/>
      <c r="H120" s="35"/>
      <c r="I120" s="34"/>
      <c r="J120" s="33"/>
      <c r="K120" s="33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1"/>
      <c r="AD120" s="37"/>
      <c r="AE120" s="49"/>
    </row>
    <row r="121" spans="1:31">
      <c r="A121" s="4"/>
      <c r="B121" s="90"/>
      <c r="C121" s="42"/>
      <c r="D121" s="46"/>
      <c r="E121" s="42"/>
      <c r="F121" s="32"/>
      <c r="G121" s="32"/>
      <c r="H121" s="35"/>
      <c r="I121" s="34"/>
      <c r="J121" s="33"/>
      <c r="K121" s="33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1"/>
      <c r="AD121" s="37"/>
      <c r="AE121" s="49"/>
    </row>
    <row r="122" spans="1:31">
      <c r="A122" s="4">
        <v>85</v>
      </c>
      <c r="B122" s="91"/>
      <c r="C122" s="42"/>
      <c r="D122" s="46"/>
      <c r="E122" s="42">
        <f t="shared" ref="E122:E134" si="8">SUM(F122:AC122)</f>
        <v>0</v>
      </c>
      <c r="F122" s="32"/>
      <c r="G122" s="32"/>
      <c r="H122" s="35"/>
      <c r="I122" s="34"/>
      <c r="J122" s="33"/>
      <c r="K122" s="33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1"/>
      <c r="AD122" s="37"/>
      <c r="AE122" s="49"/>
    </row>
    <row r="123" spans="1:31">
      <c r="A123" s="4">
        <v>86</v>
      </c>
      <c r="B123" s="88" t="s">
        <v>17</v>
      </c>
      <c r="C123" s="42" t="s">
        <v>68</v>
      </c>
      <c r="D123" s="46">
        <v>21</v>
      </c>
      <c r="E123" s="42">
        <f t="shared" si="8"/>
        <v>21</v>
      </c>
      <c r="F123" s="32"/>
      <c r="G123" s="32"/>
      <c r="H123" s="35"/>
      <c r="I123" s="34"/>
      <c r="J123" s="33"/>
      <c r="K123" s="33"/>
      <c r="L123" s="32"/>
      <c r="M123" s="32">
        <v>2</v>
      </c>
      <c r="N123" s="32"/>
      <c r="O123" s="32"/>
      <c r="P123" s="32"/>
      <c r="Q123" s="32"/>
      <c r="R123" s="32"/>
      <c r="S123" s="32"/>
      <c r="T123" s="32">
        <v>4</v>
      </c>
      <c r="U123" s="32">
        <v>5</v>
      </c>
      <c r="V123" s="32">
        <v>5</v>
      </c>
      <c r="W123" s="32">
        <v>5</v>
      </c>
      <c r="X123" s="32"/>
      <c r="Y123" s="32"/>
      <c r="Z123" s="32"/>
      <c r="AA123" s="32"/>
      <c r="AB123" s="32"/>
      <c r="AC123" s="31"/>
      <c r="AD123" s="37"/>
      <c r="AE123" s="49"/>
    </row>
    <row r="124" spans="1:31">
      <c r="A124" s="4">
        <v>87</v>
      </c>
      <c r="B124" s="89"/>
      <c r="C124" s="42" t="s">
        <v>69</v>
      </c>
      <c r="D124" s="46">
        <v>21</v>
      </c>
      <c r="E124" s="42">
        <f t="shared" si="8"/>
        <v>21</v>
      </c>
      <c r="F124" s="32"/>
      <c r="G124" s="32"/>
      <c r="H124" s="35"/>
      <c r="I124" s="34"/>
      <c r="J124" s="33"/>
      <c r="K124" s="33"/>
      <c r="L124" s="32"/>
      <c r="M124" s="32">
        <v>2</v>
      </c>
      <c r="N124" s="32"/>
      <c r="O124" s="32">
        <v>1</v>
      </c>
      <c r="P124" s="32"/>
      <c r="Q124" s="32"/>
      <c r="R124" s="32"/>
      <c r="S124" s="32"/>
      <c r="T124" s="32">
        <v>8</v>
      </c>
      <c r="U124" s="32"/>
      <c r="V124" s="40">
        <v>5</v>
      </c>
      <c r="W124" s="32">
        <v>5</v>
      </c>
      <c r="X124" s="32"/>
      <c r="Y124" s="32"/>
      <c r="Z124" s="32"/>
      <c r="AA124" s="32"/>
      <c r="AB124" s="32"/>
      <c r="AC124" s="31"/>
      <c r="AD124" s="37"/>
      <c r="AE124" s="49"/>
    </row>
    <row r="125" spans="1:31">
      <c r="A125" s="4">
        <v>88</v>
      </c>
      <c r="B125" s="89"/>
      <c r="C125" s="42" t="s">
        <v>70</v>
      </c>
      <c r="D125" s="46">
        <v>21</v>
      </c>
      <c r="E125" s="42">
        <f t="shared" si="8"/>
        <v>21</v>
      </c>
      <c r="F125" s="32"/>
      <c r="G125" s="32"/>
      <c r="H125" s="35"/>
      <c r="I125" s="34"/>
      <c r="J125" s="33"/>
      <c r="K125" s="33"/>
      <c r="L125" s="32"/>
      <c r="M125" s="32"/>
      <c r="N125" s="32"/>
      <c r="O125" s="32"/>
      <c r="P125" s="32">
        <v>5</v>
      </c>
      <c r="Q125" s="32">
        <v>16</v>
      </c>
      <c r="R125" s="32"/>
      <c r="S125" s="32"/>
      <c r="T125" s="32"/>
      <c r="U125" s="32"/>
      <c r="V125" s="40"/>
      <c r="W125" s="32"/>
      <c r="X125" s="32"/>
      <c r="Z125" s="32"/>
      <c r="AA125" s="32"/>
      <c r="AB125" s="32"/>
      <c r="AC125" s="31"/>
      <c r="AD125" s="37"/>
      <c r="AE125" s="49"/>
    </row>
    <row r="126" spans="1:31">
      <c r="A126" s="4">
        <v>89</v>
      </c>
      <c r="B126" s="89"/>
      <c r="C126" s="42" t="s">
        <v>71</v>
      </c>
      <c r="D126" s="46">
        <v>21</v>
      </c>
      <c r="E126" s="42">
        <f t="shared" si="8"/>
        <v>21</v>
      </c>
      <c r="F126" s="32"/>
      <c r="G126" s="32"/>
      <c r="H126" s="35"/>
      <c r="I126" s="34"/>
      <c r="J126" s="33"/>
      <c r="K126" s="33"/>
      <c r="L126" s="32"/>
      <c r="M126" s="32">
        <v>2</v>
      </c>
      <c r="N126" s="32"/>
      <c r="O126" s="32">
        <v>4</v>
      </c>
      <c r="P126" s="32">
        <v>2</v>
      </c>
      <c r="Q126" s="32"/>
      <c r="R126" s="32"/>
      <c r="S126" s="32"/>
      <c r="T126" s="32"/>
      <c r="U126" s="32"/>
      <c r="V126" s="40">
        <v>12</v>
      </c>
      <c r="W126" s="32"/>
      <c r="X126" s="32"/>
      <c r="Y126" s="32"/>
      <c r="Z126" s="32"/>
      <c r="AA126" s="32">
        <v>1</v>
      </c>
      <c r="AB126" s="32"/>
      <c r="AC126" s="31"/>
      <c r="AD126" s="37"/>
      <c r="AE126" s="49"/>
    </row>
    <row r="127" spans="1:31">
      <c r="A127" s="4">
        <v>90</v>
      </c>
      <c r="B127" s="89"/>
      <c r="C127" s="42" t="s">
        <v>72</v>
      </c>
      <c r="D127" s="46">
        <v>21</v>
      </c>
      <c r="E127" s="42">
        <f t="shared" si="8"/>
        <v>21</v>
      </c>
      <c r="F127" s="32"/>
      <c r="G127" s="32"/>
      <c r="H127" s="35">
        <v>16</v>
      </c>
      <c r="I127" s="34"/>
      <c r="J127" s="33"/>
      <c r="K127" s="33"/>
      <c r="L127" s="32"/>
      <c r="M127" s="32"/>
      <c r="N127" s="32"/>
      <c r="O127" s="32"/>
      <c r="P127" s="32"/>
      <c r="Q127" s="32"/>
      <c r="R127" s="32"/>
      <c r="S127" s="32"/>
      <c r="T127" s="32"/>
      <c r="U127" s="32">
        <v>5</v>
      </c>
      <c r="V127" s="40"/>
      <c r="W127" s="32"/>
      <c r="X127" s="32"/>
      <c r="Y127" s="32"/>
      <c r="Z127" s="32"/>
      <c r="AA127" s="32"/>
      <c r="AB127" s="32"/>
      <c r="AC127" s="31"/>
      <c r="AD127" s="37"/>
      <c r="AE127" s="49"/>
    </row>
    <row r="128" spans="1:31">
      <c r="A128" s="4">
        <v>91</v>
      </c>
      <c r="B128" s="89"/>
      <c r="C128" s="42" t="s">
        <v>73</v>
      </c>
      <c r="D128" s="46">
        <v>21</v>
      </c>
      <c r="E128" s="42">
        <f t="shared" si="8"/>
        <v>21</v>
      </c>
      <c r="F128" s="32"/>
      <c r="G128" s="32"/>
      <c r="H128" s="35"/>
      <c r="I128" s="34"/>
      <c r="J128" s="33"/>
      <c r="K128" s="33"/>
      <c r="L128" s="32">
        <v>5</v>
      </c>
      <c r="M128" s="32"/>
      <c r="N128" s="32"/>
      <c r="O128" s="32"/>
      <c r="P128" s="32"/>
      <c r="Q128" s="32"/>
      <c r="R128" s="32"/>
      <c r="S128" s="32"/>
      <c r="T128" s="32"/>
      <c r="U128" s="32">
        <v>5</v>
      </c>
      <c r="V128" s="32">
        <v>11</v>
      </c>
      <c r="W128" s="32"/>
      <c r="X128" s="32"/>
      <c r="Y128" s="32"/>
      <c r="Z128" s="32"/>
      <c r="AA128" s="32"/>
      <c r="AB128" s="32"/>
      <c r="AC128" s="31"/>
      <c r="AD128" s="37"/>
      <c r="AE128" s="49"/>
    </row>
    <row r="129" spans="1:31">
      <c r="A129" s="4">
        <v>92</v>
      </c>
      <c r="B129" s="89"/>
      <c r="C129" s="42" t="s">
        <v>74</v>
      </c>
      <c r="D129" s="46">
        <v>21</v>
      </c>
      <c r="E129" s="42">
        <f t="shared" si="8"/>
        <v>21</v>
      </c>
      <c r="F129" s="32"/>
      <c r="G129" s="32"/>
      <c r="H129" s="35"/>
      <c r="I129" s="34"/>
      <c r="J129" s="33"/>
      <c r="K129" s="33"/>
      <c r="L129" s="32"/>
      <c r="M129" s="32"/>
      <c r="N129" s="32"/>
      <c r="O129" s="32"/>
      <c r="P129" s="32">
        <v>6</v>
      </c>
      <c r="Q129" s="32">
        <v>6</v>
      </c>
      <c r="R129" s="32"/>
      <c r="S129" s="32"/>
      <c r="T129" s="32">
        <v>9</v>
      </c>
      <c r="U129" s="32"/>
      <c r="V129" s="40"/>
      <c r="W129" s="32"/>
      <c r="X129" s="32"/>
      <c r="Z129" s="32"/>
      <c r="AA129" s="32"/>
      <c r="AB129" s="32"/>
      <c r="AC129" s="31"/>
      <c r="AD129" s="37"/>
      <c r="AE129" s="49"/>
    </row>
    <row r="130" spans="1:31">
      <c r="A130" s="4">
        <v>93</v>
      </c>
      <c r="B130" s="89"/>
      <c r="C130" s="42" t="s">
        <v>75</v>
      </c>
      <c r="D130" s="46">
        <v>21</v>
      </c>
      <c r="E130" s="42">
        <f t="shared" si="8"/>
        <v>21</v>
      </c>
      <c r="F130" s="32"/>
      <c r="G130" s="32"/>
      <c r="H130" s="35"/>
      <c r="I130" s="34">
        <v>21</v>
      </c>
      <c r="J130" s="33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40"/>
      <c r="W130" s="32"/>
      <c r="X130" s="32"/>
      <c r="Y130" s="32"/>
      <c r="Z130" s="32"/>
      <c r="AA130" s="32"/>
      <c r="AB130" s="32"/>
      <c r="AC130" s="31"/>
      <c r="AD130" s="37"/>
      <c r="AE130" s="49"/>
    </row>
    <row r="131" spans="1:31">
      <c r="A131" s="4">
        <v>94</v>
      </c>
      <c r="B131" s="89"/>
      <c r="C131" s="42" t="s">
        <v>76</v>
      </c>
      <c r="D131" s="46">
        <v>21</v>
      </c>
      <c r="E131" s="42">
        <f t="shared" si="8"/>
        <v>21</v>
      </c>
      <c r="F131" s="32"/>
      <c r="G131" s="32"/>
      <c r="H131" s="35"/>
      <c r="I131" s="34"/>
      <c r="J131" s="33"/>
      <c r="K131" s="33"/>
      <c r="L131" s="32"/>
      <c r="M131" s="32"/>
      <c r="N131" s="32"/>
      <c r="O131" s="32"/>
      <c r="P131" s="32">
        <v>3</v>
      </c>
      <c r="Q131" s="32"/>
      <c r="R131" s="32"/>
      <c r="S131" s="32"/>
      <c r="T131" s="32"/>
      <c r="U131" s="32"/>
      <c r="V131" s="40">
        <v>18</v>
      </c>
      <c r="W131" s="32"/>
      <c r="X131" s="32"/>
      <c r="Z131" s="32"/>
      <c r="AA131" s="32"/>
      <c r="AB131" s="32"/>
      <c r="AC131" s="31"/>
      <c r="AD131" s="37"/>
      <c r="AE131" s="49"/>
    </row>
    <row r="132" spans="1:31">
      <c r="A132" s="4">
        <v>95</v>
      </c>
      <c r="B132" s="89"/>
      <c r="C132" s="42" t="s">
        <v>77</v>
      </c>
      <c r="D132" s="46">
        <v>21</v>
      </c>
      <c r="E132" s="42">
        <f t="shared" si="8"/>
        <v>21</v>
      </c>
      <c r="F132" s="32"/>
      <c r="G132" s="32"/>
      <c r="H132" s="35"/>
      <c r="I132" s="34"/>
      <c r="J132" s="33"/>
      <c r="K132" s="33"/>
      <c r="L132" s="32">
        <v>1</v>
      </c>
      <c r="M132" s="32"/>
      <c r="N132" s="32"/>
      <c r="O132" s="32"/>
      <c r="P132" s="32"/>
      <c r="Q132" s="32"/>
      <c r="R132" s="32"/>
      <c r="S132" s="32"/>
      <c r="T132" s="32"/>
      <c r="U132" s="32">
        <v>9</v>
      </c>
      <c r="V132" s="40">
        <v>10</v>
      </c>
      <c r="W132" s="32"/>
      <c r="X132" s="32"/>
      <c r="Y132" s="32">
        <v>1</v>
      </c>
      <c r="Z132" s="32"/>
      <c r="AA132" s="32"/>
      <c r="AB132" s="32"/>
      <c r="AC132" s="31"/>
      <c r="AD132" s="37"/>
      <c r="AE132" s="49"/>
    </row>
    <row r="133" spans="1:31">
      <c r="A133" s="4">
        <v>96</v>
      </c>
      <c r="B133" s="89"/>
      <c r="C133" s="42" t="s">
        <v>78</v>
      </c>
      <c r="D133" s="46"/>
      <c r="E133" s="42">
        <f t="shared" si="8"/>
        <v>0</v>
      </c>
      <c r="F133" s="32"/>
      <c r="G133" s="32"/>
      <c r="H133" s="35"/>
      <c r="I133" s="34"/>
      <c r="J133" s="33"/>
      <c r="K133" s="33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1"/>
      <c r="AD133" s="37"/>
      <c r="AE133" s="49"/>
    </row>
    <row r="134" spans="1:31">
      <c r="A134" s="4">
        <v>97</v>
      </c>
      <c r="B134" s="89"/>
      <c r="C134" s="42" t="s">
        <v>79</v>
      </c>
      <c r="D134" s="46"/>
      <c r="E134" s="42">
        <f t="shared" si="8"/>
        <v>0</v>
      </c>
      <c r="F134" s="32"/>
      <c r="G134" s="32"/>
      <c r="H134" s="35"/>
      <c r="I134" s="34"/>
      <c r="J134" s="33"/>
      <c r="K134" s="33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1"/>
      <c r="AD134" s="37"/>
      <c r="AE134" s="49"/>
    </row>
    <row r="135" spans="1:31">
      <c r="A135" s="4">
        <v>98</v>
      </c>
      <c r="B135" s="89"/>
      <c r="C135" s="43" t="s">
        <v>80</v>
      </c>
      <c r="D135" s="46">
        <v>21</v>
      </c>
      <c r="E135" s="42">
        <v>21</v>
      </c>
      <c r="F135" s="32"/>
      <c r="G135" s="32"/>
      <c r="H135" s="35"/>
      <c r="I135" s="34"/>
      <c r="J135" s="33"/>
      <c r="K135" s="33"/>
      <c r="L135" s="32"/>
      <c r="M135" s="32"/>
      <c r="N135" s="32"/>
      <c r="O135" s="32"/>
      <c r="P135" s="40"/>
      <c r="Q135" s="32"/>
      <c r="R135" s="32"/>
      <c r="S135" s="32"/>
      <c r="T135" s="32"/>
      <c r="U135" s="32"/>
      <c r="V135" s="32"/>
      <c r="W135" s="32"/>
      <c r="X135" s="32">
        <v>21</v>
      </c>
      <c r="Y135" s="32"/>
      <c r="Z135" s="32"/>
      <c r="AA135" s="32"/>
      <c r="AB135" s="32"/>
      <c r="AC135" s="31"/>
      <c r="AD135" s="37"/>
      <c r="AE135" s="49"/>
    </row>
    <row r="136" spans="1:31">
      <c r="A136" s="4">
        <v>99</v>
      </c>
      <c r="B136" s="89"/>
      <c r="C136" s="42" t="s">
        <v>81</v>
      </c>
      <c r="D136" s="46">
        <v>21</v>
      </c>
      <c r="E136" s="42">
        <v>21</v>
      </c>
      <c r="F136" s="32"/>
      <c r="G136" s="32"/>
      <c r="H136" s="35"/>
      <c r="I136" s="34"/>
      <c r="J136" s="33"/>
      <c r="K136" s="33"/>
      <c r="L136" s="32"/>
      <c r="M136" s="32"/>
      <c r="N136" s="32"/>
      <c r="O136" s="32"/>
      <c r="P136" s="40"/>
      <c r="Q136" s="32"/>
      <c r="R136" s="32"/>
      <c r="S136" s="32"/>
      <c r="T136" s="32"/>
      <c r="U136" s="32"/>
      <c r="V136" s="32"/>
      <c r="W136" s="32"/>
      <c r="X136" s="32">
        <v>21</v>
      </c>
      <c r="Y136" s="32"/>
      <c r="Z136" s="32"/>
      <c r="AA136" s="32"/>
      <c r="AB136" s="32"/>
      <c r="AC136" s="31"/>
      <c r="AD136" s="37"/>
      <c r="AE136" s="49"/>
    </row>
    <row r="137" spans="1:31">
      <c r="A137" s="4">
        <v>100</v>
      </c>
      <c r="B137" s="89"/>
      <c r="C137" s="42" t="s">
        <v>82</v>
      </c>
      <c r="D137" s="46">
        <v>21</v>
      </c>
      <c r="E137" s="42">
        <v>21</v>
      </c>
      <c r="F137" s="32"/>
      <c r="G137" s="32"/>
      <c r="H137" s="35"/>
      <c r="I137" s="34"/>
      <c r="J137" s="33"/>
      <c r="K137" s="33"/>
      <c r="L137" s="32"/>
      <c r="M137" s="32"/>
      <c r="N137" s="32"/>
      <c r="O137" s="32"/>
      <c r="Q137" s="32"/>
      <c r="R137" s="32"/>
      <c r="S137" s="32"/>
      <c r="T137" s="32"/>
      <c r="U137" s="32"/>
      <c r="V137" s="32"/>
      <c r="W137" s="32"/>
      <c r="X137" s="32">
        <v>21</v>
      </c>
      <c r="Y137" s="32"/>
      <c r="Z137" s="32"/>
      <c r="AA137" s="32"/>
      <c r="AB137" s="32"/>
      <c r="AC137" s="31"/>
      <c r="AD137" s="37"/>
      <c r="AE137" s="49"/>
    </row>
    <row r="138" spans="1:31">
      <c r="A138" s="4">
        <v>101</v>
      </c>
      <c r="B138" s="89"/>
      <c r="C138" s="42" t="s">
        <v>83</v>
      </c>
      <c r="D138" s="46">
        <v>21</v>
      </c>
      <c r="E138" s="42">
        <v>21</v>
      </c>
      <c r="F138" s="32"/>
      <c r="G138" s="32"/>
      <c r="H138" s="35"/>
      <c r="I138" s="34"/>
      <c r="J138" s="33"/>
      <c r="K138" s="33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>
        <v>21</v>
      </c>
      <c r="Y138" s="32"/>
      <c r="Z138" s="32"/>
      <c r="AA138" s="32"/>
      <c r="AB138" s="32"/>
      <c r="AC138" s="31"/>
      <c r="AD138" s="37"/>
      <c r="AE138" s="49"/>
    </row>
    <row r="139" spans="1:31">
      <c r="A139" s="4"/>
      <c r="B139" s="90"/>
      <c r="C139" s="42" t="s">
        <v>84</v>
      </c>
      <c r="D139" s="46">
        <v>21</v>
      </c>
      <c r="E139" s="42">
        <v>21</v>
      </c>
      <c r="F139" s="32"/>
      <c r="G139" s="32"/>
      <c r="H139" s="35"/>
      <c r="I139" s="34"/>
      <c r="J139" s="33"/>
      <c r="K139" s="33"/>
      <c r="L139" s="32"/>
      <c r="M139" s="32"/>
      <c r="N139" s="32"/>
      <c r="O139" s="32"/>
      <c r="P139" s="40"/>
      <c r="Q139" s="32"/>
      <c r="R139" s="32"/>
      <c r="S139" s="32"/>
      <c r="T139" s="32"/>
      <c r="U139" s="32"/>
      <c r="V139" s="32"/>
      <c r="W139" s="32"/>
      <c r="X139" s="32">
        <v>21</v>
      </c>
      <c r="Y139" s="32"/>
      <c r="Z139" s="32"/>
      <c r="AA139" s="32"/>
      <c r="AB139" s="32"/>
      <c r="AC139" s="31"/>
      <c r="AD139" s="37"/>
      <c r="AE139" s="49"/>
    </row>
    <row r="140" spans="1:31">
      <c r="A140" s="4"/>
      <c r="B140" s="90"/>
      <c r="C140" s="42" t="s">
        <v>85</v>
      </c>
      <c r="D140" s="46">
        <v>21</v>
      </c>
      <c r="E140" s="42">
        <v>21</v>
      </c>
      <c r="F140" s="32"/>
      <c r="G140" s="32"/>
      <c r="H140" s="35"/>
      <c r="I140" s="34"/>
      <c r="J140" s="33"/>
      <c r="K140" s="33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>
        <v>21</v>
      </c>
      <c r="Y140" s="32"/>
      <c r="Z140" s="32"/>
      <c r="AA140" s="32"/>
      <c r="AB140" s="32"/>
      <c r="AC140" s="31"/>
      <c r="AD140" s="37"/>
      <c r="AE140" s="49"/>
    </row>
    <row r="141" spans="1:31">
      <c r="A141" s="4"/>
      <c r="B141" s="90"/>
      <c r="C141" s="42" t="s">
        <v>86</v>
      </c>
      <c r="D141" s="46">
        <v>21</v>
      </c>
      <c r="E141" s="42">
        <v>21</v>
      </c>
      <c r="F141" s="32"/>
      <c r="G141" s="32"/>
      <c r="H141" s="35"/>
      <c r="I141" s="34"/>
      <c r="J141" s="33"/>
      <c r="K141" s="33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>
        <v>21</v>
      </c>
      <c r="Y141" s="32"/>
      <c r="Z141" s="32"/>
      <c r="AA141" s="32"/>
      <c r="AB141" s="32"/>
      <c r="AC141" s="31"/>
      <c r="AD141" s="37"/>
      <c r="AE141" s="49"/>
    </row>
    <row r="142" spans="1:31">
      <c r="A142" s="4"/>
      <c r="B142" s="90"/>
      <c r="C142" s="42" t="s">
        <v>87</v>
      </c>
      <c r="D142" s="46">
        <v>21</v>
      </c>
      <c r="E142" s="42">
        <v>21</v>
      </c>
      <c r="F142" s="32"/>
      <c r="G142" s="32"/>
      <c r="H142" s="35"/>
      <c r="I142" s="34"/>
      <c r="J142" s="33"/>
      <c r="K142" s="33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>
        <v>21</v>
      </c>
      <c r="Y142" s="32"/>
      <c r="Z142" s="32"/>
      <c r="AA142" s="32"/>
      <c r="AB142" s="32"/>
      <c r="AC142" s="31"/>
      <c r="AD142" s="37"/>
      <c r="AE142" s="49"/>
    </row>
    <row r="143" spans="1:31">
      <c r="A143" s="4"/>
      <c r="B143" s="90"/>
      <c r="C143" s="42"/>
      <c r="D143" s="46"/>
      <c r="E143" s="42"/>
      <c r="F143" s="32"/>
      <c r="G143" s="32"/>
      <c r="H143" s="35"/>
      <c r="I143" s="34"/>
      <c r="J143" s="33"/>
      <c r="K143" s="33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1"/>
      <c r="AD143" s="37"/>
      <c r="AE143" s="49"/>
    </row>
    <row r="144" spans="1:31">
      <c r="A144" s="4"/>
      <c r="B144" s="90"/>
      <c r="C144" s="42"/>
      <c r="D144" s="46"/>
      <c r="E144" s="42"/>
      <c r="F144" s="32"/>
      <c r="G144" s="32"/>
      <c r="H144" s="35"/>
      <c r="I144" s="34"/>
      <c r="J144" s="33"/>
      <c r="K144" s="33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1"/>
      <c r="AD144" s="37"/>
      <c r="AE144" s="49"/>
    </row>
    <row r="145" spans="1:31">
      <c r="A145" s="4">
        <v>102</v>
      </c>
      <c r="B145" s="91"/>
      <c r="C145" s="42"/>
      <c r="D145" s="46"/>
      <c r="E145" s="42">
        <f t="shared" ref="E145:E157" si="9">SUM(F145:AC145)</f>
        <v>0</v>
      </c>
      <c r="F145" s="32"/>
      <c r="G145" s="32"/>
      <c r="H145" s="35"/>
      <c r="I145" s="34"/>
      <c r="J145" s="33"/>
      <c r="K145" s="33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1"/>
      <c r="AD145" s="37"/>
      <c r="AE145" s="49"/>
    </row>
    <row r="146" spans="1:31">
      <c r="A146" s="4">
        <v>103</v>
      </c>
      <c r="B146" s="88" t="s">
        <v>16</v>
      </c>
      <c r="C146" s="42" t="s">
        <v>68</v>
      </c>
      <c r="D146" s="46">
        <v>21</v>
      </c>
      <c r="E146" s="42">
        <f t="shared" si="9"/>
        <v>21</v>
      </c>
      <c r="F146" s="32"/>
      <c r="G146" s="32"/>
      <c r="H146" s="35">
        <v>3</v>
      </c>
      <c r="I146" s="34">
        <v>2</v>
      </c>
      <c r="J146" s="33"/>
      <c r="K146" s="33"/>
      <c r="L146" s="32"/>
      <c r="M146" s="32">
        <v>2</v>
      </c>
      <c r="N146" s="32"/>
      <c r="O146" s="32"/>
      <c r="P146" s="32"/>
      <c r="Q146" s="32"/>
      <c r="R146" s="32"/>
      <c r="S146" s="32"/>
      <c r="T146" s="32">
        <v>2</v>
      </c>
      <c r="U146" s="32"/>
      <c r="V146" s="32">
        <v>12</v>
      </c>
      <c r="W146" s="32"/>
      <c r="X146" s="32"/>
      <c r="Y146" s="32"/>
      <c r="Z146" s="32"/>
      <c r="AA146" s="32"/>
      <c r="AB146" s="32"/>
      <c r="AC146" s="31"/>
      <c r="AD146" s="37"/>
      <c r="AE146" s="49"/>
    </row>
    <row r="147" spans="1:31">
      <c r="A147" s="4">
        <v>104</v>
      </c>
      <c r="B147" s="89"/>
      <c r="C147" s="42" t="s">
        <v>69</v>
      </c>
      <c r="D147" s="46">
        <v>21</v>
      </c>
      <c r="E147" s="42">
        <f t="shared" si="9"/>
        <v>21</v>
      </c>
      <c r="F147" s="32"/>
      <c r="G147" s="32"/>
      <c r="H147" s="35"/>
      <c r="I147" s="34"/>
      <c r="J147" s="33"/>
      <c r="K147" s="33"/>
      <c r="L147" s="32"/>
      <c r="M147" s="32">
        <v>5</v>
      </c>
      <c r="N147" s="32"/>
      <c r="O147" s="32">
        <v>5</v>
      </c>
      <c r="P147" s="32"/>
      <c r="Q147" s="32"/>
      <c r="R147" s="32"/>
      <c r="S147" s="32"/>
      <c r="T147" s="32">
        <v>2</v>
      </c>
      <c r="U147" s="32"/>
      <c r="V147" s="40">
        <v>3</v>
      </c>
      <c r="W147" s="32"/>
      <c r="X147" s="32"/>
      <c r="Z147" s="32"/>
      <c r="AA147" s="32"/>
      <c r="AB147" s="32"/>
      <c r="AC147" s="32">
        <v>6</v>
      </c>
      <c r="AD147" s="37"/>
      <c r="AE147" s="49"/>
    </row>
    <row r="148" spans="1:31">
      <c r="A148" s="4">
        <v>105</v>
      </c>
      <c r="B148" s="89"/>
      <c r="C148" s="42" t="s">
        <v>70</v>
      </c>
      <c r="D148" s="46">
        <v>21</v>
      </c>
      <c r="E148" s="42">
        <f t="shared" si="9"/>
        <v>21</v>
      </c>
      <c r="F148" s="32"/>
      <c r="G148" s="32"/>
      <c r="H148" s="35"/>
      <c r="I148" s="34"/>
      <c r="J148" s="33"/>
      <c r="K148" s="33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40"/>
      <c r="W148" s="32"/>
      <c r="X148" s="32"/>
      <c r="Y148" s="32">
        <v>10</v>
      </c>
      <c r="Z148" s="32"/>
      <c r="AA148" s="32"/>
      <c r="AB148" s="32"/>
      <c r="AC148" s="31">
        <v>11</v>
      </c>
      <c r="AD148" s="37"/>
      <c r="AE148" s="49"/>
    </row>
    <row r="149" spans="1:31">
      <c r="A149" s="4">
        <v>106</v>
      </c>
      <c r="B149" s="89"/>
      <c r="C149" s="42" t="s">
        <v>71</v>
      </c>
      <c r="D149" s="46">
        <v>21</v>
      </c>
      <c r="E149" s="42">
        <f t="shared" si="9"/>
        <v>21</v>
      </c>
      <c r="F149" s="32"/>
      <c r="G149" s="32"/>
      <c r="H149" s="35"/>
      <c r="I149" s="34">
        <v>16</v>
      </c>
      <c r="J149" s="33"/>
      <c r="K149" s="33"/>
      <c r="L149" s="32"/>
      <c r="M149" s="32"/>
      <c r="N149" s="32"/>
      <c r="O149" s="32">
        <v>5</v>
      </c>
      <c r="P149" s="32"/>
      <c r="Q149" s="32"/>
      <c r="R149" s="32"/>
      <c r="S149" s="32"/>
      <c r="T149" s="32"/>
      <c r="U149" s="32"/>
      <c r="V149" s="40"/>
      <c r="W149" s="32"/>
      <c r="X149" s="32"/>
      <c r="Y149" s="32"/>
      <c r="Z149" s="32"/>
      <c r="AA149" s="32"/>
      <c r="AB149" s="32"/>
      <c r="AC149" s="31"/>
      <c r="AD149" s="37"/>
      <c r="AE149" s="49"/>
    </row>
    <row r="150" spans="1:31">
      <c r="A150" s="4">
        <v>107</v>
      </c>
      <c r="B150" s="89"/>
      <c r="C150" s="42" t="s">
        <v>72</v>
      </c>
      <c r="D150" s="46">
        <v>21</v>
      </c>
      <c r="E150" s="42">
        <f t="shared" si="9"/>
        <v>21</v>
      </c>
      <c r="F150" s="32"/>
      <c r="G150" s="32"/>
      <c r="H150" s="35">
        <v>9</v>
      </c>
      <c r="I150" s="34"/>
      <c r="J150" s="33"/>
      <c r="K150" s="27"/>
      <c r="L150" s="26"/>
      <c r="M150" s="32"/>
      <c r="N150" s="32"/>
      <c r="O150" s="32"/>
      <c r="P150" s="32"/>
      <c r="Q150" s="32"/>
      <c r="R150" s="32"/>
      <c r="S150" s="32"/>
      <c r="T150" s="32"/>
      <c r="U150" s="32"/>
      <c r="V150" s="40">
        <v>3</v>
      </c>
      <c r="W150" s="32"/>
      <c r="X150" s="32"/>
      <c r="Z150" s="32"/>
      <c r="AA150" s="32"/>
      <c r="AB150" s="32"/>
      <c r="AC150" s="32">
        <v>9</v>
      </c>
      <c r="AD150" s="37"/>
      <c r="AE150" s="49"/>
    </row>
    <row r="151" spans="1:31">
      <c r="A151" s="4">
        <v>108</v>
      </c>
      <c r="B151" s="89"/>
      <c r="C151" s="42" t="s">
        <v>73</v>
      </c>
      <c r="D151" s="46">
        <v>21</v>
      </c>
      <c r="E151" s="42">
        <f t="shared" si="9"/>
        <v>21</v>
      </c>
      <c r="F151" s="32"/>
      <c r="G151" s="32"/>
      <c r="H151" s="35"/>
      <c r="I151" s="34">
        <v>6</v>
      </c>
      <c r="J151" s="54"/>
      <c r="K151" s="17"/>
      <c r="L151" s="50">
        <v>12</v>
      </c>
      <c r="M151" s="51"/>
      <c r="N151" s="32"/>
      <c r="O151" s="32"/>
      <c r="P151" s="32"/>
      <c r="Q151" s="32"/>
      <c r="R151" s="32"/>
      <c r="S151" s="32"/>
      <c r="T151" s="32"/>
      <c r="U151" s="32"/>
      <c r="V151" s="32">
        <v>3</v>
      </c>
      <c r="W151" s="32"/>
      <c r="X151" s="32"/>
      <c r="Y151" s="32"/>
      <c r="Z151" s="32"/>
      <c r="AA151" s="32"/>
      <c r="AB151" s="32"/>
      <c r="AC151" s="31"/>
      <c r="AD151" s="37"/>
      <c r="AE151" s="49"/>
    </row>
    <row r="152" spans="1:31">
      <c r="A152" s="4">
        <v>109</v>
      </c>
      <c r="B152" s="89"/>
      <c r="C152" s="42" t="s">
        <v>74</v>
      </c>
      <c r="D152" s="46">
        <v>21</v>
      </c>
      <c r="E152" s="42">
        <f t="shared" si="9"/>
        <v>21</v>
      </c>
      <c r="F152" s="32"/>
      <c r="G152" s="32"/>
      <c r="H152" s="35"/>
      <c r="I152" s="34"/>
      <c r="J152" s="54"/>
      <c r="K152" s="17"/>
      <c r="L152" s="50"/>
      <c r="M152" s="51"/>
      <c r="N152" s="32"/>
      <c r="O152" s="32">
        <v>11</v>
      </c>
      <c r="P152" s="32"/>
      <c r="Q152" s="32"/>
      <c r="R152" s="32"/>
      <c r="S152" s="32"/>
      <c r="T152" s="32">
        <v>2</v>
      </c>
      <c r="U152" s="32"/>
      <c r="V152" s="40"/>
      <c r="W152" s="32"/>
      <c r="X152" s="32"/>
      <c r="Z152" s="32"/>
      <c r="AA152" s="32"/>
      <c r="AB152" s="32"/>
      <c r="AC152" s="32">
        <v>8</v>
      </c>
      <c r="AD152" s="37"/>
      <c r="AE152" s="49"/>
    </row>
    <row r="153" spans="1:31">
      <c r="A153" s="4">
        <v>110</v>
      </c>
      <c r="B153" s="89"/>
      <c r="C153" s="42" t="s">
        <v>75</v>
      </c>
      <c r="D153" s="46">
        <v>21</v>
      </c>
      <c r="E153" s="42">
        <f t="shared" si="9"/>
        <v>21</v>
      </c>
      <c r="F153" s="32"/>
      <c r="G153" s="32"/>
      <c r="H153" s="35"/>
      <c r="I153" s="34">
        <v>11</v>
      </c>
      <c r="J153" s="54"/>
      <c r="K153" s="17"/>
      <c r="L153" s="50"/>
      <c r="M153" s="51">
        <v>5</v>
      </c>
      <c r="N153" s="32"/>
      <c r="O153" s="32">
        <v>5</v>
      </c>
      <c r="P153" s="32"/>
      <c r="Q153" s="32"/>
      <c r="R153" s="32"/>
      <c r="S153" s="32"/>
      <c r="T153" s="32"/>
      <c r="U153" s="32"/>
      <c r="V153" s="40"/>
      <c r="W153" s="32"/>
      <c r="X153" s="32"/>
      <c r="Y153" s="32"/>
      <c r="Z153" s="32"/>
      <c r="AA153" s="32"/>
      <c r="AB153" s="32"/>
      <c r="AC153" s="31"/>
      <c r="AD153" s="37"/>
      <c r="AE153" s="49"/>
    </row>
    <row r="154" spans="1:31">
      <c r="A154" s="4">
        <v>111</v>
      </c>
      <c r="B154" s="89"/>
      <c r="C154" s="42" t="s">
        <v>76</v>
      </c>
      <c r="D154" s="46">
        <v>21</v>
      </c>
      <c r="E154" s="42">
        <f t="shared" si="9"/>
        <v>21</v>
      </c>
      <c r="F154" s="32"/>
      <c r="G154" s="32"/>
      <c r="H154" s="35"/>
      <c r="I154" s="34"/>
      <c r="J154" s="54"/>
      <c r="K154" s="17"/>
      <c r="L154" s="50"/>
      <c r="M154" s="51"/>
      <c r="N154" s="32"/>
      <c r="O154" s="32">
        <v>9</v>
      </c>
      <c r="P154" s="32"/>
      <c r="Q154" s="32"/>
      <c r="R154" s="32"/>
      <c r="S154" s="32"/>
      <c r="T154" s="32"/>
      <c r="U154" s="32"/>
      <c r="V154" s="40"/>
      <c r="W154" s="32"/>
      <c r="X154" s="32"/>
      <c r="Z154" s="32"/>
      <c r="AA154" s="32"/>
      <c r="AB154" s="32"/>
      <c r="AC154" s="32">
        <v>12</v>
      </c>
      <c r="AD154" s="37"/>
      <c r="AE154" s="49"/>
    </row>
    <row r="155" spans="1:31">
      <c r="A155" s="4">
        <v>112</v>
      </c>
      <c r="B155" s="89"/>
      <c r="C155" s="42" t="s">
        <v>77</v>
      </c>
      <c r="D155" s="46">
        <v>21</v>
      </c>
      <c r="E155" s="42">
        <f t="shared" si="9"/>
        <v>21</v>
      </c>
      <c r="F155" s="32"/>
      <c r="G155" s="32"/>
      <c r="H155" s="35"/>
      <c r="I155" s="34">
        <v>2</v>
      </c>
      <c r="J155" s="54"/>
      <c r="K155" s="17"/>
      <c r="L155" s="50">
        <v>7</v>
      </c>
      <c r="M155" s="51"/>
      <c r="N155" s="32"/>
      <c r="O155" s="32"/>
      <c r="P155" s="32"/>
      <c r="Q155" s="32"/>
      <c r="R155" s="32"/>
      <c r="S155" s="32"/>
      <c r="T155" s="32"/>
      <c r="U155" s="32">
        <v>10</v>
      </c>
      <c r="V155" s="40">
        <v>2</v>
      </c>
      <c r="W155" s="32"/>
      <c r="X155" s="32"/>
      <c r="Z155" s="32"/>
      <c r="AA155" s="32"/>
      <c r="AB155" s="32"/>
      <c r="AC155" s="31"/>
      <c r="AD155" s="37"/>
      <c r="AE155" s="49"/>
    </row>
    <row r="156" spans="1:31">
      <c r="A156" s="4">
        <v>113</v>
      </c>
      <c r="B156" s="89"/>
      <c r="C156" s="42" t="s">
        <v>78</v>
      </c>
      <c r="D156" s="46">
        <v>21</v>
      </c>
      <c r="E156" s="42">
        <f t="shared" si="9"/>
        <v>21</v>
      </c>
      <c r="F156" s="32"/>
      <c r="G156" s="32"/>
      <c r="H156" s="35"/>
      <c r="I156" s="34"/>
      <c r="J156" s="54"/>
      <c r="K156" s="17"/>
      <c r="L156" s="50"/>
      <c r="M156" s="51"/>
      <c r="N156" s="32"/>
      <c r="O156" s="32"/>
      <c r="P156" s="32"/>
      <c r="Q156" s="32"/>
      <c r="R156" s="32"/>
      <c r="S156" s="32"/>
      <c r="T156" s="32"/>
      <c r="U156" s="32"/>
      <c r="V156" s="32"/>
      <c r="W156" s="32">
        <v>21</v>
      </c>
      <c r="X156" s="32"/>
      <c r="Y156" s="32"/>
      <c r="Z156" s="32"/>
      <c r="AA156" s="32"/>
      <c r="AB156" s="32"/>
      <c r="AC156" s="31"/>
      <c r="AD156" s="37"/>
      <c r="AE156" s="49"/>
    </row>
    <row r="157" spans="1:31">
      <c r="A157" s="4">
        <v>114</v>
      </c>
      <c r="B157" s="89"/>
      <c r="C157" s="42" t="s">
        <v>79</v>
      </c>
      <c r="D157" s="46">
        <v>21</v>
      </c>
      <c r="E157" s="42">
        <f t="shared" si="9"/>
        <v>21</v>
      </c>
      <c r="F157" s="32"/>
      <c r="G157" s="32"/>
      <c r="H157" s="35"/>
      <c r="I157" s="34"/>
      <c r="J157" s="54"/>
      <c r="K157" s="17"/>
      <c r="L157" s="50"/>
      <c r="M157" s="51"/>
      <c r="N157" s="32"/>
      <c r="O157" s="32"/>
      <c r="P157" s="32"/>
      <c r="Q157" s="32"/>
      <c r="R157" s="32"/>
      <c r="S157" s="32"/>
      <c r="T157" s="32"/>
      <c r="U157" s="32"/>
      <c r="V157" s="32"/>
      <c r="W157" s="32">
        <v>21</v>
      </c>
      <c r="X157" s="32"/>
      <c r="Y157" s="32"/>
      <c r="Z157" s="32"/>
      <c r="AA157" s="32"/>
      <c r="AB157" s="32"/>
      <c r="AC157" s="31"/>
      <c r="AD157" s="37"/>
      <c r="AE157" s="49"/>
    </row>
    <row r="158" spans="1:31">
      <c r="A158" s="4">
        <v>115</v>
      </c>
      <c r="B158" s="89"/>
      <c r="C158" s="43" t="s">
        <v>80</v>
      </c>
      <c r="D158" s="46">
        <v>21</v>
      </c>
      <c r="E158" s="42">
        <v>21</v>
      </c>
      <c r="F158" s="32"/>
      <c r="G158" s="32"/>
      <c r="H158" s="35"/>
      <c r="I158" s="34"/>
      <c r="J158" s="54"/>
      <c r="K158" s="17"/>
      <c r="L158" s="50"/>
      <c r="M158" s="51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>
        <v>21</v>
      </c>
      <c r="Y158" s="32"/>
      <c r="Z158" s="32"/>
      <c r="AA158" s="32"/>
      <c r="AB158" s="32"/>
      <c r="AC158" s="31"/>
      <c r="AD158" s="37"/>
      <c r="AE158" s="49"/>
    </row>
    <row r="159" spans="1:31">
      <c r="A159" s="4">
        <v>116</v>
      </c>
      <c r="B159" s="89"/>
      <c r="C159" s="42" t="s">
        <v>81</v>
      </c>
      <c r="D159" s="46">
        <v>21</v>
      </c>
      <c r="E159" s="42">
        <v>21</v>
      </c>
      <c r="F159" s="32"/>
      <c r="G159" s="32"/>
      <c r="H159" s="35"/>
      <c r="I159" s="34"/>
      <c r="J159" s="54"/>
      <c r="K159" s="17"/>
      <c r="L159" s="50"/>
      <c r="M159" s="51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>
        <v>21</v>
      </c>
      <c r="Y159" s="32"/>
      <c r="Z159" s="32"/>
      <c r="AA159" s="32"/>
      <c r="AB159" s="32"/>
      <c r="AC159" s="39"/>
      <c r="AD159" s="37"/>
      <c r="AE159" s="49"/>
    </row>
    <row r="160" spans="1:31">
      <c r="A160" s="4">
        <v>117</v>
      </c>
      <c r="B160" s="89"/>
      <c r="C160" s="42" t="s">
        <v>82</v>
      </c>
      <c r="D160" s="46">
        <v>21</v>
      </c>
      <c r="E160" s="42">
        <v>21</v>
      </c>
      <c r="F160" s="32"/>
      <c r="G160" s="32"/>
      <c r="H160" s="35"/>
      <c r="I160" s="34"/>
      <c r="J160" s="54"/>
      <c r="K160" s="17"/>
      <c r="L160" s="50"/>
      <c r="M160" s="51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>
        <v>21</v>
      </c>
      <c r="Y160" s="32"/>
      <c r="Z160" s="32"/>
      <c r="AA160" s="32"/>
      <c r="AB160" s="32"/>
      <c r="AD160" s="37"/>
      <c r="AE160" s="49"/>
    </row>
    <row r="161" spans="1:31">
      <c r="A161" s="4">
        <v>118</v>
      </c>
      <c r="B161" s="89"/>
      <c r="C161" s="42" t="s">
        <v>83</v>
      </c>
      <c r="D161" s="46">
        <v>21</v>
      </c>
      <c r="E161" s="42">
        <v>21</v>
      </c>
      <c r="F161" s="32"/>
      <c r="G161" s="32"/>
      <c r="H161" s="35"/>
      <c r="I161" s="34"/>
      <c r="J161" s="54"/>
      <c r="K161" s="17"/>
      <c r="L161" s="50"/>
      <c r="M161" s="51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>
        <v>21</v>
      </c>
      <c r="Y161" s="32"/>
      <c r="Z161" s="32"/>
      <c r="AA161" s="32"/>
      <c r="AB161" s="32"/>
      <c r="AC161" s="31"/>
      <c r="AD161" s="37"/>
      <c r="AE161" s="49"/>
    </row>
    <row r="162" spans="1:31">
      <c r="A162" s="4"/>
      <c r="B162" s="90"/>
      <c r="C162" s="42" t="s">
        <v>84</v>
      </c>
      <c r="D162" s="46">
        <v>21</v>
      </c>
      <c r="E162" s="42">
        <v>21</v>
      </c>
      <c r="F162" s="32"/>
      <c r="G162" s="32"/>
      <c r="H162" s="35"/>
      <c r="I162" s="34"/>
      <c r="J162" s="54"/>
      <c r="K162" s="17"/>
      <c r="L162" s="50"/>
      <c r="M162" s="51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>
        <v>21</v>
      </c>
      <c r="Y162" s="32"/>
      <c r="Z162" s="32"/>
      <c r="AA162" s="32"/>
      <c r="AB162" s="32"/>
      <c r="AC162" s="39"/>
      <c r="AD162" s="37"/>
      <c r="AE162" s="49"/>
    </row>
    <row r="163" spans="1:31">
      <c r="A163" s="4"/>
      <c r="B163" s="90"/>
      <c r="C163" s="42" t="s">
        <v>85</v>
      </c>
      <c r="D163" s="46">
        <v>21</v>
      </c>
      <c r="E163" s="42">
        <v>21</v>
      </c>
      <c r="F163" s="32"/>
      <c r="G163" s="32"/>
      <c r="H163" s="35"/>
      <c r="I163" s="34"/>
      <c r="J163" s="33"/>
      <c r="K163" s="53"/>
      <c r="L163" s="5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>
        <v>21</v>
      </c>
      <c r="Y163" s="32"/>
      <c r="Z163" s="32"/>
      <c r="AA163" s="32"/>
      <c r="AB163" s="32"/>
      <c r="AC163" s="31"/>
      <c r="AD163" s="37"/>
      <c r="AE163" s="49"/>
    </row>
    <row r="164" spans="1:31">
      <c r="A164" s="4"/>
      <c r="B164" s="90"/>
      <c r="C164" s="42" t="s">
        <v>86</v>
      </c>
      <c r="D164" s="46">
        <v>21</v>
      </c>
      <c r="E164" s="42">
        <v>21</v>
      </c>
      <c r="F164" s="32"/>
      <c r="G164" s="32"/>
      <c r="H164" s="35"/>
      <c r="I164" s="34"/>
      <c r="J164" s="33"/>
      <c r="K164" s="33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>
        <v>21</v>
      </c>
      <c r="Y164" s="32"/>
      <c r="Z164" s="32"/>
      <c r="AA164" s="32"/>
      <c r="AB164" s="32"/>
      <c r="AC164" s="31"/>
      <c r="AD164" s="37"/>
      <c r="AE164" s="49"/>
    </row>
    <row r="165" spans="1:31">
      <c r="A165" s="4"/>
      <c r="B165" s="90"/>
      <c r="C165" s="42" t="s">
        <v>87</v>
      </c>
      <c r="D165" s="46"/>
      <c r="E165" s="42"/>
      <c r="F165" s="32"/>
      <c r="G165" s="32"/>
      <c r="H165" s="35"/>
      <c r="I165" s="34"/>
      <c r="J165" s="33"/>
      <c r="K165" s="33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1"/>
      <c r="AD165" s="37"/>
      <c r="AE165" s="49"/>
    </row>
    <row r="166" spans="1:31">
      <c r="A166" s="4"/>
      <c r="B166" s="90"/>
      <c r="C166" s="42"/>
      <c r="D166" s="46"/>
      <c r="E166" s="42"/>
      <c r="F166" s="32"/>
      <c r="G166" s="32"/>
      <c r="H166" s="35"/>
      <c r="I166" s="34"/>
      <c r="J166" s="33"/>
      <c r="K166" s="33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1"/>
      <c r="AD166" s="37"/>
      <c r="AE166" s="49"/>
    </row>
    <row r="167" spans="1:31">
      <c r="A167" s="4"/>
      <c r="B167" s="90"/>
      <c r="C167" s="42"/>
      <c r="D167" s="46"/>
      <c r="E167" s="42"/>
      <c r="F167" s="32"/>
      <c r="G167" s="32"/>
      <c r="H167" s="35"/>
      <c r="I167" s="34"/>
      <c r="J167" s="33"/>
      <c r="K167" s="33"/>
      <c r="L167" s="32"/>
      <c r="M167" s="32"/>
      <c r="N167" s="32"/>
      <c r="O167" s="32"/>
      <c r="P167" s="32"/>
      <c r="Q167" s="32"/>
      <c r="R167" s="26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1"/>
      <c r="AD167" s="37"/>
      <c r="AE167" s="49"/>
    </row>
    <row r="168" spans="1:31">
      <c r="A168" s="4">
        <v>119</v>
      </c>
      <c r="B168" s="91"/>
      <c r="C168" s="42"/>
      <c r="D168" s="46"/>
      <c r="E168" s="42">
        <f>SUM(F168:AC168)</f>
        <v>0</v>
      </c>
      <c r="F168" s="32"/>
      <c r="G168" s="32"/>
      <c r="H168" s="35"/>
      <c r="I168" s="34"/>
      <c r="J168" s="33"/>
      <c r="K168" s="33"/>
      <c r="L168" s="32"/>
      <c r="M168" s="32"/>
      <c r="N168" s="32"/>
      <c r="O168" s="32"/>
      <c r="P168" s="32"/>
      <c r="Q168" s="31"/>
      <c r="R168" s="50"/>
      <c r="S168" s="51"/>
      <c r="T168" s="32"/>
      <c r="U168" s="32"/>
      <c r="V168" s="32"/>
      <c r="W168" s="32"/>
      <c r="X168" s="32"/>
      <c r="Y168" s="32"/>
      <c r="Z168" s="32"/>
      <c r="AA168" s="32"/>
      <c r="AB168" s="32"/>
      <c r="AC168" s="31"/>
      <c r="AD168" s="37"/>
      <c r="AE168" s="49"/>
    </row>
    <row r="169" spans="1:31">
      <c r="A169" s="4">
        <v>120</v>
      </c>
      <c r="B169" s="88" t="s">
        <v>15</v>
      </c>
      <c r="C169" s="42" t="s">
        <v>68</v>
      </c>
      <c r="D169" s="46">
        <v>21</v>
      </c>
      <c r="E169" s="42">
        <f>SUM(F169:AC169)</f>
        <v>21</v>
      </c>
      <c r="F169" s="32"/>
      <c r="G169" s="32"/>
      <c r="H169" s="35">
        <v>6</v>
      </c>
      <c r="I169" s="34">
        <v>1</v>
      </c>
      <c r="J169" s="33"/>
      <c r="L169" s="32"/>
      <c r="M169" s="32"/>
      <c r="N169" s="32"/>
      <c r="O169" s="32"/>
      <c r="P169" s="32"/>
      <c r="Q169" s="31"/>
      <c r="R169" s="15"/>
      <c r="S169" s="51"/>
      <c r="T169" s="32">
        <v>2</v>
      </c>
      <c r="U169" s="32">
        <v>10</v>
      </c>
      <c r="V169" s="32">
        <v>2</v>
      </c>
      <c r="W169" s="32"/>
      <c r="X169" s="32"/>
      <c r="Y169" s="32"/>
      <c r="Z169" s="32"/>
      <c r="AA169" s="32"/>
      <c r="AB169" s="32"/>
      <c r="AC169" s="31"/>
      <c r="AD169" s="37"/>
      <c r="AE169" s="49"/>
    </row>
    <row r="170" spans="1:31">
      <c r="A170" s="4">
        <v>121</v>
      </c>
      <c r="B170" s="89"/>
      <c r="C170" s="42" t="s">
        <v>69</v>
      </c>
      <c r="D170" s="46">
        <v>21</v>
      </c>
      <c r="E170" s="42">
        <f t="shared" ref="E170:E187" si="10">SUM(F170:AC170)</f>
        <v>21</v>
      </c>
      <c r="F170" s="32"/>
      <c r="G170" s="32"/>
      <c r="H170" s="35">
        <v>8</v>
      </c>
      <c r="I170" s="34"/>
      <c r="J170" s="33"/>
      <c r="K170" s="33"/>
      <c r="L170" s="32"/>
      <c r="M170" s="32">
        <v>3</v>
      </c>
      <c r="N170" s="32"/>
      <c r="O170" s="32"/>
      <c r="P170" s="32"/>
      <c r="Q170" s="31"/>
      <c r="R170" s="15"/>
      <c r="S170" s="51">
        <v>7</v>
      </c>
      <c r="T170" s="32">
        <v>3</v>
      </c>
      <c r="U170" s="32"/>
      <c r="V170" s="40"/>
      <c r="W170" s="32"/>
      <c r="X170" s="32"/>
      <c r="Y170" s="32"/>
      <c r="Z170" s="32"/>
      <c r="AA170" s="32"/>
      <c r="AB170" s="32"/>
      <c r="AC170" s="31"/>
      <c r="AD170" s="37"/>
      <c r="AE170" s="49"/>
    </row>
    <row r="171" spans="1:31">
      <c r="A171" s="4">
        <v>122</v>
      </c>
      <c r="B171" s="89"/>
      <c r="C171" s="42" t="s">
        <v>70</v>
      </c>
      <c r="D171" s="46">
        <v>21</v>
      </c>
      <c r="E171" s="42">
        <f t="shared" si="10"/>
        <v>21</v>
      </c>
      <c r="F171" s="32"/>
      <c r="G171" s="32"/>
      <c r="H171" s="35"/>
      <c r="I171" s="34"/>
      <c r="J171" s="33"/>
      <c r="K171" s="33"/>
      <c r="L171" s="32"/>
      <c r="M171" s="32"/>
      <c r="N171" s="32"/>
      <c r="O171" s="32"/>
      <c r="P171" s="32"/>
      <c r="Q171" s="31">
        <v>10</v>
      </c>
      <c r="R171" s="15"/>
      <c r="S171" s="51"/>
      <c r="T171" s="32"/>
      <c r="U171" s="32"/>
      <c r="V171" s="40"/>
      <c r="W171" s="32"/>
      <c r="X171" s="32"/>
      <c r="Y171" s="32">
        <v>8</v>
      </c>
      <c r="Z171" s="32"/>
      <c r="AA171" s="32"/>
      <c r="AB171" s="32"/>
      <c r="AC171" s="31">
        <v>3</v>
      </c>
      <c r="AD171" s="37"/>
      <c r="AE171" s="49"/>
    </row>
    <row r="172" spans="1:31">
      <c r="A172" s="4">
        <v>123</v>
      </c>
      <c r="B172" s="89"/>
      <c r="C172" s="42" t="s">
        <v>71</v>
      </c>
      <c r="D172" s="46">
        <v>21</v>
      </c>
      <c r="E172" s="42">
        <f t="shared" si="10"/>
        <v>21</v>
      </c>
      <c r="F172" s="32"/>
      <c r="G172" s="32"/>
      <c r="H172" s="35"/>
      <c r="I172" s="34"/>
      <c r="J172" s="33"/>
      <c r="K172" s="33"/>
      <c r="L172" s="32"/>
      <c r="M172" s="32"/>
      <c r="N172" s="32"/>
      <c r="O172" s="32">
        <v>5</v>
      </c>
      <c r="P172" s="32"/>
      <c r="Q172" s="31"/>
      <c r="R172" s="50"/>
      <c r="S172" s="51">
        <v>10</v>
      </c>
      <c r="T172" s="32"/>
      <c r="U172" s="32"/>
      <c r="V172" s="40">
        <v>6</v>
      </c>
      <c r="W172" s="32"/>
      <c r="X172" s="32"/>
      <c r="Y172" s="32"/>
      <c r="Z172" s="32"/>
      <c r="AA172" s="32"/>
      <c r="AB172" s="32"/>
      <c r="AC172" s="31"/>
      <c r="AD172" s="37"/>
      <c r="AE172" s="49"/>
    </row>
    <row r="173" spans="1:31">
      <c r="A173" s="4">
        <v>124</v>
      </c>
      <c r="B173" s="89"/>
      <c r="C173" s="42" t="s">
        <v>72</v>
      </c>
      <c r="D173" s="46">
        <v>21</v>
      </c>
      <c r="E173" s="42">
        <f t="shared" si="10"/>
        <v>21</v>
      </c>
      <c r="F173" s="32"/>
      <c r="G173" s="32"/>
      <c r="H173" s="35">
        <v>10</v>
      </c>
      <c r="I173" s="34"/>
      <c r="J173" s="33"/>
      <c r="K173" s="33"/>
      <c r="L173" s="32">
        <v>0</v>
      </c>
      <c r="M173" s="32"/>
      <c r="N173" s="32"/>
      <c r="O173" s="32"/>
      <c r="P173" s="32"/>
      <c r="Q173" s="31"/>
      <c r="R173" s="50"/>
      <c r="S173" s="51"/>
      <c r="T173" s="32"/>
      <c r="U173" s="32">
        <v>8</v>
      </c>
      <c r="V173" s="40">
        <v>3</v>
      </c>
      <c r="W173" s="32"/>
      <c r="X173" s="32"/>
      <c r="Y173" s="32"/>
      <c r="Z173" s="32"/>
      <c r="AA173" s="32"/>
      <c r="AB173" s="32"/>
      <c r="AC173" s="31"/>
      <c r="AD173" s="37"/>
      <c r="AE173" s="49"/>
    </row>
    <row r="174" spans="1:31">
      <c r="A174" s="4">
        <v>125</v>
      </c>
      <c r="B174" s="89"/>
      <c r="C174" s="42" t="s">
        <v>73</v>
      </c>
      <c r="D174" s="46">
        <v>21</v>
      </c>
      <c r="E174" s="42">
        <f t="shared" si="10"/>
        <v>21</v>
      </c>
      <c r="F174" s="32"/>
      <c r="G174" s="32"/>
      <c r="H174" s="35">
        <v>5</v>
      </c>
      <c r="I174" s="34"/>
      <c r="J174" s="33"/>
      <c r="K174" s="33"/>
      <c r="L174" s="32">
        <v>1</v>
      </c>
      <c r="M174" s="32"/>
      <c r="N174" s="32"/>
      <c r="O174" s="32"/>
      <c r="P174" s="32"/>
      <c r="Q174" s="31"/>
      <c r="R174" s="15"/>
      <c r="S174" s="51">
        <v>12</v>
      </c>
      <c r="T174" s="32"/>
      <c r="U174" s="32"/>
      <c r="V174" s="32">
        <v>3</v>
      </c>
      <c r="W174" s="32"/>
      <c r="X174" s="32"/>
      <c r="Y174" s="32"/>
      <c r="Z174" s="32"/>
      <c r="AA174" s="32"/>
      <c r="AB174" s="32"/>
      <c r="AC174" s="31"/>
      <c r="AD174" s="37"/>
      <c r="AE174" s="49"/>
    </row>
    <row r="175" spans="1:31">
      <c r="A175" s="4">
        <v>126</v>
      </c>
      <c r="B175" s="89"/>
      <c r="C175" s="42" t="s">
        <v>74</v>
      </c>
      <c r="D175" s="46">
        <v>21</v>
      </c>
      <c r="E175" s="42">
        <f t="shared" si="10"/>
        <v>21</v>
      </c>
      <c r="F175" s="32"/>
      <c r="G175" s="32"/>
      <c r="H175" s="35">
        <v>5</v>
      </c>
      <c r="I175" s="34"/>
      <c r="J175" s="33"/>
      <c r="K175" s="33"/>
      <c r="L175" s="32"/>
      <c r="M175" s="32"/>
      <c r="N175" s="32"/>
      <c r="O175" s="32">
        <v>11</v>
      </c>
      <c r="P175" s="32"/>
      <c r="Q175" s="31"/>
      <c r="R175" s="15"/>
      <c r="S175" s="51"/>
      <c r="T175" s="32"/>
      <c r="U175" s="32"/>
      <c r="V175" s="40"/>
      <c r="W175" s="32"/>
      <c r="X175" s="32"/>
      <c r="Z175" s="32"/>
      <c r="AA175" s="32"/>
      <c r="AB175" s="32"/>
      <c r="AC175" s="32">
        <v>5</v>
      </c>
      <c r="AD175" s="37"/>
      <c r="AE175" s="49"/>
    </row>
    <row r="176" spans="1:31">
      <c r="A176" s="4">
        <v>127</v>
      </c>
      <c r="B176" s="89"/>
      <c r="C176" s="42" t="s">
        <v>75</v>
      </c>
      <c r="D176" s="46">
        <v>21</v>
      </c>
      <c r="E176" s="42">
        <f t="shared" si="10"/>
        <v>21</v>
      </c>
      <c r="F176" s="32"/>
      <c r="G176" s="32"/>
      <c r="H176" s="35">
        <v>12</v>
      </c>
      <c r="I176" s="34"/>
      <c r="J176" s="33"/>
      <c r="K176" s="33"/>
      <c r="L176" s="32"/>
      <c r="M176" s="32"/>
      <c r="N176" s="32"/>
      <c r="O176" s="32">
        <v>6</v>
      </c>
      <c r="P176" s="32"/>
      <c r="Q176" s="31"/>
      <c r="R176" s="15"/>
      <c r="S176" s="51"/>
      <c r="T176" s="32"/>
      <c r="U176" s="32"/>
      <c r="V176" s="40"/>
      <c r="W176" s="32"/>
      <c r="X176" s="32"/>
      <c r="Y176" s="32"/>
      <c r="Z176" s="32"/>
      <c r="AA176" s="32">
        <v>3</v>
      </c>
      <c r="AB176" s="32"/>
      <c r="AC176" s="31"/>
      <c r="AD176" s="37"/>
      <c r="AE176" s="49"/>
    </row>
    <row r="177" spans="1:31">
      <c r="A177" s="4">
        <v>128</v>
      </c>
      <c r="B177" s="89"/>
      <c r="C177" s="42" t="s">
        <v>76</v>
      </c>
      <c r="D177" s="46">
        <v>21</v>
      </c>
      <c r="E177" s="42">
        <f t="shared" si="10"/>
        <v>21</v>
      </c>
      <c r="F177" s="32"/>
      <c r="G177" s="32"/>
      <c r="H177" s="35">
        <v>10</v>
      </c>
      <c r="I177" s="34"/>
      <c r="J177" s="33"/>
      <c r="K177" s="33"/>
      <c r="L177" s="32"/>
      <c r="M177" s="32"/>
      <c r="N177" s="32"/>
      <c r="O177" s="32">
        <v>5</v>
      </c>
      <c r="P177" s="32"/>
      <c r="Q177" s="31"/>
      <c r="R177" s="15"/>
      <c r="S177" s="51"/>
      <c r="T177" s="32"/>
      <c r="U177" s="32"/>
      <c r="V177" s="40"/>
      <c r="W177" s="32"/>
      <c r="X177" s="32"/>
      <c r="Z177" s="32"/>
      <c r="AA177" s="32"/>
      <c r="AB177" s="32"/>
      <c r="AC177" s="32">
        <v>6</v>
      </c>
      <c r="AD177" s="37"/>
      <c r="AE177" s="49"/>
    </row>
    <row r="178" spans="1:31">
      <c r="A178" s="4">
        <v>129</v>
      </c>
      <c r="B178" s="89"/>
      <c r="C178" s="42" t="s">
        <v>77</v>
      </c>
      <c r="D178" s="46">
        <v>21</v>
      </c>
      <c r="E178" s="42">
        <f t="shared" si="10"/>
        <v>21</v>
      </c>
      <c r="F178" s="32"/>
      <c r="G178" s="32"/>
      <c r="H178" s="35">
        <v>2</v>
      </c>
      <c r="I178" s="34"/>
      <c r="J178" s="33"/>
      <c r="K178" s="33"/>
      <c r="L178" s="32"/>
      <c r="M178" s="32"/>
      <c r="N178" s="32"/>
      <c r="O178" s="32"/>
      <c r="P178" s="32"/>
      <c r="Q178" s="31"/>
      <c r="R178" s="15"/>
      <c r="S178" s="51">
        <v>9</v>
      </c>
      <c r="T178" s="32"/>
      <c r="U178" s="32">
        <v>10</v>
      </c>
      <c r="V178" s="40"/>
      <c r="W178" s="32"/>
      <c r="X178" s="32"/>
      <c r="Y178" s="32"/>
      <c r="Z178" s="32"/>
      <c r="AA178" s="32"/>
      <c r="AB178" s="32"/>
      <c r="AC178" s="31"/>
      <c r="AD178" s="37"/>
      <c r="AE178" s="49"/>
    </row>
    <row r="179" spans="1:31">
      <c r="A179" s="4">
        <v>130</v>
      </c>
      <c r="B179" s="89"/>
      <c r="C179" s="42" t="s">
        <v>78</v>
      </c>
      <c r="D179" s="46">
        <v>21</v>
      </c>
      <c r="E179" s="42">
        <f t="shared" si="10"/>
        <v>21</v>
      </c>
      <c r="F179" s="32"/>
      <c r="G179" s="32"/>
      <c r="H179" s="35"/>
      <c r="I179" s="34"/>
      <c r="J179" s="33"/>
      <c r="K179" s="33"/>
      <c r="L179" s="32"/>
      <c r="M179" s="32"/>
      <c r="N179" s="32"/>
      <c r="O179" s="32"/>
      <c r="P179" s="32"/>
      <c r="Q179" s="31"/>
      <c r="R179" s="50"/>
      <c r="S179" s="51"/>
      <c r="T179" s="32"/>
      <c r="U179" s="32"/>
      <c r="V179" s="32"/>
      <c r="W179" s="40">
        <v>21</v>
      </c>
      <c r="X179" s="32"/>
      <c r="Y179" s="32"/>
      <c r="Z179" s="32"/>
      <c r="AA179" s="32"/>
      <c r="AB179" s="32"/>
      <c r="AC179" s="31"/>
      <c r="AD179" s="37"/>
      <c r="AE179" s="49"/>
    </row>
    <row r="180" spans="1:31">
      <c r="A180" s="4">
        <v>131</v>
      </c>
      <c r="B180" s="89"/>
      <c r="C180" s="42" t="s">
        <v>79</v>
      </c>
      <c r="D180" s="46">
        <v>21</v>
      </c>
      <c r="E180" s="42">
        <f t="shared" si="10"/>
        <v>21</v>
      </c>
      <c r="F180" s="32"/>
      <c r="G180" s="32"/>
      <c r="H180" s="35"/>
      <c r="I180" s="34"/>
      <c r="J180" s="33"/>
      <c r="K180" s="33"/>
      <c r="L180" s="32"/>
      <c r="M180" s="32"/>
      <c r="N180" s="32"/>
      <c r="O180" s="32"/>
      <c r="P180" s="32"/>
      <c r="Q180" s="32"/>
      <c r="R180" s="52"/>
      <c r="S180" s="32"/>
      <c r="T180" s="32"/>
      <c r="U180" s="32"/>
      <c r="V180" s="32"/>
      <c r="W180" s="40">
        <v>21</v>
      </c>
      <c r="X180" s="32"/>
      <c r="Y180" s="32"/>
      <c r="Z180" s="32"/>
      <c r="AA180" s="32"/>
      <c r="AB180" s="32"/>
      <c r="AC180" s="31"/>
      <c r="AD180" s="37"/>
      <c r="AE180" s="49"/>
    </row>
    <row r="181" spans="1:31">
      <c r="A181" s="4">
        <v>132</v>
      </c>
      <c r="B181" s="89"/>
      <c r="C181" s="43" t="s">
        <v>80</v>
      </c>
      <c r="D181" s="46">
        <v>21</v>
      </c>
      <c r="E181" s="42">
        <f t="shared" si="10"/>
        <v>21</v>
      </c>
      <c r="F181" s="32"/>
      <c r="G181" s="32"/>
      <c r="H181" s="35"/>
      <c r="I181" s="34"/>
      <c r="J181" s="33"/>
      <c r="K181" s="33"/>
      <c r="L181" s="32"/>
      <c r="M181" s="32"/>
      <c r="N181" s="32"/>
      <c r="O181" s="32"/>
      <c r="P181" s="32"/>
      <c r="Q181" s="32"/>
      <c r="R181" s="32"/>
      <c r="S181" s="32">
        <v>5</v>
      </c>
      <c r="T181" s="32"/>
      <c r="U181" s="32"/>
      <c r="V181" s="32"/>
      <c r="W181" s="32"/>
      <c r="X181" s="32">
        <v>16</v>
      </c>
      <c r="Y181" s="32"/>
      <c r="Z181" s="32"/>
      <c r="AA181" s="32"/>
      <c r="AB181" s="32"/>
      <c r="AC181" s="31"/>
      <c r="AD181" s="37"/>
      <c r="AE181" s="49"/>
    </row>
    <row r="182" spans="1:31">
      <c r="A182" s="4">
        <v>133</v>
      </c>
      <c r="B182" s="89"/>
      <c r="C182" s="42" t="s">
        <v>81</v>
      </c>
      <c r="D182" s="46">
        <v>21</v>
      </c>
      <c r="E182" s="42">
        <f t="shared" si="10"/>
        <v>21</v>
      </c>
      <c r="F182" s="32"/>
      <c r="G182" s="32"/>
      <c r="H182" s="35"/>
      <c r="I182" s="34"/>
      <c r="J182" s="33"/>
      <c r="K182" s="33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>
        <v>21</v>
      </c>
      <c r="Y182" s="32"/>
      <c r="Z182" s="32"/>
      <c r="AA182" s="32"/>
      <c r="AB182" s="32"/>
      <c r="AC182" s="39"/>
      <c r="AD182" s="37"/>
      <c r="AE182" s="49"/>
    </row>
    <row r="183" spans="1:31">
      <c r="A183" s="4">
        <v>134</v>
      </c>
      <c r="B183" s="89"/>
      <c r="C183" s="42" t="s">
        <v>82</v>
      </c>
      <c r="D183" s="46">
        <v>21</v>
      </c>
      <c r="E183" s="42">
        <f t="shared" si="10"/>
        <v>21</v>
      </c>
      <c r="F183" s="32"/>
      <c r="G183" s="32"/>
      <c r="H183" s="35"/>
      <c r="I183" s="34"/>
      <c r="J183" s="33"/>
      <c r="K183" s="33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>
        <v>21</v>
      </c>
      <c r="Y183" s="32"/>
      <c r="Z183" s="32"/>
      <c r="AA183" s="32"/>
      <c r="AB183" s="32"/>
      <c r="AD183" s="37"/>
      <c r="AE183" s="49"/>
    </row>
    <row r="184" spans="1:31">
      <c r="A184" s="4">
        <v>135</v>
      </c>
      <c r="B184" s="89"/>
      <c r="C184" s="42" t="s">
        <v>83</v>
      </c>
      <c r="D184" s="46">
        <v>21</v>
      </c>
      <c r="E184" s="42">
        <f t="shared" si="10"/>
        <v>21</v>
      </c>
      <c r="F184" s="32"/>
      <c r="G184" s="32"/>
      <c r="H184" s="35"/>
      <c r="I184" s="34"/>
      <c r="J184" s="33"/>
      <c r="K184" s="33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>
        <v>21</v>
      </c>
      <c r="Y184" s="32"/>
      <c r="Z184" s="32"/>
      <c r="AA184" s="32"/>
      <c r="AB184" s="32"/>
      <c r="AC184" s="31"/>
      <c r="AD184" s="37"/>
      <c r="AE184" s="49"/>
    </row>
    <row r="185" spans="1:31">
      <c r="A185" s="4"/>
      <c r="B185" s="90"/>
      <c r="C185" s="42" t="s">
        <v>84</v>
      </c>
      <c r="D185" s="46">
        <v>21</v>
      </c>
      <c r="E185" s="42">
        <f t="shared" si="10"/>
        <v>21</v>
      </c>
      <c r="F185" s="32"/>
      <c r="G185" s="32"/>
      <c r="H185" s="35"/>
      <c r="I185" s="34"/>
      <c r="J185" s="33"/>
      <c r="K185" s="33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>
        <v>21</v>
      </c>
      <c r="Y185" s="32"/>
      <c r="Z185" s="32"/>
      <c r="AA185" s="32"/>
      <c r="AB185" s="32"/>
      <c r="AC185" s="39"/>
      <c r="AD185" s="37"/>
      <c r="AE185" s="49"/>
    </row>
    <row r="186" spans="1:31">
      <c r="A186" s="4"/>
      <c r="B186" s="90"/>
      <c r="C186" s="42" t="s">
        <v>85</v>
      </c>
      <c r="D186" s="46">
        <v>21</v>
      </c>
      <c r="E186" s="42">
        <f t="shared" si="10"/>
        <v>21</v>
      </c>
      <c r="F186" s="32"/>
      <c r="G186" s="32"/>
      <c r="H186" s="35"/>
      <c r="I186" s="34"/>
      <c r="J186" s="33"/>
      <c r="K186" s="33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>
        <v>21</v>
      </c>
      <c r="Y186" s="32"/>
      <c r="Z186" s="32"/>
      <c r="AA186" s="32"/>
      <c r="AB186" s="32"/>
      <c r="AC186" s="31"/>
      <c r="AD186" s="37"/>
      <c r="AE186" s="49"/>
    </row>
    <row r="187" spans="1:31">
      <c r="A187" s="4"/>
      <c r="B187" s="90"/>
      <c r="C187" s="42" t="s">
        <v>86</v>
      </c>
      <c r="D187" s="46">
        <v>21</v>
      </c>
      <c r="E187" s="42">
        <f t="shared" si="10"/>
        <v>21</v>
      </c>
      <c r="F187" s="32"/>
      <c r="G187" s="32"/>
      <c r="H187" s="35"/>
      <c r="I187" s="34"/>
      <c r="J187" s="33"/>
      <c r="K187" s="33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>
        <v>21</v>
      </c>
      <c r="Y187" s="32"/>
      <c r="Z187" s="32"/>
      <c r="AA187" s="32"/>
      <c r="AB187" s="32"/>
      <c r="AC187" s="31"/>
      <c r="AD187" s="37"/>
      <c r="AE187" s="49"/>
    </row>
    <row r="188" spans="1:31">
      <c r="A188" s="4"/>
      <c r="B188" s="90"/>
      <c r="C188" s="42" t="s">
        <v>87</v>
      </c>
      <c r="D188" s="46"/>
      <c r="E188" s="42"/>
      <c r="F188" s="32"/>
      <c r="G188" s="32"/>
      <c r="H188" s="35"/>
      <c r="I188" s="34"/>
      <c r="J188" s="33"/>
      <c r="K188" s="33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1"/>
      <c r="AD188" s="37"/>
      <c r="AE188" s="49"/>
    </row>
    <row r="189" spans="1:31">
      <c r="A189" s="4"/>
      <c r="B189" s="90"/>
      <c r="C189" s="42"/>
      <c r="D189" s="46"/>
      <c r="E189" s="42"/>
      <c r="F189" s="32"/>
      <c r="G189" s="32"/>
      <c r="H189" s="35"/>
      <c r="I189" s="34"/>
      <c r="J189" s="33"/>
      <c r="K189" s="33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1"/>
      <c r="AD189" s="37"/>
      <c r="AE189" s="49"/>
    </row>
    <row r="190" spans="1:31">
      <c r="A190" s="4"/>
      <c r="B190" s="90"/>
      <c r="C190" s="42"/>
      <c r="D190" s="46"/>
      <c r="E190" s="42"/>
      <c r="F190" s="32"/>
      <c r="G190" s="32"/>
      <c r="H190" s="35"/>
      <c r="I190" s="34"/>
      <c r="J190" s="33"/>
      <c r="K190" s="33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1"/>
      <c r="AD190" s="37"/>
      <c r="AE190" s="49"/>
    </row>
    <row r="191" spans="1:31">
      <c r="A191" s="4">
        <v>136</v>
      </c>
      <c r="B191" s="91"/>
      <c r="C191" s="42"/>
      <c r="D191" s="46"/>
      <c r="E191" s="42">
        <f t="shared" ref="E191:E201" si="11">SUM(F191:AC191)</f>
        <v>0</v>
      </c>
      <c r="F191" s="32"/>
      <c r="G191" s="32"/>
      <c r="H191" s="35"/>
      <c r="I191" s="34"/>
      <c r="J191" s="33"/>
      <c r="K191" s="33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1"/>
      <c r="AD191" s="37"/>
      <c r="AE191" s="49"/>
    </row>
    <row r="192" spans="1:31">
      <c r="A192" s="4">
        <v>137</v>
      </c>
      <c r="B192" s="88" t="s">
        <v>14</v>
      </c>
      <c r="C192" s="42" t="s">
        <v>68</v>
      </c>
      <c r="D192" s="46">
        <v>21</v>
      </c>
      <c r="E192" s="42">
        <f t="shared" si="11"/>
        <v>21</v>
      </c>
      <c r="F192" s="32"/>
      <c r="G192" s="32"/>
      <c r="H192" s="35"/>
      <c r="I192" s="34"/>
      <c r="J192" s="33"/>
      <c r="K192" s="33"/>
      <c r="L192" s="32"/>
      <c r="M192" s="32"/>
      <c r="N192" s="32"/>
      <c r="O192" s="32"/>
      <c r="P192" s="32"/>
      <c r="Q192" s="32"/>
      <c r="R192" s="32"/>
      <c r="S192" s="32">
        <v>10</v>
      </c>
      <c r="T192" s="32"/>
      <c r="U192" s="32">
        <v>3</v>
      </c>
      <c r="V192" s="32">
        <v>4</v>
      </c>
      <c r="W192" s="32"/>
      <c r="X192" s="32"/>
      <c r="Y192" s="32">
        <v>2</v>
      </c>
      <c r="Z192" s="32"/>
      <c r="AA192" s="32">
        <v>2</v>
      </c>
      <c r="AB192" s="32"/>
      <c r="AC192" s="31"/>
      <c r="AD192" s="37"/>
      <c r="AE192" s="49"/>
    </row>
    <row r="193" spans="1:31">
      <c r="A193" s="4">
        <v>138</v>
      </c>
      <c r="B193" s="89"/>
      <c r="C193" s="42" t="s">
        <v>69</v>
      </c>
      <c r="D193" s="46">
        <v>21</v>
      </c>
      <c r="E193" s="42">
        <f t="shared" si="11"/>
        <v>21</v>
      </c>
      <c r="F193" s="32"/>
      <c r="G193" s="32"/>
      <c r="H193" s="35">
        <v>1</v>
      </c>
      <c r="I193" s="34"/>
      <c r="J193" s="33"/>
      <c r="K193" s="33"/>
      <c r="L193" s="32"/>
      <c r="M193" s="32">
        <v>2</v>
      </c>
      <c r="N193" s="32"/>
      <c r="O193" s="32">
        <v>5</v>
      </c>
      <c r="P193" s="32"/>
      <c r="Q193" s="32"/>
      <c r="R193" s="32"/>
      <c r="S193" s="32">
        <v>10</v>
      </c>
      <c r="T193" s="32">
        <v>3</v>
      </c>
      <c r="U193" s="32"/>
      <c r="V193" s="40"/>
      <c r="W193" s="32"/>
      <c r="X193" s="32"/>
      <c r="Y193" s="32"/>
      <c r="Z193" s="32"/>
      <c r="AA193" s="32"/>
      <c r="AB193" s="32"/>
      <c r="AC193" s="31"/>
      <c r="AD193" s="37"/>
      <c r="AE193" s="49"/>
    </row>
    <row r="194" spans="1:31">
      <c r="A194" s="4">
        <v>139</v>
      </c>
      <c r="B194" s="89"/>
      <c r="C194" s="42" t="s">
        <v>70</v>
      </c>
      <c r="D194" s="46">
        <v>21</v>
      </c>
      <c r="E194" s="42">
        <f t="shared" si="11"/>
        <v>21</v>
      </c>
      <c r="F194" s="32"/>
      <c r="G194" s="32"/>
      <c r="H194" s="35"/>
      <c r="I194" s="34">
        <v>4</v>
      </c>
      <c r="K194" s="33"/>
      <c r="L194" s="32"/>
      <c r="M194" s="32"/>
      <c r="N194" s="32"/>
      <c r="O194" s="32"/>
      <c r="P194" s="32"/>
      <c r="Q194" s="32"/>
      <c r="S194" s="32"/>
      <c r="T194" s="32"/>
      <c r="U194" s="32"/>
      <c r="V194" s="40"/>
      <c r="W194" s="32"/>
      <c r="X194" s="32"/>
      <c r="Y194" s="32">
        <v>5</v>
      </c>
      <c r="Z194" s="32"/>
      <c r="AA194" s="32"/>
      <c r="AB194" s="32"/>
      <c r="AC194" s="32">
        <v>12</v>
      </c>
      <c r="AD194" s="37"/>
      <c r="AE194" s="49"/>
    </row>
    <row r="195" spans="1:31">
      <c r="A195" s="4">
        <v>140</v>
      </c>
      <c r="B195" s="89"/>
      <c r="C195" s="42" t="s">
        <v>71</v>
      </c>
      <c r="D195" s="46">
        <v>21</v>
      </c>
      <c r="E195" s="42">
        <f t="shared" si="11"/>
        <v>21</v>
      </c>
      <c r="F195" s="32"/>
      <c r="G195" s="32"/>
      <c r="H195" s="35"/>
      <c r="I195" s="33">
        <v>1</v>
      </c>
      <c r="J195" s="33"/>
      <c r="K195" s="33"/>
      <c r="L195" s="32"/>
      <c r="M195" s="32"/>
      <c r="N195" s="32"/>
      <c r="O195" s="32"/>
      <c r="P195" s="32"/>
      <c r="Q195" s="32"/>
      <c r="R195" s="32"/>
      <c r="S195" s="32">
        <v>17</v>
      </c>
      <c r="T195" s="32"/>
      <c r="U195" s="32"/>
      <c r="V195" s="40"/>
      <c r="W195" s="32"/>
      <c r="X195" s="32"/>
      <c r="Y195" s="32"/>
      <c r="Z195" s="32"/>
      <c r="AA195" s="32">
        <v>3</v>
      </c>
      <c r="AB195" s="32"/>
      <c r="AC195" s="31"/>
      <c r="AD195" s="37"/>
      <c r="AE195" s="49"/>
    </row>
    <row r="196" spans="1:31">
      <c r="A196" s="4">
        <v>141</v>
      </c>
      <c r="B196" s="89"/>
      <c r="C196" s="42" t="s">
        <v>72</v>
      </c>
      <c r="D196" s="46">
        <v>21</v>
      </c>
      <c r="E196" s="42">
        <f t="shared" si="11"/>
        <v>21</v>
      </c>
      <c r="F196" s="32"/>
      <c r="G196" s="32"/>
      <c r="H196" s="35">
        <v>6</v>
      </c>
      <c r="I196" s="34">
        <v>3</v>
      </c>
      <c r="K196" s="33"/>
      <c r="L196" s="32"/>
      <c r="M196" s="32"/>
      <c r="N196" s="32"/>
      <c r="O196" s="32"/>
      <c r="P196" s="32"/>
      <c r="Q196" s="32"/>
      <c r="S196" s="32"/>
      <c r="T196" s="32"/>
      <c r="U196" s="32">
        <v>5</v>
      </c>
      <c r="V196" s="40">
        <v>4</v>
      </c>
      <c r="W196" s="32"/>
      <c r="X196" s="32"/>
      <c r="Y196" s="32"/>
      <c r="Z196" s="32"/>
      <c r="AA196" s="32"/>
      <c r="AB196" s="32"/>
      <c r="AC196" s="32">
        <v>3</v>
      </c>
      <c r="AD196" s="37"/>
      <c r="AE196" s="49"/>
    </row>
    <row r="197" spans="1:31">
      <c r="A197" s="4">
        <v>142</v>
      </c>
      <c r="B197" s="89"/>
      <c r="C197" s="42" t="s">
        <v>73</v>
      </c>
      <c r="D197" s="46">
        <v>21</v>
      </c>
      <c r="E197" s="42">
        <f t="shared" si="11"/>
        <v>21</v>
      </c>
      <c r="F197" s="32"/>
      <c r="G197" s="32"/>
      <c r="H197" s="35"/>
      <c r="I197" s="34"/>
      <c r="J197" s="33"/>
      <c r="K197" s="33"/>
      <c r="L197" s="32">
        <v>3</v>
      </c>
      <c r="M197" s="32"/>
      <c r="N197" s="32"/>
      <c r="O197" s="32"/>
      <c r="P197" s="32"/>
      <c r="Q197" s="32"/>
      <c r="R197" s="32"/>
      <c r="S197" s="32">
        <v>10</v>
      </c>
      <c r="T197" s="32"/>
      <c r="U197" s="32">
        <v>5</v>
      </c>
      <c r="V197" s="32">
        <v>3</v>
      </c>
      <c r="W197" s="32"/>
      <c r="X197" s="32"/>
      <c r="Y197" s="32"/>
      <c r="Z197" s="32"/>
      <c r="AA197" s="32"/>
      <c r="AB197" s="32"/>
      <c r="AC197" s="31"/>
      <c r="AD197" s="37"/>
      <c r="AE197" s="49"/>
    </row>
    <row r="198" spans="1:31">
      <c r="A198" s="4">
        <v>143</v>
      </c>
      <c r="B198" s="89"/>
      <c r="C198" s="42" t="s">
        <v>74</v>
      </c>
      <c r="D198" s="46">
        <v>21</v>
      </c>
      <c r="E198" s="42">
        <f t="shared" si="11"/>
        <v>21</v>
      </c>
      <c r="F198" s="32"/>
      <c r="G198" s="32"/>
      <c r="H198" s="35"/>
      <c r="I198" s="34"/>
      <c r="J198" s="33"/>
      <c r="K198" s="33"/>
      <c r="L198" s="32"/>
      <c r="M198" s="32"/>
      <c r="N198" s="32"/>
      <c r="O198" s="32"/>
      <c r="P198" s="32"/>
      <c r="Q198" s="32"/>
      <c r="R198" s="32"/>
      <c r="S198" s="32">
        <v>11</v>
      </c>
      <c r="T198" s="32">
        <v>3</v>
      </c>
      <c r="U198" s="32"/>
      <c r="V198" s="40"/>
      <c r="W198" s="32"/>
      <c r="X198" s="32"/>
      <c r="Z198" s="32"/>
      <c r="AA198" s="32">
        <v>7</v>
      </c>
      <c r="AB198" s="32"/>
      <c r="AC198" s="31"/>
      <c r="AD198" s="37"/>
      <c r="AE198" s="49"/>
    </row>
    <row r="199" spans="1:31">
      <c r="A199" s="4">
        <v>144</v>
      </c>
      <c r="B199" s="89"/>
      <c r="C199" s="42" t="s">
        <v>75</v>
      </c>
      <c r="D199" s="46">
        <v>21</v>
      </c>
      <c r="E199" s="42">
        <f t="shared" si="11"/>
        <v>21</v>
      </c>
      <c r="F199" s="32"/>
      <c r="G199" s="32"/>
      <c r="H199" s="35"/>
      <c r="I199" s="34"/>
      <c r="J199" s="33"/>
      <c r="K199" s="33"/>
      <c r="L199" s="32"/>
      <c r="M199" s="32">
        <v>3</v>
      </c>
      <c r="N199" s="32"/>
      <c r="O199" s="32">
        <v>3</v>
      </c>
      <c r="P199" s="32"/>
      <c r="Q199" s="32"/>
      <c r="R199" s="32"/>
      <c r="S199" s="32">
        <v>12</v>
      </c>
      <c r="T199" s="32"/>
      <c r="U199" s="32"/>
      <c r="V199" s="40"/>
      <c r="W199" s="32"/>
      <c r="X199" s="32"/>
      <c r="Y199" s="32"/>
      <c r="Z199" s="32"/>
      <c r="AA199" s="32">
        <v>3</v>
      </c>
      <c r="AB199" s="32"/>
      <c r="AC199" s="31"/>
      <c r="AD199" s="37"/>
      <c r="AE199" s="49"/>
    </row>
    <row r="200" spans="1:31">
      <c r="A200" s="4">
        <v>145</v>
      </c>
      <c r="B200" s="89"/>
      <c r="C200" s="42" t="s">
        <v>76</v>
      </c>
      <c r="D200" s="46">
        <v>21</v>
      </c>
      <c r="E200" s="42">
        <f t="shared" si="11"/>
        <v>21</v>
      </c>
      <c r="F200" s="32"/>
      <c r="G200" s="32"/>
      <c r="H200" s="35"/>
      <c r="I200" s="34"/>
      <c r="J200" s="33"/>
      <c r="K200" s="33"/>
      <c r="L200" s="32"/>
      <c r="M200" s="32"/>
      <c r="N200" s="32"/>
      <c r="O200" s="32">
        <v>16</v>
      </c>
      <c r="P200" s="32"/>
      <c r="Q200" s="32"/>
      <c r="R200" s="32"/>
      <c r="S200" s="32"/>
      <c r="T200" s="32"/>
      <c r="U200" s="32"/>
      <c r="V200" s="40"/>
      <c r="W200" s="32"/>
      <c r="X200" s="32"/>
      <c r="Z200" s="32"/>
      <c r="AA200" s="32"/>
      <c r="AB200" s="32"/>
      <c r="AC200" s="32">
        <v>5</v>
      </c>
      <c r="AD200" s="37"/>
      <c r="AE200" s="49"/>
    </row>
    <row r="201" spans="1:31">
      <c r="A201" s="4">
        <v>146</v>
      </c>
      <c r="B201" s="89"/>
      <c r="C201" s="42" t="s">
        <v>77</v>
      </c>
      <c r="D201" s="46">
        <v>21</v>
      </c>
      <c r="E201" s="42">
        <f t="shared" si="11"/>
        <v>21</v>
      </c>
      <c r="F201" s="32"/>
      <c r="G201" s="32"/>
      <c r="H201" s="35"/>
      <c r="I201" s="34">
        <v>2</v>
      </c>
      <c r="J201" s="33"/>
      <c r="L201" s="32"/>
      <c r="M201" s="32"/>
      <c r="N201" s="32"/>
      <c r="O201" s="32"/>
      <c r="P201" s="32"/>
      <c r="Q201" s="32"/>
      <c r="R201" s="32"/>
      <c r="S201" s="32"/>
      <c r="T201" s="32"/>
      <c r="U201" s="32">
        <v>10</v>
      </c>
      <c r="V201" s="40"/>
      <c r="W201" s="32">
        <v>9</v>
      </c>
      <c r="X201" s="32"/>
      <c r="Y201" s="32"/>
      <c r="Z201" s="32"/>
      <c r="AA201" s="32"/>
      <c r="AB201" s="32"/>
      <c r="AC201" s="31"/>
      <c r="AD201" s="37"/>
      <c r="AE201" s="49"/>
    </row>
    <row r="202" spans="1:31">
      <c r="A202" s="4">
        <v>147</v>
      </c>
      <c r="B202" s="89"/>
      <c r="C202" s="42" t="s">
        <v>78</v>
      </c>
      <c r="D202" s="46">
        <v>21</v>
      </c>
      <c r="E202" s="42">
        <f t="shared" ref="E202:E209" si="12">SUM(F202:AC202)</f>
        <v>10</v>
      </c>
      <c r="F202" s="32"/>
      <c r="G202" s="32"/>
      <c r="H202" s="35"/>
      <c r="I202" s="34"/>
      <c r="J202" s="33"/>
      <c r="K202" s="33"/>
      <c r="L202" s="32"/>
      <c r="M202" s="32"/>
      <c r="N202" s="32"/>
      <c r="O202" s="32"/>
      <c r="P202" s="32"/>
      <c r="Q202" s="31">
        <v>1</v>
      </c>
      <c r="R202" s="32"/>
      <c r="S202" s="32"/>
      <c r="T202" s="32"/>
      <c r="U202" s="32"/>
      <c r="V202" s="32"/>
      <c r="W202" s="32">
        <v>9</v>
      </c>
      <c r="X202" s="32"/>
      <c r="Y202" s="32"/>
      <c r="Z202" s="32"/>
      <c r="AA202" s="32"/>
      <c r="AB202" s="32"/>
      <c r="AD202" s="37"/>
      <c r="AE202" s="49"/>
    </row>
    <row r="203" spans="1:31">
      <c r="A203" s="4">
        <v>148</v>
      </c>
      <c r="B203" s="89"/>
      <c r="C203" s="42" t="s">
        <v>79</v>
      </c>
      <c r="D203" s="46">
        <v>21</v>
      </c>
      <c r="E203" s="42">
        <f t="shared" si="12"/>
        <v>21</v>
      </c>
      <c r="F203" s="32"/>
      <c r="G203" s="32"/>
      <c r="H203" s="35"/>
      <c r="I203" s="34"/>
      <c r="J203" s="33"/>
      <c r="K203" s="33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>
        <v>21</v>
      </c>
      <c r="X203" s="32"/>
      <c r="Y203" s="32"/>
      <c r="Z203" s="32"/>
      <c r="AA203" s="32"/>
      <c r="AB203" s="32"/>
      <c r="AC203" s="31"/>
      <c r="AD203" s="37"/>
      <c r="AE203" s="49"/>
    </row>
    <row r="204" spans="1:31">
      <c r="A204" s="4">
        <v>149</v>
      </c>
      <c r="B204" s="89"/>
      <c r="C204" s="43" t="s">
        <v>80</v>
      </c>
      <c r="D204" s="46">
        <v>21</v>
      </c>
      <c r="E204" s="42">
        <f t="shared" si="12"/>
        <v>21</v>
      </c>
      <c r="F204" s="32"/>
      <c r="G204" s="32"/>
      <c r="H204" s="35"/>
      <c r="I204" s="34"/>
      <c r="J204" s="33"/>
      <c r="K204" s="33"/>
      <c r="L204" s="32"/>
      <c r="M204" s="32"/>
      <c r="N204" s="32"/>
      <c r="O204" s="32"/>
      <c r="P204" s="32"/>
      <c r="Q204" s="32"/>
      <c r="R204" s="32"/>
      <c r="S204" s="32">
        <v>5</v>
      </c>
      <c r="T204" s="32"/>
      <c r="U204" s="32"/>
      <c r="V204" s="32"/>
      <c r="W204" s="32"/>
      <c r="X204" s="32">
        <v>16</v>
      </c>
      <c r="Y204" s="32"/>
      <c r="Z204" s="32"/>
      <c r="AA204" s="32"/>
      <c r="AB204" s="32"/>
      <c r="AC204" s="31"/>
      <c r="AD204" s="37"/>
      <c r="AE204" s="49"/>
    </row>
    <row r="205" spans="1:31">
      <c r="A205" s="4">
        <v>150</v>
      </c>
      <c r="B205" s="89"/>
      <c r="C205" s="42" t="s">
        <v>81</v>
      </c>
      <c r="D205" s="46">
        <v>21</v>
      </c>
      <c r="E205" s="42">
        <f t="shared" si="12"/>
        <v>21</v>
      </c>
      <c r="F205" s="32"/>
      <c r="G205" s="32"/>
      <c r="H205" s="35"/>
      <c r="I205" s="34"/>
      <c r="J205" s="33"/>
      <c r="K205" s="33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>
        <v>21</v>
      </c>
      <c r="Y205" s="32"/>
      <c r="Z205" s="32"/>
      <c r="AA205" s="32"/>
      <c r="AB205" s="32"/>
      <c r="AC205" s="15"/>
      <c r="AD205" s="37"/>
      <c r="AE205" s="49"/>
    </row>
    <row r="206" spans="1:31">
      <c r="A206" s="4">
        <v>151</v>
      </c>
      <c r="B206" s="89"/>
      <c r="C206" s="42" t="s">
        <v>82</v>
      </c>
      <c r="D206" s="46">
        <v>21</v>
      </c>
      <c r="E206" s="42">
        <f t="shared" si="12"/>
        <v>21</v>
      </c>
      <c r="F206" s="32"/>
      <c r="G206" s="32"/>
      <c r="H206" s="35"/>
      <c r="I206" s="34"/>
      <c r="J206" s="33"/>
      <c r="K206" s="33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>
        <v>21</v>
      </c>
      <c r="Y206" s="32"/>
      <c r="Z206" s="32"/>
      <c r="AA206" s="32"/>
      <c r="AB206" s="32"/>
      <c r="AC206" s="15"/>
      <c r="AD206" s="37"/>
      <c r="AE206" s="49"/>
    </row>
    <row r="207" spans="1:31">
      <c r="A207" s="4">
        <v>152</v>
      </c>
      <c r="B207" s="89"/>
      <c r="C207" s="42" t="s">
        <v>83</v>
      </c>
      <c r="D207" s="46">
        <v>21</v>
      </c>
      <c r="E207" s="42">
        <f t="shared" si="12"/>
        <v>21</v>
      </c>
      <c r="F207" s="32"/>
      <c r="G207" s="32"/>
      <c r="H207" s="35"/>
      <c r="I207" s="34"/>
      <c r="J207" s="33"/>
      <c r="K207" s="33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>
        <v>21</v>
      </c>
      <c r="Y207" s="32"/>
      <c r="Z207" s="32"/>
      <c r="AA207" s="32"/>
      <c r="AB207" s="32"/>
      <c r="AC207" s="15"/>
      <c r="AD207" s="37"/>
      <c r="AE207" s="49"/>
    </row>
    <row r="208" spans="1:31">
      <c r="A208" s="4"/>
      <c r="B208" s="90"/>
      <c r="C208" s="42" t="s">
        <v>84</v>
      </c>
      <c r="D208" s="46">
        <v>21</v>
      </c>
      <c r="E208" s="42">
        <f t="shared" si="12"/>
        <v>21</v>
      </c>
      <c r="F208" s="32"/>
      <c r="G208" s="32"/>
      <c r="H208" s="35"/>
      <c r="I208" s="34"/>
      <c r="J208" s="33"/>
      <c r="K208" s="33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>
        <v>21</v>
      </c>
      <c r="Y208" s="32"/>
      <c r="Z208" s="32"/>
      <c r="AA208" s="32"/>
      <c r="AB208" s="32"/>
      <c r="AC208" s="15"/>
      <c r="AD208" s="37"/>
      <c r="AE208" s="49"/>
    </row>
    <row r="209" spans="1:31">
      <c r="A209" s="4"/>
      <c r="B209" s="90"/>
      <c r="C209" s="42" t="s">
        <v>85</v>
      </c>
      <c r="D209" s="46">
        <v>21</v>
      </c>
      <c r="E209" s="42">
        <f t="shared" si="12"/>
        <v>21</v>
      </c>
      <c r="F209" s="32"/>
      <c r="G209" s="32"/>
      <c r="H209" s="35"/>
      <c r="I209" s="34"/>
      <c r="J209" s="33"/>
      <c r="K209" s="33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>
        <v>21</v>
      </c>
      <c r="Y209" s="32"/>
      <c r="Z209" s="32"/>
      <c r="AA209" s="32"/>
      <c r="AB209" s="32"/>
      <c r="AC209" s="31"/>
      <c r="AD209" s="37"/>
      <c r="AE209" s="49"/>
    </row>
    <row r="210" spans="1:31">
      <c r="A210" s="4"/>
      <c r="B210" s="90"/>
      <c r="C210" s="42" t="s">
        <v>86</v>
      </c>
      <c r="D210" s="46"/>
      <c r="E210" s="42"/>
      <c r="F210" s="32"/>
      <c r="G210" s="32"/>
      <c r="H210" s="35"/>
      <c r="I210" s="34"/>
      <c r="J210" s="33"/>
      <c r="K210" s="33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1"/>
      <c r="AD210" s="37"/>
      <c r="AE210" s="49"/>
    </row>
    <row r="211" spans="1:31">
      <c r="A211" s="4"/>
      <c r="B211" s="90"/>
      <c r="C211" s="42" t="s">
        <v>87</v>
      </c>
      <c r="D211" s="46"/>
      <c r="E211" s="42"/>
      <c r="F211" s="32"/>
      <c r="G211" s="32"/>
      <c r="H211" s="35"/>
      <c r="I211" s="34"/>
      <c r="J211" s="33"/>
      <c r="K211" s="33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1"/>
      <c r="AD211" s="37"/>
      <c r="AE211" s="49"/>
    </row>
    <row r="212" spans="1:31">
      <c r="A212" s="4"/>
      <c r="B212" s="90"/>
      <c r="C212" s="42"/>
      <c r="D212" s="46"/>
      <c r="E212" s="42"/>
      <c r="F212" s="32"/>
      <c r="G212" s="32"/>
      <c r="H212" s="35"/>
      <c r="I212" s="34"/>
      <c r="J212" s="33"/>
      <c r="K212" s="33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1"/>
      <c r="AD212" s="37"/>
      <c r="AE212" s="49"/>
    </row>
    <row r="213" spans="1:31">
      <c r="A213" s="4"/>
      <c r="B213" s="90"/>
      <c r="C213" s="42"/>
      <c r="D213" s="46"/>
      <c r="E213" s="42"/>
      <c r="F213" s="32"/>
      <c r="G213" s="32"/>
      <c r="H213" s="35"/>
      <c r="I213" s="34"/>
      <c r="J213" s="33"/>
      <c r="K213" s="33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1"/>
      <c r="AD213" s="37"/>
      <c r="AE213" s="49"/>
    </row>
    <row r="214" spans="1:31">
      <c r="A214" s="4">
        <v>153</v>
      </c>
      <c r="B214" s="91"/>
      <c r="C214" s="42"/>
      <c r="D214" s="46"/>
      <c r="E214" s="42">
        <f t="shared" ref="E214:E220" si="13">SUM(F214:AC214)</f>
        <v>0</v>
      </c>
      <c r="F214" s="32"/>
      <c r="G214" s="32"/>
      <c r="H214" s="35"/>
      <c r="I214" s="34"/>
      <c r="J214" s="33"/>
      <c r="K214" s="33"/>
      <c r="L214" s="32"/>
      <c r="M214" s="32"/>
      <c r="N214" s="32"/>
      <c r="O214" s="32"/>
      <c r="P214" s="32"/>
      <c r="Q214" s="32"/>
      <c r="R214" s="26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1"/>
      <c r="AD214" s="37"/>
      <c r="AE214" s="49"/>
    </row>
    <row r="215" spans="1:31">
      <c r="A215" s="4">
        <v>154</v>
      </c>
      <c r="B215" s="88" t="s">
        <v>13</v>
      </c>
      <c r="C215" s="42" t="s">
        <v>68</v>
      </c>
      <c r="D215" s="46">
        <v>21</v>
      </c>
      <c r="E215" s="42">
        <f t="shared" si="13"/>
        <v>21</v>
      </c>
      <c r="F215" s="32"/>
      <c r="G215" s="32"/>
      <c r="H215" s="35"/>
      <c r="I215" s="34"/>
      <c r="J215" s="33"/>
      <c r="K215" s="33"/>
      <c r="L215" s="32"/>
      <c r="M215" s="32"/>
      <c r="N215" s="32"/>
      <c r="O215" s="32">
        <v>1</v>
      </c>
      <c r="P215" s="32"/>
      <c r="Q215" s="31">
        <v>1</v>
      </c>
      <c r="R215" s="50"/>
      <c r="S215" s="51"/>
      <c r="T215" s="32">
        <v>2</v>
      </c>
      <c r="U215" s="32">
        <v>13</v>
      </c>
      <c r="V215" s="32">
        <v>2</v>
      </c>
      <c r="W215" s="32"/>
      <c r="X215" s="32"/>
      <c r="Y215" s="32">
        <v>1</v>
      </c>
      <c r="Z215" s="32"/>
      <c r="AA215" s="32">
        <v>1</v>
      </c>
      <c r="AB215" s="32"/>
      <c r="AD215" s="37"/>
      <c r="AE215" s="49"/>
    </row>
    <row r="216" spans="1:31">
      <c r="A216" s="4">
        <v>155</v>
      </c>
      <c r="B216" s="89"/>
      <c r="C216" s="42" t="s">
        <v>69</v>
      </c>
      <c r="D216" s="46">
        <v>21</v>
      </c>
      <c r="E216" s="42">
        <f t="shared" si="13"/>
        <v>21</v>
      </c>
      <c r="F216" s="32"/>
      <c r="G216" s="32"/>
      <c r="H216" s="35"/>
      <c r="I216" s="34"/>
      <c r="J216" s="33"/>
      <c r="K216" s="33"/>
      <c r="L216" s="32"/>
      <c r="M216" s="32"/>
      <c r="N216" s="32"/>
      <c r="O216" s="32"/>
      <c r="P216" s="32"/>
      <c r="Q216" s="31"/>
      <c r="R216" s="50"/>
      <c r="S216" s="51"/>
      <c r="T216" s="32">
        <v>1</v>
      </c>
      <c r="U216" s="32">
        <v>11</v>
      </c>
      <c r="V216" s="40">
        <v>9</v>
      </c>
      <c r="W216" s="32"/>
      <c r="X216" s="32"/>
      <c r="Y216" s="32"/>
      <c r="Z216" s="32"/>
      <c r="AA216" s="32"/>
      <c r="AB216" s="32"/>
      <c r="AC216" s="31"/>
      <c r="AD216" s="37"/>
      <c r="AE216" s="49"/>
    </row>
    <row r="217" spans="1:31">
      <c r="A217" s="4">
        <v>156</v>
      </c>
      <c r="B217" s="89"/>
      <c r="C217" s="42" t="s">
        <v>70</v>
      </c>
      <c r="D217" s="46">
        <v>21</v>
      </c>
      <c r="E217" s="42">
        <f t="shared" si="13"/>
        <v>21</v>
      </c>
      <c r="F217" s="32"/>
      <c r="G217" s="32"/>
      <c r="H217" s="35"/>
      <c r="I217" s="34"/>
      <c r="J217" s="33"/>
      <c r="K217" s="33"/>
      <c r="L217" s="32"/>
      <c r="M217" s="32"/>
      <c r="N217" s="32"/>
      <c r="O217" s="32">
        <v>11</v>
      </c>
      <c r="P217" s="32"/>
      <c r="Q217" s="31"/>
      <c r="R217" s="50"/>
      <c r="S217" s="51"/>
      <c r="T217" s="32"/>
      <c r="U217" s="32"/>
      <c r="V217" s="40"/>
      <c r="W217" s="32"/>
      <c r="X217" s="32"/>
      <c r="Y217" s="32">
        <v>10</v>
      </c>
      <c r="Z217" s="32"/>
      <c r="AA217" s="32"/>
      <c r="AB217" s="32"/>
      <c r="AC217" s="31"/>
      <c r="AD217" s="37"/>
      <c r="AE217" s="49"/>
    </row>
    <row r="218" spans="1:31">
      <c r="A218" s="4">
        <v>157</v>
      </c>
      <c r="B218" s="89"/>
      <c r="C218" s="42" t="s">
        <v>71</v>
      </c>
      <c r="D218" s="46">
        <v>21</v>
      </c>
      <c r="E218" s="42">
        <f t="shared" si="13"/>
        <v>21</v>
      </c>
      <c r="F218" s="32"/>
      <c r="G218" s="32"/>
      <c r="H218" s="35">
        <v>15</v>
      </c>
      <c r="I218" s="34"/>
      <c r="J218" s="33"/>
      <c r="K218" s="33"/>
      <c r="L218" s="32"/>
      <c r="M218" s="32"/>
      <c r="N218" s="32"/>
      <c r="O218" s="32"/>
      <c r="P218" s="32"/>
      <c r="Q218" s="31"/>
      <c r="R218" s="15"/>
      <c r="S218" s="51"/>
      <c r="T218" s="32"/>
      <c r="U218" s="32"/>
      <c r="V218" s="40">
        <v>6</v>
      </c>
      <c r="W218" s="32"/>
      <c r="X218" s="32"/>
      <c r="Y218" s="32"/>
      <c r="Z218" s="32"/>
      <c r="AA218" s="32"/>
      <c r="AB218" s="32"/>
      <c r="AC218" s="31"/>
      <c r="AD218" s="37"/>
      <c r="AE218" s="49"/>
    </row>
    <row r="219" spans="1:31">
      <c r="A219" s="4">
        <v>158</v>
      </c>
      <c r="B219" s="89"/>
      <c r="C219" s="42" t="s">
        <v>72</v>
      </c>
      <c r="D219" s="46">
        <v>21</v>
      </c>
      <c r="E219" s="42">
        <f t="shared" si="13"/>
        <v>21</v>
      </c>
      <c r="F219" s="32"/>
      <c r="G219" s="32"/>
      <c r="H219" s="35">
        <v>3</v>
      </c>
      <c r="I219" s="34"/>
      <c r="J219" s="33"/>
      <c r="K219" s="33"/>
      <c r="L219" s="32"/>
      <c r="M219" s="32"/>
      <c r="N219" s="32"/>
      <c r="O219" s="32"/>
      <c r="P219" s="32"/>
      <c r="Q219" s="31">
        <v>2</v>
      </c>
      <c r="R219" s="15"/>
      <c r="S219" s="51"/>
      <c r="T219" s="32"/>
      <c r="U219">
        <v>6</v>
      </c>
      <c r="V219" s="40">
        <v>5</v>
      </c>
      <c r="W219" s="32"/>
      <c r="X219" s="32"/>
      <c r="Y219" s="32"/>
      <c r="Z219" s="32"/>
      <c r="AA219" s="32"/>
      <c r="AB219" s="32"/>
      <c r="AC219" s="32">
        <v>5</v>
      </c>
      <c r="AD219" s="37"/>
      <c r="AE219" s="49"/>
    </row>
    <row r="220" spans="1:31">
      <c r="A220" s="4">
        <v>159</v>
      </c>
      <c r="B220" s="89"/>
      <c r="C220" s="42" t="s">
        <v>73</v>
      </c>
      <c r="D220" s="46">
        <v>21</v>
      </c>
      <c r="E220" s="42">
        <f t="shared" si="13"/>
        <v>21</v>
      </c>
      <c r="F220" s="32"/>
      <c r="G220" s="32"/>
      <c r="H220" s="35"/>
      <c r="I220" s="34">
        <v>3</v>
      </c>
      <c r="K220" s="33"/>
      <c r="L220" s="32"/>
      <c r="M220" s="32"/>
      <c r="N220" s="32"/>
      <c r="O220" s="32"/>
      <c r="P220" s="32"/>
      <c r="Q220" s="31"/>
      <c r="R220" s="50"/>
      <c r="S220" s="51"/>
      <c r="T220" s="32"/>
      <c r="U220" s="32">
        <v>6</v>
      </c>
      <c r="V220" s="32">
        <v>10</v>
      </c>
      <c r="W220" s="32"/>
      <c r="X220" s="32"/>
      <c r="Y220" s="32"/>
      <c r="Z220" s="32"/>
      <c r="AA220" s="32">
        <v>2</v>
      </c>
      <c r="AB220" s="32"/>
      <c r="AC220" s="31"/>
      <c r="AD220" s="37"/>
      <c r="AE220" s="49"/>
    </row>
    <row r="221" spans="1:31">
      <c r="A221" s="4">
        <v>160</v>
      </c>
      <c r="B221" s="89"/>
      <c r="C221" s="42" t="s">
        <v>74</v>
      </c>
      <c r="D221" s="46">
        <v>21</v>
      </c>
      <c r="E221" s="42">
        <f t="shared" ref="E221:E232" si="14">SUM(F221:AC221)</f>
        <v>21</v>
      </c>
      <c r="F221" s="32"/>
      <c r="G221" s="32"/>
      <c r="H221" s="35"/>
      <c r="I221" s="34"/>
      <c r="J221" s="33"/>
      <c r="K221" s="33"/>
      <c r="L221" s="32"/>
      <c r="M221" s="32"/>
      <c r="N221" s="32"/>
      <c r="O221" s="32"/>
      <c r="P221" s="32"/>
      <c r="Q221" s="31"/>
      <c r="R221" s="15"/>
      <c r="S221" s="51"/>
      <c r="T221" s="32">
        <v>2</v>
      </c>
      <c r="U221" s="32"/>
      <c r="V221" s="40"/>
      <c r="W221" s="32"/>
      <c r="X221" s="32"/>
      <c r="Y221" s="32"/>
      <c r="Z221" s="32"/>
      <c r="AA221" s="32"/>
      <c r="AB221" s="32"/>
      <c r="AC221" s="32">
        <v>19</v>
      </c>
      <c r="AD221" s="37"/>
      <c r="AE221" s="49"/>
    </row>
    <row r="222" spans="1:31">
      <c r="A222" s="4">
        <v>161</v>
      </c>
      <c r="B222" s="89"/>
      <c r="C222" s="42" t="s">
        <v>75</v>
      </c>
      <c r="D222" s="46">
        <v>21</v>
      </c>
      <c r="E222" s="42">
        <f t="shared" si="14"/>
        <v>21</v>
      </c>
      <c r="F222" s="32"/>
      <c r="G222" s="32"/>
      <c r="H222" s="35"/>
      <c r="I222" s="34"/>
      <c r="J222" s="33"/>
      <c r="K222" s="33"/>
      <c r="L222" s="32"/>
      <c r="M222" s="32">
        <v>2</v>
      </c>
      <c r="N222" s="32"/>
      <c r="O222" s="32"/>
      <c r="P222" s="32"/>
      <c r="Q222" s="31">
        <v>1</v>
      </c>
      <c r="R222" s="15"/>
      <c r="S222" s="51"/>
      <c r="T222" s="32"/>
      <c r="U222" s="32"/>
      <c r="V222" s="40"/>
      <c r="W222" s="32"/>
      <c r="X222" s="32"/>
      <c r="Y222" s="32"/>
      <c r="Z222" s="32"/>
      <c r="AA222" s="32">
        <v>5</v>
      </c>
      <c r="AB222" s="32"/>
      <c r="AC222" s="32">
        <v>13</v>
      </c>
      <c r="AD222" s="37"/>
      <c r="AE222" s="49"/>
    </row>
    <row r="223" spans="1:31">
      <c r="A223" s="4">
        <v>162</v>
      </c>
      <c r="B223" s="89"/>
      <c r="C223" s="42" t="s">
        <v>76</v>
      </c>
      <c r="D223" s="46">
        <v>21</v>
      </c>
      <c r="E223" s="42">
        <f t="shared" si="14"/>
        <v>21</v>
      </c>
      <c r="F223" s="32"/>
      <c r="G223" s="32"/>
      <c r="H223" s="35"/>
      <c r="I223" s="34">
        <v>5</v>
      </c>
      <c r="J223" s="33"/>
      <c r="K223" s="33"/>
      <c r="L223" s="32"/>
      <c r="M223" s="32"/>
      <c r="N223" s="32"/>
      <c r="O223" s="32"/>
      <c r="P223" s="32"/>
      <c r="Q223" s="31"/>
      <c r="R223" s="50"/>
      <c r="S223" s="51"/>
      <c r="T223" s="32"/>
      <c r="U223" s="32"/>
      <c r="V223" s="40"/>
      <c r="W223" s="32"/>
      <c r="X223" s="32"/>
      <c r="Z223" s="32"/>
      <c r="AA223" s="32">
        <v>1</v>
      </c>
      <c r="AB223" s="32"/>
      <c r="AC223" s="31">
        <v>15</v>
      </c>
      <c r="AD223" s="37"/>
      <c r="AE223" s="49"/>
    </row>
    <row r="224" spans="1:31">
      <c r="A224" s="4">
        <v>163</v>
      </c>
      <c r="B224" s="89"/>
      <c r="C224" s="42" t="s">
        <v>77</v>
      </c>
      <c r="D224" s="46">
        <v>21</v>
      </c>
      <c r="E224" s="42">
        <f t="shared" si="14"/>
        <v>21</v>
      </c>
      <c r="F224" s="32"/>
      <c r="G224" s="32"/>
      <c r="H224" s="35"/>
      <c r="I224" s="34">
        <v>3</v>
      </c>
      <c r="J224" s="33"/>
      <c r="L224" s="32"/>
      <c r="M224" s="32"/>
      <c r="N224" s="32"/>
      <c r="O224" s="32"/>
      <c r="P224" s="32"/>
      <c r="Q224" s="31"/>
      <c r="R224" s="50"/>
      <c r="S224" s="51">
        <v>3</v>
      </c>
      <c r="T224" s="32"/>
      <c r="U224" s="32">
        <v>5</v>
      </c>
      <c r="V224" s="40"/>
      <c r="W224" s="32"/>
      <c r="X224" s="32"/>
      <c r="Z224" s="32"/>
      <c r="AA224" s="32">
        <v>3</v>
      </c>
      <c r="AB224" s="32"/>
      <c r="AC224" s="32">
        <v>7</v>
      </c>
      <c r="AD224" s="37"/>
      <c r="AE224" s="49"/>
    </row>
    <row r="225" spans="1:31">
      <c r="A225" s="4">
        <v>164</v>
      </c>
      <c r="B225" s="89"/>
      <c r="C225" s="42" t="s">
        <v>78</v>
      </c>
      <c r="D225" s="46">
        <v>21</v>
      </c>
      <c r="E225" s="42">
        <f t="shared" si="14"/>
        <v>0</v>
      </c>
      <c r="F225" s="32"/>
      <c r="G225" s="32"/>
      <c r="H225" s="35"/>
      <c r="I225" s="34"/>
      <c r="J225" s="33"/>
      <c r="K225" s="33"/>
      <c r="L225" s="32"/>
      <c r="M225" s="32"/>
      <c r="N225" s="32"/>
      <c r="O225" s="32"/>
      <c r="P225" s="32"/>
      <c r="Q225" s="31"/>
      <c r="R225" s="50"/>
      <c r="S225" s="51"/>
      <c r="T225" s="32"/>
      <c r="U225" s="32"/>
      <c r="V225" s="32"/>
      <c r="W225" s="32"/>
      <c r="X225" s="32"/>
      <c r="Y225" s="32"/>
      <c r="Z225" s="32"/>
      <c r="AA225" s="32"/>
      <c r="AB225" s="32"/>
      <c r="AC225" s="31"/>
      <c r="AD225" s="37"/>
      <c r="AE225" s="49"/>
    </row>
    <row r="226" spans="1:31">
      <c r="A226" s="4">
        <v>165</v>
      </c>
      <c r="B226" s="89"/>
      <c r="C226" s="42" t="s">
        <v>79</v>
      </c>
      <c r="D226" s="46">
        <v>21</v>
      </c>
      <c r="E226" s="42">
        <f t="shared" si="14"/>
        <v>21</v>
      </c>
      <c r="F226" s="32"/>
      <c r="G226" s="32"/>
      <c r="H226" s="35">
        <v>11</v>
      </c>
      <c r="I226" s="34"/>
      <c r="J226" s="33"/>
      <c r="K226" s="33"/>
      <c r="L226" s="32"/>
      <c r="M226" s="32"/>
      <c r="N226" s="32"/>
      <c r="O226" s="32"/>
      <c r="P226" s="32"/>
      <c r="Q226" s="32"/>
      <c r="S226" s="32"/>
      <c r="T226" s="32"/>
      <c r="U226" s="32"/>
      <c r="V226" s="32"/>
      <c r="W226" s="32">
        <v>9</v>
      </c>
      <c r="X226" s="32"/>
      <c r="Y226" s="32">
        <v>1</v>
      </c>
      <c r="Z226" s="32"/>
      <c r="AA226" s="32"/>
      <c r="AB226" s="32"/>
      <c r="AC226" s="31"/>
      <c r="AD226" s="37"/>
      <c r="AE226" s="49"/>
    </row>
    <row r="227" spans="1:31">
      <c r="A227" s="4">
        <v>166</v>
      </c>
      <c r="B227" s="89"/>
      <c r="C227" s="43" t="s">
        <v>80</v>
      </c>
      <c r="D227" s="46">
        <v>0</v>
      </c>
      <c r="E227" s="42">
        <f t="shared" si="14"/>
        <v>0</v>
      </c>
      <c r="F227" s="32"/>
      <c r="G227" s="32"/>
      <c r="H227" s="35"/>
      <c r="I227" s="34"/>
      <c r="J227" s="33"/>
      <c r="K227" s="33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1"/>
      <c r="AD227" s="37"/>
      <c r="AE227" s="49"/>
    </row>
    <row r="228" spans="1:31">
      <c r="A228" s="4">
        <v>167</v>
      </c>
      <c r="B228" s="89"/>
      <c r="C228" s="42" t="s">
        <v>81</v>
      </c>
      <c r="D228" s="46">
        <v>21</v>
      </c>
      <c r="E228" s="42">
        <f t="shared" si="14"/>
        <v>21</v>
      </c>
      <c r="F228" s="32"/>
      <c r="G228" s="32"/>
      <c r="H228" s="35"/>
      <c r="I228" s="34"/>
      <c r="J228" s="33"/>
      <c r="K228" s="33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>
        <v>21</v>
      </c>
      <c r="Y228" s="32"/>
      <c r="Z228" s="32"/>
      <c r="AA228" s="32"/>
      <c r="AB228" s="32"/>
      <c r="AC228" s="15"/>
      <c r="AD228" s="37"/>
      <c r="AE228" s="49"/>
    </row>
    <row r="229" spans="1:31">
      <c r="A229" s="4">
        <v>168</v>
      </c>
      <c r="B229" s="89"/>
      <c r="C229" s="42" t="s">
        <v>82</v>
      </c>
      <c r="D229" s="46">
        <v>21</v>
      </c>
      <c r="E229" s="42">
        <f t="shared" si="14"/>
        <v>21</v>
      </c>
      <c r="F229" s="32"/>
      <c r="G229" s="32"/>
      <c r="H229" s="35"/>
      <c r="I229" s="34"/>
      <c r="J229" s="33"/>
      <c r="K229" s="33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>
        <v>21</v>
      </c>
      <c r="Y229" s="32"/>
      <c r="Z229" s="32"/>
      <c r="AA229" s="32"/>
      <c r="AB229" s="32"/>
      <c r="AC229" s="15"/>
      <c r="AD229" s="37"/>
      <c r="AE229" s="49"/>
    </row>
    <row r="230" spans="1:31">
      <c r="A230" s="4">
        <v>169</v>
      </c>
      <c r="B230" s="89"/>
      <c r="C230" s="42" t="s">
        <v>83</v>
      </c>
      <c r="D230" s="46">
        <v>21</v>
      </c>
      <c r="E230" s="42">
        <f t="shared" si="14"/>
        <v>21</v>
      </c>
      <c r="F230" s="32"/>
      <c r="G230" s="32"/>
      <c r="H230" s="35"/>
      <c r="I230" s="34"/>
      <c r="J230" s="33"/>
      <c r="K230" s="33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>
        <v>21</v>
      </c>
      <c r="Y230" s="32"/>
      <c r="Z230" s="32"/>
      <c r="AA230" s="32"/>
      <c r="AB230" s="32"/>
      <c r="AC230" s="15"/>
      <c r="AD230" s="37"/>
      <c r="AE230" s="49"/>
    </row>
    <row r="231" spans="1:31">
      <c r="A231" s="4"/>
      <c r="B231" s="90"/>
      <c r="C231" s="42" t="s">
        <v>84</v>
      </c>
      <c r="D231" s="46">
        <v>21</v>
      </c>
      <c r="E231" s="42">
        <f t="shared" si="14"/>
        <v>21</v>
      </c>
      <c r="F231" s="32"/>
      <c r="G231" s="32"/>
      <c r="H231" s="35"/>
      <c r="I231" s="34"/>
      <c r="J231" s="33"/>
      <c r="K231" s="33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>
        <v>21</v>
      </c>
      <c r="Y231" s="32"/>
      <c r="Z231" s="32"/>
      <c r="AA231" s="32"/>
      <c r="AB231" s="32"/>
      <c r="AC231" s="15"/>
      <c r="AD231" s="37"/>
      <c r="AE231" s="49"/>
    </row>
    <row r="232" spans="1:31">
      <c r="A232" s="4"/>
      <c r="B232" s="90"/>
      <c r="C232" s="42" t="s">
        <v>85</v>
      </c>
      <c r="D232" s="46">
        <v>21</v>
      </c>
      <c r="E232" s="42">
        <f t="shared" si="14"/>
        <v>21</v>
      </c>
      <c r="F232" s="32"/>
      <c r="G232" s="32"/>
      <c r="H232" s="35"/>
      <c r="I232" s="34"/>
      <c r="J232" s="33"/>
      <c r="K232" s="33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>
        <v>21</v>
      </c>
      <c r="Y232" s="32"/>
      <c r="Z232" s="32"/>
      <c r="AA232" s="32"/>
      <c r="AB232" s="32"/>
      <c r="AC232" s="31"/>
      <c r="AD232" s="37"/>
      <c r="AE232" s="49"/>
    </row>
    <row r="233" spans="1:31">
      <c r="A233" s="4"/>
      <c r="B233" s="90"/>
      <c r="C233" s="42" t="s">
        <v>86</v>
      </c>
      <c r="D233" s="46"/>
      <c r="E233" s="42"/>
      <c r="F233" s="32"/>
      <c r="G233" s="32"/>
      <c r="H233" s="35"/>
      <c r="I233" s="34"/>
      <c r="J233" s="33"/>
      <c r="K233" s="33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1"/>
      <c r="AD233" s="37"/>
      <c r="AE233" s="49"/>
    </row>
    <row r="234" spans="1:31">
      <c r="A234" s="4"/>
      <c r="B234" s="90"/>
      <c r="C234" s="42" t="s">
        <v>87</v>
      </c>
      <c r="D234" s="46"/>
      <c r="E234" s="42"/>
      <c r="F234" s="32"/>
      <c r="G234" s="32"/>
      <c r="H234" s="35"/>
      <c r="I234" s="34"/>
      <c r="J234" s="33"/>
      <c r="K234" s="33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1"/>
      <c r="AD234" s="37"/>
      <c r="AE234" s="49"/>
    </row>
    <row r="235" spans="1:31">
      <c r="A235" s="4"/>
      <c r="B235" s="90"/>
      <c r="C235" s="42"/>
      <c r="D235" s="46"/>
      <c r="E235" s="42"/>
      <c r="F235" s="32"/>
      <c r="G235" s="32"/>
      <c r="H235" s="35"/>
      <c r="I235" s="34"/>
      <c r="J235" s="33"/>
      <c r="K235" s="33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1"/>
      <c r="AD235" s="37"/>
      <c r="AE235" s="49"/>
    </row>
    <row r="236" spans="1:31">
      <c r="A236" s="4"/>
      <c r="B236" s="90"/>
      <c r="C236" s="42"/>
      <c r="D236" s="46"/>
      <c r="E236" s="42"/>
      <c r="F236" s="32"/>
      <c r="G236" s="32"/>
      <c r="H236" s="35"/>
      <c r="I236" s="34"/>
      <c r="J236" s="33"/>
      <c r="K236" s="33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1"/>
      <c r="AD236" s="37"/>
      <c r="AE236" s="49"/>
    </row>
    <row r="237" spans="1:31">
      <c r="A237" s="4">
        <v>170</v>
      </c>
      <c r="B237" s="91"/>
      <c r="C237" s="42"/>
      <c r="D237" s="46"/>
      <c r="E237" s="42">
        <f>SUM(F237:AC237)</f>
        <v>0</v>
      </c>
      <c r="F237" s="32"/>
      <c r="G237" s="32"/>
      <c r="H237" s="35"/>
      <c r="I237" s="34"/>
      <c r="J237" s="33"/>
      <c r="K237" s="33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1"/>
      <c r="AD237" s="37"/>
      <c r="AE237" s="49"/>
    </row>
    <row r="238" spans="1:31">
      <c r="A238" s="4">
        <v>171</v>
      </c>
      <c r="B238" s="88" t="s">
        <v>12</v>
      </c>
      <c r="C238" s="42" t="s">
        <v>68</v>
      </c>
      <c r="D238" s="46">
        <v>21</v>
      </c>
      <c r="E238" s="42">
        <f t="shared" ref="E238:E250" si="15">SUM(F238:AE238)</f>
        <v>21</v>
      </c>
      <c r="F238" s="32"/>
      <c r="G238" s="32"/>
      <c r="H238" s="35">
        <v>12</v>
      </c>
      <c r="I238" s="34"/>
      <c r="J238" s="33"/>
      <c r="K238" s="33"/>
      <c r="L238" s="32"/>
      <c r="M238" s="32"/>
      <c r="N238" s="32"/>
      <c r="O238" s="32">
        <v>2</v>
      </c>
      <c r="P238" s="32"/>
      <c r="Q238" s="32"/>
      <c r="R238" s="32"/>
      <c r="S238" s="32"/>
      <c r="T238" s="32"/>
      <c r="U238" s="32">
        <v>3</v>
      </c>
      <c r="V238" s="32">
        <v>2</v>
      </c>
      <c r="W238" s="32"/>
      <c r="X238" s="32"/>
      <c r="Y238" s="32">
        <v>1</v>
      </c>
      <c r="Z238" s="32"/>
      <c r="AA238" s="32">
        <v>1</v>
      </c>
      <c r="AB238" s="32"/>
      <c r="AC238" s="31"/>
      <c r="AD238" s="37"/>
      <c r="AE238" s="49"/>
    </row>
    <row r="239" spans="1:31">
      <c r="A239" s="4">
        <v>172</v>
      </c>
      <c r="B239" s="89"/>
      <c r="C239" s="42" t="s">
        <v>69</v>
      </c>
      <c r="D239" s="46">
        <v>21</v>
      </c>
      <c r="E239" s="42">
        <f t="shared" si="15"/>
        <v>21</v>
      </c>
      <c r="F239" s="32"/>
      <c r="G239" s="32"/>
      <c r="H239" s="35">
        <v>15</v>
      </c>
      <c r="I239" s="34"/>
      <c r="J239" s="33"/>
      <c r="K239" s="33"/>
      <c r="L239" s="32"/>
      <c r="M239" s="32">
        <v>1</v>
      </c>
      <c r="N239" s="32"/>
      <c r="O239" s="32"/>
      <c r="P239" s="32"/>
      <c r="Q239" s="31">
        <v>3</v>
      </c>
      <c r="R239" s="32"/>
      <c r="S239" s="32"/>
      <c r="T239" s="32">
        <v>1</v>
      </c>
      <c r="U239" s="32"/>
      <c r="V239" s="40"/>
      <c r="W239" s="32"/>
      <c r="X239" s="32"/>
      <c r="Y239" s="32"/>
      <c r="Z239" s="32"/>
      <c r="AA239" s="32">
        <v>1</v>
      </c>
      <c r="AB239" s="32"/>
      <c r="AC239" s="31"/>
      <c r="AD239" s="37"/>
      <c r="AE239" s="49"/>
    </row>
    <row r="240" spans="1:31">
      <c r="A240" s="4">
        <v>173</v>
      </c>
      <c r="B240" s="89"/>
      <c r="C240" s="42" t="s">
        <v>70</v>
      </c>
      <c r="D240" s="46">
        <v>21</v>
      </c>
      <c r="E240" s="42">
        <f t="shared" si="15"/>
        <v>21</v>
      </c>
      <c r="F240" s="32"/>
      <c r="G240" s="32"/>
      <c r="H240" s="35"/>
      <c r="I240" s="34"/>
      <c r="J240" s="33"/>
      <c r="K240" s="33"/>
      <c r="L240" s="32"/>
      <c r="M240" s="32"/>
      <c r="N240" s="32"/>
      <c r="O240" s="32">
        <v>10</v>
      </c>
      <c r="P240" s="32"/>
      <c r="Q240" s="31">
        <v>6</v>
      </c>
      <c r="R240" s="32"/>
      <c r="S240" s="32"/>
      <c r="T240" s="32"/>
      <c r="U240" s="32"/>
      <c r="V240" s="40"/>
      <c r="W240" s="32"/>
      <c r="X240" s="32"/>
      <c r="Z240" s="32"/>
      <c r="AA240" s="32"/>
      <c r="AB240" s="32"/>
      <c r="AC240" s="31">
        <v>5</v>
      </c>
      <c r="AD240" s="37"/>
      <c r="AE240" s="49"/>
    </row>
    <row r="241" spans="1:31">
      <c r="A241" s="4">
        <v>174</v>
      </c>
      <c r="B241" s="89"/>
      <c r="C241" s="42" t="s">
        <v>71</v>
      </c>
      <c r="D241" s="46">
        <v>21</v>
      </c>
      <c r="E241" s="42">
        <f t="shared" si="15"/>
        <v>21</v>
      </c>
      <c r="F241" s="32"/>
      <c r="G241" s="32"/>
      <c r="H241" s="35"/>
      <c r="I241" s="34"/>
      <c r="J241" s="33"/>
      <c r="K241" s="33"/>
      <c r="L241" s="32"/>
      <c r="M241" s="32"/>
      <c r="N241" s="32"/>
      <c r="O241" s="32"/>
      <c r="P241" s="32"/>
      <c r="Q241" s="31"/>
      <c r="R241" s="32"/>
      <c r="S241" s="32">
        <v>16</v>
      </c>
      <c r="T241" s="32"/>
      <c r="U241" s="32"/>
      <c r="V241" s="40"/>
      <c r="W241" s="32"/>
      <c r="X241" s="32"/>
      <c r="Y241" s="32"/>
      <c r="Z241" s="32"/>
      <c r="AA241" s="32">
        <v>5</v>
      </c>
      <c r="AB241" s="32"/>
      <c r="AC241" s="31"/>
      <c r="AD241" s="37"/>
      <c r="AE241" s="49"/>
    </row>
    <row r="242" spans="1:31">
      <c r="A242" s="4">
        <v>175</v>
      </c>
      <c r="B242" s="89"/>
      <c r="C242" s="42" t="s">
        <v>72</v>
      </c>
      <c r="D242" s="46">
        <v>21</v>
      </c>
      <c r="E242" s="42">
        <f t="shared" si="15"/>
        <v>21</v>
      </c>
      <c r="F242" s="32"/>
      <c r="G242" s="32"/>
      <c r="H242" s="35">
        <v>2</v>
      </c>
      <c r="I242" s="34"/>
      <c r="J242" s="33"/>
      <c r="K242" s="33"/>
      <c r="L242" s="32"/>
      <c r="M242" s="32"/>
      <c r="N242" s="32"/>
      <c r="O242" s="32"/>
      <c r="P242" s="32"/>
      <c r="Q242" s="31"/>
      <c r="R242" s="32"/>
      <c r="S242" s="32"/>
      <c r="T242" s="32"/>
      <c r="U242" s="32"/>
      <c r="V242" s="40">
        <v>4</v>
      </c>
      <c r="W242" s="32"/>
      <c r="X242" s="32"/>
      <c r="Y242" s="32"/>
      <c r="Z242" s="32"/>
      <c r="AA242" s="32"/>
      <c r="AB242" s="32"/>
      <c r="AC242" s="31">
        <v>15</v>
      </c>
      <c r="AD242" s="37"/>
      <c r="AE242" s="49"/>
    </row>
    <row r="243" spans="1:31">
      <c r="A243" s="4">
        <v>176</v>
      </c>
      <c r="B243" s="89"/>
      <c r="C243" s="42" t="s">
        <v>73</v>
      </c>
      <c r="D243" s="46">
        <v>21</v>
      </c>
      <c r="E243" s="42">
        <f t="shared" si="15"/>
        <v>21</v>
      </c>
      <c r="F243" s="32"/>
      <c r="G243" s="32"/>
      <c r="H243" s="35"/>
      <c r="I243" s="34">
        <v>6</v>
      </c>
      <c r="J243" s="33"/>
      <c r="K243" s="33"/>
      <c r="L243" s="32"/>
      <c r="M243" s="32"/>
      <c r="N243" s="32"/>
      <c r="O243" s="32"/>
      <c r="P243" s="32"/>
      <c r="Q243" s="31"/>
      <c r="R243" s="32"/>
      <c r="S243" s="32">
        <v>10</v>
      </c>
      <c r="T243" s="32"/>
      <c r="U243" s="32"/>
      <c r="V243" s="32">
        <v>5</v>
      </c>
      <c r="W243" s="32"/>
      <c r="X243" s="32"/>
      <c r="Y243" s="32"/>
      <c r="Z243" s="32"/>
      <c r="AA243" s="32"/>
      <c r="AB243" s="32"/>
      <c r="AC243" s="31"/>
      <c r="AD243" s="37"/>
      <c r="AE243" s="49"/>
    </row>
    <row r="244" spans="1:31">
      <c r="A244" s="4">
        <v>177</v>
      </c>
      <c r="B244" s="89"/>
      <c r="C244" s="42" t="s">
        <v>74</v>
      </c>
      <c r="D244" s="46">
        <v>21</v>
      </c>
      <c r="E244" s="42">
        <f t="shared" si="15"/>
        <v>21</v>
      </c>
      <c r="F244" s="32"/>
      <c r="G244" s="32"/>
      <c r="H244" s="35"/>
      <c r="I244" s="34"/>
      <c r="J244" s="33"/>
      <c r="K244" s="33"/>
      <c r="L244" s="32"/>
      <c r="M244" s="32"/>
      <c r="N244" s="32"/>
      <c r="O244" s="32"/>
      <c r="P244" s="32"/>
      <c r="Q244" s="31"/>
      <c r="R244" s="32"/>
      <c r="S244" s="32">
        <v>13</v>
      </c>
      <c r="T244" s="32">
        <v>3</v>
      </c>
      <c r="U244" s="32"/>
      <c r="V244" s="40"/>
      <c r="W244" s="32"/>
      <c r="X244" s="32"/>
      <c r="Y244" s="32">
        <v>5</v>
      </c>
      <c r="Z244" s="32"/>
      <c r="AA244" s="32"/>
      <c r="AB244" s="32"/>
      <c r="AC244" s="31"/>
      <c r="AD244" s="37"/>
      <c r="AE244" s="49"/>
    </row>
    <row r="245" spans="1:31">
      <c r="A245" s="4">
        <v>178</v>
      </c>
      <c r="B245" s="89"/>
      <c r="C245" s="42" t="s">
        <v>75</v>
      </c>
      <c r="D245" s="46">
        <v>21</v>
      </c>
      <c r="E245" s="42">
        <f t="shared" si="15"/>
        <v>21</v>
      </c>
      <c r="F245" s="32"/>
      <c r="G245" s="32"/>
      <c r="H245" s="35"/>
      <c r="I245" s="34"/>
      <c r="J245" s="33"/>
      <c r="K245" s="33"/>
      <c r="L245" s="32"/>
      <c r="M245" s="32">
        <v>1</v>
      </c>
      <c r="N245" s="32"/>
      <c r="O245" s="32"/>
      <c r="P245" s="32"/>
      <c r="Q245" s="31">
        <v>9</v>
      </c>
      <c r="R245" s="32"/>
      <c r="S245" s="32">
        <v>5</v>
      </c>
      <c r="T245" s="32"/>
      <c r="U245" s="32"/>
      <c r="V245" s="40"/>
      <c r="W245" s="32"/>
      <c r="X245" s="32"/>
      <c r="Y245" s="32"/>
      <c r="Z245" s="32"/>
      <c r="AA245" s="32">
        <v>6</v>
      </c>
      <c r="AB245" s="32"/>
      <c r="AC245" s="31"/>
      <c r="AD245" s="37"/>
      <c r="AE245" s="49"/>
    </row>
    <row r="246" spans="1:31">
      <c r="A246" s="4">
        <v>179</v>
      </c>
      <c r="B246" s="89"/>
      <c r="C246" s="42" t="s">
        <v>76</v>
      </c>
      <c r="D246" s="46">
        <v>21</v>
      </c>
      <c r="E246" s="42">
        <f t="shared" si="15"/>
        <v>21</v>
      </c>
      <c r="F246" s="32"/>
      <c r="G246" s="32"/>
      <c r="H246" s="35"/>
      <c r="I246" s="34"/>
      <c r="J246" s="33"/>
      <c r="K246" s="33"/>
      <c r="L246" s="32"/>
      <c r="M246" s="32"/>
      <c r="N246" s="32"/>
      <c r="O246" s="32"/>
      <c r="P246" s="32"/>
      <c r="Q246" s="31">
        <v>6</v>
      </c>
      <c r="S246" s="32"/>
      <c r="T246" s="32"/>
      <c r="U246" s="32"/>
      <c r="V246" s="40"/>
      <c r="W246" s="32"/>
      <c r="X246" s="32"/>
      <c r="Y246" s="32">
        <v>5</v>
      </c>
      <c r="Z246" s="32"/>
      <c r="AA246" s="32"/>
      <c r="AB246" s="32"/>
      <c r="AC246" s="32">
        <v>10</v>
      </c>
      <c r="AD246" s="37"/>
      <c r="AE246" s="49"/>
    </row>
    <row r="247" spans="1:31">
      <c r="A247" s="4">
        <v>180</v>
      </c>
      <c r="B247" s="89"/>
      <c r="C247" s="42" t="s">
        <v>77</v>
      </c>
      <c r="D247" s="46">
        <v>21</v>
      </c>
      <c r="E247" s="42">
        <f t="shared" si="15"/>
        <v>21</v>
      </c>
      <c r="F247" s="32"/>
      <c r="G247" s="32"/>
      <c r="H247" s="35"/>
      <c r="I247" s="34">
        <v>5</v>
      </c>
      <c r="J247" s="33"/>
      <c r="L247" s="32">
        <v>7</v>
      </c>
      <c r="M247" s="32"/>
      <c r="N247" s="32"/>
      <c r="O247" s="32"/>
      <c r="P247" s="32"/>
      <c r="Q247" s="32"/>
      <c r="R247" s="32"/>
      <c r="S247" s="32"/>
      <c r="T247" s="32"/>
      <c r="U247" s="32">
        <v>5</v>
      </c>
      <c r="V247" s="40"/>
      <c r="W247" s="32"/>
      <c r="X247" s="32"/>
      <c r="Y247" s="32">
        <v>4</v>
      </c>
      <c r="Z247" s="32"/>
      <c r="AA247" s="32"/>
      <c r="AB247" s="32"/>
      <c r="AC247" s="31"/>
      <c r="AD247" s="37"/>
      <c r="AE247" s="49"/>
    </row>
    <row r="248" spans="1:31">
      <c r="A248" s="4">
        <v>181</v>
      </c>
      <c r="B248" s="89"/>
      <c r="C248" s="42" t="s">
        <v>78</v>
      </c>
      <c r="D248" s="46">
        <v>21</v>
      </c>
      <c r="E248" s="42">
        <f t="shared" si="15"/>
        <v>0</v>
      </c>
      <c r="F248" s="32"/>
      <c r="G248" s="32"/>
      <c r="H248" s="35"/>
      <c r="I248" s="34"/>
      <c r="J248" s="33"/>
      <c r="K248" s="33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1"/>
      <c r="AD248" s="37"/>
      <c r="AE248" s="49"/>
    </row>
    <row r="249" spans="1:31">
      <c r="A249" s="4">
        <v>182</v>
      </c>
      <c r="B249" s="89"/>
      <c r="C249" s="42" t="s">
        <v>79</v>
      </c>
      <c r="D249" s="46">
        <v>21</v>
      </c>
      <c r="E249" s="42">
        <f t="shared" si="15"/>
        <v>21</v>
      </c>
      <c r="F249" s="32"/>
      <c r="G249" s="32"/>
      <c r="H249" s="35"/>
      <c r="I249" s="34"/>
      <c r="J249" s="33"/>
      <c r="K249" s="33"/>
      <c r="L249" s="32"/>
      <c r="M249" s="32"/>
      <c r="N249" s="32"/>
      <c r="O249" s="32"/>
      <c r="P249" s="32"/>
      <c r="Q249" s="32"/>
      <c r="S249" s="32"/>
      <c r="T249" s="32"/>
      <c r="U249" s="32"/>
      <c r="V249" s="32"/>
      <c r="W249" s="32">
        <v>10</v>
      </c>
      <c r="X249" s="32"/>
      <c r="Y249" s="32"/>
      <c r="Z249" s="32"/>
      <c r="AA249" s="32"/>
      <c r="AB249" s="32"/>
      <c r="AC249" s="32">
        <v>11</v>
      </c>
      <c r="AD249" s="37"/>
      <c r="AE249" s="49"/>
    </row>
    <row r="250" spans="1:31">
      <c r="A250" s="4">
        <v>183</v>
      </c>
      <c r="B250" s="89"/>
      <c r="C250" s="43" t="s">
        <v>80</v>
      </c>
      <c r="D250" s="46"/>
      <c r="E250" s="42">
        <f t="shared" si="15"/>
        <v>0</v>
      </c>
      <c r="F250" s="32"/>
      <c r="G250" s="32"/>
      <c r="H250" s="35"/>
      <c r="I250" s="34"/>
      <c r="J250" s="33"/>
      <c r="K250" s="33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1"/>
      <c r="AD250" s="37"/>
      <c r="AE250" s="49"/>
    </row>
    <row r="251" spans="1:31">
      <c r="A251" s="4">
        <v>184</v>
      </c>
      <c r="B251" s="89"/>
      <c r="C251" s="42" t="s">
        <v>81</v>
      </c>
      <c r="D251" s="46">
        <v>21</v>
      </c>
      <c r="E251" s="42">
        <v>21</v>
      </c>
      <c r="F251" s="32"/>
      <c r="G251" s="32"/>
      <c r="H251" s="35"/>
      <c r="I251" s="34"/>
      <c r="J251" s="33"/>
      <c r="K251" s="33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>
        <v>21</v>
      </c>
      <c r="Y251" s="32"/>
      <c r="Z251" s="32"/>
      <c r="AA251" s="32"/>
      <c r="AB251" s="32"/>
      <c r="AC251" s="15"/>
      <c r="AD251" s="37"/>
      <c r="AE251" s="49"/>
    </row>
    <row r="252" spans="1:31">
      <c r="A252" s="4">
        <v>185</v>
      </c>
      <c r="B252" s="89"/>
      <c r="C252" s="42" t="s">
        <v>82</v>
      </c>
      <c r="D252" s="46">
        <v>21</v>
      </c>
      <c r="E252" s="42">
        <v>21</v>
      </c>
      <c r="F252" s="32"/>
      <c r="G252" s="32"/>
      <c r="H252" s="35"/>
      <c r="I252" s="34"/>
      <c r="J252" s="33"/>
      <c r="K252" s="33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>
        <v>21</v>
      </c>
      <c r="Y252" s="32"/>
      <c r="Z252" s="32"/>
      <c r="AA252" s="32"/>
      <c r="AB252" s="32"/>
      <c r="AC252" s="15"/>
      <c r="AD252" s="37"/>
      <c r="AE252" s="49"/>
    </row>
    <row r="253" spans="1:31">
      <c r="A253" s="4">
        <v>186</v>
      </c>
      <c r="B253" s="89"/>
      <c r="C253" s="42" t="s">
        <v>83</v>
      </c>
      <c r="D253" s="46">
        <v>21</v>
      </c>
      <c r="E253" s="42">
        <v>21</v>
      </c>
      <c r="F253" s="32"/>
      <c r="G253" s="32"/>
      <c r="H253" s="35"/>
      <c r="I253" s="34"/>
      <c r="J253" s="33"/>
      <c r="K253" s="33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>
        <v>21</v>
      </c>
      <c r="Y253" s="32"/>
      <c r="Z253" s="32"/>
      <c r="AA253" s="32"/>
      <c r="AB253" s="32"/>
      <c r="AC253" s="50"/>
      <c r="AD253" s="37"/>
      <c r="AE253" s="49"/>
    </row>
    <row r="254" spans="1:31">
      <c r="A254" s="4"/>
      <c r="B254" s="90"/>
      <c r="C254" s="42" t="s">
        <v>84</v>
      </c>
      <c r="D254" s="46">
        <v>21</v>
      </c>
      <c r="E254" s="42">
        <v>21</v>
      </c>
      <c r="F254" s="32"/>
      <c r="G254" s="32"/>
      <c r="H254" s="35"/>
      <c r="I254" s="34"/>
      <c r="J254" s="33"/>
      <c r="K254" s="33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>
        <v>21</v>
      </c>
      <c r="Y254" s="32"/>
      <c r="Z254" s="32"/>
      <c r="AA254" s="32"/>
      <c r="AB254" s="32"/>
      <c r="AC254" s="15"/>
      <c r="AD254" s="37"/>
      <c r="AE254" s="49"/>
    </row>
    <row r="255" spans="1:31">
      <c r="A255" s="4"/>
      <c r="B255" s="90"/>
      <c r="C255" s="42" t="s">
        <v>85</v>
      </c>
      <c r="D255" s="46">
        <v>21</v>
      </c>
      <c r="E255" s="42">
        <v>21</v>
      </c>
      <c r="F255" s="32"/>
      <c r="G255" s="32"/>
      <c r="H255" s="35"/>
      <c r="I255" s="34"/>
      <c r="J255" s="33"/>
      <c r="K255" s="33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>
        <v>21</v>
      </c>
      <c r="Y255" s="32"/>
      <c r="Z255" s="32"/>
      <c r="AA255" s="32"/>
      <c r="AB255" s="32"/>
      <c r="AC255" s="31"/>
      <c r="AD255" s="37"/>
      <c r="AE255" s="49"/>
    </row>
    <row r="256" spans="1:31">
      <c r="A256" s="4"/>
      <c r="B256" s="90"/>
      <c r="C256" s="42" t="s">
        <v>86</v>
      </c>
      <c r="D256" s="46"/>
      <c r="E256" s="42"/>
      <c r="F256" s="32"/>
      <c r="G256" s="32"/>
      <c r="H256" s="35"/>
      <c r="I256" s="34"/>
      <c r="J256" s="33"/>
      <c r="K256" s="33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1"/>
      <c r="AD256" s="37"/>
      <c r="AE256" s="49"/>
    </row>
    <row r="257" spans="1:31">
      <c r="A257" s="4"/>
      <c r="B257" s="90"/>
      <c r="C257" s="42" t="s">
        <v>87</v>
      </c>
      <c r="D257" s="46"/>
      <c r="E257" s="42"/>
      <c r="F257" s="32"/>
      <c r="G257" s="32"/>
      <c r="H257" s="35"/>
      <c r="I257" s="34"/>
      <c r="J257" s="33"/>
      <c r="K257" s="33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1"/>
      <c r="AD257" s="37"/>
      <c r="AE257" s="49"/>
    </row>
    <row r="258" spans="1:31">
      <c r="A258" s="4"/>
      <c r="B258" s="90"/>
      <c r="C258" s="42"/>
      <c r="D258" s="46"/>
      <c r="E258" s="42"/>
      <c r="F258" s="32"/>
      <c r="G258" s="32"/>
      <c r="H258" s="35"/>
      <c r="I258" s="34"/>
      <c r="J258" s="33"/>
      <c r="K258" s="33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1"/>
      <c r="AD258" s="37"/>
      <c r="AE258" s="49"/>
    </row>
    <row r="259" spans="1:31">
      <c r="A259" s="4"/>
      <c r="B259" s="90"/>
      <c r="C259" s="42"/>
      <c r="D259" s="46"/>
      <c r="E259" s="42"/>
      <c r="F259" s="32"/>
      <c r="G259" s="32"/>
      <c r="H259" s="35"/>
      <c r="I259" s="34"/>
      <c r="J259" s="33"/>
      <c r="K259" s="33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1"/>
      <c r="AD259" s="37"/>
      <c r="AE259" s="49"/>
    </row>
    <row r="260" spans="1:31">
      <c r="A260" s="4">
        <v>187</v>
      </c>
      <c r="B260" s="91"/>
      <c r="C260" s="42"/>
      <c r="D260" s="46"/>
      <c r="E260" s="42">
        <f>SUM(F260:AC260)</f>
        <v>0</v>
      </c>
      <c r="F260" s="32"/>
      <c r="G260" s="32"/>
      <c r="H260" s="35"/>
      <c r="I260" s="34"/>
      <c r="J260" s="33"/>
      <c r="K260" s="33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1"/>
      <c r="AD260" s="37"/>
      <c r="AE260" s="49"/>
    </row>
    <row r="261" spans="1:31">
      <c r="A261" s="4">
        <v>188</v>
      </c>
      <c r="B261" s="88" t="s">
        <v>11</v>
      </c>
      <c r="C261" s="42" t="s">
        <v>68</v>
      </c>
      <c r="D261" s="46">
        <v>21</v>
      </c>
      <c r="E261" s="42">
        <f t="shared" ref="E261:E273" si="16">SUM(F261:AE261)</f>
        <v>21</v>
      </c>
      <c r="F261" s="32"/>
      <c r="G261" s="32"/>
      <c r="H261" s="35">
        <v>5</v>
      </c>
      <c r="I261" s="34"/>
      <c r="J261" s="33"/>
      <c r="K261" s="33"/>
      <c r="L261" s="32"/>
      <c r="M261" s="32"/>
      <c r="N261" s="32"/>
      <c r="O261" s="32">
        <v>3</v>
      </c>
      <c r="P261" s="32"/>
      <c r="Q261" s="32"/>
      <c r="R261" s="32"/>
      <c r="S261" s="32"/>
      <c r="T261" s="32"/>
      <c r="U261" s="32">
        <v>3</v>
      </c>
      <c r="V261" s="32">
        <v>2</v>
      </c>
      <c r="W261" s="32"/>
      <c r="X261" s="32"/>
      <c r="Y261" s="32">
        <v>1</v>
      </c>
      <c r="Z261" s="32"/>
      <c r="AA261" s="32">
        <v>1</v>
      </c>
      <c r="AB261" s="32"/>
      <c r="AC261" s="31">
        <v>6</v>
      </c>
      <c r="AD261" s="37"/>
      <c r="AE261" s="49"/>
    </row>
    <row r="262" spans="1:31">
      <c r="A262" s="4">
        <v>189</v>
      </c>
      <c r="B262" s="89"/>
      <c r="C262" s="42" t="s">
        <v>69</v>
      </c>
      <c r="D262" s="46">
        <v>21</v>
      </c>
      <c r="E262" s="42">
        <f t="shared" si="16"/>
        <v>21</v>
      </c>
      <c r="F262" s="32"/>
      <c r="G262" s="32"/>
      <c r="H262" s="35"/>
      <c r="I262" s="34"/>
      <c r="J262" s="33"/>
      <c r="K262" s="33"/>
      <c r="L262" s="32"/>
      <c r="M262" s="32"/>
      <c r="N262" s="32"/>
      <c r="O262" s="32"/>
      <c r="P262" s="32"/>
      <c r="Q262" s="32"/>
      <c r="R262" s="32"/>
      <c r="S262" s="32">
        <v>10</v>
      </c>
      <c r="T262" s="32">
        <v>1</v>
      </c>
      <c r="U262" s="32"/>
      <c r="V262" s="40"/>
      <c r="W262" s="32"/>
      <c r="X262" s="32"/>
      <c r="Y262" s="32">
        <v>10</v>
      </c>
      <c r="Z262" s="32"/>
      <c r="AA262" s="32"/>
      <c r="AB262" s="32"/>
      <c r="AC262" s="31"/>
      <c r="AD262" s="37"/>
      <c r="AE262" s="49"/>
    </row>
    <row r="263" spans="1:31">
      <c r="A263" s="4">
        <v>190</v>
      </c>
      <c r="B263" s="89"/>
      <c r="C263" s="42" t="s">
        <v>70</v>
      </c>
      <c r="D263" s="46">
        <v>21</v>
      </c>
      <c r="E263" s="42">
        <f t="shared" si="16"/>
        <v>21</v>
      </c>
      <c r="F263" s="32"/>
      <c r="G263" s="32"/>
      <c r="H263" s="35"/>
      <c r="I263" s="34">
        <v>2</v>
      </c>
      <c r="J263" s="33"/>
      <c r="L263" s="32">
        <v>5</v>
      </c>
      <c r="M263" s="32"/>
      <c r="N263" s="32"/>
      <c r="O263" s="32"/>
      <c r="P263" s="32"/>
      <c r="Q263" s="31">
        <v>5</v>
      </c>
      <c r="S263" s="32"/>
      <c r="T263" s="32"/>
      <c r="U263" s="32"/>
      <c r="V263" s="40"/>
      <c r="W263" s="32"/>
      <c r="X263" s="32"/>
      <c r="Y263" s="32"/>
      <c r="Z263" s="32"/>
      <c r="AA263" s="32"/>
      <c r="AB263" s="32"/>
      <c r="AC263" s="32">
        <v>9</v>
      </c>
      <c r="AD263" s="37"/>
      <c r="AE263" s="49"/>
    </row>
    <row r="264" spans="1:31">
      <c r="A264" s="4">
        <v>191</v>
      </c>
      <c r="B264" s="89"/>
      <c r="C264" s="42" t="s">
        <v>71</v>
      </c>
      <c r="D264" s="46">
        <v>21</v>
      </c>
      <c r="E264" s="42">
        <f t="shared" si="16"/>
        <v>21</v>
      </c>
      <c r="F264" s="32"/>
      <c r="G264" s="32"/>
      <c r="H264" s="35"/>
      <c r="I264" s="34">
        <v>5</v>
      </c>
      <c r="J264" s="33"/>
      <c r="L264" s="32"/>
      <c r="M264" s="32"/>
      <c r="N264" s="32"/>
      <c r="O264" s="32">
        <v>3</v>
      </c>
      <c r="P264" s="32"/>
      <c r="Q264" s="31"/>
      <c r="R264" s="32"/>
      <c r="S264" s="32">
        <v>10</v>
      </c>
      <c r="T264" s="32"/>
      <c r="U264" s="32"/>
      <c r="V264" s="40"/>
      <c r="W264" s="32"/>
      <c r="X264" s="32"/>
      <c r="Y264" s="32"/>
      <c r="Z264" s="32"/>
      <c r="AA264" s="32">
        <v>0</v>
      </c>
      <c r="AB264" s="32"/>
      <c r="AC264" s="31"/>
      <c r="AD264" s="37">
        <v>3</v>
      </c>
      <c r="AE264" s="49"/>
    </row>
    <row r="265" spans="1:31">
      <c r="A265" s="4">
        <v>192</v>
      </c>
      <c r="B265" s="89"/>
      <c r="C265" s="42" t="s">
        <v>72</v>
      </c>
      <c r="D265" s="46">
        <v>21</v>
      </c>
      <c r="E265" s="42">
        <f t="shared" si="16"/>
        <v>21</v>
      </c>
      <c r="F265" s="32"/>
      <c r="G265" s="32"/>
      <c r="H265" s="35">
        <v>6</v>
      </c>
      <c r="I265" s="34">
        <v>4</v>
      </c>
      <c r="K265" s="33"/>
      <c r="L265" s="32"/>
      <c r="M265" s="32"/>
      <c r="N265" s="32"/>
      <c r="O265" s="32"/>
      <c r="P265" s="32"/>
      <c r="Q265" s="31">
        <v>1</v>
      </c>
      <c r="S265" s="32"/>
      <c r="T265" s="32"/>
      <c r="U265" s="32"/>
      <c r="V265" s="40">
        <v>4</v>
      </c>
      <c r="W265" s="32"/>
      <c r="X265" s="32"/>
      <c r="Y265" s="32"/>
      <c r="Z265" s="32"/>
      <c r="AA265" s="32"/>
      <c r="AB265" s="32"/>
      <c r="AC265" s="32">
        <v>6</v>
      </c>
      <c r="AD265" s="37"/>
      <c r="AE265" s="49"/>
    </row>
    <row r="266" spans="1:31">
      <c r="A266" s="4">
        <v>193</v>
      </c>
      <c r="B266" s="89"/>
      <c r="C266" s="42" t="s">
        <v>73</v>
      </c>
      <c r="D266" s="46">
        <v>21</v>
      </c>
      <c r="E266" s="42">
        <f t="shared" si="16"/>
        <v>21</v>
      </c>
      <c r="F266" s="32"/>
      <c r="G266" s="32"/>
      <c r="H266" s="35"/>
      <c r="I266" s="34">
        <v>2</v>
      </c>
      <c r="K266" s="33"/>
      <c r="L266" s="32"/>
      <c r="M266" s="32"/>
      <c r="N266" s="32"/>
      <c r="O266" s="32"/>
      <c r="P266" s="32"/>
      <c r="Q266" s="31"/>
      <c r="R266" s="32"/>
      <c r="S266" s="32">
        <v>10</v>
      </c>
      <c r="T266" s="32"/>
      <c r="U266" s="32"/>
      <c r="V266" s="32">
        <v>4</v>
      </c>
      <c r="W266" s="32"/>
      <c r="X266" s="32"/>
      <c r="Y266" s="32"/>
      <c r="Z266" s="32"/>
      <c r="AA266" s="32">
        <v>5</v>
      </c>
      <c r="AB266" s="32"/>
      <c r="AC266" s="31"/>
      <c r="AD266" s="37"/>
      <c r="AE266" s="49"/>
    </row>
    <row r="267" spans="1:31">
      <c r="A267" s="4">
        <v>194</v>
      </c>
      <c r="B267" s="89"/>
      <c r="C267" s="42" t="s">
        <v>74</v>
      </c>
      <c r="D267" s="46">
        <v>21</v>
      </c>
      <c r="E267" s="42">
        <f t="shared" si="16"/>
        <v>21</v>
      </c>
      <c r="F267" s="32"/>
      <c r="G267" s="32"/>
      <c r="H267" s="35"/>
      <c r="I267" s="34"/>
      <c r="J267" s="33"/>
      <c r="K267" s="33"/>
      <c r="L267" s="32"/>
      <c r="M267" s="32"/>
      <c r="N267" s="32"/>
      <c r="O267" s="32"/>
      <c r="P267" s="32"/>
      <c r="Q267" s="31">
        <v>6</v>
      </c>
      <c r="R267" s="32"/>
      <c r="S267" s="32">
        <v>10</v>
      </c>
      <c r="T267" s="32">
        <v>2</v>
      </c>
      <c r="U267" s="32"/>
      <c r="V267" s="40"/>
      <c r="W267" s="32"/>
      <c r="X267" s="32"/>
      <c r="Y267" s="32">
        <v>3</v>
      </c>
      <c r="Z267" s="32"/>
      <c r="AA267" s="32"/>
      <c r="AB267" s="32"/>
      <c r="AC267" s="31"/>
      <c r="AD267" s="37"/>
      <c r="AE267" s="49"/>
    </row>
    <row r="268" spans="1:31">
      <c r="A268" s="4">
        <v>195</v>
      </c>
      <c r="B268" s="89"/>
      <c r="C268" s="42" t="s">
        <v>75</v>
      </c>
      <c r="D268" s="46">
        <v>21</v>
      </c>
      <c r="E268" s="42">
        <f t="shared" si="16"/>
        <v>21</v>
      </c>
      <c r="F268" s="32"/>
      <c r="G268" s="32"/>
      <c r="H268" s="35"/>
      <c r="I268" s="34"/>
      <c r="J268" s="33"/>
      <c r="K268" s="33"/>
      <c r="L268" s="32"/>
      <c r="M268" s="32">
        <v>1</v>
      </c>
      <c r="N268" s="32"/>
      <c r="O268" s="32"/>
      <c r="P268" s="32"/>
      <c r="Q268" s="31">
        <v>9</v>
      </c>
      <c r="R268" s="32"/>
      <c r="S268" s="32">
        <v>5</v>
      </c>
      <c r="T268" s="32"/>
      <c r="U268" s="32"/>
      <c r="V268" s="40"/>
      <c r="W268" s="32"/>
      <c r="X268" s="32"/>
      <c r="Y268" s="32"/>
      <c r="Z268" s="32"/>
      <c r="AA268" s="32">
        <v>6</v>
      </c>
      <c r="AB268" s="32"/>
      <c r="AC268" s="31"/>
      <c r="AD268" s="37"/>
      <c r="AE268" s="49"/>
    </row>
    <row r="269" spans="1:31">
      <c r="A269" s="4">
        <v>196</v>
      </c>
      <c r="B269" s="89"/>
      <c r="C269" s="42" t="s">
        <v>76</v>
      </c>
      <c r="D269" s="46">
        <v>21</v>
      </c>
      <c r="E269" s="42">
        <f t="shared" si="16"/>
        <v>21</v>
      </c>
      <c r="F269" s="32"/>
      <c r="G269" s="32"/>
      <c r="H269" s="35"/>
      <c r="I269" s="34"/>
      <c r="J269" s="33"/>
      <c r="K269" s="33"/>
      <c r="L269" s="32"/>
      <c r="M269" s="32"/>
      <c r="N269" s="32"/>
      <c r="O269" s="32"/>
      <c r="P269" s="32"/>
      <c r="Q269" s="31">
        <v>5</v>
      </c>
      <c r="S269" s="32"/>
      <c r="T269" s="32"/>
      <c r="U269" s="32"/>
      <c r="V269" s="40"/>
      <c r="W269" s="32"/>
      <c r="X269" s="32"/>
      <c r="Y269" s="32">
        <v>6</v>
      </c>
      <c r="Z269" s="32"/>
      <c r="AA269" s="32"/>
      <c r="AB269" s="32"/>
      <c r="AC269" s="32">
        <v>10</v>
      </c>
      <c r="AD269" s="37"/>
      <c r="AE269" s="49"/>
    </row>
    <row r="270" spans="1:31">
      <c r="A270" s="4">
        <v>197</v>
      </c>
      <c r="B270" s="89"/>
      <c r="C270" s="42" t="s">
        <v>77</v>
      </c>
      <c r="D270" s="46">
        <v>21</v>
      </c>
      <c r="E270" s="42">
        <f t="shared" si="16"/>
        <v>21</v>
      </c>
      <c r="F270" s="32"/>
      <c r="G270" s="32"/>
      <c r="H270" s="35"/>
      <c r="I270" s="34">
        <v>7</v>
      </c>
      <c r="K270" s="33"/>
      <c r="L270" s="32"/>
      <c r="M270" s="32"/>
      <c r="N270" s="32"/>
      <c r="O270" s="32"/>
      <c r="P270" s="32"/>
      <c r="Q270" s="32"/>
      <c r="R270" s="32"/>
      <c r="S270" s="32">
        <v>8</v>
      </c>
      <c r="T270" s="32"/>
      <c r="U270" s="32">
        <v>5</v>
      </c>
      <c r="V270" s="40"/>
      <c r="W270" s="32"/>
      <c r="X270" s="32"/>
      <c r="Y270" s="32">
        <v>1</v>
      </c>
      <c r="Z270" s="32"/>
      <c r="AA270" s="32"/>
      <c r="AB270" s="32"/>
      <c r="AC270" s="31"/>
      <c r="AD270" s="37"/>
      <c r="AE270" s="49"/>
    </row>
    <row r="271" spans="1:31">
      <c r="A271" s="4">
        <v>198</v>
      </c>
      <c r="B271" s="89"/>
      <c r="C271" s="42" t="s">
        <v>78</v>
      </c>
      <c r="D271" s="46">
        <v>21</v>
      </c>
      <c r="E271" s="42">
        <f t="shared" si="16"/>
        <v>0</v>
      </c>
      <c r="F271" s="32"/>
      <c r="G271" s="32"/>
      <c r="H271" s="35"/>
      <c r="I271" s="34"/>
      <c r="J271" s="33"/>
      <c r="K271" s="33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1"/>
      <c r="AD271" s="37"/>
      <c r="AE271" s="49"/>
    </row>
    <row r="272" spans="1:31">
      <c r="A272" s="4">
        <v>199</v>
      </c>
      <c r="B272" s="89"/>
      <c r="C272" s="42" t="s">
        <v>79</v>
      </c>
      <c r="D272" s="46">
        <v>21</v>
      </c>
      <c r="E272" s="42">
        <f t="shared" si="16"/>
        <v>21</v>
      </c>
      <c r="F272" s="32"/>
      <c r="G272" s="32"/>
      <c r="H272" s="35"/>
      <c r="I272" s="34"/>
      <c r="J272" s="33"/>
      <c r="K272" s="33"/>
      <c r="L272" s="32"/>
      <c r="M272" s="32"/>
      <c r="N272" s="32"/>
      <c r="O272" s="32"/>
      <c r="P272" s="32"/>
      <c r="Q272" s="32"/>
      <c r="S272" s="32"/>
      <c r="T272" s="32"/>
      <c r="U272" s="32"/>
      <c r="V272" s="32"/>
      <c r="W272" s="32">
        <v>10</v>
      </c>
      <c r="X272" s="32"/>
      <c r="Y272" s="32"/>
      <c r="Z272" s="32"/>
      <c r="AA272" s="32"/>
      <c r="AB272" s="32"/>
      <c r="AC272" s="31"/>
      <c r="AD272" s="37"/>
      <c r="AE272" s="31">
        <v>11</v>
      </c>
    </row>
    <row r="273" spans="1:31">
      <c r="A273" s="4">
        <v>200</v>
      </c>
      <c r="B273" s="89"/>
      <c r="C273" s="43" t="s">
        <v>80</v>
      </c>
      <c r="D273" s="46"/>
      <c r="E273" s="42">
        <f t="shared" si="16"/>
        <v>0</v>
      </c>
      <c r="F273" s="32"/>
      <c r="G273" s="32"/>
      <c r="H273" s="35"/>
      <c r="I273" s="34"/>
      <c r="J273" s="33"/>
      <c r="K273" s="33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1"/>
      <c r="AD273" s="37"/>
      <c r="AE273" s="49"/>
    </row>
    <row r="274" spans="1:31">
      <c r="A274" s="4">
        <v>201</v>
      </c>
      <c r="B274" s="89"/>
      <c r="C274" s="42" t="s">
        <v>81</v>
      </c>
      <c r="D274" s="46">
        <v>21</v>
      </c>
      <c r="E274" s="42">
        <v>21</v>
      </c>
      <c r="F274" s="32"/>
      <c r="G274" s="32"/>
      <c r="H274" s="35"/>
      <c r="I274" s="34"/>
      <c r="J274" s="33"/>
      <c r="K274" s="33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>
        <v>21</v>
      </c>
      <c r="Y274" s="32"/>
      <c r="Z274" s="32"/>
      <c r="AA274" s="32"/>
      <c r="AB274" s="32"/>
      <c r="AC274" s="15"/>
      <c r="AD274" s="49"/>
    </row>
    <row r="275" spans="1:31">
      <c r="A275" s="4">
        <v>202</v>
      </c>
      <c r="B275" s="89"/>
      <c r="C275" s="42" t="s">
        <v>82</v>
      </c>
      <c r="D275" s="46">
        <v>21</v>
      </c>
      <c r="E275" s="42">
        <v>21</v>
      </c>
      <c r="F275" s="32"/>
      <c r="G275" s="32"/>
      <c r="H275" s="35"/>
      <c r="I275" s="34"/>
      <c r="J275" s="33"/>
      <c r="K275" s="33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>
        <v>21</v>
      </c>
      <c r="Y275" s="32"/>
      <c r="Z275" s="32"/>
      <c r="AA275" s="32"/>
      <c r="AB275" s="32"/>
      <c r="AC275" s="15"/>
      <c r="AD275" s="49"/>
    </row>
    <row r="276" spans="1:31">
      <c r="A276" s="4">
        <v>203</v>
      </c>
      <c r="B276" s="89"/>
      <c r="C276" s="42" t="s">
        <v>83</v>
      </c>
      <c r="D276" s="46">
        <v>21</v>
      </c>
      <c r="E276" s="42">
        <v>21</v>
      </c>
      <c r="F276" s="32"/>
      <c r="G276" s="32"/>
      <c r="H276" s="35"/>
      <c r="I276" s="34"/>
      <c r="J276" s="33"/>
      <c r="K276" s="33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>
        <v>21</v>
      </c>
      <c r="Y276" s="32"/>
      <c r="Z276" s="32"/>
      <c r="AA276" s="32"/>
      <c r="AB276" s="32"/>
      <c r="AC276" s="50"/>
      <c r="AD276" s="49"/>
    </row>
    <row r="277" spans="1:31">
      <c r="A277" s="4"/>
      <c r="B277" s="90"/>
      <c r="C277" s="42" t="s">
        <v>84</v>
      </c>
      <c r="D277" s="46">
        <v>21</v>
      </c>
      <c r="E277" s="42">
        <v>21</v>
      </c>
      <c r="F277" s="32"/>
      <c r="G277" s="32"/>
      <c r="H277" s="35"/>
      <c r="I277" s="34"/>
      <c r="J277" s="33"/>
      <c r="K277" s="33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>
        <v>21</v>
      </c>
      <c r="Y277" s="32"/>
      <c r="Z277" s="32"/>
      <c r="AA277" s="32"/>
      <c r="AB277" s="32"/>
      <c r="AC277" s="15"/>
      <c r="AD277" s="49"/>
    </row>
    <row r="278" spans="1:31">
      <c r="A278" s="4"/>
      <c r="B278" s="90"/>
      <c r="C278" s="42" t="s">
        <v>85</v>
      </c>
      <c r="D278" s="46">
        <v>21</v>
      </c>
      <c r="E278" s="42">
        <v>21</v>
      </c>
      <c r="F278" s="32"/>
      <c r="G278" s="32"/>
      <c r="H278" s="35"/>
      <c r="I278" s="34"/>
      <c r="J278" s="33"/>
      <c r="K278" s="33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>
        <v>21</v>
      </c>
      <c r="Y278" s="32"/>
      <c r="Z278" s="32"/>
      <c r="AA278" s="32"/>
      <c r="AB278" s="32"/>
      <c r="AC278" s="31"/>
      <c r="AD278" s="37"/>
      <c r="AE278" s="49"/>
    </row>
    <row r="279" spans="1:31">
      <c r="A279" s="4"/>
      <c r="B279" s="90"/>
      <c r="C279" s="42" t="s">
        <v>86</v>
      </c>
      <c r="D279" s="46"/>
      <c r="E279" s="42"/>
      <c r="F279" s="32"/>
      <c r="G279" s="32"/>
      <c r="H279" s="35"/>
      <c r="I279" s="34"/>
      <c r="J279" s="33"/>
      <c r="K279" s="33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1"/>
      <c r="AD279" s="37"/>
      <c r="AE279" s="49"/>
    </row>
    <row r="280" spans="1:31">
      <c r="A280" s="4"/>
      <c r="B280" s="90"/>
      <c r="C280" s="42" t="s">
        <v>87</v>
      </c>
      <c r="D280" s="46"/>
      <c r="E280" s="42"/>
      <c r="F280" s="32"/>
      <c r="G280" s="32"/>
      <c r="H280" s="35"/>
      <c r="I280" s="34"/>
      <c r="J280" s="33"/>
      <c r="K280" s="33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1"/>
      <c r="AD280" s="37"/>
      <c r="AE280" s="49"/>
    </row>
    <row r="281" spans="1:31">
      <c r="A281" s="4"/>
      <c r="B281" s="90"/>
      <c r="C281" s="42"/>
      <c r="D281" s="46"/>
      <c r="E281" s="42"/>
      <c r="F281" s="32"/>
      <c r="G281" s="32"/>
      <c r="H281" s="35"/>
      <c r="I281" s="34"/>
      <c r="J281" s="33"/>
      <c r="K281" s="33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1"/>
      <c r="AD281" s="37"/>
      <c r="AE281" s="49"/>
    </row>
    <row r="282" spans="1:31">
      <c r="A282" s="4"/>
      <c r="B282" s="90"/>
      <c r="C282" s="42"/>
      <c r="D282" s="46"/>
      <c r="E282" s="42"/>
      <c r="F282" s="32"/>
      <c r="G282" s="32"/>
      <c r="H282" s="35"/>
      <c r="I282" s="34"/>
      <c r="J282" s="33"/>
      <c r="K282" s="33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1"/>
      <c r="AD282" s="37"/>
      <c r="AE282" s="49"/>
    </row>
    <row r="283" spans="1:31">
      <c r="A283" s="4">
        <v>204</v>
      </c>
      <c r="B283" s="91"/>
      <c r="C283" s="42"/>
      <c r="D283" s="46"/>
      <c r="E283" s="42">
        <f>SUM(F283:AC283)</f>
        <v>0</v>
      </c>
      <c r="F283" s="32"/>
      <c r="G283" s="32"/>
      <c r="H283" s="35"/>
      <c r="I283" s="34"/>
      <c r="J283" s="33"/>
      <c r="K283" s="33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1"/>
      <c r="AD283" s="37"/>
      <c r="AE283" s="49"/>
    </row>
    <row r="284" spans="1:31">
      <c r="A284" s="4">
        <v>205</v>
      </c>
      <c r="B284" s="88" t="s">
        <v>10</v>
      </c>
      <c r="C284" s="42" t="s">
        <v>68</v>
      </c>
      <c r="D284" s="46">
        <v>21</v>
      </c>
      <c r="E284" s="32">
        <f t="shared" ref="E284:AE284" si="17">SUM(E8+E31+E54+E77+E100+E123+E146+E169+E192+E215+E238+E261)</f>
        <v>252</v>
      </c>
      <c r="F284" s="32">
        <f t="shared" si="17"/>
        <v>9</v>
      </c>
      <c r="G284" s="32">
        <f t="shared" si="17"/>
        <v>0</v>
      </c>
      <c r="H284" s="35">
        <f t="shared" si="17"/>
        <v>26</v>
      </c>
      <c r="I284" s="34">
        <f t="shared" si="17"/>
        <v>3</v>
      </c>
      <c r="J284" s="33">
        <f t="shared" si="17"/>
        <v>0</v>
      </c>
      <c r="K284" s="33">
        <f t="shared" si="17"/>
        <v>0</v>
      </c>
      <c r="L284" s="32">
        <f t="shared" si="17"/>
        <v>0</v>
      </c>
      <c r="M284" s="32">
        <f t="shared" si="17"/>
        <v>9</v>
      </c>
      <c r="N284" s="32">
        <f t="shared" si="17"/>
        <v>0</v>
      </c>
      <c r="O284" s="32">
        <f t="shared" si="17"/>
        <v>8</v>
      </c>
      <c r="P284" s="32">
        <f t="shared" si="17"/>
        <v>3</v>
      </c>
      <c r="Q284" s="32">
        <f t="shared" si="17"/>
        <v>3</v>
      </c>
      <c r="R284" s="32">
        <f t="shared" si="17"/>
        <v>0</v>
      </c>
      <c r="S284" s="32">
        <f t="shared" si="17"/>
        <v>10</v>
      </c>
      <c r="T284" s="32">
        <f t="shared" si="17"/>
        <v>36</v>
      </c>
      <c r="U284" s="32">
        <f t="shared" si="17"/>
        <v>43</v>
      </c>
      <c r="V284" s="32">
        <f t="shared" si="17"/>
        <v>60</v>
      </c>
      <c r="W284" s="32">
        <f t="shared" si="17"/>
        <v>19</v>
      </c>
      <c r="X284" s="32">
        <f t="shared" si="17"/>
        <v>0</v>
      </c>
      <c r="Y284" s="32">
        <f t="shared" si="17"/>
        <v>9</v>
      </c>
      <c r="Z284" s="32">
        <f t="shared" si="17"/>
        <v>0</v>
      </c>
      <c r="AA284" s="32">
        <f t="shared" si="17"/>
        <v>8</v>
      </c>
      <c r="AB284" s="32">
        <f t="shared" si="17"/>
        <v>0</v>
      </c>
      <c r="AC284" s="31">
        <f t="shared" si="17"/>
        <v>6</v>
      </c>
      <c r="AD284" s="30">
        <f t="shared" si="17"/>
        <v>0</v>
      </c>
      <c r="AE284" s="30">
        <f t="shared" si="17"/>
        <v>0</v>
      </c>
    </row>
    <row r="285" spans="1:31">
      <c r="A285" s="4">
        <v>206</v>
      </c>
      <c r="B285" s="89"/>
      <c r="C285" s="42" t="s">
        <v>69</v>
      </c>
      <c r="D285" s="46">
        <v>21</v>
      </c>
      <c r="E285" s="32">
        <f t="shared" ref="E285:AE285" si="18">SUM(E9+E32+E55+E78+E101+E124+E147+E170+E193+E216+E239+E262)</f>
        <v>252</v>
      </c>
      <c r="F285" s="32">
        <f t="shared" si="18"/>
        <v>0</v>
      </c>
      <c r="G285" s="32">
        <f t="shared" si="18"/>
        <v>0</v>
      </c>
      <c r="H285" s="35">
        <f t="shared" si="18"/>
        <v>24</v>
      </c>
      <c r="I285" s="34">
        <f t="shared" si="18"/>
        <v>5</v>
      </c>
      <c r="J285" s="33">
        <f t="shared" si="18"/>
        <v>0</v>
      </c>
      <c r="K285" s="33">
        <f t="shared" si="18"/>
        <v>0</v>
      </c>
      <c r="L285" s="32">
        <f t="shared" si="18"/>
        <v>0</v>
      </c>
      <c r="M285" s="32">
        <f t="shared" si="18"/>
        <v>16</v>
      </c>
      <c r="N285" s="32">
        <f t="shared" si="18"/>
        <v>0</v>
      </c>
      <c r="O285" s="32">
        <f t="shared" si="18"/>
        <v>17</v>
      </c>
      <c r="P285" s="32">
        <f t="shared" si="18"/>
        <v>2</v>
      </c>
      <c r="Q285" s="32">
        <f t="shared" si="18"/>
        <v>3</v>
      </c>
      <c r="R285" s="32">
        <f t="shared" si="18"/>
        <v>0</v>
      </c>
      <c r="S285" s="32">
        <f t="shared" si="18"/>
        <v>27</v>
      </c>
      <c r="T285" s="32">
        <f t="shared" si="18"/>
        <v>67</v>
      </c>
      <c r="U285" s="32">
        <f t="shared" si="18"/>
        <v>11</v>
      </c>
      <c r="V285" s="32">
        <f t="shared" si="18"/>
        <v>33</v>
      </c>
      <c r="W285" s="32">
        <f t="shared" si="18"/>
        <v>30</v>
      </c>
      <c r="X285" s="32">
        <f t="shared" si="18"/>
        <v>0</v>
      </c>
      <c r="Y285" s="32">
        <f t="shared" si="18"/>
        <v>10</v>
      </c>
      <c r="Z285" s="32">
        <f t="shared" si="18"/>
        <v>0</v>
      </c>
      <c r="AA285" s="32">
        <f t="shared" si="18"/>
        <v>1</v>
      </c>
      <c r="AB285" s="32">
        <f t="shared" si="18"/>
        <v>0</v>
      </c>
      <c r="AC285" s="31">
        <f t="shared" si="18"/>
        <v>6</v>
      </c>
      <c r="AD285" s="30">
        <f t="shared" si="18"/>
        <v>0</v>
      </c>
      <c r="AE285" s="30">
        <f t="shared" si="18"/>
        <v>0</v>
      </c>
    </row>
    <row r="286" spans="1:31">
      <c r="A286" s="4">
        <v>207</v>
      </c>
      <c r="B286" s="89"/>
      <c r="C286" s="42" t="s">
        <v>70</v>
      </c>
      <c r="D286" s="46">
        <v>21</v>
      </c>
      <c r="E286" s="32">
        <f t="shared" ref="E286:AE286" si="19">SUM(E10+E33+E56+E79+E102+E125+E148+E171+E194+E217+E240+E263)</f>
        <v>252</v>
      </c>
      <c r="F286" s="32">
        <f t="shared" si="19"/>
        <v>0</v>
      </c>
      <c r="G286" s="32">
        <f t="shared" si="19"/>
        <v>0</v>
      </c>
      <c r="H286" s="35">
        <f t="shared" si="19"/>
        <v>0</v>
      </c>
      <c r="I286" s="34">
        <f t="shared" si="19"/>
        <v>11</v>
      </c>
      <c r="J286" s="33">
        <f t="shared" si="19"/>
        <v>0</v>
      </c>
      <c r="K286" s="33">
        <f t="shared" si="19"/>
        <v>0</v>
      </c>
      <c r="L286" s="32">
        <f t="shared" si="19"/>
        <v>5</v>
      </c>
      <c r="M286" s="32">
        <f t="shared" si="19"/>
        <v>0</v>
      </c>
      <c r="N286" s="32">
        <f t="shared" si="19"/>
        <v>0</v>
      </c>
      <c r="O286" s="32">
        <f t="shared" si="19"/>
        <v>26</v>
      </c>
      <c r="P286" s="32">
        <f t="shared" si="19"/>
        <v>58</v>
      </c>
      <c r="Q286" s="32">
        <f t="shared" si="19"/>
        <v>48</v>
      </c>
      <c r="R286" s="32">
        <f t="shared" si="19"/>
        <v>0</v>
      </c>
      <c r="S286" s="32">
        <f t="shared" si="19"/>
        <v>0</v>
      </c>
      <c r="T286" s="32">
        <f t="shared" si="19"/>
        <v>0</v>
      </c>
      <c r="U286" s="32">
        <f t="shared" si="19"/>
        <v>0</v>
      </c>
      <c r="V286" s="32">
        <f t="shared" si="19"/>
        <v>8</v>
      </c>
      <c r="W286" s="32">
        <f t="shared" si="19"/>
        <v>0</v>
      </c>
      <c r="X286" s="32">
        <f t="shared" si="19"/>
        <v>0</v>
      </c>
      <c r="Y286" s="32">
        <f t="shared" si="19"/>
        <v>33</v>
      </c>
      <c r="Z286" s="32">
        <f t="shared" si="19"/>
        <v>23</v>
      </c>
      <c r="AA286" s="32">
        <f t="shared" si="19"/>
        <v>0</v>
      </c>
      <c r="AB286" s="32">
        <f t="shared" si="19"/>
        <v>0</v>
      </c>
      <c r="AC286" s="31">
        <f t="shared" si="19"/>
        <v>40</v>
      </c>
      <c r="AD286" s="30">
        <f t="shared" si="19"/>
        <v>0</v>
      </c>
      <c r="AE286" s="30">
        <f t="shared" si="19"/>
        <v>0</v>
      </c>
    </row>
    <row r="287" spans="1:31">
      <c r="A287" s="4">
        <v>208</v>
      </c>
      <c r="B287" s="89"/>
      <c r="C287" s="42" t="s">
        <v>71</v>
      </c>
      <c r="D287" s="46">
        <v>21</v>
      </c>
      <c r="E287" s="32">
        <f t="shared" ref="E287:AE287" si="20">SUM(E11+E34+E57+E80+E103+E126+E149+E172+E195+E218+E241+E264)</f>
        <v>252</v>
      </c>
      <c r="F287" s="32">
        <f t="shared" si="20"/>
        <v>1</v>
      </c>
      <c r="G287" s="32">
        <f t="shared" si="20"/>
        <v>2</v>
      </c>
      <c r="H287" s="35">
        <f t="shared" si="20"/>
        <v>15</v>
      </c>
      <c r="I287" s="34">
        <f t="shared" si="20"/>
        <v>22</v>
      </c>
      <c r="J287" s="33">
        <f t="shared" si="20"/>
        <v>0</v>
      </c>
      <c r="K287" s="33">
        <f t="shared" si="20"/>
        <v>0</v>
      </c>
      <c r="L287" s="32">
        <f t="shared" si="20"/>
        <v>0</v>
      </c>
      <c r="M287" s="32">
        <f t="shared" si="20"/>
        <v>6</v>
      </c>
      <c r="N287" s="32">
        <f t="shared" si="20"/>
        <v>0</v>
      </c>
      <c r="O287" s="32">
        <f t="shared" si="20"/>
        <v>30</v>
      </c>
      <c r="P287" s="32">
        <f t="shared" si="20"/>
        <v>2</v>
      </c>
      <c r="Q287" s="32">
        <f t="shared" si="20"/>
        <v>4</v>
      </c>
      <c r="R287" s="32">
        <f t="shared" si="20"/>
        <v>0</v>
      </c>
      <c r="S287" s="32">
        <f t="shared" si="20"/>
        <v>53</v>
      </c>
      <c r="T287" s="32">
        <f t="shared" si="20"/>
        <v>0</v>
      </c>
      <c r="U287" s="32">
        <f t="shared" si="20"/>
        <v>9</v>
      </c>
      <c r="V287" s="32">
        <f t="shared" si="20"/>
        <v>90</v>
      </c>
      <c r="W287" s="32">
        <f t="shared" si="20"/>
        <v>0</v>
      </c>
      <c r="X287" s="32">
        <f t="shared" si="20"/>
        <v>0</v>
      </c>
      <c r="Y287" s="32">
        <f t="shared" si="20"/>
        <v>0</v>
      </c>
      <c r="Z287" s="32">
        <f t="shared" si="20"/>
        <v>6</v>
      </c>
      <c r="AA287" s="32">
        <f t="shared" si="20"/>
        <v>9</v>
      </c>
      <c r="AB287" s="32">
        <f t="shared" si="20"/>
        <v>0</v>
      </c>
      <c r="AC287" s="31">
        <f t="shared" si="20"/>
        <v>0</v>
      </c>
      <c r="AD287" s="30">
        <f t="shared" si="20"/>
        <v>3</v>
      </c>
      <c r="AE287" s="30">
        <f t="shared" si="20"/>
        <v>0</v>
      </c>
    </row>
    <row r="288" spans="1:31">
      <c r="A288" s="4">
        <v>209</v>
      </c>
      <c r="B288" s="89"/>
      <c r="C288" s="42" t="s">
        <v>72</v>
      </c>
      <c r="D288" s="46">
        <v>21</v>
      </c>
      <c r="E288" s="32">
        <f t="shared" ref="E288:AE288" si="21">SUM(E12+E35+E58+E81+E104+E127+E150+E173+E196+E219+E242+E265)</f>
        <v>252</v>
      </c>
      <c r="F288" s="32">
        <f t="shared" si="21"/>
        <v>0</v>
      </c>
      <c r="G288" s="32">
        <f t="shared" si="21"/>
        <v>0</v>
      </c>
      <c r="H288" s="35">
        <f t="shared" si="21"/>
        <v>70</v>
      </c>
      <c r="I288" s="34">
        <f t="shared" si="21"/>
        <v>7</v>
      </c>
      <c r="J288" s="33">
        <f t="shared" si="21"/>
        <v>0</v>
      </c>
      <c r="K288" s="33">
        <f t="shared" si="21"/>
        <v>0</v>
      </c>
      <c r="L288" s="32">
        <f t="shared" si="21"/>
        <v>0</v>
      </c>
      <c r="M288" s="32">
        <f t="shared" si="21"/>
        <v>0</v>
      </c>
      <c r="N288" s="32">
        <f t="shared" si="21"/>
        <v>0</v>
      </c>
      <c r="O288" s="32">
        <f t="shared" si="21"/>
        <v>0</v>
      </c>
      <c r="P288" s="32">
        <f t="shared" si="21"/>
        <v>5</v>
      </c>
      <c r="Q288" s="32">
        <f t="shared" si="21"/>
        <v>11</v>
      </c>
      <c r="R288" s="32">
        <f t="shared" si="21"/>
        <v>0</v>
      </c>
      <c r="S288" s="32">
        <f t="shared" si="21"/>
        <v>0</v>
      </c>
      <c r="T288" s="32">
        <f t="shared" si="21"/>
        <v>0</v>
      </c>
      <c r="U288" s="32">
        <f t="shared" si="21"/>
        <v>34</v>
      </c>
      <c r="V288" s="32">
        <f t="shared" si="21"/>
        <v>63</v>
      </c>
      <c r="W288" s="32">
        <f t="shared" si="21"/>
        <v>16</v>
      </c>
      <c r="X288" s="32">
        <f t="shared" si="21"/>
        <v>0</v>
      </c>
      <c r="Y288" s="32">
        <f t="shared" si="21"/>
        <v>0</v>
      </c>
      <c r="Z288" s="32">
        <f t="shared" si="21"/>
        <v>8</v>
      </c>
      <c r="AA288" s="32">
        <f t="shared" si="21"/>
        <v>0</v>
      </c>
      <c r="AB288" s="32">
        <f t="shared" si="21"/>
        <v>0</v>
      </c>
      <c r="AC288" s="31">
        <f t="shared" si="21"/>
        <v>38</v>
      </c>
      <c r="AD288" s="30">
        <f t="shared" si="21"/>
        <v>0</v>
      </c>
      <c r="AE288" s="30">
        <f t="shared" si="21"/>
        <v>0</v>
      </c>
    </row>
    <row r="289" spans="1:31">
      <c r="A289" s="4">
        <v>210</v>
      </c>
      <c r="B289" s="89"/>
      <c r="C289" s="42" t="s">
        <v>73</v>
      </c>
      <c r="D289" s="46">
        <v>21</v>
      </c>
      <c r="E289" s="32">
        <f t="shared" ref="E289:AE289" si="22">SUM(E13+E36+E59+E82+E105+E128+E151+E174+E197+E220+E243+E266)</f>
        <v>206</v>
      </c>
      <c r="F289" s="32">
        <f t="shared" si="22"/>
        <v>0</v>
      </c>
      <c r="G289" s="32">
        <f t="shared" si="22"/>
        <v>0</v>
      </c>
      <c r="H289" s="35">
        <f t="shared" si="22"/>
        <v>5</v>
      </c>
      <c r="I289" s="34">
        <f t="shared" si="22"/>
        <v>17</v>
      </c>
      <c r="J289" s="33">
        <f t="shared" si="22"/>
        <v>0</v>
      </c>
      <c r="K289" s="33">
        <f t="shared" si="22"/>
        <v>0</v>
      </c>
      <c r="L289" s="32">
        <f t="shared" si="22"/>
        <v>21</v>
      </c>
      <c r="M289" s="32">
        <f t="shared" si="22"/>
        <v>0</v>
      </c>
      <c r="N289" s="32">
        <f t="shared" si="22"/>
        <v>0</v>
      </c>
      <c r="O289" s="32">
        <f t="shared" si="22"/>
        <v>0</v>
      </c>
      <c r="P289" s="32">
        <f t="shared" si="22"/>
        <v>0</v>
      </c>
      <c r="Q289" s="32">
        <f t="shared" si="22"/>
        <v>1</v>
      </c>
      <c r="R289" s="32">
        <f t="shared" si="22"/>
        <v>0</v>
      </c>
      <c r="S289" s="32">
        <f t="shared" si="22"/>
        <v>42</v>
      </c>
      <c r="T289" s="32">
        <f t="shared" si="22"/>
        <v>0</v>
      </c>
      <c r="U289" s="32">
        <f t="shared" si="22"/>
        <v>41</v>
      </c>
      <c r="V289" s="32">
        <f t="shared" si="22"/>
        <v>72</v>
      </c>
      <c r="W289" s="32">
        <f t="shared" si="22"/>
        <v>0</v>
      </c>
      <c r="X289" s="32">
        <f t="shared" si="22"/>
        <v>0</v>
      </c>
      <c r="Y289" s="32">
        <f t="shared" si="22"/>
        <v>0</v>
      </c>
      <c r="Z289" s="32">
        <f t="shared" si="22"/>
        <v>0</v>
      </c>
      <c r="AA289" s="32">
        <f t="shared" si="22"/>
        <v>7</v>
      </c>
      <c r="AB289" s="32">
        <f t="shared" si="22"/>
        <v>0</v>
      </c>
      <c r="AC289" s="31">
        <f t="shared" si="22"/>
        <v>0</v>
      </c>
      <c r="AD289" s="30">
        <f t="shared" si="22"/>
        <v>0</v>
      </c>
      <c r="AE289" s="30">
        <f t="shared" si="22"/>
        <v>0</v>
      </c>
    </row>
    <row r="290" spans="1:31">
      <c r="A290" s="4">
        <v>211</v>
      </c>
      <c r="B290" s="89"/>
      <c r="C290" s="42" t="s">
        <v>74</v>
      </c>
      <c r="D290" s="46">
        <v>21</v>
      </c>
      <c r="E290" s="32">
        <f t="shared" ref="E290:AE290" si="23">SUM(E14+E37+E60+E83+E106+E129+E152+E175+E198+E221+E244+E267)</f>
        <v>252</v>
      </c>
      <c r="F290" s="32">
        <f t="shared" si="23"/>
        <v>0</v>
      </c>
      <c r="G290" s="32">
        <f t="shared" si="23"/>
        <v>0</v>
      </c>
      <c r="H290" s="35">
        <f t="shared" si="23"/>
        <v>5</v>
      </c>
      <c r="I290" s="34">
        <f t="shared" si="23"/>
        <v>11</v>
      </c>
      <c r="J290" s="33">
        <f t="shared" si="23"/>
        <v>0</v>
      </c>
      <c r="K290" s="33">
        <f t="shared" si="23"/>
        <v>0</v>
      </c>
      <c r="L290" s="32">
        <f t="shared" si="23"/>
        <v>0</v>
      </c>
      <c r="M290" s="32">
        <f t="shared" si="23"/>
        <v>0</v>
      </c>
      <c r="N290" s="32">
        <f t="shared" si="23"/>
        <v>0</v>
      </c>
      <c r="O290" s="32">
        <f t="shared" si="23"/>
        <v>25</v>
      </c>
      <c r="P290" s="32">
        <f t="shared" si="23"/>
        <v>9</v>
      </c>
      <c r="Q290" s="32">
        <f t="shared" si="23"/>
        <v>27</v>
      </c>
      <c r="R290" s="32">
        <f t="shared" si="23"/>
        <v>0</v>
      </c>
      <c r="S290" s="32">
        <f t="shared" si="23"/>
        <v>34</v>
      </c>
      <c r="T290" s="32">
        <f t="shared" si="23"/>
        <v>91</v>
      </c>
      <c r="U290" s="32">
        <f t="shared" si="23"/>
        <v>3</v>
      </c>
      <c r="V290" s="32">
        <f t="shared" si="23"/>
        <v>0</v>
      </c>
      <c r="W290" s="32">
        <f t="shared" si="23"/>
        <v>0</v>
      </c>
      <c r="X290" s="32">
        <f t="shared" si="23"/>
        <v>0</v>
      </c>
      <c r="Y290" s="32">
        <f t="shared" si="23"/>
        <v>8</v>
      </c>
      <c r="Z290" s="32">
        <f t="shared" si="23"/>
        <v>0</v>
      </c>
      <c r="AA290" s="32">
        <f t="shared" si="23"/>
        <v>7</v>
      </c>
      <c r="AB290" s="32">
        <f t="shared" si="23"/>
        <v>0</v>
      </c>
      <c r="AC290" s="31">
        <f t="shared" si="23"/>
        <v>32</v>
      </c>
      <c r="AD290" s="30">
        <f t="shared" si="23"/>
        <v>0</v>
      </c>
      <c r="AE290" s="30">
        <f t="shared" si="23"/>
        <v>0</v>
      </c>
    </row>
    <row r="291" spans="1:31">
      <c r="A291" s="4">
        <v>212</v>
      </c>
      <c r="B291" s="89"/>
      <c r="C291" s="42" t="s">
        <v>75</v>
      </c>
      <c r="D291" s="46">
        <v>21</v>
      </c>
      <c r="E291" s="32">
        <f t="shared" ref="E291:AE291" si="24">SUM(E15+E38+E61+E84+E107+E130+E153+E176+E199+E222+E245+E268)</f>
        <v>252</v>
      </c>
      <c r="F291" s="32">
        <f t="shared" si="24"/>
        <v>0</v>
      </c>
      <c r="G291" s="32">
        <f t="shared" si="24"/>
        <v>0</v>
      </c>
      <c r="H291" s="35">
        <f t="shared" si="24"/>
        <v>12</v>
      </c>
      <c r="I291" s="34">
        <f t="shared" si="24"/>
        <v>45</v>
      </c>
      <c r="J291" s="33">
        <f t="shared" si="24"/>
        <v>0</v>
      </c>
      <c r="K291" s="33">
        <f t="shared" si="24"/>
        <v>0</v>
      </c>
      <c r="L291" s="32">
        <f t="shared" si="24"/>
        <v>0</v>
      </c>
      <c r="M291" s="32">
        <f t="shared" si="24"/>
        <v>29</v>
      </c>
      <c r="N291" s="32">
        <f t="shared" si="24"/>
        <v>0</v>
      </c>
      <c r="O291" s="32">
        <f t="shared" si="24"/>
        <v>14</v>
      </c>
      <c r="P291" s="32">
        <f t="shared" si="24"/>
        <v>0</v>
      </c>
      <c r="Q291" s="32">
        <f t="shared" si="24"/>
        <v>20</v>
      </c>
      <c r="R291" s="32">
        <f t="shared" si="24"/>
        <v>0</v>
      </c>
      <c r="S291" s="32">
        <f t="shared" si="24"/>
        <v>22</v>
      </c>
      <c r="T291" s="32">
        <f t="shared" si="24"/>
        <v>30</v>
      </c>
      <c r="U291" s="32">
        <f t="shared" si="24"/>
        <v>0</v>
      </c>
      <c r="V291" s="32">
        <f t="shared" si="24"/>
        <v>0</v>
      </c>
      <c r="W291" s="32">
        <f t="shared" si="24"/>
        <v>0</v>
      </c>
      <c r="X291" s="32">
        <f t="shared" si="24"/>
        <v>0</v>
      </c>
      <c r="Y291" s="32">
        <f t="shared" si="24"/>
        <v>0</v>
      </c>
      <c r="Z291" s="32">
        <f t="shared" si="24"/>
        <v>14</v>
      </c>
      <c r="AA291" s="32">
        <f t="shared" si="24"/>
        <v>53</v>
      </c>
      <c r="AB291" s="32">
        <f t="shared" si="24"/>
        <v>0</v>
      </c>
      <c r="AC291" s="31">
        <f t="shared" si="24"/>
        <v>13</v>
      </c>
      <c r="AD291" s="30">
        <f t="shared" si="24"/>
        <v>0</v>
      </c>
      <c r="AE291" s="30">
        <f t="shared" si="24"/>
        <v>0</v>
      </c>
    </row>
    <row r="292" spans="1:31">
      <c r="A292" s="4">
        <v>213</v>
      </c>
      <c r="B292" s="89"/>
      <c r="C292" s="42" t="s">
        <v>76</v>
      </c>
      <c r="D292" s="46">
        <v>21</v>
      </c>
      <c r="E292" s="32">
        <f t="shared" ref="E292:AE292" si="25">SUM(E16+E39+E62+E85+E108+E131+E154+E177+E200+E223+E246+E269)</f>
        <v>252</v>
      </c>
      <c r="F292" s="32">
        <f t="shared" si="25"/>
        <v>10</v>
      </c>
      <c r="G292" s="32">
        <f t="shared" si="25"/>
        <v>0</v>
      </c>
      <c r="H292" s="35">
        <f t="shared" si="25"/>
        <v>10</v>
      </c>
      <c r="I292" s="34">
        <f t="shared" si="25"/>
        <v>13</v>
      </c>
      <c r="J292" s="33">
        <f t="shared" si="25"/>
        <v>0</v>
      </c>
      <c r="K292" s="33">
        <f t="shared" si="25"/>
        <v>0</v>
      </c>
      <c r="L292" s="32">
        <f t="shared" si="25"/>
        <v>0</v>
      </c>
      <c r="M292" s="32">
        <f t="shared" si="25"/>
        <v>0</v>
      </c>
      <c r="N292" s="32">
        <f t="shared" si="25"/>
        <v>0</v>
      </c>
      <c r="O292" s="32">
        <f t="shared" si="25"/>
        <v>30</v>
      </c>
      <c r="P292" s="32">
        <f t="shared" si="25"/>
        <v>3</v>
      </c>
      <c r="Q292" s="32">
        <f t="shared" si="25"/>
        <v>51</v>
      </c>
      <c r="R292" s="32">
        <f t="shared" si="25"/>
        <v>0</v>
      </c>
      <c r="S292" s="32">
        <f t="shared" si="25"/>
        <v>0</v>
      </c>
      <c r="T292" s="32">
        <f t="shared" si="25"/>
        <v>0</v>
      </c>
      <c r="U292" s="32">
        <f t="shared" si="25"/>
        <v>0</v>
      </c>
      <c r="V292" s="32">
        <f t="shared" si="25"/>
        <v>49</v>
      </c>
      <c r="W292" s="32">
        <f t="shared" si="25"/>
        <v>0</v>
      </c>
      <c r="X292" s="32">
        <f t="shared" si="25"/>
        <v>0</v>
      </c>
      <c r="Y292" s="32">
        <f t="shared" si="25"/>
        <v>11</v>
      </c>
      <c r="Z292" s="32">
        <f t="shared" si="25"/>
        <v>16</v>
      </c>
      <c r="AA292" s="32">
        <f t="shared" si="25"/>
        <v>1</v>
      </c>
      <c r="AB292" s="32">
        <f t="shared" si="25"/>
        <v>0</v>
      </c>
      <c r="AC292" s="31">
        <f t="shared" si="25"/>
        <v>58</v>
      </c>
      <c r="AD292" s="30">
        <f t="shared" si="25"/>
        <v>0</v>
      </c>
      <c r="AE292" s="30">
        <f t="shared" si="25"/>
        <v>0</v>
      </c>
    </row>
    <row r="293" spans="1:31">
      <c r="A293" s="4">
        <v>214</v>
      </c>
      <c r="B293" s="89"/>
      <c r="C293" s="42" t="s">
        <v>77</v>
      </c>
      <c r="D293" s="46">
        <v>21</v>
      </c>
      <c r="E293" s="32">
        <f t="shared" ref="E293:AE293" si="26">SUM(E17+E40+E63+E86+E109+E132+E155+E178+E201+E224+E247+E270)</f>
        <v>252</v>
      </c>
      <c r="F293" s="32">
        <f t="shared" si="26"/>
        <v>0</v>
      </c>
      <c r="G293" s="32">
        <f t="shared" si="26"/>
        <v>0</v>
      </c>
      <c r="H293" s="35">
        <f t="shared" si="26"/>
        <v>2</v>
      </c>
      <c r="I293" s="34">
        <f t="shared" si="26"/>
        <v>19</v>
      </c>
      <c r="J293" s="33">
        <f t="shared" si="26"/>
        <v>0</v>
      </c>
      <c r="K293" s="33">
        <f t="shared" si="26"/>
        <v>0</v>
      </c>
      <c r="L293" s="32">
        <f t="shared" si="26"/>
        <v>15</v>
      </c>
      <c r="M293" s="32">
        <f t="shared" si="26"/>
        <v>15</v>
      </c>
      <c r="N293" s="32">
        <f t="shared" si="26"/>
        <v>0</v>
      </c>
      <c r="O293" s="32">
        <f t="shared" si="26"/>
        <v>0</v>
      </c>
      <c r="P293" s="32">
        <f t="shared" si="26"/>
        <v>0</v>
      </c>
      <c r="Q293" s="32">
        <f t="shared" si="26"/>
        <v>5</v>
      </c>
      <c r="R293" s="32">
        <f t="shared" si="26"/>
        <v>0</v>
      </c>
      <c r="S293" s="32">
        <f t="shared" si="26"/>
        <v>20</v>
      </c>
      <c r="T293" s="32">
        <f t="shared" si="26"/>
        <v>0</v>
      </c>
      <c r="U293" s="32">
        <f t="shared" si="26"/>
        <v>78</v>
      </c>
      <c r="V293" s="32">
        <f t="shared" si="26"/>
        <v>68</v>
      </c>
      <c r="W293" s="32">
        <f t="shared" si="26"/>
        <v>9</v>
      </c>
      <c r="X293" s="32">
        <f t="shared" si="26"/>
        <v>0</v>
      </c>
      <c r="Y293" s="32">
        <f t="shared" si="26"/>
        <v>6</v>
      </c>
      <c r="Z293" s="32">
        <f t="shared" si="26"/>
        <v>5</v>
      </c>
      <c r="AA293" s="32">
        <f t="shared" si="26"/>
        <v>3</v>
      </c>
      <c r="AB293" s="32">
        <f t="shared" si="26"/>
        <v>0</v>
      </c>
      <c r="AC293" s="31">
        <f t="shared" si="26"/>
        <v>7</v>
      </c>
      <c r="AD293" s="30">
        <f t="shared" si="26"/>
        <v>0</v>
      </c>
      <c r="AE293" s="30">
        <f t="shared" si="26"/>
        <v>0</v>
      </c>
    </row>
    <row r="294" spans="1:31">
      <c r="A294" s="4">
        <v>215</v>
      </c>
      <c r="B294" s="89"/>
      <c r="C294" s="42" t="s">
        <v>78</v>
      </c>
      <c r="D294" s="46">
        <v>21</v>
      </c>
      <c r="E294" s="32">
        <f t="shared" ref="E294:AE294" si="27">SUM(E18+E41+E64+E87+E110+E133+E156+E179+E202+E225+E248+E271)</f>
        <v>52</v>
      </c>
      <c r="F294" s="32">
        <f t="shared" si="27"/>
        <v>0</v>
      </c>
      <c r="G294" s="32">
        <f t="shared" si="27"/>
        <v>0</v>
      </c>
      <c r="H294" s="35">
        <f t="shared" si="27"/>
        <v>0</v>
      </c>
      <c r="I294" s="34">
        <f t="shared" si="27"/>
        <v>0</v>
      </c>
      <c r="J294" s="33">
        <f t="shared" si="27"/>
        <v>0</v>
      </c>
      <c r="K294" s="33">
        <f t="shared" si="27"/>
        <v>0</v>
      </c>
      <c r="L294" s="32">
        <f t="shared" si="27"/>
        <v>0</v>
      </c>
      <c r="M294" s="32">
        <f t="shared" si="27"/>
        <v>0</v>
      </c>
      <c r="N294" s="32">
        <f t="shared" si="27"/>
        <v>0</v>
      </c>
      <c r="O294" s="32">
        <f t="shared" si="27"/>
        <v>0</v>
      </c>
      <c r="P294" s="32">
        <f t="shared" si="27"/>
        <v>0</v>
      </c>
      <c r="Q294" s="32">
        <f t="shared" si="27"/>
        <v>1</v>
      </c>
      <c r="R294" s="32">
        <f t="shared" si="27"/>
        <v>0</v>
      </c>
      <c r="S294" s="32">
        <f t="shared" si="27"/>
        <v>0</v>
      </c>
      <c r="T294" s="32">
        <f t="shared" si="27"/>
        <v>0</v>
      </c>
      <c r="U294" s="32">
        <f t="shared" si="27"/>
        <v>0</v>
      </c>
      <c r="V294" s="32">
        <f t="shared" si="27"/>
        <v>0</v>
      </c>
      <c r="W294" s="32">
        <f t="shared" si="27"/>
        <v>51</v>
      </c>
      <c r="X294" s="32">
        <f t="shared" si="27"/>
        <v>0</v>
      </c>
      <c r="Y294" s="32">
        <f t="shared" si="27"/>
        <v>0</v>
      </c>
      <c r="Z294" s="32">
        <f t="shared" si="27"/>
        <v>0</v>
      </c>
      <c r="AA294" s="32">
        <f t="shared" si="27"/>
        <v>0</v>
      </c>
      <c r="AB294" s="32">
        <f t="shared" si="27"/>
        <v>0</v>
      </c>
      <c r="AC294" s="31">
        <f t="shared" si="27"/>
        <v>0</v>
      </c>
      <c r="AD294" s="30">
        <f t="shared" si="27"/>
        <v>0</v>
      </c>
      <c r="AE294" s="30">
        <f t="shared" si="27"/>
        <v>0</v>
      </c>
    </row>
    <row r="295" spans="1:31">
      <c r="A295" s="4">
        <v>216</v>
      </c>
      <c r="B295" s="89"/>
      <c r="C295" s="42" t="s">
        <v>79</v>
      </c>
      <c r="D295" s="46">
        <v>21</v>
      </c>
      <c r="E295" s="32">
        <f t="shared" ref="E295:AE295" si="28">SUM(E19+E42+E65+E88+E111+E134+E157+E180+E203+E226+E249+E272)</f>
        <v>126</v>
      </c>
      <c r="F295" s="32">
        <f t="shared" si="28"/>
        <v>0</v>
      </c>
      <c r="G295" s="32">
        <f t="shared" si="28"/>
        <v>0</v>
      </c>
      <c r="H295" s="35">
        <f t="shared" si="28"/>
        <v>11</v>
      </c>
      <c r="I295" s="34">
        <f t="shared" si="28"/>
        <v>0</v>
      </c>
      <c r="J295" s="33">
        <f t="shared" si="28"/>
        <v>0</v>
      </c>
      <c r="K295" s="33">
        <f t="shared" si="28"/>
        <v>0</v>
      </c>
      <c r="L295" s="32">
        <f t="shared" si="28"/>
        <v>0</v>
      </c>
      <c r="M295" s="32">
        <f t="shared" si="28"/>
        <v>0</v>
      </c>
      <c r="N295" s="32">
        <f t="shared" si="28"/>
        <v>0</v>
      </c>
      <c r="O295" s="32">
        <f t="shared" si="28"/>
        <v>0</v>
      </c>
      <c r="P295" s="32">
        <f t="shared" si="28"/>
        <v>0</v>
      </c>
      <c r="Q295" s="32">
        <f t="shared" si="28"/>
        <v>0</v>
      </c>
      <c r="R295" s="32">
        <f t="shared" si="28"/>
        <v>0</v>
      </c>
      <c r="S295" s="32">
        <f t="shared" si="28"/>
        <v>0</v>
      </c>
      <c r="T295" s="32">
        <f t="shared" si="28"/>
        <v>0</v>
      </c>
      <c r="U295" s="32">
        <f t="shared" si="28"/>
        <v>0</v>
      </c>
      <c r="V295" s="32">
        <f t="shared" si="28"/>
        <v>0</v>
      </c>
      <c r="W295" s="32">
        <f t="shared" si="28"/>
        <v>92</v>
      </c>
      <c r="X295" s="32">
        <f t="shared" si="28"/>
        <v>0</v>
      </c>
      <c r="Y295" s="32">
        <f t="shared" si="28"/>
        <v>1</v>
      </c>
      <c r="Z295" s="32">
        <f t="shared" si="28"/>
        <v>0</v>
      </c>
      <c r="AA295" s="32">
        <f t="shared" si="28"/>
        <v>0</v>
      </c>
      <c r="AB295" s="32">
        <f t="shared" si="28"/>
        <v>0</v>
      </c>
      <c r="AC295" s="31">
        <f t="shared" si="28"/>
        <v>11</v>
      </c>
      <c r="AD295" s="30">
        <f t="shared" si="28"/>
        <v>0</v>
      </c>
      <c r="AE295" s="30">
        <f t="shared" si="28"/>
        <v>11</v>
      </c>
    </row>
    <row r="296" spans="1:31">
      <c r="A296" s="4">
        <v>217</v>
      </c>
      <c r="B296" s="89"/>
      <c r="C296" s="43" t="s">
        <v>80</v>
      </c>
      <c r="D296" s="46">
        <v>21</v>
      </c>
      <c r="E296" s="32">
        <f>SUM(E20+E43+E66+E89+E112+E135+E158+E181+E204+E227+E250+E273)</f>
        <v>189</v>
      </c>
      <c r="F296" s="32"/>
      <c r="G296" s="32">
        <f t="shared" ref="G296:AE296" si="29">SUM(G20+G43+G66+G89+G112+G135+G158+G181+G204+G227+G250+G273)</f>
        <v>0</v>
      </c>
      <c r="H296" s="35">
        <f t="shared" si="29"/>
        <v>0</v>
      </c>
      <c r="I296" s="34">
        <f t="shared" si="29"/>
        <v>0</v>
      </c>
      <c r="J296" s="33">
        <f t="shared" si="29"/>
        <v>0</v>
      </c>
      <c r="K296" s="33">
        <f t="shared" si="29"/>
        <v>0</v>
      </c>
      <c r="L296" s="32">
        <f t="shared" si="29"/>
        <v>0</v>
      </c>
      <c r="M296" s="32">
        <f t="shared" si="29"/>
        <v>0</v>
      </c>
      <c r="N296" s="32">
        <f t="shared" si="29"/>
        <v>0</v>
      </c>
      <c r="O296" s="32">
        <f t="shared" si="29"/>
        <v>0</v>
      </c>
      <c r="P296" s="32">
        <f t="shared" si="29"/>
        <v>0</v>
      </c>
      <c r="Q296" s="32">
        <f t="shared" si="29"/>
        <v>0</v>
      </c>
      <c r="R296" s="32">
        <f t="shared" si="29"/>
        <v>0</v>
      </c>
      <c r="S296" s="32">
        <f t="shared" si="29"/>
        <v>10</v>
      </c>
      <c r="T296" s="32">
        <f t="shared" si="29"/>
        <v>0</v>
      </c>
      <c r="U296" s="32">
        <f t="shared" si="29"/>
        <v>0</v>
      </c>
      <c r="V296" s="32">
        <f t="shared" si="29"/>
        <v>0</v>
      </c>
      <c r="W296" s="32">
        <f t="shared" si="29"/>
        <v>0</v>
      </c>
      <c r="X296" s="32">
        <f t="shared" si="29"/>
        <v>179</v>
      </c>
      <c r="Y296" s="32">
        <f t="shared" si="29"/>
        <v>0</v>
      </c>
      <c r="Z296" s="32">
        <f t="shared" si="29"/>
        <v>0</v>
      </c>
      <c r="AA296" s="32">
        <f t="shared" si="29"/>
        <v>0</v>
      </c>
      <c r="AB296" s="32">
        <f t="shared" si="29"/>
        <v>0</v>
      </c>
      <c r="AC296" s="31">
        <f t="shared" si="29"/>
        <v>0</v>
      </c>
      <c r="AD296" s="30">
        <f t="shared" si="29"/>
        <v>0</v>
      </c>
      <c r="AE296" s="30">
        <f t="shared" si="29"/>
        <v>0</v>
      </c>
    </row>
    <row r="297" spans="1:31">
      <c r="A297" s="4">
        <v>218</v>
      </c>
      <c r="B297" s="89"/>
      <c r="C297" s="42" t="s">
        <v>81</v>
      </c>
      <c r="D297" s="46"/>
      <c r="E297" s="32">
        <f>SUM(E21+E44+E67+E90+E113+E136+E159+E182+E205+E228+E251+E274)</f>
        <v>252</v>
      </c>
      <c r="F297" s="32">
        <f t="shared" ref="F297:U297" si="30">SUM(F21+F44+F67+F90+F113+F136+F159+F182+F205+F228+F251+F274)</f>
        <v>0</v>
      </c>
      <c r="G297" s="32">
        <f t="shared" si="30"/>
        <v>0</v>
      </c>
      <c r="H297" s="35">
        <f t="shared" si="30"/>
        <v>0</v>
      </c>
      <c r="I297" s="34">
        <f t="shared" si="30"/>
        <v>0</v>
      </c>
      <c r="J297" s="33">
        <f t="shared" si="30"/>
        <v>0</v>
      </c>
      <c r="K297" s="33">
        <f t="shared" si="30"/>
        <v>0</v>
      </c>
      <c r="L297" s="32">
        <f t="shared" si="30"/>
        <v>0</v>
      </c>
      <c r="M297" s="32">
        <f t="shared" si="30"/>
        <v>0</v>
      </c>
      <c r="N297" s="32">
        <f t="shared" si="30"/>
        <v>0</v>
      </c>
      <c r="O297" s="32">
        <f t="shared" si="30"/>
        <v>0</v>
      </c>
      <c r="P297" s="32">
        <f t="shared" si="30"/>
        <v>0</v>
      </c>
      <c r="Q297" s="32">
        <f t="shared" si="30"/>
        <v>0</v>
      </c>
      <c r="R297" s="32">
        <f t="shared" si="30"/>
        <v>0</v>
      </c>
      <c r="S297" s="32">
        <f t="shared" si="30"/>
        <v>0</v>
      </c>
      <c r="T297" s="32">
        <f t="shared" si="30"/>
        <v>0</v>
      </c>
      <c r="U297" s="32">
        <f t="shared" si="30"/>
        <v>0</v>
      </c>
      <c r="V297" s="32"/>
      <c r="W297" s="32">
        <f t="shared" ref="W297:AE297" si="31">SUM(W21+W44+W67+W90+W113+W136+W159+W182+W205+W228+W251+W274)</f>
        <v>0</v>
      </c>
      <c r="X297" s="32">
        <f t="shared" si="31"/>
        <v>252</v>
      </c>
      <c r="Y297" s="32">
        <f t="shared" si="31"/>
        <v>0</v>
      </c>
      <c r="Z297" s="32">
        <f t="shared" si="31"/>
        <v>0</v>
      </c>
      <c r="AA297" s="32">
        <f t="shared" si="31"/>
        <v>0</v>
      </c>
      <c r="AB297" s="32">
        <f t="shared" si="31"/>
        <v>0</v>
      </c>
      <c r="AC297" s="31">
        <f t="shared" si="31"/>
        <v>0</v>
      </c>
      <c r="AD297" s="30">
        <f t="shared" si="31"/>
        <v>0</v>
      </c>
      <c r="AE297" s="30">
        <f t="shared" si="31"/>
        <v>0</v>
      </c>
    </row>
    <row r="298" spans="1:31">
      <c r="A298" s="4">
        <v>219</v>
      </c>
      <c r="B298" s="89"/>
      <c r="C298" s="42" t="s">
        <v>82</v>
      </c>
      <c r="D298" s="46"/>
      <c r="E298" s="32">
        <f>SUM(E22+E45+E68+E91+E114+E137+E160+E183+E206+E229+E252+E275)</f>
        <v>252</v>
      </c>
      <c r="F298" s="32">
        <f t="shared" ref="F298:U298" si="32">SUM(F22+F45+F68+F91+F114+F137+F160+F183+F206+F229+F252+F275)</f>
        <v>0</v>
      </c>
      <c r="G298" s="32">
        <f t="shared" si="32"/>
        <v>0</v>
      </c>
      <c r="H298" s="35">
        <f t="shared" si="32"/>
        <v>0</v>
      </c>
      <c r="I298" s="34">
        <f t="shared" si="32"/>
        <v>0</v>
      </c>
      <c r="J298" s="33">
        <f t="shared" si="32"/>
        <v>0</v>
      </c>
      <c r="K298" s="33">
        <f t="shared" si="32"/>
        <v>0</v>
      </c>
      <c r="L298" s="32">
        <f t="shared" si="32"/>
        <v>0</v>
      </c>
      <c r="M298" s="32">
        <f t="shared" si="32"/>
        <v>0</v>
      </c>
      <c r="N298" s="32">
        <f t="shared" si="32"/>
        <v>0</v>
      </c>
      <c r="O298" s="32">
        <f t="shared" si="32"/>
        <v>0</v>
      </c>
      <c r="P298" s="32">
        <f t="shared" si="32"/>
        <v>0</v>
      </c>
      <c r="Q298" s="32">
        <f t="shared" si="32"/>
        <v>0</v>
      </c>
      <c r="R298" s="32">
        <f t="shared" si="32"/>
        <v>0</v>
      </c>
      <c r="S298" s="32">
        <f t="shared" si="32"/>
        <v>0</v>
      </c>
      <c r="T298" s="32">
        <f t="shared" si="32"/>
        <v>0</v>
      </c>
      <c r="U298" s="32">
        <f t="shared" si="32"/>
        <v>0</v>
      </c>
      <c r="V298" s="32">
        <f>SUM(V22+V45+V68+V91+V114+V137+V160+V183+V206+V229+V252+V275)</f>
        <v>0</v>
      </c>
      <c r="W298" s="32">
        <f t="shared" ref="W298:AE298" si="33">SUM(W22+W45+W68+W91+W114+W137+W160+W183+W206+W229+W252+W275)</f>
        <v>0</v>
      </c>
      <c r="X298" s="32">
        <f t="shared" si="33"/>
        <v>252</v>
      </c>
      <c r="Y298" s="32">
        <f t="shared" si="33"/>
        <v>0</v>
      </c>
      <c r="Z298" s="32">
        <f t="shared" si="33"/>
        <v>0</v>
      </c>
      <c r="AA298" s="32">
        <f t="shared" si="33"/>
        <v>0</v>
      </c>
      <c r="AB298" s="32">
        <f t="shared" si="33"/>
        <v>0</v>
      </c>
      <c r="AC298" s="31">
        <f t="shared" si="33"/>
        <v>0</v>
      </c>
      <c r="AD298" s="30">
        <f t="shared" si="33"/>
        <v>0</v>
      </c>
      <c r="AE298" s="30">
        <f t="shared" si="33"/>
        <v>0</v>
      </c>
    </row>
    <row r="299" spans="1:31">
      <c r="A299" s="4">
        <v>220</v>
      </c>
      <c r="B299" s="89"/>
      <c r="C299" s="42" t="s">
        <v>83</v>
      </c>
      <c r="D299" s="46"/>
      <c r="E299" s="32">
        <f>SUM(E23+E46+E69+E92+E115+E138+E161+E184+E207+E230+E253+E276)</f>
        <v>252</v>
      </c>
      <c r="F299" s="32">
        <f t="shared" ref="F299:U299" si="34">SUM(F23+F46+F69+F92+F115+F138+F161+F184+F207+F230+F253+F276)</f>
        <v>0</v>
      </c>
      <c r="G299" s="32">
        <f t="shared" si="34"/>
        <v>0</v>
      </c>
      <c r="H299" s="35">
        <f t="shared" si="34"/>
        <v>0</v>
      </c>
      <c r="I299" s="34">
        <f t="shared" si="34"/>
        <v>0</v>
      </c>
      <c r="J299" s="33">
        <f t="shared" si="34"/>
        <v>0</v>
      </c>
      <c r="K299" s="33">
        <f t="shared" si="34"/>
        <v>0</v>
      </c>
      <c r="L299" s="32">
        <f t="shared" si="34"/>
        <v>0</v>
      </c>
      <c r="M299" s="32">
        <f t="shared" si="34"/>
        <v>0</v>
      </c>
      <c r="N299" s="32">
        <f t="shared" si="34"/>
        <v>0</v>
      </c>
      <c r="O299" s="32">
        <f t="shared" si="34"/>
        <v>0</v>
      </c>
      <c r="P299" s="32">
        <f t="shared" si="34"/>
        <v>0</v>
      </c>
      <c r="Q299" s="32">
        <f t="shared" si="34"/>
        <v>0</v>
      </c>
      <c r="R299" s="32">
        <f t="shared" si="34"/>
        <v>0</v>
      </c>
      <c r="S299" s="32">
        <f t="shared" si="34"/>
        <v>0</v>
      </c>
      <c r="T299" s="32">
        <f t="shared" si="34"/>
        <v>0</v>
      </c>
      <c r="U299" s="32">
        <f t="shared" si="34"/>
        <v>0</v>
      </c>
      <c r="V299" s="32">
        <f>SUM(V23+V46+V69+V92+V115+V138+V161+V184+V207+V230+V253+V276)</f>
        <v>0</v>
      </c>
      <c r="W299" s="32">
        <f t="shared" ref="W299:AE299" si="35">SUM(W23+W46+W69+W92+W115+W138+W161+W184+W207+W230+W253+W276)</f>
        <v>0</v>
      </c>
      <c r="X299" s="32">
        <f t="shared" si="35"/>
        <v>252</v>
      </c>
      <c r="Y299" s="32">
        <f t="shared" si="35"/>
        <v>0</v>
      </c>
      <c r="Z299" s="32">
        <f t="shared" si="35"/>
        <v>0</v>
      </c>
      <c r="AA299" s="32">
        <f t="shared" si="35"/>
        <v>0</v>
      </c>
      <c r="AB299" s="32">
        <f t="shared" si="35"/>
        <v>0</v>
      </c>
      <c r="AC299" s="31">
        <f t="shared" si="35"/>
        <v>0</v>
      </c>
      <c r="AD299" s="30">
        <f t="shared" si="35"/>
        <v>0</v>
      </c>
      <c r="AE299" s="30">
        <f t="shared" si="35"/>
        <v>0</v>
      </c>
    </row>
    <row r="300" spans="1:31">
      <c r="A300" s="4">
        <v>221</v>
      </c>
      <c r="B300" s="91"/>
      <c r="C300" s="42" t="s">
        <v>84</v>
      </c>
      <c r="D300" s="46"/>
      <c r="E300" s="32">
        <f>SUM(E24+E47+E70+E93+E122+E145+E168+E191+E214+E237+E260+E283)</f>
        <v>84</v>
      </c>
      <c r="F300" s="32">
        <f t="shared" ref="F300:U300" si="36">SUM(F24+F47+F70+F93+F116+F139+F162+F185+F208+F231+F254+F277)</f>
        <v>0</v>
      </c>
      <c r="G300" s="32">
        <f t="shared" si="36"/>
        <v>0</v>
      </c>
      <c r="H300" s="35">
        <f t="shared" si="36"/>
        <v>0</v>
      </c>
      <c r="I300" s="34">
        <f t="shared" si="36"/>
        <v>0</v>
      </c>
      <c r="J300" s="33">
        <f t="shared" si="36"/>
        <v>0</v>
      </c>
      <c r="K300" s="33">
        <f t="shared" si="36"/>
        <v>0</v>
      </c>
      <c r="L300" s="32">
        <f t="shared" si="36"/>
        <v>0</v>
      </c>
      <c r="M300" s="32">
        <f t="shared" si="36"/>
        <v>0</v>
      </c>
      <c r="N300" s="32">
        <f t="shared" si="36"/>
        <v>0</v>
      </c>
      <c r="O300" s="32">
        <f t="shared" si="36"/>
        <v>0</v>
      </c>
      <c r="P300" s="32">
        <f t="shared" si="36"/>
        <v>0</v>
      </c>
      <c r="Q300" s="32">
        <f t="shared" si="36"/>
        <v>0</v>
      </c>
      <c r="R300" s="32">
        <f t="shared" si="36"/>
        <v>0</v>
      </c>
      <c r="S300" s="32">
        <f t="shared" si="36"/>
        <v>0</v>
      </c>
      <c r="T300" s="32">
        <f t="shared" si="36"/>
        <v>0</v>
      </c>
      <c r="U300" s="32">
        <f t="shared" si="36"/>
        <v>0</v>
      </c>
      <c r="V300" s="32">
        <f>SUM(V24+V47+V70+V93+V116+V139+V162+V185+V208+V231+V254+V277)</f>
        <v>0</v>
      </c>
      <c r="W300" s="32">
        <f t="shared" ref="W300:AE300" si="37">SUM(W24+W47+W70+W93+W116+W139+W162+W185+W208+W231+W254+W277)</f>
        <v>0</v>
      </c>
      <c r="X300" s="32">
        <f t="shared" si="37"/>
        <v>252</v>
      </c>
      <c r="Y300" s="32">
        <f t="shared" si="37"/>
        <v>0</v>
      </c>
      <c r="Z300" s="32">
        <f t="shared" si="37"/>
        <v>0</v>
      </c>
      <c r="AA300" s="32">
        <f t="shared" si="37"/>
        <v>0</v>
      </c>
      <c r="AB300" s="32">
        <f t="shared" si="37"/>
        <v>0</v>
      </c>
      <c r="AC300" s="31">
        <f t="shared" si="37"/>
        <v>0</v>
      </c>
      <c r="AD300" s="30">
        <f t="shared" si="37"/>
        <v>0</v>
      </c>
      <c r="AE300" s="30">
        <f t="shared" si="37"/>
        <v>0</v>
      </c>
    </row>
    <row r="301" spans="1:31" ht="15.75" customHeight="1">
      <c r="A301" s="4">
        <v>222</v>
      </c>
      <c r="B301" s="110" t="s">
        <v>9</v>
      </c>
      <c r="C301" s="98" t="s">
        <v>6</v>
      </c>
      <c r="D301" s="99"/>
      <c r="E301" s="100"/>
      <c r="F301" s="40"/>
      <c r="G301" s="40"/>
      <c r="H301" s="41"/>
      <c r="I301" s="33"/>
      <c r="J301" s="33"/>
      <c r="K301" s="3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39"/>
      <c r="AD301" s="37"/>
      <c r="AE301" s="49"/>
    </row>
    <row r="302" spans="1:31" ht="15.75" customHeight="1">
      <c r="A302" s="4">
        <v>223</v>
      </c>
      <c r="B302" s="105"/>
      <c r="C302" s="42" t="s">
        <v>68</v>
      </c>
      <c r="D302" s="42">
        <v>31000</v>
      </c>
      <c r="E302" s="32">
        <f t="shared" ref="E302:AE302" si="38">ROUND(E284/21*$D302,2)</f>
        <v>372000</v>
      </c>
      <c r="F302" s="32">
        <f t="shared" si="38"/>
        <v>13285.71</v>
      </c>
      <c r="G302" s="32">
        <f t="shared" si="38"/>
        <v>0</v>
      </c>
      <c r="H302" s="35">
        <f t="shared" si="38"/>
        <v>38380.949999999997</v>
      </c>
      <c r="I302" s="34">
        <f t="shared" si="38"/>
        <v>4428.57</v>
      </c>
      <c r="J302" s="33">
        <f t="shared" si="38"/>
        <v>0</v>
      </c>
      <c r="K302" s="33">
        <f t="shared" si="38"/>
        <v>0</v>
      </c>
      <c r="L302" s="32">
        <f t="shared" si="38"/>
        <v>0</v>
      </c>
      <c r="M302" s="32">
        <f t="shared" si="38"/>
        <v>13285.71</v>
      </c>
      <c r="N302" s="32">
        <f t="shared" si="38"/>
        <v>0</v>
      </c>
      <c r="O302" s="32">
        <f t="shared" si="38"/>
        <v>11809.52</v>
      </c>
      <c r="P302" s="32">
        <f t="shared" si="38"/>
        <v>4428.57</v>
      </c>
      <c r="Q302" s="32">
        <f t="shared" si="38"/>
        <v>4428.57</v>
      </c>
      <c r="R302" s="32">
        <f t="shared" si="38"/>
        <v>0</v>
      </c>
      <c r="S302" s="32">
        <f t="shared" si="38"/>
        <v>14761.9</v>
      </c>
      <c r="T302" s="32">
        <f t="shared" si="38"/>
        <v>53142.86</v>
      </c>
      <c r="U302" s="32">
        <f t="shared" si="38"/>
        <v>63476.19</v>
      </c>
      <c r="V302" s="32">
        <f t="shared" si="38"/>
        <v>88571.43</v>
      </c>
      <c r="W302" s="32">
        <f t="shared" si="38"/>
        <v>28047.62</v>
      </c>
      <c r="X302" s="32">
        <f t="shared" si="38"/>
        <v>0</v>
      </c>
      <c r="Y302" s="32">
        <f t="shared" si="38"/>
        <v>13285.71</v>
      </c>
      <c r="Z302" s="32">
        <f t="shared" si="38"/>
        <v>0</v>
      </c>
      <c r="AA302" s="32">
        <f t="shared" si="38"/>
        <v>11809.52</v>
      </c>
      <c r="AB302" s="32">
        <f t="shared" si="38"/>
        <v>0</v>
      </c>
      <c r="AC302" s="31">
        <f t="shared" si="38"/>
        <v>8857.14</v>
      </c>
      <c r="AD302" s="30">
        <f t="shared" si="38"/>
        <v>0</v>
      </c>
      <c r="AE302" s="30">
        <f t="shared" si="38"/>
        <v>0</v>
      </c>
    </row>
    <row r="303" spans="1:31" ht="15.75" customHeight="1">
      <c r="A303" s="4">
        <v>224</v>
      </c>
      <c r="B303" s="105"/>
      <c r="C303" s="42" t="s">
        <v>69</v>
      </c>
      <c r="D303" s="42">
        <v>31000</v>
      </c>
      <c r="E303" s="32">
        <f t="shared" ref="E303:AE303" si="39">ROUND(E285/21*$D303,2)</f>
        <v>372000</v>
      </c>
      <c r="F303" s="32">
        <f t="shared" si="39"/>
        <v>0</v>
      </c>
      <c r="G303" s="32">
        <f t="shared" si="39"/>
        <v>0</v>
      </c>
      <c r="H303" s="35">
        <f t="shared" si="39"/>
        <v>35428.57</v>
      </c>
      <c r="I303" s="34">
        <f t="shared" si="39"/>
        <v>7380.95</v>
      </c>
      <c r="J303" s="33">
        <f t="shared" si="39"/>
        <v>0</v>
      </c>
      <c r="K303" s="33">
        <f t="shared" si="39"/>
        <v>0</v>
      </c>
      <c r="L303" s="32">
        <f t="shared" si="39"/>
        <v>0</v>
      </c>
      <c r="M303" s="32">
        <f t="shared" si="39"/>
        <v>23619.05</v>
      </c>
      <c r="N303" s="32">
        <f t="shared" si="39"/>
        <v>0</v>
      </c>
      <c r="O303" s="32">
        <f t="shared" si="39"/>
        <v>25095.24</v>
      </c>
      <c r="P303" s="32">
        <f t="shared" si="39"/>
        <v>2952.38</v>
      </c>
      <c r="Q303" s="32">
        <f t="shared" si="39"/>
        <v>4428.57</v>
      </c>
      <c r="R303" s="32">
        <f t="shared" si="39"/>
        <v>0</v>
      </c>
      <c r="S303" s="32">
        <f t="shared" si="39"/>
        <v>39857.14</v>
      </c>
      <c r="T303" s="32">
        <f t="shared" si="39"/>
        <v>98904.76</v>
      </c>
      <c r="U303" s="32">
        <f t="shared" si="39"/>
        <v>16238.1</v>
      </c>
      <c r="V303" s="32">
        <f t="shared" si="39"/>
        <v>48714.29</v>
      </c>
      <c r="W303" s="32">
        <f t="shared" si="39"/>
        <v>44285.71</v>
      </c>
      <c r="X303" s="32">
        <f t="shared" si="39"/>
        <v>0</v>
      </c>
      <c r="Y303" s="32">
        <f t="shared" si="39"/>
        <v>14761.9</v>
      </c>
      <c r="Z303" s="32">
        <f t="shared" si="39"/>
        <v>0</v>
      </c>
      <c r="AA303" s="32">
        <f t="shared" si="39"/>
        <v>1476.19</v>
      </c>
      <c r="AB303" s="32">
        <f t="shared" si="39"/>
        <v>0</v>
      </c>
      <c r="AC303" s="31">
        <f t="shared" si="39"/>
        <v>8857.14</v>
      </c>
      <c r="AD303" s="30">
        <f t="shared" si="39"/>
        <v>0</v>
      </c>
      <c r="AE303" s="30">
        <f t="shared" si="39"/>
        <v>0</v>
      </c>
    </row>
    <row r="304" spans="1:31" ht="15.75" customHeight="1">
      <c r="A304" s="4">
        <v>225</v>
      </c>
      <c r="B304" s="105"/>
      <c r="C304" s="42" t="s">
        <v>70</v>
      </c>
      <c r="D304" s="42">
        <v>31000</v>
      </c>
      <c r="E304" s="32">
        <f t="shared" ref="E304:AE304" si="40">ROUND(E286/21*$D304,2)</f>
        <v>372000</v>
      </c>
      <c r="F304" s="32">
        <f t="shared" si="40"/>
        <v>0</v>
      </c>
      <c r="G304" s="32">
        <f t="shared" si="40"/>
        <v>0</v>
      </c>
      <c r="H304" s="35">
        <f t="shared" si="40"/>
        <v>0</v>
      </c>
      <c r="I304" s="34">
        <f t="shared" si="40"/>
        <v>16238.1</v>
      </c>
      <c r="J304" s="33">
        <f t="shared" si="40"/>
        <v>0</v>
      </c>
      <c r="K304" s="33">
        <f t="shared" si="40"/>
        <v>0</v>
      </c>
      <c r="L304" s="32">
        <f t="shared" si="40"/>
        <v>7380.95</v>
      </c>
      <c r="M304" s="32">
        <f t="shared" si="40"/>
        <v>0</v>
      </c>
      <c r="N304" s="32">
        <f t="shared" si="40"/>
        <v>0</v>
      </c>
      <c r="O304" s="32">
        <f t="shared" si="40"/>
        <v>38380.949999999997</v>
      </c>
      <c r="P304" s="32">
        <f t="shared" si="40"/>
        <v>85619.05</v>
      </c>
      <c r="Q304" s="32">
        <f t="shared" si="40"/>
        <v>70857.14</v>
      </c>
      <c r="R304" s="32">
        <f t="shared" si="40"/>
        <v>0</v>
      </c>
      <c r="S304" s="32">
        <f t="shared" si="40"/>
        <v>0</v>
      </c>
      <c r="T304" s="32">
        <f t="shared" si="40"/>
        <v>0</v>
      </c>
      <c r="U304" s="32">
        <f t="shared" si="40"/>
        <v>0</v>
      </c>
      <c r="V304" s="32">
        <f t="shared" si="40"/>
        <v>11809.52</v>
      </c>
      <c r="W304" s="32">
        <f t="shared" si="40"/>
        <v>0</v>
      </c>
      <c r="X304" s="32">
        <f t="shared" si="40"/>
        <v>0</v>
      </c>
      <c r="Y304" s="32">
        <f t="shared" si="40"/>
        <v>48714.29</v>
      </c>
      <c r="Z304" s="32">
        <f t="shared" si="40"/>
        <v>33952.379999999997</v>
      </c>
      <c r="AA304" s="32">
        <f t="shared" si="40"/>
        <v>0</v>
      </c>
      <c r="AB304" s="32">
        <f t="shared" si="40"/>
        <v>0</v>
      </c>
      <c r="AC304" s="31">
        <f t="shared" si="40"/>
        <v>59047.62</v>
      </c>
      <c r="AD304" s="30">
        <f t="shared" si="40"/>
        <v>0</v>
      </c>
      <c r="AE304" s="30">
        <f t="shared" si="40"/>
        <v>0</v>
      </c>
    </row>
    <row r="305" spans="1:31" ht="15.75" customHeight="1">
      <c r="A305" s="4">
        <v>226</v>
      </c>
      <c r="B305" s="105"/>
      <c r="C305" s="42" t="s">
        <v>71</v>
      </c>
      <c r="D305" s="42">
        <v>31000</v>
      </c>
      <c r="E305" s="32">
        <f t="shared" ref="E305:AE305" si="41">ROUND(E287/21*$D305,2)</f>
        <v>372000</v>
      </c>
      <c r="F305" s="32">
        <f t="shared" si="41"/>
        <v>1476.19</v>
      </c>
      <c r="G305" s="32">
        <f t="shared" si="41"/>
        <v>2952.38</v>
      </c>
      <c r="H305" s="35">
        <f t="shared" si="41"/>
        <v>22142.86</v>
      </c>
      <c r="I305" s="34">
        <f t="shared" si="41"/>
        <v>32476.19</v>
      </c>
      <c r="J305" s="33">
        <f t="shared" si="41"/>
        <v>0</v>
      </c>
      <c r="K305" s="33">
        <f t="shared" si="41"/>
        <v>0</v>
      </c>
      <c r="L305" s="32">
        <f t="shared" si="41"/>
        <v>0</v>
      </c>
      <c r="M305" s="32">
        <f t="shared" si="41"/>
        <v>8857.14</v>
      </c>
      <c r="N305" s="32">
        <f t="shared" si="41"/>
        <v>0</v>
      </c>
      <c r="O305" s="32">
        <f t="shared" si="41"/>
        <v>44285.71</v>
      </c>
      <c r="P305" s="32">
        <f t="shared" si="41"/>
        <v>2952.38</v>
      </c>
      <c r="Q305" s="32">
        <f t="shared" si="41"/>
        <v>5904.76</v>
      </c>
      <c r="R305" s="32">
        <f t="shared" si="41"/>
        <v>0</v>
      </c>
      <c r="S305" s="32">
        <f t="shared" si="41"/>
        <v>78238.100000000006</v>
      </c>
      <c r="T305" s="32">
        <f t="shared" si="41"/>
        <v>0</v>
      </c>
      <c r="U305" s="32">
        <f t="shared" si="41"/>
        <v>13285.71</v>
      </c>
      <c r="V305" s="32">
        <f t="shared" si="41"/>
        <v>132857.14000000001</v>
      </c>
      <c r="W305" s="32">
        <f t="shared" si="41"/>
        <v>0</v>
      </c>
      <c r="X305" s="32">
        <f t="shared" si="41"/>
        <v>0</v>
      </c>
      <c r="Y305" s="32">
        <f t="shared" si="41"/>
        <v>0</v>
      </c>
      <c r="Z305" s="32">
        <f t="shared" si="41"/>
        <v>8857.14</v>
      </c>
      <c r="AA305" s="32">
        <f t="shared" si="41"/>
        <v>13285.71</v>
      </c>
      <c r="AB305" s="32">
        <f t="shared" si="41"/>
        <v>0</v>
      </c>
      <c r="AC305" s="31">
        <f t="shared" si="41"/>
        <v>0</v>
      </c>
      <c r="AD305" s="30">
        <f t="shared" si="41"/>
        <v>4428.57</v>
      </c>
      <c r="AE305" s="30">
        <f t="shared" si="41"/>
        <v>0</v>
      </c>
    </row>
    <row r="306" spans="1:31" ht="15.75" customHeight="1">
      <c r="A306" s="4">
        <v>227</v>
      </c>
      <c r="B306" s="105"/>
      <c r="C306" s="42" t="s">
        <v>72</v>
      </c>
      <c r="D306" s="42">
        <v>31000</v>
      </c>
      <c r="E306" s="32">
        <f t="shared" ref="E306:AE306" si="42">ROUND(E288/21*$D306,2)</f>
        <v>372000</v>
      </c>
      <c r="F306" s="32">
        <f t="shared" si="42"/>
        <v>0</v>
      </c>
      <c r="G306" s="32">
        <f t="shared" si="42"/>
        <v>0</v>
      </c>
      <c r="H306" s="35">
        <f t="shared" si="42"/>
        <v>103333.33</v>
      </c>
      <c r="I306" s="34">
        <f t="shared" si="42"/>
        <v>10333.33</v>
      </c>
      <c r="J306" s="33">
        <f t="shared" si="42"/>
        <v>0</v>
      </c>
      <c r="K306" s="33">
        <f t="shared" si="42"/>
        <v>0</v>
      </c>
      <c r="L306" s="32">
        <f t="shared" si="42"/>
        <v>0</v>
      </c>
      <c r="M306" s="32">
        <f t="shared" si="42"/>
        <v>0</v>
      </c>
      <c r="N306" s="32">
        <f t="shared" si="42"/>
        <v>0</v>
      </c>
      <c r="O306" s="32">
        <f t="shared" si="42"/>
        <v>0</v>
      </c>
      <c r="P306" s="32">
        <f t="shared" si="42"/>
        <v>7380.95</v>
      </c>
      <c r="Q306" s="32">
        <f t="shared" si="42"/>
        <v>16238.1</v>
      </c>
      <c r="R306" s="32">
        <f t="shared" si="42"/>
        <v>0</v>
      </c>
      <c r="S306" s="32">
        <f t="shared" si="42"/>
        <v>0</v>
      </c>
      <c r="T306" s="32">
        <f t="shared" si="42"/>
        <v>0</v>
      </c>
      <c r="U306" s="32">
        <f t="shared" si="42"/>
        <v>50190.48</v>
      </c>
      <c r="V306" s="32">
        <f t="shared" si="42"/>
        <v>93000</v>
      </c>
      <c r="W306" s="32">
        <f t="shared" si="42"/>
        <v>23619.05</v>
      </c>
      <c r="X306" s="32">
        <f t="shared" si="42"/>
        <v>0</v>
      </c>
      <c r="Y306" s="32">
        <f t="shared" si="42"/>
        <v>0</v>
      </c>
      <c r="Z306" s="32">
        <f t="shared" si="42"/>
        <v>11809.52</v>
      </c>
      <c r="AA306" s="32">
        <f t="shared" si="42"/>
        <v>0</v>
      </c>
      <c r="AB306" s="32">
        <f t="shared" si="42"/>
        <v>0</v>
      </c>
      <c r="AC306" s="31">
        <f t="shared" si="42"/>
        <v>56095.24</v>
      </c>
      <c r="AD306" s="30">
        <f t="shared" si="42"/>
        <v>0</v>
      </c>
      <c r="AE306" s="30">
        <f t="shared" si="42"/>
        <v>0</v>
      </c>
    </row>
    <row r="307" spans="1:31" ht="15.75" customHeight="1">
      <c r="A307" s="4">
        <v>228</v>
      </c>
      <c r="B307" s="105"/>
      <c r="C307" s="42" t="s">
        <v>73</v>
      </c>
      <c r="D307" s="42">
        <v>31000</v>
      </c>
      <c r="E307" s="32">
        <f t="shared" ref="E307:AE307" si="43">ROUND(E289/21*$D307,2)</f>
        <v>304095.24</v>
      </c>
      <c r="F307" s="32">
        <f t="shared" si="43"/>
        <v>0</v>
      </c>
      <c r="G307" s="32">
        <f t="shared" si="43"/>
        <v>0</v>
      </c>
      <c r="H307" s="35">
        <f t="shared" si="43"/>
        <v>7380.95</v>
      </c>
      <c r="I307" s="34">
        <f t="shared" si="43"/>
        <v>25095.24</v>
      </c>
      <c r="J307" s="33">
        <f t="shared" si="43"/>
        <v>0</v>
      </c>
      <c r="K307" s="33">
        <f t="shared" si="43"/>
        <v>0</v>
      </c>
      <c r="L307" s="32">
        <f t="shared" si="43"/>
        <v>31000</v>
      </c>
      <c r="M307" s="32">
        <f t="shared" si="43"/>
        <v>0</v>
      </c>
      <c r="N307" s="32">
        <f t="shared" si="43"/>
        <v>0</v>
      </c>
      <c r="O307" s="32">
        <f t="shared" si="43"/>
        <v>0</v>
      </c>
      <c r="P307" s="32">
        <f t="shared" si="43"/>
        <v>0</v>
      </c>
      <c r="Q307" s="32">
        <f t="shared" si="43"/>
        <v>1476.19</v>
      </c>
      <c r="R307" s="32">
        <f t="shared" si="43"/>
        <v>0</v>
      </c>
      <c r="S307" s="32">
        <f t="shared" si="43"/>
        <v>62000</v>
      </c>
      <c r="T307" s="32">
        <f t="shared" si="43"/>
        <v>0</v>
      </c>
      <c r="U307" s="32">
        <f t="shared" si="43"/>
        <v>60523.81</v>
      </c>
      <c r="V307" s="32">
        <f t="shared" si="43"/>
        <v>106285.71</v>
      </c>
      <c r="W307" s="32">
        <f t="shared" si="43"/>
        <v>0</v>
      </c>
      <c r="X307" s="32">
        <f t="shared" si="43"/>
        <v>0</v>
      </c>
      <c r="Y307" s="32">
        <f t="shared" si="43"/>
        <v>0</v>
      </c>
      <c r="Z307" s="32">
        <f t="shared" si="43"/>
        <v>0</v>
      </c>
      <c r="AA307" s="32">
        <f t="shared" si="43"/>
        <v>10333.33</v>
      </c>
      <c r="AB307" s="32">
        <f t="shared" si="43"/>
        <v>0</v>
      </c>
      <c r="AC307" s="31">
        <f t="shared" si="43"/>
        <v>0</v>
      </c>
      <c r="AD307" s="30">
        <f t="shared" si="43"/>
        <v>0</v>
      </c>
      <c r="AE307" s="30">
        <f t="shared" si="43"/>
        <v>0</v>
      </c>
    </row>
    <row r="308" spans="1:31" ht="15.75" customHeight="1">
      <c r="A308" s="4">
        <v>229</v>
      </c>
      <c r="B308" s="105"/>
      <c r="C308" s="42" t="s">
        <v>74</v>
      </c>
      <c r="D308" s="42">
        <v>31000</v>
      </c>
      <c r="E308" s="32">
        <f t="shared" ref="E308:AE308" si="44">ROUND(E290/21*$D308,2)</f>
        <v>372000</v>
      </c>
      <c r="F308" s="32">
        <f t="shared" si="44"/>
        <v>0</v>
      </c>
      <c r="G308" s="32">
        <f t="shared" si="44"/>
        <v>0</v>
      </c>
      <c r="H308" s="35">
        <f t="shared" si="44"/>
        <v>7380.95</v>
      </c>
      <c r="I308" s="34">
        <f t="shared" si="44"/>
        <v>16238.1</v>
      </c>
      <c r="J308" s="33">
        <f t="shared" si="44"/>
        <v>0</v>
      </c>
      <c r="K308" s="33">
        <f t="shared" si="44"/>
        <v>0</v>
      </c>
      <c r="L308" s="32">
        <f t="shared" si="44"/>
        <v>0</v>
      </c>
      <c r="M308" s="32">
        <f t="shared" si="44"/>
        <v>0</v>
      </c>
      <c r="N308" s="32">
        <f t="shared" si="44"/>
        <v>0</v>
      </c>
      <c r="O308" s="32">
        <f t="shared" si="44"/>
        <v>36904.76</v>
      </c>
      <c r="P308" s="32">
        <f t="shared" si="44"/>
        <v>13285.71</v>
      </c>
      <c r="Q308" s="32">
        <f t="shared" si="44"/>
        <v>39857.14</v>
      </c>
      <c r="R308" s="32">
        <f t="shared" si="44"/>
        <v>0</v>
      </c>
      <c r="S308" s="32">
        <f t="shared" si="44"/>
        <v>50190.48</v>
      </c>
      <c r="T308" s="32">
        <f t="shared" si="44"/>
        <v>134333.32999999999</v>
      </c>
      <c r="U308" s="32">
        <f t="shared" si="44"/>
        <v>4428.57</v>
      </c>
      <c r="V308" s="32">
        <f t="shared" si="44"/>
        <v>0</v>
      </c>
      <c r="W308" s="32">
        <f t="shared" si="44"/>
        <v>0</v>
      </c>
      <c r="X308" s="32">
        <f t="shared" si="44"/>
        <v>0</v>
      </c>
      <c r="Y308" s="32">
        <f t="shared" si="44"/>
        <v>11809.52</v>
      </c>
      <c r="Z308" s="32">
        <f t="shared" si="44"/>
        <v>0</v>
      </c>
      <c r="AA308" s="32">
        <f t="shared" si="44"/>
        <v>10333.33</v>
      </c>
      <c r="AB308" s="32">
        <f t="shared" si="44"/>
        <v>0</v>
      </c>
      <c r="AC308" s="31">
        <f t="shared" si="44"/>
        <v>47238.1</v>
      </c>
      <c r="AD308" s="30">
        <f t="shared" si="44"/>
        <v>0</v>
      </c>
      <c r="AE308" s="30">
        <f t="shared" si="44"/>
        <v>0</v>
      </c>
    </row>
    <row r="309" spans="1:31" ht="15.75" customHeight="1">
      <c r="A309" s="4">
        <v>230</v>
      </c>
      <c r="B309" s="105"/>
      <c r="C309" s="42" t="s">
        <v>75</v>
      </c>
      <c r="D309" s="42">
        <v>31000</v>
      </c>
      <c r="E309" s="32">
        <f t="shared" ref="E309:AE309" si="45">ROUND(E291/21*$D309,2)</f>
        <v>372000</v>
      </c>
      <c r="F309" s="32">
        <f t="shared" si="45"/>
        <v>0</v>
      </c>
      <c r="G309" s="32">
        <f t="shared" si="45"/>
        <v>0</v>
      </c>
      <c r="H309" s="35">
        <f t="shared" si="45"/>
        <v>17714.29</v>
      </c>
      <c r="I309" s="34">
        <f t="shared" si="45"/>
        <v>66428.570000000007</v>
      </c>
      <c r="J309" s="33">
        <f t="shared" si="45"/>
        <v>0</v>
      </c>
      <c r="K309" s="33">
        <f t="shared" si="45"/>
        <v>0</v>
      </c>
      <c r="L309" s="32">
        <f t="shared" si="45"/>
        <v>0</v>
      </c>
      <c r="M309" s="32">
        <f t="shared" si="45"/>
        <v>42809.52</v>
      </c>
      <c r="N309" s="32">
        <f t="shared" si="45"/>
        <v>0</v>
      </c>
      <c r="O309" s="32">
        <f t="shared" si="45"/>
        <v>20666.669999999998</v>
      </c>
      <c r="P309" s="32">
        <f t="shared" si="45"/>
        <v>0</v>
      </c>
      <c r="Q309" s="32">
        <f t="shared" si="45"/>
        <v>29523.81</v>
      </c>
      <c r="R309" s="32">
        <f t="shared" si="45"/>
        <v>0</v>
      </c>
      <c r="S309" s="32">
        <f t="shared" si="45"/>
        <v>32476.19</v>
      </c>
      <c r="T309" s="32">
        <f t="shared" si="45"/>
        <v>44285.71</v>
      </c>
      <c r="U309" s="32">
        <f t="shared" si="45"/>
        <v>0</v>
      </c>
      <c r="V309" s="32">
        <f t="shared" si="45"/>
        <v>0</v>
      </c>
      <c r="W309" s="32">
        <f t="shared" si="45"/>
        <v>0</v>
      </c>
      <c r="X309" s="32">
        <f t="shared" si="45"/>
        <v>0</v>
      </c>
      <c r="Y309" s="32">
        <f t="shared" si="45"/>
        <v>0</v>
      </c>
      <c r="Z309" s="32">
        <f t="shared" si="45"/>
        <v>20666.669999999998</v>
      </c>
      <c r="AA309" s="32">
        <f t="shared" si="45"/>
        <v>78238.100000000006</v>
      </c>
      <c r="AB309" s="32">
        <f t="shared" si="45"/>
        <v>0</v>
      </c>
      <c r="AC309" s="31">
        <f t="shared" si="45"/>
        <v>19190.48</v>
      </c>
      <c r="AD309" s="30">
        <f t="shared" si="45"/>
        <v>0</v>
      </c>
      <c r="AE309" s="30">
        <f t="shared" si="45"/>
        <v>0</v>
      </c>
    </row>
    <row r="310" spans="1:31" ht="15.75" customHeight="1">
      <c r="A310" s="4">
        <v>231</v>
      </c>
      <c r="B310" s="105"/>
      <c r="C310" s="42" t="s">
        <v>76</v>
      </c>
      <c r="D310" s="42">
        <v>31000</v>
      </c>
      <c r="E310" s="32">
        <f t="shared" ref="E310:AE310" si="46">ROUND(E292/21*$D310,2)</f>
        <v>372000</v>
      </c>
      <c r="F310" s="32">
        <f t="shared" si="46"/>
        <v>14761.9</v>
      </c>
      <c r="G310" s="32">
        <f t="shared" si="46"/>
        <v>0</v>
      </c>
      <c r="H310" s="35">
        <f t="shared" si="46"/>
        <v>14761.9</v>
      </c>
      <c r="I310" s="34">
        <f t="shared" si="46"/>
        <v>19190.48</v>
      </c>
      <c r="J310" s="33">
        <f t="shared" si="46"/>
        <v>0</v>
      </c>
      <c r="K310" s="33">
        <f t="shared" si="46"/>
        <v>0</v>
      </c>
      <c r="L310" s="32">
        <f t="shared" si="46"/>
        <v>0</v>
      </c>
      <c r="M310" s="32">
        <f t="shared" si="46"/>
        <v>0</v>
      </c>
      <c r="N310" s="32">
        <f t="shared" si="46"/>
        <v>0</v>
      </c>
      <c r="O310" s="32">
        <f t="shared" si="46"/>
        <v>44285.71</v>
      </c>
      <c r="P310" s="32">
        <f t="shared" si="46"/>
        <v>4428.57</v>
      </c>
      <c r="Q310" s="32">
        <f t="shared" si="46"/>
        <v>75285.710000000006</v>
      </c>
      <c r="R310" s="32">
        <f t="shared" si="46"/>
        <v>0</v>
      </c>
      <c r="S310" s="32">
        <f t="shared" si="46"/>
        <v>0</v>
      </c>
      <c r="T310" s="32">
        <f t="shared" si="46"/>
        <v>0</v>
      </c>
      <c r="U310" s="32">
        <f t="shared" si="46"/>
        <v>0</v>
      </c>
      <c r="V310" s="32">
        <f t="shared" si="46"/>
        <v>72333.33</v>
      </c>
      <c r="W310" s="32">
        <f t="shared" si="46"/>
        <v>0</v>
      </c>
      <c r="X310" s="32">
        <f t="shared" si="46"/>
        <v>0</v>
      </c>
      <c r="Y310" s="32">
        <f t="shared" si="46"/>
        <v>16238.1</v>
      </c>
      <c r="Z310" s="32">
        <f t="shared" si="46"/>
        <v>23619.05</v>
      </c>
      <c r="AA310" s="32">
        <f t="shared" si="46"/>
        <v>1476.19</v>
      </c>
      <c r="AB310" s="32">
        <f t="shared" si="46"/>
        <v>0</v>
      </c>
      <c r="AC310" s="31">
        <f t="shared" si="46"/>
        <v>85619.05</v>
      </c>
      <c r="AD310" s="30">
        <f t="shared" si="46"/>
        <v>0</v>
      </c>
      <c r="AE310" s="30">
        <f t="shared" si="46"/>
        <v>0</v>
      </c>
    </row>
    <row r="311" spans="1:31" ht="15.75" customHeight="1">
      <c r="A311" s="4">
        <v>232</v>
      </c>
      <c r="B311" s="105"/>
      <c r="C311" s="42" t="s">
        <v>77</v>
      </c>
      <c r="D311" s="42">
        <v>31000</v>
      </c>
      <c r="E311" s="32">
        <f t="shared" ref="E311:AE311" si="47">ROUND(E293/21*$D311,2)</f>
        <v>372000</v>
      </c>
      <c r="F311" s="32">
        <f t="shared" si="47"/>
        <v>0</v>
      </c>
      <c r="G311" s="32">
        <f t="shared" si="47"/>
        <v>0</v>
      </c>
      <c r="H311" s="35">
        <f t="shared" si="47"/>
        <v>2952.38</v>
      </c>
      <c r="I311" s="34">
        <f t="shared" si="47"/>
        <v>28047.62</v>
      </c>
      <c r="J311" s="33">
        <f t="shared" si="47"/>
        <v>0</v>
      </c>
      <c r="K311" s="33">
        <f t="shared" si="47"/>
        <v>0</v>
      </c>
      <c r="L311" s="32">
        <f t="shared" si="47"/>
        <v>22142.86</v>
      </c>
      <c r="M311" s="32">
        <f t="shared" si="47"/>
        <v>22142.86</v>
      </c>
      <c r="N311" s="32">
        <f t="shared" si="47"/>
        <v>0</v>
      </c>
      <c r="O311" s="32">
        <f t="shared" si="47"/>
        <v>0</v>
      </c>
      <c r="P311" s="32">
        <f t="shared" si="47"/>
        <v>0</v>
      </c>
      <c r="Q311" s="32">
        <f t="shared" si="47"/>
        <v>7380.95</v>
      </c>
      <c r="R311" s="32">
        <f t="shared" si="47"/>
        <v>0</v>
      </c>
      <c r="S311" s="32">
        <f t="shared" si="47"/>
        <v>29523.81</v>
      </c>
      <c r="T311" s="32">
        <f t="shared" si="47"/>
        <v>0</v>
      </c>
      <c r="U311" s="32">
        <f t="shared" si="47"/>
        <v>115142.86</v>
      </c>
      <c r="V311" s="32">
        <f t="shared" si="47"/>
        <v>100380.95</v>
      </c>
      <c r="W311" s="32">
        <f t="shared" si="47"/>
        <v>13285.71</v>
      </c>
      <c r="X311" s="32">
        <f t="shared" si="47"/>
        <v>0</v>
      </c>
      <c r="Y311" s="32">
        <f t="shared" si="47"/>
        <v>8857.14</v>
      </c>
      <c r="Z311" s="32">
        <f t="shared" si="47"/>
        <v>7380.95</v>
      </c>
      <c r="AA311" s="32">
        <f t="shared" si="47"/>
        <v>4428.57</v>
      </c>
      <c r="AB311" s="32">
        <f t="shared" si="47"/>
        <v>0</v>
      </c>
      <c r="AC311" s="31">
        <f t="shared" si="47"/>
        <v>10333.33</v>
      </c>
      <c r="AD311" s="30">
        <f t="shared" si="47"/>
        <v>0</v>
      </c>
      <c r="AE311" s="30">
        <f t="shared" si="47"/>
        <v>0</v>
      </c>
    </row>
    <row r="312" spans="1:31" ht="15.75" customHeight="1">
      <c r="A312" s="4">
        <v>233</v>
      </c>
      <c r="B312" s="105"/>
      <c r="C312" s="42" t="s">
        <v>78</v>
      </c>
      <c r="D312" s="42">
        <v>31000</v>
      </c>
      <c r="E312" s="32">
        <f t="shared" ref="E312:AE312" si="48">ROUND(E294/21*$D312,2)</f>
        <v>76761.899999999994</v>
      </c>
      <c r="F312" s="32">
        <f t="shared" si="48"/>
        <v>0</v>
      </c>
      <c r="G312" s="32">
        <f t="shared" si="48"/>
        <v>0</v>
      </c>
      <c r="H312" s="35">
        <f t="shared" si="48"/>
        <v>0</v>
      </c>
      <c r="I312" s="34">
        <f t="shared" si="48"/>
        <v>0</v>
      </c>
      <c r="J312" s="33">
        <f t="shared" si="48"/>
        <v>0</v>
      </c>
      <c r="K312" s="33">
        <f t="shared" si="48"/>
        <v>0</v>
      </c>
      <c r="L312" s="32">
        <f t="shared" si="48"/>
        <v>0</v>
      </c>
      <c r="M312" s="32">
        <f t="shared" si="48"/>
        <v>0</v>
      </c>
      <c r="N312" s="32">
        <f t="shared" si="48"/>
        <v>0</v>
      </c>
      <c r="O312" s="32">
        <f t="shared" si="48"/>
        <v>0</v>
      </c>
      <c r="P312" s="32">
        <f t="shared" si="48"/>
        <v>0</v>
      </c>
      <c r="Q312" s="32">
        <f t="shared" si="48"/>
        <v>1476.19</v>
      </c>
      <c r="R312" s="32">
        <f t="shared" si="48"/>
        <v>0</v>
      </c>
      <c r="S312" s="32">
        <f t="shared" si="48"/>
        <v>0</v>
      </c>
      <c r="T312" s="32">
        <f t="shared" si="48"/>
        <v>0</v>
      </c>
      <c r="U312" s="32">
        <f t="shared" si="48"/>
        <v>0</v>
      </c>
      <c r="V312" s="32">
        <f t="shared" si="48"/>
        <v>0</v>
      </c>
      <c r="W312" s="32">
        <f t="shared" si="48"/>
        <v>75285.710000000006</v>
      </c>
      <c r="X312" s="32">
        <f t="shared" si="48"/>
        <v>0</v>
      </c>
      <c r="Y312" s="32">
        <f t="shared" si="48"/>
        <v>0</v>
      </c>
      <c r="Z312" s="32">
        <f t="shared" si="48"/>
        <v>0</v>
      </c>
      <c r="AA312" s="32">
        <f t="shared" si="48"/>
        <v>0</v>
      </c>
      <c r="AB312" s="32">
        <f t="shared" si="48"/>
        <v>0</v>
      </c>
      <c r="AC312" s="31">
        <f t="shared" si="48"/>
        <v>0</v>
      </c>
      <c r="AD312" s="30">
        <f t="shared" si="48"/>
        <v>0</v>
      </c>
      <c r="AE312" s="30">
        <f t="shared" si="48"/>
        <v>0</v>
      </c>
    </row>
    <row r="313" spans="1:31" ht="15.75" customHeight="1">
      <c r="A313" s="4">
        <v>234</v>
      </c>
      <c r="B313" s="105"/>
      <c r="C313" s="42" t="s">
        <v>79</v>
      </c>
      <c r="D313" s="42">
        <v>31000</v>
      </c>
      <c r="E313" s="32">
        <f t="shared" ref="E313:AE313" si="49">ROUND(E295/21*$D313,2)</f>
        <v>186000</v>
      </c>
      <c r="F313" s="32">
        <f t="shared" si="49"/>
        <v>0</v>
      </c>
      <c r="G313" s="32">
        <f t="shared" si="49"/>
        <v>0</v>
      </c>
      <c r="H313" s="35">
        <f t="shared" si="49"/>
        <v>16238.1</v>
      </c>
      <c r="I313" s="34">
        <f t="shared" si="49"/>
        <v>0</v>
      </c>
      <c r="J313" s="33">
        <f t="shared" si="49"/>
        <v>0</v>
      </c>
      <c r="K313" s="33">
        <f t="shared" si="49"/>
        <v>0</v>
      </c>
      <c r="L313" s="32">
        <f t="shared" si="49"/>
        <v>0</v>
      </c>
      <c r="M313" s="32">
        <f t="shared" si="49"/>
        <v>0</v>
      </c>
      <c r="N313" s="32">
        <f t="shared" si="49"/>
        <v>0</v>
      </c>
      <c r="O313" s="32">
        <f t="shared" si="49"/>
        <v>0</v>
      </c>
      <c r="P313" s="32">
        <f t="shared" si="49"/>
        <v>0</v>
      </c>
      <c r="Q313" s="32">
        <f t="shared" si="49"/>
        <v>0</v>
      </c>
      <c r="R313" s="32">
        <f t="shared" si="49"/>
        <v>0</v>
      </c>
      <c r="S313" s="32">
        <f t="shared" si="49"/>
        <v>0</v>
      </c>
      <c r="T313" s="32">
        <f t="shared" si="49"/>
        <v>0</v>
      </c>
      <c r="U313" s="32">
        <f t="shared" si="49"/>
        <v>0</v>
      </c>
      <c r="V313" s="32">
        <f t="shared" si="49"/>
        <v>0</v>
      </c>
      <c r="W313" s="32">
        <f t="shared" si="49"/>
        <v>135809.51999999999</v>
      </c>
      <c r="X313" s="32">
        <f t="shared" si="49"/>
        <v>0</v>
      </c>
      <c r="Y313" s="32">
        <f t="shared" si="49"/>
        <v>1476.19</v>
      </c>
      <c r="Z313" s="32">
        <f t="shared" si="49"/>
        <v>0</v>
      </c>
      <c r="AA313" s="32">
        <f t="shared" si="49"/>
        <v>0</v>
      </c>
      <c r="AB313" s="32">
        <f t="shared" si="49"/>
        <v>0</v>
      </c>
      <c r="AC313" s="31">
        <f t="shared" si="49"/>
        <v>16238.1</v>
      </c>
      <c r="AD313" s="30">
        <f t="shared" si="49"/>
        <v>0</v>
      </c>
      <c r="AE313" s="30">
        <f t="shared" si="49"/>
        <v>16238.1</v>
      </c>
    </row>
    <row r="314" spans="1:31" ht="15.75" customHeight="1">
      <c r="A314" s="4">
        <v>235</v>
      </c>
      <c r="B314" s="105"/>
      <c r="C314" s="43" t="s">
        <v>80</v>
      </c>
      <c r="D314" s="42">
        <v>31000</v>
      </c>
      <c r="E314" s="32">
        <f t="shared" ref="E314:AE314" si="50">ROUND(E296/21*$D314,2)</f>
        <v>279000</v>
      </c>
      <c r="F314" s="32">
        <f t="shared" si="50"/>
        <v>0</v>
      </c>
      <c r="G314" s="32">
        <f t="shared" si="50"/>
        <v>0</v>
      </c>
      <c r="H314" s="35">
        <f t="shared" si="50"/>
        <v>0</v>
      </c>
      <c r="I314" s="34">
        <f t="shared" si="50"/>
        <v>0</v>
      </c>
      <c r="J314" s="33">
        <f t="shared" si="50"/>
        <v>0</v>
      </c>
      <c r="K314" s="33">
        <f t="shared" si="50"/>
        <v>0</v>
      </c>
      <c r="L314" s="32">
        <f t="shared" si="50"/>
        <v>0</v>
      </c>
      <c r="M314" s="32">
        <f t="shared" si="50"/>
        <v>0</v>
      </c>
      <c r="N314" s="32">
        <f t="shared" si="50"/>
        <v>0</v>
      </c>
      <c r="O314" s="32">
        <f t="shared" si="50"/>
        <v>0</v>
      </c>
      <c r="P314" s="32">
        <f t="shared" si="50"/>
        <v>0</v>
      </c>
      <c r="Q314" s="32">
        <f t="shared" si="50"/>
        <v>0</v>
      </c>
      <c r="R314" s="32">
        <f t="shared" si="50"/>
        <v>0</v>
      </c>
      <c r="S314" s="32">
        <f t="shared" si="50"/>
        <v>14761.9</v>
      </c>
      <c r="T314" s="32">
        <f t="shared" si="50"/>
        <v>0</v>
      </c>
      <c r="U314" s="32">
        <f t="shared" si="50"/>
        <v>0</v>
      </c>
      <c r="V314" s="32">
        <f t="shared" si="50"/>
        <v>0</v>
      </c>
      <c r="W314" s="32">
        <f t="shared" si="50"/>
        <v>0</v>
      </c>
      <c r="X314" s="32">
        <f t="shared" si="50"/>
        <v>264238.09999999998</v>
      </c>
      <c r="Y314" s="32">
        <f t="shared" si="50"/>
        <v>0</v>
      </c>
      <c r="Z314" s="32">
        <f t="shared" si="50"/>
        <v>0</v>
      </c>
      <c r="AA314" s="32">
        <f t="shared" si="50"/>
        <v>0</v>
      </c>
      <c r="AB314" s="32">
        <f t="shared" si="50"/>
        <v>0</v>
      </c>
      <c r="AC314" s="31">
        <f t="shared" si="50"/>
        <v>0</v>
      </c>
      <c r="AD314" s="30">
        <f t="shared" si="50"/>
        <v>0</v>
      </c>
      <c r="AE314" s="30">
        <f t="shared" si="50"/>
        <v>0</v>
      </c>
    </row>
    <row r="315" spans="1:31" ht="15.25" customHeight="1">
      <c r="A315" s="4">
        <v>236</v>
      </c>
      <c r="B315" s="105"/>
      <c r="C315" s="42" t="s">
        <v>81</v>
      </c>
      <c r="D315" s="42">
        <v>31000</v>
      </c>
      <c r="E315" s="32">
        <f>ROUND(E297/21*$D315,2)</f>
        <v>372000</v>
      </c>
      <c r="F315" s="32"/>
      <c r="G315" s="32"/>
      <c r="H315" s="35"/>
      <c r="I315" s="34"/>
      <c r="J315" s="33"/>
      <c r="K315" s="33"/>
      <c r="L315" s="32"/>
      <c r="M315" s="32"/>
      <c r="N315" s="32"/>
      <c r="O315" s="32"/>
      <c r="P315" s="32">
        <f>ROUND(P297/21*$D315,2)</f>
        <v>0</v>
      </c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1">
        <f t="shared" ref="AC315:AE318" si="51">ROUND(AC297/21*$D315,2)</f>
        <v>0</v>
      </c>
      <c r="AD315" s="30">
        <f t="shared" si="51"/>
        <v>0</v>
      </c>
      <c r="AE315" s="30">
        <f t="shared" si="51"/>
        <v>0</v>
      </c>
    </row>
    <row r="316" spans="1:31" ht="15.25" customHeight="1">
      <c r="A316" s="4">
        <v>237</v>
      </c>
      <c r="B316" s="105"/>
      <c r="C316" s="42" t="s">
        <v>82</v>
      </c>
      <c r="D316" s="42">
        <v>31000</v>
      </c>
      <c r="E316" s="32">
        <f>ROUND(E298/21*$D316,2)</f>
        <v>372000</v>
      </c>
      <c r="F316" s="32"/>
      <c r="G316" s="32"/>
      <c r="H316" s="35"/>
      <c r="I316" s="34"/>
      <c r="J316" s="33"/>
      <c r="K316" s="33"/>
      <c r="L316" s="32"/>
      <c r="M316" s="32"/>
      <c r="N316" s="32"/>
      <c r="O316" s="32"/>
      <c r="P316" s="32">
        <f>ROUND(P298/21*$D316,2)</f>
        <v>0</v>
      </c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1">
        <f t="shared" si="51"/>
        <v>0</v>
      </c>
      <c r="AD316" s="30">
        <f t="shared" si="51"/>
        <v>0</v>
      </c>
      <c r="AE316" s="30">
        <f t="shared" si="51"/>
        <v>0</v>
      </c>
    </row>
    <row r="317" spans="1:31" ht="15.25" customHeight="1">
      <c r="A317" s="4">
        <v>238</v>
      </c>
      <c r="B317" s="105"/>
      <c r="C317" s="42" t="s">
        <v>83</v>
      </c>
      <c r="D317" s="42">
        <v>31000</v>
      </c>
      <c r="E317" s="32">
        <f>ROUND(E299/21*$D317,2)</f>
        <v>372000</v>
      </c>
      <c r="F317" s="32"/>
      <c r="G317" s="32"/>
      <c r="H317" s="35"/>
      <c r="I317" s="34"/>
      <c r="J317" s="33"/>
      <c r="K317" s="33"/>
      <c r="L317" s="32"/>
      <c r="M317" s="32"/>
      <c r="N317" s="32"/>
      <c r="O317" s="32"/>
      <c r="P317" s="32">
        <f>ROUND(P299/21*$D317,2)</f>
        <v>0</v>
      </c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1">
        <f t="shared" si="51"/>
        <v>0</v>
      </c>
      <c r="AD317" s="30">
        <f t="shared" si="51"/>
        <v>0</v>
      </c>
      <c r="AE317" s="30">
        <f t="shared" si="51"/>
        <v>0</v>
      </c>
    </row>
    <row r="318" spans="1:31" ht="15.25" customHeight="1">
      <c r="A318" s="4">
        <v>239</v>
      </c>
      <c r="B318" s="105"/>
      <c r="C318" s="42" t="s">
        <v>84</v>
      </c>
      <c r="D318" s="42">
        <v>31000</v>
      </c>
      <c r="E318" s="32">
        <f>ROUND(E300/21*$D318,2)</f>
        <v>124000</v>
      </c>
      <c r="F318" s="32"/>
      <c r="G318" s="32"/>
      <c r="H318" s="35"/>
      <c r="I318" s="34"/>
      <c r="J318" s="33"/>
      <c r="K318" s="33"/>
      <c r="L318" s="32"/>
      <c r="M318" s="32"/>
      <c r="N318" s="32"/>
      <c r="O318" s="32"/>
      <c r="P318" s="32">
        <f>ROUND(P300/21*$D318,2)</f>
        <v>0</v>
      </c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1">
        <f t="shared" si="51"/>
        <v>0</v>
      </c>
      <c r="AD318" s="30">
        <f t="shared" si="51"/>
        <v>0</v>
      </c>
      <c r="AE318" s="30">
        <f t="shared" si="51"/>
        <v>0</v>
      </c>
    </row>
    <row r="319" spans="1:31" ht="18">
      <c r="A319" s="4">
        <v>240</v>
      </c>
      <c r="B319" s="105"/>
      <c r="C319" s="36"/>
      <c r="D319" s="32"/>
      <c r="E319" s="32"/>
      <c r="F319" s="32"/>
      <c r="G319" s="32"/>
      <c r="H319" s="35"/>
      <c r="I319" s="34"/>
      <c r="J319" s="33"/>
      <c r="K319" s="33"/>
      <c r="L319" s="32"/>
      <c r="M319" s="32"/>
      <c r="N319" s="32"/>
      <c r="O319" s="32"/>
      <c r="P319" s="32">
        <f>ROUND(P301/21*$D319,2)</f>
        <v>0</v>
      </c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1">
        <f>ROUND(AC301/21*$D319,2)</f>
        <v>0</v>
      </c>
      <c r="AD319" s="37"/>
      <c r="AE319" s="49"/>
    </row>
    <row r="320" spans="1:31" ht="18">
      <c r="A320" s="4">
        <v>241</v>
      </c>
      <c r="B320" s="105"/>
      <c r="C320" s="36"/>
      <c r="D320" s="32"/>
      <c r="E320" s="32"/>
      <c r="F320" s="32"/>
      <c r="G320" s="32"/>
      <c r="H320" s="35"/>
      <c r="I320" s="34"/>
      <c r="J320" s="33"/>
      <c r="K320" s="33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1"/>
      <c r="AD320" s="37"/>
      <c r="AE320" s="49"/>
    </row>
    <row r="321" spans="1:31" ht="18">
      <c r="A321" s="4">
        <v>242</v>
      </c>
      <c r="B321" s="105"/>
      <c r="C321" s="36"/>
      <c r="D321" s="32"/>
      <c r="E321" s="32"/>
      <c r="F321" s="32"/>
      <c r="G321" s="32"/>
      <c r="H321" s="35"/>
      <c r="I321" s="34"/>
      <c r="J321" s="33"/>
      <c r="K321" s="33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1"/>
      <c r="AD321" s="37"/>
      <c r="AE321" s="49"/>
    </row>
    <row r="322" spans="1:31" ht="18">
      <c r="A322" s="4">
        <v>243</v>
      </c>
      <c r="B322" s="111"/>
      <c r="C322" s="36"/>
      <c r="D322" s="32"/>
      <c r="E322" s="32"/>
      <c r="F322" s="32"/>
      <c r="G322" s="32"/>
      <c r="H322" s="35"/>
      <c r="I322" s="34"/>
      <c r="J322" s="33"/>
      <c r="K322" s="33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1"/>
      <c r="AD322" s="37"/>
      <c r="AE322" s="49"/>
    </row>
    <row r="323" spans="1:31" ht="15.75" customHeight="1">
      <c r="A323" s="4">
        <v>244</v>
      </c>
      <c r="B323" s="48" t="s">
        <v>8</v>
      </c>
      <c r="C323" s="42" t="s">
        <v>68</v>
      </c>
      <c r="D323" s="46">
        <v>21</v>
      </c>
      <c r="E323" s="32">
        <f t="shared" ref="E323:AC323" si="52">SUM(E8+E31+E54+E77+E100+E123)</f>
        <v>126</v>
      </c>
      <c r="F323" s="32">
        <f t="shared" si="52"/>
        <v>9</v>
      </c>
      <c r="G323" s="32">
        <f t="shared" si="52"/>
        <v>0</v>
      </c>
      <c r="H323" s="35">
        <f t="shared" si="52"/>
        <v>0</v>
      </c>
      <c r="I323" s="34">
        <f t="shared" si="52"/>
        <v>0</v>
      </c>
      <c r="J323" s="33">
        <f t="shared" si="52"/>
        <v>0</v>
      </c>
      <c r="K323" s="33">
        <f t="shared" si="52"/>
        <v>0</v>
      </c>
      <c r="L323" s="32">
        <f t="shared" si="52"/>
        <v>0</v>
      </c>
      <c r="M323" s="32">
        <f t="shared" si="52"/>
        <v>7</v>
      </c>
      <c r="N323" s="32">
        <f t="shared" si="52"/>
        <v>0</v>
      </c>
      <c r="O323" s="32">
        <f t="shared" si="52"/>
        <v>2</v>
      </c>
      <c r="P323" s="32">
        <f t="shared" si="52"/>
        <v>3</v>
      </c>
      <c r="Q323" s="32">
        <f t="shared" si="52"/>
        <v>2</v>
      </c>
      <c r="R323" s="32">
        <f t="shared" si="52"/>
        <v>0</v>
      </c>
      <c r="S323" s="32">
        <f t="shared" si="52"/>
        <v>0</v>
      </c>
      <c r="T323" s="32">
        <f t="shared" si="52"/>
        <v>30</v>
      </c>
      <c r="U323" s="32">
        <f t="shared" si="52"/>
        <v>11</v>
      </c>
      <c r="V323" s="32">
        <f t="shared" si="52"/>
        <v>36</v>
      </c>
      <c r="W323" s="32">
        <f t="shared" si="52"/>
        <v>19</v>
      </c>
      <c r="X323" s="32">
        <f t="shared" si="52"/>
        <v>0</v>
      </c>
      <c r="Y323" s="32">
        <f t="shared" si="52"/>
        <v>4</v>
      </c>
      <c r="Z323" s="32">
        <f t="shared" si="52"/>
        <v>0</v>
      </c>
      <c r="AA323" s="32">
        <f t="shared" si="52"/>
        <v>3</v>
      </c>
      <c r="AB323" s="32">
        <f t="shared" si="52"/>
        <v>0</v>
      </c>
      <c r="AC323" s="31">
        <f t="shared" si="52"/>
        <v>0</v>
      </c>
      <c r="AD323" s="37"/>
      <c r="AE323" s="49"/>
    </row>
    <row r="324" spans="1:31" ht="15.75" customHeight="1">
      <c r="A324" s="4">
        <v>245</v>
      </c>
      <c r="B324" s="47"/>
      <c r="C324" s="42" t="s">
        <v>69</v>
      </c>
      <c r="D324" s="46">
        <v>21</v>
      </c>
      <c r="E324" s="32">
        <f t="shared" ref="E324:AC324" si="53">SUM(E9+E32+E55+E78+E101+E124)</f>
        <v>126</v>
      </c>
      <c r="F324" s="32">
        <f t="shared" si="53"/>
        <v>0</v>
      </c>
      <c r="G324" s="32">
        <f t="shared" si="53"/>
        <v>0</v>
      </c>
      <c r="H324" s="35">
        <f t="shared" si="53"/>
        <v>0</v>
      </c>
      <c r="I324" s="34">
        <f t="shared" si="53"/>
        <v>5</v>
      </c>
      <c r="J324" s="33">
        <f t="shared" si="53"/>
        <v>0</v>
      </c>
      <c r="K324" s="33">
        <f t="shared" si="53"/>
        <v>0</v>
      </c>
      <c r="L324" s="32">
        <f t="shared" si="53"/>
        <v>0</v>
      </c>
      <c r="M324" s="32">
        <f t="shared" si="53"/>
        <v>5</v>
      </c>
      <c r="N324" s="32">
        <f t="shared" si="53"/>
        <v>0</v>
      </c>
      <c r="O324" s="32">
        <f t="shared" si="53"/>
        <v>7</v>
      </c>
      <c r="P324" s="32">
        <f t="shared" si="53"/>
        <v>2</v>
      </c>
      <c r="Q324" s="32">
        <f t="shared" si="53"/>
        <v>0</v>
      </c>
      <c r="R324" s="32">
        <f t="shared" si="53"/>
        <v>0</v>
      </c>
      <c r="S324" s="32">
        <f t="shared" si="53"/>
        <v>0</v>
      </c>
      <c r="T324" s="32">
        <f t="shared" si="53"/>
        <v>56</v>
      </c>
      <c r="U324" s="32">
        <f t="shared" si="53"/>
        <v>0</v>
      </c>
      <c r="V324" s="32">
        <f t="shared" si="53"/>
        <v>21</v>
      </c>
      <c r="W324" s="32">
        <f t="shared" si="53"/>
        <v>30</v>
      </c>
      <c r="X324" s="32">
        <f t="shared" si="53"/>
        <v>0</v>
      </c>
      <c r="Y324" s="32">
        <f t="shared" si="53"/>
        <v>0</v>
      </c>
      <c r="Z324" s="32">
        <f t="shared" si="53"/>
        <v>0</v>
      </c>
      <c r="AA324" s="32">
        <f t="shared" si="53"/>
        <v>0</v>
      </c>
      <c r="AB324" s="32">
        <f t="shared" si="53"/>
        <v>0</v>
      </c>
      <c r="AC324" s="31">
        <f t="shared" si="53"/>
        <v>0</v>
      </c>
      <c r="AD324" s="37"/>
      <c r="AE324" s="49"/>
    </row>
    <row r="325" spans="1:31" ht="15.75" customHeight="1">
      <c r="A325" s="4">
        <v>246</v>
      </c>
      <c r="B325" s="47"/>
      <c r="C325" s="42" t="s">
        <v>70</v>
      </c>
      <c r="D325" s="46">
        <v>21</v>
      </c>
      <c r="E325" s="32">
        <f t="shared" ref="E325:AC325" si="54">SUM(E10+E33+E56+E79+E102+E125)</f>
        <v>126</v>
      </c>
      <c r="F325" s="32">
        <f t="shared" si="54"/>
        <v>0</v>
      </c>
      <c r="G325" s="32">
        <f t="shared" si="54"/>
        <v>0</v>
      </c>
      <c r="H325" s="35">
        <f t="shared" si="54"/>
        <v>0</v>
      </c>
      <c r="I325" s="34">
        <f t="shared" si="54"/>
        <v>5</v>
      </c>
      <c r="J325" s="33">
        <f t="shared" si="54"/>
        <v>0</v>
      </c>
      <c r="K325" s="33">
        <f t="shared" si="54"/>
        <v>0</v>
      </c>
      <c r="L325" s="32">
        <f t="shared" si="54"/>
        <v>0</v>
      </c>
      <c r="M325" s="32">
        <f t="shared" si="54"/>
        <v>0</v>
      </c>
      <c r="N325" s="32">
        <f t="shared" si="54"/>
        <v>0</v>
      </c>
      <c r="O325" s="32">
        <f t="shared" si="54"/>
        <v>5</v>
      </c>
      <c r="P325" s="32">
        <f t="shared" si="54"/>
        <v>58</v>
      </c>
      <c r="Q325" s="32">
        <f t="shared" si="54"/>
        <v>27</v>
      </c>
      <c r="R325" s="32">
        <f t="shared" si="54"/>
        <v>0</v>
      </c>
      <c r="S325" s="32">
        <f t="shared" si="54"/>
        <v>0</v>
      </c>
      <c r="T325" s="32">
        <f t="shared" si="54"/>
        <v>0</v>
      </c>
      <c r="U325" s="32">
        <f t="shared" si="54"/>
        <v>0</v>
      </c>
      <c r="V325" s="32">
        <f t="shared" si="54"/>
        <v>8</v>
      </c>
      <c r="W325" s="32">
        <f t="shared" si="54"/>
        <v>0</v>
      </c>
      <c r="X325" s="32">
        <f t="shared" si="54"/>
        <v>0</v>
      </c>
      <c r="Y325" s="32">
        <f t="shared" si="54"/>
        <v>0</v>
      </c>
      <c r="Z325" s="32">
        <f t="shared" si="54"/>
        <v>23</v>
      </c>
      <c r="AA325" s="32">
        <f t="shared" si="54"/>
        <v>0</v>
      </c>
      <c r="AB325" s="32">
        <f t="shared" si="54"/>
        <v>0</v>
      </c>
      <c r="AC325" s="31">
        <f t="shared" si="54"/>
        <v>0</v>
      </c>
      <c r="AD325" s="37"/>
      <c r="AE325" s="49"/>
    </row>
    <row r="326" spans="1:31" ht="15.75" customHeight="1">
      <c r="A326" s="4">
        <v>247</v>
      </c>
      <c r="B326" s="47"/>
      <c r="C326" s="42" t="s">
        <v>71</v>
      </c>
      <c r="D326" s="46">
        <v>21</v>
      </c>
      <c r="E326" s="32">
        <f t="shared" ref="E326:AC326" si="55">SUM(E11+E34+E57+E80+E103+E126)</f>
        <v>126</v>
      </c>
      <c r="F326" s="32">
        <f t="shared" si="55"/>
        <v>1</v>
      </c>
      <c r="G326" s="32">
        <f t="shared" si="55"/>
        <v>2</v>
      </c>
      <c r="H326" s="35">
        <f t="shared" si="55"/>
        <v>0</v>
      </c>
      <c r="I326" s="34">
        <f t="shared" si="55"/>
        <v>0</v>
      </c>
      <c r="J326" s="33">
        <f t="shared" si="55"/>
        <v>0</v>
      </c>
      <c r="K326" s="33">
        <f t="shared" si="55"/>
        <v>0</v>
      </c>
      <c r="L326" s="32">
        <f t="shared" si="55"/>
        <v>0</v>
      </c>
      <c r="M326" s="32">
        <f t="shared" si="55"/>
        <v>6</v>
      </c>
      <c r="N326" s="32">
        <f t="shared" si="55"/>
        <v>0</v>
      </c>
      <c r="O326" s="32">
        <f t="shared" si="55"/>
        <v>17</v>
      </c>
      <c r="P326" s="32">
        <f t="shared" si="55"/>
        <v>2</v>
      </c>
      <c r="Q326" s="32">
        <f t="shared" si="55"/>
        <v>4</v>
      </c>
      <c r="R326" s="32">
        <f t="shared" si="55"/>
        <v>0</v>
      </c>
      <c r="S326" s="32">
        <f t="shared" si="55"/>
        <v>0</v>
      </c>
      <c r="T326" s="32">
        <f t="shared" si="55"/>
        <v>0</v>
      </c>
      <c r="U326" s="32">
        <f t="shared" si="55"/>
        <v>9</v>
      </c>
      <c r="V326" s="32">
        <f t="shared" si="55"/>
        <v>78</v>
      </c>
      <c r="W326" s="32">
        <f t="shared" si="55"/>
        <v>0</v>
      </c>
      <c r="X326" s="32">
        <f t="shared" si="55"/>
        <v>0</v>
      </c>
      <c r="Y326" s="32">
        <f t="shared" si="55"/>
        <v>0</v>
      </c>
      <c r="Z326" s="32">
        <f t="shared" si="55"/>
        <v>6</v>
      </c>
      <c r="AA326" s="32">
        <f t="shared" si="55"/>
        <v>1</v>
      </c>
      <c r="AB326" s="32">
        <f t="shared" si="55"/>
        <v>0</v>
      </c>
      <c r="AC326" s="31">
        <f t="shared" si="55"/>
        <v>0</v>
      </c>
      <c r="AD326" s="37"/>
      <c r="AE326" s="49"/>
    </row>
    <row r="327" spans="1:31" ht="15.75" customHeight="1">
      <c r="A327" s="4">
        <v>248</v>
      </c>
      <c r="B327" s="47"/>
      <c r="C327" s="42" t="s">
        <v>72</v>
      </c>
      <c r="D327" s="46">
        <v>21</v>
      </c>
      <c r="E327" s="32">
        <f t="shared" ref="E327:AC327" si="56">SUM(E12+E35+E58+E81+E104+E127)</f>
        <v>126</v>
      </c>
      <c r="F327" s="32">
        <f t="shared" si="56"/>
        <v>0</v>
      </c>
      <c r="G327" s="32">
        <f t="shared" si="56"/>
        <v>0</v>
      </c>
      <c r="H327" s="35">
        <f t="shared" si="56"/>
        <v>34</v>
      </c>
      <c r="I327" s="34">
        <f t="shared" si="56"/>
        <v>0</v>
      </c>
      <c r="J327" s="33">
        <f t="shared" si="56"/>
        <v>0</v>
      </c>
      <c r="K327" s="33">
        <f t="shared" si="56"/>
        <v>0</v>
      </c>
      <c r="L327" s="32">
        <f t="shared" si="56"/>
        <v>0</v>
      </c>
      <c r="M327" s="32">
        <f t="shared" si="56"/>
        <v>0</v>
      </c>
      <c r="N327" s="32">
        <f t="shared" si="56"/>
        <v>0</v>
      </c>
      <c r="O327" s="32">
        <f t="shared" si="56"/>
        <v>0</v>
      </c>
      <c r="P327" s="32">
        <f t="shared" si="56"/>
        <v>5</v>
      </c>
      <c r="Q327" s="32">
        <f t="shared" si="56"/>
        <v>8</v>
      </c>
      <c r="R327" s="32">
        <f t="shared" si="56"/>
        <v>0</v>
      </c>
      <c r="S327" s="32">
        <f t="shared" si="56"/>
        <v>0</v>
      </c>
      <c r="T327" s="32">
        <f t="shared" si="56"/>
        <v>0</v>
      </c>
      <c r="U327" s="32">
        <f t="shared" si="56"/>
        <v>15</v>
      </c>
      <c r="V327" s="32">
        <f t="shared" si="56"/>
        <v>40</v>
      </c>
      <c r="W327" s="32">
        <f t="shared" si="56"/>
        <v>16</v>
      </c>
      <c r="X327" s="32">
        <f t="shared" si="56"/>
        <v>0</v>
      </c>
      <c r="Y327" s="32">
        <f t="shared" si="56"/>
        <v>0</v>
      </c>
      <c r="Z327" s="32">
        <f t="shared" si="56"/>
        <v>8</v>
      </c>
      <c r="AA327" s="32">
        <f t="shared" si="56"/>
        <v>0</v>
      </c>
      <c r="AB327" s="32">
        <f t="shared" si="56"/>
        <v>0</v>
      </c>
      <c r="AC327" s="31">
        <f t="shared" si="56"/>
        <v>0</v>
      </c>
      <c r="AD327" s="37"/>
      <c r="AE327" s="49"/>
    </row>
    <row r="328" spans="1:31" ht="15.75" customHeight="1">
      <c r="A328" s="4">
        <v>249</v>
      </c>
      <c r="B328" s="47"/>
      <c r="C328" s="42" t="s">
        <v>73</v>
      </c>
      <c r="D328" s="46">
        <v>21</v>
      </c>
      <c r="E328" s="32">
        <f t="shared" ref="E328:AC328" si="57">SUM(E13+E36+E59+E82+E105+E128)</f>
        <v>80</v>
      </c>
      <c r="F328" s="32">
        <f t="shared" si="57"/>
        <v>0</v>
      </c>
      <c r="G328" s="32">
        <f t="shared" si="57"/>
        <v>0</v>
      </c>
      <c r="H328" s="35">
        <f t="shared" si="57"/>
        <v>0</v>
      </c>
      <c r="I328" s="34">
        <f t="shared" si="57"/>
        <v>0</v>
      </c>
      <c r="J328" s="33">
        <f t="shared" si="57"/>
        <v>0</v>
      </c>
      <c r="K328" s="33">
        <f t="shared" si="57"/>
        <v>0</v>
      </c>
      <c r="L328" s="32">
        <f t="shared" si="57"/>
        <v>5</v>
      </c>
      <c r="M328" s="32">
        <f t="shared" si="57"/>
        <v>0</v>
      </c>
      <c r="N328" s="32">
        <f t="shared" si="57"/>
        <v>0</v>
      </c>
      <c r="O328" s="32">
        <f t="shared" si="57"/>
        <v>0</v>
      </c>
      <c r="P328" s="32">
        <f t="shared" si="57"/>
        <v>0</v>
      </c>
      <c r="Q328" s="32">
        <f t="shared" si="57"/>
        <v>1</v>
      </c>
      <c r="R328" s="32">
        <f t="shared" si="57"/>
        <v>0</v>
      </c>
      <c r="S328" s="32">
        <f t="shared" si="57"/>
        <v>0</v>
      </c>
      <c r="T328" s="32">
        <f t="shared" si="57"/>
        <v>0</v>
      </c>
      <c r="U328" s="32">
        <f t="shared" si="57"/>
        <v>30</v>
      </c>
      <c r="V328" s="32">
        <f t="shared" si="57"/>
        <v>44</v>
      </c>
      <c r="W328" s="32">
        <f t="shared" si="57"/>
        <v>0</v>
      </c>
      <c r="X328" s="32">
        <f t="shared" si="57"/>
        <v>0</v>
      </c>
      <c r="Y328" s="32">
        <f t="shared" si="57"/>
        <v>0</v>
      </c>
      <c r="Z328" s="32">
        <f t="shared" si="57"/>
        <v>0</v>
      </c>
      <c r="AA328" s="32">
        <f t="shared" si="57"/>
        <v>0</v>
      </c>
      <c r="AB328" s="32">
        <f t="shared" si="57"/>
        <v>0</v>
      </c>
      <c r="AC328" s="31">
        <f t="shared" si="57"/>
        <v>0</v>
      </c>
      <c r="AD328" s="37"/>
      <c r="AE328" s="49"/>
    </row>
    <row r="329" spans="1:31" ht="15.75" customHeight="1">
      <c r="A329" s="4">
        <v>250</v>
      </c>
      <c r="B329" s="47"/>
      <c r="C329" s="42" t="s">
        <v>74</v>
      </c>
      <c r="D329" s="46">
        <v>21</v>
      </c>
      <c r="E329" s="32">
        <f t="shared" ref="E329:AC329" si="58">SUM(E14+E37+E60+E83+E106+E129)</f>
        <v>126</v>
      </c>
      <c r="F329" s="32">
        <f t="shared" si="58"/>
        <v>0</v>
      </c>
      <c r="G329" s="32">
        <f t="shared" si="58"/>
        <v>0</v>
      </c>
      <c r="H329" s="35">
        <f t="shared" si="58"/>
        <v>0</v>
      </c>
      <c r="I329" s="34">
        <f t="shared" si="58"/>
        <v>11</v>
      </c>
      <c r="J329" s="33">
        <f t="shared" si="58"/>
        <v>0</v>
      </c>
      <c r="K329" s="33">
        <f t="shared" si="58"/>
        <v>0</v>
      </c>
      <c r="L329" s="32">
        <f t="shared" si="58"/>
        <v>0</v>
      </c>
      <c r="M329" s="32">
        <f t="shared" si="58"/>
        <v>0</v>
      </c>
      <c r="N329" s="32">
        <f t="shared" si="58"/>
        <v>0</v>
      </c>
      <c r="O329" s="32">
        <f t="shared" si="58"/>
        <v>3</v>
      </c>
      <c r="P329" s="32">
        <f t="shared" si="58"/>
        <v>9</v>
      </c>
      <c r="Q329" s="32">
        <f t="shared" si="58"/>
        <v>21</v>
      </c>
      <c r="R329" s="32">
        <f t="shared" si="58"/>
        <v>0</v>
      </c>
      <c r="S329" s="32">
        <f t="shared" si="58"/>
        <v>0</v>
      </c>
      <c r="T329" s="32">
        <f t="shared" si="58"/>
        <v>79</v>
      </c>
      <c r="U329" s="32">
        <f t="shared" si="58"/>
        <v>3</v>
      </c>
      <c r="V329" s="32">
        <f t="shared" si="58"/>
        <v>0</v>
      </c>
      <c r="W329" s="32">
        <f t="shared" si="58"/>
        <v>0</v>
      </c>
      <c r="X329" s="32">
        <f t="shared" si="58"/>
        <v>0</v>
      </c>
      <c r="Y329" s="32">
        <f t="shared" si="58"/>
        <v>0</v>
      </c>
      <c r="Z329" s="32">
        <f t="shared" si="58"/>
        <v>0</v>
      </c>
      <c r="AA329" s="32">
        <f t="shared" si="58"/>
        <v>0</v>
      </c>
      <c r="AB329" s="32">
        <f t="shared" si="58"/>
        <v>0</v>
      </c>
      <c r="AC329" s="31">
        <f t="shared" si="58"/>
        <v>0</v>
      </c>
      <c r="AD329" s="37"/>
      <c r="AE329" s="49"/>
    </row>
    <row r="330" spans="1:31" ht="15.75" customHeight="1">
      <c r="A330" s="4">
        <v>251</v>
      </c>
      <c r="B330" s="47"/>
      <c r="C330" s="42" t="s">
        <v>75</v>
      </c>
      <c r="D330" s="46">
        <v>21</v>
      </c>
      <c r="E330" s="32">
        <f t="shared" ref="E330:AC330" si="59">SUM(E15+E38+E61+E84+E107+E130)</f>
        <v>126</v>
      </c>
      <c r="F330" s="32">
        <f t="shared" si="59"/>
        <v>0</v>
      </c>
      <c r="G330" s="32">
        <f t="shared" si="59"/>
        <v>0</v>
      </c>
      <c r="H330" s="35">
        <f t="shared" si="59"/>
        <v>0</v>
      </c>
      <c r="I330" s="34">
        <f t="shared" si="59"/>
        <v>34</v>
      </c>
      <c r="J330" s="33">
        <f t="shared" si="59"/>
        <v>0</v>
      </c>
      <c r="K330" s="33">
        <f t="shared" si="59"/>
        <v>0</v>
      </c>
      <c r="L330" s="32">
        <f t="shared" si="59"/>
        <v>0</v>
      </c>
      <c r="M330" s="32">
        <f t="shared" si="59"/>
        <v>17</v>
      </c>
      <c r="N330" s="32">
        <f t="shared" si="59"/>
        <v>0</v>
      </c>
      <c r="O330" s="32">
        <f t="shared" si="59"/>
        <v>0</v>
      </c>
      <c r="P330" s="32">
        <f t="shared" si="59"/>
        <v>0</v>
      </c>
      <c r="Q330" s="32">
        <f t="shared" si="59"/>
        <v>1</v>
      </c>
      <c r="R330" s="32">
        <f t="shared" si="59"/>
        <v>0</v>
      </c>
      <c r="S330" s="32">
        <f t="shared" si="59"/>
        <v>0</v>
      </c>
      <c r="T330" s="32">
        <f t="shared" si="59"/>
        <v>30</v>
      </c>
      <c r="U330" s="32">
        <f t="shared" si="59"/>
        <v>0</v>
      </c>
      <c r="V330" s="32">
        <f t="shared" si="59"/>
        <v>0</v>
      </c>
      <c r="W330" s="32">
        <f t="shared" si="59"/>
        <v>0</v>
      </c>
      <c r="X330" s="32">
        <f t="shared" si="59"/>
        <v>0</v>
      </c>
      <c r="Y330" s="32">
        <f t="shared" si="59"/>
        <v>0</v>
      </c>
      <c r="Z330" s="32">
        <f t="shared" si="59"/>
        <v>14</v>
      </c>
      <c r="AA330" s="32">
        <f t="shared" si="59"/>
        <v>30</v>
      </c>
      <c r="AB330" s="32">
        <f t="shared" si="59"/>
        <v>0</v>
      </c>
      <c r="AC330" s="31">
        <f t="shared" si="59"/>
        <v>0</v>
      </c>
      <c r="AD330" s="37"/>
      <c r="AE330" s="49"/>
    </row>
    <row r="331" spans="1:31" ht="15.75" customHeight="1">
      <c r="A331" s="4">
        <v>252</v>
      </c>
      <c r="B331" s="47"/>
      <c r="C331" s="42" t="s">
        <v>76</v>
      </c>
      <c r="D331" s="46">
        <v>21</v>
      </c>
      <c r="E331" s="32">
        <f t="shared" ref="E331:AC331" si="60">SUM(E16+E39+E62+E85+E108+E131)</f>
        <v>126</v>
      </c>
      <c r="F331" s="32">
        <f t="shared" si="60"/>
        <v>10</v>
      </c>
      <c r="G331" s="32">
        <f t="shared" si="60"/>
        <v>0</v>
      </c>
      <c r="H331" s="35">
        <f t="shared" si="60"/>
        <v>0</v>
      </c>
      <c r="I331" s="34">
        <f t="shared" si="60"/>
        <v>8</v>
      </c>
      <c r="J331" s="33">
        <f t="shared" si="60"/>
        <v>0</v>
      </c>
      <c r="K331" s="33">
        <f t="shared" si="60"/>
        <v>0</v>
      </c>
      <c r="L331" s="32">
        <f t="shared" si="60"/>
        <v>0</v>
      </c>
      <c r="M331" s="32">
        <f t="shared" si="60"/>
        <v>0</v>
      </c>
      <c r="N331" s="32">
        <f t="shared" si="60"/>
        <v>0</v>
      </c>
      <c r="O331" s="32">
        <f t="shared" si="60"/>
        <v>0</v>
      </c>
      <c r="P331" s="32">
        <f t="shared" si="60"/>
        <v>3</v>
      </c>
      <c r="Q331" s="32">
        <f t="shared" si="60"/>
        <v>40</v>
      </c>
      <c r="R331" s="32">
        <f t="shared" si="60"/>
        <v>0</v>
      </c>
      <c r="S331" s="32">
        <f t="shared" si="60"/>
        <v>0</v>
      </c>
      <c r="T331" s="32">
        <f t="shared" si="60"/>
        <v>0</v>
      </c>
      <c r="U331" s="32">
        <f t="shared" si="60"/>
        <v>0</v>
      </c>
      <c r="V331" s="32">
        <f t="shared" si="60"/>
        <v>49</v>
      </c>
      <c r="W331" s="32">
        <f t="shared" si="60"/>
        <v>0</v>
      </c>
      <c r="X331" s="32">
        <f t="shared" si="60"/>
        <v>0</v>
      </c>
      <c r="Y331" s="32">
        <f t="shared" si="60"/>
        <v>0</v>
      </c>
      <c r="Z331" s="32">
        <f t="shared" si="60"/>
        <v>16</v>
      </c>
      <c r="AA331" s="32">
        <f t="shared" si="60"/>
        <v>0</v>
      </c>
      <c r="AB331" s="32">
        <f t="shared" si="60"/>
        <v>0</v>
      </c>
      <c r="AC331" s="31">
        <f t="shared" si="60"/>
        <v>0</v>
      </c>
      <c r="AD331" s="37"/>
      <c r="AE331" s="49"/>
    </row>
    <row r="332" spans="1:31" ht="15.75" customHeight="1">
      <c r="A332" s="4">
        <v>253</v>
      </c>
      <c r="B332" s="47"/>
      <c r="C332" s="42" t="s">
        <v>77</v>
      </c>
      <c r="D332" s="46">
        <v>21</v>
      </c>
      <c r="E332" s="32">
        <f t="shared" ref="E332:AC332" si="61">SUM(E17+E40+E63+E86+E109+E132)</f>
        <v>126</v>
      </c>
      <c r="F332" s="32">
        <f t="shared" si="61"/>
        <v>0</v>
      </c>
      <c r="G332" s="32">
        <f t="shared" si="61"/>
        <v>0</v>
      </c>
      <c r="H332" s="35">
        <f t="shared" si="61"/>
        <v>0</v>
      </c>
      <c r="I332" s="34">
        <f t="shared" si="61"/>
        <v>0</v>
      </c>
      <c r="J332" s="33">
        <f t="shared" si="61"/>
        <v>0</v>
      </c>
      <c r="K332" s="33">
        <f t="shared" si="61"/>
        <v>0</v>
      </c>
      <c r="L332" s="32">
        <f t="shared" si="61"/>
        <v>1</v>
      </c>
      <c r="M332" s="32">
        <f t="shared" si="61"/>
        <v>15</v>
      </c>
      <c r="N332" s="32">
        <f t="shared" si="61"/>
        <v>0</v>
      </c>
      <c r="O332" s="32">
        <f t="shared" si="61"/>
        <v>0</v>
      </c>
      <c r="P332" s="32">
        <f t="shared" si="61"/>
        <v>0</v>
      </c>
      <c r="Q332" s="32">
        <f t="shared" si="61"/>
        <v>5</v>
      </c>
      <c r="R332" s="32">
        <f t="shared" si="61"/>
        <v>0</v>
      </c>
      <c r="S332" s="32">
        <f t="shared" si="61"/>
        <v>0</v>
      </c>
      <c r="T332" s="32">
        <f t="shared" si="61"/>
        <v>0</v>
      </c>
      <c r="U332" s="32">
        <f t="shared" si="61"/>
        <v>33</v>
      </c>
      <c r="V332" s="32">
        <f t="shared" si="61"/>
        <v>66</v>
      </c>
      <c r="W332" s="32">
        <f t="shared" si="61"/>
        <v>0</v>
      </c>
      <c r="X332" s="32">
        <f t="shared" si="61"/>
        <v>0</v>
      </c>
      <c r="Y332" s="32">
        <f t="shared" si="61"/>
        <v>1</v>
      </c>
      <c r="Z332" s="32">
        <f t="shared" si="61"/>
        <v>5</v>
      </c>
      <c r="AA332" s="32">
        <f t="shared" si="61"/>
        <v>0</v>
      </c>
      <c r="AB332" s="32">
        <f t="shared" si="61"/>
        <v>0</v>
      </c>
      <c r="AC332" s="31">
        <f t="shared" si="61"/>
        <v>0</v>
      </c>
      <c r="AD332" s="37"/>
      <c r="AE332" s="49"/>
    </row>
    <row r="333" spans="1:31" ht="15.75" customHeight="1">
      <c r="A333" s="4">
        <v>254</v>
      </c>
      <c r="B333" s="47"/>
      <c r="C333" s="42" t="s">
        <v>78</v>
      </c>
      <c r="D333" s="46">
        <v>21</v>
      </c>
      <c r="E333" s="32">
        <f t="shared" ref="E333:AC333" si="62">SUM(E18+E41+E64+E87+E110+E133)</f>
        <v>0</v>
      </c>
      <c r="F333" s="32">
        <f t="shared" si="62"/>
        <v>0</v>
      </c>
      <c r="G333" s="32">
        <f t="shared" si="62"/>
        <v>0</v>
      </c>
      <c r="H333" s="35">
        <f t="shared" si="62"/>
        <v>0</v>
      </c>
      <c r="I333" s="34">
        <f t="shared" si="62"/>
        <v>0</v>
      </c>
      <c r="J333" s="33">
        <f t="shared" si="62"/>
        <v>0</v>
      </c>
      <c r="K333" s="33">
        <f t="shared" si="62"/>
        <v>0</v>
      </c>
      <c r="L333" s="32">
        <f t="shared" si="62"/>
        <v>0</v>
      </c>
      <c r="M333" s="32">
        <f t="shared" si="62"/>
        <v>0</v>
      </c>
      <c r="N333" s="32">
        <f t="shared" si="62"/>
        <v>0</v>
      </c>
      <c r="O333" s="32">
        <f t="shared" si="62"/>
        <v>0</v>
      </c>
      <c r="P333" s="32">
        <f t="shared" si="62"/>
        <v>0</v>
      </c>
      <c r="Q333" s="32">
        <f t="shared" si="62"/>
        <v>0</v>
      </c>
      <c r="R333" s="32">
        <f t="shared" si="62"/>
        <v>0</v>
      </c>
      <c r="S333" s="32">
        <f t="shared" si="62"/>
        <v>0</v>
      </c>
      <c r="T333" s="32">
        <f t="shared" si="62"/>
        <v>0</v>
      </c>
      <c r="U333" s="32">
        <f t="shared" si="62"/>
        <v>0</v>
      </c>
      <c r="V333" s="32">
        <f t="shared" si="62"/>
        <v>0</v>
      </c>
      <c r="W333" s="32">
        <f t="shared" si="62"/>
        <v>0</v>
      </c>
      <c r="X333" s="32">
        <f t="shared" si="62"/>
        <v>0</v>
      </c>
      <c r="Y333" s="32">
        <f t="shared" si="62"/>
        <v>0</v>
      </c>
      <c r="Z333" s="32">
        <f t="shared" si="62"/>
        <v>0</v>
      </c>
      <c r="AA333" s="32">
        <f t="shared" si="62"/>
        <v>0</v>
      </c>
      <c r="AB333" s="32">
        <f t="shared" si="62"/>
        <v>0</v>
      </c>
      <c r="AC333" s="31">
        <f t="shared" si="62"/>
        <v>0</v>
      </c>
      <c r="AD333" s="37"/>
      <c r="AE333" s="49"/>
    </row>
    <row r="334" spans="1:31" ht="15.75" customHeight="1">
      <c r="A334" s="4">
        <v>255</v>
      </c>
      <c r="B334" s="47"/>
      <c r="C334" s="42" t="s">
        <v>79</v>
      </c>
      <c r="D334" s="46">
        <v>21</v>
      </c>
      <c r="E334" s="32">
        <f t="shared" ref="E334:AC334" si="63">SUM(E19+E42+E65+E88+E111+E134)</f>
        <v>0</v>
      </c>
      <c r="F334" s="32">
        <f t="shared" si="63"/>
        <v>0</v>
      </c>
      <c r="G334" s="32">
        <f t="shared" si="63"/>
        <v>0</v>
      </c>
      <c r="H334" s="35">
        <f t="shared" si="63"/>
        <v>0</v>
      </c>
      <c r="I334" s="34">
        <f t="shared" si="63"/>
        <v>0</v>
      </c>
      <c r="J334" s="33">
        <f t="shared" si="63"/>
        <v>0</v>
      </c>
      <c r="K334" s="33">
        <f t="shared" si="63"/>
        <v>0</v>
      </c>
      <c r="L334" s="32">
        <f t="shared" si="63"/>
        <v>0</v>
      </c>
      <c r="M334" s="32">
        <f t="shared" si="63"/>
        <v>0</v>
      </c>
      <c r="N334" s="32">
        <f t="shared" si="63"/>
        <v>0</v>
      </c>
      <c r="O334" s="32">
        <f t="shared" si="63"/>
        <v>0</v>
      </c>
      <c r="P334" s="32">
        <f t="shared" si="63"/>
        <v>0</v>
      </c>
      <c r="Q334" s="32">
        <f t="shared" si="63"/>
        <v>0</v>
      </c>
      <c r="R334" s="32">
        <f t="shared" si="63"/>
        <v>0</v>
      </c>
      <c r="S334" s="32">
        <f t="shared" si="63"/>
        <v>0</v>
      </c>
      <c r="T334" s="32">
        <f t="shared" si="63"/>
        <v>0</v>
      </c>
      <c r="U334" s="32">
        <f t="shared" si="63"/>
        <v>0</v>
      </c>
      <c r="V334" s="32">
        <f t="shared" si="63"/>
        <v>0</v>
      </c>
      <c r="W334" s="32">
        <f t="shared" si="63"/>
        <v>0</v>
      </c>
      <c r="X334" s="32">
        <f t="shared" si="63"/>
        <v>0</v>
      </c>
      <c r="Y334" s="32">
        <f t="shared" si="63"/>
        <v>0</v>
      </c>
      <c r="Z334" s="32">
        <f t="shared" si="63"/>
        <v>0</v>
      </c>
      <c r="AA334" s="32">
        <f t="shared" si="63"/>
        <v>0</v>
      </c>
      <c r="AB334" s="32">
        <f t="shared" si="63"/>
        <v>0</v>
      </c>
      <c r="AC334" s="31">
        <f t="shared" si="63"/>
        <v>0</v>
      </c>
      <c r="AD334" s="37"/>
      <c r="AE334" s="49"/>
    </row>
    <row r="335" spans="1:31" ht="15.75" customHeight="1">
      <c r="A335" s="4">
        <v>256</v>
      </c>
      <c r="B335" s="47"/>
      <c r="C335" s="43" t="s">
        <v>80</v>
      </c>
      <c r="D335" s="46">
        <v>21</v>
      </c>
      <c r="E335" s="32">
        <f t="shared" ref="E335:AC335" si="64">SUM(E20+E43+E66+E89+E112+E135)</f>
        <v>126</v>
      </c>
      <c r="F335" s="32">
        <f t="shared" si="64"/>
        <v>0</v>
      </c>
      <c r="G335" s="32">
        <f t="shared" si="64"/>
        <v>0</v>
      </c>
      <c r="H335" s="35">
        <f t="shared" si="64"/>
        <v>0</v>
      </c>
      <c r="I335" s="34">
        <f t="shared" si="64"/>
        <v>0</v>
      </c>
      <c r="J335" s="33">
        <f t="shared" si="64"/>
        <v>0</v>
      </c>
      <c r="K335" s="33">
        <f t="shared" si="64"/>
        <v>0</v>
      </c>
      <c r="L335" s="32">
        <f t="shared" si="64"/>
        <v>0</v>
      </c>
      <c r="M335" s="32">
        <f t="shared" si="64"/>
        <v>0</v>
      </c>
      <c r="N335" s="32">
        <f t="shared" si="64"/>
        <v>0</v>
      </c>
      <c r="O335" s="32">
        <f t="shared" si="64"/>
        <v>0</v>
      </c>
      <c r="P335" s="32">
        <f t="shared" si="64"/>
        <v>0</v>
      </c>
      <c r="Q335" s="32">
        <f t="shared" si="64"/>
        <v>0</v>
      </c>
      <c r="R335" s="32">
        <f t="shared" si="64"/>
        <v>0</v>
      </c>
      <c r="S335" s="32">
        <f t="shared" si="64"/>
        <v>0</v>
      </c>
      <c r="T335" s="32">
        <f t="shared" si="64"/>
        <v>0</v>
      </c>
      <c r="U335" s="32">
        <f t="shared" si="64"/>
        <v>0</v>
      </c>
      <c r="V335" s="32">
        <f t="shared" si="64"/>
        <v>0</v>
      </c>
      <c r="W335" s="32">
        <f t="shared" si="64"/>
        <v>0</v>
      </c>
      <c r="X335" s="32">
        <f t="shared" si="64"/>
        <v>126</v>
      </c>
      <c r="Y335" s="32">
        <f t="shared" si="64"/>
        <v>0</v>
      </c>
      <c r="Z335" s="32">
        <f t="shared" si="64"/>
        <v>0</v>
      </c>
      <c r="AA335" s="32">
        <f t="shared" si="64"/>
        <v>0</v>
      </c>
      <c r="AB335" s="32">
        <f t="shared" si="64"/>
        <v>0</v>
      </c>
      <c r="AC335" s="31">
        <f t="shared" si="64"/>
        <v>0</v>
      </c>
      <c r="AD335" s="37"/>
      <c r="AE335" s="49"/>
    </row>
    <row r="336" spans="1:31" ht="22.75" customHeight="1">
      <c r="A336" s="4">
        <v>257</v>
      </c>
      <c r="B336" s="38"/>
      <c r="C336" s="36"/>
      <c r="D336" s="32"/>
      <c r="E336" s="32"/>
      <c r="F336" s="32"/>
      <c r="G336" s="32"/>
      <c r="H336" s="35"/>
      <c r="I336" s="34"/>
      <c r="J336" s="33"/>
      <c r="K336" s="33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1"/>
      <c r="AD336" s="37"/>
      <c r="AE336" s="49"/>
    </row>
    <row r="337" spans="1:31" ht="15.75" customHeight="1">
      <c r="A337" s="4">
        <v>258</v>
      </c>
      <c r="B337" s="45" t="s">
        <v>7</v>
      </c>
      <c r="C337" s="98" t="s">
        <v>6</v>
      </c>
      <c r="D337" s="99"/>
      <c r="E337" s="100"/>
      <c r="F337" s="40"/>
      <c r="G337" s="40"/>
      <c r="H337" s="41"/>
      <c r="I337" s="33"/>
      <c r="J337" s="33"/>
      <c r="K337" s="3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39"/>
      <c r="AD337" s="37"/>
      <c r="AE337" s="49"/>
    </row>
    <row r="338" spans="1:31" ht="15.75" customHeight="1">
      <c r="A338" s="4">
        <v>259</v>
      </c>
      <c r="B338" s="44"/>
      <c r="C338" s="42" t="s">
        <v>68</v>
      </c>
      <c r="D338" s="42">
        <v>30000</v>
      </c>
      <c r="E338" s="32">
        <f t="shared" ref="E338:S338" si="65">ROUND(E323/21*$D338,2)</f>
        <v>180000</v>
      </c>
      <c r="F338" s="32">
        <f t="shared" si="65"/>
        <v>12857.14</v>
      </c>
      <c r="G338" s="40">
        <f t="shared" si="65"/>
        <v>0</v>
      </c>
      <c r="H338" s="41">
        <f t="shared" si="65"/>
        <v>0</v>
      </c>
      <c r="I338" s="33">
        <f t="shared" si="65"/>
        <v>0</v>
      </c>
      <c r="J338" s="33">
        <f t="shared" si="65"/>
        <v>0</v>
      </c>
      <c r="K338" s="33">
        <f t="shared" si="65"/>
        <v>0</v>
      </c>
      <c r="L338" s="40">
        <f t="shared" si="65"/>
        <v>0</v>
      </c>
      <c r="M338" s="40">
        <f t="shared" si="65"/>
        <v>10000</v>
      </c>
      <c r="N338" s="40">
        <f t="shared" si="65"/>
        <v>0</v>
      </c>
      <c r="O338" s="40">
        <f t="shared" si="65"/>
        <v>2857.14</v>
      </c>
      <c r="P338" s="40">
        <f t="shared" si="65"/>
        <v>4285.71</v>
      </c>
      <c r="Q338" s="40">
        <f t="shared" si="65"/>
        <v>2857.14</v>
      </c>
      <c r="R338" s="40">
        <f t="shared" si="65"/>
        <v>0</v>
      </c>
      <c r="S338" s="40">
        <f t="shared" si="65"/>
        <v>0</v>
      </c>
      <c r="T338" s="40">
        <f t="shared" ref="T338:W350" si="66">ROUND(T323/21.75*$D338,2)</f>
        <v>41379.31</v>
      </c>
      <c r="U338" s="40">
        <f t="shared" si="66"/>
        <v>15172.41</v>
      </c>
      <c r="V338" s="40">
        <f t="shared" si="66"/>
        <v>49655.17</v>
      </c>
      <c r="W338" s="40">
        <f t="shared" si="66"/>
        <v>26206.9</v>
      </c>
      <c r="X338" s="40">
        <f t="shared" ref="X338:AC350" si="67">ROUND(X323/21*$D338,2)</f>
        <v>0</v>
      </c>
      <c r="Y338" s="40">
        <f t="shared" si="67"/>
        <v>5714.29</v>
      </c>
      <c r="Z338" s="40">
        <f t="shared" si="67"/>
        <v>0</v>
      </c>
      <c r="AA338" s="40">
        <f t="shared" si="67"/>
        <v>4285.71</v>
      </c>
      <c r="AB338" s="40">
        <f t="shared" si="67"/>
        <v>0</v>
      </c>
      <c r="AC338" s="39">
        <f t="shared" si="67"/>
        <v>0</v>
      </c>
      <c r="AD338" s="37"/>
      <c r="AE338" s="49"/>
    </row>
    <row r="339" spans="1:31" ht="15.75" customHeight="1">
      <c r="A339" s="4">
        <v>260</v>
      </c>
      <c r="B339" s="44"/>
      <c r="C339" s="42" t="s">
        <v>69</v>
      </c>
      <c r="D339" s="42">
        <v>30000</v>
      </c>
      <c r="E339" s="32">
        <f t="shared" ref="E339:S339" si="68">ROUND(E324/21*$D339,2)</f>
        <v>180000</v>
      </c>
      <c r="F339" s="40">
        <f t="shared" si="68"/>
        <v>0</v>
      </c>
      <c r="G339" s="40">
        <f t="shared" si="68"/>
        <v>0</v>
      </c>
      <c r="H339" s="41">
        <f t="shared" si="68"/>
        <v>0</v>
      </c>
      <c r="I339" s="33">
        <f t="shared" si="68"/>
        <v>7142.86</v>
      </c>
      <c r="J339" s="33">
        <f t="shared" si="68"/>
        <v>0</v>
      </c>
      <c r="K339" s="33">
        <f t="shared" si="68"/>
        <v>0</v>
      </c>
      <c r="L339" s="40">
        <f t="shared" si="68"/>
        <v>0</v>
      </c>
      <c r="M339" s="40">
        <f t="shared" si="68"/>
        <v>7142.86</v>
      </c>
      <c r="N339" s="40">
        <f t="shared" si="68"/>
        <v>0</v>
      </c>
      <c r="O339" s="40">
        <f t="shared" si="68"/>
        <v>10000</v>
      </c>
      <c r="P339" s="40">
        <f t="shared" si="68"/>
        <v>2857.14</v>
      </c>
      <c r="Q339" s="40">
        <f t="shared" si="68"/>
        <v>0</v>
      </c>
      <c r="R339" s="40">
        <f t="shared" si="68"/>
        <v>0</v>
      </c>
      <c r="S339" s="40">
        <f t="shared" si="68"/>
        <v>0</v>
      </c>
      <c r="T339" s="40">
        <f t="shared" si="66"/>
        <v>77241.38</v>
      </c>
      <c r="U339" s="40">
        <f t="shared" si="66"/>
        <v>0</v>
      </c>
      <c r="V339" s="40">
        <f t="shared" si="66"/>
        <v>28965.52</v>
      </c>
      <c r="W339" s="40">
        <f t="shared" si="66"/>
        <v>41379.31</v>
      </c>
      <c r="X339" s="40">
        <f t="shared" si="67"/>
        <v>0</v>
      </c>
      <c r="Y339" s="40">
        <f t="shared" si="67"/>
        <v>0</v>
      </c>
      <c r="Z339" s="40">
        <f t="shared" si="67"/>
        <v>0</v>
      </c>
      <c r="AA339" s="40">
        <f t="shared" si="67"/>
        <v>0</v>
      </c>
      <c r="AB339" s="40">
        <f t="shared" si="67"/>
        <v>0</v>
      </c>
      <c r="AC339" s="39">
        <f t="shared" si="67"/>
        <v>0</v>
      </c>
      <c r="AD339" s="37"/>
      <c r="AE339" s="49"/>
    </row>
    <row r="340" spans="1:31" ht="15.75" customHeight="1">
      <c r="A340" s="4">
        <v>261</v>
      </c>
      <c r="B340" s="44"/>
      <c r="C340" s="42" t="s">
        <v>70</v>
      </c>
      <c r="D340" s="42">
        <v>30000</v>
      </c>
      <c r="E340" s="32">
        <f t="shared" ref="E340:S340" si="69">ROUND(E325/21*$D340,2)</f>
        <v>180000</v>
      </c>
      <c r="F340" s="40">
        <f t="shared" si="69"/>
        <v>0</v>
      </c>
      <c r="G340" s="40">
        <f t="shared" si="69"/>
        <v>0</v>
      </c>
      <c r="H340" s="41">
        <f t="shared" si="69"/>
        <v>0</v>
      </c>
      <c r="I340" s="33">
        <f t="shared" si="69"/>
        <v>7142.86</v>
      </c>
      <c r="J340" s="33">
        <f t="shared" si="69"/>
        <v>0</v>
      </c>
      <c r="K340" s="33">
        <f t="shared" si="69"/>
        <v>0</v>
      </c>
      <c r="L340" s="40">
        <f t="shared" si="69"/>
        <v>0</v>
      </c>
      <c r="M340" s="40">
        <f t="shared" si="69"/>
        <v>0</v>
      </c>
      <c r="N340" s="40">
        <f t="shared" si="69"/>
        <v>0</v>
      </c>
      <c r="O340" s="40">
        <f t="shared" si="69"/>
        <v>7142.86</v>
      </c>
      <c r="P340" s="40">
        <f t="shared" si="69"/>
        <v>82857.14</v>
      </c>
      <c r="Q340" s="40">
        <f t="shared" si="69"/>
        <v>38571.43</v>
      </c>
      <c r="R340" s="40">
        <f t="shared" si="69"/>
        <v>0</v>
      </c>
      <c r="S340" s="40">
        <f t="shared" si="69"/>
        <v>0</v>
      </c>
      <c r="T340" s="40">
        <f t="shared" si="66"/>
        <v>0</v>
      </c>
      <c r="U340" s="40">
        <f t="shared" si="66"/>
        <v>0</v>
      </c>
      <c r="V340" s="40">
        <f t="shared" si="66"/>
        <v>11034.48</v>
      </c>
      <c r="W340" s="40">
        <f t="shared" si="66"/>
        <v>0</v>
      </c>
      <c r="X340" s="40">
        <f t="shared" si="67"/>
        <v>0</v>
      </c>
      <c r="Y340" s="40">
        <f t="shared" si="67"/>
        <v>0</v>
      </c>
      <c r="Z340" s="40">
        <f t="shared" si="67"/>
        <v>32857.14</v>
      </c>
      <c r="AA340" s="40">
        <f t="shared" si="67"/>
        <v>0</v>
      </c>
      <c r="AB340" s="40">
        <f t="shared" si="67"/>
        <v>0</v>
      </c>
      <c r="AC340" s="39">
        <f t="shared" si="67"/>
        <v>0</v>
      </c>
      <c r="AD340" s="37"/>
      <c r="AE340" s="49"/>
    </row>
    <row r="341" spans="1:31" ht="15.75" customHeight="1">
      <c r="A341" s="4">
        <v>262</v>
      </c>
      <c r="B341" s="44"/>
      <c r="C341" s="42" t="s">
        <v>71</v>
      </c>
      <c r="D341" s="42">
        <v>30000</v>
      </c>
      <c r="E341" s="32">
        <f t="shared" ref="E341:S341" si="70">ROUND(E326/21*$D341,2)</f>
        <v>180000</v>
      </c>
      <c r="F341" s="40">
        <f t="shared" si="70"/>
        <v>1428.57</v>
      </c>
      <c r="G341" s="40">
        <f t="shared" si="70"/>
        <v>2857.14</v>
      </c>
      <c r="H341" s="41">
        <f t="shared" si="70"/>
        <v>0</v>
      </c>
      <c r="I341" s="33">
        <f t="shared" si="70"/>
        <v>0</v>
      </c>
      <c r="J341" s="33">
        <f t="shared" si="70"/>
        <v>0</v>
      </c>
      <c r="K341" s="33">
        <f t="shared" si="70"/>
        <v>0</v>
      </c>
      <c r="L341" s="40">
        <f t="shared" si="70"/>
        <v>0</v>
      </c>
      <c r="M341" s="40">
        <f t="shared" si="70"/>
        <v>8571.43</v>
      </c>
      <c r="N341" s="40">
        <f t="shared" si="70"/>
        <v>0</v>
      </c>
      <c r="O341" s="40">
        <f t="shared" si="70"/>
        <v>24285.71</v>
      </c>
      <c r="P341" s="40">
        <f t="shared" si="70"/>
        <v>2857.14</v>
      </c>
      <c r="Q341" s="40">
        <f t="shared" si="70"/>
        <v>5714.29</v>
      </c>
      <c r="R341" s="40">
        <f t="shared" si="70"/>
        <v>0</v>
      </c>
      <c r="S341" s="40">
        <f t="shared" si="70"/>
        <v>0</v>
      </c>
      <c r="T341" s="40">
        <f t="shared" si="66"/>
        <v>0</v>
      </c>
      <c r="U341" s="40">
        <f t="shared" si="66"/>
        <v>12413.79</v>
      </c>
      <c r="V341" s="40">
        <f t="shared" si="66"/>
        <v>107586.21</v>
      </c>
      <c r="W341" s="40">
        <f t="shared" si="66"/>
        <v>0</v>
      </c>
      <c r="X341" s="40">
        <f t="shared" si="67"/>
        <v>0</v>
      </c>
      <c r="Y341" s="40">
        <f t="shared" si="67"/>
        <v>0</v>
      </c>
      <c r="Z341" s="40">
        <f t="shared" si="67"/>
        <v>8571.43</v>
      </c>
      <c r="AA341" s="40">
        <f t="shared" si="67"/>
        <v>1428.57</v>
      </c>
      <c r="AB341" s="40">
        <f t="shared" si="67"/>
        <v>0</v>
      </c>
      <c r="AC341" s="39">
        <f t="shared" si="67"/>
        <v>0</v>
      </c>
      <c r="AD341" s="37"/>
      <c r="AE341" s="49"/>
    </row>
    <row r="342" spans="1:31" ht="15.75" customHeight="1">
      <c r="A342" s="4">
        <v>263</v>
      </c>
      <c r="B342" s="44"/>
      <c r="C342" s="42" t="s">
        <v>72</v>
      </c>
      <c r="D342" s="42">
        <v>30000</v>
      </c>
      <c r="E342" s="32">
        <f t="shared" ref="E342:S342" si="71">ROUND(E327/21*$D342,2)</f>
        <v>180000</v>
      </c>
      <c r="F342" s="40">
        <f t="shared" si="71"/>
        <v>0</v>
      </c>
      <c r="G342" s="40">
        <f t="shared" si="71"/>
        <v>0</v>
      </c>
      <c r="H342" s="41">
        <f t="shared" si="71"/>
        <v>48571.43</v>
      </c>
      <c r="I342" s="33">
        <f t="shared" si="71"/>
        <v>0</v>
      </c>
      <c r="J342" s="33">
        <f t="shared" si="71"/>
        <v>0</v>
      </c>
      <c r="K342" s="33">
        <f t="shared" si="71"/>
        <v>0</v>
      </c>
      <c r="L342" s="40">
        <f t="shared" si="71"/>
        <v>0</v>
      </c>
      <c r="M342" s="40">
        <f t="shared" si="71"/>
        <v>0</v>
      </c>
      <c r="N342" s="40">
        <f t="shared" si="71"/>
        <v>0</v>
      </c>
      <c r="O342" s="40">
        <f t="shared" si="71"/>
        <v>0</v>
      </c>
      <c r="P342" s="40">
        <f t="shared" si="71"/>
        <v>7142.86</v>
      </c>
      <c r="Q342" s="40">
        <f t="shared" si="71"/>
        <v>11428.57</v>
      </c>
      <c r="R342" s="40">
        <f t="shared" si="71"/>
        <v>0</v>
      </c>
      <c r="S342" s="40">
        <f t="shared" si="71"/>
        <v>0</v>
      </c>
      <c r="T342" s="40">
        <f t="shared" si="66"/>
        <v>0</v>
      </c>
      <c r="U342" s="40">
        <f t="shared" si="66"/>
        <v>20689.66</v>
      </c>
      <c r="V342" s="40">
        <f t="shared" si="66"/>
        <v>55172.41</v>
      </c>
      <c r="W342" s="40">
        <f t="shared" si="66"/>
        <v>22068.97</v>
      </c>
      <c r="X342" s="40">
        <f t="shared" si="67"/>
        <v>0</v>
      </c>
      <c r="Y342" s="40">
        <f t="shared" si="67"/>
        <v>0</v>
      </c>
      <c r="Z342" s="40">
        <f t="shared" si="67"/>
        <v>11428.57</v>
      </c>
      <c r="AA342" s="40">
        <f t="shared" si="67"/>
        <v>0</v>
      </c>
      <c r="AB342" s="40">
        <f t="shared" si="67"/>
        <v>0</v>
      </c>
      <c r="AC342" s="39">
        <f t="shared" si="67"/>
        <v>0</v>
      </c>
      <c r="AD342" s="37"/>
      <c r="AE342" s="49"/>
    </row>
    <row r="343" spans="1:31" ht="15.75" customHeight="1">
      <c r="A343" s="4">
        <v>264</v>
      </c>
      <c r="B343" s="44"/>
      <c r="C343" s="42" t="s">
        <v>73</v>
      </c>
      <c r="D343" s="42">
        <v>30000</v>
      </c>
      <c r="E343" s="32">
        <f t="shared" ref="E343:S343" si="72">ROUND(E328/21*$D343,2)</f>
        <v>114285.71</v>
      </c>
      <c r="F343" s="40">
        <f t="shared" si="72"/>
        <v>0</v>
      </c>
      <c r="G343" s="40">
        <f t="shared" si="72"/>
        <v>0</v>
      </c>
      <c r="H343" s="41">
        <f t="shared" si="72"/>
        <v>0</v>
      </c>
      <c r="I343" s="33">
        <f t="shared" si="72"/>
        <v>0</v>
      </c>
      <c r="J343" s="33">
        <f t="shared" si="72"/>
        <v>0</v>
      </c>
      <c r="K343" s="33">
        <f t="shared" si="72"/>
        <v>0</v>
      </c>
      <c r="L343" s="40">
        <f t="shared" si="72"/>
        <v>7142.86</v>
      </c>
      <c r="M343" s="40">
        <f t="shared" si="72"/>
        <v>0</v>
      </c>
      <c r="N343" s="40">
        <f t="shared" si="72"/>
        <v>0</v>
      </c>
      <c r="O343" s="40">
        <f t="shared" si="72"/>
        <v>0</v>
      </c>
      <c r="P343" s="40">
        <f t="shared" si="72"/>
        <v>0</v>
      </c>
      <c r="Q343" s="40">
        <f t="shared" si="72"/>
        <v>1428.57</v>
      </c>
      <c r="R343" s="40">
        <f t="shared" si="72"/>
        <v>0</v>
      </c>
      <c r="S343" s="40">
        <f t="shared" si="72"/>
        <v>0</v>
      </c>
      <c r="T343" s="40">
        <f t="shared" si="66"/>
        <v>0</v>
      </c>
      <c r="U343" s="40">
        <f t="shared" si="66"/>
        <v>41379.31</v>
      </c>
      <c r="V343" s="40">
        <f t="shared" si="66"/>
        <v>60689.66</v>
      </c>
      <c r="W343" s="40">
        <f t="shared" si="66"/>
        <v>0</v>
      </c>
      <c r="X343" s="40">
        <f t="shared" si="67"/>
        <v>0</v>
      </c>
      <c r="Y343" s="40">
        <f t="shared" si="67"/>
        <v>0</v>
      </c>
      <c r="Z343" s="40">
        <f t="shared" si="67"/>
        <v>0</v>
      </c>
      <c r="AA343" s="40">
        <f t="shared" si="67"/>
        <v>0</v>
      </c>
      <c r="AB343" s="40">
        <f t="shared" si="67"/>
        <v>0</v>
      </c>
      <c r="AC343" s="39">
        <f t="shared" si="67"/>
        <v>0</v>
      </c>
      <c r="AD343" s="37"/>
      <c r="AE343" s="49"/>
    </row>
    <row r="344" spans="1:31" ht="15.75" customHeight="1">
      <c r="A344" s="4">
        <v>265</v>
      </c>
      <c r="B344" s="44"/>
      <c r="C344" s="42" t="s">
        <v>74</v>
      </c>
      <c r="D344" s="42">
        <v>30000</v>
      </c>
      <c r="E344" s="32">
        <f t="shared" ref="E344:S344" si="73">ROUND(E329/21*$D344,2)</f>
        <v>180000</v>
      </c>
      <c r="F344" s="40">
        <f t="shared" si="73"/>
        <v>0</v>
      </c>
      <c r="G344" s="40">
        <f t="shared" si="73"/>
        <v>0</v>
      </c>
      <c r="H344" s="41">
        <f t="shared" si="73"/>
        <v>0</v>
      </c>
      <c r="I344" s="33">
        <f t="shared" si="73"/>
        <v>15714.29</v>
      </c>
      <c r="J344" s="33">
        <f t="shared" si="73"/>
        <v>0</v>
      </c>
      <c r="K344" s="33">
        <f t="shared" si="73"/>
        <v>0</v>
      </c>
      <c r="L344" s="40">
        <f t="shared" si="73"/>
        <v>0</v>
      </c>
      <c r="M344" s="40">
        <f t="shared" si="73"/>
        <v>0</v>
      </c>
      <c r="N344" s="40">
        <f t="shared" si="73"/>
        <v>0</v>
      </c>
      <c r="O344" s="40">
        <f t="shared" si="73"/>
        <v>4285.71</v>
      </c>
      <c r="P344" s="40">
        <f t="shared" si="73"/>
        <v>12857.14</v>
      </c>
      <c r="Q344" s="40">
        <f t="shared" si="73"/>
        <v>30000</v>
      </c>
      <c r="R344" s="40">
        <f t="shared" si="73"/>
        <v>0</v>
      </c>
      <c r="S344" s="40">
        <f t="shared" si="73"/>
        <v>0</v>
      </c>
      <c r="T344" s="40">
        <f t="shared" si="66"/>
        <v>108965.52</v>
      </c>
      <c r="U344" s="40">
        <f t="shared" si="66"/>
        <v>4137.93</v>
      </c>
      <c r="V344" s="40">
        <f t="shared" si="66"/>
        <v>0</v>
      </c>
      <c r="W344" s="40">
        <f t="shared" si="66"/>
        <v>0</v>
      </c>
      <c r="X344" s="40">
        <f t="shared" si="67"/>
        <v>0</v>
      </c>
      <c r="Y344" s="40">
        <f t="shared" si="67"/>
        <v>0</v>
      </c>
      <c r="Z344" s="40">
        <f t="shared" si="67"/>
        <v>0</v>
      </c>
      <c r="AA344" s="40">
        <f t="shared" si="67"/>
        <v>0</v>
      </c>
      <c r="AB344" s="40">
        <f t="shared" si="67"/>
        <v>0</v>
      </c>
      <c r="AC344" s="39">
        <f t="shared" si="67"/>
        <v>0</v>
      </c>
      <c r="AD344" s="37"/>
      <c r="AE344" s="49"/>
    </row>
    <row r="345" spans="1:31" ht="15.75" customHeight="1">
      <c r="A345" s="4">
        <v>266</v>
      </c>
      <c r="B345" s="44"/>
      <c r="C345" s="42" t="s">
        <v>75</v>
      </c>
      <c r="D345" s="42">
        <v>30000</v>
      </c>
      <c r="E345" s="32">
        <f t="shared" ref="E345:S345" si="74">ROUND(E330/21*$D345,2)</f>
        <v>180000</v>
      </c>
      <c r="F345" s="40">
        <f t="shared" si="74"/>
        <v>0</v>
      </c>
      <c r="G345" s="40">
        <f t="shared" si="74"/>
        <v>0</v>
      </c>
      <c r="H345" s="41">
        <f t="shared" si="74"/>
        <v>0</v>
      </c>
      <c r="I345" s="33">
        <f t="shared" si="74"/>
        <v>48571.43</v>
      </c>
      <c r="J345" s="33">
        <f t="shared" si="74"/>
        <v>0</v>
      </c>
      <c r="K345" s="33">
        <f t="shared" si="74"/>
        <v>0</v>
      </c>
      <c r="L345" s="40">
        <f t="shared" si="74"/>
        <v>0</v>
      </c>
      <c r="M345" s="40">
        <f t="shared" si="74"/>
        <v>24285.71</v>
      </c>
      <c r="N345" s="40">
        <f t="shared" si="74"/>
        <v>0</v>
      </c>
      <c r="O345" s="40">
        <f t="shared" si="74"/>
        <v>0</v>
      </c>
      <c r="P345" s="40">
        <f t="shared" si="74"/>
        <v>0</v>
      </c>
      <c r="Q345" s="40">
        <f t="shared" si="74"/>
        <v>1428.57</v>
      </c>
      <c r="R345" s="40">
        <f t="shared" si="74"/>
        <v>0</v>
      </c>
      <c r="S345" s="40">
        <f t="shared" si="74"/>
        <v>0</v>
      </c>
      <c r="T345" s="40">
        <f t="shared" si="66"/>
        <v>41379.31</v>
      </c>
      <c r="U345" s="40">
        <f t="shared" si="66"/>
        <v>0</v>
      </c>
      <c r="V345" s="40">
        <f t="shared" si="66"/>
        <v>0</v>
      </c>
      <c r="W345" s="40">
        <f t="shared" si="66"/>
        <v>0</v>
      </c>
      <c r="X345" s="40">
        <f t="shared" si="67"/>
        <v>0</v>
      </c>
      <c r="Y345" s="40">
        <f t="shared" si="67"/>
        <v>0</v>
      </c>
      <c r="Z345" s="40">
        <f t="shared" si="67"/>
        <v>20000</v>
      </c>
      <c r="AA345" s="40">
        <f t="shared" si="67"/>
        <v>42857.14</v>
      </c>
      <c r="AB345" s="40">
        <f t="shared" si="67"/>
        <v>0</v>
      </c>
      <c r="AC345" s="39">
        <f t="shared" si="67"/>
        <v>0</v>
      </c>
      <c r="AD345" s="37"/>
      <c r="AE345" s="49"/>
    </row>
    <row r="346" spans="1:31" ht="15.75" customHeight="1">
      <c r="A346" s="4">
        <v>267</v>
      </c>
      <c r="B346" s="44"/>
      <c r="C346" s="42" t="s">
        <v>76</v>
      </c>
      <c r="D346" s="42">
        <v>30000</v>
      </c>
      <c r="E346" s="32">
        <f t="shared" ref="E346:S346" si="75">ROUND(E331/21*$D346,2)</f>
        <v>180000</v>
      </c>
      <c r="F346" s="40">
        <f t="shared" si="75"/>
        <v>14285.71</v>
      </c>
      <c r="G346" s="40">
        <f t="shared" si="75"/>
        <v>0</v>
      </c>
      <c r="H346" s="41">
        <f t="shared" si="75"/>
        <v>0</v>
      </c>
      <c r="I346" s="33">
        <f t="shared" si="75"/>
        <v>11428.57</v>
      </c>
      <c r="J346" s="33">
        <f t="shared" si="75"/>
        <v>0</v>
      </c>
      <c r="K346" s="33">
        <f t="shared" si="75"/>
        <v>0</v>
      </c>
      <c r="L346" s="40">
        <f t="shared" si="75"/>
        <v>0</v>
      </c>
      <c r="M346" s="40">
        <f t="shared" si="75"/>
        <v>0</v>
      </c>
      <c r="N346" s="40">
        <f t="shared" si="75"/>
        <v>0</v>
      </c>
      <c r="O346" s="40">
        <f t="shared" si="75"/>
        <v>0</v>
      </c>
      <c r="P346" s="40">
        <f t="shared" si="75"/>
        <v>4285.71</v>
      </c>
      <c r="Q346" s="40">
        <f t="shared" si="75"/>
        <v>57142.86</v>
      </c>
      <c r="R346" s="40">
        <f t="shared" si="75"/>
        <v>0</v>
      </c>
      <c r="S346" s="40">
        <f t="shared" si="75"/>
        <v>0</v>
      </c>
      <c r="T346" s="40">
        <f t="shared" si="66"/>
        <v>0</v>
      </c>
      <c r="U346" s="40">
        <f t="shared" si="66"/>
        <v>0</v>
      </c>
      <c r="V346" s="40">
        <f t="shared" si="66"/>
        <v>67586.210000000006</v>
      </c>
      <c r="W346" s="40">
        <f t="shared" si="66"/>
        <v>0</v>
      </c>
      <c r="X346" s="40">
        <f t="shared" si="67"/>
        <v>0</v>
      </c>
      <c r="Y346" s="40">
        <f t="shared" si="67"/>
        <v>0</v>
      </c>
      <c r="Z346" s="40">
        <f t="shared" si="67"/>
        <v>22857.14</v>
      </c>
      <c r="AA346" s="40">
        <f t="shared" si="67"/>
        <v>0</v>
      </c>
      <c r="AB346" s="40">
        <f t="shared" si="67"/>
        <v>0</v>
      </c>
      <c r="AC346" s="39">
        <f t="shared" si="67"/>
        <v>0</v>
      </c>
      <c r="AD346" s="37"/>
      <c r="AE346" s="49"/>
    </row>
    <row r="347" spans="1:31" ht="15.75" customHeight="1">
      <c r="A347" s="4">
        <v>268</v>
      </c>
      <c r="B347" s="44"/>
      <c r="C347" s="42" t="s">
        <v>77</v>
      </c>
      <c r="D347" s="42">
        <v>30000</v>
      </c>
      <c r="E347" s="32">
        <f t="shared" ref="E347:S347" si="76">ROUND(E332/21*$D347,2)</f>
        <v>180000</v>
      </c>
      <c r="F347" s="40">
        <f t="shared" si="76"/>
        <v>0</v>
      </c>
      <c r="G347" s="40">
        <f t="shared" si="76"/>
        <v>0</v>
      </c>
      <c r="H347" s="41">
        <f t="shared" si="76"/>
        <v>0</v>
      </c>
      <c r="I347" s="33">
        <f t="shared" si="76"/>
        <v>0</v>
      </c>
      <c r="J347" s="33">
        <f t="shared" si="76"/>
        <v>0</v>
      </c>
      <c r="K347" s="33">
        <f t="shared" si="76"/>
        <v>0</v>
      </c>
      <c r="L347" s="40">
        <f t="shared" si="76"/>
        <v>1428.57</v>
      </c>
      <c r="M347" s="40">
        <f t="shared" si="76"/>
        <v>21428.57</v>
      </c>
      <c r="N347" s="40">
        <f t="shared" si="76"/>
        <v>0</v>
      </c>
      <c r="O347" s="40">
        <f t="shared" si="76"/>
        <v>0</v>
      </c>
      <c r="P347" s="40">
        <f t="shared" si="76"/>
        <v>0</v>
      </c>
      <c r="Q347" s="40">
        <f t="shared" si="76"/>
        <v>7142.86</v>
      </c>
      <c r="R347" s="40">
        <f t="shared" si="76"/>
        <v>0</v>
      </c>
      <c r="S347" s="40">
        <f t="shared" si="76"/>
        <v>0</v>
      </c>
      <c r="T347" s="40">
        <f t="shared" si="66"/>
        <v>0</v>
      </c>
      <c r="U347" s="40">
        <f t="shared" si="66"/>
        <v>45517.24</v>
      </c>
      <c r="V347" s="40">
        <f t="shared" si="66"/>
        <v>91034.48</v>
      </c>
      <c r="W347" s="40">
        <f t="shared" si="66"/>
        <v>0</v>
      </c>
      <c r="X347" s="40">
        <f t="shared" si="67"/>
        <v>0</v>
      </c>
      <c r="Y347" s="40">
        <f t="shared" si="67"/>
        <v>1428.57</v>
      </c>
      <c r="Z347" s="40">
        <f t="shared" si="67"/>
        <v>7142.86</v>
      </c>
      <c r="AA347" s="40">
        <f t="shared" si="67"/>
        <v>0</v>
      </c>
      <c r="AB347" s="40">
        <f t="shared" si="67"/>
        <v>0</v>
      </c>
      <c r="AC347" s="39">
        <f t="shared" si="67"/>
        <v>0</v>
      </c>
      <c r="AD347" s="37"/>
      <c r="AE347" s="49"/>
    </row>
    <row r="348" spans="1:31" ht="15.75" customHeight="1">
      <c r="A348" s="4">
        <v>269</v>
      </c>
      <c r="B348" s="44"/>
      <c r="C348" s="42" t="s">
        <v>78</v>
      </c>
      <c r="D348" s="42">
        <v>30000</v>
      </c>
      <c r="E348" s="32">
        <f t="shared" ref="E348:S348" si="77">ROUND(E333/21*$D348,2)</f>
        <v>0</v>
      </c>
      <c r="F348" s="40">
        <f t="shared" si="77"/>
        <v>0</v>
      </c>
      <c r="G348" s="40">
        <f t="shared" si="77"/>
        <v>0</v>
      </c>
      <c r="H348" s="41">
        <f t="shared" si="77"/>
        <v>0</v>
      </c>
      <c r="I348" s="33">
        <f t="shared" si="77"/>
        <v>0</v>
      </c>
      <c r="J348" s="33">
        <f t="shared" si="77"/>
        <v>0</v>
      </c>
      <c r="K348" s="33">
        <f t="shared" si="77"/>
        <v>0</v>
      </c>
      <c r="L348" s="40">
        <f t="shared" si="77"/>
        <v>0</v>
      </c>
      <c r="M348" s="40">
        <f t="shared" si="77"/>
        <v>0</v>
      </c>
      <c r="N348" s="40">
        <f t="shared" si="77"/>
        <v>0</v>
      </c>
      <c r="O348" s="40">
        <f t="shared" si="77"/>
        <v>0</v>
      </c>
      <c r="P348" s="40">
        <f t="shared" si="77"/>
        <v>0</v>
      </c>
      <c r="Q348" s="40">
        <f t="shared" si="77"/>
        <v>0</v>
      </c>
      <c r="R348" s="40">
        <f t="shared" si="77"/>
        <v>0</v>
      </c>
      <c r="S348" s="40">
        <f t="shared" si="77"/>
        <v>0</v>
      </c>
      <c r="T348" s="40">
        <f t="shared" si="66"/>
        <v>0</v>
      </c>
      <c r="U348" s="40">
        <f t="shared" si="66"/>
        <v>0</v>
      </c>
      <c r="V348" s="40">
        <f t="shared" si="66"/>
        <v>0</v>
      </c>
      <c r="W348" s="40">
        <f t="shared" si="66"/>
        <v>0</v>
      </c>
      <c r="X348" s="40">
        <f t="shared" si="67"/>
        <v>0</v>
      </c>
      <c r="Y348" s="40">
        <f t="shared" si="67"/>
        <v>0</v>
      </c>
      <c r="Z348" s="40">
        <f t="shared" si="67"/>
        <v>0</v>
      </c>
      <c r="AA348" s="40">
        <f t="shared" si="67"/>
        <v>0</v>
      </c>
      <c r="AB348" s="40">
        <f t="shared" si="67"/>
        <v>0</v>
      </c>
      <c r="AC348" s="39">
        <f t="shared" si="67"/>
        <v>0</v>
      </c>
      <c r="AD348" s="37"/>
      <c r="AE348" s="49"/>
    </row>
    <row r="349" spans="1:31" ht="15.75" customHeight="1">
      <c r="A349" s="4">
        <v>270</v>
      </c>
      <c r="B349" s="44"/>
      <c r="C349" s="42" t="s">
        <v>79</v>
      </c>
      <c r="D349" s="42">
        <v>30000</v>
      </c>
      <c r="E349" s="32">
        <f t="shared" ref="E349:S349" si="78">ROUND(E334/21*$D349,2)</f>
        <v>0</v>
      </c>
      <c r="F349" s="40">
        <f t="shared" si="78"/>
        <v>0</v>
      </c>
      <c r="G349" s="40">
        <f t="shared" si="78"/>
        <v>0</v>
      </c>
      <c r="H349" s="41">
        <f t="shared" si="78"/>
        <v>0</v>
      </c>
      <c r="I349" s="33">
        <f t="shared" si="78"/>
        <v>0</v>
      </c>
      <c r="J349" s="33">
        <f t="shared" si="78"/>
        <v>0</v>
      </c>
      <c r="K349" s="33">
        <f t="shared" si="78"/>
        <v>0</v>
      </c>
      <c r="L349" s="40">
        <f t="shared" si="78"/>
        <v>0</v>
      </c>
      <c r="M349" s="40">
        <f t="shared" si="78"/>
        <v>0</v>
      </c>
      <c r="N349" s="40">
        <f t="shared" si="78"/>
        <v>0</v>
      </c>
      <c r="O349" s="40">
        <f t="shared" si="78"/>
        <v>0</v>
      </c>
      <c r="P349" s="40">
        <f t="shared" si="78"/>
        <v>0</v>
      </c>
      <c r="Q349" s="40">
        <f t="shared" si="78"/>
        <v>0</v>
      </c>
      <c r="R349" s="40">
        <f t="shared" si="78"/>
        <v>0</v>
      </c>
      <c r="S349" s="40">
        <f t="shared" si="78"/>
        <v>0</v>
      </c>
      <c r="T349" s="40">
        <f t="shared" si="66"/>
        <v>0</v>
      </c>
      <c r="U349" s="40">
        <f t="shared" si="66"/>
        <v>0</v>
      </c>
      <c r="V349" s="40">
        <f t="shared" si="66"/>
        <v>0</v>
      </c>
      <c r="W349" s="40">
        <f t="shared" si="66"/>
        <v>0</v>
      </c>
      <c r="X349" s="40">
        <f t="shared" si="67"/>
        <v>0</v>
      </c>
      <c r="Y349" s="40">
        <f t="shared" si="67"/>
        <v>0</v>
      </c>
      <c r="Z349" s="40">
        <f t="shared" si="67"/>
        <v>0</v>
      </c>
      <c r="AA349" s="40">
        <f t="shared" si="67"/>
        <v>0</v>
      </c>
      <c r="AB349" s="40">
        <f t="shared" si="67"/>
        <v>0</v>
      </c>
      <c r="AC349" s="39">
        <f t="shared" si="67"/>
        <v>0</v>
      </c>
      <c r="AD349" s="37"/>
      <c r="AE349" s="49"/>
    </row>
    <row r="350" spans="1:31">
      <c r="A350" s="4">
        <v>271</v>
      </c>
      <c r="B350" s="44"/>
      <c r="C350" s="43" t="s">
        <v>80</v>
      </c>
      <c r="D350" s="42">
        <v>30000</v>
      </c>
      <c r="E350" s="32">
        <f t="shared" ref="E350:S350" si="79">ROUND(E335/21*$D350,2)</f>
        <v>180000</v>
      </c>
      <c r="F350" s="40">
        <f t="shared" si="79"/>
        <v>0</v>
      </c>
      <c r="G350" s="40">
        <f t="shared" si="79"/>
        <v>0</v>
      </c>
      <c r="H350" s="41">
        <f t="shared" si="79"/>
        <v>0</v>
      </c>
      <c r="I350" s="33">
        <f t="shared" si="79"/>
        <v>0</v>
      </c>
      <c r="J350" s="33">
        <f t="shared" si="79"/>
        <v>0</v>
      </c>
      <c r="K350" s="33">
        <f t="shared" si="79"/>
        <v>0</v>
      </c>
      <c r="L350" s="40">
        <f t="shared" si="79"/>
        <v>0</v>
      </c>
      <c r="M350" s="40">
        <f t="shared" si="79"/>
        <v>0</v>
      </c>
      <c r="N350" s="40">
        <f t="shared" si="79"/>
        <v>0</v>
      </c>
      <c r="O350" s="40">
        <f t="shared" si="79"/>
        <v>0</v>
      </c>
      <c r="P350" s="40">
        <f t="shared" si="79"/>
        <v>0</v>
      </c>
      <c r="Q350" s="40">
        <f t="shared" si="79"/>
        <v>0</v>
      </c>
      <c r="R350" s="40">
        <f t="shared" si="79"/>
        <v>0</v>
      </c>
      <c r="S350" s="40">
        <f t="shared" si="79"/>
        <v>0</v>
      </c>
      <c r="T350" s="40">
        <f t="shared" si="66"/>
        <v>0</v>
      </c>
      <c r="U350" s="40">
        <f t="shared" si="66"/>
        <v>0</v>
      </c>
      <c r="V350" s="40">
        <f t="shared" si="66"/>
        <v>0</v>
      </c>
      <c r="W350" s="40">
        <f t="shared" si="66"/>
        <v>0</v>
      </c>
      <c r="X350" s="40">
        <f t="shared" si="67"/>
        <v>180000</v>
      </c>
      <c r="Y350" s="40">
        <f t="shared" si="67"/>
        <v>0</v>
      </c>
      <c r="Z350" s="40">
        <f t="shared" si="67"/>
        <v>0</v>
      </c>
      <c r="AA350" s="40">
        <f t="shared" si="67"/>
        <v>0</v>
      </c>
      <c r="AB350" s="40">
        <f t="shared" si="67"/>
        <v>0</v>
      </c>
      <c r="AC350" s="39">
        <f t="shared" si="67"/>
        <v>0</v>
      </c>
      <c r="AD350" s="37"/>
      <c r="AE350" s="49"/>
    </row>
    <row r="351" spans="1:31" ht="22.75" customHeight="1">
      <c r="A351" s="4">
        <v>272</v>
      </c>
      <c r="B351" s="38"/>
      <c r="C351" s="36"/>
      <c r="D351" s="32"/>
      <c r="E351" s="32"/>
      <c r="F351" s="32"/>
      <c r="G351" s="32"/>
      <c r="H351" s="35"/>
      <c r="I351" s="34"/>
      <c r="J351" s="33"/>
      <c r="K351" s="33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1"/>
      <c r="AD351" s="37"/>
      <c r="AE351" s="49"/>
    </row>
    <row r="352" spans="1:31" ht="22.75" customHeight="1">
      <c r="A352" s="4">
        <v>273</v>
      </c>
      <c r="B352" s="108" t="s">
        <v>5</v>
      </c>
      <c r="C352" s="109"/>
      <c r="D352" s="32"/>
      <c r="E352" s="32">
        <f t="shared" ref="E352:AE352" si="80">SUM(E284:E300)</f>
        <v>3681</v>
      </c>
      <c r="F352" s="32">
        <f t="shared" si="80"/>
        <v>20</v>
      </c>
      <c r="G352" s="32">
        <f t="shared" si="80"/>
        <v>2</v>
      </c>
      <c r="H352" s="35">
        <f t="shared" si="80"/>
        <v>180</v>
      </c>
      <c r="I352" s="34">
        <f t="shared" si="80"/>
        <v>153</v>
      </c>
      <c r="J352" s="33">
        <f t="shared" si="80"/>
        <v>0</v>
      </c>
      <c r="K352" s="33">
        <f t="shared" si="80"/>
        <v>0</v>
      </c>
      <c r="L352" s="32">
        <f t="shared" si="80"/>
        <v>41</v>
      </c>
      <c r="M352" s="32">
        <f t="shared" si="80"/>
        <v>75</v>
      </c>
      <c r="N352" s="32">
        <f t="shared" si="80"/>
        <v>0</v>
      </c>
      <c r="O352" s="32">
        <f t="shared" si="80"/>
        <v>150</v>
      </c>
      <c r="P352" s="32">
        <f t="shared" si="80"/>
        <v>82</v>
      </c>
      <c r="Q352" s="32">
        <f t="shared" si="80"/>
        <v>174</v>
      </c>
      <c r="R352" s="32">
        <f t="shared" si="80"/>
        <v>0</v>
      </c>
      <c r="S352" s="32">
        <f t="shared" si="80"/>
        <v>218</v>
      </c>
      <c r="T352" s="32">
        <f t="shared" si="80"/>
        <v>224</v>
      </c>
      <c r="U352" s="32">
        <f t="shared" si="80"/>
        <v>219</v>
      </c>
      <c r="V352" s="32">
        <f t="shared" si="80"/>
        <v>443</v>
      </c>
      <c r="W352" s="32">
        <f t="shared" si="80"/>
        <v>217</v>
      </c>
      <c r="X352" s="32">
        <f t="shared" si="80"/>
        <v>1187</v>
      </c>
      <c r="Y352" s="32">
        <f t="shared" si="80"/>
        <v>78</v>
      </c>
      <c r="Z352" s="32">
        <f t="shared" si="80"/>
        <v>72</v>
      </c>
      <c r="AA352" s="32">
        <f t="shared" si="80"/>
        <v>89</v>
      </c>
      <c r="AB352" s="32">
        <f t="shared" si="80"/>
        <v>0</v>
      </c>
      <c r="AC352" s="31">
        <f t="shared" si="80"/>
        <v>211</v>
      </c>
      <c r="AD352" s="30">
        <f t="shared" si="80"/>
        <v>3</v>
      </c>
      <c r="AE352" s="30">
        <f t="shared" si="80"/>
        <v>11</v>
      </c>
    </row>
    <row r="353" spans="1:31" ht="22.75" customHeight="1">
      <c r="A353" s="4">
        <v>274</v>
      </c>
      <c r="B353" s="106" t="s">
        <v>4</v>
      </c>
      <c r="C353" s="107"/>
      <c r="D353" s="26"/>
      <c r="E353" s="26">
        <f>ROUND(SUM(E284:E300)/21.75,2)</f>
        <v>169.24</v>
      </c>
      <c r="F353" s="26">
        <f t="shared" ref="F353:AE353" si="81">ROUND(F352/21.75,2)</f>
        <v>0.92</v>
      </c>
      <c r="G353" s="26">
        <f t="shared" si="81"/>
        <v>0.09</v>
      </c>
      <c r="H353" s="29">
        <f t="shared" si="81"/>
        <v>8.2799999999999994</v>
      </c>
      <c r="I353" s="28">
        <f t="shared" si="81"/>
        <v>7.03</v>
      </c>
      <c r="J353" s="27">
        <f t="shared" si="81"/>
        <v>0</v>
      </c>
      <c r="K353" s="27">
        <f t="shared" si="81"/>
        <v>0</v>
      </c>
      <c r="L353" s="26">
        <f t="shared" si="81"/>
        <v>1.89</v>
      </c>
      <c r="M353" s="26">
        <f t="shared" si="81"/>
        <v>3.45</v>
      </c>
      <c r="N353" s="26">
        <f t="shared" si="81"/>
        <v>0</v>
      </c>
      <c r="O353" s="26">
        <f t="shared" si="81"/>
        <v>6.9</v>
      </c>
      <c r="P353" s="26">
        <f t="shared" si="81"/>
        <v>3.77</v>
      </c>
      <c r="Q353" s="26">
        <f t="shared" si="81"/>
        <v>8</v>
      </c>
      <c r="R353" s="26">
        <f t="shared" si="81"/>
        <v>0</v>
      </c>
      <c r="S353" s="26">
        <f t="shared" si="81"/>
        <v>10.02</v>
      </c>
      <c r="T353" s="26">
        <f t="shared" si="81"/>
        <v>10.3</v>
      </c>
      <c r="U353" s="26">
        <f t="shared" si="81"/>
        <v>10.07</v>
      </c>
      <c r="V353" s="26">
        <f t="shared" si="81"/>
        <v>20.37</v>
      </c>
      <c r="W353" s="26">
        <f t="shared" si="81"/>
        <v>9.98</v>
      </c>
      <c r="X353" s="26">
        <f t="shared" si="81"/>
        <v>54.57</v>
      </c>
      <c r="Y353" s="26">
        <f t="shared" si="81"/>
        <v>3.59</v>
      </c>
      <c r="Z353" s="26">
        <f t="shared" si="81"/>
        <v>3.31</v>
      </c>
      <c r="AA353" s="26">
        <f t="shared" si="81"/>
        <v>4.09</v>
      </c>
      <c r="AB353" s="26">
        <f t="shared" si="81"/>
        <v>0</v>
      </c>
      <c r="AC353" s="25">
        <f t="shared" si="81"/>
        <v>9.6999999999999993</v>
      </c>
      <c r="AD353" s="24">
        <f t="shared" si="81"/>
        <v>0.14000000000000001</v>
      </c>
      <c r="AE353" s="24">
        <f t="shared" si="81"/>
        <v>0.51</v>
      </c>
    </row>
    <row r="354" spans="1:31" ht="22.75" customHeight="1">
      <c r="A354" s="4">
        <v>275</v>
      </c>
      <c r="B354" s="92" t="s">
        <v>3</v>
      </c>
      <c r="C354" s="93"/>
      <c r="D354" s="21"/>
      <c r="E354" s="21">
        <f t="shared" ref="E354:AE354" si="82">SUM(E302:E322)</f>
        <v>5433857.1400000006</v>
      </c>
      <c r="F354" s="21">
        <f t="shared" si="82"/>
        <v>29523.8</v>
      </c>
      <c r="G354" s="21">
        <f t="shared" si="82"/>
        <v>2952.38</v>
      </c>
      <c r="H354" s="23">
        <f t="shared" si="82"/>
        <v>265714.28000000003</v>
      </c>
      <c r="I354" s="22">
        <f t="shared" si="82"/>
        <v>225857.15000000002</v>
      </c>
      <c r="J354" s="22">
        <f t="shared" si="82"/>
        <v>0</v>
      </c>
      <c r="K354" s="22">
        <f t="shared" si="82"/>
        <v>0</v>
      </c>
      <c r="L354" s="21">
        <f t="shared" si="82"/>
        <v>60523.81</v>
      </c>
      <c r="M354" s="21">
        <f t="shared" si="82"/>
        <v>110714.27999999998</v>
      </c>
      <c r="N354" s="21">
        <f t="shared" si="82"/>
        <v>0</v>
      </c>
      <c r="O354" s="21">
        <f t="shared" si="82"/>
        <v>221428.55999999997</v>
      </c>
      <c r="P354" s="21">
        <f t="shared" si="82"/>
        <v>121047.61000000002</v>
      </c>
      <c r="Q354" s="21">
        <f t="shared" si="82"/>
        <v>256857.13</v>
      </c>
      <c r="R354" s="21">
        <f t="shared" si="82"/>
        <v>0</v>
      </c>
      <c r="S354" s="21">
        <f t="shared" si="82"/>
        <v>321809.52</v>
      </c>
      <c r="T354" s="21">
        <f t="shared" si="82"/>
        <v>330666.65999999997</v>
      </c>
      <c r="U354" s="21">
        <f t="shared" si="82"/>
        <v>323285.72000000003</v>
      </c>
      <c r="V354" s="21">
        <f t="shared" si="82"/>
        <v>653952.37</v>
      </c>
      <c r="W354" s="21">
        <f t="shared" si="82"/>
        <v>320333.31999999995</v>
      </c>
      <c r="X354" s="21">
        <f t="shared" si="82"/>
        <v>264238.09999999998</v>
      </c>
      <c r="Y354" s="21">
        <f t="shared" si="82"/>
        <v>115142.85</v>
      </c>
      <c r="Z354" s="21">
        <f t="shared" si="82"/>
        <v>106285.70999999999</v>
      </c>
      <c r="AA354" s="21">
        <f t="shared" si="82"/>
        <v>131380.94</v>
      </c>
      <c r="AB354" s="21">
        <f t="shared" si="82"/>
        <v>0</v>
      </c>
      <c r="AC354" s="20">
        <f t="shared" si="82"/>
        <v>311476.2</v>
      </c>
      <c r="AD354" s="19">
        <f t="shared" si="82"/>
        <v>4428.57</v>
      </c>
      <c r="AE354" s="19">
        <f t="shared" si="82"/>
        <v>16238.1</v>
      </c>
    </row>
    <row r="355" spans="1:31" ht="22.75" customHeight="1">
      <c r="A355" s="4">
        <v>276</v>
      </c>
      <c r="B355" s="101" t="s">
        <v>2</v>
      </c>
      <c r="C355" s="102"/>
      <c r="D355" s="15"/>
      <c r="E355" s="15"/>
      <c r="F355" s="15">
        <v>27004</v>
      </c>
      <c r="G355" s="15">
        <v>0</v>
      </c>
      <c r="H355" s="18">
        <v>203630</v>
      </c>
      <c r="I355" s="17">
        <v>13044</v>
      </c>
      <c r="J355" s="17">
        <v>108000</v>
      </c>
      <c r="K355" s="17">
        <v>108000</v>
      </c>
      <c r="L355" s="15">
        <v>108000</v>
      </c>
      <c r="M355" s="15">
        <v>149935</v>
      </c>
      <c r="N355" s="15">
        <v>0</v>
      </c>
      <c r="O355" s="15">
        <v>263110</v>
      </c>
      <c r="P355" s="15">
        <v>307100</v>
      </c>
      <c r="Q355" s="15"/>
      <c r="R355" s="15">
        <v>600000</v>
      </c>
      <c r="S355" s="15">
        <v>600000</v>
      </c>
      <c r="T355" s="16">
        <v>300000</v>
      </c>
      <c r="U355" s="15">
        <v>300000</v>
      </c>
      <c r="V355" s="15">
        <v>600000</v>
      </c>
      <c r="W355" s="15">
        <v>300000</v>
      </c>
      <c r="X355" s="15"/>
      <c r="Y355" s="15">
        <v>848900</v>
      </c>
      <c r="Z355" s="15">
        <v>252944</v>
      </c>
      <c r="AA355" s="15">
        <v>431510</v>
      </c>
      <c r="AB355" s="15"/>
      <c r="AC355" s="14">
        <v>360500</v>
      </c>
      <c r="AD355" s="13"/>
      <c r="AE355" s="13"/>
    </row>
    <row r="356" spans="1:31" ht="22.75" customHeight="1">
      <c r="A356" s="4">
        <v>277</v>
      </c>
      <c r="B356" s="96" t="s">
        <v>1</v>
      </c>
      <c r="C356" s="97"/>
      <c r="D356" s="10"/>
      <c r="E356" s="10">
        <f t="shared" ref="E356:AE356" si="83">SUM(E338:E350)</f>
        <v>1914285.71</v>
      </c>
      <c r="F356" s="10">
        <f t="shared" si="83"/>
        <v>28571.42</v>
      </c>
      <c r="G356" s="10">
        <f t="shared" si="83"/>
        <v>2857.14</v>
      </c>
      <c r="H356" s="12">
        <f t="shared" si="83"/>
        <v>48571.43</v>
      </c>
      <c r="I356" s="11">
        <f t="shared" si="83"/>
        <v>90000.010000000009</v>
      </c>
      <c r="J356" s="11">
        <f t="shared" si="83"/>
        <v>0</v>
      </c>
      <c r="K356" s="11">
        <f t="shared" si="83"/>
        <v>0</v>
      </c>
      <c r="L356" s="10">
        <f t="shared" si="83"/>
        <v>8571.43</v>
      </c>
      <c r="M356" s="10">
        <f t="shared" si="83"/>
        <v>71428.570000000007</v>
      </c>
      <c r="N356" s="10">
        <f t="shared" si="83"/>
        <v>0</v>
      </c>
      <c r="O356" s="10">
        <f t="shared" si="83"/>
        <v>48571.42</v>
      </c>
      <c r="P356" s="10">
        <f t="shared" si="83"/>
        <v>117142.84000000001</v>
      </c>
      <c r="Q356" s="10">
        <f t="shared" si="83"/>
        <v>155714.28999999998</v>
      </c>
      <c r="R356" s="10">
        <f t="shared" si="83"/>
        <v>0</v>
      </c>
      <c r="S356" s="10">
        <f t="shared" si="83"/>
        <v>0</v>
      </c>
      <c r="T356" s="10">
        <f t="shared" si="83"/>
        <v>268965.52</v>
      </c>
      <c r="U356" s="10">
        <f t="shared" si="83"/>
        <v>139310.34</v>
      </c>
      <c r="V356" s="10">
        <f t="shared" si="83"/>
        <v>471724.14</v>
      </c>
      <c r="W356" s="10">
        <f t="shared" si="83"/>
        <v>89655.18</v>
      </c>
      <c r="X356" s="10">
        <f t="shared" si="83"/>
        <v>180000</v>
      </c>
      <c r="Y356" s="10">
        <f t="shared" si="83"/>
        <v>7142.86</v>
      </c>
      <c r="Z356" s="10">
        <f t="shared" si="83"/>
        <v>102857.14</v>
      </c>
      <c r="AA356" s="10">
        <f t="shared" si="83"/>
        <v>48571.42</v>
      </c>
      <c r="AB356" s="10">
        <f t="shared" si="83"/>
        <v>0</v>
      </c>
      <c r="AC356" s="9">
        <f t="shared" si="83"/>
        <v>0</v>
      </c>
      <c r="AD356" s="8">
        <f t="shared" si="83"/>
        <v>0</v>
      </c>
      <c r="AE356" s="8">
        <f t="shared" si="83"/>
        <v>0</v>
      </c>
    </row>
    <row r="357" spans="1:31" ht="22.75" customHeight="1">
      <c r="A357" s="4"/>
      <c r="B357" s="3"/>
      <c r="C357" s="3"/>
      <c r="F357" s="5">
        <f t="shared" ref="F357:R357" si="84">F352/21</f>
        <v>0.95238095238095233</v>
      </c>
      <c r="G357" s="5">
        <f t="shared" si="84"/>
        <v>9.5238095238095233E-2</v>
      </c>
      <c r="H357" s="7">
        <f t="shared" si="84"/>
        <v>8.5714285714285712</v>
      </c>
      <c r="I357" s="6">
        <f t="shared" si="84"/>
        <v>7.2857142857142856</v>
      </c>
      <c r="J357" s="6">
        <f t="shared" si="84"/>
        <v>0</v>
      </c>
      <c r="K357" s="6">
        <f t="shared" si="84"/>
        <v>0</v>
      </c>
      <c r="L357" s="5">
        <f t="shared" si="84"/>
        <v>1.9523809523809523</v>
      </c>
      <c r="M357" s="5">
        <f t="shared" si="84"/>
        <v>3.5714285714285716</v>
      </c>
      <c r="N357" s="5">
        <f t="shared" si="84"/>
        <v>0</v>
      </c>
      <c r="O357" s="5">
        <f t="shared" si="84"/>
        <v>7.1428571428571432</v>
      </c>
      <c r="P357" s="5">
        <f t="shared" si="84"/>
        <v>3.9047619047619047</v>
      </c>
      <c r="Q357" s="5">
        <f t="shared" si="84"/>
        <v>8.2857142857142865</v>
      </c>
      <c r="R357" s="5">
        <f t="shared" si="84"/>
        <v>0</v>
      </c>
      <c r="X357" s="5">
        <f t="shared" ref="X357:AE357" si="85">X352/21</f>
        <v>56.523809523809526</v>
      </c>
      <c r="Y357" s="5">
        <f t="shared" si="85"/>
        <v>3.7142857142857144</v>
      </c>
      <c r="Z357" s="5">
        <f t="shared" si="85"/>
        <v>3.4285714285714284</v>
      </c>
      <c r="AA357" s="5">
        <f t="shared" si="85"/>
        <v>4.2380952380952381</v>
      </c>
      <c r="AB357" s="5">
        <f t="shared" si="85"/>
        <v>0</v>
      </c>
      <c r="AC357" s="5">
        <f t="shared" si="85"/>
        <v>10.047619047619047</v>
      </c>
      <c r="AD357" s="5">
        <f t="shared" si="85"/>
        <v>0.14285714285714285</v>
      </c>
      <c r="AE357" s="5">
        <f t="shared" si="85"/>
        <v>0.52380952380952384</v>
      </c>
    </row>
    <row r="358" spans="1:31" ht="22.75" customHeight="1">
      <c r="A358" s="4"/>
      <c r="B358" s="3"/>
      <c r="C358" s="3"/>
    </row>
    <row r="359" spans="1:31" ht="22.75" customHeight="1">
      <c r="B359" s="3"/>
      <c r="C359" s="3"/>
      <c r="Q359" t="s">
        <v>0</v>
      </c>
      <c r="S359">
        <f>SUM(S360:S365)</f>
        <v>1001379.3103448277</v>
      </c>
      <c r="U359">
        <v>597</v>
      </c>
      <c r="V359">
        <f>36000/21.75*U359</f>
        <v>988137.93103448278</v>
      </c>
    </row>
    <row r="360" spans="1:31" ht="22.75" customHeight="1">
      <c r="B360" s="3"/>
      <c r="C360" s="3"/>
      <c r="Q360">
        <v>1</v>
      </c>
      <c r="S360">
        <f t="shared" ref="S360:S365" si="86">36000/21.75*T360</f>
        <v>122482.75862068965</v>
      </c>
      <c r="T360">
        <v>74</v>
      </c>
      <c r="Y360">
        <v>230307.23</v>
      </c>
    </row>
    <row r="361" spans="1:31" ht="22.75" customHeight="1">
      <c r="B361" s="3"/>
      <c r="C361" s="3"/>
      <c r="Q361">
        <v>2</v>
      </c>
      <c r="S361">
        <f t="shared" si="86"/>
        <v>132413.79310344829</v>
      </c>
      <c r="T361">
        <v>80</v>
      </c>
      <c r="Y361">
        <v>131944.54</v>
      </c>
    </row>
    <row r="362" spans="1:31" ht="22.75" customHeight="1">
      <c r="B362" s="3"/>
      <c r="C362" s="3"/>
      <c r="Q362">
        <v>3</v>
      </c>
      <c r="S362">
        <f t="shared" si="86"/>
        <v>208551.72413793104</v>
      </c>
      <c r="T362">
        <v>126</v>
      </c>
      <c r="W362">
        <f>647/21*36000</f>
        <v>1109142.8571428573</v>
      </c>
      <c r="Y362">
        <v>430814.5</v>
      </c>
    </row>
    <row r="363" spans="1:31" ht="22.75" customHeight="1">
      <c r="B363" s="3"/>
      <c r="C363" s="3"/>
      <c r="Q363">
        <v>4</v>
      </c>
      <c r="S363">
        <f t="shared" si="86"/>
        <v>165517.24137931035</v>
      </c>
      <c r="T363">
        <v>100</v>
      </c>
      <c r="Y363">
        <v>103942.29</v>
      </c>
    </row>
    <row r="364" spans="1:31" ht="22.75" customHeight="1">
      <c r="B364" s="3"/>
      <c r="C364" s="3"/>
      <c r="Q364">
        <v>5</v>
      </c>
      <c r="S364">
        <f t="shared" si="86"/>
        <v>203586.20689655174</v>
      </c>
      <c r="T364">
        <v>123</v>
      </c>
      <c r="Y364">
        <f>42/21*36000</f>
        <v>72000</v>
      </c>
    </row>
    <row r="365" spans="1:31" ht="22.75" customHeight="1">
      <c r="B365" s="3"/>
      <c r="C365" s="3"/>
      <c r="Q365">
        <v>6</v>
      </c>
      <c r="S365">
        <f t="shared" si="86"/>
        <v>168827.58620689655</v>
      </c>
      <c r="T365">
        <v>102</v>
      </c>
    </row>
    <row r="366" spans="1:31">
      <c r="U366">
        <f>125/21.75*3.65</f>
        <v>20.977011494252871</v>
      </c>
    </row>
  </sheetData>
  <mergeCells count="27">
    <mergeCell ref="B284:B300"/>
    <mergeCell ref="B353:C353"/>
    <mergeCell ref="B352:C352"/>
    <mergeCell ref="C301:E301"/>
    <mergeCell ref="B301:B322"/>
    <mergeCell ref="B215:B237"/>
    <mergeCell ref="B8:B30"/>
    <mergeCell ref="B31:B53"/>
    <mergeCell ref="B54:B76"/>
    <mergeCell ref="B77:B99"/>
    <mergeCell ref="B100:B122"/>
    <mergeCell ref="B238:B260"/>
    <mergeCell ref="B123:B145"/>
    <mergeCell ref="B354:C354"/>
    <mergeCell ref="B1:E1"/>
    <mergeCell ref="B356:C356"/>
    <mergeCell ref="C337:E337"/>
    <mergeCell ref="B355:C355"/>
    <mergeCell ref="B6:C6"/>
    <mergeCell ref="B5:C5"/>
    <mergeCell ref="B7:C7"/>
    <mergeCell ref="B3:C3"/>
    <mergeCell ref="B4:C4"/>
    <mergeCell ref="B261:B283"/>
    <mergeCell ref="B146:B168"/>
    <mergeCell ref="B169:B191"/>
    <mergeCell ref="B192:B214"/>
  </mergeCells>
  <phoneticPr fontId="2" type="noConversion"/>
  <conditionalFormatting sqref="E8:E283">
    <cfRule type="cellIs" dxfId="1" priority="2" operator="greaterThan">
      <formula>21</formula>
    </cfRule>
  </conditionalFormatting>
  <conditionalFormatting sqref="E5:AE5 E6:E302 F302:AE302 E303:AE314 P315 AC315:AE315 E315:E354 F323:AC335 F338:AC350 E356:AE356">
    <cfRule type="cellIs" dxfId="0" priority="1" operator="between">
      <formula>1</formula>
      <formula>20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6B73EC-8454-4D54-962D-84C242FF018C}"/>
</file>

<file path=customXml/itemProps2.xml><?xml version="1.0" encoding="utf-8"?>
<ds:datastoreItem xmlns:ds="http://schemas.openxmlformats.org/officeDocument/2006/customXml" ds:itemID="{604B07B1-FE44-4D53-BDD3-202F2AD37CBC}"/>
</file>

<file path=customXml/itemProps3.xml><?xml version="1.0" encoding="utf-8"?>
<ds:datastoreItem xmlns:ds="http://schemas.openxmlformats.org/officeDocument/2006/customXml" ds:itemID="{5F4976E8-21AB-496F-A6B6-96360D357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项目25年人力成本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晓非 刘</dc:creator>
  <cp:lastModifiedBy>arlie k</cp:lastModifiedBy>
  <dcterms:created xsi:type="dcterms:W3CDTF">2025-12-14T03:38:49Z</dcterms:created>
  <dcterms:modified xsi:type="dcterms:W3CDTF">2026-02-06T07:48:42Z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
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395/"/>
    </mc:Choice>
  </mc:AlternateContent>
  <xr:revisionPtr revIDLastSave="0" documentId="8_{57BA56C9-5CB9-3544-898F-49BF480FEB46}" xr6:coauthVersionLast="47" xr6:coauthVersionMax="47" xr10:uidLastSave="{00000000-0000-0000-0000-000000000000}"/>
  <bookViews>
    <workbookView xWindow="0" yWindow="500" windowWidth="24700" windowHeight="15200" xr2:uid="{00000000-000D-0000-FFFF-FFFF00000000}"/>
  </bookViews>
  <sheets>
    <sheet name="福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36" i="1" l="1" a="1"/>
  <c r="BI536" i="1"/>
  <c r="BH536" i="1" a="1"/>
  <c r="BH536" i="1"/>
  <c r="BG536" i="1" a="1"/>
  <c r="BG536" i="1"/>
  <c r="BF536" i="1" a="1"/>
  <c r="BF536" i="1"/>
  <c r="BE536" i="1" a="1"/>
  <c r="BE536" i="1"/>
  <c r="BD536" i="1" a="1"/>
  <c r="BD536" i="1"/>
  <c r="BC536" i="1" a="1"/>
  <c r="BC536" i="1"/>
  <c r="BB536" i="1" a="1"/>
  <c r="BB536" i="1"/>
  <c r="BA536" i="1" a="1"/>
  <c r="BA536" i="1"/>
  <c r="AZ536" i="1" a="1"/>
  <c r="AZ536" i="1"/>
  <c r="AY536" i="1" a="1"/>
  <c r="AY536" i="1"/>
  <c r="AX536" i="1" a="1"/>
  <c r="AX536" i="1"/>
  <c r="AW536" i="1" a="1"/>
  <c r="AW536" i="1"/>
  <c r="AV536" i="1" a="1"/>
  <c r="AV536" i="1"/>
  <c r="AU536" i="1" a="1"/>
  <c r="AU536" i="1"/>
  <c r="AT536" i="1" a="1"/>
  <c r="AT536" i="1"/>
  <c r="AS536" i="1" a="1"/>
  <c r="AS536" i="1"/>
  <c r="AR536" i="1" a="1"/>
  <c r="AR536" i="1"/>
  <c r="AQ536" i="1" a="1"/>
  <c r="AQ536" i="1"/>
  <c r="AP536" i="1" a="1"/>
  <c r="AP536" i="1"/>
  <c r="AO536" i="1" a="1"/>
  <c r="AO536" i="1"/>
  <c r="AN536" i="1" a="1"/>
  <c r="AN536" i="1"/>
  <c r="AM536" i="1" a="1"/>
  <c r="AM536" i="1"/>
  <c r="AL536" i="1" a="1"/>
  <c r="AL536" i="1"/>
  <c r="AK536" i="1" a="1"/>
  <c r="AK536" i="1"/>
  <c r="AJ536" i="1" a="1"/>
  <c r="AJ536" i="1"/>
  <c r="AI536" i="1" a="1"/>
  <c r="AI536" i="1"/>
  <c r="AH536" i="1" a="1"/>
  <c r="AH536" i="1"/>
  <c r="AG536" i="1" a="1"/>
  <c r="AG536" i="1"/>
  <c r="AF536" i="1" a="1"/>
  <c r="AF536" i="1"/>
  <c r="P536" i="1" a="1"/>
  <c r="P536" i="1"/>
  <c r="O536" i="1" a="1"/>
  <c r="O536" i="1"/>
  <c r="N536" i="1" a="1"/>
  <c r="N536" i="1"/>
  <c r="M536" i="1" a="1"/>
  <c r="M536" i="1"/>
  <c r="L536" i="1" a="1"/>
  <c r="L536" i="1"/>
  <c r="K536" i="1" a="1"/>
  <c r="K536" i="1"/>
  <c r="J536" i="1" a="1"/>
  <c r="J536" i="1"/>
  <c r="I536" i="1" a="1"/>
  <c r="I536" i="1"/>
  <c r="H536" i="1" a="1"/>
  <c r="H536" i="1"/>
  <c r="G536" i="1" a="1"/>
  <c r="G536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 a="1"/>
  <c r="AJ535" i="1"/>
  <c r="AI535" i="1"/>
  <c r="AH535" i="1"/>
  <c r="AG535" i="1"/>
  <c r="AF535" i="1"/>
  <c r="P535" i="1"/>
  <c r="O535" i="1"/>
  <c r="N535" i="1"/>
  <c r="M535" i="1"/>
  <c r="L535" i="1"/>
  <c r="K535" i="1"/>
  <c r="J535" i="1"/>
  <c r="I535" i="1"/>
  <c r="H535" i="1"/>
  <c r="G535" i="1"/>
  <c r="BI534" i="1" a="1"/>
  <c r="BI534" i="1"/>
  <c r="BH534" i="1" a="1"/>
  <c r="BH534" i="1"/>
  <c r="BG534" i="1" a="1"/>
  <c r="BG534" i="1"/>
  <c r="BF534" i="1" a="1"/>
  <c r="BF534" i="1"/>
  <c r="BE534" i="1" a="1"/>
  <c r="BE534" i="1"/>
  <c r="BD534" i="1" a="1"/>
  <c r="BD534" i="1"/>
  <c r="BC534" i="1" a="1"/>
  <c r="BC534" i="1"/>
  <c r="BB534" i="1" a="1"/>
  <c r="BB534" i="1"/>
  <c r="BA534" i="1" a="1"/>
  <c r="BA534" i="1"/>
  <c r="AZ534" i="1" a="1"/>
  <c r="AZ534" i="1"/>
  <c r="AY534" i="1" a="1"/>
  <c r="AY534" i="1"/>
  <c r="AX534" i="1" a="1"/>
  <c r="AX534" i="1"/>
  <c r="AW534" i="1" a="1"/>
  <c r="AW534" i="1"/>
  <c r="AV534" i="1" a="1"/>
  <c r="AV534" i="1"/>
  <c r="AU534" i="1" a="1"/>
  <c r="AU534" i="1"/>
  <c r="AT534" i="1" a="1"/>
  <c r="AT534" i="1"/>
  <c r="AS534" i="1" a="1"/>
  <c r="AS534" i="1"/>
  <c r="AR534" i="1" a="1"/>
  <c r="AR534" i="1"/>
  <c r="AQ534" i="1" a="1"/>
  <c r="AQ534" i="1"/>
  <c r="AP534" i="1" a="1"/>
  <c r="AP534" i="1"/>
  <c r="AO534" i="1" a="1"/>
  <c r="AO534" i="1"/>
  <c r="AN534" i="1" a="1"/>
  <c r="AN534" i="1"/>
  <c r="AM534" i="1" a="1"/>
  <c r="AM534" i="1"/>
  <c r="AL534" i="1" a="1"/>
  <c r="AL534" i="1"/>
  <c r="AK534" i="1" a="1"/>
  <c r="AK534" i="1"/>
  <c r="AJ534" i="1" a="1"/>
  <c r="AJ534" i="1"/>
  <c r="AI534" i="1" a="1"/>
  <c r="AI534" i="1"/>
  <c r="AH534" i="1" a="1"/>
  <c r="AH534" i="1"/>
  <c r="AG534" i="1" a="1"/>
  <c r="AG534" i="1"/>
  <c r="AF534" i="1" a="1"/>
  <c r="AF534" i="1"/>
  <c r="AE534" i="1" a="1"/>
  <c r="AE534" i="1"/>
  <c r="AD534" i="1" a="1"/>
  <c r="AD534" i="1"/>
  <c r="AC534" i="1" a="1"/>
  <c r="AC534" i="1"/>
  <c r="AB534" i="1" a="1"/>
  <c r="AB534" i="1"/>
  <c r="AA534" i="1" a="1"/>
  <c r="AA534" i="1"/>
  <c r="Z534" i="1" a="1"/>
  <c r="Z534" i="1"/>
  <c r="Y534" i="1" a="1"/>
  <c r="Y534" i="1"/>
  <c r="X534" i="1" a="1"/>
  <c r="X534" i="1"/>
  <c r="W534" i="1" a="1"/>
  <c r="W534" i="1"/>
  <c r="V534" i="1" a="1"/>
  <c r="V534" i="1"/>
  <c r="P534" i="1" a="1"/>
  <c r="P534" i="1"/>
  <c r="O534" i="1" a="1"/>
  <c r="O534" i="1"/>
  <c r="N534" i="1" a="1"/>
  <c r="N534" i="1"/>
  <c r="M534" i="1" a="1"/>
  <c r="M534" i="1"/>
  <c r="L534" i="1" a="1"/>
  <c r="L534" i="1"/>
  <c r="K534" i="1" a="1"/>
  <c r="K534" i="1"/>
  <c r="J534" i="1" a="1"/>
  <c r="J534" i="1"/>
  <c r="I534" i="1" a="1"/>
  <c r="I534" i="1"/>
  <c r="H534" i="1" a="1"/>
  <c r="H534" i="1"/>
  <c r="G534" i="1" a="1"/>
  <c r="G534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P533" i="1"/>
  <c r="O533" i="1"/>
  <c r="N533" i="1"/>
  <c r="M533" i="1"/>
  <c r="L533" i="1"/>
  <c r="K533" i="1"/>
  <c r="J533" i="1"/>
  <c r="I533" i="1"/>
  <c r="H533" i="1"/>
  <c r="G533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P532" i="1"/>
  <c r="O532" i="1"/>
  <c r="N532" i="1"/>
  <c r="M532" i="1"/>
  <c r="L532" i="1"/>
  <c r="K532" i="1"/>
  <c r="J532" i="1"/>
  <c r="I532" i="1"/>
  <c r="H532" i="1"/>
  <c r="G532" i="1"/>
  <c r="CJ531" i="1"/>
  <c r="CI531" i="1" a="1"/>
  <c r="CI531" i="1"/>
  <c r="CH531" i="1" a="1"/>
  <c r="CH531" i="1"/>
  <c r="CG531" i="1"/>
  <c r="CF531" i="1"/>
  <c r="CE531" i="1" a="1"/>
  <c r="CE531" i="1"/>
  <c r="CD531" i="1" a="1"/>
  <c r="CD531" i="1"/>
  <c r="CC531" i="1"/>
  <c r="CB531" i="1"/>
  <c r="CA531" i="1" a="1"/>
  <c r="CA531" i="1"/>
  <c r="BZ531" i="1" a="1"/>
  <c r="BZ531" i="1"/>
  <c r="BY531" i="1"/>
  <c r="BX531" i="1"/>
  <c r="BW531" i="1" a="1"/>
  <c r="BW531" i="1"/>
  <c r="BV531" i="1"/>
  <c r="BU531" i="1"/>
  <c r="BT531" i="1"/>
  <c r="BS531" i="1" a="1"/>
  <c r="BS531" i="1"/>
  <c r="BR531" i="1"/>
  <c r="BQ531" i="1"/>
  <c r="BP531" i="1"/>
  <c r="BO531" i="1" a="1"/>
  <c r="BO531" i="1"/>
  <c r="BN531" i="1"/>
  <c r="BM531" i="1"/>
  <c r="BL531" i="1"/>
  <c r="BK531" i="1"/>
  <c r="BJ531" i="1"/>
  <c r="U531" i="1"/>
  <c r="T531" i="1"/>
  <c r="S531" i="1"/>
  <c r="R531" i="1"/>
  <c r="Q531" i="1"/>
  <c r="F531" i="1"/>
  <c r="E531" i="1"/>
  <c r="D531" i="1"/>
  <c r="C531" i="1"/>
  <c r="CJ530" i="1"/>
  <c r="CI530" i="1" a="1"/>
  <c r="CI530" i="1"/>
  <c r="CH530" i="1" a="1"/>
  <c r="CH530" i="1"/>
  <c r="CG530" i="1"/>
  <c r="CF530" i="1"/>
  <c r="CE530" i="1" a="1"/>
  <c r="CE530" i="1"/>
  <c r="CD530" i="1" a="1"/>
  <c r="CD530" i="1"/>
  <c r="CC530" i="1"/>
  <c r="CB530" i="1"/>
  <c r="CA530" i="1" a="1"/>
  <c r="CA530" i="1"/>
  <c r="BZ530" i="1" a="1"/>
  <c r="BZ530" i="1"/>
  <c r="BY530" i="1"/>
  <c r="BX530" i="1"/>
  <c r="BW530" i="1" a="1"/>
  <c r="BW530" i="1"/>
  <c r="BV530" i="1"/>
  <c r="BU530" i="1"/>
  <c r="BT530" i="1"/>
  <c r="BS530" i="1" a="1"/>
  <c r="BS530" i="1"/>
  <c r="BR530" i="1"/>
  <c r="BQ530" i="1"/>
  <c r="BP530" i="1"/>
  <c r="BO530" i="1" a="1"/>
  <c r="BO530" i="1"/>
  <c r="BN530" i="1"/>
  <c r="BM530" i="1"/>
  <c r="BL530" i="1"/>
  <c r="BK530" i="1"/>
  <c r="BJ530" i="1"/>
  <c r="U530" i="1"/>
  <c r="T530" i="1"/>
  <c r="S530" i="1"/>
  <c r="R530" i="1"/>
  <c r="Q530" i="1"/>
  <c r="F530" i="1"/>
  <c r="E530" i="1"/>
  <c r="D530" i="1"/>
  <c r="C530" i="1"/>
  <c r="CJ529" i="1"/>
  <c r="CI529" i="1" a="1"/>
  <c r="CI529" i="1"/>
  <c r="CH529" i="1" a="1"/>
  <c r="CH529" i="1"/>
  <c r="CG529" i="1"/>
  <c r="CF529" i="1"/>
  <c r="CE529" i="1" a="1"/>
  <c r="CE529" i="1"/>
  <c r="CD529" i="1" a="1"/>
  <c r="CD529" i="1"/>
  <c r="CC529" i="1"/>
  <c r="CB529" i="1"/>
  <c r="CA529" i="1" a="1"/>
  <c r="CA529" i="1"/>
  <c r="BZ529" i="1" a="1"/>
  <c r="BZ529" i="1"/>
  <c r="BY529" i="1"/>
  <c r="BX529" i="1"/>
  <c r="BW529" i="1" a="1"/>
  <c r="BW529" i="1"/>
  <c r="BV529" i="1"/>
  <c r="BU529" i="1"/>
  <c r="BT529" i="1"/>
  <c r="BS529" i="1" a="1"/>
  <c r="BS529" i="1"/>
  <c r="BR529" i="1"/>
  <c r="BQ529" i="1"/>
  <c r="BP529" i="1"/>
  <c r="BO529" i="1" a="1"/>
  <c r="BO529" i="1"/>
  <c r="BN529" i="1"/>
  <c r="BM529" i="1"/>
  <c r="BL529" i="1"/>
  <c r="BK529" i="1"/>
  <c r="BJ529" i="1"/>
  <c r="U529" i="1"/>
  <c r="T529" i="1"/>
  <c r="S529" i="1"/>
  <c r="R529" i="1"/>
  <c r="Q529" i="1"/>
  <c r="F529" i="1"/>
  <c r="E529" i="1"/>
  <c r="D529" i="1"/>
  <c r="C529" i="1"/>
  <c r="CJ528" i="1"/>
  <c r="CI528" i="1" a="1"/>
  <c r="CI528" i="1"/>
  <c r="CH528" i="1" a="1"/>
  <c r="CH528" i="1"/>
  <c r="CG528" i="1"/>
  <c r="CF528" i="1"/>
  <c r="CE528" i="1" a="1"/>
  <c r="CE528" i="1"/>
  <c r="CD528" i="1" a="1"/>
  <c r="CD528" i="1"/>
  <c r="CC528" i="1"/>
  <c r="CB528" i="1"/>
  <c r="CA528" i="1" a="1"/>
  <c r="CA528" i="1"/>
  <c r="BZ528" i="1" a="1"/>
  <c r="BZ528" i="1"/>
  <c r="BY528" i="1"/>
  <c r="BX528" i="1"/>
  <c r="BW528" i="1" a="1"/>
  <c r="BW528" i="1"/>
  <c r="BV528" i="1"/>
  <c r="BU528" i="1"/>
  <c r="BT528" i="1"/>
  <c r="BS528" i="1" a="1"/>
  <c r="BS528" i="1"/>
  <c r="BR528" i="1"/>
  <c r="BQ528" i="1"/>
  <c r="BP528" i="1"/>
  <c r="BO528" i="1" a="1"/>
  <c r="BO528" i="1"/>
  <c r="BN528" i="1"/>
  <c r="BM528" i="1"/>
  <c r="BL528" i="1"/>
  <c r="BK528" i="1"/>
  <c r="BJ528" i="1"/>
  <c r="U528" i="1"/>
  <c r="T528" i="1"/>
  <c r="S528" i="1"/>
  <c r="R528" i="1"/>
  <c r="Q528" i="1"/>
  <c r="F528" i="1"/>
  <c r="E528" i="1"/>
  <c r="D528" i="1"/>
  <c r="C528" i="1"/>
  <c r="CJ527" i="1"/>
  <c r="CI527" i="1" a="1"/>
  <c r="CI527" i="1"/>
  <c r="CH527" i="1" a="1"/>
  <c r="CH527" i="1"/>
  <c r="CG527" i="1"/>
  <c r="CF527" i="1"/>
  <c r="CE527" i="1" a="1"/>
  <c r="CE527" i="1"/>
  <c r="CD527" i="1" a="1"/>
  <c r="CD527" i="1"/>
  <c r="CC527" i="1"/>
  <c r="CB527" i="1"/>
  <c r="CA527" i="1" a="1"/>
  <c r="CA527" i="1"/>
  <c r="BZ527" i="1" a="1"/>
  <c r="BZ527" i="1"/>
  <c r="BY527" i="1"/>
  <c r="BX527" i="1"/>
  <c r="BW527" i="1" a="1"/>
  <c r="BW527" i="1"/>
  <c r="BV527" i="1"/>
  <c r="BU527" i="1"/>
  <c r="BT527" i="1"/>
  <c r="BS527" i="1" a="1"/>
  <c r="BS527" i="1"/>
  <c r="BR527" i="1"/>
  <c r="BQ527" i="1"/>
  <c r="BP527" i="1"/>
  <c r="BO527" i="1" a="1"/>
  <c r="BO527" i="1"/>
  <c r="BN527" i="1"/>
  <c r="BM527" i="1"/>
  <c r="BL527" i="1"/>
  <c r="BK527" i="1"/>
  <c r="BJ527" i="1"/>
  <c r="U527" i="1"/>
  <c r="T527" i="1"/>
  <c r="S527" i="1"/>
  <c r="R527" i="1"/>
  <c r="Q527" i="1"/>
  <c r="F527" i="1"/>
  <c r="E527" i="1"/>
  <c r="D527" i="1"/>
  <c r="C527" i="1"/>
  <c r="CJ526" i="1"/>
  <c r="CI526" i="1" a="1"/>
  <c r="CI526" i="1"/>
  <c r="CH526" i="1" a="1"/>
  <c r="CH526" i="1"/>
  <c r="CG526" i="1"/>
  <c r="CF526" i="1"/>
  <c r="CE526" i="1" a="1"/>
  <c r="CE526" i="1"/>
  <c r="CD526" i="1" a="1"/>
  <c r="CD526" i="1"/>
  <c r="CC526" i="1"/>
  <c r="CB526" i="1"/>
  <c r="CA526" i="1" a="1"/>
  <c r="CA526" i="1"/>
  <c r="BZ526" i="1" a="1"/>
  <c r="BZ526" i="1"/>
  <c r="BY526" i="1"/>
  <c r="BX526" i="1"/>
  <c r="BW526" i="1" a="1"/>
  <c r="BW526" i="1"/>
  <c r="BV526" i="1"/>
  <c r="BU526" i="1"/>
  <c r="BT526" i="1"/>
  <c r="BS526" i="1" a="1"/>
  <c r="BS526" i="1"/>
  <c r="BR526" i="1"/>
  <c r="BQ526" i="1"/>
  <c r="BP526" i="1"/>
  <c r="BO526" i="1" a="1"/>
  <c r="BO526" i="1"/>
  <c r="BN526" i="1"/>
  <c r="BM526" i="1"/>
  <c r="BL526" i="1"/>
  <c r="BK526" i="1"/>
  <c r="BJ526" i="1"/>
  <c r="U526" i="1"/>
  <c r="T526" i="1"/>
  <c r="S526" i="1"/>
  <c r="R526" i="1"/>
  <c r="Q526" i="1"/>
  <c r="F526" i="1"/>
  <c r="E526" i="1"/>
  <c r="D526" i="1"/>
  <c r="C526" i="1"/>
  <c r="CJ525" i="1"/>
  <c r="CI525" i="1" a="1"/>
  <c r="CI525" i="1"/>
  <c r="CH525" i="1" a="1"/>
  <c r="CH525" i="1"/>
  <c r="CG525" i="1"/>
  <c r="CF525" i="1"/>
  <c r="CE525" i="1" a="1"/>
  <c r="CE525" i="1"/>
  <c r="CD525" i="1" a="1"/>
  <c r="CD525" i="1"/>
  <c r="CC525" i="1"/>
  <c r="CB525" i="1"/>
  <c r="CA525" i="1" a="1"/>
  <c r="CA525" i="1"/>
  <c r="BZ525" i="1" a="1"/>
  <c r="BZ525" i="1"/>
  <c r="BY525" i="1"/>
  <c r="BX525" i="1"/>
  <c r="BW525" i="1" a="1"/>
  <c r="BW525" i="1"/>
  <c r="BV525" i="1"/>
  <c r="BU525" i="1"/>
  <c r="BT525" i="1"/>
  <c r="BS525" i="1" a="1"/>
  <c r="BS525" i="1"/>
  <c r="BR525" i="1"/>
  <c r="BQ525" i="1"/>
  <c r="BP525" i="1"/>
  <c r="BO525" i="1" a="1"/>
  <c r="BO525" i="1"/>
  <c r="BN525" i="1"/>
  <c r="BM525" i="1"/>
  <c r="BL525" i="1"/>
  <c r="BK525" i="1"/>
  <c r="BJ525" i="1"/>
  <c r="U525" i="1"/>
  <c r="T525" i="1"/>
  <c r="S525" i="1"/>
  <c r="R525" i="1"/>
  <c r="Q525" i="1"/>
  <c r="F525" i="1"/>
  <c r="E525" i="1"/>
  <c r="D525" i="1"/>
  <c r="C525" i="1"/>
  <c r="CJ524" i="1"/>
  <c r="CI524" i="1" a="1"/>
  <c r="CI524" i="1"/>
  <c r="CH524" i="1" a="1"/>
  <c r="CH524" i="1"/>
  <c r="CG524" i="1"/>
  <c r="CF524" i="1"/>
  <c r="CE524" i="1" a="1"/>
  <c r="CE524" i="1"/>
  <c r="CD524" i="1" a="1"/>
  <c r="CD524" i="1"/>
  <c r="CC524" i="1"/>
  <c r="CB524" i="1"/>
  <c r="CA524" i="1" a="1"/>
  <c r="CA524" i="1"/>
  <c r="BZ524" i="1" a="1"/>
  <c r="BZ524" i="1"/>
  <c r="BY524" i="1"/>
  <c r="BX524" i="1"/>
  <c r="BW524" i="1" a="1"/>
  <c r="BW524" i="1"/>
  <c r="BV524" i="1"/>
  <c r="BU524" i="1"/>
  <c r="BT524" i="1"/>
  <c r="BS524" i="1" a="1"/>
  <c r="BS524" i="1"/>
  <c r="BR524" i="1"/>
  <c r="BQ524" i="1"/>
  <c r="BP524" i="1"/>
  <c r="BO524" i="1" a="1"/>
  <c r="BO524" i="1"/>
  <c r="BN524" i="1"/>
  <c r="BM524" i="1"/>
  <c r="BL524" i="1"/>
  <c r="BK524" i="1"/>
  <c r="BJ524" i="1"/>
  <c r="U524" i="1"/>
  <c r="T524" i="1"/>
  <c r="S524" i="1"/>
  <c r="R524" i="1"/>
  <c r="Q524" i="1"/>
  <c r="F524" i="1"/>
  <c r="E524" i="1"/>
  <c r="D524" i="1"/>
  <c r="C524" i="1"/>
  <c r="CJ523" i="1"/>
  <c r="CI523" i="1" a="1"/>
  <c r="CI523" i="1"/>
  <c r="CH523" i="1" a="1"/>
  <c r="CH523" i="1"/>
  <c r="CG523" i="1"/>
  <c r="CF523" i="1"/>
  <c r="CE523" i="1" a="1"/>
  <c r="CE523" i="1"/>
  <c r="CD523" i="1" a="1"/>
  <c r="CD523" i="1"/>
  <c r="CC523" i="1"/>
  <c r="CB523" i="1"/>
  <c r="CA523" i="1" a="1"/>
  <c r="CA523" i="1"/>
  <c r="BZ523" i="1" a="1"/>
  <c r="BZ523" i="1"/>
  <c r="BY523" i="1"/>
  <c r="BX523" i="1"/>
  <c r="BW523" i="1" a="1"/>
  <c r="BW523" i="1"/>
  <c r="BV523" i="1"/>
  <c r="BU523" i="1"/>
  <c r="BT523" i="1"/>
  <c r="BS523" i="1" a="1"/>
  <c r="BS523" i="1"/>
  <c r="BR523" i="1"/>
  <c r="BQ523" i="1"/>
  <c r="BP523" i="1"/>
  <c r="BO523" i="1" a="1"/>
  <c r="BO523" i="1"/>
  <c r="BN523" i="1"/>
  <c r="BM523" i="1"/>
  <c r="BL523" i="1"/>
  <c r="BK523" i="1"/>
  <c r="BJ523" i="1"/>
  <c r="U523" i="1"/>
  <c r="T523" i="1"/>
  <c r="S523" i="1"/>
  <c r="R523" i="1"/>
  <c r="Q523" i="1"/>
  <c r="F523" i="1"/>
  <c r="E523" i="1"/>
  <c r="D523" i="1"/>
  <c r="C523" i="1"/>
  <c r="CJ522" i="1"/>
  <c r="CI522" i="1" a="1"/>
  <c r="CI522" i="1"/>
  <c r="CH522" i="1" a="1"/>
  <c r="CH522" i="1"/>
  <c r="CG522" i="1"/>
  <c r="CF522" i="1"/>
  <c r="CE522" i="1" a="1"/>
  <c r="CE522" i="1"/>
  <c r="CD522" i="1" a="1"/>
  <c r="CD522" i="1"/>
  <c r="CC522" i="1"/>
  <c r="CB522" i="1"/>
  <c r="CA522" i="1" a="1"/>
  <c r="CA522" i="1"/>
  <c r="BZ522" i="1" a="1"/>
  <c r="BZ522" i="1"/>
  <c r="BY522" i="1"/>
  <c r="BX522" i="1"/>
  <c r="BW522" i="1" a="1"/>
  <c r="BW522" i="1"/>
  <c r="BV522" i="1"/>
  <c r="BU522" i="1"/>
  <c r="BT522" i="1"/>
  <c r="BS522" i="1" a="1"/>
  <c r="BS522" i="1"/>
  <c r="BR522" i="1"/>
  <c r="BQ522" i="1"/>
  <c r="BP522" i="1"/>
  <c r="BO522" i="1" a="1"/>
  <c r="BO522" i="1"/>
  <c r="BN522" i="1"/>
  <c r="BM522" i="1"/>
  <c r="BL522" i="1"/>
  <c r="BK522" i="1"/>
  <c r="BJ522" i="1"/>
  <c r="U522" i="1"/>
  <c r="T522" i="1"/>
  <c r="S522" i="1"/>
  <c r="R522" i="1"/>
  <c r="Q522" i="1"/>
  <c r="F522" i="1"/>
  <c r="E522" i="1"/>
  <c r="D522" i="1"/>
  <c r="C522" i="1"/>
  <c r="CJ521" i="1"/>
  <c r="CI521" i="1" a="1"/>
  <c r="CI521" i="1"/>
  <c r="CH521" i="1" a="1"/>
  <c r="CH521" i="1"/>
  <c r="CG521" i="1"/>
  <c r="CF521" i="1"/>
  <c r="CE521" i="1" a="1"/>
  <c r="CE521" i="1"/>
  <c r="CD521" i="1" a="1"/>
  <c r="CD521" i="1"/>
  <c r="CC521" i="1"/>
  <c r="CB521" i="1"/>
  <c r="CA521" i="1" a="1"/>
  <c r="CA521" i="1"/>
  <c r="BZ521" i="1" a="1"/>
  <c r="BZ521" i="1"/>
  <c r="BY521" i="1"/>
  <c r="BX521" i="1"/>
  <c r="BW521" i="1" a="1"/>
  <c r="BW521" i="1"/>
  <c r="BV521" i="1"/>
  <c r="BU521" i="1"/>
  <c r="BT521" i="1"/>
  <c r="BS521" i="1" a="1"/>
  <c r="BS521" i="1"/>
  <c r="BR521" i="1"/>
  <c r="BQ521" i="1"/>
  <c r="BP521" i="1"/>
  <c r="BO521" i="1" a="1"/>
  <c r="BO521" i="1"/>
  <c r="BN521" i="1"/>
  <c r="BM521" i="1"/>
  <c r="BL521" i="1"/>
  <c r="BK521" i="1"/>
  <c r="BJ521" i="1"/>
  <c r="U521" i="1"/>
  <c r="T521" i="1"/>
  <c r="S521" i="1"/>
  <c r="R521" i="1"/>
  <c r="Q521" i="1"/>
  <c r="F521" i="1"/>
  <c r="E521" i="1"/>
  <c r="D521" i="1"/>
  <c r="C521" i="1"/>
  <c r="CJ520" i="1"/>
  <c r="CI520" i="1" a="1"/>
  <c r="CI520" i="1"/>
  <c r="CH520" i="1" a="1"/>
  <c r="CH520" i="1"/>
  <c r="CG520" i="1"/>
  <c r="CF520" i="1"/>
  <c r="CE520" i="1" a="1"/>
  <c r="CE520" i="1"/>
  <c r="CD520" i="1" a="1"/>
  <c r="CD520" i="1"/>
  <c r="CC520" i="1"/>
  <c r="CB520" i="1"/>
  <c r="CA520" i="1" a="1"/>
  <c r="CA520" i="1"/>
  <c r="BZ520" i="1" a="1"/>
  <c r="BZ520" i="1"/>
  <c r="BY520" i="1"/>
  <c r="BX520" i="1"/>
  <c r="BW520" i="1" a="1"/>
  <c r="BW520" i="1"/>
  <c r="BV520" i="1"/>
  <c r="BU520" i="1"/>
  <c r="BT520" i="1"/>
  <c r="BS520" i="1" a="1"/>
  <c r="BS520" i="1"/>
  <c r="BR520" i="1"/>
  <c r="BQ520" i="1"/>
  <c r="BP520" i="1"/>
  <c r="BO520" i="1" a="1"/>
  <c r="BO520" i="1"/>
  <c r="BN520" i="1"/>
  <c r="BM520" i="1"/>
  <c r="BL520" i="1"/>
  <c r="BK520" i="1"/>
  <c r="BJ520" i="1"/>
  <c r="U520" i="1"/>
  <c r="T520" i="1"/>
  <c r="S520" i="1"/>
  <c r="R520" i="1"/>
  <c r="Q520" i="1"/>
  <c r="F520" i="1"/>
  <c r="E520" i="1"/>
  <c r="D520" i="1"/>
  <c r="C520" i="1"/>
  <c r="CJ519" i="1"/>
  <c r="CI519" i="1" a="1"/>
  <c r="CI519" i="1"/>
  <c r="CH519" i="1" a="1"/>
  <c r="CH519" i="1"/>
  <c r="CG519" i="1"/>
  <c r="CF519" i="1"/>
  <c r="CE519" i="1" a="1"/>
  <c r="CE519" i="1"/>
  <c r="CD519" i="1" a="1"/>
  <c r="CD519" i="1"/>
  <c r="CC519" i="1"/>
  <c r="CB519" i="1"/>
  <c r="CA519" i="1" a="1"/>
  <c r="CA519" i="1"/>
  <c r="BZ519" i="1" a="1"/>
  <c r="BZ519" i="1"/>
  <c r="BY519" i="1"/>
  <c r="BX519" i="1"/>
  <c r="BW519" i="1" a="1"/>
  <c r="BW519" i="1"/>
  <c r="BV519" i="1"/>
  <c r="BU519" i="1"/>
  <c r="BT519" i="1"/>
  <c r="BS519" i="1" a="1"/>
  <c r="BS519" i="1"/>
  <c r="BR519" i="1"/>
  <c r="BQ519" i="1"/>
  <c r="BP519" i="1"/>
  <c r="BO519" i="1" a="1"/>
  <c r="BO519" i="1"/>
  <c r="BN519" i="1"/>
  <c r="BM519" i="1"/>
  <c r="BL519" i="1"/>
  <c r="BK519" i="1"/>
  <c r="BJ519" i="1"/>
  <c r="U519" i="1"/>
  <c r="T519" i="1"/>
  <c r="S519" i="1"/>
  <c r="R519" i="1"/>
  <c r="Q519" i="1"/>
  <c r="F519" i="1"/>
  <c r="E519" i="1"/>
  <c r="D519" i="1"/>
  <c r="C519" i="1"/>
  <c r="CJ518" i="1"/>
  <c r="CI518" i="1" a="1"/>
  <c r="CI518" i="1"/>
  <c r="CH518" i="1" a="1"/>
  <c r="CH518" i="1"/>
  <c r="CG518" i="1"/>
  <c r="CF518" i="1"/>
  <c r="CE518" i="1" a="1"/>
  <c r="CE518" i="1"/>
  <c r="CD518" i="1" a="1"/>
  <c r="CD518" i="1"/>
  <c r="CC518" i="1"/>
  <c r="CB518" i="1"/>
  <c r="CA518" i="1" a="1"/>
  <c r="CA518" i="1"/>
  <c r="BZ518" i="1" a="1"/>
  <c r="BZ518" i="1"/>
  <c r="BY518" i="1"/>
  <c r="BX518" i="1"/>
  <c r="BW518" i="1" a="1"/>
  <c r="BW518" i="1"/>
  <c r="BV518" i="1"/>
  <c r="BU518" i="1"/>
  <c r="BT518" i="1"/>
  <c r="BS518" i="1" a="1"/>
  <c r="BS518" i="1"/>
  <c r="BR518" i="1"/>
  <c r="BQ518" i="1"/>
  <c r="BP518" i="1"/>
  <c r="BO518" i="1" a="1"/>
  <c r="BO518" i="1"/>
  <c r="BN518" i="1"/>
  <c r="BM518" i="1"/>
  <c r="BL518" i="1"/>
  <c r="BK518" i="1"/>
  <c r="BJ518" i="1"/>
  <c r="U518" i="1"/>
  <c r="T518" i="1"/>
  <c r="S518" i="1"/>
  <c r="R518" i="1"/>
  <c r="Q518" i="1"/>
  <c r="F518" i="1"/>
  <c r="E518" i="1"/>
  <c r="D518" i="1"/>
  <c r="C518" i="1"/>
  <c r="CJ517" i="1"/>
  <c r="CI517" i="1" a="1"/>
  <c r="CI517" i="1"/>
  <c r="CH517" i="1" a="1"/>
  <c r="CH517" i="1"/>
  <c r="CG517" i="1"/>
  <c r="CF517" i="1"/>
  <c r="CE517" i="1" a="1"/>
  <c r="CE517" i="1"/>
  <c r="CD517" i="1" a="1"/>
  <c r="CD517" i="1"/>
  <c r="CC517" i="1"/>
  <c r="CB517" i="1"/>
  <c r="CA517" i="1" a="1"/>
  <c r="CA517" i="1"/>
  <c r="BZ517" i="1" a="1"/>
  <c r="BZ517" i="1"/>
  <c r="BY517" i="1"/>
  <c r="BX517" i="1"/>
  <c r="BW517" i="1" a="1"/>
  <c r="BW517" i="1"/>
  <c r="BV517" i="1"/>
  <c r="BU517" i="1"/>
  <c r="BT517" i="1"/>
  <c r="BS517" i="1" a="1"/>
  <c r="BS517" i="1"/>
  <c r="BR517" i="1"/>
  <c r="BQ517" i="1"/>
  <c r="BP517" i="1"/>
  <c r="BO517" i="1" a="1"/>
  <c r="BO517" i="1"/>
  <c r="BN517" i="1"/>
  <c r="BM517" i="1"/>
  <c r="BL517" i="1"/>
  <c r="BK517" i="1"/>
  <c r="BJ517" i="1"/>
  <c r="U517" i="1"/>
  <c r="T517" i="1"/>
  <c r="S517" i="1"/>
  <c r="R517" i="1"/>
  <c r="Q517" i="1"/>
  <c r="F517" i="1"/>
  <c r="E517" i="1"/>
  <c r="D517" i="1"/>
  <c r="C517" i="1"/>
  <c r="CJ516" i="1"/>
  <c r="CI516" i="1" a="1"/>
  <c r="CI516" i="1"/>
  <c r="CH516" i="1" a="1"/>
  <c r="CH516" i="1"/>
  <c r="CG516" i="1"/>
  <c r="CF516" i="1"/>
  <c r="CE516" i="1" a="1"/>
  <c r="CE516" i="1"/>
  <c r="CD516" i="1" a="1"/>
  <c r="CD516" i="1"/>
  <c r="CC516" i="1"/>
  <c r="CB516" i="1"/>
  <c r="CA516" i="1" a="1"/>
  <c r="CA516" i="1"/>
  <c r="BZ516" i="1" a="1"/>
  <c r="BZ516" i="1"/>
  <c r="BY516" i="1"/>
  <c r="BX516" i="1"/>
  <c r="BW516" i="1" a="1"/>
  <c r="BW516" i="1"/>
  <c r="BV516" i="1"/>
  <c r="BU516" i="1"/>
  <c r="BT516" i="1"/>
  <c r="BS516" i="1" a="1"/>
  <c r="BS516" i="1"/>
  <c r="BR516" i="1"/>
  <c r="BQ516" i="1"/>
  <c r="BP516" i="1"/>
  <c r="BO516" i="1" a="1"/>
  <c r="BO516" i="1"/>
  <c r="BN516" i="1"/>
  <c r="BM516" i="1"/>
  <c r="BL516" i="1"/>
  <c r="BK516" i="1"/>
  <c r="BJ516" i="1"/>
  <c r="U516" i="1"/>
  <c r="T516" i="1"/>
  <c r="S516" i="1"/>
  <c r="R516" i="1"/>
  <c r="Q516" i="1"/>
  <c r="F516" i="1"/>
  <c r="E516" i="1"/>
  <c r="D516" i="1"/>
  <c r="C516" i="1"/>
  <c r="CJ515" i="1"/>
  <c r="CI515" i="1" a="1"/>
  <c r="CI515" i="1"/>
  <c r="CH515" i="1" a="1"/>
  <c r="CH515" i="1"/>
  <c r="CG515" i="1"/>
  <c r="CF515" i="1"/>
  <c r="CE515" i="1" a="1"/>
  <c r="CE515" i="1"/>
  <c r="CD515" i="1" a="1"/>
  <c r="CD515" i="1"/>
  <c r="CC515" i="1"/>
  <c r="CB515" i="1"/>
  <c r="CA515" i="1" a="1"/>
  <c r="CA515" i="1"/>
  <c r="BZ515" i="1" a="1"/>
  <c r="BZ515" i="1"/>
  <c r="BY515" i="1"/>
  <c r="BX515" i="1"/>
  <c r="BW515" i="1" a="1"/>
  <c r="BW515" i="1"/>
  <c r="BV515" i="1"/>
  <c r="BU515" i="1"/>
  <c r="BT515" i="1"/>
  <c r="BS515" i="1" a="1"/>
  <c r="BS515" i="1"/>
  <c r="BR515" i="1"/>
  <c r="BQ515" i="1"/>
  <c r="BP515" i="1"/>
  <c r="BO515" i="1" a="1"/>
  <c r="BO515" i="1"/>
  <c r="BN515" i="1"/>
  <c r="BM515" i="1"/>
  <c r="BL515" i="1"/>
  <c r="BK515" i="1"/>
  <c r="BJ515" i="1"/>
  <c r="U515" i="1"/>
  <c r="T515" i="1"/>
  <c r="S515" i="1"/>
  <c r="R515" i="1"/>
  <c r="Q515" i="1"/>
  <c r="F515" i="1"/>
  <c r="E515" i="1"/>
  <c r="D515" i="1"/>
  <c r="C515" i="1"/>
  <c r="CJ514" i="1"/>
  <c r="CI514" i="1" a="1"/>
  <c r="CI514" i="1"/>
  <c r="CH514" i="1" a="1"/>
  <c r="CH514" i="1"/>
  <c r="CG514" i="1"/>
  <c r="CF514" i="1"/>
  <c r="CE514" i="1" a="1"/>
  <c r="CE514" i="1"/>
  <c r="CD514" i="1" a="1"/>
  <c r="CD514" i="1"/>
  <c r="CC514" i="1"/>
  <c r="CB514" i="1"/>
  <c r="CA514" i="1" a="1"/>
  <c r="CA514" i="1"/>
  <c r="BZ514" i="1" a="1"/>
  <c r="BZ514" i="1"/>
  <c r="BY514" i="1"/>
  <c r="BX514" i="1"/>
  <c r="BW514" i="1" a="1"/>
  <c r="BW514" i="1"/>
  <c r="BV514" i="1"/>
  <c r="BU514" i="1"/>
  <c r="BT514" i="1"/>
  <c r="BS514" i="1" a="1"/>
  <c r="BS514" i="1"/>
  <c r="BR514" i="1"/>
  <c r="BQ514" i="1"/>
  <c r="BP514" i="1"/>
  <c r="BO514" i="1" a="1"/>
  <c r="BO514" i="1"/>
  <c r="BN514" i="1"/>
  <c r="BM514" i="1"/>
  <c r="BL514" i="1"/>
  <c r="BK514" i="1"/>
  <c r="BJ514" i="1"/>
  <c r="U514" i="1"/>
  <c r="T514" i="1"/>
  <c r="S514" i="1"/>
  <c r="R514" i="1"/>
  <c r="Q514" i="1"/>
  <c r="F514" i="1"/>
  <c r="E514" i="1"/>
  <c r="D514" i="1"/>
  <c r="C514" i="1"/>
  <c r="CJ513" i="1"/>
  <c r="CI513" i="1" a="1"/>
  <c r="CI513" i="1"/>
  <c r="CH513" i="1" a="1"/>
  <c r="CH513" i="1"/>
  <c r="CG513" i="1"/>
  <c r="CF513" i="1"/>
  <c r="CE513" i="1" a="1"/>
  <c r="CE513" i="1"/>
  <c r="CD513" i="1" a="1"/>
  <c r="CD513" i="1"/>
  <c r="CC513" i="1"/>
  <c r="CB513" i="1"/>
  <c r="CA513" i="1" a="1"/>
  <c r="CA513" i="1"/>
  <c r="BZ513" i="1" a="1"/>
  <c r="BZ513" i="1"/>
  <c r="BY513" i="1"/>
  <c r="BX513" i="1"/>
  <c r="BW513" i="1" a="1"/>
  <c r="BW513" i="1"/>
  <c r="BV513" i="1"/>
  <c r="BU513" i="1"/>
  <c r="BT513" i="1"/>
  <c r="BS513" i="1" a="1"/>
  <c r="BS513" i="1"/>
  <c r="BR513" i="1"/>
  <c r="BQ513" i="1"/>
  <c r="BP513" i="1"/>
  <c r="BO513" i="1" a="1"/>
  <c r="BO513" i="1"/>
  <c r="BN513" i="1"/>
  <c r="BM513" i="1"/>
  <c r="BL513" i="1"/>
  <c r="BK513" i="1"/>
  <c r="BJ513" i="1"/>
  <c r="U513" i="1"/>
  <c r="T513" i="1"/>
  <c r="S513" i="1"/>
  <c r="R513" i="1"/>
  <c r="Q513" i="1"/>
  <c r="F513" i="1"/>
  <c r="E513" i="1"/>
  <c r="D513" i="1"/>
  <c r="C513" i="1"/>
  <c r="CJ512" i="1"/>
  <c r="CI512" i="1" a="1"/>
  <c r="CI512" i="1"/>
  <c r="CH512" i="1" a="1"/>
  <c r="CH512" i="1"/>
  <c r="CG512" i="1"/>
  <c r="CF512" i="1"/>
  <c r="CE512" i="1" a="1"/>
  <c r="CE512" i="1"/>
  <c r="CD512" i="1" a="1"/>
  <c r="CD512" i="1"/>
  <c r="CC512" i="1"/>
  <c r="CB512" i="1"/>
  <c r="CA512" i="1" a="1"/>
  <c r="CA512" i="1"/>
  <c r="BZ512" i="1" a="1"/>
  <c r="BZ512" i="1"/>
  <c r="BY512" i="1"/>
  <c r="BX512" i="1"/>
  <c r="BW512" i="1" a="1"/>
  <c r="BW512" i="1"/>
  <c r="BV512" i="1"/>
  <c r="BU512" i="1"/>
  <c r="BT512" i="1"/>
  <c r="BS512" i="1" a="1"/>
  <c r="BS512" i="1"/>
  <c r="BR512" i="1"/>
  <c r="BQ512" i="1"/>
  <c r="BP512" i="1"/>
  <c r="BO512" i="1" a="1"/>
  <c r="BO512" i="1"/>
  <c r="BN512" i="1"/>
  <c r="BM512" i="1"/>
  <c r="BL512" i="1"/>
  <c r="BK512" i="1"/>
  <c r="BJ512" i="1"/>
  <c r="U512" i="1"/>
  <c r="T512" i="1"/>
  <c r="S512" i="1"/>
  <c r="R512" i="1"/>
  <c r="Q512" i="1"/>
  <c r="F512" i="1"/>
  <c r="E512" i="1"/>
  <c r="D512" i="1"/>
  <c r="C512" i="1"/>
  <c r="CJ511" i="1"/>
  <c r="CI511" i="1" a="1"/>
  <c r="CI511" i="1"/>
  <c r="CH511" i="1" a="1"/>
  <c r="CH511" i="1"/>
  <c r="CG511" i="1"/>
  <c r="CF511" i="1"/>
  <c r="CE511" i="1" a="1"/>
  <c r="CE511" i="1"/>
  <c r="CD511" i="1" a="1"/>
  <c r="CD511" i="1"/>
  <c r="CC511" i="1"/>
  <c r="CB511" i="1"/>
  <c r="CA511" i="1" a="1"/>
  <c r="CA511" i="1"/>
  <c r="BZ511" i="1" a="1"/>
  <c r="BZ511" i="1"/>
  <c r="BY511" i="1"/>
  <c r="BX511" i="1"/>
  <c r="BW511" i="1" a="1"/>
  <c r="BW511" i="1"/>
  <c r="BV511" i="1"/>
  <c r="BU511" i="1"/>
  <c r="BT511" i="1"/>
  <c r="BS511" i="1" a="1"/>
  <c r="BS511" i="1"/>
  <c r="BR511" i="1"/>
  <c r="BQ511" i="1"/>
  <c r="BP511" i="1"/>
  <c r="BO511" i="1" a="1"/>
  <c r="BO511" i="1"/>
  <c r="BN511" i="1"/>
  <c r="BM511" i="1"/>
  <c r="BL511" i="1"/>
  <c r="BK511" i="1"/>
  <c r="BJ511" i="1"/>
  <c r="U511" i="1"/>
  <c r="T511" i="1"/>
  <c r="S511" i="1"/>
  <c r="R511" i="1"/>
  <c r="Q511" i="1"/>
  <c r="F511" i="1"/>
  <c r="E511" i="1"/>
  <c r="D511" i="1"/>
  <c r="C511" i="1"/>
  <c r="CJ510" i="1"/>
  <c r="CI510" i="1" a="1"/>
  <c r="CI510" i="1"/>
  <c r="CH510" i="1" a="1"/>
  <c r="CH510" i="1"/>
  <c r="CG510" i="1"/>
  <c r="CF510" i="1"/>
  <c r="CE510" i="1" a="1"/>
  <c r="CE510" i="1"/>
  <c r="CD510" i="1" a="1"/>
  <c r="CD510" i="1"/>
  <c r="CC510" i="1"/>
  <c r="CB510" i="1"/>
  <c r="CA510" i="1" a="1"/>
  <c r="CA510" i="1"/>
  <c r="BZ510" i="1" a="1"/>
  <c r="BZ510" i="1"/>
  <c r="BY510" i="1"/>
  <c r="BX510" i="1"/>
  <c r="BW510" i="1" a="1"/>
  <c r="BW510" i="1"/>
  <c r="BV510" i="1"/>
  <c r="BU510" i="1"/>
  <c r="BT510" i="1"/>
  <c r="BS510" i="1" a="1"/>
  <c r="BS510" i="1"/>
  <c r="BR510" i="1"/>
  <c r="BQ510" i="1"/>
  <c r="BP510" i="1"/>
  <c r="BO510" i="1" a="1"/>
  <c r="BO510" i="1"/>
  <c r="BN510" i="1"/>
  <c r="BM510" i="1"/>
  <c r="BL510" i="1"/>
  <c r="BK510" i="1"/>
  <c r="BJ510" i="1"/>
  <c r="U510" i="1"/>
  <c r="T510" i="1"/>
  <c r="S510" i="1"/>
  <c r="R510" i="1"/>
  <c r="Q510" i="1"/>
  <c r="F510" i="1"/>
  <c r="E510" i="1"/>
  <c r="D510" i="1"/>
  <c r="C510" i="1"/>
  <c r="CJ509" i="1"/>
  <c r="CI509" i="1" a="1"/>
  <c r="CI509" i="1"/>
  <c r="CH509" i="1" a="1"/>
  <c r="CH509" i="1"/>
  <c r="CG509" i="1"/>
  <c r="CF509" i="1"/>
  <c r="CE509" i="1" a="1"/>
  <c r="CE509" i="1"/>
  <c r="CD509" i="1" a="1"/>
  <c r="CD509" i="1"/>
  <c r="CC509" i="1"/>
  <c r="CB509" i="1"/>
  <c r="CA509" i="1" a="1"/>
  <c r="CA509" i="1"/>
  <c r="BZ509" i="1" a="1"/>
  <c r="BZ509" i="1"/>
  <c r="BY509" i="1"/>
  <c r="BX509" i="1"/>
  <c r="BW509" i="1" a="1"/>
  <c r="BW509" i="1"/>
  <c r="BV509" i="1"/>
  <c r="BU509" i="1"/>
  <c r="BT509" i="1"/>
  <c r="BS509" i="1" a="1"/>
  <c r="BS509" i="1"/>
  <c r="BR509" i="1"/>
  <c r="BQ509" i="1"/>
  <c r="BP509" i="1"/>
  <c r="BO509" i="1" a="1"/>
  <c r="BO509" i="1"/>
  <c r="BN509" i="1"/>
  <c r="BM509" i="1"/>
  <c r="BL509" i="1"/>
  <c r="BK509" i="1"/>
  <c r="BJ509" i="1"/>
  <c r="U509" i="1"/>
  <c r="T509" i="1"/>
  <c r="S509" i="1"/>
  <c r="R509" i="1"/>
  <c r="Q509" i="1"/>
  <c r="F509" i="1"/>
  <c r="E509" i="1"/>
  <c r="D509" i="1"/>
  <c r="C509" i="1"/>
  <c r="CJ508" i="1"/>
  <c r="CI508" i="1" a="1"/>
  <c r="CI508" i="1"/>
  <c r="CH508" i="1" a="1"/>
  <c r="CH508" i="1"/>
  <c r="CG508" i="1"/>
  <c r="CF508" i="1"/>
  <c r="CE508" i="1" a="1"/>
  <c r="CE508" i="1"/>
  <c r="CD508" i="1" a="1"/>
  <c r="CD508" i="1"/>
  <c r="CC508" i="1"/>
  <c r="CB508" i="1"/>
  <c r="CA508" i="1" a="1"/>
  <c r="CA508" i="1"/>
  <c r="BZ508" i="1" a="1"/>
  <c r="BZ508" i="1"/>
  <c r="BY508" i="1"/>
  <c r="BX508" i="1"/>
  <c r="BW508" i="1" a="1"/>
  <c r="BW508" i="1"/>
  <c r="BV508" i="1"/>
  <c r="BU508" i="1"/>
  <c r="BT508" i="1"/>
  <c r="BS508" i="1" a="1"/>
  <c r="BS508" i="1"/>
  <c r="BR508" i="1"/>
  <c r="BQ508" i="1"/>
  <c r="BP508" i="1"/>
  <c r="BO508" i="1" a="1"/>
  <c r="BO508" i="1"/>
  <c r="BN508" i="1"/>
  <c r="BM508" i="1"/>
  <c r="BL508" i="1"/>
  <c r="BK508" i="1"/>
  <c r="BJ508" i="1"/>
  <c r="U508" i="1"/>
  <c r="T508" i="1"/>
  <c r="S508" i="1"/>
  <c r="R508" i="1"/>
  <c r="Q508" i="1"/>
  <c r="F508" i="1"/>
  <c r="E508" i="1"/>
  <c r="D508" i="1"/>
  <c r="C508" i="1"/>
  <c r="CJ507" i="1"/>
  <c r="CI507" i="1" a="1"/>
  <c r="CI507" i="1"/>
  <c r="CH507" i="1" a="1"/>
  <c r="CH507" i="1"/>
  <c r="CG507" i="1"/>
  <c r="CF507" i="1"/>
  <c r="CE507" i="1" a="1"/>
  <c r="CE507" i="1"/>
  <c r="CD507" i="1" a="1"/>
  <c r="CD507" i="1"/>
  <c r="CC507" i="1"/>
  <c r="CB507" i="1"/>
  <c r="CA507" i="1" a="1"/>
  <c r="CA507" i="1"/>
  <c r="BZ507" i="1" a="1"/>
  <c r="BZ507" i="1"/>
  <c r="BY507" i="1"/>
  <c r="BX507" i="1"/>
  <c r="BW507" i="1" a="1"/>
  <c r="BW507" i="1"/>
  <c r="BV507" i="1"/>
  <c r="BU507" i="1"/>
  <c r="BT507" i="1"/>
  <c r="BS507" i="1" a="1"/>
  <c r="BS507" i="1"/>
  <c r="BR507" i="1"/>
  <c r="BQ507" i="1"/>
  <c r="BP507" i="1"/>
  <c r="BO507" i="1" a="1"/>
  <c r="BO507" i="1"/>
  <c r="BN507" i="1"/>
  <c r="BM507" i="1"/>
  <c r="BL507" i="1"/>
  <c r="BK507" i="1"/>
  <c r="BJ507" i="1"/>
  <c r="U507" i="1"/>
  <c r="T507" i="1"/>
  <c r="S507" i="1"/>
  <c r="R507" i="1"/>
  <c r="Q507" i="1"/>
  <c r="F507" i="1"/>
  <c r="E507" i="1"/>
  <c r="D507" i="1"/>
  <c r="C507" i="1"/>
  <c r="CJ506" i="1"/>
  <c r="CI506" i="1" a="1"/>
  <c r="CI506" i="1"/>
  <c r="CH506" i="1" a="1"/>
  <c r="CH506" i="1"/>
  <c r="CG506" i="1"/>
  <c r="CF506" i="1"/>
  <c r="CE506" i="1" a="1"/>
  <c r="CE506" i="1"/>
  <c r="CD506" i="1" a="1"/>
  <c r="CD506" i="1"/>
  <c r="CC506" i="1"/>
  <c r="CB506" i="1"/>
  <c r="CA506" i="1" a="1"/>
  <c r="CA506" i="1"/>
  <c r="BZ506" i="1" a="1"/>
  <c r="BZ506" i="1"/>
  <c r="BY506" i="1"/>
  <c r="BX506" i="1"/>
  <c r="BW506" i="1" a="1"/>
  <c r="BW506" i="1"/>
  <c r="BV506" i="1"/>
  <c r="BU506" i="1"/>
  <c r="BT506" i="1"/>
  <c r="BS506" i="1" a="1"/>
  <c r="BS506" i="1"/>
  <c r="BR506" i="1"/>
  <c r="BQ506" i="1"/>
  <c r="BP506" i="1"/>
  <c r="BO506" i="1" a="1"/>
  <c r="BO506" i="1"/>
  <c r="BN506" i="1"/>
  <c r="BM506" i="1"/>
  <c r="BL506" i="1"/>
  <c r="BK506" i="1"/>
  <c r="BJ506" i="1"/>
  <c r="U506" i="1"/>
  <c r="T506" i="1"/>
  <c r="S506" i="1"/>
  <c r="R506" i="1"/>
  <c r="Q506" i="1"/>
  <c r="F506" i="1"/>
  <c r="E506" i="1"/>
  <c r="D506" i="1"/>
  <c r="C506" i="1"/>
  <c r="CJ505" i="1"/>
  <c r="CI505" i="1" a="1"/>
  <c r="CI505" i="1"/>
  <c r="CH505" i="1" a="1"/>
  <c r="CH505" i="1"/>
  <c r="CG505" i="1"/>
  <c r="CF505" i="1"/>
  <c r="CE505" i="1" a="1"/>
  <c r="CE505" i="1"/>
  <c r="CD505" i="1" a="1"/>
  <c r="CD505" i="1"/>
  <c r="CC505" i="1"/>
  <c r="CB505" i="1"/>
  <c r="CA505" i="1" a="1"/>
  <c r="CA505" i="1"/>
  <c r="BZ505" i="1" a="1"/>
  <c r="BZ505" i="1"/>
  <c r="BY505" i="1"/>
  <c r="BX505" i="1"/>
  <c r="BW505" i="1" a="1"/>
  <c r="BW505" i="1"/>
  <c r="BV505" i="1"/>
  <c r="BU505" i="1"/>
  <c r="BT505" i="1"/>
  <c r="BS505" i="1" a="1"/>
  <c r="BS505" i="1"/>
  <c r="BR505" i="1"/>
  <c r="BQ505" i="1"/>
  <c r="BP505" i="1"/>
  <c r="BO505" i="1" a="1"/>
  <c r="BO505" i="1"/>
  <c r="BN505" i="1"/>
  <c r="BM505" i="1"/>
  <c r="BL505" i="1"/>
  <c r="BK505" i="1"/>
  <c r="BJ505" i="1"/>
  <c r="U505" i="1"/>
  <c r="T505" i="1"/>
  <c r="S505" i="1"/>
  <c r="R505" i="1"/>
  <c r="Q505" i="1"/>
  <c r="F505" i="1"/>
  <c r="E505" i="1"/>
  <c r="D505" i="1"/>
  <c r="C505" i="1"/>
  <c r="CJ504" i="1"/>
  <c r="CI504" i="1" a="1"/>
  <c r="CI504" i="1"/>
  <c r="CH504" i="1" a="1"/>
  <c r="CH504" i="1"/>
  <c r="CG504" i="1"/>
  <c r="CF504" i="1"/>
  <c r="CE504" i="1" a="1"/>
  <c r="CE504" i="1"/>
  <c r="CD504" i="1" a="1"/>
  <c r="CD504" i="1"/>
  <c r="CC504" i="1"/>
  <c r="CB504" i="1"/>
  <c r="CA504" i="1" a="1"/>
  <c r="CA504" i="1"/>
  <c r="BZ504" i="1" a="1"/>
  <c r="BZ504" i="1"/>
  <c r="BY504" i="1"/>
  <c r="BX504" i="1"/>
  <c r="BW504" i="1" a="1"/>
  <c r="BW504" i="1"/>
  <c r="BV504" i="1"/>
  <c r="BU504" i="1"/>
  <c r="BT504" i="1"/>
  <c r="BS504" i="1" a="1"/>
  <c r="BS504" i="1"/>
  <c r="BR504" i="1"/>
  <c r="BQ504" i="1"/>
  <c r="BP504" i="1"/>
  <c r="BO504" i="1" a="1"/>
  <c r="BO504" i="1"/>
  <c r="BN504" i="1"/>
  <c r="BM504" i="1"/>
  <c r="BL504" i="1"/>
  <c r="BK504" i="1"/>
  <c r="BJ504" i="1"/>
  <c r="U504" i="1"/>
  <c r="T504" i="1"/>
  <c r="S504" i="1"/>
  <c r="R504" i="1"/>
  <c r="Q504" i="1"/>
  <c r="F504" i="1"/>
  <c r="E504" i="1"/>
  <c r="D504" i="1"/>
  <c r="C504" i="1"/>
  <c r="CJ503" i="1"/>
  <c r="CI503" i="1" a="1"/>
  <c r="CI503" i="1"/>
  <c r="CH503" i="1" a="1"/>
  <c r="CH503" i="1"/>
  <c r="CG503" i="1"/>
  <c r="CF503" i="1"/>
  <c r="CE503" i="1" a="1"/>
  <c r="CE503" i="1"/>
  <c r="CD503" i="1" a="1"/>
  <c r="CD503" i="1"/>
  <c r="CC503" i="1"/>
  <c r="CB503" i="1"/>
  <c r="CA503" i="1" a="1"/>
  <c r="CA503" i="1"/>
  <c r="BZ503" i="1" a="1"/>
  <c r="BZ503" i="1"/>
  <c r="BY503" i="1"/>
  <c r="BX503" i="1"/>
  <c r="BW503" i="1" a="1"/>
  <c r="BW503" i="1"/>
  <c r="BV503" i="1"/>
  <c r="BU503" i="1"/>
  <c r="BT503" i="1"/>
  <c r="BS503" i="1" a="1"/>
  <c r="BS503" i="1"/>
  <c r="BR503" i="1"/>
  <c r="BQ503" i="1"/>
  <c r="BP503" i="1"/>
  <c r="BO503" i="1" a="1"/>
  <c r="BO503" i="1"/>
  <c r="BN503" i="1"/>
  <c r="BM503" i="1"/>
  <c r="BL503" i="1"/>
  <c r="BK503" i="1"/>
  <c r="BJ503" i="1"/>
  <c r="U503" i="1"/>
  <c r="T503" i="1"/>
  <c r="S503" i="1"/>
  <c r="R503" i="1"/>
  <c r="Q503" i="1"/>
  <c r="F503" i="1"/>
  <c r="E503" i="1"/>
  <c r="D503" i="1"/>
  <c r="C503" i="1"/>
  <c r="CJ502" i="1"/>
  <c r="CI502" i="1" a="1"/>
  <c r="CI502" i="1"/>
  <c r="CH502" i="1" a="1"/>
  <c r="CH502" i="1"/>
  <c r="CG502" i="1"/>
  <c r="CF502" i="1"/>
  <c r="CE502" i="1" a="1"/>
  <c r="CE502" i="1"/>
  <c r="CD502" i="1" a="1"/>
  <c r="CD502" i="1"/>
  <c r="CC502" i="1"/>
  <c r="CB502" i="1"/>
  <c r="CA502" i="1" a="1"/>
  <c r="CA502" i="1"/>
  <c r="BZ502" i="1" a="1"/>
  <c r="BZ502" i="1"/>
  <c r="BY502" i="1"/>
  <c r="BX502" i="1"/>
  <c r="BW502" i="1" a="1"/>
  <c r="BW502" i="1"/>
  <c r="BV502" i="1"/>
  <c r="BU502" i="1"/>
  <c r="BT502" i="1"/>
  <c r="BS502" i="1" a="1"/>
  <c r="BS502" i="1"/>
  <c r="BR502" i="1"/>
  <c r="BQ502" i="1"/>
  <c r="BP502" i="1"/>
  <c r="BO502" i="1" a="1"/>
  <c r="BO502" i="1"/>
  <c r="BN502" i="1"/>
  <c r="BM502" i="1"/>
  <c r="BL502" i="1"/>
  <c r="BK502" i="1"/>
  <c r="BJ502" i="1"/>
  <c r="U502" i="1"/>
  <c r="T502" i="1"/>
  <c r="S502" i="1"/>
  <c r="R502" i="1"/>
  <c r="Q502" i="1"/>
  <c r="F502" i="1"/>
  <c r="E502" i="1"/>
  <c r="D502" i="1"/>
  <c r="C502" i="1"/>
  <c r="CJ501" i="1"/>
  <c r="CI501" i="1" a="1"/>
  <c r="CI501" i="1"/>
  <c r="CH501" i="1" a="1"/>
  <c r="CH501" i="1"/>
  <c r="CG501" i="1"/>
  <c r="CF501" i="1"/>
  <c r="CE501" i="1" a="1"/>
  <c r="CE501" i="1"/>
  <c r="CD501" i="1" a="1"/>
  <c r="CD501" i="1"/>
  <c r="CC501" i="1"/>
  <c r="CB501" i="1"/>
  <c r="CA501" i="1" a="1"/>
  <c r="CA501" i="1"/>
  <c r="BZ501" i="1" a="1"/>
  <c r="BZ501" i="1"/>
  <c r="BY501" i="1"/>
  <c r="BX501" i="1"/>
  <c r="BW501" i="1" a="1"/>
  <c r="BW501" i="1"/>
  <c r="BV501" i="1"/>
  <c r="BU501" i="1"/>
  <c r="BT501" i="1"/>
  <c r="BS501" i="1" a="1"/>
  <c r="BS501" i="1"/>
  <c r="BR501" i="1"/>
  <c r="BQ501" i="1"/>
  <c r="BP501" i="1"/>
  <c r="BO501" i="1" a="1"/>
  <c r="BO501" i="1"/>
  <c r="BN501" i="1"/>
  <c r="BM501" i="1"/>
  <c r="BL501" i="1"/>
  <c r="BK501" i="1"/>
  <c r="BJ501" i="1"/>
  <c r="U501" i="1"/>
  <c r="T501" i="1"/>
  <c r="S501" i="1"/>
  <c r="R501" i="1"/>
  <c r="Q501" i="1"/>
  <c r="F501" i="1"/>
  <c r="E501" i="1"/>
  <c r="D501" i="1"/>
  <c r="C501" i="1"/>
  <c r="CJ500" i="1"/>
  <c r="CI500" i="1" a="1"/>
  <c r="CI500" i="1"/>
  <c r="CH500" i="1" a="1"/>
  <c r="CH500" i="1"/>
  <c r="CG500" i="1"/>
  <c r="CF500" i="1"/>
  <c r="CE500" i="1" a="1"/>
  <c r="CE500" i="1"/>
  <c r="CD500" i="1" a="1"/>
  <c r="CD500" i="1"/>
  <c r="CC500" i="1"/>
  <c r="CB500" i="1"/>
  <c r="CA500" i="1" a="1"/>
  <c r="CA500" i="1"/>
  <c r="BZ500" i="1" a="1"/>
  <c r="BZ500" i="1"/>
  <c r="BY500" i="1"/>
  <c r="BX500" i="1"/>
  <c r="BW500" i="1" a="1"/>
  <c r="BW500" i="1"/>
  <c r="BV500" i="1"/>
  <c r="BU500" i="1"/>
  <c r="BT500" i="1"/>
  <c r="BS500" i="1" a="1"/>
  <c r="BS500" i="1"/>
  <c r="BR500" i="1"/>
  <c r="BQ500" i="1"/>
  <c r="BP500" i="1"/>
  <c r="BO500" i="1" a="1"/>
  <c r="BO500" i="1"/>
  <c r="BN500" i="1"/>
  <c r="BM500" i="1"/>
  <c r="BL500" i="1"/>
  <c r="BK500" i="1"/>
  <c r="BJ500" i="1"/>
  <c r="U500" i="1"/>
  <c r="T500" i="1"/>
  <c r="S500" i="1"/>
  <c r="R500" i="1"/>
  <c r="Q500" i="1"/>
  <c r="F500" i="1"/>
  <c r="E500" i="1"/>
  <c r="D500" i="1"/>
  <c r="C500" i="1"/>
  <c r="CJ499" i="1"/>
  <c r="CI499" i="1" a="1"/>
  <c r="CI499" i="1"/>
  <c r="CH499" i="1" a="1"/>
  <c r="CH499" i="1"/>
  <c r="CG499" i="1"/>
  <c r="CF499" i="1"/>
  <c r="CE499" i="1" a="1"/>
  <c r="CE499" i="1"/>
  <c r="CD499" i="1" a="1"/>
  <c r="CD499" i="1"/>
  <c r="CC499" i="1"/>
  <c r="CB499" i="1"/>
  <c r="CA499" i="1" a="1"/>
  <c r="CA499" i="1"/>
  <c r="BZ499" i="1" a="1"/>
  <c r="BZ499" i="1"/>
  <c r="BY499" i="1"/>
  <c r="BX499" i="1"/>
  <c r="BW499" i="1" a="1"/>
  <c r="BW499" i="1"/>
  <c r="BV499" i="1"/>
  <c r="BU499" i="1"/>
  <c r="BT499" i="1"/>
  <c r="BS499" i="1" a="1"/>
  <c r="BS499" i="1"/>
  <c r="BR499" i="1"/>
  <c r="BQ499" i="1"/>
  <c r="BP499" i="1"/>
  <c r="BO499" i="1" a="1"/>
  <c r="BO499" i="1"/>
  <c r="BN499" i="1"/>
  <c r="BM499" i="1"/>
  <c r="BL499" i="1"/>
  <c r="BK499" i="1"/>
  <c r="BJ499" i="1"/>
  <c r="U499" i="1"/>
  <c r="T499" i="1"/>
  <c r="S499" i="1"/>
  <c r="R499" i="1"/>
  <c r="Q499" i="1"/>
  <c r="F499" i="1"/>
  <c r="E499" i="1"/>
  <c r="D499" i="1"/>
  <c r="C499" i="1"/>
  <c r="CJ498" i="1"/>
  <c r="CI498" i="1" a="1"/>
  <c r="CI498" i="1"/>
  <c r="CH498" i="1" a="1"/>
  <c r="CH498" i="1"/>
  <c r="CG498" i="1"/>
  <c r="CF498" i="1"/>
  <c r="CE498" i="1" a="1"/>
  <c r="CE498" i="1"/>
  <c r="CD498" i="1" a="1"/>
  <c r="CD498" i="1"/>
  <c r="CC498" i="1"/>
  <c r="CB498" i="1"/>
  <c r="CA498" i="1" a="1"/>
  <c r="CA498" i="1"/>
  <c r="BZ498" i="1" a="1"/>
  <c r="BZ498" i="1"/>
  <c r="BY498" i="1"/>
  <c r="BX498" i="1"/>
  <c r="BW498" i="1" a="1"/>
  <c r="BW498" i="1"/>
  <c r="BV498" i="1"/>
  <c r="BU498" i="1"/>
  <c r="BT498" i="1"/>
  <c r="BS498" i="1" a="1"/>
  <c r="BS498" i="1"/>
  <c r="BR498" i="1"/>
  <c r="BQ498" i="1"/>
  <c r="BP498" i="1"/>
  <c r="BO498" i="1" a="1"/>
  <c r="BO498" i="1"/>
  <c r="BN498" i="1"/>
  <c r="BM498" i="1"/>
  <c r="BL498" i="1"/>
  <c r="BK498" i="1"/>
  <c r="BJ498" i="1"/>
  <c r="U498" i="1"/>
  <c r="T498" i="1"/>
  <c r="S498" i="1"/>
  <c r="R498" i="1"/>
  <c r="Q498" i="1"/>
  <c r="F498" i="1"/>
  <c r="E498" i="1"/>
  <c r="D498" i="1"/>
  <c r="C498" i="1"/>
  <c r="CJ497" i="1"/>
  <c r="CI497" i="1" a="1"/>
  <c r="CI497" i="1"/>
  <c r="CH497" i="1" a="1"/>
  <c r="CH497" i="1"/>
  <c r="CG497" i="1"/>
  <c r="CF497" i="1"/>
  <c r="CE497" i="1" a="1"/>
  <c r="CE497" i="1"/>
  <c r="CD497" i="1" a="1"/>
  <c r="CD497" i="1"/>
  <c r="CC497" i="1"/>
  <c r="CB497" i="1"/>
  <c r="CA497" i="1" a="1"/>
  <c r="CA497" i="1"/>
  <c r="BZ497" i="1" a="1"/>
  <c r="BZ497" i="1"/>
  <c r="BY497" i="1"/>
  <c r="BX497" i="1"/>
  <c r="BW497" i="1" a="1"/>
  <c r="BW497" i="1"/>
  <c r="BV497" i="1"/>
  <c r="BU497" i="1"/>
  <c r="BT497" i="1"/>
  <c r="BS497" i="1" a="1"/>
  <c r="BS497" i="1"/>
  <c r="BR497" i="1"/>
  <c r="BQ497" i="1"/>
  <c r="BP497" i="1"/>
  <c r="BO497" i="1" a="1"/>
  <c r="BO497" i="1"/>
  <c r="BN497" i="1"/>
  <c r="BM497" i="1"/>
  <c r="BL497" i="1"/>
  <c r="BK497" i="1"/>
  <c r="BJ497" i="1"/>
  <c r="U497" i="1"/>
  <c r="T497" i="1"/>
  <c r="S497" i="1"/>
  <c r="R497" i="1"/>
  <c r="Q497" i="1"/>
  <c r="F497" i="1"/>
  <c r="E497" i="1"/>
  <c r="D497" i="1"/>
  <c r="C497" i="1"/>
  <c r="CJ496" i="1"/>
  <c r="CI496" i="1" a="1"/>
  <c r="CI496" i="1"/>
  <c r="CH496" i="1" a="1"/>
  <c r="CH496" i="1"/>
  <c r="CG496" i="1"/>
  <c r="CF496" i="1"/>
  <c r="CE496" i="1" a="1"/>
  <c r="CE496" i="1"/>
  <c r="CD496" i="1" a="1"/>
  <c r="CD496" i="1"/>
  <c r="CC496" i="1"/>
  <c r="CB496" i="1"/>
  <c r="CA496" i="1" a="1"/>
  <c r="CA496" i="1"/>
  <c r="BZ496" i="1" a="1"/>
  <c r="BZ496" i="1"/>
  <c r="BY496" i="1"/>
  <c r="BX496" i="1"/>
  <c r="BW496" i="1" a="1"/>
  <c r="BW496" i="1"/>
  <c r="BV496" i="1"/>
  <c r="BU496" i="1"/>
  <c r="BT496" i="1"/>
  <c r="BS496" i="1" a="1"/>
  <c r="BS496" i="1"/>
  <c r="BR496" i="1"/>
  <c r="BQ496" i="1"/>
  <c r="BP496" i="1"/>
  <c r="BO496" i="1" a="1"/>
  <c r="BO496" i="1"/>
  <c r="BN496" i="1"/>
  <c r="BM496" i="1"/>
  <c r="BL496" i="1"/>
  <c r="BK496" i="1"/>
  <c r="BJ496" i="1"/>
  <c r="U496" i="1"/>
  <c r="T496" i="1"/>
  <c r="S496" i="1"/>
  <c r="R496" i="1"/>
  <c r="Q496" i="1"/>
  <c r="F496" i="1"/>
  <c r="E496" i="1"/>
  <c r="D496" i="1"/>
  <c r="C496" i="1"/>
  <c r="CJ495" i="1"/>
  <c r="CI495" i="1" a="1"/>
  <c r="CI495" i="1"/>
  <c r="CH495" i="1" a="1"/>
  <c r="CH495" i="1"/>
  <c r="CG495" i="1"/>
  <c r="CF495" i="1"/>
  <c r="CE495" i="1" a="1"/>
  <c r="CE495" i="1"/>
  <c r="CD495" i="1" a="1"/>
  <c r="CD495" i="1"/>
  <c r="CC495" i="1"/>
  <c r="CB495" i="1"/>
  <c r="CA495" i="1" a="1"/>
  <c r="CA495" i="1"/>
  <c r="BZ495" i="1" a="1"/>
  <c r="BZ495" i="1"/>
  <c r="BY495" i="1"/>
  <c r="BX495" i="1"/>
  <c r="BW495" i="1" a="1"/>
  <c r="BW495" i="1"/>
  <c r="BV495" i="1"/>
  <c r="BU495" i="1"/>
  <c r="BT495" i="1"/>
  <c r="BS495" i="1" a="1"/>
  <c r="BS495" i="1"/>
  <c r="BR495" i="1"/>
  <c r="BQ495" i="1"/>
  <c r="BP495" i="1"/>
  <c r="BO495" i="1" a="1"/>
  <c r="BO495" i="1"/>
  <c r="BN495" i="1"/>
  <c r="BM495" i="1"/>
  <c r="BL495" i="1"/>
  <c r="BK495" i="1"/>
  <c r="BJ495" i="1"/>
  <c r="U495" i="1"/>
  <c r="T495" i="1"/>
  <c r="S495" i="1"/>
  <c r="R495" i="1"/>
  <c r="Q495" i="1"/>
  <c r="F495" i="1"/>
  <c r="E495" i="1"/>
  <c r="D495" i="1"/>
  <c r="C495" i="1"/>
  <c r="CJ494" i="1"/>
  <c r="CI494" i="1" a="1"/>
  <c r="CI494" i="1"/>
  <c r="CH494" i="1" a="1"/>
  <c r="CH494" i="1"/>
  <c r="CG494" i="1"/>
  <c r="CF494" i="1"/>
  <c r="CE494" i="1" a="1"/>
  <c r="CE494" i="1"/>
  <c r="CD494" i="1" a="1"/>
  <c r="CD494" i="1"/>
  <c r="CC494" i="1"/>
  <c r="CB494" i="1"/>
  <c r="CA494" i="1" a="1"/>
  <c r="CA494" i="1"/>
  <c r="BZ494" i="1" a="1"/>
  <c r="BZ494" i="1"/>
  <c r="BY494" i="1"/>
  <c r="BX494" i="1"/>
  <c r="BW494" i="1" a="1"/>
  <c r="BW494" i="1"/>
  <c r="BV494" i="1"/>
  <c r="BU494" i="1"/>
  <c r="BT494" i="1"/>
  <c r="BS494" i="1" a="1"/>
  <c r="BS494" i="1"/>
  <c r="BR494" i="1"/>
  <c r="BQ494" i="1"/>
  <c r="BP494" i="1"/>
  <c r="BO494" i="1" a="1"/>
  <c r="BO494" i="1"/>
  <c r="BN494" i="1"/>
  <c r="BM494" i="1"/>
  <c r="BL494" i="1"/>
  <c r="BK494" i="1"/>
  <c r="BJ494" i="1"/>
  <c r="U494" i="1"/>
  <c r="T494" i="1"/>
  <c r="S494" i="1"/>
  <c r="R494" i="1"/>
  <c r="Q494" i="1"/>
  <c r="F494" i="1"/>
  <c r="E494" i="1"/>
  <c r="D494" i="1"/>
  <c r="C494" i="1"/>
  <c r="CJ493" i="1"/>
  <c r="CI493" i="1" a="1"/>
  <c r="CI493" i="1"/>
  <c r="CH493" i="1" a="1"/>
  <c r="CH493" i="1"/>
  <c r="CG493" i="1"/>
  <c r="CF493" i="1"/>
  <c r="CE493" i="1" a="1"/>
  <c r="CE493" i="1"/>
  <c r="CD493" i="1" a="1"/>
  <c r="CD493" i="1"/>
  <c r="CC493" i="1"/>
  <c r="CB493" i="1"/>
  <c r="CA493" i="1" a="1"/>
  <c r="CA493" i="1"/>
  <c r="BZ493" i="1" a="1"/>
  <c r="BZ493" i="1"/>
  <c r="BY493" i="1"/>
  <c r="BX493" i="1"/>
  <c r="BW493" i="1" a="1"/>
  <c r="BW493" i="1"/>
  <c r="BV493" i="1"/>
  <c r="BU493" i="1"/>
  <c r="BT493" i="1"/>
  <c r="BS493" i="1" a="1"/>
  <c r="BS493" i="1"/>
  <c r="BR493" i="1"/>
  <c r="BQ493" i="1"/>
  <c r="BP493" i="1"/>
  <c r="BO493" i="1" a="1"/>
  <c r="BO493" i="1"/>
  <c r="BN493" i="1"/>
  <c r="BM493" i="1"/>
  <c r="BL493" i="1"/>
  <c r="BK493" i="1"/>
  <c r="BJ493" i="1"/>
  <c r="U493" i="1"/>
  <c r="T493" i="1"/>
  <c r="S493" i="1"/>
  <c r="R493" i="1"/>
  <c r="Q493" i="1"/>
  <c r="F493" i="1"/>
  <c r="E493" i="1"/>
  <c r="D493" i="1"/>
  <c r="C493" i="1"/>
  <c r="CJ492" i="1"/>
  <c r="CI492" i="1" a="1"/>
  <c r="CI492" i="1"/>
  <c r="CH492" i="1" a="1"/>
  <c r="CH492" i="1"/>
  <c r="CG492" i="1"/>
  <c r="CF492" i="1"/>
  <c r="CE492" i="1" a="1"/>
  <c r="CE492" i="1"/>
  <c r="CD492" i="1" a="1"/>
  <c r="CD492" i="1"/>
  <c r="CC492" i="1"/>
  <c r="CB492" i="1"/>
  <c r="CA492" i="1" a="1"/>
  <c r="CA492" i="1"/>
  <c r="BZ492" i="1" a="1"/>
  <c r="BZ492" i="1"/>
  <c r="BY492" i="1"/>
  <c r="BX492" i="1"/>
  <c r="BW492" i="1" a="1"/>
  <c r="BW492" i="1"/>
  <c r="BV492" i="1"/>
  <c r="BU492" i="1"/>
  <c r="BT492" i="1"/>
  <c r="BS492" i="1" a="1"/>
  <c r="BS492" i="1"/>
  <c r="BR492" i="1"/>
  <c r="BQ492" i="1"/>
  <c r="BP492" i="1"/>
  <c r="BO492" i="1" a="1"/>
  <c r="BO492" i="1"/>
  <c r="BN492" i="1"/>
  <c r="BM492" i="1"/>
  <c r="BL492" i="1"/>
  <c r="BK492" i="1"/>
  <c r="BJ492" i="1"/>
  <c r="U492" i="1"/>
  <c r="T492" i="1"/>
  <c r="S492" i="1"/>
  <c r="R492" i="1"/>
  <c r="Q492" i="1"/>
  <c r="F492" i="1"/>
  <c r="E492" i="1"/>
  <c r="D492" i="1"/>
  <c r="C492" i="1"/>
  <c r="CJ491" i="1"/>
  <c r="CI491" i="1" a="1"/>
  <c r="CI491" i="1"/>
  <c r="CH491" i="1" a="1"/>
  <c r="CH491" i="1"/>
  <c r="CG491" i="1"/>
  <c r="CF491" i="1"/>
  <c r="CE491" i="1" a="1"/>
  <c r="CE491" i="1"/>
  <c r="CD491" i="1" a="1"/>
  <c r="CD491" i="1"/>
  <c r="CC491" i="1"/>
  <c r="CB491" i="1"/>
  <c r="CA491" i="1" a="1"/>
  <c r="CA491" i="1"/>
  <c r="BZ491" i="1" a="1"/>
  <c r="BZ491" i="1"/>
  <c r="BY491" i="1"/>
  <c r="BX491" i="1"/>
  <c r="BW491" i="1" a="1"/>
  <c r="BW491" i="1"/>
  <c r="BV491" i="1"/>
  <c r="BU491" i="1"/>
  <c r="BT491" i="1"/>
  <c r="BS491" i="1" a="1"/>
  <c r="BS491" i="1"/>
  <c r="BR491" i="1"/>
  <c r="BQ491" i="1"/>
  <c r="BP491" i="1"/>
  <c r="BO491" i="1" a="1"/>
  <c r="BO491" i="1"/>
  <c r="BN491" i="1"/>
  <c r="BM491" i="1"/>
  <c r="BL491" i="1"/>
  <c r="BK491" i="1"/>
  <c r="BJ491" i="1"/>
  <c r="U491" i="1"/>
  <c r="T491" i="1"/>
  <c r="S491" i="1"/>
  <c r="R491" i="1"/>
  <c r="Q491" i="1"/>
  <c r="F491" i="1"/>
  <c r="E491" i="1"/>
  <c r="D491" i="1"/>
  <c r="C491" i="1"/>
  <c r="CJ490" i="1"/>
  <c r="CI490" i="1" a="1"/>
  <c r="CI490" i="1"/>
  <c r="CH490" i="1" a="1"/>
  <c r="CH490" i="1"/>
  <c r="CG490" i="1"/>
  <c r="CF490" i="1"/>
  <c r="CE490" i="1" a="1"/>
  <c r="CE490" i="1"/>
  <c r="CD490" i="1" a="1"/>
  <c r="CD490" i="1"/>
  <c r="CC490" i="1"/>
  <c r="CB490" i="1"/>
  <c r="CA490" i="1" a="1"/>
  <c r="CA490" i="1"/>
  <c r="BZ490" i="1" a="1"/>
  <c r="BZ490" i="1"/>
  <c r="BY490" i="1"/>
  <c r="BX490" i="1"/>
  <c r="BW490" i="1" a="1"/>
  <c r="BW490" i="1"/>
  <c r="BV490" i="1"/>
  <c r="BU490" i="1"/>
  <c r="BT490" i="1"/>
  <c r="BS490" i="1" a="1"/>
  <c r="BS490" i="1"/>
  <c r="BR490" i="1"/>
  <c r="BQ490" i="1"/>
  <c r="BP490" i="1"/>
  <c r="BO490" i="1" a="1"/>
  <c r="BO490" i="1"/>
  <c r="BN490" i="1"/>
  <c r="BM490" i="1"/>
  <c r="BL490" i="1"/>
  <c r="BK490" i="1"/>
  <c r="BJ490" i="1"/>
  <c r="U490" i="1"/>
  <c r="T490" i="1"/>
  <c r="S490" i="1"/>
  <c r="R490" i="1"/>
  <c r="Q490" i="1"/>
  <c r="F490" i="1"/>
  <c r="E490" i="1"/>
  <c r="D490" i="1"/>
  <c r="C490" i="1"/>
  <c r="CJ489" i="1"/>
  <c r="CI489" i="1" a="1"/>
  <c r="CI489" i="1"/>
  <c r="CH489" i="1" a="1"/>
  <c r="CH489" i="1"/>
  <c r="CG489" i="1"/>
  <c r="CF489" i="1"/>
  <c r="CE489" i="1" a="1"/>
  <c r="CE489" i="1"/>
  <c r="CD489" i="1" a="1"/>
  <c r="CD489" i="1"/>
  <c r="CC489" i="1"/>
  <c r="CB489" i="1"/>
  <c r="CA489" i="1" a="1"/>
  <c r="CA489" i="1"/>
  <c r="BZ489" i="1" a="1"/>
  <c r="BZ489" i="1"/>
  <c r="BY489" i="1"/>
  <c r="BX489" i="1"/>
  <c r="BW489" i="1" a="1"/>
  <c r="BW489" i="1"/>
  <c r="BV489" i="1"/>
  <c r="BU489" i="1"/>
  <c r="BT489" i="1"/>
  <c r="BS489" i="1" a="1"/>
  <c r="BS489" i="1"/>
  <c r="BR489" i="1"/>
  <c r="BQ489" i="1"/>
  <c r="BP489" i="1"/>
  <c r="BO489" i="1" a="1"/>
  <c r="BO489" i="1"/>
  <c r="BN489" i="1"/>
  <c r="BM489" i="1"/>
  <c r="BL489" i="1"/>
  <c r="BK489" i="1"/>
  <c r="BJ489" i="1"/>
  <c r="U489" i="1"/>
  <c r="T489" i="1"/>
  <c r="S489" i="1"/>
  <c r="R489" i="1"/>
  <c r="Q489" i="1"/>
  <c r="F489" i="1"/>
  <c r="E489" i="1"/>
  <c r="D489" i="1"/>
  <c r="C489" i="1"/>
  <c r="CJ488" i="1"/>
  <c r="CI488" i="1" a="1"/>
  <c r="CI488" i="1"/>
  <c r="CH488" i="1" a="1"/>
  <c r="CH488" i="1"/>
  <c r="CG488" i="1"/>
  <c r="CF488" i="1"/>
  <c r="CE488" i="1" a="1"/>
  <c r="CE488" i="1"/>
  <c r="CD488" i="1" a="1"/>
  <c r="CD488" i="1"/>
  <c r="CC488" i="1"/>
  <c r="CB488" i="1"/>
  <c r="CA488" i="1" a="1"/>
  <c r="CA488" i="1"/>
  <c r="BZ488" i="1" a="1"/>
  <c r="BZ488" i="1"/>
  <c r="BY488" i="1"/>
  <c r="BX488" i="1"/>
  <c r="BW488" i="1" a="1"/>
  <c r="BW488" i="1"/>
  <c r="BV488" i="1"/>
  <c r="BU488" i="1"/>
  <c r="BT488" i="1"/>
  <c r="BS488" i="1" a="1"/>
  <c r="BS488" i="1"/>
  <c r="BR488" i="1"/>
  <c r="BQ488" i="1"/>
  <c r="BP488" i="1"/>
  <c r="BO488" i="1" a="1"/>
  <c r="BO488" i="1"/>
  <c r="BN488" i="1"/>
  <c r="BM488" i="1"/>
  <c r="BL488" i="1"/>
  <c r="BK488" i="1"/>
  <c r="BJ488" i="1"/>
  <c r="U488" i="1"/>
  <c r="T488" i="1"/>
  <c r="S488" i="1"/>
  <c r="R488" i="1"/>
  <c r="Q488" i="1"/>
  <c r="F488" i="1"/>
  <c r="E488" i="1"/>
  <c r="D488" i="1"/>
  <c r="C488" i="1"/>
  <c r="CJ487" i="1"/>
  <c r="CI487" i="1" a="1"/>
  <c r="CI487" i="1"/>
  <c r="CH487" i="1" a="1"/>
  <c r="CH487" i="1"/>
  <c r="CG487" i="1"/>
  <c r="CF487" i="1"/>
  <c r="CE487" i="1" a="1"/>
  <c r="CE487" i="1"/>
  <c r="CD487" i="1" a="1"/>
  <c r="CD487" i="1"/>
  <c r="CC487" i="1"/>
  <c r="CB487" i="1"/>
  <c r="CA487" i="1" a="1"/>
  <c r="CA487" i="1"/>
  <c r="BZ487" i="1" a="1"/>
  <c r="BZ487" i="1"/>
  <c r="BY487" i="1"/>
  <c r="BX487" i="1"/>
  <c r="BW487" i="1" a="1"/>
  <c r="BW487" i="1"/>
  <c r="BV487" i="1"/>
  <c r="BU487" i="1"/>
  <c r="BT487" i="1"/>
  <c r="BS487" i="1" a="1"/>
  <c r="BS487" i="1"/>
  <c r="BR487" i="1"/>
  <c r="BQ487" i="1"/>
  <c r="BP487" i="1"/>
  <c r="BO487" i="1" a="1"/>
  <c r="BO487" i="1"/>
  <c r="BN487" i="1"/>
  <c r="BM487" i="1"/>
  <c r="BL487" i="1"/>
  <c r="BK487" i="1"/>
  <c r="BJ487" i="1"/>
  <c r="U487" i="1"/>
  <c r="T487" i="1"/>
  <c r="S487" i="1"/>
  <c r="R487" i="1"/>
  <c r="Q487" i="1"/>
  <c r="F487" i="1"/>
  <c r="E487" i="1"/>
  <c r="D487" i="1"/>
  <c r="C487" i="1"/>
  <c r="CJ486" i="1"/>
  <c r="CI486" i="1" a="1"/>
  <c r="CI486" i="1"/>
  <c r="CH486" i="1" a="1"/>
  <c r="CH486" i="1"/>
  <c r="CG486" i="1"/>
  <c r="CF486" i="1"/>
  <c r="CE486" i="1" a="1"/>
  <c r="CE486" i="1"/>
  <c r="CD486" i="1" a="1"/>
  <c r="CD486" i="1"/>
  <c r="CC486" i="1"/>
  <c r="CB486" i="1"/>
  <c r="CA486" i="1" a="1"/>
  <c r="CA486" i="1"/>
  <c r="BZ486" i="1" a="1"/>
  <c r="BZ486" i="1"/>
  <c r="BY486" i="1"/>
  <c r="BX486" i="1"/>
  <c r="BW486" i="1" a="1"/>
  <c r="BW486" i="1"/>
  <c r="BV486" i="1"/>
  <c r="BU486" i="1"/>
  <c r="BT486" i="1"/>
  <c r="BS486" i="1" a="1"/>
  <c r="BS486" i="1"/>
  <c r="BR486" i="1"/>
  <c r="BQ486" i="1"/>
  <c r="BP486" i="1"/>
  <c r="BO486" i="1" a="1"/>
  <c r="BO486" i="1"/>
  <c r="BN486" i="1"/>
  <c r="BM486" i="1"/>
  <c r="BL486" i="1"/>
  <c r="BK486" i="1"/>
  <c r="BJ486" i="1"/>
  <c r="U486" i="1"/>
  <c r="T486" i="1"/>
  <c r="S486" i="1"/>
  <c r="R486" i="1"/>
  <c r="Q486" i="1"/>
  <c r="F486" i="1"/>
  <c r="E486" i="1"/>
  <c r="D486" i="1"/>
  <c r="C486" i="1"/>
  <c r="CJ485" i="1"/>
  <c r="CI485" i="1" a="1"/>
  <c r="CI485" i="1"/>
  <c r="CH485" i="1" a="1"/>
  <c r="CH485" i="1"/>
  <c r="CG485" i="1"/>
  <c r="CF485" i="1"/>
  <c r="CE485" i="1" a="1"/>
  <c r="CE485" i="1"/>
  <c r="CD485" i="1" a="1"/>
  <c r="CD485" i="1"/>
  <c r="CC485" i="1"/>
  <c r="CB485" i="1"/>
  <c r="CA485" i="1" a="1"/>
  <c r="CA485" i="1"/>
  <c r="BZ485" i="1" a="1"/>
  <c r="BZ485" i="1"/>
  <c r="BY485" i="1"/>
  <c r="BX485" i="1"/>
  <c r="BW485" i="1" a="1"/>
  <c r="BW485" i="1"/>
  <c r="BV485" i="1"/>
  <c r="BU485" i="1"/>
  <c r="BT485" i="1"/>
  <c r="BS485" i="1" a="1"/>
  <c r="BS485" i="1"/>
  <c r="BR485" i="1"/>
  <c r="BQ485" i="1"/>
  <c r="BP485" i="1"/>
  <c r="BO485" i="1" a="1"/>
  <c r="BO485" i="1"/>
  <c r="BN485" i="1"/>
  <c r="BM485" i="1"/>
  <c r="BL485" i="1"/>
  <c r="BK485" i="1"/>
  <c r="BJ485" i="1"/>
  <c r="U485" i="1"/>
  <c r="T485" i="1"/>
  <c r="S485" i="1"/>
  <c r="R485" i="1"/>
  <c r="Q485" i="1"/>
  <c r="F485" i="1"/>
  <c r="E485" i="1"/>
  <c r="D485" i="1"/>
  <c r="C485" i="1"/>
  <c r="CJ484" i="1"/>
  <c r="CI484" i="1" a="1"/>
  <c r="CI484" i="1"/>
  <c r="CH484" i="1" a="1"/>
  <c r="CH484" i="1"/>
  <c r="CG484" i="1"/>
  <c r="CF484" i="1"/>
  <c r="CE484" i="1" a="1"/>
  <c r="CE484" i="1"/>
  <c r="CD484" i="1" a="1"/>
  <c r="CD484" i="1"/>
  <c r="CC484" i="1"/>
  <c r="CB484" i="1"/>
  <c r="CA484" i="1" a="1"/>
  <c r="CA484" i="1"/>
  <c r="BZ484" i="1" a="1"/>
  <c r="BZ484" i="1"/>
  <c r="BY484" i="1"/>
  <c r="BX484" i="1"/>
  <c r="BW484" i="1" a="1"/>
  <c r="BW484" i="1"/>
  <c r="BV484" i="1"/>
  <c r="BU484" i="1"/>
  <c r="BT484" i="1"/>
  <c r="BS484" i="1" a="1"/>
  <c r="BS484" i="1"/>
  <c r="BR484" i="1"/>
  <c r="BQ484" i="1"/>
  <c r="BP484" i="1"/>
  <c r="BO484" i="1" a="1"/>
  <c r="BO484" i="1"/>
  <c r="BN484" i="1"/>
  <c r="BM484" i="1"/>
  <c r="BL484" i="1"/>
  <c r="BK484" i="1"/>
  <c r="BJ484" i="1"/>
  <c r="U484" i="1"/>
  <c r="T484" i="1"/>
  <c r="S484" i="1"/>
  <c r="R484" i="1"/>
  <c r="Q484" i="1"/>
  <c r="F484" i="1"/>
  <c r="E484" i="1"/>
  <c r="D484" i="1"/>
  <c r="C484" i="1"/>
  <c r="CJ483" i="1"/>
  <c r="CI483" i="1" a="1"/>
  <c r="CI483" i="1"/>
  <c r="CH483" i="1" a="1"/>
  <c r="CH483" i="1"/>
  <c r="CG483" i="1"/>
  <c r="CF483" i="1"/>
  <c r="CE483" i="1" a="1"/>
  <c r="CE483" i="1"/>
  <c r="CD483" i="1" a="1"/>
  <c r="CD483" i="1"/>
  <c r="CC483" i="1"/>
  <c r="CB483" i="1"/>
  <c r="CA483" i="1" a="1"/>
  <c r="CA483" i="1"/>
  <c r="BZ483" i="1" a="1"/>
  <c r="BZ483" i="1"/>
  <c r="BY483" i="1"/>
  <c r="BX483" i="1"/>
  <c r="BW483" i="1" a="1"/>
  <c r="BW483" i="1"/>
  <c r="BV483" i="1"/>
  <c r="BU483" i="1"/>
  <c r="BT483" i="1"/>
  <c r="BS483" i="1" a="1"/>
  <c r="BS483" i="1"/>
  <c r="BR483" i="1"/>
  <c r="BQ483" i="1"/>
  <c r="BP483" i="1"/>
  <c r="BO483" i="1" a="1"/>
  <c r="BO483" i="1"/>
  <c r="BN483" i="1"/>
  <c r="BM483" i="1"/>
  <c r="BL483" i="1"/>
  <c r="BK483" i="1"/>
  <c r="BJ483" i="1"/>
  <c r="U483" i="1"/>
  <c r="T483" i="1"/>
  <c r="S483" i="1"/>
  <c r="R483" i="1"/>
  <c r="Q483" i="1"/>
  <c r="F483" i="1"/>
  <c r="E483" i="1"/>
  <c r="D483" i="1"/>
  <c r="C483" i="1"/>
  <c r="CJ482" i="1"/>
  <c r="CI482" i="1" a="1"/>
  <c r="CI482" i="1"/>
  <c r="CH482" i="1" a="1"/>
  <c r="CH482" i="1"/>
  <c r="CG482" i="1"/>
  <c r="CF482" i="1"/>
  <c r="CE482" i="1" a="1"/>
  <c r="CE482" i="1"/>
  <c r="CD482" i="1" a="1"/>
  <c r="CD482" i="1"/>
  <c r="CC482" i="1"/>
  <c r="CB482" i="1"/>
  <c r="CA482" i="1" a="1"/>
  <c r="CA482" i="1"/>
  <c r="BZ482" i="1" a="1"/>
  <c r="BZ482" i="1"/>
  <c r="BY482" i="1"/>
  <c r="BX482" i="1"/>
  <c r="BW482" i="1" a="1"/>
  <c r="BW482" i="1"/>
  <c r="BV482" i="1"/>
  <c r="BU482" i="1"/>
  <c r="BT482" i="1"/>
  <c r="BS482" i="1" a="1"/>
  <c r="BS482" i="1"/>
  <c r="BR482" i="1"/>
  <c r="BQ482" i="1"/>
  <c r="BP482" i="1"/>
  <c r="BO482" i="1" a="1"/>
  <c r="BO482" i="1"/>
  <c r="BN482" i="1"/>
  <c r="BM482" i="1"/>
  <c r="BL482" i="1"/>
  <c r="BK482" i="1"/>
  <c r="BJ482" i="1"/>
  <c r="U482" i="1"/>
  <c r="T482" i="1"/>
  <c r="S482" i="1"/>
  <c r="R482" i="1"/>
  <c r="Q482" i="1"/>
  <c r="F482" i="1"/>
  <c r="E482" i="1"/>
  <c r="D482" i="1"/>
  <c r="C482" i="1"/>
  <c r="CJ481" i="1"/>
  <c r="CI481" i="1" a="1"/>
  <c r="CI481" i="1"/>
  <c r="CH481" i="1" a="1"/>
  <c r="CH481" i="1"/>
  <c r="CG481" i="1"/>
  <c r="CF481" i="1"/>
  <c r="CE481" i="1" a="1"/>
  <c r="CE481" i="1"/>
  <c r="CD481" i="1" a="1"/>
  <c r="CD481" i="1"/>
  <c r="CC481" i="1"/>
  <c r="CB481" i="1"/>
  <c r="CA481" i="1" a="1"/>
  <c r="CA481" i="1"/>
  <c r="BZ481" i="1" a="1"/>
  <c r="BZ481" i="1"/>
  <c r="BY481" i="1"/>
  <c r="BX481" i="1"/>
  <c r="BW481" i="1" a="1"/>
  <c r="BW481" i="1"/>
  <c r="BV481" i="1"/>
  <c r="BU481" i="1"/>
  <c r="BT481" i="1"/>
  <c r="BS481" i="1" a="1"/>
  <c r="BS481" i="1"/>
  <c r="BR481" i="1"/>
  <c r="BQ481" i="1"/>
  <c r="BP481" i="1"/>
  <c r="BO481" i="1" a="1"/>
  <c r="BO481" i="1"/>
  <c r="BN481" i="1"/>
  <c r="BM481" i="1"/>
  <c r="BL481" i="1"/>
  <c r="BK481" i="1"/>
  <c r="BJ481" i="1"/>
  <c r="U481" i="1"/>
  <c r="T481" i="1"/>
  <c r="S481" i="1"/>
  <c r="R481" i="1"/>
  <c r="Q481" i="1"/>
  <c r="F481" i="1"/>
  <c r="E481" i="1"/>
  <c r="D481" i="1"/>
  <c r="C481" i="1"/>
  <c r="CJ480" i="1"/>
  <c r="CI480" i="1" a="1"/>
  <c r="CI480" i="1"/>
  <c r="CH480" i="1" a="1"/>
  <c r="CH480" i="1"/>
  <c r="CG480" i="1"/>
  <c r="CF480" i="1"/>
  <c r="CE480" i="1" a="1"/>
  <c r="CE480" i="1"/>
  <c r="CD480" i="1" a="1"/>
  <c r="CD480" i="1"/>
  <c r="CC480" i="1"/>
  <c r="CB480" i="1"/>
  <c r="CA480" i="1" a="1"/>
  <c r="CA480" i="1"/>
  <c r="BZ480" i="1" a="1"/>
  <c r="BZ480" i="1"/>
  <c r="BY480" i="1"/>
  <c r="BX480" i="1"/>
  <c r="BW480" i="1" a="1"/>
  <c r="BW480" i="1"/>
  <c r="BV480" i="1"/>
  <c r="BU480" i="1"/>
  <c r="BT480" i="1"/>
  <c r="BS480" i="1" a="1"/>
  <c r="BS480" i="1"/>
  <c r="BR480" i="1"/>
  <c r="BQ480" i="1"/>
  <c r="BP480" i="1"/>
  <c r="BO480" i="1" a="1"/>
  <c r="BO480" i="1"/>
  <c r="BN480" i="1"/>
  <c r="BM480" i="1"/>
  <c r="BL480" i="1"/>
  <c r="BK480" i="1"/>
  <c r="BJ480" i="1"/>
  <c r="U480" i="1"/>
  <c r="T480" i="1"/>
  <c r="S480" i="1"/>
  <c r="R480" i="1"/>
  <c r="Q480" i="1"/>
  <c r="F480" i="1"/>
  <c r="E480" i="1"/>
  <c r="D480" i="1"/>
  <c r="C480" i="1"/>
  <c r="CJ479" i="1"/>
  <c r="CI479" i="1" a="1"/>
  <c r="CI479" i="1"/>
  <c r="CH479" i="1" a="1"/>
  <c r="CH479" i="1"/>
  <c r="CG479" i="1"/>
  <c r="CF479" i="1"/>
  <c r="CE479" i="1" a="1"/>
  <c r="CE479" i="1"/>
  <c r="CD479" i="1" a="1"/>
  <c r="CD479" i="1"/>
  <c r="CC479" i="1"/>
  <c r="CB479" i="1"/>
  <c r="CA479" i="1" a="1"/>
  <c r="CA479" i="1"/>
  <c r="BZ479" i="1" a="1"/>
  <c r="BZ479" i="1"/>
  <c r="BY479" i="1"/>
  <c r="BX479" i="1"/>
  <c r="BW479" i="1" a="1"/>
  <c r="BW479" i="1"/>
  <c r="BV479" i="1"/>
  <c r="BU479" i="1"/>
  <c r="BT479" i="1"/>
  <c r="BS479" i="1" a="1"/>
  <c r="BS479" i="1"/>
  <c r="BR479" i="1"/>
  <c r="BQ479" i="1"/>
  <c r="BP479" i="1"/>
  <c r="BO479" i="1" a="1"/>
  <c r="BO479" i="1"/>
  <c r="BN479" i="1"/>
  <c r="BM479" i="1"/>
  <c r="BL479" i="1"/>
  <c r="BK479" i="1"/>
  <c r="BJ479" i="1"/>
  <c r="U479" i="1"/>
  <c r="T479" i="1"/>
  <c r="S479" i="1"/>
  <c r="R479" i="1"/>
  <c r="Q479" i="1"/>
  <c r="F479" i="1"/>
  <c r="E479" i="1"/>
  <c r="D479" i="1"/>
  <c r="C479" i="1"/>
  <c r="CJ478" i="1"/>
  <c r="CI478" i="1" a="1"/>
  <c r="CI478" i="1"/>
  <c r="CH478" i="1" a="1"/>
  <c r="CH478" i="1"/>
  <c r="CG478" i="1"/>
  <c r="CF478" i="1"/>
  <c r="CE478" i="1" a="1"/>
  <c r="CE478" i="1"/>
  <c r="CD478" i="1" a="1"/>
  <c r="CD478" i="1"/>
  <c r="CC478" i="1"/>
  <c r="CB478" i="1"/>
  <c r="CA478" i="1" a="1"/>
  <c r="CA478" i="1"/>
  <c r="BZ478" i="1" a="1"/>
  <c r="BZ478" i="1"/>
  <c r="BY478" i="1"/>
  <c r="BX478" i="1"/>
  <c r="BW478" i="1" a="1"/>
  <c r="BW478" i="1"/>
  <c r="BV478" i="1"/>
  <c r="BU478" i="1"/>
  <c r="BT478" i="1"/>
  <c r="BS478" i="1" a="1"/>
  <c r="BS478" i="1"/>
  <c r="BR478" i="1"/>
  <c r="BQ478" i="1"/>
  <c r="BP478" i="1"/>
  <c r="BO478" i="1" a="1"/>
  <c r="BO478" i="1"/>
  <c r="BN478" i="1"/>
  <c r="BM478" i="1"/>
  <c r="BL478" i="1"/>
  <c r="BK478" i="1"/>
  <c r="BJ478" i="1"/>
  <c r="U478" i="1"/>
  <c r="T478" i="1"/>
  <c r="S478" i="1"/>
  <c r="R478" i="1"/>
  <c r="Q478" i="1"/>
  <c r="F478" i="1"/>
  <c r="E478" i="1"/>
  <c r="D478" i="1"/>
  <c r="C478" i="1"/>
  <c r="CJ477" i="1"/>
  <c r="CI477" i="1" a="1"/>
  <c r="CI477" i="1"/>
  <c r="CH477" i="1" a="1"/>
  <c r="CH477" i="1"/>
  <c r="CG477" i="1"/>
  <c r="CF477" i="1"/>
  <c r="CE477" i="1" a="1"/>
  <c r="CE477" i="1"/>
  <c r="CD477" i="1" a="1"/>
  <c r="CD477" i="1"/>
  <c r="CC477" i="1"/>
  <c r="CB477" i="1"/>
  <c r="CA477" i="1" a="1"/>
  <c r="CA477" i="1"/>
  <c r="BZ477" i="1" a="1"/>
  <c r="BZ477" i="1"/>
  <c r="BY477" i="1"/>
  <c r="BX477" i="1"/>
  <c r="BW477" i="1" a="1"/>
  <c r="BW477" i="1"/>
  <c r="BV477" i="1"/>
  <c r="BU477" i="1"/>
  <c r="BT477" i="1"/>
  <c r="BS477" i="1" a="1"/>
  <c r="BS477" i="1"/>
  <c r="BR477" i="1"/>
  <c r="BQ477" i="1"/>
  <c r="BP477" i="1"/>
  <c r="BO477" i="1" a="1"/>
  <c r="BO477" i="1"/>
  <c r="BN477" i="1"/>
  <c r="BM477" i="1"/>
  <c r="BL477" i="1"/>
  <c r="BK477" i="1"/>
  <c r="BJ477" i="1"/>
  <c r="U477" i="1"/>
  <c r="T477" i="1"/>
  <c r="S477" i="1"/>
  <c r="R477" i="1"/>
  <c r="Q477" i="1"/>
  <c r="F477" i="1"/>
  <c r="E477" i="1"/>
  <c r="D477" i="1"/>
  <c r="C477" i="1"/>
  <c r="CJ476" i="1"/>
  <c r="CI476" i="1" a="1"/>
  <c r="CI476" i="1"/>
  <c r="CH476" i="1" a="1"/>
  <c r="CH476" i="1"/>
  <c r="CG476" i="1"/>
  <c r="CF476" i="1"/>
  <c r="CE476" i="1" a="1"/>
  <c r="CE476" i="1"/>
  <c r="CD476" i="1" a="1"/>
  <c r="CD476" i="1"/>
  <c r="CC476" i="1"/>
  <c r="CB476" i="1"/>
  <c r="CA476" i="1" a="1"/>
  <c r="CA476" i="1"/>
  <c r="BZ476" i="1" a="1"/>
  <c r="BZ476" i="1"/>
  <c r="BY476" i="1"/>
  <c r="BX476" i="1"/>
  <c r="BW476" i="1" a="1"/>
  <c r="BW476" i="1"/>
  <c r="BV476" i="1"/>
  <c r="BU476" i="1"/>
  <c r="BT476" i="1"/>
  <c r="BS476" i="1" a="1"/>
  <c r="BS476" i="1"/>
  <c r="BR476" i="1"/>
  <c r="BQ476" i="1"/>
  <c r="BP476" i="1"/>
  <c r="BO476" i="1" a="1"/>
  <c r="BO476" i="1"/>
  <c r="BN476" i="1"/>
  <c r="BM476" i="1"/>
  <c r="BL476" i="1"/>
  <c r="BK476" i="1"/>
  <c r="BJ476" i="1"/>
  <c r="U476" i="1"/>
  <c r="T476" i="1"/>
  <c r="S476" i="1"/>
  <c r="R476" i="1"/>
  <c r="Q476" i="1"/>
  <c r="F476" i="1"/>
  <c r="E476" i="1"/>
  <c r="D476" i="1"/>
  <c r="C476" i="1"/>
  <c r="CJ475" i="1"/>
  <c r="CI475" i="1" a="1"/>
  <c r="CI475" i="1"/>
  <c r="CH475" i="1" a="1"/>
  <c r="CH475" i="1"/>
  <c r="CG475" i="1"/>
  <c r="CF475" i="1"/>
  <c r="CE475" i="1" a="1"/>
  <c r="CE475" i="1"/>
  <c r="CD475" i="1" a="1"/>
  <c r="CD475" i="1"/>
  <c r="CC475" i="1"/>
  <c r="CB475" i="1"/>
  <c r="CA475" i="1" a="1"/>
  <c r="CA475" i="1"/>
  <c r="BZ475" i="1" a="1"/>
  <c r="BZ475" i="1"/>
  <c r="BY475" i="1"/>
  <c r="BX475" i="1"/>
  <c r="BW475" i="1" a="1"/>
  <c r="BW475" i="1"/>
  <c r="BV475" i="1"/>
  <c r="BU475" i="1"/>
  <c r="BT475" i="1"/>
  <c r="BS475" i="1" a="1"/>
  <c r="BS475" i="1"/>
  <c r="BR475" i="1"/>
  <c r="BQ475" i="1"/>
  <c r="BP475" i="1"/>
  <c r="BO475" i="1" a="1"/>
  <c r="BO475" i="1"/>
  <c r="BN475" i="1"/>
  <c r="BM475" i="1"/>
  <c r="BL475" i="1"/>
  <c r="BK475" i="1"/>
  <c r="BJ475" i="1"/>
  <c r="U475" i="1"/>
  <c r="T475" i="1"/>
  <c r="S475" i="1"/>
  <c r="R475" i="1"/>
  <c r="Q475" i="1"/>
  <c r="F475" i="1"/>
  <c r="E475" i="1"/>
  <c r="D475" i="1"/>
  <c r="C475" i="1"/>
  <c r="CJ474" i="1"/>
  <c r="CI474" i="1" a="1"/>
  <c r="CI474" i="1"/>
  <c r="CH474" i="1" a="1"/>
  <c r="CH474" i="1"/>
  <c r="CG474" i="1"/>
  <c r="CF474" i="1"/>
  <c r="CE474" i="1" a="1"/>
  <c r="CE474" i="1"/>
  <c r="CD474" i="1" a="1"/>
  <c r="CD474" i="1"/>
  <c r="CC474" i="1"/>
  <c r="CB474" i="1"/>
  <c r="CA474" i="1" a="1"/>
  <c r="CA474" i="1"/>
  <c r="BZ474" i="1" a="1"/>
  <c r="BZ474" i="1"/>
  <c r="BY474" i="1"/>
  <c r="BX474" i="1"/>
  <c r="BW474" i="1" a="1"/>
  <c r="BW474" i="1"/>
  <c r="BV474" i="1"/>
  <c r="BU474" i="1"/>
  <c r="BT474" i="1"/>
  <c r="BS474" i="1" a="1"/>
  <c r="BS474" i="1"/>
  <c r="BR474" i="1"/>
  <c r="BQ474" i="1"/>
  <c r="BP474" i="1"/>
  <c r="BO474" i="1" a="1"/>
  <c r="BO474" i="1"/>
  <c r="BN474" i="1"/>
  <c r="BM474" i="1"/>
  <c r="BL474" i="1"/>
  <c r="BK474" i="1"/>
  <c r="BJ474" i="1"/>
  <c r="U474" i="1"/>
  <c r="T474" i="1"/>
  <c r="S474" i="1"/>
  <c r="R474" i="1"/>
  <c r="Q474" i="1"/>
  <c r="F474" i="1"/>
  <c r="E474" i="1"/>
  <c r="D474" i="1"/>
  <c r="C474" i="1"/>
  <c r="CJ473" i="1"/>
  <c r="CI473" i="1" a="1"/>
  <c r="CI473" i="1"/>
  <c r="CH473" i="1" a="1"/>
  <c r="CH473" i="1"/>
  <c r="CG473" i="1"/>
  <c r="CF473" i="1"/>
  <c r="CE473" i="1" a="1"/>
  <c r="CE473" i="1"/>
  <c r="CD473" i="1" a="1"/>
  <c r="CD473" i="1"/>
  <c r="CC473" i="1"/>
  <c r="CB473" i="1"/>
  <c r="CA473" i="1" a="1"/>
  <c r="CA473" i="1"/>
  <c r="BZ473" i="1" a="1"/>
  <c r="BZ473" i="1"/>
  <c r="BY473" i="1"/>
  <c r="BX473" i="1"/>
  <c r="BW473" i="1" a="1"/>
  <c r="BW473" i="1"/>
  <c r="BV473" i="1"/>
  <c r="BU473" i="1"/>
  <c r="BT473" i="1"/>
  <c r="BS473" i="1" a="1"/>
  <c r="BS473" i="1"/>
  <c r="BR473" i="1"/>
  <c r="BQ473" i="1"/>
  <c r="BP473" i="1"/>
  <c r="BO473" i="1" a="1"/>
  <c r="BO473" i="1"/>
  <c r="BN473" i="1"/>
  <c r="BM473" i="1"/>
  <c r="BL473" i="1"/>
  <c r="BK473" i="1"/>
  <c r="BJ473" i="1"/>
  <c r="U473" i="1"/>
  <c r="T473" i="1"/>
  <c r="S473" i="1"/>
  <c r="R473" i="1"/>
  <c r="Q473" i="1"/>
  <c r="F473" i="1"/>
  <c r="E473" i="1"/>
  <c r="D473" i="1"/>
  <c r="C473" i="1"/>
  <c r="CJ472" i="1"/>
  <c r="CI472" i="1" a="1"/>
  <c r="CI472" i="1"/>
  <c r="CH472" i="1" a="1"/>
  <c r="CH472" i="1"/>
  <c r="CG472" i="1"/>
  <c r="CF472" i="1"/>
  <c r="CE472" i="1" a="1"/>
  <c r="CE472" i="1"/>
  <c r="CD472" i="1" a="1"/>
  <c r="CD472" i="1"/>
  <c r="CC472" i="1"/>
  <c r="CB472" i="1"/>
  <c r="CA472" i="1" a="1"/>
  <c r="CA472" i="1"/>
  <c r="BZ472" i="1" a="1"/>
  <c r="BZ472" i="1"/>
  <c r="BY472" i="1"/>
  <c r="BX472" i="1"/>
  <c r="BW472" i="1" a="1"/>
  <c r="BW472" i="1"/>
  <c r="BV472" i="1"/>
  <c r="BU472" i="1"/>
  <c r="BT472" i="1"/>
  <c r="BS472" i="1" a="1"/>
  <c r="BS472" i="1"/>
  <c r="BR472" i="1"/>
  <c r="BQ472" i="1"/>
  <c r="BP472" i="1"/>
  <c r="BO472" i="1" a="1"/>
  <c r="BO472" i="1"/>
  <c r="BN472" i="1"/>
  <c r="BM472" i="1"/>
  <c r="BL472" i="1"/>
  <c r="BK472" i="1"/>
  <c r="BJ472" i="1"/>
  <c r="U472" i="1"/>
  <c r="T472" i="1"/>
  <c r="S472" i="1"/>
  <c r="R472" i="1"/>
  <c r="Q472" i="1"/>
  <c r="F472" i="1"/>
  <c r="E472" i="1"/>
  <c r="D472" i="1"/>
  <c r="C472" i="1"/>
  <c r="CJ471" i="1"/>
  <c r="CI471" i="1" a="1"/>
  <c r="CI471" i="1"/>
  <c r="CH471" i="1" a="1"/>
  <c r="CH471" i="1"/>
  <c r="CG471" i="1"/>
  <c r="CF471" i="1"/>
  <c r="CE471" i="1" a="1"/>
  <c r="CE471" i="1"/>
  <c r="CD471" i="1" a="1"/>
  <c r="CD471" i="1"/>
  <c r="CC471" i="1"/>
  <c r="CB471" i="1"/>
  <c r="CA471" i="1" a="1"/>
  <c r="CA471" i="1"/>
  <c r="BZ471" i="1" a="1"/>
  <c r="BZ471" i="1"/>
  <c r="BY471" i="1"/>
  <c r="BX471" i="1"/>
  <c r="BW471" i="1" a="1"/>
  <c r="BW471" i="1"/>
  <c r="BV471" i="1"/>
  <c r="BU471" i="1"/>
  <c r="BT471" i="1"/>
  <c r="BS471" i="1" a="1"/>
  <c r="BS471" i="1"/>
  <c r="BR471" i="1"/>
  <c r="BQ471" i="1"/>
  <c r="BP471" i="1"/>
  <c r="BO471" i="1" a="1"/>
  <c r="BO471" i="1"/>
  <c r="BN471" i="1"/>
  <c r="BM471" i="1"/>
  <c r="BL471" i="1"/>
  <c r="BK471" i="1"/>
  <c r="BJ471" i="1"/>
  <c r="U471" i="1"/>
  <c r="T471" i="1"/>
  <c r="S471" i="1"/>
  <c r="R471" i="1"/>
  <c r="Q471" i="1"/>
  <c r="F471" i="1"/>
  <c r="E471" i="1"/>
  <c r="D471" i="1"/>
  <c r="C471" i="1"/>
  <c r="CJ470" i="1"/>
  <c r="CI470" i="1" a="1"/>
  <c r="CI470" i="1"/>
  <c r="CH470" i="1" a="1"/>
  <c r="CH470" i="1"/>
  <c r="CG470" i="1"/>
  <c r="CF470" i="1"/>
  <c r="CE470" i="1" a="1"/>
  <c r="CE470" i="1"/>
  <c r="CD470" i="1" a="1"/>
  <c r="CD470" i="1"/>
  <c r="CC470" i="1"/>
  <c r="CB470" i="1"/>
  <c r="CA470" i="1" a="1"/>
  <c r="CA470" i="1"/>
  <c r="BZ470" i="1" a="1"/>
  <c r="BZ470" i="1"/>
  <c r="BY470" i="1"/>
  <c r="BX470" i="1"/>
  <c r="BW470" i="1" a="1"/>
  <c r="BW470" i="1"/>
  <c r="BV470" i="1"/>
  <c r="BU470" i="1"/>
  <c r="BT470" i="1"/>
  <c r="BS470" i="1" a="1"/>
  <c r="BS470" i="1"/>
  <c r="BR470" i="1"/>
  <c r="BQ470" i="1"/>
  <c r="BP470" i="1"/>
  <c r="BO470" i="1" a="1"/>
  <c r="BO470" i="1"/>
  <c r="BN470" i="1"/>
  <c r="BM470" i="1"/>
  <c r="BL470" i="1"/>
  <c r="BK470" i="1"/>
  <c r="BJ470" i="1"/>
  <c r="U470" i="1"/>
  <c r="T470" i="1"/>
  <c r="S470" i="1"/>
  <c r="R470" i="1"/>
  <c r="Q470" i="1"/>
  <c r="F470" i="1"/>
  <c r="E470" i="1"/>
  <c r="D470" i="1"/>
  <c r="C470" i="1"/>
  <c r="CJ469" i="1"/>
  <c r="CI469" i="1" a="1"/>
  <c r="CI469" i="1"/>
  <c r="CH469" i="1" a="1"/>
  <c r="CH469" i="1"/>
  <c r="CG469" i="1"/>
  <c r="CF469" i="1"/>
  <c r="CE469" i="1" a="1"/>
  <c r="CE469" i="1"/>
  <c r="CD469" i="1" a="1"/>
  <c r="CD469" i="1"/>
  <c r="CC469" i="1"/>
  <c r="CB469" i="1"/>
  <c r="CA469" i="1" a="1"/>
  <c r="CA469" i="1"/>
  <c r="BZ469" i="1" a="1"/>
  <c r="BZ469" i="1"/>
  <c r="BY469" i="1"/>
  <c r="BX469" i="1"/>
  <c r="BW469" i="1" a="1"/>
  <c r="BW469" i="1"/>
  <c r="BV469" i="1"/>
  <c r="BU469" i="1"/>
  <c r="BT469" i="1"/>
  <c r="BS469" i="1" a="1"/>
  <c r="BS469" i="1"/>
  <c r="BR469" i="1"/>
  <c r="BQ469" i="1"/>
  <c r="BP469" i="1"/>
  <c r="BO469" i="1" a="1"/>
  <c r="BO469" i="1"/>
  <c r="BN469" i="1"/>
  <c r="BM469" i="1"/>
  <c r="BL469" i="1"/>
  <c r="BK469" i="1"/>
  <c r="BJ469" i="1"/>
  <c r="U469" i="1"/>
  <c r="T469" i="1"/>
  <c r="S469" i="1"/>
  <c r="R469" i="1"/>
  <c r="Q469" i="1"/>
  <c r="F469" i="1"/>
  <c r="E469" i="1"/>
  <c r="D469" i="1"/>
  <c r="C469" i="1"/>
  <c r="CJ468" i="1"/>
  <c r="CI468" i="1" a="1"/>
  <c r="CI468" i="1"/>
  <c r="CH468" i="1" a="1"/>
  <c r="CH468" i="1"/>
  <c r="CG468" i="1"/>
  <c r="CF468" i="1"/>
  <c r="CE468" i="1" a="1"/>
  <c r="CE468" i="1"/>
  <c r="CD468" i="1" a="1"/>
  <c r="CD468" i="1"/>
  <c r="CC468" i="1"/>
  <c r="CB468" i="1"/>
  <c r="CA468" i="1" a="1"/>
  <c r="CA468" i="1"/>
  <c r="BZ468" i="1" a="1"/>
  <c r="BZ468" i="1"/>
  <c r="BY468" i="1"/>
  <c r="BX468" i="1"/>
  <c r="BW468" i="1" a="1"/>
  <c r="BW468" i="1"/>
  <c r="BV468" i="1"/>
  <c r="BU468" i="1"/>
  <c r="BT468" i="1"/>
  <c r="BS468" i="1" a="1"/>
  <c r="BS468" i="1"/>
  <c r="BR468" i="1"/>
  <c r="BQ468" i="1"/>
  <c r="BP468" i="1"/>
  <c r="BO468" i="1" a="1"/>
  <c r="BO468" i="1"/>
  <c r="BN468" i="1"/>
  <c r="BM468" i="1"/>
  <c r="BL468" i="1"/>
  <c r="BK468" i="1"/>
  <c r="BJ468" i="1"/>
  <c r="U468" i="1"/>
  <c r="T468" i="1"/>
  <c r="S468" i="1"/>
  <c r="R468" i="1"/>
  <c r="Q468" i="1"/>
  <c r="F468" i="1"/>
  <c r="E468" i="1"/>
  <c r="D468" i="1"/>
  <c r="C468" i="1"/>
  <c r="CJ467" i="1"/>
  <c r="CI467" i="1" a="1"/>
  <c r="CI467" i="1"/>
  <c r="CH467" i="1" a="1"/>
  <c r="CH467" i="1"/>
  <c r="CG467" i="1"/>
  <c r="CF467" i="1"/>
  <c r="CE467" i="1" a="1"/>
  <c r="CE467" i="1"/>
  <c r="CD467" i="1" a="1"/>
  <c r="CD467" i="1"/>
  <c r="CC467" i="1"/>
  <c r="CB467" i="1"/>
  <c r="CA467" i="1" a="1"/>
  <c r="CA467" i="1"/>
  <c r="BZ467" i="1" a="1"/>
  <c r="BZ467" i="1"/>
  <c r="BY467" i="1"/>
  <c r="BX467" i="1"/>
  <c r="BW467" i="1" a="1"/>
  <c r="BW467" i="1"/>
  <c r="BV467" i="1"/>
  <c r="BU467" i="1"/>
  <c r="BT467" i="1"/>
  <c r="BS467" i="1" a="1"/>
  <c r="BS467" i="1"/>
  <c r="BR467" i="1"/>
  <c r="BQ467" i="1"/>
  <c r="BP467" i="1"/>
  <c r="BO467" i="1" a="1"/>
  <c r="BO467" i="1"/>
  <c r="BN467" i="1"/>
  <c r="BM467" i="1"/>
  <c r="BL467" i="1"/>
  <c r="BK467" i="1"/>
  <c r="BJ467" i="1"/>
  <c r="U467" i="1"/>
  <c r="T467" i="1"/>
  <c r="S467" i="1"/>
  <c r="R467" i="1"/>
  <c r="Q467" i="1"/>
  <c r="F467" i="1"/>
  <c r="E467" i="1"/>
  <c r="D467" i="1"/>
  <c r="C467" i="1"/>
  <c r="CJ466" i="1"/>
  <c r="CI466" i="1" a="1"/>
  <c r="CI466" i="1"/>
  <c r="CH466" i="1" a="1"/>
  <c r="CH466" i="1"/>
  <c r="CG466" i="1"/>
  <c r="CF466" i="1"/>
  <c r="CE466" i="1" a="1"/>
  <c r="CE466" i="1"/>
  <c r="CD466" i="1" a="1"/>
  <c r="CD466" i="1"/>
  <c r="CC466" i="1"/>
  <c r="CB466" i="1"/>
  <c r="CA466" i="1" a="1"/>
  <c r="CA466" i="1"/>
  <c r="BZ466" i="1" a="1"/>
  <c r="BZ466" i="1"/>
  <c r="BY466" i="1"/>
  <c r="BX466" i="1"/>
  <c r="BW466" i="1" a="1"/>
  <c r="BW466" i="1"/>
  <c r="BV466" i="1"/>
  <c r="BU466" i="1"/>
  <c r="BT466" i="1"/>
  <c r="BS466" i="1" a="1"/>
  <c r="BS466" i="1"/>
  <c r="BR466" i="1"/>
  <c r="BQ466" i="1"/>
  <c r="BP466" i="1"/>
  <c r="BO466" i="1" a="1"/>
  <c r="BO466" i="1"/>
  <c r="BN466" i="1"/>
  <c r="BM466" i="1"/>
  <c r="BL466" i="1"/>
  <c r="BK466" i="1"/>
  <c r="BJ466" i="1"/>
  <c r="U466" i="1"/>
  <c r="T466" i="1"/>
  <c r="S466" i="1"/>
  <c r="R466" i="1"/>
  <c r="Q466" i="1"/>
  <c r="F466" i="1"/>
  <c r="E466" i="1"/>
  <c r="D466" i="1"/>
  <c r="C466" i="1"/>
  <c r="CJ465" i="1"/>
  <c r="CI465" i="1" a="1"/>
  <c r="CI465" i="1"/>
  <c r="CH465" i="1" a="1"/>
  <c r="CH465" i="1"/>
  <c r="CG465" i="1"/>
  <c r="CF465" i="1"/>
  <c r="CE465" i="1" a="1"/>
  <c r="CE465" i="1"/>
  <c r="CD465" i="1" a="1"/>
  <c r="CD465" i="1"/>
  <c r="CC465" i="1"/>
  <c r="CB465" i="1"/>
  <c r="CA465" i="1" a="1"/>
  <c r="CA465" i="1"/>
  <c r="BZ465" i="1" a="1"/>
  <c r="BZ465" i="1"/>
  <c r="BY465" i="1"/>
  <c r="BX465" i="1"/>
  <c r="BW465" i="1" a="1"/>
  <c r="BW465" i="1"/>
  <c r="BV465" i="1"/>
  <c r="BU465" i="1"/>
  <c r="BT465" i="1"/>
  <c r="BS465" i="1" a="1"/>
  <c r="BS465" i="1"/>
  <c r="BR465" i="1"/>
  <c r="BQ465" i="1"/>
  <c r="BP465" i="1"/>
  <c r="BO465" i="1" a="1"/>
  <c r="BO465" i="1"/>
  <c r="BN465" i="1"/>
  <c r="BM465" i="1"/>
  <c r="BL465" i="1"/>
  <c r="BK465" i="1"/>
  <c r="BJ465" i="1"/>
  <c r="U465" i="1"/>
  <c r="T465" i="1"/>
  <c r="S465" i="1"/>
  <c r="R465" i="1"/>
  <c r="Q465" i="1"/>
  <c r="F465" i="1"/>
  <c r="E465" i="1"/>
  <c r="D465" i="1"/>
  <c r="C465" i="1"/>
  <c r="CJ464" i="1"/>
  <c r="CI464" i="1" a="1"/>
  <c r="CI464" i="1"/>
  <c r="CH464" i="1" a="1"/>
  <c r="CH464" i="1"/>
  <c r="CG464" i="1"/>
  <c r="CF464" i="1"/>
  <c r="CE464" i="1" a="1"/>
  <c r="CE464" i="1"/>
  <c r="CD464" i="1" a="1"/>
  <c r="CD464" i="1"/>
  <c r="CC464" i="1"/>
  <c r="CB464" i="1"/>
  <c r="CA464" i="1" a="1"/>
  <c r="CA464" i="1"/>
  <c r="BZ464" i="1" a="1"/>
  <c r="BZ464" i="1"/>
  <c r="BY464" i="1"/>
  <c r="BX464" i="1"/>
  <c r="BW464" i="1" a="1"/>
  <c r="BW464" i="1"/>
  <c r="BV464" i="1"/>
  <c r="BU464" i="1"/>
  <c r="BT464" i="1"/>
  <c r="BS464" i="1" a="1"/>
  <c r="BS464" i="1"/>
  <c r="BR464" i="1"/>
  <c r="BQ464" i="1"/>
  <c r="BP464" i="1"/>
  <c r="BO464" i="1" a="1"/>
  <c r="BO464" i="1"/>
  <c r="BN464" i="1"/>
  <c r="BM464" i="1"/>
  <c r="BL464" i="1"/>
  <c r="BK464" i="1"/>
  <c r="BJ464" i="1"/>
  <c r="U464" i="1"/>
  <c r="T464" i="1"/>
  <c r="S464" i="1"/>
  <c r="R464" i="1"/>
  <c r="Q464" i="1"/>
  <c r="F464" i="1"/>
  <c r="E464" i="1"/>
  <c r="D464" i="1"/>
  <c r="C464" i="1"/>
  <c r="CJ463" i="1"/>
  <c r="CI463" i="1" a="1"/>
  <c r="CI463" i="1"/>
  <c r="CH463" i="1" a="1"/>
  <c r="CH463" i="1"/>
  <c r="CG463" i="1"/>
  <c r="CF463" i="1"/>
  <c r="CE463" i="1" a="1"/>
  <c r="CE463" i="1"/>
  <c r="CD463" i="1" a="1"/>
  <c r="CD463" i="1"/>
  <c r="CC463" i="1"/>
  <c r="CB463" i="1"/>
  <c r="CA463" i="1" a="1"/>
  <c r="CA463" i="1"/>
  <c r="BZ463" i="1" a="1"/>
  <c r="BZ463" i="1"/>
  <c r="BY463" i="1"/>
  <c r="BX463" i="1"/>
  <c r="BW463" i="1" a="1"/>
  <c r="BW463" i="1"/>
  <c r="BV463" i="1"/>
  <c r="BU463" i="1"/>
  <c r="BT463" i="1"/>
  <c r="BS463" i="1" a="1"/>
  <c r="BS463" i="1"/>
  <c r="BR463" i="1"/>
  <c r="BQ463" i="1"/>
  <c r="BP463" i="1"/>
  <c r="BO463" i="1" a="1"/>
  <c r="BO463" i="1"/>
  <c r="BN463" i="1"/>
  <c r="BM463" i="1"/>
  <c r="BL463" i="1"/>
  <c r="BK463" i="1"/>
  <c r="BJ463" i="1"/>
  <c r="U463" i="1"/>
  <c r="T463" i="1"/>
  <c r="S463" i="1"/>
  <c r="R463" i="1"/>
  <c r="Q463" i="1"/>
  <c r="F463" i="1"/>
  <c r="E463" i="1"/>
  <c r="D463" i="1"/>
  <c r="C463" i="1"/>
  <c r="CJ462" i="1"/>
  <c r="CI462" i="1" a="1"/>
  <c r="CI462" i="1"/>
  <c r="CH462" i="1" a="1"/>
  <c r="CH462" i="1"/>
  <c r="CG462" i="1"/>
  <c r="CF462" i="1"/>
  <c r="CE462" i="1" a="1"/>
  <c r="CE462" i="1"/>
  <c r="CD462" i="1" a="1"/>
  <c r="CD462" i="1"/>
  <c r="CC462" i="1"/>
  <c r="CB462" i="1"/>
  <c r="CA462" i="1" a="1"/>
  <c r="CA462" i="1"/>
  <c r="BZ462" i="1" a="1"/>
  <c r="BZ462" i="1"/>
  <c r="BY462" i="1"/>
  <c r="BX462" i="1"/>
  <c r="BW462" i="1" a="1"/>
  <c r="BW462" i="1"/>
  <c r="BV462" i="1"/>
  <c r="BU462" i="1"/>
  <c r="BT462" i="1"/>
  <c r="BS462" i="1" a="1"/>
  <c r="BS462" i="1"/>
  <c r="BR462" i="1"/>
  <c r="BQ462" i="1"/>
  <c r="BP462" i="1"/>
  <c r="BO462" i="1" a="1"/>
  <c r="BO462" i="1"/>
  <c r="BN462" i="1"/>
  <c r="BM462" i="1"/>
  <c r="BL462" i="1"/>
  <c r="BK462" i="1"/>
  <c r="BJ462" i="1"/>
  <c r="U462" i="1"/>
  <c r="T462" i="1"/>
  <c r="S462" i="1"/>
  <c r="R462" i="1"/>
  <c r="Q462" i="1"/>
  <c r="F462" i="1"/>
  <c r="E462" i="1"/>
  <c r="D462" i="1"/>
  <c r="C462" i="1"/>
  <c r="CJ461" i="1"/>
  <c r="CI461" i="1" a="1"/>
  <c r="CI461" i="1"/>
  <c r="CH461" i="1" a="1"/>
  <c r="CH461" i="1"/>
  <c r="CG461" i="1"/>
  <c r="CF461" i="1"/>
  <c r="CE461" i="1" a="1"/>
  <c r="CE461" i="1"/>
  <c r="CD461" i="1" a="1"/>
  <c r="CD461" i="1"/>
  <c r="CC461" i="1"/>
  <c r="CB461" i="1"/>
  <c r="CA461" i="1" a="1"/>
  <c r="CA461" i="1"/>
  <c r="BZ461" i="1" a="1"/>
  <c r="BZ461" i="1"/>
  <c r="BY461" i="1"/>
  <c r="BX461" i="1"/>
  <c r="BW461" i="1" a="1"/>
  <c r="BW461" i="1"/>
  <c r="BV461" i="1"/>
  <c r="BU461" i="1"/>
  <c r="BT461" i="1"/>
  <c r="BS461" i="1" a="1"/>
  <c r="BS461" i="1"/>
  <c r="BR461" i="1"/>
  <c r="BQ461" i="1"/>
  <c r="BP461" i="1"/>
  <c r="BO461" i="1" a="1"/>
  <c r="BO461" i="1"/>
  <c r="BN461" i="1"/>
  <c r="BM461" i="1"/>
  <c r="BL461" i="1"/>
  <c r="BK461" i="1"/>
  <c r="BJ461" i="1"/>
  <c r="U461" i="1"/>
  <c r="T461" i="1"/>
  <c r="S461" i="1"/>
  <c r="R461" i="1"/>
  <c r="Q461" i="1"/>
  <c r="F461" i="1"/>
  <c r="E461" i="1"/>
  <c r="D461" i="1"/>
  <c r="C461" i="1"/>
  <c r="CJ460" i="1"/>
  <c r="CI460" i="1" a="1"/>
  <c r="CI460" i="1"/>
  <c r="CH460" i="1" a="1"/>
  <c r="CH460" i="1"/>
  <c r="CG460" i="1"/>
  <c r="CF460" i="1"/>
  <c r="CE460" i="1" a="1"/>
  <c r="CE460" i="1"/>
  <c r="CD460" i="1" a="1"/>
  <c r="CD460" i="1"/>
  <c r="CC460" i="1"/>
  <c r="CB460" i="1"/>
  <c r="CA460" i="1" a="1"/>
  <c r="CA460" i="1"/>
  <c r="BZ460" i="1" a="1"/>
  <c r="BZ460" i="1"/>
  <c r="BY460" i="1"/>
  <c r="BX460" i="1"/>
  <c r="BW460" i="1" a="1"/>
  <c r="BW460" i="1"/>
  <c r="BV460" i="1"/>
  <c r="BU460" i="1"/>
  <c r="BT460" i="1"/>
  <c r="BS460" i="1" a="1"/>
  <c r="BS460" i="1"/>
  <c r="BR460" i="1"/>
  <c r="BQ460" i="1"/>
  <c r="BP460" i="1"/>
  <c r="BO460" i="1" a="1"/>
  <c r="BO460" i="1"/>
  <c r="BN460" i="1"/>
  <c r="BM460" i="1"/>
  <c r="BL460" i="1"/>
  <c r="BK460" i="1"/>
  <c r="BJ460" i="1"/>
  <c r="U460" i="1"/>
  <c r="T460" i="1"/>
  <c r="S460" i="1"/>
  <c r="R460" i="1"/>
  <c r="Q460" i="1"/>
  <c r="F460" i="1"/>
  <c r="E460" i="1"/>
  <c r="D460" i="1"/>
  <c r="C460" i="1"/>
  <c r="CJ459" i="1"/>
  <c r="CI459" i="1" a="1"/>
  <c r="CI459" i="1"/>
  <c r="CH459" i="1" a="1"/>
  <c r="CH459" i="1"/>
  <c r="CG459" i="1"/>
  <c r="CF459" i="1"/>
  <c r="CE459" i="1" a="1"/>
  <c r="CE459" i="1"/>
  <c r="CD459" i="1" a="1"/>
  <c r="CD459" i="1"/>
  <c r="CC459" i="1"/>
  <c r="CB459" i="1"/>
  <c r="CA459" i="1" a="1"/>
  <c r="CA459" i="1"/>
  <c r="BZ459" i="1" a="1"/>
  <c r="BZ459" i="1"/>
  <c r="BY459" i="1"/>
  <c r="BX459" i="1"/>
  <c r="BW459" i="1" a="1"/>
  <c r="BW459" i="1"/>
  <c r="BV459" i="1"/>
  <c r="BU459" i="1"/>
  <c r="BT459" i="1"/>
  <c r="BS459" i="1" a="1"/>
  <c r="BS459" i="1"/>
  <c r="BR459" i="1"/>
  <c r="BQ459" i="1"/>
  <c r="BP459" i="1"/>
  <c r="BO459" i="1" a="1"/>
  <c r="BO459" i="1"/>
  <c r="BN459" i="1"/>
  <c r="BM459" i="1"/>
  <c r="BL459" i="1"/>
  <c r="BK459" i="1"/>
  <c r="BJ459" i="1"/>
  <c r="U459" i="1"/>
  <c r="T459" i="1"/>
  <c r="S459" i="1"/>
  <c r="R459" i="1"/>
  <c r="Q459" i="1"/>
  <c r="F459" i="1"/>
  <c r="E459" i="1"/>
  <c r="D459" i="1"/>
  <c r="C459" i="1"/>
  <c r="CJ458" i="1"/>
  <c r="CI458" i="1" a="1"/>
  <c r="CI458" i="1"/>
  <c r="CH458" i="1" a="1"/>
  <c r="CH458" i="1"/>
  <c r="CG458" i="1"/>
  <c r="CF458" i="1"/>
  <c r="CE458" i="1" a="1"/>
  <c r="CE458" i="1"/>
  <c r="CD458" i="1" a="1"/>
  <c r="CD458" i="1"/>
  <c r="CC458" i="1"/>
  <c r="CB458" i="1"/>
  <c r="CA458" i="1" a="1"/>
  <c r="CA458" i="1"/>
  <c r="BZ458" i="1" a="1"/>
  <c r="BZ458" i="1"/>
  <c r="BY458" i="1"/>
  <c r="BX458" i="1"/>
  <c r="BW458" i="1" a="1"/>
  <c r="BW458" i="1"/>
  <c r="BV458" i="1"/>
  <c r="BU458" i="1"/>
  <c r="BT458" i="1"/>
  <c r="BS458" i="1" a="1"/>
  <c r="BS458" i="1"/>
  <c r="BR458" i="1"/>
  <c r="BQ458" i="1"/>
  <c r="BP458" i="1"/>
  <c r="BO458" i="1" a="1"/>
  <c r="BO458" i="1"/>
  <c r="BN458" i="1"/>
  <c r="BM458" i="1"/>
  <c r="BL458" i="1"/>
  <c r="BK458" i="1"/>
  <c r="BJ458" i="1"/>
  <c r="U458" i="1"/>
  <c r="T458" i="1"/>
  <c r="S458" i="1"/>
  <c r="R458" i="1"/>
  <c r="Q458" i="1"/>
  <c r="F458" i="1"/>
  <c r="E458" i="1"/>
  <c r="D458" i="1"/>
  <c r="C458" i="1"/>
  <c r="CJ457" i="1"/>
  <c r="CI457" i="1" a="1"/>
  <c r="CI457" i="1"/>
  <c r="CH457" i="1" a="1"/>
  <c r="CH457" i="1"/>
  <c r="CG457" i="1"/>
  <c r="CF457" i="1"/>
  <c r="CE457" i="1" a="1"/>
  <c r="CE457" i="1"/>
  <c r="CD457" i="1" a="1"/>
  <c r="CD457" i="1"/>
  <c r="CC457" i="1"/>
  <c r="CB457" i="1"/>
  <c r="CA457" i="1" a="1"/>
  <c r="CA457" i="1"/>
  <c r="BZ457" i="1" a="1"/>
  <c r="BZ457" i="1"/>
  <c r="BY457" i="1"/>
  <c r="BX457" i="1"/>
  <c r="BW457" i="1" a="1"/>
  <c r="BW457" i="1"/>
  <c r="BV457" i="1"/>
  <c r="BU457" i="1"/>
  <c r="BT457" i="1"/>
  <c r="BS457" i="1" a="1"/>
  <c r="BS457" i="1"/>
  <c r="BR457" i="1"/>
  <c r="BQ457" i="1"/>
  <c r="BP457" i="1"/>
  <c r="BO457" i="1" a="1"/>
  <c r="BO457" i="1"/>
  <c r="BN457" i="1"/>
  <c r="BM457" i="1"/>
  <c r="BL457" i="1"/>
  <c r="BK457" i="1"/>
  <c r="BJ457" i="1"/>
  <c r="U457" i="1"/>
  <c r="T457" i="1"/>
  <c r="S457" i="1"/>
  <c r="R457" i="1"/>
  <c r="Q457" i="1"/>
  <c r="F457" i="1"/>
  <c r="E457" i="1"/>
  <c r="D457" i="1"/>
  <c r="C457" i="1"/>
  <c r="CJ456" i="1"/>
  <c r="CI456" i="1" a="1"/>
  <c r="CI456" i="1"/>
  <c r="CH456" i="1" a="1"/>
  <c r="CH456" i="1"/>
  <c r="CG456" i="1"/>
  <c r="CF456" i="1"/>
  <c r="CE456" i="1" a="1"/>
  <c r="CE456" i="1"/>
  <c r="CD456" i="1" a="1"/>
  <c r="CD456" i="1"/>
  <c r="CC456" i="1"/>
  <c r="CB456" i="1"/>
  <c r="CA456" i="1" a="1"/>
  <c r="CA456" i="1"/>
  <c r="BZ456" i="1" a="1"/>
  <c r="BZ456" i="1"/>
  <c r="BY456" i="1"/>
  <c r="BX456" i="1"/>
  <c r="BW456" i="1" a="1"/>
  <c r="BW456" i="1"/>
  <c r="BV456" i="1"/>
  <c r="BU456" i="1"/>
  <c r="BT456" i="1"/>
  <c r="BS456" i="1" a="1"/>
  <c r="BS456" i="1"/>
  <c r="BR456" i="1"/>
  <c r="BQ456" i="1"/>
  <c r="BP456" i="1"/>
  <c r="BO456" i="1" a="1"/>
  <c r="BO456" i="1"/>
  <c r="BN456" i="1"/>
  <c r="BM456" i="1"/>
  <c r="BL456" i="1"/>
  <c r="BK456" i="1"/>
  <c r="BJ456" i="1"/>
  <c r="U456" i="1"/>
  <c r="T456" i="1"/>
  <c r="S456" i="1"/>
  <c r="R456" i="1"/>
  <c r="Q456" i="1"/>
  <c r="F456" i="1"/>
  <c r="E456" i="1"/>
  <c r="D456" i="1"/>
  <c r="C456" i="1"/>
  <c r="CJ455" i="1"/>
  <c r="CI455" i="1" a="1"/>
  <c r="CI455" i="1"/>
  <c r="CH455" i="1" a="1"/>
  <c r="CH455" i="1"/>
  <c r="CG455" i="1"/>
  <c r="CF455" i="1"/>
  <c r="CE455" i="1" a="1"/>
  <c r="CE455" i="1"/>
  <c r="CD455" i="1" a="1"/>
  <c r="CD455" i="1"/>
  <c r="CC455" i="1"/>
  <c r="CB455" i="1"/>
  <c r="CA455" i="1" a="1"/>
  <c r="CA455" i="1"/>
  <c r="BZ455" i="1" a="1"/>
  <c r="BZ455" i="1"/>
  <c r="BY455" i="1"/>
  <c r="BX455" i="1"/>
  <c r="BW455" i="1" a="1"/>
  <c r="BW455" i="1"/>
  <c r="BV455" i="1"/>
  <c r="BU455" i="1"/>
  <c r="BT455" i="1"/>
  <c r="BS455" i="1" a="1"/>
  <c r="BS455" i="1"/>
  <c r="BR455" i="1"/>
  <c r="BQ455" i="1"/>
  <c r="BP455" i="1"/>
  <c r="BO455" i="1" a="1"/>
  <c r="BO455" i="1"/>
  <c r="BN455" i="1"/>
  <c r="BM455" i="1"/>
  <c r="BL455" i="1"/>
  <c r="BK455" i="1"/>
  <c r="BJ455" i="1"/>
  <c r="U455" i="1"/>
  <c r="T455" i="1"/>
  <c r="S455" i="1"/>
  <c r="R455" i="1"/>
  <c r="Q455" i="1"/>
  <c r="F455" i="1"/>
  <c r="E455" i="1"/>
  <c r="D455" i="1"/>
  <c r="C455" i="1"/>
  <c r="CJ454" i="1"/>
  <c r="CI454" i="1" a="1"/>
  <c r="CI454" i="1"/>
  <c r="CH454" i="1" a="1"/>
  <c r="CH454" i="1"/>
  <c r="CG454" i="1"/>
  <c r="CF454" i="1"/>
  <c r="CE454" i="1" a="1"/>
  <c r="CE454" i="1"/>
  <c r="CD454" i="1" a="1"/>
  <c r="CD454" i="1"/>
  <c r="CC454" i="1"/>
  <c r="CB454" i="1"/>
  <c r="CA454" i="1" a="1"/>
  <c r="CA454" i="1"/>
  <c r="BZ454" i="1" a="1"/>
  <c r="BZ454" i="1"/>
  <c r="BY454" i="1"/>
  <c r="BX454" i="1"/>
  <c r="BW454" i="1" a="1"/>
  <c r="BW454" i="1"/>
  <c r="BV454" i="1"/>
  <c r="BU454" i="1"/>
  <c r="BT454" i="1"/>
  <c r="BS454" i="1" a="1"/>
  <c r="BS454" i="1"/>
  <c r="BR454" i="1"/>
  <c r="BQ454" i="1"/>
  <c r="BP454" i="1"/>
  <c r="BO454" i="1" a="1"/>
  <c r="BO454" i="1"/>
  <c r="BN454" i="1"/>
  <c r="BM454" i="1"/>
  <c r="BL454" i="1"/>
  <c r="BK454" i="1"/>
  <c r="BJ454" i="1"/>
  <c r="U454" i="1"/>
  <c r="T454" i="1"/>
  <c r="S454" i="1"/>
  <c r="R454" i="1"/>
  <c r="Q454" i="1"/>
  <c r="F454" i="1"/>
  <c r="E454" i="1"/>
  <c r="D454" i="1"/>
  <c r="C454" i="1"/>
  <c r="CJ453" i="1"/>
  <c r="CI453" i="1" a="1"/>
  <c r="CI453" i="1"/>
  <c r="CH453" i="1" a="1"/>
  <c r="CH453" i="1"/>
  <c r="CG453" i="1"/>
  <c r="CF453" i="1"/>
  <c r="CE453" i="1" a="1"/>
  <c r="CE453" i="1"/>
  <c r="CD453" i="1" a="1"/>
  <c r="CD453" i="1"/>
  <c r="CC453" i="1"/>
  <c r="CB453" i="1"/>
  <c r="CA453" i="1" a="1"/>
  <c r="CA453" i="1"/>
  <c r="BZ453" i="1" a="1"/>
  <c r="BZ453" i="1"/>
  <c r="BY453" i="1"/>
  <c r="BX453" i="1"/>
  <c r="BW453" i="1" a="1"/>
  <c r="BW453" i="1"/>
  <c r="BV453" i="1"/>
  <c r="BU453" i="1"/>
  <c r="BT453" i="1"/>
  <c r="BS453" i="1" a="1"/>
  <c r="BS453" i="1"/>
  <c r="BR453" i="1"/>
  <c r="BQ453" i="1"/>
  <c r="BP453" i="1"/>
  <c r="BO453" i="1" a="1"/>
  <c r="BO453" i="1"/>
  <c r="BN453" i="1"/>
  <c r="BM453" i="1"/>
  <c r="BL453" i="1"/>
  <c r="BK453" i="1"/>
  <c r="BJ453" i="1"/>
  <c r="U453" i="1"/>
  <c r="T453" i="1"/>
  <c r="S453" i="1"/>
  <c r="R453" i="1"/>
  <c r="Q453" i="1"/>
  <c r="F453" i="1"/>
  <c r="E453" i="1"/>
  <c r="D453" i="1"/>
  <c r="C453" i="1"/>
  <c r="CJ452" i="1"/>
  <c r="CI452" i="1" a="1"/>
  <c r="CI452" i="1"/>
  <c r="CH452" i="1" a="1"/>
  <c r="CH452" i="1"/>
  <c r="CG452" i="1"/>
  <c r="CF452" i="1"/>
  <c r="CE452" i="1" a="1"/>
  <c r="CE452" i="1"/>
  <c r="CD452" i="1" a="1"/>
  <c r="CD452" i="1"/>
  <c r="CC452" i="1"/>
  <c r="CB452" i="1"/>
  <c r="CA452" i="1" a="1"/>
  <c r="CA452" i="1"/>
  <c r="BZ452" i="1" a="1"/>
  <c r="BZ452" i="1"/>
  <c r="BY452" i="1"/>
  <c r="BX452" i="1"/>
  <c r="BW452" i="1" a="1"/>
  <c r="BW452" i="1"/>
  <c r="BV452" i="1"/>
  <c r="BU452" i="1"/>
  <c r="BT452" i="1"/>
  <c r="BS452" i="1" a="1"/>
  <c r="BS452" i="1"/>
  <c r="BR452" i="1"/>
  <c r="BQ452" i="1"/>
  <c r="BP452" i="1"/>
  <c r="BO452" i="1" a="1"/>
  <c r="BO452" i="1"/>
  <c r="BN452" i="1"/>
  <c r="BM452" i="1"/>
  <c r="BL452" i="1"/>
  <c r="BK452" i="1"/>
  <c r="BJ452" i="1"/>
  <c r="U452" i="1"/>
  <c r="T452" i="1"/>
  <c r="S452" i="1"/>
  <c r="R452" i="1"/>
  <c r="Q452" i="1"/>
  <c r="F452" i="1"/>
  <c r="E452" i="1"/>
  <c r="D452" i="1"/>
  <c r="C452" i="1"/>
  <c r="CJ451" i="1"/>
  <c r="CI451" i="1" a="1"/>
  <c r="CI451" i="1"/>
  <c r="CH451" i="1" a="1"/>
  <c r="CH451" i="1"/>
  <c r="CG451" i="1"/>
  <c r="CF451" i="1"/>
  <c r="CE451" i="1" a="1"/>
  <c r="CE451" i="1"/>
  <c r="CD451" i="1" a="1"/>
  <c r="CD451" i="1"/>
  <c r="CC451" i="1"/>
  <c r="CB451" i="1"/>
  <c r="CA451" i="1" a="1"/>
  <c r="CA451" i="1"/>
  <c r="BZ451" i="1" a="1"/>
  <c r="BZ451" i="1"/>
  <c r="BY451" i="1"/>
  <c r="BX451" i="1"/>
  <c r="BW451" i="1" a="1"/>
  <c r="BW451" i="1"/>
  <c r="BV451" i="1"/>
  <c r="BU451" i="1"/>
  <c r="BT451" i="1"/>
  <c r="BS451" i="1" a="1"/>
  <c r="BS451" i="1"/>
  <c r="BR451" i="1"/>
  <c r="BQ451" i="1"/>
  <c r="BP451" i="1"/>
  <c r="BO451" i="1" a="1"/>
  <c r="BO451" i="1"/>
  <c r="BN451" i="1"/>
  <c r="BM451" i="1"/>
  <c r="BL451" i="1"/>
  <c r="BK451" i="1"/>
  <c r="BJ451" i="1"/>
  <c r="U451" i="1"/>
  <c r="T451" i="1"/>
  <c r="S451" i="1"/>
  <c r="R451" i="1"/>
  <c r="Q451" i="1"/>
  <c r="F451" i="1"/>
  <c r="E451" i="1"/>
  <c r="D451" i="1"/>
  <c r="C451" i="1"/>
  <c r="CJ450" i="1"/>
  <c r="CI450" i="1" a="1"/>
  <c r="CI450" i="1"/>
  <c r="CH450" i="1" a="1"/>
  <c r="CH450" i="1"/>
  <c r="CG450" i="1"/>
  <c r="CF450" i="1"/>
  <c r="CE450" i="1" a="1"/>
  <c r="CE450" i="1"/>
  <c r="CD450" i="1" a="1"/>
  <c r="CD450" i="1"/>
  <c r="CC450" i="1"/>
  <c r="CB450" i="1"/>
  <c r="CA450" i="1" a="1"/>
  <c r="CA450" i="1"/>
  <c r="BZ450" i="1" a="1"/>
  <c r="BZ450" i="1"/>
  <c r="BY450" i="1"/>
  <c r="BX450" i="1"/>
  <c r="BW450" i="1" a="1"/>
  <c r="BW450" i="1"/>
  <c r="BV450" i="1"/>
  <c r="BU450" i="1"/>
  <c r="BT450" i="1"/>
  <c r="BS450" i="1" a="1"/>
  <c r="BS450" i="1"/>
  <c r="BR450" i="1"/>
  <c r="BQ450" i="1"/>
  <c r="BP450" i="1"/>
  <c r="BO450" i="1" a="1"/>
  <c r="BO450" i="1"/>
  <c r="BN450" i="1"/>
  <c r="BM450" i="1"/>
  <c r="BL450" i="1"/>
  <c r="BK450" i="1"/>
  <c r="BJ450" i="1"/>
  <c r="U450" i="1"/>
  <c r="T450" i="1"/>
  <c r="S450" i="1"/>
  <c r="R450" i="1"/>
  <c r="Q450" i="1"/>
  <c r="F450" i="1"/>
  <c r="E450" i="1"/>
  <c r="D450" i="1"/>
  <c r="C450" i="1"/>
  <c r="CJ449" i="1"/>
  <c r="CI449" i="1" a="1"/>
  <c r="CI449" i="1"/>
  <c r="CH449" i="1" a="1"/>
  <c r="CH449" i="1"/>
  <c r="CG449" i="1"/>
  <c r="CF449" i="1"/>
  <c r="CE449" i="1" a="1"/>
  <c r="CE449" i="1"/>
  <c r="CD449" i="1" a="1"/>
  <c r="CD449" i="1"/>
  <c r="CC449" i="1"/>
  <c r="CB449" i="1"/>
  <c r="CA449" i="1" a="1"/>
  <c r="CA449" i="1"/>
  <c r="BZ449" i="1" a="1"/>
  <c r="BZ449" i="1"/>
  <c r="BY449" i="1"/>
  <c r="BX449" i="1"/>
  <c r="BW449" i="1" a="1"/>
  <c r="BW449" i="1"/>
  <c r="BV449" i="1"/>
  <c r="BU449" i="1"/>
  <c r="BT449" i="1"/>
  <c r="BS449" i="1" a="1"/>
  <c r="BS449" i="1"/>
  <c r="BR449" i="1"/>
  <c r="BQ449" i="1"/>
  <c r="BP449" i="1"/>
  <c r="BO449" i="1" a="1"/>
  <c r="BO449" i="1"/>
  <c r="BN449" i="1"/>
  <c r="BM449" i="1"/>
  <c r="BL449" i="1"/>
  <c r="BK449" i="1"/>
  <c r="BJ449" i="1"/>
  <c r="U449" i="1"/>
  <c r="T449" i="1"/>
  <c r="S449" i="1"/>
  <c r="R449" i="1"/>
  <c r="Q449" i="1"/>
  <c r="F449" i="1"/>
  <c r="E449" i="1"/>
  <c r="D449" i="1"/>
  <c r="C449" i="1"/>
  <c r="CJ448" i="1"/>
  <c r="CI448" i="1" a="1"/>
  <c r="CI448" i="1"/>
  <c r="CH448" i="1" a="1"/>
  <c r="CH448" i="1"/>
  <c r="CG448" i="1"/>
  <c r="CF448" i="1"/>
  <c r="CE448" i="1" a="1"/>
  <c r="CE448" i="1"/>
  <c r="CD448" i="1" a="1"/>
  <c r="CD448" i="1"/>
  <c r="CC448" i="1"/>
  <c r="CB448" i="1"/>
  <c r="CA448" i="1" a="1"/>
  <c r="CA448" i="1"/>
  <c r="BZ448" i="1" a="1"/>
  <c r="BZ448" i="1"/>
  <c r="BY448" i="1"/>
  <c r="BX448" i="1"/>
  <c r="BW448" i="1" a="1"/>
  <c r="BW448" i="1"/>
  <c r="BV448" i="1"/>
  <c r="BU448" i="1"/>
  <c r="BT448" i="1"/>
  <c r="BS448" i="1" a="1"/>
  <c r="BS448" i="1"/>
  <c r="BR448" i="1"/>
  <c r="BQ448" i="1"/>
  <c r="BP448" i="1"/>
  <c r="BO448" i="1" a="1"/>
  <c r="BO448" i="1"/>
  <c r="BN448" i="1"/>
  <c r="BM448" i="1"/>
  <c r="BL448" i="1"/>
  <c r="BK448" i="1"/>
  <c r="BJ448" i="1"/>
  <c r="U448" i="1"/>
  <c r="T448" i="1"/>
  <c r="S448" i="1"/>
  <c r="R448" i="1"/>
  <c r="Q448" i="1"/>
  <c r="F448" i="1"/>
  <c r="E448" i="1"/>
  <c r="D448" i="1"/>
  <c r="C448" i="1"/>
  <c r="CJ447" i="1"/>
  <c r="CI447" i="1" a="1"/>
  <c r="CI447" i="1"/>
  <c r="CH447" i="1" a="1"/>
  <c r="CH447" i="1"/>
  <c r="CG447" i="1"/>
  <c r="CF447" i="1"/>
  <c r="CE447" i="1" a="1"/>
  <c r="CE447" i="1"/>
  <c r="CD447" i="1" a="1"/>
  <c r="CD447" i="1"/>
  <c r="CC447" i="1"/>
  <c r="CB447" i="1"/>
  <c r="CA447" i="1" a="1"/>
  <c r="CA447" i="1"/>
  <c r="BZ447" i="1" a="1"/>
  <c r="BZ447" i="1"/>
  <c r="BY447" i="1"/>
  <c r="BX447" i="1"/>
  <c r="BW447" i="1" a="1"/>
  <c r="BW447" i="1"/>
  <c r="BV447" i="1"/>
  <c r="BU447" i="1"/>
  <c r="BT447" i="1"/>
  <c r="BS447" i="1" a="1"/>
  <c r="BS447" i="1"/>
  <c r="BR447" i="1"/>
  <c r="BQ447" i="1"/>
  <c r="BP447" i="1"/>
  <c r="BO447" i="1" a="1"/>
  <c r="BO447" i="1"/>
  <c r="BN447" i="1"/>
  <c r="BM447" i="1"/>
  <c r="BL447" i="1"/>
  <c r="BK447" i="1"/>
  <c r="BJ447" i="1"/>
  <c r="U447" i="1"/>
  <c r="T447" i="1"/>
  <c r="S447" i="1"/>
  <c r="R447" i="1"/>
  <c r="Q447" i="1"/>
  <c r="F447" i="1"/>
  <c r="E447" i="1"/>
  <c r="D447" i="1"/>
  <c r="C447" i="1"/>
  <c r="CJ446" i="1"/>
  <c r="CI446" i="1" a="1"/>
  <c r="CI446" i="1"/>
  <c r="CH446" i="1" a="1"/>
  <c r="CH446" i="1"/>
  <c r="CG446" i="1"/>
  <c r="CF446" i="1"/>
  <c r="CE446" i="1" a="1"/>
  <c r="CE446" i="1"/>
  <c r="CD446" i="1" a="1"/>
  <c r="CD446" i="1"/>
  <c r="CC446" i="1"/>
  <c r="CB446" i="1"/>
  <c r="CA446" i="1" a="1"/>
  <c r="CA446" i="1"/>
  <c r="BZ446" i="1" a="1"/>
  <c r="BZ446" i="1"/>
  <c r="BY446" i="1"/>
  <c r="BX446" i="1"/>
  <c r="BW446" i="1" a="1"/>
  <c r="BW446" i="1"/>
  <c r="BV446" i="1"/>
  <c r="BU446" i="1"/>
  <c r="BT446" i="1"/>
  <c r="BS446" i="1" a="1"/>
  <c r="BS446" i="1"/>
  <c r="BR446" i="1"/>
  <c r="BQ446" i="1"/>
  <c r="BP446" i="1"/>
  <c r="BO446" i="1" a="1"/>
  <c r="BO446" i="1"/>
  <c r="BN446" i="1"/>
  <c r="BM446" i="1"/>
  <c r="BL446" i="1"/>
  <c r="BK446" i="1"/>
  <c r="BJ446" i="1"/>
  <c r="U446" i="1"/>
  <c r="T446" i="1"/>
  <c r="S446" i="1"/>
  <c r="R446" i="1"/>
  <c r="Q446" i="1"/>
  <c r="F446" i="1"/>
  <c r="E446" i="1"/>
  <c r="D446" i="1"/>
  <c r="C446" i="1"/>
  <c r="CJ445" i="1"/>
  <c r="CI445" i="1" a="1"/>
  <c r="CI445" i="1"/>
  <c r="CH445" i="1" a="1"/>
  <c r="CH445" i="1"/>
  <c r="CG445" i="1"/>
  <c r="CF445" i="1"/>
  <c r="CE445" i="1" a="1"/>
  <c r="CE445" i="1"/>
  <c r="CD445" i="1" a="1"/>
  <c r="CD445" i="1"/>
  <c r="CC445" i="1"/>
  <c r="CB445" i="1"/>
  <c r="CA445" i="1" a="1"/>
  <c r="CA445" i="1"/>
  <c r="BZ445" i="1" a="1"/>
  <c r="BZ445" i="1"/>
  <c r="BY445" i="1"/>
  <c r="BX445" i="1"/>
  <c r="BW445" i="1" a="1"/>
  <c r="BW445" i="1"/>
  <c r="BV445" i="1"/>
  <c r="BU445" i="1"/>
  <c r="BT445" i="1"/>
  <c r="BS445" i="1" a="1"/>
  <c r="BS445" i="1"/>
  <c r="BR445" i="1"/>
  <c r="BQ445" i="1"/>
  <c r="BP445" i="1"/>
  <c r="BO445" i="1" a="1"/>
  <c r="BO445" i="1"/>
  <c r="BN445" i="1"/>
  <c r="BM445" i="1"/>
  <c r="BL445" i="1"/>
  <c r="BK445" i="1"/>
  <c r="BJ445" i="1"/>
  <c r="U445" i="1"/>
  <c r="T445" i="1"/>
  <c r="S445" i="1"/>
  <c r="R445" i="1"/>
  <c r="Q445" i="1"/>
  <c r="F445" i="1"/>
  <c r="E445" i="1"/>
  <c r="D445" i="1"/>
  <c r="C445" i="1"/>
  <c r="CJ444" i="1"/>
  <c r="CI444" i="1" a="1"/>
  <c r="CI444" i="1"/>
  <c r="CH444" i="1" a="1"/>
  <c r="CH444" i="1"/>
  <c r="CG444" i="1"/>
  <c r="CF444" i="1"/>
  <c r="CE444" i="1" a="1"/>
  <c r="CE444" i="1"/>
  <c r="CD444" i="1" a="1"/>
  <c r="CD444" i="1"/>
  <c r="CC444" i="1"/>
  <c r="CB444" i="1"/>
  <c r="CA444" i="1" a="1"/>
  <c r="CA444" i="1"/>
  <c r="BZ444" i="1" a="1"/>
  <c r="BZ444" i="1"/>
  <c r="BY444" i="1"/>
  <c r="BX444" i="1"/>
  <c r="BW444" i="1" a="1"/>
  <c r="BW444" i="1"/>
  <c r="BV444" i="1"/>
  <c r="BU444" i="1"/>
  <c r="BT444" i="1"/>
  <c r="BS444" i="1" a="1"/>
  <c r="BS444" i="1"/>
  <c r="BR444" i="1"/>
  <c r="BQ444" i="1"/>
  <c r="BP444" i="1"/>
  <c r="BO444" i="1" a="1"/>
  <c r="BO444" i="1"/>
  <c r="BN444" i="1"/>
  <c r="BM444" i="1"/>
  <c r="BL444" i="1"/>
  <c r="BK444" i="1"/>
  <c r="BJ444" i="1"/>
  <c r="U444" i="1"/>
  <c r="T444" i="1"/>
  <c r="S444" i="1"/>
  <c r="R444" i="1"/>
  <c r="Q444" i="1"/>
  <c r="F444" i="1"/>
  <c r="E444" i="1"/>
  <c r="D444" i="1"/>
  <c r="C444" i="1"/>
  <c r="CJ443" i="1"/>
  <c r="CI443" i="1" a="1"/>
  <c r="CI443" i="1"/>
  <c r="CH443" i="1" a="1"/>
  <c r="CH443" i="1"/>
  <c r="CG443" i="1"/>
  <c r="CF443" i="1"/>
  <c r="CE443" i="1" a="1"/>
  <c r="CE443" i="1"/>
  <c r="CD443" i="1" a="1"/>
  <c r="CD443" i="1"/>
  <c r="CC443" i="1"/>
  <c r="CB443" i="1"/>
  <c r="CA443" i="1" a="1"/>
  <c r="CA443" i="1"/>
  <c r="BZ443" i="1" a="1"/>
  <c r="BZ443" i="1"/>
  <c r="BY443" i="1"/>
  <c r="BX443" i="1"/>
  <c r="BW443" i="1" a="1"/>
  <c r="BW443" i="1"/>
  <c r="BV443" i="1"/>
  <c r="BU443" i="1"/>
  <c r="BT443" i="1"/>
  <c r="BS443" i="1" a="1"/>
  <c r="BS443" i="1"/>
  <c r="BR443" i="1"/>
  <c r="BQ443" i="1"/>
  <c r="BP443" i="1"/>
  <c r="BO443" i="1" a="1"/>
  <c r="BO443" i="1"/>
  <c r="BN443" i="1"/>
  <c r="BM443" i="1"/>
  <c r="BL443" i="1"/>
  <c r="BK443" i="1"/>
  <c r="BJ443" i="1"/>
  <c r="U443" i="1"/>
  <c r="T443" i="1"/>
  <c r="S443" i="1"/>
  <c r="R443" i="1"/>
  <c r="Q443" i="1"/>
  <c r="F443" i="1"/>
  <c r="E443" i="1"/>
  <c r="D443" i="1"/>
  <c r="C443" i="1"/>
  <c r="CJ442" i="1"/>
  <c r="CI442" i="1" a="1"/>
  <c r="CI442" i="1"/>
  <c r="CH442" i="1" a="1"/>
  <c r="CH442" i="1"/>
  <c r="CG442" i="1"/>
  <c r="CF442" i="1"/>
  <c r="CE442" i="1" a="1"/>
  <c r="CE442" i="1"/>
  <c r="CD442" i="1" a="1"/>
  <c r="CD442" i="1"/>
  <c r="CC442" i="1"/>
  <c r="CB442" i="1"/>
  <c r="CA442" i="1" a="1"/>
  <c r="CA442" i="1"/>
  <c r="BZ442" i="1" a="1"/>
  <c r="BZ442" i="1"/>
  <c r="BY442" i="1"/>
  <c r="BX442" i="1"/>
  <c r="BW442" i="1" a="1"/>
  <c r="BW442" i="1"/>
  <c r="BV442" i="1"/>
  <c r="BU442" i="1"/>
  <c r="BT442" i="1"/>
  <c r="BS442" i="1" a="1"/>
  <c r="BS442" i="1"/>
  <c r="BR442" i="1"/>
  <c r="BQ442" i="1"/>
  <c r="BP442" i="1"/>
  <c r="BO442" i="1" a="1"/>
  <c r="BO442" i="1"/>
  <c r="BN442" i="1"/>
  <c r="BM442" i="1"/>
  <c r="BL442" i="1"/>
  <c r="BK442" i="1"/>
  <c r="BJ442" i="1"/>
  <c r="U442" i="1"/>
  <c r="T442" i="1"/>
  <c r="S442" i="1"/>
  <c r="R442" i="1"/>
  <c r="Q442" i="1"/>
  <c r="F442" i="1"/>
  <c r="E442" i="1"/>
  <c r="D442" i="1"/>
  <c r="C442" i="1"/>
  <c r="CJ441" i="1"/>
  <c r="CI441" i="1" a="1"/>
  <c r="CI441" i="1"/>
  <c r="CH441" i="1" a="1"/>
  <c r="CH441" i="1"/>
  <c r="CG441" i="1"/>
  <c r="CF441" i="1"/>
  <c r="CE441" i="1" a="1"/>
  <c r="CE441" i="1"/>
  <c r="CD441" i="1" a="1"/>
  <c r="CD441" i="1"/>
  <c r="CC441" i="1"/>
  <c r="CB441" i="1"/>
  <c r="CA441" i="1" a="1"/>
  <c r="CA441" i="1"/>
  <c r="BZ441" i="1" a="1"/>
  <c r="BZ441" i="1"/>
  <c r="BY441" i="1"/>
  <c r="BX441" i="1"/>
  <c r="BW441" i="1" a="1"/>
  <c r="BW441" i="1"/>
  <c r="BV441" i="1"/>
  <c r="BU441" i="1"/>
  <c r="BT441" i="1"/>
  <c r="BS441" i="1" a="1"/>
  <c r="BS441" i="1"/>
  <c r="BR441" i="1"/>
  <c r="BQ441" i="1"/>
  <c r="BP441" i="1"/>
  <c r="BO441" i="1" a="1"/>
  <c r="BO441" i="1"/>
  <c r="BN441" i="1"/>
  <c r="BM441" i="1"/>
  <c r="BL441" i="1"/>
  <c r="BK441" i="1"/>
  <c r="BJ441" i="1"/>
  <c r="U441" i="1"/>
  <c r="T441" i="1"/>
  <c r="S441" i="1"/>
  <c r="R441" i="1"/>
  <c r="Q441" i="1"/>
  <c r="F441" i="1"/>
  <c r="E441" i="1"/>
  <c r="D441" i="1"/>
  <c r="C441" i="1"/>
  <c r="CJ440" i="1"/>
  <c r="CI440" i="1" a="1"/>
  <c r="CI440" i="1"/>
  <c r="CH440" i="1" a="1"/>
  <c r="CH440" i="1"/>
  <c r="CG440" i="1"/>
  <c r="CF440" i="1"/>
  <c r="CE440" i="1" a="1"/>
  <c r="CE440" i="1"/>
  <c r="CD440" i="1" a="1"/>
  <c r="CD440" i="1"/>
  <c r="CC440" i="1"/>
  <c r="CB440" i="1"/>
  <c r="CA440" i="1" a="1"/>
  <c r="CA440" i="1"/>
  <c r="BZ440" i="1" a="1"/>
  <c r="BZ440" i="1"/>
  <c r="BY440" i="1"/>
  <c r="BX440" i="1"/>
  <c r="BW440" i="1" a="1"/>
  <c r="BW440" i="1"/>
  <c r="BV440" i="1"/>
  <c r="BU440" i="1"/>
  <c r="BT440" i="1"/>
  <c r="BS440" i="1" a="1"/>
  <c r="BS440" i="1"/>
  <c r="BR440" i="1"/>
  <c r="BQ440" i="1"/>
  <c r="BP440" i="1"/>
  <c r="BO440" i="1" a="1"/>
  <c r="BO440" i="1"/>
  <c r="BN440" i="1"/>
  <c r="BM440" i="1"/>
  <c r="BL440" i="1"/>
  <c r="BK440" i="1"/>
  <c r="BJ440" i="1"/>
  <c r="U440" i="1"/>
  <c r="T440" i="1"/>
  <c r="S440" i="1"/>
  <c r="R440" i="1"/>
  <c r="Q440" i="1"/>
  <c r="F440" i="1"/>
  <c r="E440" i="1"/>
  <c r="D440" i="1"/>
  <c r="C440" i="1"/>
  <c r="CJ439" i="1"/>
  <c r="CI439" i="1" a="1"/>
  <c r="CI439" i="1"/>
  <c r="CH439" i="1" a="1"/>
  <c r="CH439" i="1"/>
  <c r="CG439" i="1"/>
  <c r="CF439" i="1"/>
  <c r="CE439" i="1" a="1"/>
  <c r="CE439" i="1"/>
  <c r="CD439" i="1" a="1"/>
  <c r="CD439" i="1"/>
  <c r="CC439" i="1"/>
  <c r="CB439" i="1"/>
  <c r="CA439" i="1" a="1"/>
  <c r="CA439" i="1"/>
  <c r="BZ439" i="1" a="1"/>
  <c r="BZ439" i="1"/>
  <c r="BY439" i="1"/>
  <c r="BX439" i="1"/>
  <c r="BW439" i="1" a="1"/>
  <c r="BW439" i="1"/>
  <c r="BV439" i="1"/>
  <c r="BU439" i="1"/>
  <c r="BT439" i="1"/>
  <c r="BS439" i="1" a="1"/>
  <c r="BS439" i="1"/>
  <c r="BR439" i="1"/>
  <c r="BQ439" i="1"/>
  <c r="BP439" i="1"/>
  <c r="BO439" i="1" a="1"/>
  <c r="BO439" i="1"/>
  <c r="BN439" i="1"/>
  <c r="BM439" i="1"/>
  <c r="BL439" i="1"/>
  <c r="BK439" i="1"/>
  <c r="BJ439" i="1"/>
  <c r="U439" i="1"/>
  <c r="T439" i="1"/>
  <c r="S439" i="1"/>
  <c r="R439" i="1"/>
  <c r="Q439" i="1"/>
  <c r="F439" i="1"/>
  <c r="E439" i="1"/>
  <c r="D439" i="1"/>
  <c r="C439" i="1"/>
  <c r="CJ438" i="1"/>
  <c r="CI438" i="1" a="1"/>
  <c r="CI438" i="1"/>
  <c r="CH438" i="1" a="1"/>
  <c r="CH438" i="1"/>
  <c r="CG438" i="1"/>
  <c r="CF438" i="1"/>
  <c r="CE438" i="1" a="1"/>
  <c r="CE438" i="1"/>
  <c r="CD438" i="1" a="1"/>
  <c r="CD438" i="1"/>
  <c r="CC438" i="1"/>
  <c r="CB438" i="1"/>
  <c r="CA438" i="1" a="1"/>
  <c r="CA438" i="1"/>
  <c r="BZ438" i="1" a="1"/>
  <c r="BZ438" i="1"/>
  <c r="BY438" i="1"/>
  <c r="BX438" i="1"/>
  <c r="BW438" i="1" a="1"/>
  <c r="BW438" i="1"/>
  <c r="BV438" i="1"/>
  <c r="BU438" i="1"/>
  <c r="BT438" i="1"/>
  <c r="BS438" i="1" a="1"/>
  <c r="BS438" i="1"/>
  <c r="BR438" i="1"/>
  <c r="BQ438" i="1"/>
  <c r="BP438" i="1"/>
  <c r="BO438" i="1" a="1"/>
  <c r="BO438" i="1"/>
  <c r="BN438" i="1"/>
  <c r="BM438" i="1"/>
  <c r="BL438" i="1"/>
  <c r="BK438" i="1"/>
  <c r="BJ438" i="1"/>
  <c r="U438" i="1"/>
  <c r="T438" i="1"/>
  <c r="S438" i="1"/>
  <c r="R438" i="1"/>
  <c r="Q438" i="1"/>
  <c r="F438" i="1"/>
  <c r="E438" i="1"/>
  <c r="D438" i="1"/>
  <c r="C438" i="1"/>
  <c r="CJ437" i="1"/>
  <c r="CI437" i="1" a="1"/>
  <c r="CI437" i="1"/>
  <c r="CH437" i="1" a="1"/>
  <c r="CH437" i="1"/>
  <c r="CG437" i="1"/>
  <c r="CF437" i="1"/>
  <c r="CE437" i="1" a="1"/>
  <c r="CE437" i="1"/>
  <c r="CD437" i="1" a="1"/>
  <c r="CD437" i="1"/>
  <c r="CC437" i="1"/>
  <c r="CB437" i="1"/>
  <c r="CA437" i="1" a="1"/>
  <c r="CA437" i="1"/>
  <c r="BZ437" i="1" a="1"/>
  <c r="BZ437" i="1"/>
  <c r="BY437" i="1"/>
  <c r="BX437" i="1"/>
  <c r="BW437" i="1" a="1"/>
  <c r="BW437" i="1"/>
  <c r="BV437" i="1"/>
  <c r="BU437" i="1"/>
  <c r="BT437" i="1"/>
  <c r="BS437" i="1" a="1"/>
  <c r="BS437" i="1"/>
  <c r="BR437" i="1"/>
  <c r="BQ437" i="1"/>
  <c r="BP437" i="1"/>
  <c r="BO437" i="1" a="1"/>
  <c r="BO437" i="1"/>
  <c r="BN437" i="1"/>
  <c r="BM437" i="1"/>
  <c r="BL437" i="1"/>
  <c r="BK437" i="1"/>
  <c r="BJ437" i="1"/>
  <c r="U437" i="1"/>
  <c r="T437" i="1"/>
  <c r="S437" i="1"/>
  <c r="R437" i="1"/>
  <c r="Q437" i="1"/>
  <c r="F437" i="1"/>
  <c r="E437" i="1"/>
  <c r="D437" i="1"/>
  <c r="C437" i="1"/>
  <c r="CJ436" i="1"/>
  <c r="CI436" i="1" a="1"/>
  <c r="CI436" i="1"/>
  <c r="CH436" i="1" a="1"/>
  <c r="CH436" i="1"/>
  <c r="CG436" i="1"/>
  <c r="CF436" i="1"/>
  <c r="CE436" i="1" a="1"/>
  <c r="CE436" i="1"/>
  <c r="CD436" i="1" a="1"/>
  <c r="CD436" i="1"/>
  <c r="CC436" i="1"/>
  <c r="CB436" i="1"/>
  <c r="CA436" i="1" a="1"/>
  <c r="CA436" i="1"/>
  <c r="BZ436" i="1" a="1"/>
  <c r="BZ436" i="1"/>
  <c r="BY436" i="1"/>
  <c r="BX436" i="1"/>
  <c r="BW436" i="1" a="1"/>
  <c r="BW436" i="1"/>
  <c r="BV436" i="1"/>
  <c r="BU436" i="1"/>
  <c r="BT436" i="1"/>
  <c r="BS436" i="1" a="1"/>
  <c r="BS436" i="1"/>
  <c r="BR436" i="1"/>
  <c r="BQ436" i="1"/>
  <c r="BP436" i="1"/>
  <c r="BO436" i="1" a="1"/>
  <c r="BO436" i="1"/>
  <c r="BN436" i="1"/>
  <c r="BM436" i="1"/>
  <c r="BL436" i="1"/>
  <c r="BK436" i="1"/>
  <c r="BJ436" i="1"/>
  <c r="U436" i="1"/>
  <c r="T436" i="1"/>
  <c r="S436" i="1"/>
  <c r="R436" i="1"/>
  <c r="Q436" i="1"/>
  <c r="F436" i="1"/>
  <c r="E436" i="1"/>
  <c r="D436" i="1"/>
  <c r="C436" i="1"/>
  <c r="CJ435" i="1"/>
  <c r="CI435" i="1" a="1"/>
  <c r="CI435" i="1"/>
  <c r="CH435" i="1" a="1"/>
  <c r="CH435" i="1"/>
  <c r="CG435" i="1"/>
  <c r="CF435" i="1"/>
  <c r="CE435" i="1" a="1"/>
  <c r="CE435" i="1"/>
  <c r="CD435" i="1" a="1"/>
  <c r="CD435" i="1"/>
  <c r="CC435" i="1"/>
  <c r="CB435" i="1"/>
  <c r="CA435" i="1" a="1"/>
  <c r="CA435" i="1"/>
  <c r="BZ435" i="1" a="1"/>
  <c r="BZ435" i="1"/>
  <c r="BY435" i="1"/>
  <c r="BX435" i="1"/>
  <c r="BW435" i="1" a="1"/>
  <c r="BW435" i="1"/>
  <c r="BV435" i="1"/>
  <c r="BU435" i="1"/>
  <c r="BT435" i="1"/>
  <c r="BS435" i="1" a="1"/>
  <c r="BS435" i="1"/>
  <c r="BR435" i="1"/>
  <c r="BQ435" i="1"/>
  <c r="BP435" i="1"/>
  <c r="BO435" i="1" a="1"/>
  <c r="BO435" i="1"/>
  <c r="BN435" i="1"/>
  <c r="BM435" i="1"/>
  <c r="BL435" i="1"/>
  <c r="BK435" i="1"/>
  <c r="BJ435" i="1"/>
  <c r="U435" i="1"/>
  <c r="T435" i="1"/>
  <c r="S435" i="1"/>
  <c r="R435" i="1"/>
  <c r="Q435" i="1"/>
  <c r="F435" i="1"/>
  <c r="E435" i="1"/>
  <c r="D435" i="1"/>
  <c r="C435" i="1"/>
  <c r="CJ434" i="1"/>
  <c r="CI434" i="1" a="1"/>
  <c r="CI434" i="1"/>
  <c r="CH434" i="1" a="1"/>
  <c r="CH434" i="1"/>
  <c r="CG434" i="1"/>
  <c r="CF434" i="1"/>
  <c r="CE434" i="1" a="1"/>
  <c r="CE434" i="1"/>
  <c r="CD434" i="1" a="1"/>
  <c r="CD434" i="1"/>
  <c r="CC434" i="1"/>
  <c r="CB434" i="1"/>
  <c r="CA434" i="1" a="1"/>
  <c r="CA434" i="1"/>
  <c r="BZ434" i="1" a="1"/>
  <c r="BZ434" i="1"/>
  <c r="BY434" i="1"/>
  <c r="BX434" i="1"/>
  <c r="BW434" i="1" a="1"/>
  <c r="BW434" i="1"/>
  <c r="BV434" i="1"/>
  <c r="BU434" i="1"/>
  <c r="BT434" i="1"/>
  <c r="BS434" i="1" a="1"/>
  <c r="BS434" i="1"/>
  <c r="BR434" i="1"/>
  <c r="BQ434" i="1"/>
  <c r="BP434" i="1"/>
  <c r="BO434" i="1" a="1"/>
  <c r="BO434" i="1"/>
  <c r="BN434" i="1"/>
  <c r="BM434" i="1"/>
  <c r="BL434" i="1"/>
  <c r="BK434" i="1"/>
  <c r="BJ434" i="1"/>
  <c r="U434" i="1"/>
  <c r="T434" i="1"/>
  <c r="S434" i="1"/>
  <c r="R434" i="1"/>
  <c r="Q434" i="1"/>
  <c r="F434" i="1"/>
  <c r="E434" i="1"/>
  <c r="D434" i="1"/>
  <c r="C434" i="1"/>
  <c r="CJ433" i="1"/>
  <c r="CI433" i="1" a="1"/>
  <c r="CI433" i="1"/>
  <c r="CH433" i="1" a="1"/>
  <c r="CH433" i="1"/>
  <c r="CG433" i="1"/>
  <c r="CF433" i="1"/>
  <c r="CE433" i="1" a="1"/>
  <c r="CE433" i="1"/>
  <c r="CD433" i="1" a="1"/>
  <c r="CD433" i="1"/>
  <c r="CC433" i="1"/>
  <c r="CB433" i="1"/>
  <c r="CA433" i="1" a="1"/>
  <c r="CA433" i="1"/>
  <c r="BZ433" i="1" a="1"/>
  <c r="BZ433" i="1"/>
  <c r="BY433" i="1"/>
  <c r="BX433" i="1"/>
  <c r="BW433" i="1" a="1"/>
  <c r="BW433" i="1"/>
  <c r="BV433" i="1"/>
  <c r="BU433" i="1"/>
  <c r="BT433" i="1"/>
  <c r="BS433" i="1" a="1"/>
  <c r="BS433" i="1"/>
  <c r="BR433" i="1"/>
  <c r="BQ433" i="1"/>
  <c r="BP433" i="1"/>
  <c r="BO433" i="1" a="1"/>
  <c r="BO433" i="1"/>
  <c r="BN433" i="1"/>
  <c r="BM433" i="1"/>
  <c r="BL433" i="1"/>
  <c r="BK433" i="1"/>
  <c r="BJ433" i="1"/>
  <c r="U433" i="1"/>
  <c r="T433" i="1"/>
  <c r="S433" i="1"/>
  <c r="R433" i="1"/>
  <c r="Q433" i="1"/>
  <c r="F433" i="1"/>
  <c r="E433" i="1"/>
  <c r="D433" i="1"/>
  <c r="C433" i="1"/>
  <c r="CJ432" i="1"/>
  <c r="CI432" i="1" a="1"/>
  <c r="CI432" i="1"/>
  <c r="CH432" i="1" a="1"/>
  <c r="CH432" i="1"/>
  <c r="CG432" i="1"/>
  <c r="CF432" i="1"/>
  <c r="CE432" i="1" a="1"/>
  <c r="CE432" i="1"/>
  <c r="CD432" i="1" a="1"/>
  <c r="CD432" i="1"/>
  <c r="CC432" i="1"/>
  <c r="CB432" i="1"/>
  <c r="CA432" i="1" a="1"/>
  <c r="CA432" i="1"/>
  <c r="BZ432" i="1" a="1"/>
  <c r="BZ432" i="1"/>
  <c r="BY432" i="1"/>
  <c r="BX432" i="1"/>
  <c r="BW432" i="1" a="1"/>
  <c r="BW432" i="1"/>
  <c r="BV432" i="1"/>
  <c r="BU432" i="1"/>
  <c r="BT432" i="1"/>
  <c r="BS432" i="1" a="1"/>
  <c r="BS432" i="1"/>
  <c r="BR432" i="1"/>
  <c r="BQ432" i="1"/>
  <c r="BP432" i="1"/>
  <c r="BO432" i="1" a="1"/>
  <c r="BO432" i="1"/>
  <c r="BN432" i="1"/>
  <c r="BM432" i="1"/>
  <c r="BL432" i="1"/>
  <c r="BK432" i="1"/>
  <c r="BJ432" i="1"/>
  <c r="U432" i="1"/>
  <c r="T432" i="1"/>
  <c r="S432" i="1"/>
  <c r="R432" i="1"/>
  <c r="Q432" i="1"/>
  <c r="F432" i="1"/>
  <c r="E432" i="1"/>
  <c r="D432" i="1"/>
  <c r="C432" i="1"/>
  <c r="CJ431" i="1"/>
  <c r="CI431" i="1" a="1"/>
  <c r="CI431" i="1"/>
  <c r="CH431" i="1" a="1"/>
  <c r="CH431" i="1"/>
  <c r="CG431" i="1"/>
  <c r="CF431" i="1"/>
  <c r="CE431" i="1" a="1"/>
  <c r="CE431" i="1"/>
  <c r="CD431" i="1" a="1"/>
  <c r="CD431" i="1"/>
  <c r="CC431" i="1"/>
  <c r="CB431" i="1"/>
  <c r="CA431" i="1" a="1"/>
  <c r="CA431" i="1"/>
  <c r="BZ431" i="1" a="1"/>
  <c r="BZ431" i="1"/>
  <c r="BY431" i="1"/>
  <c r="BX431" i="1"/>
  <c r="BW431" i="1" a="1"/>
  <c r="BW431" i="1"/>
  <c r="BV431" i="1"/>
  <c r="BU431" i="1"/>
  <c r="BT431" i="1"/>
  <c r="BS431" i="1" a="1"/>
  <c r="BS431" i="1"/>
  <c r="BR431" i="1"/>
  <c r="BQ431" i="1"/>
  <c r="BP431" i="1"/>
  <c r="BO431" i="1" a="1"/>
  <c r="BO431" i="1"/>
  <c r="BN431" i="1"/>
  <c r="BM431" i="1"/>
  <c r="BL431" i="1"/>
  <c r="BK431" i="1"/>
  <c r="BJ431" i="1"/>
  <c r="U431" i="1"/>
  <c r="T431" i="1"/>
  <c r="S431" i="1"/>
  <c r="R431" i="1"/>
  <c r="Q431" i="1"/>
  <c r="F431" i="1"/>
  <c r="E431" i="1"/>
  <c r="D431" i="1"/>
  <c r="C431" i="1"/>
  <c r="CJ430" i="1"/>
  <c r="CI430" i="1" a="1"/>
  <c r="CI430" i="1"/>
  <c r="CH430" i="1" a="1"/>
  <c r="CH430" i="1"/>
  <c r="CG430" i="1"/>
  <c r="CF430" i="1"/>
  <c r="CE430" i="1" a="1"/>
  <c r="CE430" i="1"/>
  <c r="CD430" i="1" a="1"/>
  <c r="CD430" i="1"/>
  <c r="CC430" i="1"/>
  <c r="CB430" i="1"/>
  <c r="CA430" i="1" a="1"/>
  <c r="CA430" i="1"/>
  <c r="BZ430" i="1" a="1"/>
  <c r="BZ430" i="1"/>
  <c r="BY430" i="1"/>
  <c r="BX430" i="1"/>
  <c r="BW430" i="1" a="1"/>
  <c r="BW430" i="1"/>
  <c r="BV430" i="1"/>
  <c r="BU430" i="1"/>
  <c r="BT430" i="1"/>
  <c r="BS430" i="1" a="1"/>
  <c r="BS430" i="1"/>
  <c r="BR430" i="1"/>
  <c r="BQ430" i="1"/>
  <c r="BP430" i="1"/>
  <c r="BO430" i="1" a="1"/>
  <c r="BO430" i="1"/>
  <c r="BN430" i="1"/>
  <c r="BM430" i="1"/>
  <c r="BL430" i="1"/>
  <c r="BK430" i="1"/>
  <c r="BJ430" i="1"/>
  <c r="U430" i="1"/>
  <c r="T430" i="1"/>
  <c r="S430" i="1"/>
  <c r="R430" i="1"/>
  <c r="Q430" i="1"/>
  <c r="F430" i="1"/>
  <c r="E430" i="1"/>
  <c r="D430" i="1"/>
  <c r="C430" i="1"/>
  <c r="CJ429" i="1"/>
  <c r="CI429" i="1" a="1"/>
  <c r="CI429" i="1"/>
  <c r="CH429" i="1" a="1"/>
  <c r="CH429" i="1"/>
  <c r="CG429" i="1"/>
  <c r="CF429" i="1"/>
  <c r="CE429" i="1" a="1"/>
  <c r="CE429" i="1"/>
  <c r="CD429" i="1" a="1"/>
  <c r="CD429" i="1"/>
  <c r="CC429" i="1"/>
  <c r="CB429" i="1"/>
  <c r="CA429" i="1" a="1"/>
  <c r="CA429" i="1"/>
  <c r="BZ429" i="1" a="1"/>
  <c r="BZ429" i="1"/>
  <c r="BY429" i="1"/>
  <c r="BX429" i="1"/>
  <c r="BW429" i="1" a="1"/>
  <c r="BW429" i="1"/>
  <c r="BV429" i="1"/>
  <c r="BU429" i="1"/>
  <c r="BT429" i="1"/>
  <c r="BS429" i="1" a="1"/>
  <c r="BS429" i="1"/>
  <c r="BR429" i="1"/>
  <c r="BQ429" i="1"/>
  <c r="BP429" i="1"/>
  <c r="BO429" i="1" a="1"/>
  <c r="BO429" i="1"/>
  <c r="BN429" i="1"/>
  <c r="BM429" i="1"/>
  <c r="BL429" i="1"/>
  <c r="BK429" i="1"/>
  <c r="BJ429" i="1"/>
  <c r="U429" i="1"/>
  <c r="T429" i="1"/>
  <c r="S429" i="1"/>
  <c r="R429" i="1"/>
  <c r="Q429" i="1"/>
  <c r="F429" i="1"/>
  <c r="E429" i="1"/>
  <c r="D429" i="1"/>
  <c r="C429" i="1"/>
  <c r="CJ428" i="1"/>
  <c r="CI428" i="1" a="1"/>
  <c r="CI428" i="1"/>
  <c r="CH428" i="1" a="1"/>
  <c r="CH428" i="1"/>
  <c r="CG428" i="1"/>
  <c r="CF428" i="1"/>
  <c r="CE428" i="1" a="1"/>
  <c r="CE428" i="1"/>
  <c r="CD428" i="1" a="1"/>
  <c r="CD428" i="1"/>
  <c r="CC428" i="1"/>
  <c r="CB428" i="1"/>
  <c r="CA428" i="1" a="1"/>
  <c r="CA428" i="1"/>
  <c r="BZ428" i="1" a="1"/>
  <c r="BZ428" i="1"/>
  <c r="BY428" i="1"/>
  <c r="BX428" i="1"/>
  <c r="BW428" i="1" a="1"/>
  <c r="BW428" i="1"/>
  <c r="BV428" i="1"/>
  <c r="BU428" i="1"/>
  <c r="BT428" i="1"/>
  <c r="BS428" i="1" a="1"/>
  <c r="BS428" i="1"/>
  <c r="BR428" i="1"/>
  <c r="BQ428" i="1"/>
  <c r="BP428" i="1"/>
  <c r="BO428" i="1" a="1"/>
  <c r="BO428" i="1"/>
  <c r="BN428" i="1"/>
  <c r="BM428" i="1"/>
  <c r="BL428" i="1"/>
  <c r="BK428" i="1"/>
  <c r="BJ428" i="1"/>
  <c r="U428" i="1"/>
  <c r="T428" i="1"/>
  <c r="S428" i="1"/>
  <c r="R428" i="1"/>
  <c r="Q428" i="1"/>
  <c r="F428" i="1"/>
  <c r="E428" i="1"/>
  <c r="D428" i="1"/>
  <c r="C428" i="1"/>
  <c r="CJ427" i="1"/>
  <c r="CI427" i="1" a="1"/>
  <c r="CI427" i="1"/>
  <c r="CH427" i="1" a="1"/>
  <c r="CH427" i="1"/>
  <c r="CG427" i="1"/>
  <c r="CF427" i="1"/>
  <c r="CE427" i="1" a="1"/>
  <c r="CE427" i="1"/>
  <c r="CD427" i="1" a="1"/>
  <c r="CD427" i="1"/>
  <c r="CC427" i="1"/>
  <c r="CB427" i="1"/>
  <c r="CA427" i="1" a="1"/>
  <c r="CA427" i="1"/>
  <c r="BZ427" i="1" a="1"/>
  <c r="BZ427" i="1"/>
  <c r="BY427" i="1"/>
  <c r="BX427" i="1"/>
  <c r="BW427" i="1" a="1"/>
  <c r="BW427" i="1"/>
  <c r="BV427" i="1"/>
  <c r="BU427" i="1"/>
  <c r="BT427" i="1"/>
  <c r="BS427" i="1" a="1"/>
  <c r="BS427" i="1"/>
  <c r="BR427" i="1"/>
  <c r="BQ427" i="1"/>
  <c r="BP427" i="1"/>
  <c r="BO427" i="1" a="1"/>
  <c r="BO427" i="1"/>
  <c r="BN427" i="1"/>
  <c r="BM427" i="1"/>
  <c r="BL427" i="1"/>
  <c r="BK427" i="1"/>
  <c r="BJ427" i="1"/>
  <c r="U427" i="1"/>
  <c r="T427" i="1"/>
  <c r="S427" i="1"/>
  <c r="R427" i="1"/>
  <c r="Q427" i="1"/>
  <c r="F427" i="1"/>
  <c r="E427" i="1"/>
  <c r="D427" i="1"/>
  <c r="C427" i="1"/>
  <c r="CJ426" i="1"/>
  <c r="CI426" i="1" a="1"/>
  <c r="CI426" i="1"/>
  <c r="CH426" i="1" a="1"/>
  <c r="CH426" i="1"/>
  <c r="CG426" i="1"/>
  <c r="CF426" i="1"/>
  <c r="CE426" i="1" a="1"/>
  <c r="CE426" i="1"/>
  <c r="CD426" i="1" a="1"/>
  <c r="CD426" i="1"/>
  <c r="CC426" i="1"/>
  <c r="CB426" i="1"/>
  <c r="CA426" i="1" a="1"/>
  <c r="CA426" i="1"/>
  <c r="BZ426" i="1" a="1"/>
  <c r="BZ426" i="1"/>
  <c r="BY426" i="1"/>
  <c r="BX426" i="1"/>
  <c r="BW426" i="1" a="1"/>
  <c r="BW426" i="1"/>
  <c r="BV426" i="1"/>
  <c r="BU426" i="1"/>
  <c r="BT426" i="1"/>
  <c r="BS426" i="1" a="1"/>
  <c r="BS426" i="1"/>
  <c r="BR426" i="1"/>
  <c r="BQ426" i="1"/>
  <c r="BP426" i="1"/>
  <c r="BO426" i="1" a="1"/>
  <c r="BO426" i="1"/>
  <c r="BN426" i="1"/>
  <c r="BM426" i="1"/>
  <c r="BL426" i="1"/>
  <c r="BK426" i="1"/>
  <c r="BJ426" i="1"/>
  <c r="U426" i="1"/>
  <c r="T426" i="1"/>
  <c r="S426" i="1"/>
  <c r="R426" i="1"/>
  <c r="Q426" i="1"/>
  <c r="F426" i="1"/>
  <c r="E426" i="1"/>
  <c r="D426" i="1"/>
  <c r="C426" i="1"/>
  <c r="CJ425" i="1"/>
  <c r="CI425" i="1" a="1"/>
  <c r="CI425" i="1"/>
  <c r="CH425" i="1" a="1"/>
  <c r="CH425" i="1"/>
  <c r="CG425" i="1"/>
  <c r="CF425" i="1"/>
  <c r="CE425" i="1" a="1"/>
  <c r="CE425" i="1"/>
  <c r="CD425" i="1" a="1"/>
  <c r="CD425" i="1"/>
  <c r="CC425" i="1"/>
  <c r="CB425" i="1"/>
  <c r="CA425" i="1" a="1"/>
  <c r="CA425" i="1"/>
  <c r="BZ425" i="1" a="1"/>
  <c r="BZ425" i="1"/>
  <c r="BY425" i="1"/>
  <c r="BX425" i="1"/>
  <c r="BW425" i="1" a="1"/>
  <c r="BW425" i="1"/>
  <c r="BV425" i="1"/>
  <c r="BU425" i="1"/>
  <c r="BT425" i="1"/>
  <c r="BS425" i="1" a="1"/>
  <c r="BS425" i="1"/>
  <c r="BR425" i="1"/>
  <c r="BQ425" i="1"/>
  <c r="BP425" i="1"/>
  <c r="BO425" i="1" a="1"/>
  <c r="BO425" i="1"/>
  <c r="BN425" i="1"/>
  <c r="BM425" i="1"/>
  <c r="BL425" i="1"/>
  <c r="BK425" i="1"/>
  <c r="BJ425" i="1"/>
  <c r="U425" i="1"/>
  <c r="T425" i="1"/>
  <c r="S425" i="1"/>
  <c r="R425" i="1"/>
  <c r="Q425" i="1"/>
  <c r="F425" i="1"/>
  <c r="E425" i="1"/>
  <c r="D425" i="1"/>
  <c r="C425" i="1"/>
  <c r="CJ424" i="1"/>
  <c r="CI424" i="1" a="1"/>
  <c r="CI424" i="1"/>
  <c r="CH424" i="1" a="1"/>
  <c r="CH424" i="1"/>
  <c r="CG424" i="1"/>
  <c r="CF424" i="1"/>
  <c r="CE424" i="1" a="1"/>
  <c r="CE424" i="1"/>
  <c r="CD424" i="1" a="1"/>
  <c r="CD424" i="1"/>
  <c r="CC424" i="1"/>
  <c r="CB424" i="1"/>
  <c r="CA424" i="1" a="1"/>
  <c r="CA424" i="1"/>
  <c r="BZ424" i="1" a="1"/>
  <c r="BZ424" i="1"/>
  <c r="BY424" i="1"/>
  <c r="BX424" i="1"/>
  <c r="BW424" i="1" a="1"/>
  <c r="BW424" i="1"/>
  <c r="BV424" i="1"/>
  <c r="BU424" i="1"/>
  <c r="BT424" i="1"/>
  <c r="BS424" i="1" a="1"/>
  <c r="BS424" i="1"/>
  <c r="BR424" i="1"/>
  <c r="BQ424" i="1"/>
  <c r="BP424" i="1"/>
  <c r="BO424" i="1" a="1"/>
  <c r="BO424" i="1"/>
  <c r="BN424" i="1"/>
  <c r="BM424" i="1"/>
  <c r="BL424" i="1"/>
  <c r="BK424" i="1"/>
  <c r="BJ424" i="1"/>
  <c r="U424" i="1"/>
  <c r="T424" i="1"/>
  <c r="S424" i="1"/>
  <c r="R424" i="1"/>
  <c r="Q424" i="1"/>
  <c r="F424" i="1"/>
  <c r="E424" i="1"/>
  <c r="D424" i="1"/>
  <c r="C424" i="1"/>
  <c r="CJ423" i="1"/>
  <c r="CI423" i="1" a="1"/>
  <c r="CI423" i="1"/>
  <c r="CH423" i="1" a="1"/>
  <c r="CH423" i="1"/>
  <c r="CG423" i="1"/>
  <c r="CF423" i="1"/>
  <c r="CE423" i="1" a="1"/>
  <c r="CE423" i="1"/>
  <c r="CD423" i="1" a="1"/>
  <c r="CD423" i="1"/>
  <c r="CC423" i="1"/>
  <c r="CB423" i="1"/>
  <c r="CA423" i="1" a="1"/>
  <c r="CA423" i="1"/>
  <c r="BZ423" i="1" a="1"/>
  <c r="BZ423" i="1"/>
  <c r="BY423" i="1"/>
  <c r="BX423" i="1"/>
  <c r="BW423" i="1" a="1"/>
  <c r="BW423" i="1"/>
  <c r="BV423" i="1"/>
  <c r="BU423" i="1"/>
  <c r="BT423" i="1"/>
  <c r="BS423" i="1" a="1"/>
  <c r="BS423" i="1"/>
  <c r="BR423" i="1"/>
  <c r="BQ423" i="1"/>
  <c r="BP423" i="1"/>
  <c r="BO423" i="1" a="1"/>
  <c r="BO423" i="1"/>
  <c r="BN423" i="1"/>
  <c r="BM423" i="1"/>
  <c r="BL423" i="1"/>
  <c r="BK423" i="1"/>
  <c r="BJ423" i="1"/>
  <c r="U423" i="1"/>
  <c r="T423" i="1"/>
  <c r="S423" i="1"/>
  <c r="R423" i="1"/>
  <c r="Q423" i="1"/>
  <c r="F423" i="1"/>
  <c r="E423" i="1"/>
  <c r="D423" i="1"/>
  <c r="C423" i="1"/>
  <c r="CJ422" i="1"/>
  <c r="CI422" i="1" a="1"/>
  <c r="CI422" i="1"/>
  <c r="CH422" i="1" a="1"/>
  <c r="CH422" i="1"/>
  <c r="CG422" i="1"/>
  <c r="CF422" i="1"/>
  <c r="CE422" i="1" a="1"/>
  <c r="CE422" i="1"/>
  <c r="CD422" i="1" a="1"/>
  <c r="CD422" i="1"/>
  <c r="CC422" i="1"/>
  <c r="CB422" i="1"/>
  <c r="CA422" i="1" a="1"/>
  <c r="CA422" i="1"/>
  <c r="BZ422" i="1" a="1"/>
  <c r="BZ422" i="1"/>
  <c r="BY422" i="1"/>
  <c r="BX422" i="1"/>
  <c r="BW422" i="1" a="1"/>
  <c r="BW422" i="1"/>
  <c r="BV422" i="1"/>
  <c r="BU422" i="1"/>
  <c r="BT422" i="1"/>
  <c r="BS422" i="1" a="1"/>
  <c r="BS422" i="1"/>
  <c r="BR422" i="1"/>
  <c r="BQ422" i="1"/>
  <c r="BP422" i="1"/>
  <c r="BO422" i="1" a="1"/>
  <c r="BO422" i="1"/>
  <c r="BN422" i="1"/>
  <c r="BM422" i="1"/>
  <c r="BL422" i="1"/>
  <c r="BK422" i="1"/>
  <c r="BJ422" i="1"/>
  <c r="U422" i="1"/>
  <c r="T422" i="1"/>
  <c r="S422" i="1"/>
  <c r="R422" i="1"/>
  <c r="Q422" i="1"/>
  <c r="F422" i="1"/>
  <c r="E422" i="1"/>
  <c r="D422" i="1"/>
  <c r="C422" i="1"/>
  <c r="CJ421" i="1"/>
  <c r="CI421" i="1" a="1"/>
  <c r="CI421" i="1"/>
  <c r="CH421" i="1" a="1"/>
  <c r="CH421" i="1"/>
  <c r="CG421" i="1"/>
  <c r="CF421" i="1"/>
  <c r="CE421" i="1" a="1"/>
  <c r="CE421" i="1"/>
  <c r="CD421" i="1" a="1"/>
  <c r="CD421" i="1"/>
  <c r="CC421" i="1"/>
  <c r="CB421" i="1"/>
  <c r="CA421" i="1" a="1"/>
  <c r="CA421" i="1"/>
  <c r="BZ421" i="1" a="1"/>
  <c r="BZ421" i="1"/>
  <c r="BY421" i="1"/>
  <c r="BX421" i="1"/>
  <c r="BW421" i="1" a="1"/>
  <c r="BW421" i="1"/>
  <c r="BV421" i="1"/>
  <c r="BU421" i="1"/>
  <c r="BT421" i="1"/>
  <c r="BS421" i="1" a="1"/>
  <c r="BS421" i="1"/>
  <c r="BR421" i="1"/>
  <c r="BQ421" i="1"/>
  <c r="BP421" i="1"/>
  <c r="BO421" i="1" a="1"/>
  <c r="BO421" i="1"/>
  <c r="BN421" i="1"/>
  <c r="BM421" i="1"/>
  <c r="BL421" i="1"/>
  <c r="BK421" i="1"/>
  <c r="BJ421" i="1"/>
  <c r="U421" i="1"/>
  <c r="T421" i="1"/>
  <c r="S421" i="1"/>
  <c r="R421" i="1"/>
  <c r="Q421" i="1"/>
  <c r="F421" i="1"/>
  <c r="E421" i="1"/>
  <c r="D421" i="1"/>
  <c r="C421" i="1"/>
  <c r="CJ420" i="1"/>
  <c r="CI420" i="1" a="1"/>
  <c r="CI420" i="1"/>
  <c r="CH420" i="1" a="1"/>
  <c r="CH420" i="1"/>
  <c r="CG420" i="1"/>
  <c r="CF420" i="1"/>
  <c r="CE420" i="1" a="1"/>
  <c r="CE420" i="1"/>
  <c r="CD420" i="1" a="1"/>
  <c r="CD420" i="1"/>
  <c r="CC420" i="1"/>
  <c r="CB420" i="1"/>
  <c r="CA420" i="1" a="1"/>
  <c r="CA420" i="1"/>
  <c r="BZ420" i="1" a="1"/>
  <c r="BZ420" i="1"/>
  <c r="BY420" i="1"/>
  <c r="BX420" i="1"/>
  <c r="BW420" i="1" a="1"/>
  <c r="BW420" i="1"/>
  <c r="BV420" i="1"/>
  <c r="BU420" i="1"/>
  <c r="BT420" i="1"/>
  <c r="BS420" i="1" a="1"/>
  <c r="BS420" i="1"/>
  <c r="BR420" i="1"/>
  <c r="BQ420" i="1"/>
  <c r="BP420" i="1"/>
  <c r="BO420" i="1" a="1"/>
  <c r="BO420" i="1"/>
  <c r="BN420" i="1"/>
  <c r="BM420" i="1"/>
  <c r="BL420" i="1"/>
  <c r="BK420" i="1"/>
  <c r="BJ420" i="1"/>
  <c r="U420" i="1"/>
  <c r="T420" i="1"/>
  <c r="S420" i="1"/>
  <c r="R420" i="1"/>
  <c r="Q420" i="1"/>
  <c r="F420" i="1"/>
  <c r="E420" i="1"/>
  <c r="D420" i="1"/>
  <c r="C420" i="1"/>
  <c r="CJ419" i="1"/>
  <c r="CI419" i="1" a="1"/>
  <c r="CI419" i="1"/>
  <c r="CH419" i="1" a="1"/>
  <c r="CH419" i="1"/>
  <c r="CG419" i="1"/>
  <c r="CF419" i="1"/>
  <c r="CE419" i="1" a="1"/>
  <c r="CE419" i="1"/>
  <c r="CD419" i="1" a="1"/>
  <c r="CD419" i="1"/>
  <c r="CC419" i="1"/>
  <c r="CB419" i="1"/>
  <c r="CA419" i="1" a="1"/>
  <c r="CA419" i="1"/>
  <c r="BZ419" i="1" a="1"/>
  <c r="BZ419" i="1"/>
  <c r="BY419" i="1"/>
  <c r="BX419" i="1"/>
  <c r="BW419" i="1" a="1"/>
  <c r="BW419" i="1"/>
  <c r="BV419" i="1"/>
  <c r="BU419" i="1"/>
  <c r="BT419" i="1"/>
  <c r="BS419" i="1" a="1"/>
  <c r="BS419" i="1"/>
  <c r="BR419" i="1"/>
  <c r="BQ419" i="1"/>
  <c r="BP419" i="1"/>
  <c r="BO419" i="1" a="1"/>
  <c r="BO419" i="1"/>
  <c r="BN419" i="1"/>
  <c r="BM419" i="1"/>
  <c r="BL419" i="1"/>
  <c r="BK419" i="1"/>
  <c r="BJ419" i="1"/>
  <c r="U419" i="1"/>
  <c r="T419" i="1"/>
  <c r="S419" i="1"/>
  <c r="R419" i="1"/>
  <c r="Q419" i="1"/>
  <c r="F419" i="1"/>
  <c r="E419" i="1"/>
  <c r="D419" i="1"/>
  <c r="C419" i="1"/>
  <c r="CJ418" i="1"/>
  <c r="CI418" i="1" a="1"/>
  <c r="CI418" i="1"/>
  <c r="CH418" i="1" a="1"/>
  <c r="CH418" i="1"/>
  <c r="CG418" i="1"/>
  <c r="CF418" i="1"/>
  <c r="CE418" i="1" a="1"/>
  <c r="CE418" i="1"/>
  <c r="CD418" i="1" a="1"/>
  <c r="CD418" i="1"/>
  <c r="CC418" i="1"/>
  <c r="CB418" i="1"/>
  <c r="CA418" i="1" a="1"/>
  <c r="CA418" i="1"/>
  <c r="BZ418" i="1" a="1"/>
  <c r="BZ418" i="1"/>
  <c r="BY418" i="1"/>
  <c r="BX418" i="1"/>
  <c r="BW418" i="1" a="1"/>
  <c r="BW418" i="1"/>
  <c r="BV418" i="1"/>
  <c r="BU418" i="1"/>
  <c r="BT418" i="1"/>
  <c r="BS418" i="1" a="1"/>
  <c r="BS418" i="1"/>
  <c r="BR418" i="1"/>
  <c r="BQ418" i="1"/>
  <c r="BP418" i="1"/>
  <c r="BO418" i="1" a="1"/>
  <c r="BO418" i="1"/>
  <c r="BN418" i="1"/>
  <c r="BM418" i="1"/>
  <c r="BL418" i="1"/>
  <c r="BK418" i="1"/>
  <c r="BJ418" i="1"/>
  <c r="U418" i="1"/>
  <c r="T418" i="1"/>
  <c r="S418" i="1"/>
  <c r="R418" i="1"/>
  <c r="Q418" i="1"/>
  <c r="F418" i="1"/>
  <c r="E418" i="1"/>
  <c r="D418" i="1"/>
  <c r="C418" i="1"/>
  <c r="CJ417" i="1"/>
  <c r="CI417" i="1" a="1"/>
  <c r="CI417" i="1"/>
  <c r="CH417" i="1" a="1"/>
  <c r="CH417" i="1"/>
  <c r="CG417" i="1"/>
  <c r="CF417" i="1"/>
  <c r="CE417" i="1" a="1"/>
  <c r="CE417" i="1"/>
  <c r="CD417" i="1" a="1"/>
  <c r="CD417" i="1"/>
  <c r="CC417" i="1"/>
  <c r="CB417" i="1"/>
  <c r="CA417" i="1" a="1"/>
  <c r="CA417" i="1"/>
  <c r="BZ417" i="1" a="1"/>
  <c r="BZ417" i="1"/>
  <c r="BY417" i="1"/>
  <c r="BX417" i="1"/>
  <c r="BW417" i="1" a="1"/>
  <c r="BW417" i="1"/>
  <c r="BV417" i="1"/>
  <c r="BU417" i="1"/>
  <c r="BT417" i="1"/>
  <c r="BS417" i="1" a="1"/>
  <c r="BS417" i="1"/>
  <c r="BR417" i="1"/>
  <c r="BQ417" i="1"/>
  <c r="BP417" i="1"/>
  <c r="BO417" i="1" a="1"/>
  <c r="BO417" i="1"/>
  <c r="BN417" i="1"/>
  <c r="BM417" i="1"/>
  <c r="BL417" i="1"/>
  <c r="BK417" i="1"/>
  <c r="BJ417" i="1"/>
  <c r="U417" i="1"/>
  <c r="T417" i="1"/>
  <c r="S417" i="1"/>
  <c r="R417" i="1"/>
  <c r="Q417" i="1"/>
  <c r="F417" i="1"/>
  <c r="E417" i="1"/>
  <c r="D417" i="1"/>
  <c r="C417" i="1"/>
  <c r="CJ416" i="1"/>
  <c r="CI416" i="1" a="1"/>
  <c r="CI416" i="1"/>
  <c r="CH416" i="1" a="1"/>
  <c r="CH416" i="1"/>
  <c r="CG416" i="1"/>
  <c r="CF416" i="1"/>
  <c r="CE416" i="1" a="1"/>
  <c r="CE416" i="1"/>
  <c r="CD416" i="1" a="1"/>
  <c r="CD416" i="1"/>
  <c r="CC416" i="1"/>
  <c r="CB416" i="1"/>
  <c r="CA416" i="1" a="1"/>
  <c r="CA416" i="1"/>
  <c r="BZ416" i="1" a="1"/>
  <c r="BZ416" i="1"/>
  <c r="BY416" i="1"/>
  <c r="BX416" i="1"/>
  <c r="BW416" i="1" a="1"/>
  <c r="BW416" i="1"/>
  <c r="BV416" i="1"/>
  <c r="BU416" i="1"/>
  <c r="BT416" i="1"/>
  <c r="BS416" i="1" a="1"/>
  <c r="BS416" i="1"/>
  <c r="BR416" i="1"/>
  <c r="BQ416" i="1"/>
  <c r="BP416" i="1"/>
  <c r="BO416" i="1" a="1"/>
  <c r="BO416" i="1"/>
  <c r="BN416" i="1"/>
  <c r="BM416" i="1"/>
  <c r="BL416" i="1"/>
  <c r="BK416" i="1"/>
  <c r="BJ416" i="1"/>
  <c r="U416" i="1"/>
  <c r="T416" i="1"/>
  <c r="S416" i="1"/>
  <c r="R416" i="1"/>
  <c r="Q416" i="1"/>
  <c r="F416" i="1"/>
  <c r="E416" i="1"/>
  <c r="D416" i="1"/>
  <c r="C416" i="1"/>
  <c r="CJ415" i="1"/>
  <c r="CI415" i="1" a="1"/>
  <c r="CI415" i="1"/>
  <c r="CH415" i="1" a="1"/>
  <c r="CH415" i="1"/>
  <c r="CG415" i="1"/>
  <c r="CF415" i="1"/>
  <c r="CE415" i="1" a="1"/>
  <c r="CE415" i="1"/>
  <c r="CD415" i="1" a="1"/>
  <c r="CD415" i="1"/>
  <c r="CC415" i="1"/>
  <c r="CB415" i="1"/>
  <c r="CA415" i="1" a="1"/>
  <c r="CA415" i="1"/>
  <c r="BZ415" i="1" a="1"/>
  <c r="BZ415" i="1"/>
  <c r="BY415" i="1"/>
  <c r="BX415" i="1"/>
  <c r="BW415" i="1" a="1"/>
  <c r="BW415" i="1"/>
  <c r="BV415" i="1"/>
  <c r="BU415" i="1"/>
  <c r="BT415" i="1"/>
  <c r="BS415" i="1" a="1"/>
  <c r="BS415" i="1"/>
  <c r="BR415" i="1"/>
  <c r="BQ415" i="1"/>
  <c r="BP415" i="1"/>
  <c r="BO415" i="1" a="1"/>
  <c r="BO415" i="1"/>
  <c r="BN415" i="1"/>
  <c r="BM415" i="1"/>
  <c r="BL415" i="1"/>
  <c r="BK415" i="1"/>
  <c r="BJ415" i="1"/>
  <c r="U415" i="1"/>
  <c r="T415" i="1"/>
  <c r="S415" i="1"/>
  <c r="R415" i="1"/>
  <c r="Q415" i="1"/>
  <c r="F415" i="1"/>
  <c r="E415" i="1"/>
  <c r="D415" i="1"/>
  <c r="C415" i="1"/>
  <c r="CJ414" i="1"/>
  <c r="CI414" i="1" a="1"/>
  <c r="CI414" i="1"/>
  <c r="CH414" i="1" a="1"/>
  <c r="CH414" i="1"/>
  <c r="CG414" i="1"/>
  <c r="CF414" i="1"/>
  <c r="CE414" i="1" a="1"/>
  <c r="CE414" i="1"/>
  <c r="CD414" i="1" a="1"/>
  <c r="CD414" i="1"/>
  <c r="CC414" i="1"/>
  <c r="CB414" i="1"/>
  <c r="CA414" i="1" a="1"/>
  <c r="CA414" i="1"/>
  <c r="BZ414" i="1" a="1"/>
  <c r="BZ414" i="1"/>
  <c r="BY414" i="1"/>
  <c r="BX414" i="1"/>
  <c r="BW414" i="1" a="1"/>
  <c r="BW414" i="1"/>
  <c r="BV414" i="1"/>
  <c r="BU414" i="1"/>
  <c r="BT414" i="1"/>
  <c r="BS414" i="1" a="1"/>
  <c r="BS414" i="1"/>
  <c r="BR414" i="1"/>
  <c r="BQ414" i="1"/>
  <c r="BP414" i="1"/>
  <c r="BO414" i="1" a="1"/>
  <c r="BO414" i="1"/>
  <c r="BN414" i="1"/>
  <c r="BM414" i="1"/>
  <c r="BL414" i="1"/>
  <c r="BK414" i="1"/>
  <c r="BJ414" i="1"/>
  <c r="U414" i="1"/>
  <c r="T414" i="1"/>
  <c r="S414" i="1"/>
  <c r="R414" i="1"/>
  <c r="Q414" i="1"/>
  <c r="F414" i="1"/>
  <c r="E414" i="1"/>
  <c r="D414" i="1"/>
  <c r="C414" i="1"/>
  <c r="CJ413" i="1"/>
  <c r="CI413" i="1" a="1"/>
  <c r="CI413" i="1"/>
  <c r="CH413" i="1" a="1"/>
  <c r="CH413" i="1"/>
  <c r="CG413" i="1"/>
  <c r="CF413" i="1"/>
  <c r="CE413" i="1" a="1"/>
  <c r="CE413" i="1"/>
  <c r="CD413" i="1" a="1"/>
  <c r="CD413" i="1"/>
  <c r="CC413" i="1"/>
  <c r="CB413" i="1"/>
  <c r="CA413" i="1" a="1"/>
  <c r="CA413" i="1"/>
  <c r="BZ413" i="1" a="1"/>
  <c r="BZ413" i="1"/>
  <c r="BY413" i="1"/>
  <c r="BX413" i="1"/>
  <c r="BW413" i="1" a="1"/>
  <c r="BW413" i="1"/>
  <c r="BV413" i="1"/>
  <c r="BU413" i="1"/>
  <c r="BT413" i="1"/>
  <c r="BS413" i="1" a="1"/>
  <c r="BS413" i="1"/>
  <c r="BR413" i="1"/>
  <c r="BQ413" i="1"/>
  <c r="BP413" i="1"/>
  <c r="BO413" i="1" a="1"/>
  <c r="BO413" i="1"/>
  <c r="BN413" i="1"/>
  <c r="BM413" i="1"/>
  <c r="BL413" i="1"/>
  <c r="BK413" i="1"/>
  <c r="BJ413" i="1"/>
  <c r="U413" i="1"/>
  <c r="T413" i="1"/>
  <c r="S413" i="1"/>
  <c r="R413" i="1"/>
  <c r="Q413" i="1"/>
  <c r="F413" i="1"/>
  <c r="E413" i="1"/>
  <c r="D413" i="1"/>
  <c r="C413" i="1"/>
  <c r="CJ412" i="1"/>
  <c r="CI412" i="1" a="1"/>
  <c r="CI412" i="1"/>
  <c r="CH412" i="1" a="1"/>
  <c r="CH412" i="1"/>
  <c r="CG412" i="1"/>
  <c r="CF412" i="1"/>
  <c r="CE412" i="1" a="1"/>
  <c r="CE412" i="1"/>
  <c r="CD412" i="1" a="1"/>
  <c r="CD412" i="1"/>
  <c r="CC412" i="1"/>
  <c r="CB412" i="1"/>
  <c r="CA412" i="1" a="1"/>
  <c r="CA412" i="1"/>
  <c r="BZ412" i="1" a="1"/>
  <c r="BZ412" i="1"/>
  <c r="BY412" i="1"/>
  <c r="BX412" i="1"/>
  <c r="BW412" i="1" a="1"/>
  <c r="BW412" i="1"/>
  <c r="BV412" i="1"/>
  <c r="BU412" i="1"/>
  <c r="BT412" i="1"/>
  <c r="BS412" i="1" a="1"/>
  <c r="BS412" i="1"/>
  <c r="BR412" i="1"/>
  <c r="BQ412" i="1"/>
  <c r="BP412" i="1"/>
  <c r="BO412" i="1" a="1"/>
  <c r="BO412" i="1"/>
  <c r="BN412" i="1"/>
  <c r="BM412" i="1"/>
  <c r="BL412" i="1"/>
  <c r="BK412" i="1"/>
  <c r="BJ412" i="1"/>
  <c r="U412" i="1"/>
  <c r="T412" i="1"/>
  <c r="S412" i="1"/>
  <c r="R412" i="1"/>
  <c r="Q412" i="1"/>
  <c r="F412" i="1"/>
  <c r="E412" i="1"/>
  <c r="D412" i="1"/>
  <c r="C412" i="1"/>
  <c r="CJ411" i="1"/>
  <c r="CI411" i="1" a="1"/>
  <c r="CI411" i="1"/>
  <c r="CH411" i="1" a="1"/>
  <c r="CH411" i="1"/>
  <c r="CG411" i="1"/>
  <c r="CF411" i="1"/>
  <c r="CE411" i="1" a="1"/>
  <c r="CE411" i="1"/>
  <c r="CD411" i="1" a="1"/>
  <c r="CD411" i="1"/>
  <c r="CC411" i="1"/>
  <c r="CB411" i="1"/>
  <c r="CA411" i="1" a="1"/>
  <c r="CA411" i="1"/>
  <c r="BZ411" i="1" a="1"/>
  <c r="BZ411" i="1"/>
  <c r="BY411" i="1"/>
  <c r="BX411" i="1"/>
  <c r="BW411" i="1" a="1"/>
  <c r="BW411" i="1"/>
  <c r="BV411" i="1"/>
  <c r="BU411" i="1"/>
  <c r="BT411" i="1"/>
  <c r="BS411" i="1" a="1"/>
  <c r="BS411" i="1"/>
  <c r="BR411" i="1"/>
  <c r="BQ411" i="1"/>
  <c r="BP411" i="1"/>
  <c r="BO411" i="1" a="1"/>
  <c r="BO411" i="1"/>
  <c r="BN411" i="1"/>
  <c r="BM411" i="1"/>
  <c r="BL411" i="1"/>
  <c r="BK411" i="1"/>
  <c r="BJ411" i="1"/>
  <c r="U411" i="1"/>
  <c r="T411" i="1"/>
  <c r="S411" i="1"/>
  <c r="R411" i="1"/>
  <c r="Q411" i="1"/>
  <c r="F411" i="1"/>
  <c r="E411" i="1"/>
  <c r="D411" i="1"/>
  <c r="C411" i="1"/>
  <c r="CJ410" i="1"/>
  <c r="CI410" i="1" a="1"/>
  <c r="CI410" i="1"/>
  <c r="CH410" i="1" a="1"/>
  <c r="CH410" i="1"/>
  <c r="CG410" i="1"/>
  <c r="CF410" i="1"/>
  <c r="CE410" i="1" a="1"/>
  <c r="CE410" i="1"/>
  <c r="CD410" i="1" a="1"/>
  <c r="CD410" i="1"/>
  <c r="CC410" i="1"/>
  <c r="CB410" i="1"/>
  <c r="CA410" i="1" a="1"/>
  <c r="CA410" i="1"/>
  <c r="BZ410" i="1" a="1"/>
  <c r="BZ410" i="1"/>
  <c r="BY410" i="1"/>
  <c r="BX410" i="1"/>
  <c r="BW410" i="1" a="1"/>
  <c r="BW410" i="1"/>
  <c r="BV410" i="1"/>
  <c r="BU410" i="1"/>
  <c r="BT410" i="1"/>
  <c r="BS410" i="1" a="1"/>
  <c r="BS410" i="1"/>
  <c r="BR410" i="1"/>
  <c r="BQ410" i="1"/>
  <c r="BP410" i="1"/>
  <c r="BO410" i="1" a="1"/>
  <c r="BO410" i="1"/>
  <c r="BN410" i="1"/>
  <c r="BM410" i="1"/>
  <c r="BL410" i="1"/>
  <c r="BK410" i="1"/>
  <c r="BJ410" i="1"/>
  <c r="U410" i="1"/>
  <c r="T410" i="1"/>
  <c r="S410" i="1"/>
  <c r="R410" i="1"/>
  <c r="Q410" i="1"/>
  <c r="F410" i="1"/>
  <c r="E410" i="1"/>
  <c r="D410" i="1"/>
  <c r="C410" i="1"/>
  <c r="CJ409" i="1"/>
  <c r="CI409" i="1" a="1"/>
  <c r="CI409" i="1"/>
  <c r="CH409" i="1" a="1"/>
  <c r="CH409" i="1"/>
  <c r="CG409" i="1"/>
  <c r="CF409" i="1"/>
  <c r="CE409" i="1" a="1"/>
  <c r="CE409" i="1"/>
  <c r="CD409" i="1" a="1"/>
  <c r="CD409" i="1"/>
  <c r="CC409" i="1"/>
  <c r="CB409" i="1"/>
  <c r="CA409" i="1" a="1"/>
  <c r="CA409" i="1"/>
  <c r="BZ409" i="1" a="1"/>
  <c r="BZ409" i="1"/>
  <c r="BY409" i="1"/>
  <c r="BX409" i="1"/>
  <c r="BW409" i="1" a="1"/>
  <c r="BW409" i="1"/>
  <c r="BV409" i="1"/>
  <c r="BU409" i="1"/>
  <c r="BT409" i="1"/>
  <c r="BS409" i="1" a="1"/>
  <c r="BS409" i="1"/>
  <c r="BR409" i="1"/>
  <c r="BQ409" i="1"/>
  <c r="BP409" i="1"/>
  <c r="BO409" i="1" a="1"/>
  <c r="BO409" i="1"/>
  <c r="BN409" i="1"/>
  <c r="BM409" i="1"/>
  <c r="BL409" i="1"/>
  <c r="BK409" i="1"/>
  <c r="BJ409" i="1"/>
  <c r="U409" i="1"/>
  <c r="T409" i="1"/>
  <c r="S409" i="1"/>
  <c r="R409" i="1"/>
  <c r="Q409" i="1"/>
  <c r="F409" i="1"/>
  <c r="E409" i="1"/>
  <c r="D409" i="1"/>
  <c r="C409" i="1"/>
  <c r="CJ408" i="1"/>
  <c r="CI408" i="1" a="1"/>
  <c r="CI408" i="1"/>
  <c r="CH408" i="1" a="1"/>
  <c r="CH408" i="1"/>
  <c r="CG408" i="1"/>
  <c r="CF408" i="1"/>
  <c r="CE408" i="1" a="1"/>
  <c r="CE408" i="1"/>
  <c r="CD408" i="1" a="1"/>
  <c r="CD408" i="1"/>
  <c r="CC408" i="1"/>
  <c r="CB408" i="1"/>
  <c r="CA408" i="1" a="1"/>
  <c r="CA408" i="1"/>
  <c r="BZ408" i="1" a="1"/>
  <c r="BZ408" i="1"/>
  <c r="BY408" i="1"/>
  <c r="BX408" i="1"/>
  <c r="BW408" i="1" a="1"/>
  <c r="BW408" i="1"/>
  <c r="BV408" i="1"/>
  <c r="BU408" i="1"/>
  <c r="BT408" i="1"/>
  <c r="BS408" i="1" a="1"/>
  <c r="BS408" i="1"/>
  <c r="BR408" i="1"/>
  <c r="BQ408" i="1"/>
  <c r="BP408" i="1"/>
  <c r="BO408" i="1" a="1"/>
  <c r="BO408" i="1"/>
  <c r="BN408" i="1"/>
  <c r="BM408" i="1"/>
  <c r="BL408" i="1"/>
  <c r="BK408" i="1"/>
  <c r="BJ408" i="1"/>
  <c r="U408" i="1"/>
  <c r="T408" i="1"/>
  <c r="S408" i="1"/>
  <c r="R408" i="1"/>
  <c r="Q408" i="1"/>
  <c r="F408" i="1"/>
  <c r="E408" i="1"/>
  <c r="D408" i="1"/>
  <c r="C408" i="1"/>
  <c r="CJ407" i="1"/>
  <c r="CI407" i="1" a="1"/>
  <c r="CI407" i="1"/>
  <c r="CH407" i="1" a="1"/>
  <c r="CH407" i="1"/>
  <c r="CG407" i="1"/>
  <c r="CF407" i="1"/>
  <c r="CE407" i="1" a="1"/>
  <c r="CE407" i="1"/>
  <c r="CD407" i="1" a="1"/>
  <c r="CD407" i="1"/>
  <c r="CC407" i="1"/>
  <c r="CB407" i="1"/>
  <c r="CA407" i="1" a="1"/>
  <c r="CA407" i="1"/>
  <c r="BZ407" i="1" a="1"/>
  <c r="BZ407" i="1"/>
  <c r="BY407" i="1"/>
  <c r="BX407" i="1"/>
  <c r="BW407" i="1" a="1"/>
  <c r="BW407" i="1"/>
  <c r="BV407" i="1"/>
  <c r="BU407" i="1"/>
  <c r="BT407" i="1"/>
  <c r="BS407" i="1" a="1"/>
  <c r="BS407" i="1"/>
  <c r="BR407" i="1"/>
  <c r="BQ407" i="1"/>
  <c r="BP407" i="1"/>
  <c r="BO407" i="1" a="1"/>
  <c r="BO407" i="1"/>
  <c r="BN407" i="1"/>
  <c r="BM407" i="1"/>
  <c r="BL407" i="1"/>
  <c r="BK407" i="1"/>
  <c r="BJ407" i="1"/>
  <c r="U407" i="1"/>
  <c r="T407" i="1"/>
  <c r="S407" i="1"/>
  <c r="R407" i="1"/>
  <c r="Q407" i="1"/>
  <c r="F407" i="1"/>
  <c r="E407" i="1"/>
  <c r="D407" i="1"/>
  <c r="C407" i="1"/>
  <c r="CJ406" i="1"/>
  <c r="CI406" i="1" a="1"/>
  <c r="CI406" i="1"/>
  <c r="CH406" i="1" a="1"/>
  <c r="CH406" i="1"/>
  <c r="CG406" i="1"/>
  <c r="CF406" i="1"/>
  <c r="CE406" i="1" a="1"/>
  <c r="CE406" i="1"/>
  <c r="CD406" i="1" a="1"/>
  <c r="CD406" i="1"/>
  <c r="CC406" i="1"/>
  <c r="CB406" i="1"/>
  <c r="CA406" i="1" a="1"/>
  <c r="CA406" i="1"/>
  <c r="BZ406" i="1" a="1"/>
  <c r="BZ406" i="1"/>
  <c r="BY406" i="1"/>
  <c r="BX406" i="1"/>
  <c r="BW406" i="1" a="1"/>
  <c r="BW406" i="1"/>
  <c r="BV406" i="1"/>
  <c r="BU406" i="1"/>
  <c r="BT406" i="1"/>
  <c r="BS406" i="1" a="1"/>
  <c r="BS406" i="1"/>
  <c r="BR406" i="1"/>
  <c r="BQ406" i="1"/>
  <c r="BP406" i="1"/>
  <c r="BO406" i="1" a="1"/>
  <c r="BO406" i="1"/>
  <c r="BN406" i="1"/>
  <c r="BM406" i="1"/>
  <c r="BL406" i="1"/>
  <c r="BK406" i="1"/>
  <c r="BJ406" i="1"/>
  <c r="U406" i="1"/>
  <c r="T406" i="1"/>
  <c r="S406" i="1"/>
  <c r="R406" i="1"/>
  <c r="Q406" i="1"/>
  <c r="F406" i="1"/>
  <c r="E406" i="1"/>
  <c r="D406" i="1"/>
  <c r="C406" i="1"/>
  <c r="CJ405" i="1"/>
  <c r="CI405" i="1" a="1"/>
  <c r="CI405" i="1"/>
  <c r="CH405" i="1" a="1"/>
  <c r="CH405" i="1"/>
  <c r="CG405" i="1"/>
  <c r="CF405" i="1"/>
  <c r="CE405" i="1" a="1"/>
  <c r="CE405" i="1"/>
  <c r="CD405" i="1" a="1"/>
  <c r="CD405" i="1"/>
  <c r="CC405" i="1"/>
  <c r="CB405" i="1"/>
  <c r="CA405" i="1" a="1"/>
  <c r="CA405" i="1"/>
  <c r="BZ405" i="1" a="1"/>
  <c r="BZ405" i="1"/>
  <c r="BY405" i="1"/>
  <c r="BX405" i="1"/>
  <c r="BW405" i="1" a="1"/>
  <c r="BW405" i="1"/>
  <c r="BV405" i="1"/>
  <c r="BU405" i="1"/>
  <c r="BT405" i="1"/>
  <c r="BS405" i="1" a="1"/>
  <c r="BS405" i="1"/>
  <c r="BR405" i="1"/>
  <c r="BQ405" i="1"/>
  <c r="BP405" i="1"/>
  <c r="BO405" i="1" a="1"/>
  <c r="BO405" i="1"/>
  <c r="BN405" i="1"/>
  <c r="BM405" i="1"/>
  <c r="BL405" i="1"/>
  <c r="BK405" i="1"/>
  <c r="BJ405" i="1"/>
  <c r="U405" i="1"/>
  <c r="T405" i="1"/>
  <c r="S405" i="1"/>
  <c r="R405" i="1"/>
  <c r="Q405" i="1"/>
  <c r="F405" i="1"/>
  <c r="E405" i="1"/>
  <c r="D405" i="1"/>
  <c r="C405" i="1"/>
  <c r="CJ404" i="1"/>
  <c r="CI404" i="1" a="1"/>
  <c r="CI404" i="1"/>
  <c r="CH404" i="1" a="1"/>
  <c r="CH404" i="1"/>
  <c r="CG404" i="1"/>
  <c r="CF404" i="1"/>
  <c r="CE404" i="1" a="1"/>
  <c r="CE404" i="1"/>
  <c r="CD404" i="1" a="1"/>
  <c r="CD404" i="1"/>
  <c r="CC404" i="1"/>
  <c r="CB404" i="1"/>
  <c r="CA404" i="1" a="1"/>
  <c r="CA404" i="1"/>
  <c r="BZ404" i="1" a="1"/>
  <c r="BZ404" i="1"/>
  <c r="BY404" i="1"/>
  <c r="BX404" i="1"/>
  <c r="BW404" i="1" a="1"/>
  <c r="BW404" i="1"/>
  <c r="BV404" i="1"/>
  <c r="BU404" i="1"/>
  <c r="BT404" i="1"/>
  <c r="BS404" i="1" a="1"/>
  <c r="BS404" i="1"/>
  <c r="BR404" i="1"/>
  <c r="BQ404" i="1"/>
  <c r="BP404" i="1"/>
  <c r="BO404" i="1" a="1"/>
  <c r="BO404" i="1"/>
  <c r="BN404" i="1"/>
  <c r="BM404" i="1"/>
  <c r="BL404" i="1"/>
  <c r="BK404" i="1"/>
  <c r="BJ404" i="1"/>
  <c r="U404" i="1"/>
  <c r="T404" i="1"/>
  <c r="S404" i="1"/>
  <c r="R404" i="1"/>
  <c r="Q404" i="1"/>
  <c r="F404" i="1"/>
  <c r="E404" i="1"/>
  <c r="D404" i="1"/>
  <c r="C404" i="1"/>
  <c r="CJ403" i="1"/>
  <c r="CI403" i="1" a="1"/>
  <c r="CI403" i="1"/>
  <c r="CH403" i="1" a="1"/>
  <c r="CH403" i="1"/>
  <c r="CG403" i="1"/>
  <c r="CF403" i="1"/>
  <c r="CE403" i="1" a="1"/>
  <c r="CE403" i="1"/>
  <c r="CD403" i="1" a="1"/>
  <c r="CD403" i="1"/>
  <c r="CC403" i="1"/>
  <c r="CB403" i="1"/>
  <c r="CA403" i="1" a="1"/>
  <c r="CA403" i="1"/>
  <c r="BZ403" i="1" a="1"/>
  <c r="BZ403" i="1"/>
  <c r="BY403" i="1"/>
  <c r="BX403" i="1"/>
  <c r="BW403" i="1" a="1"/>
  <c r="BW403" i="1"/>
  <c r="BV403" i="1"/>
  <c r="BU403" i="1"/>
  <c r="BT403" i="1"/>
  <c r="BS403" i="1" a="1"/>
  <c r="BS403" i="1"/>
  <c r="BR403" i="1"/>
  <c r="BQ403" i="1"/>
  <c r="BP403" i="1"/>
  <c r="BO403" i="1" a="1"/>
  <c r="BO403" i="1"/>
  <c r="BN403" i="1"/>
  <c r="BM403" i="1"/>
  <c r="BL403" i="1"/>
  <c r="BK403" i="1"/>
  <c r="BJ403" i="1"/>
  <c r="U403" i="1"/>
  <c r="T403" i="1"/>
  <c r="S403" i="1"/>
  <c r="R403" i="1"/>
  <c r="Q403" i="1"/>
  <c r="F403" i="1"/>
  <c r="E403" i="1"/>
  <c r="D403" i="1"/>
  <c r="C403" i="1"/>
  <c r="CJ402" i="1"/>
  <c r="CI402" i="1" a="1"/>
  <c r="CI402" i="1"/>
  <c r="CH402" i="1" a="1"/>
  <c r="CH402" i="1"/>
  <c r="CG402" i="1"/>
  <c r="CF402" i="1"/>
  <c r="CE402" i="1" a="1"/>
  <c r="CE402" i="1"/>
  <c r="CD402" i="1" a="1"/>
  <c r="CD402" i="1"/>
  <c r="CC402" i="1"/>
  <c r="CB402" i="1"/>
  <c r="CA402" i="1" a="1"/>
  <c r="CA402" i="1"/>
  <c r="BZ402" i="1" a="1"/>
  <c r="BZ402" i="1"/>
  <c r="BY402" i="1"/>
  <c r="BX402" i="1"/>
  <c r="BW402" i="1" a="1"/>
  <c r="BW402" i="1"/>
  <c r="BV402" i="1"/>
  <c r="BU402" i="1"/>
  <c r="BT402" i="1"/>
  <c r="BS402" i="1" a="1"/>
  <c r="BS402" i="1"/>
  <c r="BR402" i="1"/>
  <c r="BQ402" i="1"/>
  <c r="BP402" i="1"/>
  <c r="BO402" i="1" a="1"/>
  <c r="BO402" i="1"/>
  <c r="BN402" i="1"/>
  <c r="BM402" i="1"/>
  <c r="BL402" i="1"/>
  <c r="BK402" i="1"/>
  <c r="BJ402" i="1"/>
  <c r="U402" i="1"/>
  <c r="T402" i="1"/>
  <c r="S402" i="1"/>
  <c r="R402" i="1"/>
  <c r="Q402" i="1"/>
  <c r="F402" i="1"/>
  <c r="E402" i="1"/>
  <c r="D402" i="1"/>
  <c r="C402" i="1"/>
  <c r="CJ401" i="1"/>
  <c r="CI401" i="1" a="1"/>
  <c r="CI401" i="1"/>
  <c r="CH401" i="1" a="1"/>
  <c r="CH401" i="1"/>
  <c r="CG401" i="1"/>
  <c r="CF401" i="1"/>
  <c r="CE401" i="1" a="1"/>
  <c r="CE401" i="1"/>
  <c r="CD401" i="1" a="1"/>
  <c r="CD401" i="1"/>
  <c r="CC401" i="1"/>
  <c r="CB401" i="1"/>
  <c r="CA401" i="1" a="1"/>
  <c r="CA401" i="1"/>
  <c r="BZ401" i="1" a="1"/>
  <c r="BZ401" i="1"/>
  <c r="BY401" i="1"/>
  <c r="BX401" i="1"/>
  <c r="BW401" i="1" a="1"/>
  <c r="BW401" i="1"/>
  <c r="BV401" i="1"/>
  <c r="BU401" i="1"/>
  <c r="BT401" i="1"/>
  <c r="BS401" i="1" a="1"/>
  <c r="BS401" i="1"/>
  <c r="BR401" i="1"/>
  <c r="BQ401" i="1"/>
  <c r="BP401" i="1"/>
  <c r="BO401" i="1" a="1"/>
  <c r="BO401" i="1"/>
  <c r="BN401" i="1"/>
  <c r="BM401" i="1"/>
  <c r="BL401" i="1"/>
  <c r="BK401" i="1"/>
  <c r="BJ401" i="1"/>
  <c r="U401" i="1"/>
  <c r="T401" i="1"/>
  <c r="S401" i="1"/>
  <c r="R401" i="1"/>
  <c r="Q401" i="1"/>
  <c r="F401" i="1"/>
  <c r="E401" i="1"/>
  <c r="D401" i="1"/>
  <c r="C401" i="1"/>
  <c r="CJ400" i="1"/>
  <c r="CI400" i="1" a="1"/>
  <c r="CI400" i="1"/>
  <c r="CH400" i="1" a="1"/>
  <c r="CH400" i="1"/>
  <c r="CG400" i="1"/>
  <c r="CF400" i="1"/>
  <c r="CE400" i="1" a="1"/>
  <c r="CE400" i="1"/>
  <c r="CD400" i="1" a="1"/>
  <c r="CD400" i="1"/>
  <c r="CC400" i="1"/>
  <c r="CB400" i="1"/>
  <c r="CA400" i="1" a="1"/>
  <c r="CA400" i="1"/>
  <c r="BZ400" i="1" a="1"/>
  <c r="BZ400" i="1"/>
  <c r="BY400" i="1"/>
  <c r="BX400" i="1"/>
  <c r="BW400" i="1" a="1"/>
  <c r="BW400" i="1"/>
  <c r="BV400" i="1"/>
  <c r="BU400" i="1"/>
  <c r="BT400" i="1"/>
  <c r="BS400" i="1" a="1"/>
  <c r="BS400" i="1"/>
  <c r="BR400" i="1"/>
  <c r="BQ400" i="1"/>
  <c r="BP400" i="1"/>
  <c r="BO400" i="1" a="1"/>
  <c r="BO400" i="1"/>
  <c r="BN400" i="1"/>
  <c r="BM400" i="1"/>
  <c r="BL400" i="1"/>
  <c r="BK400" i="1"/>
  <c r="BJ400" i="1"/>
  <c r="U400" i="1"/>
  <c r="T400" i="1"/>
  <c r="S400" i="1"/>
  <c r="R400" i="1"/>
  <c r="Q400" i="1"/>
  <c r="F400" i="1"/>
  <c r="E400" i="1"/>
  <c r="D400" i="1"/>
  <c r="C400" i="1"/>
  <c r="CJ399" i="1"/>
  <c r="CI399" i="1" a="1"/>
  <c r="CI399" i="1"/>
  <c r="CH399" i="1" a="1"/>
  <c r="CH399" i="1"/>
  <c r="CG399" i="1"/>
  <c r="CF399" i="1"/>
  <c r="CE399" i="1" a="1"/>
  <c r="CE399" i="1"/>
  <c r="CD399" i="1" a="1"/>
  <c r="CD399" i="1"/>
  <c r="CC399" i="1"/>
  <c r="CB399" i="1"/>
  <c r="CA399" i="1" a="1"/>
  <c r="CA399" i="1"/>
  <c r="BZ399" i="1" a="1"/>
  <c r="BZ399" i="1"/>
  <c r="BY399" i="1"/>
  <c r="BX399" i="1"/>
  <c r="BW399" i="1" a="1"/>
  <c r="BW399" i="1"/>
  <c r="BV399" i="1"/>
  <c r="BU399" i="1"/>
  <c r="BT399" i="1"/>
  <c r="BS399" i="1" a="1"/>
  <c r="BS399" i="1"/>
  <c r="BR399" i="1"/>
  <c r="BQ399" i="1"/>
  <c r="BP399" i="1"/>
  <c r="BO399" i="1" a="1"/>
  <c r="BO399" i="1"/>
  <c r="BN399" i="1"/>
  <c r="BM399" i="1"/>
  <c r="BL399" i="1"/>
  <c r="BK399" i="1"/>
  <c r="BJ399" i="1"/>
  <c r="U399" i="1"/>
  <c r="T399" i="1"/>
  <c r="S399" i="1"/>
  <c r="R399" i="1"/>
  <c r="Q399" i="1"/>
  <c r="F399" i="1"/>
  <c r="E399" i="1"/>
  <c r="D399" i="1"/>
  <c r="C399" i="1"/>
  <c r="CJ398" i="1"/>
  <c r="CI398" i="1" a="1"/>
  <c r="CI398" i="1"/>
  <c r="CH398" i="1" a="1"/>
  <c r="CH398" i="1"/>
  <c r="CG398" i="1"/>
  <c r="CF398" i="1"/>
  <c r="CE398" i="1" a="1"/>
  <c r="CE398" i="1"/>
  <c r="CD398" i="1" a="1"/>
  <c r="CD398" i="1"/>
  <c r="CC398" i="1"/>
  <c r="CB398" i="1"/>
  <c r="CA398" i="1" a="1"/>
  <c r="CA398" i="1"/>
  <c r="BZ398" i="1" a="1"/>
  <c r="BZ398" i="1"/>
  <c r="BY398" i="1"/>
  <c r="BX398" i="1"/>
  <c r="BW398" i="1" a="1"/>
  <c r="BW398" i="1"/>
  <c r="BV398" i="1"/>
  <c r="BU398" i="1"/>
  <c r="BT398" i="1"/>
  <c r="BS398" i="1" a="1"/>
  <c r="BS398" i="1"/>
  <c r="BR398" i="1"/>
  <c r="BQ398" i="1"/>
  <c r="BP398" i="1"/>
  <c r="BO398" i="1" a="1"/>
  <c r="BO398" i="1"/>
  <c r="BN398" i="1"/>
  <c r="BM398" i="1"/>
  <c r="BL398" i="1"/>
  <c r="BK398" i="1"/>
  <c r="BJ398" i="1"/>
  <c r="U398" i="1"/>
  <c r="T398" i="1"/>
  <c r="S398" i="1"/>
  <c r="R398" i="1"/>
  <c r="Q398" i="1"/>
  <c r="F398" i="1"/>
  <c r="E398" i="1"/>
  <c r="D398" i="1"/>
  <c r="C398" i="1"/>
  <c r="CJ397" i="1"/>
  <c r="CI397" i="1" a="1"/>
  <c r="CI397" i="1"/>
  <c r="CH397" i="1" a="1"/>
  <c r="CH397" i="1"/>
  <c r="CG397" i="1"/>
  <c r="CF397" i="1"/>
  <c r="CE397" i="1" a="1"/>
  <c r="CE397" i="1"/>
  <c r="CD397" i="1" a="1"/>
  <c r="CD397" i="1"/>
  <c r="CC397" i="1"/>
  <c r="CB397" i="1"/>
  <c r="CA397" i="1" a="1"/>
  <c r="CA397" i="1"/>
  <c r="BZ397" i="1" a="1"/>
  <c r="BZ397" i="1"/>
  <c r="BY397" i="1"/>
  <c r="BX397" i="1"/>
  <c r="BW397" i="1" a="1"/>
  <c r="BW397" i="1"/>
  <c r="BV397" i="1"/>
  <c r="BU397" i="1"/>
  <c r="BT397" i="1"/>
  <c r="BS397" i="1" a="1"/>
  <c r="BS397" i="1"/>
  <c r="BR397" i="1"/>
  <c r="BQ397" i="1"/>
  <c r="BP397" i="1"/>
  <c r="BO397" i="1" a="1"/>
  <c r="BO397" i="1"/>
  <c r="BN397" i="1"/>
  <c r="BM397" i="1"/>
  <c r="BL397" i="1"/>
  <c r="BK397" i="1"/>
  <c r="BJ397" i="1"/>
  <c r="U397" i="1"/>
  <c r="T397" i="1"/>
  <c r="S397" i="1"/>
  <c r="R397" i="1"/>
  <c r="Q397" i="1"/>
  <c r="F397" i="1"/>
  <c r="E397" i="1"/>
  <c r="D397" i="1"/>
  <c r="C397" i="1"/>
  <c r="CJ396" i="1"/>
  <c r="CI396" i="1" a="1"/>
  <c r="CI396" i="1"/>
  <c r="CH396" i="1" a="1"/>
  <c r="CH396" i="1"/>
  <c r="CG396" i="1"/>
  <c r="CF396" i="1"/>
  <c r="CE396" i="1" a="1"/>
  <c r="CE396" i="1"/>
  <c r="CD396" i="1" a="1"/>
  <c r="CD396" i="1"/>
  <c r="CC396" i="1"/>
  <c r="CB396" i="1"/>
  <c r="CA396" i="1" a="1"/>
  <c r="CA396" i="1"/>
  <c r="BZ396" i="1" a="1"/>
  <c r="BZ396" i="1"/>
  <c r="BY396" i="1"/>
  <c r="BX396" i="1"/>
  <c r="BW396" i="1" a="1"/>
  <c r="BW396" i="1"/>
  <c r="BV396" i="1"/>
  <c r="BU396" i="1"/>
  <c r="BT396" i="1"/>
  <c r="BS396" i="1" a="1"/>
  <c r="BS396" i="1"/>
  <c r="BR396" i="1"/>
  <c r="BQ396" i="1"/>
  <c r="BP396" i="1"/>
  <c r="BO396" i="1" a="1"/>
  <c r="BO396" i="1"/>
  <c r="BN396" i="1"/>
  <c r="BM396" i="1"/>
  <c r="BL396" i="1"/>
  <c r="BK396" i="1"/>
  <c r="BJ396" i="1"/>
  <c r="U396" i="1"/>
  <c r="T396" i="1"/>
  <c r="S396" i="1"/>
  <c r="R396" i="1"/>
  <c r="Q396" i="1"/>
  <c r="F396" i="1"/>
  <c r="E396" i="1"/>
  <c r="D396" i="1"/>
  <c r="C396" i="1"/>
  <c r="CJ395" i="1"/>
  <c r="CI395" i="1" a="1"/>
  <c r="CI395" i="1"/>
  <c r="CH395" i="1" a="1"/>
  <c r="CH395" i="1"/>
  <c r="CG395" i="1"/>
  <c r="CF395" i="1"/>
  <c r="CE395" i="1" a="1"/>
  <c r="CE395" i="1"/>
  <c r="CD395" i="1" a="1"/>
  <c r="CD395" i="1"/>
  <c r="CC395" i="1"/>
  <c r="CB395" i="1"/>
  <c r="CA395" i="1" a="1"/>
  <c r="CA395" i="1"/>
  <c r="BZ395" i="1" a="1"/>
  <c r="BZ395" i="1"/>
  <c r="BY395" i="1"/>
  <c r="BX395" i="1"/>
  <c r="BW395" i="1" a="1"/>
  <c r="BW395" i="1"/>
  <c r="BV395" i="1"/>
  <c r="BU395" i="1"/>
  <c r="BT395" i="1"/>
  <c r="BS395" i="1" a="1"/>
  <c r="BS395" i="1"/>
  <c r="BR395" i="1"/>
  <c r="BQ395" i="1"/>
  <c r="BP395" i="1"/>
  <c r="BO395" i="1" a="1"/>
  <c r="BO395" i="1"/>
  <c r="BN395" i="1"/>
  <c r="BM395" i="1"/>
  <c r="BL395" i="1"/>
  <c r="BK395" i="1"/>
  <c r="BJ395" i="1"/>
  <c r="U395" i="1"/>
  <c r="T395" i="1"/>
  <c r="S395" i="1"/>
  <c r="R395" i="1"/>
  <c r="Q395" i="1"/>
  <c r="F395" i="1"/>
  <c r="E395" i="1"/>
  <c r="D395" i="1"/>
  <c r="C395" i="1"/>
  <c r="CJ394" i="1"/>
  <c r="CI394" i="1" a="1"/>
  <c r="CI394" i="1"/>
  <c r="CH394" i="1" a="1"/>
  <c r="CH394" i="1"/>
  <c r="CG394" i="1"/>
  <c r="CF394" i="1"/>
  <c r="CE394" i="1" a="1"/>
  <c r="CE394" i="1"/>
  <c r="CD394" i="1" a="1"/>
  <c r="CD394" i="1"/>
  <c r="CC394" i="1"/>
  <c r="CB394" i="1"/>
  <c r="CA394" i="1" a="1"/>
  <c r="CA394" i="1"/>
  <c r="BZ394" i="1" a="1"/>
  <c r="BZ394" i="1"/>
  <c r="BY394" i="1"/>
  <c r="BX394" i="1"/>
  <c r="BW394" i="1" a="1"/>
  <c r="BW394" i="1"/>
  <c r="BV394" i="1"/>
  <c r="BU394" i="1"/>
  <c r="BT394" i="1"/>
  <c r="BS394" i="1" a="1"/>
  <c r="BS394" i="1"/>
  <c r="BR394" i="1"/>
  <c r="BQ394" i="1"/>
  <c r="BP394" i="1"/>
  <c r="BO394" i="1" a="1"/>
  <c r="BO394" i="1"/>
  <c r="BN394" i="1"/>
  <c r="BM394" i="1"/>
  <c r="BL394" i="1"/>
  <c r="BK394" i="1"/>
  <c r="BJ394" i="1"/>
  <c r="U394" i="1"/>
  <c r="T394" i="1"/>
  <c r="S394" i="1"/>
  <c r="R394" i="1"/>
  <c r="Q394" i="1"/>
  <c r="F394" i="1"/>
  <c r="E394" i="1"/>
  <c r="D394" i="1"/>
  <c r="C394" i="1"/>
  <c r="CJ393" i="1"/>
  <c r="CI393" i="1" a="1"/>
  <c r="CI393" i="1"/>
  <c r="CH393" i="1" a="1"/>
  <c r="CH393" i="1"/>
  <c r="CG393" i="1"/>
  <c r="CF393" i="1"/>
  <c r="CE393" i="1" a="1"/>
  <c r="CE393" i="1"/>
  <c r="CD393" i="1" a="1"/>
  <c r="CD393" i="1"/>
  <c r="CC393" i="1"/>
  <c r="CB393" i="1"/>
  <c r="CA393" i="1" a="1"/>
  <c r="CA393" i="1"/>
  <c r="BZ393" i="1" a="1"/>
  <c r="BZ393" i="1"/>
  <c r="BY393" i="1"/>
  <c r="BX393" i="1"/>
  <c r="BW393" i="1" a="1"/>
  <c r="BW393" i="1"/>
  <c r="BV393" i="1"/>
  <c r="BU393" i="1"/>
  <c r="BT393" i="1"/>
  <c r="BS393" i="1" a="1"/>
  <c r="BS393" i="1"/>
  <c r="BR393" i="1"/>
  <c r="BQ393" i="1"/>
  <c r="BP393" i="1"/>
  <c r="BO393" i="1" a="1"/>
  <c r="BO393" i="1"/>
  <c r="BN393" i="1"/>
  <c r="BM393" i="1"/>
  <c r="BL393" i="1"/>
  <c r="BK393" i="1"/>
  <c r="BJ393" i="1"/>
  <c r="U393" i="1"/>
  <c r="T393" i="1"/>
  <c r="S393" i="1"/>
  <c r="R393" i="1"/>
  <c r="Q393" i="1"/>
  <c r="F393" i="1"/>
  <c r="E393" i="1"/>
  <c r="D393" i="1"/>
  <c r="C393" i="1"/>
  <c r="CJ392" i="1"/>
  <c r="CI392" i="1" a="1"/>
  <c r="CI392" i="1"/>
  <c r="CH392" i="1" a="1"/>
  <c r="CH392" i="1"/>
  <c r="CG392" i="1"/>
  <c r="CF392" i="1"/>
  <c r="CE392" i="1" a="1"/>
  <c r="CE392" i="1"/>
  <c r="CD392" i="1" a="1"/>
  <c r="CD392" i="1"/>
  <c r="CC392" i="1"/>
  <c r="CB392" i="1"/>
  <c r="CA392" i="1" a="1"/>
  <c r="CA392" i="1"/>
  <c r="BZ392" i="1" a="1"/>
  <c r="BZ392" i="1"/>
  <c r="BY392" i="1"/>
  <c r="BX392" i="1"/>
  <c r="BW392" i="1" a="1"/>
  <c r="BW392" i="1"/>
  <c r="BV392" i="1"/>
  <c r="BU392" i="1"/>
  <c r="BT392" i="1"/>
  <c r="BS392" i="1" a="1"/>
  <c r="BS392" i="1"/>
  <c r="BR392" i="1"/>
  <c r="BQ392" i="1"/>
  <c r="BP392" i="1"/>
  <c r="BO392" i="1" a="1"/>
  <c r="BO392" i="1"/>
  <c r="BN392" i="1"/>
  <c r="BM392" i="1"/>
  <c r="BL392" i="1"/>
  <c r="BK392" i="1"/>
  <c r="BJ392" i="1"/>
  <c r="U392" i="1"/>
  <c r="T392" i="1"/>
  <c r="S392" i="1"/>
  <c r="R392" i="1"/>
  <c r="Q392" i="1"/>
  <c r="F392" i="1"/>
  <c r="E392" i="1"/>
  <c r="D392" i="1"/>
  <c r="C392" i="1"/>
  <c r="CJ391" i="1"/>
  <c r="CI391" i="1" a="1"/>
  <c r="CI391" i="1"/>
  <c r="CH391" i="1" a="1"/>
  <c r="CH391" i="1"/>
  <c r="CG391" i="1"/>
  <c r="CF391" i="1"/>
  <c r="CE391" i="1" a="1"/>
  <c r="CE391" i="1"/>
  <c r="CD391" i="1" a="1"/>
  <c r="CD391" i="1"/>
  <c r="CC391" i="1"/>
  <c r="CB391" i="1"/>
  <c r="CA391" i="1" a="1"/>
  <c r="CA391" i="1"/>
  <c r="BZ391" i="1" a="1"/>
  <c r="BZ391" i="1"/>
  <c r="BY391" i="1"/>
  <c r="BX391" i="1"/>
  <c r="BW391" i="1" a="1"/>
  <c r="BW391" i="1"/>
  <c r="BV391" i="1"/>
  <c r="BU391" i="1"/>
  <c r="BT391" i="1"/>
  <c r="BS391" i="1" a="1"/>
  <c r="BS391" i="1"/>
  <c r="BR391" i="1"/>
  <c r="BQ391" i="1"/>
  <c r="BP391" i="1"/>
  <c r="BO391" i="1" a="1"/>
  <c r="BO391" i="1"/>
  <c r="BN391" i="1"/>
  <c r="BM391" i="1"/>
  <c r="BL391" i="1"/>
  <c r="BK391" i="1"/>
  <c r="BJ391" i="1"/>
  <c r="U391" i="1"/>
  <c r="T391" i="1"/>
  <c r="S391" i="1"/>
  <c r="R391" i="1"/>
  <c r="Q391" i="1"/>
  <c r="F391" i="1"/>
  <c r="E391" i="1"/>
  <c r="D391" i="1"/>
  <c r="C391" i="1"/>
  <c r="CJ390" i="1"/>
  <c r="CI390" i="1" a="1"/>
  <c r="CI390" i="1"/>
  <c r="CH390" i="1" a="1"/>
  <c r="CH390" i="1"/>
  <c r="CG390" i="1"/>
  <c r="CF390" i="1"/>
  <c r="CE390" i="1" a="1"/>
  <c r="CE390" i="1"/>
  <c r="CD390" i="1" a="1"/>
  <c r="CD390" i="1"/>
  <c r="CC390" i="1"/>
  <c r="CB390" i="1"/>
  <c r="CA390" i="1" a="1"/>
  <c r="CA390" i="1"/>
  <c r="BZ390" i="1" a="1"/>
  <c r="BZ390" i="1"/>
  <c r="BY390" i="1"/>
  <c r="BX390" i="1"/>
  <c r="BW390" i="1" a="1"/>
  <c r="BW390" i="1"/>
  <c r="BV390" i="1"/>
  <c r="BU390" i="1"/>
  <c r="BT390" i="1"/>
  <c r="BS390" i="1" a="1"/>
  <c r="BS390" i="1"/>
  <c r="BR390" i="1"/>
  <c r="BQ390" i="1"/>
  <c r="BP390" i="1"/>
  <c r="BO390" i="1" a="1"/>
  <c r="BO390" i="1"/>
  <c r="BN390" i="1"/>
  <c r="BM390" i="1"/>
  <c r="BL390" i="1"/>
  <c r="BK390" i="1"/>
  <c r="BJ390" i="1"/>
  <c r="U390" i="1"/>
  <c r="T390" i="1"/>
  <c r="S390" i="1"/>
  <c r="R390" i="1"/>
  <c r="Q390" i="1"/>
  <c r="F390" i="1"/>
  <c r="E390" i="1"/>
  <c r="D390" i="1"/>
  <c r="C390" i="1"/>
  <c r="CJ389" i="1"/>
  <c r="CI389" i="1" a="1"/>
  <c r="CI389" i="1"/>
  <c r="CH389" i="1" a="1"/>
  <c r="CH389" i="1"/>
  <c r="CG389" i="1"/>
  <c r="CF389" i="1"/>
  <c r="CE389" i="1" a="1"/>
  <c r="CE389" i="1"/>
  <c r="CD389" i="1" a="1"/>
  <c r="CD389" i="1"/>
  <c r="CC389" i="1"/>
  <c r="CB389" i="1"/>
  <c r="CA389" i="1" a="1"/>
  <c r="CA389" i="1"/>
  <c r="BZ389" i="1" a="1"/>
  <c r="BZ389" i="1"/>
  <c r="BY389" i="1"/>
  <c r="BX389" i="1"/>
  <c r="BW389" i="1" a="1"/>
  <c r="BW389" i="1"/>
  <c r="BV389" i="1"/>
  <c r="BU389" i="1"/>
  <c r="BT389" i="1"/>
  <c r="BS389" i="1" a="1"/>
  <c r="BS389" i="1"/>
  <c r="BR389" i="1"/>
  <c r="BQ389" i="1"/>
  <c r="BP389" i="1"/>
  <c r="BO389" i="1" a="1"/>
  <c r="BO389" i="1"/>
  <c r="BN389" i="1"/>
  <c r="BM389" i="1"/>
  <c r="BL389" i="1"/>
  <c r="BK389" i="1"/>
  <c r="BJ389" i="1"/>
  <c r="U389" i="1"/>
  <c r="T389" i="1"/>
  <c r="S389" i="1"/>
  <c r="R389" i="1"/>
  <c r="Q389" i="1"/>
  <c r="F389" i="1"/>
  <c r="E389" i="1"/>
  <c r="D389" i="1"/>
  <c r="C389" i="1"/>
  <c r="CJ388" i="1"/>
  <c r="CI388" i="1" a="1"/>
  <c r="CI388" i="1"/>
  <c r="CH388" i="1" a="1"/>
  <c r="CH388" i="1"/>
  <c r="CG388" i="1"/>
  <c r="CF388" i="1"/>
  <c r="CE388" i="1" a="1"/>
  <c r="CE388" i="1"/>
  <c r="CD388" i="1" a="1"/>
  <c r="CD388" i="1"/>
  <c r="CC388" i="1"/>
  <c r="CB388" i="1"/>
  <c r="CA388" i="1" a="1"/>
  <c r="CA388" i="1"/>
  <c r="BZ388" i="1" a="1"/>
  <c r="BZ388" i="1"/>
  <c r="BY388" i="1"/>
  <c r="BX388" i="1"/>
  <c r="BW388" i="1" a="1"/>
  <c r="BW388" i="1"/>
  <c r="BV388" i="1"/>
  <c r="BU388" i="1"/>
  <c r="BT388" i="1"/>
  <c r="BS388" i="1" a="1"/>
  <c r="BS388" i="1"/>
  <c r="BR388" i="1"/>
  <c r="BQ388" i="1"/>
  <c r="BP388" i="1"/>
  <c r="BO388" i="1" a="1"/>
  <c r="BO388" i="1"/>
  <c r="BN388" i="1"/>
  <c r="BM388" i="1"/>
  <c r="BL388" i="1"/>
  <c r="BK388" i="1"/>
  <c r="BJ388" i="1"/>
  <c r="U388" i="1"/>
  <c r="T388" i="1"/>
  <c r="S388" i="1"/>
  <c r="R388" i="1"/>
  <c r="Q388" i="1"/>
  <c r="F388" i="1"/>
  <c r="E388" i="1"/>
  <c r="D388" i="1"/>
  <c r="C388" i="1"/>
  <c r="CJ387" i="1"/>
  <c r="CI387" i="1" a="1"/>
  <c r="CI387" i="1"/>
  <c r="CH387" i="1" a="1"/>
  <c r="CH387" i="1"/>
  <c r="CG387" i="1"/>
  <c r="CF387" i="1"/>
  <c r="CE387" i="1" a="1"/>
  <c r="CE387" i="1"/>
  <c r="CD387" i="1" a="1"/>
  <c r="CD387" i="1"/>
  <c r="CC387" i="1"/>
  <c r="CB387" i="1"/>
  <c r="CA387" i="1" a="1"/>
  <c r="CA387" i="1"/>
  <c r="BZ387" i="1" a="1"/>
  <c r="BZ387" i="1"/>
  <c r="BY387" i="1"/>
  <c r="BX387" i="1"/>
  <c r="BW387" i="1" a="1"/>
  <c r="BW387" i="1"/>
  <c r="BV387" i="1"/>
  <c r="BU387" i="1"/>
  <c r="BT387" i="1"/>
  <c r="BS387" i="1" a="1"/>
  <c r="BS387" i="1"/>
  <c r="BR387" i="1"/>
  <c r="BQ387" i="1"/>
  <c r="BP387" i="1"/>
  <c r="BO387" i="1" a="1"/>
  <c r="BO387" i="1"/>
  <c r="BN387" i="1"/>
  <c r="BM387" i="1"/>
  <c r="BL387" i="1"/>
  <c r="BK387" i="1"/>
  <c r="BJ387" i="1"/>
  <c r="U387" i="1"/>
  <c r="T387" i="1"/>
  <c r="S387" i="1"/>
  <c r="R387" i="1"/>
  <c r="Q387" i="1"/>
  <c r="F387" i="1"/>
  <c r="E387" i="1"/>
  <c r="D387" i="1"/>
  <c r="C387" i="1"/>
  <c r="CJ386" i="1"/>
  <c r="CI386" i="1" a="1"/>
  <c r="CI386" i="1"/>
  <c r="CH386" i="1" a="1"/>
  <c r="CH386" i="1"/>
  <c r="CG386" i="1"/>
  <c r="CF386" i="1"/>
  <c r="CE386" i="1" a="1"/>
  <c r="CE386" i="1"/>
  <c r="CD386" i="1" a="1"/>
  <c r="CD386" i="1"/>
  <c r="CC386" i="1"/>
  <c r="CB386" i="1"/>
  <c r="CA386" i="1" a="1"/>
  <c r="CA386" i="1"/>
  <c r="BZ386" i="1" a="1"/>
  <c r="BZ386" i="1"/>
  <c r="BY386" i="1"/>
  <c r="BX386" i="1"/>
  <c r="BW386" i="1" a="1"/>
  <c r="BW386" i="1"/>
  <c r="BV386" i="1"/>
  <c r="BU386" i="1"/>
  <c r="BT386" i="1"/>
  <c r="BS386" i="1" a="1"/>
  <c r="BS386" i="1"/>
  <c r="BR386" i="1"/>
  <c r="BQ386" i="1"/>
  <c r="BP386" i="1"/>
  <c r="BO386" i="1" a="1"/>
  <c r="BO386" i="1"/>
  <c r="BN386" i="1"/>
  <c r="BM386" i="1"/>
  <c r="BL386" i="1"/>
  <c r="BK386" i="1"/>
  <c r="BJ386" i="1"/>
  <c r="U386" i="1"/>
  <c r="T386" i="1"/>
  <c r="S386" i="1"/>
  <c r="R386" i="1"/>
  <c r="Q386" i="1"/>
  <c r="F386" i="1"/>
  <c r="E386" i="1"/>
  <c r="D386" i="1"/>
  <c r="C386" i="1"/>
  <c r="CJ385" i="1"/>
  <c r="CI385" i="1" a="1"/>
  <c r="CI385" i="1"/>
  <c r="CH385" i="1" a="1"/>
  <c r="CH385" i="1"/>
  <c r="CG385" i="1"/>
  <c r="CF385" i="1"/>
  <c r="CE385" i="1" a="1"/>
  <c r="CE385" i="1"/>
  <c r="CD385" i="1" a="1"/>
  <c r="CD385" i="1"/>
  <c r="CC385" i="1"/>
  <c r="CB385" i="1"/>
  <c r="CA385" i="1" a="1"/>
  <c r="CA385" i="1"/>
  <c r="BZ385" i="1" a="1"/>
  <c r="BZ385" i="1"/>
  <c r="BY385" i="1"/>
  <c r="BX385" i="1"/>
  <c r="BW385" i="1" a="1"/>
  <c r="BW385" i="1"/>
  <c r="BV385" i="1"/>
  <c r="BU385" i="1"/>
  <c r="BT385" i="1"/>
  <c r="BS385" i="1" a="1"/>
  <c r="BS385" i="1"/>
  <c r="BR385" i="1"/>
  <c r="BQ385" i="1"/>
  <c r="BP385" i="1"/>
  <c r="BO385" i="1" a="1"/>
  <c r="BO385" i="1"/>
  <c r="BN385" i="1"/>
  <c r="BM385" i="1"/>
  <c r="BL385" i="1"/>
  <c r="BK385" i="1"/>
  <c r="BJ385" i="1"/>
  <c r="U385" i="1"/>
  <c r="T385" i="1"/>
  <c r="S385" i="1"/>
  <c r="R385" i="1"/>
  <c r="Q385" i="1"/>
  <c r="F385" i="1"/>
  <c r="E385" i="1"/>
  <c r="D385" i="1"/>
  <c r="C385" i="1"/>
  <c r="CJ384" i="1"/>
  <c r="CI384" i="1" a="1"/>
  <c r="CI384" i="1"/>
  <c r="CH384" i="1" a="1"/>
  <c r="CH384" i="1"/>
  <c r="CG384" i="1"/>
  <c r="CF384" i="1"/>
  <c r="CE384" i="1" a="1"/>
  <c r="CE384" i="1"/>
  <c r="CD384" i="1" a="1"/>
  <c r="CD384" i="1"/>
  <c r="CC384" i="1"/>
  <c r="CB384" i="1"/>
  <c r="CA384" i="1" a="1"/>
  <c r="CA384" i="1"/>
  <c r="BZ384" i="1" a="1"/>
  <c r="BZ384" i="1"/>
  <c r="BY384" i="1"/>
  <c r="BX384" i="1"/>
  <c r="BW384" i="1" a="1"/>
  <c r="BW384" i="1"/>
  <c r="BV384" i="1"/>
  <c r="BU384" i="1"/>
  <c r="BT384" i="1"/>
  <c r="BS384" i="1" a="1"/>
  <c r="BS384" i="1"/>
  <c r="BR384" i="1"/>
  <c r="BQ384" i="1"/>
  <c r="BP384" i="1"/>
  <c r="BO384" i="1" a="1"/>
  <c r="BO384" i="1"/>
  <c r="BN384" i="1"/>
  <c r="BM384" i="1"/>
  <c r="BL384" i="1"/>
  <c r="BK384" i="1"/>
  <c r="BJ384" i="1"/>
  <c r="U384" i="1"/>
  <c r="T384" i="1"/>
  <c r="S384" i="1"/>
  <c r="R384" i="1"/>
  <c r="Q384" i="1"/>
  <c r="F384" i="1"/>
  <c r="E384" i="1"/>
  <c r="D384" i="1"/>
  <c r="C384" i="1"/>
  <c r="CJ383" i="1"/>
  <c r="CI383" i="1" a="1"/>
  <c r="CI383" i="1"/>
  <c r="CH383" i="1" a="1"/>
  <c r="CH383" i="1"/>
  <c r="CG383" i="1"/>
  <c r="CF383" i="1"/>
  <c r="CE383" i="1" a="1"/>
  <c r="CE383" i="1"/>
  <c r="CD383" i="1" a="1"/>
  <c r="CD383" i="1"/>
  <c r="CC383" i="1"/>
  <c r="CB383" i="1"/>
  <c r="CA383" i="1" a="1"/>
  <c r="CA383" i="1"/>
  <c r="BZ383" i="1" a="1"/>
  <c r="BZ383" i="1"/>
  <c r="BY383" i="1"/>
  <c r="BX383" i="1"/>
  <c r="BW383" i="1" a="1"/>
  <c r="BW383" i="1"/>
  <c r="BV383" i="1"/>
  <c r="BU383" i="1"/>
  <c r="BT383" i="1"/>
  <c r="BS383" i="1" a="1"/>
  <c r="BS383" i="1"/>
  <c r="BR383" i="1"/>
  <c r="BQ383" i="1"/>
  <c r="BP383" i="1"/>
  <c r="BO383" i="1" a="1"/>
  <c r="BO383" i="1"/>
  <c r="BN383" i="1"/>
  <c r="BM383" i="1"/>
  <c r="BL383" i="1"/>
  <c r="BK383" i="1"/>
  <c r="BJ383" i="1"/>
  <c r="U383" i="1"/>
  <c r="T383" i="1"/>
  <c r="S383" i="1"/>
  <c r="R383" i="1"/>
  <c r="Q383" i="1"/>
  <c r="F383" i="1"/>
  <c r="E383" i="1"/>
  <c r="D383" i="1"/>
  <c r="C383" i="1"/>
  <c r="CJ382" i="1"/>
  <c r="CI382" i="1" a="1"/>
  <c r="CI382" i="1"/>
  <c r="CH382" i="1" a="1"/>
  <c r="CH382" i="1"/>
  <c r="CG382" i="1"/>
  <c r="CF382" i="1"/>
  <c r="CE382" i="1" a="1"/>
  <c r="CE382" i="1"/>
  <c r="CD382" i="1" a="1"/>
  <c r="CD382" i="1"/>
  <c r="CC382" i="1"/>
  <c r="CB382" i="1"/>
  <c r="CA382" i="1" a="1"/>
  <c r="CA382" i="1"/>
  <c r="BZ382" i="1" a="1"/>
  <c r="BZ382" i="1"/>
  <c r="BY382" i="1"/>
  <c r="BX382" i="1"/>
  <c r="BW382" i="1" a="1"/>
  <c r="BW382" i="1"/>
  <c r="BV382" i="1"/>
  <c r="BU382" i="1"/>
  <c r="BT382" i="1"/>
  <c r="BS382" i="1" a="1"/>
  <c r="BS382" i="1"/>
  <c r="BR382" i="1"/>
  <c r="BQ382" i="1"/>
  <c r="BP382" i="1"/>
  <c r="BO382" i="1" a="1"/>
  <c r="BO382" i="1"/>
  <c r="BN382" i="1"/>
  <c r="BM382" i="1"/>
  <c r="BL382" i="1"/>
  <c r="BK382" i="1"/>
  <c r="BJ382" i="1"/>
  <c r="U382" i="1"/>
  <c r="T382" i="1"/>
  <c r="S382" i="1"/>
  <c r="R382" i="1"/>
  <c r="Q382" i="1"/>
  <c r="F382" i="1"/>
  <c r="E382" i="1"/>
  <c r="D382" i="1"/>
  <c r="C382" i="1"/>
  <c r="CJ381" i="1"/>
  <c r="CI381" i="1" a="1"/>
  <c r="CI381" i="1"/>
  <c r="CH381" i="1" a="1"/>
  <c r="CH381" i="1"/>
  <c r="CG381" i="1"/>
  <c r="CF381" i="1"/>
  <c r="CE381" i="1" a="1"/>
  <c r="CE381" i="1"/>
  <c r="CD381" i="1" a="1"/>
  <c r="CD381" i="1"/>
  <c r="CC381" i="1"/>
  <c r="CB381" i="1"/>
  <c r="CA381" i="1" a="1"/>
  <c r="CA381" i="1"/>
  <c r="BZ381" i="1" a="1"/>
  <c r="BZ381" i="1"/>
  <c r="BY381" i="1"/>
  <c r="BX381" i="1"/>
  <c r="BW381" i="1" a="1"/>
  <c r="BW381" i="1"/>
  <c r="BV381" i="1"/>
  <c r="BU381" i="1"/>
  <c r="BT381" i="1"/>
  <c r="BS381" i="1" a="1"/>
  <c r="BS381" i="1"/>
  <c r="BR381" i="1"/>
  <c r="BQ381" i="1"/>
  <c r="BP381" i="1"/>
  <c r="BO381" i="1" a="1"/>
  <c r="BO381" i="1"/>
  <c r="BN381" i="1"/>
  <c r="BM381" i="1"/>
  <c r="BL381" i="1"/>
  <c r="BK381" i="1"/>
  <c r="BJ381" i="1"/>
  <c r="U381" i="1"/>
  <c r="T381" i="1"/>
  <c r="S381" i="1"/>
  <c r="R381" i="1"/>
  <c r="Q381" i="1"/>
  <c r="F381" i="1"/>
  <c r="E381" i="1"/>
  <c r="D381" i="1"/>
  <c r="C381" i="1"/>
  <c r="CJ380" i="1"/>
  <c r="CI380" i="1" a="1"/>
  <c r="CI380" i="1"/>
  <c r="CH380" i="1" a="1"/>
  <c r="CH380" i="1"/>
  <c r="CG380" i="1"/>
  <c r="CF380" i="1"/>
  <c r="CE380" i="1" a="1"/>
  <c r="CE380" i="1"/>
  <c r="CD380" i="1" a="1"/>
  <c r="CD380" i="1"/>
  <c r="CC380" i="1"/>
  <c r="CB380" i="1"/>
  <c r="CA380" i="1" a="1"/>
  <c r="CA380" i="1"/>
  <c r="BZ380" i="1" a="1"/>
  <c r="BZ380" i="1"/>
  <c r="BY380" i="1"/>
  <c r="BX380" i="1"/>
  <c r="BW380" i="1" a="1"/>
  <c r="BW380" i="1"/>
  <c r="BV380" i="1"/>
  <c r="BU380" i="1"/>
  <c r="BT380" i="1"/>
  <c r="BS380" i="1" a="1"/>
  <c r="BS380" i="1"/>
  <c r="BR380" i="1"/>
  <c r="BQ380" i="1"/>
  <c r="BP380" i="1"/>
  <c r="BO380" i="1" a="1"/>
  <c r="BO380" i="1"/>
  <c r="BN380" i="1"/>
  <c r="BM380" i="1"/>
  <c r="BL380" i="1"/>
  <c r="BK380" i="1"/>
  <c r="BJ380" i="1"/>
  <c r="U380" i="1"/>
  <c r="T380" i="1"/>
  <c r="S380" i="1"/>
  <c r="R380" i="1"/>
  <c r="Q380" i="1"/>
  <c r="F380" i="1"/>
  <c r="E380" i="1"/>
  <c r="D380" i="1"/>
  <c r="C380" i="1"/>
  <c r="CJ379" i="1"/>
  <c r="CI379" i="1" a="1"/>
  <c r="CI379" i="1"/>
  <c r="CH379" i="1" a="1"/>
  <c r="CH379" i="1"/>
  <c r="CG379" i="1"/>
  <c r="CF379" i="1"/>
  <c r="CE379" i="1" a="1"/>
  <c r="CE379" i="1"/>
  <c r="CD379" i="1" a="1"/>
  <c r="CD379" i="1"/>
  <c r="CC379" i="1"/>
  <c r="CB379" i="1"/>
  <c r="CA379" i="1" a="1"/>
  <c r="CA379" i="1"/>
  <c r="BZ379" i="1" a="1"/>
  <c r="BZ379" i="1"/>
  <c r="BY379" i="1"/>
  <c r="BX379" i="1"/>
  <c r="BW379" i="1" a="1"/>
  <c r="BW379" i="1"/>
  <c r="BV379" i="1"/>
  <c r="BU379" i="1"/>
  <c r="BT379" i="1"/>
  <c r="BS379" i="1" a="1"/>
  <c r="BS379" i="1"/>
  <c r="BR379" i="1"/>
  <c r="BQ379" i="1"/>
  <c r="BP379" i="1"/>
  <c r="BO379" i="1" a="1"/>
  <c r="BO379" i="1"/>
  <c r="BN379" i="1"/>
  <c r="BM379" i="1"/>
  <c r="BL379" i="1"/>
  <c r="BK379" i="1"/>
  <c r="BJ379" i="1"/>
  <c r="U379" i="1"/>
  <c r="T379" i="1"/>
  <c r="S379" i="1"/>
  <c r="R379" i="1"/>
  <c r="Q379" i="1"/>
  <c r="F379" i="1"/>
  <c r="E379" i="1"/>
  <c r="D379" i="1"/>
  <c r="C379" i="1"/>
  <c r="CJ378" i="1"/>
  <c r="CI378" i="1" a="1"/>
  <c r="CI378" i="1"/>
  <c r="CH378" i="1" a="1"/>
  <c r="CH378" i="1"/>
  <c r="CG378" i="1"/>
  <c r="CF378" i="1"/>
  <c r="CE378" i="1" a="1"/>
  <c r="CE378" i="1"/>
  <c r="CD378" i="1" a="1"/>
  <c r="CD378" i="1"/>
  <c r="CC378" i="1"/>
  <c r="CB378" i="1"/>
  <c r="CA378" i="1" a="1"/>
  <c r="CA378" i="1"/>
  <c r="BZ378" i="1" a="1"/>
  <c r="BZ378" i="1"/>
  <c r="BY378" i="1"/>
  <c r="BX378" i="1"/>
  <c r="BW378" i="1" a="1"/>
  <c r="BW378" i="1"/>
  <c r="BV378" i="1"/>
  <c r="BU378" i="1"/>
  <c r="BT378" i="1"/>
  <c r="BS378" i="1" a="1"/>
  <c r="BS378" i="1"/>
  <c r="BR378" i="1"/>
  <c r="BQ378" i="1"/>
  <c r="BP378" i="1"/>
  <c r="BO378" i="1" a="1"/>
  <c r="BO378" i="1"/>
  <c r="BN378" i="1"/>
  <c r="BM378" i="1"/>
  <c r="BL378" i="1"/>
  <c r="BK378" i="1"/>
  <c r="BJ378" i="1"/>
  <c r="U378" i="1"/>
  <c r="T378" i="1"/>
  <c r="S378" i="1"/>
  <c r="R378" i="1"/>
  <c r="Q378" i="1"/>
  <c r="F378" i="1"/>
  <c r="E378" i="1"/>
  <c r="D378" i="1"/>
  <c r="C378" i="1"/>
  <c r="CJ377" i="1"/>
  <c r="CI377" i="1" a="1"/>
  <c r="CI377" i="1"/>
  <c r="CH377" i="1" a="1"/>
  <c r="CH377" i="1"/>
  <c r="CG377" i="1"/>
  <c r="CF377" i="1"/>
  <c r="CE377" i="1" a="1"/>
  <c r="CE377" i="1"/>
  <c r="CD377" i="1" a="1"/>
  <c r="CD377" i="1"/>
  <c r="CC377" i="1"/>
  <c r="CB377" i="1"/>
  <c r="CA377" i="1" a="1"/>
  <c r="CA377" i="1"/>
  <c r="BZ377" i="1" a="1"/>
  <c r="BZ377" i="1"/>
  <c r="BY377" i="1"/>
  <c r="BX377" i="1"/>
  <c r="BW377" i="1" a="1"/>
  <c r="BW377" i="1"/>
  <c r="BV377" i="1"/>
  <c r="BU377" i="1"/>
  <c r="BT377" i="1"/>
  <c r="BS377" i="1" a="1"/>
  <c r="BS377" i="1"/>
  <c r="BR377" i="1"/>
  <c r="BQ377" i="1"/>
  <c r="BP377" i="1"/>
  <c r="BO377" i="1" a="1"/>
  <c r="BO377" i="1"/>
  <c r="BN377" i="1"/>
  <c r="BM377" i="1"/>
  <c r="BL377" i="1"/>
  <c r="BK377" i="1"/>
  <c r="BJ377" i="1"/>
  <c r="U377" i="1"/>
  <c r="T377" i="1"/>
  <c r="S377" i="1"/>
  <c r="R377" i="1"/>
  <c r="Q377" i="1"/>
  <c r="F377" i="1"/>
  <c r="E377" i="1"/>
  <c r="D377" i="1"/>
  <c r="C377" i="1"/>
  <c r="CJ376" i="1"/>
  <c r="CI376" i="1" a="1"/>
  <c r="CI376" i="1"/>
  <c r="CH376" i="1" a="1"/>
  <c r="CH376" i="1"/>
  <c r="CG376" i="1"/>
  <c r="CF376" i="1"/>
  <c r="CE376" i="1" a="1"/>
  <c r="CE376" i="1"/>
  <c r="CD376" i="1" a="1"/>
  <c r="CD376" i="1"/>
  <c r="CC376" i="1"/>
  <c r="CB376" i="1"/>
  <c r="CA376" i="1" a="1"/>
  <c r="CA376" i="1"/>
  <c r="BZ376" i="1" a="1"/>
  <c r="BZ376" i="1"/>
  <c r="BY376" i="1"/>
  <c r="BX376" i="1"/>
  <c r="BW376" i="1" a="1"/>
  <c r="BW376" i="1"/>
  <c r="BV376" i="1"/>
  <c r="BU376" i="1"/>
  <c r="BT376" i="1"/>
  <c r="BS376" i="1" a="1"/>
  <c r="BS376" i="1"/>
  <c r="BR376" i="1"/>
  <c r="BQ376" i="1"/>
  <c r="BP376" i="1"/>
  <c r="BO376" i="1" a="1"/>
  <c r="BO376" i="1"/>
  <c r="BN376" i="1"/>
  <c r="BM376" i="1"/>
  <c r="BL376" i="1"/>
  <c r="BK376" i="1"/>
  <c r="BJ376" i="1"/>
  <c r="U376" i="1"/>
  <c r="T376" i="1"/>
  <c r="S376" i="1"/>
  <c r="R376" i="1"/>
  <c r="Q376" i="1"/>
  <c r="F376" i="1"/>
  <c r="E376" i="1"/>
  <c r="D376" i="1"/>
  <c r="C376" i="1"/>
  <c r="CJ375" i="1"/>
  <c r="CI375" i="1" a="1"/>
  <c r="CI375" i="1"/>
  <c r="CH375" i="1" a="1"/>
  <c r="CH375" i="1"/>
  <c r="CG375" i="1"/>
  <c r="CF375" i="1"/>
  <c r="CE375" i="1" a="1"/>
  <c r="CE375" i="1"/>
  <c r="CD375" i="1" a="1"/>
  <c r="CD375" i="1"/>
  <c r="CC375" i="1"/>
  <c r="CB375" i="1"/>
  <c r="CA375" i="1" a="1"/>
  <c r="CA375" i="1"/>
  <c r="BZ375" i="1" a="1"/>
  <c r="BZ375" i="1"/>
  <c r="BY375" i="1"/>
  <c r="BX375" i="1"/>
  <c r="BW375" i="1" a="1"/>
  <c r="BW375" i="1"/>
  <c r="BV375" i="1"/>
  <c r="BU375" i="1"/>
  <c r="BT375" i="1"/>
  <c r="BS375" i="1" a="1"/>
  <c r="BS375" i="1"/>
  <c r="BR375" i="1"/>
  <c r="BQ375" i="1"/>
  <c r="BP375" i="1"/>
  <c r="BO375" i="1" a="1"/>
  <c r="BO375" i="1"/>
  <c r="BN375" i="1"/>
  <c r="BM375" i="1"/>
  <c r="BL375" i="1"/>
  <c r="BK375" i="1"/>
  <c r="BJ375" i="1"/>
  <c r="U375" i="1"/>
  <c r="T375" i="1"/>
  <c r="S375" i="1"/>
  <c r="R375" i="1"/>
  <c r="Q375" i="1"/>
  <c r="F375" i="1"/>
  <c r="E375" i="1"/>
  <c r="D375" i="1"/>
  <c r="C375" i="1"/>
  <c r="CJ374" i="1"/>
  <c r="CI374" i="1" a="1"/>
  <c r="CI374" i="1"/>
  <c r="CH374" i="1" a="1"/>
  <c r="CH374" i="1"/>
  <c r="CG374" i="1"/>
  <c r="CF374" i="1"/>
  <c r="CE374" i="1" a="1"/>
  <c r="CE374" i="1"/>
  <c r="CD374" i="1" a="1"/>
  <c r="CD374" i="1"/>
  <c r="CC374" i="1"/>
  <c r="CB374" i="1"/>
  <c r="CA374" i="1" a="1"/>
  <c r="CA374" i="1"/>
  <c r="BZ374" i="1" a="1"/>
  <c r="BZ374" i="1"/>
  <c r="BY374" i="1"/>
  <c r="BX374" i="1"/>
  <c r="BW374" i="1" a="1"/>
  <c r="BW374" i="1"/>
  <c r="BV374" i="1"/>
  <c r="BU374" i="1"/>
  <c r="BT374" i="1"/>
  <c r="BS374" i="1" a="1"/>
  <c r="BS374" i="1"/>
  <c r="BR374" i="1"/>
  <c r="BQ374" i="1"/>
  <c r="BP374" i="1"/>
  <c r="BO374" i="1" a="1"/>
  <c r="BO374" i="1"/>
  <c r="BN374" i="1"/>
  <c r="BM374" i="1"/>
  <c r="BL374" i="1"/>
  <c r="BK374" i="1"/>
  <c r="BJ374" i="1"/>
  <c r="U374" i="1"/>
  <c r="T374" i="1"/>
  <c r="S374" i="1"/>
  <c r="R374" i="1"/>
  <c r="Q374" i="1"/>
  <c r="F374" i="1"/>
  <c r="E374" i="1"/>
  <c r="D374" i="1"/>
  <c r="C374" i="1"/>
  <c r="CJ373" i="1"/>
  <c r="CI373" i="1" a="1"/>
  <c r="CI373" i="1"/>
  <c r="CH373" i="1" a="1"/>
  <c r="CH373" i="1"/>
  <c r="CG373" i="1"/>
  <c r="CF373" i="1"/>
  <c r="CE373" i="1" a="1"/>
  <c r="CE373" i="1"/>
  <c r="CD373" i="1" a="1"/>
  <c r="CD373" i="1"/>
  <c r="CC373" i="1"/>
  <c r="CB373" i="1"/>
  <c r="CA373" i="1" a="1"/>
  <c r="CA373" i="1"/>
  <c r="BZ373" i="1" a="1"/>
  <c r="BZ373" i="1"/>
  <c r="BY373" i="1"/>
  <c r="BX373" i="1"/>
  <c r="BW373" i="1" a="1"/>
  <c r="BW373" i="1"/>
  <c r="BV373" i="1"/>
  <c r="BU373" i="1"/>
  <c r="BT373" i="1"/>
  <c r="BS373" i="1" a="1"/>
  <c r="BS373" i="1"/>
  <c r="BR373" i="1"/>
  <c r="BQ373" i="1"/>
  <c r="BP373" i="1"/>
  <c r="BO373" i="1" a="1"/>
  <c r="BO373" i="1"/>
  <c r="BN373" i="1"/>
  <c r="BM373" i="1"/>
  <c r="BL373" i="1"/>
  <c r="BK373" i="1"/>
  <c r="BJ373" i="1"/>
  <c r="U373" i="1"/>
  <c r="T373" i="1"/>
  <c r="S373" i="1"/>
  <c r="R373" i="1"/>
  <c r="Q373" i="1"/>
  <c r="F373" i="1"/>
  <c r="E373" i="1"/>
  <c r="D373" i="1"/>
  <c r="C373" i="1"/>
  <c r="CJ372" i="1"/>
  <c r="CI372" i="1" a="1"/>
  <c r="CI372" i="1"/>
  <c r="CH372" i="1" a="1"/>
  <c r="CH372" i="1"/>
  <c r="CG372" i="1"/>
  <c r="CF372" i="1"/>
  <c r="CE372" i="1" a="1"/>
  <c r="CE372" i="1"/>
  <c r="CD372" i="1" a="1"/>
  <c r="CD372" i="1"/>
  <c r="CC372" i="1"/>
  <c r="CB372" i="1"/>
  <c r="CA372" i="1" a="1"/>
  <c r="CA372" i="1"/>
  <c r="BZ372" i="1" a="1"/>
  <c r="BZ372" i="1"/>
  <c r="BY372" i="1"/>
  <c r="BX372" i="1"/>
  <c r="BW372" i="1" a="1"/>
  <c r="BW372" i="1"/>
  <c r="BV372" i="1"/>
  <c r="BU372" i="1"/>
  <c r="BT372" i="1"/>
  <c r="BS372" i="1" a="1"/>
  <c r="BS372" i="1"/>
  <c r="BR372" i="1"/>
  <c r="BQ372" i="1"/>
  <c r="BP372" i="1"/>
  <c r="BO372" i="1" a="1"/>
  <c r="BO372" i="1"/>
  <c r="BN372" i="1"/>
  <c r="BM372" i="1"/>
  <c r="BL372" i="1"/>
  <c r="BK372" i="1"/>
  <c r="BJ372" i="1"/>
  <c r="U372" i="1"/>
  <c r="T372" i="1"/>
  <c r="S372" i="1"/>
  <c r="R372" i="1"/>
  <c r="Q372" i="1"/>
  <c r="F372" i="1"/>
  <c r="E372" i="1"/>
  <c r="D372" i="1"/>
  <c r="C372" i="1"/>
  <c r="CJ371" i="1"/>
  <c r="CI371" i="1" a="1"/>
  <c r="CI371" i="1"/>
  <c r="CH371" i="1" a="1"/>
  <c r="CH371" i="1"/>
  <c r="CG371" i="1"/>
  <c r="CF371" i="1"/>
  <c r="CE371" i="1" a="1"/>
  <c r="CE371" i="1"/>
  <c r="CD371" i="1" a="1"/>
  <c r="CD371" i="1"/>
  <c r="CC371" i="1"/>
  <c r="CB371" i="1"/>
  <c r="CA371" i="1" a="1"/>
  <c r="CA371" i="1"/>
  <c r="BZ371" i="1" a="1"/>
  <c r="BZ371" i="1"/>
  <c r="BY371" i="1"/>
  <c r="BX371" i="1"/>
  <c r="BW371" i="1" a="1"/>
  <c r="BW371" i="1"/>
  <c r="BV371" i="1"/>
  <c r="BU371" i="1"/>
  <c r="BT371" i="1"/>
  <c r="BS371" i="1" a="1"/>
  <c r="BS371" i="1"/>
  <c r="BR371" i="1"/>
  <c r="BQ371" i="1"/>
  <c r="BP371" i="1"/>
  <c r="BO371" i="1" a="1"/>
  <c r="BO371" i="1"/>
  <c r="BN371" i="1"/>
  <c r="BM371" i="1"/>
  <c r="BL371" i="1"/>
  <c r="BK371" i="1"/>
  <c r="BJ371" i="1"/>
  <c r="U371" i="1"/>
  <c r="T371" i="1"/>
  <c r="S371" i="1"/>
  <c r="R371" i="1"/>
  <c r="Q371" i="1"/>
  <c r="F371" i="1"/>
  <c r="E371" i="1"/>
  <c r="D371" i="1"/>
  <c r="C371" i="1"/>
  <c r="CJ370" i="1"/>
  <c r="CI370" i="1" a="1"/>
  <c r="CI370" i="1"/>
  <c r="CH370" i="1" a="1"/>
  <c r="CH370" i="1"/>
  <c r="CG370" i="1"/>
  <c r="CF370" i="1"/>
  <c r="CE370" i="1" a="1"/>
  <c r="CE370" i="1"/>
  <c r="CD370" i="1" a="1"/>
  <c r="CD370" i="1"/>
  <c r="CC370" i="1"/>
  <c r="CB370" i="1"/>
  <c r="CA370" i="1" a="1"/>
  <c r="CA370" i="1"/>
  <c r="BZ370" i="1" a="1"/>
  <c r="BZ370" i="1"/>
  <c r="BY370" i="1"/>
  <c r="BX370" i="1"/>
  <c r="BW370" i="1" a="1"/>
  <c r="BW370" i="1"/>
  <c r="BV370" i="1"/>
  <c r="BU370" i="1"/>
  <c r="BT370" i="1"/>
  <c r="BS370" i="1" a="1"/>
  <c r="BS370" i="1"/>
  <c r="BR370" i="1"/>
  <c r="BQ370" i="1"/>
  <c r="BP370" i="1"/>
  <c r="BO370" i="1" a="1"/>
  <c r="BO370" i="1"/>
  <c r="BN370" i="1"/>
  <c r="BM370" i="1"/>
  <c r="BL370" i="1"/>
  <c r="BK370" i="1"/>
  <c r="BJ370" i="1"/>
  <c r="U370" i="1"/>
  <c r="T370" i="1"/>
  <c r="S370" i="1"/>
  <c r="R370" i="1"/>
  <c r="Q370" i="1"/>
  <c r="F370" i="1"/>
  <c r="E370" i="1"/>
  <c r="D370" i="1"/>
  <c r="C370" i="1"/>
  <c r="CJ369" i="1"/>
  <c r="CI369" i="1" a="1"/>
  <c r="CI369" i="1"/>
  <c r="CH369" i="1" a="1"/>
  <c r="CH369" i="1"/>
  <c r="CG369" i="1"/>
  <c r="CF369" i="1"/>
  <c r="CE369" i="1" a="1"/>
  <c r="CE369" i="1"/>
  <c r="CD369" i="1" a="1"/>
  <c r="CD369" i="1"/>
  <c r="CC369" i="1"/>
  <c r="CB369" i="1"/>
  <c r="CA369" i="1" a="1"/>
  <c r="CA369" i="1"/>
  <c r="BZ369" i="1" a="1"/>
  <c r="BZ369" i="1"/>
  <c r="BY369" i="1"/>
  <c r="BX369" i="1"/>
  <c r="BW369" i="1" a="1"/>
  <c r="BW369" i="1"/>
  <c r="BV369" i="1"/>
  <c r="BU369" i="1"/>
  <c r="BT369" i="1"/>
  <c r="BS369" i="1" a="1"/>
  <c r="BS369" i="1"/>
  <c r="BR369" i="1"/>
  <c r="BQ369" i="1"/>
  <c r="BP369" i="1"/>
  <c r="BO369" i="1" a="1"/>
  <c r="BO369" i="1"/>
  <c r="BN369" i="1"/>
  <c r="BM369" i="1"/>
  <c r="BL369" i="1"/>
  <c r="BK369" i="1"/>
  <c r="BJ369" i="1"/>
  <c r="U369" i="1"/>
  <c r="T369" i="1"/>
  <c r="S369" i="1"/>
  <c r="R369" i="1"/>
  <c r="Q369" i="1"/>
  <c r="F369" i="1"/>
  <c r="E369" i="1"/>
  <c r="D369" i="1"/>
  <c r="C369" i="1"/>
  <c r="CJ368" i="1"/>
  <c r="CI368" i="1" a="1"/>
  <c r="CI368" i="1"/>
  <c r="CH368" i="1" a="1"/>
  <c r="CH368" i="1"/>
  <c r="CG368" i="1"/>
  <c r="CF368" i="1"/>
  <c r="CE368" i="1" a="1"/>
  <c r="CE368" i="1"/>
  <c r="CD368" i="1" a="1"/>
  <c r="CD368" i="1"/>
  <c r="CC368" i="1"/>
  <c r="CB368" i="1"/>
  <c r="CA368" i="1" a="1"/>
  <c r="CA368" i="1"/>
  <c r="BZ368" i="1" a="1"/>
  <c r="BZ368" i="1"/>
  <c r="BY368" i="1"/>
  <c r="BX368" i="1"/>
  <c r="BW368" i="1" a="1"/>
  <c r="BW368" i="1"/>
  <c r="BV368" i="1"/>
  <c r="BU368" i="1"/>
  <c r="BT368" i="1"/>
  <c r="BS368" i="1" a="1"/>
  <c r="BS368" i="1"/>
  <c r="BR368" i="1"/>
  <c r="BQ368" i="1"/>
  <c r="BP368" i="1"/>
  <c r="BO368" i="1" a="1"/>
  <c r="BO368" i="1"/>
  <c r="BN368" i="1"/>
  <c r="BM368" i="1"/>
  <c r="BL368" i="1"/>
  <c r="BK368" i="1"/>
  <c r="BJ368" i="1"/>
  <c r="U368" i="1"/>
  <c r="T368" i="1"/>
  <c r="S368" i="1"/>
  <c r="R368" i="1"/>
  <c r="Q368" i="1"/>
  <c r="F368" i="1"/>
  <c r="E368" i="1"/>
  <c r="D368" i="1"/>
  <c r="C368" i="1"/>
  <c r="CJ367" i="1"/>
  <c r="CI367" i="1" a="1"/>
  <c r="CI367" i="1"/>
  <c r="CH367" i="1" a="1"/>
  <c r="CH367" i="1"/>
  <c r="CG367" i="1"/>
  <c r="CF367" i="1"/>
  <c r="CE367" i="1" a="1"/>
  <c r="CE367" i="1"/>
  <c r="CD367" i="1" a="1"/>
  <c r="CD367" i="1"/>
  <c r="CC367" i="1"/>
  <c r="CB367" i="1"/>
  <c r="CA367" i="1" a="1"/>
  <c r="CA367" i="1"/>
  <c r="BZ367" i="1" a="1"/>
  <c r="BZ367" i="1"/>
  <c r="BY367" i="1"/>
  <c r="BX367" i="1"/>
  <c r="BW367" i="1" a="1"/>
  <c r="BW367" i="1"/>
  <c r="BV367" i="1"/>
  <c r="BU367" i="1"/>
  <c r="BT367" i="1"/>
  <c r="BS367" i="1" a="1"/>
  <c r="BS367" i="1"/>
  <c r="BR367" i="1"/>
  <c r="BQ367" i="1"/>
  <c r="BP367" i="1"/>
  <c r="BO367" i="1" a="1"/>
  <c r="BO367" i="1"/>
  <c r="BN367" i="1"/>
  <c r="BM367" i="1"/>
  <c r="BL367" i="1"/>
  <c r="BK367" i="1"/>
  <c r="BJ367" i="1"/>
  <c r="U367" i="1"/>
  <c r="T367" i="1"/>
  <c r="S367" i="1"/>
  <c r="R367" i="1"/>
  <c r="Q367" i="1"/>
  <c r="F367" i="1"/>
  <c r="E367" i="1"/>
  <c r="D367" i="1"/>
  <c r="C367" i="1"/>
  <c r="CJ366" i="1"/>
  <c r="CI366" i="1" a="1"/>
  <c r="CI366" i="1"/>
  <c r="CH366" i="1" a="1"/>
  <c r="CH366" i="1"/>
  <c r="CG366" i="1"/>
  <c r="CF366" i="1"/>
  <c r="CE366" i="1" a="1"/>
  <c r="CE366" i="1"/>
  <c r="CD366" i="1" a="1"/>
  <c r="CD366" i="1"/>
  <c r="CC366" i="1"/>
  <c r="CB366" i="1"/>
  <c r="CA366" i="1" a="1"/>
  <c r="CA366" i="1"/>
  <c r="BZ366" i="1" a="1"/>
  <c r="BZ366" i="1"/>
  <c r="BY366" i="1"/>
  <c r="BX366" i="1"/>
  <c r="BW366" i="1" a="1"/>
  <c r="BW366" i="1"/>
  <c r="BV366" i="1"/>
  <c r="BU366" i="1"/>
  <c r="BT366" i="1"/>
  <c r="BS366" i="1" a="1"/>
  <c r="BS366" i="1"/>
  <c r="BR366" i="1"/>
  <c r="BQ366" i="1"/>
  <c r="BP366" i="1"/>
  <c r="BO366" i="1" a="1"/>
  <c r="BO366" i="1"/>
  <c r="BN366" i="1"/>
  <c r="BM366" i="1"/>
  <c r="BL366" i="1"/>
  <c r="BK366" i="1"/>
  <c r="BJ366" i="1"/>
  <c r="U366" i="1"/>
  <c r="T366" i="1"/>
  <c r="S366" i="1"/>
  <c r="R366" i="1"/>
  <c r="Q366" i="1"/>
  <c r="F366" i="1"/>
  <c r="E366" i="1"/>
  <c r="D366" i="1"/>
  <c r="C366" i="1"/>
  <c r="CJ365" i="1"/>
  <c r="CI365" i="1" a="1"/>
  <c r="CI365" i="1"/>
  <c r="CH365" i="1" a="1"/>
  <c r="CH365" i="1"/>
  <c r="CG365" i="1"/>
  <c r="CF365" i="1"/>
  <c r="CE365" i="1" a="1"/>
  <c r="CE365" i="1"/>
  <c r="CD365" i="1" a="1"/>
  <c r="CD365" i="1"/>
  <c r="CC365" i="1"/>
  <c r="CB365" i="1"/>
  <c r="CA365" i="1" a="1"/>
  <c r="CA365" i="1"/>
  <c r="BZ365" i="1" a="1"/>
  <c r="BZ365" i="1"/>
  <c r="BY365" i="1"/>
  <c r="BX365" i="1"/>
  <c r="BW365" i="1" a="1"/>
  <c r="BW365" i="1"/>
  <c r="BV365" i="1"/>
  <c r="BU365" i="1"/>
  <c r="BT365" i="1"/>
  <c r="BS365" i="1" a="1"/>
  <c r="BS365" i="1"/>
  <c r="BR365" i="1"/>
  <c r="BQ365" i="1"/>
  <c r="BP365" i="1"/>
  <c r="BO365" i="1" a="1"/>
  <c r="BO365" i="1"/>
  <c r="BN365" i="1"/>
  <c r="BM365" i="1"/>
  <c r="BL365" i="1"/>
  <c r="BK365" i="1"/>
  <c r="BJ365" i="1"/>
  <c r="U365" i="1"/>
  <c r="T365" i="1"/>
  <c r="S365" i="1"/>
  <c r="R365" i="1"/>
  <c r="Q365" i="1"/>
  <c r="F365" i="1"/>
  <c r="E365" i="1"/>
  <c r="D365" i="1"/>
  <c r="C365" i="1"/>
  <c r="CJ364" i="1"/>
  <c r="CI364" i="1" a="1"/>
  <c r="CI364" i="1"/>
  <c r="CH364" i="1" a="1"/>
  <c r="CH364" i="1"/>
  <c r="CG364" i="1"/>
  <c r="CF364" i="1"/>
  <c r="CE364" i="1" a="1"/>
  <c r="CE364" i="1"/>
  <c r="CD364" i="1" a="1"/>
  <c r="CD364" i="1"/>
  <c r="CC364" i="1"/>
  <c r="CB364" i="1"/>
  <c r="CA364" i="1" a="1"/>
  <c r="CA364" i="1"/>
  <c r="BZ364" i="1" a="1"/>
  <c r="BZ364" i="1"/>
  <c r="BY364" i="1"/>
  <c r="BX364" i="1"/>
  <c r="BW364" i="1" a="1"/>
  <c r="BW364" i="1"/>
  <c r="BV364" i="1"/>
  <c r="BU364" i="1"/>
  <c r="BT364" i="1"/>
  <c r="BS364" i="1" a="1"/>
  <c r="BS364" i="1"/>
  <c r="BR364" i="1"/>
  <c r="BQ364" i="1"/>
  <c r="BP364" i="1"/>
  <c r="BO364" i="1" a="1"/>
  <c r="BO364" i="1"/>
  <c r="BN364" i="1"/>
  <c r="BM364" i="1"/>
  <c r="BL364" i="1"/>
  <c r="BK364" i="1"/>
  <c r="BJ364" i="1"/>
  <c r="U364" i="1"/>
  <c r="T364" i="1"/>
  <c r="S364" i="1"/>
  <c r="R364" i="1"/>
  <c r="Q364" i="1"/>
  <c r="F364" i="1"/>
  <c r="E364" i="1"/>
  <c r="D364" i="1"/>
  <c r="C364" i="1"/>
  <c r="CJ363" i="1"/>
  <c r="CI363" i="1" a="1"/>
  <c r="CI363" i="1"/>
  <c r="CH363" i="1" a="1"/>
  <c r="CH363" i="1"/>
  <c r="CG363" i="1"/>
  <c r="CF363" i="1"/>
  <c r="CE363" i="1" a="1"/>
  <c r="CE363" i="1"/>
  <c r="CD363" i="1" a="1"/>
  <c r="CD363" i="1"/>
  <c r="CC363" i="1"/>
  <c r="CB363" i="1"/>
  <c r="CA363" i="1" a="1"/>
  <c r="CA363" i="1"/>
  <c r="BZ363" i="1" a="1"/>
  <c r="BZ363" i="1"/>
  <c r="BY363" i="1"/>
  <c r="BX363" i="1"/>
  <c r="BW363" i="1" a="1"/>
  <c r="BW363" i="1"/>
  <c r="BV363" i="1"/>
  <c r="BU363" i="1"/>
  <c r="BT363" i="1"/>
  <c r="BS363" i="1" a="1"/>
  <c r="BS363" i="1"/>
  <c r="BR363" i="1"/>
  <c r="BQ363" i="1"/>
  <c r="BP363" i="1"/>
  <c r="BO363" i="1" a="1"/>
  <c r="BO363" i="1"/>
  <c r="BN363" i="1"/>
  <c r="BM363" i="1"/>
  <c r="BL363" i="1"/>
  <c r="BK363" i="1"/>
  <c r="BJ363" i="1"/>
  <c r="U363" i="1"/>
  <c r="T363" i="1"/>
  <c r="S363" i="1"/>
  <c r="R363" i="1"/>
  <c r="Q363" i="1"/>
  <c r="F363" i="1"/>
  <c r="E363" i="1"/>
  <c r="D363" i="1"/>
  <c r="C363" i="1"/>
  <c r="CJ362" i="1"/>
  <c r="CI362" i="1" a="1"/>
  <c r="CI362" i="1"/>
  <c r="CH362" i="1" a="1"/>
  <c r="CH362" i="1"/>
  <c r="CG362" i="1"/>
  <c r="CF362" i="1"/>
  <c r="CE362" i="1" a="1"/>
  <c r="CE362" i="1"/>
  <c r="CD362" i="1" a="1"/>
  <c r="CD362" i="1"/>
  <c r="CC362" i="1"/>
  <c r="CB362" i="1"/>
  <c r="CA362" i="1" a="1"/>
  <c r="CA362" i="1"/>
  <c r="BZ362" i="1" a="1"/>
  <c r="BZ362" i="1"/>
  <c r="BY362" i="1"/>
  <c r="BX362" i="1"/>
  <c r="BW362" i="1" a="1"/>
  <c r="BW362" i="1"/>
  <c r="BV362" i="1"/>
  <c r="BU362" i="1"/>
  <c r="BT362" i="1"/>
  <c r="BS362" i="1" a="1"/>
  <c r="BS362" i="1"/>
  <c r="BR362" i="1"/>
  <c r="BQ362" i="1"/>
  <c r="BP362" i="1"/>
  <c r="BO362" i="1" a="1"/>
  <c r="BO362" i="1"/>
  <c r="BN362" i="1"/>
  <c r="BM362" i="1"/>
  <c r="BL362" i="1"/>
  <c r="BK362" i="1"/>
  <c r="BJ362" i="1"/>
  <c r="U362" i="1"/>
  <c r="T362" i="1"/>
  <c r="S362" i="1"/>
  <c r="R362" i="1"/>
  <c r="Q362" i="1"/>
  <c r="F362" i="1"/>
  <c r="E362" i="1"/>
  <c r="D362" i="1"/>
  <c r="C362" i="1"/>
  <c r="CJ361" i="1"/>
  <c r="CI361" i="1" a="1"/>
  <c r="CI361" i="1"/>
  <c r="CH361" i="1" a="1"/>
  <c r="CH361" i="1"/>
  <c r="CG361" i="1"/>
  <c r="CF361" i="1"/>
  <c r="CE361" i="1" a="1"/>
  <c r="CE361" i="1"/>
  <c r="CD361" i="1" a="1"/>
  <c r="CD361" i="1"/>
  <c r="CC361" i="1"/>
  <c r="CB361" i="1"/>
  <c r="CA361" i="1" a="1"/>
  <c r="CA361" i="1"/>
  <c r="BZ361" i="1" a="1"/>
  <c r="BZ361" i="1"/>
  <c r="BY361" i="1"/>
  <c r="BX361" i="1"/>
  <c r="BW361" i="1" a="1"/>
  <c r="BW361" i="1"/>
  <c r="BV361" i="1"/>
  <c r="BU361" i="1"/>
  <c r="BT361" i="1"/>
  <c r="BS361" i="1" a="1"/>
  <c r="BS361" i="1"/>
  <c r="BR361" i="1"/>
  <c r="BQ361" i="1"/>
  <c r="BP361" i="1"/>
  <c r="BO361" i="1" a="1"/>
  <c r="BO361" i="1"/>
  <c r="BN361" i="1"/>
  <c r="BM361" i="1"/>
  <c r="BL361" i="1"/>
  <c r="BK361" i="1"/>
  <c r="BJ361" i="1"/>
  <c r="U361" i="1"/>
  <c r="T361" i="1"/>
  <c r="S361" i="1"/>
  <c r="R361" i="1"/>
  <c r="Q361" i="1"/>
  <c r="F361" i="1"/>
  <c r="E361" i="1"/>
  <c r="D361" i="1"/>
  <c r="C361" i="1"/>
  <c r="CJ360" i="1"/>
  <c r="CI360" i="1" a="1"/>
  <c r="CI360" i="1"/>
  <c r="CH360" i="1" a="1"/>
  <c r="CH360" i="1"/>
  <c r="CG360" i="1"/>
  <c r="CF360" i="1"/>
  <c r="CE360" i="1" a="1"/>
  <c r="CE360" i="1"/>
  <c r="CD360" i="1" a="1"/>
  <c r="CD360" i="1"/>
  <c r="CC360" i="1"/>
  <c r="CB360" i="1"/>
  <c r="CA360" i="1" a="1"/>
  <c r="CA360" i="1"/>
  <c r="BZ360" i="1" a="1"/>
  <c r="BZ360" i="1"/>
  <c r="BY360" i="1"/>
  <c r="BX360" i="1"/>
  <c r="BW360" i="1" a="1"/>
  <c r="BW360" i="1"/>
  <c r="BV360" i="1"/>
  <c r="BU360" i="1"/>
  <c r="BT360" i="1"/>
  <c r="BS360" i="1" a="1"/>
  <c r="BS360" i="1"/>
  <c r="BR360" i="1"/>
  <c r="BQ360" i="1"/>
  <c r="BP360" i="1"/>
  <c r="BO360" i="1" a="1"/>
  <c r="BO360" i="1"/>
  <c r="BN360" i="1"/>
  <c r="BM360" i="1"/>
  <c r="BL360" i="1"/>
  <c r="BK360" i="1"/>
  <c r="BJ360" i="1"/>
  <c r="U360" i="1"/>
  <c r="T360" i="1"/>
  <c r="S360" i="1"/>
  <c r="R360" i="1"/>
  <c r="Q360" i="1"/>
  <c r="F360" i="1"/>
  <c r="E360" i="1"/>
  <c r="D360" i="1"/>
  <c r="C360" i="1"/>
  <c r="CJ359" i="1"/>
  <c r="CI359" i="1" a="1"/>
  <c r="CI359" i="1"/>
  <c r="CH359" i="1" a="1"/>
  <c r="CH359" i="1"/>
  <c r="CG359" i="1"/>
  <c r="CF359" i="1"/>
  <c r="CE359" i="1" a="1"/>
  <c r="CE359" i="1"/>
  <c r="CD359" i="1" a="1"/>
  <c r="CD359" i="1"/>
  <c r="CC359" i="1"/>
  <c r="CB359" i="1"/>
  <c r="CA359" i="1" a="1"/>
  <c r="CA359" i="1"/>
  <c r="BZ359" i="1" a="1"/>
  <c r="BZ359" i="1"/>
  <c r="BY359" i="1"/>
  <c r="BX359" i="1"/>
  <c r="BW359" i="1" a="1"/>
  <c r="BW359" i="1"/>
  <c r="BV359" i="1"/>
  <c r="BU359" i="1"/>
  <c r="BT359" i="1"/>
  <c r="BS359" i="1" a="1"/>
  <c r="BS359" i="1"/>
  <c r="BR359" i="1"/>
  <c r="BQ359" i="1"/>
  <c r="BP359" i="1"/>
  <c r="BO359" i="1" a="1"/>
  <c r="BO359" i="1"/>
  <c r="BN359" i="1"/>
  <c r="BM359" i="1"/>
  <c r="BL359" i="1"/>
  <c r="BK359" i="1"/>
  <c r="BJ359" i="1"/>
  <c r="U359" i="1"/>
  <c r="T359" i="1"/>
  <c r="S359" i="1"/>
  <c r="R359" i="1"/>
  <c r="Q359" i="1"/>
  <c r="F359" i="1"/>
  <c r="E359" i="1"/>
  <c r="D359" i="1"/>
  <c r="C359" i="1"/>
  <c r="CJ358" i="1"/>
  <c r="CI358" i="1" a="1"/>
  <c r="CI358" i="1"/>
  <c r="CH358" i="1" a="1"/>
  <c r="CH358" i="1"/>
  <c r="CG358" i="1"/>
  <c r="CF358" i="1"/>
  <c r="CE358" i="1" a="1"/>
  <c r="CE358" i="1"/>
  <c r="CD358" i="1" a="1"/>
  <c r="CD358" i="1"/>
  <c r="CC358" i="1"/>
  <c r="CB358" i="1"/>
  <c r="CA358" i="1" a="1"/>
  <c r="CA358" i="1"/>
  <c r="BZ358" i="1" a="1"/>
  <c r="BZ358" i="1"/>
  <c r="BY358" i="1"/>
  <c r="BX358" i="1"/>
  <c r="BW358" i="1" a="1"/>
  <c r="BW358" i="1"/>
  <c r="BV358" i="1"/>
  <c r="BU358" i="1"/>
  <c r="BT358" i="1"/>
  <c r="BS358" i="1" a="1"/>
  <c r="BS358" i="1"/>
  <c r="BR358" i="1"/>
  <c r="BQ358" i="1"/>
  <c r="BP358" i="1"/>
  <c r="BO358" i="1" a="1"/>
  <c r="BO358" i="1"/>
  <c r="BN358" i="1"/>
  <c r="BM358" i="1"/>
  <c r="BL358" i="1"/>
  <c r="BK358" i="1"/>
  <c r="BJ358" i="1"/>
  <c r="U358" i="1"/>
  <c r="T358" i="1"/>
  <c r="S358" i="1"/>
  <c r="R358" i="1"/>
  <c r="Q358" i="1"/>
  <c r="F358" i="1"/>
  <c r="E358" i="1"/>
  <c r="D358" i="1"/>
  <c r="C358" i="1"/>
  <c r="CJ357" i="1"/>
  <c r="CI357" i="1" a="1"/>
  <c r="CI357" i="1"/>
  <c r="CH357" i="1" a="1"/>
  <c r="CH357" i="1"/>
  <c r="CG357" i="1"/>
  <c r="CF357" i="1"/>
  <c r="CE357" i="1" a="1"/>
  <c r="CE357" i="1"/>
  <c r="CD357" i="1" a="1"/>
  <c r="CD357" i="1"/>
  <c r="CC357" i="1"/>
  <c r="CB357" i="1"/>
  <c r="CA357" i="1" a="1"/>
  <c r="CA357" i="1"/>
  <c r="BZ357" i="1" a="1"/>
  <c r="BZ357" i="1"/>
  <c r="BY357" i="1"/>
  <c r="BX357" i="1"/>
  <c r="BW357" i="1" a="1"/>
  <c r="BW357" i="1"/>
  <c r="BV357" i="1"/>
  <c r="BU357" i="1"/>
  <c r="BT357" i="1"/>
  <c r="BS357" i="1" a="1"/>
  <c r="BS357" i="1"/>
  <c r="BR357" i="1"/>
  <c r="BQ357" i="1"/>
  <c r="BP357" i="1"/>
  <c r="BO357" i="1" a="1"/>
  <c r="BO357" i="1"/>
  <c r="BN357" i="1"/>
  <c r="BM357" i="1"/>
  <c r="BL357" i="1"/>
  <c r="BK357" i="1"/>
  <c r="BJ357" i="1"/>
  <c r="U357" i="1"/>
  <c r="T357" i="1"/>
  <c r="S357" i="1"/>
  <c r="R357" i="1"/>
  <c r="Q357" i="1"/>
  <c r="F357" i="1"/>
  <c r="E357" i="1"/>
  <c r="D357" i="1"/>
  <c r="C357" i="1"/>
  <c r="CJ356" i="1"/>
  <c r="CI356" i="1" a="1"/>
  <c r="CI356" i="1"/>
  <c r="CH356" i="1" a="1"/>
  <c r="CH356" i="1"/>
  <c r="CG356" i="1"/>
  <c r="CF356" i="1"/>
  <c r="CE356" i="1" a="1"/>
  <c r="CE356" i="1"/>
  <c r="CD356" i="1" a="1"/>
  <c r="CD356" i="1"/>
  <c r="CC356" i="1"/>
  <c r="CB356" i="1"/>
  <c r="CA356" i="1" a="1"/>
  <c r="CA356" i="1"/>
  <c r="BZ356" i="1" a="1"/>
  <c r="BZ356" i="1"/>
  <c r="BY356" i="1"/>
  <c r="BX356" i="1"/>
  <c r="BW356" i="1" a="1"/>
  <c r="BW356" i="1"/>
  <c r="BV356" i="1"/>
  <c r="BU356" i="1"/>
  <c r="BT356" i="1"/>
  <c r="BS356" i="1" a="1"/>
  <c r="BS356" i="1"/>
  <c r="BR356" i="1"/>
  <c r="BQ356" i="1"/>
  <c r="BP356" i="1"/>
  <c r="BO356" i="1" a="1"/>
  <c r="BO356" i="1"/>
  <c r="BN356" i="1"/>
  <c r="BM356" i="1"/>
  <c r="BL356" i="1"/>
  <c r="BK356" i="1"/>
  <c r="BJ356" i="1"/>
  <c r="U356" i="1"/>
  <c r="T356" i="1"/>
  <c r="S356" i="1"/>
  <c r="R356" i="1"/>
  <c r="Q356" i="1"/>
  <c r="F356" i="1"/>
  <c r="E356" i="1"/>
  <c r="D356" i="1"/>
  <c r="C356" i="1"/>
  <c r="CJ355" i="1"/>
  <c r="CI355" i="1" a="1"/>
  <c r="CI355" i="1"/>
  <c r="CH355" i="1" a="1"/>
  <c r="CH355" i="1"/>
  <c r="CG355" i="1"/>
  <c r="CF355" i="1"/>
  <c r="CE355" i="1" a="1"/>
  <c r="CE355" i="1"/>
  <c r="CD355" i="1" a="1"/>
  <c r="CD355" i="1"/>
  <c r="CC355" i="1"/>
  <c r="CB355" i="1"/>
  <c r="CA355" i="1" a="1"/>
  <c r="CA355" i="1"/>
  <c r="BZ355" i="1" a="1"/>
  <c r="BZ355" i="1"/>
  <c r="BY355" i="1"/>
  <c r="BX355" i="1"/>
  <c r="BW355" i="1" a="1"/>
  <c r="BW355" i="1"/>
  <c r="BV355" i="1"/>
  <c r="BU355" i="1"/>
  <c r="BT355" i="1"/>
  <c r="BS355" i="1" a="1"/>
  <c r="BS355" i="1"/>
  <c r="BR355" i="1"/>
  <c r="BQ355" i="1"/>
  <c r="BP355" i="1"/>
  <c r="BO355" i="1" a="1"/>
  <c r="BO355" i="1"/>
  <c r="BN355" i="1"/>
  <c r="BM355" i="1"/>
  <c r="BL355" i="1"/>
  <c r="BK355" i="1"/>
  <c r="BJ355" i="1"/>
  <c r="U355" i="1"/>
  <c r="T355" i="1"/>
  <c r="S355" i="1"/>
  <c r="R355" i="1"/>
  <c r="Q355" i="1"/>
  <c r="F355" i="1"/>
  <c r="E355" i="1"/>
  <c r="D355" i="1"/>
  <c r="C355" i="1"/>
  <c r="CJ354" i="1"/>
  <c r="CI354" i="1" a="1"/>
  <c r="CI354" i="1"/>
  <c r="CH354" i="1" a="1"/>
  <c r="CH354" i="1"/>
  <c r="CG354" i="1"/>
  <c r="CF354" i="1"/>
  <c r="CE354" i="1" a="1"/>
  <c r="CE354" i="1"/>
  <c r="CD354" i="1" a="1"/>
  <c r="CD354" i="1"/>
  <c r="CC354" i="1"/>
  <c r="CB354" i="1"/>
  <c r="CA354" i="1" a="1"/>
  <c r="CA354" i="1"/>
  <c r="BZ354" i="1" a="1"/>
  <c r="BZ354" i="1"/>
  <c r="BY354" i="1"/>
  <c r="BX354" i="1"/>
  <c r="BW354" i="1" a="1"/>
  <c r="BW354" i="1"/>
  <c r="BV354" i="1"/>
  <c r="BU354" i="1"/>
  <c r="BT354" i="1"/>
  <c r="BS354" i="1" a="1"/>
  <c r="BS354" i="1"/>
  <c r="BR354" i="1"/>
  <c r="BQ354" i="1"/>
  <c r="BP354" i="1"/>
  <c r="BO354" i="1" a="1"/>
  <c r="BO354" i="1"/>
  <c r="BN354" i="1"/>
  <c r="BM354" i="1"/>
  <c r="BL354" i="1"/>
  <c r="BK354" i="1"/>
  <c r="BJ354" i="1"/>
  <c r="U354" i="1"/>
  <c r="T354" i="1"/>
  <c r="S354" i="1"/>
  <c r="R354" i="1"/>
  <c r="Q354" i="1"/>
  <c r="F354" i="1"/>
  <c r="E354" i="1"/>
  <c r="D354" i="1"/>
  <c r="C354" i="1"/>
  <c r="CJ353" i="1"/>
  <c r="CI353" i="1" a="1"/>
  <c r="CI353" i="1"/>
  <c r="CH353" i="1" a="1"/>
  <c r="CH353" i="1"/>
  <c r="CG353" i="1"/>
  <c r="CF353" i="1"/>
  <c r="CE353" i="1" a="1"/>
  <c r="CE353" i="1"/>
  <c r="CD353" i="1" a="1"/>
  <c r="CD353" i="1"/>
  <c r="CC353" i="1"/>
  <c r="CB353" i="1"/>
  <c r="CA353" i="1" a="1"/>
  <c r="CA353" i="1"/>
  <c r="BZ353" i="1" a="1"/>
  <c r="BZ353" i="1"/>
  <c r="BY353" i="1"/>
  <c r="BX353" i="1"/>
  <c r="BW353" i="1" a="1"/>
  <c r="BW353" i="1"/>
  <c r="BV353" i="1"/>
  <c r="BU353" i="1"/>
  <c r="BT353" i="1"/>
  <c r="BS353" i="1" a="1"/>
  <c r="BS353" i="1"/>
  <c r="BR353" i="1"/>
  <c r="BQ353" i="1"/>
  <c r="BP353" i="1"/>
  <c r="BO353" i="1" a="1"/>
  <c r="BO353" i="1"/>
  <c r="BN353" i="1"/>
  <c r="BM353" i="1"/>
  <c r="BL353" i="1"/>
  <c r="BK353" i="1"/>
  <c r="BJ353" i="1"/>
  <c r="U353" i="1"/>
  <c r="T353" i="1"/>
  <c r="S353" i="1"/>
  <c r="R353" i="1"/>
  <c r="Q353" i="1"/>
  <c r="F353" i="1"/>
  <c r="E353" i="1"/>
  <c r="D353" i="1"/>
  <c r="C353" i="1"/>
  <c r="CJ352" i="1"/>
  <c r="CI352" i="1" a="1"/>
  <c r="CI352" i="1"/>
  <c r="CH352" i="1" a="1"/>
  <c r="CH352" i="1"/>
  <c r="CG352" i="1"/>
  <c r="CF352" i="1"/>
  <c r="CE352" i="1" a="1"/>
  <c r="CE352" i="1"/>
  <c r="CD352" i="1" a="1"/>
  <c r="CD352" i="1"/>
  <c r="CC352" i="1"/>
  <c r="CB352" i="1"/>
  <c r="CA352" i="1" a="1"/>
  <c r="CA352" i="1"/>
  <c r="BZ352" i="1" a="1"/>
  <c r="BZ352" i="1"/>
  <c r="BY352" i="1"/>
  <c r="BX352" i="1"/>
  <c r="BW352" i="1" a="1"/>
  <c r="BW352" i="1"/>
  <c r="BV352" i="1"/>
  <c r="BU352" i="1"/>
  <c r="BT352" i="1"/>
  <c r="BS352" i="1" a="1"/>
  <c r="BS352" i="1"/>
  <c r="BR352" i="1"/>
  <c r="BQ352" i="1"/>
  <c r="BP352" i="1"/>
  <c r="BO352" i="1" a="1"/>
  <c r="BO352" i="1"/>
  <c r="BN352" i="1"/>
  <c r="BM352" i="1"/>
  <c r="BL352" i="1"/>
  <c r="BK352" i="1"/>
  <c r="BJ352" i="1"/>
  <c r="U352" i="1"/>
  <c r="T352" i="1"/>
  <c r="S352" i="1"/>
  <c r="R352" i="1"/>
  <c r="Q352" i="1"/>
  <c r="F352" i="1"/>
  <c r="E352" i="1"/>
  <c r="D352" i="1"/>
  <c r="C352" i="1"/>
  <c r="CJ351" i="1"/>
  <c r="CI351" i="1" a="1"/>
  <c r="CI351" i="1"/>
  <c r="CH351" i="1" a="1"/>
  <c r="CH351" i="1"/>
  <c r="CG351" i="1"/>
  <c r="CF351" i="1"/>
  <c r="CE351" i="1" a="1"/>
  <c r="CE351" i="1"/>
  <c r="CD351" i="1" a="1"/>
  <c r="CD351" i="1"/>
  <c r="CC351" i="1"/>
  <c r="CB351" i="1"/>
  <c r="CA351" i="1" a="1"/>
  <c r="CA351" i="1"/>
  <c r="BZ351" i="1" a="1"/>
  <c r="BZ351" i="1"/>
  <c r="BY351" i="1"/>
  <c r="BX351" i="1"/>
  <c r="BW351" i="1" a="1"/>
  <c r="BW351" i="1"/>
  <c r="BV351" i="1"/>
  <c r="BU351" i="1"/>
  <c r="BT351" i="1"/>
  <c r="BS351" i="1" a="1"/>
  <c r="BS351" i="1"/>
  <c r="BR351" i="1"/>
  <c r="BQ351" i="1"/>
  <c r="BP351" i="1"/>
  <c r="BO351" i="1" a="1"/>
  <c r="BO351" i="1"/>
  <c r="BN351" i="1"/>
  <c r="BM351" i="1"/>
  <c r="BL351" i="1"/>
  <c r="BK351" i="1"/>
  <c r="BJ351" i="1"/>
  <c r="U351" i="1"/>
  <c r="T351" i="1"/>
  <c r="S351" i="1"/>
  <c r="R351" i="1"/>
  <c r="Q351" i="1"/>
  <c r="F351" i="1"/>
  <c r="E351" i="1"/>
  <c r="D351" i="1"/>
  <c r="C351" i="1"/>
  <c r="CJ350" i="1"/>
  <c r="CI350" i="1" a="1"/>
  <c r="CI350" i="1"/>
  <c r="CH350" i="1" a="1"/>
  <c r="CH350" i="1"/>
  <c r="CG350" i="1"/>
  <c r="CF350" i="1"/>
  <c r="CE350" i="1" a="1"/>
  <c r="CE350" i="1"/>
  <c r="CD350" i="1" a="1"/>
  <c r="CD350" i="1"/>
  <c r="CC350" i="1"/>
  <c r="CB350" i="1"/>
  <c r="CA350" i="1" a="1"/>
  <c r="CA350" i="1"/>
  <c r="BZ350" i="1" a="1"/>
  <c r="BZ350" i="1"/>
  <c r="BY350" i="1"/>
  <c r="BX350" i="1"/>
  <c r="BW350" i="1" a="1"/>
  <c r="BW350" i="1"/>
  <c r="BV350" i="1"/>
  <c r="BU350" i="1"/>
  <c r="BT350" i="1"/>
  <c r="BS350" i="1" a="1"/>
  <c r="BS350" i="1"/>
  <c r="BR350" i="1"/>
  <c r="BQ350" i="1"/>
  <c r="BP350" i="1"/>
  <c r="BO350" i="1" a="1"/>
  <c r="BO350" i="1"/>
  <c r="BN350" i="1"/>
  <c r="BM350" i="1"/>
  <c r="BL350" i="1"/>
  <c r="BK350" i="1"/>
  <c r="BJ350" i="1"/>
  <c r="U350" i="1"/>
  <c r="T350" i="1"/>
  <c r="S350" i="1"/>
  <c r="R350" i="1"/>
  <c r="Q350" i="1"/>
  <c r="F350" i="1"/>
  <c r="E350" i="1"/>
  <c r="D350" i="1"/>
  <c r="C350" i="1"/>
  <c r="CJ349" i="1"/>
  <c r="CI349" i="1" a="1"/>
  <c r="CI349" i="1"/>
  <c r="CH349" i="1" a="1"/>
  <c r="CH349" i="1"/>
  <c r="CG349" i="1"/>
  <c r="CF349" i="1"/>
  <c r="CE349" i="1" a="1"/>
  <c r="CE349" i="1"/>
  <c r="CD349" i="1" a="1"/>
  <c r="CD349" i="1"/>
  <c r="CC349" i="1"/>
  <c r="CB349" i="1"/>
  <c r="CA349" i="1" a="1"/>
  <c r="CA349" i="1"/>
  <c r="BZ349" i="1" a="1"/>
  <c r="BZ349" i="1"/>
  <c r="BY349" i="1"/>
  <c r="BX349" i="1"/>
  <c r="BW349" i="1" a="1"/>
  <c r="BW349" i="1"/>
  <c r="BV349" i="1"/>
  <c r="BU349" i="1"/>
  <c r="BT349" i="1"/>
  <c r="BS349" i="1" a="1"/>
  <c r="BS349" i="1"/>
  <c r="BR349" i="1"/>
  <c r="BQ349" i="1"/>
  <c r="BP349" i="1"/>
  <c r="BO349" i="1" a="1"/>
  <c r="BO349" i="1"/>
  <c r="BN349" i="1"/>
  <c r="BM349" i="1"/>
  <c r="BL349" i="1"/>
  <c r="BK349" i="1"/>
  <c r="BJ349" i="1"/>
  <c r="U349" i="1"/>
  <c r="T349" i="1"/>
  <c r="S349" i="1"/>
  <c r="R349" i="1"/>
  <c r="Q349" i="1"/>
  <c r="F349" i="1"/>
  <c r="E349" i="1"/>
  <c r="D349" i="1"/>
  <c r="C349" i="1"/>
  <c r="CJ348" i="1"/>
  <c r="CI348" i="1" a="1"/>
  <c r="CI348" i="1"/>
  <c r="CH348" i="1" a="1"/>
  <c r="CH348" i="1"/>
  <c r="CG348" i="1"/>
  <c r="CF348" i="1"/>
  <c r="CE348" i="1" a="1"/>
  <c r="CE348" i="1"/>
  <c r="CD348" i="1" a="1"/>
  <c r="CD348" i="1"/>
  <c r="CC348" i="1"/>
  <c r="CB348" i="1"/>
  <c r="CA348" i="1" a="1"/>
  <c r="CA348" i="1"/>
  <c r="BZ348" i="1" a="1"/>
  <c r="BZ348" i="1"/>
  <c r="BY348" i="1"/>
  <c r="BX348" i="1"/>
  <c r="BW348" i="1" a="1"/>
  <c r="BW348" i="1"/>
  <c r="BV348" i="1"/>
  <c r="BU348" i="1"/>
  <c r="BT348" i="1"/>
  <c r="BS348" i="1" a="1"/>
  <c r="BS348" i="1"/>
  <c r="BR348" i="1"/>
  <c r="BQ348" i="1"/>
  <c r="BP348" i="1"/>
  <c r="BO348" i="1" a="1"/>
  <c r="BO348" i="1"/>
  <c r="BN348" i="1"/>
  <c r="BM348" i="1"/>
  <c r="BL348" i="1"/>
  <c r="BK348" i="1"/>
  <c r="BJ348" i="1"/>
  <c r="U348" i="1"/>
  <c r="T348" i="1"/>
  <c r="S348" i="1"/>
  <c r="R348" i="1"/>
  <c r="Q348" i="1"/>
  <c r="F348" i="1"/>
  <c r="E348" i="1"/>
  <c r="D348" i="1"/>
  <c r="C348" i="1"/>
  <c r="CJ347" i="1"/>
  <c r="CI347" i="1" a="1"/>
  <c r="CI347" i="1"/>
  <c r="CH347" i="1" a="1"/>
  <c r="CH347" i="1"/>
  <c r="CG347" i="1"/>
  <c r="CF347" i="1"/>
  <c r="CE347" i="1" a="1"/>
  <c r="CE347" i="1"/>
  <c r="CD347" i="1" a="1"/>
  <c r="CD347" i="1"/>
  <c r="CC347" i="1"/>
  <c r="CB347" i="1"/>
  <c r="CA347" i="1" a="1"/>
  <c r="CA347" i="1"/>
  <c r="BZ347" i="1" a="1"/>
  <c r="BZ347" i="1"/>
  <c r="BY347" i="1"/>
  <c r="BX347" i="1"/>
  <c r="BW347" i="1" a="1"/>
  <c r="BW347" i="1"/>
  <c r="BV347" i="1"/>
  <c r="BU347" i="1"/>
  <c r="BT347" i="1"/>
  <c r="BS347" i="1" a="1"/>
  <c r="BS347" i="1"/>
  <c r="BR347" i="1"/>
  <c r="BQ347" i="1"/>
  <c r="BP347" i="1"/>
  <c r="BO347" i="1" a="1"/>
  <c r="BO347" i="1"/>
  <c r="BN347" i="1"/>
  <c r="BM347" i="1"/>
  <c r="BL347" i="1"/>
  <c r="BK347" i="1"/>
  <c r="BJ347" i="1"/>
  <c r="U347" i="1"/>
  <c r="T347" i="1"/>
  <c r="S347" i="1"/>
  <c r="R347" i="1"/>
  <c r="Q347" i="1"/>
  <c r="F347" i="1"/>
  <c r="E347" i="1"/>
  <c r="D347" i="1"/>
  <c r="C347" i="1"/>
  <c r="CJ346" i="1"/>
  <c r="CI346" i="1" a="1"/>
  <c r="CI346" i="1"/>
  <c r="CH346" i="1" a="1"/>
  <c r="CH346" i="1"/>
  <c r="CG346" i="1"/>
  <c r="CF346" i="1"/>
  <c r="CE346" i="1" a="1"/>
  <c r="CE346" i="1"/>
  <c r="CD346" i="1" a="1"/>
  <c r="CD346" i="1"/>
  <c r="CC346" i="1"/>
  <c r="CB346" i="1"/>
  <c r="CA346" i="1" a="1"/>
  <c r="CA346" i="1"/>
  <c r="BZ346" i="1" a="1"/>
  <c r="BZ346" i="1"/>
  <c r="BY346" i="1"/>
  <c r="BX346" i="1"/>
  <c r="BW346" i="1" a="1"/>
  <c r="BW346" i="1"/>
  <c r="BV346" i="1"/>
  <c r="BU346" i="1"/>
  <c r="BT346" i="1"/>
  <c r="BS346" i="1" a="1"/>
  <c r="BS346" i="1"/>
  <c r="BR346" i="1"/>
  <c r="BQ346" i="1"/>
  <c r="BP346" i="1"/>
  <c r="BO346" i="1" a="1"/>
  <c r="BO346" i="1"/>
  <c r="BN346" i="1"/>
  <c r="BM346" i="1"/>
  <c r="BL346" i="1"/>
  <c r="BK346" i="1"/>
  <c r="BJ346" i="1"/>
  <c r="U346" i="1"/>
  <c r="T346" i="1"/>
  <c r="S346" i="1"/>
  <c r="R346" i="1"/>
  <c r="Q346" i="1"/>
  <c r="F346" i="1"/>
  <c r="E346" i="1"/>
  <c r="D346" i="1"/>
  <c r="C346" i="1"/>
  <c r="CJ345" i="1"/>
  <c r="CI345" i="1" a="1"/>
  <c r="CI345" i="1"/>
  <c r="CH345" i="1" a="1"/>
  <c r="CH345" i="1"/>
  <c r="CG345" i="1"/>
  <c r="CF345" i="1"/>
  <c r="CE345" i="1" a="1"/>
  <c r="CE345" i="1"/>
  <c r="CD345" i="1" a="1"/>
  <c r="CD345" i="1"/>
  <c r="CC345" i="1"/>
  <c r="CB345" i="1"/>
  <c r="CA345" i="1" a="1"/>
  <c r="CA345" i="1"/>
  <c r="BZ345" i="1" a="1"/>
  <c r="BZ345" i="1"/>
  <c r="BY345" i="1"/>
  <c r="BX345" i="1"/>
  <c r="BW345" i="1" a="1"/>
  <c r="BW345" i="1"/>
  <c r="BV345" i="1"/>
  <c r="BU345" i="1"/>
  <c r="BT345" i="1"/>
  <c r="BS345" i="1" a="1"/>
  <c r="BS345" i="1"/>
  <c r="BR345" i="1"/>
  <c r="BQ345" i="1"/>
  <c r="BP345" i="1"/>
  <c r="BO345" i="1" a="1"/>
  <c r="BO345" i="1"/>
  <c r="BN345" i="1"/>
  <c r="BM345" i="1"/>
  <c r="BL345" i="1"/>
  <c r="BK345" i="1"/>
  <c r="BJ345" i="1"/>
  <c r="U345" i="1"/>
  <c r="T345" i="1"/>
  <c r="S345" i="1"/>
  <c r="R345" i="1"/>
  <c r="Q345" i="1"/>
  <c r="F345" i="1"/>
  <c r="E345" i="1"/>
  <c r="D345" i="1"/>
  <c r="C345" i="1"/>
  <c r="CJ344" i="1"/>
  <c r="CI344" i="1" a="1"/>
  <c r="CI344" i="1"/>
  <c r="CH344" i="1" a="1"/>
  <c r="CH344" i="1"/>
  <c r="CG344" i="1"/>
  <c r="CF344" i="1"/>
  <c r="CE344" i="1" a="1"/>
  <c r="CE344" i="1"/>
  <c r="CD344" i="1" a="1"/>
  <c r="CD344" i="1"/>
  <c r="CC344" i="1"/>
  <c r="CB344" i="1"/>
  <c r="CA344" i="1" a="1"/>
  <c r="CA344" i="1"/>
  <c r="BZ344" i="1" a="1"/>
  <c r="BZ344" i="1"/>
  <c r="BY344" i="1"/>
  <c r="BX344" i="1"/>
  <c r="BW344" i="1" a="1"/>
  <c r="BW344" i="1"/>
  <c r="BV344" i="1"/>
  <c r="BU344" i="1"/>
  <c r="BT344" i="1"/>
  <c r="BS344" i="1" a="1"/>
  <c r="BS344" i="1"/>
  <c r="BR344" i="1"/>
  <c r="BQ344" i="1"/>
  <c r="BP344" i="1"/>
  <c r="BO344" i="1" a="1"/>
  <c r="BO344" i="1"/>
  <c r="BN344" i="1"/>
  <c r="BM344" i="1"/>
  <c r="BL344" i="1"/>
  <c r="BK344" i="1"/>
  <c r="BJ344" i="1"/>
  <c r="U344" i="1"/>
  <c r="T344" i="1"/>
  <c r="S344" i="1"/>
  <c r="R344" i="1"/>
  <c r="Q344" i="1"/>
  <c r="F344" i="1"/>
  <c r="E344" i="1"/>
  <c r="D344" i="1"/>
  <c r="C344" i="1"/>
  <c r="CJ343" i="1"/>
  <c r="CI343" i="1" a="1"/>
  <c r="CI343" i="1"/>
  <c r="CH343" i="1" a="1"/>
  <c r="CH343" i="1"/>
  <c r="CG343" i="1"/>
  <c r="CF343" i="1"/>
  <c r="CE343" i="1" a="1"/>
  <c r="CE343" i="1"/>
  <c r="CD343" i="1" a="1"/>
  <c r="CD343" i="1"/>
  <c r="CC343" i="1"/>
  <c r="CB343" i="1"/>
  <c r="CA343" i="1" a="1"/>
  <c r="CA343" i="1"/>
  <c r="BZ343" i="1" a="1"/>
  <c r="BZ343" i="1"/>
  <c r="BY343" i="1"/>
  <c r="BX343" i="1"/>
  <c r="BW343" i="1" a="1"/>
  <c r="BW343" i="1"/>
  <c r="BV343" i="1"/>
  <c r="BU343" i="1"/>
  <c r="BT343" i="1"/>
  <c r="BS343" i="1" a="1"/>
  <c r="BS343" i="1"/>
  <c r="BR343" i="1"/>
  <c r="BQ343" i="1"/>
  <c r="BP343" i="1"/>
  <c r="BO343" i="1" a="1"/>
  <c r="BO343" i="1"/>
  <c r="BN343" i="1"/>
  <c r="BM343" i="1"/>
  <c r="BL343" i="1"/>
  <c r="BK343" i="1"/>
  <c r="BJ343" i="1"/>
  <c r="U343" i="1"/>
  <c r="T343" i="1"/>
  <c r="S343" i="1"/>
  <c r="R343" i="1"/>
  <c r="Q343" i="1"/>
  <c r="F343" i="1"/>
  <c r="E343" i="1"/>
  <c r="D343" i="1"/>
  <c r="C343" i="1"/>
  <c r="CJ342" i="1"/>
  <c r="CI342" i="1" a="1"/>
  <c r="CI342" i="1"/>
  <c r="CH342" i="1" a="1"/>
  <c r="CH342" i="1"/>
  <c r="CG342" i="1"/>
  <c r="CF342" i="1"/>
  <c r="CE342" i="1" a="1"/>
  <c r="CE342" i="1"/>
  <c r="CD342" i="1" a="1"/>
  <c r="CD342" i="1"/>
  <c r="CC342" i="1"/>
  <c r="CB342" i="1"/>
  <c r="CA342" i="1" a="1"/>
  <c r="CA342" i="1"/>
  <c r="BZ342" i="1" a="1"/>
  <c r="BZ342" i="1"/>
  <c r="BY342" i="1"/>
  <c r="BX342" i="1"/>
  <c r="BW342" i="1" a="1"/>
  <c r="BW342" i="1"/>
  <c r="BV342" i="1"/>
  <c r="BU342" i="1"/>
  <c r="BT342" i="1"/>
  <c r="BS342" i="1" a="1"/>
  <c r="BS342" i="1"/>
  <c r="BR342" i="1"/>
  <c r="BQ342" i="1"/>
  <c r="BP342" i="1"/>
  <c r="BO342" i="1" a="1"/>
  <c r="BO342" i="1"/>
  <c r="BN342" i="1"/>
  <c r="BM342" i="1"/>
  <c r="BL342" i="1"/>
  <c r="BK342" i="1"/>
  <c r="BJ342" i="1"/>
  <c r="U342" i="1"/>
  <c r="T342" i="1"/>
  <c r="S342" i="1"/>
  <c r="R342" i="1"/>
  <c r="Q342" i="1"/>
  <c r="F342" i="1"/>
  <c r="E342" i="1"/>
  <c r="D342" i="1"/>
  <c r="C342" i="1"/>
  <c r="CJ341" i="1"/>
  <c r="CI341" i="1" a="1"/>
  <c r="CI341" i="1"/>
  <c r="CH341" i="1" a="1"/>
  <c r="CH341" i="1"/>
  <c r="CG341" i="1"/>
  <c r="CF341" i="1"/>
  <c r="CE341" i="1" a="1"/>
  <c r="CE341" i="1"/>
  <c r="CD341" i="1" a="1"/>
  <c r="CD341" i="1"/>
  <c r="CC341" i="1"/>
  <c r="CB341" i="1"/>
  <c r="CA341" i="1" a="1"/>
  <c r="CA341" i="1"/>
  <c r="BZ341" i="1" a="1"/>
  <c r="BZ341" i="1"/>
  <c r="BY341" i="1"/>
  <c r="BX341" i="1"/>
  <c r="BW341" i="1" a="1"/>
  <c r="BW341" i="1"/>
  <c r="BV341" i="1"/>
  <c r="BU341" i="1"/>
  <c r="BT341" i="1"/>
  <c r="BS341" i="1" a="1"/>
  <c r="BS341" i="1"/>
  <c r="BR341" i="1"/>
  <c r="BQ341" i="1"/>
  <c r="BP341" i="1"/>
  <c r="BO341" i="1" a="1"/>
  <c r="BO341" i="1"/>
  <c r="BN341" i="1"/>
  <c r="BM341" i="1"/>
  <c r="BL341" i="1"/>
  <c r="BK341" i="1"/>
  <c r="BJ341" i="1"/>
  <c r="U341" i="1"/>
  <c r="T341" i="1"/>
  <c r="S341" i="1"/>
  <c r="R341" i="1"/>
  <c r="Q341" i="1"/>
  <c r="F341" i="1"/>
  <c r="E341" i="1"/>
  <c r="D341" i="1"/>
  <c r="C341" i="1"/>
  <c r="CJ340" i="1"/>
  <c r="CI340" i="1" a="1"/>
  <c r="CI340" i="1"/>
  <c r="CH340" i="1" a="1"/>
  <c r="CH340" i="1"/>
  <c r="CG340" i="1"/>
  <c r="CF340" i="1"/>
  <c r="CE340" i="1" a="1"/>
  <c r="CE340" i="1"/>
  <c r="CD340" i="1" a="1"/>
  <c r="CD340" i="1"/>
  <c r="CC340" i="1"/>
  <c r="CB340" i="1"/>
  <c r="CA340" i="1" a="1"/>
  <c r="CA340" i="1"/>
  <c r="BZ340" i="1" a="1"/>
  <c r="BZ340" i="1"/>
  <c r="BY340" i="1"/>
  <c r="BX340" i="1"/>
  <c r="BW340" i="1" a="1"/>
  <c r="BW340" i="1"/>
  <c r="BV340" i="1"/>
  <c r="BU340" i="1"/>
  <c r="BT340" i="1"/>
  <c r="BS340" i="1" a="1"/>
  <c r="BS340" i="1"/>
  <c r="BR340" i="1"/>
  <c r="BQ340" i="1"/>
  <c r="BP340" i="1"/>
  <c r="BO340" i="1" a="1"/>
  <c r="BO340" i="1"/>
  <c r="BN340" i="1"/>
  <c r="BM340" i="1"/>
  <c r="BL340" i="1"/>
  <c r="BK340" i="1"/>
  <c r="BJ340" i="1"/>
  <c r="U340" i="1"/>
  <c r="T340" i="1"/>
  <c r="S340" i="1"/>
  <c r="R340" i="1"/>
  <c r="Q340" i="1"/>
  <c r="F340" i="1"/>
  <c r="E340" i="1"/>
  <c r="D340" i="1"/>
  <c r="C340" i="1"/>
  <c r="CJ339" i="1"/>
  <c r="CI339" i="1" a="1"/>
  <c r="CI339" i="1"/>
  <c r="CH339" i="1" a="1"/>
  <c r="CH339" i="1"/>
  <c r="CG339" i="1"/>
  <c r="CF339" i="1"/>
  <c r="CE339" i="1" a="1"/>
  <c r="CE339" i="1"/>
  <c r="CD339" i="1" a="1"/>
  <c r="CD339" i="1"/>
  <c r="CC339" i="1"/>
  <c r="CB339" i="1"/>
  <c r="CA339" i="1" a="1"/>
  <c r="CA339" i="1"/>
  <c r="BZ339" i="1" a="1"/>
  <c r="BZ339" i="1"/>
  <c r="BY339" i="1"/>
  <c r="BX339" i="1"/>
  <c r="BW339" i="1" a="1"/>
  <c r="BW339" i="1"/>
  <c r="BV339" i="1"/>
  <c r="BU339" i="1"/>
  <c r="BT339" i="1"/>
  <c r="BS339" i="1" a="1"/>
  <c r="BS339" i="1"/>
  <c r="BR339" i="1"/>
  <c r="BQ339" i="1"/>
  <c r="BP339" i="1"/>
  <c r="BO339" i="1" a="1"/>
  <c r="BO339" i="1"/>
  <c r="BN339" i="1"/>
  <c r="BM339" i="1"/>
  <c r="BL339" i="1"/>
  <c r="BK339" i="1"/>
  <c r="BJ339" i="1"/>
  <c r="U339" i="1"/>
  <c r="T339" i="1"/>
  <c r="S339" i="1"/>
  <c r="R339" i="1"/>
  <c r="Q339" i="1"/>
  <c r="F339" i="1"/>
  <c r="E339" i="1"/>
  <c r="D339" i="1"/>
  <c r="C339" i="1"/>
  <c r="CJ338" i="1"/>
  <c r="CI338" i="1" a="1"/>
  <c r="CI338" i="1"/>
  <c r="CH338" i="1" a="1"/>
  <c r="CH338" i="1"/>
  <c r="CG338" i="1"/>
  <c r="CF338" i="1"/>
  <c r="CE338" i="1" a="1"/>
  <c r="CE338" i="1"/>
  <c r="CD338" i="1" a="1"/>
  <c r="CD338" i="1"/>
  <c r="CC338" i="1"/>
  <c r="CB338" i="1"/>
  <c r="CA338" i="1" a="1"/>
  <c r="CA338" i="1"/>
  <c r="BZ338" i="1" a="1"/>
  <c r="BZ338" i="1"/>
  <c r="BY338" i="1"/>
  <c r="BX338" i="1"/>
  <c r="BW338" i="1" a="1"/>
  <c r="BW338" i="1"/>
  <c r="BV338" i="1"/>
  <c r="BU338" i="1"/>
  <c r="BT338" i="1"/>
  <c r="BS338" i="1" a="1"/>
  <c r="BS338" i="1"/>
  <c r="BR338" i="1"/>
  <c r="BQ338" i="1"/>
  <c r="BP338" i="1"/>
  <c r="BO338" i="1" a="1"/>
  <c r="BO338" i="1"/>
  <c r="BN338" i="1"/>
  <c r="BM338" i="1"/>
  <c r="BL338" i="1"/>
  <c r="BK338" i="1"/>
  <c r="BJ338" i="1"/>
  <c r="U338" i="1"/>
  <c r="T338" i="1"/>
  <c r="S338" i="1"/>
  <c r="R338" i="1"/>
  <c r="Q338" i="1"/>
  <c r="F338" i="1"/>
  <c r="E338" i="1"/>
  <c r="D338" i="1"/>
  <c r="C338" i="1"/>
  <c r="CJ337" i="1"/>
  <c r="CI337" i="1" a="1"/>
  <c r="CI337" i="1"/>
  <c r="CH337" i="1" a="1"/>
  <c r="CH337" i="1"/>
  <c r="CG337" i="1"/>
  <c r="CF337" i="1"/>
  <c r="CE337" i="1" a="1"/>
  <c r="CE337" i="1"/>
  <c r="CD337" i="1" a="1"/>
  <c r="CD337" i="1"/>
  <c r="CC337" i="1"/>
  <c r="CB337" i="1"/>
  <c r="CA337" i="1" a="1"/>
  <c r="CA337" i="1"/>
  <c r="BZ337" i="1" a="1"/>
  <c r="BZ337" i="1"/>
  <c r="BY337" i="1"/>
  <c r="BX337" i="1"/>
  <c r="BW337" i="1" a="1"/>
  <c r="BW337" i="1"/>
  <c r="BV337" i="1"/>
  <c r="BU337" i="1"/>
  <c r="BT337" i="1"/>
  <c r="BS337" i="1" a="1"/>
  <c r="BS337" i="1"/>
  <c r="BR337" i="1"/>
  <c r="BQ337" i="1"/>
  <c r="BP337" i="1"/>
  <c r="BO337" i="1" a="1"/>
  <c r="BO337" i="1"/>
  <c r="BN337" i="1"/>
  <c r="BM337" i="1"/>
  <c r="BL337" i="1"/>
  <c r="BK337" i="1"/>
  <c r="BJ337" i="1"/>
  <c r="U337" i="1"/>
  <c r="T337" i="1"/>
  <c r="S337" i="1"/>
  <c r="R337" i="1"/>
  <c r="Q337" i="1"/>
  <c r="F337" i="1"/>
  <c r="E337" i="1"/>
  <c r="D337" i="1"/>
  <c r="C337" i="1"/>
  <c r="CJ336" i="1"/>
  <c r="CI336" i="1" a="1"/>
  <c r="CI336" i="1"/>
  <c r="CH336" i="1" a="1"/>
  <c r="CH336" i="1"/>
  <c r="CG336" i="1"/>
  <c r="CF336" i="1"/>
  <c r="CE336" i="1" a="1"/>
  <c r="CE336" i="1"/>
  <c r="CD336" i="1" a="1"/>
  <c r="CD336" i="1"/>
  <c r="CC336" i="1"/>
  <c r="CB336" i="1"/>
  <c r="CA336" i="1" a="1"/>
  <c r="CA336" i="1"/>
  <c r="BZ336" i="1" a="1"/>
  <c r="BZ336" i="1"/>
  <c r="BY336" i="1"/>
  <c r="BX336" i="1"/>
  <c r="BW336" i="1" a="1"/>
  <c r="BW336" i="1"/>
  <c r="BV336" i="1"/>
  <c r="BU336" i="1"/>
  <c r="BT336" i="1"/>
  <c r="BS336" i="1" a="1"/>
  <c r="BS336" i="1"/>
  <c r="BR336" i="1"/>
  <c r="BQ336" i="1"/>
  <c r="BP336" i="1"/>
  <c r="BO336" i="1" a="1"/>
  <c r="BO336" i="1"/>
  <c r="BN336" i="1"/>
  <c r="BM336" i="1"/>
  <c r="BL336" i="1"/>
  <c r="BK336" i="1"/>
  <c r="BJ336" i="1"/>
  <c r="U336" i="1"/>
  <c r="T336" i="1"/>
  <c r="S336" i="1"/>
  <c r="R336" i="1"/>
  <c r="Q336" i="1"/>
  <c r="F336" i="1"/>
  <c r="E336" i="1"/>
  <c r="D336" i="1"/>
  <c r="C336" i="1"/>
  <c r="CJ335" i="1"/>
  <c r="CI335" i="1" a="1"/>
  <c r="CI335" i="1"/>
  <c r="CH335" i="1" a="1"/>
  <c r="CH335" i="1"/>
  <c r="CG335" i="1"/>
  <c r="CF335" i="1"/>
  <c r="CE335" i="1" a="1"/>
  <c r="CE335" i="1"/>
  <c r="CD335" i="1" a="1"/>
  <c r="CD335" i="1"/>
  <c r="CC335" i="1"/>
  <c r="CB335" i="1"/>
  <c r="CA335" i="1" a="1"/>
  <c r="CA335" i="1"/>
  <c r="BZ335" i="1" a="1"/>
  <c r="BZ335" i="1"/>
  <c r="BY335" i="1"/>
  <c r="BX335" i="1"/>
  <c r="BW335" i="1" a="1"/>
  <c r="BW335" i="1"/>
  <c r="BV335" i="1"/>
  <c r="BU335" i="1"/>
  <c r="BT335" i="1"/>
  <c r="BS335" i="1" a="1"/>
  <c r="BS335" i="1"/>
  <c r="BR335" i="1"/>
  <c r="BQ335" i="1"/>
  <c r="BP335" i="1"/>
  <c r="BO335" i="1" a="1"/>
  <c r="BO335" i="1"/>
  <c r="BN335" i="1"/>
  <c r="BM335" i="1"/>
  <c r="BL335" i="1"/>
  <c r="BK335" i="1"/>
  <c r="BJ335" i="1"/>
  <c r="U335" i="1"/>
  <c r="T335" i="1"/>
  <c r="S335" i="1"/>
  <c r="R335" i="1"/>
  <c r="Q335" i="1"/>
  <c r="F335" i="1"/>
  <c r="E335" i="1"/>
  <c r="D335" i="1"/>
  <c r="C335" i="1"/>
  <c r="CJ334" i="1"/>
  <c r="CI334" i="1" a="1"/>
  <c r="CI334" i="1"/>
  <c r="CH334" i="1" a="1"/>
  <c r="CH334" i="1"/>
  <c r="CG334" i="1"/>
  <c r="CF334" i="1"/>
  <c r="CE334" i="1" a="1"/>
  <c r="CE334" i="1"/>
  <c r="CD334" i="1" a="1"/>
  <c r="CD334" i="1"/>
  <c r="CC334" i="1"/>
  <c r="CB334" i="1"/>
  <c r="CA334" i="1" a="1"/>
  <c r="CA334" i="1"/>
  <c r="BZ334" i="1" a="1"/>
  <c r="BZ334" i="1"/>
  <c r="BY334" i="1"/>
  <c r="BX334" i="1"/>
  <c r="BW334" i="1" a="1"/>
  <c r="BW334" i="1"/>
  <c r="BV334" i="1"/>
  <c r="BU334" i="1"/>
  <c r="BT334" i="1"/>
  <c r="BS334" i="1" a="1"/>
  <c r="BS334" i="1"/>
  <c r="BR334" i="1"/>
  <c r="BQ334" i="1"/>
  <c r="BP334" i="1"/>
  <c r="BO334" i="1" a="1"/>
  <c r="BO334" i="1"/>
  <c r="BN334" i="1"/>
  <c r="BM334" i="1"/>
  <c r="BL334" i="1"/>
  <c r="BK334" i="1"/>
  <c r="BJ334" i="1"/>
  <c r="U334" i="1"/>
  <c r="T334" i="1"/>
  <c r="S334" i="1"/>
  <c r="R334" i="1"/>
  <c r="Q334" i="1"/>
  <c r="F334" i="1"/>
  <c r="E334" i="1"/>
  <c r="D334" i="1"/>
  <c r="C334" i="1"/>
  <c r="CJ333" i="1"/>
  <c r="CI333" i="1" a="1"/>
  <c r="CI333" i="1"/>
  <c r="CH333" i="1" a="1"/>
  <c r="CH333" i="1"/>
  <c r="CG333" i="1"/>
  <c r="CF333" i="1"/>
  <c r="CE333" i="1" a="1"/>
  <c r="CE333" i="1"/>
  <c r="CD333" i="1" a="1"/>
  <c r="CD333" i="1"/>
  <c r="CC333" i="1"/>
  <c r="CB333" i="1"/>
  <c r="CA333" i="1" a="1"/>
  <c r="CA333" i="1"/>
  <c r="BZ333" i="1" a="1"/>
  <c r="BZ333" i="1"/>
  <c r="BY333" i="1"/>
  <c r="BX333" i="1"/>
  <c r="BW333" i="1" a="1"/>
  <c r="BW333" i="1"/>
  <c r="BV333" i="1"/>
  <c r="BU333" i="1"/>
  <c r="BT333" i="1"/>
  <c r="BS333" i="1" a="1"/>
  <c r="BS333" i="1"/>
  <c r="BR333" i="1"/>
  <c r="BQ333" i="1"/>
  <c r="BP333" i="1"/>
  <c r="BO333" i="1" a="1"/>
  <c r="BO333" i="1"/>
  <c r="BN333" i="1"/>
  <c r="BM333" i="1"/>
  <c r="BL333" i="1"/>
  <c r="BK333" i="1"/>
  <c r="BJ333" i="1"/>
  <c r="U333" i="1"/>
  <c r="T333" i="1"/>
  <c r="S333" i="1"/>
  <c r="R333" i="1"/>
  <c r="Q333" i="1"/>
  <c r="F333" i="1"/>
  <c r="E333" i="1"/>
  <c r="D333" i="1"/>
  <c r="C333" i="1"/>
  <c r="CJ332" i="1"/>
  <c r="CI332" i="1" a="1"/>
  <c r="CI332" i="1"/>
  <c r="CH332" i="1" a="1"/>
  <c r="CH332" i="1"/>
  <c r="CG332" i="1"/>
  <c r="CF332" i="1"/>
  <c r="CE332" i="1" a="1"/>
  <c r="CE332" i="1"/>
  <c r="CD332" i="1" a="1"/>
  <c r="CD332" i="1"/>
  <c r="CC332" i="1"/>
  <c r="CB332" i="1"/>
  <c r="CA332" i="1" a="1"/>
  <c r="CA332" i="1"/>
  <c r="BZ332" i="1" a="1"/>
  <c r="BZ332" i="1"/>
  <c r="BY332" i="1"/>
  <c r="BX332" i="1"/>
  <c r="BW332" i="1" a="1"/>
  <c r="BW332" i="1"/>
  <c r="BV332" i="1"/>
  <c r="BU332" i="1"/>
  <c r="BT332" i="1"/>
  <c r="BS332" i="1" a="1"/>
  <c r="BS332" i="1"/>
  <c r="BR332" i="1"/>
  <c r="BQ332" i="1"/>
  <c r="BP332" i="1"/>
  <c r="BO332" i="1" a="1"/>
  <c r="BO332" i="1"/>
  <c r="BN332" i="1"/>
  <c r="BM332" i="1"/>
  <c r="BL332" i="1"/>
  <c r="BK332" i="1"/>
  <c r="BJ332" i="1"/>
  <c r="U332" i="1"/>
  <c r="T332" i="1"/>
  <c r="S332" i="1"/>
  <c r="R332" i="1"/>
  <c r="Q332" i="1"/>
  <c r="F332" i="1"/>
  <c r="E332" i="1"/>
  <c r="D332" i="1"/>
  <c r="C332" i="1"/>
  <c r="CJ331" i="1"/>
  <c r="CI331" i="1" a="1"/>
  <c r="CI331" i="1"/>
  <c r="CH331" i="1" a="1"/>
  <c r="CH331" i="1"/>
  <c r="CG331" i="1"/>
  <c r="CF331" i="1"/>
  <c r="CE331" i="1" a="1"/>
  <c r="CE331" i="1"/>
  <c r="CD331" i="1" a="1"/>
  <c r="CD331" i="1"/>
  <c r="CC331" i="1"/>
  <c r="CB331" i="1"/>
  <c r="CA331" i="1" a="1"/>
  <c r="CA331" i="1"/>
  <c r="BZ331" i="1" a="1"/>
  <c r="BZ331" i="1"/>
  <c r="BY331" i="1"/>
  <c r="BX331" i="1"/>
  <c r="BW331" i="1" a="1"/>
  <c r="BW331" i="1"/>
  <c r="BV331" i="1"/>
  <c r="BU331" i="1"/>
  <c r="BT331" i="1"/>
  <c r="BS331" i="1" a="1"/>
  <c r="BS331" i="1"/>
  <c r="BR331" i="1"/>
  <c r="BQ331" i="1"/>
  <c r="BP331" i="1"/>
  <c r="BO331" i="1" a="1"/>
  <c r="BO331" i="1"/>
  <c r="BN331" i="1"/>
  <c r="BM331" i="1"/>
  <c r="BL331" i="1"/>
  <c r="BK331" i="1"/>
  <c r="BJ331" i="1"/>
  <c r="U331" i="1"/>
  <c r="T331" i="1"/>
  <c r="S331" i="1"/>
  <c r="R331" i="1"/>
  <c r="Q331" i="1"/>
  <c r="F331" i="1"/>
  <c r="E331" i="1"/>
  <c r="D331" i="1"/>
  <c r="C331" i="1"/>
  <c r="CJ330" i="1"/>
  <c r="CI330" i="1" a="1"/>
  <c r="CI330" i="1"/>
  <c r="CH330" i="1" a="1"/>
  <c r="CH330" i="1"/>
  <c r="CG330" i="1"/>
  <c r="CF330" i="1"/>
  <c r="CE330" i="1" a="1"/>
  <c r="CE330" i="1"/>
  <c r="CD330" i="1" a="1"/>
  <c r="CD330" i="1"/>
  <c r="CC330" i="1"/>
  <c r="CB330" i="1"/>
  <c r="CA330" i="1" a="1"/>
  <c r="CA330" i="1"/>
  <c r="BZ330" i="1" a="1"/>
  <c r="BZ330" i="1"/>
  <c r="BY330" i="1"/>
  <c r="BX330" i="1"/>
  <c r="BW330" i="1" a="1"/>
  <c r="BW330" i="1"/>
  <c r="BV330" i="1"/>
  <c r="BU330" i="1"/>
  <c r="BT330" i="1"/>
  <c r="BS330" i="1" a="1"/>
  <c r="BS330" i="1"/>
  <c r="BR330" i="1"/>
  <c r="BQ330" i="1"/>
  <c r="BP330" i="1"/>
  <c r="BO330" i="1" a="1"/>
  <c r="BO330" i="1"/>
  <c r="BN330" i="1"/>
  <c r="BM330" i="1"/>
  <c r="BL330" i="1"/>
  <c r="BK330" i="1"/>
  <c r="BJ330" i="1"/>
  <c r="U330" i="1"/>
  <c r="T330" i="1"/>
  <c r="S330" i="1"/>
  <c r="R330" i="1"/>
  <c r="Q330" i="1"/>
  <c r="F330" i="1"/>
  <c r="E330" i="1"/>
  <c r="D330" i="1"/>
  <c r="C330" i="1"/>
  <c r="CJ329" i="1"/>
  <c r="CI329" i="1" a="1"/>
  <c r="CI329" i="1"/>
  <c r="CH329" i="1" a="1"/>
  <c r="CH329" i="1"/>
  <c r="CG329" i="1"/>
  <c r="CF329" i="1"/>
  <c r="CE329" i="1" a="1"/>
  <c r="CE329" i="1"/>
  <c r="CD329" i="1" a="1"/>
  <c r="CD329" i="1"/>
  <c r="CC329" i="1"/>
  <c r="CB329" i="1"/>
  <c r="CA329" i="1" a="1"/>
  <c r="CA329" i="1"/>
  <c r="BZ329" i="1" a="1"/>
  <c r="BZ329" i="1"/>
  <c r="BY329" i="1"/>
  <c r="BX329" i="1"/>
  <c r="BW329" i="1" a="1"/>
  <c r="BW329" i="1"/>
  <c r="BV329" i="1"/>
  <c r="BU329" i="1"/>
  <c r="BT329" i="1"/>
  <c r="BS329" i="1" a="1"/>
  <c r="BS329" i="1"/>
  <c r="BR329" i="1"/>
  <c r="BQ329" i="1"/>
  <c r="BP329" i="1"/>
  <c r="BO329" i="1" a="1"/>
  <c r="BO329" i="1"/>
  <c r="BN329" i="1"/>
  <c r="BM329" i="1"/>
  <c r="BL329" i="1"/>
  <c r="BK329" i="1"/>
  <c r="BJ329" i="1"/>
  <c r="U329" i="1"/>
  <c r="T329" i="1"/>
  <c r="S329" i="1"/>
  <c r="R329" i="1"/>
  <c r="Q329" i="1"/>
  <c r="F329" i="1"/>
  <c r="E329" i="1"/>
  <c r="D329" i="1"/>
  <c r="C329" i="1"/>
  <c r="CJ328" i="1"/>
  <c r="CI328" i="1" a="1"/>
  <c r="CI328" i="1"/>
  <c r="CH328" i="1" a="1"/>
  <c r="CH328" i="1"/>
  <c r="CG328" i="1"/>
  <c r="CF328" i="1"/>
  <c r="CE328" i="1" a="1"/>
  <c r="CE328" i="1"/>
  <c r="CD328" i="1" a="1"/>
  <c r="CD328" i="1"/>
  <c r="CC328" i="1"/>
  <c r="CB328" i="1"/>
  <c r="CA328" i="1" a="1"/>
  <c r="CA328" i="1"/>
  <c r="BZ328" i="1" a="1"/>
  <c r="BZ328" i="1"/>
  <c r="BY328" i="1"/>
  <c r="BX328" i="1"/>
  <c r="BW328" i="1" a="1"/>
  <c r="BW328" i="1"/>
  <c r="BV328" i="1"/>
  <c r="BU328" i="1"/>
  <c r="BT328" i="1"/>
  <c r="BS328" i="1" a="1"/>
  <c r="BS328" i="1"/>
  <c r="BR328" i="1"/>
  <c r="BQ328" i="1"/>
  <c r="BP328" i="1"/>
  <c r="BO328" i="1" a="1"/>
  <c r="BO328" i="1"/>
  <c r="BN328" i="1"/>
  <c r="BM328" i="1"/>
  <c r="BL328" i="1"/>
  <c r="BK328" i="1"/>
  <c r="BJ328" i="1"/>
  <c r="U328" i="1"/>
  <c r="T328" i="1"/>
  <c r="S328" i="1"/>
  <c r="R328" i="1"/>
  <c r="Q328" i="1"/>
  <c r="F328" i="1"/>
  <c r="E328" i="1"/>
  <c r="D328" i="1"/>
  <c r="C328" i="1"/>
  <c r="CJ327" i="1"/>
  <c r="CI327" i="1" a="1"/>
  <c r="CI327" i="1"/>
  <c r="CH327" i="1" a="1"/>
  <c r="CH327" i="1"/>
  <c r="CG327" i="1"/>
  <c r="CF327" i="1"/>
  <c r="CE327" i="1" a="1"/>
  <c r="CE327" i="1"/>
  <c r="CD327" i="1" a="1"/>
  <c r="CD327" i="1"/>
  <c r="CC327" i="1"/>
  <c r="CB327" i="1"/>
  <c r="CA327" i="1" a="1"/>
  <c r="CA327" i="1"/>
  <c r="BZ327" i="1" a="1"/>
  <c r="BZ327" i="1"/>
  <c r="BY327" i="1"/>
  <c r="BX327" i="1"/>
  <c r="BW327" i="1" a="1"/>
  <c r="BW327" i="1"/>
  <c r="BV327" i="1"/>
  <c r="BU327" i="1"/>
  <c r="BT327" i="1"/>
  <c r="BS327" i="1" a="1"/>
  <c r="BS327" i="1"/>
  <c r="BR327" i="1"/>
  <c r="BQ327" i="1"/>
  <c r="BP327" i="1"/>
  <c r="BO327" i="1" a="1"/>
  <c r="BO327" i="1"/>
  <c r="BN327" i="1"/>
  <c r="BM327" i="1"/>
  <c r="BL327" i="1"/>
  <c r="BK327" i="1"/>
  <c r="BJ327" i="1"/>
  <c r="U327" i="1"/>
  <c r="T327" i="1"/>
  <c r="S327" i="1"/>
  <c r="R327" i="1"/>
  <c r="Q327" i="1"/>
  <c r="F327" i="1"/>
  <c r="E327" i="1"/>
  <c r="D327" i="1"/>
  <c r="C327" i="1"/>
  <c r="CJ326" i="1"/>
  <c r="CI326" i="1" a="1"/>
  <c r="CI326" i="1"/>
  <c r="CH326" i="1" a="1"/>
  <c r="CH326" i="1"/>
  <c r="CG326" i="1"/>
  <c r="CF326" i="1"/>
  <c r="CE326" i="1" a="1"/>
  <c r="CE326" i="1"/>
  <c r="CD326" i="1" a="1"/>
  <c r="CD326" i="1"/>
  <c r="CC326" i="1"/>
  <c r="CB326" i="1"/>
  <c r="CA326" i="1" a="1"/>
  <c r="CA326" i="1"/>
  <c r="BZ326" i="1" a="1"/>
  <c r="BZ326" i="1"/>
  <c r="BY326" i="1"/>
  <c r="BX326" i="1"/>
  <c r="BW326" i="1" a="1"/>
  <c r="BW326" i="1"/>
  <c r="BV326" i="1"/>
  <c r="BU326" i="1"/>
  <c r="BT326" i="1"/>
  <c r="BS326" i="1" a="1"/>
  <c r="BS326" i="1"/>
  <c r="BR326" i="1"/>
  <c r="BQ326" i="1"/>
  <c r="BP326" i="1"/>
  <c r="BO326" i="1" a="1"/>
  <c r="BO326" i="1"/>
  <c r="BN326" i="1"/>
  <c r="BM326" i="1"/>
  <c r="BL326" i="1"/>
  <c r="BK326" i="1"/>
  <c r="BJ326" i="1"/>
  <c r="U326" i="1"/>
  <c r="T326" i="1"/>
  <c r="S326" i="1"/>
  <c r="R326" i="1"/>
  <c r="Q326" i="1"/>
  <c r="F326" i="1"/>
  <c r="E326" i="1"/>
  <c r="D326" i="1"/>
  <c r="C326" i="1"/>
  <c r="CJ325" i="1"/>
  <c r="CI325" i="1" a="1"/>
  <c r="CI325" i="1"/>
  <c r="CH325" i="1" a="1"/>
  <c r="CH325" i="1"/>
  <c r="CG325" i="1"/>
  <c r="CF325" i="1"/>
  <c r="CE325" i="1" a="1"/>
  <c r="CE325" i="1"/>
  <c r="CD325" i="1" a="1"/>
  <c r="CD325" i="1"/>
  <c r="CC325" i="1"/>
  <c r="CB325" i="1"/>
  <c r="CA325" i="1" a="1"/>
  <c r="CA325" i="1"/>
  <c r="BZ325" i="1" a="1"/>
  <c r="BZ325" i="1"/>
  <c r="BY325" i="1"/>
  <c r="BX325" i="1"/>
  <c r="BW325" i="1" a="1"/>
  <c r="BW325" i="1"/>
  <c r="BV325" i="1"/>
  <c r="BU325" i="1"/>
  <c r="BT325" i="1"/>
  <c r="BS325" i="1" a="1"/>
  <c r="BS325" i="1"/>
  <c r="BR325" i="1"/>
  <c r="BQ325" i="1"/>
  <c r="BP325" i="1"/>
  <c r="BO325" i="1" a="1"/>
  <c r="BO325" i="1"/>
  <c r="BN325" i="1"/>
  <c r="BM325" i="1"/>
  <c r="BL325" i="1"/>
  <c r="BK325" i="1"/>
  <c r="BJ325" i="1"/>
  <c r="U325" i="1"/>
  <c r="T325" i="1"/>
  <c r="S325" i="1"/>
  <c r="R325" i="1"/>
  <c r="Q325" i="1"/>
  <c r="F325" i="1"/>
  <c r="E325" i="1"/>
  <c r="D325" i="1"/>
  <c r="C325" i="1"/>
  <c r="CJ324" i="1"/>
  <c r="CI324" i="1" a="1"/>
  <c r="CI324" i="1"/>
  <c r="CH324" i="1" a="1"/>
  <c r="CH324" i="1"/>
  <c r="CG324" i="1"/>
  <c r="CF324" i="1"/>
  <c r="CE324" i="1" a="1"/>
  <c r="CE324" i="1"/>
  <c r="CD324" i="1" a="1"/>
  <c r="CD324" i="1"/>
  <c r="CC324" i="1"/>
  <c r="CB324" i="1"/>
  <c r="CA324" i="1" a="1"/>
  <c r="CA324" i="1"/>
  <c r="BZ324" i="1" a="1"/>
  <c r="BZ324" i="1"/>
  <c r="BY324" i="1"/>
  <c r="BX324" i="1"/>
  <c r="BW324" i="1" a="1"/>
  <c r="BW324" i="1"/>
  <c r="BV324" i="1"/>
  <c r="BU324" i="1"/>
  <c r="BT324" i="1"/>
  <c r="BS324" i="1" a="1"/>
  <c r="BS324" i="1"/>
  <c r="BR324" i="1"/>
  <c r="BQ324" i="1"/>
  <c r="BP324" i="1"/>
  <c r="BO324" i="1" a="1"/>
  <c r="BO324" i="1"/>
  <c r="BN324" i="1"/>
  <c r="BM324" i="1"/>
  <c r="BL324" i="1"/>
  <c r="BK324" i="1"/>
  <c r="BJ324" i="1"/>
  <c r="U324" i="1"/>
  <c r="T324" i="1"/>
  <c r="S324" i="1"/>
  <c r="R324" i="1"/>
  <c r="Q324" i="1"/>
  <c r="F324" i="1"/>
  <c r="E324" i="1"/>
  <c r="D324" i="1"/>
  <c r="C324" i="1"/>
  <c r="CJ323" i="1"/>
  <c r="CI323" i="1" a="1"/>
  <c r="CI323" i="1"/>
  <c r="CH323" i="1" a="1"/>
  <c r="CH323" i="1"/>
  <c r="CG323" i="1"/>
  <c r="CF323" i="1"/>
  <c r="CE323" i="1" a="1"/>
  <c r="CE323" i="1"/>
  <c r="CD323" i="1" a="1"/>
  <c r="CD323" i="1"/>
  <c r="CC323" i="1"/>
  <c r="CB323" i="1"/>
  <c r="CA323" i="1" a="1"/>
  <c r="CA323" i="1"/>
  <c r="BZ323" i="1" a="1"/>
  <c r="BZ323" i="1"/>
  <c r="BY323" i="1"/>
  <c r="BX323" i="1"/>
  <c r="BW323" i="1" a="1"/>
  <c r="BW323" i="1"/>
  <c r="BV323" i="1"/>
  <c r="BU323" i="1"/>
  <c r="BT323" i="1"/>
  <c r="BS323" i="1" a="1"/>
  <c r="BS323" i="1"/>
  <c r="BR323" i="1"/>
  <c r="BQ323" i="1"/>
  <c r="BP323" i="1"/>
  <c r="BO323" i="1" a="1"/>
  <c r="BO323" i="1"/>
  <c r="BN323" i="1"/>
  <c r="BM323" i="1"/>
  <c r="BL323" i="1"/>
  <c r="BK323" i="1"/>
  <c r="BJ323" i="1"/>
  <c r="U323" i="1"/>
  <c r="T323" i="1"/>
  <c r="S323" i="1"/>
  <c r="R323" i="1"/>
  <c r="Q323" i="1"/>
  <c r="F323" i="1"/>
  <c r="E323" i="1"/>
  <c r="D323" i="1"/>
  <c r="C323" i="1"/>
  <c r="CJ322" i="1"/>
  <c r="CI322" i="1" a="1"/>
  <c r="CI322" i="1"/>
  <c r="CH322" i="1" a="1"/>
  <c r="CH322" i="1"/>
  <c r="CG322" i="1"/>
  <c r="CF322" i="1"/>
  <c r="CE322" i="1" a="1"/>
  <c r="CE322" i="1"/>
  <c r="CD322" i="1" a="1"/>
  <c r="CD322" i="1"/>
  <c r="CC322" i="1"/>
  <c r="CB322" i="1"/>
  <c r="CA322" i="1" a="1"/>
  <c r="CA322" i="1"/>
  <c r="BZ322" i="1" a="1"/>
  <c r="BZ322" i="1"/>
  <c r="BY322" i="1"/>
  <c r="BX322" i="1"/>
  <c r="BW322" i="1" a="1"/>
  <c r="BW322" i="1"/>
  <c r="BV322" i="1"/>
  <c r="BU322" i="1"/>
  <c r="BT322" i="1"/>
  <c r="BS322" i="1" a="1"/>
  <c r="BS322" i="1"/>
  <c r="BR322" i="1"/>
  <c r="BQ322" i="1"/>
  <c r="BP322" i="1"/>
  <c r="BO322" i="1" a="1"/>
  <c r="BO322" i="1"/>
  <c r="BN322" i="1"/>
  <c r="BM322" i="1"/>
  <c r="BL322" i="1"/>
  <c r="BK322" i="1"/>
  <c r="BJ322" i="1"/>
  <c r="U322" i="1"/>
  <c r="T322" i="1"/>
  <c r="S322" i="1"/>
  <c r="R322" i="1"/>
  <c r="Q322" i="1"/>
  <c r="F322" i="1"/>
  <c r="E322" i="1"/>
  <c r="D322" i="1"/>
  <c r="C322" i="1"/>
  <c r="CJ321" i="1"/>
  <c r="CI321" i="1" a="1"/>
  <c r="CI321" i="1"/>
  <c r="CH321" i="1" a="1"/>
  <c r="CH321" i="1"/>
  <c r="CG321" i="1"/>
  <c r="CF321" i="1"/>
  <c r="CE321" i="1" a="1"/>
  <c r="CE321" i="1"/>
  <c r="CD321" i="1" a="1"/>
  <c r="CD321" i="1"/>
  <c r="CC321" i="1"/>
  <c r="CB321" i="1"/>
  <c r="CA321" i="1" a="1"/>
  <c r="CA321" i="1"/>
  <c r="BZ321" i="1" a="1"/>
  <c r="BZ321" i="1"/>
  <c r="BY321" i="1"/>
  <c r="BX321" i="1"/>
  <c r="BW321" i="1" a="1"/>
  <c r="BW321" i="1"/>
  <c r="BV321" i="1"/>
  <c r="BU321" i="1"/>
  <c r="BT321" i="1"/>
  <c r="BS321" i="1" a="1"/>
  <c r="BS321" i="1"/>
  <c r="BR321" i="1"/>
  <c r="BQ321" i="1"/>
  <c r="BP321" i="1"/>
  <c r="BO321" i="1" a="1"/>
  <c r="BO321" i="1"/>
  <c r="BN321" i="1"/>
  <c r="BM321" i="1"/>
  <c r="BL321" i="1"/>
  <c r="BK321" i="1"/>
  <c r="BJ321" i="1"/>
  <c r="U321" i="1"/>
  <c r="T321" i="1"/>
  <c r="S321" i="1"/>
  <c r="R321" i="1"/>
  <c r="Q321" i="1"/>
  <c r="F321" i="1"/>
  <c r="E321" i="1"/>
  <c r="D321" i="1"/>
  <c r="C321" i="1"/>
  <c r="CJ320" i="1"/>
  <c r="CI320" i="1" a="1"/>
  <c r="CI320" i="1"/>
  <c r="CH320" i="1" a="1"/>
  <c r="CH320" i="1"/>
  <c r="CG320" i="1"/>
  <c r="CF320" i="1"/>
  <c r="CE320" i="1" a="1"/>
  <c r="CE320" i="1"/>
  <c r="CD320" i="1" a="1"/>
  <c r="CD320" i="1"/>
  <c r="CC320" i="1"/>
  <c r="CB320" i="1"/>
  <c r="CA320" i="1" a="1"/>
  <c r="CA320" i="1"/>
  <c r="BZ320" i="1" a="1"/>
  <c r="BZ320" i="1"/>
  <c r="BY320" i="1"/>
  <c r="BX320" i="1"/>
  <c r="BW320" i="1" a="1"/>
  <c r="BW320" i="1"/>
  <c r="BV320" i="1"/>
  <c r="BU320" i="1"/>
  <c r="BT320" i="1"/>
  <c r="BS320" i="1" a="1"/>
  <c r="BS320" i="1"/>
  <c r="BR320" i="1"/>
  <c r="BQ320" i="1"/>
  <c r="BP320" i="1"/>
  <c r="BO320" i="1" a="1"/>
  <c r="BO320" i="1"/>
  <c r="BN320" i="1"/>
  <c r="BM320" i="1"/>
  <c r="BL320" i="1"/>
  <c r="BK320" i="1"/>
  <c r="BJ320" i="1"/>
  <c r="U320" i="1"/>
  <c r="T320" i="1"/>
  <c r="S320" i="1"/>
  <c r="R320" i="1"/>
  <c r="Q320" i="1"/>
  <c r="F320" i="1"/>
  <c r="E320" i="1"/>
  <c r="D320" i="1"/>
  <c r="C320" i="1"/>
  <c r="CJ319" i="1"/>
  <c r="CI319" i="1" a="1"/>
  <c r="CI319" i="1"/>
  <c r="CH319" i="1" a="1"/>
  <c r="CH319" i="1"/>
  <c r="CG319" i="1"/>
  <c r="CF319" i="1"/>
  <c r="CE319" i="1" a="1"/>
  <c r="CE319" i="1"/>
  <c r="CD319" i="1" a="1"/>
  <c r="CD319" i="1"/>
  <c r="CC319" i="1"/>
  <c r="CB319" i="1"/>
  <c r="CA319" i="1" a="1"/>
  <c r="CA319" i="1"/>
  <c r="BZ319" i="1" a="1"/>
  <c r="BZ319" i="1"/>
  <c r="BY319" i="1"/>
  <c r="BX319" i="1"/>
  <c r="BW319" i="1" a="1"/>
  <c r="BW319" i="1"/>
  <c r="BV319" i="1"/>
  <c r="BU319" i="1"/>
  <c r="BT319" i="1"/>
  <c r="BS319" i="1" a="1"/>
  <c r="BS319" i="1"/>
  <c r="BR319" i="1"/>
  <c r="BQ319" i="1"/>
  <c r="BP319" i="1"/>
  <c r="BO319" i="1" a="1"/>
  <c r="BO319" i="1"/>
  <c r="BN319" i="1"/>
  <c r="BM319" i="1"/>
  <c r="BL319" i="1"/>
  <c r="BK319" i="1"/>
  <c r="BJ319" i="1"/>
  <c r="U319" i="1"/>
  <c r="T319" i="1"/>
  <c r="S319" i="1"/>
  <c r="R319" i="1"/>
  <c r="Q319" i="1"/>
  <c r="F319" i="1"/>
  <c r="E319" i="1"/>
  <c r="D319" i="1"/>
  <c r="C319" i="1"/>
  <c r="CJ318" i="1"/>
  <c r="CI318" i="1" a="1"/>
  <c r="CI318" i="1"/>
  <c r="CH318" i="1" a="1"/>
  <c r="CH318" i="1"/>
  <c r="CG318" i="1"/>
  <c r="CF318" i="1"/>
  <c r="CE318" i="1" a="1"/>
  <c r="CE318" i="1"/>
  <c r="CD318" i="1" a="1"/>
  <c r="CD318" i="1"/>
  <c r="CC318" i="1"/>
  <c r="CB318" i="1"/>
  <c r="CA318" i="1" a="1"/>
  <c r="CA318" i="1"/>
  <c r="BZ318" i="1" a="1"/>
  <c r="BZ318" i="1"/>
  <c r="BY318" i="1"/>
  <c r="BX318" i="1"/>
  <c r="BW318" i="1" a="1"/>
  <c r="BW318" i="1"/>
  <c r="BV318" i="1"/>
  <c r="BU318" i="1"/>
  <c r="BT318" i="1"/>
  <c r="BS318" i="1" a="1"/>
  <c r="BS318" i="1"/>
  <c r="BR318" i="1"/>
  <c r="BQ318" i="1"/>
  <c r="BP318" i="1"/>
  <c r="BO318" i="1" a="1"/>
  <c r="BO318" i="1"/>
  <c r="BN318" i="1"/>
  <c r="BM318" i="1"/>
  <c r="BL318" i="1"/>
  <c r="BK318" i="1"/>
  <c r="BJ318" i="1"/>
  <c r="U318" i="1"/>
  <c r="T318" i="1"/>
  <c r="S318" i="1"/>
  <c r="R318" i="1"/>
  <c r="Q318" i="1"/>
  <c r="F318" i="1"/>
  <c r="E318" i="1"/>
  <c r="D318" i="1"/>
  <c r="C318" i="1"/>
  <c r="CJ317" i="1"/>
  <c r="CI317" i="1" a="1"/>
  <c r="CI317" i="1"/>
  <c r="CH317" i="1" a="1"/>
  <c r="CH317" i="1"/>
  <c r="CG317" i="1"/>
  <c r="CF317" i="1"/>
  <c r="CE317" i="1" a="1"/>
  <c r="CE317" i="1"/>
  <c r="CD317" i="1" a="1"/>
  <c r="CD317" i="1"/>
  <c r="CC317" i="1"/>
  <c r="CB317" i="1"/>
  <c r="CA317" i="1" a="1"/>
  <c r="CA317" i="1"/>
  <c r="BZ317" i="1" a="1"/>
  <c r="BZ317" i="1"/>
  <c r="BY317" i="1"/>
  <c r="BX317" i="1"/>
  <c r="BW317" i="1" a="1"/>
  <c r="BW317" i="1"/>
  <c r="BV317" i="1"/>
  <c r="BU317" i="1"/>
  <c r="BT317" i="1"/>
  <c r="BS317" i="1" a="1"/>
  <c r="BS317" i="1"/>
  <c r="BR317" i="1"/>
  <c r="BQ317" i="1"/>
  <c r="BP317" i="1"/>
  <c r="BO317" i="1" a="1"/>
  <c r="BO317" i="1"/>
  <c r="BN317" i="1"/>
  <c r="BM317" i="1"/>
  <c r="BL317" i="1"/>
  <c r="BK317" i="1"/>
  <c r="BJ317" i="1"/>
  <c r="U317" i="1"/>
  <c r="T317" i="1"/>
  <c r="S317" i="1"/>
  <c r="R317" i="1"/>
  <c r="Q317" i="1"/>
  <c r="F317" i="1"/>
  <c r="E317" i="1"/>
  <c r="D317" i="1"/>
  <c r="C317" i="1"/>
  <c r="CJ316" i="1"/>
  <c r="CI316" i="1" a="1"/>
  <c r="CI316" i="1"/>
  <c r="CH316" i="1" a="1"/>
  <c r="CH316" i="1"/>
  <c r="CG316" i="1"/>
  <c r="CF316" i="1"/>
  <c r="CE316" i="1" a="1"/>
  <c r="CE316" i="1"/>
  <c r="CD316" i="1" a="1"/>
  <c r="CD316" i="1"/>
  <c r="CC316" i="1"/>
  <c r="CB316" i="1"/>
  <c r="CA316" i="1" a="1"/>
  <c r="CA316" i="1"/>
  <c r="BZ316" i="1" a="1"/>
  <c r="BZ316" i="1"/>
  <c r="BY316" i="1"/>
  <c r="BX316" i="1"/>
  <c r="BW316" i="1" a="1"/>
  <c r="BW316" i="1"/>
  <c r="BV316" i="1"/>
  <c r="BU316" i="1"/>
  <c r="BT316" i="1"/>
  <c r="BS316" i="1" a="1"/>
  <c r="BS316" i="1"/>
  <c r="BR316" i="1"/>
  <c r="BQ316" i="1"/>
  <c r="BP316" i="1"/>
  <c r="BO316" i="1" a="1"/>
  <c r="BO316" i="1"/>
  <c r="BN316" i="1"/>
  <c r="BM316" i="1"/>
  <c r="BL316" i="1"/>
  <c r="BK316" i="1"/>
  <c r="BJ316" i="1"/>
  <c r="U316" i="1"/>
  <c r="T316" i="1"/>
  <c r="S316" i="1"/>
  <c r="R316" i="1"/>
  <c r="Q316" i="1"/>
  <c r="F316" i="1"/>
  <c r="E316" i="1"/>
  <c r="D316" i="1"/>
  <c r="C316" i="1"/>
  <c r="CJ315" i="1"/>
  <c r="CI315" i="1" a="1"/>
  <c r="CI315" i="1"/>
  <c r="CH315" i="1" a="1"/>
  <c r="CH315" i="1"/>
  <c r="CG315" i="1"/>
  <c r="CF315" i="1"/>
  <c r="CE315" i="1" a="1"/>
  <c r="CE315" i="1"/>
  <c r="CD315" i="1" a="1"/>
  <c r="CD315" i="1"/>
  <c r="CC315" i="1"/>
  <c r="CB315" i="1"/>
  <c r="CA315" i="1" a="1"/>
  <c r="CA315" i="1"/>
  <c r="BZ315" i="1" a="1"/>
  <c r="BZ315" i="1"/>
  <c r="BY315" i="1"/>
  <c r="BX315" i="1"/>
  <c r="BW315" i="1" a="1"/>
  <c r="BW315" i="1"/>
  <c r="BV315" i="1"/>
  <c r="BU315" i="1"/>
  <c r="BT315" i="1"/>
  <c r="BS315" i="1" a="1"/>
  <c r="BS315" i="1"/>
  <c r="BR315" i="1"/>
  <c r="BQ315" i="1"/>
  <c r="BP315" i="1"/>
  <c r="BO315" i="1" a="1"/>
  <c r="BO315" i="1"/>
  <c r="BN315" i="1"/>
  <c r="BM315" i="1"/>
  <c r="BL315" i="1"/>
  <c r="BK315" i="1"/>
  <c r="BJ315" i="1"/>
  <c r="U315" i="1"/>
  <c r="T315" i="1"/>
  <c r="S315" i="1"/>
  <c r="R315" i="1"/>
  <c r="Q315" i="1"/>
  <c r="F315" i="1"/>
  <c r="E315" i="1"/>
  <c r="D315" i="1"/>
  <c r="C315" i="1"/>
  <c r="CJ314" i="1"/>
  <c r="CI314" i="1" a="1"/>
  <c r="CI314" i="1"/>
  <c r="CH314" i="1" a="1"/>
  <c r="CH314" i="1"/>
  <c r="CG314" i="1"/>
  <c r="CF314" i="1"/>
  <c r="CE314" i="1" a="1"/>
  <c r="CE314" i="1"/>
  <c r="CD314" i="1" a="1"/>
  <c r="CD314" i="1"/>
  <c r="CC314" i="1"/>
  <c r="CB314" i="1"/>
  <c r="CA314" i="1" a="1"/>
  <c r="CA314" i="1"/>
  <c r="BZ314" i="1" a="1"/>
  <c r="BZ314" i="1"/>
  <c r="BY314" i="1"/>
  <c r="BX314" i="1"/>
  <c r="BW314" i="1" a="1"/>
  <c r="BW314" i="1"/>
  <c r="BV314" i="1"/>
  <c r="BU314" i="1"/>
  <c r="BT314" i="1"/>
  <c r="BS314" i="1" a="1"/>
  <c r="BS314" i="1"/>
  <c r="BR314" i="1"/>
  <c r="BQ314" i="1"/>
  <c r="BP314" i="1"/>
  <c r="BO314" i="1" a="1"/>
  <c r="BO314" i="1"/>
  <c r="BN314" i="1"/>
  <c r="BM314" i="1"/>
  <c r="BL314" i="1"/>
  <c r="BK314" i="1"/>
  <c r="BJ314" i="1"/>
  <c r="U314" i="1"/>
  <c r="T314" i="1"/>
  <c r="S314" i="1"/>
  <c r="R314" i="1"/>
  <c r="Q314" i="1"/>
  <c r="F314" i="1"/>
  <c r="E314" i="1"/>
  <c r="D314" i="1"/>
  <c r="C314" i="1"/>
  <c r="CJ313" i="1"/>
  <c r="CI313" i="1" a="1"/>
  <c r="CI313" i="1"/>
  <c r="CH313" i="1" a="1"/>
  <c r="CH313" i="1"/>
  <c r="CG313" i="1"/>
  <c r="CF313" i="1"/>
  <c r="CE313" i="1" a="1"/>
  <c r="CE313" i="1"/>
  <c r="CD313" i="1" a="1"/>
  <c r="CD313" i="1"/>
  <c r="CC313" i="1"/>
  <c r="CB313" i="1"/>
  <c r="CA313" i="1" a="1"/>
  <c r="CA313" i="1"/>
  <c r="BZ313" i="1" a="1"/>
  <c r="BZ313" i="1"/>
  <c r="BY313" i="1"/>
  <c r="BX313" i="1"/>
  <c r="BW313" i="1" a="1"/>
  <c r="BW313" i="1"/>
  <c r="BV313" i="1"/>
  <c r="BU313" i="1"/>
  <c r="BT313" i="1"/>
  <c r="BS313" i="1" a="1"/>
  <c r="BS313" i="1"/>
  <c r="BR313" i="1"/>
  <c r="BQ313" i="1"/>
  <c r="BP313" i="1"/>
  <c r="BO313" i="1" a="1"/>
  <c r="BO313" i="1"/>
  <c r="BN313" i="1"/>
  <c r="BM313" i="1"/>
  <c r="BL313" i="1"/>
  <c r="BK313" i="1"/>
  <c r="BJ313" i="1"/>
  <c r="U313" i="1"/>
  <c r="T313" i="1"/>
  <c r="S313" i="1"/>
  <c r="R313" i="1"/>
  <c r="Q313" i="1"/>
  <c r="F313" i="1"/>
  <c r="E313" i="1"/>
  <c r="D313" i="1"/>
  <c r="C313" i="1"/>
  <c r="CJ312" i="1"/>
  <c r="CI312" i="1" a="1"/>
  <c r="CI312" i="1"/>
  <c r="CH312" i="1" a="1"/>
  <c r="CH312" i="1"/>
  <c r="CG312" i="1"/>
  <c r="CF312" i="1"/>
  <c r="CE312" i="1" a="1"/>
  <c r="CE312" i="1"/>
  <c r="CD312" i="1" a="1"/>
  <c r="CD312" i="1"/>
  <c r="CC312" i="1"/>
  <c r="CB312" i="1"/>
  <c r="CA312" i="1" a="1"/>
  <c r="CA312" i="1"/>
  <c r="BZ312" i="1" a="1"/>
  <c r="BZ312" i="1"/>
  <c r="BY312" i="1"/>
  <c r="BX312" i="1"/>
  <c r="BW312" i="1" a="1"/>
  <c r="BW312" i="1"/>
  <c r="BV312" i="1"/>
  <c r="BU312" i="1"/>
  <c r="BT312" i="1"/>
  <c r="BS312" i="1" a="1"/>
  <c r="BS312" i="1"/>
  <c r="BR312" i="1"/>
  <c r="BQ312" i="1"/>
  <c r="BP312" i="1"/>
  <c r="BO312" i="1" a="1"/>
  <c r="BO312" i="1"/>
  <c r="BN312" i="1"/>
  <c r="BM312" i="1"/>
  <c r="BL312" i="1"/>
  <c r="BK312" i="1"/>
  <c r="BJ312" i="1"/>
  <c r="U312" i="1"/>
  <c r="T312" i="1"/>
  <c r="S312" i="1"/>
  <c r="R312" i="1"/>
  <c r="Q312" i="1"/>
  <c r="F312" i="1"/>
  <c r="E312" i="1"/>
  <c r="D312" i="1"/>
  <c r="C312" i="1"/>
  <c r="CJ311" i="1"/>
  <c r="CI311" i="1" a="1"/>
  <c r="CI311" i="1"/>
  <c r="CH311" i="1" a="1"/>
  <c r="CH311" i="1"/>
  <c r="CG311" i="1"/>
  <c r="CF311" i="1"/>
  <c r="CE311" i="1" a="1"/>
  <c r="CE311" i="1"/>
  <c r="CD311" i="1" a="1"/>
  <c r="CD311" i="1"/>
  <c r="CC311" i="1"/>
  <c r="CB311" i="1"/>
  <c r="CA311" i="1" a="1"/>
  <c r="CA311" i="1"/>
  <c r="BZ311" i="1" a="1"/>
  <c r="BZ311" i="1"/>
  <c r="BY311" i="1"/>
  <c r="BX311" i="1"/>
  <c r="BW311" i="1" a="1"/>
  <c r="BW311" i="1"/>
  <c r="BV311" i="1"/>
  <c r="BU311" i="1"/>
  <c r="BT311" i="1"/>
  <c r="BS311" i="1" a="1"/>
  <c r="BS311" i="1"/>
  <c r="BR311" i="1"/>
  <c r="BQ311" i="1"/>
  <c r="BP311" i="1"/>
  <c r="BO311" i="1" a="1"/>
  <c r="BO311" i="1"/>
  <c r="BN311" i="1"/>
  <c r="BM311" i="1"/>
  <c r="BL311" i="1"/>
  <c r="BK311" i="1"/>
  <c r="BJ311" i="1"/>
  <c r="U311" i="1"/>
  <c r="T311" i="1"/>
  <c r="S311" i="1"/>
  <c r="R311" i="1"/>
  <c r="Q311" i="1"/>
  <c r="F311" i="1"/>
  <c r="E311" i="1"/>
  <c r="D311" i="1"/>
  <c r="C311" i="1"/>
  <c r="CJ310" i="1"/>
  <c r="CI310" i="1" a="1"/>
  <c r="CI310" i="1"/>
  <c r="CH310" i="1" a="1"/>
  <c r="CH310" i="1"/>
  <c r="CG310" i="1"/>
  <c r="CF310" i="1"/>
  <c r="CE310" i="1" a="1"/>
  <c r="CE310" i="1"/>
  <c r="CD310" i="1" a="1"/>
  <c r="CD310" i="1"/>
  <c r="CC310" i="1"/>
  <c r="CB310" i="1"/>
  <c r="CA310" i="1" a="1"/>
  <c r="CA310" i="1"/>
  <c r="BZ310" i="1" a="1"/>
  <c r="BZ310" i="1"/>
  <c r="BY310" i="1"/>
  <c r="BX310" i="1"/>
  <c r="BW310" i="1" a="1"/>
  <c r="BW310" i="1"/>
  <c r="BV310" i="1"/>
  <c r="BU310" i="1"/>
  <c r="BT310" i="1"/>
  <c r="BS310" i="1" a="1"/>
  <c r="BS310" i="1"/>
  <c r="BR310" i="1"/>
  <c r="BQ310" i="1"/>
  <c r="BP310" i="1"/>
  <c r="BO310" i="1" a="1"/>
  <c r="BO310" i="1"/>
  <c r="BN310" i="1"/>
  <c r="BM310" i="1"/>
  <c r="BL310" i="1"/>
  <c r="BK310" i="1"/>
  <c r="BJ310" i="1"/>
  <c r="U310" i="1"/>
  <c r="T310" i="1"/>
  <c r="S310" i="1"/>
  <c r="R310" i="1"/>
  <c r="Q310" i="1"/>
  <c r="F310" i="1"/>
  <c r="E310" i="1"/>
  <c r="D310" i="1"/>
  <c r="C310" i="1"/>
  <c r="CJ309" i="1"/>
  <c r="CI309" i="1" a="1"/>
  <c r="CI309" i="1"/>
  <c r="CH309" i="1" a="1"/>
  <c r="CH309" i="1"/>
  <c r="CG309" i="1"/>
  <c r="CF309" i="1"/>
  <c r="CE309" i="1" a="1"/>
  <c r="CE309" i="1"/>
  <c r="CD309" i="1" a="1"/>
  <c r="CD309" i="1"/>
  <c r="CC309" i="1"/>
  <c r="CB309" i="1"/>
  <c r="CA309" i="1" a="1"/>
  <c r="CA309" i="1"/>
  <c r="BZ309" i="1" a="1"/>
  <c r="BZ309" i="1"/>
  <c r="BY309" i="1"/>
  <c r="BX309" i="1"/>
  <c r="BW309" i="1" a="1"/>
  <c r="BW309" i="1"/>
  <c r="BV309" i="1"/>
  <c r="BU309" i="1"/>
  <c r="BT309" i="1"/>
  <c r="BS309" i="1" a="1"/>
  <c r="BS309" i="1"/>
  <c r="BR309" i="1"/>
  <c r="BQ309" i="1"/>
  <c r="BP309" i="1"/>
  <c r="BO309" i="1" a="1"/>
  <c r="BO309" i="1"/>
  <c r="BN309" i="1"/>
  <c r="BM309" i="1"/>
  <c r="BL309" i="1"/>
  <c r="BK309" i="1"/>
  <c r="BJ309" i="1"/>
  <c r="U309" i="1"/>
  <c r="T309" i="1"/>
  <c r="S309" i="1"/>
  <c r="R309" i="1"/>
  <c r="Q309" i="1"/>
  <c r="F309" i="1"/>
  <c r="E309" i="1"/>
  <c r="D309" i="1"/>
  <c r="C309" i="1"/>
  <c r="CJ308" i="1"/>
  <c r="CI308" i="1" a="1"/>
  <c r="CI308" i="1"/>
  <c r="CH308" i="1" a="1"/>
  <c r="CH308" i="1"/>
  <c r="CG308" i="1"/>
  <c r="CF308" i="1"/>
  <c r="CE308" i="1" a="1"/>
  <c r="CE308" i="1"/>
  <c r="CD308" i="1" a="1"/>
  <c r="CD308" i="1"/>
  <c r="CC308" i="1"/>
  <c r="CB308" i="1"/>
  <c r="CA308" i="1" a="1"/>
  <c r="CA308" i="1"/>
  <c r="BZ308" i="1" a="1"/>
  <c r="BZ308" i="1"/>
  <c r="BY308" i="1"/>
  <c r="BX308" i="1"/>
  <c r="BW308" i="1" a="1"/>
  <c r="BW308" i="1"/>
  <c r="BV308" i="1"/>
  <c r="BU308" i="1"/>
  <c r="BT308" i="1"/>
  <c r="BS308" i="1" a="1"/>
  <c r="BS308" i="1"/>
  <c r="BR308" i="1"/>
  <c r="BQ308" i="1"/>
  <c r="BP308" i="1"/>
  <c r="BO308" i="1" a="1"/>
  <c r="BO308" i="1"/>
  <c r="BN308" i="1"/>
  <c r="BM308" i="1"/>
  <c r="BL308" i="1"/>
  <c r="BK308" i="1"/>
  <c r="BJ308" i="1"/>
  <c r="U308" i="1"/>
  <c r="T308" i="1"/>
  <c r="S308" i="1"/>
  <c r="R308" i="1"/>
  <c r="Q308" i="1"/>
  <c r="F308" i="1"/>
  <c r="E308" i="1"/>
  <c r="D308" i="1"/>
  <c r="C308" i="1"/>
  <c r="CJ307" i="1"/>
  <c r="CI307" i="1" a="1"/>
  <c r="CI307" i="1"/>
  <c r="CH307" i="1" a="1"/>
  <c r="CH307" i="1"/>
  <c r="CG307" i="1"/>
  <c r="CF307" i="1"/>
  <c r="CE307" i="1" a="1"/>
  <c r="CE307" i="1"/>
  <c r="CD307" i="1" a="1"/>
  <c r="CD307" i="1"/>
  <c r="CC307" i="1"/>
  <c r="CB307" i="1"/>
  <c r="CA307" i="1" a="1"/>
  <c r="CA307" i="1"/>
  <c r="BZ307" i="1" a="1"/>
  <c r="BZ307" i="1"/>
  <c r="BY307" i="1"/>
  <c r="BX307" i="1"/>
  <c r="BW307" i="1" a="1"/>
  <c r="BW307" i="1"/>
  <c r="BV307" i="1"/>
  <c r="BU307" i="1"/>
  <c r="BT307" i="1"/>
  <c r="BS307" i="1" a="1"/>
  <c r="BS307" i="1"/>
  <c r="BR307" i="1"/>
  <c r="BQ307" i="1"/>
  <c r="BP307" i="1"/>
  <c r="BO307" i="1" a="1"/>
  <c r="BO307" i="1"/>
  <c r="BN307" i="1"/>
  <c r="BM307" i="1"/>
  <c r="BL307" i="1"/>
  <c r="BK307" i="1"/>
  <c r="BJ307" i="1"/>
  <c r="U307" i="1"/>
  <c r="T307" i="1"/>
  <c r="S307" i="1"/>
  <c r="R307" i="1"/>
  <c r="Q307" i="1"/>
  <c r="F307" i="1"/>
  <c r="E307" i="1"/>
  <c r="D307" i="1"/>
  <c r="C307" i="1"/>
  <c r="CJ306" i="1"/>
  <c r="CI306" i="1" a="1"/>
  <c r="CI306" i="1"/>
  <c r="CH306" i="1" a="1"/>
  <c r="CH306" i="1"/>
  <c r="CG306" i="1"/>
  <c r="CF306" i="1"/>
  <c r="CE306" i="1" a="1"/>
  <c r="CE306" i="1"/>
  <c r="CD306" i="1" a="1"/>
  <c r="CD306" i="1"/>
  <c r="CC306" i="1"/>
  <c r="CB306" i="1"/>
  <c r="CA306" i="1" a="1"/>
  <c r="CA306" i="1"/>
  <c r="BZ306" i="1" a="1"/>
  <c r="BZ306" i="1"/>
  <c r="BY306" i="1"/>
  <c r="BX306" i="1"/>
  <c r="BW306" i="1" a="1"/>
  <c r="BW306" i="1"/>
  <c r="BV306" i="1"/>
  <c r="BU306" i="1"/>
  <c r="BT306" i="1"/>
  <c r="BS306" i="1" a="1"/>
  <c r="BS306" i="1"/>
  <c r="BR306" i="1"/>
  <c r="BQ306" i="1"/>
  <c r="BP306" i="1"/>
  <c r="BO306" i="1" a="1"/>
  <c r="BO306" i="1"/>
  <c r="BN306" i="1"/>
  <c r="BM306" i="1"/>
  <c r="BL306" i="1"/>
  <c r="BK306" i="1"/>
  <c r="BJ306" i="1"/>
  <c r="U306" i="1"/>
  <c r="T306" i="1"/>
  <c r="S306" i="1"/>
  <c r="R306" i="1"/>
  <c r="Q306" i="1"/>
  <c r="F306" i="1"/>
  <c r="E306" i="1"/>
  <c r="D306" i="1"/>
  <c r="C306" i="1"/>
  <c r="CJ305" i="1"/>
  <c r="CI305" i="1" a="1"/>
  <c r="CI305" i="1"/>
  <c r="CH305" i="1" a="1"/>
  <c r="CH305" i="1"/>
  <c r="CG305" i="1"/>
  <c r="CF305" i="1"/>
  <c r="CE305" i="1" a="1"/>
  <c r="CE305" i="1"/>
  <c r="CD305" i="1" a="1"/>
  <c r="CD305" i="1"/>
  <c r="CC305" i="1"/>
  <c r="CB305" i="1"/>
  <c r="CA305" i="1" a="1"/>
  <c r="CA305" i="1"/>
  <c r="BZ305" i="1" a="1"/>
  <c r="BZ305" i="1"/>
  <c r="BY305" i="1"/>
  <c r="BX305" i="1"/>
  <c r="BW305" i="1" a="1"/>
  <c r="BW305" i="1"/>
  <c r="BV305" i="1"/>
  <c r="BU305" i="1"/>
  <c r="BT305" i="1"/>
  <c r="BS305" i="1" a="1"/>
  <c r="BS305" i="1"/>
  <c r="BR305" i="1"/>
  <c r="BQ305" i="1"/>
  <c r="BP305" i="1"/>
  <c r="BO305" i="1" a="1"/>
  <c r="BO305" i="1"/>
  <c r="BN305" i="1"/>
  <c r="BM305" i="1"/>
  <c r="BL305" i="1"/>
  <c r="BK305" i="1"/>
  <c r="BJ305" i="1"/>
  <c r="U305" i="1"/>
  <c r="T305" i="1"/>
  <c r="S305" i="1"/>
  <c r="R305" i="1"/>
  <c r="Q305" i="1"/>
  <c r="F305" i="1"/>
  <c r="E305" i="1"/>
  <c r="D305" i="1"/>
  <c r="C305" i="1"/>
  <c r="CJ304" i="1"/>
  <c r="CI304" i="1" a="1"/>
  <c r="CI304" i="1"/>
  <c r="CH304" i="1" a="1"/>
  <c r="CH304" i="1"/>
  <c r="CG304" i="1"/>
  <c r="CF304" i="1"/>
  <c r="CE304" i="1" a="1"/>
  <c r="CE304" i="1"/>
  <c r="CD304" i="1" a="1"/>
  <c r="CD304" i="1"/>
  <c r="CC304" i="1"/>
  <c r="CB304" i="1"/>
  <c r="CA304" i="1" a="1"/>
  <c r="CA304" i="1"/>
  <c r="BZ304" i="1" a="1"/>
  <c r="BZ304" i="1"/>
  <c r="BY304" i="1"/>
  <c r="BX304" i="1"/>
  <c r="BW304" i="1" a="1"/>
  <c r="BW304" i="1"/>
  <c r="BV304" i="1"/>
  <c r="BU304" i="1"/>
  <c r="BT304" i="1"/>
  <c r="BS304" i="1" a="1"/>
  <c r="BS304" i="1"/>
  <c r="BR304" i="1"/>
  <c r="BQ304" i="1"/>
  <c r="BP304" i="1"/>
  <c r="BO304" i="1" a="1"/>
  <c r="BO304" i="1"/>
  <c r="BN304" i="1"/>
  <c r="BM304" i="1"/>
  <c r="BL304" i="1"/>
  <c r="BK304" i="1"/>
  <c r="BJ304" i="1"/>
  <c r="U304" i="1"/>
  <c r="T304" i="1"/>
  <c r="S304" i="1"/>
  <c r="R304" i="1"/>
  <c r="Q304" i="1"/>
  <c r="F304" i="1"/>
  <c r="E304" i="1"/>
  <c r="D304" i="1"/>
  <c r="C304" i="1"/>
  <c r="CJ303" i="1"/>
  <c r="CI303" i="1" a="1"/>
  <c r="CI303" i="1"/>
  <c r="CH303" i="1" a="1"/>
  <c r="CH303" i="1"/>
  <c r="CG303" i="1"/>
  <c r="CF303" i="1"/>
  <c r="CE303" i="1" a="1"/>
  <c r="CE303" i="1"/>
  <c r="CD303" i="1" a="1"/>
  <c r="CD303" i="1"/>
  <c r="CC303" i="1"/>
  <c r="CB303" i="1"/>
  <c r="CA303" i="1" a="1"/>
  <c r="CA303" i="1"/>
  <c r="BZ303" i="1" a="1"/>
  <c r="BZ303" i="1"/>
  <c r="BY303" i="1"/>
  <c r="BX303" i="1"/>
  <c r="BW303" i="1" a="1"/>
  <c r="BW303" i="1"/>
  <c r="BV303" i="1"/>
  <c r="BU303" i="1"/>
  <c r="BT303" i="1"/>
  <c r="BS303" i="1" a="1"/>
  <c r="BS303" i="1"/>
  <c r="BR303" i="1"/>
  <c r="BQ303" i="1"/>
  <c r="BP303" i="1"/>
  <c r="BO303" i="1" a="1"/>
  <c r="BO303" i="1"/>
  <c r="BN303" i="1"/>
  <c r="BM303" i="1"/>
  <c r="BL303" i="1"/>
  <c r="BK303" i="1"/>
  <c r="BJ303" i="1"/>
  <c r="U303" i="1"/>
  <c r="T303" i="1"/>
  <c r="S303" i="1"/>
  <c r="R303" i="1"/>
  <c r="Q303" i="1"/>
  <c r="F303" i="1"/>
  <c r="E303" i="1"/>
  <c r="D303" i="1"/>
  <c r="C303" i="1"/>
  <c r="CJ302" i="1"/>
  <c r="CI302" i="1" a="1"/>
  <c r="CI302" i="1"/>
  <c r="CH302" i="1" a="1"/>
  <c r="CH302" i="1"/>
  <c r="CG302" i="1"/>
  <c r="CF302" i="1"/>
  <c r="CE302" i="1" a="1"/>
  <c r="CE302" i="1"/>
  <c r="CD302" i="1" a="1"/>
  <c r="CD302" i="1"/>
  <c r="CC302" i="1"/>
  <c r="CB302" i="1"/>
  <c r="CA302" i="1" a="1"/>
  <c r="CA302" i="1"/>
  <c r="BZ302" i="1" a="1"/>
  <c r="BZ302" i="1"/>
  <c r="BY302" i="1"/>
  <c r="BX302" i="1"/>
  <c r="BW302" i="1" a="1"/>
  <c r="BW302" i="1"/>
  <c r="BV302" i="1"/>
  <c r="BU302" i="1"/>
  <c r="BT302" i="1"/>
  <c r="BS302" i="1" a="1"/>
  <c r="BS302" i="1"/>
  <c r="BR302" i="1"/>
  <c r="BQ302" i="1"/>
  <c r="BP302" i="1"/>
  <c r="BO302" i="1" a="1"/>
  <c r="BO302" i="1"/>
  <c r="BN302" i="1"/>
  <c r="BM302" i="1"/>
  <c r="BL302" i="1"/>
  <c r="BK302" i="1"/>
  <c r="BJ302" i="1"/>
  <c r="U302" i="1"/>
  <c r="T302" i="1"/>
  <c r="S302" i="1"/>
  <c r="R302" i="1"/>
  <c r="Q302" i="1"/>
  <c r="F302" i="1"/>
  <c r="E302" i="1"/>
  <c r="D302" i="1"/>
  <c r="C302" i="1"/>
  <c r="CJ301" i="1"/>
  <c r="CI301" i="1" a="1"/>
  <c r="CI301" i="1"/>
  <c r="CH301" i="1" a="1"/>
  <c r="CH301" i="1"/>
  <c r="CG301" i="1"/>
  <c r="CF301" i="1"/>
  <c r="CE301" i="1" a="1"/>
  <c r="CE301" i="1"/>
  <c r="CD301" i="1" a="1"/>
  <c r="CD301" i="1"/>
  <c r="CC301" i="1"/>
  <c r="CB301" i="1"/>
  <c r="CA301" i="1" a="1"/>
  <c r="CA301" i="1"/>
  <c r="BZ301" i="1" a="1"/>
  <c r="BZ301" i="1"/>
  <c r="BY301" i="1"/>
  <c r="BX301" i="1"/>
  <c r="BW301" i="1" a="1"/>
  <c r="BW301" i="1"/>
  <c r="BV301" i="1"/>
  <c r="BU301" i="1"/>
  <c r="BT301" i="1"/>
  <c r="BS301" i="1" a="1"/>
  <c r="BS301" i="1"/>
  <c r="BR301" i="1"/>
  <c r="BQ301" i="1"/>
  <c r="BP301" i="1"/>
  <c r="BO301" i="1" a="1"/>
  <c r="BO301" i="1"/>
  <c r="BN301" i="1"/>
  <c r="BM301" i="1"/>
  <c r="BL301" i="1"/>
  <c r="BK301" i="1"/>
  <c r="BJ301" i="1"/>
  <c r="U301" i="1"/>
  <c r="T301" i="1"/>
  <c r="S301" i="1"/>
  <c r="R301" i="1"/>
  <c r="Q301" i="1"/>
  <c r="F301" i="1"/>
  <c r="E301" i="1"/>
  <c r="D301" i="1"/>
  <c r="C301" i="1"/>
  <c r="CJ300" i="1"/>
  <c r="CI300" i="1" a="1"/>
  <c r="CI300" i="1"/>
  <c r="CH300" i="1" a="1"/>
  <c r="CH300" i="1"/>
  <c r="CG300" i="1"/>
  <c r="CF300" i="1"/>
  <c r="CE300" i="1" a="1"/>
  <c r="CE300" i="1"/>
  <c r="CD300" i="1" a="1"/>
  <c r="CD300" i="1"/>
  <c r="CC300" i="1"/>
  <c r="CB300" i="1"/>
  <c r="CA300" i="1" a="1"/>
  <c r="CA300" i="1"/>
  <c r="BZ300" i="1" a="1"/>
  <c r="BZ300" i="1"/>
  <c r="BY300" i="1"/>
  <c r="BX300" i="1"/>
  <c r="BW300" i="1" a="1"/>
  <c r="BW300" i="1"/>
  <c r="BV300" i="1"/>
  <c r="BU300" i="1"/>
  <c r="BT300" i="1"/>
  <c r="BS300" i="1" a="1"/>
  <c r="BS300" i="1"/>
  <c r="BR300" i="1"/>
  <c r="BQ300" i="1"/>
  <c r="BP300" i="1"/>
  <c r="BO300" i="1" a="1"/>
  <c r="BO300" i="1"/>
  <c r="BN300" i="1"/>
  <c r="BM300" i="1"/>
  <c r="BL300" i="1"/>
  <c r="BK300" i="1"/>
  <c r="BJ300" i="1"/>
  <c r="U300" i="1"/>
  <c r="T300" i="1"/>
  <c r="S300" i="1"/>
  <c r="R300" i="1"/>
  <c r="Q300" i="1"/>
  <c r="F300" i="1"/>
  <c r="E300" i="1"/>
  <c r="D300" i="1"/>
  <c r="C300" i="1"/>
  <c r="CJ299" i="1"/>
  <c r="CI299" i="1" a="1"/>
  <c r="CI299" i="1"/>
  <c r="CH299" i="1" a="1"/>
  <c r="CH299" i="1"/>
  <c r="CG299" i="1"/>
  <c r="CF299" i="1"/>
  <c r="CE299" i="1" a="1"/>
  <c r="CE299" i="1"/>
  <c r="CD299" i="1" a="1"/>
  <c r="CD299" i="1"/>
  <c r="CC299" i="1"/>
  <c r="CB299" i="1"/>
  <c r="CA299" i="1" a="1"/>
  <c r="CA299" i="1"/>
  <c r="BZ299" i="1" a="1"/>
  <c r="BZ299" i="1"/>
  <c r="BY299" i="1"/>
  <c r="BX299" i="1"/>
  <c r="BW299" i="1" a="1"/>
  <c r="BW299" i="1"/>
  <c r="BV299" i="1"/>
  <c r="BU299" i="1"/>
  <c r="BT299" i="1"/>
  <c r="BS299" i="1" a="1"/>
  <c r="BS299" i="1"/>
  <c r="BR299" i="1"/>
  <c r="BQ299" i="1"/>
  <c r="BP299" i="1"/>
  <c r="BO299" i="1" a="1"/>
  <c r="BO299" i="1"/>
  <c r="BN299" i="1"/>
  <c r="BM299" i="1"/>
  <c r="BL299" i="1"/>
  <c r="BK299" i="1"/>
  <c r="BJ299" i="1"/>
  <c r="U299" i="1"/>
  <c r="T299" i="1"/>
  <c r="S299" i="1"/>
  <c r="R299" i="1"/>
  <c r="Q299" i="1"/>
  <c r="F299" i="1"/>
  <c r="E299" i="1"/>
  <c r="D299" i="1"/>
  <c r="C299" i="1"/>
  <c r="CJ298" i="1"/>
  <c r="CI298" i="1" a="1"/>
  <c r="CI298" i="1"/>
  <c r="CH298" i="1" a="1"/>
  <c r="CH298" i="1"/>
  <c r="CG298" i="1"/>
  <c r="CF298" i="1"/>
  <c r="CE298" i="1" a="1"/>
  <c r="CE298" i="1"/>
  <c r="CD298" i="1" a="1"/>
  <c r="CD298" i="1"/>
  <c r="CC298" i="1"/>
  <c r="CB298" i="1"/>
  <c r="CA298" i="1" a="1"/>
  <c r="CA298" i="1"/>
  <c r="BZ298" i="1" a="1"/>
  <c r="BZ298" i="1"/>
  <c r="BY298" i="1"/>
  <c r="BX298" i="1"/>
  <c r="BW298" i="1" a="1"/>
  <c r="BW298" i="1"/>
  <c r="BV298" i="1"/>
  <c r="BU298" i="1"/>
  <c r="BT298" i="1"/>
  <c r="BS298" i="1" a="1"/>
  <c r="BS298" i="1"/>
  <c r="BR298" i="1"/>
  <c r="BQ298" i="1"/>
  <c r="BP298" i="1"/>
  <c r="BO298" i="1" a="1"/>
  <c r="BO298" i="1"/>
  <c r="BN298" i="1"/>
  <c r="BM298" i="1"/>
  <c r="BL298" i="1"/>
  <c r="BK298" i="1"/>
  <c r="BJ298" i="1"/>
  <c r="U298" i="1"/>
  <c r="T298" i="1"/>
  <c r="S298" i="1"/>
  <c r="R298" i="1"/>
  <c r="Q298" i="1"/>
  <c r="F298" i="1"/>
  <c r="E298" i="1"/>
  <c r="D298" i="1"/>
  <c r="C298" i="1"/>
  <c r="CJ297" i="1"/>
  <c r="CI297" i="1" a="1"/>
  <c r="CI297" i="1"/>
  <c r="CH297" i="1" a="1"/>
  <c r="CH297" i="1"/>
  <c r="CG297" i="1"/>
  <c r="CF297" i="1"/>
  <c r="CE297" i="1" a="1"/>
  <c r="CE297" i="1"/>
  <c r="CD297" i="1" a="1"/>
  <c r="CD297" i="1"/>
  <c r="CC297" i="1"/>
  <c r="CB297" i="1"/>
  <c r="CA297" i="1" a="1"/>
  <c r="CA297" i="1"/>
  <c r="BZ297" i="1" a="1"/>
  <c r="BZ297" i="1"/>
  <c r="BY297" i="1"/>
  <c r="BX297" i="1"/>
  <c r="BW297" i="1" a="1"/>
  <c r="BW297" i="1"/>
  <c r="BV297" i="1"/>
  <c r="BU297" i="1"/>
  <c r="BT297" i="1"/>
  <c r="BS297" i="1" a="1"/>
  <c r="BS297" i="1"/>
  <c r="BR297" i="1"/>
  <c r="BQ297" i="1"/>
  <c r="BP297" i="1"/>
  <c r="BO297" i="1" a="1"/>
  <c r="BO297" i="1"/>
  <c r="BN297" i="1"/>
  <c r="BM297" i="1"/>
  <c r="BL297" i="1"/>
  <c r="BK297" i="1"/>
  <c r="BJ297" i="1"/>
  <c r="U297" i="1"/>
  <c r="T297" i="1"/>
  <c r="S297" i="1"/>
  <c r="R297" i="1"/>
  <c r="Q297" i="1"/>
  <c r="F297" i="1"/>
  <c r="E297" i="1"/>
  <c r="D297" i="1"/>
  <c r="C297" i="1"/>
  <c r="CJ296" i="1"/>
  <c r="CI296" i="1" a="1"/>
  <c r="CI296" i="1"/>
  <c r="CH296" i="1" a="1"/>
  <c r="CH296" i="1"/>
  <c r="CG296" i="1"/>
  <c r="CF296" i="1"/>
  <c r="CE296" i="1" a="1"/>
  <c r="CE296" i="1"/>
  <c r="CD296" i="1" a="1"/>
  <c r="CD296" i="1"/>
  <c r="CC296" i="1"/>
  <c r="CB296" i="1"/>
  <c r="CA296" i="1" a="1"/>
  <c r="CA296" i="1"/>
  <c r="BZ296" i="1" a="1"/>
  <c r="BZ296" i="1"/>
  <c r="BY296" i="1"/>
  <c r="BX296" i="1"/>
  <c r="BW296" i="1" a="1"/>
  <c r="BW296" i="1"/>
  <c r="BV296" i="1"/>
  <c r="BU296" i="1"/>
  <c r="BT296" i="1"/>
  <c r="BS296" i="1" a="1"/>
  <c r="BS296" i="1"/>
  <c r="BR296" i="1"/>
  <c r="BQ296" i="1"/>
  <c r="BP296" i="1"/>
  <c r="BO296" i="1" a="1"/>
  <c r="BO296" i="1"/>
  <c r="BN296" i="1"/>
  <c r="BM296" i="1"/>
  <c r="BL296" i="1"/>
  <c r="BK296" i="1"/>
  <c r="BJ296" i="1"/>
  <c r="U296" i="1"/>
  <c r="T296" i="1"/>
  <c r="S296" i="1"/>
  <c r="R296" i="1"/>
  <c r="Q296" i="1"/>
  <c r="F296" i="1"/>
  <c r="E296" i="1"/>
  <c r="D296" i="1"/>
  <c r="C296" i="1"/>
  <c r="CJ295" i="1"/>
  <c r="CI295" i="1" a="1"/>
  <c r="CI295" i="1"/>
  <c r="CH295" i="1" a="1"/>
  <c r="CH295" i="1"/>
  <c r="CG295" i="1"/>
  <c r="CF295" i="1"/>
  <c r="CE295" i="1" a="1"/>
  <c r="CE295" i="1"/>
  <c r="CD295" i="1" a="1"/>
  <c r="CD295" i="1"/>
  <c r="CC295" i="1"/>
  <c r="CB295" i="1"/>
  <c r="CA295" i="1" a="1"/>
  <c r="CA295" i="1"/>
  <c r="BZ295" i="1" a="1"/>
  <c r="BZ295" i="1"/>
  <c r="BY295" i="1"/>
  <c r="BX295" i="1"/>
  <c r="BW295" i="1" a="1"/>
  <c r="BW295" i="1"/>
  <c r="BV295" i="1"/>
  <c r="BU295" i="1"/>
  <c r="BT295" i="1"/>
  <c r="BS295" i="1" a="1"/>
  <c r="BS295" i="1"/>
  <c r="BR295" i="1"/>
  <c r="BQ295" i="1"/>
  <c r="BP295" i="1"/>
  <c r="BO295" i="1" a="1"/>
  <c r="BO295" i="1"/>
  <c r="BN295" i="1"/>
  <c r="BM295" i="1"/>
  <c r="BL295" i="1"/>
  <c r="BK295" i="1"/>
  <c r="BJ295" i="1"/>
  <c r="U295" i="1"/>
  <c r="T295" i="1"/>
  <c r="S295" i="1"/>
  <c r="R295" i="1"/>
  <c r="Q295" i="1"/>
  <c r="F295" i="1"/>
  <c r="E295" i="1"/>
  <c r="D295" i="1"/>
  <c r="C295" i="1"/>
  <c r="CJ294" i="1"/>
  <c r="CI294" i="1" a="1"/>
  <c r="CI294" i="1"/>
  <c r="CH294" i="1" a="1"/>
  <c r="CH294" i="1"/>
  <c r="CG294" i="1"/>
  <c r="CF294" i="1"/>
  <c r="CE294" i="1" a="1"/>
  <c r="CE294" i="1"/>
  <c r="CD294" i="1" a="1"/>
  <c r="CD294" i="1"/>
  <c r="CC294" i="1"/>
  <c r="CB294" i="1"/>
  <c r="CA294" i="1" a="1"/>
  <c r="CA294" i="1"/>
  <c r="BZ294" i="1" a="1"/>
  <c r="BZ294" i="1"/>
  <c r="BY294" i="1"/>
  <c r="BX294" i="1"/>
  <c r="BW294" i="1" a="1"/>
  <c r="BW294" i="1"/>
  <c r="BV294" i="1"/>
  <c r="BU294" i="1"/>
  <c r="BT294" i="1"/>
  <c r="BS294" i="1" a="1"/>
  <c r="BS294" i="1"/>
  <c r="BR294" i="1"/>
  <c r="BQ294" i="1"/>
  <c r="BP294" i="1"/>
  <c r="BO294" i="1" a="1"/>
  <c r="BO294" i="1"/>
  <c r="BN294" i="1"/>
  <c r="BM294" i="1"/>
  <c r="BL294" i="1"/>
  <c r="BK294" i="1"/>
  <c r="BJ294" i="1"/>
  <c r="U294" i="1"/>
  <c r="T294" i="1"/>
  <c r="S294" i="1"/>
  <c r="R294" i="1"/>
  <c r="Q294" i="1"/>
  <c r="F294" i="1"/>
  <c r="E294" i="1"/>
  <c r="D294" i="1"/>
  <c r="C294" i="1"/>
  <c r="CJ293" i="1"/>
  <c r="CI293" i="1" a="1"/>
  <c r="CI293" i="1"/>
  <c r="CH293" i="1" a="1"/>
  <c r="CH293" i="1"/>
  <c r="CG293" i="1"/>
  <c r="CF293" i="1"/>
  <c r="CE293" i="1" a="1"/>
  <c r="CE293" i="1"/>
  <c r="CD293" i="1" a="1"/>
  <c r="CD293" i="1"/>
  <c r="CC293" i="1"/>
  <c r="CB293" i="1"/>
  <c r="CA293" i="1" a="1"/>
  <c r="CA293" i="1"/>
  <c r="BZ293" i="1" a="1"/>
  <c r="BZ293" i="1"/>
  <c r="BY293" i="1"/>
  <c r="BX293" i="1"/>
  <c r="BW293" i="1" a="1"/>
  <c r="BW293" i="1"/>
  <c r="BV293" i="1"/>
  <c r="BU293" i="1"/>
  <c r="BT293" i="1"/>
  <c r="BS293" i="1" a="1"/>
  <c r="BS293" i="1"/>
  <c r="BR293" i="1"/>
  <c r="BQ293" i="1"/>
  <c r="BP293" i="1"/>
  <c r="BO293" i="1" a="1"/>
  <c r="BO293" i="1"/>
  <c r="BN293" i="1"/>
  <c r="BM293" i="1"/>
  <c r="BL293" i="1"/>
  <c r="BK293" i="1"/>
  <c r="BJ293" i="1"/>
  <c r="U293" i="1"/>
  <c r="T293" i="1"/>
  <c r="S293" i="1"/>
  <c r="R293" i="1"/>
  <c r="Q293" i="1"/>
  <c r="F293" i="1"/>
  <c r="E293" i="1"/>
  <c r="D293" i="1"/>
  <c r="C293" i="1"/>
  <c r="CJ292" i="1"/>
  <c r="CI292" i="1" a="1"/>
  <c r="CI292" i="1"/>
  <c r="CH292" i="1" a="1"/>
  <c r="CH292" i="1"/>
  <c r="CG292" i="1"/>
  <c r="CF292" i="1"/>
  <c r="CE292" i="1" a="1"/>
  <c r="CE292" i="1"/>
  <c r="CD292" i="1" a="1"/>
  <c r="CD292" i="1"/>
  <c r="CC292" i="1"/>
  <c r="CB292" i="1"/>
  <c r="CA292" i="1" a="1"/>
  <c r="CA292" i="1"/>
  <c r="BZ292" i="1" a="1"/>
  <c r="BZ292" i="1"/>
  <c r="BY292" i="1"/>
  <c r="BX292" i="1"/>
  <c r="BW292" i="1" a="1"/>
  <c r="BW292" i="1"/>
  <c r="BV292" i="1"/>
  <c r="BU292" i="1"/>
  <c r="BT292" i="1"/>
  <c r="BS292" i="1" a="1"/>
  <c r="BS292" i="1"/>
  <c r="BR292" i="1"/>
  <c r="BQ292" i="1"/>
  <c r="BP292" i="1"/>
  <c r="BO292" i="1" a="1"/>
  <c r="BO292" i="1"/>
  <c r="BN292" i="1"/>
  <c r="BM292" i="1"/>
  <c r="BL292" i="1"/>
  <c r="BK292" i="1"/>
  <c r="BJ292" i="1"/>
  <c r="U292" i="1"/>
  <c r="T292" i="1"/>
  <c r="S292" i="1"/>
  <c r="R292" i="1"/>
  <c r="Q292" i="1"/>
  <c r="F292" i="1"/>
  <c r="E292" i="1"/>
  <c r="D292" i="1"/>
  <c r="C292" i="1"/>
  <c r="CJ291" i="1"/>
  <c r="CI291" i="1" a="1"/>
  <c r="CI291" i="1"/>
  <c r="CH291" i="1" a="1"/>
  <c r="CH291" i="1"/>
  <c r="CG291" i="1"/>
  <c r="CF291" i="1"/>
  <c r="CE291" i="1" a="1"/>
  <c r="CE291" i="1"/>
  <c r="CD291" i="1" a="1"/>
  <c r="CD291" i="1"/>
  <c r="CC291" i="1"/>
  <c r="CB291" i="1"/>
  <c r="CA291" i="1" a="1"/>
  <c r="CA291" i="1"/>
  <c r="BZ291" i="1" a="1"/>
  <c r="BZ291" i="1"/>
  <c r="BY291" i="1"/>
  <c r="BX291" i="1"/>
  <c r="BW291" i="1" a="1"/>
  <c r="BW291" i="1"/>
  <c r="BV291" i="1"/>
  <c r="BU291" i="1"/>
  <c r="BT291" i="1"/>
  <c r="BS291" i="1" a="1"/>
  <c r="BS291" i="1"/>
  <c r="BR291" i="1"/>
  <c r="BQ291" i="1"/>
  <c r="BP291" i="1"/>
  <c r="BO291" i="1" a="1"/>
  <c r="BO291" i="1"/>
  <c r="BN291" i="1"/>
  <c r="BM291" i="1"/>
  <c r="BL291" i="1"/>
  <c r="BK291" i="1"/>
  <c r="BJ291" i="1"/>
  <c r="U291" i="1"/>
  <c r="T291" i="1"/>
  <c r="S291" i="1"/>
  <c r="R291" i="1"/>
  <c r="Q291" i="1"/>
  <c r="F291" i="1"/>
  <c r="E291" i="1"/>
  <c r="D291" i="1"/>
  <c r="C291" i="1"/>
  <c r="CJ290" i="1"/>
  <c r="CI290" i="1" a="1"/>
  <c r="CI290" i="1"/>
  <c r="CH290" i="1" a="1"/>
  <c r="CH290" i="1"/>
  <c r="CG290" i="1"/>
  <c r="CF290" i="1"/>
  <c r="CE290" i="1" a="1"/>
  <c r="CE290" i="1"/>
  <c r="CD290" i="1" a="1"/>
  <c r="CD290" i="1"/>
  <c r="CC290" i="1"/>
  <c r="CB290" i="1"/>
  <c r="CA290" i="1" a="1"/>
  <c r="CA290" i="1"/>
  <c r="BZ290" i="1" a="1"/>
  <c r="BZ290" i="1"/>
  <c r="BY290" i="1"/>
  <c r="BX290" i="1"/>
  <c r="BW290" i="1" a="1"/>
  <c r="BW290" i="1"/>
  <c r="BV290" i="1"/>
  <c r="BU290" i="1"/>
  <c r="BT290" i="1"/>
  <c r="BS290" i="1" a="1"/>
  <c r="BS290" i="1"/>
  <c r="BR290" i="1"/>
  <c r="BQ290" i="1"/>
  <c r="BP290" i="1"/>
  <c r="BO290" i="1" a="1"/>
  <c r="BO290" i="1"/>
  <c r="BN290" i="1"/>
  <c r="BM290" i="1"/>
  <c r="BL290" i="1"/>
  <c r="BK290" i="1"/>
  <c r="BJ290" i="1"/>
  <c r="U290" i="1"/>
  <c r="T290" i="1"/>
  <c r="S290" i="1"/>
  <c r="R290" i="1"/>
  <c r="Q290" i="1"/>
  <c r="F290" i="1"/>
  <c r="E290" i="1"/>
  <c r="D290" i="1"/>
  <c r="C290" i="1"/>
  <c r="CJ289" i="1"/>
  <c r="CI289" i="1" a="1"/>
  <c r="CI289" i="1"/>
  <c r="CH289" i="1" a="1"/>
  <c r="CH289" i="1"/>
  <c r="CG289" i="1"/>
  <c r="CF289" i="1"/>
  <c r="CE289" i="1" a="1"/>
  <c r="CE289" i="1"/>
  <c r="CD289" i="1" a="1"/>
  <c r="CD289" i="1"/>
  <c r="CC289" i="1"/>
  <c r="CB289" i="1"/>
  <c r="CA289" i="1" a="1"/>
  <c r="CA289" i="1"/>
  <c r="BZ289" i="1" a="1"/>
  <c r="BZ289" i="1"/>
  <c r="BY289" i="1"/>
  <c r="BX289" i="1"/>
  <c r="BW289" i="1" a="1"/>
  <c r="BW289" i="1"/>
  <c r="BV289" i="1"/>
  <c r="BU289" i="1"/>
  <c r="BT289" i="1"/>
  <c r="BS289" i="1" a="1"/>
  <c r="BS289" i="1"/>
  <c r="BR289" i="1"/>
  <c r="BQ289" i="1"/>
  <c r="BP289" i="1"/>
  <c r="BO289" i="1" a="1"/>
  <c r="BO289" i="1"/>
  <c r="BN289" i="1"/>
  <c r="BM289" i="1"/>
  <c r="BL289" i="1"/>
  <c r="BK289" i="1"/>
  <c r="BJ289" i="1"/>
  <c r="U289" i="1"/>
  <c r="T289" i="1"/>
  <c r="S289" i="1"/>
  <c r="R289" i="1"/>
  <c r="Q289" i="1"/>
  <c r="F289" i="1"/>
  <c r="E289" i="1"/>
  <c r="D289" i="1"/>
  <c r="C289" i="1"/>
  <c r="CJ288" i="1"/>
  <c r="CI288" i="1" a="1"/>
  <c r="CI288" i="1"/>
  <c r="CH288" i="1" a="1"/>
  <c r="CH288" i="1"/>
  <c r="CG288" i="1"/>
  <c r="CF288" i="1"/>
  <c r="CE288" i="1" a="1"/>
  <c r="CE288" i="1"/>
  <c r="CD288" i="1" a="1"/>
  <c r="CD288" i="1"/>
  <c r="CC288" i="1"/>
  <c r="CB288" i="1"/>
  <c r="CA288" i="1" a="1"/>
  <c r="CA288" i="1"/>
  <c r="BZ288" i="1" a="1"/>
  <c r="BZ288" i="1"/>
  <c r="BY288" i="1"/>
  <c r="BX288" i="1"/>
  <c r="BW288" i="1" a="1"/>
  <c r="BW288" i="1"/>
  <c r="BV288" i="1"/>
  <c r="BU288" i="1"/>
  <c r="BT288" i="1"/>
  <c r="BS288" i="1" a="1"/>
  <c r="BS288" i="1"/>
  <c r="BR288" i="1"/>
  <c r="BQ288" i="1"/>
  <c r="BP288" i="1"/>
  <c r="BO288" i="1" a="1"/>
  <c r="BO288" i="1"/>
  <c r="BN288" i="1"/>
  <c r="BM288" i="1"/>
  <c r="BL288" i="1"/>
  <c r="BK288" i="1"/>
  <c r="BJ288" i="1"/>
  <c r="U288" i="1"/>
  <c r="T288" i="1"/>
  <c r="S288" i="1"/>
  <c r="R288" i="1"/>
  <c r="Q288" i="1"/>
  <c r="F288" i="1"/>
  <c r="E288" i="1"/>
  <c r="D288" i="1"/>
  <c r="C288" i="1"/>
  <c r="CJ287" i="1"/>
  <c r="CI287" i="1" a="1"/>
  <c r="CI287" i="1"/>
  <c r="CH287" i="1" a="1"/>
  <c r="CH287" i="1"/>
  <c r="CG287" i="1"/>
  <c r="CF287" i="1"/>
  <c r="CE287" i="1" a="1"/>
  <c r="CE287" i="1"/>
  <c r="CD287" i="1" a="1"/>
  <c r="CD287" i="1"/>
  <c r="CC287" i="1"/>
  <c r="CB287" i="1"/>
  <c r="CA287" i="1" a="1"/>
  <c r="CA287" i="1"/>
  <c r="BZ287" i="1" a="1"/>
  <c r="BZ287" i="1"/>
  <c r="BY287" i="1"/>
  <c r="BX287" i="1"/>
  <c r="BW287" i="1" a="1"/>
  <c r="BW287" i="1"/>
  <c r="BV287" i="1"/>
  <c r="BU287" i="1"/>
  <c r="BT287" i="1"/>
  <c r="BS287" i="1" a="1"/>
  <c r="BS287" i="1"/>
  <c r="BR287" i="1"/>
  <c r="BQ287" i="1"/>
  <c r="BP287" i="1"/>
  <c r="BO287" i="1" a="1"/>
  <c r="BO287" i="1"/>
  <c r="BN287" i="1"/>
  <c r="BM287" i="1"/>
  <c r="BL287" i="1"/>
  <c r="BK287" i="1"/>
  <c r="BJ287" i="1"/>
  <c r="U287" i="1"/>
  <c r="T287" i="1"/>
  <c r="S287" i="1"/>
  <c r="R287" i="1"/>
  <c r="Q287" i="1"/>
  <c r="F287" i="1"/>
  <c r="E287" i="1"/>
  <c r="D287" i="1"/>
  <c r="C287" i="1"/>
  <c r="CJ286" i="1"/>
  <c r="CI286" i="1" a="1"/>
  <c r="CI286" i="1"/>
  <c r="CH286" i="1" a="1"/>
  <c r="CH286" i="1"/>
  <c r="CG286" i="1"/>
  <c r="CF286" i="1"/>
  <c r="CE286" i="1" a="1"/>
  <c r="CE286" i="1"/>
  <c r="CD286" i="1" a="1"/>
  <c r="CD286" i="1"/>
  <c r="CC286" i="1"/>
  <c r="CB286" i="1"/>
  <c r="CA286" i="1" a="1"/>
  <c r="CA286" i="1"/>
  <c r="BZ286" i="1" a="1"/>
  <c r="BZ286" i="1"/>
  <c r="BY286" i="1"/>
  <c r="BX286" i="1"/>
  <c r="BW286" i="1" a="1"/>
  <c r="BW286" i="1"/>
  <c r="BV286" i="1"/>
  <c r="BU286" i="1"/>
  <c r="BT286" i="1"/>
  <c r="BS286" i="1" a="1"/>
  <c r="BS286" i="1"/>
  <c r="BR286" i="1"/>
  <c r="BQ286" i="1"/>
  <c r="BP286" i="1"/>
  <c r="BO286" i="1" a="1"/>
  <c r="BO286" i="1"/>
  <c r="BN286" i="1"/>
  <c r="BM286" i="1"/>
  <c r="BL286" i="1"/>
  <c r="BK286" i="1"/>
  <c r="BJ286" i="1"/>
  <c r="U286" i="1"/>
  <c r="T286" i="1"/>
  <c r="S286" i="1"/>
  <c r="R286" i="1"/>
  <c r="Q286" i="1"/>
  <c r="F286" i="1"/>
  <c r="E286" i="1"/>
  <c r="D286" i="1"/>
  <c r="C286" i="1"/>
  <c r="CJ285" i="1"/>
  <c r="CI285" i="1" a="1"/>
  <c r="CI285" i="1"/>
  <c r="CH285" i="1" a="1"/>
  <c r="CH285" i="1"/>
  <c r="CG285" i="1"/>
  <c r="CF285" i="1"/>
  <c r="CE285" i="1" a="1"/>
  <c r="CE285" i="1"/>
  <c r="CD285" i="1" a="1"/>
  <c r="CD285" i="1"/>
  <c r="CC285" i="1"/>
  <c r="CB285" i="1"/>
  <c r="CA285" i="1" a="1"/>
  <c r="CA285" i="1"/>
  <c r="BZ285" i="1" a="1"/>
  <c r="BZ285" i="1"/>
  <c r="BY285" i="1"/>
  <c r="BX285" i="1"/>
  <c r="BW285" i="1" a="1"/>
  <c r="BW285" i="1"/>
  <c r="BV285" i="1"/>
  <c r="BU285" i="1"/>
  <c r="BT285" i="1"/>
  <c r="BS285" i="1" a="1"/>
  <c r="BS285" i="1"/>
  <c r="BR285" i="1"/>
  <c r="BQ285" i="1"/>
  <c r="BP285" i="1"/>
  <c r="BO285" i="1" a="1"/>
  <c r="BO285" i="1"/>
  <c r="BN285" i="1"/>
  <c r="BM285" i="1"/>
  <c r="BL285" i="1"/>
  <c r="BK285" i="1"/>
  <c r="BJ285" i="1"/>
  <c r="U285" i="1"/>
  <c r="T285" i="1"/>
  <c r="S285" i="1"/>
  <c r="R285" i="1"/>
  <c r="Q285" i="1"/>
  <c r="F285" i="1"/>
  <c r="E285" i="1"/>
  <c r="D285" i="1"/>
  <c r="C285" i="1"/>
  <c r="CJ284" i="1"/>
  <c r="CI284" i="1" a="1"/>
  <c r="CI284" i="1"/>
  <c r="CH284" i="1" a="1"/>
  <c r="CH284" i="1"/>
  <c r="CG284" i="1"/>
  <c r="CF284" i="1"/>
  <c r="CE284" i="1" a="1"/>
  <c r="CE284" i="1"/>
  <c r="CD284" i="1" a="1"/>
  <c r="CD284" i="1"/>
  <c r="CC284" i="1"/>
  <c r="CB284" i="1"/>
  <c r="CA284" i="1" a="1"/>
  <c r="CA284" i="1"/>
  <c r="BZ284" i="1" a="1"/>
  <c r="BZ284" i="1"/>
  <c r="BY284" i="1"/>
  <c r="BX284" i="1"/>
  <c r="BW284" i="1" a="1"/>
  <c r="BW284" i="1"/>
  <c r="BV284" i="1"/>
  <c r="BU284" i="1"/>
  <c r="BT284" i="1"/>
  <c r="BS284" i="1" a="1"/>
  <c r="BS284" i="1"/>
  <c r="BR284" i="1"/>
  <c r="BQ284" i="1"/>
  <c r="BP284" i="1"/>
  <c r="BO284" i="1" a="1"/>
  <c r="BO284" i="1"/>
  <c r="BN284" i="1"/>
  <c r="BM284" i="1"/>
  <c r="BL284" i="1"/>
  <c r="BK284" i="1"/>
  <c r="BJ284" i="1"/>
  <c r="U284" i="1"/>
  <c r="T284" i="1"/>
  <c r="S284" i="1"/>
  <c r="R284" i="1"/>
  <c r="Q284" i="1"/>
  <c r="F284" i="1"/>
  <c r="E284" i="1"/>
  <c r="D284" i="1"/>
  <c r="C284" i="1"/>
  <c r="CJ283" i="1"/>
  <c r="CI283" i="1" a="1"/>
  <c r="CI283" i="1"/>
  <c r="CH283" i="1" a="1"/>
  <c r="CH283" i="1"/>
  <c r="CG283" i="1"/>
  <c r="CF283" i="1"/>
  <c r="CE283" i="1" a="1"/>
  <c r="CE283" i="1"/>
  <c r="CD283" i="1" a="1"/>
  <c r="CD283" i="1"/>
  <c r="CC283" i="1"/>
  <c r="CB283" i="1"/>
  <c r="CA283" i="1" a="1"/>
  <c r="CA283" i="1"/>
  <c r="BZ283" i="1" a="1"/>
  <c r="BZ283" i="1"/>
  <c r="BY283" i="1"/>
  <c r="BX283" i="1"/>
  <c r="BW283" i="1" a="1"/>
  <c r="BW283" i="1"/>
  <c r="BV283" i="1"/>
  <c r="BU283" i="1"/>
  <c r="BT283" i="1"/>
  <c r="BS283" i="1" a="1"/>
  <c r="BS283" i="1"/>
  <c r="BR283" i="1"/>
  <c r="BQ283" i="1"/>
  <c r="BP283" i="1"/>
  <c r="BO283" i="1" a="1"/>
  <c r="BO283" i="1"/>
  <c r="BN283" i="1"/>
  <c r="BM283" i="1"/>
  <c r="BL283" i="1"/>
  <c r="BK283" i="1"/>
  <c r="BJ283" i="1"/>
  <c r="U283" i="1"/>
  <c r="T283" i="1"/>
  <c r="S283" i="1"/>
  <c r="R283" i="1"/>
  <c r="Q283" i="1"/>
  <c r="F283" i="1"/>
  <c r="E283" i="1"/>
  <c r="D283" i="1"/>
  <c r="C283" i="1"/>
  <c r="CJ282" i="1"/>
  <c r="CI282" i="1" a="1"/>
  <c r="CI282" i="1"/>
  <c r="CH282" i="1" a="1"/>
  <c r="CH282" i="1"/>
  <c r="CG282" i="1"/>
  <c r="CF282" i="1"/>
  <c r="CE282" i="1" a="1"/>
  <c r="CE282" i="1"/>
  <c r="CD282" i="1" a="1"/>
  <c r="CD282" i="1"/>
  <c r="CC282" i="1"/>
  <c r="CB282" i="1"/>
  <c r="CA282" i="1" a="1"/>
  <c r="CA282" i="1"/>
  <c r="BZ282" i="1" a="1"/>
  <c r="BZ282" i="1"/>
  <c r="BY282" i="1"/>
  <c r="BX282" i="1"/>
  <c r="BW282" i="1" a="1"/>
  <c r="BW282" i="1"/>
  <c r="BV282" i="1"/>
  <c r="BU282" i="1"/>
  <c r="BT282" i="1"/>
  <c r="BS282" i="1" a="1"/>
  <c r="BS282" i="1"/>
  <c r="BR282" i="1"/>
  <c r="BQ282" i="1"/>
  <c r="BP282" i="1"/>
  <c r="BO282" i="1" a="1"/>
  <c r="BO282" i="1"/>
  <c r="BN282" i="1"/>
  <c r="BM282" i="1"/>
  <c r="BL282" i="1"/>
  <c r="BK282" i="1"/>
  <c r="BJ282" i="1"/>
  <c r="U282" i="1"/>
  <c r="T282" i="1"/>
  <c r="S282" i="1"/>
  <c r="R282" i="1"/>
  <c r="Q282" i="1"/>
  <c r="F282" i="1"/>
  <c r="E282" i="1"/>
  <c r="D282" i="1"/>
  <c r="C282" i="1"/>
  <c r="CJ281" i="1"/>
  <c r="CI281" i="1" a="1"/>
  <c r="CI281" i="1"/>
  <c r="CH281" i="1" a="1"/>
  <c r="CH281" i="1"/>
  <c r="CG281" i="1"/>
  <c r="CF281" i="1"/>
  <c r="CE281" i="1" a="1"/>
  <c r="CE281" i="1"/>
  <c r="CD281" i="1" a="1"/>
  <c r="CD281" i="1"/>
  <c r="CC281" i="1"/>
  <c r="CB281" i="1"/>
  <c r="CA281" i="1" a="1"/>
  <c r="CA281" i="1"/>
  <c r="BZ281" i="1" a="1"/>
  <c r="BZ281" i="1"/>
  <c r="BY281" i="1"/>
  <c r="BX281" i="1"/>
  <c r="BW281" i="1" a="1"/>
  <c r="BW281" i="1"/>
  <c r="BV281" i="1"/>
  <c r="BU281" i="1"/>
  <c r="BT281" i="1"/>
  <c r="BS281" i="1" a="1"/>
  <c r="BS281" i="1"/>
  <c r="BR281" i="1"/>
  <c r="BQ281" i="1"/>
  <c r="BP281" i="1"/>
  <c r="BO281" i="1" a="1"/>
  <c r="BO281" i="1"/>
  <c r="BN281" i="1"/>
  <c r="BM281" i="1"/>
  <c r="BL281" i="1"/>
  <c r="BK281" i="1"/>
  <c r="BJ281" i="1"/>
  <c r="U281" i="1"/>
  <c r="T281" i="1"/>
  <c r="S281" i="1"/>
  <c r="R281" i="1"/>
  <c r="Q281" i="1"/>
  <c r="F281" i="1"/>
  <c r="E281" i="1"/>
  <c r="D281" i="1"/>
  <c r="C281" i="1"/>
  <c r="CJ280" i="1"/>
  <c r="CI280" i="1" a="1"/>
  <c r="CI280" i="1"/>
  <c r="CH280" i="1" a="1"/>
  <c r="CH280" i="1"/>
  <c r="CG280" i="1"/>
  <c r="CF280" i="1"/>
  <c r="CE280" i="1" a="1"/>
  <c r="CE280" i="1"/>
  <c r="CD280" i="1" a="1"/>
  <c r="CD280" i="1"/>
  <c r="CC280" i="1"/>
  <c r="CB280" i="1"/>
  <c r="CA280" i="1" a="1"/>
  <c r="CA280" i="1"/>
  <c r="BZ280" i="1" a="1"/>
  <c r="BZ280" i="1"/>
  <c r="BY280" i="1"/>
  <c r="BX280" i="1"/>
  <c r="BW280" i="1" a="1"/>
  <c r="BW280" i="1"/>
  <c r="BV280" i="1"/>
  <c r="BU280" i="1"/>
  <c r="BT280" i="1"/>
  <c r="BS280" i="1" a="1"/>
  <c r="BS280" i="1"/>
  <c r="BR280" i="1"/>
  <c r="BQ280" i="1"/>
  <c r="BP280" i="1"/>
  <c r="BO280" i="1" a="1"/>
  <c r="BO280" i="1"/>
  <c r="BN280" i="1"/>
  <c r="BM280" i="1"/>
  <c r="BL280" i="1"/>
  <c r="BK280" i="1"/>
  <c r="BJ280" i="1"/>
  <c r="U280" i="1"/>
  <c r="T280" i="1"/>
  <c r="S280" i="1"/>
  <c r="R280" i="1"/>
  <c r="Q280" i="1"/>
  <c r="F280" i="1"/>
  <c r="E280" i="1"/>
  <c r="D280" i="1"/>
  <c r="C280" i="1"/>
  <c r="CJ279" i="1"/>
  <c r="CI279" i="1" a="1"/>
  <c r="CI279" i="1"/>
  <c r="CH279" i="1" a="1"/>
  <c r="CH279" i="1"/>
  <c r="CG279" i="1"/>
  <c r="CF279" i="1"/>
  <c r="CE279" i="1" a="1"/>
  <c r="CE279" i="1"/>
  <c r="CD279" i="1" a="1"/>
  <c r="CD279" i="1"/>
  <c r="CC279" i="1"/>
  <c r="CB279" i="1"/>
  <c r="CA279" i="1" a="1"/>
  <c r="CA279" i="1"/>
  <c r="BZ279" i="1" a="1"/>
  <c r="BZ279" i="1"/>
  <c r="BY279" i="1"/>
  <c r="BX279" i="1"/>
  <c r="BW279" i="1" a="1"/>
  <c r="BW279" i="1"/>
  <c r="BV279" i="1"/>
  <c r="BU279" i="1"/>
  <c r="BT279" i="1"/>
  <c r="BS279" i="1" a="1"/>
  <c r="BS279" i="1"/>
  <c r="BR279" i="1"/>
  <c r="BQ279" i="1"/>
  <c r="BP279" i="1"/>
  <c r="BO279" i="1" a="1"/>
  <c r="BO279" i="1"/>
  <c r="BN279" i="1"/>
  <c r="BM279" i="1"/>
  <c r="BL279" i="1"/>
  <c r="BK279" i="1"/>
  <c r="BJ279" i="1"/>
  <c r="U279" i="1"/>
  <c r="T279" i="1"/>
  <c r="S279" i="1"/>
  <c r="R279" i="1"/>
  <c r="Q279" i="1"/>
  <c r="F279" i="1"/>
  <c r="E279" i="1"/>
  <c r="D279" i="1"/>
  <c r="C279" i="1"/>
  <c r="CJ278" i="1"/>
  <c r="CI278" i="1" a="1"/>
  <c r="CI278" i="1"/>
  <c r="CH278" i="1" a="1"/>
  <c r="CH278" i="1"/>
  <c r="CG278" i="1"/>
  <c r="CF278" i="1"/>
  <c r="CE278" i="1" a="1"/>
  <c r="CE278" i="1"/>
  <c r="CD278" i="1" a="1"/>
  <c r="CD278" i="1"/>
  <c r="CC278" i="1"/>
  <c r="CB278" i="1"/>
  <c r="CA278" i="1" a="1"/>
  <c r="CA278" i="1"/>
  <c r="BZ278" i="1" a="1"/>
  <c r="BZ278" i="1"/>
  <c r="BY278" i="1"/>
  <c r="BX278" i="1"/>
  <c r="BW278" i="1" a="1"/>
  <c r="BW278" i="1"/>
  <c r="BV278" i="1"/>
  <c r="BU278" i="1"/>
  <c r="BT278" i="1"/>
  <c r="BS278" i="1" a="1"/>
  <c r="BS278" i="1"/>
  <c r="BR278" i="1"/>
  <c r="BQ278" i="1"/>
  <c r="BP278" i="1"/>
  <c r="BO278" i="1" a="1"/>
  <c r="BO278" i="1"/>
  <c r="BN278" i="1"/>
  <c r="BM278" i="1"/>
  <c r="BL278" i="1"/>
  <c r="BK278" i="1"/>
  <c r="BJ278" i="1"/>
  <c r="U278" i="1"/>
  <c r="T278" i="1"/>
  <c r="S278" i="1"/>
  <c r="R278" i="1"/>
  <c r="Q278" i="1"/>
  <c r="F278" i="1"/>
  <c r="E278" i="1"/>
  <c r="D278" i="1"/>
  <c r="C278" i="1"/>
  <c r="CJ277" i="1"/>
  <c r="CI277" i="1" a="1"/>
  <c r="CI277" i="1"/>
  <c r="CH277" i="1" a="1"/>
  <c r="CH277" i="1"/>
  <c r="CG277" i="1"/>
  <c r="CF277" i="1"/>
  <c r="CE277" i="1" a="1"/>
  <c r="CE277" i="1"/>
  <c r="CD277" i="1" a="1"/>
  <c r="CD277" i="1"/>
  <c r="CC277" i="1"/>
  <c r="CB277" i="1"/>
  <c r="CA277" i="1" a="1"/>
  <c r="CA277" i="1"/>
  <c r="BZ277" i="1" a="1"/>
  <c r="BZ277" i="1"/>
  <c r="BY277" i="1"/>
  <c r="BX277" i="1"/>
  <c r="BW277" i="1" a="1"/>
  <c r="BW277" i="1"/>
  <c r="BV277" i="1"/>
  <c r="BU277" i="1"/>
  <c r="BT277" i="1"/>
  <c r="BS277" i="1" a="1"/>
  <c r="BS277" i="1"/>
  <c r="BR277" i="1"/>
  <c r="BQ277" i="1"/>
  <c r="BP277" i="1"/>
  <c r="BO277" i="1" a="1"/>
  <c r="BO277" i="1"/>
  <c r="BN277" i="1"/>
  <c r="BM277" i="1"/>
  <c r="BL277" i="1"/>
  <c r="BK277" i="1"/>
  <c r="BJ277" i="1"/>
  <c r="U277" i="1"/>
  <c r="T277" i="1"/>
  <c r="S277" i="1"/>
  <c r="R277" i="1"/>
  <c r="Q277" i="1"/>
  <c r="F277" i="1"/>
  <c r="E277" i="1"/>
  <c r="D277" i="1"/>
  <c r="C277" i="1"/>
  <c r="CJ276" i="1"/>
  <c r="CI276" i="1" a="1"/>
  <c r="CI276" i="1"/>
  <c r="CH276" i="1" a="1"/>
  <c r="CH276" i="1"/>
  <c r="CG276" i="1"/>
  <c r="CF276" i="1"/>
  <c r="CE276" i="1" a="1"/>
  <c r="CE276" i="1"/>
  <c r="CD276" i="1" a="1"/>
  <c r="CD276" i="1"/>
  <c r="CC276" i="1"/>
  <c r="CB276" i="1"/>
  <c r="CA276" i="1" a="1"/>
  <c r="CA276" i="1"/>
  <c r="BZ276" i="1" a="1"/>
  <c r="BZ276" i="1"/>
  <c r="BY276" i="1"/>
  <c r="BX276" i="1"/>
  <c r="BW276" i="1" a="1"/>
  <c r="BW276" i="1"/>
  <c r="BV276" i="1"/>
  <c r="BU276" i="1"/>
  <c r="BT276" i="1"/>
  <c r="BS276" i="1" a="1"/>
  <c r="BS276" i="1"/>
  <c r="BR276" i="1"/>
  <c r="BQ276" i="1"/>
  <c r="BP276" i="1"/>
  <c r="BO276" i="1" a="1"/>
  <c r="BO276" i="1"/>
  <c r="BN276" i="1"/>
  <c r="BM276" i="1"/>
  <c r="BL276" i="1"/>
  <c r="BK276" i="1"/>
  <c r="BJ276" i="1"/>
  <c r="U276" i="1"/>
  <c r="T276" i="1"/>
  <c r="S276" i="1"/>
  <c r="R276" i="1"/>
  <c r="Q276" i="1"/>
  <c r="F276" i="1"/>
  <c r="E276" i="1"/>
  <c r="D276" i="1"/>
  <c r="C276" i="1"/>
  <c r="CJ275" i="1"/>
  <c r="CI275" i="1" a="1"/>
  <c r="CI275" i="1"/>
  <c r="CH275" i="1" a="1"/>
  <c r="CH275" i="1"/>
  <c r="CG275" i="1"/>
  <c r="CF275" i="1"/>
  <c r="CE275" i="1" a="1"/>
  <c r="CE275" i="1"/>
  <c r="CD275" i="1" a="1"/>
  <c r="CD275" i="1"/>
  <c r="CC275" i="1"/>
  <c r="CB275" i="1"/>
  <c r="CA275" i="1" a="1"/>
  <c r="CA275" i="1"/>
  <c r="BZ275" i="1" a="1"/>
  <c r="BZ275" i="1"/>
  <c r="BY275" i="1"/>
  <c r="BX275" i="1"/>
  <c r="BW275" i="1" a="1"/>
  <c r="BW275" i="1"/>
  <c r="BV275" i="1"/>
  <c r="BU275" i="1"/>
  <c r="BT275" i="1"/>
  <c r="BS275" i="1" a="1"/>
  <c r="BS275" i="1"/>
  <c r="BR275" i="1"/>
  <c r="BQ275" i="1"/>
  <c r="BP275" i="1"/>
  <c r="BO275" i="1" a="1"/>
  <c r="BO275" i="1"/>
  <c r="BN275" i="1"/>
  <c r="BM275" i="1"/>
  <c r="BL275" i="1"/>
  <c r="BK275" i="1"/>
  <c r="BJ275" i="1"/>
  <c r="U275" i="1"/>
  <c r="T275" i="1"/>
  <c r="S275" i="1"/>
  <c r="R275" i="1"/>
  <c r="Q275" i="1"/>
  <c r="F275" i="1"/>
  <c r="E275" i="1"/>
  <c r="D275" i="1"/>
  <c r="C275" i="1"/>
  <c r="CJ274" i="1"/>
  <c r="CI274" i="1" a="1"/>
  <c r="CI274" i="1"/>
  <c r="CH274" i="1" a="1"/>
  <c r="CH274" i="1"/>
  <c r="CG274" i="1"/>
  <c r="CF274" i="1"/>
  <c r="CE274" i="1" a="1"/>
  <c r="CE274" i="1"/>
  <c r="CD274" i="1" a="1"/>
  <c r="CD274" i="1"/>
  <c r="CC274" i="1"/>
  <c r="CB274" i="1"/>
  <c r="CA274" i="1" a="1"/>
  <c r="CA274" i="1"/>
  <c r="BZ274" i="1" a="1"/>
  <c r="BZ274" i="1"/>
  <c r="BY274" i="1"/>
  <c r="BX274" i="1"/>
  <c r="BW274" i="1" a="1"/>
  <c r="BW274" i="1"/>
  <c r="BV274" i="1"/>
  <c r="BU274" i="1"/>
  <c r="BT274" i="1"/>
  <c r="BS274" i="1" a="1"/>
  <c r="BS274" i="1"/>
  <c r="BR274" i="1"/>
  <c r="BQ274" i="1"/>
  <c r="BP274" i="1"/>
  <c r="BO274" i="1" a="1"/>
  <c r="BO274" i="1"/>
  <c r="BN274" i="1"/>
  <c r="BM274" i="1"/>
  <c r="BL274" i="1"/>
  <c r="BK274" i="1"/>
  <c r="BJ274" i="1"/>
  <c r="U274" i="1"/>
  <c r="T274" i="1"/>
  <c r="S274" i="1"/>
  <c r="R274" i="1"/>
  <c r="Q274" i="1"/>
  <c r="F274" i="1"/>
  <c r="E274" i="1"/>
  <c r="D274" i="1"/>
  <c r="C274" i="1"/>
  <c r="CJ273" i="1"/>
  <c r="CI273" i="1" a="1"/>
  <c r="CI273" i="1"/>
  <c r="CH273" i="1" a="1"/>
  <c r="CH273" i="1"/>
  <c r="CG273" i="1"/>
  <c r="CF273" i="1"/>
  <c r="CE273" i="1" a="1"/>
  <c r="CE273" i="1"/>
  <c r="CD273" i="1" a="1"/>
  <c r="CD273" i="1"/>
  <c r="CC273" i="1"/>
  <c r="CB273" i="1"/>
  <c r="CA273" i="1" a="1"/>
  <c r="CA273" i="1"/>
  <c r="BZ273" i="1" a="1"/>
  <c r="BZ273" i="1"/>
  <c r="BY273" i="1"/>
  <c r="BX273" i="1"/>
  <c r="BW273" i="1" a="1"/>
  <c r="BW273" i="1"/>
  <c r="BV273" i="1"/>
  <c r="BU273" i="1"/>
  <c r="BT273" i="1"/>
  <c r="BS273" i="1" a="1"/>
  <c r="BS273" i="1"/>
  <c r="BR273" i="1"/>
  <c r="BQ273" i="1"/>
  <c r="BP273" i="1"/>
  <c r="BO273" i="1" a="1"/>
  <c r="BO273" i="1"/>
  <c r="BN273" i="1"/>
  <c r="BM273" i="1"/>
  <c r="BL273" i="1"/>
  <c r="BK273" i="1"/>
  <c r="BJ273" i="1"/>
  <c r="U273" i="1"/>
  <c r="T273" i="1"/>
  <c r="S273" i="1"/>
  <c r="R273" i="1"/>
  <c r="Q273" i="1"/>
  <c r="F273" i="1"/>
  <c r="E273" i="1"/>
  <c r="D273" i="1"/>
  <c r="C273" i="1"/>
  <c r="CJ272" i="1"/>
  <c r="CI272" i="1" a="1"/>
  <c r="CI272" i="1"/>
  <c r="CH272" i="1" a="1"/>
  <c r="CH272" i="1"/>
  <c r="CG272" i="1"/>
  <c r="CF272" i="1"/>
  <c r="CE272" i="1" a="1"/>
  <c r="CE272" i="1"/>
  <c r="CD272" i="1" a="1"/>
  <c r="CD272" i="1"/>
  <c r="CC272" i="1"/>
  <c r="CB272" i="1"/>
  <c r="CA272" i="1" a="1"/>
  <c r="CA272" i="1"/>
  <c r="BZ272" i="1" a="1"/>
  <c r="BZ272" i="1"/>
  <c r="BY272" i="1"/>
  <c r="BX272" i="1"/>
  <c r="BW272" i="1" a="1"/>
  <c r="BW272" i="1"/>
  <c r="BV272" i="1"/>
  <c r="BU272" i="1"/>
  <c r="BT272" i="1"/>
  <c r="BS272" i="1" a="1"/>
  <c r="BS272" i="1"/>
  <c r="BR272" i="1"/>
  <c r="BQ272" i="1"/>
  <c r="BP272" i="1"/>
  <c r="BO272" i="1" a="1"/>
  <c r="BO272" i="1"/>
  <c r="BN272" i="1"/>
  <c r="BM272" i="1"/>
  <c r="BL272" i="1"/>
  <c r="BK272" i="1"/>
  <c r="BJ272" i="1"/>
  <c r="U272" i="1"/>
  <c r="T272" i="1"/>
  <c r="S272" i="1"/>
  <c r="R272" i="1"/>
  <c r="Q272" i="1"/>
  <c r="F272" i="1"/>
  <c r="E272" i="1"/>
  <c r="D272" i="1"/>
  <c r="C272" i="1"/>
  <c r="CJ271" i="1"/>
  <c r="CI271" i="1" a="1"/>
  <c r="CI271" i="1"/>
  <c r="CH271" i="1" a="1"/>
  <c r="CH271" i="1"/>
  <c r="CG271" i="1"/>
  <c r="CF271" i="1"/>
  <c r="CE271" i="1" a="1"/>
  <c r="CE271" i="1"/>
  <c r="CD271" i="1" a="1"/>
  <c r="CD271" i="1"/>
  <c r="CC271" i="1"/>
  <c r="CB271" i="1"/>
  <c r="CA271" i="1" a="1"/>
  <c r="CA271" i="1"/>
  <c r="BZ271" i="1" a="1"/>
  <c r="BZ271" i="1"/>
  <c r="BY271" i="1"/>
  <c r="BX271" i="1"/>
  <c r="BW271" i="1" a="1"/>
  <c r="BW271" i="1"/>
  <c r="BV271" i="1"/>
  <c r="BU271" i="1"/>
  <c r="BT271" i="1"/>
  <c r="BS271" i="1" a="1"/>
  <c r="BS271" i="1"/>
  <c r="BR271" i="1"/>
  <c r="BQ271" i="1"/>
  <c r="BP271" i="1"/>
  <c r="BO271" i="1" a="1"/>
  <c r="BO271" i="1"/>
  <c r="BN271" i="1"/>
  <c r="BM271" i="1"/>
  <c r="BL271" i="1"/>
  <c r="BK271" i="1"/>
  <c r="BJ271" i="1"/>
  <c r="U271" i="1"/>
  <c r="T271" i="1"/>
  <c r="S271" i="1"/>
  <c r="R271" i="1"/>
  <c r="Q271" i="1"/>
  <c r="F271" i="1"/>
  <c r="E271" i="1"/>
  <c r="D271" i="1"/>
  <c r="C271" i="1"/>
  <c r="CJ270" i="1"/>
  <c r="CI270" i="1" a="1"/>
  <c r="CI270" i="1"/>
  <c r="CH270" i="1" a="1"/>
  <c r="CH270" i="1"/>
  <c r="CG270" i="1"/>
  <c r="CF270" i="1"/>
  <c r="CE270" i="1" a="1"/>
  <c r="CE270" i="1"/>
  <c r="CD270" i="1" a="1"/>
  <c r="CD270" i="1"/>
  <c r="CC270" i="1"/>
  <c r="CB270" i="1"/>
  <c r="CA270" i="1" a="1"/>
  <c r="CA270" i="1"/>
  <c r="BZ270" i="1" a="1"/>
  <c r="BZ270" i="1"/>
  <c r="BY270" i="1"/>
  <c r="BX270" i="1"/>
  <c r="BW270" i="1" a="1"/>
  <c r="BW270" i="1"/>
  <c r="BV270" i="1"/>
  <c r="BU270" i="1"/>
  <c r="BT270" i="1"/>
  <c r="BS270" i="1" a="1"/>
  <c r="BS270" i="1"/>
  <c r="BR270" i="1"/>
  <c r="BQ270" i="1"/>
  <c r="BP270" i="1"/>
  <c r="BO270" i="1" a="1"/>
  <c r="BO270" i="1"/>
  <c r="BN270" i="1"/>
  <c r="BM270" i="1"/>
  <c r="BL270" i="1"/>
  <c r="BK270" i="1"/>
  <c r="BJ270" i="1"/>
  <c r="U270" i="1"/>
  <c r="T270" i="1"/>
  <c r="S270" i="1"/>
  <c r="R270" i="1"/>
  <c r="Q270" i="1"/>
  <c r="F270" i="1"/>
  <c r="E270" i="1"/>
  <c r="D270" i="1"/>
  <c r="C270" i="1"/>
  <c r="CJ269" i="1"/>
  <c r="CI269" i="1" a="1"/>
  <c r="CI269" i="1"/>
  <c r="CH269" i="1" a="1"/>
  <c r="CH269" i="1"/>
  <c r="CG269" i="1"/>
  <c r="CF269" i="1"/>
  <c r="CE269" i="1" a="1"/>
  <c r="CE269" i="1"/>
  <c r="CD269" i="1" a="1"/>
  <c r="CD269" i="1"/>
  <c r="CC269" i="1"/>
  <c r="CB269" i="1"/>
  <c r="CA269" i="1" a="1"/>
  <c r="CA269" i="1"/>
  <c r="BZ269" i="1" a="1"/>
  <c r="BZ269" i="1"/>
  <c r="BY269" i="1"/>
  <c r="BX269" i="1"/>
  <c r="BW269" i="1" a="1"/>
  <c r="BW269" i="1"/>
  <c r="BV269" i="1"/>
  <c r="BU269" i="1"/>
  <c r="BT269" i="1"/>
  <c r="BS269" i="1" a="1"/>
  <c r="BS269" i="1"/>
  <c r="BR269" i="1"/>
  <c r="BQ269" i="1"/>
  <c r="BP269" i="1"/>
  <c r="BO269" i="1" a="1"/>
  <c r="BO269" i="1"/>
  <c r="BN269" i="1"/>
  <c r="BM269" i="1"/>
  <c r="BL269" i="1"/>
  <c r="BK269" i="1"/>
  <c r="BJ269" i="1"/>
  <c r="U269" i="1"/>
  <c r="T269" i="1"/>
  <c r="S269" i="1"/>
  <c r="R269" i="1"/>
  <c r="Q269" i="1"/>
  <c r="F269" i="1"/>
  <c r="E269" i="1"/>
  <c r="D269" i="1"/>
  <c r="C269" i="1"/>
  <c r="CJ268" i="1"/>
  <c r="CI268" i="1" a="1"/>
  <c r="CI268" i="1"/>
  <c r="CH268" i="1" a="1"/>
  <c r="CH268" i="1"/>
  <c r="CG268" i="1"/>
  <c r="CF268" i="1"/>
  <c r="CE268" i="1" a="1"/>
  <c r="CE268" i="1"/>
  <c r="CD268" i="1" a="1"/>
  <c r="CD268" i="1"/>
  <c r="CC268" i="1"/>
  <c r="CB268" i="1"/>
  <c r="CA268" i="1" a="1"/>
  <c r="CA268" i="1"/>
  <c r="BZ268" i="1" a="1"/>
  <c r="BZ268" i="1"/>
  <c r="BY268" i="1"/>
  <c r="BX268" i="1"/>
  <c r="BW268" i="1" a="1"/>
  <c r="BW268" i="1"/>
  <c r="BV268" i="1"/>
  <c r="BU268" i="1"/>
  <c r="BT268" i="1"/>
  <c r="BS268" i="1" a="1"/>
  <c r="BS268" i="1"/>
  <c r="BR268" i="1"/>
  <c r="BQ268" i="1"/>
  <c r="BP268" i="1"/>
  <c r="BO268" i="1" a="1"/>
  <c r="BO268" i="1"/>
  <c r="BN268" i="1"/>
  <c r="BM268" i="1"/>
  <c r="BL268" i="1"/>
  <c r="BK268" i="1"/>
  <c r="BJ268" i="1"/>
  <c r="U268" i="1"/>
  <c r="T268" i="1"/>
  <c r="S268" i="1"/>
  <c r="R268" i="1"/>
  <c r="Q268" i="1"/>
  <c r="F268" i="1"/>
  <c r="E268" i="1"/>
  <c r="D268" i="1"/>
  <c r="C268" i="1"/>
  <c r="CJ267" i="1"/>
  <c r="CI267" i="1" a="1"/>
  <c r="CI267" i="1"/>
  <c r="CH267" i="1" a="1"/>
  <c r="CH267" i="1"/>
  <c r="CG267" i="1"/>
  <c r="CF267" i="1"/>
  <c r="CE267" i="1" a="1"/>
  <c r="CE267" i="1"/>
  <c r="CD267" i="1" a="1"/>
  <c r="CD267" i="1"/>
  <c r="CC267" i="1"/>
  <c r="CB267" i="1"/>
  <c r="CA267" i="1" a="1"/>
  <c r="CA267" i="1"/>
  <c r="BZ267" i="1" a="1"/>
  <c r="BZ267" i="1"/>
  <c r="BY267" i="1"/>
  <c r="BX267" i="1"/>
  <c r="BW267" i="1" a="1"/>
  <c r="BW267" i="1"/>
  <c r="BV267" i="1"/>
  <c r="BU267" i="1"/>
  <c r="BT267" i="1"/>
  <c r="BS267" i="1" a="1"/>
  <c r="BS267" i="1"/>
  <c r="BR267" i="1"/>
  <c r="BQ267" i="1"/>
  <c r="BP267" i="1"/>
  <c r="BO267" i="1" a="1"/>
  <c r="BO267" i="1"/>
  <c r="BN267" i="1"/>
  <c r="BM267" i="1"/>
  <c r="BL267" i="1"/>
  <c r="BK267" i="1"/>
  <c r="BJ267" i="1"/>
  <c r="U267" i="1"/>
  <c r="T267" i="1"/>
  <c r="S267" i="1"/>
  <c r="R267" i="1"/>
  <c r="Q267" i="1"/>
  <c r="F267" i="1"/>
  <c r="E267" i="1"/>
  <c r="D267" i="1"/>
  <c r="C267" i="1"/>
  <c r="CJ266" i="1"/>
  <c r="CI266" i="1" a="1"/>
  <c r="CI266" i="1"/>
  <c r="CH266" i="1" a="1"/>
  <c r="CH266" i="1"/>
  <c r="CG266" i="1"/>
  <c r="CF266" i="1"/>
  <c r="CE266" i="1" a="1"/>
  <c r="CE266" i="1"/>
  <c r="CD266" i="1" a="1"/>
  <c r="CD266" i="1"/>
  <c r="CC266" i="1"/>
  <c r="CB266" i="1"/>
  <c r="CA266" i="1" a="1"/>
  <c r="CA266" i="1"/>
  <c r="BZ266" i="1" a="1"/>
  <c r="BZ266" i="1"/>
  <c r="BY266" i="1"/>
  <c r="BX266" i="1"/>
  <c r="BW266" i="1" a="1"/>
  <c r="BW266" i="1"/>
  <c r="BV266" i="1"/>
  <c r="BU266" i="1"/>
  <c r="BT266" i="1"/>
  <c r="BS266" i="1" a="1"/>
  <c r="BS266" i="1"/>
  <c r="BR266" i="1"/>
  <c r="BQ266" i="1"/>
  <c r="BP266" i="1"/>
  <c r="BO266" i="1" a="1"/>
  <c r="BO266" i="1"/>
  <c r="BN266" i="1"/>
  <c r="BM266" i="1"/>
  <c r="BL266" i="1"/>
  <c r="BK266" i="1"/>
  <c r="BJ266" i="1"/>
  <c r="U266" i="1"/>
  <c r="T266" i="1"/>
  <c r="S266" i="1"/>
  <c r="R266" i="1"/>
  <c r="Q266" i="1"/>
  <c r="F266" i="1"/>
  <c r="E266" i="1"/>
  <c r="D266" i="1"/>
  <c r="C266" i="1"/>
  <c r="CJ265" i="1"/>
  <c r="CI265" i="1" a="1"/>
  <c r="CI265" i="1"/>
  <c r="CH265" i="1" a="1"/>
  <c r="CH265" i="1"/>
  <c r="CG265" i="1"/>
  <c r="CF265" i="1"/>
  <c r="CE265" i="1" a="1"/>
  <c r="CE265" i="1"/>
  <c r="CD265" i="1" a="1"/>
  <c r="CD265" i="1"/>
  <c r="CC265" i="1"/>
  <c r="CB265" i="1"/>
  <c r="CA265" i="1" a="1"/>
  <c r="CA265" i="1"/>
  <c r="BZ265" i="1" a="1"/>
  <c r="BZ265" i="1"/>
  <c r="BY265" i="1"/>
  <c r="BX265" i="1"/>
  <c r="BW265" i="1" a="1"/>
  <c r="BW265" i="1"/>
  <c r="BV265" i="1"/>
  <c r="BU265" i="1"/>
  <c r="BT265" i="1"/>
  <c r="BS265" i="1" a="1"/>
  <c r="BS265" i="1"/>
  <c r="BR265" i="1"/>
  <c r="BQ265" i="1"/>
  <c r="BP265" i="1"/>
  <c r="BO265" i="1" a="1"/>
  <c r="BO265" i="1"/>
  <c r="BN265" i="1"/>
  <c r="BM265" i="1"/>
  <c r="BL265" i="1"/>
  <c r="BK265" i="1"/>
  <c r="BJ265" i="1"/>
  <c r="U265" i="1"/>
  <c r="T265" i="1"/>
  <c r="S265" i="1"/>
  <c r="R265" i="1"/>
  <c r="Q265" i="1"/>
  <c r="F265" i="1"/>
  <c r="E265" i="1"/>
  <c r="D265" i="1"/>
  <c r="C265" i="1"/>
  <c r="CJ264" i="1"/>
  <c r="CI264" i="1" a="1"/>
  <c r="CI264" i="1"/>
  <c r="CH264" i="1" a="1"/>
  <c r="CH264" i="1"/>
  <c r="CG264" i="1"/>
  <c r="CF264" i="1"/>
  <c r="CE264" i="1" a="1"/>
  <c r="CE264" i="1"/>
  <c r="CD264" i="1" a="1"/>
  <c r="CD264" i="1"/>
  <c r="CC264" i="1"/>
  <c r="CB264" i="1"/>
  <c r="CA264" i="1" a="1"/>
  <c r="CA264" i="1"/>
  <c r="BZ264" i="1" a="1"/>
  <c r="BZ264" i="1"/>
  <c r="BY264" i="1"/>
  <c r="BX264" i="1"/>
  <c r="BW264" i="1" a="1"/>
  <c r="BW264" i="1"/>
  <c r="BV264" i="1"/>
  <c r="BU264" i="1"/>
  <c r="BT264" i="1"/>
  <c r="BS264" i="1" a="1"/>
  <c r="BS264" i="1"/>
  <c r="BR264" i="1"/>
  <c r="BQ264" i="1"/>
  <c r="BP264" i="1"/>
  <c r="BO264" i="1" a="1"/>
  <c r="BO264" i="1"/>
  <c r="BN264" i="1"/>
  <c r="BM264" i="1"/>
  <c r="BL264" i="1"/>
  <c r="BK264" i="1"/>
  <c r="BJ264" i="1"/>
  <c r="U264" i="1"/>
  <c r="T264" i="1"/>
  <c r="S264" i="1"/>
  <c r="R264" i="1"/>
  <c r="Q264" i="1"/>
  <c r="F264" i="1"/>
  <c r="E264" i="1"/>
  <c r="D264" i="1"/>
  <c r="C264" i="1"/>
  <c r="CJ263" i="1"/>
  <c r="CI263" i="1" a="1"/>
  <c r="CI263" i="1"/>
  <c r="CH263" i="1" a="1"/>
  <c r="CH263" i="1"/>
  <c r="CG263" i="1"/>
  <c r="CF263" i="1"/>
  <c r="CE263" i="1" a="1"/>
  <c r="CE263" i="1"/>
  <c r="CD263" i="1" a="1"/>
  <c r="CD263" i="1"/>
  <c r="CC263" i="1"/>
  <c r="CB263" i="1"/>
  <c r="CA263" i="1" a="1"/>
  <c r="CA263" i="1"/>
  <c r="BZ263" i="1" a="1"/>
  <c r="BZ263" i="1"/>
  <c r="BY263" i="1"/>
  <c r="BX263" i="1"/>
  <c r="BW263" i="1" a="1"/>
  <c r="BW263" i="1"/>
  <c r="BV263" i="1"/>
  <c r="BU263" i="1"/>
  <c r="BT263" i="1"/>
  <c r="BS263" i="1" a="1"/>
  <c r="BS263" i="1"/>
  <c r="BR263" i="1"/>
  <c r="BQ263" i="1"/>
  <c r="BP263" i="1"/>
  <c r="BO263" i="1" a="1"/>
  <c r="BO263" i="1"/>
  <c r="BN263" i="1"/>
  <c r="BM263" i="1"/>
  <c r="BL263" i="1"/>
  <c r="BK263" i="1"/>
  <c r="BJ263" i="1"/>
  <c r="U263" i="1"/>
  <c r="T263" i="1"/>
  <c r="S263" i="1"/>
  <c r="R263" i="1"/>
  <c r="Q263" i="1"/>
  <c r="F263" i="1"/>
  <c r="E263" i="1"/>
  <c r="D263" i="1"/>
  <c r="C263" i="1"/>
  <c r="CJ262" i="1"/>
  <c r="CI262" i="1" a="1"/>
  <c r="CI262" i="1"/>
  <c r="CH262" i="1" a="1"/>
  <c r="CH262" i="1"/>
  <c r="CG262" i="1"/>
  <c r="CF262" i="1"/>
  <c r="CE262" i="1" a="1"/>
  <c r="CE262" i="1"/>
  <c r="CD262" i="1" a="1"/>
  <c r="CD262" i="1"/>
  <c r="CC262" i="1"/>
  <c r="CB262" i="1"/>
  <c r="CA262" i="1" a="1"/>
  <c r="CA262" i="1"/>
  <c r="BZ262" i="1" a="1"/>
  <c r="BZ262" i="1"/>
  <c r="BY262" i="1"/>
  <c r="BX262" i="1"/>
  <c r="BW262" i="1" a="1"/>
  <c r="BW262" i="1"/>
  <c r="BV262" i="1"/>
  <c r="BU262" i="1"/>
  <c r="BT262" i="1"/>
  <c r="BS262" i="1" a="1"/>
  <c r="BS262" i="1"/>
  <c r="BR262" i="1"/>
  <c r="BQ262" i="1"/>
  <c r="BP262" i="1"/>
  <c r="BO262" i="1" a="1"/>
  <c r="BO262" i="1"/>
  <c r="BN262" i="1"/>
  <c r="BM262" i="1"/>
  <c r="BL262" i="1"/>
  <c r="BK262" i="1"/>
  <c r="BJ262" i="1"/>
  <c r="U262" i="1"/>
  <c r="T262" i="1"/>
  <c r="S262" i="1"/>
  <c r="R262" i="1"/>
  <c r="Q262" i="1"/>
  <c r="F262" i="1"/>
  <c r="E262" i="1"/>
  <c r="D262" i="1"/>
  <c r="C262" i="1"/>
  <c r="CJ261" i="1"/>
  <c r="CI261" i="1" a="1"/>
  <c r="CI261" i="1"/>
  <c r="CH261" i="1" a="1"/>
  <c r="CH261" i="1"/>
  <c r="CG261" i="1"/>
  <c r="CF261" i="1"/>
  <c r="CE261" i="1" a="1"/>
  <c r="CE261" i="1"/>
  <c r="CD261" i="1" a="1"/>
  <c r="CD261" i="1"/>
  <c r="CC261" i="1"/>
  <c r="CB261" i="1"/>
  <c r="CA261" i="1" a="1"/>
  <c r="CA261" i="1"/>
  <c r="BZ261" i="1" a="1"/>
  <c r="BZ261" i="1"/>
  <c r="BY261" i="1"/>
  <c r="BX261" i="1"/>
  <c r="BW261" i="1" a="1"/>
  <c r="BW261" i="1"/>
  <c r="BV261" i="1"/>
  <c r="BU261" i="1"/>
  <c r="BT261" i="1"/>
  <c r="BS261" i="1" a="1"/>
  <c r="BS261" i="1"/>
  <c r="BR261" i="1"/>
  <c r="BQ261" i="1"/>
  <c r="BP261" i="1"/>
  <c r="BO261" i="1" a="1"/>
  <c r="BO261" i="1"/>
  <c r="BN261" i="1"/>
  <c r="BM261" i="1"/>
  <c r="BL261" i="1"/>
  <c r="BK261" i="1"/>
  <c r="BJ261" i="1"/>
  <c r="U261" i="1"/>
  <c r="T261" i="1"/>
  <c r="S261" i="1"/>
  <c r="R261" i="1"/>
  <c r="Q261" i="1"/>
  <c r="F261" i="1"/>
  <c r="E261" i="1"/>
  <c r="D261" i="1"/>
  <c r="C261" i="1"/>
  <c r="CJ260" i="1"/>
  <c r="CI260" i="1" a="1"/>
  <c r="CI260" i="1"/>
  <c r="CH260" i="1" a="1"/>
  <c r="CH260" i="1"/>
  <c r="CG260" i="1"/>
  <c r="CF260" i="1"/>
  <c r="CE260" i="1" a="1"/>
  <c r="CE260" i="1"/>
  <c r="CD260" i="1" a="1"/>
  <c r="CD260" i="1"/>
  <c r="CC260" i="1"/>
  <c r="CB260" i="1"/>
  <c r="CA260" i="1" a="1"/>
  <c r="CA260" i="1"/>
  <c r="BZ260" i="1" a="1"/>
  <c r="BZ260" i="1"/>
  <c r="BY260" i="1"/>
  <c r="BX260" i="1"/>
  <c r="BW260" i="1" a="1"/>
  <c r="BW260" i="1"/>
  <c r="BV260" i="1"/>
  <c r="BU260" i="1"/>
  <c r="BT260" i="1"/>
  <c r="BS260" i="1" a="1"/>
  <c r="BS260" i="1"/>
  <c r="BR260" i="1"/>
  <c r="BQ260" i="1"/>
  <c r="BP260" i="1"/>
  <c r="BO260" i="1" a="1"/>
  <c r="BO260" i="1"/>
  <c r="BN260" i="1"/>
  <c r="BM260" i="1"/>
  <c r="BL260" i="1"/>
  <c r="BK260" i="1"/>
  <c r="BJ260" i="1"/>
  <c r="U260" i="1"/>
  <c r="T260" i="1"/>
  <c r="S260" i="1"/>
  <c r="R260" i="1"/>
  <c r="Q260" i="1"/>
  <c r="F260" i="1"/>
  <c r="E260" i="1"/>
  <c r="D260" i="1"/>
  <c r="C260" i="1"/>
  <c r="CJ259" i="1"/>
  <c r="CI259" i="1" a="1"/>
  <c r="CI259" i="1"/>
  <c r="CH259" i="1" a="1"/>
  <c r="CH259" i="1"/>
  <c r="CG259" i="1"/>
  <c r="CF259" i="1"/>
  <c r="CE259" i="1" a="1"/>
  <c r="CE259" i="1"/>
  <c r="CD259" i="1" a="1"/>
  <c r="CD259" i="1"/>
  <c r="CC259" i="1"/>
  <c r="CB259" i="1"/>
  <c r="CA259" i="1" a="1"/>
  <c r="CA259" i="1"/>
  <c r="BZ259" i="1" a="1"/>
  <c r="BZ259" i="1"/>
  <c r="BY259" i="1"/>
  <c r="BX259" i="1"/>
  <c r="BW259" i="1" a="1"/>
  <c r="BW259" i="1"/>
  <c r="BV259" i="1"/>
  <c r="BU259" i="1"/>
  <c r="BT259" i="1"/>
  <c r="BS259" i="1" a="1"/>
  <c r="BS259" i="1"/>
  <c r="BR259" i="1"/>
  <c r="BQ259" i="1"/>
  <c r="BP259" i="1"/>
  <c r="BO259" i="1" a="1"/>
  <c r="BO259" i="1"/>
  <c r="BN259" i="1"/>
  <c r="BM259" i="1"/>
  <c r="BL259" i="1"/>
  <c r="BK259" i="1"/>
  <c r="BJ259" i="1"/>
  <c r="U259" i="1"/>
  <c r="T259" i="1"/>
  <c r="S259" i="1"/>
  <c r="R259" i="1"/>
  <c r="Q259" i="1"/>
  <c r="F259" i="1"/>
  <c r="E259" i="1"/>
  <c r="D259" i="1"/>
  <c r="C259" i="1"/>
  <c r="CJ258" i="1"/>
  <c r="CI258" i="1" a="1"/>
  <c r="CI258" i="1"/>
  <c r="CH258" i="1" a="1"/>
  <c r="CH258" i="1"/>
  <c r="CG258" i="1"/>
  <c r="CF258" i="1"/>
  <c r="CE258" i="1" a="1"/>
  <c r="CE258" i="1"/>
  <c r="CD258" i="1" a="1"/>
  <c r="CD258" i="1"/>
  <c r="CC258" i="1"/>
  <c r="CB258" i="1"/>
  <c r="CA258" i="1" a="1"/>
  <c r="CA258" i="1"/>
  <c r="BZ258" i="1" a="1"/>
  <c r="BZ258" i="1"/>
  <c r="BY258" i="1"/>
  <c r="BX258" i="1"/>
  <c r="BW258" i="1" a="1"/>
  <c r="BW258" i="1"/>
  <c r="BV258" i="1"/>
  <c r="BU258" i="1"/>
  <c r="BT258" i="1"/>
  <c r="BS258" i="1" a="1"/>
  <c r="BS258" i="1"/>
  <c r="BR258" i="1"/>
  <c r="BQ258" i="1"/>
  <c r="BP258" i="1"/>
  <c r="BO258" i="1" a="1"/>
  <c r="BO258" i="1"/>
  <c r="BN258" i="1"/>
  <c r="BM258" i="1"/>
  <c r="BL258" i="1"/>
  <c r="BK258" i="1"/>
  <c r="BJ258" i="1"/>
  <c r="U258" i="1"/>
  <c r="T258" i="1"/>
  <c r="S258" i="1"/>
  <c r="R258" i="1"/>
  <c r="Q258" i="1"/>
  <c r="F258" i="1"/>
  <c r="E258" i="1"/>
  <c r="D258" i="1"/>
  <c r="C258" i="1"/>
  <c r="CJ257" i="1"/>
  <c r="CI257" i="1" a="1"/>
  <c r="CI257" i="1"/>
  <c r="CH257" i="1" a="1"/>
  <c r="CH257" i="1"/>
  <c r="CG257" i="1"/>
  <c r="CF257" i="1"/>
  <c r="CE257" i="1" a="1"/>
  <c r="CE257" i="1"/>
  <c r="CD257" i="1" a="1"/>
  <c r="CD257" i="1"/>
  <c r="CC257" i="1"/>
  <c r="CB257" i="1"/>
  <c r="CA257" i="1" a="1"/>
  <c r="CA257" i="1"/>
  <c r="BZ257" i="1" a="1"/>
  <c r="BZ257" i="1"/>
  <c r="BY257" i="1"/>
  <c r="BX257" i="1"/>
  <c r="BW257" i="1" a="1"/>
  <c r="BW257" i="1"/>
  <c r="BV257" i="1"/>
  <c r="BU257" i="1"/>
  <c r="BT257" i="1"/>
  <c r="BS257" i="1" a="1"/>
  <c r="BS257" i="1"/>
  <c r="BR257" i="1"/>
  <c r="BQ257" i="1"/>
  <c r="BP257" i="1"/>
  <c r="BO257" i="1" a="1"/>
  <c r="BO257" i="1"/>
  <c r="BN257" i="1"/>
  <c r="BM257" i="1"/>
  <c r="BL257" i="1"/>
  <c r="BK257" i="1"/>
  <c r="BJ257" i="1"/>
  <c r="U257" i="1"/>
  <c r="T257" i="1"/>
  <c r="S257" i="1"/>
  <c r="R257" i="1"/>
  <c r="Q257" i="1"/>
  <c r="F257" i="1"/>
  <c r="E257" i="1"/>
  <c r="D257" i="1"/>
  <c r="C257" i="1"/>
  <c r="CJ256" i="1"/>
  <c r="CI256" i="1" a="1"/>
  <c r="CI256" i="1"/>
  <c r="CH256" i="1" a="1"/>
  <c r="CH256" i="1"/>
  <c r="CG256" i="1"/>
  <c r="CF256" i="1"/>
  <c r="CE256" i="1" a="1"/>
  <c r="CE256" i="1"/>
  <c r="CD256" i="1" a="1"/>
  <c r="CD256" i="1"/>
  <c r="CC256" i="1"/>
  <c r="CB256" i="1"/>
  <c r="CA256" i="1" a="1"/>
  <c r="CA256" i="1"/>
  <c r="BZ256" i="1" a="1"/>
  <c r="BZ256" i="1"/>
  <c r="BY256" i="1"/>
  <c r="BX256" i="1"/>
  <c r="BW256" i="1" a="1"/>
  <c r="BW256" i="1"/>
  <c r="BV256" i="1"/>
  <c r="BU256" i="1"/>
  <c r="BT256" i="1"/>
  <c r="BS256" i="1" a="1"/>
  <c r="BS256" i="1"/>
  <c r="BR256" i="1"/>
  <c r="BQ256" i="1"/>
  <c r="BP256" i="1"/>
  <c r="BO256" i="1" a="1"/>
  <c r="BO256" i="1"/>
  <c r="BN256" i="1"/>
  <c r="BM256" i="1"/>
  <c r="BL256" i="1"/>
  <c r="BK256" i="1"/>
  <c r="BJ256" i="1"/>
  <c r="U256" i="1"/>
  <c r="T256" i="1"/>
  <c r="S256" i="1"/>
  <c r="R256" i="1"/>
  <c r="Q256" i="1"/>
  <c r="F256" i="1"/>
  <c r="E256" i="1"/>
  <c r="D256" i="1"/>
  <c r="C256" i="1"/>
  <c r="CJ255" i="1"/>
  <c r="CI255" i="1" a="1"/>
  <c r="CI255" i="1"/>
  <c r="CH255" i="1" a="1"/>
  <c r="CH255" i="1"/>
  <c r="CG255" i="1"/>
  <c r="CF255" i="1"/>
  <c r="CE255" i="1" a="1"/>
  <c r="CE255" i="1"/>
  <c r="CD255" i="1" a="1"/>
  <c r="CD255" i="1"/>
  <c r="CC255" i="1"/>
  <c r="CB255" i="1"/>
  <c r="CA255" i="1" a="1"/>
  <c r="CA255" i="1"/>
  <c r="BZ255" i="1" a="1"/>
  <c r="BZ255" i="1"/>
  <c r="BY255" i="1"/>
  <c r="BX255" i="1"/>
  <c r="BW255" i="1" a="1"/>
  <c r="BW255" i="1"/>
  <c r="BV255" i="1"/>
  <c r="BU255" i="1"/>
  <c r="BT255" i="1"/>
  <c r="BS255" i="1" a="1"/>
  <c r="BS255" i="1"/>
  <c r="BR255" i="1"/>
  <c r="BQ255" i="1"/>
  <c r="BP255" i="1"/>
  <c r="BO255" i="1" a="1"/>
  <c r="BO255" i="1"/>
  <c r="BN255" i="1"/>
  <c r="BM255" i="1"/>
  <c r="BL255" i="1"/>
  <c r="BK255" i="1"/>
  <c r="BJ255" i="1"/>
  <c r="U255" i="1"/>
  <c r="T255" i="1"/>
  <c r="S255" i="1"/>
  <c r="R255" i="1"/>
  <c r="Q255" i="1"/>
  <c r="F255" i="1"/>
  <c r="E255" i="1"/>
  <c r="D255" i="1"/>
  <c r="C255" i="1"/>
  <c r="CJ254" i="1"/>
  <c r="CI254" i="1" a="1"/>
  <c r="CI254" i="1"/>
  <c r="CH254" i="1" a="1"/>
  <c r="CH254" i="1"/>
  <c r="CG254" i="1"/>
  <c r="CF254" i="1"/>
  <c r="CE254" i="1" a="1"/>
  <c r="CE254" i="1"/>
  <c r="CD254" i="1" a="1"/>
  <c r="CD254" i="1"/>
  <c r="CC254" i="1"/>
  <c r="CB254" i="1"/>
  <c r="CA254" i="1" a="1"/>
  <c r="CA254" i="1"/>
  <c r="BZ254" i="1" a="1"/>
  <c r="BZ254" i="1"/>
  <c r="BY254" i="1"/>
  <c r="BX254" i="1"/>
  <c r="BW254" i="1" a="1"/>
  <c r="BW254" i="1"/>
  <c r="BV254" i="1"/>
  <c r="BU254" i="1"/>
  <c r="BT254" i="1"/>
  <c r="BS254" i="1" a="1"/>
  <c r="BS254" i="1"/>
  <c r="BR254" i="1"/>
  <c r="BQ254" i="1"/>
  <c r="BP254" i="1"/>
  <c r="BO254" i="1" a="1"/>
  <c r="BO254" i="1"/>
  <c r="BN254" i="1"/>
  <c r="BM254" i="1"/>
  <c r="BL254" i="1"/>
  <c r="BK254" i="1"/>
  <c r="BJ254" i="1"/>
  <c r="U254" i="1"/>
  <c r="T254" i="1"/>
  <c r="S254" i="1"/>
  <c r="R254" i="1"/>
  <c r="Q254" i="1"/>
  <c r="F254" i="1"/>
  <c r="E254" i="1"/>
  <c r="D254" i="1"/>
  <c r="C254" i="1"/>
  <c r="CJ253" i="1"/>
  <c r="CI253" i="1" a="1"/>
  <c r="CI253" i="1"/>
  <c r="CH253" i="1" a="1"/>
  <c r="CH253" i="1"/>
  <c r="CG253" i="1"/>
  <c r="CF253" i="1"/>
  <c r="CE253" i="1" a="1"/>
  <c r="CE253" i="1"/>
  <c r="CD253" i="1" a="1"/>
  <c r="CD253" i="1"/>
  <c r="CC253" i="1"/>
  <c r="CB253" i="1"/>
  <c r="CA253" i="1" a="1"/>
  <c r="CA253" i="1"/>
  <c r="BZ253" i="1" a="1"/>
  <c r="BZ253" i="1"/>
  <c r="BY253" i="1"/>
  <c r="BX253" i="1"/>
  <c r="BW253" i="1" a="1"/>
  <c r="BW253" i="1"/>
  <c r="BV253" i="1"/>
  <c r="BU253" i="1"/>
  <c r="BT253" i="1"/>
  <c r="BS253" i="1" a="1"/>
  <c r="BS253" i="1"/>
  <c r="BR253" i="1"/>
  <c r="BQ253" i="1"/>
  <c r="BP253" i="1"/>
  <c r="BO253" i="1" a="1"/>
  <c r="BO253" i="1"/>
  <c r="BN253" i="1"/>
  <c r="BM253" i="1"/>
  <c r="BL253" i="1"/>
  <c r="BK253" i="1"/>
  <c r="BJ253" i="1"/>
  <c r="U253" i="1"/>
  <c r="T253" i="1"/>
  <c r="S253" i="1"/>
  <c r="R253" i="1"/>
  <c r="Q253" i="1"/>
  <c r="F253" i="1"/>
  <c r="E253" i="1"/>
  <c r="D253" i="1"/>
  <c r="C253" i="1"/>
  <c r="CJ252" i="1"/>
  <c r="CI252" i="1" a="1"/>
  <c r="CI252" i="1"/>
  <c r="CH252" i="1" a="1"/>
  <c r="CH252" i="1"/>
  <c r="CG252" i="1"/>
  <c r="CF252" i="1"/>
  <c r="CE252" i="1" a="1"/>
  <c r="CE252" i="1"/>
  <c r="CD252" i="1" a="1"/>
  <c r="CD252" i="1"/>
  <c r="CC252" i="1"/>
  <c r="CB252" i="1"/>
  <c r="CA252" i="1" a="1"/>
  <c r="CA252" i="1"/>
  <c r="BZ252" i="1" a="1"/>
  <c r="BZ252" i="1"/>
  <c r="BY252" i="1"/>
  <c r="BX252" i="1"/>
  <c r="BW252" i="1" a="1"/>
  <c r="BW252" i="1"/>
  <c r="BV252" i="1"/>
  <c r="BU252" i="1"/>
  <c r="BT252" i="1"/>
  <c r="BS252" i="1" a="1"/>
  <c r="BS252" i="1"/>
  <c r="BR252" i="1"/>
  <c r="BQ252" i="1"/>
  <c r="BP252" i="1"/>
  <c r="BO252" i="1" a="1"/>
  <c r="BO252" i="1"/>
  <c r="BN252" i="1"/>
  <c r="BM252" i="1"/>
  <c r="BL252" i="1"/>
  <c r="BK252" i="1"/>
  <c r="BJ252" i="1"/>
  <c r="U252" i="1"/>
  <c r="T252" i="1"/>
  <c r="S252" i="1"/>
  <c r="R252" i="1"/>
  <c r="Q252" i="1"/>
  <c r="F252" i="1"/>
  <c r="E252" i="1"/>
  <c r="D252" i="1"/>
  <c r="C252" i="1"/>
  <c r="CJ251" i="1"/>
  <c r="CI251" i="1" a="1"/>
  <c r="CI251" i="1"/>
  <c r="CH251" i="1" a="1"/>
  <c r="CH251" i="1"/>
  <c r="CG251" i="1"/>
  <c r="CF251" i="1"/>
  <c r="CE251" i="1" a="1"/>
  <c r="CE251" i="1"/>
  <c r="CD251" i="1" a="1"/>
  <c r="CD251" i="1"/>
  <c r="CC251" i="1"/>
  <c r="CB251" i="1"/>
  <c r="CA251" i="1" a="1"/>
  <c r="CA251" i="1"/>
  <c r="BZ251" i="1" a="1"/>
  <c r="BZ251" i="1"/>
  <c r="BY251" i="1"/>
  <c r="BX251" i="1"/>
  <c r="BW251" i="1" a="1"/>
  <c r="BW251" i="1"/>
  <c r="BV251" i="1"/>
  <c r="BU251" i="1"/>
  <c r="BT251" i="1"/>
  <c r="BS251" i="1" a="1"/>
  <c r="BS251" i="1"/>
  <c r="BR251" i="1"/>
  <c r="BQ251" i="1"/>
  <c r="BP251" i="1"/>
  <c r="BO251" i="1" a="1"/>
  <c r="BO251" i="1"/>
  <c r="BN251" i="1"/>
  <c r="BM251" i="1"/>
  <c r="BL251" i="1"/>
  <c r="BK251" i="1"/>
  <c r="BJ251" i="1"/>
  <c r="U251" i="1"/>
  <c r="T251" i="1"/>
  <c r="S251" i="1"/>
  <c r="R251" i="1"/>
  <c r="Q251" i="1"/>
  <c r="F251" i="1"/>
  <c r="E251" i="1"/>
  <c r="D251" i="1"/>
  <c r="C251" i="1"/>
  <c r="CJ250" i="1"/>
  <c r="CI250" i="1" a="1"/>
  <c r="CI250" i="1"/>
  <c r="CH250" i="1" a="1"/>
  <c r="CH250" i="1"/>
  <c r="CG250" i="1"/>
  <c r="CF250" i="1"/>
  <c r="CE250" i="1" a="1"/>
  <c r="CE250" i="1"/>
  <c r="CD250" i="1" a="1"/>
  <c r="CD250" i="1"/>
  <c r="CC250" i="1"/>
  <c r="CB250" i="1"/>
  <c r="CA250" i="1" a="1"/>
  <c r="CA250" i="1"/>
  <c r="BZ250" i="1" a="1"/>
  <c r="BZ250" i="1"/>
  <c r="BY250" i="1"/>
  <c r="BX250" i="1"/>
  <c r="BW250" i="1" a="1"/>
  <c r="BW250" i="1"/>
  <c r="BV250" i="1"/>
  <c r="BU250" i="1"/>
  <c r="BT250" i="1"/>
  <c r="BS250" i="1" a="1"/>
  <c r="BS250" i="1"/>
  <c r="BR250" i="1"/>
  <c r="BQ250" i="1"/>
  <c r="BP250" i="1"/>
  <c r="BO250" i="1" a="1"/>
  <c r="BO250" i="1"/>
  <c r="BN250" i="1"/>
  <c r="BM250" i="1"/>
  <c r="BL250" i="1"/>
  <c r="BK250" i="1"/>
  <c r="BJ250" i="1"/>
  <c r="U250" i="1"/>
  <c r="T250" i="1"/>
  <c r="S250" i="1"/>
  <c r="R250" i="1"/>
  <c r="Q250" i="1"/>
  <c r="F250" i="1"/>
  <c r="E250" i="1"/>
  <c r="D250" i="1"/>
  <c r="C250" i="1"/>
  <c r="CJ249" i="1"/>
  <c r="CI249" i="1" a="1"/>
  <c r="CI249" i="1"/>
  <c r="CH249" i="1" a="1"/>
  <c r="CH249" i="1"/>
  <c r="CG249" i="1"/>
  <c r="CF249" i="1"/>
  <c r="CE249" i="1" a="1"/>
  <c r="CE249" i="1"/>
  <c r="CD249" i="1" a="1"/>
  <c r="CD249" i="1"/>
  <c r="CC249" i="1"/>
  <c r="CB249" i="1"/>
  <c r="CA249" i="1" a="1"/>
  <c r="CA249" i="1"/>
  <c r="BZ249" i="1" a="1"/>
  <c r="BZ249" i="1"/>
  <c r="BY249" i="1"/>
  <c r="BX249" i="1"/>
  <c r="BW249" i="1" a="1"/>
  <c r="BW249" i="1"/>
  <c r="BV249" i="1"/>
  <c r="BU249" i="1"/>
  <c r="BT249" i="1"/>
  <c r="BS249" i="1" a="1"/>
  <c r="BS249" i="1"/>
  <c r="BR249" i="1"/>
  <c r="BQ249" i="1"/>
  <c r="BP249" i="1"/>
  <c r="BO249" i="1" a="1"/>
  <c r="BO249" i="1"/>
  <c r="BN249" i="1"/>
  <c r="BM249" i="1"/>
  <c r="BL249" i="1"/>
  <c r="BK249" i="1"/>
  <c r="BJ249" i="1"/>
  <c r="U249" i="1"/>
  <c r="T249" i="1"/>
  <c r="S249" i="1"/>
  <c r="R249" i="1"/>
  <c r="Q249" i="1"/>
  <c r="F249" i="1"/>
  <c r="E249" i="1"/>
  <c r="D249" i="1"/>
  <c r="C249" i="1"/>
  <c r="CJ248" i="1"/>
  <c r="CI248" i="1" a="1"/>
  <c r="CI248" i="1"/>
  <c r="CH248" i="1" a="1"/>
  <c r="CH248" i="1"/>
  <c r="CG248" i="1"/>
  <c r="CF248" i="1"/>
  <c r="CE248" i="1" a="1"/>
  <c r="CE248" i="1"/>
  <c r="CD248" i="1" a="1"/>
  <c r="CD248" i="1"/>
  <c r="CC248" i="1"/>
  <c r="CB248" i="1"/>
  <c r="CA248" i="1" a="1"/>
  <c r="CA248" i="1"/>
  <c r="BZ248" i="1" a="1"/>
  <c r="BZ248" i="1"/>
  <c r="BY248" i="1"/>
  <c r="BX248" i="1"/>
  <c r="BW248" i="1" a="1"/>
  <c r="BW248" i="1"/>
  <c r="BV248" i="1"/>
  <c r="BU248" i="1"/>
  <c r="BT248" i="1"/>
  <c r="BS248" i="1" a="1"/>
  <c r="BS248" i="1"/>
  <c r="BR248" i="1"/>
  <c r="BQ248" i="1"/>
  <c r="BP248" i="1"/>
  <c r="BO248" i="1" a="1"/>
  <c r="BO248" i="1"/>
  <c r="BN248" i="1"/>
  <c r="BM248" i="1"/>
  <c r="BL248" i="1"/>
  <c r="BK248" i="1"/>
  <c r="BJ248" i="1"/>
  <c r="U248" i="1"/>
  <c r="T248" i="1"/>
  <c r="S248" i="1"/>
  <c r="R248" i="1"/>
  <c r="Q248" i="1"/>
  <c r="F248" i="1"/>
  <c r="E248" i="1"/>
  <c r="D248" i="1"/>
  <c r="C248" i="1"/>
  <c r="CJ247" i="1"/>
  <c r="CI247" i="1" a="1"/>
  <c r="CI247" i="1"/>
  <c r="CH247" i="1" a="1"/>
  <c r="CH247" i="1"/>
  <c r="CG247" i="1"/>
  <c r="CF247" i="1"/>
  <c r="CE247" i="1" a="1"/>
  <c r="CE247" i="1"/>
  <c r="CD247" i="1" a="1"/>
  <c r="CD247" i="1"/>
  <c r="CC247" i="1"/>
  <c r="CB247" i="1"/>
  <c r="CA247" i="1" a="1"/>
  <c r="CA247" i="1"/>
  <c r="BZ247" i="1" a="1"/>
  <c r="BZ247" i="1"/>
  <c r="BY247" i="1"/>
  <c r="BX247" i="1"/>
  <c r="BW247" i="1" a="1"/>
  <c r="BW247" i="1"/>
  <c r="BV247" i="1"/>
  <c r="BU247" i="1"/>
  <c r="BT247" i="1"/>
  <c r="BS247" i="1" a="1"/>
  <c r="BS247" i="1"/>
  <c r="BR247" i="1"/>
  <c r="BQ247" i="1"/>
  <c r="BP247" i="1"/>
  <c r="BO247" i="1" a="1"/>
  <c r="BO247" i="1"/>
  <c r="BN247" i="1"/>
  <c r="BM247" i="1"/>
  <c r="BL247" i="1"/>
  <c r="BK247" i="1"/>
  <c r="BJ247" i="1"/>
  <c r="U247" i="1"/>
  <c r="T247" i="1"/>
  <c r="S247" i="1"/>
  <c r="R247" i="1"/>
  <c r="Q247" i="1"/>
  <c r="F247" i="1"/>
  <c r="E247" i="1"/>
  <c r="D247" i="1"/>
  <c r="C247" i="1"/>
  <c r="CJ246" i="1"/>
  <c r="CI246" i="1" a="1"/>
  <c r="CI246" i="1"/>
  <c r="CH246" i="1" a="1"/>
  <c r="CH246" i="1"/>
  <c r="CG246" i="1"/>
  <c r="CF246" i="1"/>
  <c r="CE246" i="1" a="1"/>
  <c r="CE246" i="1"/>
  <c r="CD246" i="1" a="1"/>
  <c r="CD246" i="1"/>
  <c r="CC246" i="1"/>
  <c r="CB246" i="1"/>
  <c r="CA246" i="1" a="1"/>
  <c r="CA246" i="1"/>
  <c r="BZ246" i="1" a="1"/>
  <c r="BZ246" i="1"/>
  <c r="BY246" i="1"/>
  <c r="BX246" i="1"/>
  <c r="BW246" i="1" a="1"/>
  <c r="BW246" i="1"/>
  <c r="BV246" i="1"/>
  <c r="BU246" i="1"/>
  <c r="BT246" i="1"/>
  <c r="BS246" i="1" a="1"/>
  <c r="BS246" i="1"/>
  <c r="BR246" i="1"/>
  <c r="BQ246" i="1"/>
  <c r="BP246" i="1"/>
  <c r="BO246" i="1" a="1"/>
  <c r="BO246" i="1"/>
  <c r="BN246" i="1"/>
  <c r="BM246" i="1"/>
  <c r="BL246" i="1"/>
  <c r="BK246" i="1"/>
  <c r="BJ246" i="1"/>
  <c r="U246" i="1"/>
  <c r="T246" i="1"/>
  <c r="S246" i="1"/>
  <c r="R246" i="1"/>
  <c r="Q246" i="1"/>
  <c r="F246" i="1"/>
  <c r="E246" i="1"/>
  <c r="D246" i="1"/>
  <c r="C246" i="1"/>
  <c r="CJ245" i="1"/>
  <c r="CI245" i="1" a="1"/>
  <c r="CI245" i="1"/>
  <c r="CH245" i="1" a="1"/>
  <c r="CH245" i="1"/>
  <c r="CG245" i="1"/>
  <c r="CF245" i="1"/>
  <c r="CE245" i="1" a="1"/>
  <c r="CE245" i="1"/>
  <c r="CD245" i="1" a="1"/>
  <c r="CD245" i="1"/>
  <c r="CC245" i="1"/>
  <c r="CB245" i="1"/>
  <c r="CA245" i="1" a="1"/>
  <c r="CA245" i="1"/>
  <c r="BZ245" i="1" a="1"/>
  <c r="BZ245" i="1"/>
  <c r="BY245" i="1"/>
  <c r="BX245" i="1"/>
  <c r="BW245" i="1" a="1"/>
  <c r="BW245" i="1"/>
  <c r="BV245" i="1"/>
  <c r="BU245" i="1"/>
  <c r="BT245" i="1"/>
  <c r="BS245" i="1" a="1"/>
  <c r="BS245" i="1"/>
  <c r="BR245" i="1"/>
  <c r="BQ245" i="1"/>
  <c r="BP245" i="1"/>
  <c r="BO245" i="1" a="1"/>
  <c r="BO245" i="1"/>
  <c r="BN245" i="1"/>
  <c r="BM245" i="1"/>
  <c r="BL245" i="1"/>
  <c r="BK245" i="1"/>
  <c r="BJ245" i="1"/>
  <c r="U245" i="1"/>
  <c r="T245" i="1"/>
  <c r="S245" i="1"/>
  <c r="R245" i="1"/>
  <c r="Q245" i="1"/>
  <c r="F245" i="1"/>
  <c r="E245" i="1"/>
  <c r="D245" i="1"/>
  <c r="C245" i="1"/>
  <c r="CJ244" i="1"/>
  <c r="CI244" i="1" a="1"/>
  <c r="CI244" i="1"/>
  <c r="CH244" i="1" a="1"/>
  <c r="CH244" i="1"/>
  <c r="CG244" i="1"/>
  <c r="CF244" i="1"/>
  <c r="CE244" i="1" a="1"/>
  <c r="CE244" i="1"/>
  <c r="CD244" i="1" a="1"/>
  <c r="CD244" i="1"/>
  <c r="CC244" i="1"/>
  <c r="CB244" i="1"/>
  <c r="CA244" i="1" a="1"/>
  <c r="CA244" i="1"/>
  <c r="BZ244" i="1" a="1"/>
  <c r="BZ244" i="1"/>
  <c r="BY244" i="1"/>
  <c r="BX244" i="1"/>
  <c r="BW244" i="1" a="1"/>
  <c r="BW244" i="1"/>
  <c r="BV244" i="1"/>
  <c r="BU244" i="1"/>
  <c r="BT244" i="1"/>
  <c r="BS244" i="1" a="1"/>
  <c r="BS244" i="1"/>
  <c r="BR244" i="1"/>
  <c r="BQ244" i="1"/>
  <c r="BP244" i="1"/>
  <c r="BO244" i="1" a="1"/>
  <c r="BO244" i="1"/>
  <c r="BN244" i="1"/>
  <c r="BM244" i="1"/>
  <c r="BL244" i="1"/>
  <c r="BK244" i="1"/>
  <c r="BJ244" i="1"/>
  <c r="U244" i="1"/>
  <c r="T244" i="1"/>
  <c r="S244" i="1"/>
  <c r="R244" i="1"/>
  <c r="Q244" i="1"/>
  <c r="F244" i="1"/>
  <c r="E244" i="1"/>
  <c r="D244" i="1"/>
  <c r="C244" i="1"/>
  <c r="CJ243" i="1"/>
  <c r="CI243" i="1" a="1"/>
  <c r="CI243" i="1"/>
  <c r="CH243" i="1" a="1"/>
  <c r="CH243" i="1"/>
  <c r="CG243" i="1"/>
  <c r="CF243" i="1"/>
  <c r="CE243" i="1" a="1"/>
  <c r="CE243" i="1"/>
  <c r="CD243" i="1" a="1"/>
  <c r="CD243" i="1"/>
  <c r="CC243" i="1"/>
  <c r="CB243" i="1"/>
  <c r="CA243" i="1" a="1"/>
  <c r="CA243" i="1"/>
  <c r="BZ243" i="1" a="1"/>
  <c r="BZ243" i="1"/>
  <c r="BY243" i="1"/>
  <c r="BX243" i="1"/>
  <c r="BW243" i="1" a="1"/>
  <c r="BW243" i="1"/>
  <c r="BV243" i="1"/>
  <c r="BU243" i="1"/>
  <c r="BT243" i="1"/>
  <c r="BS243" i="1" a="1"/>
  <c r="BS243" i="1"/>
  <c r="BR243" i="1"/>
  <c r="BQ243" i="1"/>
  <c r="BP243" i="1"/>
  <c r="BO243" i="1" a="1"/>
  <c r="BO243" i="1"/>
  <c r="BN243" i="1"/>
  <c r="BM243" i="1"/>
  <c r="BL243" i="1"/>
  <c r="BK243" i="1"/>
  <c r="BJ243" i="1"/>
  <c r="U243" i="1"/>
  <c r="T243" i="1"/>
  <c r="S243" i="1"/>
  <c r="R243" i="1"/>
  <c r="Q243" i="1"/>
  <c r="F243" i="1"/>
  <c r="E243" i="1"/>
  <c r="D243" i="1"/>
  <c r="C243" i="1"/>
  <c r="CJ242" i="1"/>
  <c r="CI242" i="1" a="1"/>
  <c r="CI242" i="1"/>
  <c r="CH242" i="1" a="1"/>
  <c r="CH242" i="1"/>
  <c r="CG242" i="1"/>
  <c r="CF242" i="1"/>
  <c r="CE242" i="1" a="1"/>
  <c r="CE242" i="1"/>
  <c r="CD242" i="1" a="1"/>
  <c r="CD242" i="1"/>
  <c r="CC242" i="1"/>
  <c r="CB242" i="1"/>
  <c r="CA242" i="1" a="1"/>
  <c r="CA242" i="1"/>
  <c r="BZ242" i="1" a="1"/>
  <c r="BZ242" i="1"/>
  <c r="BY242" i="1"/>
  <c r="BX242" i="1"/>
  <c r="BW242" i="1" a="1"/>
  <c r="BW242" i="1"/>
  <c r="BV242" i="1"/>
  <c r="BU242" i="1"/>
  <c r="BT242" i="1"/>
  <c r="BS242" i="1" a="1"/>
  <c r="BS242" i="1"/>
  <c r="BR242" i="1"/>
  <c r="BQ242" i="1"/>
  <c r="BP242" i="1"/>
  <c r="BO242" i="1" a="1"/>
  <c r="BO242" i="1"/>
  <c r="BN242" i="1"/>
  <c r="BM242" i="1"/>
  <c r="BL242" i="1"/>
  <c r="BK242" i="1"/>
  <c r="BJ242" i="1"/>
  <c r="U242" i="1"/>
  <c r="T242" i="1"/>
  <c r="S242" i="1"/>
  <c r="R242" i="1"/>
  <c r="Q242" i="1"/>
  <c r="F242" i="1"/>
  <c r="E242" i="1"/>
  <c r="D242" i="1"/>
  <c r="C242" i="1"/>
  <c r="CJ241" i="1"/>
  <c r="CI241" i="1" a="1"/>
  <c r="CI241" i="1"/>
  <c r="CH241" i="1" a="1"/>
  <c r="CH241" i="1"/>
  <c r="CG241" i="1"/>
  <c r="CF241" i="1"/>
  <c r="CE241" i="1" a="1"/>
  <c r="CE241" i="1"/>
  <c r="CD241" i="1" a="1"/>
  <c r="CD241" i="1"/>
  <c r="CC241" i="1"/>
  <c r="CB241" i="1"/>
  <c r="CA241" i="1" a="1"/>
  <c r="CA241" i="1"/>
  <c r="BZ241" i="1" a="1"/>
  <c r="BZ241" i="1"/>
  <c r="BY241" i="1"/>
  <c r="BX241" i="1"/>
  <c r="BW241" i="1" a="1"/>
  <c r="BW241" i="1"/>
  <c r="BV241" i="1"/>
  <c r="BU241" i="1"/>
  <c r="BT241" i="1"/>
  <c r="BS241" i="1" a="1"/>
  <c r="BS241" i="1"/>
  <c r="BR241" i="1"/>
  <c r="BQ241" i="1"/>
  <c r="BP241" i="1"/>
  <c r="BO241" i="1" a="1"/>
  <c r="BO241" i="1"/>
  <c r="BN241" i="1"/>
  <c r="BM241" i="1"/>
  <c r="BL241" i="1"/>
  <c r="BK241" i="1"/>
  <c r="BJ241" i="1"/>
  <c r="U241" i="1"/>
  <c r="T241" i="1"/>
  <c r="S241" i="1"/>
  <c r="R241" i="1"/>
  <c r="Q241" i="1"/>
  <c r="F241" i="1"/>
  <c r="E241" i="1"/>
  <c r="D241" i="1"/>
  <c r="C241" i="1"/>
  <c r="CJ240" i="1"/>
  <c r="CI240" i="1" a="1"/>
  <c r="CI240" i="1"/>
  <c r="CH240" i="1" a="1"/>
  <c r="CH240" i="1"/>
  <c r="CG240" i="1"/>
  <c r="CF240" i="1"/>
  <c r="CE240" i="1" a="1"/>
  <c r="CE240" i="1"/>
  <c r="CD240" i="1" a="1"/>
  <c r="CD240" i="1"/>
  <c r="CC240" i="1"/>
  <c r="CB240" i="1"/>
  <c r="CA240" i="1" a="1"/>
  <c r="CA240" i="1"/>
  <c r="BZ240" i="1" a="1"/>
  <c r="BZ240" i="1"/>
  <c r="BY240" i="1"/>
  <c r="BX240" i="1"/>
  <c r="BW240" i="1" a="1"/>
  <c r="BW240" i="1"/>
  <c r="BV240" i="1"/>
  <c r="BU240" i="1"/>
  <c r="BT240" i="1"/>
  <c r="BS240" i="1" a="1"/>
  <c r="BS240" i="1"/>
  <c r="BR240" i="1"/>
  <c r="BQ240" i="1"/>
  <c r="BP240" i="1"/>
  <c r="BO240" i="1" a="1"/>
  <c r="BO240" i="1"/>
  <c r="BN240" i="1"/>
  <c r="BM240" i="1"/>
  <c r="BL240" i="1"/>
  <c r="BK240" i="1"/>
  <c r="BJ240" i="1"/>
  <c r="U240" i="1"/>
  <c r="T240" i="1"/>
  <c r="S240" i="1"/>
  <c r="R240" i="1"/>
  <c r="Q240" i="1"/>
  <c r="F240" i="1"/>
  <c r="E240" i="1"/>
  <c r="D240" i="1"/>
  <c r="C240" i="1"/>
  <c r="CJ239" i="1"/>
  <c r="CI239" i="1" a="1"/>
  <c r="CI239" i="1"/>
  <c r="CH239" i="1" a="1"/>
  <c r="CH239" i="1"/>
  <c r="CG239" i="1"/>
  <c r="CF239" i="1"/>
  <c r="CE239" i="1" a="1"/>
  <c r="CE239" i="1"/>
  <c r="CD239" i="1" a="1"/>
  <c r="CD239" i="1"/>
  <c r="CC239" i="1"/>
  <c r="CB239" i="1"/>
  <c r="CA239" i="1" a="1"/>
  <c r="CA239" i="1"/>
  <c r="BZ239" i="1" a="1"/>
  <c r="BZ239" i="1"/>
  <c r="BY239" i="1"/>
  <c r="BX239" i="1"/>
  <c r="BW239" i="1" a="1"/>
  <c r="BW239" i="1"/>
  <c r="BV239" i="1"/>
  <c r="BU239" i="1"/>
  <c r="BT239" i="1"/>
  <c r="BS239" i="1" a="1"/>
  <c r="BS239" i="1"/>
  <c r="BR239" i="1"/>
  <c r="BQ239" i="1"/>
  <c r="BP239" i="1"/>
  <c r="BO239" i="1" a="1"/>
  <c r="BO239" i="1"/>
  <c r="BN239" i="1"/>
  <c r="BM239" i="1"/>
  <c r="BL239" i="1"/>
  <c r="BK239" i="1"/>
  <c r="BJ239" i="1"/>
  <c r="U239" i="1"/>
  <c r="T239" i="1"/>
  <c r="S239" i="1"/>
  <c r="R239" i="1"/>
  <c r="Q239" i="1"/>
  <c r="F239" i="1"/>
  <c r="E239" i="1"/>
  <c r="D239" i="1"/>
  <c r="C239" i="1"/>
  <c r="CJ238" i="1"/>
  <c r="CI238" i="1" a="1"/>
  <c r="CI238" i="1"/>
  <c r="CH238" i="1" a="1"/>
  <c r="CH238" i="1"/>
  <c r="CG238" i="1"/>
  <c r="CF238" i="1"/>
  <c r="CE238" i="1" a="1"/>
  <c r="CE238" i="1"/>
  <c r="CD238" i="1" a="1"/>
  <c r="CD238" i="1"/>
  <c r="CC238" i="1"/>
  <c r="CB238" i="1"/>
  <c r="CA238" i="1" a="1"/>
  <c r="CA238" i="1"/>
  <c r="BZ238" i="1" a="1"/>
  <c r="BZ238" i="1"/>
  <c r="BY238" i="1"/>
  <c r="BX238" i="1"/>
  <c r="BW238" i="1" a="1"/>
  <c r="BW238" i="1"/>
  <c r="BV238" i="1"/>
  <c r="BU238" i="1"/>
  <c r="BT238" i="1"/>
  <c r="BS238" i="1" a="1"/>
  <c r="BS238" i="1"/>
  <c r="BR238" i="1"/>
  <c r="BQ238" i="1"/>
  <c r="BP238" i="1"/>
  <c r="BO238" i="1" a="1"/>
  <c r="BO238" i="1"/>
  <c r="BN238" i="1"/>
  <c r="BM238" i="1"/>
  <c r="BL238" i="1"/>
  <c r="BK238" i="1"/>
  <c r="BJ238" i="1"/>
  <c r="U238" i="1"/>
  <c r="T238" i="1"/>
  <c r="S238" i="1"/>
  <c r="R238" i="1"/>
  <c r="Q238" i="1"/>
  <c r="F238" i="1"/>
  <c r="E238" i="1"/>
  <c r="D238" i="1"/>
  <c r="C238" i="1"/>
  <c r="CJ237" i="1"/>
  <c r="CI237" i="1" a="1"/>
  <c r="CI237" i="1"/>
  <c r="CH237" i="1" a="1"/>
  <c r="CH237" i="1"/>
  <c r="CG237" i="1"/>
  <c r="CF237" i="1"/>
  <c r="CE237" i="1" a="1"/>
  <c r="CE237" i="1"/>
  <c r="CD237" i="1" a="1"/>
  <c r="CD237" i="1"/>
  <c r="CC237" i="1"/>
  <c r="CB237" i="1"/>
  <c r="CA237" i="1" a="1"/>
  <c r="CA237" i="1"/>
  <c r="BZ237" i="1" a="1"/>
  <c r="BZ237" i="1"/>
  <c r="BY237" i="1"/>
  <c r="BX237" i="1"/>
  <c r="BW237" i="1" a="1"/>
  <c r="BW237" i="1"/>
  <c r="BV237" i="1"/>
  <c r="BU237" i="1"/>
  <c r="BT237" i="1"/>
  <c r="BS237" i="1" a="1"/>
  <c r="BS237" i="1"/>
  <c r="BR237" i="1"/>
  <c r="BQ237" i="1"/>
  <c r="BP237" i="1"/>
  <c r="BO237" i="1" a="1"/>
  <c r="BO237" i="1"/>
  <c r="BN237" i="1"/>
  <c r="BM237" i="1"/>
  <c r="BL237" i="1"/>
  <c r="BK237" i="1"/>
  <c r="BJ237" i="1"/>
  <c r="U237" i="1"/>
  <c r="T237" i="1"/>
  <c r="S237" i="1"/>
  <c r="R237" i="1"/>
  <c r="Q237" i="1"/>
  <c r="F237" i="1"/>
  <c r="E237" i="1"/>
  <c r="D237" i="1"/>
  <c r="C237" i="1"/>
  <c r="CJ236" i="1"/>
  <c r="CI236" i="1" a="1"/>
  <c r="CI236" i="1"/>
  <c r="CH236" i="1" a="1"/>
  <c r="CH236" i="1"/>
  <c r="CG236" i="1"/>
  <c r="CF236" i="1"/>
  <c r="CE236" i="1" a="1"/>
  <c r="CE236" i="1"/>
  <c r="CD236" i="1" a="1"/>
  <c r="CD236" i="1"/>
  <c r="CC236" i="1"/>
  <c r="CB236" i="1"/>
  <c r="CA236" i="1" a="1"/>
  <c r="CA236" i="1"/>
  <c r="BZ236" i="1" a="1"/>
  <c r="BZ236" i="1"/>
  <c r="BY236" i="1"/>
  <c r="BX236" i="1"/>
  <c r="BW236" i="1" a="1"/>
  <c r="BW236" i="1"/>
  <c r="BV236" i="1"/>
  <c r="BU236" i="1"/>
  <c r="BT236" i="1"/>
  <c r="BS236" i="1" a="1"/>
  <c r="BS236" i="1"/>
  <c r="BR236" i="1"/>
  <c r="BQ236" i="1"/>
  <c r="BP236" i="1"/>
  <c r="BO236" i="1" a="1"/>
  <c r="BO236" i="1"/>
  <c r="BN236" i="1"/>
  <c r="BM236" i="1"/>
  <c r="BL236" i="1"/>
  <c r="BK236" i="1"/>
  <c r="BJ236" i="1"/>
  <c r="U236" i="1"/>
  <c r="T236" i="1"/>
  <c r="S236" i="1"/>
  <c r="R236" i="1"/>
  <c r="Q236" i="1"/>
  <c r="F236" i="1"/>
  <c r="E236" i="1"/>
  <c r="D236" i="1"/>
  <c r="C236" i="1"/>
  <c r="CJ235" i="1"/>
  <c r="CI235" i="1" a="1"/>
  <c r="CI235" i="1"/>
  <c r="CH235" i="1" a="1"/>
  <c r="CH235" i="1"/>
  <c r="CG235" i="1"/>
  <c r="CF235" i="1"/>
  <c r="CE235" i="1" a="1"/>
  <c r="CE235" i="1"/>
  <c r="CD235" i="1" a="1"/>
  <c r="CD235" i="1"/>
  <c r="CC235" i="1"/>
  <c r="CB235" i="1"/>
  <c r="CA235" i="1" a="1"/>
  <c r="CA235" i="1"/>
  <c r="BZ235" i="1" a="1"/>
  <c r="BZ235" i="1"/>
  <c r="BY235" i="1"/>
  <c r="BX235" i="1"/>
  <c r="BW235" i="1" a="1"/>
  <c r="BW235" i="1"/>
  <c r="BV235" i="1"/>
  <c r="BU235" i="1"/>
  <c r="BT235" i="1"/>
  <c r="BS235" i="1" a="1"/>
  <c r="BS235" i="1"/>
  <c r="BR235" i="1"/>
  <c r="BQ235" i="1"/>
  <c r="BP235" i="1"/>
  <c r="BO235" i="1" a="1"/>
  <c r="BO235" i="1"/>
  <c r="BN235" i="1"/>
  <c r="BM235" i="1"/>
  <c r="BL235" i="1"/>
  <c r="BK235" i="1"/>
  <c r="BJ235" i="1"/>
  <c r="U235" i="1"/>
  <c r="T235" i="1"/>
  <c r="S235" i="1"/>
  <c r="R235" i="1"/>
  <c r="Q235" i="1"/>
  <c r="F235" i="1"/>
  <c r="E235" i="1"/>
  <c r="D235" i="1"/>
  <c r="C235" i="1"/>
  <c r="CJ234" i="1"/>
  <c r="CI234" i="1" a="1"/>
  <c r="CI234" i="1"/>
  <c r="CH234" i="1" a="1"/>
  <c r="CH234" i="1"/>
  <c r="CG234" i="1"/>
  <c r="CF234" i="1"/>
  <c r="CE234" i="1" a="1"/>
  <c r="CE234" i="1"/>
  <c r="CD234" i="1" a="1"/>
  <c r="CD234" i="1"/>
  <c r="CC234" i="1"/>
  <c r="CB234" i="1"/>
  <c r="CA234" i="1" a="1"/>
  <c r="CA234" i="1"/>
  <c r="BZ234" i="1" a="1"/>
  <c r="BZ234" i="1"/>
  <c r="BY234" i="1"/>
  <c r="BX234" i="1"/>
  <c r="BW234" i="1" a="1"/>
  <c r="BW234" i="1"/>
  <c r="BV234" i="1"/>
  <c r="BU234" i="1"/>
  <c r="BT234" i="1"/>
  <c r="BS234" i="1" a="1"/>
  <c r="BS234" i="1"/>
  <c r="BR234" i="1"/>
  <c r="BQ234" i="1"/>
  <c r="BP234" i="1"/>
  <c r="BO234" i="1" a="1"/>
  <c r="BO234" i="1"/>
  <c r="BN234" i="1"/>
  <c r="BM234" i="1"/>
  <c r="BL234" i="1"/>
  <c r="BK234" i="1"/>
  <c r="BJ234" i="1"/>
  <c r="U234" i="1"/>
  <c r="T234" i="1"/>
  <c r="S234" i="1"/>
  <c r="R234" i="1"/>
  <c r="Q234" i="1"/>
  <c r="F234" i="1"/>
  <c r="E234" i="1"/>
  <c r="D234" i="1"/>
  <c r="C234" i="1"/>
  <c r="CJ233" i="1"/>
  <c r="CI233" i="1" a="1"/>
  <c r="CI233" i="1"/>
  <c r="CH233" i="1" a="1"/>
  <c r="CH233" i="1"/>
  <c r="CG233" i="1"/>
  <c r="CF233" i="1"/>
  <c r="CE233" i="1" a="1"/>
  <c r="CE233" i="1"/>
  <c r="CD233" i="1" a="1"/>
  <c r="CD233" i="1"/>
  <c r="CC233" i="1"/>
  <c r="CB233" i="1"/>
  <c r="CA233" i="1" a="1"/>
  <c r="CA233" i="1"/>
  <c r="BZ233" i="1" a="1"/>
  <c r="BZ233" i="1"/>
  <c r="BY233" i="1"/>
  <c r="BX233" i="1"/>
  <c r="BW233" i="1" a="1"/>
  <c r="BW233" i="1"/>
  <c r="BV233" i="1"/>
  <c r="BU233" i="1"/>
  <c r="BT233" i="1"/>
  <c r="BS233" i="1" a="1"/>
  <c r="BS233" i="1"/>
  <c r="BR233" i="1"/>
  <c r="BQ233" i="1"/>
  <c r="BP233" i="1"/>
  <c r="BO233" i="1" a="1"/>
  <c r="BO233" i="1"/>
  <c r="BN233" i="1"/>
  <c r="BM233" i="1"/>
  <c r="BL233" i="1"/>
  <c r="BK233" i="1"/>
  <c r="BJ233" i="1"/>
  <c r="U233" i="1"/>
  <c r="T233" i="1"/>
  <c r="S233" i="1"/>
  <c r="R233" i="1"/>
  <c r="Q233" i="1"/>
  <c r="F233" i="1"/>
  <c r="E233" i="1"/>
  <c r="D233" i="1"/>
  <c r="C233" i="1"/>
  <c r="CJ232" i="1"/>
  <c r="CI232" i="1" a="1"/>
  <c r="CI232" i="1"/>
  <c r="CH232" i="1" a="1"/>
  <c r="CH232" i="1"/>
  <c r="CG232" i="1"/>
  <c r="CF232" i="1"/>
  <c r="CE232" i="1" a="1"/>
  <c r="CE232" i="1"/>
  <c r="CD232" i="1" a="1"/>
  <c r="CD232" i="1"/>
  <c r="CC232" i="1"/>
  <c r="CB232" i="1"/>
  <c r="CA232" i="1" a="1"/>
  <c r="CA232" i="1"/>
  <c r="BZ232" i="1" a="1"/>
  <c r="BZ232" i="1"/>
  <c r="BY232" i="1"/>
  <c r="BX232" i="1"/>
  <c r="BW232" i="1" a="1"/>
  <c r="BW232" i="1"/>
  <c r="BV232" i="1"/>
  <c r="BU232" i="1"/>
  <c r="BT232" i="1"/>
  <c r="BS232" i="1" a="1"/>
  <c r="BS232" i="1"/>
  <c r="BR232" i="1"/>
  <c r="BQ232" i="1"/>
  <c r="BP232" i="1"/>
  <c r="BO232" i="1" a="1"/>
  <c r="BO232" i="1"/>
  <c r="BN232" i="1"/>
  <c r="BM232" i="1"/>
  <c r="BL232" i="1"/>
  <c r="BK232" i="1"/>
  <c r="BJ232" i="1"/>
  <c r="U232" i="1"/>
  <c r="T232" i="1"/>
  <c r="S232" i="1"/>
  <c r="R232" i="1"/>
  <c r="Q232" i="1"/>
  <c r="F232" i="1"/>
  <c r="E232" i="1"/>
  <c r="D232" i="1"/>
  <c r="C232" i="1"/>
  <c r="CJ231" i="1"/>
  <c r="CI231" i="1" a="1"/>
  <c r="CI231" i="1"/>
  <c r="CH231" i="1" a="1"/>
  <c r="CH231" i="1"/>
  <c r="CG231" i="1"/>
  <c r="CF231" i="1"/>
  <c r="CE231" i="1" a="1"/>
  <c r="CE231" i="1"/>
  <c r="CD231" i="1" a="1"/>
  <c r="CD231" i="1"/>
  <c r="CC231" i="1"/>
  <c r="CB231" i="1"/>
  <c r="CA231" i="1" a="1"/>
  <c r="CA231" i="1"/>
  <c r="BZ231" i="1" a="1"/>
  <c r="BZ231" i="1"/>
  <c r="BY231" i="1"/>
  <c r="BX231" i="1"/>
  <c r="BW231" i="1" a="1"/>
  <c r="BW231" i="1"/>
  <c r="BV231" i="1"/>
  <c r="BU231" i="1"/>
  <c r="BT231" i="1"/>
  <c r="BS231" i="1" a="1"/>
  <c r="BS231" i="1"/>
  <c r="BR231" i="1"/>
  <c r="BQ231" i="1"/>
  <c r="BP231" i="1"/>
  <c r="BO231" i="1" a="1"/>
  <c r="BO231" i="1"/>
  <c r="BN231" i="1"/>
  <c r="BM231" i="1"/>
  <c r="BL231" i="1"/>
  <c r="BK231" i="1"/>
  <c r="BJ231" i="1"/>
  <c r="U231" i="1"/>
  <c r="T231" i="1"/>
  <c r="S231" i="1"/>
  <c r="R231" i="1"/>
  <c r="Q231" i="1"/>
  <c r="F231" i="1"/>
  <c r="E231" i="1"/>
  <c r="D231" i="1"/>
  <c r="C231" i="1"/>
  <c r="CJ230" i="1"/>
  <c r="CI230" i="1" a="1"/>
  <c r="CI230" i="1"/>
  <c r="CH230" i="1" a="1"/>
  <c r="CH230" i="1"/>
  <c r="CG230" i="1"/>
  <c r="CF230" i="1"/>
  <c r="CE230" i="1" a="1"/>
  <c r="CE230" i="1"/>
  <c r="CD230" i="1" a="1"/>
  <c r="CD230" i="1"/>
  <c r="CC230" i="1"/>
  <c r="CB230" i="1"/>
  <c r="CA230" i="1" a="1"/>
  <c r="CA230" i="1"/>
  <c r="BZ230" i="1" a="1"/>
  <c r="BZ230" i="1"/>
  <c r="BY230" i="1"/>
  <c r="BX230" i="1"/>
  <c r="BW230" i="1" a="1"/>
  <c r="BW230" i="1"/>
  <c r="BV230" i="1"/>
  <c r="BU230" i="1"/>
  <c r="BT230" i="1"/>
  <c r="BS230" i="1" a="1"/>
  <c r="BS230" i="1"/>
  <c r="BR230" i="1"/>
  <c r="BQ230" i="1"/>
  <c r="BP230" i="1"/>
  <c r="BO230" i="1" a="1"/>
  <c r="BO230" i="1"/>
  <c r="BN230" i="1"/>
  <c r="BM230" i="1"/>
  <c r="BL230" i="1"/>
  <c r="BK230" i="1"/>
  <c r="BJ230" i="1"/>
  <c r="U230" i="1"/>
  <c r="T230" i="1"/>
  <c r="S230" i="1"/>
  <c r="R230" i="1"/>
  <c r="Q230" i="1"/>
  <c r="F230" i="1"/>
  <c r="E230" i="1"/>
  <c r="D230" i="1"/>
  <c r="C230" i="1"/>
  <c r="CJ229" i="1"/>
  <c r="CI229" i="1" a="1"/>
  <c r="CI229" i="1"/>
  <c r="CH229" i="1" a="1"/>
  <c r="CH229" i="1"/>
  <c r="CG229" i="1"/>
  <c r="CF229" i="1"/>
  <c r="CE229" i="1" a="1"/>
  <c r="CE229" i="1"/>
  <c r="CD229" i="1" a="1"/>
  <c r="CD229" i="1"/>
  <c r="CC229" i="1"/>
  <c r="CB229" i="1"/>
  <c r="CA229" i="1" a="1"/>
  <c r="CA229" i="1"/>
  <c r="BZ229" i="1" a="1"/>
  <c r="BZ229" i="1"/>
  <c r="BY229" i="1"/>
  <c r="BX229" i="1"/>
  <c r="BW229" i="1" a="1"/>
  <c r="BW229" i="1"/>
  <c r="BV229" i="1"/>
  <c r="BU229" i="1"/>
  <c r="BT229" i="1"/>
  <c r="BS229" i="1" a="1"/>
  <c r="BS229" i="1"/>
  <c r="BR229" i="1"/>
  <c r="BQ229" i="1"/>
  <c r="BP229" i="1"/>
  <c r="BO229" i="1" a="1"/>
  <c r="BO229" i="1"/>
  <c r="BN229" i="1"/>
  <c r="BM229" i="1"/>
  <c r="BL229" i="1"/>
  <c r="BK229" i="1"/>
  <c r="BJ229" i="1"/>
  <c r="U229" i="1"/>
  <c r="T229" i="1"/>
  <c r="S229" i="1"/>
  <c r="R229" i="1"/>
  <c r="Q229" i="1"/>
  <c r="F229" i="1"/>
  <c r="E229" i="1"/>
  <c r="D229" i="1"/>
  <c r="C229" i="1"/>
  <c r="CJ228" i="1"/>
  <c r="CI228" i="1" a="1"/>
  <c r="CI228" i="1"/>
  <c r="CH228" i="1" a="1"/>
  <c r="CH228" i="1"/>
  <c r="CG228" i="1"/>
  <c r="CF228" i="1"/>
  <c r="CE228" i="1" a="1"/>
  <c r="CE228" i="1"/>
  <c r="CD228" i="1" a="1"/>
  <c r="CD228" i="1"/>
  <c r="CC228" i="1"/>
  <c r="CB228" i="1"/>
  <c r="CA228" i="1" a="1"/>
  <c r="CA228" i="1"/>
  <c r="BZ228" i="1" a="1"/>
  <c r="BZ228" i="1"/>
  <c r="BY228" i="1"/>
  <c r="BX228" i="1"/>
  <c r="BW228" i="1" a="1"/>
  <c r="BW228" i="1"/>
  <c r="BV228" i="1"/>
  <c r="BU228" i="1"/>
  <c r="BT228" i="1"/>
  <c r="BS228" i="1" a="1"/>
  <c r="BS228" i="1"/>
  <c r="BR228" i="1"/>
  <c r="BQ228" i="1"/>
  <c r="BP228" i="1"/>
  <c r="BO228" i="1" a="1"/>
  <c r="BO228" i="1"/>
  <c r="BN228" i="1"/>
  <c r="BM228" i="1"/>
  <c r="BL228" i="1"/>
  <c r="BK228" i="1"/>
  <c r="BJ228" i="1"/>
  <c r="U228" i="1"/>
  <c r="T228" i="1"/>
  <c r="S228" i="1"/>
  <c r="R228" i="1"/>
  <c r="Q228" i="1"/>
  <c r="F228" i="1"/>
  <c r="E228" i="1"/>
  <c r="D228" i="1"/>
  <c r="C228" i="1"/>
  <c r="CJ227" i="1"/>
  <c r="CI227" i="1" a="1"/>
  <c r="CI227" i="1"/>
  <c r="CH227" i="1" a="1"/>
  <c r="CH227" i="1"/>
  <c r="CG227" i="1"/>
  <c r="CF227" i="1"/>
  <c r="CE227" i="1" a="1"/>
  <c r="CE227" i="1"/>
  <c r="CD227" i="1" a="1"/>
  <c r="CD227" i="1"/>
  <c r="CC227" i="1"/>
  <c r="CB227" i="1"/>
  <c r="CA227" i="1" a="1"/>
  <c r="CA227" i="1"/>
  <c r="BZ227" i="1" a="1"/>
  <c r="BZ227" i="1"/>
  <c r="BY227" i="1"/>
  <c r="BX227" i="1"/>
  <c r="BW227" i="1" a="1"/>
  <c r="BW227" i="1"/>
  <c r="BV227" i="1"/>
  <c r="BU227" i="1"/>
  <c r="BT227" i="1"/>
  <c r="BS227" i="1" a="1"/>
  <c r="BS227" i="1"/>
  <c r="BR227" i="1"/>
  <c r="BQ227" i="1"/>
  <c r="BP227" i="1"/>
  <c r="BO227" i="1" a="1"/>
  <c r="BO227" i="1"/>
  <c r="BN227" i="1"/>
  <c r="BM227" i="1"/>
  <c r="BL227" i="1"/>
  <c r="BK227" i="1"/>
  <c r="BJ227" i="1"/>
  <c r="U227" i="1"/>
  <c r="T227" i="1"/>
  <c r="S227" i="1"/>
  <c r="R227" i="1"/>
  <c r="Q227" i="1"/>
  <c r="F227" i="1"/>
  <c r="E227" i="1"/>
  <c r="D227" i="1"/>
  <c r="C227" i="1"/>
  <c r="CJ226" i="1"/>
  <c r="CI226" i="1" a="1"/>
  <c r="CI226" i="1"/>
  <c r="CH226" i="1" a="1"/>
  <c r="CH226" i="1"/>
  <c r="CG226" i="1"/>
  <c r="CF226" i="1"/>
  <c r="CE226" i="1" a="1"/>
  <c r="CE226" i="1"/>
  <c r="CD226" i="1" a="1"/>
  <c r="CD226" i="1"/>
  <c r="CC226" i="1"/>
  <c r="CB226" i="1"/>
  <c r="CA226" i="1" a="1"/>
  <c r="CA226" i="1"/>
  <c r="BZ226" i="1" a="1"/>
  <c r="BZ226" i="1"/>
  <c r="BY226" i="1"/>
  <c r="BX226" i="1"/>
  <c r="BW226" i="1" a="1"/>
  <c r="BW226" i="1"/>
  <c r="BV226" i="1"/>
  <c r="BU226" i="1"/>
  <c r="BT226" i="1"/>
  <c r="BS226" i="1" a="1"/>
  <c r="BS226" i="1"/>
  <c r="BR226" i="1"/>
  <c r="BQ226" i="1"/>
  <c r="BP226" i="1"/>
  <c r="BO226" i="1" a="1"/>
  <c r="BO226" i="1"/>
  <c r="BN226" i="1"/>
  <c r="BM226" i="1"/>
  <c r="BL226" i="1"/>
  <c r="BK226" i="1"/>
  <c r="BJ226" i="1"/>
  <c r="U226" i="1"/>
  <c r="T226" i="1"/>
  <c r="S226" i="1"/>
  <c r="R226" i="1"/>
  <c r="Q226" i="1"/>
  <c r="F226" i="1"/>
  <c r="E226" i="1"/>
  <c r="D226" i="1"/>
  <c r="C226" i="1"/>
  <c r="CJ225" i="1"/>
  <c r="CI225" i="1" a="1"/>
  <c r="CI225" i="1"/>
  <c r="CH225" i="1" a="1"/>
  <c r="CH225" i="1"/>
  <c r="CG225" i="1"/>
  <c r="CF225" i="1"/>
  <c r="CE225" i="1" a="1"/>
  <c r="CE225" i="1"/>
  <c r="CD225" i="1" a="1"/>
  <c r="CD225" i="1"/>
  <c r="CC225" i="1"/>
  <c r="CB225" i="1"/>
  <c r="CA225" i="1" a="1"/>
  <c r="CA225" i="1"/>
  <c r="BZ225" i="1" a="1"/>
  <c r="BZ225" i="1"/>
  <c r="BY225" i="1"/>
  <c r="BX225" i="1"/>
  <c r="BW225" i="1" a="1"/>
  <c r="BW225" i="1"/>
  <c r="BV225" i="1"/>
  <c r="BU225" i="1"/>
  <c r="BT225" i="1"/>
  <c r="BS225" i="1" a="1"/>
  <c r="BS225" i="1"/>
  <c r="BR225" i="1"/>
  <c r="BQ225" i="1"/>
  <c r="BP225" i="1"/>
  <c r="BO225" i="1" a="1"/>
  <c r="BO225" i="1"/>
  <c r="BN225" i="1"/>
  <c r="BM225" i="1"/>
  <c r="BL225" i="1"/>
  <c r="BK225" i="1"/>
  <c r="BJ225" i="1"/>
  <c r="U225" i="1"/>
  <c r="T225" i="1"/>
  <c r="S225" i="1"/>
  <c r="R225" i="1"/>
  <c r="Q225" i="1"/>
  <c r="F225" i="1"/>
  <c r="E225" i="1"/>
  <c r="D225" i="1"/>
  <c r="C225" i="1"/>
  <c r="CJ224" i="1"/>
  <c r="CI224" i="1" a="1"/>
  <c r="CI224" i="1"/>
  <c r="CH224" i="1" a="1"/>
  <c r="CH224" i="1"/>
  <c r="CG224" i="1"/>
  <c r="CF224" i="1"/>
  <c r="CE224" i="1" a="1"/>
  <c r="CE224" i="1"/>
  <c r="CD224" i="1" a="1"/>
  <c r="CD224" i="1"/>
  <c r="CC224" i="1"/>
  <c r="CB224" i="1"/>
  <c r="CA224" i="1" a="1"/>
  <c r="CA224" i="1"/>
  <c r="BZ224" i="1" a="1"/>
  <c r="BZ224" i="1"/>
  <c r="BY224" i="1"/>
  <c r="BX224" i="1"/>
  <c r="BW224" i="1" a="1"/>
  <c r="BW224" i="1"/>
  <c r="BV224" i="1"/>
  <c r="BU224" i="1"/>
  <c r="BT224" i="1"/>
  <c r="BS224" i="1" a="1"/>
  <c r="BS224" i="1"/>
  <c r="BR224" i="1"/>
  <c r="BQ224" i="1"/>
  <c r="BP224" i="1"/>
  <c r="BO224" i="1" a="1"/>
  <c r="BO224" i="1"/>
  <c r="BN224" i="1"/>
  <c r="BM224" i="1"/>
  <c r="BL224" i="1"/>
  <c r="BK224" i="1"/>
  <c r="BJ224" i="1"/>
  <c r="U224" i="1"/>
  <c r="T224" i="1"/>
  <c r="S224" i="1"/>
  <c r="R224" i="1"/>
  <c r="Q224" i="1"/>
  <c r="F224" i="1"/>
  <c r="E224" i="1"/>
  <c r="D224" i="1"/>
  <c r="C224" i="1"/>
  <c r="CJ223" i="1"/>
  <c r="CI223" i="1" a="1"/>
  <c r="CI223" i="1"/>
  <c r="CH223" i="1" a="1"/>
  <c r="CH223" i="1"/>
  <c r="CG223" i="1"/>
  <c r="CF223" i="1"/>
  <c r="CE223" i="1" a="1"/>
  <c r="CE223" i="1"/>
  <c r="CD223" i="1" a="1"/>
  <c r="CD223" i="1"/>
  <c r="CC223" i="1"/>
  <c r="CB223" i="1"/>
  <c r="CA223" i="1" a="1"/>
  <c r="CA223" i="1"/>
  <c r="BZ223" i="1" a="1"/>
  <c r="BZ223" i="1"/>
  <c r="BY223" i="1"/>
  <c r="BX223" i="1"/>
  <c r="BW223" i="1" a="1"/>
  <c r="BW223" i="1"/>
  <c r="BV223" i="1"/>
  <c r="BU223" i="1"/>
  <c r="BT223" i="1"/>
  <c r="BS223" i="1" a="1"/>
  <c r="BS223" i="1"/>
  <c r="BR223" i="1"/>
  <c r="BQ223" i="1"/>
  <c r="BP223" i="1"/>
  <c r="BO223" i="1" a="1"/>
  <c r="BO223" i="1"/>
  <c r="BN223" i="1"/>
  <c r="BM223" i="1"/>
  <c r="BL223" i="1"/>
  <c r="BK223" i="1"/>
  <c r="BJ223" i="1"/>
  <c r="U223" i="1"/>
  <c r="T223" i="1"/>
  <c r="S223" i="1"/>
  <c r="R223" i="1"/>
  <c r="Q223" i="1"/>
  <c r="F223" i="1"/>
  <c r="E223" i="1"/>
  <c r="D223" i="1"/>
  <c r="C223" i="1"/>
  <c r="CJ222" i="1"/>
  <c r="CI222" i="1" a="1"/>
  <c r="CI222" i="1"/>
  <c r="CH222" i="1" a="1"/>
  <c r="CH222" i="1"/>
  <c r="CG222" i="1"/>
  <c r="CF222" i="1"/>
  <c r="CE222" i="1" a="1"/>
  <c r="CE222" i="1"/>
  <c r="CD222" i="1" a="1"/>
  <c r="CD222" i="1"/>
  <c r="CC222" i="1"/>
  <c r="CB222" i="1"/>
  <c r="CA222" i="1" a="1"/>
  <c r="CA222" i="1"/>
  <c r="BZ222" i="1" a="1"/>
  <c r="BZ222" i="1"/>
  <c r="BY222" i="1"/>
  <c r="BX222" i="1"/>
  <c r="BW222" i="1" a="1"/>
  <c r="BW222" i="1"/>
  <c r="BV222" i="1"/>
  <c r="BU222" i="1"/>
  <c r="BT222" i="1"/>
  <c r="BS222" i="1" a="1"/>
  <c r="BS222" i="1"/>
  <c r="BR222" i="1"/>
  <c r="BQ222" i="1"/>
  <c r="BP222" i="1"/>
  <c r="BO222" i="1" a="1"/>
  <c r="BO222" i="1"/>
  <c r="BN222" i="1"/>
  <c r="BM222" i="1"/>
  <c r="BL222" i="1"/>
  <c r="BK222" i="1"/>
  <c r="BJ222" i="1"/>
  <c r="U222" i="1"/>
  <c r="T222" i="1"/>
  <c r="S222" i="1"/>
  <c r="R222" i="1"/>
  <c r="Q222" i="1"/>
  <c r="F222" i="1"/>
  <c r="E222" i="1"/>
  <c r="D222" i="1"/>
  <c r="C222" i="1"/>
  <c r="CJ221" i="1"/>
  <c r="CI221" i="1" a="1"/>
  <c r="CI221" i="1"/>
  <c r="CH221" i="1" a="1"/>
  <c r="CH221" i="1"/>
  <c r="CG221" i="1"/>
  <c r="CF221" i="1"/>
  <c r="CE221" i="1" a="1"/>
  <c r="CE221" i="1"/>
  <c r="CD221" i="1" a="1"/>
  <c r="CD221" i="1"/>
  <c r="CC221" i="1"/>
  <c r="CB221" i="1"/>
  <c r="CA221" i="1" a="1"/>
  <c r="CA221" i="1"/>
  <c r="BZ221" i="1" a="1"/>
  <c r="BZ221" i="1"/>
  <c r="BY221" i="1"/>
  <c r="BX221" i="1"/>
  <c r="BW221" i="1" a="1"/>
  <c r="BW221" i="1"/>
  <c r="BV221" i="1"/>
  <c r="BU221" i="1"/>
  <c r="BT221" i="1"/>
  <c r="BS221" i="1" a="1"/>
  <c r="BS221" i="1"/>
  <c r="BR221" i="1"/>
  <c r="BQ221" i="1"/>
  <c r="BP221" i="1"/>
  <c r="BO221" i="1" a="1"/>
  <c r="BO221" i="1"/>
  <c r="BN221" i="1"/>
  <c r="BM221" i="1"/>
  <c r="BL221" i="1"/>
  <c r="BK221" i="1"/>
  <c r="BJ221" i="1"/>
  <c r="U221" i="1"/>
  <c r="T221" i="1"/>
  <c r="S221" i="1"/>
  <c r="R221" i="1"/>
  <c r="Q221" i="1"/>
  <c r="F221" i="1"/>
  <c r="E221" i="1"/>
  <c r="D221" i="1"/>
  <c r="C221" i="1"/>
  <c r="CJ220" i="1"/>
  <c r="CI220" i="1" a="1"/>
  <c r="CI220" i="1"/>
  <c r="CH220" i="1" a="1"/>
  <c r="CH220" i="1"/>
  <c r="CG220" i="1"/>
  <c r="CF220" i="1"/>
  <c r="CE220" i="1" a="1"/>
  <c r="CE220" i="1"/>
  <c r="CD220" i="1" a="1"/>
  <c r="CD220" i="1"/>
  <c r="CC220" i="1"/>
  <c r="CB220" i="1"/>
  <c r="CA220" i="1" a="1"/>
  <c r="CA220" i="1"/>
  <c r="BZ220" i="1" a="1"/>
  <c r="BZ220" i="1"/>
  <c r="BY220" i="1"/>
  <c r="BX220" i="1"/>
  <c r="BW220" i="1" a="1"/>
  <c r="BW220" i="1"/>
  <c r="BV220" i="1"/>
  <c r="BU220" i="1"/>
  <c r="BT220" i="1"/>
  <c r="BS220" i="1" a="1"/>
  <c r="BS220" i="1"/>
  <c r="BR220" i="1"/>
  <c r="BQ220" i="1"/>
  <c r="BP220" i="1"/>
  <c r="BO220" i="1" a="1"/>
  <c r="BO220" i="1"/>
  <c r="BN220" i="1"/>
  <c r="BM220" i="1"/>
  <c r="BL220" i="1"/>
  <c r="BK220" i="1"/>
  <c r="BJ220" i="1"/>
  <c r="U220" i="1"/>
  <c r="T220" i="1"/>
  <c r="S220" i="1"/>
  <c r="R220" i="1"/>
  <c r="Q220" i="1"/>
  <c r="F220" i="1"/>
  <c r="E220" i="1"/>
  <c r="D220" i="1"/>
  <c r="C220" i="1"/>
  <c r="CJ219" i="1"/>
  <c r="CI219" i="1" a="1"/>
  <c r="CI219" i="1"/>
  <c r="CH219" i="1" a="1"/>
  <c r="CH219" i="1"/>
  <c r="CG219" i="1"/>
  <c r="CF219" i="1"/>
  <c r="CE219" i="1" a="1"/>
  <c r="CE219" i="1"/>
  <c r="CD219" i="1" a="1"/>
  <c r="CD219" i="1"/>
  <c r="CC219" i="1"/>
  <c r="CB219" i="1"/>
  <c r="CA219" i="1" a="1"/>
  <c r="CA219" i="1"/>
  <c r="BZ219" i="1" a="1"/>
  <c r="BZ219" i="1"/>
  <c r="BY219" i="1"/>
  <c r="BX219" i="1"/>
  <c r="BW219" i="1" a="1"/>
  <c r="BW219" i="1"/>
  <c r="BV219" i="1"/>
  <c r="BU219" i="1"/>
  <c r="BT219" i="1"/>
  <c r="BS219" i="1" a="1"/>
  <c r="BS219" i="1"/>
  <c r="BR219" i="1"/>
  <c r="BQ219" i="1"/>
  <c r="BP219" i="1"/>
  <c r="BO219" i="1" a="1"/>
  <c r="BO219" i="1"/>
  <c r="BN219" i="1"/>
  <c r="BM219" i="1"/>
  <c r="BL219" i="1"/>
  <c r="BK219" i="1"/>
  <c r="BJ219" i="1"/>
  <c r="U219" i="1"/>
  <c r="T219" i="1"/>
  <c r="S219" i="1"/>
  <c r="R219" i="1"/>
  <c r="Q219" i="1"/>
  <c r="F219" i="1"/>
  <c r="E219" i="1"/>
  <c r="D219" i="1"/>
  <c r="C219" i="1"/>
  <c r="CJ218" i="1"/>
  <c r="CI218" i="1" a="1"/>
  <c r="CI218" i="1"/>
  <c r="CH218" i="1" a="1"/>
  <c r="CH218" i="1"/>
  <c r="CG218" i="1"/>
  <c r="CF218" i="1"/>
  <c r="CE218" i="1" a="1"/>
  <c r="CE218" i="1"/>
  <c r="CD218" i="1" a="1"/>
  <c r="CD218" i="1"/>
  <c r="CC218" i="1"/>
  <c r="CB218" i="1"/>
  <c r="CA218" i="1" a="1"/>
  <c r="CA218" i="1"/>
  <c r="BZ218" i="1" a="1"/>
  <c r="BZ218" i="1"/>
  <c r="BY218" i="1"/>
  <c r="BX218" i="1"/>
  <c r="BW218" i="1" a="1"/>
  <c r="BW218" i="1"/>
  <c r="BV218" i="1"/>
  <c r="BU218" i="1"/>
  <c r="BT218" i="1"/>
  <c r="BS218" i="1" a="1"/>
  <c r="BS218" i="1"/>
  <c r="BR218" i="1"/>
  <c r="BQ218" i="1"/>
  <c r="BP218" i="1"/>
  <c r="BO218" i="1" a="1"/>
  <c r="BO218" i="1"/>
  <c r="BN218" i="1"/>
  <c r="BM218" i="1"/>
  <c r="BL218" i="1"/>
  <c r="BK218" i="1"/>
  <c r="BJ218" i="1"/>
  <c r="U218" i="1"/>
  <c r="T218" i="1"/>
  <c r="S218" i="1"/>
  <c r="R218" i="1"/>
  <c r="Q218" i="1"/>
  <c r="F218" i="1"/>
  <c r="E218" i="1"/>
  <c r="D218" i="1"/>
  <c r="C218" i="1"/>
  <c r="CJ217" i="1"/>
  <c r="CI217" i="1" a="1"/>
  <c r="CI217" i="1"/>
  <c r="CH217" i="1" a="1"/>
  <c r="CH217" i="1"/>
  <c r="CG217" i="1"/>
  <c r="CF217" i="1"/>
  <c r="CE217" i="1" a="1"/>
  <c r="CE217" i="1"/>
  <c r="CD217" i="1" a="1"/>
  <c r="CD217" i="1"/>
  <c r="CC217" i="1"/>
  <c r="CB217" i="1"/>
  <c r="CA217" i="1" a="1"/>
  <c r="CA217" i="1"/>
  <c r="BZ217" i="1" a="1"/>
  <c r="BZ217" i="1"/>
  <c r="BY217" i="1"/>
  <c r="BX217" i="1"/>
  <c r="BW217" i="1" a="1"/>
  <c r="BW217" i="1"/>
  <c r="BV217" i="1"/>
  <c r="BU217" i="1"/>
  <c r="BT217" i="1"/>
  <c r="BS217" i="1" a="1"/>
  <c r="BS217" i="1"/>
  <c r="BR217" i="1"/>
  <c r="BQ217" i="1"/>
  <c r="BP217" i="1"/>
  <c r="BO217" i="1" a="1"/>
  <c r="BO217" i="1"/>
  <c r="BN217" i="1"/>
  <c r="BM217" i="1"/>
  <c r="BL217" i="1"/>
  <c r="BK217" i="1"/>
  <c r="BJ217" i="1"/>
  <c r="U217" i="1"/>
  <c r="T217" i="1"/>
  <c r="S217" i="1"/>
  <c r="R217" i="1"/>
  <c r="Q217" i="1"/>
  <c r="F217" i="1"/>
  <c r="E217" i="1"/>
  <c r="D217" i="1"/>
  <c r="C217" i="1"/>
  <c r="CJ216" i="1"/>
  <c r="CI216" i="1" a="1"/>
  <c r="CI216" i="1"/>
  <c r="CH216" i="1" a="1"/>
  <c r="CH216" i="1"/>
  <c r="CG216" i="1"/>
  <c r="CF216" i="1"/>
  <c r="CE216" i="1" a="1"/>
  <c r="CE216" i="1"/>
  <c r="CD216" i="1" a="1"/>
  <c r="CD216" i="1"/>
  <c r="CC216" i="1"/>
  <c r="CB216" i="1"/>
  <c r="CA216" i="1" a="1"/>
  <c r="CA216" i="1"/>
  <c r="BZ216" i="1" a="1"/>
  <c r="BZ216" i="1"/>
  <c r="BY216" i="1"/>
  <c r="BX216" i="1"/>
  <c r="BW216" i="1" a="1"/>
  <c r="BW216" i="1"/>
  <c r="BV216" i="1"/>
  <c r="BU216" i="1"/>
  <c r="BT216" i="1"/>
  <c r="BS216" i="1" a="1"/>
  <c r="BS216" i="1"/>
  <c r="BR216" i="1"/>
  <c r="BQ216" i="1"/>
  <c r="BP216" i="1"/>
  <c r="BO216" i="1" a="1"/>
  <c r="BO216" i="1"/>
  <c r="BN216" i="1"/>
  <c r="BM216" i="1"/>
  <c r="BL216" i="1"/>
  <c r="BK216" i="1"/>
  <c r="BJ216" i="1"/>
  <c r="U216" i="1"/>
  <c r="T216" i="1"/>
  <c r="S216" i="1"/>
  <c r="R216" i="1"/>
  <c r="Q216" i="1"/>
  <c r="F216" i="1"/>
  <c r="E216" i="1"/>
  <c r="D216" i="1"/>
  <c r="C216" i="1"/>
  <c r="CJ215" i="1"/>
  <c r="CI215" i="1" a="1"/>
  <c r="CI215" i="1"/>
  <c r="CH215" i="1" a="1"/>
  <c r="CH215" i="1"/>
  <c r="CG215" i="1"/>
  <c r="CF215" i="1"/>
  <c r="CE215" i="1" a="1"/>
  <c r="CE215" i="1"/>
  <c r="CD215" i="1" a="1"/>
  <c r="CD215" i="1"/>
  <c r="CC215" i="1"/>
  <c r="CB215" i="1"/>
  <c r="CA215" i="1" a="1"/>
  <c r="CA215" i="1"/>
  <c r="BZ215" i="1" a="1"/>
  <c r="BZ215" i="1"/>
  <c r="BY215" i="1"/>
  <c r="BX215" i="1"/>
  <c r="BW215" i="1" a="1"/>
  <c r="BW215" i="1"/>
  <c r="BV215" i="1"/>
  <c r="BU215" i="1"/>
  <c r="BT215" i="1"/>
  <c r="BS215" i="1" a="1"/>
  <c r="BS215" i="1"/>
  <c r="BR215" i="1"/>
  <c r="BQ215" i="1"/>
  <c r="BP215" i="1"/>
  <c r="BO215" i="1" a="1"/>
  <c r="BO215" i="1"/>
  <c r="BN215" i="1"/>
  <c r="BM215" i="1"/>
  <c r="BL215" i="1"/>
  <c r="BK215" i="1"/>
  <c r="BJ215" i="1"/>
  <c r="U215" i="1"/>
  <c r="T215" i="1"/>
  <c r="S215" i="1"/>
  <c r="R215" i="1"/>
  <c r="Q215" i="1"/>
  <c r="F215" i="1"/>
  <c r="E215" i="1"/>
  <c r="D215" i="1"/>
  <c r="C215" i="1"/>
  <c r="CJ214" i="1"/>
  <c r="CI214" i="1" a="1"/>
  <c r="CI214" i="1"/>
  <c r="CH214" i="1" a="1"/>
  <c r="CH214" i="1"/>
  <c r="CG214" i="1"/>
  <c r="CF214" i="1"/>
  <c r="CE214" i="1" a="1"/>
  <c r="CE214" i="1"/>
  <c r="CD214" i="1" a="1"/>
  <c r="CD214" i="1"/>
  <c r="CC214" i="1"/>
  <c r="CB214" i="1"/>
  <c r="CA214" i="1" a="1"/>
  <c r="CA214" i="1"/>
  <c r="BZ214" i="1" a="1"/>
  <c r="BZ214" i="1"/>
  <c r="BY214" i="1"/>
  <c r="BX214" i="1"/>
  <c r="BW214" i="1" a="1"/>
  <c r="BW214" i="1"/>
  <c r="BV214" i="1"/>
  <c r="BU214" i="1"/>
  <c r="BT214" i="1"/>
  <c r="BS214" i="1" a="1"/>
  <c r="BS214" i="1"/>
  <c r="BR214" i="1"/>
  <c r="BQ214" i="1"/>
  <c r="BP214" i="1"/>
  <c r="BO214" i="1" a="1"/>
  <c r="BO214" i="1"/>
  <c r="BN214" i="1"/>
  <c r="BM214" i="1"/>
  <c r="BL214" i="1"/>
  <c r="BK214" i="1"/>
  <c r="BJ214" i="1"/>
  <c r="U214" i="1"/>
  <c r="T214" i="1"/>
  <c r="S214" i="1"/>
  <c r="R214" i="1"/>
  <c r="Q214" i="1"/>
  <c r="F214" i="1"/>
  <c r="E214" i="1"/>
  <c r="D214" i="1"/>
  <c r="C214" i="1"/>
  <c r="CJ213" i="1"/>
  <c r="CI213" i="1" a="1"/>
  <c r="CI213" i="1"/>
  <c r="CH213" i="1" a="1"/>
  <c r="CH213" i="1"/>
  <c r="CG213" i="1"/>
  <c r="CF213" i="1"/>
  <c r="CE213" i="1" a="1"/>
  <c r="CE213" i="1"/>
  <c r="CD213" i="1" a="1"/>
  <c r="CD213" i="1"/>
  <c r="CC213" i="1"/>
  <c r="CB213" i="1"/>
  <c r="CA213" i="1" a="1"/>
  <c r="CA213" i="1"/>
  <c r="BZ213" i="1" a="1"/>
  <c r="BZ213" i="1"/>
  <c r="BY213" i="1"/>
  <c r="BX213" i="1"/>
  <c r="BW213" i="1" a="1"/>
  <c r="BW213" i="1"/>
  <c r="BV213" i="1"/>
  <c r="BU213" i="1"/>
  <c r="BT213" i="1"/>
  <c r="BS213" i="1" a="1"/>
  <c r="BS213" i="1"/>
  <c r="BR213" i="1"/>
  <c r="BQ213" i="1"/>
  <c r="BP213" i="1"/>
  <c r="BO213" i="1" a="1"/>
  <c r="BO213" i="1"/>
  <c r="BN213" i="1"/>
  <c r="BM213" i="1"/>
  <c r="BL213" i="1"/>
  <c r="BK213" i="1"/>
  <c r="BJ213" i="1"/>
  <c r="U213" i="1"/>
  <c r="T213" i="1"/>
  <c r="S213" i="1"/>
  <c r="R213" i="1"/>
  <c r="Q213" i="1"/>
  <c r="F213" i="1"/>
  <c r="E213" i="1"/>
  <c r="D213" i="1"/>
  <c r="C213" i="1"/>
  <c r="CJ212" i="1"/>
  <c r="CI212" i="1" a="1"/>
  <c r="CI212" i="1"/>
  <c r="CH212" i="1" a="1"/>
  <c r="CH212" i="1"/>
  <c r="CG212" i="1"/>
  <c r="CF212" i="1"/>
  <c r="CE212" i="1" a="1"/>
  <c r="CE212" i="1"/>
  <c r="CD212" i="1" a="1"/>
  <c r="CD212" i="1"/>
  <c r="CC212" i="1"/>
  <c r="CB212" i="1"/>
  <c r="CA212" i="1" a="1"/>
  <c r="CA212" i="1"/>
  <c r="BZ212" i="1" a="1"/>
  <c r="BZ212" i="1"/>
  <c r="BY212" i="1"/>
  <c r="BX212" i="1"/>
  <c r="BW212" i="1" a="1"/>
  <c r="BW212" i="1"/>
  <c r="BV212" i="1"/>
  <c r="BU212" i="1"/>
  <c r="BT212" i="1"/>
  <c r="BS212" i="1" a="1"/>
  <c r="BS212" i="1"/>
  <c r="BR212" i="1"/>
  <c r="BQ212" i="1"/>
  <c r="BP212" i="1"/>
  <c r="BO212" i="1" a="1"/>
  <c r="BO212" i="1"/>
  <c r="BN212" i="1"/>
  <c r="BM212" i="1"/>
  <c r="BL212" i="1"/>
  <c r="BK212" i="1"/>
  <c r="BJ212" i="1"/>
  <c r="U212" i="1"/>
  <c r="T212" i="1"/>
  <c r="S212" i="1"/>
  <c r="R212" i="1"/>
  <c r="Q212" i="1"/>
  <c r="F212" i="1"/>
  <c r="E212" i="1"/>
  <c r="D212" i="1"/>
  <c r="C212" i="1"/>
  <c r="CJ211" i="1"/>
  <c r="CI211" i="1" a="1"/>
  <c r="CI211" i="1"/>
  <c r="CH211" i="1" a="1"/>
  <c r="CH211" i="1"/>
  <c r="CG211" i="1"/>
  <c r="CF211" i="1"/>
  <c r="CE211" i="1" a="1"/>
  <c r="CE211" i="1"/>
  <c r="CD211" i="1" a="1"/>
  <c r="CD211" i="1"/>
  <c r="CC211" i="1"/>
  <c r="CB211" i="1"/>
  <c r="CA211" i="1" a="1"/>
  <c r="CA211" i="1"/>
  <c r="BZ211" i="1" a="1"/>
  <c r="BZ211" i="1"/>
  <c r="BY211" i="1"/>
  <c r="BX211" i="1"/>
  <c r="BW211" i="1" a="1"/>
  <c r="BW211" i="1"/>
  <c r="BV211" i="1"/>
  <c r="BU211" i="1"/>
  <c r="BT211" i="1"/>
  <c r="BS211" i="1" a="1"/>
  <c r="BS211" i="1"/>
  <c r="BR211" i="1"/>
  <c r="BQ211" i="1"/>
  <c r="BP211" i="1"/>
  <c r="BO211" i="1" a="1"/>
  <c r="BO211" i="1"/>
  <c r="BN211" i="1"/>
  <c r="BM211" i="1"/>
  <c r="BL211" i="1"/>
  <c r="BK211" i="1"/>
  <c r="BJ211" i="1"/>
  <c r="U211" i="1"/>
  <c r="T211" i="1"/>
  <c r="S211" i="1"/>
  <c r="R211" i="1"/>
  <c r="Q211" i="1"/>
  <c r="F211" i="1"/>
  <c r="E211" i="1"/>
  <c r="D211" i="1"/>
  <c r="C211" i="1"/>
  <c r="CJ210" i="1"/>
  <c r="CI210" i="1" a="1"/>
  <c r="CI210" i="1"/>
  <c r="CH210" i="1" a="1"/>
  <c r="CH210" i="1"/>
  <c r="CG210" i="1"/>
  <c r="CF210" i="1"/>
  <c r="CE210" i="1" a="1"/>
  <c r="CE210" i="1"/>
  <c r="CD210" i="1" a="1"/>
  <c r="CD210" i="1"/>
  <c r="CC210" i="1"/>
  <c r="CB210" i="1"/>
  <c r="CA210" i="1" a="1"/>
  <c r="CA210" i="1"/>
  <c r="BZ210" i="1" a="1"/>
  <c r="BZ210" i="1"/>
  <c r="BY210" i="1"/>
  <c r="BX210" i="1"/>
  <c r="BW210" i="1" a="1"/>
  <c r="BW210" i="1"/>
  <c r="BV210" i="1"/>
  <c r="BU210" i="1"/>
  <c r="BT210" i="1"/>
  <c r="BS210" i="1" a="1"/>
  <c r="BS210" i="1"/>
  <c r="BR210" i="1"/>
  <c r="BQ210" i="1"/>
  <c r="BP210" i="1"/>
  <c r="BO210" i="1" a="1"/>
  <c r="BO210" i="1"/>
  <c r="BN210" i="1"/>
  <c r="BM210" i="1"/>
  <c r="BL210" i="1"/>
  <c r="BK210" i="1"/>
  <c r="BJ210" i="1"/>
  <c r="U210" i="1"/>
  <c r="T210" i="1"/>
  <c r="S210" i="1"/>
  <c r="R210" i="1"/>
  <c r="Q210" i="1"/>
  <c r="F210" i="1"/>
  <c r="E210" i="1"/>
  <c r="D210" i="1"/>
  <c r="C210" i="1"/>
  <c r="CJ209" i="1"/>
  <c r="CI209" i="1" a="1"/>
  <c r="CI209" i="1"/>
  <c r="CH209" i="1" a="1"/>
  <c r="CH209" i="1"/>
  <c r="CG209" i="1"/>
  <c r="CF209" i="1"/>
  <c r="CE209" i="1" a="1"/>
  <c r="CE209" i="1"/>
  <c r="CD209" i="1" a="1"/>
  <c r="CD209" i="1"/>
  <c r="CC209" i="1"/>
  <c r="CB209" i="1"/>
  <c r="CA209" i="1" a="1"/>
  <c r="CA209" i="1"/>
  <c r="BZ209" i="1" a="1"/>
  <c r="BZ209" i="1"/>
  <c r="BY209" i="1"/>
  <c r="BX209" i="1"/>
  <c r="BW209" i="1" a="1"/>
  <c r="BW209" i="1"/>
  <c r="BV209" i="1"/>
  <c r="BU209" i="1"/>
  <c r="BT209" i="1"/>
  <c r="BS209" i="1" a="1"/>
  <c r="BS209" i="1"/>
  <c r="BR209" i="1"/>
  <c r="BQ209" i="1"/>
  <c r="BP209" i="1"/>
  <c r="BO209" i="1" a="1"/>
  <c r="BO209" i="1"/>
  <c r="BN209" i="1"/>
  <c r="BM209" i="1"/>
  <c r="BL209" i="1"/>
  <c r="BK209" i="1"/>
  <c r="BJ209" i="1"/>
  <c r="U209" i="1"/>
  <c r="T209" i="1"/>
  <c r="S209" i="1"/>
  <c r="R209" i="1"/>
  <c r="Q209" i="1"/>
  <c r="F209" i="1"/>
  <c r="E209" i="1"/>
  <c r="D209" i="1"/>
  <c r="C209" i="1"/>
  <c r="CJ208" i="1"/>
  <c r="CI208" i="1" a="1"/>
  <c r="CI208" i="1"/>
  <c r="CH208" i="1" a="1"/>
  <c r="CH208" i="1"/>
  <c r="CG208" i="1"/>
  <c r="CF208" i="1"/>
  <c r="CE208" i="1" a="1"/>
  <c r="CE208" i="1"/>
  <c r="CD208" i="1" a="1"/>
  <c r="CD208" i="1"/>
  <c r="CC208" i="1"/>
  <c r="CB208" i="1"/>
  <c r="CA208" i="1" a="1"/>
  <c r="CA208" i="1"/>
  <c r="BZ208" i="1" a="1"/>
  <c r="BZ208" i="1"/>
  <c r="BY208" i="1"/>
  <c r="BX208" i="1"/>
  <c r="BW208" i="1" a="1"/>
  <c r="BW208" i="1"/>
  <c r="BV208" i="1"/>
  <c r="BU208" i="1"/>
  <c r="BT208" i="1"/>
  <c r="BS208" i="1" a="1"/>
  <c r="BS208" i="1"/>
  <c r="BR208" i="1"/>
  <c r="BQ208" i="1"/>
  <c r="BP208" i="1"/>
  <c r="BO208" i="1" a="1"/>
  <c r="BO208" i="1"/>
  <c r="BN208" i="1"/>
  <c r="BM208" i="1"/>
  <c r="BL208" i="1"/>
  <c r="BK208" i="1"/>
  <c r="BJ208" i="1"/>
  <c r="U208" i="1"/>
  <c r="T208" i="1"/>
  <c r="S208" i="1"/>
  <c r="R208" i="1"/>
  <c r="Q208" i="1"/>
  <c r="F208" i="1"/>
  <c r="E208" i="1"/>
  <c r="D208" i="1"/>
  <c r="C208" i="1"/>
  <c r="CJ207" i="1"/>
  <c r="CI207" i="1" a="1"/>
  <c r="CI207" i="1"/>
  <c r="CH207" i="1" a="1"/>
  <c r="CH207" i="1"/>
  <c r="CG207" i="1"/>
  <c r="CF207" i="1"/>
  <c r="CE207" i="1" a="1"/>
  <c r="CE207" i="1"/>
  <c r="CD207" i="1" a="1"/>
  <c r="CD207" i="1"/>
  <c r="CC207" i="1"/>
  <c r="CB207" i="1"/>
  <c r="CA207" i="1" a="1"/>
  <c r="CA207" i="1"/>
  <c r="BZ207" i="1" a="1"/>
  <c r="BZ207" i="1"/>
  <c r="BY207" i="1"/>
  <c r="BX207" i="1"/>
  <c r="BW207" i="1" a="1"/>
  <c r="BW207" i="1"/>
  <c r="BV207" i="1"/>
  <c r="BU207" i="1"/>
  <c r="BT207" i="1"/>
  <c r="BS207" i="1" a="1"/>
  <c r="BS207" i="1"/>
  <c r="BR207" i="1"/>
  <c r="BQ207" i="1"/>
  <c r="BP207" i="1"/>
  <c r="BO207" i="1" a="1"/>
  <c r="BO207" i="1"/>
  <c r="BN207" i="1"/>
  <c r="BM207" i="1"/>
  <c r="BL207" i="1"/>
  <c r="BK207" i="1"/>
  <c r="BJ207" i="1"/>
  <c r="U207" i="1"/>
  <c r="T207" i="1"/>
  <c r="S207" i="1"/>
  <c r="R207" i="1"/>
  <c r="Q207" i="1"/>
  <c r="F207" i="1"/>
  <c r="E207" i="1"/>
  <c r="D207" i="1"/>
  <c r="C207" i="1"/>
  <c r="CJ206" i="1"/>
  <c r="CI206" i="1" a="1"/>
  <c r="CI206" i="1"/>
  <c r="CH206" i="1" a="1"/>
  <c r="CH206" i="1"/>
  <c r="CG206" i="1"/>
  <c r="CF206" i="1"/>
  <c r="CE206" i="1" a="1"/>
  <c r="CE206" i="1"/>
  <c r="CD206" i="1" a="1"/>
  <c r="CD206" i="1"/>
  <c r="CC206" i="1"/>
  <c r="CB206" i="1"/>
  <c r="CA206" i="1" a="1"/>
  <c r="CA206" i="1"/>
  <c r="BZ206" i="1" a="1"/>
  <c r="BZ206" i="1"/>
  <c r="BY206" i="1"/>
  <c r="BX206" i="1"/>
  <c r="BW206" i="1" a="1"/>
  <c r="BW206" i="1"/>
  <c r="BV206" i="1"/>
  <c r="BU206" i="1"/>
  <c r="BT206" i="1"/>
  <c r="BS206" i="1" a="1"/>
  <c r="BS206" i="1"/>
  <c r="BR206" i="1"/>
  <c r="BQ206" i="1"/>
  <c r="BP206" i="1"/>
  <c r="BO206" i="1" a="1"/>
  <c r="BO206" i="1"/>
  <c r="BN206" i="1"/>
  <c r="BM206" i="1"/>
  <c r="BL206" i="1"/>
  <c r="BK206" i="1"/>
  <c r="BJ206" i="1"/>
  <c r="U206" i="1"/>
  <c r="T206" i="1"/>
  <c r="S206" i="1"/>
  <c r="R206" i="1"/>
  <c r="Q206" i="1"/>
  <c r="F206" i="1"/>
  <c r="E206" i="1"/>
  <c r="D206" i="1"/>
  <c r="C206" i="1"/>
  <c r="CJ205" i="1"/>
  <c r="CI205" i="1" a="1"/>
  <c r="CI205" i="1"/>
  <c r="CH205" i="1" a="1"/>
  <c r="CH205" i="1"/>
  <c r="CG205" i="1"/>
  <c r="CF205" i="1"/>
  <c r="CE205" i="1" a="1"/>
  <c r="CE205" i="1"/>
  <c r="CD205" i="1" a="1"/>
  <c r="CD205" i="1"/>
  <c r="CC205" i="1"/>
  <c r="CB205" i="1"/>
  <c r="CA205" i="1" a="1"/>
  <c r="CA205" i="1"/>
  <c r="BZ205" i="1" a="1"/>
  <c r="BZ205" i="1"/>
  <c r="BY205" i="1"/>
  <c r="BX205" i="1"/>
  <c r="BW205" i="1" a="1"/>
  <c r="BW205" i="1"/>
  <c r="BV205" i="1"/>
  <c r="BU205" i="1"/>
  <c r="BT205" i="1"/>
  <c r="BS205" i="1" a="1"/>
  <c r="BS205" i="1"/>
  <c r="BR205" i="1"/>
  <c r="BQ205" i="1"/>
  <c r="BP205" i="1"/>
  <c r="BO205" i="1" a="1"/>
  <c r="BO205" i="1"/>
  <c r="BN205" i="1"/>
  <c r="BM205" i="1"/>
  <c r="BL205" i="1"/>
  <c r="BK205" i="1"/>
  <c r="BJ205" i="1"/>
  <c r="U205" i="1"/>
  <c r="T205" i="1"/>
  <c r="S205" i="1"/>
  <c r="R205" i="1"/>
  <c r="Q205" i="1"/>
  <c r="F205" i="1"/>
  <c r="E205" i="1"/>
  <c r="D205" i="1"/>
  <c r="C205" i="1"/>
  <c r="CJ204" i="1"/>
  <c r="CI204" i="1" a="1"/>
  <c r="CI204" i="1"/>
  <c r="CH204" i="1" a="1"/>
  <c r="CH204" i="1"/>
  <c r="CG204" i="1"/>
  <c r="CF204" i="1"/>
  <c r="CE204" i="1" a="1"/>
  <c r="CE204" i="1"/>
  <c r="CD204" i="1" a="1"/>
  <c r="CD204" i="1"/>
  <c r="CC204" i="1"/>
  <c r="CB204" i="1"/>
  <c r="CA204" i="1" a="1"/>
  <c r="CA204" i="1"/>
  <c r="BZ204" i="1" a="1"/>
  <c r="BZ204" i="1"/>
  <c r="BY204" i="1"/>
  <c r="BX204" i="1"/>
  <c r="BW204" i="1" a="1"/>
  <c r="BW204" i="1"/>
  <c r="BV204" i="1"/>
  <c r="BU204" i="1"/>
  <c r="BT204" i="1"/>
  <c r="BS204" i="1" a="1"/>
  <c r="BS204" i="1"/>
  <c r="BR204" i="1"/>
  <c r="BQ204" i="1"/>
  <c r="BP204" i="1"/>
  <c r="BO204" i="1" a="1"/>
  <c r="BO204" i="1"/>
  <c r="BN204" i="1"/>
  <c r="BM204" i="1"/>
  <c r="BL204" i="1"/>
  <c r="BK204" i="1"/>
  <c r="BJ204" i="1"/>
  <c r="U204" i="1"/>
  <c r="T204" i="1"/>
  <c r="S204" i="1"/>
  <c r="R204" i="1"/>
  <c r="Q204" i="1"/>
  <c r="F204" i="1"/>
  <c r="E204" i="1"/>
  <c r="D204" i="1"/>
  <c r="C204" i="1"/>
  <c r="CJ203" i="1"/>
  <c r="CI203" i="1" a="1"/>
  <c r="CI203" i="1"/>
  <c r="CH203" i="1" a="1"/>
  <c r="CH203" i="1"/>
  <c r="CG203" i="1"/>
  <c r="CF203" i="1"/>
  <c r="CE203" i="1" a="1"/>
  <c r="CE203" i="1"/>
  <c r="CD203" i="1" a="1"/>
  <c r="CD203" i="1"/>
  <c r="CC203" i="1"/>
  <c r="CB203" i="1"/>
  <c r="CA203" i="1" a="1"/>
  <c r="CA203" i="1"/>
  <c r="BZ203" i="1" a="1"/>
  <c r="BZ203" i="1"/>
  <c r="BY203" i="1"/>
  <c r="BX203" i="1"/>
  <c r="BW203" i="1" a="1"/>
  <c r="BW203" i="1"/>
  <c r="BV203" i="1"/>
  <c r="BU203" i="1"/>
  <c r="BT203" i="1"/>
  <c r="BS203" i="1" a="1"/>
  <c r="BS203" i="1"/>
  <c r="BR203" i="1"/>
  <c r="BQ203" i="1"/>
  <c r="BP203" i="1"/>
  <c r="BO203" i="1" a="1"/>
  <c r="BO203" i="1"/>
  <c r="BN203" i="1"/>
  <c r="BM203" i="1"/>
  <c r="BL203" i="1"/>
  <c r="BK203" i="1"/>
  <c r="BJ203" i="1"/>
  <c r="U203" i="1"/>
  <c r="T203" i="1"/>
  <c r="S203" i="1"/>
  <c r="R203" i="1"/>
  <c r="Q203" i="1"/>
  <c r="F203" i="1"/>
  <c r="E203" i="1"/>
  <c r="D203" i="1"/>
  <c r="C203" i="1"/>
  <c r="CJ202" i="1"/>
  <c r="CI202" i="1" a="1"/>
  <c r="CI202" i="1"/>
  <c r="CH202" i="1" a="1"/>
  <c r="CH202" i="1"/>
  <c r="CG202" i="1"/>
  <c r="CF202" i="1"/>
  <c r="CE202" i="1" a="1"/>
  <c r="CE202" i="1"/>
  <c r="CD202" i="1" a="1"/>
  <c r="CD202" i="1"/>
  <c r="CC202" i="1"/>
  <c r="CB202" i="1"/>
  <c r="CA202" i="1" a="1"/>
  <c r="CA202" i="1"/>
  <c r="BZ202" i="1" a="1"/>
  <c r="BZ202" i="1"/>
  <c r="BY202" i="1"/>
  <c r="BX202" i="1"/>
  <c r="BW202" i="1" a="1"/>
  <c r="BW202" i="1"/>
  <c r="BV202" i="1"/>
  <c r="BU202" i="1"/>
  <c r="BT202" i="1"/>
  <c r="BS202" i="1" a="1"/>
  <c r="BS202" i="1"/>
  <c r="BR202" i="1"/>
  <c r="BQ202" i="1"/>
  <c r="BP202" i="1"/>
  <c r="BO202" i="1" a="1"/>
  <c r="BO202" i="1"/>
  <c r="BN202" i="1"/>
  <c r="BM202" i="1"/>
  <c r="BL202" i="1"/>
  <c r="BK202" i="1"/>
  <c r="BJ202" i="1"/>
  <c r="U202" i="1"/>
  <c r="T202" i="1"/>
  <c r="S202" i="1"/>
  <c r="R202" i="1"/>
  <c r="Q202" i="1"/>
  <c r="F202" i="1"/>
  <c r="E202" i="1"/>
  <c r="D202" i="1"/>
  <c r="C202" i="1"/>
  <c r="CJ201" i="1"/>
  <c r="CI201" i="1" a="1"/>
  <c r="CI201" i="1"/>
  <c r="CH201" i="1" a="1"/>
  <c r="CH201" i="1"/>
  <c r="CG201" i="1"/>
  <c r="CF201" i="1"/>
  <c r="CE201" i="1" a="1"/>
  <c r="CE201" i="1"/>
  <c r="CD201" i="1" a="1"/>
  <c r="CD201" i="1"/>
  <c r="CC201" i="1"/>
  <c r="CB201" i="1"/>
  <c r="CA201" i="1" a="1"/>
  <c r="CA201" i="1"/>
  <c r="BZ201" i="1" a="1"/>
  <c r="BZ201" i="1"/>
  <c r="BY201" i="1"/>
  <c r="BX201" i="1"/>
  <c r="BW201" i="1" a="1"/>
  <c r="BW201" i="1"/>
  <c r="BV201" i="1"/>
  <c r="BU201" i="1"/>
  <c r="BT201" i="1"/>
  <c r="BS201" i="1" a="1"/>
  <c r="BS201" i="1"/>
  <c r="BR201" i="1"/>
  <c r="BQ201" i="1"/>
  <c r="BP201" i="1"/>
  <c r="BO201" i="1" a="1"/>
  <c r="BO201" i="1"/>
  <c r="BN201" i="1"/>
  <c r="BM201" i="1"/>
  <c r="BL201" i="1"/>
  <c r="BK201" i="1"/>
  <c r="BJ201" i="1"/>
  <c r="U201" i="1"/>
  <c r="T201" i="1"/>
  <c r="S201" i="1"/>
  <c r="R201" i="1"/>
  <c r="Q201" i="1"/>
  <c r="F201" i="1"/>
  <c r="E201" i="1"/>
  <c r="D201" i="1"/>
  <c r="C201" i="1"/>
  <c r="CJ200" i="1"/>
  <c r="CI200" i="1" a="1"/>
  <c r="CI200" i="1"/>
  <c r="CH200" i="1" a="1"/>
  <c r="CH200" i="1"/>
  <c r="CG200" i="1"/>
  <c r="CF200" i="1"/>
  <c r="CE200" i="1" a="1"/>
  <c r="CE200" i="1"/>
  <c r="CD200" i="1" a="1"/>
  <c r="CD200" i="1"/>
  <c r="CC200" i="1"/>
  <c r="CB200" i="1"/>
  <c r="CA200" i="1" a="1"/>
  <c r="CA200" i="1"/>
  <c r="BZ200" i="1" a="1"/>
  <c r="BZ200" i="1"/>
  <c r="BY200" i="1"/>
  <c r="BX200" i="1"/>
  <c r="BW200" i="1" a="1"/>
  <c r="BW200" i="1"/>
  <c r="BV200" i="1"/>
  <c r="BU200" i="1"/>
  <c r="BT200" i="1"/>
  <c r="BS200" i="1" a="1"/>
  <c r="BS200" i="1"/>
  <c r="BR200" i="1"/>
  <c r="BQ200" i="1"/>
  <c r="BP200" i="1"/>
  <c r="BO200" i="1" a="1"/>
  <c r="BO200" i="1"/>
  <c r="BN200" i="1"/>
  <c r="BM200" i="1"/>
  <c r="BL200" i="1"/>
  <c r="BK200" i="1"/>
  <c r="BJ200" i="1"/>
  <c r="U200" i="1"/>
  <c r="T200" i="1"/>
  <c r="S200" i="1"/>
  <c r="R200" i="1"/>
  <c r="Q200" i="1"/>
  <c r="F200" i="1"/>
  <c r="E200" i="1"/>
  <c r="D200" i="1"/>
  <c r="C200" i="1"/>
  <c r="CJ199" i="1"/>
  <c r="CI199" i="1" a="1"/>
  <c r="CI199" i="1"/>
  <c r="CH199" i="1" a="1"/>
  <c r="CH199" i="1"/>
  <c r="CG199" i="1"/>
  <c r="CF199" i="1"/>
  <c r="CE199" i="1" a="1"/>
  <c r="CE199" i="1"/>
  <c r="CD199" i="1" a="1"/>
  <c r="CD199" i="1"/>
  <c r="CC199" i="1"/>
  <c r="CB199" i="1"/>
  <c r="CA199" i="1" a="1"/>
  <c r="CA199" i="1"/>
  <c r="BZ199" i="1" a="1"/>
  <c r="BZ199" i="1"/>
  <c r="BY199" i="1"/>
  <c r="BX199" i="1"/>
  <c r="BW199" i="1" a="1"/>
  <c r="BW199" i="1"/>
  <c r="BV199" i="1"/>
  <c r="BU199" i="1"/>
  <c r="BT199" i="1"/>
  <c r="BS199" i="1" a="1"/>
  <c r="BS199" i="1"/>
  <c r="BR199" i="1"/>
  <c r="BQ199" i="1"/>
  <c r="BP199" i="1"/>
  <c r="BO199" i="1" a="1"/>
  <c r="BO199" i="1"/>
  <c r="BN199" i="1"/>
  <c r="BM199" i="1"/>
  <c r="BL199" i="1"/>
  <c r="BK199" i="1"/>
  <c r="BJ199" i="1"/>
  <c r="U199" i="1"/>
  <c r="T199" i="1"/>
  <c r="S199" i="1"/>
  <c r="R199" i="1"/>
  <c r="Q199" i="1"/>
  <c r="F199" i="1"/>
  <c r="E199" i="1"/>
  <c r="D199" i="1"/>
  <c r="C199" i="1"/>
  <c r="CJ198" i="1"/>
  <c r="CI198" i="1" a="1"/>
  <c r="CI198" i="1"/>
  <c r="CH198" i="1" a="1"/>
  <c r="CH198" i="1"/>
  <c r="CG198" i="1"/>
  <c r="CF198" i="1"/>
  <c r="CE198" i="1" a="1"/>
  <c r="CE198" i="1"/>
  <c r="CD198" i="1" a="1"/>
  <c r="CD198" i="1"/>
  <c r="CC198" i="1"/>
  <c r="CB198" i="1"/>
  <c r="CA198" i="1" a="1"/>
  <c r="CA198" i="1"/>
  <c r="BZ198" i="1" a="1"/>
  <c r="BZ198" i="1"/>
  <c r="BY198" i="1"/>
  <c r="BX198" i="1"/>
  <c r="BW198" i="1" a="1"/>
  <c r="BW198" i="1"/>
  <c r="BV198" i="1"/>
  <c r="BU198" i="1"/>
  <c r="BT198" i="1"/>
  <c r="BS198" i="1" a="1"/>
  <c r="BS198" i="1"/>
  <c r="BR198" i="1"/>
  <c r="BQ198" i="1"/>
  <c r="BP198" i="1"/>
  <c r="BO198" i="1" a="1"/>
  <c r="BO198" i="1"/>
  <c r="BN198" i="1"/>
  <c r="BM198" i="1"/>
  <c r="BL198" i="1"/>
  <c r="BK198" i="1"/>
  <c r="BJ198" i="1"/>
  <c r="U198" i="1"/>
  <c r="T198" i="1"/>
  <c r="S198" i="1"/>
  <c r="R198" i="1"/>
  <c r="Q198" i="1"/>
  <c r="F198" i="1"/>
  <c r="E198" i="1"/>
  <c r="D198" i="1"/>
  <c r="C198" i="1"/>
  <c r="CJ197" i="1"/>
  <c r="CI197" i="1" a="1"/>
  <c r="CI197" i="1"/>
  <c r="CH197" i="1" a="1"/>
  <c r="CH197" i="1"/>
  <c r="CG197" i="1"/>
  <c r="CF197" i="1"/>
  <c r="CE197" i="1" a="1"/>
  <c r="CE197" i="1"/>
  <c r="CD197" i="1" a="1"/>
  <c r="CD197" i="1"/>
  <c r="CC197" i="1"/>
  <c r="CB197" i="1"/>
  <c r="CA197" i="1" a="1"/>
  <c r="CA197" i="1"/>
  <c r="BZ197" i="1" a="1"/>
  <c r="BZ197" i="1"/>
  <c r="BY197" i="1"/>
  <c r="BX197" i="1"/>
  <c r="BW197" i="1" a="1"/>
  <c r="BW197" i="1"/>
  <c r="BV197" i="1"/>
  <c r="BU197" i="1"/>
  <c r="BT197" i="1"/>
  <c r="BS197" i="1" a="1"/>
  <c r="BS197" i="1"/>
  <c r="BR197" i="1"/>
  <c r="BQ197" i="1"/>
  <c r="BP197" i="1"/>
  <c r="BO197" i="1" a="1"/>
  <c r="BO197" i="1"/>
  <c r="BN197" i="1"/>
  <c r="BM197" i="1"/>
  <c r="BL197" i="1"/>
  <c r="BK197" i="1"/>
  <c r="BJ197" i="1"/>
  <c r="U197" i="1"/>
  <c r="T197" i="1"/>
  <c r="S197" i="1"/>
  <c r="R197" i="1"/>
  <c r="Q197" i="1"/>
  <c r="F197" i="1"/>
  <c r="E197" i="1"/>
  <c r="D197" i="1"/>
  <c r="C197" i="1"/>
  <c r="CJ196" i="1"/>
  <c r="CI196" i="1" a="1"/>
  <c r="CI196" i="1"/>
  <c r="CH196" i="1" a="1"/>
  <c r="CH196" i="1"/>
  <c r="CG196" i="1"/>
  <c r="CF196" i="1"/>
  <c r="CE196" i="1" a="1"/>
  <c r="CE196" i="1"/>
  <c r="CD196" i="1" a="1"/>
  <c r="CD196" i="1"/>
  <c r="CC196" i="1"/>
  <c r="CB196" i="1"/>
  <c r="CA196" i="1" a="1"/>
  <c r="CA196" i="1"/>
  <c r="BZ196" i="1" a="1"/>
  <c r="BZ196" i="1"/>
  <c r="BY196" i="1"/>
  <c r="BX196" i="1"/>
  <c r="BW196" i="1" a="1"/>
  <c r="BW196" i="1"/>
  <c r="BV196" i="1"/>
  <c r="BU196" i="1"/>
  <c r="BT196" i="1"/>
  <c r="BS196" i="1" a="1"/>
  <c r="BS196" i="1"/>
  <c r="BR196" i="1"/>
  <c r="BQ196" i="1"/>
  <c r="BP196" i="1"/>
  <c r="BO196" i="1" a="1"/>
  <c r="BO196" i="1"/>
  <c r="BN196" i="1"/>
  <c r="BM196" i="1"/>
  <c r="BL196" i="1"/>
  <c r="BK196" i="1"/>
  <c r="BJ196" i="1"/>
  <c r="U196" i="1"/>
  <c r="T196" i="1"/>
  <c r="S196" i="1"/>
  <c r="R196" i="1"/>
  <c r="Q196" i="1"/>
  <c r="F196" i="1"/>
  <c r="E196" i="1"/>
  <c r="D196" i="1"/>
  <c r="C196" i="1"/>
  <c r="CJ195" i="1"/>
  <c r="CI195" i="1" a="1"/>
  <c r="CI195" i="1"/>
  <c r="CH195" i="1" a="1"/>
  <c r="CH195" i="1"/>
  <c r="CG195" i="1"/>
  <c r="CF195" i="1"/>
  <c r="CE195" i="1" a="1"/>
  <c r="CE195" i="1"/>
  <c r="CD195" i="1" a="1"/>
  <c r="CD195" i="1"/>
  <c r="CC195" i="1"/>
  <c r="CB195" i="1"/>
  <c r="CA195" i="1" a="1"/>
  <c r="CA195" i="1"/>
  <c r="BZ195" i="1" a="1"/>
  <c r="BZ195" i="1"/>
  <c r="BY195" i="1"/>
  <c r="BX195" i="1"/>
  <c r="BW195" i="1" a="1"/>
  <c r="BW195" i="1"/>
  <c r="BV195" i="1"/>
  <c r="BU195" i="1"/>
  <c r="BT195" i="1"/>
  <c r="BS195" i="1" a="1"/>
  <c r="BS195" i="1"/>
  <c r="BR195" i="1"/>
  <c r="BQ195" i="1"/>
  <c r="BP195" i="1"/>
  <c r="BO195" i="1" a="1"/>
  <c r="BO195" i="1"/>
  <c r="BN195" i="1"/>
  <c r="BM195" i="1"/>
  <c r="BL195" i="1"/>
  <c r="BK195" i="1"/>
  <c r="BJ195" i="1"/>
  <c r="U195" i="1"/>
  <c r="T195" i="1"/>
  <c r="S195" i="1"/>
  <c r="R195" i="1"/>
  <c r="Q195" i="1"/>
  <c r="F195" i="1"/>
  <c r="E195" i="1"/>
  <c r="D195" i="1"/>
  <c r="C195" i="1"/>
  <c r="CJ194" i="1"/>
  <c r="CI194" i="1" a="1"/>
  <c r="CI194" i="1"/>
  <c r="CH194" i="1" a="1"/>
  <c r="CH194" i="1"/>
  <c r="CG194" i="1"/>
  <c r="CF194" i="1"/>
  <c r="CE194" i="1" a="1"/>
  <c r="CE194" i="1"/>
  <c r="CD194" i="1" a="1"/>
  <c r="CD194" i="1"/>
  <c r="CC194" i="1"/>
  <c r="CB194" i="1"/>
  <c r="CA194" i="1" a="1"/>
  <c r="CA194" i="1"/>
  <c r="BZ194" i="1" a="1"/>
  <c r="BZ194" i="1"/>
  <c r="BY194" i="1"/>
  <c r="BX194" i="1"/>
  <c r="BW194" i="1" a="1"/>
  <c r="BW194" i="1"/>
  <c r="BV194" i="1"/>
  <c r="BU194" i="1"/>
  <c r="BT194" i="1"/>
  <c r="BS194" i="1" a="1"/>
  <c r="BS194" i="1"/>
  <c r="BR194" i="1"/>
  <c r="BQ194" i="1"/>
  <c r="BP194" i="1"/>
  <c r="BO194" i="1" a="1"/>
  <c r="BO194" i="1"/>
  <c r="BN194" i="1"/>
  <c r="BM194" i="1"/>
  <c r="BL194" i="1"/>
  <c r="BK194" i="1"/>
  <c r="BJ194" i="1"/>
  <c r="U194" i="1"/>
  <c r="T194" i="1"/>
  <c r="S194" i="1"/>
  <c r="R194" i="1"/>
  <c r="Q194" i="1"/>
  <c r="F194" i="1"/>
  <c r="E194" i="1"/>
  <c r="D194" i="1"/>
  <c r="C194" i="1"/>
  <c r="CJ193" i="1"/>
  <c r="CI193" i="1" a="1"/>
  <c r="CI193" i="1"/>
  <c r="CH193" i="1" a="1"/>
  <c r="CH193" i="1"/>
  <c r="CG193" i="1"/>
  <c r="CF193" i="1"/>
  <c r="CE193" i="1" a="1"/>
  <c r="CE193" i="1"/>
  <c r="CD193" i="1" a="1"/>
  <c r="CD193" i="1"/>
  <c r="CC193" i="1"/>
  <c r="CB193" i="1"/>
  <c r="CA193" i="1" a="1"/>
  <c r="CA193" i="1"/>
  <c r="BZ193" i="1" a="1"/>
  <c r="BZ193" i="1"/>
  <c r="BY193" i="1"/>
  <c r="BX193" i="1"/>
  <c r="BW193" i="1" a="1"/>
  <c r="BW193" i="1"/>
  <c r="BV193" i="1"/>
  <c r="BU193" i="1"/>
  <c r="BT193" i="1"/>
  <c r="BS193" i="1" a="1"/>
  <c r="BS193" i="1"/>
  <c r="BR193" i="1"/>
  <c r="BQ193" i="1"/>
  <c r="BP193" i="1"/>
  <c r="BO193" i="1" a="1"/>
  <c r="BO193" i="1"/>
  <c r="BN193" i="1"/>
  <c r="BM193" i="1"/>
  <c r="BL193" i="1"/>
  <c r="BK193" i="1"/>
  <c r="BJ193" i="1"/>
  <c r="U193" i="1"/>
  <c r="T193" i="1"/>
  <c r="S193" i="1"/>
  <c r="R193" i="1"/>
  <c r="Q193" i="1"/>
  <c r="F193" i="1"/>
  <c r="E193" i="1"/>
  <c r="D193" i="1"/>
  <c r="C193" i="1"/>
  <c r="CJ192" i="1"/>
  <c r="CI192" i="1" a="1"/>
  <c r="CI192" i="1"/>
  <c r="CH192" i="1" a="1"/>
  <c r="CH192" i="1"/>
  <c r="CG192" i="1"/>
  <c r="CF192" i="1"/>
  <c r="CE192" i="1" a="1"/>
  <c r="CE192" i="1"/>
  <c r="CD192" i="1" a="1"/>
  <c r="CD192" i="1"/>
  <c r="CC192" i="1"/>
  <c r="CB192" i="1"/>
  <c r="CA192" i="1" a="1"/>
  <c r="CA192" i="1"/>
  <c r="BZ192" i="1" a="1"/>
  <c r="BZ192" i="1"/>
  <c r="BY192" i="1"/>
  <c r="BX192" i="1"/>
  <c r="BW192" i="1" a="1"/>
  <c r="BW192" i="1"/>
  <c r="BV192" i="1"/>
  <c r="BU192" i="1"/>
  <c r="BT192" i="1"/>
  <c r="BS192" i="1" a="1"/>
  <c r="BS192" i="1"/>
  <c r="BR192" i="1"/>
  <c r="BQ192" i="1"/>
  <c r="BP192" i="1"/>
  <c r="BO192" i="1" a="1"/>
  <c r="BO192" i="1"/>
  <c r="BN192" i="1"/>
  <c r="BM192" i="1"/>
  <c r="BL192" i="1"/>
  <c r="BK192" i="1"/>
  <c r="BJ192" i="1"/>
  <c r="U192" i="1"/>
  <c r="T192" i="1"/>
  <c r="S192" i="1"/>
  <c r="R192" i="1"/>
  <c r="Q192" i="1"/>
  <c r="F192" i="1"/>
  <c r="E192" i="1"/>
  <c r="D192" i="1"/>
  <c r="C192" i="1"/>
  <c r="CJ191" i="1"/>
  <c r="CI191" i="1" a="1"/>
  <c r="CI191" i="1"/>
  <c r="CH191" i="1" a="1"/>
  <c r="CH191" i="1"/>
  <c r="CG191" i="1"/>
  <c r="CF191" i="1"/>
  <c r="CE191" i="1" a="1"/>
  <c r="CE191" i="1"/>
  <c r="CD191" i="1" a="1"/>
  <c r="CD191" i="1"/>
  <c r="CC191" i="1"/>
  <c r="CB191" i="1"/>
  <c r="CA191" i="1" a="1"/>
  <c r="CA191" i="1"/>
  <c r="BZ191" i="1" a="1"/>
  <c r="BZ191" i="1"/>
  <c r="BY191" i="1"/>
  <c r="BX191" i="1"/>
  <c r="BW191" i="1" a="1"/>
  <c r="BW191" i="1"/>
  <c r="BV191" i="1"/>
  <c r="BU191" i="1"/>
  <c r="BT191" i="1"/>
  <c r="BS191" i="1" a="1"/>
  <c r="BS191" i="1"/>
  <c r="BR191" i="1"/>
  <c r="BQ191" i="1"/>
  <c r="BP191" i="1"/>
  <c r="BO191" i="1" a="1"/>
  <c r="BO191" i="1"/>
  <c r="BN191" i="1"/>
  <c r="BM191" i="1"/>
  <c r="BL191" i="1"/>
  <c r="BK191" i="1"/>
  <c r="BJ191" i="1"/>
  <c r="U191" i="1"/>
  <c r="T191" i="1"/>
  <c r="S191" i="1"/>
  <c r="R191" i="1"/>
  <c r="Q191" i="1"/>
  <c r="F191" i="1"/>
  <c r="E191" i="1"/>
  <c r="D191" i="1"/>
  <c r="C191" i="1"/>
  <c r="CJ190" i="1"/>
  <c r="CI190" i="1" a="1"/>
  <c r="CI190" i="1"/>
  <c r="CH190" i="1" a="1"/>
  <c r="CH190" i="1"/>
  <c r="CG190" i="1"/>
  <c r="CF190" i="1"/>
  <c r="CE190" i="1" a="1"/>
  <c r="CE190" i="1"/>
  <c r="CD190" i="1" a="1"/>
  <c r="CD190" i="1"/>
  <c r="CC190" i="1"/>
  <c r="CB190" i="1"/>
  <c r="CA190" i="1" a="1"/>
  <c r="CA190" i="1"/>
  <c r="BZ190" i="1" a="1"/>
  <c r="BZ190" i="1"/>
  <c r="BY190" i="1"/>
  <c r="BX190" i="1"/>
  <c r="BW190" i="1" a="1"/>
  <c r="BW190" i="1"/>
  <c r="BV190" i="1"/>
  <c r="BU190" i="1"/>
  <c r="BT190" i="1"/>
  <c r="BS190" i="1" a="1"/>
  <c r="BS190" i="1"/>
  <c r="BR190" i="1"/>
  <c r="BQ190" i="1"/>
  <c r="BP190" i="1"/>
  <c r="BO190" i="1" a="1"/>
  <c r="BO190" i="1"/>
  <c r="BN190" i="1"/>
  <c r="BM190" i="1"/>
  <c r="BL190" i="1"/>
  <c r="BK190" i="1"/>
  <c r="BJ190" i="1"/>
  <c r="U190" i="1"/>
  <c r="T190" i="1"/>
  <c r="S190" i="1"/>
  <c r="R190" i="1"/>
  <c r="Q190" i="1"/>
  <c r="F190" i="1"/>
  <c r="E190" i="1"/>
  <c r="D190" i="1"/>
  <c r="C190" i="1"/>
  <c r="CJ189" i="1"/>
  <c r="CI189" i="1" a="1"/>
  <c r="CI189" i="1"/>
  <c r="CH189" i="1" a="1"/>
  <c r="CH189" i="1"/>
  <c r="CG189" i="1"/>
  <c r="CF189" i="1"/>
  <c r="CE189" i="1" a="1"/>
  <c r="CE189" i="1"/>
  <c r="CD189" i="1" a="1"/>
  <c r="CD189" i="1"/>
  <c r="CC189" i="1"/>
  <c r="CB189" i="1"/>
  <c r="CA189" i="1" a="1"/>
  <c r="CA189" i="1"/>
  <c r="BZ189" i="1" a="1"/>
  <c r="BZ189" i="1"/>
  <c r="BY189" i="1"/>
  <c r="BX189" i="1"/>
  <c r="BW189" i="1" a="1"/>
  <c r="BW189" i="1"/>
  <c r="BV189" i="1"/>
  <c r="BU189" i="1"/>
  <c r="BT189" i="1"/>
  <c r="BS189" i="1" a="1"/>
  <c r="BS189" i="1"/>
  <c r="BR189" i="1"/>
  <c r="BQ189" i="1"/>
  <c r="BP189" i="1"/>
  <c r="BO189" i="1" a="1"/>
  <c r="BO189" i="1"/>
  <c r="BN189" i="1"/>
  <c r="BM189" i="1"/>
  <c r="BL189" i="1"/>
  <c r="BK189" i="1"/>
  <c r="BJ189" i="1"/>
  <c r="U189" i="1"/>
  <c r="T189" i="1"/>
  <c r="S189" i="1"/>
  <c r="R189" i="1"/>
  <c r="Q189" i="1"/>
  <c r="F189" i="1"/>
  <c r="E189" i="1"/>
  <c r="D189" i="1"/>
  <c r="C189" i="1"/>
  <c r="CJ188" i="1"/>
  <c r="CI188" i="1" a="1"/>
  <c r="CI188" i="1"/>
  <c r="CH188" i="1" a="1"/>
  <c r="CH188" i="1"/>
  <c r="CG188" i="1"/>
  <c r="CF188" i="1"/>
  <c r="CE188" i="1" a="1"/>
  <c r="CE188" i="1"/>
  <c r="CD188" i="1" a="1"/>
  <c r="CD188" i="1"/>
  <c r="CC188" i="1"/>
  <c r="CB188" i="1"/>
  <c r="CA188" i="1" a="1"/>
  <c r="CA188" i="1"/>
  <c r="BZ188" i="1" a="1"/>
  <c r="BZ188" i="1"/>
  <c r="BY188" i="1"/>
  <c r="BX188" i="1"/>
  <c r="BW188" i="1" a="1"/>
  <c r="BW188" i="1"/>
  <c r="BV188" i="1"/>
  <c r="BU188" i="1"/>
  <c r="BT188" i="1"/>
  <c r="BS188" i="1" a="1"/>
  <c r="BS188" i="1"/>
  <c r="BR188" i="1"/>
  <c r="BQ188" i="1"/>
  <c r="BP188" i="1"/>
  <c r="BO188" i="1" a="1"/>
  <c r="BO188" i="1"/>
  <c r="BN188" i="1"/>
  <c r="BM188" i="1"/>
  <c r="BL188" i="1"/>
  <c r="BK188" i="1"/>
  <c r="BJ188" i="1"/>
  <c r="U188" i="1"/>
  <c r="T188" i="1"/>
  <c r="S188" i="1"/>
  <c r="R188" i="1"/>
  <c r="Q188" i="1"/>
  <c r="F188" i="1"/>
  <c r="E188" i="1"/>
  <c r="D188" i="1"/>
  <c r="C188" i="1"/>
  <c r="CJ187" i="1"/>
  <c r="CI187" i="1" a="1"/>
  <c r="CI187" i="1"/>
  <c r="CH187" i="1" a="1"/>
  <c r="CH187" i="1"/>
  <c r="CG187" i="1"/>
  <c r="CF187" i="1"/>
  <c r="CE187" i="1" a="1"/>
  <c r="CE187" i="1"/>
  <c r="CD187" i="1" a="1"/>
  <c r="CD187" i="1"/>
  <c r="CC187" i="1"/>
  <c r="CB187" i="1"/>
  <c r="CA187" i="1" a="1"/>
  <c r="CA187" i="1"/>
  <c r="BZ187" i="1" a="1"/>
  <c r="BZ187" i="1"/>
  <c r="BY187" i="1"/>
  <c r="BX187" i="1"/>
  <c r="BW187" i="1" a="1"/>
  <c r="BW187" i="1"/>
  <c r="BV187" i="1"/>
  <c r="BU187" i="1"/>
  <c r="BT187" i="1"/>
  <c r="BS187" i="1" a="1"/>
  <c r="BS187" i="1"/>
  <c r="BR187" i="1"/>
  <c r="BQ187" i="1"/>
  <c r="BP187" i="1"/>
  <c r="BO187" i="1" a="1"/>
  <c r="BO187" i="1"/>
  <c r="BN187" i="1"/>
  <c r="BM187" i="1"/>
  <c r="BL187" i="1"/>
  <c r="BK187" i="1"/>
  <c r="BJ187" i="1"/>
  <c r="U187" i="1"/>
  <c r="T187" i="1"/>
  <c r="S187" i="1"/>
  <c r="R187" i="1"/>
  <c r="Q187" i="1"/>
  <c r="F187" i="1"/>
  <c r="E187" i="1"/>
  <c r="D187" i="1"/>
  <c r="C187" i="1"/>
  <c r="CJ186" i="1"/>
  <c r="CI186" i="1" a="1"/>
  <c r="CI186" i="1"/>
  <c r="CH186" i="1" a="1"/>
  <c r="CH186" i="1"/>
  <c r="CG186" i="1"/>
  <c r="CF186" i="1"/>
  <c r="CE186" i="1" a="1"/>
  <c r="CE186" i="1"/>
  <c r="CD186" i="1" a="1"/>
  <c r="CD186" i="1"/>
  <c r="CC186" i="1"/>
  <c r="CB186" i="1"/>
  <c r="CA186" i="1" a="1"/>
  <c r="CA186" i="1"/>
  <c r="BZ186" i="1" a="1"/>
  <c r="BZ186" i="1"/>
  <c r="BY186" i="1"/>
  <c r="BX186" i="1"/>
  <c r="BW186" i="1" a="1"/>
  <c r="BW186" i="1"/>
  <c r="BV186" i="1"/>
  <c r="BU186" i="1"/>
  <c r="BT186" i="1"/>
  <c r="BS186" i="1" a="1"/>
  <c r="BS186" i="1"/>
  <c r="BR186" i="1"/>
  <c r="BQ186" i="1"/>
  <c r="BP186" i="1"/>
  <c r="BO186" i="1" a="1"/>
  <c r="BO186" i="1"/>
  <c r="BN186" i="1"/>
  <c r="BM186" i="1"/>
  <c r="BL186" i="1"/>
  <c r="BK186" i="1"/>
  <c r="BJ186" i="1"/>
  <c r="U186" i="1"/>
  <c r="T186" i="1"/>
  <c r="S186" i="1"/>
  <c r="R186" i="1"/>
  <c r="Q186" i="1"/>
  <c r="F186" i="1"/>
  <c r="E186" i="1"/>
  <c r="D186" i="1"/>
  <c r="C186" i="1"/>
  <c r="CJ185" i="1"/>
  <c r="CI185" i="1" a="1"/>
  <c r="CI185" i="1"/>
  <c r="CH185" i="1" a="1"/>
  <c r="CH185" i="1"/>
  <c r="CG185" i="1"/>
  <c r="CF185" i="1"/>
  <c r="CE185" i="1" a="1"/>
  <c r="CE185" i="1"/>
  <c r="CD185" i="1" a="1"/>
  <c r="CD185" i="1"/>
  <c r="CC185" i="1"/>
  <c r="CB185" i="1"/>
  <c r="CA185" i="1" a="1"/>
  <c r="CA185" i="1"/>
  <c r="BZ185" i="1" a="1"/>
  <c r="BZ185" i="1"/>
  <c r="BY185" i="1"/>
  <c r="BX185" i="1"/>
  <c r="BW185" i="1" a="1"/>
  <c r="BW185" i="1"/>
  <c r="BV185" i="1"/>
  <c r="BU185" i="1"/>
  <c r="BT185" i="1"/>
  <c r="BS185" i="1" a="1"/>
  <c r="BS185" i="1"/>
  <c r="BR185" i="1"/>
  <c r="BQ185" i="1"/>
  <c r="BP185" i="1"/>
  <c r="BO185" i="1" a="1"/>
  <c r="BO185" i="1"/>
  <c r="BN185" i="1"/>
  <c r="BM185" i="1"/>
  <c r="BL185" i="1"/>
  <c r="BK185" i="1"/>
  <c r="BJ185" i="1"/>
  <c r="U185" i="1"/>
  <c r="T185" i="1"/>
  <c r="S185" i="1"/>
  <c r="R185" i="1"/>
  <c r="Q185" i="1"/>
  <c r="F185" i="1"/>
  <c r="E185" i="1"/>
  <c r="D185" i="1"/>
  <c r="C185" i="1"/>
  <c r="CJ184" i="1"/>
  <c r="CI184" i="1" a="1"/>
  <c r="CI184" i="1"/>
  <c r="CH184" i="1" a="1"/>
  <c r="CH184" i="1"/>
  <c r="CG184" i="1"/>
  <c r="CF184" i="1"/>
  <c r="CE184" i="1" a="1"/>
  <c r="CE184" i="1"/>
  <c r="CD184" i="1" a="1"/>
  <c r="CD184" i="1"/>
  <c r="CC184" i="1"/>
  <c r="CB184" i="1"/>
  <c r="CA184" i="1" a="1"/>
  <c r="CA184" i="1"/>
  <c r="BZ184" i="1" a="1"/>
  <c r="BZ184" i="1"/>
  <c r="BY184" i="1"/>
  <c r="BX184" i="1"/>
  <c r="BW184" i="1" a="1"/>
  <c r="BW184" i="1"/>
  <c r="BV184" i="1"/>
  <c r="BU184" i="1"/>
  <c r="BT184" i="1"/>
  <c r="BS184" i="1" a="1"/>
  <c r="BS184" i="1"/>
  <c r="BR184" i="1"/>
  <c r="BQ184" i="1"/>
  <c r="BP184" i="1"/>
  <c r="BO184" i="1" a="1"/>
  <c r="BO184" i="1"/>
  <c r="BN184" i="1"/>
  <c r="BM184" i="1"/>
  <c r="BL184" i="1"/>
  <c r="BK184" i="1"/>
  <c r="BJ184" i="1"/>
  <c r="U184" i="1"/>
  <c r="T184" i="1"/>
  <c r="S184" i="1"/>
  <c r="R184" i="1"/>
  <c r="Q184" i="1"/>
  <c r="F184" i="1"/>
  <c r="E184" i="1"/>
  <c r="D184" i="1"/>
  <c r="C184" i="1"/>
  <c r="CJ183" i="1"/>
  <c r="CI183" i="1" a="1"/>
  <c r="CI183" i="1"/>
  <c r="CH183" i="1" a="1"/>
  <c r="CH183" i="1"/>
  <c r="CG183" i="1"/>
  <c r="CF183" i="1"/>
  <c r="CE183" i="1" a="1"/>
  <c r="CE183" i="1"/>
  <c r="CD183" i="1" a="1"/>
  <c r="CD183" i="1"/>
  <c r="CC183" i="1"/>
  <c r="CB183" i="1"/>
  <c r="CA183" i="1" a="1"/>
  <c r="CA183" i="1"/>
  <c r="BZ183" i="1" a="1"/>
  <c r="BZ183" i="1"/>
  <c r="BY183" i="1"/>
  <c r="BX183" i="1"/>
  <c r="BW183" i="1" a="1"/>
  <c r="BW183" i="1"/>
  <c r="BV183" i="1"/>
  <c r="BU183" i="1"/>
  <c r="BT183" i="1"/>
  <c r="BS183" i="1" a="1"/>
  <c r="BS183" i="1"/>
  <c r="BR183" i="1"/>
  <c r="BQ183" i="1"/>
  <c r="BP183" i="1"/>
  <c r="BO183" i="1" a="1"/>
  <c r="BO183" i="1"/>
  <c r="BN183" i="1"/>
  <c r="BM183" i="1"/>
  <c r="BL183" i="1"/>
  <c r="BK183" i="1"/>
  <c r="BJ183" i="1"/>
  <c r="U183" i="1"/>
  <c r="T183" i="1"/>
  <c r="S183" i="1"/>
  <c r="R183" i="1"/>
  <c r="Q183" i="1"/>
  <c r="F183" i="1"/>
  <c r="E183" i="1"/>
  <c r="D183" i="1"/>
  <c r="C183" i="1"/>
  <c r="CJ182" i="1"/>
  <c r="CI182" i="1" a="1"/>
  <c r="CI182" i="1"/>
  <c r="CH182" i="1" a="1"/>
  <c r="CH182" i="1"/>
  <c r="CG182" i="1"/>
  <c r="CF182" i="1"/>
  <c r="CE182" i="1" a="1"/>
  <c r="CE182" i="1"/>
  <c r="CD182" i="1" a="1"/>
  <c r="CD182" i="1"/>
  <c r="CC182" i="1"/>
  <c r="CB182" i="1"/>
  <c r="CA182" i="1" a="1"/>
  <c r="CA182" i="1"/>
  <c r="BZ182" i="1" a="1"/>
  <c r="BZ182" i="1"/>
  <c r="BY182" i="1"/>
  <c r="BX182" i="1"/>
  <c r="BW182" i="1" a="1"/>
  <c r="BW182" i="1"/>
  <c r="BV182" i="1"/>
  <c r="BU182" i="1"/>
  <c r="BT182" i="1"/>
  <c r="BS182" i="1" a="1"/>
  <c r="BS182" i="1"/>
  <c r="BR182" i="1"/>
  <c r="BQ182" i="1"/>
  <c r="BP182" i="1"/>
  <c r="BO182" i="1" a="1"/>
  <c r="BO182" i="1"/>
  <c r="BN182" i="1"/>
  <c r="BM182" i="1"/>
  <c r="BL182" i="1"/>
  <c r="BK182" i="1"/>
  <c r="BJ182" i="1"/>
  <c r="U182" i="1"/>
  <c r="T182" i="1"/>
  <c r="S182" i="1"/>
  <c r="R182" i="1"/>
  <c r="Q182" i="1"/>
  <c r="F182" i="1"/>
  <c r="E182" i="1"/>
  <c r="D182" i="1"/>
  <c r="C182" i="1"/>
  <c r="CJ181" i="1"/>
  <c r="CI181" i="1" a="1"/>
  <c r="CI181" i="1"/>
  <c r="CH181" i="1" a="1"/>
  <c r="CH181" i="1"/>
  <c r="CG181" i="1"/>
  <c r="CF181" i="1"/>
  <c r="CE181" i="1" a="1"/>
  <c r="CE181" i="1"/>
  <c r="CD181" i="1" a="1"/>
  <c r="CD181" i="1"/>
  <c r="CC181" i="1"/>
  <c r="CB181" i="1"/>
  <c r="CA181" i="1" a="1"/>
  <c r="CA181" i="1"/>
  <c r="BZ181" i="1" a="1"/>
  <c r="BZ181" i="1"/>
  <c r="BY181" i="1"/>
  <c r="BX181" i="1"/>
  <c r="BW181" i="1" a="1"/>
  <c r="BW181" i="1"/>
  <c r="BV181" i="1"/>
  <c r="BU181" i="1"/>
  <c r="BT181" i="1"/>
  <c r="BS181" i="1" a="1"/>
  <c r="BS181" i="1"/>
  <c r="BR181" i="1"/>
  <c r="BQ181" i="1"/>
  <c r="BP181" i="1"/>
  <c r="BO181" i="1" a="1"/>
  <c r="BO181" i="1"/>
  <c r="BN181" i="1"/>
  <c r="BM181" i="1"/>
  <c r="BL181" i="1"/>
  <c r="BK181" i="1"/>
  <c r="BJ181" i="1"/>
  <c r="U181" i="1"/>
  <c r="T181" i="1"/>
  <c r="S181" i="1"/>
  <c r="R181" i="1"/>
  <c r="Q181" i="1"/>
  <c r="F181" i="1"/>
  <c r="E181" i="1"/>
  <c r="D181" i="1"/>
  <c r="C181" i="1"/>
  <c r="CJ180" i="1"/>
  <c r="CI180" i="1" a="1"/>
  <c r="CI180" i="1"/>
  <c r="CH180" i="1" a="1"/>
  <c r="CH180" i="1"/>
  <c r="CG180" i="1"/>
  <c r="CF180" i="1"/>
  <c r="CE180" i="1" a="1"/>
  <c r="CE180" i="1"/>
  <c r="CD180" i="1" a="1"/>
  <c r="CD180" i="1"/>
  <c r="CC180" i="1"/>
  <c r="CB180" i="1"/>
  <c r="CA180" i="1" a="1"/>
  <c r="CA180" i="1"/>
  <c r="BZ180" i="1" a="1"/>
  <c r="BZ180" i="1"/>
  <c r="BY180" i="1"/>
  <c r="BX180" i="1"/>
  <c r="BW180" i="1" a="1"/>
  <c r="BW180" i="1"/>
  <c r="BV180" i="1"/>
  <c r="BU180" i="1"/>
  <c r="BT180" i="1"/>
  <c r="BS180" i="1" a="1"/>
  <c r="BS180" i="1"/>
  <c r="BR180" i="1"/>
  <c r="BQ180" i="1"/>
  <c r="BP180" i="1"/>
  <c r="BO180" i="1" a="1"/>
  <c r="BO180" i="1"/>
  <c r="BN180" i="1"/>
  <c r="BM180" i="1"/>
  <c r="BL180" i="1"/>
  <c r="BK180" i="1"/>
  <c r="BJ180" i="1"/>
  <c r="U180" i="1"/>
  <c r="T180" i="1"/>
  <c r="S180" i="1"/>
  <c r="R180" i="1"/>
  <c r="Q180" i="1"/>
  <c r="F180" i="1"/>
  <c r="E180" i="1"/>
  <c r="D180" i="1"/>
  <c r="C180" i="1"/>
  <c r="CJ179" i="1"/>
  <c r="CI179" i="1" a="1"/>
  <c r="CI179" i="1"/>
  <c r="CH179" i="1" a="1"/>
  <c r="CH179" i="1"/>
  <c r="CG179" i="1"/>
  <c r="CF179" i="1"/>
  <c r="CE179" i="1" a="1"/>
  <c r="CE179" i="1"/>
  <c r="CD179" i="1" a="1"/>
  <c r="CD179" i="1"/>
  <c r="CC179" i="1"/>
  <c r="CB179" i="1"/>
  <c r="CA179" i="1" a="1"/>
  <c r="CA179" i="1"/>
  <c r="BZ179" i="1" a="1"/>
  <c r="BZ179" i="1"/>
  <c r="BY179" i="1"/>
  <c r="BX179" i="1"/>
  <c r="BW179" i="1" a="1"/>
  <c r="BW179" i="1"/>
  <c r="BV179" i="1"/>
  <c r="BU179" i="1"/>
  <c r="BT179" i="1"/>
  <c r="BS179" i="1" a="1"/>
  <c r="BS179" i="1"/>
  <c r="BR179" i="1"/>
  <c r="BQ179" i="1"/>
  <c r="BP179" i="1"/>
  <c r="BO179" i="1" a="1"/>
  <c r="BO179" i="1"/>
  <c r="BN179" i="1"/>
  <c r="BM179" i="1"/>
  <c r="BL179" i="1"/>
  <c r="BK179" i="1"/>
  <c r="BJ179" i="1"/>
  <c r="U179" i="1"/>
  <c r="T179" i="1"/>
  <c r="S179" i="1"/>
  <c r="R179" i="1"/>
  <c r="Q179" i="1"/>
  <c r="F179" i="1"/>
  <c r="E179" i="1"/>
  <c r="D179" i="1"/>
  <c r="C179" i="1"/>
  <c r="CJ178" i="1"/>
  <c r="CI178" i="1" a="1"/>
  <c r="CI178" i="1"/>
  <c r="CH178" i="1" a="1"/>
  <c r="CH178" i="1"/>
  <c r="CG178" i="1"/>
  <c r="CF178" i="1"/>
  <c r="CE178" i="1" a="1"/>
  <c r="CE178" i="1"/>
  <c r="CD178" i="1" a="1"/>
  <c r="CD178" i="1"/>
  <c r="CC178" i="1"/>
  <c r="CB178" i="1"/>
  <c r="CA178" i="1" a="1"/>
  <c r="CA178" i="1"/>
  <c r="BZ178" i="1" a="1"/>
  <c r="BZ178" i="1"/>
  <c r="BY178" i="1"/>
  <c r="BX178" i="1"/>
  <c r="BW178" i="1" a="1"/>
  <c r="BW178" i="1"/>
  <c r="BV178" i="1"/>
  <c r="BU178" i="1"/>
  <c r="BT178" i="1"/>
  <c r="BS178" i="1" a="1"/>
  <c r="BS178" i="1"/>
  <c r="BR178" i="1"/>
  <c r="BQ178" i="1"/>
  <c r="BP178" i="1"/>
  <c r="BO178" i="1" a="1"/>
  <c r="BO178" i="1"/>
  <c r="BN178" i="1"/>
  <c r="BM178" i="1"/>
  <c r="BL178" i="1"/>
  <c r="BK178" i="1"/>
  <c r="BJ178" i="1"/>
  <c r="U178" i="1"/>
  <c r="T178" i="1"/>
  <c r="S178" i="1"/>
  <c r="R178" i="1"/>
  <c r="Q178" i="1"/>
  <c r="F178" i="1"/>
  <c r="E178" i="1"/>
  <c r="D178" i="1"/>
  <c r="C178" i="1"/>
  <c r="CJ177" i="1"/>
  <c r="CI177" i="1" a="1"/>
  <c r="CI177" i="1"/>
  <c r="CH177" i="1" a="1"/>
  <c r="CH177" i="1"/>
  <c r="CG177" i="1"/>
  <c r="CF177" i="1"/>
  <c r="CE177" i="1" a="1"/>
  <c r="CE177" i="1"/>
  <c r="CD177" i="1" a="1"/>
  <c r="CD177" i="1"/>
  <c r="CC177" i="1"/>
  <c r="CB177" i="1"/>
  <c r="CA177" i="1" a="1"/>
  <c r="CA177" i="1"/>
  <c r="BZ177" i="1" a="1"/>
  <c r="BZ177" i="1"/>
  <c r="BY177" i="1"/>
  <c r="BX177" i="1"/>
  <c r="BW177" i="1" a="1"/>
  <c r="BW177" i="1"/>
  <c r="BV177" i="1"/>
  <c r="BU177" i="1"/>
  <c r="BT177" i="1"/>
  <c r="BS177" i="1" a="1"/>
  <c r="BS177" i="1"/>
  <c r="BR177" i="1"/>
  <c r="BQ177" i="1"/>
  <c r="BP177" i="1"/>
  <c r="BO177" i="1" a="1"/>
  <c r="BO177" i="1"/>
  <c r="BN177" i="1"/>
  <c r="BM177" i="1"/>
  <c r="BL177" i="1"/>
  <c r="BK177" i="1"/>
  <c r="BJ177" i="1"/>
  <c r="U177" i="1"/>
  <c r="T177" i="1"/>
  <c r="S177" i="1"/>
  <c r="R177" i="1"/>
  <c r="Q177" i="1"/>
  <c r="F177" i="1"/>
  <c r="E177" i="1"/>
  <c r="D177" i="1"/>
  <c r="C177" i="1"/>
  <c r="CJ176" i="1"/>
  <c r="CI176" i="1" a="1"/>
  <c r="CI176" i="1"/>
  <c r="CH176" i="1" a="1"/>
  <c r="CH176" i="1"/>
  <c r="CG176" i="1"/>
  <c r="CF176" i="1"/>
  <c r="CE176" i="1" a="1"/>
  <c r="CE176" i="1"/>
  <c r="CD176" i="1" a="1"/>
  <c r="CD176" i="1"/>
  <c r="CC176" i="1"/>
  <c r="CB176" i="1"/>
  <c r="CA176" i="1" a="1"/>
  <c r="CA176" i="1"/>
  <c r="BZ176" i="1" a="1"/>
  <c r="BZ176" i="1"/>
  <c r="BY176" i="1"/>
  <c r="BX176" i="1"/>
  <c r="BW176" i="1" a="1"/>
  <c r="BW176" i="1"/>
  <c r="BV176" i="1"/>
  <c r="BU176" i="1"/>
  <c r="BT176" i="1"/>
  <c r="BS176" i="1" a="1"/>
  <c r="BS176" i="1"/>
  <c r="BR176" i="1"/>
  <c r="BQ176" i="1"/>
  <c r="BP176" i="1"/>
  <c r="BO176" i="1" a="1"/>
  <c r="BO176" i="1"/>
  <c r="BN176" i="1"/>
  <c r="BM176" i="1"/>
  <c r="BL176" i="1"/>
  <c r="BK176" i="1"/>
  <c r="BJ176" i="1"/>
  <c r="U176" i="1"/>
  <c r="T176" i="1"/>
  <c r="S176" i="1"/>
  <c r="R176" i="1"/>
  <c r="Q176" i="1"/>
  <c r="F176" i="1"/>
  <c r="E176" i="1"/>
  <c r="D176" i="1"/>
  <c r="C176" i="1"/>
  <c r="CJ175" i="1"/>
  <c r="CI175" i="1" a="1"/>
  <c r="CI175" i="1"/>
  <c r="CH175" i="1" a="1"/>
  <c r="CH175" i="1"/>
  <c r="CG175" i="1"/>
  <c r="CF175" i="1"/>
  <c r="CE175" i="1" a="1"/>
  <c r="CE175" i="1"/>
  <c r="CD175" i="1" a="1"/>
  <c r="CD175" i="1"/>
  <c r="CC175" i="1"/>
  <c r="CB175" i="1"/>
  <c r="CA175" i="1" a="1"/>
  <c r="CA175" i="1"/>
  <c r="BZ175" i="1" a="1"/>
  <c r="BZ175" i="1"/>
  <c r="BY175" i="1"/>
  <c r="BX175" i="1"/>
  <c r="BW175" i="1" a="1"/>
  <c r="BW175" i="1"/>
  <c r="BV175" i="1"/>
  <c r="BU175" i="1"/>
  <c r="BT175" i="1"/>
  <c r="BS175" i="1" a="1"/>
  <c r="BS175" i="1"/>
  <c r="BR175" i="1"/>
  <c r="BQ175" i="1"/>
  <c r="BP175" i="1"/>
  <c r="BO175" i="1" a="1"/>
  <c r="BO175" i="1"/>
  <c r="BN175" i="1"/>
  <c r="BM175" i="1"/>
  <c r="BL175" i="1"/>
  <c r="BK175" i="1"/>
  <c r="BJ175" i="1"/>
  <c r="U175" i="1"/>
  <c r="T175" i="1"/>
  <c r="S175" i="1"/>
  <c r="R175" i="1"/>
  <c r="Q175" i="1"/>
  <c r="F175" i="1"/>
  <c r="E175" i="1"/>
  <c r="D175" i="1"/>
  <c r="C175" i="1"/>
  <c r="CJ174" i="1"/>
  <c r="CI174" i="1" a="1"/>
  <c r="CI174" i="1"/>
  <c r="CH174" i="1" a="1"/>
  <c r="CH174" i="1"/>
  <c r="CG174" i="1"/>
  <c r="CF174" i="1"/>
  <c r="CE174" i="1" a="1"/>
  <c r="CE174" i="1"/>
  <c r="CD174" i="1" a="1"/>
  <c r="CD174" i="1"/>
  <c r="CC174" i="1"/>
  <c r="CB174" i="1"/>
  <c r="CA174" i="1" a="1"/>
  <c r="CA174" i="1"/>
  <c r="BZ174" i="1" a="1"/>
  <c r="BZ174" i="1"/>
  <c r="BY174" i="1"/>
  <c r="BX174" i="1"/>
  <c r="BW174" i="1" a="1"/>
  <c r="BW174" i="1"/>
  <c r="BV174" i="1"/>
  <c r="BU174" i="1"/>
  <c r="BT174" i="1"/>
  <c r="BS174" i="1" a="1"/>
  <c r="BS174" i="1"/>
  <c r="BR174" i="1"/>
  <c r="BQ174" i="1"/>
  <c r="BP174" i="1"/>
  <c r="BO174" i="1" a="1"/>
  <c r="BO174" i="1"/>
  <c r="BN174" i="1"/>
  <c r="BM174" i="1"/>
  <c r="BL174" i="1"/>
  <c r="BK174" i="1"/>
  <c r="BJ174" i="1"/>
  <c r="U174" i="1"/>
  <c r="T174" i="1"/>
  <c r="S174" i="1"/>
  <c r="R174" i="1"/>
  <c r="Q174" i="1"/>
  <c r="F174" i="1"/>
  <c r="E174" i="1"/>
  <c r="D174" i="1"/>
  <c r="C174" i="1"/>
  <c r="CJ173" i="1"/>
  <c r="CI173" i="1" a="1"/>
  <c r="CI173" i="1"/>
  <c r="CH173" i="1" a="1"/>
  <c r="CH173" i="1"/>
  <c r="CG173" i="1"/>
  <c r="CF173" i="1"/>
  <c r="CE173" i="1" a="1"/>
  <c r="CE173" i="1"/>
  <c r="CD173" i="1" a="1"/>
  <c r="CD173" i="1"/>
  <c r="CC173" i="1"/>
  <c r="CB173" i="1"/>
  <c r="CA173" i="1" a="1"/>
  <c r="CA173" i="1"/>
  <c r="BZ173" i="1" a="1"/>
  <c r="BZ173" i="1"/>
  <c r="BY173" i="1"/>
  <c r="BX173" i="1"/>
  <c r="BW173" i="1" a="1"/>
  <c r="BW173" i="1"/>
  <c r="BV173" i="1"/>
  <c r="BU173" i="1"/>
  <c r="BT173" i="1"/>
  <c r="BS173" i="1" a="1"/>
  <c r="BS173" i="1"/>
  <c r="BR173" i="1"/>
  <c r="BQ173" i="1"/>
  <c r="BP173" i="1"/>
  <c r="BO173" i="1" a="1"/>
  <c r="BO173" i="1"/>
  <c r="BN173" i="1"/>
  <c r="BM173" i="1"/>
  <c r="BL173" i="1"/>
  <c r="BK173" i="1"/>
  <c r="BJ173" i="1"/>
  <c r="U173" i="1"/>
  <c r="T173" i="1"/>
  <c r="S173" i="1"/>
  <c r="R173" i="1"/>
  <c r="Q173" i="1"/>
  <c r="F173" i="1"/>
  <c r="E173" i="1"/>
  <c r="D173" i="1"/>
  <c r="C173" i="1"/>
  <c r="CJ172" i="1"/>
  <c r="CI172" i="1" a="1"/>
  <c r="CI172" i="1"/>
  <c r="CH172" i="1" a="1"/>
  <c r="CH172" i="1"/>
  <c r="CG172" i="1"/>
  <c r="CF172" i="1"/>
  <c r="CE172" i="1" a="1"/>
  <c r="CE172" i="1"/>
  <c r="CD172" i="1" a="1"/>
  <c r="CD172" i="1"/>
  <c r="CC172" i="1"/>
  <c r="CB172" i="1"/>
  <c r="CA172" i="1" a="1"/>
  <c r="CA172" i="1"/>
  <c r="BZ172" i="1" a="1"/>
  <c r="BZ172" i="1"/>
  <c r="BY172" i="1"/>
  <c r="BX172" i="1"/>
  <c r="BW172" i="1" a="1"/>
  <c r="BW172" i="1"/>
  <c r="BV172" i="1"/>
  <c r="BU172" i="1"/>
  <c r="BT172" i="1"/>
  <c r="BS172" i="1" a="1"/>
  <c r="BS172" i="1"/>
  <c r="BR172" i="1"/>
  <c r="BQ172" i="1"/>
  <c r="BP172" i="1"/>
  <c r="BO172" i="1" a="1"/>
  <c r="BO172" i="1"/>
  <c r="BN172" i="1"/>
  <c r="BM172" i="1"/>
  <c r="BL172" i="1"/>
  <c r="BK172" i="1"/>
  <c r="BJ172" i="1"/>
  <c r="U172" i="1"/>
  <c r="T172" i="1"/>
  <c r="S172" i="1"/>
  <c r="R172" i="1"/>
  <c r="Q172" i="1"/>
  <c r="F172" i="1"/>
  <c r="E172" i="1"/>
  <c r="D172" i="1"/>
  <c r="C172" i="1"/>
  <c r="CJ171" i="1"/>
  <c r="CI171" i="1" a="1"/>
  <c r="CI171" i="1"/>
  <c r="CH171" i="1" a="1"/>
  <c r="CH171" i="1"/>
  <c r="CG171" i="1"/>
  <c r="CF171" i="1"/>
  <c r="CE171" i="1" a="1"/>
  <c r="CE171" i="1"/>
  <c r="CD171" i="1" a="1"/>
  <c r="CD171" i="1"/>
  <c r="CC171" i="1"/>
  <c r="CB171" i="1"/>
  <c r="CA171" i="1" a="1"/>
  <c r="CA171" i="1"/>
  <c r="BZ171" i="1" a="1"/>
  <c r="BZ171" i="1"/>
  <c r="BY171" i="1"/>
  <c r="BX171" i="1"/>
  <c r="BW171" i="1" a="1"/>
  <c r="BW171" i="1"/>
  <c r="BV171" i="1"/>
  <c r="BU171" i="1"/>
  <c r="BT171" i="1"/>
  <c r="BS171" i="1" a="1"/>
  <c r="BS171" i="1"/>
  <c r="BR171" i="1"/>
  <c r="BQ171" i="1"/>
  <c r="BP171" i="1"/>
  <c r="BO171" i="1" a="1"/>
  <c r="BO171" i="1"/>
  <c r="BN171" i="1"/>
  <c r="BM171" i="1"/>
  <c r="BL171" i="1"/>
  <c r="BK171" i="1"/>
  <c r="BJ171" i="1"/>
  <c r="U171" i="1"/>
  <c r="T171" i="1"/>
  <c r="S171" i="1"/>
  <c r="R171" i="1"/>
  <c r="Q171" i="1"/>
  <c r="F171" i="1"/>
  <c r="E171" i="1"/>
  <c r="D171" i="1"/>
  <c r="C171" i="1"/>
  <c r="CJ170" i="1"/>
  <c r="CI170" i="1" a="1"/>
  <c r="CI170" i="1"/>
  <c r="CH170" i="1" a="1"/>
  <c r="CH170" i="1"/>
  <c r="CG170" i="1"/>
  <c r="CF170" i="1"/>
  <c r="CE170" i="1" a="1"/>
  <c r="CE170" i="1"/>
  <c r="CD170" i="1" a="1"/>
  <c r="CD170" i="1"/>
  <c r="CC170" i="1"/>
  <c r="CB170" i="1"/>
  <c r="CA170" i="1" a="1"/>
  <c r="CA170" i="1"/>
  <c r="BZ170" i="1" a="1"/>
  <c r="BZ170" i="1"/>
  <c r="BY170" i="1"/>
  <c r="BX170" i="1"/>
  <c r="BW170" i="1" a="1"/>
  <c r="BW170" i="1"/>
  <c r="BV170" i="1"/>
  <c r="BU170" i="1"/>
  <c r="BT170" i="1"/>
  <c r="BS170" i="1" a="1"/>
  <c r="BS170" i="1"/>
  <c r="BR170" i="1"/>
  <c r="BQ170" i="1"/>
  <c r="BP170" i="1"/>
  <c r="BO170" i="1" a="1"/>
  <c r="BO170" i="1"/>
  <c r="BN170" i="1"/>
  <c r="BM170" i="1"/>
  <c r="BL170" i="1"/>
  <c r="BK170" i="1"/>
  <c r="BJ170" i="1"/>
  <c r="U170" i="1"/>
  <c r="T170" i="1"/>
  <c r="S170" i="1"/>
  <c r="R170" i="1"/>
  <c r="Q170" i="1"/>
  <c r="F170" i="1"/>
  <c r="E170" i="1"/>
  <c r="D170" i="1"/>
  <c r="C170" i="1"/>
  <c r="CJ169" i="1"/>
  <c r="CI169" i="1" a="1"/>
  <c r="CI169" i="1"/>
  <c r="CH169" i="1" a="1"/>
  <c r="CH169" i="1"/>
  <c r="CG169" i="1"/>
  <c r="CF169" i="1"/>
  <c r="CE169" i="1" a="1"/>
  <c r="CE169" i="1"/>
  <c r="CD169" i="1" a="1"/>
  <c r="CD169" i="1"/>
  <c r="CC169" i="1"/>
  <c r="CB169" i="1"/>
  <c r="CA169" i="1" a="1"/>
  <c r="CA169" i="1"/>
  <c r="BZ169" i="1" a="1"/>
  <c r="BZ169" i="1"/>
  <c r="BY169" i="1"/>
  <c r="BX169" i="1"/>
  <c r="BW169" i="1" a="1"/>
  <c r="BW169" i="1"/>
  <c r="BV169" i="1"/>
  <c r="BU169" i="1"/>
  <c r="BT169" i="1"/>
  <c r="BS169" i="1" a="1"/>
  <c r="BS169" i="1"/>
  <c r="BR169" i="1"/>
  <c r="BQ169" i="1"/>
  <c r="BP169" i="1"/>
  <c r="BO169" i="1" a="1"/>
  <c r="BO169" i="1"/>
  <c r="BN169" i="1"/>
  <c r="BM169" i="1"/>
  <c r="BL169" i="1"/>
  <c r="BK169" i="1"/>
  <c r="BJ169" i="1"/>
  <c r="U169" i="1"/>
  <c r="T169" i="1"/>
  <c r="S169" i="1"/>
  <c r="R169" i="1"/>
  <c r="Q169" i="1"/>
  <c r="F169" i="1"/>
  <c r="E169" i="1"/>
  <c r="D169" i="1"/>
  <c r="C169" i="1"/>
  <c r="CJ168" i="1"/>
  <c r="CI168" i="1" a="1"/>
  <c r="CI168" i="1"/>
  <c r="CH168" i="1" a="1"/>
  <c r="CH168" i="1"/>
  <c r="CG168" i="1"/>
  <c r="CF168" i="1"/>
  <c r="CE168" i="1" a="1"/>
  <c r="CE168" i="1"/>
  <c r="CD168" i="1" a="1"/>
  <c r="CD168" i="1"/>
  <c r="CC168" i="1"/>
  <c r="CB168" i="1"/>
  <c r="CA168" i="1" a="1"/>
  <c r="CA168" i="1"/>
  <c r="BZ168" i="1" a="1"/>
  <c r="BZ168" i="1"/>
  <c r="BY168" i="1"/>
  <c r="BX168" i="1"/>
  <c r="BW168" i="1" a="1"/>
  <c r="BW168" i="1"/>
  <c r="BV168" i="1"/>
  <c r="BU168" i="1"/>
  <c r="BT168" i="1"/>
  <c r="BS168" i="1" a="1"/>
  <c r="BS168" i="1"/>
  <c r="BR168" i="1"/>
  <c r="BQ168" i="1"/>
  <c r="BP168" i="1"/>
  <c r="BO168" i="1" a="1"/>
  <c r="BO168" i="1"/>
  <c r="BN168" i="1"/>
  <c r="BM168" i="1"/>
  <c r="BL168" i="1"/>
  <c r="BK168" i="1"/>
  <c r="BJ168" i="1"/>
  <c r="U168" i="1"/>
  <c r="T168" i="1"/>
  <c r="S168" i="1"/>
  <c r="R168" i="1"/>
  <c r="Q168" i="1"/>
  <c r="F168" i="1"/>
  <c r="E168" i="1"/>
  <c r="D168" i="1"/>
  <c r="C168" i="1"/>
  <c r="CJ167" i="1"/>
  <c r="CI167" i="1" a="1"/>
  <c r="CI167" i="1"/>
  <c r="CH167" i="1" a="1"/>
  <c r="CH167" i="1"/>
  <c r="CG167" i="1"/>
  <c r="CF167" i="1"/>
  <c r="CE167" i="1" a="1"/>
  <c r="CE167" i="1"/>
  <c r="CD167" i="1" a="1"/>
  <c r="CD167" i="1"/>
  <c r="CC167" i="1"/>
  <c r="CB167" i="1"/>
  <c r="CA167" i="1" a="1"/>
  <c r="CA167" i="1"/>
  <c r="BZ167" i="1" a="1"/>
  <c r="BZ167" i="1"/>
  <c r="BY167" i="1"/>
  <c r="BX167" i="1"/>
  <c r="BW167" i="1" a="1"/>
  <c r="BW167" i="1"/>
  <c r="BV167" i="1"/>
  <c r="BU167" i="1"/>
  <c r="BT167" i="1"/>
  <c r="BS167" i="1" a="1"/>
  <c r="BS167" i="1"/>
  <c r="BR167" i="1"/>
  <c r="BQ167" i="1"/>
  <c r="BP167" i="1"/>
  <c r="BO167" i="1" a="1"/>
  <c r="BO167" i="1"/>
  <c r="BN167" i="1"/>
  <c r="BM167" i="1"/>
  <c r="BL167" i="1"/>
  <c r="BK167" i="1"/>
  <c r="BJ167" i="1"/>
  <c r="U167" i="1"/>
  <c r="T167" i="1"/>
  <c r="S167" i="1"/>
  <c r="R167" i="1"/>
  <c r="Q167" i="1"/>
  <c r="F167" i="1"/>
  <c r="E167" i="1"/>
  <c r="D167" i="1"/>
  <c r="C167" i="1"/>
  <c r="CJ166" i="1"/>
  <c r="CI166" i="1" a="1"/>
  <c r="CI166" i="1"/>
  <c r="CH166" i="1" a="1"/>
  <c r="CH166" i="1"/>
  <c r="CG166" i="1"/>
  <c r="CF166" i="1"/>
  <c r="CE166" i="1" a="1"/>
  <c r="CE166" i="1"/>
  <c r="CD166" i="1" a="1"/>
  <c r="CD166" i="1"/>
  <c r="CC166" i="1"/>
  <c r="CB166" i="1"/>
  <c r="CA166" i="1" a="1"/>
  <c r="CA166" i="1"/>
  <c r="BZ166" i="1" a="1"/>
  <c r="BZ166" i="1"/>
  <c r="BY166" i="1"/>
  <c r="BX166" i="1"/>
  <c r="BW166" i="1" a="1"/>
  <c r="BW166" i="1"/>
  <c r="BV166" i="1"/>
  <c r="BU166" i="1"/>
  <c r="BT166" i="1"/>
  <c r="BS166" i="1" a="1"/>
  <c r="BS166" i="1"/>
  <c r="BR166" i="1"/>
  <c r="BQ166" i="1"/>
  <c r="BP166" i="1"/>
  <c r="BO166" i="1" a="1"/>
  <c r="BO166" i="1"/>
  <c r="BN166" i="1"/>
  <c r="BM166" i="1"/>
  <c r="BL166" i="1"/>
  <c r="BK166" i="1"/>
  <c r="BJ166" i="1"/>
  <c r="U166" i="1"/>
  <c r="T166" i="1"/>
  <c r="S166" i="1"/>
  <c r="R166" i="1"/>
  <c r="Q166" i="1"/>
  <c r="F166" i="1"/>
  <c r="E166" i="1"/>
  <c r="D166" i="1"/>
  <c r="C166" i="1"/>
  <c r="CJ165" i="1"/>
  <c r="CI165" i="1" a="1"/>
  <c r="CI165" i="1"/>
  <c r="CH165" i="1" a="1"/>
  <c r="CH165" i="1"/>
  <c r="CG165" i="1"/>
  <c r="CF165" i="1"/>
  <c r="CE165" i="1" a="1"/>
  <c r="CE165" i="1"/>
  <c r="CD165" i="1" a="1"/>
  <c r="CD165" i="1"/>
  <c r="CC165" i="1"/>
  <c r="CB165" i="1"/>
  <c r="CA165" i="1" a="1"/>
  <c r="CA165" i="1"/>
  <c r="BZ165" i="1" a="1"/>
  <c r="BZ165" i="1"/>
  <c r="BY165" i="1"/>
  <c r="BX165" i="1"/>
  <c r="BW165" i="1" a="1"/>
  <c r="BW165" i="1"/>
  <c r="BV165" i="1"/>
  <c r="BU165" i="1"/>
  <c r="BT165" i="1"/>
  <c r="BS165" i="1" a="1"/>
  <c r="BS165" i="1"/>
  <c r="BR165" i="1"/>
  <c r="BQ165" i="1"/>
  <c r="BP165" i="1"/>
  <c r="BO165" i="1" a="1"/>
  <c r="BO165" i="1"/>
  <c r="BN165" i="1"/>
  <c r="BM165" i="1"/>
  <c r="BL165" i="1"/>
  <c r="BK165" i="1"/>
  <c r="BJ165" i="1"/>
  <c r="U165" i="1"/>
  <c r="T165" i="1"/>
  <c r="S165" i="1"/>
  <c r="R165" i="1"/>
  <c r="Q165" i="1"/>
  <c r="F165" i="1"/>
  <c r="E165" i="1"/>
  <c r="D165" i="1"/>
  <c r="C165" i="1"/>
  <c r="CJ164" i="1"/>
  <c r="CI164" i="1" a="1"/>
  <c r="CI164" i="1"/>
  <c r="CH164" i="1" a="1"/>
  <c r="CH164" i="1"/>
  <c r="CG164" i="1"/>
  <c r="CF164" i="1"/>
  <c r="CE164" i="1" a="1"/>
  <c r="CE164" i="1"/>
  <c r="CD164" i="1" a="1"/>
  <c r="CD164" i="1"/>
  <c r="CC164" i="1"/>
  <c r="CB164" i="1"/>
  <c r="CA164" i="1" a="1"/>
  <c r="CA164" i="1"/>
  <c r="BZ164" i="1" a="1"/>
  <c r="BZ164" i="1"/>
  <c r="BY164" i="1"/>
  <c r="BX164" i="1"/>
  <c r="BW164" i="1" a="1"/>
  <c r="BW164" i="1"/>
  <c r="BV164" i="1"/>
  <c r="BU164" i="1"/>
  <c r="BT164" i="1"/>
  <c r="BS164" i="1" a="1"/>
  <c r="BS164" i="1"/>
  <c r="BR164" i="1"/>
  <c r="BQ164" i="1"/>
  <c r="BP164" i="1"/>
  <c r="BO164" i="1" a="1"/>
  <c r="BO164" i="1"/>
  <c r="BN164" i="1"/>
  <c r="BM164" i="1"/>
  <c r="BL164" i="1"/>
  <c r="BK164" i="1"/>
  <c r="BJ164" i="1"/>
  <c r="U164" i="1"/>
  <c r="T164" i="1"/>
  <c r="S164" i="1"/>
  <c r="R164" i="1"/>
  <c r="Q164" i="1"/>
  <c r="F164" i="1"/>
  <c r="E164" i="1"/>
  <c r="D164" i="1"/>
  <c r="C164" i="1"/>
  <c r="CJ163" i="1"/>
  <c r="CI163" i="1" a="1"/>
  <c r="CI163" i="1"/>
  <c r="CH163" i="1" a="1"/>
  <c r="CH163" i="1"/>
  <c r="CG163" i="1"/>
  <c r="CF163" i="1"/>
  <c r="CE163" i="1" a="1"/>
  <c r="CE163" i="1"/>
  <c r="CD163" i="1" a="1"/>
  <c r="CD163" i="1"/>
  <c r="CC163" i="1"/>
  <c r="CB163" i="1"/>
  <c r="CA163" i="1" a="1"/>
  <c r="CA163" i="1"/>
  <c r="BZ163" i="1" a="1"/>
  <c r="BZ163" i="1"/>
  <c r="BY163" i="1"/>
  <c r="BX163" i="1"/>
  <c r="BW163" i="1" a="1"/>
  <c r="BW163" i="1"/>
  <c r="BV163" i="1"/>
  <c r="BU163" i="1"/>
  <c r="BT163" i="1"/>
  <c r="BS163" i="1" a="1"/>
  <c r="BS163" i="1"/>
  <c r="BR163" i="1"/>
  <c r="BQ163" i="1"/>
  <c r="BP163" i="1"/>
  <c r="BO163" i="1" a="1"/>
  <c r="BO163" i="1"/>
  <c r="BN163" i="1"/>
  <c r="BM163" i="1"/>
  <c r="BL163" i="1"/>
  <c r="BK163" i="1"/>
  <c r="BJ163" i="1"/>
  <c r="U163" i="1"/>
  <c r="T163" i="1"/>
  <c r="S163" i="1"/>
  <c r="R163" i="1"/>
  <c r="Q163" i="1"/>
  <c r="F163" i="1"/>
  <c r="E163" i="1"/>
  <c r="D163" i="1"/>
  <c r="C163" i="1"/>
  <c r="CJ162" i="1"/>
  <c r="CI162" i="1" a="1"/>
  <c r="CI162" i="1"/>
  <c r="CH162" i="1" a="1"/>
  <c r="CH162" i="1"/>
  <c r="CG162" i="1"/>
  <c r="CF162" i="1"/>
  <c r="CE162" i="1" a="1"/>
  <c r="CE162" i="1"/>
  <c r="CD162" i="1" a="1"/>
  <c r="CD162" i="1"/>
  <c r="CC162" i="1"/>
  <c r="CB162" i="1"/>
  <c r="CA162" i="1" a="1"/>
  <c r="CA162" i="1"/>
  <c r="BZ162" i="1" a="1"/>
  <c r="BZ162" i="1"/>
  <c r="BY162" i="1"/>
  <c r="BX162" i="1"/>
  <c r="BW162" i="1" a="1"/>
  <c r="BW162" i="1"/>
  <c r="BV162" i="1"/>
  <c r="BU162" i="1"/>
  <c r="BT162" i="1"/>
  <c r="BS162" i="1" a="1"/>
  <c r="BS162" i="1"/>
  <c r="BR162" i="1"/>
  <c r="BQ162" i="1"/>
  <c r="BP162" i="1"/>
  <c r="BO162" i="1" a="1"/>
  <c r="BO162" i="1"/>
  <c r="BN162" i="1"/>
  <c r="BM162" i="1"/>
  <c r="BL162" i="1"/>
  <c r="BK162" i="1"/>
  <c r="BJ162" i="1"/>
  <c r="U162" i="1"/>
  <c r="T162" i="1"/>
  <c r="S162" i="1"/>
  <c r="R162" i="1"/>
  <c r="Q162" i="1"/>
  <c r="F162" i="1"/>
  <c r="E162" i="1"/>
  <c r="D162" i="1"/>
  <c r="C162" i="1"/>
  <c r="CJ161" i="1"/>
  <c r="CI161" i="1" a="1"/>
  <c r="CI161" i="1"/>
  <c r="CH161" i="1" a="1"/>
  <c r="CH161" i="1"/>
  <c r="CG161" i="1"/>
  <c r="CF161" i="1"/>
  <c r="CE161" i="1" a="1"/>
  <c r="CE161" i="1"/>
  <c r="CD161" i="1" a="1"/>
  <c r="CD161" i="1"/>
  <c r="CC161" i="1"/>
  <c r="CB161" i="1"/>
  <c r="CA161" i="1" a="1"/>
  <c r="CA161" i="1"/>
  <c r="BZ161" i="1" a="1"/>
  <c r="BZ161" i="1"/>
  <c r="BY161" i="1"/>
  <c r="BX161" i="1"/>
  <c r="BW161" i="1" a="1"/>
  <c r="BW161" i="1"/>
  <c r="BV161" i="1"/>
  <c r="BU161" i="1"/>
  <c r="BT161" i="1"/>
  <c r="BS161" i="1" a="1"/>
  <c r="BS161" i="1"/>
  <c r="BR161" i="1"/>
  <c r="BQ161" i="1"/>
  <c r="BP161" i="1"/>
  <c r="BO161" i="1" a="1"/>
  <c r="BO161" i="1"/>
  <c r="BN161" i="1"/>
  <c r="BM161" i="1"/>
  <c r="BL161" i="1"/>
  <c r="BK161" i="1"/>
  <c r="BJ161" i="1"/>
  <c r="U161" i="1"/>
  <c r="T161" i="1"/>
  <c r="S161" i="1"/>
  <c r="R161" i="1"/>
  <c r="Q161" i="1"/>
  <c r="F161" i="1"/>
  <c r="E161" i="1"/>
  <c r="D161" i="1"/>
  <c r="C161" i="1"/>
  <c r="CJ160" i="1"/>
  <c r="CI160" i="1" a="1"/>
  <c r="CI160" i="1"/>
  <c r="CH160" i="1" a="1"/>
  <c r="CH160" i="1"/>
  <c r="CG160" i="1"/>
  <c r="CF160" i="1"/>
  <c r="CE160" i="1" a="1"/>
  <c r="CE160" i="1"/>
  <c r="CD160" i="1" a="1"/>
  <c r="CD160" i="1"/>
  <c r="CC160" i="1"/>
  <c r="CB160" i="1"/>
  <c r="CA160" i="1" a="1"/>
  <c r="CA160" i="1"/>
  <c r="BZ160" i="1" a="1"/>
  <c r="BZ160" i="1"/>
  <c r="BY160" i="1"/>
  <c r="BX160" i="1"/>
  <c r="BW160" i="1" a="1"/>
  <c r="BW160" i="1"/>
  <c r="BV160" i="1"/>
  <c r="BU160" i="1"/>
  <c r="BT160" i="1"/>
  <c r="BS160" i="1" a="1"/>
  <c r="BS160" i="1"/>
  <c r="BR160" i="1"/>
  <c r="BQ160" i="1"/>
  <c r="BP160" i="1"/>
  <c r="BO160" i="1" a="1"/>
  <c r="BO160" i="1"/>
  <c r="BN160" i="1"/>
  <c r="BM160" i="1"/>
  <c r="BL160" i="1"/>
  <c r="BK160" i="1"/>
  <c r="BJ160" i="1"/>
  <c r="U160" i="1"/>
  <c r="T160" i="1"/>
  <c r="S160" i="1"/>
  <c r="R160" i="1"/>
  <c r="Q160" i="1"/>
  <c r="F160" i="1"/>
  <c r="E160" i="1"/>
  <c r="D160" i="1"/>
  <c r="C160" i="1"/>
  <c r="CJ159" i="1"/>
  <c r="CI159" i="1" a="1"/>
  <c r="CI159" i="1"/>
  <c r="CH159" i="1" a="1"/>
  <c r="CH159" i="1"/>
  <c r="CG159" i="1"/>
  <c r="CF159" i="1"/>
  <c r="CE159" i="1" a="1"/>
  <c r="CE159" i="1"/>
  <c r="CD159" i="1" a="1"/>
  <c r="CD159" i="1"/>
  <c r="CC159" i="1"/>
  <c r="CB159" i="1"/>
  <c r="CA159" i="1" a="1"/>
  <c r="CA159" i="1"/>
  <c r="BZ159" i="1" a="1"/>
  <c r="BZ159" i="1"/>
  <c r="BY159" i="1"/>
  <c r="BX159" i="1"/>
  <c r="BW159" i="1" a="1"/>
  <c r="BW159" i="1"/>
  <c r="BV159" i="1"/>
  <c r="BU159" i="1"/>
  <c r="BT159" i="1"/>
  <c r="BS159" i="1" a="1"/>
  <c r="BS159" i="1"/>
  <c r="BR159" i="1"/>
  <c r="BQ159" i="1"/>
  <c r="BP159" i="1"/>
  <c r="BO159" i="1" a="1"/>
  <c r="BO159" i="1"/>
  <c r="BN159" i="1"/>
  <c r="BM159" i="1"/>
  <c r="BL159" i="1"/>
  <c r="BK159" i="1"/>
  <c r="BJ159" i="1"/>
  <c r="U159" i="1"/>
  <c r="T159" i="1"/>
  <c r="S159" i="1"/>
  <c r="R159" i="1"/>
  <c r="Q159" i="1"/>
  <c r="F159" i="1"/>
  <c r="E159" i="1"/>
  <c r="D159" i="1"/>
  <c r="C159" i="1"/>
  <c r="CJ158" i="1"/>
  <c r="CI158" i="1" a="1"/>
  <c r="CI158" i="1"/>
  <c r="CH158" i="1" a="1"/>
  <c r="CH158" i="1"/>
  <c r="CG158" i="1"/>
  <c r="CF158" i="1"/>
  <c r="CE158" i="1" a="1"/>
  <c r="CE158" i="1"/>
  <c r="CD158" i="1" a="1"/>
  <c r="CD158" i="1"/>
  <c r="CC158" i="1"/>
  <c r="CB158" i="1"/>
  <c r="CA158" i="1" a="1"/>
  <c r="CA158" i="1"/>
  <c r="BZ158" i="1" a="1"/>
  <c r="BZ158" i="1"/>
  <c r="BY158" i="1"/>
  <c r="BX158" i="1"/>
  <c r="BW158" i="1" a="1"/>
  <c r="BW158" i="1"/>
  <c r="BV158" i="1"/>
  <c r="BU158" i="1"/>
  <c r="BT158" i="1"/>
  <c r="BS158" i="1" a="1"/>
  <c r="BS158" i="1"/>
  <c r="BR158" i="1"/>
  <c r="BQ158" i="1"/>
  <c r="BP158" i="1"/>
  <c r="BO158" i="1" a="1"/>
  <c r="BO158" i="1"/>
  <c r="BN158" i="1"/>
  <c r="BM158" i="1"/>
  <c r="BL158" i="1"/>
  <c r="BK158" i="1"/>
  <c r="BJ158" i="1"/>
  <c r="U158" i="1"/>
  <c r="T158" i="1"/>
  <c r="S158" i="1"/>
  <c r="R158" i="1"/>
  <c r="Q158" i="1"/>
  <c r="F158" i="1"/>
  <c r="E158" i="1"/>
  <c r="D158" i="1"/>
  <c r="C158" i="1"/>
  <c r="CJ157" i="1"/>
  <c r="CI157" i="1" a="1"/>
  <c r="CI157" i="1"/>
  <c r="CH157" i="1" a="1"/>
  <c r="CH157" i="1"/>
  <c r="CG157" i="1"/>
  <c r="CF157" i="1"/>
  <c r="CE157" i="1" a="1"/>
  <c r="CE157" i="1"/>
  <c r="CD157" i="1" a="1"/>
  <c r="CD157" i="1"/>
  <c r="CC157" i="1"/>
  <c r="CB157" i="1"/>
  <c r="CA157" i="1" a="1"/>
  <c r="CA157" i="1"/>
  <c r="BZ157" i="1" a="1"/>
  <c r="BZ157" i="1"/>
  <c r="BY157" i="1"/>
  <c r="BX157" i="1"/>
  <c r="BW157" i="1" a="1"/>
  <c r="BW157" i="1"/>
  <c r="BV157" i="1"/>
  <c r="BU157" i="1"/>
  <c r="BT157" i="1"/>
  <c r="BS157" i="1" a="1"/>
  <c r="BS157" i="1"/>
  <c r="BR157" i="1"/>
  <c r="BQ157" i="1"/>
  <c r="BP157" i="1"/>
  <c r="BO157" i="1" a="1"/>
  <c r="BO157" i="1"/>
  <c r="BN157" i="1"/>
  <c r="BM157" i="1"/>
  <c r="BL157" i="1"/>
  <c r="BK157" i="1"/>
  <c r="BJ157" i="1"/>
  <c r="U157" i="1"/>
  <c r="T157" i="1"/>
  <c r="S157" i="1"/>
  <c r="R157" i="1"/>
  <c r="Q157" i="1"/>
  <c r="F157" i="1"/>
  <c r="E157" i="1"/>
  <c r="D157" i="1"/>
  <c r="C157" i="1"/>
  <c r="CJ156" i="1"/>
  <c r="CI156" i="1" a="1"/>
  <c r="CI156" i="1"/>
  <c r="CH156" i="1" a="1"/>
  <c r="CH156" i="1"/>
  <c r="CG156" i="1"/>
  <c r="CF156" i="1"/>
  <c r="CE156" i="1" a="1"/>
  <c r="CE156" i="1"/>
  <c r="CD156" i="1" a="1"/>
  <c r="CD156" i="1"/>
  <c r="CC156" i="1"/>
  <c r="CB156" i="1"/>
  <c r="CA156" i="1" a="1"/>
  <c r="CA156" i="1"/>
  <c r="BZ156" i="1" a="1"/>
  <c r="BZ156" i="1"/>
  <c r="BY156" i="1"/>
  <c r="BX156" i="1"/>
  <c r="BW156" i="1" a="1"/>
  <c r="BW156" i="1"/>
  <c r="BV156" i="1"/>
  <c r="BU156" i="1"/>
  <c r="BT156" i="1"/>
  <c r="BS156" i="1" a="1"/>
  <c r="BS156" i="1"/>
  <c r="BR156" i="1"/>
  <c r="BQ156" i="1"/>
  <c r="BP156" i="1"/>
  <c r="BO156" i="1" a="1"/>
  <c r="BO156" i="1"/>
  <c r="BN156" i="1"/>
  <c r="BM156" i="1"/>
  <c r="BL156" i="1"/>
  <c r="BK156" i="1"/>
  <c r="BJ156" i="1"/>
  <c r="U156" i="1"/>
  <c r="T156" i="1"/>
  <c r="S156" i="1"/>
  <c r="R156" i="1"/>
  <c r="Q156" i="1"/>
  <c r="F156" i="1"/>
  <c r="E156" i="1"/>
  <c r="D156" i="1"/>
  <c r="C156" i="1"/>
  <c r="CJ155" i="1"/>
  <c r="CI155" i="1" a="1"/>
  <c r="CI155" i="1"/>
  <c r="CH155" i="1" a="1"/>
  <c r="CH155" i="1"/>
  <c r="CG155" i="1"/>
  <c r="CF155" i="1"/>
  <c r="CE155" i="1" a="1"/>
  <c r="CE155" i="1"/>
  <c r="CD155" i="1" a="1"/>
  <c r="CD155" i="1"/>
  <c r="CC155" i="1"/>
  <c r="CB155" i="1"/>
  <c r="CA155" i="1" a="1"/>
  <c r="CA155" i="1"/>
  <c r="BZ155" i="1" a="1"/>
  <c r="BZ155" i="1"/>
  <c r="BY155" i="1"/>
  <c r="BX155" i="1"/>
  <c r="BW155" i="1" a="1"/>
  <c r="BW155" i="1"/>
  <c r="BV155" i="1"/>
  <c r="BU155" i="1"/>
  <c r="BT155" i="1"/>
  <c r="BS155" i="1" a="1"/>
  <c r="BS155" i="1"/>
  <c r="BR155" i="1"/>
  <c r="BQ155" i="1"/>
  <c r="BP155" i="1"/>
  <c r="BO155" i="1" a="1"/>
  <c r="BO155" i="1"/>
  <c r="BN155" i="1"/>
  <c r="BM155" i="1"/>
  <c r="BL155" i="1"/>
  <c r="BK155" i="1"/>
  <c r="BJ155" i="1"/>
  <c r="U155" i="1"/>
  <c r="T155" i="1"/>
  <c r="S155" i="1"/>
  <c r="R155" i="1"/>
  <c r="Q155" i="1"/>
  <c r="F155" i="1"/>
  <c r="E155" i="1"/>
  <c r="D155" i="1"/>
  <c r="C155" i="1"/>
  <c r="CJ154" i="1"/>
  <c r="CI154" i="1" a="1"/>
  <c r="CI154" i="1"/>
  <c r="CH154" i="1" a="1"/>
  <c r="CH154" i="1"/>
  <c r="CG154" i="1"/>
  <c r="CF154" i="1"/>
  <c r="CE154" i="1" a="1"/>
  <c r="CE154" i="1"/>
  <c r="CD154" i="1" a="1"/>
  <c r="CD154" i="1"/>
  <c r="CC154" i="1"/>
  <c r="CB154" i="1"/>
  <c r="CA154" i="1" a="1"/>
  <c r="CA154" i="1"/>
  <c r="BZ154" i="1" a="1"/>
  <c r="BZ154" i="1"/>
  <c r="BY154" i="1"/>
  <c r="BX154" i="1"/>
  <c r="BW154" i="1" a="1"/>
  <c r="BW154" i="1"/>
  <c r="BV154" i="1"/>
  <c r="BU154" i="1"/>
  <c r="BT154" i="1"/>
  <c r="BS154" i="1" a="1"/>
  <c r="BS154" i="1"/>
  <c r="BR154" i="1"/>
  <c r="BQ154" i="1"/>
  <c r="BP154" i="1"/>
  <c r="BO154" i="1" a="1"/>
  <c r="BO154" i="1"/>
  <c r="BN154" i="1"/>
  <c r="BM154" i="1"/>
  <c r="BL154" i="1"/>
  <c r="BK154" i="1"/>
  <c r="BJ154" i="1"/>
  <c r="U154" i="1"/>
  <c r="T154" i="1"/>
  <c r="S154" i="1"/>
  <c r="R154" i="1"/>
  <c r="Q154" i="1"/>
  <c r="F154" i="1"/>
  <c r="E154" i="1"/>
  <c r="D154" i="1"/>
  <c r="C154" i="1"/>
  <c r="CJ153" i="1"/>
  <c r="CI153" i="1" a="1"/>
  <c r="CI153" i="1"/>
  <c r="CH153" i="1" a="1"/>
  <c r="CH153" i="1"/>
  <c r="CG153" i="1"/>
  <c r="CF153" i="1"/>
  <c r="CE153" i="1" a="1"/>
  <c r="CE153" i="1"/>
  <c r="CD153" i="1" a="1"/>
  <c r="CD153" i="1"/>
  <c r="CC153" i="1"/>
  <c r="CB153" i="1"/>
  <c r="CA153" i="1" a="1"/>
  <c r="CA153" i="1"/>
  <c r="BZ153" i="1" a="1"/>
  <c r="BZ153" i="1"/>
  <c r="BY153" i="1"/>
  <c r="BX153" i="1"/>
  <c r="BW153" i="1" a="1"/>
  <c r="BW153" i="1"/>
  <c r="BV153" i="1"/>
  <c r="BU153" i="1"/>
  <c r="BT153" i="1"/>
  <c r="BS153" i="1" a="1"/>
  <c r="BS153" i="1"/>
  <c r="BR153" i="1"/>
  <c r="BQ153" i="1"/>
  <c r="BP153" i="1"/>
  <c r="BO153" i="1" a="1"/>
  <c r="BO153" i="1"/>
  <c r="BN153" i="1"/>
  <c r="BM153" i="1"/>
  <c r="BL153" i="1"/>
  <c r="BK153" i="1"/>
  <c r="BJ153" i="1"/>
  <c r="U153" i="1"/>
  <c r="T153" i="1"/>
  <c r="S153" i="1"/>
  <c r="R153" i="1"/>
  <c r="Q153" i="1"/>
  <c r="F153" i="1"/>
  <c r="E153" i="1"/>
  <c r="D153" i="1"/>
  <c r="C153" i="1"/>
  <c r="CJ152" i="1"/>
  <c r="CI152" i="1" a="1"/>
  <c r="CI152" i="1"/>
  <c r="CH152" i="1" a="1"/>
  <c r="CH152" i="1"/>
  <c r="CG152" i="1"/>
  <c r="CF152" i="1"/>
  <c r="CE152" i="1" a="1"/>
  <c r="CE152" i="1"/>
  <c r="CD152" i="1" a="1"/>
  <c r="CD152" i="1"/>
  <c r="CC152" i="1"/>
  <c r="CB152" i="1"/>
  <c r="CA152" i="1" a="1"/>
  <c r="CA152" i="1"/>
  <c r="BZ152" i="1" a="1"/>
  <c r="BZ152" i="1"/>
  <c r="BY152" i="1"/>
  <c r="BX152" i="1"/>
  <c r="BW152" i="1" a="1"/>
  <c r="BW152" i="1"/>
  <c r="BV152" i="1"/>
  <c r="BU152" i="1"/>
  <c r="BT152" i="1"/>
  <c r="BS152" i="1" a="1"/>
  <c r="BS152" i="1"/>
  <c r="BR152" i="1"/>
  <c r="BQ152" i="1"/>
  <c r="BP152" i="1"/>
  <c r="BO152" i="1" a="1"/>
  <c r="BO152" i="1"/>
  <c r="BN152" i="1"/>
  <c r="BM152" i="1"/>
  <c r="BL152" i="1"/>
  <c r="BK152" i="1"/>
  <c r="BJ152" i="1"/>
  <c r="U152" i="1"/>
  <c r="T152" i="1"/>
  <c r="S152" i="1"/>
  <c r="R152" i="1"/>
  <c r="Q152" i="1"/>
  <c r="F152" i="1"/>
  <c r="E152" i="1"/>
  <c r="D152" i="1"/>
  <c r="C152" i="1"/>
  <c r="CJ151" i="1"/>
  <c r="CI151" i="1" a="1"/>
  <c r="CI151" i="1"/>
  <c r="CH151" i="1" a="1"/>
  <c r="CH151" i="1"/>
  <c r="CG151" i="1"/>
  <c r="CF151" i="1"/>
  <c r="CE151" i="1" a="1"/>
  <c r="CE151" i="1"/>
  <c r="CD151" i="1" a="1"/>
  <c r="CD151" i="1"/>
  <c r="CC151" i="1"/>
  <c r="CB151" i="1"/>
  <c r="CA151" i="1" a="1"/>
  <c r="CA151" i="1"/>
  <c r="BZ151" i="1" a="1"/>
  <c r="BZ151" i="1"/>
  <c r="BY151" i="1"/>
  <c r="BX151" i="1"/>
  <c r="BW151" i="1" a="1"/>
  <c r="BW151" i="1"/>
  <c r="BV151" i="1"/>
  <c r="BU151" i="1"/>
  <c r="BT151" i="1"/>
  <c r="BS151" i="1" a="1"/>
  <c r="BS151" i="1"/>
  <c r="BR151" i="1"/>
  <c r="BQ151" i="1"/>
  <c r="BP151" i="1"/>
  <c r="BO151" i="1" a="1"/>
  <c r="BO151" i="1"/>
  <c r="BN151" i="1"/>
  <c r="BM151" i="1"/>
  <c r="BL151" i="1"/>
  <c r="BK151" i="1"/>
  <c r="BJ151" i="1"/>
  <c r="U151" i="1"/>
  <c r="T151" i="1"/>
  <c r="S151" i="1"/>
  <c r="R151" i="1"/>
  <c r="Q151" i="1"/>
  <c r="F151" i="1"/>
  <c r="E151" i="1"/>
  <c r="D151" i="1"/>
  <c r="C151" i="1"/>
  <c r="CJ150" i="1"/>
  <c r="CI150" i="1" a="1"/>
  <c r="CI150" i="1"/>
  <c r="CH150" i="1" a="1"/>
  <c r="CH150" i="1"/>
  <c r="CG150" i="1"/>
  <c r="CF150" i="1"/>
  <c r="CE150" i="1" a="1"/>
  <c r="CE150" i="1"/>
  <c r="CD150" i="1" a="1"/>
  <c r="CD150" i="1"/>
  <c r="CC150" i="1"/>
  <c r="CB150" i="1"/>
  <c r="CA150" i="1" a="1"/>
  <c r="CA150" i="1"/>
  <c r="BZ150" i="1" a="1"/>
  <c r="BZ150" i="1"/>
  <c r="BY150" i="1"/>
  <c r="BX150" i="1"/>
  <c r="BW150" i="1" a="1"/>
  <c r="BW150" i="1"/>
  <c r="BV150" i="1"/>
  <c r="BU150" i="1"/>
  <c r="BT150" i="1"/>
  <c r="BS150" i="1" a="1"/>
  <c r="BS150" i="1"/>
  <c r="BR150" i="1"/>
  <c r="BQ150" i="1"/>
  <c r="BP150" i="1"/>
  <c r="BO150" i="1" a="1"/>
  <c r="BO150" i="1"/>
  <c r="BN150" i="1"/>
  <c r="BM150" i="1"/>
  <c r="BL150" i="1"/>
  <c r="BK150" i="1"/>
  <c r="BJ150" i="1"/>
  <c r="U150" i="1"/>
  <c r="T150" i="1"/>
  <c r="S150" i="1"/>
  <c r="R150" i="1"/>
  <c r="Q150" i="1"/>
  <c r="F150" i="1"/>
  <c r="E150" i="1"/>
  <c r="D150" i="1"/>
  <c r="C150" i="1"/>
  <c r="CJ149" i="1"/>
  <c r="CI149" i="1" a="1"/>
  <c r="CI149" i="1"/>
  <c r="CH149" i="1" a="1"/>
  <c r="CH149" i="1"/>
  <c r="CG149" i="1"/>
  <c r="CF149" i="1"/>
  <c r="CE149" i="1" a="1"/>
  <c r="CE149" i="1"/>
  <c r="CD149" i="1" a="1"/>
  <c r="CD149" i="1"/>
  <c r="CC149" i="1"/>
  <c r="CB149" i="1"/>
  <c r="CA149" i="1" a="1"/>
  <c r="CA149" i="1"/>
  <c r="BZ149" i="1" a="1"/>
  <c r="BZ149" i="1"/>
  <c r="BY149" i="1"/>
  <c r="BX149" i="1"/>
  <c r="BW149" i="1" a="1"/>
  <c r="BW149" i="1"/>
  <c r="BV149" i="1"/>
  <c r="BU149" i="1"/>
  <c r="BT149" i="1"/>
  <c r="BS149" i="1" a="1"/>
  <c r="BS149" i="1"/>
  <c r="BR149" i="1"/>
  <c r="BQ149" i="1"/>
  <c r="BP149" i="1"/>
  <c r="BO149" i="1" a="1"/>
  <c r="BO149" i="1"/>
  <c r="BN149" i="1"/>
  <c r="BM149" i="1"/>
  <c r="BL149" i="1"/>
  <c r="BK149" i="1"/>
  <c r="BJ149" i="1"/>
  <c r="U149" i="1"/>
  <c r="T149" i="1"/>
  <c r="S149" i="1"/>
  <c r="R149" i="1"/>
  <c r="Q149" i="1"/>
  <c r="F149" i="1"/>
  <c r="E149" i="1"/>
  <c r="D149" i="1"/>
  <c r="C149" i="1"/>
  <c r="CJ148" i="1"/>
  <c r="CI148" i="1" a="1"/>
  <c r="CI148" i="1"/>
  <c r="CH148" i="1" a="1"/>
  <c r="CH148" i="1"/>
  <c r="CG148" i="1"/>
  <c r="CF148" i="1"/>
  <c r="CE148" i="1" a="1"/>
  <c r="CE148" i="1"/>
  <c r="CD148" i="1" a="1"/>
  <c r="CD148" i="1"/>
  <c r="CC148" i="1"/>
  <c r="CB148" i="1"/>
  <c r="CA148" i="1" a="1"/>
  <c r="CA148" i="1"/>
  <c r="BZ148" i="1" a="1"/>
  <c r="BZ148" i="1"/>
  <c r="BY148" i="1"/>
  <c r="BX148" i="1"/>
  <c r="BW148" i="1" a="1"/>
  <c r="BW148" i="1"/>
  <c r="BV148" i="1"/>
  <c r="BU148" i="1"/>
  <c r="BT148" i="1"/>
  <c r="BS148" i="1" a="1"/>
  <c r="BS148" i="1"/>
  <c r="BR148" i="1"/>
  <c r="BQ148" i="1"/>
  <c r="BP148" i="1"/>
  <c r="BO148" i="1" a="1"/>
  <c r="BO148" i="1"/>
  <c r="BN148" i="1"/>
  <c r="BM148" i="1"/>
  <c r="BL148" i="1"/>
  <c r="BK148" i="1"/>
  <c r="BJ148" i="1"/>
  <c r="U148" i="1"/>
  <c r="T148" i="1"/>
  <c r="S148" i="1"/>
  <c r="R148" i="1"/>
  <c r="Q148" i="1"/>
  <c r="F148" i="1"/>
  <c r="E148" i="1"/>
  <c r="D148" i="1"/>
  <c r="C148" i="1"/>
  <c r="CJ147" i="1"/>
  <c r="CI147" i="1" a="1"/>
  <c r="CI147" i="1"/>
  <c r="CH147" i="1" a="1"/>
  <c r="CH147" i="1"/>
  <c r="CG147" i="1"/>
  <c r="CF147" i="1"/>
  <c r="CE147" i="1" a="1"/>
  <c r="CE147" i="1"/>
  <c r="CD147" i="1" a="1"/>
  <c r="CD147" i="1"/>
  <c r="CC147" i="1"/>
  <c r="CB147" i="1"/>
  <c r="CA147" i="1" a="1"/>
  <c r="CA147" i="1"/>
  <c r="BZ147" i="1" a="1"/>
  <c r="BZ147" i="1"/>
  <c r="BY147" i="1"/>
  <c r="BX147" i="1"/>
  <c r="BW147" i="1" a="1"/>
  <c r="BW147" i="1"/>
  <c r="BV147" i="1"/>
  <c r="BU147" i="1"/>
  <c r="BT147" i="1"/>
  <c r="BS147" i="1" a="1"/>
  <c r="BS147" i="1"/>
  <c r="BR147" i="1"/>
  <c r="BQ147" i="1"/>
  <c r="BP147" i="1"/>
  <c r="BO147" i="1" a="1"/>
  <c r="BO147" i="1"/>
  <c r="BN147" i="1"/>
  <c r="BM147" i="1"/>
  <c r="BL147" i="1"/>
  <c r="BK147" i="1"/>
  <c r="BJ147" i="1"/>
  <c r="U147" i="1"/>
  <c r="T147" i="1"/>
  <c r="S147" i="1"/>
  <c r="R147" i="1"/>
  <c r="Q147" i="1"/>
  <c r="F147" i="1"/>
  <c r="E147" i="1"/>
  <c r="D147" i="1"/>
  <c r="C147" i="1"/>
  <c r="CJ146" i="1"/>
  <c r="CI146" i="1" a="1"/>
  <c r="CI146" i="1"/>
  <c r="CH146" i="1" a="1"/>
  <c r="CH146" i="1"/>
  <c r="CG146" i="1"/>
  <c r="CF146" i="1"/>
  <c r="CE146" i="1" a="1"/>
  <c r="CE146" i="1"/>
  <c r="CD146" i="1" a="1"/>
  <c r="CD146" i="1"/>
  <c r="CC146" i="1"/>
  <c r="CB146" i="1"/>
  <c r="CA146" i="1" a="1"/>
  <c r="CA146" i="1"/>
  <c r="BZ146" i="1" a="1"/>
  <c r="BZ146" i="1"/>
  <c r="BY146" i="1"/>
  <c r="BX146" i="1"/>
  <c r="BW146" i="1" a="1"/>
  <c r="BW146" i="1"/>
  <c r="BV146" i="1"/>
  <c r="BU146" i="1"/>
  <c r="BT146" i="1"/>
  <c r="BS146" i="1" a="1"/>
  <c r="BS146" i="1"/>
  <c r="BR146" i="1"/>
  <c r="BQ146" i="1"/>
  <c r="BP146" i="1"/>
  <c r="BO146" i="1" a="1"/>
  <c r="BO146" i="1"/>
  <c r="BN146" i="1"/>
  <c r="BM146" i="1"/>
  <c r="BL146" i="1"/>
  <c r="BK146" i="1"/>
  <c r="BJ146" i="1"/>
  <c r="U146" i="1"/>
  <c r="T146" i="1"/>
  <c r="S146" i="1"/>
  <c r="R146" i="1"/>
  <c r="Q146" i="1"/>
  <c r="F146" i="1"/>
  <c r="E146" i="1"/>
  <c r="D146" i="1"/>
  <c r="C146" i="1"/>
  <c r="CJ145" i="1"/>
  <c r="CI145" i="1" a="1"/>
  <c r="CI145" i="1"/>
  <c r="CH145" i="1" a="1"/>
  <c r="CH145" i="1"/>
  <c r="CG145" i="1"/>
  <c r="CF145" i="1"/>
  <c r="CE145" i="1" a="1"/>
  <c r="CE145" i="1"/>
  <c r="CD145" i="1" a="1"/>
  <c r="CD145" i="1"/>
  <c r="CC145" i="1"/>
  <c r="CB145" i="1"/>
  <c r="CA145" i="1" a="1"/>
  <c r="CA145" i="1"/>
  <c r="BZ145" i="1" a="1"/>
  <c r="BZ145" i="1"/>
  <c r="BY145" i="1"/>
  <c r="BX145" i="1"/>
  <c r="BW145" i="1" a="1"/>
  <c r="BW145" i="1"/>
  <c r="BV145" i="1"/>
  <c r="BU145" i="1"/>
  <c r="BT145" i="1"/>
  <c r="BS145" i="1" a="1"/>
  <c r="BS145" i="1"/>
  <c r="BR145" i="1"/>
  <c r="BQ145" i="1"/>
  <c r="BP145" i="1"/>
  <c r="BO145" i="1" a="1"/>
  <c r="BO145" i="1"/>
  <c r="BN145" i="1"/>
  <c r="BM145" i="1"/>
  <c r="BL145" i="1"/>
  <c r="BK145" i="1"/>
  <c r="BJ145" i="1"/>
  <c r="U145" i="1"/>
  <c r="T145" i="1"/>
  <c r="S145" i="1"/>
  <c r="R145" i="1"/>
  <c r="Q145" i="1"/>
  <c r="F145" i="1"/>
  <c r="E145" i="1"/>
  <c r="D145" i="1"/>
  <c r="C145" i="1"/>
  <c r="CJ144" i="1"/>
  <c r="CI144" i="1" a="1"/>
  <c r="CI144" i="1"/>
  <c r="CH144" i="1" a="1"/>
  <c r="CH144" i="1"/>
  <c r="CG144" i="1"/>
  <c r="CF144" i="1"/>
  <c r="CE144" i="1" a="1"/>
  <c r="CE144" i="1"/>
  <c r="CD144" i="1" a="1"/>
  <c r="CD144" i="1"/>
  <c r="CC144" i="1"/>
  <c r="CB144" i="1"/>
  <c r="CA144" i="1" a="1"/>
  <c r="CA144" i="1"/>
  <c r="BZ144" i="1" a="1"/>
  <c r="BZ144" i="1"/>
  <c r="BY144" i="1"/>
  <c r="BX144" i="1"/>
  <c r="BW144" i="1" a="1"/>
  <c r="BW144" i="1"/>
  <c r="BV144" i="1"/>
  <c r="BU144" i="1"/>
  <c r="BT144" i="1"/>
  <c r="BS144" i="1" a="1"/>
  <c r="BS144" i="1"/>
  <c r="BR144" i="1"/>
  <c r="BQ144" i="1"/>
  <c r="BP144" i="1"/>
  <c r="BO144" i="1" a="1"/>
  <c r="BO144" i="1"/>
  <c r="BN144" i="1"/>
  <c r="BM144" i="1"/>
  <c r="BL144" i="1"/>
  <c r="BK144" i="1"/>
  <c r="BJ144" i="1"/>
  <c r="U144" i="1"/>
  <c r="T144" i="1"/>
  <c r="S144" i="1"/>
  <c r="R144" i="1"/>
  <c r="Q144" i="1"/>
  <c r="F144" i="1"/>
  <c r="E144" i="1"/>
  <c r="D144" i="1"/>
  <c r="C144" i="1"/>
  <c r="CJ143" i="1"/>
  <c r="CI143" i="1" a="1"/>
  <c r="CI143" i="1"/>
  <c r="CH143" i="1" a="1"/>
  <c r="CH143" i="1"/>
  <c r="CG143" i="1"/>
  <c r="CF143" i="1"/>
  <c r="CE143" i="1" a="1"/>
  <c r="CE143" i="1"/>
  <c r="CD143" i="1" a="1"/>
  <c r="CD143" i="1"/>
  <c r="CC143" i="1"/>
  <c r="CB143" i="1"/>
  <c r="CA143" i="1" a="1"/>
  <c r="CA143" i="1"/>
  <c r="BZ143" i="1" a="1"/>
  <c r="BZ143" i="1"/>
  <c r="BY143" i="1"/>
  <c r="BX143" i="1"/>
  <c r="BW143" i="1" a="1"/>
  <c r="BW143" i="1"/>
  <c r="BV143" i="1"/>
  <c r="BU143" i="1"/>
  <c r="BT143" i="1"/>
  <c r="BS143" i="1" a="1"/>
  <c r="BS143" i="1"/>
  <c r="BR143" i="1"/>
  <c r="BQ143" i="1"/>
  <c r="BP143" i="1"/>
  <c r="BO143" i="1" a="1"/>
  <c r="BO143" i="1"/>
  <c r="BN143" i="1"/>
  <c r="BM143" i="1"/>
  <c r="BL143" i="1"/>
  <c r="BK143" i="1"/>
  <c r="BJ143" i="1"/>
  <c r="U143" i="1"/>
  <c r="T143" i="1"/>
  <c r="S143" i="1"/>
  <c r="R143" i="1"/>
  <c r="Q143" i="1"/>
  <c r="F143" i="1"/>
  <c r="E143" i="1"/>
  <c r="D143" i="1"/>
  <c r="C143" i="1"/>
  <c r="CJ142" i="1"/>
  <c r="CI142" i="1" a="1"/>
  <c r="CI142" i="1"/>
  <c r="CH142" i="1" a="1"/>
  <c r="CH142" i="1"/>
  <c r="CG142" i="1"/>
  <c r="CF142" i="1"/>
  <c r="CE142" i="1" a="1"/>
  <c r="CE142" i="1"/>
  <c r="CD142" i="1" a="1"/>
  <c r="CD142" i="1"/>
  <c r="CC142" i="1"/>
  <c r="CB142" i="1"/>
  <c r="CA142" i="1" a="1"/>
  <c r="CA142" i="1"/>
  <c r="BZ142" i="1" a="1"/>
  <c r="BZ142" i="1"/>
  <c r="BY142" i="1"/>
  <c r="BX142" i="1"/>
  <c r="BW142" i="1" a="1"/>
  <c r="BW142" i="1"/>
  <c r="BV142" i="1"/>
  <c r="BU142" i="1"/>
  <c r="BT142" i="1"/>
  <c r="BS142" i="1" a="1"/>
  <c r="BS142" i="1"/>
  <c r="BR142" i="1"/>
  <c r="BQ142" i="1"/>
  <c r="BP142" i="1"/>
  <c r="BO142" i="1" a="1"/>
  <c r="BO142" i="1"/>
  <c r="BN142" i="1"/>
  <c r="BM142" i="1"/>
  <c r="BL142" i="1"/>
  <c r="BK142" i="1"/>
  <c r="BJ142" i="1"/>
  <c r="U142" i="1"/>
  <c r="T142" i="1"/>
  <c r="S142" i="1"/>
  <c r="R142" i="1"/>
  <c r="Q142" i="1"/>
  <c r="F142" i="1"/>
  <c r="E142" i="1"/>
  <c r="D142" i="1"/>
  <c r="C142" i="1"/>
  <c r="CJ141" i="1"/>
  <c r="CI141" i="1" a="1"/>
  <c r="CI141" i="1"/>
  <c r="CH141" i="1" a="1"/>
  <c r="CH141" i="1"/>
  <c r="CG141" i="1"/>
  <c r="CF141" i="1"/>
  <c r="CE141" i="1" a="1"/>
  <c r="CE141" i="1"/>
  <c r="CD141" i="1" a="1"/>
  <c r="CD141" i="1"/>
  <c r="CC141" i="1"/>
  <c r="CB141" i="1"/>
  <c r="CA141" i="1" a="1"/>
  <c r="CA141" i="1"/>
  <c r="BZ141" i="1" a="1"/>
  <c r="BZ141" i="1"/>
  <c r="BY141" i="1"/>
  <c r="BX141" i="1"/>
  <c r="BW141" i="1" a="1"/>
  <c r="BW141" i="1"/>
  <c r="BV141" i="1"/>
  <c r="BU141" i="1"/>
  <c r="BT141" i="1"/>
  <c r="BS141" i="1" a="1"/>
  <c r="BS141" i="1"/>
  <c r="BR141" i="1"/>
  <c r="BQ141" i="1"/>
  <c r="BP141" i="1"/>
  <c r="BO141" i="1" a="1"/>
  <c r="BO141" i="1"/>
  <c r="BN141" i="1"/>
  <c r="BM141" i="1"/>
  <c r="BL141" i="1"/>
  <c r="BK141" i="1"/>
  <c r="BJ141" i="1"/>
  <c r="U141" i="1"/>
  <c r="T141" i="1"/>
  <c r="S141" i="1"/>
  <c r="R141" i="1"/>
  <c r="Q141" i="1"/>
  <c r="F141" i="1"/>
  <c r="E141" i="1"/>
  <c r="D141" i="1"/>
  <c r="C141" i="1"/>
  <c r="CJ140" i="1"/>
  <c r="CI140" i="1" a="1"/>
  <c r="CI140" i="1"/>
  <c r="CH140" i="1" a="1"/>
  <c r="CH140" i="1"/>
  <c r="CG140" i="1"/>
  <c r="CF140" i="1"/>
  <c r="CE140" i="1" a="1"/>
  <c r="CE140" i="1"/>
  <c r="CD140" i="1" a="1"/>
  <c r="CD140" i="1"/>
  <c r="CC140" i="1"/>
  <c r="CB140" i="1"/>
  <c r="CA140" i="1" a="1"/>
  <c r="CA140" i="1"/>
  <c r="BZ140" i="1" a="1"/>
  <c r="BZ140" i="1"/>
  <c r="BY140" i="1"/>
  <c r="BX140" i="1"/>
  <c r="BW140" i="1" a="1"/>
  <c r="BW140" i="1"/>
  <c r="BV140" i="1"/>
  <c r="BU140" i="1"/>
  <c r="BT140" i="1"/>
  <c r="BS140" i="1" a="1"/>
  <c r="BS140" i="1"/>
  <c r="BR140" i="1"/>
  <c r="BQ140" i="1"/>
  <c r="BP140" i="1"/>
  <c r="BO140" i="1" a="1"/>
  <c r="BO140" i="1"/>
  <c r="BN140" i="1"/>
  <c r="BM140" i="1"/>
  <c r="BL140" i="1"/>
  <c r="BK140" i="1"/>
  <c r="BJ140" i="1"/>
  <c r="U140" i="1"/>
  <c r="T140" i="1"/>
  <c r="S140" i="1"/>
  <c r="R140" i="1"/>
  <c r="Q140" i="1"/>
  <c r="F140" i="1"/>
  <c r="E140" i="1"/>
  <c r="D140" i="1"/>
  <c r="C140" i="1"/>
  <c r="CJ139" i="1"/>
  <c r="CI139" i="1" a="1"/>
  <c r="CI139" i="1"/>
  <c r="CH139" i="1" a="1"/>
  <c r="CH139" i="1"/>
  <c r="CG139" i="1"/>
  <c r="CF139" i="1"/>
  <c r="CE139" i="1" a="1"/>
  <c r="CE139" i="1"/>
  <c r="CD139" i="1" a="1"/>
  <c r="CD139" i="1"/>
  <c r="CC139" i="1"/>
  <c r="CB139" i="1"/>
  <c r="CA139" i="1" a="1"/>
  <c r="CA139" i="1"/>
  <c r="BZ139" i="1" a="1"/>
  <c r="BZ139" i="1"/>
  <c r="BY139" i="1"/>
  <c r="BX139" i="1"/>
  <c r="BW139" i="1" a="1"/>
  <c r="BW139" i="1"/>
  <c r="BV139" i="1"/>
  <c r="BU139" i="1"/>
  <c r="BT139" i="1"/>
  <c r="BS139" i="1" a="1"/>
  <c r="BS139" i="1"/>
  <c r="BR139" i="1"/>
  <c r="BQ139" i="1"/>
  <c r="BP139" i="1"/>
  <c r="BO139" i="1" a="1"/>
  <c r="BO139" i="1"/>
  <c r="BN139" i="1"/>
  <c r="BM139" i="1"/>
  <c r="BL139" i="1"/>
  <c r="BK139" i="1"/>
  <c r="BJ139" i="1"/>
  <c r="U139" i="1"/>
  <c r="T139" i="1"/>
  <c r="S139" i="1"/>
  <c r="R139" i="1"/>
  <c r="Q139" i="1"/>
  <c r="F139" i="1"/>
  <c r="E139" i="1"/>
  <c r="D139" i="1"/>
  <c r="C139" i="1"/>
  <c r="CJ138" i="1"/>
  <c r="CI138" i="1" a="1"/>
  <c r="CI138" i="1"/>
  <c r="CH138" i="1" a="1"/>
  <c r="CH138" i="1"/>
  <c r="CG138" i="1"/>
  <c r="CF138" i="1"/>
  <c r="CE138" i="1" a="1"/>
  <c r="CE138" i="1"/>
  <c r="CD138" i="1" a="1"/>
  <c r="CD138" i="1"/>
  <c r="CC138" i="1"/>
  <c r="CB138" i="1"/>
  <c r="CA138" i="1" a="1"/>
  <c r="CA138" i="1"/>
  <c r="BZ138" i="1" a="1"/>
  <c r="BZ138" i="1"/>
  <c r="BY138" i="1"/>
  <c r="BX138" i="1"/>
  <c r="BW138" i="1" a="1"/>
  <c r="BW138" i="1"/>
  <c r="BV138" i="1"/>
  <c r="BU138" i="1"/>
  <c r="BT138" i="1"/>
  <c r="BS138" i="1" a="1"/>
  <c r="BS138" i="1"/>
  <c r="BR138" i="1"/>
  <c r="BQ138" i="1"/>
  <c r="BP138" i="1"/>
  <c r="BO138" i="1" a="1"/>
  <c r="BO138" i="1"/>
  <c r="BN138" i="1"/>
  <c r="BM138" i="1"/>
  <c r="BL138" i="1"/>
  <c r="BK138" i="1"/>
  <c r="BJ138" i="1"/>
  <c r="U138" i="1"/>
  <c r="T138" i="1"/>
  <c r="S138" i="1"/>
  <c r="R138" i="1"/>
  <c r="Q138" i="1"/>
  <c r="F138" i="1"/>
  <c r="E138" i="1"/>
  <c r="D138" i="1"/>
  <c r="C138" i="1"/>
  <c r="CJ137" i="1"/>
  <c r="CI137" i="1" a="1"/>
  <c r="CI137" i="1"/>
  <c r="CH137" i="1" a="1"/>
  <c r="CH137" i="1"/>
  <c r="CG137" i="1"/>
  <c r="CF137" i="1"/>
  <c r="CE137" i="1" a="1"/>
  <c r="CE137" i="1"/>
  <c r="CD137" i="1" a="1"/>
  <c r="CD137" i="1"/>
  <c r="CC137" i="1"/>
  <c r="CB137" i="1"/>
  <c r="CA137" i="1" a="1"/>
  <c r="CA137" i="1"/>
  <c r="BZ137" i="1" a="1"/>
  <c r="BZ137" i="1"/>
  <c r="BY137" i="1"/>
  <c r="BX137" i="1"/>
  <c r="BW137" i="1" a="1"/>
  <c r="BW137" i="1"/>
  <c r="BV137" i="1"/>
  <c r="BU137" i="1"/>
  <c r="BT137" i="1"/>
  <c r="BS137" i="1" a="1"/>
  <c r="BS137" i="1"/>
  <c r="BR137" i="1"/>
  <c r="BQ137" i="1"/>
  <c r="BP137" i="1"/>
  <c r="BO137" i="1" a="1"/>
  <c r="BO137" i="1"/>
  <c r="BN137" i="1"/>
  <c r="BM137" i="1"/>
  <c r="BL137" i="1"/>
  <c r="BK137" i="1"/>
  <c r="BJ137" i="1"/>
  <c r="U137" i="1"/>
  <c r="T137" i="1"/>
  <c r="S137" i="1"/>
  <c r="R137" i="1"/>
  <c r="Q137" i="1"/>
  <c r="F137" i="1"/>
  <c r="E137" i="1"/>
  <c r="D137" i="1"/>
  <c r="C137" i="1"/>
  <c r="CJ136" i="1"/>
  <c r="CI136" i="1" a="1"/>
  <c r="CI136" i="1"/>
  <c r="CH136" i="1" a="1"/>
  <c r="CH136" i="1"/>
  <c r="CG136" i="1"/>
  <c r="CF136" i="1"/>
  <c r="CE136" i="1" a="1"/>
  <c r="CE136" i="1"/>
  <c r="CD136" i="1" a="1"/>
  <c r="CD136" i="1"/>
  <c r="CC136" i="1"/>
  <c r="CB136" i="1"/>
  <c r="CA136" i="1" a="1"/>
  <c r="CA136" i="1"/>
  <c r="BZ136" i="1" a="1"/>
  <c r="BZ136" i="1"/>
  <c r="BY136" i="1"/>
  <c r="BX136" i="1"/>
  <c r="BW136" i="1" a="1"/>
  <c r="BW136" i="1"/>
  <c r="BV136" i="1"/>
  <c r="BU136" i="1"/>
  <c r="BT136" i="1"/>
  <c r="BS136" i="1" a="1"/>
  <c r="BS136" i="1"/>
  <c r="BR136" i="1"/>
  <c r="BQ136" i="1"/>
  <c r="BP136" i="1"/>
  <c r="BO136" i="1" a="1"/>
  <c r="BO136" i="1"/>
  <c r="BN136" i="1"/>
  <c r="BM136" i="1"/>
  <c r="BL136" i="1"/>
  <c r="BK136" i="1"/>
  <c r="BJ136" i="1"/>
  <c r="U136" i="1"/>
  <c r="T136" i="1"/>
  <c r="S136" i="1"/>
  <c r="R136" i="1"/>
  <c r="Q136" i="1"/>
  <c r="F136" i="1"/>
  <c r="E136" i="1"/>
  <c r="D136" i="1"/>
  <c r="C136" i="1"/>
  <c r="CJ135" i="1"/>
  <c r="CI135" i="1" a="1"/>
  <c r="CI135" i="1"/>
  <c r="CH135" i="1" a="1"/>
  <c r="CH135" i="1"/>
  <c r="CG135" i="1"/>
  <c r="CF135" i="1"/>
  <c r="CE135" i="1" a="1"/>
  <c r="CE135" i="1"/>
  <c r="CD135" i="1" a="1"/>
  <c r="CD135" i="1"/>
  <c r="CC135" i="1"/>
  <c r="CB135" i="1"/>
  <c r="CA135" i="1" a="1"/>
  <c r="CA135" i="1"/>
  <c r="BZ135" i="1" a="1"/>
  <c r="BZ135" i="1"/>
  <c r="BY135" i="1"/>
  <c r="BX135" i="1"/>
  <c r="BW135" i="1" a="1"/>
  <c r="BW135" i="1"/>
  <c r="BV135" i="1"/>
  <c r="BU135" i="1"/>
  <c r="BT135" i="1"/>
  <c r="BS135" i="1" a="1"/>
  <c r="BS135" i="1"/>
  <c r="BR135" i="1"/>
  <c r="BQ135" i="1"/>
  <c r="BP135" i="1"/>
  <c r="BO135" i="1" a="1"/>
  <c r="BO135" i="1"/>
  <c r="BN135" i="1"/>
  <c r="BM135" i="1"/>
  <c r="BL135" i="1"/>
  <c r="BK135" i="1"/>
  <c r="BJ135" i="1"/>
  <c r="U135" i="1"/>
  <c r="T135" i="1"/>
  <c r="S135" i="1"/>
  <c r="R135" i="1"/>
  <c r="Q135" i="1"/>
  <c r="F135" i="1"/>
  <c r="E135" i="1"/>
  <c r="D135" i="1"/>
  <c r="C135" i="1"/>
  <c r="CJ134" i="1"/>
  <c r="CI134" i="1" a="1"/>
  <c r="CI134" i="1"/>
  <c r="CH134" i="1" a="1"/>
  <c r="CH134" i="1"/>
  <c r="CG134" i="1"/>
  <c r="CF134" i="1"/>
  <c r="CE134" i="1" a="1"/>
  <c r="CE134" i="1"/>
  <c r="CD134" i="1" a="1"/>
  <c r="CD134" i="1"/>
  <c r="CC134" i="1"/>
  <c r="CB134" i="1"/>
  <c r="CA134" i="1" a="1"/>
  <c r="CA134" i="1"/>
  <c r="BZ134" i="1" a="1"/>
  <c r="BZ134" i="1"/>
  <c r="BY134" i="1"/>
  <c r="BX134" i="1"/>
  <c r="BW134" i="1" a="1"/>
  <c r="BW134" i="1"/>
  <c r="BV134" i="1"/>
  <c r="BU134" i="1"/>
  <c r="BT134" i="1"/>
  <c r="BS134" i="1" a="1"/>
  <c r="BS134" i="1"/>
  <c r="BR134" i="1"/>
  <c r="BQ134" i="1"/>
  <c r="BP134" i="1"/>
  <c r="BO134" i="1" a="1"/>
  <c r="BO134" i="1"/>
  <c r="BN134" i="1"/>
  <c r="BM134" i="1"/>
  <c r="BL134" i="1"/>
  <c r="BK134" i="1"/>
  <c r="BJ134" i="1"/>
  <c r="U134" i="1"/>
  <c r="T134" i="1"/>
  <c r="S134" i="1"/>
  <c r="R134" i="1"/>
  <c r="Q134" i="1"/>
  <c r="F134" i="1"/>
  <c r="E134" i="1"/>
  <c r="D134" i="1"/>
  <c r="C134" i="1"/>
  <c r="CJ133" i="1"/>
  <c r="CI133" i="1" a="1"/>
  <c r="CI133" i="1"/>
  <c r="CH133" i="1" a="1"/>
  <c r="CH133" i="1"/>
  <c r="CG133" i="1"/>
  <c r="CF133" i="1"/>
  <c r="CE133" i="1" a="1"/>
  <c r="CE133" i="1"/>
  <c r="CD133" i="1" a="1"/>
  <c r="CD133" i="1"/>
  <c r="CC133" i="1"/>
  <c r="CB133" i="1"/>
  <c r="CA133" i="1" a="1"/>
  <c r="CA133" i="1"/>
  <c r="BZ133" i="1" a="1"/>
  <c r="BZ133" i="1"/>
  <c r="BY133" i="1"/>
  <c r="BX133" i="1"/>
  <c r="BW133" i="1" a="1"/>
  <c r="BW133" i="1"/>
  <c r="BV133" i="1"/>
  <c r="BU133" i="1"/>
  <c r="BT133" i="1"/>
  <c r="BS133" i="1" a="1"/>
  <c r="BS133" i="1"/>
  <c r="BR133" i="1"/>
  <c r="BQ133" i="1"/>
  <c r="BP133" i="1"/>
  <c r="BO133" i="1" a="1"/>
  <c r="BO133" i="1"/>
  <c r="BN133" i="1"/>
  <c r="BM133" i="1"/>
  <c r="BL133" i="1"/>
  <c r="BK133" i="1"/>
  <c r="BJ133" i="1"/>
  <c r="U133" i="1"/>
  <c r="T133" i="1"/>
  <c r="S133" i="1"/>
  <c r="R133" i="1"/>
  <c r="Q133" i="1"/>
  <c r="F133" i="1"/>
  <c r="E133" i="1"/>
  <c r="D133" i="1"/>
  <c r="C133" i="1"/>
  <c r="CJ132" i="1"/>
  <c r="CI132" i="1" a="1"/>
  <c r="CI132" i="1"/>
  <c r="CH132" i="1" a="1"/>
  <c r="CH132" i="1"/>
  <c r="CG132" i="1"/>
  <c r="CF132" i="1"/>
  <c r="CE132" i="1" a="1"/>
  <c r="CE132" i="1"/>
  <c r="CD132" i="1" a="1"/>
  <c r="CD132" i="1"/>
  <c r="CC132" i="1"/>
  <c r="CB132" i="1"/>
  <c r="CA132" i="1" a="1"/>
  <c r="CA132" i="1"/>
  <c r="BZ132" i="1" a="1"/>
  <c r="BZ132" i="1"/>
  <c r="BY132" i="1"/>
  <c r="BX132" i="1"/>
  <c r="BW132" i="1" a="1"/>
  <c r="BW132" i="1"/>
  <c r="BV132" i="1"/>
  <c r="BU132" i="1"/>
  <c r="BT132" i="1"/>
  <c r="BS132" i="1" a="1"/>
  <c r="BS132" i="1"/>
  <c r="BR132" i="1"/>
  <c r="BQ132" i="1"/>
  <c r="BP132" i="1"/>
  <c r="BO132" i="1" a="1"/>
  <c r="BO132" i="1"/>
  <c r="BN132" i="1"/>
  <c r="BM132" i="1"/>
  <c r="BL132" i="1"/>
  <c r="BK132" i="1"/>
  <c r="BJ132" i="1"/>
  <c r="U132" i="1"/>
  <c r="T132" i="1"/>
  <c r="S132" i="1"/>
  <c r="R132" i="1"/>
  <c r="Q132" i="1"/>
  <c r="F132" i="1"/>
  <c r="E132" i="1"/>
  <c r="D132" i="1"/>
  <c r="C132" i="1"/>
  <c r="CJ131" i="1"/>
  <c r="CI131" i="1" a="1"/>
  <c r="CI131" i="1"/>
  <c r="CH131" i="1" a="1"/>
  <c r="CH131" i="1"/>
  <c r="CG131" i="1"/>
  <c r="CF131" i="1"/>
  <c r="CE131" i="1" a="1"/>
  <c r="CE131" i="1"/>
  <c r="CD131" i="1" a="1"/>
  <c r="CD131" i="1"/>
  <c r="CC131" i="1"/>
  <c r="CB131" i="1"/>
  <c r="CA131" i="1" a="1"/>
  <c r="CA131" i="1"/>
  <c r="BZ131" i="1" a="1"/>
  <c r="BZ131" i="1"/>
  <c r="BY131" i="1"/>
  <c r="BX131" i="1"/>
  <c r="BW131" i="1" a="1"/>
  <c r="BW131" i="1"/>
  <c r="BV131" i="1"/>
  <c r="BU131" i="1"/>
  <c r="BT131" i="1"/>
  <c r="BS131" i="1" a="1"/>
  <c r="BS131" i="1"/>
  <c r="BR131" i="1"/>
  <c r="BQ131" i="1"/>
  <c r="BP131" i="1"/>
  <c r="BO131" i="1" a="1"/>
  <c r="BO131" i="1"/>
  <c r="BN131" i="1"/>
  <c r="BM131" i="1"/>
  <c r="BL131" i="1"/>
  <c r="BK131" i="1"/>
  <c r="BJ131" i="1"/>
  <c r="U131" i="1"/>
  <c r="T131" i="1"/>
  <c r="S131" i="1"/>
  <c r="R131" i="1"/>
  <c r="Q131" i="1"/>
  <c r="F131" i="1"/>
  <c r="E131" i="1"/>
  <c r="D131" i="1"/>
  <c r="C131" i="1"/>
  <c r="CJ130" i="1"/>
  <c r="CI130" i="1" a="1"/>
  <c r="CI130" i="1"/>
  <c r="CH130" i="1" a="1"/>
  <c r="CH130" i="1"/>
  <c r="CG130" i="1"/>
  <c r="CF130" i="1"/>
  <c r="CE130" i="1" a="1"/>
  <c r="CE130" i="1"/>
  <c r="CD130" i="1" a="1"/>
  <c r="CD130" i="1"/>
  <c r="CC130" i="1"/>
  <c r="CB130" i="1"/>
  <c r="CA130" i="1" a="1"/>
  <c r="CA130" i="1"/>
  <c r="BZ130" i="1" a="1"/>
  <c r="BZ130" i="1"/>
  <c r="BY130" i="1"/>
  <c r="BX130" i="1"/>
  <c r="BW130" i="1" a="1"/>
  <c r="BW130" i="1"/>
  <c r="BV130" i="1"/>
  <c r="BU130" i="1"/>
  <c r="BT130" i="1"/>
  <c r="BS130" i="1" a="1"/>
  <c r="BS130" i="1"/>
  <c r="BR130" i="1"/>
  <c r="BQ130" i="1"/>
  <c r="BP130" i="1"/>
  <c r="BO130" i="1" a="1"/>
  <c r="BO130" i="1"/>
  <c r="BN130" i="1"/>
  <c r="BM130" i="1"/>
  <c r="BL130" i="1"/>
  <c r="BK130" i="1"/>
  <c r="BJ130" i="1"/>
  <c r="U130" i="1"/>
  <c r="T130" i="1"/>
  <c r="S130" i="1"/>
  <c r="R130" i="1"/>
  <c r="Q130" i="1"/>
  <c r="F130" i="1"/>
  <c r="E130" i="1"/>
  <c r="D130" i="1"/>
  <c r="C130" i="1"/>
  <c r="CJ129" i="1"/>
  <c r="CI129" i="1" a="1"/>
  <c r="CI129" i="1"/>
  <c r="CH129" i="1" a="1"/>
  <c r="CH129" i="1"/>
  <c r="CG129" i="1"/>
  <c r="CF129" i="1"/>
  <c r="CE129" i="1" a="1"/>
  <c r="CE129" i="1"/>
  <c r="CD129" i="1" a="1"/>
  <c r="CD129" i="1"/>
  <c r="CC129" i="1"/>
  <c r="CB129" i="1"/>
  <c r="CA129" i="1" a="1"/>
  <c r="CA129" i="1"/>
  <c r="BZ129" i="1" a="1"/>
  <c r="BZ129" i="1"/>
  <c r="BY129" i="1"/>
  <c r="BX129" i="1"/>
  <c r="BW129" i="1" a="1"/>
  <c r="BW129" i="1"/>
  <c r="BV129" i="1"/>
  <c r="BU129" i="1"/>
  <c r="BT129" i="1"/>
  <c r="BS129" i="1" a="1"/>
  <c r="BS129" i="1"/>
  <c r="BR129" i="1"/>
  <c r="BQ129" i="1"/>
  <c r="BP129" i="1"/>
  <c r="BO129" i="1" a="1"/>
  <c r="BO129" i="1"/>
  <c r="BN129" i="1"/>
  <c r="BM129" i="1"/>
  <c r="BL129" i="1"/>
  <c r="BK129" i="1"/>
  <c r="BJ129" i="1"/>
  <c r="U129" i="1"/>
  <c r="T129" i="1"/>
  <c r="S129" i="1"/>
  <c r="R129" i="1"/>
  <c r="Q129" i="1"/>
  <c r="F129" i="1"/>
  <c r="E129" i="1"/>
  <c r="D129" i="1"/>
  <c r="C129" i="1"/>
  <c r="CJ128" i="1"/>
  <c r="CI128" i="1" a="1"/>
  <c r="CI128" i="1"/>
  <c r="CH128" i="1" a="1"/>
  <c r="CH128" i="1"/>
  <c r="CG128" i="1"/>
  <c r="CF128" i="1"/>
  <c r="CE128" i="1" a="1"/>
  <c r="CE128" i="1"/>
  <c r="CD128" i="1" a="1"/>
  <c r="CD128" i="1"/>
  <c r="CC128" i="1"/>
  <c r="CB128" i="1"/>
  <c r="CA128" i="1" a="1"/>
  <c r="CA128" i="1"/>
  <c r="BZ128" i="1" a="1"/>
  <c r="BZ128" i="1"/>
  <c r="BY128" i="1"/>
  <c r="BX128" i="1"/>
  <c r="BW128" i="1" a="1"/>
  <c r="BW128" i="1"/>
  <c r="BV128" i="1"/>
  <c r="BU128" i="1"/>
  <c r="BT128" i="1"/>
  <c r="BS128" i="1" a="1"/>
  <c r="BS128" i="1"/>
  <c r="BR128" i="1"/>
  <c r="BQ128" i="1"/>
  <c r="BP128" i="1"/>
  <c r="BO128" i="1" a="1"/>
  <c r="BO128" i="1"/>
  <c r="BN128" i="1"/>
  <c r="BM128" i="1"/>
  <c r="BL128" i="1"/>
  <c r="BK128" i="1"/>
  <c r="BJ128" i="1"/>
  <c r="U128" i="1"/>
  <c r="T128" i="1"/>
  <c r="S128" i="1"/>
  <c r="R128" i="1"/>
  <c r="Q128" i="1"/>
  <c r="F128" i="1"/>
  <c r="E128" i="1"/>
  <c r="D128" i="1"/>
  <c r="C128" i="1"/>
  <c r="CJ127" i="1"/>
  <c r="CI127" i="1" a="1"/>
  <c r="CI127" i="1"/>
  <c r="CH127" i="1" a="1"/>
  <c r="CH127" i="1"/>
  <c r="CG127" i="1"/>
  <c r="CF127" i="1"/>
  <c r="CE127" i="1" a="1"/>
  <c r="CE127" i="1"/>
  <c r="CD127" i="1" a="1"/>
  <c r="CD127" i="1"/>
  <c r="CC127" i="1"/>
  <c r="CB127" i="1"/>
  <c r="CA127" i="1" a="1"/>
  <c r="CA127" i="1"/>
  <c r="BZ127" i="1" a="1"/>
  <c r="BZ127" i="1"/>
  <c r="BY127" i="1"/>
  <c r="BX127" i="1"/>
  <c r="BW127" i="1" a="1"/>
  <c r="BW127" i="1"/>
  <c r="BV127" i="1"/>
  <c r="BU127" i="1"/>
  <c r="BT127" i="1"/>
  <c r="BS127" i="1" a="1"/>
  <c r="BS127" i="1"/>
  <c r="BR127" i="1"/>
  <c r="BQ127" i="1"/>
  <c r="BP127" i="1"/>
  <c r="BO127" i="1" a="1"/>
  <c r="BO127" i="1"/>
  <c r="BN127" i="1"/>
  <c r="BM127" i="1"/>
  <c r="BL127" i="1"/>
  <c r="BK127" i="1"/>
  <c r="BJ127" i="1"/>
  <c r="U127" i="1"/>
  <c r="T127" i="1"/>
  <c r="S127" i="1"/>
  <c r="R127" i="1"/>
  <c r="Q127" i="1"/>
  <c r="F127" i="1"/>
  <c r="E127" i="1"/>
  <c r="D127" i="1"/>
  <c r="C127" i="1"/>
  <c r="CJ126" i="1"/>
  <c r="CI126" i="1" a="1"/>
  <c r="CI126" i="1"/>
  <c r="CH126" i="1" a="1"/>
  <c r="CH126" i="1"/>
  <c r="CG126" i="1"/>
  <c r="CF126" i="1"/>
  <c r="CE126" i="1" a="1"/>
  <c r="CE126" i="1"/>
  <c r="CD126" i="1" a="1"/>
  <c r="CD126" i="1"/>
  <c r="CC126" i="1"/>
  <c r="CB126" i="1"/>
  <c r="CA126" i="1" a="1"/>
  <c r="CA126" i="1"/>
  <c r="BZ126" i="1" a="1"/>
  <c r="BZ126" i="1"/>
  <c r="BY126" i="1"/>
  <c r="BX126" i="1"/>
  <c r="BW126" i="1" a="1"/>
  <c r="BW126" i="1"/>
  <c r="BV126" i="1"/>
  <c r="BU126" i="1"/>
  <c r="BT126" i="1"/>
  <c r="BS126" i="1" a="1"/>
  <c r="BS126" i="1"/>
  <c r="BR126" i="1"/>
  <c r="BQ126" i="1"/>
  <c r="BP126" i="1"/>
  <c r="BO126" i="1" a="1"/>
  <c r="BO126" i="1"/>
  <c r="BN126" i="1"/>
  <c r="BM126" i="1"/>
  <c r="BL126" i="1"/>
  <c r="BK126" i="1"/>
  <c r="BJ126" i="1"/>
  <c r="U126" i="1"/>
  <c r="T126" i="1"/>
  <c r="S126" i="1"/>
  <c r="R126" i="1"/>
  <c r="Q126" i="1"/>
  <c r="F126" i="1"/>
  <c r="E126" i="1"/>
  <c r="D126" i="1"/>
  <c r="C126" i="1"/>
  <c r="CJ125" i="1"/>
  <c r="CI125" i="1" a="1"/>
  <c r="CI125" i="1"/>
  <c r="CH125" i="1" a="1"/>
  <c r="CH125" i="1"/>
  <c r="CG125" i="1"/>
  <c r="CF125" i="1"/>
  <c r="CE125" i="1" a="1"/>
  <c r="CE125" i="1"/>
  <c r="CD125" i="1" a="1"/>
  <c r="CD125" i="1"/>
  <c r="CC125" i="1"/>
  <c r="CB125" i="1"/>
  <c r="CA125" i="1" a="1"/>
  <c r="CA125" i="1"/>
  <c r="BZ125" i="1" a="1"/>
  <c r="BZ125" i="1"/>
  <c r="BY125" i="1"/>
  <c r="BX125" i="1"/>
  <c r="BW125" i="1" a="1"/>
  <c r="BW125" i="1"/>
  <c r="BV125" i="1"/>
  <c r="BU125" i="1"/>
  <c r="BT125" i="1"/>
  <c r="BS125" i="1" a="1"/>
  <c r="BS125" i="1"/>
  <c r="BR125" i="1"/>
  <c r="BQ125" i="1"/>
  <c r="BP125" i="1"/>
  <c r="BO125" i="1" a="1"/>
  <c r="BO125" i="1"/>
  <c r="BN125" i="1"/>
  <c r="BM125" i="1"/>
  <c r="BL125" i="1"/>
  <c r="BK125" i="1"/>
  <c r="BJ125" i="1"/>
  <c r="U125" i="1"/>
  <c r="T125" i="1"/>
  <c r="S125" i="1"/>
  <c r="R125" i="1"/>
  <c r="Q125" i="1"/>
  <c r="F125" i="1"/>
  <c r="E125" i="1"/>
  <c r="D125" i="1"/>
  <c r="C125" i="1"/>
  <c r="CJ124" i="1"/>
  <c r="CI124" i="1" a="1"/>
  <c r="CI124" i="1"/>
  <c r="CH124" i="1" a="1"/>
  <c r="CH124" i="1"/>
  <c r="CG124" i="1"/>
  <c r="CF124" i="1"/>
  <c r="CE124" i="1" a="1"/>
  <c r="CE124" i="1"/>
  <c r="CD124" i="1" a="1"/>
  <c r="CD124" i="1"/>
  <c r="CC124" i="1"/>
  <c r="CB124" i="1"/>
  <c r="CA124" i="1" a="1"/>
  <c r="CA124" i="1"/>
  <c r="BZ124" i="1" a="1"/>
  <c r="BZ124" i="1"/>
  <c r="BY124" i="1"/>
  <c r="BX124" i="1"/>
  <c r="BW124" i="1" a="1"/>
  <c r="BW124" i="1"/>
  <c r="BV124" i="1"/>
  <c r="BU124" i="1"/>
  <c r="BT124" i="1"/>
  <c r="BS124" i="1" a="1"/>
  <c r="BS124" i="1"/>
  <c r="BR124" i="1"/>
  <c r="BQ124" i="1"/>
  <c r="BP124" i="1"/>
  <c r="BO124" i="1" a="1"/>
  <c r="BO124" i="1"/>
  <c r="BN124" i="1"/>
  <c r="BM124" i="1"/>
  <c r="BL124" i="1"/>
  <c r="BK124" i="1"/>
  <c r="BJ124" i="1"/>
  <c r="U124" i="1"/>
  <c r="T124" i="1"/>
  <c r="S124" i="1"/>
  <c r="R124" i="1"/>
  <c r="Q124" i="1"/>
  <c r="F124" i="1"/>
  <c r="E124" i="1"/>
  <c r="D124" i="1"/>
  <c r="C124" i="1"/>
  <c r="CJ123" i="1"/>
  <c r="CI123" i="1" a="1"/>
  <c r="CI123" i="1"/>
  <c r="CH123" i="1" a="1"/>
  <c r="CH123" i="1"/>
  <c r="CG123" i="1"/>
  <c r="CF123" i="1"/>
  <c r="CE123" i="1" a="1"/>
  <c r="CE123" i="1"/>
  <c r="CD123" i="1" a="1"/>
  <c r="CD123" i="1"/>
  <c r="CC123" i="1"/>
  <c r="CB123" i="1"/>
  <c r="CA123" i="1" a="1"/>
  <c r="CA123" i="1"/>
  <c r="BZ123" i="1" a="1"/>
  <c r="BZ123" i="1"/>
  <c r="BY123" i="1"/>
  <c r="BX123" i="1"/>
  <c r="BW123" i="1" a="1"/>
  <c r="BW123" i="1"/>
  <c r="BV123" i="1"/>
  <c r="BU123" i="1"/>
  <c r="BT123" i="1"/>
  <c r="BS123" i="1" a="1"/>
  <c r="BS123" i="1"/>
  <c r="BR123" i="1"/>
  <c r="BQ123" i="1"/>
  <c r="BP123" i="1"/>
  <c r="BO123" i="1" a="1"/>
  <c r="BO123" i="1"/>
  <c r="BN123" i="1"/>
  <c r="BM123" i="1"/>
  <c r="BL123" i="1"/>
  <c r="BK123" i="1"/>
  <c r="BJ123" i="1"/>
  <c r="U123" i="1"/>
  <c r="T123" i="1"/>
  <c r="S123" i="1"/>
  <c r="R123" i="1"/>
  <c r="Q123" i="1"/>
  <c r="F123" i="1"/>
  <c r="E123" i="1"/>
  <c r="D123" i="1"/>
  <c r="C123" i="1"/>
  <c r="CJ122" i="1"/>
  <c r="CI122" i="1" a="1"/>
  <c r="CI122" i="1"/>
  <c r="CH122" i="1" a="1"/>
  <c r="CH122" i="1"/>
  <c r="CG122" i="1"/>
  <c r="CF122" i="1"/>
  <c r="CE122" i="1" a="1"/>
  <c r="CE122" i="1"/>
  <c r="CD122" i="1" a="1"/>
  <c r="CD122" i="1"/>
  <c r="CC122" i="1"/>
  <c r="CB122" i="1"/>
  <c r="CA122" i="1" a="1"/>
  <c r="CA122" i="1"/>
  <c r="BZ122" i="1" a="1"/>
  <c r="BZ122" i="1"/>
  <c r="BY122" i="1"/>
  <c r="BX122" i="1"/>
  <c r="BW122" i="1" a="1"/>
  <c r="BW122" i="1"/>
  <c r="BV122" i="1"/>
  <c r="BU122" i="1"/>
  <c r="BT122" i="1"/>
  <c r="BS122" i="1" a="1"/>
  <c r="BS122" i="1"/>
  <c r="BR122" i="1"/>
  <c r="BQ122" i="1"/>
  <c r="BP122" i="1"/>
  <c r="BO122" i="1" a="1"/>
  <c r="BO122" i="1"/>
  <c r="BN122" i="1"/>
  <c r="BM122" i="1"/>
  <c r="BL122" i="1"/>
  <c r="BK122" i="1"/>
  <c r="BJ122" i="1"/>
  <c r="U122" i="1"/>
  <c r="T122" i="1"/>
  <c r="S122" i="1"/>
  <c r="R122" i="1"/>
  <c r="Q122" i="1"/>
  <c r="F122" i="1"/>
  <c r="E122" i="1"/>
  <c r="D122" i="1"/>
  <c r="C122" i="1"/>
  <c r="CJ121" i="1"/>
  <c r="CI121" i="1" a="1"/>
  <c r="CI121" i="1"/>
  <c r="CH121" i="1" a="1"/>
  <c r="CH121" i="1"/>
  <c r="CG121" i="1"/>
  <c r="CF121" i="1"/>
  <c r="CE121" i="1" a="1"/>
  <c r="CE121" i="1"/>
  <c r="CD121" i="1" a="1"/>
  <c r="CD121" i="1"/>
  <c r="CC121" i="1"/>
  <c r="CB121" i="1"/>
  <c r="CA121" i="1" a="1"/>
  <c r="CA121" i="1"/>
  <c r="BZ121" i="1" a="1"/>
  <c r="BZ121" i="1"/>
  <c r="BY121" i="1"/>
  <c r="BX121" i="1"/>
  <c r="BW121" i="1" a="1"/>
  <c r="BW121" i="1"/>
  <c r="BV121" i="1"/>
  <c r="BU121" i="1"/>
  <c r="BT121" i="1"/>
  <c r="BS121" i="1" a="1"/>
  <c r="BS121" i="1"/>
  <c r="BR121" i="1"/>
  <c r="BQ121" i="1"/>
  <c r="BP121" i="1"/>
  <c r="BO121" i="1" a="1"/>
  <c r="BO121" i="1"/>
  <c r="BN121" i="1"/>
  <c r="BM121" i="1"/>
  <c r="BL121" i="1"/>
  <c r="BK121" i="1"/>
  <c r="BJ121" i="1"/>
  <c r="U121" i="1"/>
  <c r="T121" i="1"/>
  <c r="S121" i="1"/>
  <c r="R121" i="1"/>
  <c r="Q121" i="1"/>
  <c r="F121" i="1"/>
  <c r="E121" i="1"/>
  <c r="D121" i="1"/>
  <c r="C121" i="1"/>
  <c r="CJ120" i="1"/>
  <c r="CI120" i="1" a="1"/>
  <c r="CI120" i="1"/>
  <c r="CH120" i="1" a="1"/>
  <c r="CH120" i="1"/>
  <c r="CG120" i="1"/>
  <c r="CF120" i="1"/>
  <c r="CE120" i="1" a="1"/>
  <c r="CE120" i="1"/>
  <c r="CD120" i="1" a="1"/>
  <c r="CD120" i="1"/>
  <c r="CC120" i="1"/>
  <c r="CB120" i="1"/>
  <c r="CA120" i="1" a="1"/>
  <c r="CA120" i="1"/>
  <c r="BZ120" i="1" a="1"/>
  <c r="BZ120" i="1"/>
  <c r="BY120" i="1"/>
  <c r="BX120" i="1"/>
  <c r="BW120" i="1" a="1"/>
  <c r="BW120" i="1"/>
  <c r="BV120" i="1"/>
  <c r="BU120" i="1"/>
  <c r="BT120" i="1"/>
  <c r="BS120" i="1" a="1"/>
  <c r="BS120" i="1"/>
  <c r="BR120" i="1"/>
  <c r="BQ120" i="1"/>
  <c r="BP120" i="1"/>
  <c r="BO120" i="1" a="1"/>
  <c r="BO120" i="1"/>
  <c r="BN120" i="1"/>
  <c r="BM120" i="1"/>
  <c r="BL120" i="1"/>
  <c r="BK120" i="1"/>
  <c r="BJ120" i="1"/>
  <c r="U120" i="1"/>
  <c r="T120" i="1"/>
  <c r="S120" i="1"/>
  <c r="R120" i="1"/>
  <c r="Q120" i="1"/>
  <c r="F120" i="1"/>
  <c r="E120" i="1"/>
  <c r="D120" i="1"/>
  <c r="C120" i="1"/>
  <c r="CJ119" i="1"/>
  <c r="CI119" i="1" a="1"/>
  <c r="CI119" i="1"/>
  <c r="CH119" i="1" a="1"/>
  <c r="CH119" i="1"/>
  <c r="CG119" i="1"/>
  <c r="CF119" i="1"/>
  <c r="CE119" i="1" a="1"/>
  <c r="CE119" i="1"/>
  <c r="CD119" i="1" a="1"/>
  <c r="CD119" i="1"/>
  <c r="CC119" i="1"/>
  <c r="CB119" i="1"/>
  <c r="CA119" i="1" a="1"/>
  <c r="CA119" i="1"/>
  <c r="BZ119" i="1" a="1"/>
  <c r="BZ119" i="1"/>
  <c r="BY119" i="1"/>
  <c r="BX119" i="1"/>
  <c r="BW119" i="1" a="1"/>
  <c r="BW119" i="1"/>
  <c r="BV119" i="1"/>
  <c r="BU119" i="1"/>
  <c r="BT119" i="1"/>
  <c r="BS119" i="1" a="1"/>
  <c r="BS119" i="1"/>
  <c r="BR119" i="1"/>
  <c r="BQ119" i="1"/>
  <c r="BP119" i="1"/>
  <c r="BO119" i="1" a="1"/>
  <c r="BO119" i="1"/>
  <c r="BN119" i="1"/>
  <c r="BM119" i="1"/>
  <c r="BL119" i="1"/>
  <c r="BK119" i="1"/>
  <c r="BJ119" i="1"/>
  <c r="U119" i="1"/>
  <c r="T119" i="1"/>
  <c r="S119" i="1"/>
  <c r="R119" i="1"/>
  <c r="Q119" i="1"/>
  <c r="F119" i="1"/>
  <c r="E119" i="1"/>
  <c r="D119" i="1"/>
  <c r="C119" i="1"/>
  <c r="CJ118" i="1"/>
  <c r="CI118" i="1" a="1"/>
  <c r="CI118" i="1"/>
  <c r="CH118" i="1" a="1"/>
  <c r="CH118" i="1"/>
  <c r="CG118" i="1"/>
  <c r="CF118" i="1"/>
  <c r="CE118" i="1" a="1"/>
  <c r="CE118" i="1"/>
  <c r="CD118" i="1" a="1"/>
  <c r="CD118" i="1"/>
  <c r="CC118" i="1"/>
  <c r="CB118" i="1"/>
  <c r="CA118" i="1" a="1"/>
  <c r="CA118" i="1"/>
  <c r="BZ118" i="1" a="1"/>
  <c r="BZ118" i="1"/>
  <c r="BY118" i="1"/>
  <c r="BX118" i="1"/>
  <c r="BW118" i="1" a="1"/>
  <c r="BW118" i="1"/>
  <c r="BV118" i="1"/>
  <c r="BU118" i="1"/>
  <c r="BT118" i="1"/>
  <c r="BS118" i="1" a="1"/>
  <c r="BS118" i="1"/>
  <c r="BR118" i="1"/>
  <c r="BQ118" i="1"/>
  <c r="BP118" i="1"/>
  <c r="BO118" i="1" a="1"/>
  <c r="BO118" i="1"/>
  <c r="BN118" i="1"/>
  <c r="BM118" i="1"/>
  <c r="BL118" i="1"/>
  <c r="BK118" i="1"/>
  <c r="BJ118" i="1"/>
  <c r="U118" i="1"/>
  <c r="T118" i="1"/>
  <c r="S118" i="1"/>
  <c r="R118" i="1"/>
  <c r="Q118" i="1"/>
  <c r="F118" i="1"/>
  <c r="E118" i="1"/>
  <c r="D118" i="1"/>
  <c r="C118" i="1"/>
  <c r="CJ117" i="1"/>
  <c r="CI117" i="1" a="1"/>
  <c r="CI117" i="1"/>
  <c r="CH117" i="1" a="1"/>
  <c r="CH117" i="1"/>
  <c r="CG117" i="1"/>
  <c r="CF117" i="1"/>
  <c r="CE117" i="1" a="1"/>
  <c r="CE117" i="1"/>
  <c r="CD117" i="1" a="1"/>
  <c r="CD117" i="1"/>
  <c r="CC117" i="1"/>
  <c r="CB117" i="1"/>
  <c r="CA117" i="1" a="1"/>
  <c r="CA117" i="1"/>
  <c r="BZ117" i="1" a="1"/>
  <c r="BZ117" i="1"/>
  <c r="BY117" i="1"/>
  <c r="BX117" i="1"/>
  <c r="BW117" i="1" a="1"/>
  <c r="BW117" i="1"/>
  <c r="BV117" i="1"/>
  <c r="BU117" i="1"/>
  <c r="BT117" i="1"/>
  <c r="BS117" i="1" a="1"/>
  <c r="BS117" i="1"/>
  <c r="BR117" i="1"/>
  <c r="BQ117" i="1"/>
  <c r="BP117" i="1"/>
  <c r="BO117" i="1" a="1"/>
  <c r="BO117" i="1"/>
  <c r="BN117" i="1"/>
  <c r="BM117" i="1"/>
  <c r="BL117" i="1"/>
  <c r="BK117" i="1"/>
  <c r="BJ117" i="1"/>
  <c r="U117" i="1"/>
  <c r="T117" i="1"/>
  <c r="S117" i="1"/>
  <c r="R117" i="1"/>
  <c r="Q117" i="1"/>
  <c r="F117" i="1"/>
  <c r="E117" i="1"/>
  <c r="D117" i="1"/>
  <c r="C117" i="1"/>
  <c r="CJ116" i="1"/>
  <c r="CI116" i="1" a="1"/>
  <c r="CI116" i="1"/>
  <c r="CH116" i="1" a="1"/>
  <c r="CH116" i="1"/>
  <c r="CG116" i="1"/>
  <c r="CF116" i="1"/>
  <c r="CE116" i="1" a="1"/>
  <c r="CE116" i="1"/>
  <c r="CD116" i="1" a="1"/>
  <c r="CD116" i="1"/>
  <c r="CC116" i="1"/>
  <c r="CB116" i="1"/>
  <c r="CA116" i="1" a="1"/>
  <c r="CA116" i="1"/>
  <c r="BZ116" i="1" a="1"/>
  <c r="BZ116" i="1"/>
  <c r="BY116" i="1"/>
  <c r="BX116" i="1"/>
  <c r="BW116" i="1" a="1"/>
  <c r="BW116" i="1"/>
  <c r="BV116" i="1"/>
  <c r="BU116" i="1"/>
  <c r="BT116" i="1"/>
  <c r="BS116" i="1" a="1"/>
  <c r="BS116" i="1"/>
  <c r="BR116" i="1"/>
  <c r="BQ116" i="1"/>
  <c r="BP116" i="1"/>
  <c r="BO116" i="1" a="1"/>
  <c r="BO116" i="1"/>
  <c r="BN116" i="1"/>
  <c r="BM116" i="1"/>
  <c r="BL116" i="1"/>
  <c r="BK116" i="1"/>
  <c r="BJ116" i="1"/>
  <c r="U116" i="1"/>
  <c r="T116" i="1"/>
  <c r="S116" i="1"/>
  <c r="R116" i="1"/>
  <c r="Q116" i="1"/>
  <c r="F116" i="1"/>
  <c r="E116" i="1"/>
  <c r="D116" i="1"/>
  <c r="C116" i="1"/>
  <c r="CJ115" i="1"/>
  <c r="CI115" i="1" a="1"/>
  <c r="CI115" i="1"/>
  <c r="CH115" i="1" a="1"/>
  <c r="CH115" i="1"/>
  <c r="CG115" i="1"/>
  <c r="CF115" i="1"/>
  <c r="CE115" i="1" a="1"/>
  <c r="CE115" i="1"/>
  <c r="CD115" i="1" a="1"/>
  <c r="CD115" i="1"/>
  <c r="CC115" i="1"/>
  <c r="CB115" i="1"/>
  <c r="CA115" i="1" a="1"/>
  <c r="CA115" i="1"/>
  <c r="BZ115" i="1" a="1"/>
  <c r="BZ115" i="1"/>
  <c r="BY115" i="1"/>
  <c r="BX115" i="1"/>
  <c r="BW115" i="1" a="1"/>
  <c r="BW115" i="1"/>
  <c r="BV115" i="1"/>
  <c r="BU115" i="1"/>
  <c r="BT115" i="1"/>
  <c r="BS115" i="1" a="1"/>
  <c r="BS115" i="1"/>
  <c r="BR115" i="1"/>
  <c r="BQ115" i="1"/>
  <c r="BP115" i="1"/>
  <c r="BO115" i="1" a="1"/>
  <c r="BO115" i="1"/>
  <c r="BN115" i="1"/>
  <c r="BM115" i="1"/>
  <c r="BL115" i="1"/>
  <c r="BK115" i="1"/>
  <c r="BJ115" i="1"/>
  <c r="U115" i="1"/>
  <c r="T115" i="1"/>
  <c r="S115" i="1"/>
  <c r="R115" i="1"/>
  <c r="Q115" i="1"/>
  <c r="F115" i="1"/>
  <c r="E115" i="1"/>
  <c r="D115" i="1"/>
  <c r="C115" i="1"/>
  <c r="CJ114" i="1"/>
  <c r="CI114" i="1" a="1"/>
  <c r="CI114" i="1"/>
  <c r="CH114" i="1" a="1"/>
  <c r="CH114" i="1"/>
  <c r="CG114" i="1"/>
  <c r="CF114" i="1"/>
  <c r="CE114" i="1" a="1"/>
  <c r="CE114" i="1"/>
  <c r="CD114" i="1" a="1"/>
  <c r="CD114" i="1"/>
  <c r="CC114" i="1"/>
  <c r="CB114" i="1"/>
  <c r="CA114" i="1" a="1"/>
  <c r="CA114" i="1"/>
  <c r="BZ114" i="1" a="1"/>
  <c r="BZ114" i="1"/>
  <c r="BY114" i="1"/>
  <c r="BX114" i="1"/>
  <c r="BW114" i="1" a="1"/>
  <c r="BW114" i="1"/>
  <c r="BV114" i="1"/>
  <c r="BU114" i="1"/>
  <c r="BT114" i="1"/>
  <c r="BS114" i="1" a="1"/>
  <c r="BS114" i="1"/>
  <c r="BR114" i="1"/>
  <c r="BQ114" i="1"/>
  <c r="BP114" i="1"/>
  <c r="BO114" i="1" a="1"/>
  <c r="BO114" i="1"/>
  <c r="BN114" i="1"/>
  <c r="BM114" i="1"/>
  <c r="BL114" i="1"/>
  <c r="BK114" i="1"/>
  <c r="BJ114" i="1"/>
  <c r="U114" i="1"/>
  <c r="T114" i="1"/>
  <c r="S114" i="1"/>
  <c r="R114" i="1"/>
  <c r="Q114" i="1"/>
  <c r="F114" i="1"/>
  <c r="E114" i="1"/>
  <c r="D114" i="1"/>
  <c r="C114" i="1"/>
  <c r="CJ113" i="1"/>
  <c r="CI113" i="1" a="1"/>
  <c r="CI113" i="1"/>
  <c r="CH113" i="1" a="1"/>
  <c r="CH113" i="1"/>
  <c r="CG113" i="1"/>
  <c r="CF113" i="1"/>
  <c r="CE113" i="1" a="1"/>
  <c r="CE113" i="1"/>
  <c r="CD113" i="1" a="1"/>
  <c r="CD113" i="1"/>
  <c r="CC113" i="1"/>
  <c r="CB113" i="1"/>
  <c r="CA113" i="1" a="1"/>
  <c r="CA113" i="1"/>
  <c r="BZ113" i="1" a="1"/>
  <c r="BZ113" i="1"/>
  <c r="BY113" i="1"/>
  <c r="BX113" i="1"/>
  <c r="BW113" i="1" a="1"/>
  <c r="BW113" i="1"/>
  <c r="BV113" i="1"/>
  <c r="BU113" i="1"/>
  <c r="BT113" i="1"/>
  <c r="BS113" i="1" a="1"/>
  <c r="BS113" i="1"/>
  <c r="BR113" i="1"/>
  <c r="BQ113" i="1"/>
  <c r="BP113" i="1"/>
  <c r="BO113" i="1" a="1"/>
  <c r="BO113" i="1"/>
  <c r="BN113" i="1"/>
  <c r="BM113" i="1"/>
  <c r="BL113" i="1"/>
  <c r="BK113" i="1"/>
  <c r="BJ113" i="1"/>
  <c r="U113" i="1"/>
  <c r="T113" i="1"/>
  <c r="S113" i="1"/>
  <c r="R113" i="1"/>
  <c r="Q113" i="1"/>
  <c r="F113" i="1"/>
  <c r="E113" i="1"/>
  <c r="D113" i="1"/>
  <c r="C113" i="1"/>
  <c r="CJ112" i="1"/>
  <c r="CI112" i="1" a="1"/>
  <c r="CI112" i="1"/>
  <c r="CH112" i="1" a="1"/>
  <c r="CH112" i="1"/>
  <c r="CG112" i="1"/>
  <c r="CF112" i="1"/>
  <c r="CE112" i="1" a="1"/>
  <c r="CE112" i="1"/>
  <c r="CD112" i="1" a="1"/>
  <c r="CD112" i="1"/>
  <c r="CC112" i="1"/>
  <c r="CB112" i="1"/>
  <c r="CA112" i="1" a="1"/>
  <c r="CA112" i="1"/>
  <c r="BZ112" i="1" a="1"/>
  <c r="BZ112" i="1"/>
  <c r="BY112" i="1"/>
  <c r="BX112" i="1"/>
  <c r="BW112" i="1" a="1"/>
  <c r="BW112" i="1"/>
  <c r="BV112" i="1"/>
  <c r="BU112" i="1"/>
  <c r="BT112" i="1"/>
  <c r="BS112" i="1" a="1"/>
  <c r="BS112" i="1"/>
  <c r="BR112" i="1"/>
  <c r="BQ112" i="1"/>
  <c r="BP112" i="1"/>
  <c r="BO112" i="1" a="1"/>
  <c r="BO112" i="1"/>
  <c r="BN112" i="1"/>
  <c r="BM112" i="1"/>
  <c r="BL112" i="1"/>
  <c r="BK112" i="1"/>
  <c r="BJ112" i="1"/>
  <c r="U112" i="1"/>
  <c r="T112" i="1"/>
  <c r="S112" i="1"/>
  <c r="R112" i="1"/>
  <c r="Q112" i="1"/>
  <c r="F112" i="1"/>
  <c r="E112" i="1"/>
  <c r="D112" i="1"/>
  <c r="C112" i="1"/>
  <c r="CJ111" i="1"/>
  <c r="CI111" i="1" a="1"/>
  <c r="CI111" i="1"/>
  <c r="CH111" i="1" a="1"/>
  <c r="CH111" i="1"/>
  <c r="CG111" i="1"/>
  <c r="CF111" i="1"/>
  <c r="CE111" i="1" a="1"/>
  <c r="CE111" i="1"/>
  <c r="CD111" i="1" a="1"/>
  <c r="CD111" i="1"/>
  <c r="CC111" i="1"/>
  <c r="CB111" i="1"/>
  <c r="CA111" i="1" a="1"/>
  <c r="CA111" i="1"/>
  <c r="BZ111" i="1" a="1"/>
  <c r="BZ111" i="1"/>
  <c r="BY111" i="1"/>
  <c r="BX111" i="1"/>
  <c r="BW111" i="1" a="1"/>
  <c r="BW111" i="1"/>
  <c r="BV111" i="1"/>
  <c r="BU111" i="1"/>
  <c r="BT111" i="1"/>
  <c r="BS111" i="1" a="1"/>
  <c r="BS111" i="1"/>
  <c r="BR111" i="1"/>
  <c r="BQ111" i="1"/>
  <c r="BP111" i="1"/>
  <c r="BO111" i="1" a="1"/>
  <c r="BO111" i="1"/>
  <c r="BN111" i="1"/>
  <c r="BM111" i="1"/>
  <c r="BL111" i="1"/>
  <c r="BK111" i="1"/>
  <c r="BJ111" i="1"/>
  <c r="U111" i="1"/>
  <c r="T111" i="1"/>
  <c r="S111" i="1"/>
  <c r="R111" i="1"/>
  <c r="Q111" i="1"/>
  <c r="F111" i="1"/>
  <c r="E111" i="1"/>
  <c r="D111" i="1"/>
  <c r="C111" i="1"/>
  <c r="CJ110" i="1"/>
  <c r="CI110" i="1" a="1"/>
  <c r="CI110" i="1"/>
  <c r="CH110" i="1" a="1"/>
  <c r="CH110" i="1"/>
  <c r="CG110" i="1"/>
  <c r="CF110" i="1"/>
  <c r="CE110" i="1" a="1"/>
  <c r="CE110" i="1"/>
  <c r="CD110" i="1" a="1"/>
  <c r="CD110" i="1"/>
  <c r="CC110" i="1"/>
  <c r="CB110" i="1"/>
  <c r="CA110" i="1" a="1"/>
  <c r="CA110" i="1"/>
  <c r="BZ110" i="1" a="1"/>
  <c r="BZ110" i="1"/>
  <c r="BY110" i="1"/>
  <c r="BX110" i="1"/>
  <c r="BW110" i="1" a="1"/>
  <c r="BW110" i="1"/>
  <c r="BV110" i="1"/>
  <c r="BU110" i="1"/>
  <c r="BT110" i="1"/>
  <c r="BS110" i="1" a="1"/>
  <c r="BS110" i="1"/>
  <c r="BR110" i="1"/>
  <c r="BQ110" i="1"/>
  <c r="BP110" i="1"/>
  <c r="BO110" i="1" a="1"/>
  <c r="BO110" i="1"/>
  <c r="BN110" i="1"/>
  <c r="BM110" i="1"/>
  <c r="BL110" i="1"/>
  <c r="BK110" i="1"/>
  <c r="BJ110" i="1"/>
  <c r="U110" i="1"/>
  <c r="T110" i="1"/>
  <c r="S110" i="1"/>
  <c r="R110" i="1"/>
  <c r="Q110" i="1"/>
  <c r="F110" i="1"/>
  <c r="E110" i="1"/>
  <c r="D110" i="1"/>
  <c r="C110" i="1"/>
  <c r="CJ109" i="1"/>
  <c r="CI109" i="1" a="1"/>
  <c r="CI109" i="1"/>
  <c r="CH109" i="1" a="1"/>
  <c r="CH109" i="1"/>
  <c r="CG109" i="1"/>
  <c r="CF109" i="1"/>
  <c r="CE109" i="1" a="1"/>
  <c r="CE109" i="1"/>
  <c r="CD109" i="1" a="1"/>
  <c r="CD109" i="1"/>
  <c r="CC109" i="1"/>
  <c r="CB109" i="1"/>
  <c r="CA109" i="1" a="1"/>
  <c r="CA109" i="1"/>
  <c r="BZ109" i="1" a="1"/>
  <c r="BZ109" i="1"/>
  <c r="BY109" i="1"/>
  <c r="BX109" i="1"/>
  <c r="BW109" i="1" a="1"/>
  <c r="BW109" i="1"/>
  <c r="BV109" i="1"/>
  <c r="BU109" i="1"/>
  <c r="BT109" i="1"/>
  <c r="BS109" i="1" a="1"/>
  <c r="BS109" i="1"/>
  <c r="BR109" i="1"/>
  <c r="BQ109" i="1"/>
  <c r="BP109" i="1"/>
  <c r="BO109" i="1" a="1"/>
  <c r="BO109" i="1"/>
  <c r="BN109" i="1"/>
  <c r="BM109" i="1"/>
  <c r="BL109" i="1"/>
  <c r="BK109" i="1"/>
  <c r="BJ109" i="1"/>
  <c r="U109" i="1"/>
  <c r="T109" i="1"/>
  <c r="S109" i="1"/>
  <c r="R109" i="1"/>
  <c r="Q109" i="1"/>
  <c r="F109" i="1"/>
  <c r="E109" i="1"/>
  <c r="D109" i="1"/>
  <c r="C109" i="1"/>
  <c r="CJ108" i="1"/>
  <c r="CI108" i="1" a="1"/>
  <c r="CI108" i="1"/>
  <c r="CH108" i="1" a="1"/>
  <c r="CH108" i="1"/>
  <c r="CG108" i="1"/>
  <c r="CF108" i="1"/>
  <c r="CE108" i="1" a="1"/>
  <c r="CE108" i="1"/>
  <c r="CD108" i="1" a="1"/>
  <c r="CD108" i="1"/>
  <c r="CC108" i="1"/>
  <c r="CB108" i="1"/>
  <c r="CA108" i="1" a="1"/>
  <c r="CA108" i="1"/>
  <c r="BZ108" i="1" a="1"/>
  <c r="BZ108" i="1"/>
  <c r="BY108" i="1"/>
  <c r="BX108" i="1"/>
  <c r="BW108" i="1" a="1"/>
  <c r="BW108" i="1"/>
  <c r="BV108" i="1"/>
  <c r="BU108" i="1"/>
  <c r="BT108" i="1"/>
  <c r="BS108" i="1" a="1"/>
  <c r="BS108" i="1"/>
  <c r="BR108" i="1"/>
  <c r="BQ108" i="1"/>
  <c r="BP108" i="1"/>
  <c r="BO108" i="1" a="1"/>
  <c r="BO108" i="1"/>
  <c r="BN108" i="1"/>
  <c r="BM108" i="1"/>
  <c r="BL108" i="1"/>
  <c r="BK108" i="1"/>
  <c r="BJ108" i="1"/>
  <c r="U108" i="1"/>
  <c r="T108" i="1"/>
  <c r="S108" i="1"/>
  <c r="R108" i="1"/>
  <c r="Q108" i="1"/>
  <c r="F108" i="1"/>
  <c r="E108" i="1"/>
  <c r="D108" i="1"/>
  <c r="C108" i="1"/>
  <c r="CJ107" i="1"/>
  <c r="CI107" i="1" a="1"/>
  <c r="CI107" i="1"/>
  <c r="CH107" i="1" a="1"/>
  <c r="CH107" i="1"/>
  <c r="CG107" i="1"/>
  <c r="CF107" i="1"/>
  <c r="CE107" i="1" a="1"/>
  <c r="CE107" i="1"/>
  <c r="CD107" i="1" a="1"/>
  <c r="CD107" i="1"/>
  <c r="CC107" i="1"/>
  <c r="CB107" i="1"/>
  <c r="CA107" i="1" a="1"/>
  <c r="CA107" i="1"/>
  <c r="BZ107" i="1" a="1"/>
  <c r="BZ107" i="1"/>
  <c r="BY107" i="1"/>
  <c r="BX107" i="1"/>
  <c r="BW107" i="1" a="1"/>
  <c r="BW107" i="1"/>
  <c r="BV107" i="1"/>
  <c r="BU107" i="1"/>
  <c r="BT107" i="1"/>
  <c r="BS107" i="1" a="1"/>
  <c r="BS107" i="1"/>
  <c r="BR107" i="1"/>
  <c r="BQ107" i="1"/>
  <c r="BP107" i="1"/>
  <c r="BO107" i="1" a="1"/>
  <c r="BO107" i="1"/>
  <c r="BN107" i="1"/>
  <c r="BM107" i="1"/>
  <c r="BL107" i="1"/>
  <c r="BK107" i="1"/>
  <c r="BJ107" i="1"/>
  <c r="U107" i="1"/>
  <c r="T107" i="1"/>
  <c r="S107" i="1"/>
  <c r="R107" i="1"/>
  <c r="Q107" i="1"/>
  <c r="F107" i="1"/>
  <c r="E107" i="1"/>
  <c r="D107" i="1"/>
  <c r="C107" i="1"/>
  <c r="CJ106" i="1"/>
  <c r="CI106" i="1" a="1"/>
  <c r="CI106" i="1"/>
  <c r="CH106" i="1" a="1"/>
  <c r="CH106" i="1"/>
  <c r="CG106" i="1"/>
  <c r="CF106" i="1"/>
  <c r="CE106" i="1" a="1"/>
  <c r="CE106" i="1"/>
  <c r="CD106" i="1" a="1"/>
  <c r="CD106" i="1"/>
  <c r="CC106" i="1"/>
  <c r="CB106" i="1"/>
  <c r="CA106" i="1" a="1"/>
  <c r="CA106" i="1"/>
  <c r="BZ106" i="1" a="1"/>
  <c r="BZ106" i="1"/>
  <c r="BY106" i="1"/>
  <c r="BX106" i="1"/>
  <c r="BW106" i="1" a="1"/>
  <c r="BW106" i="1"/>
  <c r="BV106" i="1"/>
  <c r="BU106" i="1"/>
  <c r="BT106" i="1"/>
  <c r="BS106" i="1" a="1"/>
  <c r="BS106" i="1"/>
  <c r="BR106" i="1"/>
  <c r="BQ106" i="1"/>
  <c r="BP106" i="1"/>
  <c r="BO106" i="1" a="1"/>
  <c r="BO106" i="1"/>
  <c r="BN106" i="1"/>
  <c r="BM106" i="1"/>
  <c r="BL106" i="1"/>
  <c r="BK106" i="1"/>
  <c r="BJ106" i="1"/>
  <c r="U106" i="1"/>
  <c r="T106" i="1"/>
  <c r="S106" i="1"/>
  <c r="R106" i="1"/>
  <c r="Q106" i="1"/>
  <c r="F106" i="1"/>
  <c r="E106" i="1"/>
  <c r="D106" i="1"/>
  <c r="C106" i="1"/>
  <c r="CJ105" i="1"/>
  <c r="CI105" i="1" a="1"/>
  <c r="CI105" i="1"/>
  <c r="CH105" i="1" a="1"/>
  <c r="CH105" i="1"/>
  <c r="CG105" i="1"/>
  <c r="CF105" i="1"/>
  <c r="CE105" i="1" a="1"/>
  <c r="CE105" i="1"/>
  <c r="CD105" i="1" a="1"/>
  <c r="CD105" i="1"/>
  <c r="CC105" i="1"/>
  <c r="CB105" i="1"/>
  <c r="CA105" i="1" a="1"/>
  <c r="CA105" i="1"/>
  <c r="BZ105" i="1" a="1"/>
  <c r="BZ105" i="1"/>
  <c r="BY105" i="1"/>
  <c r="BX105" i="1"/>
  <c r="BW105" i="1" a="1"/>
  <c r="BW105" i="1"/>
  <c r="BV105" i="1"/>
  <c r="BU105" i="1"/>
  <c r="BT105" i="1"/>
  <c r="BS105" i="1" a="1"/>
  <c r="BS105" i="1"/>
  <c r="BR105" i="1"/>
  <c r="BQ105" i="1"/>
  <c r="BP105" i="1"/>
  <c r="BO105" i="1" a="1"/>
  <c r="BO105" i="1"/>
  <c r="BN105" i="1"/>
  <c r="BM105" i="1"/>
  <c r="BL105" i="1"/>
  <c r="BK105" i="1"/>
  <c r="BJ105" i="1"/>
  <c r="U105" i="1"/>
  <c r="T105" i="1"/>
  <c r="S105" i="1"/>
  <c r="R105" i="1"/>
  <c r="Q105" i="1"/>
  <c r="F105" i="1"/>
  <c r="E105" i="1"/>
  <c r="D105" i="1"/>
  <c r="C105" i="1"/>
  <c r="CJ104" i="1"/>
  <c r="CI104" i="1" a="1"/>
  <c r="CI104" i="1"/>
  <c r="CH104" i="1" a="1"/>
  <c r="CH104" i="1"/>
  <c r="CG104" i="1"/>
  <c r="CF104" i="1"/>
  <c r="CE104" i="1" a="1"/>
  <c r="CE104" i="1"/>
  <c r="CD104" i="1" a="1"/>
  <c r="CD104" i="1"/>
  <c r="CC104" i="1"/>
  <c r="CB104" i="1"/>
  <c r="CA104" i="1" a="1"/>
  <c r="CA104" i="1"/>
  <c r="BZ104" i="1" a="1"/>
  <c r="BZ104" i="1"/>
  <c r="BY104" i="1"/>
  <c r="BX104" i="1"/>
  <c r="BW104" i="1" a="1"/>
  <c r="BW104" i="1"/>
  <c r="BV104" i="1"/>
  <c r="BU104" i="1"/>
  <c r="BT104" i="1"/>
  <c r="BS104" i="1" a="1"/>
  <c r="BS104" i="1"/>
  <c r="BR104" i="1"/>
  <c r="BQ104" i="1"/>
  <c r="BP104" i="1"/>
  <c r="BO104" i="1" a="1"/>
  <c r="BO104" i="1"/>
  <c r="BN104" i="1"/>
  <c r="BM104" i="1"/>
  <c r="BL104" i="1"/>
  <c r="BK104" i="1"/>
  <c r="BJ104" i="1"/>
  <c r="U104" i="1"/>
  <c r="T104" i="1"/>
  <c r="S104" i="1"/>
  <c r="R104" i="1"/>
  <c r="Q104" i="1"/>
  <c r="F104" i="1"/>
  <c r="E104" i="1"/>
  <c r="D104" i="1"/>
  <c r="C104" i="1"/>
  <c r="CJ103" i="1"/>
  <c r="CI103" i="1" a="1"/>
  <c r="CI103" i="1"/>
  <c r="CH103" i="1" a="1"/>
  <c r="CH103" i="1"/>
  <c r="CG103" i="1"/>
  <c r="CF103" i="1"/>
  <c r="CE103" i="1" a="1"/>
  <c r="CE103" i="1"/>
  <c r="CD103" i="1" a="1"/>
  <c r="CD103" i="1"/>
  <c r="CC103" i="1"/>
  <c r="CB103" i="1"/>
  <c r="CA103" i="1" a="1"/>
  <c r="CA103" i="1"/>
  <c r="BZ103" i="1" a="1"/>
  <c r="BZ103" i="1"/>
  <c r="BY103" i="1"/>
  <c r="BX103" i="1"/>
  <c r="BW103" i="1" a="1"/>
  <c r="BW103" i="1"/>
  <c r="BV103" i="1"/>
  <c r="BU103" i="1"/>
  <c r="BT103" i="1"/>
  <c r="BS103" i="1" a="1"/>
  <c r="BS103" i="1"/>
  <c r="BR103" i="1"/>
  <c r="BQ103" i="1"/>
  <c r="BP103" i="1"/>
  <c r="BO103" i="1" a="1"/>
  <c r="BO103" i="1"/>
  <c r="BN103" i="1"/>
  <c r="BM103" i="1"/>
  <c r="BL103" i="1"/>
  <c r="BK103" i="1"/>
  <c r="BJ103" i="1"/>
  <c r="U103" i="1"/>
  <c r="T103" i="1"/>
  <c r="S103" i="1"/>
  <c r="R103" i="1"/>
  <c r="Q103" i="1"/>
  <c r="F103" i="1"/>
  <c r="E103" i="1"/>
  <c r="D103" i="1"/>
  <c r="C103" i="1"/>
  <c r="CJ102" i="1"/>
  <c r="CI102" i="1" a="1"/>
  <c r="CI102" i="1"/>
  <c r="CH102" i="1" a="1"/>
  <c r="CH102" i="1"/>
  <c r="CG102" i="1"/>
  <c r="CF102" i="1"/>
  <c r="CE102" i="1" a="1"/>
  <c r="CE102" i="1"/>
  <c r="CD102" i="1" a="1"/>
  <c r="CD102" i="1"/>
  <c r="CC102" i="1"/>
  <c r="CB102" i="1"/>
  <c r="CA102" i="1" a="1"/>
  <c r="CA102" i="1"/>
  <c r="BZ102" i="1" a="1"/>
  <c r="BZ102" i="1"/>
  <c r="BY102" i="1"/>
  <c r="BX102" i="1"/>
  <c r="BW102" i="1" a="1"/>
  <c r="BW102" i="1"/>
  <c r="BV102" i="1"/>
  <c r="BU102" i="1"/>
  <c r="BT102" i="1"/>
  <c r="BS102" i="1" a="1"/>
  <c r="BS102" i="1"/>
  <c r="BR102" i="1"/>
  <c r="BQ102" i="1"/>
  <c r="BP102" i="1"/>
  <c r="BO102" i="1" a="1"/>
  <c r="BO102" i="1"/>
  <c r="BN102" i="1"/>
  <c r="BM102" i="1"/>
  <c r="BL102" i="1"/>
  <c r="BK102" i="1"/>
  <c r="BJ102" i="1"/>
  <c r="U102" i="1"/>
  <c r="T102" i="1"/>
  <c r="S102" i="1"/>
  <c r="R102" i="1"/>
  <c r="Q102" i="1"/>
  <c r="F102" i="1"/>
  <c r="E102" i="1"/>
  <c r="D102" i="1"/>
  <c r="C102" i="1"/>
  <c r="CJ101" i="1"/>
  <c r="CI101" i="1" a="1"/>
  <c r="CI101" i="1"/>
  <c r="CH101" i="1" a="1"/>
  <c r="CH101" i="1"/>
  <c r="CG101" i="1"/>
  <c r="CF101" i="1"/>
  <c r="CE101" i="1" a="1"/>
  <c r="CE101" i="1"/>
  <c r="CD101" i="1" a="1"/>
  <c r="CD101" i="1"/>
  <c r="CC101" i="1"/>
  <c r="CB101" i="1"/>
  <c r="CA101" i="1" a="1"/>
  <c r="CA101" i="1"/>
  <c r="BZ101" i="1" a="1"/>
  <c r="BZ101" i="1"/>
  <c r="BY101" i="1"/>
  <c r="BX101" i="1"/>
  <c r="BW101" i="1" a="1"/>
  <c r="BW101" i="1"/>
  <c r="BV101" i="1"/>
  <c r="BU101" i="1"/>
  <c r="BT101" i="1"/>
  <c r="BS101" i="1" a="1"/>
  <c r="BS101" i="1"/>
  <c r="BR101" i="1"/>
  <c r="BQ101" i="1"/>
  <c r="BP101" i="1"/>
  <c r="BO101" i="1" a="1"/>
  <c r="BO101" i="1"/>
  <c r="BN101" i="1"/>
  <c r="BM101" i="1"/>
  <c r="BL101" i="1"/>
  <c r="BK101" i="1"/>
  <c r="BJ101" i="1"/>
  <c r="U101" i="1"/>
  <c r="T101" i="1"/>
  <c r="S101" i="1"/>
  <c r="R101" i="1"/>
  <c r="Q101" i="1"/>
  <c r="F101" i="1"/>
  <c r="E101" i="1"/>
  <c r="D101" i="1"/>
  <c r="C101" i="1"/>
  <c r="CJ100" i="1"/>
  <c r="CI100" i="1" a="1"/>
  <c r="CI100" i="1"/>
  <c r="CH100" i="1" a="1"/>
  <c r="CH100" i="1"/>
  <c r="CG100" i="1"/>
  <c r="CF100" i="1"/>
  <c r="CE100" i="1" a="1"/>
  <c r="CE100" i="1"/>
  <c r="CD100" i="1" a="1"/>
  <c r="CD100" i="1"/>
  <c r="CC100" i="1"/>
  <c r="CB100" i="1"/>
  <c r="CA100" i="1" a="1"/>
  <c r="CA100" i="1"/>
  <c r="BZ100" i="1" a="1"/>
  <c r="BZ100" i="1"/>
  <c r="BY100" i="1"/>
  <c r="BX100" i="1"/>
  <c r="BW100" i="1" a="1"/>
  <c r="BW100" i="1"/>
  <c r="BV100" i="1"/>
  <c r="BU100" i="1"/>
  <c r="BT100" i="1"/>
  <c r="BS100" i="1" a="1"/>
  <c r="BS100" i="1"/>
  <c r="BR100" i="1"/>
  <c r="BQ100" i="1"/>
  <c r="BP100" i="1"/>
  <c r="BO100" i="1" a="1"/>
  <c r="BO100" i="1"/>
  <c r="BN100" i="1"/>
  <c r="BM100" i="1"/>
  <c r="BL100" i="1"/>
  <c r="BK100" i="1"/>
  <c r="BJ100" i="1"/>
  <c r="U100" i="1"/>
  <c r="T100" i="1"/>
  <c r="S100" i="1"/>
  <c r="R100" i="1"/>
  <c r="Q100" i="1"/>
  <c r="F100" i="1"/>
  <c r="E100" i="1"/>
  <c r="D100" i="1"/>
  <c r="C100" i="1"/>
  <c r="CJ99" i="1"/>
  <c r="CI99" i="1" a="1"/>
  <c r="CI99" i="1"/>
  <c r="CH99" i="1" a="1"/>
  <c r="CH99" i="1"/>
  <c r="CG99" i="1"/>
  <c r="CF99" i="1"/>
  <c r="CE99" i="1" a="1"/>
  <c r="CE99" i="1"/>
  <c r="CD99" i="1" a="1"/>
  <c r="CD99" i="1"/>
  <c r="CC99" i="1"/>
  <c r="CB99" i="1"/>
  <c r="CA99" i="1" a="1"/>
  <c r="CA99" i="1"/>
  <c r="BZ99" i="1" a="1"/>
  <c r="BZ99" i="1"/>
  <c r="BY99" i="1"/>
  <c r="BX99" i="1"/>
  <c r="BW99" i="1" a="1"/>
  <c r="BW99" i="1"/>
  <c r="BV99" i="1"/>
  <c r="BU99" i="1"/>
  <c r="BT99" i="1"/>
  <c r="BS99" i="1" a="1"/>
  <c r="BS99" i="1"/>
  <c r="BR99" i="1"/>
  <c r="BQ99" i="1"/>
  <c r="BP99" i="1"/>
  <c r="BO99" i="1" a="1"/>
  <c r="BO99" i="1"/>
  <c r="BN99" i="1"/>
  <c r="BM99" i="1"/>
  <c r="BL99" i="1"/>
  <c r="BK99" i="1"/>
  <c r="BJ99" i="1"/>
  <c r="U99" i="1"/>
  <c r="T99" i="1"/>
  <c r="S99" i="1"/>
  <c r="R99" i="1"/>
  <c r="Q99" i="1"/>
  <c r="F99" i="1"/>
  <c r="E99" i="1"/>
  <c r="D99" i="1"/>
  <c r="C99" i="1"/>
  <c r="CJ98" i="1"/>
  <c r="CI98" i="1" a="1"/>
  <c r="CI98" i="1"/>
  <c r="CH98" i="1" a="1"/>
  <c r="CH98" i="1"/>
  <c r="CG98" i="1"/>
  <c r="CF98" i="1"/>
  <c r="CE98" i="1" a="1"/>
  <c r="CE98" i="1"/>
  <c r="CD98" i="1" a="1"/>
  <c r="CD98" i="1"/>
  <c r="CC98" i="1"/>
  <c r="CB98" i="1"/>
  <c r="CA98" i="1" a="1"/>
  <c r="CA98" i="1"/>
  <c r="BZ98" i="1" a="1"/>
  <c r="BZ98" i="1"/>
  <c r="BY98" i="1"/>
  <c r="BX98" i="1"/>
  <c r="BW98" i="1" a="1"/>
  <c r="BW98" i="1"/>
  <c r="BV98" i="1"/>
  <c r="BU98" i="1"/>
  <c r="BT98" i="1"/>
  <c r="BS98" i="1" a="1"/>
  <c r="BS98" i="1"/>
  <c r="BR98" i="1"/>
  <c r="BQ98" i="1"/>
  <c r="BP98" i="1"/>
  <c r="BO98" i="1" a="1"/>
  <c r="BO98" i="1"/>
  <c r="BN98" i="1"/>
  <c r="BM98" i="1"/>
  <c r="BL98" i="1"/>
  <c r="BK98" i="1"/>
  <c r="BJ98" i="1"/>
  <c r="U98" i="1"/>
  <c r="T98" i="1"/>
  <c r="S98" i="1"/>
  <c r="R98" i="1"/>
  <c r="Q98" i="1"/>
  <c r="F98" i="1"/>
  <c r="E98" i="1"/>
  <c r="D98" i="1"/>
  <c r="C98" i="1"/>
  <c r="CJ97" i="1"/>
  <c r="CI97" i="1" a="1"/>
  <c r="CI97" i="1"/>
  <c r="CH97" i="1" a="1"/>
  <c r="CH97" i="1"/>
  <c r="CG97" i="1"/>
  <c r="CF97" i="1"/>
  <c r="CE97" i="1" a="1"/>
  <c r="CE97" i="1"/>
  <c r="CD97" i="1" a="1"/>
  <c r="CD97" i="1"/>
  <c r="CC97" i="1"/>
  <c r="CB97" i="1"/>
  <c r="CA97" i="1" a="1"/>
  <c r="CA97" i="1"/>
  <c r="BZ97" i="1" a="1"/>
  <c r="BZ97" i="1"/>
  <c r="BY97" i="1"/>
  <c r="BX97" i="1"/>
  <c r="BW97" i="1" a="1"/>
  <c r="BW97" i="1"/>
  <c r="BV97" i="1"/>
  <c r="BU97" i="1"/>
  <c r="BT97" i="1"/>
  <c r="BS97" i="1" a="1"/>
  <c r="BS97" i="1"/>
  <c r="BR97" i="1"/>
  <c r="BQ97" i="1"/>
  <c r="BP97" i="1"/>
  <c r="BO97" i="1" a="1"/>
  <c r="BO97" i="1"/>
  <c r="BN97" i="1"/>
  <c r="BM97" i="1"/>
  <c r="BL97" i="1"/>
  <c r="BK97" i="1"/>
  <c r="BJ97" i="1"/>
  <c r="U97" i="1"/>
  <c r="T97" i="1"/>
  <c r="S97" i="1"/>
  <c r="R97" i="1"/>
  <c r="Q97" i="1"/>
  <c r="F97" i="1"/>
  <c r="E97" i="1"/>
  <c r="D97" i="1"/>
  <c r="C97" i="1"/>
  <c r="CJ96" i="1"/>
  <c r="CI96" i="1" a="1"/>
  <c r="CI96" i="1"/>
  <c r="CH96" i="1" a="1"/>
  <c r="CH96" i="1"/>
  <c r="CG96" i="1"/>
  <c r="CF96" i="1"/>
  <c r="CE96" i="1" a="1"/>
  <c r="CE96" i="1"/>
  <c r="CD96" i="1" a="1"/>
  <c r="CD96" i="1"/>
  <c r="CC96" i="1"/>
  <c r="CB96" i="1"/>
  <c r="CA96" i="1" a="1"/>
  <c r="CA96" i="1"/>
  <c r="BZ96" i="1" a="1"/>
  <c r="BZ96" i="1"/>
  <c r="BY96" i="1"/>
  <c r="BX96" i="1"/>
  <c r="BW96" i="1" a="1"/>
  <c r="BW96" i="1"/>
  <c r="BV96" i="1"/>
  <c r="BU96" i="1"/>
  <c r="BT96" i="1"/>
  <c r="BS96" i="1" a="1"/>
  <c r="BS96" i="1"/>
  <c r="BR96" i="1"/>
  <c r="BQ96" i="1"/>
  <c r="BP96" i="1"/>
  <c r="BO96" i="1" a="1"/>
  <c r="BO96" i="1"/>
  <c r="BN96" i="1"/>
  <c r="BM96" i="1"/>
  <c r="BL96" i="1"/>
  <c r="BK96" i="1"/>
  <c r="BJ96" i="1"/>
  <c r="U96" i="1"/>
  <c r="T96" i="1"/>
  <c r="S96" i="1"/>
  <c r="R96" i="1"/>
  <c r="Q96" i="1"/>
  <c r="F96" i="1"/>
  <c r="E96" i="1"/>
  <c r="D96" i="1"/>
  <c r="C96" i="1"/>
  <c r="CJ95" i="1"/>
  <c r="CI95" i="1" a="1"/>
  <c r="CI95" i="1"/>
  <c r="CH95" i="1" a="1"/>
  <c r="CH95" i="1"/>
  <c r="CG95" i="1"/>
  <c r="CF95" i="1"/>
  <c r="CE95" i="1" a="1"/>
  <c r="CE95" i="1"/>
  <c r="CD95" i="1" a="1"/>
  <c r="CD95" i="1"/>
  <c r="CC95" i="1"/>
  <c r="CB95" i="1"/>
  <c r="CA95" i="1" a="1"/>
  <c r="CA95" i="1"/>
  <c r="BZ95" i="1" a="1"/>
  <c r="BZ95" i="1"/>
  <c r="BY95" i="1"/>
  <c r="BX95" i="1"/>
  <c r="BW95" i="1" a="1"/>
  <c r="BW95" i="1"/>
  <c r="BV95" i="1"/>
  <c r="BU95" i="1"/>
  <c r="BT95" i="1"/>
  <c r="BS95" i="1" a="1"/>
  <c r="BS95" i="1"/>
  <c r="BR95" i="1"/>
  <c r="BQ95" i="1"/>
  <c r="BP95" i="1"/>
  <c r="BO95" i="1" a="1"/>
  <c r="BO95" i="1"/>
  <c r="BN95" i="1"/>
  <c r="BM95" i="1"/>
  <c r="BL95" i="1"/>
  <c r="BK95" i="1"/>
  <c r="BJ95" i="1"/>
  <c r="U95" i="1"/>
  <c r="T95" i="1"/>
  <c r="S95" i="1"/>
  <c r="R95" i="1"/>
  <c r="Q95" i="1"/>
  <c r="F95" i="1"/>
  <c r="E95" i="1"/>
  <c r="D95" i="1"/>
  <c r="C95" i="1"/>
  <c r="CJ94" i="1"/>
  <c r="CI94" i="1" a="1"/>
  <c r="CI94" i="1"/>
  <c r="CH94" i="1" a="1"/>
  <c r="CH94" i="1"/>
  <c r="CG94" i="1"/>
  <c r="CF94" i="1"/>
  <c r="CE94" i="1" a="1"/>
  <c r="CE94" i="1"/>
  <c r="CD94" i="1" a="1"/>
  <c r="CD94" i="1"/>
  <c r="CC94" i="1"/>
  <c r="CB94" i="1"/>
  <c r="CA94" i="1" a="1"/>
  <c r="CA94" i="1"/>
  <c r="BZ94" i="1" a="1"/>
  <c r="BZ94" i="1"/>
  <c r="BY94" i="1"/>
  <c r="BX94" i="1"/>
  <c r="BW94" i="1" a="1"/>
  <c r="BW94" i="1"/>
  <c r="BV94" i="1"/>
  <c r="BU94" i="1"/>
  <c r="BT94" i="1"/>
  <c r="BS94" i="1" a="1"/>
  <c r="BS94" i="1"/>
  <c r="BR94" i="1"/>
  <c r="BQ94" i="1"/>
  <c r="BP94" i="1"/>
  <c r="BO94" i="1" a="1"/>
  <c r="BO94" i="1"/>
  <c r="BN94" i="1"/>
  <c r="BM94" i="1"/>
  <c r="BL94" i="1"/>
  <c r="BK94" i="1"/>
  <c r="BJ94" i="1"/>
  <c r="U94" i="1"/>
  <c r="T94" i="1"/>
  <c r="S94" i="1"/>
  <c r="R94" i="1"/>
  <c r="Q94" i="1"/>
  <c r="F94" i="1"/>
  <c r="E94" i="1"/>
  <c r="D94" i="1"/>
  <c r="C94" i="1"/>
  <c r="CJ93" i="1"/>
  <c r="CI93" i="1" a="1"/>
  <c r="CI93" i="1"/>
  <c r="CH93" i="1" a="1"/>
  <c r="CH93" i="1"/>
  <c r="CG93" i="1"/>
  <c r="CF93" i="1"/>
  <c r="CE93" i="1" a="1"/>
  <c r="CE93" i="1"/>
  <c r="CD93" i="1" a="1"/>
  <c r="CD93" i="1"/>
  <c r="CC93" i="1"/>
  <c r="CB93" i="1"/>
  <c r="CA93" i="1" a="1"/>
  <c r="CA93" i="1"/>
  <c r="BZ93" i="1" a="1"/>
  <c r="BZ93" i="1"/>
  <c r="BY93" i="1"/>
  <c r="BX93" i="1"/>
  <c r="BW93" i="1" a="1"/>
  <c r="BW93" i="1"/>
  <c r="BV93" i="1"/>
  <c r="BU93" i="1"/>
  <c r="BT93" i="1"/>
  <c r="BS93" i="1" a="1"/>
  <c r="BS93" i="1"/>
  <c r="BR93" i="1"/>
  <c r="BQ93" i="1"/>
  <c r="BP93" i="1"/>
  <c r="BO93" i="1" a="1"/>
  <c r="BO93" i="1"/>
  <c r="BN93" i="1"/>
  <c r="BM93" i="1"/>
  <c r="BL93" i="1"/>
  <c r="BK93" i="1"/>
  <c r="BJ93" i="1"/>
  <c r="U93" i="1"/>
  <c r="T93" i="1"/>
  <c r="S93" i="1"/>
  <c r="R93" i="1"/>
  <c r="Q93" i="1"/>
  <c r="F93" i="1"/>
  <c r="E93" i="1"/>
  <c r="D93" i="1"/>
  <c r="C93" i="1"/>
  <c r="CJ92" i="1"/>
  <c r="CI92" i="1" a="1"/>
  <c r="CI92" i="1"/>
  <c r="CH92" i="1" a="1"/>
  <c r="CH92" i="1"/>
  <c r="CG92" i="1"/>
  <c r="CF92" i="1"/>
  <c r="CE92" i="1" a="1"/>
  <c r="CE92" i="1"/>
  <c r="CD92" i="1" a="1"/>
  <c r="CD92" i="1"/>
  <c r="CC92" i="1"/>
  <c r="CB92" i="1"/>
  <c r="CA92" i="1" a="1"/>
  <c r="CA92" i="1"/>
  <c r="BZ92" i="1" a="1"/>
  <c r="BZ92" i="1"/>
  <c r="BY92" i="1"/>
  <c r="BX92" i="1"/>
  <c r="BW92" i="1" a="1"/>
  <c r="BW92" i="1"/>
  <c r="BV92" i="1"/>
  <c r="BU92" i="1"/>
  <c r="BT92" i="1"/>
  <c r="BS92" i="1" a="1"/>
  <c r="BS92" i="1"/>
  <c r="BR92" i="1"/>
  <c r="BQ92" i="1"/>
  <c r="BP92" i="1"/>
  <c r="BO92" i="1" a="1"/>
  <c r="BO92" i="1"/>
  <c r="BN92" i="1"/>
  <c r="BM92" i="1"/>
  <c r="BL92" i="1"/>
  <c r="BK92" i="1"/>
  <c r="BJ92" i="1"/>
  <c r="U92" i="1"/>
  <c r="T92" i="1"/>
  <c r="S92" i="1"/>
  <c r="R92" i="1"/>
  <c r="Q92" i="1"/>
  <c r="F92" i="1"/>
  <c r="E92" i="1"/>
  <c r="D92" i="1"/>
  <c r="C92" i="1"/>
  <c r="CJ91" i="1"/>
  <c r="CI91" i="1" a="1"/>
  <c r="CI91" i="1"/>
  <c r="CH91" i="1" a="1"/>
  <c r="CH91" i="1"/>
  <c r="CG91" i="1"/>
  <c r="CF91" i="1"/>
  <c r="CE91" i="1" a="1"/>
  <c r="CE91" i="1"/>
  <c r="CD91" i="1" a="1"/>
  <c r="CD91" i="1"/>
  <c r="CC91" i="1"/>
  <c r="CB91" i="1"/>
  <c r="CA91" i="1" a="1"/>
  <c r="CA91" i="1"/>
  <c r="BZ91" i="1" a="1"/>
  <c r="BZ91" i="1"/>
  <c r="BY91" i="1"/>
  <c r="BX91" i="1"/>
  <c r="BW91" i="1" a="1"/>
  <c r="BW91" i="1"/>
  <c r="BV91" i="1"/>
  <c r="BU91" i="1"/>
  <c r="BT91" i="1"/>
  <c r="BS91" i="1" a="1"/>
  <c r="BS91" i="1"/>
  <c r="BR91" i="1"/>
  <c r="BQ91" i="1"/>
  <c r="BP91" i="1"/>
  <c r="BO91" i="1" a="1"/>
  <c r="BO91" i="1"/>
  <c r="BN91" i="1"/>
  <c r="BM91" i="1"/>
  <c r="BL91" i="1"/>
  <c r="BK91" i="1"/>
  <c r="BJ91" i="1"/>
  <c r="U91" i="1"/>
  <c r="T91" i="1"/>
  <c r="S91" i="1"/>
  <c r="R91" i="1"/>
  <c r="Q91" i="1"/>
  <c r="F91" i="1"/>
  <c r="E91" i="1"/>
  <c r="D91" i="1"/>
  <c r="C91" i="1"/>
  <c r="CJ90" i="1"/>
  <c r="CI90" i="1" a="1"/>
  <c r="CI90" i="1"/>
  <c r="CH90" i="1" a="1"/>
  <c r="CH90" i="1"/>
  <c r="CG90" i="1"/>
  <c r="CF90" i="1"/>
  <c r="CE90" i="1" a="1"/>
  <c r="CE90" i="1"/>
  <c r="CD90" i="1" a="1"/>
  <c r="CD90" i="1"/>
  <c r="CC90" i="1"/>
  <c r="CB90" i="1"/>
  <c r="CA90" i="1" a="1"/>
  <c r="CA90" i="1"/>
  <c r="BZ90" i="1" a="1"/>
  <c r="BZ90" i="1"/>
  <c r="BY90" i="1"/>
  <c r="BX90" i="1"/>
  <c r="BW90" i="1" a="1"/>
  <c r="BW90" i="1"/>
  <c r="BV90" i="1"/>
  <c r="BU90" i="1"/>
  <c r="BT90" i="1"/>
  <c r="BS90" i="1" a="1"/>
  <c r="BS90" i="1"/>
  <c r="BR90" i="1"/>
  <c r="BQ90" i="1"/>
  <c r="BP90" i="1"/>
  <c r="BO90" i="1" a="1"/>
  <c r="BO90" i="1"/>
  <c r="BN90" i="1"/>
  <c r="BM90" i="1"/>
  <c r="BL90" i="1"/>
  <c r="BK90" i="1"/>
  <c r="BJ90" i="1"/>
  <c r="U90" i="1"/>
  <c r="T90" i="1"/>
  <c r="S90" i="1"/>
  <c r="R90" i="1"/>
  <c r="Q90" i="1"/>
  <c r="F90" i="1"/>
  <c r="E90" i="1"/>
  <c r="D90" i="1"/>
  <c r="C90" i="1"/>
  <c r="CJ89" i="1"/>
  <c r="CI89" i="1" a="1"/>
  <c r="CI89" i="1"/>
  <c r="CH89" i="1" a="1"/>
  <c r="CH89" i="1"/>
  <c r="CG89" i="1"/>
  <c r="CF89" i="1"/>
  <c r="CE89" i="1" a="1"/>
  <c r="CE89" i="1"/>
  <c r="CD89" i="1" a="1"/>
  <c r="CD89" i="1"/>
  <c r="CC89" i="1"/>
  <c r="CB89" i="1"/>
  <c r="CA89" i="1" a="1"/>
  <c r="CA89" i="1"/>
  <c r="BZ89" i="1" a="1"/>
  <c r="BZ89" i="1"/>
  <c r="BY89" i="1"/>
  <c r="BX89" i="1"/>
  <c r="BW89" i="1" a="1"/>
  <c r="BW89" i="1"/>
  <c r="BV89" i="1"/>
  <c r="BU89" i="1"/>
  <c r="BT89" i="1"/>
  <c r="BS89" i="1" a="1"/>
  <c r="BS89" i="1"/>
  <c r="BR89" i="1"/>
  <c r="BQ89" i="1"/>
  <c r="BP89" i="1"/>
  <c r="BO89" i="1" a="1"/>
  <c r="BO89" i="1"/>
  <c r="BN89" i="1"/>
  <c r="BM89" i="1"/>
  <c r="BL89" i="1"/>
  <c r="BK89" i="1"/>
  <c r="BJ89" i="1"/>
  <c r="U89" i="1"/>
  <c r="T89" i="1"/>
  <c r="S89" i="1"/>
  <c r="R89" i="1"/>
  <c r="Q89" i="1"/>
  <c r="F89" i="1"/>
  <c r="E89" i="1"/>
  <c r="D89" i="1"/>
  <c r="C89" i="1"/>
  <c r="CJ88" i="1"/>
  <c r="CI88" i="1" a="1"/>
  <c r="CI88" i="1"/>
  <c r="CH88" i="1" a="1"/>
  <c r="CH88" i="1"/>
  <c r="CG88" i="1"/>
  <c r="CF88" i="1"/>
  <c r="CE88" i="1" a="1"/>
  <c r="CE88" i="1"/>
  <c r="CD88" i="1" a="1"/>
  <c r="CD88" i="1"/>
  <c r="CC88" i="1"/>
  <c r="CB88" i="1"/>
  <c r="CA88" i="1" a="1"/>
  <c r="CA88" i="1"/>
  <c r="BZ88" i="1" a="1"/>
  <c r="BZ88" i="1"/>
  <c r="BY88" i="1"/>
  <c r="BX88" i="1"/>
  <c r="BW88" i="1" a="1"/>
  <c r="BW88" i="1"/>
  <c r="BV88" i="1"/>
  <c r="BU88" i="1"/>
  <c r="BT88" i="1"/>
  <c r="BS88" i="1" a="1"/>
  <c r="BS88" i="1"/>
  <c r="BR88" i="1"/>
  <c r="BQ88" i="1"/>
  <c r="BP88" i="1"/>
  <c r="BO88" i="1" a="1"/>
  <c r="BO88" i="1"/>
  <c r="BN88" i="1"/>
  <c r="BM88" i="1"/>
  <c r="BL88" i="1"/>
  <c r="BK88" i="1"/>
  <c r="BJ88" i="1"/>
  <c r="U88" i="1"/>
  <c r="T88" i="1"/>
  <c r="S88" i="1"/>
  <c r="R88" i="1"/>
  <c r="Q88" i="1"/>
  <c r="F88" i="1"/>
  <c r="E88" i="1"/>
  <c r="D88" i="1"/>
  <c r="C88" i="1"/>
  <c r="CJ87" i="1"/>
  <c r="CI87" i="1" a="1"/>
  <c r="CI87" i="1"/>
  <c r="CH87" i="1" a="1"/>
  <c r="CH87" i="1"/>
  <c r="CG87" i="1"/>
  <c r="CF87" i="1"/>
  <c r="CE87" i="1" a="1"/>
  <c r="CE87" i="1"/>
  <c r="CD87" i="1" a="1"/>
  <c r="CD87" i="1"/>
  <c r="CC87" i="1"/>
  <c r="CB87" i="1"/>
  <c r="CA87" i="1" a="1"/>
  <c r="CA87" i="1"/>
  <c r="BZ87" i="1" a="1"/>
  <c r="BZ87" i="1"/>
  <c r="BY87" i="1"/>
  <c r="BX87" i="1"/>
  <c r="BW87" i="1" a="1"/>
  <c r="BW87" i="1"/>
  <c r="BV87" i="1"/>
  <c r="BU87" i="1"/>
  <c r="BT87" i="1"/>
  <c r="BS87" i="1" a="1"/>
  <c r="BS87" i="1"/>
  <c r="BR87" i="1"/>
  <c r="BQ87" i="1"/>
  <c r="BP87" i="1"/>
  <c r="BO87" i="1" a="1"/>
  <c r="BO87" i="1"/>
  <c r="BN87" i="1"/>
  <c r="BM87" i="1"/>
  <c r="BL87" i="1"/>
  <c r="BK87" i="1"/>
  <c r="BJ87" i="1"/>
  <c r="U87" i="1"/>
  <c r="T87" i="1"/>
  <c r="S87" i="1"/>
  <c r="R87" i="1"/>
  <c r="Q87" i="1"/>
  <c r="F87" i="1"/>
  <c r="E87" i="1"/>
  <c r="D87" i="1"/>
  <c r="C87" i="1"/>
  <c r="CJ86" i="1"/>
  <c r="CI86" i="1" a="1"/>
  <c r="CI86" i="1"/>
  <c r="CH86" i="1" a="1"/>
  <c r="CH86" i="1"/>
  <c r="CG86" i="1"/>
  <c r="CF86" i="1"/>
  <c r="CE86" i="1" a="1"/>
  <c r="CE86" i="1"/>
  <c r="CD86" i="1" a="1"/>
  <c r="CD86" i="1"/>
  <c r="CC86" i="1"/>
  <c r="CB86" i="1"/>
  <c r="CA86" i="1" a="1"/>
  <c r="CA86" i="1"/>
  <c r="BZ86" i="1" a="1"/>
  <c r="BZ86" i="1"/>
  <c r="BY86" i="1"/>
  <c r="BX86" i="1"/>
  <c r="BW86" i="1" a="1"/>
  <c r="BW86" i="1"/>
  <c r="BV86" i="1"/>
  <c r="BU86" i="1"/>
  <c r="BT86" i="1"/>
  <c r="BS86" i="1" a="1"/>
  <c r="BS86" i="1"/>
  <c r="BR86" i="1"/>
  <c r="BQ86" i="1"/>
  <c r="BP86" i="1"/>
  <c r="BO86" i="1" a="1"/>
  <c r="BO86" i="1"/>
  <c r="BN86" i="1"/>
  <c r="BM86" i="1"/>
  <c r="BL86" i="1"/>
  <c r="BK86" i="1"/>
  <c r="BJ86" i="1"/>
  <c r="U86" i="1"/>
  <c r="T86" i="1"/>
  <c r="S86" i="1"/>
  <c r="R86" i="1"/>
  <c r="Q86" i="1"/>
  <c r="F86" i="1"/>
  <c r="E86" i="1"/>
  <c r="D86" i="1"/>
  <c r="C86" i="1"/>
  <c r="CJ85" i="1"/>
  <c r="CI85" i="1" a="1"/>
  <c r="CI85" i="1"/>
  <c r="CH85" i="1" a="1"/>
  <c r="CH85" i="1"/>
  <c r="CG85" i="1"/>
  <c r="CF85" i="1"/>
  <c r="CE85" i="1" a="1"/>
  <c r="CE85" i="1"/>
  <c r="CD85" i="1" a="1"/>
  <c r="CD85" i="1"/>
  <c r="CC85" i="1"/>
  <c r="CB85" i="1"/>
  <c r="CA85" i="1" a="1"/>
  <c r="CA85" i="1"/>
  <c r="BZ85" i="1" a="1"/>
  <c r="BZ85" i="1"/>
  <c r="BY85" i="1"/>
  <c r="BX85" i="1"/>
  <c r="BW85" i="1" a="1"/>
  <c r="BW85" i="1"/>
  <c r="BV85" i="1"/>
  <c r="BU85" i="1"/>
  <c r="BT85" i="1"/>
  <c r="BS85" i="1" a="1"/>
  <c r="BS85" i="1"/>
  <c r="BR85" i="1"/>
  <c r="BQ85" i="1"/>
  <c r="BP85" i="1"/>
  <c r="BO85" i="1" a="1"/>
  <c r="BO85" i="1"/>
  <c r="BN85" i="1"/>
  <c r="BM85" i="1"/>
  <c r="BL85" i="1"/>
  <c r="BK85" i="1"/>
  <c r="BJ85" i="1"/>
  <c r="U85" i="1"/>
  <c r="T85" i="1"/>
  <c r="S85" i="1"/>
  <c r="R85" i="1"/>
  <c r="Q85" i="1"/>
  <c r="F85" i="1"/>
  <c r="E85" i="1"/>
  <c r="D85" i="1"/>
  <c r="C85" i="1"/>
  <c r="CJ84" i="1"/>
  <c r="CI84" i="1" a="1"/>
  <c r="CI84" i="1"/>
  <c r="CH84" i="1" a="1"/>
  <c r="CH84" i="1"/>
  <c r="CG84" i="1"/>
  <c r="CF84" i="1"/>
  <c r="CE84" i="1" a="1"/>
  <c r="CE84" i="1"/>
  <c r="CD84" i="1" a="1"/>
  <c r="CD84" i="1"/>
  <c r="CC84" i="1"/>
  <c r="CB84" i="1"/>
  <c r="CA84" i="1" a="1"/>
  <c r="CA84" i="1"/>
  <c r="BZ84" i="1" a="1"/>
  <c r="BZ84" i="1"/>
  <c r="BY84" i="1"/>
  <c r="BX84" i="1"/>
  <c r="BW84" i="1" a="1"/>
  <c r="BW84" i="1"/>
  <c r="BV84" i="1"/>
  <c r="BU84" i="1"/>
  <c r="BT84" i="1"/>
  <c r="BS84" i="1" a="1"/>
  <c r="BS84" i="1"/>
  <c r="BR84" i="1"/>
  <c r="BQ84" i="1"/>
  <c r="BP84" i="1"/>
  <c r="BO84" i="1" a="1"/>
  <c r="BO84" i="1"/>
  <c r="BN84" i="1"/>
  <c r="BM84" i="1"/>
  <c r="BL84" i="1"/>
  <c r="BK84" i="1"/>
  <c r="BJ84" i="1"/>
  <c r="U84" i="1"/>
  <c r="T84" i="1"/>
  <c r="S84" i="1"/>
  <c r="R84" i="1"/>
  <c r="Q84" i="1"/>
  <c r="F84" i="1"/>
  <c r="E84" i="1"/>
  <c r="D84" i="1"/>
  <c r="C84" i="1"/>
  <c r="CJ83" i="1"/>
  <c r="CI83" i="1" a="1"/>
  <c r="CI83" i="1"/>
  <c r="CH83" i="1" a="1"/>
  <c r="CH83" i="1"/>
  <c r="CG83" i="1"/>
  <c r="CF83" i="1"/>
  <c r="CE83" i="1" a="1"/>
  <c r="CE83" i="1"/>
  <c r="CD83" i="1" a="1"/>
  <c r="CD83" i="1"/>
  <c r="CC83" i="1"/>
  <c r="CB83" i="1"/>
  <c r="CA83" i="1" a="1"/>
  <c r="CA83" i="1"/>
  <c r="BZ83" i="1" a="1"/>
  <c r="BZ83" i="1"/>
  <c r="BY83" i="1"/>
  <c r="BX83" i="1"/>
  <c r="BW83" i="1" a="1"/>
  <c r="BW83" i="1"/>
  <c r="BV83" i="1"/>
  <c r="BU83" i="1"/>
  <c r="BT83" i="1"/>
  <c r="BS83" i="1" a="1"/>
  <c r="BS83" i="1"/>
  <c r="BR83" i="1"/>
  <c r="BQ83" i="1"/>
  <c r="BP83" i="1"/>
  <c r="BO83" i="1" a="1"/>
  <c r="BO83" i="1"/>
  <c r="BN83" i="1"/>
  <c r="BM83" i="1"/>
  <c r="BL83" i="1"/>
  <c r="BK83" i="1"/>
  <c r="BJ83" i="1"/>
  <c r="U83" i="1"/>
  <c r="T83" i="1"/>
  <c r="S83" i="1"/>
  <c r="R83" i="1"/>
  <c r="Q83" i="1"/>
  <c r="F83" i="1"/>
  <c r="E83" i="1"/>
  <c r="D83" i="1"/>
  <c r="C83" i="1"/>
  <c r="CJ82" i="1"/>
  <c r="CI82" i="1" a="1"/>
  <c r="CI82" i="1"/>
  <c r="CH82" i="1" a="1"/>
  <c r="CH82" i="1"/>
  <c r="CG82" i="1"/>
  <c r="CF82" i="1"/>
  <c r="CE82" i="1" a="1"/>
  <c r="CE82" i="1"/>
  <c r="CD82" i="1" a="1"/>
  <c r="CD82" i="1"/>
  <c r="CC82" i="1"/>
  <c r="CB82" i="1"/>
  <c r="CA82" i="1" a="1"/>
  <c r="CA82" i="1"/>
  <c r="BZ82" i="1" a="1"/>
  <c r="BZ82" i="1"/>
  <c r="BY82" i="1"/>
  <c r="BX82" i="1"/>
  <c r="BW82" i="1" a="1"/>
  <c r="BW82" i="1"/>
  <c r="BV82" i="1"/>
  <c r="BU82" i="1"/>
  <c r="BT82" i="1"/>
  <c r="BS82" i="1" a="1"/>
  <c r="BS82" i="1"/>
  <c r="BR82" i="1"/>
  <c r="BQ82" i="1"/>
  <c r="BP82" i="1"/>
  <c r="BO82" i="1" a="1"/>
  <c r="BO82" i="1"/>
  <c r="BN82" i="1"/>
  <c r="BM82" i="1"/>
  <c r="BL82" i="1"/>
  <c r="BK82" i="1"/>
  <c r="BJ82" i="1"/>
  <c r="U82" i="1"/>
  <c r="T82" i="1"/>
  <c r="S82" i="1"/>
  <c r="R82" i="1"/>
  <c r="Q82" i="1"/>
  <c r="F82" i="1"/>
  <c r="E82" i="1"/>
  <c r="D82" i="1"/>
  <c r="C82" i="1"/>
  <c r="CJ81" i="1"/>
  <c r="CI81" i="1" a="1"/>
  <c r="CI81" i="1"/>
  <c r="CH81" i="1" a="1"/>
  <c r="CH81" i="1"/>
  <c r="CG81" i="1"/>
  <c r="CF81" i="1"/>
  <c r="CE81" i="1" a="1"/>
  <c r="CE81" i="1"/>
  <c r="CD81" i="1" a="1"/>
  <c r="CD81" i="1"/>
  <c r="CC81" i="1"/>
  <c r="CB81" i="1"/>
  <c r="CA81" i="1" a="1"/>
  <c r="CA81" i="1"/>
  <c r="BZ81" i="1" a="1"/>
  <c r="BZ81" i="1"/>
  <c r="BY81" i="1"/>
  <c r="BX81" i="1"/>
  <c r="BW81" i="1" a="1"/>
  <c r="BW81" i="1"/>
  <c r="BV81" i="1"/>
  <c r="BU81" i="1"/>
  <c r="BT81" i="1"/>
  <c r="BS81" i="1" a="1"/>
  <c r="BS81" i="1"/>
  <c r="BR81" i="1"/>
  <c r="BQ81" i="1"/>
  <c r="BP81" i="1"/>
  <c r="BO81" i="1" a="1"/>
  <c r="BO81" i="1"/>
  <c r="BN81" i="1"/>
  <c r="BM81" i="1"/>
  <c r="BL81" i="1"/>
  <c r="BK81" i="1"/>
  <c r="BJ81" i="1"/>
  <c r="U81" i="1"/>
  <c r="T81" i="1"/>
  <c r="S81" i="1"/>
  <c r="R81" i="1"/>
  <c r="Q81" i="1"/>
  <c r="F81" i="1"/>
  <c r="E81" i="1"/>
  <c r="D81" i="1"/>
  <c r="C81" i="1"/>
  <c r="CJ80" i="1"/>
  <c r="CI80" i="1" a="1"/>
  <c r="CI80" i="1"/>
  <c r="CH80" i="1" a="1"/>
  <c r="CH80" i="1"/>
  <c r="CG80" i="1"/>
  <c r="CF80" i="1"/>
  <c r="CE80" i="1" a="1"/>
  <c r="CE80" i="1"/>
  <c r="CD80" i="1" a="1"/>
  <c r="CD80" i="1"/>
  <c r="CC80" i="1"/>
  <c r="CB80" i="1"/>
  <c r="CA80" i="1" a="1"/>
  <c r="CA80" i="1"/>
  <c r="BZ80" i="1" a="1"/>
  <c r="BZ80" i="1"/>
  <c r="BY80" i="1"/>
  <c r="BX80" i="1"/>
  <c r="BW80" i="1" a="1"/>
  <c r="BW80" i="1"/>
  <c r="BV80" i="1"/>
  <c r="BU80" i="1"/>
  <c r="BT80" i="1"/>
  <c r="BS80" i="1" a="1"/>
  <c r="BS80" i="1"/>
  <c r="BR80" i="1"/>
  <c r="BQ80" i="1"/>
  <c r="BP80" i="1"/>
  <c r="BO80" i="1" a="1"/>
  <c r="BO80" i="1"/>
  <c r="BN80" i="1"/>
  <c r="BM80" i="1"/>
  <c r="BL80" i="1"/>
  <c r="BK80" i="1"/>
  <c r="BJ80" i="1"/>
  <c r="U80" i="1"/>
  <c r="T80" i="1"/>
  <c r="S80" i="1"/>
  <c r="R80" i="1"/>
  <c r="Q80" i="1"/>
  <c r="F80" i="1"/>
  <c r="E80" i="1"/>
  <c r="D80" i="1"/>
  <c r="C80" i="1"/>
  <c r="CJ79" i="1"/>
  <c r="CI79" i="1" a="1"/>
  <c r="CI79" i="1"/>
  <c r="CH79" i="1" a="1"/>
  <c r="CH79" i="1"/>
  <c r="CG79" i="1"/>
  <c r="CF79" i="1"/>
  <c r="CE79" i="1" a="1"/>
  <c r="CE79" i="1"/>
  <c r="CD79" i="1" a="1"/>
  <c r="CD79" i="1"/>
  <c r="CC79" i="1"/>
  <c r="CB79" i="1"/>
  <c r="CA79" i="1" a="1"/>
  <c r="CA79" i="1"/>
  <c r="BZ79" i="1" a="1"/>
  <c r="BZ79" i="1"/>
  <c r="BY79" i="1"/>
  <c r="BX79" i="1"/>
  <c r="BW79" i="1" a="1"/>
  <c r="BW79" i="1"/>
  <c r="BV79" i="1"/>
  <c r="BU79" i="1"/>
  <c r="BT79" i="1"/>
  <c r="BS79" i="1" a="1"/>
  <c r="BS79" i="1"/>
  <c r="BR79" i="1"/>
  <c r="BQ79" i="1"/>
  <c r="BP79" i="1"/>
  <c r="BO79" i="1" a="1"/>
  <c r="BO79" i="1"/>
  <c r="BN79" i="1"/>
  <c r="BM79" i="1"/>
  <c r="BL79" i="1"/>
  <c r="BK79" i="1"/>
  <c r="BJ79" i="1"/>
  <c r="U79" i="1"/>
  <c r="T79" i="1"/>
  <c r="S79" i="1"/>
  <c r="R79" i="1"/>
  <c r="Q79" i="1"/>
  <c r="F79" i="1"/>
  <c r="E79" i="1"/>
  <c r="D79" i="1"/>
  <c r="C79" i="1"/>
  <c r="CJ78" i="1"/>
  <c r="CI78" i="1" a="1"/>
  <c r="CI78" i="1"/>
  <c r="CH78" i="1" a="1"/>
  <c r="CH78" i="1"/>
  <c r="CG78" i="1"/>
  <c r="CF78" i="1"/>
  <c r="CE78" i="1" a="1"/>
  <c r="CE78" i="1"/>
  <c r="CD78" i="1" a="1"/>
  <c r="CD78" i="1"/>
  <c r="CC78" i="1"/>
  <c r="CB78" i="1"/>
  <c r="CA78" i="1" a="1"/>
  <c r="CA78" i="1"/>
  <c r="BZ78" i="1" a="1"/>
  <c r="BZ78" i="1"/>
  <c r="BY78" i="1"/>
  <c r="BX78" i="1"/>
  <c r="BW78" i="1" a="1"/>
  <c r="BW78" i="1"/>
  <c r="BV78" i="1"/>
  <c r="BU78" i="1"/>
  <c r="BT78" i="1"/>
  <c r="BS78" i="1" a="1"/>
  <c r="BS78" i="1"/>
  <c r="BR78" i="1"/>
  <c r="BQ78" i="1"/>
  <c r="BP78" i="1"/>
  <c r="BO78" i="1" a="1"/>
  <c r="BO78" i="1"/>
  <c r="BN78" i="1"/>
  <c r="BM78" i="1"/>
  <c r="BL78" i="1"/>
  <c r="BK78" i="1"/>
  <c r="BJ78" i="1"/>
  <c r="U78" i="1"/>
  <c r="T78" i="1"/>
  <c r="S78" i="1"/>
  <c r="R78" i="1"/>
  <c r="Q78" i="1"/>
  <c r="F78" i="1"/>
  <c r="E78" i="1"/>
  <c r="D78" i="1"/>
  <c r="C78" i="1"/>
  <c r="CJ77" i="1"/>
  <c r="CI77" i="1" a="1"/>
  <c r="CI77" i="1"/>
  <c r="CH77" i="1" a="1"/>
  <c r="CH77" i="1"/>
  <c r="CG77" i="1"/>
  <c r="CF77" i="1"/>
  <c r="CE77" i="1" a="1"/>
  <c r="CE77" i="1"/>
  <c r="CD77" i="1" a="1"/>
  <c r="CD77" i="1"/>
  <c r="CC77" i="1"/>
  <c r="CB77" i="1"/>
  <c r="CA77" i="1" a="1"/>
  <c r="CA77" i="1"/>
  <c r="BZ77" i="1" a="1"/>
  <c r="BZ77" i="1"/>
  <c r="BY77" i="1"/>
  <c r="BX77" i="1"/>
  <c r="BW77" i="1" a="1"/>
  <c r="BW77" i="1"/>
  <c r="BV77" i="1"/>
  <c r="BU77" i="1"/>
  <c r="BT77" i="1"/>
  <c r="BS77" i="1" a="1"/>
  <c r="BS77" i="1"/>
  <c r="BR77" i="1"/>
  <c r="BQ77" i="1"/>
  <c r="BP77" i="1"/>
  <c r="BO77" i="1" a="1"/>
  <c r="BO77" i="1"/>
  <c r="BN77" i="1"/>
  <c r="BM77" i="1"/>
  <c r="BL77" i="1"/>
  <c r="BK77" i="1"/>
  <c r="BJ77" i="1"/>
  <c r="U77" i="1"/>
  <c r="T77" i="1"/>
  <c r="S77" i="1"/>
  <c r="R77" i="1"/>
  <c r="Q77" i="1"/>
  <c r="F77" i="1"/>
  <c r="E77" i="1"/>
  <c r="D77" i="1"/>
  <c r="C77" i="1"/>
  <c r="CJ76" i="1"/>
  <c r="CI76" i="1" a="1"/>
  <c r="CI76" i="1"/>
  <c r="CH76" i="1" a="1"/>
  <c r="CH76" i="1"/>
  <c r="CG76" i="1"/>
  <c r="CF76" i="1"/>
  <c r="CE76" i="1" a="1"/>
  <c r="CE76" i="1"/>
  <c r="CD76" i="1" a="1"/>
  <c r="CD76" i="1"/>
  <c r="CC76" i="1"/>
  <c r="CB76" i="1"/>
  <c r="CA76" i="1" a="1"/>
  <c r="CA76" i="1"/>
  <c r="BZ76" i="1" a="1"/>
  <c r="BZ76" i="1"/>
  <c r="BY76" i="1"/>
  <c r="BX76" i="1"/>
  <c r="BW76" i="1" a="1"/>
  <c r="BW76" i="1"/>
  <c r="BV76" i="1"/>
  <c r="BU76" i="1"/>
  <c r="BT76" i="1"/>
  <c r="BS76" i="1" a="1"/>
  <c r="BS76" i="1"/>
  <c r="BR76" i="1"/>
  <c r="BQ76" i="1"/>
  <c r="BP76" i="1"/>
  <c r="BO76" i="1" a="1"/>
  <c r="BO76" i="1"/>
  <c r="BN76" i="1"/>
  <c r="BM76" i="1"/>
  <c r="BL76" i="1"/>
  <c r="BK76" i="1"/>
  <c r="BJ76" i="1"/>
  <c r="U76" i="1"/>
  <c r="T76" i="1"/>
  <c r="S76" i="1"/>
  <c r="R76" i="1"/>
  <c r="Q76" i="1"/>
  <c r="F76" i="1"/>
  <c r="E76" i="1"/>
  <c r="D76" i="1"/>
  <c r="C76" i="1"/>
  <c r="CJ75" i="1"/>
  <c r="CI75" i="1" a="1"/>
  <c r="CI75" i="1"/>
  <c r="CH75" i="1" a="1"/>
  <c r="CH75" i="1"/>
  <c r="CG75" i="1"/>
  <c r="CF75" i="1"/>
  <c r="CE75" i="1" a="1"/>
  <c r="CE75" i="1"/>
  <c r="CD75" i="1" a="1"/>
  <c r="CD75" i="1"/>
  <c r="CC75" i="1"/>
  <c r="CB75" i="1"/>
  <c r="CA75" i="1" a="1"/>
  <c r="CA75" i="1"/>
  <c r="BZ75" i="1" a="1"/>
  <c r="BZ75" i="1"/>
  <c r="BY75" i="1"/>
  <c r="BX75" i="1"/>
  <c r="BW75" i="1" a="1"/>
  <c r="BW75" i="1"/>
  <c r="BV75" i="1"/>
  <c r="BU75" i="1"/>
  <c r="BT75" i="1"/>
  <c r="BS75" i="1" a="1"/>
  <c r="BS75" i="1"/>
  <c r="BR75" i="1"/>
  <c r="BQ75" i="1"/>
  <c r="BP75" i="1"/>
  <c r="BO75" i="1" a="1"/>
  <c r="BO75" i="1"/>
  <c r="BN75" i="1"/>
  <c r="BM75" i="1"/>
  <c r="BL75" i="1"/>
  <c r="BK75" i="1"/>
  <c r="BJ75" i="1"/>
  <c r="U75" i="1"/>
  <c r="T75" i="1"/>
  <c r="S75" i="1"/>
  <c r="R75" i="1"/>
  <c r="Q75" i="1"/>
  <c r="F75" i="1"/>
  <c r="E75" i="1"/>
  <c r="D75" i="1"/>
  <c r="C75" i="1"/>
  <c r="CJ74" i="1"/>
  <c r="CI74" i="1" a="1"/>
  <c r="CI74" i="1"/>
  <c r="CH74" i="1" a="1"/>
  <c r="CH74" i="1"/>
  <c r="CG74" i="1"/>
  <c r="CF74" i="1"/>
  <c r="CE74" i="1" a="1"/>
  <c r="CE74" i="1"/>
  <c r="CD74" i="1" a="1"/>
  <c r="CD74" i="1"/>
  <c r="CC74" i="1"/>
  <c r="CB74" i="1"/>
  <c r="CA74" i="1" a="1"/>
  <c r="CA74" i="1"/>
  <c r="BZ74" i="1" a="1"/>
  <c r="BZ74" i="1"/>
  <c r="BY74" i="1"/>
  <c r="BX74" i="1"/>
  <c r="BW74" i="1" a="1"/>
  <c r="BW74" i="1"/>
  <c r="BV74" i="1"/>
  <c r="BU74" i="1"/>
  <c r="BT74" i="1"/>
  <c r="BS74" i="1" a="1"/>
  <c r="BS74" i="1"/>
  <c r="BR74" i="1"/>
  <c r="BQ74" i="1"/>
  <c r="BP74" i="1"/>
  <c r="BO74" i="1" a="1"/>
  <c r="BO74" i="1"/>
  <c r="BN74" i="1"/>
  <c r="BM74" i="1"/>
  <c r="BL74" i="1"/>
  <c r="BK74" i="1"/>
  <c r="BJ74" i="1"/>
  <c r="U74" i="1"/>
  <c r="T74" i="1"/>
  <c r="S74" i="1"/>
  <c r="R74" i="1"/>
  <c r="Q74" i="1"/>
  <c r="F74" i="1"/>
  <c r="E74" i="1"/>
  <c r="D74" i="1"/>
  <c r="C74" i="1"/>
  <c r="CJ73" i="1"/>
  <c r="CI73" i="1" a="1"/>
  <c r="CI73" i="1"/>
  <c r="CH73" i="1" a="1"/>
  <c r="CH73" i="1"/>
  <c r="CG73" i="1"/>
  <c r="CF73" i="1"/>
  <c r="CE73" i="1" a="1"/>
  <c r="CE73" i="1"/>
  <c r="CD73" i="1" a="1"/>
  <c r="CD73" i="1"/>
  <c r="CC73" i="1"/>
  <c r="CB73" i="1"/>
  <c r="CA73" i="1" a="1"/>
  <c r="CA73" i="1"/>
  <c r="BZ73" i="1" a="1"/>
  <c r="BZ73" i="1"/>
  <c r="BY73" i="1"/>
  <c r="BX73" i="1"/>
  <c r="BW73" i="1" a="1"/>
  <c r="BW73" i="1"/>
  <c r="BV73" i="1"/>
  <c r="BU73" i="1"/>
  <c r="BT73" i="1"/>
  <c r="BS73" i="1" a="1"/>
  <c r="BS73" i="1"/>
  <c r="BR73" i="1"/>
  <c r="BQ73" i="1"/>
  <c r="BP73" i="1"/>
  <c r="BO73" i="1" a="1"/>
  <c r="BO73" i="1"/>
  <c r="BN73" i="1"/>
  <c r="BM73" i="1"/>
  <c r="BL73" i="1"/>
  <c r="BK73" i="1"/>
  <c r="BJ73" i="1"/>
  <c r="U73" i="1"/>
  <c r="T73" i="1"/>
  <c r="S73" i="1"/>
  <c r="R73" i="1"/>
  <c r="Q73" i="1"/>
  <c r="F73" i="1"/>
  <c r="E73" i="1"/>
  <c r="D73" i="1"/>
  <c r="C73" i="1"/>
  <c r="CJ72" i="1"/>
  <c r="CI72" i="1" a="1"/>
  <c r="CI72" i="1"/>
  <c r="CH72" i="1" a="1"/>
  <c r="CH72" i="1"/>
  <c r="CG72" i="1"/>
  <c r="CF72" i="1"/>
  <c r="CE72" i="1" a="1"/>
  <c r="CE72" i="1"/>
  <c r="CD72" i="1" a="1"/>
  <c r="CD72" i="1"/>
  <c r="CC72" i="1"/>
  <c r="CB72" i="1"/>
  <c r="CA72" i="1" a="1"/>
  <c r="CA72" i="1"/>
  <c r="BZ72" i="1" a="1"/>
  <c r="BZ72" i="1"/>
  <c r="BY72" i="1"/>
  <c r="BX72" i="1"/>
  <c r="BW72" i="1" a="1"/>
  <c r="BW72" i="1"/>
  <c r="BV72" i="1"/>
  <c r="BU72" i="1"/>
  <c r="BT72" i="1"/>
  <c r="BS72" i="1" a="1"/>
  <c r="BS72" i="1"/>
  <c r="BR72" i="1"/>
  <c r="BQ72" i="1"/>
  <c r="BP72" i="1"/>
  <c r="BO72" i="1" a="1"/>
  <c r="BO72" i="1"/>
  <c r="BN72" i="1"/>
  <c r="BM72" i="1"/>
  <c r="BL72" i="1"/>
  <c r="BK72" i="1"/>
  <c r="BJ72" i="1"/>
  <c r="U72" i="1"/>
  <c r="T72" i="1"/>
  <c r="S72" i="1"/>
  <c r="R72" i="1"/>
  <c r="Q72" i="1"/>
  <c r="F72" i="1"/>
  <c r="E72" i="1"/>
  <c r="D72" i="1"/>
  <c r="C72" i="1"/>
  <c r="CJ71" i="1"/>
  <c r="CI71" i="1" a="1"/>
  <c r="CI71" i="1"/>
  <c r="CH71" i="1" a="1"/>
  <c r="CH71" i="1"/>
  <c r="CG71" i="1"/>
  <c r="CF71" i="1"/>
  <c r="CE71" i="1" a="1"/>
  <c r="CE71" i="1"/>
  <c r="CD71" i="1" a="1"/>
  <c r="CD71" i="1"/>
  <c r="CC71" i="1"/>
  <c r="CB71" i="1"/>
  <c r="CA71" i="1" a="1"/>
  <c r="CA71" i="1"/>
  <c r="BZ71" i="1" a="1"/>
  <c r="BZ71" i="1"/>
  <c r="BY71" i="1"/>
  <c r="BX71" i="1"/>
  <c r="BW71" i="1" a="1"/>
  <c r="BW71" i="1"/>
  <c r="BV71" i="1"/>
  <c r="BU71" i="1"/>
  <c r="BT71" i="1"/>
  <c r="BS71" i="1" a="1"/>
  <c r="BS71" i="1"/>
  <c r="BR71" i="1"/>
  <c r="BQ71" i="1"/>
  <c r="BP71" i="1"/>
  <c r="BO71" i="1" a="1"/>
  <c r="BO71" i="1"/>
  <c r="BN71" i="1"/>
  <c r="BM71" i="1"/>
  <c r="BL71" i="1"/>
  <c r="BK71" i="1"/>
  <c r="BJ71" i="1"/>
  <c r="U71" i="1"/>
  <c r="T71" i="1"/>
  <c r="S71" i="1"/>
  <c r="R71" i="1"/>
  <c r="Q71" i="1"/>
  <c r="F71" i="1"/>
  <c r="E71" i="1"/>
  <c r="D71" i="1"/>
  <c r="C71" i="1"/>
  <c r="CJ70" i="1"/>
  <c r="CI70" i="1" a="1"/>
  <c r="CI70" i="1"/>
  <c r="CH70" i="1" a="1"/>
  <c r="CH70" i="1"/>
  <c r="CG70" i="1"/>
  <c r="CF70" i="1"/>
  <c r="CE70" i="1" a="1"/>
  <c r="CE70" i="1"/>
  <c r="CD70" i="1" a="1"/>
  <c r="CD70" i="1"/>
  <c r="CC70" i="1"/>
  <c r="CB70" i="1"/>
  <c r="CA70" i="1" a="1"/>
  <c r="CA70" i="1"/>
  <c r="BZ70" i="1" a="1"/>
  <c r="BZ70" i="1"/>
  <c r="BY70" i="1"/>
  <c r="BX70" i="1"/>
  <c r="BW70" i="1" a="1"/>
  <c r="BW70" i="1"/>
  <c r="BV70" i="1"/>
  <c r="BU70" i="1"/>
  <c r="BT70" i="1"/>
  <c r="BS70" i="1" a="1"/>
  <c r="BS70" i="1"/>
  <c r="BR70" i="1"/>
  <c r="BQ70" i="1"/>
  <c r="BP70" i="1"/>
  <c r="BO70" i="1" a="1"/>
  <c r="BO70" i="1"/>
  <c r="BN70" i="1"/>
  <c r="BM70" i="1"/>
  <c r="BL70" i="1"/>
  <c r="BK70" i="1"/>
  <c r="BJ70" i="1"/>
  <c r="U70" i="1"/>
  <c r="T70" i="1"/>
  <c r="S70" i="1"/>
  <c r="R70" i="1"/>
  <c r="Q70" i="1"/>
  <c r="F70" i="1"/>
  <c r="E70" i="1"/>
  <c r="D70" i="1"/>
  <c r="C70" i="1"/>
  <c r="CJ69" i="1"/>
  <c r="CI69" i="1" a="1"/>
  <c r="CI69" i="1"/>
  <c r="CH69" i="1" a="1"/>
  <c r="CH69" i="1"/>
  <c r="CG69" i="1"/>
  <c r="CF69" i="1"/>
  <c r="CE69" i="1" a="1"/>
  <c r="CE69" i="1"/>
  <c r="CD69" i="1" a="1"/>
  <c r="CD69" i="1"/>
  <c r="CC69" i="1"/>
  <c r="CB69" i="1"/>
  <c r="CA69" i="1" a="1"/>
  <c r="CA69" i="1"/>
  <c r="BZ69" i="1" a="1"/>
  <c r="BZ69" i="1"/>
  <c r="BY69" i="1"/>
  <c r="BX69" i="1"/>
  <c r="BW69" i="1" a="1"/>
  <c r="BW69" i="1"/>
  <c r="BV69" i="1"/>
  <c r="BU69" i="1"/>
  <c r="BT69" i="1"/>
  <c r="BS69" i="1" a="1"/>
  <c r="BS69" i="1"/>
  <c r="BR69" i="1"/>
  <c r="BQ69" i="1"/>
  <c r="BP69" i="1"/>
  <c r="BO69" i="1" a="1"/>
  <c r="BO69" i="1"/>
  <c r="BN69" i="1"/>
  <c r="BM69" i="1"/>
  <c r="BL69" i="1"/>
  <c r="BK69" i="1"/>
  <c r="BJ69" i="1"/>
  <c r="U69" i="1"/>
  <c r="T69" i="1"/>
  <c r="S69" i="1"/>
  <c r="R69" i="1"/>
  <c r="Q69" i="1"/>
  <c r="F69" i="1"/>
  <c r="E69" i="1"/>
  <c r="D69" i="1"/>
  <c r="C69" i="1"/>
  <c r="CJ68" i="1"/>
  <c r="CI68" i="1" a="1"/>
  <c r="CI68" i="1"/>
  <c r="CH68" i="1" a="1"/>
  <c r="CH68" i="1"/>
  <c r="CG68" i="1"/>
  <c r="CF68" i="1"/>
  <c r="CE68" i="1" a="1"/>
  <c r="CE68" i="1"/>
  <c r="CD68" i="1" a="1"/>
  <c r="CD68" i="1"/>
  <c r="CC68" i="1"/>
  <c r="CB68" i="1"/>
  <c r="CA68" i="1" a="1"/>
  <c r="CA68" i="1"/>
  <c r="BZ68" i="1" a="1"/>
  <c r="BZ68" i="1"/>
  <c r="BY68" i="1"/>
  <c r="BX68" i="1"/>
  <c r="BW68" i="1" a="1"/>
  <c r="BW68" i="1"/>
  <c r="BV68" i="1"/>
  <c r="BU68" i="1"/>
  <c r="BT68" i="1"/>
  <c r="BS68" i="1" a="1"/>
  <c r="BS68" i="1"/>
  <c r="BR68" i="1"/>
  <c r="BQ68" i="1"/>
  <c r="BP68" i="1"/>
  <c r="BO68" i="1" a="1"/>
  <c r="BO68" i="1"/>
  <c r="BN68" i="1"/>
  <c r="BM68" i="1"/>
  <c r="BL68" i="1"/>
  <c r="BK68" i="1"/>
  <c r="BJ68" i="1"/>
  <c r="U68" i="1"/>
  <c r="T68" i="1"/>
  <c r="S68" i="1"/>
  <c r="R68" i="1"/>
  <c r="Q68" i="1"/>
  <c r="F68" i="1"/>
  <c r="E68" i="1"/>
  <c r="D68" i="1"/>
  <c r="C68" i="1"/>
  <c r="CJ67" i="1"/>
  <c r="CI67" i="1" a="1"/>
  <c r="CI67" i="1"/>
  <c r="CH67" i="1" a="1"/>
  <c r="CH67" i="1"/>
  <c r="CG67" i="1"/>
  <c r="CF67" i="1"/>
  <c r="CE67" i="1" a="1"/>
  <c r="CE67" i="1"/>
  <c r="CD67" i="1" a="1"/>
  <c r="CD67" i="1"/>
  <c r="CC67" i="1"/>
  <c r="CB67" i="1"/>
  <c r="CA67" i="1" a="1"/>
  <c r="CA67" i="1"/>
  <c r="BZ67" i="1" a="1"/>
  <c r="BZ67" i="1"/>
  <c r="BY67" i="1"/>
  <c r="BX67" i="1"/>
  <c r="BW67" i="1" a="1"/>
  <c r="BW67" i="1"/>
  <c r="BV67" i="1"/>
  <c r="BU67" i="1"/>
  <c r="BT67" i="1"/>
  <c r="BS67" i="1" a="1"/>
  <c r="BS67" i="1"/>
  <c r="BR67" i="1"/>
  <c r="BQ67" i="1"/>
  <c r="BP67" i="1"/>
  <c r="BO67" i="1" a="1"/>
  <c r="BO67" i="1"/>
  <c r="BN67" i="1"/>
  <c r="BM67" i="1"/>
  <c r="BL67" i="1"/>
  <c r="BK67" i="1"/>
  <c r="BJ67" i="1"/>
  <c r="U67" i="1"/>
  <c r="T67" i="1"/>
  <c r="S67" i="1"/>
  <c r="R67" i="1"/>
  <c r="Q67" i="1"/>
  <c r="F67" i="1"/>
  <c r="E67" i="1"/>
  <c r="D67" i="1"/>
  <c r="C67" i="1"/>
  <c r="CJ66" i="1"/>
  <c r="CI66" i="1" a="1"/>
  <c r="CI66" i="1"/>
  <c r="CH66" i="1" a="1"/>
  <c r="CH66" i="1"/>
  <c r="CG66" i="1"/>
  <c r="CF66" i="1"/>
  <c r="CE66" i="1" a="1"/>
  <c r="CE66" i="1"/>
  <c r="CD66" i="1" a="1"/>
  <c r="CD66" i="1"/>
  <c r="CC66" i="1"/>
  <c r="CB66" i="1"/>
  <c r="CA66" i="1" a="1"/>
  <c r="CA66" i="1"/>
  <c r="BZ66" i="1" a="1"/>
  <c r="BZ66" i="1"/>
  <c r="BY66" i="1"/>
  <c r="BX66" i="1"/>
  <c r="BW66" i="1" a="1"/>
  <c r="BW66" i="1"/>
  <c r="BV66" i="1"/>
  <c r="BU66" i="1"/>
  <c r="BT66" i="1"/>
  <c r="BS66" i="1" a="1"/>
  <c r="BS66" i="1"/>
  <c r="BR66" i="1"/>
  <c r="BQ66" i="1"/>
  <c r="BP66" i="1"/>
  <c r="BO66" i="1" a="1"/>
  <c r="BO66" i="1"/>
  <c r="BN66" i="1"/>
  <c r="BM66" i="1"/>
  <c r="BL66" i="1"/>
  <c r="BK66" i="1"/>
  <c r="BJ66" i="1"/>
  <c r="U66" i="1"/>
  <c r="T66" i="1"/>
  <c r="S66" i="1"/>
  <c r="R66" i="1"/>
  <c r="Q66" i="1"/>
  <c r="F66" i="1"/>
  <c r="E66" i="1"/>
  <c r="D66" i="1"/>
  <c r="C66" i="1"/>
  <c r="CJ65" i="1"/>
  <c r="CI65" i="1" a="1"/>
  <c r="CI65" i="1"/>
  <c r="CH65" i="1" a="1"/>
  <c r="CH65" i="1"/>
  <c r="CG65" i="1"/>
  <c r="CF65" i="1"/>
  <c r="CE65" i="1" a="1"/>
  <c r="CE65" i="1"/>
  <c r="CD65" i="1" a="1"/>
  <c r="CD65" i="1"/>
  <c r="CC65" i="1"/>
  <c r="CB65" i="1"/>
  <c r="CA65" i="1" a="1"/>
  <c r="CA65" i="1"/>
  <c r="BZ65" i="1" a="1"/>
  <c r="BZ65" i="1"/>
  <c r="BY65" i="1"/>
  <c r="BX65" i="1"/>
  <c r="BW65" i="1" a="1"/>
  <c r="BW65" i="1"/>
  <c r="BV65" i="1"/>
  <c r="BU65" i="1"/>
  <c r="BT65" i="1"/>
  <c r="BS65" i="1" a="1"/>
  <c r="BS65" i="1"/>
  <c r="BR65" i="1"/>
  <c r="BQ65" i="1"/>
  <c r="BP65" i="1"/>
  <c r="BO65" i="1" a="1"/>
  <c r="BO65" i="1"/>
  <c r="BN65" i="1"/>
  <c r="BM65" i="1"/>
  <c r="BL65" i="1"/>
  <c r="BK65" i="1"/>
  <c r="BJ65" i="1"/>
  <c r="U65" i="1"/>
  <c r="T65" i="1"/>
  <c r="S65" i="1"/>
  <c r="R65" i="1"/>
  <c r="Q65" i="1"/>
  <c r="F65" i="1"/>
  <c r="E65" i="1"/>
  <c r="D65" i="1"/>
  <c r="C65" i="1"/>
  <c r="CJ64" i="1"/>
  <c r="CI64" i="1" a="1"/>
  <c r="CI64" i="1"/>
  <c r="CH64" i="1" a="1"/>
  <c r="CH64" i="1"/>
  <c r="CG64" i="1"/>
  <c r="CF64" i="1"/>
  <c r="CE64" i="1" a="1"/>
  <c r="CE64" i="1"/>
  <c r="CD64" i="1" a="1"/>
  <c r="CD64" i="1"/>
  <c r="CC64" i="1"/>
  <c r="CB64" i="1"/>
  <c r="CA64" i="1" a="1"/>
  <c r="CA64" i="1"/>
  <c r="BZ64" i="1" a="1"/>
  <c r="BZ64" i="1"/>
  <c r="BY64" i="1"/>
  <c r="BX64" i="1"/>
  <c r="BW64" i="1" a="1"/>
  <c r="BW64" i="1"/>
  <c r="BV64" i="1"/>
  <c r="BU64" i="1"/>
  <c r="BT64" i="1"/>
  <c r="BS64" i="1" a="1"/>
  <c r="BS64" i="1"/>
  <c r="BR64" i="1"/>
  <c r="BQ64" i="1"/>
  <c r="BP64" i="1"/>
  <c r="BO64" i="1" a="1"/>
  <c r="BO64" i="1"/>
  <c r="BN64" i="1"/>
  <c r="BM64" i="1"/>
  <c r="BL64" i="1"/>
  <c r="BK64" i="1"/>
  <c r="BJ64" i="1"/>
  <c r="U64" i="1"/>
  <c r="T64" i="1"/>
  <c r="S64" i="1"/>
  <c r="R64" i="1"/>
  <c r="Q64" i="1"/>
  <c r="F64" i="1"/>
  <c r="E64" i="1"/>
  <c r="D64" i="1"/>
  <c r="C64" i="1"/>
  <c r="CJ63" i="1"/>
  <c r="CI63" i="1" a="1"/>
  <c r="CI63" i="1"/>
  <c r="CH63" i="1" a="1"/>
  <c r="CH63" i="1"/>
  <c r="CG63" i="1"/>
  <c r="CF63" i="1"/>
  <c r="CE63" i="1" a="1"/>
  <c r="CE63" i="1"/>
  <c r="CD63" i="1" a="1"/>
  <c r="CD63" i="1"/>
  <c r="CC63" i="1"/>
  <c r="CB63" i="1"/>
  <c r="CA63" i="1" a="1"/>
  <c r="CA63" i="1"/>
  <c r="BZ63" i="1" a="1"/>
  <c r="BZ63" i="1"/>
  <c r="BY63" i="1"/>
  <c r="BX63" i="1"/>
  <c r="BW63" i="1" a="1"/>
  <c r="BW63" i="1"/>
  <c r="BV63" i="1"/>
  <c r="BU63" i="1"/>
  <c r="BT63" i="1"/>
  <c r="BS63" i="1" a="1"/>
  <c r="BS63" i="1"/>
  <c r="BR63" i="1"/>
  <c r="BQ63" i="1"/>
  <c r="BP63" i="1"/>
  <c r="BO63" i="1" a="1"/>
  <c r="BO63" i="1"/>
  <c r="BN63" i="1"/>
  <c r="BM63" i="1"/>
  <c r="BL63" i="1"/>
  <c r="BK63" i="1"/>
  <c r="BJ63" i="1"/>
  <c r="U63" i="1"/>
  <c r="T63" i="1"/>
  <c r="S63" i="1"/>
  <c r="R63" i="1"/>
  <c r="Q63" i="1"/>
  <c r="F63" i="1"/>
  <c r="E63" i="1"/>
  <c r="D63" i="1"/>
  <c r="C63" i="1"/>
  <c r="CJ62" i="1"/>
  <c r="CI62" i="1" a="1"/>
  <c r="CI62" i="1"/>
  <c r="CH62" i="1" a="1"/>
  <c r="CH62" i="1"/>
  <c r="CG62" i="1"/>
  <c r="CF62" i="1"/>
  <c r="CE62" i="1" a="1"/>
  <c r="CE62" i="1"/>
  <c r="CD62" i="1" a="1"/>
  <c r="CD62" i="1"/>
  <c r="CC62" i="1"/>
  <c r="CB62" i="1"/>
  <c r="CA62" i="1" a="1"/>
  <c r="CA62" i="1"/>
  <c r="BZ62" i="1" a="1"/>
  <c r="BZ62" i="1"/>
  <c r="BY62" i="1"/>
  <c r="BX62" i="1"/>
  <c r="BW62" i="1" a="1"/>
  <c r="BW62" i="1"/>
  <c r="BV62" i="1"/>
  <c r="BU62" i="1"/>
  <c r="BT62" i="1"/>
  <c r="BS62" i="1" a="1"/>
  <c r="BS62" i="1"/>
  <c r="BR62" i="1"/>
  <c r="BQ62" i="1"/>
  <c r="BP62" i="1"/>
  <c r="BO62" i="1" a="1"/>
  <c r="BO62" i="1"/>
  <c r="BN62" i="1"/>
  <c r="BM62" i="1"/>
  <c r="BL62" i="1"/>
  <c r="BK62" i="1"/>
  <c r="BJ62" i="1"/>
  <c r="U62" i="1"/>
  <c r="T62" i="1"/>
  <c r="S62" i="1"/>
  <c r="R62" i="1"/>
  <c r="Q62" i="1"/>
  <c r="F62" i="1"/>
  <c r="E62" i="1"/>
  <c r="D62" i="1"/>
  <c r="C62" i="1"/>
  <c r="CJ61" i="1"/>
  <c r="CI61" i="1" a="1"/>
  <c r="CI61" i="1"/>
  <c r="CH61" i="1" a="1"/>
  <c r="CH61" i="1"/>
  <c r="CG61" i="1"/>
  <c r="CF61" i="1"/>
  <c r="CE61" i="1" a="1"/>
  <c r="CE61" i="1"/>
  <c r="CD61" i="1" a="1"/>
  <c r="CD61" i="1"/>
  <c r="CC61" i="1"/>
  <c r="CB61" i="1"/>
  <c r="CA61" i="1" a="1"/>
  <c r="CA61" i="1"/>
  <c r="BZ61" i="1" a="1"/>
  <c r="BZ61" i="1"/>
  <c r="BY61" i="1"/>
  <c r="BX61" i="1"/>
  <c r="BW61" i="1" a="1"/>
  <c r="BW61" i="1"/>
  <c r="BV61" i="1"/>
  <c r="BU61" i="1"/>
  <c r="BT61" i="1"/>
  <c r="BS61" i="1" a="1"/>
  <c r="BS61" i="1"/>
  <c r="BR61" i="1"/>
  <c r="BQ61" i="1"/>
  <c r="BP61" i="1"/>
  <c r="BO61" i="1" a="1"/>
  <c r="BO61" i="1"/>
  <c r="BN61" i="1"/>
  <c r="BM61" i="1"/>
  <c r="BL61" i="1"/>
  <c r="BK61" i="1"/>
  <c r="BJ61" i="1"/>
  <c r="U61" i="1"/>
  <c r="T61" i="1"/>
  <c r="S61" i="1"/>
  <c r="R61" i="1"/>
  <c r="Q61" i="1"/>
  <c r="F61" i="1"/>
  <c r="E61" i="1"/>
  <c r="D61" i="1"/>
  <c r="C61" i="1"/>
  <c r="CJ60" i="1"/>
  <c r="CI60" i="1" a="1"/>
  <c r="CI60" i="1"/>
  <c r="CH60" i="1" a="1"/>
  <c r="CH60" i="1"/>
  <c r="CG60" i="1"/>
  <c r="CF60" i="1"/>
  <c r="CE60" i="1" a="1"/>
  <c r="CE60" i="1"/>
  <c r="CD60" i="1" a="1"/>
  <c r="CD60" i="1"/>
  <c r="CC60" i="1"/>
  <c r="CB60" i="1"/>
  <c r="CA60" i="1" a="1"/>
  <c r="CA60" i="1"/>
  <c r="BZ60" i="1" a="1"/>
  <c r="BZ60" i="1"/>
  <c r="BY60" i="1"/>
  <c r="BX60" i="1"/>
  <c r="BW60" i="1" a="1"/>
  <c r="BW60" i="1"/>
  <c r="BV60" i="1"/>
  <c r="BU60" i="1"/>
  <c r="BT60" i="1"/>
  <c r="BS60" i="1" a="1"/>
  <c r="BS60" i="1"/>
  <c r="BR60" i="1"/>
  <c r="BQ60" i="1"/>
  <c r="BP60" i="1"/>
  <c r="BO60" i="1" a="1"/>
  <c r="BO60" i="1"/>
  <c r="BN60" i="1"/>
  <c r="BM60" i="1"/>
  <c r="BL60" i="1"/>
  <c r="BK60" i="1"/>
  <c r="BJ60" i="1"/>
  <c r="U60" i="1"/>
  <c r="T60" i="1"/>
  <c r="S60" i="1"/>
  <c r="R60" i="1"/>
  <c r="Q60" i="1"/>
  <c r="F60" i="1"/>
  <c r="E60" i="1"/>
  <c r="D60" i="1"/>
  <c r="C60" i="1"/>
  <c r="CJ59" i="1"/>
  <c r="CI59" i="1" a="1"/>
  <c r="CI59" i="1"/>
  <c r="CH59" i="1" a="1"/>
  <c r="CH59" i="1"/>
  <c r="CG59" i="1"/>
  <c r="CF59" i="1"/>
  <c r="CE59" i="1" a="1"/>
  <c r="CE59" i="1"/>
  <c r="CD59" i="1" a="1"/>
  <c r="CD59" i="1"/>
  <c r="CC59" i="1"/>
  <c r="CB59" i="1"/>
  <c r="CA59" i="1" a="1"/>
  <c r="CA59" i="1"/>
  <c r="BZ59" i="1" a="1"/>
  <c r="BZ59" i="1"/>
  <c r="BY59" i="1"/>
  <c r="BX59" i="1"/>
  <c r="BW59" i="1" a="1"/>
  <c r="BW59" i="1"/>
  <c r="BV59" i="1"/>
  <c r="BU59" i="1"/>
  <c r="BT59" i="1"/>
  <c r="BS59" i="1" a="1"/>
  <c r="BS59" i="1"/>
  <c r="BR59" i="1"/>
  <c r="BQ59" i="1"/>
  <c r="BP59" i="1"/>
  <c r="BO59" i="1" a="1"/>
  <c r="BO59" i="1"/>
  <c r="BN59" i="1"/>
  <c r="BM59" i="1"/>
  <c r="BL59" i="1"/>
  <c r="BK59" i="1"/>
  <c r="BJ59" i="1"/>
  <c r="U59" i="1"/>
  <c r="T59" i="1"/>
  <c r="S59" i="1"/>
  <c r="R59" i="1"/>
  <c r="Q59" i="1"/>
  <c r="F59" i="1"/>
  <c r="E59" i="1"/>
  <c r="D59" i="1"/>
  <c r="C59" i="1"/>
  <c r="CJ58" i="1"/>
  <c r="CI58" i="1" a="1"/>
  <c r="CI58" i="1"/>
  <c r="CH58" i="1" a="1"/>
  <c r="CH58" i="1"/>
  <c r="CG58" i="1"/>
  <c r="CF58" i="1"/>
  <c r="CE58" i="1" a="1"/>
  <c r="CE58" i="1"/>
  <c r="CD58" i="1" a="1"/>
  <c r="CD58" i="1"/>
  <c r="CC58" i="1"/>
  <c r="CB58" i="1"/>
  <c r="CA58" i="1" a="1"/>
  <c r="CA58" i="1"/>
  <c r="BZ58" i="1" a="1"/>
  <c r="BZ58" i="1"/>
  <c r="BY58" i="1"/>
  <c r="BX58" i="1"/>
  <c r="BW58" i="1" a="1"/>
  <c r="BW58" i="1"/>
  <c r="BV58" i="1"/>
  <c r="BU58" i="1"/>
  <c r="BT58" i="1"/>
  <c r="BS58" i="1" a="1"/>
  <c r="BS58" i="1"/>
  <c r="BR58" i="1"/>
  <c r="BQ58" i="1"/>
  <c r="BP58" i="1"/>
  <c r="BO58" i="1" a="1"/>
  <c r="BO58" i="1"/>
  <c r="BN58" i="1"/>
  <c r="BM58" i="1"/>
  <c r="BL58" i="1"/>
  <c r="BK58" i="1"/>
  <c r="BJ58" i="1"/>
  <c r="U58" i="1"/>
  <c r="T58" i="1"/>
  <c r="S58" i="1"/>
  <c r="R58" i="1"/>
  <c r="Q58" i="1"/>
  <c r="F58" i="1"/>
  <c r="E58" i="1"/>
  <c r="D58" i="1"/>
  <c r="C58" i="1"/>
  <c r="CJ57" i="1"/>
  <c r="CI57" i="1" a="1"/>
  <c r="CI57" i="1"/>
  <c r="CH57" i="1" a="1"/>
  <c r="CH57" i="1"/>
  <c r="CG57" i="1"/>
  <c r="CF57" i="1"/>
  <c r="CE57" i="1" a="1"/>
  <c r="CE57" i="1"/>
  <c r="CD57" i="1" a="1"/>
  <c r="CD57" i="1"/>
  <c r="CC57" i="1"/>
  <c r="CB57" i="1"/>
  <c r="CA57" i="1" a="1"/>
  <c r="CA57" i="1"/>
  <c r="BZ57" i="1" a="1"/>
  <c r="BZ57" i="1"/>
  <c r="BY57" i="1"/>
  <c r="BX57" i="1"/>
  <c r="BW57" i="1" a="1"/>
  <c r="BW57" i="1"/>
  <c r="BV57" i="1"/>
  <c r="BU57" i="1"/>
  <c r="BT57" i="1"/>
  <c r="BS57" i="1" a="1"/>
  <c r="BS57" i="1"/>
  <c r="BR57" i="1"/>
  <c r="BQ57" i="1"/>
  <c r="BP57" i="1"/>
  <c r="BO57" i="1" a="1"/>
  <c r="BO57" i="1"/>
  <c r="BN57" i="1"/>
  <c r="BM57" i="1"/>
  <c r="BL57" i="1"/>
  <c r="BK57" i="1"/>
  <c r="BJ57" i="1"/>
  <c r="U57" i="1"/>
  <c r="T57" i="1"/>
  <c r="S57" i="1"/>
  <c r="R57" i="1"/>
  <c r="Q57" i="1"/>
  <c r="F57" i="1"/>
  <c r="E57" i="1"/>
  <c r="D57" i="1"/>
  <c r="C57" i="1"/>
  <c r="CJ56" i="1"/>
  <c r="CI56" i="1" a="1"/>
  <c r="CI56" i="1"/>
  <c r="CH56" i="1" a="1"/>
  <c r="CH56" i="1"/>
  <c r="CG56" i="1"/>
  <c r="CF56" i="1"/>
  <c r="CE56" i="1" a="1"/>
  <c r="CE56" i="1"/>
  <c r="CD56" i="1" a="1"/>
  <c r="CD56" i="1"/>
  <c r="CC56" i="1"/>
  <c r="CB56" i="1"/>
  <c r="CA56" i="1" a="1"/>
  <c r="CA56" i="1"/>
  <c r="BZ56" i="1" a="1"/>
  <c r="BZ56" i="1"/>
  <c r="BY56" i="1"/>
  <c r="BX56" i="1"/>
  <c r="BW56" i="1" a="1"/>
  <c r="BW56" i="1"/>
  <c r="BV56" i="1"/>
  <c r="BU56" i="1"/>
  <c r="BT56" i="1"/>
  <c r="BS56" i="1" a="1"/>
  <c r="BS56" i="1"/>
  <c r="BR56" i="1"/>
  <c r="BQ56" i="1"/>
  <c r="BP56" i="1"/>
  <c r="BO56" i="1" a="1"/>
  <c r="BO56" i="1"/>
  <c r="BN56" i="1"/>
  <c r="BM56" i="1"/>
  <c r="BL56" i="1"/>
  <c r="BK56" i="1"/>
  <c r="BJ56" i="1"/>
  <c r="U56" i="1"/>
  <c r="T56" i="1"/>
  <c r="S56" i="1"/>
  <c r="R56" i="1"/>
  <c r="Q56" i="1"/>
  <c r="F56" i="1"/>
  <c r="E56" i="1"/>
  <c r="D56" i="1"/>
  <c r="C56" i="1"/>
  <c r="CJ55" i="1"/>
  <c r="CI55" i="1" a="1"/>
  <c r="CI55" i="1"/>
  <c r="CH55" i="1" a="1"/>
  <c r="CH55" i="1"/>
  <c r="CG55" i="1"/>
  <c r="CF55" i="1"/>
  <c r="CE55" i="1" a="1"/>
  <c r="CE55" i="1"/>
  <c r="CD55" i="1" a="1"/>
  <c r="CD55" i="1"/>
  <c r="CC55" i="1"/>
  <c r="CB55" i="1"/>
  <c r="CA55" i="1" a="1"/>
  <c r="CA55" i="1"/>
  <c r="BZ55" i="1" a="1"/>
  <c r="BZ55" i="1"/>
  <c r="BY55" i="1"/>
  <c r="BX55" i="1"/>
  <c r="BW55" i="1" a="1"/>
  <c r="BW55" i="1"/>
  <c r="BV55" i="1"/>
  <c r="BU55" i="1"/>
  <c r="BT55" i="1"/>
  <c r="BS55" i="1" a="1"/>
  <c r="BS55" i="1"/>
  <c r="BR55" i="1"/>
  <c r="BQ55" i="1"/>
  <c r="BP55" i="1"/>
  <c r="BO55" i="1" a="1"/>
  <c r="BO55" i="1"/>
  <c r="BN55" i="1"/>
  <c r="BM55" i="1"/>
  <c r="BL55" i="1"/>
  <c r="BK55" i="1"/>
  <c r="BJ55" i="1"/>
  <c r="U55" i="1"/>
  <c r="T55" i="1"/>
  <c r="S55" i="1"/>
  <c r="R55" i="1"/>
  <c r="Q55" i="1"/>
  <c r="F55" i="1"/>
  <c r="E55" i="1"/>
  <c r="D55" i="1"/>
  <c r="C55" i="1"/>
  <c r="CJ54" i="1"/>
  <c r="CI54" i="1" a="1"/>
  <c r="CI54" i="1"/>
  <c r="CH54" i="1" a="1"/>
  <c r="CH54" i="1"/>
  <c r="CG54" i="1"/>
  <c r="CF54" i="1"/>
  <c r="CE54" i="1" a="1"/>
  <c r="CE54" i="1"/>
  <c r="CD54" i="1" a="1"/>
  <c r="CD54" i="1"/>
  <c r="CC54" i="1"/>
  <c r="CB54" i="1"/>
  <c r="CA54" i="1" a="1"/>
  <c r="CA54" i="1"/>
  <c r="BZ54" i="1" a="1"/>
  <c r="BZ54" i="1"/>
  <c r="BY54" i="1"/>
  <c r="BX54" i="1"/>
  <c r="BW54" i="1" a="1"/>
  <c r="BW54" i="1"/>
  <c r="BV54" i="1"/>
  <c r="BU54" i="1"/>
  <c r="BT54" i="1"/>
  <c r="BS54" i="1" a="1"/>
  <c r="BS54" i="1"/>
  <c r="BR54" i="1"/>
  <c r="BQ54" i="1"/>
  <c r="BP54" i="1"/>
  <c r="BO54" i="1" a="1"/>
  <c r="BO54" i="1"/>
  <c r="BN54" i="1"/>
  <c r="BM54" i="1"/>
  <c r="BL54" i="1"/>
  <c r="BK54" i="1"/>
  <c r="BJ54" i="1"/>
  <c r="U54" i="1"/>
  <c r="T54" i="1"/>
  <c r="S54" i="1"/>
  <c r="R54" i="1"/>
  <c r="Q54" i="1"/>
  <c r="F54" i="1"/>
  <c r="E54" i="1"/>
  <c r="D54" i="1"/>
  <c r="C54" i="1"/>
  <c r="CJ53" i="1"/>
  <c r="CI53" i="1" a="1"/>
  <c r="CI53" i="1"/>
  <c r="CH53" i="1" a="1"/>
  <c r="CH53" i="1"/>
  <c r="CG53" i="1"/>
  <c r="CF53" i="1"/>
  <c r="CE53" i="1" a="1"/>
  <c r="CE53" i="1"/>
  <c r="CD53" i="1" a="1"/>
  <c r="CD53" i="1"/>
  <c r="CC53" i="1"/>
  <c r="CB53" i="1"/>
  <c r="CA53" i="1" a="1"/>
  <c r="CA53" i="1"/>
  <c r="BZ53" i="1" a="1"/>
  <c r="BZ53" i="1"/>
  <c r="BY53" i="1"/>
  <c r="BX53" i="1"/>
  <c r="BW53" i="1" a="1"/>
  <c r="BW53" i="1"/>
  <c r="BV53" i="1"/>
  <c r="BU53" i="1"/>
  <c r="BT53" i="1"/>
  <c r="BS53" i="1" a="1"/>
  <c r="BS53" i="1"/>
  <c r="BR53" i="1"/>
  <c r="BQ53" i="1"/>
  <c r="BP53" i="1"/>
  <c r="BO53" i="1" a="1"/>
  <c r="BO53" i="1"/>
  <c r="BN53" i="1"/>
  <c r="BM53" i="1"/>
  <c r="BL53" i="1"/>
  <c r="BK53" i="1"/>
  <c r="BJ53" i="1"/>
  <c r="U53" i="1"/>
  <c r="T53" i="1"/>
  <c r="S53" i="1"/>
  <c r="R53" i="1"/>
  <c r="Q53" i="1"/>
  <c r="F53" i="1"/>
  <c r="E53" i="1"/>
  <c r="D53" i="1"/>
  <c r="C53" i="1"/>
  <c r="CJ52" i="1"/>
  <c r="CI52" i="1" a="1"/>
  <c r="CI52" i="1"/>
  <c r="CH52" i="1" a="1"/>
  <c r="CH52" i="1"/>
  <c r="CG52" i="1"/>
  <c r="CF52" i="1"/>
  <c r="CE52" i="1" a="1"/>
  <c r="CE52" i="1"/>
  <c r="CD52" i="1" a="1"/>
  <c r="CD52" i="1"/>
  <c r="CC52" i="1"/>
  <c r="CB52" i="1"/>
  <c r="CA52" i="1" a="1"/>
  <c r="CA52" i="1"/>
  <c r="BZ52" i="1" a="1"/>
  <c r="BZ52" i="1"/>
  <c r="BY52" i="1"/>
  <c r="BX52" i="1"/>
  <c r="BW52" i="1" a="1"/>
  <c r="BW52" i="1"/>
  <c r="BV52" i="1"/>
  <c r="BU52" i="1"/>
  <c r="BT52" i="1"/>
  <c r="BS52" i="1" a="1"/>
  <c r="BS52" i="1"/>
  <c r="BR52" i="1"/>
  <c r="BQ52" i="1"/>
  <c r="BP52" i="1"/>
  <c r="BO52" i="1" a="1"/>
  <c r="BO52" i="1"/>
  <c r="BN52" i="1"/>
  <c r="BM52" i="1"/>
  <c r="BL52" i="1"/>
  <c r="BK52" i="1"/>
  <c r="BJ52" i="1"/>
  <c r="U52" i="1"/>
  <c r="T52" i="1"/>
  <c r="S52" i="1"/>
  <c r="R52" i="1"/>
  <c r="Q52" i="1"/>
  <c r="F52" i="1"/>
  <c r="E52" i="1"/>
  <c r="D52" i="1"/>
  <c r="C52" i="1"/>
  <c r="CJ51" i="1"/>
  <c r="CI51" i="1" a="1"/>
  <c r="CI51" i="1"/>
  <c r="CH51" i="1" a="1"/>
  <c r="CH51" i="1"/>
  <c r="CG51" i="1"/>
  <c r="CF51" i="1"/>
  <c r="CE51" i="1" a="1"/>
  <c r="CE51" i="1"/>
  <c r="CD51" i="1" a="1"/>
  <c r="CD51" i="1"/>
  <c r="CC51" i="1"/>
  <c r="CB51" i="1"/>
  <c r="CA51" i="1" a="1"/>
  <c r="CA51" i="1"/>
  <c r="BZ51" i="1" a="1"/>
  <c r="BZ51" i="1"/>
  <c r="BY51" i="1"/>
  <c r="BX51" i="1"/>
  <c r="BW51" i="1" a="1"/>
  <c r="BW51" i="1"/>
  <c r="BV51" i="1"/>
  <c r="BU51" i="1"/>
  <c r="BT51" i="1"/>
  <c r="BS51" i="1" a="1"/>
  <c r="BS51" i="1"/>
  <c r="BR51" i="1"/>
  <c r="BQ51" i="1"/>
  <c r="BP51" i="1"/>
  <c r="BO51" i="1" a="1"/>
  <c r="BO51" i="1"/>
  <c r="BN51" i="1"/>
  <c r="BM51" i="1"/>
  <c r="BL51" i="1"/>
  <c r="BK51" i="1"/>
  <c r="BJ51" i="1"/>
  <c r="U51" i="1"/>
  <c r="T51" i="1"/>
  <c r="S51" i="1"/>
  <c r="R51" i="1"/>
  <c r="Q51" i="1"/>
  <c r="F51" i="1"/>
  <c r="E51" i="1"/>
  <c r="D51" i="1"/>
  <c r="C51" i="1"/>
  <c r="CJ50" i="1"/>
  <c r="CI50" i="1" a="1"/>
  <c r="CI50" i="1"/>
  <c r="CH50" i="1" a="1"/>
  <c r="CH50" i="1"/>
  <c r="CG50" i="1"/>
  <c r="CF50" i="1"/>
  <c r="CE50" i="1" a="1"/>
  <c r="CE50" i="1"/>
  <c r="CD50" i="1" a="1"/>
  <c r="CD50" i="1"/>
  <c r="CC50" i="1"/>
  <c r="CB50" i="1"/>
  <c r="CA50" i="1" a="1"/>
  <c r="CA50" i="1"/>
  <c r="BZ50" i="1" a="1"/>
  <c r="BZ50" i="1"/>
  <c r="BY50" i="1"/>
  <c r="BX50" i="1"/>
  <c r="BW50" i="1" a="1"/>
  <c r="BW50" i="1"/>
  <c r="BV50" i="1"/>
  <c r="BU50" i="1"/>
  <c r="BT50" i="1"/>
  <c r="BS50" i="1" a="1"/>
  <c r="BS50" i="1"/>
  <c r="BR50" i="1"/>
  <c r="BQ50" i="1"/>
  <c r="BP50" i="1"/>
  <c r="BO50" i="1" a="1"/>
  <c r="BO50" i="1"/>
  <c r="BN50" i="1"/>
  <c r="BM50" i="1"/>
  <c r="BL50" i="1"/>
  <c r="BK50" i="1"/>
  <c r="BJ50" i="1"/>
  <c r="U50" i="1"/>
  <c r="T50" i="1"/>
  <c r="S50" i="1"/>
  <c r="R50" i="1"/>
  <c r="Q50" i="1"/>
  <c r="F50" i="1"/>
  <c r="E50" i="1"/>
  <c r="D50" i="1"/>
  <c r="C50" i="1"/>
  <c r="CJ49" i="1"/>
  <c r="CI49" i="1" a="1"/>
  <c r="CI49" i="1"/>
  <c r="CH49" i="1" a="1"/>
  <c r="CH49" i="1"/>
  <c r="CG49" i="1"/>
  <c r="CF49" i="1"/>
  <c r="CE49" i="1" a="1"/>
  <c r="CE49" i="1"/>
  <c r="CD49" i="1" a="1"/>
  <c r="CD49" i="1"/>
  <c r="CC49" i="1"/>
  <c r="CB49" i="1"/>
  <c r="CA49" i="1" a="1"/>
  <c r="CA49" i="1"/>
  <c r="BZ49" i="1" a="1"/>
  <c r="BZ49" i="1"/>
  <c r="BY49" i="1"/>
  <c r="BX49" i="1"/>
  <c r="BW49" i="1" a="1"/>
  <c r="BW49" i="1"/>
  <c r="BV49" i="1"/>
  <c r="BU49" i="1"/>
  <c r="BT49" i="1"/>
  <c r="BS49" i="1" a="1"/>
  <c r="BS49" i="1"/>
  <c r="BR49" i="1"/>
  <c r="BQ49" i="1"/>
  <c r="BP49" i="1"/>
  <c r="BO49" i="1" a="1"/>
  <c r="BO49" i="1"/>
  <c r="BN49" i="1"/>
  <c r="BM49" i="1"/>
  <c r="BL49" i="1"/>
  <c r="BK49" i="1"/>
  <c r="BJ49" i="1"/>
  <c r="U49" i="1"/>
  <c r="T49" i="1"/>
  <c r="S49" i="1"/>
  <c r="R49" i="1"/>
  <c r="Q49" i="1"/>
  <c r="F49" i="1"/>
  <c r="E49" i="1"/>
  <c r="D49" i="1"/>
  <c r="C49" i="1"/>
  <c r="CJ48" i="1"/>
  <c r="CI48" i="1" a="1"/>
  <c r="CI48" i="1"/>
  <c r="CH48" i="1" a="1"/>
  <c r="CH48" i="1"/>
  <c r="CG48" i="1"/>
  <c r="CF48" i="1"/>
  <c r="CE48" i="1" a="1"/>
  <c r="CE48" i="1"/>
  <c r="CD48" i="1" a="1"/>
  <c r="CD48" i="1"/>
  <c r="CC48" i="1"/>
  <c r="CB48" i="1"/>
  <c r="CA48" i="1" a="1"/>
  <c r="CA48" i="1"/>
  <c r="BZ48" i="1" a="1"/>
  <c r="BZ48" i="1"/>
  <c r="BY48" i="1"/>
  <c r="BX48" i="1"/>
  <c r="BW48" i="1" a="1"/>
  <c r="BW48" i="1"/>
  <c r="BV48" i="1"/>
  <c r="BU48" i="1"/>
  <c r="BT48" i="1"/>
  <c r="BS48" i="1" a="1"/>
  <c r="BS48" i="1"/>
  <c r="BR48" i="1"/>
  <c r="BQ48" i="1"/>
  <c r="BP48" i="1"/>
  <c r="BO48" i="1" a="1"/>
  <c r="BO48" i="1"/>
  <c r="BN48" i="1"/>
  <c r="BM48" i="1"/>
  <c r="BL48" i="1"/>
  <c r="BK48" i="1"/>
  <c r="BJ48" i="1"/>
  <c r="U48" i="1"/>
  <c r="T48" i="1"/>
  <c r="S48" i="1"/>
  <c r="R48" i="1"/>
  <c r="Q48" i="1"/>
  <c r="F48" i="1"/>
  <c r="E48" i="1"/>
  <c r="D48" i="1"/>
  <c r="C48" i="1"/>
  <c r="CJ47" i="1"/>
  <c r="CI47" i="1" a="1"/>
  <c r="CI47" i="1"/>
  <c r="CH47" i="1" a="1"/>
  <c r="CH47" i="1"/>
  <c r="CG47" i="1"/>
  <c r="CF47" i="1"/>
  <c r="CE47" i="1" a="1"/>
  <c r="CE47" i="1"/>
  <c r="CD47" i="1" a="1"/>
  <c r="CD47" i="1"/>
  <c r="CC47" i="1"/>
  <c r="CB47" i="1"/>
  <c r="CA47" i="1" a="1"/>
  <c r="CA47" i="1"/>
  <c r="BZ47" i="1" a="1"/>
  <c r="BZ47" i="1"/>
  <c r="BY47" i="1"/>
  <c r="BX47" i="1"/>
  <c r="BW47" i="1" a="1"/>
  <c r="BW47" i="1"/>
  <c r="BV47" i="1"/>
  <c r="BU47" i="1"/>
  <c r="BT47" i="1"/>
  <c r="BS47" i="1" a="1"/>
  <c r="BS47" i="1"/>
  <c r="BR47" i="1"/>
  <c r="BQ47" i="1"/>
  <c r="BP47" i="1"/>
  <c r="BO47" i="1" a="1"/>
  <c r="BO47" i="1"/>
  <c r="BN47" i="1"/>
  <c r="BM47" i="1"/>
  <c r="BL47" i="1"/>
  <c r="BK47" i="1"/>
  <c r="BJ47" i="1"/>
  <c r="U47" i="1"/>
  <c r="T47" i="1"/>
  <c r="S47" i="1"/>
  <c r="R47" i="1"/>
  <c r="Q47" i="1"/>
  <c r="F47" i="1"/>
  <c r="E47" i="1"/>
  <c r="D47" i="1"/>
  <c r="C47" i="1"/>
  <c r="CJ46" i="1"/>
  <c r="CI46" i="1" a="1"/>
  <c r="CI46" i="1"/>
  <c r="CH46" i="1" a="1"/>
  <c r="CH46" i="1"/>
  <c r="CG46" i="1"/>
  <c r="CF46" i="1"/>
  <c r="CE46" i="1" a="1"/>
  <c r="CE46" i="1"/>
  <c r="CD46" i="1" a="1"/>
  <c r="CD46" i="1"/>
  <c r="CC46" i="1"/>
  <c r="CB46" i="1"/>
  <c r="CA46" i="1" a="1"/>
  <c r="CA46" i="1"/>
  <c r="BZ46" i="1" a="1"/>
  <c r="BZ46" i="1"/>
  <c r="BY46" i="1"/>
  <c r="BX46" i="1"/>
  <c r="BW46" i="1" a="1"/>
  <c r="BW46" i="1"/>
  <c r="BV46" i="1"/>
  <c r="BU46" i="1"/>
  <c r="BT46" i="1"/>
  <c r="BS46" i="1" a="1"/>
  <c r="BS46" i="1"/>
  <c r="BR46" i="1"/>
  <c r="BQ46" i="1"/>
  <c r="BP46" i="1"/>
  <c r="BO46" i="1" a="1"/>
  <c r="BO46" i="1"/>
  <c r="BN46" i="1"/>
  <c r="BM46" i="1"/>
  <c r="BL46" i="1"/>
  <c r="BK46" i="1"/>
  <c r="BJ46" i="1"/>
  <c r="U46" i="1"/>
  <c r="T46" i="1"/>
  <c r="S46" i="1"/>
  <c r="R46" i="1"/>
  <c r="Q46" i="1"/>
  <c r="F46" i="1"/>
  <c r="E46" i="1"/>
  <c r="D46" i="1"/>
  <c r="C46" i="1"/>
  <c r="CJ45" i="1"/>
  <c r="CI45" i="1" a="1"/>
  <c r="CI45" i="1"/>
  <c r="CH45" i="1" a="1"/>
  <c r="CH45" i="1"/>
  <c r="CG45" i="1"/>
  <c r="CF45" i="1"/>
  <c r="CE45" i="1" a="1"/>
  <c r="CE45" i="1"/>
  <c r="CD45" i="1" a="1"/>
  <c r="CD45" i="1"/>
  <c r="CC45" i="1"/>
  <c r="CB45" i="1"/>
  <c r="CA45" i="1" a="1"/>
  <c r="CA45" i="1"/>
  <c r="BZ45" i="1" a="1"/>
  <c r="BZ45" i="1"/>
  <c r="BY45" i="1"/>
  <c r="BX45" i="1"/>
  <c r="BW45" i="1" a="1"/>
  <c r="BW45" i="1"/>
  <c r="BV45" i="1"/>
  <c r="BU45" i="1"/>
  <c r="BT45" i="1"/>
  <c r="BS45" i="1" a="1"/>
  <c r="BS45" i="1"/>
  <c r="BR45" i="1"/>
  <c r="BQ45" i="1"/>
  <c r="BP45" i="1"/>
  <c r="BO45" i="1" a="1"/>
  <c r="BO45" i="1"/>
  <c r="BN45" i="1"/>
  <c r="BM45" i="1"/>
  <c r="BL45" i="1"/>
  <c r="BK45" i="1"/>
  <c r="BJ45" i="1"/>
  <c r="U45" i="1"/>
  <c r="T45" i="1"/>
  <c r="S45" i="1"/>
  <c r="R45" i="1"/>
  <c r="Q45" i="1"/>
  <c r="F45" i="1"/>
  <c r="E45" i="1"/>
  <c r="D45" i="1"/>
  <c r="C45" i="1"/>
  <c r="CJ44" i="1"/>
  <c r="CI44" i="1" a="1"/>
  <c r="CI44" i="1"/>
  <c r="CH44" i="1" a="1"/>
  <c r="CH44" i="1"/>
  <c r="CG44" i="1"/>
  <c r="CF44" i="1"/>
  <c r="CE44" i="1" a="1"/>
  <c r="CE44" i="1"/>
  <c r="CD44" i="1" a="1"/>
  <c r="CD44" i="1"/>
  <c r="CC44" i="1"/>
  <c r="CB44" i="1"/>
  <c r="CA44" i="1" a="1"/>
  <c r="CA44" i="1"/>
  <c r="BZ44" i="1" a="1"/>
  <c r="BZ44" i="1"/>
  <c r="BY44" i="1"/>
  <c r="BX44" i="1"/>
  <c r="BW44" i="1" a="1"/>
  <c r="BW44" i="1"/>
  <c r="BV44" i="1"/>
  <c r="BU44" i="1"/>
  <c r="BT44" i="1"/>
  <c r="BS44" i="1" a="1"/>
  <c r="BS44" i="1"/>
  <c r="BR44" i="1"/>
  <c r="BQ44" i="1"/>
  <c r="BP44" i="1"/>
  <c r="BO44" i="1" a="1"/>
  <c r="BO44" i="1"/>
  <c r="BN44" i="1"/>
  <c r="BM44" i="1"/>
  <c r="BL44" i="1"/>
  <c r="BK44" i="1"/>
  <c r="BJ44" i="1"/>
  <c r="U44" i="1"/>
  <c r="T44" i="1"/>
  <c r="S44" i="1"/>
  <c r="R44" i="1"/>
  <c r="Q44" i="1"/>
  <c r="F44" i="1"/>
  <c r="E44" i="1"/>
  <c r="D44" i="1"/>
  <c r="C44" i="1"/>
  <c r="CJ43" i="1"/>
  <c r="CI43" i="1" a="1"/>
  <c r="CI43" i="1"/>
  <c r="CH43" i="1" a="1"/>
  <c r="CH43" i="1"/>
  <c r="CG43" i="1"/>
  <c r="CF43" i="1"/>
  <c r="CE43" i="1" a="1"/>
  <c r="CE43" i="1"/>
  <c r="CD43" i="1" a="1"/>
  <c r="CD43" i="1"/>
  <c r="CC43" i="1"/>
  <c r="CB43" i="1"/>
  <c r="CA43" i="1" a="1"/>
  <c r="CA43" i="1"/>
  <c r="BZ43" i="1" a="1"/>
  <c r="BZ43" i="1"/>
  <c r="BY43" i="1"/>
  <c r="BX43" i="1"/>
  <c r="BW43" i="1" a="1"/>
  <c r="BW43" i="1"/>
  <c r="BV43" i="1"/>
  <c r="BU43" i="1"/>
  <c r="BT43" i="1"/>
  <c r="BS43" i="1" a="1"/>
  <c r="BS43" i="1"/>
  <c r="BR43" i="1"/>
  <c r="BQ43" i="1"/>
  <c r="BP43" i="1"/>
  <c r="BO43" i="1" a="1"/>
  <c r="BO43" i="1"/>
  <c r="BN43" i="1"/>
  <c r="BM43" i="1"/>
  <c r="BL43" i="1"/>
  <c r="BK43" i="1"/>
  <c r="BJ43" i="1"/>
  <c r="U43" i="1"/>
  <c r="T43" i="1"/>
  <c r="S43" i="1"/>
  <c r="R43" i="1"/>
  <c r="Q43" i="1"/>
  <c r="F43" i="1"/>
  <c r="E43" i="1"/>
  <c r="D43" i="1"/>
  <c r="C43" i="1"/>
  <c r="CJ42" i="1"/>
  <c r="CI42" i="1" a="1"/>
  <c r="CI42" i="1"/>
  <c r="CH42" i="1" a="1"/>
  <c r="CH42" i="1"/>
  <c r="CG42" i="1"/>
  <c r="CF42" i="1"/>
  <c r="CE42" i="1" a="1"/>
  <c r="CE42" i="1"/>
  <c r="CD42" i="1" a="1"/>
  <c r="CD42" i="1"/>
  <c r="CC42" i="1"/>
  <c r="CB42" i="1"/>
  <c r="CA42" i="1" a="1"/>
  <c r="CA42" i="1"/>
  <c r="BZ42" i="1" a="1"/>
  <c r="BZ42" i="1"/>
  <c r="BY42" i="1"/>
  <c r="BX42" i="1"/>
  <c r="BW42" i="1" a="1"/>
  <c r="BW42" i="1"/>
  <c r="BV42" i="1"/>
  <c r="BU42" i="1"/>
  <c r="BT42" i="1"/>
  <c r="BS42" i="1" a="1"/>
  <c r="BS42" i="1"/>
  <c r="BR42" i="1"/>
  <c r="BQ42" i="1"/>
  <c r="BP42" i="1"/>
  <c r="BO42" i="1" a="1"/>
  <c r="BO42" i="1"/>
  <c r="BN42" i="1"/>
  <c r="BM42" i="1"/>
  <c r="BL42" i="1"/>
  <c r="BK42" i="1"/>
  <c r="BJ42" i="1"/>
  <c r="U42" i="1"/>
  <c r="T42" i="1"/>
  <c r="S42" i="1"/>
  <c r="R42" i="1"/>
  <c r="Q42" i="1"/>
  <c r="F42" i="1"/>
  <c r="E42" i="1"/>
  <c r="D42" i="1"/>
  <c r="C42" i="1"/>
  <c r="CJ41" i="1"/>
  <c r="CI41" i="1" a="1"/>
  <c r="CI41" i="1"/>
  <c r="CH41" i="1" a="1"/>
  <c r="CH41" i="1"/>
  <c r="CG41" i="1"/>
  <c r="CF41" i="1"/>
  <c r="CE41" i="1" a="1"/>
  <c r="CE41" i="1"/>
  <c r="CD41" i="1" a="1"/>
  <c r="CD41" i="1"/>
  <c r="CC41" i="1"/>
  <c r="CB41" i="1"/>
  <c r="CA41" i="1" a="1"/>
  <c r="CA41" i="1"/>
  <c r="BZ41" i="1" a="1"/>
  <c r="BZ41" i="1"/>
  <c r="BY41" i="1"/>
  <c r="BX41" i="1"/>
  <c r="BW41" i="1" a="1"/>
  <c r="BW41" i="1"/>
  <c r="BV41" i="1"/>
  <c r="BU41" i="1"/>
  <c r="BT41" i="1"/>
  <c r="BS41" i="1" a="1"/>
  <c r="BS41" i="1"/>
  <c r="BR41" i="1"/>
  <c r="BQ41" i="1"/>
  <c r="BP41" i="1"/>
  <c r="BO41" i="1" a="1"/>
  <c r="BO41" i="1"/>
  <c r="BN41" i="1"/>
  <c r="BM41" i="1"/>
  <c r="BL41" i="1"/>
  <c r="BK41" i="1"/>
  <c r="BJ41" i="1"/>
  <c r="U41" i="1"/>
  <c r="T41" i="1"/>
  <c r="S41" i="1"/>
  <c r="R41" i="1"/>
  <c r="Q41" i="1"/>
  <c r="F41" i="1"/>
  <c r="E41" i="1"/>
  <c r="D41" i="1"/>
  <c r="C41" i="1"/>
  <c r="CJ40" i="1"/>
  <c r="CI40" i="1" a="1"/>
  <c r="CI40" i="1"/>
  <c r="CH40" i="1" a="1"/>
  <c r="CH40" i="1"/>
  <c r="CG40" i="1"/>
  <c r="CF40" i="1"/>
  <c r="CE40" i="1" a="1"/>
  <c r="CE40" i="1"/>
  <c r="CD40" i="1" a="1"/>
  <c r="CD40" i="1"/>
  <c r="CC40" i="1"/>
  <c r="CB40" i="1"/>
  <c r="CA40" i="1" a="1"/>
  <c r="CA40" i="1"/>
  <c r="BZ40" i="1" a="1"/>
  <c r="BZ40" i="1"/>
  <c r="BY40" i="1"/>
  <c r="BX40" i="1"/>
  <c r="BW40" i="1" a="1"/>
  <c r="BW40" i="1"/>
  <c r="BV40" i="1"/>
  <c r="BU40" i="1"/>
  <c r="BT40" i="1"/>
  <c r="BS40" i="1" a="1"/>
  <c r="BS40" i="1"/>
  <c r="BR40" i="1"/>
  <c r="BQ40" i="1"/>
  <c r="BP40" i="1"/>
  <c r="BO40" i="1" a="1"/>
  <c r="BO40" i="1"/>
  <c r="BN40" i="1"/>
  <c r="BM40" i="1"/>
  <c r="BL40" i="1"/>
  <c r="BK40" i="1"/>
  <c r="BJ40" i="1"/>
  <c r="U40" i="1"/>
  <c r="T40" i="1"/>
  <c r="S40" i="1"/>
  <c r="R40" i="1"/>
  <c r="Q40" i="1"/>
  <c r="F40" i="1"/>
  <c r="E40" i="1"/>
  <c r="D40" i="1"/>
  <c r="C40" i="1"/>
  <c r="CJ39" i="1"/>
  <c r="CI39" i="1" a="1"/>
  <c r="CI39" i="1"/>
  <c r="CH39" i="1" a="1"/>
  <c r="CH39" i="1"/>
  <c r="CG39" i="1"/>
  <c r="CF39" i="1"/>
  <c r="CE39" i="1" a="1"/>
  <c r="CE39" i="1"/>
  <c r="CD39" i="1" a="1"/>
  <c r="CD39" i="1"/>
  <c r="CC39" i="1"/>
  <c r="CB39" i="1"/>
  <c r="CA39" i="1" a="1"/>
  <c r="CA39" i="1"/>
  <c r="BZ39" i="1" a="1"/>
  <c r="BZ39" i="1"/>
  <c r="BY39" i="1"/>
  <c r="BX39" i="1"/>
  <c r="BW39" i="1" a="1"/>
  <c r="BW39" i="1"/>
  <c r="BV39" i="1"/>
  <c r="BU39" i="1"/>
  <c r="BT39" i="1"/>
  <c r="BS39" i="1" a="1"/>
  <c r="BS39" i="1"/>
  <c r="BR39" i="1"/>
  <c r="BQ39" i="1"/>
  <c r="BP39" i="1"/>
  <c r="BO39" i="1" a="1"/>
  <c r="BO39" i="1"/>
  <c r="BN39" i="1"/>
  <c r="BM39" i="1"/>
  <c r="BL39" i="1"/>
  <c r="BK39" i="1"/>
  <c r="BJ39" i="1"/>
  <c r="U39" i="1"/>
  <c r="T39" i="1"/>
  <c r="S39" i="1"/>
  <c r="R39" i="1"/>
  <c r="Q39" i="1"/>
  <c r="F39" i="1"/>
  <c r="E39" i="1"/>
  <c r="D39" i="1"/>
  <c r="C39" i="1"/>
  <c r="CJ38" i="1"/>
  <c r="CI38" i="1" a="1"/>
  <c r="CI38" i="1"/>
  <c r="CH38" i="1" a="1"/>
  <c r="CH38" i="1"/>
  <c r="CG38" i="1"/>
  <c r="CF38" i="1"/>
  <c r="CE38" i="1" a="1"/>
  <c r="CE38" i="1"/>
  <c r="CD38" i="1" a="1"/>
  <c r="CD38" i="1"/>
  <c r="CC38" i="1"/>
  <c r="CB38" i="1"/>
  <c r="CA38" i="1" a="1"/>
  <c r="CA38" i="1"/>
  <c r="BZ38" i="1" a="1"/>
  <c r="BZ38" i="1"/>
  <c r="BY38" i="1"/>
  <c r="BX38" i="1"/>
  <c r="BW38" i="1" a="1"/>
  <c r="BW38" i="1"/>
  <c r="BV38" i="1"/>
  <c r="BU38" i="1"/>
  <c r="BT38" i="1"/>
  <c r="BS38" i="1" a="1"/>
  <c r="BS38" i="1"/>
  <c r="BR38" i="1"/>
  <c r="BQ38" i="1"/>
  <c r="BP38" i="1"/>
  <c r="BO38" i="1" a="1"/>
  <c r="BO38" i="1"/>
  <c r="BN38" i="1"/>
  <c r="BM38" i="1"/>
  <c r="BL38" i="1"/>
  <c r="BK38" i="1"/>
  <c r="BJ38" i="1"/>
  <c r="U38" i="1"/>
  <c r="T38" i="1"/>
  <c r="S38" i="1"/>
  <c r="R38" i="1"/>
  <c r="Q38" i="1"/>
  <c r="F38" i="1"/>
  <c r="E38" i="1"/>
  <c r="D38" i="1"/>
  <c r="C38" i="1"/>
  <c r="CJ37" i="1"/>
  <c r="CI37" i="1" a="1"/>
  <c r="CI37" i="1"/>
  <c r="CH37" i="1" a="1"/>
  <c r="CH37" i="1"/>
  <c r="CG37" i="1"/>
  <c r="CF37" i="1"/>
  <c r="CE37" i="1" a="1"/>
  <c r="CE37" i="1"/>
  <c r="CD37" i="1" a="1"/>
  <c r="CD37" i="1"/>
  <c r="CC37" i="1"/>
  <c r="CB37" i="1"/>
  <c r="CA37" i="1" a="1"/>
  <c r="CA37" i="1"/>
  <c r="BZ37" i="1" a="1"/>
  <c r="BZ37" i="1"/>
  <c r="BY37" i="1"/>
  <c r="BX37" i="1"/>
  <c r="BW37" i="1" a="1"/>
  <c r="BW37" i="1"/>
  <c r="BV37" i="1"/>
  <c r="BU37" i="1"/>
  <c r="BT37" i="1"/>
  <c r="BS37" i="1" a="1"/>
  <c r="BS37" i="1"/>
  <c r="BR37" i="1"/>
  <c r="BQ37" i="1"/>
  <c r="BP37" i="1"/>
  <c r="BO37" i="1" a="1"/>
  <c r="BO37" i="1"/>
  <c r="BN37" i="1"/>
  <c r="BM37" i="1"/>
  <c r="BL37" i="1"/>
  <c r="BK37" i="1"/>
  <c r="BJ37" i="1"/>
  <c r="U37" i="1"/>
  <c r="T37" i="1"/>
  <c r="S37" i="1"/>
  <c r="R37" i="1"/>
  <c r="Q37" i="1"/>
  <c r="F37" i="1"/>
  <c r="E37" i="1"/>
  <c r="D37" i="1"/>
  <c r="C37" i="1"/>
  <c r="CJ36" i="1"/>
  <c r="CI36" i="1" a="1"/>
  <c r="CI36" i="1"/>
  <c r="CH36" i="1" a="1"/>
  <c r="CH36" i="1"/>
  <c r="CG36" i="1"/>
  <c r="CF36" i="1"/>
  <c r="CE36" i="1" a="1"/>
  <c r="CE36" i="1"/>
  <c r="CD36" i="1" a="1"/>
  <c r="CD36" i="1"/>
  <c r="CC36" i="1"/>
  <c r="CB36" i="1"/>
  <c r="CA36" i="1" a="1"/>
  <c r="CA36" i="1"/>
  <c r="BZ36" i="1" a="1"/>
  <c r="BZ36" i="1"/>
  <c r="BY36" i="1"/>
  <c r="BX36" i="1"/>
  <c r="BW36" i="1" a="1"/>
  <c r="BW36" i="1"/>
  <c r="BV36" i="1"/>
  <c r="BU36" i="1"/>
  <c r="BT36" i="1"/>
  <c r="BS36" i="1" a="1"/>
  <c r="BS36" i="1"/>
  <c r="BR36" i="1"/>
  <c r="BQ36" i="1"/>
  <c r="BP36" i="1"/>
  <c r="BO36" i="1" a="1"/>
  <c r="BO36" i="1"/>
  <c r="BN36" i="1"/>
  <c r="BM36" i="1"/>
  <c r="BL36" i="1"/>
  <c r="BK36" i="1"/>
  <c r="BJ36" i="1"/>
  <c r="U36" i="1"/>
  <c r="T36" i="1"/>
  <c r="S36" i="1"/>
  <c r="R36" i="1"/>
  <c r="Q36" i="1"/>
  <c r="F36" i="1"/>
  <c r="E36" i="1"/>
  <c r="D36" i="1"/>
  <c r="C36" i="1"/>
  <c r="CJ35" i="1"/>
  <c r="CI35" i="1" a="1"/>
  <c r="CI35" i="1"/>
  <c r="CH35" i="1" a="1"/>
  <c r="CH35" i="1"/>
  <c r="CG35" i="1"/>
  <c r="CF35" i="1"/>
  <c r="CE35" i="1" a="1"/>
  <c r="CE35" i="1"/>
  <c r="CD35" i="1" a="1"/>
  <c r="CD35" i="1"/>
  <c r="CC35" i="1"/>
  <c r="CB35" i="1"/>
  <c r="CA35" i="1" a="1"/>
  <c r="CA35" i="1"/>
  <c r="BZ35" i="1" a="1"/>
  <c r="BZ35" i="1"/>
  <c r="BY35" i="1"/>
  <c r="BX35" i="1"/>
  <c r="BW35" i="1" a="1"/>
  <c r="BW35" i="1"/>
  <c r="BV35" i="1"/>
  <c r="BU35" i="1"/>
  <c r="BT35" i="1"/>
  <c r="BS35" i="1" a="1"/>
  <c r="BS35" i="1"/>
  <c r="BR35" i="1"/>
  <c r="BQ35" i="1"/>
  <c r="BP35" i="1"/>
  <c r="BO35" i="1" a="1"/>
  <c r="BO35" i="1"/>
  <c r="BN35" i="1"/>
  <c r="BM35" i="1"/>
  <c r="BL35" i="1"/>
  <c r="BK35" i="1"/>
  <c r="BJ35" i="1"/>
  <c r="U35" i="1"/>
  <c r="T35" i="1"/>
  <c r="S35" i="1"/>
  <c r="R35" i="1"/>
  <c r="Q35" i="1"/>
  <c r="F35" i="1"/>
  <c r="E35" i="1"/>
  <c r="D35" i="1"/>
  <c r="C35" i="1"/>
  <c r="CJ34" i="1"/>
  <c r="CI34" i="1" a="1"/>
  <c r="CI34" i="1"/>
  <c r="CH34" i="1" a="1"/>
  <c r="CH34" i="1"/>
  <c r="CG34" i="1"/>
  <c r="CF34" i="1"/>
  <c r="CE34" i="1" a="1"/>
  <c r="CE34" i="1"/>
  <c r="CD34" i="1" a="1"/>
  <c r="CD34" i="1"/>
  <c r="CC34" i="1"/>
  <c r="CB34" i="1"/>
  <c r="CA34" i="1" a="1"/>
  <c r="CA34" i="1"/>
  <c r="BZ34" i="1" a="1"/>
  <c r="BZ34" i="1"/>
  <c r="BY34" i="1"/>
  <c r="BX34" i="1"/>
  <c r="BW34" i="1" a="1"/>
  <c r="BW34" i="1"/>
  <c r="BV34" i="1"/>
  <c r="BU34" i="1"/>
  <c r="BT34" i="1"/>
  <c r="BS34" i="1" a="1"/>
  <c r="BS34" i="1"/>
  <c r="BR34" i="1"/>
  <c r="BQ34" i="1"/>
  <c r="BP34" i="1"/>
  <c r="BO34" i="1" a="1"/>
  <c r="BO34" i="1"/>
  <c r="BN34" i="1"/>
  <c r="BM34" i="1"/>
  <c r="BL34" i="1"/>
  <c r="BK34" i="1"/>
  <c r="BJ34" i="1"/>
  <c r="U34" i="1"/>
  <c r="T34" i="1"/>
  <c r="S34" i="1"/>
  <c r="R34" i="1"/>
  <c r="Q34" i="1"/>
  <c r="F34" i="1"/>
  <c r="E34" i="1"/>
  <c r="D34" i="1"/>
  <c r="C34" i="1"/>
  <c r="CJ33" i="1"/>
  <c r="CI33" i="1" a="1"/>
  <c r="CI33" i="1"/>
  <c r="CH33" i="1" a="1"/>
  <c r="CH33" i="1"/>
  <c r="CG33" i="1"/>
  <c r="CF33" i="1"/>
  <c r="CE33" i="1" a="1"/>
  <c r="CE33" i="1"/>
  <c r="CD33" i="1" a="1"/>
  <c r="CD33" i="1"/>
  <c r="CC33" i="1"/>
  <c r="CB33" i="1"/>
  <c r="CA33" i="1" a="1"/>
  <c r="CA33" i="1"/>
  <c r="BZ33" i="1" a="1"/>
  <c r="BZ33" i="1"/>
  <c r="BY33" i="1"/>
  <c r="BX33" i="1"/>
  <c r="BW33" i="1" a="1"/>
  <c r="BW33" i="1"/>
  <c r="BV33" i="1"/>
  <c r="BU33" i="1"/>
  <c r="BT33" i="1"/>
  <c r="BS33" i="1" a="1"/>
  <c r="BS33" i="1"/>
  <c r="BR33" i="1"/>
  <c r="BQ33" i="1"/>
  <c r="BP33" i="1"/>
  <c r="BO33" i="1" a="1"/>
  <c r="BO33" i="1"/>
  <c r="BN33" i="1"/>
  <c r="BM33" i="1"/>
  <c r="BL33" i="1"/>
  <c r="BK33" i="1"/>
  <c r="BJ33" i="1"/>
  <c r="U33" i="1"/>
  <c r="T33" i="1"/>
  <c r="S33" i="1"/>
  <c r="R33" i="1"/>
  <c r="Q33" i="1"/>
  <c r="F33" i="1"/>
  <c r="E33" i="1"/>
  <c r="D33" i="1"/>
  <c r="C33" i="1"/>
  <c r="CJ32" i="1"/>
  <c r="CI32" i="1" a="1"/>
  <c r="CI32" i="1"/>
  <c r="CH32" i="1" a="1"/>
  <c r="CH32" i="1"/>
  <c r="CG32" i="1"/>
  <c r="CF32" i="1"/>
  <c r="CE32" i="1" a="1"/>
  <c r="CE32" i="1"/>
  <c r="CD32" i="1" a="1"/>
  <c r="CD32" i="1"/>
  <c r="CC32" i="1"/>
  <c r="CB32" i="1"/>
  <c r="CA32" i="1" a="1"/>
  <c r="CA32" i="1"/>
  <c r="BZ32" i="1" a="1"/>
  <c r="BZ32" i="1"/>
  <c r="BY32" i="1"/>
  <c r="BX32" i="1"/>
  <c r="BW32" i="1" a="1"/>
  <c r="BW32" i="1"/>
  <c r="BV32" i="1"/>
  <c r="BU32" i="1"/>
  <c r="BT32" i="1"/>
  <c r="BS32" i="1" a="1"/>
  <c r="BS32" i="1"/>
  <c r="BR32" i="1"/>
  <c r="BQ32" i="1"/>
  <c r="BP32" i="1"/>
  <c r="BO32" i="1" a="1"/>
  <c r="BO32" i="1"/>
  <c r="BN32" i="1"/>
  <c r="BM32" i="1"/>
  <c r="BL32" i="1"/>
  <c r="BK32" i="1"/>
  <c r="BJ32" i="1"/>
  <c r="U32" i="1"/>
  <c r="T32" i="1"/>
  <c r="S32" i="1"/>
  <c r="R32" i="1"/>
  <c r="Q32" i="1"/>
  <c r="F32" i="1"/>
  <c r="E32" i="1"/>
  <c r="D32" i="1"/>
  <c r="C32" i="1"/>
  <c r="CJ31" i="1"/>
  <c r="CI31" i="1" a="1"/>
  <c r="CI31" i="1"/>
  <c r="CH31" i="1" a="1"/>
  <c r="CH31" i="1"/>
  <c r="CG31" i="1"/>
  <c r="CF31" i="1"/>
  <c r="CE31" i="1" a="1"/>
  <c r="CE31" i="1"/>
  <c r="CD31" i="1" a="1"/>
  <c r="CD31" i="1"/>
  <c r="CC31" i="1"/>
  <c r="CB31" i="1"/>
  <c r="CA31" i="1" a="1"/>
  <c r="CA31" i="1"/>
  <c r="BZ31" i="1" a="1"/>
  <c r="BZ31" i="1"/>
  <c r="BY31" i="1"/>
  <c r="BX31" i="1"/>
  <c r="BW31" i="1" a="1"/>
  <c r="BW31" i="1"/>
  <c r="BV31" i="1"/>
  <c r="BU31" i="1"/>
  <c r="BT31" i="1"/>
  <c r="BS31" i="1" a="1"/>
  <c r="BS31" i="1"/>
  <c r="BR31" i="1"/>
  <c r="BQ31" i="1"/>
  <c r="BP31" i="1"/>
  <c r="BO31" i="1" a="1"/>
  <c r="BO31" i="1"/>
  <c r="BN31" i="1"/>
  <c r="BM31" i="1"/>
  <c r="BL31" i="1"/>
  <c r="BK31" i="1"/>
  <c r="BJ31" i="1"/>
  <c r="U31" i="1"/>
  <c r="T31" i="1"/>
  <c r="S31" i="1"/>
  <c r="R31" i="1"/>
  <c r="Q31" i="1"/>
  <c r="F31" i="1"/>
  <c r="E31" i="1"/>
  <c r="D31" i="1"/>
  <c r="C31" i="1"/>
  <c r="CJ30" i="1"/>
  <c r="CI30" i="1" a="1"/>
  <c r="CI30" i="1"/>
  <c r="CH30" i="1" a="1"/>
  <c r="CH30" i="1"/>
  <c r="CG30" i="1"/>
  <c r="CF30" i="1"/>
  <c r="CE30" i="1" a="1"/>
  <c r="CE30" i="1"/>
  <c r="CD30" i="1" a="1"/>
  <c r="CD30" i="1"/>
  <c r="CC30" i="1"/>
  <c r="CB30" i="1"/>
  <c r="CA30" i="1" a="1"/>
  <c r="CA30" i="1"/>
  <c r="BZ30" i="1" a="1"/>
  <c r="BZ30" i="1"/>
  <c r="BY30" i="1"/>
  <c r="BX30" i="1"/>
  <c r="BW30" i="1" a="1"/>
  <c r="BW30" i="1"/>
  <c r="BV30" i="1"/>
  <c r="BU30" i="1"/>
  <c r="BT30" i="1"/>
  <c r="BS30" i="1" a="1"/>
  <c r="BS30" i="1"/>
  <c r="BR30" i="1"/>
  <c r="BQ30" i="1"/>
  <c r="BP30" i="1"/>
  <c r="BO30" i="1" a="1"/>
  <c r="BO30" i="1"/>
  <c r="BN30" i="1"/>
  <c r="BM30" i="1"/>
  <c r="BL30" i="1"/>
  <c r="BK30" i="1"/>
  <c r="BJ30" i="1"/>
  <c r="U30" i="1"/>
  <c r="T30" i="1"/>
  <c r="S30" i="1"/>
  <c r="R30" i="1"/>
  <c r="Q30" i="1"/>
  <c r="F30" i="1"/>
  <c r="E30" i="1"/>
  <c r="D30" i="1"/>
  <c r="C30" i="1"/>
  <c r="CJ29" i="1"/>
  <c r="CI29" i="1" a="1"/>
  <c r="CI29" i="1"/>
  <c r="CH29" i="1" a="1"/>
  <c r="CH29" i="1"/>
  <c r="CG29" i="1"/>
  <c r="CF29" i="1"/>
  <c r="CE29" i="1" a="1"/>
  <c r="CE29" i="1"/>
  <c r="CD29" i="1" a="1"/>
  <c r="CD29" i="1"/>
  <c r="CC29" i="1"/>
  <c r="CB29" i="1"/>
  <c r="CA29" i="1" a="1"/>
  <c r="CA29" i="1"/>
  <c r="BZ29" i="1" a="1"/>
  <c r="BZ29" i="1"/>
  <c r="BY29" i="1"/>
  <c r="BX29" i="1"/>
  <c r="BW29" i="1" a="1"/>
  <c r="BW29" i="1"/>
  <c r="BV29" i="1"/>
  <c r="BU29" i="1"/>
  <c r="BT29" i="1"/>
  <c r="BS29" i="1" a="1"/>
  <c r="BS29" i="1"/>
  <c r="BR29" i="1"/>
  <c r="BQ29" i="1"/>
  <c r="BP29" i="1"/>
  <c r="BO29" i="1" a="1"/>
  <c r="BO29" i="1"/>
  <c r="BN29" i="1"/>
  <c r="BM29" i="1"/>
  <c r="BL29" i="1"/>
  <c r="BK29" i="1"/>
  <c r="BJ29" i="1"/>
  <c r="U29" i="1"/>
  <c r="T29" i="1"/>
  <c r="S29" i="1"/>
  <c r="R29" i="1"/>
  <c r="Q29" i="1"/>
  <c r="F29" i="1"/>
  <c r="E29" i="1"/>
  <c r="D29" i="1"/>
  <c r="C29" i="1"/>
  <c r="CJ28" i="1"/>
  <c r="CI28" i="1" a="1"/>
  <c r="CI28" i="1"/>
  <c r="CH28" i="1" a="1"/>
  <c r="CH28" i="1"/>
  <c r="CG28" i="1"/>
  <c r="CF28" i="1"/>
  <c r="CE28" i="1" a="1"/>
  <c r="CE28" i="1"/>
  <c r="CD28" i="1" a="1"/>
  <c r="CD28" i="1"/>
  <c r="CC28" i="1"/>
  <c r="CB28" i="1"/>
  <c r="CA28" i="1" a="1"/>
  <c r="CA28" i="1"/>
  <c r="BZ28" i="1" a="1"/>
  <c r="BZ28" i="1"/>
  <c r="BY28" i="1"/>
  <c r="BX28" i="1"/>
  <c r="BW28" i="1" a="1"/>
  <c r="BW28" i="1"/>
  <c r="BV28" i="1"/>
  <c r="BU28" i="1"/>
  <c r="BT28" i="1"/>
  <c r="BS28" i="1" a="1"/>
  <c r="BS28" i="1"/>
  <c r="BR28" i="1"/>
  <c r="BQ28" i="1"/>
  <c r="BP28" i="1"/>
  <c r="BO28" i="1" a="1"/>
  <c r="BO28" i="1"/>
  <c r="BN28" i="1"/>
  <c r="BM28" i="1"/>
  <c r="BL28" i="1"/>
  <c r="BK28" i="1"/>
  <c r="BJ28" i="1"/>
  <c r="U28" i="1"/>
  <c r="T28" i="1"/>
  <c r="S28" i="1"/>
  <c r="R28" i="1"/>
  <c r="Q28" i="1"/>
  <c r="F28" i="1"/>
  <c r="E28" i="1"/>
  <c r="D28" i="1"/>
  <c r="C28" i="1"/>
  <c r="CJ27" i="1"/>
  <c r="CI27" i="1" a="1"/>
  <c r="CI27" i="1"/>
  <c r="CH27" i="1" a="1"/>
  <c r="CH27" i="1"/>
  <c r="CG27" i="1"/>
  <c r="CF27" i="1"/>
  <c r="CE27" i="1" a="1"/>
  <c r="CE27" i="1"/>
  <c r="CD27" i="1" a="1"/>
  <c r="CD27" i="1"/>
  <c r="CC27" i="1"/>
  <c r="CB27" i="1"/>
  <c r="CA27" i="1" a="1"/>
  <c r="CA27" i="1"/>
  <c r="BZ27" i="1" a="1"/>
  <c r="BZ27" i="1"/>
  <c r="BY27" i="1"/>
  <c r="BX27" i="1"/>
  <c r="BW27" i="1" a="1"/>
  <c r="BW27" i="1"/>
  <c r="BV27" i="1"/>
  <c r="BU27" i="1"/>
  <c r="BT27" i="1"/>
  <c r="BS27" i="1" a="1"/>
  <c r="BS27" i="1"/>
  <c r="BR27" i="1"/>
  <c r="BQ27" i="1"/>
  <c r="BP27" i="1"/>
  <c r="BO27" i="1" a="1"/>
  <c r="BO27" i="1"/>
  <c r="BN27" i="1"/>
  <c r="BM27" i="1"/>
  <c r="BL27" i="1"/>
  <c r="BK27" i="1"/>
  <c r="BJ27" i="1"/>
  <c r="U27" i="1"/>
  <c r="T27" i="1"/>
  <c r="S27" i="1"/>
  <c r="R27" i="1"/>
  <c r="Q27" i="1"/>
  <c r="F27" i="1"/>
  <c r="E27" i="1"/>
  <c r="D27" i="1"/>
  <c r="C27" i="1"/>
  <c r="CJ26" i="1"/>
  <c r="CI26" i="1" a="1"/>
  <c r="CI26" i="1"/>
  <c r="CH26" i="1" a="1"/>
  <c r="CH26" i="1"/>
  <c r="CG26" i="1"/>
  <c r="CF26" i="1"/>
  <c r="CE26" i="1" a="1"/>
  <c r="CE26" i="1"/>
  <c r="CD26" i="1" a="1"/>
  <c r="CD26" i="1"/>
  <c r="CC26" i="1"/>
  <c r="CB26" i="1"/>
  <c r="CA26" i="1" a="1"/>
  <c r="CA26" i="1"/>
  <c r="BZ26" i="1" a="1"/>
  <c r="BZ26" i="1"/>
  <c r="BY26" i="1"/>
  <c r="BX26" i="1"/>
  <c r="BW26" i="1" a="1"/>
  <c r="BW26" i="1"/>
  <c r="BV26" i="1"/>
  <c r="BU26" i="1"/>
  <c r="BT26" i="1"/>
  <c r="BS26" i="1" a="1"/>
  <c r="BS26" i="1"/>
  <c r="BR26" i="1"/>
  <c r="BQ26" i="1"/>
  <c r="BP26" i="1"/>
  <c r="BO26" i="1" a="1"/>
  <c r="BO26" i="1"/>
  <c r="BN26" i="1"/>
  <c r="BM26" i="1"/>
  <c r="BL26" i="1"/>
  <c r="BK26" i="1"/>
  <c r="BJ26" i="1"/>
  <c r="U26" i="1"/>
  <c r="T26" i="1"/>
  <c r="S26" i="1"/>
  <c r="R26" i="1"/>
  <c r="Q26" i="1"/>
  <c r="F26" i="1"/>
  <c r="E26" i="1"/>
  <c r="D26" i="1"/>
  <c r="C26" i="1"/>
  <c r="CJ25" i="1"/>
  <c r="CI25" i="1" a="1"/>
  <c r="CI25" i="1"/>
  <c r="CH25" i="1" a="1"/>
  <c r="CH25" i="1"/>
  <c r="CG25" i="1"/>
  <c r="CF25" i="1"/>
  <c r="CE25" i="1" a="1"/>
  <c r="CE25" i="1"/>
  <c r="CD25" i="1" a="1"/>
  <c r="CD25" i="1"/>
  <c r="CC25" i="1"/>
  <c r="CB25" i="1"/>
  <c r="CA25" i="1" a="1"/>
  <c r="CA25" i="1"/>
  <c r="BZ25" i="1" a="1"/>
  <c r="BZ25" i="1"/>
  <c r="BY25" i="1"/>
  <c r="BX25" i="1"/>
  <c r="BW25" i="1" a="1"/>
  <c r="BW25" i="1"/>
  <c r="BV25" i="1"/>
  <c r="BU25" i="1"/>
  <c r="BT25" i="1"/>
  <c r="BS25" i="1" a="1"/>
  <c r="BS25" i="1"/>
  <c r="BR25" i="1"/>
  <c r="BQ25" i="1"/>
  <c r="BP25" i="1"/>
  <c r="BO25" i="1" a="1"/>
  <c r="BO25" i="1"/>
  <c r="BN25" i="1"/>
  <c r="BM25" i="1"/>
  <c r="BL25" i="1"/>
  <c r="BK25" i="1"/>
  <c r="BJ25" i="1"/>
  <c r="U25" i="1"/>
  <c r="T25" i="1"/>
  <c r="S25" i="1"/>
  <c r="R25" i="1"/>
  <c r="Q25" i="1"/>
  <c r="F25" i="1"/>
  <c r="E25" i="1"/>
  <c r="D25" i="1"/>
  <c r="C25" i="1"/>
  <c r="CJ24" i="1"/>
  <c r="CI24" i="1" a="1"/>
  <c r="CI24" i="1"/>
  <c r="CH24" i="1" a="1"/>
  <c r="CH24" i="1"/>
  <c r="CG24" i="1"/>
  <c r="CF24" i="1"/>
  <c r="CE24" i="1" a="1"/>
  <c r="CE24" i="1"/>
  <c r="CD24" i="1" a="1"/>
  <c r="CD24" i="1"/>
  <c r="CC24" i="1"/>
  <c r="CB24" i="1"/>
  <c r="CA24" i="1" a="1"/>
  <c r="CA24" i="1"/>
  <c r="BZ24" i="1" a="1"/>
  <c r="BZ24" i="1"/>
  <c r="BY24" i="1"/>
  <c r="BX24" i="1"/>
  <c r="BW24" i="1" a="1"/>
  <c r="BW24" i="1"/>
  <c r="BV24" i="1"/>
  <c r="BU24" i="1"/>
  <c r="BT24" i="1"/>
  <c r="BS24" i="1" a="1"/>
  <c r="BS24" i="1"/>
  <c r="BR24" i="1"/>
  <c r="BQ24" i="1"/>
  <c r="BP24" i="1"/>
  <c r="BO24" i="1" a="1"/>
  <c r="BO24" i="1"/>
  <c r="BN24" i="1"/>
  <c r="BM24" i="1"/>
  <c r="BL24" i="1"/>
  <c r="BK24" i="1"/>
  <c r="BJ24" i="1"/>
  <c r="U24" i="1"/>
  <c r="T24" i="1"/>
  <c r="S24" i="1"/>
  <c r="R24" i="1"/>
  <c r="Q24" i="1"/>
  <c r="F24" i="1"/>
  <c r="E24" i="1"/>
  <c r="D24" i="1"/>
  <c r="C24" i="1"/>
  <c r="CJ23" i="1"/>
  <c r="CI23" i="1" a="1"/>
  <c r="CI23" i="1"/>
  <c r="CH23" i="1" a="1"/>
  <c r="CH23" i="1"/>
  <c r="CG23" i="1"/>
  <c r="CF23" i="1"/>
  <c r="CE23" i="1" a="1"/>
  <c r="CE23" i="1"/>
  <c r="CD23" i="1" a="1"/>
  <c r="CD23" i="1"/>
  <c r="CC23" i="1"/>
  <c r="CB23" i="1"/>
  <c r="CA23" i="1" a="1"/>
  <c r="CA23" i="1"/>
  <c r="BZ23" i="1" a="1"/>
  <c r="BZ23" i="1"/>
  <c r="BY23" i="1"/>
  <c r="BX23" i="1"/>
  <c r="BW23" i="1" a="1"/>
  <c r="BW23" i="1"/>
  <c r="BV23" i="1"/>
  <c r="BU23" i="1"/>
  <c r="BT23" i="1"/>
  <c r="BS23" i="1" a="1"/>
  <c r="BS23" i="1"/>
  <c r="BR23" i="1"/>
  <c r="BQ23" i="1"/>
  <c r="BP23" i="1"/>
  <c r="BO23" i="1" a="1"/>
  <c r="BO23" i="1"/>
  <c r="BN23" i="1"/>
  <c r="BM23" i="1"/>
  <c r="BL23" i="1"/>
  <c r="BK23" i="1"/>
  <c r="BJ23" i="1"/>
  <c r="U23" i="1"/>
  <c r="T23" i="1"/>
  <c r="S23" i="1"/>
  <c r="R23" i="1"/>
  <c r="Q23" i="1"/>
  <c r="F23" i="1"/>
  <c r="E23" i="1"/>
  <c r="D23" i="1"/>
  <c r="C23" i="1"/>
  <c r="CJ22" i="1"/>
  <c r="CI22" i="1" a="1"/>
  <c r="CI22" i="1"/>
  <c r="CH22" i="1" a="1"/>
  <c r="CH22" i="1"/>
  <c r="CG22" i="1"/>
  <c r="CF22" i="1"/>
  <c r="CE22" i="1" a="1"/>
  <c r="CE22" i="1"/>
  <c r="CD22" i="1" a="1"/>
  <c r="CD22" i="1"/>
  <c r="CC22" i="1"/>
  <c r="CB22" i="1"/>
  <c r="CA22" i="1" a="1"/>
  <c r="CA22" i="1"/>
  <c r="BZ22" i="1" a="1"/>
  <c r="BZ22" i="1"/>
  <c r="BY22" i="1"/>
  <c r="BX22" i="1"/>
  <c r="BW22" i="1" a="1"/>
  <c r="BW22" i="1"/>
  <c r="BV22" i="1"/>
  <c r="BU22" i="1"/>
  <c r="BT22" i="1"/>
  <c r="BS22" i="1" a="1"/>
  <c r="BS22" i="1"/>
  <c r="BR22" i="1"/>
  <c r="BQ22" i="1"/>
  <c r="BP22" i="1"/>
  <c r="BO22" i="1" a="1"/>
  <c r="BO22" i="1"/>
  <c r="BN22" i="1"/>
  <c r="BM22" i="1"/>
  <c r="BL22" i="1"/>
  <c r="BK22" i="1"/>
  <c r="BJ22" i="1"/>
  <c r="U22" i="1"/>
  <c r="T22" i="1"/>
  <c r="S22" i="1"/>
  <c r="R22" i="1"/>
  <c r="Q22" i="1"/>
  <c r="F22" i="1"/>
  <c r="E22" i="1"/>
  <c r="D22" i="1"/>
  <c r="C22" i="1"/>
  <c r="CJ21" i="1"/>
  <c r="CI21" i="1" a="1"/>
  <c r="CI21" i="1"/>
  <c r="CH21" i="1" a="1"/>
  <c r="CH21" i="1"/>
  <c r="CG21" i="1"/>
  <c r="CF21" i="1"/>
  <c r="CE21" i="1" a="1"/>
  <c r="CE21" i="1"/>
  <c r="CD21" i="1" a="1"/>
  <c r="CD21" i="1"/>
  <c r="CC21" i="1"/>
  <c r="CB21" i="1"/>
  <c r="CA21" i="1" a="1"/>
  <c r="CA21" i="1"/>
  <c r="BZ21" i="1" a="1"/>
  <c r="BZ21" i="1"/>
  <c r="BY21" i="1"/>
  <c r="BX21" i="1"/>
  <c r="BW21" i="1" a="1"/>
  <c r="BW21" i="1"/>
  <c r="BV21" i="1"/>
  <c r="BU21" i="1"/>
  <c r="BT21" i="1"/>
  <c r="BS21" i="1" a="1"/>
  <c r="BS21" i="1"/>
  <c r="BR21" i="1"/>
  <c r="BQ21" i="1"/>
  <c r="BP21" i="1"/>
  <c r="BO21" i="1" a="1"/>
  <c r="BO21" i="1"/>
  <c r="BN21" i="1"/>
  <c r="BM21" i="1"/>
  <c r="BL21" i="1"/>
  <c r="BK21" i="1"/>
  <c r="BJ21" i="1"/>
  <c r="U21" i="1"/>
  <c r="T21" i="1"/>
  <c r="S21" i="1"/>
  <c r="R21" i="1"/>
  <c r="Q21" i="1"/>
  <c r="F21" i="1"/>
  <c r="E21" i="1"/>
  <c r="D21" i="1"/>
  <c r="C21" i="1"/>
  <c r="CJ20" i="1"/>
  <c r="CI20" i="1" a="1"/>
  <c r="CI20" i="1"/>
  <c r="CH20" i="1" a="1"/>
  <c r="CH20" i="1"/>
  <c r="CG20" i="1"/>
  <c r="CF20" i="1"/>
  <c r="CE20" i="1" a="1"/>
  <c r="CE20" i="1"/>
  <c r="CD20" i="1" a="1"/>
  <c r="CD20" i="1"/>
  <c r="CC20" i="1"/>
  <c r="CB20" i="1"/>
  <c r="CA20" i="1" a="1"/>
  <c r="CA20" i="1"/>
  <c r="BZ20" i="1" a="1"/>
  <c r="BZ20" i="1"/>
  <c r="BY20" i="1"/>
  <c r="BX20" i="1"/>
  <c r="BW20" i="1" a="1"/>
  <c r="BW20" i="1"/>
  <c r="BV20" i="1"/>
  <c r="BU20" i="1"/>
  <c r="BT20" i="1"/>
  <c r="BS20" i="1" a="1"/>
  <c r="BS20" i="1"/>
  <c r="BR20" i="1"/>
  <c r="BQ20" i="1"/>
  <c r="BP20" i="1"/>
  <c r="BO20" i="1" a="1"/>
  <c r="BO20" i="1"/>
  <c r="BN20" i="1"/>
  <c r="BM20" i="1"/>
  <c r="BL20" i="1"/>
  <c r="BK20" i="1"/>
  <c r="BJ20" i="1"/>
  <c r="U20" i="1"/>
  <c r="T20" i="1"/>
  <c r="S20" i="1"/>
  <c r="R20" i="1"/>
  <c r="Q20" i="1"/>
  <c r="F20" i="1"/>
  <c r="E20" i="1"/>
  <c r="D20" i="1"/>
  <c r="C20" i="1"/>
  <c r="CJ19" i="1"/>
  <c r="CI19" i="1" a="1"/>
  <c r="CI19" i="1"/>
  <c r="CH19" i="1" a="1"/>
  <c r="CH19" i="1"/>
  <c r="CG19" i="1"/>
  <c r="CF19" i="1"/>
  <c r="CE19" i="1" a="1"/>
  <c r="CE19" i="1"/>
  <c r="CD19" i="1" a="1"/>
  <c r="CD19" i="1"/>
  <c r="CC19" i="1"/>
  <c r="CB19" i="1"/>
  <c r="CA19" i="1" a="1"/>
  <c r="CA19" i="1"/>
  <c r="BZ19" i="1" a="1"/>
  <c r="BZ19" i="1"/>
  <c r="BY19" i="1"/>
  <c r="BX19" i="1"/>
  <c r="BW19" i="1" a="1"/>
  <c r="BW19" i="1"/>
  <c r="BV19" i="1"/>
  <c r="BU19" i="1"/>
  <c r="BT19" i="1"/>
  <c r="BS19" i="1" a="1"/>
  <c r="BS19" i="1"/>
  <c r="BR19" i="1"/>
  <c r="BQ19" i="1"/>
  <c r="BP19" i="1"/>
  <c r="BO19" i="1" a="1"/>
  <c r="BO19" i="1"/>
  <c r="BN19" i="1"/>
  <c r="BM19" i="1"/>
  <c r="BL19" i="1"/>
  <c r="BK19" i="1"/>
  <c r="BJ19" i="1"/>
  <c r="U19" i="1"/>
  <c r="T19" i="1"/>
  <c r="S19" i="1"/>
  <c r="R19" i="1"/>
  <c r="Q19" i="1"/>
  <c r="F19" i="1"/>
  <c r="E19" i="1"/>
  <c r="D19" i="1"/>
  <c r="C19" i="1"/>
  <c r="CJ18" i="1"/>
  <c r="CI18" i="1" a="1"/>
  <c r="CI18" i="1"/>
  <c r="CH18" i="1" a="1"/>
  <c r="CH18" i="1"/>
  <c r="CG18" i="1"/>
  <c r="CF18" i="1"/>
  <c r="CE18" i="1" a="1"/>
  <c r="CE18" i="1"/>
  <c r="CD18" i="1" a="1"/>
  <c r="CD18" i="1"/>
  <c r="CC18" i="1"/>
  <c r="CB18" i="1"/>
  <c r="CA18" i="1" a="1"/>
  <c r="CA18" i="1"/>
  <c r="BZ18" i="1" a="1"/>
  <c r="BZ18" i="1"/>
  <c r="BY18" i="1"/>
  <c r="BX18" i="1"/>
  <c r="BW18" i="1" a="1"/>
  <c r="BW18" i="1"/>
  <c r="BV18" i="1"/>
  <c r="BU18" i="1"/>
  <c r="BT18" i="1"/>
  <c r="BS18" i="1" a="1"/>
  <c r="BS18" i="1"/>
  <c r="BR18" i="1"/>
  <c r="BQ18" i="1"/>
  <c r="BP18" i="1"/>
  <c r="BO18" i="1" a="1"/>
  <c r="BO18" i="1"/>
  <c r="BN18" i="1"/>
  <c r="BM18" i="1"/>
  <c r="BL18" i="1"/>
  <c r="BK18" i="1"/>
  <c r="BJ18" i="1"/>
  <c r="U18" i="1"/>
  <c r="T18" i="1"/>
  <c r="S18" i="1"/>
  <c r="R18" i="1"/>
  <c r="Q18" i="1"/>
  <c r="F18" i="1"/>
  <c r="E18" i="1"/>
  <c r="D18" i="1"/>
  <c r="C18" i="1"/>
  <c r="CJ17" i="1"/>
  <c r="CI17" i="1" a="1"/>
  <c r="CI17" i="1"/>
  <c r="CH17" i="1" a="1"/>
  <c r="CH17" i="1"/>
  <c r="CG17" i="1"/>
  <c r="CF17" i="1"/>
  <c r="CE17" i="1" a="1"/>
  <c r="CE17" i="1"/>
  <c r="CD17" i="1" a="1"/>
  <c r="CD17" i="1"/>
  <c r="CC17" i="1"/>
  <c r="CB17" i="1"/>
  <c r="CA17" i="1" a="1"/>
  <c r="CA17" i="1"/>
  <c r="BZ17" i="1" a="1"/>
  <c r="BZ17" i="1"/>
  <c r="BY17" i="1"/>
  <c r="BX17" i="1"/>
  <c r="BW17" i="1" a="1"/>
  <c r="BW17" i="1"/>
  <c r="BV17" i="1"/>
  <c r="BU17" i="1"/>
  <c r="BT17" i="1"/>
  <c r="BS17" i="1" a="1"/>
  <c r="BS17" i="1"/>
  <c r="BR17" i="1"/>
  <c r="BQ17" i="1"/>
  <c r="BP17" i="1"/>
  <c r="BO17" i="1" a="1"/>
  <c r="BO17" i="1"/>
  <c r="BN17" i="1"/>
  <c r="BM17" i="1"/>
  <c r="BL17" i="1"/>
  <c r="BK17" i="1"/>
  <c r="BJ17" i="1"/>
  <c r="U17" i="1"/>
  <c r="T17" i="1"/>
  <c r="S17" i="1"/>
  <c r="R17" i="1"/>
  <c r="Q17" i="1"/>
  <c r="F17" i="1"/>
  <c r="E17" i="1"/>
  <c r="D17" i="1"/>
  <c r="C17" i="1"/>
  <c r="CJ16" i="1"/>
  <c r="CI16" i="1" a="1"/>
  <c r="CI16" i="1"/>
  <c r="CH16" i="1" a="1"/>
  <c r="CH16" i="1"/>
  <c r="CG16" i="1"/>
  <c r="CF16" i="1"/>
  <c r="CE16" i="1" a="1"/>
  <c r="CE16" i="1"/>
  <c r="CD16" i="1" a="1"/>
  <c r="CD16" i="1"/>
  <c r="CC16" i="1"/>
  <c r="CB16" i="1"/>
  <c r="CA16" i="1" a="1"/>
  <c r="CA16" i="1"/>
  <c r="BZ16" i="1" a="1"/>
  <c r="BZ16" i="1"/>
  <c r="BY16" i="1"/>
  <c r="BX16" i="1"/>
  <c r="BW16" i="1" a="1"/>
  <c r="BW16" i="1"/>
  <c r="BV16" i="1"/>
  <c r="BU16" i="1"/>
  <c r="BT16" i="1"/>
  <c r="BS16" i="1" a="1"/>
  <c r="BS16" i="1"/>
  <c r="BR16" i="1"/>
  <c r="BQ16" i="1"/>
  <c r="BP16" i="1"/>
  <c r="BO16" i="1" a="1"/>
  <c r="BO16" i="1"/>
  <c r="BN16" i="1"/>
  <c r="BM16" i="1"/>
  <c r="BL16" i="1"/>
  <c r="BK16" i="1"/>
  <c r="BJ16" i="1"/>
  <c r="U16" i="1"/>
  <c r="T16" i="1"/>
  <c r="S16" i="1"/>
  <c r="R16" i="1"/>
  <c r="Q16" i="1"/>
  <c r="F16" i="1"/>
  <c r="E16" i="1"/>
  <c r="D16" i="1"/>
  <c r="C16" i="1"/>
  <c r="CJ15" i="1"/>
  <c r="CI15" i="1" a="1"/>
  <c r="CI15" i="1"/>
  <c r="CH15" i="1" a="1"/>
  <c r="CH15" i="1"/>
  <c r="CG15" i="1"/>
  <c r="CF15" i="1"/>
  <c r="CE15" i="1" a="1"/>
  <c r="CE15" i="1"/>
  <c r="CD15" i="1" a="1"/>
  <c r="CD15" i="1"/>
  <c r="CC15" i="1"/>
  <c r="CB15" i="1"/>
  <c r="CA15" i="1" a="1"/>
  <c r="CA15" i="1"/>
  <c r="BZ15" i="1" a="1"/>
  <c r="BZ15" i="1"/>
  <c r="BY15" i="1"/>
  <c r="BX15" i="1"/>
  <c r="BW15" i="1" a="1"/>
  <c r="BW15" i="1"/>
  <c r="BV15" i="1"/>
  <c r="BU15" i="1"/>
  <c r="BT15" i="1"/>
  <c r="BS15" i="1" a="1"/>
  <c r="BS15" i="1"/>
  <c r="BR15" i="1"/>
  <c r="BQ15" i="1"/>
  <c r="BP15" i="1"/>
  <c r="BO15" i="1" a="1"/>
  <c r="BO15" i="1"/>
  <c r="BN15" i="1"/>
  <c r="BM15" i="1"/>
  <c r="BL15" i="1"/>
  <c r="BK15" i="1"/>
  <c r="BJ15" i="1"/>
  <c r="U15" i="1"/>
  <c r="T15" i="1"/>
  <c r="S15" i="1"/>
  <c r="R15" i="1"/>
  <c r="Q15" i="1"/>
  <c r="F15" i="1"/>
  <c r="E15" i="1"/>
  <c r="D15" i="1"/>
  <c r="C15" i="1"/>
  <c r="CJ14" i="1"/>
  <c r="CI14" i="1" a="1"/>
  <c r="CI14" i="1"/>
  <c r="CH14" i="1" a="1"/>
  <c r="CH14" i="1"/>
  <c r="CG14" i="1"/>
  <c r="CF14" i="1"/>
  <c r="CE14" i="1" a="1"/>
  <c r="CE14" i="1"/>
  <c r="CD14" i="1" a="1"/>
  <c r="CD14" i="1"/>
  <c r="CC14" i="1"/>
  <c r="CB14" i="1"/>
  <c r="CA14" i="1" a="1"/>
  <c r="CA14" i="1"/>
  <c r="BZ14" i="1" a="1"/>
  <c r="BZ14" i="1"/>
  <c r="BY14" i="1"/>
  <c r="BX14" i="1"/>
  <c r="BW14" i="1" a="1"/>
  <c r="BW14" i="1"/>
  <c r="BV14" i="1"/>
  <c r="BU14" i="1"/>
  <c r="BT14" i="1"/>
  <c r="BS14" i="1" a="1"/>
  <c r="BS14" i="1"/>
  <c r="BR14" i="1"/>
  <c r="BQ14" i="1"/>
  <c r="BP14" i="1"/>
  <c r="BO14" i="1" a="1"/>
  <c r="BO14" i="1"/>
  <c r="BN14" i="1"/>
  <c r="BM14" i="1"/>
  <c r="BL14" i="1"/>
  <c r="BK14" i="1"/>
  <c r="BJ14" i="1"/>
  <c r="U14" i="1"/>
  <c r="T14" i="1"/>
  <c r="S14" i="1"/>
  <c r="R14" i="1"/>
  <c r="Q14" i="1"/>
  <c r="F14" i="1"/>
  <c r="E14" i="1"/>
  <c r="D14" i="1"/>
  <c r="C14" i="1"/>
  <c r="CJ13" i="1"/>
  <c r="CI13" i="1" a="1"/>
  <c r="CI13" i="1"/>
  <c r="CH13" i="1" a="1"/>
  <c r="CH13" i="1"/>
  <c r="CG13" i="1"/>
  <c r="CF13" i="1"/>
  <c r="CE13" i="1" a="1"/>
  <c r="CE13" i="1"/>
  <c r="CD13" i="1" a="1"/>
  <c r="CD13" i="1"/>
  <c r="CC13" i="1"/>
  <c r="CB13" i="1"/>
  <c r="CA13" i="1" a="1"/>
  <c r="CA13" i="1"/>
  <c r="BZ13" i="1" a="1"/>
  <c r="BZ13" i="1"/>
  <c r="BY13" i="1"/>
  <c r="BX13" i="1"/>
  <c r="BW13" i="1" a="1"/>
  <c r="BW13" i="1"/>
  <c r="BV13" i="1"/>
  <c r="BU13" i="1"/>
  <c r="BT13" i="1"/>
  <c r="BS13" i="1" a="1"/>
  <c r="BS13" i="1"/>
  <c r="BR13" i="1"/>
  <c r="BQ13" i="1"/>
  <c r="BP13" i="1"/>
  <c r="BO13" i="1" a="1"/>
  <c r="BO13" i="1"/>
  <c r="BN13" i="1"/>
  <c r="BM13" i="1"/>
  <c r="BL13" i="1"/>
  <c r="BK13" i="1"/>
  <c r="BJ13" i="1"/>
  <c r="U13" i="1"/>
  <c r="T13" i="1"/>
  <c r="S13" i="1"/>
  <c r="R13" i="1"/>
  <c r="Q13" i="1"/>
  <c r="F13" i="1"/>
  <c r="E13" i="1"/>
  <c r="D13" i="1"/>
  <c r="C13" i="1"/>
  <c r="CJ12" i="1"/>
  <c r="CI12" i="1" a="1"/>
  <c r="CI12" i="1"/>
  <c r="CH12" i="1" a="1"/>
  <c r="CH12" i="1"/>
  <c r="CG12" i="1"/>
  <c r="CF12" i="1"/>
  <c r="CE12" i="1" a="1"/>
  <c r="CE12" i="1"/>
  <c r="CD12" i="1" a="1"/>
  <c r="CD12" i="1"/>
  <c r="CC12" i="1"/>
  <c r="CB12" i="1"/>
  <c r="CA12" i="1" a="1"/>
  <c r="CA12" i="1"/>
  <c r="BZ12" i="1" a="1"/>
  <c r="BZ12" i="1"/>
  <c r="BY12" i="1"/>
  <c r="BX12" i="1"/>
  <c r="BW12" i="1" a="1"/>
  <c r="BW12" i="1"/>
  <c r="BV12" i="1"/>
  <c r="BU12" i="1"/>
  <c r="BT12" i="1"/>
  <c r="BS12" i="1" a="1"/>
  <c r="BS12" i="1"/>
  <c r="BR12" i="1"/>
  <c r="BQ12" i="1"/>
  <c r="BP12" i="1"/>
  <c r="BO12" i="1" a="1"/>
  <c r="BO12" i="1"/>
  <c r="BN12" i="1"/>
  <c r="BM12" i="1"/>
  <c r="BL12" i="1"/>
  <c r="BK12" i="1"/>
  <c r="BJ12" i="1"/>
  <c r="U12" i="1"/>
  <c r="T12" i="1"/>
  <c r="S12" i="1"/>
  <c r="R12" i="1"/>
  <c r="Q12" i="1"/>
  <c r="F12" i="1"/>
  <c r="E12" i="1"/>
  <c r="D12" i="1"/>
  <c r="C12" i="1"/>
  <c r="CJ11" i="1"/>
  <c r="CI11" i="1" a="1"/>
  <c r="CI11" i="1"/>
  <c r="CH11" i="1" a="1"/>
  <c r="CH11" i="1"/>
  <c r="CG11" i="1"/>
  <c r="CF11" i="1"/>
  <c r="CE11" i="1" a="1"/>
  <c r="CE11" i="1"/>
  <c r="CD11" i="1" a="1"/>
  <c r="CD11" i="1"/>
  <c r="CC11" i="1"/>
  <c r="CB11" i="1"/>
  <c r="CA11" i="1" a="1"/>
  <c r="CA11" i="1"/>
  <c r="BZ11" i="1" a="1"/>
  <c r="BZ11" i="1"/>
  <c r="BY11" i="1"/>
  <c r="BX11" i="1"/>
  <c r="BW11" i="1" a="1"/>
  <c r="BW11" i="1"/>
  <c r="BV11" i="1"/>
  <c r="BU11" i="1"/>
  <c r="BT11" i="1"/>
  <c r="BS11" i="1" a="1"/>
  <c r="BS11" i="1"/>
  <c r="BR11" i="1"/>
  <c r="BQ11" i="1"/>
  <c r="BP11" i="1"/>
  <c r="BO11" i="1" a="1"/>
  <c r="BO11" i="1"/>
  <c r="BN11" i="1"/>
  <c r="BM11" i="1"/>
  <c r="BL11" i="1"/>
  <c r="BK11" i="1"/>
  <c r="BJ11" i="1"/>
  <c r="U11" i="1"/>
  <c r="T11" i="1"/>
  <c r="S11" i="1"/>
  <c r="R11" i="1"/>
  <c r="Q11" i="1"/>
  <c r="F11" i="1"/>
  <c r="E11" i="1"/>
  <c r="D11" i="1"/>
  <c r="C11" i="1"/>
  <c r="CJ10" i="1"/>
  <c r="CI10" i="1" a="1"/>
  <c r="CI10" i="1"/>
  <c r="CH10" i="1" a="1"/>
  <c r="CH10" i="1"/>
  <c r="CG10" i="1"/>
  <c r="CF10" i="1"/>
  <c r="CE10" i="1" a="1"/>
  <c r="CE10" i="1"/>
  <c r="CD10" i="1" a="1"/>
  <c r="CD10" i="1"/>
  <c r="CC10" i="1"/>
  <c r="CB10" i="1"/>
  <c r="CA10" i="1" a="1"/>
  <c r="CA10" i="1"/>
  <c r="BZ10" i="1" a="1"/>
  <c r="BZ10" i="1"/>
  <c r="BY10" i="1"/>
  <c r="BX10" i="1"/>
  <c r="BW10" i="1" a="1"/>
  <c r="BW10" i="1"/>
  <c r="BV10" i="1"/>
  <c r="BU10" i="1"/>
  <c r="BT10" i="1"/>
  <c r="BS10" i="1" a="1"/>
  <c r="BS10" i="1"/>
  <c r="BR10" i="1"/>
  <c r="BQ10" i="1"/>
  <c r="BP10" i="1"/>
  <c r="BO10" i="1" a="1"/>
  <c r="BO10" i="1"/>
  <c r="BN10" i="1"/>
  <c r="BM10" i="1"/>
  <c r="BL10" i="1"/>
  <c r="BK10" i="1"/>
  <c r="BJ10" i="1"/>
  <c r="U10" i="1"/>
  <c r="T10" i="1"/>
  <c r="S10" i="1"/>
  <c r="R10" i="1"/>
  <c r="Q10" i="1"/>
  <c r="F10" i="1"/>
  <c r="E10" i="1"/>
  <c r="D10" i="1"/>
  <c r="C10" i="1"/>
  <c r="CJ9" i="1"/>
  <c r="CI9" i="1" a="1"/>
  <c r="CI9" i="1"/>
  <c r="CH9" i="1" a="1"/>
  <c r="CH9" i="1"/>
  <c r="CG9" i="1"/>
  <c r="CF9" i="1"/>
  <c r="CE9" i="1" a="1"/>
  <c r="CE9" i="1"/>
  <c r="CD9" i="1" a="1"/>
  <c r="CD9" i="1"/>
  <c r="CC9" i="1"/>
  <c r="CB9" i="1"/>
  <c r="CA9" i="1" a="1"/>
  <c r="CA9" i="1"/>
  <c r="BZ9" i="1" a="1"/>
  <c r="BZ9" i="1"/>
  <c r="BY9" i="1"/>
  <c r="BX9" i="1"/>
  <c r="BW9" i="1" a="1"/>
  <c r="BW9" i="1"/>
  <c r="BV9" i="1"/>
  <c r="BU9" i="1"/>
  <c r="BT9" i="1"/>
  <c r="BS9" i="1" a="1"/>
  <c r="BS9" i="1"/>
  <c r="BR9" i="1"/>
  <c r="BQ9" i="1"/>
  <c r="BP9" i="1"/>
  <c r="BO9" i="1" a="1"/>
  <c r="BO9" i="1"/>
  <c r="BN9" i="1"/>
  <c r="BM9" i="1"/>
  <c r="BL9" i="1"/>
  <c r="BK9" i="1"/>
  <c r="BJ9" i="1"/>
  <c r="U9" i="1"/>
  <c r="T9" i="1"/>
  <c r="S9" i="1"/>
  <c r="R9" i="1"/>
  <c r="Q9" i="1"/>
  <c r="F9" i="1"/>
  <c r="E9" i="1"/>
  <c r="D9" i="1"/>
  <c r="C9" i="1"/>
  <c r="CJ8" i="1"/>
  <c r="CI8" i="1" a="1"/>
  <c r="CI8" i="1"/>
  <c r="CH8" i="1" a="1"/>
  <c r="CH8" i="1"/>
  <c r="CG8" i="1"/>
  <c r="CF8" i="1"/>
  <c r="CE8" i="1" a="1"/>
  <c r="CE8" i="1"/>
  <c r="CD8" i="1" a="1"/>
  <c r="CD8" i="1"/>
  <c r="CC8" i="1"/>
  <c r="CB8" i="1"/>
  <c r="CA8" i="1" a="1"/>
  <c r="CA8" i="1"/>
  <c r="BZ8" i="1" a="1"/>
  <c r="BZ8" i="1"/>
  <c r="BY8" i="1"/>
  <c r="BX8" i="1"/>
  <c r="BW8" i="1" a="1"/>
  <c r="BW8" i="1"/>
  <c r="BV8" i="1"/>
  <c r="BU8" i="1"/>
  <c r="BT8" i="1"/>
  <c r="BS8" i="1" a="1"/>
  <c r="BS8" i="1"/>
  <c r="BR8" i="1"/>
  <c r="BQ8" i="1"/>
  <c r="BP8" i="1"/>
  <c r="BO8" i="1" a="1"/>
  <c r="BO8" i="1"/>
  <c r="BN8" i="1"/>
  <c r="BM8" i="1"/>
  <c r="BL8" i="1"/>
  <c r="BK8" i="1"/>
  <c r="BJ8" i="1"/>
  <c r="U8" i="1"/>
  <c r="T8" i="1"/>
  <c r="S8" i="1"/>
  <c r="R8" i="1"/>
  <c r="Q8" i="1"/>
  <c r="F8" i="1"/>
  <c r="E8" i="1"/>
  <c r="D8" i="1"/>
  <c r="C8" i="1"/>
  <c r="CJ7" i="1"/>
  <c r="CI7" i="1" a="1"/>
  <c r="CI7" i="1"/>
  <c r="CH7" i="1" a="1"/>
  <c r="CH7" i="1"/>
  <c r="CG7" i="1"/>
  <c r="CF7" i="1"/>
  <c r="CE7" i="1" a="1"/>
  <c r="CE7" i="1"/>
  <c r="CD7" i="1" a="1"/>
  <c r="CD7" i="1"/>
  <c r="CC7" i="1"/>
  <c r="CB7" i="1"/>
  <c r="CA7" i="1" a="1"/>
  <c r="CA7" i="1"/>
  <c r="BZ7" i="1" a="1"/>
  <c r="BZ7" i="1"/>
  <c r="BY7" i="1"/>
  <c r="BX7" i="1"/>
  <c r="BW7" i="1" a="1"/>
  <c r="BW7" i="1"/>
  <c r="BV7" i="1"/>
  <c r="BU7" i="1"/>
  <c r="BT7" i="1"/>
  <c r="BS7" i="1" a="1"/>
  <c r="BS7" i="1"/>
  <c r="BR7" i="1"/>
  <c r="BQ7" i="1"/>
  <c r="BP7" i="1"/>
  <c r="BO7" i="1" a="1"/>
  <c r="BO7" i="1"/>
  <c r="BN7" i="1"/>
  <c r="BM7" i="1"/>
  <c r="BL7" i="1"/>
  <c r="BK7" i="1"/>
  <c r="BJ7" i="1"/>
  <c r="U7" i="1"/>
  <c r="T7" i="1"/>
  <c r="S7" i="1"/>
  <c r="R7" i="1"/>
  <c r="Q7" i="1"/>
  <c r="F7" i="1"/>
  <c r="E7" i="1"/>
  <c r="D7" i="1"/>
  <c r="C7" i="1"/>
  <c r="CJ6" i="1"/>
  <c r="CI6" i="1" a="1"/>
  <c r="CI6" i="1"/>
  <c r="CH6" i="1" a="1"/>
  <c r="CH6" i="1"/>
  <c r="CG6" i="1"/>
  <c r="CF6" i="1"/>
  <c r="CE6" i="1" a="1"/>
  <c r="CE6" i="1"/>
  <c r="CD6" i="1" a="1"/>
  <c r="CD6" i="1"/>
  <c r="CC6" i="1"/>
  <c r="CB6" i="1"/>
  <c r="CA6" i="1" a="1"/>
  <c r="CA6" i="1"/>
  <c r="BZ6" i="1" a="1"/>
  <c r="BZ6" i="1"/>
  <c r="BY6" i="1"/>
  <c r="BX6" i="1"/>
  <c r="BW6" i="1" a="1"/>
  <c r="BW6" i="1"/>
  <c r="BV6" i="1"/>
  <c r="BU6" i="1"/>
  <c r="BT6" i="1"/>
  <c r="BS6" i="1" a="1"/>
  <c r="BS6" i="1"/>
  <c r="BR6" i="1"/>
  <c r="BP6" i="1"/>
  <c r="BO6" i="1" a="1"/>
  <c r="BO6" i="1"/>
  <c r="BN6" i="1"/>
  <c r="BM6" i="1"/>
  <c r="BL6" i="1"/>
  <c r="BK6" i="1"/>
  <c r="BJ6" i="1"/>
  <c r="U6" i="1"/>
  <c r="T6" i="1"/>
  <c r="S6" i="1"/>
  <c r="R6" i="1"/>
  <c r="Q6" i="1"/>
  <c r="F6" i="1"/>
  <c r="E6" i="1"/>
  <c r="D6" i="1"/>
  <c r="C6" i="1"/>
  <c r="CJ5" i="1"/>
  <c r="CI5" i="1" a="1"/>
  <c r="CI5" i="1"/>
  <c r="CH5" i="1" a="1"/>
  <c r="CH5" i="1"/>
  <c r="CG5" i="1"/>
  <c r="CF5" i="1"/>
  <c r="CE5" i="1" a="1"/>
  <c r="CE5" i="1"/>
  <c r="CD5" i="1" a="1"/>
  <c r="CD5" i="1"/>
  <c r="CC5" i="1"/>
  <c r="CB5" i="1"/>
  <c r="CA5" i="1" a="1"/>
  <c r="CA5" i="1"/>
  <c r="BZ5" i="1" a="1"/>
  <c r="BZ5" i="1"/>
  <c r="BY5" i="1"/>
  <c r="BX5" i="1"/>
  <c r="BW5" i="1" a="1"/>
  <c r="BW5" i="1"/>
  <c r="BV5" i="1"/>
  <c r="BU5" i="1"/>
  <c r="BT5" i="1"/>
  <c r="BS5" i="1" a="1"/>
  <c r="BS5" i="1"/>
  <c r="BR5" i="1"/>
  <c r="BQ5" i="1"/>
  <c r="BP5" i="1"/>
  <c r="BO5" i="1" a="1"/>
  <c r="BO5" i="1"/>
  <c r="BN5" i="1"/>
  <c r="BM5" i="1"/>
  <c r="BL5" i="1"/>
  <c r="BK5" i="1"/>
  <c r="BJ5" i="1"/>
  <c r="U5" i="1"/>
  <c r="T5" i="1"/>
  <c r="S5" i="1"/>
  <c r="R5" i="1"/>
  <c r="Q5" i="1"/>
  <c r="F5" i="1"/>
  <c r="E5" i="1"/>
  <c r="D5" i="1"/>
  <c r="C5" i="1"/>
  <c r="CJ4" i="1"/>
  <c r="CI4" i="1" a="1"/>
  <c r="CI4" i="1"/>
  <c r="CG4" i="1"/>
  <c r="CF4" i="1"/>
  <c r="CE4" i="1" a="1"/>
  <c r="CE4" i="1"/>
  <c r="CC4" i="1"/>
  <c r="CB4" i="1"/>
  <c r="CA4" i="1" a="1"/>
  <c r="CA4" i="1"/>
  <c r="BY4" i="1"/>
  <c r="BX4" i="1"/>
  <c r="BW4" i="1" a="1"/>
  <c r="BW4" i="1"/>
  <c r="BU4" i="1"/>
  <c r="BT4" i="1"/>
  <c r="BS4" i="1" a="1"/>
  <c r="BS4" i="1"/>
  <c r="BQ4" i="1"/>
  <c r="BP4" i="1"/>
  <c r="BO4" i="1" a="1"/>
  <c r="BO4" i="1"/>
  <c r="BM4" i="1"/>
  <c r="BL4" i="1"/>
  <c r="BK4" i="1"/>
  <c r="BJ4" i="1"/>
  <c r="U4" i="1"/>
  <c r="T4" i="1"/>
  <c r="S4" i="1"/>
  <c r="R4" i="1"/>
  <c r="Q4" i="1"/>
  <c r="F4" i="1"/>
  <c r="E4" i="1"/>
  <c r="D4" i="1"/>
  <c r="C4" i="1"/>
  <c r="BL3" i="1"/>
  <c r="BK3" i="1"/>
  <c r="BJ3" i="1"/>
  <c r="U3" i="1"/>
  <c r="T3" i="1"/>
  <c r="S3" i="1"/>
  <c r="R3" i="1"/>
  <c r="Q3" i="1"/>
  <c r="F3" i="1"/>
  <c r="E3" i="1"/>
  <c r="D3" i="1"/>
  <c r="C3" i="1"/>
</calcChain>
</file>

<file path=xl/sharedStrings.xml><?xml version="1.0" encoding="utf-8"?>
<sst xmlns="http://schemas.openxmlformats.org/spreadsheetml/2006/main" count="585" uniqueCount="438">
  <si>
    <r>
      <rPr>
        <sz val="12"/>
        <color theme="1"/>
        <rFont val="等线"/>
        <family val="4"/>
        <charset val="134"/>
        <scheme val="minor"/>
      </rPr>
      <t>福彩3D</t>
    </r>
    <r>
      <rPr>
        <b/>
        <sz val="12"/>
        <color theme="1"/>
        <rFont val="等线"/>
        <family val="4"/>
        <charset val="134"/>
        <scheme val="minor"/>
      </rPr>
      <t>差</t>
    </r>
  </si>
  <si>
    <t>百十</t>
  </si>
  <si>
    <t>百个</t>
  </si>
  <si>
    <t>十个</t>
  </si>
  <si>
    <t>期号</t>
  </si>
  <si>
    <t>奖号</t>
  </si>
  <si>
    <t>和值</t>
  </si>
  <si>
    <t>和尾</t>
  </si>
  <si>
    <t>均值</t>
  </si>
  <si>
    <t>跨度</t>
  </si>
  <si>
    <t>跨度表</t>
  </si>
  <si>
    <t>差和</t>
  </si>
  <si>
    <t>不定位两码差</t>
  </si>
  <si>
    <t>不定位差</t>
  </si>
  <si>
    <t>百十定位差</t>
  </si>
  <si>
    <t>百个定位差</t>
  </si>
  <si>
    <t>十个定位差</t>
  </si>
  <si>
    <t>分类结果</t>
  </si>
  <si>
    <t>最小差</t>
  </si>
  <si>
    <t>最大差</t>
  </si>
  <si>
    <t>复</t>
  </si>
  <si>
    <t>隔</t>
  </si>
  <si>
    <t>中码</t>
  </si>
  <si>
    <t>邻</t>
  </si>
  <si>
    <t>传</t>
  </si>
  <si>
    <t>孤</t>
  </si>
  <si>
    <t>066</t>
  </si>
  <si>
    <t>069</t>
  </si>
  <si>
    <t>652</t>
  </si>
  <si>
    <t>741</t>
  </si>
  <si>
    <t>640</t>
  </si>
  <si>
    <t>035</t>
  </si>
  <si>
    <t>227</t>
  </si>
  <si>
    <t>982</t>
  </si>
  <si>
    <t>955</t>
  </si>
  <si>
    <t>748</t>
  </si>
  <si>
    <t>536</t>
  </si>
  <si>
    <t>256</t>
  </si>
  <si>
    <t>813</t>
  </si>
  <si>
    <t>816</t>
  </si>
  <si>
    <t>756</t>
  </si>
  <si>
    <t>180</t>
  </si>
  <si>
    <t>225</t>
  </si>
  <si>
    <t>426</t>
  </si>
  <si>
    <t>153</t>
  </si>
  <si>
    <t>356</t>
  </si>
  <si>
    <t>765</t>
  </si>
  <si>
    <t>848</t>
  </si>
  <si>
    <t>287</t>
  </si>
  <si>
    <t>834</t>
  </si>
  <si>
    <t>411</t>
  </si>
  <si>
    <t>126</t>
  </si>
  <si>
    <t>821</t>
  </si>
  <si>
    <t>212</t>
  </si>
  <si>
    <t>690</t>
  </si>
  <si>
    <t>468</t>
  </si>
  <si>
    <t>164</t>
  </si>
  <si>
    <t>304</t>
  </si>
  <si>
    <t>354</t>
  </si>
  <si>
    <t>145</t>
  </si>
  <si>
    <t>397</t>
  </si>
  <si>
    <t>220</t>
  </si>
  <si>
    <t>752</t>
  </si>
  <si>
    <t>402</t>
  </si>
  <si>
    <t>480</t>
  </si>
  <si>
    <t>908</t>
  </si>
  <si>
    <t>449</t>
  </si>
  <si>
    <t>236</t>
  </si>
  <si>
    <t>488</t>
  </si>
  <si>
    <t>108</t>
  </si>
  <si>
    <t>460</t>
  </si>
  <si>
    <t>581</t>
  </si>
  <si>
    <t>005</t>
  </si>
  <si>
    <t>918</t>
  </si>
  <si>
    <t>230</t>
  </si>
  <si>
    <t>884</t>
  </si>
  <si>
    <t>443</t>
  </si>
  <si>
    <t>933</t>
  </si>
  <si>
    <t>306</t>
  </si>
  <si>
    <t>579</t>
  </si>
  <si>
    <t>380</t>
  </si>
  <si>
    <t>956</t>
  </si>
  <si>
    <t>530</t>
  </si>
  <si>
    <t>410</t>
  </si>
  <si>
    <t>382</t>
  </si>
  <si>
    <t>676</t>
  </si>
  <si>
    <t>681</t>
  </si>
  <si>
    <t>137</t>
  </si>
  <si>
    <t>725</t>
  </si>
  <si>
    <t>056</t>
  </si>
  <si>
    <t>224</t>
  </si>
  <si>
    <t>710</t>
  </si>
  <si>
    <t>147</t>
  </si>
  <si>
    <t>309</t>
  </si>
  <si>
    <t>843</t>
  </si>
  <si>
    <t>552</t>
  </si>
  <si>
    <t>172</t>
  </si>
  <si>
    <t>390</t>
  </si>
  <si>
    <t>651</t>
  </si>
  <si>
    <t>818</t>
  </si>
  <si>
    <t>892</t>
  </si>
  <si>
    <t>281</t>
  </si>
  <si>
    <t>054</t>
  </si>
  <si>
    <t>089</t>
  </si>
  <si>
    <t>009</t>
  </si>
  <si>
    <t>365</t>
  </si>
  <si>
    <t>483</t>
  </si>
  <si>
    <t>444</t>
  </si>
  <si>
    <t>405</t>
  </si>
  <si>
    <t>467</t>
  </si>
  <si>
    <t>305</t>
  </si>
  <si>
    <t>414</t>
  </si>
  <si>
    <t>103</t>
  </si>
  <si>
    <t>564</t>
  </si>
  <si>
    <t>773</t>
  </si>
  <si>
    <t>560</t>
  </si>
  <si>
    <t>312</t>
  </si>
  <si>
    <t>298</t>
  </si>
  <si>
    <t>911</t>
  </si>
  <si>
    <t>497</t>
  </si>
  <si>
    <t>938</t>
  </si>
  <si>
    <t>012</t>
  </si>
  <si>
    <t>715</t>
  </si>
  <si>
    <t>492</t>
  </si>
  <si>
    <t>512</t>
  </si>
  <si>
    <t>274</t>
  </si>
  <si>
    <t>469</t>
  </si>
  <si>
    <t>524</t>
  </si>
  <si>
    <t>065</t>
  </si>
  <si>
    <t>470</t>
  </si>
  <si>
    <t>623</t>
  </si>
  <si>
    <t>863</t>
  </si>
  <si>
    <t>783</t>
  </si>
  <si>
    <t>861</t>
  </si>
  <si>
    <t>253</t>
  </si>
  <si>
    <t>156</t>
  </si>
  <si>
    <t>086</t>
  </si>
  <si>
    <t>409</t>
  </si>
  <si>
    <t>096</t>
  </si>
  <si>
    <t>749</t>
  </si>
  <si>
    <t>199</t>
  </si>
  <si>
    <t>077</t>
  </si>
  <si>
    <t>249</t>
  </si>
  <si>
    <t>926</t>
  </si>
  <si>
    <t>766</t>
  </si>
  <si>
    <t>465</t>
  </si>
  <si>
    <t>292</t>
  </si>
  <si>
    <t>245</t>
  </si>
  <si>
    <t>931</t>
  </si>
  <si>
    <t>388</t>
  </si>
  <si>
    <t>699</t>
  </si>
  <si>
    <t>795</t>
  </si>
  <si>
    <t>275</t>
  </si>
  <si>
    <t>833</t>
  </si>
  <si>
    <t>827</t>
  </si>
  <si>
    <t>684</t>
  </si>
  <si>
    <t>221</t>
  </si>
  <si>
    <t>060</t>
  </si>
  <si>
    <t>248</t>
  </si>
  <si>
    <t>900</t>
  </si>
  <si>
    <t>983</t>
  </si>
  <si>
    <t>419</t>
  </si>
  <si>
    <t>342</t>
  </si>
  <si>
    <t>718</t>
  </si>
  <si>
    <t>621</t>
  </si>
  <si>
    <t>192</t>
  </si>
  <si>
    <t>839</t>
  </si>
  <si>
    <t>989</t>
  </si>
  <si>
    <t>462</t>
  </si>
  <si>
    <t>521</t>
  </si>
  <si>
    <t>364</t>
  </si>
  <si>
    <t>571</t>
  </si>
  <si>
    <t>372</t>
  </si>
  <si>
    <t>055</t>
  </si>
  <si>
    <t>949</t>
  </si>
  <si>
    <t>666</t>
  </si>
  <si>
    <t>435</t>
  </si>
  <si>
    <t>516</t>
  </si>
  <si>
    <t>336</t>
  </si>
  <si>
    <t>169</t>
  </si>
  <si>
    <t>966</t>
  </si>
  <si>
    <t>296</t>
  </si>
  <si>
    <t>654</t>
  </si>
  <si>
    <t>539</t>
  </si>
  <si>
    <t>603</t>
  </si>
  <si>
    <t>067</t>
  </si>
  <si>
    <t>754</t>
  </si>
  <si>
    <t>095</t>
  </si>
  <si>
    <t>672</t>
  </si>
  <si>
    <t>802</t>
  </si>
  <si>
    <t>789</t>
  </si>
  <si>
    <t>386</t>
  </si>
  <si>
    <t>525</t>
  </si>
  <si>
    <t>726</t>
  </si>
  <si>
    <t>778</t>
  </si>
  <si>
    <t>542</t>
  </si>
  <si>
    <t>867</t>
  </si>
  <si>
    <t>384</t>
  </si>
  <si>
    <t>158</t>
  </si>
  <si>
    <t>722</t>
  </si>
  <si>
    <t>280</t>
  </si>
  <si>
    <t>910</t>
  </si>
  <si>
    <t>167</t>
  </si>
  <si>
    <t>964</t>
  </si>
  <si>
    <t>951</t>
  </si>
  <si>
    <t>541</t>
  </si>
  <si>
    <t>593</t>
  </si>
  <si>
    <t>977</t>
  </si>
  <si>
    <t>509</t>
  </si>
  <si>
    <t>278</t>
  </si>
  <si>
    <t>371</t>
  </si>
  <si>
    <t>214</t>
  </si>
  <si>
    <t>317</t>
  </si>
  <si>
    <t>392</t>
  </si>
  <si>
    <t>928</t>
  </si>
  <si>
    <t>657</t>
  </si>
  <si>
    <t>703</t>
  </si>
  <si>
    <t>916</t>
  </si>
  <si>
    <t>634</t>
  </si>
  <si>
    <t>085</t>
  </si>
  <si>
    <t>898</t>
  </si>
  <si>
    <t>141</t>
  </si>
  <si>
    <t>260</t>
  </si>
  <si>
    <t>416</t>
  </si>
  <si>
    <t>333</t>
  </si>
  <si>
    <t>518</t>
  </si>
  <si>
    <t>487</t>
  </si>
  <si>
    <t>606</t>
  </si>
  <si>
    <t>679</t>
  </si>
  <si>
    <t>942</t>
  </si>
  <si>
    <t>104</t>
  </si>
  <si>
    <t>027</t>
  </si>
  <si>
    <t>836</t>
  </si>
  <si>
    <t>638</t>
  </si>
  <si>
    <t>591</t>
  </si>
  <si>
    <t>762</t>
  </si>
  <si>
    <t>486</t>
  </si>
  <si>
    <t>588</t>
  </si>
  <si>
    <t>383</t>
  </si>
  <si>
    <t>302</t>
  </si>
  <si>
    <t>379</t>
  </si>
  <si>
    <t>499</t>
  </si>
  <si>
    <t>261</t>
  </si>
  <si>
    <t>617</t>
  </si>
  <si>
    <t>131</t>
  </si>
  <si>
    <t>847</t>
  </si>
  <si>
    <t>932</t>
  </si>
  <si>
    <t>428</t>
  </si>
  <si>
    <t>401</t>
  </si>
  <si>
    <t>775</t>
  </si>
  <si>
    <t>475</t>
  </si>
  <si>
    <t>912</t>
  </si>
  <si>
    <t>554</t>
  </si>
  <si>
    <t>490</t>
  </si>
  <si>
    <t>004</t>
  </si>
  <si>
    <t>806</t>
  </si>
  <si>
    <t>905</t>
  </si>
  <si>
    <t>585</t>
  </si>
  <si>
    <t>895</t>
  </si>
  <si>
    <t>368</t>
  </si>
  <si>
    <t>476</t>
  </si>
  <si>
    <t>810</t>
  </si>
  <si>
    <t>538</t>
  </si>
  <si>
    <t>720</t>
  </si>
  <si>
    <t>385</t>
  </si>
  <si>
    <t>555</t>
  </si>
  <si>
    <t>906</t>
  </si>
  <si>
    <t>434</t>
  </si>
  <si>
    <t>272</t>
  </si>
  <si>
    <t>709</t>
  </si>
  <si>
    <t>781</t>
  </si>
  <si>
    <t>625</t>
  </si>
  <si>
    <t>000</t>
  </si>
  <si>
    <t>500</t>
  </si>
  <si>
    <t>403</t>
  </si>
  <si>
    <t>417</t>
  </si>
  <si>
    <t>915</t>
  </si>
  <si>
    <t>030</t>
  </si>
  <si>
    <t>338</t>
  </si>
  <si>
    <t>826</t>
  </si>
  <si>
    <t>022</t>
  </si>
  <si>
    <t>658</t>
  </si>
  <si>
    <t>159</t>
  </si>
  <si>
    <t>135</t>
  </si>
  <si>
    <t>545</t>
  </si>
  <si>
    <t>649</t>
  </si>
  <si>
    <t>068</t>
  </si>
  <si>
    <t>714</t>
  </si>
  <si>
    <t>707</t>
  </si>
  <si>
    <t>953</t>
  </si>
  <si>
    <t>016</t>
  </si>
  <si>
    <t>161</t>
  </si>
  <si>
    <t>370</t>
  </si>
  <si>
    <t>877</t>
  </si>
  <si>
    <t>015</t>
  </si>
  <si>
    <t>407</t>
  </si>
  <si>
    <t>841</t>
  </si>
  <si>
    <t>914</t>
  </si>
  <si>
    <t>270</t>
  </si>
  <si>
    <t>954</t>
  </si>
  <si>
    <t>635</t>
  </si>
  <si>
    <t>375</t>
  </si>
  <si>
    <t>206</t>
  </si>
  <si>
    <t>320</t>
  </si>
  <si>
    <t>849</t>
  </si>
  <si>
    <t>315</t>
  </si>
  <si>
    <t>120</t>
  </si>
  <si>
    <t>809</t>
  </si>
  <si>
    <t>351</t>
  </si>
  <si>
    <t>431</t>
  </si>
  <si>
    <t>814</t>
  </si>
  <si>
    <t>204</t>
  </si>
  <si>
    <t>203</t>
  </si>
  <si>
    <t>689</t>
  </si>
  <si>
    <t>645</t>
  </si>
  <si>
    <t>458</t>
  </si>
  <si>
    <t>113</t>
  </si>
  <si>
    <t>838</t>
  </si>
  <si>
    <t>598</t>
  </si>
  <si>
    <t>149</t>
  </si>
  <si>
    <t>202</t>
  </si>
  <si>
    <t>267</t>
  </si>
  <si>
    <t>897</t>
  </si>
  <si>
    <t>321</t>
  </si>
  <si>
    <t>734</t>
  </si>
  <si>
    <t>210</t>
  </si>
  <si>
    <t>923</t>
  </si>
  <si>
    <t>969</t>
  </si>
  <si>
    <t>701</t>
  </si>
  <si>
    <t>073</t>
  </si>
  <si>
    <t>503</t>
  </si>
  <si>
    <t>636</t>
  </si>
  <si>
    <t>337</t>
  </si>
  <si>
    <t>609</t>
  </si>
  <si>
    <t>808</t>
  </si>
  <si>
    <t>702</t>
  </si>
  <si>
    <t>514</t>
  </si>
  <si>
    <t>978</t>
  </si>
  <si>
    <t>406</t>
  </si>
  <si>
    <t>092</t>
  </si>
  <si>
    <t>533</t>
  </si>
  <si>
    <t>616</t>
  </si>
  <si>
    <t>122</t>
  </si>
  <si>
    <t>728</t>
  </si>
  <si>
    <t>886</t>
  </si>
  <si>
    <t>708</t>
  </si>
  <si>
    <t>744</t>
  </si>
  <si>
    <t>799</t>
  </si>
  <si>
    <t>761</t>
  </si>
  <si>
    <t>018</t>
  </si>
  <si>
    <t>907</t>
  </si>
  <si>
    <t>691</t>
  </si>
  <si>
    <t>876</t>
  </si>
  <si>
    <t>980</t>
  </si>
  <si>
    <t>057</t>
  </si>
  <si>
    <t>943</t>
  </si>
  <si>
    <t>846</t>
  </si>
  <si>
    <t>013</t>
  </si>
  <si>
    <t>007</t>
  </si>
  <si>
    <t>920</t>
  </si>
  <si>
    <t>255</t>
  </si>
  <si>
    <t>432</t>
  </si>
  <si>
    <t>387</t>
  </si>
  <si>
    <t>520</t>
  </si>
  <si>
    <t>456</t>
  </si>
  <si>
    <t>381</t>
  </si>
  <si>
    <t>853</t>
  </si>
  <si>
    <t>894</t>
  </si>
  <si>
    <t>526</t>
  </si>
  <si>
    <t>010</t>
  </si>
  <si>
    <t>736</t>
  </si>
  <si>
    <t>990</t>
  </si>
  <si>
    <t>611</t>
  </si>
  <si>
    <t>439</t>
  </si>
  <si>
    <t>732</t>
  </si>
  <si>
    <t>044</t>
  </si>
  <si>
    <t>259</t>
  </si>
  <si>
    <t>620</t>
  </si>
  <si>
    <t>355</t>
  </si>
  <si>
    <t>590</t>
  </si>
  <si>
    <t>860</t>
  </si>
  <si>
    <t>125</t>
  </si>
  <si>
    <t>160</t>
  </si>
  <si>
    <t>176</t>
  </si>
  <si>
    <t>673</t>
  </si>
  <si>
    <t>997</t>
  </si>
  <si>
    <t>262</t>
  </si>
  <si>
    <t>952</t>
  </si>
  <si>
    <t>902</t>
  </si>
  <si>
    <t>868</t>
  </si>
  <si>
    <t>792</t>
  </si>
  <si>
    <t>457</t>
  </si>
  <si>
    <t>072</t>
  </si>
  <si>
    <t>264</t>
  </si>
  <si>
    <t>626</t>
  </si>
  <si>
    <t>751</t>
  </si>
  <si>
    <t>399</t>
  </si>
  <si>
    <t>546</t>
  </si>
  <si>
    <t>723</t>
  </si>
  <si>
    <t>391</t>
  </si>
  <si>
    <t>674</t>
  </si>
  <si>
    <t>408</t>
  </si>
  <si>
    <t>727</t>
  </si>
  <si>
    <t>967</t>
  </si>
  <si>
    <t>045</t>
  </si>
  <si>
    <t>596</t>
  </si>
  <si>
    <t>061</t>
  </si>
  <si>
    <t>629</t>
  </si>
  <si>
    <t>664</t>
  </si>
  <si>
    <t>844</t>
  </si>
  <si>
    <t>805</t>
  </si>
  <si>
    <t>767</t>
  </si>
  <si>
    <t>473</t>
  </si>
  <si>
    <t>332</t>
  </si>
  <si>
    <t>794</t>
  </si>
  <si>
    <t>117</t>
  </si>
  <si>
    <t>154</t>
  </si>
  <si>
    <t>513</t>
  </si>
  <si>
    <t>273</t>
  </si>
  <si>
    <t>537</t>
  </si>
  <si>
    <t>051</t>
  </si>
  <si>
    <t>2025300</t>
  </si>
  <si>
    <t>2025301</t>
  </si>
  <si>
    <t>755</t>
  </si>
  <si>
    <t>2025302</t>
  </si>
  <si>
    <t>2025303</t>
  </si>
  <si>
    <t>2025304</t>
  </si>
  <si>
    <t>471</t>
  </si>
  <si>
    <t>2025305</t>
  </si>
  <si>
    <t>310</t>
  </si>
  <si>
    <t>2025306</t>
  </si>
  <si>
    <t>697</t>
  </si>
  <si>
    <t>出现次数</t>
  </si>
  <si>
    <t>平均遗漏</t>
  </si>
  <si>
    <t>最大遗漏</t>
  </si>
  <si>
    <t>当前遗漏</t>
  </si>
  <si>
    <t>最大连出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</si>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</sst>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);[Red]\(0.00\)"/>
  </numFmts>
  <fonts count="15">
    <font>
      <sz val="11"/>
      <color theme="1"/>
      <name val="等线"/>
      <charset val="134"/>
      <scheme val="minor"/>
    </font>
    <font>
      <sz val="28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11"/>
      <color rgb="FF3F3F3F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rgb="FF3F3F76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1"/>
      <color rgb="FF3F3F76"/>
      <name val="等线"/>
      <family val="4"/>
      <charset val="134"/>
      <scheme val="minor"/>
    </font>
    <font>
      <b/>
      <sz val="14"/>
      <color rgb="FFFF0000"/>
      <name val="等线"/>
      <family val="4"/>
      <charset val="134"/>
      <scheme val="minor"/>
    </font>
    <font>
      <b/>
      <sz val="12"/>
      <color rgb="FF3F3F3F"/>
      <name val="等线"/>
      <family val="4"/>
      <charset val="134"/>
      <scheme val="minor"/>
    </font>
    <font>
      <b/>
      <sz val="12"/>
      <color rgb="FF3F3F76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rgb="FF7F7F7F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rgb="FF7F7F7F"/>
      </left>
      <right style="thin">
        <color theme="1" tint="4.9989318521683403E-2"/>
      </right>
      <top/>
      <bottom/>
      <diagonal/>
    </border>
    <border>
      <left style="thin">
        <color rgb="FFB2B2B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rgb="FF7F7F7F"/>
      </right>
      <top/>
      <bottom style="thin">
        <color theme="1" tint="4.9989318521683403E-2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7F7F7F"/>
      </left>
      <right style="thin">
        <color theme="1" tint="4.9989318521683403E-2"/>
      </right>
      <top style="thin">
        <color rgb="FF7F7F7F"/>
      </top>
      <bottom style="thin">
        <color rgb="FF7F7F7F"/>
      </bottom>
      <diagonal/>
    </border>
  </borders>
  <cellStyleXfs count="19">
    <xf numFmtId="0" fontId="0" fillId="0" borderId="0">
      <alignment vertical="center"/>
    </xf>
    <xf numFmtId="0" fontId="13" fillId="12" borderId="3" applyNumberFormat="0" applyFont="0" applyAlignment="0" applyProtection="0">
      <alignment vertical="center"/>
    </xf>
    <xf numFmtId="0" fontId="9" fillId="9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3" fillId="2" borderId="1" xfId="12" applyNumberFormat="1" applyFont="1" applyBorder="1">
      <alignment vertical="center"/>
    </xf>
    <xf numFmtId="0" fontId="13" fillId="3" borderId="1" xfId="8" applyNumberFormat="1" applyBorder="1">
      <alignment vertical="center"/>
    </xf>
    <xf numFmtId="0" fontId="5" fillId="4" borderId="2" xfId="3">
      <alignment vertical="center"/>
    </xf>
    <xf numFmtId="177" fontId="13" fillId="5" borderId="1" xfId="14" applyNumberFormat="1" applyBorder="1">
      <alignment vertical="center"/>
    </xf>
    <xf numFmtId="0" fontId="13" fillId="6" borderId="1" xfId="10" applyBorder="1">
      <alignment vertical="center"/>
    </xf>
    <xf numFmtId="0" fontId="0" fillId="0" borderId="0" xfId="0" applyAlignment="1">
      <alignment horizontal="center" vertical="center"/>
    </xf>
    <xf numFmtId="0" fontId="13" fillId="7" borderId="3" xfId="11" applyBorder="1">
      <alignment vertical="center"/>
    </xf>
    <xf numFmtId="0" fontId="13" fillId="8" borderId="3" xfId="7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9" borderId="1" xfId="2" applyNumberFormat="1" applyFont="1" applyAlignment="1">
      <alignment horizontal="center" vertical="center"/>
    </xf>
    <xf numFmtId="0" fontId="4" fillId="9" borderId="1" xfId="2" applyFont="1" applyAlignment="1">
      <alignment horizontal="center" vertical="center"/>
    </xf>
    <xf numFmtId="0" fontId="4" fillId="0" borderId="0" xfId="0" applyFont="1">
      <alignment vertical="center"/>
    </xf>
    <xf numFmtId="0" fontId="4" fillId="5" borderId="1" xfId="14" applyFont="1" applyBorder="1" applyAlignment="1">
      <alignment horizontal="center" vertical="center"/>
    </xf>
    <xf numFmtId="0" fontId="4" fillId="10" borderId="1" xfId="17" applyFont="1" applyBorder="1" applyAlignment="1">
      <alignment horizontal="center" vertical="center"/>
    </xf>
    <xf numFmtId="0" fontId="4" fillId="6" borderId="4" xfId="10" applyFont="1" applyBorder="1" applyAlignment="1">
      <alignment horizontal="center" vertical="center"/>
    </xf>
    <xf numFmtId="178" fontId="4" fillId="6" borderId="5" xfId="10" applyNumberFormat="1" applyFont="1" applyBorder="1" applyAlignment="1">
      <alignment horizontal="center" vertical="center"/>
    </xf>
    <xf numFmtId="0" fontId="4" fillId="6" borderId="5" xfId="1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12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9" borderId="1" xfId="2" applyFont="1">
      <alignment vertical="center"/>
    </xf>
    <xf numFmtId="0" fontId="8" fillId="5" borderId="1" xfId="14" applyFont="1" applyBorder="1">
      <alignment vertical="center"/>
    </xf>
    <xf numFmtId="0" fontId="8" fillId="10" borderId="1" xfId="17" applyFont="1" applyBorder="1">
      <alignment vertical="center"/>
    </xf>
    <xf numFmtId="0" fontId="4" fillId="11" borderId="1" xfId="13" applyFont="1" applyBorder="1" applyAlignment="1">
      <alignment horizontal="left" vertical="center"/>
    </xf>
    <xf numFmtId="0" fontId="0" fillId="12" borderId="3" xfId="1" applyFont="1">
      <alignment vertical="center"/>
    </xf>
    <xf numFmtId="0" fontId="6" fillId="9" borderId="1" xfId="2" applyNumberFormat="1" applyFont="1" applyAlignment="1">
      <alignment horizontal="center" vertical="center"/>
    </xf>
    <xf numFmtId="0" fontId="9" fillId="9" borderId="1" xfId="2">
      <alignment vertical="center"/>
    </xf>
    <xf numFmtId="0" fontId="6" fillId="5" borderId="1" xfId="14" applyNumberFormat="1" applyFont="1" applyBorder="1" applyAlignment="1">
      <alignment horizontal="center" vertical="center"/>
    </xf>
    <xf numFmtId="0" fontId="13" fillId="5" borderId="1" xfId="14" applyBorder="1">
      <alignment vertical="center"/>
    </xf>
    <xf numFmtId="0" fontId="6" fillId="10" borderId="1" xfId="17" applyNumberFormat="1" applyFont="1" applyBorder="1" applyAlignment="1">
      <alignment horizontal="center" vertical="center"/>
    </xf>
    <xf numFmtId="0" fontId="13" fillId="10" borderId="1" xfId="17" applyBorder="1">
      <alignment vertical="center"/>
    </xf>
    <xf numFmtId="0" fontId="10" fillId="6" borderId="4" xfId="10" applyNumberFormat="1" applyFont="1" applyBorder="1" applyAlignment="1">
      <alignment horizontal="center" vertical="center"/>
    </xf>
    <xf numFmtId="178" fontId="6" fillId="6" borderId="5" xfId="10" applyNumberFormat="1" applyFont="1" applyBorder="1" applyAlignment="1">
      <alignment horizontal="center" vertical="center"/>
    </xf>
    <xf numFmtId="0" fontId="6" fillId="6" borderId="5" xfId="10" applyFont="1" applyBorder="1" applyAlignment="1">
      <alignment horizontal="center" vertical="center"/>
    </xf>
    <xf numFmtId="0" fontId="4" fillId="6" borderId="6" xfId="10" applyFont="1" applyBorder="1" applyAlignment="1">
      <alignment horizontal="center" vertical="center"/>
    </xf>
    <xf numFmtId="0" fontId="10" fillId="2" borderId="1" xfId="12" applyNumberFormat="1" applyFont="1" applyBorder="1" applyAlignment="1">
      <alignment horizontal="center" vertical="center"/>
    </xf>
    <xf numFmtId="0" fontId="6" fillId="2" borderId="1" xfId="12" applyNumberFormat="1" applyFont="1" applyBorder="1" applyAlignment="1">
      <alignment horizontal="center" vertical="center"/>
    </xf>
    <xf numFmtId="0" fontId="13" fillId="2" borderId="1" xfId="12" applyBorder="1" applyAlignment="1">
      <alignment horizontal="center" vertical="center"/>
    </xf>
    <xf numFmtId="0" fontId="10" fillId="10" borderId="1" xfId="17" applyNumberFormat="1" applyFont="1" applyBorder="1" applyAlignment="1">
      <alignment horizontal="center" vertical="center"/>
    </xf>
    <xf numFmtId="0" fontId="13" fillId="10" borderId="14" xfId="17" applyBorder="1">
      <alignment vertical="center"/>
    </xf>
    <xf numFmtId="0" fontId="13" fillId="3" borderId="1" xfId="8" applyNumberFormat="1" applyBorder="1" applyAlignment="1">
      <alignment horizontal="center" vertical="center"/>
    </xf>
    <xf numFmtId="0" fontId="5" fillId="4" borderId="2" xfId="3" applyAlignment="1">
      <alignment horizontal="center" vertical="center"/>
    </xf>
    <xf numFmtId="176" fontId="13" fillId="5" borderId="1" xfId="14" applyNumberFormat="1" applyBorder="1" applyAlignment="1">
      <alignment horizontal="center" vertical="center"/>
    </xf>
    <xf numFmtId="49" fontId="13" fillId="6" borderId="1" xfId="10" applyNumberFormat="1" applyBorder="1" applyAlignment="1">
      <alignment horizontal="center" vertical="center"/>
    </xf>
    <xf numFmtId="0" fontId="0" fillId="12" borderId="3" xfId="1" applyFont="1" applyAlignment="1">
      <alignment horizontal="center" vertical="center"/>
    </xf>
    <xf numFmtId="49" fontId="13" fillId="13" borderId="1" xfId="4" applyNumberFormat="1" applyBorder="1" applyAlignment="1">
      <alignment horizontal="center" vertical="center"/>
    </xf>
    <xf numFmtId="49" fontId="2" fillId="12" borderId="3" xfId="1" applyNumberFormat="1" applyFont="1" applyAlignment="1">
      <alignment horizontal="center" vertical="center"/>
    </xf>
    <xf numFmtId="0" fontId="13" fillId="15" borderId="1" xfId="9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6" borderId="5" xfId="10" applyNumberFormat="1" applyFont="1" applyBorder="1" applyAlignment="1">
      <alignment horizontal="center" vertical="center"/>
    </xf>
    <xf numFmtId="49" fontId="4" fillId="11" borderId="1" xfId="13" applyNumberFormat="1" applyFont="1" applyBorder="1" applyAlignment="1">
      <alignment horizontal="left" vertical="center"/>
    </xf>
    <xf numFmtId="0" fontId="2" fillId="3" borderId="1" xfId="8" applyNumberFormat="1" applyFont="1" applyBorder="1" applyAlignment="1">
      <alignment horizontal="center" vertical="center"/>
    </xf>
    <xf numFmtId="0" fontId="11" fillId="4" borderId="2" xfId="3" applyFont="1" applyAlignment="1">
      <alignment horizontal="center" vertical="center"/>
    </xf>
    <xf numFmtId="49" fontId="2" fillId="6" borderId="1" xfId="10" applyNumberFormat="1" applyFont="1" applyBorder="1" applyAlignment="1">
      <alignment horizontal="center" vertical="center"/>
    </xf>
    <xf numFmtId="0" fontId="2" fillId="12" borderId="3" xfId="1" applyFont="1" applyAlignment="1">
      <alignment horizontal="center" vertical="center"/>
    </xf>
    <xf numFmtId="0" fontId="2" fillId="8" borderId="3" xfId="7" applyFont="1" applyBorder="1" applyAlignment="1">
      <alignment horizontal="center" vertical="center"/>
    </xf>
    <xf numFmtId="49" fontId="2" fillId="13" borderId="1" xfId="4" applyNumberFormat="1" applyFont="1" applyBorder="1" applyAlignment="1">
      <alignment horizontal="center" vertical="center"/>
    </xf>
    <xf numFmtId="49" fontId="2" fillId="14" borderId="3" xfId="16" applyNumberFormat="1" applyFont="1" applyBorder="1" applyAlignment="1">
      <alignment horizontal="center" vertical="center"/>
    </xf>
    <xf numFmtId="0" fontId="2" fillId="15" borderId="1" xfId="9" applyFont="1" applyBorder="1" applyAlignment="1">
      <alignment horizontal="center" vertical="center"/>
    </xf>
    <xf numFmtId="0" fontId="4" fillId="3" borderId="1" xfId="8" applyNumberFormat="1" applyFont="1" applyBorder="1" applyAlignment="1">
      <alignment horizontal="left" vertical="center"/>
    </xf>
    <xf numFmtId="0" fontId="3" fillId="3" borderId="1" xfId="8" applyFont="1" applyBorder="1" applyAlignment="1">
      <alignment horizontal="center" vertical="center"/>
    </xf>
    <xf numFmtId="0" fontId="13" fillId="3" borderId="1" xfId="8" applyBorder="1">
      <alignment vertical="center"/>
    </xf>
    <xf numFmtId="0" fontId="13" fillId="3" borderId="3" xfId="8" applyBorder="1" applyAlignment="1">
      <alignment horizontal="center" vertical="center"/>
    </xf>
    <xf numFmtId="0" fontId="3" fillId="3" borderId="1" xfId="8" applyNumberFormat="1" applyFont="1" applyBorder="1" applyAlignment="1">
      <alignment horizontal="center" vertical="center"/>
    </xf>
    <xf numFmtId="0" fontId="3" fillId="6" borderId="1" xfId="10" applyNumberFormat="1" applyFont="1" applyBorder="1" applyAlignment="1">
      <alignment horizontal="center" vertical="center"/>
    </xf>
    <xf numFmtId="0" fontId="3" fillId="7" borderId="1" xfId="11" applyNumberFormat="1" applyFont="1" applyBorder="1" applyAlignment="1">
      <alignment horizontal="center" vertical="center"/>
    </xf>
    <xf numFmtId="0" fontId="3" fillId="16" borderId="1" xfId="18" applyNumberFormat="1" applyFont="1" applyBorder="1" applyAlignment="1">
      <alignment horizontal="center" vertical="center"/>
    </xf>
    <xf numFmtId="176" fontId="4" fillId="2" borderId="1" xfId="12" applyNumberFormat="1" applyFont="1" applyBorder="1" applyAlignment="1">
      <alignment horizontal="left" vertical="center"/>
    </xf>
    <xf numFmtId="176" fontId="13" fillId="2" borderId="1" xfId="12" applyNumberFormat="1" applyBorder="1">
      <alignment vertical="center"/>
    </xf>
    <xf numFmtId="0" fontId="13" fillId="2" borderId="1" xfId="12" applyNumberFormat="1" applyBorder="1">
      <alignment vertical="center"/>
    </xf>
    <xf numFmtId="0" fontId="3" fillId="2" borderId="1" xfId="12" applyNumberFormat="1" applyFont="1" applyBorder="1" applyAlignment="1">
      <alignment horizontal="center" vertical="center"/>
    </xf>
    <xf numFmtId="176" fontId="3" fillId="2" borderId="1" xfId="12" applyNumberFormat="1" applyFont="1" applyBorder="1">
      <alignment vertical="center"/>
    </xf>
    <xf numFmtId="176" fontId="3" fillId="16" borderId="1" xfId="18" applyNumberFormat="1" applyFont="1" applyBorder="1">
      <alignment vertical="center"/>
    </xf>
    <xf numFmtId="176" fontId="12" fillId="9" borderId="1" xfId="2" applyNumberFormat="1" applyFont="1">
      <alignment vertical="center"/>
    </xf>
    <xf numFmtId="176" fontId="3" fillId="17" borderId="1" xfId="6" applyNumberFormat="1" applyFont="1" applyBorder="1">
      <alignment vertical="center"/>
    </xf>
    <xf numFmtId="0" fontId="4" fillId="16" borderId="1" xfId="18" applyNumberFormat="1" applyFont="1" applyBorder="1" applyAlignment="1">
      <alignment horizontal="left" vertical="center"/>
    </xf>
    <xf numFmtId="0" fontId="13" fillId="16" borderId="1" xfId="18" applyNumberFormat="1" applyBorder="1" applyAlignment="1">
      <alignment horizontal="center" vertical="center"/>
    </xf>
    <xf numFmtId="0" fontId="3" fillId="16" borderId="1" xfId="18" applyFont="1" applyBorder="1" applyAlignment="1">
      <alignment horizontal="center" vertical="center"/>
    </xf>
    <xf numFmtId="0" fontId="13" fillId="16" borderId="1" xfId="18" applyBorder="1">
      <alignment vertical="center"/>
    </xf>
    <xf numFmtId="0" fontId="3" fillId="16" borderId="1" xfId="18" applyNumberFormat="1" applyFont="1" applyBorder="1">
      <alignment vertical="center"/>
    </xf>
    <xf numFmtId="0" fontId="3" fillId="18" borderId="1" xfId="15" applyNumberFormat="1" applyFont="1" applyBorder="1" applyAlignment="1">
      <alignment horizontal="center" vertical="center"/>
    </xf>
    <xf numFmtId="0" fontId="4" fillId="19" borderId="1" xfId="5" applyNumberFormat="1" applyFont="1" applyBorder="1" applyAlignment="1">
      <alignment horizontal="left" vertical="center"/>
    </xf>
    <xf numFmtId="0" fontId="13" fillId="19" borderId="1" xfId="5" applyNumberFormat="1" applyBorder="1">
      <alignment vertical="center"/>
    </xf>
    <xf numFmtId="0" fontId="3" fillId="19" borderId="1" xfId="5" applyFont="1" applyBorder="1" applyAlignment="1">
      <alignment horizontal="center" vertical="center"/>
    </xf>
    <xf numFmtId="0" fontId="13" fillId="19" borderId="1" xfId="5" applyBorder="1">
      <alignment vertical="center"/>
    </xf>
    <xf numFmtId="0" fontId="3" fillId="19" borderId="1" xfId="5" applyNumberFormat="1" applyFont="1" applyBorder="1">
      <alignment vertical="center"/>
    </xf>
    <xf numFmtId="0" fontId="3" fillId="19" borderId="1" xfId="5" applyNumberFormat="1" applyFont="1" applyBorder="1" applyAlignment="1">
      <alignment horizontal="center" vertical="center"/>
    </xf>
    <xf numFmtId="0" fontId="12" fillId="12" borderId="3" xfId="1" applyNumberFormat="1" applyFont="1" applyAlignment="1">
      <alignment horizontal="center" vertical="center"/>
    </xf>
    <xf numFmtId="0" fontId="12" fillId="9" borderId="1" xfId="2" applyNumberFormat="1" applyFont="1" applyAlignment="1">
      <alignment horizontal="left" vertical="center"/>
    </xf>
    <xf numFmtId="0" fontId="12" fillId="9" borderId="1" xfId="2" applyNumberFormat="1" applyFont="1" applyAlignment="1">
      <alignment horizontal="center" vertical="center"/>
    </xf>
    <xf numFmtId="0" fontId="12" fillId="9" borderId="1" xfId="2" applyFont="1" applyAlignment="1">
      <alignment horizontal="center" vertical="center"/>
    </xf>
    <xf numFmtId="0" fontId="3" fillId="2" borderId="0" xfId="12" applyFont="1">
      <alignment vertical="center"/>
    </xf>
    <xf numFmtId="0" fontId="13" fillId="7" borderId="3" xfId="11" applyBorder="1" applyAlignment="1">
      <alignment horizontal="center" vertical="center"/>
    </xf>
    <xf numFmtId="0" fontId="6" fillId="9" borderId="1" xfId="2" applyFont="1" applyAlignment="1">
      <alignment horizontal="center" vertical="center"/>
    </xf>
    <xf numFmtId="0" fontId="6" fillId="10" borderId="1" xfId="17" applyFont="1" applyBorder="1" applyAlignment="1">
      <alignment horizontal="center" vertical="center"/>
    </xf>
    <xf numFmtId="0" fontId="13" fillId="10" borderId="1" xfId="17" applyBorder="1" applyAlignment="1">
      <alignment horizontal="center" vertical="center"/>
    </xf>
    <xf numFmtId="49" fontId="13" fillId="14" borderId="3" xfId="16" applyNumberFormat="1" applyBorder="1" applyAlignment="1">
      <alignment horizontal="center" vertical="center"/>
    </xf>
    <xf numFmtId="0" fontId="6" fillId="2" borderId="11" xfId="12" applyFont="1" applyBorder="1" applyAlignment="1">
      <alignment horizontal="center" vertical="center"/>
    </xf>
    <xf numFmtId="0" fontId="6" fillId="2" borderId="0" xfId="12" applyFont="1" applyBorder="1" applyAlignment="1">
      <alignment horizontal="center" vertical="center"/>
    </xf>
    <xf numFmtId="0" fontId="6" fillId="2" borderId="12" xfId="12" applyFont="1" applyBorder="1" applyAlignment="1">
      <alignment horizontal="center" vertical="center"/>
    </xf>
    <xf numFmtId="0" fontId="6" fillId="10" borderId="1" xfId="17" applyFont="1" applyBorder="1" applyAlignment="1">
      <alignment horizontal="center" vertical="center"/>
    </xf>
    <xf numFmtId="0" fontId="13" fillId="10" borderId="1" xfId="17" applyBorder="1" applyAlignment="1">
      <alignment horizontal="center" vertical="center"/>
    </xf>
    <xf numFmtId="49" fontId="13" fillId="13" borderId="0" xfId="4" applyNumberFormat="1" applyAlignment="1">
      <alignment horizontal="center" vertical="center"/>
    </xf>
    <xf numFmtId="49" fontId="13" fillId="13" borderId="13" xfId="4" applyNumberFormat="1" applyBorder="1" applyAlignment="1">
      <alignment horizontal="center" vertical="center"/>
    </xf>
    <xf numFmtId="49" fontId="0" fillId="12" borderId="3" xfId="1" applyNumberFormat="1" applyFont="1" applyAlignment="1">
      <alignment horizontal="center" vertical="center"/>
    </xf>
    <xf numFmtId="49" fontId="13" fillId="14" borderId="3" xfId="16" applyNumberFormat="1" applyBorder="1" applyAlignment="1">
      <alignment horizontal="center" vertical="center"/>
    </xf>
    <xf numFmtId="0" fontId="13" fillId="15" borderId="0" xfId="9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12" applyFont="1" applyAlignment="1">
      <alignment horizontal="center" vertical="center"/>
    </xf>
    <xf numFmtId="0" fontId="13" fillId="7" borderId="3" xfId="11" applyBorder="1" applyAlignment="1">
      <alignment horizontal="center" vertical="center"/>
    </xf>
    <xf numFmtId="0" fontId="6" fillId="9" borderId="1" xfId="2" applyFont="1" applyAlignment="1">
      <alignment horizontal="center" vertical="center"/>
    </xf>
    <xf numFmtId="0" fontId="6" fillId="5" borderId="1" xfId="14" applyFont="1" applyBorder="1" applyAlignment="1">
      <alignment horizontal="center" vertical="center"/>
    </xf>
    <xf numFmtId="0" fontId="6" fillId="6" borderId="8" xfId="10" applyFont="1" applyBorder="1" applyAlignment="1">
      <alignment horizontal="center" vertical="center"/>
    </xf>
    <xf numFmtId="0" fontId="6" fillId="6" borderId="9" xfId="10" applyFont="1" applyBorder="1" applyAlignment="1">
      <alignment horizontal="center" vertical="center"/>
    </xf>
    <xf numFmtId="0" fontId="6" fillId="6" borderId="10" xfId="10" applyFont="1" applyBorder="1" applyAlignment="1">
      <alignment horizontal="center" vertical="center"/>
    </xf>
  </cellXfs>
  <cellStyles count="19">
    <cellStyle name="20% - 着色 1" xfId="4" builtinId="30"/>
    <cellStyle name="20% - 着色 2" xfId="7" builtinId="34"/>
    <cellStyle name="20% - 着色 5" xfId="13" builtinId="46"/>
    <cellStyle name="20% - 着色 6" xfId="16" builtinId="50"/>
    <cellStyle name="40% - 着色 1" xfId="5" builtinId="31"/>
    <cellStyle name="40% - 着色 2" xfId="8" builtinId="35"/>
    <cellStyle name="40% - 着色 3" xfId="9" builtinId="39"/>
    <cellStyle name="40% - 着色 4" xfId="11" builtinId="43"/>
    <cellStyle name="40% - 着色 5" xfId="14" builtinId="47"/>
    <cellStyle name="40% - 着色 6" xfId="17" builtinId="51"/>
    <cellStyle name="60% - 着色 1" xfId="6" builtinId="32"/>
    <cellStyle name="60% - 着色 3" xfId="10" builtinId="40"/>
    <cellStyle name="60% - 着色 4" xfId="12" builtinId="44"/>
    <cellStyle name="60% - 着色 5" xfId="15" builtinId="48"/>
    <cellStyle name="60% - 着色 6" xfId="18" builtinId="52"/>
    <cellStyle name="常规" xfId="0" builtinId="0"/>
    <cellStyle name="输出" xfId="3" builtinId="21"/>
    <cellStyle name="输入" xfId="2" builtinId="20"/>
    <cellStyle name="注释" xfId="1" builtinId="10"/>
  </cellStyles>
  <dxfs count="32">
    <dxf>
      <fill>
        <patternFill patternType="solid">
          <bgColor theme="4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FF0000"/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120650</xdr:colOff>
      <xdr:row>429</xdr:row>
      <xdr:rowOff>158750</xdr:rowOff>
    </xdr:from>
    <xdr:ext cx="65" cy="156352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404610" y="778891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408</xdr:row>
      <xdr:rowOff>158750</xdr:rowOff>
    </xdr:from>
    <xdr:ext cx="65" cy="156352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04610" y="740886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388</xdr:row>
      <xdr:rowOff>158750</xdr:rowOff>
    </xdr:from>
    <xdr:ext cx="65" cy="156352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04610" y="704691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366</xdr:row>
      <xdr:rowOff>158750</xdr:rowOff>
    </xdr:from>
    <xdr:ext cx="65" cy="156352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404610" y="66487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341</xdr:row>
      <xdr:rowOff>158750</xdr:rowOff>
    </xdr:from>
    <xdr:ext cx="65" cy="156352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404610" y="619633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316</xdr:row>
      <xdr:rowOff>158750</xdr:rowOff>
    </xdr:from>
    <xdr:ext cx="65" cy="156352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404610" y="574389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289</xdr:row>
      <xdr:rowOff>158750</xdr:rowOff>
    </xdr:from>
    <xdr:ext cx="65" cy="156352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404610" y="525526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263</xdr:row>
      <xdr:rowOff>158750</xdr:rowOff>
    </xdr:from>
    <xdr:ext cx="65" cy="156352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404610" y="478472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238</xdr:row>
      <xdr:rowOff>158750</xdr:rowOff>
    </xdr:from>
    <xdr:ext cx="65" cy="156352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404610" y="43322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219</xdr:row>
      <xdr:rowOff>158750</xdr:rowOff>
    </xdr:from>
    <xdr:ext cx="65" cy="156352"/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404610" y="39884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202</xdr:row>
      <xdr:rowOff>158750</xdr:rowOff>
    </xdr:from>
    <xdr:ext cx="65" cy="156352"/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404610" y="368077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193</xdr:row>
      <xdr:rowOff>158750</xdr:rowOff>
    </xdr:from>
    <xdr:ext cx="65" cy="156352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404610" y="351790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176</xdr:row>
      <xdr:rowOff>158750</xdr:rowOff>
    </xdr:from>
    <xdr:ext cx="65" cy="156352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404610" y="321024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169</xdr:row>
      <xdr:rowOff>158750</xdr:rowOff>
    </xdr:from>
    <xdr:ext cx="65" cy="156352"/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404610" y="308356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152</xdr:row>
      <xdr:rowOff>158750</xdr:rowOff>
    </xdr:from>
    <xdr:ext cx="65" cy="156352"/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404610" y="277590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145</xdr:row>
      <xdr:rowOff>158750</xdr:rowOff>
    </xdr:from>
    <xdr:ext cx="65" cy="156352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404610" y="264922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128</xdr:row>
      <xdr:rowOff>158750</xdr:rowOff>
    </xdr:from>
    <xdr:ext cx="65" cy="156352"/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404610" y="234156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120</xdr:row>
      <xdr:rowOff>158750</xdr:rowOff>
    </xdr:from>
    <xdr:ext cx="65" cy="156352"/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404610" y="219678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103</xdr:row>
      <xdr:rowOff>158750</xdr:rowOff>
    </xdr:from>
    <xdr:ext cx="65" cy="156352"/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404610" y="188912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83</xdr:row>
      <xdr:rowOff>158750</xdr:rowOff>
    </xdr:from>
    <xdr:ext cx="65" cy="156352"/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404610" y="152717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58</xdr:row>
      <xdr:rowOff>158750</xdr:rowOff>
    </xdr:from>
    <xdr:ext cx="65" cy="156352"/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404610" y="107473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33</xdr:row>
      <xdr:rowOff>158750</xdr:rowOff>
    </xdr:from>
    <xdr:ext cx="65" cy="156352"/>
    <xdr:sp macro="" textlink="">
      <xdr:nvSpPr>
        <xdr:cNvPr id="23" name="文本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404610" y="62230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8</xdr:row>
      <xdr:rowOff>158750</xdr:rowOff>
    </xdr:from>
    <xdr:ext cx="65" cy="156352"/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404610" y="16986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J592"/>
  <sheetViews>
    <sheetView tabSelected="1" topLeftCell="A452" workbookViewId="0">
      <selection activeCell="I463" sqref="I463"/>
    </sheetView>
  </sheetViews>
  <sheetFormatPr defaultColWidth="9" defaultRowHeight="15.95"/>
  <cols>
    <col min="1" max="1" width="9.875" style="7" customWidth="1"/>
    <col min="2" max="2" width="4" style="8" customWidth="1"/>
    <col min="3" max="3" width="4" style="9" customWidth="1"/>
    <col min="4" max="4" width="4.125" style="10" customWidth="1"/>
    <col min="5" max="5" width="4.625" style="11" customWidth="1"/>
    <col min="6" max="6" width="3.875" style="12" customWidth="1"/>
    <col min="7" max="11" width="3.875" style="13" customWidth="1"/>
    <col min="12" max="12" width="4.125" style="13" customWidth="1"/>
    <col min="13" max="15" width="3.875" style="13" customWidth="1"/>
    <col min="16" max="16" width="4" style="13" customWidth="1"/>
    <col min="17" max="18" width="3.625" customWidth="1"/>
    <col min="19" max="19" width="2.5" customWidth="1"/>
    <col min="20" max="20" width="3" style="14" customWidth="1"/>
    <col min="21" max="21" width="9.5" style="15" customWidth="1"/>
    <col min="22" max="22" width="5.125" style="16" customWidth="1"/>
    <col min="23" max="23" width="5.375" style="16" customWidth="1"/>
    <col min="24" max="24" width="4.875" style="16" customWidth="1"/>
    <col min="25" max="26" width="5.125" style="16" customWidth="1"/>
    <col min="27" max="27" width="4.875" style="16" customWidth="1"/>
    <col min="28" max="28" width="5" style="16" customWidth="1"/>
    <col min="29" max="29" width="6.125" style="16" customWidth="1"/>
    <col min="30" max="30" width="5.5" style="16" customWidth="1"/>
    <col min="31" max="32" width="6.375" style="16" customWidth="1"/>
    <col min="33" max="33" width="4.875" style="16" customWidth="1"/>
    <col min="34" max="35" width="5.875" style="16" customWidth="1"/>
    <col min="36" max="37" width="5.125" style="16" customWidth="1"/>
    <col min="38" max="38" width="6.125" style="16" customWidth="1"/>
    <col min="39" max="39" width="6" style="16" customWidth="1"/>
    <col min="40" max="41" width="6.375" style="16" customWidth="1"/>
    <col min="42" max="42" width="6" style="16" customWidth="1"/>
    <col min="43" max="43" width="5.875" style="16" customWidth="1"/>
    <col min="44" max="44" width="5" style="16" customWidth="1"/>
    <col min="45" max="45" width="4.875" style="16" customWidth="1"/>
    <col min="46" max="47" width="5.375" style="16" customWidth="1"/>
    <col min="48" max="48" width="6.125" style="16" customWidth="1"/>
    <col min="49" max="49" width="6.375" style="16" customWidth="1"/>
    <col min="50" max="50" width="7" style="16" customWidth="1"/>
    <col min="51" max="51" width="6.375" style="16" customWidth="1"/>
    <col min="52" max="52" width="6.5" customWidth="1"/>
    <col min="53" max="53" width="5.125" customWidth="1"/>
    <col min="54" max="54" width="5.375" customWidth="1"/>
    <col min="55" max="56" width="4.875" customWidth="1"/>
    <col min="57" max="57" width="5.375" customWidth="1"/>
    <col min="58" max="59" width="6.375" customWidth="1"/>
    <col min="60" max="61" width="6.125" customWidth="1"/>
    <col min="62" max="62" width="7.5" style="17" customWidth="1"/>
    <col min="63" max="63" width="5.375" style="13" customWidth="1"/>
    <col min="64" max="64" width="4" style="13" customWidth="1"/>
    <col min="65" max="65" width="3.375" style="18" customWidth="1"/>
    <col min="66" max="66" width="3.375" style="19" customWidth="1"/>
    <col min="67" max="67" width="12" style="19" customWidth="1"/>
    <col min="68" max="68" width="6" style="20" customWidth="1"/>
    <col min="69" max="70" width="3.125" style="21" customWidth="1"/>
    <col min="71" max="71" width="13.125" style="21" customWidth="1"/>
    <col min="72" max="72" width="6" style="20" customWidth="1"/>
    <col min="73" max="74" width="3.375" style="22" customWidth="1"/>
    <col min="75" max="75" width="13.625" style="22" customWidth="1"/>
    <col min="76" max="76" width="6.625" style="20" customWidth="1"/>
    <col min="77" max="77" width="5.875" style="23" customWidth="1"/>
    <col min="78" max="78" width="3.375" style="24" customWidth="1"/>
    <col min="79" max="79" width="8.625" style="25"/>
    <col min="80" max="80" width="8.625" style="26"/>
    <col min="81" max="81" width="5.875" style="27" customWidth="1"/>
    <col min="82" max="82" width="4.5" style="27" customWidth="1"/>
    <col min="83" max="83" width="8.625" style="27"/>
    <col min="84" max="84" width="8.625" style="17"/>
    <col min="85" max="86" width="5.875" style="22" customWidth="1"/>
    <col min="87" max="87" width="8.625" style="22"/>
    <col min="88" max="88" width="8.625" style="28"/>
  </cols>
  <sheetData>
    <row r="1" spans="1:88" s="1" customFormat="1" ht="17.100000000000001" customHeight="1">
      <c r="A1" s="116" t="s">
        <v>0</v>
      </c>
      <c r="B1" s="117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8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2"/>
      <c r="BK1" s="2"/>
      <c r="BL1" s="2"/>
      <c r="BM1" s="119" t="s">
        <v>1</v>
      </c>
      <c r="BN1" s="119"/>
      <c r="BO1" s="119"/>
      <c r="BP1" s="29"/>
      <c r="BQ1" s="120" t="s">
        <v>2</v>
      </c>
      <c r="BR1" s="120"/>
      <c r="BS1" s="120"/>
      <c r="BT1" s="30"/>
      <c r="BU1" s="109" t="s">
        <v>3</v>
      </c>
      <c r="BV1" s="109"/>
      <c r="BW1" s="109"/>
      <c r="BX1" s="31"/>
      <c r="BY1" s="121" t="s">
        <v>1</v>
      </c>
      <c r="BZ1" s="122"/>
      <c r="CA1" s="122"/>
      <c r="CB1" s="123"/>
      <c r="CC1" s="106" t="s">
        <v>2</v>
      </c>
      <c r="CD1" s="107"/>
      <c r="CE1" s="107"/>
      <c r="CF1" s="108"/>
      <c r="CG1" s="109" t="s">
        <v>3</v>
      </c>
      <c r="CH1" s="109"/>
      <c r="CI1" s="109"/>
      <c r="CJ1" s="109"/>
    </row>
    <row r="2" spans="1:88" ht="18">
      <c r="A2" s="32" t="s">
        <v>4</v>
      </c>
      <c r="B2" s="8" t="s">
        <v>5</v>
      </c>
      <c r="C2" s="9" t="s">
        <v>6</v>
      </c>
      <c r="D2" s="10" t="s">
        <v>7</v>
      </c>
      <c r="E2" s="11" t="s">
        <v>8</v>
      </c>
      <c r="F2" s="12" t="s">
        <v>9</v>
      </c>
      <c r="G2" s="110" t="s">
        <v>10</v>
      </c>
      <c r="H2" s="110"/>
      <c r="I2" s="110"/>
      <c r="J2" s="110"/>
      <c r="K2" s="110"/>
      <c r="L2" s="110"/>
      <c r="M2" s="110"/>
      <c r="N2" s="110"/>
      <c r="O2" s="110"/>
      <c r="P2" s="110"/>
      <c r="Q2" s="33" t="s">
        <v>1</v>
      </c>
      <c r="R2" s="33" t="s">
        <v>2</v>
      </c>
      <c r="S2" s="33" t="s">
        <v>3</v>
      </c>
      <c r="T2" s="101" t="s">
        <v>11</v>
      </c>
      <c r="U2" s="15" t="s">
        <v>12</v>
      </c>
      <c r="V2" s="111" t="s">
        <v>13</v>
      </c>
      <c r="W2" s="111"/>
      <c r="X2" s="111"/>
      <c r="Y2" s="111"/>
      <c r="Z2" s="111"/>
      <c r="AA2" s="111"/>
      <c r="AB2" s="111"/>
      <c r="AC2" s="111"/>
      <c r="AD2" s="111"/>
      <c r="AE2" s="112"/>
      <c r="AF2" s="113" t="s">
        <v>14</v>
      </c>
      <c r="AG2" s="113"/>
      <c r="AH2" s="113"/>
      <c r="AI2" s="113"/>
      <c r="AJ2" s="113"/>
      <c r="AK2" s="113"/>
      <c r="AL2" s="113"/>
      <c r="AM2" s="113"/>
      <c r="AN2" s="113"/>
      <c r="AO2" s="113"/>
      <c r="AP2" s="114" t="s">
        <v>15</v>
      </c>
      <c r="AQ2" s="114"/>
      <c r="AR2" s="114"/>
      <c r="AS2" s="114"/>
      <c r="AT2" s="114"/>
      <c r="AU2" s="114"/>
      <c r="AV2" s="114"/>
      <c r="AW2" s="114"/>
      <c r="AX2" s="114"/>
      <c r="AY2" s="114"/>
      <c r="AZ2" s="115" t="s">
        <v>16</v>
      </c>
      <c r="BA2" s="115"/>
      <c r="BB2" s="115"/>
      <c r="BC2" s="115"/>
      <c r="BD2" s="115"/>
      <c r="BE2" s="115"/>
      <c r="BF2" s="115"/>
      <c r="BG2" s="115"/>
      <c r="BH2" s="115"/>
      <c r="BI2" s="115"/>
      <c r="BJ2" s="17" t="s">
        <v>17</v>
      </c>
      <c r="BK2" s="13" t="s">
        <v>18</v>
      </c>
      <c r="BL2" s="13" t="s">
        <v>19</v>
      </c>
      <c r="BM2" s="34" t="s">
        <v>20</v>
      </c>
      <c r="BN2" s="102" t="s">
        <v>21</v>
      </c>
      <c r="BO2" s="102" t="s">
        <v>22</v>
      </c>
      <c r="BP2" s="35"/>
      <c r="BQ2" s="36" t="s">
        <v>20</v>
      </c>
      <c r="BR2" s="36" t="s">
        <v>21</v>
      </c>
      <c r="BS2" s="36" t="s">
        <v>22</v>
      </c>
      <c r="BT2" s="37"/>
      <c r="BU2" s="38" t="s">
        <v>20</v>
      </c>
      <c r="BV2" s="103" t="s">
        <v>21</v>
      </c>
      <c r="BW2" s="103" t="s">
        <v>22</v>
      </c>
      <c r="BX2" s="39"/>
      <c r="BY2" s="40" t="s">
        <v>23</v>
      </c>
      <c r="BZ2" s="41" t="s">
        <v>24</v>
      </c>
      <c r="CA2" s="42" t="s">
        <v>25</v>
      </c>
      <c r="CB2" s="43"/>
      <c r="CC2" s="44" t="s">
        <v>23</v>
      </c>
      <c r="CD2" s="45" t="s">
        <v>24</v>
      </c>
      <c r="CE2" s="45" t="s">
        <v>25</v>
      </c>
      <c r="CF2" s="46"/>
      <c r="CG2" s="47" t="s">
        <v>23</v>
      </c>
      <c r="CH2" s="103" t="s">
        <v>24</v>
      </c>
      <c r="CI2" s="103" t="s">
        <v>25</v>
      </c>
      <c r="CJ2" s="48"/>
    </row>
    <row r="3" spans="1:88">
      <c r="A3" s="32">
        <v>2024130</v>
      </c>
      <c r="B3" s="8" t="s">
        <v>26</v>
      </c>
      <c r="C3" s="49">
        <f t="shared" ref="C3:C27" si="0">LEFT(B3,1)+MID(B3,2,1)+RIGHT(B3,1)</f>
        <v>12</v>
      </c>
      <c r="D3" s="50">
        <f t="shared" ref="D3:D27" si="1">MOD(LEFT(B3,1)+MID(B3,2,1)+RIGHT(B3,1),10)</f>
        <v>2</v>
      </c>
      <c r="E3" s="51">
        <f>C3/3</f>
        <v>4</v>
      </c>
      <c r="F3" s="52">
        <f>MAX(MID(B3,{1,2,3},1)*1)-MIN(MID(B3,{1,2,3},1)*1)</f>
        <v>6</v>
      </c>
      <c r="G3" s="104">
        <v>0</v>
      </c>
      <c r="H3" s="104">
        <v>1</v>
      </c>
      <c r="I3" s="104">
        <v>2</v>
      </c>
      <c r="J3" s="104">
        <v>3</v>
      </c>
      <c r="K3" s="104">
        <v>4</v>
      </c>
      <c r="L3" s="104">
        <v>5</v>
      </c>
      <c r="M3" s="104">
        <v>6</v>
      </c>
      <c r="N3" s="104">
        <v>7</v>
      </c>
      <c r="O3" s="104">
        <v>8</v>
      </c>
      <c r="P3" s="104">
        <v>9</v>
      </c>
      <c r="Q3" s="53">
        <f t="shared" ref="Q3:Q27" si="2">ABS(LEFT(B3,1)-MID(B3,2,1))</f>
        <v>6</v>
      </c>
      <c r="R3" s="53">
        <f t="shared" ref="R3:R27" si="3">ABS(LEFT(B3,1)-RIGHT(B3,1))</f>
        <v>6</v>
      </c>
      <c r="S3" s="53">
        <f t="shared" ref="S3:S27" si="4">ABS(MID(B3,2,1)-RIGHT(B3,1))</f>
        <v>0</v>
      </c>
      <c r="T3" s="101">
        <f>Q3+R3+S3</f>
        <v>12</v>
      </c>
      <c r="U3" s="15" t="str">
        <f>_xlfn.TEXTJOIN(", ",TRUE,ABS(MID(B3,{1,1,2},1)-MID(B3,{2,3,3},1)))</f>
        <v>6, 6, 0</v>
      </c>
      <c r="V3" s="54">
        <v>0</v>
      </c>
      <c r="W3" s="54">
        <v>1</v>
      </c>
      <c r="X3" s="54">
        <v>2</v>
      </c>
      <c r="Y3" s="54">
        <v>3</v>
      </c>
      <c r="Z3" s="54">
        <v>4</v>
      </c>
      <c r="AA3" s="54">
        <v>5</v>
      </c>
      <c r="AB3" s="54">
        <v>6</v>
      </c>
      <c r="AC3" s="54">
        <v>7</v>
      </c>
      <c r="AD3" s="54">
        <v>8</v>
      </c>
      <c r="AE3" s="54">
        <v>9</v>
      </c>
      <c r="AF3" s="55">
        <v>0</v>
      </c>
      <c r="AG3" s="55">
        <v>1</v>
      </c>
      <c r="AH3" s="55">
        <v>2</v>
      </c>
      <c r="AI3" s="55">
        <v>3</v>
      </c>
      <c r="AJ3" s="55">
        <v>4</v>
      </c>
      <c r="AK3" s="55">
        <v>5</v>
      </c>
      <c r="AL3" s="55">
        <v>6</v>
      </c>
      <c r="AM3" s="55">
        <v>7</v>
      </c>
      <c r="AN3" s="55">
        <v>8</v>
      </c>
      <c r="AO3" s="55">
        <v>9</v>
      </c>
      <c r="AP3" s="105">
        <v>0</v>
      </c>
      <c r="AQ3" s="105">
        <v>1</v>
      </c>
      <c r="AR3" s="105">
        <v>2</v>
      </c>
      <c r="AS3" s="105">
        <v>3</v>
      </c>
      <c r="AT3" s="105">
        <v>4</v>
      </c>
      <c r="AU3" s="105">
        <v>5</v>
      </c>
      <c r="AV3" s="105">
        <v>6</v>
      </c>
      <c r="AW3" s="105">
        <v>7</v>
      </c>
      <c r="AX3" s="105">
        <v>8</v>
      </c>
      <c r="AY3" s="105">
        <v>9</v>
      </c>
      <c r="AZ3" s="56">
        <v>0</v>
      </c>
      <c r="BA3" s="56">
        <v>1</v>
      </c>
      <c r="BB3" s="56">
        <v>2</v>
      </c>
      <c r="BC3" s="56">
        <v>3</v>
      </c>
      <c r="BD3" s="56">
        <v>4</v>
      </c>
      <c r="BE3" s="56">
        <v>5</v>
      </c>
      <c r="BF3" s="56">
        <v>6</v>
      </c>
      <c r="BG3" s="56">
        <v>7</v>
      </c>
      <c r="BH3" s="56">
        <v>8</v>
      </c>
      <c r="BI3" s="56">
        <v>9</v>
      </c>
      <c r="BJ3" s="57" t="str">
        <f>IF(AND(BK3&lt;=1,BL3&lt;=4),"紧凑型",IF(OR(BK3&gt;=3,BL3&gt;=6),"松散型",IF(AND(BK3&gt;=1,BL3&lt;=5),"标准型","对子")))</f>
        <v>松散型</v>
      </c>
      <c r="BK3" s="13">
        <f t="shared" ref="BK3:BK66" si="5">MIN(ABS(INT(B3/100)-INT(MOD(B3,100)/10)),ABS(INT(B3/100)-MOD(B3,10)),ABS(INT(MOD(B3,100)/10)-MOD(B3,10)))</f>
        <v>0</v>
      </c>
      <c r="BL3" s="13">
        <f t="shared" ref="BL3:BL66" si="6">MAX(ABS(INT(B3/100)-INT(MOD(B3,100)/10)),ABS(INT(B3/100)-MOD(B3,10)),ABS(INT(MOD(B3,100)/10)-MOD(B3,10)))</f>
        <v>6</v>
      </c>
      <c r="BP3" s="35"/>
      <c r="BT3" s="37"/>
      <c r="BX3" s="39"/>
      <c r="CB3" s="43"/>
      <c r="CF3" s="46"/>
      <c r="CJ3" s="48"/>
    </row>
    <row r="4" spans="1:88">
      <c r="A4" s="32">
        <v>2024131</v>
      </c>
      <c r="B4" s="8" t="s">
        <v>27</v>
      </c>
      <c r="C4" s="49">
        <f t="shared" si="0"/>
        <v>15</v>
      </c>
      <c r="D4" s="50">
        <f t="shared" si="1"/>
        <v>5</v>
      </c>
      <c r="E4" s="51">
        <f t="shared" ref="E4:E67" si="7">C4/3</f>
        <v>5</v>
      </c>
      <c r="F4" s="52">
        <f>MAX(MID(B4,{1,2,3},1)*1)-MIN(MID(B4,{1,2,3},1)*1)</f>
        <v>9</v>
      </c>
      <c r="G4" s="104">
        <v>0</v>
      </c>
      <c r="H4" s="104">
        <v>1</v>
      </c>
      <c r="I4" s="104">
        <v>2</v>
      </c>
      <c r="J4" s="104">
        <v>3</v>
      </c>
      <c r="K4" s="104">
        <v>4</v>
      </c>
      <c r="L4" s="104">
        <v>5</v>
      </c>
      <c r="M4" s="104">
        <v>6</v>
      </c>
      <c r="N4" s="104">
        <v>7</v>
      </c>
      <c r="O4" s="104">
        <v>8</v>
      </c>
      <c r="P4" s="104">
        <v>9</v>
      </c>
      <c r="Q4" s="53">
        <f t="shared" si="2"/>
        <v>6</v>
      </c>
      <c r="R4" s="53">
        <f t="shared" si="3"/>
        <v>9</v>
      </c>
      <c r="S4" s="53">
        <f t="shared" si="4"/>
        <v>3</v>
      </c>
      <c r="T4" s="101">
        <f t="shared" ref="T4:T67" si="8">Q4+R4+S4</f>
        <v>18</v>
      </c>
      <c r="U4" s="15" t="str">
        <f>_xlfn.TEXTJOIN(", ",TRUE,ABS(MID(B4,{1,1,2},1)-MID(B4,{2,3,3},1)))</f>
        <v>6, 9, 3</v>
      </c>
      <c r="V4" s="54">
        <v>0</v>
      </c>
      <c r="W4" s="54">
        <v>1</v>
      </c>
      <c r="X4" s="54">
        <v>2</v>
      </c>
      <c r="Y4" s="54">
        <v>3</v>
      </c>
      <c r="Z4" s="54">
        <v>4</v>
      </c>
      <c r="AA4" s="54">
        <v>5</v>
      </c>
      <c r="AB4" s="54">
        <v>6</v>
      </c>
      <c r="AC4" s="54">
        <v>7</v>
      </c>
      <c r="AD4" s="54">
        <v>8</v>
      </c>
      <c r="AE4" s="54">
        <v>9</v>
      </c>
      <c r="AF4" s="55">
        <v>0</v>
      </c>
      <c r="AG4" s="55">
        <v>1</v>
      </c>
      <c r="AH4" s="55">
        <v>2</v>
      </c>
      <c r="AI4" s="55">
        <v>3</v>
      </c>
      <c r="AJ4" s="55">
        <v>4</v>
      </c>
      <c r="AK4" s="55">
        <v>5</v>
      </c>
      <c r="AL4" s="55">
        <v>6</v>
      </c>
      <c r="AM4" s="55">
        <v>7</v>
      </c>
      <c r="AN4" s="55">
        <v>8</v>
      </c>
      <c r="AO4" s="55">
        <v>9</v>
      </c>
      <c r="AP4" s="105">
        <v>0</v>
      </c>
      <c r="AQ4" s="105">
        <v>1</v>
      </c>
      <c r="AR4" s="105">
        <v>2</v>
      </c>
      <c r="AS4" s="105">
        <v>3</v>
      </c>
      <c r="AT4" s="105">
        <v>4</v>
      </c>
      <c r="AU4" s="105">
        <v>5</v>
      </c>
      <c r="AV4" s="105">
        <v>6</v>
      </c>
      <c r="AW4" s="105">
        <v>7</v>
      </c>
      <c r="AX4" s="105">
        <v>8</v>
      </c>
      <c r="AY4" s="105">
        <v>9</v>
      </c>
      <c r="AZ4" s="56">
        <v>0</v>
      </c>
      <c r="BA4" s="56">
        <v>1</v>
      </c>
      <c r="BB4" s="56">
        <v>2</v>
      </c>
      <c r="BC4" s="56">
        <v>3</v>
      </c>
      <c r="BD4" s="56">
        <v>4</v>
      </c>
      <c r="BE4" s="56">
        <v>5</v>
      </c>
      <c r="BF4" s="56">
        <v>6</v>
      </c>
      <c r="BG4" s="56">
        <v>7</v>
      </c>
      <c r="BH4" s="56">
        <v>8</v>
      </c>
      <c r="BI4" s="56">
        <v>9</v>
      </c>
      <c r="BJ4" s="57" t="str">
        <f t="shared" ref="BJ4:BJ67" si="9">IF(AND(BK4&lt;=1,BL4&lt;=4),"紧凑型",IF(OR(BK4&gt;=3,BL4&gt;=6),"松散型",IF(AND(BK4&gt;=1,BL4&lt;=5),"标准型","对子")))</f>
        <v>松散型</v>
      </c>
      <c r="BK4" s="13">
        <f t="shared" si="5"/>
        <v>3</v>
      </c>
      <c r="BL4" s="13">
        <f t="shared" si="6"/>
        <v>9</v>
      </c>
      <c r="BM4" s="18">
        <f>IF(COUNTIF($Q3:$S3,Q4)&gt;0,Q4,"")</f>
        <v>6</v>
      </c>
      <c r="BO4" s="19" t="str">
        <f t="array" ref="BO4">_xlfn.TEXTJOIN("",TRUE,IF(ISERROR(FIND(ROW($1:$10)-1,BM4&amp;BN4)),ROW($1:$10)-1,""))</f>
        <v>012345789</v>
      </c>
      <c r="BP4" s="20" t="str">
        <f>IF(BM4&lt;&gt;"","复","中")&amp;IF(BN4&lt;&gt;"","隔","中")&amp;"中"</f>
        <v>复中中</v>
      </c>
      <c r="BQ4" s="21" t="str">
        <f>IF(COUNTIF($Q3:$S3,R4)&gt;0,R4,"")</f>
        <v/>
      </c>
      <c r="BS4" s="21" t="str">
        <f t="array" ref="BS4">_xlfn.TEXTJOIN("",TRUE,IF(ISERROR(FIND(ROW($1:$10)-1,BQ4&amp;BR4)),ROW($1:$10)-1,""))</f>
        <v>0123456789</v>
      </c>
      <c r="BT4" s="20" t="str">
        <f>IF(BQ4&lt;&gt;"","复","中")&amp;IF(BR4&lt;&gt;"","隔","中")&amp;"中"</f>
        <v>中中中</v>
      </c>
      <c r="BU4" s="22" t="str">
        <f>IF(COUNTIF($Q3:$S3,S4)&gt;0,S4,"")</f>
        <v/>
      </c>
      <c r="BW4" s="22" t="str">
        <f t="array" ref="BW4">_xlfn.TEXTJOIN("",TRUE,IF(ISERROR(FIND(ROW($1:$10)-1,BU4&amp;BV4)),ROW($1:$10)-1,""))</f>
        <v>0123456789</v>
      </c>
      <c r="BX4" s="20" t="str">
        <f>IF(BU4&lt;&gt;"","复","中")&amp;IF(BV4&lt;&gt;"","隔","中")&amp;"中"</f>
        <v>中中中</v>
      </c>
      <c r="BY4" s="23" t="str">
        <f t="shared" ref="BY4:BY67" si="10">IF(Q4=0,9,Q4-1)&amp;""&amp;IF(Q4=9,0,Q4+1)</f>
        <v>57</v>
      </c>
      <c r="CA4" s="25" t="str">
        <f t="array" ref="CA4">_xlfn.TEXTJOIN("",TRUE,IF(ISERROR(FIND(ROW($1:$10)-1,BY4&amp;BZ4)),ROW($1:$10)-1,""))</f>
        <v>01234689</v>
      </c>
      <c r="CB4" s="26" t="str">
        <f>IF(BY4&lt;&gt;"","邻","孤")&amp;IF(BZ4&lt;&gt;"","传","孤")&amp;"孤"</f>
        <v>邻孤孤</v>
      </c>
      <c r="CC4" s="27" t="str">
        <f>IF(R4=0,9,R4-1)&amp;""&amp;IF(R4=9,0,R4+1)</f>
        <v>80</v>
      </c>
      <c r="CE4" s="27" t="str">
        <f t="array" ref="CE4">_xlfn.TEXTJOIN("",TRUE,IF(ISERROR(FIND(ROW($1:$10)-1,CC4&amp;CD4)),ROW($1:$10)-1,""))</f>
        <v>12345679</v>
      </c>
      <c r="CF4" s="17" t="str">
        <f>IF(CC4&lt;&gt;"","邻","孤")&amp;IF(CD4&lt;&gt;"","传","孤")&amp;"孤"</f>
        <v>邻孤孤</v>
      </c>
      <c r="CG4" s="22" t="str">
        <f>IF(S4=0,9,S4-1)&amp;""&amp;IF(S4=9,0,S4+1)</f>
        <v>24</v>
      </c>
      <c r="CI4" s="22" t="str">
        <f t="array" ref="CI4">_xlfn.TEXTJOIN("",TRUE,IF(ISERROR(FIND(ROW($1:$10)-1,CG4&amp;CH4)),ROW($1:$10)-1,""))</f>
        <v>01356789</v>
      </c>
      <c r="CJ4" s="28" t="str">
        <f>IF(CG4&lt;&gt;"","邻","孤")&amp;IF(CH4&lt;&gt;"","传","孤")&amp;"孤"</f>
        <v>邻孤孤</v>
      </c>
    </row>
    <row r="5" spans="1:88">
      <c r="A5" s="32">
        <v>2024132</v>
      </c>
      <c r="B5" s="8" t="s">
        <v>28</v>
      </c>
      <c r="C5" s="49">
        <f t="shared" si="0"/>
        <v>13</v>
      </c>
      <c r="D5" s="50">
        <f t="shared" si="1"/>
        <v>3</v>
      </c>
      <c r="E5" s="51">
        <f t="shared" si="7"/>
        <v>4.3333333333333304</v>
      </c>
      <c r="F5" s="52">
        <f>MAX(MID(B5,{1,2,3},1)*1)-MIN(MID(B5,{1,2,3},1)*1)</f>
        <v>4</v>
      </c>
      <c r="G5" s="104">
        <v>0</v>
      </c>
      <c r="H5" s="104">
        <v>1</v>
      </c>
      <c r="I5" s="104">
        <v>2</v>
      </c>
      <c r="J5" s="104">
        <v>3</v>
      </c>
      <c r="K5" s="104">
        <v>4</v>
      </c>
      <c r="L5" s="104">
        <v>5</v>
      </c>
      <c r="M5" s="104">
        <v>6</v>
      </c>
      <c r="N5" s="104">
        <v>7</v>
      </c>
      <c r="O5" s="104">
        <v>8</v>
      </c>
      <c r="P5" s="104">
        <v>9</v>
      </c>
      <c r="Q5" s="53">
        <f t="shared" si="2"/>
        <v>1</v>
      </c>
      <c r="R5" s="53">
        <f t="shared" si="3"/>
        <v>4</v>
      </c>
      <c r="S5" s="53">
        <f t="shared" si="4"/>
        <v>3</v>
      </c>
      <c r="T5" s="101">
        <f t="shared" si="8"/>
        <v>8</v>
      </c>
      <c r="U5" s="15" t="str">
        <f>_xlfn.TEXTJOIN(", ",TRUE,ABS(MID(B5,{1,1,2},1)-MID(B5,{2,3,3},1)))</f>
        <v>1, 4, 3</v>
      </c>
      <c r="V5" s="54">
        <v>0</v>
      </c>
      <c r="W5" s="54">
        <v>1</v>
      </c>
      <c r="X5" s="54">
        <v>2</v>
      </c>
      <c r="Y5" s="54">
        <v>3</v>
      </c>
      <c r="Z5" s="54">
        <v>4</v>
      </c>
      <c r="AA5" s="54">
        <v>5</v>
      </c>
      <c r="AB5" s="54">
        <v>6</v>
      </c>
      <c r="AC5" s="54">
        <v>7</v>
      </c>
      <c r="AD5" s="54">
        <v>8</v>
      </c>
      <c r="AE5" s="54">
        <v>9</v>
      </c>
      <c r="AF5" s="55">
        <v>0</v>
      </c>
      <c r="AG5" s="55">
        <v>1</v>
      </c>
      <c r="AH5" s="55">
        <v>2</v>
      </c>
      <c r="AI5" s="55">
        <v>3</v>
      </c>
      <c r="AJ5" s="55">
        <v>4</v>
      </c>
      <c r="AK5" s="55">
        <v>5</v>
      </c>
      <c r="AL5" s="55">
        <v>6</v>
      </c>
      <c r="AM5" s="55">
        <v>7</v>
      </c>
      <c r="AN5" s="55">
        <v>8</v>
      </c>
      <c r="AO5" s="55">
        <v>9</v>
      </c>
      <c r="AP5" s="105">
        <v>0</v>
      </c>
      <c r="AQ5" s="105">
        <v>1</v>
      </c>
      <c r="AR5" s="105">
        <v>2</v>
      </c>
      <c r="AS5" s="105">
        <v>3</v>
      </c>
      <c r="AT5" s="105">
        <v>4</v>
      </c>
      <c r="AU5" s="105">
        <v>5</v>
      </c>
      <c r="AV5" s="105">
        <v>6</v>
      </c>
      <c r="AW5" s="105">
        <v>7</v>
      </c>
      <c r="AX5" s="105">
        <v>8</v>
      </c>
      <c r="AY5" s="105">
        <v>9</v>
      </c>
      <c r="AZ5" s="56">
        <v>0</v>
      </c>
      <c r="BA5" s="56">
        <v>1</v>
      </c>
      <c r="BB5" s="56">
        <v>2</v>
      </c>
      <c r="BC5" s="56">
        <v>3</v>
      </c>
      <c r="BD5" s="56">
        <v>4</v>
      </c>
      <c r="BE5" s="56">
        <v>5</v>
      </c>
      <c r="BF5" s="56">
        <v>6</v>
      </c>
      <c r="BG5" s="56">
        <v>7</v>
      </c>
      <c r="BH5" s="56">
        <v>8</v>
      </c>
      <c r="BI5" s="56">
        <v>9</v>
      </c>
      <c r="BJ5" s="57" t="str">
        <f t="shared" si="9"/>
        <v>紧凑型</v>
      </c>
      <c r="BK5" s="13">
        <f t="shared" si="5"/>
        <v>1</v>
      </c>
      <c r="BL5" s="13">
        <f t="shared" si="6"/>
        <v>4</v>
      </c>
      <c r="BM5" s="18" t="str">
        <f t="shared" ref="BM5:BM68" si="11">IF(COUNTIF($Q4:$S4,Q5)&gt;0,Q5,"")</f>
        <v/>
      </c>
      <c r="BN5" s="19" t="str">
        <f t="shared" ref="BN5:BN68" si="12">IF(COUNTIF($Q3:$S3,Q5)&gt;0,Q5,"")</f>
        <v/>
      </c>
      <c r="BO5" s="19" t="str">
        <f t="array" ref="BO5">_xlfn.TEXTJOIN("",TRUE,IF(ISERROR(FIND(ROW($1:$10)-1,BM5&amp;BN5)),ROW($1:$10)-1,""))</f>
        <v>0123456789</v>
      </c>
      <c r="BP5" s="20" t="str">
        <f t="shared" ref="BP5:BP68" si="13">IF(BM5&lt;&gt;"","复","中")&amp;IF(BN5&lt;&gt;"","隔","中")&amp;"中"</f>
        <v>中中中</v>
      </c>
      <c r="BQ5" s="21" t="str">
        <f>IF(COUNTIF($Q4:$S4,R5)&gt;0,R5,"")</f>
        <v/>
      </c>
      <c r="BR5" s="21" t="str">
        <f>IF(COUNTIF($Q3:$S3,R5)&gt;0,R5,"")</f>
        <v/>
      </c>
      <c r="BS5" s="21" t="str">
        <f t="array" ref="BS5">_xlfn.TEXTJOIN("",TRUE,IF(ISERROR(FIND(ROW($1:$10)-1,BQ5&amp;BR5)),ROW($1:$10)-1,""))</f>
        <v>0123456789</v>
      </c>
      <c r="BT5" s="20" t="str">
        <f t="shared" ref="BT5:BT68" si="14">IF(BQ5&lt;&gt;"","复","中")&amp;IF(BR5&lt;&gt;"","隔","中")&amp;"中"</f>
        <v>中中中</v>
      </c>
      <c r="BU5" s="22">
        <f t="shared" ref="BU5:BU68" si="15">IF(COUNTIF($Q4:$S4,S5)&gt;0,S5,"")</f>
        <v>3</v>
      </c>
      <c r="BV5" s="22" t="str">
        <f>IF(COUNTIF($Q3:$S3,S5)&gt;0,S5,"")</f>
        <v/>
      </c>
      <c r="BW5" s="22" t="str">
        <f t="array" ref="BW5">_xlfn.TEXTJOIN("",TRUE,IF(ISERROR(FIND(ROW($1:$10)-1,BU5&amp;BV5)),ROW($1:$10)-1,""))</f>
        <v>012456789</v>
      </c>
      <c r="BX5" s="20" t="str">
        <f t="shared" ref="BX5:BX68" si="16">IF(BU5&lt;&gt;"","复","中")&amp;IF(BV5&lt;&gt;"","隔","中")&amp;"中"</f>
        <v>复中中</v>
      </c>
      <c r="BY5" s="23" t="str">
        <f t="shared" si="10"/>
        <v>02</v>
      </c>
      <c r="BZ5" s="58" t="str">
        <f t="array" ref="BZ5">_xlfn.TEXTJOIN("",TRUE,IF(ISNUMBER(FIND(MID(BY4&amp;Q4,ROW($1:$4),1),BY5&amp;Q5)),MID(BY4&amp;Q4,ROW($1:$4),1),""))</f>
        <v/>
      </c>
      <c r="CA5" s="25" t="str">
        <f t="array" ref="CA5">_xlfn.TEXTJOIN("",TRUE,IF(ISERROR(FIND(ROW($1:$10)-1,BY5&amp;BZ5)),ROW($1:$10)-1,""))</f>
        <v>13456789</v>
      </c>
      <c r="CB5" s="26" t="str">
        <f t="shared" ref="CB5:CB68" si="17">IF(BY5&lt;&gt;"","邻","孤")&amp;IF(BZ5&lt;&gt;"","传","孤")&amp;"孤"</f>
        <v>邻孤孤</v>
      </c>
      <c r="CC5" s="27" t="str">
        <f t="shared" ref="CC5:CC68" si="18">IF(R5=0,9,R5-1)&amp;""&amp;IF(R5=9,0,R5+1)</f>
        <v>35</v>
      </c>
      <c r="CD5" s="27" t="str">
        <f t="array" ref="CD5">_xlfn.TEXTJOIN("",TRUE,IF(ISNUMBER(FIND(MID(CC4&amp;R4,ROW($1:$4),1),CC5&amp;R5)),MID(CC4&amp;R4,ROW($1:$4),1),""))</f>
        <v/>
      </c>
      <c r="CE5" s="27" t="str">
        <f t="array" ref="CE5">_xlfn.TEXTJOIN("",TRUE,IF(ISERROR(FIND(ROW($1:$10)-1,CC5&amp;CD5)),ROW($1:$10)-1,""))</f>
        <v>01246789</v>
      </c>
      <c r="CF5" s="17" t="str">
        <f t="shared" ref="CF5:CF68" si="19">IF(CC5&lt;&gt;"","邻","孤")&amp;IF(CD5&lt;&gt;"","传","孤")&amp;"孤"</f>
        <v>邻孤孤</v>
      </c>
      <c r="CG5" s="22" t="str">
        <f t="shared" ref="CG5:CG68" si="20">IF(S5=0,9,S5-1)&amp;""&amp;IF(S5=9,0,S5+1)</f>
        <v>24</v>
      </c>
      <c r="CH5" s="22" t="str">
        <f t="array" ref="CH5">_xlfn.TEXTJOIN("",TRUE,IF(ISNUMBER(FIND(MID(CG4&amp;S4,ROW($1:$4),1),CG5&amp;S5)),MID(CG4&amp;S4,ROW($1:$4),1),""))</f>
        <v>243</v>
      </c>
      <c r="CI5" s="22" t="str">
        <f t="array" ref="CI5">_xlfn.TEXTJOIN("",TRUE,IF(ISERROR(FIND(ROW($1:$10)-1,CG5&amp;CH5)),ROW($1:$10)-1,""))</f>
        <v>0156789</v>
      </c>
      <c r="CJ5" s="28" t="str">
        <f t="shared" ref="CJ5:CJ68" si="21">IF(CG5&lt;&gt;"","邻","孤")&amp;IF(CH5&lt;&gt;"","传","孤")&amp;"孤"</f>
        <v>邻传孤</v>
      </c>
    </row>
    <row r="6" spans="1:88">
      <c r="A6" s="32">
        <v>2024133</v>
      </c>
      <c r="B6" s="8" t="s">
        <v>29</v>
      </c>
      <c r="C6" s="49">
        <f t="shared" si="0"/>
        <v>12</v>
      </c>
      <c r="D6" s="50">
        <f t="shared" si="1"/>
        <v>2</v>
      </c>
      <c r="E6" s="51">
        <f t="shared" si="7"/>
        <v>4</v>
      </c>
      <c r="F6" s="52">
        <f>MAX(MID(B6,{1,2,3},1)*1)-MIN(MID(B6,{1,2,3},1)*1)</f>
        <v>6</v>
      </c>
      <c r="G6" s="104">
        <v>0</v>
      </c>
      <c r="H6" s="104">
        <v>1</v>
      </c>
      <c r="I6" s="104">
        <v>2</v>
      </c>
      <c r="J6" s="104">
        <v>3</v>
      </c>
      <c r="K6" s="104">
        <v>4</v>
      </c>
      <c r="L6" s="104">
        <v>5</v>
      </c>
      <c r="M6" s="104">
        <v>6</v>
      </c>
      <c r="N6" s="104">
        <v>7</v>
      </c>
      <c r="O6" s="104">
        <v>8</v>
      </c>
      <c r="P6" s="104">
        <v>9</v>
      </c>
      <c r="Q6" s="53">
        <f t="shared" si="2"/>
        <v>3</v>
      </c>
      <c r="R6" s="53">
        <f t="shared" si="3"/>
        <v>6</v>
      </c>
      <c r="S6" s="53">
        <f t="shared" si="4"/>
        <v>3</v>
      </c>
      <c r="T6" s="101">
        <f t="shared" si="8"/>
        <v>12</v>
      </c>
      <c r="U6" s="15" t="str">
        <f>_xlfn.TEXTJOIN(", ",TRUE,ABS(MID(B6,{1,1,2},1)-MID(B6,{2,3,3},1)))</f>
        <v>3, 6, 3</v>
      </c>
      <c r="V6" s="54">
        <v>0</v>
      </c>
      <c r="W6" s="54">
        <v>1</v>
      </c>
      <c r="X6" s="54">
        <v>2</v>
      </c>
      <c r="Y6" s="54">
        <v>3</v>
      </c>
      <c r="Z6" s="54">
        <v>4</v>
      </c>
      <c r="AA6" s="54">
        <v>5</v>
      </c>
      <c r="AB6" s="54">
        <v>6</v>
      </c>
      <c r="AC6" s="54">
        <v>7</v>
      </c>
      <c r="AD6" s="54">
        <v>8</v>
      </c>
      <c r="AE6" s="54">
        <v>9</v>
      </c>
      <c r="AF6" s="55">
        <v>0</v>
      </c>
      <c r="AG6" s="55">
        <v>1</v>
      </c>
      <c r="AH6" s="55">
        <v>2</v>
      </c>
      <c r="AI6" s="55">
        <v>3</v>
      </c>
      <c r="AJ6" s="55">
        <v>4</v>
      </c>
      <c r="AK6" s="55">
        <v>5</v>
      </c>
      <c r="AL6" s="55">
        <v>6</v>
      </c>
      <c r="AM6" s="55">
        <v>7</v>
      </c>
      <c r="AN6" s="55">
        <v>8</v>
      </c>
      <c r="AO6" s="55">
        <v>9</v>
      </c>
      <c r="AP6" s="105">
        <v>0</v>
      </c>
      <c r="AQ6" s="105">
        <v>1</v>
      </c>
      <c r="AR6" s="105">
        <v>2</v>
      </c>
      <c r="AS6" s="105">
        <v>3</v>
      </c>
      <c r="AT6" s="105">
        <v>4</v>
      </c>
      <c r="AU6" s="105">
        <v>5</v>
      </c>
      <c r="AV6" s="105">
        <v>6</v>
      </c>
      <c r="AW6" s="105">
        <v>7</v>
      </c>
      <c r="AX6" s="105">
        <v>8</v>
      </c>
      <c r="AY6" s="105">
        <v>9</v>
      </c>
      <c r="AZ6" s="56">
        <v>0</v>
      </c>
      <c r="BA6" s="56">
        <v>1</v>
      </c>
      <c r="BB6" s="56">
        <v>2</v>
      </c>
      <c r="BC6" s="56">
        <v>3</v>
      </c>
      <c r="BD6" s="56">
        <v>4</v>
      </c>
      <c r="BE6" s="56">
        <v>5</v>
      </c>
      <c r="BF6" s="56">
        <v>6</v>
      </c>
      <c r="BG6" s="56">
        <v>7</v>
      </c>
      <c r="BH6" s="56">
        <v>8</v>
      </c>
      <c r="BI6" s="56">
        <v>9</v>
      </c>
      <c r="BJ6" s="57" t="str">
        <f t="shared" si="9"/>
        <v>松散型</v>
      </c>
      <c r="BK6" s="13">
        <f t="shared" si="5"/>
        <v>3</v>
      </c>
      <c r="BL6" s="13">
        <f t="shared" si="6"/>
        <v>6</v>
      </c>
      <c r="BM6" s="18">
        <f t="shared" si="11"/>
        <v>3</v>
      </c>
      <c r="BN6" s="19">
        <f t="shared" si="12"/>
        <v>3</v>
      </c>
      <c r="BO6" s="19" t="str">
        <f t="array" ref="BO6">_xlfn.TEXTJOIN("",TRUE,IF(ISERROR(FIND(ROW($1:$10)-1,BM6&amp;BN6)),ROW($1:$10)-1,""))</f>
        <v>012456789</v>
      </c>
      <c r="BP6" s="20" t="str">
        <f t="shared" si="13"/>
        <v>复隔中</v>
      </c>
      <c r="BR6" s="21">
        <f t="shared" ref="BR6:BR69" si="22">IF(COUNTIF($Q4:$S4,R6)&gt;0,R6,"")</f>
        <v>6</v>
      </c>
      <c r="BS6" s="21" t="str">
        <f t="array" ref="BS6">_xlfn.TEXTJOIN("",TRUE,IF(ISERROR(FIND(ROW($1:$10)-1,BQ6&amp;BR6)),ROW($1:$10)-1,""))</f>
        <v>012345789</v>
      </c>
      <c r="BT6" s="20" t="str">
        <f t="shared" si="14"/>
        <v>中隔中</v>
      </c>
      <c r="BU6" s="22">
        <f t="shared" si="15"/>
        <v>3</v>
      </c>
      <c r="BV6" s="22">
        <f t="shared" ref="BV6:BV69" si="23">IF(COUNTIF($Q4:$S4,S6)&gt;0,S6,"")</f>
        <v>3</v>
      </c>
      <c r="BW6" s="22" t="str">
        <f t="array" ref="BW6">_xlfn.TEXTJOIN("",TRUE,IF(ISERROR(FIND(ROW($1:$10)-1,BU6&amp;BV6)),ROW($1:$10)-1,""))</f>
        <v>012456789</v>
      </c>
      <c r="BX6" s="20" t="str">
        <f t="shared" si="16"/>
        <v>复隔中</v>
      </c>
      <c r="BY6" s="23" t="str">
        <f t="shared" si="10"/>
        <v>24</v>
      </c>
      <c r="BZ6" s="24" t="str">
        <f t="array" ref="BZ6">_xlfn.TEXTJOIN("",TRUE,IF(ISNUMBER(FIND(MID(BY5&amp;Q5,ROW($1:$4),1),BY6&amp;Q6)),MID(BY5&amp;Q5,ROW($1:$4),1),""))</f>
        <v>2</v>
      </c>
      <c r="CA6" s="25" t="str">
        <f t="array" ref="CA6">_xlfn.TEXTJOIN("",TRUE,IF(ISERROR(FIND(ROW($1:$10)-1,BY6&amp;BZ6)),ROW($1:$10)-1,""))</f>
        <v>01356789</v>
      </c>
      <c r="CB6" s="26" t="str">
        <f t="shared" si="17"/>
        <v>邻传孤</v>
      </c>
      <c r="CC6" s="27" t="str">
        <f t="shared" si="18"/>
        <v>57</v>
      </c>
      <c r="CD6" s="27" t="str">
        <f t="array" ref="CD6">_xlfn.TEXTJOIN("",TRUE,IF(ISNUMBER(FIND(MID(CC5&amp;R5,ROW($1:$4),1),CC6&amp;R6)),MID(CC5&amp;R5,ROW($1:$4),1),""))</f>
        <v>5</v>
      </c>
      <c r="CE6" s="27" t="str">
        <f t="array" ref="CE6">_xlfn.TEXTJOIN("",TRUE,IF(ISERROR(FIND(ROW($1:$10)-1,CC6&amp;CD6)),ROW($1:$10)-1,""))</f>
        <v>01234689</v>
      </c>
      <c r="CF6" s="17" t="str">
        <f t="shared" si="19"/>
        <v>邻传孤</v>
      </c>
      <c r="CG6" s="22" t="str">
        <f t="shared" si="20"/>
        <v>24</v>
      </c>
      <c r="CH6" s="22" t="str">
        <f t="array" ref="CH6">_xlfn.TEXTJOIN("",TRUE,IF(ISNUMBER(FIND(MID(CG5&amp;S5,ROW($1:$4),1),CG6&amp;S6)),MID(CG5&amp;S5,ROW($1:$4),1),""))</f>
        <v>243</v>
      </c>
      <c r="CI6" s="22" t="str">
        <f t="array" ref="CI6">_xlfn.TEXTJOIN("",TRUE,IF(ISERROR(FIND(ROW($1:$10)-1,CG6&amp;CH6)),ROW($1:$10)-1,""))</f>
        <v>0156789</v>
      </c>
      <c r="CJ6" s="28" t="str">
        <f t="shared" si="21"/>
        <v>邻传孤</v>
      </c>
    </row>
    <row r="7" spans="1:88">
      <c r="A7" s="32">
        <v>2024134</v>
      </c>
      <c r="B7" s="8" t="s">
        <v>30</v>
      </c>
      <c r="C7" s="49">
        <f t="shared" si="0"/>
        <v>10</v>
      </c>
      <c r="D7" s="50">
        <f t="shared" si="1"/>
        <v>0</v>
      </c>
      <c r="E7" s="51">
        <f t="shared" si="7"/>
        <v>3.3333333333333299</v>
      </c>
      <c r="F7" s="52">
        <f>MAX(MID(B7,{1,2,3},1)*1)-MIN(MID(B7,{1,2,3},1)*1)</f>
        <v>6</v>
      </c>
      <c r="G7" s="104">
        <v>0</v>
      </c>
      <c r="H7" s="104">
        <v>1</v>
      </c>
      <c r="I7" s="104">
        <v>2</v>
      </c>
      <c r="J7" s="104">
        <v>3</v>
      </c>
      <c r="K7" s="104">
        <v>4</v>
      </c>
      <c r="L7" s="104">
        <v>5</v>
      </c>
      <c r="M7" s="104">
        <v>6</v>
      </c>
      <c r="N7" s="104">
        <v>7</v>
      </c>
      <c r="O7" s="104">
        <v>8</v>
      </c>
      <c r="P7" s="104">
        <v>9</v>
      </c>
      <c r="Q7" s="53">
        <f t="shared" si="2"/>
        <v>2</v>
      </c>
      <c r="R7" s="53">
        <f t="shared" si="3"/>
        <v>6</v>
      </c>
      <c r="S7" s="53">
        <f t="shared" si="4"/>
        <v>4</v>
      </c>
      <c r="T7" s="101">
        <f t="shared" si="8"/>
        <v>12</v>
      </c>
      <c r="U7" s="15" t="str">
        <f>_xlfn.TEXTJOIN(", ",TRUE,ABS(MID(B7,{1,1,2},1)-MID(B7,{2,3,3},1)))</f>
        <v>2, 6, 4</v>
      </c>
      <c r="V7" s="54">
        <v>0</v>
      </c>
      <c r="W7" s="54">
        <v>1</v>
      </c>
      <c r="X7" s="54">
        <v>2</v>
      </c>
      <c r="Y7" s="54">
        <v>3</v>
      </c>
      <c r="Z7" s="54">
        <v>4</v>
      </c>
      <c r="AA7" s="54">
        <v>5</v>
      </c>
      <c r="AB7" s="54">
        <v>6</v>
      </c>
      <c r="AC7" s="54">
        <v>7</v>
      </c>
      <c r="AD7" s="54">
        <v>8</v>
      </c>
      <c r="AE7" s="54">
        <v>9</v>
      </c>
      <c r="AF7" s="55">
        <v>0</v>
      </c>
      <c r="AG7" s="55">
        <v>1</v>
      </c>
      <c r="AH7" s="55"/>
      <c r="AI7" s="55">
        <v>3</v>
      </c>
      <c r="AJ7" s="55">
        <v>4</v>
      </c>
      <c r="AK7" s="55">
        <v>5</v>
      </c>
      <c r="AL7" s="55">
        <v>6</v>
      </c>
      <c r="AM7" s="55">
        <v>7</v>
      </c>
      <c r="AN7" s="55">
        <v>8</v>
      </c>
      <c r="AO7" s="55">
        <v>9</v>
      </c>
      <c r="AP7" s="105">
        <v>0</v>
      </c>
      <c r="AQ7" s="105">
        <v>1</v>
      </c>
      <c r="AR7" s="105">
        <v>2</v>
      </c>
      <c r="AS7" s="105">
        <v>3</v>
      </c>
      <c r="AT7" s="105">
        <v>4</v>
      </c>
      <c r="AU7" s="105">
        <v>5</v>
      </c>
      <c r="AV7" s="105">
        <v>6</v>
      </c>
      <c r="AW7" s="105">
        <v>7</v>
      </c>
      <c r="AX7" s="105">
        <v>8</v>
      </c>
      <c r="AY7" s="105">
        <v>9</v>
      </c>
      <c r="AZ7" s="56">
        <v>0</v>
      </c>
      <c r="BA7" s="56">
        <v>1</v>
      </c>
      <c r="BB7" s="56">
        <v>2</v>
      </c>
      <c r="BC7" s="56">
        <v>3</v>
      </c>
      <c r="BD7" s="56">
        <v>4</v>
      </c>
      <c r="BE7" s="56">
        <v>5</v>
      </c>
      <c r="BF7" s="56">
        <v>6</v>
      </c>
      <c r="BG7" s="56">
        <v>7</v>
      </c>
      <c r="BH7" s="56">
        <v>8</v>
      </c>
      <c r="BI7" s="56">
        <v>9</v>
      </c>
      <c r="BJ7" s="57" t="str">
        <f t="shared" si="9"/>
        <v>松散型</v>
      </c>
      <c r="BK7" s="13">
        <f t="shared" si="5"/>
        <v>2</v>
      </c>
      <c r="BL7" s="13">
        <f t="shared" si="6"/>
        <v>6</v>
      </c>
      <c r="BM7" s="18" t="str">
        <f t="shared" si="11"/>
        <v/>
      </c>
      <c r="BN7" s="19" t="str">
        <f t="shared" si="12"/>
        <v/>
      </c>
      <c r="BO7" s="19" t="str">
        <f t="array" ref="BO7">_xlfn.TEXTJOIN("",TRUE,IF(ISERROR(FIND(ROW($1:$10)-1,BM7&amp;BN7)),ROW($1:$10)-1,""))</f>
        <v>0123456789</v>
      </c>
      <c r="BP7" s="20" t="str">
        <f t="shared" si="13"/>
        <v>中中中</v>
      </c>
      <c r="BQ7" s="21">
        <f>IF(COUNTIF($Q6:$S6,R7)&gt;0,R7,"")</f>
        <v>6</v>
      </c>
      <c r="BR7" s="21" t="str">
        <f t="shared" si="22"/>
        <v/>
      </c>
      <c r="BS7" s="21" t="str">
        <f t="array" ref="BS7">_xlfn.TEXTJOIN("",TRUE,IF(ISERROR(FIND(ROW($1:$10)-1,BQ7&amp;BR7)),ROW($1:$10)-1,""))</f>
        <v>012345789</v>
      </c>
      <c r="BT7" s="20" t="str">
        <f t="shared" si="14"/>
        <v>复中中</v>
      </c>
      <c r="BU7" s="22" t="str">
        <f t="shared" si="15"/>
        <v/>
      </c>
      <c r="BV7" s="22">
        <f t="shared" si="23"/>
        <v>4</v>
      </c>
      <c r="BW7" s="22" t="str">
        <f t="array" ref="BW7">_xlfn.TEXTJOIN("",TRUE,IF(ISERROR(FIND(ROW($1:$10)-1,BU7&amp;BV7)),ROW($1:$10)-1,""))</f>
        <v>012356789</v>
      </c>
      <c r="BX7" s="20" t="str">
        <f t="shared" si="16"/>
        <v>中隔中</v>
      </c>
      <c r="BY7" s="23" t="str">
        <f t="shared" si="10"/>
        <v>13</v>
      </c>
      <c r="BZ7" s="24" t="str">
        <f t="array" ref="BZ7">_xlfn.TEXTJOIN("",TRUE,IF(ISNUMBER(FIND(MID(BY6&amp;Q6,ROW($1:$4),1),BY7&amp;Q7)),MID(BY6&amp;Q6,ROW($1:$4),1),""))</f>
        <v>23</v>
      </c>
      <c r="CA7" s="25" t="str">
        <f t="array" ref="CA7">_xlfn.TEXTJOIN("",TRUE,IF(ISERROR(FIND(ROW($1:$10)-1,BY7&amp;BZ7)),ROW($1:$10)-1,""))</f>
        <v>0456789</v>
      </c>
      <c r="CB7" s="26" t="str">
        <f t="shared" si="17"/>
        <v>邻传孤</v>
      </c>
      <c r="CC7" s="27" t="str">
        <f t="shared" si="18"/>
        <v>57</v>
      </c>
      <c r="CD7" s="27" t="str">
        <f t="array" ref="CD7">_xlfn.TEXTJOIN("",TRUE,IF(ISNUMBER(FIND(MID(CC6&amp;R6,ROW($1:$4),1),CC7&amp;R7)),MID(CC6&amp;R6,ROW($1:$4),1),""))</f>
        <v>576</v>
      </c>
      <c r="CE7" s="27" t="str">
        <f t="array" ref="CE7">_xlfn.TEXTJOIN("",TRUE,IF(ISERROR(FIND(ROW($1:$10)-1,CC7&amp;CD7)),ROW($1:$10)-1,""))</f>
        <v>0123489</v>
      </c>
      <c r="CF7" s="17" t="str">
        <f t="shared" si="19"/>
        <v>邻传孤</v>
      </c>
      <c r="CG7" s="22" t="str">
        <f t="shared" si="20"/>
        <v>35</v>
      </c>
      <c r="CH7" s="22" t="str">
        <f t="array" ref="CH7">_xlfn.TEXTJOIN("",TRUE,IF(ISNUMBER(FIND(MID(CG6&amp;S6,ROW($1:$4),1),CG7&amp;S7)),MID(CG6&amp;S6,ROW($1:$4),1),""))</f>
        <v>43</v>
      </c>
      <c r="CI7" s="22" t="str">
        <f t="array" ref="CI7">_xlfn.TEXTJOIN("",TRUE,IF(ISERROR(FIND(ROW($1:$10)-1,CG7&amp;CH7)),ROW($1:$10)-1,""))</f>
        <v>0126789</v>
      </c>
      <c r="CJ7" s="28" t="str">
        <f t="shared" si="21"/>
        <v>邻传孤</v>
      </c>
    </row>
    <row r="8" spans="1:88">
      <c r="A8" s="32">
        <v>2024135</v>
      </c>
      <c r="B8" s="8" t="s">
        <v>31</v>
      </c>
      <c r="C8" s="49">
        <f t="shared" si="0"/>
        <v>8</v>
      </c>
      <c r="D8" s="50">
        <f t="shared" si="1"/>
        <v>8</v>
      </c>
      <c r="E8" s="51">
        <f t="shared" si="7"/>
        <v>2.6666666666666701</v>
      </c>
      <c r="F8" s="52">
        <f>MAX(MID(B8,{1,2,3},1)*1)-MIN(MID(B8,{1,2,3},1)*1)</f>
        <v>5</v>
      </c>
      <c r="G8" s="104">
        <v>0</v>
      </c>
      <c r="H8" s="104">
        <v>1</v>
      </c>
      <c r="I8" s="104">
        <v>2</v>
      </c>
      <c r="J8" s="104">
        <v>3</v>
      </c>
      <c r="K8" s="104">
        <v>4</v>
      </c>
      <c r="L8" s="104">
        <v>5</v>
      </c>
      <c r="M8" s="104">
        <v>6</v>
      </c>
      <c r="N8" s="104">
        <v>7</v>
      </c>
      <c r="O8" s="104">
        <v>8</v>
      </c>
      <c r="P8" s="104">
        <v>9</v>
      </c>
      <c r="Q8" s="53">
        <f t="shared" si="2"/>
        <v>3</v>
      </c>
      <c r="R8" s="53">
        <f t="shared" si="3"/>
        <v>5</v>
      </c>
      <c r="S8" s="53">
        <f t="shared" si="4"/>
        <v>2</v>
      </c>
      <c r="T8" s="101">
        <f t="shared" si="8"/>
        <v>10</v>
      </c>
      <c r="U8" s="15" t="str">
        <f>_xlfn.TEXTJOIN(", ",TRUE,ABS(MID(B8,{1,1,2},1)-MID(B8,{2,3,3},1)))</f>
        <v>3, 5, 2</v>
      </c>
      <c r="V8" s="54">
        <v>0</v>
      </c>
      <c r="W8" s="54">
        <v>1</v>
      </c>
      <c r="X8" s="54">
        <v>2</v>
      </c>
      <c r="Y8" s="54">
        <v>3</v>
      </c>
      <c r="Z8" s="54">
        <v>4</v>
      </c>
      <c r="AA8" s="54">
        <v>5</v>
      </c>
      <c r="AB8" s="54">
        <v>6</v>
      </c>
      <c r="AC8" s="54">
        <v>7</v>
      </c>
      <c r="AD8" s="54">
        <v>8</v>
      </c>
      <c r="AE8" s="54">
        <v>9</v>
      </c>
      <c r="AF8" s="55">
        <v>0</v>
      </c>
      <c r="AG8" s="55">
        <v>1</v>
      </c>
      <c r="AH8" s="55">
        <v>2</v>
      </c>
      <c r="AI8" s="55">
        <v>3</v>
      </c>
      <c r="AJ8" s="55">
        <v>4</v>
      </c>
      <c r="AK8" s="55">
        <v>5</v>
      </c>
      <c r="AL8" s="55">
        <v>6</v>
      </c>
      <c r="AM8" s="55">
        <v>7</v>
      </c>
      <c r="AN8" s="55">
        <v>8</v>
      </c>
      <c r="AO8" s="55">
        <v>9</v>
      </c>
      <c r="AP8" s="105">
        <v>0</v>
      </c>
      <c r="AQ8" s="105">
        <v>1</v>
      </c>
      <c r="AR8" s="105">
        <v>2</v>
      </c>
      <c r="AS8" s="105">
        <v>3</v>
      </c>
      <c r="AT8" s="105">
        <v>4</v>
      </c>
      <c r="AU8" s="105">
        <v>5</v>
      </c>
      <c r="AV8" s="105">
        <v>6</v>
      </c>
      <c r="AW8" s="105">
        <v>7</v>
      </c>
      <c r="AX8" s="105">
        <v>8</v>
      </c>
      <c r="AY8" s="105">
        <v>9</v>
      </c>
      <c r="AZ8" s="56">
        <v>0</v>
      </c>
      <c r="BA8" s="56">
        <v>1</v>
      </c>
      <c r="BB8" s="56">
        <v>2</v>
      </c>
      <c r="BC8" s="56">
        <v>3</v>
      </c>
      <c r="BD8" s="56">
        <v>4</v>
      </c>
      <c r="BE8" s="56">
        <v>5</v>
      </c>
      <c r="BF8" s="56">
        <v>6</v>
      </c>
      <c r="BG8" s="56">
        <v>7</v>
      </c>
      <c r="BH8" s="56">
        <v>8</v>
      </c>
      <c r="BI8" s="56">
        <v>9</v>
      </c>
      <c r="BJ8" s="57" t="str">
        <f t="shared" si="9"/>
        <v>标准型</v>
      </c>
      <c r="BK8" s="13">
        <f t="shared" si="5"/>
        <v>2</v>
      </c>
      <c r="BL8" s="13">
        <f t="shared" si="6"/>
        <v>5</v>
      </c>
      <c r="BM8" s="18" t="str">
        <f t="shared" si="11"/>
        <v/>
      </c>
      <c r="BN8" s="19">
        <f t="shared" si="12"/>
        <v>3</v>
      </c>
      <c r="BO8" s="19" t="str">
        <f t="array" ref="BO8">_xlfn.TEXTJOIN("",TRUE,IF(ISERROR(FIND(ROW($1:$10)-1,BM8&amp;BN8)),ROW($1:$10)-1,""))</f>
        <v>012456789</v>
      </c>
      <c r="BP8" s="20" t="str">
        <f t="shared" si="13"/>
        <v>中隔中</v>
      </c>
      <c r="BQ8" s="21" t="str">
        <f t="shared" ref="BQ8:BQ71" si="24">IF(COUNTIF($Q7:$S7,R8)&gt;0,R8,"")</f>
        <v/>
      </c>
      <c r="BR8" s="21" t="str">
        <f t="shared" si="22"/>
        <v/>
      </c>
      <c r="BS8" s="21" t="str">
        <f t="array" ref="BS8">_xlfn.TEXTJOIN("",TRUE,IF(ISERROR(FIND(ROW($1:$10)-1,BQ8&amp;BR8)),ROW($1:$10)-1,""))</f>
        <v>0123456789</v>
      </c>
      <c r="BT8" s="20" t="str">
        <f t="shared" si="14"/>
        <v>中中中</v>
      </c>
      <c r="BU8" s="22">
        <f t="shared" si="15"/>
        <v>2</v>
      </c>
      <c r="BV8" s="22" t="str">
        <f t="shared" si="23"/>
        <v/>
      </c>
      <c r="BW8" s="22" t="str">
        <f t="array" ref="BW8">_xlfn.TEXTJOIN("",TRUE,IF(ISERROR(FIND(ROW($1:$10)-1,BU8&amp;BV8)),ROW($1:$10)-1,""))</f>
        <v>013456789</v>
      </c>
      <c r="BX8" s="20" t="str">
        <f t="shared" si="16"/>
        <v>复中中</v>
      </c>
      <c r="BY8" s="23" t="str">
        <f t="shared" si="10"/>
        <v>24</v>
      </c>
      <c r="BZ8" s="24" t="str">
        <f t="array" ref="BZ8">_xlfn.TEXTJOIN("",TRUE,IF(ISNUMBER(FIND(MID(BY7&amp;Q7,ROW($1:$4),1),BY8&amp;Q8)),MID(BY7&amp;Q7,ROW($1:$4),1),""))</f>
        <v>32</v>
      </c>
      <c r="CA8" s="25" t="str">
        <f t="array" ref="CA8">_xlfn.TEXTJOIN("",TRUE,IF(ISERROR(FIND(ROW($1:$10)-1,BY8&amp;BZ8)),ROW($1:$10)-1,""))</f>
        <v>0156789</v>
      </c>
      <c r="CB8" s="26" t="str">
        <f t="shared" si="17"/>
        <v>邻传孤</v>
      </c>
      <c r="CC8" s="27" t="str">
        <f t="shared" si="18"/>
        <v>46</v>
      </c>
      <c r="CD8" s="27" t="str">
        <f t="array" ref="CD8">_xlfn.TEXTJOIN("",TRUE,IF(ISNUMBER(FIND(MID(CC7&amp;R7,ROW($1:$4),1),CC8&amp;R8)),MID(CC7&amp;R7,ROW($1:$4),1),""))</f>
        <v>56</v>
      </c>
      <c r="CE8" s="27" t="str">
        <f t="array" ref="CE8">_xlfn.TEXTJOIN("",TRUE,IF(ISERROR(FIND(ROW($1:$10)-1,CC8&amp;CD8)),ROW($1:$10)-1,""))</f>
        <v>0123789</v>
      </c>
      <c r="CF8" s="17" t="str">
        <f t="shared" si="19"/>
        <v>邻传孤</v>
      </c>
      <c r="CG8" s="22" t="str">
        <f t="shared" si="20"/>
        <v>13</v>
      </c>
      <c r="CH8" s="22" t="str">
        <f t="array" ref="CH8">_xlfn.TEXTJOIN("",TRUE,IF(ISNUMBER(FIND(MID(CG7&amp;S7,ROW($1:$4),1),CG8&amp;S8)),MID(CG7&amp;S7,ROW($1:$4),1),""))</f>
        <v>3</v>
      </c>
      <c r="CI8" s="22" t="str">
        <f t="array" ref="CI8">_xlfn.TEXTJOIN("",TRUE,IF(ISERROR(FIND(ROW($1:$10)-1,CG8&amp;CH8)),ROW($1:$10)-1,""))</f>
        <v>02456789</v>
      </c>
      <c r="CJ8" s="28" t="str">
        <f t="shared" si="21"/>
        <v>邻传孤</v>
      </c>
    </row>
    <row r="9" spans="1:88">
      <c r="A9" s="32">
        <v>2024136</v>
      </c>
      <c r="B9" s="8" t="s">
        <v>32</v>
      </c>
      <c r="C9" s="49">
        <f t="shared" si="0"/>
        <v>11</v>
      </c>
      <c r="D9" s="50">
        <f t="shared" si="1"/>
        <v>1</v>
      </c>
      <c r="E9" s="51">
        <f t="shared" si="7"/>
        <v>3.6666666666666701</v>
      </c>
      <c r="F9" s="52">
        <f>MAX(MID(B9,{1,2,3},1)*1)-MIN(MID(B9,{1,2,3},1)*1)</f>
        <v>5</v>
      </c>
      <c r="G9" s="104">
        <v>0</v>
      </c>
      <c r="H9" s="104">
        <v>1</v>
      </c>
      <c r="I9" s="104">
        <v>2</v>
      </c>
      <c r="J9" s="104">
        <v>3</v>
      </c>
      <c r="K9" s="104">
        <v>4</v>
      </c>
      <c r="L9" s="104">
        <v>5</v>
      </c>
      <c r="M9" s="104">
        <v>6</v>
      </c>
      <c r="N9" s="104">
        <v>7</v>
      </c>
      <c r="O9" s="104">
        <v>8</v>
      </c>
      <c r="P9" s="104">
        <v>9</v>
      </c>
      <c r="Q9" s="53">
        <f t="shared" si="2"/>
        <v>0</v>
      </c>
      <c r="R9" s="53">
        <f t="shared" si="3"/>
        <v>5</v>
      </c>
      <c r="S9" s="53">
        <f t="shared" si="4"/>
        <v>5</v>
      </c>
      <c r="T9" s="101">
        <f t="shared" si="8"/>
        <v>10</v>
      </c>
      <c r="U9" s="15" t="str">
        <f>_xlfn.TEXTJOIN(", ",TRUE,ABS(MID(B9,{1,1,2},1)-MID(B9,{2,3,3},1)))</f>
        <v>0, 5, 5</v>
      </c>
      <c r="V9" s="54">
        <v>0</v>
      </c>
      <c r="W9" s="54">
        <v>1</v>
      </c>
      <c r="X9" s="54">
        <v>2</v>
      </c>
      <c r="Y9" s="54">
        <v>3</v>
      </c>
      <c r="Z9" s="54">
        <v>4</v>
      </c>
      <c r="AA9" s="54">
        <v>5</v>
      </c>
      <c r="AB9" s="54">
        <v>6</v>
      </c>
      <c r="AC9" s="54">
        <v>7</v>
      </c>
      <c r="AD9" s="54">
        <v>8</v>
      </c>
      <c r="AE9" s="54">
        <v>9</v>
      </c>
      <c r="AF9" s="55">
        <v>0</v>
      </c>
      <c r="AG9" s="55">
        <v>1</v>
      </c>
      <c r="AH9" s="55">
        <v>2</v>
      </c>
      <c r="AI9" s="55">
        <v>3</v>
      </c>
      <c r="AJ9" s="55">
        <v>4</v>
      </c>
      <c r="AK9" s="55">
        <v>5</v>
      </c>
      <c r="AL9" s="55">
        <v>6</v>
      </c>
      <c r="AM9" s="55">
        <v>7</v>
      </c>
      <c r="AN9" s="55">
        <v>8</v>
      </c>
      <c r="AO9" s="55">
        <v>9</v>
      </c>
      <c r="AP9" s="105">
        <v>0</v>
      </c>
      <c r="AQ9" s="105">
        <v>1</v>
      </c>
      <c r="AR9" s="105">
        <v>2</v>
      </c>
      <c r="AS9" s="105">
        <v>3</v>
      </c>
      <c r="AT9" s="105">
        <v>4</v>
      </c>
      <c r="AU9" s="105">
        <v>5</v>
      </c>
      <c r="AV9" s="105">
        <v>6</v>
      </c>
      <c r="AW9" s="105">
        <v>7</v>
      </c>
      <c r="AX9" s="105">
        <v>8</v>
      </c>
      <c r="AY9" s="105">
        <v>9</v>
      </c>
      <c r="AZ9" s="56">
        <v>0</v>
      </c>
      <c r="BA9" s="56">
        <v>1</v>
      </c>
      <c r="BB9" s="56">
        <v>2</v>
      </c>
      <c r="BC9" s="56">
        <v>3</v>
      </c>
      <c r="BD9" s="56">
        <v>4</v>
      </c>
      <c r="BE9" s="56">
        <v>5</v>
      </c>
      <c r="BF9" s="56">
        <v>6</v>
      </c>
      <c r="BG9" s="56">
        <v>7</v>
      </c>
      <c r="BH9" s="56">
        <v>8</v>
      </c>
      <c r="BI9" s="56">
        <v>9</v>
      </c>
      <c r="BJ9" s="57" t="str">
        <f t="shared" si="9"/>
        <v>对子</v>
      </c>
      <c r="BK9" s="13">
        <f t="shared" si="5"/>
        <v>0</v>
      </c>
      <c r="BL9" s="13">
        <f t="shared" si="6"/>
        <v>5</v>
      </c>
      <c r="BM9" s="18" t="str">
        <f t="shared" si="11"/>
        <v/>
      </c>
      <c r="BN9" s="19" t="str">
        <f t="shared" si="12"/>
        <v/>
      </c>
      <c r="BO9" s="19" t="str">
        <f t="array" ref="BO9">_xlfn.TEXTJOIN("",TRUE,IF(ISERROR(FIND(ROW($1:$10)-1,BM9&amp;BN9)),ROW($1:$10)-1,""))</f>
        <v>0123456789</v>
      </c>
      <c r="BP9" s="20" t="str">
        <f t="shared" si="13"/>
        <v>中中中</v>
      </c>
      <c r="BQ9" s="21">
        <f t="shared" si="24"/>
        <v>5</v>
      </c>
      <c r="BR9" s="21" t="str">
        <f t="shared" si="22"/>
        <v/>
      </c>
      <c r="BS9" s="21" t="str">
        <f t="array" ref="BS9">_xlfn.TEXTJOIN("",TRUE,IF(ISERROR(FIND(ROW($1:$10)-1,BQ9&amp;BR9)),ROW($1:$10)-1,""))</f>
        <v>012346789</v>
      </c>
      <c r="BT9" s="20" t="str">
        <f t="shared" si="14"/>
        <v>复中中</v>
      </c>
      <c r="BU9" s="22">
        <f t="shared" si="15"/>
        <v>5</v>
      </c>
      <c r="BV9" s="22" t="str">
        <f t="shared" si="23"/>
        <v/>
      </c>
      <c r="BW9" s="22" t="str">
        <f t="array" ref="BW9">_xlfn.TEXTJOIN("",TRUE,IF(ISERROR(FIND(ROW($1:$10)-1,BU9&amp;BV9)),ROW($1:$10)-1,""))</f>
        <v>012346789</v>
      </c>
      <c r="BX9" s="20" t="str">
        <f t="shared" si="16"/>
        <v>复中中</v>
      </c>
      <c r="BY9" s="23" t="str">
        <f t="shared" si="10"/>
        <v>91</v>
      </c>
      <c r="BZ9" s="24" t="str">
        <f t="array" ref="BZ9">_xlfn.TEXTJOIN("",TRUE,IF(ISNUMBER(FIND(MID(BY8&amp;Q8,ROW($1:$4),1),BY9&amp;Q9)),MID(BY8&amp;Q8,ROW($1:$4),1),""))</f>
        <v/>
      </c>
      <c r="CA9" s="25" t="str">
        <f t="array" ref="CA9">_xlfn.TEXTJOIN("",TRUE,IF(ISERROR(FIND(ROW($1:$10)-1,BY9&amp;BZ9)),ROW($1:$10)-1,""))</f>
        <v>02345678</v>
      </c>
      <c r="CB9" s="26" t="str">
        <f t="shared" si="17"/>
        <v>邻孤孤</v>
      </c>
      <c r="CC9" s="27" t="str">
        <f t="shared" si="18"/>
        <v>46</v>
      </c>
      <c r="CD9" s="27" t="str">
        <f t="array" ref="CD9">_xlfn.TEXTJOIN("",TRUE,IF(ISNUMBER(FIND(MID(CC8&amp;R8,ROW($1:$4),1),CC9&amp;R9)),MID(CC8&amp;R8,ROW($1:$4),1),""))</f>
        <v>465</v>
      </c>
      <c r="CE9" s="27" t="str">
        <f t="array" ref="CE9">_xlfn.TEXTJOIN("",TRUE,IF(ISERROR(FIND(ROW($1:$10)-1,CC9&amp;CD9)),ROW($1:$10)-1,""))</f>
        <v>0123789</v>
      </c>
      <c r="CF9" s="17" t="str">
        <f t="shared" si="19"/>
        <v>邻传孤</v>
      </c>
      <c r="CG9" s="22" t="str">
        <f t="shared" si="20"/>
        <v>46</v>
      </c>
      <c r="CH9" s="22" t="str">
        <f t="array" ref="CH9">_xlfn.TEXTJOIN("",TRUE,IF(ISNUMBER(FIND(MID(CG8&amp;S8,ROW($1:$4),1),CG9&amp;S9)),MID(CG8&amp;S8,ROW($1:$4),1),""))</f>
        <v/>
      </c>
      <c r="CI9" s="22" t="str">
        <f t="array" ref="CI9">_xlfn.TEXTJOIN("",TRUE,IF(ISERROR(FIND(ROW($1:$10)-1,CG9&amp;CH9)),ROW($1:$10)-1,""))</f>
        <v>01235789</v>
      </c>
      <c r="CJ9" s="28" t="str">
        <f t="shared" si="21"/>
        <v>邻孤孤</v>
      </c>
    </row>
    <row r="10" spans="1:88">
      <c r="A10" s="32">
        <v>2024137</v>
      </c>
      <c r="B10" s="8" t="s">
        <v>33</v>
      </c>
      <c r="C10" s="49">
        <f t="shared" si="0"/>
        <v>19</v>
      </c>
      <c r="D10" s="50">
        <f t="shared" si="1"/>
        <v>9</v>
      </c>
      <c r="E10" s="51">
        <f t="shared" si="7"/>
        <v>6.3333333333333304</v>
      </c>
      <c r="F10" s="52">
        <f>MAX(MID(B10,{1,2,3},1)*1)-MIN(MID(B10,{1,2,3},1)*1)</f>
        <v>7</v>
      </c>
      <c r="G10" s="104">
        <v>0</v>
      </c>
      <c r="H10" s="104">
        <v>1</v>
      </c>
      <c r="I10" s="104">
        <v>2</v>
      </c>
      <c r="J10" s="104">
        <v>3</v>
      </c>
      <c r="K10" s="104">
        <v>4</v>
      </c>
      <c r="L10" s="104">
        <v>5</v>
      </c>
      <c r="M10" s="104">
        <v>6</v>
      </c>
      <c r="N10" s="104">
        <v>7</v>
      </c>
      <c r="O10" s="104">
        <v>8</v>
      </c>
      <c r="P10" s="104">
        <v>9</v>
      </c>
      <c r="Q10" s="53">
        <f t="shared" si="2"/>
        <v>1</v>
      </c>
      <c r="R10" s="53">
        <f t="shared" si="3"/>
        <v>7</v>
      </c>
      <c r="S10" s="53">
        <f t="shared" si="4"/>
        <v>6</v>
      </c>
      <c r="T10" s="101">
        <f t="shared" si="8"/>
        <v>14</v>
      </c>
      <c r="U10" s="15" t="str">
        <f>_xlfn.TEXTJOIN(", ",TRUE,ABS(MID(B10,{1,1,2},1)-MID(B10,{2,3,3},1)))</f>
        <v>1, 7, 6</v>
      </c>
      <c r="V10" s="54">
        <v>0</v>
      </c>
      <c r="W10" s="54">
        <v>1</v>
      </c>
      <c r="X10" s="54">
        <v>2</v>
      </c>
      <c r="Y10" s="54">
        <v>3</v>
      </c>
      <c r="Z10" s="54">
        <v>4</v>
      </c>
      <c r="AA10" s="54">
        <v>5</v>
      </c>
      <c r="AB10" s="54">
        <v>6</v>
      </c>
      <c r="AC10" s="54">
        <v>7</v>
      </c>
      <c r="AD10" s="54">
        <v>8</v>
      </c>
      <c r="AE10" s="54">
        <v>9</v>
      </c>
      <c r="AF10" s="55">
        <v>0</v>
      </c>
      <c r="AG10" s="55">
        <v>1</v>
      </c>
      <c r="AH10" s="55">
        <v>2</v>
      </c>
      <c r="AI10" s="55">
        <v>3</v>
      </c>
      <c r="AJ10" s="55">
        <v>4</v>
      </c>
      <c r="AK10" s="55">
        <v>5</v>
      </c>
      <c r="AL10" s="55">
        <v>6</v>
      </c>
      <c r="AM10" s="55">
        <v>7</v>
      </c>
      <c r="AN10" s="55">
        <v>8</v>
      </c>
      <c r="AO10" s="55">
        <v>9</v>
      </c>
      <c r="AP10" s="105">
        <v>0</v>
      </c>
      <c r="AQ10" s="105">
        <v>1</v>
      </c>
      <c r="AR10" s="105">
        <v>2</v>
      </c>
      <c r="AS10" s="105">
        <v>3</v>
      </c>
      <c r="AT10" s="105">
        <v>4</v>
      </c>
      <c r="AU10" s="105">
        <v>5</v>
      </c>
      <c r="AV10" s="105">
        <v>6</v>
      </c>
      <c r="AW10" s="105">
        <v>7</v>
      </c>
      <c r="AX10" s="105">
        <v>8</v>
      </c>
      <c r="AY10" s="105">
        <v>9</v>
      </c>
      <c r="AZ10" s="56">
        <v>0</v>
      </c>
      <c r="BA10" s="56">
        <v>1</v>
      </c>
      <c r="BB10" s="56">
        <v>2</v>
      </c>
      <c r="BC10" s="56">
        <v>3</v>
      </c>
      <c r="BD10" s="56">
        <v>4</v>
      </c>
      <c r="BE10" s="56">
        <v>5</v>
      </c>
      <c r="BF10" s="56">
        <v>6</v>
      </c>
      <c r="BG10" s="56">
        <v>7</v>
      </c>
      <c r="BH10" s="56">
        <v>8</v>
      </c>
      <c r="BI10" s="56">
        <v>9</v>
      </c>
      <c r="BJ10" s="57" t="str">
        <f t="shared" si="9"/>
        <v>松散型</v>
      </c>
      <c r="BK10" s="13">
        <f t="shared" si="5"/>
        <v>1</v>
      </c>
      <c r="BL10" s="13">
        <f t="shared" si="6"/>
        <v>7</v>
      </c>
      <c r="BM10" s="18" t="str">
        <f t="shared" si="11"/>
        <v/>
      </c>
      <c r="BN10" s="19" t="str">
        <f t="shared" si="12"/>
        <v/>
      </c>
      <c r="BO10" s="19" t="str">
        <f t="array" ref="BO10">_xlfn.TEXTJOIN("",TRUE,IF(ISERROR(FIND(ROW($1:$10)-1,BM10&amp;BN10)),ROW($1:$10)-1,""))</f>
        <v>0123456789</v>
      </c>
      <c r="BP10" s="20" t="str">
        <f t="shared" si="13"/>
        <v>中中中</v>
      </c>
      <c r="BQ10" s="21" t="str">
        <f t="shared" si="24"/>
        <v/>
      </c>
      <c r="BR10" s="21" t="str">
        <f t="shared" si="22"/>
        <v/>
      </c>
      <c r="BS10" s="21" t="str">
        <f t="array" ref="BS10">_xlfn.TEXTJOIN("",TRUE,IF(ISERROR(FIND(ROW($1:$10)-1,BQ10&amp;BR10)),ROW($1:$10)-1,""))</f>
        <v>0123456789</v>
      </c>
      <c r="BT10" s="20" t="str">
        <f t="shared" si="14"/>
        <v>中中中</v>
      </c>
      <c r="BU10" s="22" t="str">
        <f t="shared" si="15"/>
        <v/>
      </c>
      <c r="BV10" s="22" t="str">
        <f t="shared" si="23"/>
        <v/>
      </c>
      <c r="BW10" s="22" t="str">
        <f t="array" ref="BW10">_xlfn.TEXTJOIN("",TRUE,IF(ISERROR(FIND(ROW($1:$10)-1,BU10&amp;BV10)),ROW($1:$10)-1,""))</f>
        <v>0123456789</v>
      </c>
      <c r="BX10" s="20" t="str">
        <f t="shared" si="16"/>
        <v>中中中</v>
      </c>
      <c r="BY10" s="23" t="str">
        <f t="shared" si="10"/>
        <v>02</v>
      </c>
      <c r="BZ10" s="24" t="str">
        <f t="array" ref="BZ10">_xlfn.TEXTJOIN("",TRUE,IF(ISNUMBER(FIND(MID(BY9&amp;Q9,ROW($1:$4),1),BY10&amp;Q10)),MID(BY9&amp;Q9,ROW($1:$4),1),""))</f>
        <v>10</v>
      </c>
      <c r="CA10" s="25" t="str">
        <f t="array" ref="CA10">_xlfn.TEXTJOIN("",TRUE,IF(ISERROR(FIND(ROW($1:$10)-1,BY10&amp;BZ10)),ROW($1:$10)-1,""))</f>
        <v>3456789</v>
      </c>
      <c r="CB10" s="26" t="str">
        <f t="shared" si="17"/>
        <v>邻传孤</v>
      </c>
      <c r="CC10" s="27" t="str">
        <f t="shared" si="18"/>
        <v>68</v>
      </c>
      <c r="CD10" s="27" t="str">
        <f t="array" ref="CD10">_xlfn.TEXTJOIN("",TRUE,IF(ISNUMBER(FIND(MID(CC9&amp;R9,ROW($1:$4),1),CC10&amp;R10)),MID(CC9&amp;R9,ROW($1:$4),1),""))</f>
        <v>6</v>
      </c>
      <c r="CE10" s="27" t="str">
        <f t="array" ref="CE10">_xlfn.TEXTJOIN("",TRUE,IF(ISERROR(FIND(ROW($1:$10)-1,CC10&amp;CD10)),ROW($1:$10)-1,""))</f>
        <v>01234579</v>
      </c>
      <c r="CF10" s="17" t="str">
        <f t="shared" si="19"/>
        <v>邻传孤</v>
      </c>
      <c r="CG10" s="22" t="str">
        <f t="shared" si="20"/>
        <v>57</v>
      </c>
      <c r="CH10" s="22" t="str">
        <f t="array" ref="CH10">_xlfn.TEXTJOIN("",TRUE,IF(ISNUMBER(FIND(MID(CG9&amp;S9,ROW($1:$4),1),CG10&amp;S10)),MID(CG9&amp;S9,ROW($1:$4),1),""))</f>
        <v>65</v>
      </c>
      <c r="CI10" s="22" t="str">
        <f t="array" ref="CI10">_xlfn.TEXTJOIN("",TRUE,IF(ISERROR(FIND(ROW($1:$10)-1,CG10&amp;CH10)),ROW($1:$10)-1,""))</f>
        <v>0123489</v>
      </c>
      <c r="CJ10" s="28" t="str">
        <f t="shared" si="21"/>
        <v>邻传孤</v>
      </c>
    </row>
    <row r="11" spans="1:88">
      <c r="A11" s="32">
        <v>2024138</v>
      </c>
      <c r="B11" s="8" t="s">
        <v>34</v>
      </c>
      <c r="C11" s="49">
        <f t="shared" si="0"/>
        <v>19</v>
      </c>
      <c r="D11" s="50">
        <f t="shared" si="1"/>
        <v>9</v>
      </c>
      <c r="E11" s="51">
        <f t="shared" si="7"/>
        <v>6.3333333333333304</v>
      </c>
      <c r="F11" s="52">
        <f>MAX(MID(B11,{1,2,3},1)*1)-MIN(MID(B11,{1,2,3},1)*1)</f>
        <v>4</v>
      </c>
      <c r="G11" s="104">
        <v>0</v>
      </c>
      <c r="H11" s="104">
        <v>1</v>
      </c>
      <c r="I11" s="104">
        <v>2</v>
      </c>
      <c r="J11" s="104">
        <v>3</v>
      </c>
      <c r="K11" s="104">
        <v>4</v>
      </c>
      <c r="L11" s="104">
        <v>5</v>
      </c>
      <c r="M11" s="104">
        <v>6</v>
      </c>
      <c r="N11" s="104">
        <v>7</v>
      </c>
      <c r="O11" s="104">
        <v>8</v>
      </c>
      <c r="P11" s="104">
        <v>9</v>
      </c>
      <c r="Q11" s="53">
        <f t="shared" si="2"/>
        <v>4</v>
      </c>
      <c r="R11" s="53">
        <f t="shared" si="3"/>
        <v>4</v>
      </c>
      <c r="S11" s="53">
        <f t="shared" si="4"/>
        <v>0</v>
      </c>
      <c r="T11" s="101">
        <f t="shared" si="8"/>
        <v>8</v>
      </c>
      <c r="U11" s="15" t="str">
        <f>_xlfn.TEXTJOIN(", ",TRUE,ABS(MID(B11,{1,1,2},1)-MID(B11,{2,3,3},1)))</f>
        <v>4, 4, 0</v>
      </c>
      <c r="V11" s="54">
        <v>0</v>
      </c>
      <c r="W11" s="54">
        <v>1</v>
      </c>
      <c r="X11" s="54">
        <v>2</v>
      </c>
      <c r="Y11" s="54">
        <v>3</v>
      </c>
      <c r="Z11" s="54">
        <v>4</v>
      </c>
      <c r="AA11" s="54">
        <v>5</v>
      </c>
      <c r="AB11" s="54">
        <v>6</v>
      </c>
      <c r="AC11" s="54">
        <v>7</v>
      </c>
      <c r="AD11" s="54">
        <v>8</v>
      </c>
      <c r="AE11" s="54">
        <v>9</v>
      </c>
      <c r="AF11" s="55">
        <v>0</v>
      </c>
      <c r="AG11" s="55">
        <v>1</v>
      </c>
      <c r="AH11" s="55">
        <v>2</v>
      </c>
      <c r="AI11" s="55">
        <v>3</v>
      </c>
      <c r="AJ11" s="55">
        <v>4</v>
      </c>
      <c r="AK11" s="55">
        <v>5</v>
      </c>
      <c r="AL11" s="55">
        <v>6</v>
      </c>
      <c r="AM11" s="55">
        <v>7</v>
      </c>
      <c r="AN11" s="55">
        <v>8</v>
      </c>
      <c r="AO11" s="55">
        <v>9</v>
      </c>
      <c r="AP11" s="105">
        <v>0</v>
      </c>
      <c r="AQ11" s="105">
        <v>1</v>
      </c>
      <c r="AR11" s="105">
        <v>2</v>
      </c>
      <c r="AS11" s="105">
        <v>3</v>
      </c>
      <c r="AT11" s="105">
        <v>4</v>
      </c>
      <c r="AU11" s="105">
        <v>5</v>
      </c>
      <c r="AV11" s="105">
        <v>6</v>
      </c>
      <c r="AW11" s="105">
        <v>7</v>
      </c>
      <c r="AX11" s="105">
        <v>8</v>
      </c>
      <c r="AY11" s="105">
        <v>9</v>
      </c>
      <c r="AZ11" s="56">
        <v>0</v>
      </c>
      <c r="BA11" s="56">
        <v>1</v>
      </c>
      <c r="BB11" s="56">
        <v>2</v>
      </c>
      <c r="BC11" s="56">
        <v>3</v>
      </c>
      <c r="BD11" s="56">
        <v>4</v>
      </c>
      <c r="BE11" s="56">
        <v>5</v>
      </c>
      <c r="BF11" s="56">
        <v>6</v>
      </c>
      <c r="BG11" s="56">
        <v>7</v>
      </c>
      <c r="BH11" s="56">
        <v>8</v>
      </c>
      <c r="BI11" s="56">
        <v>9</v>
      </c>
      <c r="BJ11" s="57" t="str">
        <f t="shared" si="9"/>
        <v>紧凑型</v>
      </c>
      <c r="BK11" s="13">
        <f t="shared" si="5"/>
        <v>0</v>
      </c>
      <c r="BL11" s="13">
        <f t="shared" si="6"/>
        <v>4</v>
      </c>
      <c r="BM11" s="18" t="str">
        <f t="shared" si="11"/>
        <v/>
      </c>
      <c r="BN11" s="19" t="str">
        <f t="shared" si="12"/>
        <v/>
      </c>
      <c r="BO11" s="19" t="str">
        <f t="array" ref="BO11">_xlfn.TEXTJOIN("",TRUE,IF(ISERROR(FIND(ROW($1:$10)-1,BM11&amp;BN11)),ROW($1:$10)-1,""))</f>
        <v>0123456789</v>
      </c>
      <c r="BP11" s="20" t="str">
        <f t="shared" si="13"/>
        <v>中中中</v>
      </c>
      <c r="BQ11" s="21" t="str">
        <f t="shared" si="24"/>
        <v/>
      </c>
      <c r="BR11" s="21" t="str">
        <f t="shared" si="22"/>
        <v/>
      </c>
      <c r="BS11" s="21" t="str">
        <f t="array" ref="BS11">_xlfn.TEXTJOIN("",TRUE,IF(ISERROR(FIND(ROW($1:$10)-1,BQ11&amp;BR11)),ROW($1:$10)-1,""))</f>
        <v>0123456789</v>
      </c>
      <c r="BT11" s="20" t="str">
        <f t="shared" si="14"/>
        <v>中中中</v>
      </c>
      <c r="BU11" s="22" t="str">
        <f t="shared" si="15"/>
        <v/>
      </c>
      <c r="BV11" s="22">
        <f t="shared" si="23"/>
        <v>0</v>
      </c>
      <c r="BW11" s="22" t="str">
        <f t="array" ref="BW11">_xlfn.TEXTJOIN("",TRUE,IF(ISERROR(FIND(ROW($1:$10)-1,BU11&amp;BV11)),ROW($1:$10)-1,""))</f>
        <v>123456789</v>
      </c>
      <c r="BX11" s="20" t="str">
        <f t="shared" si="16"/>
        <v>中隔中</v>
      </c>
      <c r="BY11" s="23" t="str">
        <f t="shared" si="10"/>
        <v>35</v>
      </c>
      <c r="BZ11" s="24" t="str">
        <f t="array" ref="BZ11">_xlfn.TEXTJOIN("",TRUE,IF(ISNUMBER(FIND(MID(BY10&amp;Q10,ROW($1:$4),1),BY11&amp;Q11)),MID(BY10&amp;Q10,ROW($1:$4),1),""))</f>
        <v/>
      </c>
      <c r="CA11" s="25" t="str">
        <f t="array" ref="CA11">_xlfn.TEXTJOIN("",TRUE,IF(ISERROR(FIND(ROW($1:$10)-1,BY11&amp;BZ11)),ROW($1:$10)-1,""))</f>
        <v>01246789</v>
      </c>
      <c r="CB11" s="26" t="str">
        <f t="shared" si="17"/>
        <v>邻孤孤</v>
      </c>
      <c r="CC11" s="27" t="str">
        <f t="shared" si="18"/>
        <v>35</v>
      </c>
      <c r="CD11" s="27" t="str">
        <f t="array" ref="CD11">_xlfn.TEXTJOIN("",TRUE,IF(ISNUMBER(FIND(MID(CC10&amp;R10,ROW($1:$4),1),CC11&amp;R11)),MID(CC10&amp;R10,ROW($1:$4),1),""))</f>
        <v/>
      </c>
      <c r="CE11" s="27" t="str">
        <f t="array" ref="CE11">_xlfn.TEXTJOIN("",TRUE,IF(ISERROR(FIND(ROW($1:$10)-1,CC11&amp;CD11)),ROW($1:$10)-1,""))</f>
        <v>01246789</v>
      </c>
      <c r="CF11" s="17" t="str">
        <f t="shared" si="19"/>
        <v>邻孤孤</v>
      </c>
      <c r="CG11" s="22" t="str">
        <f t="shared" si="20"/>
        <v>91</v>
      </c>
      <c r="CH11" s="22" t="str">
        <f t="array" ref="CH11">_xlfn.TEXTJOIN("",TRUE,IF(ISNUMBER(FIND(MID(CG10&amp;S10,ROW($1:$4),1),CG11&amp;S11)),MID(CG10&amp;S10,ROW($1:$4),1),""))</f>
        <v/>
      </c>
      <c r="CI11" s="22" t="str">
        <f t="array" ref="CI11">_xlfn.TEXTJOIN("",TRUE,IF(ISERROR(FIND(ROW($1:$10)-1,CG11&amp;CH11)),ROW($1:$10)-1,""))</f>
        <v>02345678</v>
      </c>
      <c r="CJ11" s="28" t="str">
        <f t="shared" si="21"/>
        <v>邻孤孤</v>
      </c>
    </row>
    <row r="12" spans="1:88">
      <c r="A12" s="32">
        <v>2024139</v>
      </c>
      <c r="B12" s="8" t="s">
        <v>35</v>
      </c>
      <c r="C12" s="49">
        <f t="shared" si="0"/>
        <v>19</v>
      </c>
      <c r="D12" s="50">
        <f t="shared" si="1"/>
        <v>9</v>
      </c>
      <c r="E12" s="51">
        <f t="shared" si="7"/>
        <v>6.3333333333333304</v>
      </c>
      <c r="F12" s="52">
        <f>MAX(MID(B12,{1,2,3},1)*1)-MIN(MID(B12,{1,2,3},1)*1)</f>
        <v>4</v>
      </c>
      <c r="G12" s="104">
        <v>0</v>
      </c>
      <c r="H12" s="104">
        <v>1</v>
      </c>
      <c r="I12" s="104">
        <v>2</v>
      </c>
      <c r="J12" s="104">
        <v>3</v>
      </c>
      <c r="K12" s="104">
        <v>4</v>
      </c>
      <c r="L12" s="104">
        <v>5</v>
      </c>
      <c r="M12" s="104">
        <v>6</v>
      </c>
      <c r="N12" s="104">
        <v>7</v>
      </c>
      <c r="O12" s="104">
        <v>8</v>
      </c>
      <c r="P12" s="104">
        <v>9</v>
      </c>
      <c r="Q12" s="53">
        <f t="shared" si="2"/>
        <v>3</v>
      </c>
      <c r="R12" s="53">
        <f t="shared" si="3"/>
        <v>1</v>
      </c>
      <c r="S12" s="53">
        <f t="shared" si="4"/>
        <v>4</v>
      </c>
      <c r="T12" s="101">
        <f t="shared" si="8"/>
        <v>8</v>
      </c>
      <c r="U12" s="15" t="str">
        <f>_xlfn.TEXTJOIN(", ",TRUE,ABS(MID(B12,{1,1,2},1)-MID(B12,{2,3,3},1)))</f>
        <v>3, 1, 4</v>
      </c>
      <c r="V12" s="54">
        <v>0</v>
      </c>
      <c r="W12" s="54">
        <v>1</v>
      </c>
      <c r="X12" s="54">
        <v>2</v>
      </c>
      <c r="Y12" s="54">
        <v>3</v>
      </c>
      <c r="Z12" s="54">
        <v>4</v>
      </c>
      <c r="AA12" s="54">
        <v>5</v>
      </c>
      <c r="AB12" s="54">
        <v>6</v>
      </c>
      <c r="AC12" s="54">
        <v>7</v>
      </c>
      <c r="AD12" s="54">
        <v>8</v>
      </c>
      <c r="AE12" s="54">
        <v>9</v>
      </c>
      <c r="AF12" s="55">
        <v>0</v>
      </c>
      <c r="AG12" s="55">
        <v>1</v>
      </c>
      <c r="AH12" s="55">
        <v>2</v>
      </c>
      <c r="AI12" s="55">
        <v>3</v>
      </c>
      <c r="AJ12" s="55">
        <v>4</v>
      </c>
      <c r="AK12" s="55">
        <v>5</v>
      </c>
      <c r="AL12" s="55">
        <v>6</v>
      </c>
      <c r="AM12" s="55">
        <v>7</v>
      </c>
      <c r="AN12" s="55">
        <v>8</v>
      </c>
      <c r="AO12" s="55">
        <v>9</v>
      </c>
      <c r="AP12" s="105">
        <v>0</v>
      </c>
      <c r="AQ12" s="105">
        <v>1</v>
      </c>
      <c r="AR12" s="105">
        <v>2</v>
      </c>
      <c r="AS12" s="105">
        <v>3</v>
      </c>
      <c r="AT12" s="105">
        <v>4</v>
      </c>
      <c r="AU12" s="105">
        <v>5</v>
      </c>
      <c r="AV12" s="105">
        <v>6</v>
      </c>
      <c r="AW12" s="105">
        <v>7</v>
      </c>
      <c r="AX12" s="105">
        <v>8</v>
      </c>
      <c r="AY12" s="105">
        <v>9</v>
      </c>
      <c r="AZ12" s="56">
        <v>0</v>
      </c>
      <c r="BA12" s="56">
        <v>1</v>
      </c>
      <c r="BB12" s="56">
        <v>2</v>
      </c>
      <c r="BC12" s="56">
        <v>3</v>
      </c>
      <c r="BD12" s="56">
        <v>4</v>
      </c>
      <c r="BE12" s="56">
        <v>5</v>
      </c>
      <c r="BF12" s="56">
        <v>6</v>
      </c>
      <c r="BG12" s="56">
        <v>7</v>
      </c>
      <c r="BH12" s="56">
        <v>8</v>
      </c>
      <c r="BI12" s="56">
        <v>9</v>
      </c>
      <c r="BJ12" s="57" t="str">
        <f t="shared" si="9"/>
        <v>紧凑型</v>
      </c>
      <c r="BK12" s="13">
        <f t="shared" si="5"/>
        <v>1</v>
      </c>
      <c r="BL12" s="13">
        <f t="shared" si="6"/>
        <v>4</v>
      </c>
      <c r="BM12" s="18" t="str">
        <f t="shared" si="11"/>
        <v/>
      </c>
      <c r="BN12" s="19" t="str">
        <f t="shared" si="12"/>
        <v/>
      </c>
      <c r="BO12" s="19" t="str">
        <f t="array" ref="BO12">_xlfn.TEXTJOIN("",TRUE,IF(ISERROR(FIND(ROW($1:$10)-1,BM12&amp;BN12)),ROW($1:$10)-1,""))</f>
        <v>0123456789</v>
      </c>
      <c r="BP12" s="20" t="str">
        <f t="shared" si="13"/>
        <v>中中中</v>
      </c>
      <c r="BQ12" s="21" t="str">
        <f t="shared" si="24"/>
        <v/>
      </c>
      <c r="BR12" s="21">
        <f t="shared" si="22"/>
        <v>1</v>
      </c>
      <c r="BS12" s="21" t="str">
        <f t="array" ref="BS12">_xlfn.TEXTJOIN("",TRUE,IF(ISERROR(FIND(ROW($1:$10)-1,BQ12&amp;BR12)),ROW($1:$10)-1,""))</f>
        <v>023456789</v>
      </c>
      <c r="BT12" s="20" t="str">
        <f t="shared" si="14"/>
        <v>中隔中</v>
      </c>
      <c r="BU12" s="22">
        <f t="shared" si="15"/>
        <v>4</v>
      </c>
      <c r="BV12" s="22" t="str">
        <f t="shared" si="23"/>
        <v/>
      </c>
      <c r="BW12" s="22" t="str">
        <f t="array" ref="BW12">_xlfn.TEXTJOIN("",TRUE,IF(ISERROR(FIND(ROW($1:$10)-1,BU12&amp;BV12)),ROW($1:$10)-1,""))</f>
        <v>012356789</v>
      </c>
      <c r="BX12" s="20" t="str">
        <f t="shared" si="16"/>
        <v>复中中</v>
      </c>
      <c r="BY12" s="23" t="str">
        <f t="shared" si="10"/>
        <v>24</v>
      </c>
      <c r="BZ12" s="24" t="str">
        <f t="array" ref="BZ12">_xlfn.TEXTJOIN("",TRUE,IF(ISNUMBER(FIND(MID(BY11&amp;Q11,ROW($1:$4),1),BY12&amp;Q12)),MID(BY11&amp;Q11,ROW($1:$4),1),""))</f>
        <v>34</v>
      </c>
      <c r="CA12" s="25" t="str">
        <f t="array" ref="CA12">_xlfn.TEXTJOIN("",TRUE,IF(ISERROR(FIND(ROW($1:$10)-1,BY12&amp;BZ12)),ROW($1:$10)-1,""))</f>
        <v>0156789</v>
      </c>
      <c r="CB12" s="26" t="str">
        <f t="shared" si="17"/>
        <v>邻传孤</v>
      </c>
      <c r="CC12" s="27" t="str">
        <f t="shared" si="18"/>
        <v>02</v>
      </c>
      <c r="CD12" s="27" t="str">
        <f t="array" ref="CD12">_xlfn.TEXTJOIN("",TRUE,IF(ISNUMBER(FIND(MID(CC11&amp;R11,ROW($1:$4),1),CC12&amp;R12)),MID(CC11&amp;R11,ROW($1:$4),1),""))</f>
        <v/>
      </c>
      <c r="CE12" s="27" t="str">
        <f t="array" ref="CE12">_xlfn.TEXTJOIN("",TRUE,IF(ISERROR(FIND(ROW($1:$10)-1,CC12&amp;CD12)),ROW($1:$10)-1,""))</f>
        <v>13456789</v>
      </c>
      <c r="CF12" s="17" t="str">
        <f t="shared" si="19"/>
        <v>邻孤孤</v>
      </c>
      <c r="CG12" s="22" t="str">
        <f t="shared" si="20"/>
        <v>35</v>
      </c>
      <c r="CH12" s="22" t="str">
        <f t="array" ref="CH12">_xlfn.TEXTJOIN("",TRUE,IF(ISNUMBER(FIND(MID(CG11&amp;S11,ROW($1:$4),1),CG12&amp;S12)),MID(CG11&amp;S11,ROW($1:$4),1),""))</f>
        <v/>
      </c>
      <c r="CI12" s="22" t="str">
        <f t="array" ref="CI12">_xlfn.TEXTJOIN("",TRUE,IF(ISERROR(FIND(ROW($1:$10)-1,CG12&amp;CH12)),ROW($1:$10)-1,""))</f>
        <v>01246789</v>
      </c>
      <c r="CJ12" s="28" t="str">
        <f t="shared" si="21"/>
        <v>邻孤孤</v>
      </c>
    </row>
    <row r="13" spans="1:88">
      <c r="A13" s="32">
        <v>2024140</v>
      </c>
      <c r="B13" s="8" t="s">
        <v>36</v>
      </c>
      <c r="C13" s="49">
        <f t="shared" si="0"/>
        <v>14</v>
      </c>
      <c r="D13" s="50">
        <f t="shared" si="1"/>
        <v>4</v>
      </c>
      <c r="E13" s="51">
        <f t="shared" si="7"/>
        <v>4.6666666666666696</v>
      </c>
      <c r="F13" s="52">
        <f>MAX(MID(B13,{1,2,3},1)*1)-MIN(MID(B13,{1,2,3},1)*1)</f>
        <v>3</v>
      </c>
      <c r="G13" s="104">
        <v>0</v>
      </c>
      <c r="H13" s="104">
        <v>1</v>
      </c>
      <c r="I13" s="104">
        <v>2</v>
      </c>
      <c r="J13" s="104">
        <v>3</v>
      </c>
      <c r="K13" s="104">
        <v>4</v>
      </c>
      <c r="L13" s="104">
        <v>5</v>
      </c>
      <c r="M13" s="104">
        <v>6</v>
      </c>
      <c r="N13" s="104">
        <v>7</v>
      </c>
      <c r="O13" s="104">
        <v>8</v>
      </c>
      <c r="P13" s="104">
        <v>9</v>
      </c>
      <c r="Q13" s="53">
        <f t="shared" si="2"/>
        <v>2</v>
      </c>
      <c r="R13" s="53">
        <f t="shared" si="3"/>
        <v>1</v>
      </c>
      <c r="S13" s="53">
        <f t="shared" si="4"/>
        <v>3</v>
      </c>
      <c r="T13" s="101">
        <f t="shared" si="8"/>
        <v>6</v>
      </c>
      <c r="U13" s="15" t="str">
        <f>_xlfn.TEXTJOIN(", ",TRUE,ABS(MID(B13,{1,1,2},1)-MID(B13,{2,3,3},1)))</f>
        <v>2, 1, 3</v>
      </c>
      <c r="V13" s="54">
        <v>0</v>
      </c>
      <c r="W13" s="54">
        <v>1</v>
      </c>
      <c r="X13" s="54">
        <v>2</v>
      </c>
      <c r="Y13" s="54">
        <v>3</v>
      </c>
      <c r="Z13" s="54">
        <v>4</v>
      </c>
      <c r="AA13" s="54">
        <v>5</v>
      </c>
      <c r="AB13" s="54">
        <v>6</v>
      </c>
      <c r="AC13" s="54">
        <v>7</v>
      </c>
      <c r="AD13" s="54">
        <v>8</v>
      </c>
      <c r="AE13" s="54">
        <v>9</v>
      </c>
      <c r="AF13" s="55">
        <v>0</v>
      </c>
      <c r="AG13" s="55">
        <v>1</v>
      </c>
      <c r="AH13" s="55">
        <v>2</v>
      </c>
      <c r="AI13" s="55">
        <v>3</v>
      </c>
      <c r="AJ13" s="55">
        <v>4</v>
      </c>
      <c r="AK13" s="55">
        <v>5</v>
      </c>
      <c r="AL13" s="55">
        <v>6</v>
      </c>
      <c r="AM13" s="55">
        <v>7</v>
      </c>
      <c r="AN13" s="55">
        <v>8</v>
      </c>
      <c r="AO13" s="55">
        <v>9</v>
      </c>
      <c r="AP13" s="105">
        <v>0</v>
      </c>
      <c r="AQ13" s="105">
        <v>1</v>
      </c>
      <c r="AR13" s="105">
        <v>2</v>
      </c>
      <c r="AS13" s="105">
        <v>3</v>
      </c>
      <c r="AT13" s="105">
        <v>4</v>
      </c>
      <c r="AU13" s="105">
        <v>5</v>
      </c>
      <c r="AV13" s="105">
        <v>6</v>
      </c>
      <c r="AW13" s="105">
        <v>7</v>
      </c>
      <c r="AX13" s="105">
        <v>8</v>
      </c>
      <c r="AY13" s="105">
        <v>9</v>
      </c>
      <c r="AZ13" s="56">
        <v>0</v>
      </c>
      <c r="BA13" s="56">
        <v>1</v>
      </c>
      <c r="BB13" s="56">
        <v>2</v>
      </c>
      <c r="BC13" s="56">
        <v>3</v>
      </c>
      <c r="BD13" s="56">
        <v>4</v>
      </c>
      <c r="BE13" s="56">
        <v>5</v>
      </c>
      <c r="BF13" s="56">
        <v>6</v>
      </c>
      <c r="BG13" s="56">
        <v>7</v>
      </c>
      <c r="BH13" s="56">
        <v>8</v>
      </c>
      <c r="BI13" s="56">
        <v>9</v>
      </c>
      <c r="BJ13" s="57" t="str">
        <f t="shared" si="9"/>
        <v>紧凑型</v>
      </c>
      <c r="BK13" s="13">
        <f t="shared" si="5"/>
        <v>1</v>
      </c>
      <c r="BL13" s="13">
        <f t="shared" si="6"/>
        <v>3</v>
      </c>
      <c r="BM13" s="18" t="str">
        <f t="shared" si="11"/>
        <v/>
      </c>
      <c r="BN13" s="19" t="str">
        <f t="shared" si="12"/>
        <v/>
      </c>
      <c r="BO13" s="19" t="str">
        <f t="array" ref="BO13">_xlfn.TEXTJOIN("",TRUE,IF(ISERROR(FIND(ROW($1:$10)-1,BM13&amp;BN13)),ROW($1:$10)-1,""))</f>
        <v>0123456789</v>
      </c>
      <c r="BP13" s="20" t="str">
        <f t="shared" si="13"/>
        <v>中中中</v>
      </c>
      <c r="BQ13" s="21">
        <f t="shared" si="24"/>
        <v>1</v>
      </c>
      <c r="BR13" s="21" t="str">
        <f t="shared" si="22"/>
        <v/>
      </c>
      <c r="BS13" s="21" t="str">
        <f t="array" ref="BS13">_xlfn.TEXTJOIN("",TRUE,IF(ISERROR(FIND(ROW($1:$10)-1,BQ13&amp;BR13)),ROW($1:$10)-1,""))</f>
        <v>023456789</v>
      </c>
      <c r="BT13" s="20" t="str">
        <f t="shared" si="14"/>
        <v>复中中</v>
      </c>
      <c r="BU13" s="22">
        <f t="shared" si="15"/>
        <v>3</v>
      </c>
      <c r="BV13" s="22" t="str">
        <f t="shared" si="23"/>
        <v/>
      </c>
      <c r="BW13" s="22" t="str">
        <f t="array" ref="BW13">_xlfn.TEXTJOIN("",TRUE,IF(ISERROR(FIND(ROW($1:$10)-1,BU13&amp;BV13)),ROW($1:$10)-1,""))</f>
        <v>012456789</v>
      </c>
      <c r="BX13" s="20" t="str">
        <f t="shared" si="16"/>
        <v>复中中</v>
      </c>
      <c r="BY13" s="23" t="str">
        <f t="shared" si="10"/>
        <v>13</v>
      </c>
      <c r="BZ13" s="24" t="str">
        <f t="array" ref="BZ13">_xlfn.TEXTJOIN("",TRUE,IF(ISNUMBER(FIND(MID(BY12&amp;Q12,ROW($1:$4),1),BY13&amp;Q13)),MID(BY12&amp;Q12,ROW($1:$4),1),""))</f>
        <v>23</v>
      </c>
      <c r="CA13" s="25" t="str">
        <f t="array" ref="CA13">_xlfn.TEXTJOIN("",TRUE,IF(ISERROR(FIND(ROW($1:$10)-1,BY13&amp;BZ13)),ROW($1:$10)-1,""))</f>
        <v>0456789</v>
      </c>
      <c r="CB13" s="26" t="str">
        <f t="shared" si="17"/>
        <v>邻传孤</v>
      </c>
      <c r="CC13" s="27" t="str">
        <f t="shared" si="18"/>
        <v>02</v>
      </c>
      <c r="CD13" s="27" t="str">
        <f t="array" ref="CD13">_xlfn.TEXTJOIN("",TRUE,IF(ISNUMBER(FIND(MID(CC12&amp;R12,ROW($1:$4),1),CC13&amp;R13)),MID(CC12&amp;R12,ROW($1:$4),1),""))</f>
        <v>021</v>
      </c>
      <c r="CE13" s="27" t="str">
        <f t="array" ref="CE13">_xlfn.TEXTJOIN("",TRUE,IF(ISERROR(FIND(ROW($1:$10)-1,CC13&amp;CD13)),ROW($1:$10)-1,""))</f>
        <v>3456789</v>
      </c>
      <c r="CF13" s="17" t="str">
        <f t="shared" si="19"/>
        <v>邻传孤</v>
      </c>
      <c r="CG13" s="22" t="str">
        <f t="shared" si="20"/>
        <v>24</v>
      </c>
      <c r="CH13" s="22" t="str">
        <f t="array" ref="CH13">_xlfn.TEXTJOIN("",TRUE,IF(ISNUMBER(FIND(MID(CG12&amp;S12,ROW($1:$4),1),CG13&amp;S13)),MID(CG12&amp;S12,ROW($1:$4),1),""))</f>
        <v>34</v>
      </c>
      <c r="CI13" s="22" t="str">
        <f t="array" ref="CI13">_xlfn.TEXTJOIN("",TRUE,IF(ISERROR(FIND(ROW($1:$10)-1,CG13&amp;CH13)),ROW($1:$10)-1,""))</f>
        <v>0156789</v>
      </c>
      <c r="CJ13" s="28" t="str">
        <f t="shared" si="21"/>
        <v>邻传孤</v>
      </c>
    </row>
    <row r="14" spans="1:88">
      <c r="A14" s="32">
        <v>2024141</v>
      </c>
      <c r="B14" s="8" t="s">
        <v>37</v>
      </c>
      <c r="C14" s="49">
        <f t="shared" si="0"/>
        <v>13</v>
      </c>
      <c r="D14" s="50">
        <f t="shared" si="1"/>
        <v>3</v>
      </c>
      <c r="E14" s="51">
        <f t="shared" si="7"/>
        <v>4.3333333333333304</v>
      </c>
      <c r="F14" s="52">
        <f>MAX(MID(B14,{1,2,3},1)*1)-MIN(MID(B14,{1,2,3},1)*1)</f>
        <v>4</v>
      </c>
      <c r="G14" s="104">
        <v>0</v>
      </c>
      <c r="H14" s="104">
        <v>1</v>
      </c>
      <c r="I14" s="104">
        <v>2</v>
      </c>
      <c r="J14" s="104">
        <v>3</v>
      </c>
      <c r="K14" s="104">
        <v>4</v>
      </c>
      <c r="L14" s="104">
        <v>5</v>
      </c>
      <c r="M14" s="104">
        <v>6</v>
      </c>
      <c r="N14" s="104">
        <v>7</v>
      </c>
      <c r="O14" s="104">
        <v>8</v>
      </c>
      <c r="P14" s="104">
        <v>9</v>
      </c>
      <c r="Q14" s="53">
        <f t="shared" si="2"/>
        <v>3</v>
      </c>
      <c r="R14" s="53">
        <f t="shared" si="3"/>
        <v>4</v>
      </c>
      <c r="S14" s="53">
        <f t="shared" si="4"/>
        <v>1</v>
      </c>
      <c r="T14" s="101">
        <f t="shared" si="8"/>
        <v>8</v>
      </c>
      <c r="U14" s="15" t="str">
        <f>_xlfn.TEXTJOIN(", ",TRUE,ABS(MID(B14,{1,1,2},1)-MID(B14,{2,3,3},1)))</f>
        <v>3, 4, 1</v>
      </c>
      <c r="V14" s="54">
        <v>0</v>
      </c>
      <c r="W14" s="54">
        <v>1</v>
      </c>
      <c r="X14" s="54">
        <v>2</v>
      </c>
      <c r="Y14" s="54">
        <v>3</v>
      </c>
      <c r="Z14" s="54">
        <v>4</v>
      </c>
      <c r="AA14" s="54">
        <v>5</v>
      </c>
      <c r="AB14" s="54">
        <v>6</v>
      </c>
      <c r="AC14" s="54">
        <v>7</v>
      </c>
      <c r="AD14" s="54">
        <v>8</v>
      </c>
      <c r="AE14" s="54">
        <v>9</v>
      </c>
      <c r="AF14" s="55">
        <v>0</v>
      </c>
      <c r="AG14" s="55">
        <v>1</v>
      </c>
      <c r="AH14" s="55">
        <v>2</v>
      </c>
      <c r="AI14" s="55">
        <v>3</v>
      </c>
      <c r="AJ14" s="55">
        <v>4</v>
      </c>
      <c r="AK14" s="55">
        <v>5</v>
      </c>
      <c r="AL14" s="55">
        <v>6</v>
      </c>
      <c r="AM14" s="55">
        <v>7</v>
      </c>
      <c r="AN14" s="55">
        <v>8</v>
      </c>
      <c r="AO14" s="55">
        <v>9</v>
      </c>
      <c r="AP14" s="105">
        <v>0</v>
      </c>
      <c r="AQ14" s="105">
        <v>1</v>
      </c>
      <c r="AR14" s="105">
        <v>2</v>
      </c>
      <c r="AS14" s="105">
        <v>3</v>
      </c>
      <c r="AT14" s="105">
        <v>4</v>
      </c>
      <c r="AU14" s="105">
        <v>5</v>
      </c>
      <c r="AV14" s="105">
        <v>6</v>
      </c>
      <c r="AW14" s="105">
        <v>7</v>
      </c>
      <c r="AX14" s="105">
        <v>8</v>
      </c>
      <c r="AY14" s="105">
        <v>9</v>
      </c>
      <c r="AZ14" s="56">
        <v>0</v>
      </c>
      <c r="BA14" s="56">
        <v>1</v>
      </c>
      <c r="BB14" s="56">
        <v>2</v>
      </c>
      <c r="BC14" s="56">
        <v>3</v>
      </c>
      <c r="BD14" s="56">
        <v>4</v>
      </c>
      <c r="BE14" s="56">
        <v>5</v>
      </c>
      <c r="BF14" s="56">
        <v>6</v>
      </c>
      <c r="BG14" s="56">
        <v>7</v>
      </c>
      <c r="BH14" s="56">
        <v>8</v>
      </c>
      <c r="BI14" s="56">
        <v>9</v>
      </c>
      <c r="BJ14" s="57" t="str">
        <f t="shared" si="9"/>
        <v>紧凑型</v>
      </c>
      <c r="BK14" s="13">
        <f t="shared" si="5"/>
        <v>1</v>
      </c>
      <c r="BL14" s="13">
        <f t="shared" si="6"/>
        <v>4</v>
      </c>
      <c r="BM14" s="18">
        <f t="shared" si="11"/>
        <v>3</v>
      </c>
      <c r="BN14" s="19">
        <f t="shared" si="12"/>
        <v>3</v>
      </c>
      <c r="BO14" s="19" t="str">
        <f t="array" ref="BO14">_xlfn.TEXTJOIN("",TRUE,IF(ISERROR(FIND(ROW($1:$10)-1,BM14&amp;BN14)),ROW($1:$10)-1,""))</f>
        <v>012456789</v>
      </c>
      <c r="BP14" s="20" t="str">
        <f t="shared" si="13"/>
        <v>复隔中</v>
      </c>
      <c r="BQ14" s="21" t="str">
        <f t="shared" si="24"/>
        <v/>
      </c>
      <c r="BR14" s="21">
        <f t="shared" si="22"/>
        <v>4</v>
      </c>
      <c r="BS14" s="21" t="str">
        <f t="array" ref="BS14">_xlfn.TEXTJOIN("",TRUE,IF(ISERROR(FIND(ROW($1:$10)-1,BQ14&amp;BR14)),ROW($1:$10)-1,""))</f>
        <v>012356789</v>
      </c>
      <c r="BT14" s="20" t="str">
        <f t="shared" si="14"/>
        <v>中隔中</v>
      </c>
      <c r="BU14" s="22">
        <f t="shared" si="15"/>
        <v>1</v>
      </c>
      <c r="BV14" s="22">
        <f t="shared" si="23"/>
        <v>1</v>
      </c>
      <c r="BW14" s="22" t="str">
        <f t="array" ref="BW14">_xlfn.TEXTJOIN("",TRUE,IF(ISERROR(FIND(ROW($1:$10)-1,BU14&amp;BV14)),ROW($1:$10)-1,""))</f>
        <v>023456789</v>
      </c>
      <c r="BX14" s="20" t="str">
        <f t="shared" si="16"/>
        <v>复隔中</v>
      </c>
      <c r="BY14" s="23" t="str">
        <f t="shared" si="10"/>
        <v>24</v>
      </c>
      <c r="BZ14" s="24" t="str">
        <f t="array" ref="BZ14">_xlfn.TEXTJOIN("",TRUE,IF(ISNUMBER(FIND(MID(BY13&amp;Q13,ROW($1:$4),1),BY14&amp;Q14)),MID(BY13&amp;Q13,ROW($1:$4),1),""))</f>
        <v>32</v>
      </c>
      <c r="CA14" s="25" t="str">
        <f t="array" ref="CA14">_xlfn.TEXTJOIN("",TRUE,IF(ISERROR(FIND(ROW($1:$10)-1,BY14&amp;BZ14)),ROW($1:$10)-1,""))</f>
        <v>0156789</v>
      </c>
      <c r="CB14" s="26" t="str">
        <f t="shared" si="17"/>
        <v>邻传孤</v>
      </c>
      <c r="CC14" s="27" t="str">
        <f t="shared" si="18"/>
        <v>35</v>
      </c>
      <c r="CD14" s="27" t="str">
        <f t="array" ref="CD14">_xlfn.TEXTJOIN("",TRUE,IF(ISNUMBER(FIND(MID(CC13&amp;R13,ROW($1:$4),1),CC14&amp;R14)),MID(CC13&amp;R13,ROW($1:$4),1),""))</f>
        <v/>
      </c>
      <c r="CE14" s="27" t="str">
        <f t="array" ref="CE14">_xlfn.TEXTJOIN("",TRUE,IF(ISERROR(FIND(ROW($1:$10)-1,CC14&amp;CD14)),ROW($1:$10)-1,""))</f>
        <v>01246789</v>
      </c>
      <c r="CF14" s="17" t="str">
        <f t="shared" si="19"/>
        <v>邻孤孤</v>
      </c>
      <c r="CG14" s="22" t="str">
        <f t="shared" si="20"/>
        <v>02</v>
      </c>
      <c r="CH14" s="22" t="str">
        <f t="array" ref="CH14">_xlfn.TEXTJOIN("",TRUE,IF(ISNUMBER(FIND(MID(CG13&amp;S13,ROW($1:$4),1),CG14&amp;S14)),MID(CG13&amp;S13,ROW($1:$4),1),""))</f>
        <v>2</v>
      </c>
      <c r="CI14" s="22" t="str">
        <f t="array" ref="CI14">_xlfn.TEXTJOIN("",TRUE,IF(ISERROR(FIND(ROW($1:$10)-1,CG14&amp;CH14)),ROW($1:$10)-1,""))</f>
        <v>13456789</v>
      </c>
      <c r="CJ14" s="28" t="str">
        <f t="shared" si="21"/>
        <v>邻传孤</v>
      </c>
    </row>
    <row r="15" spans="1:88">
      <c r="A15" s="32">
        <v>2024142</v>
      </c>
      <c r="B15" s="8" t="s">
        <v>38</v>
      </c>
      <c r="C15" s="49">
        <f t="shared" si="0"/>
        <v>12</v>
      </c>
      <c r="D15" s="50">
        <f t="shared" si="1"/>
        <v>2</v>
      </c>
      <c r="E15" s="51">
        <f t="shared" si="7"/>
        <v>4</v>
      </c>
      <c r="F15" s="52">
        <f>MAX(MID(B15,{1,2,3},1)*1)-MIN(MID(B15,{1,2,3},1)*1)</f>
        <v>7</v>
      </c>
      <c r="G15" s="104">
        <v>0</v>
      </c>
      <c r="H15" s="104">
        <v>1</v>
      </c>
      <c r="I15" s="104">
        <v>2</v>
      </c>
      <c r="J15" s="104">
        <v>3</v>
      </c>
      <c r="K15" s="104">
        <v>4</v>
      </c>
      <c r="L15" s="104">
        <v>5</v>
      </c>
      <c r="M15" s="104">
        <v>6</v>
      </c>
      <c r="N15" s="104">
        <v>7</v>
      </c>
      <c r="O15" s="104">
        <v>8</v>
      </c>
      <c r="P15" s="104">
        <v>9</v>
      </c>
      <c r="Q15" s="53">
        <f t="shared" si="2"/>
        <v>7</v>
      </c>
      <c r="R15" s="53">
        <f t="shared" si="3"/>
        <v>5</v>
      </c>
      <c r="S15" s="53">
        <f t="shared" si="4"/>
        <v>2</v>
      </c>
      <c r="T15" s="101">
        <f t="shared" si="8"/>
        <v>14</v>
      </c>
      <c r="U15" s="15" t="str">
        <f>_xlfn.TEXTJOIN(", ",TRUE,ABS(MID(B15,{1,1,2},1)-MID(B15,{2,3,3},1)))</f>
        <v>7, 5, 2</v>
      </c>
      <c r="V15" s="54">
        <v>0</v>
      </c>
      <c r="W15" s="54">
        <v>1</v>
      </c>
      <c r="X15" s="54">
        <v>2</v>
      </c>
      <c r="Y15" s="54">
        <v>3</v>
      </c>
      <c r="Z15" s="54">
        <v>4</v>
      </c>
      <c r="AA15" s="54">
        <v>5</v>
      </c>
      <c r="AB15" s="54">
        <v>6</v>
      </c>
      <c r="AC15" s="54">
        <v>7</v>
      </c>
      <c r="AD15" s="54">
        <v>8</v>
      </c>
      <c r="AE15" s="54">
        <v>9</v>
      </c>
      <c r="AF15" s="55">
        <v>0</v>
      </c>
      <c r="AG15" s="55">
        <v>1</v>
      </c>
      <c r="AH15" s="55">
        <v>2</v>
      </c>
      <c r="AI15" s="55">
        <v>3</v>
      </c>
      <c r="AJ15" s="55">
        <v>4</v>
      </c>
      <c r="AK15" s="55">
        <v>5</v>
      </c>
      <c r="AL15" s="55">
        <v>6</v>
      </c>
      <c r="AM15" s="55">
        <v>7</v>
      </c>
      <c r="AN15" s="55">
        <v>8</v>
      </c>
      <c r="AO15" s="55">
        <v>9</v>
      </c>
      <c r="AP15" s="105">
        <v>0</v>
      </c>
      <c r="AQ15" s="105">
        <v>1</v>
      </c>
      <c r="AR15" s="105">
        <v>2</v>
      </c>
      <c r="AS15" s="105">
        <v>3</v>
      </c>
      <c r="AT15" s="105">
        <v>4</v>
      </c>
      <c r="AU15" s="105">
        <v>5</v>
      </c>
      <c r="AV15" s="105">
        <v>6</v>
      </c>
      <c r="AW15" s="105">
        <v>7</v>
      </c>
      <c r="AX15" s="105">
        <v>8</v>
      </c>
      <c r="AY15" s="105">
        <v>9</v>
      </c>
      <c r="AZ15" s="56">
        <v>0</v>
      </c>
      <c r="BA15" s="56">
        <v>1</v>
      </c>
      <c r="BB15" s="56">
        <v>2</v>
      </c>
      <c r="BC15" s="56">
        <v>3</v>
      </c>
      <c r="BD15" s="56">
        <v>4</v>
      </c>
      <c r="BE15" s="56">
        <v>5</v>
      </c>
      <c r="BF15" s="56">
        <v>6</v>
      </c>
      <c r="BG15" s="56">
        <v>7</v>
      </c>
      <c r="BH15" s="56">
        <v>8</v>
      </c>
      <c r="BI15" s="56">
        <v>9</v>
      </c>
      <c r="BJ15" s="57" t="str">
        <f t="shared" si="9"/>
        <v>松散型</v>
      </c>
      <c r="BK15" s="13">
        <f t="shared" si="5"/>
        <v>2</v>
      </c>
      <c r="BL15" s="13">
        <f t="shared" si="6"/>
        <v>7</v>
      </c>
      <c r="BM15" s="18" t="str">
        <f t="shared" si="11"/>
        <v/>
      </c>
      <c r="BN15" s="19" t="str">
        <f t="shared" si="12"/>
        <v/>
      </c>
      <c r="BO15" s="19" t="str">
        <f t="array" ref="BO15">_xlfn.TEXTJOIN("",TRUE,IF(ISERROR(FIND(ROW($1:$10)-1,BM15&amp;BN15)),ROW($1:$10)-1,""))</f>
        <v>0123456789</v>
      </c>
      <c r="BP15" s="20" t="str">
        <f t="shared" si="13"/>
        <v>中中中</v>
      </c>
      <c r="BQ15" s="21" t="str">
        <f t="shared" si="24"/>
        <v/>
      </c>
      <c r="BR15" s="21" t="str">
        <f t="shared" si="22"/>
        <v/>
      </c>
      <c r="BS15" s="21" t="str">
        <f t="array" ref="BS15">_xlfn.TEXTJOIN("",TRUE,IF(ISERROR(FIND(ROW($1:$10)-1,BQ15&amp;BR15)),ROW($1:$10)-1,""))</f>
        <v>0123456789</v>
      </c>
      <c r="BT15" s="20" t="str">
        <f t="shared" si="14"/>
        <v>中中中</v>
      </c>
      <c r="BU15" s="22" t="str">
        <f t="shared" si="15"/>
        <v/>
      </c>
      <c r="BV15" s="22">
        <f t="shared" si="23"/>
        <v>2</v>
      </c>
      <c r="BW15" s="22" t="str">
        <f t="array" ref="BW15">_xlfn.TEXTJOIN("",TRUE,IF(ISERROR(FIND(ROW($1:$10)-1,BU15&amp;BV15)),ROW($1:$10)-1,""))</f>
        <v>013456789</v>
      </c>
      <c r="BX15" s="20" t="str">
        <f t="shared" si="16"/>
        <v>中隔中</v>
      </c>
      <c r="BY15" s="23" t="str">
        <f t="shared" si="10"/>
        <v>68</v>
      </c>
      <c r="BZ15" s="24" t="str">
        <f t="array" ref="BZ15">_xlfn.TEXTJOIN("",TRUE,IF(ISNUMBER(FIND(MID(BY14&amp;Q14,ROW($1:$4),1),BY15&amp;Q15)),MID(BY14&amp;Q14,ROW($1:$4),1),""))</f>
        <v/>
      </c>
      <c r="CA15" s="25" t="str">
        <f t="array" ref="CA15">_xlfn.TEXTJOIN("",TRUE,IF(ISERROR(FIND(ROW($1:$10)-1,BY15&amp;BZ15)),ROW($1:$10)-1,""))</f>
        <v>01234579</v>
      </c>
      <c r="CB15" s="26" t="str">
        <f t="shared" si="17"/>
        <v>邻孤孤</v>
      </c>
      <c r="CC15" s="27" t="str">
        <f t="shared" si="18"/>
        <v>46</v>
      </c>
      <c r="CD15" s="27" t="str">
        <f t="array" ref="CD15">_xlfn.TEXTJOIN("",TRUE,IF(ISNUMBER(FIND(MID(CC14&amp;R14,ROW($1:$4),1),CC15&amp;R15)),MID(CC14&amp;R14,ROW($1:$4),1),""))</f>
        <v>54</v>
      </c>
      <c r="CE15" s="27" t="str">
        <f t="array" ref="CE15">_xlfn.TEXTJOIN("",TRUE,IF(ISERROR(FIND(ROW($1:$10)-1,CC15&amp;CD15)),ROW($1:$10)-1,""))</f>
        <v>0123789</v>
      </c>
      <c r="CF15" s="17" t="str">
        <f t="shared" si="19"/>
        <v>邻传孤</v>
      </c>
      <c r="CG15" s="22" t="str">
        <f t="shared" si="20"/>
        <v>13</v>
      </c>
      <c r="CH15" s="22" t="str">
        <f t="array" ref="CH15">_xlfn.TEXTJOIN("",TRUE,IF(ISNUMBER(FIND(MID(CG14&amp;S14,ROW($1:$4),1),CG15&amp;S15)),MID(CG14&amp;S14,ROW($1:$4),1),""))</f>
        <v>21</v>
      </c>
      <c r="CI15" s="22" t="str">
        <f t="array" ref="CI15">_xlfn.TEXTJOIN("",TRUE,IF(ISERROR(FIND(ROW($1:$10)-1,CG15&amp;CH15)),ROW($1:$10)-1,""))</f>
        <v>0456789</v>
      </c>
      <c r="CJ15" s="28" t="str">
        <f t="shared" si="21"/>
        <v>邻传孤</v>
      </c>
    </row>
    <row r="16" spans="1:88">
      <c r="A16" s="32">
        <v>2024143</v>
      </c>
      <c r="B16" s="8" t="s">
        <v>34</v>
      </c>
      <c r="C16" s="49">
        <f t="shared" si="0"/>
        <v>19</v>
      </c>
      <c r="D16" s="50">
        <f t="shared" si="1"/>
        <v>9</v>
      </c>
      <c r="E16" s="51">
        <f t="shared" si="7"/>
        <v>6.3333333333333304</v>
      </c>
      <c r="F16" s="52">
        <f>MAX(MID(B16,{1,2,3},1)*1)-MIN(MID(B16,{1,2,3},1)*1)</f>
        <v>4</v>
      </c>
      <c r="G16" s="104">
        <v>0</v>
      </c>
      <c r="H16" s="104">
        <v>1</v>
      </c>
      <c r="I16" s="104">
        <v>2</v>
      </c>
      <c r="J16" s="104">
        <v>3</v>
      </c>
      <c r="K16" s="104">
        <v>4</v>
      </c>
      <c r="L16" s="104">
        <v>5</v>
      </c>
      <c r="M16" s="104">
        <v>6</v>
      </c>
      <c r="N16" s="104">
        <v>7</v>
      </c>
      <c r="O16" s="104">
        <v>8</v>
      </c>
      <c r="P16" s="104">
        <v>9</v>
      </c>
      <c r="Q16" s="53">
        <f t="shared" si="2"/>
        <v>4</v>
      </c>
      <c r="R16" s="53">
        <f t="shared" si="3"/>
        <v>4</v>
      </c>
      <c r="S16" s="53">
        <f t="shared" si="4"/>
        <v>0</v>
      </c>
      <c r="T16" s="101">
        <f t="shared" si="8"/>
        <v>8</v>
      </c>
      <c r="U16" s="15" t="str">
        <f>_xlfn.TEXTJOIN(", ",TRUE,ABS(MID(B16,{1,1,2},1)-MID(B16,{2,3,3},1)))</f>
        <v>4, 4, 0</v>
      </c>
      <c r="V16" s="54">
        <v>0</v>
      </c>
      <c r="W16" s="54">
        <v>1</v>
      </c>
      <c r="X16" s="54">
        <v>2</v>
      </c>
      <c r="Y16" s="54">
        <v>3</v>
      </c>
      <c r="Z16" s="54">
        <v>4</v>
      </c>
      <c r="AA16" s="54">
        <v>5</v>
      </c>
      <c r="AB16" s="54">
        <v>6</v>
      </c>
      <c r="AC16" s="54">
        <v>7</v>
      </c>
      <c r="AD16" s="54">
        <v>8</v>
      </c>
      <c r="AE16" s="54">
        <v>9</v>
      </c>
      <c r="AF16" s="55">
        <v>0</v>
      </c>
      <c r="AG16" s="55">
        <v>1</v>
      </c>
      <c r="AH16" s="55">
        <v>2</v>
      </c>
      <c r="AI16" s="55">
        <v>3</v>
      </c>
      <c r="AJ16" s="55">
        <v>4</v>
      </c>
      <c r="AK16" s="55">
        <v>5</v>
      </c>
      <c r="AL16" s="55">
        <v>6</v>
      </c>
      <c r="AM16" s="55">
        <v>7</v>
      </c>
      <c r="AN16" s="55">
        <v>8</v>
      </c>
      <c r="AO16" s="55">
        <v>9</v>
      </c>
      <c r="AP16" s="105">
        <v>0</v>
      </c>
      <c r="AQ16" s="105">
        <v>1</v>
      </c>
      <c r="AR16" s="105">
        <v>2</v>
      </c>
      <c r="AS16" s="105">
        <v>3</v>
      </c>
      <c r="AT16" s="105">
        <v>4</v>
      </c>
      <c r="AU16" s="105">
        <v>5</v>
      </c>
      <c r="AV16" s="105">
        <v>6</v>
      </c>
      <c r="AW16" s="105">
        <v>7</v>
      </c>
      <c r="AX16" s="105">
        <v>8</v>
      </c>
      <c r="AY16" s="105">
        <v>9</v>
      </c>
      <c r="AZ16" s="56">
        <v>0</v>
      </c>
      <c r="BA16" s="56">
        <v>1</v>
      </c>
      <c r="BB16" s="56">
        <v>2</v>
      </c>
      <c r="BC16" s="56">
        <v>3</v>
      </c>
      <c r="BD16" s="56">
        <v>4</v>
      </c>
      <c r="BE16" s="56">
        <v>5</v>
      </c>
      <c r="BF16" s="56">
        <v>6</v>
      </c>
      <c r="BG16" s="56">
        <v>7</v>
      </c>
      <c r="BH16" s="56">
        <v>8</v>
      </c>
      <c r="BI16" s="56">
        <v>9</v>
      </c>
      <c r="BJ16" s="57" t="str">
        <f t="shared" si="9"/>
        <v>紧凑型</v>
      </c>
      <c r="BK16" s="13">
        <f t="shared" si="5"/>
        <v>0</v>
      </c>
      <c r="BL16" s="13">
        <f t="shared" si="6"/>
        <v>4</v>
      </c>
      <c r="BM16" s="18" t="str">
        <f t="shared" si="11"/>
        <v/>
      </c>
      <c r="BN16" s="19">
        <f t="shared" si="12"/>
        <v>4</v>
      </c>
      <c r="BO16" s="19" t="str">
        <f t="array" ref="BO16">_xlfn.TEXTJOIN("",TRUE,IF(ISERROR(FIND(ROW($1:$10)-1,BM16&amp;BN16)),ROW($1:$10)-1,""))</f>
        <v>012356789</v>
      </c>
      <c r="BP16" s="20" t="str">
        <f t="shared" si="13"/>
        <v>中隔中</v>
      </c>
      <c r="BQ16" s="21" t="str">
        <f t="shared" si="24"/>
        <v/>
      </c>
      <c r="BR16" s="21">
        <f t="shared" si="22"/>
        <v>4</v>
      </c>
      <c r="BS16" s="21" t="str">
        <f t="array" ref="BS16">_xlfn.TEXTJOIN("",TRUE,IF(ISERROR(FIND(ROW($1:$10)-1,BQ16&amp;BR16)),ROW($1:$10)-1,""))</f>
        <v>012356789</v>
      </c>
      <c r="BT16" s="20" t="str">
        <f t="shared" si="14"/>
        <v>中隔中</v>
      </c>
      <c r="BU16" s="22" t="str">
        <f t="shared" si="15"/>
        <v/>
      </c>
      <c r="BV16" s="22" t="str">
        <f t="shared" si="23"/>
        <v/>
      </c>
      <c r="BW16" s="22" t="str">
        <f t="array" ref="BW16">_xlfn.TEXTJOIN("",TRUE,IF(ISERROR(FIND(ROW($1:$10)-1,BU16&amp;BV16)),ROW($1:$10)-1,""))</f>
        <v>0123456789</v>
      </c>
      <c r="BX16" s="20" t="str">
        <f t="shared" si="16"/>
        <v>中中中</v>
      </c>
      <c r="BY16" s="23" t="str">
        <f t="shared" si="10"/>
        <v>35</v>
      </c>
      <c r="BZ16" s="24" t="str">
        <f t="array" ref="BZ16">_xlfn.TEXTJOIN("",TRUE,IF(ISNUMBER(FIND(MID(BY15&amp;Q15,ROW($1:$4),1),BY16&amp;Q16)),MID(BY15&amp;Q15,ROW($1:$4),1),""))</f>
        <v/>
      </c>
      <c r="CA16" s="25" t="str">
        <f t="array" ref="CA16">_xlfn.TEXTJOIN("",TRUE,IF(ISERROR(FIND(ROW($1:$10)-1,BY16&amp;BZ16)),ROW($1:$10)-1,""))</f>
        <v>01246789</v>
      </c>
      <c r="CB16" s="26" t="str">
        <f t="shared" si="17"/>
        <v>邻孤孤</v>
      </c>
      <c r="CC16" s="27" t="str">
        <f t="shared" si="18"/>
        <v>35</v>
      </c>
      <c r="CD16" s="27" t="str">
        <f t="array" ref="CD16">_xlfn.TEXTJOIN("",TRUE,IF(ISNUMBER(FIND(MID(CC15&amp;R15,ROW($1:$4),1),CC16&amp;R16)),MID(CC15&amp;R15,ROW($1:$4),1),""))</f>
        <v>45</v>
      </c>
      <c r="CE16" s="27" t="str">
        <f t="array" ref="CE16">_xlfn.TEXTJOIN("",TRUE,IF(ISERROR(FIND(ROW($1:$10)-1,CC16&amp;CD16)),ROW($1:$10)-1,""))</f>
        <v>0126789</v>
      </c>
      <c r="CF16" s="17" t="str">
        <f t="shared" si="19"/>
        <v>邻传孤</v>
      </c>
      <c r="CG16" s="22" t="str">
        <f t="shared" si="20"/>
        <v>91</v>
      </c>
      <c r="CH16" s="22" t="str">
        <f t="array" ref="CH16">_xlfn.TEXTJOIN("",TRUE,IF(ISNUMBER(FIND(MID(CG15&amp;S15,ROW($1:$4),1),CG16&amp;S16)),MID(CG15&amp;S15,ROW($1:$4),1),""))</f>
        <v>1</v>
      </c>
      <c r="CI16" s="22" t="str">
        <f t="array" ref="CI16">_xlfn.TEXTJOIN("",TRUE,IF(ISERROR(FIND(ROW($1:$10)-1,CG16&amp;CH16)),ROW($1:$10)-1,""))</f>
        <v>02345678</v>
      </c>
      <c r="CJ16" s="28" t="str">
        <f t="shared" si="21"/>
        <v>邻传孤</v>
      </c>
    </row>
    <row r="17" spans="1:88">
      <c r="A17" s="32">
        <v>2024144</v>
      </c>
      <c r="B17" s="8" t="s">
        <v>39</v>
      </c>
      <c r="C17" s="49">
        <f t="shared" si="0"/>
        <v>15</v>
      </c>
      <c r="D17" s="50">
        <f t="shared" si="1"/>
        <v>5</v>
      </c>
      <c r="E17" s="51">
        <f t="shared" si="7"/>
        <v>5</v>
      </c>
      <c r="F17" s="52">
        <f>MAX(MID(B17,{1,2,3},1)*1)-MIN(MID(B17,{1,2,3},1)*1)</f>
        <v>7</v>
      </c>
      <c r="G17" s="104">
        <v>0</v>
      </c>
      <c r="H17" s="104">
        <v>1</v>
      </c>
      <c r="I17" s="104">
        <v>2</v>
      </c>
      <c r="J17" s="104">
        <v>3</v>
      </c>
      <c r="K17" s="104">
        <v>4</v>
      </c>
      <c r="L17" s="104">
        <v>5</v>
      </c>
      <c r="M17" s="104">
        <v>6</v>
      </c>
      <c r="N17" s="104">
        <v>7</v>
      </c>
      <c r="O17" s="104">
        <v>8</v>
      </c>
      <c r="P17" s="104">
        <v>9</v>
      </c>
      <c r="Q17" s="53">
        <f t="shared" si="2"/>
        <v>7</v>
      </c>
      <c r="R17" s="53">
        <f t="shared" si="3"/>
        <v>2</v>
      </c>
      <c r="S17" s="53">
        <f t="shared" si="4"/>
        <v>5</v>
      </c>
      <c r="T17" s="101">
        <f t="shared" si="8"/>
        <v>14</v>
      </c>
      <c r="U17" s="15" t="str">
        <f>_xlfn.TEXTJOIN(", ",TRUE,ABS(MID(B17,{1,1,2},1)-MID(B17,{2,3,3},1)))</f>
        <v>7, 2, 5</v>
      </c>
      <c r="V17" s="54">
        <v>0</v>
      </c>
      <c r="W17" s="54">
        <v>1</v>
      </c>
      <c r="X17" s="54">
        <v>2</v>
      </c>
      <c r="Y17" s="54">
        <v>3</v>
      </c>
      <c r="Z17" s="54">
        <v>4</v>
      </c>
      <c r="AA17" s="54">
        <v>5</v>
      </c>
      <c r="AB17" s="54">
        <v>6</v>
      </c>
      <c r="AC17" s="54">
        <v>7</v>
      </c>
      <c r="AD17" s="54">
        <v>8</v>
      </c>
      <c r="AE17" s="54">
        <v>9</v>
      </c>
      <c r="AF17" s="55">
        <v>0</v>
      </c>
      <c r="AG17" s="55">
        <v>1</v>
      </c>
      <c r="AH17" s="55">
        <v>2</v>
      </c>
      <c r="AI17" s="55">
        <v>3</v>
      </c>
      <c r="AJ17" s="55">
        <v>4</v>
      </c>
      <c r="AK17" s="55">
        <v>5</v>
      </c>
      <c r="AL17" s="55">
        <v>6</v>
      </c>
      <c r="AM17" s="55">
        <v>7</v>
      </c>
      <c r="AN17" s="55">
        <v>8</v>
      </c>
      <c r="AO17" s="55">
        <v>9</v>
      </c>
      <c r="AP17" s="105">
        <v>0</v>
      </c>
      <c r="AQ17" s="105">
        <v>1</v>
      </c>
      <c r="AR17" s="105">
        <v>2</v>
      </c>
      <c r="AS17" s="105">
        <v>3</v>
      </c>
      <c r="AT17" s="105">
        <v>4</v>
      </c>
      <c r="AU17" s="105">
        <v>5</v>
      </c>
      <c r="AV17" s="105">
        <v>6</v>
      </c>
      <c r="AW17" s="105">
        <v>7</v>
      </c>
      <c r="AX17" s="105">
        <v>8</v>
      </c>
      <c r="AY17" s="105">
        <v>9</v>
      </c>
      <c r="AZ17" s="56">
        <v>0</v>
      </c>
      <c r="BA17" s="56">
        <v>1</v>
      </c>
      <c r="BB17" s="56">
        <v>2</v>
      </c>
      <c r="BC17" s="56">
        <v>3</v>
      </c>
      <c r="BD17" s="56">
        <v>4</v>
      </c>
      <c r="BE17" s="56">
        <v>5</v>
      </c>
      <c r="BF17" s="56">
        <v>6</v>
      </c>
      <c r="BG17" s="56">
        <v>7</v>
      </c>
      <c r="BH17" s="56">
        <v>8</v>
      </c>
      <c r="BI17" s="56">
        <v>9</v>
      </c>
      <c r="BJ17" s="57" t="str">
        <f t="shared" si="9"/>
        <v>松散型</v>
      </c>
      <c r="BK17" s="13">
        <f t="shared" si="5"/>
        <v>2</v>
      </c>
      <c r="BL17" s="13">
        <f t="shared" si="6"/>
        <v>7</v>
      </c>
      <c r="BM17" s="18" t="str">
        <f t="shared" si="11"/>
        <v/>
      </c>
      <c r="BN17" s="19">
        <f t="shared" si="12"/>
        <v>7</v>
      </c>
      <c r="BO17" s="19" t="str">
        <f t="array" ref="BO17">_xlfn.TEXTJOIN("",TRUE,IF(ISERROR(FIND(ROW($1:$10)-1,BM17&amp;BN17)),ROW($1:$10)-1,""))</f>
        <v>012345689</v>
      </c>
      <c r="BP17" s="20" t="str">
        <f t="shared" si="13"/>
        <v>中隔中</v>
      </c>
      <c r="BQ17" s="21" t="str">
        <f t="shared" si="24"/>
        <v/>
      </c>
      <c r="BR17" s="21">
        <f t="shared" si="22"/>
        <v>2</v>
      </c>
      <c r="BS17" s="21" t="str">
        <f t="array" ref="BS17">_xlfn.TEXTJOIN("",TRUE,IF(ISERROR(FIND(ROW($1:$10)-1,BQ17&amp;BR17)),ROW($1:$10)-1,""))</f>
        <v>013456789</v>
      </c>
      <c r="BT17" s="20" t="str">
        <f t="shared" si="14"/>
        <v>中隔中</v>
      </c>
      <c r="BU17" s="22" t="str">
        <f t="shared" si="15"/>
        <v/>
      </c>
      <c r="BV17" s="22">
        <f t="shared" si="23"/>
        <v>5</v>
      </c>
      <c r="BW17" s="22" t="str">
        <f t="array" ref="BW17">_xlfn.TEXTJOIN("",TRUE,IF(ISERROR(FIND(ROW($1:$10)-1,BU17&amp;BV17)),ROW($1:$10)-1,""))</f>
        <v>012346789</v>
      </c>
      <c r="BX17" s="20" t="str">
        <f t="shared" si="16"/>
        <v>中隔中</v>
      </c>
      <c r="BY17" s="23" t="str">
        <f t="shared" si="10"/>
        <v>68</v>
      </c>
      <c r="BZ17" s="24" t="str">
        <f t="array" ref="BZ17">_xlfn.TEXTJOIN("",TRUE,IF(ISNUMBER(FIND(MID(BY16&amp;Q16,ROW($1:$4),1),BY17&amp;Q17)),MID(BY16&amp;Q16,ROW($1:$4),1),""))</f>
        <v/>
      </c>
      <c r="CA17" s="25" t="str">
        <f t="array" ref="CA17">_xlfn.TEXTJOIN("",TRUE,IF(ISERROR(FIND(ROW($1:$10)-1,BY17&amp;BZ17)),ROW($1:$10)-1,""))</f>
        <v>01234579</v>
      </c>
      <c r="CB17" s="26" t="str">
        <f t="shared" si="17"/>
        <v>邻孤孤</v>
      </c>
      <c r="CC17" s="27" t="str">
        <f t="shared" si="18"/>
        <v>13</v>
      </c>
      <c r="CD17" s="27" t="str">
        <f t="array" ref="CD17">_xlfn.TEXTJOIN("",TRUE,IF(ISNUMBER(FIND(MID(CC16&amp;R16,ROW($1:$4),1),CC17&amp;R17)),MID(CC16&amp;R16,ROW($1:$4),1),""))</f>
        <v>3</v>
      </c>
      <c r="CE17" s="27" t="str">
        <f t="array" ref="CE17">_xlfn.TEXTJOIN("",TRUE,IF(ISERROR(FIND(ROW($1:$10)-1,CC17&amp;CD17)),ROW($1:$10)-1,""))</f>
        <v>02456789</v>
      </c>
      <c r="CF17" s="17" t="str">
        <f t="shared" si="19"/>
        <v>邻传孤</v>
      </c>
      <c r="CG17" s="22" t="str">
        <f t="shared" si="20"/>
        <v>46</v>
      </c>
      <c r="CH17" s="22" t="str">
        <f t="array" ref="CH17">_xlfn.TEXTJOIN("",TRUE,IF(ISNUMBER(FIND(MID(CG16&amp;S16,ROW($1:$4),1),CG17&amp;S17)),MID(CG16&amp;S16,ROW($1:$4),1),""))</f>
        <v/>
      </c>
      <c r="CI17" s="22" t="str">
        <f t="array" ref="CI17">_xlfn.TEXTJOIN("",TRUE,IF(ISERROR(FIND(ROW($1:$10)-1,CG17&amp;CH17)),ROW($1:$10)-1,""))</f>
        <v>01235789</v>
      </c>
      <c r="CJ17" s="28" t="str">
        <f t="shared" si="21"/>
        <v>邻孤孤</v>
      </c>
    </row>
    <row r="18" spans="1:88">
      <c r="A18" s="32">
        <v>2024145</v>
      </c>
      <c r="B18" s="8" t="s">
        <v>40</v>
      </c>
      <c r="C18" s="49">
        <f t="shared" si="0"/>
        <v>18</v>
      </c>
      <c r="D18" s="50">
        <f t="shared" si="1"/>
        <v>8</v>
      </c>
      <c r="E18" s="51">
        <f t="shared" si="7"/>
        <v>6</v>
      </c>
      <c r="F18" s="52">
        <f>MAX(MID(B18,{1,2,3},1)*1)-MIN(MID(B18,{1,2,3},1)*1)</f>
        <v>2</v>
      </c>
      <c r="G18" s="104">
        <v>0</v>
      </c>
      <c r="H18" s="104">
        <v>1</v>
      </c>
      <c r="I18" s="104">
        <v>2</v>
      </c>
      <c r="J18" s="104">
        <v>3</v>
      </c>
      <c r="K18" s="104">
        <v>4</v>
      </c>
      <c r="L18" s="104">
        <v>5</v>
      </c>
      <c r="M18" s="104">
        <v>6</v>
      </c>
      <c r="N18" s="104">
        <v>7</v>
      </c>
      <c r="O18" s="104">
        <v>8</v>
      </c>
      <c r="P18" s="104">
        <v>9</v>
      </c>
      <c r="Q18" s="53">
        <f t="shared" si="2"/>
        <v>2</v>
      </c>
      <c r="R18" s="53">
        <f t="shared" si="3"/>
        <v>1</v>
      </c>
      <c r="S18" s="53">
        <f t="shared" si="4"/>
        <v>1</v>
      </c>
      <c r="T18" s="101">
        <f t="shared" si="8"/>
        <v>4</v>
      </c>
      <c r="U18" s="15" t="str">
        <f>_xlfn.TEXTJOIN(", ",TRUE,ABS(MID(B18,{1,1,2},1)-MID(B18,{2,3,3},1)))</f>
        <v>2, 1, 1</v>
      </c>
      <c r="V18" s="54">
        <v>0</v>
      </c>
      <c r="W18" s="54">
        <v>1</v>
      </c>
      <c r="X18" s="54">
        <v>2</v>
      </c>
      <c r="Y18" s="54">
        <v>3</v>
      </c>
      <c r="Z18" s="54">
        <v>4</v>
      </c>
      <c r="AA18" s="54">
        <v>5</v>
      </c>
      <c r="AB18" s="54">
        <v>6</v>
      </c>
      <c r="AC18" s="54">
        <v>7</v>
      </c>
      <c r="AD18" s="54">
        <v>8</v>
      </c>
      <c r="AE18" s="54">
        <v>9</v>
      </c>
      <c r="AF18" s="55">
        <v>0</v>
      </c>
      <c r="AG18" s="55">
        <v>1</v>
      </c>
      <c r="AH18" s="55">
        <v>2</v>
      </c>
      <c r="AI18" s="55">
        <v>3</v>
      </c>
      <c r="AJ18" s="55">
        <v>4</v>
      </c>
      <c r="AK18" s="55">
        <v>5</v>
      </c>
      <c r="AL18" s="55">
        <v>6</v>
      </c>
      <c r="AM18" s="55">
        <v>7</v>
      </c>
      <c r="AN18" s="55">
        <v>8</v>
      </c>
      <c r="AO18" s="55">
        <v>9</v>
      </c>
      <c r="AP18" s="105">
        <v>0</v>
      </c>
      <c r="AQ18" s="105">
        <v>1</v>
      </c>
      <c r="AR18" s="105">
        <v>2</v>
      </c>
      <c r="AS18" s="105">
        <v>3</v>
      </c>
      <c r="AT18" s="105">
        <v>4</v>
      </c>
      <c r="AU18" s="105">
        <v>5</v>
      </c>
      <c r="AV18" s="105">
        <v>6</v>
      </c>
      <c r="AW18" s="105">
        <v>7</v>
      </c>
      <c r="AX18" s="105">
        <v>8</v>
      </c>
      <c r="AY18" s="105">
        <v>9</v>
      </c>
      <c r="AZ18" s="56">
        <v>0</v>
      </c>
      <c r="BA18" s="56">
        <v>1</v>
      </c>
      <c r="BB18" s="56">
        <v>2</v>
      </c>
      <c r="BC18" s="56">
        <v>3</v>
      </c>
      <c r="BD18" s="56">
        <v>4</v>
      </c>
      <c r="BE18" s="56">
        <v>5</v>
      </c>
      <c r="BF18" s="56">
        <v>6</v>
      </c>
      <c r="BG18" s="56">
        <v>7</v>
      </c>
      <c r="BH18" s="56">
        <v>8</v>
      </c>
      <c r="BI18" s="56">
        <v>9</v>
      </c>
      <c r="BJ18" s="57" t="str">
        <f t="shared" si="9"/>
        <v>紧凑型</v>
      </c>
      <c r="BK18" s="13">
        <f t="shared" si="5"/>
        <v>1</v>
      </c>
      <c r="BL18" s="13">
        <f t="shared" si="6"/>
        <v>2</v>
      </c>
      <c r="BM18" s="18">
        <f t="shared" si="11"/>
        <v>2</v>
      </c>
      <c r="BN18" s="19" t="str">
        <f t="shared" si="12"/>
        <v/>
      </c>
      <c r="BO18" s="19" t="str">
        <f t="array" ref="BO18">_xlfn.TEXTJOIN("",TRUE,IF(ISERROR(FIND(ROW($1:$10)-1,BM18&amp;BN18)),ROW($1:$10)-1,""))</f>
        <v>013456789</v>
      </c>
      <c r="BP18" s="20" t="str">
        <f t="shared" si="13"/>
        <v>复中中</v>
      </c>
      <c r="BQ18" s="21" t="str">
        <f t="shared" si="24"/>
        <v/>
      </c>
      <c r="BR18" s="21" t="str">
        <f t="shared" si="22"/>
        <v/>
      </c>
      <c r="BS18" s="21" t="str">
        <f t="array" ref="BS18">_xlfn.TEXTJOIN("",TRUE,IF(ISERROR(FIND(ROW($1:$10)-1,BQ18&amp;BR18)),ROW($1:$10)-1,""))</f>
        <v>0123456789</v>
      </c>
      <c r="BT18" s="20" t="str">
        <f t="shared" si="14"/>
        <v>中中中</v>
      </c>
      <c r="BU18" s="22" t="str">
        <f t="shared" si="15"/>
        <v/>
      </c>
      <c r="BV18" s="22" t="str">
        <f t="shared" si="23"/>
        <v/>
      </c>
      <c r="BW18" s="22" t="str">
        <f t="array" ref="BW18">_xlfn.TEXTJOIN("",TRUE,IF(ISERROR(FIND(ROW($1:$10)-1,BU18&amp;BV18)),ROW($1:$10)-1,""))</f>
        <v>0123456789</v>
      </c>
      <c r="BX18" s="20" t="str">
        <f t="shared" si="16"/>
        <v>中中中</v>
      </c>
      <c r="BY18" s="23" t="str">
        <f t="shared" si="10"/>
        <v>13</v>
      </c>
      <c r="BZ18" s="24" t="str">
        <f t="array" ref="BZ18">_xlfn.TEXTJOIN("",TRUE,IF(ISNUMBER(FIND(MID(BY17&amp;Q17,ROW($1:$4),1),BY18&amp;Q18)),MID(BY17&amp;Q17,ROW($1:$4),1),""))</f>
        <v/>
      </c>
      <c r="CA18" s="25" t="str">
        <f t="array" ref="CA18">_xlfn.TEXTJOIN("",TRUE,IF(ISERROR(FIND(ROW($1:$10)-1,BY18&amp;BZ18)),ROW($1:$10)-1,""))</f>
        <v>02456789</v>
      </c>
      <c r="CB18" s="26" t="str">
        <f t="shared" si="17"/>
        <v>邻孤孤</v>
      </c>
      <c r="CC18" s="27" t="str">
        <f t="shared" si="18"/>
        <v>02</v>
      </c>
      <c r="CD18" s="27" t="str">
        <f t="array" ref="CD18">_xlfn.TEXTJOIN("",TRUE,IF(ISNUMBER(FIND(MID(CC17&amp;R17,ROW($1:$4),1),CC18&amp;R18)),MID(CC17&amp;R17,ROW($1:$4),1),""))</f>
        <v>12</v>
      </c>
      <c r="CE18" s="27" t="str">
        <f t="array" ref="CE18">_xlfn.TEXTJOIN("",TRUE,IF(ISERROR(FIND(ROW($1:$10)-1,CC18&amp;CD18)),ROW($1:$10)-1,""))</f>
        <v>3456789</v>
      </c>
      <c r="CF18" s="17" t="str">
        <f t="shared" si="19"/>
        <v>邻传孤</v>
      </c>
      <c r="CG18" s="22" t="str">
        <f t="shared" si="20"/>
        <v>02</v>
      </c>
      <c r="CH18" s="22" t="str">
        <f t="array" ref="CH18">_xlfn.TEXTJOIN("",TRUE,IF(ISNUMBER(FIND(MID(CG17&amp;S17,ROW($1:$4),1),CG18&amp;S18)),MID(CG17&amp;S17,ROW($1:$4),1),""))</f>
        <v/>
      </c>
      <c r="CI18" s="22" t="str">
        <f t="array" ref="CI18">_xlfn.TEXTJOIN("",TRUE,IF(ISERROR(FIND(ROW($1:$10)-1,CG18&amp;CH18)),ROW($1:$10)-1,""))</f>
        <v>13456789</v>
      </c>
      <c r="CJ18" s="28" t="str">
        <f t="shared" si="21"/>
        <v>邻孤孤</v>
      </c>
    </row>
    <row r="19" spans="1:88">
      <c r="A19" s="32">
        <v>2024146</v>
      </c>
      <c r="B19" s="8" t="s">
        <v>41</v>
      </c>
      <c r="C19" s="49">
        <f t="shared" si="0"/>
        <v>9</v>
      </c>
      <c r="D19" s="50">
        <f t="shared" si="1"/>
        <v>9</v>
      </c>
      <c r="E19" s="51">
        <f t="shared" si="7"/>
        <v>3</v>
      </c>
      <c r="F19" s="52">
        <f>MAX(MID(B19,{1,2,3},1)*1)-MIN(MID(B19,{1,2,3},1)*1)</f>
        <v>8</v>
      </c>
      <c r="G19" s="104">
        <v>0</v>
      </c>
      <c r="H19" s="104">
        <v>1</v>
      </c>
      <c r="I19" s="104">
        <v>2</v>
      </c>
      <c r="J19" s="104">
        <v>3</v>
      </c>
      <c r="K19" s="104">
        <v>4</v>
      </c>
      <c r="L19" s="104">
        <v>5</v>
      </c>
      <c r="M19" s="104">
        <v>6</v>
      </c>
      <c r="N19" s="104">
        <v>7</v>
      </c>
      <c r="O19" s="104">
        <v>8</v>
      </c>
      <c r="P19" s="104">
        <v>9</v>
      </c>
      <c r="Q19" s="53">
        <f t="shared" si="2"/>
        <v>7</v>
      </c>
      <c r="R19" s="53">
        <f t="shared" si="3"/>
        <v>1</v>
      </c>
      <c r="S19" s="53">
        <f t="shared" si="4"/>
        <v>8</v>
      </c>
      <c r="T19" s="101">
        <f t="shared" si="8"/>
        <v>16</v>
      </c>
      <c r="U19" s="15" t="str">
        <f>_xlfn.TEXTJOIN(", ",TRUE,ABS(MID(B19,{1,1,2},1)-MID(B19,{2,3,3},1)))</f>
        <v>7, 1, 8</v>
      </c>
      <c r="V19" s="54">
        <v>0</v>
      </c>
      <c r="W19" s="54">
        <v>1</v>
      </c>
      <c r="X19" s="54">
        <v>2</v>
      </c>
      <c r="Y19" s="54">
        <v>3</v>
      </c>
      <c r="Z19" s="54">
        <v>4</v>
      </c>
      <c r="AA19" s="54">
        <v>5</v>
      </c>
      <c r="AB19" s="54">
        <v>6</v>
      </c>
      <c r="AC19" s="54">
        <v>7</v>
      </c>
      <c r="AD19" s="54">
        <v>8</v>
      </c>
      <c r="AE19" s="54">
        <v>9</v>
      </c>
      <c r="AF19" s="55">
        <v>0</v>
      </c>
      <c r="AG19" s="55">
        <v>1</v>
      </c>
      <c r="AH19" s="55">
        <v>2</v>
      </c>
      <c r="AI19" s="55">
        <v>3</v>
      </c>
      <c r="AJ19" s="55">
        <v>4</v>
      </c>
      <c r="AK19" s="55">
        <v>5</v>
      </c>
      <c r="AL19" s="55">
        <v>6</v>
      </c>
      <c r="AM19" s="55">
        <v>7</v>
      </c>
      <c r="AN19" s="55">
        <v>8</v>
      </c>
      <c r="AO19" s="55">
        <v>9</v>
      </c>
      <c r="AP19" s="105">
        <v>0</v>
      </c>
      <c r="AQ19" s="105">
        <v>1</v>
      </c>
      <c r="AR19" s="105">
        <v>2</v>
      </c>
      <c r="AS19" s="105">
        <v>3</v>
      </c>
      <c r="AT19" s="105">
        <v>4</v>
      </c>
      <c r="AU19" s="105">
        <v>5</v>
      </c>
      <c r="AV19" s="105">
        <v>6</v>
      </c>
      <c r="AW19" s="105">
        <v>7</v>
      </c>
      <c r="AX19" s="105">
        <v>8</v>
      </c>
      <c r="AY19" s="105">
        <v>9</v>
      </c>
      <c r="AZ19" s="56">
        <v>0</v>
      </c>
      <c r="BA19" s="56">
        <v>1</v>
      </c>
      <c r="BB19" s="56">
        <v>2</v>
      </c>
      <c r="BC19" s="56">
        <v>3</v>
      </c>
      <c r="BD19" s="56">
        <v>4</v>
      </c>
      <c r="BE19" s="56">
        <v>5</v>
      </c>
      <c r="BF19" s="56">
        <v>6</v>
      </c>
      <c r="BG19" s="56">
        <v>7</v>
      </c>
      <c r="BH19" s="56">
        <v>8</v>
      </c>
      <c r="BI19" s="56">
        <v>9</v>
      </c>
      <c r="BJ19" s="57" t="str">
        <f t="shared" si="9"/>
        <v>松散型</v>
      </c>
      <c r="BK19" s="13">
        <f t="shared" si="5"/>
        <v>1</v>
      </c>
      <c r="BL19" s="13">
        <f t="shared" si="6"/>
        <v>8</v>
      </c>
      <c r="BM19" s="18" t="str">
        <f t="shared" si="11"/>
        <v/>
      </c>
      <c r="BN19" s="19">
        <f t="shared" si="12"/>
        <v>7</v>
      </c>
      <c r="BO19" s="19" t="str">
        <f t="array" ref="BO19">_xlfn.TEXTJOIN("",TRUE,IF(ISERROR(FIND(ROW($1:$10)-1,BM19&amp;BN19)),ROW($1:$10)-1,""))</f>
        <v>012345689</v>
      </c>
      <c r="BP19" s="20" t="str">
        <f t="shared" si="13"/>
        <v>中隔中</v>
      </c>
      <c r="BQ19" s="21">
        <f t="shared" si="24"/>
        <v>1</v>
      </c>
      <c r="BR19" s="21" t="str">
        <f t="shared" si="22"/>
        <v/>
      </c>
      <c r="BS19" s="21" t="str">
        <f t="array" ref="BS19">_xlfn.TEXTJOIN("",TRUE,IF(ISERROR(FIND(ROW($1:$10)-1,BQ19&amp;BR19)),ROW($1:$10)-1,""))</f>
        <v>023456789</v>
      </c>
      <c r="BT19" s="20" t="str">
        <f t="shared" si="14"/>
        <v>复中中</v>
      </c>
      <c r="BU19" s="22" t="str">
        <f t="shared" si="15"/>
        <v/>
      </c>
      <c r="BV19" s="22" t="str">
        <f t="shared" si="23"/>
        <v/>
      </c>
      <c r="BW19" s="22" t="str">
        <f t="array" ref="BW19">_xlfn.TEXTJOIN("",TRUE,IF(ISERROR(FIND(ROW($1:$10)-1,BU19&amp;BV19)),ROW($1:$10)-1,""))</f>
        <v>0123456789</v>
      </c>
      <c r="BX19" s="20" t="str">
        <f t="shared" si="16"/>
        <v>中中中</v>
      </c>
      <c r="BY19" s="23" t="str">
        <f t="shared" si="10"/>
        <v>68</v>
      </c>
      <c r="BZ19" s="24" t="str">
        <f t="array" ref="BZ19">_xlfn.TEXTJOIN("",TRUE,IF(ISNUMBER(FIND(MID(BY18&amp;Q18,ROW($1:$4),1),BY19&amp;Q19)),MID(BY18&amp;Q18,ROW($1:$4),1),""))</f>
        <v/>
      </c>
      <c r="CA19" s="25" t="str">
        <f t="array" ref="CA19">_xlfn.TEXTJOIN("",TRUE,IF(ISERROR(FIND(ROW($1:$10)-1,BY19&amp;BZ19)),ROW($1:$10)-1,""))</f>
        <v>01234579</v>
      </c>
      <c r="CB19" s="26" t="str">
        <f t="shared" si="17"/>
        <v>邻孤孤</v>
      </c>
      <c r="CC19" s="27" t="str">
        <f t="shared" si="18"/>
        <v>02</v>
      </c>
      <c r="CD19" s="27" t="str">
        <f t="array" ref="CD19">_xlfn.TEXTJOIN("",TRUE,IF(ISNUMBER(FIND(MID(CC18&amp;R18,ROW($1:$4),1),CC19&amp;R19)),MID(CC18&amp;R18,ROW($1:$4),1),""))</f>
        <v>021</v>
      </c>
      <c r="CE19" s="27" t="str">
        <f t="array" ref="CE19">_xlfn.TEXTJOIN("",TRUE,IF(ISERROR(FIND(ROW($1:$10)-1,CC19&amp;CD19)),ROW($1:$10)-1,""))</f>
        <v>3456789</v>
      </c>
      <c r="CF19" s="17" t="str">
        <f t="shared" si="19"/>
        <v>邻传孤</v>
      </c>
      <c r="CG19" s="22" t="str">
        <f t="shared" si="20"/>
        <v>79</v>
      </c>
      <c r="CH19" s="22" t="str">
        <f t="array" ref="CH19">_xlfn.TEXTJOIN("",TRUE,IF(ISNUMBER(FIND(MID(CG18&amp;S18,ROW($1:$4),1),CG19&amp;S19)),MID(CG18&amp;S18,ROW($1:$4),1),""))</f>
        <v/>
      </c>
      <c r="CI19" s="22" t="str">
        <f t="array" ref="CI19">_xlfn.TEXTJOIN("",TRUE,IF(ISERROR(FIND(ROW($1:$10)-1,CG19&amp;CH19)),ROW($1:$10)-1,""))</f>
        <v>01234568</v>
      </c>
      <c r="CJ19" s="28" t="str">
        <f t="shared" si="21"/>
        <v>邻孤孤</v>
      </c>
    </row>
    <row r="20" spans="1:88">
      <c r="A20" s="32">
        <v>2024147</v>
      </c>
      <c r="B20" s="8" t="s">
        <v>42</v>
      </c>
      <c r="C20" s="49">
        <f t="shared" si="0"/>
        <v>9</v>
      </c>
      <c r="D20" s="50">
        <f t="shared" si="1"/>
        <v>9</v>
      </c>
      <c r="E20" s="51">
        <f t="shared" si="7"/>
        <v>3</v>
      </c>
      <c r="F20" s="52">
        <f>MAX(MID(B20,{1,2,3},1)*1)-MIN(MID(B20,{1,2,3},1)*1)</f>
        <v>3</v>
      </c>
      <c r="G20" s="104">
        <v>0</v>
      </c>
      <c r="H20" s="104">
        <v>1</v>
      </c>
      <c r="I20" s="104">
        <v>2</v>
      </c>
      <c r="J20" s="104">
        <v>3</v>
      </c>
      <c r="K20" s="104">
        <v>4</v>
      </c>
      <c r="L20" s="104">
        <v>5</v>
      </c>
      <c r="M20" s="104">
        <v>6</v>
      </c>
      <c r="N20" s="104">
        <v>7</v>
      </c>
      <c r="O20" s="104">
        <v>8</v>
      </c>
      <c r="P20" s="104">
        <v>9</v>
      </c>
      <c r="Q20" s="53">
        <f t="shared" si="2"/>
        <v>0</v>
      </c>
      <c r="R20" s="53">
        <f t="shared" si="3"/>
        <v>3</v>
      </c>
      <c r="S20" s="53">
        <f t="shared" si="4"/>
        <v>3</v>
      </c>
      <c r="T20" s="101">
        <f t="shared" si="8"/>
        <v>6</v>
      </c>
      <c r="U20" s="15" t="str">
        <f>_xlfn.TEXTJOIN(", ",TRUE,ABS(MID(B20,{1,1,2},1)-MID(B20,{2,3,3},1)))</f>
        <v>0, 3, 3</v>
      </c>
      <c r="V20" s="54">
        <v>0</v>
      </c>
      <c r="W20" s="54">
        <v>1</v>
      </c>
      <c r="X20" s="54">
        <v>2</v>
      </c>
      <c r="Y20" s="54">
        <v>3</v>
      </c>
      <c r="Z20" s="54">
        <v>4</v>
      </c>
      <c r="AA20" s="54">
        <v>5</v>
      </c>
      <c r="AB20" s="54">
        <v>6</v>
      </c>
      <c r="AC20" s="54">
        <v>7</v>
      </c>
      <c r="AD20" s="54">
        <v>8</v>
      </c>
      <c r="AE20" s="54">
        <v>9</v>
      </c>
      <c r="AF20" s="55">
        <v>0</v>
      </c>
      <c r="AG20" s="55">
        <v>1</v>
      </c>
      <c r="AH20" s="55">
        <v>2</v>
      </c>
      <c r="AI20" s="55">
        <v>3</v>
      </c>
      <c r="AJ20" s="55">
        <v>4</v>
      </c>
      <c r="AK20" s="55">
        <v>5</v>
      </c>
      <c r="AL20" s="55">
        <v>6</v>
      </c>
      <c r="AM20" s="55">
        <v>7</v>
      </c>
      <c r="AN20" s="55">
        <v>8</v>
      </c>
      <c r="AO20" s="55">
        <v>9</v>
      </c>
      <c r="AP20" s="105">
        <v>0</v>
      </c>
      <c r="AQ20" s="105">
        <v>1</v>
      </c>
      <c r="AR20" s="105">
        <v>2</v>
      </c>
      <c r="AS20" s="105">
        <v>3</v>
      </c>
      <c r="AT20" s="105">
        <v>4</v>
      </c>
      <c r="AU20" s="105">
        <v>5</v>
      </c>
      <c r="AV20" s="105">
        <v>6</v>
      </c>
      <c r="AW20" s="105">
        <v>7</v>
      </c>
      <c r="AX20" s="105">
        <v>8</v>
      </c>
      <c r="AY20" s="105">
        <v>9</v>
      </c>
      <c r="AZ20" s="56">
        <v>0</v>
      </c>
      <c r="BA20" s="56">
        <v>1</v>
      </c>
      <c r="BB20" s="56">
        <v>2</v>
      </c>
      <c r="BC20" s="56">
        <v>3</v>
      </c>
      <c r="BD20" s="56">
        <v>4</v>
      </c>
      <c r="BE20" s="56">
        <v>5</v>
      </c>
      <c r="BF20" s="56">
        <v>6</v>
      </c>
      <c r="BG20" s="56">
        <v>7</v>
      </c>
      <c r="BH20" s="56">
        <v>8</v>
      </c>
      <c r="BI20" s="56">
        <v>9</v>
      </c>
      <c r="BJ20" s="57" t="str">
        <f t="shared" si="9"/>
        <v>紧凑型</v>
      </c>
      <c r="BK20" s="13">
        <f t="shared" si="5"/>
        <v>0</v>
      </c>
      <c r="BL20" s="13">
        <f t="shared" si="6"/>
        <v>3</v>
      </c>
      <c r="BM20" s="18" t="str">
        <f t="shared" si="11"/>
        <v/>
      </c>
      <c r="BN20" s="19" t="str">
        <f t="shared" si="12"/>
        <v/>
      </c>
      <c r="BO20" s="19" t="str">
        <f t="array" ref="BO20">_xlfn.TEXTJOIN("",TRUE,IF(ISERROR(FIND(ROW($1:$10)-1,BM20&amp;BN20)),ROW($1:$10)-1,""))</f>
        <v>0123456789</v>
      </c>
      <c r="BP20" s="20" t="str">
        <f t="shared" si="13"/>
        <v>中中中</v>
      </c>
      <c r="BQ20" s="21" t="str">
        <f t="shared" si="24"/>
        <v/>
      </c>
      <c r="BR20" s="21" t="str">
        <f t="shared" si="22"/>
        <v/>
      </c>
      <c r="BS20" s="21" t="str">
        <f t="array" ref="BS20">_xlfn.TEXTJOIN("",TRUE,IF(ISERROR(FIND(ROW($1:$10)-1,BQ20&amp;BR20)),ROW($1:$10)-1,""))</f>
        <v>0123456789</v>
      </c>
      <c r="BT20" s="20" t="str">
        <f t="shared" si="14"/>
        <v>中中中</v>
      </c>
      <c r="BU20" s="22" t="str">
        <f t="shared" si="15"/>
        <v/>
      </c>
      <c r="BV20" s="22" t="str">
        <f t="shared" si="23"/>
        <v/>
      </c>
      <c r="BW20" s="22" t="str">
        <f t="array" ref="BW20">_xlfn.TEXTJOIN("",TRUE,IF(ISERROR(FIND(ROW($1:$10)-1,BU20&amp;BV20)),ROW($1:$10)-1,""))</f>
        <v>0123456789</v>
      </c>
      <c r="BX20" s="20" t="str">
        <f t="shared" si="16"/>
        <v>中中中</v>
      </c>
      <c r="BY20" s="23" t="str">
        <f t="shared" si="10"/>
        <v>91</v>
      </c>
      <c r="BZ20" s="24" t="str">
        <f t="array" ref="BZ20">_xlfn.TEXTJOIN("",TRUE,IF(ISNUMBER(FIND(MID(BY19&amp;Q19,ROW($1:$4),1),BY20&amp;Q20)),MID(BY19&amp;Q19,ROW($1:$4),1),""))</f>
        <v/>
      </c>
      <c r="CA20" s="25" t="str">
        <f t="array" ref="CA20">_xlfn.TEXTJOIN("",TRUE,IF(ISERROR(FIND(ROW($1:$10)-1,BY20&amp;BZ20)),ROW($1:$10)-1,""))</f>
        <v>02345678</v>
      </c>
      <c r="CB20" s="26" t="str">
        <f t="shared" si="17"/>
        <v>邻孤孤</v>
      </c>
      <c r="CC20" s="27" t="str">
        <f t="shared" si="18"/>
        <v>24</v>
      </c>
      <c r="CD20" s="27" t="str">
        <f t="array" ref="CD20">_xlfn.TEXTJOIN("",TRUE,IF(ISNUMBER(FIND(MID(CC19&amp;R19,ROW($1:$4),1),CC20&amp;R20)),MID(CC19&amp;R19,ROW($1:$4),1),""))</f>
        <v>2</v>
      </c>
      <c r="CE20" s="27" t="str">
        <f t="array" ref="CE20">_xlfn.TEXTJOIN("",TRUE,IF(ISERROR(FIND(ROW($1:$10)-1,CC20&amp;CD20)),ROW($1:$10)-1,""))</f>
        <v>01356789</v>
      </c>
      <c r="CF20" s="17" t="str">
        <f t="shared" si="19"/>
        <v>邻传孤</v>
      </c>
      <c r="CG20" s="22" t="str">
        <f t="shared" si="20"/>
        <v>24</v>
      </c>
      <c r="CH20" s="22" t="str">
        <f t="array" ref="CH20">_xlfn.TEXTJOIN("",TRUE,IF(ISNUMBER(FIND(MID(CG19&amp;S19,ROW($1:$4),1),CG20&amp;S20)),MID(CG19&amp;S19,ROW($1:$4),1),""))</f>
        <v/>
      </c>
      <c r="CI20" s="22" t="str">
        <f t="array" ref="CI20">_xlfn.TEXTJOIN("",TRUE,IF(ISERROR(FIND(ROW($1:$10)-1,CG20&amp;CH20)),ROW($1:$10)-1,""))</f>
        <v>01356789</v>
      </c>
      <c r="CJ20" s="28" t="str">
        <f t="shared" si="21"/>
        <v>邻孤孤</v>
      </c>
    </row>
    <row r="21" spans="1:88">
      <c r="A21" s="32">
        <v>2024148</v>
      </c>
      <c r="B21" s="8" t="s">
        <v>43</v>
      </c>
      <c r="C21" s="49">
        <f t="shared" si="0"/>
        <v>12</v>
      </c>
      <c r="D21" s="50">
        <f t="shared" si="1"/>
        <v>2</v>
      </c>
      <c r="E21" s="51">
        <f t="shared" si="7"/>
        <v>4</v>
      </c>
      <c r="F21" s="52">
        <f>MAX(MID(B21,{1,2,3},1)*1)-MIN(MID(B21,{1,2,3},1)*1)</f>
        <v>4</v>
      </c>
      <c r="G21" s="104">
        <v>0</v>
      </c>
      <c r="H21" s="104">
        <v>1</v>
      </c>
      <c r="I21" s="104">
        <v>2</v>
      </c>
      <c r="J21" s="104">
        <v>3</v>
      </c>
      <c r="K21" s="104">
        <v>4</v>
      </c>
      <c r="L21" s="104">
        <v>5</v>
      </c>
      <c r="M21" s="104">
        <v>6</v>
      </c>
      <c r="N21" s="104">
        <v>7</v>
      </c>
      <c r="O21" s="104">
        <v>8</v>
      </c>
      <c r="P21" s="104">
        <v>9</v>
      </c>
      <c r="Q21" s="53">
        <f t="shared" si="2"/>
        <v>2</v>
      </c>
      <c r="R21" s="53">
        <f t="shared" si="3"/>
        <v>2</v>
      </c>
      <c r="S21" s="53">
        <f t="shared" si="4"/>
        <v>4</v>
      </c>
      <c r="T21" s="101">
        <f t="shared" si="8"/>
        <v>8</v>
      </c>
      <c r="U21" s="15" t="str">
        <f>_xlfn.TEXTJOIN(", ",TRUE,ABS(MID(B21,{1,1,2},1)-MID(B21,{2,3,3},1)))</f>
        <v>2, 2, 4</v>
      </c>
      <c r="V21" s="54">
        <v>0</v>
      </c>
      <c r="W21" s="54">
        <v>1</v>
      </c>
      <c r="X21" s="54">
        <v>2</v>
      </c>
      <c r="Y21" s="54">
        <v>3</v>
      </c>
      <c r="Z21" s="54">
        <v>4</v>
      </c>
      <c r="AA21" s="54">
        <v>5</v>
      </c>
      <c r="AB21" s="54">
        <v>6</v>
      </c>
      <c r="AC21" s="54">
        <v>7</v>
      </c>
      <c r="AD21" s="54">
        <v>8</v>
      </c>
      <c r="AE21" s="54">
        <v>9</v>
      </c>
      <c r="AF21" s="55">
        <v>0</v>
      </c>
      <c r="AG21" s="55">
        <v>1</v>
      </c>
      <c r="AH21" s="55">
        <v>2</v>
      </c>
      <c r="AI21" s="55">
        <v>3</v>
      </c>
      <c r="AJ21" s="55">
        <v>4</v>
      </c>
      <c r="AK21" s="55">
        <v>5</v>
      </c>
      <c r="AL21" s="55">
        <v>6</v>
      </c>
      <c r="AM21" s="55">
        <v>7</v>
      </c>
      <c r="AN21" s="55">
        <v>8</v>
      </c>
      <c r="AO21" s="55">
        <v>9</v>
      </c>
      <c r="AP21" s="105">
        <v>0</v>
      </c>
      <c r="AQ21" s="105">
        <v>1</v>
      </c>
      <c r="AR21" s="105">
        <v>2</v>
      </c>
      <c r="AS21" s="105">
        <v>3</v>
      </c>
      <c r="AT21" s="105">
        <v>4</v>
      </c>
      <c r="AU21" s="105">
        <v>5</v>
      </c>
      <c r="AV21" s="105">
        <v>6</v>
      </c>
      <c r="AW21" s="105">
        <v>7</v>
      </c>
      <c r="AX21" s="105">
        <v>8</v>
      </c>
      <c r="AY21" s="105">
        <v>9</v>
      </c>
      <c r="AZ21" s="56">
        <v>0</v>
      </c>
      <c r="BA21" s="56">
        <v>1</v>
      </c>
      <c r="BB21" s="56">
        <v>2</v>
      </c>
      <c r="BC21" s="56">
        <v>3</v>
      </c>
      <c r="BD21" s="56">
        <v>4</v>
      </c>
      <c r="BE21" s="56">
        <v>5</v>
      </c>
      <c r="BF21" s="56">
        <v>6</v>
      </c>
      <c r="BG21" s="56">
        <v>7</v>
      </c>
      <c r="BH21" s="56">
        <v>8</v>
      </c>
      <c r="BI21" s="56">
        <v>9</v>
      </c>
      <c r="BJ21" s="57" t="str">
        <f t="shared" si="9"/>
        <v>标准型</v>
      </c>
      <c r="BK21" s="13">
        <f t="shared" si="5"/>
        <v>2</v>
      </c>
      <c r="BL21" s="13">
        <f t="shared" si="6"/>
        <v>4</v>
      </c>
      <c r="BM21" s="18" t="str">
        <f t="shared" si="11"/>
        <v/>
      </c>
      <c r="BN21" s="19" t="str">
        <f t="shared" si="12"/>
        <v/>
      </c>
      <c r="BO21" s="19" t="str">
        <f t="array" ref="BO21">_xlfn.TEXTJOIN("",TRUE,IF(ISERROR(FIND(ROW($1:$10)-1,BM21&amp;BN21)),ROW($1:$10)-1,""))</f>
        <v>0123456789</v>
      </c>
      <c r="BP21" s="20" t="str">
        <f t="shared" si="13"/>
        <v>中中中</v>
      </c>
      <c r="BQ21" s="21" t="str">
        <f t="shared" si="24"/>
        <v/>
      </c>
      <c r="BR21" s="21" t="str">
        <f t="shared" si="22"/>
        <v/>
      </c>
      <c r="BS21" s="21" t="str">
        <f t="array" ref="BS21">_xlfn.TEXTJOIN("",TRUE,IF(ISERROR(FIND(ROW($1:$10)-1,BQ21&amp;BR21)),ROW($1:$10)-1,""))</f>
        <v>0123456789</v>
      </c>
      <c r="BT21" s="20" t="str">
        <f t="shared" si="14"/>
        <v>中中中</v>
      </c>
      <c r="BU21" s="22" t="str">
        <f t="shared" si="15"/>
        <v/>
      </c>
      <c r="BV21" s="22" t="str">
        <f t="shared" si="23"/>
        <v/>
      </c>
      <c r="BW21" s="22" t="str">
        <f t="array" ref="BW21">_xlfn.TEXTJOIN("",TRUE,IF(ISERROR(FIND(ROW($1:$10)-1,BU21&amp;BV21)),ROW($1:$10)-1,""))</f>
        <v>0123456789</v>
      </c>
      <c r="BX21" s="20" t="str">
        <f t="shared" si="16"/>
        <v>中中中</v>
      </c>
      <c r="BY21" s="23" t="str">
        <f t="shared" si="10"/>
        <v>13</v>
      </c>
      <c r="BZ21" s="24" t="str">
        <f t="array" ref="BZ21">_xlfn.TEXTJOIN("",TRUE,IF(ISNUMBER(FIND(MID(BY20&amp;Q20,ROW($1:$4),1),BY21&amp;Q21)),MID(BY20&amp;Q20,ROW($1:$4),1),""))</f>
        <v>1</v>
      </c>
      <c r="CA21" s="25" t="str">
        <f t="array" ref="CA21">_xlfn.TEXTJOIN("",TRUE,IF(ISERROR(FIND(ROW($1:$10)-1,BY21&amp;BZ21)),ROW($1:$10)-1,""))</f>
        <v>02456789</v>
      </c>
      <c r="CB21" s="26" t="str">
        <f t="shared" si="17"/>
        <v>邻传孤</v>
      </c>
      <c r="CC21" s="27" t="str">
        <f t="shared" si="18"/>
        <v>13</v>
      </c>
      <c r="CD21" s="27" t="str">
        <f t="array" ref="CD21">_xlfn.TEXTJOIN("",TRUE,IF(ISNUMBER(FIND(MID(CC20&amp;R20,ROW($1:$4),1),CC21&amp;R21)),MID(CC20&amp;R20,ROW($1:$4),1),""))</f>
        <v>23</v>
      </c>
      <c r="CE21" s="27" t="str">
        <f t="array" ref="CE21">_xlfn.TEXTJOIN("",TRUE,IF(ISERROR(FIND(ROW($1:$10)-1,CC21&amp;CD21)),ROW($1:$10)-1,""))</f>
        <v>0456789</v>
      </c>
      <c r="CF21" s="17" t="str">
        <f t="shared" si="19"/>
        <v>邻传孤</v>
      </c>
      <c r="CG21" s="22" t="str">
        <f t="shared" si="20"/>
        <v>35</v>
      </c>
      <c r="CH21" s="22" t="str">
        <f t="array" ref="CH21">_xlfn.TEXTJOIN("",TRUE,IF(ISNUMBER(FIND(MID(CG20&amp;S20,ROW($1:$4),1),CG21&amp;S21)),MID(CG20&amp;S20,ROW($1:$4),1),""))</f>
        <v>43</v>
      </c>
      <c r="CI21" s="22" t="str">
        <f t="array" ref="CI21">_xlfn.TEXTJOIN("",TRUE,IF(ISERROR(FIND(ROW($1:$10)-1,CG21&amp;CH21)),ROW($1:$10)-1,""))</f>
        <v>0126789</v>
      </c>
      <c r="CJ21" s="28" t="str">
        <f t="shared" si="21"/>
        <v>邻传孤</v>
      </c>
    </row>
    <row r="22" spans="1:88">
      <c r="A22" s="32">
        <v>2024149</v>
      </c>
      <c r="B22" s="8" t="s">
        <v>44</v>
      </c>
      <c r="C22" s="49">
        <f t="shared" si="0"/>
        <v>9</v>
      </c>
      <c r="D22" s="50">
        <f t="shared" si="1"/>
        <v>9</v>
      </c>
      <c r="E22" s="51">
        <f t="shared" si="7"/>
        <v>3</v>
      </c>
      <c r="F22" s="52">
        <f>MAX(MID(B22,{1,2,3},1)*1)-MIN(MID(B22,{1,2,3},1)*1)</f>
        <v>4</v>
      </c>
      <c r="G22" s="104">
        <v>0</v>
      </c>
      <c r="H22" s="104">
        <v>1</v>
      </c>
      <c r="I22" s="104">
        <v>2</v>
      </c>
      <c r="J22" s="104">
        <v>3</v>
      </c>
      <c r="K22" s="104">
        <v>4</v>
      </c>
      <c r="L22" s="104">
        <v>5</v>
      </c>
      <c r="M22" s="104">
        <v>6</v>
      </c>
      <c r="N22" s="104">
        <v>7</v>
      </c>
      <c r="O22" s="104">
        <v>8</v>
      </c>
      <c r="P22" s="104">
        <v>9</v>
      </c>
      <c r="Q22" s="53">
        <f t="shared" si="2"/>
        <v>4</v>
      </c>
      <c r="R22" s="53">
        <f t="shared" si="3"/>
        <v>2</v>
      </c>
      <c r="S22" s="53">
        <f t="shared" si="4"/>
        <v>2</v>
      </c>
      <c r="T22" s="101">
        <f t="shared" si="8"/>
        <v>8</v>
      </c>
      <c r="U22" s="15" t="str">
        <f>_xlfn.TEXTJOIN(", ",TRUE,ABS(MID(B22,{1,1,2},1)-MID(B22,{2,3,3},1)))</f>
        <v>4, 2, 2</v>
      </c>
      <c r="V22" s="54">
        <v>0</v>
      </c>
      <c r="W22" s="54">
        <v>1</v>
      </c>
      <c r="X22" s="54">
        <v>2</v>
      </c>
      <c r="Y22" s="54">
        <v>3</v>
      </c>
      <c r="Z22" s="54">
        <v>4</v>
      </c>
      <c r="AA22" s="54">
        <v>5</v>
      </c>
      <c r="AB22" s="54">
        <v>6</v>
      </c>
      <c r="AC22" s="54">
        <v>7</v>
      </c>
      <c r="AD22" s="54">
        <v>8</v>
      </c>
      <c r="AE22" s="54">
        <v>9</v>
      </c>
      <c r="AF22" s="55">
        <v>0</v>
      </c>
      <c r="AG22" s="55">
        <v>1</v>
      </c>
      <c r="AH22" s="55">
        <v>2</v>
      </c>
      <c r="AI22" s="55">
        <v>3</v>
      </c>
      <c r="AJ22" s="55">
        <v>4</v>
      </c>
      <c r="AK22" s="55">
        <v>5</v>
      </c>
      <c r="AL22" s="55">
        <v>6</v>
      </c>
      <c r="AM22" s="55">
        <v>7</v>
      </c>
      <c r="AN22" s="55">
        <v>8</v>
      </c>
      <c r="AO22" s="55">
        <v>9</v>
      </c>
      <c r="AP22" s="105">
        <v>0</v>
      </c>
      <c r="AQ22" s="105">
        <v>1</v>
      </c>
      <c r="AR22" s="105">
        <v>2</v>
      </c>
      <c r="AS22" s="105">
        <v>3</v>
      </c>
      <c r="AT22" s="105">
        <v>4</v>
      </c>
      <c r="AU22" s="105">
        <v>5</v>
      </c>
      <c r="AV22" s="105">
        <v>6</v>
      </c>
      <c r="AW22" s="105">
        <v>7</v>
      </c>
      <c r="AX22" s="105">
        <v>8</v>
      </c>
      <c r="AY22" s="105">
        <v>9</v>
      </c>
      <c r="AZ22" s="56">
        <v>0</v>
      </c>
      <c r="BA22" s="56">
        <v>1</v>
      </c>
      <c r="BB22" s="56">
        <v>2</v>
      </c>
      <c r="BC22" s="56">
        <v>3</v>
      </c>
      <c r="BD22" s="56">
        <v>4</v>
      </c>
      <c r="BE22" s="56">
        <v>5</v>
      </c>
      <c r="BF22" s="56">
        <v>6</v>
      </c>
      <c r="BG22" s="56">
        <v>7</v>
      </c>
      <c r="BH22" s="56">
        <v>8</v>
      </c>
      <c r="BI22" s="56">
        <v>9</v>
      </c>
      <c r="BJ22" s="57" t="str">
        <f t="shared" si="9"/>
        <v>标准型</v>
      </c>
      <c r="BK22" s="13">
        <f t="shared" si="5"/>
        <v>2</v>
      </c>
      <c r="BL22" s="13">
        <f t="shared" si="6"/>
        <v>4</v>
      </c>
      <c r="BM22" s="18">
        <f t="shared" si="11"/>
        <v>4</v>
      </c>
      <c r="BN22" s="19" t="str">
        <f t="shared" si="12"/>
        <v/>
      </c>
      <c r="BO22" s="19" t="str">
        <f t="array" ref="BO22">_xlfn.TEXTJOIN("",TRUE,IF(ISERROR(FIND(ROW($1:$10)-1,BM22&amp;BN22)),ROW($1:$10)-1,""))</f>
        <v>012356789</v>
      </c>
      <c r="BP22" s="20" t="str">
        <f t="shared" si="13"/>
        <v>复中中</v>
      </c>
      <c r="BQ22" s="21">
        <f t="shared" si="24"/>
        <v>2</v>
      </c>
      <c r="BR22" s="21" t="str">
        <f t="shared" si="22"/>
        <v/>
      </c>
      <c r="BS22" s="21" t="str">
        <f t="array" ref="BS22">_xlfn.TEXTJOIN("",TRUE,IF(ISERROR(FIND(ROW($1:$10)-1,BQ22&amp;BR22)),ROW($1:$10)-1,""))</f>
        <v>013456789</v>
      </c>
      <c r="BT22" s="20" t="str">
        <f t="shared" si="14"/>
        <v>复中中</v>
      </c>
      <c r="BU22" s="22">
        <f t="shared" si="15"/>
        <v>2</v>
      </c>
      <c r="BV22" s="22" t="str">
        <f t="shared" si="23"/>
        <v/>
      </c>
      <c r="BW22" s="22" t="str">
        <f t="array" ref="BW22">_xlfn.TEXTJOIN("",TRUE,IF(ISERROR(FIND(ROW($1:$10)-1,BU22&amp;BV22)),ROW($1:$10)-1,""))</f>
        <v>013456789</v>
      </c>
      <c r="BX22" s="20" t="str">
        <f t="shared" si="16"/>
        <v>复中中</v>
      </c>
      <c r="BY22" s="23" t="str">
        <f t="shared" si="10"/>
        <v>35</v>
      </c>
      <c r="BZ22" s="24" t="str">
        <f t="array" ref="BZ22">_xlfn.TEXTJOIN("",TRUE,IF(ISNUMBER(FIND(MID(BY21&amp;Q21,ROW($1:$4),1),BY22&amp;Q22)),MID(BY21&amp;Q21,ROW($1:$4),1),""))</f>
        <v>3</v>
      </c>
      <c r="CA22" s="25" t="str">
        <f t="array" ref="CA22">_xlfn.TEXTJOIN("",TRUE,IF(ISERROR(FIND(ROW($1:$10)-1,BY22&amp;BZ22)),ROW($1:$10)-1,""))</f>
        <v>01246789</v>
      </c>
      <c r="CB22" s="26" t="str">
        <f t="shared" si="17"/>
        <v>邻传孤</v>
      </c>
      <c r="CC22" s="27" t="str">
        <f t="shared" si="18"/>
        <v>13</v>
      </c>
      <c r="CD22" s="27" t="str">
        <f t="array" ref="CD22">_xlfn.TEXTJOIN("",TRUE,IF(ISNUMBER(FIND(MID(CC21&amp;R21,ROW($1:$4),1),CC22&amp;R22)),MID(CC21&amp;R21,ROW($1:$4),1),""))</f>
        <v>132</v>
      </c>
      <c r="CE22" s="27" t="str">
        <f t="array" ref="CE22">_xlfn.TEXTJOIN("",TRUE,IF(ISERROR(FIND(ROW($1:$10)-1,CC22&amp;CD22)),ROW($1:$10)-1,""))</f>
        <v>0456789</v>
      </c>
      <c r="CF22" s="17" t="str">
        <f t="shared" si="19"/>
        <v>邻传孤</v>
      </c>
      <c r="CG22" s="22" t="str">
        <f t="shared" si="20"/>
        <v>13</v>
      </c>
      <c r="CH22" s="22" t="str">
        <f t="array" ref="CH22">_xlfn.TEXTJOIN("",TRUE,IF(ISNUMBER(FIND(MID(CG21&amp;S21,ROW($1:$4),1),CG22&amp;S22)),MID(CG21&amp;S21,ROW($1:$4),1),""))</f>
        <v>3</v>
      </c>
      <c r="CI22" s="22" t="str">
        <f t="array" ref="CI22">_xlfn.TEXTJOIN("",TRUE,IF(ISERROR(FIND(ROW($1:$10)-1,CG22&amp;CH22)),ROW($1:$10)-1,""))</f>
        <v>02456789</v>
      </c>
      <c r="CJ22" s="28" t="str">
        <f t="shared" si="21"/>
        <v>邻传孤</v>
      </c>
    </row>
    <row r="23" spans="1:88">
      <c r="A23" s="32">
        <v>2024150</v>
      </c>
      <c r="B23" s="8" t="s">
        <v>45</v>
      </c>
      <c r="C23" s="49">
        <f t="shared" si="0"/>
        <v>14</v>
      </c>
      <c r="D23" s="50">
        <f t="shared" si="1"/>
        <v>4</v>
      </c>
      <c r="E23" s="51">
        <f t="shared" si="7"/>
        <v>4.6666666666666696</v>
      </c>
      <c r="F23" s="52">
        <f>MAX(MID(B23,{1,2,3},1)*1)-MIN(MID(B23,{1,2,3},1)*1)</f>
        <v>3</v>
      </c>
      <c r="G23" s="104">
        <v>0</v>
      </c>
      <c r="H23" s="104">
        <v>1</v>
      </c>
      <c r="I23" s="104">
        <v>2</v>
      </c>
      <c r="J23" s="104">
        <v>3</v>
      </c>
      <c r="K23" s="104">
        <v>4</v>
      </c>
      <c r="L23" s="104">
        <v>5</v>
      </c>
      <c r="M23" s="104">
        <v>6</v>
      </c>
      <c r="N23" s="104">
        <v>7</v>
      </c>
      <c r="O23" s="104">
        <v>8</v>
      </c>
      <c r="P23" s="104">
        <v>9</v>
      </c>
      <c r="Q23" s="53">
        <f t="shared" si="2"/>
        <v>2</v>
      </c>
      <c r="R23" s="53">
        <f t="shared" si="3"/>
        <v>3</v>
      </c>
      <c r="S23" s="53">
        <f t="shared" si="4"/>
        <v>1</v>
      </c>
      <c r="T23" s="101">
        <f t="shared" si="8"/>
        <v>6</v>
      </c>
      <c r="U23" s="15" t="str">
        <f>_xlfn.TEXTJOIN(", ",TRUE,ABS(MID(B23,{1,1,2},1)-MID(B23,{2,3,3},1)))</f>
        <v>2, 3, 1</v>
      </c>
      <c r="V23" s="54">
        <v>0</v>
      </c>
      <c r="W23" s="54">
        <v>1</v>
      </c>
      <c r="X23" s="54">
        <v>2</v>
      </c>
      <c r="Y23" s="54">
        <v>3</v>
      </c>
      <c r="Z23" s="54">
        <v>4</v>
      </c>
      <c r="AA23" s="54">
        <v>5</v>
      </c>
      <c r="AB23" s="54">
        <v>6</v>
      </c>
      <c r="AC23" s="54">
        <v>7</v>
      </c>
      <c r="AD23" s="54">
        <v>8</v>
      </c>
      <c r="AE23" s="54">
        <v>9</v>
      </c>
      <c r="AF23" s="55">
        <v>0</v>
      </c>
      <c r="AG23" s="55">
        <v>1</v>
      </c>
      <c r="AH23" s="55">
        <v>2</v>
      </c>
      <c r="AI23" s="55">
        <v>3</v>
      </c>
      <c r="AJ23" s="55">
        <v>4</v>
      </c>
      <c r="AK23" s="55">
        <v>5</v>
      </c>
      <c r="AL23" s="55">
        <v>6</v>
      </c>
      <c r="AM23" s="55">
        <v>7</v>
      </c>
      <c r="AN23" s="55">
        <v>8</v>
      </c>
      <c r="AO23" s="55">
        <v>9</v>
      </c>
      <c r="AP23" s="105">
        <v>0</v>
      </c>
      <c r="AQ23" s="105">
        <v>1</v>
      </c>
      <c r="AR23" s="105">
        <v>2</v>
      </c>
      <c r="AS23" s="105">
        <v>3</v>
      </c>
      <c r="AT23" s="105">
        <v>4</v>
      </c>
      <c r="AU23" s="105">
        <v>5</v>
      </c>
      <c r="AV23" s="105">
        <v>6</v>
      </c>
      <c r="AW23" s="105">
        <v>7</v>
      </c>
      <c r="AX23" s="105">
        <v>8</v>
      </c>
      <c r="AY23" s="105">
        <v>9</v>
      </c>
      <c r="AZ23" s="56">
        <v>0</v>
      </c>
      <c r="BA23" s="56">
        <v>1</v>
      </c>
      <c r="BB23" s="56">
        <v>2</v>
      </c>
      <c r="BC23" s="56">
        <v>3</v>
      </c>
      <c r="BD23" s="56">
        <v>4</v>
      </c>
      <c r="BE23" s="56">
        <v>5</v>
      </c>
      <c r="BF23" s="56">
        <v>6</v>
      </c>
      <c r="BG23" s="56">
        <v>7</v>
      </c>
      <c r="BH23" s="56">
        <v>8</v>
      </c>
      <c r="BI23" s="56">
        <v>9</v>
      </c>
      <c r="BJ23" s="57" t="str">
        <f t="shared" si="9"/>
        <v>紧凑型</v>
      </c>
      <c r="BK23" s="13">
        <f t="shared" si="5"/>
        <v>1</v>
      </c>
      <c r="BL23" s="13">
        <f t="shared" si="6"/>
        <v>3</v>
      </c>
      <c r="BM23" s="18">
        <f t="shared" si="11"/>
        <v>2</v>
      </c>
      <c r="BN23" s="19">
        <f t="shared" si="12"/>
        <v>2</v>
      </c>
      <c r="BO23" s="19" t="str">
        <f t="array" ref="BO23">_xlfn.TEXTJOIN("",TRUE,IF(ISERROR(FIND(ROW($1:$10)-1,BM23&amp;BN23)),ROW($1:$10)-1,""))</f>
        <v>013456789</v>
      </c>
      <c r="BP23" s="20" t="str">
        <f t="shared" si="13"/>
        <v>复隔中</v>
      </c>
      <c r="BQ23" s="21" t="str">
        <f t="shared" si="24"/>
        <v/>
      </c>
      <c r="BR23" s="21" t="str">
        <f t="shared" si="22"/>
        <v/>
      </c>
      <c r="BS23" s="21" t="str">
        <f t="array" ref="BS23">_xlfn.TEXTJOIN("",TRUE,IF(ISERROR(FIND(ROW($1:$10)-1,BQ23&amp;BR23)),ROW($1:$10)-1,""))</f>
        <v>0123456789</v>
      </c>
      <c r="BT23" s="20" t="str">
        <f t="shared" si="14"/>
        <v>中中中</v>
      </c>
      <c r="BU23" s="22" t="str">
        <f t="shared" si="15"/>
        <v/>
      </c>
      <c r="BV23" s="22" t="str">
        <f t="shared" si="23"/>
        <v/>
      </c>
      <c r="BW23" s="22" t="str">
        <f t="array" ref="BW23">_xlfn.TEXTJOIN("",TRUE,IF(ISERROR(FIND(ROW($1:$10)-1,BU23&amp;BV23)),ROW($1:$10)-1,""))</f>
        <v>0123456789</v>
      </c>
      <c r="BX23" s="20" t="str">
        <f t="shared" si="16"/>
        <v>中中中</v>
      </c>
      <c r="BY23" s="23" t="str">
        <f t="shared" si="10"/>
        <v>13</v>
      </c>
      <c r="BZ23" s="24" t="str">
        <f t="array" ref="BZ23">_xlfn.TEXTJOIN("",TRUE,IF(ISNUMBER(FIND(MID(BY22&amp;Q22,ROW($1:$4),1),BY23&amp;Q23)),MID(BY22&amp;Q22,ROW($1:$4),1),""))</f>
        <v>3</v>
      </c>
      <c r="CA23" s="25" t="str">
        <f t="array" ref="CA23">_xlfn.TEXTJOIN("",TRUE,IF(ISERROR(FIND(ROW($1:$10)-1,BY23&amp;BZ23)),ROW($1:$10)-1,""))</f>
        <v>02456789</v>
      </c>
      <c r="CB23" s="26" t="str">
        <f t="shared" si="17"/>
        <v>邻传孤</v>
      </c>
      <c r="CC23" s="27" t="str">
        <f t="shared" si="18"/>
        <v>24</v>
      </c>
      <c r="CD23" s="27" t="str">
        <f t="array" ref="CD23">_xlfn.TEXTJOIN("",TRUE,IF(ISNUMBER(FIND(MID(CC22&amp;R22,ROW($1:$4),1),CC23&amp;R23)),MID(CC22&amp;R22,ROW($1:$4),1),""))</f>
        <v>32</v>
      </c>
      <c r="CE23" s="27" t="str">
        <f t="array" ref="CE23">_xlfn.TEXTJOIN("",TRUE,IF(ISERROR(FIND(ROW($1:$10)-1,CC23&amp;CD23)),ROW($1:$10)-1,""))</f>
        <v>0156789</v>
      </c>
      <c r="CF23" s="17" t="str">
        <f t="shared" si="19"/>
        <v>邻传孤</v>
      </c>
      <c r="CG23" s="22" t="str">
        <f t="shared" si="20"/>
        <v>02</v>
      </c>
      <c r="CH23" s="22" t="str">
        <f t="array" ref="CH23">_xlfn.TEXTJOIN("",TRUE,IF(ISNUMBER(FIND(MID(CG22&amp;S22,ROW($1:$4),1),CG23&amp;S23)),MID(CG22&amp;S22,ROW($1:$4),1),""))</f>
        <v>12</v>
      </c>
      <c r="CI23" s="22" t="str">
        <f t="array" ref="CI23">_xlfn.TEXTJOIN("",TRUE,IF(ISERROR(FIND(ROW($1:$10)-1,CG23&amp;CH23)),ROW($1:$10)-1,""))</f>
        <v>3456789</v>
      </c>
      <c r="CJ23" s="28" t="str">
        <f t="shared" si="21"/>
        <v>邻传孤</v>
      </c>
    </row>
    <row r="24" spans="1:88">
      <c r="A24" s="32">
        <v>2024151</v>
      </c>
      <c r="B24" s="8" t="s">
        <v>46</v>
      </c>
      <c r="C24" s="49">
        <f t="shared" si="0"/>
        <v>18</v>
      </c>
      <c r="D24" s="50">
        <f t="shared" si="1"/>
        <v>8</v>
      </c>
      <c r="E24" s="51">
        <f t="shared" si="7"/>
        <v>6</v>
      </c>
      <c r="F24" s="52">
        <f>MAX(MID(B24,{1,2,3},1)*1)-MIN(MID(B24,{1,2,3},1)*1)</f>
        <v>2</v>
      </c>
      <c r="G24" s="104">
        <v>0</v>
      </c>
      <c r="H24" s="104">
        <v>1</v>
      </c>
      <c r="I24" s="104">
        <v>2</v>
      </c>
      <c r="J24" s="104">
        <v>3</v>
      </c>
      <c r="K24" s="104">
        <v>4</v>
      </c>
      <c r="L24" s="104">
        <v>5</v>
      </c>
      <c r="M24" s="104">
        <v>6</v>
      </c>
      <c r="N24" s="104">
        <v>7</v>
      </c>
      <c r="O24" s="104">
        <v>8</v>
      </c>
      <c r="P24" s="104">
        <v>9</v>
      </c>
      <c r="Q24" s="53">
        <f t="shared" si="2"/>
        <v>1</v>
      </c>
      <c r="R24" s="53">
        <f t="shared" si="3"/>
        <v>2</v>
      </c>
      <c r="S24" s="53">
        <f t="shared" si="4"/>
        <v>1</v>
      </c>
      <c r="T24" s="101">
        <f t="shared" si="8"/>
        <v>4</v>
      </c>
      <c r="U24" s="15" t="str">
        <f>_xlfn.TEXTJOIN(", ",TRUE,ABS(MID(B24,{1,1,2},1)-MID(B24,{2,3,3},1)))</f>
        <v>1, 2, 1</v>
      </c>
      <c r="V24" s="54">
        <v>0</v>
      </c>
      <c r="W24" s="54">
        <v>1</v>
      </c>
      <c r="X24" s="54">
        <v>2</v>
      </c>
      <c r="Y24" s="54">
        <v>3</v>
      </c>
      <c r="Z24" s="54">
        <v>4</v>
      </c>
      <c r="AA24" s="54">
        <v>5</v>
      </c>
      <c r="AB24" s="54">
        <v>6</v>
      </c>
      <c r="AC24" s="54">
        <v>7</v>
      </c>
      <c r="AD24" s="54">
        <v>8</v>
      </c>
      <c r="AE24" s="54">
        <v>9</v>
      </c>
      <c r="AF24" s="55">
        <v>0</v>
      </c>
      <c r="AG24" s="55">
        <v>1</v>
      </c>
      <c r="AH24" s="55">
        <v>2</v>
      </c>
      <c r="AI24" s="55">
        <v>3</v>
      </c>
      <c r="AJ24" s="55">
        <v>4</v>
      </c>
      <c r="AK24" s="55">
        <v>5</v>
      </c>
      <c r="AL24" s="55">
        <v>6</v>
      </c>
      <c r="AM24" s="55">
        <v>7</v>
      </c>
      <c r="AN24" s="55">
        <v>8</v>
      </c>
      <c r="AO24" s="55">
        <v>9</v>
      </c>
      <c r="AP24" s="105">
        <v>0</v>
      </c>
      <c r="AQ24" s="105">
        <v>1</v>
      </c>
      <c r="AR24" s="105">
        <v>2</v>
      </c>
      <c r="AS24" s="105">
        <v>3</v>
      </c>
      <c r="AT24" s="105">
        <v>4</v>
      </c>
      <c r="AU24" s="105">
        <v>5</v>
      </c>
      <c r="AV24" s="105">
        <v>6</v>
      </c>
      <c r="AW24" s="105">
        <v>7</v>
      </c>
      <c r="AX24" s="105">
        <v>8</v>
      </c>
      <c r="AY24" s="105">
        <v>9</v>
      </c>
      <c r="AZ24" s="56">
        <v>0</v>
      </c>
      <c r="BA24" s="56">
        <v>1</v>
      </c>
      <c r="BB24" s="56">
        <v>2</v>
      </c>
      <c r="BC24" s="56">
        <v>3</v>
      </c>
      <c r="BD24" s="56">
        <v>4</v>
      </c>
      <c r="BE24" s="56">
        <v>5</v>
      </c>
      <c r="BF24" s="56">
        <v>6</v>
      </c>
      <c r="BG24" s="56">
        <v>7</v>
      </c>
      <c r="BH24" s="56">
        <v>8</v>
      </c>
      <c r="BI24" s="56">
        <v>9</v>
      </c>
      <c r="BJ24" s="57" t="str">
        <f t="shared" si="9"/>
        <v>紧凑型</v>
      </c>
      <c r="BK24" s="13">
        <f t="shared" si="5"/>
        <v>1</v>
      </c>
      <c r="BL24" s="13">
        <f t="shared" si="6"/>
        <v>2</v>
      </c>
      <c r="BM24" s="18">
        <f t="shared" si="11"/>
        <v>1</v>
      </c>
      <c r="BN24" s="19" t="str">
        <f t="shared" si="12"/>
        <v/>
      </c>
      <c r="BO24" s="19" t="str">
        <f t="array" ref="BO24">_xlfn.TEXTJOIN("",TRUE,IF(ISERROR(FIND(ROW($1:$10)-1,BM24&amp;BN24)),ROW($1:$10)-1,""))</f>
        <v>023456789</v>
      </c>
      <c r="BP24" s="20" t="str">
        <f t="shared" si="13"/>
        <v>复中中</v>
      </c>
      <c r="BQ24" s="21">
        <f t="shared" si="24"/>
        <v>2</v>
      </c>
      <c r="BR24" s="21">
        <f t="shared" si="22"/>
        <v>2</v>
      </c>
      <c r="BS24" s="21" t="str">
        <f t="array" ref="BS24">_xlfn.TEXTJOIN("",TRUE,IF(ISERROR(FIND(ROW($1:$10)-1,BQ24&amp;BR24)),ROW($1:$10)-1,""))</f>
        <v>013456789</v>
      </c>
      <c r="BT24" s="20" t="str">
        <f t="shared" si="14"/>
        <v>复隔中</v>
      </c>
      <c r="BU24" s="22">
        <f t="shared" si="15"/>
        <v>1</v>
      </c>
      <c r="BV24" s="22" t="str">
        <f t="shared" si="23"/>
        <v/>
      </c>
      <c r="BW24" s="22" t="str">
        <f t="array" ref="BW24">_xlfn.TEXTJOIN("",TRUE,IF(ISERROR(FIND(ROW($1:$10)-1,BU24&amp;BV24)),ROW($1:$10)-1,""))</f>
        <v>023456789</v>
      </c>
      <c r="BX24" s="20" t="str">
        <f t="shared" si="16"/>
        <v>复中中</v>
      </c>
      <c r="BY24" s="23" t="str">
        <f t="shared" si="10"/>
        <v>02</v>
      </c>
      <c r="BZ24" s="24" t="str">
        <f t="array" ref="BZ24">_xlfn.TEXTJOIN("",TRUE,IF(ISNUMBER(FIND(MID(BY23&amp;Q23,ROW($1:$4),1),BY24&amp;Q24)),MID(BY23&amp;Q23,ROW($1:$4),1),""))</f>
        <v>12</v>
      </c>
      <c r="CA24" s="25" t="str">
        <f t="array" ref="CA24">_xlfn.TEXTJOIN("",TRUE,IF(ISERROR(FIND(ROW($1:$10)-1,BY24&amp;BZ24)),ROW($1:$10)-1,""))</f>
        <v>3456789</v>
      </c>
      <c r="CB24" s="26" t="str">
        <f t="shared" si="17"/>
        <v>邻传孤</v>
      </c>
      <c r="CC24" s="27" t="str">
        <f t="shared" si="18"/>
        <v>13</v>
      </c>
      <c r="CD24" s="27" t="str">
        <f t="array" ref="CD24">_xlfn.TEXTJOIN("",TRUE,IF(ISNUMBER(FIND(MID(CC23&amp;R23,ROW($1:$4),1),CC24&amp;R24)),MID(CC23&amp;R23,ROW($1:$4),1),""))</f>
        <v>23</v>
      </c>
      <c r="CE24" s="27" t="str">
        <f t="array" ref="CE24">_xlfn.TEXTJOIN("",TRUE,IF(ISERROR(FIND(ROW($1:$10)-1,CC24&amp;CD24)),ROW($1:$10)-1,""))</f>
        <v>0456789</v>
      </c>
      <c r="CF24" s="17" t="str">
        <f t="shared" si="19"/>
        <v>邻传孤</v>
      </c>
      <c r="CG24" s="22" t="str">
        <f t="shared" si="20"/>
        <v>02</v>
      </c>
      <c r="CH24" s="22" t="str">
        <f t="array" ref="CH24">_xlfn.TEXTJOIN("",TRUE,IF(ISNUMBER(FIND(MID(CG23&amp;S23,ROW($1:$4),1),CG24&amp;S24)),MID(CG23&amp;S23,ROW($1:$4),1),""))</f>
        <v>021</v>
      </c>
      <c r="CI24" s="22" t="str">
        <f t="array" ref="CI24">_xlfn.TEXTJOIN("",TRUE,IF(ISERROR(FIND(ROW($1:$10)-1,CG24&amp;CH24)),ROW($1:$10)-1,""))</f>
        <v>3456789</v>
      </c>
      <c r="CJ24" s="28" t="str">
        <f t="shared" si="21"/>
        <v>邻传孤</v>
      </c>
    </row>
    <row r="25" spans="1:88">
      <c r="A25" s="32">
        <v>2024152</v>
      </c>
      <c r="B25" s="8" t="s">
        <v>47</v>
      </c>
      <c r="C25" s="49">
        <f t="shared" si="0"/>
        <v>20</v>
      </c>
      <c r="D25" s="50">
        <f t="shared" si="1"/>
        <v>0</v>
      </c>
      <c r="E25" s="51">
        <f t="shared" si="7"/>
        <v>6.6666666666666696</v>
      </c>
      <c r="F25" s="52">
        <f>MAX(MID(B25,{1,2,3},1)*1)-MIN(MID(B25,{1,2,3},1)*1)</f>
        <v>4</v>
      </c>
      <c r="G25" s="104">
        <v>0</v>
      </c>
      <c r="H25" s="104">
        <v>1</v>
      </c>
      <c r="I25" s="104">
        <v>2</v>
      </c>
      <c r="J25" s="104">
        <v>3</v>
      </c>
      <c r="K25" s="104">
        <v>4</v>
      </c>
      <c r="L25" s="104">
        <v>5</v>
      </c>
      <c r="M25" s="104">
        <v>6</v>
      </c>
      <c r="N25" s="104">
        <v>7</v>
      </c>
      <c r="O25" s="104">
        <v>8</v>
      </c>
      <c r="P25" s="104">
        <v>9</v>
      </c>
      <c r="Q25" s="53">
        <f t="shared" si="2"/>
        <v>4</v>
      </c>
      <c r="R25" s="53">
        <f t="shared" si="3"/>
        <v>0</v>
      </c>
      <c r="S25" s="53">
        <f t="shared" si="4"/>
        <v>4</v>
      </c>
      <c r="T25" s="101">
        <f t="shared" si="8"/>
        <v>8</v>
      </c>
      <c r="U25" s="15" t="str">
        <f>_xlfn.TEXTJOIN(", ",TRUE,ABS(MID(B25,{1,1,2},1)-MID(B25,{2,3,3},1)))</f>
        <v>4, 0, 4</v>
      </c>
      <c r="V25" s="54">
        <v>0</v>
      </c>
      <c r="W25" s="54">
        <v>1</v>
      </c>
      <c r="X25" s="54">
        <v>2</v>
      </c>
      <c r="Y25" s="54">
        <v>3</v>
      </c>
      <c r="Z25" s="54">
        <v>4</v>
      </c>
      <c r="AA25" s="54">
        <v>5</v>
      </c>
      <c r="AB25" s="54">
        <v>6</v>
      </c>
      <c r="AC25" s="54">
        <v>7</v>
      </c>
      <c r="AD25" s="54">
        <v>8</v>
      </c>
      <c r="AE25" s="54">
        <v>9</v>
      </c>
      <c r="AF25" s="55">
        <v>0</v>
      </c>
      <c r="AG25" s="55">
        <v>1</v>
      </c>
      <c r="AH25" s="55">
        <v>2</v>
      </c>
      <c r="AI25" s="55">
        <v>3</v>
      </c>
      <c r="AJ25" s="55">
        <v>4</v>
      </c>
      <c r="AK25" s="55">
        <v>5</v>
      </c>
      <c r="AL25" s="55">
        <v>6</v>
      </c>
      <c r="AM25" s="55">
        <v>7</v>
      </c>
      <c r="AN25" s="55">
        <v>8</v>
      </c>
      <c r="AO25" s="55">
        <v>9</v>
      </c>
      <c r="AP25" s="105">
        <v>0</v>
      </c>
      <c r="AQ25" s="105">
        <v>1</v>
      </c>
      <c r="AR25" s="105">
        <v>2</v>
      </c>
      <c r="AS25" s="105">
        <v>3</v>
      </c>
      <c r="AT25" s="105">
        <v>4</v>
      </c>
      <c r="AU25" s="105">
        <v>5</v>
      </c>
      <c r="AV25" s="105">
        <v>6</v>
      </c>
      <c r="AW25" s="105">
        <v>7</v>
      </c>
      <c r="AX25" s="105">
        <v>8</v>
      </c>
      <c r="AY25" s="105">
        <v>9</v>
      </c>
      <c r="AZ25" s="56">
        <v>0</v>
      </c>
      <c r="BA25" s="56">
        <v>1</v>
      </c>
      <c r="BB25" s="56">
        <v>2</v>
      </c>
      <c r="BC25" s="56">
        <v>3</v>
      </c>
      <c r="BD25" s="56">
        <v>4</v>
      </c>
      <c r="BE25" s="56">
        <v>5</v>
      </c>
      <c r="BF25" s="56">
        <v>6</v>
      </c>
      <c r="BG25" s="56">
        <v>7</v>
      </c>
      <c r="BH25" s="56">
        <v>8</v>
      </c>
      <c r="BI25" s="56">
        <v>9</v>
      </c>
      <c r="BJ25" s="57" t="str">
        <f t="shared" si="9"/>
        <v>紧凑型</v>
      </c>
      <c r="BK25" s="13">
        <f t="shared" si="5"/>
        <v>0</v>
      </c>
      <c r="BL25" s="13">
        <f t="shared" si="6"/>
        <v>4</v>
      </c>
      <c r="BM25" s="18" t="str">
        <f t="shared" si="11"/>
        <v/>
      </c>
      <c r="BN25" s="19" t="str">
        <f t="shared" si="12"/>
        <v/>
      </c>
      <c r="BO25" s="19" t="str">
        <f t="array" ref="BO25">_xlfn.TEXTJOIN("",TRUE,IF(ISERROR(FIND(ROW($1:$10)-1,BM25&amp;BN25)),ROW($1:$10)-1,""))</f>
        <v>0123456789</v>
      </c>
      <c r="BP25" s="20" t="str">
        <f t="shared" si="13"/>
        <v>中中中</v>
      </c>
      <c r="BQ25" s="21" t="str">
        <f t="shared" si="24"/>
        <v/>
      </c>
      <c r="BR25" s="21" t="str">
        <f t="shared" si="22"/>
        <v/>
      </c>
      <c r="BS25" s="21" t="str">
        <f t="array" ref="BS25">_xlfn.TEXTJOIN("",TRUE,IF(ISERROR(FIND(ROW($1:$10)-1,BQ25&amp;BR25)),ROW($1:$10)-1,""))</f>
        <v>0123456789</v>
      </c>
      <c r="BT25" s="20" t="str">
        <f t="shared" si="14"/>
        <v>中中中</v>
      </c>
      <c r="BU25" s="22" t="str">
        <f t="shared" si="15"/>
        <v/>
      </c>
      <c r="BV25" s="22" t="str">
        <f t="shared" si="23"/>
        <v/>
      </c>
      <c r="BW25" s="22" t="str">
        <f t="array" ref="BW25">_xlfn.TEXTJOIN("",TRUE,IF(ISERROR(FIND(ROW($1:$10)-1,BU25&amp;BV25)),ROW($1:$10)-1,""))</f>
        <v>0123456789</v>
      </c>
      <c r="BX25" s="20" t="str">
        <f t="shared" si="16"/>
        <v>中中中</v>
      </c>
      <c r="BY25" s="23" t="str">
        <f t="shared" si="10"/>
        <v>35</v>
      </c>
      <c r="BZ25" s="24" t="str">
        <f t="array" ref="BZ25">_xlfn.TEXTJOIN("",TRUE,IF(ISNUMBER(FIND(MID(BY24&amp;Q24,ROW($1:$4),1),BY25&amp;Q25)),MID(BY24&amp;Q24,ROW($1:$4),1),""))</f>
        <v/>
      </c>
      <c r="CA25" s="25" t="str">
        <f t="array" ref="CA25">_xlfn.TEXTJOIN("",TRUE,IF(ISERROR(FIND(ROW($1:$10)-1,BY25&amp;BZ25)),ROW($1:$10)-1,""))</f>
        <v>01246789</v>
      </c>
      <c r="CB25" s="26" t="str">
        <f t="shared" si="17"/>
        <v>邻孤孤</v>
      </c>
      <c r="CC25" s="27" t="str">
        <f t="shared" si="18"/>
        <v>91</v>
      </c>
      <c r="CD25" s="27" t="str">
        <f t="array" ref="CD25">_xlfn.TEXTJOIN("",TRUE,IF(ISNUMBER(FIND(MID(CC24&amp;R24,ROW($1:$4),1),CC25&amp;R25)),MID(CC24&amp;R24,ROW($1:$4),1),""))</f>
        <v>1</v>
      </c>
      <c r="CE25" s="27" t="str">
        <f t="array" ref="CE25">_xlfn.TEXTJOIN("",TRUE,IF(ISERROR(FIND(ROW($1:$10)-1,CC25&amp;CD25)),ROW($1:$10)-1,""))</f>
        <v>02345678</v>
      </c>
      <c r="CF25" s="17" t="str">
        <f t="shared" si="19"/>
        <v>邻传孤</v>
      </c>
      <c r="CG25" s="22" t="str">
        <f t="shared" si="20"/>
        <v>35</v>
      </c>
      <c r="CH25" s="22" t="str">
        <f t="array" ref="CH25">_xlfn.TEXTJOIN("",TRUE,IF(ISNUMBER(FIND(MID(CG24&amp;S24,ROW($1:$4),1),CG25&amp;S25)),MID(CG24&amp;S24,ROW($1:$4),1),""))</f>
        <v/>
      </c>
      <c r="CI25" s="22" t="str">
        <f t="array" ref="CI25">_xlfn.TEXTJOIN("",TRUE,IF(ISERROR(FIND(ROW($1:$10)-1,CG25&amp;CH25)),ROW($1:$10)-1,""))</f>
        <v>01246789</v>
      </c>
      <c r="CJ25" s="28" t="str">
        <f t="shared" si="21"/>
        <v>邻孤孤</v>
      </c>
    </row>
    <row r="26" spans="1:88">
      <c r="A26" s="32">
        <v>2024153</v>
      </c>
      <c r="B26" s="8" t="s">
        <v>48</v>
      </c>
      <c r="C26" s="49">
        <f t="shared" si="0"/>
        <v>17</v>
      </c>
      <c r="D26" s="50">
        <f t="shared" si="1"/>
        <v>7</v>
      </c>
      <c r="E26" s="51">
        <f t="shared" si="7"/>
        <v>5.6666666666666696</v>
      </c>
      <c r="F26" s="52">
        <f>MAX(MID(B26,{1,2,3},1)*1)-MIN(MID(B26,{1,2,3},1)*1)</f>
        <v>6</v>
      </c>
      <c r="G26" s="104">
        <v>0</v>
      </c>
      <c r="H26" s="104">
        <v>1</v>
      </c>
      <c r="I26" s="104">
        <v>2</v>
      </c>
      <c r="J26" s="104">
        <v>3</v>
      </c>
      <c r="K26" s="104">
        <v>4</v>
      </c>
      <c r="L26" s="104">
        <v>5</v>
      </c>
      <c r="M26" s="104">
        <v>6</v>
      </c>
      <c r="N26" s="104">
        <v>7</v>
      </c>
      <c r="O26" s="104">
        <v>8</v>
      </c>
      <c r="P26" s="104">
        <v>9</v>
      </c>
      <c r="Q26" s="53">
        <f t="shared" si="2"/>
        <v>6</v>
      </c>
      <c r="R26" s="53">
        <f t="shared" si="3"/>
        <v>5</v>
      </c>
      <c r="S26" s="53">
        <f t="shared" si="4"/>
        <v>1</v>
      </c>
      <c r="T26" s="101">
        <f t="shared" si="8"/>
        <v>12</v>
      </c>
      <c r="U26" s="15" t="str">
        <f>_xlfn.TEXTJOIN(", ",TRUE,ABS(MID(B26,{1,1,2},1)-MID(B26,{2,3,3},1)))</f>
        <v>6, 5, 1</v>
      </c>
      <c r="V26" s="54">
        <v>0</v>
      </c>
      <c r="W26" s="54">
        <v>1</v>
      </c>
      <c r="X26" s="54">
        <v>2</v>
      </c>
      <c r="Y26" s="54">
        <v>3</v>
      </c>
      <c r="Z26" s="54">
        <v>4</v>
      </c>
      <c r="AA26" s="54">
        <v>5</v>
      </c>
      <c r="AB26" s="54">
        <v>6</v>
      </c>
      <c r="AC26" s="54">
        <v>7</v>
      </c>
      <c r="AD26" s="54">
        <v>8</v>
      </c>
      <c r="AE26" s="54">
        <v>9</v>
      </c>
      <c r="AF26" s="55">
        <v>0</v>
      </c>
      <c r="AG26" s="55">
        <v>1</v>
      </c>
      <c r="AH26" s="55">
        <v>2</v>
      </c>
      <c r="AI26" s="55">
        <v>3</v>
      </c>
      <c r="AJ26" s="55">
        <v>4</v>
      </c>
      <c r="AK26" s="55">
        <v>5</v>
      </c>
      <c r="AL26" s="55">
        <v>6</v>
      </c>
      <c r="AM26" s="55">
        <v>7</v>
      </c>
      <c r="AN26" s="55">
        <v>8</v>
      </c>
      <c r="AO26" s="55">
        <v>9</v>
      </c>
      <c r="AP26" s="105">
        <v>0</v>
      </c>
      <c r="AQ26" s="105">
        <v>1</v>
      </c>
      <c r="AR26" s="105">
        <v>2</v>
      </c>
      <c r="AS26" s="105">
        <v>3</v>
      </c>
      <c r="AT26" s="105">
        <v>4</v>
      </c>
      <c r="AU26" s="105">
        <v>5</v>
      </c>
      <c r="AV26" s="105">
        <v>6</v>
      </c>
      <c r="AW26" s="105">
        <v>7</v>
      </c>
      <c r="AX26" s="105">
        <v>8</v>
      </c>
      <c r="AY26" s="105">
        <v>9</v>
      </c>
      <c r="AZ26" s="56">
        <v>0</v>
      </c>
      <c r="BA26" s="56">
        <v>1</v>
      </c>
      <c r="BB26" s="56">
        <v>2</v>
      </c>
      <c r="BC26" s="56">
        <v>3</v>
      </c>
      <c r="BD26" s="56">
        <v>4</v>
      </c>
      <c r="BE26" s="56">
        <v>5</v>
      </c>
      <c r="BF26" s="56">
        <v>6</v>
      </c>
      <c r="BG26" s="56">
        <v>7</v>
      </c>
      <c r="BH26" s="56">
        <v>8</v>
      </c>
      <c r="BI26" s="56">
        <v>9</v>
      </c>
      <c r="BJ26" s="57" t="str">
        <f t="shared" si="9"/>
        <v>松散型</v>
      </c>
      <c r="BK26" s="13">
        <f t="shared" si="5"/>
        <v>1</v>
      </c>
      <c r="BL26" s="13">
        <f t="shared" si="6"/>
        <v>6</v>
      </c>
      <c r="BM26" s="18" t="str">
        <f t="shared" si="11"/>
        <v/>
      </c>
      <c r="BN26" s="19" t="str">
        <f t="shared" si="12"/>
        <v/>
      </c>
      <c r="BO26" s="19" t="str">
        <f t="array" ref="BO26">_xlfn.TEXTJOIN("",TRUE,IF(ISERROR(FIND(ROW($1:$10)-1,BM26&amp;BN26)),ROW($1:$10)-1,""))</f>
        <v>0123456789</v>
      </c>
      <c r="BP26" s="20" t="str">
        <f t="shared" si="13"/>
        <v>中中中</v>
      </c>
      <c r="BQ26" s="21" t="str">
        <f t="shared" si="24"/>
        <v/>
      </c>
      <c r="BR26" s="21" t="str">
        <f t="shared" si="22"/>
        <v/>
      </c>
      <c r="BS26" s="21" t="str">
        <f t="array" ref="BS26">_xlfn.TEXTJOIN("",TRUE,IF(ISERROR(FIND(ROW($1:$10)-1,BQ26&amp;BR26)),ROW($1:$10)-1,""))</f>
        <v>0123456789</v>
      </c>
      <c r="BT26" s="20" t="str">
        <f t="shared" si="14"/>
        <v>中中中</v>
      </c>
      <c r="BU26" s="22" t="str">
        <f t="shared" si="15"/>
        <v/>
      </c>
      <c r="BV26" s="22">
        <f t="shared" si="23"/>
        <v>1</v>
      </c>
      <c r="BW26" s="22" t="str">
        <f t="array" ref="BW26">_xlfn.TEXTJOIN("",TRUE,IF(ISERROR(FIND(ROW($1:$10)-1,BU26&amp;BV26)),ROW($1:$10)-1,""))</f>
        <v>023456789</v>
      </c>
      <c r="BX26" s="20" t="str">
        <f t="shared" si="16"/>
        <v>中隔中</v>
      </c>
      <c r="BY26" s="23" t="str">
        <f t="shared" si="10"/>
        <v>57</v>
      </c>
      <c r="BZ26" s="24" t="str">
        <f t="array" ref="BZ26">_xlfn.TEXTJOIN("",TRUE,IF(ISNUMBER(FIND(MID(BY25&amp;Q25,ROW($1:$4),1),BY26&amp;Q26)),MID(BY25&amp;Q25,ROW($1:$4),1),""))</f>
        <v>5</v>
      </c>
      <c r="CA26" s="25" t="str">
        <f t="array" ref="CA26">_xlfn.TEXTJOIN("",TRUE,IF(ISERROR(FIND(ROW($1:$10)-1,BY26&amp;BZ26)),ROW($1:$10)-1,""))</f>
        <v>01234689</v>
      </c>
      <c r="CB26" s="26" t="str">
        <f t="shared" si="17"/>
        <v>邻传孤</v>
      </c>
      <c r="CC26" s="27" t="str">
        <f t="shared" si="18"/>
        <v>46</v>
      </c>
      <c r="CD26" s="27" t="str">
        <f t="array" ref="CD26">_xlfn.TEXTJOIN("",TRUE,IF(ISNUMBER(FIND(MID(CC25&amp;R25,ROW($1:$4),1),CC26&amp;R26)),MID(CC25&amp;R25,ROW($1:$4),1),""))</f>
        <v/>
      </c>
      <c r="CE26" s="27" t="str">
        <f t="array" ref="CE26">_xlfn.TEXTJOIN("",TRUE,IF(ISERROR(FIND(ROW($1:$10)-1,CC26&amp;CD26)),ROW($1:$10)-1,""))</f>
        <v>01235789</v>
      </c>
      <c r="CF26" s="17" t="str">
        <f t="shared" si="19"/>
        <v>邻孤孤</v>
      </c>
      <c r="CG26" s="22" t="str">
        <f t="shared" si="20"/>
        <v>02</v>
      </c>
      <c r="CH26" s="22" t="str">
        <f t="array" ref="CH26">_xlfn.TEXTJOIN("",TRUE,IF(ISNUMBER(FIND(MID(CG25&amp;S25,ROW($1:$4),1),CG26&amp;S26)),MID(CG25&amp;S25,ROW($1:$4),1),""))</f>
        <v/>
      </c>
      <c r="CI26" s="22" t="str">
        <f t="array" ref="CI26">_xlfn.TEXTJOIN("",TRUE,IF(ISERROR(FIND(ROW($1:$10)-1,CG26&amp;CH26)),ROW($1:$10)-1,""))</f>
        <v>13456789</v>
      </c>
      <c r="CJ26" s="28" t="str">
        <f t="shared" si="21"/>
        <v>邻孤孤</v>
      </c>
    </row>
    <row r="27" spans="1:88">
      <c r="A27" s="32">
        <v>2024154</v>
      </c>
      <c r="B27" s="8" t="s">
        <v>49</v>
      </c>
      <c r="C27" s="49">
        <f t="shared" si="0"/>
        <v>15</v>
      </c>
      <c r="D27" s="50">
        <f t="shared" si="1"/>
        <v>5</v>
      </c>
      <c r="E27" s="51">
        <f t="shared" si="7"/>
        <v>5</v>
      </c>
      <c r="F27" s="52">
        <f>MAX(MID(B27,{1,2,3},1)*1)-MIN(MID(B27,{1,2,3},1)*1)</f>
        <v>5</v>
      </c>
      <c r="G27" s="104">
        <v>0</v>
      </c>
      <c r="H27" s="104">
        <v>1</v>
      </c>
      <c r="I27" s="104">
        <v>2</v>
      </c>
      <c r="J27" s="104">
        <v>3</v>
      </c>
      <c r="K27" s="104">
        <v>4</v>
      </c>
      <c r="L27" s="104">
        <v>5</v>
      </c>
      <c r="M27" s="104">
        <v>6</v>
      </c>
      <c r="N27" s="104">
        <v>7</v>
      </c>
      <c r="O27" s="104">
        <v>8</v>
      </c>
      <c r="P27" s="104">
        <v>9</v>
      </c>
      <c r="Q27" s="53">
        <f t="shared" si="2"/>
        <v>5</v>
      </c>
      <c r="R27" s="53">
        <f t="shared" si="3"/>
        <v>4</v>
      </c>
      <c r="S27" s="53">
        <f t="shared" si="4"/>
        <v>1</v>
      </c>
      <c r="T27" s="101">
        <f t="shared" si="8"/>
        <v>10</v>
      </c>
      <c r="U27" s="15" t="str">
        <f>_xlfn.TEXTJOIN(", ",TRUE,ABS(MID(B27,{1,1,2},1)-MID(B27,{2,3,3},1)))</f>
        <v>5, 4, 1</v>
      </c>
      <c r="V27" s="54">
        <v>0</v>
      </c>
      <c r="W27" s="54">
        <v>1</v>
      </c>
      <c r="X27" s="54">
        <v>2</v>
      </c>
      <c r="Y27" s="54">
        <v>3</v>
      </c>
      <c r="Z27" s="54">
        <v>4</v>
      </c>
      <c r="AA27" s="54">
        <v>5</v>
      </c>
      <c r="AB27" s="54">
        <v>6</v>
      </c>
      <c r="AC27" s="54">
        <v>7</v>
      </c>
      <c r="AD27" s="54">
        <v>8</v>
      </c>
      <c r="AE27" s="54">
        <v>9</v>
      </c>
      <c r="AF27" s="55">
        <v>0</v>
      </c>
      <c r="AG27" s="55">
        <v>1</v>
      </c>
      <c r="AH27" s="55">
        <v>2</v>
      </c>
      <c r="AI27" s="55">
        <v>3</v>
      </c>
      <c r="AJ27" s="55">
        <v>4</v>
      </c>
      <c r="AK27" s="55">
        <v>5</v>
      </c>
      <c r="AL27" s="55">
        <v>6</v>
      </c>
      <c r="AM27" s="55">
        <v>7</v>
      </c>
      <c r="AN27" s="55">
        <v>8</v>
      </c>
      <c r="AO27" s="55">
        <v>9</v>
      </c>
      <c r="AP27" s="105">
        <v>0</v>
      </c>
      <c r="AQ27" s="105">
        <v>1</v>
      </c>
      <c r="AR27" s="105">
        <v>2</v>
      </c>
      <c r="AS27" s="105">
        <v>3</v>
      </c>
      <c r="AT27" s="105">
        <v>4</v>
      </c>
      <c r="AU27" s="105">
        <v>5</v>
      </c>
      <c r="AV27" s="105">
        <v>6</v>
      </c>
      <c r="AW27" s="105">
        <v>7</v>
      </c>
      <c r="AX27" s="105">
        <v>8</v>
      </c>
      <c r="AY27" s="105">
        <v>9</v>
      </c>
      <c r="AZ27" s="56">
        <v>0</v>
      </c>
      <c r="BA27" s="56">
        <v>1</v>
      </c>
      <c r="BB27" s="56">
        <v>2</v>
      </c>
      <c r="BC27" s="56">
        <v>3</v>
      </c>
      <c r="BD27" s="56">
        <v>4</v>
      </c>
      <c r="BE27" s="56">
        <v>5</v>
      </c>
      <c r="BF27" s="56">
        <v>6</v>
      </c>
      <c r="BG27" s="56">
        <v>7</v>
      </c>
      <c r="BH27" s="56">
        <v>8</v>
      </c>
      <c r="BI27" s="56">
        <v>9</v>
      </c>
      <c r="BJ27" s="57" t="str">
        <f t="shared" si="9"/>
        <v>标准型</v>
      </c>
      <c r="BK27" s="13">
        <f t="shared" si="5"/>
        <v>1</v>
      </c>
      <c r="BL27" s="13">
        <f t="shared" si="6"/>
        <v>5</v>
      </c>
      <c r="BM27" s="18">
        <f t="shared" si="11"/>
        <v>5</v>
      </c>
      <c r="BN27" s="19" t="str">
        <f t="shared" si="12"/>
        <v/>
      </c>
      <c r="BO27" s="19" t="str">
        <f t="array" ref="BO27">_xlfn.TEXTJOIN("",TRUE,IF(ISERROR(FIND(ROW($1:$10)-1,BM27&amp;BN27)),ROW($1:$10)-1,""))</f>
        <v>012346789</v>
      </c>
      <c r="BP27" s="20" t="str">
        <f t="shared" si="13"/>
        <v>复中中</v>
      </c>
      <c r="BQ27" s="21" t="str">
        <f t="shared" si="24"/>
        <v/>
      </c>
      <c r="BR27" s="21">
        <f t="shared" si="22"/>
        <v>4</v>
      </c>
      <c r="BS27" s="21" t="str">
        <f t="array" ref="BS27">_xlfn.TEXTJOIN("",TRUE,IF(ISERROR(FIND(ROW($1:$10)-1,BQ27&amp;BR27)),ROW($1:$10)-1,""))</f>
        <v>012356789</v>
      </c>
      <c r="BT27" s="20" t="str">
        <f t="shared" si="14"/>
        <v>中隔中</v>
      </c>
      <c r="BU27" s="22">
        <f t="shared" si="15"/>
        <v>1</v>
      </c>
      <c r="BV27" s="22" t="str">
        <f t="shared" si="23"/>
        <v/>
      </c>
      <c r="BW27" s="22" t="str">
        <f t="array" ref="BW27">_xlfn.TEXTJOIN("",TRUE,IF(ISERROR(FIND(ROW($1:$10)-1,BU27&amp;BV27)),ROW($1:$10)-1,""))</f>
        <v>023456789</v>
      </c>
      <c r="BX27" s="20" t="str">
        <f t="shared" si="16"/>
        <v>复中中</v>
      </c>
      <c r="BY27" s="23" t="str">
        <f t="shared" si="10"/>
        <v>46</v>
      </c>
      <c r="BZ27" s="24" t="str">
        <f t="array" ref="BZ27">_xlfn.TEXTJOIN("",TRUE,IF(ISNUMBER(FIND(MID(BY26&amp;Q26,ROW($1:$4),1),BY27&amp;Q27)),MID(BY26&amp;Q26,ROW($1:$4),1),""))</f>
        <v>56</v>
      </c>
      <c r="CA27" s="25" t="str">
        <f t="array" ref="CA27">_xlfn.TEXTJOIN("",TRUE,IF(ISERROR(FIND(ROW($1:$10)-1,BY27&amp;BZ27)),ROW($1:$10)-1,""))</f>
        <v>0123789</v>
      </c>
      <c r="CB27" s="26" t="str">
        <f t="shared" si="17"/>
        <v>邻传孤</v>
      </c>
      <c r="CC27" s="27" t="str">
        <f t="shared" si="18"/>
        <v>35</v>
      </c>
      <c r="CD27" s="27" t="str">
        <f t="array" ref="CD27">_xlfn.TEXTJOIN("",TRUE,IF(ISNUMBER(FIND(MID(CC26&amp;R26,ROW($1:$4),1),CC27&amp;R27)),MID(CC26&amp;R26,ROW($1:$4),1),""))</f>
        <v>45</v>
      </c>
      <c r="CE27" s="27" t="str">
        <f t="array" ref="CE27">_xlfn.TEXTJOIN("",TRUE,IF(ISERROR(FIND(ROW($1:$10)-1,CC27&amp;CD27)),ROW($1:$10)-1,""))</f>
        <v>0126789</v>
      </c>
      <c r="CF27" s="17" t="str">
        <f t="shared" si="19"/>
        <v>邻传孤</v>
      </c>
      <c r="CG27" s="22" t="str">
        <f t="shared" si="20"/>
        <v>02</v>
      </c>
      <c r="CH27" s="22" t="str">
        <f t="array" ref="CH27">_xlfn.TEXTJOIN("",TRUE,IF(ISNUMBER(FIND(MID(CG26&amp;S26,ROW($1:$4),1),CG27&amp;S27)),MID(CG26&amp;S26,ROW($1:$4),1),""))</f>
        <v>021</v>
      </c>
      <c r="CI27" s="22" t="str">
        <f t="array" ref="CI27">_xlfn.TEXTJOIN("",TRUE,IF(ISERROR(FIND(ROW($1:$10)-1,CG27&amp;CH27)),ROW($1:$10)-1,""))</f>
        <v>3456789</v>
      </c>
      <c r="CJ27" s="28" t="str">
        <f t="shared" si="21"/>
        <v>邻传孤</v>
      </c>
    </row>
    <row r="28" spans="1:88">
      <c r="A28" s="32">
        <v>2024155</v>
      </c>
      <c r="B28" s="8" t="s">
        <v>50</v>
      </c>
      <c r="C28" s="49">
        <f t="shared" ref="C28:C52" si="25">LEFT(B28,1)+MID(B28,2,1)+RIGHT(B28,1)</f>
        <v>6</v>
      </c>
      <c r="D28" s="50">
        <f t="shared" ref="D28:D52" si="26">MOD(LEFT(B28,1)+MID(B28,2,1)+RIGHT(B28,1),10)</f>
        <v>6</v>
      </c>
      <c r="E28" s="51">
        <f t="shared" si="7"/>
        <v>2</v>
      </c>
      <c r="F28" s="52">
        <f>MAX(MID(B28,{1,2,3},1)*1)-MIN(MID(B28,{1,2,3},1)*1)</f>
        <v>3</v>
      </c>
      <c r="G28" s="104">
        <v>0</v>
      </c>
      <c r="H28" s="104">
        <v>1</v>
      </c>
      <c r="I28" s="104">
        <v>2</v>
      </c>
      <c r="J28" s="104">
        <v>3</v>
      </c>
      <c r="K28" s="104">
        <v>4</v>
      </c>
      <c r="L28" s="104">
        <v>5</v>
      </c>
      <c r="M28" s="104">
        <v>6</v>
      </c>
      <c r="N28" s="104">
        <v>7</v>
      </c>
      <c r="O28" s="104">
        <v>8</v>
      </c>
      <c r="P28" s="104">
        <v>9</v>
      </c>
      <c r="Q28" s="53">
        <f t="shared" ref="Q28:Q52" si="27">ABS(LEFT(B28,1)-MID(B28,2,1))</f>
        <v>3</v>
      </c>
      <c r="R28" s="53">
        <f t="shared" ref="R28:R52" si="28">ABS(LEFT(B28,1)-RIGHT(B28,1))</f>
        <v>3</v>
      </c>
      <c r="S28" s="53">
        <f t="shared" ref="S28:S52" si="29">ABS(MID(B28,2,1)-RIGHT(B28,1))</f>
        <v>0</v>
      </c>
      <c r="T28" s="101">
        <f t="shared" si="8"/>
        <v>6</v>
      </c>
      <c r="U28" s="15" t="str">
        <f>_xlfn.TEXTJOIN(", ",TRUE,ABS(MID(B28,{1,1,2},1)-MID(B28,{2,3,3},1)))</f>
        <v>3, 3, 0</v>
      </c>
      <c r="V28" s="54">
        <v>0</v>
      </c>
      <c r="W28" s="54">
        <v>1</v>
      </c>
      <c r="X28" s="54">
        <v>2</v>
      </c>
      <c r="Y28" s="54">
        <v>3</v>
      </c>
      <c r="Z28" s="54">
        <v>4</v>
      </c>
      <c r="AA28" s="54">
        <v>5</v>
      </c>
      <c r="AB28" s="54">
        <v>6</v>
      </c>
      <c r="AC28" s="54">
        <v>7</v>
      </c>
      <c r="AD28" s="54">
        <v>8</v>
      </c>
      <c r="AE28" s="54">
        <v>9</v>
      </c>
      <c r="AF28" s="55">
        <v>0</v>
      </c>
      <c r="AG28" s="55">
        <v>1</v>
      </c>
      <c r="AH28" s="55">
        <v>2</v>
      </c>
      <c r="AI28" s="55">
        <v>3</v>
      </c>
      <c r="AJ28" s="55">
        <v>4</v>
      </c>
      <c r="AK28" s="55">
        <v>5</v>
      </c>
      <c r="AL28" s="55">
        <v>6</v>
      </c>
      <c r="AM28" s="55">
        <v>7</v>
      </c>
      <c r="AN28" s="55">
        <v>8</v>
      </c>
      <c r="AO28" s="55">
        <v>9</v>
      </c>
      <c r="AP28" s="105">
        <v>0</v>
      </c>
      <c r="AQ28" s="105">
        <v>1</v>
      </c>
      <c r="AR28" s="105">
        <v>2</v>
      </c>
      <c r="AS28" s="105">
        <v>3</v>
      </c>
      <c r="AT28" s="105">
        <v>4</v>
      </c>
      <c r="AU28" s="105">
        <v>5</v>
      </c>
      <c r="AV28" s="105">
        <v>6</v>
      </c>
      <c r="AW28" s="105">
        <v>7</v>
      </c>
      <c r="AX28" s="105">
        <v>8</v>
      </c>
      <c r="AY28" s="105">
        <v>9</v>
      </c>
      <c r="AZ28" s="56">
        <v>0</v>
      </c>
      <c r="BA28" s="56">
        <v>1</v>
      </c>
      <c r="BB28" s="56">
        <v>2</v>
      </c>
      <c r="BC28" s="56">
        <v>3</v>
      </c>
      <c r="BD28" s="56">
        <v>4</v>
      </c>
      <c r="BE28" s="56">
        <v>5</v>
      </c>
      <c r="BF28" s="56">
        <v>6</v>
      </c>
      <c r="BG28" s="56">
        <v>7</v>
      </c>
      <c r="BH28" s="56">
        <v>8</v>
      </c>
      <c r="BI28" s="56">
        <v>9</v>
      </c>
      <c r="BJ28" s="57" t="str">
        <f t="shared" si="9"/>
        <v>紧凑型</v>
      </c>
      <c r="BK28" s="13">
        <f t="shared" si="5"/>
        <v>0</v>
      </c>
      <c r="BL28" s="13">
        <f t="shared" si="6"/>
        <v>3</v>
      </c>
      <c r="BM28" s="18" t="str">
        <f t="shared" si="11"/>
        <v/>
      </c>
      <c r="BN28" s="19" t="str">
        <f t="shared" si="12"/>
        <v/>
      </c>
      <c r="BO28" s="19" t="str">
        <f t="array" ref="BO28">_xlfn.TEXTJOIN("",TRUE,IF(ISERROR(FIND(ROW($1:$10)-1,BM28&amp;BN28)),ROW($1:$10)-1,""))</f>
        <v>0123456789</v>
      </c>
      <c r="BP28" s="20" t="str">
        <f t="shared" si="13"/>
        <v>中中中</v>
      </c>
      <c r="BQ28" s="21" t="str">
        <f t="shared" si="24"/>
        <v/>
      </c>
      <c r="BR28" s="21" t="str">
        <f t="shared" si="22"/>
        <v/>
      </c>
      <c r="BS28" s="21" t="str">
        <f t="array" ref="BS28">_xlfn.TEXTJOIN("",TRUE,IF(ISERROR(FIND(ROW($1:$10)-1,BQ28&amp;BR28)),ROW($1:$10)-1,""))</f>
        <v>0123456789</v>
      </c>
      <c r="BT28" s="20" t="str">
        <f t="shared" si="14"/>
        <v>中中中</v>
      </c>
      <c r="BU28" s="22" t="str">
        <f t="shared" si="15"/>
        <v/>
      </c>
      <c r="BV28" s="22" t="str">
        <f t="shared" si="23"/>
        <v/>
      </c>
      <c r="BW28" s="22" t="str">
        <f t="array" ref="BW28">_xlfn.TEXTJOIN("",TRUE,IF(ISERROR(FIND(ROW($1:$10)-1,BU28&amp;BV28)),ROW($1:$10)-1,""))</f>
        <v>0123456789</v>
      </c>
      <c r="BX28" s="20" t="str">
        <f t="shared" si="16"/>
        <v>中中中</v>
      </c>
      <c r="BY28" s="23" t="str">
        <f t="shared" si="10"/>
        <v>24</v>
      </c>
      <c r="BZ28" s="24" t="str">
        <f t="array" ref="BZ28">_xlfn.TEXTJOIN("",TRUE,IF(ISNUMBER(FIND(MID(BY27&amp;Q27,ROW($1:$4),1),BY28&amp;Q28)),MID(BY27&amp;Q27,ROW($1:$4),1),""))</f>
        <v>4</v>
      </c>
      <c r="CA28" s="25" t="str">
        <f t="array" ref="CA28">_xlfn.TEXTJOIN("",TRUE,IF(ISERROR(FIND(ROW($1:$10)-1,BY28&amp;BZ28)),ROW($1:$10)-1,""))</f>
        <v>01356789</v>
      </c>
      <c r="CB28" s="26" t="str">
        <f t="shared" si="17"/>
        <v>邻传孤</v>
      </c>
      <c r="CC28" s="27" t="str">
        <f t="shared" si="18"/>
        <v>24</v>
      </c>
      <c r="CD28" s="27" t="str">
        <f t="array" ref="CD28">_xlfn.TEXTJOIN("",TRUE,IF(ISNUMBER(FIND(MID(CC27&amp;R27,ROW($1:$4),1),CC28&amp;R28)),MID(CC27&amp;R27,ROW($1:$4),1),""))</f>
        <v>34</v>
      </c>
      <c r="CE28" s="27" t="str">
        <f t="array" ref="CE28">_xlfn.TEXTJOIN("",TRUE,IF(ISERROR(FIND(ROW($1:$10)-1,CC28&amp;CD28)),ROW($1:$10)-1,""))</f>
        <v>0156789</v>
      </c>
      <c r="CF28" s="17" t="str">
        <f t="shared" si="19"/>
        <v>邻传孤</v>
      </c>
      <c r="CG28" s="22" t="str">
        <f t="shared" si="20"/>
        <v>91</v>
      </c>
      <c r="CH28" s="22" t="str">
        <f t="array" ref="CH28">_xlfn.TEXTJOIN("",TRUE,IF(ISNUMBER(FIND(MID(CG27&amp;S27,ROW($1:$4),1),CG28&amp;S28)),MID(CG27&amp;S27,ROW($1:$4),1),""))</f>
        <v>01</v>
      </c>
      <c r="CI28" s="22" t="str">
        <f t="array" ref="CI28">_xlfn.TEXTJOIN("",TRUE,IF(ISERROR(FIND(ROW($1:$10)-1,CG28&amp;CH28)),ROW($1:$10)-1,""))</f>
        <v>2345678</v>
      </c>
      <c r="CJ28" s="28" t="str">
        <f t="shared" si="21"/>
        <v>邻传孤</v>
      </c>
    </row>
    <row r="29" spans="1:88">
      <c r="A29" s="32">
        <v>2024156</v>
      </c>
      <c r="B29" s="8" t="s">
        <v>41</v>
      </c>
      <c r="C29" s="49">
        <f t="shared" si="25"/>
        <v>9</v>
      </c>
      <c r="D29" s="50">
        <f t="shared" si="26"/>
        <v>9</v>
      </c>
      <c r="E29" s="51">
        <f t="shared" si="7"/>
        <v>3</v>
      </c>
      <c r="F29" s="52">
        <f>MAX(MID(B29,{1,2,3},1)*1)-MIN(MID(B29,{1,2,3},1)*1)</f>
        <v>8</v>
      </c>
      <c r="G29" s="104">
        <v>0</v>
      </c>
      <c r="H29" s="104">
        <v>1</v>
      </c>
      <c r="I29" s="104">
        <v>2</v>
      </c>
      <c r="J29" s="104">
        <v>3</v>
      </c>
      <c r="K29" s="104">
        <v>4</v>
      </c>
      <c r="L29" s="104">
        <v>5</v>
      </c>
      <c r="M29" s="104">
        <v>6</v>
      </c>
      <c r="N29" s="104">
        <v>7</v>
      </c>
      <c r="O29" s="104">
        <v>8</v>
      </c>
      <c r="P29" s="104">
        <v>9</v>
      </c>
      <c r="Q29" s="53">
        <f t="shared" si="27"/>
        <v>7</v>
      </c>
      <c r="R29" s="53">
        <f t="shared" si="28"/>
        <v>1</v>
      </c>
      <c r="S29" s="53">
        <f t="shared" si="29"/>
        <v>8</v>
      </c>
      <c r="T29" s="101">
        <f t="shared" si="8"/>
        <v>16</v>
      </c>
      <c r="U29" s="15" t="str">
        <f>_xlfn.TEXTJOIN(", ",TRUE,ABS(MID(B29,{1,1,2},1)-MID(B29,{2,3,3},1)))</f>
        <v>7, 1, 8</v>
      </c>
      <c r="V29" s="54">
        <v>0</v>
      </c>
      <c r="W29" s="54">
        <v>1</v>
      </c>
      <c r="X29" s="54">
        <v>2</v>
      </c>
      <c r="Y29" s="54">
        <v>3</v>
      </c>
      <c r="Z29" s="54">
        <v>4</v>
      </c>
      <c r="AA29" s="54">
        <v>5</v>
      </c>
      <c r="AB29" s="54">
        <v>6</v>
      </c>
      <c r="AC29" s="54">
        <v>7</v>
      </c>
      <c r="AD29" s="54">
        <v>8</v>
      </c>
      <c r="AE29" s="54">
        <v>9</v>
      </c>
      <c r="AF29" s="55">
        <v>0</v>
      </c>
      <c r="AG29" s="55">
        <v>1</v>
      </c>
      <c r="AH29" s="55">
        <v>2</v>
      </c>
      <c r="AI29" s="55">
        <v>3</v>
      </c>
      <c r="AJ29" s="55">
        <v>4</v>
      </c>
      <c r="AK29" s="55">
        <v>5</v>
      </c>
      <c r="AL29" s="55">
        <v>6</v>
      </c>
      <c r="AM29" s="55">
        <v>7</v>
      </c>
      <c r="AN29" s="55">
        <v>8</v>
      </c>
      <c r="AO29" s="55">
        <v>9</v>
      </c>
      <c r="AP29" s="105">
        <v>0</v>
      </c>
      <c r="AQ29" s="105">
        <v>1</v>
      </c>
      <c r="AR29" s="105">
        <v>2</v>
      </c>
      <c r="AS29" s="105">
        <v>3</v>
      </c>
      <c r="AT29" s="105">
        <v>4</v>
      </c>
      <c r="AU29" s="105">
        <v>5</v>
      </c>
      <c r="AV29" s="105">
        <v>6</v>
      </c>
      <c r="AW29" s="105">
        <v>7</v>
      </c>
      <c r="AX29" s="105">
        <v>8</v>
      </c>
      <c r="AY29" s="105">
        <v>9</v>
      </c>
      <c r="AZ29" s="56">
        <v>0</v>
      </c>
      <c r="BA29" s="56">
        <v>1</v>
      </c>
      <c r="BB29" s="56">
        <v>2</v>
      </c>
      <c r="BC29" s="56">
        <v>3</v>
      </c>
      <c r="BD29" s="56">
        <v>4</v>
      </c>
      <c r="BE29" s="56">
        <v>5</v>
      </c>
      <c r="BF29" s="56">
        <v>6</v>
      </c>
      <c r="BG29" s="56">
        <v>7</v>
      </c>
      <c r="BH29" s="56">
        <v>8</v>
      </c>
      <c r="BI29" s="56">
        <v>9</v>
      </c>
      <c r="BJ29" s="57" t="str">
        <f t="shared" si="9"/>
        <v>松散型</v>
      </c>
      <c r="BK29" s="13">
        <f t="shared" si="5"/>
        <v>1</v>
      </c>
      <c r="BL29" s="13">
        <f t="shared" si="6"/>
        <v>8</v>
      </c>
      <c r="BM29" s="18" t="str">
        <f t="shared" si="11"/>
        <v/>
      </c>
      <c r="BN29" s="19" t="str">
        <f t="shared" si="12"/>
        <v/>
      </c>
      <c r="BO29" s="19" t="str">
        <f t="array" ref="BO29">_xlfn.TEXTJOIN("",TRUE,IF(ISERROR(FIND(ROW($1:$10)-1,BM29&amp;BN29)),ROW($1:$10)-1,""))</f>
        <v>0123456789</v>
      </c>
      <c r="BP29" s="20" t="str">
        <f t="shared" si="13"/>
        <v>中中中</v>
      </c>
      <c r="BQ29" s="21" t="str">
        <f t="shared" si="24"/>
        <v/>
      </c>
      <c r="BR29" s="21">
        <f t="shared" si="22"/>
        <v>1</v>
      </c>
      <c r="BS29" s="21" t="str">
        <f t="array" ref="BS29">_xlfn.TEXTJOIN("",TRUE,IF(ISERROR(FIND(ROW($1:$10)-1,BQ29&amp;BR29)),ROW($1:$10)-1,""))</f>
        <v>023456789</v>
      </c>
      <c r="BT29" s="20" t="str">
        <f t="shared" si="14"/>
        <v>中隔中</v>
      </c>
      <c r="BU29" s="22" t="str">
        <f t="shared" si="15"/>
        <v/>
      </c>
      <c r="BV29" s="22" t="str">
        <f t="shared" si="23"/>
        <v/>
      </c>
      <c r="BW29" s="22" t="str">
        <f t="array" ref="BW29">_xlfn.TEXTJOIN("",TRUE,IF(ISERROR(FIND(ROW($1:$10)-1,BU29&amp;BV29)),ROW($1:$10)-1,""))</f>
        <v>0123456789</v>
      </c>
      <c r="BX29" s="20" t="str">
        <f t="shared" si="16"/>
        <v>中中中</v>
      </c>
      <c r="BY29" s="23" t="str">
        <f t="shared" si="10"/>
        <v>68</v>
      </c>
      <c r="BZ29" s="24" t="str">
        <f t="array" ref="BZ29">_xlfn.TEXTJOIN("",TRUE,IF(ISNUMBER(FIND(MID(BY28&amp;Q28,ROW($1:$4),1),BY29&amp;Q29)),MID(BY28&amp;Q28,ROW($1:$4),1),""))</f>
        <v/>
      </c>
      <c r="CA29" s="25" t="str">
        <f t="array" ref="CA29">_xlfn.TEXTJOIN("",TRUE,IF(ISERROR(FIND(ROW($1:$10)-1,BY29&amp;BZ29)),ROW($1:$10)-1,""))</f>
        <v>01234579</v>
      </c>
      <c r="CB29" s="26" t="str">
        <f t="shared" si="17"/>
        <v>邻孤孤</v>
      </c>
      <c r="CC29" s="27" t="str">
        <f t="shared" si="18"/>
        <v>02</v>
      </c>
      <c r="CD29" s="27" t="str">
        <f t="array" ref="CD29">_xlfn.TEXTJOIN("",TRUE,IF(ISNUMBER(FIND(MID(CC28&amp;R28,ROW($1:$4),1),CC29&amp;R29)),MID(CC28&amp;R28,ROW($1:$4),1),""))</f>
        <v>2</v>
      </c>
      <c r="CE29" s="27" t="str">
        <f t="array" ref="CE29">_xlfn.TEXTJOIN("",TRUE,IF(ISERROR(FIND(ROW($1:$10)-1,CC29&amp;CD29)),ROW($1:$10)-1,""))</f>
        <v>13456789</v>
      </c>
      <c r="CF29" s="17" t="str">
        <f t="shared" si="19"/>
        <v>邻传孤</v>
      </c>
      <c r="CG29" s="22" t="str">
        <f t="shared" si="20"/>
        <v>79</v>
      </c>
      <c r="CH29" s="22" t="str">
        <f t="array" ref="CH29">_xlfn.TEXTJOIN("",TRUE,IF(ISNUMBER(FIND(MID(CG28&amp;S28,ROW($1:$4),1),CG29&amp;S29)),MID(CG28&amp;S28,ROW($1:$4),1),""))</f>
        <v>9</v>
      </c>
      <c r="CI29" s="22" t="str">
        <f t="array" ref="CI29">_xlfn.TEXTJOIN("",TRUE,IF(ISERROR(FIND(ROW($1:$10)-1,CG29&amp;CH29)),ROW($1:$10)-1,""))</f>
        <v>01234568</v>
      </c>
      <c r="CJ29" s="28" t="str">
        <f t="shared" si="21"/>
        <v>邻传孤</v>
      </c>
    </row>
    <row r="30" spans="1:88">
      <c r="A30" s="32">
        <v>2024157</v>
      </c>
      <c r="B30" s="8" t="s">
        <v>51</v>
      </c>
      <c r="C30" s="49">
        <f t="shared" si="25"/>
        <v>9</v>
      </c>
      <c r="D30" s="50">
        <f t="shared" si="26"/>
        <v>9</v>
      </c>
      <c r="E30" s="51">
        <f t="shared" si="7"/>
        <v>3</v>
      </c>
      <c r="F30" s="52">
        <f>MAX(MID(B30,{1,2,3},1)*1)-MIN(MID(B30,{1,2,3},1)*1)</f>
        <v>5</v>
      </c>
      <c r="G30" s="104">
        <v>0</v>
      </c>
      <c r="H30" s="104">
        <v>1</v>
      </c>
      <c r="I30" s="104">
        <v>2</v>
      </c>
      <c r="J30" s="104">
        <v>3</v>
      </c>
      <c r="K30" s="104">
        <v>4</v>
      </c>
      <c r="L30" s="104">
        <v>5</v>
      </c>
      <c r="M30" s="104">
        <v>6</v>
      </c>
      <c r="N30" s="104">
        <v>7</v>
      </c>
      <c r="O30" s="104">
        <v>8</v>
      </c>
      <c r="P30" s="104">
        <v>9</v>
      </c>
      <c r="Q30" s="53">
        <f t="shared" si="27"/>
        <v>1</v>
      </c>
      <c r="R30" s="53">
        <f t="shared" si="28"/>
        <v>5</v>
      </c>
      <c r="S30" s="53">
        <f t="shared" si="29"/>
        <v>4</v>
      </c>
      <c r="T30" s="101">
        <f t="shared" si="8"/>
        <v>10</v>
      </c>
      <c r="U30" s="15" t="str">
        <f>_xlfn.TEXTJOIN(", ",TRUE,ABS(MID(B30,{1,1,2},1)-MID(B30,{2,3,3},1)))</f>
        <v>1, 5, 4</v>
      </c>
      <c r="V30" s="54">
        <v>0</v>
      </c>
      <c r="W30" s="54">
        <v>1</v>
      </c>
      <c r="X30" s="54">
        <v>2</v>
      </c>
      <c r="Y30" s="54">
        <v>3</v>
      </c>
      <c r="Z30" s="54">
        <v>4</v>
      </c>
      <c r="AA30" s="54">
        <v>5</v>
      </c>
      <c r="AB30" s="54">
        <v>6</v>
      </c>
      <c r="AC30" s="54">
        <v>7</v>
      </c>
      <c r="AD30" s="54">
        <v>8</v>
      </c>
      <c r="AE30" s="54">
        <v>9</v>
      </c>
      <c r="AF30" s="55">
        <v>0</v>
      </c>
      <c r="AG30" s="55">
        <v>1</v>
      </c>
      <c r="AH30" s="55">
        <v>2</v>
      </c>
      <c r="AI30" s="55">
        <v>3</v>
      </c>
      <c r="AJ30" s="55">
        <v>4</v>
      </c>
      <c r="AK30" s="55">
        <v>5</v>
      </c>
      <c r="AL30" s="55">
        <v>6</v>
      </c>
      <c r="AM30" s="55">
        <v>7</v>
      </c>
      <c r="AN30" s="55">
        <v>8</v>
      </c>
      <c r="AO30" s="55">
        <v>9</v>
      </c>
      <c r="AP30" s="105">
        <v>0</v>
      </c>
      <c r="AQ30" s="105">
        <v>1</v>
      </c>
      <c r="AR30" s="105">
        <v>2</v>
      </c>
      <c r="AS30" s="105">
        <v>3</v>
      </c>
      <c r="AT30" s="105">
        <v>4</v>
      </c>
      <c r="AU30" s="105">
        <v>5</v>
      </c>
      <c r="AV30" s="105">
        <v>6</v>
      </c>
      <c r="AW30" s="105">
        <v>7</v>
      </c>
      <c r="AX30" s="105">
        <v>8</v>
      </c>
      <c r="AY30" s="105">
        <v>9</v>
      </c>
      <c r="AZ30" s="56">
        <v>0</v>
      </c>
      <c r="BA30" s="56">
        <v>1</v>
      </c>
      <c r="BB30" s="56">
        <v>2</v>
      </c>
      <c r="BC30" s="56">
        <v>3</v>
      </c>
      <c r="BD30" s="56">
        <v>4</v>
      </c>
      <c r="BE30" s="56">
        <v>5</v>
      </c>
      <c r="BF30" s="56">
        <v>6</v>
      </c>
      <c r="BG30" s="56">
        <v>7</v>
      </c>
      <c r="BH30" s="56">
        <v>8</v>
      </c>
      <c r="BI30" s="56">
        <v>9</v>
      </c>
      <c r="BJ30" s="57" t="str">
        <f t="shared" si="9"/>
        <v>标准型</v>
      </c>
      <c r="BK30" s="13">
        <f t="shared" si="5"/>
        <v>1</v>
      </c>
      <c r="BL30" s="13">
        <f t="shared" si="6"/>
        <v>5</v>
      </c>
      <c r="BM30" s="18">
        <f t="shared" si="11"/>
        <v>1</v>
      </c>
      <c r="BN30" s="19" t="str">
        <f t="shared" si="12"/>
        <v/>
      </c>
      <c r="BO30" s="19" t="str">
        <f t="array" ref="BO30">_xlfn.TEXTJOIN("",TRUE,IF(ISERROR(FIND(ROW($1:$10)-1,BM30&amp;BN30)),ROW($1:$10)-1,""))</f>
        <v>023456789</v>
      </c>
      <c r="BP30" s="20" t="str">
        <f t="shared" si="13"/>
        <v>复中中</v>
      </c>
      <c r="BQ30" s="21" t="str">
        <f t="shared" si="24"/>
        <v/>
      </c>
      <c r="BR30" s="21" t="str">
        <f t="shared" si="22"/>
        <v/>
      </c>
      <c r="BS30" s="21" t="str">
        <f t="array" ref="BS30">_xlfn.TEXTJOIN("",TRUE,IF(ISERROR(FIND(ROW($1:$10)-1,BQ30&amp;BR30)),ROW($1:$10)-1,""))</f>
        <v>0123456789</v>
      </c>
      <c r="BT30" s="20" t="str">
        <f t="shared" si="14"/>
        <v>中中中</v>
      </c>
      <c r="BU30" s="22" t="str">
        <f t="shared" si="15"/>
        <v/>
      </c>
      <c r="BV30" s="22" t="str">
        <f t="shared" si="23"/>
        <v/>
      </c>
      <c r="BW30" s="22" t="str">
        <f t="array" ref="BW30">_xlfn.TEXTJOIN("",TRUE,IF(ISERROR(FIND(ROW($1:$10)-1,BU30&amp;BV30)),ROW($1:$10)-1,""))</f>
        <v>0123456789</v>
      </c>
      <c r="BX30" s="20" t="str">
        <f t="shared" si="16"/>
        <v>中中中</v>
      </c>
      <c r="BY30" s="23" t="str">
        <f t="shared" si="10"/>
        <v>02</v>
      </c>
      <c r="BZ30" s="24" t="str">
        <f t="array" ref="BZ30">_xlfn.TEXTJOIN("",TRUE,IF(ISNUMBER(FIND(MID(BY29&amp;Q29,ROW($1:$4),1),BY30&amp;Q30)),MID(BY29&amp;Q29,ROW($1:$4),1),""))</f>
        <v/>
      </c>
      <c r="CA30" s="25" t="str">
        <f t="array" ref="CA30">_xlfn.TEXTJOIN("",TRUE,IF(ISERROR(FIND(ROW($1:$10)-1,BY30&amp;BZ30)),ROW($1:$10)-1,""))</f>
        <v>13456789</v>
      </c>
      <c r="CB30" s="26" t="str">
        <f t="shared" si="17"/>
        <v>邻孤孤</v>
      </c>
      <c r="CC30" s="27" t="str">
        <f t="shared" si="18"/>
        <v>46</v>
      </c>
      <c r="CD30" s="27" t="str">
        <f t="array" ref="CD30">_xlfn.TEXTJOIN("",TRUE,IF(ISNUMBER(FIND(MID(CC29&amp;R29,ROW($1:$4),1),CC30&amp;R30)),MID(CC29&amp;R29,ROW($1:$4),1),""))</f>
        <v/>
      </c>
      <c r="CE30" s="27" t="str">
        <f t="array" ref="CE30">_xlfn.TEXTJOIN("",TRUE,IF(ISERROR(FIND(ROW($1:$10)-1,CC30&amp;CD30)),ROW($1:$10)-1,""))</f>
        <v>01235789</v>
      </c>
      <c r="CF30" s="17" t="str">
        <f t="shared" si="19"/>
        <v>邻孤孤</v>
      </c>
      <c r="CG30" s="22" t="str">
        <f t="shared" si="20"/>
        <v>35</v>
      </c>
      <c r="CH30" s="22" t="str">
        <f t="array" ref="CH30">_xlfn.TEXTJOIN("",TRUE,IF(ISNUMBER(FIND(MID(CG29&amp;S29,ROW($1:$4),1),CG30&amp;S30)),MID(CG29&amp;S29,ROW($1:$4),1),""))</f>
        <v/>
      </c>
      <c r="CI30" s="22" t="str">
        <f t="array" ref="CI30">_xlfn.TEXTJOIN("",TRUE,IF(ISERROR(FIND(ROW($1:$10)-1,CG30&amp;CH30)),ROW($1:$10)-1,""))</f>
        <v>01246789</v>
      </c>
      <c r="CJ30" s="28" t="str">
        <f t="shared" si="21"/>
        <v>邻孤孤</v>
      </c>
    </row>
    <row r="31" spans="1:88">
      <c r="A31" s="32">
        <v>2024158</v>
      </c>
      <c r="B31" s="8" t="s">
        <v>52</v>
      </c>
      <c r="C31" s="49">
        <f t="shared" si="25"/>
        <v>11</v>
      </c>
      <c r="D31" s="50">
        <f t="shared" si="26"/>
        <v>1</v>
      </c>
      <c r="E31" s="51">
        <f t="shared" si="7"/>
        <v>3.6666666666666701</v>
      </c>
      <c r="F31" s="52">
        <f>MAX(MID(B31,{1,2,3},1)*1)-MIN(MID(B31,{1,2,3},1)*1)</f>
        <v>7</v>
      </c>
      <c r="G31" s="104">
        <v>0</v>
      </c>
      <c r="H31" s="104">
        <v>1</v>
      </c>
      <c r="I31" s="104">
        <v>2</v>
      </c>
      <c r="J31" s="104">
        <v>3</v>
      </c>
      <c r="K31" s="104">
        <v>4</v>
      </c>
      <c r="L31" s="104">
        <v>5</v>
      </c>
      <c r="M31" s="104">
        <v>6</v>
      </c>
      <c r="N31" s="104">
        <v>7</v>
      </c>
      <c r="O31" s="104">
        <v>8</v>
      </c>
      <c r="P31" s="104">
        <v>9</v>
      </c>
      <c r="Q31" s="53">
        <f t="shared" si="27"/>
        <v>6</v>
      </c>
      <c r="R31" s="53">
        <f t="shared" si="28"/>
        <v>7</v>
      </c>
      <c r="S31" s="53">
        <f t="shared" si="29"/>
        <v>1</v>
      </c>
      <c r="T31" s="101">
        <f t="shared" si="8"/>
        <v>14</v>
      </c>
      <c r="U31" s="15" t="str">
        <f>_xlfn.TEXTJOIN(", ",TRUE,ABS(MID(B31,{1,1,2},1)-MID(B31,{2,3,3},1)))</f>
        <v>6, 7, 1</v>
      </c>
      <c r="V31" s="54">
        <v>0</v>
      </c>
      <c r="W31" s="54">
        <v>1</v>
      </c>
      <c r="X31" s="54">
        <v>2</v>
      </c>
      <c r="Y31" s="54">
        <v>3</v>
      </c>
      <c r="Z31" s="54">
        <v>4</v>
      </c>
      <c r="AA31" s="54">
        <v>5</v>
      </c>
      <c r="AB31" s="54">
        <v>6</v>
      </c>
      <c r="AC31" s="54">
        <v>7</v>
      </c>
      <c r="AD31" s="54">
        <v>8</v>
      </c>
      <c r="AE31" s="54">
        <v>9</v>
      </c>
      <c r="AF31" s="55">
        <v>0</v>
      </c>
      <c r="AG31" s="55">
        <v>1</v>
      </c>
      <c r="AH31" s="55">
        <v>2</v>
      </c>
      <c r="AI31" s="55">
        <v>3</v>
      </c>
      <c r="AJ31" s="55">
        <v>4</v>
      </c>
      <c r="AK31" s="55">
        <v>5</v>
      </c>
      <c r="AL31" s="55">
        <v>6</v>
      </c>
      <c r="AM31" s="55">
        <v>7</v>
      </c>
      <c r="AN31" s="55">
        <v>8</v>
      </c>
      <c r="AO31" s="55">
        <v>9</v>
      </c>
      <c r="AP31" s="105">
        <v>0</v>
      </c>
      <c r="AQ31" s="105">
        <v>1</v>
      </c>
      <c r="AR31" s="105">
        <v>2</v>
      </c>
      <c r="AS31" s="105">
        <v>3</v>
      </c>
      <c r="AT31" s="105">
        <v>4</v>
      </c>
      <c r="AU31" s="105">
        <v>5</v>
      </c>
      <c r="AV31" s="105">
        <v>6</v>
      </c>
      <c r="AW31" s="105">
        <v>7</v>
      </c>
      <c r="AX31" s="105">
        <v>8</v>
      </c>
      <c r="AY31" s="105">
        <v>9</v>
      </c>
      <c r="AZ31" s="56">
        <v>0</v>
      </c>
      <c r="BA31" s="56">
        <v>1</v>
      </c>
      <c r="BB31" s="56">
        <v>2</v>
      </c>
      <c r="BC31" s="56">
        <v>3</v>
      </c>
      <c r="BD31" s="56">
        <v>4</v>
      </c>
      <c r="BE31" s="56">
        <v>5</v>
      </c>
      <c r="BF31" s="56">
        <v>6</v>
      </c>
      <c r="BG31" s="56">
        <v>7</v>
      </c>
      <c r="BH31" s="56">
        <v>8</v>
      </c>
      <c r="BI31" s="56">
        <v>9</v>
      </c>
      <c r="BJ31" s="57" t="str">
        <f t="shared" si="9"/>
        <v>松散型</v>
      </c>
      <c r="BK31" s="13">
        <f t="shared" si="5"/>
        <v>1</v>
      </c>
      <c r="BL31" s="13">
        <f t="shared" si="6"/>
        <v>7</v>
      </c>
      <c r="BM31" s="18" t="str">
        <f t="shared" si="11"/>
        <v/>
      </c>
      <c r="BN31" s="19" t="str">
        <f t="shared" si="12"/>
        <v/>
      </c>
      <c r="BO31" s="19" t="str">
        <f t="array" ref="BO31">_xlfn.TEXTJOIN("",TRUE,IF(ISERROR(FIND(ROW($1:$10)-1,BM31&amp;BN31)),ROW($1:$10)-1,""))</f>
        <v>0123456789</v>
      </c>
      <c r="BP31" s="20" t="str">
        <f t="shared" si="13"/>
        <v>中中中</v>
      </c>
      <c r="BQ31" s="21" t="str">
        <f t="shared" si="24"/>
        <v/>
      </c>
      <c r="BR31" s="21">
        <f t="shared" si="22"/>
        <v>7</v>
      </c>
      <c r="BS31" s="21" t="str">
        <f t="array" ref="BS31">_xlfn.TEXTJOIN("",TRUE,IF(ISERROR(FIND(ROW($1:$10)-1,BQ31&amp;BR31)),ROW($1:$10)-1,""))</f>
        <v>012345689</v>
      </c>
      <c r="BT31" s="20" t="str">
        <f t="shared" si="14"/>
        <v>中隔中</v>
      </c>
      <c r="BU31" s="22">
        <f t="shared" si="15"/>
        <v>1</v>
      </c>
      <c r="BV31" s="22">
        <f t="shared" si="23"/>
        <v>1</v>
      </c>
      <c r="BW31" s="22" t="str">
        <f t="array" ref="BW31">_xlfn.TEXTJOIN("",TRUE,IF(ISERROR(FIND(ROW($1:$10)-1,BU31&amp;BV31)),ROW($1:$10)-1,""))</f>
        <v>023456789</v>
      </c>
      <c r="BX31" s="20" t="str">
        <f t="shared" si="16"/>
        <v>复隔中</v>
      </c>
      <c r="BY31" s="23" t="str">
        <f t="shared" si="10"/>
        <v>57</v>
      </c>
      <c r="BZ31" s="24" t="str">
        <f t="array" ref="BZ31">_xlfn.TEXTJOIN("",TRUE,IF(ISNUMBER(FIND(MID(BY30&amp;Q30,ROW($1:$4),1),BY31&amp;Q31)),MID(BY30&amp;Q30,ROW($1:$4),1),""))</f>
        <v/>
      </c>
      <c r="CA31" s="25" t="str">
        <f t="array" ref="CA31">_xlfn.TEXTJOIN("",TRUE,IF(ISERROR(FIND(ROW($1:$10)-1,BY31&amp;BZ31)),ROW($1:$10)-1,""))</f>
        <v>01234689</v>
      </c>
      <c r="CB31" s="26" t="str">
        <f t="shared" si="17"/>
        <v>邻孤孤</v>
      </c>
      <c r="CC31" s="27" t="str">
        <f t="shared" si="18"/>
        <v>68</v>
      </c>
      <c r="CD31" s="27" t="str">
        <f t="array" ref="CD31">_xlfn.TEXTJOIN("",TRUE,IF(ISNUMBER(FIND(MID(CC30&amp;R30,ROW($1:$4),1),CC31&amp;R31)),MID(CC30&amp;R30,ROW($1:$4),1),""))</f>
        <v>6</v>
      </c>
      <c r="CE31" s="27" t="str">
        <f t="array" ref="CE31">_xlfn.TEXTJOIN("",TRUE,IF(ISERROR(FIND(ROW($1:$10)-1,CC31&amp;CD31)),ROW($1:$10)-1,""))</f>
        <v>01234579</v>
      </c>
      <c r="CF31" s="17" t="str">
        <f t="shared" si="19"/>
        <v>邻传孤</v>
      </c>
      <c r="CG31" s="22" t="str">
        <f t="shared" si="20"/>
        <v>02</v>
      </c>
      <c r="CH31" s="22" t="str">
        <f t="array" ref="CH31">_xlfn.TEXTJOIN("",TRUE,IF(ISNUMBER(FIND(MID(CG30&amp;S30,ROW($1:$4),1),CG31&amp;S31)),MID(CG30&amp;S30,ROW($1:$4),1),""))</f>
        <v/>
      </c>
      <c r="CI31" s="22" t="str">
        <f t="array" ref="CI31">_xlfn.TEXTJOIN("",TRUE,IF(ISERROR(FIND(ROW($1:$10)-1,CG31&amp;CH31)),ROW($1:$10)-1,""))</f>
        <v>13456789</v>
      </c>
      <c r="CJ31" s="28" t="str">
        <f t="shared" si="21"/>
        <v>邻孤孤</v>
      </c>
    </row>
    <row r="32" spans="1:88">
      <c r="A32" s="32">
        <v>2024159</v>
      </c>
      <c r="B32" s="8" t="s">
        <v>53</v>
      </c>
      <c r="C32" s="49">
        <f t="shared" si="25"/>
        <v>5</v>
      </c>
      <c r="D32" s="50">
        <f t="shared" si="26"/>
        <v>5</v>
      </c>
      <c r="E32" s="51">
        <f t="shared" si="7"/>
        <v>1.6666666666666701</v>
      </c>
      <c r="F32" s="52">
        <f>MAX(MID(B32,{1,2,3},1)*1)-MIN(MID(B32,{1,2,3},1)*1)</f>
        <v>1</v>
      </c>
      <c r="G32" s="104">
        <v>0</v>
      </c>
      <c r="H32" s="104">
        <v>1</v>
      </c>
      <c r="I32" s="104">
        <v>2</v>
      </c>
      <c r="J32" s="104">
        <v>3</v>
      </c>
      <c r="K32" s="104">
        <v>4</v>
      </c>
      <c r="L32" s="104">
        <v>5</v>
      </c>
      <c r="M32" s="104">
        <v>6</v>
      </c>
      <c r="N32" s="104">
        <v>7</v>
      </c>
      <c r="O32" s="104">
        <v>8</v>
      </c>
      <c r="P32" s="104">
        <v>9</v>
      </c>
      <c r="Q32" s="53">
        <f t="shared" si="27"/>
        <v>1</v>
      </c>
      <c r="R32" s="53">
        <f t="shared" si="28"/>
        <v>0</v>
      </c>
      <c r="S32" s="53">
        <f t="shared" si="29"/>
        <v>1</v>
      </c>
      <c r="T32" s="101">
        <f t="shared" si="8"/>
        <v>2</v>
      </c>
      <c r="U32" s="15" t="str">
        <f>_xlfn.TEXTJOIN(", ",TRUE,ABS(MID(B32,{1,1,2},1)-MID(B32,{2,3,3},1)))</f>
        <v>1, 0, 1</v>
      </c>
      <c r="V32" s="54">
        <v>0</v>
      </c>
      <c r="W32" s="54">
        <v>1</v>
      </c>
      <c r="X32" s="54">
        <v>2</v>
      </c>
      <c r="Y32" s="54">
        <v>3</v>
      </c>
      <c r="Z32" s="54">
        <v>4</v>
      </c>
      <c r="AA32" s="54">
        <v>5</v>
      </c>
      <c r="AB32" s="54">
        <v>6</v>
      </c>
      <c r="AC32" s="54">
        <v>7</v>
      </c>
      <c r="AD32" s="54">
        <v>8</v>
      </c>
      <c r="AE32" s="54">
        <v>9</v>
      </c>
      <c r="AF32" s="55">
        <v>0</v>
      </c>
      <c r="AG32" s="55">
        <v>1</v>
      </c>
      <c r="AH32" s="55">
        <v>2</v>
      </c>
      <c r="AI32" s="55">
        <v>3</v>
      </c>
      <c r="AJ32" s="55">
        <v>4</v>
      </c>
      <c r="AK32" s="55">
        <v>5</v>
      </c>
      <c r="AL32" s="55">
        <v>6</v>
      </c>
      <c r="AM32" s="55">
        <v>7</v>
      </c>
      <c r="AN32" s="55">
        <v>8</v>
      </c>
      <c r="AO32" s="55">
        <v>9</v>
      </c>
      <c r="AP32" s="105">
        <v>0</v>
      </c>
      <c r="AQ32" s="105">
        <v>1</v>
      </c>
      <c r="AR32" s="105">
        <v>2</v>
      </c>
      <c r="AS32" s="105">
        <v>3</v>
      </c>
      <c r="AT32" s="105">
        <v>4</v>
      </c>
      <c r="AU32" s="105">
        <v>5</v>
      </c>
      <c r="AV32" s="105">
        <v>6</v>
      </c>
      <c r="AW32" s="105">
        <v>7</v>
      </c>
      <c r="AX32" s="105">
        <v>8</v>
      </c>
      <c r="AY32" s="105">
        <v>9</v>
      </c>
      <c r="AZ32" s="56">
        <v>0</v>
      </c>
      <c r="BA32" s="56">
        <v>1</v>
      </c>
      <c r="BB32" s="56">
        <v>2</v>
      </c>
      <c r="BC32" s="56">
        <v>3</v>
      </c>
      <c r="BD32" s="56">
        <v>4</v>
      </c>
      <c r="BE32" s="56">
        <v>5</v>
      </c>
      <c r="BF32" s="56">
        <v>6</v>
      </c>
      <c r="BG32" s="56">
        <v>7</v>
      </c>
      <c r="BH32" s="56">
        <v>8</v>
      </c>
      <c r="BI32" s="56">
        <v>9</v>
      </c>
      <c r="BJ32" s="57" t="str">
        <f t="shared" si="9"/>
        <v>紧凑型</v>
      </c>
      <c r="BK32" s="13">
        <f t="shared" si="5"/>
        <v>0</v>
      </c>
      <c r="BL32" s="13">
        <f t="shared" si="6"/>
        <v>1</v>
      </c>
      <c r="BM32" s="18">
        <f t="shared" si="11"/>
        <v>1</v>
      </c>
      <c r="BN32" s="19">
        <f t="shared" si="12"/>
        <v>1</v>
      </c>
      <c r="BO32" s="19" t="str">
        <f t="array" ref="BO32">_xlfn.TEXTJOIN("",TRUE,IF(ISERROR(FIND(ROW($1:$10)-1,BM32&amp;BN32)),ROW($1:$10)-1,""))</f>
        <v>023456789</v>
      </c>
      <c r="BP32" s="20" t="str">
        <f t="shared" si="13"/>
        <v>复隔中</v>
      </c>
      <c r="BQ32" s="21" t="str">
        <f t="shared" si="24"/>
        <v/>
      </c>
      <c r="BR32" s="21" t="str">
        <f t="shared" si="22"/>
        <v/>
      </c>
      <c r="BS32" s="21" t="str">
        <f t="array" ref="BS32">_xlfn.TEXTJOIN("",TRUE,IF(ISERROR(FIND(ROW($1:$10)-1,BQ32&amp;BR32)),ROW($1:$10)-1,""))</f>
        <v>0123456789</v>
      </c>
      <c r="BT32" s="20" t="str">
        <f t="shared" si="14"/>
        <v>中中中</v>
      </c>
      <c r="BU32" s="22">
        <f t="shared" si="15"/>
        <v>1</v>
      </c>
      <c r="BV32" s="22">
        <f t="shared" si="23"/>
        <v>1</v>
      </c>
      <c r="BW32" s="22" t="str">
        <f t="array" ref="BW32">_xlfn.TEXTJOIN("",TRUE,IF(ISERROR(FIND(ROW($1:$10)-1,BU32&amp;BV32)),ROW($1:$10)-1,""))</f>
        <v>023456789</v>
      </c>
      <c r="BX32" s="20" t="str">
        <f t="shared" si="16"/>
        <v>复隔中</v>
      </c>
      <c r="BY32" s="23" t="str">
        <f t="shared" si="10"/>
        <v>02</v>
      </c>
      <c r="BZ32" s="24" t="str">
        <f t="array" ref="BZ32">_xlfn.TEXTJOIN("",TRUE,IF(ISNUMBER(FIND(MID(BY31&amp;Q31,ROW($1:$4),1),BY32&amp;Q32)),MID(BY31&amp;Q31,ROW($1:$4),1),""))</f>
        <v/>
      </c>
      <c r="CA32" s="25" t="str">
        <f t="array" ref="CA32">_xlfn.TEXTJOIN("",TRUE,IF(ISERROR(FIND(ROW($1:$10)-1,BY32&amp;BZ32)),ROW($1:$10)-1,""))</f>
        <v>13456789</v>
      </c>
      <c r="CB32" s="26" t="str">
        <f t="shared" si="17"/>
        <v>邻孤孤</v>
      </c>
      <c r="CC32" s="27" t="str">
        <f t="shared" si="18"/>
        <v>91</v>
      </c>
      <c r="CD32" s="27" t="str">
        <f t="array" ref="CD32">_xlfn.TEXTJOIN("",TRUE,IF(ISNUMBER(FIND(MID(CC31&amp;R31,ROW($1:$4),1),CC32&amp;R32)),MID(CC31&amp;R31,ROW($1:$4),1),""))</f>
        <v/>
      </c>
      <c r="CE32" s="27" t="str">
        <f t="array" ref="CE32">_xlfn.TEXTJOIN("",TRUE,IF(ISERROR(FIND(ROW($1:$10)-1,CC32&amp;CD32)),ROW($1:$10)-1,""))</f>
        <v>02345678</v>
      </c>
      <c r="CF32" s="17" t="str">
        <f t="shared" si="19"/>
        <v>邻孤孤</v>
      </c>
      <c r="CG32" s="22" t="str">
        <f t="shared" si="20"/>
        <v>02</v>
      </c>
      <c r="CH32" s="22" t="str">
        <f t="array" ref="CH32">_xlfn.TEXTJOIN("",TRUE,IF(ISNUMBER(FIND(MID(CG31&amp;S31,ROW($1:$4),1),CG32&amp;S32)),MID(CG31&amp;S31,ROW($1:$4),1),""))</f>
        <v>021</v>
      </c>
      <c r="CI32" s="22" t="str">
        <f t="array" ref="CI32">_xlfn.TEXTJOIN("",TRUE,IF(ISERROR(FIND(ROW($1:$10)-1,CG32&amp;CH32)),ROW($1:$10)-1,""))</f>
        <v>3456789</v>
      </c>
      <c r="CJ32" s="28" t="str">
        <f t="shared" si="21"/>
        <v>邻传孤</v>
      </c>
    </row>
    <row r="33" spans="1:88">
      <c r="A33" s="32">
        <v>2024160</v>
      </c>
      <c r="B33" s="8" t="s">
        <v>54</v>
      </c>
      <c r="C33" s="49">
        <f t="shared" si="25"/>
        <v>15</v>
      </c>
      <c r="D33" s="50">
        <f t="shared" si="26"/>
        <v>5</v>
      </c>
      <c r="E33" s="51">
        <f t="shared" si="7"/>
        <v>5</v>
      </c>
      <c r="F33" s="52">
        <f>MAX(MID(B33,{1,2,3},1)*1)-MIN(MID(B33,{1,2,3},1)*1)</f>
        <v>9</v>
      </c>
      <c r="G33" s="104">
        <v>0</v>
      </c>
      <c r="H33" s="104">
        <v>1</v>
      </c>
      <c r="I33" s="104">
        <v>2</v>
      </c>
      <c r="J33" s="104">
        <v>3</v>
      </c>
      <c r="K33" s="104">
        <v>4</v>
      </c>
      <c r="L33" s="104">
        <v>5</v>
      </c>
      <c r="M33" s="104">
        <v>6</v>
      </c>
      <c r="N33" s="104">
        <v>7</v>
      </c>
      <c r="O33" s="104">
        <v>8</v>
      </c>
      <c r="P33" s="104">
        <v>9</v>
      </c>
      <c r="Q33" s="53">
        <f t="shared" si="27"/>
        <v>3</v>
      </c>
      <c r="R33" s="53">
        <f t="shared" si="28"/>
        <v>6</v>
      </c>
      <c r="S33" s="53">
        <f t="shared" si="29"/>
        <v>9</v>
      </c>
      <c r="T33" s="101">
        <f t="shared" si="8"/>
        <v>18</v>
      </c>
      <c r="U33" s="15" t="str">
        <f>_xlfn.TEXTJOIN(", ",TRUE,ABS(MID(B33,{1,1,2},1)-MID(B33,{2,3,3},1)))</f>
        <v>3, 6, 9</v>
      </c>
      <c r="V33" s="54">
        <v>0</v>
      </c>
      <c r="W33" s="54">
        <v>1</v>
      </c>
      <c r="X33" s="54">
        <v>2</v>
      </c>
      <c r="Y33" s="54">
        <v>3</v>
      </c>
      <c r="Z33" s="54">
        <v>4</v>
      </c>
      <c r="AA33" s="54">
        <v>5</v>
      </c>
      <c r="AB33" s="54">
        <v>6</v>
      </c>
      <c r="AC33" s="54">
        <v>7</v>
      </c>
      <c r="AD33" s="54">
        <v>8</v>
      </c>
      <c r="AE33" s="54">
        <v>9</v>
      </c>
      <c r="AF33" s="55">
        <v>0</v>
      </c>
      <c r="AG33" s="55">
        <v>1</v>
      </c>
      <c r="AH33" s="55">
        <v>2</v>
      </c>
      <c r="AI33" s="55">
        <v>3</v>
      </c>
      <c r="AJ33" s="55">
        <v>4</v>
      </c>
      <c r="AK33" s="55">
        <v>5</v>
      </c>
      <c r="AL33" s="55">
        <v>6</v>
      </c>
      <c r="AM33" s="55">
        <v>7</v>
      </c>
      <c r="AN33" s="55">
        <v>8</v>
      </c>
      <c r="AO33" s="55">
        <v>9</v>
      </c>
      <c r="AP33" s="105">
        <v>0</v>
      </c>
      <c r="AQ33" s="105">
        <v>1</v>
      </c>
      <c r="AR33" s="105">
        <v>2</v>
      </c>
      <c r="AS33" s="105">
        <v>3</v>
      </c>
      <c r="AT33" s="105">
        <v>4</v>
      </c>
      <c r="AU33" s="105">
        <v>5</v>
      </c>
      <c r="AV33" s="105">
        <v>6</v>
      </c>
      <c r="AW33" s="105">
        <v>7</v>
      </c>
      <c r="AX33" s="105">
        <v>8</v>
      </c>
      <c r="AY33" s="105">
        <v>9</v>
      </c>
      <c r="AZ33" s="56">
        <v>0</v>
      </c>
      <c r="BA33" s="56">
        <v>1</v>
      </c>
      <c r="BB33" s="56">
        <v>2</v>
      </c>
      <c r="BC33" s="56">
        <v>3</v>
      </c>
      <c r="BD33" s="56">
        <v>4</v>
      </c>
      <c r="BE33" s="56">
        <v>5</v>
      </c>
      <c r="BF33" s="56">
        <v>6</v>
      </c>
      <c r="BG33" s="56">
        <v>7</v>
      </c>
      <c r="BH33" s="56">
        <v>8</v>
      </c>
      <c r="BI33" s="56">
        <v>9</v>
      </c>
      <c r="BJ33" s="57" t="str">
        <f t="shared" si="9"/>
        <v>松散型</v>
      </c>
      <c r="BK33" s="13">
        <f t="shared" si="5"/>
        <v>3</v>
      </c>
      <c r="BL33" s="13">
        <f t="shared" si="6"/>
        <v>9</v>
      </c>
      <c r="BM33" s="18" t="str">
        <f t="shared" si="11"/>
        <v/>
      </c>
      <c r="BN33" s="19" t="str">
        <f t="shared" si="12"/>
        <v/>
      </c>
      <c r="BO33" s="19" t="str">
        <f t="array" ref="BO33">_xlfn.TEXTJOIN("",TRUE,IF(ISERROR(FIND(ROW($1:$10)-1,BM33&amp;BN33)),ROW($1:$10)-1,""))</f>
        <v>0123456789</v>
      </c>
      <c r="BP33" s="20" t="str">
        <f t="shared" si="13"/>
        <v>中中中</v>
      </c>
      <c r="BQ33" s="21" t="str">
        <f t="shared" si="24"/>
        <v/>
      </c>
      <c r="BR33" s="21">
        <f t="shared" si="22"/>
        <v>6</v>
      </c>
      <c r="BS33" s="21" t="str">
        <f t="array" ref="BS33">_xlfn.TEXTJOIN("",TRUE,IF(ISERROR(FIND(ROW($1:$10)-1,BQ33&amp;BR33)),ROW($1:$10)-1,""))</f>
        <v>012345789</v>
      </c>
      <c r="BT33" s="20" t="str">
        <f t="shared" si="14"/>
        <v>中隔中</v>
      </c>
      <c r="BU33" s="22" t="str">
        <f t="shared" si="15"/>
        <v/>
      </c>
      <c r="BV33" s="22" t="str">
        <f t="shared" si="23"/>
        <v/>
      </c>
      <c r="BW33" s="22" t="str">
        <f t="array" ref="BW33">_xlfn.TEXTJOIN("",TRUE,IF(ISERROR(FIND(ROW($1:$10)-1,BU33&amp;BV33)),ROW($1:$10)-1,""))</f>
        <v>0123456789</v>
      </c>
      <c r="BX33" s="20" t="str">
        <f t="shared" si="16"/>
        <v>中中中</v>
      </c>
      <c r="BY33" s="23" t="str">
        <f t="shared" si="10"/>
        <v>24</v>
      </c>
      <c r="BZ33" s="24" t="str">
        <f t="array" ref="BZ33">_xlfn.TEXTJOIN("",TRUE,IF(ISNUMBER(FIND(MID(BY32&amp;Q32,ROW($1:$4),1),BY33&amp;Q33)),MID(BY32&amp;Q32,ROW($1:$4),1),""))</f>
        <v>2</v>
      </c>
      <c r="CA33" s="25" t="str">
        <f t="array" ref="CA33">_xlfn.TEXTJOIN("",TRUE,IF(ISERROR(FIND(ROW($1:$10)-1,BY33&amp;BZ33)),ROW($1:$10)-1,""))</f>
        <v>01356789</v>
      </c>
      <c r="CB33" s="26" t="str">
        <f t="shared" si="17"/>
        <v>邻传孤</v>
      </c>
      <c r="CC33" s="27" t="str">
        <f t="shared" si="18"/>
        <v>57</v>
      </c>
      <c r="CD33" s="27" t="str">
        <f t="array" ref="CD33">_xlfn.TEXTJOIN("",TRUE,IF(ISNUMBER(FIND(MID(CC32&amp;R32,ROW($1:$4),1),CC33&amp;R33)),MID(CC32&amp;R32,ROW($1:$4),1),""))</f>
        <v/>
      </c>
      <c r="CE33" s="27" t="str">
        <f t="array" ref="CE33">_xlfn.TEXTJOIN("",TRUE,IF(ISERROR(FIND(ROW($1:$10)-1,CC33&amp;CD33)),ROW($1:$10)-1,""))</f>
        <v>01234689</v>
      </c>
      <c r="CF33" s="17" t="str">
        <f t="shared" si="19"/>
        <v>邻孤孤</v>
      </c>
      <c r="CG33" s="22" t="str">
        <f t="shared" si="20"/>
        <v>80</v>
      </c>
      <c r="CH33" s="22" t="str">
        <f t="array" ref="CH33">_xlfn.TEXTJOIN("",TRUE,IF(ISNUMBER(FIND(MID(CG32&amp;S32,ROW($1:$4),1),CG33&amp;S33)),MID(CG32&amp;S32,ROW($1:$4),1),""))</f>
        <v>0</v>
      </c>
      <c r="CI33" s="22" t="str">
        <f t="array" ref="CI33">_xlfn.TEXTJOIN("",TRUE,IF(ISERROR(FIND(ROW($1:$10)-1,CG33&amp;CH33)),ROW($1:$10)-1,""))</f>
        <v>12345679</v>
      </c>
      <c r="CJ33" s="28" t="str">
        <f t="shared" si="21"/>
        <v>邻传孤</v>
      </c>
    </row>
    <row r="34" spans="1:88">
      <c r="A34" s="32">
        <v>2024161</v>
      </c>
      <c r="B34" s="8" t="s">
        <v>55</v>
      </c>
      <c r="C34" s="49">
        <f t="shared" si="25"/>
        <v>18</v>
      </c>
      <c r="D34" s="50">
        <f t="shared" si="26"/>
        <v>8</v>
      </c>
      <c r="E34" s="51">
        <f t="shared" si="7"/>
        <v>6</v>
      </c>
      <c r="F34" s="52">
        <f>MAX(MID(B34,{1,2,3},1)*1)-MIN(MID(B34,{1,2,3},1)*1)</f>
        <v>4</v>
      </c>
      <c r="G34" s="104">
        <v>0</v>
      </c>
      <c r="H34" s="104">
        <v>1</v>
      </c>
      <c r="I34" s="104">
        <v>2</v>
      </c>
      <c r="J34" s="104">
        <v>3</v>
      </c>
      <c r="K34" s="104">
        <v>4</v>
      </c>
      <c r="L34" s="104">
        <v>5</v>
      </c>
      <c r="M34" s="104">
        <v>6</v>
      </c>
      <c r="N34" s="104">
        <v>7</v>
      </c>
      <c r="O34" s="104">
        <v>8</v>
      </c>
      <c r="P34" s="104">
        <v>9</v>
      </c>
      <c r="Q34" s="53">
        <f t="shared" si="27"/>
        <v>2</v>
      </c>
      <c r="R34" s="53">
        <f t="shared" si="28"/>
        <v>4</v>
      </c>
      <c r="S34" s="53">
        <f t="shared" si="29"/>
        <v>2</v>
      </c>
      <c r="T34" s="101">
        <f t="shared" si="8"/>
        <v>8</v>
      </c>
      <c r="U34" s="15" t="str">
        <f>_xlfn.TEXTJOIN(", ",TRUE,ABS(MID(B34,{1,1,2},1)-MID(B34,{2,3,3},1)))</f>
        <v>2, 4, 2</v>
      </c>
      <c r="V34" s="54">
        <v>0</v>
      </c>
      <c r="W34" s="54">
        <v>1</v>
      </c>
      <c r="X34" s="54">
        <v>2</v>
      </c>
      <c r="Y34" s="54">
        <v>3</v>
      </c>
      <c r="Z34" s="54">
        <v>4</v>
      </c>
      <c r="AA34" s="54">
        <v>5</v>
      </c>
      <c r="AB34" s="54">
        <v>6</v>
      </c>
      <c r="AC34" s="54">
        <v>7</v>
      </c>
      <c r="AD34" s="54">
        <v>8</v>
      </c>
      <c r="AE34" s="54">
        <v>9</v>
      </c>
      <c r="AF34" s="55">
        <v>0</v>
      </c>
      <c r="AG34" s="55">
        <v>1</v>
      </c>
      <c r="AH34" s="55">
        <v>2</v>
      </c>
      <c r="AI34" s="55">
        <v>3</v>
      </c>
      <c r="AJ34" s="55">
        <v>4</v>
      </c>
      <c r="AK34" s="55">
        <v>5</v>
      </c>
      <c r="AL34" s="55">
        <v>6</v>
      </c>
      <c r="AM34" s="55">
        <v>7</v>
      </c>
      <c r="AN34" s="55">
        <v>8</v>
      </c>
      <c r="AO34" s="55">
        <v>9</v>
      </c>
      <c r="AP34" s="105">
        <v>0</v>
      </c>
      <c r="AQ34" s="105">
        <v>1</v>
      </c>
      <c r="AR34" s="105">
        <v>2</v>
      </c>
      <c r="AS34" s="105">
        <v>3</v>
      </c>
      <c r="AT34" s="105">
        <v>4</v>
      </c>
      <c r="AU34" s="105">
        <v>5</v>
      </c>
      <c r="AV34" s="105">
        <v>6</v>
      </c>
      <c r="AW34" s="105">
        <v>7</v>
      </c>
      <c r="AX34" s="105">
        <v>8</v>
      </c>
      <c r="AY34" s="105">
        <v>9</v>
      </c>
      <c r="AZ34" s="56">
        <v>0</v>
      </c>
      <c r="BA34" s="56">
        <v>1</v>
      </c>
      <c r="BB34" s="56">
        <v>2</v>
      </c>
      <c r="BC34" s="56">
        <v>3</v>
      </c>
      <c r="BD34" s="56">
        <v>4</v>
      </c>
      <c r="BE34" s="56">
        <v>5</v>
      </c>
      <c r="BF34" s="56">
        <v>6</v>
      </c>
      <c r="BG34" s="56">
        <v>7</v>
      </c>
      <c r="BH34" s="56">
        <v>8</v>
      </c>
      <c r="BI34" s="56">
        <v>9</v>
      </c>
      <c r="BJ34" s="57" t="str">
        <f t="shared" si="9"/>
        <v>标准型</v>
      </c>
      <c r="BK34" s="13">
        <f t="shared" si="5"/>
        <v>2</v>
      </c>
      <c r="BL34" s="13">
        <f t="shared" si="6"/>
        <v>4</v>
      </c>
      <c r="BM34" s="18" t="str">
        <f t="shared" si="11"/>
        <v/>
      </c>
      <c r="BN34" s="19" t="str">
        <f t="shared" si="12"/>
        <v/>
      </c>
      <c r="BO34" s="19" t="str">
        <f t="array" ref="BO34">_xlfn.TEXTJOIN("",TRUE,IF(ISERROR(FIND(ROW($1:$10)-1,BM34&amp;BN34)),ROW($1:$10)-1,""))</f>
        <v>0123456789</v>
      </c>
      <c r="BP34" s="20" t="str">
        <f t="shared" si="13"/>
        <v>中中中</v>
      </c>
      <c r="BQ34" s="21" t="str">
        <f t="shared" si="24"/>
        <v/>
      </c>
      <c r="BR34" s="21" t="str">
        <f t="shared" si="22"/>
        <v/>
      </c>
      <c r="BS34" s="21" t="str">
        <f t="array" ref="BS34">_xlfn.TEXTJOIN("",TRUE,IF(ISERROR(FIND(ROW($1:$10)-1,BQ34&amp;BR34)),ROW($1:$10)-1,""))</f>
        <v>0123456789</v>
      </c>
      <c r="BT34" s="20" t="str">
        <f t="shared" si="14"/>
        <v>中中中</v>
      </c>
      <c r="BU34" s="22" t="str">
        <f t="shared" si="15"/>
        <v/>
      </c>
      <c r="BV34" s="22" t="str">
        <f t="shared" si="23"/>
        <v/>
      </c>
      <c r="BW34" s="22" t="str">
        <f t="array" ref="BW34">_xlfn.TEXTJOIN("",TRUE,IF(ISERROR(FIND(ROW($1:$10)-1,BU34&amp;BV34)),ROW($1:$10)-1,""))</f>
        <v>0123456789</v>
      </c>
      <c r="BX34" s="20" t="str">
        <f t="shared" si="16"/>
        <v>中中中</v>
      </c>
      <c r="BY34" s="23" t="str">
        <f t="shared" si="10"/>
        <v>13</v>
      </c>
      <c r="BZ34" s="24" t="str">
        <f t="array" ref="BZ34">_xlfn.TEXTJOIN("",TRUE,IF(ISNUMBER(FIND(MID(BY33&amp;Q33,ROW($1:$4),1),BY34&amp;Q34)),MID(BY33&amp;Q33,ROW($1:$4),1),""))</f>
        <v>23</v>
      </c>
      <c r="CA34" s="25" t="str">
        <f t="array" ref="CA34">_xlfn.TEXTJOIN("",TRUE,IF(ISERROR(FIND(ROW($1:$10)-1,BY34&amp;BZ34)),ROW($1:$10)-1,""))</f>
        <v>0456789</v>
      </c>
      <c r="CB34" s="26" t="str">
        <f t="shared" si="17"/>
        <v>邻传孤</v>
      </c>
      <c r="CC34" s="27" t="str">
        <f t="shared" si="18"/>
        <v>35</v>
      </c>
      <c r="CD34" s="27" t="str">
        <f t="array" ref="CD34">_xlfn.TEXTJOIN("",TRUE,IF(ISNUMBER(FIND(MID(CC33&amp;R33,ROW($1:$4),1),CC34&amp;R34)),MID(CC33&amp;R33,ROW($1:$4),1),""))</f>
        <v>5</v>
      </c>
      <c r="CE34" s="27" t="str">
        <f t="array" ref="CE34">_xlfn.TEXTJOIN("",TRUE,IF(ISERROR(FIND(ROW($1:$10)-1,CC34&amp;CD34)),ROW($1:$10)-1,""))</f>
        <v>01246789</v>
      </c>
      <c r="CF34" s="17" t="str">
        <f t="shared" si="19"/>
        <v>邻传孤</v>
      </c>
      <c r="CG34" s="22" t="str">
        <f t="shared" si="20"/>
        <v>13</v>
      </c>
      <c r="CH34" s="22" t="str">
        <f t="array" ref="CH34">_xlfn.TEXTJOIN("",TRUE,IF(ISNUMBER(FIND(MID(CG33&amp;S33,ROW($1:$4),1),CG34&amp;S34)),MID(CG33&amp;S33,ROW($1:$4),1),""))</f>
        <v/>
      </c>
      <c r="CI34" s="22" t="str">
        <f t="array" ref="CI34">_xlfn.TEXTJOIN("",TRUE,IF(ISERROR(FIND(ROW($1:$10)-1,CG34&amp;CH34)),ROW($1:$10)-1,""))</f>
        <v>02456789</v>
      </c>
      <c r="CJ34" s="28" t="str">
        <f t="shared" si="21"/>
        <v>邻孤孤</v>
      </c>
    </row>
    <row r="35" spans="1:88">
      <c r="A35" s="32">
        <v>2024162</v>
      </c>
      <c r="B35" s="8" t="s">
        <v>56</v>
      </c>
      <c r="C35" s="49">
        <f t="shared" si="25"/>
        <v>11</v>
      </c>
      <c r="D35" s="50">
        <f t="shared" si="26"/>
        <v>1</v>
      </c>
      <c r="E35" s="51">
        <f t="shared" si="7"/>
        <v>3.6666666666666701</v>
      </c>
      <c r="F35" s="52">
        <f>MAX(MID(B35,{1,2,3},1)*1)-MIN(MID(B35,{1,2,3},1)*1)</f>
        <v>5</v>
      </c>
      <c r="G35" s="104">
        <v>0</v>
      </c>
      <c r="H35" s="104">
        <v>1</v>
      </c>
      <c r="I35" s="104">
        <v>2</v>
      </c>
      <c r="J35" s="104">
        <v>3</v>
      </c>
      <c r="K35" s="104">
        <v>4</v>
      </c>
      <c r="L35" s="104">
        <v>5</v>
      </c>
      <c r="M35" s="104">
        <v>6</v>
      </c>
      <c r="N35" s="104">
        <v>7</v>
      </c>
      <c r="O35" s="104">
        <v>8</v>
      </c>
      <c r="P35" s="104">
        <v>9</v>
      </c>
      <c r="Q35" s="53">
        <f t="shared" si="27"/>
        <v>5</v>
      </c>
      <c r="R35" s="53">
        <f t="shared" si="28"/>
        <v>3</v>
      </c>
      <c r="S35" s="53">
        <f t="shared" si="29"/>
        <v>2</v>
      </c>
      <c r="T35" s="101">
        <f t="shared" si="8"/>
        <v>10</v>
      </c>
      <c r="U35" s="15" t="str">
        <f>_xlfn.TEXTJOIN(", ",TRUE,ABS(MID(B35,{1,1,2},1)-MID(B35,{2,3,3},1)))</f>
        <v>5, 3, 2</v>
      </c>
      <c r="V35" s="54">
        <v>0</v>
      </c>
      <c r="W35" s="54">
        <v>1</v>
      </c>
      <c r="X35" s="54">
        <v>2</v>
      </c>
      <c r="Y35" s="54">
        <v>3</v>
      </c>
      <c r="Z35" s="54">
        <v>4</v>
      </c>
      <c r="AA35" s="54">
        <v>5</v>
      </c>
      <c r="AB35" s="54">
        <v>6</v>
      </c>
      <c r="AC35" s="54">
        <v>7</v>
      </c>
      <c r="AD35" s="54">
        <v>8</v>
      </c>
      <c r="AE35" s="54">
        <v>9</v>
      </c>
      <c r="AF35" s="55">
        <v>0</v>
      </c>
      <c r="AG35" s="55">
        <v>1</v>
      </c>
      <c r="AH35" s="55">
        <v>2</v>
      </c>
      <c r="AI35" s="55">
        <v>3</v>
      </c>
      <c r="AJ35" s="55">
        <v>4</v>
      </c>
      <c r="AK35" s="55">
        <v>5</v>
      </c>
      <c r="AL35" s="55">
        <v>6</v>
      </c>
      <c r="AM35" s="55">
        <v>7</v>
      </c>
      <c r="AN35" s="55">
        <v>8</v>
      </c>
      <c r="AO35" s="55">
        <v>9</v>
      </c>
      <c r="AP35" s="105">
        <v>0</v>
      </c>
      <c r="AQ35" s="105">
        <v>1</v>
      </c>
      <c r="AR35" s="105">
        <v>2</v>
      </c>
      <c r="AS35" s="105">
        <v>3</v>
      </c>
      <c r="AT35" s="105">
        <v>4</v>
      </c>
      <c r="AU35" s="105">
        <v>5</v>
      </c>
      <c r="AV35" s="105">
        <v>6</v>
      </c>
      <c r="AW35" s="105">
        <v>7</v>
      </c>
      <c r="AX35" s="105">
        <v>8</v>
      </c>
      <c r="AY35" s="105">
        <v>9</v>
      </c>
      <c r="AZ35" s="56">
        <v>0</v>
      </c>
      <c r="BA35" s="56">
        <v>1</v>
      </c>
      <c r="BB35" s="56">
        <v>2</v>
      </c>
      <c r="BC35" s="56">
        <v>3</v>
      </c>
      <c r="BD35" s="56">
        <v>4</v>
      </c>
      <c r="BE35" s="56">
        <v>5</v>
      </c>
      <c r="BF35" s="56">
        <v>6</v>
      </c>
      <c r="BG35" s="56">
        <v>7</v>
      </c>
      <c r="BH35" s="56">
        <v>8</v>
      </c>
      <c r="BI35" s="56">
        <v>9</v>
      </c>
      <c r="BJ35" s="57" t="str">
        <f t="shared" si="9"/>
        <v>标准型</v>
      </c>
      <c r="BK35" s="13">
        <f t="shared" si="5"/>
        <v>2</v>
      </c>
      <c r="BL35" s="13">
        <f t="shared" si="6"/>
        <v>5</v>
      </c>
      <c r="BM35" s="18" t="str">
        <f t="shared" si="11"/>
        <v/>
      </c>
      <c r="BN35" s="19" t="str">
        <f t="shared" si="12"/>
        <v/>
      </c>
      <c r="BO35" s="19" t="str">
        <f t="array" ref="BO35">_xlfn.TEXTJOIN("",TRUE,IF(ISERROR(FIND(ROW($1:$10)-1,BM35&amp;BN35)),ROW($1:$10)-1,""))</f>
        <v>0123456789</v>
      </c>
      <c r="BP35" s="20" t="str">
        <f t="shared" si="13"/>
        <v>中中中</v>
      </c>
      <c r="BQ35" s="21" t="str">
        <f t="shared" si="24"/>
        <v/>
      </c>
      <c r="BR35" s="21">
        <f t="shared" si="22"/>
        <v>3</v>
      </c>
      <c r="BS35" s="21" t="str">
        <f t="array" ref="BS35">_xlfn.TEXTJOIN("",TRUE,IF(ISERROR(FIND(ROW($1:$10)-1,BQ35&amp;BR35)),ROW($1:$10)-1,""))</f>
        <v>012456789</v>
      </c>
      <c r="BT35" s="20" t="str">
        <f t="shared" si="14"/>
        <v>中隔中</v>
      </c>
      <c r="BU35" s="22">
        <f t="shared" si="15"/>
        <v>2</v>
      </c>
      <c r="BV35" s="22" t="str">
        <f t="shared" si="23"/>
        <v/>
      </c>
      <c r="BW35" s="22" t="str">
        <f t="array" ref="BW35">_xlfn.TEXTJOIN("",TRUE,IF(ISERROR(FIND(ROW($1:$10)-1,BU35&amp;BV35)),ROW($1:$10)-1,""))</f>
        <v>013456789</v>
      </c>
      <c r="BX35" s="20" t="str">
        <f t="shared" si="16"/>
        <v>复中中</v>
      </c>
      <c r="BY35" s="23" t="str">
        <f t="shared" si="10"/>
        <v>46</v>
      </c>
      <c r="BZ35" s="24" t="str">
        <f t="array" ref="BZ35">_xlfn.TEXTJOIN("",TRUE,IF(ISNUMBER(FIND(MID(BY34&amp;Q34,ROW($1:$4),1),BY35&amp;Q35)),MID(BY34&amp;Q34,ROW($1:$4),1),""))</f>
        <v/>
      </c>
      <c r="CA35" s="25" t="str">
        <f t="array" ref="CA35">_xlfn.TEXTJOIN("",TRUE,IF(ISERROR(FIND(ROW($1:$10)-1,BY35&amp;BZ35)),ROW($1:$10)-1,""))</f>
        <v>01235789</v>
      </c>
      <c r="CB35" s="26" t="str">
        <f t="shared" si="17"/>
        <v>邻孤孤</v>
      </c>
      <c r="CC35" s="27" t="str">
        <f t="shared" si="18"/>
        <v>24</v>
      </c>
      <c r="CD35" s="27" t="str">
        <f t="array" ref="CD35">_xlfn.TEXTJOIN("",TRUE,IF(ISNUMBER(FIND(MID(CC34&amp;R34,ROW($1:$4),1),CC35&amp;R35)),MID(CC34&amp;R34,ROW($1:$4),1),""))</f>
        <v>34</v>
      </c>
      <c r="CE35" s="27" t="str">
        <f t="array" ref="CE35">_xlfn.TEXTJOIN("",TRUE,IF(ISERROR(FIND(ROW($1:$10)-1,CC35&amp;CD35)),ROW($1:$10)-1,""))</f>
        <v>0156789</v>
      </c>
      <c r="CF35" s="17" t="str">
        <f t="shared" si="19"/>
        <v>邻传孤</v>
      </c>
      <c r="CG35" s="22" t="str">
        <f t="shared" si="20"/>
        <v>13</v>
      </c>
      <c r="CH35" s="22" t="str">
        <f t="array" ref="CH35">_xlfn.TEXTJOIN("",TRUE,IF(ISNUMBER(FIND(MID(CG34&amp;S34,ROW($1:$4),1),CG35&amp;S35)),MID(CG34&amp;S34,ROW($1:$4),1),""))</f>
        <v>132</v>
      </c>
      <c r="CI35" s="22" t="str">
        <f t="array" ref="CI35">_xlfn.TEXTJOIN("",TRUE,IF(ISERROR(FIND(ROW($1:$10)-1,CG35&amp;CH35)),ROW($1:$10)-1,""))</f>
        <v>0456789</v>
      </c>
      <c r="CJ35" s="28" t="str">
        <f t="shared" si="21"/>
        <v>邻传孤</v>
      </c>
    </row>
    <row r="36" spans="1:88">
      <c r="A36" s="32">
        <v>2024163</v>
      </c>
      <c r="B36" s="8" t="s">
        <v>57</v>
      </c>
      <c r="C36" s="49">
        <f t="shared" si="25"/>
        <v>7</v>
      </c>
      <c r="D36" s="50">
        <f t="shared" si="26"/>
        <v>7</v>
      </c>
      <c r="E36" s="51">
        <f t="shared" si="7"/>
        <v>2.3333333333333299</v>
      </c>
      <c r="F36" s="52">
        <f>MAX(MID(B36,{1,2,3},1)*1)-MIN(MID(B36,{1,2,3},1)*1)</f>
        <v>4</v>
      </c>
      <c r="G36" s="104">
        <v>0</v>
      </c>
      <c r="H36" s="104">
        <v>1</v>
      </c>
      <c r="I36" s="104">
        <v>2</v>
      </c>
      <c r="J36" s="104">
        <v>3</v>
      </c>
      <c r="K36" s="104">
        <v>4</v>
      </c>
      <c r="L36" s="104">
        <v>5</v>
      </c>
      <c r="M36" s="104">
        <v>6</v>
      </c>
      <c r="N36" s="104">
        <v>7</v>
      </c>
      <c r="O36" s="104">
        <v>8</v>
      </c>
      <c r="P36" s="104">
        <v>9</v>
      </c>
      <c r="Q36" s="53">
        <f t="shared" si="27"/>
        <v>3</v>
      </c>
      <c r="R36" s="53">
        <f t="shared" si="28"/>
        <v>1</v>
      </c>
      <c r="S36" s="53">
        <f t="shared" si="29"/>
        <v>4</v>
      </c>
      <c r="T36" s="101">
        <f t="shared" si="8"/>
        <v>8</v>
      </c>
      <c r="U36" s="15" t="str">
        <f>_xlfn.TEXTJOIN(", ",TRUE,ABS(MID(B36,{1,1,2},1)-MID(B36,{2,3,3},1)))</f>
        <v>3, 1, 4</v>
      </c>
      <c r="V36" s="54">
        <v>0</v>
      </c>
      <c r="W36" s="54">
        <v>1</v>
      </c>
      <c r="X36" s="54">
        <v>2</v>
      </c>
      <c r="Y36" s="54">
        <v>3</v>
      </c>
      <c r="Z36" s="54">
        <v>4</v>
      </c>
      <c r="AA36" s="54">
        <v>5</v>
      </c>
      <c r="AB36" s="54">
        <v>6</v>
      </c>
      <c r="AC36" s="54">
        <v>7</v>
      </c>
      <c r="AD36" s="54">
        <v>8</v>
      </c>
      <c r="AE36" s="54">
        <v>9</v>
      </c>
      <c r="AF36" s="55">
        <v>0</v>
      </c>
      <c r="AG36" s="55">
        <v>1</v>
      </c>
      <c r="AH36" s="55">
        <v>2</v>
      </c>
      <c r="AI36" s="55">
        <v>3</v>
      </c>
      <c r="AJ36" s="55">
        <v>4</v>
      </c>
      <c r="AK36" s="55">
        <v>5</v>
      </c>
      <c r="AL36" s="55">
        <v>6</v>
      </c>
      <c r="AM36" s="55">
        <v>7</v>
      </c>
      <c r="AN36" s="55">
        <v>8</v>
      </c>
      <c r="AO36" s="55">
        <v>9</v>
      </c>
      <c r="AP36" s="105">
        <v>0</v>
      </c>
      <c r="AQ36" s="105">
        <v>1</v>
      </c>
      <c r="AR36" s="105">
        <v>2</v>
      </c>
      <c r="AS36" s="105">
        <v>3</v>
      </c>
      <c r="AT36" s="105">
        <v>4</v>
      </c>
      <c r="AU36" s="105">
        <v>5</v>
      </c>
      <c r="AV36" s="105">
        <v>6</v>
      </c>
      <c r="AW36" s="105">
        <v>7</v>
      </c>
      <c r="AX36" s="105">
        <v>8</v>
      </c>
      <c r="AY36" s="105">
        <v>9</v>
      </c>
      <c r="AZ36" s="56">
        <v>0</v>
      </c>
      <c r="BA36" s="56">
        <v>1</v>
      </c>
      <c r="BB36" s="56">
        <v>2</v>
      </c>
      <c r="BC36" s="56">
        <v>3</v>
      </c>
      <c r="BD36" s="56">
        <v>4</v>
      </c>
      <c r="BE36" s="56">
        <v>5</v>
      </c>
      <c r="BF36" s="56">
        <v>6</v>
      </c>
      <c r="BG36" s="56">
        <v>7</v>
      </c>
      <c r="BH36" s="56">
        <v>8</v>
      </c>
      <c r="BI36" s="56">
        <v>9</v>
      </c>
      <c r="BJ36" s="57" t="str">
        <f t="shared" si="9"/>
        <v>紧凑型</v>
      </c>
      <c r="BK36" s="13">
        <f t="shared" si="5"/>
        <v>1</v>
      </c>
      <c r="BL36" s="13">
        <f t="shared" si="6"/>
        <v>4</v>
      </c>
      <c r="BM36" s="18">
        <f t="shared" si="11"/>
        <v>3</v>
      </c>
      <c r="BN36" s="19" t="str">
        <f t="shared" si="12"/>
        <v/>
      </c>
      <c r="BO36" s="19" t="str">
        <f t="array" ref="BO36">_xlfn.TEXTJOIN("",TRUE,IF(ISERROR(FIND(ROW($1:$10)-1,BM36&amp;BN36)),ROW($1:$10)-1,""))</f>
        <v>012456789</v>
      </c>
      <c r="BP36" s="20" t="str">
        <f t="shared" si="13"/>
        <v>复中中</v>
      </c>
      <c r="BQ36" s="21" t="str">
        <f t="shared" si="24"/>
        <v/>
      </c>
      <c r="BR36" s="21" t="str">
        <f t="shared" si="22"/>
        <v/>
      </c>
      <c r="BS36" s="21" t="str">
        <f t="array" ref="BS36">_xlfn.TEXTJOIN("",TRUE,IF(ISERROR(FIND(ROW($1:$10)-1,BQ36&amp;BR36)),ROW($1:$10)-1,""))</f>
        <v>0123456789</v>
      </c>
      <c r="BT36" s="20" t="str">
        <f t="shared" si="14"/>
        <v>中中中</v>
      </c>
      <c r="BU36" s="22" t="str">
        <f t="shared" si="15"/>
        <v/>
      </c>
      <c r="BV36" s="22">
        <f t="shared" si="23"/>
        <v>4</v>
      </c>
      <c r="BW36" s="22" t="str">
        <f t="array" ref="BW36">_xlfn.TEXTJOIN("",TRUE,IF(ISERROR(FIND(ROW($1:$10)-1,BU36&amp;BV36)),ROW($1:$10)-1,""))</f>
        <v>012356789</v>
      </c>
      <c r="BX36" s="20" t="str">
        <f t="shared" si="16"/>
        <v>中隔中</v>
      </c>
      <c r="BY36" s="23" t="str">
        <f t="shared" si="10"/>
        <v>24</v>
      </c>
      <c r="BZ36" s="24" t="str">
        <f t="array" ref="BZ36">_xlfn.TEXTJOIN("",TRUE,IF(ISNUMBER(FIND(MID(BY35&amp;Q35,ROW($1:$4),1),BY36&amp;Q36)),MID(BY35&amp;Q35,ROW($1:$4),1),""))</f>
        <v>4</v>
      </c>
      <c r="CA36" s="25" t="str">
        <f t="array" ref="CA36">_xlfn.TEXTJOIN("",TRUE,IF(ISERROR(FIND(ROW($1:$10)-1,BY36&amp;BZ36)),ROW($1:$10)-1,""))</f>
        <v>01356789</v>
      </c>
      <c r="CB36" s="26" t="str">
        <f t="shared" si="17"/>
        <v>邻传孤</v>
      </c>
      <c r="CC36" s="27" t="str">
        <f t="shared" si="18"/>
        <v>02</v>
      </c>
      <c r="CD36" s="27" t="str">
        <f t="array" ref="CD36">_xlfn.TEXTJOIN("",TRUE,IF(ISNUMBER(FIND(MID(CC35&amp;R35,ROW($1:$4),1),CC36&amp;R36)),MID(CC35&amp;R35,ROW($1:$4),1),""))</f>
        <v>2</v>
      </c>
      <c r="CE36" s="27" t="str">
        <f t="array" ref="CE36">_xlfn.TEXTJOIN("",TRUE,IF(ISERROR(FIND(ROW($1:$10)-1,CC36&amp;CD36)),ROW($1:$10)-1,""))</f>
        <v>13456789</v>
      </c>
      <c r="CF36" s="17" t="str">
        <f t="shared" si="19"/>
        <v>邻传孤</v>
      </c>
      <c r="CG36" s="22" t="str">
        <f t="shared" si="20"/>
        <v>35</v>
      </c>
      <c r="CH36" s="22" t="str">
        <f t="array" ref="CH36">_xlfn.TEXTJOIN("",TRUE,IF(ISNUMBER(FIND(MID(CG35&amp;S35,ROW($1:$4),1),CG36&amp;S36)),MID(CG35&amp;S35,ROW($1:$4),1),""))</f>
        <v>3</v>
      </c>
      <c r="CI36" s="22" t="str">
        <f t="array" ref="CI36">_xlfn.TEXTJOIN("",TRUE,IF(ISERROR(FIND(ROW($1:$10)-1,CG36&amp;CH36)),ROW($1:$10)-1,""))</f>
        <v>01246789</v>
      </c>
      <c r="CJ36" s="28" t="str">
        <f t="shared" si="21"/>
        <v>邻传孤</v>
      </c>
    </row>
    <row r="37" spans="1:88">
      <c r="A37" s="32">
        <v>2024164</v>
      </c>
      <c r="B37" s="8" t="s">
        <v>58</v>
      </c>
      <c r="C37" s="49">
        <f t="shared" si="25"/>
        <v>12</v>
      </c>
      <c r="D37" s="50">
        <f t="shared" si="26"/>
        <v>2</v>
      </c>
      <c r="E37" s="51">
        <f t="shared" si="7"/>
        <v>4</v>
      </c>
      <c r="F37" s="52">
        <f>MAX(MID(B37,{1,2,3},1)*1)-MIN(MID(B37,{1,2,3},1)*1)</f>
        <v>2</v>
      </c>
      <c r="G37" s="104">
        <v>0</v>
      </c>
      <c r="H37" s="104">
        <v>1</v>
      </c>
      <c r="I37" s="104">
        <v>2</v>
      </c>
      <c r="J37" s="104">
        <v>3</v>
      </c>
      <c r="K37" s="104">
        <v>4</v>
      </c>
      <c r="L37" s="104">
        <v>5</v>
      </c>
      <c r="M37" s="104">
        <v>6</v>
      </c>
      <c r="N37" s="104">
        <v>7</v>
      </c>
      <c r="O37" s="104">
        <v>8</v>
      </c>
      <c r="P37" s="104">
        <v>9</v>
      </c>
      <c r="Q37" s="53">
        <f t="shared" si="27"/>
        <v>2</v>
      </c>
      <c r="R37" s="53">
        <f t="shared" si="28"/>
        <v>1</v>
      </c>
      <c r="S37" s="53">
        <f t="shared" si="29"/>
        <v>1</v>
      </c>
      <c r="T37" s="101">
        <f t="shared" si="8"/>
        <v>4</v>
      </c>
      <c r="U37" s="15" t="str">
        <f>_xlfn.TEXTJOIN(", ",TRUE,ABS(MID(B37,{1,1,2},1)-MID(B37,{2,3,3},1)))</f>
        <v>2, 1, 1</v>
      </c>
      <c r="V37" s="54">
        <v>0</v>
      </c>
      <c r="W37" s="54">
        <v>1</v>
      </c>
      <c r="X37" s="54">
        <v>2</v>
      </c>
      <c r="Y37" s="54">
        <v>3</v>
      </c>
      <c r="Z37" s="54">
        <v>4</v>
      </c>
      <c r="AA37" s="54">
        <v>5</v>
      </c>
      <c r="AB37" s="54">
        <v>6</v>
      </c>
      <c r="AC37" s="54">
        <v>7</v>
      </c>
      <c r="AD37" s="54">
        <v>8</v>
      </c>
      <c r="AE37" s="54">
        <v>9</v>
      </c>
      <c r="AF37" s="55">
        <v>0</v>
      </c>
      <c r="AG37" s="55">
        <v>1</v>
      </c>
      <c r="AH37" s="55">
        <v>2</v>
      </c>
      <c r="AI37" s="55">
        <v>3</v>
      </c>
      <c r="AJ37" s="55">
        <v>4</v>
      </c>
      <c r="AK37" s="55">
        <v>5</v>
      </c>
      <c r="AL37" s="55">
        <v>6</v>
      </c>
      <c r="AM37" s="55">
        <v>7</v>
      </c>
      <c r="AN37" s="55">
        <v>8</v>
      </c>
      <c r="AO37" s="55">
        <v>9</v>
      </c>
      <c r="AP37" s="105">
        <v>0</v>
      </c>
      <c r="AQ37" s="105">
        <v>1</v>
      </c>
      <c r="AR37" s="105">
        <v>2</v>
      </c>
      <c r="AS37" s="105">
        <v>3</v>
      </c>
      <c r="AT37" s="105">
        <v>4</v>
      </c>
      <c r="AU37" s="105">
        <v>5</v>
      </c>
      <c r="AV37" s="105">
        <v>6</v>
      </c>
      <c r="AW37" s="105">
        <v>7</v>
      </c>
      <c r="AX37" s="105">
        <v>8</v>
      </c>
      <c r="AY37" s="105">
        <v>9</v>
      </c>
      <c r="AZ37" s="56">
        <v>0</v>
      </c>
      <c r="BA37" s="56">
        <v>1</v>
      </c>
      <c r="BB37" s="56">
        <v>2</v>
      </c>
      <c r="BC37" s="56">
        <v>3</v>
      </c>
      <c r="BD37" s="56">
        <v>4</v>
      </c>
      <c r="BE37" s="56">
        <v>5</v>
      </c>
      <c r="BF37" s="56">
        <v>6</v>
      </c>
      <c r="BG37" s="56">
        <v>7</v>
      </c>
      <c r="BH37" s="56">
        <v>8</v>
      </c>
      <c r="BI37" s="56">
        <v>9</v>
      </c>
      <c r="BJ37" s="57" t="str">
        <f t="shared" si="9"/>
        <v>紧凑型</v>
      </c>
      <c r="BK37" s="13">
        <f t="shared" si="5"/>
        <v>1</v>
      </c>
      <c r="BL37" s="13">
        <f t="shared" si="6"/>
        <v>2</v>
      </c>
      <c r="BM37" s="18" t="str">
        <f t="shared" si="11"/>
        <v/>
      </c>
      <c r="BN37" s="19">
        <f t="shared" si="12"/>
        <v>2</v>
      </c>
      <c r="BO37" s="19" t="str">
        <f t="array" ref="BO37">_xlfn.TEXTJOIN("",TRUE,IF(ISERROR(FIND(ROW($1:$10)-1,BM37&amp;BN37)),ROW($1:$10)-1,""))</f>
        <v>013456789</v>
      </c>
      <c r="BP37" s="20" t="str">
        <f t="shared" si="13"/>
        <v>中隔中</v>
      </c>
      <c r="BQ37" s="21">
        <f t="shared" si="24"/>
        <v>1</v>
      </c>
      <c r="BR37" s="21" t="str">
        <f t="shared" si="22"/>
        <v/>
      </c>
      <c r="BS37" s="21" t="str">
        <f t="array" ref="BS37">_xlfn.TEXTJOIN("",TRUE,IF(ISERROR(FIND(ROW($1:$10)-1,BQ37&amp;BR37)),ROW($1:$10)-1,""))</f>
        <v>023456789</v>
      </c>
      <c r="BT37" s="20" t="str">
        <f t="shared" si="14"/>
        <v>复中中</v>
      </c>
      <c r="BU37" s="22">
        <f t="shared" si="15"/>
        <v>1</v>
      </c>
      <c r="BV37" s="22" t="str">
        <f t="shared" si="23"/>
        <v/>
      </c>
      <c r="BW37" s="22" t="str">
        <f t="array" ref="BW37">_xlfn.TEXTJOIN("",TRUE,IF(ISERROR(FIND(ROW($1:$10)-1,BU37&amp;BV37)),ROW($1:$10)-1,""))</f>
        <v>023456789</v>
      </c>
      <c r="BX37" s="20" t="str">
        <f t="shared" si="16"/>
        <v>复中中</v>
      </c>
      <c r="BY37" s="23" t="str">
        <f t="shared" si="10"/>
        <v>13</v>
      </c>
      <c r="BZ37" s="24" t="str">
        <f t="array" ref="BZ37">_xlfn.TEXTJOIN("",TRUE,IF(ISNUMBER(FIND(MID(BY36&amp;Q36,ROW($1:$4),1),BY37&amp;Q37)),MID(BY36&amp;Q36,ROW($1:$4),1),""))</f>
        <v>23</v>
      </c>
      <c r="CA37" s="25" t="str">
        <f t="array" ref="CA37">_xlfn.TEXTJOIN("",TRUE,IF(ISERROR(FIND(ROW($1:$10)-1,BY37&amp;BZ37)),ROW($1:$10)-1,""))</f>
        <v>0456789</v>
      </c>
      <c r="CB37" s="26" t="str">
        <f t="shared" si="17"/>
        <v>邻传孤</v>
      </c>
      <c r="CC37" s="27" t="str">
        <f t="shared" si="18"/>
        <v>02</v>
      </c>
      <c r="CD37" s="27" t="str">
        <f t="array" ref="CD37">_xlfn.TEXTJOIN("",TRUE,IF(ISNUMBER(FIND(MID(CC36&amp;R36,ROW($1:$4),1),CC37&amp;R37)),MID(CC36&amp;R36,ROW($1:$4),1),""))</f>
        <v>021</v>
      </c>
      <c r="CE37" s="27" t="str">
        <f t="array" ref="CE37">_xlfn.TEXTJOIN("",TRUE,IF(ISERROR(FIND(ROW($1:$10)-1,CC37&amp;CD37)),ROW($1:$10)-1,""))</f>
        <v>3456789</v>
      </c>
      <c r="CF37" s="17" t="str">
        <f t="shared" si="19"/>
        <v>邻传孤</v>
      </c>
      <c r="CG37" s="22" t="str">
        <f t="shared" si="20"/>
        <v>02</v>
      </c>
      <c r="CH37" s="22" t="str">
        <f t="array" ref="CH37">_xlfn.TEXTJOIN("",TRUE,IF(ISNUMBER(FIND(MID(CG36&amp;S36,ROW($1:$4),1),CG37&amp;S37)),MID(CG36&amp;S36,ROW($1:$4),1),""))</f>
        <v/>
      </c>
      <c r="CI37" s="22" t="str">
        <f t="array" ref="CI37">_xlfn.TEXTJOIN("",TRUE,IF(ISERROR(FIND(ROW($1:$10)-1,CG37&amp;CH37)),ROW($1:$10)-1,""))</f>
        <v>13456789</v>
      </c>
      <c r="CJ37" s="28" t="str">
        <f t="shared" si="21"/>
        <v>邻孤孤</v>
      </c>
    </row>
    <row r="38" spans="1:88">
      <c r="A38" s="32">
        <v>2024165</v>
      </c>
      <c r="B38" s="8" t="s">
        <v>59</v>
      </c>
      <c r="C38" s="49">
        <f t="shared" si="25"/>
        <v>10</v>
      </c>
      <c r="D38" s="50">
        <f t="shared" si="26"/>
        <v>0</v>
      </c>
      <c r="E38" s="51">
        <f t="shared" si="7"/>
        <v>3.3333333333333299</v>
      </c>
      <c r="F38" s="52">
        <f>MAX(MID(B38,{1,2,3},1)*1)-MIN(MID(B38,{1,2,3},1)*1)</f>
        <v>4</v>
      </c>
      <c r="G38" s="104">
        <v>0</v>
      </c>
      <c r="H38" s="104">
        <v>1</v>
      </c>
      <c r="I38" s="104">
        <v>2</v>
      </c>
      <c r="J38" s="104">
        <v>3</v>
      </c>
      <c r="K38" s="104">
        <v>4</v>
      </c>
      <c r="L38" s="104">
        <v>5</v>
      </c>
      <c r="M38" s="104">
        <v>6</v>
      </c>
      <c r="N38" s="104">
        <v>7</v>
      </c>
      <c r="O38" s="104">
        <v>8</v>
      </c>
      <c r="P38" s="104">
        <v>9</v>
      </c>
      <c r="Q38" s="53">
        <f t="shared" si="27"/>
        <v>3</v>
      </c>
      <c r="R38" s="53">
        <f t="shared" si="28"/>
        <v>4</v>
      </c>
      <c r="S38" s="53">
        <f t="shared" si="29"/>
        <v>1</v>
      </c>
      <c r="T38" s="101">
        <f t="shared" si="8"/>
        <v>8</v>
      </c>
      <c r="U38" s="15" t="str">
        <f>_xlfn.TEXTJOIN(", ",TRUE,ABS(MID(B38,{1,1,2},1)-MID(B38,{2,3,3},1)))</f>
        <v>3, 4, 1</v>
      </c>
      <c r="V38" s="54">
        <v>0</v>
      </c>
      <c r="W38" s="54">
        <v>1</v>
      </c>
      <c r="X38" s="54">
        <v>2</v>
      </c>
      <c r="Y38" s="54">
        <v>3</v>
      </c>
      <c r="Z38" s="54">
        <v>4</v>
      </c>
      <c r="AA38" s="54">
        <v>5</v>
      </c>
      <c r="AB38" s="54">
        <v>6</v>
      </c>
      <c r="AC38" s="54">
        <v>7</v>
      </c>
      <c r="AD38" s="54">
        <v>8</v>
      </c>
      <c r="AE38" s="54">
        <v>9</v>
      </c>
      <c r="AF38" s="55">
        <v>0</v>
      </c>
      <c r="AG38" s="55">
        <v>1</v>
      </c>
      <c r="AH38" s="55">
        <v>2</v>
      </c>
      <c r="AI38" s="55">
        <v>3</v>
      </c>
      <c r="AJ38" s="55">
        <v>4</v>
      </c>
      <c r="AK38" s="55">
        <v>5</v>
      </c>
      <c r="AL38" s="55">
        <v>6</v>
      </c>
      <c r="AM38" s="55">
        <v>7</v>
      </c>
      <c r="AN38" s="55">
        <v>8</v>
      </c>
      <c r="AO38" s="55">
        <v>9</v>
      </c>
      <c r="AP38" s="105">
        <v>0</v>
      </c>
      <c r="AQ38" s="105">
        <v>1</v>
      </c>
      <c r="AR38" s="105">
        <v>2</v>
      </c>
      <c r="AS38" s="105">
        <v>3</v>
      </c>
      <c r="AT38" s="105">
        <v>4</v>
      </c>
      <c r="AU38" s="105">
        <v>5</v>
      </c>
      <c r="AV38" s="105">
        <v>6</v>
      </c>
      <c r="AW38" s="105">
        <v>7</v>
      </c>
      <c r="AX38" s="105">
        <v>8</v>
      </c>
      <c r="AY38" s="105">
        <v>9</v>
      </c>
      <c r="AZ38" s="56">
        <v>0</v>
      </c>
      <c r="BA38" s="56">
        <v>1</v>
      </c>
      <c r="BB38" s="56">
        <v>2</v>
      </c>
      <c r="BC38" s="56">
        <v>3</v>
      </c>
      <c r="BD38" s="56">
        <v>4</v>
      </c>
      <c r="BE38" s="56">
        <v>5</v>
      </c>
      <c r="BF38" s="56">
        <v>6</v>
      </c>
      <c r="BG38" s="56">
        <v>7</v>
      </c>
      <c r="BH38" s="56">
        <v>8</v>
      </c>
      <c r="BI38" s="56">
        <v>9</v>
      </c>
      <c r="BJ38" s="57" t="str">
        <f t="shared" si="9"/>
        <v>紧凑型</v>
      </c>
      <c r="BK38" s="13">
        <f t="shared" si="5"/>
        <v>1</v>
      </c>
      <c r="BL38" s="13">
        <f t="shared" si="6"/>
        <v>4</v>
      </c>
      <c r="BM38" s="18" t="str">
        <f t="shared" si="11"/>
        <v/>
      </c>
      <c r="BN38" s="19">
        <f t="shared" si="12"/>
        <v>3</v>
      </c>
      <c r="BO38" s="19" t="str">
        <f t="array" ref="BO38">_xlfn.TEXTJOIN("",TRUE,IF(ISERROR(FIND(ROW($1:$10)-1,BM38&amp;BN38)),ROW($1:$10)-1,""))</f>
        <v>012456789</v>
      </c>
      <c r="BP38" s="20" t="str">
        <f t="shared" si="13"/>
        <v>中隔中</v>
      </c>
      <c r="BQ38" s="21" t="str">
        <f t="shared" si="24"/>
        <v/>
      </c>
      <c r="BR38" s="21">
        <f t="shared" si="22"/>
        <v>4</v>
      </c>
      <c r="BS38" s="21" t="str">
        <f t="array" ref="BS38">_xlfn.TEXTJOIN("",TRUE,IF(ISERROR(FIND(ROW($1:$10)-1,BQ38&amp;BR38)),ROW($1:$10)-1,""))</f>
        <v>012356789</v>
      </c>
      <c r="BT38" s="20" t="str">
        <f t="shared" si="14"/>
        <v>中隔中</v>
      </c>
      <c r="BU38" s="22">
        <f t="shared" si="15"/>
        <v>1</v>
      </c>
      <c r="BV38" s="22">
        <f t="shared" si="23"/>
        <v>1</v>
      </c>
      <c r="BW38" s="22" t="str">
        <f t="array" ref="BW38">_xlfn.TEXTJOIN("",TRUE,IF(ISERROR(FIND(ROW($1:$10)-1,BU38&amp;BV38)),ROW($1:$10)-1,""))</f>
        <v>023456789</v>
      </c>
      <c r="BX38" s="20" t="str">
        <f t="shared" si="16"/>
        <v>复隔中</v>
      </c>
      <c r="BY38" s="23" t="str">
        <f t="shared" si="10"/>
        <v>24</v>
      </c>
      <c r="BZ38" s="24" t="str">
        <f t="array" ref="BZ38">_xlfn.TEXTJOIN("",TRUE,IF(ISNUMBER(FIND(MID(BY37&amp;Q37,ROW($1:$4),1),BY38&amp;Q38)),MID(BY37&amp;Q37,ROW($1:$4),1),""))</f>
        <v>32</v>
      </c>
      <c r="CA38" s="25" t="str">
        <f t="array" ref="CA38">_xlfn.TEXTJOIN("",TRUE,IF(ISERROR(FIND(ROW($1:$10)-1,BY38&amp;BZ38)),ROW($1:$10)-1,""))</f>
        <v>0156789</v>
      </c>
      <c r="CB38" s="26" t="str">
        <f t="shared" si="17"/>
        <v>邻传孤</v>
      </c>
      <c r="CC38" s="27" t="str">
        <f t="shared" si="18"/>
        <v>35</v>
      </c>
      <c r="CD38" s="27" t="str">
        <f t="array" ref="CD38">_xlfn.TEXTJOIN("",TRUE,IF(ISNUMBER(FIND(MID(CC37&amp;R37,ROW($1:$4),1),CC38&amp;R38)),MID(CC37&amp;R37,ROW($1:$4),1),""))</f>
        <v/>
      </c>
      <c r="CE38" s="27" t="str">
        <f t="array" ref="CE38">_xlfn.TEXTJOIN("",TRUE,IF(ISERROR(FIND(ROW($1:$10)-1,CC38&amp;CD38)),ROW($1:$10)-1,""))</f>
        <v>01246789</v>
      </c>
      <c r="CF38" s="17" t="str">
        <f t="shared" si="19"/>
        <v>邻孤孤</v>
      </c>
      <c r="CG38" s="22" t="str">
        <f t="shared" si="20"/>
        <v>02</v>
      </c>
      <c r="CH38" s="22" t="str">
        <f t="array" ref="CH38">_xlfn.TEXTJOIN("",TRUE,IF(ISNUMBER(FIND(MID(CG37&amp;S37,ROW($1:$4),1),CG38&amp;S38)),MID(CG37&amp;S37,ROW($1:$4),1),""))</f>
        <v>021</v>
      </c>
      <c r="CI38" s="22" t="str">
        <f t="array" ref="CI38">_xlfn.TEXTJOIN("",TRUE,IF(ISERROR(FIND(ROW($1:$10)-1,CG38&amp;CH38)),ROW($1:$10)-1,""))</f>
        <v>3456789</v>
      </c>
      <c r="CJ38" s="28" t="str">
        <f t="shared" si="21"/>
        <v>邻传孤</v>
      </c>
    </row>
    <row r="39" spans="1:88">
      <c r="A39" s="32">
        <v>2024166</v>
      </c>
      <c r="B39" s="8" t="s">
        <v>60</v>
      </c>
      <c r="C39" s="49">
        <f t="shared" si="25"/>
        <v>19</v>
      </c>
      <c r="D39" s="50">
        <f t="shared" si="26"/>
        <v>9</v>
      </c>
      <c r="E39" s="51">
        <f t="shared" si="7"/>
        <v>6.3333333333333304</v>
      </c>
      <c r="F39" s="52">
        <f>MAX(MID(B39,{1,2,3},1)*1)-MIN(MID(B39,{1,2,3},1)*1)</f>
        <v>6</v>
      </c>
      <c r="G39" s="104">
        <v>0</v>
      </c>
      <c r="H39" s="104">
        <v>1</v>
      </c>
      <c r="I39" s="104">
        <v>2</v>
      </c>
      <c r="J39" s="104">
        <v>3</v>
      </c>
      <c r="K39" s="104">
        <v>4</v>
      </c>
      <c r="L39" s="104">
        <v>5</v>
      </c>
      <c r="M39" s="104">
        <v>6</v>
      </c>
      <c r="N39" s="104">
        <v>7</v>
      </c>
      <c r="O39" s="104">
        <v>8</v>
      </c>
      <c r="P39" s="104">
        <v>9</v>
      </c>
      <c r="Q39" s="53">
        <f t="shared" si="27"/>
        <v>6</v>
      </c>
      <c r="R39" s="53">
        <f t="shared" si="28"/>
        <v>4</v>
      </c>
      <c r="S39" s="53">
        <f t="shared" si="29"/>
        <v>2</v>
      </c>
      <c r="T39" s="101">
        <f t="shared" si="8"/>
        <v>12</v>
      </c>
      <c r="U39" s="15" t="str">
        <f>_xlfn.TEXTJOIN(", ",TRUE,ABS(MID(B39,{1,1,2},1)-MID(B39,{2,3,3},1)))</f>
        <v>6, 4, 2</v>
      </c>
      <c r="V39" s="54">
        <v>0</v>
      </c>
      <c r="W39" s="54">
        <v>1</v>
      </c>
      <c r="X39" s="54">
        <v>2</v>
      </c>
      <c r="Y39" s="54">
        <v>3</v>
      </c>
      <c r="Z39" s="54">
        <v>4</v>
      </c>
      <c r="AA39" s="54">
        <v>5</v>
      </c>
      <c r="AB39" s="54">
        <v>6</v>
      </c>
      <c r="AC39" s="54">
        <v>7</v>
      </c>
      <c r="AD39" s="54">
        <v>8</v>
      </c>
      <c r="AE39" s="54">
        <v>9</v>
      </c>
      <c r="AF39" s="55">
        <v>0</v>
      </c>
      <c r="AG39" s="55">
        <v>1</v>
      </c>
      <c r="AH39" s="55">
        <v>2</v>
      </c>
      <c r="AI39" s="55">
        <v>3</v>
      </c>
      <c r="AJ39" s="55">
        <v>4</v>
      </c>
      <c r="AK39" s="55">
        <v>5</v>
      </c>
      <c r="AL39" s="55">
        <v>6</v>
      </c>
      <c r="AM39" s="55">
        <v>7</v>
      </c>
      <c r="AN39" s="55">
        <v>8</v>
      </c>
      <c r="AO39" s="55">
        <v>9</v>
      </c>
      <c r="AP39" s="105">
        <v>0</v>
      </c>
      <c r="AQ39" s="105">
        <v>1</v>
      </c>
      <c r="AR39" s="105">
        <v>2</v>
      </c>
      <c r="AS39" s="105">
        <v>3</v>
      </c>
      <c r="AT39" s="105">
        <v>4</v>
      </c>
      <c r="AU39" s="105">
        <v>5</v>
      </c>
      <c r="AV39" s="105">
        <v>6</v>
      </c>
      <c r="AW39" s="105">
        <v>7</v>
      </c>
      <c r="AX39" s="105">
        <v>8</v>
      </c>
      <c r="AY39" s="105">
        <v>9</v>
      </c>
      <c r="AZ39" s="56">
        <v>0</v>
      </c>
      <c r="BA39" s="56">
        <v>1</v>
      </c>
      <c r="BB39" s="56">
        <v>2</v>
      </c>
      <c r="BC39" s="56">
        <v>3</v>
      </c>
      <c r="BD39" s="56">
        <v>4</v>
      </c>
      <c r="BE39" s="56">
        <v>5</v>
      </c>
      <c r="BF39" s="56">
        <v>6</v>
      </c>
      <c r="BG39" s="56">
        <v>7</v>
      </c>
      <c r="BH39" s="56">
        <v>8</v>
      </c>
      <c r="BI39" s="56">
        <v>9</v>
      </c>
      <c r="BJ39" s="57" t="str">
        <f t="shared" si="9"/>
        <v>松散型</v>
      </c>
      <c r="BK39" s="13">
        <f t="shared" si="5"/>
        <v>2</v>
      </c>
      <c r="BL39" s="13">
        <f t="shared" si="6"/>
        <v>6</v>
      </c>
      <c r="BM39" s="18" t="str">
        <f t="shared" si="11"/>
        <v/>
      </c>
      <c r="BN39" s="19" t="str">
        <f t="shared" si="12"/>
        <v/>
      </c>
      <c r="BO39" s="19" t="str">
        <f t="array" ref="BO39">_xlfn.TEXTJOIN("",TRUE,IF(ISERROR(FIND(ROW($1:$10)-1,BM39&amp;BN39)),ROW($1:$10)-1,""))</f>
        <v>0123456789</v>
      </c>
      <c r="BP39" s="20" t="str">
        <f t="shared" si="13"/>
        <v>中中中</v>
      </c>
      <c r="BQ39" s="21">
        <f t="shared" si="24"/>
        <v>4</v>
      </c>
      <c r="BR39" s="21" t="str">
        <f t="shared" si="22"/>
        <v/>
      </c>
      <c r="BS39" s="21" t="str">
        <f t="array" ref="BS39">_xlfn.TEXTJOIN("",TRUE,IF(ISERROR(FIND(ROW($1:$10)-1,BQ39&amp;BR39)),ROW($1:$10)-1,""))</f>
        <v>012356789</v>
      </c>
      <c r="BT39" s="20" t="str">
        <f t="shared" si="14"/>
        <v>复中中</v>
      </c>
      <c r="BU39" s="22" t="str">
        <f t="shared" si="15"/>
        <v/>
      </c>
      <c r="BV39" s="22">
        <f t="shared" si="23"/>
        <v>2</v>
      </c>
      <c r="BW39" s="22" t="str">
        <f t="array" ref="BW39">_xlfn.TEXTJOIN("",TRUE,IF(ISERROR(FIND(ROW($1:$10)-1,BU39&amp;BV39)),ROW($1:$10)-1,""))</f>
        <v>013456789</v>
      </c>
      <c r="BX39" s="20" t="str">
        <f t="shared" si="16"/>
        <v>中隔中</v>
      </c>
      <c r="BY39" s="23" t="str">
        <f t="shared" si="10"/>
        <v>57</v>
      </c>
      <c r="BZ39" s="24" t="str">
        <f t="array" ref="BZ39">_xlfn.TEXTJOIN("",TRUE,IF(ISNUMBER(FIND(MID(BY38&amp;Q38,ROW($1:$4),1),BY39&amp;Q39)),MID(BY38&amp;Q38,ROW($1:$4),1),""))</f>
        <v/>
      </c>
      <c r="CA39" s="25" t="str">
        <f t="array" ref="CA39">_xlfn.TEXTJOIN("",TRUE,IF(ISERROR(FIND(ROW($1:$10)-1,BY39&amp;BZ39)),ROW($1:$10)-1,""))</f>
        <v>01234689</v>
      </c>
      <c r="CB39" s="26" t="str">
        <f t="shared" si="17"/>
        <v>邻孤孤</v>
      </c>
      <c r="CC39" s="27" t="str">
        <f t="shared" si="18"/>
        <v>35</v>
      </c>
      <c r="CD39" s="27" t="str">
        <f t="array" ref="CD39">_xlfn.TEXTJOIN("",TRUE,IF(ISNUMBER(FIND(MID(CC38&amp;R38,ROW($1:$4),1),CC39&amp;R39)),MID(CC38&amp;R38,ROW($1:$4),1),""))</f>
        <v>354</v>
      </c>
      <c r="CE39" s="27" t="str">
        <f t="array" ref="CE39">_xlfn.TEXTJOIN("",TRUE,IF(ISERROR(FIND(ROW($1:$10)-1,CC39&amp;CD39)),ROW($1:$10)-1,""))</f>
        <v>0126789</v>
      </c>
      <c r="CF39" s="17" t="str">
        <f t="shared" si="19"/>
        <v>邻传孤</v>
      </c>
      <c r="CG39" s="22" t="str">
        <f t="shared" si="20"/>
        <v>13</v>
      </c>
      <c r="CH39" s="22" t="str">
        <f t="array" ref="CH39">_xlfn.TEXTJOIN("",TRUE,IF(ISNUMBER(FIND(MID(CG38&amp;S38,ROW($1:$4),1),CG39&amp;S39)),MID(CG38&amp;S38,ROW($1:$4),1),""))</f>
        <v>21</v>
      </c>
      <c r="CI39" s="22" t="str">
        <f t="array" ref="CI39">_xlfn.TEXTJOIN("",TRUE,IF(ISERROR(FIND(ROW($1:$10)-1,CG39&amp;CH39)),ROW($1:$10)-1,""))</f>
        <v>0456789</v>
      </c>
      <c r="CJ39" s="28" t="str">
        <f t="shared" si="21"/>
        <v>邻传孤</v>
      </c>
    </row>
    <row r="40" spans="1:88">
      <c r="A40" s="32">
        <v>2024167</v>
      </c>
      <c r="B40" s="8" t="s">
        <v>61</v>
      </c>
      <c r="C40" s="49">
        <f t="shared" si="25"/>
        <v>4</v>
      </c>
      <c r="D40" s="50">
        <f t="shared" si="26"/>
        <v>4</v>
      </c>
      <c r="E40" s="51">
        <f t="shared" si="7"/>
        <v>1.3333333333333299</v>
      </c>
      <c r="F40" s="52">
        <f>MAX(MID(B40,{1,2,3},1)*1)-MIN(MID(B40,{1,2,3},1)*1)</f>
        <v>2</v>
      </c>
      <c r="G40" s="104">
        <v>0</v>
      </c>
      <c r="H40" s="104">
        <v>1</v>
      </c>
      <c r="I40" s="104">
        <v>2</v>
      </c>
      <c r="J40" s="104">
        <v>3</v>
      </c>
      <c r="K40" s="104">
        <v>4</v>
      </c>
      <c r="L40" s="104">
        <v>5</v>
      </c>
      <c r="M40" s="104">
        <v>6</v>
      </c>
      <c r="N40" s="104">
        <v>7</v>
      </c>
      <c r="O40" s="104">
        <v>8</v>
      </c>
      <c r="P40" s="104">
        <v>9</v>
      </c>
      <c r="Q40" s="53">
        <f t="shared" si="27"/>
        <v>0</v>
      </c>
      <c r="R40" s="53">
        <f t="shared" si="28"/>
        <v>2</v>
      </c>
      <c r="S40" s="53">
        <f t="shared" si="29"/>
        <v>2</v>
      </c>
      <c r="T40" s="101">
        <f t="shared" si="8"/>
        <v>4</v>
      </c>
      <c r="U40" s="15" t="str">
        <f>_xlfn.TEXTJOIN(", ",TRUE,ABS(MID(B40,{1,1,2},1)-MID(B40,{2,3,3},1)))</f>
        <v>0, 2, 2</v>
      </c>
      <c r="V40" s="54">
        <v>0</v>
      </c>
      <c r="W40" s="54">
        <v>1</v>
      </c>
      <c r="X40" s="54">
        <v>2</v>
      </c>
      <c r="Y40" s="54">
        <v>3</v>
      </c>
      <c r="Z40" s="54">
        <v>4</v>
      </c>
      <c r="AA40" s="54">
        <v>5</v>
      </c>
      <c r="AB40" s="54">
        <v>6</v>
      </c>
      <c r="AC40" s="54">
        <v>7</v>
      </c>
      <c r="AD40" s="54">
        <v>8</v>
      </c>
      <c r="AE40" s="54">
        <v>9</v>
      </c>
      <c r="AF40" s="55">
        <v>0</v>
      </c>
      <c r="AG40" s="55">
        <v>1</v>
      </c>
      <c r="AH40" s="55">
        <v>2</v>
      </c>
      <c r="AI40" s="55">
        <v>3</v>
      </c>
      <c r="AJ40" s="55">
        <v>4</v>
      </c>
      <c r="AK40" s="55">
        <v>5</v>
      </c>
      <c r="AL40" s="55">
        <v>6</v>
      </c>
      <c r="AM40" s="55">
        <v>7</v>
      </c>
      <c r="AN40" s="55">
        <v>8</v>
      </c>
      <c r="AO40" s="55">
        <v>9</v>
      </c>
      <c r="AP40" s="105">
        <v>0</v>
      </c>
      <c r="AQ40" s="105">
        <v>1</v>
      </c>
      <c r="AR40" s="105">
        <v>2</v>
      </c>
      <c r="AS40" s="105">
        <v>3</v>
      </c>
      <c r="AT40" s="105">
        <v>4</v>
      </c>
      <c r="AU40" s="105">
        <v>5</v>
      </c>
      <c r="AV40" s="105">
        <v>6</v>
      </c>
      <c r="AW40" s="105">
        <v>7</v>
      </c>
      <c r="AX40" s="105">
        <v>8</v>
      </c>
      <c r="AY40" s="105">
        <v>9</v>
      </c>
      <c r="AZ40" s="56">
        <v>0</v>
      </c>
      <c r="BA40" s="56">
        <v>1</v>
      </c>
      <c r="BB40" s="56">
        <v>2</v>
      </c>
      <c r="BC40" s="56">
        <v>3</v>
      </c>
      <c r="BD40" s="56">
        <v>4</v>
      </c>
      <c r="BE40" s="56">
        <v>5</v>
      </c>
      <c r="BF40" s="56">
        <v>6</v>
      </c>
      <c r="BG40" s="56">
        <v>7</v>
      </c>
      <c r="BH40" s="56">
        <v>8</v>
      </c>
      <c r="BI40" s="56">
        <v>9</v>
      </c>
      <c r="BJ40" s="57" t="str">
        <f t="shared" si="9"/>
        <v>紧凑型</v>
      </c>
      <c r="BK40" s="13">
        <f t="shared" si="5"/>
        <v>0</v>
      </c>
      <c r="BL40" s="13">
        <f t="shared" si="6"/>
        <v>2</v>
      </c>
      <c r="BM40" s="18" t="str">
        <f t="shared" si="11"/>
        <v/>
      </c>
      <c r="BN40" s="19" t="str">
        <f t="shared" si="12"/>
        <v/>
      </c>
      <c r="BO40" s="19" t="str">
        <f t="array" ref="BO40">_xlfn.TEXTJOIN("",TRUE,IF(ISERROR(FIND(ROW($1:$10)-1,BM40&amp;BN40)),ROW($1:$10)-1,""))</f>
        <v>0123456789</v>
      </c>
      <c r="BP40" s="20" t="str">
        <f t="shared" si="13"/>
        <v>中中中</v>
      </c>
      <c r="BQ40" s="21">
        <f t="shared" si="24"/>
        <v>2</v>
      </c>
      <c r="BR40" s="21" t="str">
        <f t="shared" si="22"/>
        <v/>
      </c>
      <c r="BS40" s="21" t="str">
        <f t="array" ref="BS40">_xlfn.TEXTJOIN("",TRUE,IF(ISERROR(FIND(ROW($1:$10)-1,BQ40&amp;BR40)),ROW($1:$10)-1,""))</f>
        <v>013456789</v>
      </c>
      <c r="BT40" s="20" t="str">
        <f t="shared" si="14"/>
        <v>复中中</v>
      </c>
      <c r="BU40" s="22">
        <f t="shared" si="15"/>
        <v>2</v>
      </c>
      <c r="BV40" s="22" t="str">
        <f t="shared" si="23"/>
        <v/>
      </c>
      <c r="BW40" s="22" t="str">
        <f t="array" ref="BW40">_xlfn.TEXTJOIN("",TRUE,IF(ISERROR(FIND(ROW($1:$10)-1,BU40&amp;BV40)),ROW($1:$10)-1,""))</f>
        <v>013456789</v>
      </c>
      <c r="BX40" s="20" t="str">
        <f t="shared" si="16"/>
        <v>复中中</v>
      </c>
      <c r="BY40" s="23" t="str">
        <f t="shared" si="10"/>
        <v>91</v>
      </c>
      <c r="BZ40" s="24" t="str">
        <f t="array" ref="BZ40">_xlfn.TEXTJOIN("",TRUE,IF(ISNUMBER(FIND(MID(BY39&amp;Q39,ROW($1:$4),1),BY40&amp;Q40)),MID(BY39&amp;Q39,ROW($1:$4),1),""))</f>
        <v/>
      </c>
      <c r="CA40" s="25" t="str">
        <f t="array" ref="CA40">_xlfn.TEXTJOIN("",TRUE,IF(ISERROR(FIND(ROW($1:$10)-1,BY40&amp;BZ40)),ROW($1:$10)-1,""))</f>
        <v>02345678</v>
      </c>
      <c r="CB40" s="26" t="str">
        <f t="shared" si="17"/>
        <v>邻孤孤</v>
      </c>
      <c r="CC40" s="27" t="str">
        <f t="shared" si="18"/>
        <v>13</v>
      </c>
      <c r="CD40" s="27" t="str">
        <f t="array" ref="CD40">_xlfn.TEXTJOIN("",TRUE,IF(ISNUMBER(FIND(MID(CC39&amp;R39,ROW($1:$4),1),CC40&amp;R40)),MID(CC39&amp;R39,ROW($1:$4),1),""))</f>
        <v>3</v>
      </c>
      <c r="CE40" s="27" t="str">
        <f t="array" ref="CE40">_xlfn.TEXTJOIN("",TRUE,IF(ISERROR(FIND(ROW($1:$10)-1,CC40&amp;CD40)),ROW($1:$10)-1,""))</f>
        <v>02456789</v>
      </c>
      <c r="CF40" s="17" t="str">
        <f t="shared" si="19"/>
        <v>邻传孤</v>
      </c>
      <c r="CG40" s="22" t="str">
        <f t="shared" si="20"/>
        <v>13</v>
      </c>
      <c r="CH40" s="22" t="str">
        <f t="array" ref="CH40">_xlfn.TEXTJOIN("",TRUE,IF(ISNUMBER(FIND(MID(CG39&amp;S39,ROW($1:$4),1),CG40&amp;S40)),MID(CG39&amp;S39,ROW($1:$4),1),""))</f>
        <v>132</v>
      </c>
      <c r="CI40" s="22" t="str">
        <f t="array" ref="CI40">_xlfn.TEXTJOIN("",TRUE,IF(ISERROR(FIND(ROW($1:$10)-1,CG40&amp;CH40)),ROW($1:$10)-1,""))</f>
        <v>0456789</v>
      </c>
      <c r="CJ40" s="28" t="str">
        <f t="shared" si="21"/>
        <v>邻传孤</v>
      </c>
    </row>
    <row r="41" spans="1:88">
      <c r="A41" s="32">
        <v>2024168</v>
      </c>
      <c r="B41" s="8" t="s">
        <v>62</v>
      </c>
      <c r="C41" s="49">
        <f t="shared" si="25"/>
        <v>14</v>
      </c>
      <c r="D41" s="50">
        <f t="shared" si="26"/>
        <v>4</v>
      </c>
      <c r="E41" s="51">
        <f t="shared" si="7"/>
        <v>4.6666666666666696</v>
      </c>
      <c r="F41" s="52">
        <f>MAX(MID(B41,{1,2,3},1)*1)-MIN(MID(B41,{1,2,3},1)*1)</f>
        <v>5</v>
      </c>
      <c r="G41" s="104">
        <v>0</v>
      </c>
      <c r="H41" s="104">
        <v>1</v>
      </c>
      <c r="I41" s="104">
        <v>2</v>
      </c>
      <c r="J41" s="104">
        <v>3</v>
      </c>
      <c r="K41" s="104">
        <v>4</v>
      </c>
      <c r="L41" s="104">
        <v>5</v>
      </c>
      <c r="M41" s="104">
        <v>6</v>
      </c>
      <c r="N41" s="104">
        <v>7</v>
      </c>
      <c r="O41" s="104">
        <v>8</v>
      </c>
      <c r="P41" s="104">
        <v>9</v>
      </c>
      <c r="Q41" s="53">
        <f t="shared" si="27"/>
        <v>2</v>
      </c>
      <c r="R41" s="53">
        <f t="shared" si="28"/>
        <v>5</v>
      </c>
      <c r="S41" s="53">
        <f t="shared" si="29"/>
        <v>3</v>
      </c>
      <c r="T41" s="101">
        <f t="shared" si="8"/>
        <v>10</v>
      </c>
      <c r="U41" s="15" t="str">
        <f>_xlfn.TEXTJOIN(", ",TRUE,ABS(MID(B41,{1,1,2},1)-MID(B41,{2,3,3},1)))</f>
        <v>2, 5, 3</v>
      </c>
      <c r="V41" s="54">
        <v>0</v>
      </c>
      <c r="W41" s="54">
        <v>1</v>
      </c>
      <c r="X41" s="54">
        <v>2</v>
      </c>
      <c r="Y41" s="54">
        <v>3</v>
      </c>
      <c r="Z41" s="54">
        <v>4</v>
      </c>
      <c r="AA41" s="54">
        <v>5</v>
      </c>
      <c r="AB41" s="54">
        <v>6</v>
      </c>
      <c r="AC41" s="54">
        <v>7</v>
      </c>
      <c r="AD41" s="54">
        <v>8</v>
      </c>
      <c r="AE41" s="54">
        <v>9</v>
      </c>
      <c r="AF41" s="55">
        <v>0</v>
      </c>
      <c r="AG41" s="55">
        <v>1</v>
      </c>
      <c r="AH41" s="55">
        <v>2</v>
      </c>
      <c r="AI41" s="55">
        <v>3</v>
      </c>
      <c r="AJ41" s="55">
        <v>4</v>
      </c>
      <c r="AK41" s="55">
        <v>5</v>
      </c>
      <c r="AL41" s="55">
        <v>6</v>
      </c>
      <c r="AM41" s="55">
        <v>7</v>
      </c>
      <c r="AN41" s="55">
        <v>8</v>
      </c>
      <c r="AO41" s="55">
        <v>9</v>
      </c>
      <c r="AP41" s="105">
        <v>0</v>
      </c>
      <c r="AQ41" s="105">
        <v>1</v>
      </c>
      <c r="AR41" s="105">
        <v>2</v>
      </c>
      <c r="AS41" s="105">
        <v>3</v>
      </c>
      <c r="AT41" s="105">
        <v>4</v>
      </c>
      <c r="AU41" s="105">
        <v>5</v>
      </c>
      <c r="AV41" s="105">
        <v>6</v>
      </c>
      <c r="AW41" s="105">
        <v>7</v>
      </c>
      <c r="AX41" s="105">
        <v>8</v>
      </c>
      <c r="AY41" s="105">
        <v>9</v>
      </c>
      <c r="AZ41" s="56">
        <v>0</v>
      </c>
      <c r="BA41" s="56">
        <v>1</v>
      </c>
      <c r="BB41" s="56">
        <v>2</v>
      </c>
      <c r="BC41" s="56">
        <v>3</v>
      </c>
      <c r="BD41" s="56">
        <v>4</v>
      </c>
      <c r="BE41" s="56">
        <v>5</v>
      </c>
      <c r="BF41" s="56">
        <v>6</v>
      </c>
      <c r="BG41" s="56">
        <v>7</v>
      </c>
      <c r="BH41" s="56">
        <v>8</v>
      </c>
      <c r="BI41" s="56">
        <v>9</v>
      </c>
      <c r="BJ41" s="57" t="str">
        <f t="shared" si="9"/>
        <v>标准型</v>
      </c>
      <c r="BK41" s="13">
        <f t="shared" si="5"/>
        <v>2</v>
      </c>
      <c r="BL41" s="13">
        <f t="shared" si="6"/>
        <v>5</v>
      </c>
      <c r="BM41" s="18">
        <f t="shared" si="11"/>
        <v>2</v>
      </c>
      <c r="BN41" s="19">
        <f t="shared" si="12"/>
        <v>2</v>
      </c>
      <c r="BO41" s="19" t="str">
        <f t="array" ref="BO41">_xlfn.TEXTJOIN("",TRUE,IF(ISERROR(FIND(ROW($1:$10)-1,BM41&amp;BN41)),ROW($1:$10)-1,""))</f>
        <v>013456789</v>
      </c>
      <c r="BP41" s="20" t="str">
        <f t="shared" si="13"/>
        <v>复隔中</v>
      </c>
      <c r="BQ41" s="21" t="str">
        <f t="shared" si="24"/>
        <v/>
      </c>
      <c r="BR41" s="21" t="str">
        <f t="shared" si="22"/>
        <v/>
      </c>
      <c r="BS41" s="21" t="str">
        <f t="array" ref="BS41">_xlfn.TEXTJOIN("",TRUE,IF(ISERROR(FIND(ROW($1:$10)-1,BQ41&amp;BR41)),ROW($1:$10)-1,""))</f>
        <v>0123456789</v>
      </c>
      <c r="BT41" s="20" t="str">
        <f t="shared" si="14"/>
        <v>中中中</v>
      </c>
      <c r="BU41" s="22" t="str">
        <f t="shared" si="15"/>
        <v/>
      </c>
      <c r="BV41" s="22" t="str">
        <f t="shared" si="23"/>
        <v/>
      </c>
      <c r="BW41" s="22" t="str">
        <f t="array" ref="BW41">_xlfn.TEXTJOIN("",TRUE,IF(ISERROR(FIND(ROW($1:$10)-1,BU41&amp;BV41)),ROW($1:$10)-1,""))</f>
        <v>0123456789</v>
      </c>
      <c r="BX41" s="20" t="str">
        <f t="shared" si="16"/>
        <v>中中中</v>
      </c>
      <c r="BY41" s="23" t="str">
        <f t="shared" si="10"/>
        <v>13</v>
      </c>
      <c r="BZ41" s="24" t="str">
        <f t="array" ref="BZ41">_xlfn.TEXTJOIN("",TRUE,IF(ISNUMBER(FIND(MID(BY40&amp;Q40,ROW($1:$4),1),BY41&amp;Q41)),MID(BY40&amp;Q40,ROW($1:$4),1),""))</f>
        <v>1</v>
      </c>
      <c r="CA41" s="25" t="str">
        <f t="array" ref="CA41">_xlfn.TEXTJOIN("",TRUE,IF(ISERROR(FIND(ROW($1:$10)-1,BY41&amp;BZ41)),ROW($1:$10)-1,""))</f>
        <v>02456789</v>
      </c>
      <c r="CB41" s="26" t="str">
        <f t="shared" si="17"/>
        <v>邻传孤</v>
      </c>
      <c r="CC41" s="27" t="str">
        <f t="shared" si="18"/>
        <v>46</v>
      </c>
      <c r="CD41" s="27" t="str">
        <f t="array" ref="CD41">_xlfn.TEXTJOIN("",TRUE,IF(ISNUMBER(FIND(MID(CC40&amp;R40,ROW($1:$4),1),CC41&amp;R41)),MID(CC40&amp;R40,ROW($1:$4),1),""))</f>
        <v/>
      </c>
      <c r="CE41" s="27" t="str">
        <f t="array" ref="CE41">_xlfn.TEXTJOIN("",TRUE,IF(ISERROR(FIND(ROW($1:$10)-1,CC41&amp;CD41)),ROW($1:$10)-1,""))</f>
        <v>01235789</v>
      </c>
      <c r="CF41" s="17" t="str">
        <f t="shared" si="19"/>
        <v>邻孤孤</v>
      </c>
      <c r="CG41" s="22" t="str">
        <f t="shared" si="20"/>
        <v>24</v>
      </c>
      <c r="CH41" s="22" t="str">
        <f t="array" ref="CH41">_xlfn.TEXTJOIN("",TRUE,IF(ISNUMBER(FIND(MID(CG40&amp;S40,ROW($1:$4),1),CG41&amp;S41)),MID(CG40&amp;S40,ROW($1:$4),1),""))</f>
        <v>32</v>
      </c>
      <c r="CI41" s="22" t="str">
        <f t="array" ref="CI41">_xlfn.TEXTJOIN("",TRUE,IF(ISERROR(FIND(ROW($1:$10)-1,CG41&amp;CH41)),ROW($1:$10)-1,""))</f>
        <v>0156789</v>
      </c>
      <c r="CJ41" s="28" t="str">
        <f t="shared" si="21"/>
        <v>邻传孤</v>
      </c>
    </row>
    <row r="42" spans="1:88">
      <c r="A42" s="32">
        <v>2024169</v>
      </c>
      <c r="B42" s="8" t="s">
        <v>63</v>
      </c>
      <c r="C42" s="49">
        <f t="shared" si="25"/>
        <v>6</v>
      </c>
      <c r="D42" s="50">
        <f t="shared" si="26"/>
        <v>6</v>
      </c>
      <c r="E42" s="51">
        <f t="shared" si="7"/>
        <v>2</v>
      </c>
      <c r="F42" s="52">
        <f>MAX(MID(B42,{1,2,3},1)*1)-MIN(MID(B42,{1,2,3},1)*1)</f>
        <v>4</v>
      </c>
      <c r="G42" s="104">
        <v>0</v>
      </c>
      <c r="H42" s="104">
        <v>1</v>
      </c>
      <c r="I42" s="104">
        <v>2</v>
      </c>
      <c r="J42" s="104">
        <v>3</v>
      </c>
      <c r="K42" s="104">
        <v>4</v>
      </c>
      <c r="L42" s="104">
        <v>5</v>
      </c>
      <c r="M42" s="104">
        <v>6</v>
      </c>
      <c r="N42" s="104">
        <v>7</v>
      </c>
      <c r="O42" s="104">
        <v>8</v>
      </c>
      <c r="P42" s="104">
        <v>9</v>
      </c>
      <c r="Q42" s="53">
        <f t="shared" si="27"/>
        <v>4</v>
      </c>
      <c r="R42" s="53">
        <f t="shared" si="28"/>
        <v>2</v>
      </c>
      <c r="S42" s="53">
        <f t="shared" si="29"/>
        <v>2</v>
      </c>
      <c r="T42" s="101">
        <f t="shared" si="8"/>
        <v>8</v>
      </c>
      <c r="U42" s="15" t="str">
        <f>_xlfn.TEXTJOIN(", ",TRUE,ABS(MID(B42,{1,1,2},1)-MID(B42,{2,3,3},1)))</f>
        <v>4, 2, 2</v>
      </c>
      <c r="V42" s="54">
        <v>0</v>
      </c>
      <c r="W42" s="54">
        <v>1</v>
      </c>
      <c r="X42" s="54">
        <v>2</v>
      </c>
      <c r="Y42" s="54">
        <v>3</v>
      </c>
      <c r="Z42" s="54">
        <v>4</v>
      </c>
      <c r="AA42" s="54">
        <v>5</v>
      </c>
      <c r="AB42" s="54">
        <v>6</v>
      </c>
      <c r="AC42" s="54">
        <v>7</v>
      </c>
      <c r="AD42" s="54">
        <v>8</v>
      </c>
      <c r="AE42" s="54">
        <v>9</v>
      </c>
      <c r="AF42" s="55">
        <v>0</v>
      </c>
      <c r="AG42" s="55">
        <v>1</v>
      </c>
      <c r="AH42" s="55">
        <v>2</v>
      </c>
      <c r="AI42" s="55">
        <v>3</v>
      </c>
      <c r="AJ42" s="55">
        <v>4</v>
      </c>
      <c r="AK42" s="55">
        <v>5</v>
      </c>
      <c r="AL42" s="55">
        <v>6</v>
      </c>
      <c r="AM42" s="55">
        <v>7</v>
      </c>
      <c r="AN42" s="55">
        <v>8</v>
      </c>
      <c r="AO42" s="55">
        <v>9</v>
      </c>
      <c r="AP42" s="105">
        <v>0</v>
      </c>
      <c r="AQ42" s="105">
        <v>1</v>
      </c>
      <c r="AR42" s="105">
        <v>2</v>
      </c>
      <c r="AS42" s="105">
        <v>3</v>
      </c>
      <c r="AT42" s="105">
        <v>4</v>
      </c>
      <c r="AU42" s="105">
        <v>5</v>
      </c>
      <c r="AV42" s="105">
        <v>6</v>
      </c>
      <c r="AW42" s="105">
        <v>7</v>
      </c>
      <c r="AX42" s="105">
        <v>8</v>
      </c>
      <c r="AY42" s="105">
        <v>9</v>
      </c>
      <c r="AZ42" s="56">
        <v>0</v>
      </c>
      <c r="BA42" s="56">
        <v>1</v>
      </c>
      <c r="BB42" s="56">
        <v>2</v>
      </c>
      <c r="BC42" s="56">
        <v>3</v>
      </c>
      <c r="BD42" s="56">
        <v>4</v>
      </c>
      <c r="BE42" s="56">
        <v>5</v>
      </c>
      <c r="BF42" s="56">
        <v>6</v>
      </c>
      <c r="BG42" s="56">
        <v>7</v>
      </c>
      <c r="BH42" s="56">
        <v>8</v>
      </c>
      <c r="BI42" s="56">
        <v>9</v>
      </c>
      <c r="BJ42" s="57" t="str">
        <f t="shared" si="9"/>
        <v>标准型</v>
      </c>
      <c r="BK42" s="13">
        <f t="shared" si="5"/>
        <v>2</v>
      </c>
      <c r="BL42" s="13">
        <f t="shared" si="6"/>
        <v>4</v>
      </c>
      <c r="BM42" s="18" t="str">
        <f t="shared" si="11"/>
        <v/>
      </c>
      <c r="BN42" s="19" t="str">
        <f t="shared" si="12"/>
        <v/>
      </c>
      <c r="BO42" s="19" t="str">
        <f t="array" ref="BO42">_xlfn.TEXTJOIN("",TRUE,IF(ISERROR(FIND(ROW($1:$10)-1,BM42&amp;BN42)),ROW($1:$10)-1,""))</f>
        <v>0123456789</v>
      </c>
      <c r="BP42" s="20" t="str">
        <f t="shared" si="13"/>
        <v>中中中</v>
      </c>
      <c r="BQ42" s="21">
        <f t="shared" si="24"/>
        <v>2</v>
      </c>
      <c r="BR42" s="21">
        <f t="shared" si="22"/>
        <v>2</v>
      </c>
      <c r="BS42" s="21" t="str">
        <f t="array" ref="BS42">_xlfn.TEXTJOIN("",TRUE,IF(ISERROR(FIND(ROW($1:$10)-1,BQ42&amp;BR42)),ROW($1:$10)-1,""))</f>
        <v>013456789</v>
      </c>
      <c r="BT42" s="20" t="str">
        <f t="shared" si="14"/>
        <v>复隔中</v>
      </c>
      <c r="BU42" s="22">
        <f t="shared" si="15"/>
        <v>2</v>
      </c>
      <c r="BV42" s="22">
        <f t="shared" si="23"/>
        <v>2</v>
      </c>
      <c r="BW42" s="22" t="str">
        <f t="array" ref="BW42">_xlfn.TEXTJOIN("",TRUE,IF(ISERROR(FIND(ROW($1:$10)-1,BU42&amp;BV42)),ROW($1:$10)-1,""))</f>
        <v>013456789</v>
      </c>
      <c r="BX42" s="20" t="str">
        <f t="shared" si="16"/>
        <v>复隔中</v>
      </c>
      <c r="BY42" s="23" t="str">
        <f t="shared" si="10"/>
        <v>35</v>
      </c>
      <c r="BZ42" s="24" t="str">
        <f t="array" ref="BZ42">_xlfn.TEXTJOIN("",TRUE,IF(ISNUMBER(FIND(MID(BY41&amp;Q41,ROW($1:$4),1),BY42&amp;Q42)),MID(BY41&amp;Q41,ROW($1:$4),1),""))</f>
        <v>3</v>
      </c>
      <c r="CA42" s="25" t="str">
        <f t="array" ref="CA42">_xlfn.TEXTJOIN("",TRUE,IF(ISERROR(FIND(ROW($1:$10)-1,BY42&amp;BZ42)),ROW($1:$10)-1,""))</f>
        <v>01246789</v>
      </c>
      <c r="CB42" s="26" t="str">
        <f t="shared" si="17"/>
        <v>邻传孤</v>
      </c>
      <c r="CC42" s="27" t="str">
        <f t="shared" si="18"/>
        <v>13</v>
      </c>
      <c r="CD42" s="27" t="str">
        <f t="array" ref="CD42">_xlfn.TEXTJOIN("",TRUE,IF(ISNUMBER(FIND(MID(CC41&amp;R41,ROW($1:$4),1),CC42&amp;R42)),MID(CC41&amp;R41,ROW($1:$4),1),""))</f>
        <v/>
      </c>
      <c r="CE42" s="27" t="str">
        <f t="array" ref="CE42">_xlfn.TEXTJOIN("",TRUE,IF(ISERROR(FIND(ROW($1:$10)-1,CC42&amp;CD42)),ROW($1:$10)-1,""))</f>
        <v>02456789</v>
      </c>
      <c r="CF42" s="17" t="str">
        <f t="shared" si="19"/>
        <v>邻孤孤</v>
      </c>
      <c r="CG42" s="22" t="str">
        <f t="shared" si="20"/>
        <v>13</v>
      </c>
      <c r="CH42" s="22" t="str">
        <f t="array" ref="CH42">_xlfn.TEXTJOIN("",TRUE,IF(ISNUMBER(FIND(MID(CG41&amp;S41,ROW($1:$4),1),CG42&amp;S42)),MID(CG41&amp;S41,ROW($1:$4),1),""))</f>
        <v>23</v>
      </c>
      <c r="CI42" s="22" t="str">
        <f t="array" ref="CI42">_xlfn.TEXTJOIN("",TRUE,IF(ISERROR(FIND(ROW($1:$10)-1,CG42&amp;CH42)),ROW($1:$10)-1,""))</f>
        <v>0456789</v>
      </c>
      <c r="CJ42" s="28" t="str">
        <f t="shared" si="21"/>
        <v>邻传孤</v>
      </c>
    </row>
    <row r="43" spans="1:88">
      <c r="A43" s="32">
        <v>2024170</v>
      </c>
      <c r="B43" s="8" t="s">
        <v>42</v>
      </c>
      <c r="C43" s="49">
        <f t="shared" si="25"/>
        <v>9</v>
      </c>
      <c r="D43" s="50">
        <f t="shared" si="26"/>
        <v>9</v>
      </c>
      <c r="E43" s="51">
        <f t="shared" si="7"/>
        <v>3</v>
      </c>
      <c r="F43" s="52">
        <f>MAX(MID(B43,{1,2,3},1)*1)-MIN(MID(B43,{1,2,3},1)*1)</f>
        <v>3</v>
      </c>
      <c r="G43" s="104">
        <v>0</v>
      </c>
      <c r="H43" s="104">
        <v>1</v>
      </c>
      <c r="I43" s="104">
        <v>2</v>
      </c>
      <c r="J43" s="104">
        <v>3</v>
      </c>
      <c r="K43" s="104">
        <v>4</v>
      </c>
      <c r="L43" s="104">
        <v>5</v>
      </c>
      <c r="M43" s="104">
        <v>6</v>
      </c>
      <c r="N43" s="104">
        <v>7</v>
      </c>
      <c r="O43" s="104">
        <v>8</v>
      </c>
      <c r="P43" s="104">
        <v>9</v>
      </c>
      <c r="Q43" s="53">
        <f t="shared" si="27"/>
        <v>0</v>
      </c>
      <c r="R43" s="53">
        <f t="shared" si="28"/>
        <v>3</v>
      </c>
      <c r="S43" s="53">
        <f t="shared" si="29"/>
        <v>3</v>
      </c>
      <c r="T43" s="101">
        <f t="shared" si="8"/>
        <v>6</v>
      </c>
      <c r="U43" s="15" t="str">
        <f>_xlfn.TEXTJOIN(", ",TRUE,ABS(MID(B43,{1,1,2},1)-MID(B43,{2,3,3},1)))</f>
        <v>0, 3, 3</v>
      </c>
      <c r="V43" s="54">
        <v>0</v>
      </c>
      <c r="W43" s="54">
        <v>1</v>
      </c>
      <c r="X43" s="54">
        <v>2</v>
      </c>
      <c r="Y43" s="54">
        <v>3</v>
      </c>
      <c r="Z43" s="54">
        <v>4</v>
      </c>
      <c r="AA43" s="54">
        <v>5</v>
      </c>
      <c r="AB43" s="54">
        <v>6</v>
      </c>
      <c r="AC43" s="54">
        <v>7</v>
      </c>
      <c r="AD43" s="54">
        <v>8</v>
      </c>
      <c r="AE43" s="54">
        <v>9</v>
      </c>
      <c r="AF43" s="55">
        <v>0</v>
      </c>
      <c r="AG43" s="55">
        <v>1</v>
      </c>
      <c r="AH43" s="55">
        <v>2</v>
      </c>
      <c r="AI43" s="55">
        <v>3</v>
      </c>
      <c r="AJ43" s="55">
        <v>4</v>
      </c>
      <c r="AK43" s="55">
        <v>5</v>
      </c>
      <c r="AL43" s="55">
        <v>6</v>
      </c>
      <c r="AM43" s="55">
        <v>7</v>
      </c>
      <c r="AN43" s="55">
        <v>8</v>
      </c>
      <c r="AO43" s="55">
        <v>9</v>
      </c>
      <c r="AP43" s="105">
        <v>0</v>
      </c>
      <c r="AQ43" s="105">
        <v>1</v>
      </c>
      <c r="AR43" s="105">
        <v>2</v>
      </c>
      <c r="AS43" s="105">
        <v>3</v>
      </c>
      <c r="AT43" s="105">
        <v>4</v>
      </c>
      <c r="AU43" s="105">
        <v>5</v>
      </c>
      <c r="AV43" s="105">
        <v>6</v>
      </c>
      <c r="AW43" s="105">
        <v>7</v>
      </c>
      <c r="AX43" s="105">
        <v>8</v>
      </c>
      <c r="AY43" s="105">
        <v>9</v>
      </c>
      <c r="AZ43" s="56">
        <v>0</v>
      </c>
      <c r="BA43" s="56">
        <v>1</v>
      </c>
      <c r="BB43" s="56">
        <v>2</v>
      </c>
      <c r="BC43" s="56">
        <v>3</v>
      </c>
      <c r="BD43" s="56">
        <v>4</v>
      </c>
      <c r="BE43" s="56">
        <v>5</v>
      </c>
      <c r="BF43" s="56">
        <v>6</v>
      </c>
      <c r="BG43" s="56">
        <v>7</v>
      </c>
      <c r="BH43" s="56">
        <v>8</v>
      </c>
      <c r="BI43" s="56">
        <v>9</v>
      </c>
      <c r="BJ43" s="57" t="str">
        <f t="shared" si="9"/>
        <v>紧凑型</v>
      </c>
      <c r="BK43" s="13">
        <f t="shared" si="5"/>
        <v>0</v>
      </c>
      <c r="BL43" s="13">
        <f t="shared" si="6"/>
        <v>3</v>
      </c>
      <c r="BM43" s="18" t="str">
        <f t="shared" si="11"/>
        <v/>
      </c>
      <c r="BN43" s="19" t="str">
        <f t="shared" si="12"/>
        <v/>
      </c>
      <c r="BO43" s="19" t="str">
        <f t="array" ref="BO43">_xlfn.TEXTJOIN("",TRUE,IF(ISERROR(FIND(ROW($1:$10)-1,BM43&amp;BN43)),ROW($1:$10)-1,""))</f>
        <v>0123456789</v>
      </c>
      <c r="BP43" s="20" t="str">
        <f t="shared" si="13"/>
        <v>中中中</v>
      </c>
      <c r="BQ43" s="21" t="str">
        <f t="shared" si="24"/>
        <v/>
      </c>
      <c r="BR43" s="21">
        <f t="shared" si="22"/>
        <v>3</v>
      </c>
      <c r="BS43" s="21" t="str">
        <f t="array" ref="BS43">_xlfn.TEXTJOIN("",TRUE,IF(ISERROR(FIND(ROW($1:$10)-1,BQ43&amp;BR43)),ROW($1:$10)-1,""))</f>
        <v>012456789</v>
      </c>
      <c r="BT43" s="20" t="str">
        <f t="shared" si="14"/>
        <v>中隔中</v>
      </c>
      <c r="BU43" s="22" t="str">
        <f t="shared" si="15"/>
        <v/>
      </c>
      <c r="BV43" s="22">
        <f t="shared" si="23"/>
        <v>3</v>
      </c>
      <c r="BW43" s="22" t="str">
        <f t="array" ref="BW43">_xlfn.TEXTJOIN("",TRUE,IF(ISERROR(FIND(ROW($1:$10)-1,BU43&amp;BV43)),ROW($1:$10)-1,""))</f>
        <v>012456789</v>
      </c>
      <c r="BX43" s="20" t="str">
        <f t="shared" si="16"/>
        <v>中隔中</v>
      </c>
      <c r="BY43" s="23" t="str">
        <f t="shared" si="10"/>
        <v>91</v>
      </c>
      <c r="BZ43" s="24" t="str">
        <f t="array" ref="BZ43">_xlfn.TEXTJOIN("",TRUE,IF(ISNUMBER(FIND(MID(BY42&amp;Q42,ROW($1:$4),1),BY43&amp;Q43)),MID(BY42&amp;Q42,ROW($1:$4),1),""))</f>
        <v/>
      </c>
      <c r="CA43" s="25" t="str">
        <f t="array" ref="CA43">_xlfn.TEXTJOIN("",TRUE,IF(ISERROR(FIND(ROW($1:$10)-1,BY43&amp;BZ43)),ROW($1:$10)-1,""))</f>
        <v>02345678</v>
      </c>
      <c r="CB43" s="26" t="str">
        <f t="shared" si="17"/>
        <v>邻孤孤</v>
      </c>
      <c r="CC43" s="27" t="str">
        <f t="shared" si="18"/>
        <v>24</v>
      </c>
      <c r="CD43" s="27" t="str">
        <f t="array" ref="CD43">_xlfn.TEXTJOIN("",TRUE,IF(ISNUMBER(FIND(MID(CC42&amp;R42,ROW($1:$4),1),CC43&amp;R43)),MID(CC42&amp;R42,ROW($1:$4),1),""))</f>
        <v>32</v>
      </c>
      <c r="CE43" s="27" t="str">
        <f t="array" ref="CE43">_xlfn.TEXTJOIN("",TRUE,IF(ISERROR(FIND(ROW($1:$10)-1,CC43&amp;CD43)),ROW($1:$10)-1,""))</f>
        <v>0156789</v>
      </c>
      <c r="CF43" s="17" t="str">
        <f t="shared" si="19"/>
        <v>邻传孤</v>
      </c>
      <c r="CG43" s="22" t="str">
        <f t="shared" si="20"/>
        <v>24</v>
      </c>
      <c r="CH43" s="22" t="str">
        <f t="array" ref="CH43">_xlfn.TEXTJOIN("",TRUE,IF(ISNUMBER(FIND(MID(CG42&amp;S42,ROW($1:$4),1),CG43&amp;S43)),MID(CG42&amp;S42,ROW($1:$4),1),""))</f>
        <v>32</v>
      </c>
      <c r="CI43" s="22" t="str">
        <f t="array" ref="CI43">_xlfn.TEXTJOIN("",TRUE,IF(ISERROR(FIND(ROW($1:$10)-1,CG43&amp;CH43)),ROW($1:$10)-1,""))</f>
        <v>0156789</v>
      </c>
      <c r="CJ43" s="28" t="str">
        <f t="shared" si="21"/>
        <v>邻传孤</v>
      </c>
    </row>
    <row r="44" spans="1:88">
      <c r="A44" s="32">
        <v>2024171</v>
      </c>
      <c r="B44" s="8" t="s">
        <v>64</v>
      </c>
      <c r="C44" s="49">
        <f t="shared" si="25"/>
        <v>12</v>
      </c>
      <c r="D44" s="50">
        <f t="shared" si="26"/>
        <v>2</v>
      </c>
      <c r="E44" s="51">
        <f t="shared" si="7"/>
        <v>4</v>
      </c>
      <c r="F44" s="52">
        <f>MAX(MID(B44,{1,2,3},1)*1)-MIN(MID(B44,{1,2,3},1)*1)</f>
        <v>8</v>
      </c>
      <c r="G44" s="104">
        <v>0</v>
      </c>
      <c r="H44" s="104">
        <v>1</v>
      </c>
      <c r="I44" s="104">
        <v>2</v>
      </c>
      <c r="J44" s="104">
        <v>3</v>
      </c>
      <c r="K44" s="104">
        <v>4</v>
      </c>
      <c r="L44" s="104">
        <v>5</v>
      </c>
      <c r="M44" s="104">
        <v>6</v>
      </c>
      <c r="N44" s="104">
        <v>7</v>
      </c>
      <c r="O44" s="104">
        <v>8</v>
      </c>
      <c r="P44" s="104">
        <v>9</v>
      </c>
      <c r="Q44" s="53">
        <f t="shared" si="27"/>
        <v>4</v>
      </c>
      <c r="R44" s="53">
        <f t="shared" si="28"/>
        <v>4</v>
      </c>
      <c r="S44" s="53">
        <f t="shared" si="29"/>
        <v>8</v>
      </c>
      <c r="T44" s="101">
        <f t="shared" si="8"/>
        <v>16</v>
      </c>
      <c r="U44" s="15" t="str">
        <f>_xlfn.TEXTJOIN(", ",TRUE,ABS(MID(B44,{1,1,2},1)-MID(B44,{2,3,3},1)))</f>
        <v>4, 4, 8</v>
      </c>
      <c r="V44" s="54">
        <v>0</v>
      </c>
      <c r="W44" s="54">
        <v>1</v>
      </c>
      <c r="X44" s="54">
        <v>2</v>
      </c>
      <c r="Y44" s="54">
        <v>3</v>
      </c>
      <c r="Z44" s="54">
        <v>4</v>
      </c>
      <c r="AA44" s="54">
        <v>5</v>
      </c>
      <c r="AB44" s="54">
        <v>6</v>
      </c>
      <c r="AC44" s="54">
        <v>7</v>
      </c>
      <c r="AD44" s="54">
        <v>8</v>
      </c>
      <c r="AE44" s="54">
        <v>9</v>
      </c>
      <c r="AF44" s="55">
        <v>0</v>
      </c>
      <c r="AG44" s="55">
        <v>1</v>
      </c>
      <c r="AH44" s="55">
        <v>2</v>
      </c>
      <c r="AI44" s="55">
        <v>3</v>
      </c>
      <c r="AJ44" s="55">
        <v>4</v>
      </c>
      <c r="AK44" s="55">
        <v>5</v>
      </c>
      <c r="AL44" s="55">
        <v>6</v>
      </c>
      <c r="AM44" s="55">
        <v>7</v>
      </c>
      <c r="AN44" s="55">
        <v>8</v>
      </c>
      <c r="AO44" s="55">
        <v>9</v>
      </c>
      <c r="AP44" s="105">
        <v>0</v>
      </c>
      <c r="AQ44" s="105">
        <v>1</v>
      </c>
      <c r="AR44" s="105">
        <v>2</v>
      </c>
      <c r="AS44" s="105">
        <v>3</v>
      </c>
      <c r="AT44" s="105">
        <v>4</v>
      </c>
      <c r="AU44" s="105">
        <v>5</v>
      </c>
      <c r="AV44" s="105">
        <v>6</v>
      </c>
      <c r="AW44" s="105">
        <v>7</v>
      </c>
      <c r="AX44" s="105">
        <v>8</v>
      </c>
      <c r="AY44" s="105">
        <v>9</v>
      </c>
      <c r="AZ44" s="56">
        <v>0</v>
      </c>
      <c r="BA44" s="56">
        <v>1</v>
      </c>
      <c r="BB44" s="56">
        <v>2</v>
      </c>
      <c r="BC44" s="56">
        <v>3</v>
      </c>
      <c r="BD44" s="56">
        <v>4</v>
      </c>
      <c r="BE44" s="56">
        <v>5</v>
      </c>
      <c r="BF44" s="56">
        <v>6</v>
      </c>
      <c r="BG44" s="56">
        <v>7</v>
      </c>
      <c r="BH44" s="56">
        <v>8</v>
      </c>
      <c r="BI44" s="56">
        <v>9</v>
      </c>
      <c r="BJ44" s="57" t="str">
        <f t="shared" si="9"/>
        <v>松散型</v>
      </c>
      <c r="BK44" s="13">
        <f t="shared" si="5"/>
        <v>4</v>
      </c>
      <c r="BL44" s="13">
        <f t="shared" si="6"/>
        <v>8</v>
      </c>
      <c r="BM44" s="18" t="str">
        <f t="shared" si="11"/>
        <v/>
      </c>
      <c r="BN44" s="19">
        <f t="shared" si="12"/>
        <v>4</v>
      </c>
      <c r="BO44" s="19" t="str">
        <f t="array" ref="BO44">_xlfn.TEXTJOIN("",TRUE,IF(ISERROR(FIND(ROW($1:$10)-1,BM44&amp;BN44)),ROW($1:$10)-1,""))</f>
        <v>012356789</v>
      </c>
      <c r="BP44" s="20" t="str">
        <f t="shared" si="13"/>
        <v>中隔中</v>
      </c>
      <c r="BQ44" s="21" t="str">
        <f t="shared" si="24"/>
        <v/>
      </c>
      <c r="BR44" s="21">
        <f t="shared" si="22"/>
        <v>4</v>
      </c>
      <c r="BS44" s="21" t="str">
        <f t="array" ref="BS44">_xlfn.TEXTJOIN("",TRUE,IF(ISERROR(FIND(ROW($1:$10)-1,BQ44&amp;BR44)),ROW($1:$10)-1,""))</f>
        <v>012356789</v>
      </c>
      <c r="BT44" s="20" t="str">
        <f t="shared" si="14"/>
        <v>中隔中</v>
      </c>
      <c r="BU44" s="22" t="str">
        <f t="shared" si="15"/>
        <v/>
      </c>
      <c r="BV44" s="22" t="str">
        <f t="shared" si="23"/>
        <v/>
      </c>
      <c r="BW44" s="22" t="str">
        <f t="array" ref="BW44">_xlfn.TEXTJOIN("",TRUE,IF(ISERROR(FIND(ROW($1:$10)-1,BU44&amp;BV44)),ROW($1:$10)-1,""))</f>
        <v>0123456789</v>
      </c>
      <c r="BX44" s="20" t="str">
        <f t="shared" si="16"/>
        <v>中中中</v>
      </c>
      <c r="BY44" s="23" t="str">
        <f t="shared" si="10"/>
        <v>35</v>
      </c>
      <c r="BZ44" s="24" t="str">
        <f t="array" ref="BZ44">_xlfn.TEXTJOIN("",TRUE,IF(ISNUMBER(FIND(MID(BY43&amp;Q43,ROW($1:$4),1),BY44&amp;Q44)),MID(BY43&amp;Q43,ROW($1:$4),1),""))</f>
        <v/>
      </c>
      <c r="CA44" s="25" t="str">
        <f t="array" ref="CA44">_xlfn.TEXTJOIN("",TRUE,IF(ISERROR(FIND(ROW($1:$10)-1,BY44&amp;BZ44)),ROW($1:$10)-1,""))</f>
        <v>01246789</v>
      </c>
      <c r="CB44" s="26" t="str">
        <f t="shared" si="17"/>
        <v>邻孤孤</v>
      </c>
      <c r="CC44" s="27" t="str">
        <f t="shared" si="18"/>
        <v>35</v>
      </c>
      <c r="CD44" s="27" t="str">
        <f t="array" ref="CD44">_xlfn.TEXTJOIN("",TRUE,IF(ISNUMBER(FIND(MID(CC43&amp;R43,ROW($1:$4),1),CC44&amp;R44)),MID(CC43&amp;R43,ROW($1:$4),1),""))</f>
        <v>43</v>
      </c>
      <c r="CE44" s="27" t="str">
        <f t="array" ref="CE44">_xlfn.TEXTJOIN("",TRUE,IF(ISERROR(FIND(ROW($1:$10)-1,CC44&amp;CD44)),ROW($1:$10)-1,""))</f>
        <v>0126789</v>
      </c>
      <c r="CF44" s="17" t="str">
        <f t="shared" si="19"/>
        <v>邻传孤</v>
      </c>
      <c r="CG44" s="22" t="str">
        <f t="shared" si="20"/>
        <v>79</v>
      </c>
      <c r="CH44" s="22" t="str">
        <f t="array" ref="CH44">_xlfn.TEXTJOIN("",TRUE,IF(ISNUMBER(FIND(MID(CG43&amp;S43,ROW($1:$4),1),CG44&amp;S44)),MID(CG43&amp;S43,ROW($1:$4),1),""))</f>
        <v/>
      </c>
      <c r="CI44" s="22" t="str">
        <f t="array" ref="CI44">_xlfn.TEXTJOIN("",TRUE,IF(ISERROR(FIND(ROW($1:$10)-1,CG44&amp;CH44)),ROW($1:$10)-1,""))</f>
        <v>01234568</v>
      </c>
      <c r="CJ44" s="28" t="str">
        <f t="shared" si="21"/>
        <v>邻孤孤</v>
      </c>
    </row>
    <row r="45" spans="1:88">
      <c r="A45" s="32">
        <v>2024172</v>
      </c>
      <c r="B45" s="8" t="s">
        <v>65</v>
      </c>
      <c r="C45" s="49">
        <f t="shared" si="25"/>
        <v>17</v>
      </c>
      <c r="D45" s="50">
        <f t="shared" si="26"/>
        <v>7</v>
      </c>
      <c r="E45" s="51">
        <f t="shared" si="7"/>
        <v>5.6666666666666696</v>
      </c>
      <c r="F45" s="52">
        <f>MAX(MID(B45,{1,2,3},1)*1)-MIN(MID(B45,{1,2,3},1)*1)</f>
        <v>9</v>
      </c>
      <c r="G45" s="104">
        <v>0</v>
      </c>
      <c r="H45" s="104">
        <v>1</v>
      </c>
      <c r="I45" s="104">
        <v>2</v>
      </c>
      <c r="J45" s="104">
        <v>3</v>
      </c>
      <c r="K45" s="104">
        <v>4</v>
      </c>
      <c r="L45" s="104">
        <v>5</v>
      </c>
      <c r="M45" s="104">
        <v>6</v>
      </c>
      <c r="N45" s="104">
        <v>7</v>
      </c>
      <c r="O45" s="104">
        <v>8</v>
      </c>
      <c r="P45" s="104">
        <v>9</v>
      </c>
      <c r="Q45" s="53">
        <f t="shared" si="27"/>
        <v>9</v>
      </c>
      <c r="R45" s="53">
        <f t="shared" si="28"/>
        <v>1</v>
      </c>
      <c r="S45" s="53">
        <f t="shared" si="29"/>
        <v>8</v>
      </c>
      <c r="T45" s="101">
        <f t="shared" si="8"/>
        <v>18</v>
      </c>
      <c r="U45" s="15" t="str">
        <f>_xlfn.TEXTJOIN(", ",TRUE,ABS(MID(B45,{1,1,2},1)-MID(B45,{2,3,3},1)))</f>
        <v>9, 1, 8</v>
      </c>
      <c r="V45" s="54">
        <v>0</v>
      </c>
      <c r="W45" s="54">
        <v>1</v>
      </c>
      <c r="X45" s="54">
        <v>2</v>
      </c>
      <c r="Y45" s="54">
        <v>3</v>
      </c>
      <c r="Z45" s="54">
        <v>4</v>
      </c>
      <c r="AA45" s="54">
        <v>5</v>
      </c>
      <c r="AB45" s="54">
        <v>6</v>
      </c>
      <c r="AC45" s="54">
        <v>7</v>
      </c>
      <c r="AD45" s="54">
        <v>8</v>
      </c>
      <c r="AE45" s="54">
        <v>9</v>
      </c>
      <c r="AF45" s="55">
        <v>0</v>
      </c>
      <c r="AG45" s="55">
        <v>1</v>
      </c>
      <c r="AH45" s="55">
        <v>2</v>
      </c>
      <c r="AI45" s="55">
        <v>3</v>
      </c>
      <c r="AJ45" s="55">
        <v>4</v>
      </c>
      <c r="AK45" s="55">
        <v>5</v>
      </c>
      <c r="AL45" s="55">
        <v>6</v>
      </c>
      <c r="AM45" s="55">
        <v>7</v>
      </c>
      <c r="AN45" s="55">
        <v>8</v>
      </c>
      <c r="AO45" s="55">
        <v>9</v>
      </c>
      <c r="AP45" s="105">
        <v>0</v>
      </c>
      <c r="AQ45" s="105">
        <v>1</v>
      </c>
      <c r="AR45" s="105">
        <v>2</v>
      </c>
      <c r="AS45" s="105">
        <v>3</v>
      </c>
      <c r="AT45" s="105">
        <v>4</v>
      </c>
      <c r="AU45" s="105">
        <v>5</v>
      </c>
      <c r="AV45" s="105">
        <v>6</v>
      </c>
      <c r="AW45" s="105">
        <v>7</v>
      </c>
      <c r="AX45" s="105">
        <v>8</v>
      </c>
      <c r="AY45" s="105">
        <v>9</v>
      </c>
      <c r="AZ45" s="56">
        <v>0</v>
      </c>
      <c r="BA45" s="56">
        <v>1</v>
      </c>
      <c r="BB45" s="56">
        <v>2</v>
      </c>
      <c r="BC45" s="56">
        <v>3</v>
      </c>
      <c r="BD45" s="56">
        <v>4</v>
      </c>
      <c r="BE45" s="56">
        <v>5</v>
      </c>
      <c r="BF45" s="56">
        <v>6</v>
      </c>
      <c r="BG45" s="56">
        <v>7</v>
      </c>
      <c r="BH45" s="56">
        <v>8</v>
      </c>
      <c r="BI45" s="56">
        <v>9</v>
      </c>
      <c r="BJ45" s="57" t="str">
        <f t="shared" si="9"/>
        <v>松散型</v>
      </c>
      <c r="BK45" s="13">
        <f t="shared" si="5"/>
        <v>1</v>
      </c>
      <c r="BL45" s="13">
        <f t="shared" si="6"/>
        <v>9</v>
      </c>
      <c r="BM45" s="18" t="str">
        <f t="shared" si="11"/>
        <v/>
      </c>
      <c r="BN45" s="19" t="str">
        <f t="shared" si="12"/>
        <v/>
      </c>
      <c r="BO45" s="19" t="str">
        <f t="array" ref="BO45">_xlfn.TEXTJOIN("",TRUE,IF(ISERROR(FIND(ROW($1:$10)-1,BM45&amp;BN45)),ROW($1:$10)-1,""))</f>
        <v>0123456789</v>
      </c>
      <c r="BP45" s="20" t="str">
        <f t="shared" si="13"/>
        <v>中中中</v>
      </c>
      <c r="BQ45" s="21" t="str">
        <f t="shared" si="24"/>
        <v/>
      </c>
      <c r="BR45" s="21" t="str">
        <f t="shared" si="22"/>
        <v/>
      </c>
      <c r="BS45" s="21" t="str">
        <f t="array" ref="BS45">_xlfn.TEXTJOIN("",TRUE,IF(ISERROR(FIND(ROW($1:$10)-1,BQ45&amp;BR45)),ROW($1:$10)-1,""))</f>
        <v>0123456789</v>
      </c>
      <c r="BT45" s="20" t="str">
        <f t="shared" si="14"/>
        <v>中中中</v>
      </c>
      <c r="BU45" s="22">
        <f t="shared" si="15"/>
        <v>8</v>
      </c>
      <c r="BV45" s="22" t="str">
        <f t="shared" si="23"/>
        <v/>
      </c>
      <c r="BW45" s="22" t="str">
        <f t="array" ref="BW45">_xlfn.TEXTJOIN("",TRUE,IF(ISERROR(FIND(ROW($1:$10)-1,BU45&amp;BV45)),ROW($1:$10)-1,""))</f>
        <v>012345679</v>
      </c>
      <c r="BX45" s="20" t="str">
        <f t="shared" si="16"/>
        <v>复中中</v>
      </c>
      <c r="BY45" s="23" t="str">
        <f t="shared" si="10"/>
        <v>80</v>
      </c>
      <c r="BZ45" s="24" t="str">
        <f t="array" ref="BZ45">_xlfn.TEXTJOIN("",TRUE,IF(ISNUMBER(FIND(MID(BY44&amp;Q44,ROW($1:$4),1),BY45&amp;Q45)),MID(BY44&amp;Q44,ROW($1:$4),1),""))</f>
        <v/>
      </c>
      <c r="CA45" s="25" t="str">
        <f t="array" ref="CA45">_xlfn.TEXTJOIN("",TRUE,IF(ISERROR(FIND(ROW($1:$10)-1,BY45&amp;BZ45)),ROW($1:$10)-1,""))</f>
        <v>12345679</v>
      </c>
      <c r="CB45" s="26" t="str">
        <f t="shared" si="17"/>
        <v>邻孤孤</v>
      </c>
      <c r="CC45" s="27" t="str">
        <f t="shared" si="18"/>
        <v>02</v>
      </c>
      <c r="CD45" s="27" t="str">
        <f t="array" ref="CD45">_xlfn.TEXTJOIN("",TRUE,IF(ISNUMBER(FIND(MID(CC44&amp;R44,ROW($1:$4),1),CC45&amp;R45)),MID(CC44&amp;R44,ROW($1:$4),1),""))</f>
        <v/>
      </c>
      <c r="CE45" s="27" t="str">
        <f t="array" ref="CE45">_xlfn.TEXTJOIN("",TRUE,IF(ISERROR(FIND(ROW($1:$10)-1,CC45&amp;CD45)),ROW($1:$10)-1,""))</f>
        <v>13456789</v>
      </c>
      <c r="CF45" s="17" t="str">
        <f t="shared" si="19"/>
        <v>邻孤孤</v>
      </c>
      <c r="CG45" s="22" t="str">
        <f t="shared" si="20"/>
        <v>79</v>
      </c>
      <c r="CH45" s="22" t="str">
        <f t="array" ref="CH45">_xlfn.TEXTJOIN("",TRUE,IF(ISNUMBER(FIND(MID(CG44&amp;S44,ROW($1:$4),1),CG45&amp;S45)),MID(CG44&amp;S44,ROW($1:$4),1),""))</f>
        <v>798</v>
      </c>
      <c r="CI45" s="22" t="str">
        <f t="array" ref="CI45">_xlfn.TEXTJOIN("",TRUE,IF(ISERROR(FIND(ROW($1:$10)-1,CG45&amp;CH45)),ROW($1:$10)-1,""))</f>
        <v>0123456</v>
      </c>
      <c r="CJ45" s="28" t="str">
        <f t="shared" si="21"/>
        <v>邻传孤</v>
      </c>
    </row>
    <row r="46" spans="1:88">
      <c r="A46" s="32">
        <v>2024173</v>
      </c>
      <c r="B46" s="8" t="s">
        <v>66</v>
      </c>
      <c r="C46" s="49">
        <f t="shared" si="25"/>
        <v>17</v>
      </c>
      <c r="D46" s="50">
        <f t="shared" si="26"/>
        <v>7</v>
      </c>
      <c r="E46" s="51">
        <f t="shared" si="7"/>
        <v>5.6666666666666696</v>
      </c>
      <c r="F46" s="52">
        <f>MAX(MID(B46,{1,2,3},1)*1)-MIN(MID(B46,{1,2,3},1)*1)</f>
        <v>5</v>
      </c>
      <c r="G46" s="104">
        <v>0</v>
      </c>
      <c r="H46" s="104">
        <v>1</v>
      </c>
      <c r="I46" s="104">
        <v>2</v>
      </c>
      <c r="J46" s="104">
        <v>3</v>
      </c>
      <c r="K46" s="104">
        <v>4</v>
      </c>
      <c r="L46" s="104">
        <v>5</v>
      </c>
      <c r="M46" s="104">
        <v>6</v>
      </c>
      <c r="N46" s="104">
        <v>7</v>
      </c>
      <c r="O46" s="104">
        <v>8</v>
      </c>
      <c r="P46" s="104">
        <v>9</v>
      </c>
      <c r="Q46" s="53">
        <f t="shared" si="27"/>
        <v>0</v>
      </c>
      <c r="R46" s="53">
        <f t="shared" si="28"/>
        <v>5</v>
      </c>
      <c r="S46" s="53">
        <f t="shared" si="29"/>
        <v>5</v>
      </c>
      <c r="T46" s="101">
        <f t="shared" si="8"/>
        <v>10</v>
      </c>
      <c r="U46" s="15" t="str">
        <f>_xlfn.TEXTJOIN(", ",TRUE,ABS(MID(B46,{1,1,2},1)-MID(B46,{2,3,3},1)))</f>
        <v>0, 5, 5</v>
      </c>
      <c r="V46" s="54">
        <v>0</v>
      </c>
      <c r="W46" s="54">
        <v>1</v>
      </c>
      <c r="X46" s="54">
        <v>2</v>
      </c>
      <c r="Y46" s="54">
        <v>3</v>
      </c>
      <c r="Z46" s="54">
        <v>4</v>
      </c>
      <c r="AA46" s="54">
        <v>5</v>
      </c>
      <c r="AB46" s="54">
        <v>6</v>
      </c>
      <c r="AC46" s="54">
        <v>7</v>
      </c>
      <c r="AD46" s="54">
        <v>8</v>
      </c>
      <c r="AE46" s="54">
        <v>9</v>
      </c>
      <c r="AF46" s="55">
        <v>0</v>
      </c>
      <c r="AG46" s="55">
        <v>1</v>
      </c>
      <c r="AH46" s="55">
        <v>2</v>
      </c>
      <c r="AI46" s="55">
        <v>3</v>
      </c>
      <c r="AJ46" s="55">
        <v>4</v>
      </c>
      <c r="AK46" s="55">
        <v>5</v>
      </c>
      <c r="AL46" s="55">
        <v>6</v>
      </c>
      <c r="AM46" s="55">
        <v>7</v>
      </c>
      <c r="AN46" s="55">
        <v>8</v>
      </c>
      <c r="AO46" s="55">
        <v>9</v>
      </c>
      <c r="AP46" s="105">
        <v>0</v>
      </c>
      <c r="AQ46" s="105">
        <v>1</v>
      </c>
      <c r="AR46" s="105">
        <v>2</v>
      </c>
      <c r="AS46" s="105">
        <v>3</v>
      </c>
      <c r="AT46" s="105">
        <v>4</v>
      </c>
      <c r="AU46" s="105">
        <v>5</v>
      </c>
      <c r="AV46" s="105">
        <v>6</v>
      </c>
      <c r="AW46" s="105">
        <v>7</v>
      </c>
      <c r="AX46" s="105">
        <v>8</v>
      </c>
      <c r="AY46" s="105">
        <v>9</v>
      </c>
      <c r="AZ46" s="56">
        <v>0</v>
      </c>
      <c r="BA46" s="56">
        <v>1</v>
      </c>
      <c r="BB46" s="56">
        <v>2</v>
      </c>
      <c r="BC46" s="56">
        <v>3</v>
      </c>
      <c r="BD46" s="56">
        <v>4</v>
      </c>
      <c r="BE46" s="56">
        <v>5</v>
      </c>
      <c r="BF46" s="56">
        <v>6</v>
      </c>
      <c r="BG46" s="56">
        <v>7</v>
      </c>
      <c r="BH46" s="56">
        <v>8</v>
      </c>
      <c r="BI46" s="56">
        <v>9</v>
      </c>
      <c r="BJ46" s="57" t="str">
        <f t="shared" si="9"/>
        <v>对子</v>
      </c>
      <c r="BK46" s="13">
        <f t="shared" si="5"/>
        <v>0</v>
      </c>
      <c r="BL46" s="13">
        <f t="shared" si="6"/>
        <v>5</v>
      </c>
      <c r="BM46" s="18" t="str">
        <f t="shared" si="11"/>
        <v/>
      </c>
      <c r="BN46" s="19" t="str">
        <f t="shared" si="12"/>
        <v/>
      </c>
      <c r="BO46" s="19" t="str">
        <f t="array" ref="BO46">_xlfn.TEXTJOIN("",TRUE,IF(ISERROR(FIND(ROW($1:$10)-1,BM46&amp;BN46)),ROW($1:$10)-1,""))</f>
        <v>0123456789</v>
      </c>
      <c r="BP46" s="20" t="str">
        <f t="shared" si="13"/>
        <v>中中中</v>
      </c>
      <c r="BQ46" s="21" t="str">
        <f t="shared" si="24"/>
        <v/>
      </c>
      <c r="BR46" s="21" t="str">
        <f t="shared" si="22"/>
        <v/>
      </c>
      <c r="BS46" s="21" t="str">
        <f t="array" ref="BS46">_xlfn.TEXTJOIN("",TRUE,IF(ISERROR(FIND(ROW($1:$10)-1,BQ46&amp;BR46)),ROW($1:$10)-1,""))</f>
        <v>0123456789</v>
      </c>
      <c r="BT46" s="20" t="str">
        <f t="shared" si="14"/>
        <v>中中中</v>
      </c>
      <c r="BU46" s="22" t="str">
        <f t="shared" si="15"/>
        <v/>
      </c>
      <c r="BV46" s="22" t="str">
        <f t="shared" si="23"/>
        <v/>
      </c>
      <c r="BW46" s="22" t="str">
        <f t="array" ref="BW46">_xlfn.TEXTJOIN("",TRUE,IF(ISERROR(FIND(ROW($1:$10)-1,BU46&amp;BV46)),ROW($1:$10)-1,""))</f>
        <v>0123456789</v>
      </c>
      <c r="BX46" s="20" t="str">
        <f t="shared" si="16"/>
        <v>中中中</v>
      </c>
      <c r="BY46" s="23" t="str">
        <f t="shared" si="10"/>
        <v>91</v>
      </c>
      <c r="BZ46" s="24" t="str">
        <f t="array" ref="BZ46">_xlfn.TEXTJOIN("",TRUE,IF(ISNUMBER(FIND(MID(BY45&amp;Q45,ROW($1:$4),1),BY46&amp;Q46)),MID(BY45&amp;Q45,ROW($1:$4),1),""))</f>
        <v>09</v>
      </c>
      <c r="CA46" s="25" t="str">
        <f t="array" ref="CA46">_xlfn.TEXTJOIN("",TRUE,IF(ISERROR(FIND(ROW($1:$10)-1,BY46&amp;BZ46)),ROW($1:$10)-1,""))</f>
        <v>2345678</v>
      </c>
      <c r="CB46" s="26" t="str">
        <f t="shared" si="17"/>
        <v>邻传孤</v>
      </c>
      <c r="CC46" s="27" t="str">
        <f t="shared" si="18"/>
        <v>46</v>
      </c>
      <c r="CD46" s="27" t="str">
        <f t="array" ref="CD46">_xlfn.TEXTJOIN("",TRUE,IF(ISNUMBER(FIND(MID(CC45&amp;R45,ROW($1:$4),1),CC46&amp;R46)),MID(CC45&amp;R45,ROW($1:$4),1),""))</f>
        <v/>
      </c>
      <c r="CE46" s="27" t="str">
        <f t="array" ref="CE46">_xlfn.TEXTJOIN("",TRUE,IF(ISERROR(FIND(ROW($1:$10)-1,CC46&amp;CD46)),ROW($1:$10)-1,""))</f>
        <v>01235789</v>
      </c>
      <c r="CF46" s="17" t="str">
        <f t="shared" si="19"/>
        <v>邻孤孤</v>
      </c>
      <c r="CG46" s="22" t="str">
        <f t="shared" si="20"/>
        <v>46</v>
      </c>
      <c r="CH46" s="22" t="str">
        <f t="array" ref="CH46">_xlfn.TEXTJOIN("",TRUE,IF(ISNUMBER(FIND(MID(CG45&amp;S45,ROW($1:$4),1),CG46&amp;S46)),MID(CG45&amp;S45,ROW($1:$4),1),""))</f>
        <v/>
      </c>
      <c r="CI46" s="22" t="str">
        <f t="array" ref="CI46">_xlfn.TEXTJOIN("",TRUE,IF(ISERROR(FIND(ROW($1:$10)-1,CG46&amp;CH46)),ROW($1:$10)-1,""))</f>
        <v>01235789</v>
      </c>
      <c r="CJ46" s="28" t="str">
        <f t="shared" si="21"/>
        <v>邻孤孤</v>
      </c>
    </row>
    <row r="47" spans="1:88">
      <c r="A47" s="32">
        <v>2024174</v>
      </c>
      <c r="B47" s="8" t="s">
        <v>67</v>
      </c>
      <c r="C47" s="49">
        <f t="shared" si="25"/>
        <v>11</v>
      </c>
      <c r="D47" s="50">
        <f t="shared" si="26"/>
        <v>1</v>
      </c>
      <c r="E47" s="51">
        <f t="shared" si="7"/>
        <v>3.6666666666666701</v>
      </c>
      <c r="F47" s="52">
        <f>MAX(MID(B47,{1,2,3},1)*1)-MIN(MID(B47,{1,2,3},1)*1)</f>
        <v>4</v>
      </c>
      <c r="G47" s="104">
        <v>0</v>
      </c>
      <c r="H47" s="104">
        <v>1</v>
      </c>
      <c r="I47" s="104">
        <v>2</v>
      </c>
      <c r="J47" s="104">
        <v>3</v>
      </c>
      <c r="K47" s="104">
        <v>4</v>
      </c>
      <c r="L47" s="104">
        <v>5</v>
      </c>
      <c r="M47" s="104">
        <v>6</v>
      </c>
      <c r="N47" s="104">
        <v>7</v>
      </c>
      <c r="O47" s="104">
        <v>8</v>
      </c>
      <c r="P47" s="104">
        <v>9</v>
      </c>
      <c r="Q47" s="53">
        <f t="shared" si="27"/>
        <v>1</v>
      </c>
      <c r="R47" s="53">
        <f t="shared" si="28"/>
        <v>4</v>
      </c>
      <c r="S47" s="53">
        <f t="shared" si="29"/>
        <v>3</v>
      </c>
      <c r="T47" s="101">
        <f t="shared" si="8"/>
        <v>8</v>
      </c>
      <c r="U47" s="15" t="str">
        <f>_xlfn.TEXTJOIN(", ",TRUE,ABS(MID(B47,{1,1,2},1)-MID(B47,{2,3,3},1)))</f>
        <v>1, 4, 3</v>
      </c>
      <c r="V47" s="54">
        <v>0</v>
      </c>
      <c r="W47" s="54">
        <v>1</v>
      </c>
      <c r="X47" s="54">
        <v>2</v>
      </c>
      <c r="Y47" s="54">
        <v>3</v>
      </c>
      <c r="Z47" s="54">
        <v>4</v>
      </c>
      <c r="AA47" s="54">
        <v>5</v>
      </c>
      <c r="AB47" s="54">
        <v>6</v>
      </c>
      <c r="AC47" s="54">
        <v>7</v>
      </c>
      <c r="AD47" s="54">
        <v>8</v>
      </c>
      <c r="AE47" s="54">
        <v>9</v>
      </c>
      <c r="AF47" s="55">
        <v>0</v>
      </c>
      <c r="AG47" s="55">
        <v>1</v>
      </c>
      <c r="AH47" s="55">
        <v>2</v>
      </c>
      <c r="AI47" s="55">
        <v>3</v>
      </c>
      <c r="AJ47" s="55">
        <v>4</v>
      </c>
      <c r="AK47" s="55">
        <v>5</v>
      </c>
      <c r="AL47" s="55">
        <v>6</v>
      </c>
      <c r="AM47" s="55">
        <v>7</v>
      </c>
      <c r="AN47" s="55">
        <v>8</v>
      </c>
      <c r="AO47" s="55">
        <v>9</v>
      </c>
      <c r="AP47" s="105">
        <v>0</v>
      </c>
      <c r="AQ47" s="105">
        <v>1</v>
      </c>
      <c r="AR47" s="105">
        <v>2</v>
      </c>
      <c r="AS47" s="105">
        <v>3</v>
      </c>
      <c r="AT47" s="105">
        <v>4</v>
      </c>
      <c r="AU47" s="105">
        <v>5</v>
      </c>
      <c r="AV47" s="105">
        <v>6</v>
      </c>
      <c r="AW47" s="105">
        <v>7</v>
      </c>
      <c r="AX47" s="105">
        <v>8</v>
      </c>
      <c r="AY47" s="105">
        <v>9</v>
      </c>
      <c r="AZ47" s="56">
        <v>0</v>
      </c>
      <c r="BA47" s="56">
        <v>1</v>
      </c>
      <c r="BB47" s="56">
        <v>2</v>
      </c>
      <c r="BC47" s="56">
        <v>3</v>
      </c>
      <c r="BD47" s="56">
        <v>4</v>
      </c>
      <c r="BE47" s="56">
        <v>5</v>
      </c>
      <c r="BF47" s="56">
        <v>6</v>
      </c>
      <c r="BG47" s="56">
        <v>7</v>
      </c>
      <c r="BH47" s="56">
        <v>8</v>
      </c>
      <c r="BI47" s="56">
        <v>9</v>
      </c>
      <c r="BJ47" s="57" t="str">
        <f t="shared" si="9"/>
        <v>紧凑型</v>
      </c>
      <c r="BK47" s="13">
        <f t="shared" si="5"/>
        <v>1</v>
      </c>
      <c r="BL47" s="13">
        <f t="shared" si="6"/>
        <v>4</v>
      </c>
      <c r="BM47" s="18" t="str">
        <f t="shared" si="11"/>
        <v/>
      </c>
      <c r="BN47" s="19">
        <f t="shared" si="12"/>
        <v>1</v>
      </c>
      <c r="BO47" s="19" t="str">
        <f t="array" ref="BO47">_xlfn.TEXTJOIN("",TRUE,IF(ISERROR(FIND(ROW($1:$10)-1,BM47&amp;BN47)),ROW($1:$10)-1,""))</f>
        <v>023456789</v>
      </c>
      <c r="BP47" s="20" t="str">
        <f t="shared" si="13"/>
        <v>中隔中</v>
      </c>
      <c r="BQ47" s="21" t="str">
        <f t="shared" si="24"/>
        <v/>
      </c>
      <c r="BR47" s="21" t="str">
        <f t="shared" si="22"/>
        <v/>
      </c>
      <c r="BS47" s="21" t="str">
        <f t="array" ref="BS47">_xlfn.TEXTJOIN("",TRUE,IF(ISERROR(FIND(ROW($1:$10)-1,BQ47&amp;BR47)),ROW($1:$10)-1,""))</f>
        <v>0123456789</v>
      </c>
      <c r="BT47" s="20" t="str">
        <f t="shared" si="14"/>
        <v>中中中</v>
      </c>
      <c r="BU47" s="22" t="str">
        <f t="shared" si="15"/>
        <v/>
      </c>
      <c r="BV47" s="22" t="str">
        <f t="shared" si="23"/>
        <v/>
      </c>
      <c r="BW47" s="22" t="str">
        <f t="array" ref="BW47">_xlfn.TEXTJOIN("",TRUE,IF(ISERROR(FIND(ROW($1:$10)-1,BU47&amp;BV47)),ROW($1:$10)-1,""))</f>
        <v>0123456789</v>
      </c>
      <c r="BX47" s="20" t="str">
        <f t="shared" si="16"/>
        <v>中中中</v>
      </c>
      <c r="BY47" s="23" t="str">
        <f t="shared" si="10"/>
        <v>02</v>
      </c>
      <c r="BZ47" s="24" t="str">
        <f t="array" ref="BZ47">_xlfn.TEXTJOIN("",TRUE,IF(ISNUMBER(FIND(MID(BY46&amp;Q46,ROW($1:$4),1),BY47&amp;Q47)),MID(BY46&amp;Q46,ROW($1:$4),1),""))</f>
        <v>10</v>
      </c>
      <c r="CA47" s="25" t="str">
        <f t="array" ref="CA47">_xlfn.TEXTJOIN("",TRUE,IF(ISERROR(FIND(ROW($1:$10)-1,BY47&amp;BZ47)),ROW($1:$10)-1,""))</f>
        <v>3456789</v>
      </c>
      <c r="CB47" s="26" t="str">
        <f t="shared" si="17"/>
        <v>邻传孤</v>
      </c>
      <c r="CC47" s="27" t="str">
        <f t="shared" si="18"/>
        <v>35</v>
      </c>
      <c r="CD47" s="27" t="str">
        <f t="array" ref="CD47">_xlfn.TEXTJOIN("",TRUE,IF(ISNUMBER(FIND(MID(CC46&amp;R46,ROW($1:$4),1),CC47&amp;R47)),MID(CC46&amp;R46,ROW($1:$4),1),""))</f>
        <v>45</v>
      </c>
      <c r="CE47" s="27" t="str">
        <f t="array" ref="CE47">_xlfn.TEXTJOIN("",TRUE,IF(ISERROR(FIND(ROW($1:$10)-1,CC47&amp;CD47)),ROW($1:$10)-1,""))</f>
        <v>0126789</v>
      </c>
      <c r="CF47" s="17" t="str">
        <f t="shared" si="19"/>
        <v>邻传孤</v>
      </c>
      <c r="CG47" s="22" t="str">
        <f t="shared" si="20"/>
        <v>24</v>
      </c>
      <c r="CH47" s="22" t="str">
        <f t="array" ref="CH47">_xlfn.TEXTJOIN("",TRUE,IF(ISNUMBER(FIND(MID(CG46&amp;S46,ROW($1:$4),1),CG47&amp;S47)),MID(CG46&amp;S46,ROW($1:$4),1),""))</f>
        <v>4</v>
      </c>
      <c r="CI47" s="22" t="str">
        <f t="array" ref="CI47">_xlfn.TEXTJOIN("",TRUE,IF(ISERROR(FIND(ROW($1:$10)-1,CG47&amp;CH47)),ROW($1:$10)-1,""))</f>
        <v>01356789</v>
      </c>
      <c r="CJ47" s="28" t="str">
        <f t="shared" si="21"/>
        <v>邻传孤</v>
      </c>
    </row>
    <row r="48" spans="1:88">
      <c r="A48" s="32">
        <v>2024175</v>
      </c>
      <c r="B48" s="8" t="s">
        <v>68</v>
      </c>
      <c r="C48" s="49">
        <f t="shared" si="25"/>
        <v>20</v>
      </c>
      <c r="D48" s="50">
        <f t="shared" si="26"/>
        <v>0</v>
      </c>
      <c r="E48" s="51">
        <f t="shared" si="7"/>
        <v>6.6666666666666696</v>
      </c>
      <c r="F48" s="52">
        <f>MAX(MID(B48,{1,2,3},1)*1)-MIN(MID(B48,{1,2,3},1)*1)</f>
        <v>4</v>
      </c>
      <c r="G48" s="104">
        <v>0</v>
      </c>
      <c r="H48" s="104">
        <v>1</v>
      </c>
      <c r="I48" s="104">
        <v>2</v>
      </c>
      <c r="J48" s="104">
        <v>3</v>
      </c>
      <c r="K48" s="104">
        <v>4</v>
      </c>
      <c r="L48" s="104">
        <v>5</v>
      </c>
      <c r="M48" s="104">
        <v>6</v>
      </c>
      <c r="N48" s="104">
        <v>7</v>
      </c>
      <c r="O48" s="104">
        <v>8</v>
      </c>
      <c r="P48" s="104">
        <v>9</v>
      </c>
      <c r="Q48" s="53">
        <f t="shared" si="27"/>
        <v>4</v>
      </c>
      <c r="R48" s="53">
        <f t="shared" si="28"/>
        <v>4</v>
      </c>
      <c r="S48" s="53">
        <f t="shared" si="29"/>
        <v>0</v>
      </c>
      <c r="T48" s="101">
        <f t="shared" si="8"/>
        <v>8</v>
      </c>
      <c r="U48" s="15" t="str">
        <f>_xlfn.TEXTJOIN(", ",TRUE,ABS(MID(B48,{1,1,2},1)-MID(B48,{2,3,3},1)))</f>
        <v>4, 4, 0</v>
      </c>
      <c r="V48" s="54">
        <v>0</v>
      </c>
      <c r="W48" s="54">
        <v>1</v>
      </c>
      <c r="X48" s="54">
        <v>2</v>
      </c>
      <c r="Y48" s="54">
        <v>3</v>
      </c>
      <c r="Z48" s="54">
        <v>4</v>
      </c>
      <c r="AA48" s="54">
        <v>5</v>
      </c>
      <c r="AB48" s="54">
        <v>6</v>
      </c>
      <c r="AC48" s="54">
        <v>7</v>
      </c>
      <c r="AD48" s="54">
        <v>8</v>
      </c>
      <c r="AE48" s="54">
        <v>9</v>
      </c>
      <c r="AF48" s="55">
        <v>0</v>
      </c>
      <c r="AG48" s="55">
        <v>1</v>
      </c>
      <c r="AH48" s="55">
        <v>2</v>
      </c>
      <c r="AI48" s="55">
        <v>3</v>
      </c>
      <c r="AJ48" s="55">
        <v>4</v>
      </c>
      <c r="AK48" s="55">
        <v>5</v>
      </c>
      <c r="AL48" s="55">
        <v>6</v>
      </c>
      <c r="AM48" s="55">
        <v>7</v>
      </c>
      <c r="AN48" s="55">
        <v>8</v>
      </c>
      <c r="AO48" s="55">
        <v>9</v>
      </c>
      <c r="AP48" s="105">
        <v>0</v>
      </c>
      <c r="AQ48" s="105">
        <v>1</v>
      </c>
      <c r="AR48" s="105">
        <v>2</v>
      </c>
      <c r="AS48" s="105">
        <v>3</v>
      </c>
      <c r="AT48" s="105">
        <v>4</v>
      </c>
      <c r="AU48" s="105">
        <v>5</v>
      </c>
      <c r="AV48" s="105">
        <v>6</v>
      </c>
      <c r="AW48" s="105">
        <v>7</v>
      </c>
      <c r="AX48" s="105">
        <v>8</v>
      </c>
      <c r="AY48" s="105">
        <v>9</v>
      </c>
      <c r="AZ48" s="56">
        <v>0</v>
      </c>
      <c r="BA48" s="56">
        <v>1</v>
      </c>
      <c r="BB48" s="56">
        <v>2</v>
      </c>
      <c r="BC48" s="56">
        <v>3</v>
      </c>
      <c r="BD48" s="56">
        <v>4</v>
      </c>
      <c r="BE48" s="56">
        <v>5</v>
      </c>
      <c r="BF48" s="56">
        <v>6</v>
      </c>
      <c r="BG48" s="56">
        <v>7</v>
      </c>
      <c r="BH48" s="56">
        <v>8</v>
      </c>
      <c r="BI48" s="56">
        <v>9</v>
      </c>
      <c r="BJ48" s="57" t="str">
        <f t="shared" si="9"/>
        <v>紧凑型</v>
      </c>
      <c r="BK48" s="13">
        <f t="shared" si="5"/>
        <v>0</v>
      </c>
      <c r="BL48" s="13">
        <f t="shared" si="6"/>
        <v>4</v>
      </c>
      <c r="BM48" s="18">
        <f t="shared" si="11"/>
        <v>4</v>
      </c>
      <c r="BN48" s="19" t="str">
        <f t="shared" si="12"/>
        <v/>
      </c>
      <c r="BO48" s="19" t="str">
        <f t="array" ref="BO48">_xlfn.TEXTJOIN("",TRUE,IF(ISERROR(FIND(ROW($1:$10)-1,BM48&amp;BN48)),ROW($1:$10)-1,""))</f>
        <v>012356789</v>
      </c>
      <c r="BP48" s="20" t="str">
        <f t="shared" si="13"/>
        <v>复中中</v>
      </c>
      <c r="BQ48" s="21">
        <f t="shared" si="24"/>
        <v>4</v>
      </c>
      <c r="BR48" s="21" t="str">
        <f t="shared" si="22"/>
        <v/>
      </c>
      <c r="BS48" s="21" t="str">
        <f t="array" ref="BS48">_xlfn.TEXTJOIN("",TRUE,IF(ISERROR(FIND(ROW($1:$10)-1,BQ48&amp;BR48)),ROW($1:$10)-1,""))</f>
        <v>012356789</v>
      </c>
      <c r="BT48" s="20" t="str">
        <f t="shared" si="14"/>
        <v>复中中</v>
      </c>
      <c r="BU48" s="22" t="str">
        <f t="shared" si="15"/>
        <v/>
      </c>
      <c r="BV48" s="22">
        <f t="shared" si="23"/>
        <v>0</v>
      </c>
      <c r="BW48" s="22" t="str">
        <f t="array" ref="BW48">_xlfn.TEXTJOIN("",TRUE,IF(ISERROR(FIND(ROW($1:$10)-1,BU48&amp;BV48)),ROW($1:$10)-1,""))</f>
        <v>123456789</v>
      </c>
      <c r="BX48" s="20" t="str">
        <f t="shared" si="16"/>
        <v>中隔中</v>
      </c>
      <c r="BY48" s="23" t="str">
        <f t="shared" si="10"/>
        <v>35</v>
      </c>
      <c r="BZ48" s="24" t="str">
        <f t="array" ref="BZ48">_xlfn.TEXTJOIN("",TRUE,IF(ISNUMBER(FIND(MID(BY47&amp;Q47,ROW($1:$4),1),BY48&amp;Q48)),MID(BY47&amp;Q47,ROW($1:$4),1),""))</f>
        <v/>
      </c>
      <c r="CA48" s="25" t="str">
        <f t="array" ref="CA48">_xlfn.TEXTJOIN("",TRUE,IF(ISERROR(FIND(ROW($1:$10)-1,BY48&amp;BZ48)),ROW($1:$10)-1,""))</f>
        <v>01246789</v>
      </c>
      <c r="CB48" s="26" t="str">
        <f t="shared" si="17"/>
        <v>邻孤孤</v>
      </c>
      <c r="CC48" s="27" t="str">
        <f t="shared" si="18"/>
        <v>35</v>
      </c>
      <c r="CD48" s="27" t="str">
        <f t="array" ref="CD48">_xlfn.TEXTJOIN("",TRUE,IF(ISNUMBER(FIND(MID(CC47&amp;R47,ROW($1:$4),1),CC48&amp;R48)),MID(CC47&amp;R47,ROW($1:$4),1),""))</f>
        <v>354</v>
      </c>
      <c r="CE48" s="27" t="str">
        <f t="array" ref="CE48">_xlfn.TEXTJOIN("",TRUE,IF(ISERROR(FIND(ROW($1:$10)-1,CC48&amp;CD48)),ROW($1:$10)-1,""))</f>
        <v>0126789</v>
      </c>
      <c r="CF48" s="17" t="str">
        <f t="shared" si="19"/>
        <v>邻传孤</v>
      </c>
      <c r="CG48" s="22" t="str">
        <f t="shared" si="20"/>
        <v>91</v>
      </c>
      <c r="CH48" s="22" t="str">
        <f t="array" ref="CH48">_xlfn.TEXTJOIN("",TRUE,IF(ISNUMBER(FIND(MID(CG47&amp;S47,ROW($1:$4),1),CG48&amp;S48)),MID(CG47&amp;S47,ROW($1:$4),1),""))</f>
        <v/>
      </c>
      <c r="CI48" s="22" t="str">
        <f t="array" ref="CI48">_xlfn.TEXTJOIN("",TRUE,IF(ISERROR(FIND(ROW($1:$10)-1,CG48&amp;CH48)),ROW($1:$10)-1,""))</f>
        <v>02345678</v>
      </c>
      <c r="CJ48" s="28" t="str">
        <f t="shared" si="21"/>
        <v>邻孤孤</v>
      </c>
    </row>
    <row r="49" spans="1:88">
      <c r="A49" s="32">
        <v>2024176</v>
      </c>
      <c r="B49" s="8" t="s">
        <v>69</v>
      </c>
      <c r="C49" s="49">
        <f t="shared" si="25"/>
        <v>9</v>
      </c>
      <c r="D49" s="50">
        <f t="shared" si="26"/>
        <v>9</v>
      </c>
      <c r="E49" s="51">
        <f t="shared" si="7"/>
        <v>3</v>
      </c>
      <c r="F49" s="52">
        <f>MAX(MID(B49,{1,2,3},1)*1)-MIN(MID(B49,{1,2,3},1)*1)</f>
        <v>8</v>
      </c>
      <c r="G49" s="104">
        <v>0</v>
      </c>
      <c r="H49" s="104">
        <v>1</v>
      </c>
      <c r="I49" s="104">
        <v>2</v>
      </c>
      <c r="J49" s="104">
        <v>3</v>
      </c>
      <c r="K49" s="104">
        <v>4</v>
      </c>
      <c r="L49" s="104">
        <v>5</v>
      </c>
      <c r="M49" s="104">
        <v>6</v>
      </c>
      <c r="N49" s="104">
        <v>7</v>
      </c>
      <c r="O49" s="104">
        <v>8</v>
      </c>
      <c r="P49" s="104">
        <v>9</v>
      </c>
      <c r="Q49" s="53">
        <f t="shared" si="27"/>
        <v>1</v>
      </c>
      <c r="R49" s="53">
        <f t="shared" si="28"/>
        <v>7</v>
      </c>
      <c r="S49" s="53">
        <f t="shared" si="29"/>
        <v>8</v>
      </c>
      <c r="T49" s="101">
        <f t="shared" si="8"/>
        <v>16</v>
      </c>
      <c r="U49" s="15" t="str">
        <f>_xlfn.TEXTJOIN(", ",TRUE,ABS(MID(B49,{1,1,2},1)-MID(B49,{2,3,3},1)))</f>
        <v>1, 7, 8</v>
      </c>
      <c r="V49" s="54">
        <v>0</v>
      </c>
      <c r="W49" s="54">
        <v>1</v>
      </c>
      <c r="X49" s="54">
        <v>2</v>
      </c>
      <c r="Y49" s="54">
        <v>3</v>
      </c>
      <c r="Z49" s="54">
        <v>4</v>
      </c>
      <c r="AA49" s="54">
        <v>5</v>
      </c>
      <c r="AB49" s="54">
        <v>6</v>
      </c>
      <c r="AC49" s="54">
        <v>7</v>
      </c>
      <c r="AD49" s="54">
        <v>8</v>
      </c>
      <c r="AE49" s="54">
        <v>9</v>
      </c>
      <c r="AF49" s="55">
        <v>0</v>
      </c>
      <c r="AG49" s="55">
        <v>1</v>
      </c>
      <c r="AH49" s="55">
        <v>2</v>
      </c>
      <c r="AI49" s="55">
        <v>3</v>
      </c>
      <c r="AJ49" s="55">
        <v>4</v>
      </c>
      <c r="AK49" s="55">
        <v>5</v>
      </c>
      <c r="AL49" s="55">
        <v>6</v>
      </c>
      <c r="AM49" s="55">
        <v>7</v>
      </c>
      <c r="AN49" s="55">
        <v>8</v>
      </c>
      <c r="AO49" s="55">
        <v>9</v>
      </c>
      <c r="AP49" s="105">
        <v>0</v>
      </c>
      <c r="AQ49" s="105">
        <v>1</v>
      </c>
      <c r="AR49" s="105">
        <v>2</v>
      </c>
      <c r="AS49" s="105">
        <v>3</v>
      </c>
      <c r="AT49" s="105">
        <v>4</v>
      </c>
      <c r="AU49" s="105">
        <v>5</v>
      </c>
      <c r="AV49" s="105">
        <v>6</v>
      </c>
      <c r="AW49" s="105">
        <v>7</v>
      </c>
      <c r="AX49" s="105">
        <v>8</v>
      </c>
      <c r="AY49" s="105">
        <v>9</v>
      </c>
      <c r="AZ49" s="56">
        <v>0</v>
      </c>
      <c r="BA49" s="56">
        <v>1</v>
      </c>
      <c r="BB49" s="56">
        <v>2</v>
      </c>
      <c r="BC49" s="56">
        <v>3</v>
      </c>
      <c r="BD49" s="56">
        <v>4</v>
      </c>
      <c r="BE49" s="56">
        <v>5</v>
      </c>
      <c r="BF49" s="56">
        <v>6</v>
      </c>
      <c r="BG49" s="56">
        <v>7</v>
      </c>
      <c r="BH49" s="56">
        <v>8</v>
      </c>
      <c r="BI49" s="56">
        <v>9</v>
      </c>
      <c r="BJ49" s="57" t="str">
        <f t="shared" si="9"/>
        <v>松散型</v>
      </c>
      <c r="BK49" s="13">
        <f t="shared" si="5"/>
        <v>1</v>
      </c>
      <c r="BL49" s="13">
        <f t="shared" si="6"/>
        <v>8</v>
      </c>
      <c r="BM49" s="18" t="str">
        <f t="shared" si="11"/>
        <v/>
      </c>
      <c r="BN49" s="19">
        <f t="shared" si="12"/>
        <v>1</v>
      </c>
      <c r="BO49" s="19" t="str">
        <f t="array" ref="BO49">_xlfn.TEXTJOIN("",TRUE,IF(ISERROR(FIND(ROW($1:$10)-1,BM49&amp;BN49)),ROW($1:$10)-1,""))</f>
        <v>023456789</v>
      </c>
      <c r="BP49" s="20" t="str">
        <f t="shared" si="13"/>
        <v>中隔中</v>
      </c>
      <c r="BQ49" s="21" t="str">
        <f t="shared" si="24"/>
        <v/>
      </c>
      <c r="BR49" s="21" t="str">
        <f t="shared" si="22"/>
        <v/>
      </c>
      <c r="BS49" s="21" t="str">
        <f t="array" ref="BS49">_xlfn.TEXTJOIN("",TRUE,IF(ISERROR(FIND(ROW($1:$10)-1,BQ49&amp;BR49)),ROW($1:$10)-1,""))</f>
        <v>0123456789</v>
      </c>
      <c r="BT49" s="20" t="str">
        <f t="shared" si="14"/>
        <v>中中中</v>
      </c>
      <c r="BU49" s="22" t="str">
        <f t="shared" si="15"/>
        <v/>
      </c>
      <c r="BV49" s="22" t="str">
        <f t="shared" si="23"/>
        <v/>
      </c>
      <c r="BW49" s="22" t="str">
        <f t="array" ref="BW49">_xlfn.TEXTJOIN("",TRUE,IF(ISERROR(FIND(ROW($1:$10)-1,BU49&amp;BV49)),ROW($1:$10)-1,""))</f>
        <v>0123456789</v>
      </c>
      <c r="BX49" s="20" t="str">
        <f t="shared" si="16"/>
        <v>中中中</v>
      </c>
      <c r="BY49" s="23" t="str">
        <f t="shared" si="10"/>
        <v>02</v>
      </c>
      <c r="BZ49" s="24" t="str">
        <f t="array" ref="BZ49">_xlfn.TEXTJOIN("",TRUE,IF(ISNUMBER(FIND(MID(BY48&amp;Q48,ROW($1:$4),1),BY49&amp;Q49)),MID(BY48&amp;Q48,ROW($1:$4),1),""))</f>
        <v/>
      </c>
      <c r="CA49" s="25" t="str">
        <f t="array" ref="CA49">_xlfn.TEXTJOIN("",TRUE,IF(ISERROR(FIND(ROW($1:$10)-1,BY49&amp;BZ49)),ROW($1:$10)-1,""))</f>
        <v>13456789</v>
      </c>
      <c r="CB49" s="26" t="str">
        <f t="shared" si="17"/>
        <v>邻孤孤</v>
      </c>
      <c r="CC49" s="27" t="str">
        <f t="shared" si="18"/>
        <v>68</v>
      </c>
      <c r="CD49" s="27" t="str">
        <f t="array" ref="CD49">_xlfn.TEXTJOIN("",TRUE,IF(ISNUMBER(FIND(MID(CC48&amp;R48,ROW($1:$4),1),CC49&amp;R49)),MID(CC48&amp;R48,ROW($1:$4),1),""))</f>
        <v/>
      </c>
      <c r="CE49" s="27" t="str">
        <f t="array" ref="CE49">_xlfn.TEXTJOIN("",TRUE,IF(ISERROR(FIND(ROW($1:$10)-1,CC49&amp;CD49)),ROW($1:$10)-1,""))</f>
        <v>01234579</v>
      </c>
      <c r="CF49" s="17" t="str">
        <f t="shared" si="19"/>
        <v>邻孤孤</v>
      </c>
      <c r="CG49" s="22" t="str">
        <f t="shared" si="20"/>
        <v>79</v>
      </c>
      <c r="CH49" s="22" t="str">
        <f t="array" ref="CH49">_xlfn.TEXTJOIN("",TRUE,IF(ISNUMBER(FIND(MID(CG48&amp;S48,ROW($1:$4),1),CG49&amp;S49)),MID(CG48&amp;S48,ROW($1:$4),1),""))</f>
        <v>9</v>
      </c>
      <c r="CI49" s="22" t="str">
        <f t="array" ref="CI49">_xlfn.TEXTJOIN("",TRUE,IF(ISERROR(FIND(ROW($1:$10)-1,CG49&amp;CH49)),ROW($1:$10)-1,""))</f>
        <v>01234568</v>
      </c>
      <c r="CJ49" s="28" t="str">
        <f t="shared" si="21"/>
        <v>邻传孤</v>
      </c>
    </row>
    <row r="50" spans="1:88">
      <c r="A50" s="32">
        <v>2024177</v>
      </c>
      <c r="B50" s="8" t="s">
        <v>70</v>
      </c>
      <c r="C50" s="49">
        <f t="shared" si="25"/>
        <v>10</v>
      </c>
      <c r="D50" s="50">
        <f t="shared" si="26"/>
        <v>0</v>
      </c>
      <c r="E50" s="51">
        <f t="shared" si="7"/>
        <v>3.3333333333333299</v>
      </c>
      <c r="F50" s="52">
        <f>MAX(MID(B50,{1,2,3},1)*1)-MIN(MID(B50,{1,2,3},1)*1)</f>
        <v>6</v>
      </c>
      <c r="G50" s="104">
        <v>0</v>
      </c>
      <c r="H50" s="104">
        <v>1</v>
      </c>
      <c r="I50" s="104">
        <v>2</v>
      </c>
      <c r="J50" s="104">
        <v>3</v>
      </c>
      <c r="K50" s="104">
        <v>4</v>
      </c>
      <c r="L50" s="104">
        <v>5</v>
      </c>
      <c r="M50" s="104">
        <v>6</v>
      </c>
      <c r="N50" s="104">
        <v>7</v>
      </c>
      <c r="O50" s="104">
        <v>8</v>
      </c>
      <c r="P50" s="104">
        <v>9</v>
      </c>
      <c r="Q50" s="53">
        <f t="shared" si="27"/>
        <v>2</v>
      </c>
      <c r="R50" s="53">
        <f t="shared" si="28"/>
        <v>4</v>
      </c>
      <c r="S50" s="53">
        <f t="shared" si="29"/>
        <v>6</v>
      </c>
      <c r="T50" s="101">
        <f t="shared" si="8"/>
        <v>12</v>
      </c>
      <c r="U50" s="15" t="str">
        <f>_xlfn.TEXTJOIN(", ",TRUE,ABS(MID(B50,{1,1,2},1)-MID(B50,{2,3,3},1)))</f>
        <v>2, 4, 6</v>
      </c>
      <c r="V50" s="54">
        <v>0</v>
      </c>
      <c r="W50" s="54">
        <v>1</v>
      </c>
      <c r="X50" s="54">
        <v>2</v>
      </c>
      <c r="Y50" s="54">
        <v>3</v>
      </c>
      <c r="Z50" s="54">
        <v>4</v>
      </c>
      <c r="AA50" s="54">
        <v>5</v>
      </c>
      <c r="AB50" s="54">
        <v>6</v>
      </c>
      <c r="AC50" s="54">
        <v>7</v>
      </c>
      <c r="AD50" s="54">
        <v>8</v>
      </c>
      <c r="AE50" s="54">
        <v>9</v>
      </c>
      <c r="AF50" s="55">
        <v>0</v>
      </c>
      <c r="AG50" s="55">
        <v>1</v>
      </c>
      <c r="AH50" s="55">
        <v>2</v>
      </c>
      <c r="AI50" s="55">
        <v>3</v>
      </c>
      <c r="AJ50" s="55">
        <v>4</v>
      </c>
      <c r="AK50" s="55">
        <v>5</v>
      </c>
      <c r="AL50" s="55">
        <v>6</v>
      </c>
      <c r="AM50" s="55">
        <v>7</v>
      </c>
      <c r="AN50" s="55">
        <v>8</v>
      </c>
      <c r="AO50" s="55">
        <v>9</v>
      </c>
      <c r="AP50" s="105">
        <v>0</v>
      </c>
      <c r="AQ50" s="105">
        <v>1</v>
      </c>
      <c r="AR50" s="105">
        <v>2</v>
      </c>
      <c r="AS50" s="105">
        <v>3</v>
      </c>
      <c r="AT50" s="105">
        <v>4</v>
      </c>
      <c r="AU50" s="105">
        <v>5</v>
      </c>
      <c r="AV50" s="105">
        <v>6</v>
      </c>
      <c r="AW50" s="105">
        <v>7</v>
      </c>
      <c r="AX50" s="105">
        <v>8</v>
      </c>
      <c r="AY50" s="105">
        <v>9</v>
      </c>
      <c r="AZ50" s="56">
        <v>0</v>
      </c>
      <c r="BA50" s="56">
        <v>1</v>
      </c>
      <c r="BB50" s="56">
        <v>2</v>
      </c>
      <c r="BC50" s="56">
        <v>3</v>
      </c>
      <c r="BD50" s="56">
        <v>4</v>
      </c>
      <c r="BE50" s="56">
        <v>5</v>
      </c>
      <c r="BF50" s="56">
        <v>6</v>
      </c>
      <c r="BG50" s="56">
        <v>7</v>
      </c>
      <c r="BH50" s="56">
        <v>8</v>
      </c>
      <c r="BI50" s="56">
        <v>9</v>
      </c>
      <c r="BJ50" s="57" t="str">
        <f t="shared" si="9"/>
        <v>松散型</v>
      </c>
      <c r="BK50" s="13">
        <f t="shared" si="5"/>
        <v>2</v>
      </c>
      <c r="BL50" s="13">
        <f t="shared" si="6"/>
        <v>6</v>
      </c>
      <c r="BM50" s="18" t="str">
        <f t="shared" si="11"/>
        <v/>
      </c>
      <c r="BN50" s="19" t="str">
        <f t="shared" si="12"/>
        <v/>
      </c>
      <c r="BO50" s="19" t="str">
        <f t="array" ref="BO50">_xlfn.TEXTJOIN("",TRUE,IF(ISERROR(FIND(ROW($1:$10)-1,BM50&amp;BN50)),ROW($1:$10)-1,""))</f>
        <v>0123456789</v>
      </c>
      <c r="BP50" s="20" t="str">
        <f t="shared" si="13"/>
        <v>中中中</v>
      </c>
      <c r="BQ50" s="21" t="str">
        <f t="shared" si="24"/>
        <v/>
      </c>
      <c r="BR50" s="21">
        <f t="shared" si="22"/>
        <v>4</v>
      </c>
      <c r="BS50" s="21" t="str">
        <f t="array" ref="BS50">_xlfn.TEXTJOIN("",TRUE,IF(ISERROR(FIND(ROW($1:$10)-1,BQ50&amp;BR50)),ROW($1:$10)-1,""))</f>
        <v>012356789</v>
      </c>
      <c r="BT50" s="20" t="str">
        <f t="shared" si="14"/>
        <v>中隔中</v>
      </c>
      <c r="BU50" s="22" t="str">
        <f t="shared" si="15"/>
        <v/>
      </c>
      <c r="BV50" s="22" t="str">
        <f t="shared" si="23"/>
        <v/>
      </c>
      <c r="BW50" s="22" t="str">
        <f t="array" ref="BW50">_xlfn.TEXTJOIN("",TRUE,IF(ISERROR(FIND(ROW($1:$10)-1,BU50&amp;BV50)),ROW($1:$10)-1,""))</f>
        <v>0123456789</v>
      </c>
      <c r="BX50" s="20" t="str">
        <f t="shared" si="16"/>
        <v>中中中</v>
      </c>
      <c r="BY50" s="23" t="str">
        <f t="shared" si="10"/>
        <v>13</v>
      </c>
      <c r="BZ50" s="24" t="str">
        <f t="array" ref="BZ50">_xlfn.TEXTJOIN("",TRUE,IF(ISNUMBER(FIND(MID(BY49&amp;Q49,ROW($1:$4),1),BY50&amp;Q50)),MID(BY49&amp;Q49,ROW($1:$4),1),""))</f>
        <v>21</v>
      </c>
      <c r="CA50" s="25" t="str">
        <f t="array" ref="CA50">_xlfn.TEXTJOIN("",TRUE,IF(ISERROR(FIND(ROW($1:$10)-1,BY50&amp;BZ50)),ROW($1:$10)-1,""))</f>
        <v>0456789</v>
      </c>
      <c r="CB50" s="26" t="str">
        <f t="shared" si="17"/>
        <v>邻传孤</v>
      </c>
      <c r="CC50" s="27" t="str">
        <f t="shared" si="18"/>
        <v>35</v>
      </c>
      <c r="CD50" s="27" t="str">
        <f t="array" ref="CD50">_xlfn.TEXTJOIN("",TRUE,IF(ISNUMBER(FIND(MID(CC49&amp;R49,ROW($1:$4),1),CC50&amp;R50)),MID(CC49&amp;R49,ROW($1:$4),1),""))</f>
        <v/>
      </c>
      <c r="CE50" s="27" t="str">
        <f t="array" ref="CE50">_xlfn.TEXTJOIN("",TRUE,IF(ISERROR(FIND(ROW($1:$10)-1,CC50&amp;CD50)),ROW($1:$10)-1,""))</f>
        <v>01246789</v>
      </c>
      <c r="CF50" s="17" t="str">
        <f t="shared" si="19"/>
        <v>邻孤孤</v>
      </c>
      <c r="CG50" s="22" t="str">
        <f t="shared" si="20"/>
        <v>57</v>
      </c>
      <c r="CH50" s="22" t="str">
        <f t="array" ref="CH50">_xlfn.TEXTJOIN("",TRUE,IF(ISNUMBER(FIND(MID(CG49&amp;S49,ROW($1:$4),1),CG50&amp;S50)),MID(CG49&amp;S49,ROW($1:$4),1),""))</f>
        <v>7</v>
      </c>
      <c r="CI50" s="22" t="str">
        <f t="array" ref="CI50">_xlfn.TEXTJOIN("",TRUE,IF(ISERROR(FIND(ROW($1:$10)-1,CG50&amp;CH50)),ROW($1:$10)-1,""))</f>
        <v>01234689</v>
      </c>
      <c r="CJ50" s="28" t="str">
        <f t="shared" si="21"/>
        <v>邻传孤</v>
      </c>
    </row>
    <row r="51" spans="1:88">
      <c r="A51" s="32">
        <v>2024178</v>
      </c>
      <c r="B51" s="8" t="s">
        <v>71</v>
      </c>
      <c r="C51" s="49">
        <f t="shared" si="25"/>
        <v>14</v>
      </c>
      <c r="D51" s="50">
        <f t="shared" si="26"/>
        <v>4</v>
      </c>
      <c r="E51" s="51">
        <f t="shared" si="7"/>
        <v>4.6666666666666696</v>
      </c>
      <c r="F51" s="52">
        <f>MAX(MID(B51,{1,2,3},1)*1)-MIN(MID(B51,{1,2,3},1)*1)</f>
        <v>7</v>
      </c>
      <c r="G51" s="104">
        <v>0</v>
      </c>
      <c r="H51" s="104">
        <v>1</v>
      </c>
      <c r="I51" s="104">
        <v>2</v>
      </c>
      <c r="J51" s="104">
        <v>3</v>
      </c>
      <c r="K51" s="104">
        <v>4</v>
      </c>
      <c r="L51" s="104">
        <v>5</v>
      </c>
      <c r="M51" s="104">
        <v>6</v>
      </c>
      <c r="N51" s="104">
        <v>7</v>
      </c>
      <c r="O51" s="104">
        <v>8</v>
      </c>
      <c r="P51" s="104">
        <v>9</v>
      </c>
      <c r="Q51" s="53">
        <f t="shared" si="27"/>
        <v>3</v>
      </c>
      <c r="R51" s="53">
        <f t="shared" si="28"/>
        <v>4</v>
      </c>
      <c r="S51" s="53">
        <f t="shared" si="29"/>
        <v>7</v>
      </c>
      <c r="T51" s="101">
        <f t="shared" si="8"/>
        <v>14</v>
      </c>
      <c r="U51" s="15" t="str">
        <f>_xlfn.TEXTJOIN(", ",TRUE,ABS(MID(B51,{1,1,2},1)-MID(B51,{2,3,3},1)))</f>
        <v>3, 4, 7</v>
      </c>
      <c r="V51" s="54">
        <v>0</v>
      </c>
      <c r="W51" s="54">
        <v>1</v>
      </c>
      <c r="X51" s="54">
        <v>2</v>
      </c>
      <c r="Y51" s="54">
        <v>3</v>
      </c>
      <c r="Z51" s="54">
        <v>4</v>
      </c>
      <c r="AA51" s="54">
        <v>5</v>
      </c>
      <c r="AB51" s="54">
        <v>6</v>
      </c>
      <c r="AC51" s="54">
        <v>7</v>
      </c>
      <c r="AD51" s="54">
        <v>8</v>
      </c>
      <c r="AE51" s="54">
        <v>9</v>
      </c>
      <c r="AF51" s="55">
        <v>0</v>
      </c>
      <c r="AG51" s="55">
        <v>1</v>
      </c>
      <c r="AH51" s="55">
        <v>2</v>
      </c>
      <c r="AI51" s="55">
        <v>3</v>
      </c>
      <c r="AJ51" s="55">
        <v>4</v>
      </c>
      <c r="AK51" s="55">
        <v>5</v>
      </c>
      <c r="AL51" s="55">
        <v>6</v>
      </c>
      <c r="AM51" s="55">
        <v>7</v>
      </c>
      <c r="AN51" s="55">
        <v>8</v>
      </c>
      <c r="AO51" s="55">
        <v>9</v>
      </c>
      <c r="AP51" s="105">
        <v>0</v>
      </c>
      <c r="AQ51" s="105">
        <v>1</v>
      </c>
      <c r="AR51" s="105">
        <v>2</v>
      </c>
      <c r="AS51" s="105">
        <v>3</v>
      </c>
      <c r="AT51" s="105">
        <v>4</v>
      </c>
      <c r="AU51" s="105">
        <v>5</v>
      </c>
      <c r="AV51" s="105">
        <v>6</v>
      </c>
      <c r="AW51" s="105">
        <v>7</v>
      </c>
      <c r="AX51" s="105">
        <v>8</v>
      </c>
      <c r="AY51" s="105">
        <v>9</v>
      </c>
      <c r="AZ51" s="56">
        <v>0</v>
      </c>
      <c r="BA51" s="56">
        <v>1</v>
      </c>
      <c r="BB51" s="56">
        <v>2</v>
      </c>
      <c r="BC51" s="56">
        <v>3</v>
      </c>
      <c r="BD51" s="56">
        <v>4</v>
      </c>
      <c r="BE51" s="56">
        <v>5</v>
      </c>
      <c r="BF51" s="56">
        <v>6</v>
      </c>
      <c r="BG51" s="56">
        <v>7</v>
      </c>
      <c r="BH51" s="56">
        <v>8</v>
      </c>
      <c r="BI51" s="56">
        <v>9</v>
      </c>
      <c r="BJ51" s="57" t="str">
        <f t="shared" si="9"/>
        <v>松散型</v>
      </c>
      <c r="BK51" s="13">
        <f t="shared" si="5"/>
        <v>3</v>
      </c>
      <c r="BL51" s="13">
        <f t="shared" si="6"/>
        <v>7</v>
      </c>
      <c r="BM51" s="18" t="str">
        <f t="shared" si="11"/>
        <v/>
      </c>
      <c r="BN51" s="19" t="str">
        <f t="shared" si="12"/>
        <v/>
      </c>
      <c r="BO51" s="19" t="str">
        <f t="array" ref="BO51">_xlfn.TEXTJOIN("",TRUE,IF(ISERROR(FIND(ROW($1:$10)-1,BM51&amp;BN51)),ROW($1:$10)-1,""))</f>
        <v>0123456789</v>
      </c>
      <c r="BP51" s="20" t="str">
        <f t="shared" si="13"/>
        <v>中中中</v>
      </c>
      <c r="BQ51" s="21">
        <f t="shared" si="24"/>
        <v>4</v>
      </c>
      <c r="BR51" s="21" t="str">
        <f t="shared" si="22"/>
        <v/>
      </c>
      <c r="BS51" s="21" t="str">
        <f t="array" ref="BS51">_xlfn.TEXTJOIN("",TRUE,IF(ISERROR(FIND(ROW($1:$10)-1,BQ51&amp;BR51)),ROW($1:$10)-1,""))</f>
        <v>012356789</v>
      </c>
      <c r="BT51" s="20" t="str">
        <f t="shared" si="14"/>
        <v>复中中</v>
      </c>
      <c r="BU51" s="22" t="str">
        <f t="shared" si="15"/>
        <v/>
      </c>
      <c r="BV51" s="22">
        <f t="shared" si="23"/>
        <v>7</v>
      </c>
      <c r="BW51" s="22" t="str">
        <f t="array" ref="BW51">_xlfn.TEXTJOIN("",TRUE,IF(ISERROR(FIND(ROW($1:$10)-1,BU51&amp;BV51)),ROW($1:$10)-1,""))</f>
        <v>012345689</v>
      </c>
      <c r="BX51" s="20" t="str">
        <f t="shared" si="16"/>
        <v>中隔中</v>
      </c>
      <c r="BY51" s="23" t="str">
        <f t="shared" si="10"/>
        <v>24</v>
      </c>
      <c r="BZ51" s="24" t="str">
        <f t="array" ref="BZ51">_xlfn.TEXTJOIN("",TRUE,IF(ISNUMBER(FIND(MID(BY50&amp;Q50,ROW($1:$4),1),BY51&amp;Q51)),MID(BY50&amp;Q50,ROW($1:$4),1),""))</f>
        <v>32</v>
      </c>
      <c r="CA51" s="25" t="str">
        <f t="array" ref="CA51">_xlfn.TEXTJOIN("",TRUE,IF(ISERROR(FIND(ROW($1:$10)-1,BY51&amp;BZ51)),ROW($1:$10)-1,""))</f>
        <v>0156789</v>
      </c>
      <c r="CB51" s="26" t="str">
        <f t="shared" si="17"/>
        <v>邻传孤</v>
      </c>
      <c r="CC51" s="27" t="str">
        <f t="shared" si="18"/>
        <v>35</v>
      </c>
      <c r="CD51" s="27" t="str">
        <f t="array" ref="CD51">_xlfn.TEXTJOIN("",TRUE,IF(ISNUMBER(FIND(MID(CC50&amp;R50,ROW($1:$4),1),CC51&amp;R51)),MID(CC50&amp;R50,ROW($1:$4),1),""))</f>
        <v>354</v>
      </c>
      <c r="CE51" s="27" t="str">
        <f t="array" ref="CE51">_xlfn.TEXTJOIN("",TRUE,IF(ISERROR(FIND(ROW($1:$10)-1,CC51&amp;CD51)),ROW($1:$10)-1,""))</f>
        <v>0126789</v>
      </c>
      <c r="CF51" s="17" t="str">
        <f t="shared" si="19"/>
        <v>邻传孤</v>
      </c>
      <c r="CG51" s="22" t="str">
        <f t="shared" si="20"/>
        <v>68</v>
      </c>
      <c r="CH51" s="22" t="str">
        <f t="array" ref="CH51">_xlfn.TEXTJOIN("",TRUE,IF(ISNUMBER(FIND(MID(CG50&amp;S50,ROW($1:$4),1),CG51&amp;S51)),MID(CG50&amp;S50,ROW($1:$4),1),""))</f>
        <v>76</v>
      </c>
      <c r="CI51" s="22" t="str">
        <f t="array" ref="CI51">_xlfn.TEXTJOIN("",TRUE,IF(ISERROR(FIND(ROW($1:$10)-1,CG51&amp;CH51)),ROW($1:$10)-1,""))</f>
        <v>0123459</v>
      </c>
      <c r="CJ51" s="28" t="str">
        <f t="shared" si="21"/>
        <v>邻传孤</v>
      </c>
    </row>
    <row r="52" spans="1:88">
      <c r="A52" s="32">
        <v>2024179</v>
      </c>
      <c r="B52" s="8" t="s">
        <v>72</v>
      </c>
      <c r="C52" s="49">
        <f t="shared" si="25"/>
        <v>5</v>
      </c>
      <c r="D52" s="50">
        <f t="shared" si="26"/>
        <v>5</v>
      </c>
      <c r="E52" s="51">
        <f t="shared" si="7"/>
        <v>1.6666666666666701</v>
      </c>
      <c r="F52" s="52">
        <f>MAX(MID(B52,{1,2,3},1)*1)-MIN(MID(B52,{1,2,3},1)*1)</f>
        <v>5</v>
      </c>
      <c r="G52" s="104">
        <v>0</v>
      </c>
      <c r="H52" s="104">
        <v>1</v>
      </c>
      <c r="I52" s="104">
        <v>2</v>
      </c>
      <c r="J52" s="104">
        <v>3</v>
      </c>
      <c r="K52" s="104">
        <v>4</v>
      </c>
      <c r="L52" s="104">
        <v>5</v>
      </c>
      <c r="M52" s="104">
        <v>6</v>
      </c>
      <c r="N52" s="104">
        <v>7</v>
      </c>
      <c r="O52" s="104">
        <v>8</v>
      </c>
      <c r="P52" s="104">
        <v>9</v>
      </c>
      <c r="Q52" s="53">
        <f t="shared" si="27"/>
        <v>0</v>
      </c>
      <c r="R52" s="53">
        <f t="shared" si="28"/>
        <v>5</v>
      </c>
      <c r="S52" s="53">
        <f t="shared" si="29"/>
        <v>5</v>
      </c>
      <c r="T52" s="101">
        <f t="shared" si="8"/>
        <v>10</v>
      </c>
      <c r="U52" s="15" t="str">
        <f>_xlfn.TEXTJOIN(", ",TRUE,ABS(MID(B52,{1,1,2},1)-MID(B52,{2,3,3},1)))</f>
        <v>0, 5, 5</v>
      </c>
      <c r="V52" s="54">
        <v>0</v>
      </c>
      <c r="W52" s="54">
        <v>1</v>
      </c>
      <c r="X52" s="54">
        <v>2</v>
      </c>
      <c r="Y52" s="54">
        <v>3</v>
      </c>
      <c r="Z52" s="54">
        <v>4</v>
      </c>
      <c r="AA52" s="54">
        <v>5</v>
      </c>
      <c r="AB52" s="54">
        <v>6</v>
      </c>
      <c r="AC52" s="54">
        <v>7</v>
      </c>
      <c r="AD52" s="54">
        <v>8</v>
      </c>
      <c r="AE52" s="54">
        <v>9</v>
      </c>
      <c r="AF52" s="55">
        <v>0</v>
      </c>
      <c r="AG52" s="55">
        <v>1</v>
      </c>
      <c r="AH52" s="55">
        <v>2</v>
      </c>
      <c r="AI52" s="55">
        <v>3</v>
      </c>
      <c r="AJ52" s="55">
        <v>4</v>
      </c>
      <c r="AK52" s="55">
        <v>5</v>
      </c>
      <c r="AL52" s="55">
        <v>6</v>
      </c>
      <c r="AM52" s="55">
        <v>7</v>
      </c>
      <c r="AN52" s="55">
        <v>8</v>
      </c>
      <c r="AO52" s="55">
        <v>9</v>
      </c>
      <c r="AP52" s="105">
        <v>0</v>
      </c>
      <c r="AQ52" s="105">
        <v>1</v>
      </c>
      <c r="AR52" s="105">
        <v>2</v>
      </c>
      <c r="AS52" s="105">
        <v>3</v>
      </c>
      <c r="AT52" s="105">
        <v>4</v>
      </c>
      <c r="AU52" s="105">
        <v>5</v>
      </c>
      <c r="AV52" s="105">
        <v>6</v>
      </c>
      <c r="AW52" s="105">
        <v>7</v>
      </c>
      <c r="AX52" s="105">
        <v>8</v>
      </c>
      <c r="AY52" s="105">
        <v>9</v>
      </c>
      <c r="AZ52" s="56">
        <v>0</v>
      </c>
      <c r="BA52" s="56">
        <v>1</v>
      </c>
      <c r="BB52" s="56">
        <v>2</v>
      </c>
      <c r="BC52" s="56">
        <v>3</v>
      </c>
      <c r="BD52" s="56">
        <v>4</v>
      </c>
      <c r="BE52" s="56">
        <v>5</v>
      </c>
      <c r="BF52" s="56">
        <v>6</v>
      </c>
      <c r="BG52" s="56">
        <v>7</v>
      </c>
      <c r="BH52" s="56">
        <v>8</v>
      </c>
      <c r="BI52" s="56">
        <v>9</v>
      </c>
      <c r="BJ52" s="57" t="str">
        <f t="shared" si="9"/>
        <v>对子</v>
      </c>
      <c r="BK52" s="13">
        <f t="shared" si="5"/>
        <v>0</v>
      </c>
      <c r="BL52" s="13">
        <f t="shared" si="6"/>
        <v>5</v>
      </c>
      <c r="BM52" s="18" t="str">
        <f t="shared" si="11"/>
        <v/>
      </c>
      <c r="BN52" s="19" t="str">
        <f t="shared" si="12"/>
        <v/>
      </c>
      <c r="BO52" s="19" t="str">
        <f t="array" ref="BO52">_xlfn.TEXTJOIN("",TRUE,IF(ISERROR(FIND(ROW($1:$10)-1,BM52&amp;BN52)),ROW($1:$10)-1,""))</f>
        <v>0123456789</v>
      </c>
      <c r="BP52" s="20" t="str">
        <f t="shared" si="13"/>
        <v>中中中</v>
      </c>
      <c r="BQ52" s="21" t="str">
        <f t="shared" si="24"/>
        <v/>
      </c>
      <c r="BR52" s="21" t="str">
        <f t="shared" si="22"/>
        <v/>
      </c>
      <c r="BS52" s="21" t="str">
        <f t="array" ref="BS52">_xlfn.TEXTJOIN("",TRUE,IF(ISERROR(FIND(ROW($1:$10)-1,BQ52&amp;BR52)),ROW($1:$10)-1,""))</f>
        <v>0123456789</v>
      </c>
      <c r="BT52" s="20" t="str">
        <f t="shared" si="14"/>
        <v>中中中</v>
      </c>
      <c r="BU52" s="22" t="str">
        <f t="shared" si="15"/>
        <v/>
      </c>
      <c r="BV52" s="22" t="str">
        <f t="shared" si="23"/>
        <v/>
      </c>
      <c r="BW52" s="22" t="str">
        <f t="array" ref="BW52">_xlfn.TEXTJOIN("",TRUE,IF(ISERROR(FIND(ROW($1:$10)-1,BU52&amp;BV52)),ROW($1:$10)-1,""))</f>
        <v>0123456789</v>
      </c>
      <c r="BX52" s="20" t="str">
        <f t="shared" si="16"/>
        <v>中中中</v>
      </c>
      <c r="BY52" s="23" t="str">
        <f t="shared" si="10"/>
        <v>91</v>
      </c>
      <c r="BZ52" s="24" t="str">
        <f t="array" ref="BZ52">_xlfn.TEXTJOIN("",TRUE,IF(ISNUMBER(FIND(MID(BY51&amp;Q51,ROW($1:$4),1),BY52&amp;Q52)),MID(BY51&amp;Q51,ROW($1:$4),1),""))</f>
        <v/>
      </c>
      <c r="CA52" s="25" t="str">
        <f t="array" ref="CA52">_xlfn.TEXTJOIN("",TRUE,IF(ISERROR(FIND(ROW($1:$10)-1,BY52&amp;BZ52)),ROW($1:$10)-1,""))</f>
        <v>02345678</v>
      </c>
      <c r="CB52" s="26" t="str">
        <f t="shared" si="17"/>
        <v>邻孤孤</v>
      </c>
      <c r="CC52" s="27" t="str">
        <f t="shared" si="18"/>
        <v>46</v>
      </c>
      <c r="CD52" s="27" t="str">
        <f t="array" ref="CD52">_xlfn.TEXTJOIN("",TRUE,IF(ISNUMBER(FIND(MID(CC51&amp;R51,ROW($1:$4),1),CC52&amp;R52)),MID(CC51&amp;R51,ROW($1:$4),1),""))</f>
        <v>54</v>
      </c>
      <c r="CE52" s="27" t="str">
        <f t="array" ref="CE52">_xlfn.TEXTJOIN("",TRUE,IF(ISERROR(FIND(ROW($1:$10)-1,CC52&amp;CD52)),ROW($1:$10)-1,""))</f>
        <v>0123789</v>
      </c>
      <c r="CF52" s="17" t="str">
        <f t="shared" si="19"/>
        <v>邻传孤</v>
      </c>
      <c r="CG52" s="22" t="str">
        <f t="shared" si="20"/>
        <v>46</v>
      </c>
      <c r="CH52" s="22" t="str">
        <f t="array" ref="CH52">_xlfn.TEXTJOIN("",TRUE,IF(ISNUMBER(FIND(MID(CG51&amp;S51,ROW($1:$4),1),CG52&amp;S52)),MID(CG51&amp;S51,ROW($1:$4),1),""))</f>
        <v>6</v>
      </c>
      <c r="CI52" s="22" t="str">
        <f t="array" ref="CI52">_xlfn.TEXTJOIN("",TRUE,IF(ISERROR(FIND(ROW($1:$10)-1,CG52&amp;CH52)),ROW($1:$10)-1,""))</f>
        <v>01235789</v>
      </c>
      <c r="CJ52" s="28" t="str">
        <f t="shared" si="21"/>
        <v>邻传孤</v>
      </c>
    </row>
    <row r="53" spans="1:88">
      <c r="A53" s="32">
        <v>2024180</v>
      </c>
      <c r="B53" s="8" t="s">
        <v>73</v>
      </c>
      <c r="C53" s="49">
        <f t="shared" ref="C53:C77" si="30">LEFT(B53,1)+MID(B53,2,1)+RIGHT(B53,1)</f>
        <v>18</v>
      </c>
      <c r="D53" s="50">
        <f t="shared" ref="D53:D77" si="31">MOD(LEFT(B53,1)+MID(B53,2,1)+RIGHT(B53,1),10)</f>
        <v>8</v>
      </c>
      <c r="E53" s="51">
        <f t="shared" si="7"/>
        <v>6</v>
      </c>
      <c r="F53" s="52">
        <f>MAX(MID(B53,{1,2,3},1)*1)-MIN(MID(B53,{1,2,3},1)*1)</f>
        <v>8</v>
      </c>
      <c r="G53" s="104">
        <v>0</v>
      </c>
      <c r="H53" s="104">
        <v>1</v>
      </c>
      <c r="I53" s="104">
        <v>2</v>
      </c>
      <c r="J53" s="104">
        <v>3</v>
      </c>
      <c r="K53" s="104">
        <v>4</v>
      </c>
      <c r="L53" s="104">
        <v>5</v>
      </c>
      <c r="M53" s="104">
        <v>6</v>
      </c>
      <c r="N53" s="104">
        <v>7</v>
      </c>
      <c r="O53" s="104">
        <v>8</v>
      </c>
      <c r="P53" s="104">
        <v>9</v>
      </c>
      <c r="Q53" s="53">
        <f t="shared" ref="Q53:Q77" si="32">ABS(LEFT(B53,1)-MID(B53,2,1))</f>
        <v>8</v>
      </c>
      <c r="R53" s="53">
        <f t="shared" ref="R53:R77" si="33">ABS(LEFT(B53,1)-RIGHT(B53,1))</f>
        <v>1</v>
      </c>
      <c r="S53" s="53">
        <f t="shared" ref="S53:S77" si="34">ABS(MID(B53,2,1)-RIGHT(B53,1))</f>
        <v>7</v>
      </c>
      <c r="T53" s="101">
        <f t="shared" si="8"/>
        <v>16</v>
      </c>
      <c r="U53" s="15" t="str">
        <f>_xlfn.TEXTJOIN(", ",TRUE,ABS(MID(B53,{1,1,2},1)-MID(B53,{2,3,3},1)))</f>
        <v>8, 1, 7</v>
      </c>
      <c r="V53" s="54">
        <v>0</v>
      </c>
      <c r="W53" s="54">
        <v>1</v>
      </c>
      <c r="X53" s="54">
        <v>2</v>
      </c>
      <c r="Y53" s="54">
        <v>3</v>
      </c>
      <c r="Z53" s="54">
        <v>4</v>
      </c>
      <c r="AA53" s="54">
        <v>5</v>
      </c>
      <c r="AB53" s="54">
        <v>6</v>
      </c>
      <c r="AC53" s="54">
        <v>7</v>
      </c>
      <c r="AD53" s="54">
        <v>8</v>
      </c>
      <c r="AE53" s="54">
        <v>9</v>
      </c>
      <c r="AF53" s="55">
        <v>0</v>
      </c>
      <c r="AG53" s="55">
        <v>1</v>
      </c>
      <c r="AH53" s="55">
        <v>2</v>
      </c>
      <c r="AI53" s="55">
        <v>3</v>
      </c>
      <c r="AJ53" s="55">
        <v>4</v>
      </c>
      <c r="AK53" s="55">
        <v>5</v>
      </c>
      <c r="AL53" s="55">
        <v>6</v>
      </c>
      <c r="AM53" s="55">
        <v>7</v>
      </c>
      <c r="AN53" s="55">
        <v>8</v>
      </c>
      <c r="AO53" s="55">
        <v>9</v>
      </c>
      <c r="AP53" s="105">
        <v>0</v>
      </c>
      <c r="AQ53" s="105">
        <v>1</v>
      </c>
      <c r="AR53" s="105">
        <v>2</v>
      </c>
      <c r="AS53" s="105">
        <v>3</v>
      </c>
      <c r="AT53" s="105">
        <v>4</v>
      </c>
      <c r="AU53" s="105">
        <v>5</v>
      </c>
      <c r="AV53" s="105">
        <v>6</v>
      </c>
      <c r="AW53" s="105">
        <v>7</v>
      </c>
      <c r="AX53" s="105">
        <v>8</v>
      </c>
      <c r="AY53" s="105">
        <v>9</v>
      </c>
      <c r="AZ53" s="56">
        <v>0</v>
      </c>
      <c r="BA53" s="56">
        <v>1</v>
      </c>
      <c r="BB53" s="56">
        <v>2</v>
      </c>
      <c r="BC53" s="56">
        <v>3</v>
      </c>
      <c r="BD53" s="56">
        <v>4</v>
      </c>
      <c r="BE53" s="56">
        <v>5</v>
      </c>
      <c r="BF53" s="56">
        <v>6</v>
      </c>
      <c r="BG53" s="56">
        <v>7</v>
      </c>
      <c r="BH53" s="56">
        <v>8</v>
      </c>
      <c r="BI53" s="56">
        <v>9</v>
      </c>
      <c r="BJ53" s="57" t="str">
        <f t="shared" si="9"/>
        <v>松散型</v>
      </c>
      <c r="BK53" s="13">
        <f t="shared" si="5"/>
        <v>1</v>
      </c>
      <c r="BL53" s="13">
        <f t="shared" si="6"/>
        <v>8</v>
      </c>
      <c r="BM53" s="18" t="str">
        <f t="shared" si="11"/>
        <v/>
      </c>
      <c r="BN53" s="19" t="str">
        <f t="shared" si="12"/>
        <v/>
      </c>
      <c r="BO53" s="19" t="str">
        <f t="array" ref="BO53">_xlfn.TEXTJOIN("",TRUE,IF(ISERROR(FIND(ROW($1:$10)-1,BM53&amp;BN53)),ROW($1:$10)-1,""))</f>
        <v>0123456789</v>
      </c>
      <c r="BP53" s="20" t="str">
        <f t="shared" si="13"/>
        <v>中中中</v>
      </c>
      <c r="BQ53" s="21" t="str">
        <f t="shared" si="24"/>
        <v/>
      </c>
      <c r="BR53" s="21" t="str">
        <f t="shared" si="22"/>
        <v/>
      </c>
      <c r="BS53" s="21" t="str">
        <f t="array" ref="BS53">_xlfn.TEXTJOIN("",TRUE,IF(ISERROR(FIND(ROW($1:$10)-1,BQ53&amp;BR53)),ROW($1:$10)-1,""))</f>
        <v>0123456789</v>
      </c>
      <c r="BT53" s="20" t="str">
        <f t="shared" si="14"/>
        <v>中中中</v>
      </c>
      <c r="BU53" s="22" t="str">
        <f t="shared" si="15"/>
        <v/>
      </c>
      <c r="BV53" s="22">
        <f t="shared" si="23"/>
        <v>7</v>
      </c>
      <c r="BW53" s="22" t="str">
        <f t="array" ref="BW53">_xlfn.TEXTJOIN("",TRUE,IF(ISERROR(FIND(ROW($1:$10)-1,BU53&amp;BV53)),ROW($1:$10)-1,""))</f>
        <v>012345689</v>
      </c>
      <c r="BX53" s="20" t="str">
        <f t="shared" si="16"/>
        <v>中隔中</v>
      </c>
      <c r="BY53" s="23" t="str">
        <f t="shared" si="10"/>
        <v>79</v>
      </c>
      <c r="BZ53" s="24" t="str">
        <f t="array" ref="BZ53">_xlfn.TEXTJOIN("",TRUE,IF(ISNUMBER(FIND(MID(BY52&amp;Q52,ROW($1:$4),1),BY53&amp;Q53)),MID(BY52&amp;Q52,ROW($1:$4),1),""))</f>
        <v>9</v>
      </c>
      <c r="CA53" s="25" t="str">
        <f t="array" ref="CA53">_xlfn.TEXTJOIN("",TRUE,IF(ISERROR(FIND(ROW($1:$10)-1,BY53&amp;BZ53)),ROW($1:$10)-1,""))</f>
        <v>01234568</v>
      </c>
      <c r="CB53" s="26" t="str">
        <f t="shared" si="17"/>
        <v>邻传孤</v>
      </c>
      <c r="CC53" s="27" t="str">
        <f t="shared" si="18"/>
        <v>02</v>
      </c>
      <c r="CD53" s="27" t="str">
        <f t="array" ref="CD53">_xlfn.TEXTJOIN("",TRUE,IF(ISNUMBER(FIND(MID(CC52&amp;R52,ROW($1:$4),1),CC53&amp;R53)),MID(CC52&amp;R52,ROW($1:$4),1),""))</f>
        <v/>
      </c>
      <c r="CE53" s="27" t="str">
        <f t="array" ref="CE53">_xlfn.TEXTJOIN("",TRUE,IF(ISERROR(FIND(ROW($1:$10)-1,CC53&amp;CD53)),ROW($1:$10)-1,""))</f>
        <v>13456789</v>
      </c>
      <c r="CF53" s="17" t="str">
        <f t="shared" si="19"/>
        <v>邻孤孤</v>
      </c>
      <c r="CG53" s="22" t="str">
        <f t="shared" si="20"/>
        <v>68</v>
      </c>
      <c r="CH53" s="22" t="str">
        <f t="array" ref="CH53">_xlfn.TEXTJOIN("",TRUE,IF(ISNUMBER(FIND(MID(CG52&amp;S52,ROW($1:$4),1),CG53&amp;S53)),MID(CG52&amp;S52,ROW($1:$4),1),""))</f>
        <v>6</v>
      </c>
      <c r="CI53" s="22" t="str">
        <f t="array" ref="CI53">_xlfn.TEXTJOIN("",TRUE,IF(ISERROR(FIND(ROW($1:$10)-1,CG53&amp;CH53)),ROW($1:$10)-1,""))</f>
        <v>01234579</v>
      </c>
      <c r="CJ53" s="28" t="str">
        <f t="shared" si="21"/>
        <v>邻传孤</v>
      </c>
    </row>
    <row r="54" spans="1:88">
      <c r="A54" s="32">
        <v>2024181</v>
      </c>
      <c r="B54" s="8" t="s">
        <v>74</v>
      </c>
      <c r="C54" s="49">
        <f t="shared" si="30"/>
        <v>5</v>
      </c>
      <c r="D54" s="50">
        <f t="shared" si="31"/>
        <v>5</v>
      </c>
      <c r="E54" s="51">
        <f t="shared" si="7"/>
        <v>1.6666666666666701</v>
      </c>
      <c r="F54" s="52">
        <f>MAX(MID(B54,{1,2,3},1)*1)-MIN(MID(B54,{1,2,3},1)*1)</f>
        <v>3</v>
      </c>
      <c r="G54" s="104">
        <v>0</v>
      </c>
      <c r="H54" s="104">
        <v>1</v>
      </c>
      <c r="I54" s="104">
        <v>2</v>
      </c>
      <c r="J54" s="104">
        <v>3</v>
      </c>
      <c r="K54" s="104">
        <v>4</v>
      </c>
      <c r="L54" s="104">
        <v>5</v>
      </c>
      <c r="M54" s="104">
        <v>6</v>
      </c>
      <c r="N54" s="104">
        <v>7</v>
      </c>
      <c r="O54" s="104">
        <v>8</v>
      </c>
      <c r="P54" s="104">
        <v>9</v>
      </c>
      <c r="Q54" s="53">
        <f t="shared" si="32"/>
        <v>1</v>
      </c>
      <c r="R54" s="53">
        <f t="shared" si="33"/>
        <v>2</v>
      </c>
      <c r="S54" s="53">
        <f t="shared" si="34"/>
        <v>3</v>
      </c>
      <c r="T54" s="101">
        <f t="shared" si="8"/>
        <v>6</v>
      </c>
      <c r="U54" s="15" t="str">
        <f>_xlfn.TEXTJOIN(", ",TRUE,ABS(MID(B54,{1,1,2},1)-MID(B54,{2,3,3},1)))</f>
        <v>1, 2, 3</v>
      </c>
      <c r="V54" s="54">
        <v>0</v>
      </c>
      <c r="W54" s="54">
        <v>1</v>
      </c>
      <c r="X54" s="54">
        <v>2</v>
      </c>
      <c r="Y54" s="54">
        <v>3</v>
      </c>
      <c r="Z54" s="54">
        <v>4</v>
      </c>
      <c r="AA54" s="54">
        <v>5</v>
      </c>
      <c r="AB54" s="54">
        <v>6</v>
      </c>
      <c r="AC54" s="54">
        <v>7</v>
      </c>
      <c r="AD54" s="54">
        <v>8</v>
      </c>
      <c r="AE54" s="54">
        <v>9</v>
      </c>
      <c r="AF54" s="55">
        <v>0</v>
      </c>
      <c r="AG54" s="55">
        <v>1</v>
      </c>
      <c r="AH54" s="55">
        <v>2</v>
      </c>
      <c r="AI54" s="55">
        <v>3</v>
      </c>
      <c r="AJ54" s="55">
        <v>4</v>
      </c>
      <c r="AK54" s="55">
        <v>5</v>
      </c>
      <c r="AL54" s="55">
        <v>6</v>
      </c>
      <c r="AM54" s="55">
        <v>7</v>
      </c>
      <c r="AN54" s="55">
        <v>8</v>
      </c>
      <c r="AO54" s="55">
        <v>9</v>
      </c>
      <c r="AP54" s="105">
        <v>0</v>
      </c>
      <c r="AQ54" s="105">
        <v>1</v>
      </c>
      <c r="AR54" s="105">
        <v>2</v>
      </c>
      <c r="AS54" s="105">
        <v>3</v>
      </c>
      <c r="AT54" s="105">
        <v>4</v>
      </c>
      <c r="AU54" s="105">
        <v>5</v>
      </c>
      <c r="AV54" s="105">
        <v>6</v>
      </c>
      <c r="AW54" s="105">
        <v>7</v>
      </c>
      <c r="AX54" s="105">
        <v>8</v>
      </c>
      <c r="AY54" s="105">
        <v>9</v>
      </c>
      <c r="AZ54" s="56">
        <v>0</v>
      </c>
      <c r="BA54" s="56">
        <v>1</v>
      </c>
      <c r="BB54" s="56">
        <v>2</v>
      </c>
      <c r="BC54" s="56">
        <v>3</v>
      </c>
      <c r="BD54" s="56">
        <v>4</v>
      </c>
      <c r="BE54" s="56">
        <v>5</v>
      </c>
      <c r="BF54" s="56">
        <v>6</v>
      </c>
      <c r="BG54" s="56">
        <v>7</v>
      </c>
      <c r="BH54" s="56">
        <v>8</v>
      </c>
      <c r="BI54" s="56">
        <v>9</v>
      </c>
      <c r="BJ54" s="57" t="str">
        <f t="shared" si="9"/>
        <v>紧凑型</v>
      </c>
      <c r="BK54" s="13">
        <f t="shared" si="5"/>
        <v>1</v>
      </c>
      <c r="BL54" s="13">
        <f t="shared" si="6"/>
        <v>3</v>
      </c>
      <c r="BM54" s="18">
        <f t="shared" si="11"/>
        <v>1</v>
      </c>
      <c r="BN54" s="19" t="str">
        <f t="shared" si="12"/>
        <v/>
      </c>
      <c r="BO54" s="19" t="str">
        <f t="array" ref="BO54">_xlfn.TEXTJOIN("",TRUE,IF(ISERROR(FIND(ROW($1:$10)-1,BM54&amp;BN54)),ROW($1:$10)-1,""))</f>
        <v>023456789</v>
      </c>
      <c r="BP54" s="20" t="str">
        <f t="shared" si="13"/>
        <v>复中中</v>
      </c>
      <c r="BQ54" s="21" t="str">
        <f t="shared" si="24"/>
        <v/>
      </c>
      <c r="BR54" s="21" t="str">
        <f t="shared" si="22"/>
        <v/>
      </c>
      <c r="BS54" s="21" t="str">
        <f t="array" ref="BS54">_xlfn.TEXTJOIN("",TRUE,IF(ISERROR(FIND(ROW($1:$10)-1,BQ54&amp;BR54)),ROW($1:$10)-1,""))</f>
        <v>0123456789</v>
      </c>
      <c r="BT54" s="20" t="str">
        <f t="shared" si="14"/>
        <v>中中中</v>
      </c>
      <c r="BU54" s="22" t="str">
        <f t="shared" si="15"/>
        <v/>
      </c>
      <c r="BV54" s="22" t="str">
        <f t="shared" si="23"/>
        <v/>
      </c>
      <c r="BW54" s="22" t="str">
        <f t="array" ref="BW54">_xlfn.TEXTJOIN("",TRUE,IF(ISERROR(FIND(ROW($1:$10)-1,BU54&amp;BV54)),ROW($1:$10)-1,""))</f>
        <v>0123456789</v>
      </c>
      <c r="BX54" s="20" t="str">
        <f t="shared" si="16"/>
        <v>中中中</v>
      </c>
      <c r="BY54" s="23" t="str">
        <f t="shared" si="10"/>
        <v>02</v>
      </c>
      <c r="BZ54" s="24" t="str">
        <f t="array" ref="BZ54">_xlfn.TEXTJOIN("",TRUE,IF(ISNUMBER(FIND(MID(BY53&amp;Q53,ROW($1:$4),1),BY54&amp;Q54)),MID(BY53&amp;Q53,ROW($1:$4),1),""))</f>
        <v/>
      </c>
      <c r="CA54" s="25" t="str">
        <f t="array" ref="CA54">_xlfn.TEXTJOIN("",TRUE,IF(ISERROR(FIND(ROW($1:$10)-1,BY54&amp;BZ54)),ROW($1:$10)-1,""))</f>
        <v>13456789</v>
      </c>
      <c r="CB54" s="26" t="str">
        <f t="shared" si="17"/>
        <v>邻孤孤</v>
      </c>
      <c r="CC54" s="27" t="str">
        <f t="shared" si="18"/>
        <v>13</v>
      </c>
      <c r="CD54" s="27" t="str">
        <f t="array" ref="CD54">_xlfn.TEXTJOIN("",TRUE,IF(ISNUMBER(FIND(MID(CC53&amp;R53,ROW($1:$4),1),CC54&amp;R54)),MID(CC53&amp;R53,ROW($1:$4),1),""))</f>
        <v>21</v>
      </c>
      <c r="CE54" s="27" t="str">
        <f t="array" ref="CE54">_xlfn.TEXTJOIN("",TRUE,IF(ISERROR(FIND(ROW($1:$10)-1,CC54&amp;CD54)),ROW($1:$10)-1,""))</f>
        <v>0456789</v>
      </c>
      <c r="CF54" s="17" t="str">
        <f t="shared" si="19"/>
        <v>邻传孤</v>
      </c>
      <c r="CG54" s="22" t="str">
        <f t="shared" si="20"/>
        <v>24</v>
      </c>
      <c r="CH54" s="22" t="str">
        <f t="array" ref="CH54">_xlfn.TEXTJOIN("",TRUE,IF(ISNUMBER(FIND(MID(CG53&amp;S53,ROW($1:$4),1),CG54&amp;S54)),MID(CG53&amp;S53,ROW($1:$4),1),""))</f>
        <v/>
      </c>
      <c r="CI54" s="22" t="str">
        <f t="array" ref="CI54">_xlfn.TEXTJOIN("",TRUE,IF(ISERROR(FIND(ROW($1:$10)-1,CG54&amp;CH54)),ROW($1:$10)-1,""))</f>
        <v>01356789</v>
      </c>
      <c r="CJ54" s="28" t="str">
        <f t="shared" si="21"/>
        <v>邻孤孤</v>
      </c>
    </row>
    <row r="55" spans="1:88">
      <c r="A55" s="32">
        <v>2024182</v>
      </c>
      <c r="B55" s="8" t="s">
        <v>75</v>
      </c>
      <c r="C55" s="49">
        <f t="shared" si="30"/>
        <v>20</v>
      </c>
      <c r="D55" s="50">
        <f t="shared" si="31"/>
        <v>0</v>
      </c>
      <c r="E55" s="51">
        <f t="shared" si="7"/>
        <v>6.6666666666666696</v>
      </c>
      <c r="F55" s="52">
        <f>MAX(MID(B55,{1,2,3},1)*1)-MIN(MID(B55,{1,2,3},1)*1)</f>
        <v>4</v>
      </c>
      <c r="G55" s="104">
        <v>0</v>
      </c>
      <c r="H55" s="104">
        <v>1</v>
      </c>
      <c r="I55" s="104">
        <v>2</v>
      </c>
      <c r="J55" s="104">
        <v>3</v>
      </c>
      <c r="K55" s="104">
        <v>4</v>
      </c>
      <c r="L55" s="104">
        <v>5</v>
      </c>
      <c r="M55" s="104">
        <v>6</v>
      </c>
      <c r="N55" s="104">
        <v>7</v>
      </c>
      <c r="O55" s="104">
        <v>8</v>
      </c>
      <c r="P55" s="104">
        <v>9</v>
      </c>
      <c r="Q55" s="53">
        <f t="shared" si="32"/>
        <v>0</v>
      </c>
      <c r="R55" s="53">
        <f t="shared" si="33"/>
        <v>4</v>
      </c>
      <c r="S55" s="53">
        <f t="shared" si="34"/>
        <v>4</v>
      </c>
      <c r="T55" s="101">
        <f t="shared" si="8"/>
        <v>8</v>
      </c>
      <c r="U55" s="15" t="str">
        <f>_xlfn.TEXTJOIN(", ",TRUE,ABS(MID(B55,{1,1,2},1)-MID(B55,{2,3,3},1)))</f>
        <v>0, 4, 4</v>
      </c>
      <c r="V55" s="54">
        <v>0</v>
      </c>
      <c r="W55" s="54">
        <v>1</v>
      </c>
      <c r="X55" s="54">
        <v>2</v>
      </c>
      <c r="Y55" s="54">
        <v>3</v>
      </c>
      <c r="Z55" s="54">
        <v>4</v>
      </c>
      <c r="AA55" s="54">
        <v>5</v>
      </c>
      <c r="AB55" s="54">
        <v>6</v>
      </c>
      <c r="AC55" s="54">
        <v>7</v>
      </c>
      <c r="AD55" s="54">
        <v>8</v>
      </c>
      <c r="AE55" s="54">
        <v>9</v>
      </c>
      <c r="AF55" s="55">
        <v>0</v>
      </c>
      <c r="AG55" s="55">
        <v>1</v>
      </c>
      <c r="AH55" s="55">
        <v>2</v>
      </c>
      <c r="AI55" s="55">
        <v>3</v>
      </c>
      <c r="AJ55" s="55">
        <v>4</v>
      </c>
      <c r="AK55" s="55">
        <v>5</v>
      </c>
      <c r="AL55" s="55">
        <v>6</v>
      </c>
      <c r="AM55" s="55">
        <v>7</v>
      </c>
      <c r="AN55" s="55">
        <v>8</v>
      </c>
      <c r="AO55" s="55">
        <v>9</v>
      </c>
      <c r="AP55" s="105">
        <v>0</v>
      </c>
      <c r="AQ55" s="105">
        <v>1</v>
      </c>
      <c r="AR55" s="105">
        <v>2</v>
      </c>
      <c r="AS55" s="105">
        <v>3</v>
      </c>
      <c r="AT55" s="105">
        <v>4</v>
      </c>
      <c r="AU55" s="105">
        <v>5</v>
      </c>
      <c r="AV55" s="105">
        <v>6</v>
      </c>
      <c r="AW55" s="105">
        <v>7</v>
      </c>
      <c r="AX55" s="105">
        <v>8</v>
      </c>
      <c r="AY55" s="105">
        <v>9</v>
      </c>
      <c r="AZ55" s="56">
        <v>0</v>
      </c>
      <c r="BA55" s="56">
        <v>1</v>
      </c>
      <c r="BB55" s="56">
        <v>2</v>
      </c>
      <c r="BC55" s="56">
        <v>3</v>
      </c>
      <c r="BD55" s="56">
        <v>4</v>
      </c>
      <c r="BE55" s="56">
        <v>5</v>
      </c>
      <c r="BF55" s="56">
        <v>6</v>
      </c>
      <c r="BG55" s="56">
        <v>7</v>
      </c>
      <c r="BH55" s="56">
        <v>8</v>
      </c>
      <c r="BI55" s="56">
        <v>9</v>
      </c>
      <c r="BJ55" s="57" t="str">
        <f t="shared" si="9"/>
        <v>紧凑型</v>
      </c>
      <c r="BK55" s="13">
        <f t="shared" si="5"/>
        <v>0</v>
      </c>
      <c r="BL55" s="13">
        <f t="shared" si="6"/>
        <v>4</v>
      </c>
      <c r="BM55" s="18" t="str">
        <f t="shared" si="11"/>
        <v/>
      </c>
      <c r="BN55" s="19" t="str">
        <f t="shared" si="12"/>
        <v/>
      </c>
      <c r="BO55" s="19" t="str">
        <f t="array" ref="BO55">_xlfn.TEXTJOIN("",TRUE,IF(ISERROR(FIND(ROW($1:$10)-1,BM55&amp;BN55)),ROW($1:$10)-1,""))</f>
        <v>0123456789</v>
      </c>
      <c r="BP55" s="20" t="str">
        <f t="shared" si="13"/>
        <v>中中中</v>
      </c>
      <c r="BQ55" s="21" t="str">
        <f t="shared" si="24"/>
        <v/>
      </c>
      <c r="BR55" s="21" t="str">
        <f t="shared" si="22"/>
        <v/>
      </c>
      <c r="BS55" s="21" t="str">
        <f t="array" ref="BS55">_xlfn.TEXTJOIN("",TRUE,IF(ISERROR(FIND(ROW($1:$10)-1,BQ55&amp;BR55)),ROW($1:$10)-1,""))</f>
        <v>0123456789</v>
      </c>
      <c r="BT55" s="20" t="str">
        <f t="shared" si="14"/>
        <v>中中中</v>
      </c>
      <c r="BU55" s="22" t="str">
        <f t="shared" si="15"/>
        <v/>
      </c>
      <c r="BV55" s="22" t="str">
        <f t="shared" si="23"/>
        <v/>
      </c>
      <c r="BW55" s="22" t="str">
        <f t="array" ref="BW55">_xlfn.TEXTJOIN("",TRUE,IF(ISERROR(FIND(ROW($1:$10)-1,BU55&amp;BV55)),ROW($1:$10)-1,""))</f>
        <v>0123456789</v>
      </c>
      <c r="BX55" s="20" t="str">
        <f t="shared" si="16"/>
        <v>中中中</v>
      </c>
      <c r="BY55" s="23" t="str">
        <f t="shared" si="10"/>
        <v>91</v>
      </c>
      <c r="BZ55" s="24" t="str">
        <f t="array" ref="BZ55">_xlfn.TEXTJOIN("",TRUE,IF(ISNUMBER(FIND(MID(BY54&amp;Q54,ROW($1:$4),1),BY55&amp;Q55)),MID(BY54&amp;Q54,ROW($1:$4),1),""))</f>
        <v>01</v>
      </c>
      <c r="CA55" s="25" t="str">
        <f t="array" ref="CA55">_xlfn.TEXTJOIN("",TRUE,IF(ISERROR(FIND(ROW($1:$10)-1,BY55&amp;BZ55)),ROW($1:$10)-1,""))</f>
        <v>2345678</v>
      </c>
      <c r="CB55" s="26" t="str">
        <f t="shared" si="17"/>
        <v>邻传孤</v>
      </c>
      <c r="CC55" s="27" t="str">
        <f t="shared" si="18"/>
        <v>35</v>
      </c>
      <c r="CD55" s="27" t="str">
        <f t="array" ref="CD55">_xlfn.TEXTJOIN("",TRUE,IF(ISNUMBER(FIND(MID(CC54&amp;R54,ROW($1:$4),1),CC55&amp;R55)),MID(CC54&amp;R54,ROW($1:$4),1),""))</f>
        <v>3</v>
      </c>
      <c r="CE55" s="27" t="str">
        <f t="array" ref="CE55">_xlfn.TEXTJOIN("",TRUE,IF(ISERROR(FIND(ROW($1:$10)-1,CC55&amp;CD55)),ROW($1:$10)-1,""))</f>
        <v>01246789</v>
      </c>
      <c r="CF55" s="17" t="str">
        <f t="shared" si="19"/>
        <v>邻传孤</v>
      </c>
      <c r="CG55" s="22" t="str">
        <f t="shared" si="20"/>
        <v>35</v>
      </c>
      <c r="CH55" s="22" t="str">
        <f t="array" ref="CH55">_xlfn.TEXTJOIN("",TRUE,IF(ISNUMBER(FIND(MID(CG54&amp;S54,ROW($1:$4),1),CG55&amp;S55)),MID(CG54&amp;S54,ROW($1:$4),1),""))</f>
        <v>43</v>
      </c>
      <c r="CI55" s="22" t="str">
        <f t="array" ref="CI55">_xlfn.TEXTJOIN("",TRUE,IF(ISERROR(FIND(ROW($1:$10)-1,CG55&amp;CH55)),ROW($1:$10)-1,""))</f>
        <v>0126789</v>
      </c>
      <c r="CJ55" s="28" t="str">
        <f t="shared" si="21"/>
        <v>邻传孤</v>
      </c>
    </row>
    <row r="56" spans="1:88">
      <c r="A56" s="32">
        <v>2024183</v>
      </c>
      <c r="B56" s="8" t="s">
        <v>76</v>
      </c>
      <c r="C56" s="49">
        <f t="shared" si="30"/>
        <v>11</v>
      </c>
      <c r="D56" s="50">
        <f t="shared" si="31"/>
        <v>1</v>
      </c>
      <c r="E56" s="51">
        <f t="shared" si="7"/>
        <v>3.6666666666666701</v>
      </c>
      <c r="F56" s="52">
        <f>MAX(MID(B56,{1,2,3},1)*1)-MIN(MID(B56,{1,2,3},1)*1)</f>
        <v>1</v>
      </c>
      <c r="G56" s="104">
        <v>0</v>
      </c>
      <c r="H56" s="104">
        <v>1</v>
      </c>
      <c r="I56" s="104">
        <v>2</v>
      </c>
      <c r="J56" s="104">
        <v>3</v>
      </c>
      <c r="K56" s="104">
        <v>4</v>
      </c>
      <c r="L56" s="104">
        <v>5</v>
      </c>
      <c r="M56" s="104">
        <v>6</v>
      </c>
      <c r="N56" s="104">
        <v>7</v>
      </c>
      <c r="O56" s="104">
        <v>8</v>
      </c>
      <c r="P56" s="104">
        <v>9</v>
      </c>
      <c r="Q56" s="53">
        <f t="shared" si="32"/>
        <v>0</v>
      </c>
      <c r="R56" s="53">
        <f t="shared" si="33"/>
        <v>1</v>
      </c>
      <c r="S56" s="53">
        <f t="shared" si="34"/>
        <v>1</v>
      </c>
      <c r="T56" s="101">
        <f t="shared" si="8"/>
        <v>2</v>
      </c>
      <c r="U56" s="15" t="str">
        <f>_xlfn.TEXTJOIN(", ",TRUE,ABS(MID(B56,{1,1,2},1)-MID(B56,{2,3,3},1)))</f>
        <v>0, 1, 1</v>
      </c>
      <c r="V56" s="54">
        <v>0</v>
      </c>
      <c r="W56" s="54">
        <v>1</v>
      </c>
      <c r="X56" s="54">
        <v>2</v>
      </c>
      <c r="Y56" s="54">
        <v>3</v>
      </c>
      <c r="Z56" s="54">
        <v>4</v>
      </c>
      <c r="AA56" s="54">
        <v>5</v>
      </c>
      <c r="AB56" s="54">
        <v>6</v>
      </c>
      <c r="AC56" s="54">
        <v>7</v>
      </c>
      <c r="AD56" s="54">
        <v>8</v>
      </c>
      <c r="AE56" s="54">
        <v>9</v>
      </c>
      <c r="AF56" s="55">
        <v>0</v>
      </c>
      <c r="AG56" s="55">
        <v>1</v>
      </c>
      <c r="AH56" s="55">
        <v>2</v>
      </c>
      <c r="AI56" s="55">
        <v>3</v>
      </c>
      <c r="AJ56" s="55">
        <v>4</v>
      </c>
      <c r="AK56" s="55">
        <v>5</v>
      </c>
      <c r="AL56" s="55">
        <v>6</v>
      </c>
      <c r="AM56" s="55">
        <v>7</v>
      </c>
      <c r="AN56" s="55">
        <v>8</v>
      </c>
      <c r="AO56" s="55">
        <v>9</v>
      </c>
      <c r="AP56" s="105">
        <v>0</v>
      </c>
      <c r="AQ56" s="105">
        <v>1</v>
      </c>
      <c r="AR56" s="105">
        <v>2</v>
      </c>
      <c r="AS56" s="105">
        <v>3</v>
      </c>
      <c r="AT56" s="105">
        <v>4</v>
      </c>
      <c r="AU56" s="105">
        <v>5</v>
      </c>
      <c r="AV56" s="105">
        <v>6</v>
      </c>
      <c r="AW56" s="105">
        <v>7</v>
      </c>
      <c r="AX56" s="105">
        <v>8</v>
      </c>
      <c r="AY56" s="105">
        <v>9</v>
      </c>
      <c r="AZ56" s="56">
        <v>0</v>
      </c>
      <c r="BA56" s="56">
        <v>1</v>
      </c>
      <c r="BB56" s="56">
        <v>2</v>
      </c>
      <c r="BC56" s="56">
        <v>3</v>
      </c>
      <c r="BD56" s="56">
        <v>4</v>
      </c>
      <c r="BE56" s="56">
        <v>5</v>
      </c>
      <c r="BF56" s="56">
        <v>6</v>
      </c>
      <c r="BG56" s="56">
        <v>7</v>
      </c>
      <c r="BH56" s="56">
        <v>8</v>
      </c>
      <c r="BI56" s="56">
        <v>9</v>
      </c>
      <c r="BJ56" s="57" t="str">
        <f t="shared" si="9"/>
        <v>紧凑型</v>
      </c>
      <c r="BK56" s="13">
        <f t="shared" si="5"/>
        <v>0</v>
      </c>
      <c r="BL56" s="13">
        <f t="shared" si="6"/>
        <v>1</v>
      </c>
      <c r="BM56" s="18">
        <f t="shared" si="11"/>
        <v>0</v>
      </c>
      <c r="BN56" s="19" t="str">
        <f t="shared" si="12"/>
        <v/>
      </c>
      <c r="BO56" s="19" t="str">
        <f t="array" ref="BO56">_xlfn.TEXTJOIN("",TRUE,IF(ISERROR(FIND(ROW($1:$10)-1,BM56&amp;BN56)),ROW($1:$10)-1,""))</f>
        <v>123456789</v>
      </c>
      <c r="BP56" s="20" t="str">
        <f t="shared" si="13"/>
        <v>复中中</v>
      </c>
      <c r="BQ56" s="21" t="str">
        <f t="shared" si="24"/>
        <v/>
      </c>
      <c r="BR56" s="21">
        <f t="shared" si="22"/>
        <v>1</v>
      </c>
      <c r="BS56" s="21" t="str">
        <f t="array" ref="BS56">_xlfn.TEXTJOIN("",TRUE,IF(ISERROR(FIND(ROW($1:$10)-1,BQ56&amp;BR56)),ROW($1:$10)-1,""))</f>
        <v>023456789</v>
      </c>
      <c r="BT56" s="20" t="str">
        <f t="shared" si="14"/>
        <v>中隔中</v>
      </c>
      <c r="BU56" s="22" t="str">
        <f t="shared" si="15"/>
        <v/>
      </c>
      <c r="BV56" s="22">
        <f t="shared" si="23"/>
        <v>1</v>
      </c>
      <c r="BW56" s="22" t="str">
        <f t="array" ref="BW56">_xlfn.TEXTJOIN("",TRUE,IF(ISERROR(FIND(ROW($1:$10)-1,BU56&amp;BV56)),ROW($1:$10)-1,""))</f>
        <v>023456789</v>
      </c>
      <c r="BX56" s="20" t="str">
        <f t="shared" si="16"/>
        <v>中隔中</v>
      </c>
      <c r="BY56" s="23" t="str">
        <f t="shared" si="10"/>
        <v>91</v>
      </c>
      <c r="BZ56" s="24" t="str">
        <f t="array" ref="BZ56">_xlfn.TEXTJOIN("",TRUE,IF(ISNUMBER(FIND(MID(BY55&amp;Q55,ROW($1:$4),1),BY56&amp;Q56)),MID(BY55&amp;Q55,ROW($1:$4),1),""))</f>
        <v>910</v>
      </c>
      <c r="CA56" s="25" t="str">
        <f t="array" ref="CA56">_xlfn.TEXTJOIN("",TRUE,IF(ISERROR(FIND(ROW($1:$10)-1,BY56&amp;BZ56)),ROW($1:$10)-1,""))</f>
        <v>2345678</v>
      </c>
      <c r="CB56" s="26" t="str">
        <f t="shared" si="17"/>
        <v>邻传孤</v>
      </c>
      <c r="CC56" s="27" t="str">
        <f t="shared" si="18"/>
        <v>02</v>
      </c>
      <c r="CD56" s="27" t="str">
        <f t="array" ref="CD56">_xlfn.TEXTJOIN("",TRUE,IF(ISNUMBER(FIND(MID(CC55&amp;R55,ROW($1:$4),1),CC56&amp;R56)),MID(CC55&amp;R55,ROW($1:$4),1),""))</f>
        <v/>
      </c>
      <c r="CE56" s="27" t="str">
        <f t="array" ref="CE56">_xlfn.TEXTJOIN("",TRUE,IF(ISERROR(FIND(ROW($1:$10)-1,CC56&amp;CD56)),ROW($1:$10)-1,""))</f>
        <v>13456789</v>
      </c>
      <c r="CF56" s="17" t="str">
        <f t="shared" si="19"/>
        <v>邻孤孤</v>
      </c>
      <c r="CG56" s="22" t="str">
        <f t="shared" si="20"/>
        <v>02</v>
      </c>
      <c r="CH56" s="22" t="str">
        <f t="array" ref="CH56">_xlfn.TEXTJOIN("",TRUE,IF(ISNUMBER(FIND(MID(CG55&amp;S55,ROW($1:$4),1),CG56&amp;S56)),MID(CG55&amp;S55,ROW($1:$4),1),""))</f>
        <v/>
      </c>
      <c r="CI56" s="22" t="str">
        <f t="array" ref="CI56">_xlfn.TEXTJOIN("",TRUE,IF(ISERROR(FIND(ROW($1:$10)-1,CG56&amp;CH56)),ROW($1:$10)-1,""))</f>
        <v>13456789</v>
      </c>
      <c r="CJ56" s="28" t="str">
        <f t="shared" si="21"/>
        <v>邻孤孤</v>
      </c>
    </row>
    <row r="57" spans="1:88">
      <c r="A57" s="32">
        <v>2024184</v>
      </c>
      <c r="B57" s="8" t="s">
        <v>77</v>
      </c>
      <c r="C57" s="49">
        <f t="shared" si="30"/>
        <v>15</v>
      </c>
      <c r="D57" s="50">
        <f t="shared" si="31"/>
        <v>5</v>
      </c>
      <c r="E57" s="51">
        <f t="shared" si="7"/>
        <v>5</v>
      </c>
      <c r="F57" s="52">
        <f>MAX(MID(B57,{1,2,3},1)*1)-MIN(MID(B57,{1,2,3},1)*1)</f>
        <v>6</v>
      </c>
      <c r="G57" s="104">
        <v>0</v>
      </c>
      <c r="H57" s="104">
        <v>1</v>
      </c>
      <c r="I57" s="104">
        <v>2</v>
      </c>
      <c r="J57" s="104">
        <v>3</v>
      </c>
      <c r="K57" s="104">
        <v>4</v>
      </c>
      <c r="L57" s="104">
        <v>5</v>
      </c>
      <c r="M57" s="104">
        <v>6</v>
      </c>
      <c r="N57" s="104">
        <v>7</v>
      </c>
      <c r="O57" s="104">
        <v>8</v>
      </c>
      <c r="P57" s="104">
        <v>9</v>
      </c>
      <c r="Q57" s="53">
        <f t="shared" si="32"/>
        <v>6</v>
      </c>
      <c r="R57" s="53">
        <f t="shared" si="33"/>
        <v>6</v>
      </c>
      <c r="S57" s="53">
        <f t="shared" si="34"/>
        <v>0</v>
      </c>
      <c r="T57" s="101">
        <f t="shared" si="8"/>
        <v>12</v>
      </c>
      <c r="U57" s="15" t="str">
        <f>_xlfn.TEXTJOIN(", ",TRUE,ABS(MID(B57,{1,1,2},1)-MID(B57,{2,3,3},1)))</f>
        <v>6, 6, 0</v>
      </c>
      <c r="V57" s="54">
        <v>0</v>
      </c>
      <c r="W57" s="54">
        <v>1</v>
      </c>
      <c r="X57" s="54">
        <v>2</v>
      </c>
      <c r="Y57" s="54">
        <v>3</v>
      </c>
      <c r="Z57" s="54">
        <v>4</v>
      </c>
      <c r="AA57" s="54">
        <v>5</v>
      </c>
      <c r="AB57" s="54">
        <v>6</v>
      </c>
      <c r="AC57" s="54">
        <v>7</v>
      </c>
      <c r="AD57" s="54">
        <v>8</v>
      </c>
      <c r="AE57" s="54">
        <v>9</v>
      </c>
      <c r="AF57" s="55">
        <v>0</v>
      </c>
      <c r="AG57" s="55">
        <v>1</v>
      </c>
      <c r="AH57" s="55">
        <v>2</v>
      </c>
      <c r="AI57" s="55">
        <v>3</v>
      </c>
      <c r="AJ57" s="55">
        <v>4</v>
      </c>
      <c r="AK57" s="55">
        <v>5</v>
      </c>
      <c r="AL57" s="55">
        <v>6</v>
      </c>
      <c r="AM57" s="55">
        <v>7</v>
      </c>
      <c r="AN57" s="55">
        <v>8</v>
      </c>
      <c r="AO57" s="55">
        <v>9</v>
      </c>
      <c r="AP57" s="105">
        <v>0</v>
      </c>
      <c r="AQ57" s="105">
        <v>1</v>
      </c>
      <c r="AR57" s="105">
        <v>2</v>
      </c>
      <c r="AS57" s="105">
        <v>3</v>
      </c>
      <c r="AT57" s="105">
        <v>4</v>
      </c>
      <c r="AU57" s="105">
        <v>5</v>
      </c>
      <c r="AV57" s="105">
        <v>6</v>
      </c>
      <c r="AW57" s="105">
        <v>7</v>
      </c>
      <c r="AX57" s="105">
        <v>8</v>
      </c>
      <c r="AY57" s="105">
        <v>9</v>
      </c>
      <c r="AZ57" s="56">
        <v>0</v>
      </c>
      <c r="BA57" s="56">
        <v>1</v>
      </c>
      <c r="BB57" s="56">
        <v>2</v>
      </c>
      <c r="BC57" s="56">
        <v>3</v>
      </c>
      <c r="BD57" s="56">
        <v>4</v>
      </c>
      <c r="BE57" s="56">
        <v>5</v>
      </c>
      <c r="BF57" s="56">
        <v>6</v>
      </c>
      <c r="BG57" s="56">
        <v>7</v>
      </c>
      <c r="BH57" s="56">
        <v>8</v>
      </c>
      <c r="BI57" s="56">
        <v>9</v>
      </c>
      <c r="BJ57" s="57" t="str">
        <f t="shared" si="9"/>
        <v>松散型</v>
      </c>
      <c r="BK57" s="13">
        <f t="shared" si="5"/>
        <v>0</v>
      </c>
      <c r="BL57" s="13">
        <f t="shared" si="6"/>
        <v>6</v>
      </c>
      <c r="BM57" s="18" t="str">
        <f t="shared" si="11"/>
        <v/>
      </c>
      <c r="BN57" s="19" t="str">
        <f t="shared" si="12"/>
        <v/>
      </c>
      <c r="BO57" s="19" t="str">
        <f t="array" ref="BO57">_xlfn.TEXTJOIN("",TRUE,IF(ISERROR(FIND(ROW($1:$10)-1,BM57&amp;BN57)),ROW($1:$10)-1,""))</f>
        <v>0123456789</v>
      </c>
      <c r="BP57" s="20" t="str">
        <f t="shared" si="13"/>
        <v>中中中</v>
      </c>
      <c r="BQ57" s="21" t="str">
        <f t="shared" si="24"/>
        <v/>
      </c>
      <c r="BR57" s="21" t="str">
        <f t="shared" si="22"/>
        <v/>
      </c>
      <c r="BS57" s="21" t="str">
        <f t="array" ref="BS57">_xlfn.TEXTJOIN("",TRUE,IF(ISERROR(FIND(ROW($1:$10)-1,BQ57&amp;BR57)),ROW($1:$10)-1,""))</f>
        <v>0123456789</v>
      </c>
      <c r="BT57" s="20" t="str">
        <f t="shared" si="14"/>
        <v>中中中</v>
      </c>
      <c r="BU57" s="22">
        <f t="shared" si="15"/>
        <v>0</v>
      </c>
      <c r="BV57" s="22">
        <f t="shared" si="23"/>
        <v>0</v>
      </c>
      <c r="BW57" s="22" t="str">
        <f t="array" ref="BW57">_xlfn.TEXTJOIN("",TRUE,IF(ISERROR(FIND(ROW($1:$10)-1,BU57&amp;BV57)),ROW($1:$10)-1,""))</f>
        <v>123456789</v>
      </c>
      <c r="BX57" s="20" t="str">
        <f t="shared" si="16"/>
        <v>复隔中</v>
      </c>
      <c r="BY57" s="23" t="str">
        <f t="shared" si="10"/>
        <v>57</v>
      </c>
      <c r="BZ57" s="24" t="str">
        <f t="array" ref="BZ57">_xlfn.TEXTJOIN("",TRUE,IF(ISNUMBER(FIND(MID(BY56&amp;Q56,ROW($1:$4),1),BY57&amp;Q57)),MID(BY56&amp;Q56,ROW($1:$4),1),""))</f>
        <v/>
      </c>
      <c r="CA57" s="25" t="str">
        <f t="array" ref="CA57">_xlfn.TEXTJOIN("",TRUE,IF(ISERROR(FIND(ROW($1:$10)-1,BY57&amp;BZ57)),ROW($1:$10)-1,""))</f>
        <v>01234689</v>
      </c>
      <c r="CB57" s="26" t="str">
        <f t="shared" si="17"/>
        <v>邻孤孤</v>
      </c>
      <c r="CC57" s="27" t="str">
        <f t="shared" si="18"/>
        <v>57</v>
      </c>
      <c r="CD57" s="27" t="str">
        <f t="array" ref="CD57">_xlfn.TEXTJOIN("",TRUE,IF(ISNUMBER(FIND(MID(CC56&amp;R56,ROW($1:$4),1),CC57&amp;R57)),MID(CC56&amp;R56,ROW($1:$4),1),""))</f>
        <v/>
      </c>
      <c r="CE57" s="27" t="str">
        <f t="array" ref="CE57">_xlfn.TEXTJOIN("",TRUE,IF(ISERROR(FIND(ROW($1:$10)-1,CC57&amp;CD57)),ROW($1:$10)-1,""))</f>
        <v>01234689</v>
      </c>
      <c r="CF57" s="17" t="str">
        <f t="shared" si="19"/>
        <v>邻孤孤</v>
      </c>
      <c r="CG57" s="22" t="str">
        <f t="shared" si="20"/>
        <v>91</v>
      </c>
      <c r="CH57" s="22" t="str">
        <f t="array" ref="CH57">_xlfn.TEXTJOIN("",TRUE,IF(ISNUMBER(FIND(MID(CG56&amp;S56,ROW($1:$4),1),CG57&amp;S57)),MID(CG56&amp;S56,ROW($1:$4),1),""))</f>
        <v>01</v>
      </c>
      <c r="CI57" s="22" t="str">
        <f t="array" ref="CI57">_xlfn.TEXTJOIN("",TRUE,IF(ISERROR(FIND(ROW($1:$10)-1,CG57&amp;CH57)),ROW($1:$10)-1,""))</f>
        <v>2345678</v>
      </c>
      <c r="CJ57" s="28" t="str">
        <f t="shared" si="21"/>
        <v>邻传孤</v>
      </c>
    </row>
    <row r="58" spans="1:88">
      <c r="A58" s="32">
        <v>2024185</v>
      </c>
      <c r="B58" s="8" t="s">
        <v>78</v>
      </c>
      <c r="C58" s="49">
        <f t="shared" si="30"/>
        <v>9</v>
      </c>
      <c r="D58" s="50">
        <f t="shared" si="31"/>
        <v>9</v>
      </c>
      <c r="E58" s="51">
        <f t="shared" si="7"/>
        <v>3</v>
      </c>
      <c r="F58" s="52">
        <f>MAX(MID(B58,{1,2,3},1)*1)-MIN(MID(B58,{1,2,3},1)*1)</f>
        <v>6</v>
      </c>
      <c r="G58" s="104">
        <v>0</v>
      </c>
      <c r="H58" s="104">
        <v>1</v>
      </c>
      <c r="I58" s="104">
        <v>2</v>
      </c>
      <c r="J58" s="104">
        <v>3</v>
      </c>
      <c r="K58" s="104">
        <v>4</v>
      </c>
      <c r="L58" s="104">
        <v>5</v>
      </c>
      <c r="M58" s="104">
        <v>6</v>
      </c>
      <c r="N58" s="104">
        <v>7</v>
      </c>
      <c r="O58" s="104">
        <v>8</v>
      </c>
      <c r="P58" s="104">
        <v>9</v>
      </c>
      <c r="Q58" s="53">
        <f t="shared" si="32"/>
        <v>3</v>
      </c>
      <c r="R58" s="53">
        <f t="shared" si="33"/>
        <v>3</v>
      </c>
      <c r="S58" s="53">
        <f t="shared" si="34"/>
        <v>6</v>
      </c>
      <c r="T58" s="101">
        <f t="shared" si="8"/>
        <v>12</v>
      </c>
      <c r="U58" s="15" t="str">
        <f>_xlfn.TEXTJOIN(", ",TRUE,ABS(MID(B58,{1,1,2},1)-MID(B58,{2,3,3},1)))</f>
        <v>3, 3, 6</v>
      </c>
      <c r="V58" s="54">
        <v>0</v>
      </c>
      <c r="W58" s="54">
        <v>1</v>
      </c>
      <c r="X58" s="54">
        <v>2</v>
      </c>
      <c r="Y58" s="54">
        <v>3</v>
      </c>
      <c r="Z58" s="54">
        <v>4</v>
      </c>
      <c r="AA58" s="54">
        <v>5</v>
      </c>
      <c r="AB58" s="54">
        <v>6</v>
      </c>
      <c r="AC58" s="54">
        <v>7</v>
      </c>
      <c r="AD58" s="54">
        <v>8</v>
      </c>
      <c r="AE58" s="54">
        <v>9</v>
      </c>
      <c r="AF58" s="55">
        <v>0</v>
      </c>
      <c r="AG58" s="55">
        <v>1</v>
      </c>
      <c r="AH58" s="55">
        <v>2</v>
      </c>
      <c r="AI58" s="55">
        <v>3</v>
      </c>
      <c r="AJ58" s="55">
        <v>4</v>
      </c>
      <c r="AK58" s="55">
        <v>5</v>
      </c>
      <c r="AL58" s="55">
        <v>6</v>
      </c>
      <c r="AM58" s="55">
        <v>7</v>
      </c>
      <c r="AN58" s="55">
        <v>8</v>
      </c>
      <c r="AO58" s="55">
        <v>9</v>
      </c>
      <c r="AP58" s="105">
        <v>0</v>
      </c>
      <c r="AQ58" s="105">
        <v>1</v>
      </c>
      <c r="AR58" s="105">
        <v>2</v>
      </c>
      <c r="AS58" s="105">
        <v>3</v>
      </c>
      <c r="AT58" s="105">
        <v>4</v>
      </c>
      <c r="AU58" s="105">
        <v>5</v>
      </c>
      <c r="AV58" s="105">
        <v>6</v>
      </c>
      <c r="AW58" s="105">
        <v>7</v>
      </c>
      <c r="AX58" s="105">
        <v>8</v>
      </c>
      <c r="AY58" s="105">
        <v>9</v>
      </c>
      <c r="AZ58" s="56">
        <v>0</v>
      </c>
      <c r="BA58" s="56">
        <v>1</v>
      </c>
      <c r="BB58" s="56">
        <v>2</v>
      </c>
      <c r="BC58" s="56">
        <v>3</v>
      </c>
      <c r="BD58" s="56">
        <v>4</v>
      </c>
      <c r="BE58" s="56">
        <v>5</v>
      </c>
      <c r="BF58" s="56">
        <v>6</v>
      </c>
      <c r="BG58" s="56">
        <v>7</v>
      </c>
      <c r="BH58" s="56">
        <v>8</v>
      </c>
      <c r="BI58" s="56">
        <v>9</v>
      </c>
      <c r="BJ58" s="57" t="str">
        <f t="shared" si="9"/>
        <v>松散型</v>
      </c>
      <c r="BK58" s="13">
        <f t="shared" si="5"/>
        <v>3</v>
      </c>
      <c r="BL58" s="13">
        <f t="shared" si="6"/>
        <v>6</v>
      </c>
      <c r="BM58" s="18" t="str">
        <f t="shared" si="11"/>
        <v/>
      </c>
      <c r="BN58" s="19" t="str">
        <f t="shared" si="12"/>
        <v/>
      </c>
      <c r="BO58" s="19" t="str">
        <f t="array" ref="BO58">_xlfn.TEXTJOIN("",TRUE,IF(ISERROR(FIND(ROW($1:$10)-1,BM58&amp;BN58)),ROW($1:$10)-1,""))</f>
        <v>0123456789</v>
      </c>
      <c r="BP58" s="20" t="str">
        <f t="shared" si="13"/>
        <v>中中中</v>
      </c>
      <c r="BQ58" s="21" t="str">
        <f t="shared" si="24"/>
        <v/>
      </c>
      <c r="BR58" s="21" t="str">
        <f t="shared" si="22"/>
        <v/>
      </c>
      <c r="BS58" s="21" t="str">
        <f t="array" ref="BS58">_xlfn.TEXTJOIN("",TRUE,IF(ISERROR(FIND(ROW($1:$10)-1,BQ58&amp;BR58)),ROW($1:$10)-1,""))</f>
        <v>0123456789</v>
      </c>
      <c r="BT58" s="20" t="str">
        <f t="shared" si="14"/>
        <v>中中中</v>
      </c>
      <c r="BU58" s="22">
        <f t="shared" si="15"/>
        <v>6</v>
      </c>
      <c r="BV58" s="22" t="str">
        <f t="shared" si="23"/>
        <v/>
      </c>
      <c r="BW58" s="22" t="str">
        <f t="array" ref="BW58">_xlfn.TEXTJOIN("",TRUE,IF(ISERROR(FIND(ROW($1:$10)-1,BU58&amp;BV58)),ROW($1:$10)-1,""))</f>
        <v>012345789</v>
      </c>
      <c r="BX58" s="20" t="str">
        <f t="shared" si="16"/>
        <v>复中中</v>
      </c>
      <c r="BY58" s="23" t="str">
        <f t="shared" si="10"/>
        <v>24</v>
      </c>
      <c r="BZ58" s="24" t="str">
        <f t="array" ref="BZ58">_xlfn.TEXTJOIN("",TRUE,IF(ISNUMBER(FIND(MID(BY57&amp;Q57,ROW($1:$4),1),BY58&amp;Q58)),MID(BY57&amp;Q57,ROW($1:$4),1),""))</f>
        <v/>
      </c>
      <c r="CA58" s="25" t="str">
        <f t="array" ref="CA58">_xlfn.TEXTJOIN("",TRUE,IF(ISERROR(FIND(ROW($1:$10)-1,BY58&amp;BZ58)),ROW($1:$10)-1,""))</f>
        <v>01356789</v>
      </c>
      <c r="CB58" s="26" t="str">
        <f t="shared" si="17"/>
        <v>邻孤孤</v>
      </c>
      <c r="CC58" s="27" t="str">
        <f t="shared" si="18"/>
        <v>24</v>
      </c>
      <c r="CD58" s="27" t="str">
        <f t="array" ref="CD58">_xlfn.TEXTJOIN("",TRUE,IF(ISNUMBER(FIND(MID(CC57&amp;R57,ROW($1:$4),1),CC58&amp;R58)),MID(CC57&amp;R57,ROW($1:$4),1),""))</f>
        <v/>
      </c>
      <c r="CE58" s="27" t="str">
        <f t="array" ref="CE58">_xlfn.TEXTJOIN("",TRUE,IF(ISERROR(FIND(ROW($1:$10)-1,CC58&amp;CD58)),ROW($1:$10)-1,""))</f>
        <v>01356789</v>
      </c>
      <c r="CF58" s="17" t="str">
        <f t="shared" si="19"/>
        <v>邻孤孤</v>
      </c>
      <c r="CG58" s="22" t="str">
        <f t="shared" si="20"/>
        <v>57</v>
      </c>
      <c r="CH58" s="22" t="str">
        <f t="array" ref="CH58">_xlfn.TEXTJOIN("",TRUE,IF(ISNUMBER(FIND(MID(CG57&amp;S57,ROW($1:$4),1),CG58&amp;S58)),MID(CG57&amp;S57,ROW($1:$4),1),""))</f>
        <v/>
      </c>
      <c r="CI58" s="22" t="str">
        <f t="array" ref="CI58">_xlfn.TEXTJOIN("",TRUE,IF(ISERROR(FIND(ROW($1:$10)-1,CG58&amp;CH58)),ROW($1:$10)-1,""))</f>
        <v>01234689</v>
      </c>
      <c r="CJ58" s="28" t="str">
        <f t="shared" si="21"/>
        <v>邻孤孤</v>
      </c>
    </row>
    <row r="59" spans="1:88">
      <c r="A59" s="32">
        <v>2024186</v>
      </c>
      <c r="B59" s="8" t="s">
        <v>79</v>
      </c>
      <c r="C59" s="49">
        <f t="shared" si="30"/>
        <v>21</v>
      </c>
      <c r="D59" s="50">
        <f t="shared" si="31"/>
        <v>1</v>
      </c>
      <c r="E59" s="51">
        <f t="shared" si="7"/>
        <v>7</v>
      </c>
      <c r="F59" s="52">
        <f>MAX(MID(B59,{1,2,3},1)*1)-MIN(MID(B59,{1,2,3},1)*1)</f>
        <v>4</v>
      </c>
      <c r="G59" s="104">
        <v>0</v>
      </c>
      <c r="H59" s="104">
        <v>1</v>
      </c>
      <c r="I59" s="104">
        <v>2</v>
      </c>
      <c r="J59" s="104">
        <v>3</v>
      </c>
      <c r="K59" s="104">
        <v>4</v>
      </c>
      <c r="L59" s="104">
        <v>5</v>
      </c>
      <c r="M59" s="104">
        <v>6</v>
      </c>
      <c r="N59" s="104">
        <v>7</v>
      </c>
      <c r="O59" s="104">
        <v>8</v>
      </c>
      <c r="P59" s="104">
        <v>9</v>
      </c>
      <c r="Q59" s="53">
        <f t="shared" si="32"/>
        <v>2</v>
      </c>
      <c r="R59" s="53">
        <f t="shared" si="33"/>
        <v>4</v>
      </c>
      <c r="S59" s="53">
        <f t="shared" si="34"/>
        <v>2</v>
      </c>
      <c r="T59" s="101">
        <f t="shared" si="8"/>
        <v>8</v>
      </c>
      <c r="U59" s="15" t="str">
        <f>_xlfn.TEXTJOIN(", ",TRUE,ABS(MID(B59,{1,1,2},1)-MID(B59,{2,3,3},1)))</f>
        <v>2, 4, 2</v>
      </c>
      <c r="V59" s="54">
        <v>0</v>
      </c>
      <c r="W59" s="54">
        <v>1</v>
      </c>
      <c r="X59" s="54">
        <v>2</v>
      </c>
      <c r="Y59" s="54">
        <v>3</v>
      </c>
      <c r="Z59" s="54">
        <v>4</v>
      </c>
      <c r="AA59" s="54">
        <v>5</v>
      </c>
      <c r="AB59" s="54">
        <v>6</v>
      </c>
      <c r="AC59" s="54">
        <v>7</v>
      </c>
      <c r="AD59" s="54">
        <v>8</v>
      </c>
      <c r="AE59" s="54">
        <v>9</v>
      </c>
      <c r="AF59" s="55">
        <v>0</v>
      </c>
      <c r="AG59" s="55">
        <v>1</v>
      </c>
      <c r="AH59" s="55">
        <v>2</v>
      </c>
      <c r="AI59" s="55">
        <v>3</v>
      </c>
      <c r="AJ59" s="55">
        <v>4</v>
      </c>
      <c r="AK59" s="55">
        <v>5</v>
      </c>
      <c r="AL59" s="55">
        <v>6</v>
      </c>
      <c r="AM59" s="55">
        <v>7</v>
      </c>
      <c r="AN59" s="55">
        <v>8</v>
      </c>
      <c r="AO59" s="55">
        <v>9</v>
      </c>
      <c r="AP59" s="105">
        <v>0</v>
      </c>
      <c r="AQ59" s="105">
        <v>1</v>
      </c>
      <c r="AR59" s="105">
        <v>2</v>
      </c>
      <c r="AS59" s="105">
        <v>3</v>
      </c>
      <c r="AT59" s="105">
        <v>4</v>
      </c>
      <c r="AU59" s="105">
        <v>5</v>
      </c>
      <c r="AV59" s="105">
        <v>6</v>
      </c>
      <c r="AW59" s="105">
        <v>7</v>
      </c>
      <c r="AX59" s="105">
        <v>8</v>
      </c>
      <c r="AY59" s="105">
        <v>9</v>
      </c>
      <c r="AZ59" s="56">
        <v>0</v>
      </c>
      <c r="BA59" s="56">
        <v>1</v>
      </c>
      <c r="BB59" s="56">
        <v>2</v>
      </c>
      <c r="BC59" s="56">
        <v>3</v>
      </c>
      <c r="BD59" s="56">
        <v>4</v>
      </c>
      <c r="BE59" s="56">
        <v>5</v>
      </c>
      <c r="BF59" s="56">
        <v>6</v>
      </c>
      <c r="BG59" s="56">
        <v>7</v>
      </c>
      <c r="BH59" s="56">
        <v>8</v>
      </c>
      <c r="BI59" s="56">
        <v>9</v>
      </c>
      <c r="BJ59" s="57" t="str">
        <f t="shared" si="9"/>
        <v>标准型</v>
      </c>
      <c r="BK59" s="13">
        <f t="shared" si="5"/>
        <v>2</v>
      </c>
      <c r="BL59" s="13">
        <f t="shared" si="6"/>
        <v>4</v>
      </c>
      <c r="BM59" s="18" t="str">
        <f t="shared" si="11"/>
        <v/>
      </c>
      <c r="BN59" s="19" t="str">
        <f t="shared" si="12"/>
        <v/>
      </c>
      <c r="BO59" s="19" t="str">
        <f t="array" ref="BO59">_xlfn.TEXTJOIN("",TRUE,IF(ISERROR(FIND(ROW($1:$10)-1,BM59&amp;BN59)),ROW($1:$10)-1,""))</f>
        <v>0123456789</v>
      </c>
      <c r="BP59" s="20" t="str">
        <f t="shared" si="13"/>
        <v>中中中</v>
      </c>
      <c r="BQ59" s="21" t="str">
        <f t="shared" si="24"/>
        <v/>
      </c>
      <c r="BR59" s="21" t="str">
        <f t="shared" si="22"/>
        <v/>
      </c>
      <c r="BS59" s="21" t="str">
        <f t="array" ref="BS59">_xlfn.TEXTJOIN("",TRUE,IF(ISERROR(FIND(ROW($1:$10)-1,BQ59&amp;BR59)),ROW($1:$10)-1,""))</f>
        <v>0123456789</v>
      </c>
      <c r="BT59" s="20" t="str">
        <f t="shared" si="14"/>
        <v>中中中</v>
      </c>
      <c r="BU59" s="22" t="str">
        <f t="shared" si="15"/>
        <v/>
      </c>
      <c r="BV59" s="22" t="str">
        <f t="shared" si="23"/>
        <v/>
      </c>
      <c r="BW59" s="22" t="str">
        <f t="array" ref="BW59">_xlfn.TEXTJOIN("",TRUE,IF(ISERROR(FIND(ROW($1:$10)-1,BU59&amp;BV59)),ROW($1:$10)-1,""))</f>
        <v>0123456789</v>
      </c>
      <c r="BX59" s="20" t="str">
        <f t="shared" si="16"/>
        <v>中中中</v>
      </c>
      <c r="BY59" s="23" t="str">
        <f t="shared" si="10"/>
        <v>13</v>
      </c>
      <c r="BZ59" s="24" t="str">
        <f t="array" ref="BZ59">_xlfn.TEXTJOIN("",TRUE,IF(ISNUMBER(FIND(MID(BY58&amp;Q58,ROW($1:$4),1),BY59&amp;Q59)),MID(BY58&amp;Q58,ROW($1:$4),1),""))</f>
        <v>23</v>
      </c>
      <c r="CA59" s="25" t="str">
        <f t="array" ref="CA59">_xlfn.TEXTJOIN("",TRUE,IF(ISERROR(FIND(ROW($1:$10)-1,BY59&amp;BZ59)),ROW($1:$10)-1,""))</f>
        <v>0456789</v>
      </c>
      <c r="CB59" s="26" t="str">
        <f t="shared" si="17"/>
        <v>邻传孤</v>
      </c>
      <c r="CC59" s="27" t="str">
        <f t="shared" si="18"/>
        <v>35</v>
      </c>
      <c r="CD59" s="27" t="str">
        <f t="array" ref="CD59">_xlfn.TEXTJOIN("",TRUE,IF(ISNUMBER(FIND(MID(CC58&amp;R58,ROW($1:$4),1),CC59&amp;R59)),MID(CC58&amp;R58,ROW($1:$4),1),""))</f>
        <v>43</v>
      </c>
      <c r="CE59" s="27" t="str">
        <f t="array" ref="CE59">_xlfn.TEXTJOIN("",TRUE,IF(ISERROR(FIND(ROW($1:$10)-1,CC59&amp;CD59)),ROW($1:$10)-1,""))</f>
        <v>0126789</v>
      </c>
      <c r="CF59" s="17" t="str">
        <f t="shared" si="19"/>
        <v>邻传孤</v>
      </c>
      <c r="CG59" s="22" t="str">
        <f t="shared" si="20"/>
        <v>13</v>
      </c>
      <c r="CH59" s="22" t="str">
        <f t="array" ref="CH59">_xlfn.TEXTJOIN("",TRUE,IF(ISNUMBER(FIND(MID(CG58&amp;S58,ROW($1:$4),1),CG59&amp;S59)),MID(CG58&amp;S58,ROW($1:$4),1),""))</f>
        <v/>
      </c>
      <c r="CI59" s="22" t="str">
        <f t="array" ref="CI59">_xlfn.TEXTJOIN("",TRUE,IF(ISERROR(FIND(ROW($1:$10)-1,CG59&amp;CH59)),ROW($1:$10)-1,""))</f>
        <v>02456789</v>
      </c>
      <c r="CJ59" s="28" t="str">
        <f t="shared" si="21"/>
        <v>邻孤孤</v>
      </c>
    </row>
    <row r="60" spans="1:88">
      <c r="A60" s="32">
        <v>2024187</v>
      </c>
      <c r="B60" s="8" t="s">
        <v>80</v>
      </c>
      <c r="C60" s="49">
        <f t="shared" si="30"/>
        <v>11</v>
      </c>
      <c r="D60" s="50">
        <f t="shared" si="31"/>
        <v>1</v>
      </c>
      <c r="E60" s="51">
        <f t="shared" si="7"/>
        <v>3.6666666666666701</v>
      </c>
      <c r="F60" s="52">
        <f>MAX(MID(B60,{1,2,3},1)*1)-MIN(MID(B60,{1,2,3},1)*1)</f>
        <v>8</v>
      </c>
      <c r="G60" s="104">
        <v>0</v>
      </c>
      <c r="H60" s="104">
        <v>1</v>
      </c>
      <c r="I60" s="104">
        <v>2</v>
      </c>
      <c r="J60" s="104">
        <v>3</v>
      </c>
      <c r="K60" s="104">
        <v>4</v>
      </c>
      <c r="L60" s="104">
        <v>5</v>
      </c>
      <c r="M60" s="104">
        <v>6</v>
      </c>
      <c r="N60" s="104">
        <v>7</v>
      </c>
      <c r="O60" s="104">
        <v>8</v>
      </c>
      <c r="P60" s="104">
        <v>9</v>
      </c>
      <c r="Q60" s="53">
        <f t="shared" si="32"/>
        <v>5</v>
      </c>
      <c r="R60" s="53">
        <f t="shared" si="33"/>
        <v>3</v>
      </c>
      <c r="S60" s="53">
        <f t="shared" si="34"/>
        <v>8</v>
      </c>
      <c r="T60" s="101">
        <f t="shared" si="8"/>
        <v>16</v>
      </c>
      <c r="U60" s="15" t="str">
        <f>_xlfn.TEXTJOIN(", ",TRUE,ABS(MID(B60,{1,1,2},1)-MID(B60,{2,3,3},1)))</f>
        <v>5, 3, 8</v>
      </c>
      <c r="V60" s="54">
        <v>0</v>
      </c>
      <c r="W60" s="54">
        <v>1</v>
      </c>
      <c r="X60" s="54">
        <v>2</v>
      </c>
      <c r="Y60" s="54">
        <v>3</v>
      </c>
      <c r="Z60" s="54">
        <v>4</v>
      </c>
      <c r="AA60" s="54">
        <v>5</v>
      </c>
      <c r="AB60" s="54">
        <v>6</v>
      </c>
      <c r="AC60" s="54">
        <v>7</v>
      </c>
      <c r="AD60" s="54">
        <v>8</v>
      </c>
      <c r="AE60" s="54">
        <v>9</v>
      </c>
      <c r="AF60" s="55">
        <v>0</v>
      </c>
      <c r="AG60" s="55">
        <v>1</v>
      </c>
      <c r="AH60" s="55">
        <v>2</v>
      </c>
      <c r="AI60" s="55">
        <v>3</v>
      </c>
      <c r="AJ60" s="55">
        <v>4</v>
      </c>
      <c r="AK60" s="55">
        <v>5</v>
      </c>
      <c r="AL60" s="55">
        <v>6</v>
      </c>
      <c r="AM60" s="55">
        <v>7</v>
      </c>
      <c r="AN60" s="55">
        <v>8</v>
      </c>
      <c r="AO60" s="55">
        <v>9</v>
      </c>
      <c r="AP60" s="105">
        <v>0</v>
      </c>
      <c r="AQ60" s="105">
        <v>1</v>
      </c>
      <c r="AR60" s="105">
        <v>2</v>
      </c>
      <c r="AS60" s="105">
        <v>3</v>
      </c>
      <c r="AT60" s="105">
        <v>4</v>
      </c>
      <c r="AU60" s="105">
        <v>5</v>
      </c>
      <c r="AV60" s="105">
        <v>6</v>
      </c>
      <c r="AW60" s="105">
        <v>7</v>
      </c>
      <c r="AX60" s="105">
        <v>8</v>
      </c>
      <c r="AY60" s="105">
        <v>9</v>
      </c>
      <c r="AZ60" s="56">
        <v>0</v>
      </c>
      <c r="BA60" s="56">
        <v>1</v>
      </c>
      <c r="BB60" s="56">
        <v>2</v>
      </c>
      <c r="BC60" s="56">
        <v>3</v>
      </c>
      <c r="BD60" s="56">
        <v>4</v>
      </c>
      <c r="BE60" s="56">
        <v>5</v>
      </c>
      <c r="BF60" s="56">
        <v>6</v>
      </c>
      <c r="BG60" s="56">
        <v>7</v>
      </c>
      <c r="BH60" s="56">
        <v>8</v>
      </c>
      <c r="BI60" s="56">
        <v>9</v>
      </c>
      <c r="BJ60" s="57" t="str">
        <f t="shared" si="9"/>
        <v>松散型</v>
      </c>
      <c r="BK60" s="13">
        <f t="shared" si="5"/>
        <v>3</v>
      </c>
      <c r="BL60" s="13">
        <f t="shared" si="6"/>
        <v>8</v>
      </c>
      <c r="BM60" s="18" t="str">
        <f t="shared" si="11"/>
        <v/>
      </c>
      <c r="BN60" s="19" t="str">
        <f t="shared" si="12"/>
        <v/>
      </c>
      <c r="BO60" s="19" t="str">
        <f t="array" ref="BO60">_xlfn.TEXTJOIN("",TRUE,IF(ISERROR(FIND(ROW($1:$10)-1,BM60&amp;BN60)),ROW($1:$10)-1,""))</f>
        <v>0123456789</v>
      </c>
      <c r="BP60" s="20" t="str">
        <f t="shared" si="13"/>
        <v>中中中</v>
      </c>
      <c r="BQ60" s="21" t="str">
        <f t="shared" si="24"/>
        <v/>
      </c>
      <c r="BR60" s="21">
        <f t="shared" si="22"/>
        <v>3</v>
      </c>
      <c r="BS60" s="21" t="str">
        <f t="array" ref="BS60">_xlfn.TEXTJOIN("",TRUE,IF(ISERROR(FIND(ROW($1:$10)-1,BQ60&amp;BR60)),ROW($1:$10)-1,""))</f>
        <v>012456789</v>
      </c>
      <c r="BT60" s="20" t="str">
        <f t="shared" si="14"/>
        <v>中隔中</v>
      </c>
      <c r="BU60" s="22" t="str">
        <f t="shared" si="15"/>
        <v/>
      </c>
      <c r="BV60" s="22" t="str">
        <f t="shared" si="23"/>
        <v/>
      </c>
      <c r="BW60" s="22" t="str">
        <f t="array" ref="BW60">_xlfn.TEXTJOIN("",TRUE,IF(ISERROR(FIND(ROW($1:$10)-1,BU60&amp;BV60)),ROW($1:$10)-1,""))</f>
        <v>0123456789</v>
      </c>
      <c r="BX60" s="20" t="str">
        <f t="shared" si="16"/>
        <v>中中中</v>
      </c>
      <c r="BY60" s="23" t="str">
        <f t="shared" si="10"/>
        <v>46</v>
      </c>
      <c r="BZ60" s="24" t="str">
        <f t="array" ref="BZ60">_xlfn.TEXTJOIN("",TRUE,IF(ISNUMBER(FIND(MID(BY59&amp;Q59,ROW($1:$4),1),BY60&amp;Q60)),MID(BY59&amp;Q59,ROW($1:$4),1),""))</f>
        <v/>
      </c>
      <c r="CA60" s="25" t="str">
        <f t="array" ref="CA60">_xlfn.TEXTJOIN("",TRUE,IF(ISERROR(FIND(ROW($1:$10)-1,BY60&amp;BZ60)),ROW($1:$10)-1,""))</f>
        <v>01235789</v>
      </c>
      <c r="CB60" s="26" t="str">
        <f t="shared" si="17"/>
        <v>邻孤孤</v>
      </c>
      <c r="CC60" s="27" t="str">
        <f t="shared" si="18"/>
        <v>24</v>
      </c>
      <c r="CD60" s="27" t="str">
        <f t="array" ref="CD60">_xlfn.TEXTJOIN("",TRUE,IF(ISNUMBER(FIND(MID(CC59&amp;R59,ROW($1:$4),1),CC60&amp;R60)),MID(CC59&amp;R59,ROW($1:$4),1),""))</f>
        <v>34</v>
      </c>
      <c r="CE60" s="27" t="str">
        <f t="array" ref="CE60">_xlfn.TEXTJOIN("",TRUE,IF(ISERROR(FIND(ROW($1:$10)-1,CC60&amp;CD60)),ROW($1:$10)-1,""))</f>
        <v>0156789</v>
      </c>
      <c r="CF60" s="17" t="str">
        <f t="shared" si="19"/>
        <v>邻传孤</v>
      </c>
      <c r="CG60" s="22" t="str">
        <f t="shared" si="20"/>
        <v>79</v>
      </c>
      <c r="CH60" s="22" t="str">
        <f t="array" ref="CH60">_xlfn.TEXTJOIN("",TRUE,IF(ISNUMBER(FIND(MID(CG59&amp;S59,ROW($1:$4),1),CG60&amp;S60)),MID(CG59&amp;S59,ROW($1:$4),1),""))</f>
        <v/>
      </c>
      <c r="CI60" s="22" t="str">
        <f t="array" ref="CI60">_xlfn.TEXTJOIN("",TRUE,IF(ISERROR(FIND(ROW($1:$10)-1,CG60&amp;CH60)),ROW($1:$10)-1,""))</f>
        <v>01234568</v>
      </c>
      <c r="CJ60" s="28" t="str">
        <f t="shared" si="21"/>
        <v>邻孤孤</v>
      </c>
    </row>
    <row r="61" spans="1:88">
      <c r="A61" s="32">
        <v>2024188</v>
      </c>
      <c r="B61" s="8" t="s">
        <v>81</v>
      </c>
      <c r="C61" s="49">
        <f t="shared" si="30"/>
        <v>20</v>
      </c>
      <c r="D61" s="50">
        <f t="shared" si="31"/>
        <v>0</v>
      </c>
      <c r="E61" s="51">
        <f t="shared" si="7"/>
        <v>6.6666666666666696</v>
      </c>
      <c r="F61" s="52">
        <f>MAX(MID(B61,{1,2,3},1)*1)-MIN(MID(B61,{1,2,3},1)*1)</f>
        <v>4</v>
      </c>
      <c r="G61" s="104">
        <v>0</v>
      </c>
      <c r="H61" s="104">
        <v>1</v>
      </c>
      <c r="I61" s="104">
        <v>2</v>
      </c>
      <c r="J61" s="104">
        <v>3</v>
      </c>
      <c r="K61" s="104">
        <v>4</v>
      </c>
      <c r="L61" s="104">
        <v>5</v>
      </c>
      <c r="M61" s="104">
        <v>6</v>
      </c>
      <c r="N61" s="104">
        <v>7</v>
      </c>
      <c r="O61" s="104">
        <v>8</v>
      </c>
      <c r="P61" s="104">
        <v>9</v>
      </c>
      <c r="Q61" s="53">
        <f t="shared" si="32"/>
        <v>4</v>
      </c>
      <c r="R61" s="53">
        <f t="shared" si="33"/>
        <v>3</v>
      </c>
      <c r="S61" s="53">
        <f t="shared" si="34"/>
        <v>1</v>
      </c>
      <c r="T61" s="101">
        <f t="shared" si="8"/>
        <v>8</v>
      </c>
      <c r="U61" s="15" t="str">
        <f>_xlfn.TEXTJOIN(", ",TRUE,ABS(MID(B61,{1,1,2},1)-MID(B61,{2,3,3},1)))</f>
        <v>4, 3, 1</v>
      </c>
      <c r="V61" s="54">
        <v>0</v>
      </c>
      <c r="W61" s="54">
        <v>1</v>
      </c>
      <c r="X61" s="54">
        <v>2</v>
      </c>
      <c r="Y61" s="54">
        <v>3</v>
      </c>
      <c r="Z61" s="54">
        <v>4</v>
      </c>
      <c r="AA61" s="54">
        <v>5</v>
      </c>
      <c r="AB61" s="54">
        <v>6</v>
      </c>
      <c r="AC61" s="54">
        <v>7</v>
      </c>
      <c r="AD61" s="54">
        <v>8</v>
      </c>
      <c r="AE61" s="54">
        <v>9</v>
      </c>
      <c r="AF61" s="55">
        <v>0</v>
      </c>
      <c r="AG61" s="55">
        <v>1</v>
      </c>
      <c r="AH61" s="55">
        <v>2</v>
      </c>
      <c r="AI61" s="55">
        <v>3</v>
      </c>
      <c r="AJ61" s="55">
        <v>4</v>
      </c>
      <c r="AK61" s="55">
        <v>5</v>
      </c>
      <c r="AL61" s="55">
        <v>6</v>
      </c>
      <c r="AM61" s="55">
        <v>7</v>
      </c>
      <c r="AN61" s="55">
        <v>8</v>
      </c>
      <c r="AO61" s="55">
        <v>9</v>
      </c>
      <c r="AP61" s="105">
        <v>0</v>
      </c>
      <c r="AQ61" s="105">
        <v>1</v>
      </c>
      <c r="AR61" s="105">
        <v>2</v>
      </c>
      <c r="AS61" s="105">
        <v>3</v>
      </c>
      <c r="AT61" s="105">
        <v>4</v>
      </c>
      <c r="AU61" s="105">
        <v>5</v>
      </c>
      <c r="AV61" s="105">
        <v>6</v>
      </c>
      <c r="AW61" s="105">
        <v>7</v>
      </c>
      <c r="AX61" s="105">
        <v>8</v>
      </c>
      <c r="AY61" s="105">
        <v>9</v>
      </c>
      <c r="AZ61" s="56">
        <v>0</v>
      </c>
      <c r="BA61" s="56">
        <v>1</v>
      </c>
      <c r="BB61" s="56">
        <v>2</v>
      </c>
      <c r="BC61" s="56">
        <v>3</v>
      </c>
      <c r="BD61" s="56">
        <v>4</v>
      </c>
      <c r="BE61" s="56">
        <v>5</v>
      </c>
      <c r="BF61" s="56">
        <v>6</v>
      </c>
      <c r="BG61" s="56">
        <v>7</v>
      </c>
      <c r="BH61" s="56">
        <v>8</v>
      </c>
      <c r="BI61" s="56">
        <v>9</v>
      </c>
      <c r="BJ61" s="57" t="str">
        <f t="shared" si="9"/>
        <v>紧凑型</v>
      </c>
      <c r="BK61" s="13">
        <f t="shared" si="5"/>
        <v>1</v>
      </c>
      <c r="BL61" s="13">
        <f t="shared" si="6"/>
        <v>4</v>
      </c>
      <c r="BM61" s="18" t="str">
        <f t="shared" si="11"/>
        <v/>
      </c>
      <c r="BN61" s="19">
        <f t="shared" si="12"/>
        <v>4</v>
      </c>
      <c r="BO61" s="19" t="str">
        <f t="array" ref="BO61">_xlfn.TEXTJOIN("",TRUE,IF(ISERROR(FIND(ROW($1:$10)-1,BM61&amp;BN61)),ROW($1:$10)-1,""))</f>
        <v>012356789</v>
      </c>
      <c r="BP61" s="20" t="str">
        <f t="shared" si="13"/>
        <v>中隔中</v>
      </c>
      <c r="BQ61" s="21">
        <f t="shared" si="24"/>
        <v>3</v>
      </c>
      <c r="BR61" s="21" t="str">
        <f t="shared" si="22"/>
        <v/>
      </c>
      <c r="BS61" s="21" t="str">
        <f t="array" ref="BS61">_xlfn.TEXTJOIN("",TRUE,IF(ISERROR(FIND(ROW($1:$10)-1,BQ61&amp;BR61)),ROW($1:$10)-1,""))</f>
        <v>012456789</v>
      </c>
      <c r="BT61" s="20" t="str">
        <f t="shared" si="14"/>
        <v>复中中</v>
      </c>
      <c r="BU61" s="22" t="str">
        <f t="shared" si="15"/>
        <v/>
      </c>
      <c r="BV61" s="22" t="str">
        <f t="shared" si="23"/>
        <v/>
      </c>
      <c r="BW61" s="22" t="str">
        <f t="array" ref="BW61">_xlfn.TEXTJOIN("",TRUE,IF(ISERROR(FIND(ROW($1:$10)-1,BU61&amp;BV61)),ROW($1:$10)-1,""))</f>
        <v>0123456789</v>
      </c>
      <c r="BX61" s="20" t="str">
        <f t="shared" si="16"/>
        <v>中中中</v>
      </c>
      <c r="BY61" s="23" t="str">
        <f t="shared" si="10"/>
        <v>35</v>
      </c>
      <c r="BZ61" s="24" t="str">
        <f t="array" ref="BZ61">_xlfn.TEXTJOIN("",TRUE,IF(ISNUMBER(FIND(MID(BY60&amp;Q60,ROW($1:$4),1),BY61&amp;Q61)),MID(BY60&amp;Q60,ROW($1:$4),1),""))</f>
        <v>45</v>
      </c>
      <c r="CA61" s="25" t="str">
        <f t="array" ref="CA61">_xlfn.TEXTJOIN("",TRUE,IF(ISERROR(FIND(ROW($1:$10)-1,BY61&amp;BZ61)),ROW($1:$10)-1,""))</f>
        <v>0126789</v>
      </c>
      <c r="CB61" s="26" t="str">
        <f t="shared" si="17"/>
        <v>邻传孤</v>
      </c>
      <c r="CC61" s="27" t="str">
        <f t="shared" si="18"/>
        <v>24</v>
      </c>
      <c r="CD61" s="27" t="str">
        <f t="array" ref="CD61">_xlfn.TEXTJOIN("",TRUE,IF(ISNUMBER(FIND(MID(CC60&amp;R60,ROW($1:$4),1),CC61&amp;R61)),MID(CC60&amp;R60,ROW($1:$4),1),""))</f>
        <v>243</v>
      </c>
      <c r="CE61" s="27" t="str">
        <f t="array" ref="CE61">_xlfn.TEXTJOIN("",TRUE,IF(ISERROR(FIND(ROW($1:$10)-1,CC61&amp;CD61)),ROW($1:$10)-1,""))</f>
        <v>0156789</v>
      </c>
      <c r="CF61" s="17" t="str">
        <f t="shared" si="19"/>
        <v>邻传孤</v>
      </c>
      <c r="CG61" s="22" t="str">
        <f t="shared" si="20"/>
        <v>02</v>
      </c>
      <c r="CH61" s="22" t="str">
        <f t="array" ref="CH61">_xlfn.TEXTJOIN("",TRUE,IF(ISNUMBER(FIND(MID(CG60&amp;S60,ROW($1:$4),1),CG61&amp;S61)),MID(CG60&amp;S60,ROW($1:$4),1),""))</f>
        <v/>
      </c>
      <c r="CI61" s="22" t="str">
        <f t="array" ref="CI61">_xlfn.TEXTJOIN("",TRUE,IF(ISERROR(FIND(ROW($1:$10)-1,CG61&amp;CH61)),ROW($1:$10)-1,""))</f>
        <v>13456789</v>
      </c>
      <c r="CJ61" s="28" t="str">
        <f t="shared" si="21"/>
        <v>邻孤孤</v>
      </c>
    </row>
    <row r="62" spans="1:88">
      <c r="A62" s="32">
        <v>2024189</v>
      </c>
      <c r="B62" s="8" t="s">
        <v>82</v>
      </c>
      <c r="C62" s="49">
        <f t="shared" si="30"/>
        <v>8</v>
      </c>
      <c r="D62" s="50">
        <f t="shared" si="31"/>
        <v>8</v>
      </c>
      <c r="E62" s="51">
        <f t="shared" si="7"/>
        <v>2.6666666666666701</v>
      </c>
      <c r="F62" s="52">
        <f>MAX(MID(B62,{1,2,3},1)*1)-MIN(MID(B62,{1,2,3},1)*1)</f>
        <v>5</v>
      </c>
      <c r="G62" s="104">
        <v>0</v>
      </c>
      <c r="H62" s="104">
        <v>1</v>
      </c>
      <c r="I62" s="104">
        <v>2</v>
      </c>
      <c r="J62" s="104">
        <v>3</v>
      </c>
      <c r="K62" s="104">
        <v>4</v>
      </c>
      <c r="L62" s="104">
        <v>5</v>
      </c>
      <c r="M62" s="104">
        <v>6</v>
      </c>
      <c r="N62" s="104">
        <v>7</v>
      </c>
      <c r="O62" s="104">
        <v>8</v>
      </c>
      <c r="P62" s="104">
        <v>9</v>
      </c>
      <c r="Q62" s="53">
        <f t="shared" si="32"/>
        <v>2</v>
      </c>
      <c r="R62" s="53">
        <f t="shared" si="33"/>
        <v>5</v>
      </c>
      <c r="S62" s="53">
        <f t="shared" si="34"/>
        <v>3</v>
      </c>
      <c r="T62" s="101">
        <f t="shared" si="8"/>
        <v>10</v>
      </c>
      <c r="U62" s="15" t="str">
        <f>_xlfn.TEXTJOIN(", ",TRUE,ABS(MID(B62,{1,1,2},1)-MID(B62,{2,3,3},1)))</f>
        <v>2, 5, 3</v>
      </c>
      <c r="V62" s="54">
        <v>0</v>
      </c>
      <c r="W62" s="54">
        <v>1</v>
      </c>
      <c r="X62" s="54">
        <v>2</v>
      </c>
      <c r="Y62" s="54">
        <v>3</v>
      </c>
      <c r="Z62" s="54">
        <v>4</v>
      </c>
      <c r="AA62" s="54">
        <v>5</v>
      </c>
      <c r="AB62" s="54">
        <v>6</v>
      </c>
      <c r="AC62" s="54">
        <v>7</v>
      </c>
      <c r="AD62" s="54">
        <v>8</v>
      </c>
      <c r="AE62" s="54">
        <v>9</v>
      </c>
      <c r="AF62" s="55">
        <v>0</v>
      </c>
      <c r="AG62" s="55">
        <v>1</v>
      </c>
      <c r="AH62" s="55">
        <v>2</v>
      </c>
      <c r="AI62" s="55">
        <v>3</v>
      </c>
      <c r="AJ62" s="55">
        <v>4</v>
      </c>
      <c r="AK62" s="55">
        <v>5</v>
      </c>
      <c r="AL62" s="55">
        <v>6</v>
      </c>
      <c r="AM62" s="55">
        <v>7</v>
      </c>
      <c r="AN62" s="55">
        <v>8</v>
      </c>
      <c r="AO62" s="55">
        <v>9</v>
      </c>
      <c r="AP62" s="105">
        <v>0</v>
      </c>
      <c r="AQ62" s="105">
        <v>1</v>
      </c>
      <c r="AR62" s="105">
        <v>2</v>
      </c>
      <c r="AS62" s="105">
        <v>3</v>
      </c>
      <c r="AT62" s="105">
        <v>4</v>
      </c>
      <c r="AU62" s="105">
        <v>5</v>
      </c>
      <c r="AV62" s="105">
        <v>6</v>
      </c>
      <c r="AW62" s="105">
        <v>7</v>
      </c>
      <c r="AX62" s="105">
        <v>8</v>
      </c>
      <c r="AY62" s="105">
        <v>9</v>
      </c>
      <c r="AZ62" s="56">
        <v>0</v>
      </c>
      <c r="BA62" s="56">
        <v>1</v>
      </c>
      <c r="BB62" s="56">
        <v>2</v>
      </c>
      <c r="BC62" s="56">
        <v>3</v>
      </c>
      <c r="BD62" s="56">
        <v>4</v>
      </c>
      <c r="BE62" s="56">
        <v>5</v>
      </c>
      <c r="BF62" s="56">
        <v>6</v>
      </c>
      <c r="BG62" s="56">
        <v>7</v>
      </c>
      <c r="BH62" s="56">
        <v>8</v>
      </c>
      <c r="BI62" s="56">
        <v>9</v>
      </c>
      <c r="BJ62" s="57" t="str">
        <f t="shared" si="9"/>
        <v>标准型</v>
      </c>
      <c r="BK62" s="13">
        <f t="shared" si="5"/>
        <v>2</v>
      </c>
      <c r="BL62" s="13">
        <f t="shared" si="6"/>
        <v>5</v>
      </c>
      <c r="BM62" s="18" t="str">
        <f t="shared" si="11"/>
        <v/>
      </c>
      <c r="BN62" s="19" t="str">
        <f t="shared" si="12"/>
        <v/>
      </c>
      <c r="BO62" s="19" t="str">
        <f t="array" ref="BO62">_xlfn.TEXTJOIN("",TRUE,IF(ISERROR(FIND(ROW($1:$10)-1,BM62&amp;BN62)),ROW($1:$10)-1,""))</f>
        <v>0123456789</v>
      </c>
      <c r="BP62" s="20" t="str">
        <f t="shared" si="13"/>
        <v>中中中</v>
      </c>
      <c r="BQ62" s="21" t="str">
        <f t="shared" si="24"/>
        <v/>
      </c>
      <c r="BR62" s="21">
        <f t="shared" si="22"/>
        <v>5</v>
      </c>
      <c r="BS62" s="21" t="str">
        <f t="array" ref="BS62">_xlfn.TEXTJOIN("",TRUE,IF(ISERROR(FIND(ROW($1:$10)-1,BQ62&amp;BR62)),ROW($1:$10)-1,""))</f>
        <v>012346789</v>
      </c>
      <c r="BT62" s="20" t="str">
        <f t="shared" si="14"/>
        <v>中隔中</v>
      </c>
      <c r="BU62" s="22">
        <f t="shared" si="15"/>
        <v>3</v>
      </c>
      <c r="BV62" s="22">
        <f t="shared" si="23"/>
        <v>3</v>
      </c>
      <c r="BW62" s="22" t="str">
        <f t="array" ref="BW62">_xlfn.TEXTJOIN("",TRUE,IF(ISERROR(FIND(ROW($1:$10)-1,BU62&amp;BV62)),ROW($1:$10)-1,""))</f>
        <v>012456789</v>
      </c>
      <c r="BX62" s="20" t="str">
        <f t="shared" si="16"/>
        <v>复隔中</v>
      </c>
      <c r="BY62" s="23" t="str">
        <f t="shared" si="10"/>
        <v>13</v>
      </c>
      <c r="BZ62" s="24" t="str">
        <f t="array" ref="BZ62">_xlfn.TEXTJOIN("",TRUE,IF(ISNUMBER(FIND(MID(BY61&amp;Q61,ROW($1:$4),1),BY62&amp;Q62)),MID(BY61&amp;Q61,ROW($1:$4),1),""))</f>
        <v>3</v>
      </c>
      <c r="CA62" s="25" t="str">
        <f t="array" ref="CA62">_xlfn.TEXTJOIN("",TRUE,IF(ISERROR(FIND(ROW($1:$10)-1,BY62&amp;BZ62)),ROW($1:$10)-1,""))</f>
        <v>02456789</v>
      </c>
      <c r="CB62" s="26" t="str">
        <f t="shared" si="17"/>
        <v>邻传孤</v>
      </c>
      <c r="CC62" s="27" t="str">
        <f t="shared" si="18"/>
        <v>46</v>
      </c>
      <c r="CD62" s="27" t="str">
        <f t="array" ref="CD62">_xlfn.TEXTJOIN("",TRUE,IF(ISNUMBER(FIND(MID(CC61&amp;R61,ROW($1:$4),1),CC62&amp;R62)),MID(CC61&amp;R61,ROW($1:$4),1),""))</f>
        <v>4</v>
      </c>
      <c r="CE62" s="27" t="str">
        <f t="array" ref="CE62">_xlfn.TEXTJOIN("",TRUE,IF(ISERROR(FIND(ROW($1:$10)-1,CC62&amp;CD62)),ROW($1:$10)-1,""))</f>
        <v>01235789</v>
      </c>
      <c r="CF62" s="17" t="str">
        <f t="shared" si="19"/>
        <v>邻传孤</v>
      </c>
      <c r="CG62" s="22" t="str">
        <f t="shared" si="20"/>
        <v>24</v>
      </c>
      <c r="CH62" s="22" t="str">
        <f t="array" ref="CH62">_xlfn.TEXTJOIN("",TRUE,IF(ISNUMBER(FIND(MID(CG61&amp;S61,ROW($1:$4),1),CG62&amp;S62)),MID(CG61&amp;S61,ROW($1:$4),1),""))</f>
        <v>2</v>
      </c>
      <c r="CI62" s="22" t="str">
        <f t="array" ref="CI62">_xlfn.TEXTJOIN("",TRUE,IF(ISERROR(FIND(ROW($1:$10)-1,CG62&amp;CH62)),ROW($1:$10)-1,""))</f>
        <v>01356789</v>
      </c>
      <c r="CJ62" s="28" t="str">
        <f t="shared" si="21"/>
        <v>邻传孤</v>
      </c>
    </row>
    <row r="63" spans="1:88">
      <c r="A63" s="32">
        <v>2024190</v>
      </c>
      <c r="B63" s="8" t="s">
        <v>83</v>
      </c>
      <c r="C63" s="49">
        <f t="shared" si="30"/>
        <v>5</v>
      </c>
      <c r="D63" s="50">
        <f t="shared" si="31"/>
        <v>5</v>
      </c>
      <c r="E63" s="51">
        <f t="shared" si="7"/>
        <v>1.6666666666666701</v>
      </c>
      <c r="F63" s="52">
        <f>MAX(MID(B63,{1,2,3},1)*1)-MIN(MID(B63,{1,2,3},1)*1)</f>
        <v>4</v>
      </c>
      <c r="G63" s="104">
        <v>0</v>
      </c>
      <c r="H63" s="104">
        <v>1</v>
      </c>
      <c r="I63" s="104">
        <v>2</v>
      </c>
      <c r="J63" s="104">
        <v>3</v>
      </c>
      <c r="K63" s="104">
        <v>4</v>
      </c>
      <c r="L63" s="104">
        <v>5</v>
      </c>
      <c r="M63" s="104">
        <v>6</v>
      </c>
      <c r="N63" s="104">
        <v>7</v>
      </c>
      <c r="O63" s="104">
        <v>8</v>
      </c>
      <c r="P63" s="104">
        <v>9</v>
      </c>
      <c r="Q63" s="53">
        <f t="shared" si="32"/>
        <v>3</v>
      </c>
      <c r="R63" s="53">
        <f t="shared" si="33"/>
        <v>4</v>
      </c>
      <c r="S63" s="53">
        <f t="shared" si="34"/>
        <v>1</v>
      </c>
      <c r="T63" s="101">
        <f t="shared" si="8"/>
        <v>8</v>
      </c>
      <c r="U63" s="15" t="str">
        <f>_xlfn.TEXTJOIN(", ",TRUE,ABS(MID(B63,{1,1,2},1)-MID(B63,{2,3,3},1)))</f>
        <v>3, 4, 1</v>
      </c>
      <c r="V63" s="54">
        <v>0</v>
      </c>
      <c r="W63" s="54">
        <v>1</v>
      </c>
      <c r="X63" s="54">
        <v>2</v>
      </c>
      <c r="Y63" s="54">
        <v>3</v>
      </c>
      <c r="Z63" s="54">
        <v>4</v>
      </c>
      <c r="AA63" s="54">
        <v>5</v>
      </c>
      <c r="AB63" s="54">
        <v>6</v>
      </c>
      <c r="AC63" s="54">
        <v>7</v>
      </c>
      <c r="AD63" s="54">
        <v>8</v>
      </c>
      <c r="AE63" s="54">
        <v>9</v>
      </c>
      <c r="AF63" s="55">
        <v>0</v>
      </c>
      <c r="AG63" s="55">
        <v>1</v>
      </c>
      <c r="AH63" s="55">
        <v>2</v>
      </c>
      <c r="AI63" s="55">
        <v>3</v>
      </c>
      <c r="AJ63" s="55">
        <v>4</v>
      </c>
      <c r="AK63" s="55">
        <v>5</v>
      </c>
      <c r="AL63" s="55">
        <v>6</v>
      </c>
      <c r="AM63" s="55">
        <v>7</v>
      </c>
      <c r="AN63" s="55">
        <v>8</v>
      </c>
      <c r="AO63" s="55">
        <v>9</v>
      </c>
      <c r="AP63" s="105">
        <v>0</v>
      </c>
      <c r="AQ63" s="105">
        <v>1</v>
      </c>
      <c r="AR63" s="105">
        <v>2</v>
      </c>
      <c r="AS63" s="105">
        <v>3</v>
      </c>
      <c r="AT63" s="105">
        <v>4</v>
      </c>
      <c r="AU63" s="105">
        <v>5</v>
      </c>
      <c r="AV63" s="105">
        <v>6</v>
      </c>
      <c r="AW63" s="105">
        <v>7</v>
      </c>
      <c r="AX63" s="105">
        <v>8</v>
      </c>
      <c r="AY63" s="105">
        <v>9</v>
      </c>
      <c r="AZ63" s="56">
        <v>0</v>
      </c>
      <c r="BA63" s="56">
        <v>1</v>
      </c>
      <c r="BB63" s="56">
        <v>2</v>
      </c>
      <c r="BC63" s="56">
        <v>3</v>
      </c>
      <c r="BD63" s="56">
        <v>4</v>
      </c>
      <c r="BE63" s="56">
        <v>5</v>
      </c>
      <c r="BF63" s="56">
        <v>6</v>
      </c>
      <c r="BG63" s="56">
        <v>7</v>
      </c>
      <c r="BH63" s="56">
        <v>8</v>
      </c>
      <c r="BI63" s="56">
        <v>9</v>
      </c>
      <c r="BJ63" s="57" t="str">
        <f t="shared" si="9"/>
        <v>紧凑型</v>
      </c>
      <c r="BK63" s="13">
        <f t="shared" si="5"/>
        <v>1</v>
      </c>
      <c r="BL63" s="13">
        <f t="shared" si="6"/>
        <v>4</v>
      </c>
      <c r="BM63" s="18">
        <f t="shared" si="11"/>
        <v>3</v>
      </c>
      <c r="BN63" s="19">
        <f t="shared" si="12"/>
        <v>3</v>
      </c>
      <c r="BO63" s="19" t="str">
        <f t="array" ref="BO63">_xlfn.TEXTJOIN("",TRUE,IF(ISERROR(FIND(ROW($1:$10)-1,BM63&amp;BN63)),ROW($1:$10)-1,""))</f>
        <v>012456789</v>
      </c>
      <c r="BP63" s="20" t="str">
        <f t="shared" si="13"/>
        <v>复隔中</v>
      </c>
      <c r="BQ63" s="21" t="str">
        <f t="shared" si="24"/>
        <v/>
      </c>
      <c r="BR63" s="21">
        <f t="shared" si="22"/>
        <v>4</v>
      </c>
      <c r="BS63" s="21" t="str">
        <f t="array" ref="BS63">_xlfn.TEXTJOIN("",TRUE,IF(ISERROR(FIND(ROW($1:$10)-1,BQ63&amp;BR63)),ROW($1:$10)-1,""))</f>
        <v>012356789</v>
      </c>
      <c r="BT63" s="20" t="str">
        <f t="shared" si="14"/>
        <v>中隔中</v>
      </c>
      <c r="BU63" s="22" t="str">
        <f t="shared" si="15"/>
        <v/>
      </c>
      <c r="BV63" s="22">
        <f t="shared" si="23"/>
        <v>1</v>
      </c>
      <c r="BW63" s="22" t="str">
        <f t="array" ref="BW63">_xlfn.TEXTJOIN("",TRUE,IF(ISERROR(FIND(ROW($1:$10)-1,BU63&amp;BV63)),ROW($1:$10)-1,""))</f>
        <v>023456789</v>
      </c>
      <c r="BX63" s="20" t="str">
        <f t="shared" si="16"/>
        <v>中隔中</v>
      </c>
      <c r="BY63" s="23" t="str">
        <f t="shared" si="10"/>
        <v>24</v>
      </c>
      <c r="BZ63" s="24" t="str">
        <f t="array" ref="BZ63">_xlfn.TEXTJOIN("",TRUE,IF(ISNUMBER(FIND(MID(BY62&amp;Q62,ROW($1:$4),1),BY63&amp;Q63)),MID(BY62&amp;Q62,ROW($1:$4),1),""))</f>
        <v>32</v>
      </c>
      <c r="CA63" s="25" t="str">
        <f t="array" ref="CA63">_xlfn.TEXTJOIN("",TRUE,IF(ISERROR(FIND(ROW($1:$10)-1,BY63&amp;BZ63)),ROW($1:$10)-1,""))</f>
        <v>0156789</v>
      </c>
      <c r="CB63" s="26" t="str">
        <f t="shared" si="17"/>
        <v>邻传孤</v>
      </c>
      <c r="CC63" s="27" t="str">
        <f t="shared" si="18"/>
        <v>35</v>
      </c>
      <c r="CD63" s="27" t="str">
        <f t="array" ref="CD63">_xlfn.TEXTJOIN("",TRUE,IF(ISNUMBER(FIND(MID(CC62&amp;R62,ROW($1:$4),1),CC63&amp;R63)),MID(CC62&amp;R62,ROW($1:$4),1),""))</f>
        <v>45</v>
      </c>
      <c r="CE63" s="27" t="str">
        <f t="array" ref="CE63">_xlfn.TEXTJOIN("",TRUE,IF(ISERROR(FIND(ROW($1:$10)-1,CC63&amp;CD63)),ROW($1:$10)-1,""))</f>
        <v>0126789</v>
      </c>
      <c r="CF63" s="17" t="str">
        <f t="shared" si="19"/>
        <v>邻传孤</v>
      </c>
      <c r="CG63" s="22" t="str">
        <f t="shared" si="20"/>
        <v>02</v>
      </c>
      <c r="CH63" s="22" t="str">
        <f t="array" ref="CH63">_xlfn.TEXTJOIN("",TRUE,IF(ISNUMBER(FIND(MID(CG62&amp;S62,ROW($1:$4),1),CG63&amp;S63)),MID(CG62&amp;S62,ROW($1:$4),1),""))</f>
        <v>2</v>
      </c>
      <c r="CI63" s="22" t="str">
        <f t="array" ref="CI63">_xlfn.TEXTJOIN("",TRUE,IF(ISERROR(FIND(ROW($1:$10)-1,CG63&amp;CH63)),ROW($1:$10)-1,""))</f>
        <v>13456789</v>
      </c>
      <c r="CJ63" s="28" t="str">
        <f t="shared" si="21"/>
        <v>邻传孤</v>
      </c>
    </row>
    <row r="64" spans="1:88">
      <c r="A64" s="32">
        <v>2024191</v>
      </c>
      <c r="B64" s="8" t="s">
        <v>84</v>
      </c>
      <c r="C64" s="49">
        <f t="shared" si="30"/>
        <v>13</v>
      </c>
      <c r="D64" s="50">
        <f t="shared" si="31"/>
        <v>3</v>
      </c>
      <c r="E64" s="51">
        <f t="shared" si="7"/>
        <v>4.3333333333333304</v>
      </c>
      <c r="F64" s="52">
        <f>MAX(MID(B64,{1,2,3},1)*1)-MIN(MID(B64,{1,2,3},1)*1)</f>
        <v>6</v>
      </c>
      <c r="G64" s="104">
        <v>0</v>
      </c>
      <c r="H64" s="104">
        <v>1</v>
      </c>
      <c r="I64" s="104">
        <v>2</v>
      </c>
      <c r="J64" s="104">
        <v>3</v>
      </c>
      <c r="K64" s="104">
        <v>4</v>
      </c>
      <c r="L64" s="104">
        <v>5</v>
      </c>
      <c r="M64" s="104">
        <v>6</v>
      </c>
      <c r="N64" s="104">
        <v>7</v>
      </c>
      <c r="O64" s="104">
        <v>8</v>
      </c>
      <c r="P64" s="104">
        <v>9</v>
      </c>
      <c r="Q64" s="53">
        <f t="shared" si="32"/>
        <v>5</v>
      </c>
      <c r="R64" s="53">
        <f t="shared" si="33"/>
        <v>1</v>
      </c>
      <c r="S64" s="53">
        <f t="shared" si="34"/>
        <v>6</v>
      </c>
      <c r="T64" s="101">
        <f t="shared" si="8"/>
        <v>12</v>
      </c>
      <c r="U64" s="15" t="str">
        <f>_xlfn.TEXTJOIN(", ",TRUE,ABS(MID(B64,{1,1,2},1)-MID(B64,{2,3,3},1)))</f>
        <v>5, 1, 6</v>
      </c>
      <c r="V64" s="54">
        <v>0</v>
      </c>
      <c r="W64" s="54">
        <v>1</v>
      </c>
      <c r="X64" s="54">
        <v>2</v>
      </c>
      <c r="Y64" s="54">
        <v>3</v>
      </c>
      <c r="Z64" s="54">
        <v>4</v>
      </c>
      <c r="AA64" s="54">
        <v>5</v>
      </c>
      <c r="AB64" s="54">
        <v>6</v>
      </c>
      <c r="AC64" s="54">
        <v>7</v>
      </c>
      <c r="AD64" s="54">
        <v>8</v>
      </c>
      <c r="AE64" s="54">
        <v>9</v>
      </c>
      <c r="AF64" s="55">
        <v>0</v>
      </c>
      <c r="AG64" s="55">
        <v>1</v>
      </c>
      <c r="AH64" s="55">
        <v>2</v>
      </c>
      <c r="AI64" s="55">
        <v>3</v>
      </c>
      <c r="AJ64" s="55">
        <v>4</v>
      </c>
      <c r="AK64" s="55">
        <v>5</v>
      </c>
      <c r="AL64" s="55">
        <v>6</v>
      </c>
      <c r="AM64" s="55">
        <v>7</v>
      </c>
      <c r="AN64" s="55">
        <v>8</v>
      </c>
      <c r="AO64" s="55">
        <v>9</v>
      </c>
      <c r="AP64" s="105">
        <v>0</v>
      </c>
      <c r="AQ64" s="105">
        <v>1</v>
      </c>
      <c r="AR64" s="105">
        <v>2</v>
      </c>
      <c r="AS64" s="105">
        <v>3</v>
      </c>
      <c r="AT64" s="105">
        <v>4</v>
      </c>
      <c r="AU64" s="105">
        <v>5</v>
      </c>
      <c r="AV64" s="105">
        <v>6</v>
      </c>
      <c r="AW64" s="105">
        <v>7</v>
      </c>
      <c r="AX64" s="105">
        <v>8</v>
      </c>
      <c r="AY64" s="105">
        <v>9</v>
      </c>
      <c r="AZ64" s="56">
        <v>0</v>
      </c>
      <c r="BA64" s="56">
        <v>1</v>
      </c>
      <c r="BB64" s="56">
        <v>2</v>
      </c>
      <c r="BC64" s="56">
        <v>3</v>
      </c>
      <c r="BD64" s="56">
        <v>4</v>
      </c>
      <c r="BE64" s="56">
        <v>5</v>
      </c>
      <c r="BF64" s="56">
        <v>6</v>
      </c>
      <c r="BG64" s="56">
        <v>7</v>
      </c>
      <c r="BH64" s="56">
        <v>8</v>
      </c>
      <c r="BI64" s="56">
        <v>9</v>
      </c>
      <c r="BJ64" s="57" t="str">
        <f t="shared" si="9"/>
        <v>松散型</v>
      </c>
      <c r="BK64" s="13">
        <f t="shared" si="5"/>
        <v>1</v>
      </c>
      <c r="BL64" s="13">
        <f t="shared" si="6"/>
        <v>6</v>
      </c>
      <c r="BM64" s="18" t="str">
        <f t="shared" si="11"/>
        <v/>
      </c>
      <c r="BN64" s="19">
        <f t="shared" si="12"/>
        <v>5</v>
      </c>
      <c r="BO64" s="19" t="str">
        <f t="array" ref="BO64">_xlfn.TEXTJOIN("",TRUE,IF(ISERROR(FIND(ROW($1:$10)-1,BM64&amp;BN64)),ROW($1:$10)-1,""))</f>
        <v>012346789</v>
      </c>
      <c r="BP64" s="20" t="str">
        <f t="shared" si="13"/>
        <v>中隔中</v>
      </c>
      <c r="BQ64" s="21">
        <f t="shared" si="24"/>
        <v>1</v>
      </c>
      <c r="BR64" s="21" t="str">
        <f t="shared" si="22"/>
        <v/>
      </c>
      <c r="BS64" s="21" t="str">
        <f t="array" ref="BS64">_xlfn.TEXTJOIN("",TRUE,IF(ISERROR(FIND(ROW($1:$10)-1,BQ64&amp;BR64)),ROW($1:$10)-1,""))</f>
        <v>023456789</v>
      </c>
      <c r="BT64" s="20" t="str">
        <f t="shared" si="14"/>
        <v>复中中</v>
      </c>
      <c r="BU64" s="22" t="str">
        <f t="shared" si="15"/>
        <v/>
      </c>
      <c r="BV64" s="22" t="str">
        <f t="shared" si="23"/>
        <v/>
      </c>
      <c r="BW64" s="22" t="str">
        <f t="array" ref="BW64">_xlfn.TEXTJOIN("",TRUE,IF(ISERROR(FIND(ROW($1:$10)-1,BU64&amp;BV64)),ROW($1:$10)-1,""))</f>
        <v>0123456789</v>
      </c>
      <c r="BX64" s="20" t="str">
        <f t="shared" si="16"/>
        <v>中中中</v>
      </c>
      <c r="BY64" s="23" t="str">
        <f t="shared" si="10"/>
        <v>46</v>
      </c>
      <c r="BZ64" s="24" t="str">
        <f t="array" ref="BZ64">_xlfn.TEXTJOIN("",TRUE,IF(ISNUMBER(FIND(MID(BY63&amp;Q63,ROW($1:$4),1),BY64&amp;Q64)),MID(BY63&amp;Q63,ROW($1:$4),1),""))</f>
        <v>4</v>
      </c>
      <c r="CA64" s="25" t="str">
        <f t="array" ref="CA64">_xlfn.TEXTJOIN("",TRUE,IF(ISERROR(FIND(ROW($1:$10)-1,BY64&amp;BZ64)),ROW($1:$10)-1,""))</f>
        <v>01235789</v>
      </c>
      <c r="CB64" s="26" t="str">
        <f t="shared" si="17"/>
        <v>邻传孤</v>
      </c>
      <c r="CC64" s="27" t="str">
        <f t="shared" si="18"/>
        <v>02</v>
      </c>
      <c r="CD64" s="27" t="str">
        <f t="array" ref="CD64">_xlfn.TEXTJOIN("",TRUE,IF(ISNUMBER(FIND(MID(CC63&amp;R63,ROW($1:$4),1),CC64&amp;R64)),MID(CC63&amp;R63,ROW($1:$4),1),""))</f>
        <v/>
      </c>
      <c r="CE64" s="27" t="str">
        <f t="array" ref="CE64">_xlfn.TEXTJOIN("",TRUE,IF(ISERROR(FIND(ROW($1:$10)-1,CC64&amp;CD64)),ROW($1:$10)-1,""))</f>
        <v>13456789</v>
      </c>
      <c r="CF64" s="17" t="str">
        <f t="shared" si="19"/>
        <v>邻孤孤</v>
      </c>
      <c r="CG64" s="22" t="str">
        <f t="shared" si="20"/>
        <v>57</v>
      </c>
      <c r="CH64" s="22" t="str">
        <f t="array" ref="CH64">_xlfn.TEXTJOIN("",TRUE,IF(ISNUMBER(FIND(MID(CG63&amp;S63,ROW($1:$4),1),CG64&amp;S64)),MID(CG63&amp;S63,ROW($1:$4),1),""))</f>
        <v/>
      </c>
      <c r="CI64" s="22" t="str">
        <f t="array" ref="CI64">_xlfn.TEXTJOIN("",TRUE,IF(ISERROR(FIND(ROW($1:$10)-1,CG64&amp;CH64)),ROW($1:$10)-1,""))</f>
        <v>01234689</v>
      </c>
      <c r="CJ64" s="28" t="str">
        <f t="shared" si="21"/>
        <v>邻孤孤</v>
      </c>
    </row>
    <row r="65" spans="1:88">
      <c r="A65" s="32">
        <v>2024192</v>
      </c>
      <c r="B65" s="8" t="s">
        <v>85</v>
      </c>
      <c r="C65" s="49">
        <f t="shared" si="30"/>
        <v>19</v>
      </c>
      <c r="D65" s="50">
        <f t="shared" si="31"/>
        <v>9</v>
      </c>
      <c r="E65" s="51">
        <f t="shared" si="7"/>
        <v>6.3333333333333304</v>
      </c>
      <c r="F65" s="52">
        <f>MAX(MID(B65,{1,2,3},1)*1)-MIN(MID(B65,{1,2,3},1)*1)</f>
        <v>1</v>
      </c>
      <c r="G65" s="104">
        <v>0</v>
      </c>
      <c r="H65" s="104">
        <v>1</v>
      </c>
      <c r="I65" s="104">
        <v>2</v>
      </c>
      <c r="J65" s="104">
        <v>3</v>
      </c>
      <c r="K65" s="104">
        <v>4</v>
      </c>
      <c r="L65" s="104">
        <v>5</v>
      </c>
      <c r="M65" s="104">
        <v>6</v>
      </c>
      <c r="N65" s="104">
        <v>7</v>
      </c>
      <c r="O65" s="104">
        <v>8</v>
      </c>
      <c r="P65" s="104">
        <v>9</v>
      </c>
      <c r="Q65" s="53">
        <f t="shared" si="32"/>
        <v>1</v>
      </c>
      <c r="R65" s="53">
        <f t="shared" si="33"/>
        <v>0</v>
      </c>
      <c r="S65" s="53">
        <f t="shared" si="34"/>
        <v>1</v>
      </c>
      <c r="T65" s="101">
        <f t="shared" si="8"/>
        <v>2</v>
      </c>
      <c r="U65" s="15" t="str">
        <f>_xlfn.TEXTJOIN(", ",TRUE,ABS(MID(B65,{1,1,2},1)-MID(B65,{2,3,3},1)))</f>
        <v>1, 0, 1</v>
      </c>
      <c r="V65" s="54">
        <v>0</v>
      </c>
      <c r="W65" s="54">
        <v>1</v>
      </c>
      <c r="X65" s="54">
        <v>2</v>
      </c>
      <c r="Y65" s="54">
        <v>3</v>
      </c>
      <c r="Z65" s="54">
        <v>4</v>
      </c>
      <c r="AA65" s="54">
        <v>5</v>
      </c>
      <c r="AB65" s="54">
        <v>6</v>
      </c>
      <c r="AC65" s="54">
        <v>7</v>
      </c>
      <c r="AD65" s="54">
        <v>8</v>
      </c>
      <c r="AE65" s="54">
        <v>9</v>
      </c>
      <c r="AF65" s="55">
        <v>0</v>
      </c>
      <c r="AG65" s="55">
        <v>1</v>
      </c>
      <c r="AH65" s="55">
        <v>2</v>
      </c>
      <c r="AI65" s="55">
        <v>3</v>
      </c>
      <c r="AJ65" s="55">
        <v>4</v>
      </c>
      <c r="AK65" s="55">
        <v>5</v>
      </c>
      <c r="AL65" s="55">
        <v>6</v>
      </c>
      <c r="AM65" s="55">
        <v>7</v>
      </c>
      <c r="AN65" s="55">
        <v>8</v>
      </c>
      <c r="AO65" s="55">
        <v>9</v>
      </c>
      <c r="AP65" s="105">
        <v>0</v>
      </c>
      <c r="AQ65" s="105">
        <v>1</v>
      </c>
      <c r="AR65" s="105">
        <v>2</v>
      </c>
      <c r="AS65" s="105">
        <v>3</v>
      </c>
      <c r="AT65" s="105">
        <v>4</v>
      </c>
      <c r="AU65" s="105">
        <v>5</v>
      </c>
      <c r="AV65" s="105">
        <v>6</v>
      </c>
      <c r="AW65" s="105">
        <v>7</v>
      </c>
      <c r="AX65" s="105">
        <v>8</v>
      </c>
      <c r="AY65" s="105">
        <v>9</v>
      </c>
      <c r="AZ65" s="56">
        <v>0</v>
      </c>
      <c r="BA65" s="56">
        <v>1</v>
      </c>
      <c r="BB65" s="56">
        <v>2</v>
      </c>
      <c r="BC65" s="56">
        <v>3</v>
      </c>
      <c r="BD65" s="56">
        <v>4</v>
      </c>
      <c r="BE65" s="56">
        <v>5</v>
      </c>
      <c r="BF65" s="56">
        <v>6</v>
      </c>
      <c r="BG65" s="56">
        <v>7</v>
      </c>
      <c r="BH65" s="56">
        <v>8</v>
      </c>
      <c r="BI65" s="56">
        <v>9</v>
      </c>
      <c r="BJ65" s="57" t="str">
        <f t="shared" si="9"/>
        <v>紧凑型</v>
      </c>
      <c r="BK65" s="13">
        <f t="shared" si="5"/>
        <v>0</v>
      </c>
      <c r="BL65" s="13">
        <f t="shared" si="6"/>
        <v>1</v>
      </c>
      <c r="BM65" s="18">
        <f t="shared" si="11"/>
        <v>1</v>
      </c>
      <c r="BN65" s="19">
        <f t="shared" si="12"/>
        <v>1</v>
      </c>
      <c r="BO65" s="19" t="str">
        <f t="array" ref="BO65">_xlfn.TEXTJOIN("",TRUE,IF(ISERROR(FIND(ROW($1:$10)-1,BM65&amp;BN65)),ROW($1:$10)-1,""))</f>
        <v>023456789</v>
      </c>
      <c r="BP65" s="20" t="str">
        <f t="shared" si="13"/>
        <v>复隔中</v>
      </c>
      <c r="BQ65" s="21" t="str">
        <f t="shared" si="24"/>
        <v/>
      </c>
      <c r="BR65" s="21" t="str">
        <f t="shared" si="22"/>
        <v/>
      </c>
      <c r="BS65" s="21" t="str">
        <f t="array" ref="BS65">_xlfn.TEXTJOIN("",TRUE,IF(ISERROR(FIND(ROW($1:$10)-1,BQ65&amp;BR65)),ROW($1:$10)-1,""))</f>
        <v>0123456789</v>
      </c>
      <c r="BT65" s="20" t="str">
        <f t="shared" si="14"/>
        <v>中中中</v>
      </c>
      <c r="BU65" s="22">
        <f t="shared" si="15"/>
        <v>1</v>
      </c>
      <c r="BV65" s="22">
        <f t="shared" si="23"/>
        <v>1</v>
      </c>
      <c r="BW65" s="22" t="str">
        <f t="array" ref="BW65">_xlfn.TEXTJOIN("",TRUE,IF(ISERROR(FIND(ROW($1:$10)-1,BU65&amp;BV65)),ROW($1:$10)-1,""))</f>
        <v>023456789</v>
      </c>
      <c r="BX65" s="20" t="str">
        <f t="shared" si="16"/>
        <v>复隔中</v>
      </c>
      <c r="BY65" s="23" t="str">
        <f t="shared" si="10"/>
        <v>02</v>
      </c>
      <c r="BZ65" s="24" t="str">
        <f t="array" ref="BZ65">_xlfn.TEXTJOIN("",TRUE,IF(ISNUMBER(FIND(MID(BY64&amp;Q64,ROW($1:$4),1),BY65&amp;Q65)),MID(BY64&amp;Q64,ROW($1:$4),1),""))</f>
        <v/>
      </c>
      <c r="CA65" s="25" t="str">
        <f t="array" ref="CA65">_xlfn.TEXTJOIN("",TRUE,IF(ISERROR(FIND(ROW($1:$10)-1,BY65&amp;BZ65)),ROW($1:$10)-1,""))</f>
        <v>13456789</v>
      </c>
      <c r="CB65" s="26" t="str">
        <f t="shared" si="17"/>
        <v>邻孤孤</v>
      </c>
      <c r="CC65" s="27" t="str">
        <f t="shared" si="18"/>
        <v>91</v>
      </c>
      <c r="CD65" s="27" t="str">
        <f t="array" ref="CD65">_xlfn.TEXTJOIN("",TRUE,IF(ISNUMBER(FIND(MID(CC64&amp;R64,ROW($1:$4),1),CC65&amp;R65)),MID(CC64&amp;R64,ROW($1:$4),1),""))</f>
        <v>01</v>
      </c>
      <c r="CE65" s="27" t="str">
        <f t="array" ref="CE65">_xlfn.TEXTJOIN("",TRUE,IF(ISERROR(FIND(ROW($1:$10)-1,CC65&amp;CD65)),ROW($1:$10)-1,""))</f>
        <v>2345678</v>
      </c>
      <c r="CF65" s="17" t="str">
        <f t="shared" si="19"/>
        <v>邻传孤</v>
      </c>
      <c r="CG65" s="22" t="str">
        <f t="shared" si="20"/>
        <v>02</v>
      </c>
      <c r="CH65" s="22" t="str">
        <f t="array" ref="CH65">_xlfn.TEXTJOIN("",TRUE,IF(ISNUMBER(FIND(MID(CG64&amp;S64,ROW($1:$4),1),CG65&amp;S65)),MID(CG64&amp;S64,ROW($1:$4),1),""))</f>
        <v/>
      </c>
      <c r="CI65" s="22" t="str">
        <f t="array" ref="CI65">_xlfn.TEXTJOIN("",TRUE,IF(ISERROR(FIND(ROW($1:$10)-1,CG65&amp;CH65)),ROW($1:$10)-1,""))</f>
        <v>13456789</v>
      </c>
      <c r="CJ65" s="28" t="str">
        <f t="shared" si="21"/>
        <v>邻孤孤</v>
      </c>
    </row>
    <row r="66" spans="1:88">
      <c r="A66" s="32">
        <v>2024193</v>
      </c>
      <c r="B66" s="8" t="s">
        <v>86</v>
      </c>
      <c r="C66" s="49">
        <f t="shared" si="30"/>
        <v>15</v>
      </c>
      <c r="D66" s="50">
        <f t="shared" si="31"/>
        <v>5</v>
      </c>
      <c r="E66" s="51">
        <f t="shared" si="7"/>
        <v>5</v>
      </c>
      <c r="F66" s="52">
        <f>MAX(MID(B66,{1,2,3},1)*1)-MIN(MID(B66,{1,2,3},1)*1)</f>
        <v>7</v>
      </c>
      <c r="G66" s="104">
        <v>0</v>
      </c>
      <c r="H66" s="104">
        <v>1</v>
      </c>
      <c r="I66" s="104">
        <v>2</v>
      </c>
      <c r="J66" s="104">
        <v>3</v>
      </c>
      <c r="K66" s="104">
        <v>4</v>
      </c>
      <c r="L66" s="104">
        <v>5</v>
      </c>
      <c r="M66" s="104">
        <v>6</v>
      </c>
      <c r="N66" s="104">
        <v>7</v>
      </c>
      <c r="O66" s="104">
        <v>8</v>
      </c>
      <c r="P66" s="104">
        <v>9</v>
      </c>
      <c r="Q66" s="53">
        <f t="shared" si="32"/>
        <v>2</v>
      </c>
      <c r="R66" s="53">
        <f t="shared" si="33"/>
        <v>5</v>
      </c>
      <c r="S66" s="53">
        <f t="shared" si="34"/>
        <v>7</v>
      </c>
      <c r="T66" s="101">
        <f t="shared" si="8"/>
        <v>14</v>
      </c>
      <c r="U66" s="15" t="str">
        <f>_xlfn.TEXTJOIN(", ",TRUE,ABS(MID(B66,{1,1,2},1)-MID(B66,{2,3,3},1)))</f>
        <v>2, 5, 7</v>
      </c>
      <c r="V66" s="54">
        <v>0</v>
      </c>
      <c r="W66" s="54">
        <v>1</v>
      </c>
      <c r="X66" s="54">
        <v>2</v>
      </c>
      <c r="Y66" s="54">
        <v>3</v>
      </c>
      <c r="Z66" s="54">
        <v>4</v>
      </c>
      <c r="AA66" s="54">
        <v>5</v>
      </c>
      <c r="AB66" s="54">
        <v>6</v>
      </c>
      <c r="AC66" s="54">
        <v>7</v>
      </c>
      <c r="AD66" s="54">
        <v>8</v>
      </c>
      <c r="AE66" s="54">
        <v>9</v>
      </c>
      <c r="AF66" s="55">
        <v>0</v>
      </c>
      <c r="AG66" s="55">
        <v>1</v>
      </c>
      <c r="AH66" s="55">
        <v>2</v>
      </c>
      <c r="AI66" s="55">
        <v>3</v>
      </c>
      <c r="AJ66" s="55">
        <v>4</v>
      </c>
      <c r="AK66" s="55">
        <v>5</v>
      </c>
      <c r="AL66" s="55">
        <v>6</v>
      </c>
      <c r="AM66" s="55">
        <v>7</v>
      </c>
      <c r="AN66" s="55">
        <v>8</v>
      </c>
      <c r="AO66" s="55">
        <v>9</v>
      </c>
      <c r="AP66" s="105">
        <v>0</v>
      </c>
      <c r="AQ66" s="105">
        <v>1</v>
      </c>
      <c r="AR66" s="105">
        <v>2</v>
      </c>
      <c r="AS66" s="105">
        <v>3</v>
      </c>
      <c r="AT66" s="105">
        <v>4</v>
      </c>
      <c r="AU66" s="105">
        <v>5</v>
      </c>
      <c r="AV66" s="105">
        <v>6</v>
      </c>
      <c r="AW66" s="105">
        <v>7</v>
      </c>
      <c r="AX66" s="105">
        <v>8</v>
      </c>
      <c r="AY66" s="105">
        <v>9</v>
      </c>
      <c r="AZ66" s="56">
        <v>0</v>
      </c>
      <c r="BA66" s="56">
        <v>1</v>
      </c>
      <c r="BB66" s="56">
        <v>2</v>
      </c>
      <c r="BC66" s="56">
        <v>3</v>
      </c>
      <c r="BD66" s="56">
        <v>4</v>
      </c>
      <c r="BE66" s="56">
        <v>5</v>
      </c>
      <c r="BF66" s="56">
        <v>6</v>
      </c>
      <c r="BG66" s="56">
        <v>7</v>
      </c>
      <c r="BH66" s="56">
        <v>8</v>
      </c>
      <c r="BI66" s="56">
        <v>9</v>
      </c>
      <c r="BJ66" s="57" t="str">
        <f t="shared" si="9"/>
        <v>松散型</v>
      </c>
      <c r="BK66" s="13">
        <f t="shared" si="5"/>
        <v>2</v>
      </c>
      <c r="BL66" s="13">
        <f t="shared" si="6"/>
        <v>7</v>
      </c>
      <c r="BM66" s="18" t="str">
        <f t="shared" si="11"/>
        <v/>
      </c>
      <c r="BN66" s="19" t="str">
        <f t="shared" si="12"/>
        <v/>
      </c>
      <c r="BO66" s="19" t="str">
        <f t="array" ref="BO66">_xlfn.TEXTJOIN("",TRUE,IF(ISERROR(FIND(ROW($1:$10)-1,BM66&amp;BN66)),ROW($1:$10)-1,""))</f>
        <v>0123456789</v>
      </c>
      <c r="BP66" s="20" t="str">
        <f t="shared" si="13"/>
        <v>中中中</v>
      </c>
      <c r="BQ66" s="21" t="str">
        <f t="shared" si="24"/>
        <v/>
      </c>
      <c r="BR66" s="21">
        <f t="shared" si="22"/>
        <v>5</v>
      </c>
      <c r="BS66" s="21" t="str">
        <f t="array" ref="BS66">_xlfn.TEXTJOIN("",TRUE,IF(ISERROR(FIND(ROW($1:$10)-1,BQ66&amp;BR66)),ROW($1:$10)-1,""))</f>
        <v>012346789</v>
      </c>
      <c r="BT66" s="20" t="str">
        <f t="shared" si="14"/>
        <v>中隔中</v>
      </c>
      <c r="BU66" s="22" t="str">
        <f t="shared" si="15"/>
        <v/>
      </c>
      <c r="BV66" s="22" t="str">
        <f t="shared" si="23"/>
        <v/>
      </c>
      <c r="BW66" s="22" t="str">
        <f t="array" ref="BW66">_xlfn.TEXTJOIN("",TRUE,IF(ISERROR(FIND(ROW($1:$10)-1,BU66&amp;BV66)),ROW($1:$10)-1,""))</f>
        <v>0123456789</v>
      </c>
      <c r="BX66" s="20" t="str">
        <f t="shared" si="16"/>
        <v>中中中</v>
      </c>
      <c r="BY66" s="23" t="str">
        <f t="shared" si="10"/>
        <v>13</v>
      </c>
      <c r="BZ66" s="24" t="str">
        <f t="array" ref="BZ66">_xlfn.TEXTJOIN("",TRUE,IF(ISNUMBER(FIND(MID(BY65&amp;Q65,ROW($1:$4),1),BY66&amp;Q66)),MID(BY65&amp;Q65,ROW($1:$4),1),""))</f>
        <v>21</v>
      </c>
      <c r="CA66" s="25" t="str">
        <f t="array" ref="CA66">_xlfn.TEXTJOIN("",TRUE,IF(ISERROR(FIND(ROW($1:$10)-1,BY66&amp;BZ66)),ROW($1:$10)-1,""))</f>
        <v>0456789</v>
      </c>
      <c r="CB66" s="26" t="str">
        <f t="shared" si="17"/>
        <v>邻传孤</v>
      </c>
      <c r="CC66" s="27" t="str">
        <f t="shared" si="18"/>
        <v>46</v>
      </c>
      <c r="CD66" s="27" t="str">
        <f t="array" ref="CD66">_xlfn.TEXTJOIN("",TRUE,IF(ISNUMBER(FIND(MID(CC65&amp;R65,ROW($1:$4),1),CC66&amp;R66)),MID(CC65&amp;R65,ROW($1:$4),1),""))</f>
        <v/>
      </c>
      <c r="CE66" s="27" t="str">
        <f t="array" ref="CE66">_xlfn.TEXTJOIN("",TRUE,IF(ISERROR(FIND(ROW($1:$10)-1,CC66&amp;CD66)),ROW($1:$10)-1,""))</f>
        <v>01235789</v>
      </c>
      <c r="CF66" s="17" t="str">
        <f t="shared" si="19"/>
        <v>邻孤孤</v>
      </c>
      <c r="CG66" s="22" t="str">
        <f t="shared" si="20"/>
        <v>68</v>
      </c>
      <c r="CH66" s="22" t="str">
        <f t="array" ref="CH66">_xlfn.TEXTJOIN("",TRUE,IF(ISNUMBER(FIND(MID(CG65&amp;S65,ROW($1:$4),1),CG66&amp;S66)),MID(CG65&amp;S65,ROW($1:$4),1),""))</f>
        <v/>
      </c>
      <c r="CI66" s="22" t="str">
        <f t="array" ref="CI66">_xlfn.TEXTJOIN("",TRUE,IF(ISERROR(FIND(ROW($1:$10)-1,CG66&amp;CH66)),ROW($1:$10)-1,""))</f>
        <v>01234579</v>
      </c>
      <c r="CJ66" s="28" t="str">
        <f t="shared" si="21"/>
        <v>邻孤孤</v>
      </c>
    </row>
    <row r="67" spans="1:88">
      <c r="A67" s="32">
        <v>2024194</v>
      </c>
      <c r="B67" s="8" t="s">
        <v>87</v>
      </c>
      <c r="C67" s="49">
        <f t="shared" si="30"/>
        <v>11</v>
      </c>
      <c r="D67" s="50">
        <f t="shared" si="31"/>
        <v>1</v>
      </c>
      <c r="E67" s="51">
        <f t="shared" si="7"/>
        <v>3.6666666666666701</v>
      </c>
      <c r="F67" s="52">
        <f>MAX(MID(B67,{1,2,3},1)*1)-MIN(MID(B67,{1,2,3},1)*1)</f>
        <v>6</v>
      </c>
      <c r="G67" s="104">
        <v>0</v>
      </c>
      <c r="H67" s="104">
        <v>1</v>
      </c>
      <c r="I67" s="104">
        <v>2</v>
      </c>
      <c r="J67" s="104">
        <v>3</v>
      </c>
      <c r="K67" s="104">
        <v>4</v>
      </c>
      <c r="L67" s="104">
        <v>5</v>
      </c>
      <c r="M67" s="104">
        <v>6</v>
      </c>
      <c r="N67" s="104">
        <v>7</v>
      </c>
      <c r="O67" s="104">
        <v>8</v>
      </c>
      <c r="P67" s="104">
        <v>9</v>
      </c>
      <c r="Q67" s="53">
        <f t="shared" si="32"/>
        <v>2</v>
      </c>
      <c r="R67" s="53">
        <f t="shared" si="33"/>
        <v>6</v>
      </c>
      <c r="S67" s="53">
        <f t="shared" si="34"/>
        <v>4</v>
      </c>
      <c r="T67" s="101">
        <f t="shared" si="8"/>
        <v>12</v>
      </c>
      <c r="U67" s="15" t="str">
        <f>_xlfn.TEXTJOIN(", ",TRUE,ABS(MID(B67,{1,1,2},1)-MID(B67,{2,3,3},1)))</f>
        <v>2, 6, 4</v>
      </c>
      <c r="V67" s="54">
        <v>0</v>
      </c>
      <c r="W67" s="54">
        <v>1</v>
      </c>
      <c r="X67" s="54">
        <v>2</v>
      </c>
      <c r="Y67" s="54">
        <v>3</v>
      </c>
      <c r="Z67" s="54">
        <v>4</v>
      </c>
      <c r="AA67" s="54">
        <v>5</v>
      </c>
      <c r="AB67" s="54">
        <v>6</v>
      </c>
      <c r="AC67" s="54">
        <v>7</v>
      </c>
      <c r="AD67" s="54">
        <v>8</v>
      </c>
      <c r="AE67" s="54">
        <v>9</v>
      </c>
      <c r="AF67" s="55">
        <v>0</v>
      </c>
      <c r="AG67" s="55">
        <v>1</v>
      </c>
      <c r="AH67" s="55">
        <v>2</v>
      </c>
      <c r="AI67" s="55">
        <v>3</v>
      </c>
      <c r="AJ67" s="55">
        <v>4</v>
      </c>
      <c r="AK67" s="55">
        <v>5</v>
      </c>
      <c r="AL67" s="55">
        <v>6</v>
      </c>
      <c r="AM67" s="55">
        <v>7</v>
      </c>
      <c r="AN67" s="55">
        <v>8</v>
      </c>
      <c r="AO67" s="55">
        <v>9</v>
      </c>
      <c r="AP67" s="105">
        <v>0</v>
      </c>
      <c r="AQ67" s="105">
        <v>1</v>
      </c>
      <c r="AR67" s="105">
        <v>2</v>
      </c>
      <c r="AS67" s="105">
        <v>3</v>
      </c>
      <c r="AT67" s="105">
        <v>4</v>
      </c>
      <c r="AU67" s="105">
        <v>5</v>
      </c>
      <c r="AV67" s="105">
        <v>6</v>
      </c>
      <c r="AW67" s="105">
        <v>7</v>
      </c>
      <c r="AX67" s="105">
        <v>8</v>
      </c>
      <c r="AY67" s="105">
        <v>9</v>
      </c>
      <c r="AZ67" s="56">
        <v>0</v>
      </c>
      <c r="BA67" s="56">
        <v>1</v>
      </c>
      <c r="BB67" s="56">
        <v>2</v>
      </c>
      <c r="BC67" s="56">
        <v>3</v>
      </c>
      <c r="BD67" s="56">
        <v>4</v>
      </c>
      <c r="BE67" s="56">
        <v>5</v>
      </c>
      <c r="BF67" s="56">
        <v>6</v>
      </c>
      <c r="BG67" s="56">
        <v>7</v>
      </c>
      <c r="BH67" s="56">
        <v>8</v>
      </c>
      <c r="BI67" s="56">
        <v>9</v>
      </c>
      <c r="BJ67" s="57" t="str">
        <f t="shared" si="9"/>
        <v>松散型</v>
      </c>
      <c r="BK67" s="13">
        <f t="shared" ref="BK67:BK130" si="35">MIN(ABS(INT(B67/100)-INT(MOD(B67,100)/10)),ABS(INT(B67/100)-MOD(B67,10)),ABS(INT(MOD(B67,100)/10)-MOD(B67,10)))</f>
        <v>2</v>
      </c>
      <c r="BL67" s="13">
        <f t="shared" ref="BL67:BL130" si="36">MAX(ABS(INT(B67/100)-INT(MOD(B67,100)/10)),ABS(INT(B67/100)-MOD(B67,10)),ABS(INT(MOD(B67,100)/10)-MOD(B67,10)))</f>
        <v>6</v>
      </c>
      <c r="BM67" s="18">
        <f t="shared" si="11"/>
        <v>2</v>
      </c>
      <c r="BN67" s="19" t="str">
        <f t="shared" si="12"/>
        <v/>
      </c>
      <c r="BO67" s="19" t="str">
        <f t="array" ref="BO67">_xlfn.TEXTJOIN("",TRUE,IF(ISERROR(FIND(ROW($1:$10)-1,BM67&amp;BN67)),ROW($1:$10)-1,""))</f>
        <v>013456789</v>
      </c>
      <c r="BP67" s="20" t="str">
        <f t="shared" si="13"/>
        <v>复中中</v>
      </c>
      <c r="BQ67" s="21" t="str">
        <f t="shared" si="24"/>
        <v/>
      </c>
      <c r="BR67" s="21" t="str">
        <f t="shared" si="22"/>
        <v/>
      </c>
      <c r="BS67" s="21" t="str">
        <f t="array" ref="BS67">_xlfn.TEXTJOIN("",TRUE,IF(ISERROR(FIND(ROW($1:$10)-1,BQ67&amp;BR67)),ROW($1:$10)-1,""))</f>
        <v>0123456789</v>
      </c>
      <c r="BT67" s="20" t="str">
        <f t="shared" si="14"/>
        <v>中中中</v>
      </c>
      <c r="BU67" s="22" t="str">
        <f t="shared" si="15"/>
        <v/>
      </c>
      <c r="BV67" s="22" t="str">
        <f t="shared" si="23"/>
        <v/>
      </c>
      <c r="BW67" s="22" t="str">
        <f t="array" ref="BW67">_xlfn.TEXTJOIN("",TRUE,IF(ISERROR(FIND(ROW($1:$10)-1,BU67&amp;BV67)),ROW($1:$10)-1,""))</f>
        <v>0123456789</v>
      </c>
      <c r="BX67" s="20" t="str">
        <f t="shared" si="16"/>
        <v>中中中</v>
      </c>
      <c r="BY67" s="23" t="str">
        <f t="shared" si="10"/>
        <v>13</v>
      </c>
      <c r="BZ67" s="24" t="str">
        <f t="array" ref="BZ67">_xlfn.TEXTJOIN("",TRUE,IF(ISNUMBER(FIND(MID(BY66&amp;Q66,ROW($1:$4),1),BY67&amp;Q67)),MID(BY66&amp;Q66,ROW($1:$4),1),""))</f>
        <v>132</v>
      </c>
      <c r="CA67" s="25" t="str">
        <f t="array" ref="CA67">_xlfn.TEXTJOIN("",TRUE,IF(ISERROR(FIND(ROW($1:$10)-1,BY67&amp;BZ67)),ROW($1:$10)-1,""))</f>
        <v>0456789</v>
      </c>
      <c r="CB67" s="26" t="str">
        <f t="shared" si="17"/>
        <v>邻传孤</v>
      </c>
      <c r="CC67" s="27" t="str">
        <f t="shared" si="18"/>
        <v>57</v>
      </c>
      <c r="CD67" s="27" t="str">
        <f t="array" ref="CD67">_xlfn.TEXTJOIN("",TRUE,IF(ISNUMBER(FIND(MID(CC66&amp;R66,ROW($1:$4),1),CC67&amp;R67)),MID(CC66&amp;R66,ROW($1:$4),1),""))</f>
        <v>65</v>
      </c>
      <c r="CE67" s="27" t="str">
        <f t="array" ref="CE67">_xlfn.TEXTJOIN("",TRUE,IF(ISERROR(FIND(ROW($1:$10)-1,CC67&amp;CD67)),ROW($1:$10)-1,""))</f>
        <v>0123489</v>
      </c>
      <c r="CF67" s="17" t="str">
        <f t="shared" si="19"/>
        <v>邻传孤</v>
      </c>
      <c r="CG67" s="22" t="str">
        <f t="shared" si="20"/>
        <v>35</v>
      </c>
      <c r="CH67" s="22" t="str">
        <f t="array" ref="CH67">_xlfn.TEXTJOIN("",TRUE,IF(ISNUMBER(FIND(MID(CG66&amp;S66,ROW($1:$4),1),CG67&amp;S67)),MID(CG66&amp;S66,ROW($1:$4),1),""))</f>
        <v/>
      </c>
      <c r="CI67" s="22" t="str">
        <f t="array" ref="CI67">_xlfn.TEXTJOIN("",TRUE,IF(ISERROR(FIND(ROW($1:$10)-1,CG67&amp;CH67)),ROW($1:$10)-1,""))</f>
        <v>01246789</v>
      </c>
      <c r="CJ67" s="28" t="str">
        <f t="shared" si="21"/>
        <v>邻孤孤</v>
      </c>
    </row>
    <row r="68" spans="1:88">
      <c r="A68" s="32">
        <v>2024195</v>
      </c>
      <c r="B68" s="8" t="s">
        <v>88</v>
      </c>
      <c r="C68" s="49">
        <f t="shared" si="30"/>
        <v>14</v>
      </c>
      <c r="D68" s="50">
        <f t="shared" si="31"/>
        <v>4</v>
      </c>
      <c r="E68" s="51">
        <f t="shared" ref="E68:E131" si="37">C68/3</f>
        <v>4.6666666666666696</v>
      </c>
      <c r="F68" s="52">
        <f>MAX(MID(B68,{1,2,3},1)*1)-MIN(MID(B68,{1,2,3},1)*1)</f>
        <v>5</v>
      </c>
      <c r="G68" s="104">
        <v>0</v>
      </c>
      <c r="H68" s="104">
        <v>1</v>
      </c>
      <c r="I68" s="104">
        <v>2</v>
      </c>
      <c r="J68" s="104">
        <v>3</v>
      </c>
      <c r="K68" s="104">
        <v>4</v>
      </c>
      <c r="L68" s="104">
        <v>5</v>
      </c>
      <c r="M68" s="104">
        <v>6</v>
      </c>
      <c r="N68" s="104">
        <v>7</v>
      </c>
      <c r="O68" s="104">
        <v>8</v>
      </c>
      <c r="P68" s="104">
        <v>9</v>
      </c>
      <c r="Q68" s="53">
        <f t="shared" si="32"/>
        <v>5</v>
      </c>
      <c r="R68" s="53">
        <f t="shared" si="33"/>
        <v>2</v>
      </c>
      <c r="S68" s="53">
        <f t="shared" si="34"/>
        <v>3</v>
      </c>
      <c r="T68" s="101">
        <f t="shared" ref="T68:T131" si="38">Q68+R68+S68</f>
        <v>10</v>
      </c>
      <c r="U68" s="15" t="str">
        <f>_xlfn.TEXTJOIN(", ",TRUE,ABS(MID(B68,{1,1,2},1)-MID(B68,{2,3,3},1)))</f>
        <v>5, 2, 3</v>
      </c>
      <c r="V68" s="54">
        <v>0</v>
      </c>
      <c r="W68" s="54">
        <v>1</v>
      </c>
      <c r="X68" s="54">
        <v>2</v>
      </c>
      <c r="Y68" s="54">
        <v>3</v>
      </c>
      <c r="Z68" s="54">
        <v>4</v>
      </c>
      <c r="AA68" s="54">
        <v>5</v>
      </c>
      <c r="AB68" s="54">
        <v>6</v>
      </c>
      <c r="AC68" s="54">
        <v>7</v>
      </c>
      <c r="AD68" s="54">
        <v>8</v>
      </c>
      <c r="AE68" s="54">
        <v>9</v>
      </c>
      <c r="AF68" s="55">
        <v>0</v>
      </c>
      <c r="AG68" s="55">
        <v>1</v>
      </c>
      <c r="AH68" s="55">
        <v>2</v>
      </c>
      <c r="AI68" s="55">
        <v>3</v>
      </c>
      <c r="AJ68" s="55">
        <v>4</v>
      </c>
      <c r="AK68" s="55">
        <v>5</v>
      </c>
      <c r="AL68" s="55">
        <v>6</v>
      </c>
      <c r="AM68" s="55">
        <v>7</v>
      </c>
      <c r="AN68" s="55">
        <v>8</v>
      </c>
      <c r="AO68" s="55">
        <v>9</v>
      </c>
      <c r="AP68" s="105">
        <v>0</v>
      </c>
      <c r="AQ68" s="105">
        <v>1</v>
      </c>
      <c r="AR68" s="105">
        <v>2</v>
      </c>
      <c r="AS68" s="105">
        <v>3</v>
      </c>
      <c r="AT68" s="105">
        <v>4</v>
      </c>
      <c r="AU68" s="105">
        <v>5</v>
      </c>
      <c r="AV68" s="105">
        <v>6</v>
      </c>
      <c r="AW68" s="105">
        <v>7</v>
      </c>
      <c r="AX68" s="105">
        <v>8</v>
      </c>
      <c r="AY68" s="105">
        <v>9</v>
      </c>
      <c r="AZ68" s="56">
        <v>0</v>
      </c>
      <c r="BA68" s="56">
        <v>1</v>
      </c>
      <c r="BB68" s="56">
        <v>2</v>
      </c>
      <c r="BC68" s="56">
        <v>3</v>
      </c>
      <c r="BD68" s="56">
        <v>4</v>
      </c>
      <c r="BE68" s="56">
        <v>5</v>
      </c>
      <c r="BF68" s="56">
        <v>6</v>
      </c>
      <c r="BG68" s="56">
        <v>7</v>
      </c>
      <c r="BH68" s="56">
        <v>8</v>
      </c>
      <c r="BI68" s="56">
        <v>9</v>
      </c>
      <c r="BJ68" s="57" t="str">
        <f t="shared" ref="BJ68:BJ131" si="39">IF(AND(BK68&lt;=1,BL68&lt;=4),"紧凑型",IF(OR(BK68&gt;=3,BL68&gt;=6),"松散型",IF(AND(BK68&gt;=1,BL68&lt;=5),"标准型","对子")))</f>
        <v>标准型</v>
      </c>
      <c r="BK68" s="13">
        <f t="shared" si="35"/>
        <v>2</v>
      </c>
      <c r="BL68" s="13">
        <f t="shared" si="36"/>
        <v>5</v>
      </c>
      <c r="BM68" s="18" t="str">
        <f t="shared" si="11"/>
        <v/>
      </c>
      <c r="BN68" s="19">
        <f t="shared" si="12"/>
        <v>5</v>
      </c>
      <c r="BO68" s="19" t="str">
        <f t="array" ref="BO68">_xlfn.TEXTJOIN("",TRUE,IF(ISERROR(FIND(ROW($1:$10)-1,BM68&amp;BN68)),ROW($1:$10)-1,""))</f>
        <v>012346789</v>
      </c>
      <c r="BP68" s="20" t="str">
        <f t="shared" si="13"/>
        <v>中隔中</v>
      </c>
      <c r="BQ68" s="21">
        <f t="shared" si="24"/>
        <v>2</v>
      </c>
      <c r="BR68" s="21">
        <f t="shared" si="22"/>
        <v>2</v>
      </c>
      <c r="BS68" s="21" t="str">
        <f t="array" ref="BS68">_xlfn.TEXTJOIN("",TRUE,IF(ISERROR(FIND(ROW($1:$10)-1,BQ68&amp;BR68)),ROW($1:$10)-1,""))</f>
        <v>013456789</v>
      </c>
      <c r="BT68" s="20" t="str">
        <f t="shared" si="14"/>
        <v>复隔中</v>
      </c>
      <c r="BU68" s="22" t="str">
        <f t="shared" si="15"/>
        <v/>
      </c>
      <c r="BV68" s="22" t="str">
        <f t="shared" si="23"/>
        <v/>
      </c>
      <c r="BW68" s="22" t="str">
        <f t="array" ref="BW68">_xlfn.TEXTJOIN("",TRUE,IF(ISERROR(FIND(ROW($1:$10)-1,BU68&amp;BV68)),ROW($1:$10)-1,""))</f>
        <v>0123456789</v>
      </c>
      <c r="BX68" s="20" t="str">
        <f t="shared" si="16"/>
        <v>中中中</v>
      </c>
      <c r="BY68" s="23" t="str">
        <f t="shared" ref="BY68:BY131" si="40">IF(Q68=0,9,Q68-1)&amp;""&amp;IF(Q68=9,0,Q68+1)</f>
        <v>46</v>
      </c>
      <c r="BZ68" s="24" t="str">
        <f t="array" ref="BZ68">_xlfn.TEXTJOIN("",TRUE,IF(ISNUMBER(FIND(MID(BY67&amp;Q67,ROW($1:$4),1),BY68&amp;Q68)),MID(BY67&amp;Q67,ROW($1:$4),1),""))</f>
        <v/>
      </c>
      <c r="CA68" s="25" t="str">
        <f t="array" ref="CA68">_xlfn.TEXTJOIN("",TRUE,IF(ISERROR(FIND(ROW($1:$10)-1,BY68&amp;BZ68)),ROW($1:$10)-1,""))</f>
        <v>01235789</v>
      </c>
      <c r="CB68" s="26" t="str">
        <f t="shared" si="17"/>
        <v>邻孤孤</v>
      </c>
      <c r="CC68" s="27" t="str">
        <f t="shared" si="18"/>
        <v>13</v>
      </c>
      <c r="CD68" s="27" t="str">
        <f t="array" ref="CD68">_xlfn.TEXTJOIN("",TRUE,IF(ISNUMBER(FIND(MID(CC67&amp;R67,ROW($1:$4),1),CC68&amp;R68)),MID(CC67&amp;R67,ROW($1:$4),1),""))</f>
        <v/>
      </c>
      <c r="CE68" s="27" t="str">
        <f t="array" ref="CE68">_xlfn.TEXTJOIN("",TRUE,IF(ISERROR(FIND(ROW($1:$10)-1,CC68&amp;CD68)),ROW($1:$10)-1,""))</f>
        <v>02456789</v>
      </c>
      <c r="CF68" s="17" t="str">
        <f t="shared" si="19"/>
        <v>邻孤孤</v>
      </c>
      <c r="CG68" s="22" t="str">
        <f t="shared" si="20"/>
        <v>24</v>
      </c>
      <c r="CH68" s="22" t="str">
        <f t="array" ref="CH68">_xlfn.TEXTJOIN("",TRUE,IF(ISNUMBER(FIND(MID(CG67&amp;S67,ROW($1:$4),1),CG68&amp;S68)),MID(CG67&amp;S67,ROW($1:$4),1),""))</f>
        <v>34</v>
      </c>
      <c r="CI68" s="22" t="str">
        <f t="array" ref="CI68">_xlfn.TEXTJOIN("",TRUE,IF(ISERROR(FIND(ROW($1:$10)-1,CG68&amp;CH68)),ROW($1:$10)-1,""))</f>
        <v>0156789</v>
      </c>
      <c r="CJ68" s="28" t="str">
        <f t="shared" si="21"/>
        <v>邻传孤</v>
      </c>
    </row>
    <row r="69" spans="1:88">
      <c r="A69" s="32">
        <v>2024196</v>
      </c>
      <c r="B69" s="8" t="s">
        <v>89</v>
      </c>
      <c r="C69" s="49">
        <f t="shared" si="30"/>
        <v>11</v>
      </c>
      <c r="D69" s="50">
        <f t="shared" si="31"/>
        <v>1</v>
      </c>
      <c r="E69" s="51">
        <f t="shared" si="37"/>
        <v>3.6666666666666701</v>
      </c>
      <c r="F69" s="52">
        <f>MAX(MID(B69,{1,2,3},1)*1)-MIN(MID(B69,{1,2,3},1)*1)</f>
        <v>6</v>
      </c>
      <c r="G69" s="104">
        <v>0</v>
      </c>
      <c r="H69" s="104">
        <v>1</v>
      </c>
      <c r="I69" s="104">
        <v>2</v>
      </c>
      <c r="J69" s="104">
        <v>3</v>
      </c>
      <c r="K69" s="104">
        <v>4</v>
      </c>
      <c r="L69" s="104">
        <v>5</v>
      </c>
      <c r="M69" s="104">
        <v>6</v>
      </c>
      <c r="N69" s="104">
        <v>7</v>
      </c>
      <c r="O69" s="104">
        <v>8</v>
      </c>
      <c r="P69" s="104">
        <v>9</v>
      </c>
      <c r="Q69" s="53">
        <f t="shared" si="32"/>
        <v>5</v>
      </c>
      <c r="R69" s="53">
        <f t="shared" si="33"/>
        <v>6</v>
      </c>
      <c r="S69" s="53">
        <f t="shared" si="34"/>
        <v>1</v>
      </c>
      <c r="T69" s="101">
        <f t="shared" si="38"/>
        <v>12</v>
      </c>
      <c r="U69" s="15" t="str">
        <f>_xlfn.TEXTJOIN(", ",TRUE,ABS(MID(B69,{1,1,2},1)-MID(B69,{2,3,3},1)))</f>
        <v>5, 6, 1</v>
      </c>
      <c r="V69" s="54">
        <v>0</v>
      </c>
      <c r="W69" s="54">
        <v>1</v>
      </c>
      <c r="X69" s="54">
        <v>2</v>
      </c>
      <c r="Y69" s="54">
        <v>3</v>
      </c>
      <c r="Z69" s="54">
        <v>4</v>
      </c>
      <c r="AA69" s="54">
        <v>5</v>
      </c>
      <c r="AB69" s="54">
        <v>6</v>
      </c>
      <c r="AC69" s="54">
        <v>7</v>
      </c>
      <c r="AD69" s="54">
        <v>8</v>
      </c>
      <c r="AE69" s="54">
        <v>9</v>
      </c>
      <c r="AF69" s="55">
        <v>0</v>
      </c>
      <c r="AG69" s="55">
        <v>1</v>
      </c>
      <c r="AH69" s="55">
        <v>2</v>
      </c>
      <c r="AI69" s="55">
        <v>3</v>
      </c>
      <c r="AJ69" s="55">
        <v>4</v>
      </c>
      <c r="AK69" s="55">
        <v>5</v>
      </c>
      <c r="AL69" s="55">
        <v>6</v>
      </c>
      <c r="AM69" s="55">
        <v>7</v>
      </c>
      <c r="AN69" s="55">
        <v>8</v>
      </c>
      <c r="AO69" s="55">
        <v>9</v>
      </c>
      <c r="AP69" s="105">
        <v>0</v>
      </c>
      <c r="AQ69" s="105">
        <v>1</v>
      </c>
      <c r="AR69" s="105">
        <v>2</v>
      </c>
      <c r="AS69" s="105">
        <v>3</v>
      </c>
      <c r="AT69" s="105">
        <v>4</v>
      </c>
      <c r="AU69" s="105">
        <v>5</v>
      </c>
      <c r="AV69" s="105">
        <v>6</v>
      </c>
      <c r="AW69" s="105">
        <v>7</v>
      </c>
      <c r="AX69" s="105">
        <v>8</v>
      </c>
      <c r="AY69" s="105">
        <v>9</v>
      </c>
      <c r="AZ69" s="56">
        <v>0</v>
      </c>
      <c r="BA69" s="56">
        <v>1</v>
      </c>
      <c r="BB69" s="56">
        <v>2</v>
      </c>
      <c r="BC69" s="56">
        <v>3</v>
      </c>
      <c r="BD69" s="56">
        <v>4</v>
      </c>
      <c r="BE69" s="56">
        <v>5</v>
      </c>
      <c r="BF69" s="56">
        <v>6</v>
      </c>
      <c r="BG69" s="56">
        <v>7</v>
      </c>
      <c r="BH69" s="56">
        <v>8</v>
      </c>
      <c r="BI69" s="56">
        <v>9</v>
      </c>
      <c r="BJ69" s="57" t="str">
        <f t="shared" si="39"/>
        <v>松散型</v>
      </c>
      <c r="BK69" s="13">
        <f t="shared" si="35"/>
        <v>1</v>
      </c>
      <c r="BL69" s="13">
        <f t="shared" si="36"/>
        <v>6</v>
      </c>
      <c r="BM69" s="18">
        <f t="shared" ref="BM69:BM132" si="41">IF(COUNTIF($Q68:$S68,Q69)&gt;0,Q69,"")</f>
        <v>5</v>
      </c>
      <c r="BN69" s="19" t="str">
        <f t="shared" ref="BN69:BN132" si="42">IF(COUNTIF($Q67:$S67,Q69)&gt;0,Q69,"")</f>
        <v/>
      </c>
      <c r="BO69" s="19" t="str">
        <f t="array" ref="BO69">_xlfn.TEXTJOIN("",TRUE,IF(ISERROR(FIND(ROW($1:$10)-1,BM69&amp;BN69)),ROW($1:$10)-1,""))</f>
        <v>012346789</v>
      </c>
      <c r="BP69" s="20" t="str">
        <f t="shared" ref="BP69:BP132" si="43">IF(BM69&lt;&gt;"","复","中")&amp;IF(BN69&lt;&gt;"","隔","中")&amp;"中"</f>
        <v>复中中</v>
      </c>
      <c r="BQ69" s="21" t="str">
        <f t="shared" si="24"/>
        <v/>
      </c>
      <c r="BR69" s="21">
        <f t="shared" si="22"/>
        <v>6</v>
      </c>
      <c r="BS69" s="21" t="str">
        <f t="array" ref="BS69">_xlfn.TEXTJOIN("",TRUE,IF(ISERROR(FIND(ROW($1:$10)-1,BQ69&amp;BR69)),ROW($1:$10)-1,""))</f>
        <v>012345789</v>
      </c>
      <c r="BT69" s="20" t="str">
        <f t="shared" ref="BT69:BT132" si="44">IF(BQ69&lt;&gt;"","复","中")&amp;IF(BR69&lt;&gt;"","隔","中")&amp;"中"</f>
        <v>中隔中</v>
      </c>
      <c r="BU69" s="22" t="str">
        <f t="shared" ref="BU69:BU132" si="45">IF(COUNTIF($Q68:$S68,S69)&gt;0,S69,"")</f>
        <v/>
      </c>
      <c r="BV69" s="22" t="str">
        <f t="shared" si="23"/>
        <v/>
      </c>
      <c r="BW69" s="22" t="str">
        <f t="array" ref="BW69">_xlfn.TEXTJOIN("",TRUE,IF(ISERROR(FIND(ROW($1:$10)-1,BU69&amp;BV69)),ROW($1:$10)-1,""))</f>
        <v>0123456789</v>
      </c>
      <c r="BX69" s="20" t="str">
        <f t="shared" ref="BX69:BX132" si="46">IF(BU69&lt;&gt;"","复","中")&amp;IF(BV69&lt;&gt;"","隔","中")&amp;"中"</f>
        <v>中中中</v>
      </c>
      <c r="BY69" s="23" t="str">
        <f t="shared" si="40"/>
        <v>46</v>
      </c>
      <c r="BZ69" s="24" t="str">
        <f t="array" ref="BZ69">_xlfn.TEXTJOIN("",TRUE,IF(ISNUMBER(FIND(MID(BY68&amp;Q68,ROW($1:$4),1),BY69&amp;Q69)),MID(BY68&amp;Q68,ROW($1:$4),1),""))</f>
        <v>465</v>
      </c>
      <c r="CA69" s="25" t="str">
        <f t="array" ref="CA69">_xlfn.TEXTJOIN("",TRUE,IF(ISERROR(FIND(ROW($1:$10)-1,BY69&amp;BZ69)),ROW($1:$10)-1,""))</f>
        <v>0123789</v>
      </c>
      <c r="CB69" s="26" t="str">
        <f t="shared" ref="CB69:CB132" si="47">IF(BY69&lt;&gt;"","邻","孤")&amp;IF(BZ69&lt;&gt;"","传","孤")&amp;"孤"</f>
        <v>邻传孤</v>
      </c>
      <c r="CC69" s="27" t="str">
        <f t="shared" ref="CC69:CC132" si="48">IF(R69=0,9,R69-1)&amp;""&amp;IF(R69=9,0,R69+1)</f>
        <v>57</v>
      </c>
      <c r="CD69" s="27" t="str">
        <f t="array" ref="CD69">_xlfn.TEXTJOIN("",TRUE,IF(ISNUMBER(FIND(MID(CC68&amp;R68,ROW($1:$4),1),CC69&amp;R69)),MID(CC68&amp;R68,ROW($1:$4),1),""))</f>
        <v/>
      </c>
      <c r="CE69" s="27" t="str">
        <f t="array" ref="CE69">_xlfn.TEXTJOIN("",TRUE,IF(ISERROR(FIND(ROW($1:$10)-1,CC69&amp;CD69)),ROW($1:$10)-1,""))</f>
        <v>01234689</v>
      </c>
      <c r="CF69" s="17" t="str">
        <f t="shared" ref="CF69:CF132" si="49">IF(CC69&lt;&gt;"","邻","孤")&amp;IF(CD69&lt;&gt;"","传","孤")&amp;"孤"</f>
        <v>邻孤孤</v>
      </c>
      <c r="CG69" s="22" t="str">
        <f t="shared" ref="CG69:CG132" si="50">IF(S69=0,9,S69-1)&amp;""&amp;IF(S69=9,0,S69+1)</f>
        <v>02</v>
      </c>
      <c r="CH69" s="22" t="str">
        <f t="array" ref="CH69">_xlfn.TEXTJOIN("",TRUE,IF(ISNUMBER(FIND(MID(CG68&amp;S68,ROW($1:$4),1),CG69&amp;S69)),MID(CG68&amp;S68,ROW($1:$4),1),""))</f>
        <v>2</v>
      </c>
      <c r="CI69" s="22" t="str">
        <f t="array" ref="CI69">_xlfn.TEXTJOIN("",TRUE,IF(ISERROR(FIND(ROW($1:$10)-1,CG69&amp;CH69)),ROW($1:$10)-1,""))</f>
        <v>13456789</v>
      </c>
      <c r="CJ69" s="28" t="str">
        <f t="shared" ref="CJ69:CJ132" si="51">IF(CG69&lt;&gt;"","邻","孤")&amp;IF(CH69&lt;&gt;"","传","孤")&amp;"孤"</f>
        <v>邻传孤</v>
      </c>
    </row>
    <row r="70" spans="1:88">
      <c r="A70" s="32">
        <v>2024197</v>
      </c>
      <c r="B70" s="8" t="s">
        <v>90</v>
      </c>
      <c r="C70" s="49">
        <f t="shared" si="30"/>
        <v>8</v>
      </c>
      <c r="D70" s="50">
        <f t="shared" si="31"/>
        <v>8</v>
      </c>
      <c r="E70" s="51">
        <f t="shared" si="37"/>
        <v>2.6666666666666701</v>
      </c>
      <c r="F70" s="52">
        <f>MAX(MID(B70,{1,2,3},1)*1)-MIN(MID(B70,{1,2,3},1)*1)</f>
        <v>2</v>
      </c>
      <c r="G70" s="104">
        <v>0</v>
      </c>
      <c r="H70" s="104">
        <v>1</v>
      </c>
      <c r="I70" s="104">
        <v>2</v>
      </c>
      <c r="J70" s="104">
        <v>3</v>
      </c>
      <c r="K70" s="104">
        <v>4</v>
      </c>
      <c r="L70" s="104">
        <v>5</v>
      </c>
      <c r="M70" s="104">
        <v>6</v>
      </c>
      <c r="N70" s="104">
        <v>7</v>
      </c>
      <c r="O70" s="104">
        <v>8</v>
      </c>
      <c r="P70" s="104">
        <v>9</v>
      </c>
      <c r="Q70" s="53">
        <f t="shared" si="32"/>
        <v>0</v>
      </c>
      <c r="R70" s="53">
        <f t="shared" si="33"/>
        <v>2</v>
      </c>
      <c r="S70" s="53">
        <f t="shared" si="34"/>
        <v>2</v>
      </c>
      <c r="T70" s="101">
        <f t="shared" si="38"/>
        <v>4</v>
      </c>
      <c r="U70" s="15" t="str">
        <f>_xlfn.TEXTJOIN(", ",TRUE,ABS(MID(B70,{1,1,2},1)-MID(B70,{2,3,3},1)))</f>
        <v>0, 2, 2</v>
      </c>
      <c r="V70" s="54">
        <v>0</v>
      </c>
      <c r="W70" s="54">
        <v>1</v>
      </c>
      <c r="X70" s="54">
        <v>2</v>
      </c>
      <c r="Y70" s="54">
        <v>3</v>
      </c>
      <c r="Z70" s="54">
        <v>4</v>
      </c>
      <c r="AA70" s="54">
        <v>5</v>
      </c>
      <c r="AB70" s="54">
        <v>6</v>
      </c>
      <c r="AC70" s="54">
        <v>7</v>
      </c>
      <c r="AD70" s="54">
        <v>8</v>
      </c>
      <c r="AE70" s="54">
        <v>9</v>
      </c>
      <c r="AF70" s="55">
        <v>0</v>
      </c>
      <c r="AG70" s="55">
        <v>1</v>
      </c>
      <c r="AH70" s="55">
        <v>2</v>
      </c>
      <c r="AI70" s="55">
        <v>3</v>
      </c>
      <c r="AJ70" s="55">
        <v>4</v>
      </c>
      <c r="AK70" s="55">
        <v>5</v>
      </c>
      <c r="AL70" s="55">
        <v>6</v>
      </c>
      <c r="AM70" s="55">
        <v>7</v>
      </c>
      <c r="AN70" s="55">
        <v>8</v>
      </c>
      <c r="AO70" s="55">
        <v>9</v>
      </c>
      <c r="AP70" s="105">
        <v>0</v>
      </c>
      <c r="AQ70" s="105">
        <v>1</v>
      </c>
      <c r="AR70" s="105">
        <v>2</v>
      </c>
      <c r="AS70" s="105">
        <v>3</v>
      </c>
      <c r="AT70" s="105">
        <v>4</v>
      </c>
      <c r="AU70" s="105">
        <v>5</v>
      </c>
      <c r="AV70" s="105">
        <v>6</v>
      </c>
      <c r="AW70" s="105">
        <v>7</v>
      </c>
      <c r="AX70" s="105">
        <v>8</v>
      </c>
      <c r="AY70" s="105">
        <v>9</v>
      </c>
      <c r="AZ70" s="56">
        <v>0</v>
      </c>
      <c r="BA70" s="56">
        <v>1</v>
      </c>
      <c r="BB70" s="56">
        <v>2</v>
      </c>
      <c r="BC70" s="56">
        <v>3</v>
      </c>
      <c r="BD70" s="56">
        <v>4</v>
      </c>
      <c r="BE70" s="56">
        <v>5</v>
      </c>
      <c r="BF70" s="56">
        <v>6</v>
      </c>
      <c r="BG70" s="56">
        <v>7</v>
      </c>
      <c r="BH70" s="56">
        <v>8</v>
      </c>
      <c r="BI70" s="56">
        <v>9</v>
      </c>
      <c r="BJ70" s="57" t="str">
        <f t="shared" si="39"/>
        <v>紧凑型</v>
      </c>
      <c r="BK70" s="13">
        <f t="shared" si="35"/>
        <v>0</v>
      </c>
      <c r="BL70" s="13">
        <f t="shared" si="36"/>
        <v>2</v>
      </c>
      <c r="BM70" s="18" t="str">
        <f t="shared" si="41"/>
        <v/>
      </c>
      <c r="BN70" s="19" t="str">
        <f t="shared" si="42"/>
        <v/>
      </c>
      <c r="BO70" s="19" t="str">
        <f t="array" ref="BO70">_xlfn.TEXTJOIN("",TRUE,IF(ISERROR(FIND(ROW($1:$10)-1,BM70&amp;BN70)),ROW($1:$10)-1,""))</f>
        <v>0123456789</v>
      </c>
      <c r="BP70" s="20" t="str">
        <f t="shared" si="43"/>
        <v>中中中</v>
      </c>
      <c r="BQ70" s="21" t="str">
        <f t="shared" si="24"/>
        <v/>
      </c>
      <c r="BR70" s="21">
        <f t="shared" ref="BR70:BR133" si="52">IF(COUNTIF($Q68:$S68,R70)&gt;0,R70,"")</f>
        <v>2</v>
      </c>
      <c r="BS70" s="21" t="str">
        <f t="array" ref="BS70">_xlfn.TEXTJOIN("",TRUE,IF(ISERROR(FIND(ROW($1:$10)-1,BQ70&amp;BR70)),ROW($1:$10)-1,""))</f>
        <v>013456789</v>
      </c>
      <c r="BT70" s="20" t="str">
        <f t="shared" si="44"/>
        <v>中隔中</v>
      </c>
      <c r="BU70" s="22" t="str">
        <f t="shared" si="45"/>
        <v/>
      </c>
      <c r="BV70" s="22">
        <f t="shared" ref="BV70:BV133" si="53">IF(COUNTIF($Q68:$S68,S70)&gt;0,S70,"")</f>
        <v>2</v>
      </c>
      <c r="BW70" s="22" t="str">
        <f t="array" ref="BW70">_xlfn.TEXTJOIN("",TRUE,IF(ISERROR(FIND(ROW($1:$10)-1,BU70&amp;BV70)),ROW($1:$10)-1,""))</f>
        <v>013456789</v>
      </c>
      <c r="BX70" s="20" t="str">
        <f t="shared" si="46"/>
        <v>中隔中</v>
      </c>
      <c r="BY70" s="23" t="str">
        <f t="shared" si="40"/>
        <v>91</v>
      </c>
      <c r="BZ70" s="24" t="str">
        <f t="array" ref="BZ70">_xlfn.TEXTJOIN("",TRUE,IF(ISNUMBER(FIND(MID(BY69&amp;Q69,ROW($1:$4),1),BY70&amp;Q70)),MID(BY69&amp;Q69,ROW($1:$4),1),""))</f>
        <v/>
      </c>
      <c r="CA70" s="25" t="str">
        <f t="array" ref="CA70">_xlfn.TEXTJOIN("",TRUE,IF(ISERROR(FIND(ROW($1:$10)-1,BY70&amp;BZ70)),ROW($1:$10)-1,""))</f>
        <v>02345678</v>
      </c>
      <c r="CB70" s="26" t="str">
        <f t="shared" si="47"/>
        <v>邻孤孤</v>
      </c>
      <c r="CC70" s="27" t="str">
        <f t="shared" si="48"/>
        <v>13</v>
      </c>
      <c r="CD70" s="27" t="str">
        <f t="array" ref="CD70">_xlfn.TEXTJOIN("",TRUE,IF(ISNUMBER(FIND(MID(CC69&amp;R69,ROW($1:$4),1),CC70&amp;R70)),MID(CC69&amp;R69,ROW($1:$4),1),""))</f>
        <v/>
      </c>
      <c r="CE70" s="27" t="str">
        <f t="array" ref="CE70">_xlfn.TEXTJOIN("",TRUE,IF(ISERROR(FIND(ROW($1:$10)-1,CC70&amp;CD70)),ROW($1:$10)-1,""))</f>
        <v>02456789</v>
      </c>
      <c r="CF70" s="17" t="str">
        <f t="shared" si="49"/>
        <v>邻孤孤</v>
      </c>
      <c r="CG70" s="22" t="str">
        <f t="shared" si="50"/>
        <v>13</v>
      </c>
      <c r="CH70" s="22" t="str">
        <f t="array" ref="CH70">_xlfn.TEXTJOIN("",TRUE,IF(ISNUMBER(FIND(MID(CG69&amp;S69,ROW($1:$4),1),CG70&amp;S70)),MID(CG69&amp;S69,ROW($1:$4),1),""))</f>
        <v>21</v>
      </c>
      <c r="CI70" s="22" t="str">
        <f t="array" ref="CI70">_xlfn.TEXTJOIN("",TRUE,IF(ISERROR(FIND(ROW($1:$10)-1,CG70&amp;CH70)),ROW($1:$10)-1,""))</f>
        <v>0456789</v>
      </c>
      <c r="CJ70" s="28" t="str">
        <f t="shared" si="51"/>
        <v>邻传孤</v>
      </c>
    </row>
    <row r="71" spans="1:88">
      <c r="A71" s="32">
        <v>2024198</v>
      </c>
      <c r="B71" s="8" t="s">
        <v>91</v>
      </c>
      <c r="C71" s="49">
        <f t="shared" si="30"/>
        <v>8</v>
      </c>
      <c r="D71" s="50">
        <f t="shared" si="31"/>
        <v>8</v>
      </c>
      <c r="E71" s="51">
        <f t="shared" si="37"/>
        <v>2.6666666666666701</v>
      </c>
      <c r="F71" s="52">
        <f>MAX(MID(B71,{1,2,3},1)*1)-MIN(MID(B71,{1,2,3},1)*1)</f>
        <v>7</v>
      </c>
      <c r="G71" s="104">
        <v>0</v>
      </c>
      <c r="H71" s="104">
        <v>1</v>
      </c>
      <c r="I71" s="104">
        <v>2</v>
      </c>
      <c r="J71" s="104">
        <v>3</v>
      </c>
      <c r="K71" s="104">
        <v>4</v>
      </c>
      <c r="L71" s="104">
        <v>5</v>
      </c>
      <c r="M71" s="104">
        <v>6</v>
      </c>
      <c r="N71" s="104">
        <v>7</v>
      </c>
      <c r="O71" s="104">
        <v>8</v>
      </c>
      <c r="P71" s="104">
        <v>9</v>
      </c>
      <c r="Q71" s="53">
        <f t="shared" si="32"/>
        <v>6</v>
      </c>
      <c r="R71" s="53">
        <f t="shared" si="33"/>
        <v>7</v>
      </c>
      <c r="S71" s="53">
        <f t="shared" si="34"/>
        <v>1</v>
      </c>
      <c r="T71" s="101">
        <f t="shared" si="38"/>
        <v>14</v>
      </c>
      <c r="U71" s="15" t="str">
        <f>_xlfn.TEXTJOIN(", ",TRUE,ABS(MID(B71,{1,1,2},1)-MID(B71,{2,3,3},1)))</f>
        <v>6, 7, 1</v>
      </c>
      <c r="V71" s="54">
        <v>0</v>
      </c>
      <c r="W71" s="54">
        <v>1</v>
      </c>
      <c r="X71" s="54">
        <v>2</v>
      </c>
      <c r="Y71" s="54">
        <v>3</v>
      </c>
      <c r="Z71" s="54">
        <v>4</v>
      </c>
      <c r="AA71" s="54">
        <v>5</v>
      </c>
      <c r="AB71" s="54">
        <v>6</v>
      </c>
      <c r="AC71" s="54">
        <v>7</v>
      </c>
      <c r="AD71" s="54">
        <v>8</v>
      </c>
      <c r="AE71" s="54">
        <v>9</v>
      </c>
      <c r="AF71" s="55">
        <v>0</v>
      </c>
      <c r="AG71" s="55">
        <v>1</v>
      </c>
      <c r="AH71" s="55">
        <v>2</v>
      </c>
      <c r="AI71" s="55">
        <v>3</v>
      </c>
      <c r="AJ71" s="55">
        <v>4</v>
      </c>
      <c r="AK71" s="55">
        <v>5</v>
      </c>
      <c r="AL71" s="55">
        <v>6</v>
      </c>
      <c r="AM71" s="55">
        <v>7</v>
      </c>
      <c r="AN71" s="55">
        <v>8</v>
      </c>
      <c r="AO71" s="55">
        <v>9</v>
      </c>
      <c r="AP71" s="105">
        <v>0</v>
      </c>
      <c r="AQ71" s="105">
        <v>1</v>
      </c>
      <c r="AR71" s="105">
        <v>2</v>
      </c>
      <c r="AS71" s="105">
        <v>3</v>
      </c>
      <c r="AT71" s="105">
        <v>4</v>
      </c>
      <c r="AU71" s="105">
        <v>5</v>
      </c>
      <c r="AV71" s="105">
        <v>6</v>
      </c>
      <c r="AW71" s="105">
        <v>7</v>
      </c>
      <c r="AX71" s="105">
        <v>8</v>
      </c>
      <c r="AY71" s="105">
        <v>9</v>
      </c>
      <c r="AZ71" s="56">
        <v>0</v>
      </c>
      <c r="BA71" s="56">
        <v>1</v>
      </c>
      <c r="BB71" s="56">
        <v>2</v>
      </c>
      <c r="BC71" s="56">
        <v>3</v>
      </c>
      <c r="BD71" s="56">
        <v>4</v>
      </c>
      <c r="BE71" s="56">
        <v>5</v>
      </c>
      <c r="BF71" s="56">
        <v>6</v>
      </c>
      <c r="BG71" s="56">
        <v>7</v>
      </c>
      <c r="BH71" s="56">
        <v>8</v>
      </c>
      <c r="BI71" s="56">
        <v>9</v>
      </c>
      <c r="BJ71" s="57" t="str">
        <f t="shared" si="39"/>
        <v>松散型</v>
      </c>
      <c r="BK71" s="13">
        <f t="shared" si="35"/>
        <v>1</v>
      </c>
      <c r="BL71" s="13">
        <f t="shared" si="36"/>
        <v>7</v>
      </c>
      <c r="BM71" s="18" t="str">
        <f t="shared" si="41"/>
        <v/>
      </c>
      <c r="BN71" s="19">
        <f t="shared" si="42"/>
        <v>6</v>
      </c>
      <c r="BO71" s="19" t="str">
        <f t="array" ref="BO71">_xlfn.TEXTJOIN("",TRUE,IF(ISERROR(FIND(ROW($1:$10)-1,BM71&amp;BN71)),ROW($1:$10)-1,""))</f>
        <v>012345789</v>
      </c>
      <c r="BP71" s="20" t="str">
        <f t="shared" si="43"/>
        <v>中隔中</v>
      </c>
      <c r="BQ71" s="21" t="str">
        <f t="shared" si="24"/>
        <v/>
      </c>
      <c r="BR71" s="21" t="str">
        <f t="shared" si="52"/>
        <v/>
      </c>
      <c r="BS71" s="21" t="str">
        <f t="array" ref="BS71">_xlfn.TEXTJOIN("",TRUE,IF(ISERROR(FIND(ROW($1:$10)-1,BQ71&amp;BR71)),ROW($1:$10)-1,""))</f>
        <v>0123456789</v>
      </c>
      <c r="BT71" s="20" t="str">
        <f t="shared" si="44"/>
        <v>中中中</v>
      </c>
      <c r="BU71" s="22" t="str">
        <f t="shared" si="45"/>
        <v/>
      </c>
      <c r="BV71" s="22">
        <f t="shared" si="53"/>
        <v>1</v>
      </c>
      <c r="BW71" s="22" t="str">
        <f t="array" ref="BW71">_xlfn.TEXTJOIN("",TRUE,IF(ISERROR(FIND(ROW($1:$10)-1,BU71&amp;BV71)),ROW($1:$10)-1,""))</f>
        <v>023456789</v>
      </c>
      <c r="BX71" s="20" t="str">
        <f t="shared" si="46"/>
        <v>中隔中</v>
      </c>
      <c r="BY71" s="23" t="str">
        <f t="shared" si="40"/>
        <v>57</v>
      </c>
      <c r="BZ71" s="24" t="str">
        <f t="array" ref="BZ71">_xlfn.TEXTJOIN("",TRUE,IF(ISNUMBER(FIND(MID(BY70&amp;Q70,ROW($1:$4),1),BY71&amp;Q71)),MID(BY70&amp;Q70,ROW($1:$4),1),""))</f>
        <v/>
      </c>
      <c r="CA71" s="25" t="str">
        <f t="array" ref="CA71">_xlfn.TEXTJOIN("",TRUE,IF(ISERROR(FIND(ROW($1:$10)-1,BY71&amp;BZ71)),ROW($1:$10)-1,""))</f>
        <v>01234689</v>
      </c>
      <c r="CB71" s="26" t="str">
        <f t="shared" si="47"/>
        <v>邻孤孤</v>
      </c>
      <c r="CC71" s="27" t="str">
        <f t="shared" si="48"/>
        <v>68</v>
      </c>
      <c r="CD71" s="27" t="str">
        <f t="array" ref="CD71">_xlfn.TEXTJOIN("",TRUE,IF(ISNUMBER(FIND(MID(CC70&amp;R70,ROW($1:$4),1),CC71&amp;R71)),MID(CC70&amp;R70,ROW($1:$4),1),""))</f>
        <v/>
      </c>
      <c r="CE71" s="27" t="str">
        <f t="array" ref="CE71">_xlfn.TEXTJOIN("",TRUE,IF(ISERROR(FIND(ROW($1:$10)-1,CC71&amp;CD71)),ROW($1:$10)-1,""))</f>
        <v>01234579</v>
      </c>
      <c r="CF71" s="17" t="str">
        <f t="shared" si="49"/>
        <v>邻孤孤</v>
      </c>
      <c r="CG71" s="22" t="str">
        <f t="shared" si="50"/>
        <v>02</v>
      </c>
      <c r="CH71" s="22" t="str">
        <f t="array" ref="CH71">_xlfn.TEXTJOIN("",TRUE,IF(ISNUMBER(FIND(MID(CG70&amp;S70,ROW($1:$4),1),CG71&amp;S71)),MID(CG70&amp;S70,ROW($1:$4),1),""))</f>
        <v>12</v>
      </c>
      <c r="CI71" s="22" t="str">
        <f t="array" ref="CI71">_xlfn.TEXTJOIN("",TRUE,IF(ISERROR(FIND(ROW($1:$10)-1,CG71&amp;CH71)),ROW($1:$10)-1,""))</f>
        <v>3456789</v>
      </c>
      <c r="CJ71" s="28" t="str">
        <f t="shared" si="51"/>
        <v>邻传孤</v>
      </c>
    </row>
    <row r="72" spans="1:88">
      <c r="A72" s="32">
        <v>2024199</v>
      </c>
      <c r="B72" s="8" t="s">
        <v>92</v>
      </c>
      <c r="C72" s="49">
        <f t="shared" si="30"/>
        <v>12</v>
      </c>
      <c r="D72" s="50">
        <f t="shared" si="31"/>
        <v>2</v>
      </c>
      <c r="E72" s="51">
        <f t="shared" si="37"/>
        <v>4</v>
      </c>
      <c r="F72" s="52">
        <f>MAX(MID(B72,{1,2,3},1)*1)-MIN(MID(B72,{1,2,3},1)*1)</f>
        <v>6</v>
      </c>
      <c r="G72" s="104">
        <v>0</v>
      </c>
      <c r="H72" s="104">
        <v>1</v>
      </c>
      <c r="I72" s="104">
        <v>2</v>
      </c>
      <c r="J72" s="104">
        <v>3</v>
      </c>
      <c r="K72" s="104">
        <v>4</v>
      </c>
      <c r="L72" s="104">
        <v>5</v>
      </c>
      <c r="M72" s="104">
        <v>6</v>
      </c>
      <c r="N72" s="104">
        <v>7</v>
      </c>
      <c r="O72" s="104">
        <v>8</v>
      </c>
      <c r="P72" s="104">
        <v>9</v>
      </c>
      <c r="Q72" s="53">
        <f t="shared" si="32"/>
        <v>3</v>
      </c>
      <c r="R72" s="53">
        <f t="shared" si="33"/>
        <v>6</v>
      </c>
      <c r="S72" s="53">
        <f t="shared" si="34"/>
        <v>3</v>
      </c>
      <c r="T72" s="101">
        <f t="shared" si="38"/>
        <v>12</v>
      </c>
      <c r="U72" s="15" t="str">
        <f>_xlfn.TEXTJOIN(", ",TRUE,ABS(MID(B72,{1,1,2},1)-MID(B72,{2,3,3},1)))</f>
        <v>3, 6, 3</v>
      </c>
      <c r="V72" s="54">
        <v>0</v>
      </c>
      <c r="W72" s="54">
        <v>1</v>
      </c>
      <c r="X72" s="54">
        <v>2</v>
      </c>
      <c r="Y72" s="54">
        <v>3</v>
      </c>
      <c r="Z72" s="54">
        <v>4</v>
      </c>
      <c r="AA72" s="54">
        <v>5</v>
      </c>
      <c r="AB72" s="54">
        <v>6</v>
      </c>
      <c r="AC72" s="54">
        <v>7</v>
      </c>
      <c r="AD72" s="54">
        <v>8</v>
      </c>
      <c r="AE72" s="54">
        <v>9</v>
      </c>
      <c r="AF72" s="55">
        <v>0</v>
      </c>
      <c r="AG72" s="55">
        <v>1</v>
      </c>
      <c r="AH72" s="55">
        <v>2</v>
      </c>
      <c r="AI72" s="55">
        <v>3</v>
      </c>
      <c r="AJ72" s="55">
        <v>4</v>
      </c>
      <c r="AK72" s="55">
        <v>5</v>
      </c>
      <c r="AL72" s="55">
        <v>6</v>
      </c>
      <c r="AM72" s="55">
        <v>7</v>
      </c>
      <c r="AN72" s="55">
        <v>8</v>
      </c>
      <c r="AO72" s="55">
        <v>9</v>
      </c>
      <c r="AP72" s="105">
        <v>0</v>
      </c>
      <c r="AQ72" s="105">
        <v>1</v>
      </c>
      <c r="AR72" s="105">
        <v>2</v>
      </c>
      <c r="AS72" s="105">
        <v>3</v>
      </c>
      <c r="AT72" s="105">
        <v>4</v>
      </c>
      <c r="AU72" s="105">
        <v>5</v>
      </c>
      <c r="AV72" s="105">
        <v>6</v>
      </c>
      <c r="AW72" s="105">
        <v>7</v>
      </c>
      <c r="AX72" s="105">
        <v>8</v>
      </c>
      <c r="AY72" s="105">
        <v>9</v>
      </c>
      <c r="AZ72" s="56">
        <v>0</v>
      </c>
      <c r="BA72" s="56">
        <v>1</v>
      </c>
      <c r="BB72" s="56">
        <v>2</v>
      </c>
      <c r="BC72" s="56">
        <v>3</v>
      </c>
      <c r="BD72" s="56">
        <v>4</v>
      </c>
      <c r="BE72" s="56">
        <v>5</v>
      </c>
      <c r="BF72" s="56">
        <v>6</v>
      </c>
      <c r="BG72" s="56">
        <v>7</v>
      </c>
      <c r="BH72" s="56">
        <v>8</v>
      </c>
      <c r="BI72" s="56">
        <v>9</v>
      </c>
      <c r="BJ72" s="57" t="str">
        <f t="shared" si="39"/>
        <v>松散型</v>
      </c>
      <c r="BK72" s="13">
        <f t="shared" si="35"/>
        <v>3</v>
      </c>
      <c r="BL72" s="13">
        <f t="shared" si="36"/>
        <v>6</v>
      </c>
      <c r="BM72" s="18" t="str">
        <f t="shared" si="41"/>
        <v/>
      </c>
      <c r="BN72" s="19" t="str">
        <f t="shared" si="42"/>
        <v/>
      </c>
      <c r="BO72" s="19" t="str">
        <f t="array" ref="BO72">_xlfn.TEXTJOIN("",TRUE,IF(ISERROR(FIND(ROW($1:$10)-1,BM72&amp;BN72)),ROW($1:$10)-1,""))</f>
        <v>0123456789</v>
      </c>
      <c r="BP72" s="20" t="str">
        <f t="shared" si="43"/>
        <v>中中中</v>
      </c>
      <c r="BQ72" s="21">
        <f t="shared" ref="BQ72:BQ135" si="54">IF(COUNTIF($Q71:$S71,R72)&gt;0,R72,"")</f>
        <v>6</v>
      </c>
      <c r="BR72" s="21" t="str">
        <f t="shared" si="52"/>
        <v/>
      </c>
      <c r="BS72" s="21" t="str">
        <f t="array" ref="BS72">_xlfn.TEXTJOIN("",TRUE,IF(ISERROR(FIND(ROW($1:$10)-1,BQ72&amp;BR72)),ROW($1:$10)-1,""))</f>
        <v>012345789</v>
      </c>
      <c r="BT72" s="20" t="str">
        <f t="shared" si="44"/>
        <v>复中中</v>
      </c>
      <c r="BU72" s="22" t="str">
        <f t="shared" si="45"/>
        <v/>
      </c>
      <c r="BV72" s="22" t="str">
        <f t="shared" si="53"/>
        <v/>
      </c>
      <c r="BW72" s="22" t="str">
        <f t="array" ref="BW72">_xlfn.TEXTJOIN("",TRUE,IF(ISERROR(FIND(ROW($1:$10)-1,BU72&amp;BV72)),ROW($1:$10)-1,""))</f>
        <v>0123456789</v>
      </c>
      <c r="BX72" s="20" t="str">
        <f t="shared" si="46"/>
        <v>中中中</v>
      </c>
      <c r="BY72" s="23" t="str">
        <f t="shared" si="40"/>
        <v>24</v>
      </c>
      <c r="BZ72" s="24" t="str">
        <f t="array" ref="BZ72">_xlfn.TEXTJOIN("",TRUE,IF(ISNUMBER(FIND(MID(BY71&amp;Q71,ROW($1:$4),1),BY72&amp;Q72)),MID(BY71&amp;Q71,ROW($1:$4),1),""))</f>
        <v/>
      </c>
      <c r="CA72" s="25" t="str">
        <f t="array" ref="CA72">_xlfn.TEXTJOIN("",TRUE,IF(ISERROR(FIND(ROW($1:$10)-1,BY72&amp;BZ72)),ROW($1:$10)-1,""))</f>
        <v>01356789</v>
      </c>
      <c r="CB72" s="26" t="str">
        <f t="shared" si="47"/>
        <v>邻孤孤</v>
      </c>
      <c r="CC72" s="27" t="str">
        <f t="shared" si="48"/>
        <v>57</v>
      </c>
      <c r="CD72" s="27" t="str">
        <f t="array" ref="CD72">_xlfn.TEXTJOIN("",TRUE,IF(ISNUMBER(FIND(MID(CC71&amp;R71,ROW($1:$4),1),CC72&amp;R72)),MID(CC71&amp;R71,ROW($1:$4),1),""))</f>
        <v>67</v>
      </c>
      <c r="CE72" s="27" t="str">
        <f t="array" ref="CE72">_xlfn.TEXTJOIN("",TRUE,IF(ISERROR(FIND(ROW($1:$10)-1,CC72&amp;CD72)),ROW($1:$10)-1,""))</f>
        <v>0123489</v>
      </c>
      <c r="CF72" s="17" t="str">
        <f t="shared" si="49"/>
        <v>邻传孤</v>
      </c>
      <c r="CG72" s="22" t="str">
        <f t="shared" si="50"/>
        <v>24</v>
      </c>
      <c r="CH72" s="22" t="str">
        <f t="array" ref="CH72">_xlfn.TEXTJOIN("",TRUE,IF(ISNUMBER(FIND(MID(CG71&amp;S71,ROW($1:$4),1),CG72&amp;S72)),MID(CG71&amp;S71,ROW($1:$4),1),""))</f>
        <v>2</v>
      </c>
      <c r="CI72" s="22" t="str">
        <f t="array" ref="CI72">_xlfn.TEXTJOIN("",TRUE,IF(ISERROR(FIND(ROW($1:$10)-1,CG72&amp;CH72)),ROW($1:$10)-1,""))</f>
        <v>01356789</v>
      </c>
      <c r="CJ72" s="28" t="str">
        <f t="shared" si="51"/>
        <v>邻传孤</v>
      </c>
    </row>
    <row r="73" spans="1:88">
      <c r="A73" s="32">
        <v>2024200</v>
      </c>
      <c r="B73" s="8" t="s">
        <v>93</v>
      </c>
      <c r="C73" s="49">
        <f t="shared" si="30"/>
        <v>12</v>
      </c>
      <c r="D73" s="50">
        <f t="shared" si="31"/>
        <v>2</v>
      </c>
      <c r="E73" s="51">
        <f t="shared" si="37"/>
        <v>4</v>
      </c>
      <c r="F73" s="52">
        <f>MAX(MID(B73,{1,2,3},1)*1)-MIN(MID(B73,{1,2,3},1)*1)</f>
        <v>9</v>
      </c>
      <c r="G73" s="104">
        <v>0</v>
      </c>
      <c r="H73" s="104">
        <v>1</v>
      </c>
      <c r="I73" s="104">
        <v>2</v>
      </c>
      <c r="J73" s="104">
        <v>3</v>
      </c>
      <c r="K73" s="104">
        <v>4</v>
      </c>
      <c r="L73" s="104">
        <v>5</v>
      </c>
      <c r="M73" s="104">
        <v>6</v>
      </c>
      <c r="N73" s="104">
        <v>7</v>
      </c>
      <c r="O73" s="104">
        <v>8</v>
      </c>
      <c r="P73" s="104">
        <v>9</v>
      </c>
      <c r="Q73" s="53">
        <f t="shared" si="32"/>
        <v>3</v>
      </c>
      <c r="R73" s="53">
        <f t="shared" si="33"/>
        <v>6</v>
      </c>
      <c r="S73" s="53">
        <f t="shared" si="34"/>
        <v>9</v>
      </c>
      <c r="T73" s="101">
        <f t="shared" si="38"/>
        <v>18</v>
      </c>
      <c r="U73" s="15" t="str">
        <f>_xlfn.TEXTJOIN(", ",TRUE,ABS(MID(B73,{1,1,2},1)-MID(B73,{2,3,3},1)))</f>
        <v>3, 6, 9</v>
      </c>
      <c r="V73" s="54">
        <v>0</v>
      </c>
      <c r="W73" s="54">
        <v>1</v>
      </c>
      <c r="X73" s="54">
        <v>2</v>
      </c>
      <c r="Y73" s="54">
        <v>3</v>
      </c>
      <c r="Z73" s="54">
        <v>4</v>
      </c>
      <c r="AA73" s="54">
        <v>5</v>
      </c>
      <c r="AB73" s="54">
        <v>6</v>
      </c>
      <c r="AC73" s="54">
        <v>7</v>
      </c>
      <c r="AD73" s="54">
        <v>8</v>
      </c>
      <c r="AE73" s="54">
        <v>9</v>
      </c>
      <c r="AF73" s="55">
        <v>0</v>
      </c>
      <c r="AG73" s="55">
        <v>1</v>
      </c>
      <c r="AH73" s="55">
        <v>2</v>
      </c>
      <c r="AI73" s="55">
        <v>3</v>
      </c>
      <c r="AJ73" s="55">
        <v>4</v>
      </c>
      <c r="AK73" s="55">
        <v>5</v>
      </c>
      <c r="AL73" s="55">
        <v>6</v>
      </c>
      <c r="AM73" s="55">
        <v>7</v>
      </c>
      <c r="AN73" s="55">
        <v>8</v>
      </c>
      <c r="AO73" s="55">
        <v>9</v>
      </c>
      <c r="AP73" s="105">
        <v>0</v>
      </c>
      <c r="AQ73" s="105">
        <v>1</v>
      </c>
      <c r="AR73" s="105">
        <v>2</v>
      </c>
      <c r="AS73" s="105">
        <v>3</v>
      </c>
      <c r="AT73" s="105">
        <v>4</v>
      </c>
      <c r="AU73" s="105">
        <v>5</v>
      </c>
      <c r="AV73" s="105">
        <v>6</v>
      </c>
      <c r="AW73" s="105">
        <v>7</v>
      </c>
      <c r="AX73" s="105">
        <v>8</v>
      </c>
      <c r="AY73" s="105">
        <v>9</v>
      </c>
      <c r="AZ73" s="56">
        <v>0</v>
      </c>
      <c r="BA73" s="56">
        <v>1</v>
      </c>
      <c r="BB73" s="56">
        <v>2</v>
      </c>
      <c r="BC73" s="56">
        <v>3</v>
      </c>
      <c r="BD73" s="56">
        <v>4</v>
      </c>
      <c r="BE73" s="56">
        <v>5</v>
      </c>
      <c r="BF73" s="56">
        <v>6</v>
      </c>
      <c r="BG73" s="56">
        <v>7</v>
      </c>
      <c r="BH73" s="56">
        <v>8</v>
      </c>
      <c r="BI73" s="56">
        <v>9</v>
      </c>
      <c r="BJ73" s="57" t="str">
        <f t="shared" si="39"/>
        <v>松散型</v>
      </c>
      <c r="BK73" s="13">
        <f t="shared" si="35"/>
        <v>3</v>
      </c>
      <c r="BL73" s="13">
        <f t="shared" si="36"/>
        <v>9</v>
      </c>
      <c r="BM73" s="18">
        <f t="shared" si="41"/>
        <v>3</v>
      </c>
      <c r="BN73" s="19" t="str">
        <f t="shared" si="42"/>
        <v/>
      </c>
      <c r="BO73" s="19" t="str">
        <f t="array" ref="BO73">_xlfn.TEXTJOIN("",TRUE,IF(ISERROR(FIND(ROW($1:$10)-1,BM73&amp;BN73)),ROW($1:$10)-1,""))</f>
        <v>012456789</v>
      </c>
      <c r="BP73" s="20" t="str">
        <f t="shared" si="43"/>
        <v>复中中</v>
      </c>
      <c r="BQ73" s="21">
        <f t="shared" si="54"/>
        <v>6</v>
      </c>
      <c r="BR73" s="21">
        <f t="shared" si="52"/>
        <v>6</v>
      </c>
      <c r="BS73" s="21" t="str">
        <f t="array" ref="BS73">_xlfn.TEXTJOIN("",TRUE,IF(ISERROR(FIND(ROW($1:$10)-1,BQ73&amp;BR73)),ROW($1:$10)-1,""))</f>
        <v>012345789</v>
      </c>
      <c r="BT73" s="20" t="str">
        <f t="shared" si="44"/>
        <v>复隔中</v>
      </c>
      <c r="BU73" s="22" t="str">
        <f t="shared" si="45"/>
        <v/>
      </c>
      <c r="BV73" s="22" t="str">
        <f t="shared" si="53"/>
        <v/>
      </c>
      <c r="BW73" s="22" t="str">
        <f t="array" ref="BW73">_xlfn.TEXTJOIN("",TRUE,IF(ISERROR(FIND(ROW($1:$10)-1,BU73&amp;BV73)),ROW($1:$10)-1,""))</f>
        <v>0123456789</v>
      </c>
      <c r="BX73" s="20" t="str">
        <f t="shared" si="46"/>
        <v>中中中</v>
      </c>
      <c r="BY73" s="23" t="str">
        <f t="shared" si="40"/>
        <v>24</v>
      </c>
      <c r="BZ73" s="24" t="str">
        <f t="array" ref="BZ73">_xlfn.TEXTJOIN("",TRUE,IF(ISNUMBER(FIND(MID(BY72&amp;Q72,ROW($1:$4),1),BY73&amp;Q73)),MID(BY72&amp;Q72,ROW($1:$4),1),""))</f>
        <v>243</v>
      </c>
      <c r="CA73" s="25" t="str">
        <f t="array" ref="CA73">_xlfn.TEXTJOIN("",TRUE,IF(ISERROR(FIND(ROW($1:$10)-1,BY73&amp;BZ73)),ROW($1:$10)-1,""))</f>
        <v>0156789</v>
      </c>
      <c r="CB73" s="26" t="str">
        <f t="shared" si="47"/>
        <v>邻传孤</v>
      </c>
      <c r="CC73" s="27" t="str">
        <f t="shared" si="48"/>
        <v>57</v>
      </c>
      <c r="CD73" s="27" t="str">
        <f t="array" ref="CD73">_xlfn.TEXTJOIN("",TRUE,IF(ISNUMBER(FIND(MID(CC72&amp;R72,ROW($1:$4),1),CC73&amp;R73)),MID(CC72&amp;R72,ROW($1:$4),1),""))</f>
        <v>576</v>
      </c>
      <c r="CE73" s="27" t="str">
        <f t="array" ref="CE73">_xlfn.TEXTJOIN("",TRUE,IF(ISERROR(FIND(ROW($1:$10)-1,CC73&amp;CD73)),ROW($1:$10)-1,""))</f>
        <v>0123489</v>
      </c>
      <c r="CF73" s="17" t="str">
        <f t="shared" si="49"/>
        <v>邻传孤</v>
      </c>
      <c r="CG73" s="22" t="str">
        <f t="shared" si="50"/>
        <v>80</v>
      </c>
      <c r="CH73" s="22" t="str">
        <f t="array" ref="CH73">_xlfn.TEXTJOIN("",TRUE,IF(ISNUMBER(FIND(MID(CG72&amp;S72,ROW($1:$4),1),CG73&amp;S73)),MID(CG72&amp;S72,ROW($1:$4),1),""))</f>
        <v/>
      </c>
      <c r="CI73" s="22" t="str">
        <f t="array" ref="CI73">_xlfn.TEXTJOIN("",TRUE,IF(ISERROR(FIND(ROW($1:$10)-1,CG73&amp;CH73)),ROW($1:$10)-1,""))</f>
        <v>12345679</v>
      </c>
      <c r="CJ73" s="28" t="str">
        <f t="shared" si="51"/>
        <v>邻孤孤</v>
      </c>
    </row>
    <row r="74" spans="1:88">
      <c r="A74" s="32">
        <v>2024201</v>
      </c>
      <c r="B74" s="8" t="s">
        <v>94</v>
      </c>
      <c r="C74" s="49">
        <f t="shared" si="30"/>
        <v>15</v>
      </c>
      <c r="D74" s="50">
        <f t="shared" si="31"/>
        <v>5</v>
      </c>
      <c r="E74" s="51">
        <f t="shared" si="37"/>
        <v>5</v>
      </c>
      <c r="F74" s="52">
        <f>MAX(MID(B74,{1,2,3},1)*1)-MIN(MID(B74,{1,2,3},1)*1)</f>
        <v>5</v>
      </c>
      <c r="G74" s="104">
        <v>0</v>
      </c>
      <c r="H74" s="104">
        <v>1</v>
      </c>
      <c r="I74" s="104">
        <v>2</v>
      </c>
      <c r="J74" s="104">
        <v>3</v>
      </c>
      <c r="K74" s="104">
        <v>4</v>
      </c>
      <c r="L74" s="104">
        <v>5</v>
      </c>
      <c r="M74" s="104">
        <v>6</v>
      </c>
      <c r="N74" s="104">
        <v>7</v>
      </c>
      <c r="O74" s="104">
        <v>8</v>
      </c>
      <c r="P74" s="104">
        <v>9</v>
      </c>
      <c r="Q74" s="53">
        <f t="shared" si="32"/>
        <v>4</v>
      </c>
      <c r="R74" s="53">
        <f t="shared" si="33"/>
        <v>5</v>
      </c>
      <c r="S74" s="53">
        <f t="shared" si="34"/>
        <v>1</v>
      </c>
      <c r="T74" s="101">
        <f t="shared" si="38"/>
        <v>10</v>
      </c>
      <c r="U74" s="15" t="str">
        <f>_xlfn.TEXTJOIN(", ",TRUE,ABS(MID(B74,{1,1,2},1)-MID(B74,{2,3,3},1)))</f>
        <v>4, 5, 1</v>
      </c>
      <c r="V74" s="54">
        <v>0</v>
      </c>
      <c r="W74" s="54">
        <v>1</v>
      </c>
      <c r="X74" s="54">
        <v>2</v>
      </c>
      <c r="Y74" s="54">
        <v>3</v>
      </c>
      <c r="Z74" s="54">
        <v>4</v>
      </c>
      <c r="AA74" s="54">
        <v>5</v>
      </c>
      <c r="AB74" s="54">
        <v>6</v>
      </c>
      <c r="AC74" s="54">
        <v>7</v>
      </c>
      <c r="AD74" s="54">
        <v>8</v>
      </c>
      <c r="AE74" s="54">
        <v>9</v>
      </c>
      <c r="AF74" s="55">
        <v>0</v>
      </c>
      <c r="AG74" s="55">
        <v>1</v>
      </c>
      <c r="AH74" s="55">
        <v>2</v>
      </c>
      <c r="AI74" s="55">
        <v>3</v>
      </c>
      <c r="AJ74" s="55">
        <v>4</v>
      </c>
      <c r="AK74" s="55">
        <v>5</v>
      </c>
      <c r="AL74" s="55">
        <v>6</v>
      </c>
      <c r="AM74" s="55">
        <v>7</v>
      </c>
      <c r="AN74" s="55">
        <v>8</v>
      </c>
      <c r="AO74" s="55">
        <v>9</v>
      </c>
      <c r="AP74" s="105">
        <v>0</v>
      </c>
      <c r="AQ74" s="105">
        <v>1</v>
      </c>
      <c r="AR74" s="105">
        <v>2</v>
      </c>
      <c r="AS74" s="105">
        <v>3</v>
      </c>
      <c r="AT74" s="105">
        <v>4</v>
      </c>
      <c r="AU74" s="105">
        <v>5</v>
      </c>
      <c r="AV74" s="105">
        <v>6</v>
      </c>
      <c r="AW74" s="105">
        <v>7</v>
      </c>
      <c r="AX74" s="105">
        <v>8</v>
      </c>
      <c r="AY74" s="105">
        <v>9</v>
      </c>
      <c r="AZ74" s="56">
        <v>0</v>
      </c>
      <c r="BA74" s="56">
        <v>1</v>
      </c>
      <c r="BB74" s="56">
        <v>2</v>
      </c>
      <c r="BC74" s="56">
        <v>3</v>
      </c>
      <c r="BD74" s="56">
        <v>4</v>
      </c>
      <c r="BE74" s="56">
        <v>5</v>
      </c>
      <c r="BF74" s="56">
        <v>6</v>
      </c>
      <c r="BG74" s="56">
        <v>7</v>
      </c>
      <c r="BH74" s="56">
        <v>8</v>
      </c>
      <c r="BI74" s="56">
        <v>9</v>
      </c>
      <c r="BJ74" s="57" t="str">
        <f t="shared" si="39"/>
        <v>标准型</v>
      </c>
      <c r="BK74" s="13">
        <f t="shared" si="35"/>
        <v>1</v>
      </c>
      <c r="BL74" s="13">
        <f t="shared" si="36"/>
        <v>5</v>
      </c>
      <c r="BM74" s="18" t="str">
        <f t="shared" si="41"/>
        <v/>
      </c>
      <c r="BN74" s="19" t="str">
        <f t="shared" si="42"/>
        <v/>
      </c>
      <c r="BO74" s="19" t="str">
        <f t="array" ref="BO74">_xlfn.TEXTJOIN("",TRUE,IF(ISERROR(FIND(ROW($1:$10)-1,BM74&amp;BN74)),ROW($1:$10)-1,""))</f>
        <v>0123456789</v>
      </c>
      <c r="BP74" s="20" t="str">
        <f t="shared" si="43"/>
        <v>中中中</v>
      </c>
      <c r="BQ74" s="21" t="str">
        <f t="shared" si="54"/>
        <v/>
      </c>
      <c r="BR74" s="21" t="str">
        <f t="shared" si="52"/>
        <v/>
      </c>
      <c r="BS74" s="21" t="str">
        <f t="array" ref="BS74">_xlfn.TEXTJOIN("",TRUE,IF(ISERROR(FIND(ROW($1:$10)-1,BQ74&amp;BR74)),ROW($1:$10)-1,""))</f>
        <v>0123456789</v>
      </c>
      <c r="BT74" s="20" t="str">
        <f t="shared" si="44"/>
        <v>中中中</v>
      </c>
      <c r="BU74" s="22" t="str">
        <f t="shared" si="45"/>
        <v/>
      </c>
      <c r="BV74" s="22" t="str">
        <f t="shared" si="53"/>
        <v/>
      </c>
      <c r="BW74" s="22" t="str">
        <f t="array" ref="BW74">_xlfn.TEXTJOIN("",TRUE,IF(ISERROR(FIND(ROW($1:$10)-1,BU74&amp;BV74)),ROW($1:$10)-1,""))</f>
        <v>0123456789</v>
      </c>
      <c r="BX74" s="20" t="str">
        <f t="shared" si="46"/>
        <v>中中中</v>
      </c>
      <c r="BY74" s="23" t="str">
        <f t="shared" si="40"/>
        <v>35</v>
      </c>
      <c r="BZ74" s="24" t="str">
        <f t="array" ref="BZ74">_xlfn.TEXTJOIN("",TRUE,IF(ISNUMBER(FIND(MID(BY73&amp;Q73,ROW($1:$4),1),BY74&amp;Q74)),MID(BY73&amp;Q73,ROW($1:$4),1),""))</f>
        <v>43</v>
      </c>
      <c r="CA74" s="25" t="str">
        <f t="array" ref="CA74">_xlfn.TEXTJOIN("",TRUE,IF(ISERROR(FIND(ROW($1:$10)-1,BY74&amp;BZ74)),ROW($1:$10)-1,""))</f>
        <v>0126789</v>
      </c>
      <c r="CB74" s="26" t="str">
        <f t="shared" si="47"/>
        <v>邻传孤</v>
      </c>
      <c r="CC74" s="27" t="str">
        <f t="shared" si="48"/>
        <v>46</v>
      </c>
      <c r="CD74" s="27" t="str">
        <f t="array" ref="CD74">_xlfn.TEXTJOIN("",TRUE,IF(ISNUMBER(FIND(MID(CC73&amp;R73,ROW($1:$4),1),CC74&amp;R74)),MID(CC73&amp;R73,ROW($1:$4),1),""))</f>
        <v>56</v>
      </c>
      <c r="CE74" s="27" t="str">
        <f t="array" ref="CE74">_xlfn.TEXTJOIN("",TRUE,IF(ISERROR(FIND(ROW($1:$10)-1,CC74&amp;CD74)),ROW($1:$10)-1,""))</f>
        <v>0123789</v>
      </c>
      <c r="CF74" s="17" t="str">
        <f t="shared" si="49"/>
        <v>邻传孤</v>
      </c>
      <c r="CG74" s="22" t="str">
        <f t="shared" si="50"/>
        <v>02</v>
      </c>
      <c r="CH74" s="22" t="str">
        <f t="array" ref="CH74">_xlfn.TEXTJOIN("",TRUE,IF(ISNUMBER(FIND(MID(CG73&amp;S73,ROW($1:$4),1),CG74&amp;S74)),MID(CG73&amp;S73,ROW($1:$4),1),""))</f>
        <v>0</v>
      </c>
      <c r="CI74" s="22" t="str">
        <f t="array" ref="CI74">_xlfn.TEXTJOIN("",TRUE,IF(ISERROR(FIND(ROW($1:$10)-1,CG74&amp;CH74)),ROW($1:$10)-1,""))</f>
        <v>13456789</v>
      </c>
      <c r="CJ74" s="28" t="str">
        <f t="shared" si="51"/>
        <v>邻传孤</v>
      </c>
    </row>
    <row r="75" spans="1:88">
      <c r="A75" s="32">
        <v>2024202</v>
      </c>
      <c r="B75" s="8" t="s">
        <v>95</v>
      </c>
      <c r="C75" s="49">
        <f t="shared" si="30"/>
        <v>12</v>
      </c>
      <c r="D75" s="50">
        <f t="shared" si="31"/>
        <v>2</v>
      </c>
      <c r="E75" s="51">
        <f t="shared" si="37"/>
        <v>4</v>
      </c>
      <c r="F75" s="52">
        <f>MAX(MID(B75,{1,2,3},1)*1)-MIN(MID(B75,{1,2,3},1)*1)</f>
        <v>3</v>
      </c>
      <c r="G75" s="104">
        <v>0</v>
      </c>
      <c r="H75" s="104">
        <v>1</v>
      </c>
      <c r="I75" s="104">
        <v>2</v>
      </c>
      <c r="J75" s="104">
        <v>3</v>
      </c>
      <c r="K75" s="104">
        <v>4</v>
      </c>
      <c r="L75" s="104">
        <v>5</v>
      </c>
      <c r="M75" s="104">
        <v>6</v>
      </c>
      <c r="N75" s="104">
        <v>7</v>
      </c>
      <c r="O75" s="104">
        <v>8</v>
      </c>
      <c r="P75" s="104">
        <v>9</v>
      </c>
      <c r="Q75" s="53">
        <f t="shared" si="32"/>
        <v>0</v>
      </c>
      <c r="R75" s="53">
        <f t="shared" si="33"/>
        <v>3</v>
      </c>
      <c r="S75" s="53">
        <f t="shared" si="34"/>
        <v>3</v>
      </c>
      <c r="T75" s="101">
        <f t="shared" si="38"/>
        <v>6</v>
      </c>
      <c r="U75" s="15" t="str">
        <f>_xlfn.TEXTJOIN(", ",TRUE,ABS(MID(B75,{1,1,2},1)-MID(B75,{2,3,3},1)))</f>
        <v>0, 3, 3</v>
      </c>
      <c r="V75" s="54">
        <v>0</v>
      </c>
      <c r="W75" s="54">
        <v>1</v>
      </c>
      <c r="X75" s="54">
        <v>2</v>
      </c>
      <c r="Y75" s="54">
        <v>3</v>
      </c>
      <c r="Z75" s="54">
        <v>4</v>
      </c>
      <c r="AA75" s="54">
        <v>5</v>
      </c>
      <c r="AB75" s="54">
        <v>6</v>
      </c>
      <c r="AC75" s="54">
        <v>7</v>
      </c>
      <c r="AD75" s="54">
        <v>8</v>
      </c>
      <c r="AE75" s="54">
        <v>9</v>
      </c>
      <c r="AF75" s="55">
        <v>0</v>
      </c>
      <c r="AG75" s="55">
        <v>1</v>
      </c>
      <c r="AH75" s="55">
        <v>2</v>
      </c>
      <c r="AI75" s="55">
        <v>3</v>
      </c>
      <c r="AJ75" s="55">
        <v>4</v>
      </c>
      <c r="AK75" s="55">
        <v>5</v>
      </c>
      <c r="AL75" s="55">
        <v>6</v>
      </c>
      <c r="AM75" s="55">
        <v>7</v>
      </c>
      <c r="AN75" s="55">
        <v>8</v>
      </c>
      <c r="AO75" s="55">
        <v>9</v>
      </c>
      <c r="AP75" s="105">
        <v>0</v>
      </c>
      <c r="AQ75" s="105">
        <v>1</v>
      </c>
      <c r="AR75" s="105">
        <v>2</v>
      </c>
      <c r="AS75" s="105">
        <v>3</v>
      </c>
      <c r="AT75" s="105">
        <v>4</v>
      </c>
      <c r="AU75" s="105">
        <v>5</v>
      </c>
      <c r="AV75" s="105">
        <v>6</v>
      </c>
      <c r="AW75" s="105">
        <v>7</v>
      </c>
      <c r="AX75" s="105">
        <v>8</v>
      </c>
      <c r="AY75" s="105">
        <v>9</v>
      </c>
      <c r="AZ75" s="56">
        <v>0</v>
      </c>
      <c r="BA75" s="56">
        <v>1</v>
      </c>
      <c r="BB75" s="56">
        <v>2</v>
      </c>
      <c r="BC75" s="56">
        <v>3</v>
      </c>
      <c r="BD75" s="56">
        <v>4</v>
      </c>
      <c r="BE75" s="56">
        <v>5</v>
      </c>
      <c r="BF75" s="56">
        <v>6</v>
      </c>
      <c r="BG75" s="56">
        <v>7</v>
      </c>
      <c r="BH75" s="56">
        <v>8</v>
      </c>
      <c r="BI75" s="56">
        <v>9</v>
      </c>
      <c r="BJ75" s="57" t="str">
        <f t="shared" si="39"/>
        <v>紧凑型</v>
      </c>
      <c r="BK75" s="13">
        <f t="shared" si="35"/>
        <v>0</v>
      </c>
      <c r="BL75" s="13">
        <f t="shared" si="36"/>
        <v>3</v>
      </c>
      <c r="BM75" s="18" t="str">
        <f t="shared" si="41"/>
        <v/>
      </c>
      <c r="BN75" s="19" t="str">
        <f t="shared" si="42"/>
        <v/>
      </c>
      <c r="BO75" s="19" t="str">
        <f t="array" ref="BO75">_xlfn.TEXTJOIN("",TRUE,IF(ISERROR(FIND(ROW($1:$10)-1,BM75&amp;BN75)),ROW($1:$10)-1,""))</f>
        <v>0123456789</v>
      </c>
      <c r="BP75" s="20" t="str">
        <f t="shared" si="43"/>
        <v>中中中</v>
      </c>
      <c r="BQ75" s="21" t="str">
        <f t="shared" si="54"/>
        <v/>
      </c>
      <c r="BR75" s="21">
        <f t="shared" si="52"/>
        <v>3</v>
      </c>
      <c r="BS75" s="21" t="str">
        <f t="array" ref="BS75">_xlfn.TEXTJOIN("",TRUE,IF(ISERROR(FIND(ROW($1:$10)-1,BQ75&amp;BR75)),ROW($1:$10)-1,""))</f>
        <v>012456789</v>
      </c>
      <c r="BT75" s="20" t="str">
        <f t="shared" si="44"/>
        <v>中隔中</v>
      </c>
      <c r="BU75" s="22" t="str">
        <f t="shared" si="45"/>
        <v/>
      </c>
      <c r="BV75" s="22">
        <f t="shared" si="53"/>
        <v>3</v>
      </c>
      <c r="BW75" s="22" t="str">
        <f t="array" ref="BW75">_xlfn.TEXTJOIN("",TRUE,IF(ISERROR(FIND(ROW($1:$10)-1,BU75&amp;BV75)),ROW($1:$10)-1,""))</f>
        <v>012456789</v>
      </c>
      <c r="BX75" s="20" t="str">
        <f t="shared" si="46"/>
        <v>中隔中</v>
      </c>
      <c r="BY75" s="23" t="str">
        <f t="shared" si="40"/>
        <v>91</v>
      </c>
      <c r="BZ75" s="24" t="str">
        <f t="array" ref="BZ75">_xlfn.TEXTJOIN("",TRUE,IF(ISNUMBER(FIND(MID(BY74&amp;Q74,ROW($1:$4),1),BY75&amp;Q75)),MID(BY74&amp;Q74,ROW($1:$4),1),""))</f>
        <v/>
      </c>
      <c r="CA75" s="25" t="str">
        <f t="array" ref="CA75">_xlfn.TEXTJOIN("",TRUE,IF(ISERROR(FIND(ROW($1:$10)-1,BY75&amp;BZ75)),ROW($1:$10)-1,""))</f>
        <v>02345678</v>
      </c>
      <c r="CB75" s="26" t="str">
        <f t="shared" si="47"/>
        <v>邻孤孤</v>
      </c>
      <c r="CC75" s="27" t="str">
        <f t="shared" si="48"/>
        <v>24</v>
      </c>
      <c r="CD75" s="27" t="str">
        <f t="array" ref="CD75">_xlfn.TEXTJOIN("",TRUE,IF(ISNUMBER(FIND(MID(CC74&amp;R74,ROW($1:$4),1),CC75&amp;R75)),MID(CC74&amp;R74,ROW($1:$4),1),""))</f>
        <v>4</v>
      </c>
      <c r="CE75" s="27" t="str">
        <f t="array" ref="CE75">_xlfn.TEXTJOIN("",TRUE,IF(ISERROR(FIND(ROW($1:$10)-1,CC75&amp;CD75)),ROW($1:$10)-1,""))</f>
        <v>01356789</v>
      </c>
      <c r="CF75" s="17" t="str">
        <f t="shared" si="49"/>
        <v>邻传孤</v>
      </c>
      <c r="CG75" s="22" t="str">
        <f t="shared" si="50"/>
        <v>24</v>
      </c>
      <c r="CH75" s="22" t="str">
        <f t="array" ref="CH75">_xlfn.TEXTJOIN("",TRUE,IF(ISNUMBER(FIND(MID(CG74&amp;S74,ROW($1:$4),1),CG75&amp;S75)),MID(CG74&amp;S74,ROW($1:$4),1),""))</f>
        <v>2</v>
      </c>
      <c r="CI75" s="22" t="str">
        <f t="array" ref="CI75">_xlfn.TEXTJOIN("",TRUE,IF(ISERROR(FIND(ROW($1:$10)-1,CG75&amp;CH75)),ROW($1:$10)-1,""))</f>
        <v>01356789</v>
      </c>
      <c r="CJ75" s="28" t="str">
        <f t="shared" si="51"/>
        <v>邻传孤</v>
      </c>
    </row>
    <row r="76" spans="1:88">
      <c r="A76" s="32">
        <v>2024203</v>
      </c>
      <c r="B76" s="8" t="s">
        <v>96</v>
      </c>
      <c r="C76" s="49">
        <f t="shared" si="30"/>
        <v>10</v>
      </c>
      <c r="D76" s="50">
        <f t="shared" si="31"/>
        <v>0</v>
      </c>
      <c r="E76" s="51">
        <f t="shared" si="37"/>
        <v>3.3333333333333299</v>
      </c>
      <c r="F76" s="52">
        <f>MAX(MID(B76,{1,2,3},1)*1)-MIN(MID(B76,{1,2,3},1)*1)</f>
        <v>6</v>
      </c>
      <c r="G76" s="104">
        <v>0</v>
      </c>
      <c r="H76" s="104">
        <v>1</v>
      </c>
      <c r="I76" s="104">
        <v>2</v>
      </c>
      <c r="J76" s="104">
        <v>3</v>
      </c>
      <c r="K76" s="104">
        <v>4</v>
      </c>
      <c r="L76" s="104">
        <v>5</v>
      </c>
      <c r="M76" s="104">
        <v>6</v>
      </c>
      <c r="N76" s="104">
        <v>7</v>
      </c>
      <c r="O76" s="104">
        <v>8</v>
      </c>
      <c r="P76" s="104">
        <v>9</v>
      </c>
      <c r="Q76" s="53">
        <f t="shared" si="32"/>
        <v>6</v>
      </c>
      <c r="R76" s="53">
        <f t="shared" si="33"/>
        <v>1</v>
      </c>
      <c r="S76" s="53">
        <f t="shared" si="34"/>
        <v>5</v>
      </c>
      <c r="T76" s="101">
        <f t="shared" si="38"/>
        <v>12</v>
      </c>
      <c r="U76" s="15" t="str">
        <f>_xlfn.TEXTJOIN(", ",TRUE,ABS(MID(B76,{1,1,2},1)-MID(B76,{2,3,3},1)))</f>
        <v>6, 1, 5</v>
      </c>
      <c r="V76" s="54">
        <v>0</v>
      </c>
      <c r="W76" s="54">
        <v>1</v>
      </c>
      <c r="X76" s="54">
        <v>2</v>
      </c>
      <c r="Y76" s="54">
        <v>3</v>
      </c>
      <c r="Z76" s="54">
        <v>4</v>
      </c>
      <c r="AA76" s="54">
        <v>5</v>
      </c>
      <c r="AB76" s="54">
        <v>6</v>
      </c>
      <c r="AC76" s="54">
        <v>7</v>
      </c>
      <c r="AD76" s="54">
        <v>8</v>
      </c>
      <c r="AE76" s="54">
        <v>9</v>
      </c>
      <c r="AF76" s="55">
        <v>0</v>
      </c>
      <c r="AG76" s="55">
        <v>1</v>
      </c>
      <c r="AH76" s="55">
        <v>2</v>
      </c>
      <c r="AI76" s="55">
        <v>3</v>
      </c>
      <c r="AJ76" s="55">
        <v>4</v>
      </c>
      <c r="AK76" s="55">
        <v>5</v>
      </c>
      <c r="AL76" s="55">
        <v>6</v>
      </c>
      <c r="AM76" s="55">
        <v>7</v>
      </c>
      <c r="AN76" s="55">
        <v>8</v>
      </c>
      <c r="AO76" s="55">
        <v>9</v>
      </c>
      <c r="AP76" s="105">
        <v>0</v>
      </c>
      <c r="AQ76" s="105">
        <v>1</v>
      </c>
      <c r="AR76" s="105">
        <v>2</v>
      </c>
      <c r="AS76" s="105">
        <v>3</v>
      </c>
      <c r="AT76" s="105">
        <v>4</v>
      </c>
      <c r="AU76" s="105">
        <v>5</v>
      </c>
      <c r="AV76" s="105">
        <v>6</v>
      </c>
      <c r="AW76" s="105">
        <v>7</v>
      </c>
      <c r="AX76" s="105">
        <v>8</v>
      </c>
      <c r="AY76" s="105">
        <v>9</v>
      </c>
      <c r="AZ76" s="56">
        <v>0</v>
      </c>
      <c r="BA76" s="56">
        <v>1</v>
      </c>
      <c r="BB76" s="56">
        <v>2</v>
      </c>
      <c r="BC76" s="56">
        <v>3</v>
      </c>
      <c r="BD76" s="56">
        <v>4</v>
      </c>
      <c r="BE76" s="56">
        <v>5</v>
      </c>
      <c r="BF76" s="56">
        <v>6</v>
      </c>
      <c r="BG76" s="56">
        <v>7</v>
      </c>
      <c r="BH76" s="56">
        <v>8</v>
      </c>
      <c r="BI76" s="56">
        <v>9</v>
      </c>
      <c r="BJ76" s="57" t="str">
        <f t="shared" si="39"/>
        <v>松散型</v>
      </c>
      <c r="BK76" s="13">
        <f t="shared" si="35"/>
        <v>1</v>
      </c>
      <c r="BL76" s="13">
        <f t="shared" si="36"/>
        <v>6</v>
      </c>
      <c r="BM76" s="18" t="str">
        <f t="shared" si="41"/>
        <v/>
      </c>
      <c r="BN76" s="19" t="str">
        <f t="shared" si="42"/>
        <v/>
      </c>
      <c r="BO76" s="19" t="str">
        <f t="array" ref="BO76">_xlfn.TEXTJOIN("",TRUE,IF(ISERROR(FIND(ROW($1:$10)-1,BM76&amp;BN76)),ROW($1:$10)-1,""))</f>
        <v>0123456789</v>
      </c>
      <c r="BP76" s="20" t="str">
        <f t="shared" si="43"/>
        <v>中中中</v>
      </c>
      <c r="BQ76" s="21" t="str">
        <f t="shared" si="54"/>
        <v/>
      </c>
      <c r="BR76" s="21">
        <f t="shared" si="52"/>
        <v>1</v>
      </c>
      <c r="BS76" s="21" t="str">
        <f t="array" ref="BS76">_xlfn.TEXTJOIN("",TRUE,IF(ISERROR(FIND(ROW($1:$10)-1,BQ76&amp;BR76)),ROW($1:$10)-1,""))</f>
        <v>023456789</v>
      </c>
      <c r="BT76" s="20" t="str">
        <f t="shared" si="44"/>
        <v>中隔中</v>
      </c>
      <c r="BU76" s="22" t="str">
        <f t="shared" si="45"/>
        <v/>
      </c>
      <c r="BV76" s="22">
        <f t="shared" si="53"/>
        <v>5</v>
      </c>
      <c r="BW76" s="22" t="str">
        <f t="array" ref="BW76">_xlfn.TEXTJOIN("",TRUE,IF(ISERROR(FIND(ROW($1:$10)-1,BU76&amp;BV76)),ROW($1:$10)-1,""))</f>
        <v>012346789</v>
      </c>
      <c r="BX76" s="20" t="str">
        <f t="shared" si="46"/>
        <v>中隔中</v>
      </c>
      <c r="BY76" s="23" t="str">
        <f t="shared" si="40"/>
        <v>57</v>
      </c>
      <c r="BZ76" s="24" t="str">
        <f t="array" ref="BZ76">_xlfn.TEXTJOIN("",TRUE,IF(ISNUMBER(FIND(MID(BY75&amp;Q75,ROW($1:$4),1),BY76&amp;Q76)),MID(BY75&amp;Q75,ROW($1:$4),1),""))</f>
        <v/>
      </c>
      <c r="CA76" s="25" t="str">
        <f t="array" ref="CA76">_xlfn.TEXTJOIN("",TRUE,IF(ISERROR(FIND(ROW($1:$10)-1,BY76&amp;BZ76)),ROW($1:$10)-1,""))</f>
        <v>01234689</v>
      </c>
      <c r="CB76" s="26" t="str">
        <f t="shared" si="47"/>
        <v>邻孤孤</v>
      </c>
      <c r="CC76" s="27" t="str">
        <f t="shared" si="48"/>
        <v>02</v>
      </c>
      <c r="CD76" s="27" t="str">
        <f t="array" ref="CD76">_xlfn.TEXTJOIN("",TRUE,IF(ISNUMBER(FIND(MID(CC75&amp;R75,ROW($1:$4),1),CC76&amp;R76)),MID(CC75&amp;R75,ROW($1:$4),1),""))</f>
        <v>2</v>
      </c>
      <c r="CE76" s="27" t="str">
        <f t="array" ref="CE76">_xlfn.TEXTJOIN("",TRUE,IF(ISERROR(FIND(ROW($1:$10)-1,CC76&amp;CD76)),ROW($1:$10)-1,""))</f>
        <v>13456789</v>
      </c>
      <c r="CF76" s="17" t="str">
        <f t="shared" si="49"/>
        <v>邻传孤</v>
      </c>
      <c r="CG76" s="22" t="str">
        <f t="shared" si="50"/>
        <v>46</v>
      </c>
      <c r="CH76" s="22" t="str">
        <f t="array" ref="CH76">_xlfn.TEXTJOIN("",TRUE,IF(ISNUMBER(FIND(MID(CG75&amp;S75,ROW($1:$4),1),CG76&amp;S76)),MID(CG75&amp;S75,ROW($1:$4),1),""))</f>
        <v>4</v>
      </c>
      <c r="CI76" s="22" t="str">
        <f t="array" ref="CI76">_xlfn.TEXTJOIN("",TRUE,IF(ISERROR(FIND(ROW($1:$10)-1,CG76&amp;CH76)),ROW($1:$10)-1,""))</f>
        <v>01235789</v>
      </c>
      <c r="CJ76" s="28" t="str">
        <f t="shared" si="51"/>
        <v>邻传孤</v>
      </c>
    </row>
    <row r="77" spans="1:88">
      <c r="A77" s="32">
        <v>2024204</v>
      </c>
      <c r="B77" s="8" t="s">
        <v>97</v>
      </c>
      <c r="C77" s="49">
        <f t="shared" si="30"/>
        <v>12</v>
      </c>
      <c r="D77" s="50">
        <f t="shared" si="31"/>
        <v>2</v>
      </c>
      <c r="E77" s="51">
        <f t="shared" si="37"/>
        <v>4</v>
      </c>
      <c r="F77" s="52">
        <f>MAX(MID(B77,{1,2,3},1)*1)-MIN(MID(B77,{1,2,3},1)*1)</f>
        <v>9</v>
      </c>
      <c r="G77" s="104">
        <v>0</v>
      </c>
      <c r="H77" s="104">
        <v>1</v>
      </c>
      <c r="I77" s="104">
        <v>2</v>
      </c>
      <c r="J77" s="104">
        <v>3</v>
      </c>
      <c r="K77" s="104">
        <v>4</v>
      </c>
      <c r="L77" s="104">
        <v>5</v>
      </c>
      <c r="M77" s="104">
        <v>6</v>
      </c>
      <c r="N77" s="104">
        <v>7</v>
      </c>
      <c r="O77" s="104">
        <v>8</v>
      </c>
      <c r="P77" s="104">
        <v>9</v>
      </c>
      <c r="Q77" s="53">
        <f t="shared" si="32"/>
        <v>6</v>
      </c>
      <c r="R77" s="53">
        <f t="shared" si="33"/>
        <v>3</v>
      </c>
      <c r="S77" s="53">
        <f t="shared" si="34"/>
        <v>9</v>
      </c>
      <c r="T77" s="101">
        <f t="shared" si="38"/>
        <v>18</v>
      </c>
      <c r="U77" s="15" t="str">
        <f>_xlfn.TEXTJOIN(", ",TRUE,ABS(MID(B77,{1,1,2},1)-MID(B77,{2,3,3},1)))</f>
        <v>6, 3, 9</v>
      </c>
      <c r="V77" s="54">
        <v>0</v>
      </c>
      <c r="W77" s="54">
        <v>1</v>
      </c>
      <c r="X77" s="54">
        <v>2</v>
      </c>
      <c r="Y77" s="54">
        <v>3</v>
      </c>
      <c r="Z77" s="54">
        <v>4</v>
      </c>
      <c r="AA77" s="54">
        <v>5</v>
      </c>
      <c r="AB77" s="54">
        <v>6</v>
      </c>
      <c r="AC77" s="54">
        <v>7</v>
      </c>
      <c r="AD77" s="54">
        <v>8</v>
      </c>
      <c r="AE77" s="54">
        <v>9</v>
      </c>
      <c r="AF77" s="55">
        <v>0</v>
      </c>
      <c r="AG77" s="55">
        <v>1</v>
      </c>
      <c r="AH77" s="55">
        <v>2</v>
      </c>
      <c r="AI77" s="55">
        <v>3</v>
      </c>
      <c r="AJ77" s="55">
        <v>4</v>
      </c>
      <c r="AK77" s="55">
        <v>5</v>
      </c>
      <c r="AL77" s="55">
        <v>6</v>
      </c>
      <c r="AM77" s="55">
        <v>7</v>
      </c>
      <c r="AN77" s="55">
        <v>8</v>
      </c>
      <c r="AO77" s="55">
        <v>9</v>
      </c>
      <c r="AP77" s="105">
        <v>0</v>
      </c>
      <c r="AQ77" s="105">
        <v>1</v>
      </c>
      <c r="AR77" s="105">
        <v>2</v>
      </c>
      <c r="AS77" s="105">
        <v>3</v>
      </c>
      <c r="AT77" s="105">
        <v>4</v>
      </c>
      <c r="AU77" s="105">
        <v>5</v>
      </c>
      <c r="AV77" s="105">
        <v>6</v>
      </c>
      <c r="AW77" s="105">
        <v>7</v>
      </c>
      <c r="AX77" s="105">
        <v>8</v>
      </c>
      <c r="AY77" s="105">
        <v>9</v>
      </c>
      <c r="AZ77" s="56">
        <v>0</v>
      </c>
      <c r="BA77" s="56">
        <v>1</v>
      </c>
      <c r="BB77" s="56">
        <v>2</v>
      </c>
      <c r="BC77" s="56">
        <v>3</v>
      </c>
      <c r="BD77" s="56">
        <v>4</v>
      </c>
      <c r="BE77" s="56">
        <v>5</v>
      </c>
      <c r="BF77" s="56">
        <v>6</v>
      </c>
      <c r="BG77" s="56">
        <v>7</v>
      </c>
      <c r="BH77" s="56">
        <v>8</v>
      </c>
      <c r="BI77" s="56">
        <v>9</v>
      </c>
      <c r="BJ77" s="57" t="str">
        <f t="shared" si="39"/>
        <v>松散型</v>
      </c>
      <c r="BK77" s="13">
        <f t="shared" si="35"/>
        <v>3</v>
      </c>
      <c r="BL77" s="13">
        <f t="shared" si="36"/>
        <v>9</v>
      </c>
      <c r="BM77" s="18">
        <f t="shared" si="41"/>
        <v>6</v>
      </c>
      <c r="BN77" s="19" t="str">
        <f t="shared" si="42"/>
        <v/>
      </c>
      <c r="BO77" s="19" t="str">
        <f t="array" ref="BO77">_xlfn.TEXTJOIN("",TRUE,IF(ISERROR(FIND(ROW($1:$10)-1,BM77&amp;BN77)),ROW($1:$10)-1,""))</f>
        <v>012345789</v>
      </c>
      <c r="BP77" s="20" t="str">
        <f t="shared" si="43"/>
        <v>复中中</v>
      </c>
      <c r="BQ77" s="21" t="str">
        <f t="shared" si="54"/>
        <v/>
      </c>
      <c r="BR77" s="21">
        <f t="shared" si="52"/>
        <v>3</v>
      </c>
      <c r="BS77" s="21" t="str">
        <f t="array" ref="BS77">_xlfn.TEXTJOIN("",TRUE,IF(ISERROR(FIND(ROW($1:$10)-1,BQ77&amp;BR77)),ROW($1:$10)-1,""))</f>
        <v>012456789</v>
      </c>
      <c r="BT77" s="20" t="str">
        <f t="shared" si="44"/>
        <v>中隔中</v>
      </c>
      <c r="BU77" s="22" t="str">
        <f t="shared" si="45"/>
        <v/>
      </c>
      <c r="BV77" s="22" t="str">
        <f t="shared" si="53"/>
        <v/>
      </c>
      <c r="BW77" s="22" t="str">
        <f t="array" ref="BW77">_xlfn.TEXTJOIN("",TRUE,IF(ISERROR(FIND(ROW($1:$10)-1,BU77&amp;BV77)),ROW($1:$10)-1,""))</f>
        <v>0123456789</v>
      </c>
      <c r="BX77" s="20" t="str">
        <f t="shared" si="46"/>
        <v>中中中</v>
      </c>
      <c r="BY77" s="23" t="str">
        <f t="shared" si="40"/>
        <v>57</v>
      </c>
      <c r="BZ77" s="24" t="str">
        <f t="array" ref="BZ77">_xlfn.TEXTJOIN("",TRUE,IF(ISNUMBER(FIND(MID(BY76&amp;Q76,ROW($1:$4),1),BY77&amp;Q77)),MID(BY76&amp;Q76,ROW($1:$4),1),""))</f>
        <v>576</v>
      </c>
      <c r="CA77" s="25" t="str">
        <f t="array" ref="CA77">_xlfn.TEXTJOIN("",TRUE,IF(ISERROR(FIND(ROW($1:$10)-1,BY77&amp;BZ77)),ROW($1:$10)-1,""))</f>
        <v>0123489</v>
      </c>
      <c r="CB77" s="26" t="str">
        <f t="shared" si="47"/>
        <v>邻传孤</v>
      </c>
      <c r="CC77" s="27" t="str">
        <f t="shared" si="48"/>
        <v>24</v>
      </c>
      <c r="CD77" s="27" t="str">
        <f t="array" ref="CD77">_xlfn.TEXTJOIN("",TRUE,IF(ISNUMBER(FIND(MID(CC76&amp;R76,ROW($1:$4),1),CC77&amp;R77)),MID(CC76&amp;R76,ROW($1:$4),1),""))</f>
        <v>2</v>
      </c>
      <c r="CE77" s="27" t="str">
        <f t="array" ref="CE77">_xlfn.TEXTJOIN("",TRUE,IF(ISERROR(FIND(ROW($1:$10)-1,CC77&amp;CD77)),ROW($1:$10)-1,""))</f>
        <v>01356789</v>
      </c>
      <c r="CF77" s="17" t="str">
        <f t="shared" si="49"/>
        <v>邻传孤</v>
      </c>
      <c r="CG77" s="22" t="str">
        <f t="shared" si="50"/>
        <v>80</v>
      </c>
      <c r="CH77" s="22" t="str">
        <f t="array" ref="CH77">_xlfn.TEXTJOIN("",TRUE,IF(ISNUMBER(FIND(MID(CG76&amp;S76,ROW($1:$4),1),CG77&amp;S77)),MID(CG76&amp;S76,ROW($1:$4),1),""))</f>
        <v/>
      </c>
      <c r="CI77" s="22" t="str">
        <f t="array" ref="CI77">_xlfn.TEXTJOIN("",TRUE,IF(ISERROR(FIND(ROW($1:$10)-1,CG77&amp;CH77)),ROW($1:$10)-1,""))</f>
        <v>12345679</v>
      </c>
      <c r="CJ77" s="28" t="str">
        <f t="shared" si="51"/>
        <v>邻孤孤</v>
      </c>
    </row>
    <row r="78" spans="1:88">
      <c r="A78" s="32">
        <v>2024205</v>
      </c>
      <c r="B78" s="8" t="s">
        <v>98</v>
      </c>
      <c r="C78" s="49">
        <f t="shared" ref="C78:C97" si="55">LEFT(B78,1)+MID(B78,2,1)+RIGHT(B78,1)</f>
        <v>12</v>
      </c>
      <c r="D78" s="50">
        <f t="shared" ref="D78:D97" si="56">MOD(LEFT(B78,1)+MID(B78,2,1)+RIGHT(B78,1),10)</f>
        <v>2</v>
      </c>
      <c r="E78" s="51">
        <f t="shared" si="37"/>
        <v>4</v>
      </c>
      <c r="F78" s="52">
        <f>MAX(MID(B78,{1,2,3},1)*1)-MIN(MID(B78,{1,2,3},1)*1)</f>
        <v>5</v>
      </c>
      <c r="G78" s="104">
        <v>0</v>
      </c>
      <c r="H78" s="104">
        <v>1</v>
      </c>
      <c r="I78" s="104">
        <v>2</v>
      </c>
      <c r="J78" s="104">
        <v>3</v>
      </c>
      <c r="K78" s="104">
        <v>4</v>
      </c>
      <c r="L78" s="104">
        <v>5</v>
      </c>
      <c r="M78" s="104">
        <v>6</v>
      </c>
      <c r="N78" s="104">
        <v>7</v>
      </c>
      <c r="O78" s="104">
        <v>8</v>
      </c>
      <c r="P78" s="104">
        <v>9</v>
      </c>
      <c r="Q78" s="53">
        <f t="shared" ref="Q78:Q97" si="57">ABS(LEFT(B78,1)-MID(B78,2,1))</f>
        <v>1</v>
      </c>
      <c r="R78" s="53">
        <f t="shared" ref="R78:R97" si="58">ABS(LEFT(B78,1)-RIGHT(B78,1))</f>
        <v>5</v>
      </c>
      <c r="S78" s="53">
        <f t="shared" ref="S78:S97" si="59">ABS(MID(B78,2,1)-RIGHT(B78,1))</f>
        <v>4</v>
      </c>
      <c r="T78" s="101">
        <f t="shared" si="38"/>
        <v>10</v>
      </c>
      <c r="U78" s="15" t="str">
        <f>_xlfn.TEXTJOIN(", ",TRUE,ABS(MID(B78,{1,1,2},1)-MID(B78,{2,3,3},1)))</f>
        <v>1, 5, 4</v>
      </c>
      <c r="V78" s="54">
        <v>0</v>
      </c>
      <c r="W78" s="54">
        <v>1</v>
      </c>
      <c r="X78" s="54">
        <v>2</v>
      </c>
      <c r="Y78" s="54">
        <v>3</v>
      </c>
      <c r="Z78" s="54">
        <v>4</v>
      </c>
      <c r="AA78" s="54">
        <v>5</v>
      </c>
      <c r="AB78" s="54">
        <v>6</v>
      </c>
      <c r="AC78" s="54">
        <v>7</v>
      </c>
      <c r="AD78" s="54">
        <v>8</v>
      </c>
      <c r="AE78" s="54">
        <v>9</v>
      </c>
      <c r="AF78" s="55">
        <v>0</v>
      </c>
      <c r="AG78" s="55">
        <v>1</v>
      </c>
      <c r="AH78" s="55">
        <v>2</v>
      </c>
      <c r="AI78" s="55">
        <v>3</v>
      </c>
      <c r="AJ78" s="55">
        <v>4</v>
      </c>
      <c r="AK78" s="55">
        <v>5</v>
      </c>
      <c r="AL78" s="55">
        <v>6</v>
      </c>
      <c r="AM78" s="55">
        <v>7</v>
      </c>
      <c r="AN78" s="55">
        <v>8</v>
      </c>
      <c r="AO78" s="55">
        <v>9</v>
      </c>
      <c r="AP78" s="105">
        <v>0</v>
      </c>
      <c r="AQ78" s="105">
        <v>1</v>
      </c>
      <c r="AR78" s="105">
        <v>2</v>
      </c>
      <c r="AS78" s="105">
        <v>3</v>
      </c>
      <c r="AT78" s="105">
        <v>4</v>
      </c>
      <c r="AU78" s="105">
        <v>5</v>
      </c>
      <c r="AV78" s="105">
        <v>6</v>
      </c>
      <c r="AW78" s="105">
        <v>7</v>
      </c>
      <c r="AX78" s="105">
        <v>8</v>
      </c>
      <c r="AY78" s="105">
        <v>9</v>
      </c>
      <c r="AZ78" s="56">
        <v>0</v>
      </c>
      <c r="BA78" s="56">
        <v>1</v>
      </c>
      <c r="BB78" s="56">
        <v>2</v>
      </c>
      <c r="BC78" s="56">
        <v>3</v>
      </c>
      <c r="BD78" s="56">
        <v>4</v>
      </c>
      <c r="BE78" s="56">
        <v>5</v>
      </c>
      <c r="BF78" s="56">
        <v>6</v>
      </c>
      <c r="BG78" s="56">
        <v>7</v>
      </c>
      <c r="BH78" s="56">
        <v>8</v>
      </c>
      <c r="BI78" s="56">
        <v>9</v>
      </c>
      <c r="BJ78" s="57" t="str">
        <f t="shared" si="39"/>
        <v>标准型</v>
      </c>
      <c r="BK78" s="13">
        <f t="shared" si="35"/>
        <v>1</v>
      </c>
      <c r="BL78" s="13">
        <f t="shared" si="36"/>
        <v>5</v>
      </c>
      <c r="BM78" s="18" t="str">
        <f t="shared" si="41"/>
        <v/>
      </c>
      <c r="BN78" s="19">
        <f t="shared" si="42"/>
        <v>1</v>
      </c>
      <c r="BO78" s="19" t="str">
        <f t="array" ref="BO78">_xlfn.TEXTJOIN("",TRUE,IF(ISERROR(FIND(ROW($1:$10)-1,BM78&amp;BN78)),ROW($1:$10)-1,""))</f>
        <v>023456789</v>
      </c>
      <c r="BP78" s="20" t="str">
        <f t="shared" si="43"/>
        <v>中隔中</v>
      </c>
      <c r="BQ78" s="21" t="str">
        <f t="shared" si="54"/>
        <v/>
      </c>
      <c r="BR78" s="21">
        <f t="shared" si="52"/>
        <v>5</v>
      </c>
      <c r="BS78" s="21" t="str">
        <f t="array" ref="BS78">_xlfn.TEXTJOIN("",TRUE,IF(ISERROR(FIND(ROW($1:$10)-1,BQ78&amp;BR78)),ROW($1:$10)-1,""))</f>
        <v>012346789</v>
      </c>
      <c r="BT78" s="20" t="str">
        <f t="shared" si="44"/>
        <v>中隔中</v>
      </c>
      <c r="BU78" s="22" t="str">
        <f t="shared" si="45"/>
        <v/>
      </c>
      <c r="BV78" s="22" t="str">
        <f t="shared" si="53"/>
        <v/>
      </c>
      <c r="BW78" s="22" t="str">
        <f t="array" ref="BW78">_xlfn.TEXTJOIN("",TRUE,IF(ISERROR(FIND(ROW($1:$10)-1,BU78&amp;BV78)),ROW($1:$10)-1,""))</f>
        <v>0123456789</v>
      </c>
      <c r="BX78" s="20" t="str">
        <f t="shared" si="46"/>
        <v>中中中</v>
      </c>
      <c r="BY78" s="23" t="str">
        <f t="shared" si="40"/>
        <v>02</v>
      </c>
      <c r="BZ78" s="24" t="str">
        <f t="array" ref="BZ78">_xlfn.TEXTJOIN("",TRUE,IF(ISNUMBER(FIND(MID(BY77&amp;Q77,ROW($1:$4),1),BY78&amp;Q78)),MID(BY77&amp;Q77,ROW($1:$4),1),""))</f>
        <v/>
      </c>
      <c r="CA78" s="25" t="str">
        <f t="array" ref="CA78">_xlfn.TEXTJOIN("",TRUE,IF(ISERROR(FIND(ROW($1:$10)-1,BY78&amp;BZ78)),ROW($1:$10)-1,""))</f>
        <v>13456789</v>
      </c>
      <c r="CB78" s="26" t="str">
        <f t="shared" si="47"/>
        <v>邻孤孤</v>
      </c>
      <c r="CC78" s="27" t="str">
        <f t="shared" si="48"/>
        <v>46</v>
      </c>
      <c r="CD78" s="27" t="str">
        <f t="array" ref="CD78">_xlfn.TEXTJOIN("",TRUE,IF(ISNUMBER(FIND(MID(CC77&amp;R77,ROW($1:$4),1),CC78&amp;R78)),MID(CC77&amp;R77,ROW($1:$4),1),""))</f>
        <v>4</v>
      </c>
      <c r="CE78" s="27" t="str">
        <f t="array" ref="CE78">_xlfn.TEXTJOIN("",TRUE,IF(ISERROR(FIND(ROW($1:$10)-1,CC78&amp;CD78)),ROW($1:$10)-1,""))</f>
        <v>01235789</v>
      </c>
      <c r="CF78" s="17" t="str">
        <f t="shared" si="49"/>
        <v>邻传孤</v>
      </c>
      <c r="CG78" s="22" t="str">
        <f t="shared" si="50"/>
        <v>35</v>
      </c>
      <c r="CH78" s="22" t="str">
        <f t="array" ref="CH78">_xlfn.TEXTJOIN("",TRUE,IF(ISNUMBER(FIND(MID(CG77&amp;S77,ROW($1:$4),1),CG78&amp;S78)),MID(CG77&amp;S77,ROW($1:$4),1),""))</f>
        <v/>
      </c>
      <c r="CI78" s="22" t="str">
        <f t="array" ref="CI78">_xlfn.TEXTJOIN("",TRUE,IF(ISERROR(FIND(ROW($1:$10)-1,CG78&amp;CH78)),ROW($1:$10)-1,""))</f>
        <v>01246789</v>
      </c>
      <c r="CJ78" s="28" t="str">
        <f t="shared" si="51"/>
        <v>邻孤孤</v>
      </c>
    </row>
    <row r="79" spans="1:88">
      <c r="A79" s="32">
        <v>2024206</v>
      </c>
      <c r="B79" s="8" t="s">
        <v>99</v>
      </c>
      <c r="C79" s="49">
        <f t="shared" si="55"/>
        <v>17</v>
      </c>
      <c r="D79" s="50">
        <f t="shared" si="56"/>
        <v>7</v>
      </c>
      <c r="E79" s="51">
        <f t="shared" si="37"/>
        <v>5.6666666666666696</v>
      </c>
      <c r="F79" s="52">
        <f>MAX(MID(B79,{1,2,3},1)*1)-MIN(MID(B79,{1,2,3},1)*1)</f>
        <v>7</v>
      </c>
      <c r="G79" s="104">
        <v>0</v>
      </c>
      <c r="H79" s="104">
        <v>1</v>
      </c>
      <c r="I79" s="104">
        <v>2</v>
      </c>
      <c r="J79" s="104">
        <v>3</v>
      </c>
      <c r="K79" s="104">
        <v>4</v>
      </c>
      <c r="L79" s="104">
        <v>5</v>
      </c>
      <c r="M79" s="104">
        <v>6</v>
      </c>
      <c r="N79" s="104">
        <v>7</v>
      </c>
      <c r="O79" s="104">
        <v>8</v>
      </c>
      <c r="P79" s="104">
        <v>9</v>
      </c>
      <c r="Q79" s="53">
        <f t="shared" si="57"/>
        <v>7</v>
      </c>
      <c r="R79" s="53">
        <f t="shared" si="58"/>
        <v>0</v>
      </c>
      <c r="S79" s="53">
        <f t="shared" si="59"/>
        <v>7</v>
      </c>
      <c r="T79" s="101">
        <f t="shared" si="38"/>
        <v>14</v>
      </c>
      <c r="U79" s="15" t="str">
        <f>_xlfn.TEXTJOIN(", ",TRUE,ABS(MID(B79,{1,1,2},1)-MID(B79,{2,3,3},1)))</f>
        <v>7, 0, 7</v>
      </c>
      <c r="V79" s="54">
        <v>0</v>
      </c>
      <c r="W79" s="54">
        <v>1</v>
      </c>
      <c r="X79" s="54">
        <v>2</v>
      </c>
      <c r="Y79" s="54">
        <v>3</v>
      </c>
      <c r="Z79" s="54">
        <v>4</v>
      </c>
      <c r="AA79" s="54">
        <v>5</v>
      </c>
      <c r="AB79" s="54">
        <v>6</v>
      </c>
      <c r="AC79" s="54">
        <v>7</v>
      </c>
      <c r="AD79" s="54">
        <v>8</v>
      </c>
      <c r="AE79" s="54">
        <v>9</v>
      </c>
      <c r="AF79" s="55">
        <v>0</v>
      </c>
      <c r="AG79" s="55">
        <v>1</v>
      </c>
      <c r="AH79" s="55">
        <v>2</v>
      </c>
      <c r="AI79" s="55">
        <v>3</v>
      </c>
      <c r="AJ79" s="55">
        <v>4</v>
      </c>
      <c r="AK79" s="55">
        <v>5</v>
      </c>
      <c r="AL79" s="55">
        <v>6</v>
      </c>
      <c r="AM79" s="55">
        <v>7</v>
      </c>
      <c r="AN79" s="55">
        <v>8</v>
      </c>
      <c r="AO79" s="55">
        <v>9</v>
      </c>
      <c r="AP79" s="105">
        <v>0</v>
      </c>
      <c r="AQ79" s="105">
        <v>1</v>
      </c>
      <c r="AR79" s="105">
        <v>2</v>
      </c>
      <c r="AS79" s="105">
        <v>3</v>
      </c>
      <c r="AT79" s="105">
        <v>4</v>
      </c>
      <c r="AU79" s="105">
        <v>5</v>
      </c>
      <c r="AV79" s="105">
        <v>6</v>
      </c>
      <c r="AW79" s="105">
        <v>7</v>
      </c>
      <c r="AX79" s="105">
        <v>8</v>
      </c>
      <c r="AY79" s="105">
        <v>9</v>
      </c>
      <c r="AZ79" s="56">
        <v>0</v>
      </c>
      <c r="BA79" s="56">
        <v>1</v>
      </c>
      <c r="BB79" s="56">
        <v>2</v>
      </c>
      <c r="BC79" s="56">
        <v>3</v>
      </c>
      <c r="BD79" s="56">
        <v>4</v>
      </c>
      <c r="BE79" s="56">
        <v>5</v>
      </c>
      <c r="BF79" s="56">
        <v>6</v>
      </c>
      <c r="BG79" s="56">
        <v>7</v>
      </c>
      <c r="BH79" s="56">
        <v>8</v>
      </c>
      <c r="BI79" s="56">
        <v>9</v>
      </c>
      <c r="BJ79" s="57" t="str">
        <f t="shared" si="39"/>
        <v>松散型</v>
      </c>
      <c r="BK79" s="13">
        <f t="shared" si="35"/>
        <v>0</v>
      </c>
      <c r="BL79" s="13">
        <f t="shared" si="36"/>
        <v>7</v>
      </c>
      <c r="BM79" s="18" t="str">
        <f t="shared" si="41"/>
        <v/>
      </c>
      <c r="BN79" s="19" t="str">
        <f t="shared" si="42"/>
        <v/>
      </c>
      <c r="BO79" s="19" t="str">
        <f t="array" ref="BO79">_xlfn.TEXTJOIN("",TRUE,IF(ISERROR(FIND(ROW($1:$10)-1,BM79&amp;BN79)),ROW($1:$10)-1,""))</f>
        <v>0123456789</v>
      </c>
      <c r="BP79" s="20" t="str">
        <f t="shared" si="43"/>
        <v>中中中</v>
      </c>
      <c r="BQ79" s="21" t="str">
        <f t="shared" si="54"/>
        <v/>
      </c>
      <c r="BR79" s="21" t="str">
        <f t="shared" si="52"/>
        <v/>
      </c>
      <c r="BS79" s="21" t="str">
        <f t="array" ref="BS79">_xlfn.TEXTJOIN("",TRUE,IF(ISERROR(FIND(ROW($1:$10)-1,BQ79&amp;BR79)),ROW($1:$10)-1,""))</f>
        <v>0123456789</v>
      </c>
      <c r="BT79" s="20" t="str">
        <f t="shared" si="44"/>
        <v>中中中</v>
      </c>
      <c r="BU79" s="22" t="str">
        <f t="shared" si="45"/>
        <v/>
      </c>
      <c r="BV79" s="22" t="str">
        <f t="shared" si="53"/>
        <v/>
      </c>
      <c r="BW79" s="22" t="str">
        <f t="array" ref="BW79">_xlfn.TEXTJOIN("",TRUE,IF(ISERROR(FIND(ROW($1:$10)-1,BU79&amp;BV79)),ROW($1:$10)-1,""))</f>
        <v>0123456789</v>
      </c>
      <c r="BX79" s="20" t="str">
        <f t="shared" si="46"/>
        <v>中中中</v>
      </c>
      <c r="BY79" s="23" t="str">
        <f t="shared" si="40"/>
        <v>68</v>
      </c>
      <c r="BZ79" s="24" t="str">
        <f t="array" ref="BZ79">_xlfn.TEXTJOIN("",TRUE,IF(ISNUMBER(FIND(MID(BY78&amp;Q78,ROW($1:$4),1),BY79&amp;Q79)),MID(BY78&amp;Q78,ROW($1:$4),1),""))</f>
        <v/>
      </c>
      <c r="CA79" s="25" t="str">
        <f t="array" ref="CA79">_xlfn.TEXTJOIN("",TRUE,IF(ISERROR(FIND(ROW($1:$10)-1,BY79&amp;BZ79)),ROW($1:$10)-1,""))</f>
        <v>01234579</v>
      </c>
      <c r="CB79" s="26" t="str">
        <f t="shared" si="47"/>
        <v>邻孤孤</v>
      </c>
      <c r="CC79" s="27" t="str">
        <f t="shared" si="48"/>
        <v>91</v>
      </c>
      <c r="CD79" s="27" t="str">
        <f t="array" ref="CD79">_xlfn.TEXTJOIN("",TRUE,IF(ISNUMBER(FIND(MID(CC78&amp;R78,ROW($1:$4),1),CC79&amp;R79)),MID(CC78&amp;R78,ROW($1:$4),1),""))</f>
        <v/>
      </c>
      <c r="CE79" s="27" t="str">
        <f t="array" ref="CE79">_xlfn.TEXTJOIN("",TRUE,IF(ISERROR(FIND(ROW($1:$10)-1,CC79&amp;CD79)),ROW($1:$10)-1,""))</f>
        <v>02345678</v>
      </c>
      <c r="CF79" s="17" t="str">
        <f t="shared" si="49"/>
        <v>邻孤孤</v>
      </c>
      <c r="CG79" s="22" t="str">
        <f t="shared" si="50"/>
        <v>68</v>
      </c>
      <c r="CH79" s="22" t="str">
        <f t="array" ref="CH79">_xlfn.TEXTJOIN("",TRUE,IF(ISNUMBER(FIND(MID(CG78&amp;S78,ROW($1:$4),1),CG79&amp;S79)),MID(CG78&amp;S78,ROW($1:$4),1),""))</f>
        <v/>
      </c>
      <c r="CI79" s="22" t="str">
        <f t="array" ref="CI79">_xlfn.TEXTJOIN("",TRUE,IF(ISERROR(FIND(ROW($1:$10)-1,CG79&amp;CH79)),ROW($1:$10)-1,""))</f>
        <v>01234579</v>
      </c>
      <c r="CJ79" s="28" t="str">
        <f t="shared" si="51"/>
        <v>邻孤孤</v>
      </c>
    </row>
    <row r="80" spans="1:88">
      <c r="A80" s="32">
        <v>2024207</v>
      </c>
      <c r="B80" s="8" t="s">
        <v>100</v>
      </c>
      <c r="C80" s="49">
        <f t="shared" si="55"/>
        <v>19</v>
      </c>
      <c r="D80" s="50">
        <f t="shared" si="56"/>
        <v>9</v>
      </c>
      <c r="E80" s="51">
        <f t="shared" si="37"/>
        <v>6.3333333333333304</v>
      </c>
      <c r="F80" s="52">
        <f>MAX(MID(B80,{1,2,3},1)*1)-MIN(MID(B80,{1,2,3},1)*1)</f>
        <v>7</v>
      </c>
      <c r="G80" s="104">
        <v>0</v>
      </c>
      <c r="H80" s="104">
        <v>1</v>
      </c>
      <c r="I80" s="104">
        <v>2</v>
      </c>
      <c r="J80" s="104">
        <v>3</v>
      </c>
      <c r="K80" s="104">
        <v>4</v>
      </c>
      <c r="L80" s="104">
        <v>5</v>
      </c>
      <c r="M80" s="104">
        <v>6</v>
      </c>
      <c r="N80" s="104">
        <v>7</v>
      </c>
      <c r="O80" s="104">
        <v>8</v>
      </c>
      <c r="P80" s="104">
        <v>9</v>
      </c>
      <c r="Q80" s="53">
        <f t="shared" si="57"/>
        <v>1</v>
      </c>
      <c r="R80" s="53">
        <f t="shared" si="58"/>
        <v>6</v>
      </c>
      <c r="S80" s="53">
        <f t="shared" si="59"/>
        <v>7</v>
      </c>
      <c r="T80" s="101">
        <f t="shared" si="38"/>
        <v>14</v>
      </c>
      <c r="U80" s="15" t="str">
        <f>_xlfn.TEXTJOIN(", ",TRUE,ABS(MID(B80,{1,1,2},1)-MID(B80,{2,3,3},1)))</f>
        <v>1, 6, 7</v>
      </c>
      <c r="V80" s="54">
        <v>0</v>
      </c>
      <c r="W80" s="54">
        <v>1</v>
      </c>
      <c r="X80" s="54">
        <v>2</v>
      </c>
      <c r="Y80" s="54">
        <v>3</v>
      </c>
      <c r="Z80" s="54">
        <v>4</v>
      </c>
      <c r="AA80" s="54">
        <v>5</v>
      </c>
      <c r="AB80" s="54">
        <v>6</v>
      </c>
      <c r="AC80" s="54">
        <v>7</v>
      </c>
      <c r="AD80" s="54">
        <v>8</v>
      </c>
      <c r="AE80" s="54">
        <v>9</v>
      </c>
      <c r="AF80" s="55">
        <v>0</v>
      </c>
      <c r="AG80" s="55">
        <v>1</v>
      </c>
      <c r="AH80" s="55">
        <v>2</v>
      </c>
      <c r="AI80" s="55">
        <v>3</v>
      </c>
      <c r="AJ80" s="55">
        <v>4</v>
      </c>
      <c r="AK80" s="55">
        <v>5</v>
      </c>
      <c r="AL80" s="55">
        <v>6</v>
      </c>
      <c r="AM80" s="55">
        <v>7</v>
      </c>
      <c r="AN80" s="55">
        <v>8</v>
      </c>
      <c r="AO80" s="55">
        <v>9</v>
      </c>
      <c r="AP80" s="105">
        <v>0</v>
      </c>
      <c r="AQ80" s="105">
        <v>1</v>
      </c>
      <c r="AR80" s="105">
        <v>2</v>
      </c>
      <c r="AS80" s="105">
        <v>3</v>
      </c>
      <c r="AT80" s="105">
        <v>4</v>
      </c>
      <c r="AU80" s="105">
        <v>5</v>
      </c>
      <c r="AV80" s="105">
        <v>6</v>
      </c>
      <c r="AW80" s="105">
        <v>7</v>
      </c>
      <c r="AX80" s="105">
        <v>8</v>
      </c>
      <c r="AY80" s="105">
        <v>9</v>
      </c>
      <c r="AZ80" s="56">
        <v>0</v>
      </c>
      <c r="BA80" s="56">
        <v>1</v>
      </c>
      <c r="BB80" s="56">
        <v>2</v>
      </c>
      <c r="BC80" s="56">
        <v>3</v>
      </c>
      <c r="BD80" s="56">
        <v>4</v>
      </c>
      <c r="BE80" s="56">
        <v>5</v>
      </c>
      <c r="BF80" s="56">
        <v>6</v>
      </c>
      <c r="BG80" s="56">
        <v>7</v>
      </c>
      <c r="BH80" s="56">
        <v>8</v>
      </c>
      <c r="BI80" s="56">
        <v>9</v>
      </c>
      <c r="BJ80" s="57" t="str">
        <f t="shared" si="39"/>
        <v>松散型</v>
      </c>
      <c r="BK80" s="13">
        <f t="shared" si="35"/>
        <v>1</v>
      </c>
      <c r="BL80" s="13">
        <f t="shared" si="36"/>
        <v>7</v>
      </c>
      <c r="BM80" s="18" t="str">
        <f t="shared" si="41"/>
        <v/>
      </c>
      <c r="BN80" s="19">
        <f t="shared" si="42"/>
        <v>1</v>
      </c>
      <c r="BO80" s="19" t="str">
        <f t="array" ref="BO80">_xlfn.TEXTJOIN("",TRUE,IF(ISERROR(FIND(ROW($1:$10)-1,BM80&amp;BN80)),ROW($1:$10)-1,""))</f>
        <v>023456789</v>
      </c>
      <c r="BP80" s="20" t="str">
        <f t="shared" si="43"/>
        <v>中隔中</v>
      </c>
      <c r="BQ80" s="21" t="str">
        <f t="shared" si="54"/>
        <v/>
      </c>
      <c r="BR80" s="21" t="str">
        <f t="shared" si="52"/>
        <v/>
      </c>
      <c r="BS80" s="21" t="str">
        <f t="array" ref="BS80">_xlfn.TEXTJOIN("",TRUE,IF(ISERROR(FIND(ROW($1:$10)-1,BQ80&amp;BR80)),ROW($1:$10)-1,""))</f>
        <v>0123456789</v>
      </c>
      <c r="BT80" s="20" t="str">
        <f t="shared" si="44"/>
        <v>中中中</v>
      </c>
      <c r="BU80" s="22">
        <f t="shared" si="45"/>
        <v>7</v>
      </c>
      <c r="BV80" s="22" t="str">
        <f t="shared" si="53"/>
        <v/>
      </c>
      <c r="BW80" s="22" t="str">
        <f t="array" ref="BW80">_xlfn.TEXTJOIN("",TRUE,IF(ISERROR(FIND(ROW($1:$10)-1,BU80&amp;BV80)),ROW($1:$10)-1,""))</f>
        <v>012345689</v>
      </c>
      <c r="BX80" s="20" t="str">
        <f t="shared" si="46"/>
        <v>复中中</v>
      </c>
      <c r="BY80" s="23" t="str">
        <f t="shared" si="40"/>
        <v>02</v>
      </c>
      <c r="BZ80" s="24" t="str">
        <f t="array" ref="BZ80">_xlfn.TEXTJOIN("",TRUE,IF(ISNUMBER(FIND(MID(BY79&amp;Q79,ROW($1:$4),1),BY80&amp;Q80)),MID(BY79&amp;Q79,ROW($1:$4),1),""))</f>
        <v/>
      </c>
      <c r="CA80" s="25" t="str">
        <f t="array" ref="CA80">_xlfn.TEXTJOIN("",TRUE,IF(ISERROR(FIND(ROW($1:$10)-1,BY80&amp;BZ80)),ROW($1:$10)-1,""))</f>
        <v>13456789</v>
      </c>
      <c r="CB80" s="26" t="str">
        <f t="shared" si="47"/>
        <v>邻孤孤</v>
      </c>
      <c r="CC80" s="27" t="str">
        <f t="shared" si="48"/>
        <v>57</v>
      </c>
      <c r="CD80" s="27" t="str">
        <f t="array" ref="CD80">_xlfn.TEXTJOIN("",TRUE,IF(ISNUMBER(FIND(MID(CC79&amp;R79,ROW($1:$4),1),CC80&amp;R80)),MID(CC79&amp;R79,ROW($1:$4),1),""))</f>
        <v/>
      </c>
      <c r="CE80" s="27" t="str">
        <f t="array" ref="CE80">_xlfn.TEXTJOIN("",TRUE,IF(ISERROR(FIND(ROW($1:$10)-1,CC80&amp;CD80)),ROW($1:$10)-1,""))</f>
        <v>01234689</v>
      </c>
      <c r="CF80" s="17" t="str">
        <f t="shared" si="49"/>
        <v>邻孤孤</v>
      </c>
      <c r="CG80" s="22" t="str">
        <f t="shared" si="50"/>
        <v>68</v>
      </c>
      <c r="CH80" s="22" t="str">
        <f t="array" ref="CH80">_xlfn.TEXTJOIN("",TRUE,IF(ISNUMBER(FIND(MID(CG79&amp;S79,ROW($1:$4),1),CG80&amp;S80)),MID(CG79&amp;S79,ROW($1:$4),1),""))</f>
        <v>687</v>
      </c>
      <c r="CI80" s="22" t="str">
        <f t="array" ref="CI80">_xlfn.TEXTJOIN("",TRUE,IF(ISERROR(FIND(ROW($1:$10)-1,CG80&amp;CH80)),ROW($1:$10)-1,""))</f>
        <v>0123459</v>
      </c>
      <c r="CJ80" s="28" t="str">
        <f t="shared" si="51"/>
        <v>邻传孤</v>
      </c>
    </row>
    <row r="81" spans="1:88">
      <c r="A81" s="32">
        <v>2024208</v>
      </c>
      <c r="B81" s="8" t="s">
        <v>101</v>
      </c>
      <c r="C81" s="49">
        <f t="shared" si="55"/>
        <v>11</v>
      </c>
      <c r="D81" s="50">
        <f t="shared" si="56"/>
        <v>1</v>
      </c>
      <c r="E81" s="51">
        <f t="shared" si="37"/>
        <v>3.6666666666666701</v>
      </c>
      <c r="F81" s="52">
        <f>MAX(MID(B81,{1,2,3},1)*1)-MIN(MID(B81,{1,2,3},1)*1)</f>
        <v>7</v>
      </c>
      <c r="G81" s="104">
        <v>0</v>
      </c>
      <c r="H81" s="104">
        <v>1</v>
      </c>
      <c r="I81" s="104">
        <v>2</v>
      </c>
      <c r="J81" s="104">
        <v>3</v>
      </c>
      <c r="K81" s="104">
        <v>4</v>
      </c>
      <c r="L81" s="104">
        <v>5</v>
      </c>
      <c r="M81" s="104">
        <v>6</v>
      </c>
      <c r="N81" s="104">
        <v>7</v>
      </c>
      <c r="O81" s="104">
        <v>8</v>
      </c>
      <c r="P81" s="104">
        <v>9</v>
      </c>
      <c r="Q81" s="53">
        <f t="shared" si="57"/>
        <v>6</v>
      </c>
      <c r="R81" s="53">
        <f t="shared" si="58"/>
        <v>1</v>
      </c>
      <c r="S81" s="53">
        <f t="shared" si="59"/>
        <v>7</v>
      </c>
      <c r="T81" s="101">
        <f t="shared" si="38"/>
        <v>14</v>
      </c>
      <c r="U81" s="15" t="str">
        <f>_xlfn.TEXTJOIN(", ",TRUE,ABS(MID(B81,{1,1,2},1)-MID(B81,{2,3,3},1)))</f>
        <v>6, 1, 7</v>
      </c>
      <c r="V81" s="54">
        <v>0</v>
      </c>
      <c r="W81" s="54">
        <v>1</v>
      </c>
      <c r="X81" s="54">
        <v>2</v>
      </c>
      <c r="Y81" s="54">
        <v>3</v>
      </c>
      <c r="Z81" s="54">
        <v>4</v>
      </c>
      <c r="AA81" s="54">
        <v>5</v>
      </c>
      <c r="AB81" s="54">
        <v>6</v>
      </c>
      <c r="AC81" s="54">
        <v>7</v>
      </c>
      <c r="AD81" s="54">
        <v>8</v>
      </c>
      <c r="AE81" s="54">
        <v>9</v>
      </c>
      <c r="AF81" s="55">
        <v>0</v>
      </c>
      <c r="AG81" s="55">
        <v>1</v>
      </c>
      <c r="AH81" s="55">
        <v>2</v>
      </c>
      <c r="AI81" s="55">
        <v>3</v>
      </c>
      <c r="AJ81" s="55">
        <v>4</v>
      </c>
      <c r="AK81" s="55">
        <v>5</v>
      </c>
      <c r="AL81" s="55">
        <v>6</v>
      </c>
      <c r="AM81" s="55">
        <v>7</v>
      </c>
      <c r="AN81" s="55">
        <v>8</v>
      </c>
      <c r="AO81" s="55">
        <v>9</v>
      </c>
      <c r="AP81" s="105">
        <v>0</v>
      </c>
      <c r="AQ81" s="105">
        <v>1</v>
      </c>
      <c r="AR81" s="105">
        <v>2</v>
      </c>
      <c r="AS81" s="105">
        <v>3</v>
      </c>
      <c r="AT81" s="105">
        <v>4</v>
      </c>
      <c r="AU81" s="105">
        <v>5</v>
      </c>
      <c r="AV81" s="105">
        <v>6</v>
      </c>
      <c r="AW81" s="105">
        <v>7</v>
      </c>
      <c r="AX81" s="105">
        <v>8</v>
      </c>
      <c r="AY81" s="105">
        <v>9</v>
      </c>
      <c r="AZ81" s="56">
        <v>0</v>
      </c>
      <c r="BA81" s="56">
        <v>1</v>
      </c>
      <c r="BB81" s="56">
        <v>2</v>
      </c>
      <c r="BC81" s="56">
        <v>3</v>
      </c>
      <c r="BD81" s="56">
        <v>4</v>
      </c>
      <c r="BE81" s="56">
        <v>5</v>
      </c>
      <c r="BF81" s="56">
        <v>6</v>
      </c>
      <c r="BG81" s="56">
        <v>7</v>
      </c>
      <c r="BH81" s="56">
        <v>8</v>
      </c>
      <c r="BI81" s="56">
        <v>9</v>
      </c>
      <c r="BJ81" s="57" t="str">
        <f t="shared" si="39"/>
        <v>松散型</v>
      </c>
      <c r="BK81" s="13">
        <f t="shared" si="35"/>
        <v>1</v>
      </c>
      <c r="BL81" s="13">
        <f t="shared" si="36"/>
        <v>7</v>
      </c>
      <c r="BM81" s="18">
        <f t="shared" si="41"/>
        <v>6</v>
      </c>
      <c r="BN81" s="19" t="str">
        <f t="shared" si="42"/>
        <v/>
      </c>
      <c r="BO81" s="19" t="str">
        <f t="array" ref="BO81">_xlfn.TEXTJOIN("",TRUE,IF(ISERROR(FIND(ROW($1:$10)-1,BM81&amp;BN81)),ROW($1:$10)-1,""))</f>
        <v>012345789</v>
      </c>
      <c r="BP81" s="20" t="str">
        <f t="shared" si="43"/>
        <v>复中中</v>
      </c>
      <c r="BQ81" s="21">
        <f t="shared" si="54"/>
        <v>1</v>
      </c>
      <c r="BR81" s="21" t="str">
        <f t="shared" si="52"/>
        <v/>
      </c>
      <c r="BS81" s="21" t="str">
        <f t="array" ref="BS81">_xlfn.TEXTJOIN("",TRUE,IF(ISERROR(FIND(ROW($1:$10)-1,BQ81&amp;BR81)),ROW($1:$10)-1,""))</f>
        <v>023456789</v>
      </c>
      <c r="BT81" s="20" t="str">
        <f t="shared" si="44"/>
        <v>复中中</v>
      </c>
      <c r="BU81" s="22">
        <f t="shared" si="45"/>
        <v>7</v>
      </c>
      <c r="BV81" s="22">
        <f t="shared" si="53"/>
        <v>7</v>
      </c>
      <c r="BW81" s="22" t="str">
        <f t="array" ref="BW81">_xlfn.TEXTJOIN("",TRUE,IF(ISERROR(FIND(ROW($1:$10)-1,BU81&amp;BV81)),ROW($1:$10)-1,""))</f>
        <v>012345689</v>
      </c>
      <c r="BX81" s="20" t="str">
        <f t="shared" si="46"/>
        <v>复隔中</v>
      </c>
      <c r="BY81" s="23" t="str">
        <f t="shared" si="40"/>
        <v>57</v>
      </c>
      <c r="BZ81" s="24" t="str">
        <f t="array" ref="BZ81">_xlfn.TEXTJOIN("",TRUE,IF(ISNUMBER(FIND(MID(BY80&amp;Q80,ROW($1:$4),1),BY81&amp;Q81)),MID(BY80&amp;Q80,ROW($1:$4),1),""))</f>
        <v/>
      </c>
      <c r="CA81" s="25" t="str">
        <f t="array" ref="CA81">_xlfn.TEXTJOIN("",TRUE,IF(ISERROR(FIND(ROW($1:$10)-1,BY81&amp;BZ81)),ROW($1:$10)-1,""))</f>
        <v>01234689</v>
      </c>
      <c r="CB81" s="26" t="str">
        <f t="shared" si="47"/>
        <v>邻孤孤</v>
      </c>
      <c r="CC81" s="27" t="str">
        <f t="shared" si="48"/>
        <v>02</v>
      </c>
      <c r="CD81" s="27" t="str">
        <f t="array" ref="CD81">_xlfn.TEXTJOIN("",TRUE,IF(ISNUMBER(FIND(MID(CC80&amp;R80,ROW($1:$4),1),CC81&amp;R81)),MID(CC80&amp;R80,ROW($1:$4),1),""))</f>
        <v/>
      </c>
      <c r="CE81" s="27" t="str">
        <f t="array" ref="CE81">_xlfn.TEXTJOIN("",TRUE,IF(ISERROR(FIND(ROW($1:$10)-1,CC81&amp;CD81)),ROW($1:$10)-1,""))</f>
        <v>13456789</v>
      </c>
      <c r="CF81" s="17" t="str">
        <f t="shared" si="49"/>
        <v>邻孤孤</v>
      </c>
      <c r="CG81" s="22" t="str">
        <f t="shared" si="50"/>
        <v>68</v>
      </c>
      <c r="CH81" s="22" t="str">
        <f t="array" ref="CH81">_xlfn.TEXTJOIN("",TRUE,IF(ISNUMBER(FIND(MID(CG80&amp;S80,ROW($1:$4),1),CG81&amp;S81)),MID(CG80&amp;S80,ROW($1:$4),1),""))</f>
        <v>687</v>
      </c>
      <c r="CI81" s="22" t="str">
        <f t="array" ref="CI81">_xlfn.TEXTJOIN("",TRUE,IF(ISERROR(FIND(ROW($1:$10)-1,CG81&amp;CH81)),ROW($1:$10)-1,""))</f>
        <v>0123459</v>
      </c>
      <c r="CJ81" s="28" t="str">
        <f t="shared" si="51"/>
        <v>邻传孤</v>
      </c>
    </row>
    <row r="82" spans="1:88">
      <c r="A82" s="32">
        <v>2024209</v>
      </c>
      <c r="B82" s="8" t="s">
        <v>85</v>
      </c>
      <c r="C82" s="49">
        <f t="shared" si="55"/>
        <v>19</v>
      </c>
      <c r="D82" s="50">
        <f t="shared" si="56"/>
        <v>9</v>
      </c>
      <c r="E82" s="51">
        <f t="shared" si="37"/>
        <v>6.3333333333333304</v>
      </c>
      <c r="F82" s="52">
        <f>MAX(MID(B82,{1,2,3},1)*1)-MIN(MID(B82,{1,2,3},1)*1)</f>
        <v>1</v>
      </c>
      <c r="G82" s="104">
        <v>0</v>
      </c>
      <c r="H82" s="104">
        <v>1</v>
      </c>
      <c r="I82" s="104">
        <v>2</v>
      </c>
      <c r="J82" s="104">
        <v>3</v>
      </c>
      <c r="K82" s="104">
        <v>4</v>
      </c>
      <c r="L82" s="104">
        <v>5</v>
      </c>
      <c r="M82" s="104">
        <v>6</v>
      </c>
      <c r="N82" s="104">
        <v>7</v>
      </c>
      <c r="O82" s="104">
        <v>8</v>
      </c>
      <c r="P82" s="104">
        <v>9</v>
      </c>
      <c r="Q82" s="53">
        <f t="shared" si="57"/>
        <v>1</v>
      </c>
      <c r="R82" s="53">
        <f t="shared" si="58"/>
        <v>0</v>
      </c>
      <c r="S82" s="53">
        <f t="shared" si="59"/>
        <v>1</v>
      </c>
      <c r="T82" s="101">
        <f t="shared" si="38"/>
        <v>2</v>
      </c>
      <c r="U82" s="15" t="str">
        <f>_xlfn.TEXTJOIN(", ",TRUE,ABS(MID(B82,{1,1,2},1)-MID(B82,{2,3,3},1)))</f>
        <v>1, 0, 1</v>
      </c>
      <c r="V82" s="54">
        <v>0</v>
      </c>
      <c r="W82" s="54">
        <v>1</v>
      </c>
      <c r="X82" s="54">
        <v>2</v>
      </c>
      <c r="Y82" s="54">
        <v>3</v>
      </c>
      <c r="Z82" s="54">
        <v>4</v>
      </c>
      <c r="AA82" s="54">
        <v>5</v>
      </c>
      <c r="AB82" s="54">
        <v>6</v>
      </c>
      <c r="AC82" s="54">
        <v>7</v>
      </c>
      <c r="AD82" s="54">
        <v>8</v>
      </c>
      <c r="AE82" s="54">
        <v>9</v>
      </c>
      <c r="AF82" s="55">
        <v>0</v>
      </c>
      <c r="AG82" s="55">
        <v>1</v>
      </c>
      <c r="AH82" s="55">
        <v>2</v>
      </c>
      <c r="AI82" s="55">
        <v>3</v>
      </c>
      <c r="AJ82" s="55">
        <v>4</v>
      </c>
      <c r="AK82" s="55">
        <v>5</v>
      </c>
      <c r="AL82" s="55">
        <v>6</v>
      </c>
      <c r="AM82" s="55">
        <v>7</v>
      </c>
      <c r="AN82" s="55">
        <v>8</v>
      </c>
      <c r="AO82" s="55">
        <v>9</v>
      </c>
      <c r="AP82" s="105">
        <v>0</v>
      </c>
      <c r="AQ82" s="105">
        <v>1</v>
      </c>
      <c r="AR82" s="105">
        <v>2</v>
      </c>
      <c r="AS82" s="105">
        <v>3</v>
      </c>
      <c r="AT82" s="105">
        <v>4</v>
      </c>
      <c r="AU82" s="105">
        <v>5</v>
      </c>
      <c r="AV82" s="105">
        <v>6</v>
      </c>
      <c r="AW82" s="105">
        <v>7</v>
      </c>
      <c r="AX82" s="105">
        <v>8</v>
      </c>
      <c r="AY82" s="105">
        <v>9</v>
      </c>
      <c r="AZ82" s="56">
        <v>0</v>
      </c>
      <c r="BA82" s="56">
        <v>1</v>
      </c>
      <c r="BB82" s="56">
        <v>2</v>
      </c>
      <c r="BC82" s="56">
        <v>3</v>
      </c>
      <c r="BD82" s="56">
        <v>4</v>
      </c>
      <c r="BE82" s="56">
        <v>5</v>
      </c>
      <c r="BF82" s="56">
        <v>6</v>
      </c>
      <c r="BG82" s="56">
        <v>7</v>
      </c>
      <c r="BH82" s="56">
        <v>8</v>
      </c>
      <c r="BI82" s="56">
        <v>9</v>
      </c>
      <c r="BJ82" s="57" t="str">
        <f t="shared" si="39"/>
        <v>紧凑型</v>
      </c>
      <c r="BK82" s="13">
        <f t="shared" si="35"/>
        <v>0</v>
      </c>
      <c r="BL82" s="13">
        <f t="shared" si="36"/>
        <v>1</v>
      </c>
      <c r="BM82" s="18">
        <f t="shared" si="41"/>
        <v>1</v>
      </c>
      <c r="BN82" s="19">
        <f t="shared" si="42"/>
        <v>1</v>
      </c>
      <c r="BO82" s="19" t="str">
        <f t="array" ref="BO82">_xlfn.TEXTJOIN("",TRUE,IF(ISERROR(FIND(ROW($1:$10)-1,BM82&amp;BN82)),ROW($1:$10)-1,""))</f>
        <v>023456789</v>
      </c>
      <c r="BP82" s="20" t="str">
        <f t="shared" si="43"/>
        <v>复隔中</v>
      </c>
      <c r="BQ82" s="21" t="str">
        <f t="shared" si="54"/>
        <v/>
      </c>
      <c r="BR82" s="21" t="str">
        <f t="shared" si="52"/>
        <v/>
      </c>
      <c r="BS82" s="21" t="str">
        <f t="array" ref="BS82">_xlfn.TEXTJOIN("",TRUE,IF(ISERROR(FIND(ROW($1:$10)-1,BQ82&amp;BR82)),ROW($1:$10)-1,""))</f>
        <v>0123456789</v>
      </c>
      <c r="BT82" s="20" t="str">
        <f t="shared" si="44"/>
        <v>中中中</v>
      </c>
      <c r="BU82" s="22">
        <f t="shared" si="45"/>
        <v>1</v>
      </c>
      <c r="BV82" s="22">
        <f t="shared" si="53"/>
        <v>1</v>
      </c>
      <c r="BW82" s="22" t="str">
        <f t="array" ref="BW82">_xlfn.TEXTJOIN("",TRUE,IF(ISERROR(FIND(ROW($1:$10)-1,BU82&amp;BV82)),ROW($1:$10)-1,""))</f>
        <v>023456789</v>
      </c>
      <c r="BX82" s="20" t="str">
        <f t="shared" si="46"/>
        <v>复隔中</v>
      </c>
      <c r="BY82" s="23" t="str">
        <f t="shared" si="40"/>
        <v>02</v>
      </c>
      <c r="BZ82" s="24" t="str">
        <f t="array" ref="BZ82">_xlfn.TEXTJOIN("",TRUE,IF(ISNUMBER(FIND(MID(BY81&amp;Q81,ROW($1:$4),1),BY82&amp;Q82)),MID(BY81&amp;Q81,ROW($1:$4),1),""))</f>
        <v/>
      </c>
      <c r="CA82" s="25" t="str">
        <f t="array" ref="CA82">_xlfn.TEXTJOIN("",TRUE,IF(ISERROR(FIND(ROW($1:$10)-1,BY82&amp;BZ82)),ROW($1:$10)-1,""))</f>
        <v>13456789</v>
      </c>
      <c r="CB82" s="26" t="str">
        <f t="shared" si="47"/>
        <v>邻孤孤</v>
      </c>
      <c r="CC82" s="27" t="str">
        <f t="shared" si="48"/>
        <v>91</v>
      </c>
      <c r="CD82" s="27" t="str">
        <f t="array" ref="CD82">_xlfn.TEXTJOIN("",TRUE,IF(ISNUMBER(FIND(MID(CC81&amp;R81,ROW($1:$4),1),CC82&amp;R82)),MID(CC81&amp;R81,ROW($1:$4),1),""))</f>
        <v>01</v>
      </c>
      <c r="CE82" s="27" t="str">
        <f t="array" ref="CE82">_xlfn.TEXTJOIN("",TRUE,IF(ISERROR(FIND(ROW($1:$10)-1,CC82&amp;CD82)),ROW($1:$10)-1,""))</f>
        <v>2345678</v>
      </c>
      <c r="CF82" s="17" t="str">
        <f t="shared" si="49"/>
        <v>邻传孤</v>
      </c>
      <c r="CG82" s="22" t="str">
        <f t="shared" si="50"/>
        <v>02</v>
      </c>
      <c r="CH82" s="22" t="str">
        <f t="array" ref="CH82">_xlfn.TEXTJOIN("",TRUE,IF(ISNUMBER(FIND(MID(CG81&amp;S81,ROW($1:$4),1),CG82&amp;S82)),MID(CG81&amp;S81,ROW($1:$4),1),""))</f>
        <v/>
      </c>
      <c r="CI82" s="22" t="str">
        <f t="array" ref="CI82">_xlfn.TEXTJOIN("",TRUE,IF(ISERROR(FIND(ROW($1:$10)-1,CG82&amp;CH82)),ROW($1:$10)-1,""))</f>
        <v>13456789</v>
      </c>
      <c r="CJ82" s="28" t="str">
        <f t="shared" si="51"/>
        <v>邻孤孤</v>
      </c>
    </row>
    <row r="83" spans="1:88">
      <c r="A83" s="32">
        <v>2024210</v>
      </c>
      <c r="B83" s="8" t="s">
        <v>66</v>
      </c>
      <c r="C83" s="49">
        <f t="shared" si="55"/>
        <v>17</v>
      </c>
      <c r="D83" s="50">
        <f t="shared" si="56"/>
        <v>7</v>
      </c>
      <c r="E83" s="51">
        <f t="shared" si="37"/>
        <v>5.6666666666666696</v>
      </c>
      <c r="F83" s="52">
        <f>MAX(MID(B83,{1,2,3},1)*1)-MIN(MID(B83,{1,2,3},1)*1)</f>
        <v>5</v>
      </c>
      <c r="G83" s="104">
        <v>0</v>
      </c>
      <c r="H83" s="104">
        <v>1</v>
      </c>
      <c r="I83" s="104">
        <v>2</v>
      </c>
      <c r="J83" s="104">
        <v>3</v>
      </c>
      <c r="K83" s="104">
        <v>4</v>
      </c>
      <c r="L83" s="104">
        <v>5</v>
      </c>
      <c r="M83" s="104">
        <v>6</v>
      </c>
      <c r="N83" s="104">
        <v>7</v>
      </c>
      <c r="O83" s="104">
        <v>8</v>
      </c>
      <c r="P83" s="104">
        <v>9</v>
      </c>
      <c r="Q83" s="53">
        <f t="shared" si="57"/>
        <v>0</v>
      </c>
      <c r="R83" s="53">
        <f t="shared" si="58"/>
        <v>5</v>
      </c>
      <c r="S83" s="53">
        <f t="shared" si="59"/>
        <v>5</v>
      </c>
      <c r="T83" s="101">
        <f t="shared" si="38"/>
        <v>10</v>
      </c>
      <c r="U83" s="15" t="str">
        <f>_xlfn.TEXTJOIN(", ",TRUE,ABS(MID(B83,{1,1,2},1)-MID(B83,{2,3,3},1)))</f>
        <v>0, 5, 5</v>
      </c>
      <c r="V83" s="54">
        <v>0</v>
      </c>
      <c r="W83" s="54">
        <v>1</v>
      </c>
      <c r="X83" s="54">
        <v>2</v>
      </c>
      <c r="Y83" s="54">
        <v>3</v>
      </c>
      <c r="Z83" s="54">
        <v>4</v>
      </c>
      <c r="AA83" s="54">
        <v>5</v>
      </c>
      <c r="AB83" s="54">
        <v>6</v>
      </c>
      <c r="AC83" s="54">
        <v>7</v>
      </c>
      <c r="AD83" s="54">
        <v>8</v>
      </c>
      <c r="AE83" s="54">
        <v>9</v>
      </c>
      <c r="AF83" s="55">
        <v>0</v>
      </c>
      <c r="AG83" s="55">
        <v>1</v>
      </c>
      <c r="AH83" s="55">
        <v>2</v>
      </c>
      <c r="AI83" s="55">
        <v>3</v>
      </c>
      <c r="AJ83" s="55">
        <v>4</v>
      </c>
      <c r="AK83" s="55">
        <v>5</v>
      </c>
      <c r="AL83" s="55">
        <v>6</v>
      </c>
      <c r="AM83" s="55">
        <v>7</v>
      </c>
      <c r="AN83" s="55">
        <v>8</v>
      </c>
      <c r="AO83" s="55">
        <v>9</v>
      </c>
      <c r="AP83" s="105">
        <v>0</v>
      </c>
      <c r="AQ83" s="105">
        <v>1</v>
      </c>
      <c r="AR83" s="105">
        <v>2</v>
      </c>
      <c r="AS83" s="105">
        <v>3</v>
      </c>
      <c r="AT83" s="105">
        <v>4</v>
      </c>
      <c r="AU83" s="105">
        <v>5</v>
      </c>
      <c r="AV83" s="105">
        <v>6</v>
      </c>
      <c r="AW83" s="105">
        <v>7</v>
      </c>
      <c r="AX83" s="105">
        <v>8</v>
      </c>
      <c r="AY83" s="105">
        <v>9</v>
      </c>
      <c r="AZ83" s="56">
        <v>0</v>
      </c>
      <c r="BA83" s="56">
        <v>1</v>
      </c>
      <c r="BB83" s="56">
        <v>2</v>
      </c>
      <c r="BC83" s="56">
        <v>3</v>
      </c>
      <c r="BD83" s="56">
        <v>4</v>
      </c>
      <c r="BE83" s="56">
        <v>5</v>
      </c>
      <c r="BF83" s="56">
        <v>6</v>
      </c>
      <c r="BG83" s="56">
        <v>7</v>
      </c>
      <c r="BH83" s="56">
        <v>8</v>
      </c>
      <c r="BI83" s="56">
        <v>9</v>
      </c>
      <c r="BJ83" s="57" t="str">
        <f t="shared" si="39"/>
        <v>对子</v>
      </c>
      <c r="BK83" s="13">
        <f t="shared" si="35"/>
        <v>0</v>
      </c>
      <c r="BL83" s="13">
        <f t="shared" si="36"/>
        <v>5</v>
      </c>
      <c r="BM83" s="18">
        <f t="shared" si="41"/>
        <v>0</v>
      </c>
      <c r="BN83" s="19" t="str">
        <f t="shared" si="42"/>
        <v/>
      </c>
      <c r="BO83" s="19" t="str">
        <f t="array" ref="BO83">_xlfn.TEXTJOIN("",TRUE,IF(ISERROR(FIND(ROW($1:$10)-1,BM83&amp;BN83)),ROW($1:$10)-1,""))</f>
        <v>123456789</v>
      </c>
      <c r="BP83" s="20" t="str">
        <f t="shared" si="43"/>
        <v>复中中</v>
      </c>
      <c r="BQ83" s="21" t="str">
        <f t="shared" si="54"/>
        <v/>
      </c>
      <c r="BR83" s="21" t="str">
        <f t="shared" si="52"/>
        <v/>
      </c>
      <c r="BS83" s="21" t="str">
        <f t="array" ref="BS83">_xlfn.TEXTJOIN("",TRUE,IF(ISERROR(FIND(ROW($1:$10)-1,BQ83&amp;BR83)),ROW($1:$10)-1,""))</f>
        <v>0123456789</v>
      </c>
      <c r="BT83" s="20" t="str">
        <f t="shared" si="44"/>
        <v>中中中</v>
      </c>
      <c r="BU83" s="22" t="str">
        <f t="shared" si="45"/>
        <v/>
      </c>
      <c r="BV83" s="22" t="str">
        <f t="shared" si="53"/>
        <v/>
      </c>
      <c r="BW83" s="22" t="str">
        <f t="array" ref="BW83">_xlfn.TEXTJOIN("",TRUE,IF(ISERROR(FIND(ROW($1:$10)-1,BU83&amp;BV83)),ROW($1:$10)-1,""))</f>
        <v>0123456789</v>
      </c>
      <c r="BX83" s="20" t="str">
        <f t="shared" si="46"/>
        <v>中中中</v>
      </c>
      <c r="BY83" s="23" t="str">
        <f t="shared" si="40"/>
        <v>91</v>
      </c>
      <c r="BZ83" s="24" t="str">
        <f t="array" ref="BZ83">_xlfn.TEXTJOIN("",TRUE,IF(ISNUMBER(FIND(MID(BY82&amp;Q82,ROW($1:$4),1),BY83&amp;Q83)),MID(BY82&amp;Q82,ROW($1:$4),1),""))</f>
        <v>01</v>
      </c>
      <c r="CA83" s="25" t="str">
        <f t="array" ref="CA83">_xlfn.TEXTJOIN("",TRUE,IF(ISERROR(FIND(ROW($1:$10)-1,BY83&amp;BZ83)),ROW($1:$10)-1,""))</f>
        <v>2345678</v>
      </c>
      <c r="CB83" s="26" t="str">
        <f t="shared" si="47"/>
        <v>邻传孤</v>
      </c>
      <c r="CC83" s="27" t="str">
        <f t="shared" si="48"/>
        <v>46</v>
      </c>
      <c r="CD83" s="27" t="str">
        <f t="array" ref="CD83">_xlfn.TEXTJOIN("",TRUE,IF(ISNUMBER(FIND(MID(CC82&amp;R82,ROW($1:$4),1),CC83&amp;R83)),MID(CC82&amp;R82,ROW($1:$4),1),""))</f>
        <v/>
      </c>
      <c r="CE83" s="27" t="str">
        <f t="array" ref="CE83">_xlfn.TEXTJOIN("",TRUE,IF(ISERROR(FIND(ROW($1:$10)-1,CC83&amp;CD83)),ROW($1:$10)-1,""))</f>
        <v>01235789</v>
      </c>
      <c r="CF83" s="17" t="str">
        <f t="shared" si="49"/>
        <v>邻孤孤</v>
      </c>
      <c r="CG83" s="22" t="str">
        <f t="shared" si="50"/>
        <v>46</v>
      </c>
      <c r="CH83" s="22" t="str">
        <f t="array" ref="CH83">_xlfn.TEXTJOIN("",TRUE,IF(ISNUMBER(FIND(MID(CG82&amp;S82,ROW($1:$4),1),CG83&amp;S83)),MID(CG82&amp;S82,ROW($1:$4),1),""))</f>
        <v/>
      </c>
      <c r="CI83" s="22" t="str">
        <f t="array" ref="CI83">_xlfn.TEXTJOIN("",TRUE,IF(ISERROR(FIND(ROW($1:$10)-1,CG83&amp;CH83)),ROW($1:$10)-1,""))</f>
        <v>01235789</v>
      </c>
      <c r="CJ83" s="28" t="str">
        <f t="shared" si="51"/>
        <v>邻孤孤</v>
      </c>
    </row>
    <row r="84" spans="1:88">
      <c r="A84" s="32">
        <v>2024211</v>
      </c>
      <c r="B84" s="8" t="s">
        <v>102</v>
      </c>
      <c r="C84" s="49">
        <f t="shared" si="55"/>
        <v>9</v>
      </c>
      <c r="D84" s="50">
        <f t="shared" si="56"/>
        <v>9</v>
      </c>
      <c r="E84" s="51">
        <f t="shared" si="37"/>
        <v>3</v>
      </c>
      <c r="F84" s="52">
        <f>MAX(MID(B84,{1,2,3},1)*1)-MIN(MID(B84,{1,2,3},1)*1)</f>
        <v>5</v>
      </c>
      <c r="G84" s="104">
        <v>0</v>
      </c>
      <c r="H84" s="104">
        <v>1</v>
      </c>
      <c r="I84" s="104">
        <v>2</v>
      </c>
      <c r="J84" s="104">
        <v>3</v>
      </c>
      <c r="K84" s="104">
        <v>4</v>
      </c>
      <c r="L84" s="104">
        <v>5</v>
      </c>
      <c r="M84" s="104">
        <v>6</v>
      </c>
      <c r="N84" s="104">
        <v>7</v>
      </c>
      <c r="O84" s="104">
        <v>8</v>
      </c>
      <c r="P84" s="104">
        <v>9</v>
      </c>
      <c r="Q84" s="53">
        <f t="shared" si="57"/>
        <v>5</v>
      </c>
      <c r="R84" s="53">
        <f t="shared" si="58"/>
        <v>4</v>
      </c>
      <c r="S84" s="53">
        <f t="shared" si="59"/>
        <v>1</v>
      </c>
      <c r="T84" s="101">
        <f t="shared" si="38"/>
        <v>10</v>
      </c>
      <c r="U84" s="15" t="str">
        <f>_xlfn.TEXTJOIN(", ",TRUE,ABS(MID(B84,{1,1,2},1)-MID(B84,{2,3,3},1)))</f>
        <v>5, 4, 1</v>
      </c>
      <c r="V84" s="54">
        <v>0</v>
      </c>
      <c r="W84" s="54">
        <v>1</v>
      </c>
      <c r="X84" s="54">
        <v>2</v>
      </c>
      <c r="Y84" s="54">
        <v>3</v>
      </c>
      <c r="Z84" s="54">
        <v>4</v>
      </c>
      <c r="AA84" s="54">
        <v>5</v>
      </c>
      <c r="AB84" s="54">
        <v>6</v>
      </c>
      <c r="AC84" s="54">
        <v>7</v>
      </c>
      <c r="AD84" s="54">
        <v>8</v>
      </c>
      <c r="AE84" s="54">
        <v>9</v>
      </c>
      <c r="AF84" s="55">
        <v>0</v>
      </c>
      <c r="AG84" s="55">
        <v>1</v>
      </c>
      <c r="AH84" s="55">
        <v>2</v>
      </c>
      <c r="AI84" s="55">
        <v>3</v>
      </c>
      <c r="AJ84" s="55">
        <v>4</v>
      </c>
      <c r="AK84" s="55">
        <v>5</v>
      </c>
      <c r="AL84" s="55">
        <v>6</v>
      </c>
      <c r="AM84" s="55">
        <v>7</v>
      </c>
      <c r="AN84" s="55">
        <v>8</v>
      </c>
      <c r="AO84" s="55">
        <v>9</v>
      </c>
      <c r="AP84" s="105">
        <v>0</v>
      </c>
      <c r="AQ84" s="105">
        <v>1</v>
      </c>
      <c r="AR84" s="105">
        <v>2</v>
      </c>
      <c r="AS84" s="105">
        <v>3</v>
      </c>
      <c r="AT84" s="105">
        <v>4</v>
      </c>
      <c r="AU84" s="105">
        <v>5</v>
      </c>
      <c r="AV84" s="105">
        <v>6</v>
      </c>
      <c r="AW84" s="105">
        <v>7</v>
      </c>
      <c r="AX84" s="105">
        <v>8</v>
      </c>
      <c r="AY84" s="105">
        <v>9</v>
      </c>
      <c r="AZ84" s="56">
        <v>0</v>
      </c>
      <c r="BA84" s="56">
        <v>1</v>
      </c>
      <c r="BB84" s="56">
        <v>2</v>
      </c>
      <c r="BC84" s="56">
        <v>3</v>
      </c>
      <c r="BD84" s="56">
        <v>4</v>
      </c>
      <c r="BE84" s="56">
        <v>5</v>
      </c>
      <c r="BF84" s="56">
        <v>6</v>
      </c>
      <c r="BG84" s="56">
        <v>7</v>
      </c>
      <c r="BH84" s="56">
        <v>8</v>
      </c>
      <c r="BI84" s="56">
        <v>9</v>
      </c>
      <c r="BJ84" s="57" t="str">
        <f t="shared" si="39"/>
        <v>标准型</v>
      </c>
      <c r="BK84" s="13">
        <f t="shared" si="35"/>
        <v>1</v>
      </c>
      <c r="BL84" s="13">
        <f t="shared" si="36"/>
        <v>5</v>
      </c>
      <c r="BM84" s="18">
        <f t="shared" si="41"/>
        <v>5</v>
      </c>
      <c r="BN84" s="19" t="str">
        <f t="shared" si="42"/>
        <v/>
      </c>
      <c r="BO84" s="19" t="str">
        <f t="array" ref="BO84">_xlfn.TEXTJOIN("",TRUE,IF(ISERROR(FIND(ROW($1:$10)-1,BM84&amp;BN84)),ROW($1:$10)-1,""))</f>
        <v>012346789</v>
      </c>
      <c r="BP84" s="20" t="str">
        <f t="shared" si="43"/>
        <v>复中中</v>
      </c>
      <c r="BQ84" s="21" t="str">
        <f t="shared" si="54"/>
        <v/>
      </c>
      <c r="BR84" s="21" t="str">
        <f t="shared" si="52"/>
        <v/>
      </c>
      <c r="BS84" s="21" t="str">
        <f t="array" ref="BS84">_xlfn.TEXTJOIN("",TRUE,IF(ISERROR(FIND(ROW($1:$10)-1,BQ84&amp;BR84)),ROW($1:$10)-1,""))</f>
        <v>0123456789</v>
      </c>
      <c r="BT84" s="20" t="str">
        <f t="shared" si="44"/>
        <v>中中中</v>
      </c>
      <c r="BU84" s="22" t="str">
        <f t="shared" si="45"/>
        <v/>
      </c>
      <c r="BV84" s="22">
        <f t="shared" si="53"/>
        <v>1</v>
      </c>
      <c r="BW84" s="22" t="str">
        <f t="array" ref="BW84">_xlfn.TEXTJOIN("",TRUE,IF(ISERROR(FIND(ROW($1:$10)-1,BU84&amp;BV84)),ROW($1:$10)-1,""))</f>
        <v>023456789</v>
      </c>
      <c r="BX84" s="20" t="str">
        <f t="shared" si="46"/>
        <v>中隔中</v>
      </c>
      <c r="BY84" s="23" t="str">
        <f t="shared" si="40"/>
        <v>46</v>
      </c>
      <c r="BZ84" s="24" t="str">
        <f t="array" ref="BZ84">_xlfn.TEXTJOIN("",TRUE,IF(ISNUMBER(FIND(MID(BY83&amp;Q83,ROW($1:$4),1),BY84&amp;Q84)),MID(BY83&amp;Q83,ROW($1:$4),1),""))</f>
        <v/>
      </c>
      <c r="CA84" s="25" t="str">
        <f t="array" ref="CA84">_xlfn.TEXTJOIN("",TRUE,IF(ISERROR(FIND(ROW($1:$10)-1,BY84&amp;BZ84)),ROW($1:$10)-1,""))</f>
        <v>01235789</v>
      </c>
      <c r="CB84" s="26" t="str">
        <f t="shared" si="47"/>
        <v>邻孤孤</v>
      </c>
      <c r="CC84" s="27" t="str">
        <f t="shared" si="48"/>
        <v>35</v>
      </c>
      <c r="CD84" s="27" t="str">
        <f t="array" ref="CD84">_xlfn.TEXTJOIN("",TRUE,IF(ISNUMBER(FIND(MID(CC83&amp;R83,ROW($1:$4),1),CC84&amp;R84)),MID(CC83&amp;R83,ROW($1:$4),1),""))</f>
        <v>45</v>
      </c>
      <c r="CE84" s="27" t="str">
        <f t="array" ref="CE84">_xlfn.TEXTJOIN("",TRUE,IF(ISERROR(FIND(ROW($1:$10)-1,CC84&amp;CD84)),ROW($1:$10)-1,""))</f>
        <v>0126789</v>
      </c>
      <c r="CF84" s="17" t="str">
        <f t="shared" si="49"/>
        <v>邻传孤</v>
      </c>
      <c r="CG84" s="22" t="str">
        <f t="shared" si="50"/>
        <v>02</v>
      </c>
      <c r="CH84" s="22" t="str">
        <f t="array" ref="CH84">_xlfn.TEXTJOIN("",TRUE,IF(ISNUMBER(FIND(MID(CG83&amp;S83,ROW($1:$4),1),CG84&amp;S84)),MID(CG83&amp;S83,ROW($1:$4),1),""))</f>
        <v/>
      </c>
      <c r="CI84" s="22" t="str">
        <f t="array" ref="CI84">_xlfn.TEXTJOIN("",TRUE,IF(ISERROR(FIND(ROW($1:$10)-1,CG84&amp;CH84)),ROW($1:$10)-1,""))</f>
        <v>13456789</v>
      </c>
      <c r="CJ84" s="28" t="str">
        <f t="shared" si="51"/>
        <v>邻孤孤</v>
      </c>
    </row>
    <row r="85" spans="1:88">
      <c r="A85" s="32">
        <v>2024212</v>
      </c>
      <c r="B85" s="8" t="s">
        <v>103</v>
      </c>
      <c r="C85" s="49">
        <f t="shared" si="55"/>
        <v>17</v>
      </c>
      <c r="D85" s="50">
        <f t="shared" si="56"/>
        <v>7</v>
      </c>
      <c r="E85" s="51">
        <f t="shared" si="37"/>
        <v>5.6666666666666696</v>
      </c>
      <c r="F85" s="52">
        <f>MAX(MID(B85,{1,2,3},1)*1)-MIN(MID(B85,{1,2,3},1)*1)</f>
        <v>9</v>
      </c>
      <c r="G85" s="104">
        <v>0</v>
      </c>
      <c r="H85" s="104">
        <v>1</v>
      </c>
      <c r="I85" s="104">
        <v>2</v>
      </c>
      <c r="J85" s="104">
        <v>3</v>
      </c>
      <c r="K85" s="104">
        <v>4</v>
      </c>
      <c r="L85" s="104">
        <v>5</v>
      </c>
      <c r="M85" s="104">
        <v>6</v>
      </c>
      <c r="N85" s="104">
        <v>7</v>
      </c>
      <c r="O85" s="104">
        <v>8</v>
      </c>
      <c r="P85" s="104">
        <v>9</v>
      </c>
      <c r="Q85" s="53">
        <f t="shared" si="57"/>
        <v>8</v>
      </c>
      <c r="R85" s="53">
        <f t="shared" si="58"/>
        <v>9</v>
      </c>
      <c r="S85" s="53">
        <f t="shared" si="59"/>
        <v>1</v>
      </c>
      <c r="T85" s="101">
        <f t="shared" si="38"/>
        <v>18</v>
      </c>
      <c r="U85" s="15" t="str">
        <f>_xlfn.TEXTJOIN(", ",TRUE,ABS(MID(B85,{1,1,2},1)-MID(B85,{2,3,3},1)))</f>
        <v>8, 9, 1</v>
      </c>
      <c r="V85" s="54">
        <v>0</v>
      </c>
      <c r="W85" s="54">
        <v>1</v>
      </c>
      <c r="X85" s="54">
        <v>2</v>
      </c>
      <c r="Y85" s="54">
        <v>3</v>
      </c>
      <c r="Z85" s="54">
        <v>4</v>
      </c>
      <c r="AA85" s="54">
        <v>5</v>
      </c>
      <c r="AB85" s="54">
        <v>6</v>
      </c>
      <c r="AC85" s="54">
        <v>7</v>
      </c>
      <c r="AD85" s="54">
        <v>8</v>
      </c>
      <c r="AE85" s="54">
        <v>9</v>
      </c>
      <c r="AF85" s="55">
        <v>0</v>
      </c>
      <c r="AG85" s="55">
        <v>1</v>
      </c>
      <c r="AH85" s="55">
        <v>2</v>
      </c>
      <c r="AI85" s="55">
        <v>3</v>
      </c>
      <c r="AJ85" s="55">
        <v>4</v>
      </c>
      <c r="AK85" s="55">
        <v>5</v>
      </c>
      <c r="AL85" s="55">
        <v>6</v>
      </c>
      <c r="AM85" s="55">
        <v>7</v>
      </c>
      <c r="AN85" s="55">
        <v>8</v>
      </c>
      <c r="AO85" s="55">
        <v>9</v>
      </c>
      <c r="AP85" s="105">
        <v>0</v>
      </c>
      <c r="AQ85" s="105">
        <v>1</v>
      </c>
      <c r="AR85" s="105">
        <v>2</v>
      </c>
      <c r="AS85" s="105">
        <v>3</v>
      </c>
      <c r="AT85" s="105">
        <v>4</v>
      </c>
      <c r="AU85" s="105">
        <v>5</v>
      </c>
      <c r="AV85" s="105">
        <v>6</v>
      </c>
      <c r="AW85" s="105">
        <v>7</v>
      </c>
      <c r="AX85" s="105">
        <v>8</v>
      </c>
      <c r="AY85" s="105">
        <v>9</v>
      </c>
      <c r="AZ85" s="56">
        <v>0</v>
      </c>
      <c r="BA85" s="56">
        <v>1</v>
      </c>
      <c r="BB85" s="56">
        <v>2</v>
      </c>
      <c r="BC85" s="56">
        <v>3</v>
      </c>
      <c r="BD85" s="56">
        <v>4</v>
      </c>
      <c r="BE85" s="56">
        <v>5</v>
      </c>
      <c r="BF85" s="56">
        <v>6</v>
      </c>
      <c r="BG85" s="56">
        <v>7</v>
      </c>
      <c r="BH85" s="56">
        <v>8</v>
      </c>
      <c r="BI85" s="56">
        <v>9</v>
      </c>
      <c r="BJ85" s="57" t="str">
        <f t="shared" si="39"/>
        <v>松散型</v>
      </c>
      <c r="BK85" s="13">
        <f t="shared" si="35"/>
        <v>1</v>
      </c>
      <c r="BL85" s="13">
        <f t="shared" si="36"/>
        <v>9</v>
      </c>
      <c r="BM85" s="18" t="str">
        <f t="shared" si="41"/>
        <v/>
      </c>
      <c r="BN85" s="19" t="str">
        <f t="shared" si="42"/>
        <v/>
      </c>
      <c r="BO85" s="19" t="str">
        <f t="array" ref="BO85">_xlfn.TEXTJOIN("",TRUE,IF(ISERROR(FIND(ROW($1:$10)-1,BM85&amp;BN85)),ROW($1:$10)-1,""))</f>
        <v>0123456789</v>
      </c>
      <c r="BP85" s="20" t="str">
        <f t="shared" si="43"/>
        <v>中中中</v>
      </c>
      <c r="BQ85" s="21" t="str">
        <f t="shared" si="54"/>
        <v/>
      </c>
      <c r="BR85" s="21" t="str">
        <f t="shared" si="52"/>
        <v/>
      </c>
      <c r="BS85" s="21" t="str">
        <f t="array" ref="BS85">_xlfn.TEXTJOIN("",TRUE,IF(ISERROR(FIND(ROW($1:$10)-1,BQ85&amp;BR85)),ROW($1:$10)-1,""))</f>
        <v>0123456789</v>
      </c>
      <c r="BT85" s="20" t="str">
        <f t="shared" si="44"/>
        <v>中中中</v>
      </c>
      <c r="BU85" s="22">
        <f t="shared" si="45"/>
        <v>1</v>
      </c>
      <c r="BV85" s="22" t="str">
        <f t="shared" si="53"/>
        <v/>
      </c>
      <c r="BW85" s="22" t="str">
        <f t="array" ref="BW85">_xlfn.TEXTJOIN("",TRUE,IF(ISERROR(FIND(ROW($1:$10)-1,BU85&amp;BV85)),ROW($1:$10)-1,""))</f>
        <v>023456789</v>
      </c>
      <c r="BX85" s="20" t="str">
        <f t="shared" si="46"/>
        <v>复中中</v>
      </c>
      <c r="BY85" s="23" t="str">
        <f t="shared" si="40"/>
        <v>79</v>
      </c>
      <c r="BZ85" s="24" t="str">
        <f t="array" ref="BZ85">_xlfn.TEXTJOIN("",TRUE,IF(ISNUMBER(FIND(MID(BY84&amp;Q84,ROW($1:$4),1),BY85&amp;Q85)),MID(BY84&amp;Q84,ROW($1:$4),1),""))</f>
        <v/>
      </c>
      <c r="CA85" s="25" t="str">
        <f t="array" ref="CA85">_xlfn.TEXTJOIN("",TRUE,IF(ISERROR(FIND(ROW($1:$10)-1,BY85&amp;BZ85)),ROW($1:$10)-1,""))</f>
        <v>01234568</v>
      </c>
      <c r="CB85" s="26" t="str">
        <f t="shared" si="47"/>
        <v>邻孤孤</v>
      </c>
      <c r="CC85" s="27" t="str">
        <f t="shared" si="48"/>
        <v>80</v>
      </c>
      <c r="CD85" s="27" t="str">
        <f t="array" ref="CD85">_xlfn.TEXTJOIN("",TRUE,IF(ISNUMBER(FIND(MID(CC84&amp;R84,ROW($1:$4),1),CC85&amp;R85)),MID(CC84&amp;R84,ROW($1:$4),1),""))</f>
        <v/>
      </c>
      <c r="CE85" s="27" t="str">
        <f t="array" ref="CE85">_xlfn.TEXTJOIN("",TRUE,IF(ISERROR(FIND(ROW($1:$10)-1,CC85&amp;CD85)),ROW($1:$10)-1,""))</f>
        <v>12345679</v>
      </c>
      <c r="CF85" s="17" t="str">
        <f t="shared" si="49"/>
        <v>邻孤孤</v>
      </c>
      <c r="CG85" s="22" t="str">
        <f t="shared" si="50"/>
        <v>02</v>
      </c>
      <c r="CH85" s="22" t="str">
        <f t="array" ref="CH85">_xlfn.TEXTJOIN("",TRUE,IF(ISNUMBER(FIND(MID(CG84&amp;S84,ROW($1:$4),1),CG85&amp;S85)),MID(CG84&amp;S84,ROW($1:$4),1),""))</f>
        <v>021</v>
      </c>
      <c r="CI85" s="22" t="str">
        <f t="array" ref="CI85">_xlfn.TEXTJOIN("",TRUE,IF(ISERROR(FIND(ROW($1:$10)-1,CG85&amp;CH85)),ROW($1:$10)-1,""))</f>
        <v>3456789</v>
      </c>
      <c r="CJ85" s="28" t="str">
        <f t="shared" si="51"/>
        <v>邻传孤</v>
      </c>
    </row>
    <row r="86" spans="1:88">
      <c r="A86" s="32">
        <v>2024213</v>
      </c>
      <c r="B86" s="8" t="s">
        <v>104</v>
      </c>
      <c r="C86" s="49">
        <f t="shared" si="55"/>
        <v>9</v>
      </c>
      <c r="D86" s="50">
        <f t="shared" si="56"/>
        <v>9</v>
      </c>
      <c r="E86" s="51">
        <f t="shared" si="37"/>
        <v>3</v>
      </c>
      <c r="F86" s="52">
        <f>MAX(MID(B86,{1,2,3},1)*1)-MIN(MID(B86,{1,2,3},1)*1)</f>
        <v>9</v>
      </c>
      <c r="G86" s="104">
        <v>0</v>
      </c>
      <c r="H86" s="104">
        <v>1</v>
      </c>
      <c r="I86" s="104">
        <v>2</v>
      </c>
      <c r="J86" s="104">
        <v>3</v>
      </c>
      <c r="K86" s="104">
        <v>4</v>
      </c>
      <c r="L86" s="104">
        <v>5</v>
      </c>
      <c r="M86" s="104">
        <v>6</v>
      </c>
      <c r="N86" s="104">
        <v>7</v>
      </c>
      <c r="O86" s="104">
        <v>8</v>
      </c>
      <c r="P86" s="104">
        <v>9</v>
      </c>
      <c r="Q86" s="53">
        <f t="shared" si="57"/>
        <v>0</v>
      </c>
      <c r="R86" s="53">
        <f t="shared" si="58"/>
        <v>9</v>
      </c>
      <c r="S86" s="53">
        <f t="shared" si="59"/>
        <v>9</v>
      </c>
      <c r="T86" s="101">
        <f t="shared" si="38"/>
        <v>18</v>
      </c>
      <c r="U86" s="15" t="str">
        <f>_xlfn.TEXTJOIN(", ",TRUE,ABS(MID(B86,{1,1,2},1)-MID(B86,{2,3,3},1)))</f>
        <v>0, 9, 9</v>
      </c>
      <c r="V86" s="54">
        <v>0</v>
      </c>
      <c r="W86" s="54">
        <v>1</v>
      </c>
      <c r="X86" s="54">
        <v>2</v>
      </c>
      <c r="Y86" s="54">
        <v>3</v>
      </c>
      <c r="Z86" s="54">
        <v>4</v>
      </c>
      <c r="AA86" s="54">
        <v>5</v>
      </c>
      <c r="AB86" s="54">
        <v>6</v>
      </c>
      <c r="AC86" s="54">
        <v>7</v>
      </c>
      <c r="AD86" s="54">
        <v>8</v>
      </c>
      <c r="AE86" s="54">
        <v>9</v>
      </c>
      <c r="AF86" s="55">
        <v>0</v>
      </c>
      <c r="AG86" s="55">
        <v>1</v>
      </c>
      <c r="AH86" s="55">
        <v>2</v>
      </c>
      <c r="AI86" s="55">
        <v>3</v>
      </c>
      <c r="AJ86" s="55">
        <v>4</v>
      </c>
      <c r="AK86" s="55">
        <v>5</v>
      </c>
      <c r="AL86" s="55">
        <v>6</v>
      </c>
      <c r="AM86" s="55">
        <v>7</v>
      </c>
      <c r="AN86" s="55">
        <v>8</v>
      </c>
      <c r="AO86" s="55">
        <v>9</v>
      </c>
      <c r="AP86" s="105">
        <v>0</v>
      </c>
      <c r="AQ86" s="105">
        <v>1</v>
      </c>
      <c r="AR86" s="105">
        <v>2</v>
      </c>
      <c r="AS86" s="105">
        <v>3</v>
      </c>
      <c r="AT86" s="105">
        <v>4</v>
      </c>
      <c r="AU86" s="105">
        <v>5</v>
      </c>
      <c r="AV86" s="105">
        <v>6</v>
      </c>
      <c r="AW86" s="105">
        <v>7</v>
      </c>
      <c r="AX86" s="105">
        <v>8</v>
      </c>
      <c r="AY86" s="105">
        <v>9</v>
      </c>
      <c r="AZ86" s="56">
        <v>0</v>
      </c>
      <c r="BA86" s="56">
        <v>1</v>
      </c>
      <c r="BB86" s="56">
        <v>2</v>
      </c>
      <c r="BC86" s="56">
        <v>3</v>
      </c>
      <c r="BD86" s="56">
        <v>4</v>
      </c>
      <c r="BE86" s="56">
        <v>5</v>
      </c>
      <c r="BF86" s="56">
        <v>6</v>
      </c>
      <c r="BG86" s="56">
        <v>7</v>
      </c>
      <c r="BH86" s="56">
        <v>8</v>
      </c>
      <c r="BI86" s="56">
        <v>9</v>
      </c>
      <c r="BJ86" s="57" t="str">
        <f t="shared" si="39"/>
        <v>松散型</v>
      </c>
      <c r="BK86" s="13">
        <f t="shared" si="35"/>
        <v>0</v>
      </c>
      <c r="BL86" s="13">
        <f t="shared" si="36"/>
        <v>9</v>
      </c>
      <c r="BM86" s="18" t="str">
        <f t="shared" si="41"/>
        <v/>
      </c>
      <c r="BN86" s="19" t="str">
        <f t="shared" si="42"/>
        <v/>
      </c>
      <c r="BO86" s="19" t="str">
        <f t="array" ref="BO86">_xlfn.TEXTJOIN("",TRUE,IF(ISERROR(FIND(ROW($1:$10)-1,BM86&amp;BN86)),ROW($1:$10)-1,""))</f>
        <v>0123456789</v>
      </c>
      <c r="BP86" s="20" t="str">
        <f t="shared" si="43"/>
        <v>中中中</v>
      </c>
      <c r="BQ86" s="21">
        <f t="shared" si="54"/>
        <v>9</v>
      </c>
      <c r="BR86" s="21" t="str">
        <f t="shared" si="52"/>
        <v/>
      </c>
      <c r="BS86" s="21" t="str">
        <f t="array" ref="BS86">_xlfn.TEXTJOIN("",TRUE,IF(ISERROR(FIND(ROW($1:$10)-1,BQ86&amp;BR86)),ROW($1:$10)-1,""))</f>
        <v>012345678</v>
      </c>
      <c r="BT86" s="20" t="str">
        <f t="shared" si="44"/>
        <v>复中中</v>
      </c>
      <c r="BU86" s="22">
        <f t="shared" si="45"/>
        <v>9</v>
      </c>
      <c r="BV86" s="22" t="str">
        <f t="shared" si="53"/>
        <v/>
      </c>
      <c r="BW86" s="22" t="str">
        <f t="array" ref="BW86">_xlfn.TEXTJOIN("",TRUE,IF(ISERROR(FIND(ROW($1:$10)-1,BU86&amp;BV86)),ROW($1:$10)-1,""))</f>
        <v>012345678</v>
      </c>
      <c r="BX86" s="20" t="str">
        <f t="shared" si="46"/>
        <v>复中中</v>
      </c>
      <c r="BY86" s="23" t="str">
        <f t="shared" si="40"/>
        <v>91</v>
      </c>
      <c r="BZ86" s="24" t="str">
        <f t="array" ref="BZ86">_xlfn.TEXTJOIN("",TRUE,IF(ISNUMBER(FIND(MID(BY85&amp;Q85,ROW($1:$4),1),BY86&amp;Q86)),MID(BY85&amp;Q85,ROW($1:$4),1),""))</f>
        <v>9</v>
      </c>
      <c r="CA86" s="25" t="str">
        <f t="array" ref="CA86">_xlfn.TEXTJOIN("",TRUE,IF(ISERROR(FIND(ROW($1:$10)-1,BY86&amp;BZ86)),ROW($1:$10)-1,""))</f>
        <v>02345678</v>
      </c>
      <c r="CB86" s="26" t="str">
        <f t="shared" si="47"/>
        <v>邻传孤</v>
      </c>
      <c r="CC86" s="27" t="str">
        <f t="shared" si="48"/>
        <v>80</v>
      </c>
      <c r="CD86" s="27" t="str">
        <f t="array" ref="CD86">_xlfn.TEXTJOIN("",TRUE,IF(ISNUMBER(FIND(MID(CC85&amp;R85,ROW($1:$4),1),CC86&amp;R86)),MID(CC85&amp;R85,ROW($1:$4),1),""))</f>
        <v>809</v>
      </c>
      <c r="CE86" s="27" t="str">
        <f t="array" ref="CE86">_xlfn.TEXTJOIN("",TRUE,IF(ISERROR(FIND(ROW($1:$10)-1,CC86&amp;CD86)),ROW($1:$10)-1,""))</f>
        <v>1234567</v>
      </c>
      <c r="CF86" s="17" t="str">
        <f t="shared" si="49"/>
        <v>邻传孤</v>
      </c>
      <c r="CG86" s="22" t="str">
        <f t="shared" si="50"/>
        <v>80</v>
      </c>
      <c r="CH86" s="22" t="str">
        <f t="array" ref="CH86">_xlfn.TEXTJOIN("",TRUE,IF(ISNUMBER(FIND(MID(CG85&amp;S85,ROW($1:$4),1),CG86&amp;S86)),MID(CG85&amp;S85,ROW($1:$4),1),""))</f>
        <v>0</v>
      </c>
      <c r="CI86" s="22" t="str">
        <f t="array" ref="CI86">_xlfn.TEXTJOIN("",TRUE,IF(ISERROR(FIND(ROW($1:$10)-1,CG86&amp;CH86)),ROW($1:$10)-1,""))</f>
        <v>12345679</v>
      </c>
      <c r="CJ86" s="28" t="str">
        <f t="shared" si="51"/>
        <v>邻传孤</v>
      </c>
    </row>
    <row r="87" spans="1:88">
      <c r="A87" s="32">
        <v>2024214</v>
      </c>
      <c r="B87" s="8" t="s">
        <v>105</v>
      </c>
      <c r="C87" s="49">
        <f t="shared" si="55"/>
        <v>14</v>
      </c>
      <c r="D87" s="50">
        <f t="shared" si="56"/>
        <v>4</v>
      </c>
      <c r="E87" s="51">
        <f t="shared" si="37"/>
        <v>4.6666666666666696</v>
      </c>
      <c r="F87" s="52">
        <f>MAX(MID(B87,{1,2,3},1)*1)-MIN(MID(B87,{1,2,3},1)*1)</f>
        <v>3</v>
      </c>
      <c r="G87" s="104">
        <v>0</v>
      </c>
      <c r="H87" s="104">
        <v>1</v>
      </c>
      <c r="I87" s="104">
        <v>2</v>
      </c>
      <c r="J87" s="104">
        <v>3</v>
      </c>
      <c r="K87" s="104">
        <v>4</v>
      </c>
      <c r="L87" s="104">
        <v>5</v>
      </c>
      <c r="M87" s="104">
        <v>6</v>
      </c>
      <c r="N87" s="104">
        <v>7</v>
      </c>
      <c r="O87" s="104">
        <v>8</v>
      </c>
      <c r="P87" s="104">
        <v>9</v>
      </c>
      <c r="Q87" s="53">
        <f t="shared" si="57"/>
        <v>3</v>
      </c>
      <c r="R87" s="53">
        <f t="shared" si="58"/>
        <v>2</v>
      </c>
      <c r="S87" s="53">
        <f t="shared" si="59"/>
        <v>1</v>
      </c>
      <c r="T87" s="101">
        <f t="shared" si="38"/>
        <v>6</v>
      </c>
      <c r="U87" s="15" t="str">
        <f>_xlfn.TEXTJOIN(", ",TRUE,ABS(MID(B87,{1,1,2},1)-MID(B87,{2,3,3},1)))</f>
        <v>3, 2, 1</v>
      </c>
      <c r="V87" s="54">
        <v>0</v>
      </c>
      <c r="W87" s="54">
        <v>1</v>
      </c>
      <c r="X87" s="54">
        <v>2</v>
      </c>
      <c r="Y87" s="54">
        <v>3</v>
      </c>
      <c r="Z87" s="54">
        <v>4</v>
      </c>
      <c r="AA87" s="54">
        <v>5</v>
      </c>
      <c r="AB87" s="54">
        <v>6</v>
      </c>
      <c r="AC87" s="54">
        <v>7</v>
      </c>
      <c r="AD87" s="54">
        <v>8</v>
      </c>
      <c r="AE87" s="54">
        <v>9</v>
      </c>
      <c r="AF87" s="55">
        <v>0</v>
      </c>
      <c r="AG87" s="55">
        <v>1</v>
      </c>
      <c r="AH87" s="55">
        <v>2</v>
      </c>
      <c r="AI87" s="55">
        <v>3</v>
      </c>
      <c r="AJ87" s="55">
        <v>4</v>
      </c>
      <c r="AK87" s="55">
        <v>5</v>
      </c>
      <c r="AL87" s="55">
        <v>6</v>
      </c>
      <c r="AM87" s="55">
        <v>7</v>
      </c>
      <c r="AN87" s="55">
        <v>8</v>
      </c>
      <c r="AO87" s="55">
        <v>9</v>
      </c>
      <c r="AP87" s="105">
        <v>0</v>
      </c>
      <c r="AQ87" s="105">
        <v>1</v>
      </c>
      <c r="AR87" s="105">
        <v>2</v>
      </c>
      <c r="AS87" s="105">
        <v>3</v>
      </c>
      <c r="AT87" s="105">
        <v>4</v>
      </c>
      <c r="AU87" s="105">
        <v>5</v>
      </c>
      <c r="AV87" s="105">
        <v>6</v>
      </c>
      <c r="AW87" s="105">
        <v>7</v>
      </c>
      <c r="AX87" s="105">
        <v>8</v>
      </c>
      <c r="AY87" s="105">
        <v>9</v>
      </c>
      <c r="AZ87" s="56">
        <v>0</v>
      </c>
      <c r="BA87" s="56">
        <v>1</v>
      </c>
      <c r="BB87" s="56">
        <v>2</v>
      </c>
      <c r="BC87" s="56">
        <v>3</v>
      </c>
      <c r="BD87" s="56">
        <v>4</v>
      </c>
      <c r="BE87" s="56">
        <v>5</v>
      </c>
      <c r="BF87" s="56">
        <v>6</v>
      </c>
      <c r="BG87" s="56">
        <v>7</v>
      </c>
      <c r="BH87" s="56">
        <v>8</v>
      </c>
      <c r="BI87" s="56">
        <v>9</v>
      </c>
      <c r="BJ87" s="57" t="str">
        <f t="shared" si="39"/>
        <v>紧凑型</v>
      </c>
      <c r="BK87" s="13">
        <f t="shared" si="35"/>
        <v>1</v>
      </c>
      <c r="BL87" s="13">
        <f t="shared" si="36"/>
        <v>3</v>
      </c>
      <c r="BM87" s="18" t="str">
        <f t="shared" si="41"/>
        <v/>
      </c>
      <c r="BN87" s="19" t="str">
        <f t="shared" si="42"/>
        <v/>
      </c>
      <c r="BO87" s="19" t="str">
        <f t="array" ref="BO87">_xlfn.TEXTJOIN("",TRUE,IF(ISERROR(FIND(ROW($1:$10)-1,BM87&amp;BN87)),ROW($1:$10)-1,""))</f>
        <v>0123456789</v>
      </c>
      <c r="BP87" s="20" t="str">
        <f t="shared" si="43"/>
        <v>中中中</v>
      </c>
      <c r="BQ87" s="21" t="str">
        <f t="shared" si="54"/>
        <v/>
      </c>
      <c r="BR87" s="21" t="str">
        <f t="shared" si="52"/>
        <v/>
      </c>
      <c r="BS87" s="21" t="str">
        <f t="array" ref="BS87">_xlfn.TEXTJOIN("",TRUE,IF(ISERROR(FIND(ROW($1:$10)-1,BQ87&amp;BR87)),ROW($1:$10)-1,""))</f>
        <v>0123456789</v>
      </c>
      <c r="BT87" s="20" t="str">
        <f t="shared" si="44"/>
        <v>中中中</v>
      </c>
      <c r="BU87" s="22" t="str">
        <f t="shared" si="45"/>
        <v/>
      </c>
      <c r="BV87" s="22">
        <f t="shared" si="53"/>
        <v>1</v>
      </c>
      <c r="BW87" s="22" t="str">
        <f t="array" ref="BW87">_xlfn.TEXTJOIN("",TRUE,IF(ISERROR(FIND(ROW($1:$10)-1,BU87&amp;BV87)),ROW($1:$10)-1,""))</f>
        <v>023456789</v>
      </c>
      <c r="BX87" s="20" t="str">
        <f t="shared" si="46"/>
        <v>中隔中</v>
      </c>
      <c r="BY87" s="23" t="str">
        <f t="shared" si="40"/>
        <v>24</v>
      </c>
      <c r="BZ87" s="24" t="str">
        <f t="array" ref="BZ87">_xlfn.TEXTJOIN("",TRUE,IF(ISNUMBER(FIND(MID(BY86&amp;Q86,ROW($1:$4),1),BY87&amp;Q87)),MID(BY86&amp;Q86,ROW($1:$4),1),""))</f>
        <v/>
      </c>
      <c r="CA87" s="25" t="str">
        <f t="array" ref="CA87">_xlfn.TEXTJOIN("",TRUE,IF(ISERROR(FIND(ROW($1:$10)-1,BY87&amp;BZ87)),ROW($1:$10)-1,""))</f>
        <v>01356789</v>
      </c>
      <c r="CB87" s="26" t="str">
        <f t="shared" si="47"/>
        <v>邻孤孤</v>
      </c>
      <c r="CC87" s="27" t="str">
        <f t="shared" si="48"/>
        <v>13</v>
      </c>
      <c r="CD87" s="27" t="str">
        <f t="array" ref="CD87">_xlfn.TEXTJOIN("",TRUE,IF(ISNUMBER(FIND(MID(CC86&amp;R86,ROW($1:$4),1),CC87&amp;R87)),MID(CC86&amp;R86,ROW($1:$4),1),""))</f>
        <v/>
      </c>
      <c r="CE87" s="27" t="str">
        <f t="array" ref="CE87">_xlfn.TEXTJOIN("",TRUE,IF(ISERROR(FIND(ROW($1:$10)-1,CC87&amp;CD87)),ROW($1:$10)-1,""))</f>
        <v>02456789</v>
      </c>
      <c r="CF87" s="17" t="str">
        <f t="shared" si="49"/>
        <v>邻孤孤</v>
      </c>
      <c r="CG87" s="22" t="str">
        <f t="shared" si="50"/>
        <v>02</v>
      </c>
      <c r="CH87" s="22" t="str">
        <f t="array" ref="CH87">_xlfn.TEXTJOIN("",TRUE,IF(ISNUMBER(FIND(MID(CG86&amp;S86,ROW($1:$4),1),CG87&amp;S87)),MID(CG86&amp;S86,ROW($1:$4),1),""))</f>
        <v>0</v>
      </c>
      <c r="CI87" s="22" t="str">
        <f t="array" ref="CI87">_xlfn.TEXTJOIN("",TRUE,IF(ISERROR(FIND(ROW($1:$10)-1,CG87&amp;CH87)),ROW($1:$10)-1,""))</f>
        <v>13456789</v>
      </c>
      <c r="CJ87" s="28" t="str">
        <f t="shared" si="51"/>
        <v>邻传孤</v>
      </c>
    </row>
    <row r="88" spans="1:88">
      <c r="A88" s="32">
        <v>2024215</v>
      </c>
      <c r="B88" s="8" t="s">
        <v>106</v>
      </c>
      <c r="C88" s="49">
        <f t="shared" si="55"/>
        <v>15</v>
      </c>
      <c r="D88" s="50">
        <f t="shared" si="56"/>
        <v>5</v>
      </c>
      <c r="E88" s="51">
        <f t="shared" si="37"/>
        <v>5</v>
      </c>
      <c r="F88" s="52">
        <f>MAX(MID(B88,{1,2,3},1)*1)-MIN(MID(B88,{1,2,3},1)*1)</f>
        <v>5</v>
      </c>
      <c r="G88" s="104">
        <v>0</v>
      </c>
      <c r="H88" s="104">
        <v>1</v>
      </c>
      <c r="I88" s="104">
        <v>2</v>
      </c>
      <c r="J88" s="104">
        <v>3</v>
      </c>
      <c r="K88" s="104">
        <v>4</v>
      </c>
      <c r="L88" s="104">
        <v>5</v>
      </c>
      <c r="M88" s="104">
        <v>6</v>
      </c>
      <c r="N88" s="104">
        <v>7</v>
      </c>
      <c r="O88" s="104">
        <v>8</v>
      </c>
      <c r="P88" s="104">
        <v>9</v>
      </c>
      <c r="Q88" s="53">
        <f t="shared" si="57"/>
        <v>4</v>
      </c>
      <c r="R88" s="53">
        <f t="shared" si="58"/>
        <v>1</v>
      </c>
      <c r="S88" s="53">
        <f t="shared" si="59"/>
        <v>5</v>
      </c>
      <c r="T88" s="101">
        <f t="shared" si="38"/>
        <v>10</v>
      </c>
      <c r="U88" s="15" t="str">
        <f>_xlfn.TEXTJOIN(", ",TRUE,ABS(MID(B88,{1,1,2},1)-MID(B88,{2,3,3},1)))</f>
        <v>4, 1, 5</v>
      </c>
      <c r="V88" s="54">
        <v>0</v>
      </c>
      <c r="W88" s="54">
        <v>1</v>
      </c>
      <c r="X88" s="54">
        <v>2</v>
      </c>
      <c r="Y88" s="54">
        <v>3</v>
      </c>
      <c r="Z88" s="54">
        <v>4</v>
      </c>
      <c r="AA88" s="54">
        <v>5</v>
      </c>
      <c r="AB88" s="54">
        <v>6</v>
      </c>
      <c r="AC88" s="54">
        <v>7</v>
      </c>
      <c r="AD88" s="54">
        <v>8</v>
      </c>
      <c r="AE88" s="54">
        <v>9</v>
      </c>
      <c r="AF88" s="55">
        <v>0</v>
      </c>
      <c r="AG88" s="55">
        <v>1</v>
      </c>
      <c r="AH88" s="55">
        <v>2</v>
      </c>
      <c r="AI88" s="55">
        <v>3</v>
      </c>
      <c r="AJ88" s="55">
        <v>4</v>
      </c>
      <c r="AK88" s="55">
        <v>5</v>
      </c>
      <c r="AL88" s="55">
        <v>6</v>
      </c>
      <c r="AM88" s="55">
        <v>7</v>
      </c>
      <c r="AN88" s="55">
        <v>8</v>
      </c>
      <c r="AO88" s="55">
        <v>9</v>
      </c>
      <c r="AP88" s="105">
        <v>0</v>
      </c>
      <c r="AQ88" s="105">
        <v>1</v>
      </c>
      <c r="AR88" s="105">
        <v>2</v>
      </c>
      <c r="AS88" s="105">
        <v>3</v>
      </c>
      <c r="AT88" s="105">
        <v>4</v>
      </c>
      <c r="AU88" s="105">
        <v>5</v>
      </c>
      <c r="AV88" s="105">
        <v>6</v>
      </c>
      <c r="AW88" s="105">
        <v>7</v>
      </c>
      <c r="AX88" s="105">
        <v>8</v>
      </c>
      <c r="AY88" s="105">
        <v>9</v>
      </c>
      <c r="AZ88" s="56">
        <v>0</v>
      </c>
      <c r="BA88" s="56">
        <v>1</v>
      </c>
      <c r="BB88" s="56">
        <v>2</v>
      </c>
      <c r="BC88" s="56">
        <v>3</v>
      </c>
      <c r="BD88" s="56">
        <v>4</v>
      </c>
      <c r="BE88" s="56">
        <v>5</v>
      </c>
      <c r="BF88" s="56">
        <v>6</v>
      </c>
      <c r="BG88" s="56">
        <v>7</v>
      </c>
      <c r="BH88" s="56">
        <v>8</v>
      </c>
      <c r="BI88" s="56">
        <v>9</v>
      </c>
      <c r="BJ88" s="57" t="str">
        <f t="shared" si="39"/>
        <v>标准型</v>
      </c>
      <c r="BK88" s="13">
        <f t="shared" si="35"/>
        <v>1</v>
      </c>
      <c r="BL88" s="13">
        <f t="shared" si="36"/>
        <v>5</v>
      </c>
      <c r="BM88" s="18" t="str">
        <f t="shared" si="41"/>
        <v/>
      </c>
      <c r="BN88" s="19" t="str">
        <f t="shared" si="42"/>
        <v/>
      </c>
      <c r="BO88" s="19" t="str">
        <f t="array" ref="BO88">_xlfn.TEXTJOIN("",TRUE,IF(ISERROR(FIND(ROW($1:$10)-1,BM88&amp;BN88)),ROW($1:$10)-1,""))</f>
        <v>0123456789</v>
      </c>
      <c r="BP88" s="20" t="str">
        <f t="shared" si="43"/>
        <v>中中中</v>
      </c>
      <c r="BQ88" s="21">
        <f t="shared" si="54"/>
        <v>1</v>
      </c>
      <c r="BR88" s="21" t="str">
        <f t="shared" si="52"/>
        <v/>
      </c>
      <c r="BS88" s="21" t="str">
        <f t="array" ref="BS88">_xlfn.TEXTJOIN("",TRUE,IF(ISERROR(FIND(ROW($1:$10)-1,BQ88&amp;BR88)),ROW($1:$10)-1,""))</f>
        <v>023456789</v>
      </c>
      <c r="BT88" s="20" t="str">
        <f t="shared" si="44"/>
        <v>复中中</v>
      </c>
      <c r="BU88" s="22" t="str">
        <f t="shared" si="45"/>
        <v/>
      </c>
      <c r="BV88" s="22" t="str">
        <f t="shared" si="53"/>
        <v/>
      </c>
      <c r="BW88" s="22" t="str">
        <f t="array" ref="BW88">_xlfn.TEXTJOIN("",TRUE,IF(ISERROR(FIND(ROW($1:$10)-1,BU88&amp;BV88)),ROW($1:$10)-1,""))</f>
        <v>0123456789</v>
      </c>
      <c r="BX88" s="20" t="str">
        <f t="shared" si="46"/>
        <v>中中中</v>
      </c>
      <c r="BY88" s="23" t="str">
        <f t="shared" si="40"/>
        <v>35</v>
      </c>
      <c r="BZ88" s="24" t="str">
        <f t="array" ref="BZ88">_xlfn.TEXTJOIN("",TRUE,IF(ISNUMBER(FIND(MID(BY87&amp;Q87,ROW($1:$4),1),BY88&amp;Q88)),MID(BY87&amp;Q87,ROW($1:$4),1),""))</f>
        <v>43</v>
      </c>
      <c r="CA88" s="25" t="str">
        <f t="array" ref="CA88">_xlfn.TEXTJOIN("",TRUE,IF(ISERROR(FIND(ROW($1:$10)-1,BY88&amp;BZ88)),ROW($1:$10)-1,""))</f>
        <v>0126789</v>
      </c>
      <c r="CB88" s="26" t="str">
        <f t="shared" si="47"/>
        <v>邻传孤</v>
      </c>
      <c r="CC88" s="27" t="str">
        <f t="shared" si="48"/>
        <v>02</v>
      </c>
      <c r="CD88" s="27" t="str">
        <f t="array" ref="CD88">_xlfn.TEXTJOIN("",TRUE,IF(ISNUMBER(FIND(MID(CC87&amp;R87,ROW($1:$4),1),CC88&amp;R88)),MID(CC87&amp;R87,ROW($1:$4),1),""))</f>
        <v>12</v>
      </c>
      <c r="CE88" s="27" t="str">
        <f t="array" ref="CE88">_xlfn.TEXTJOIN("",TRUE,IF(ISERROR(FIND(ROW($1:$10)-1,CC88&amp;CD88)),ROW($1:$10)-1,""))</f>
        <v>3456789</v>
      </c>
      <c r="CF88" s="17" t="str">
        <f t="shared" si="49"/>
        <v>邻传孤</v>
      </c>
      <c r="CG88" s="22" t="str">
        <f t="shared" si="50"/>
        <v>46</v>
      </c>
      <c r="CH88" s="22" t="str">
        <f t="array" ref="CH88">_xlfn.TEXTJOIN("",TRUE,IF(ISNUMBER(FIND(MID(CG87&amp;S87,ROW($1:$4),1),CG88&amp;S88)),MID(CG87&amp;S87,ROW($1:$4),1),""))</f>
        <v/>
      </c>
      <c r="CI88" s="22" t="str">
        <f t="array" ref="CI88">_xlfn.TEXTJOIN("",TRUE,IF(ISERROR(FIND(ROW($1:$10)-1,CG88&amp;CH88)),ROW($1:$10)-1,""))</f>
        <v>01235789</v>
      </c>
      <c r="CJ88" s="28" t="str">
        <f t="shared" si="51"/>
        <v>邻孤孤</v>
      </c>
    </row>
    <row r="89" spans="1:88">
      <c r="A89" s="32">
        <v>2024216</v>
      </c>
      <c r="B89" s="8" t="s">
        <v>107</v>
      </c>
      <c r="C89" s="49">
        <f t="shared" si="55"/>
        <v>12</v>
      </c>
      <c r="D89" s="50">
        <f t="shared" si="56"/>
        <v>2</v>
      </c>
      <c r="E89" s="51">
        <f t="shared" si="37"/>
        <v>4</v>
      </c>
      <c r="F89" s="52">
        <f>MAX(MID(B89,{1,2,3},1)*1)-MIN(MID(B89,{1,2,3},1)*1)</f>
        <v>0</v>
      </c>
      <c r="G89" s="104">
        <v>0</v>
      </c>
      <c r="H89" s="104">
        <v>1</v>
      </c>
      <c r="I89" s="104">
        <v>2</v>
      </c>
      <c r="J89" s="104">
        <v>3</v>
      </c>
      <c r="K89" s="104">
        <v>4</v>
      </c>
      <c r="L89" s="104">
        <v>5</v>
      </c>
      <c r="M89" s="104">
        <v>6</v>
      </c>
      <c r="N89" s="104">
        <v>7</v>
      </c>
      <c r="O89" s="104">
        <v>8</v>
      </c>
      <c r="P89" s="104">
        <v>9</v>
      </c>
      <c r="Q89" s="53">
        <f t="shared" si="57"/>
        <v>0</v>
      </c>
      <c r="R89" s="53">
        <f t="shared" si="58"/>
        <v>0</v>
      </c>
      <c r="S89" s="53">
        <f t="shared" si="59"/>
        <v>0</v>
      </c>
      <c r="T89" s="101">
        <f t="shared" si="38"/>
        <v>0</v>
      </c>
      <c r="U89" s="15" t="str">
        <f>_xlfn.TEXTJOIN(", ",TRUE,ABS(MID(B89,{1,1,2},1)-MID(B89,{2,3,3},1)))</f>
        <v>0, 0, 0</v>
      </c>
      <c r="V89" s="54">
        <v>0</v>
      </c>
      <c r="W89" s="54">
        <v>1</v>
      </c>
      <c r="X89" s="54">
        <v>2</v>
      </c>
      <c r="Y89" s="54">
        <v>3</v>
      </c>
      <c r="Z89" s="54">
        <v>4</v>
      </c>
      <c r="AA89" s="54">
        <v>5</v>
      </c>
      <c r="AB89" s="54">
        <v>6</v>
      </c>
      <c r="AC89" s="54">
        <v>7</v>
      </c>
      <c r="AD89" s="54">
        <v>8</v>
      </c>
      <c r="AE89" s="54">
        <v>9</v>
      </c>
      <c r="AF89" s="55">
        <v>0</v>
      </c>
      <c r="AG89" s="55">
        <v>1</v>
      </c>
      <c r="AH89" s="55">
        <v>2</v>
      </c>
      <c r="AI89" s="55">
        <v>3</v>
      </c>
      <c r="AJ89" s="55">
        <v>4</v>
      </c>
      <c r="AK89" s="55">
        <v>5</v>
      </c>
      <c r="AL89" s="55">
        <v>6</v>
      </c>
      <c r="AM89" s="55">
        <v>7</v>
      </c>
      <c r="AN89" s="55">
        <v>8</v>
      </c>
      <c r="AO89" s="55">
        <v>9</v>
      </c>
      <c r="AP89" s="105">
        <v>0</v>
      </c>
      <c r="AQ89" s="105">
        <v>1</v>
      </c>
      <c r="AR89" s="105">
        <v>2</v>
      </c>
      <c r="AS89" s="105">
        <v>3</v>
      </c>
      <c r="AT89" s="105">
        <v>4</v>
      </c>
      <c r="AU89" s="105">
        <v>5</v>
      </c>
      <c r="AV89" s="105">
        <v>6</v>
      </c>
      <c r="AW89" s="105">
        <v>7</v>
      </c>
      <c r="AX89" s="105">
        <v>8</v>
      </c>
      <c r="AY89" s="105">
        <v>9</v>
      </c>
      <c r="AZ89" s="56">
        <v>0</v>
      </c>
      <c r="BA89" s="56">
        <v>1</v>
      </c>
      <c r="BB89" s="56">
        <v>2</v>
      </c>
      <c r="BC89" s="56">
        <v>3</v>
      </c>
      <c r="BD89" s="56">
        <v>4</v>
      </c>
      <c r="BE89" s="56">
        <v>5</v>
      </c>
      <c r="BF89" s="56">
        <v>6</v>
      </c>
      <c r="BG89" s="56">
        <v>7</v>
      </c>
      <c r="BH89" s="56">
        <v>8</v>
      </c>
      <c r="BI89" s="56">
        <v>9</v>
      </c>
      <c r="BJ89" s="57" t="str">
        <f t="shared" si="39"/>
        <v>紧凑型</v>
      </c>
      <c r="BK89" s="13">
        <f t="shared" si="35"/>
        <v>0</v>
      </c>
      <c r="BL89" s="13">
        <f t="shared" si="36"/>
        <v>0</v>
      </c>
      <c r="BM89" s="18" t="str">
        <f t="shared" si="41"/>
        <v/>
      </c>
      <c r="BN89" s="19" t="str">
        <f t="shared" si="42"/>
        <v/>
      </c>
      <c r="BO89" s="19" t="str">
        <f t="array" ref="BO89">_xlfn.TEXTJOIN("",TRUE,IF(ISERROR(FIND(ROW($1:$10)-1,BM89&amp;BN89)),ROW($1:$10)-1,""))</f>
        <v>0123456789</v>
      </c>
      <c r="BP89" s="20" t="str">
        <f t="shared" si="43"/>
        <v>中中中</v>
      </c>
      <c r="BQ89" s="21" t="str">
        <f t="shared" si="54"/>
        <v/>
      </c>
      <c r="BR89" s="21" t="str">
        <f t="shared" si="52"/>
        <v/>
      </c>
      <c r="BS89" s="21" t="str">
        <f t="array" ref="BS89">_xlfn.TEXTJOIN("",TRUE,IF(ISERROR(FIND(ROW($1:$10)-1,BQ89&amp;BR89)),ROW($1:$10)-1,""))</f>
        <v>0123456789</v>
      </c>
      <c r="BT89" s="20" t="str">
        <f t="shared" si="44"/>
        <v>中中中</v>
      </c>
      <c r="BU89" s="22" t="str">
        <f t="shared" si="45"/>
        <v/>
      </c>
      <c r="BV89" s="22" t="str">
        <f t="shared" si="53"/>
        <v/>
      </c>
      <c r="BW89" s="22" t="str">
        <f t="array" ref="BW89">_xlfn.TEXTJOIN("",TRUE,IF(ISERROR(FIND(ROW($1:$10)-1,BU89&amp;BV89)),ROW($1:$10)-1,""))</f>
        <v>0123456789</v>
      </c>
      <c r="BX89" s="20" t="str">
        <f t="shared" si="46"/>
        <v>中中中</v>
      </c>
      <c r="BY89" s="23" t="str">
        <f t="shared" si="40"/>
        <v>91</v>
      </c>
      <c r="BZ89" s="24" t="str">
        <f t="array" ref="BZ89">_xlfn.TEXTJOIN("",TRUE,IF(ISNUMBER(FIND(MID(BY88&amp;Q88,ROW($1:$4),1),BY89&amp;Q89)),MID(BY88&amp;Q88,ROW($1:$4),1),""))</f>
        <v/>
      </c>
      <c r="CA89" s="25" t="str">
        <f t="array" ref="CA89">_xlfn.TEXTJOIN("",TRUE,IF(ISERROR(FIND(ROW($1:$10)-1,BY89&amp;BZ89)),ROW($1:$10)-1,""))</f>
        <v>02345678</v>
      </c>
      <c r="CB89" s="26" t="str">
        <f t="shared" si="47"/>
        <v>邻孤孤</v>
      </c>
      <c r="CC89" s="27" t="str">
        <f t="shared" si="48"/>
        <v>91</v>
      </c>
      <c r="CD89" s="27" t="str">
        <f t="array" ref="CD89">_xlfn.TEXTJOIN("",TRUE,IF(ISNUMBER(FIND(MID(CC88&amp;R88,ROW($1:$4),1),CC89&amp;R89)),MID(CC88&amp;R88,ROW($1:$4),1),""))</f>
        <v>01</v>
      </c>
      <c r="CE89" s="27" t="str">
        <f t="array" ref="CE89">_xlfn.TEXTJOIN("",TRUE,IF(ISERROR(FIND(ROW($1:$10)-1,CC89&amp;CD89)),ROW($1:$10)-1,""))</f>
        <v>2345678</v>
      </c>
      <c r="CF89" s="17" t="str">
        <f t="shared" si="49"/>
        <v>邻传孤</v>
      </c>
      <c r="CG89" s="22" t="str">
        <f t="shared" si="50"/>
        <v>91</v>
      </c>
      <c r="CH89" s="22" t="str">
        <f t="array" ref="CH89">_xlfn.TEXTJOIN("",TRUE,IF(ISNUMBER(FIND(MID(CG88&amp;S88,ROW($1:$4),1),CG89&amp;S89)),MID(CG88&amp;S88,ROW($1:$4),1),""))</f>
        <v/>
      </c>
      <c r="CI89" s="22" t="str">
        <f t="array" ref="CI89">_xlfn.TEXTJOIN("",TRUE,IF(ISERROR(FIND(ROW($1:$10)-1,CG89&amp;CH89)),ROW($1:$10)-1,""))</f>
        <v>02345678</v>
      </c>
      <c r="CJ89" s="28" t="str">
        <f t="shared" si="51"/>
        <v>邻孤孤</v>
      </c>
    </row>
    <row r="90" spans="1:88">
      <c r="A90" s="32">
        <v>2024217</v>
      </c>
      <c r="B90" s="8" t="s">
        <v>108</v>
      </c>
      <c r="C90" s="49">
        <f t="shared" si="55"/>
        <v>9</v>
      </c>
      <c r="D90" s="50">
        <f t="shared" si="56"/>
        <v>9</v>
      </c>
      <c r="E90" s="51">
        <f t="shared" si="37"/>
        <v>3</v>
      </c>
      <c r="F90" s="52">
        <f>MAX(MID(B90,{1,2,3},1)*1)-MIN(MID(B90,{1,2,3},1)*1)</f>
        <v>5</v>
      </c>
      <c r="G90" s="104">
        <v>0</v>
      </c>
      <c r="H90" s="104">
        <v>1</v>
      </c>
      <c r="I90" s="104">
        <v>2</v>
      </c>
      <c r="J90" s="104">
        <v>3</v>
      </c>
      <c r="K90" s="104">
        <v>4</v>
      </c>
      <c r="L90" s="104">
        <v>5</v>
      </c>
      <c r="M90" s="104">
        <v>6</v>
      </c>
      <c r="N90" s="104">
        <v>7</v>
      </c>
      <c r="O90" s="104">
        <v>8</v>
      </c>
      <c r="P90" s="104">
        <v>9</v>
      </c>
      <c r="Q90" s="53">
        <f t="shared" si="57"/>
        <v>4</v>
      </c>
      <c r="R90" s="53">
        <f t="shared" si="58"/>
        <v>1</v>
      </c>
      <c r="S90" s="53">
        <f t="shared" si="59"/>
        <v>5</v>
      </c>
      <c r="T90" s="101">
        <f t="shared" si="38"/>
        <v>10</v>
      </c>
      <c r="U90" s="15" t="str">
        <f>_xlfn.TEXTJOIN(", ",TRUE,ABS(MID(B90,{1,1,2},1)-MID(B90,{2,3,3},1)))</f>
        <v>4, 1, 5</v>
      </c>
      <c r="V90" s="54">
        <v>0</v>
      </c>
      <c r="W90" s="54">
        <v>1</v>
      </c>
      <c r="X90" s="54">
        <v>2</v>
      </c>
      <c r="Y90" s="54">
        <v>3</v>
      </c>
      <c r="Z90" s="54">
        <v>4</v>
      </c>
      <c r="AA90" s="54">
        <v>5</v>
      </c>
      <c r="AB90" s="54">
        <v>6</v>
      </c>
      <c r="AC90" s="54">
        <v>7</v>
      </c>
      <c r="AD90" s="54">
        <v>8</v>
      </c>
      <c r="AE90" s="54">
        <v>9</v>
      </c>
      <c r="AF90" s="55">
        <v>0</v>
      </c>
      <c r="AG90" s="55">
        <v>1</v>
      </c>
      <c r="AH90" s="55">
        <v>2</v>
      </c>
      <c r="AI90" s="55">
        <v>3</v>
      </c>
      <c r="AJ90" s="55">
        <v>4</v>
      </c>
      <c r="AK90" s="55">
        <v>5</v>
      </c>
      <c r="AL90" s="55">
        <v>6</v>
      </c>
      <c r="AM90" s="55">
        <v>7</v>
      </c>
      <c r="AN90" s="55">
        <v>8</v>
      </c>
      <c r="AO90" s="55">
        <v>9</v>
      </c>
      <c r="AP90" s="105">
        <v>0</v>
      </c>
      <c r="AQ90" s="105">
        <v>1</v>
      </c>
      <c r="AR90" s="105">
        <v>2</v>
      </c>
      <c r="AS90" s="105">
        <v>3</v>
      </c>
      <c r="AT90" s="105">
        <v>4</v>
      </c>
      <c r="AU90" s="105">
        <v>5</v>
      </c>
      <c r="AV90" s="105">
        <v>6</v>
      </c>
      <c r="AW90" s="105">
        <v>7</v>
      </c>
      <c r="AX90" s="105">
        <v>8</v>
      </c>
      <c r="AY90" s="105">
        <v>9</v>
      </c>
      <c r="AZ90" s="56">
        <v>0</v>
      </c>
      <c r="BA90" s="56">
        <v>1</v>
      </c>
      <c r="BB90" s="56">
        <v>2</v>
      </c>
      <c r="BC90" s="56">
        <v>3</v>
      </c>
      <c r="BD90" s="56">
        <v>4</v>
      </c>
      <c r="BE90" s="56">
        <v>5</v>
      </c>
      <c r="BF90" s="56">
        <v>6</v>
      </c>
      <c r="BG90" s="56">
        <v>7</v>
      </c>
      <c r="BH90" s="56">
        <v>8</v>
      </c>
      <c r="BI90" s="56">
        <v>9</v>
      </c>
      <c r="BJ90" s="57" t="str">
        <f t="shared" si="39"/>
        <v>标准型</v>
      </c>
      <c r="BK90" s="13">
        <f t="shared" si="35"/>
        <v>1</v>
      </c>
      <c r="BL90" s="13">
        <f t="shared" si="36"/>
        <v>5</v>
      </c>
      <c r="BM90" s="18" t="str">
        <f t="shared" si="41"/>
        <v/>
      </c>
      <c r="BN90" s="19">
        <f t="shared" si="42"/>
        <v>4</v>
      </c>
      <c r="BO90" s="19" t="str">
        <f t="array" ref="BO90">_xlfn.TEXTJOIN("",TRUE,IF(ISERROR(FIND(ROW($1:$10)-1,BM90&amp;BN90)),ROW($1:$10)-1,""))</f>
        <v>012356789</v>
      </c>
      <c r="BP90" s="20" t="str">
        <f t="shared" si="43"/>
        <v>中隔中</v>
      </c>
      <c r="BQ90" s="21" t="str">
        <f t="shared" si="54"/>
        <v/>
      </c>
      <c r="BR90" s="21">
        <f t="shared" si="52"/>
        <v>1</v>
      </c>
      <c r="BS90" s="21" t="str">
        <f t="array" ref="BS90">_xlfn.TEXTJOIN("",TRUE,IF(ISERROR(FIND(ROW($1:$10)-1,BQ90&amp;BR90)),ROW($1:$10)-1,""))</f>
        <v>023456789</v>
      </c>
      <c r="BT90" s="20" t="str">
        <f t="shared" si="44"/>
        <v>中隔中</v>
      </c>
      <c r="BU90" s="22" t="str">
        <f t="shared" si="45"/>
        <v/>
      </c>
      <c r="BV90" s="22">
        <f t="shared" si="53"/>
        <v>5</v>
      </c>
      <c r="BW90" s="22" t="str">
        <f t="array" ref="BW90">_xlfn.TEXTJOIN("",TRUE,IF(ISERROR(FIND(ROW($1:$10)-1,BU90&amp;BV90)),ROW($1:$10)-1,""))</f>
        <v>012346789</v>
      </c>
      <c r="BX90" s="20" t="str">
        <f t="shared" si="46"/>
        <v>中隔中</v>
      </c>
      <c r="BY90" s="23" t="str">
        <f t="shared" si="40"/>
        <v>35</v>
      </c>
      <c r="BZ90" s="24" t="str">
        <f t="array" ref="BZ90">_xlfn.TEXTJOIN("",TRUE,IF(ISNUMBER(FIND(MID(BY89&amp;Q89,ROW($1:$4),1),BY90&amp;Q90)),MID(BY89&amp;Q89,ROW($1:$4),1),""))</f>
        <v/>
      </c>
      <c r="CA90" s="25" t="str">
        <f t="array" ref="CA90">_xlfn.TEXTJOIN("",TRUE,IF(ISERROR(FIND(ROW($1:$10)-1,BY90&amp;BZ90)),ROW($1:$10)-1,""))</f>
        <v>01246789</v>
      </c>
      <c r="CB90" s="26" t="str">
        <f t="shared" si="47"/>
        <v>邻孤孤</v>
      </c>
      <c r="CC90" s="27" t="str">
        <f t="shared" si="48"/>
        <v>02</v>
      </c>
      <c r="CD90" s="27" t="str">
        <f t="array" ref="CD90">_xlfn.TEXTJOIN("",TRUE,IF(ISNUMBER(FIND(MID(CC89&amp;R89,ROW($1:$4),1),CC90&amp;R90)),MID(CC89&amp;R89,ROW($1:$4),1),""))</f>
        <v>10</v>
      </c>
      <c r="CE90" s="27" t="str">
        <f t="array" ref="CE90">_xlfn.TEXTJOIN("",TRUE,IF(ISERROR(FIND(ROW($1:$10)-1,CC90&amp;CD90)),ROW($1:$10)-1,""))</f>
        <v>3456789</v>
      </c>
      <c r="CF90" s="17" t="str">
        <f t="shared" si="49"/>
        <v>邻传孤</v>
      </c>
      <c r="CG90" s="22" t="str">
        <f t="shared" si="50"/>
        <v>46</v>
      </c>
      <c r="CH90" s="22" t="str">
        <f t="array" ref="CH90">_xlfn.TEXTJOIN("",TRUE,IF(ISNUMBER(FIND(MID(CG89&amp;S89,ROW($1:$4),1),CG90&amp;S90)),MID(CG89&amp;S89,ROW($1:$4),1),""))</f>
        <v/>
      </c>
      <c r="CI90" s="22" t="str">
        <f t="array" ref="CI90">_xlfn.TEXTJOIN("",TRUE,IF(ISERROR(FIND(ROW($1:$10)-1,CG90&amp;CH90)),ROW($1:$10)-1,""))</f>
        <v>01235789</v>
      </c>
      <c r="CJ90" s="28" t="str">
        <f t="shared" si="51"/>
        <v>邻孤孤</v>
      </c>
    </row>
    <row r="91" spans="1:88">
      <c r="A91" s="32">
        <v>2024218</v>
      </c>
      <c r="B91" s="8" t="s">
        <v>109</v>
      </c>
      <c r="C91" s="49">
        <f t="shared" si="55"/>
        <v>17</v>
      </c>
      <c r="D91" s="50">
        <f t="shared" si="56"/>
        <v>7</v>
      </c>
      <c r="E91" s="51">
        <f t="shared" si="37"/>
        <v>5.6666666666666696</v>
      </c>
      <c r="F91" s="52">
        <f>MAX(MID(B91,{1,2,3},1)*1)-MIN(MID(B91,{1,2,3},1)*1)</f>
        <v>3</v>
      </c>
      <c r="G91" s="104">
        <v>0</v>
      </c>
      <c r="H91" s="104">
        <v>1</v>
      </c>
      <c r="I91" s="104">
        <v>2</v>
      </c>
      <c r="J91" s="104">
        <v>3</v>
      </c>
      <c r="K91" s="104">
        <v>4</v>
      </c>
      <c r="L91" s="104">
        <v>5</v>
      </c>
      <c r="M91" s="104">
        <v>6</v>
      </c>
      <c r="N91" s="104">
        <v>7</v>
      </c>
      <c r="O91" s="104">
        <v>8</v>
      </c>
      <c r="P91" s="104">
        <v>9</v>
      </c>
      <c r="Q91" s="53">
        <f t="shared" si="57"/>
        <v>2</v>
      </c>
      <c r="R91" s="53">
        <f t="shared" si="58"/>
        <v>3</v>
      </c>
      <c r="S91" s="53">
        <f t="shared" si="59"/>
        <v>1</v>
      </c>
      <c r="T91" s="101">
        <f t="shared" si="38"/>
        <v>6</v>
      </c>
      <c r="U91" s="15" t="str">
        <f>_xlfn.TEXTJOIN(", ",TRUE,ABS(MID(B91,{1,1,2},1)-MID(B91,{2,3,3},1)))</f>
        <v>2, 3, 1</v>
      </c>
      <c r="V91" s="54">
        <v>0</v>
      </c>
      <c r="W91" s="54">
        <v>1</v>
      </c>
      <c r="X91" s="54">
        <v>2</v>
      </c>
      <c r="Y91" s="54">
        <v>3</v>
      </c>
      <c r="Z91" s="54">
        <v>4</v>
      </c>
      <c r="AA91" s="54">
        <v>5</v>
      </c>
      <c r="AB91" s="54">
        <v>6</v>
      </c>
      <c r="AC91" s="54">
        <v>7</v>
      </c>
      <c r="AD91" s="54">
        <v>8</v>
      </c>
      <c r="AE91" s="54">
        <v>9</v>
      </c>
      <c r="AF91" s="55">
        <v>0</v>
      </c>
      <c r="AG91" s="55">
        <v>1</v>
      </c>
      <c r="AH91" s="55">
        <v>2</v>
      </c>
      <c r="AI91" s="55">
        <v>3</v>
      </c>
      <c r="AJ91" s="55">
        <v>4</v>
      </c>
      <c r="AK91" s="55">
        <v>5</v>
      </c>
      <c r="AL91" s="55">
        <v>6</v>
      </c>
      <c r="AM91" s="55">
        <v>7</v>
      </c>
      <c r="AN91" s="55">
        <v>8</v>
      </c>
      <c r="AO91" s="55">
        <v>9</v>
      </c>
      <c r="AP91" s="105">
        <v>0</v>
      </c>
      <c r="AQ91" s="105">
        <v>1</v>
      </c>
      <c r="AR91" s="105">
        <v>2</v>
      </c>
      <c r="AS91" s="105">
        <v>3</v>
      </c>
      <c r="AT91" s="105">
        <v>4</v>
      </c>
      <c r="AU91" s="105">
        <v>5</v>
      </c>
      <c r="AV91" s="105">
        <v>6</v>
      </c>
      <c r="AW91" s="105">
        <v>7</v>
      </c>
      <c r="AX91" s="105">
        <v>8</v>
      </c>
      <c r="AY91" s="105">
        <v>9</v>
      </c>
      <c r="AZ91" s="56">
        <v>0</v>
      </c>
      <c r="BA91" s="56">
        <v>1</v>
      </c>
      <c r="BB91" s="56">
        <v>2</v>
      </c>
      <c r="BC91" s="56">
        <v>3</v>
      </c>
      <c r="BD91" s="56">
        <v>4</v>
      </c>
      <c r="BE91" s="56">
        <v>5</v>
      </c>
      <c r="BF91" s="56">
        <v>6</v>
      </c>
      <c r="BG91" s="56">
        <v>7</v>
      </c>
      <c r="BH91" s="56">
        <v>8</v>
      </c>
      <c r="BI91" s="56">
        <v>9</v>
      </c>
      <c r="BJ91" s="57" t="str">
        <f t="shared" si="39"/>
        <v>紧凑型</v>
      </c>
      <c r="BK91" s="13">
        <f t="shared" si="35"/>
        <v>1</v>
      </c>
      <c r="BL91" s="13">
        <f t="shared" si="36"/>
        <v>3</v>
      </c>
      <c r="BM91" s="18" t="str">
        <f t="shared" si="41"/>
        <v/>
      </c>
      <c r="BN91" s="19" t="str">
        <f t="shared" si="42"/>
        <v/>
      </c>
      <c r="BO91" s="19" t="str">
        <f t="array" ref="BO91">_xlfn.TEXTJOIN("",TRUE,IF(ISERROR(FIND(ROW($1:$10)-1,BM91&amp;BN91)),ROW($1:$10)-1,""))</f>
        <v>0123456789</v>
      </c>
      <c r="BP91" s="20" t="str">
        <f t="shared" si="43"/>
        <v>中中中</v>
      </c>
      <c r="BQ91" s="21" t="str">
        <f t="shared" si="54"/>
        <v/>
      </c>
      <c r="BR91" s="21" t="str">
        <f t="shared" si="52"/>
        <v/>
      </c>
      <c r="BS91" s="21" t="str">
        <f t="array" ref="BS91">_xlfn.TEXTJOIN("",TRUE,IF(ISERROR(FIND(ROW($1:$10)-1,BQ91&amp;BR91)),ROW($1:$10)-1,""))</f>
        <v>0123456789</v>
      </c>
      <c r="BT91" s="20" t="str">
        <f t="shared" si="44"/>
        <v>中中中</v>
      </c>
      <c r="BU91" s="22">
        <f t="shared" si="45"/>
        <v>1</v>
      </c>
      <c r="BV91" s="22" t="str">
        <f t="shared" si="53"/>
        <v/>
      </c>
      <c r="BW91" s="22" t="str">
        <f t="array" ref="BW91">_xlfn.TEXTJOIN("",TRUE,IF(ISERROR(FIND(ROW($1:$10)-1,BU91&amp;BV91)),ROW($1:$10)-1,""))</f>
        <v>023456789</v>
      </c>
      <c r="BX91" s="20" t="str">
        <f t="shared" si="46"/>
        <v>复中中</v>
      </c>
      <c r="BY91" s="23" t="str">
        <f t="shared" si="40"/>
        <v>13</v>
      </c>
      <c r="BZ91" s="24" t="str">
        <f t="array" ref="BZ91">_xlfn.TEXTJOIN("",TRUE,IF(ISNUMBER(FIND(MID(BY90&amp;Q90,ROW($1:$4),1),BY91&amp;Q91)),MID(BY90&amp;Q90,ROW($1:$4),1),""))</f>
        <v>3</v>
      </c>
      <c r="CA91" s="25" t="str">
        <f t="array" ref="CA91">_xlfn.TEXTJOIN("",TRUE,IF(ISERROR(FIND(ROW($1:$10)-1,BY91&amp;BZ91)),ROW($1:$10)-1,""))</f>
        <v>02456789</v>
      </c>
      <c r="CB91" s="26" t="str">
        <f t="shared" si="47"/>
        <v>邻传孤</v>
      </c>
      <c r="CC91" s="27" t="str">
        <f t="shared" si="48"/>
        <v>24</v>
      </c>
      <c r="CD91" s="27" t="str">
        <f t="array" ref="CD91">_xlfn.TEXTJOIN("",TRUE,IF(ISNUMBER(FIND(MID(CC90&amp;R90,ROW($1:$4),1),CC91&amp;R91)),MID(CC90&amp;R90,ROW($1:$4),1),""))</f>
        <v>2</v>
      </c>
      <c r="CE91" s="27" t="str">
        <f t="array" ref="CE91">_xlfn.TEXTJOIN("",TRUE,IF(ISERROR(FIND(ROW($1:$10)-1,CC91&amp;CD91)),ROW($1:$10)-1,""))</f>
        <v>01356789</v>
      </c>
      <c r="CF91" s="17" t="str">
        <f t="shared" si="49"/>
        <v>邻传孤</v>
      </c>
      <c r="CG91" s="22" t="str">
        <f t="shared" si="50"/>
        <v>02</v>
      </c>
      <c r="CH91" s="22" t="str">
        <f t="array" ref="CH91">_xlfn.TEXTJOIN("",TRUE,IF(ISNUMBER(FIND(MID(CG90&amp;S90,ROW($1:$4),1),CG91&amp;S91)),MID(CG90&amp;S90,ROW($1:$4),1),""))</f>
        <v/>
      </c>
      <c r="CI91" s="22" t="str">
        <f t="array" ref="CI91">_xlfn.TEXTJOIN("",TRUE,IF(ISERROR(FIND(ROW($1:$10)-1,CG91&amp;CH91)),ROW($1:$10)-1,""))</f>
        <v>13456789</v>
      </c>
      <c r="CJ91" s="28" t="str">
        <f t="shared" si="51"/>
        <v>邻孤孤</v>
      </c>
    </row>
    <row r="92" spans="1:88">
      <c r="A92" s="32">
        <v>2024219</v>
      </c>
      <c r="B92" s="8" t="s">
        <v>110</v>
      </c>
      <c r="C92" s="49">
        <f t="shared" si="55"/>
        <v>8</v>
      </c>
      <c r="D92" s="50">
        <f t="shared" si="56"/>
        <v>8</v>
      </c>
      <c r="E92" s="51">
        <f t="shared" si="37"/>
        <v>2.6666666666666701</v>
      </c>
      <c r="F92" s="52">
        <f>MAX(MID(B92,{1,2,3},1)*1)-MIN(MID(B92,{1,2,3},1)*1)</f>
        <v>5</v>
      </c>
      <c r="G92" s="104">
        <v>0</v>
      </c>
      <c r="H92" s="104">
        <v>1</v>
      </c>
      <c r="I92" s="104">
        <v>2</v>
      </c>
      <c r="J92" s="104">
        <v>3</v>
      </c>
      <c r="K92" s="104">
        <v>4</v>
      </c>
      <c r="L92" s="104">
        <v>5</v>
      </c>
      <c r="M92" s="104">
        <v>6</v>
      </c>
      <c r="N92" s="104">
        <v>7</v>
      </c>
      <c r="O92" s="104">
        <v>8</v>
      </c>
      <c r="P92" s="104">
        <v>9</v>
      </c>
      <c r="Q92" s="53">
        <f t="shared" si="57"/>
        <v>3</v>
      </c>
      <c r="R92" s="53">
        <f t="shared" si="58"/>
        <v>2</v>
      </c>
      <c r="S92" s="53">
        <f t="shared" si="59"/>
        <v>5</v>
      </c>
      <c r="T92" s="101">
        <f t="shared" si="38"/>
        <v>10</v>
      </c>
      <c r="U92" s="15" t="str">
        <f>_xlfn.TEXTJOIN(", ",TRUE,ABS(MID(B92,{1,1,2},1)-MID(B92,{2,3,3},1)))</f>
        <v>3, 2, 5</v>
      </c>
      <c r="V92" s="54">
        <v>0</v>
      </c>
      <c r="W92" s="54">
        <v>1</v>
      </c>
      <c r="X92" s="54">
        <v>2</v>
      </c>
      <c r="Y92" s="54">
        <v>3</v>
      </c>
      <c r="Z92" s="54">
        <v>4</v>
      </c>
      <c r="AA92" s="54">
        <v>5</v>
      </c>
      <c r="AB92" s="54">
        <v>6</v>
      </c>
      <c r="AC92" s="54">
        <v>7</v>
      </c>
      <c r="AD92" s="54">
        <v>8</v>
      </c>
      <c r="AE92" s="54">
        <v>9</v>
      </c>
      <c r="AF92" s="55">
        <v>0</v>
      </c>
      <c r="AG92" s="55">
        <v>1</v>
      </c>
      <c r="AH92" s="55">
        <v>2</v>
      </c>
      <c r="AI92" s="55">
        <v>3</v>
      </c>
      <c r="AJ92" s="55">
        <v>4</v>
      </c>
      <c r="AK92" s="55">
        <v>5</v>
      </c>
      <c r="AL92" s="55">
        <v>6</v>
      </c>
      <c r="AM92" s="55">
        <v>7</v>
      </c>
      <c r="AN92" s="55">
        <v>8</v>
      </c>
      <c r="AO92" s="55">
        <v>9</v>
      </c>
      <c r="AP92" s="105">
        <v>0</v>
      </c>
      <c r="AQ92" s="105">
        <v>1</v>
      </c>
      <c r="AR92" s="105">
        <v>2</v>
      </c>
      <c r="AS92" s="105">
        <v>3</v>
      </c>
      <c r="AT92" s="105">
        <v>4</v>
      </c>
      <c r="AU92" s="105">
        <v>5</v>
      </c>
      <c r="AV92" s="105">
        <v>6</v>
      </c>
      <c r="AW92" s="105">
        <v>7</v>
      </c>
      <c r="AX92" s="105">
        <v>8</v>
      </c>
      <c r="AY92" s="105">
        <v>9</v>
      </c>
      <c r="AZ92" s="56">
        <v>0</v>
      </c>
      <c r="BA92" s="56">
        <v>1</v>
      </c>
      <c r="BB92" s="56">
        <v>2</v>
      </c>
      <c r="BC92" s="56">
        <v>3</v>
      </c>
      <c r="BD92" s="56">
        <v>4</v>
      </c>
      <c r="BE92" s="56">
        <v>5</v>
      </c>
      <c r="BF92" s="56">
        <v>6</v>
      </c>
      <c r="BG92" s="56">
        <v>7</v>
      </c>
      <c r="BH92" s="56">
        <v>8</v>
      </c>
      <c r="BI92" s="56">
        <v>9</v>
      </c>
      <c r="BJ92" s="57" t="str">
        <f t="shared" si="39"/>
        <v>标准型</v>
      </c>
      <c r="BK92" s="13">
        <f t="shared" si="35"/>
        <v>2</v>
      </c>
      <c r="BL92" s="13">
        <f t="shared" si="36"/>
        <v>5</v>
      </c>
      <c r="BM92" s="18">
        <f t="shared" si="41"/>
        <v>3</v>
      </c>
      <c r="BN92" s="19" t="str">
        <f t="shared" si="42"/>
        <v/>
      </c>
      <c r="BO92" s="19" t="str">
        <f t="array" ref="BO92">_xlfn.TEXTJOIN("",TRUE,IF(ISERROR(FIND(ROW($1:$10)-1,BM92&amp;BN92)),ROW($1:$10)-1,""))</f>
        <v>012456789</v>
      </c>
      <c r="BP92" s="20" t="str">
        <f t="shared" si="43"/>
        <v>复中中</v>
      </c>
      <c r="BQ92" s="21">
        <f t="shared" si="54"/>
        <v>2</v>
      </c>
      <c r="BR92" s="21" t="str">
        <f t="shared" si="52"/>
        <v/>
      </c>
      <c r="BS92" s="21" t="str">
        <f t="array" ref="BS92">_xlfn.TEXTJOIN("",TRUE,IF(ISERROR(FIND(ROW($1:$10)-1,BQ92&amp;BR92)),ROW($1:$10)-1,""))</f>
        <v>013456789</v>
      </c>
      <c r="BT92" s="20" t="str">
        <f t="shared" si="44"/>
        <v>复中中</v>
      </c>
      <c r="BU92" s="22" t="str">
        <f t="shared" si="45"/>
        <v/>
      </c>
      <c r="BV92" s="22">
        <f t="shared" si="53"/>
        <v>5</v>
      </c>
      <c r="BW92" s="22" t="str">
        <f t="array" ref="BW92">_xlfn.TEXTJOIN("",TRUE,IF(ISERROR(FIND(ROW($1:$10)-1,BU92&amp;BV92)),ROW($1:$10)-1,""))</f>
        <v>012346789</v>
      </c>
      <c r="BX92" s="20" t="str">
        <f t="shared" si="46"/>
        <v>中隔中</v>
      </c>
      <c r="BY92" s="23" t="str">
        <f t="shared" si="40"/>
        <v>24</v>
      </c>
      <c r="BZ92" s="24" t="str">
        <f t="array" ref="BZ92">_xlfn.TEXTJOIN("",TRUE,IF(ISNUMBER(FIND(MID(BY91&amp;Q91,ROW($1:$4),1),BY92&amp;Q92)),MID(BY91&amp;Q91,ROW($1:$4),1),""))</f>
        <v>32</v>
      </c>
      <c r="CA92" s="25" t="str">
        <f t="array" ref="CA92">_xlfn.TEXTJOIN("",TRUE,IF(ISERROR(FIND(ROW($1:$10)-1,BY92&amp;BZ92)),ROW($1:$10)-1,""))</f>
        <v>0156789</v>
      </c>
      <c r="CB92" s="26" t="str">
        <f t="shared" si="47"/>
        <v>邻传孤</v>
      </c>
      <c r="CC92" s="27" t="str">
        <f t="shared" si="48"/>
        <v>13</v>
      </c>
      <c r="CD92" s="27" t="str">
        <f t="array" ref="CD92">_xlfn.TEXTJOIN("",TRUE,IF(ISNUMBER(FIND(MID(CC91&amp;R91,ROW($1:$4),1),CC92&amp;R92)),MID(CC91&amp;R91,ROW($1:$4),1),""))</f>
        <v>23</v>
      </c>
      <c r="CE92" s="27" t="str">
        <f t="array" ref="CE92">_xlfn.TEXTJOIN("",TRUE,IF(ISERROR(FIND(ROW($1:$10)-1,CC92&amp;CD92)),ROW($1:$10)-1,""))</f>
        <v>0456789</v>
      </c>
      <c r="CF92" s="17" t="str">
        <f t="shared" si="49"/>
        <v>邻传孤</v>
      </c>
      <c r="CG92" s="22" t="str">
        <f t="shared" si="50"/>
        <v>46</v>
      </c>
      <c r="CH92" s="22" t="str">
        <f t="array" ref="CH92">_xlfn.TEXTJOIN("",TRUE,IF(ISNUMBER(FIND(MID(CG91&amp;S91,ROW($1:$4),1),CG92&amp;S92)),MID(CG91&amp;S91,ROW($1:$4),1),""))</f>
        <v/>
      </c>
      <c r="CI92" s="22" t="str">
        <f t="array" ref="CI92">_xlfn.TEXTJOIN("",TRUE,IF(ISERROR(FIND(ROW($1:$10)-1,CG92&amp;CH92)),ROW($1:$10)-1,""))</f>
        <v>01235789</v>
      </c>
      <c r="CJ92" s="28" t="str">
        <f t="shared" si="51"/>
        <v>邻孤孤</v>
      </c>
    </row>
    <row r="93" spans="1:88">
      <c r="A93" s="32">
        <v>2024220</v>
      </c>
      <c r="B93" s="8" t="s">
        <v>111</v>
      </c>
      <c r="C93" s="49">
        <f t="shared" si="55"/>
        <v>9</v>
      </c>
      <c r="D93" s="50">
        <f t="shared" si="56"/>
        <v>9</v>
      </c>
      <c r="E93" s="51">
        <f t="shared" si="37"/>
        <v>3</v>
      </c>
      <c r="F93" s="52">
        <f>MAX(MID(B93,{1,2,3},1)*1)-MIN(MID(B93,{1,2,3},1)*1)</f>
        <v>3</v>
      </c>
      <c r="G93" s="104">
        <v>0</v>
      </c>
      <c r="H93" s="104">
        <v>1</v>
      </c>
      <c r="I93" s="104">
        <v>2</v>
      </c>
      <c r="J93" s="104">
        <v>3</v>
      </c>
      <c r="K93" s="104">
        <v>4</v>
      </c>
      <c r="L93" s="104">
        <v>5</v>
      </c>
      <c r="M93" s="104">
        <v>6</v>
      </c>
      <c r="N93" s="104">
        <v>7</v>
      </c>
      <c r="O93" s="104">
        <v>8</v>
      </c>
      <c r="P93" s="104">
        <v>9</v>
      </c>
      <c r="Q93" s="53">
        <f t="shared" si="57"/>
        <v>3</v>
      </c>
      <c r="R93" s="53">
        <f t="shared" si="58"/>
        <v>0</v>
      </c>
      <c r="S93" s="53">
        <f t="shared" si="59"/>
        <v>3</v>
      </c>
      <c r="T93" s="101">
        <f t="shared" si="38"/>
        <v>6</v>
      </c>
      <c r="U93" s="15" t="str">
        <f>_xlfn.TEXTJOIN(", ",TRUE,ABS(MID(B93,{1,1,2},1)-MID(B93,{2,3,3},1)))</f>
        <v>3, 0, 3</v>
      </c>
      <c r="V93" s="54">
        <v>0</v>
      </c>
      <c r="W93" s="54">
        <v>1</v>
      </c>
      <c r="X93" s="54">
        <v>2</v>
      </c>
      <c r="Y93" s="54">
        <v>3</v>
      </c>
      <c r="Z93" s="54">
        <v>4</v>
      </c>
      <c r="AA93" s="54">
        <v>5</v>
      </c>
      <c r="AB93" s="54">
        <v>6</v>
      </c>
      <c r="AC93" s="54">
        <v>7</v>
      </c>
      <c r="AD93" s="54">
        <v>8</v>
      </c>
      <c r="AE93" s="54">
        <v>9</v>
      </c>
      <c r="AF93" s="55">
        <v>0</v>
      </c>
      <c r="AG93" s="55">
        <v>1</v>
      </c>
      <c r="AH93" s="55">
        <v>2</v>
      </c>
      <c r="AI93" s="55">
        <v>3</v>
      </c>
      <c r="AJ93" s="55">
        <v>4</v>
      </c>
      <c r="AK93" s="55">
        <v>5</v>
      </c>
      <c r="AL93" s="55">
        <v>6</v>
      </c>
      <c r="AM93" s="55">
        <v>7</v>
      </c>
      <c r="AN93" s="55">
        <v>8</v>
      </c>
      <c r="AO93" s="55">
        <v>9</v>
      </c>
      <c r="AP93" s="105">
        <v>0</v>
      </c>
      <c r="AQ93" s="105">
        <v>1</v>
      </c>
      <c r="AR93" s="105">
        <v>2</v>
      </c>
      <c r="AS93" s="105">
        <v>3</v>
      </c>
      <c r="AT93" s="105">
        <v>4</v>
      </c>
      <c r="AU93" s="105">
        <v>5</v>
      </c>
      <c r="AV93" s="105">
        <v>6</v>
      </c>
      <c r="AW93" s="105">
        <v>7</v>
      </c>
      <c r="AX93" s="105">
        <v>8</v>
      </c>
      <c r="AY93" s="105">
        <v>9</v>
      </c>
      <c r="AZ93" s="56">
        <v>0</v>
      </c>
      <c r="BA93" s="56">
        <v>1</v>
      </c>
      <c r="BB93" s="56">
        <v>2</v>
      </c>
      <c r="BC93" s="56">
        <v>3</v>
      </c>
      <c r="BD93" s="56">
        <v>4</v>
      </c>
      <c r="BE93" s="56">
        <v>5</v>
      </c>
      <c r="BF93" s="56">
        <v>6</v>
      </c>
      <c r="BG93" s="56">
        <v>7</v>
      </c>
      <c r="BH93" s="56">
        <v>8</v>
      </c>
      <c r="BI93" s="56">
        <v>9</v>
      </c>
      <c r="BJ93" s="57" t="str">
        <f t="shared" si="39"/>
        <v>紧凑型</v>
      </c>
      <c r="BK93" s="13">
        <f t="shared" si="35"/>
        <v>0</v>
      </c>
      <c r="BL93" s="13">
        <f t="shared" si="36"/>
        <v>3</v>
      </c>
      <c r="BM93" s="18">
        <f t="shared" si="41"/>
        <v>3</v>
      </c>
      <c r="BN93" s="19">
        <f t="shared" si="42"/>
        <v>3</v>
      </c>
      <c r="BO93" s="19" t="str">
        <f t="array" ref="BO93">_xlfn.TEXTJOIN("",TRUE,IF(ISERROR(FIND(ROW($1:$10)-1,BM93&amp;BN93)),ROW($1:$10)-1,""))</f>
        <v>012456789</v>
      </c>
      <c r="BP93" s="20" t="str">
        <f t="shared" si="43"/>
        <v>复隔中</v>
      </c>
      <c r="BQ93" s="21" t="str">
        <f t="shared" si="54"/>
        <v/>
      </c>
      <c r="BR93" s="21" t="str">
        <f t="shared" si="52"/>
        <v/>
      </c>
      <c r="BS93" s="21" t="str">
        <f t="array" ref="BS93">_xlfn.TEXTJOIN("",TRUE,IF(ISERROR(FIND(ROW($1:$10)-1,BQ93&amp;BR93)),ROW($1:$10)-1,""))</f>
        <v>0123456789</v>
      </c>
      <c r="BT93" s="20" t="str">
        <f t="shared" si="44"/>
        <v>中中中</v>
      </c>
      <c r="BU93" s="22">
        <f t="shared" si="45"/>
        <v>3</v>
      </c>
      <c r="BV93" s="22">
        <f t="shared" si="53"/>
        <v>3</v>
      </c>
      <c r="BW93" s="22" t="str">
        <f t="array" ref="BW93">_xlfn.TEXTJOIN("",TRUE,IF(ISERROR(FIND(ROW($1:$10)-1,BU93&amp;BV93)),ROW($1:$10)-1,""))</f>
        <v>012456789</v>
      </c>
      <c r="BX93" s="20" t="str">
        <f t="shared" si="46"/>
        <v>复隔中</v>
      </c>
      <c r="BY93" s="23" t="str">
        <f t="shared" si="40"/>
        <v>24</v>
      </c>
      <c r="BZ93" s="24" t="str">
        <f t="array" ref="BZ93">_xlfn.TEXTJOIN("",TRUE,IF(ISNUMBER(FIND(MID(BY92&amp;Q92,ROW($1:$4),1),BY93&amp;Q93)),MID(BY92&amp;Q92,ROW($1:$4),1),""))</f>
        <v>243</v>
      </c>
      <c r="CA93" s="25" t="str">
        <f t="array" ref="CA93">_xlfn.TEXTJOIN("",TRUE,IF(ISERROR(FIND(ROW($1:$10)-1,BY93&amp;BZ93)),ROW($1:$10)-1,""))</f>
        <v>0156789</v>
      </c>
      <c r="CB93" s="26" t="str">
        <f t="shared" si="47"/>
        <v>邻传孤</v>
      </c>
      <c r="CC93" s="27" t="str">
        <f t="shared" si="48"/>
        <v>91</v>
      </c>
      <c r="CD93" s="27" t="str">
        <f t="array" ref="CD93">_xlfn.TEXTJOIN("",TRUE,IF(ISNUMBER(FIND(MID(CC92&amp;R92,ROW($1:$4),1),CC93&amp;R93)),MID(CC92&amp;R92,ROW($1:$4),1),""))</f>
        <v>1</v>
      </c>
      <c r="CE93" s="27" t="str">
        <f t="array" ref="CE93">_xlfn.TEXTJOIN("",TRUE,IF(ISERROR(FIND(ROW($1:$10)-1,CC93&amp;CD93)),ROW($1:$10)-1,""))</f>
        <v>02345678</v>
      </c>
      <c r="CF93" s="17" t="str">
        <f t="shared" si="49"/>
        <v>邻传孤</v>
      </c>
      <c r="CG93" s="22" t="str">
        <f t="shared" si="50"/>
        <v>24</v>
      </c>
      <c r="CH93" s="22" t="str">
        <f t="array" ref="CH93">_xlfn.TEXTJOIN("",TRUE,IF(ISNUMBER(FIND(MID(CG92&amp;S92,ROW($1:$4),1),CG93&amp;S93)),MID(CG92&amp;S92,ROW($1:$4),1),""))</f>
        <v>4</v>
      </c>
      <c r="CI93" s="22" t="str">
        <f t="array" ref="CI93">_xlfn.TEXTJOIN("",TRUE,IF(ISERROR(FIND(ROW($1:$10)-1,CG93&amp;CH93)),ROW($1:$10)-1,""))</f>
        <v>01356789</v>
      </c>
      <c r="CJ93" s="28" t="str">
        <f t="shared" si="51"/>
        <v>邻传孤</v>
      </c>
    </row>
    <row r="94" spans="1:88">
      <c r="A94" s="32">
        <v>2024221</v>
      </c>
      <c r="B94" s="8" t="s">
        <v>112</v>
      </c>
      <c r="C94" s="49">
        <f t="shared" si="55"/>
        <v>4</v>
      </c>
      <c r="D94" s="50">
        <f t="shared" si="56"/>
        <v>4</v>
      </c>
      <c r="E94" s="51">
        <f t="shared" si="37"/>
        <v>1.3333333333333299</v>
      </c>
      <c r="F94" s="52">
        <f>MAX(MID(B94,{1,2,3},1)*1)-MIN(MID(B94,{1,2,3},1)*1)</f>
        <v>3</v>
      </c>
      <c r="G94" s="104">
        <v>0</v>
      </c>
      <c r="H94" s="104">
        <v>1</v>
      </c>
      <c r="I94" s="104">
        <v>2</v>
      </c>
      <c r="J94" s="104">
        <v>3</v>
      </c>
      <c r="K94" s="104">
        <v>4</v>
      </c>
      <c r="L94" s="104">
        <v>5</v>
      </c>
      <c r="M94" s="104">
        <v>6</v>
      </c>
      <c r="N94" s="104">
        <v>7</v>
      </c>
      <c r="O94" s="104">
        <v>8</v>
      </c>
      <c r="P94" s="104">
        <v>9</v>
      </c>
      <c r="Q94" s="53">
        <f t="shared" si="57"/>
        <v>1</v>
      </c>
      <c r="R94" s="53">
        <f t="shared" si="58"/>
        <v>2</v>
      </c>
      <c r="S94" s="53">
        <f t="shared" si="59"/>
        <v>3</v>
      </c>
      <c r="T94" s="101">
        <f t="shared" si="38"/>
        <v>6</v>
      </c>
      <c r="U94" s="15" t="str">
        <f>_xlfn.TEXTJOIN(", ",TRUE,ABS(MID(B94,{1,1,2},1)-MID(B94,{2,3,3},1)))</f>
        <v>1, 2, 3</v>
      </c>
      <c r="V94" s="54">
        <v>0</v>
      </c>
      <c r="W94" s="54">
        <v>1</v>
      </c>
      <c r="X94" s="54">
        <v>2</v>
      </c>
      <c r="Y94" s="54">
        <v>3</v>
      </c>
      <c r="Z94" s="54">
        <v>4</v>
      </c>
      <c r="AA94" s="54">
        <v>5</v>
      </c>
      <c r="AB94" s="54">
        <v>6</v>
      </c>
      <c r="AC94" s="54">
        <v>7</v>
      </c>
      <c r="AD94" s="54">
        <v>8</v>
      </c>
      <c r="AE94" s="54">
        <v>9</v>
      </c>
      <c r="AF94" s="55">
        <v>0</v>
      </c>
      <c r="AG94" s="55">
        <v>1</v>
      </c>
      <c r="AH94" s="55">
        <v>2</v>
      </c>
      <c r="AI94" s="55">
        <v>3</v>
      </c>
      <c r="AJ94" s="55">
        <v>4</v>
      </c>
      <c r="AK94" s="55">
        <v>5</v>
      </c>
      <c r="AL94" s="55">
        <v>6</v>
      </c>
      <c r="AM94" s="55">
        <v>7</v>
      </c>
      <c r="AN94" s="55">
        <v>8</v>
      </c>
      <c r="AO94" s="55">
        <v>9</v>
      </c>
      <c r="AP94" s="105">
        <v>0</v>
      </c>
      <c r="AQ94" s="105">
        <v>1</v>
      </c>
      <c r="AR94" s="105">
        <v>2</v>
      </c>
      <c r="AS94" s="105">
        <v>3</v>
      </c>
      <c r="AT94" s="105">
        <v>4</v>
      </c>
      <c r="AU94" s="105">
        <v>5</v>
      </c>
      <c r="AV94" s="105">
        <v>6</v>
      </c>
      <c r="AW94" s="105">
        <v>7</v>
      </c>
      <c r="AX94" s="105">
        <v>8</v>
      </c>
      <c r="AY94" s="105">
        <v>9</v>
      </c>
      <c r="AZ94" s="56">
        <v>0</v>
      </c>
      <c r="BA94" s="56">
        <v>1</v>
      </c>
      <c r="BB94" s="56">
        <v>2</v>
      </c>
      <c r="BC94" s="56">
        <v>3</v>
      </c>
      <c r="BD94" s="56">
        <v>4</v>
      </c>
      <c r="BE94" s="56">
        <v>5</v>
      </c>
      <c r="BF94" s="56">
        <v>6</v>
      </c>
      <c r="BG94" s="56">
        <v>7</v>
      </c>
      <c r="BH94" s="56">
        <v>8</v>
      </c>
      <c r="BI94" s="56">
        <v>9</v>
      </c>
      <c r="BJ94" s="57" t="str">
        <f t="shared" si="39"/>
        <v>紧凑型</v>
      </c>
      <c r="BK94" s="13">
        <f t="shared" si="35"/>
        <v>1</v>
      </c>
      <c r="BL94" s="13">
        <f t="shared" si="36"/>
        <v>3</v>
      </c>
      <c r="BM94" s="18" t="str">
        <f t="shared" si="41"/>
        <v/>
      </c>
      <c r="BN94" s="19" t="str">
        <f t="shared" si="42"/>
        <v/>
      </c>
      <c r="BO94" s="19" t="str">
        <f t="array" ref="BO94">_xlfn.TEXTJOIN("",TRUE,IF(ISERROR(FIND(ROW($1:$10)-1,BM94&amp;BN94)),ROW($1:$10)-1,""))</f>
        <v>0123456789</v>
      </c>
      <c r="BP94" s="20" t="str">
        <f t="shared" si="43"/>
        <v>中中中</v>
      </c>
      <c r="BQ94" s="21" t="str">
        <f t="shared" si="54"/>
        <v/>
      </c>
      <c r="BR94" s="21">
        <f t="shared" si="52"/>
        <v>2</v>
      </c>
      <c r="BS94" s="21" t="str">
        <f t="array" ref="BS94">_xlfn.TEXTJOIN("",TRUE,IF(ISERROR(FIND(ROW($1:$10)-1,BQ94&amp;BR94)),ROW($1:$10)-1,""))</f>
        <v>013456789</v>
      </c>
      <c r="BT94" s="20" t="str">
        <f t="shared" si="44"/>
        <v>中隔中</v>
      </c>
      <c r="BU94" s="22">
        <f t="shared" si="45"/>
        <v>3</v>
      </c>
      <c r="BV94" s="22">
        <f t="shared" si="53"/>
        <v>3</v>
      </c>
      <c r="BW94" s="22" t="str">
        <f t="array" ref="BW94">_xlfn.TEXTJOIN("",TRUE,IF(ISERROR(FIND(ROW($1:$10)-1,BU94&amp;BV94)),ROW($1:$10)-1,""))</f>
        <v>012456789</v>
      </c>
      <c r="BX94" s="20" t="str">
        <f t="shared" si="46"/>
        <v>复隔中</v>
      </c>
      <c r="BY94" s="23" t="str">
        <f t="shared" si="40"/>
        <v>02</v>
      </c>
      <c r="BZ94" s="24" t="str">
        <f t="array" ref="BZ94">_xlfn.TEXTJOIN("",TRUE,IF(ISNUMBER(FIND(MID(BY93&amp;Q93,ROW($1:$4),1),BY94&amp;Q94)),MID(BY93&amp;Q93,ROW($1:$4),1),""))</f>
        <v>2</v>
      </c>
      <c r="CA94" s="25" t="str">
        <f t="array" ref="CA94">_xlfn.TEXTJOIN("",TRUE,IF(ISERROR(FIND(ROW($1:$10)-1,BY94&amp;BZ94)),ROW($1:$10)-1,""))</f>
        <v>13456789</v>
      </c>
      <c r="CB94" s="26" t="str">
        <f t="shared" si="47"/>
        <v>邻传孤</v>
      </c>
      <c r="CC94" s="27" t="str">
        <f t="shared" si="48"/>
        <v>13</v>
      </c>
      <c r="CD94" s="27" t="str">
        <f t="array" ref="CD94">_xlfn.TEXTJOIN("",TRUE,IF(ISNUMBER(FIND(MID(CC93&amp;R93,ROW($1:$4),1),CC94&amp;R94)),MID(CC93&amp;R93,ROW($1:$4),1),""))</f>
        <v>1</v>
      </c>
      <c r="CE94" s="27" t="str">
        <f t="array" ref="CE94">_xlfn.TEXTJOIN("",TRUE,IF(ISERROR(FIND(ROW($1:$10)-1,CC94&amp;CD94)),ROW($1:$10)-1,""))</f>
        <v>02456789</v>
      </c>
      <c r="CF94" s="17" t="str">
        <f t="shared" si="49"/>
        <v>邻传孤</v>
      </c>
      <c r="CG94" s="22" t="str">
        <f t="shared" si="50"/>
        <v>24</v>
      </c>
      <c r="CH94" s="22" t="str">
        <f t="array" ref="CH94">_xlfn.TEXTJOIN("",TRUE,IF(ISNUMBER(FIND(MID(CG93&amp;S93,ROW($1:$4),1),CG94&amp;S94)),MID(CG93&amp;S93,ROW($1:$4),1),""))</f>
        <v>243</v>
      </c>
      <c r="CI94" s="22" t="str">
        <f t="array" ref="CI94">_xlfn.TEXTJOIN("",TRUE,IF(ISERROR(FIND(ROW($1:$10)-1,CG94&amp;CH94)),ROW($1:$10)-1,""))</f>
        <v>0156789</v>
      </c>
      <c r="CJ94" s="28" t="str">
        <f t="shared" si="51"/>
        <v>邻传孤</v>
      </c>
    </row>
    <row r="95" spans="1:88">
      <c r="A95" s="32">
        <v>2024222</v>
      </c>
      <c r="B95" s="8" t="s">
        <v>113</v>
      </c>
      <c r="C95" s="49">
        <f t="shared" si="55"/>
        <v>15</v>
      </c>
      <c r="D95" s="50">
        <f t="shared" si="56"/>
        <v>5</v>
      </c>
      <c r="E95" s="51">
        <f t="shared" si="37"/>
        <v>5</v>
      </c>
      <c r="F95" s="52">
        <f>MAX(MID(B95,{1,2,3},1)*1)-MIN(MID(B95,{1,2,3},1)*1)</f>
        <v>2</v>
      </c>
      <c r="G95" s="104">
        <v>0</v>
      </c>
      <c r="H95" s="104">
        <v>1</v>
      </c>
      <c r="I95" s="104">
        <v>2</v>
      </c>
      <c r="J95" s="104">
        <v>3</v>
      </c>
      <c r="K95" s="104">
        <v>4</v>
      </c>
      <c r="L95" s="104">
        <v>5</v>
      </c>
      <c r="M95" s="104">
        <v>6</v>
      </c>
      <c r="N95" s="104">
        <v>7</v>
      </c>
      <c r="O95" s="104">
        <v>8</v>
      </c>
      <c r="P95" s="104">
        <v>9</v>
      </c>
      <c r="Q95" s="53">
        <f t="shared" si="57"/>
        <v>1</v>
      </c>
      <c r="R95" s="53">
        <f t="shared" si="58"/>
        <v>1</v>
      </c>
      <c r="S95" s="53">
        <f t="shared" si="59"/>
        <v>2</v>
      </c>
      <c r="T95" s="101">
        <f t="shared" si="38"/>
        <v>4</v>
      </c>
      <c r="U95" s="15" t="str">
        <f>_xlfn.TEXTJOIN(", ",TRUE,ABS(MID(B95,{1,1,2},1)-MID(B95,{2,3,3},1)))</f>
        <v>1, 1, 2</v>
      </c>
      <c r="V95" s="54">
        <v>0</v>
      </c>
      <c r="W95" s="54">
        <v>1</v>
      </c>
      <c r="X95" s="54">
        <v>2</v>
      </c>
      <c r="Y95" s="54">
        <v>3</v>
      </c>
      <c r="Z95" s="54">
        <v>4</v>
      </c>
      <c r="AA95" s="54">
        <v>5</v>
      </c>
      <c r="AB95" s="54">
        <v>6</v>
      </c>
      <c r="AC95" s="54">
        <v>7</v>
      </c>
      <c r="AD95" s="54">
        <v>8</v>
      </c>
      <c r="AE95" s="54">
        <v>9</v>
      </c>
      <c r="AF95" s="55">
        <v>0</v>
      </c>
      <c r="AG95" s="55">
        <v>1</v>
      </c>
      <c r="AH95" s="55">
        <v>2</v>
      </c>
      <c r="AI95" s="55">
        <v>3</v>
      </c>
      <c r="AJ95" s="55">
        <v>4</v>
      </c>
      <c r="AK95" s="55">
        <v>5</v>
      </c>
      <c r="AL95" s="55">
        <v>6</v>
      </c>
      <c r="AM95" s="55">
        <v>7</v>
      </c>
      <c r="AN95" s="55">
        <v>8</v>
      </c>
      <c r="AO95" s="55">
        <v>9</v>
      </c>
      <c r="AP95" s="105">
        <v>0</v>
      </c>
      <c r="AQ95" s="105">
        <v>1</v>
      </c>
      <c r="AR95" s="105">
        <v>2</v>
      </c>
      <c r="AS95" s="105">
        <v>3</v>
      </c>
      <c r="AT95" s="105">
        <v>4</v>
      </c>
      <c r="AU95" s="105">
        <v>5</v>
      </c>
      <c r="AV95" s="105">
        <v>6</v>
      </c>
      <c r="AW95" s="105">
        <v>7</v>
      </c>
      <c r="AX95" s="105">
        <v>8</v>
      </c>
      <c r="AY95" s="105">
        <v>9</v>
      </c>
      <c r="AZ95" s="56">
        <v>0</v>
      </c>
      <c r="BA95" s="56">
        <v>1</v>
      </c>
      <c r="BB95" s="56">
        <v>2</v>
      </c>
      <c r="BC95" s="56">
        <v>3</v>
      </c>
      <c r="BD95" s="56">
        <v>4</v>
      </c>
      <c r="BE95" s="56">
        <v>5</v>
      </c>
      <c r="BF95" s="56">
        <v>6</v>
      </c>
      <c r="BG95" s="56">
        <v>7</v>
      </c>
      <c r="BH95" s="56">
        <v>8</v>
      </c>
      <c r="BI95" s="56">
        <v>9</v>
      </c>
      <c r="BJ95" s="57" t="str">
        <f t="shared" si="39"/>
        <v>紧凑型</v>
      </c>
      <c r="BK95" s="13">
        <f t="shared" si="35"/>
        <v>1</v>
      </c>
      <c r="BL95" s="13">
        <f t="shared" si="36"/>
        <v>2</v>
      </c>
      <c r="BM95" s="18">
        <f t="shared" si="41"/>
        <v>1</v>
      </c>
      <c r="BN95" s="19" t="str">
        <f t="shared" si="42"/>
        <v/>
      </c>
      <c r="BO95" s="19" t="str">
        <f t="array" ref="BO95">_xlfn.TEXTJOIN("",TRUE,IF(ISERROR(FIND(ROW($1:$10)-1,BM95&amp;BN95)),ROW($1:$10)-1,""))</f>
        <v>023456789</v>
      </c>
      <c r="BP95" s="20" t="str">
        <f t="shared" si="43"/>
        <v>复中中</v>
      </c>
      <c r="BQ95" s="21">
        <f t="shared" si="54"/>
        <v>1</v>
      </c>
      <c r="BR95" s="21" t="str">
        <f t="shared" si="52"/>
        <v/>
      </c>
      <c r="BS95" s="21" t="str">
        <f t="array" ref="BS95">_xlfn.TEXTJOIN("",TRUE,IF(ISERROR(FIND(ROW($1:$10)-1,BQ95&amp;BR95)),ROW($1:$10)-1,""))</f>
        <v>023456789</v>
      </c>
      <c r="BT95" s="20" t="str">
        <f t="shared" si="44"/>
        <v>复中中</v>
      </c>
      <c r="BU95" s="22">
        <f t="shared" si="45"/>
        <v>2</v>
      </c>
      <c r="BV95" s="22" t="str">
        <f t="shared" si="53"/>
        <v/>
      </c>
      <c r="BW95" s="22" t="str">
        <f t="array" ref="BW95">_xlfn.TEXTJOIN("",TRUE,IF(ISERROR(FIND(ROW($1:$10)-1,BU95&amp;BV95)),ROW($1:$10)-1,""))</f>
        <v>013456789</v>
      </c>
      <c r="BX95" s="20" t="str">
        <f t="shared" si="46"/>
        <v>复中中</v>
      </c>
      <c r="BY95" s="23" t="str">
        <f t="shared" si="40"/>
        <v>02</v>
      </c>
      <c r="BZ95" s="24" t="str">
        <f t="array" ref="BZ95">_xlfn.TEXTJOIN("",TRUE,IF(ISNUMBER(FIND(MID(BY94&amp;Q94,ROW($1:$4),1),BY95&amp;Q95)),MID(BY94&amp;Q94,ROW($1:$4),1),""))</f>
        <v>021</v>
      </c>
      <c r="CA95" s="25" t="str">
        <f t="array" ref="CA95">_xlfn.TEXTJOIN("",TRUE,IF(ISERROR(FIND(ROW($1:$10)-1,BY95&amp;BZ95)),ROW($1:$10)-1,""))</f>
        <v>3456789</v>
      </c>
      <c r="CB95" s="26" t="str">
        <f t="shared" si="47"/>
        <v>邻传孤</v>
      </c>
      <c r="CC95" s="27" t="str">
        <f t="shared" si="48"/>
        <v>02</v>
      </c>
      <c r="CD95" s="27" t="str">
        <f t="array" ref="CD95">_xlfn.TEXTJOIN("",TRUE,IF(ISNUMBER(FIND(MID(CC94&amp;R94,ROW($1:$4),1),CC95&amp;R95)),MID(CC94&amp;R94,ROW($1:$4),1),""))</f>
        <v>12</v>
      </c>
      <c r="CE95" s="27" t="str">
        <f t="array" ref="CE95">_xlfn.TEXTJOIN("",TRUE,IF(ISERROR(FIND(ROW($1:$10)-1,CC95&amp;CD95)),ROW($1:$10)-1,""))</f>
        <v>3456789</v>
      </c>
      <c r="CF95" s="17" t="str">
        <f t="shared" si="49"/>
        <v>邻传孤</v>
      </c>
      <c r="CG95" s="22" t="str">
        <f t="shared" si="50"/>
        <v>13</v>
      </c>
      <c r="CH95" s="22" t="str">
        <f t="array" ref="CH95">_xlfn.TEXTJOIN("",TRUE,IF(ISNUMBER(FIND(MID(CG94&amp;S94,ROW($1:$4),1),CG95&amp;S95)),MID(CG94&amp;S94,ROW($1:$4),1),""))</f>
        <v>23</v>
      </c>
      <c r="CI95" s="22" t="str">
        <f t="array" ref="CI95">_xlfn.TEXTJOIN("",TRUE,IF(ISERROR(FIND(ROW($1:$10)-1,CG95&amp;CH95)),ROW($1:$10)-1,""))</f>
        <v>0456789</v>
      </c>
      <c r="CJ95" s="28" t="str">
        <f t="shared" si="51"/>
        <v>邻传孤</v>
      </c>
    </row>
    <row r="96" spans="1:88">
      <c r="A96" s="32">
        <v>2024223</v>
      </c>
      <c r="B96" s="8" t="s">
        <v>114</v>
      </c>
      <c r="C96" s="49">
        <f t="shared" si="55"/>
        <v>17</v>
      </c>
      <c r="D96" s="50">
        <f t="shared" si="56"/>
        <v>7</v>
      </c>
      <c r="E96" s="51">
        <f t="shared" si="37"/>
        <v>5.6666666666666696</v>
      </c>
      <c r="F96" s="52">
        <f>MAX(MID(B96,{1,2,3},1)*1)-MIN(MID(B96,{1,2,3},1)*1)</f>
        <v>4</v>
      </c>
      <c r="G96" s="104">
        <v>0</v>
      </c>
      <c r="H96" s="104">
        <v>1</v>
      </c>
      <c r="I96" s="104">
        <v>2</v>
      </c>
      <c r="J96" s="104">
        <v>3</v>
      </c>
      <c r="K96" s="104">
        <v>4</v>
      </c>
      <c r="L96" s="104">
        <v>5</v>
      </c>
      <c r="M96" s="104">
        <v>6</v>
      </c>
      <c r="N96" s="104">
        <v>7</v>
      </c>
      <c r="O96" s="104">
        <v>8</v>
      </c>
      <c r="P96" s="104">
        <v>9</v>
      </c>
      <c r="Q96" s="53">
        <f t="shared" si="57"/>
        <v>0</v>
      </c>
      <c r="R96" s="53">
        <f t="shared" si="58"/>
        <v>4</v>
      </c>
      <c r="S96" s="53">
        <f t="shared" si="59"/>
        <v>4</v>
      </c>
      <c r="T96" s="101">
        <f t="shared" si="38"/>
        <v>8</v>
      </c>
      <c r="U96" s="15" t="str">
        <f>_xlfn.TEXTJOIN(", ",TRUE,ABS(MID(B96,{1,1,2},1)-MID(B96,{2,3,3},1)))</f>
        <v>0, 4, 4</v>
      </c>
      <c r="V96" s="54">
        <v>0</v>
      </c>
      <c r="W96" s="54">
        <v>1</v>
      </c>
      <c r="X96" s="54">
        <v>2</v>
      </c>
      <c r="Y96" s="54">
        <v>3</v>
      </c>
      <c r="Z96" s="54">
        <v>4</v>
      </c>
      <c r="AA96" s="54">
        <v>5</v>
      </c>
      <c r="AB96" s="54">
        <v>6</v>
      </c>
      <c r="AC96" s="54">
        <v>7</v>
      </c>
      <c r="AD96" s="54">
        <v>8</v>
      </c>
      <c r="AE96" s="54">
        <v>9</v>
      </c>
      <c r="AF96" s="55">
        <v>0</v>
      </c>
      <c r="AG96" s="55">
        <v>1</v>
      </c>
      <c r="AH96" s="55">
        <v>2</v>
      </c>
      <c r="AI96" s="55">
        <v>3</v>
      </c>
      <c r="AJ96" s="55">
        <v>4</v>
      </c>
      <c r="AK96" s="55">
        <v>5</v>
      </c>
      <c r="AL96" s="55">
        <v>6</v>
      </c>
      <c r="AM96" s="55">
        <v>7</v>
      </c>
      <c r="AN96" s="55">
        <v>8</v>
      </c>
      <c r="AO96" s="55">
        <v>9</v>
      </c>
      <c r="AP96" s="105">
        <v>0</v>
      </c>
      <c r="AQ96" s="105">
        <v>1</v>
      </c>
      <c r="AR96" s="105">
        <v>2</v>
      </c>
      <c r="AS96" s="105">
        <v>3</v>
      </c>
      <c r="AT96" s="105">
        <v>4</v>
      </c>
      <c r="AU96" s="105">
        <v>5</v>
      </c>
      <c r="AV96" s="105">
        <v>6</v>
      </c>
      <c r="AW96" s="105">
        <v>7</v>
      </c>
      <c r="AX96" s="105">
        <v>8</v>
      </c>
      <c r="AY96" s="105">
        <v>9</v>
      </c>
      <c r="AZ96" s="56">
        <v>0</v>
      </c>
      <c r="BA96" s="56">
        <v>1</v>
      </c>
      <c r="BB96" s="56">
        <v>2</v>
      </c>
      <c r="BC96" s="56">
        <v>3</v>
      </c>
      <c r="BD96" s="56">
        <v>4</v>
      </c>
      <c r="BE96" s="56">
        <v>5</v>
      </c>
      <c r="BF96" s="56">
        <v>6</v>
      </c>
      <c r="BG96" s="56">
        <v>7</v>
      </c>
      <c r="BH96" s="56">
        <v>8</v>
      </c>
      <c r="BI96" s="56">
        <v>9</v>
      </c>
      <c r="BJ96" s="57" t="str">
        <f t="shared" si="39"/>
        <v>紧凑型</v>
      </c>
      <c r="BK96" s="13">
        <f t="shared" si="35"/>
        <v>0</v>
      </c>
      <c r="BL96" s="13">
        <f t="shared" si="36"/>
        <v>4</v>
      </c>
      <c r="BM96" s="18" t="str">
        <f t="shared" si="41"/>
        <v/>
      </c>
      <c r="BN96" s="19" t="str">
        <f t="shared" si="42"/>
        <v/>
      </c>
      <c r="BO96" s="19" t="str">
        <f t="array" ref="BO96">_xlfn.TEXTJOIN("",TRUE,IF(ISERROR(FIND(ROW($1:$10)-1,BM96&amp;BN96)),ROW($1:$10)-1,""))</f>
        <v>0123456789</v>
      </c>
      <c r="BP96" s="20" t="str">
        <f t="shared" si="43"/>
        <v>中中中</v>
      </c>
      <c r="BQ96" s="21" t="str">
        <f t="shared" si="54"/>
        <v/>
      </c>
      <c r="BR96" s="21" t="str">
        <f t="shared" si="52"/>
        <v/>
      </c>
      <c r="BS96" s="21" t="str">
        <f t="array" ref="BS96">_xlfn.TEXTJOIN("",TRUE,IF(ISERROR(FIND(ROW($1:$10)-1,BQ96&amp;BR96)),ROW($1:$10)-1,""))</f>
        <v>0123456789</v>
      </c>
      <c r="BT96" s="20" t="str">
        <f t="shared" si="44"/>
        <v>中中中</v>
      </c>
      <c r="BU96" s="22" t="str">
        <f t="shared" si="45"/>
        <v/>
      </c>
      <c r="BV96" s="22" t="str">
        <f t="shared" si="53"/>
        <v/>
      </c>
      <c r="BW96" s="22" t="str">
        <f t="array" ref="BW96">_xlfn.TEXTJOIN("",TRUE,IF(ISERROR(FIND(ROW($1:$10)-1,BU96&amp;BV96)),ROW($1:$10)-1,""))</f>
        <v>0123456789</v>
      </c>
      <c r="BX96" s="20" t="str">
        <f t="shared" si="46"/>
        <v>中中中</v>
      </c>
      <c r="BY96" s="23" t="str">
        <f t="shared" si="40"/>
        <v>91</v>
      </c>
      <c r="BZ96" s="24" t="str">
        <f t="array" ref="BZ96">_xlfn.TEXTJOIN("",TRUE,IF(ISNUMBER(FIND(MID(BY95&amp;Q95,ROW($1:$4),1),BY96&amp;Q96)),MID(BY95&amp;Q95,ROW($1:$4),1),""))</f>
        <v>01</v>
      </c>
      <c r="CA96" s="25" t="str">
        <f t="array" ref="CA96">_xlfn.TEXTJOIN("",TRUE,IF(ISERROR(FIND(ROW($1:$10)-1,BY96&amp;BZ96)),ROW($1:$10)-1,""))</f>
        <v>2345678</v>
      </c>
      <c r="CB96" s="26" t="str">
        <f t="shared" si="47"/>
        <v>邻传孤</v>
      </c>
      <c r="CC96" s="27" t="str">
        <f t="shared" si="48"/>
        <v>35</v>
      </c>
      <c r="CD96" s="27" t="str">
        <f t="array" ref="CD96">_xlfn.TEXTJOIN("",TRUE,IF(ISNUMBER(FIND(MID(CC95&amp;R95,ROW($1:$4),1),CC96&amp;R96)),MID(CC95&amp;R95,ROW($1:$4),1),""))</f>
        <v/>
      </c>
      <c r="CE96" s="27" t="str">
        <f t="array" ref="CE96">_xlfn.TEXTJOIN("",TRUE,IF(ISERROR(FIND(ROW($1:$10)-1,CC96&amp;CD96)),ROW($1:$10)-1,""))</f>
        <v>01246789</v>
      </c>
      <c r="CF96" s="17" t="str">
        <f t="shared" si="49"/>
        <v>邻孤孤</v>
      </c>
      <c r="CG96" s="22" t="str">
        <f t="shared" si="50"/>
        <v>35</v>
      </c>
      <c r="CH96" s="22" t="str">
        <f t="array" ref="CH96">_xlfn.TEXTJOIN("",TRUE,IF(ISNUMBER(FIND(MID(CG95&amp;S95,ROW($1:$4),1),CG96&amp;S96)),MID(CG95&amp;S95,ROW($1:$4),1),""))</f>
        <v>3</v>
      </c>
      <c r="CI96" s="22" t="str">
        <f t="array" ref="CI96">_xlfn.TEXTJOIN("",TRUE,IF(ISERROR(FIND(ROW($1:$10)-1,CG96&amp;CH96)),ROW($1:$10)-1,""))</f>
        <v>01246789</v>
      </c>
      <c r="CJ96" s="28" t="str">
        <f t="shared" si="51"/>
        <v>邻传孤</v>
      </c>
    </row>
    <row r="97" spans="1:88">
      <c r="A97" s="32">
        <v>2024224</v>
      </c>
      <c r="B97" s="8" t="s">
        <v>115</v>
      </c>
      <c r="C97" s="49">
        <f t="shared" si="55"/>
        <v>11</v>
      </c>
      <c r="D97" s="50">
        <f t="shared" si="56"/>
        <v>1</v>
      </c>
      <c r="E97" s="51">
        <f t="shared" si="37"/>
        <v>3.6666666666666701</v>
      </c>
      <c r="F97" s="52">
        <f>MAX(MID(B97,{1,2,3},1)*1)-MIN(MID(B97,{1,2,3},1)*1)</f>
        <v>6</v>
      </c>
      <c r="G97" s="104">
        <v>0</v>
      </c>
      <c r="H97" s="104">
        <v>1</v>
      </c>
      <c r="I97" s="104">
        <v>2</v>
      </c>
      <c r="J97" s="104">
        <v>3</v>
      </c>
      <c r="K97" s="104">
        <v>4</v>
      </c>
      <c r="L97" s="104">
        <v>5</v>
      </c>
      <c r="M97" s="104">
        <v>6</v>
      </c>
      <c r="N97" s="104">
        <v>7</v>
      </c>
      <c r="O97" s="104">
        <v>8</v>
      </c>
      <c r="P97" s="104">
        <v>9</v>
      </c>
      <c r="Q97" s="53">
        <f t="shared" si="57"/>
        <v>1</v>
      </c>
      <c r="R97" s="53">
        <f t="shared" si="58"/>
        <v>5</v>
      </c>
      <c r="S97" s="53">
        <f t="shared" si="59"/>
        <v>6</v>
      </c>
      <c r="T97" s="101">
        <f t="shared" si="38"/>
        <v>12</v>
      </c>
      <c r="U97" s="15" t="str">
        <f>_xlfn.TEXTJOIN(", ",TRUE,ABS(MID(B97,{1,1,2},1)-MID(B97,{2,3,3},1)))</f>
        <v>1, 5, 6</v>
      </c>
      <c r="V97" s="54">
        <v>0</v>
      </c>
      <c r="W97" s="54">
        <v>1</v>
      </c>
      <c r="X97" s="54">
        <v>2</v>
      </c>
      <c r="Y97" s="54">
        <v>3</v>
      </c>
      <c r="Z97" s="54">
        <v>4</v>
      </c>
      <c r="AA97" s="54">
        <v>5</v>
      </c>
      <c r="AB97" s="54">
        <v>6</v>
      </c>
      <c r="AC97" s="54">
        <v>7</v>
      </c>
      <c r="AD97" s="54">
        <v>8</v>
      </c>
      <c r="AE97" s="54">
        <v>9</v>
      </c>
      <c r="AF97" s="55">
        <v>0</v>
      </c>
      <c r="AG97" s="55">
        <v>1</v>
      </c>
      <c r="AH97" s="55">
        <v>2</v>
      </c>
      <c r="AI97" s="55">
        <v>3</v>
      </c>
      <c r="AJ97" s="55">
        <v>4</v>
      </c>
      <c r="AK97" s="55">
        <v>5</v>
      </c>
      <c r="AL97" s="55">
        <v>6</v>
      </c>
      <c r="AM97" s="55">
        <v>7</v>
      </c>
      <c r="AN97" s="55">
        <v>8</v>
      </c>
      <c r="AO97" s="55">
        <v>9</v>
      </c>
      <c r="AP97" s="105">
        <v>0</v>
      </c>
      <c r="AQ97" s="105">
        <v>1</v>
      </c>
      <c r="AR97" s="105">
        <v>2</v>
      </c>
      <c r="AS97" s="105">
        <v>3</v>
      </c>
      <c r="AT97" s="105">
        <v>4</v>
      </c>
      <c r="AU97" s="105">
        <v>5</v>
      </c>
      <c r="AV97" s="105">
        <v>6</v>
      </c>
      <c r="AW97" s="105">
        <v>7</v>
      </c>
      <c r="AX97" s="105">
        <v>8</v>
      </c>
      <c r="AY97" s="105">
        <v>9</v>
      </c>
      <c r="AZ97" s="56">
        <v>0</v>
      </c>
      <c r="BA97" s="56">
        <v>1</v>
      </c>
      <c r="BB97" s="56">
        <v>2</v>
      </c>
      <c r="BC97" s="56">
        <v>3</v>
      </c>
      <c r="BD97" s="56">
        <v>4</v>
      </c>
      <c r="BE97" s="56">
        <v>5</v>
      </c>
      <c r="BF97" s="56">
        <v>6</v>
      </c>
      <c r="BG97" s="56">
        <v>7</v>
      </c>
      <c r="BH97" s="56">
        <v>8</v>
      </c>
      <c r="BI97" s="56">
        <v>9</v>
      </c>
      <c r="BJ97" s="57" t="str">
        <f t="shared" si="39"/>
        <v>松散型</v>
      </c>
      <c r="BK97" s="13">
        <f t="shared" si="35"/>
        <v>1</v>
      </c>
      <c r="BL97" s="13">
        <f t="shared" si="36"/>
        <v>6</v>
      </c>
      <c r="BM97" s="18" t="str">
        <f t="shared" si="41"/>
        <v/>
      </c>
      <c r="BN97" s="19">
        <f t="shared" si="42"/>
        <v>1</v>
      </c>
      <c r="BO97" s="19" t="str">
        <f t="array" ref="BO97">_xlfn.TEXTJOIN("",TRUE,IF(ISERROR(FIND(ROW($1:$10)-1,BM97&amp;BN97)),ROW($1:$10)-1,""))</f>
        <v>023456789</v>
      </c>
      <c r="BP97" s="20" t="str">
        <f t="shared" si="43"/>
        <v>中隔中</v>
      </c>
      <c r="BQ97" s="21" t="str">
        <f t="shared" si="54"/>
        <v/>
      </c>
      <c r="BR97" s="21" t="str">
        <f t="shared" si="52"/>
        <v/>
      </c>
      <c r="BS97" s="21" t="str">
        <f t="array" ref="BS97">_xlfn.TEXTJOIN("",TRUE,IF(ISERROR(FIND(ROW($1:$10)-1,BQ97&amp;BR97)),ROW($1:$10)-1,""))</f>
        <v>0123456789</v>
      </c>
      <c r="BT97" s="20" t="str">
        <f t="shared" si="44"/>
        <v>中中中</v>
      </c>
      <c r="BU97" s="22" t="str">
        <f t="shared" si="45"/>
        <v/>
      </c>
      <c r="BV97" s="22" t="str">
        <f t="shared" si="53"/>
        <v/>
      </c>
      <c r="BW97" s="22" t="str">
        <f t="array" ref="BW97">_xlfn.TEXTJOIN("",TRUE,IF(ISERROR(FIND(ROW($1:$10)-1,BU97&amp;BV97)),ROW($1:$10)-1,""))</f>
        <v>0123456789</v>
      </c>
      <c r="BX97" s="20" t="str">
        <f t="shared" si="46"/>
        <v>中中中</v>
      </c>
      <c r="BY97" s="23" t="str">
        <f t="shared" si="40"/>
        <v>02</v>
      </c>
      <c r="BZ97" s="24" t="str">
        <f t="array" ref="BZ97">_xlfn.TEXTJOIN("",TRUE,IF(ISNUMBER(FIND(MID(BY96&amp;Q96,ROW($1:$4),1),BY97&amp;Q97)),MID(BY96&amp;Q96,ROW($1:$4),1),""))</f>
        <v>10</v>
      </c>
      <c r="CA97" s="25" t="str">
        <f t="array" ref="CA97">_xlfn.TEXTJOIN("",TRUE,IF(ISERROR(FIND(ROW($1:$10)-1,BY97&amp;BZ97)),ROW($1:$10)-1,""))</f>
        <v>3456789</v>
      </c>
      <c r="CB97" s="26" t="str">
        <f t="shared" si="47"/>
        <v>邻传孤</v>
      </c>
      <c r="CC97" s="27" t="str">
        <f t="shared" si="48"/>
        <v>46</v>
      </c>
      <c r="CD97" s="27" t="str">
        <f t="array" ref="CD97">_xlfn.TEXTJOIN("",TRUE,IF(ISNUMBER(FIND(MID(CC96&amp;R96,ROW($1:$4),1),CC97&amp;R97)),MID(CC96&amp;R96,ROW($1:$4),1),""))</f>
        <v>54</v>
      </c>
      <c r="CE97" s="27" t="str">
        <f t="array" ref="CE97">_xlfn.TEXTJOIN("",TRUE,IF(ISERROR(FIND(ROW($1:$10)-1,CC97&amp;CD97)),ROW($1:$10)-1,""))</f>
        <v>0123789</v>
      </c>
      <c r="CF97" s="17" t="str">
        <f t="shared" si="49"/>
        <v>邻传孤</v>
      </c>
      <c r="CG97" s="22" t="str">
        <f t="shared" si="50"/>
        <v>57</v>
      </c>
      <c r="CH97" s="22" t="str">
        <f t="array" ref="CH97">_xlfn.TEXTJOIN("",TRUE,IF(ISNUMBER(FIND(MID(CG96&amp;S96,ROW($1:$4),1),CG97&amp;S97)),MID(CG96&amp;S96,ROW($1:$4),1),""))</f>
        <v>5</v>
      </c>
      <c r="CI97" s="22" t="str">
        <f t="array" ref="CI97">_xlfn.TEXTJOIN("",TRUE,IF(ISERROR(FIND(ROW($1:$10)-1,CG97&amp;CH97)),ROW($1:$10)-1,""))</f>
        <v>01234689</v>
      </c>
      <c r="CJ97" s="28" t="str">
        <f t="shared" si="51"/>
        <v>邻传孤</v>
      </c>
    </row>
    <row r="98" spans="1:88">
      <c r="A98" s="32">
        <v>2024225</v>
      </c>
      <c r="B98" s="8" t="s">
        <v>75</v>
      </c>
      <c r="C98" s="49">
        <f t="shared" ref="C98:C122" si="60">LEFT(B98,1)+MID(B98,2,1)+RIGHT(B98,1)</f>
        <v>20</v>
      </c>
      <c r="D98" s="50">
        <f t="shared" ref="D98:D122" si="61">MOD(LEFT(B98,1)+MID(B98,2,1)+RIGHT(B98,1),10)</f>
        <v>0</v>
      </c>
      <c r="E98" s="51">
        <f t="shared" si="37"/>
        <v>6.6666666666666696</v>
      </c>
      <c r="F98" s="52">
        <f>MAX(MID(B98,{1,2,3},1)*1)-MIN(MID(B98,{1,2,3},1)*1)</f>
        <v>4</v>
      </c>
      <c r="G98" s="104">
        <v>0</v>
      </c>
      <c r="H98" s="104">
        <v>1</v>
      </c>
      <c r="I98" s="104">
        <v>2</v>
      </c>
      <c r="J98" s="104">
        <v>3</v>
      </c>
      <c r="K98" s="104">
        <v>4</v>
      </c>
      <c r="L98" s="104">
        <v>5</v>
      </c>
      <c r="M98" s="104">
        <v>6</v>
      </c>
      <c r="N98" s="104">
        <v>7</v>
      </c>
      <c r="O98" s="104">
        <v>8</v>
      </c>
      <c r="P98" s="104">
        <v>9</v>
      </c>
      <c r="Q98" s="53">
        <f t="shared" ref="Q98:Q122" si="62">ABS(LEFT(B98,1)-MID(B98,2,1))</f>
        <v>0</v>
      </c>
      <c r="R98" s="53">
        <f t="shared" ref="R98:R122" si="63">ABS(LEFT(B98,1)-RIGHT(B98,1))</f>
        <v>4</v>
      </c>
      <c r="S98" s="53">
        <f t="shared" ref="S98:S122" si="64">ABS(MID(B98,2,1)-RIGHT(B98,1))</f>
        <v>4</v>
      </c>
      <c r="T98" s="101">
        <f t="shared" si="38"/>
        <v>8</v>
      </c>
      <c r="U98" s="15" t="str">
        <f>_xlfn.TEXTJOIN(", ",TRUE,ABS(MID(B98,{1,1,2},1)-MID(B98,{2,3,3},1)))</f>
        <v>0, 4, 4</v>
      </c>
      <c r="V98" s="54">
        <v>0</v>
      </c>
      <c r="W98" s="54">
        <v>1</v>
      </c>
      <c r="X98" s="54">
        <v>2</v>
      </c>
      <c r="Y98" s="54">
        <v>3</v>
      </c>
      <c r="Z98" s="54">
        <v>4</v>
      </c>
      <c r="AA98" s="54">
        <v>5</v>
      </c>
      <c r="AB98" s="54">
        <v>6</v>
      </c>
      <c r="AC98" s="54">
        <v>7</v>
      </c>
      <c r="AD98" s="54">
        <v>8</v>
      </c>
      <c r="AE98" s="54">
        <v>9</v>
      </c>
      <c r="AF98" s="55">
        <v>0</v>
      </c>
      <c r="AG98" s="55">
        <v>1</v>
      </c>
      <c r="AH98" s="55">
        <v>2</v>
      </c>
      <c r="AI98" s="55">
        <v>3</v>
      </c>
      <c r="AJ98" s="55">
        <v>4</v>
      </c>
      <c r="AK98" s="55">
        <v>5</v>
      </c>
      <c r="AL98" s="55">
        <v>6</v>
      </c>
      <c r="AM98" s="55">
        <v>7</v>
      </c>
      <c r="AN98" s="55">
        <v>8</v>
      </c>
      <c r="AO98" s="55">
        <v>9</v>
      </c>
      <c r="AP98" s="105">
        <v>0</v>
      </c>
      <c r="AQ98" s="105">
        <v>1</v>
      </c>
      <c r="AR98" s="105">
        <v>2</v>
      </c>
      <c r="AS98" s="105">
        <v>3</v>
      </c>
      <c r="AT98" s="105">
        <v>4</v>
      </c>
      <c r="AU98" s="105">
        <v>5</v>
      </c>
      <c r="AV98" s="105">
        <v>6</v>
      </c>
      <c r="AW98" s="105">
        <v>7</v>
      </c>
      <c r="AX98" s="105">
        <v>8</v>
      </c>
      <c r="AY98" s="105">
        <v>9</v>
      </c>
      <c r="AZ98" s="56">
        <v>0</v>
      </c>
      <c r="BA98" s="56">
        <v>1</v>
      </c>
      <c r="BB98" s="56">
        <v>2</v>
      </c>
      <c r="BC98" s="56">
        <v>3</v>
      </c>
      <c r="BD98" s="56">
        <v>4</v>
      </c>
      <c r="BE98" s="56">
        <v>5</v>
      </c>
      <c r="BF98" s="56">
        <v>6</v>
      </c>
      <c r="BG98" s="56">
        <v>7</v>
      </c>
      <c r="BH98" s="56">
        <v>8</v>
      </c>
      <c r="BI98" s="56">
        <v>9</v>
      </c>
      <c r="BJ98" s="57" t="str">
        <f t="shared" si="39"/>
        <v>紧凑型</v>
      </c>
      <c r="BK98" s="13">
        <f t="shared" si="35"/>
        <v>0</v>
      </c>
      <c r="BL98" s="13">
        <f t="shared" si="36"/>
        <v>4</v>
      </c>
      <c r="BM98" s="18" t="str">
        <f t="shared" si="41"/>
        <v/>
      </c>
      <c r="BN98" s="19">
        <f t="shared" si="42"/>
        <v>0</v>
      </c>
      <c r="BO98" s="19" t="str">
        <f t="array" ref="BO98">_xlfn.TEXTJOIN("",TRUE,IF(ISERROR(FIND(ROW($1:$10)-1,BM98&amp;BN98)),ROW($1:$10)-1,""))</f>
        <v>123456789</v>
      </c>
      <c r="BP98" s="20" t="str">
        <f t="shared" si="43"/>
        <v>中隔中</v>
      </c>
      <c r="BQ98" s="21" t="str">
        <f t="shared" si="54"/>
        <v/>
      </c>
      <c r="BR98" s="21">
        <f t="shared" si="52"/>
        <v>4</v>
      </c>
      <c r="BS98" s="21" t="str">
        <f t="array" ref="BS98">_xlfn.TEXTJOIN("",TRUE,IF(ISERROR(FIND(ROW($1:$10)-1,BQ98&amp;BR98)),ROW($1:$10)-1,""))</f>
        <v>012356789</v>
      </c>
      <c r="BT98" s="20" t="str">
        <f t="shared" si="44"/>
        <v>中隔中</v>
      </c>
      <c r="BU98" s="22" t="str">
        <f t="shared" si="45"/>
        <v/>
      </c>
      <c r="BV98" s="22">
        <f t="shared" si="53"/>
        <v>4</v>
      </c>
      <c r="BW98" s="22" t="str">
        <f t="array" ref="BW98">_xlfn.TEXTJOIN("",TRUE,IF(ISERROR(FIND(ROW($1:$10)-1,BU98&amp;BV98)),ROW($1:$10)-1,""))</f>
        <v>012356789</v>
      </c>
      <c r="BX98" s="20" t="str">
        <f t="shared" si="46"/>
        <v>中隔中</v>
      </c>
      <c r="BY98" s="23" t="str">
        <f t="shared" si="40"/>
        <v>91</v>
      </c>
      <c r="BZ98" s="24" t="str">
        <f t="array" ref="BZ98">_xlfn.TEXTJOIN("",TRUE,IF(ISNUMBER(FIND(MID(BY97&amp;Q97,ROW($1:$4),1),BY98&amp;Q98)),MID(BY97&amp;Q97,ROW($1:$4),1),""))</f>
        <v>01</v>
      </c>
      <c r="CA98" s="25" t="str">
        <f t="array" ref="CA98">_xlfn.TEXTJOIN("",TRUE,IF(ISERROR(FIND(ROW($1:$10)-1,BY98&amp;BZ98)),ROW($1:$10)-1,""))</f>
        <v>2345678</v>
      </c>
      <c r="CB98" s="26" t="str">
        <f t="shared" si="47"/>
        <v>邻传孤</v>
      </c>
      <c r="CC98" s="27" t="str">
        <f t="shared" si="48"/>
        <v>35</v>
      </c>
      <c r="CD98" s="27" t="str">
        <f t="array" ref="CD98">_xlfn.TEXTJOIN("",TRUE,IF(ISNUMBER(FIND(MID(CC97&amp;R97,ROW($1:$4),1),CC98&amp;R98)),MID(CC97&amp;R97,ROW($1:$4),1),""))</f>
        <v>45</v>
      </c>
      <c r="CE98" s="27" t="str">
        <f t="array" ref="CE98">_xlfn.TEXTJOIN("",TRUE,IF(ISERROR(FIND(ROW($1:$10)-1,CC98&amp;CD98)),ROW($1:$10)-1,""))</f>
        <v>0126789</v>
      </c>
      <c r="CF98" s="17" t="str">
        <f t="shared" si="49"/>
        <v>邻传孤</v>
      </c>
      <c r="CG98" s="22" t="str">
        <f t="shared" si="50"/>
        <v>35</v>
      </c>
      <c r="CH98" s="22" t="str">
        <f t="array" ref="CH98">_xlfn.TEXTJOIN("",TRUE,IF(ISNUMBER(FIND(MID(CG97&amp;S97,ROW($1:$4),1),CG98&amp;S98)),MID(CG97&amp;S97,ROW($1:$4),1),""))</f>
        <v>5</v>
      </c>
      <c r="CI98" s="22" t="str">
        <f t="array" ref="CI98">_xlfn.TEXTJOIN("",TRUE,IF(ISERROR(FIND(ROW($1:$10)-1,CG98&amp;CH98)),ROW($1:$10)-1,""))</f>
        <v>01246789</v>
      </c>
      <c r="CJ98" s="28" t="str">
        <f t="shared" si="51"/>
        <v>邻传孤</v>
      </c>
    </row>
    <row r="99" spans="1:88">
      <c r="A99" s="32">
        <v>2024226</v>
      </c>
      <c r="B99" s="8" t="s">
        <v>80</v>
      </c>
      <c r="C99" s="49">
        <f t="shared" si="60"/>
        <v>11</v>
      </c>
      <c r="D99" s="50">
        <f t="shared" si="61"/>
        <v>1</v>
      </c>
      <c r="E99" s="51">
        <f t="shared" si="37"/>
        <v>3.6666666666666701</v>
      </c>
      <c r="F99" s="52">
        <f>MAX(MID(B99,{1,2,3},1)*1)-MIN(MID(B99,{1,2,3},1)*1)</f>
        <v>8</v>
      </c>
      <c r="G99" s="104">
        <v>0</v>
      </c>
      <c r="H99" s="104">
        <v>1</v>
      </c>
      <c r="I99" s="104">
        <v>2</v>
      </c>
      <c r="J99" s="104">
        <v>3</v>
      </c>
      <c r="K99" s="104">
        <v>4</v>
      </c>
      <c r="L99" s="104">
        <v>5</v>
      </c>
      <c r="M99" s="104">
        <v>6</v>
      </c>
      <c r="N99" s="104">
        <v>7</v>
      </c>
      <c r="O99" s="104">
        <v>8</v>
      </c>
      <c r="P99" s="104">
        <v>9</v>
      </c>
      <c r="Q99" s="53">
        <f t="shared" si="62"/>
        <v>5</v>
      </c>
      <c r="R99" s="53">
        <f t="shared" si="63"/>
        <v>3</v>
      </c>
      <c r="S99" s="53">
        <f t="shared" si="64"/>
        <v>8</v>
      </c>
      <c r="T99" s="101">
        <f t="shared" si="38"/>
        <v>16</v>
      </c>
      <c r="U99" s="15" t="str">
        <f>_xlfn.TEXTJOIN(", ",TRUE,ABS(MID(B99,{1,1,2},1)-MID(B99,{2,3,3},1)))</f>
        <v>5, 3, 8</v>
      </c>
      <c r="V99" s="54">
        <v>0</v>
      </c>
      <c r="W99" s="54">
        <v>1</v>
      </c>
      <c r="X99" s="54">
        <v>2</v>
      </c>
      <c r="Y99" s="54">
        <v>3</v>
      </c>
      <c r="Z99" s="54">
        <v>4</v>
      </c>
      <c r="AA99" s="54">
        <v>5</v>
      </c>
      <c r="AB99" s="54">
        <v>6</v>
      </c>
      <c r="AC99" s="54">
        <v>7</v>
      </c>
      <c r="AD99" s="54">
        <v>8</v>
      </c>
      <c r="AE99" s="54">
        <v>9</v>
      </c>
      <c r="AF99" s="55">
        <v>0</v>
      </c>
      <c r="AG99" s="55">
        <v>1</v>
      </c>
      <c r="AH99" s="55">
        <v>2</v>
      </c>
      <c r="AI99" s="55">
        <v>3</v>
      </c>
      <c r="AJ99" s="55">
        <v>4</v>
      </c>
      <c r="AK99" s="55">
        <v>5</v>
      </c>
      <c r="AL99" s="55">
        <v>6</v>
      </c>
      <c r="AM99" s="55">
        <v>7</v>
      </c>
      <c r="AN99" s="55">
        <v>8</v>
      </c>
      <c r="AO99" s="55">
        <v>9</v>
      </c>
      <c r="AP99" s="105">
        <v>0</v>
      </c>
      <c r="AQ99" s="105">
        <v>1</v>
      </c>
      <c r="AR99" s="105">
        <v>2</v>
      </c>
      <c r="AS99" s="105">
        <v>3</v>
      </c>
      <c r="AT99" s="105">
        <v>4</v>
      </c>
      <c r="AU99" s="105">
        <v>5</v>
      </c>
      <c r="AV99" s="105">
        <v>6</v>
      </c>
      <c r="AW99" s="105">
        <v>7</v>
      </c>
      <c r="AX99" s="105">
        <v>8</v>
      </c>
      <c r="AY99" s="105">
        <v>9</v>
      </c>
      <c r="AZ99" s="56">
        <v>0</v>
      </c>
      <c r="BA99" s="56">
        <v>1</v>
      </c>
      <c r="BB99" s="56">
        <v>2</v>
      </c>
      <c r="BC99" s="56">
        <v>3</v>
      </c>
      <c r="BD99" s="56">
        <v>4</v>
      </c>
      <c r="BE99" s="56">
        <v>5</v>
      </c>
      <c r="BF99" s="56">
        <v>6</v>
      </c>
      <c r="BG99" s="56">
        <v>7</v>
      </c>
      <c r="BH99" s="56">
        <v>8</v>
      </c>
      <c r="BI99" s="56">
        <v>9</v>
      </c>
      <c r="BJ99" s="57" t="str">
        <f t="shared" si="39"/>
        <v>松散型</v>
      </c>
      <c r="BK99" s="13">
        <f t="shared" si="35"/>
        <v>3</v>
      </c>
      <c r="BL99" s="13">
        <f t="shared" si="36"/>
        <v>8</v>
      </c>
      <c r="BM99" s="18" t="str">
        <f t="shared" si="41"/>
        <v/>
      </c>
      <c r="BN99" s="19">
        <f t="shared" si="42"/>
        <v>5</v>
      </c>
      <c r="BO99" s="19" t="str">
        <f t="array" ref="BO99">_xlfn.TEXTJOIN("",TRUE,IF(ISERROR(FIND(ROW($1:$10)-1,BM99&amp;BN99)),ROW($1:$10)-1,""))</f>
        <v>012346789</v>
      </c>
      <c r="BP99" s="20" t="str">
        <f t="shared" si="43"/>
        <v>中隔中</v>
      </c>
      <c r="BQ99" s="21" t="str">
        <f t="shared" si="54"/>
        <v/>
      </c>
      <c r="BR99" s="21" t="str">
        <f t="shared" si="52"/>
        <v/>
      </c>
      <c r="BS99" s="21" t="str">
        <f t="array" ref="BS99">_xlfn.TEXTJOIN("",TRUE,IF(ISERROR(FIND(ROW($1:$10)-1,BQ99&amp;BR99)),ROW($1:$10)-1,""))</f>
        <v>0123456789</v>
      </c>
      <c r="BT99" s="20" t="str">
        <f t="shared" si="44"/>
        <v>中中中</v>
      </c>
      <c r="BU99" s="22" t="str">
        <f t="shared" si="45"/>
        <v/>
      </c>
      <c r="BV99" s="22" t="str">
        <f t="shared" si="53"/>
        <v/>
      </c>
      <c r="BW99" s="22" t="str">
        <f t="array" ref="BW99">_xlfn.TEXTJOIN("",TRUE,IF(ISERROR(FIND(ROW($1:$10)-1,BU99&amp;BV99)),ROW($1:$10)-1,""))</f>
        <v>0123456789</v>
      </c>
      <c r="BX99" s="20" t="str">
        <f t="shared" si="46"/>
        <v>中中中</v>
      </c>
      <c r="BY99" s="23" t="str">
        <f t="shared" si="40"/>
        <v>46</v>
      </c>
      <c r="BZ99" s="24" t="str">
        <f t="array" ref="BZ99">_xlfn.TEXTJOIN("",TRUE,IF(ISNUMBER(FIND(MID(BY98&amp;Q98,ROW($1:$4),1),BY99&amp;Q99)),MID(BY98&amp;Q98,ROW($1:$4),1),""))</f>
        <v/>
      </c>
      <c r="CA99" s="25" t="str">
        <f t="array" ref="CA99">_xlfn.TEXTJOIN("",TRUE,IF(ISERROR(FIND(ROW($1:$10)-1,BY99&amp;BZ99)),ROW($1:$10)-1,""))</f>
        <v>01235789</v>
      </c>
      <c r="CB99" s="26" t="str">
        <f t="shared" si="47"/>
        <v>邻孤孤</v>
      </c>
      <c r="CC99" s="27" t="str">
        <f t="shared" si="48"/>
        <v>24</v>
      </c>
      <c r="CD99" s="27" t="str">
        <f t="array" ref="CD99">_xlfn.TEXTJOIN("",TRUE,IF(ISNUMBER(FIND(MID(CC98&amp;R98,ROW($1:$4),1),CC99&amp;R99)),MID(CC98&amp;R98,ROW($1:$4),1),""))</f>
        <v>34</v>
      </c>
      <c r="CE99" s="27" t="str">
        <f t="array" ref="CE99">_xlfn.TEXTJOIN("",TRUE,IF(ISERROR(FIND(ROW($1:$10)-1,CC99&amp;CD99)),ROW($1:$10)-1,""))</f>
        <v>0156789</v>
      </c>
      <c r="CF99" s="17" t="str">
        <f t="shared" si="49"/>
        <v>邻传孤</v>
      </c>
      <c r="CG99" s="22" t="str">
        <f t="shared" si="50"/>
        <v>79</v>
      </c>
      <c r="CH99" s="22" t="str">
        <f t="array" ref="CH99">_xlfn.TEXTJOIN("",TRUE,IF(ISNUMBER(FIND(MID(CG98&amp;S98,ROW($1:$4),1),CG99&amp;S99)),MID(CG98&amp;S98,ROW($1:$4),1),""))</f>
        <v/>
      </c>
      <c r="CI99" s="22" t="str">
        <f t="array" ref="CI99">_xlfn.TEXTJOIN("",TRUE,IF(ISERROR(FIND(ROW($1:$10)-1,CG99&amp;CH99)),ROW($1:$10)-1,""))</f>
        <v>01234568</v>
      </c>
      <c r="CJ99" s="28" t="str">
        <f t="shared" si="51"/>
        <v>邻孤孤</v>
      </c>
    </row>
    <row r="100" spans="1:88">
      <c r="A100" s="32">
        <v>2024227</v>
      </c>
      <c r="B100" s="8" t="s">
        <v>116</v>
      </c>
      <c r="C100" s="49">
        <f t="shared" si="60"/>
        <v>6</v>
      </c>
      <c r="D100" s="50">
        <f t="shared" si="61"/>
        <v>6</v>
      </c>
      <c r="E100" s="51">
        <f t="shared" si="37"/>
        <v>2</v>
      </c>
      <c r="F100" s="52">
        <f>MAX(MID(B100,{1,2,3},1)*1)-MIN(MID(B100,{1,2,3},1)*1)</f>
        <v>2</v>
      </c>
      <c r="G100" s="104">
        <v>0</v>
      </c>
      <c r="H100" s="104">
        <v>1</v>
      </c>
      <c r="I100" s="104">
        <v>2</v>
      </c>
      <c r="J100" s="104">
        <v>3</v>
      </c>
      <c r="K100" s="104">
        <v>4</v>
      </c>
      <c r="L100" s="104">
        <v>5</v>
      </c>
      <c r="M100" s="104">
        <v>6</v>
      </c>
      <c r="N100" s="104">
        <v>7</v>
      </c>
      <c r="O100" s="104">
        <v>8</v>
      </c>
      <c r="P100" s="104">
        <v>9</v>
      </c>
      <c r="Q100" s="53">
        <f t="shared" si="62"/>
        <v>2</v>
      </c>
      <c r="R100" s="53">
        <f t="shared" si="63"/>
        <v>1</v>
      </c>
      <c r="S100" s="53">
        <f t="shared" si="64"/>
        <v>1</v>
      </c>
      <c r="T100" s="101">
        <f t="shared" si="38"/>
        <v>4</v>
      </c>
      <c r="U100" s="15" t="str">
        <f>_xlfn.TEXTJOIN(", ",TRUE,ABS(MID(B100,{1,1,2},1)-MID(B100,{2,3,3},1)))</f>
        <v>2, 1, 1</v>
      </c>
      <c r="V100" s="54">
        <v>0</v>
      </c>
      <c r="W100" s="54">
        <v>1</v>
      </c>
      <c r="X100" s="54">
        <v>2</v>
      </c>
      <c r="Y100" s="54">
        <v>3</v>
      </c>
      <c r="Z100" s="54">
        <v>4</v>
      </c>
      <c r="AA100" s="54">
        <v>5</v>
      </c>
      <c r="AB100" s="54">
        <v>6</v>
      </c>
      <c r="AC100" s="54">
        <v>7</v>
      </c>
      <c r="AD100" s="54">
        <v>8</v>
      </c>
      <c r="AE100" s="54">
        <v>9</v>
      </c>
      <c r="AF100" s="55">
        <v>0</v>
      </c>
      <c r="AG100" s="55">
        <v>1</v>
      </c>
      <c r="AH100" s="55">
        <v>2</v>
      </c>
      <c r="AI100" s="55">
        <v>3</v>
      </c>
      <c r="AJ100" s="55">
        <v>4</v>
      </c>
      <c r="AK100" s="55">
        <v>5</v>
      </c>
      <c r="AL100" s="55">
        <v>6</v>
      </c>
      <c r="AM100" s="55">
        <v>7</v>
      </c>
      <c r="AN100" s="55">
        <v>8</v>
      </c>
      <c r="AO100" s="55">
        <v>9</v>
      </c>
      <c r="AP100" s="105">
        <v>0</v>
      </c>
      <c r="AQ100" s="105">
        <v>1</v>
      </c>
      <c r="AR100" s="105">
        <v>2</v>
      </c>
      <c r="AS100" s="105">
        <v>3</v>
      </c>
      <c r="AT100" s="105">
        <v>4</v>
      </c>
      <c r="AU100" s="105">
        <v>5</v>
      </c>
      <c r="AV100" s="105">
        <v>6</v>
      </c>
      <c r="AW100" s="105">
        <v>7</v>
      </c>
      <c r="AX100" s="105">
        <v>8</v>
      </c>
      <c r="AY100" s="105">
        <v>9</v>
      </c>
      <c r="AZ100" s="56">
        <v>0</v>
      </c>
      <c r="BA100" s="56">
        <v>1</v>
      </c>
      <c r="BB100" s="56">
        <v>2</v>
      </c>
      <c r="BC100" s="56">
        <v>3</v>
      </c>
      <c r="BD100" s="56">
        <v>4</v>
      </c>
      <c r="BE100" s="56">
        <v>5</v>
      </c>
      <c r="BF100" s="56">
        <v>6</v>
      </c>
      <c r="BG100" s="56">
        <v>7</v>
      </c>
      <c r="BH100" s="56">
        <v>8</v>
      </c>
      <c r="BI100" s="56">
        <v>9</v>
      </c>
      <c r="BJ100" s="57" t="str">
        <f t="shared" si="39"/>
        <v>紧凑型</v>
      </c>
      <c r="BK100" s="13">
        <f t="shared" si="35"/>
        <v>1</v>
      </c>
      <c r="BL100" s="13">
        <f t="shared" si="36"/>
        <v>2</v>
      </c>
      <c r="BM100" s="18" t="str">
        <f t="shared" si="41"/>
        <v/>
      </c>
      <c r="BN100" s="19" t="str">
        <f t="shared" si="42"/>
        <v/>
      </c>
      <c r="BO100" s="19" t="str">
        <f t="array" ref="BO100">_xlfn.TEXTJOIN("",TRUE,IF(ISERROR(FIND(ROW($1:$10)-1,BM100&amp;BN100)),ROW($1:$10)-1,""))</f>
        <v>0123456789</v>
      </c>
      <c r="BP100" s="20" t="str">
        <f t="shared" si="43"/>
        <v>中中中</v>
      </c>
      <c r="BQ100" s="21" t="str">
        <f t="shared" si="54"/>
        <v/>
      </c>
      <c r="BR100" s="21" t="str">
        <f t="shared" si="52"/>
        <v/>
      </c>
      <c r="BS100" s="21" t="str">
        <f t="array" ref="BS100">_xlfn.TEXTJOIN("",TRUE,IF(ISERROR(FIND(ROW($1:$10)-1,BQ100&amp;BR100)),ROW($1:$10)-1,""))</f>
        <v>0123456789</v>
      </c>
      <c r="BT100" s="20" t="str">
        <f t="shared" si="44"/>
        <v>中中中</v>
      </c>
      <c r="BU100" s="22" t="str">
        <f t="shared" si="45"/>
        <v/>
      </c>
      <c r="BV100" s="22" t="str">
        <f t="shared" si="53"/>
        <v/>
      </c>
      <c r="BW100" s="22" t="str">
        <f t="array" ref="BW100">_xlfn.TEXTJOIN("",TRUE,IF(ISERROR(FIND(ROW($1:$10)-1,BU100&amp;BV100)),ROW($1:$10)-1,""))</f>
        <v>0123456789</v>
      </c>
      <c r="BX100" s="20" t="str">
        <f t="shared" si="46"/>
        <v>中中中</v>
      </c>
      <c r="BY100" s="23" t="str">
        <f t="shared" si="40"/>
        <v>13</v>
      </c>
      <c r="BZ100" s="24" t="str">
        <f t="array" ref="BZ100">_xlfn.TEXTJOIN("",TRUE,IF(ISNUMBER(FIND(MID(BY99&amp;Q99,ROW($1:$4),1),BY100&amp;Q100)),MID(BY99&amp;Q99,ROW($1:$4),1),""))</f>
        <v/>
      </c>
      <c r="CA100" s="25" t="str">
        <f t="array" ref="CA100">_xlfn.TEXTJOIN("",TRUE,IF(ISERROR(FIND(ROW($1:$10)-1,BY100&amp;BZ100)),ROW($1:$10)-1,""))</f>
        <v>02456789</v>
      </c>
      <c r="CB100" s="26" t="str">
        <f t="shared" si="47"/>
        <v>邻孤孤</v>
      </c>
      <c r="CC100" s="27" t="str">
        <f t="shared" si="48"/>
        <v>02</v>
      </c>
      <c r="CD100" s="27" t="str">
        <f t="array" ref="CD100">_xlfn.TEXTJOIN("",TRUE,IF(ISNUMBER(FIND(MID(CC99&amp;R99,ROW($1:$4),1),CC100&amp;R100)),MID(CC99&amp;R99,ROW($1:$4),1),""))</f>
        <v>2</v>
      </c>
      <c r="CE100" s="27" t="str">
        <f t="array" ref="CE100">_xlfn.TEXTJOIN("",TRUE,IF(ISERROR(FIND(ROW($1:$10)-1,CC100&amp;CD100)),ROW($1:$10)-1,""))</f>
        <v>13456789</v>
      </c>
      <c r="CF100" s="17" t="str">
        <f t="shared" si="49"/>
        <v>邻传孤</v>
      </c>
      <c r="CG100" s="22" t="str">
        <f t="shared" si="50"/>
        <v>02</v>
      </c>
      <c r="CH100" s="22" t="str">
        <f t="array" ref="CH100">_xlfn.TEXTJOIN("",TRUE,IF(ISNUMBER(FIND(MID(CG99&amp;S99,ROW($1:$4),1),CG100&amp;S100)),MID(CG99&amp;S99,ROW($1:$4),1),""))</f>
        <v/>
      </c>
      <c r="CI100" s="22" t="str">
        <f t="array" ref="CI100">_xlfn.TEXTJOIN("",TRUE,IF(ISERROR(FIND(ROW($1:$10)-1,CG100&amp;CH100)),ROW($1:$10)-1,""))</f>
        <v>13456789</v>
      </c>
      <c r="CJ100" s="28" t="str">
        <f t="shared" si="51"/>
        <v>邻孤孤</v>
      </c>
    </row>
    <row r="101" spans="1:88">
      <c r="A101" s="32">
        <v>2024228</v>
      </c>
      <c r="B101" s="8" t="s">
        <v>117</v>
      </c>
      <c r="C101" s="49">
        <f t="shared" si="60"/>
        <v>19</v>
      </c>
      <c r="D101" s="50">
        <f t="shared" si="61"/>
        <v>9</v>
      </c>
      <c r="E101" s="51">
        <f t="shared" si="37"/>
        <v>6.3333333333333304</v>
      </c>
      <c r="F101" s="52">
        <f>MAX(MID(B101,{1,2,3},1)*1)-MIN(MID(B101,{1,2,3},1)*1)</f>
        <v>7</v>
      </c>
      <c r="G101" s="104">
        <v>0</v>
      </c>
      <c r="H101" s="104">
        <v>1</v>
      </c>
      <c r="I101" s="104">
        <v>2</v>
      </c>
      <c r="J101" s="104">
        <v>3</v>
      </c>
      <c r="K101" s="104">
        <v>4</v>
      </c>
      <c r="L101" s="104">
        <v>5</v>
      </c>
      <c r="M101" s="104">
        <v>6</v>
      </c>
      <c r="N101" s="104">
        <v>7</v>
      </c>
      <c r="O101" s="104">
        <v>8</v>
      </c>
      <c r="P101" s="104">
        <v>9</v>
      </c>
      <c r="Q101" s="53">
        <f t="shared" si="62"/>
        <v>7</v>
      </c>
      <c r="R101" s="53">
        <f t="shared" si="63"/>
        <v>6</v>
      </c>
      <c r="S101" s="53">
        <f t="shared" si="64"/>
        <v>1</v>
      </c>
      <c r="T101" s="101">
        <f t="shared" si="38"/>
        <v>14</v>
      </c>
      <c r="U101" s="15" t="str">
        <f>_xlfn.TEXTJOIN(", ",TRUE,ABS(MID(B101,{1,1,2},1)-MID(B101,{2,3,3},1)))</f>
        <v>7, 6, 1</v>
      </c>
      <c r="V101" s="54">
        <v>0</v>
      </c>
      <c r="W101" s="54">
        <v>1</v>
      </c>
      <c r="X101" s="54">
        <v>2</v>
      </c>
      <c r="Y101" s="54">
        <v>3</v>
      </c>
      <c r="Z101" s="54">
        <v>4</v>
      </c>
      <c r="AA101" s="54">
        <v>5</v>
      </c>
      <c r="AB101" s="54">
        <v>6</v>
      </c>
      <c r="AC101" s="54">
        <v>7</v>
      </c>
      <c r="AD101" s="54">
        <v>8</v>
      </c>
      <c r="AE101" s="54">
        <v>9</v>
      </c>
      <c r="AF101" s="55">
        <v>0</v>
      </c>
      <c r="AG101" s="55">
        <v>1</v>
      </c>
      <c r="AH101" s="55">
        <v>2</v>
      </c>
      <c r="AI101" s="55">
        <v>3</v>
      </c>
      <c r="AJ101" s="55">
        <v>4</v>
      </c>
      <c r="AK101" s="55">
        <v>5</v>
      </c>
      <c r="AL101" s="55">
        <v>6</v>
      </c>
      <c r="AM101" s="55">
        <v>7</v>
      </c>
      <c r="AN101" s="55">
        <v>8</v>
      </c>
      <c r="AO101" s="55">
        <v>9</v>
      </c>
      <c r="AP101" s="105">
        <v>0</v>
      </c>
      <c r="AQ101" s="105">
        <v>1</v>
      </c>
      <c r="AR101" s="105">
        <v>2</v>
      </c>
      <c r="AS101" s="105">
        <v>3</v>
      </c>
      <c r="AT101" s="105">
        <v>4</v>
      </c>
      <c r="AU101" s="105">
        <v>5</v>
      </c>
      <c r="AV101" s="105">
        <v>6</v>
      </c>
      <c r="AW101" s="105">
        <v>7</v>
      </c>
      <c r="AX101" s="105">
        <v>8</v>
      </c>
      <c r="AY101" s="105">
        <v>9</v>
      </c>
      <c r="AZ101" s="56">
        <v>0</v>
      </c>
      <c r="BA101" s="56">
        <v>1</v>
      </c>
      <c r="BB101" s="56">
        <v>2</v>
      </c>
      <c r="BC101" s="56">
        <v>3</v>
      </c>
      <c r="BD101" s="56">
        <v>4</v>
      </c>
      <c r="BE101" s="56">
        <v>5</v>
      </c>
      <c r="BF101" s="56">
        <v>6</v>
      </c>
      <c r="BG101" s="56">
        <v>7</v>
      </c>
      <c r="BH101" s="56">
        <v>8</v>
      </c>
      <c r="BI101" s="56">
        <v>9</v>
      </c>
      <c r="BJ101" s="57" t="str">
        <f t="shared" si="39"/>
        <v>松散型</v>
      </c>
      <c r="BK101" s="13">
        <f t="shared" si="35"/>
        <v>1</v>
      </c>
      <c r="BL101" s="13">
        <f t="shared" si="36"/>
        <v>7</v>
      </c>
      <c r="BM101" s="18" t="str">
        <f t="shared" si="41"/>
        <v/>
      </c>
      <c r="BN101" s="19" t="str">
        <f t="shared" si="42"/>
        <v/>
      </c>
      <c r="BO101" s="19" t="str">
        <f t="array" ref="BO101">_xlfn.TEXTJOIN("",TRUE,IF(ISERROR(FIND(ROW($1:$10)-1,BM101&amp;BN101)),ROW($1:$10)-1,""))</f>
        <v>0123456789</v>
      </c>
      <c r="BP101" s="20" t="str">
        <f t="shared" si="43"/>
        <v>中中中</v>
      </c>
      <c r="BQ101" s="21" t="str">
        <f t="shared" si="54"/>
        <v/>
      </c>
      <c r="BR101" s="21" t="str">
        <f t="shared" si="52"/>
        <v/>
      </c>
      <c r="BS101" s="21" t="str">
        <f t="array" ref="BS101">_xlfn.TEXTJOIN("",TRUE,IF(ISERROR(FIND(ROW($1:$10)-1,BQ101&amp;BR101)),ROW($1:$10)-1,""))</f>
        <v>0123456789</v>
      </c>
      <c r="BT101" s="20" t="str">
        <f t="shared" si="44"/>
        <v>中中中</v>
      </c>
      <c r="BU101" s="22">
        <f t="shared" si="45"/>
        <v>1</v>
      </c>
      <c r="BV101" s="22" t="str">
        <f t="shared" si="53"/>
        <v/>
      </c>
      <c r="BW101" s="22" t="str">
        <f t="array" ref="BW101">_xlfn.TEXTJOIN("",TRUE,IF(ISERROR(FIND(ROW($1:$10)-1,BU101&amp;BV101)),ROW($1:$10)-1,""))</f>
        <v>023456789</v>
      </c>
      <c r="BX101" s="20" t="str">
        <f t="shared" si="46"/>
        <v>复中中</v>
      </c>
      <c r="BY101" s="23" t="str">
        <f t="shared" si="40"/>
        <v>68</v>
      </c>
      <c r="BZ101" s="24" t="str">
        <f t="array" ref="BZ101">_xlfn.TEXTJOIN("",TRUE,IF(ISNUMBER(FIND(MID(BY100&amp;Q100,ROW($1:$4),1),BY101&amp;Q101)),MID(BY100&amp;Q100,ROW($1:$4),1),""))</f>
        <v/>
      </c>
      <c r="CA101" s="25" t="str">
        <f t="array" ref="CA101">_xlfn.TEXTJOIN("",TRUE,IF(ISERROR(FIND(ROW($1:$10)-1,BY101&amp;BZ101)),ROW($1:$10)-1,""))</f>
        <v>01234579</v>
      </c>
      <c r="CB101" s="26" t="str">
        <f t="shared" si="47"/>
        <v>邻孤孤</v>
      </c>
      <c r="CC101" s="27" t="str">
        <f t="shared" si="48"/>
        <v>57</v>
      </c>
      <c r="CD101" s="27" t="str">
        <f t="array" ref="CD101">_xlfn.TEXTJOIN("",TRUE,IF(ISNUMBER(FIND(MID(CC100&amp;R100,ROW($1:$4),1),CC101&amp;R101)),MID(CC100&amp;R100,ROW($1:$4),1),""))</f>
        <v/>
      </c>
      <c r="CE101" s="27" t="str">
        <f t="array" ref="CE101">_xlfn.TEXTJOIN("",TRUE,IF(ISERROR(FIND(ROW($1:$10)-1,CC101&amp;CD101)),ROW($1:$10)-1,""))</f>
        <v>01234689</v>
      </c>
      <c r="CF101" s="17" t="str">
        <f t="shared" si="49"/>
        <v>邻孤孤</v>
      </c>
      <c r="CG101" s="22" t="str">
        <f t="shared" si="50"/>
        <v>02</v>
      </c>
      <c r="CH101" s="22" t="str">
        <f t="array" ref="CH101">_xlfn.TEXTJOIN("",TRUE,IF(ISNUMBER(FIND(MID(CG100&amp;S100,ROW($1:$4),1),CG101&amp;S101)),MID(CG100&amp;S100,ROW($1:$4),1),""))</f>
        <v>021</v>
      </c>
      <c r="CI101" s="22" t="str">
        <f t="array" ref="CI101">_xlfn.TEXTJOIN("",TRUE,IF(ISERROR(FIND(ROW($1:$10)-1,CG101&amp;CH101)),ROW($1:$10)-1,""))</f>
        <v>3456789</v>
      </c>
      <c r="CJ101" s="28" t="str">
        <f t="shared" si="51"/>
        <v>邻传孤</v>
      </c>
    </row>
    <row r="102" spans="1:88">
      <c r="A102" s="32">
        <v>2024229</v>
      </c>
      <c r="B102" s="8" t="s">
        <v>118</v>
      </c>
      <c r="C102" s="49">
        <f t="shared" si="60"/>
        <v>11</v>
      </c>
      <c r="D102" s="50">
        <f t="shared" si="61"/>
        <v>1</v>
      </c>
      <c r="E102" s="51">
        <f t="shared" si="37"/>
        <v>3.6666666666666701</v>
      </c>
      <c r="F102" s="52">
        <f>MAX(MID(B102,{1,2,3},1)*1)-MIN(MID(B102,{1,2,3},1)*1)</f>
        <v>8</v>
      </c>
      <c r="G102" s="104">
        <v>0</v>
      </c>
      <c r="H102" s="104">
        <v>1</v>
      </c>
      <c r="I102" s="104">
        <v>2</v>
      </c>
      <c r="J102" s="104">
        <v>3</v>
      </c>
      <c r="K102" s="104">
        <v>4</v>
      </c>
      <c r="L102" s="104">
        <v>5</v>
      </c>
      <c r="M102" s="104">
        <v>6</v>
      </c>
      <c r="N102" s="104">
        <v>7</v>
      </c>
      <c r="O102" s="104">
        <v>8</v>
      </c>
      <c r="P102" s="104">
        <v>9</v>
      </c>
      <c r="Q102" s="53">
        <f t="shared" si="62"/>
        <v>8</v>
      </c>
      <c r="R102" s="53">
        <f t="shared" si="63"/>
        <v>8</v>
      </c>
      <c r="S102" s="53">
        <f t="shared" si="64"/>
        <v>0</v>
      </c>
      <c r="T102" s="101">
        <f t="shared" si="38"/>
        <v>16</v>
      </c>
      <c r="U102" s="15" t="str">
        <f>_xlfn.TEXTJOIN(", ",TRUE,ABS(MID(B102,{1,1,2},1)-MID(B102,{2,3,3},1)))</f>
        <v>8, 8, 0</v>
      </c>
      <c r="V102" s="54">
        <v>0</v>
      </c>
      <c r="W102" s="54">
        <v>1</v>
      </c>
      <c r="X102" s="54">
        <v>2</v>
      </c>
      <c r="Y102" s="54">
        <v>3</v>
      </c>
      <c r="Z102" s="54">
        <v>4</v>
      </c>
      <c r="AA102" s="54">
        <v>5</v>
      </c>
      <c r="AB102" s="54">
        <v>6</v>
      </c>
      <c r="AC102" s="54">
        <v>7</v>
      </c>
      <c r="AD102" s="54">
        <v>8</v>
      </c>
      <c r="AE102" s="54">
        <v>9</v>
      </c>
      <c r="AF102" s="55">
        <v>0</v>
      </c>
      <c r="AG102" s="55">
        <v>1</v>
      </c>
      <c r="AH102" s="55">
        <v>2</v>
      </c>
      <c r="AI102" s="55">
        <v>3</v>
      </c>
      <c r="AJ102" s="55">
        <v>4</v>
      </c>
      <c r="AK102" s="55">
        <v>5</v>
      </c>
      <c r="AL102" s="55">
        <v>6</v>
      </c>
      <c r="AM102" s="55">
        <v>7</v>
      </c>
      <c r="AN102" s="55">
        <v>8</v>
      </c>
      <c r="AO102" s="55">
        <v>9</v>
      </c>
      <c r="AP102" s="105">
        <v>0</v>
      </c>
      <c r="AQ102" s="105">
        <v>1</v>
      </c>
      <c r="AR102" s="105">
        <v>2</v>
      </c>
      <c r="AS102" s="105">
        <v>3</v>
      </c>
      <c r="AT102" s="105">
        <v>4</v>
      </c>
      <c r="AU102" s="105">
        <v>5</v>
      </c>
      <c r="AV102" s="105">
        <v>6</v>
      </c>
      <c r="AW102" s="105">
        <v>7</v>
      </c>
      <c r="AX102" s="105">
        <v>8</v>
      </c>
      <c r="AY102" s="105">
        <v>9</v>
      </c>
      <c r="AZ102" s="56">
        <v>0</v>
      </c>
      <c r="BA102" s="56">
        <v>1</v>
      </c>
      <c r="BB102" s="56">
        <v>2</v>
      </c>
      <c r="BC102" s="56">
        <v>3</v>
      </c>
      <c r="BD102" s="56">
        <v>4</v>
      </c>
      <c r="BE102" s="56">
        <v>5</v>
      </c>
      <c r="BF102" s="56">
        <v>6</v>
      </c>
      <c r="BG102" s="56">
        <v>7</v>
      </c>
      <c r="BH102" s="56">
        <v>8</v>
      </c>
      <c r="BI102" s="56">
        <v>9</v>
      </c>
      <c r="BJ102" s="57" t="str">
        <f t="shared" si="39"/>
        <v>松散型</v>
      </c>
      <c r="BK102" s="13">
        <f t="shared" si="35"/>
        <v>0</v>
      </c>
      <c r="BL102" s="13">
        <f t="shared" si="36"/>
        <v>8</v>
      </c>
      <c r="BM102" s="18" t="str">
        <f t="shared" si="41"/>
        <v/>
      </c>
      <c r="BN102" s="19" t="str">
        <f t="shared" si="42"/>
        <v/>
      </c>
      <c r="BO102" s="19" t="str">
        <f t="array" ref="BO102">_xlfn.TEXTJOIN("",TRUE,IF(ISERROR(FIND(ROW($1:$10)-1,BM102&amp;BN102)),ROW($1:$10)-1,""))</f>
        <v>0123456789</v>
      </c>
      <c r="BP102" s="20" t="str">
        <f t="shared" si="43"/>
        <v>中中中</v>
      </c>
      <c r="BQ102" s="21" t="str">
        <f t="shared" si="54"/>
        <v/>
      </c>
      <c r="BR102" s="21" t="str">
        <f t="shared" si="52"/>
        <v/>
      </c>
      <c r="BS102" s="21" t="str">
        <f t="array" ref="BS102">_xlfn.TEXTJOIN("",TRUE,IF(ISERROR(FIND(ROW($1:$10)-1,BQ102&amp;BR102)),ROW($1:$10)-1,""))</f>
        <v>0123456789</v>
      </c>
      <c r="BT102" s="20" t="str">
        <f t="shared" si="44"/>
        <v>中中中</v>
      </c>
      <c r="BU102" s="22" t="str">
        <f t="shared" si="45"/>
        <v/>
      </c>
      <c r="BV102" s="22" t="str">
        <f t="shared" si="53"/>
        <v/>
      </c>
      <c r="BW102" s="22" t="str">
        <f t="array" ref="BW102">_xlfn.TEXTJOIN("",TRUE,IF(ISERROR(FIND(ROW($1:$10)-1,BU102&amp;BV102)),ROW($1:$10)-1,""))</f>
        <v>0123456789</v>
      </c>
      <c r="BX102" s="20" t="str">
        <f t="shared" si="46"/>
        <v>中中中</v>
      </c>
      <c r="BY102" s="23" t="str">
        <f t="shared" si="40"/>
        <v>79</v>
      </c>
      <c r="BZ102" s="24" t="str">
        <f t="array" ref="BZ102">_xlfn.TEXTJOIN("",TRUE,IF(ISNUMBER(FIND(MID(BY101&amp;Q101,ROW($1:$4),1),BY102&amp;Q102)),MID(BY101&amp;Q101,ROW($1:$4),1),""))</f>
        <v>87</v>
      </c>
      <c r="CA102" s="25" t="str">
        <f t="array" ref="CA102">_xlfn.TEXTJOIN("",TRUE,IF(ISERROR(FIND(ROW($1:$10)-1,BY102&amp;BZ102)),ROW($1:$10)-1,""))</f>
        <v>0123456</v>
      </c>
      <c r="CB102" s="26" t="str">
        <f t="shared" si="47"/>
        <v>邻传孤</v>
      </c>
      <c r="CC102" s="27" t="str">
        <f t="shared" si="48"/>
        <v>79</v>
      </c>
      <c r="CD102" s="27" t="str">
        <f t="array" ref="CD102">_xlfn.TEXTJOIN("",TRUE,IF(ISNUMBER(FIND(MID(CC101&amp;R101,ROW($1:$4),1),CC102&amp;R102)),MID(CC101&amp;R101,ROW($1:$4),1),""))</f>
        <v>7</v>
      </c>
      <c r="CE102" s="27" t="str">
        <f t="array" ref="CE102">_xlfn.TEXTJOIN("",TRUE,IF(ISERROR(FIND(ROW($1:$10)-1,CC102&amp;CD102)),ROW($1:$10)-1,""))</f>
        <v>01234568</v>
      </c>
      <c r="CF102" s="17" t="str">
        <f t="shared" si="49"/>
        <v>邻传孤</v>
      </c>
      <c r="CG102" s="22" t="str">
        <f t="shared" si="50"/>
        <v>91</v>
      </c>
      <c r="CH102" s="22" t="str">
        <f t="array" ref="CH102">_xlfn.TEXTJOIN("",TRUE,IF(ISNUMBER(FIND(MID(CG101&amp;S101,ROW($1:$4),1),CG102&amp;S102)),MID(CG101&amp;S101,ROW($1:$4),1),""))</f>
        <v>01</v>
      </c>
      <c r="CI102" s="22" t="str">
        <f t="array" ref="CI102">_xlfn.TEXTJOIN("",TRUE,IF(ISERROR(FIND(ROW($1:$10)-1,CG102&amp;CH102)),ROW($1:$10)-1,""))</f>
        <v>2345678</v>
      </c>
      <c r="CJ102" s="28" t="str">
        <f t="shared" si="51"/>
        <v>邻传孤</v>
      </c>
    </row>
    <row r="103" spans="1:88">
      <c r="A103" s="32">
        <v>2024230</v>
      </c>
      <c r="B103" s="8" t="s">
        <v>119</v>
      </c>
      <c r="C103" s="49">
        <f t="shared" si="60"/>
        <v>20</v>
      </c>
      <c r="D103" s="50">
        <f t="shared" si="61"/>
        <v>0</v>
      </c>
      <c r="E103" s="51">
        <f t="shared" si="37"/>
        <v>6.6666666666666696</v>
      </c>
      <c r="F103" s="52">
        <f>MAX(MID(B103,{1,2,3},1)*1)-MIN(MID(B103,{1,2,3},1)*1)</f>
        <v>5</v>
      </c>
      <c r="G103" s="104">
        <v>0</v>
      </c>
      <c r="H103" s="104">
        <v>1</v>
      </c>
      <c r="I103" s="104">
        <v>2</v>
      </c>
      <c r="J103" s="104">
        <v>3</v>
      </c>
      <c r="K103" s="104">
        <v>4</v>
      </c>
      <c r="L103" s="104">
        <v>5</v>
      </c>
      <c r="M103" s="104">
        <v>6</v>
      </c>
      <c r="N103" s="104">
        <v>7</v>
      </c>
      <c r="O103" s="104">
        <v>8</v>
      </c>
      <c r="P103" s="104">
        <v>9</v>
      </c>
      <c r="Q103" s="53">
        <f t="shared" si="62"/>
        <v>5</v>
      </c>
      <c r="R103" s="53">
        <f t="shared" si="63"/>
        <v>3</v>
      </c>
      <c r="S103" s="53">
        <f t="shared" si="64"/>
        <v>2</v>
      </c>
      <c r="T103" s="101">
        <f t="shared" si="38"/>
        <v>10</v>
      </c>
      <c r="U103" s="15" t="str">
        <f>_xlfn.TEXTJOIN(", ",TRUE,ABS(MID(B103,{1,1,2},1)-MID(B103,{2,3,3},1)))</f>
        <v>5, 3, 2</v>
      </c>
      <c r="V103" s="54">
        <v>0</v>
      </c>
      <c r="W103" s="54">
        <v>1</v>
      </c>
      <c r="X103" s="54">
        <v>2</v>
      </c>
      <c r="Y103" s="54">
        <v>3</v>
      </c>
      <c r="Z103" s="54">
        <v>4</v>
      </c>
      <c r="AA103" s="54">
        <v>5</v>
      </c>
      <c r="AB103" s="54">
        <v>6</v>
      </c>
      <c r="AC103" s="54">
        <v>7</v>
      </c>
      <c r="AD103" s="54">
        <v>8</v>
      </c>
      <c r="AE103" s="54">
        <v>9</v>
      </c>
      <c r="AF103" s="55">
        <v>0</v>
      </c>
      <c r="AG103" s="55">
        <v>1</v>
      </c>
      <c r="AH103" s="55">
        <v>2</v>
      </c>
      <c r="AI103" s="55">
        <v>3</v>
      </c>
      <c r="AJ103" s="55">
        <v>4</v>
      </c>
      <c r="AK103" s="55">
        <v>5</v>
      </c>
      <c r="AL103" s="55">
        <v>6</v>
      </c>
      <c r="AM103" s="55">
        <v>7</v>
      </c>
      <c r="AN103" s="55">
        <v>8</v>
      </c>
      <c r="AO103" s="55">
        <v>9</v>
      </c>
      <c r="AP103" s="105">
        <v>0</v>
      </c>
      <c r="AQ103" s="105">
        <v>1</v>
      </c>
      <c r="AR103" s="105">
        <v>2</v>
      </c>
      <c r="AS103" s="105">
        <v>3</v>
      </c>
      <c r="AT103" s="105">
        <v>4</v>
      </c>
      <c r="AU103" s="105">
        <v>5</v>
      </c>
      <c r="AV103" s="105">
        <v>6</v>
      </c>
      <c r="AW103" s="105">
        <v>7</v>
      </c>
      <c r="AX103" s="105">
        <v>8</v>
      </c>
      <c r="AY103" s="105">
        <v>9</v>
      </c>
      <c r="AZ103" s="56">
        <v>0</v>
      </c>
      <c r="BA103" s="56">
        <v>1</v>
      </c>
      <c r="BB103" s="56">
        <v>2</v>
      </c>
      <c r="BC103" s="56">
        <v>3</v>
      </c>
      <c r="BD103" s="56">
        <v>4</v>
      </c>
      <c r="BE103" s="56">
        <v>5</v>
      </c>
      <c r="BF103" s="56">
        <v>6</v>
      </c>
      <c r="BG103" s="56">
        <v>7</v>
      </c>
      <c r="BH103" s="56">
        <v>8</v>
      </c>
      <c r="BI103" s="56">
        <v>9</v>
      </c>
      <c r="BJ103" s="57" t="str">
        <f t="shared" si="39"/>
        <v>标准型</v>
      </c>
      <c r="BK103" s="13">
        <f t="shared" si="35"/>
        <v>2</v>
      </c>
      <c r="BL103" s="13">
        <f t="shared" si="36"/>
        <v>5</v>
      </c>
      <c r="BM103" s="18" t="str">
        <f t="shared" si="41"/>
        <v/>
      </c>
      <c r="BN103" s="19" t="str">
        <f t="shared" si="42"/>
        <v/>
      </c>
      <c r="BO103" s="19" t="str">
        <f t="array" ref="BO103">_xlfn.TEXTJOIN("",TRUE,IF(ISERROR(FIND(ROW($1:$10)-1,BM103&amp;BN103)),ROW($1:$10)-1,""))</f>
        <v>0123456789</v>
      </c>
      <c r="BP103" s="20" t="str">
        <f t="shared" si="43"/>
        <v>中中中</v>
      </c>
      <c r="BQ103" s="21" t="str">
        <f t="shared" si="54"/>
        <v/>
      </c>
      <c r="BR103" s="21" t="str">
        <f t="shared" si="52"/>
        <v/>
      </c>
      <c r="BS103" s="21" t="str">
        <f t="array" ref="BS103">_xlfn.TEXTJOIN("",TRUE,IF(ISERROR(FIND(ROW($1:$10)-1,BQ103&amp;BR103)),ROW($1:$10)-1,""))</f>
        <v>0123456789</v>
      </c>
      <c r="BT103" s="20" t="str">
        <f t="shared" si="44"/>
        <v>中中中</v>
      </c>
      <c r="BU103" s="22" t="str">
        <f t="shared" si="45"/>
        <v/>
      </c>
      <c r="BV103" s="22" t="str">
        <f t="shared" si="53"/>
        <v/>
      </c>
      <c r="BW103" s="22" t="str">
        <f t="array" ref="BW103">_xlfn.TEXTJOIN("",TRUE,IF(ISERROR(FIND(ROW($1:$10)-1,BU103&amp;BV103)),ROW($1:$10)-1,""))</f>
        <v>0123456789</v>
      </c>
      <c r="BX103" s="20" t="str">
        <f t="shared" si="46"/>
        <v>中中中</v>
      </c>
      <c r="BY103" s="23" t="str">
        <f t="shared" si="40"/>
        <v>46</v>
      </c>
      <c r="BZ103" s="24" t="str">
        <f t="array" ref="BZ103">_xlfn.TEXTJOIN("",TRUE,IF(ISNUMBER(FIND(MID(BY102&amp;Q102,ROW($1:$4),1),BY103&amp;Q103)),MID(BY102&amp;Q102,ROW($1:$4),1),""))</f>
        <v/>
      </c>
      <c r="CA103" s="25" t="str">
        <f t="array" ref="CA103">_xlfn.TEXTJOIN("",TRUE,IF(ISERROR(FIND(ROW($1:$10)-1,BY103&amp;BZ103)),ROW($1:$10)-1,""))</f>
        <v>01235789</v>
      </c>
      <c r="CB103" s="26" t="str">
        <f t="shared" si="47"/>
        <v>邻孤孤</v>
      </c>
      <c r="CC103" s="27" t="str">
        <f t="shared" si="48"/>
        <v>24</v>
      </c>
      <c r="CD103" s="27" t="str">
        <f t="array" ref="CD103">_xlfn.TEXTJOIN("",TRUE,IF(ISNUMBER(FIND(MID(CC102&amp;R102,ROW($1:$4),1),CC103&amp;R103)),MID(CC102&amp;R102,ROW($1:$4),1),""))</f>
        <v/>
      </c>
      <c r="CE103" s="27" t="str">
        <f t="array" ref="CE103">_xlfn.TEXTJOIN("",TRUE,IF(ISERROR(FIND(ROW($1:$10)-1,CC103&amp;CD103)),ROW($1:$10)-1,""))</f>
        <v>01356789</v>
      </c>
      <c r="CF103" s="17" t="str">
        <f t="shared" si="49"/>
        <v>邻孤孤</v>
      </c>
      <c r="CG103" s="22" t="str">
        <f t="shared" si="50"/>
        <v>13</v>
      </c>
      <c r="CH103" s="22" t="str">
        <f t="array" ref="CH103">_xlfn.TEXTJOIN("",TRUE,IF(ISNUMBER(FIND(MID(CG102&amp;S102,ROW($1:$4),1),CG103&amp;S103)),MID(CG102&amp;S102,ROW($1:$4),1),""))</f>
        <v>1</v>
      </c>
      <c r="CI103" s="22" t="str">
        <f t="array" ref="CI103">_xlfn.TEXTJOIN("",TRUE,IF(ISERROR(FIND(ROW($1:$10)-1,CG103&amp;CH103)),ROW($1:$10)-1,""))</f>
        <v>02456789</v>
      </c>
      <c r="CJ103" s="28" t="str">
        <f t="shared" si="51"/>
        <v>邻传孤</v>
      </c>
    </row>
    <row r="104" spans="1:88">
      <c r="A104" s="32">
        <v>2024231</v>
      </c>
      <c r="B104" s="8" t="s">
        <v>120</v>
      </c>
      <c r="C104" s="49">
        <f t="shared" si="60"/>
        <v>20</v>
      </c>
      <c r="D104" s="50">
        <f t="shared" si="61"/>
        <v>0</v>
      </c>
      <c r="E104" s="51">
        <f t="shared" si="37"/>
        <v>6.6666666666666696</v>
      </c>
      <c r="F104" s="52">
        <f>MAX(MID(B104,{1,2,3},1)*1)-MIN(MID(B104,{1,2,3},1)*1)</f>
        <v>6</v>
      </c>
      <c r="G104" s="104">
        <v>0</v>
      </c>
      <c r="H104" s="104">
        <v>1</v>
      </c>
      <c r="I104" s="104">
        <v>2</v>
      </c>
      <c r="J104" s="104">
        <v>3</v>
      </c>
      <c r="K104" s="104">
        <v>4</v>
      </c>
      <c r="L104" s="104">
        <v>5</v>
      </c>
      <c r="M104" s="104">
        <v>6</v>
      </c>
      <c r="N104" s="104">
        <v>7</v>
      </c>
      <c r="O104" s="104">
        <v>8</v>
      </c>
      <c r="P104" s="104">
        <v>9</v>
      </c>
      <c r="Q104" s="53">
        <f t="shared" si="62"/>
        <v>6</v>
      </c>
      <c r="R104" s="53">
        <f t="shared" si="63"/>
        <v>1</v>
      </c>
      <c r="S104" s="53">
        <f t="shared" si="64"/>
        <v>5</v>
      </c>
      <c r="T104" s="101">
        <f t="shared" si="38"/>
        <v>12</v>
      </c>
      <c r="U104" s="15" t="str">
        <f>_xlfn.TEXTJOIN(", ",TRUE,ABS(MID(B104,{1,1,2},1)-MID(B104,{2,3,3},1)))</f>
        <v>6, 1, 5</v>
      </c>
      <c r="V104" s="54">
        <v>0</v>
      </c>
      <c r="W104" s="54">
        <v>1</v>
      </c>
      <c r="X104" s="54">
        <v>2</v>
      </c>
      <c r="Y104" s="54">
        <v>3</v>
      </c>
      <c r="Z104" s="54">
        <v>4</v>
      </c>
      <c r="AA104" s="54">
        <v>5</v>
      </c>
      <c r="AB104" s="54">
        <v>6</v>
      </c>
      <c r="AC104" s="54">
        <v>7</v>
      </c>
      <c r="AD104" s="54">
        <v>8</v>
      </c>
      <c r="AE104" s="54">
        <v>9</v>
      </c>
      <c r="AF104" s="55">
        <v>0</v>
      </c>
      <c r="AG104" s="55">
        <v>1</v>
      </c>
      <c r="AH104" s="55">
        <v>2</v>
      </c>
      <c r="AI104" s="55">
        <v>3</v>
      </c>
      <c r="AJ104" s="55">
        <v>4</v>
      </c>
      <c r="AK104" s="55">
        <v>5</v>
      </c>
      <c r="AL104" s="55">
        <v>6</v>
      </c>
      <c r="AM104" s="55">
        <v>7</v>
      </c>
      <c r="AN104" s="55">
        <v>8</v>
      </c>
      <c r="AO104" s="55">
        <v>9</v>
      </c>
      <c r="AP104" s="105">
        <v>0</v>
      </c>
      <c r="AQ104" s="105">
        <v>1</v>
      </c>
      <c r="AR104" s="105">
        <v>2</v>
      </c>
      <c r="AS104" s="105">
        <v>3</v>
      </c>
      <c r="AT104" s="105">
        <v>4</v>
      </c>
      <c r="AU104" s="105">
        <v>5</v>
      </c>
      <c r="AV104" s="105">
        <v>6</v>
      </c>
      <c r="AW104" s="105">
        <v>7</v>
      </c>
      <c r="AX104" s="105">
        <v>8</v>
      </c>
      <c r="AY104" s="105">
        <v>9</v>
      </c>
      <c r="AZ104" s="56">
        <v>0</v>
      </c>
      <c r="BA104" s="56">
        <v>1</v>
      </c>
      <c r="BB104" s="56">
        <v>2</v>
      </c>
      <c r="BC104" s="56">
        <v>3</v>
      </c>
      <c r="BD104" s="56">
        <v>4</v>
      </c>
      <c r="BE104" s="56">
        <v>5</v>
      </c>
      <c r="BF104" s="56">
        <v>6</v>
      </c>
      <c r="BG104" s="56">
        <v>7</v>
      </c>
      <c r="BH104" s="56">
        <v>8</v>
      </c>
      <c r="BI104" s="56">
        <v>9</v>
      </c>
      <c r="BJ104" s="57" t="str">
        <f t="shared" si="39"/>
        <v>松散型</v>
      </c>
      <c r="BK104" s="13">
        <f t="shared" si="35"/>
        <v>1</v>
      </c>
      <c r="BL104" s="13">
        <f t="shared" si="36"/>
        <v>6</v>
      </c>
      <c r="BM104" s="18" t="str">
        <f t="shared" si="41"/>
        <v/>
      </c>
      <c r="BN104" s="19" t="str">
        <f t="shared" si="42"/>
        <v/>
      </c>
      <c r="BO104" s="19" t="str">
        <f t="array" ref="BO104">_xlfn.TEXTJOIN("",TRUE,IF(ISERROR(FIND(ROW($1:$10)-1,BM104&amp;BN104)),ROW($1:$10)-1,""))</f>
        <v>0123456789</v>
      </c>
      <c r="BP104" s="20" t="str">
        <f t="shared" si="43"/>
        <v>中中中</v>
      </c>
      <c r="BQ104" s="21" t="str">
        <f t="shared" si="54"/>
        <v/>
      </c>
      <c r="BR104" s="21" t="str">
        <f t="shared" si="52"/>
        <v/>
      </c>
      <c r="BS104" s="21" t="str">
        <f t="array" ref="BS104">_xlfn.TEXTJOIN("",TRUE,IF(ISERROR(FIND(ROW($1:$10)-1,BQ104&amp;BR104)),ROW($1:$10)-1,""))</f>
        <v>0123456789</v>
      </c>
      <c r="BT104" s="20" t="str">
        <f t="shared" si="44"/>
        <v>中中中</v>
      </c>
      <c r="BU104" s="22">
        <f t="shared" si="45"/>
        <v>5</v>
      </c>
      <c r="BV104" s="22" t="str">
        <f t="shared" si="53"/>
        <v/>
      </c>
      <c r="BW104" s="22" t="str">
        <f t="array" ref="BW104">_xlfn.TEXTJOIN("",TRUE,IF(ISERROR(FIND(ROW($1:$10)-1,BU104&amp;BV104)),ROW($1:$10)-1,""))</f>
        <v>012346789</v>
      </c>
      <c r="BX104" s="20" t="str">
        <f t="shared" si="46"/>
        <v>复中中</v>
      </c>
      <c r="BY104" s="23" t="str">
        <f t="shared" si="40"/>
        <v>57</v>
      </c>
      <c r="BZ104" s="24" t="str">
        <f t="array" ref="BZ104">_xlfn.TEXTJOIN("",TRUE,IF(ISNUMBER(FIND(MID(BY103&amp;Q103,ROW($1:$4),1),BY104&amp;Q104)),MID(BY103&amp;Q103,ROW($1:$4),1),""))</f>
        <v>65</v>
      </c>
      <c r="CA104" s="25" t="str">
        <f t="array" ref="CA104">_xlfn.TEXTJOIN("",TRUE,IF(ISERROR(FIND(ROW($1:$10)-1,BY104&amp;BZ104)),ROW($1:$10)-1,""))</f>
        <v>0123489</v>
      </c>
      <c r="CB104" s="26" t="str">
        <f t="shared" si="47"/>
        <v>邻传孤</v>
      </c>
      <c r="CC104" s="27" t="str">
        <f t="shared" si="48"/>
        <v>02</v>
      </c>
      <c r="CD104" s="27" t="str">
        <f t="array" ref="CD104">_xlfn.TEXTJOIN("",TRUE,IF(ISNUMBER(FIND(MID(CC103&amp;R103,ROW($1:$4),1),CC104&amp;R104)),MID(CC103&amp;R103,ROW($1:$4),1),""))</f>
        <v>2</v>
      </c>
      <c r="CE104" s="27" t="str">
        <f t="array" ref="CE104">_xlfn.TEXTJOIN("",TRUE,IF(ISERROR(FIND(ROW($1:$10)-1,CC104&amp;CD104)),ROW($1:$10)-1,""))</f>
        <v>13456789</v>
      </c>
      <c r="CF104" s="17" t="str">
        <f t="shared" si="49"/>
        <v>邻传孤</v>
      </c>
      <c r="CG104" s="22" t="str">
        <f t="shared" si="50"/>
        <v>46</v>
      </c>
      <c r="CH104" s="22" t="str">
        <f t="array" ref="CH104">_xlfn.TEXTJOIN("",TRUE,IF(ISNUMBER(FIND(MID(CG103&amp;S103,ROW($1:$4),1),CG104&amp;S104)),MID(CG103&amp;S103,ROW($1:$4),1),""))</f>
        <v/>
      </c>
      <c r="CI104" s="22" t="str">
        <f t="array" ref="CI104">_xlfn.TEXTJOIN("",TRUE,IF(ISERROR(FIND(ROW($1:$10)-1,CG104&amp;CH104)),ROW($1:$10)-1,""))</f>
        <v>01235789</v>
      </c>
      <c r="CJ104" s="28" t="str">
        <f t="shared" si="51"/>
        <v>邻孤孤</v>
      </c>
    </row>
    <row r="105" spans="1:88">
      <c r="A105" s="32">
        <v>2024232</v>
      </c>
      <c r="B105" s="8" t="s">
        <v>121</v>
      </c>
      <c r="C105" s="49">
        <f t="shared" si="60"/>
        <v>3</v>
      </c>
      <c r="D105" s="50">
        <f t="shared" si="61"/>
        <v>3</v>
      </c>
      <c r="E105" s="51">
        <f t="shared" si="37"/>
        <v>1</v>
      </c>
      <c r="F105" s="52">
        <f>MAX(MID(B105,{1,2,3},1)*1)-MIN(MID(B105,{1,2,3},1)*1)</f>
        <v>2</v>
      </c>
      <c r="G105" s="104">
        <v>0</v>
      </c>
      <c r="H105" s="104">
        <v>1</v>
      </c>
      <c r="I105" s="104">
        <v>2</v>
      </c>
      <c r="J105" s="104">
        <v>3</v>
      </c>
      <c r="K105" s="104">
        <v>4</v>
      </c>
      <c r="L105" s="104">
        <v>5</v>
      </c>
      <c r="M105" s="104">
        <v>6</v>
      </c>
      <c r="N105" s="104">
        <v>7</v>
      </c>
      <c r="O105" s="104">
        <v>8</v>
      </c>
      <c r="P105" s="104">
        <v>9</v>
      </c>
      <c r="Q105" s="53">
        <f t="shared" si="62"/>
        <v>1</v>
      </c>
      <c r="R105" s="53">
        <f t="shared" si="63"/>
        <v>2</v>
      </c>
      <c r="S105" s="53">
        <f t="shared" si="64"/>
        <v>1</v>
      </c>
      <c r="T105" s="101">
        <f t="shared" si="38"/>
        <v>4</v>
      </c>
      <c r="U105" s="15" t="str">
        <f>_xlfn.TEXTJOIN(", ",TRUE,ABS(MID(B105,{1,1,2},1)-MID(B105,{2,3,3},1)))</f>
        <v>1, 2, 1</v>
      </c>
      <c r="V105" s="54">
        <v>0</v>
      </c>
      <c r="W105" s="54">
        <v>1</v>
      </c>
      <c r="X105" s="54">
        <v>2</v>
      </c>
      <c r="Y105" s="54">
        <v>3</v>
      </c>
      <c r="Z105" s="54">
        <v>4</v>
      </c>
      <c r="AA105" s="54">
        <v>5</v>
      </c>
      <c r="AB105" s="54">
        <v>6</v>
      </c>
      <c r="AC105" s="54">
        <v>7</v>
      </c>
      <c r="AD105" s="54">
        <v>8</v>
      </c>
      <c r="AE105" s="54">
        <v>9</v>
      </c>
      <c r="AF105" s="55">
        <v>0</v>
      </c>
      <c r="AG105" s="55">
        <v>1</v>
      </c>
      <c r="AH105" s="55">
        <v>2</v>
      </c>
      <c r="AI105" s="55">
        <v>3</v>
      </c>
      <c r="AJ105" s="55">
        <v>4</v>
      </c>
      <c r="AK105" s="55">
        <v>5</v>
      </c>
      <c r="AL105" s="55">
        <v>6</v>
      </c>
      <c r="AM105" s="55">
        <v>7</v>
      </c>
      <c r="AN105" s="55">
        <v>8</v>
      </c>
      <c r="AO105" s="55">
        <v>9</v>
      </c>
      <c r="AP105" s="105">
        <v>0</v>
      </c>
      <c r="AQ105" s="105">
        <v>1</v>
      </c>
      <c r="AR105" s="105">
        <v>2</v>
      </c>
      <c r="AS105" s="105">
        <v>3</v>
      </c>
      <c r="AT105" s="105">
        <v>4</v>
      </c>
      <c r="AU105" s="105">
        <v>5</v>
      </c>
      <c r="AV105" s="105">
        <v>6</v>
      </c>
      <c r="AW105" s="105">
        <v>7</v>
      </c>
      <c r="AX105" s="105">
        <v>8</v>
      </c>
      <c r="AY105" s="105">
        <v>9</v>
      </c>
      <c r="AZ105" s="56">
        <v>0</v>
      </c>
      <c r="BA105" s="56">
        <v>1</v>
      </c>
      <c r="BB105" s="56">
        <v>2</v>
      </c>
      <c r="BC105" s="56">
        <v>3</v>
      </c>
      <c r="BD105" s="56">
        <v>4</v>
      </c>
      <c r="BE105" s="56">
        <v>5</v>
      </c>
      <c r="BF105" s="56">
        <v>6</v>
      </c>
      <c r="BG105" s="56">
        <v>7</v>
      </c>
      <c r="BH105" s="56">
        <v>8</v>
      </c>
      <c r="BI105" s="56">
        <v>9</v>
      </c>
      <c r="BJ105" s="57" t="str">
        <f t="shared" si="39"/>
        <v>紧凑型</v>
      </c>
      <c r="BK105" s="13">
        <f t="shared" si="35"/>
        <v>1</v>
      </c>
      <c r="BL105" s="13">
        <f t="shared" si="36"/>
        <v>2</v>
      </c>
      <c r="BM105" s="18">
        <f t="shared" si="41"/>
        <v>1</v>
      </c>
      <c r="BN105" s="19" t="str">
        <f t="shared" si="42"/>
        <v/>
      </c>
      <c r="BO105" s="19" t="str">
        <f t="array" ref="BO105">_xlfn.TEXTJOIN("",TRUE,IF(ISERROR(FIND(ROW($1:$10)-1,BM105&amp;BN105)),ROW($1:$10)-1,""))</f>
        <v>023456789</v>
      </c>
      <c r="BP105" s="20" t="str">
        <f t="shared" si="43"/>
        <v>复中中</v>
      </c>
      <c r="BQ105" s="21" t="str">
        <f t="shared" si="54"/>
        <v/>
      </c>
      <c r="BR105" s="21">
        <f t="shared" si="52"/>
        <v>2</v>
      </c>
      <c r="BS105" s="21" t="str">
        <f t="array" ref="BS105">_xlfn.TEXTJOIN("",TRUE,IF(ISERROR(FIND(ROW($1:$10)-1,BQ105&amp;BR105)),ROW($1:$10)-1,""))</f>
        <v>013456789</v>
      </c>
      <c r="BT105" s="20" t="str">
        <f t="shared" si="44"/>
        <v>中隔中</v>
      </c>
      <c r="BU105" s="22">
        <f t="shared" si="45"/>
        <v>1</v>
      </c>
      <c r="BV105" s="22" t="str">
        <f t="shared" si="53"/>
        <v/>
      </c>
      <c r="BW105" s="22" t="str">
        <f t="array" ref="BW105">_xlfn.TEXTJOIN("",TRUE,IF(ISERROR(FIND(ROW($1:$10)-1,BU105&amp;BV105)),ROW($1:$10)-1,""))</f>
        <v>023456789</v>
      </c>
      <c r="BX105" s="20" t="str">
        <f t="shared" si="46"/>
        <v>复中中</v>
      </c>
      <c r="BY105" s="23" t="str">
        <f t="shared" si="40"/>
        <v>02</v>
      </c>
      <c r="BZ105" s="24" t="str">
        <f t="array" ref="BZ105">_xlfn.TEXTJOIN("",TRUE,IF(ISNUMBER(FIND(MID(BY104&amp;Q104,ROW($1:$4),1),BY105&amp;Q105)),MID(BY104&amp;Q104,ROW($1:$4),1),""))</f>
        <v/>
      </c>
      <c r="CA105" s="25" t="str">
        <f t="array" ref="CA105">_xlfn.TEXTJOIN("",TRUE,IF(ISERROR(FIND(ROW($1:$10)-1,BY105&amp;BZ105)),ROW($1:$10)-1,""))</f>
        <v>13456789</v>
      </c>
      <c r="CB105" s="26" t="str">
        <f t="shared" si="47"/>
        <v>邻孤孤</v>
      </c>
      <c r="CC105" s="27" t="str">
        <f t="shared" si="48"/>
        <v>13</v>
      </c>
      <c r="CD105" s="27" t="str">
        <f t="array" ref="CD105">_xlfn.TEXTJOIN("",TRUE,IF(ISNUMBER(FIND(MID(CC104&amp;R104,ROW($1:$4),1),CC105&amp;R105)),MID(CC104&amp;R104,ROW($1:$4),1),""))</f>
        <v>21</v>
      </c>
      <c r="CE105" s="27" t="str">
        <f t="array" ref="CE105">_xlfn.TEXTJOIN("",TRUE,IF(ISERROR(FIND(ROW($1:$10)-1,CC105&amp;CD105)),ROW($1:$10)-1,""))</f>
        <v>0456789</v>
      </c>
      <c r="CF105" s="17" t="str">
        <f t="shared" si="49"/>
        <v>邻传孤</v>
      </c>
      <c r="CG105" s="22" t="str">
        <f t="shared" si="50"/>
        <v>02</v>
      </c>
      <c r="CH105" s="22" t="str">
        <f t="array" ref="CH105">_xlfn.TEXTJOIN("",TRUE,IF(ISNUMBER(FIND(MID(CG104&amp;S104,ROW($1:$4),1),CG105&amp;S105)),MID(CG104&amp;S104,ROW($1:$4),1),""))</f>
        <v/>
      </c>
      <c r="CI105" s="22" t="str">
        <f t="array" ref="CI105">_xlfn.TEXTJOIN("",TRUE,IF(ISERROR(FIND(ROW($1:$10)-1,CG105&amp;CH105)),ROW($1:$10)-1,""))</f>
        <v>13456789</v>
      </c>
      <c r="CJ105" s="28" t="str">
        <f t="shared" si="51"/>
        <v>邻孤孤</v>
      </c>
    </row>
    <row r="106" spans="1:88">
      <c r="A106" s="32">
        <v>2024233</v>
      </c>
      <c r="B106" s="8" t="s">
        <v>60</v>
      </c>
      <c r="C106" s="49">
        <f t="shared" si="60"/>
        <v>19</v>
      </c>
      <c r="D106" s="50">
        <f t="shared" si="61"/>
        <v>9</v>
      </c>
      <c r="E106" s="51">
        <f t="shared" si="37"/>
        <v>6.3333333333333304</v>
      </c>
      <c r="F106" s="52">
        <f>MAX(MID(B106,{1,2,3},1)*1)-MIN(MID(B106,{1,2,3},1)*1)</f>
        <v>6</v>
      </c>
      <c r="G106" s="104">
        <v>0</v>
      </c>
      <c r="H106" s="104">
        <v>1</v>
      </c>
      <c r="I106" s="104">
        <v>2</v>
      </c>
      <c r="J106" s="104">
        <v>3</v>
      </c>
      <c r="K106" s="104">
        <v>4</v>
      </c>
      <c r="L106" s="104">
        <v>5</v>
      </c>
      <c r="M106" s="104">
        <v>6</v>
      </c>
      <c r="N106" s="104">
        <v>7</v>
      </c>
      <c r="O106" s="104">
        <v>8</v>
      </c>
      <c r="P106" s="104">
        <v>9</v>
      </c>
      <c r="Q106" s="53">
        <f t="shared" si="62"/>
        <v>6</v>
      </c>
      <c r="R106" s="53">
        <f t="shared" si="63"/>
        <v>4</v>
      </c>
      <c r="S106" s="53">
        <f t="shared" si="64"/>
        <v>2</v>
      </c>
      <c r="T106" s="101">
        <f t="shared" si="38"/>
        <v>12</v>
      </c>
      <c r="U106" s="15" t="str">
        <f>_xlfn.TEXTJOIN(", ",TRUE,ABS(MID(B106,{1,1,2},1)-MID(B106,{2,3,3},1)))</f>
        <v>6, 4, 2</v>
      </c>
      <c r="V106" s="54">
        <v>0</v>
      </c>
      <c r="W106" s="54">
        <v>1</v>
      </c>
      <c r="X106" s="54">
        <v>2</v>
      </c>
      <c r="Y106" s="54">
        <v>3</v>
      </c>
      <c r="Z106" s="54">
        <v>4</v>
      </c>
      <c r="AA106" s="54">
        <v>5</v>
      </c>
      <c r="AB106" s="54">
        <v>6</v>
      </c>
      <c r="AC106" s="54">
        <v>7</v>
      </c>
      <c r="AD106" s="54">
        <v>8</v>
      </c>
      <c r="AE106" s="54">
        <v>9</v>
      </c>
      <c r="AF106" s="55">
        <v>0</v>
      </c>
      <c r="AG106" s="55">
        <v>1</v>
      </c>
      <c r="AH106" s="55">
        <v>2</v>
      </c>
      <c r="AI106" s="55">
        <v>3</v>
      </c>
      <c r="AJ106" s="55">
        <v>4</v>
      </c>
      <c r="AK106" s="55">
        <v>5</v>
      </c>
      <c r="AL106" s="55">
        <v>6</v>
      </c>
      <c r="AM106" s="55">
        <v>7</v>
      </c>
      <c r="AN106" s="55">
        <v>8</v>
      </c>
      <c r="AO106" s="55">
        <v>9</v>
      </c>
      <c r="AP106" s="105">
        <v>0</v>
      </c>
      <c r="AQ106" s="105">
        <v>1</v>
      </c>
      <c r="AR106" s="105">
        <v>2</v>
      </c>
      <c r="AS106" s="105">
        <v>3</v>
      </c>
      <c r="AT106" s="105">
        <v>4</v>
      </c>
      <c r="AU106" s="105">
        <v>5</v>
      </c>
      <c r="AV106" s="105">
        <v>6</v>
      </c>
      <c r="AW106" s="105">
        <v>7</v>
      </c>
      <c r="AX106" s="105">
        <v>8</v>
      </c>
      <c r="AY106" s="105">
        <v>9</v>
      </c>
      <c r="AZ106" s="56">
        <v>0</v>
      </c>
      <c r="BA106" s="56">
        <v>1</v>
      </c>
      <c r="BB106" s="56">
        <v>2</v>
      </c>
      <c r="BC106" s="56">
        <v>3</v>
      </c>
      <c r="BD106" s="56">
        <v>4</v>
      </c>
      <c r="BE106" s="56">
        <v>5</v>
      </c>
      <c r="BF106" s="56">
        <v>6</v>
      </c>
      <c r="BG106" s="56">
        <v>7</v>
      </c>
      <c r="BH106" s="56">
        <v>8</v>
      </c>
      <c r="BI106" s="56">
        <v>9</v>
      </c>
      <c r="BJ106" s="57" t="str">
        <f t="shared" si="39"/>
        <v>松散型</v>
      </c>
      <c r="BK106" s="13">
        <f t="shared" si="35"/>
        <v>2</v>
      </c>
      <c r="BL106" s="13">
        <f t="shared" si="36"/>
        <v>6</v>
      </c>
      <c r="BM106" s="18" t="str">
        <f t="shared" si="41"/>
        <v/>
      </c>
      <c r="BN106" s="19">
        <f t="shared" si="42"/>
        <v>6</v>
      </c>
      <c r="BO106" s="19" t="str">
        <f t="array" ref="BO106">_xlfn.TEXTJOIN("",TRUE,IF(ISERROR(FIND(ROW($1:$10)-1,BM106&amp;BN106)),ROW($1:$10)-1,""))</f>
        <v>012345789</v>
      </c>
      <c r="BP106" s="20" t="str">
        <f t="shared" si="43"/>
        <v>中隔中</v>
      </c>
      <c r="BQ106" s="21" t="str">
        <f t="shared" si="54"/>
        <v/>
      </c>
      <c r="BR106" s="21" t="str">
        <f t="shared" si="52"/>
        <v/>
      </c>
      <c r="BS106" s="21" t="str">
        <f t="array" ref="BS106">_xlfn.TEXTJOIN("",TRUE,IF(ISERROR(FIND(ROW($1:$10)-1,BQ106&amp;BR106)),ROW($1:$10)-1,""))</f>
        <v>0123456789</v>
      </c>
      <c r="BT106" s="20" t="str">
        <f t="shared" si="44"/>
        <v>中中中</v>
      </c>
      <c r="BU106" s="22">
        <f t="shared" si="45"/>
        <v>2</v>
      </c>
      <c r="BV106" s="22" t="str">
        <f t="shared" si="53"/>
        <v/>
      </c>
      <c r="BW106" s="22" t="str">
        <f t="array" ref="BW106">_xlfn.TEXTJOIN("",TRUE,IF(ISERROR(FIND(ROW($1:$10)-1,BU106&amp;BV106)),ROW($1:$10)-1,""))</f>
        <v>013456789</v>
      </c>
      <c r="BX106" s="20" t="str">
        <f t="shared" si="46"/>
        <v>复中中</v>
      </c>
      <c r="BY106" s="23" t="str">
        <f t="shared" si="40"/>
        <v>57</v>
      </c>
      <c r="BZ106" s="24" t="str">
        <f t="array" ref="BZ106">_xlfn.TEXTJOIN("",TRUE,IF(ISNUMBER(FIND(MID(BY105&amp;Q105,ROW($1:$4),1),BY106&amp;Q106)),MID(BY105&amp;Q105,ROW($1:$4),1),""))</f>
        <v/>
      </c>
      <c r="CA106" s="25" t="str">
        <f t="array" ref="CA106">_xlfn.TEXTJOIN("",TRUE,IF(ISERROR(FIND(ROW($1:$10)-1,BY106&amp;BZ106)),ROW($1:$10)-1,""))</f>
        <v>01234689</v>
      </c>
      <c r="CB106" s="26" t="str">
        <f t="shared" si="47"/>
        <v>邻孤孤</v>
      </c>
      <c r="CC106" s="27" t="str">
        <f t="shared" si="48"/>
        <v>35</v>
      </c>
      <c r="CD106" s="27" t="str">
        <f t="array" ref="CD106">_xlfn.TEXTJOIN("",TRUE,IF(ISNUMBER(FIND(MID(CC105&amp;R105,ROW($1:$4),1),CC106&amp;R106)),MID(CC105&amp;R105,ROW($1:$4),1),""))</f>
        <v>3</v>
      </c>
      <c r="CE106" s="27" t="str">
        <f t="array" ref="CE106">_xlfn.TEXTJOIN("",TRUE,IF(ISERROR(FIND(ROW($1:$10)-1,CC106&amp;CD106)),ROW($1:$10)-1,""))</f>
        <v>01246789</v>
      </c>
      <c r="CF106" s="17" t="str">
        <f t="shared" si="49"/>
        <v>邻传孤</v>
      </c>
      <c r="CG106" s="22" t="str">
        <f t="shared" si="50"/>
        <v>13</v>
      </c>
      <c r="CH106" s="22" t="str">
        <f t="array" ref="CH106">_xlfn.TEXTJOIN("",TRUE,IF(ISNUMBER(FIND(MID(CG105&amp;S105,ROW($1:$4),1),CG106&amp;S106)),MID(CG105&amp;S105,ROW($1:$4),1),""))</f>
        <v>21</v>
      </c>
      <c r="CI106" s="22" t="str">
        <f t="array" ref="CI106">_xlfn.TEXTJOIN("",TRUE,IF(ISERROR(FIND(ROW($1:$10)-1,CG106&amp;CH106)),ROW($1:$10)-1,""))</f>
        <v>0456789</v>
      </c>
      <c r="CJ106" s="28" t="str">
        <f t="shared" si="51"/>
        <v>邻传孤</v>
      </c>
    </row>
    <row r="107" spans="1:88">
      <c r="A107" s="32">
        <v>2024234</v>
      </c>
      <c r="B107" s="8" t="s">
        <v>122</v>
      </c>
      <c r="C107" s="49">
        <f t="shared" si="60"/>
        <v>13</v>
      </c>
      <c r="D107" s="50">
        <f t="shared" si="61"/>
        <v>3</v>
      </c>
      <c r="E107" s="51">
        <f t="shared" si="37"/>
        <v>4.3333333333333304</v>
      </c>
      <c r="F107" s="52">
        <f>MAX(MID(B107,{1,2,3},1)*1)-MIN(MID(B107,{1,2,3},1)*1)</f>
        <v>6</v>
      </c>
      <c r="G107" s="104">
        <v>0</v>
      </c>
      <c r="H107" s="104">
        <v>1</v>
      </c>
      <c r="I107" s="104">
        <v>2</v>
      </c>
      <c r="J107" s="104">
        <v>3</v>
      </c>
      <c r="K107" s="104">
        <v>4</v>
      </c>
      <c r="L107" s="104">
        <v>5</v>
      </c>
      <c r="M107" s="104">
        <v>6</v>
      </c>
      <c r="N107" s="104">
        <v>7</v>
      </c>
      <c r="O107" s="104">
        <v>8</v>
      </c>
      <c r="P107" s="104">
        <v>9</v>
      </c>
      <c r="Q107" s="53">
        <f t="shared" si="62"/>
        <v>6</v>
      </c>
      <c r="R107" s="53">
        <f t="shared" si="63"/>
        <v>2</v>
      </c>
      <c r="S107" s="53">
        <f t="shared" si="64"/>
        <v>4</v>
      </c>
      <c r="T107" s="101">
        <f t="shared" si="38"/>
        <v>12</v>
      </c>
      <c r="U107" s="15" t="str">
        <f>_xlfn.TEXTJOIN(", ",TRUE,ABS(MID(B107,{1,1,2},1)-MID(B107,{2,3,3},1)))</f>
        <v>6, 2, 4</v>
      </c>
      <c r="V107" s="54">
        <v>0</v>
      </c>
      <c r="W107" s="54">
        <v>1</v>
      </c>
      <c r="X107" s="54">
        <v>2</v>
      </c>
      <c r="Y107" s="54">
        <v>3</v>
      </c>
      <c r="Z107" s="54">
        <v>4</v>
      </c>
      <c r="AA107" s="54">
        <v>5</v>
      </c>
      <c r="AB107" s="54">
        <v>6</v>
      </c>
      <c r="AC107" s="54">
        <v>7</v>
      </c>
      <c r="AD107" s="54">
        <v>8</v>
      </c>
      <c r="AE107" s="54">
        <v>9</v>
      </c>
      <c r="AF107" s="55">
        <v>0</v>
      </c>
      <c r="AG107" s="55">
        <v>1</v>
      </c>
      <c r="AH107" s="55">
        <v>2</v>
      </c>
      <c r="AI107" s="55">
        <v>3</v>
      </c>
      <c r="AJ107" s="55">
        <v>4</v>
      </c>
      <c r="AK107" s="55">
        <v>5</v>
      </c>
      <c r="AL107" s="55">
        <v>6</v>
      </c>
      <c r="AM107" s="55">
        <v>7</v>
      </c>
      <c r="AN107" s="55">
        <v>8</v>
      </c>
      <c r="AO107" s="55">
        <v>9</v>
      </c>
      <c r="AP107" s="105">
        <v>0</v>
      </c>
      <c r="AQ107" s="105">
        <v>1</v>
      </c>
      <c r="AR107" s="105">
        <v>2</v>
      </c>
      <c r="AS107" s="105">
        <v>3</v>
      </c>
      <c r="AT107" s="105">
        <v>4</v>
      </c>
      <c r="AU107" s="105">
        <v>5</v>
      </c>
      <c r="AV107" s="105">
        <v>6</v>
      </c>
      <c r="AW107" s="105">
        <v>7</v>
      </c>
      <c r="AX107" s="105">
        <v>8</v>
      </c>
      <c r="AY107" s="105">
        <v>9</v>
      </c>
      <c r="AZ107" s="56">
        <v>0</v>
      </c>
      <c r="BA107" s="56">
        <v>1</v>
      </c>
      <c r="BB107" s="56">
        <v>2</v>
      </c>
      <c r="BC107" s="56">
        <v>3</v>
      </c>
      <c r="BD107" s="56">
        <v>4</v>
      </c>
      <c r="BE107" s="56">
        <v>5</v>
      </c>
      <c r="BF107" s="56">
        <v>6</v>
      </c>
      <c r="BG107" s="56">
        <v>7</v>
      </c>
      <c r="BH107" s="56">
        <v>8</v>
      </c>
      <c r="BI107" s="56">
        <v>9</v>
      </c>
      <c r="BJ107" s="57" t="str">
        <f t="shared" si="39"/>
        <v>松散型</v>
      </c>
      <c r="BK107" s="13">
        <f t="shared" si="35"/>
        <v>2</v>
      </c>
      <c r="BL107" s="13">
        <f t="shared" si="36"/>
        <v>6</v>
      </c>
      <c r="BM107" s="18">
        <f t="shared" si="41"/>
        <v>6</v>
      </c>
      <c r="BN107" s="19" t="str">
        <f t="shared" si="42"/>
        <v/>
      </c>
      <c r="BO107" s="19" t="str">
        <f t="array" ref="BO107">_xlfn.TEXTJOIN("",TRUE,IF(ISERROR(FIND(ROW($1:$10)-1,BM107&amp;BN107)),ROW($1:$10)-1,""))</f>
        <v>012345789</v>
      </c>
      <c r="BP107" s="20" t="str">
        <f t="shared" si="43"/>
        <v>复中中</v>
      </c>
      <c r="BQ107" s="21">
        <f t="shared" si="54"/>
        <v>2</v>
      </c>
      <c r="BR107" s="21">
        <f t="shared" si="52"/>
        <v>2</v>
      </c>
      <c r="BS107" s="21" t="str">
        <f t="array" ref="BS107">_xlfn.TEXTJOIN("",TRUE,IF(ISERROR(FIND(ROW($1:$10)-1,BQ107&amp;BR107)),ROW($1:$10)-1,""))</f>
        <v>013456789</v>
      </c>
      <c r="BT107" s="20" t="str">
        <f t="shared" si="44"/>
        <v>复隔中</v>
      </c>
      <c r="BU107" s="22">
        <f t="shared" si="45"/>
        <v>4</v>
      </c>
      <c r="BV107" s="22" t="str">
        <f t="shared" si="53"/>
        <v/>
      </c>
      <c r="BW107" s="22" t="str">
        <f t="array" ref="BW107">_xlfn.TEXTJOIN("",TRUE,IF(ISERROR(FIND(ROW($1:$10)-1,BU107&amp;BV107)),ROW($1:$10)-1,""))</f>
        <v>012356789</v>
      </c>
      <c r="BX107" s="20" t="str">
        <f t="shared" si="46"/>
        <v>复中中</v>
      </c>
      <c r="BY107" s="23" t="str">
        <f t="shared" si="40"/>
        <v>57</v>
      </c>
      <c r="BZ107" s="24" t="str">
        <f t="array" ref="BZ107">_xlfn.TEXTJOIN("",TRUE,IF(ISNUMBER(FIND(MID(BY106&amp;Q106,ROW($1:$4),1),BY107&amp;Q107)),MID(BY106&amp;Q106,ROW($1:$4),1),""))</f>
        <v>576</v>
      </c>
      <c r="CA107" s="25" t="str">
        <f t="array" ref="CA107">_xlfn.TEXTJOIN("",TRUE,IF(ISERROR(FIND(ROW($1:$10)-1,BY107&amp;BZ107)),ROW($1:$10)-1,""))</f>
        <v>0123489</v>
      </c>
      <c r="CB107" s="26" t="str">
        <f t="shared" si="47"/>
        <v>邻传孤</v>
      </c>
      <c r="CC107" s="27" t="str">
        <f t="shared" si="48"/>
        <v>13</v>
      </c>
      <c r="CD107" s="27" t="str">
        <f t="array" ref="CD107">_xlfn.TEXTJOIN("",TRUE,IF(ISNUMBER(FIND(MID(CC106&amp;R106,ROW($1:$4),1),CC107&amp;R107)),MID(CC106&amp;R106,ROW($1:$4),1),""))</f>
        <v>3</v>
      </c>
      <c r="CE107" s="27" t="str">
        <f t="array" ref="CE107">_xlfn.TEXTJOIN("",TRUE,IF(ISERROR(FIND(ROW($1:$10)-1,CC107&amp;CD107)),ROW($1:$10)-1,""))</f>
        <v>02456789</v>
      </c>
      <c r="CF107" s="17" t="str">
        <f t="shared" si="49"/>
        <v>邻传孤</v>
      </c>
      <c r="CG107" s="22" t="str">
        <f t="shared" si="50"/>
        <v>35</v>
      </c>
      <c r="CH107" s="22" t="str">
        <f t="array" ref="CH107">_xlfn.TEXTJOIN("",TRUE,IF(ISNUMBER(FIND(MID(CG106&amp;S106,ROW($1:$4),1),CG107&amp;S107)),MID(CG106&amp;S106,ROW($1:$4),1),""))</f>
        <v>3</v>
      </c>
      <c r="CI107" s="22" t="str">
        <f t="array" ref="CI107">_xlfn.TEXTJOIN("",TRUE,IF(ISERROR(FIND(ROW($1:$10)-1,CG107&amp;CH107)),ROW($1:$10)-1,""))</f>
        <v>01246789</v>
      </c>
      <c r="CJ107" s="28" t="str">
        <f t="shared" si="51"/>
        <v>邻传孤</v>
      </c>
    </row>
    <row r="108" spans="1:88">
      <c r="A108" s="32">
        <v>2024235</v>
      </c>
      <c r="B108" s="8" t="s">
        <v>123</v>
      </c>
      <c r="C108" s="49">
        <f t="shared" si="60"/>
        <v>15</v>
      </c>
      <c r="D108" s="50">
        <f t="shared" si="61"/>
        <v>5</v>
      </c>
      <c r="E108" s="51">
        <f t="shared" si="37"/>
        <v>5</v>
      </c>
      <c r="F108" s="52">
        <f>MAX(MID(B108,{1,2,3},1)*1)-MIN(MID(B108,{1,2,3},1)*1)</f>
        <v>7</v>
      </c>
      <c r="G108" s="104">
        <v>0</v>
      </c>
      <c r="H108" s="104">
        <v>1</v>
      </c>
      <c r="I108" s="104">
        <v>2</v>
      </c>
      <c r="J108" s="104">
        <v>3</v>
      </c>
      <c r="K108" s="104">
        <v>4</v>
      </c>
      <c r="L108" s="104">
        <v>5</v>
      </c>
      <c r="M108" s="104">
        <v>6</v>
      </c>
      <c r="N108" s="104">
        <v>7</v>
      </c>
      <c r="O108" s="104">
        <v>8</v>
      </c>
      <c r="P108" s="104">
        <v>9</v>
      </c>
      <c r="Q108" s="53">
        <f t="shared" si="62"/>
        <v>5</v>
      </c>
      <c r="R108" s="53">
        <f t="shared" si="63"/>
        <v>2</v>
      </c>
      <c r="S108" s="53">
        <f t="shared" si="64"/>
        <v>7</v>
      </c>
      <c r="T108" s="101">
        <f t="shared" si="38"/>
        <v>14</v>
      </c>
      <c r="U108" s="15" t="str">
        <f>_xlfn.TEXTJOIN(", ",TRUE,ABS(MID(B108,{1,1,2},1)-MID(B108,{2,3,3},1)))</f>
        <v>5, 2, 7</v>
      </c>
      <c r="V108" s="54">
        <v>0</v>
      </c>
      <c r="W108" s="54">
        <v>1</v>
      </c>
      <c r="X108" s="54">
        <v>2</v>
      </c>
      <c r="Y108" s="54">
        <v>3</v>
      </c>
      <c r="Z108" s="54">
        <v>4</v>
      </c>
      <c r="AA108" s="54">
        <v>5</v>
      </c>
      <c r="AB108" s="54">
        <v>6</v>
      </c>
      <c r="AC108" s="54">
        <v>7</v>
      </c>
      <c r="AD108" s="54">
        <v>8</v>
      </c>
      <c r="AE108" s="54">
        <v>9</v>
      </c>
      <c r="AF108" s="55">
        <v>0</v>
      </c>
      <c r="AG108" s="55">
        <v>1</v>
      </c>
      <c r="AH108" s="55">
        <v>2</v>
      </c>
      <c r="AI108" s="55">
        <v>3</v>
      </c>
      <c r="AJ108" s="55">
        <v>4</v>
      </c>
      <c r="AK108" s="55">
        <v>5</v>
      </c>
      <c r="AL108" s="55">
        <v>6</v>
      </c>
      <c r="AM108" s="55">
        <v>7</v>
      </c>
      <c r="AN108" s="55">
        <v>8</v>
      </c>
      <c r="AO108" s="55">
        <v>9</v>
      </c>
      <c r="AP108" s="105">
        <v>0</v>
      </c>
      <c r="AQ108" s="105">
        <v>1</v>
      </c>
      <c r="AR108" s="105">
        <v>2</v>
      </c>
      <c r="AS108" s="105">
        <v>3</v>
      </c>
      <c r="AT108" s="105">
        <v>4</v>
      </c>
      <c r="AU108" s="105">
        <v>5</v>
      </c>
      <c r="AV108" s="105">
        <v>6</v>
      </c>
      <c r="AW108" s="105">
        <v>7</v>
      </c>
      <c r="AX108" s="105">
        <v>8</v>
      </c>
      <c r="AY108" s="105">
        <v>9</v>
      </c>
      <c r="AZ108" s="56">
        <v>0</v>
      </c>
      <c r="BA108" s="56">
        <v>1</v>
      </c>
      <c r="BB108" s="56">
        <v>2</v>
      </c>
      <c r="BC108" s="56">
        <v>3</v>
      </c>
      <c r="BD108" s="56">
        <v>4</v>
      </c>
      <c r="BE108" s="56">
        <v>5</v>
      </c>
      <c r="BF108" s="56">
        <v>6</v>
      </c>
      <c r="BG108" s="56">
        <v>7</v>
      </c>
      <c r="BH108" s="56">
        <v>8</v>
      </c>
      <c r="BI108" s="56">
        <v>9</v>
      </c>
      <c r="BJ108" s="57" t="str">
        <f t="shared" si="39"/>
        <v>松散型</v>
      </c>
      <c r="BK108" s="13">
        <f t="shared" si="35"/>
        <v>2</v>
      </c>
      <c r="BL108" s="13">
        <f t="shared" si="36"/>
        <v>7</v>
      </c>
      <c r="BM108" s="18" t="str">
        <f t="shared" si="41"/>
        <v/>
      </c>
      <c r="BN108" s="19" t="str">
        <f t="shared" si="42"/>
        <v/>
      </c>
      <c r="BO108" s="19" t="str">
        <f t="array" ref="BO108">_xlfn.TEXTJOIN("",TRUE,IF(ISERROR(FIND(ROW($1:$10)-1,BM108&amp;BN108)),ROW($1:$10)-1,""))</f>
        <v>0123456789</v>
      </c>
      <c r="BP108" s="20" t="str">
        <f t="shared" si="43"/>
        <v>中中中</v>
      </c>
      <c r="BQ108" s="21">
        <f t="shared" si="54"/>
        <v>2</v>
      </c>
      <c r="BR108" s="21">
        <f t="shared" si="52"/>
        <v>2</v>
      </c>
      <c r="BS108" s="21" t="str">
        <f t="array" ref="BS108">_xlfn.TEXTJOIN("",TRUE,IF(ISERROR(FIND(ROW($1:$10)-1,BQ108&amp;BR108)),ROW($1:$10)-1,""))</f>
        <v>013456789</v>
      </c>
      <c r="BT108" s="20" t="str">
        <f t="shared" si="44"/>
        <v>复隔中</v>
      </c>
      <c r="BU108" s="22" t="str">
        <f t="shared" si="45"/>
        <v/>
      </c>
      <c r="BV108" s="22" t="str">
        <f t="shared" si="53"/>
        <v/>
      </c>
      <c r="BW108" s="22" t="str">
        <f t="array" ref="BW108">_xlfn.TEXTJOIN("",TRUE,IF(ISERROR(FIND(ROW($1:$10)-1,BU108&amp;BV108)),ROW($1:$10)-1,""))</f>
        <v>0123456789</v>
      </c>
      <c r="BX108" s="20" t="str">
        <f t="shared" si="46"/>
        <v>中中中</v>
      </c>
      <c r="BY108" s="23" t="str">
        <f t="shared" si="40"/>
        <v>46</v>
      </c>
      <c r="BZ108" s="24" t="str">
        <f t="array" ref="BZ108">_xlfn.TEXTJOIN("",TRUE,IF(ISNUMBER(FIND(MID(BY107&amp;Q107,ROW($1:$4),1),BY108&amp;Q108)),MID(BY107&amp;Q107,ROW($1:$4),1),""))</f>
        <v>56</v>
      </c>
      <c r="CA108" s="25" t="str">
        <f t="array" ref="CA108">_xlfn.TEXTJOIN("",TRUE,IF(ISERROR(FIND(ROW($1:$10)-1,BY108&amp;BZ108)),ROW($1:$10)-1,""))</f>
        <v>0123789</v>
      </c>
      <c r="CB108" s="26" t="str">
        <f t="shared" si="47"/>
        <v>邻传孤</v>
      </c>
      <c r="CC108" s="27" t="str">
        <f t="shared" si="48"/>
        <v>13</v>
      </c>
      <c r="CD108" s="27" t="str">
        <f t="array" ref="CD108">_xlfn.TEXTJOIN("",TRUE,IF(ISNUMBER(FIND(MID(CC107&amp;R107,ROW($1:$4),1),CC108&amp;R108)),MID(CC107&amp;R107,ROW($1:$4),1),""))</f>
        <v>132</v>
      </c>
      <c r="CE108" s="27" t="str">
        <f t="array" ref="CE108">_xlfn.TEXTJOIN("",TRUE,IF(ISERROR(FIND(ROW($1:$10)-1,CC108&amp;CD108)),ROW($1:$10)-1,""))</f>
        <v>0456789</v>
      </c>
      <c r="CF108" s="17" t="str">
        <f t="shared" si="49"/>
        <v>邻传孤</v>
      </c>
      <c r="CG108" s="22" t="str">
        <f t="shared" si="50"/>
        <v>68</v>
      </c>
      <c r="CH108" s="22" t="str">
        <f t="array" ref="CH108">_xlfn.TEXTJOIN("",TRUE,IF(ISNUMBER(FIND(MID(CG107&amp;S107,ROW($1:$4),1),CG108&amp;S108)),MID(CG107&amp;S107,ROW($1:$4),1),""))</f>
        <v/>
      </c>
      <c r="CI108" s="22" t="str">
        <f t="array" ref="CI108">_xlfn.TEXTJOIN("",TRUE,IF(ISERROR(FIND(ROW($1:$10)-1,CG108&amp;CH108)),ROW($1:$10)-1,""))</f>
        <v>01234579</v>
      </c>
      <c r="CJ108" s="28" t="str">
        <f t="shared" si="51"/>
        <v>邻孤孤</v>
      </c>
    </row>
    <row r="109" spans="1:88">
      <c r="A109" s="32">
        <v>2024236</v>
      </c>
      <c r="B109" s="8" t="s">
        <v>124</v>
      </c>
      <c r="C109" s="49">
        <f t="shared" si="60"/>
        <v>8</v>
      </c>
      <c r="D109" s="50">
        <f t="shared" si="61"/>
        <v>8</v>
      </c>
      <c r="E109" s="51">
        <f t="shared" si="37"/>
        <v>2.6666666666666701</v>
      </c>
      <c r="F109" s="52">
        <f>MAX(MID(B109,{1,2,3},1)*1)-MIN(MID(B109,{1,2,3},1)*1)</f>
        <v>4</v>
      </c>
      <c r="G109" s="104">
        <v>0</v>
      </c>
      <c r="H109" s="104">
        <v>1</v>
      </c>
      <c r="I109" s="104">
        <v>2</v>
      </c>
      <c r="J109" s="104">
        <v>3</v>
      </c>
      <c r="K109" s="104">
        <v>4</v>
      </c>
      <c r="L109" s="104">
        <v>5</v>
      </c>
      <c r="M109" s="104">
        <v>6</v>
      </c>
      <c r="N109" s="104">
        <v>7</v>
      </c>
      <c r="O109" s="104">
        <v>8</v>
      </c>
      <c r="P109" s="104">
        <v>9</v>
      </c>
      <c r="Q109" s="53">
        <f t="shared" si="62"/>
        <v>4</v>
      </c>
      <c r="R109" s="53">
        <f t="shared" si="63"/>
        <v>3</v>
      </c>
      <c r="S109" s="53">
        <f t="shared" si="64"/>
        <v>1</v>
      </c>
      <c r="T109" s="101">
        <f t="shared" si="38"/>
        <v>8</v>
      </c>
      <c r="U109" s="15" t="str">
        <f>_xlfn.TEXTJOIN(", ",TRUE,ABS(MID(B109,{1,1,2},1)-MID(B109,{2,3,3},1)))</f>
        <v>4, 3, 1</v>
      </c>
      <c r="V109" s="54">
        <v>0</v>
      </c>
      <c r="W109" s="54">
        <v>1</v>
      </c>
      <c r="X109" s="54">
        <v>2</v>
      </c>
      <c r="Y109" s="54">
        <v>3</v>
      </c>
      <c r="Z109" s="54">
        <v>4</v>
      </c>
      <c r="AA109" s="54">
        <v>5</v>
      </c>
      <c r="AB109" s="54">
        <v>6</v>
      </c>
      <c r="AC109" s="54">
        <v>7</v>
      </c>
      <c r="AD109" s="54">
        <v>8</v>
      </c>
      <c r="AE109" s="54">
        <v>9</v>
      </c>
      <c r="AF109" s="55">
        <v>0</v>
      </c>
      <c r="AG109" s="55">
        <v>1</v>
      </c>
      <c r="AH109" s="55">
        <v>2</v>
      </c>
      <c r="AI109" s="55">
        <v>3</v>
      </c>
      <c r="AJ109" s="55">
        <v>4</v>
      </c>
      <c r="AK109" s="55">
        <v>5</v>
      </c>
      <c r="AL109" s="55">
        <v>6</v>
      </c>
      <c r="AM109" s="55">
        <v>7</v>
      </c>
      <c r="AN109" s="55">
        <v>8</v>
      </c>
      <c r="AO109" s="55">
        <v>9</v>
      </c>
      <c r="AP109" s="105">
        <v>0</v>
      </c>
      <c r="AQ109" s="105">
        <v>1</v>
      </c>
      <c r="AR109" s="105">
        <v>2</v>
      </c>
      <c r="AS109" s="105">
        <v>3</v>
      </c>
      <c r="AT109" s="105">
        <v>4</v>
      </c>
      <c r="AU109" s="105">
        <v>5</v>
      </c>
      <c r="AV109" s="105">
        <v>6</v>
      </c>
      <c r="AW109" s="105">
        <v>7</v>
      </c>
      <c r="AX109" s="105">
        <v>8</v>
      </c>
      <c r="AY109" s="105">
        <v>9</v>
      </c>
      <c r="AZ109" s="56">
        <v>0</v>
      </c>
      <c r="BA109" s="56">
        <v>1</v>
      </c>
      <c r="BB109" s="56">
        <v>2</v>
      </c>
      <c r="BC109" s="56">
        <v>3</v>
      </c>
      <c r="BD109" s="56">
        <v>4</v>
      </c>
      <c r="BE109" s="56">
        <v>5</v>
      </c>
      <c r="BF109" s="56">
        <v>6</v>
      </c>
      <c r="BG109" s="56">
        <v>7</v>
      </c>
      <c r="BH109" s="56">
        <v>8</v>
      </c>
      <c r="BI109" s="56">
        <v>9</v>
      </c>
      <c r="BJ109" s="57" t="str">
        <f t="shared" si="39"/>
        <v>紧凑型</v>
      </c>
      <c r="BK109" s="13">
        <f t="shared" si="35"/>
        <v>1</v>
      </c>
      <c r="BL109" s="13">
        <f t="shared" si="36"/>
        <v>4</v>
      </c>
      <c r="BM109" s="18" t="str">
        <f t="shared" si="41"/>
        <v/>
      </c>
      <c r="BN109" s="19">
        <f t="shared" si="42"/>
        <v>4</v>
      </c>
      <c r="BO109" s="19" t="str">
        <f t="array" ref="BO109">_xlfn.TEXTJOIN("",TRUE,IF(ISERROR(FIND(ROW($1:$10)-1,BM109&amp;BN109)),ROW($1:$10)-1,""))</f>
        <v>012356789</v>
      </c>
      <c r="BP109" s="20" t="str">
        <f t="shared" si="43"/>
        <v>中隔中</v>
      </c>
      <c r="BQ109" s="21" t="str">
        <f t="shared" si="54"/>
        <v/>
      </c>
      <c r="BR109" s="21" t="str">
        <f t="shared" si="52"/>
        <v/>
      </c>
      <c r="BS109" s="21" t="str">
        <f t="array" ref="BS109">_xlfn.TEXTJOIN("",TRUE,IF(ISERROR(FIND(ROW($1:$10)-1,BQ109&amp;BR109)),ROW($1:$10)-1,""))</f>
        <v>0123456789</v>
      </c>
      <c r="BT109" s="20" t="str">
        <f t="shared" si="44"/>
        <v>中中中</v>
      </c>
      <c r="BU109" s="22" t="str">
        <f t="shared" si="45"/>
        <v/>
      </c>
      <c r="BV109" s="22" t="str">
        <f t="shared" si="53"/>
        <v/>
      </c>
      <c r="BW109" s="22" t="str">
        <f t="array" ref="BW109">_xlfn.TEXTJOIN("",TRUE,IF(ISERROR(FIND(ROW($1:$10)-1,BU109&amp;BV109)),ROW($1:$10)-1,""))</f>
        <v>0123456789</v>
      </c>
      <c r="BX109" s="20" t="str">
        <f t="shared" si="46"/>
        <v>中中中</v>
      </c>
      <c r="BY109" s="23" t="str">
        <f t="shared" si="40"/>
        <v>35</v>
      </c>
      <c r="BZ109" s="24" t="str">
        <f t="array" ref="BZ109">_xlfn.TEXTJOIN("",TRUE,IF(ISNUMBER(FIND(MID(BY108&amp;Q108,ROW($1:$4),1),BY109&amp;Q109)),MID(BY108&amp;Q108,ROW($1:$4),1),""))</f>
        <v>45</v>
      </c>
      <c r="CA109" s="25" t="str">
        <f t="array" ref="CA109">_xlfn.TEXTJOIN("",TRUE,IF(ISERROR(FIND(ROW($1:$10)-1,BY109&amp;BZ109)),ROW($1:$10)-1,""))</f>
        <v>0126789</v>
      </c>
      <c r="CB109" s="26" t="str">
        <f t="shared" si="47"/>
        <v>邻传孤</v>
      </c>
      <c r="CC109" s="27" t="str">
        <f t="shared" si="48"/>
        <v>24</v>
      </c>
      <c r="CD109" s="27" t="str">
        <f t="array" ref="CD109">_xlfn.TEXTJOIN("",TRUE,IF(ISNUMBER(FIND(MID(CC108&amp;R108,ROW($1:$4),1),CC109&amp;R109)),MID(CC108&amp;R108,ROW($1:$4),1),""))</f>
        <v>32</v>
      </c>
      <c r="CE109" s="27" t="str">
        <f t="array" ref="CE109">_xlfn.TEXTJOIN("",TRUE,IF(ISERROR(FIND(ROW($1:$10)-1,CC109&amp;CD109)),ROW($1:$10)-1,""))</f>
        <v>0156789</v>
      </c>
      <c r="CF109" s="17" t="str">
        <f t="shared" si="49"/>
        <v>邻传孤</v>
      </c>
      <c r="CG109" s="22" t="str">
        <f t="shared" si="50"/>
        <v>02</v>
      </c>
      <c r="CH109" s="22" t="str">
        <f t="array" ref="CH109">_xlfn.TEXTJOIN("",TRUE,IF(ISNUMBER(FIND(MID(CG108&amp;S108,ROW($1:$4),1),CG109&amp;S109)),MID(CG108&amp;S108,ROW($1:$4),1),""))</f>
        <v/>
      </c>
      <c r="CI109" s="22" t="str">
        <f t="array" ref="CI109">_xlfn.TEXTJOIN("",TRUE,IF(ISERROR(FIND(ROW($1:$10)-1,CG109&amp;CH109)),ROW($1:$10)-1,""))</f>
        <v>13456789</v>
      </c>
      <c r="CJ109" s="28" t="str">
        <f t="shared" si="51"/>
        <v>邻孤孤</v>
      </c>
    </row>
    <row r="110" spans="1:88">
      <c r="A110" s="32">
        <v>2024237</v>
      </c>
      <c r="B110" s="8" t="s">
        <v>125</v>
      </c>
      <c r="C110" s="49">
        <f t="shared" si="60"/>
        <v>13</v>
      </c>
      <c r="D110" s="50">
        <f t="shared" si="61"/>
        <v>3</v>
      </c>
      <c r="E110" s="51">
        <f t="shared" si="37"/>
        <v>4.3333333333333304</v>
      </c>
      <c r="F110" s="52">
        <f>MAX(MID(B110,{1,2,3},1)*1)-MIN(MID(B110,{1,2,3},1)*1)</f>
        <v>5</v>
      </c>
      <c r="G110" s="104">
        <v>0</v>
      </c>
      <c r="H110" s="104">
        <v>1</v>
      </c>
      <c r="I110" s="104">
        <v>2</v>
      </c>
      <c r="J110" s="104">
        <v>3</v>
      </c>
      <c r="K110" s="104">
        <v>4</v>
      </c>
      <c r="L110" s="104">
        <v>5</v>
      </c>
      <c r="M110" s="104">
        <v>6</v>
      </c>
      <c r="N110" s="104">
        <v>7</v>
      </c>
      <c r="O110" s="104">
        <v>8</v>
      </c>
      <c r="P110" s="104">
        <v>9</v>
      </c>
      <c r="Q110" s="53">
        <f t="shared" si="62"/>
        <v>5</v>
      </c>
      <c r="R110" s="53">
        <f t="shared" si="63"/>
        <v>2</v>
      </c>
      <c r="S110" s="53">
        <f t="shared" si="64"/>
        <v>3</v>
      </c>
      <c r="T110" s="101">
        <f t="shared" si="38"/>
        <v>10</v>
      </c>
      <c r="U110" s="15" t="str">
        <f>_xlfn.TEXTJOIN(", ",TRUE,ABS(MID(B110,{1,1,2},1)-MID(B110,{2,3,3},1)))</f>
        <v>5, 2, 3</v>
      </c>
      <c r="V110" s="54">
        <v>0</v>
      </c>
      <c r="W110" s="54">
        <v>1</v>
      </c>
      <c r="X110" s="54">
        <v>2</v>
      </c>
      <c r="Y110" s="54">
        <v>3</v>
      </c>
      <c r="Z110" s="54">
        <v>4</v>
      </c>
      <c r="AA110" s="54">
        <v>5</v>
      </c>
      <c r="AB110" s="54">
        <v>6</v>
      </c>
      <c r="AC110" s="54">
        <v>7</v>
      </c>
      <c r="AD110" s="54">
        <v>8</v>
      </c>
      <c r="AE110" s="54">
        <v>9</v>
      </c>
      <c r="AF110" s="55">
        <v>0</v>
      </c>
      <c r="AG110" s="55">
        <v>1</v>
      </c>
      <c r="AH110" s="55">
        <v>2</v>
      </c>
      <c r="AI110" s="55">
        <v>3</v>
      </c>
      <c r="AJ110" s="55">
        <v>4</v>
      </c>
      <c r="AK110" s="55">
        <v>5</v>
      </c>
      <c r="AL110" s="55">
        <v>6</v>
      </c>
      <c r="AM110" s="55">
        <v>7</v>
      </c>
      <c r="AN110" s="55">
        <v>8</v>
      </c>
      <c r="AO110" s="55">
        <v>9</v>
      </c>
      <c r="AP110" s="105">
        <v>0</v>
      </c>
      <c r="AQ110" s="105">
        <v>1</v>
      </c>
      <c r="AR110" s="105">
        <v>2</v>
      </c>
      <c r="AS110" s="105">
        <v>3</v>
      </c>
      <c r="AT110" s="105">
        <v>4</v>
      </c>
      <c r="AU110" s="105">
        <v>5</v>
      </c>
      <c r="AV110" s="105">
        <v>6</v>
      </c>
      <c r="AW110" s="105">
        <v>7</v>
      </c>
      <c r="AX110" s="105">
        <v>8</v>
      </c>
      <c r="AY110" s="105">
        <v>9</v>
      </c>
      <c r="AZ110" s="56">
        <v>0</v>
      </c>
      <c r="BA110" s="56">
        <v>1</v>
      </c>
      <c r="BB110" s="56">
        <v>2</v>
      </c>
      <c r="BC110" s="56">
        <v>3</v>
      </c>
      <c r="BD110" s="56">
        <v>4</v>
      </c>
      <c r="BE110" s="56">
        <v>5</v>
      </c>
      <c r="BF110" s="56">
        <v>6</v>
      </c>
      <c r="BG110" s="56">
        <v>7</v>
      </c>
      <c r="BH110" s="56">
        <v>8</v>
      </c>
      <c r="BI110" s="56">
        <v>9</v>
      </c>
      <c r="BJ110" s="57" t="str">
        <f t="shared" si="39"/>
        <v>标准型</v>
      </c>
      <c r="BK110" s="13">
        <f t="shared" si="35"/>
        <v>2</v>
      </c>
      <c r="BL110" s="13">
        <f t="shared" si="36"/>
        <v>5</v>
      </c>
      <c r="BM110" s="18" t="str">
        <f t="shared" si="41"/>
        <v/>
      </c>
      <c r="BN110" s="19">
        <f t="shared" si="42"/>
        <v>5</v>
      </c>
      <c r="BO110" s="19" t="str">
        <f t="array" ref="BO110">_xlfn.TEXTJOIN("",TRUE,IF(ISERROR(FIND(ROW($1:$10)-1,BM110&amp;BN110)),ROW($1:$10)-1,""))</f>
        <v>012346789</v>
      </c>
      <c r="BP110" s="20" t="str">
        <f t="shared" si="43"/>
        <v>中隔中</v>
      </c>
      <c r="BQ110" s="21" t="str">
        <f t="shared" si="54"/>
        <v/>
      </c>
      <c r="BR110" s="21">
        <f t="shared" si="52"/>
        <v>2</v>
      </c>
      <c r="BS110" s="21" t="str">
        <f t="array" ref="BS110">_xlfn.TEXTJOIN("",TRUE,IF(ISERROR(FIND(ROW($1:$10)-1,BQ110&amp;BR110)),ROW($1:$10)-1,""))</f>
        <v>013456789</v>
      </c>
      <c r="BT110" s="20" t="str">
        <f t="shared" si="44"/>
        <v>中隔中</v>
      </c>
      <c r="BU110" s="22">
        <f t="shared" si="45"/>
        <v>3</v>
      </c>
      <c r="BV110" s="22" t="str">
        <f t="shared" si="53"/>
        <v/>
      </c>
      <c r="BW110" s="22" t="str">
        <f t="array" ref="BW110">_xlfn.TEXTJOIN("",TRUE,IF(ISERROR(FIND(ROW($1:$10)-1,BU110&amp;BV110)),ROW($1:$10)-1,""))</f>
        <v>012456789</v>
      </c>
      <c r="BX110" s="20" t="str">
        <f t="shared" si="46"/>
        <v>复中中</v>
      </c>
      <c r="BY110" s="23" t="str">
        <f t="shared" si="40"/>
        <v>46</v>
      </c>
      <c r="BZ110" s="24" t="str">
        <f t="array" ref="BZ110">_xlfn.TEXTJOIN("",TRUE,IF(ISNUMBER(FIND(MID(BY109&amp;Q109,ROW($1:$4),1),BY110&amp;Q110)),MID(BY109&amp;Q109,ROW($1:$4),1),""))</f>
        <v>54</v>
      </c>
      <c r="CA110" s="25" t="str">
        <f t="array" ref="CA110">_xlfn.TEXTJOIN("",TRUE,IF(ISERROR(FIND(ROW($1:$10)-1,BY110&amp;BZ110)),ROW($1:$10)-1,""))</f>
        <v>0123789</v>
      </c>
      <c r="CB110" s="26" t="str">
        <f t="shared" si="47"/>
        <v>邻传孤</v>
      </c>
      <c r="CC110" s="27" t="str">
        <f t="shared" si="48"/>
        <v>13</v>
      </c>
      <c r="CD110" s="27" t="str">
        <f t="array" ref="CD110">_xlfn.TEXTJOIN("",TRUE,IF(ISNUMBER(FIND(MID(CC109&amp;R109,ROW($1:$4),1),CC110&amp;R110)),MID(CC109&amp;R109,ROW($1:$4),1),""))</f>
        <v>23</v>
      </c>
      <c r="CE110" s="27" t="str">
        <f t="array" ref="CE110">_xlfn.TEXTJOIN("",TRUE,IF(ISERROR(FIND(ROW($1:$10)-1,CC110&amp;CD110)),ROW($1:$10)-1,""))</f>
        <v>0456789</v>
      </c>
      <c r="CF110" s="17" t="str">
        <f t="shared" si="49"/>
        <v>邻传孤</v>
      </c>
      <c r="CG110" s="22" t="str">
        <f t="shared" si="50"/>
        <v>24</v>
      </c>
      <c r="CH110" s="22" t="str">
        <f t="array" ref="CH110">_xlfn.TEXTJOIN("",TRUE,IF(ISNUMBER(FIND(MID(CG109&amp;S109,ROW($1:$4),1),CG110&amp;S110)),MID(CG109&amp;S109,ROW($1:$4),1),""))</f>
        <v>2</v>
      </c>
      <c r="CI110" s="22" t="str">
        <f t="array" ref="CI110">_xlfn.TEXTJOIN("",TRUE,IF(ISERROR(FIND(ROW($1:$10)-1,CG110&amp;CH110)),ROW($1:$10)-1,""))</f>
        <v>01356789</v>
      </c>
      <c r="CJ110" s="28" t="str">
        <f t="shared" si="51"/>
        <v>邻传孤</v>
      </c>
    </row>
    <row r="111" spans="1:88">
      <c r="A111" s="32">
        <v>2024238</v>
      </c>
      <c r="B111" s="8" t="s">
        <v>126</v>
      </c>
      <c r="C111" s="49">
        <f t="shared" si="60"/>
        <v>19</v>
      </c>
      <c r="D111" s="50">
        <f t="shared" si="61"/>
        <v>9</v>
      </c>
      <c r="E111" s="51">
        <f t="shared" si="37"/>
        <v>6.3333333333333304</v>
      </c>
      <c r="F111" s="52">
        <f>MAX(MID(B111,{1,2,3},1)*1)-MIN(MID(B111,{1,2,3},1)*1)</f>
        <v>5</v>
      </c>
      <c r="G111" s="104">
        <v>0</v>
      </c>
      <c r="H111" s="104">
        <v>1</v>
      </c>
      <c r="I111" s="104">
        <v>2</v>
      </c>
      <c r="J111" s="104">
        <v>3</v>
      </c>
      <c r="K111" s="104">
        <v>4</v>
      </c>
      <c r="L111" s="104">
        <v>5</v>
      </c>
      <c r="M111" s="104">
        <v>6</v>
      </c>
      <c r="N111" s="104">
        <v>7</v>
      </c>
      <c r="O111" s="104">
        <v>8</v>
      </c>
      <c r="P111" s="104">
        <v>9</v>
      </c>
      <c r="Q111" s="53">
        <f t="shared" si="62"/>
        <v>2</v>
      </c>
      <c r="R111" s="53">
        <f t="shared" si="63"/>
        <v>5</v>
      </c>
      <c r="S111" s="53">
        <f t="shared" si="64"/>
        <v>3</v>
      </c>
      <c r="T111" s="101">
        <f t="shared" si="38"/>
        <v>10</v>
      </c>
      <c r="U111" s="15" t="str">
        <f>_xlfn.TEXTJOIN(", ",TRUE,ABS(MID(B111,{1,1,2},1)-MID(B111,{2,3,3},1)))</f>
        <v>2, 5, 3</v>
      </c>
      <c r="V111" s="54">
        <v>0</v>
      </c>
      <c r="W111" s="54">
        <v>1</v>
      </c>
      <c r="X111" s="54">
        <v>2</v>
      </c>
      <c r="Y111" s="54">
        <v>3</v>
      </c>
      <c r="Z111" s="54">
        <v>4</v>
      </c>
      <c r="AA111" s="54">
        <v>5</v>
      </c>
      <c r="AB111" s="54">
        <v>6</v>
      </c>
      <c r="AC111" s="54">
        <v>7</v>
      </c>
      <c r="AD111" s="54">
        <v>8</v>
      </c>
      <c r="AE111" s="54">
        <v>9</v>
      </c>
      <c r="AF111" s="55">
        <v>0</v>
      </c>
      <c r="AG111" s="55">
        <v>1</v>
      </c>
      <c r="AH111" s="55">
        <v>2</v>
      </c>
      <c r="AI111" s="55">
        <v>3</v>
      </c>
      <c r="AJ111" s="55">
        <v>4</v>
      </c>
      <c r="AK111" s="55">
        <v>5</v>
      </c>
      <c r="AL111" s="55">
        <v>6</v>
      </c>
      <c r="AM111" s="55">
        <v>7</v>
      </c>
      <c r="AN111" s="55">
        <v>8</v>
      </c>
      <c r="AO111" s="55">
        <v>9</v>
      </c>
      <c r="AP111" s="105">
        <v>0</v>
      </c>
      <c r="AQ111" s="105">
        <v>1</v>
      </c>
      <c r="AR111" s="105">
        <v>2</v>
      </c>
      <c r="AS111" s="105">
        <v>3</v>
      </c>
      <c r="AT111" s="105">
        <v>4</v>
      </c>
      <c r="AU111" s="105">
        <v>5</v>
      </c>
      <c r="AV111" s="105">
        <v>6</v>
      </c>
      <c r="AW111" s="105">
        <v>7</v>
      </c>
      <c r="AX111" s="105">
        <v>8</v>
      </c>
      <c r="AY111" s="105">
        <v>9</v>
      </c>
      <c r="AZ111" s="56">
        <v>0</v>
      </c>
      <c r="BA111" s="56">
        <v>1</v>
      </c>
      <c r="BB111" s="56">
        <v>2</v>
      </c>
      <c r="BC111" s="56">
        <v>3</v>
      </c>
      <c r="BD111" s="56">
        <v>4</v>
      </c>
      <c r="BE111" s="56">
        <v>5</v>
      </c>
      <c r="BF111" s="56">
        <v>6</v>
      </c>
      <c r="BG111" s="56">
        <v>7</v>
      </c>
      <c r="BH111" s="56">
        <v>8</v>
      </c>
      <c r="BI111" s="56">
        <v>9</v>
      </c>
      <c r="BJ111" s="57" t="str">
        <f t="shared" si="39"/>
        <v>标准型</v>
      </c>
      <c r="BK111" s="13">
        <f t="shared" si="35"/>
        <v>2</v>
      </c>
      <c r="BL111" s="13">
        <f t="shared" si="36"/>
        <v>5</v>
      </c>
      <c r="BM111" s="18">
        <f t="shared" si="41"/>
        <v>2</v>
      </c>
      <c r="BN111" s="19" t="str">
        <f t="shared" si="42"/>
        <v/>
      </c>
      <c r="BO111" s="19" t="str">
        <f t="array" ref="BO111">_xlfn.TEXTJOIN("",TRUE,IF(ISERROR(FIND(ROW($1:$10)-1,BM111&amp;BN111)),ROW($1:$10)-1,""))</f>
        <v>013456789</v>
      </c>
      <c r="BP111" s="20" t="str">
        <f t="shared" si="43"/>
        <v>复中中</v>
      </c>
      <c r="BQ111" s="21">
        <f t="shared" si="54"/>
        <v>5</v>
      </c>
      <c r="BR111" s="21" t="str">
        <f t="shared" si="52"/>
        <v/>
      </c>
      <c r="BS111" s="21" t="str">
        <f t="array" ref="BS111">_xlfn.TEXTJOIN("",TRUE,IF(ISERROR(FIND(ROW($1:$10)-1,BQ111&amp;BR111)),ROW($1:$10)-1,""))</f>
        <v>012346789</v>
      </c>
      <c r="BT111" s="20" t="str">
        <f t="shared" si="44"/>
        <v>复中中</v>
      </c>
      <c r="BU111" s="22">
        <f t="shared" si="45"/>
        <v>3</v>
      </c>
      <c r="BV111" s="22">
        <f t="shared" si="53"/>
        <v>3</v>
      </c>
      <c r="BW111" s="22" t="str">
        <f t="array" ref="BW111">_xlfn.TEXTJOIN("",TRUE,IF(ISERROR(FIND(ROW($1:$10)-1,BU111&amp;BV111)),ROW($1:$10)-1,""))</f>
        <v>012456789</v>
      </c>
      <c r="BX111" s="20" t="str">
        <f t="shared" si="46"/>
        <v>复隔中</v>
      </c>
      <c r="BY111" s="23" t="str">
        <f t="shared" si="40"/>
        <v>13</v>
      </c>
      <c r="BZ111" s="24" t="str">
        <f t="array" ref="BZ111">_xlfn.TEXTJOIN("",TRUE,IF(ISNUMBER(FIND(MID(BY110&amp;Q110,ROW($1:$4),1),BY111&amp;Q111)),MID(BY110&amp;Q110,ROW($1:$4),1),""))</f>
        <v/>
      </c>
      <c r="CA111" s="25" t="str">
        <f t="array" ref="CA111">_xlfn.TEXTJOIN("",TRUE,IF(ISERROR(FIND(ROW($1:$10)-1,BY111&amp;BZ111)),ROW($1:$10)-1,""))</f>
        <v>02456789</v>
      </c>
      <c r="CB111" s="26" t="str">
        <f t="shared" si="47"/>
        <v>邻孤孤</v>
      </c>
      <c r="CC111" s="27" t="str">
        <f t="shared" si="48"/>
        <v>46</v>
      </c>
      <c r="CD111" s="27" t="str">
        <f t="array" ref="CD111">_xlfn.TEXTJOIN("",TRUE,IF(ISNUMBER(FIND(MID(CC110&amp;R110,ROW($1:$4),1),CC111&amp;R111)),MID(CC110&amp;R110,ROW($1:$4),1),""))</f>
        <v/>
      </c>
      <c r="CE111" s="27" t="str">
        <f t="array" ref="CE111">_xlfn.TEXTJOIN("",TRUE,IF(ISERROR(FIND(ROW($1:$10)-1,CC111&amp;CD111)),ROW($1:$10)-1,""))</f>
        <v>01235789</v>
      </c>
      <c r="CF111" s="17" t="str">
        <f t="shared" si="49"/>
        <v>邻孤孤</v>
      </c>
      <c r="CG111" s="22" t="str">
        <f t="shared" si="50"/>
        <v>24</v>
      </c>
      <c r="CH111" s="22" t="str">
        <f t="array" ref="CH111">_xlfn.TEXTJOIN("",TRUE,IF(ISNUMBER(FIND(MID(CG110&amp;S110,ROW($1:$4),1),CG111&amp;S111)),MID(CG110&amp;S110,ROW($1:$4),1),""))</f>
        <v>243</v>
      </c>
      <c r="CI111" s="22" t="str">
        <f t="array" ref="CI111">_xlfn.TEXTJOIN("",TRUE,IF(ISERROR(FIND(ROW($1:$10)-1,CG111&amp;CH111)),ROW($1:$10)-1,""))</f>
        <v>0156789</v>
      </c>
      <c r="CJ111" s="28" t="str">
        <f t="shared" si="51"/>
        <v>邻传孤</v>
      </c>
    </row>
    <row r="112" spans="1:88">
      <c r="A112" s="32">
        <v>2024239</v>
      </c>
      <c r="B112" s="8" t="s">
        <v>127</v>
      </c>
      <c r="C112" s="49">
        <f t="shared" si="60"/>
        <v>11</v>
      </c>
      <c r="D112" s="50">
        <f t="shared" si="61"/>
        <v>1</v>
      </c>
      <c r="E112" s="51">
        <f t="shared" si="37"/>
        <v>3.6666666666666701</v>
      </c>
      <c r="F112" s="52">
        <f>MAX(MID(B112,{1,2,3},1)*1)-MIN(MID(B112,{1,2,3},1)*1)</f>
        <v>3</v>
      </c>
      <c r="G112" s="104">
        <v>0</v>
      </c>
      <c r="H112" s="104">
        <v>1</v>
      </c>
      <c r="I112" s="104">
        <v>2</v>
      </c>
      <c r="J112" s="104">
        <v>3</v>
      </c>
      <c r="K112" s="104">
        <v>4</v>
      </c>
      <c r="L112" s="104">
        <v>5</v>
      </c>
      <c r="M112" s="104">
        <v>6</v>
      </c>
      <c r="N112" s="104">
        <v>7</v>
      </c>
      <c r="O112" s="104">
        <v>8</v>
      </c>
      <c r="P112" s="104">
        <v>9</v>
      </c>
      <c r="Q112" s="53">
        <f t="shared" si="62"/>
        <v>3</v>
      </c>
      <c r="R112" s="53">
        <f t="shared" si="63"/>
        <v>1</v>
      </c>
      <c r="S112" s="53">
        <f t="shared" si="64"/>
        <v>2</v>
      </c>
      <c r="T112" s="101">
        <f t="shared" si="38"/>
        <v>6</v>
      </c>
      <c r="U112" s="15" t="str">
        <f>_xlfn.TEXTJOIN(", ",TRUE,ABS(MID(B112,{1,1,2},1)-MID(B112,{2,3,3},1)))</f>
        <v>3, 1, 2</v>
      </c>
      <c r="V112" s="54">
        <v>0</v>
      </c>
      <c r="W112" s="54">
        <v>1</v>
      </c>
      <c r="X112" s="54">
        <v>2</v>
      </c>
      <c r="Y112" s="54">
        <v>3</v>
      </c>
      <c r="Z112" s="54">
        <v>4</v>
      </c>
      <c r="AA112" s="54">
        <v>5</v>
      </c>
      <c r="AB112" s="54">
        <v>6</v>
      </c>
      <c r="AC112" s="54">
        <v>7</v>
      </c>
      <c r="AD112" s="54">
        <v>8</v>
      </c>
      <c r="AE112" s="54">
        <v>9</v>
      </c>
      <c r="AF112" s="55">
        <v>0</v>
      </c>
      <c r="AG112" s="55">
        <v>1</v>
      </c>
      <c r="AH112" s="55">
        <v>2</v>
      </c>
      <c r="AI112" s="55">
        <v>3</v>
      </c>
      <c r="AJ112" s="55">
        <v>4</v>
      </c>
      <c r="AK112" s="55">
        <v>5</v>
      </c>
      <c r="AL112" s="55">
        <v>6</v>
      </c>
      <c r="AM112" s="55">
        <v>7</v>
      </c>
      <c r="AN112" s="55">
        <v>8</v>
      </c>
      <c r="AO112" s="55">
        <v>9</v>
      </c>
      <c r="AP112" s="105">
        <v>0</v>
      </c>
      <c r="AQ112" s="105">
        <v>1</v>
      </c>
      <c r="AR112" s="105">
        <v>2</v>
      </c>
      <c r="AS112" s="105">
        <v>3</v>
      </c>
      <c r="AT112" s="105">
        <v>4</v>
      </c>
      <c r="AU112" s="105">
        <v>5</v>
      </c>
      <c r="AV112" s="105">
        <v>6</v>
      </c>
      <c r="AW112" s="105">
        <v>7</v>
      </c>
      <c r="AX112" s="105">
        <v>8</v>
      </c>
      <c r="AY112" s="105">
        <v>9</v>
      </c>
      <c r="AZ112" s="56">
        <v>0</v>
      </c>
      <c r="BA112" s="56">
        <v>1</v>
      </c>
      <c r="BB112" s="56">
        <v>2</v>
      </c>
      <c r="BC112" s="56">
        <v>3</v>
      </c>
      <c r="BD112" s="56">
        <v>4</v>
      </c>
      <c r="BE112" s="56">
        <v>5</v>
      </c>
      <c r="BF112" s="56">
        <v>6</v>
      </c>
      <c r="BG112" s="56">
        <v>7</v>
      </c>
      <c r="BH112" s="56">
        <v>8</v>
      </c>
      <c r="BI112" s="56">
        <v>9</v>
      </c>
      <c r="BJ112" s="57" t="str">
        <f t="shared" si="39"/>
        <v>紧凑型</v>
      </c>
      <c r="BK112" s="13">
        <f t="shared" si="35"/>
        <v>1</v>
      </c>
      <c r="BL112" s="13">
        <f t="shared" si="36"/>
        <v>3</v>
      </c>
      <c r="BM112" s="18">
        <f t="shared" si="41"/>
        <v>3</v>
      </c>
      <c r="BN112" s="19">
        <f t="shared" si="42"/>
        <v>3</v>
      </c>
      <c r="BO112" s="19" t="str">
        <f t="array" ref="BO112">_xlfn.TEXTJOIN("",TRUE,IF(ISERROR(FIND(ROW($1:$10)-1,BM112&amp;BN112)),ROW($1:$10)-1,""))</f>
        <v>012456789</v>
      </c>
      <c r="BP112" s="20" t="str">
        <f t="shared" si="43"/>
        <v>复隔中</v>
      </c>
      <c r="BQ112" s="21" t="str">
        <f t="shared" si="54"/>
        <v/>
      </c>
      <c r="BR112" s="21" t="str">
        <f t="shared" si="52"/>
        <v/>
      </c>
      <c r="BS112" s="21" t="str">
        <f t="array" ref="BS112">_xlfn.TEXTJOIN("",TRUE,IF(ISERROR(FIND(ROW($1:$10)-1,BQ112&amp;BR112)),ROW($1:$10)-1,""))</f>
        <v>0123456789</v>
      </c>
      <c r="BT112" s="20" t="str">
        <f t="shared" si="44"/>
        <v>中中中</v>
      </c>
      <c r="BU112" s="22">
        <f t="shared" si="45"/>
        <v>2</v>
      </c>
      <c r="BV112" s="22">
        <f t="shared" si="53"/>
        <v>2</v>
      </c>
      <c r="BW112" s="22" t="str">
        <f t="array" ref="BW112">_xlfn.TEXTJOIN("",TRUE,IF(ISERROR(FIND(ROW($1:$10)-1,BU112&amp;BV112)),ROW($1:$10)-1,""))</f>
        <v>013456789</v>
      </c>
      <c r="BX112" s="20" t="str">
        <f t="shared" si="46"/>
        <v>复隔中</v>
      </c>
      <c r="BY112" s="23" t="str">
        <f t="shared" si="40"/>
        <v>24</v>
      </c>
      <c r="BZ112" s="24" t="str">
        <f t="array" ref="BZ112">_xlfn.TEXTJOIN("",TRUE,IF(ISNUMBER(FIND(MID(BY111&amp;Q111,ROW($1:$4),1),BY112&amp;Q112)),MID(BY111&amp;Q111,ROW($1:$4),1),""))</f>
        <v>32</v>
      </c>
      <c r="CA112" s="25" t="str">
        <f t="array" ref="CA112">_xlfn.TEXTJOIN("",TRUE,IF(ISERROR(FIND(ROW($1:$10)-1,BY112&amp;BZ112)),ROW($1:$10)-1,""))</f>
        <v>0156789</v>
      </c>
      <c r="CB112" s="26" t="str">
        <f t="shared" si="47"/>
        <v>邻传孤</v>
      </c>
      <c r="CC112" s="27" t="str">
        <f t="shared" si="48"/>
        <v>02</v>
      </c>
      <c r="CD112" s="27" t="str">
        <f t="array" ref="CD112">_xlfn.TEXTJOIN("",TRUE,IF(ISNUMBER(FIND(MID(CC111&amp;R111,ROW($1:$4),1),CC112&amp;R112)),MID(CC111&amp;R111,ROW($1:$4),1),""))</f>
        <v/>
      </c>
      <c r="CE112" s="27" t="str">
        <f t="array" ref="CE112">_xlfn.TEXTJOIN("",TRUE,IF(ISERROR(FIND(ROW($1:$10)-1,CC112&amp;CD112)),ROW($1:$10)-1,""))</f>
        <v>13456789</v>
      </c>
      <c r="CF112" s="17" t="str">
        <f t="shared" si="49"/>
        <v>邻孤孤</v>
      </c>
      <c r="CG112" s="22" t="str">
        <f t="shared" si="50"/>
        <v>13</v>
      </c>
      <c r="CH112" s="22" t="str">
        <f t="array" ref="CH112">_xlfn.TEXTJOIN("",TRUE,IF(ISNUMBER(FIND(MID(CG111&amp;S111,ROW($1:$4),1),CG112&amp;S112)),MID(CG111&amp;S111,ROW($1:$4),1),""))</f>
        <v>23</v>
      </c>
      <c r="CI112" s="22" t="str">
        <f t="array" ref="CI112">_xlfn.TEXTJOIN("",TRUE,IF(ISERROR(FIND(ROW($1:$10)-1,CG112&amp;CH112)),ROW($1:$10)-1,""))</f>
        <v>0456789</v>
      </c>
      <c r="CJ112" s="28" t="str">
        <f t="shared" si="51"/>
        <v>邻传孤</v>
      </c>
    </row>
    <row r="113" spans="1:88">
      <c r="A113" s="32">
        <v>2024240</v>
      </c>
      <c r="B113" s="8" t="s">
        <v>128</v>
      </c>
      <c r="C113" s="49">
        <f t="shared" si="60"/>
        <v>11</v>
      </c>
      <c r="D113" s="50">
        <f t="shared" si="61"/>
        <v>1</v>
      </c>
      <c r="E113" s="51">
        <f t="shared" si="37"/>
        <v>3.6666666666666701</v>
      </c>
      <c r="F113" s="52">
        <f>MAX(MID(B113,{1,2,3},1)*1)-MIN(MID(B113,{1,2,3},1)*1)</f>
        <v>6</v>
      </c>
      <c r="G113" s="104">
        <v>0</v>
      </c>
      <c r="H113" s="104">
        <v>1</v>
      </c>
      <c r="I113" s="104">
        <v>2</v>
      </c>
      <c r="J113" s="104">
        <v>3</v>
      </c>
      <c r="K113" s="104">
        <v>4</v>
      </c>
      <c r="L113" s="104">
        <v>5</v>
      </c>
      <c r="M113" s="104">
        <v>6</v>
      </c>
      <c r="N113" s="104">
        <v>7</v>
      </c>
      <c r="O113" s="104">
        <v>8</v>
      </c>
      <c r="P113" s="104">
        <v>9</v>
      </c>
      <c r="Q113" s="53">
        <f t="shared" si="62"/>
        <v>6</v>
      </c>
      <c r="R113" s="53">
        <f t="shared" si="63"/>
        <v>5</v>
      </c>
      <c r="S113" s="53">
        <f t="shared" si="64"/>
        <v>1</v>
      </c>
      <c r="T113" s="101">
        <f t="shared" si="38"/>
        <v>12</v>
      </c>
      <c r="U113" s="15" t="str">
        <f>_xlfn.TEXTJOIN(", ",TRUE,ABS(MID(B113,{1,1,2},1)-MID(B113,{2,3,3},1)))</f>
        <v>6, 5, 1</v>
      </c>
      <c r="V113" s="54">
        <v>0</v>
      </c>
      <c r="W113" s="54">
        <v>1</v>
      </c>
      <c r="X113" s="54">
        <v>2</v>
      </c>
      <c r="Y113" s="54">
        <v>3</v>
      </c>
      <c r="Z113" s="54">
        <v>4</v>
      </c>
      <c r="AA113" s="54">
        <v>5</v>
      </c>
      <c r="AB113" s="54">
        <v>6</v>
      </c>
      <c r="AC113" s="54">
        <v>7</v>
      </c>
      <c r="AD113" s="54">
        <v>8</v>
      </c>
      <c r="AE113" s="54">
        <v>9</v>
      </c>
      <c r="AF113" s="55">
        <v>0</v>
      </c>
      <c r="AG113" s="55">
        <v>1</v>
      </c>
      <c r="AH113" s="55">
        <v>2</v>
      </c>
      <c r="AI113" s="55">
        <v>3</v>
      </c>
      <c r="AJ113" s="55">
        <v>4</v>
      </c>
      <c r="AK113" s="55">
        <v>5</v>
      </c>
      <c r="AL113" s="55">
        <v>6</v>
      </c>
      <c r="AM113" s="55">
        <v>7</v>
      </c>
      <c r="AN113" s="55">
        <v>8</v>
      </c>
      <c r="AO113" s="55">
        <v>9</v>
      </c>
      <c r="AP113" s="105">
        <v>0</v>
      </c>
      <c r="AQ113" s="105">
        <v>1</v>
      </c>
      <c r="AR113" s="105">
        <v>2</v>
      </c>
      <c r="AS113" s="105">
        <v>3</v>
      </c>
      <c r="AT113" s="105">
        <v>4</v>
      </c>
      <c r="AU113" s="105">
        <v>5</v>
      </c>
      <c r="AV113" s="105">
        <v>6</v>
      </c>
      <c r="AW113" s="105">
        <v>7</v>
      </c>
      <c r="AX113" s="105">
        <v>8</v>
      </c>
      <c r="AY113" s="105">
        <v>9</v>
      </c>
      <c r="AZ113" s="56">
        <v>0</v>
      </c>
      <c r="BA113" s="56">
        <v>1</v>
      </c>
      <c r="BB113" s="56">
        <v>2</v>
      </c>
      <c r="BC113" s="56">
        <v>3</v>
      </c>
      <c r="BD113" s="56">
        <v>4</v>
      </c>
      <c r="BE113" s="56">
        <v>5</v>
      </c>
      <c r="BF113" s="56">
        <v>6</v>
      </c>
      <c r="BG113" s="56">
        <v>7</v>
      </c>
      <c r="BH113" s="56">
        <v>8</v>
      </c>
      <c r="BI113" s="56">
        <v>9</v>
      </c>
      <c r="BJ113" s="57" t="str">
        <f t="shared" si="39"/>
        <v>松散型</v>
      </c>
      <c r="BK113" s="13">
        <f t="shared" si="35"/>
        <v>1</v>
      </c>
      <c r="BL113" s="13">
        <f t="shared" si="36"/>
        <v>6</v>
      </c>
      <c r="BM113" s="18" t="str">
        <f t="shared" si="41"/>
        <v/>
      </c>
      <c r="BN113" s="19" t="str">
        <f t="shared" si="42"/>
        <v/>
      </c>
      <c r="BO113" s="19" t="str">
        <f t="array" ref="BO113">_xlfn.TEXTJOIN("",TRUE,IF(ISERROR(FIND(ROW($1:$10)-1,BM113&amp;BN113)),ROW($1:$10)-1,""))</f>
        <v>0123456789</v>
      </c>
      <c r="BP113" s="20" t="str">
        <f t="shared" si="43"/>
        <v>中中中</v>
      </c>
      <c r="BQ113" s="21" t="str">
        <f t="shared" si="54"/>
        <v/>
      </c>
      <c r="BR113" s="21">
        <f t="shared" si="52"/>
        <v>5</v>
      </c>
      <c r="BS113" s="21" t="str">
        <f t="array" ref="BS113">_xlfn.TEXTJOIN("",TRUE,IF(ISERROR(FIND(ROW($1:$10)-1,BQ113&amp;BR113)),ROW($1:$10)-1,""))</f>
        <v>012346789</v>
      </c>
      <c r="BT113" s="20" t="str">
        <f t="shared" si="44"/>
        <v>中隔中</v>
      </c>
      <c r="BU113" s="22">
        <f t="shared" si="45"/>
        <v>1</v>
      </c>
      <c r="BV113" s="22" t="str">
        <f t="shared" si="53"/>
        <v/>
      </c>
      <c r="BW113" s="22" t="str">
        <f t="array" ref="BW113">_xlfn.TEXTJOIN("",TRUE,IF(ISERROR(FIND(ROW($1:$10)-1,BU113&amp;BV113)),ROW($1:$10)-1,""))</f>
        <v>023456789</v>
      </c>
      <c r="BX113" s="20" t="str">
        <f t="shared" si="46"/>
        <v>复中中</v>
      </c>
      <c r="BY113" s="23" t="str">
        <f t="shared" si="40"/>
        <v>57</v>
      </c>
      <c r="BZ113" s="24" t="str">
        <f t="array" ref="BZ113">_xlfn.TEXTJOIN("",TRUE,IF(ISNUMBER(FIND(MID(BY112&amp;Q112,ROW($1:$4),1),BY113&amp;Q113)),MID(BY112&amp;Q112,ROW($1:$4),1),""))</f>
        <v/>
      </c>
      <c r="CA113" s="25" t="str">
        <f t="array" ref="CA113">_xlfn.TEXTJOIN("",TRUE,IF(ISERROR(FIND(ROW($1:$10)-1,BY113&amp;BZ113)),ROW($1:$10)-1,""))</f>
        <v>01234689</v>
      </c>
      <c r="CB113" s="26" t="str">
        <f t="shared" si="47"/>
        <v>邻孤孤</v>
      </c>
      <c r="CC113" s="27" t="str">
        <f t="shared" si="48"/>
        <v>46</v>
      </c>
      <c r="CD113" s="27" t="str">
        <f t="array" ref="CD113">_xlfn.TEXTJOIN("",TRUE,IF(ISNUMBER(FIND(MID(CC112&amp;R112,ROW($1:$4),1),CC113&amp;R113)),MID(CC112&amp;R112,ROW($1:$4),1),""))</f>
        <v/>
      </c>
      <c r="CE113" s="27" t="str">
        <f t="array" ref="CE113">_xlfn.TEXTJOIN("",TRUE,IF(ISERROR(FIND(ROW($1:$10)-1,CC113&amp;CD113)),ROW($1:$10)-1,""))</f>
        <v>01235789</v>
      </c>
      <c r="CF113" s="17" t="str">
        <f t="shared" si="49"/>
        <v>邻孤孤</v>
      </c>
      <c r="CG113" s="22" t="str">
        <f t="shared" si="50"/>
        <v>02</v>
      </c>
      <c r="CH113" s="22" t="str">
        <f t="array" ref="CH113">_xlfn.TEXTJOIN("",TRUE,IF(ISNUMBER(FIND(MID(CG112&amp;S112,ROW($1:$4),1),CG113&amp;S113)),MID(CG112&amp;S112,ROW($1:$4),1),""))</f>
        <v>12</v>
      </c>
      <c r="CI113" s="22" t="str">
        <f t="array" ref="CI113">_xlfn.TEXTJOIN("",TRUE,IF(ISERROR(FIND(ROW($1:$10)-1,CG113&amp;CH113)),ROW($1:$10)-1,""))</f>
        <v>3456789</v>
      </c>
      <c r="CJ113" s="28" t="str">
        <f t="shared" si="51"/>
        <v>邻传孤</v>
      </c>
    </row>
    <row r="114" spans="1:88">
      <c r="A114" s="32">
        <v>2024241</v>
      </c>
      <c r="B114" s="8" t="s">
        <v>129</v>
      </c>
      <c r="C114" s="49">
        <f t="shared" si="60"/>
        <v>11</v>
      </c>
      <c r="D114" s="50">
        <f t="shared" si="61"/>
        <v>1</v>
      </c>
      <c r="E114" s="51">
        <f t="shared" si="37"/>
        <v>3.6666666666666701</v>
      </c>
      <c r="F114" s="52">
        <f>MAX(MID(B114,{1,2,3},1)*1)-MIN(MID(B114,{1,2,3},1)*1)</f>
        <v>7</v>
      </c>
      <c r="G114" s="104">
        <v>0</v>
      </c>
      <c r="H114" s="104">
        <v>1</v>
      </c>
      <c r="I114" s="104">
        <v>2</v>
      </c>
      <c r="J114" s="104">
        <v>3</v>
      </c>
      <c r="K114" s="104">
        <v>4</v>
      </c>
      <c r="L114" s="104">
        <v>5</v>
      </c>
      <c r="M114" s="104">
        <v>6</v>
      </c>
      <c r="N114" s="104">
        <v>7</v>
      </c>
      <c r="O114" s="104">
        <v>8</v>
      </c>
      <c r="P114" s="104">
        <v>9</v>
      </c>
      <c r="Q114" s="53">
        <f t="shared" si="62"/>
        <v>3</v>
      </c>
      <c r="R114" s="53">
        <f t="shared" si="63"/>
        <v>4</v>
      </c>
      <c r="S114" s="53">
        <f t="shared" si="64"/>
        <v>7</v>
      </c>
      <c r="T114" s="101">
        <f t="shared" si="38"/>
        <v>14</v>
      </c>
      <c r="U114" s="15" t="str">
        <f>_xlfn.TEXTJOIN(", ",TRUE,ABS(MID(B114,{1,1,2},1)-MID(B114,{2,3,3},1)))</f>
        <v>3, 4, 7</v>
      </c>
      <c r="V114" s="54">
        <v>0</v>
      </c>
      <c r="W114" s="54">
        <v>1</v>
      </c>
      <c r="X114" s="54">
        <v>2</v>
      </c>
      <c r="Y114" s="54">
        <v>3</v>
      </c>
      <c r="Z114" s="54">
        <v>4</v>
      </c>
      <c r="AA114" s="54">
        <v>5</v>
      </c>
      <c r="AB114" s="54">
        <v>6</v>
      </c>
      <c r="AC114" s="54">
        <v>7</v>
      </c>
      <c r="AD114" s="54">
        <v>8</v>
      </c>
      <c r="AE114" s="54">
        <v>9</v>
      </c>
      <c r="AF114" s="55">
        <v>0</v>
      </c>
      <c r="AG114" s="55">
        <v>1</v>
      </c>
      <c r="AH114" s="55">
        <v>2</v>
      </c>
      <c r="AI114" s="55">
        <v>3</v>
      </c>
      <c r="AJ114" s="55">
        <v>4</v>
      </c>
      <c r="AK114" s="55">
        <v>5</v>
      </c>
      <c r="AL114" s="55">
        <v>6</v>
      </c>
      <c r="AM114" s="55">
        <v>7</v>
      </c>
      <c r="AN114" s="55">
        <v>8</v>
      </c>
      <c r="AO114" s="55">
        <v>9</v>
      </c>
      <c r="AP114" s="105">
        <v>0</v>
      </c>
      <c r="AQ114" s="105">
        <v>1</v>
      </c>
      <c r="AR114" s="105">
        <v>2</v>
      </c>
      <c r="AS114" s="105">
        <v>3</v>
      </c>
      <c r="AT114" s="105">
        <v>4</v>
      </c>
      <c r="AU114" s="105">
        <v>5</v>
      </c>
      <c r="AV114" s="105">
        <v>6</v>
      </c>
      <c r="AW114" s="105">
        <v>7</v>
      </c>
      <c r="AX114" s="105">
        <v>8</v>
      </c>
      <c r="AY114" s="105">
        <v>9</v>
      </c>
      <c r="AZ114" s="56">
        <v>0</v>
      </c>
      <c r="BA114" s="56">
        <v>1</v>
      </c>
      <c r="BB114" s="56">
        <v>2</v>
      </c>
      <c r="BC114" s="56">
        <v>3</v>
      </c>
      <c r="BD114" s="56">
        <v>4</v>
      </c>
      <c r="BE114" s="56">
        <v>5</v>
      </c>
      <c r="BF114" s="56">
        <v>6</v>
      </c>
      <c r="BG114" s="56">
        <v>7</v>
      </c>
      <c r="BH114" s="56">
        <v>8</v>
      </c>
      <c r="BI114" s="56">
        <v>9</v>
      </c>
      <c r="BJ114" s="57" t="str">
        <f t="shared" si="39"/>
        <v>松散型</v>
      </c>
      <c r="BK114" s="13">
        <f t="shared" si="35"/>
        <v>3</v>
      </c>
      <c r="BL114" s="13">
        <f t="shared" si="36"/>
        <v>7</v>
      </c>
      <c r="BM114" s="18" t="str">
        <f t="shared" si="41"/>
        <v/>
      </c>
      <c r="BN114" s="19">
        <f t="shared" si="42"/>
        <v>3</v>
      </c>
      <c r="BO114" s="19" t="str">
        <f t="array" ref="BO114">_xlfn.TEXTJOIN("",TRUE,IF(ISERROR(FIND(ROW($1:$10)-1,BM114&amp;BN114)),ROW($1:$10)-1,""))</f>
        <v>012456789</v>
      </c>
      <c r="BP114" s="20" t="str">
        <f t="shared" si="43"/>
        <v>中隔中</v>
      </c>
      <c r="BQ114" s="21" t="str">
        <f t="shared" si="54"/>
        <v/>
      </c>
      <c r="BR114" s="21" t="str">
        <f t="shared" si="52"/>
        <v/>
      </c>
      <c r="BS114" s="21" t="str">
        <f t="array" ref="BS114">_xlfn.TEXTJOIN("",TRUE,IF(ISERROR(FIND(ROW($1:$10)-1,BQ114&amp;BR114)),ROW($1:$10)-1,""))</f>
        <v>0123456789</v>
      </c>
      <c r="BT114" s="20" t="str">
        <f t="shared" si="44"/>
        <v>中中中</v>
      </c>
      <c r="BU114" s="22" t="str">
        <f t="shared" si="45"/>
        <v/>
      </c>
      <c r="BV114" s="22" t="str">
        <f t="shared" si="53"/>
        <v/>
      </c>
      <c r="BW114" s="22" t="str">
        <f t="array" ref="BW114">_xlfn.TEXTJOIN("",TRUE,IF(ISERROR(FIND(ROW($1:$10)-1,BU114&amp;BV114)),ROW($1:$10)-1,""))</f>
        <v>0123456789</v>
      </c>
      <c r="BX114" s="20" t="str">
        <f t="shared" si="46"/>
        <v>中中中</v>
      </c>
      <c r="BY114" s="23" t="str">
        <f t="shared" si="40"/>
        <v>24</v>
      </c>
      <c r="BZ114" s="24" t="str">
        <f t="array" ref="BZ114">_xlfn.TEXTJOIN("",TRUE,IF(ISNUMBER(FIND(MID(BY113&amp;Q113,ROW($1:$4),1),BY114&amp;Q114)),MID(BY113&amp;Q113,ROW($1:$4),1),""))</f>
        <v/>
      </c>
      <c r="CA114" s="25" t="str">
        <f t="array" ref="CA114">_xlfn.TEXTJOIN("",TRUE,IF(ISERROR(FIND(ROW($1:$10)-1,BY114&amp;BZ114)),ROW($1:$10)-1,""))</f>
        <v>01356789</v>
      </c>
      <c r="CB114" s="26" t="str">
        <f t="shared" si="47"/>
        <v>邻孤孤</v>
      </c>
      <c r="CC114" s="27" t="str">
        <f t="shared" si="48"/>
        <v>35</v>
      </c>
      <c r="CD114" s="27" t="str">
        <f t="array" ref="CD114">_xlfn.TEXTJOIN("",TRUE,IF(ISNUMBER(FIND(MID(CC113&amp;R113,ROW($1:$4),1),CC114&amp;R114)),MID(CC113&amp;R113,ROW($1:$4),1),""))</f>
        <v>45</v>
      </c>
      <c r="CE114" s="27" t="str">
        <f t="array" ref="CE114">_xlfn.TEXTJOIN("",TRUE,IF(ISERROR(FIND(ROW($1:$10)-1,CC114&amp;CD114)),ROW($1:$10)-1,""))</f>
        <v>0126789</v>
      </c>
      <c r="CF114" s="17" t="str">
        <f t="shared" si="49"/>
        <v>邻传孤</v>
      </c>
      <c r="CG114" s="22" t="str">
        <f t="shared" si="50"/>
        <v>68</v>
      </c>
      <c r="CH114" s="22" t="str">
        <f t="array" ref="CH114">_xlfn.TEXTJOIN("",TRUE,IF(ISNUMBER(FIND(MID(CG113&amp;S113,ROW($1:$4),1),CG114&amp;S114)),MID(CG113&amp;S113,ROW($1:$4),1),""))</f>
        <v/>
      </c>
      <c r="CI114" s="22" t="str">
        <f t="array" ref="CI114">_xlfn.TEXTJOIN("",TRUE,IF(ISERROR(FIND(ROW($1:$10)-1,CG114&amp;CH114)),ROW($1:$10)-1,""))</f>
        <v>01234579</v>
      </c>
      <c r="CJ114" s="28" t="str">
        <f t="shared" si="51"/>
        <v>邻孤孤</v>
      </c>
    </row>
    <row r="115" spans="1:88">
      <c r="A115" s="32">
        <v>2024242</v>
      </c>
      <c r="B115" s="8" t="s">
        <v>130</v>
      </c>
      <c r="C115" s="49">
        <f t="shared" si="60"/>
        <v>11</v>
      </c>
      <c r="D115" s="50">
        <f t="shared" si="61"/>
        <v>1</v>
      </c>
      <c r="E115" s="51">
        <f t="shared" si="37"/>
        <v>3.6666666666666701</v>
      </c>
      <c r="F115" s="52">
        <f>MAX(MID(B115,{1,2,3},1)*1)-MIN(MID(B115,{1,2,3},1)*1)</f>
        <v>4</v>
      </c>
      <c r="G115" s="104">
        <v>0</v>
      </c>
      <c r="H115" s="104">
        <v>1</v>
      </c>
      <c r="I115" s="104">
        <v>2</v>
      </c>
      <c r="J115" s="104">
        <v>3</v>
      </c>
      <c r="K115" s="104">
        <v>4</v>
      </c>
      <c r="L115" s="104">
        <v>5</v>
      </c>
      <c r="M115" s="104">
        <v>6</v>
      </c>
      <c r="N115" s="104">
        <v>7</v>
      </c>
      <c r="O115" s="104">
        <v>8</v>
      </c>
      <c r="P115" s="104">
        <v>9</v>
      </c>
      <c r="Q115" s="53">
        <f t="shared" si="62"/>
        <v>4</v>
      </c>
      <c r="R115" s="53">
        <f t="shared" si="63"/>
        <v>3</v>
      </c>
      <c r="S115" s="53">
        <f t="shared" si="64"/>
        <v>1</v>
      </c>
      <c r="T115" s="101">
        <f t="shared" si="38"/>
        <v>8</v>
      </c>
      <c r="U115" s="15" t="str">
        <f>_xlfn.TEXTJOIN(", ",TRUE,ABS(MID(B115,{1,1,2},1)-MID(B115,{2,3,3},1)))</f>
        <v>4, 3, 1</v>
      </c>
      <c r="V115" s="54">
        <v>0</v>
      </c>
      <c r="W115" s="54">
        <v>1</v>
      </c>
      <c r="X115" s="54">
        <v>2</v>
      </c>
      <c r="Y115" s="54">
        <v>3</v>
      </c>
      <c r="Z115" s="54">
        <v>4</v>
      </c>
      <c r="AA115" s="54">
        <v>5</v>
      </c>
      <c r="AB115" s="54">
        <v>6</v>
      </c>
      <c r="AC115" s="54">
        <v>7</v>
      </c>
      <c r="AD115" s="54">
        <v>8</v>
      </c>
      <c r="AE115" s="54">
        <v>9</v>
      </c>
      <c r="AF115" s="55">
        <v>0</v>
      </c>
      <c r="AG115" s="55">
        <v>1</v>
      </c>
      <c r="AH115" s="55">
        <v>2</v>
      </c>
      <c r="AI115" s="55">
        <v>3</v>
      </c>
      <c r="AJ115" s="55">
        <v>4</v>
      </c>
      <c r="AK115" s="55">
        <v>5</v>
      </c>
      <c r="AL115" s="55">
        <v>6</v>
      </c>
      <c r="AM115" s="55">
        <v>7</v>
      </c>
      <c r="AN115" s="55">
        <v>8</v>
      </c>
      <c r="AO115" s="55">
        <v>9</v>
      </c>
      <c r="AP115" s="105">
        <v>0</v>
      </c>
      <c r="AQ115" s="105">
        <v>1</v>
      </c>
      <c r="AR115" s="105">
        <v>2</v>
      </c>
      <c r="AS115" s="105">
        <v>3</v>
      </c>
      <c r="AT115" s="105">
        <v>4</v>
      </c>
      <c r="AU115" s="105">
        <v>5</v>
      </c>
      <c r="AV115" s="105">
        <v>6</v>
      </c>
      <c r="AW115" s="105">
        <v>7</v>
      </c>
      <c r="AX115" s="105">
        <v>8</v>
      </c>
      <c r="AY115" s="105">
        <v>9</v>
      </c>
      <c r="AZ115" s="56">
        <v>0</v>
      </c>
      <c r="BA115" s="56">
        <v>1</v>
      </c>
      <c r="BB115" s="56">
        <v>2</v>
      </c>
      <c r="BC115" s="56">
        <v>3</v>
      </c>
      <c r="BD115" s="56">
        <v>4</v>
      </c>
      <c r="BE115" s="56">
        <v>5</v>
      </c>
      <c r="BF115" s="56">
        <v>6</v>
      </c>
      <c r="BG115" s="56">
        <v>7</v>
      </c>
      <c r="BH115" s="56">
        <v>8</v>
      </c>
      <c r="BI115" s="56">
        <v>9</v>
      </c>
      <c r="BJ115" s="57" t="str">
        <f t="shared" si="39"/>
        <v>紧凑型</v>
      </c>
      <c r="BK115" s="13">
        <f t="shared" si="35"/>
        <v>1</v>
      </c>
      <c r="BL115" s="13">
        <f t="shared" si="36"/>
        <v>4</v>
      </c>
      <c r="BM115" s="18">
        <f t="shared" si="41"/>
        <v>4</v>
      </c>
      <c r="BN115" s="19" t="str">
        <f t="shared" si="42"/>
        <v/>
      </c>
      <c r="BO115" s="19" t="str">
        <f t="array" ref="BO115">_xlfn.TEXTJOIN("",TRUE,IF(ISERROR(FIND(ROW($1:$10)-1,BM115&amp;BN115)),ROW($1:$10)-1,""))</f>
        <v>012356789</v>
      </c>
      <c r="BP115" s="20" t="str">
        <f t="shared" si="43"/>
        <v>复中中</v>
      </c>
      <c r="BQ115" s="21">
        <f t="shared" si="54"/>
        <v>3</v>
      </c>
      <c r="BR115" s="21" t="str">
        <f t="shared" si="52"/>
        <v/>
      </c>
      <c r="BS115" s="21" t="str">
        <f t="array" ref="BS115">_xlfn.TEXTJOIN("",TRUE,IF(ISERROR(FIND(ROW($1:$10)-1,BQ115&amp;BR115)),ROW($1:$10)-1,""))</f>
        <v>012456789</v>
      </c>
      <c r="BT115" s="20" t="str">
        <f t="shared" si="44"/>
        <v>复中中</v>
      </c>
      <c r="BU115" s="22" t="str">
        <f t="shared" si="45"/>
        <v/>
      </c>
      <c r="BV115" s="22">
        <f t="shared" si="53"/>
        <v>1</v>
      </c>
      <c r="BW115" s="22" t="str">
        <f t="array" ref="BW115">_xlfn.TEXTJOIN("",TRUE,IF(ISERROR(FIND(ROW($1:$10)-1,BU115&amp;BV115)),ROW($1:$10)-1,""))</f>
        <v>023456789</v>
      </c>
      <c r="BX115" s="20" t="str">
        <f t="shared" si="46"/>
        <v>中隔中</v>
      </c>
      <c r="BY115" s="23" t="str">
        <f t="shared" si="40"/>
        <v>35</v>
      </c>
      <c r="BZ115" s="24" t="str">
        <f t="array" ref="BZ115">_xlfn.TEXTJOIN("",TRUE,IF(ISNUMBER(FIND(MID(BY114&amp;Q114,ROW($1:$4),1),BY115&amp;Q115)),MID(BY114&amp;Q114,ROW($1:$4),1),""))</f>
        <v>43</v>
      </c>
      <c r="CA115" s="25" t="str">
        <f t="array" ref="CA115">_xlfn.TEXTJOIN("",TRUE,IF(ISERROR(FIND(ROW($1:$10)-1,BY115&amp;BZ115)),ROW($1:$10)-1,""))</f>
        <v>0126789</v>
      </c>
      <c r="CB115" s="26" t="str">
        <f t="shared" si="47"/>
        <v>邻传孤</v>
      </c>
      <c r="CC115" s="27" t="str">
        <f t="shared" si="48"/>
        <v>24</v>
      </c>
      <c r="CD115" s="27" t="str">
        <f t="array" ref="CD115">_xlfn.TEXTJOIN("",TRUE,IF(ISNUMBER(FIND(MID(CC114&amp;R114,ROW($1:$4),1),CC115&amp;R115)),MID(CC114&amp;R114,ROW($1:$4),1),""))</f>
        <v>34</v>
      </c>
      <c r="CE115" s="27" t="str">
        <f t="array" ref="CE115">_xlfn.TEXTJOIN("",TRUE,IF(ISERROR(FIND(ROW($1:$10)-1,CC115&amp;CD115)),ROW($1:$10)-1,""))</f>
        <v>0156789</v>
      </c>
      <c r="CF115" s="17" t="str">
        <f t="shared" si="49"/>
        <v>邻传孤</v>
      </c>
      <c r="CG115" s="22" t="str">
        <f t="shared" si="50"/>
        <v>02</v>
      </c>
      <c r="CH115" s="22" t="str">
        <f t="array" ref="CH115">_xlfn.TEXTJOIN("",TRUE,IF(ISNUMBER(FIND(MID(CG114&amp;S114,ROW($1:$4),1),CG115&amp;S115)),MID(CG114&amp;S114,ROW($1:$4),1),""))</f>
        <v/>
      </c>
      <c r="CI115" s="22" t="str">
        <f t="array" ref="CI115">_xlfn.TEXTJOIN("",TRUE,IF(ISERROR(FIND(ROW($1:$10)-1,CG115&amp;CH115)),ROW($1:$10)-1,""))</f>
        <v>13456789</v>
      </c>
      <c r="CJ115" s="28" t="str">
        <f t="shared" si="51"/>
        <v>邻孤孤</v>
      </c>
    </row>
    <row r="116" spans="1:88">
      <c r="A116" s="32">
        <v>2024243</v>
      </c>
      <c r="B116" s="8" t="s">
        <v>34</v>
      </c>
      <c r="C116" s="49">
        <f t="shared" si="60"/>
        <v>19</v>
      </c>
      <c r="D116" s="50">
        <f t="shared" si="61"/>
        <v>9</v>
      </c>
      <c r="E116" s="51">
        <f t="shared" si="37"/>
        <v>6.3333333333333304</v>
      </c>
      <c r="F116" s="52">
        <f>MAX(MID(B116,{1,2,3},1)*1)-MIN(MID(B116,{1,2,3},1)*1)</f>
        <v>4</v>
      </c>
      <c r="G116" s="104">
        <v>0</v>
      </c>
      <c r="H116" s="104">
        <v>1</v>
      </c>
      <c r="I116" s="104">
        <v>2</v>
      </c>
      <c r="J116" s="104">
        <v>3</v>
      </c>
      <c r="K116" s="104">
        <v>4</v>
      </c>
      <c r="L116" s="104">
        <v>5</v>
      </c>
      <c r="M116" s="104">
        <v>6</v>
      </c>
      <c r="N116" s="104">
        <v>7</v>
      </c>
      <c r="O116" s="104">
        <v>8</v>
      </c>
      <c r="P116" s="104">
        <v>9</v>
      </c>
      <c r="Q116" s="53">
        <f t="shared" si="62"/>
        <v>4</v>
      </c>
      <c r="R116" s="53">
        <f t="shared" si="63"/>
        <v>4</v>
      </c>
      <c r="S116" s="53">
        <f t="shared" si="64"/>
        <v>0</v>
      </c>
      <c r="T116" s="101">
        <f t="shared" si="38"/>
        <v>8</v>
      </c>
      <c r="U116" s="15" t="str">
        <f>_xlfn.TEXTJOIN(", ",TRUE,ABS(MID(B116,{1,1,2},1)-MID(B116,{2,3,3},1)))</f>
        <v>4, 4, 0</v>
      </c>
      <c r="V116" s="54">
        <v>0</v>
      </c>
      <c r="W116" s="54">
        <v>1</v>
      </c>
      <c r="X116" s="54">
        <v>2</v>
      </c>
      <c r="Y116" s="54">
        <v>3</v>
      </c>
      <c r="Z116" s="54">
        <v>4</v>
      </c>
      <c r="AA116" s="54">
        <v>5</v>
      </c>
      <c r="AB116" s="54">
        <v>6</v>
      </c>
      <c r="AC116" s="54">
        <v>7</v>
      </c>
      <c r="AD116" s="54">
        <v>8</v>
      </c>
      <c r="AE116" s="54">
        <v>9</v>
      </c>
      <c r="AF116" s="55">
        <v>0</v>
      </c>
      <c r="AG116" s="55">
        <v>1</v>
      </c>
      <c r="AH116" s="55">
        <v>2</v>
      </c>
      <c r="AI116" s="55">
        <v>3</v>
      </c>
      <c r="AJ116" s="55">
        <v>4</v>
      </c>
      <c r="AK116" s="55">
        <v>5</v>
      </c>
      <c r="AL116" s="55">
        <v>6</v>
      </c>
      <c r="AM116" s="55">
        <v>7</v>
      </c>
      <c r="AN116" s="55">
        <v>8</v>
      </c>
      <c r="AO116" s="55">
        <v>9</v>
      </c>
      <c r="AP116" s="105">
        <v>0</v>
      </c>
      <c r="AQ116" s="105">
        <v>1</v>
      </c>
      <c r="AR116" s="105">
        <v>2</v>
      </c>
      <c r="AS116" s="105">
        <v>3</v>
      </c>
      <c r="AT116" s="105">
        <v>4</v>
      </c>
      <c r="AU116" s="105">
        <v>5</v>
      </c>
      <c r="AV116" s="105">
        <v>6</v>
      </c>
      <c r="AW116" s="105">
        <v>7</v>
      </c>
      <c r="AX116" s="105">
        <v>8</v>
      </c>
      <c r="AY116" s="105">
        <v>9</v>
      </c>
      <c r="AZ116" s="56">
        <v>0</v>
      </c>
      <c r="BA116" s="56">
        <v>1</v>
      </c>
      <c r="BB116" s="56">
        <v>2</v>
      </c>
      <c r="BC116" s="56">
        <v>3</v>
      </c>
      <c r="BD116" s="56">
        <v>4</v>
      </c>
      <c r="BE116" s="56">
        <v>5</v>
      </c>
      <c r="BF116" s="56">
        <v>6</v>
      </c>
      <c r="BG116" s="56">
        <v>7</v>
      </c>
      <c r="BH116" s="56">
        <v>8</v>
      </c>
      <c r="BI116" s="56">
        <v>9</v>
      </c>
      <c r="BJ116" s="57" t="str">
        <f t="shared" si="39"/>
        <v>紧凑型</v>
      </c>
      <c r="BK116" s="13">
        <f t="shared" si="35"/>
        <v>0</v>
      </c>
      <c r="BL116" s="13">
        <f t="shared" si="36"/>
        <v>4</v>
      </c>
      <c r="BM116" s="18">
        <f t="shared" si="41"/>
        <v>4</v>
      </c>
      <c r="BN116" s="19">
        <f t="shared" si="42"/>
        <v>4</v>
      </c>
      <c r="BO116" s="19" t="str">
        <f t="array" ref="BO116">_xlfn.TEXTJOIN("",TRUE,IF(ISERROR(FIND(ROW($1:$10)-1,BM116&amp;BN116)),ROW($1:$10)-1,""))</f>
        <v>012356789</v>
      </c>
      <c r="BP116" s="20" t="str">
        <f t="shared" si="43"/>
        <v>复隔中</v>
      </c>
      <c r="BQ116" s="21">
        <f t="shared" si="54"/>
        <v>4</v>
      </c>
      <c r="BR116" s="21">
        <f t="shared" si="52"/>
        <v>4</v>
      </c>
      <c r="BS116" s="21" t="str">
        <f t="array" ref="BS116">_xlfn.TEXTJOIN("",TRUE,IF(ISERROR(FIND(ROW($1:$10)-1,BQ116&amp;BR116)),ROW($1:$10)-1,""))</f>
        <v>012356789</v>
      </c>
      <c r="BT116" s="20" t="str">
        <f t="shared" si="44"/>
        <v>复隔中</v>
      </c>
      <c r="BU116" s="22" t="str">
        <f t="shared" si="45"/>
        <v/>
      </c>
      <c r="BV116" s="22" t="str">
        <f t="shared" si="53"/>
        <v/>
      </c>
      <c r="BW116" s="22" t="str">
        <f t="array" ref="BW116">_xlfn.TEXTJOIN("",TRUE,IF(ISERROR(FIND(ROW($1:$10)-1,BU116&amp;BV116)),ROW($1:$10)-1,""))</f>
        <v>0123456789</v>
      </c>
      <c r="BX116" s="20" t="str">
        <f t="shared" si="46"/>
        <v>中中中</v>
      </c>
      <c r="BY116" s="23" t="str">
        <f t="shared" si="40"/>
        <v>35</v>
      </c>
      <c r="BZ116" s="24" t="str">
        <f t="array" ref="BZ116">_xlfn.TEXTJOIN("",TRUE,IF(ISNUMBER(FIND(MID(BY115&amp;Q115,ROW($1:$4),1),BY116&amp;Q116)),MID(BY115&amp;Q115,ROW($1:$4),1),""))</f>
        <v>354</v>
      </c>
      <c r="CA116" s="25" t="str">
        <f t="array" ref="CA116">_xlfn.TEXTJOIN("",TRUE,IF(ISERROR(FIND(ROW($1:$10)-1,BY116&amp;BZ116)),ROW($1:$10)-1,""))</f>
        <v>0126789</v>
      </c>
      <c r="CB116" s="26" t="str">
        <f t="shared" si="47"/>
        <v>邻传孤</v>
      </c>
      <c r="CC116" s="27" t="str">
        <f t="shared" si="48"/>
        <v>35</v>
      </c>
      <c r="CD116" s="27" t="str">
        <f t="array" ref="CD116">_xlfn.TEXTJOIN("",TRUE,IF(ISNUMBER(FIND(MID(CC115&amp;R115,ROW($1:$4),1),CC116&amp;R116)),MID(CC115&amp;R115,ROW($1:$4),1),""))</f>
        <v>43</v>
      </c>
      <c r="CE116" s="27" t="str">
        <f t="array" ref="CE116">_xlfn.TEXTJOIN("",TRUE,IF(ISERROR(FIND(ROW($1:$10)-1,CC116&amp;CD116)),ROW($1:$10)-1,""))</f>
        <v>0126789</v>
      </c>
      <c r="CF116" s="17" t="str">
        <f t="shared" si="49"/>
        <v>邻传孤</v>
      </c>
      <c r="CG116" s="22" t="str">
        <f t="shared" si="50"/>
        <v>91</v>
      </c>
      <c r="CH116" s="22" t="str">
        <f t="array" ref="CH116">_xlfn.TEXTJOIN("",TRUE,IF(ISNUMBER(FIND(MID(CG115&amp;S115,ROW($1:$4),1),CG116&amp;S116)),MID(CG115&amp;S115,ROW($1:$4),1),""))</f>
        <v>01</v>
      </c>
      <c r="CI116" s="22" t="str">
        <f t="array" ref="CI116">_xlfn.TEXTJOIN("",TRUE,IF(ISERROR(FIND(ROW($1:$10)-1,CG116&amp;CH116)),ROW($1:$10)-1,""))</f>
        <v>2345678</v>
      </c>
      <c r="CJ116" s="28" t="str">
        <f t="shared" si="51"/>
        <v>邻传孤</v>
      </c>
    </row>
    <row r="117" spans="1:88">
      <c r="A117" s="32">
        <v>2024244</v>
      </c>
      <c r="B117" s="8" t="s">
        <v>131</v>
      </c>
      <c r="C117" s="49">
        <f t="shared" si="60"/>
        <v>17</v>
      </c>
      <c r="D117" s="50">
        <f t="shared" si="61"/>
        <v>7</v>
      </c>
      <c r="E117" s="51">
        <f t="shared" si="37"/>
        <v>5.6666666666666696</v>
      </c>
      <c r="F117" s="52">
        <f>MAX(MID(B117,{1,2,3},1)*1)-MIN(MID(B117,{1,2,3},1)*1)</f>
        <v>5</v>
      </c>
      <c r="G117" s="104">
        <v>0</v>
      </c>
      <c r="H117" s="104">
        <v>1</v>
      </c>
      <c r="I117" s="104">
        <v>2</v>
      </c>
      <c r="J117" s="104">
        <v>3</v>
      </c>
      <c r="K117" s="104">
        <v>4</v>
      </c>
      <c r="L117" s="104">
        <v>5</v>
      </c>
      <c r="M117" s="104">
        <v>6</v>
      </c>
      <c r="N117" s="104">
        <v>7</v>
      </c>
      <c r="O117" s="104">
        <v>8</v>
      </c>
      <c r="P117" s="104">
        <v>9</v>
      </c>
      <c r="Q117" s="53">
        <f t="shared" si="62"/>
        <v>2</v>
      </c>
      <c r="R117" s="53">
        <f t="shared" si="63"/>
        <v>5</v>
      </c>
      <c r="S117" s="53">
        <f t="shared" si="64"/>
        <v>3</v>
      </c>
      <c r="T117" s="101">
        <f t="shared" si="38"/>
        <v>10</v>
      </c>
      <c r="U117" s="15" t="str">
        <f>_xlfn.TEXTJOIN(", ",TRUE,ABS(MID(B117,{1,1,2},1)-MID(B117,{2,3,3},1)))</f>
        <v>2, 5, 3</v>
      </c>
      <c r="V117" s="54">
        <v>0</v>
      </c>
      <c r="W117" s="54">
        <v>1</v>
      </c>
      <c r="X117" s="54">
        <v>2</v>
      </c>
      <c r="Y117" s="54">
        <v>3</v>
      </c>
      <c r="Z117" s="54">
        <v>4</v>
      </c>
      <c r="AA117" s="54">
        <v>5</v>
      </c>
      <c r="AB117" s="54">
        <v>6</v>
      </c>
      <c r="AC117" s="54">
        <v>7</v>
      </c>
      <c r="AD117" s="54">
        <v>8</v>
      </c>
      <c r="AE117" s="54">
        <v>9</v>
      </c>
      <c r="AF117" s="55">
        <v>0</v>
      </c>
      <c r="AG117" s="55">
        <v>1</v>
      </c>
      <c r="AH117" s="55">
        <v>2</v>
      </c>
      <c r="AI117" s="55">
        <v>3</v>
      </c>
      <c r="AJ117" s="55">
        <v>4</v>
      </c>
      <c r="AK117" s="55">
        <v>5</v>
      </c>
      <c r="AL117" s="55">
        <v>6</v>
      </c>
      <c r="AM117" s="55">
        <v>7</v>
      </c>
      <c r="AN117" s="55">
        <v>8</v>
      </c>
      <c r="AO117" s="55">
        <v>9</v>
      </c>
      <c r="AP117" s="105">
        <v>0</v>
      </c>
      <c r="AQ117" s="105">
        <v>1</v>
      </c>
      <c r="AR117" s="105">
        <v>2</v>
      </c>
      <c r="AS117" s="105">
        <v>3</v>
      </c>
      <c r="AT117" s="105">
        <v>4</v>
      </c>
      <c r="AU117" s="105">
        <v>5</v>
      </c>
      <c r="AV117" s="105">
        <v>6</v>
      </c>
      <c r="AW117" s="105">
        <v>7</v>
      </c>
      <c r="AX117" s="105">
        <v>8</v>
      </c>
      <c r="AY117" s="105">
        <v>9</v>
      </c>
      <c r="AZ117" s="56">
        <v>0</v>
      </c>
      <c r="BA117" s="56">
        <v>1</v>
      </c>
      <c r="BB117" s="56">
        <v>2</v>
      </c>
      <c r="BC117" s="56">
        <v>3</v>
      </c>
      <c r="BD117" s="56">
        <v>4</v>
      </c>
      <c r="BE117" s="56">
        <v>5</v>
      </c>
      <c r="BF117" s="56">
        <v>6</v>
      </c>
      <c r="BG117" s="56">
        <v>7</v>
      </c>
      <c r="BH117" s="56">
        <v>8</v>
      </c>
      <c r="BI117" s="56">
        <v>9</v>
      </c>
      <c r="BJ117" s="57" t="str">
        <f t="shared" si="39"/>
        <v>标准型</v>
      </c>
      <c r="BK117" s="13">
        <f t="shared" si="35"/>
        <v>2</v>
      </c>
      <c r="BL117" s="13">
        <f t="shared" si="36"/>
        <v>5</v>
      </c>
      <c r="BM117" s="18" t="str">
        <f t="shared" si="41"/>
        <v/>
      </c>
      <c r="BN117" s="19" t="str">
        <f t="shared" si="42"/>
        <v/>
      </c>
      <c r="BO117" s="19" t="str">
        <f t="array" ref="BO117">_xlfn.TEXTJOIN("",TRUE,IF(ISERROR(FIND(ROW($1:$10)-1,BM117&amp;BN117)),ROW($1:$10)-1,""))</f>
        <v>0123456789</v>
      </c>
      <c r="BP117" s="20" t="str">
        <f t="shared" si="43"/>
        <v>中中中</v>
      </c>
      <c r="BQ117" s="21" t="str">
        <f t="shared" si="54"/>
        <v/>
      </c>
      <c r="BR117" s="21" t="str">
        <f t="shared" si="52"/>
        <v/>
      </c>
      <c r="BS117" s="21" t="str">
        <f t="array" ref="BS117">_xlfn.TEXTJOIN("",TRUE,IF(ISERROR(FIND(ROW($1:$10)-1,BQ117&amp;BR117)),ROW($1:$10)-1,""))</f>
        <v>0123456789</v>
      </c>
      <c r="BT117" s="20" t="str">
        <f t="shared" si="44"/>
        <v>中中中</v>
      </c>
      <c r="BU117" s="22" t="str">
        <f t="shared" si="45"/>
        <v/>
      </c>
      <c r="BV117" s="22">
        <f t="shared" si="53"/>
        <v>3</v>
      </c>
      <c r="BW117" s="22" t="str">
        <f t="array" ref="BW117">_xlfn.TEXTJOIN("",TRUE,IF(ISERROR(FIND(ROW($1:$10)-1,BU117&amp;BV117)),ROW($1:$10)-1,""))</f>
        <v>012456789</v>
      </c>
      <c r="BX117" s="20" t="str">
        <f t="shared" si="46"/>
        <v>中隔中</v>
      </c>
      <c r="BY117" s="23" t="str">
        <f t="shared" si="40"/>
        <v>13</v>
      </c>
      <c r="BZ117" s="24" t="str">
        <f t="array" ref="BZ117">_xlfn.TEXTJOIN("",TRUE,IF(ISNUMBER(FIND(MID(BY116&amp;Q116,ROW($1:$4),1),BY117&amp;Q117)),MID(BY116&amp;Q116,ROW($1:$4),1),""))</f>
        <v>3</v>
      </c>
      <c r="CA117" s="25" t="str">
        <f t="array" ref="CA117">_xlfn.TEXTJOIN("",TRUE,IF(ISERROR(FIND(ROW($1:$10)-1,BY117&amp;BZ117)),ROW($1:$10)-1,""))</f>
        <v>02456789</v>
      </c>
      <c r="CB117" s="26" t="str">
        <f t="shared" si="47"/>
        <v>邻传孤</v>
      </c>
      <c r="CC117" s="27" t="str">
        <f t="shared" si="48"/>
        <v>46</v>
      </c>
      <c r="CD117" s="27" t="str">
        <f t="array" ref="CD117">_xlfn.TEXTJOIN("",TRUE,IF(ISNUMBER(FIND(MID(CC116&amp;R116,ROW($1:$4),1),CC117&amp;R117)),MID(CC116&amp;R116,ROW($1:$4),1),""))</f>
        <v>54</v>
      </c>
      <c r="CE117" s="27" t="str">
        <f t="array" ref="CE117">_xlfn.TEXTJOIN("",TRUE,IF(ISERROR(FIND(ROW($1:$10)-1,CC117&amp;CD117)),ROW($1:$10)-1,""))</f>
        <v>0123789</v>
      </c>
      <c r="CF117" s="17" t="str">
        <f t="shared" si="49"/>
        <v>邻传孤</v>
      </c>
      <c r="CG117" s="22" t="str">
        <f t="shared" si="50"/>
        <v>24</v>
      </c>
      <c r="CH117" s="22" t="str">
        <f t="array" ref="CH117">_xlfn.TEXTJOIN("",TRUE,IF(ISNUMBER(FIND(MID(CG116&amp;S116,ROW($1:$4),1),CG117&amp;S117)),MID(CG116&amp;S116,ROW($1:$4),1),""))</f>
        <v/>
      </c>
      <c r="CI117" s="22" t="str">
        <f t="array" ref="CI117">_xlfn.TEXTJOIN("",TRUE,IF(ISERROR(FIND(ROW($1:$10)-1,CG117&amp;CH117)),ROW($1:$10)-1,""))</f>
        <v>01356789</v>
      </c>
      <c r="CJ117" s="28" t="str">
        <f t="shared" si="51"/>
        <v>邻孤孤</v>
      </c>
    </row>
    <row r="118" spans="1:88">
      <c r="A118" s="32">
        <v>2024245</v>
      </c>
      <c r="B118" s="8" t="s">
        <v>29</v>
      </c>
      <c r="C118" s="49">
        <f t="shared" si="60"/>
        <v>12</v>
      </c>
      <c r="D118" s="50">
        <f t="shared" si="61"/>
        <v>2</v>
      </c>
      <c r="E118" s="51">
        <f t="shared" si="37"/>
        <v>4</v>
      </c>
      <c r="F118" s="52">
        <f>MAX(MID(B118,{1,2,3},1)*1)-MIN(MID(B118,{1,2,3},1)*1)</f>
        <v>6</v>
      </c>
      <c r="G118" s="104">
        <v>0</v>
      </c>
      <c r="H118" s="104">
        <v>1</v>
      </c>
      <c r="I118" s="104">
        <v>2</v>
      </c>
      <c r="J118" s="104">
        <v>3</v>
      </c>
      <c r="K118" s="104">
        <v>4</v>
      </c>
      <c r="L118" s="104">
        <v>5</v>
      </c>
      <c r="M118" s="104">
        <v>6</v>
      </c>
      <c r="N118" s="104">
        <v>7</v>
      </c>
      <c r="O118" s="104">
        <v>8</v>
      </c>
      <c r="P118" s="104">
        <v>9</v>
      </c>
      <c r="Q118" s="53">
        <f t="shared" si="62"/>
        <v>3</v>
      </c>
      <c r="R118" s="53">
        <f t="shared" si="63"/>
        <v>6</v>
      </c>
      <c r="S118" s="53">
        <f t="shared" si="64"/>
        <v>3</v>
      </c>
      <c r="T118" s="101">
        <f t="shared" si="38"/>
        <v>12</v>
      </c>
      <c r="U118" s="15" t="str">
        <f>_xlfn.TEXTJOIN(", ",TRUE,ABS(MID(B118,{1,1,2},1)-MID(B118,{2,3,3},1)))</f>
        <v>3, 6, 3</v>
      </c>
      <c r="V118" s="54">
        <v>0</v>
      </c>
      <c r="W118" s="54">
        <v>1</v>
      </c>
      <c r="X118" s="54">
        <v>2</v>
      </c>
      <c r="Y118" s="54">
        <v>3</v>
      </c>
      <c r="Z118" s="54">
        <v>4</v>
      </c>
      <c r="AA118" s="54">
        <v>5</v>
      </c>
      <c r="AB118" s="54">
        <v>6</v>
      </c>
      <c r="AC118" s="54">
        <v>7</v>
      </c>
      <c r="AD118" s="54">
        <v>8</v>
      </c>
      <c r="AE118" s="54">
        <v>9</v>
      </c>
      <c r="AF118" s="55">
        <v>0</v>
      </c>
      <c r="AG118" s="55">
        <v>1</v>
      </c>
      <c r="AH118" s="55">
        <v>2</v>
      </c>
      <c r="AI118" s="55">
        <v>3</v>
      </c>
      <c r="AJ118" s="55">
        <v>4</v>
      </c>
      <c r="AK118" s="55">
        <v>5</v>
      </c>
      <c r="AL118" s="55">
        <v>6</v>
      </c>
      <c r="AM118" s="55">
        <v>7</v>
      </c>
      <c r="AN118" s="55">
        <v>8</v>
      </c>
      <c r="AO118" s="55">
        <v>9</v>
      </c>
      <c r="AP118" s="105">
        <v>0</v>
      </c>
      <c r="AQ118" s="105">
        <v>1</v>
      </c>
      <c r="AR118" s="105">
        <v>2</v>
      </c>
      <c r="AS118" s="105">
        <v>3</v>
      </c>
      <c r="AT118" s="105">
        <v>4</v>
      </c>
      <c r="AU118" s="105">
        <v>5</v>
      </c>
      <c r="AV118" s="105">
        <v>6</v>
      </c>
      <c r="AW118" s="105">
        <v>7</v>
      </c>
      <c r="AX118" s="105">
        <v>8</v>
      </c>
      <c r="AY118" s="105">
        <v>9</v>
      </c>
      <c r="AZ118" s="56">
        <v>0</v>
      </c>
      <c r="BA118" s="56">
        <v>1</v>
      </c>
      <c r="BB118" s="56">
        <v>2</v>
      </c>
      <c r="BC118" s="56">
        <v>3</v>
      </c>
      <c r="BD118" s="56">
        <v>4</v>
      </c>
      <c r="BE118" s="56">
        <v>5</v>
      </c>
      <c r="BF118" s="56">
        <v>6</v>
      </c>
      <c r="BG118" s="56">
        <v>7</v>
      </c>
      <c r="BH118" s="56">
        <v>8</v>
      </c>
      <c r="BI118" s="56">
        <v>9</v>
      </c>
      <c r="BJ118" s="57" t="str">
        <f t="shared" si="39"/>
        <v>松散型</v>
      </c>
      <c r="BK118" s="13">
        <f t="shared" si="35"/>
        <v>3</v>
      </c>
      <c r="BL118" s="13">
        <f t="shared" si="36"/>
        <v>6</v>
      </c>
      <c r="BM118" s="18">
        <f t="shared" si="41"/>
        <v>3</v>
      </c>
      <c r="BN118" s="19" t="str">
        <f t="shared" si="42"/>
        <v/>
      </c>
      <c r="BO118" s="19" t="str">
        <f t="array" ref="BO118">_xlfn.TEXTJOIN("",TRUE,IF(ISERROR(FIND(ROW($1:$10)-1,BM118&amp;BN118)),ROW($1:$10)-1,""))</f>
        <v>012456789</v>
      </c>
      <c r="BP118" s="20" t="str">
        <f t="shared" si="43"/>
        <v>复中中</v>
      </c>
      <c r="BQ118" s="21" t="str">
        <f t="shared" si="54"/>
        <v/>
      </c>
      <c r="BR118" s="21" t="str">
        <f t="shared" si="52"/>
        <v/>
      </c>
      <c r="BS118" s="21" t="str">
        <f t="array" ref="BS118">_xlfn.TEXTJOIN("",TRUE,IF(ISERROR(FIND(ROW($1:$10)-1,BQ118&amp;BR118)),ROW($1:$10)-1,""))</f>
        <v>0123456789</v>
      </c>
      <c r="BT118" s="20" t="str">
        <f t="shared" si="44"/>
        <v>中中中</v>
      </c>
      <c r="BU118" s="22">
        <f t="shared" si="45"/>
        <v>3</v>
      </c>
      <c r="BV118" s="22" t="str">
        <f t="shared" si="53"/>
        <v/>
      </c>
      <c r="BW118" s="22" t="str">
        <f t="array" ref="BW118">_xlfn.TEXTJOIN("",TRUE,IF(ISERROR(FIND(ROW($1:$10)-1,BU118&amp;BV118)),ROW($1:$10)-1,""))</f>
        <v>012456789</v>
      </c>
      <c r="BX118" s="20" t="str">
        <f t="shared" si="46"/>
        <v>复中中</v>
      </c>
      <c r="BY118" s="23" t="str">
        <f t="shared" si="40"/>
        <v>24</v>
      </c>
      <c r="BZ118" s="24" t="str">
        <f t="array" ref="BZ118">_xlfn.TEXTJOIN("",TRUE,IF(ISNUMBER(FIND(MID(BY117&amp;Q117,ROW($1:$4),1),BY118&amp;Q118)),MID(BY117&amp;Q117,ROW($1:$4),1),""))</f>
        <v>32</v>
      </c>
      <c r="CA118" s="25" t="str">
        <f t="array" ref="CA118">_xlfn.TEXTJOIN("",TRUE,IF(ISERROR(FIND(ROW($1:$10)-1,BY118&amp;BZ118)),ROW($1:$10)-1,""))</f>
        <v>0156789</v>
      </c>
      <c r="CB118" s="26" t="str">
        <f t="shared" si="47"/>
        <v>邻传孤</v>
      </c>
      <c r="CC118" s="27" t="str">
        <f t="shared" si="48"/>
        <v>57</v>
      </c>
      <c r="CD118" s="27" t="str">
        <f t="array" ref="CD118">_xlfn.TEXTJOIN("",TRUE,IF(ISNUMBER(FIND(MID(CC117&amp;R117,ROW($1:$4),1),CC118&amp;R118)),MID(CC117&amp;R117,ROW($1:$4),1),""))</f>
        <v>65</v>
      </c>
      <c r="CE118" s="27" t="str">
        <f t="array" ref="CE118">_xlfn.TEXTJOIN("",TRUE,IF(ISERROR(FIND(ROW($1:$10)-1,CC118&amp;CD118)),ROW($1:$10)-1,""))</f>
        <v>0123489</v>
      </c>
      <c r="CF118" s="17" t="str">
        <f t="shared" si="49"/>
        <v>邻传孤</v>
      </c>
      <c r="CG118" s="22" t="str">
        <f t="shared" si="50"/>
        <v>24</v>
      </c>
      <c r="CH118" s="22" t="str">
        <f t="array" ref="CH118">_xlfn.TEXTJOIN("",TRUE,IF(ISNUMBER(FIND(MID(CG117&amp;S117,ROW($1:$4),1),CG118&amp;S118)),MID(CG117&amp;S117,ROW($1:$4),1),""))</f>
        <v>243</v>
      </c>
      <c r="CI118" s="22" t="str">
        <f t="array" ref="CI118">_xlfn.TEXTJOIN("",TRUE,IF(ISERROR(FIND(ROW($1:$10)-1,CG118&amp;CH118)),ROW($1:$10)-1,""))</f>
        <v>0156789</v>
      </c>
      <c r="CJ118" s="28" t="str">
        <f t="shared" si="51"/>
        <v>邻传孤</v>
      </c>
    </row>
    <row r="119" spans="1:88">
      <c r="A119" s="32">
        <v>2024246</v>
      </c>
      <c r="B119" s="8" t="s">
        <v>91</v>
      </c>
      <c r="C119" s="49">
        <f t="shared" si="60"/>
        <v>8</v>
      </c>
      <c r="D119" s="50">
        <f t="shared" si="61"/>
        <v>8</v>
      </c>
      <c r="E119" s="51">
        <f t="shared" si="37"/>
        <v>2.6666666666666701</v>
      </c>
      <c r="F119" s="52">
        <f>MAX(MID(B119,{1,2,3},1)*1)-MIN(MID(B119,{1,2,3},1)*1)</f>
        <v>7</v>
      </c>
      <c r="G119" s="104">
        <v>0</v>
      </c>
      <c r="H119" s="104">
        <v>1</v>
      </c>
      <c r="I119" s="104">
        <v>2</v>
      </c>
      <c r="J119" s="104">
        <v>3</v>
      </c>
      <c r="K119" s="104">
        <v>4</v>
      </c>
      <c r="L119" s="104">
        <v>5</v>
      </c>
      <c r="M119" s="104">
        <v>6</v>
      </c>
      <c r="N119" s="104">
        <v>7</v>
      </c>
      <c r="O119" s="104">
        <v>8</v>
      </c>
      <c r="P119" s="104">
        <v>9</v>
      </c>
      <c r="Q119" s="53">
        <f t="shared" si="62"/>
        <v>6</v>
      </c>
      <c r="R119" s="53">
        <f t="shared" si="63"/>
        <v>7</v>
      </c>
      <c r="S119" s="53">
        <f t="shared" si="64"/>
        <v>1</v>
      </c>
      <c r="T119" s="101">
        <f t="shared" si="38"/>
        <v>14</v>
      </c>
      <c r="U119" s="15" t="str">
        <f>_xlfn.TEXTJOIN(", ",TRUE,ABS(MID(B119,{1,1,2},1)-MID(B119,{2,3,3},1)))</f>
        <v>6, 7, 1</v>
      </c>
      <c r="V119" s="54">
        <v>0</v>
      </c>
      <c r="W119" s="54">
        <v>1</v>
      </c>
      <c r="X119" s="54">
        <v>2</v>
      </c>
      <c r="Y119" s="54">
        <v>3</v>
      </c>
      <c r="Z119" s="54">
        <v>4</v>
      </c>
      <c r="AA119" s="54">
        <v>5</v>
      </c>
      <c r="AB119" s="54">
        <v>6</v>
      </c>
      <c r="AC119" s="54">
        <v>7</v>
      </c>
      <c r="AD119" s="54">
        <v>8</v>
      </c>
      <c r="AE119" s="54">
        <v>9</v>
      </c>
      <c r="AF119" s="55">
        <v>0</v>
      </c>
      <c r="AG119" s="55">
        <v>1</v>
      </c>
      <c r="AH119" s="55">
        <v>2</v>
      </c>
      <c r="AI119" s="55">
        <v>3</v>
      </c>
      <c r="AJ119" s="55">
        <v>4</v>
      </c>
      <c r="AK119" s="55">
        <v>5</v>
      </c>
      <c r="AL119" s="55">
        <v>6</v>
      </c>
      <c r="AM119" s="55">
        <v>7</v>
      </c>
      <c r="AN119" s="55">
        <v>8</v>
      </c>
      <c r="AO119" s="55">
        <v>9</v>
      </c>
      <c r="AP119" s="105">
        <v>0</v>
      </c>
      <c r="AQ119" s="105">
        <v>1</v>
      </c>
      <c r="AR119" s="105">
        <v>2</v>
      </c>
      <c r="AS119" s="105">
        <v>3</v>
      </c>
      <c r="AT119" s="105">
        <v>4</v>
      </c>
      <c r="AU119" s="105">
        <v>5</v>
      </c>
      <c r="AV119" s="105">
        <v>6</v>
      </c>
      <c r="AW119" s="105">
        <v>7</v>
      </c>
      <c r="AX119" s="105">
        <v>8</v>
      </c>
      <c r="AY119" s="105">
        <v>9</v>
      </c>
      <c r="AZ119" s="56">
        <v>0</v>
      </c>
      <c r="BA119" s="56">
        <v>1</v>
      </c>
      <c r="BB119" s="56">
        <v>2</v>
      </c>
      <c r="BC119" s="56">
        <v>3</v>
      </c>
      <c r="BD119" s="56">
        <v>4</v>
      </c>
      <c r="BE119" s="56">
        <v>5</v>
      </c>
      <c r="BF119" s="56">
        <v>6</v>
      </c>
      <c r="BG119" s="56">
        <v>7</v>
      </c>
      <c r="BH119" s="56">
        <v>8</v>
      </c>
      <c r="BI119" s="56">
        <v>9</v>
      </c>
      <c r="BJ119" s="57" t="str">
        <f t="shared" si="39"/>
        <v>松散型</v>
      </c>
      <c r="BK119" s="13">
        <f t="shared" si="35"/>
        <v>1</v>
      </c>
      <c r="BL119" s="13">
        <f t="shared" si="36"/>
        <v>7</v>
      </c>
      <c r="BM119" s="18">
        <f t="shared" si="41"/>
        <v>6</v>
      </c>
      <c r="BN119" s="19" t="str">
        <f t="shared" si="42"/>
        <v/>
      </c>
      <c r="BO119" s="19" t="str">
        <f t="array" ref="BO119">_xlfn.TEXTJOIN("",TRUE,IF(ISERROR(FIND(ROW($1:$10)-1,BM119&amp;BN119)),ROW($1:$10)-1,""))</f>
        <v>012345789</v>
      </c>
      <c r="BP119" s="20" t="str">
        <f t="shared" si="43"/>
        <v>复中中</v>
      </c>
      <c r="BQ119" s="21" t="str">
        <f t="shared" si="54"/>
        <v/>
      </c>
      <c r="BR119" s="21" t="str">
        <f t="shared" si="52"/>
        <v/>
      </c>
      <c r="BS119" s="21" t="str">
        <f t="array" ref="BS119">_xlfn.TEXTJOIN("",TRUE,IF(ISERROR(FIND(ROW($1:$10)-1,BQ119&amp;BR119)),ROW($1:$10)-1,""))</f>
        <v>0123456789</v>
      </c>
      <c r="BT119" s="20" t="str">
        <f t="shared" si="44"/>
        <v>中中中</v>
      </c>
      <c r="BU119" s="22" t="str">
        <f t="shared" si="45"/>
        <v/>
      </c>
      <c r="BV119" s="22" t="str">
        <f t="shared" si="53"/>
        <v/>
      </c>
      <c r="BW119" s="22" t="str">
        <f t="array" ref="BW119">_xlfn.TEXTJOIN("",TRUE,IF(ISERROR(FIND(ROW($1:$10)-1,BU119&amp;BV119)),ROW($1:$10)-1,""))</f>
        <v>0123456789</v>
      </c>
      <c r="BX119" s="20" t="str">
        <f t="shared" si="46"/>
        <v>中中中</v>
      </c>
      <c r="BY119" s="23" t="str">
        <f t="shared" si="40"/>
        <v>57</v>
      </c>
      <c r="BZ119" s="24" t="str">
        <f t="array" ref="BZ119">_xlfn.TEXTJOIN("",TRUE,IF(ISNUMBER(FIND(MID(BY118&amp;Q118,ROW($1:$4),1),BY119&amp;Q119)),MID(BY118&amp;Q118,ROW($1:$4),1),""))</f>
        <v/>
      </c>
      <c r="CA119" s="25" t="str">
        <f t="array" ref="CA119">_xlfn.TEXTJOIN("",TRUE,IF(ISERROR(FIND(ROW($1:$10)-1,BY119&amp;BZ119)),ROW($1:$10)-1,""))</f>
        <v>01234689</v>
      </c>
      <c r="CB119" s="26" t="str">
        <f t="shared" si="47"/>
        <v>邻孤孤</v>
      </c>
      <c r="CC119" s="27" t="str">
        <f t="shared" si="48"/>
        <v>68</v>
      </c>
      <c r="CD119" s="27" t="str">
        <f t="array" ref="CD119">_xlfn.TEXTJOIN("",TRUE,IF(ISNUMBER(FIND(MID(CC118&amp;R118,ROW($1:$4),1),CC119&amp;R119)),MID(CC118&amp;R118,ROW($1:$4),1),""))</f>
        <v>76</v>
      </c>
      <c r="CE119" s="27" t="str">
        <f t="array" ref="CE119">_xlfn.TEXTJOIN("",TRUE,IF(ISERROR(FIND(ROW($1:$10)-1,CC119&amp;CD119)),ROW($1:$10)-1,""))</f>
        <v>0123459</v>
      </c>
      <c r="CF119" s="17" t="str">
        <f t="shared" si="49"/>
        <v>邻传孤</v>
      </c>
      <c r="CG119" s="22" t="str">
        <f t="shared" si="50"/>
        <v>02</v>
      </c>
      <c r="CH119" s="22" t="str">
        <f t="array" ref="CH119">_xlfn.TEXTJOIN("",TRUE,IF(ISNUMBER(FIND(MID(CG118&amp;S118,ROW($1:$4),1),CG119&amp;S119)),MID(CG118&amp;S118,ROW($1:$4),1),""))</f>
        <v>2</v>
      </c>
      <c r="CI119" s="22" t="str">
        <f t="array" ref="CI119">_xlfn.TEXTJOIN("",TRUE,IF(ISERROR(FIND(ROW($1:$10)-1,CG119&amp;CH119)),ROW($1:$10)-1,""))</f>
        <v>13456789</v>
      </c>
      <c r="CJ119" s="28" t="str">
        <f t="shared" si="51"/>
        <v>邻传孤</v>
      </c>
    </row>
    <row r="120" spans="1:88">
      <c r="A120" s="32">
        <v>2024247</v>
      </c>
      <c r="B120" s="8" t="s">
        <v>132</v>
      </c>
      <c r="C120" s="49">
        <f t="shared" si="60"/>
        <v>18</v>
      </c>
      <c r="D120" s="50">
        <f t="shared" si="61"/>
        <v>8</v>
      </c>
      <c r="E120" s="51">
        <f t="shared" si="37"/>
        <v>6</v>
      </c>
      <c r="F120" s="52">
        <f>MAX(MID(B120,{1,2,3},1)*1)-MIN(MID(B120,{1,2,3},1)*1)</f>
        <v>5</v>
      </c>
      <c r="G120" s="104">
        <v>0</v>
      </c>
      <c r="H120" s="104">
        <v>1</v>
      </c>
      <c r="I120" s="104">
        <v>2</v>
      </c>
      <c r="J120" s="104">
        <v>3</v>
      </c>
      <c r="K120" s="104">
        <v>4</v>
      </c>
      <c r="L120" s="104">
        <v>5</v>
      </c>
      <c r="M120" s="104">
        <v>6</v>
      </c>
      <c r="N120" s="104">
        <v>7</v>
      </c>
      <c r="O120" s="104">
        <v>8</v>
      </c>
      <c r="P120" s="104">
        <v>9</v>
      </c>
      <c r="Q120" s="53">
        <f t="shared" si="62"/>
        <v>1</v>
      </c>
      <c r="R120" s="53">
        <f t="shared" si="63"/>
        <v>4</v>
      </c>
      <c r="S120" s="53">
        <f t="shared" si="64"/>
        <v>5</v>
      </c>
      <c r="T120" s="101">
        <f t="shared" si="38"/>
        <v>10</v>
      </c>
      <c r="U120" s="15" t="str">
        <f>_xlfn.TEXTJOIN(", ",TRUE,ABS(MID(B120,{1,1,2},1)-MID(B120,{2,3,3},1)))</f>
        <v>1, 4, 5</v>
      </c>
      <c r="V120" s="54">
        <v>0</v>
      </c>
      <c r="W120" s="54">
        <v>1</v>
      </c>
      <c r="X120" s="54">
        <v>2</v>
      </c>
      <c r="Y120" s="54">
        <v>3</v>
      </c>
      <c r="Z120" s="54">
        <v>4</v>
      </c>
      <c r="AA120" s="54">
        <v>5</v>
      </c>
      <c r="AB120" s="54">
        <v>6</v>
      </c>
      <c r="AC120" s="54">
        <v>7</v>
      </c>
      <c r="AD120" s="54">
        <v>8</v>
      </c>
      <c r="AE120" s="54">
        <v>9</v>
      </c>
      <c r="AF120" s="55">
        <v>0</v>
      </c>
      <c r="AG120" s="55">
        <v>1</v>
      </c>
      <c r="AH120" s="55">
        <v>2</v>
      </c>
      <c r="AI120" s="55">
        <v>3</v>
      </c>
      <c r="AJ120" s="55">
        <v>4</v>
      </c>
      <c r="AK120" s="55">
        <v>5</v>
      </c>
      <c r="AL120" s="55">
        <v>6</v>
      </c>
      <c r="AM120" s="55">
        <v>7</v>
      </c>
      <c r="AN120" s="55">
        <v>8</v>
      </c>
      <c r="AO120" s="55">
        <v>9</v>
      </c>
      <c r="AP120" s="105">
        <v>0</v>
      </c>
      <c r="AQ120" s="105">
        <v>1</v>
      </c>
      <c r="AR120" s="105">
        <v>2</v>
      </c>
      <c r="AS120" s="105">
        <v>3</v>
      </c>
      <c r="AT120" s="105">
        <v>4</v>
      </c>
      <c r="AU120" s="105">
        <v>5</v>
      </c>
      <c r="AV120" s="105">
        <v>6</v>
      </c>
      <c r="AW120" s="105">
        <v>7</v>
      </c>
      <c r="AX120" s="105">
        <v>8</v>
      </c>
      <c r="AY120" s="105">
        <v>9</v>
      </c>
      <c r="AZ120" s="56">
        <v>0</v>
      </c>
      <c r="BA120" s="56">
        <v>1</v>
      </c>
      <c r="BB120" s="56">
        <v>2</v>
      </c>
      <c r="BC120" s="56">
        <v>3</v>
      </c>
      <c r="BD120" s="56">
        <v>4</v>
      </c>
      <c r="BE120" s="56">
        <v>5</v>
      </c>
      <c r="BF120" s="56">
        <v>6</v>
      </c>
      <c r="BG120" s="56">
        <v>7</v>
      </c>
      <c r="BH120" s="56">
        <v>8</v>
      </c>
      <c r="BI120" s="56">
        <v>9</v>
      </c>
      <c r="BJ120" s="57" t="str">
        <f t="shared" si="39"/>
        <v>标准型</v>
      </c>
      <c r="BK120" s="13">
        <f t="shared" si="35"/>
        <v>1</v>
      </c>
      <c r="BL120" s="13">
        <f t="shared" si="36"/>
        <v>5</v>
      </c>
      <c r="BM120" s="18">
        <f t="shared" si="41"/>
        <v>1</v>
      </c>
      <c r="BN120" s="19" t="str">
        <f t="shared" si="42"/>
        <v/>
      </c>
      <c r="BO120" s="19" t="str">
        <f t="array" ref="BO120">_xlfn.TEXTJOIN("",TRUE,IF(ISERROR(FIND(ROW($1:$10)-1,BM120&amp;BN120)),ROW($1:$10)-1,""))</f>
        <v>023456789</v>
      </c>
      <c r="BP120" s="20" t="str">
        <f t="shared" si="43"/>
        <v>复中中</v>
      </c>
      <c r="BQ120" s="21" t="str">
        <f t="shared" si="54"/>
        <v/>
      </c>
      <c r="BR120" s="21" t="str">
        <f t="shared" si="52"/>
        <v/>
      </c>
      <c r="BS120" s="21" t="str">
        <f t="array" ref="BS120">_xlfn.TEXTJOIN("",TRUE,IF(ISERROR(FIND(ROW($1:$10)-1,BQ120&amp;BR120)),ROW($1:$10)-1,""))</f>
        <v>0123456789</v>
      </c>
      <c r="BT120" s="20" t="str">
        <f t="shared" si="44"/>
        <v>中中中</v>
      </c>
      <c r="BU120" s="22" t="str">
        <f t="shared" si="45"/>
        <v/>
      </c>
      <c r="BV120" s="22" t="str">
        <f t="shared" si="53"/>
        <v/>
      </c>
      <c r="BW120" s="22" t="str">
        <f t="array" ref="BW120">_xlfn.TEXTJOIN("",TRUE,IF(ISERROR(FIND(ROW($1:$10)-1,BU120&amp;BV120)),ROW($1:$10)-1,""))</f>
        <v>0123456789</v>
      </c>
      <c r="BX120" s="20" t="str">
        <f t="shared" si="46"/>
        <v>中中中</v>
      </c>
      <c r="BY120" s="23" t="str">
        <f t="shared" si="40"/>
        <v>02</v>
      </c>
      <c r="BZ120" s="24" t="str">
        <f t="array" ref="BZ120">_xlfn.TEXTJOIN("",TRUE,IF(ISNUMBER(FIND(MID(BY119&amp;Q119,ROW($1:$4),1),BY120&amp;Q120)),MID(BY119&amp;Q119,ROW($1:$4),1),""))</f>
        <v/>
      </c>
      <c r="CA120" s="25" t="str">
        <f t="array" ref="CA120">_xlfn.TEXTJOIN("",TRUE,IF(ISERROR(FIND(ROW($1:$10)-1,BY120&amp;BZ120)),ROW($1:$10)-1,""))</f>
        <v>13456789</v>
      </c>
      <c r="CB120" s="26" t="str">
        <f t="shared" si="47"/>
        <v>邻孤孤</v>
      </c>
      <c r="CC120" s="27" t="str">
        <f t="shared" si="48"/>
        <v>35</v>
      </c>
      <c r="CD120" s="27" t="str">
        <f t="array" ref="CD120">_xlfn.TEXTJOIN("",TRUE,IF(ISNUMBER(FIND(MID(CC119&amp;R119,ROW($1:$4),1),CC120&amp;R120)),MID(CC119&amp;R119,ROW($1:$4),1),""))</f>
        <v/>
      </c>
      <c r="CE120" s="27" t="str">
        <f t="array" ref="CE120">_xlfn.TEXTJOIN("",TRUE,IF(ISERROR(FIND(ROW($1:$10)-1,CC120&amp;CD120)),ROW($1:$10)-1,""))</f>
        <v>01246789</v>
      </c>
      <c r="CF120" s="17" t="str">
        <f t="shared" si="49"/>
        <v>邻孤孤</v>
      </c>
      <c r="CG120" s="22" t="str">
        <f t="shared" si="50"/>
        <v>46</v>
      </c>
      <c r="CH120" s="22" t="str">
        <f t="array" ref="CH120">_xlfn.TEXTJOIN("",TRUE,IF(ISNUMBER(FIND(MID(CG119&amp;S119,ROW($1:$4),1),CG120&amp;S120)),MID(CG119&amp;S119,ROW($1:$4),1),""))</f>
        <v/>
      </c>
      <c r="CI120" s="22" t="str">
        <f t="array" ref="CI120">_xlfn.TEXTJOIN("",TRUE,IF(ISERROR(FIND(ROW($1:$10)-1,CG120&amp;CH120)),ROW($1:$10)-1,""))</f>
        <v>01235789</v>
      </c>
      <c r="CJ120" s="28" t="str">
        <f t="shared" si="51"/>
        <v>邻孤孤</v>
      </c>
    </row>
    <row r="121" spans="1:88">
      <c r="A121" s="32">
        <v>2024248</v>
      </c>
      <c r="B121" s="8" t="s">
        <v>133</v>
      </c>
      <c r="C121" s="49">
        <f t="shared" si="60"/>
        <v>15</v>
      </c>
      <c r="D121" s="50">
        <f t="shared" si="61"/>
        <v>5</v>
      </c>
      <c r="E121" s="51">
        <f t="shared" si="37"/>
        <v>5</v>
      </c>
      <c r="F121" s="52">
        <f>MAX(MID(B121,{1,2,3},1)*1)-MIN(MID(B121,{1,2,3},1)*1)</f>
        <v>7</v>
      </c>
      <c r="G121" s="104">
        <v>0</v>
      </c>
      <c r="H121" s="104">
        <v>1</v>
      </c>
      <c r="I121" s="104">
        <v>2</v>
      </c>
      <c r="J121" s="104">
        <v>3</v>
      </c>
      <c r="K121" s="104">
        <v>4</v>
      </c>
      <c r="L121" s="104">
        <v>5</v>
      </c>
      <c r="M121" s="104">
        <v>6</v>
      </c>
      <c r="N121" s="104">
        <v>7</v>
      </c>
      <c r="O121" s="104">
        <v>8</v>
      </c>
      <c r="P121" s="104">
        <v>9</v>
      </c>
      <c r="Q121" s="53">
        <f t="shared" si="62"/>
        <v>2</v>
      </c>
      <c r="R121" s="53">
        <f t="shared" si="63"/>
        <v>7</v>
      </c>
      <c r="S121" s="53">
        <f t="shared" si="64"/>
        <v>5</v>
      </c>
      <c r="T121" s="101">
        <f t="shared" si="38"/>
        <v>14</v>
      </c>
      <c r="U121" s="15" t="str">
        <f>_xlfn.TEXTJOIN(", ",TRUE,ABS(MID(B121,{1,1,2},1)-MID(B121,{2,3,3},1)))</f>
        <v>2, 7, 5</v>
      </c>
      <c r="V121" s="54">
        <v>0</v>
      </c>
      <c r="W121" s="54">
        <v>1</v>
      </c>
      <c r="X121" s="54">
        <v>2</v>
      </c>
      <c r="Y121" s="54">
        <v>3</v>
      </c>
      <c r="Z121" s="54">
        <v>4</v>
      </c>
      <c r="AA121" s="54">
        <v>5</v>
      </c>
      <c r="AB121" s="54">
        <v>6</v>
      </c>
      <c r="AC121" s="54">
        <v>7</v>
      </c>
      <c r="AD121" s="54">
        <v>8</v>
      </c>
      <c r="AE121" s="54">
        <v>9</v>
      </c>
      <c r="AF121" s="55">
        <v>0</v>
      </c>
      <c r="AG121" s="55">
        <v>1</v>
      </c>
      <c r="AH121" s="55">
        <v>2</v>
      </c>
      <c r="AI121" s="55">
        <v>3</v>
      </c>
      <c r="AJ121" s="55">
        <v>4</v>
      </c>
      <c r="AK121" s="55">
        <v>5</v>
      </c>
      <c r="AL121" s="55">
        <v>6</v>
      </c>
      <c r="AM121" s="55">
        <v>7</v>
      </c>
      <c r="AN121" s="55">
        <v>8</v>
      </c>
      <c r="AO121" s="55">
        <v>9</v>
      </c>
      <c r="AP121" s="105">
        <v>0</v>
      </c>
      <c r="AQ121" s="105">
        <v>1</v>
      </c>
      <c r="AR121" s="105">
        <v>2</v>
      </c>
      <c r="AS121" s="105">
        <v>3</v>
      </c>
      <c r="AT121" s="105">
        <v>4</v>
      </c>
      <c r="AU121" s="105">
        <v>5</v>
      </c>
      <c r="AV121" s="105">
        <v>6</v>
      </c>
      <c r="AW121" s="105">
        <v>7</v>
      </c>
      <c r="AX121" s="105">
        <v>8</v>
      </c>
      <c r="AY121" s="105">
        <v>9</v>
      </c>
      <c r="AZ121" s="56">
        <v>0</v>
      </c>
      <c r="BA121" s="56">
        <v>1</v>
      </c>
      <c r="BB121" s="56">
        <v>2</v>
      </c>
      <c r="BC121" s="56">
        <v>3</v>
      </c>
      <c r="BD121" s="56">
        <v>4</v>
      </c>
      <c r="BE121" s="56">
        <v>5</v>
      </c>
      <c r="BF121" s="56">
        <v>6</v>
      </c>
      <c r="BG121" s="56">
        <v>7</v>
      </c>
      <c r="BH121" s="56">
        <v>8</v>
      </c>
      <c r="BI121" s="56">
        <v>9</v>
      </c>
      <c r="BJ121" s="57" t="str">
        <f t="shared" si="39"/>
        <v>松散型</v>
      </c>
      <c r="BK121" s="13">
        <f t="shared" si="35"/>
        <v>2</v>
      </c>
      <c r="BL121" s="13">
        <f t="shared" si="36"/>
        <v>7</v>
      </c>
      <c r="BM121" s="18" t="str">
        <f t="shared" si="41"/>
        <v/>
      </c>
      <c r="BN121" s="19" t="str">
        <f t="shared" si="42"/>
        <v/>
      </c>
      <c r="BO121" s="19" t="str">
        <f t="array" ref="BO121">_xlfn.TEXTJOIN("",TRUE,IF(ISERROR(FIND(ROW($1:$10)-1,BM121&amp;BN121)),ROW($1:$10)-1,""))</f>
        <v>0123456789</v>
      </c>
      <c r="BP121" s="20" t="str">
        <f t="shared" si="43"/>
        <v>中中中</v>
      </c>
      <c r="BQ121" s="21" t="str">
        <f t="shared" si="54"/>
        <v/>
      </c>
      <c r="BR121" s="21">
        <f t="shared" si="52"/>
        <v>7</v>
      </c>
      <c r="BS121" s="21" t="str">
        <f t="array" ref="BS121">_xlfn.TEXTJOIN("",TRUE,IF(ISERROR(FIND(ROW($1:$10)-1,BQ121&amp;BR121)),ROW($1:$10)-1,""))</f>
        <v>012345689</v>
      </c>
      <c r="BT121" s="20" t="str">
        <f t="shared" si="44"/>
        <v>中隔中</v>
      </c>
      <c r="BU121" s="22">
        <f t="shared" si="45"/>
        <v>5</v>
      </c>
      <c r="BV121" s="22" t="str">
        <f t="shared" si="53"/>
        <v/>
      </c>
      <c r="BW121" s="22" t="str">
        <f t="array" ref="BW121">_xlfn.TEXTJOIN("",TRUE,IF(ISERROR(FIND(ROW($1:$10)-1,BU121&amp;BV121)),ROW($1:$10)-1,""))</f>
        <v>012346789</v>
      </c>
      <c r="BX121" s="20" t="str">
        <f t="shared" si="46"/>
        <v>复中中</v>
      </c>
      <c r="BY121" s="23" t="str">
        <f t="shared" si="40"/>
        <v>13</v>
      </c>
      <c r="BZ121" s="24" t="str">
        <f t="array" ref="BZ121">_xlfn.TEXTJOIN("",TRUE,IF(ISNUMBER(FIND(MID(BY120&amp;Q120,ROW($1:$4),1),BY121&amp;Q121)),MID(BY120&amp;Q120,ROW($1:$4),1),""))</f>
        <v>21</v>
      </c>
      <c r="CA121" s="25" t="str">
        <f t="array" ref="CA121">_xlfn.TEXTJOIN("",TRUE,IF(ISERROR(FIND(ROW($1:$10)-1,BY121&amp;BZ121)),ROW($1:$10)-1,""))</f>
        <v>0456789</v>
      </c>
      <c r="CB121" s="26" t="str">
        <f t="shared" si="47"/>
        <v>邻传孤</v>
      </c>
      <c r="CC121" s="27" t="str">
        <f t="shared" si="48"/>
        <v>68</v>
      </c>
      <c r="CD121" s="27" t="str">
        <f t="array" ref="CD121">_xlfn.TEXTJOIN("",TRUE,IF(ISNUMBER(FIND(MID(CC120&amp;R120,ROW($1:$4),1),CC121&amp;R121)),MID(CC120&amp;R120,ROW($1:$4),1),""))</f>
        <v/>
      </c>
      <c r="CE121" s="27" t="str">
        <f t="array" ref="CE121">_xlfn.TEXTJOIN("",TRUE,IF(ISERROR(FIND(ROW($1:$10)-1,CC121&amp;CD121)),ROW($1:$10)-1,""))</f>
        <v>01234579</v>
      </c>
      <c r="CF121" s="17" t="str">
        <f t="shared" si="49"/>
        <v>邻孤孤</v>
      </c>
      <c r="CG121" s="22" t="str">
        <f t="shared" si="50"/>
        <v>46</v>
      </c>
      <c r="CH121" s="22" t="str">
        <f t="array" ref="CH121">_xlfn.TEXTJOIN("",TRUE,IF(ISNUMBER(FIND(MID(CG120&amp;S120,ROW($1:$4),1),CG121&amp;S121)),MID(CG120&amp;S120,ROW($1:$4),1),""))</f>
        <v>465</v>
      </c>
      <c r="CI121" s="22" t="str">
        <f t="array" ref="CI121">_xlfn.TEXTJOIN("",TRUE,IF(ISERROR(FIND(ROW($1:$10)-1,CG121&amp;CH121)),ROW($1:$10)-1,""))</f>
        <v>0123789</v>
      </c>
      <c r="CJ121" s="28" t="str">
        <f t="shared" si="51"/>
        <v>邻传孤</v>
      </c>
    </row>
    <row r="122" spans="1:88">
      <c r="A122" s="32">
        <v>2024249</v>
      </c>
      <c r="B122" s="8" t="s">
        <v>66</v>
      </c>
      <c r="C122" s="49">
        <f t="shared" si="60"/>
        <v>17</v>
      </c>
      <c r="D122" s="50">
        <f t="shared" si="61"/>
        <v>7</v>
      </c>
      <c r="E122" s="51">
        <f t="shared" si="37"/>
        <v>5.6666666666666696</v>
      </c>
      <c r="F122" s="52">
        <f>MAX(MID(B122,{1,2,3},1)*1)-MIN(MID(B122,{1,2,3},1)*1)</f>
        <v>5</v>
      </c>
      <c r="G122" s="104">
        <v>0</v>
      </c>
      <c r="H122" s="104">
        <v>1</v>
      </c>
      <c r="I122" s="104">
        <v>2</v>
      </c>
      <c r="J122" s="104">
        <v>3</v>
      </c>
      <c r="K122" s="104">
        <v>4</v>
      </c>
      <c r="L122" s="104">
        <v>5</v>
      </c>
      <c r="M122" s="104">
        <v>6</v>
      </c>
      <c r="N122" s="104">
        <v>7</v>
      </c>
      <c r="O122" s="104">
        <v>8</v>
      </c>
      <c r="P122" s="104">
        <v>9</v>
      </c>
      <c r="Q122" s="53">
        <f t="shared" si="62"/>
        <v>0</v>
      </c>
      <c r="R122" s="53">
        <f t="shared" si="63"/>
        <v>5</v>
      </c>
      <c r="S122" s="53">
        <f t="shared" si="64"/>
        <v>5</v>
      </c>
      <c r="T122" s="101">
        <f t="shared" si="38"/>
        <v>10</v>
      </c>
      <c r="U122" s="15" t="str">
        <f>_xlfn.TEXTJOIN(", ",TRUE,ABS(MID(B122,{1,1,2},1)-MID(B122,{2,3,3},1)))</f>
        <v>0, 5, 5</v>
      </c>
      <c r="V122" s="54">
        <v>0</v>
      </c>
      <c r="W122" s="54">
        <v>1</v>
      </c>
      <c r="X122" s="54">
        <v>2</v>
      </c>
      <c r="Y122" s="54">
        <v>3</v>
      </c>
      <c r="Z122" s="54">
        <v>4</v>
      </c>
      <c r="AA122" s="54">
        <v>5</v>
      </c>
      <c r="AB122" s="54">
        <v>6</v>
      </c>
      <c r="AC122" s="54">
        <v>7</v>
      </c>
      <c r="AD122" s="54">
        <v>8</v>
      </c>
      <c r="AE122" s="54">
        <v>9</v>
      </c>
      <c r="AF122" s="55">
        <v>0</v>
      </c>
      <c r="AG122" s="55">
        <v>1</v>
      </c>
      <c r="AH122" s="55">
        <v>2</v>
      </c>
      <c r="AI122" s="55">
        <v>3</v>
      </c>
      <c r="AJ122" s="55">
        <v>4</v>
      </c>
      <c r="AK122" s="55">
        <v>5</v>
      </c>
      <c r="AL122" s="55">
        <v>6</v>
      </c>
      <c r="AM122" s="55">
        <v>7</v>
      </c>
      <c r="AN122" s="55">
        <v>8</v>
      </c>
      <c r="AO122" s="55">
        <v>9</v>
      </c>
      <c r="AP122" s="105">
        <v>0</v>
      </c>
      <c r="AQ122" s="105">
        <v>1</v>
      </c>
      <c r="AR122" s="105">
        <v>2</v>
      </c>
      <c r="AS122" s="105">
        <v>3</v>
      </c>
      <c r="AT122" s="105">
        <v>4</v>
      </c>
      <c r="AU122" s="105">
        <v>5</v>
      </c>
      <c r="AV122" s="105">
        <v>6</v>
      </c>
      <c r="AW122" s="105">
        <v>7</v>
      </c>
      <c r="AX122" s="105">
        <v>8</v>
      </c>
      <c r="AY122" s="105">
        <v>9</v>
      </c>
      <c r="AZ122" s="56">
        <v>0</v>
      </c>
      <c r="BA122" s="56">
        <v>1</v>
      </c>
      <c r="BB122" s="56">
        <v>2</v>
      </c>
      <c r="BC122" s="56">
        <v>3</v>
      </c>
      <c r="BD122" s="56">
        <v>4</v>
      </c>
      <c r="BE122" s="56">
        <v>5</v>
      </c>
      <c r="BF122" s="56">
        <v>6</v>
      </c>
      <c r="BG122" s="56">
        <v>7</v>
      </c>
      <c r="BH122" s="56">
        <v>8</v>
      </c>
      <c r="BI122" s="56">
        <v>9</v>
      </c>
      <c r="BJ122" s="57" t="str">
        <f t="shared" si="39"/>
        <v>对子</v>
      </c>
      <c r="BK122" s="13">
        <f t="shared" si="35"/>
        <v>0</v>
      </c>
      <c r="BL122" s="13">
        <f t="shared" si="36"/>
        <v>5</v>
      </c>
      <c r="BM122" s="18" t="str">
        <f t="shared" si="41"/>
        <v/>
      </c>
      <c r="BN122" s="19" t="str">
        <f t="shared" si="42"/>
        <v/>
      </c>
      <c r="BO122" s="19" t="str">
        <f t="array" ref="BO122">_xlfn.TEXTJOIN("",TRUE,IF(ISERROR(FIND(ROW($1:$10)-1,BM122&amp;BN122)),ROW($1:$10)-1,""))</f>
        <v>0123456789</v>
      </c>
      <c r="BP122" s="20" t="str">
        <f t="shared" si="43"/>
        <v>中中中</v>
      </c>
      <c r="BQ122" s="21">
        <f t="shared" si="54"/>
        <v>5</v>
      </c>
      <c r="BR122" s="21">
        <f t="shared" si="52"/>
        <v>5</v>
      </c>
      <c r="BS122" s="21" t="str">
        <f t="array" ref="BS122">_xlfn.TEXTJOIN("",TRUE,IF(ISERROR(FIND(ROW($1:$10)-1,BQ122&amp;BR122)),ROW($1:$10)-1,""))</f>
        <v>012346789</v>
      </c>
      <c r="BT122" s="20" t="str">
        <f t="shared" si="44"/>
        <v>复隔中</v>
      </c>
      <c r="BU122" s="22">
        <f t="shared" si="45"/>
        <v>5</v>
      </c>
      <c r="BV122" s="22">
        <f t="shared" si="53"/>
        <v>5</v>
      </c>
      <c r="BW122" s="22" t="str">
        <f t="array" ref="BW122">_xlfn.TEXTJOIN("",TRUE,IF(ISERROR(FIND(ROW($1:$10)-1,BU122&amp;BV122)),ROW($1:$10)-1,""))</f>
        <v>012346789</v>
      </c>
      <c r="BX122" s="20" t="str">
        <f t="shared" si="46"/>
        <v>复隔中</v>
      </c>
      <c r="BY122" s="23" t="str">
        <f t="shared" si="40"/>
        <v>91</v>
      </c>
      <c r="BZ122" s="24" t="str">
        <f t="array" ref="BZ122">_xlfn.TEXTJOIN("",TRUE,IF(ISNUMBER(FIND(MID(BY121&amp;Q121,ROW($1:$4),1),BY122&amp;Q122)),MID(BY121&amp;Q121,ROW($1:$4),1),""))</f>
        <v>1</v>
      </c>
      <c r="CA122" s="25" t="str">
        <f t="array" ref="CA122">_xlfn.TEXTJOIN("",TRUE,IF(ISERROR(FIND(ROW($1:$10)-1,BY122&amp;BZ122)),ROW($1:$10)-1,""))</f>
        <v>02345678</v>
      </c>
      <c r="CB122" s="26" t="str">
        <f t="shared" si="47"/>
        <v>邻传孤</v>
      </c>
      <c r="CC122" s="27" t="str">
        <f t="shared" si="48"/>
        <v>46</v>
      </c>
      <c r="CD122" s="27" t="str">
        <f t="array" ref="CD122">_xlfn.TEXTJOIN("",TRUE,IF(ISNUMBER(FIND(MID(CC121&amp;R121,ROW($1:$4),1),CC122&amp;R122)),MID(CC121&amp;R121,ROW($1:$4),1),""))</f>
        <v>6</v>
      </c>
      <c r="CE122" s="27" t="str">
        <f t="array" ref="CE122">_xlfn.TEXTJOIN("",TRUE,IF(ISERROR(FIND(ROW($1:$10)-1,CC122&amp;CD122)),ROW($1:$10)-1,""))</f>
        <v>01235789</v>
      </c>
      <c r="CF122" s="17" t="str">
        <f t="shared" si="49"/>
        <v>邻传孤</v>
      </c>
      <c r="CG122" s="22" t="str">
        <f t="shared" si="50"/>
        <v>46</v>
      </c>
      <c r="CH122" s="22" t="str">
        <f t="array" ref="CH122">_xlfn.TEXTJOIN("",TRUE,IF(ISNUMBER(FIND(MID(CG121&amp;S121,ROW($1:$4),1),CG122&amp;S122)),MID(CG121&amp;S121,ROW($1:$4),1),""))</f>
        <v>465</v>
      </c>
      <c r="CI122" s="22" t="str">
        <f t="array" ref="CI122">_xlfn.TEXTJOIN("",TRUE,IF(ISERROR(FIND(ROW($1:$10)-1,CG122&amp;CH122)),ROW($1:$10)-1,""))</f>
        <v>0123789</v>
      </c>
      <c r="CJ122" s="28" t="str">
        <f t="shared" si="51"/>
        <v>邻传孤</v>
      </c>
    </row>
    <row r="123" spans="1:88">
      <c r="A123" s="32">
        <v>2024250</v>
      </c>
      <c r="B123" s="8" t="s">
        <v>134</v>
      </c>
      <c r="C123" s="49">
        <f t="shared" ref="C123:C146" si="65">LEFT(B123,1)+MID(B123,2,1)+RIGHT(B123,1)</f>
        <v>10</v>
      </c>
      <c r="D123" s="50">
        <f t="shared" ref="D123:D146" si="66">MOD(LEFT(B123,1)+MID(B123,2,1)+RIGHT(B123,1),10)</f>
        <v>0</v>
      </c>
      <c r="E123" s="51">
        <f t="shared" si="37"/>
        <v>3.3333333333333299</v>
      </c>
      <c r="F123" s="52">
        <f>MAX(MID(B123,{1,2,3},1)*1)-MIN(MID(B123,{1,2,3},1)*1)</f>
        <v>3</v>
      </c>
      <c r="G123" s="104">
        <v>0</v>
      </c>
      <c r="H123" s="104">
        <v>1</v>
      </c>
      <c r="I123" s="104">
        <v>2</v>
      </c>
      <c r="J123" s="104">
        <v>3</v>
      </c>
      <c r="K123" s="104">
        <v>4</v>
      </c>
      <c r="L123" s="104">
        <v>5</v>
      </c>
      <c r="M123" s="104">
        <v>6</v>
      </c>
      <c r="N123" s="104">
        <v>7</v>
      </c>
      <c r="O123" s="104">
        <v>8</v>
      </c>
      <c r="P123" s="104">
        <v>9</v>
      </c>
      <c r="Q123" s="53">
        <f t="shared" ref="Q123:Q146" si="67">ABS(LEFT(B123,1)-MID(B123,2,1))</f>
        <v>3</v>
      </c>
      <c r="R123" s="53">
        <f t="shared" ref="R123:R146" si="68">ABS(LEFT(B123,1)-RIGHT(B123,1))</f>
        <v>1</v>
      </c>
      <c r="S123" s="53">
        <f t="shared" ref="S123:S146" si="69">ABS(MID(B123,2,1)-RIGHT(B123,1))</f>
        <v>2</v>
      </c>
      <c r="T123" s="101">
        <f t="shared" si="38"/>
        <v>6</v>
      </c>
      <c r="U123" s="15" t="str">
        <f>_xlfn.TEXTJOIN(", ",TRUE,ABS(MID(B123,{1,1,2},1)-MID(B123,{2,3,3},1)))</f>
        <v>3, 1, 2</v>
      </c>
      <c r="V123" s="54">
        <v>0</v>
      </c>
      <c r="W123" s="54">
        <v>1</v>
      </c>
      <c r="X123" s="54">
        <v>2</v>
      </c>
      <c r="Y123" s="54">
        <v>3</v>
      </c>
      <c r="Z123" s="54">
        <v>4</v>
      </c>
      <c r="AA123" s="54">
        <v>5</v>
      </c>
      <c r="AB123" s="54">
        <v>6</v>
      </c>
      <c r="AC123" s="54">
        <v>7</v>
      </c>
      <c r="AD123" s="54">
        <v>8</v>
      </c>
      <c r="AE123" s="54">
        <v>9</v>
      </c>
      <c r="AF123" s="55">
        <v>0</v>
      </c>
      <c r="AG123" s="55">
        <v>1</v>
      </c>
      <c r="AH123" s="55">
        <v>2</v>
      </c>
      <c r="AI123" s="55">
        <v>3</v>
      </c>
      <c r="AJ123" s="55">
        <v>4</v>
      </c>
      <c r="AK123" s="55">
        <v>5</v>
      </c>
      <c r="AL123" s="55">
        <v>6</v>
      </c>
      <c r="AM123" s="55">
        <v>7</v>
      </c>
      <c r="AN123" s="55">
        <v>8</v>
      </c>
      <c r="AO123" s="55">
        <v>9</v>
      </c>
      <c r="AP123" s="105">
        <v>0</v>
      </c>
      <c r="AQ123" s="105">
        <v>1</v>
      </c>
      <c r="AR123" s="105">
        <v>2</v>
      </c>
      <c r="AS123" s="105">
        <v>3</v>
      </c>
      <c r="AT123" s="105">
        <v>4</v>
      </c>
      <c r="AU123" s="105">
        <v>5</v>
      </c>
      <c r="AV123" s="105">
        <v>6</v>
      </c>
      <c r="AW123" s="105">
        <v>7</v>
      </c>
      <c r="AX123" s="105">
        <v>8</v>
      </c>
      <c r="AY123" s="105">
        <v>9</v>
      </c>
      <c r="AZ123" s="56">
        <v>0</v>
      </c>
      <c r="BA123" s="56">
        <v>1</v>
      </c>
      <c r="BB123" s="56">
        <v>2</v>
      </c>
      <c r="BC123" s="56">
        <v>3</v>
      </c>
      <c r="BD123" s="56">
        <v>4</v>
      </c>
      <c r="BE123" s="56">
        <v>5</v>
      </c>
      <c r="BF123" s="56">
        <v>6</v>
      </c>
      <c r="BG123" s="56">
        <v>7</v>
      </c>
      <c r="BH123" s="56">
        <v>8</v>
      </c>
      <c r="BI123" s="56">
        <v>9</v>
      </c>
      <c r="BJ123" s="57" t="str">
        <f t="shared" si="39"/>
        <v>紧凑型</v>
      </c>
      <c r="BK123" s="13">
        <f t="shared" si="35"/>
        <v>1</v>
      </c>
      <c r="BL123" s="13">
        <f t="shared" si="36"/>
        <v>3</v>
      </c>
      <c r="BM123" s="18" t="str">
        <f t="shared" si="41"/>
        <v/>
      </c>
      <c r="BN123" s="19" t="str">
        <f t="shared" si="42"/>
        <v/>
      </c>
      <c r="BO123" s="19" t="str">
        <f t="array" ref="BO123">_xlfn.TEXTJOIN("",TRUE,IF(ISERROR(FIND(ROW($1:$10)-1,BM123&amp;BN123)),ROW($1:$10)-1,""))</f>
        <v>0123456789</v>
      </c>
      <c r="BP123" s="20" t="str">
        <f t="shared" si="43"/>
        <v>中中中</v>
      </c>
      <c r="BQ123" s="21" t="str">
        <f t="shared" si="54"/>
        <v/>
      </c>
      <c r="BR123" s="21" t="str">
        <f t="shared" si="52"/>
        <v/>
      </c>
      <c r="BS123" s="21" t="str">
        <f t="array" ref="BS123">_xlfn.TEXTJOIN("",TRUE,IF(ISERROR(FIND(ROW($1:$10)-1,BQ123&amp;BR123)),ROW($1:$10)-1,""))</f>
        <v>0123456789</v>
      </c>
      <c r="BT123" s="20" t="str">
        <f t="shared" si="44"/>
        <v>中中中</v>
      </c>
      <c r="BU123" s="22" t="str">
        <f t="shared" si="45"/>
        <v/>
      </c>
      <c r="BV123" s="22">
        <f t="shared" si="53"/>
        <v>2</v>
      </c>
      <c r="BW123" s="22" t="str">
        <f t="array" ref="BW123">_xlfn.TEXTJOIN("",TRUE,IF(ISERROR(FIND(ROW($1:$10)-1,BU123&amp;BV123)),ROW($1:$10)-1,""))</f>
        <v>013456789</v>
      </c>
      <c r="BX123" s="20" t="str">
        <f t="shared" si="46"/>
        <v>中隔中</v>
      </c>
      <c r="BY123" s="23" t="str">
        <f t="shared" si="40"/>
        <v>24</v>
      </c>
      <c r="BZ123" s="24" t="str">
        <f t="array" ref="BZ123">_xlfn.TEXTJOIN("",TRUE,IF(ISNUMBER(FIND(MID(BY122&amp;Q122,ROW($1:$4),1),BY123&amp;Q123)),MID(BY122&amp;Q122,ROW($1:$4),1),""))</f>
        <v/>
      </c>
      <c r="CA123" s="25" t="str">
        <f t="array" ref="CA123">_xlfn.TEXTJOIN("",TRUE,IF(ISERROR(FIND(ROW($1:$10)-1,BY123&amp;BZ123)),ROW($1:$10)-1,""))</f>
        <v>01356789</v>
      </c>
      <c r="CB123" s="26" t="str">
        <f t="shared" si="47"/>
        <v>邻孤孤</v>
      </c>
      <c r="CC123" s="27" t="str">
        <f t="shared" si="48"/>
        <v>02</v>
      </c>
      <c r="CD123" s="27" t="str">
        <f t="array" ref="CD123">_xlfn.TEXTJOIN("",TRUE,IF(ISNUMBER(FIND(MID(CC122&amp;R122,ROW($1:$4),1),CC123&amp;R123)),MID(CC122&amp;R122,ROW($1:$4),1),""))</f>
        <v/>
      </c>
      <c r="CE123" s="27" t="str">
        <f t="array" ref="CE123">_xlfn.TEXTJOIN("",TRUE,IF(ISERROR(FIND(ROW($1:$10)-1,CC123&amp;CD123)),ROW($1:$10)-1,""))</f>
        <v>13456789</v>
      </c>
      <c r="CF123" s="17" t="str">
        <f t="shared" si="49"/>
        <v>邻孤孤</v>
      </c>
      <c r="CG123" s="22" t="str">
        <f t="shared" si="50"/>
        <v>13</v>
      </c>
      <c r="CH123" s="22" t="str">
        <f t="array" ref="CH123">_xlfn.TEXTJOIN("",TRUE,IF(ISNUMBER(FIND(MID(CG122&amp;S122,ROW($1:$4),1),CG123&amp;S123)),MID(CG122&amp;S122,ROW($1:$4),1),""))</f>
        <v/>
      </c>
      <c r="CI123" s="22" t="str">
        <f t="array" ref="CI123">_xlfn.TEXTJOIN("",TRUE,IF(ISERROR(FIND(ROW($1:$10)-1,CG123&amp;CH123)),ROW($1:$10)-1,""))</f>
        <v>02456789</v>
      </c>
      <c r="CJ123" s="28" t="str">
        <f t="shared" si="51"/>
        <v>邻孤孤</v>
      </c>
    </row>
    <row r="124" spans="1:88">
      <c r="A124" s="32">
        <v>2024251</v>
      </c>
      <c r="B124" s="8" t="s">
        <v>135</v>
      </c>
      <c r="C124" s="49">
        <f t="shared" si="65"/>
        <v>12</v>
      </c>
      <c r="D124" s="50">
        <f t="shared" si="66"/>
        <v>2</v>
      </c>
      <c r="E124" s="51">
        <f t="shared" si="37"/>
        <v>4</v>
      </c>
      <c r="F124" s="52">
        <f>MAX(MID(B124,{1,2,3},1)*1)-MIN(MID(B124,{1,2,3},1)*1)</f>
        <v>5</v>
      </c>
      <c r="G124" s="104">
        <v>0</v>
      </c>
      <c r="H124" s="104">
        <v>1</v>
      </c>
      <c r="I124" s="104">
        <v>2</v>
      </c>
      <c r="J124" s="104">
        <v>3</v>
      </c>
      <c r="K124" s="104">
        <v>4</v>
      </c>
      <c r="L124" s="104">
        <v>5</v>
      </c>
      <c r="M124" s="104">
        <v>6</v>
      </c>
      <c r="N124" s="104">
        <v>7</v>
      </c>
      <c r="O124" s="104">
        <v>8</v>
      </c>
      <c r="P124" s="104">
        <v>9</v>
      </c>
      <c r="Q124" s="53">
        <f t="shared" si="67"/>
        <v>4</v>
      </c>
      <c r="R124" s="53">
        <f t="shared" si="68"/>
        <v>5</v>
      </c>
      <c r="S124" s="53">
        <f t="shared" si="69"/>
        <v>1</v>
      </c>
      <c r="T124" s="101">
        <f t="shared" si="38"/>
        <v>10</v>
      </c>
      <c r="U124" s="15" t="str">
        <f>_xlfn.TEXTJOIN(", ",TRUE,ABS(MID(B124,{1,1,2},1)-MID(B124,{2,3,3},1)))</f>
        <v>4, 5, 1</v>
      </c>
      <c r="V124" s="54">
        <v>0</v>
      </c>
      <c r="W124" s="54">
        <v>1</v>
      </c>
      <c r="X124" s="54">
        <v>2</v>
      </c>
      <c r="Y124" s="54">
        <v>3</v>
      </c>
      <c r="Z124" s="54">
        <v>4</v>
      </c>
      <c r="AA124" s="54">
        <v>5</v>
      </c>
      <c r="AB124" s="54">
        <v>6</v>
      </c>
      <c r="AC124" s="54">
        <v>7</v>
      </c>
      <c r="AD124" s="54">
        <v>8</v>
      </c>
      <c r="AE124" s="54">
        <v>9</v>
      </c>
      <c r="AF124" s="55">
        <v>0</v>
      </c>
      <c r="AG124" s="55">
        <v>1</v>
      </c>
      <c r="AH124" s="55">
        <v>2</v>
      </c>
      <c r="AI124" s="55">
        <v>3</v>
      </c>
      <c r="AJ124" s="55">
        <v>4</v>
      </c>
      <c r="AK124" s="55">
        <v>5</v>
      </c>
      <c r="AL124" s="55">
        <v>6</v>
      </c>
      <c r="AM124" s="55">
        <v>7</v>
      </c>
      <c r="AN124" s="55">
        <v>8</v>
      </c>
      <c r="AO124" s="55">
        <v>9</v>
      </c>
      <c r="AP124" s="105">
        <v>0</v>
      </c>
      <c r="AQ124" s="105">
        <v>1</v>
      </c>
      <c r="AR124" s="105">
        <v>2</v>
      </c>
      <c r="AS124" s="105">
        <v>3</v>
      </c>
      <c r="AT124" s="105">
        <v>4</v>
      </c>
      <c r="AU124" s="105">
        <v>5</v>
      </c>
      <c r="AV124" s="105">
        <v>6</v>
      </c>
      <c r="AW124" s="105">
        <v>7</v>
      </c>
      <c r="AX124" s="105">
        <v>8</v>
      </c>
      <c r="AY124" s="105">
        <v>9</v>
      </c>
      <c r="AZ124" s="56">
        <v>0</v>
      </c>
      <c r="BA124" s="56">
        <v>1</v>
      </c>
      <c r="BB124" s="56">
        <v>2</v>
      </c>
      <c r="BC124" s="56">
        <v>3</v>
      </c>
      <c r="BD124" s="56">
        <v>4</v>
      </c>
      <c r="BE124" s="56">
        <v>5</v>
      </c>
      <c r="BF124" s="56">
        <v>6</v>
      </c>
      <c r="BG124" s="56">
        <v>7</v>
      </c>
      <c r="BH124" s="56">
        <v>8</v>
      </c>
      <c r="BI124" s="56">
        <v>9</v>
      </c>
      <c r="BJ124" s="57" t="str">
        <f t="shared" si="39"/>
        <v>标准型</v>
      </c>
      <c r="BK124" s="13">
        <f t="shared" si="35"/>
        <v>1</v>
      </c>
      <c r="BL124" s="13">
        <f t="shared" si="36"/>
        <v>5</v>
      </c>
      <c r="BM124" s="18" t="str">
        <f t="shared" si="41"/>
        <v/>
      </c>
      <c r="BN124" s="19" t="str">
        <f t="shared" si="42"/>
        <v/>
      </c>
      <c r="BO124" s="19" t="str">
        <f t="array" ref="BO124">_xlfn.TEXTJOIN("",TRUE,IF(ISERROR(FIND(ROW($1:$10)-1,BM124&amp;BN124)),ROW($1:$10)-1,""))</f>
        <v>0123456789</v>
      </c>
      <c r="BP124" s="20" t="str">
        <f t="shared" si="43"/>
        <v>中中中</v>
      </c>
      <c r="BQ124" s="21" t="str">
        <f t="shared" si="54"/>
        <v/>
      </c>
      <c r="BR124" s="21">
        <f t="shared" si="52"/>
        <v>5</v>
      </c>
      <c r="BS124" s="21" t="str">
        <f t="array" ref="BS124">_xlfn.TEXTJOIN("",TRUE,IF(ISERROR(FIND(ROW($1:$10)-1,BQ124&amp;BR124)),ROW($1:$10)-1,""))</f>
        <v>012346789</v>
      </c>
      <c r="BT124" s="20" t="str">
        <f t="shared" si="44"/>
        <v>中隔中</v>
      </c>
      <c r="BU124" s="22">
        <f t="shared" si="45"/>
        <v>1</v>
      </c>
      <c r="BV124" s="22" t="str">
        <f t="shared" si="53"/>
        <v/>
      </c>
      <c r="BW124" s="22" t="str">
        <f t="array" ref="BW124">_xlfn.TEXTJOIN("",TRUE,IF(ISERROR(FIND(ROW($1:$10)-1,BU124&amp;BV124)),ROW($1:$10)-1,""))</f>
        <v>023456789</v>
      </c>
      <c r="BX124" s="20" t="str">
        <f t="shared" si="46"/>
        <v>复中中</v>
      </c>
      <c r="BY124" s="23" t="str">
        <f t="shared" si="40"/>
        <v>35</v>
      </c>
      <c r="BZ124" s="24" t="str">
        <f t="array" ref="BZ124">_xlfn.TEXTJOIN("",TRUE,IF(ISNUMBER(FIND(MID(BY123&amp;Q123,ROW($1:$4),1),BY124&amp;Q124)),MID(BY123&amp;Q123,ROW($1:$4),1),""))</f>
        <v>43</v>
      </c>
      <c r="CA124" s="25" t="str">
        <f t="array" ref="CA124">_xlfn.TEXTJOIN("",TRUE,IF(ISERROR(FIND(ROW($1:$10)-1,BY124&amp;BZ124)),ROW($1:$10)-1,""))</f>
        <v>0126789</v>
      </c>
      <c r="CB124" s="26" t="str">
        <f t="shared" si="47"/>
        <v>邻传孤</v>
      </c>
      <c r="CC124" s="27" t="str">
        <f t="shared" si="48"/>
        <v>46</v>
      </c>
      <c r="CD124" s="27" t="str">
        <f t="array" ref="CD124">_xlfn.TEXTJOIN("",TRUE,IF(ISNUMBER(FIND(MID(CC123&amp;R123,ROW($1:$4),1),CC124&amp;R124)),MID(CC123&amp;R123,ROW($1:$4),1),""))</f>
        <v/>
      </c>
      <c r="CE124" s="27" t="str">
        <f t="array" ref="CE124">_xlfn.TEXTJOIN("",TRUE,IF(ISERROR(FIND(ROW($1:$10)-1,CC124&amp;CD124)),ROW($1:$10)-1,""))</f>
        <v>01235789</v>
      </c>
      <c r="CF124" s="17" t="str">
        <f t="shared" si="49"/>
        <v>邻孤孤</v>
      </c>
      <c r="CG124" s="22" t="str">
        <f t="shared" si="50"/>
        <v>02</v>
      </c>
      <c r="CH124" s="22" t="str">
        <f t="array" ref="CH124">_xlfn.TEXTJOIN("",TRUE,IF(ISNUMBER(FIND(MID(CG123&amp;S123,ROW($1:$4),1),CG124&amp;S124)),MID(CG123&amp;S123,ROW($1:$4),1),""))</f>
        <v>12</v>
      </c>
      <c r="CI124" s="22" t="str">
        <f t="array" ref="CI124">_xlfn.TEXTJOIN("",TRUE,IF(ISERROR(FIND(ROW($1:$10)-1,CG124&amp;CH124)),ROW($1:$10)-1,""))</f>
        <v>3456789</v>
      </c>
      <c r="CJ124" s="28" t="str">
        <f t="shared" si="51"/>
        <v>邻传孤</v>
      </c>
    </row>
    <row r="125" spans="1:88">
      <c r="A125" s="32">
        <v>2024252</v>
      </c>
      <c r="B125" s="8" t="s">
        <v>136</v>
      </c>
      <c r="C125" s="49">
        <f t="shared" si="65"/>
        <v>14</v>
      </c>
      <c r="D125" s="50">
        <f t="shared" si="66"/>
        <v>4</v>
      </c>
      <c r="E125" s="51">
        <f t="shared" si="37"/>
        <v>4.6666666666666696</v>
      </c>
      <c r="F125" s="52">
        <f>MAX(MID(B125,{1,2,3},1)*1)-MIN(MID(B125,{1,2,3},1)*1)</f>
        <v>8</v>
      </c>
      <c r="G125" s="104">
        <v>0</v>
      </c>
      <c r="H125" s="104">
        <v>1</v>
      </c>
      <c r="I125" s="104">
        <v>2</v>
      </c>
      <c r="J125" s="104">
        <v>3</v>
      </c>
      <c r="K125" s="104">
        <v>4</v>
      </c>
      <c r="L125" s="104">
        <v>5</v>
      </c>
      <c r="M125" s="104">
        <v>6</v>
      </c>
      <c r="N125" s="104">
        <v>7</v>
      </c>
      <c r="O125" s="104">
        <v>8</v>
      </c>
      <c r="P125" s="104">
        <v>9</v>
      </c>
      <c r="Q125" s="53">
        <f t="shared" si="67"/>
        <v>8</v>
      </c>
      <c r="R125" s="53">
        <f t="shared" si="68"/>
        <v>6</v>
      </c>
      <c r="S125" s="53">
        <f t="shared" si="69"/>
        <v>2</v>
      </c>
      <c r="T125" s="101">
        <f t="shared" si="38"/>
        <v>16</v>
      </c>
      <c r="U125" s="15" t="str">
        <f>_xlfn.TEXTJOIN(", ",TRUE,ABS(MID(B125,{1,1,2},1)-MID(B125,{2,3,3},1)))</f>
        <v>8, 6, 2</v>
      </c>
      <c r="V125" s="54">
        <v>0</v>
      </c>
      <c r="W125" s="54">
        <v>1</v>
      </c>
      <c r="X125" s="54">
        <v>2</v>
      </c>
      <c r="Y125" s="54">
        <v>3</v>
      </c>
      <c r="Z125" s="54">
        <v>4</v>
      </c>
      <c r="AA125" s="54">
        <v>5</v>
      </c>
      <c r="AB125" s="54">
        <v>6</v>
      </c>
      <c r="AC125" s="54">
        <v>7</v>
      </c>
      <c r="AD125" s="54">
        <v>8</v>
      </c>
      <c r="AE125" s="54">
        <v>9</v>
      </c>
      <c r="AF125" s="55">
        <v>0</v>
      </c>
      <c r="AG125" s="55">
        <v>1</v>
      </c>
      <c r="AH125" s="55">
        <v>2</v>
      </c>
      <c r="AI125" s="55">
        <v>3</v>
      </c>
      <c r="AJ125" s="55">
        <v>4</v>
      </c>
      <c r="AK125" s="55">
        <v>5</v>
      </c>
      <c r="AL125" s="55">
        <v>6</v>
      </c>
      <c r="AM125" s="55">
        <v>7</v>
      </c>
      <c r="AN125" s="55">
        <v>8</v>
      </c>
      <c r="AO125" s="55">
        <v>9</v>
      </c>
      <c r="AP125" s="105">
        <v>0</v>
      </c>
      <c r="AQ125" s="105">
        <v>1</v>
      </c>
      <c r="AR125" s="105">
        <v>2</v>
      </c>
      <c r="AS125" s="105">
        <v>3</v>
      </c>
      <c r="AT125" s="105">
        <v>4</v>
      </c>
      <c r="AU125" s="105">
        <v>5</v>
      </c>
      <c r="AV125" s="105">
        <v>6</v>
      </c>
      <c r="AW125" s="105">
        <v>7</v>
      </c>
      <c r="AX125" s="105">
        <v>8</v>
      </c>
      <c r="AY125" s="105">
        <v>9</v>
      </c>
      <c r="AZ125" s="56">
        <v>0</v>
      </c>
      <c r="BA125" s="56">
        <v>1</v>
      </c>
      <c r="BB125" s="56">
        <v>2</v>
      </c>
      <c r="BC125" s="56">
        <v>3</v>
      </c>
      <c r="BD125" s="56">
        <v>4</v>
      </c>
      <c r="BE125" s="56">
        <v>5</v>
      </c>
      <c r="BF125" s="56">
        <v>6</v>
      </c>
      <c r="BG125" s="56">
        <v>7</v>
      </c>
      <c r="BH125" s="56">
        <v>8</v>
      </c>
      <c r="BI125" s="56">
        <v>9</v>
      </c>
      <c r="BJ125" s="57" t="str">
        <f t="shared" si="39"/>
        <v>松散型</v>
      </c>
      <c r="BK125" s="13">
        <f t="shared" si="35"/>
        <v>2</v>
      </c>
      <c r="BL125" s="13">
        <f t="shared" si="36"/>
        <v>8</v>
      </c>
      <c r="BM125" s="18" t="str">
        <f t="shared" si="41"/>
        <v/>
      </c>
      <c r="BN125" s="19" t="str">
        <f t="shared" si="42"/>
        <v/>
      </c>
      <c r="BO125" s="19" t="str">
        <f t="array" ref="BO125">_xlfn.TEXTJOIN("",TRUE,IF(ISERROR(FIND(ROW($1:$10)-1,BM125&amp;BN125)),ROW($1:$10)-1,""))</f>
        <v>0123456789</v>
      </c>
      <c r="BP125" s="20" t="str">
        <f t="shared" si="43"/>
        <v>中中中</v>
      </c>
      <c r="BQ125" s="21" t="str">
        <f t="shared" si="54"/>
        <v/>
      </c>
      <c r="BR125" s="21" t="str">
        <f t="shared" si="52"/>
        <v/>
      </c>
      <c r="BS125" s="21" t="str">
        <f t="array" ref="BS125">_xlfn.TEXTJOIN("",TRUE,IF(ISERROR(FIND(ROW($1:$10)-1,BQ125&amp;BR125)),ROW($1:$10)-1,""))</f>
        <v>0123456789</v>
      </c>
      <c r="BT125" s="20" t="str">
        <f t="shared" si="44"/>
        <v>中中中</v>
      </c>
      <c r="BU125" s="22" t="str">
        <f t="shared" si="45"/>
        <v/>
      </c>
      <c r="BV125" s="22">
        <f t="shared" si="53"/>
        <v>2</v>
      </c>
      <c r="BW125" s="22" t="str">
        <f t="array" ref="BW125">_xlfn.TEXTJOIN("",TRUE,IF(ISERROR(FIND(ROW($1:$10)-1,BU125&amp;BV125)),ROW($1:$10)-1,""))</f>
        <v>013456789</v>
      </c>
      <c r="BX125" s="20" t="str">
        <f t="shared" si="46"/>
        <v>中隔中</v>
      </c>
      <c r="BY125" s="23" t="str">
        <f t="shared" si="40"/>
        <v>79</v>
      </c>
      <c r="BZ125" s="24" t="str">
        <f t="array" ref="BZ125">_xlfn.TEXTJOIN("",TRUE,IF(ISNUMBER(FIND(MID(BY124&amp;Q124,ROW($1:$4),1),BY125&amp;Q125)),MID(BY124&amp;Q124,ROW($1:$4),1),""))</f>
        <v/>
      </c>
      <c r="CA125" s="25" t="str">
        <f t="array" ref="CA125">_xlfn.TEXTJOIN("",TRUE,IF(ISERROR(FIND(ROW($1:$10)-1,BY125&amp;BZ125)),ROW($1:$10)-1,""))</f>
        <v>01234568</v>
      </c>
      <c r="CB125" s="26" t="str">
        <f t="shared" si="47"/>
        <v>邻孤孤</v>
      </c>
      <c r="CC125" s="27" t="str">
        <f t="shared" si="48"/>
        <v>57</v>
      </c>
      <c r="CD125" s="27" t="str">
        <f t="array" ref="CD125">_xlfn.TEXTJOIN("",TRUE,IF(ISNUMBER(FIND(MID(CC124&amp;R124,ROW($1:$4),1),CC125&amp;R125)),MID(CC124&amp;R124,ROW($1:$4),1),""))</f>
        <v>65</v>
      </c>
      <c r="CE125" s="27" t="str">
        <f t="array" ref="CE125">_xlfn.TEXTJOIN("",TRUE,IF(ISERROR(FIND(ROW($1:$10)-1,CC125&amp;CD125)),ROW($1:$10)-1,""))</f>
        <v>0123489</v>
      </c>
      <c r="CF125" s="17" t="str">
        <f t="shared" si="49"/>
        <v>邻传孤</v>
      </c>
      <c r="CG125" s="22" t="str">
        <f t="shared" si="50"/>
        <v>13</v>
      </c>
      <c r="CH125" s="22" t="str">
        <f t="array" ref="CH125">_xlfn.TEXTJOIN("",TRUE,IF(ISNUMBER(FIND(MID(CG124&amp;S124,ROW($1:$4),1),CG125&amp;S125)),MID(CG124&amp;S124,ROW($1:$4),1),""))</f>
        <v>21</v>
      </c>
      <c r="CI125" s="22" t="str">
        <f t="array" ref="CI125">_xlfn.TEXTJOIN("",TRUE,IF(ISERROR(FIND(ROW($1:$10)-1,CG125&amp;CH125)),ROW($1:$10)-1,""))</f>
        <v>0456789</v>
      </c>
      <c r="CJ125" s="28" t="str">
        <f t="shared" si="51"/>
        <v>邻传孤</v>
      </c>
    </row>
    <row r="126" spans="1:88">
      <c r="A126" s="32">
        <v>2024253</v>
      </c>
      <c r="B126" s="8" t="s">
        <v>125</v>
      </c>
      <c r="C126" s="49">
        <f t="shared" si="65"/>
        <v>13</v>
      </c>
      <c r="D126" s="50">
        <f t="shared" si="66"/>
        <v>3</v>
      </c>
      <c r="E126" s="51">
        <f t="shared" si="37"/>
        <v>4.3333333333333304</v>
      </c>
      <c r="F126" s="52">
        <f>MAX(MID(B126,{1,2,3},1)*1)-MIN(MID(B126,{1,2,3},1)*1)</f>
        <v>5</v>
      </c>
      <c r="G126" s="104">
        <v>0</v>
      </c>
      <c r="H126" s="104">
        <v>1</v>
      </c>
      <c r="I126" s="104">
        <v>2</v>
      </c>
      <c r="J126" s="104">
        <v>3</v>
      </c>
      <c r="K126" s="104">
        <v>4</v>
      </c>
      <c r="L126" s="104">
        <v>5</v>
      </c>
      <c r="M126" s="104">
        <v>6</v>
      </c>
      <c r="N126" s="104">
        <v>7</v>
      </c>
      <c r="O126" s="104">
        <v>8</v>
      </c>
      <c r="P126" s="104">
        <v>9</v>
      </c>
      <c r="Q126" s="53">
        <f t="shared" si="67"/>
        <v>5</v>
      </c>
      <c r="R126" s="53">
        <f t="shared" si="68"/>
        <v>2</v>
      </c>
      <c r="S126" s="53">
        <f t="shared" si="69"/>
        <v>3</v>
      </c>
      <c r="T126" s="101">
        <f t="shared" si="38"/>
        <v>10</v>
      </c>
      <c r="U126" s="15" t="str">
        <f>_xlfn.TEXTJOIN(", ",TRUE,ABS(MID(B126,{1,1,2},1)-MID(B126,{2,3,3},1)))</f>
        <v>5, 2, 3</v>
      </c>
      <c r="V126" s="54">
        <v>0</v>
      </c>
      <c r="W126" s="54">
        <v>1</v>
      </c>
      <c r="X126" s="54">
        <v>2</v>
      </c>
      <c r="Y126" s="54">
        <v>3</v>
      </c>
      <c r="Z126" s="54">
        <v>4</v>
      </c>
      <c r="AA126" s="54">
        <v>5</v>
      </c>
      <c r="AB126" s="54">
        <v>6</v>
      </c>
      <c r="AC126" s="54">
        <v>7</v>
      </c>
      <c r="AD126" s="54">
        <v>8</v>
      </c>
      <c r="AE126" s="54">
        <v>9</v>
      </c>
      <c r="AF126" s="55">
        <v>0</v>
      </c>
      <c r="AG126" s="55">
        <v>1</v>
      </c>
      <c r="AH126" s="55">
        <v>2</v>
      </c>
      <c r="AI126" s="55">
        <v>3</v>
      </c>
      <c r="AJ126" s="55">
        <v>4</v>
      </c>
      <c r="AK126" s="55">
        <v>5</v>
      </c>
      <c r="AL126" s="55">
        <v>6</v>
      </c>
      <c r="AM126" s="55">
        <v>7</v>
      </c>
      <c r="AN126" s="55">
        <v>8</v>
      </c>
      <c r="AO126" s="55">
        <v>9</v>
      </c>
      <c r="AP126" s="105">
        <v>0</v>
      </c>
      <c r="AQ126" s="105">
        <v>1</v>
      </c>
      <c r="AR126" s="105">
        <v>2</v>
      </c>
      <c r="AS126" s="105">
        <v>3</v>
      </c>
      <c r="AT126" s="105">
        <v>4</v>
      </c>
      <c r="AU126" s="105">
        <v>5</v>
      </c>
      <c r="AV126" s="105">
        <v>6</v>
      </c>
      <c r="AW126" s="105">
        <v>7</v>
      </c>
      <c r="AX126" s="105">
        <v>8</v>
      </c>
      <c r="AY126" s="105">
        <v>9</v>
      </c>
      <c r="AZ126" s="56">
        <v>0</v>
      </c>
      <c r="BA126" s="56">
        <v>1</v>
      </c>
      <c r="BB126" s="56">
        <v>2</v>
      </c>
      <c r="BC126" s="56">
        <v>3</v>
      </c>
      <c r="BD126" s="56">
        <v>4</v>
      </c>
      <c r="BE126" s="56">
        <v>5</v>
      </c>
      <c r="BF126" s="56">
        <v>6</v>
      </c>
      <c r="BG126" s="56">
        <v>7</v>
      </c>
      <c r="BH126" s="56">
        <v>8</v>
      </c>
      <c r="BI126" s="56">
        <v>9</v>
      </c>
      <c r="BJ126" s="57" t="str">
        <f t="shared" si="39"/>
        <v>标准型</v>
      </c>
      <c r="BK126" s="13">
        <f t="shared" si="35"/>
        <v>2</v>
      </c>
      <c r="BL126" s="13">
        <f t="shared" si="36"/>
        <v>5</v>
      </c>
      <c r="BM126" s="18" t="str">
        <f t="shared" si="41"/>
        <v/>
      </c>
      <c r="BN126" s="19">
        <f t="shared" si="42"/>
        <v>5</v>
      </c>
      <c r="BO126" s="19" t="str">
        <f t="array" ref="BO126">_xlfn.TEXTJOIN("",TRUE,IF(ISERROR(FIND(ROW($1:$10)-1,BM126&amp;BN126)),ROW($1:$10)-1,""))</f>
        <v>012346789</v>
      </c>
      <c r="BP126" s="20" t="str">
        <f t="shared" si="43"/>
        <v>中隔中</v>
      </c>
      <c r="BQ126" s="21">
        <f t="shared" si="54"/>
        <v>2</v>
      </c>
      <c r="BR126" s="21" t="str">
        <f t="shared" si="52"/>
        <v/>
      </c>
      <c r="BS126" s="21" t="str">
        <f t="array" ref="BS126">_xlfn.TEXTJOIN("",TRUE,IF(ISERROR(FIND(ROW($1:$10)-1,BQ126&amp;BR126)),ROW($1:$10)-1,""))</f>
        <v>013456789</v>
      </c>
      <c r="BT126" s="20" t="str">
        <f t="shared" si="44"/>
        <v>复中中</v>
      </c>
      <c r="BU126" s="22" t="str">
        <f t="shared" si="45"/>
        <v/>
      </c>
      <c r="BV126" s="22" t="str">
        <f t="shared" si="53"/>
        <v/>
      </c>
      <c r="BW126" s="22" t="str">
        <f t="array" ref="BW126">_xlfn.TEXTJOIN("",TRUE,IF(ISERROR(FIND(ROW($1:$10)-1,BU126&amp;BV126)),ROW($1:$10)-1,""))</f>
        <v>0123456789</v>
      </c>
      <c r="BX126" s="20" t="str">
        <f t="shared" si="46"/>
        <v>中中中</v>
      </c>
      <c r="BY126" s="23" t="str">
        <f t="shared" si="40"/>
        <v>46</v>
      </c>
      <c r="BZ126" s="24" t="str">
        <f t="array" ref="BZ126">_xlfn.TEXTJOIN("",TRUE,IF(ISNUMBER(FIND(MID(BY125&amp;Q125,ROW($1:$4),1),BY126&amp;Q126)),MID(BY125&amp;Q125,ROW($1:$4),1),""))</f>
        <v/>
      </c>
      <c r="CA126" s="25" t="str">
        <f t="array" ref="CA126">_xlfn.TEXTJOIN("",TRUE,IF(ISERROR(FIND(ROW($1:$10)-1,BY126&amp;BZ126)),ROW($1:$10)-1,""))</f>
        <v>01235789</v>
      </c>
      <c r="CB126" s="26" t="str">
        <f t="shared" si="47"/>
        <v>邻孤孤</v>
      </c>
      <c r="CC126" s="27" t="str">
        <f t="shared" si="48"/>
        <v>13</v>
      </c>
      <c r="CD126" s="27" t="str">
        <f t="array" ref="CD126">_xlfn.TEXTJOIN("",TRUE,IF(ISNUMBER(FIND(MID(CC125&amp;R125,ROW($1:$4),1),CC126&amp;R126)),MID(CC125&amp;R125,ROW($1:$4),1),""))</f>
        <v/>
      </c>
      <c r="CE126" s="27" t="str">
        <f t="array" ref="CE126">_xlfn.TEXTJOIN("",TRUE,IF(ISERROR(FIND(ROW($1:$10)-1,CC126&amp;CD126)),ROW($1:$10)-1,""))</f>
        <v>02456789</v>
      </c>
      <c r="CF126" s="17" t="str">
        <f t="shared" si="49"/>
        <v>邻孤孤</v>
      </c>
      <c r="CG126" s="22" t="str">
        <f t="shared" si="50"/>
        <v>24</v>
      </c>
      <c r="CH126" s="22" t="str">
        <f t="array" ref="CH126">_xlfn.TEXTJOIN("",TRUE,IF(ISNUMBER(FIND(MID(CG125&amp;S125,ROW($1:$4),1),CG126&amp;S126)),MID(CG125&amp;S125,ROW($1:$4),1),""))</f>
        <v>32</v>
      </c>
      <c r="CI126" s="22" t="str">
        <f t="array" ref="CI126">_xlfn.TEXTJOIN("",TRUE,IF(ISERROR(FIND(ROW($1:$10)-1,CG126&amp;CH126)),ROW($1:$10)-1,""))</f>
        <v>0156789</v>
      </c>
      <c r="CJ126" s="28" t="str">
        <f t="shared" si="51"/>
        <v>邻传孤</v>
      </c>
    </row>
    <row r="127" spans="1:88">
      <c r="A127" s="32">
        <v>2024254</v>
      </c>
      <c r="B127" s="8" t="s">
        <v>137</v>
      </c>
      <c r="C127" s="49">
        <f t="shared" si="65"/>
        <v>13</v>
      </c>
      <c r="D127" s="50">
        <f t="shared" si="66"/>
        <v>3</v>
      </c>
      <c r="E127" s="51">
        <f t="shared" si="37"/>
        <v>4.3333333333333304</v>
      </c>
      <c r="F127" s="52">
        <f>MAX(MID(B127,{1,2,3},1)*1)-MIN(MID(B127,{1,2,3},1)*1)</f>
        <v>9</v>
      </c>
      <c r="G127" s="104">
        <v>0</v>
      </c>
      <c r="H127" s="104">
        <v>1</v>
      </c>
      <c r="I127" s="104">
        <v>2</v>
      </c>
      <c r="J127" s="104">
        <v>3</v>
      </c>
      <c r="K127" s="104">
        <v>4</v>
      </c>
      <c r="L127" s="104">
        <v>5</v>
      </c>
      <c r="M127" s="104">
        <v>6</v>
      </c>
      <c r="N127" s="104">
        <v>7</v>
      </c>
      <c r="O127" s="104">
        <v>8</v>
      </c>
      <c r="P127" s="104">
        <v>9</v>
      </c>
      <c r="Q127" s="53">
        <f t="shared" si="67"/>
        <v>4</v>
      </c>
      <c r="R127" s="53">
        <f t="shared" si="68"/>
        <v>5</v>
      </c>
      <c r="S127" s="53">
        <f t="shared" si="69"/>
        <v>9</v>
      </c>
      <c r="T127" s="101">
        <f t="shared" si="38"/>
        <v>18</v>
      </c>
      <c r="U127" s="15" t="str">
        <f>_xlfn.TEXTJOIN(", ",TRUE,ABS(MID(B127,{1,1,2},1)-MID(B127,{2,3,3},1)))</f>
        <v>4, 5, 9</v>
      </c>
      <c r="V127" s="54">
        <v>0</v>
      </c>
      <c r="W127" s="54">
        <v>1</v>
      </c>
      <c r="X127" s="54">
        <v>2</v>
      </c>
      <c r="Y127" s="54">
        <v>3</v>
      </c>
      <c r="Z127" s="54">
        <v>4</v>
      </c>
      <c r="AA127" s="54">
        <v>5</v>
      </c>
      <c r="AB127" s="54">
        <v>6</v>
      </c>
      <c r="AC127" s="54">
        <v>7</v>
      </c>
      <c r="AD127" s="54">
        <v>8</v>
      </c>
      <c r="AE127" s="54">
        <v>9</v>
      </c>
      <c r="AF127" s="55">
        <v>0</v>
      </c>
      <c r="AG127" s="55">
        <v>1</v>
      </c>
      <c r="AH127" s="55">
        <v>2</v>
      </c>
      <c r="AI127" s="55">
        <v>3</v>
      </c>
      <c r="AJ127" s="55">
        <v>4</v>
      </c>
      <c r="AK127" s="55">
        <v>5</v>
      </c>
      <c r="AL127" s="55">
        <v>6</v>
      </c>
      <c r="AM127" s="55">
        <v>7</v>
      </c>
      <c r="AN127" s="55">
        <v>8</v>
      </c>
      <c r="AO127" s="55">
        <v>9</v>
      </c>
      <c r="AP127" s="105">
        <v>0</v>
      </c>
      <c r="AQ127" s="105">
        <v>1</v>
      </c>
      <c r="AR127" s="105">
        <v>2</v>
      </c>
      <c r="AS127" s="105">
        <v>3</v>
      </c>
      <c r="AT127" s="105">
        <v>4</v>
      </c>
      <c r="AU127" s="105">
        <v>5</v>
      </c>
      <c r="AV127" s="105">
        <v>6</v>
      </c>
      <c r="AW127" s="105">
        <v>7</v>
      </c>
      <c r="AX127" s="105">
        <v>8</v>
      </c>
      <c r="AY127" s="105">
        <v>9</v>
      </c>
      <c r="AZ127" s="56">
        <v>0</v>
      </c>
      <c r="BA127" s="56">
        <v>1</v>
      </c>
      <c r="BB127" s="56">
        <v>2</v>
      </c>
      <c r="BC127" s="56">
        <v>3</v>
      </c>
      <c r="BD127" s="56">
        <v>4</v>
      </c>
      <c r="BE127" s="56">
        <v>5</v>
      </c>
      <c r="BF127" s="56">
        <v>6</v>
      </c>
      <c r="BG127" s="56">
        <v>7</v>
      </c>
      <c r="BH127" s="56">
        <v>8</v>
      </c>
      <c r="BI127" s="56">
        <v>9</v>
      </c>
      <c r="BJ127" s="57" t="str">
        <f t="shared" si="39"/>
        <v>松散型</v>
      </c>
      <c r="BK127" s="13">
        <f t="shared" si="35"/>
        <v>4</v>
      </c>
      <c r="BL127" s="13">
        <f t="shared" si="36"/>
        <v>9</v>
      </c>
      <c r="BM127" s="18" t="str">
        <f t="shared" si="41"/>
        <v/>
      </c>
      <c r="BN127" s="19" t="str">
        <f t="shared" si="42"/>
        <v/>
      </c>
      <c r="BO127" s="19" t="str">
        <f t="array" ref="BO127">_xlfn.TEXTJOIN("",TRUE,IF(ISERROR(FIND(ROW($1:$10)-1,BM127&amp;BN127)),ROW($1:$10)-1,""))</f>
        <v>0123456789</v>
      </c>
      <c r="BP127" s="20" t="str">
        <f t="shared" si="43"/>
        <v>中中中</v>
      </c>
      <c r="BQ127" s="21">
        <f t="shared" si="54"/>
        <v>5</v>
      </c>
      <c r="BR127" s="21" t="str">
        <f t="shared" si="52"/>
        <v/>
      </c>
      <c r="BS127" s="21" t="str">
        <f t="array" ref="BS127">_xlfn.TEXTJOIN("",TRUE,IF(ISERROR(FIND(ROW($1:$10)-1,BQ127&amp;BR127)),ROW($1:$10)-1,""))</f>
        <v>012346789</v>
      </c>
      <c r="BT127" s="20" t="str">
        <f t="shared" si="44"/>
        <v>复中中</v>
      </c>
      <c r="BU127" s="22" t="str">
        <f t="shared" si="45"/>
        <v/>
      </c>
      <c r="BV127" s="22" t="str">
        <f t="shared" si="53"/>
        <v/>
      </c>
      <c r="BW127" s="22" t="str">
        <f t="array" ref="BW127">_xlfn.TEXTJOIN("",TRUE,IF(ISERROR(FIND(ROW($1:$10)-1,BU127&amp;BV127)),ROW($1:$10)-1,""))</f>
        <v>0123456789</v>
      </c>
      <c r="BX127" s="20" t="str">
        <f t="shared" si="46"/>
        <v>中中中</v>
      </c>
      <c r="BY127" s="23" t="str">
        <f t="shared" si="40"/>
        <v>35</v>
      </c>
      <c r="BZ127" s="24" t="str">
        <f t="array" ref="BZ127">_xlfn.TEXTJOIN("",TRUE,IF(ISNUMBER(FIND(MID(BY126&amp;Q126,ROW($1:$4),1),BY127&amp;Q127)),MID(BY126&amp;Q126,ROW($1:$4),1),""))</f>
        <v>45</v>
      </c>
      <c r="CA127" s="25" t="str">
        <f t="array" ref="CA127">_xlfn.TEXTJOIN("",TRUE,IF(ISERROR(FIND(ROW($1:$10)-1,BY127&amp;BZ127)),ROW($1:$10)-1,""))</f>
        <v>0126789</v>
      </c>
      <c r="CB127" s="26" t="str">
        <f t="shared" si="47"/>
        <v>邻传孤</v>
      </c>
      <c r="CC127" s="27" t="str">
        <f t="shared" si="48"/>
        <v>46</v>
      </c>
      <c r="CD127" s="27" t="str">
        <f t="array" ref="CD127">_xlfn.TEXTJOIN("",TRUE,IF(ISNUMBER(FIND(MID(CC126&amp;R126,ROW($1:$4),1),CC127&amp;R127)),MID(CC126&amp;R126,ROW($1:$4),1),""))</f>
        <v/>
      </c>
      <c r="CE127" s="27" t="str">
        <f t="array" ref="CE127">_xlfn.TEXTJOIN("",TRUE,IF(ISERROR(FIND(ROW($1:$10)-1,CC127&amp;CD127)),ROW($1:$10)-1,""))</f>
        <v>01235789</v>
      </c>
      <c r="CF127" s="17" t="str">
        <f t="shared" si="49"/>
        <v>邻孤孤</v>
      </c>
      <c r="CG127" s="22" t="str">
        <f t="shared" si="50"/>
        <v>80</v>
      </c>
      <c r="CH127" s="22" t="str">
        <f t="array" ref="CH127">_xlfn.TEXTJOIN("",TRUE,IF(ISNUMBER(FIND(MID(CG126&amp;S126,ROW($1:$4),1),CG127&amp;S127)),MID(CG126&amp;S126,ROW($1:$4),1),""))</f>
        <v/>
      </c>
      <c r="CI127" s="22" t="str">
        <f t="array" ref="CI127">_xlfn.TEXTJOIN("",TRUE,IF(ISERROR(FIND(ROW($1:$10)-1,CG127&amp;CH127)),ROW($1:$10)-1,""))</f>
        <v>12345679</v>
      </c>
      <c r="CJ127" s="28" t="str">
        <f t="shared" si="51"/>
        <v>邻孤孤</v>
      </c>
    </row>
    <row r="128" spans="1:88">
      <c r="A128" s="32">
        <v>2024255</v>
      </c>
      <c r="B128" s="8" t="s">
        <v>138</v>
      </c>
      <c r="C128" s="49">
        <f t="shared" si="65"/>
        <v>15</v>
      </c>
      <c r="D128" s="50">
        <f t="shared" si="66"/>
        <v>5</v>
      </c>
      <c r="E128" s="51">
        <f t="shared" si="37"/>
        <v>5</v>
      </c>
      <c r="F128" s="52">
        <f>MAX(MID(B128,{1,2,3},1)*1)-MIN(MID(B128,{1,2,3},1)*1)</f>
        <v>9</v>
      </c>
      <c r="G128" s="104">
        <v>0</v>
      </c>
      <c r="H128" s="104">
        <v>1</v>
      </c>
      <c r="I128" s="104">
        <v>2</v>
      </c>
      <c r="J128" s="104">
        <v>3</v>
      </c>
      <c r="K128" s="104">
        <v>4</v>
      </c>
      <c r="L128" s="104">
        <v>5</v>
      </c>
      <c r="M128" s="104">
        <v>6</v>
      </c>
      <c r="N128" s="104">
        <v>7</v>
      </c>
      <c r="O128" s="104">
        <v>8</v>
      </c>
      <c r="P128" s="104">
        <v>9</v>
      </c>
      <c r="Q128" s="53">
        <f t="shared" si="67"/>
        <v>9</v>
      </c>
      <c r="R128" s="53">
        <f t="shared" si="68"/>
        <v>6</v>
      </c>
      <c r="S128" s="53">
        <f t="shared" si="69"/>
        <v>3</v>
      </c>
      <c r="T128" s="101">
        <f t="shared" si="38"/>
        <v>18</v>
      </c>
      <c r="U128" s="15" t="str">
        <f>_xlfn.TEXTJOIN(", ",TRUE,ABS(MID(B128,{1,1,2},1)-MID(B128,{2,3,3},1)))</f>
        <v>9, 6, 3</v>
      </c>
      <c r="V128" s="54">
        <v>0</v>
      </c>
      <c r="W128" s="54">
        <v>1</v>
      </c>
      <c r="X128" s="54">
        <v>2</v>
      </c>
      <c r="Y128" s="54">
        <v>3</v>
      </c>
      <c r="Z128" s="54">
        <v>4</v>
      </c>
      <c r="AA128" s="54">
        <v>5</v>
      </c>
      <c r="AB128" s="54">
        <v>6</v>
      </c>
      <c r="AC128" s="54">
        <v>7</v>
      </c>
      <c r="AD128" s="54">
        <v>8</v>
      </c>
      <c r="AE128" s="54">
        <v>9</v>
      </c>
      <c r="AF128" s="55">
        <v>0</v>
      </c>
      <c r="AG128" s="55">
        <v>1</v>
      </c>
      <c r="AH128" s="55">
        <v>2</v>
      </c>
      <c r="AI128" s="55">
        <v>3</v>
      </c>
      <c r="AJ128" s="55">
        <v>4</v>
      </c>
      <c r="AK128" s="55">
        <v>5</v>
      </c>
      <c r="AL128" s="55">
        <v>6</v>
      </c>
      <c r="AM128" s="55">
        <v>7</v>
      </c>
      <c r="AN128" s="55">
        <v>8</v>
      </c>
      <c r="AO128" s="55">
        <v>9</v>
      </c>
      <c r="AP128" s="105">
        <v>0</v>
      </c>
      <c r="AQ128" s="105">
        <v>1</v>
      </c>
      <c r="AR128" s="105">
        <v>2</v>
      </c>
      <c r="AS128" s="105">
        <v>3</v>
      </c>
      <c r="AT128" s="105">
        <v>4</v>
      </c>
      <c r="AU128" s="105">
        <v>5</v>
      </c>
      <c r="AV128" s="105">
        <v>6</v>
      </c>
      <c r="AW128" s="105">
        <v>7</v>
      </c>
      <c r="AX128" s="105">
        <v>8</v>
      </c>
      <c r="AY128" s="105">
        <v>9</v>
      </c>
      <c r="AZ128" s="56">
        <v>0</v>
      </c>
      <c r="BA128" s="56">
        <v>1</v>
      </c>
      <c r="BB128" s="56">
        <v>2</v>
      </c>
      <c r="BC128" s="56">
        <v>3</v>
      </c>
      <c r="BD128" s="56">
        <v>4</v>
      </c>
      <c r="BE128" s="56">
        <v>5</v>
      </c>
      <c r="BF128" s="56">
        <v>6</v>
      </c>
      <c r="BG128" s="56">
        <v>7</v>
      </c>
      <c r="BH128" s="56">
        <v>8</v>
      </c>
      <c r="BI128" s="56">
        <v>9</v>
      </c>
      <c r="BJ128" s="57" t="str">
        <f t="shared" si="39"/>
        <v>松散型</v>
      </c>
      <c r="BK128" s="13">
        <f t="shared" si="35"/>
        <v>3</v>
      </c>
      <c r="BL128" s="13">
        <f t="shared" si="36"/>
        <v>9</v>
      </c>
      <c r="BM128" s="18">
        <f t="shared" si="41"/>
        <v>9</v>
      </c>
      <c r="BN128" s="19" t="str">
        <f t="shared" si="42"/>
        <v/>
      </c>
      <c r="BO128" s="19" t="str">
        <f t="array" ref="BO128">_xlfn.TEXTJOIN("",TRUE,IF(ISERROR(FIND(ROW($1:$10)-1,BM128&amp;BN128)),ROW($1:$10)-1,""))</f>
        <v>012345678</v>
      </c>
      <c r="BP128" s="20" t="str">
        <f t="shared" si="43"/>
        <v>复中中</v>
      </c>
      <c r="BQ128" s="21" t="str">
        <f t="shared" si="54"/>
        <v/>
      </c>
      <c r="BR128" s="21" t="str">
        <f t="shared" si="52"/>
        <v/>
      </c>
      <c r="BS128" s="21" t="str">
        <f t="array" ref="BS128">_xlfn.TEXTJOIN("",TRUE,IF(ISERROR(FIND(ROW($1:$10)-1,BQ128&amp;BR128)),ROW($1:$10)-1,""))</f>
        <v>0123456789</v>
      </c>
      <c r="BT128" s="20" t="str">
        <f t="shared" si="44"/>
        <v>中中中</v>
      </c>
      <c r="BU128" s="22" t="str">
        <f t="shared" si="45"/>
        <v/>
      </c>
      <c r="BV128" s="22">
        <f t="shared" si="53"/>
        <v>3</v>
      </c>
      <c r="BW128" s="22" t="str">
        <f t="array" ref="BW128">_xlfn.TEXTJOIN("",TRUE,IF(ISERROR(FIND(ROW($1:$10)-1,BU128&amp;BV128)),ROW($1:$10)-1,""))</f>
        <v>012456789</v>
      </c>
      <c r="BX128" s="20" t="str">
        <f t="shared" si="46"/>
        <v>中隔中</v>
      </c>
      <c r="BY128" s="23" t="str">
        <f t="shared" si="40"/>
        <v>80</v>
      </c>
      <c r="BZ128" s="24" t="str">
        <f t="array" ref="BZ128">_xlfn.TEXTJOIN("",TRUE,IF(ISNUMBER(FIND(MID(BY127&amp;Q127,ROW($1:$4),1),BY128&amp;Q128)),MID(BY127&amp;Q127,ROW($1:$4),1),""))</f>
        <v/>
      </c>
      <c r="CA128" s="25" t="str">
        <f t="array" ref="CA128">_xlfn.TEXTJOIN("",TRUE,IF(ISERROR(FIND(ROW($1:$10)-1,BY128&amp;BZ128)),ROW($1:$10)-1,""))</f>
        <v>12345679</v>
      </c>
      <c r="CB128" s="26" t="str">
        <f t="shared" si="47"/>
        <v>邻孤孤</v>
      </c>
      <c r="CC128" s="27" t="str">
        <f t="shared" si="48"/>
        <v>57</v>
      </c>
      <c r="CD128" s="27" t="str">
        <f t="array" ref="CD128">_xlfn.TEXTJOIN("",TRUE,IF(ISNUMBER(FIND(MID(CC127&amp;R127,ROW($1:$4),1),CC128&amp;R128)),MID(CC127&amp;R127,ROW($1:$4),1),""))</f>
        <v>65</v>
      </c>
      <c r="CE128" s="27" t="str">
        <f t="array" ref="CE128">_xlfn.TEXTJOIN("",TRUE,IF(ISERROR(FIND(ROW($1:$10)-1,CC128&amp;CD128)),ROW($1:$10)-1,""))</f>
        <v>0123489</v>
      </c>
      <c r="CF128" s="17" t="str">
        <f t="shared" si="49"/>
        <v>邻传孤</v>
      </c>
      <c r="CG128" s="22" t="str">
        <f t="shared" si="50"/>
        <v>24</v>
      </c>
      <c r="CH128" s="22" t="str">
        <f t="array" ref="CH128">_xlfn.TEXTJOIN("",TRUE,IF(ISNUMBER(FIND(MID(CG127&amp;S127,ROW($1:$4),1),CG128&amp;S128)),MID(CG127&amp;S127,ROW($1:$4),1),""))</f>
        <v/>
      </c>
      <c r="CI128" s="22" t="str">
        <f t="array" ref="CI128">_xlfn.TEXTJOIN("",TRUE,IF(ISERROR(FIND(ROW($1:$10)-1,CG128&amp;CH128)),ROW($1:$10)-1,""))</f>
        <v>01356789</v>
      </c>
      <c r="CJ128" s="28" t="str">
        <f t="shared" si="51"/>
        <v>邻孤孤</v>
      </c>
    </row>
    <row r="129" spans="1:88">
      <c r="A129" s="32">
        <v>2024256</v>
      </c>
      <c r="B129" s="8" t="s">
        <v>139</v>
      </c>
      <c r="C129" s="49">
        <f t="shared" si="65"/>
        <v>20</v>
      </c>
      <c r="D129" s="50">
        <f t="shared" si="66"/>
        <v>0</v>
      </c>
      <c r="E129" s="51">
        <f t="shared" si="37"/>
        <v>6.6666666666666696</v>
      </c>
      <c r="F129" s="52">
        <f>MAX(MID(B129,{1,2,3},1)*1)-MIN(MID(B129,{1,2,3},1)*1)</f>
        <v>5</v>
      </c>
      <c r="G129" s="104">
        <v>0</v>
      </c>
      <c r="H129" s="104">
        <v>1</v>
      </c>
      <c r="I129" s="104">
        <v>2</v>
      </c>
      <c r="J129" s="104">
        <v>3</v>
      </c>
      <c r="K129" s="104">
        <v>4</v>
      </c>
      <c r="L129" s="104">
        <v>5</v>
      </c>
      <c r="M129" s="104">
        <v>6</v>
      </c>
      <c r="N129" s="104">
        <v>7</v>
      </c>
      <c r="O129" s="104">
        <v>8</v>
      </c>
      <c r="P129" s="104">
        <v>9</v>
      </c>
      <c r="Q129" s="53">
        <f t="shared" si="67"/>
        <v>3</v>
      </c>
      <c r="R129" s="53">
        <f t="shared" si="68"/>
        <v>2</v>
      </c>
      <c r="S129" s="53">
        <f t="shared" si="69"/>
        <v>5</v>
      </c>
      <c r="T129" s="101">
        <f t="shared" si="38"/>
        <v>10</v>
      </c>
      <c r="U129" s="15" t="str">
        <f>_xlfn.TEXTJOIN(", ",TRUE,ABS(MID(B129,{1,1,2},1)-MID(B129,{2,3,3},1)))</f>
        <v>3, 2, 5</v>
      </c>
      <c r="V129" s="54">
        <v>0</v>
      </c>
      <c r="W129" s="54">
        <v>1</v>
      </c>
      <c r="X129" s="54">
        <v>2</v>
      </c>
      <c r="Y129" s="54">
        <v>3</v>
      </c>
      <c r="Z129" s="54">
        <v>4</v>
      </c>
      <c r="AA129" s="54">
        <v>5</v>
      </c>
      <c r="AB129" s="54">
        <v>6</v>
      </c>
      <c r="AC129" s="54">
        <v>7</v>
      </c>
      <c r="AD129" s="54">
        <v>8</v>
      </c>
      <c r="AE129" s="54">
        <v>9</v>
      </c>
      <c r="AF129" s="55">
        <v>0</v>
      </c>
      <c r="AG129" s="55">
        <v>1</v>
      </c>
      <c r="AH129" s="55">
        <v>2</v>
      </c>
      <c r="AI129" s="55">
        <v>3</v>
      </c>
      <c r="AJ129" s="55">
        <v>4</v>
      </c>
      <c r="AK129" s="55">
        <v>5</v>
      </c>
      <c r="AL129" s="55">
        <v>6</v>
      </c>
      <c r="AM129" s="55">
        <v>7</v>
      </c>
      <c r="AN129" s="55">
        <v>8</v>
      </c>
      <c r="AO129" s="55">
        <v>9</v>
      </c>
      <c r="AP129" s="105">
        <v>0</v>
      </c>
      <c r="AQ129" s="105">
        <v>1</v>
      </c>
      <c r="AR129" s="105">
        <v>2</v>
      </c>
      <c r="AS129" s="105">
        <v>3</v>
      </c>
      <c r="AT129" s="105">
        <v>4</v>
      </c>
      <c r="AU129" s="105">
        <v>5</v>
      </c>
      <c r="AV129" s="105">
        <v>6</v>
      </c>
      <c r="AW129" s="105">
        <v>7</v>
      </c>
      <c r="AX129" s="105">
        <v>8</v>
      </c>
      <c r="AY129" s="105">
        <v>9</v>
      </c>
      <c r="AZ129" s="56">
        <v>0</v>
      </c>
      <c r="BA129" s="56">
        <v>1</v>
      </c>
      <c r="BB129" s="56">
        <v>2</v>
      </c>
      <c r="BC129" s="56">
        <v>3</v>
      </c>
      <c r="BD129" s="56">
        <v>4</v>
      </c>
      <c r="BE129" s="56">
        <v>5</v>
      </c>
      <c r="BF129" s="56">
        <v>6</v>
      </c>
      <c r="BG129" s="56">
        <v>7</v>
      </c>
      <c r="BH129" s="56">
        <v>8</v>
      </c>
      <c r="BI129" s="56">
        <v>9</v>
      </c>
      <c r="BJ129" s="57" t="str">
        <f t="shared" si="39"/>
        <v>标准型</v>
      </c>
      <c r="BK129" s="13">
        <f t="shared" si="35"/>
        <v>2</v>
      </c>
      <c r="BL129" s="13">
        <f t="shared" si="36"/>
        <v>5</v>
      </c>
      <c r="BM129" s="18">
        <f t="shared" si="41"/>
        <v>3</v>
      </c>
      <c r="BN129" s="19" t="str">
        <f t="shared" si="42"/>
        <v/>
      </c>
      <c r="BO129" s="19" t="str">
        <f t="array" ref="BO129">_xlfn.TEXTJOIN("",TRUE,IF(ISERROR(FIND(ROW($1:$10)-1,BM129&amp;BN129)),ROW($1:$10)-1,""))</f>
        <v>012456789</v>
      </c>
      <c r="BP129" s="20" t="str">
        <f t="shared" si="43"/>
        <v>复中中</v>
      </c>
      <c r="BQ129" s="21" t="str">
        <f t="shared" si="54"/>
        <v/>
      </c>
      <c r="BR129" s="21" t="str">
        <f t="shared" si="52"/>
        <v/>
      </c>
      <c r="BS129" s="21" t="str">
        <f t="array" ref="BS129">_xlfn.TEXTJOIN("",TRUE,IF(ISERROR(FIND(ROW($1:$10)-1,BQ129&amp;BR129)),ROW($1:$10)-1,""))</f>
        <v>0123456789</v>
      </c>
      <c r="BT129" s="20" t="str">
        <f t="shared" si="44"/>
        <v>中中中</v>
      </c>
      <c r="BU129" s="22" t="str">
        <f t="shared" si="45"/>
        <v/>
      </c>
      <c r="BV129" s="22">
        <f t="shared" si="53"/>
        <v>5</v>
      </c>
      <c r="BW129" s="22" t="str">
        <f t="array" ref="BW129">_xlfn.TEXTJOIN("",TRUE,IF(ISERROR(FIND(ROW($1:$10)-1,BU129&amp;BV129)),ROW($1:$10)-1,""))</f>
        <v>012346789</v>
      </c>
      <c r="BX129" s="20" t="str">
        <f t="shared" si="46"/>
        <v>中隔中</v>
      </c>
      <c r="BY129" s="23" t="str">
        <f t="shared" si="40"/>
        <v>24</v>
      </c>
      <c r="BZ129" s="24" t="str">
        <f t="array" ref="BZ129">_xlfn.TEXTJOIN("",TRUE,IF(ISNUMBER(FIND(MID(BY128&amp;Q128,ROW($1:$4),1),BY129&amp;Q129)),MID(BY128&amp;Q128,ROW($1:$4),1),""))</f>
        <v/>
      </c>
      <c r="CA129" s="25" t="str">
        <f t="array" ref="CA129">_xlfn.TEXTJOIN("",TRUE,IF(ISERROR(FIND(ROW($1:$10)-1,BY129&amp;BZ129)),ROW($1:$10)-1,""))</f>
        <v>01356789</v>
      </c>
      <c r="CB129" s="26" t="str">
        <f t="shared" si="47"/>
        <v>邻孤孤</v>
      </c>
      <c r="CC129" s="27" t="str">
        <f t="shared" si="48"/>
        <v>13</v>
      </c>
      <c r="CD129" s="27" t="str">
        <f t="array" ref="CD129">_xlfn.TEXTJOIN("",TRUE,IF(ISNUMBER(FIND(MID(CC128&amp;R128,ROW($1:$4),1),CC129&amp;R129)),MID(CC128&amp;R128,ROW($1:$4),1),""))</f>
        <v/>
      </c>
      <c r="CE129" s="27" t="str">
        <f t="array" ref="CE129">_xlfn.TEXTJOIN("",TRUE,IF(ISERROR(FIND(ROW($1:$10)-1,CC129&amp;CD129)),ROW($1:$10)-1,""))</f>
        <v>02456789</v>
      </c>
      <c r="CF129" s="17" t="str">
        <f t="shared" si="49"/>
        <v>邻孤孤</v>
      </c>
      <c r="CG129" s="22" t="str">
        <f t="shared" si="50"/>
        <v>46</v>
      </c>
      <c r="CH129" s="22" t="str">
        <f t="array" ref="CH129">_xlfn.TEXTJOIN("",TRUE,IF(ISNUMBER(FIND(MID(CG128&amp;S128,ROW($1:$4),1),CG129&amp;S129)),MID(CG128&amp;S128,ROW($1:$4),1),""))</f>
        <v>4</v>
      </c>
      <c r="CI129" s="22" t="str">
        <f t="array" ref="CI129">_xlfn.TEXTJOIN("",TRUE,IF(ISERROR(FIND(ROW($1:$10)-1,CG129&amp;CH129)),ROW($1:$10)-1,""))</f>
        <v>01235789</v>
      </c>
      <c r="CJ129" s="28" t="str">
        <f t="shared" si="51"/>
        <v>邻传孤</v>
      </c>
    </row>
    <row r="130" spans="1:88">
      <c r="A130" s="32">
        <v>2024257</v>
      </c>
      <c r="B130" s="8" t="s">
        <v>140</v>
      </c>
      <c r="C130" s="49">
        <f t="shared" si="65"/>
        <v>19</v>
      </c>
      <c r="D130" s="50">
        <f t="shared" si="66"/>
        <v>9</v>
      </c>
      <c r="E130" s="51">
        <f t="shared" si="37"/>
        <v>6.3333333333333304</v>
      </c>
      <c r="F130" s="52">
        <f>MAX(MID(B130,{1,2,3},1)*1)-MIN(MID(B130,{1,2,3},1)*1)</f>
        <v>8</v>
      </c>
      <c r="G130" s="104">
        <v>0</v>
      </c>
      <c r="H130" s="104">
        <v>1</v>
      </c>
      <c r="I130" s="104">
        <v>2</v>
      </c>
      <c r="J130" s="104">
        <v>3</v>
      </c>
      <c r="K130" s="104">
        <v>4</v>
      </c>
      <c r="L130" s="104">
        <v>5</v>
      </c>
      <c r="M130" s="104">
        <v>6</v>
      </c>
      <c r="N130" s="104">
        <v>7</v>
      </c>
      <c r="O130" s="104">
        <v>8</v>
      </c>
      <c r="P130" s="104">
        <v>9</v>
      </c>
      <c r="Q130" s="53">
        <f t="shared" si="67"/>
        <v>8</v>
      </c>
      <c r="R130" s="53">
        <f t="shared" si="68"/>
        <v>8</v>
      </c>
      <c r="S130" s="53">
        <f t="shared" si="69"/>
        <v>0</v>
      </c>
      <c r="T130" s="101">
        <f t="shared" si="38"/>
        <v>16</v>
      </c>
      <c r="U130" s="15" t="str">
        <f>_xlfn.TEXTJOIN(", ",TRUE,ABS(MID(B130,{1,1,2},1)-MID(B130,{2,3,3},1)))</f>
        <v>8, 8, 0</v>
      </c>
      <c r="V130" s="54">
        <v>0</v>
      </c>
      <c r="W130" s="54">
        <v>1</v>
      </c>
      <c r="X130" s="54">
        <v>2</v>
      </c>
      <c r="Y130" s="54">
        <v>3</v>
      </c>
      <c r="Z130" s="54">
        <v>4</v>
      </c>
      <c r="AA130" s="54">
        <v>5</v>
      </c>
      <c r="AB130" s="54">
        <v>6</v>
      </c>
      <c r="AC130" s="54">
        <v>7</v>
      </c>
      <c r="AD130" s="54">
        <v>8</v>
      </c>
      <c r="AE130" s="54">
        <v>9</v>
      </c>
      <c r="AF130" s="55">
        <v>0</v>
      </c>
      <c r="AG130" s="55">
        <v>1</v>
      </c>
      <c r="AH130" s="55">
        <v>2</v>
      </c>
      <c r="AI130" s="55">
        <v>3</v>
      </c>
      <c r="AJ130" s="55">
        <v>4</v>
      </c>
      <c r="AK130" s="55">
        <v>5</v>
      </c>
      <c r="AL130" s="55">
        <v>6</v>
      </c>
      <c r="AM130" s="55">
        <v>7</v>
      </c>
      <c r="AN130" s="55">
        <v>8</v>
      </c>
      <c r="AO130" s="55">
        <v>9</v>
      </c>
      <c r="AP130" s="105">
        <v>0</v>
      </c>
      <c r="AQ130" s="105">
        <v>1</v>
      </c>
      <c r="AR130" s="105">
        <v>2</v>
      </c>
      <c r="AS130" s="105">
        <v>3</v>
      </c>
      <c r="AT130" s="105">
        <v>4</v>
      </c>
      <c r="AU130" s="105">
        <v>5</v>
      </c>
      <c r="AV130" s="105">
        <v>6</v>
      </c>
      <c r="AW130" s="105">
        <v>7</v>
      </c>
      <c r="AX130" s="105">
        <v>8</v>
      </c>
      <c r="AY130" s="105">
        <v>9</v>
      </c>
      <c r="AZ130" s="56">
        <v>0</v>
      </c>
      <c r="BA130" s="56">
        <v>1</v>
      </c>
      <c r="BB130" s="56">
        <v>2</v>
      </c>
      <c r="BC130" s="56">
        <v>3</v>
      </c>
      <c r="BD130" s="56">
        <v>4</v>
      </c>
      <c r="BE130" s="56">
        <v>5</v>
      </c>
      <c r="BF130" s="56">
        <v>6</v>
      </c>
      <c r="BG130" s="56">
        <v>7</v>
      </c>
      <c r="BH130" s="56">
        <v>8</v>
      </c>
      <c r="BI130" s="56">
        <v>9</v>
      </c>
      <c r="BJ130" s="57" t="str">
        <f t="shared" si="39"/>
        <v>松散型</v>
      </c>
      <c r="BK130" s="13">
        <f t="shared" si="35"/>
        <v>0</v>
      </c>
      <c r="BL130" s="13">
        <f t="shared" si="36"/>
        <v>8</v>
      </c>
      <c r="BM130" s="18" t="str">
        <f t="shared" si="41"/>
        <v/>
      </c>
      <c r="BN130" s="19" t="str">
        <f t="shared" si="42"/>
        <v/>
      </c>
      <c r="BO130" s="19" t="str">
        <f t="array" ref="BO130">_xlfn.TEXTJOIN("",TRUE,IF(ISERROR(FIND(ROW($1:$10)-1,BM130&amp;BN130)),ROW($1:$10)-1,""))</f>
        <v>0123456789</v>
      </c>
      <c r="BP130" s="20" t="str">
        <f t="shared" si="43"/>
        <v>中中中</v>
      </c>
      <c r="BQ130" s="21" t="str">
        <f t="shared" si="54"/>
        <v/>
      </c>
      <c r="BR130" s="21" t="str">
        <f t="shared" si="52"/>
        <v/>
      </c>
      <c r="BS130" s="21" t="str">
        <f t="array" ref="BS130">_xlfn.TEXTJOIN("",TRUE,IF(ISERROR(FIND(ROW($1:$10)-1,BQ130&amp;BR130)),ROW($1:$10)-1,""))</f>
        <v>0123456789</v>
      </c>
      <c r="BT130" s="20" t="str">
        <f t="shared" si="44"/>
        <v>中中中</v>
      </c>
      <c r="BU130" s="22" t="str">
        <f t="shared" si="45"/>
        <v/>
      </c>
      <c r="BV130" s="22" t="str">
        <f t="shared" si="53"/>
        <v/>
      </c>
      <c r="BW130" s="22" t="str">
        <f t="array" ref="BW130">_xlfn.TEXTJOIN("",TRUE,IF(ISERROR(FIND(ROW($1:$10)-1,BU130&amp;BV130)),ROW($1:$10)-1,""))</f>
        <v>0123456789</v>
      </c>
      <c r="BX130" s="20" t="str">
        <f t="shared" si="46"/>
        <v>中中中</v>
      </c>
      <c r="BY130" s="23" t="str">
        <f t="shared" si="40"/>
        <v>79</v>
      </c>
      <c r="BZ130" s="24" t="str">
        <f t="array" ref="BZ130">_xlfn.TEXTJOIN("",TRUE,IF(ISNUMBER(FIND(MID(BY129&amp;Q129,ROW($1:$4),1),BY130&amp;Q130)),MID(BY129&amp;Q129,ROW($1:$4),1),""))</f>
        <v/>
      </c>
      <c r="CA130" s="25" t="str">
        <f t="array" ref="CA130">_xlfn.TEXTJOIN("",TRUE,IF(ISERROR(FIND(ROW($1:$10)-1,BY130&amp;BZ130)),ROW($1:$10)-1,""))</f>
        <v>01234568</v>
      </c>
      <c r="CB130" s="26" t="str">
        <f t="shared" si="47"/>
        <v>邻孤孤</v>
      </c>
      <c r="CC130" s="27" t="str">
        <f t="shared" si="48"/>
        <v>79</v>
      </c>
      <c r="CD130" s="27" t="str">
        <f t="array" ref="CD130">_xlfn.TEXTJOIN("",TRUE,IF(ISNUMBER(FIND(MID(CC129&amp;R129,ROW($1:$4),1),CC130&amp;R130)),MID(CC129&amp;R129,ROW($1:$4),1),""))</f>
        <v/>
      </c>
      <c r="CE130" s="27" t="str">
        <f t="array" ref="CE130">_xlfn.TEXTJOIN("",TRUE,IF(ISERROR(FIND(ROW($1:$10)-1,CC130&amp;CD130)),ROW($1:$10)-1,""))</f>
        <v>01234568</v>
      </c>
      <c r="CF130" s="17" t="str">
        <f t="shared" si="49"/>
        <v>邻孤孤</v>
      </c>
      <c r="CG130" s="22" t="str">
        <f t="shared" si="50"/>
        <v>91</v>
      </c>
      <c r="CH130" s="22" t="str">
        <f t="array" ref="CH130">_xlfn.TEXTJOIN("",TRUE,IF(ISNUMBER(FIND(MID(CG129&amp;S129,ROW($1:$4),1),CG130&amp;S130)),MID(CG129&amp;S129,ROW($1:$4),1),""))</f>
        <v/>
      </c>
      <c r="CI130" s="22" t="str">
        <f t="array" ref="CI130">_xlfn.TEXTJOIN("",TRUE,IF(ISERROR(FIND(ROW($1:$10)-1,CG130&amp;CH130)),ROW($1:$10)-1,""))</f>
        <v>02345678</v>
      </c>
      <c r="CJ130" s="28" t="str">
        <f t="shared" si="51"/>
        <v>邻孤孤</v>
      </c>
    </row>
    <row r="131" spans="1:88">
      <c r="A131" s="32">
        <v>2024258</v>
      </c>
      <c r="B131" s="8" t="s">
        <v>141</v>
      </c>
      <c r="C131" s="49">
        <f t="shared" si="65"/>
        <v>14</v>
      </c>
      <c r="D131" s="50">
        <f t="shared" si="66"/>
        <v>4</v>
      </c>
      <c r="E131" s="51">
        <f t="shared" si="37"/>
        <v>4.6666666666666696</v>
      </c>
      <c r="F131" s="52">
        <f>MAX(MID(B131,{1,2,3},1)*1)-MIN(MID(B131,{1,2,3},1)*1)</f>
        <v>7</v>
      </c>
      <c r="G131" s="104">
        <v>0</v>
      </c>
      <c r="H131" s="104">
        <v>1</v>
      </c>
      <c r="I131" s="104">
        <v>2</v>
      </c>
      <c r="J131" s="104">
        <v>3</v>
      </c>
      <c r="K131" s="104">
        <v>4</v>
      </c>
      <c r="L131" s="104">
        <v>5</v>
      </c>
      <c r="M131" s="104">
        <v>6</v>
      </c>
      <c r="N131" s="104">
        <v>7</v>
      </c>
      <c r="O131" s="104">
        <v>8</v>
      </c>
      <c r="P131" s="104">
        <v>9</v>
      </c>
      <c r="Q131" s="53">
        <f t="shared" si="67"/>
        <v>7</v>
      </c>
      <c r="R131" s="53">
        <f t="shared" si="68"/>
        <v>7</v>
      </c>
      <c r="S131" s="53">
        <f t="shared" si="69"/>
        <v>0</v>
      </c>
      <c r="T131" s="101">
        <f t="shared" si="38"/>
        <v>14</v>
      </c>
      <c r="U131" s="15" t="str">
        <f>_xlfn.TEXTJOIN(", ",TRUE,ABS(MID(B131,{1,1,2},1)-MID(B131,{2,3,3},1)))</f>
        <v>7, 7, 0</v>
      </c>
      <c r="V131" s="54">
        <v>0</v>
      </c>
      <c r="W131" s="54">
        <v>1</v>
      </c>
      <c r="X131" s="54">
        <v>2</v>
      </c>
      <c r="Y131" s="54">
        <v>3</v>
      </c>
      <c r="Z131" s="54">
        <v>4</v>
      </c>
      <c r="AA131" s="54">
        <v>5</v>
      </c>
      <c r="AB131" s="54">
        <v>6</v>
      </c>
      <c r="AC131" s="54">
        <v>7</v>
      </c>
      <c r="AD131" s="54">
        <v>8</v>
      </c>
      <c r="AE131" s="54">
        <v>9</v>
      </c>
      <c r="AF131" s="55">
        <v>0</v>
      </c>
      <c r="AG131" s="55">
        <v>1</v>
      </c>
      <c r="AH131" s="55">
        <v>2</v>
      </c>
      <c r="AI131" s="55">
        <v>3</v>
      </c>
      <c r="AJ131" s="55">
        <v>4</v>
      </c>
      <c r="AK131" s="55">
        <v>5</v>
      </c>
      <c r="AL131" s="55">
        <v>6</v>
      </c>
      <c r="AM131" s="55">
        <v>7</v>
      </c>
      <c r="AN131" s="55">
        <v>8</v>
      </c>
      <c r="AO131" s="55">
        <v>9</v>
      </c>
      <c r="AP131" s="105">
        <v>0</v>
      </c>
      <c r="AQ131" s="105">
        <v>1</v>
      </c>
      <c r="AR131" s="105">
        <v>2</v>
      </c>
      <c r="AS131" s="105">
        <v>3</v>
      </c>
      <c r="AT131" s="105">
        <v>4</v>
      </c>
      <c r="AU131" s="105">
        <v>5</v>
      </c>
      <c r="AV131" s="105">
        <v>6</v>
      </c>
      <c r="AW131" s="105">
        <v>7</v>
      </c>
      <c r="AX131" s="105">
        <v>8</v>
      </c>
      <c r="AY131" s="105">
        <v>9</v>
      </c>
      <c r="AZ131" s="56">
        <v>0</v>
      </c>
      <c r="BA131" s="56">
        <v>1</v>
      </c>
      <c r="BB131" s="56">
        <v>2</v>
      </c>
      <c r="BC131" s="56">
        <v>3</v>
      </c>
      <c r="BD131" s="56">
        <v>4</v>
      </c>
      <c r="BE131" s="56">
        <v>5</v>
      </c>
      <c r="BF131" s="56">
        <v>6</v>
      </c>
      <c r="BG131" s="56">
        <v>7</v>
      </c>
      <c r="BH131" s="56">
        <v>8</v>
      </c>
      <c r="BI131" s="56">
        <v>9</v>
      </c>
      <c r="BJ131" s="57" t="str">
        <f t="shared" si="39"/>
        <v>松散型</v>
      </c>
      <c r="BK131" s="13">
        <f t="shared" ref="BK131:BK194" si="70">MIN(ABS(INT(B131/100)-INT(MOD(B131,100)/10)),ABS(INT(B131/100)-MOD(B131,10)),ABS(INT(MOD(B131,100)/10)-MOD(B131,10)))</f>
        <v>0</v>
      </c>
      <c r="BL131" s="13">
        <f t="shared" ref="BL131:BL194" si="71">MAX(ABS(INT(B131/100)-INT(MOD(B131,100)/10)),ABS(INT(B131/100)-MOD(B131,10)),ABS(INT(MOD(B131,100)/10)-MOD(B131,10)))</f>
        <v>7</v>
      </c>
      <c r="BM131" s="18" t="str">
        <f t="shared" si="41"/>
        <v/>
      </c>
      <c r="BN131" s="19" t="str">
        <f t="shared" si="42"/>
        <v/>
      </c>
      <c r="BO131" s="19" t="str">
        <f t="array" ref="BO131">_xlfn.TEXTJOIN("",TRUE,IF(ISERROR(FIND(ROW($1:$10)-1,BM131&amp;BN131)),ROW($1:$10)-1,""))</f>
        <v>0123456789</v>
      </c>
      <c r="BP131" s="20" t="str">
        <f t="shared" si="43"/>
        <v>中中中</v>
      </c>
      <c r="BQ131" s="21" t="str">
        <f t="shared" si="54"/>
        <v/>
      </c>
      <c r="BR131" s="21" t="str">
        <f t="shared" si="52"/>
        <v/>
      </c>
      <c r="BS131" s="21" t="str">
        <f t="array" ref="BS131">_xlfn.TEXTJOIN("",TRUE,IF(ISERROR(FIND(ROW($1:$10)-1,BQ131&amp;BR131)),ROW($1:$10)-1,""))</f>
        <v>0123456789</v>
      </c>
      <c r="BT131" s="20" t="str">
        <f t="shared" si="44"/>
        <v>中中中</v>
      </c>
      <c r="BU131" s="22">
        <f t="shared" si="45"/>
        <v>0</v>
      </c>
      <c r="BV131" s="22" t="str">
        <f t="shared" si="53"/>
        <v/>
      </c>
      <c r="BW131" s="22" t="str">
        <f t="array" ref="BW131">_xlfn.TEXTJOIN("",TRUE,IF(ISERROR(FIND(ROW($1:$10)-1,BU131&amp;BV131)),ROW($1:$10)-1,""))</f>
        <v>123456789</v>
      </c>
      <c r="BX131" s="20" t="str">
        <f t="shared" si="46"/>
        <v>复中中</v>
      </c>
      <c r="BY131" s="23" t="str">
        <f t="shared" si="40"/>
        <v>68</v>
      </c>
      <c r="BZ131" s="24" t="str">
        <f t="array" ref="BZ131">_xlfn.TEXTJOIN("",TRUE,IF(ISNUMBER(FIND(MID(BY130&amp;Q130,ROW($1:$4),1),BY131&amp;Q131)),MID(BY130&amp;Q130,ROW($1:$4),1),""))</f>
        <v>78</v>
      </c>
      <c r="CA131" s="25" t="str">
        <f t="array" ref="CA131">_xlfn.TEXTJOIN("",TRUE,IF(ISERROR(FIND(ROW($1:$10)-1,BY131&amp;BZ131)),ROW($1:$10)-1,""))</f>
        <v>0123459</v>
      </c>
      <c r="CB131" s="26" t="str">
        <f t="shared" si="47"/>
        <v>邻传孤</v>
      </c>
      <c r="CC131" s="27" t="str">
        <f t="shared" si="48"/>
        <v>68</v>
      </c>
      <c r="CD131" s="27" t="str">
        <f t="array" ref="CD131">_xlfn.TEXTJOIN("",TRUE,IF(ISNUMBER(FIND(MID(CC130&amp;R130,ROW($1:$4),1),CC131&amp;R131)),MID(CC130&amp;R130,ROW($1:$4),1),""))</f>
        <v>78</v>
      </c>
      <c r="CE131" s="27" t="str">
        <f t="array" ref="CE131">_xlfn.TEXTJOIN("",TRUE,IF(ISERROR(FIND(ROW($1:$10)-1,CC131&amp;CD131)),ROW($1:$10)-1,""))</f>
        <v>0123459</v>
      </c>
      <c r="CF131" s="17" t="str">
        <f t="shared" si="49"/>
        <v>邻传孤</v>
      </c>
      <c r="CG131" s="22" t="str">
        <f t="shared" si="50"/>
        <v>91</v>
      </c>
      <c r="CH131" s="22" t="str">
        <f t="array" ref="CH131">_xlfn.TEXTJOIN("",TRUE,IF(ISNUMBER(FIND(MID(CG130&amp;S130,ROW($1:$4),1),CG131&amp;S131)),MID(CG130&amp;S130,ROW($1:$4),1),""))</f>
        <v>910</v>
      </c>
      <c r="CI131" s="22" t="str">
        <f t="array" ref="CI131">_xlfn.TEXTJOIN("",TRUE,IF(ISERROR(FIND(ROW($1:$10)-1,CG131&amp;CH131)),ROW($1:$10)-1,""))</f>
        <v>2345678</v>
      </c>
      <c r="CJ131" s="28" t="str">
        <f t="shared" si="51"/>
        <v>邻传孤</v>
      </c>
    </row>
    <row r="132" spans="1:88">
      <c r="A132" s="32">
        <v>2024259</v>
      </c>
      <c r="B132" s="8" t="s">
        <v>142</v>
      </c>
      <c r="C132" s="49">
        <f t="shared" si="65"/>
        <v>15</v>
      </c>
      <c r="D132" s="50">
        <f t="shared" si="66"/>
        <v>5</v>
      </c>
      <c r="E132" s="51">
        <f t="shared" ref="E132:E195" si="72">C132/3</f>
        <v>5</v>
      </c>
      <c r="F132" s="52">
        <f>MAX(MID(B132,{1,2,3},1)*1)-MIN(MID(B132,{1,2,3},1)*1)</f>
        <v>7</v>
      </c>
      <c r="G132" s="104">
        <v>0</v>
      </c>
      <c r="H132" s="104">
        <v>1</v>
      </c>
      <c r="I132" s="104">
        <v>2</v>
      </c>
      <c r="J132" s="104">
        <v>3</v>
      </c>
      <c r="K132" s="104">
        <v>4</v>
      </c>
      <c r="L132" s="104">
        <v>5</v>
      </c>
      <c r="M132" s="104">
        <v>6</v>
      </c>
      <c r="N132" s="104">
        <v>7</v>
      </c>
      <c r="O132" s="104">
        <v>8</v>
      </c>
      <c r="P132" s="104">
        <v>9</v>
      </c>
      <c r="Q132" s="53">
        <f t="shared" si="67"/>
        <v>2</v>
      </c>
      <c r="R132" s="53">
        <f t="shared" si="68"/>
        <v>7</v>
      </c>
      <c r="S132" s="53">
        <f t="shared" si="69"/>
        <v>5</v>
      </c>
      <c r="T132" s="101">
        <f t="shared" ref="T132:T195" si="73">Q132+R132+S132</f>
        <v>14</v>
      </c>
      <c r="U132" s="15" t="str">
        <f>_xlfn.TEXTJOIN(", ",TRUE,ABS(MID(B132,{1,1,2},1)-MID(B132,{2,3,3},1)))</f>
        <v>2, 7, 5</v>
      </c>
      <c r="V132" s="54">
        <v>0</v>
      </c>
      <c r="W132" s="54">
        <v>1</v>
      </c>
      <c r="X132" s="54">
        <v>2</v>
      </c>
      <c r="Y132" s="54">
        <v>3</v>
      </c>
      <c r="Z132" s="54">
        <v>4</v>
      </c>
      <c r="AA132" s="54">
        <v>5</v>
      </c>
      <c r="AB132" s="54">
        <v>6</v>
      </c>
      <c r="AC132" s="54">
        <v>7</v>
      </c>
      <c r="AD132" s="54">
        <v>8</v>
      </c>
      <c r="AE132" s="54">
        <v>9</v>
      </c>
      <c r="AF132" s="55">
        <v>0</v>
      </c>
      <c r="AG132" s="55">
        <v>1</v>
      </c>
      <c r="AH132" s="55">
        <v>2</v>
      </c>
      <c r="AI132" s="55">
        <v>3</v>
      </c>
      <c r="AJ132" s="55">
        <v>4</v>
      </c>
      <c r="AK132" s="55">
        <v>5</v>
      </c>
      <c r="AL132" s="55">
        <v>6</v>
      </c>
      <c r="AM132" s="55">
        <v>7</v>
      </c>
      <c r="AN132" s="55">
        <v>8</v>
      </c>
      <c r="AO132" s="55">
        <v>9</v>
      </c>
      <c r="AP132" s="105">
        <v>0</v>
      </c>
      <c r="AQ132" s="105">
        <v>1</v>
      </c>
      <c r="AR132" s="105">
        <v>2</v>
      </c>
      <c r="AS132" s="105">
        <v>3</v>
      </c>
      <c r="AT132" s="105">
        <v>4</v>
      </c>
      <c r="AU132" s="105">
        <v>5</v>
      </c>
      <c r="AV132" s="105">
        <v>6</v>
      </c>
      <c r="AW132" s="105">
        <v>7</v>
      </c>
      <c r="AX132" s="105">
        <v>8</v>
      </c>
      <c r="AY132" s="105">
        <v>9</v>
      </c>
      <c r="AZ132" s="56">
        <v>0</v>
      </c>
      <c r="BA132" s="56">
        <v>1</v>
      </c>
      <c r="BB132" s="56">
        <v>2</v>
      </c>
      <c r="BC132" s="56">
        <v>3</v>
      </c>
      <c r="BD132" s="56">
        <v>4</v>
      </c>
      <c r="BE132" s="56">
        <v>5</v>
      </c>
      <c r="BF132" s="56">
        <v>6</v>
      </c>
      <c r="BG132" s="56">
        <v>7</v>
      </c>
      <c r="BH132" s="56">
        <v>8</v>
      </c>
      <c r="BI132" s="56">
        <v>9</v>
      </c>
      <c r="BJ132" s="57" t="str">
        <f t="shared" ref="BJ132:BJ195" si="74">IF(AND(BK132&lt;=1,BL132&lt;=4),"紧凑型",IF(OR(BK132&gt;=3,BL132&gt;=6),"松散型",IF(AND(BK132&gt;=1,BL132&lt;=5),"标准型","对子")))</f>
        <v>松散型</v>
      </c>
      <c r="BK132" s="13">
        <f t="shared" si="70"/>
        <v>2</v>
      </c>
      <c r="BL132" s="13">
        <f t="shared" si="71"/>
        <v>7</v>
      </c>
      <c r="BM132" s="18" t="str">
        <f t="shared" si="41"/>
        <v/>
      </c>
      <c r="BN132" s="19" t="str">
        <f t="shared" si="42"/>
        <v/>
      </c>
      <c r="BO132" s="19" t="str">
        <f t="array" ref="BO132">_xlfn.TEXTJOIN("",TRUE,IF(ISERROR(FIND(ROW($1:$10)-1,BM132&amp;BN132)),ROW($1:$10)-1,""))</f>
        <v>0123456789</v>
      </c>
      <c r="BP132" s="20" t="str">
        <f t="shared" si="43"/>
        <v>中中中</v>
      </c>
      <c r="BQ132" s="21">
        <f t="shared" si="54"/>
        <v>7</v>
      </c>
      <c r="BR132" s="21" t="str">
        <f t="shared" si="52"/>
        <v/>
      </c>
      <c r="BS132" s="21" t="str">
        <f t="array" ref="BS132">_xlfn.TEXTJOIN("",TRUE,IF(ISERROR(FIND(ROW($1:$10)-1,BQ132&amp;BR132)),ROW($1:$10)-1,""))</f>
        <v>012345689</v>
      </c>
      <c r="BT132" s="20" t="str">
        <f t="shared" si="44"/>
        <v>复中中</v>
      </c>
      <c r="BU132" s="22" t="str">
        <f t="shared" si="45"/>
        <v/>
      </c>
      <c r="BV132" s="22" t="str">
        <f t="shared" si="53"/>
        <v/>
      </c>
      <c r="BW132" s="22" t="str">
        <f t="array" ref="BW132">_xlfn.TEXTJOIN("",TRUE,IF(ISERROR(FIND(ROW($1:$10)-1,BU132&amp;BV132)),ROW($1:$10)-1,""))</f>
        <v>0123456789</v>
      </c>
      <c r="BX132" s="20" t="str">
        <f t="shared" si="46"/>
        <v>中中中</v>
      </c>
      <c r="BY132" s="23" t="str">
        <f t="shared" ref="BY132:BY195" si="75">IF(Q132=0,9,Q132-1)&amp;""&amp;IF(Q132=9,0,Q132+1)</f>
        <v>13</v>
      </c>
      <c r="BZ132" s="24" t="str">
        <f t="array" ref="BZ132">_xlfn.TEXTJOIN("",TRUE,IF(ISNUMBER(FIND(MID(BY131&amp;Q131,ROW($1:$4),1),BY132&amp;Q132)),MID(BY131&amp;Q131,ROW($1:$4),1),""))</f>
        <v/>
      </c>
      <c r="CA132" s="25" t="str">
        <f t="array" ref="CA132">_xlfn.TEXTJOIN("",TRUE,IF(ISERROR(FIND(ROW($1:$10)-1,BY132&amp;BZ132)),ROW($1:$10)-1,""))</f>
        <v>02456789</v>
      </c>
      <c r="CB132" s="26" t="str">
        <f t="shared" si="47"/>
        <v>邻孤孤</v>
      </c>
      <c r="CC132" s="27" t="str">
        <f t="shared" si="48"/>
        <v>68</v>
      </c>
      <c r="CD132" s="27" t="str">
        <f t="array" ref="CD132">_xlfn.TEXTJOIN("",TRUE,IF(ISNUMBER(FIND(MID(CC131&amp;R131,ROW($1:$4),1),CC132&amp;R132)),MID(CC131&amp;R131,ROW($1:$4),1),""))</f>
        <v>687</v>
      </c>
      <c r="CE132" s="27" t="str">
        <f t="array" ref="CE132">_xlfn.TEXTJOIN("",TRUE,IF(ISERROR(FIND(ROW($1:$10)-1,CC132&amp;CD132)),ROW($1:$10)-1,""))</f>
        <v>0123459</v>
      </c>
      <c r="CF132" s="17" t="str">
        <f t="shared" si="49"/>
        <v>邻传孤</v>
      </c>
      <c r="CG132" s="22" t="str">
        <f t="shared" si="50"/>
        <v>46</v>
      </c>
      <c r="CH132" s="22" t="str">
        <f t="array" ref="CH132">_xlfn.TEXTJOIN("",TRUE,IF(ISNUMBER(FIND(MID(CG131&amp;S131,ROW($1:$4),1),CG132&amp;S132)),MID(CG131&amp;S131,ROW($1:$4),1),""))</f>
        <v/>
      </c>
      <c r="CI132" s="22" t="str">
        <f t="array" ref="CI132">_xlfn.TEXTJOIN("",TRUE,IF(ISERROR(FIND(ROW($1:$10)-1,CG132&amp;CH132)),ROW($1:$10)-1,""))</f>
        <v>01235789</v>
      </c>
      <c r="CJ132" s="28" t="str">
        <f t="shared" si="51"/>
        <v>邻孤孤</v>
      </c>
    </row>
    <row r="133" spans="1:88">
      <c r="A133" s="32">
        <v>2024260</v>
      </c>
      <c r="B133" s="8" t="s">
        <v>143</v>
      </c>
      <c r="C133" s="49">
        <f t="shared" si="65"/>
        <v>17</v>
      </c>
      <c r="D133" s="50">
        <f t="shared" si="66"/>
        <v>7</v>
      </c>
      <c r="E133" s="51">
        <f t="shared" si="72"/>
        <v>5.6666666666666696</v>
      </c>
      <c r="F133" s="52">
        <f>MAX(MID(B133,{1,2,3},1)*1)-MIN(MID(B133,{1,2,3},1)*1)</f>
        <v>7</v>
      </c>
      <c r="G133" s="104">
        <v>0</v>
      </c>
      <c r="H133" s="104">
        <v>1</v>
      </c>
      <c r="I133" s="104">
        <v>2</v>
      </c>
      <c r="J133" s="104">
        <v>3</v>
      </c>
      <c r="K133" s="104">
        <v>4</v>
      </c>
      <c r="L133" s="104">
        <v>5</v>
      </c>
      <c r="M133" s="104">
        <v>6</v>
      </c>
      <c r="N133" s="104">
        <v>7</v>
      </c>
      <c r="O133" s="104">
        <v>8</v>
      </c>
      <c r="P133" s="104">
        <v>9</v>
      </c>
      <c r="Q133" s="53">
        <f t="shared" si="67"/>
        <v>7</v>
      </c>
      <c r="R133" s="53">
        <f t="shared" si="68"/>
        <v>3</v>
      </c>
      <c r="S133" s="53">
        <f t="shared" si="69"/>
        <v>4</v>
      </c>
      <c r="T133" s="101">
        <f t="shared" si="73"/>
        <v>14</v>
      </c>
      <c r="U133" s="15" t="str">
        <f>_xlfn.TEXTJOIN(", ",TRUE,ABS(MID(B133,{1,1,2},1)-MID(B133,{2,3,3},1)))</f>
        <v>7, 3, 4</v>
      </c>
      <c r="V133" s="54">
        <v>0</v>
      </c>
      <c r="W133" s="54">
        <v>1</v>
      </c>
      <c r="X133" s="54">
        <v>2</v>
      </c>
      <c r="Y133" s="54">
        <v>3</v>
      </c>
      <c r="Z133" s="54">
        <v>4</v>
      </c>
      <c r="AA133" s="54">
        <v>5</v>
      </c>
      <c r="AB133" s="54">
        <v>6</v>
      </c>
      <c r="AC133" s="54">
        <v>7</v>
      </c>
      <c r="AD133" s="54">
        <v>8</v>
      </c>
      <c r="AE133" s="54">
        <v>9</v>
      </c>
      <c r="AF133" s="55">
        <v>0</v>
      </c>
      <c r="AG133" s="55">
        <v>1</v>
      </c>
      <c r="AH133" s="55">
        <v>2</v>
      </c>
      <c r="AI133" s="55">
        <v>3</v>
      </c>
      <c r="AJ133" s="55">
        <v>4</v>
      </c>
      <c r="AK133" s="55">
        <v>5</v>
      </c>
      <c r="AL133" s="55">
        <v>6</v>
      </c>
      <c r="AM133" s="55">
        <v>7</v>
      </c>
      <c r="AN133" s="55">
        <v>8</v>
      </c>
      <c r="AO133" s="55">
        <v>9</v>
      </c>
      <c r="AP133" s="105">
        <v>0</v>
      </c>
      <c r="AQ133" s="105">
        <v>1</v>
      </c>
      <c r="AR133" s="105">
        <v>2</v>
      </c>
      <c r="AS133" s="105">
        <v>3</v>
      </c>
      <c r="AT133" s="105">
        <v>4</v>
      </c>
      <c r="AU133" s="105">
        <v>5</v>
      </c>
      <c r="AV133" s="105">
        <v>6</v>
      </c>
      <c r="AW133" s="105">
        <v>7</v>
      </c>
      <c r="AX133" s="105">
        <v>8</v>
      </c>
      <c r="AY133" s="105">
        <v>9</v>
      </c>
      <c r="AZ133" s="56">
        <v>0</v>
      </c>
      <c r="BA133" s="56">
        <v>1</v>
      </c>
      <c r="BB133" s="56">
        <v>2</v>
      </c>
      <c r="BC133" s="56">
        <v>3</v>
      </c>
      <c r="BD133" s="56">
        <v>4</v>
      </c>
      <c r="BE133" s="56">
        <v>5</v>
      </c>
      <c r="BF133" s="56">
        <v>6</v>
      </c>
      <c r="BG133" s="56">
        <v>7</v>
      </c>
      <c r="BH133" s="56">
        <v>8</v>
      </c>
      <c r="BI133" s="56">
        <v>9</v>
      </c>
      <c r="BJ133" s="57" t="str">
        <f t="shared" si="74"/>
        <v>松散型</v>
      </c>
      <c r="BK133" s="13">
        <f t="shared" si="70"/>
        <v>3</v>
      </c>
      <c r="BL133" s="13">
        <f t="shared" si="71"/>
        <v>7</v>
      </c>
      <c r="BM133" s="18">
        <f t="shared" ref="BM133:BM196" si="76">IF(COUNTIF($Q132:$S132,Q133)&gt;0,Q133,"")</f>
        <v>7</v>
      </c>
      <c r="BN133" s="19">
        <f t="shared" ref="BN133:BN196" si="77">IF(COUNTIF($Q131:$S131,Q133)&gt;0,Q133,"")</f>
        <v>7</v>
      </c>
      <c r="BO133" s="19" t="str">
        <f t="array" ref="BO133">_xlfn.TEXTJOIN("",TRUE,IF(ISERROR(FIND(ROW($1:$10)-1,BM133&amp;BN133)),ROW($1:$10)-1,""))</f>
        <v>012345689</v>
      </c>
      <c r="BP133" s="20" t="str">
        <f t="shared" ref="BP133:BP196" si="78">IF(BM133&lt;&gt;"","复","中")&amp;IF(BN133&lt;&gt;"","隔","中")&amp;"中"</f>
        <v>复隔中</v>
      </c>
      <c r="BQ133" s="21" t="str">
        <f t="shared" si="54"/>
        <v/>
      </c>
      <c r="BR133" s="21" t="str">
        <f t="shared" si="52"/>
        <v/>
      </c>
      <c r="BS133" s="21" t="str">
        <f t="array" ref="BS133">_xlfn.TEXTJOIN("",TRUE,IF(ISERROR(FIND(ROW($1:$10)-1,BQ133&amp;BR133)),ROW($1:$10)-1,""))</f>
        <v>0123456789</v>
      </c>
      <c r="BT133" s="20" t="str">
        <f t="shared" ref="BT133:BT196" si="79">IF(BQ133&lt;&gt;"","复","中")&amp;IF(BR133&lt;&gt;"","隔","中")&amp;"中"</f>
        <v>中中中</v>
      </c>
      <c r="BU133" s="22" t="str">
        <f t="shared" ref="BU133:BU196" si="80">IF(COUNTIF($Q132:$S132,S133)&gt;0,S133,"")</f>
        <v/>
      </c>
      <c r="BV133" s="22" t="str">
        <f t="shared" si="53"/>
        <v/>
      </c>
      <c r="BW133" s="22" t="str">
        <f t="array" ref="BW133">_xlfn.TEXTJOIN("",TRUE,IF(ISERROR(FIND(ROW($1:$10)-1,BU133&amp;BV133)),ROW($1:$10)-1,""))</f>
        <v>0123456789</v>
      </c>
      <c r="BX133" s="20" t="str">
        <f t="shared" ref="BX133:BX196" si="81">IF(BU133&lt;&gt;"","复","中")&amp;IF(BV133&lt;&gt;"","隔","中")&amp;"中"</f>
        <v>中中中</v>
      </c>
      <c r="BY133" s="23" t="str">
        <f t="shared" si="75"/>
        <v>68</v>
      </c>
      <c r="BZ133" s="24" t="str">
        <f t="array" ref="BZ133">_xlfn.TEXTJOIN("",TRUE,IF(ISNUMBER(FIND(MID(BY132&amp;Q132,ROW($1:$4),1),BY133&amp;Q133)),MID(BY132&amp;Q132,ROW($1:$4),1),""))</f>
        <v/>
      </c>
      <c r="CA133" s="25" t="str">
        <f t="array" ref="CA133">_xlfn.TEXTJOIN("",TRUE,IF(ISERROR(FIND(ROW($1:$10)-1,BY133&amp;BZ133)),ROW($1:$10)-1,""))</f>
        <v>01234579</v>
      </c>
      <c r="CB133" s="26" t="str">
        <f t="shared" ref="CB133:CB196" si="82">IF(BY133&lt;&gt;"","邻","孤")&amp;IF(BZ133&lt;&gt;"","传","孤")&amp;"孤"</f>
        <v>邻孤孤</v>
      </c>
      <c r="CC133" s="27" t="str">
        <f t="shared" ref="CC133:CC196" si="83">IF(R133=0,9,R133-1)&amp;""&amp;IF(R133=9,0,R133+1)</f>
        <v>24</v>
      </c>
      <c r="CD133" s="27" t="str">
        <f t="array" ref="CD133">_xlfn.TEXTJOIN("",TRUE,IF(ISNUMBER(FIND(MID(CC132&amp;R132,ROW($1:$4),1),CC133&amp;R133)),MID(CC132&amp;R132,ROW($1:$4),1),""))</f>
        <v/>
      </c>
      <c r="CE133" s="27" t="str">
        <f t="array" ref="CE133">_xlfn.TEXTJOIN("",TRUE,IF(ISERROR(FIND(ROW($1:$10)-1,CC133&amp;CD133)),ROW($1:$10)-1,""))</f>
        <v>01356789</v>
      </c>
      <c r="CF133" s="17" t="str">
        <f t="shared" ref="CF133:CF196" si="84">IF(CC133&lt;&gt;"","邻","孤")&amp;IF(CD133&lt;&gt;"","传","孤")&amp;"孤"</f>
        <v>邻孤孤</v>
      </c>
      <c r="CG133" s="22" t="str">
        <f t="shared" ref="CG133:CG196" si="85">IF(S133=0,9,S133-1)&amp;""&amp;IF(S133=9,0,S133+1)</f>
        <v>35</v>
      </c>
      <c r="CH133" s="22" t="str">
        <f t="array" ref="CH133">_xlfn.TEXTJOIN("",TRUE,IF(ISNUMBER(FIND(MID(CG132&amp;S132,ROW($1:$4),1),CG133&amp;S133)),MID(CG132&amp;S132,ROW($1:$4),1),""))</f>
        <v>45</v>
      </c>
      <c r="CI133" s="22" t="str">
        <f t="array" ref="CI133">_xlfn.TEXTJOIN("",TRUE,IF(ISERROR(FIND(ROW($1:$10)-1,CG133&amp;CH133)),ROW($1:$10)-1,""))</f>
        <v>0126789</v>
      </c>
      <c r="CJ133" s="28" t="str">
        <f t="shared" ref="CJ133:CJ196" si="86">IF(CG133&lt;&gt;"","邻","孤")&amp;IF(CH133&lt;&gt;"","传","孤")&amp;"孤"</f>
        <v>邻传孤</v>
      </c>
    </row>
    <row r="134" spans="1:88">
      <c r="A134" s="32">
        <v>2024261</v>
      </c>
      <c r="B134" s="8" t="s">
        <v>144</v>
      </c>
      <c r="C134" s="49">
        <f t="shared" si="65"/>
        <v>19</v>
      </c>
      <c r="D134" s="50">
        <f t="shared" si="66"/>
        <v>9</v>
      </c>
      <c r="E134" s="51">
        <f t="shared" si="72"/>
        <v>6.3333333333333304</v>
      </c>
      <c r="F134" s="52">
        <f>MAX(MID(B134,{1,2,3},1)*1)-MIN(MID(B134,{1,2,3},1)*1)</f>
        <v>1</v>
      </c>
      <c r="G134" s="104">
        <v>0</v>
      </c>
      <c r="H134" s="104">
        <v>1</v>
      </c>
      <c r="I134" s="104">
        <v>2</v>
      </c>
      <c r="J134" s="104">
        <v>3</v>
      </c>
      <c r="K134" s="104">
        <v>4</v>
      </c>
      <c r="L134" s="104">
        <v>5</v>
      </c>
      <c r="M134" s="104">
        <v>6</v>
      </c>
      <c r="N134" s="104">
        <v>7</v>
      </c>
      <c r="O134" s="104">
        <v>8</v>
      </c>
      <c r="P134" s="104">
        <v>9</v>
      </c>
      <c r="Q134" s="53">
        <f t="shared" si="67"/>
        <v>1</v>
      </c>
      <c r="R134" s="53">
        <f t="shared" si="68"/>
        <v>1</v>
      </c>
      <c r="S134" s="53">
        <f t="shared" si="69"/>
        <v>0</v>
      </c>
      <c r="T134" s="101">
        <f t="shared" si="73"/>
        <v>2</v>
      </c>
      <c r="U134" s="15" t="str">
        <f>_xlfn.TEXTJOIN(", ",TRUE,ABS(MID(B134,{1,1,2},1)-MID(B134,{2,3,3},1)))</f>
        <v>1, 1, 0</v>
      </c>
      <c r="V134" s="54">
        <v>0</v>
      </c>
      <c r="W134" s="54">
        <v>1</v>
      </c>
      <c r="X134" s="54">
        <v>2</v>
      </c>
      <c r="Y134" s="54">
        <v>3</v>
      </c>
      <c r="Z134" s="54">
        <v>4</v>
      </c>
      <c r="AA134" s="54">
        <v>5</v>
      </c>
      <c r="AB134" s="54">
        <v>6</v>
      </c>
      <c r="AC134" s="54">
        <v>7</v>
      </c>
      <c r="AD134" s="54">
        <v>8</v>
      </c>
      <c r="AE134" s="54">
        <v>9</v>
      </c>
      <c r="AF134" s="55">
        <v>0</v>
      </c>
      <c r="AG134" s="55">
        <v>1</v>
      </c>
      <c r="AH134" s="55">
        <v>2</v>
      </c>
      <c r="AI134" s="55">
        <v>3</v>
      </c>
      <c r="AJ134" s="55">
        <v>4</v>
      </c>
      <c r="AK134" s="55">
        <v>5</v>
      </c>
      <c r="AL134" s="55">
        <v>6</v>
      </c>
      <c r="AM134" s="55">
        <v>7</v>
      </c>
      <c r="AN134" s="55">
        <v>8</v>
      </c>
      <c r="AO134" s="55">
        <v>9</v>
      </c>
      <c r="AP134" s="105">
        <v>0</v>
      </c>
      <c r="AQ134" s="105">
        <v>1</v>
      </c>
      <c r="AR134" s="105">
        <v>2</v>
      </c>
      <c r="AS134" s="105">
        <v>3</v>
      </c>
      <c r="AT134" s="105">
        <v>4</v>
      </c>
      <c r="AU134" s="105">
        <v>5</v>
      </c>
      <c r="AV134" s="105">
        <v>6</v>
      </c>
      <c r="AW134" s="105">
        <v>7</v>
      </c>
      <c r="AX134" s="105">
        <v>8</v>
      </c>
      <c r="AY134" s="105">
        <v>9</v>
      </c>
      <c r="AZ134" s="56">
        <v>0</v>
      </c>
      <c r="BA134" s="56">
        <v>1</v>
      </c>
      <c r="BB134" s="56">
        <v>2</v>
      </c>
      <c r="BC134" s="56">
        <v>3</v>
      </c>
      <c r="BD134" s="56">
        <v>4</v>
      </c>
      <c r="BE134" s="56">
        <v>5</v>
      </c>
      <c r="BF134" s="56">
        <v>6</v>
      </c>
      <c r="BG134" s="56">
        <v>7</v>
      </c>
      <c r="BH134" s="56">
        <v>8</v>
      </c>
      <c r="BI134" s="56">
        <v>9</v>
      </c>
      <c r="BJ134" s="57" t="str">
        <f t="shared" si="74"/>
        <v>紧凑型</v>
      </c>
      <c r="BK134" s="13">
        <f t="shared" si="70"/>
        <v>0</v>
      </c>
      <c r="BL134" s="13">
        <f t="shared" si="71"/>
        <v>1</v>
      </c>
      <c r="BM134" s="18" t="str">
        <f t="shared" si="76"/>
        <v/>
      </c>
      <c r="BN134" s="19" t="str">
        <f t="shared" si="77"/>
        <v/>
      </c>
      <c r="BO134" s="19" t="str">
        <f t="array" ref="BO134">_xlfn.TEXTJOIN("",TRUE,IF(ISERROR(FIND(ROW($1:$10)-1,BM134&amp;BN134)),ROW($1:$10)-1,""))</f>
        <v>0123456789</v>
      </c>
      <c r="BP134" s="20" t="str">
        <f t="shared" si="78"/>
        <v>中中中</v>
      </c>
      <c r="BQ134" s="21" t="str">
        <f t="shared" si="54"/>
        <v/>
      </c>
      <c r="BR134" s="21" t="str">
        <f t="shared" ref="BR134:BR197" si="87">IF(COUNTIF($Q132:$S132,R134)&gt;0,R134,"")</f>
        <v/>
      </c>
      <c r="BS134" s="21" t="str">
        <f t="array" ref="BS134">_xlfn.TEXTJOIN("",TRUE,IF(ISERROR(FIND(ROW($1:$10)-1,BQ134&amp;BR134)),ROW($1:$10)-1,""))</f>
        <v>0123456789</v>
      </c>
      <c r="BT134" s="20" t="str">
        <f t="shared" si="79"/>
        <v>中中中</v>
      </c>
      <c r="BU134" s="22" t="str">
        <f t="shared" si="80"/>
        <v/>
      </c>
      <c r="BV134" s="22" t="str">
        <f t="shared" ref="BV134:BV197" si="88">IF(COUNTIF($Q132:$S132,S134)&gt;0,S134,"")</f>
        <v/>
      </c>
      <c r="BW134" s="22" t="str">
        <f t="array" ref="BW134">_xlfn.TEXTJOIN("",TRUE,IF(ISERROR(FIND(ROW($1:$10)-1,BU134&amp;BV134)),ROW($1:$10)-1,""))</f>
        <v>0123456789</v>
      </c>
      <c r="BX134" s="20" t="str">
        <f t="shared" si="81"/>
        <v>中中中</v>
      </c>
      <c r="BY134" s="23" t="str">
        <f t="shared" si="75"/>
        <v>02</v>
      </c>
      <c r="BZ134" s="24" t="str">
        <f t="array" ref="BZ134">_xlfn.TEXTJOIN("",TRUE,IF(ISNUMBER(FIND(MID(BY133&amp;Q133,ROW($1:$4),1),BY134&amp;Q134)),MID(BY133&amp;Q133,ROW($1:$4),1),""))</f>
        <v/>
      </c>
      <c r="CA134" s="25" t="str">
        <f t="array" ref="CA134">_xlfn.TEXTJOIN("",TRUE,IF(ISERROR(FIND(ROW($1:$10)-1,BY134&amp;BZ134)),ROW($1:$10)-1,""))</f>
        <v>13456789</v>
      </c>
      <c r="CB134" s="26" t="str">
        <f t="shared" si="82"/>
        <v>邻孤孤</v>
      </c>
      <c r="CC134" s="27" t="str">
        <f t="shared" si="83"/>
        <v>02</v>
      </c>
      <c r="CD134" s="27" t="str">
        <f t="array" ref="CD134">_xlfn.TEXTJOIN("",TRUE,IF(ISNUMBER(FIND(MID(CC133&amp;R133,ROW($1:$4),1),CC134&amp;R134)),MID(CC133&amp;R133,ROW($1:$4),1),""))</f>
        <v>2</v>
      </c>
      <c r="CE134" s="27" t="str">
        <f t="array" ref="CE134">_xlfn.TEXTJOIN("",TRUE,IF(ISERROR(FIND(ROW($1:$10)-1,CC134&amp;CD134)),ROW($1:$10)-1,""))</f>
        <v>13456789</v>
      </c>
      <c r="CF134" s="17" t="str">
        <f t="shared" si="84"/>
        <v>邻传孤</v>
      </c>
      <c r="CG134" s="22" t="str">
        <f t="shared" si="85"/>
        <v>91</v>
      </c>
      <c r="CH134" s="22" t="str">
        <f t="array" ref="CH134">_xlfn.TEXTJOIN("",TRUE,IF(ISNUMBER(FIND(MID(CG133&amp;S133,ROW($1:$4),1),CG134&amp;S134)),MID(CG133&amp;S133,ROW($1:$4),1),""))</f>
        <v/>
      </c>
      <c r="CI134" s="22" t="str">
        <f t="array" ref="CI134">_xlfn.TEXTJOIN("",TRUE,IF(ISERROR(FIND(ROW($1:$10)-1,CG134&amp;CH134)),ROW($1:$10)-1,""))</f>
        <v>02345678</v>
      </c>
      <c r="CJ134" s="28" t="str">
        <f t="shared" si="86"/>
        <v>邻孤孤</v>
      </c>
    </row>
    <row r="135" spans="1:88">
      <c r="A135" s="32">
        <v>2024262</v>
      </c>
      <c r="B135" s="8" t="s">
        <v>145</v>
      </c>
      <c r="C135" s="49">
        <f t="shared" si="65"/>
        <v>15</v>
      </c>
      <c r="D135" s="50">
        <f t="shared" si="66"/>
        <v>5</v>
      </c>
      <c r="E135" s="51">
        <f t="shared" si="72"/>
        <v>5</v>
      </c>
      <c r="F135" s="52">
        <f>MAX(MID(B135,{1,2,3},1)*1)-MIN(MID(B135,{1,2,3},1)*1)</f>
        <v>2</v>
      </c>
      <c r="G135" s="104">
        <v>0</v>
      </c>
      <c r="H135" s="104">
        <v>1</v>
      </c>
      <c r="I135" s="104">
        <v>2</v>
      </c>
      <c r="J135" s="104">
        <v>3</v>
      </c>
      <c r="K135" s="104">
        <v>4</v>
      </c>
      <c r="L135" s="104">
        <v>5</v>
      </c>
      <c r="M135" s="104">
        <v>6</v>
      </c>
      <c r="N135" s="104">
        <v>7</v>
      </c>
      <c r="O135" s="104">
        <v>8</v>
      </c>
      <c r="P135" s="104">
        <v>9</v>
      </c>
      <c r="Q135" s="53">
        <f t="shared" si="67"/>
        <v>2</v>
      </c>
      <c r="R135" s="53">
        <f t="shared" si="68"/>
        <v>1</v>
      </c>
      <c r="S135" s="53">
        <f t="shared" si="69"/>
        <v>1</v>
      </c>
      <c r="T135" s="101">
        <f t="shared" si="73"/>
        <v>4</v>
      </c>
      <c r="U135" s="15" t="str">
        <f>_xlfn.TEXTJOIN(", ",TRUE,ABS(MID(B135,{1,1,2},1)-MID(B135,{2,3,3},1)))</f>
        <v>2, 1, 1</v>
      </c>
      <c r="V135" s="54">
        <v>0</v>
      </c>
      <c r="W135" s="54">
        <v>1</v>
      </c>
      <c r="X135" s="54">
        <v>2</v>
      </c>
      <c r="Y135" s="54">
        <v>3</v>
      </c>
      <c r="Z135" s="54">
        <v>4</v>
      </c>
      <c r="AA135" s="54">
        <v>5</v>
      </c>
      <c r="AB135" s="54">
        <v>6</v>
      </c>
      <c r="AC135" s="54">
        <v>7</v>
      </c>
      <c r="AD135" s="54">
        <v>8</v>
      </c>
      <c r="AE135" s="54">
        <v>9</v>
      </c>
      <c r="AF135" s="55">
        <v>0</v>
      </c>
      <c r="AG135" s="55">
        <v>1</v>
      </c>
      <c r="AH135" s="55">
        <v>2</v>
      </c>
      <c r="AI135" s="55">
        <v>3</v>
      </c>
      <c r="AJ135" s="55">
        <v>4</v>
      </c>
      <c r="AK135" s="55">
        <v>5</v>
      </c>
      <c r="AL135" s="55">
        <v>6</v>
      </c>
      <c r="AM135" s="55">
        <v>7</v>
      </c>
      <c r="AN135" s="55">
        <v>8</v>
      </c>
      <c r="AO135" s="55">
        <v>9</v>
      </c>
      <c r="AP135" s="105">
        <v>0</v>
      </c>
      <c r="AQ135" s="105">
        <v>1</v>
      </c>
      <c r="AR135" s="105">
        <v>2</v>
      </c>
      <c r="AS135" s="105">
        <v>3</v>
      </c>
      <c r="AT135" s="105">
        <v>4</v>
      </c>
      <c r="AU135" s="105">
        <v>5</v>
      </c>
      <c r="AV135" s="105">
        <v>6</v>
      </c>
      <c r="AW135" s="105">
        <v>7</v>
      </c>
      <c r="AX135" s="105">
        <v>8</v>
      </c>
      <c r="AY135" s="105">
        <v>9</v>
      </c>
      <c r="AZ135" s="56">
        <v>0</v>
      </c>
      <c r="BA135" s="56">
        <v>1</v>
      </c>
      <c r="BB135" s="56">
        <v>2</v>
      </c>
      <c r="BC135" s="56">
        <v>3</v>
      </c>
      <c r="BD135" s="56">
        <v>4</v>
      </c>
      <c r="BE135" s="56">
        <v>5</v>
      </c>
      <c r="BF135" s="56">
        <v>6</v>
      </c>
      <c r="BG135" s="56">
        <v>7</v>
      </c>
      <c r="BH135" s="56">
        <v>8</v>
      </c>
      <c r="BI135" s="56">
        <v>9</v>
      </c>
      <c r="BJ135" s="57" t="str">
        <f t="shared" si="74"/>
        <v>紧凑型</v>
      </c>
      <c r="BK135" s="13">
        <f t="shared" si="70"/>
        <v>1</v>
      </c>
      <c r="BL135" s="13">
        <f t="shared" si="71"/>
        <v>2</v>
      </c>
      <c r="BM135" s="18" t="str">
        <f t="shared" si="76"/>
        <v/>
      </c>
      <c r="BN135" s="19" t="str">
        <f t="shared" si="77"/>
        <v/>
      </c>
      <c r="BO135" s="19" t="str">
        <f t="array" ref="BO135">_xlfn.TEXTJOIN("",TRUE,IF(ISERROR(FIND(ROW($1:$10)-1,BM135&amp;BN135)),ROW($1:$10)-1,""))</f>
        <v>0123456789</v>
      </c>
      <c r="BP135" s="20" t="str">
        <f t="shared" si="78"/>
        <v>中中中</v>
      </c>
      <c r="BQ135" s="21">
        <f t="shared" si="54"/>
        <v>1</v>
      </c>
      <c r="BR135" s="21" t="str">
        <f t="shared" si="87"/>
        <v/>
      </c>
      <c r="BS135" s="21" t="str">
        <f t="array" ref="BS135">_xlfn.TEXTJOIN("",TRUE,IF(ISERROR(FIND(ROW($1:$10)-1,BQ135&amp;BR135)),ROW($1:$10)-1,""))</f>
        <v>023456789</v>
      </c>
      <c r="BT135" s="20" t="str">
        <f t="shared" si="79"/>
        <v>复中中</v>
      </c>
      <c r="BU135" s="22">
        <f t="shared" si="80"/>
        <v>1</v>
      </c>
      <c r="BV135" s="22" t="str">
        <f t="shared" si="88"/>
        <v/>
      </c>
      <c r="BW135" s="22" t="str">
        <f t="array" ref="BW135">_xlfn.TEXTJOIN("",TRUE,IF(ISERROR(FIND(ROW($1:$10)-1,BU135&amp;BV135)),ROW($1:$10)-1,""))</f>
        <v>023456789</v>
      </c>
      <c r="BX135" s="20" t="str">
        <f t="shared" si="81"/>
        <v>复中中</v>
      </c>
      <c r="BY135" s="23" t="str">
        <f t="shared" si="75"/>
        <v>13</v>
      </c>
      <c r="BZ135" s="24" t="str">
        <f t="array" ref="BZ135">_xlfn.TEXTJOIN("",TRUE,IF(ISNUMBER(FIND(MID(BY134&amp;Q134,ROW($1:$4),1),BY135&amp;Q135)),MID(BY134&amp;Q134,ROW($1:$4),1),""))</f>
        <v>21</v>
      </c>
      <c r="CA135" s="25" t="str">
        <f t="array" ref="CA135">_xlfn.TEXTJOIN("",TRUE,IF(ISERROR(FIND(ROW($1:$10)-1,BY135&amp;BZ135)),ROW($1:$10)-1,""))</f>
        <v>0456789</v>
      </c>
      <c r="CB135" s="26" t="str">
        <f t="shared" si="82"/>
        <v>邻传孤</v>
      </c>
      <c r="CC135" s="27" t="str">
        <f t="shared" si="83"/>
        <v>02</v>
      </c>
      <c r="CD135" s="27" t="str">
        <f t="array" ref="CD135">_xlfn.TEXTJOIN("",TRUE,IF(ISNUMBER(FIND(MID(CC134&amp;R134,ROW($1:$4),1),CC135&amp;R135)),MID(CC134&amp;R134,ROW($1:$4),1),""))</f>
        <v>021</v>
      </c>
      <c r="CE135" s="27" t="str">
        <f t="array" ref="CE135">_xlfn.TEXTJOIN("",TRUE,IF(ISERROR(FIND(ROW($1:$10)-1,CC135&amp;CD135)),ROW($1:$10)-1,""))</f>
        <v>3456789</v>
      </c>
      <c r="CF135" s="17" t="str">
        <f t="shared" si="84"/>
        <v>邻传孤</v>
      </c>
      <c r="CG135" s="22" t="str">
        <f t="shared" si="85"/>
        <v>02</v>
      </c>
      <c r="CH135" s="22" t="str">
        <f t="array" ref="CH135">_xlfn.TEXTJOIN("",TRUE,IF(ISNUMBER(FIND(MID(CG134&amp;S134,ROW($1:$4),1),CG135&amp;S135)),MID(CG134&amp;S134,ROW($1:$4),1),""))</f>
        <v>10</v>
      </c>
      <c r="CI135" s="22" t="str">
        <f t="array" ref="CI135">_xlfn.TEXTJOIN("",TRUE,IF(ISERROR(FIND(ROW($1:$10)-1,CG135&amp;CH135)),ROW($1:$10)-1,""))</f>
        <v>3456789</v>
      </c>
      <c r="CJ135" s="28" t="str">
        <f t="shared" si="86"/>
        <v>邻传孤</v>
      </c>
    </row>
    <row r="136" spans="1:88">
      <c r="A136" s="32">
        <v>2024263</v>
      </c>
      <c r="B136" s="8" t="s">
        <v>146</v>
      </c>
      <c r="C136" s="49">
        <f t="shared" si="65"/>
        <v>13</v>
      </c>
      <c r="D136" s="50">
        <f t="shared" si="66"/>
        <v>3</v>
      </c>
      <c r="E136" s="51">
        <f t="shared" si="72"/>
        <v>4.3333333333333304</v>
      </c>
      <c r="F136" s="52">
        <f>MAX(MID(B136,{1,2,3},1)*1)-MIN(MID(B136,{1,2,3},1)*1)</f>
        <v>7</v>
      </c>
      <c r="G136" s="104">
        <v>0</v>
      </c>
      <c r="H136" s="104">
        <v>1</v>
      </c>
      <c r="I136" s="104">
        <v>2</v>
      </c>
      <c r="J136" s="104">
        <v>3</v>
      </c>
      <c r="K136" s="104">
        <v>4</v>
      </c>
      <c r="L136" s="104">
        <v>5</v>
      </c>
      <c r="M136" s="104">
        <v>6</v>
      </c>
      <c r="N136" s="104">
        <v>7</v>
      </c>
      <c r="O136" s="104">
        <v>8</v>
      </c>
      <c r="P136" s="104">
        <v>9</v>
      </c>
      <c r="Q136" s="53">
        <f t="shared" si="67"/>
        <v>7</v>
      </c>
      <c r="R136" s="53">
        <f t="shared" si="68"/>
        <v>0</v>
      </c>
      <c r="S136" s="53">
        <f t="shared" si="69"/>
        <v>7</v>
      </c>
      <c r="T136" s="101">
        <f t="shared" si="73"/>
        <v>14</v>
      </c>
      <c r="U136" s="15" t="str">
        <f>_xlfn.TEXTJOIN(", ",TRUE,ABS(MID(B136,{1,1,2},1)-MID(B136,{2,3,3},1)))</f>
        <v>7, 0, 7</v>
      </c>
      <c r="V136" s="54">
        <v>0</v>
      </c>
      <c r="W136" s="54">
        <v>1</v>
      </c>
      <c r="X136" s="54">
        <v>2</v>
      </c>
      <c r="Y136" s="54">
        <v>3</v>
      </c>
      <c r="Z136" s="54">
        <v>4</v>
      </c>
      <c r="AA136" s="54">
        <v>5</v>
      </c>
      <c r="AB136" s="54">
        <v>6</v>
      </c>
      <c r="AC136" s="54">
        <v>7</v>
      </c>
      <c r="AD136" s="54">
        <v>8</v>
      </c>
      <c r="AE136" s="54">
        <v>9</v>
      </c>
      <c r="AF136" s="55">
        <v>0</v>
      </c>
      <c r="AG136" s="55">
        <v>1</v>
      </c>
      <c r="AH136" s="55">
        <v>2</v>
      </c>
      <c r="AI136" s="55">
        <v>3</v>
      </c>
      <c r="AJ136" s="55">
        <v>4</v>
      </c>
      <c r="AK136" s="55">
        <v>5</v>
      </c>
      <c r="AL136" s="55">
        <v>6</v>
      </c>
      <c r="AM136" s="55">
        <v>7</v>
      </c>
      <c r="AN136" s="55">
        <v>8</v>
      </c>
      <c r="AO136" s="55">
        <v>9</v>
      </c>
      <c r="AP136" s="105">
        <v>0</v>
      </c>
      <c r="AQ136" s="105">
        <v>1</v>
      </c>
      <c r="AR136" s="105">
        <v>2</v>
      </c>
      <c r="AS136" s="105">
        <v>3</v>
      </c>
      <c r="AT136" s="105">
        <v>4</v>
      </c>
      <c r="AU136" s="105">
        <v>5</v>
      </c>
      <c r="AV136" s="105">
        <v>6</v>
      </c>
      <c r="AW136" s="105">
        <v>7</v>
      </c>
      <c r="AX136" s="105">
        <v>8</v>
      </c>
      <c r="AY136" s="105">
        <v>9</v>
      </c>
      <c r="AZ136" s="56">
        <v>0</v>
      </c>
      <c r="BA136" s="56">
        <v>1</v>
      </c>
      <c r="BB136" s="56">
        <v>2</v>
      </c>
      <c r="BC136" s="56">
        <v>3</v>
      </c>
      <c r="BD136" s="56">
        <v>4</v>
      </c>
      <c r="BE136" s="56">
        <v>5</v>
      </c>
      <c r="BF136" s="56">
        <v>6</v>
      </c>
      <c r="BG136" s="56">
        <v>7</v>
      </c>
      <c r="BH136" s="56">
        <v>8</v>
      </c>
      <c r="BI136" s="56">
        <v>9</v>
      </c>
      <c r="BJ136" s="57" t="str">
        <f t="shared" si="74"/>
        <v>松散型</v>
      </c>
      <c r="BK136" s="13">
        <f t="shared" si="70"/>
        <v>0</v>
      </c>
      <c r="BL136" s="13">
        <f t="shared" si="71"/>
        <v>7</v>
      </c>
      <c r="BM136" s="18" t="str">
        <f t="shared" si="76"/>
        <v/>
      </c>
      <c r="BN136" s="19" t="str">
        <f t="shared" si="77"/>
        <v/>
      </c>
      <c r="BO136" s="19" t="str">
        <f t="array" ref="BO136">_xlfn.TEXTJOIN("",TRUE,IF(ISERROR(FIND(ROW($1:$10)-1,BM136&amp;BN136)),ROW($1:$10)-1,""))</f>
        <v>0123456789</v>
      </c>
      <c r="BP136" s="20" t="str">
        <f t="shared" si="78"/>
        <v>中中中</v>
      </c>
      <c r="BQ136" s="21" t="str">
        <f t="shared" ref="BQ136:BQ199" si="89">IF(COUNTIF($Q135:$S135,R136)&gt;0,R136,"")</f>
        <v/>
      </c>
      <c r="BR136" s="21">
        <f t="shared" si="87"/>
        <v>0</v>
      </c>
      <c r="BS136" s="21" t="str">
        <f t="array" ref="BS136">_xlfn.TEXTJOIN("",TRUE,IF(ISERROR(FIND(ROW($1:$10)-1,BQ136&amp;BR136)),ROW($1:$10)-1,""))</f>
        <v>123456789</v>
      </c>
      <c r="BT136" s="20" t="str">
        <f t="shared" si="79"/>
        <v>中隔中</v>
      </c>
      <c r="BU136" s="22" t="str">
        <f t="shared" si="80"/>
        <v/>
      </c>
      <c r="BV136" s="22" t="str">
        <f t="shared" si="88"/>
        <v/>
      </c>
      <c r="BW136" s="22" t="str">
        <f t="array" ref="BW136">_xlfn.TEXTJOIN("",TRUE,IF(ISERROR(FIND(ROW($1:$10)-1,BU136&amp;BV136)),ROW($1:$10)-1,""))</f>
        <v>0123456789</v>
      </c>
      <c r="BX136" s="20" t="str">
        <f t="shared" si="81"/>
        <v>中中中</v>
      </c>
      <c r="BY136" s="23" t="str">
        <f t="shared" si="75"/>
        <v>68</v>
      </c>
      <c r="BZ136" s="24" t="str">
        <f t="array" ref="BZ136">_xlfn.TEXTJOIN("",TRUE,IF(ISNUMBER(FIND(MID(BY135&amp;Q135,ROW($1:$4),1),BY136&amp;Q136)),MID(BY135&amp;Q135,ROW($1:$4),1),""))</f>
        <v/>
      </c>
      <c r="CA136" s="25" t="str">
        <f t="array" ref="CA136">_xlfn.TEXTJOIN("",TRUE,IF(ISERROR(FIND(ROW($1:$10)-1,BY136&amp;BZ136)),ROW($1:$10)-1,""))</f>
        <v>01234579</v>
      </c>
      <c r="CB136" s="26" t="str">
        <f t="shared" si="82"/>
        <v>邻孤孤</v>
      </c>
      <c r="CC136" s="27" t="str">
        <f t="shared" si="83"/>
        <v>91</v>
      </c>
      <c r="CD136" s="27" t="str">
        <f t="array" ref="CD136">_xlfn.TEXTJOIN("",TRUE,IF(ISNUMBER(FIND(MID(CC135&amp;R135,ROW($1:$4),1),CC136&amp;R136)),MID(CC135&amp;R135,ROW($1:$4),1),""))</f>
        <v>01</v>
      </c>
      <c r="CE136" s="27" t="str">
        <f t="array" ref="CE136">_xlfn.TEXTJOIN("",TRUE,IF(ISERROR(FIND(ROW($1:$10)-1,CC136&amp;CD136)),ROW($1:$10)-1,""))</f>
        <v>2345678</v>
      </c>
      <c r="CF136" s="17" t="str">
        <f t="shared" si="84"/>
        <v>邻传孤</v>
      </c>
      <c r="CG136" s="22" t="str">
        <f t="shared" si="85"/>
        <v>68</v>
      </c>
      <c r="CH136" s="22" t="str">
        <f t="array" ref="CH136">_xlfn.TEXTJOIN("",TRUE,IF(ISNUMBER(FIND(MID(CG135&amp;S135,ROW($1:$4),1),CG136&amp;S136)),MID(CG135&amp;S135,ROW($1:$4),1),""))</f>
        <v/>
      </c>
      <c r="CI136" s="22" t="str">
        <f t="array" ref="CI136">_xlfn.TEXTJOIN("",TRUE,IF(ISERROR(FIND(ROW($1:$10)-1,CG136&amp;CH136)),ROW($1:$10)-1,""))</f>
        <v>01234579</v>
      </c>
      <c r="CJ136" s="28" t="str">
        <f t="shared" si="86"/>
        <v>邻孤孤</v>
      </c>
    </row>
    <row r="137" spans="1:88">
      <c r="A137" s="32">
        <v>2024264</v>
      </c>
      <c r="B137" s="8" t="s">
        <v>91</v>
      </c>
      <c r="C137" s="49">
        <f t="shared" si="65"/>
        <v>8</v>
      </c>
      <c r="D137" s="50">
        <f t="shared" si="66"/>
        <v>8</v>
      </c>
      <c r="E137" s="51">
        <f t="shared" si="72"/>
        <v>2.6666666666666701</v>
      </c>
      <c r="F137" s="52">
        <f>MAX(MID(B137,{1,2,3},1)*1)-MIN(MID(B137,{1,2,3},1)*1)</f>
        <v>7</v>
      </c>
      <c r="G137" s="104">
        <v>0</v>
      </c>
      <c r="H137" s="104">
        <v>1</v>
      </c>
      <c r="I137" s="104">
        <v>2</v>
      </c>
      <c r="J137" s="104">
        <v>3</v>
      </c>
      <c r="K137" s="104">
        <v>4</v>
      </c>
      <c r="L137" s="104">
        <v>5</v>
      </c>
      <c r="M137" s="104">
        <v>6</v>
      </c>
      <c r="N137" s="104">
        <v>7</v>
      </c>
      <c r="O137" s="104">
        <v>8</v>
      </c>
      <c r="P137" s="104">
        <v>9</v>
      </c>
      <c r="Q137" s="53">
        <f t="shared" si="67"/>
        <v>6</v>
      </c>
      <c r="R137" s="53">
        <f t="shared" si="68"/>
        <v>7</v>
      </c>
      <c r="S137" s="53">
        <f t="shared" si="69"/>
        <v>1</v>
      </c>
      <c r="T137" s="101">
        <f t="shared" si="73"/>
        <v>14</v>
      </c>
      <c r="U137" s="15" t="str">
        <f>_xlfn.TEXTJOIN(", ",TRUE,ABS(MID(B137,{1,1,2},1)-MID(B137,{2,3,3},1)))</f>
        <v>6, 7, 1</v>
      </c>
      <c r="V137" s="54">
        <v>0</v>
      </c>
      <c r="W137" s="54">
        <v>1</v>
      </c>
      <c r="X137" s="54">
        <v>2</v>
      </c>
      <c r="Y137" s="54">
        <v>3</v>
      </c>
      <c r="Z137" s="54">
        <v>4</v>
      </c>
      <c r="AA137" s="54">
        <v>5</v>
      </c>
      <c r="AB137" s="54">
        <v>6</v>
      </c>
      <c r="AC137" s="54">
        <v>7</v>
      </c>
      <c r="AD137" s="54">
        <v>8</v>
      </c>
      <c r="AE137" s="54">
        <v>9</v>
      </c>
      <c r="AF137" s="55">
        <v>0</v>
      </c>
      <c r="AG137" s="55">
        <v>1</v>
      </c>
      <c r="AH137" s="55">
        <v>2</v>
      </c>
      <c r="AI137" s="55">
        <v>3</v>
      </c>
      <c r="AJ137" s="55">
        <v>4</v>
      </c>
      <c r="AK137" s="55">
        <v>5</v>
      </c>
      <c r="AL137" s="55">
        <v>6</v>
      </c>
      <c r="AM137" s="55">
        <v>7</v>
      </c>
      <c r="AN137" s="55">
        <v>8</v>
      </c>
      <c r="AO137" s="55">
        <v>9</v>
      </c>
      <c r="AP137" s="105">
        <v>0</v>
      </c>
      <c r="AQ137" s="105">
        <v>1</v>
      </c>
      <c r="AR137" s="105">
        <v>2</v>
      </c>
      <c r="AS137" s="105">
        <v>3</v>
      </c>
      <c r="AT137" s="105">
        <v>4</v>
      </c>
      <c r="AU137" s="105">
        <v>5</v>
      </c>
      <c r="AV137" s="105">
        <v>6</v>
      </c>
      <c r="AW137" s="105">
        <v>7</v>
      </c>
      <c r="AX137" s="105">
        <v>8</v>
      </c>
      <c r="AY137" s="105">
        <v>9</v>
      </c>
      <c r="AZ137" s="56">
        <v>0</v>
      </c>
      <c r="BA137" s="56">
        <v>1</v>
      </c>
      <c r="BB137" s="56">
        <v>2</v>
      </c>
      <c r="BC137" s="56">
        <v>3</v>
      </c>
      <c r="BD137" s="56">
        <v>4</v>
      </c>
      <c r="BE137" s="56">
        <v>5</v>
      </c>
      <c r="BF137" s="56">
        <v>6</v>
      </c>
      <c r="BG137" s="56">
        <v>7</v>
      </c>
      <c r="BH137" s="56">
        <v>8</v>
      </c>
      <c r="BI137" s="56">
        <v>9</v>
      </c>
      <c r="BJ137" s="57" t="str">
        <f t="shared" si="74"/>
        <v>松散型</v>
      </c>
      <c r="BK137" s="13">
        <f t="shared" si="70"/>
        <v>1</v>
      </c>
      <c r="BL137" s="13">
        <f t="shared" si="71"/>
        <v>7</v>
      </c>
      <c r="BM137" s="18" t="str">
        <f t="shared" si="76"/>
        <v/>
      </c>
      <c r="BN137" s="19" t="str">
        <f t="shared" si="77"/>
        <v/>
      </c>
      <c r="BO137" s="19" t="str">
        <f t="array" ref="BO137">_xlfn.TEXTJOIN("",TRUE,IF(ISERROR(FIND(ROW($1:$10)-1,BM137&amp;BN137)),ROW($1:$10)-1,""))</f>
        <v>0123456789</v>
      </c>
      <c r="BP137" s="20" t="str">
        <f t="shared" si="78"/>
        <v>中中中</v>
      </c>
      <c r="BQ137" s="21">
        <f t="shared" si="89"/>
        <v>7</v>
      </c>
      <c r="BR137" s="21" t="str">
        <f t="shared" si="87"/>
        <v/>
      </c>
      <c r="BS137" s="21" t="str">
        <f t="array" ref="BS137">_xlfn.TEXTJOIN("",TRUE,IF(ISERROR(FIND(ROW($1:$10)-1,BQ137&amp;BR137)),ROW($1:$10)-1,""))</f>
        <v>012345689</v>
      </c>
      <c r="BT137" s="20" t="str">
        <f t="shared" si="79"/>
        <v>复中中</v>
      </c>
      <c r="BU137" s="22" t="str">
        <f t="shared" si="80"/>
        <v/>
      </c>
      <c r="BV137" s="22">
        <f t="shared" si="88"/>
        <v>1</v>
      </c>
      <c r="BW137" s="22" t="str">
        <f t="array" ref="BW137">_xlfn.TEXTJOIN("",TRUE,IF(ISERROR(FIND(ROW($1:$10)-1,BU137&amp;BV137)),ROW($1:$10)-1,""))</f>
        <v>023456789</v>
      </c>
      <c r="BX137" s="20" t="str">
        <f t="shared" si="81"/>
        <v>中隔中</v>
      </c>
      <c r="BY137" s="23" t="str">
        <f t="shared" si="75"/>
        <v>57</v>
      </c>
      <c r="BZ137" s="24" t="str">
        <f t="array" ref="BZ137">_xlfn.TEXTJOIN("",TRUE,IF(ISNUMBER(FIND(MID(BY136&amp;Q136,ROW($1:$4),1),BY137&amp;Q137)),MID(BY136&amp;Q136,ROW($1:$4),1),""))</f>
        <v>67</v>
      </c>
      <c r="CA137" s="25" t="str">
        <f t="array" ref="CA137">_xlfn.TEXTJOIN("",TRUE,IF(ISERROR(FIND(ROW($1:$10)-1,BY137&amp;BZ137)),ROW($1:$10)-1,""))</f>
        <v>0123489</v>
      </c>
      <c r="CB137" s="26" t="str">
        <f t="shared" si="82"/>
        <v>邻传孤</v>
      </c>
      <c r="CC137" s="27" t="str">
        <f t="shared" si="83"/>
        <v>68</v>
      </c>
      <c r="CD137" s="27" t="str">
        <f t="array" ref="CD137">_xlfn.TEXTJOIN("",TRUE,IF(ISNUMBER(FIND(MID(CC136&amp;R136,ROW($1:$4),1),CC137&amp;R137)),MID(CC136&amp;R136,ROW($1:$4),1),""))</f>
        <v/>
      </c>
      <c r="CE137" s="27" t="str">
        <f t="array" ref="CE137">_xlfn.TEXTJOIN("",TRUE,IF(ISERROR(FIND(ROW($1:$10)-1,CC137&amp;CD137)),ROW($1:$10)-1,""))</f>
        <v>01234579</v>
      </c>
      <c r="CF137" s="17" t="str">
        <f t="shared" si="84"/>
        <v>邻孤孤</v>
      </c>
      <c r="CG137" s="22" t="str">
        <f t="shared" si="85"/>
        <v>02</v>
      </c>
      <c r="CH137" s="22" t="str">
        <f t="array" ref="CH137">_xlfn.TEXTJOIN("",TRUE,IF(ISNUMBER(FIND(MID(CG136&amp;S136,ROW($1:$4),1),CG137&amp;S137)),MID(CG136&amp;S136,ROW($1:$4),1),""))</f>
        <v/>
      </c>
      <c r="CI137" s="22" t="str">
        <f t="array" ref="CI137">_xlfn.TEXTJOIN("",TRUE,IF(ISERROR(FIND(ROW($1:$10)-1,CG137&amp;CH137)),ROW($1:$10)-1,""))</f>
        <v>13456789</v>
      </c>
      <c r="CJ137" s="28" t="str">
        <f t="shared" si="86"/>
        <v>邻孤孤</v>
      </c>
    </row>
    <row r="138" spans="1:88">
      <c r="A138" s="32">
        <v>2024265</v>
      </c>
      <c r="B138" s="8" t="s">
        <v>147</v>
      </c>
      <c r="C138" s="49">
        <f t="shared" si="65"/>
        <v>11</v>
      </c>
      <c r="D138" s="50">
        <f t="shared" si="66"/>
        <v>1</v>
      </c>
      <c r="E138" s="51">
        <f t="shared" si="72"/>
        <v>3.6666666666666701</v>
      </c>
      <c r="F138" s="52">
        <f>MAX(MID(B138,{1,2,3},1)*1)-MIN(MID(B138,{1,2,3},1)*1)</f>
        <v>3</v>
      </c>
      <c r="G138" s="104">
        <v>0</v>
      </c>
      <c r="H138" s="104">
        <v>1</v>
      </c>
      <c r="I138" s="104">
        <v>2</v>
      </c>
      <c r="J138" s="104">
        <v>3</v>
      </c>
      <c r="K138" s="104">
        <v>4</v>
      </c>
      <c r="L138" s="104">
        <v>5</v>
      </c>
      <c r="M138" s="104">
        <v>6</v>
      </c>
      <c r="N138" s="104">
        <v>7</v>
      </c>
      <c r="O138" s="104">
        <v>8</v>
      </c>
      <c r="P138" s="104">
        <v>9</v>
      </c>
      <c r="Q138" s="53">
        <f t="shared" si="67"/>
        <v>2</v>
      </c>
      <c r="R138" s="53">
        <f t="shared" si="68"/>
        <v>3</v>
      </c>
      <c r="S138" s="53">
        <f t="shared" si="69"/>
        <v>1</v>
      </c>
      <c r="T138" s="101">
        <f t="shared" si="73"/>
        <v>6</v>
      </c>
      <c r="U138" s="15" t="str">
        <f>_xlfn.TEXTJOIN(", ",TRUE,ABS(MID(B138,{1,1,2},1)-MID(B138,{2,3,3},1)))</f>
        <v>2, 3, 1</v>
      </c>
      <c r="V138" s="54">
        <v>0</v>
      </c>
      <c r="W138" s="54">
        <v>1</v>
      </c>
      <c r="X138" s="54">
        <v>2</v>
      </c>
      <c r="Y138" s="54">
        <v>3</v>
      </c>
      <c r="Z138" s="54">
        <v>4</v>
      </c>
      <c r="AA138" s="54">
        <v>5</v>
      </c>
      <c r="AB138" s="54">
        <v>6</v>
      </c>
      <c r="AC138" s="54">
        <v>7</v>
      </c>
      <c r="AD138" s="54">
        <v>8</v>
      </c>
      <c r="AE138" s="54">
        <v>9</v>
      </c>
      <c r="AF138" s="55">
        <v>0</v>
      </c>
      <c r="AG138" s="55">
        <v>1</v>
      </c>
      <c r="AH138" s="55">
        <v>2</v>
      </c>
      <c r="AI138" s="55">
        <v>3</v>
      </c>
      <c r="AJ138" s="55">
        <v>4</v>
      </c>
      <c r="AK138" s="55">
        <v>5</v>
      </c>
      <c r="AL138" s="55">
        <v>6</v>
      </c>
      <c r="AM138" s="55">
        <v>7</v>
      </c>
      <c r="AN138" s="55">
        <v>8</v>
      </c>
      <c r="AO138" s="55">
        <v>9</v>
      </c>
      <c r="AP138" s="105">
        <v>0</v>
      </c>
      <c r="AQ138" s="105">
        <v>1</v>
      </c>
      <c r="AR138" s="105">
        <v>2</v>
      </c>
      <c r="AS138" s="105">
        <v>3</v>
      </c>
      <c r="AT138" s="105">
        <v>4</v>
      </c>
      <c r="AU138" s="105">
        <v>5</v>
      </c>
      <c r="AV138" s="105">
        <v>6</v>
      </c>
      <c r="AW138" s="105">
        <v>7</v>
      </c>
      <c r="AX138" s="105">
        <v>8</v>
      </c>
      <c r="AY138" s="105">
        <v>9</v>
      </c>
      <c r="AZ138" s="56">
        <v>0</v>
      </c>
      <c r="BA138" s="56">
        <v>1</v>
      </c>
      <c r="BB138" s="56">
        <v>2</v>
      </c>
      <c r="BC138" s="56">
        <v>3</v>
      </c>
      <c r="BD138" s="56">
        <v>4</v>
      </c>
      <c r="BE138" s="56">
        <v>5</v>
      </c>
      <c r="BF138" s="56">
        <v>6</v>
      </c>
      <c r="BG138" s="56">
        <v>7</v>
      </c>
      <c r="BH138" s="56">
        <v>8</v>
      </c>
      <c r="BI138" s="56">
        <v>9</v>
      </c>
      <c r="BJ138" s="57" t="str">
        <f t="shared" si="74"/>
        <v>紧凑型</v>
      </c>
      <c r="BK138" s="13">
        <f t="shared" si="70"/>
        <v>1</v>
      </c>
      <c r="BL138" s="13">
        <f t="shared" si="71"/>
        <v>3</v>
      </c>
      <c r="BM138" s="18" t="str">
        <f t="shared" si="76"/>
        <v/>
      </c>
      <c r="BN138" s="19" t="str">
        <f t="shared" si="77"/>
        <v/>
      </c>
      <c r="BO138" s="19" t="str">
        <f t="array" ref="BO138">_xlfn.TEXTJOIN("",TRUE,IF(ISERROR(FIND(ROW($1:$10)-1,BM138&amp;BN138)),ROW($1:$10)-1,""))</f>
        <v>0123456789</v>
      </c>
      <c r="BP138" s="20" t="str">
        <f t="shared" si="78"/>
        <v>中中中</v>
      </c>
      <c r="BQ138" s="21" t="str">
        <f t="shared" si="89"/>
        <v/>
      </c>
      <c r="BR138" s="21" t="str">
        <f t="shared" si="87"/>
        <v/>
      </c>
      <c r="BS138" s="21" t="str">
        <f t="array" ref="BS138">_xlfn.TEXTJOIN("",TRUE,IF(ISERROR(FIND(ROW($1:$10)-1,BQ138&amp;BR138)),ROW($1:$10)-1,""))</f>
        <v>0123456789</v>
      </c>
      <c r="BT138" s="20" t="str">
        <f t="shared" si="79"/>
        <v>中中中</v>
      </c>
      <c r="BU138" s="22">
        <f t="shared" si="80"/>
        <v>1</v>
      </c>
      <c r="BV138" s="22" t="str">
        <f t="shared" si="88"/>
        <v/>
      </c>
      <c r="BW138" s="22" t="str">
        <f t="array" ref="BW138">_xlfn.TEXTJOIN("",TRUE,IF(ISERROR(FIND(ROW($1:$10)-1,BU138&amp;BV138)),ROW($1:$10)-1,""))</f>
        <v>023456789</v>
      </c>
      <c r="BX138" s="20" t="str">
        <f t="shared" si="81"/>
        <v>复中中</v>
      </c>
      <c r="BY138" s="23" t="str">
        <f t="shared" si="75"/>
        <v>13</v>
      </c>
      <c r="BZ138" s="24" t="str">
        <f t="array" ref="BZ138">_xlfn.TEXTJOIN("",TRUE,IF(ISNUMBER(FIND(MID(BY137&amp;Q137,ROW($1:$4),1),BY138&amp;Q138)),MID(BY137&amp;Q137,ROW($1:$4),1),""))</f>
        <v/>
      </c>
      <c r="CA138" s="25" t="str">
        <f t="array" ref="CA138">_xlfn.TEXTJOIN("",TRUE,IF(ISERROR(FIND(ROW($1:$10)-1,BY138&amp;BZ138)),ROW($1:$10)-1,""))</f>
        <v>02456789</v>
      </c>
      <c r="CB138" s="26" t="str">
        <f t="shared" si="82"/>
        <v>邻孤孤</v>
      </c>
      <c r="CC138" s="27" t="str">
        <f t="shared" si="83"/>
        <v>24</v>
      </c>
      <c r="CD138" s="27" t="str">
        <f t="array" ref="CD138">_xlfn.TEXTJOIN("",TRUE,IF(ISNUMBER(FIND(MID(CC137&amp;R137,ROW($1:$4),1),CC138&amp;R138)),MID(CC137&amp;R137,ROW($1:$4),1),""))</f>
        <v/>
      </c>
      <c r="CE138" s="27" t="str">
        <f t="array" ref="CE138">_xlfn.TEXTJOIN("",TRUE,IF(ISERROR(FIND(ROW($1:$10)-1,CC138&amp;CD138)),ROW($1:$10)-1,""))</f>
        <v>01356789</v>
      </c>
      <c r="CF138" s="17" t="str">
        <f t="shared" si="84"/>
        <v>邻孤孤</v>
      </c>
      <c r="CG138" s="22" t="str">
        <f t="shared" si="85"/>
        <v>02</v>
      </c>
      <c r="CH138" s="22" t="str">
        <f t="array" ref="CH138">_xlfn.TEXTJOIN("",TRUE,IF(ISNUMBER(FIND(MID(CG137&amp;S137,ROW($1:$4),1),CG138&amp;S138)),MID(CG137&amp;S137,ROW($1:$4),1),""))</f>
        <v>021</v>
      </c>
      <c r="CI138" s="22" t="str">
        <f t="array" ref="CI138">_xlfn.TEXTJOIN("",TRUE,IF(ISERROR(FIND(ROW($1:$10)-1,CG138&amp;CH138)),ROW($1:$10)-1,""))</f>
        <v>3456789</v>
      </c>
      <c r="CJ138" s="28" t="str">
        <f t="shared" si="86"/>
        <v>邻传孤</v>
      </c>
    </row>
    <row r="139" spans="1:88">
      <c r="A139" s="32">
        <v>2024266</v>
      </c>
      <c r="B139" s="8" t="s">
        <v>97</v>
      </c>
      <c r="C139" s="49">
        <f t="shared" si="65"/>
        <v>12</v>
      </c>
      <c r="D139" s="50">
        <f t="shared" si="66"/>
        <v>2</v>
      </c>
      <c r="E139" s="51">
        <f t="shared" si="72"/>
        <v>4</v>
      </c>
      <c r="F139" s="52">
        <f>MAX(MID(B139,{1,2,3},1)*1)-MIN(MID(B139,{1,2,3},1)*1)</f>
        <v>9</v>
      </c>
      <c r="G139" s="104">
        <v>0</v>
      </c>
      <c r="H139" s="104">
        <v>1</v>
      </c>
      <c r="I139" s="104">
        <v>2</v>
      </c>
      <c r="J139" s="104">
        <v>3</v>
      </c>
      <c r="K139" s="104">
        <v>4</v>
      </c>
      <c r="L139" s="104">
        <v>5</v>
      </c>
      <c r="M139" s="104">
        <v>6</v>
      </c>
      <c r="N139" s="104">
        <v>7</v>
      </c>
      <c r="O139" s="104">
        <v>8</v>
      </c>
      <c r="P139" s="104">
        <v>9</v>
      </c>
      <c r="Q139" s="53">
        <f t="shared" si="67"/>
        <v>6</v>
      </c>
      <c r="R139" s="53">
        <f t="shared" si="68"/>
        <v>3</v>
      </c>
      <c r="S139" s="53">
        <f t="shared" si="69"/>
        <v>9</v>
      </c>
      <c r="T139" s="101">
        <f t="shared" si="73"/>
        <v>18</v>
      </c>
      <c r="U139" s="15" t="str">
        <f>_xlfn.TEXTJOIN(", ",TRUE,ABS(MID(B139,{1,1,2},1)-MID(B139,{2,3,3},1)))</f>
        <v>6, 3, 9</v>
      </c>
      <c r="V139" s="54">
        <v>0</v>
      </c>
      <c r="W139" s="54">
        <v>1</v>
      </c>
      <c r="X139" s="54">
        <v>2</v>
      </c>
      <c r="Y139" s="54">
        <v>3</v>
      </c>
      <c r="Z139" s="54">
        <v>4</v>
      </c>
      <c r="AA139" s="54">
        <v>5</v>
      </c>
      <c r="AB139" s="54">
        <v>6</v>
      </c>
      <c r="AC139" s="54">
        <v>7</v>
      </c>
      <c r="AD139" s="54">
        <v>8</v>
      </c>
      <c r="AE139" s="54">
        <v>9</v>
      </c>
      <c r="AF139" s="55">
        <v>0</v>
      </c>
      <c r="AG139" s="55">
        <v>1</v>
      </c>
      <c r="AH139" s="55">
        <v>2</v>
      </c>
      <c r="AI139" s="55">
        <v>3</v>
      </c>
      <c r="AJ139" s="55">
        <v>4</v>
      </c>
      <c r="AK139" s="55">
        <v>5</v>
      </c>
      <c r="AL139" s="55">
        <v>6</v>
      </c>
      <c r="AM139" s="55">
        <v>7</v>
      </c>
      <c r="AN139" s="55">
        <v>8</v>
      </c>
      <c r="AO139" s="55">
        <v>9</v>
      </c>
      <c r="AP139" s="105">
        <v>0</v>
      </c>
      <c r="AQ139" s="105">
        <v>1</v>
      </c>
      <c r="AR139" s="105">
        <v>2</v>
      </c>
      <c r="AS139" s="105">
        <v>3</v>
      </c>
      <c r="AT139" s="105">
        <v>4</v>
      </c>
      <c r="AU139" s="105">
        <v>5</v>
      </c>
      <c r="AV139" s="105">
        <v>6</v>
      </c>
      <c r="AW139" s="105">
        <v>7</v>
      </c>
      <c r="AX139" s="105">
        <v>8</v>
      </c>
      <c r="AY139" s="105">
        <v>9</v>
      </c>
      <c r="AZ139" s="56">
        <v>0</v>
      </c>
      <c r="BA139" s="56">
        <v>1</v>
      </c>
      <c r="BB139" s="56">
        <v>2</v>
      </c>
      <c r="BC139" s="56">
        <v>3</v>
      </c>
      <c r="BD139" s="56">
        <v>4</v>
      </c>
      <c r="BE139" s="56">
        <v>5</v>
      </c>
      <c r="BF139" s="56">
        <v>6</v>
      </c>
      <c r="BG139" s="56">
        <v>7</v>
      </c>
      <c r="BH139" s="56">
        <v>8</v>
      </c>
      <c r="BI139" s="56">
        <v>9</v>
      </c>
      <c r="BJ139" s="57" t="str">
        <f t="shared" si="74"/>
        <v>松散型</v>
      </c>
      <c r="BK139" s="13">
        <f t="shared" si="70"/>
        <v>3</v>
      </c>
      <c r="BL139" s="13">
        <f t="shared" si="71"/>
        <v>9</v>
      </c>
      <c r="BM139" s="18" t="str">
        <f t="shared" si="76"/>
        <v/>
      </c>
      <c r="BN139" s="19">
        <f t="shared" si="77"/>
        <v>6</v>
      </c>
      <c r="BO139" s="19" t="str">
        <f t="array" ref="BO139">_xlfn.TEXTJOIN("",TRUE,IF(ISERROR(FIND(ROW($1:$10)-1,BM139&amp;BN139)),ROW($1:$10)-1,""))</f>
        <v>012345789</v>
      </c>
      <c r="BP139" s="20" t="str">
        <f t="shared" si="78"/>
        <v>中隔中</v>
      </c>
      <c r="BQ139" s="21">
        <f t="shared" si="89"/>
        <v>3</v>
      </c>
      <c r="BR139" s="21" t="str">
        <f t="shared" si="87"/>
        <v/>
      </c>
      <c r="BS139" s="21" t="str">
        <f t="array" ref="BS139">_xlfn.TEXTJOIN("",TRUE,IF(ISERROR(FIND(ROW($1:$10)-1,BQ139&amp;BR139)),ROW($1:$10)-1,""))</f>
        <v>012456789</v>
      </c>
      <c r="BT139" s="20" t="str">
        <f t="shared" si="79"/>
        <v>复中中</v>
      </c>
      <c r="BU139" s="22" t="str">
        <f t="shared" si="80"/>
        <v/>
      </c>
      <c r="BV139" s="22" t="str">
        <f t="shared" si="88"/>
        <v/>
      </c>
      <c r="BW139" s="22" t="str">
        <f t="array" ref="BW139">_xlfn.TEXTJOIN("",TRUE,IF(ISERROR(FIND(ROW($1:$10)-1,BU139&amp;BV139)),ROW($1:$10)-1,""))</f>
        <v>0123456789</v>
      </c>
      <c r="BX139" s="20" t="str">
        <f t="shared" si="81"/>
        <v>中中中</v>
      </c>
      <c r="BY139" s="23" t="str">
        <f t="shared" si="75"/>
        <v>57</v>
      </c>
      <c r="BZ139" s="24" t="str">
        <f t="array" ref="BZ139">_xlfn.TEXTJOIN("",TRUE,IF(ISNUMBER(FIND(MID(BY138&amp;Q138,ROW($1:$4),1),BY139&amp;Q139)),MID(BY138&amp;Q138,ROW($1:$4),1),""))</f>
        <v/>
      </c>
      <c r="CA139" s="25" t="str">
        <f t="array" ref="CA139">_xlfn.TEXTJOIN("",TRUE,IF(ISERROR(FIND(ROW($1:$10)-1,BY139&amp;BZ139)),ROW($1:$10)-1,""))</f>
        <v>01234689</v>
      </c>
      <c r="CB139" s="26" t="str">
        <f t="shared" si="82"/>
        <v>邻孤孤</v>
      </c>
      <c r="CC139" s="27" t="str">
        <f t="shared" si="83"/>
        <v>24</v>
      </c>
      <c r="CD139" s="27" t="str">
        <f t="array" ref="CD139">_xlfn.TEXTJOIN("",TRUE,IF(ISNUMBER(FIND(MID(CC138&amp;R138,ROW($1:$4),1),CC139&amp;R139)),MID(CC138&amp;R138,ROW($1:$4),1),""))</f>
        <v>243</v>
      </c>
      <c r="CE139" s="27" t="str">
        <f t="array" ref="CE139">_xlfn.TEXTJOIN("",TRUE,IF(ISERROR(FIND(ROW($1:$10)-1,CC139&amp;CD139)),ROW($1:$10)-1,""))</f>
        <v>0156789</v>
      </c>
      <c r="CF139" s="17" t="str">
        <f t="shared" si="84"/>
        <v>邻传孤</v>
      </c>
      <c r="CG139" s="22" t="str">
        <f t="shared" si="85"/>
        <v>80</v>
      </c>
      <c r="CH139" s="22" t="str">
        <f t="array" ref="CH139">_xlfn.TEXTJOIN("",TRUE,IF(ISNUMBER(FIND(MID(CG138&amp;S138,ROW($1:$4),1),CG139&amp;S139)),MID(CG138&amp;S138,ROW($1:$4),1),""))</f>
        <v>0</v>
      </c>
      <c r="CI139" s="22" t="str">
        <f t="array" ref="CI139">_xlfn.TEXTJOIN("",TRUE,IF(ISERROR(FIND(ROW($1:$10)-1,CG139&amp;CH139)),ROW($1:$10)-1,""))</f>
        <v>12345679</v>
      </c>
      <c r="CJ139" s="28" t="str">
        <f t="shared" si="86"/>
        <v>邻传孤</v>
      </c>
    </row>
    <row r="140" spans="1:88">
      <c r="A140" s="32">
        <v>2024267</v>
      </c>
      <c r="B140" s="8" t="s">
        <v>32</v>
      </c>
      <c r="C140" s="49">
        <f t="shared" si="65"/>
        <v>11</v>
      </c>
      <c r="D140" s="50">
        <f t="shared" si="66"/>
        <v>1</v>
      </c>
      <c r="E140" s="51">
        <f t="shared" si="72"/>
        <v>3.6666666666666701</v>
      </c>
      <c r="F140" s="52">
        <f>MAX(MID(B140,{1,2,3},1)*1)-MIN(MID(B140,{1,2,3},1)*1)</f>
        <v>5</v>
      </c>
      <c r="G140" s="104">
        <v>0</v>
      </c>
      <c r="H140" s="104">
        <v>1</v>
      </c>
      <c r="I140" s="104">
        <v>2</v>
      </c>
      <c r="J140" s="104">
        <v>3</v>
      </c>
      <c r="K140" s="104">
        <v>4</v>
      </c>
      <c r="L140" s="104">
        <v>5</v>
      </c>
      <c r="M140" s="104">
        <v>6</v>
      </c>
      <c r="N140" s="104">
        <v>7</v>
      </c>
      <c r="O140" s="104">
        <v>8</v>
      </c>
      <c r="P140" s="104">
        <v>9</v>
      </c>
      <c r="Q140" s="53">
        <f t="shared" si="67"/>
        <v>0</v>
      </c>
      <c r="R140" s="53">
        <f t="shared" si="68"/>
        <v>5</v>
      </c>
      <c r="S140" s="53">
        <f t="shared" si="69"/>
        <v>5</v>
      </c>
      <c r="T140" s="101">
        <f t="shared" si="73"/>
        <v>10</v>
      </c>
      <c r="U140" s="15" t="str">
        <f>_xlfn.TEXTJOIN(", ",TRUE,ABS(MID(B140,{1,1,2},1)-MID(B140,{2,3,3},1)))</f>
        <v>0, 5, 5</v>
      </c>
      <c r="V140" s="54">
        <v>0</v>
      </c>
      <c r="W140" s="54">
        <v>1</v>
      </c>
      <c r="X140" s="54">
        <v>2</v>
      </c>
      <c r="Y140" s="54">
        <v>3</v>
      </c>
      <c r="Z140" s="54">
        <v>4</v>
      </c>
      <c r="AA140" s="54">
        <v>5</v>
      </c>
      <c r="AB140" s="54">
        <v>6</v>
      </c>
      <c r="AC140" s="54">
        <v>7</v>
      </c>
      <c r="AD140" s="54">
        <v>8</v>
      </c>
      <c r="AE140" s="54">
        <v>9</v>
      </c>
      <c r="AF140" s="55">
        <v>0</v>
      </c>
      <c r="AG140" s="55">
        <v>1</v>
      </c>
      <c r="AH140" s="55">
        <v>2</v>
      </c>
      <c r="AI140" s="55">
        <v>3</v>
      </c>
      <c r="AJ140" s="55">
        <v>4</v>
      </c>
      <c r="AK140" s="55">
        <v>5</v>
      </c>
      <c r="AL140" s="55">
        <v>6</v>
      </c>
      <c r="AM140" s="55">
        <v>7</v>
      </c>
      <c r="AN140" s="55">
        <v>8</v>
      </c>
      <c r="AO140" s="55">
        <v>9</v>
      </c>
      <c r="AP140" s="105">
        <v>0</v>
      </c>
      <c r="AQ140" s="105">
        <v>1</v>
      </c>
      <c r="AR140" s="105">
        <v>2</v>
      </c>
      <c r="AS140" s="105">
        <v>3</v>
      </c>
      <c r="AT140" s="105">
        <v>4</v>
      </c>
      <c r="AU140" s="105">
        <v>5</v>
      </c>
      <c r="AV140" s="105">
        <v>6</v>
      </c>
      <c r="AW140" s="105">
        <v>7</v>
      </c>
      <c r="AX140" s="105">
        <v>8</v>
      </c>
      <c r="AY140" s="105">
        <v>9</v>
      </c>
      <c r="AZ140" s="56">
        <v>0</v>
      </c>
      <c r="BA140" s="56">
        <v>1</v>
      </c>
      <c r="BB140" s="56">
        <v>2</v>
      </c>
      <c r="BC140" s="56">
        <v>3</v>
      </c>
      <c r="BD140" s="56">
        <v>4</v>
      </c>
      <c r="BE140" s="56">
        <v>5</v>
      </c>
      <c r="BF140" s="56">
        <v>6</v>
      </c>
      <c r="BG140" s="56">
        <v>7</v>
      </c>
      <c r="BH140" s="56">
        <v>8</v>
      </c>
      <c r="BI140" s="56">
        <v>9</v>
      </c>
      <c r="BJ140" s="57" t="str">
        <f t="shared" si="74"/>
        <v>对子</v>
      </c>
      <c r="BK140" s="13">
        <f t="shared" si="70"/>
        <v>0</v>
      </c>
      <c r="BL140" s="13">
        <f t="shared" si="71"/>
        <v>5</v>
      </c>
      <c r="BM140" s="18" t="str">
        <f t="shared" si="76"/>
        <v/>
      </c>
      <c r="BN140" s="19" t="str">
        <f t="shared" si="77"/>
        <v/>
      </c>
      <c r="BO140" s="19" t="str">
        <f t="array" ref="BO140">_xlfn.TEXTJOIN("",TRUE,IF(ISERROR(FIND(ROW($1:$10)-1,BM140&amp;BN140)),ROW($1:$10)-1,""))</f>
        <v>0123456789</v>
      </c>
      <c r="BP140" s="20" t="str">
        <f t="shared" si="78"/>
        <v>中中中</v>
      </c>
      <c r="BQ140" s="21" t="str">
        <f t="shared" si="89"/>
        <v/>
      </c>
      <c r="BR140" s="21" t="str">
        <f t="shared" si="87"/>
        <v/>
      </c>
      <c r="BS140" s="21" t="str">
        <f t="array" ref="BS140">_xlfn.TEXTJOIN("",TRUE,IF(ISERROR(FIND(ROW($1:$10)-1,BQ140&amp;BR140)),ROW($1:$10)-1,""))</f>
        <v>0123456789</v>
      </c>
      <c r="BT140" s="20" t="str">
        <f t="shared" si="79"/>
        <v>中中中</v>
      </c>
      <c r="BU140" s="22" t="str">
        <f t="shared" si="80"/>
        <v/>
      </c>
      <c r="BV140" s="22" t="str">
        <f t="shared" si="88"/>
        <v/>
      </c>
      <c r="BW140" s="22" t="str">
        <f t="array" ref="BW140">_xlfn.TEXTJOIN("",TRUE,IF(ISERROR(FIND(ROW($1:$10)-1,BU140&amp;BV140)),ROW($1:$10)-1,""))</f>
        <v>0123456789</v>
      </c>
      <c r="BX140" s="20" t="str">
        <f t="shared" si="81"/>
        <v>中中中</v>
      </c>
      <c r="BY140" s="23" t="str">
        <f t="shared" si="75"/>
        <v>91</v>
      </c>
      <c r="BZ140" s="24" t="str">
        <f t="array" ref="BZ140">_xlfn.TEXTJOIN("",TRUE,IF(ISNUMBER(FIND(MID(BY139&amp;Q139,ROW($1:$4),1),BY140&amp;Q140)),MID(BY139&amp;Q139,ROW($1:$4),1),""))</f>
        <v/>
      </c>
      <c r="CA140" s="25" t="str">
        <f t="array" ref="CA140">_xlfn.TEXTJOIN("",TRUE,IF(ISERROR(FIND(ROW($1:$10)-1,BY140&amp;BZ140)),ROW($1:$10)-1,""))</f>
        <v>02345678</v>
      </c>
      <c r="CB140" s="26" t="str">
        <f t="shared" si="82"/>
        <v>邻孤孤</v>
      </c>
      <c r="CC140" s="27" t="str">
        <f t="shared" si="83"/>
        <v>46</v>
      </c>
      <c r="CD140" s="27" t="str">
        <f t="array" ref="CD140">_xlfn.TEXTJOIN("",TRUE,IF(ISNUMBER(FIND(MID(CC139&amp;R139,ROW($1:$4),1),CC140&amp;R140)),MID(CC139&amp;R139,ROW($1:$4),1),""))</f>
        <v>4</v>
      </c>
      <c r="CE140" s="27" t="str">
        <f t="array" ref="CE140">_xlfn.TEXTJOIN("",TRUE,IF(ISERROR(FIND(ROW($1:$10)-1,CC140&amp;CD140)),ROW($1:$10)-1,""))</f>
        <v>01235789</v>
      </c>
      <c r="CF140" s="17" t="str">
        <f t="shared" si="84"/>
        <v>邻传孤</v>
      </c>
      <c r="CG140" s="22" t="str">
        <f t="shared" si="85"/>
        <v>46</v>
      </c>
      <c r="CH140" s="22" t="str">
        <f t="array" ref="CH140">_xlfn.TEXTJOIN("",TRUE,IF(ISNUMBER(FIND(MID(CG139&amp;S139,ROW($1:$4),1),CG140&amp;S140)),MID(CG139&amp;S139,ROW($1:$4),1),""))</f>
        <v/>
      </c>
      <c r="CI140" s="22" t="str">
        <f t="array" ref="CI140">_xlfn.TEXTJOIN("",TRUE,IF(ISERROR(FIND(ROW($1:$10)-1,CG140&amp;CH140)),ROW($1:$10)-1,""))</f>
        <v>01235789</v>
      </c>
      <c r="CJ140" s="28" t="str">
        <f t="shared" si="86"/>
        <v>邻孤孤</v>
      </c>
    </row>
    <row r="141" spans="1:88">
      <c r="A141" s="32">
        <v>2024268</v>
      </c>
      <c r="B141" s="8" t="s">
        <v>148</v>
      </c>
      <c r="C141" s="49">
        <f t="shared" si="65"/>
        <v>13</v>
      </c>
      <c r="D141" s="50">
        <f t="shared" si="66"/>
        <v>3</v>
      </c>
      <c r="E141" s="51">
        <f t="shared" si="72"/>
        <v>4.3333333333333304</v>
      </c>
      <c r="F141" s="52">
        <f>MAX(MID(B141,{1,2,3},1)*1)-MIN(MID(B141,{1,2,3},1)*1)</f>
        <v>8</v>
      </c>
      <c r="G141" s="104">
        <v>0</v>
      </c>
      <c r="H141" s="104">
        <v>1</v>
      </c>
      <c r="I141" s="104">
        <v>2</v>
      </c>
      <c r="J141" s="104">
        <v>3</v>
      </c>
      <c r="K141" s="104">
        <v>4</v>
      </c>
      <c r="L141" s="104">
        <v>5</v>
      </c>
      <c r="M141" s="104">
        <v>6</v>
      </c>
      <c r="N141" s="104">
        <v>7</v>
      </c>
      <c r="O141" s="104">
        <v>8</v>
      </c>
      <c r="P141" s="104">
        <v>9</v>
      </c>
      <c r="Q141" s="53">
        <f t="shared" si="67"/>
        <v>6</v>
      </c>
      <c r="R141" s="53">
        <f t="shared" si="68"/>
        <v>8</v>
      </c>
      <c r="S141" s="53">
        <f t="shared" si="69"/>
        <v>2</v>
      </c>
      <c r="T141" s="101">
        <f t="shared" si="73"/>
        <v>16</v>
      </c>
      <c r="U141" s="15" t="str">
        <f>_xlfn.TEXTJOIN(", ",TRUE,ABS(MID(B141,{1,1,2},1)-MID(B141,{2,3,3},1)))</f>
        <v>6, 8, 2</v>
      </c>
      <c r="V141" s="54">
        <v>0</v>
      </c>
      <c r="W141" s="54">
        <v>1</v>
      </c>
      <c r="X141" s="54">
        <v>2</v>
      </c>
      <c r="Y141" s="54">
        <v>3</v>
      </c>
      <c r="Z141" s="54">
        <v>4</v>
      </c>
      <c r="AA141" s="54">
        <v>5</v>
      </c>
      <c r="AB141" s="54">
        <v>6</v>
      </c>
      <c r="AC141" s="54">
        <v>7</v>
      </c>
      <c r="AD141" s="54">
        <v>8</v>
      </c>
      <c r="AE141" s="54">
        <v>9</v>
      </c>
      <c r="AF141" s="55">
        <v>0</v>
      </c>
      <c r="AG141" s="55">
        <v>1</v>
      </c>
      <c r="AH141" s="55">
        <v>2</v>
      </c>
      <c r="AI141" s="55">
        <v>3</v>
      </c>
      <c r="AJ141" s="55">
        <v>4</v>
      </c>
      <c r="AK141" s="55">
        <v>5</v>
      </c>
      <c r="AL141" s="55">
        <v>6</v>
      </c>
      <c r="AM141" s="55">
        <v>7</v>
      </c>
      <c r="AN141" s="55">
        <v>8</v>
      </c>
      <c r="AO141" s="55">
        <v>9</v>
      </c>
      <c r="AP141" s="105">
        <v>0</v>
      </c>
      <c r="AQ141" s="105">
        <v>1</v>
      </c>
      <c r="AR141" s="105">
        <v>2</v>
      </c>
      <c r="AS141" s="105">
        <v>3</v>
      </c>
      <c r="AT141" s="105">
        <v>4</v>
      </c>
      <c r="AU141" s="105">
        <v>5</v>
      </c>
      <c r="AV141" s="105">
        <v>6</v>
      </c>
      <c r="AW141" s="105">
        <v>7</v>
      </c>
      <c r="AX141" s="105">
        <v>8</v>
      </c>
      <c r="AY141" s="105">
        <v>9</v>
      </c>
      <c r="AZ141" s="56">
        <v>0</v>
      </c>
      <c r="BA141" s="56">
        <v>1</v>
      </c>
      <c r="BB141" s="56">
        <v>2</v>
      </c>
      <c r="BC141" s="56">
        <v>3</v>
      </c>
      <c r="BD141" s="56">
        <v>4</v>
      </c>
      <c r="BE141" s="56">
        <v>5</v>
      </c>
      <c r="BF141" s="56">
        <v>6</v>
      </c>
      <c r="BG141" s="56">
        <v>7</v>
      </c>
      <c r="BH141" s="56">
        <v>8</v>
      </c>
      <c r="BI141" s="56">
        <v>9</v>
      </c>
      <c r="BJ141" s="57" t="str">
        <f t="shared" si="74"/>
        <v>松散型</v>
      </c>
      <c r="BK141" s="13">
        <f t="shared" si="70"/>
        <v>2</v>
      </c>
      <c r="BL141" s="13">
        <f t="shared" si="71"/>
        <v>8</v>
      </c>
      <c r="BM141" s="18" t="str">
        <f t="shared" si="76"/>
        <v/>
      </c>
      <c r="BN141" s="19">
        <f t="shared" si="77"/>
        <v>6</v>
      </c>
      <c r="BO141" s="19" t="str">
        <f t="array" ref="BO141">_xlfn.TEXTJOIN("",TRUE,IF(ISERROR(FIND(ROW($1:$10)-1,BM141&amp;BN141)),ROW($1:$10)-1,""))</f>
        <v>012345789</v>
      </c>
      <c r="BP141" s="20" t="str">
        <f t="shared" si="78"/>
        <v>中隔中</v>
      </c>
      <c r="BQ141" s="21" t="str">
        <f t="shared" si="89"/>
        <v/>
      </c>
      <c r="BR141" s="21" t="str">
        <f t="shared" si="87"/>
        <v/>
      </c>
      <c r="BS141" s="21" t="str">
        <f t="array" ref="BS141">_xlfn.TEXTJOIN("",TRUE,IF(ISERROR(FIND(ROW($1:$10)-1,BQ141&amp;BR141)),ROW($1:$10)-1,""))</f>
        <v>0123456789</v>
      </c>
      <c r="BT141" s="20" t="str">
        <f t="shared" si="79"/>
        <v>中中中</v>
      </c>
      <c r="BU141" s="22" t="str">
        <f t="shared" si="80"/>
        <v/>
      </c>
      <c r="BV141" s="22" t="str">
        <f t="shared" si="88"/>
        <v/>
      </c>
      <c r="BW141" s="22" t="str">
        <f t="array" ref="BW141">_xlfn.TEXTJOIN("",TRUE,IF(ISERROR(FIND(ROW($1:$10)-1,BU141&amp;BV141)),ROW($1:$10)-1,""))</f>
        <v>0123456789</v>
      </c>
      <c r="BX141" s="20" t="str">
        <f t="shared" si="81"/>
        <v>中中中</v>
      </c>
      <c r="BY141" s="23" t="str">
        <f t="shared" si="75"/>
        <v>57</v>
      </c>
      <c r="BZ141" s="24" t="str">
        <f t="array" ref="BZ141">_xlfn.TEXTJOIN("",TRUE,IF(ISNUMBER(FIND(MID(BY140&amp;Q140,ROW($1:$4),1),BY141&amp;Q141)),MID(BY140&amp;Q140,ROW($1:$4),1),""))</f>
        <v/>
      </c>
      <c r="CA141" s="25" t="str">
        <f t="array" ref="CA141">_xlfn.TEXTJOIN("",TRUE,IF(ISERROR(FIND(ROW($1:$10)-1,BY141&amp;BZ141)),ROW($1:$10)-1,""))</f>
        <v>01234689</v>
      </c>
      <c r="CB141" s="26" t="str">
        <f t="shared" si="82"/>
        <v>邻孤孤</v>
      </c>
      <c r="CC141" s="27" t="str">
        <f t="shared" si="83"/>
        <v>79</v>
      </c>
      <c r="CD141" s="27" t="str">
        <f t="array" ref="CD141">_xlfn.TEXTJOIN("",TRUE,IF(ISNUMBER(FIND(MID(CC140&amp;R140,ROW($1:$4),1),CC141&amp;R141)),MID(CC140&amp;R140,ROW($1:$4),1),""))</f>
        <v/>
      </c>
      <c r="CE141" s="27" t="str">
        <f t="array" ref="CE141">_xlfn.TEXTJOIN("",TRUE,IF(ISERROR(FIND(ROW($1:$10)-1,CC141&amp;CD141)),ROW($1:$10)-1,""))</f>
        <v>01234568</v>
      </c>
      <c r="CF141" s="17" t="str">
        <f t="shared" si="84"/>
        <v>邻孤孤</v>
      </c>
      <c r="CG141" s="22" t="str">
        <f t="shared" si="85"/>
        <v>13</v>
      </c>
      <c r="CH141" s="22" t="str">
        <f t="array" ref="CH141">_xlfn.TEXTJOIN("",TRUE,IF(ISNUMBER(FIND(MID(CG140&amp;S140,ROW($1:$4),1),CG141&amp;S141)),MID(CG140&amp;S140,ROW($1:$4),1),""))</f>
        <v/>
      </c>
      <c r="CI141" s="22" t="str">
        <f t="array" ref="CI141">_xlfn.TEXTJOIN("",TRUE,IF(ISERROR(FIND(ROW($1:$10)-1,CG141&amp;CH141)),ROW($1:$10)-1,""))</f>
        <v>02456789</v>
      </c>
      <c r="CJ141" s="28" t="str">
        <f t="shared" si="86"/>
        <v>邻孤孤</v>
      </c>
    </row>
    <row r="142" spans="1:88">
      <c r="A142" s="32">
        <v>2024269</v>
      </c>
      <c r="B142" s="8" t="s">
        <v>149</v>
      </c>
      <c r="C142" s="49">
        <f t="shared" si="65"/>
        <v>19</v>
      </c>
      <c r="D142" s="50">
        <f t="shared" si="66"/>
        <v>9</v>
      </c>
      <c r="E142" s="51">
        <f t="shared" si="72"/>
        <v>6.3333333333333304</v>
      </c>
      <c r="F142" s="52">
        <f>MAX(MID(B142,{1,2,3},1)*1)-MIN(MID(B142,{1,2,3},1)*1)</f>
        <v>5</v>
      </c>
      <c r="G142" s="104">
        <v>0</v>
      </c>
      <c r="H142" s="104">
        <v>1</v>
      </c>
      <c r="I142" s="104">
        <v>2</v>
      </c>
      <c r="J142" s="104">
        <v>3</v>
      </c>
      <c r="K142" s="104">
        <v>4</v>
      </c>
      <c r="L142" s="104">
        <v>5</v>
      </c>
      <c r="M142" s="104">
        <v>6</v>
      </c>
      <c r="N142" s="104">
        <v>7</v>
      </c>
      <c r="O142" s="104">
        <v>8</v>
      </c>
      <c r="P142" s="104">
        <v>9</v>
      </c>
      <c r="Q142" s="53">
        <f t="shared" si="67"/>
        <v>5</v>
      </c>
      <c r="R142" s="53">
        <f t="shared" si="68"/>
        <v>5</v>
      </c>
      <c r="S142" s="53">
        <f t="shared" si="69"/>
        <v>0</v>
      </c>
      <c r="T142" s="101">
        <f t="shared" si="73"/>
        <v>10</v>
      </c>
      <c r="U142" s="15" t="str">
        <f>_xlfn.TEXTJOIN(", ",TRUE,ABS(MID(B142,{1,1,2},1)-MID(B142,{2,3,3},1)))</f>
        <v>5, 5, 0</v>
      </c>
      <c r="V142" s="54">
        <v>0</v>
      </c>
      <c r="W142" s="54">
        <v>1</v>
      </c>
      <c r="X142" s="54">
        <v>2</v>
      </c>
      <c r="Y142" s="54">
        <v>3</v>
      </c>
      <c r="Z142" s="54">
        <v>4</v>
      </c>
      <c r="AA142" s="54">
        <v>5</v>
      </c>
      <c r="AB142" s="54">
        <v>6</v>
      </c>
      <c r="AC142" s="54">
        <v>7</v>
      </c>
      <c r="AD142" s="54">
        <v>8</v>
      </c>
      <c r="AE142" s="54">
        <v>9</v>
      </c>
      <c r="AF142" s="55">
        <v>0</v>
      </c>
      <c r="AG142" s="55">
        <v>1</v>
      </c>
      <c r="AH142" s="55">
        <v>2</v>
      </c>
      <c r="AI142" s="55">
        <v>3</v>
      </c>
      <c r="AJ142" s="55">
        <v>4</v>
      </c>
      <c r="AK142" s="55">
        <v>5</v>
      </c>
      <c r="AL142" s="55">
        <v>6</v>
      </c>
      <c r="AM142" s="55">
        <v>7</v>
      </c>
      <c r="AN142" s="55">
        <v>8</v>
      </c>
      <c r="AO142" s="55">
        <v>9</v>
      </c>
      <c r="AP142" s="105">
        <v>0</v>
      </c>
      <c r="AQ142" s="105">
        <v>1</v>
      </c>
      <c r="AR142" s="105">
        <v>2</v>
      </c>
      <c r="AS142" s="105">
        <v>3</v>
      </c>
      <c r="AT142" s="105">
        <v>4</v>
      </c>
      <c r="AU142" s="105">
        <v>5</v>
      </c>
      <c r="AV142" s="105">
        <v>6</v>
      </c>
      <c r="AW142" s="105">
        <v>7</v>
      </c>
      <c r="AX142" s="105">
        <v>8</v>
      </c>
      <c r="AY142" s="105">
        <v>9</v>
      </c>
      <c r="AZ142" s="56">
        <v>0</v>
      </c>
      <c r="BA142" s="56">
        <v>1</v>
      </c>
      <c r="BB142" s="56">
        <v>2</v>
      </c>
      <c r="BC142" s="56">
        <v>3</v>
      </c>
      <c r="BD142" s="56">
        <v>4</v>
      </c>
      <c r="BE142" s="56">
        <v>5</v>
      </c>
      <c r="BF142" s="56">
        <v>6</v>
      </c>
      <c r="BG142" s="56">
        <v>7</v>
      </c>
      <c r="BH142" s="56">
        <v>8</v>
      </c>
      <c r="BI142" s="56">
        <v>9</v>
      </c>
      <c r="BJ142" s="57" t="str">
        <f t="shared" si="74"/>
        <v>对子</v>
      </c>
      <c r="BK142" s="13">
        <f t="shared" si="70"/>
        <v>0</v>
      </c>
      <c r="BL142" s="13">
        <f t="shared" si="71"/>
        <v>5</v>
      </c>
      <c r="BM142" s="18" t="str">
        <f t="shared" si="76"/>
        <v/>
      </c>
      <c r="BN142" s="19">
        <f t="shared" si="77"/>
        <v>5</v>
      </c>
      <c r="BO142" s="19" t="str">
        <f t="array" ref="BO142">_xlfn.TEXTJOIN("",TRUE,IF(ISERROR(FIND(ROW($1:$10)-1,BM142&amp;BN142)),ROW($1:$10)-1,""))</f>
        <v>012346789</v>
      </c>
      <c r="BP142" s="20" t="str">
        <f t="shared" si="78"/>
        <v>中隔中</v>
      </c>
      <c r="BQ142" s="21" t="str">
        <f t="shared" si="89"/>
        <v/>
      </c>
      <c r="BR142" s="21">
        <f t="shared" si="87"/>
        <v>5</v>
      </c>
      <c r="BS142" s="21" t="str">
        <f t="array" ref="BS142">_xlfn.TEXTJOIN("",TRUE,IF(ISERROR(FIND(ROW($1:$10)-1,BQ142&amp;BR142)),ROW($1:$10)-1,""))</f>
        <v>012346789</v>
      </c>
      <c r="BT142" s="20" t="str">
        <f t="shared" si="79"/>
        <v>中隔中</v>
      </c>
      <c r="BU142" s="22" t="str">
        <f t="shared" si="80"/>
        <v/>
      </c>
      <c r="BV142" s="22">
        <f t="shared" si="88"/>
        <v>0</v>
      </c>
      <c r="BW142" s="22" t="str">
        <f t="array" ref="BW142">_xlfn.TEXTJOIN("",TRUE,IF(ISERROR(FIND(ROW($1:$10)-1,BU142&amp;BV142)),ROW($1:$10)-1,""))</f>
        <v>123456789</v>
      </c>
      <c r="BX142" s="20" t="str">
        <f t="shared" si="81"/>
        <v>中隔中</v>
      </c>
      <c r="BY142" s="23" t="str">
        <f t="shared" si="75"/>
        <v>46</v>
      </c>
      <c r="BZ142" s="24" t="str">
        <f t="array" ref="BZ142">_xlfn.TEXTJOIN("",TRUE,IF(ISNUMBER(FIND(MID(BY141&amp;Q141,ROW($1:$4),1),BY142&amp;Q142)),MID(BY141&amp;Q141,ROW($1:$4),1),""))</f>
        <v>56</v>
      </c>
      <c r="CA142" s="25" t="str">
        <f t="array" ref="CA142">_xlfn.TEXTJOIN("",TRUE,IF(ISERROR(FIND(ROW($1:$10)-1,BY142&amp;BZ142)),ROW($1:$10)-1,""))</f>
        <v>0123789</v>
      </c>
      <c r="CB142" s="26" t="str">
        <f t="shared" si="82"/>
        <v>邻传孤</v>
      </c>
      <c r="CC142" s="27" t="str">
        <f t="shared" si="83"/>
        <v>46</v>
      </c>
      <c r="CD142" s="27" t="str">
        <f t="array" ref="CD142">_xlfn.TEXTJOIN("",TRUE,IF(ISNUMBER(FIND(MID(CC141&amp;R141,ROW($1:$4),1),CC142&amp;R142)),MID(CC141&amp;R141,ROW($1:$4),1),""))</f>
        <v/>
      </c>
      <c r="CE142" s="27" t="str">
        <f t="array" ref="CE142">_xlfn.TEXTJOIN("",TRUE,IF(ISERROR(FIND(ROW($1:$10)-1,CC142&amp;CD142)),ROW($1:$10)-1,""))</f>
        <v>01235789</v>
      </c>
      <c r="CF142" s="17" t="str">
        <f t="shared" si="84"/>
        <v>邻孤孤</v>
      </c>
      <c r="CG142" s="22" t="str">
        <f t="shared" si="85"/>
        <v>91</v>
      </c>
      <c r="CH142" s="22" t="str">
        <f t="array" ref="CH142">_xlfn.TEXTJOIN("",TRUE,IF(ISNUMBER(FIND(MID(CG141&amp;S141,ROW($1:$4),1),CG142&amp;S142)),MID(CG141&amp;S141,ROW($1:$4),1),""))</f>
        <v>1</v>
      </c>
      <c r="CI142" s="22" t="str">
        <f t="array" ref="CI142">_xlfn.TEXTJOIN("",TRUE,IF(ISERROR(FIND(ROW($1:$10)-1,CG142&amp;CH142)),ROW($1:$10)-1,""))</f>
        <v>02345678</v>
      </c>
      <c r="CJ142" s="28" t="str">
        <f t="shared" si="86"/>
        <v>邻传孤</v>
      </c>
    </row>
    <row r="143" spans="1:88">
      <c r="A143" s="32">
        <v>2024270</v>
      </c>
      <c r="B143" s="8" t="s">
        <v>150</v>
      </c>
      <c r="C143" s="49">
        <f t="shared" si="65"/>
        <v>24</v>
      </c>
      <c r="D143" s="50">
        <f t="shared" si="66"/>
        <v>4</v>
      </c>
      <c r="E143" s="51">
        <f t="shared" si="72"/>
        <v>8</v>
      </c>
      <c r="F143" s="52">
        <f>MAX(MID(B143,{1,2,3},1)*1)-MIN(MID(B143,{1,2,3},1)*1)</f>
        <v>3</v>
      </c>
      <c r="G143" s="104">
        <v>0</v>
      </c>
      <c r="H143" s="104">
        <v>1</v>
      </c>
      <c r="I143" s="104">
        <v>2</v>
      </c>
      <c r="J143" s="104">
        <v>3</v>
      </c>
      <c r="K143" s="104">
        <v>4</v>
      </c>
      <c r="L143" s="104">
        <v>5</v>
      </c>
      <c r="M143" s="104">
        <v>6</v>
      </c>
      <c r="N143" s="104">
        <v>7</v>
      </c>
      <c r="O143" s="104">
        <v>8</v>
      </c>
      <c r="P143" s="104">
        <v>9</v>
      </c>
      <c r="Q143" s="53">
        <f t="shared" si="67"/>
        <v>3</v>
      </c>
      <c r="R143" s="53">
        <f t="shared" si="68"/>
        <v>3</v>
      </c>
      <c r="S143" s="53">
        <f t="shared" si="69"/>
        <v>0</v>
      </c>
      <c r="T143" s="101">
        <f t="shared" si="73"/>
        <v>6</v>
      </c>
      <c r="U143" s="15" t="str">
        <f>_xlfn.TEXTJOIN(", ",TRUE,ABS(MID(B143,{1,1,2},1)-MID(B143,{2,3,3},1)))</f>
        <v>3, 3, 0</v>
      </c>
      <c r="V143" s="54">
        <v>0</v>
      </c>
      <c r="W143" s="54">
        <v>1</v>
      </c>
      <c r="X143" s="54">
        <v>2</v>
      </c>
      <c r="Y143" s="54">
        <v>3</v>
      </c>
      <c r="Z143" s="54">
        <v>4</v>
      </c>
      <c r="AA143" s="54">
        <v>5</v>
      </c>
      <c r="AB143" s="54">
        <v>6</v>
      </c>
      <c r="AC143" s="54">
        <v>7</v>
      </c>
      <c r="AD143" s="54">
        <v>8</v>
      </c>
      <c r="AE143" s="54">
        <v>9</v>
      </c>
      <c r="AF143" s="55">
        <v>0</v>
      </c>
      <c r="AG143" s="55">
        <v>1</v>
      </c>
      <c r="AH143" s="55">
        <v>2</v>
      </c>
      <c r="AI143" s="55">
        <v>3</v>
      </c>
      <c r="AJ143" s="55">
        <v>4</v>
      </c>
      <c r="AK143" s="55">
        <v>5</v>
      </c>
      <c r="AL143" s="55">
        <v>6</v>
      </c>
      <c r="AM143" s="55">
        <v>7</v>
      </c>
      <c r="AN143" s="55">
        <v>8</v>
      </c>
      <c r="AO143" s="55">
        <v>9</v>
      </c>
      <c r="AP143" s="105">
        <v>0</v>
      </c>
      <c r="AQ143" s="105">
        <v>1</v>
      </c>
      <c r="AR143" s="105">
        <v>2</v>
      </c>
      <c r="AS143" s="105">
        <v>3</v>
      </c>
      <c r="AT143" s="105">
        <v>4</v>
      </c>
      <c r="AU143" s="105">
        <v>5</v>
      </c>
      <c r="AV143" s="105">
        <v>6</v>
      </c>
      <c r="AW143" s="105">
        <v>7</v>
      </c>
      <c r="AX143" s="105">
        <v>8</v>
      </c>
      <c r="AY143" s="105">
        <v>9</v>
      </c>
      <c r="AZ143" s="56">
        <v>0</v>
      </c>
      <c r="BA143" s="56">
        <v>1</v>
      </c>
      <c r="BB143" s="56">
        <v>2</v>
      </c>
      <c r="BC143" s="56">
        <v>3</v>
      </c>
      <c r="BD143" s="56">
        <v>4</v>
      </c>
      <c r="BE143" s="56">
        <v>5</v>
      </c>
      <c r="BF143" s="56">
        <v>6</v>
      </c>
      <c r="BG143" s="56">
        <v>7</v>
      </c>
      <c r="BH143" s="56">
        <v>8</v>
      </c>
      <c r="BI143" s="56">
        <v>9</v>
      </c>
      <c r="BJ143" s="57" t="str">
        <f t="shared" si="74"/>
        <v>紧凑型</v>
      </c>
      <c r="BK143" s="13">
        <f t="shared" si="70"/>
        <v>0</v>
      </c>
      <c r="BL143" s="13">
        <f t="shared" si="71"/>
        <v>3</v>
      </c>
      <c r="BM143" s="18" t="str">
        <f t="shared" si="76"/>
        <v/>
      </c>
      <c r="BN143" s="19" t="str">
        <f t="shared" si="77"/>
        <v/>
      </c>
      <c r="BO143" s="19" t="str">
        <f t="array" ref="BO143">_xlfn.TEXTJOIN("",TRUE,IF(ISERROR(FIND(ROW($1:$10)-1,BM143&amp;BN143)),ROW($1:$10)-1,""))</f>
        <v>0123456789</v>
      </c>
      <c r="BP143" s="20" t="str">
        <f t="shared" si="78"/>
        <v>中中中</v>
      </c>
      <c r="BQ143" s="21" t="str">
        <f t="shared" si="89"/>
        <v/>
      </c>
      <c r="BR143" s="21" t="str">
        <f t="shared" si="87"/>
        <v/>
      </c>
      <c r="BS143" s="21" t="str">
        <f t="array" ref="BS143">_xlfn.TEXTJOIN("",TRUE,IF(ISERROR(FIND(ROW($1:$10)-1,BQ143&amp;BR143)),ROW($1:$10)-1,""))</f>
        <v>0123456789</v>
      </c>
      <c r="BT143" s="20" t="str">
        <f t="shared" si="79"/>
        <v>中中中</v>
      </c>
      <c r="BU143" s="22">
        <f t="shared" si="80"/>
        <v>0</v>
      </c>
      <c r="BV143" s="22" t="str">
        <f t="shared" si="88"/>
        <v/>
      </c>
      <c r="BW143" s="22" t="str">
        <f t="array" ref="BW143">_xlfn.TEXTJOIN("",TRUE,IF(ISERROR(FIND(ROW($1:$10)-1,BU143&amp;BV143)),ROW($1:$10)-1,""))</f>
        <v>123456789</v>
      </c>
      <c r="BX143" s="20" t="str">
        <f t="shared" si="81"/>
        <v>复中中</v>
      </c>
      <c r="BY143" s="23" t="str">
        <f t="shared" si="75"/>
        <v>24</v>
      </c>
      <c r="BZ143" s="24" t="str">
        <f t="array" ref="BZ143">_xlfn.TEXTJOIN("",TRUE,IF(ISNUMBER(FIND(MID(BY142&amp;Q142,ROW($1:$4),1),BY143&amp;Q143)),MID(BY142&amp;Q142,ROW($1:$4),1),""))</f>
        <v>4</v>
      </c>
      <c r="CA143" s="25" t="str">
        <f t="array" ref="CA143">_xlfn.TEXTJOIN("",TRUE,IF(ISERROR(FIND(ROW($1:$10)-1,BY143&amp;BZ143)),ROW($1:$10)-1,""))</f>
        <v>01356789</v>
      </c>
      <c r="CB143" s="26" t="str">
        <f t="shared" si="82"/>
        <v>邻传孤</v>
      </c>
      <c r="CC143" s="27" t="str">
        <f t="shared" si="83"/>
        <v>24</v>
      </c>
      <c r="CD143" s="27" t="str">
        <f t="array" ref="CD143">_xlfn.TEXTJOIN("",TRUE,IF(ISNUMBER(FIND(MID(CC142&amp;R142,ROW($1:$4),1),CC143&amp;R143)),MID(CC142&amp;R142,ROW($1:$4),1),""))</f>
        <v>4</v>
      </c>
      <c r="CE143" s="27" t="str">
        <f t="array" ref="CE143">_xlfn.TEXTJOIN("",TRUE,IF(ISERROR(FIND(ROW($1:$10)-1,CC143&amp;CD143)),ROW($1:$10)-1,""))</f>
        <v>01356789</v>
      </c>
      <c r="CF143" s="17" t="str">
        <f t="shared" si="84"/>
        <v>邻传孤</v>
      </c>
      <c r="CG143" s="22" t="str">
        <f t="shared" si="85"/>
        <v>91</v>
      </c>
      <c r="CH143" s="22" t="str">
        <f t="array" ref="CH143">_xlfn.TEXTJOIN("",TRUE,IF(ISNUMBER(FIND(MID(CG142&amp;S142,ROW($1:$4),1),CG143&amp;S143)),MID(CG142&amp;S142,ROW($1:$4),1),""))</f>
        <v>910</v>
      </c>
      <c r="CI143" s="22" t="str">
        <f t="array" ref="CI143">_xlfn.TEXTJOIN("",TRUE,IF(ISERROR(FIND(ROW($1:$10)-1,CG143&amp;CH143)),ROW($1:$10)-1,""))</f>
        <v>2345678</v>
      </c>
      <c r="CJ143" s="28" t="str">
        <f t="shared" si="86"/>
        <v>邻传孤</v>
      </c>
    </row>
    <row r="144" spans="1:88">
      <c r="A144" s="32">
        <v>2024271</v>
      </c>
      <c r="B144" s="8" t="s">
        <v>151</v>
      </c>
      <c r="C144" s="49">
        <f t="shared" si="65"/>
        <v>21</v>
      </c>
      <c r="D144" s="50">
        <f t="shared" si="66"/>
        <v>1</v>
      </c>
      <c r="E144" s="51">
        <f t="shared" si="72"/>
        <v>7</v>
      </c>
      <c r="F144" s="52">
        <f>MAX(MID(B144,{1,2,3},1)*1)-MIN(MID(B144,{1,2,3},1)*1)</f>
        <v>4</v>
      </c>
      <c r="G144" s="104">
        <v>0</v>
      </c>
      <c r="H144" s="104">
        <v>1</v>
      </c>
      <c r="I144" s="104">
        <v>2</v>
      </c>
      <c r="J144" s="104">
        <v>3</v>
      </c>
      <c r="K144" s="104">
        <v>4</v>
      </c>
      <c r="L144" s="104">
        <v>5</v>
      </c>
      <c r="M144" s="104">
        <v>6</v>
      </c>
      <c r="N144" s="104">
        <v>7</v>
      </c>
      <c r="O144" s="104">
        <v>8</v>
      </c>
      <c r="P144" s="104">
        <v>9</v>
      </c>
      <c r="Q144" s="53">
        <f t="shared" si="67"/>
        <v>2</v>
      </c>
      <c r="R144" s="53">
        <f t="shared" si="68"/>
        <v>2</v>
      </c>
      <c r="S144" s="53">
        <f t="shared" si="69"/>
        <v>4</v>
      </c>
      <c r="T144" s="101">
        <f t="shared" si="73"/>
        <v>8</v>
      </c>
      <c r="U144" s="15" t="str">
        <f>_xlfn.TEXTJOIN(", ",TRUE,ABS(MID(B144,{1,1,2},1)-MID(B144,{2,3,3},1)))</f>
        <v>2, 2, 4</v>
      </c>
      <c r="V144" s="54">
        <v>0</v>
      </c>
      <c r="W144" s="54">
        <v>1</v>
      </c>
      <c r="X144" s="54">
        <v>2</v>
      </c>
      <c r="Y144" s="54">
        <v>3</v>
      </c>
      <c r="Z144" s="54">
        <v>4</v>
      </c>
      <c r="AA144" s="54">
        <v>5</v>
      </c>
      <c r="AB144" s="54">
        <v>6</v>
      </c>
      <c r="AC144" s="54">
        <v>7</v>
      </c>
      <c r="AD144" s="54">
        <v>8</v>
      </c>
      <c r="AE144" s="54">
        <v>9</v>
      </c>
      <c r="AF144" s="55">
        <v>0</v>
      </c>
      <c r="AG144" s="55">
        <v>1</v>
      </c>
      <c r="AH144" s="55">
        <v>2</v>
      </c>
      <c r="AI144" s="55">
        <v>3</v>
      </c>
      <c r="AJ144" s="55">
        <v>4</v>
      </c>
      <c r="AK144" s="55">
        <v>5</v>
      </c>
      <c r="AL144" s="55">
        <v>6</v>
      </c>
      <c r="AM144" s="55">
        <v>7</v>
      </c>
      <c r="AN144" s="55">
        <v>8</v>
      </c>
      <c r="AO144" s="55">
        <v>9</v>
      </c>
      <c r="AP144" s="105">
        <v>0</v>
      </c>
      <c r="AQ144" s="105">
        <v>1</v>
      </c>
      <c r="AR144" s="105">
        <v>2</v>
      </c>
      <c r="AS144" s="105">
        <v>3</v>
      </c>
      <c r="AT144" s="105">
        <v>4</v>
      </c>
      <c r="AU144" s="105">
        <v>5</v>
      </c>
      <c r="AV144" s="105">
        <v>6</v>
      </c>
      <c r="AW144" s="105">
        <v>7</v>
      </c>
      <c r="AX144" s="105">
        <v>8</v>
      </c>
      <c r="AY144" s="105">
        <v>9</v>
      </c>
      <c r="AZ144" s="56">
        <v>0</v>
      </c>
      <c r="BA144" s="56">
        <v>1</v>
      </c>
      <c r="BB144" s="56">
        <v>2</v>
      </c>
      <c r="BC144" s="56">
        <v>3</v>
      </c>
      <c r="BD144" s="56">
        <v>4</v>
      </c>
      <c r="BE144" s="56">
        <v>5</v>
      </c>
      <c r="BF144" s="56">
        <v>6</v>
      </c>
      <c r="BG144" s="56">
        <v>7</v>
      </c>
      <c r="BH144" s="56">
        <v>8</v>
      </c>
      <c r="BI144" s="56">
        <v>9</v>
      </c>
      <c r="BJ144" s="57" t="str">
        <f t="shared" si="74"/>
        <v>标准型</v>
      </c>
      <c r="BK144" s="13">
        <f t="shared" si="70"/>
        <v>2</v>
      </c>
      <c r="BL144" s="13">
        <f t="shared" si="71"/>
        <v>4</v>
      </c>
      <c r="BM144" s="18" t="str">
        <f t="shared" si="76"/>
        <v/>
      </c>
      <c r="BN144" s="19" t="str">
        <f t="shared" si="77"/>
        <v/>
      </c>
      <c r="BO144" s="19" t="str">
        <f t="array" ref="BO144">_xlfn.TEXTJOIN("",TRUE,IF(ISERROR(FIND(ROW($1:$10)-1,BM144&amp;BN144)),ROW($1:$10)-1,""))</f>
        <v>0123456789</v>
      </c>
      <c r="BP144" s="20" t="str">
        <f t="shared" si="78"/>
        <v>中中中</v>
      </c>
      <c r="BQ144" s="21" t="str">
        <f t="shared" si="89"/>
        <v/>
      </c>
      <c r="BR144" s="21" t="str">
        <f t="shared" si="87"/>
        <v/>
      </c>
      <c r="BS144" s="21" t="str">
        <f t="array" ref="BS144">_xlfn.TEXTJOIN("",TRUE,IF(ISERROR(FIND(ROW($1:$10)-1,BQ144&amp;BR144)),ROW($1:$10)-1,""))</f>
        <v>0123456789</v>
      </c>
      <c r="BT144" s="20" t="str">
        <f t="shared" si="79"/>
        <v>中中中</v>
      </c>
      <c r="BU144" s="22" t="str">
        <f t="shared" si="80"/>
        <v/>
      </c>
      <c r="BV144" s="22" t="str">
        <f t="shared" si="88"/>
        <v/>
      </c>
      <c r="BW144" s="22" t="str">
        <f t="array" ref="BW144">_xlfn.TEXTJOIN("",TRUE,IF(ISERROR(FIND(ROW($1:$10)-1,BU144&amp;BV144)),ROW($1:$10)-1,""))</f>
        <v>0123456789</v>
      </c>
      <c r="BX144" s="20" t="str">
        <f t="shared" si="81"/>
        <v>中中中</v>
      </c>
      <c r="BY144" s="23" t="str">
        <f t="shared" si="75"/>
        <v>13</v>
      </c>
      <c r="BZ144" s="24" t="str">
        <f t="array" ref="BZ144">_xlfn.TEXTJOIN("",TRUE,IF(ISNUMBER(FIND(MID(BY143&amp;Q143,ROW($1:$4),1),BY144&amp;Q144)),MID(BY143&amp;Q143,ROW($1:$4),1),""))</f>
        <v>23</v>
      </c>
      <c r="CA144" s="25" t="str">
        <f t="array" ref="CA144">_xlfn.TEXTJOIN("",TRUE,IF(ISERROR(FIND(ROW($1:$10)-1,BY144&amp;BZ144)),ROW($1:$10)-1,""))</f>
        <v>0456789</v>
      </c>
      <c r="CB144" s="26" t="str">
        <f t="shared" si="82"/>
        <v>邻传孤</v>
      </c>
      <c r="CC144" s="27" t="str">
        <f t="shared" si="83"/>
        <v>13</v>
      </c>
      <c r="CD144" s="27" t="str">
        <f t="array" ref="CD144">_xlfn.TEXTJOIN("",TRUE,IF(ISNUMBER(FIND(MID(CC143&amp;R143,ROW($1:$4),1),CC144&amp;R144)),MID(CC143&amp;R143,ROW($1:$4),1),""))</f>
        <v>23</v>
      </c>
      <c r="CE144" s="27" t="str">
        <f t="array" ref="CE144">_xlfn.TEXTJOIN("",TRUE,IF(ISERROR(FIND(ROW($1:$10)-1,CC144&amp;CD144)),ROW($1:$10)-1,""))</f>
        <v>0456789</v>
      </c>
      <c r="CF144" s="17" t="str">
        <f t="shared" si="84"/>
        <v>邻传孤</v>
      </c>
      <c r="CG144" s="22" t="str">
        <f t="shared" si="85"/>
        <v>35</v>
      </c>
      <c r="CH144" s="22" t="str">
        <f t="array" ref="CH144">_xlfn.TEXTJOIN("",TRUE,IF(ISNUMBER(FIND(MID(CG143&amp;S143,ROW($1:$4),1),CG144&amp;S144)),MID(CG143&amp;S143,ROW($1:$4),1),""))</f>
        <v/>
      </c>
      <c r="CI144" s="22" t="str">
        <f t="array" ref="CI144">_xlfn.TEXTJOIN("",TRUE,IF(ISERROR(FIND(ROW($1:$10)-1,CG144&amp;CH144)),ROW($1:$10)-1,""))</f>
        <v>01246789</v>
      </c>
      <c r="CJ144" s="28" t="str">
        <f t="shared" si="86"/>
        <v>邻孤孤</v>
      </c>
    </row>
    <row r="145" spans="1:88">
      <c r="A145" s="32">
        <v>2024272</v>
      </c>
      <c r="B145" s="8" t="s">
        <v>152</v>
      </c>
      <c r="C145" s="49">
        <f t="shared" si="65"/>
        <v>14</v>
      </c>
      <c r="D145" s="50">
        <f t="shared" si="66"/>
        <v>4</v>
      </c>
      <c r="E145" s="51">
        <f t="shared" si="72"/>
        <v>4.6666666666666696</v>
      </c>
      <c r="F145" s="52">
        <f>MAX(MID(B145,{1,2,3},1)*1)-MIN(MID(B145,{1,2,3},1)*1)</f>
        <v>5</v>
      </c>
      <c r="G145" s="104">
        <v>0</v>
      </c>
      <c r="H145" s="104">
        <v>1</v>
      </c>
      <c r="I145" s="104">
        <v>2</v>
      </c>
      <c r="J145" s="104">
        <v>3</v>
      </c>
      <c r="K145" s="104">
        <v>4</v>
      </c>
      <c r="L145" s="104">
        <v>5</v>
      </c>
      <c r="M145" s="104">
        <v>6</v>
      </c>
      <c r="N145" s="104">
        <v>7</v>
      </c>
      <c r="O145" s="104">
        <v>8</v>
      </c>
      <c r="P145" s="104">
        <v>9</v>
      </c>
      <c r="Q145" s="53">
        <f t="shared" si="67"/>
        <v>5</v>
      </c>
      <c r="R145" s="53">
        <f t="shared" si="68"/>
        <v>3</v>
      </c>
      <c r="S145" s="53">
        <f t="shared" si="69"/>
        <v>2</v>
      </c>
      <c r="T145" s="101">
        <f t="shared" si="73"/>
        <v>10</v>
      </c>
      <c r="U145" s="15" t="str">
        <f>_xlfn.TEXTJOIN(", ",TRUE,ABS(MID(B145,{1,1,2},1)-MID(B145,{2,3,3},1)))</f>
        <v>5, 3, 2</v>
      </c>
      <c r="V145" s="54">
        <v>0</v>
      </c>
      <c r="W145" s="54">
        <v>1</v>
      </c>
      <c r="X145" s="54">
        <v>2</v>
      </c>
      <c r="Y145" s="54">
        <v>3</v>
      </c>
      <c r="Z145" s="54">
        <v>4</v>
      </c>
      <c r="AA145" s="54">
        <v>5</v>
      </c>
      <c r="AB145" s="54">
        <v>6</v>
      </c>
      <c r="AC145" s="54">
        <v>7</v>
      </c>
      <c r="AD145" s="54">
        <v>8</v>
      </c>
      <c r="AE145" s="54">
        <v>9</v>
      </c>
      <c r="AF145" s="55">
        <v>0</v>
      </c>
      <c r="AG145" s="55">
        <v>1</v>
      </c>
      <c r="AH145" s="55">
        <v>2</v>
      </c>
      <c r="AI145" s="55">
        <v>3</v>
      </c>
      <c r="AJ145" s="55">
        <v>4</v>
      </c>
      <c r="AK145" s="55">
        <v>5</v>
      </c>
      <c r="AL145" s="55">
        <v>6</v>
      </c>
      <c r="AM145" s="55">
        <v>7</v>
      </c>
      <c r="AN145" s="55">
        <v>8</v>
      </c>
      <c r="AO145" s="55">
        <v>9</v>
      </c>
      <c r="AP145" s="105">
        <v>0</v>
      </c>
      <c r="AQ145" s="105">
        <v>1</v>
      </c>
      <c r="AR145" s="105">
        <v>2</v>
      </c>
      <c r="AS145" s="105">
        <v>3</v>
      </c>
      <c r="AT145" s="105">
        <v>4</v>
      </c>
      <c r="AU145" s="105">
        <v>5</v>
      </c>
      <c r="AV145" s="105">
        <v>6</v>
      </c>
      <c r="AW145" s="105">
        <v>7</v>
      </c>
      <c r="AX145" s="105">
        <v>8</v>
      </c>
      <c r="AY145" s="105">
        <v>9</v>
      </c>
      <c r="AZ145" s="56">
        <v>0</v>
      </c>
      <c r="BA145" s="56">
        <v>1</v>
      </c>
      <c r="BB145" s="56">
        <v>2</v>
      </c>
      <c r="BC145" s="56">
        <v>3</v>
      </c>
      <c r="BD145" s="56">
        <v>4</v>
      </c>
      <c r="BE145" s="56">
        <v>5</v>
      </c>
      <c r="BF145" s="56">
        <v>6</v>
      </c>
      <c r="BG145" s="56">
        <v>7</v>
      </c>
      <c r="BH145" s="56">
        <v>8</v>
      </c>
      <c r="BI145" s="56">
        <v>9</v>
      </c>
      <c r="BJ145" s="57" t="str">
        <f t="shared" si="74"/>
        <v>标准型</v>
      </c>
      <c r="BK145" s="13">
        <f t="shared" si="70"/>
        <v>2</v>
      </c>
      <c r="BL145" s="13">
        <f t="shared" si="71"/>
        <v>5</v>
      </c>
      <c r="BM145" s="18" t="str">
        <f t="shared" si="76"/>
        <v/>
      </c>
      <c r="BN145" s="19" t="str">
        <f t="shared" si="77"/>
        <v/>
      </c>
      <c r="BO145" s="19" t="str">
        <f t="array" ref="BO145">_xlfn.TEXTJOIN("",TRUE,IF(ISERROR(FIND(ROW($1:$10)-1,BM145&amp;BN145)),ROW($1:$10)-1,""))</f>
        <v>0123456789</v>
      </c>
      <c r="BP145" s="20" t="str">
        <f t="shared" si="78"/>
        <v>中中中</v>
      </c>
      <c r="BQ145" s="21" t="str">
        <f t="shared" si="89"/>
        <v/>
      </c>
      <c r="BR145" s="21">
        <f t="shared" si="87"/>
        <v>3</v>
      </c>
      <c r="BS145" s="21" t="str">
        <f t="array" ref="BS145">_xlfn.TEXTJOIN("",TRUE,IF(ISERROR(FIND(ROW($1:$10)-1,BQ145&amp;BR145)),ROW($1:$10)-1,""))</f>
        <v>012456789</v>
      </c>
      <c r="BT145" s="20" t="str">
        <f t="shared" si="79"/>
        <v>中隔中</v>
      </c>
      <c r="BU145" s="22">
        <f t="shared" si="80"/>
        <v>2</v>
      </c>
      <c r="BV145" s="22" t="str">
        <f t="shared" si="88"/>
        <v/>
      </c>
      <c r="BW145" s="22" t="str">
        <f t="array" ref="BW145">_xlfn.TEXTJOIN("",TRUE,IF(ISERROR(FIND(ROW($1:$10)-1,BU145&amp;BV145)),ROW($1:$10)-1,""))</f>
        <v>013456789</v>
      </c>
      <c r="BX145" s="20" t="str">
        <f t="shared" si="81"/>
        <v>复中中</v>
      </c>
      <c r="BY145" s="23" t="str">
        <f t="shared" si="75"/>
        <v>46</v>
      </c>
      <c r="BZ145" s="24" t="str">
        <f t="array" ref="BZ145">_xlfn.TEXTJOIN("",TRUE,IF(ISNUMBER(FIND(MID(BY144&amp;Q144,ROW($1:$4),1),BY145&amp;Q145)),MID(BY144&amp;Q144,ROW($1:$4),1),""))</f>
        <v/>
      </c>
      <c r="CA145" s="25" t="str">
        <f t="array" ref="CA145">_xlfn.TEXTJOIN("",TRUE,IF(ISERROR(FIND(ROW($1:$10)-1,BY145&amp;BZ145)),ROW($1:$10)-1,""))</f>
        <v>01235789</v>
      </c>
      <c r="CB145" s="26" t="str">
        <f t="shared" si="82"/>
        <v>邻孤孤</v>
      </c>
      <c r="CC145" s="27" t="str">
        <f t="shared" si="83"/>
        <v>24</v>
      </c>
      <c r="CD145" s="27" t="str">
        <f t="array" ref="CD145">_xlfn.TEXTJOIN("",TRUE,IF(ISNUMBER(FIND(MID(CC144&amp;R144,ROW($1:$4),1),CC145&amp;R145)),MID(CC144&amp;R144,ROW($1:$4),1),""))</f>
        <v>32</v>
      </c>
      <c r="CE145" s="27" t="str">
        <f t="array" ref="CE145">_xlfn.TEXTJOIN("",TRUE,IF(ISERROR(FIND(ROW($1:$10)-1,CC145&amp;CD145)),ROW($1:$10)-1,""))</f>
        <v>0156789</v>
      </c>
      <c r="CF145" s="17" t="str">
        <f t="shared" si="84"/>
        <v>邻传孤</v>
      </c>
      <c r="CG145" s="22" t="str">
        <f t="shared" si="85"/>
        <v>13</v>
      </c>
      <c r="CH145" s="22" t="str">
        <f t="array" ref="CH145">_xlfn.TEXTJOIN("",TRUE,IF(ISNUMBER(FIND(MID(CG144&amp;S144,ROW($1:$4),1),CG145&amp;S145)),MID(CG144&amp;S144,ROW($1:$4),1),""))</f>
        <v>3</v>
      </c>
      <c r="CI145" s="22" t="str">
        <f t="array" ref="CI145">_xlfn.TEXTJOIN("",TRUE,IF(ISERROR(FIND(ROW($1:$10)-1,CG145&amp;CH145)),ROW($1:$10)-1,""))</f>
        <v>02456789</v>
      </c>
      <c r="CJ145" s="28" t="str">
        <f t="shared" si="86"/>
        <v>邻传孤</v>
      </c>
    </row>
    <row r="146" spans="1:88">
      <c r="A146" s="32">
        <v>2024273</v>
      </c>
      <c r="B146" s="8" t="s">
        <v>153</v>
      </c>
      <c r="C146" s="49">
        <f t="shared" si="65"/>
        <v>14</v>
      </c>
      <c r="D146" s="50">
        <f t="shared" si="66"/>
        <v>4</v>
      </c>
      <c r="E146" s="51">
        <f t="shared" si="72"/>
        <v>4.6666666666666696</v>
      </c>
      <c r="F146" s="52">
        <f>MAX(MID(B146,{1,2,3},1)*1)-MIN(MID(B146,{1,2,3},1)*1)</f>
        <v>5</v>
      </c>
      <c r="G146" s="104">
        <v>0</v>
      </c>
      <c r="H146" s="104">
        <v>1</v>
      </c>
      <c r="I146" s="104">
        <v>2</v>
      </c>
      <c r="J146" s="104">
        <v>3</v>
      </c>
      <c r="K146" s="104">
        <v>4</v>
      </c>
      <c r="L146" s="104">
        <v>5</v>
      </c>
      <c r="M146" s="104">
        <v>6</v>
      </c>
      <c r="N146" s="104">
        <v>7</v>
      </c>
      <c r="O146" s="104">
        <v>8</v>
      </c>
      <c r="P146" s="104">
        <v>9</v>
      </c>
      <c r="Q146" s="53">
        <f t="shared" si="67"/>
        <v>5</v>
      </c>
      <c r="R146" s="53">
        <f t="shared" si="68"/>
        <v>5</v>
      </c>
      <c r="S146" s="53">
        <f t="shared" si="69"/>
        <v>0</v>
      </c>
      <c r="T146" s="101">
        <f t="shared" si="73"/>
        <v>10</v>
      </c>
      <c r="U146" s="15" t="str">
        <f>_xlfn.TEXTJOIN(", ",TRUE,ABS(MID(B146,{1,1,2},1)-MID(B146,{2,3,3},1)))</f>
        <v>5, 5, 0</v>
      </c>
      <c r="V146" s="54">
        <v>0</v>
      </c>
      <c r="W146" s="54">
        <v>1</v>
      </c>
      <c r="X146" s="54">
        <v>2</v>
      </c>
      <c r="Y146" s="54">
        <v>3</v>
      </c>
      <c r="Z146" s="54">
        <v>4</v>
      </c>
      <c r="AA146" s="54">
        <v>5</v>
      </c>
      <c r="AB146" s="54">
        <v>6</v>
      </c>
      <c r="AC146" s="54">
        <v>7</v>
      </c>
      <c r="AD146" s="54">
        <v>8</v>
      </c>
      <c r="AE146" s="54">
        <v>9</v>
      </c>
      <c r="AF146" s="55">
        <v>0</v>
      </c>
      <c r="AG146" s="55">
        <v>1</v>
      </c>
      <c r="AH146" s="55">
        <v>2</v>
      </c>
      <c r="AI146" s="55">
        <v>3</v>
      </c>
      <c r="AJ146" s="55">
        <v>4</v>
      </c>
      <c r="AK146" s="55">
        <v>5</v>
      </c>
      <c r="AL146" s="55">
        <v>6</v>
      </c>
      <c r="AM146" s="55">
        <v>7</v>
      </c>
      <c r="AN146" s="55">
        <v>8</v>
      </c>
      <c r="AO146" s="55">
        <v>9</v>
      </c>
      <c r="AP146" s="105">
        <v>0</v>
      </c>
      <c r="AQ146" s="105">
        <v>1</v>
      </c>
      <c r="AR146" s="105">
        <v>2</v>
      </c>
      <c r="AS146" s="105">
        <v>3</v>
      </c>
      <c r="AT146" s="105">
        <v>4</v>
      </c>
      <c r="AU146" s="105">
        <v>5</v>
      </c>
      <c r="AV146" s="105">
        <v>6</v>
      </c>
      <c r="AW146" s="105">
        <v>7</v>
      </c>
      <c r="AX146" s="105">
        <v>8</v>
      </c>
      <c r="AY146" s="105">
        <v>9</v>
      </c>
      <c r="AZ146" s="56">
        <v>0</v>
      </c>
      <c r="BA146" s="56">
        <v>1</v>
      </c>
      <c r="BB146" s="56">
        <v>2</v>
      </c>
      <c r="BC146" s="56">
        <v>3</v>
      </c>
      <c r="BD146" s="56">
        <v>4</v>
      </c>
      <c r="BE146" s="56">
        <v>5</v>
      </c>
      <c r="BF146" s="56">
        <v>6</v>
      </c>
      <c r="BG146" s="56">
        <v>7</v>
      </c>
      <c r="BH146" s="56">
        <v>8</v>
      </c>
      <c r="BI146" s="56">
        <v>9</v>
      </c>
      <c r="BJ146" s="57" t="str">
        <f t="shared" si="74"/>
        <v>对子</v>
      </c>
      <c r="BK146" s="13">
        <f t="shared" si="70"/>
        <v>0</v>
      </c>
      <c r="BL146" s="13">
        <f t="shared" si="71"/>
        <v>5</v>
      </c>
      <c r="BM146" s="18">
        <f t="shared" si="76"/>
        <v>5</v>
      </c>
      <c r="BN146" s="19" t="str">
        <f t="shared" si="77"/>
        <v/>
      </c>
      <c r="BO146" s="19" t="str">
        <f t="array" ref="BO146">_xlfn.TEXTJOIN("",TRUE,IF(ISERROR(FIND(ROW($1:$10)-1,BM146&amp;BN146)),ROW($1:$10)-1,""))</f>
        <v>012346789</v>
      </c>
      <c r="BP146" s="20" t="str">
        <f t="shared" si="78"/>
        <v>复中中</v>
      </c>
      <c r="BQ146" s="21">
        <f t="shared" si="89"/>
        <v>5</v>
      </c>
      <c r="BR146" s="21" t="str">
        <f t="shared" si="87"/>
        <v/>
      </c>
      <c r="BS146" s="21" t="str">
        <f t="array" ref="BS146">_xlfn.TEXTJOIN("",TRUE,IF(ISERROR(FIND(ROW($1:$10)-1,BQ146&amp;BR146)),ROW($1:$10)-1,""))</f>
        <v>012346789</v>
      </c>
      <c r="BT146" s="20" t="str">
        <f t="shared" si="79"/>
        <v>复中中</v>
      </c>
      <c r="BU146" s="22" t="str">
        <f t="shared" si="80"/>
        <v/>
      </c>
      <c r="BV146" s="22" t="str">
        <f t="shared" si="88"/>
        <v/>
      </c>
      <c r="BW146" s="22" t="str">
        <f t="array" ref="BW146">_xlfn.TEXTJOIN("",TRUE,IF(ISERROR(FIND(ROW($1:$10)-1,BU146&amp;BV146)),ROW($1:$10)-1,""))</f>
        <v>0123456789</v>
      </c>
      <c r="BX146" s="20" t="str">
        <f t="shared" si="81"/>
        <v>中中中</v>
      </c>
      <c r="BY146" s="23" t="str">
        <f t="shared" si="75"/>
        <v>46</v>
      </c>
      <c r="BZ146" s="24" t="str">
        <f t="array" ref="BZ146">_xlfn.TEXTJOIN("",TRUE,IF(ISNUMBER(FIND(MID(BY145&amp;Q145,ROW($1:$4),1),BY146&amp;Q146)),MID(BY145&amp;Q145,ROW($1:$4),1),""))</f>
        <v>465</v>
      </c>
      <c r="CA146" s="25" t="str">
        <f t="array" ref="CA146">_xlfn.TEXTJOIN("",TRUE,IF(ISERROR(FIND(ROW($1:$10)-1,BY146&amp;BZ146)),ROW($1:$10)-1,""))</f>
        <v>0123789</v>
      </c>
      <c r="CB146" s="26" t="str">
        <f t="shared" si="82"/>
        <v>邻传孤</v>
      </c>
      <c r="CC146" s="27" t="str">
        <f t="shared" si="83"/>
        <v>46</v>
      </c>
      <c r="CD146" s="27" t="str">
        <f t="array" ref="CD146">_xlfn.TEXTJOIN("",TRUE,IF(ISNUMBER(FIND(MID(CC145&amp;R145,ROW($1:$4),1),CC146&amp;R146)),MID(CC145&amp;R145,ROW($1:$4),1),""))</f>
        <v>4</v>
      </c>
      <c r="CE146" s="27" t="str">
        <f t="array" ref="CE146">_xlfn.TEXTJOIN("",TRUE,IF(ISERROR(FIND(ROW($1:$10)-1,CC146&amp;CD146)),ROW($1:$10)-1,""))</f>
        <v>01235789</v>
      </c>
      <c r="CF146" s="17" t="str">
        <f t="shared" si="84"/>
        <v>邻传孤</v>
      </c>
      <c r="CG146" s="22" t="str">
        <f t="shared" si="85"/>
        <v>91</v>
      </c>
      <c r="CH146" s="22" t="str">
        <f t="array" ref="CH146">_xlfn.TEXTJOIN("",TRUE,IF(ISNUMBER(FIND(MID(CG145&amp;S145,ROW($1:$4),1),CG146&amp;S146)),MID(CG145&amp;S145,ROW($1:$4),1),""))</f>
        <v>1</v>
      </c>
      <c r="CI146" s="22" t="str">
        <f t="array" ref="CI146">_xlfn.TEXTJOIN("",TRUE,IF(ISERROR(FIND(ROW($1:$10)-1,CG146&amp;CH146)),ROW($1:$10)-1,""))</f>
        <v>02345678</v>
      </c>
      <c r="CJ146" s="28" t="str">
        <f t="shared" si="86"/>
        <v>邻传孤</v>
      </c>
    </row>
    <row r="147" spans="1:88">
      <c r="A147" s="32">
        <v>2024274</v>
      </c>
      <c r="B147" s="8" t="s">
        <v>96</v>
      </c>
      <c r="C147" s="49">
        <f t="shared" ref="C147:C170" si="90">LEFT(B147,1)+MID(B147,2,1)+RIGHT(B147,1)</f>
        <v>10</v>
      </c>
      <c r="D147" s="50">
        <f t="shared" ref="D147:D170" si="91">MOD(LEFT(B147,1)+MID(B147,2,1)+RIGHT(B147,1),10)</f>
        <v>0</v>
      </c>
      <c r="E147" s="51">
        <f t="shared" si="72"/>
        <v>3.3333333333333299</v>
      </c>
      <c r="F147" s="52">
        <f>MAX(MID(B147,{1,2,3},1)*1)-MIN(MID(B147,{1,2,3},1)*1)</f>
        <v>6</v>
      </c>
      <c r="G147" s="104">
        <v>0</v>
      </c>
      <c r="H147" s="104">
        <v>1</v>
      </c>
      <c r="I147" s="104">
        <v>2</v>
      </c>
      <c r="J147" s="104">
        <v>3</v>
      </c>
      <c r="K147" s="104">
        <v>4</v>
      </c>
      <c r="L147" s="104">
        <v>5</v>
      </c>
      <c r="M147" s="104">
        <v>6</v>
      </c>
      <c r="N147" s="104">
        <v>7</v>
      </c>
      <c r="O147" s="104">
        <v>8</v>
      </c>
      <c r="P147" s="104">
        <v>9</v>
      </c>
      <c r="Q147" s="53">
        <f t="shared" ref="Q147:Q170" si="92">ABS(LEFT(B147,1)-MID(B147,2,1))</f>
        <v>6</v>
      </c>
      <c r="R147" s="53">
        <f t="shared" ref="R147:R170" si="93">ABS(LEFT(B147,1)-RIGHT(B147,1))</f>
        <v>1</v>
      </c>
      <c r="S147" s="53">
        <f t="shared" ref="S147:S170" si="94">ABS(MID(B147,2,1)-RIGHT(B147,1))</f>
        <v>5</v>
      </c>
      <c r="T147" s="101">
        <f t="shared" si="73"/>
        <v>12</v>
      </c>
      <c r="U147" s="15" t="str">
        <f>_xlfn.TEXTJOIN(", ",TRUE,ABS(MID(B147,{1,1,2},1)-MID(B147,{2,3,3},1)))</f>
        <v>6, 1, 5</v>
      </c>
      <c r="V147" s="54">
        <v>0</v>
      </c>
      <c r="W147" s="54">
        <v>1</v>
      </c>
      <c r="X147" s="54">
        <v>2</v>
      </c>
      <c r="Y147" s="54">
        <v>3</v>
      </c>
      <c r="Z147" s="54">
        <v>4</v>
      </c>
      <c r="AA147" s="54">
        <v>5</v>
      </c>
      <c r="AB147" s="54">
        <v>6</v>
      </c>
      <c r="AC147" s="54">
        <v>7</v>
      </c>
      <c r="AD147" s="54">
        <v>8</v>
      </c>
      <c r="AE147" s="54">
        <v>9</v>
      </c>
      <c r="AF147" s="55">
        <v>0</v>
      </c>
      <c r="AG147" s="55">
        <v>1</v>
      </c>
      <c r="AH147" s="55">
        <v>2</v>
      </c>
      <c r="AI147" s="55">
        <v>3</v>
      </c>
      <c r="AJ147" s="55">
        <v>4</v>
      </c>
      <c r="AK147" s="55">
        <v>5</v>
      </c>
      <c r="AL147" s="55">
        <v>6</v>
      </c>
      <c r="AM147" s="55">
        <v>7</v>
      </c>
      <c r="AN147" s="55">
        <v>8</v>
      </c>
      <c r="AO147" s="55">
        <v>9</v>
      </c>
      <c r="AP147" s="105">
        <v>0</v>
      </c>
      <c r="AQ147" s="105">
        <v>1</v>
      </c>
      <c r="AR147" s="105">
        <v>2</v>
      </c>
      <c r="AS147" s="105">
        <v>3</v>
      </c>
      <c r="AT147" s="105">
        <v>4</v>
      </c>
      <c r="AU147" s="105">
        <v>5</v>
      </c>
      <c r="AV147" s="105">
        <v>6</v>
      </c>
      <c r="AW147" s="105">
        <v>7</v>
      </c>
      <c r="AX147" s="105">
        <v>8</v>
      </c>
      <c r="AY147" s="105">
        <v>9</v>
      </c>
      <c r="AZ147" s="56">
        <v>0</v>
      </c>
      <c r="BA147" s="56">
        <v>1</v>
      </c>
      <c r="BB147" s="56">
        <v>2</v>
      </c>
      <c r="BC147" s="56">
        <v>3</v>
      </c>
      <c r="BD147" s="56">
        <v>4</v>
      </c>
      <c r="BE147" s="56">
        <v>5</v>
      </c>
      <c r="BF147" s="56">
        <v>6</v>
      </c>
      <c r="BG147" s="56">
        <v>7</v>
      </c>
      <c r="BH147" s="56">
        <v>8</v>
      </c>
      <c r="BI147" s="56">
        <v>9</v>
      </c>
      <c r="BJ147" s="57" t="str">
        <f t="shared" si="74"/>
        <v>松散型</v>
      </c>
      <c r="BK147" s="13">
        <f t="shared" si="70"/>
        <v>1</v>
      </c>
      <c r="BL147" s="13">
        <f t="shared" si="71"/>
        <v>6</v>
      </c>
      <c r="BM147" s="18" t="str">
        <f t="shared" si="76"/>
        <v/>
      </c>
      <c r="BN147" s="19" t="str">
        <f t="shared" si="77"/>
        <v/>
      </c>
      <c r="BO147" s="19" t="str">
        <f t="array" ref="BO147">_xlfn.TEXTJOIN("",TRUE,IF(ISERROR(FIND(ROW($1:$10)-1,BM147&amp;BN147)),ROW($1:$10)-1,""))</f>
        <v>0123456789</v>
      </c>
      <c r="BP147" s="20" t="str">
        <f t="shared" si="78"/>
        <v>中中中</v>
      </c>
      <c r="BQ147" s="21" t="str">
        <f t="shared" si="89"/>
        <v/>
      </c>
      <c r="BR147" s="21" t="str">
        <f t="shared" si="87"/>
        <v/>
      </c>
      <c r="BS147" s="21" t="str">
        <f t="array" ref="BS147">_xlfn.TEXTJOIN("",TRUE,IF(ISERROR(FIND(ROW($1:$10)-1,BQ147&amp;BR147)),ROW($1:$10)-1,""))</f>
        <v>0123456789</v>
      </c>
      <c r="BT147" s="20" t="str">
        <f t="shared" si="79"/>
        <v>中中中</v>
      </c>
      <c r="BU147" s="22">
        <f t="shared" si="80"/>
        <v>5</v>
      </c>
      <c r="BV147" s="22">
        <f t="shared" si="88"/>
        <v>5</v>
      </c>
      <c r="BW147" s="22" t="str">
        <f t="array" ref="BW147">_xlfn.TEXTJOIN("",TRUE,IF(ISERROR(FIND(ROW($1:$10)-1,BU147&amp;BV147)),ROW($1:$10)-1,""))</f>
        <v>012346789</v>
      </c>
      <c r="BX147" s="20" t="str">
        <f t="shared" si="81"/>
        <v>复隔中</v>
      </c>
      <c r="BY147" s="23" t="str">
        <f t="shared" si="75"/>
        <v>57</v>
      </c>
      <c r="BZ147" s="24" t="str">
        <f t="array" ref="BZ147">_xlfn.TEXTJOIN("",TRUE,IF(ISNUMBER(FIND(MID(BY146&amp;Q146,ROW($1:$4),1),BY147&amp;Q147)),MID(BY146&amp;Q146,ROW($1:$4),1),""))</f>
        <v>65</v>
      </c>
      <c r="CA147" s="25" t="str">
        <f t="array" ref="CA147">_xlfn.TEXTJOIN("",TRUE,IF(ISERROR(FIND(ROW($1:$10)-1,BY147&amp;BZ147)),ROW($1:$10)-1,""))</f>
        <v>0123489</v>
      </c>
      <c r="CB147" s="26" t="str">
        <f t="shared" si="82"/>
        <v>邻传孤</v>
      </c>
      <c r="CC147" s="27" t="str">
        <f t="shared" si="83"/>
        <v>02</v>
      </c>
      <c r="CD147" s="27" t="str">
        <f t="array" ref="CD147">_xlfn.TEXTJOIN("",TRUE,IF(ISNUMBER(FIND(MID(CC146&amp;R146,ROW($1:$4),1),CC147&amp;R147)),MID(CC146&amp;R146,ROW($1:$4),1),""))</f>
        <v/>
      </c>
      <c r="CE147" s="27" t="str">
        <f t="array" ref="CE147">_xlfn.TEXTJOIN("",TRUE,IF(ISERROR(FIND(ROW($1:$10)-1,CC147&amp;CD147)),ROW($1:$10)-1,""))</f>
        <v>13456789</v>
      </c>
      <c r="CF147" s="17" t="str">
        <f t="shared" si="84"/>
        <v>邻孤孤</v>
      </c>
      <c r="CG147" s="22" t="str">
        <f t="shared" si="85"/>
        <v>46</v>
      </c>
      <c r="CH147" s="22" t="str">
        <f t="array" ref="CH147">_xlfn.TEXTJOIN("",TRUE,IF(ISNUMBER(FIND(MID(CG146&amp;S146,ROW($1:$4),1),CG147&amp;S147)),MID(CG146&amp;S146,ROW($1:$4),1),""))</f>
        <v/>
      </c>
      <c r="CI147" s="22" t="str">
        <f t="array" ref="CI147">_xlfn.TEXTJOIN("",TRUE,IF(ISERROR(FIND(ROW($1:$10)-1,CG147&amp;CH147)),ROW($1:$10)-1,""))</f>
        <v>01235789</v>
      </c>
      <c r="CJ147" s="28" t="str">
        <f t="shared" si="86"/>
        <v>邻孤孤</v>
      </c>
    </row>
    <row r="148" spans="1:88">
      <c r="A148" s="32">
        <v>2024275</v>
      </c>
      <c r="B148" s="8" t="s">
        <v>154</v>
      </c>
      <c r="C148" s="49">
        <f t="shared" si="90"/>
        <v>17</v>
      </c>
      <c r="D148" s="50">
        <f t="shared" si="91"/>
        <v>7</v>
      </c>
      <c r="E148" s="51">
        <f t="shared" si="72"/>
        <v>5.6666666666666696</v>
      </c>
      <c r="F148" s="52">
        <f>MAX(MID(B148,{1,2,3},1)*1)-MIN(MID(B148,{1,2,3},1)*1)</f>
        <v>6</v>
      </c>
      <c r="G148" s="104">
        <v>0</v>
      </c>
      <c r="H148" s="104">
        <v>1</v>
      </c>
      <c r="I148" s="104">
        <v>2</v>
      </c>
      <c r="J148" s="104">
        <v>3</v>
      </c>
      <c r="K148" s="104">
        <v>4</v>
      </c>
      <c r="L148" s="104">
        <v>5</v>
      </c>
      <c r="M148" s="104">
        <v>6</v>
      </c>
      <c r="N148" s="104">
        <v>7</v>
      </c>
      <c r="O148" s="104">
        <v>8</v>
      </c>
      <c r="P148" s="104">
        <v>9</v>
      </c>
      <c r="Q148" s="53">
        <f t="shared" si="92"/>
        <v>6</v>
      </c>
      <c r="R148" s="53">
        <f t="shared" si="93"/>
        <v>1</v>
      </c>
      <c r="S148" s="53">
        <f t="shared" si="94"/>
        <v>5</v>
      </c>
      <c r="T148" s="101">
        <f t="shared" si="73"/>
        <v>12</v>
      </c>
      <c r="U148" s="15" t="str">
        <f>_xlfn.TEXTJOIN(", ",TRUE,ABS(MID(B148,{1,1,2},1)-MID(B148,{2,3,3},1)))</f>
        <v>6, 1, 5</v>
      </c>
      <c r="V148" s="54">
        <v>0</v>
      </c>
      <c r="W148" s="54">
        <v>1</v>
      </c>
      <c r="X148" s="54">
        <v>2</v>
      </c>
      <c r="Y148" s="54">
        <v>3</v>
      </c>
      <c r="Z148" s="54">
        <v>4</v>
      </c>
      <c r="AA148" s="54">
        <v>5</v>
      </c>
      <c r="AB148" s="54">
        <v>6</v>
      </c>
      <c r="AC148" s="54">
        <v>7</v>
      </c>
      <c r="AD148" s="54">
        <v>8</v>
      </c>
      <c r="AE148" s="54">
        <v>9</v>
      </c>
      <c r="AF148" s="55">
        <v>0</v>
      </c>
      <c r="AG148" s="55">
        <v>1</v>
      </c>
      <c r="AH148" s="55">
        <v>2</v>
      </c>
      <c r="AI148" s="55">
        <v>3</v>
      </c>
      <c r="AJ148" s="55">
        <v>4</v>
      </c>
      <c r="AK148" s="55">
        <v>5</v>
      </c>
      <c r="AL148" s="55">
        <v>6</v>
      </c>
      <c r="AM148" s="55">
        <v>7</v>
      </c>
      <c r="AN148" s="55">
        <v>8</v>
      </c>
      <c r="AO148" s="55">
        <v>9</v>
      </c>
      <c r="AP148" s="105">
        <v>0</v>
      </c>
      <c r="AQ148" s="105">
        <v>1</v>
      </c>
      <c r="AR148" s="105">
        <v>2</v>
      </c>
      <c r="AS148" s="105">
        <v>3</v>
      </c>
      <c r="AT148" s="105">
        <v>4</v>
      </c>
      <c r="AU148" s="105">
        <v>5</v>
      </c>
      <c r="AV148" s="105">
        <v>6</v>
      </c>
      <c r="AW148" s="105">
        <v>7</v>
      </c>
      <c r="AX148" s="105">
        <v>8</v>
      </c>
      <c r="AY148" s="105">
        <v>9</v>
      </c>
      <c r="AZ148" s="56">
        <v>0</v>
      </c>
      <c r="BA148" s="56">
        <v>1</v>
      </c>
      <c r="BB148" s="56">
        <v>2</v>
      </c>
      <c r="BC148" s="56">
        <v>3</v>
      </c>
      <c r="BD148" s="56">
        <v>4</v>
      </c>
      <c r="BE148" s="56">
        <v>5</v>
      </c>
      <c r="BF148" s="56">
        <v>6</v>
      </c>
      <c r="BG148" s="56">
        <v>7</v>
      </c>
      <c r="BH148" s="56">
        <v>8</v>
      </c>
      <c r="BI148" s="56">
        <v>9</v>
      </c>
      <c r="BJ148" s="57" t="str">
        <f t="shared" si="74"/>
        <v>松散型</v>
      </c>
      <c r="BK148" s="13">
        <f t="shared" si="70"/>
        <v>1</v>
      </c>
      <c r="BL148" s="13">
        <f t="shared" si="71"/>
        <v>6</v>
      </c>
      <c r="BM148" s="18">
        <f t="shared" si="76"/>
        <v>6</v>
      </c>
      <c r="BN148" s="19" t="str">
        <f t="shared" si="77"/>
        <v/>
      </c>
      <c r="BO148" s="19" t="str">
        <f t="array" ref="BO148">_xlfn.TEXTJOIN("",TRUE,IF(ISERROR(FIND(ROW($1:$10)-1,BM148&amp;BN148)),ROW($1:$10)-1,""))</f>
        <v>012345789</v>
      </c>
      <c r="BP148" s="20" t="str">
        <f t="shared" si="78"/>
        <v>复中中</v>
      </c>
      <c r="BQ148" s="21">
        <f t="shared" si="89"/>
        <v>1</v>
      </c>
      <c r="BR148" s="21" t="str">
        <f t="shared" si="87"/>
        <v/>
      </c>
      <c r="BS148" s="21" t="str">
        <f t="array" ref="BS148">_xlfn.TEXTJOIN("",TRUE,IF(ISERROR(FIND(ROW($1:$10)-1,BQ148&amp;BR148)),ROW($1:$10)-1,""))</f>
        <v>023456789</v>
      </c>
      <c r="BT148" s="20" t="str">
        <f t="shared" si="79"/>
        <v>复中中</v>
      </c>
      <c r="BU148" s="22">
        <f t="shared" si="80"/>
        <v>5</v>
      </c>
      <c r="BV148" s="22">
        <f t="shared" si="88"/>
        <v>5</v>
      </c>
      <c r="BW148" s="22" t="str">
        <f t="array" ref="BW148">_xlfn.TEXTJOIN("",TRUE,IF(ISERROR(FIND(ROW($1:$10)-1,BU148&amp;BV148)),ROW($1:$10)-1,""))</f>
        <v>012346789</v>
      </c>
      <c r="BX148" s="20" t="str">
        <f t="shared" si="81"/>
        <v>复隔中</v>
      </c>
      <c r="BY148" s="23" t="str">
        <f t="shared" si="75"/>
        <v>57</v>
      </c>
      <c r="BZ148" s="24" t="str">
        <f t="array" ref="BZ148">_xlfn.TEXTJOIN("",TRUE,IF(ISNUMBER(FIND(MID(BY147&amp;Q147,ROW($1:$4),1),BY148&amp;Q148)),MID(BY147&amp;Q147,ROW($1:$4),1),""))</f>
        <v>576</v>
      </c>
      <c r="CA148" s="25" t="str">
        <f t="array" ref="CA148">_xlfn.TEXTJOIN("",TRUE,IF(ISERROR(FIND(ROW($1:$10)-1,BY148&amp;BZ148)),ROW($1:$10)-1,""))</f>
        <v>0123489</v>
      </c>
      <c r="CB148" s="26" t="str">
        <f t="shared" si="82"/>
        <v>邻传孤</v>
      </c>
      <c r="CC148" s="27" t="str">
        <f t="shared" si="83"/>
        <v>02</v>
      </c>
      <c r="CD148" s="27" t="str">
        <f t="array" ref="CD148">_xlfn.TEXTJOIN("",TRUE,IF(ISNUMBER(FIND(MID(CC147&amp;R147,ROW($1:$4),1),CC148&amp;R148)),MID(CC147&amp;R147,ROW($1:$4),1),""))</f>
        <v>021</v>
      </c>
      <c r="CE148" s="27" t="str">
        <f t="array" ref="CE148">_xlfn.TEXTJOIN("",TRUE,IF(ISERROR(FIND(ROW($1:$10)-1,CC148&amp;CD148)),ROW($1:$10)-1,""))</f>
        <v>3456789</v>
      </c>
      <c r="CF148" s="17" t="str">
        <f t="shared" si="84"/>
        <v>邻传孤</v>
      </c>
      <c r="CG148" s="22" t="str">
        <f t="shared" si="85"/>
        <v>46</v>
      </c>
      <c r="CH148" s="22" t="str">
        <f t="array" ref="CH148">_xlfn.TEXTJOIN("",TRUE,IF(ISNUMBER(FIND(MID(CG147&amp;S147,ROW($1:$4),1),CG148&amp;S148)),MID(CG147&amp;S147,ROW($1:$4),1),""))</f>
        <v>465</v>
      </c>
      <c r="CI148" s="22" t="str">
        <f t="array" ref="CI148">_xlfn.TEXTJOIN("",TRUE,IF(ISERROR(FIND(ROW($1:$10)-1,CG148&amp;CH148)),ROW($1:$10)-1,""))</f>
        <v>0123789</v>
      </c>
      <c r="CJ148" s="28" t="str">
        <f t="shared" si="86"/>
        <v>邻传孤</v>
      </c>
    </row>
    <row r="149" spans="1:88">
      <c r="A149" s="32">
        <v>2024276</v>
      </c>
      <c r="B149" s="8" t="s">
        <v>136</v>
      </c>
      <c r="C149" s="49">
        <f t="shared" si="90"/>
        <v>14</v>
      </c>
      <c r="D149" s="50">
        <f t="shared" si="91"/>
        <v>4</v>
      </c>
      <c r="E149" s="51">
        <f t="shared" si="72"/>
        <v>4.6666666666666696</v>
      </c>
      <c r="F149" s="52">
        <f>MAX(MID(B149,{1,2,3},1)*1)-MIN(MID(B149,{1,2,3},1)*1)</f>
        <v>8</v>
      </c>
      <c r="G149" s="104">
        <v>0</v>
      </c>
      <c r="H149" s="104">
        <v>1</v>
      </c>
      <c r="I149" s="104">
        <v>2</v>
      </c>
      <c r="J149" s="104">
        <v>3</v>
      </c>
      <c r="K149" s="104">
        <v>4</v>
      </c>
      <c r="L149" s="104">
        <v>5</v>
      </c>
      <c r="M149" s="104">
        <v>6</v>
      </c>
      <c r="N149" s="104">
        <v>7</v>
      </c>
      <c r="O149" s="104">
        <v>8</v>
      </c>
      <c r="P149" s="104">
        <v>9</v>
      </c>
      <c r="Q149" s="53">
        <f t="shared" si="92"/>
        <v>8</v>
      </c>
      <c r="R149" s="53">
        <f t="shared" si="93"/>
        <v>6</v>
      </c>
      <c r="S149" s="53">
        <f t="shared" si="94"/>
        <v>2</v>
      </c>
      <c r="T149" s="101">
        <f t="shared" si="73"/>
        <v>16</v>
      </c>
      <c r="U149" s="15" t="str">
        <f>_xlfn.TEXTJOIN(", ",TRUE,ABS(MID(B149,{1,1,2},1)-MID(B149,{2,3,3},1)))</f>
        <v>8, 6, 2</v>
      </c>
      <c r="V149" s="54">
        <v>0</v>
      </c>
      <c r="W149" s="54">
        <v>1</v>
      </c>
      <c r="X149" s="54">
        <v>2</v>
      </c>
      <c r="Y149" s="54">
        <v>3</v>
      </c>
      <c r="Z149" s="54">
        <v>4</v>
      </c>
      <c r="AA149" s="54">
        <v>5</v>
      </c>
      <c r="AB149" s="54">
        <v>6</v>
      </c>
      <c r="AC149" s="54">
        <v>7</v>
      </c>
      <c r="AD149" s="54">
        <v>8</v>
      </c>
      <c r="AE149" s="54">
        <v>9</v>
      </c>
      <c r="AF149" s="55">
        <v>0</v>
      </c>
      <c r="AG149" s="55">
        <v>1</v>
      </c>
      <c r="AH149" s="55">
        <v>2</v>
      </c>
      <c r="AI149" s="55">
        <v>3</v>
      </c>
      <c r="AJ149" s="55">
        <v>4</v>
      </c>
      <c r="AK149" s="55">
        <v>5</v>
      </c>
      <c r="AL149" s="55">
        <v>6</v>
      </c>
      <c r="AM149" s="55">
        <v>7</v>
      </c>
      <c r="AN149" s="55">
        <v>8</v>
      </c>
      <c r="AO149" s="55">
        <v>9</v>
      </c>
      <c r="AP149" s="105">
        <v>0</v>
      </c>
      <c r="AQ149" s="105">
        <v>1</v>
      </c>
      <c r="AR149" s="105">
        <v>2</v>
      </c>
      <c r="AS149" s="105">
        <v>3</v>
      </c>
      <c r="AT149" s="105">
        <v>4</v>
      </c>
      <c r="AU149" s="105">
        <v>5</v>
      </c>
      <c r="AV149" s="105">
        <v>6</v>
      </c>
      <c r="AW149" s="105">
        <v>7</v>
      </c>
      <c r="AX149" s="105">
        <v>8</v>
      </c>
      <c r="AY149" s="105">
        <v>9</v>
      </c>
      <c r="AZ149" s="56">
        <v>0</v>
      </c>
      <c r="BA149" s="56">
        <v>1</v>
      </c>
      <c r="BB149" s="56">
        <v>2</v>
      </c>
      <c r="BC149" s="56">
        <v>3</v>
      </c>
      <c r="BD149" s="56">
        <v>4</v>
      </c>
      <c r="BE149" s="56">
        <v>5</v>
      </c>
      <c r="BF149" s="56">
        <v>6</v>
      </c>
      <c r="BG149" s="56">
        <v>7</v>
      </c>
      <c r="BH149" s="56">
        <v>8</v>
      </c>
      <c r="BI149" s="56">
        <v>9</v>
      </c>
      <c r="BJ149" s="57" t="str">
        <f t="shared" si="74"/>
        <v>松散型</v>
      </c>
      <c r="BK149" s="13">
        <f t="shared" si="70"/>
        <v>2</v>
      </c>
      <c r="BL149" s="13">
        <f t="shared" si="71"/>
        <v>8</v>
      </c>
      <c r="BM149" s="18" t="str">
        <f t="shared" si="76"/>
        <v/>
      </c>
      <c r="BN149" s="19" t="str">
        <f t="shared" si="77"/>
        <v/>
      </c>
      <c r="BO149" s="19" t="str">
        <f t="array" ref="BO149">_xlfn.TEXTJOIN("",TRUE,IF(ISERROR(FIND(ROW($1:$10)-1,BM149&amp;BN149)),ROW($1:$10)-1,""))</f>
        <v>0123456789</v>
      </c>
      <c r="BP149" s="20" t="str">
        <f t="shared" si="78"/>
        <v>中中中</v>
      </c>
      <c r="BQ149" s="21">
        <f t="shared" si="89"/>
        <v>6</v>
      </c>
      <c r="BR149" s="21">
        <f t="shared" si="87"/>
        <v>6</v>
      </c>
      <c r="BS149" s="21" t="str">
        <f t="array" ref="BS149">_xlfn.TEXTJOIN("",TRUE,IF(ISERROR(FIND(ROW($1:$10)-1,BQ149&amp;BR149)),ROW($1:$10)-1,""))</f>
        <v>012345789</v>
      </c>
      <c r="BT149" s="20" t="str">
        <f t="shared" si="79"/>
        <v>复隔中</v>
      </c>
      <c r="BU149" s="22" t="str">
        <f t="shared" si="80"/>
        <v/>
      </c>
      <c r="BV149" s="22" t="str">
        <f t="shared" si="88"/>
        <v/>
      </c>
      <c r="BW149" s="22" t="str">
        <f t="array" ref="BW149">_xlfn.TEXTJOIN("",TRUE,IF(ISERROR(FIND(ROW($1:$10)-1,BU149&amp;BV149)),ROW($1:$10)-1,""))</f>
        <v>0123456789</v>
      </c>
      <c r="BX149" s="20" t="str">
        <f t="shared" si="81"/>
        <v>中中中</v>
      </c>
      <c r="BY149" s="23" t="str">
        <f t="shared" si="75"/>
        <v>79</v>
      </c>
      <c r="BZ149" s="24" t="str">
        <f t="array" ref="BZ149">_xlfn.TEXTJOIN("",TRUE,IF(ISNUMBER(FIND(MID(BY148&amp;Q148,ROW($1:$4),1),BY149&amp;Q149)),MID(BY148&amp;Q148,ROW($1:$4),1),""))</f>
        <v>7</v>
      </c>
      <c r="CA149" s="25" t="str">
        <f t="array" ref="CA149">_xlfn.TEXTJOIN("",TRUE,IF(ISERROR(FIND(ROW($1:$10)-1,BY149&amp;BZ149)),ROW($1:$10)-1,""))</f>
        <v>01234568</v>
      </c>
      <c r="CB149" s="26" t="str">
        <f t="shared" si="82"/>
        <v>邻传孤</v>
      </c>
      <c r="CC149" s="27" t="str">
        <f t="shared" si="83"/>
        <v>57</v>
      </c>
      <c r="CD149" s="27" t="str">
        <f t="array" ref="CD149">_xlfn.TEXTJOIN("",TRUE,IF(ISNUMBER(FIND(MID(CC148&amp;R148,ROW($1:$4),1),CC149&amp;R149)),MID(CC148&amp;R148,ROW($1:$4),1),""))</f>
        <v/>
      </c>
      <c r="CE149" s="27" t="str">
        <f t="array" ref="CE149">_xlfn.TEXTJOIN("",TRUE,IF(ISERROR(FIND(ROW($1:$10)-1,CC149&amp;CD149)),ROW($1:$10)-1,""))</f>
        <v>01234689</v>
      </c>
      <c r="CF149" s="17" t="str">
        <f t="shared" si="84"/>
        <v>邻孤孤</v>
      </c>
      <c r="CG149" s="22" t="str">
        <f t="shared" si="85"/>
        <v>13</v>
      </c>
      <c r="CH149" s="22" t="str">
        <f t="array" ref="CH149">_xlfn.TEXTJOIN("",TRUE,IF(ISNUMBER(FIND(MID(CG148&amp;S148,ROW($1:$4),1),CG149&amp;S149)),MID(CG148&amp;S148,ROW($1:$4),1),""))</f>
        <v/>
      </c>
      <c r="CI149" s="22" t="str">
        <f t="array" ref="CI149">_xlfn.TEXTJOIN("",TRUE,IF(ISERROR(FIND(ROW($1:$10)-1,CG149&amp;CH149)),ROW($1:$10)-1,""))</f>
        <v>02456789</v>
      </c>
      <c r="CJ149" s="28" t="str">
        <f t="shared" si="86"/>
        <v>邻孤孤</v>
      </c>
    </row>
    <row r="150" spans="1:88">
      <c r="A150" s="32">
        <v>2024277</v>
      </c>
      <c r="B150" s="8" t="s">
        <v>155</v>
      </c>
      <c r="C150" s="49">
        <f t="shared" si="90"/>
        <v>18</v>
      </c>
      <c r="D150" s="50">
        <f t="shared" si="91"/>
        <v>8</v>
      </c>
      <c r="E150" s="51">
        <f t="shared" si="72"/>
        <v>6</v>
      </c>
      <c r="F150" s="52">
        <f>MAX(MID(B150,{1,2,3},1)*1)-MIN(MID(B150,{1,2,3},1)*1)</f>
        <v>4</v>
      </c>
      <c r="G150" s="104">
        <v>0</v>
      </c>
      <c r="H150" s="104">
        <v>1</v>
      </c>
      <c r="I150" s="104">
        <v>2</v>
      </c>
      <c r="J150" s="104">
        <v>3</v>
      </c>
      <c r="K150" s="104">
        <v>4</v>
      </c>
      <c r="L150" s="104">
        <v>5</v>
      </c>
      <c r="M150" s="104">
        <v>6</v>
      </c>
      <c r="N150" s="104">
        <v>7</v>
      </c>
      <c r="O150" s="104">
        <v>8</v>
      </c>
      <c r="P150" s="104">
        <v>9</v>
      </c>
      <c r="Q150" s="53">
        <f t="shared" si="92"/>
        <v>2</v>
      </c>
      <c r="R150" s="53">
        <f t="shared" si="93"/>
        <v>2</v>
      </c>
      <c r="S150" s="53">
        <f t="shared" si="94"/>
        <v>4</v>
      </c>
      <c r="T150" s="101">
        <f t="shared" si="73"/>
        <v>8</v>
      </c>
      <c r="U150" s="15" t="str">
        <f>_xlfn.TEXTJOIN(", ",TRUE,ABS(MID(B150,{1,1,2},1)-MID(B150,{2,3,3},1)))</f>
        <v>2, 2, 4</v>
      </c>
      <c r="V150" s="54">
        <v>0</v>
      </c>
      <c r="W150" s="54">
        <v>1</v>
      </c>
      <c r="X150" s="54">
        <v>2</v>
      </c>
      <c r="Y150" s="54">
        <v>3</v>
      </c>
      <c r="Z150" s="54">
        <v>4</v>
      </c>
      <c r="AA150" s="54">
        <v>5</v>
      </c>
      <c r="AB150" s="54">
        <v>6</v>
      </c>
      <c r="AC150" s="54">
        <v>7</v>
      </c>
      <c r="AD150" s="54">
        <v>8</v>
      </c>
      <c r="AE150" s="54">
        <v>9</v>
      </c>
      <c r="AF150" s="55">
        <v>0</v>
      </c>
      <c r="AG150" s="55">
        <v>1</v>
      </c>
      <c r="AH150" s="55">
        <v>2</v>
      </c>
      <c r="AI150" s="55">
        <v>3</v>
      </c>
      <c r="AJ150" s="55">
        <v>4</v>
      </c>
      <c r="AK150" s="55">
        <v>5</v>
      </c>
      <c r="AL150" s="55">
        <v>6</v>
      </c>
      <c r="AM150" s="55">
        <v>7</v>
      </c>
      <c r="AN150" s="55">
        <v>8</v>
      </c>
      <c r="AO150" s="55">
        <v>9</v>
      </c>
      <c r="AP150" s="105">
        <v>0</v>
      </c>
      <c r="AQ150" s="105">
        <v>1</v>
      </c>
      <c r="AR150" s="105">
        <v>2</v>
      </c>
      <c r="AS150" s="105">
        <v>3</v>
      </c>
      <c r="AT150" s="105">
        <v>4</v>
      </c>
      <c r="AU150" s="105">
        <v>5</v>
      </c>
      <c r="AV150" s="105">
        <v>6</v>
      </c>
      <c r="AW150" s="105">
        <v>7</v>
      </c>
      <c r="AX150" s="105">
        <v>8</v>
      </c>
      <c r="AY150" s="105">
        <v>9</v>
      </c>
      <c r="AZ150" s="56">
        <v>0</v>
      </c>
      <c r="BA150" s="56">
        <v>1</v>
      </c>
      <c r="BB150" s="56">
        <v>2</v>
      </c>
      <c r="BC150" s="56">
        <v>3</v>
      </c>
      <c r="BD150" s="56">
        <v>4</v>
      </c>
      <c r="BE150" s="56">
        <v>5</v>
      </c>
      <c r="BF150" s="56">
        <v>6</v>
      </c>
      <c r="BG150" s="56">
        <v>7</v>
      </c>
      <c r="BH150" s="56">
        <v>8</v>
      </c>
      <c r="BI150" s="56">
        <v>9</v>
      </c>
      <c r="BJ150" s="57" t="str">
        <f t="shared" si="74"/>
        <v>标准型</v>
      </c>
      <c r="BK150" s="13">
        <f t="shared" si="70"/>
        <v>2</v>
      </c>
      <c r="BL150" s="13">
        <f t="shared" si="71"/>
        <v>4</v>
      </c>
      <c r="BM150" s="18">
        <f t="shared" si="76"/>
        <v>2</v>
      </c>
      <c r="BN150" s="19" t="str">
        <f t="shared" si="77"/>
        <v/>
      </c>
      <c r="BO150" s="19" t="str">
        <f t="array" ref="BO150">_xlfn.TEXTJOIN("",TRUE,IF(ISERROR(FIND(ROW($1:$10)-1,BM150&amp;BN150)),ROW($1:$10)-1,""))</f>
        <v>013456789</v>
      </c>
      <c r="BP150" s="20" t="str">
        <f t="shared" si="78"/>
        <v>复中中</v>
      </c>
      <c r="BQ150" s="21">
        <f t="shared" si="89"/>
        <v>2</v>
      </c>
      <c r="BR150" s="21" t="str">
        <f t="shared" si="87"/>
        <v/>
      </c>
      <c r="BS150" s="21" t="str">
        <f t="array" ref="BS150">_xlfn.TEXTJOIN("",TRUE,IF(ISERROR(FIND(ROW($1:$10)-1,BQ150&amp;BR150)),ROW($1:$10)-1,""))</f>
        <v>013456789</v>
      </c>
      <c r="BT150" s="20" t="str">
        <f t="shared" si="79"/>
        <v>复中中</v>
      </c>
      <c r="BU150" s="22" t="str">
        <f t="shared" si="80"/>
        <v/>
      </c>
      <c r="BV150" s="22" t="str">
        <f t="shared" si="88"/>
        <v/>
      </c>
      <c r="BW150" s="22" t="str">
        <f t="array" ref="BW150">_xlfn.TEXTJOIN("",TRUE,IF(ISERROR(FIND(ROW($1:$10)-1,BU150&amp;BV150)),ROW($1:$10)-1,""))</f>
        <v>0123456789</v>
      </c>
      <c r="BX150" s="20" t="str">
        <f t="shared" si="81"/>
        <v>中中中</v>
      </c>
      <c r="BY150" s="23" t="str">
        <f t="shared" si="75"/>
        <v>13</v>
      </c>
      <c r="BZ150" s="24" t="str">
        <f t="array" ref="BZ150">_xlfn.TEXTJOIN("",TRUE,IF(ISNUMBER(FIND(MID(BY149&amp;Q149,ROW($1:$4),1),BY150&amp;Q150)),MID(BY149&amp;Q149,ROW($1:$4),1),""))</f>
        <v/>
      </c>
      <c r="CA150" s="25" t="str">
        <f t="array" ref="CA150">_xlfn.TEXTJOIN("",TRUE,IF(ISERROR(FIND(ROW($1:$10)-1,BY150&amp;BZ150)),ROW($1:$10)-1,""))</f>
        <v>02456789</v>
      </c>
      <c r="CB150" s="26" t="str">
        <f t="shared" si="82"/>
        <v>邻孤孤</v>
      </c>
      <c r="CC150" s="27" t="str">
        <f t="shared" si="83"/>
        <v>13</v>
      </c>
      <c r="CD150" s="27" t="str">
        <f t="array" ref="CD150">_xlfn.TEXTJOIN("",TRUE,IF(ISNUMBER(FIND(MID(CC149&amp;R149,ROW($1:$4),1),CC150&amp;R150)),MID(CC149&amp;R149,ROW($1:$4),1),""))</f>
        <v/>
      </c>
      <c r="CE150" s="27" t="str">
        <f t="array" ref="CE150">_xlfn.TEXTJOIN("",TRUE,IF(ISERROR(FIND(ROW($1:$10)-1,CC150&amp;CD150)),ROW($1:$10)-1,""))</f>
        <v>02456789</v>
      </c>
      <c r="CF150" s="17" t="str">
        <f t="shared" si="84"/>
        <v>邻孤孤</v>
      </c>
      <c r="CG150" s="22" t="str">
        <f t="shared" si="85"/>
        <v>35</v>
      </c>
      <c r="CH150" s="22" t="str">
        <f t="array" ref="CH150">_xlfn.TEXTJOIN("",TRUE,IF(ISNUMBER(FIND(MID(CG149&amp;S149,ROW($1:$4),1),CG150&amp;S150)),MID(CG149&amp;S149,ROW($1:$4),1),""))</f>
        <v>3</v>
      </c>
      <c r="CI150" s="22" t="str">
        <f t="array" ref="CI150">_xlfn.TEXTJOIN("",TRUE,IF(ISERROR(FIND(ROW($1:$10)-1,CG150&amp;CH150)),ROW($1:$10)-1,""))</f>
        <v>01246789</v>
      </c>
      <c r="CJ150" s="28" t="str">
        <f t="shared" si="86"/>
        <v>邻传孤</v>
      </c>
    </row>
    <row r="151" spans="1:88">
      <c r="A151" s="32">
        <v>2024278</v>
      </c>
      <c r="B151" s="8" t="s">
        <v>156</v>
      </c>
      <c r="C151" s="49">
        <f t="shared" si="90"/>
        <v>5</v>
      </c>
      <c r="D151" s="50">
        <f t="shared" si="91"/>
        <v>5</v>
      </c>
      <c r="E151" s="51">
        <f t="shared" si="72"/>
        <v>1.6666666666666701</v>
      </c>
      <c r="F151" s="52">
        <f>MAX(MID(B151,{1,2,3},1)*1)-MIN(MID(B151,{1,2,3},1)*1)</f>
        <v>1</v>
      </c>
      <c r="G151" s="104">
        <v>0</v>
      </c>
      <c r="H151" s="104">
        <v>1</v>
      </c>
      <c r="I151" s="104">
        <v>2</v>
      </c>
      <c r="J151" s="104">
        <v>3</v>
      </c>
      <c r="K151" s="104">
        <v>4</v>
      </c>
      <c r="L151" s="104">
        <v>5</v>
      </c>
      <c r="M151" s="104">
        <v>6</v>
      </c>
      <c r="N151" s="104">
        <v>7</v>
      </c>
      <c r="O151" s="104">
        <v>8</v>
      </c>
      <c r="P151" s="104">
        <v>9</v>
      </c>
      <c r="Q151" s="53">
        <f t="shared" si="92"/>
        <v>0</v>
      </c>
      <c r="R151" s="53">
        <f t="shared" si="93"/>
        <v>1</v>
      </c>
      <c r="S151" s="53">
        <f t="shared" si="94"/>
        <v>1</v>
      </c>
      <c r="T151" s="101">
        <f t="shared" si="73"/>
        <v>2</v>
      </c>
      <c r="U151" s="15" t="str">
        <f>_xlfn.TEXTJOIN(", ",TRUE,ABS(MID(B151,{1,1,2},1)-MID(B151,{2,3,3},1)))</f>
        <v>0, 1, 1</v>
      </c>
      <c r="V151" s="54">
        <v>0</v>
      </c>
      <c r="W151" s="54">
        <v>1</v>
      </c>
      <c r="X151" s="54">
        <v>2</v>
      </c>
      <c r="Y151" s="54">
        <v>3</v>
      </c>
      <c r="Z151" s="54">
        <v>4</v>
      </c>
      <c r="AA151" s="54">
        <v>5</v>
      </c>
      <c r="AB151" s="54">
        <v>6</v>
      </c>
      <c r="AC151" s="54">
        <v>7</v>
      </c>
      <c r="AD151" s="54">
        <v>8</v>
      </c>
      <c r="AE151" s="54">
        <v>9</v>
      </c>
      <c r="AF151" s="55">
        <v>0</v>
      </c>
      <c r="AG151" s="55">
        <v>1</v>
      </c>
      <c r="AH151" s="55">
        <v>2</v>
      </c>
      <c r="AI151" s="55">
        <v>3</v>
      </c>
      <c r="AJ151" s="55">
        <v>4</v>
      </c>
      <c r="AK151" s="55">
        <v>5</v>
      </c>
      <c r="AL151" s="55">
        <v>6</v>
      </c>
      <c r="AM151" s="55">
        <v>7</v>
      </c>
      <c r="AN151" s="55">
        <v>8</v>
      </c>
      <c r="AO151" s="55">
        <v>9</v>
      </c>
      <c r="AP151" s="105">
        <v>0</v>
      </c>
      <c r="AQ151" s="105">
        <v>1</v>
      </c>
      <c r="AR151" s="105">
        <v>2</v>
      </c>
      <c r="AS151" s="105">
        <v>3</v>
      </c>
      <c r="AT151" s="105">
        <v>4</v>
      </c>
      <c r="AU151" s="105">
        <v>5</v>
      </c>
      <c r="AV151" s="105">
        <v>6</v>
      </c>
      <c r="AW151" s="105">
        <v>7</v>
      </c>
      <c r="AX151" s="105">
        <v>8</v>
      </c>
      <c r="AY151" s="105">
        <v>9</v>
      </c>
      <c r="AZ151" s="56">
        <v>0</v>
      </c>
      <c r="BA151" s="56">
        <v>1</v>
      </c>
      <c r="BB151" s="56">
        <v>2</v>
      </c>
      <c r="BC151" s="56">
        <v>3</v>
      </c>
      <c r="BD151" s="56">
        <v>4</v>
      </c>
      <c r="BE151" s="56">
        <v>5</v>
      </c>
      <c r="BF151" s="56">
        <v>6</v>
      </c>
      <c r="BG151" s="56">
        <v>7</v>
      </c>
      <c r="BH151" s="56">
        <v>8</v>
      </c>
      <c r="BI151" s="56">
        <v>9</v>
      </c>
      <c r="BJ151" s="57" t="str">
        <f t="shared" si="74"/>
        <v>紧凑型</v>
      </c>
      <c r="BK151" s="13">
        <f t="shared" si="70"/>
        <v>0</v>
      </c>
      <c r="BL151" s="13">
        <f t="shared" si="71"/>
        <v>1</v>
      </c>
      <c r="BM151" s="18" t="str">
        <f t="shared" si="76"/>
        <v/>
      </c>
      <c r="BN151" s="19" t="str">
        <f t="shared" si="77"/>
        <v/>
      </c>
      <c r="BO151" s="19" t="str">
        <f t="array" ref="BO151">_xlfn.TEXTJOIN("",TRUE,IF(ISERROR(FIND(ROW($1:$10)-1,BM151&amp;BN151)),ROW($1:$10)-1,""))</f>
        <v>0123456789</v>
      </c>
      <c r="BP151" s="20" t="str">
        <f t="shared" si="78"/>
        <v>中中中</v>
      </c>
      <c r="BQ151" s="21" t="str">
        <f t="shared" si="89"/>
        <v/>
      </c>
      <c r="BR151" s="21" t="str">
        <f t="shared" si="87"/>
        <v/>
      </c>
      <c r="BS151" s="21" t="str">
        <f t="array" ref="BS151">_xlfn.TEXTJOIN("",TRUE,IF(ISERROR(FIND(ROW($1:$10)-1,BQ151&amp;BR151)),ROW($1:$10)-1,""))</f>
        <v>0123456789</v>
      </c>
      <c r="BT151" s="20" t="str">
        <f t="shared" si="79"/>
        <v>中中中</v>
      </c>
      <c r="BU151" s="22" t="str">
        <f t="shared" si="80"/>
        <v/>
      </c>
      <c r="BV151" s="22" t="str">
        <f t="shared" si="88"/>
        <v/>
      </c>
      <c r="BW151" s="22" t="str">
        <f t="array" ref="BW151">_xlfn.TEXTJOIN("",TRUE,IF(ISERROR(FIND(ROW($1:$10)-1,BU151&amp;BV151)),ROW($1:$10)-1,""))</f>
        <v>0123456789</v>
      </c>
      <c r="BX151" s="20" t="str">
        <f t="shared" si="81"/>
        <v>中中中</v>
      </c>
      <c r="BY151" s="23" t="str">
        <f t="shared" si="75"/>
        <v>91</v>
      </c>
      <c r="BZ151" s="24" t="str">
        <f t="array" ref="BZ151">_xlfn.TEXTJOIN("",TRUE,IF(ISNUMBER(FIND(MID(BY150&amp;Q150,ROW($1:$4),1),BY151&amp;Q151)),MID(BY150&amp;Q150,ROW($1:$4),1),""))</f>
        <v>1</v>
      </c>
      <c r="CA151" s="25" t="str">
        <f t="array" ref="CA151">_xlfn.TEXTJOIN("",TRUE,IF(ISERROR(FIND(ROW($1:$10)-1,BY151&amp;BZ151)),ROW($1:$10)-1,""))</f>
        <v>02345678</v>
      </c>
      <c r="CB151" s="26" t="str">
        <f t="shared" si="82"/>
        <v>邻传孤</v>
      </c>
      <c r="CC151" s="27" t="str">
        <f t="shared" si="83"/>
        <v>02</v>
      </c>
      <c r="CD151" s="27" t="str">
        <f t="array" ref="CD151">_xlfn.TEXTJOIN("",TRUE,IF(ISNUMBER(FIND(MID(CC150&amp;R150,ROW($1:$4),1),CC151&amp;R151)),MID(CC150&amp;R150,ROW($1:$4),1),""))</f>
        <v>12</v>
      </c>
      <c r="CE151" s="27" t="str">
        <f t="array" ref="CE151">_xlfn.TEXTJOIN("",TRUE,IF(ISERROR(FIND(ROW($1:$10)-1,CC151&amp;CD151)),ROW($1:$10)-1,""))</f>
        <v>3456789</v>
      </c>
      <c r="CF151" s="17" t="str">
        <f t="shared" si="84"/>
        <v>邻传孤</v>
      </c>
      <c r="CG151" s="22" t="str">
        <f t="shared" si="85"/>
        <v>02</v>
      </c>
      <c r="CH151" s="22" t="str">
        <f t="array" ref="CH151">_xlfn.TEXTJOIN("",TRUE,IF(ISNUMBER(FIND(MID(CG150&amp;S150,ROW($1:$4),1),CG151&amp;S151)),MID(CG150&amp;S150,ROW($1:$4),1),""))</f>
        <v/>
      </c>
      <c r="CI151" s="22" t="str">
        <f t="array" ref="CI151">_xlfn.TEXTJOIN("",TRUE,IF(ISERROR(FIND(ROW($1:$10)-1,CG151&amp;CH151)),ROW($1:$10)-1,""))</f>
        <v>13456789</v>
      </c>
      <c r="CJ151" s="28" t="str">
        <f t="shared" si="86"/>
        <v>邻孤孤</v>
      </c>
    </row>
    <row r="152" spans="1:88">
      <c r="A152" s="32">
        <v>2024279</v>
      </c>
      <c r="B152" s="8" t="s">
        <v>157</v>
      </c>
      <c r="C152" s="49">
        <f t="shared" si="90"/>
        <v>6</v>
      </c>
      <c r="D152" s="50">
        <f t="shared" si="91"/>
        <v>6</v>
      </c>
      <c r="E152" s="51">
        <f t="shared" si="72"/>
        <v>2</v>
      </c>
      <c r="F152" s="52">
        <f>MAX(MID(B152,{1,2,3},1)*1)-MIN(MID(B152,{1,2,3},1)*1)</f>
        <v>6</v>
      </c>
      <c r="G152" s="104">
        <v>0</v>
      </c>
      <c r="H152" s="104">
        <v>1</v>
      </c>
      <c r="I152" s="104">
        <v>2</v>
      </c>
      <c r="J152" s="104">
        <v>3</v>
      </c>
      <c r="K152" s="104">
        <v>4</v>
      </c>
      <c r="L152" s="104">
        <v>5</v>
      </c>
      <c r="M152" s="104">
        <v>6</v>
      </c>
      <c r="N152" s="104">
        <v>7</v>
      </c>
      <c r="O152" s="104">
        <v>8</v>
      </c>
      <c r="P152" s="104">
        <v>9</v>
      </c>
      <c r="Q152" s="53">
        <f t="shared" si="92"/>
        <v>6</v>
      </c>
      <c r="R152" s="53">
        <f t="shared" si="93"/>
        <v>0</v>
      </c>
      <c r="S152" s="53">
        <f t="shared" si="94"/>
        <v>6</v>
      </c>
      <c r="T152" s="101">
        <f t="shared" si="73"/>
        <v>12</v>
      </c>
      <c r="U152" s="15" t="str">
        <f>_xlfn.TEXTJOIN(", ",TRUE,ABS(MID(B152,{1,1,2},1)-MID(B152,{2,3,3},1)))</f>
        <v>6, 0, 6</v>
      </c>
      <c r="V152" s="54">
        <v>0</v>
      </c>
      <c r="W152" s="54">
        <v>1</v>
      </c>
      <c r="X152" s="54">
        <v>2</v>
      </c>
      <c r="Y152" s="54">
        <v>3</v>
      </c>
      <c r="Z152" s="54">
        <v>4</v>
      </c>
      <c r="AA152" s="54">
        <v>5</v>
      </c>
      <c r="AB152" s="54">
        <v>6</v>
      </c>
      <c r="AC152" s="54">
        <v>7</v>
      </c>
      <c r="AD152" s="54">
        <v>8</v>
      </c>
      <c r="AE152" s="54">
        <v>9</v>
      </c>
      <c r="AF152" s="55">
        <v>0</v>
      </c>
      <c r="AG152" s="55">
        <v>1</v>
      </c>
      <c r="AH152" s="55">
        <v>2</v>
      </c>
      <c r="AI152" s="55">
        <v>3</v>
      </c>
      <c r="AJ152" s="55">
        <v>4</v>
      </c>
      <c r="AK152" s="55">
        <v>5</v>
      </c>
      <c r="AL152" s="55">
        <v>6</v>
      </c>
      <c r="AM152" s="55">
        <v>7</v>
      </c>
      <c r="AN152" s="55">
        <v>8</v>
      </c>
      <c r="AO152" s="55">
        <v>9</v>
      </c>
      <c r="AP152" s="105">
        <v>0</v>
      </c>
      <c r="AQ152" s="105">
        <v>1</v>
      </c>
      <c r="AR152" s="105">
        <v>2</v>
      </c>
      <c r="AS152" s="105">
        <v>3</v>
      </c>
      <c r="AT152" s="105">
        <v>4</v>
      </c>
      <c r="AU152" s="105">
        <v>5</v>
      </c>
      <c r="AV152" s="105">
        <v>6</v>
      </c>
      <c r="AW152" s="105">
        <v>7</v>
      </c>
      <c r="AX152" s="105">
        <v>8</v>
      </c>
      <c r="AY152" s="105">
        <v>9</v>
      </c>
      <c r="AZ152" s="56">
        <v>0</v>
      </c>
      <c r="BA152" s="56">
        <v>1</v>
      </c>
      <c r="BB152" s="56">
        <v>2</v>
      </c>
      <c r="BC152" s="56">
        <v>3</v>
      </c>
      <c r="BD152" s="56">
        <v>4</v>
      </c>
      <c r="BE152" s="56">
        <v>5</v>
      </c>
      <c r="BF152" s="56">
        <v>6</v>
      </c>
      <c r="BG152" s="56">
        <v>7</v>
      </c>
      <c r="BH152" s="56">
        <v>8</v>
      </c>
      <c r="BI152" s="56">
        <v>9</v>
      </c>
      <c r="BJ152" s="57" t="str">
        <f t="shared" si="74"/>
        <v>松散型</v>
      </c>
      <c r="BK152" s="13">
        <f t="shared" si="70"/>
        <v>0</v>
      </c>
      <c r="BL152" s="13">
        <f t="shared" si="71"/>
        <v>6</v>
      </c>
      <c r="BM152" s="18" t="str">
        <f t="shared" si="76"/>
        <v/>
      </c>
      <c r="BN152" s="19" t="str">
        <f t="shared" si="77"/>
        <v/>
      </c>
      <c r="BO152" s="19" t="str">
        <f t="array" ref="BO152">_xlfn.TEXTJOIN("",TRUE,IF(ISERROR(FIND(ROW($1:$10)-1,BM152&amp;BN152)),ROW($1:$10)-1,""))</f>
        <v>0123456789</v>
      </c>
      <c r="BP152" s="20" t="str">
        <f t="shared" si="78"/>
        <v>中中中</v>
      </c>
      <c r="BQ152" s="21">
        <f t="shared" si="89"/>
        <v>0</v>
      </c>
      <c r="BR152" s="21" t="str">
        <f t="shared" si="87"/>
        <v/>
      </c>
      <c r="BS152" s="21" t="str">
        <f t="array" ref="BS152">_xlfn.TEXTJOIN("",TRUE,IF(ISERROR(FIND(ROW($1:$10)-1,BQ152&amp;BR152)),ROW($1:$10)-1,""))</f>
        <v>123456789</v>
      </c>
      <c r="BT152" s="20" t="str">
        <f t="shared" si="79"/>
        <v>复中中</v>
      </c>
      <c r="BU152" s="22" t="str">
        <f t="shared" si="80"/>
        <v/>
      </c>
      <c r="BV152" s="22" t="str">
        <f t="shared" si="88"/>
        <v/>
      </c>
      <c r="BW152" s="22" t="str">
        <f t="array" ref="BW152">_xlfn.TEXTJOIN("",TRUE,IF(ISERROR(FIND(ROW($1:$10)-1,BU152&amp;BV152)),ROW($1:$10)-1,""))</f>
        <v>0123456789</v>
      </c>
      <c r="BX152" s="20" t="str">
        <f t="shared" si="81"/>
        <v>中中中</v>
      </c>
      <c r="BY152" s="23" t="str">
        <f t="shared" si="75"/>
        <v>57</v>
      </c>
      <c r="BZ152" s="24" t="str">
        <f t="array" ref="BZ152">_xlfn.TEXTJOIN("",TRUE,IF(ISNUMBER(FIND(MID(BY151&amp;Q151,ROW($1:$4),1),BY152&amp;Q152)),MID(BY151&amp;Q151,ROW($1:$4),1),""))</f>
        <v/>
      </c>
      <c r="CA152" s="25" t="str">
        <f t="array" ref="CA152">_xlfn.TEXTJOIN("",TRUE,IF(ISERROR(FIND(ROW($1:$10)-1,BY152&amp;BZ152)),ROW($1:$10)-1,""))</f>
        <v>01234689</v>
      </c>
      <c r="CB152" s="26" t="str">
        <f t="shared" si="82"/>
        <v>邻孤孤</v>
      </c>
      <c r="CC152" s="27" t="str">
        <f t="shared" si="83"/>
        <v>91</v>
      </c>
      <c r="CD152" s="27" t="str">
        <f t="array" ref="CD152">_xlfn.TEXTJOIN("",TRUE,IF(ISNUMBER(FIND(MID(CC151&amp;R151,ROW($1:$4),1),CC152&amp;R152)),MID(CC151&amp;R151,ROW($1:$4),1),""))</f>
        <v>01</v>
      </c>
      <c r="CE152" s="27" t="str">
        <f t="array" ref="CE152">_xlfn.TEXTJOIN("",TRUE,IF(ISERROR(FIND(ROW($1:$10)-1,CC152&amp;CD152)),ROW($1:$10)-1,""))</f>
        <v>2345678</v>
      </c>
      <c r="CF152" s="17" t="str">
        <f t="shared" si="84"/>
        <v>邻传孤</v>
      </c>
      <c r="CG152" s="22" t="str">
        <f t="shared" si="85"/>
        <v>57</v>
      </c>
      <c r="CH152" s="22" t="str">
        <f t="array" ref="CH152">_xlfn.TEXTJOIN("",TRUE,IF(ISNUMBER(FIND(MID(CG151&amp;S151,ROW($1:$4),1),CG152&amp;S152)),MID(CG151&amp;S151,ROW($1:$4),1),""))</f>
        <v/>
      </c>
      <c r="CI152" s="22" t="str">
        <f t="array" ref="CI152">_xlfn.TEXTJOIN("",TRUE,IF(ISERROR(FIND(ROW($1:$10)-1,CG152&amp;CH152)),ROW($1:$10)-1,""))</f>
        <v>01234689</v>
      </c>
      <c r="CJ152" s="28" t="str">
        <f t="shared" si="86"/>
        <v>邻孤孤</v>
      </c>
    </row>
    <row r="153" spans="1:88">
      <c r="A153" s="32">
        <v>2024280</v>
      </c>
      <c r="B153" s="8" t="s">
        <v>158</v>
      </c>
      <c r="C153" s="49">
        <f t="shared" si="90"/>
        <v>14</v>
      </c>
      <c r="D153" s="50">
        <f t="shared" si="91"/>
        <v>4</v>
      </c>
      <c r="E153" s="51">
        <f t="shared" si="72"/>
        <v>4.6666666666666696</v>
      </c>
      <c r="F153" s="52">
        <f>MAX(MID(B153,{1,2,3},1)*1)-MIN(MID(B153,{1,2,3},1)*1)</f>
        <v>6</v>
      </c>
      <c r="G153" s="104">
        <v>0</v>
      </c>
      <c r="H153" s="104">
        <v>1</v>
      </c>
      <c r="I153" s="104">
        <v>2</v>
      </c>
      <c r="J153" s="104">
        <v>3</v>
      </c>
      <c r="K153" s="104">
        <v>4</v>
      </c>
      <c r="L153" s="104">
        <v>5</v>
      </c>
      <c r="M153" s="104">
        <v>6</v>
      </c>
      <c r="N153" s="104">
        <v>7</v>
      </c>
      <c r="O153" s="104">
        <v>8</v>
      </c>
      <c r="P153" s="104">
        <v>9</v>
      </c>
      <c r="Q153" s="53">
        <f t="shared" si="92"/>
        <v>2</v>
      </c>
      <c r="R153" s="53">
        <f t="shared" si="93"/>
        <v>6</v>
      </c>
      <c r="S153" s="53">
        <f t="shared" si="94"/>
        <v>4</v>
      </c>
      <c r="T153" s="101">
        <f t="shared" si="73"/>
        <v>12</v>
      </c>
      <c r="U153" s="15" t="str">
        <f>_xlfn.TEXTJOIN(", ",TRUE,ABS(MID(B153,{1,1,2},1)-MID(B153,{2,3,3},1)))</f>
        <v>2, 6, 4</v>
      </c>
      <c r="V153" s="54">
        <v>0</v>
      </c>
      <c r="W153" s="54">
        <v>1</v>
      </c>
      <c r="X153" s="54">
        <v>2</v>
      </c>
      <c r="Y153" s="54">
        <v>3</v>
      </c>
      <c r="Z153" s="54">
        <v>4</v>
      </c>
      <c r="AA153" s="54">
        <v>5</v>
      </c>
      <c r="AB153" s="54">
        <v>6</v>
      </c>
      <c r="AC153" s="54">
        <v>7</v>
      </c>
      <c r="AD153" s="54">
        <v>8</v>
      </c>
      <c r="AE153" s="54">
        <v>9</v>
      </c>
      <c r="AF153" s="55">
        <v>0</v>
      </c>
      <c r="AG153" s="55">
        <v>1</v>
      </c>
      <c r="AH153" s="55">
        <v>2</v>
      </c>
      <c r="AI153" s="55">
        <v>3</v>
      </c>
      <c r="AJ153" s="55">
        <v>4</v>
      </c>
      <c r="AK153" s="55">
        <v>5</v>
      </c>
      <c r="AL153" s="55">
        <v>6</v>
      </c>
      <c r="AM153" s="55">
        <v>7</v>
      </c>
      <c r="AN153" s="55">
        <v>8</v>
      </c>
      <c r="AO153" s="55">
        <v>9</v>
      </c>
      <c r="AP153" s="105">
        <v>0</v>
      </c>
      <c r="AQ153" s="105">
        <v>1</v>
      </c>
      <c r="AR153" s="105">
        <v>2</v>
      </c>
      <c r="AS153" s="105">
        <v>3</v>
      </c>
      <c r="AT153" s="105">
        <v>4</v>
      </c>
      <c r="AU153" s="105">
        <v>5</v>
      </c>
      <c r="AV153" s="105">
        <v>6</v>
      </c>
      <c r="AW153" s="105">
        <v>7</v>
      </c>
      <c r="AX153" s="105">
        <v>8</v>
      </c>
      <c r="AY153" s="105">
        <v>9</v>
      </c>
      <c r="AZ153" s="56">
        <v>0</v>
      </c>
      <c r="BA153" s="56">
        <v>1</v>
      </c>
      <c r="BB153" s="56">
        <v>2</v>
      </c>
      <c r="BC153" s="56">
        <v>3</v>
      </c>
      <c r="BD153" s="56">
        <v>4</v>
      </c>
      <c r="BE153" s="56">
        <v>5</v>
      </c>
      <c r="BF153" s="56">
        <v>6</v>
      </c>
      <c r="BG153" s="56">
        <v>7</v>
      </c>
      <c r="BH153" s="56">
        <v>8</v>
      </c>
      <c r="BI153" s="56">
        <v>9</v>
      </c>
      <c r="BJ153" s="57" t="str">
        <f t="shared" si="74"/>
        <v>松散型</v>
      </c>
      <c r="BK153" s="13">
        <f t="shared" si="70"/>
        <v>2</v>
      </c>
      <c r="BL153" s="13">
        <f t="shared" si="71"/>
        <v>6</v>
      </c>
      <c r="BM153" s="18" t="str">
        <f t="shared" si="76"/>
        <v/>
      </c>
      <c r="BN153" s="19" t="str">
        <f t="shared" si="77"/>
        <v/>
      </c>
      <c r="BO153" s="19" t="str">
        <f t="array" ref="BO153">_xlfn.TEXTJOIN("",TRUE,IF(ISERROR(FIND(ROW($1:$10)-1,BM153&amp;BN153)),ROW($1:$10)-1,""))</f>
        <v>0123456789</v>
      </c>
      <c r="BP153" s="20" t="str">
        <f t="shared" si="78"/>
        <v>中中中</v>
      </c>
      <c r="BQ153" s="21">
        <f t="shared" si="89"/>
        <v>6</v>
      </c>
      <c r="BR153" s="21" t="str">
        <f t="shared" si="87"/>
        <v/>
      </c>
      <c r="BS153" s="21" t="str">
        <f t="array" ref="BS153">_xlfn.TEXTJOIN("",TRUE,IF(ISERROR(FIND(ROW($1:$10)-1,BQ153&amp;BR153)),ROW($1:$10)-1,""))</f>
        <v>012345789</v>
      </c>
      <c r="BT153" s="20" t="str">
        <f t="shared" si="79"/>
        <v>复中中</v>
      </c>
      <c r="BU153" s="22" t="str">
        <f t="shared" si="80"/>
        <v/>
      </c>
      <c r="BV153" s="22" t="str">
        <f t="shared" si="88"/>
        <v/>
      </c>
      <c r="BW153" s="22" t="str">
        <f t="array" ref="BW153">_xlfn.TEXTJOIN("",TRUE,IF(ISERROR(FIND(ROW($1:$10)-1,BU153&amp;BV153)),ROW($1:$10)-1,""))</f>
        <v>0123456789</v>
      </c>
      <c r="BX153" s="20" t="str">
        <f t="shared" si="81"/>
        <v>中中中</v>
      </c>
      <c r="BY153" s="23" t="str">
        <f t="shared" si="75"/>
        <v>13</v>
      </c>
      <c r="BZ153" s="24" t="str">
        <f t="array" ref="BZ153">_xlfn.TEXTJOIN("",TRUE,IF(ISNUMBER(FIND(MID(BY152&amp;Q152,ROW($1:$4),1),BY153&amp;Q153)),MID(BY152&amp;Q152,ROW($1:$4),1),""))</f>
        <v/>
      </c>
      <c r="CA153" s="25" t="str">
        <f t="array" ref="CA153">_xlfn.TEXTJOIN("",TRUE,IF(ISERROR(FIND(ROW($1:$10)-1,BY153&amp;BZ153)),ROW($1:$10)-1,""))</f>
        <v>02456789</v>
      </c>
      <c r="CB153" s="26" t="str">
        <f t="shared" si="82"/>
        <v>邻孤孤</v>
      </c>
      <c r="CC153" s="27" t="str">
        <f t="shared" si="83"/>
        <v>57</v>
      </c>
      <c r="CD153" s="27" t="str">
        <f t="array" ref="CD153">_xlfn.TEXTJOIN("",TRUE,IF(ISNUMBER(FIND(MID(CC152&amp;R152,ROW($1:$4),1),CC153&amp;R153)),MID(CC152&amp;R152,ROW($1:$4),1),""))</f>
        <v/>
      </c>
      <c r="CE153" s="27" t="str">
        <f t="array" ref="CE153">_xlfn.TEXTJOIN("",TRUE,IF(ISERROR(FIND(ROW($1:$10)-1,CC153&amp;CD153)),ROW($1:$10)-1,""))</f>
        <v>01234689</v>
      </c>
      <c r="CF153" s="17" t="str">
        <f t="shared" si="84"/>
        <v>邻孤孤</v>
      </c>
      <c r="CG153" s="22" t="str">
        <f t="shared" si="85"/>
        <v>35</v>
      </c>
      <c r="CH153" s="22" t="str">
        <f t="array" ref="CH153">_xlfn.TEXTJOIN("",TRUE,IF(ISNUMBER(FIND(MID(CG152&amp;S152,ROW($1:$4),1),CG153&amp;S153)),MID(CG152&amp;S152,ROW($1:$4),1),""))</f>
        <v>5</v>
      </c>
      <c r="CI153" s="22" t="str">
        <f t="array" ref="CI153">_xlfn.TEXTJOIN("",TRUE,IF(ISERROR(FIND(ROW($1:$10)-1,CG153&amp;CH153)),ROW($1:$10)-1,""))</f>
        <v>01246789</v>
      </c>
      <c r="CJ153" s="28" t="str">
        <f t="shared" si="86"/>
        <v>邻传孤</v>
      </c>
    </row>
    <row r="154" spans="1:88">
      <c r="A154" s="32">
        <v>2024281</v>
      </c>
      <c r="B154" s="8" t="s">
        <v>159</v>
      </c>
      <c r="C154" s="49">
        <f t="shared" si="90"/>
        <v>9</v>
      </c>
      <c r="D154" s="50">
        <f t="shared" si="91"/>
        <v>9</v>
      </c>
      <c r="E154" s="51">
        <f t="shared" si="72"/>
        <v>3</v>
      </c>
      <c r="F154" s="52">
        <f>MAX(MID(B154,{1,2,3},1)*1)-MIN(MID(B154,{1,2,3},1)*1)</f>
        <v>9</v>
      </c>
      <c r="G154" s="104">
        <v>0</v>
      </c>
      <c r="H154" s="104">
        <v>1</v>
      </c>
      <c r="I154" s="104">
        <v>2</v>
      </c>
      <c r="J154" s="104">
        <v>3</v>
      </c>
      <c r="K154" s="104">
        <v>4</v>
      </c>
      <c r="L154" s="104">
        <v>5</v>
      </c>
      <c r="M154" s="104">
        <v>6</v>
      </c>
      <c r="N154" s="104">
        <v>7</v>
      </c>
      <c r="O154" s="104">
        <v>8</v>
      </c>
      <c r="P154" s="104">
        <v>9</v>
      </c>
      <c r="Q154" s="53">
        <f t="shared" si="92"/>
        <v>9</v>
      </c>
      <c r="R154" s="53">
        <f t="shared" si="93"/>
        <v>9</v>
      </c>
      <c r="S154" s="53">
        <f t="shared" si="94"/>
        <v>0</v>
      </c>
      <c r="T154" s="101">
        <f t="shared" si="73"/>
        <v>18</v>
      </c>
      <c r="U154" s="15" t="str">
        <f>_xlfn.TEXTJOIN(", ",TRUE,ABS(MID(B154,{1,1,2},1)-MID(B154,{2,3,3},1)))</f>
        <v>9, 9, 0</v>
      </c>
      <c r="V154" s="54">
        <v>0</v>
      </c>
      <c r="W154" s="54">
        <v>1</v>
      </c>
      <c r="X154" s="54">
        <v>2</v>
      </c>
      <c r="Y154" s="54">
        <v>3</v>
      </c>
      <c r="Z154" s="54">
        <v>4</v>
      </c>
      <c r="AA154" s="54">
        <v>5</v>
      </c>
      <c r="AB154" s="54">
        <v>6</v>
      </c>
      <c r="AC154" s="54">
        <v>7</v>
      </c>
      <c r="AD154" s="54">
        <v>8</v>
      </c>
      <c r="AE154" s="54">
        <v>9</v>
      </c>
      <c r="AF154" s="55">
        <v>0</v>
      </c>
      <c r="AG154" s="55">
        <v>1</v>
      </c>
      <c r="AH154" s="55">
        <v>2</v>
      </c>
      <c r="AI154" s="55">
        <v>3</v>
      </c>
      <c r="AJ154" s="55">
        <v>4</v>
      </c>
      <c r="AK154" s="55">
        <v>5</v>
      </c>
      <c r="AL154" s="55">
        <v>6</v>
      </c>
      <c r="AM154" s="55">
        <v>7</v>
      </c>
      <c r="AN154" s="55">
        <v>8</v>
      </c>
      <c r="AO154" s="55">
        <v>9</v>
      </c>
      <c r="AP154" s="105">
        <v>0</v>
      </c>
      <c r="AQ154" s="105">
        <v>1</v>
      </c>
      <c r="AR154" s="105">
        <v>2</v>
      </c>
      <c r="AS154" s="105">
        <v>3</v>
      </c>
      <c r="AT154" s="105">
        <v>4</v>
      </c>
      <c r="AU154" s="105">
        <v>5</v>
      </c>
      <c r="AV154" s="105">
        <v>6</v>
      </c>
      <c r="AW154" s="105">
        <v>7</v>
      </c>
      <c r="AX154" s="105">
        <v>8</v>
      </c>
      <c r="AY154" s="105">
        <v>9</v>
      </c>
      <c r="AZ154" s="56">
        <v>0</v>
      </c>
      <c r="BA154" s="56">
        <v>1</v>
      </c>
      <c r="BB154" s="56">
        <v>2</v>
      </c>
      <c r="BC154" s="56">
        <v>3</v>
      </c>
      <c r="BD154" s="56">
        <v>4</v>
      </c>
      <c r="BE154" s="56">
        <v>5</v>
      </c>
      <c r="BF154" s="56">
        <v>6</v>
      </c>
      <c r="BG154" s="56">
        <v>7</v>
      </c>
      <c r="BH154" s="56">
        <v>8</v>
      </c>
      <c r="BI154" s="56">
        <v>9</v>
      </c>
      <c r="BJ154" s="57" t="str">
        <f t="shared" si="74"/>
        <v>松散型</v>
      </c>
      <c r="BK154" s="13">
        <f t="shared" si="70"/>
        <v>0</v>
      </c>
      <c r="BL154" s="13">
        <f t="shared" si="71"/>
        <v>9</v>
      </c>
      <c r="BM154" s="18" t="str">
        <f t="shared" si="76"/>
        <v/>
      </c>
      <c r="BN154" s="19" t="str">
        <f t="shared" si="77"/>
        <v/>
      </c>
      <c r="BO154" s="19" t="str">
        <f t="array" ref="BO154">_xlfn.TEXTJOIN("",TRUE,IF(ISERROR(FIND(ROW($1:$10)-1,BM154&amp;BN154)),ROW($1:$10)-1,""))</f>
        <v>0123456789</v>
      </c>
      <c r="BP154" s="20" t="str">
        <f t="shared" si="78"/>
        <v>中中中</v>
      </c>
      <c r="BQ154" s="21" t="str">
        <f t="shared" si="89"/>
        <v/>
      </c>
      <c r="BR154" s="21" t="str">
        <f t="shared" si="87"/>
        <v/>
      </c>
      <c r="BS154" s="21" t="str">
        <f t="array" ref="BS154">_xlfn.TEXTJOIN("",TRUE,IF(ISERROR(FIND(ROW($1:$10)-1,BQ154&amp;BR154)),ROW($1:$10)-1,""))</f>
        <v>0123456789</v>
      </c>
      <c r="BT154" s="20" t="str">
        <f t="shared" si="79"/>
        <v>中中中</v>
      </c>
      <c r="BU154" s="22" t="str">
        <f t="shared" si="80"/>
        <v/>
      </c>
      <c r="BV154" s="22">
        <f t="shared" si="88"/>
        <v>0</v>
      </c>
      <c r="BW154" s="22" t="str">
        <f t="array" ref="BW154">_xlfn.TEXTJOIN("",TRUE,IF(ISERROR(FIND(ROW($1:$10)-1,BU154&amp;BV154)),ROW($1:$10)-1,""))</f>
        <v>123456789</v>
      </c>
      <c r="BX154" s="20" t="str">
        <f t="shared" si="81"/>
        <v>中隔中</v>
      </c>
      <c r="BY154" s="23" t="str">
        <f t="shared" si="75"/>
        <v>80</v>
      </c>
      <c r="BZ154" s="24" t="str">
        <f t="array" ref="BZ154">_xlfn.TEXTJOIN("",TRUE,IF(ISNUMBER(FIND(MID(BY153&amp;Q153,ROW($1:$4),1),BY154&amp;Q154)),MID(BY153&amp;Q153,ROW($1:$4),1),""))</f>
        <v/>
      </c>
      <c r="CA154" s="25" t="str">
        <f t="array" ref="CA154">_xlfn.TEXTJOIN("",TRUE,IF(ISERROR(FIND(ROW($1:$10)-1,BY154&amp;BZ154)),ROW($1:$10)-1,""))</f>
        <v>12345679</v>
      </c>
      <c r="CB154" s="26" t="str">
        <f t="shared" si="82"/>
        <v>邻孤孤</v>
      </c>
      <c r="CC154" s="27" t="str">
        <f t="shared" si="83"/>
        <v>80</v>
      </c>
      <c r="CD154" s="27" t="str">
        <f t="array" ref="CD154">_xlfn.TEXTJOIN("",TRUE,IF(ISNUMBER(FIND(MID(CC153&amp;R153,ROW($1:$4),1),CC154&amp;R154)),MID(CC153&amp;R153,ROW($1:$4),1),""))</f>
        <v/>
      </c>
      <c r="CE154" s="27" t="str">
        <f t="array" ref="CE154">_xlfn.TEXTJOIN("",TRUE,IF(ISERROR(FIND(ROW($1:$10)-1,CC154&amp;CD154)),ROW($1:$10)-1,""))</f>
        <v>12345679</v>
      </c>
      <c r="CF154" s="17" t="str">
        <f t="shared" si="84"/>
        <v>邻孤孤</v>
      </c>
      <c r="CG154" s="22" t="str">
        <f t="shared" si="85"/>
        <v>91</v>
      </c>
      <c r="CH154" s="22" t="str">
        <f t="array" ref="CH154">_xlfn.TEXTJOIN("",TRUE,IF(ISNUMBER(FIND(MID(CG153&amp;S153,ROW($1:$4),1),CG154&amp;S154)),MID(CG153&amp;S153,ROW($1:$4),1),""))</f>
        <v/>
      </c>
      <c r="CI154" s="22" t="str">
        <f t="array" ref="CI154">_xlfn.TEXTJOIN("",TRUE,IF(ISERROR(FIND(ROW($1:$10)-1,CG154&amp;CH154)),ROW($1:$10)-1,""))</f>
        <v>02345678</v>
      </c>
      <c r="CJ154" s="28" t="str">
        <f t="shared" si="86"/>
        <v>邻孤孤</v>
      </c>
    </row>
    <row r="155" spans="1:88">
      <c r="A155" s="32">
        <v>2024282</v>
      </c>
      <c r="B155" s="8" t="s">
        <v>160</v>
      </c>
      <c r="C155" s="49">
        <f t="shared" si="90"/>
        <v>20</v>
      </c>
      <c r="D155" s="50">
        <f t="shared" si="91"/>
        <v>0</v>
      </c>
      <c r="E155" s="51">
        <f t="shared" si="72"/>
        <v>6.6666666666666696</v>
      </c>
      <c r="F155" s="52">
        <f>MAX(MID(B155,{1,2,3},1)*1)-MIN(MID(B155,{1,2,3},1)*1)</f>
        <v>6</v>
      </c>
      <c r="G155" s="104">
        <v>0</v>
      </c>
      <c r="H155" s="104">
        <v>1</v>
      </c>
      <c r="I155" s="104">
        <v>2</v>
      </c>
      <c r="J155" s="104">
        <v>3</v>
      </c>
      <c r="K155" s="104">
        <v>4</v>
      </c>
      <c r="L155" s="104">
        <v>5</v>
      </c>
      <c r="M155" s="104">
        <v>6</v>
      </c>
      <c r="N155" s="104">
        <v>7</v>
      </c>
      <c r="O155" s="104">
        <v>8</v>
      </c>
      <c r="P155" s="104">
        <v>9</v>
      </c>
      <c r="Q155" s="53">
        <f t="shared" si="92"/>
        <v>1</v>
      </c>
      <c r="R155" s="53">
        <f t="shared" si="93"/>
        <v>6</v>
      </c>
      <c r="S155" s="53">
        <f t="shared" si="94"/>
        <v>5</v>
      </c>
      <c r="T155" s="101">
        <f t="shared" si="73"/>
        <v>12</v>
      </c>
      <c r="U155" s="15" t="str">
        <f>_xlfn.TEXTJOIN(", ",TRUE,ABS(MID(B155,{1,1,2},1)-MID(B155,{2,3,3},1)))</f>
        <v>1, 6, 5</v>
      </c>
      <c r="V155" s="54">
        <v>0</v>
      </c>
      <c r="W155" s="54">
        <v>1</v>
      </c>
      <c r="X155" s="54">
        <v>2</v>
      </c>
      <c r="Y155" s="54">
        <v>3</v>
      </c>
      <c r="Z155" s="54">
        <v>4</v>
      </c>
      <c r="AA155" s="54">
        <v>5</v>
      </c>
      <c r="AB155" s="54">
        <v>6</v>
      </c>
      <c r="AC155" s="54">
        <v>7</v>
      </c>
      <c r="AD155" s="54">
        <v>8</v>
      </c>
      <c r="AE155" s="54">
        <v>9</v>
      </c>
      <c r="AF155" s="55">
        <v>0</v>
      </c>
      <c r="AG155" s="55">
        <v>1</v>
      </c>
      <c r="AH155" s="55">
        <v>2</v>
      </c>
      <c r="AI155" s="55">
        <v>3</v>
      </c>
      <c r="AJ155" s="55">
        <v>4</v>
      </c>
      <c r="AK155" s="55">
        <v>5</v>
      </c>
      <c r="AL155" s="55">
        <v>6</v>
      </c>
      <c r="AM155" s="55">
        <v>7</v>
      </c>
      <c r="AN155" s="55">
        <v>8</v>
      </c>
      <c r="AO155" s="55">
        <v>9</v>
      </c>
      <c r="AP155" s="105">
        <v>0</v>
      </c>
      <c r="AQ155" s="105">
        <v>1</v>
      </c>
      <c r="AR155" s="105">
        <v>2</v>
      </c>
      <c r="AS155" s="105">
        <v>3</v>
      </c>
      <c r="AT155" s="105">
        <v>4</v>
      </c>
      <c r="AU155" s="105">
        <v>5</v>
      </c>
      <c r="AV155" s="105">
        <v>6</v>
      </c>
      <c r="AW155" s="105">
        <v>7</v>
      </c>
      <c r="AX155" s="105">
        <v>8</v>
      </c>
      <c r="AY155" s="105">
        <v>9</v>
      </c>
      <c r="AZ155" s="56">
        <v>0</v>
      </c>
      <c r="BA155" s="56">
        <v>1</v>
      </c>
      <c r="BB155" s="56">
        <v>2</v>
      </c>
      <c r="BC155" s="56">
        <v>3</v>
      </c>
      <c r="BD155" s="56">
        <v>4</v>
      </c>
      <c r="BE155" s="56">
        <v>5</v>
      </c>
      <c r="BF155" s="56">
        <v>6</v>
      </c>
      <c r="BG155" s="56">
        <v>7</v>
      </c>
      <c r="BH155" s="56">
        <v>8</v>
      </c>
      <c r="BI155" s="56">
        <v>9</v>
      </c>
      <c r="BJ155" s="57" t="str">
        <f t="shared" si="74"/>
        <v>松散型</v>
      </c>
      <c r="BK155" s="13">
        <f t="shared" si="70"/>
        <v>1</v>
      </c>
      <c r="BL155" s="13">
        <f t="shared" si="71"/>
        <v>6</v>
      </c>
      <c r="BM155" s="18" t="str">
        <f t="shared" si="76"/>
        <v/>
      </c>
      <c r="BN155" s="19" t="str">
        <f t="shared" si="77"/>
        <v/>
      </c>
      <c r="BO155" s="19" t="str">
        <f t="array" ref="BO155">_xlfn.TEXTJOIN("",TRUE,IF(ISERROR(FIND(ROW($1:$10)-1,BM155&amp;BN155)),ROW($1:$10)-1,""))</f>
        <v>0123456789</v>
      </c>
      <c r="BP155" s="20" t="str">
        <f t="shared" si="78"/>
        <v>中中中</v>
      </c>
      <c r="BQ155" s="21" t="str">
        <f t="shared" si="89"/>
        <v/>
      </c>
      <c r="BR155" s="21">
        <f t="shared" si="87"/>
        <v>6</v>
      </c>
      <c r="BS155" s="21" t="str">
        <f t="array" ref="BS155">_xlfn.TEXTJOIN("",TRUE,IF(ISERROR(FIND(ROW($1:$10)-1,BQ155&amp;BR155)),ROW($1:$10)-1,""))</f>
        <v>012345789</v>
      </c>
      <c r="BT155" s="20" t="str">
        <f t="shared" si="79"/>
        <v>中隔中</v>
      </c>
      <c r="BU155" s="22" t="str">
        <f t="shared" si="80"/>
        <v/>
      </c>
      <c r="BV155" s="22" t="str">
        <f t="shared" si="88"/>
        <v/>
      </c>
      <c r="BW155" s="22" t="str">
        <f t="array" ref="BW155">_xlfn.TEXTJOIN("",TRUE,IF(ISERROR(FIND(ROW($1:$10)-1,BU155&amp;BV155)),ROW($1:$10)-1,""))</f>
        <v>0123456789</v>
      </c>
      <c r="BX155" s="20" t="str">
        <f t="shared" si="81"/>
        <v>中中中</v>
      </c>
      <c r="BY155" s="23" t="str">
        <f t="shared" si="75"/>
        <v>02</v>
      </c>
      <c r="BZ155" s="24" t="str">
        <f t="array" ref="BZ155">_xlfn.TEXTJOIN("",TRUE,IF(ISNUMBER(FIND(MID(BY154&amp;Q154,ROW($1:$4),1),BY155&amp;Q155)),MID(BY154&amp;Q154,ROW($1:$4),1),""))</f>
        <v>0</v>
      </c>
      <c r="CA155" s="25" t="str">
        <f t="array" ref="CA155">_xlfn.TEXTJOIN("",TRUE,IF(ISERROR(FIND(ROW($1:$10)-1,BY155&amp;BZ155)),ROW($1:$10)-1,""))</f>
        <v>13456789</v>
      </c>
      <c r="CB155" s="26" t="str">
        <f t="shared" si="82"/>
        <v>邻传孤</v>
      </c>
      <c r="CC155" s="27" t="str">
        <f t="shared" si="83"/>
        <v>57</v>
      </c>
      <c r="CD155" s="27" t="str">
        <f t="array" ref="CD155">_xlfn.TEXTJOIN("",TRUE,IF(ISNUMBER(FIND(MID(CC154&amp;R154,ROW($1:$4),1),CC155&amp;R155)),MID(CC154&amp;R154,ROW($1:$4),1),""))</f>
        <v/>
      </c>
      <c r="CE155" s="27" t="str">
        <f t="array" ref="CE155">_xlfn.TEXTJOIN("",TRUE,IF(ISERROR(FIND(ROW($1:$10)-1,CC155&amp;CD155)),ROW($1:$10)-1,""))</f>
        <v>01234689</v>
      </c>
      <c r="CF155" s="17" t="str">
        <f t="shared" si="84"/>
        <v>邻孤孤</v>
      </c>
      <c r="CG155" s="22" t="str">
        <f t="shared" si="85"/>
        <v>46</v>
      </c>
      <c r="CH155" s="22" t="str">
        <f t="array" ref="CH155">_xlfn.TEXTJOIN("",TRUE,IF(ISNUMBER(FIND(MID(CG154&amp;S154,ROW($1:$4),1),CG155&amp;S155)),MID(CG154&amp;S154,ROW($1:$4),1),""))</f>
        <v/>
      </c>
      <c r="CI155" s="22" t="str">
        <f t="array" ref="CI155">_xlfn.TEXTJOIN("",TRUE,IF(ISERROR(FIND(ROW($1:$10)-1,CG155&amp;CH155)),ROW($1:$10)-1,""))</f>
        <v>01235789</v>
      </c>
      <c r="CJ155" s="28" t="str">
        <f t="shared" si="86"/>
        <v>邻孤孤</v>
      </c>
    </row>
    <row r="156" spans="1:88">
      <c r="A156" s="32">
        <v>2024283</v>
      </c>
      <c r="B156" s="8" t="s">
        <v>161</v>
      </c>
      <c r="C156" s="49">
        <f t="shared" si="90"/>
        <v>14</v>
      </c>
      <c r="D156" s="50">
        <f t="shared" si="91"/>
        <v>4</v>
      </c>
      <c r="E156" s="51">
        <f t="shared" si="72"/>
        <v>4.6666666666666696</v>
      </c>
      <c r="F156" s="52">
        <f>MAX(MID(B156,{1,2,3},1)*1)-MIN(MID(B156,{1,2,3},1)*1)</f>
        <v>8</v>
      </c>
      <c r="G156" s="104">
        <v>0</v>
      </c>
      <c r="H156" s="104">
        <v>1</v>
      </c>
      <c r="I156" s="104">
        <v>2</v>
      </c>
      <c r="J156" s="104">
        <v>3</v>
      </c>
      <c r="K156" s="104">
        <v>4</v>
      </c>
      <c r="L156" s="104">
        <v>5</v>
      </c>
      <c r="M156" s="104">
        <v>6</v>
      </c>
      <c r="N156" s="104">
        <v>7</v>
      </c>
      <c r="O156" s="104">
        <v>8</v>
      </c>
      <c r="P156" s="104">
        <v>9</v>
      </c>
      <c r="Q156" s="53">
        <f t="shared" si="92"/>
        <v>3</v>
      </c>
      <c r="R156" s="53">
        <f t="shared" si="93"/>
        <v>5</v>
      </c>
      <c r="S156" s="53">
        <f t="shared" si="94"/>
        <v>8</v>
      </c>
      <c r="T156" s="101">
        <f t="shared" si="73"/>
        <v>16</v>
      </c>
      <c r="U156" s="15" t="str">
        <f>_xlfn.TEXTJOIN(", ",TRUE,ABS(MID(B156,{1,1,2},1)-MID(B156,{2,3,3},1)))</f>
        <v>3, 5, 8</v>
      </c>
      <c r="V156" s="54">
        <v>0</v>
      </c>
      <c r="W156" s="54">
        <v>1</v>
      </c>
      <c r="X156" s="54">
        <v>2</v>
      </c>
      <c r="Y156" s="54">
        <v>3</v>
      </c>
      <c r="Z156" s="54">
        <v>4</v>
      </c>
      <c r="AA156" s="54">
        <v>5</v>
      </c>
      <c r="AB156" s="54">
        <v>6</v>
      </c>
      <c r="AC156" s="54">
        <v>7</v>
      </c>
      <c r="AD156" s="54">
        <v>8</v>
      </c>
      <c r="AE156" s="54">
        <v>9</v>
      </c>
      <c r="AF156" s="55">
        <v>0</v>
      </c>
      <c r="AG156" s="55">
        <v>1</v>
      </c>
      <c r="AH156" s="55">
        <v>2</v>
      </c>
      <c r="AI156" s="55">
        <v>3</v>
      </c>
      <c r="AJ156" s="55">
        <v>4</v>
      </c>
      <c r="AK156" s="55">
        <v>5</v>
      </c>
      <c r="AL156" s="55">
        <v>6</v>
      </c>
      <c r="AM156" s="55">
        <v>7</v>
      </c>
      <c r="AN156" s="55">
        <v>8</v>
      </c>
      <c r="AO156" s="55">
        <v>9</v>
      </c>
      <c r="AP156" s="105">
        <v>0</v>
      </c>
      <c r="AQ156" s="105">
        <v>1</v>
      </c>
      <c r="AR156" s="105">
        <v>2</v>
      </c>
      <c r="AS156" s="105">
        <v>3</v>
      </c>
      <c r="AT156" s="105">
        <v>4</v>
      </c>
      <c r="AU156" s="105">
        <v>5</v>
      </c>
      <c r="AV156" s="105">
        <v>6</v>
      </c>
      <c r="AW156" s="105">
        <v>7</v>
      </c>
      <c r="AX156" s="105">
        <v>8</v>
      </c>
      <c r="AY156" s="105">
        <v>9</v>
      </c>
      <c r="AZ156" s="56">
        <v>0</v>
      </c>
      <c r="BA156" s="56">
        <v>1</v>
      </c>
      <c r="BB156" s="56">
        <v>2</v>
      </c>
      <c r="BC156" s="56">
        <v>3</v>
      </c>
      <c r="BD156" s="56">
        <v>4</v>
      </c>
      <c r="BE156" s="56">
        <v>5</v>
      </c>
      <c r="BF156" s="56">
        <v>6</v>
      </c>
      <c r="BG156" s="56">
        <v>7</v>
      </c>
      <c r="BH156" s="56">
        <v>8</v>
      </c>
      <c r="BI156" s="56">
        <v>9</v>
      </c>
      <c r="BJ156" s="57" t="str">
        <f t="shared" si="74"/>
        <v>松散型</v>
      </c>
      <c r="BK156" s="13">
        <f t="shared" si="70"/>
        <v>3</v>
      </c>
      <c r="BL156" s="13">
        <f t="shared" si="71"/>
        <v>8</v>
      </c>
      <c r="BM156" s="18" t="str">
        <f t="shared" si="76"/>
        <v/>
      </c>
      <c r="BN156" s="19" t="str">
        <f t="shared" si="77"/>
        <v/>
      </c>
      <c r="BO156" s="19" t="str">
        <f t="array" ref="BO156">_xlfn.TEXTJOIN("",TRUE,IF(ISERROR(FIND(ROW($1:$10)-1,BM156&amp;BN156)),ROW($1:$10)-1,""))</f>
        <v>0123456789</v>
      </c>
      <c r="BP156" s="20" t="str">
        <f t="shared" si="78"/>
        <v>中中中</v>
      </c>
      <c r="BQ156" s="21">
        <f t="shared" si="89"/>
        <v>5</v>
      </c>
      <c r="BR156" s="21" t="str">
        <f t="shared" si="87"/>
        <v/>
      </c>
      <c r="BS156" s="21" t="str">
        <f t="array" ref="BS156">_xlfn.TEXTJOIN("",TRUE,IF(ISERROR(FIND(ROW($1:$10)-1,BQ156&amp;BR156)),ROW($1:$10)-1,""))</f>
        <v>012346789</v>
      </c>
      <c r="BT156" s="20" t="str">
        <f t="shared" si="79"/>
        <v>复中中</v>
      </c>
      <c r="BU156" s="22" t="str">
        <f t="shared" si="80"/>
        <v/>
      </c>
      <c r="BV156" s="22" t="str">
        <f t="shared" si="88"/>
        <v/>
      </c>
      <c r="BW156" s="22" t="str">
        <f t="array" ref="BW156">_xlfn.TEXTJOIN("",TRUE,IF(ISERROR(FIND(ROW($1:$10)-1,BU156&amp;BV156)),ROW($1:$10)-1,""))</f>
        <v>0123456789</v>
      </c>
      <c r="BX156" s="20" t="str">
        <f t="shared" si="81"/>
        <v>中中中</v>
      </c>
      <c r="BY156" s="23" t="str">
        <f t="shared" si="75"/>
        <v>24</v>
      </c>
      <c r="BZ156" s="24" t="str">
        <f t="array" ref="BZ156">_xlfn.TEXTJOIN("",TRUE,IF(ISNUMBER(FIND(MID(BY155&amp;Q155,ROW($1:$4),1),BY156&amp;Q156)),MID(BY155&amp;Q155,ROW($1:$4),1),""))</f>
        <v>2</v>
      </c>
      <c r="CA156" s="25" t="str">
        <f t="array" ref="CA156">_xlfn.TEXTJOIN("",TRUE,IF(ISERROR(FIND(ROW($1:$10)-1,BY156&amp;BZ156)),ROW($1:$10)-1,""))</f>
        <v>01356789</v>
      </c>
      <c r="CB156" s="26" t="str">
        <f t="shared" si="82"/>
        <v>邻传孤</v>
      </c>
      <c r="CC156" s="27" t="str">
        <f t="shared" si="83"/>
        <v>46</v>
      </c>
      <c r="CD156" s="27" t="str">
        <f t="array" ref="CD156">_xlfn.TEXTJOIN("",TRUE,IF(ISNUMBER(FIND(MID(CC155&amp;R155,ROW($1:$4),1),CC156&amp;R156)),MID(CC155&amp;R155,ROW($1:$4),1),""))</f>
        <v>56</v>
      </c>
      <c r="CE156" s="27" t="str">
        <f t="array" ref="CE156">_xlfn.TEXTJOIN("",TRUE,IF(ISERROR(FIND(ROW($1:$10)-1,CC156&amp;CD156)),ROW($1:$10)-1,""))</f>
        <v>0123789</v>
      </c>
      <c r="CF156" s="17" t="str">
        <f t="shared" si="84"/>
        <v>邻传孤</v>
      </c>
      <c r="CG156" s="22" t="str">
        <f t="shared" si="85"/>
        <v>79</v>
      </c>
      <c r="CH156" s="22" t="str">
        <f t="array" ref="CH156">_xlfn.TEXTJOIN("",TRUE,IF(ISNUMBER(FIND(MID(CG155&amp;S155,ROW($1:$4),1),CG156&amp;S156)),MID(CG155&amp;S155,ROW($1:$4),1),""))</f>
        <v/>
      </c>
      <c r="CI156" s="22" t="str">
        <f t="array" ref="CI156">_xlfn.TEXTJOIN("",TRUE,IF(ISERROR(FIND(ROW($1:$10)-1,CG156&amp;CH156)),ROW($1:$10)-1,""))</f>
        <v>01234568</v>
      </c>
      <c r="CJ156" s="28" t="str">
        <f t="shared" si="86"/>
        <v>邻孤孤</v>
      </c>
    </row>
    <row r="157" spans="1:88">
      <c r="A157" s="32">
        <v>2024284</v>
      </c>
      <c r="B157" s="8" t="s">
        <v>162</v>
      </c>
      <c r="C157" s="49">
        <f t="shared" si="90"/>
        <v>9</v>
      </c>
      <c r="D157" s="50">
        <f t="shared" si="91"/>
        <v>9</v>
      </c>
      <c r="E157" s="51">
        <f t="shared" si="72"/>
        <v>3</v>
      </c>
      <c r="F157" s="52">
        <f>MAX(MID(B157,{1,2,3},1)*1)-MIN(MID(B157,{1,2,3},1)*1)</f>
        <v>2</v>
      </c>
      <c r="G157" s="104">
        <v>0</v>
      </c>
      <c r="H157" s="104">
        <v>1</v>
      </c>
      <c r="I157" s="104">
        <v>2</v>
      </c>
      <c r="J157" s="104">
        <v>3</v>
      </c>
      <c r="K157" s="104">
        <v>4</v>
      </c>
      <c r="L157" s="104">
        <v>5</v>
      </c>
      <c r="M157" s="104">
        <v>6</v>
      </c>
      <c r="N157" s="104">
        <v>7</v>
      </c>
      <c r="O157" s="104">
        <v>8</v>
      </c>
      <c r="P157" s="104">
        <v>9</v>
      </c>
      <c r="Q157" s="53">
        <f t="shared" si="92"/>
        <v>1</v>
      </c>
      <c r="R157" s="53">
        <f t="shared" si="93"/>
        <v>1</v>
      </c>
      <c r="S157" s="53">
        <f t="shared" si="94"/>
        <v>2</v>
      </c>
      <c r="T157" s="101">
        <f t="shared" si="73"/>
        <v>4</v>
      </c>
      <c r="U157" s="15" t="str">
        <f>_xlfn.TEXTJOIN(", ",TRUE,ABS(MID(B157,{1,1,2},1)-MID(B157,{2,3,3},1)))</f>
        <v>1, 1, 2</v>
      </c>
      <c r="V157" s="54">
        <v>0</v>
      </c>
      <c r="W157" s="54">
        <v>1</v>
      </c>
      <c r="X157" s="54">
        <v>2</v>
      </c>
      <c r="Y157" s="54">
        <v>3</v>
      </c>
      <c r="Z157" s="54">
        <v>4</v>
      </c>
      <c r="AA157" s="54">
        <v>5</v>
      </c>
      <c r="AB157" s="54">
        <v>6</v>
      </c>
      <c r="AC157" s="54">
        <v>7</v>
      </c>
      <c r="AD157" s="54">
        <v>8</v>
      </c>
      <c r="AE157" s="54">
        <v>9</v>
      </c>
      <c r="AF157" s="55">
        <v>0</v>
      </c>
      <c r="AG157" s="55">
        <v>1</v>
      </c>
      <c r="AH157" s="55">
        <v>2</v>
      </c>
      <c r="AI157" s="55">
        <v>3</v>
      </c>
      <c r="AJ157" s="55">
        <v>4</v>
      </c>
      <c r="AK157" s="55">
        <v>5</v>
      </c>
      <c r="AL157" s="55">
        <v>6</v>
      </c>
      <c r="AM157" s="55">
        <v>7</v>
      </c>
      <c r="AN157" s="55">
        <v>8</v>
      </c>
      <c r="AO157" s="55">
        <v>9</v>
      </c>
      <c r="AP157" s="105">
        <v>0</v>
      </c>
      <c r="AQ157" s="105">
        <v>1</v>
      </c>
      <c r="AR157" s="105">
        <v>2</v>
      </c>
      <c r="AS157" s="105">
        <v>3</v>
      </c>
      <c r="AT157" s="105">
        <v>4</v>
      </c>
      <c r="AU157" s="105">
        <v>5</v>
      </c>
      <c r="AV157" s="105">
        <v>6</v>
      </c>
      <c r="AW157" s="105">
        <v>7</v>
      </c>
      <c r="AX157" s="105">
        <v>8</v>
      </c>
      <c r="AY157" s="105">
        <v>9</v>
      </c>
      <c r="AZ157" s="56">
        <v>0</v>
      </c>
      <c r="BA157" s="56">
        <v>1</v>
      </c>
      <c r="BB157" s="56">
        <v>2</v>
      </c>
      <c r="BC157" s="56">
        <v>3</v>
      </c>
      <c r="BD157" s="56">
        <v>4</v>
      </c>
      <c r="BE157" s="56">
        <v>5</v>
      </c>
      <c r="BF157" s="56">
        <v>6</v>
      </c>
      <c r="BG157" s="56">
        <v>7</v>
      </c>
      <c r="BH157" s="56">
        <v>8</v>
      </c>
      <c r="BI157" s="56">
        <v>9</v>
      </c>
      <c r="BJ157" s="57" t="str">
        <f t="shared" si="74"/>
        <v>紧凑型</v>
      </c>
      <c r="BK157" s="13">
        <f t="shared" si="70"/>
        <v>1</v>
      </c>
      <c r="BL157" s="13">
        <f t="shared" si="71"/>
        <v>2</v>
      </c>
      <c r="BM157" s="18" t="str">
        <f t="shared" si="76"/>
        <v/>
      </c>
      <c r="BN157" s="19">
        <f t="shared" si="77"/>
        <v>1</v>
      </c>
      <c r="BO157" s="19" t="str">
        <f t="array" ref="BO157">_xlfn.TEXTJOIN("",TRUE,IF(ISERROR(FIND(ROW($1:$10)-1,BM157&amp;BN157)),ROW($1:$10)-1,""))</f>
        <v>023456789</v>
      </c>
      <c r="BP157" s="20" t="str">
        <f t="shared" si="78"/>
        <v>中隔中</v>
      </c>
      <c r="BQ157" s="21" t="str">
        <f t="shared" si="89"/>
        <v/>
      </c>
      <c r="BR157" s="21">
        <f t="shared" si="87"/>
        <v>1</v>
      </c>
      <c r="BS157" s="21" t="str">
        <f t="array" ref="BS157">_xlfn.TEXTJOIN("",TRUE,IF(ISERROR(FIND(ROW($1:$10)-1,BQ157&amp;BR157)),ROW($1:$10)-1,""))</f>
        <v>023456789</v>
      </c>
      <c r="BT157" s="20" t="str">
        <f t="shared" si="79"/>
        <v>中隔中</v>
      </c>
      <c r="BU157" s="22" t="str">
        <f t="shared" si="80"/>
        <v/>
      </c>
      <c r="BV157" s="22" t="str">
        <f t="shared" si="88"/>
        <v/>
      </c>
      <c r="BW157" s="22" t="str">
        <f t="array" ref="BW157">_xlfn.TEXTJOIN("",TRUE,IF(ISERROR(FIND(ROW($1:$10)-1,BU157&amp;BV157)),ROW($1:$10)-1,""))</f>
        <v>0123456789</v>
      </c>
      <c r="BX157" s="20" t="str">
        <f t="shared" si="81"/>
        <v>中中中</v>
      </c>
      <c r="BY157" s="23" t="str">
        <f t="shared" si="75"/>
        <v>02</v>
      </c>
      <c r="BZ157" s="24" t="str">
        <f t="array" ref="BZ157">_xlfn.TEXTJOIN("",TRUE,IF(ISNUMBER(FIND(MID(BY156&amp;Q156,ROW($1:$4),1),BY157&amp;Q157)),MID(BY156&amp;Q156,ROW($1:$4),1),""))</f>
        <v>2</v>
      </c>
      <c r="CA157" s="25" t="str">
        <f t="array" ref="CA157">_xlfn.TEXTJOIN("",TRUE,IF(ISERROR(FIND(ROW($1:$10)-1,BY157&amp;BZ157)),ROW($1:$10)-1,""))</f>
        <v>13456789</v>
      </c>
      <c r="CB157" s="26" t="str">
        <f t="shared" si="82"/>
        <v>邻传孤</v>
      </c>
      <c r="CC157" s="27" t="str">
        <f t="shared" si="83"/>
        <v>02</v>
      </c>
      <c r="CD157" s="27" t="str">
        <f t="array" ref="CD157">_xlfn.TEXTJOIN("",TRUE,IF(ISNUMBER(FIND(MID(CC156&amp;R156,ROW($1:$4),1),CC157&amp;R157)),MID(CC156&amp;R156,ROW($1:$4),1),""))</f>
        <v/>
      </c>
      <c r="CE157" s="27" t="str">
        <f t="array" ref="CE157">_xlfn.TEXTJOIN("",TRUE,IF(ISERROR(FIND(ROW($1:$10)-1,CC157&amp;CD157)),ROW($1:$10)-1,""))</f>
        <v>13456789</v>
      </c>
      <c r="CF157" s="17" t="str">
        <f t="shared" si="84"/>
        <v>邻孤孤</v>
      </c>
      <c r="CG157" s="22" t="str">
        <f t="shared" si="85"/>
        <v>13</v>
      </c>
      <c r="CH157" s="22" t="str">
        <f t="array" ref="CH157">_xlfn.TEXTJOIN("",TRUE,IF(ISNUMBER(FIND(MID(CG156&amp;S156,ROW($1:$4),1),CG157&amp;S157)),MID(CG156&amp;S156,ROW($1:$4),1),""))</f>
        <v/>
      </c>
      <c r="CI157" s="22" t="str">
        <f t="array" ref="CI157">_xlfn.TEXTJOIN("",TRUE,IF(ISERROR(FIND(ROW($1:$10)-1,CG157&amp;CH157)),ROW($1:$10)-1,""))</f>
        <v>02456789</v>
      </c>
      <c r="CJ157" s="28" t="str">
        <f t="shared" si="86"/>
        <v>邻孤孤</v>
      </c>
    </row>
    <row r="158" spans="1:88">
      <c r="A158" s="32">
        <v>2024285</v>
      </c>
      <c r="B158" s="8" t="s">
        <v>163</v>
      </c>
      <c r="C158" s="49">
        <f t="shared" si="90"/>
        <v>16</v>
      </c>
      <c r="D158" s="50">
        <f t="shared" si="91"/>
        <v>6</v>
      </c>
      <c r="E158" s="51">
        <f t="shared" si="72"/>
        <v>5.3333333333333304</v>
      </c>
      <c r="F158" s="52">
        <f>MAX(MID(B158,{1,2,3},1)*1)-MIN(MID(B158,{1,2,3},1)*1)</f>
        <v>7</v>
      </c>
      <c r="G158" s="104">
        <v>0</v>
      </c>
      <c r="H158" s="104">
        <v>1</v>
      </c>
      <c r="I158" s="104">
        <v>2</v>
      </c>
      <c r="J158" s="104">
        <v>3</v>
      </c>
      <c r="K158" s="104">
        <v>4</v>
      </c>
      <c r="L158" s="104">
        <v>5</v>
      </c>
      <c r="M158" s="104">
        <v>6</v>
      </c>
      <c r="N158" s="104">
        <v>7</v>
      </c>
      <c r="O158" s="104">
        <v>8</v>
      </c>
      <c r="P158" s="104">
        <v>9</v>
      </c>
      <c r="Q158" s="53">
        <f t="shared" si="92"/>
        <v>6</v>
      </c>
      <c r="R158" s="53">
        <f t="shared" si="93"/>
        <v>1</v>
      </c>
      <c r="S158" s="53">
        <f t="shared" si="94"/>
        <v>7</v>
      </c>
      <c r="T158" s="101">
        <f t="shared" si="73"/>
        <v>14</v>
      </c>
      <c r="U158" s="15" t="str">
        <f>_xlfn.TEXTJOIN(", ",TRUE,ABS(MID(B158,{1,1,2},1)-MID(B158,{2,3,3},1)))</f>
        <v>6, 1, 7</v>
      </c>
      <c r="V158" s="54">
        <v>0</v>
      </c>
      <c r="W158" s="54">
        <v>1</v>
      </c>
      <c r="X158" s="54">
        <v>2</v>
      </c>
      <c r="Y158" s="54">
        <v>3</v>
      </c>
      <c r="Z158" s="54">
        <v>4</v>
      </c>
      <c r="AA158" s="54">
        <v>5</v>
      </c>
      <c r="AB158" s="54">
        <v>6</v>
      </c>
      <c r="AC158" s="54">
        <v>7</v>
      </c>
      <c r="AD158" s="54">
        <v>8</v>
      </c>
      <c r="AE158" s="54">
        <v>9</v>
      </c>
      <c r="AF158" s="55">
        <v>0</v>
      </c>
      <c r="AG158" s="55">
        <v>1</v>
      </c>
      <c r="AH158" s="55">
        <v>2</v>
      </c>
      <c r="AI158" s="55">
        <v>3</v>
      </c>
      <c r="AJ158" s="55">
        <v>4</v>
      </c>
      <c r="AK158" s="55">
        <v>5</v>
      </c>
      <c r="AL158" s="55">
        <v>6</v>
      </c>
      <c r="AM158" s="55">
        <v>7</v>
      </c>
      <c r="AN158" s="55">
        <v>8</v>
      </c>
      <c r="AO158" s="55">
        <v>9</v>
      </c>
      <c r="AP158" s="105">
        <v>0</v>
      </c>
      <c r="AQ158" s="105">
        <v>1</v>
      </c>
      <c r="AR158" s="105">
        <v>2</v>
      </c>
      <c r="AS158" s="105">
        <v>3</v>
      </c>
      <c r="AT158" s="105">
        <v>4</v>
      </c>
      <c r="AU158" s="105">
        <v>5</v>
      </c>
      <c r="AV158" s="105">
        <v>6</v>
      </c>
      <c r="AW158" s="105">
        <v>7</v>
      </c>
      <c r="AX158" s="105">
        <v>8</v>
      </c>
      <c r="AY158" s="105">
        <v>9</v>
      </c>
      <c r="AZ158" s="56">
        <v>0</v>
      </c>
      <c r="BA158" s="56">
        <v>1</v>
      </c>
      <c r="BB158" s="56">
        <v>2</v>
      </c>
      <c r="BC158" s="56">
        <v>3</v>
      </c>
      <c r="BD158" s="56">
        <v>4</v>
      </c>
      <c r="BE158" s="56">
        <v>5</v>
      </c>
      <c r="BF158" s="56">
        <v>6</v>
      </c>
      <c r="BG158" s="56">
        <v>7</v>
      </c>
      <c r="BH158" s="56">
        <v>8</v>
      </c>
      <c r="BI158" s="56">
        <v>9</v>
      </c>
      <c r="BJ158" s="57" t="str">
        <f t="shared" si="74"/>
        <v>松散型</v>
      </c>
      <c r="BK158" s="13">
        <f t="shared" si="70"/>
        <v>1</v>
      </c>
      <c r="BL158" s="13">
        <f t="shared" si="71"/>
        <v>7</v>
      </c>
      <c r="BM158" s="18" t="str">
        <f t="shared" si="76"/>
        <v/>
      </c>
      <c r="BN158" s="19" t="str">
        <f t="shared" si="77"/>
        <v/>
      </c>
      <c r="BO158" s="19" t="str">
        <f t="array" ref="BO158">_xlfn.TEXTJOIN("",TRUE,IF(ISERROR(FIND(ROW($1:$10)-1,BM158&amp;BN158)),ROW($1:$10)-1,""))</f>
        <v>0123456789</v>
      </c>
      <c r="BP158" s="20" t="str">
        <f t="shared" si="78"/>
        <v>中中中</v>
      </c>
      <c r="BQ158" s="21">
        <f t="shared" si="89"/>
        <v>1</v>
      </c>
      <c r="BR158" s="21" t="str">
        <f t="shared" si="87"/>
        <v/>
      </c>
      <c r="BS158" s="21" t="str">
        <f t="array" ref="BS158">_xlfn.TEXTJOIN("",TRUE,IF(ISERROR(FIND(ROW($1:$10)-1,BQ158&amp;BR158)),ROW($1:$10)-1,""))</f>
        <v>023456789</v>
      </c>
      <c r="BT158" s="20" t="str">
        <f t="shared" si="79"/>
        <v>复中中</v>
      </c>
      <c r="BU158" s="22" t="str">
        <f t="shared" si="80"/>
        <v/>
      </c>
      <c r="BV158" s="22" t="str">
        <f t="shared" si="88"/>
        <v/>
      </c>
      <c r="BW158" s="22" t="str">
        <f t="array" ref="BW158">_xlfn.TEXTJOIN("",TRUE,IF(ISERROR(FIND(ROW($1:$10)-1,BU158&amp;BV158)),ROW($1:$10)-1,""))</f>
        <v>0123456789</v>
      </c>
      <c r="BX158" s="20" t="str">
        <f t="shared" si="81"/>
        <v>中中中</v>
      </c>
      <c r="BY158" s="23" t="str">
        <f t="shared" si="75"/>
        <v>57</v>
      </c>
      <c r="BZ158" s="24" t="str">
        <f t="array" ref="BZ158">_xlfn.TEXTJOIN("",TRUE,IF(ISNUMBER(FIND(MID(BY157&amp;Q157,ROW($1:$4),1),BY158&amp;Q158)),MID(BY157&amp;Q157,ROW($1:$4),1),""))</f>
        <v/>
      </c>
      <c r="CA158" s="25" t="str">
        <f t="array" ref="CA158">_xlfn.TEXTJOIN("",TRUE,IF(ISERROR(FIND(ROW($1:$10)-1,BY158&amp;BZ158)),ROW($1:$10)-1,""))</f>
        <v>01234689</v>
      </c>
      <c r="CB158" s="26" t="str">
        <f t="shared" si="82"/>
        <v>邻孤孤</v>
      </c>
      <c r="CC158" s="27" t="str">
        <f t="shared" si="83"/>
        <v>02</v>
      </c>
      <c r="CD158" s="27" t="str">
        <f t="array" ref="CD158">_xlfn.TEXTJOIN("",TRUE,IF(ISNUMBER(FIND(MID(CC157&amp;R157,ROW($1:$4),1),CC158&amp;R158)),MID(CC157&amp;R157,ROW($1:$4),1),""))</f>
        <v>021</v>
      </c>
      <c r="CE158" s="27" t="str">
        <f t="array" ref="CE158">_xlfn.TEXTJOIN("",TRUE,IF(ISERROR(FIND(ROW($1:$10)-1,CC158&amp;CD158)),ROW($1:$10)-1,""))</f>
        <v>3456789</v>
      </c>
      <c r="CF158" s="17" t="str">
        <f t="shared" si="84"/>
        <v>邻传孤</v>
      </c>
      <c r="CG158" s="22" t="str">
        <f t="shared" si="85"/>
        <v>68</v>
      </c>
      <c r="CH158" s="22" t="str">
        <f t="array" ref="CH158">_xlfn.TEXTJOIN("",TRUE,IF(ISNUMBER(FIND(MID(CG157&amp;S157,ROW($1:$4),1),CG158&amp;S158)),MID(CG157&amp;S157,ROW($1:$4),1),""))</f>
        <v/>
      </c>
      <c r="CI158" s="22" t="str">
        <f t="array" ref="CI158">_xlfn.TEXTJOIN("",TRUE,IF(ISERROR(FIND(ROW($1:$10)-1,CG158&amp;CH158)),ROW($1:$10)-1,""))</f>
        <v>01234579</v>
      </c>
      <c r="CJ158" s="28" t="str">
        <f t="shared" si="86"/>
        <v>邻孤孤</v>
      </c>
    </row>
    <row r="159" spans="1:88">
      <c r="A159" s="32">
        <v>2024286</v>
      </c>
      <c r="B159" s="8" t="s">
        <v>164</v>
      </c>
      <c r="C159" s="49">
        <f t="shared" si="90"/>
        <v>9</v>
      </c>
      <c r="D159" s="50">
        <f t="shared" si="91"/>
        <v>9</v>
      </c>
      <c r="E159" s="51">
        <f t="shared" si="72"/>
        <v>3</v>
      </c>
      <c r="F159" s="52">
        <f>MAX(MID(B159,{1,2,3},1)*1)-MIN(MID(B159,{1,2,3},1)*1)</f>
        <v>5</v>
      </c>
      <c r="G159" s="104">
        <v>0</v>
      </c>
      <c r="H159" s="104">
        <v>1</v>
      </c>
      <c r="I159" s="104">
        <v>2</v>
      </c>
      <c r="J159" s="104">
        <v>3</v>
      </c>
      <c r="K159" s="104">
        <v>4</v>
      </c>
      <c r="L159" s="104">
        <v>5</v>
      </c>
      <c r="M159" s="104">
        <v>6</v>
      </c>
      <c r="N159" s="104">
        <v>7</v>
      </c>
      <c r="O159" s="104">
        <v>8</v>
      </c>
      <c r="P159" s="104">
        <v>9</v>
      </c>
      <c r="Q159" s="53">
        <f t="shared" si="92"/>
        <v>4</v>
      </c>
      <c r="R159" s="53">
        <f t="shared" si="93"/>
        <v>5</v>
      </c>
      <c r="S159" s="53">
        <f t="shared" si="94"/>
        <v>1</v>
      </c>
      <c r="T159" s="101">
        <f t="shared" si="73"/>
        <v>10</v>
      </c>
      <c r="U159" s="15" t="str">
        <f>_xlfn.TEXTJOIN(", ",TRUE,ABS(MID(B159,{1,1,2},1)-MID(B159,{2,3,3},1)))</f>
        <v>4, 5, 1</v>
      </c>
      <c r="V159" s="54">
        <v>0</v>
      </c>
      <c r="W159" s="54">
        <v>1</v>
      </c>
      <c r="X159" s="54">
        <v>2</v>
      </c>
      <c r="Y159" s="54">
        <v>3</v>
      </c>
      <c r="Z159" s="54">
        <v>4</v>
      </c>
      <c r="AA159" s="54">
        <v>5</v>
      </c>
      <c r="AB159" s="54">
        <v>6</v>
      </c>
      <c r="AC159" s="54">
        <v>7</v>
      </c>
      <c r="AD159" s="54">
        <v>8</v>
      </c>
      <c r="AE159" s="54">
        <v>9</v>
      </c>
      <c r="AF159" s="55">
        <v>0</v>
      </c>
      <c r="AG159" s="55">
        <v>1</v>
      </c>
      <c r="AH159" s="55">
        <v>2</v>
      </c>
      <c r="AI159" s="55">
        <v>3</v>
      </c>
      <c r="AJ159" s="55">
        <v>4</v>
      </c>
      <c r="AK159" s="55">
        <v>5</v>
      </c>
      <c r="AL159" s="55">
        <v>6</v>
      </c>
      <c r="AM159" s="55">
        <v>7</v>
      </c>
      <c r="AN159" s="55">
        <v>8</v>
      </c>
      <c r="AO159" s="55">
        <v>9</v>
      </c>
      <c r="AP159" s="105">
        <v>0</v>
      </c>
      <c r="AQ159" s="105">
        <v>1</v>
      </c>
      <c r="AR159" s="105">
        <v>2</v>
      </c>
      <c r="AS159" s="105">
        <v>3</v>
      </c>
      <c r="AT159" s="105">
        <v>4</v>
      </c>
      <c r="AU159" s="105">
        <v>5</v>
      </c>
      <c r="AV159" s="105">
        <v>6</v>
      </c>
      <c r="AW159" s="105">
        <v>7</v>
      </c>
      <c r="AX159" s="105">
        <v>8</v>
      </c>
      <c r="AY159" s="105">
        <v>9</v>
      </c>
      <c r="AZ159" s="56">
        <v>0</v>
      </c>
      <c r="BA159" s="56">
        <v>1</v>
      </c>
      <c r="BB159" s="56">
        <v>2</v>
      </c>
      <c r="BC159" s="56">
        <v>3</v>
      </c>
      <c r="BD159" s="56">
        <v>4</v>
      </c>
      <c r="BE159" s="56">
        <v>5</v>
      </c>
      <c r="BF159" s="56">
        <v>6</v>
      </c>
      <c r="BG159" s="56">
        <v>7</v>
      </c>
      <c r="BH159" s="56">
        <v>8</v>
      </c>
      <c r="BI159" s="56">
        <v>9</v>
      </c>
      <c r="BJ159" s="57" t="str">
        <f t="shared" si="74"/>
        <v>标准型</v>
      </c>
      <c r="BK159" s="13">
        <f t="shared" si="70"/>
        <v>1</v>
      </c>
      <c r="BL159" s="13">
        <f t="shared" si="71"/>
        <v>5</v>
      </c>
      <c r="BM159" s="18" t="str">
        <f t="shared" si="76"/>
        <v/>
      </c>
      <c r="BN159" s="19" t="str">
        <f t="shared" si="77"/>
        <v/>
      </c>
      <c r="BO159" s="19" t="str">
        <f t="array" ref="BO159">_xlfn.TEXTJOIN("",TRUE,IF(ISERROR(FIND(ROW($1:$10)-1,BM159&amp;BN159)),ROW($1:$10)-1,""))</f>
        <v>0123456789</v>
      </c>
      <c r="BP159" s="20" t="str">
        <f t="shared" si="78"/>
        <v>中中中</v>
      </c>
      <c r="BQ159" s="21" t="str">
        <f t="shared" si="89"/>
        <v/>
      </c>
      <c r="BR159" s="21" t="str">
        <f t="shared" si="87"/>
        <v/>
      </c>
      <c r="BS159" s="21" t="str">
        <f t="array" ref="BS159">_xlfn.TEXTJOIN("",TRUE,IF(ISERROR(FIND(ROW($1:$10)-1,BQ159&amp;BR159)),ROW($1:$10)-1,""))</f>
        <v>0123456789</v>
      </c>
      <c r="BT159" s="20" t="str">
        <f t="shared" si="79"/>
        <v>中中中</v>
      </c>
      <c r="BU159" s="22">
        <f t="shared" si="80"/>
        <v>1</v>
      </c>
      <c r="BV159" s="22">
        <f t="shared" si="88"/>
        <v>1</v>
      </c>
      <c r="BW159" s="22" t="str">
        <f t="array" ref="BW159">_xlfn.TEXTJOIN("",TRUE,IF(ISERROR(FIND(ROW($1:$10)-1,BU159&amp;BV159)),ROW($1:$10)-1,""))</f>
        <v>023456789</v>
      </c>
      <c r="BX159" s="20" t="str">
        <f t="shared" si="81"/>
        <v>复隔中</v>
      </c>
      <c r="BY159" s="23" t="str">
        <f t="shared" si="75"/>
        <v>35</v>
      </c>
      <c r="BZ159" s="24" t="str">
        <f t="array" ref="BZ159">_xlfn.TEXTJOIN("",TRUE,IF(ISNUMBER(FIND(MID(BY158&amp;Q158,ROW($1:$4),1),BY159&amp;Q159)),MID(BY158&amp;Q158,ROW($1:$4),1),""))</f>
        <v>5</v>
      </c>
      <c r="CA159" s="25" t="str">
        <f t="array" ref="CA159">_xlfn.TEXTJOIN("",TRUE,IF(ISERROR(FIND(ROW($1:$10)-1,BY159&amp;BZ159)),ROW($1:$10)-1,""))</f>
        <v>01246789</v>
      </c>
      <c r="CB159" s="26" t="str">
        <f t="shared" si="82"/>
        <v>邻传孤</v>
      </c>
      <c r="CC159" s="27" t="str">
        <f t="shared" si="83"/>
        <v>46</v>
      </c>
      <c r="CD159" s="27" t="str">
        <f t="array" ref="CD159">_xlfn.TEXTJOIN("",TRUE,IF(ISNUMBER(FIND(MID(CC158&amp;R158,ROW($1:$4),1),CC159&amp;R159)),MID(CC158&amp;R158,ROW($1:$4),1),""))</f>
        <v/>
      </c>
      <c r="CE159" s="27" t="str">
        <f t="array" ref="CE159">_xlfn.TEXTJOIN("",TRUE,IF(ISERROR(FIND(ROW($1:$10)-1,CC159&amp;CD159)),ROW($1:$10)-1,""))</f>
        <v>01235789</v>
      </c>
      <c r="CF159" s="17" t="str">
        <f t="shared" si="84"/>
        <v>邻孤孤</v>
      </c>
      <c r="CG159" s="22" t="str">
        <f t="shared" si="85"/>
        <v>02</v>
      </c>
      <c r="CH159" s="22" t="str">
        <f t="array" ref="CH159">_xlfn.TEXTJOIN("",TRUE,IF(ISNUMBER(FIND(MID(CG158&amp;S158,ROW($1:$4),1),CG159&amp;S159)),MID(CG158&amp;S158,ROW($1:$4),1),""))</f>
        <v/>
      </c>
      <c r="CI159" s="22" t="str">
        <f t="array" ref="CI159">_xlfn.TEXTJOIN("",TRUE,IF(ISERROR(FIND(ROW($1:$10)-1,CG159&amp;CH159)),ROW($1:$10)-1,""))</f>
        <v>13456789</v>
      </c>
      <c r="CJ159" s="28" t="str">
        <f t="shared" si="86"/>
        <v>邻孤孤</v>
      </c>
    </row>
    <row r="160" spans="1:88">
      <c r="A160" s="32">
        <v>2024287</v>
      </c>
      <c r="B160" s="8" t="s">
        <v>165</v>
      </c>
      <c r="C160" s="49">
        <f t="shared" si="90"/>
        <v>12</v>
      </c>
      <c r="D160" s="50">
        <f t="shared" si="91"/>
        <v>2</v>
      </c>
      <c r="E160" s="51">
        <f t="shared" si="72"/>
        <v>4</v>
      </c>
      <c r="F160" s="52">
        <f>MAX(MID(B160,{1,2,3},1)*1)-MIN(MID(B160,{1,2,3},1)*1)</f>
        <v>8</v>
      </c>
      <c r="G160" s="104">
        <v>0</v>
      </c>
      <c r="H160" s="104">
        <v>1</v>
      </c>
      <c r="I160" s="104">
        <v>2</v>
      </c>
      <c r="J160" s="104">
        <v>3</v>
      </c>
      <c r="K160" s="104">
        <v>4</v>
      </c>
      <c r="L160" s="104">
        <v>5</v>
      </c>
      <c r="M160" s="104">
        <v>6</v>
      </c>
      <c r="N160" s="104">
        <v>7</v>
      </c>
      <c r="O160" s="104">
        <v>8</v>
      </c>
      <c r="P160" s="104">
        <v>9</v>
      </c>
      <c r="Q160" s="53">
        <f t="shared" si="92"/>
        <v>8</v>
      </c>
      <c r="R160" s="53">
        <f t="shared" si="93"/>
        <v>1</v>
      </c>
      <c r="S160" s="53">
        <f t="shared" si="94"/>
        <v>7</v>
      </c>
      <c r="T160" s="101">
        <f t="shared" si="73"/>
        <v>16</v>
      </c>
      <c r="U160" s="15" t="str">
        <f>_xlfn.TEXTJOIN(", ",TRUE,ABS(MID(B160,{1,1,2},1)-MID(B160,{2,3,3},1)))</f>
        <v>8, 1, 7</v>
      </c>
      <c r="V160" s="54">
        <v>0</v>
      </c>
      <c r="W160" s="54">
        <v>1</v>
      </c>
      <c r="X160" s="54">
        <v>2</v>
      </c>
      <c r="Y160" s="54">
        <v>3</v>
      </c>
      <c r="Z160" s="54">
        <v>4</v>
      </c>
      <c r="AA160" s="54">
        <v>5</v>
      </c>
      <c r="AB160" s="54">
        <v>6</v>
      </c>
      <c r="AC160" s="54">
        <v>7</v>
      </c>
      <c r="AD160" s="54">
        <v>8</v>
      </c>
      <c r="AE160" s="54">
        <v>9</v>
      </c>
      <c r="AF160" s="55">
        <v>0</v>
      </c>
      <c r="AG160" s="55">
        <v>1</v>
      </c>
      <c r="AH160" s="55">
        <v>2</v>
      </c>
      <c r="AI160" s="55">
        <v>3</v>
      </c>
      <c r="AJ160" s="55">
        <v>4</v>
      </c>
      <c r="AK160" s="55">
        <v>5</v>
      </c>
      <c r="AL160" s="55">
        <v>6</v>
      </c>
      <c r="AM160" s="55">
        <v>7</v>
      </c>
      <c r="AN160" s="55">
        <v>8</v>
      </c>
      <c r="AO160" s="55">
        <v>9</v>
      </c>
      <c r="AP160" s="105">
        <v>0</v>
      </c>
      <c r="AQ160" s="105">
        <v>1</v>
      </c>
      <c r="AR160" s="105">
        <v>2</v>
      </c>
      <c r="AS160" s="105">
        <v>3</v>
      </c>
      <c r="AT160" s="105">
        <v>4</v>
      </c>
      <c r="AU160" s="105">
        <v>5</v>
      </c>
      <c r="AV160" s="105">
        <v>6</v>
      </c>
      <c r="AW160" s="105">
        <v>7</v>
      </c>
      <c r="AX160" s="105">
        <v>8</v>
      </c>
      <c r="AY160" s="105">
        <v>9</v>
      </c>
      <c r="AZ160" s="56">
        <v>0</v>
      </c>
      <c r="BA160" s="56">
        <v>1</v>
      </c>
      <c r="BB160" s="56">
        <v>2</v>
      </c>
      <c r="BC160" s="56">
        <v>3</v>
      </c>
      <c r="BD160" s="56">
        <v>4</v>
      </c>
      <c r="BE160" s="56">
        <v>5</v>
      </c>
      <c r="BF160" s="56">
        <v>6</v>
      </c>
      <c r="BG160" s="56">
        <v>7</v>
      </c>
      <c r="BH160" s="56">
        <v>8</v>
      </c>
      <c r="BI160" s="56">
        <v>9</v>
      </c>
      <c r="BJ160" s="57" t="str">
        <f t="shared" si="74"/>
        <v>松散型</v>
      </c>
      <c r="BK160" s="13">
        <f t="shared" si="70"/>
        <v>1</v>
      </c>
      <c r="BL160" s="13">
        <f t="shared" si="71"/>
        <v>8</v>
      </c>
      <c r="BM160" s="18" t="str">
        <f t="shared" si="76"/>
        <v/>
      </c>
      <c r="BN160" s="19" t="str">
        <f t="shared" si="77"/>
        <v/>
      </c>
      <c r="BO160" s="19" t="str">
        <f t="array" ref="BO160">_xlfn.TEXTJOIN("",TRUE,IF(ISERROR(FIND(ROW($1:$10)-1,BM160&amp;BN160)),ROW($1:$10)-1,""))</f>
        <v>0123456789</v>
      </c>
      <c r="BP160" s="20" t="str">
        <f t="shared" si="78"/>
        <v>中中中</v>
      </c>
      <c r="BQ160" s="21">
        <f t="shared" si="89"/>
        <v>1</v>
      </c>
      <c r="BR160" s="21">
        <f t="shared" si="87"/>
        <v>1</v>
      </c>
      <c r="BS160" s="21" t="str">
        <f t="array" ref="BS160">_xlfn.TEXTJOIN("",TRUE,IF(ISERROR(FIND(ROW($1:$10)-1,BQ160&amp;BR160)),ROW($1:$10)-1,""))</f>
        <v>023456789</v>
      </c>
      <c r="BT160" s="20" t="str">
        <f t="shared" si="79"/>
        <v>复隔中</v>
      </c>
      <c r="BU160" s="22" t="str">
        <f t="shared" si="80"/>
        <v/>
      </c>
      <c r="BV160" s="22">
        <f t="shared" si="88"/>
        <v>7</v>
      </c>
      <c r="BW160" s="22" t="str">
        <f t="array" ref="BW160">_xlfn.TEXTJOIN("",TRUE,IF(ISERROR(FIND(ROW($1:$10)-1,BU160&amp;BV160)),ROW($1:$10)-1,""))</f>
        <v>012345689</v>
      </c>
      <c r="BX160" s="20" t="str">
        <f t="shared" si="81"/>
        <v>中隔中</v>
      </c>
      <c r="BY160" s="23" t="str">
        <f t="shared" si="75"/>
        <v>79</v>
      </c>
      <c r="BZ160" s="24" t="str">
        <f t="array" ref="BZ160">_xlfn.TEXTJOIN("",TRUE,IF(ISNUMBER(FIND(MID(BY159&amp;Q159,ROW($1:$4),1),BY160&amp;Q160)),MID(BY159&amp;Q159,ROW($1:$4),1),""))</f>
        <v/>
      </c>
      <c r="CA160" s="25" t="str">
        <f t="array" ref="CA160">_xlfn.TEXTJOIN("",TRUE,IF(ISERROR(FIND(ROW($1:$10)-1,BY160&amp;BZ160)),ROW($1:$10)-1,""))</f>
        <v>01234568</v>
      </c>
      <c r="CB160" s="26" t="str">
        <f t="shared" si="82"/>
        <v>邻孤孤</v>
      </c>
      <c r="CC160" s="27" t="str">
        <f t="shared" si="83"/>
        <v>02</v>
      </c>
      <c r="CD160" s="27" t="str">
        <f t="array" ref="CD160">_xlfn.TEXTJOIN("",TRUE,IF(ISNUMBER(FIND(MID(CC159&amp;R159,ROW($1:$4),1),CC160&amp;R160)),MID(CC159&amp;R159,ROW($1:$4),1),""))</f>
        <v/>
      </c>
      <c r="CE160" s="27" t="str">
        <f t="array" ref="CE160">_xlfn.TEXTJOIN("",TRUE,IF(ISERROR(FIND(ROW($1:$10)-1,CC160&amp;CD160)),ROW($1:$10)-1,""))</f>
        <v>13456789</v>
      </c>
      <c r="CF160" s="17" t="str">
        <f t="shared" si="84"/>
        <v>邻孤孤</v>
      </c>
      <c r="CG160" s="22" t="str">
        <f t="shared" si="85"/>
        <v>68</v>
      </c>
      <c r="CH160" s="22" t="str">
        <f t="array" ref="CH160">_xlfn.TEXTJOIN("",TRUE,IF(ISNUMBER(FIND(MID(CG159&amp;S159,ROW($1:$4),1),CG160&amp;S160)),MID(CG159&amp;S159,ROW($1:$4),1),""))</f>
        <v/>
      </c>
      <c r="CI160" s="22" t="str">
        <f t="array" ref="CI160">_xlfn.TEXTJOIN("",TRUE,IF(ISERROR(FIND(ROW($1:$10)-1,CG160&amp;CH160)),ROW($1:$10)-1,""))</f>
        <v>01234579</v>
      </c>
      <c r="CJ160" s="28" t="str">
        <f t="shared" si="86"/>
        <v>邻孤孤</v>
      </c>
    </row>
    <row r="161" spans="1:88">
      <c r="A161" s="32">
        <v>2024288</v>
      </c>
      <c r="B161" s="8" t="s">
        <v>166</v>
      </c>
      <c r="C161" s="49">
        <f t="shared" si="90"/>
        <v>20</v>
      </c>
      <c r="D161" s="50">
        <f t="shared" si="91"/>
        <v>0</v>
      </c>
      <c r="E161" s="51">
        <f t="shared" si="72"/>
        <v>6.6666666666666696</v>
      </c>
      <c r="F161" s="52">
        <f>MAX(MID(B161,{1,2,3},1)*1)-MIN(MID(B161,{1,2,3},1)*1)</f>
        <v>6</v>
      </c>
      <c r="G161" s="104">
        <v>0</v>
      </c>
      <c r="H161" s="104">
        <v>1</v>
      </c>
      <c r="I161" s="104">
        <v>2</v>
      </c>
      <c r="J161" s="104">
        <v>3</v>
      </c>
      <c r="K161" s="104">
        <v>4</v>
      </c>
      <c r="L161" s="104">
        <v>5</v>
      </c>
      <c r="M161" s="104">
        <v>6</v>
      </c>
      <c r="N161" s="104">
        <v>7</v>
      </c>
      <c r="O161" s="104">
        <v>8</v>
      </c>
      <c r="P161" s="104">
        <v>9</v>
      </c>
      <c r="Q161" s="53">
        <f t="shared" si="92"/>
        <v>5</v>
      </c>
      <c r="R161" s="53">
        <f t="shared" si="93"/>
        <v>1</v>
      </c>
      <c r="S161" s="53">
        <f t="shared" si="94"/>
        <v>6</v>
      </c>
      <c r="T161" s="101">
        <f t="shared" si="73"/>
        <v>12</v>
      </c>
      <c r="U161" s="15" t="str">
        <f>_xlfn.TEXTJOIN(", ",TRUE,ABS(MID(B161,{1,1,2},1)-MID(B161,{2,3,3},1)))</f>
        <v>5, 1, 6</v>
      </c>
      <c r="V161" s="54">
        <v>0</v>
      </c>
      <c r="W161" s="54">
        <v>1</v>
      </c>
      <c r="X161" s="54">
        <v>2</v>
      </c>
      <c r="Y161" s="54">
        <v>3</v>
      </c>
      <c r="Z161" s="54">
        <v>4</v>
      </c>
      <c r="AA161" s="54">
        <v>5</v>
      </c>
      <c r="AB161" s="54">
        <v>6</v>
      </c>
      <c r="AC161" s="54">
        <v>7</v>
      </c>
      <c r="AD161" s="54">
        <v>8</v>
      </c>
      <c r="AE161" s="54">
        <v>9</v>
      </c>
      <c r="AF161" s="55">
        <v>0</v>
      </c>
      <c r="AG161" s="55">
        <v>1</v>
      </c>
      <c r="AH161" s="55">
        <v>2</v>
      </c>
      <c r="AI161" s="55">
        <v>3</v>
      </c>
      <c r="AJ161" s="55">
        <v>4</v>
      </c>
      <c r="AK161" s="55">
        <v>5</v>
      </c>
      <c r="AL161" s="55">
        <v>6</v>
      </c>
      <c r="AM161" s="55">
        <v>7</v>
      </c>
      <c r="AN161" s="55">
        <v>8</v>
      </c>
      <c r="AO161" s="55">
        <v>9</v>
      </c>
      <c r="AP161" s="105">
        <v>0</v>
      </c>
      <c r="AQ161" s="105">
        <v>1</v>
      </c>
      <c r="AR161" s="105">
        <v>2</v>
      </c>
      <c r="AS161" s="105">
        <v>3</v>
      </c>
      <c r="AT161" s="105">
        <v>4</v>
      </c>
      <c r="AU161" s="105">
        <v>5</v>
      </c>
      <c r="AV161" s="105">
        <v>6</v>
      </c>
      <c r="AW161" s="105">
        <v>7</v>
      </c>
      <c r="AX161" s="105">
        <v>8</v>
      </c>
      <c r="AY161" s="105">
        <v>9</v>
      </c>
      <c r="AZ161" s="56">
        <v>0</v>
      </c>
      <c r="BA161" s="56">
        <v>1</v>
      </c>
      <c r="BB161" s="56">
        <v>2</v>
      </c>
      <c r="BC161" s="56">
        <v>3</v>
      </c>
      <c r="BD161" s="56">
        <v>4</v>
      </c>
      <c r="BE161" s="56">
        <v>5</v>
      </c>
      <c r="BF161" s="56">
        <v>6</v>
      </c>
      <c r="BG161" s="56">
        <v>7</v>
      </c>
      <c r="BH161" s="56">
        <v>8</v>
      </c>
      <c r="BI161" s="56">
        <v>9</v>
      </c>
      <c r="BJ161" s="57" t="str">
        <f t="shared" si="74"/>
        <v>松散型</v>
      </c>
      <c r="BK161" s="13">
        <f t="shared" si="70"/>
        <v>1</v>
      </c>
      <c r="BL161" s="13">
        <f t="shared" si="71"/>
        <v>6</v>
      </c>
      <c r="BM161" s="18" t="str">
        <f t="shared" si="76"/>
        <v/>
      </c>
      <c r="BN161" s="19">
        <f t="shared" si="77"/>
        <v>5</v>
      </c>
      <c r="BO161" s="19" t="str">
        <f t="array" ref="BO161">_xlfn.TEXTJOIN("",TRUE,IF(ISERROR(FIND(ROW($1:$10)-1,BM161&amp;BN161)),ROW($1:$10)-1,""))</f>
        <v>012346789</v>
      </c>
      <c r="BP161" s="20" t="str">
        <f t="shared" si="78"/>
        <v>中隔中</v>
      </c>
      <c r="BQ161" s="21">
        <f t="shared" si="89"/>
        <v>1</v>
      </c>
      <c r="BR161" s="21">
        <f t="shared" si="87"/>
        <v>1</v>
      </c>
      <c r="BS161" s="21" t="str">
        <f t="array" ref="BS161">_xlfn.TEXTJOIN("",TRUE,IF(ISERROR(FIND(ROW($1:$10)-1,BQ161&amp;BR161)),ROW($1:$10)-1,""))</f>
        <v>023456789</v>
      </c>
      <c r="BT161" s="20" t="str">
        <f t="shared" si="79"/>
        <v>复隔中</v>
      </c>
      <c r="BU161" s="22" t="str">
        <f t="shared" si="80"/>
        <v/>
      </c>
      <c r="BV161" s="22" t="str">
        <f t="shared" si="88"/>
        <v/>
      </c>
      <c r="BW161" s="22" t="str">
        <f t="array" ref="BW161">_xlfn.TEXTJOIN("",TRUE,IF(ISERROR(FIND(ROW($1:$10)-1,BU161&amp;BV161)),ROW($1:$10)-1,""))</f>
        <v>0123456789</v>
      </c>
      <c r="BX161" s="20" t="str">
        <f t="shared" si="81"/>
        <v>中中中</v>
      </c>
      <c r="BY161" s="23" t="str">
        <f t="shared" si="75"/>
        <v>46</v>
      </c>
      <c r="BZ161" s="24" t="str">
        <f t="array" ref="BZ161">_xlfn.TEXTJOIN("",TRUE,IF(ISNUMBER(FIND(MID(BY160&amp;Q160,ROW($1:$4),1),BY161&amp;Q161)),MID(BY160&amp;Q160,ROW($1:$4),1),""))</f>
        <v/>
      </c>
      <c r="CA161" s="25" t="str">
        <f t="array" ref="CA161">_xlfn.TEXTJOIN("",TRUE,IF(ISERROR(FIND(ROW($1:$10)-1,BY161&amp;BZ161)),ROW($1:$10)-1,""))</f>
        <v>01235789</v>
      </c>
      <c r="CB161" s="26" t="str">
        <f t="shared" si="82"/>
        <v>邻孤孤</v>
      </c>
      <c r="CC161" s="27" t="str">
        <f t="shared" si="83"/>
        <v>02</v>
      </c>
      <c r="CD161" s="27" t="str">
        <f t="array" ref="CD161">_xlfn.TEXTJOIN("",TRUE,IF(ISNUMBER(FIND(MID(CC160&amp;R160,ROW($1:$4),1),CC161&amp;R161)),MID(CC160&amp;R160,ROW($1:$4),1),""))</f>
        <v>021</v>
      </c>
      <c r="CE161" s="27" t="str">
        <f t="array" ref="CE161">_xlfn.TEXTJOIN("",TRUE,IF(ISERROR(FIND(ROW($1:$10)-1,CC161&amp;CD161)),ROW($1:$10)-1,""))</f>
        <v>3456789</v>
      </c>
      <c r="CF161" s="17" t="str">
        <f t="shared" si="84"/>
        <v>邻传孤</v>
      </c>
      <c r="CG161" s="22" t="str">
        <f t="shared" si="85"/>
        <v>57</v>
      </c>
      <c r="CH161" s="22" t="str">
        <f t="array" ref="CH161">_xlfn.TEXTJOIN("",TRUE,IF(ISNUMBER(FIND(MID(CG160&amp;S160,ROW($1:$4),1),CG161&amp;S161)),MID(CG160&amp;S160,ROW($1:$4),1),""))</f>
        <v>67</v>
      </c>
      <c r="CI161" s="22" t="str">
        <f t="array" ref="CI161">_xlfn.TEXTJOIN("",TRUE,IF(ISERROR(FIND(ROW($1:$10)-1,CG161&amp;CH161)),ROW($1:$10)-1,""))</f>
        <v>0123489</v>
      </c>
      <c r="CJ161" s="28" t="str">
        <f t="shared" si="86"/>
        <v>邻传孤</v>
      </c>
    </row>
    <row r="162" spans="1:88">
      <c r="A162" s="32">
        <v>2024289</v>
      </c>
      <c r="B162" s="8" t="s">
        <v>167</v>
      </c>
      <c r="C162" s="49">
        <f t="shared" si="90"/>
        <v>26</v>
      </c>
      <c r="D162" s="50">
        <f t="shared" si="91"/>
        <v>6</v>
      </c>
      <c r="E162" s="51">
        <f t="shared" si="72"/>
        <v>8.6666666666666696</v>
      </c>
      <c r="F162" s="52">
        <f>MAX(MID(B162,{1,2,3},1)*1)-MIN(MID(B162,{1,2,3},1)*1)</f>
        <v>1</v>
      </c>
      <c r="G162" s="104">
        <v>0</v>
      </c>
      <c r="H162" s="104">
        <v>1</v>
      </c>
      <c r="I162" s="104">
        <v>2</v>
      </c>
      <c r="J162" s="104">
        <v>3</v>
      </c>
      <c r="K162" s="104">
        <v>4</v>
      </c>
      <c r="L162" s="104">
        <v>5</v>
      </c>
      <c r="M162" s="104">
        <v>6</v>
      </c>
      <c r="N162" s="104">
        <v>7</v>
      </c>
      <c r="O162" s="104">
        <v>8</v>
      </c>
      <c r="P162" s="104">
        <v>9</v>
      </c>
      <c r="Q162" s="53">
        <f t="shared" si="92"/>
        <v>1</v>
      </c>
      <c r="R162" s="53">
        <f t="shared" si="93"/>
        <v>0</v>
      </c>
      <c r="S162" s="53">
        <f t="shared" si="94"/>
        <v>1</v>
      </c>
      <c r="T162" s="101">
        <f t="shared" si="73"/>
        <v>2</v>
      </c>
      <c r="U162" s="15" t="str">
        <f>_xlfn.TEXTJOIN(", ",TRUE,ABS(MID(B162,{1,1,2},1)-MID(B162,{2,3,3},1)))</f>
        <v>1, 0, 1</v>
      </c>
      <c r="V162" s="54">
        <v>0</v>
      </c>
      <c r="W162" s="54">
        <v>1</v>
      </c>
      <c r="X162" s="54">
        <v>2</v>
      </c>
      <c r="Y162" s="54">
        <v>3</v>
      </c>
      <c r="Z162" s="54">
        <v>4</v>
      </c>
      <c r="AA162" s="54">
        <v>5</v>
      </c>
      <c r="AB162" s="54">
        <v>6</v>
      </c>
      <c r="AC162" s="54">
        <v>7</v>
      </c>
      <c r="AD162" s="54">
        <v>8</v>
      </c>
      <c r="AE162" s="54">
        <v>9</v>
      </c>
      <c r="AF162" s="55">
        <v>0</v>
      </c>
      <c r="AG162" s="55">
        <v>1</v>
      </c>
      <c r="AH162" s="55">
        <v>2</v>
      </c>
      <c r="AI162" s="55">
        <v>3</v>
      </c>
      <c r="AJ162" s="55">
        <v>4</v>
      </c>
      <c r="AK162" s="55">
        <v>5</v>
      </c>
      <c r="AL162" s="55">
        <v>6</v>
      </c>
      <c r="AM162" s="55">
        <v>7</v>
      </c>
      <c r="AN162" s="55">
        <v>8</v>
      </c>
      <c r="AO162" s="55">
        <v>9</v>
      </c>
      <c r="AP162" s="105">
        <v>0</v>
      </c>
      <c r="AQ162" s="105">
        <v>1</v>
      </c>
      <c r="AR162" s="105">
        <v>2</v>
      </c>
      <c r="AS162" s="105">
        <v>3</v>
      </c>
      <c r="AT162" s="105">
        <v>4</v>
      </c>
      <c r="AU162" s="105">
        <v>5</v>
      </c>
      <c r="AV162" s="105">
        <v>6</v>
      </c>
      <c r="AW162" s="105">
        <v>7</v>
      </c>
      <c r="AX162" s="105">
        <v>8</v>
      </c>
      <c r="AY162" s="105">
        <v>9</v>
      </c>
      <c r="AZ162" s="56">
        <v>0</v>
      </c>
      <c r="BA162" s="56">
        <v>1</v>
      </c>
      <c r="BB162" s="56">
        <v>2</v>
      </c>
      <c r="BC162" s="56">
        <v>3</v>
      </c>
      <c r="BD162" s="56">
        <v>4</v>
      </c>
      <c r="BE162" s="56">
        <v>5</v>
      </c>
      <c r="BF162" s="56">
        <v>6</v>
      </c>
      <c r="BG162" s="56">
        <v>7</v>
      </c>
      <c r="BH162" s="56">
        <v>8</v>
      </c>
      <c r="BI162" s="56">
        <v>9</v>
      </c>
      <c r="BJ162" s="57" t="str">
        <f t="shared" si="74"/>
        <v>紧凑型</v>
      </c>
      <c r="BK162" s="13">
        <f t="shared" si="70"/>
        <v>0</v>
      </c>
      <c r="BL162" s="13">
        <f t="shared" si="71"/>
        <v>1</v>
      </c>
      <c r="BM162" s="18">
        <f t="shared" si="76"/>
        <v>1</v>
      </c>
      <c r="BN162" s="19">
        <f t="shared" si="77"/>
        <v>1</v>
      </c>
      <c r="BO162" s="19" t="str">
        <f t="array" ref="BO162">_xlfn.TEXTJOIN("",TRUE,IF(ISERROR(FIND(ROW($1:$10)-1,BM162&amp;BN162)),ROW($1:$10)-1,""))</f>
        <v>023456789</v>
      </c>
      <c r="BP162" s="20" t="str">
        <f t="shared" si="78"/>
        <v>复隔中</v>
      </c>
      <c r="BQ162" s="21" t="str">
        <f t="shared" si="89"/>
        <v/>
      </c>
      <c r="BR162" s="21" t="str">
        <f t="shared" si="87"/>
        <v/>
      </c>
      <c r="BS162" s="21" t="str">
        <f t="array" ref="BS162">_xlfn.TEXTJOIN("",TRUE,IF(ISERROR(FIND(ROW($1:$10)-1,BQ162&amp;BR162)),ROW($1:$10)-1,""))</f>
        <v>0123456789</v>
      </c>
      <c r="BT162" s="20" t="str">
        <f t="shared" si="79"/>
        <v>中中中</v>
      </c>
      <c r="BU162" s="22">
        <f t="shared" si="80"/>
        <v>1</v>
      </c>
      <c r="BV162" s="22">
        <f t="shared" si="88"/>
        <v>1</v>
      </c>
      <c r="BW162" s="22" t="str">
        <f t="array" ref="BW162">_xlfn.TEXTJOIN("",TRUE,IF(ISERROR(FIND(ROW($1:$10)-1,BU162&amp;BV162)),ROW($1:$10)-1,""))</f>
        <v>023456789</v>
      </c>
      <c r="BX162" s="20" t="str">
        <f t="shared" si="81"/>
        <v>复隔中</v>
      </c>
      <c r="BY162" s="23" t="str">
        <f t="shared" si="75"/>
        <v>02</v>
      </c>
      <c r="BZ162" s="24" t="str">
        <f t="array" ref="BZ162">_xlfn.TEXTJOIN("",TRUE,IF(ISNUMBER(FIND(MID(BY161&amp;Q161,ROW($1:$4),1),BY162&amp;Q162)),MID(BY161&amp;Q161,ROW($1:$4),1),""))</f>
        <v/>
      </c>
      <c r="CA162" s="25" t="str">
        <f t="array" ref="CA162">_xlfn.TEXTJOIN("",TRUE,IF(ISERROR(FIND(ROW($1:$10)-1,BY162&amp;BZ162)),ROW($1:$10)-1,""))</f>
        <v>13456789</v>
      </c>
      <c r="CB162" s="26" t="str">
        <f t="shared" si="82"/>
        <v>邻孤孤</v>
      </c>
      <c r="CC162" s="27" t="str">
        <f t="shared" si="83"/>
        <v>91</v>
      </c>
      <c r="CD162" s="27" t="str">
        <f t="array" ref="CD162">_xlfn.TEXTJOIN("",TRUE,IF(ISNUMBER(FIND(MID(CC161&amp;R161,ROW($1:$4),1),CC162&amp;R162)),MID(CC161&amp;R161,ROW($1:$4),1),""))</f>
        <v>01</v>
      </c>
      <c r="CE162" s="27" t="str">
        <f t="array" ref="CE162">_xlfn.TEXTJOIN("",TRUE,IF(ISERROR(FIND(ROW($1:$10)-1,CC162&amp;CD162)),ROW($1:$10)-1,""))</f>
        <v>2345678</v>
      </c>
      <c r="CF162" s="17" t="str">
        <f t="shared" si="84"/>
        <v>邻传孤</v>
      </c>
      <c r="CG162" s="22" t="str">
        <f t="shared" si="85"/>
        <v>02</v>
      </c>
      <c r="CH162" s="22" t="str">
        <f t="array" ref="CH162">_xlfn.TEXTJOIN("",TRUE,IF(ISNUMBER(FIND(MID(CG161&amp;S161,ROW($1:$4),1),CG162&amp;S162)),MID(CG161&amp;S161,ROW($1:$4),1),""))</f>
        <v/>
      </c>
      <c r="CI162" s="22" t="str">
        <f t="array" ref="CI162">_xlfn.TEXTJOIN("",TRUE,IF(ISERROR(FIND(ROW($1:$10)-1,CG162&amp;CH162)),ROW($1:$10)-1,""))</f>
        <v>13456789</v>
      </c>
      <c r="CJ162" s="28" t="str">
        <f t="shared" si="86"/>
        <v>邻孤孤</v>
      </c>
    </row>
    <row r="163" spans="1:88">
      <c r="A163" s="32">
        <v>2024290</v>
      </c>
      <c r="B163" s="8" t="s">
        <v>118</v>
      </c>
      <c r="C163" s="49">
        <f t="shared" si="90"/>
        <v>11</v>
      </c>
      <c r="D163" s="50">
        <f t="shared" si="91"/>
        <v>1</v>
      </c>
      <c r="E163" s="51">
        <f t="shared" si="72"/>
        <v>3.6666666666666701</v>
      </c>
      <c r="F163" s="52">
        <f>MAX(MID(B163,{1,2,3},1)*1)-MIN(MID(B163,{1,2,3},1)*1)</f>
        <v>8</v>
      </c>
      <c r="G163" s="104">
        <v>0</v>
      </c>
      <c r="H163" s="104">
        <v>1</v>
      </c>
      <c r="I163" s="104">
        <v>2</v>
      </c>
      <c r="J163" s="104">
        <v>3</v>
      </c>
      <c r="K163" s="104">
        <v>4</v>
      </c>
      <c r="L163" s="104">
        <v>5</v>
      </c>
      <c r="M163" s="104">
        <v>6</v>
      </c>
      <c r="N163" s="104">
        <v>7</v>
      </c>
      <c r="O163" s="104">
        <v>8</v>
      </c>
      <c r="P163" s="104">
        <v>9</v>
      </c>
      <c r="Q163" s="53">
        <f t="shared" si="92"/>
        <v>8</v>
      </c>
      <c r="R163" s="53">
        <f t="shared" si="93"/>
        <v>8</v>
      </c>
      <c r="S163" s="53">
        <f t="shared" si="94"/>
        <v>0</v>
      </c>
      <c r="T163" s="101">
        <f t="shared" si="73"/>
        <v>16</v>
      </c>
      <c r="U163" s="15" t="str">
        <f>_xlfn.TEXTJOIN(", ",TRUE,ABS(MID(B163,{1,1,2},1)-MID(B163,{2,3,3},1)))</f>
        <v>8, 8, 0</v>
      </c>
      <c r="V163" s="54">
        <v>0</v>
      </c>
      <c r="W163" s="54">
        <v>1</v>
      </c>
      <c r="X163" s="54">
        <v>2</v>
      </c>
      <c r="Y163" s="54">
        <v>3</v>
      </c>
      <c r="Z163" s="54">
        <v>4</v>
      </c>
      <c r="AA163" s="54">
        <v>5</v>
      </c>
      <c r="AB163" s="54">
        <v>6</v>
      </c>
      <c r="AC163" s="54">
        <v>7</v>
      </c>
      <c r="AD163" s="54">
        <v>8</v>
      </c>
      <c r="AE163" s="54">
        <v>9</v>
      </c>
      <c r="AF163" s="55">
        <v>0</v>
      </c>
      <c r="AG163" s="55">
        <v>1</v>
      </c>
      <c r="AH163" s="55">
        <v>2</v>
      </c>
      <c r="AI163" s="55">
        <v>3</v>
      </c>
      <c r="AJ163" s="55">
        <v>4</v>
      </c>
      <c r="AK163" s="55">
        <v>5</v>
      </c>
      <c r="AL163" s="55">
        <v>6</v>
      </c>
      <c r="AM163" s="55">
        <v>7</v>
      </c>
      <c r="AN163" s="55">
        <v>8</v>
      </c>
      <c r="AO163" s="55">
        <v>9</v>
      </c>
      <c r="AP163" s="105">
        <v>0</v>
      </c>
      <c r="AQ163" s="105">
        <v>1</v>
      </c>
      <c r="AR163" s="105">
        <v>2</v>
      </c>
      <c r="AS163" s="105">
        <v>3</v>
      </c>
      <c r="AT163" s="105">
        <v>4</v>
      </c>
      <c r="AU163" s="105">
        <v>5</v>
      </c>
      <c r="AV163" s="105">
        <v>6</v>
      </c>
      <c r="AW163" s="105">
        <v>7</v>
      </c>
      <c r="AX163" s="105">
        <v>8</v>
      </c>
      <c r="AY163" s="105">
        <v>9</v>
      </c>
      <c r="AZ163" s="56">
        <v>0</v>
      </c>
      <c r="BA163" s="56">
        <v>1</v>
      </c>
      <c r="BB163" s="56">
        <v>2</v>
      </c>
      <c r="BC163" s="56">
        <v>3</v>
      </c>
      <c r="BD163" s="56">
        <v>4</v>
      </c>
      <c r="BE163" s="56">
        <v>5</v>
      </c>
      <c r="BF163" s="56">
        <v>6</v>
      </c>
      <c r="BG163" s="56">
        <v>7</v>
      </c>
      <c r="BH163" s="56">
        <v>8</v>
      </c>
      <c r="BI163" s="56">
        <v>9</v>
      </c>
      <c r="BJ163" s="57" t="str">
        <f t="shared" si="74"/>
        <v>松散型</v>
      </c>
      <c r="BK163" s="13">
        <f t="shared" si="70"/>
        <v>0</v>
      </c>
      <c r="BL163" s="13">
        <f t="shared" si="71"/>
        <v>8</v>
      </c>
      <c r="BM163" s="18" t="str">
        <f t="shared" si="76"/>
        <v/>
      </c>
      <c r="BN163" s="19" t="str">
        <f t="shared" si="77"/>
        <v/>
      </c>
      <c r="BO163" s="19" t="str">
        <f t="array" ref="BO163">_xlfn.TEXTJOIN("",TRUE,IF(ISERROR(FIND(ROW($1:$10)-1,BM163&amp;BN163)),ROW($1:$10)-1,""))</f>
        <v>0123456789</v>
      </c>
      <c r="BP163" s="20" t="str">
        <f t="shared" si="78"/>
        <v>中中中</v>
      </c>
      <c r="BQ163" s="21" t="str">
        <f t="shared" si="89"/>
        <v/>
      </c>
      <c r="BR163" s="21" t="str">
        <f t="shared" si="87"/>
        <v/>
      </c>
      <c r="BS163" s="21" t="str">
        <f t="array" ref="BS163">_xlfn.TEXTJOIN("",TRUE,IF(ISERROR(FIND(ROW($1:$10)-1,BQ163&amp;BR163)),ROW($1:$10)-1,""))</f>
        <v>0123456789</v>
      </c>
      <c r="BT163" s="20" t="str">
        <f t="shared" si="79"/>
        <v>中中中</v>
      </c>
      <c r="BU163" s="22">
        <f t="shared" si="80"/>
        <v>0</v>
      </c>
      <c r="BV163" s="22" t="str">
        <f t="shared" si="88"/>
        <v/>
      </c>
      <c r="BW163" s="22" t="str">
        <f t="array" ref="BW163">_xlfn.TEXTJOIN("",TRUE,IF(ISERROR(FIND(ROW($1:$10)-1,BU163&amp;BV163)),ROW($1:$10)-1,""))</f>
        <v>123456789</v>
      </c>
      <c r="BX163" s="20" t="str">
        <f t="shared" si="81"/>
        <v>复中中</v>
      </c>
      <c r="BY163" s="23" t="str">
        <f t="shared" si="75"/>
        <v>79</v>
      </c>
      <c r="BZ163" s="24" t="str">
        <f t="array" ref="BZ163">_xlfn.TEXTJOIN("",TRUE,IF(ISNUMBER(FIND(MID(BY162&amp;Q162,ROW($1:$4),1),BY163&amp;Q163)),MID(BY162&amp;Q162,ROW($1:$4),1),""))</f>
        <v/>
      </c>
      <c r="CA163" s="25" t="str">
        <f t="array" ref="CA163">_xlfn.TEXTJOIN("",TRUE,IF(ISERROR(FIND(ROW($1:$10)-1,BY163&amp;BZ163)),ROW($1:$10)-1,""))</f>
        <v>01234568</v>
      </c>
      <c r="CB163" s="26" t="str">
        <f t="shared" si="82"/>
        <v>邻孤孤</v>
      </c>
      <c r="CC163" s="27" t="str">
        <f t="shared" si="83"/>
        <v>79</v>
      </c>
      <c r="CD163" s="27" t="str">
        <f t="array" ref="CD163">_xlfn.TEXTJOIN("",TRUE,IF(ISNUMBER(FIND(MID(CC162&amp;R162,ROW($1:$4),1),CC163&amp;R163)),MID(CC162&amp;R162,ROW($1:$4),1),""))</f>
        <v>9</v>
      </c>
      <c r="CE163" s="27" t="str">
        <f t="array" ref="CE163">_xlfn.TEXTJOIN("",TRUE,IF(ISERROR(FIND(ROW($1:$10)-1,CC163&amp;CD163)),ROW($1:$10)-1,""))</f>
        <v>01234568</v>
      </c>
      <c r="CF163" s="17" t="str">
        <f t="shared" si="84"/>
        <v>邻传孤</v>
      </c>
      <c r="CG163" s="22" t="str">
        <f t="shared" si="85"/>
        <v>91</v>
      </c>
      <c r="CH163" s="22" t="str">
        <f t="array" ref="CH163">_xlfn.TEXTJOIN("",TRUE,IF(ISNUMBER(FIND(MID(CG162&amp;S162,ROW($1:$4),1),CG163&amp;S163)),MID(CG162&amp;S162,ROW($1:$4),1),""))</f>
        <v>01</v>
      </c>
      <c r="CI163" s="22" t="str">
        <f t="array" ref="CI163">_xlfn.TEXTJOIN("",TRUE,IF(ISERROR(FIND(ROW($1:$10)-1,CG163&amp;CH163)),ROW($1:$10)-1,""))</f>
        <v>2345678</v>
      </c>
      <c r="CJ163" s="28" t="str">
        <f t="shared" si="86"/>
        <v>邻传孤</v>
      </c>
    </row>
    <row r="164" spans="1:88">
      <c r="A164" s="32">
        <v>2024291</v>
      </c>
      <c r="B164" s="8" t="s">
        <v>43</v>
      </c>
      <c r="C164" s="49">
        <f t="shared" si="90"/>
        <v>12</v>
      </c>
      <c r="D164" s="50">
        <f t="shared" si="91"/>
        <v>2</v>
      </c>
      <c r="E164" s="51">
        <f t="shared" si="72"/>
        <v>4</v>
      </c>
      <c r="F164" s="52">
        <f>MAX(MID(B164,{1,2,3},1)*1)-MIN(MID(B164,{1,2,3},1)*1)</f>
        <v>4</v>
      </c>
      <c r="G164" s="104">
        <v>0</v>
      </c>
      <c r="H164" s="104">
        <v>1</v>
      </c>
      <c r="I164" s="104">
        <v>2</v>
      </c>
      <c r="J164" s="104">
        <v>3</v>
      </c>
      <c r="K164" s="104">
        <v>4</v>
      </c>
      <c r="L164" s="104">
        <v>5</v>
      </c>
      <c r="M164" s="104">
        <v>6</v>
      </c>
      <c r="N164" s="104">
        <v>7</v>
      </c>
      <c r="O164" s="104">
        <v>8</v>
      </c>
      <c r="P164" s="104">
        <v>9</v>
      </c>
      <c r="Q164" s="53">
        <f t="shared" si="92"/>
        <v>2</v>
      </c>
      <c r="R164" s="53">
        <f t="shared" si="93"/>
        <v>2</v>
      </c>
      <c r="S164" s="53">
        <f t="shared" si="94"/>
        <v>4</v>
      </c>
      <c r="T164" s="101">
        <f t="shared" si="73"/>
        <v>8</v>
      </c>
      <c r="U164" s="15" t="str">
        <f>_xlfn.TEXTJOIN(", ",TRUE,ABS(MID(B164,{1,1,2},1)-MID(B164,{2,3,3},1)))</f>
        <v>2, 2, 4</v>
      </c>
      <c r="V164" s="54">
        <v>0</v>
      </c>
      <c r="W164" s="54">
        <v>1</v>
      </c>
      <c r="X164" s="54">
        <v>2</v>
      </c>
      <c r="Y164" s="54">
        <v>3</v>
      </c>
      <c r="Z164" s="54">
        <v>4</v>
      </c>
      <c r="AA164" s="54">
        <v>5</v>
      </c>
      <c r="AB164" s="54">
        <v>6</v>
      </c>
      <c r="AC164" s="54">
        <v>7</v>
      </c>
      <c r="AD164" s="54">
        <v>8</v>
      </c>
      <c r="AE164" s="54">
        <v>9</v>
      </c>
      <c r="AF164" s="55">
        <v>0</v>
      </c>
      <c r="AG164" s="55">
        <v>1</v>
      </c>
      <c r="AH164" s="55">
        <v>2</v>
      </c>
      <c r="AI164" s="55">
        <v>3</v>
      </c>
      <c r="AJ164" s="55">
        <v>4</v>
      </c>
      <c r="AK164" s="55">
        <v>5</v>
      </c>
      <c r="AL164" s="55">
        <v>6</v>
      </c>
      <c r="AM164" s="55">
        <v>7</v>
      </c>
      <c r="AN164" s="55">
        <v>8</v>
      </c>
      <c r="AO164" s="55">
        <v>9</v>
      </c>
      <c r="AP164" s="105">
        <v>0</v>
      </c>
      <c r="AQ164" s="105">
        <v>1</v>
      </c>
      <c r="AR164" s="105">
        <v>2</v>
      </c>
      <c r="AS164" s="105">
        <v>3</v>
      </c>
      <c r="AT164" s="105">
        <v>4</v>
      </c>
      <c r="AU164" s="105">
        <v>5</v>
      </c>
      <c r="AV164" s="105">
        <v>6</v>
      </c>
      <c r="AW164" s="105">
        <v>7</v>
      </c>
      <c r="AX164" s="105">
        <v>8</v>
      </c>
      <c r="AY164" s="105">
        <v>9</v>
      </c>
      <c r="AZ164" s="56">
        <v>0</v>
      </c>
      <c r="BA164" s="56">
        <v>1</v>
      </c>
      <c r="BB164" s="56">
        <v>2</v>
      </c>
      <c r="BC164" s="56">
        <v>3</v>
      </c>
      <c r="BD164" s="56">
        <v>4</v>
      </c>
      <c r="BE164" s="56">
        <v>5</v>
      </c>
      <c r="BF164" s="56">
        <v>6</v>
      </c>
      <c r="BG164" s="56">
        <v>7</v>
      </c>
      <c r="BH164" s="56">
        <v>8</v>
      </c>
      <c r="BI164" s="56">
        <v>9</v>
      </c>
      <c r="BJ164" s="57" t="str">
        <f t="shared" si="74"/>
        <v>标准型</v>
      </c>
      <c r="BK164" s="13">
        <f t="shared" si="70"/>
        <v>2</v>
      </c>
      <c r="BL164" s="13">
        <f t="shared" si="71"/>
        <v>4</v>
      </c>
      <c r="BM164" s="18" t="str">
        <f t="shared" si="76"/>
        <v/>
      </c>
      <c r="BN164" s="19" t="str">
        <f t="shared" si="77"/>
        <v/>
      </c>
      <c r="BO164" s="19" t="str">
        <f t="array" ref="BO164">_xlfn.TEXTJOIN("",TRUE,IF(ISERROR(FIND(ROW($1:$10)-1,BM164&amp;BN164)),ROW($1:$10)-1,""))</f>
        <v>0123456789</v>
      </c>
      <c r="BP164" s="20" t="str">
        <f t="shared" si="78"/>
        <v>中中中</v>
      </c>
      <c r="BQ164" s="21" t="str">
        <f t="shared" si="89"/>
        <v/>
      </c>
      <c r="BR164" s="21" t="str">
        <f t="shared" si="87"/>
        <v/>
      </c>
      <c r="BS164" s="21" t="str">
        <f t="array" ref="BS164">_xlfn.TEXTJOIN("",TRUE,IF(ISERROR(FIND(ROW($1:$10)-1,BQ164&amp;BR164)),ROW($1:$10)-1,""))</f>
        <v>0123456789</v>
      </c>
      <c r="BT164" s="20" t="str">
        <f t="shared" si="79"/>
        <v>中中中</v>
      </c>
      <c r="BU164" s="22" t="str">
        <f t="shared" si="80"/>
        <v/>
      </c>
      <c r="BV164" s="22" t="str">
        <f t="shared" si="88"/>
        <v/>
      </c>
      <c r="BW164" s="22" t="str">
        <f t="array" ref="BW164">_xlfn.TEXTJOIN("",TRUE,IF(ISERROR(FIND(ROW($1:$10)-1,BU164&amp;BV164)),ROW($1:$10)-1,""))</f>
        <v>0123456789</v>
      </c>
      <c r="BX164" s="20" t="str">
        <f t="shared" si="81"/>
        <v>中中中</v>
      </c>
      <c r="BY164" s="23" t="str">
        <f t="shared" si="75"/>
        <v>13</v>
      </c>
      <c r="BZ164" s="24" t="str">
        <f t="array" ref="BZ164">_xlfn.TEXTJOIN("",TRUE,IF(ISNUMBER(FIND(MID(BY163&amp;Q163,ROW($1:$4),1),BY164&amp;Q164)),MID(BY163&amp;Q163,ROW($1:$4),1),""))</f>
        <v/>
      </c>
      <c r="CA164" s="25" t="str">
        <f t="array" ref="CA164">_xlfn.TEXTJOIN("",TRUE,IF(ISERROR(FIND(ROW($1:$10)-1,BY164&amp;BZ164)),ROW($1:$10)-1,""))</f>
        <v>02456789</v>
      </c>
      <c r="CB164" s="26" t="str">
        <f t="shared" si="82"/>
        <v>邻孤孤</v>
      </c>
      <c r="CC164" s="27" t="str">
        <f t="shared" si="83"/>
        <v>13</v>
      </c>
      <c r="CD164" s="27" t="str">
        <f t="array" ref="CD164">_xlfn.TEXTJOIN("",TRUE,IF(ISNUMBER(FIND(MID(CC163&amp;R163,ROW($1:$4),1),CC164&amp;R164)),MID(CC163&amp;R163,ROW($1:$4),1),""))</f>
        <v/>
      </c>
      <c r="CE164" s="27" t="str">
        <f t="array" ref="CE164">_xlfn.TEXTJOIN("",TRUE,IF(ISERROR(FIND(ROW($1:$10)-1,CC164&amp;CD164)),ROW($1:$10)-1,""))</f>
        <v>02456789</v>
      </c>
      <c r="CF164" s="17" t="str">
        <f t="shared" si="84"/>
        <v>邻孤孤</v>
      </c>
      <c r="CG164" s="22" t="str">
        <f t="shared" si="85"/>
        <v>35</v>
      </c>
      <c r="CH164" s="22" t="str">
        <f t="array" ref="CH164">_xlfn.TEXTJOIN("",TRUE,IF(ISNUMBER(FIND(MID(CG163&amp;S163,ROW($1:$4),1),CG164&amp;S164)),MID(CG163&amp;S163,ROW($1:$4),1),""))</f>
        <v/>
      </c>
      <c r="CI164" s="22" t="str">
        <f t="array" ref="CI164">_xlfn.TEXTJOIN("",TRUE,IF(ISERROR(FIND(ROW($1:$10)-1,CG164&amp;CH164)),ROW($1:$10)-1,""))</f>
        <v>01246789</v>
      </c>
      <c r="CJ164" s="28" t="str">
        <f t="shared" si="86"/>
        <v>邻孤孤</v>
      </c>
    </row>
    <row r="165" spans="1:88">
      <c r="A165" s="32">
        <v>2024292</v>
      </c>
      <c r="B165" s="8" t="s">
        <v>168</v>
      </c>
      <c r="C165" s="49">
        <f t="shared" si="90"/>
        <v>12</v>
      </c>
      <c r="D165" s="50">
        <f t="shared" si="91"/>
        <v>2</v>
      </c>
      <c r="E165" s="51">
        <f t="shared" si="72"/>
        <v>4</v>
      </c>
      <c r="F165" s="52">
        <f>MAX(MID(B165,{1,2,3},1)*1)-MIN(MID(B165,{1,2,3},1)*1)</f>
        <v>4</v>
      </c>
      <c r="G165" s="104">
        <v>0</v>
      </c>
      <c r="H165" s="104">
        <v>1</v>
      </c>
      <c r="I165" s="104">
        <v>2</v>
      </c>
      <c r="J165" s="104">
        <v>3</v>
      </c>
      <c r="K165" s="104">
        <v>4</v>
      </c>
      <c r="L165" s="104">
        <v>5</v>
      </c>
      <c r="M165" s="104">
        <v>6</v>
      </c>
      <c r="N165" s="104">
        <v>7</v>
      </c>
      <c r="O165" s="104">
        <v>8</v>
      </c>
      <c r="P165" s="104">
        <v>9</v>
      </c>
      <c r="Q165" s="53">
        <f t="shared" si="92"/>
        <v>2</v>
      </c>
      <c r="R165" s="53">
        <f t="shared" si="93"/>
        <v>2</v>
      </c>
      <c r="S165" s="53">
        <f t="shared" si="94"/>
        <v>4</v>
      </c>
      <c r="T165" s="101">
        <f t="shared" si="73"/>
        <v>8</v>
      </c>
      <c r="U165" s="15" t="str">
        <f>_xlfn.TEXTJOIN(", ",TRUE,ABS(MID(B165,{1,1,2},1)-MID(B165,{2,3,3},1)))</f>
        <v>2, 2, 4</v>
      </c>
      <c r="V165" s="54">
        <v>0</v>
      </c>
      <c r="W165" s="54">
        <v>1</v>
      </c>
      <c r="X165" s="54">
        <v>2</v>
      </c>
      <c r="Y165" s="54">
        <v>3</v>
      </c>
      <c r="Z165" s="54">
        <v>4</v>
      </c>
      <c r="AA165" s="54">
        <v>5</v>
      </c>
      <c r="AB165" s="54">
        <v>6</v>
      </c>
      <c r="AC165" s="54">
        <v>7</v>
      </c>
      <c r="AD165" s="54">
        <v>8</v>
      </c>
      <c r="AE165" s="54">
        <v>9</v>
      </c>
      <c r="AF165" s="55">
        <v>0</v>
      </c>
      <c r="AG165" s="55">
        <v>1</v>
      </c>
      <c r="AH165" s="55">
        <v>2</v>
      </c>
      <c r="AI165" s="55">
        <v>3</v>
      </c>
      <c r="AJ165" s="55">
        <v>4</v>
      </c>
      <c r="AK165" s="55">
        <v>5</v>
      </c>
      <c r="AL165" s="55">
        <v>6</v>
      </c>
      <c r="AM165" s="55">
        <v>7</v>
      </c>
      <c r="AN165" s="55">
        <v>8</v>
      </c>
      <c r="AO165" s="55">
        <v>9</v>
      </c>
      <c r="AP165" s="105">
        <v>0</v>
      </c>
      <c r="AQ165" s="105">
        <v>1</v>
      </c>
      <c r="AR165" s="105">
        <v>2</v>
      </c>
      <c r="AS165" s="105">
        <v>3</v>
      </c>
      <c r="AT165" s="105">
        <v>4</v>
      </c>
      <c r="AU165" s="105">
        <v>5</v>
      </c>
      <c r="AV165" s="105">
        <v>6</v>
      </c>
      <c r="AW165" s="105">
        <v>7</v>
      </c>
      <c r="AX165" s="105">
        <v>8</v>
      </c>
      <c r="AY165" s="105">
        <v>9</v>
      </c>
      <c r="AZ165" s="56">
        <v>0</v>
      </c>
      <c r="BA165" s="56">
        <v>1</v>
      </c>
      <c r="BB165" s="56">
        <v>2</v>
      </c>
      <c r="BC165" s="56">
        <v>3</v>
      </c>
      <c r="BD165" s="56">
        <v>4</v>
      </c>
      <c r="BE165" s="56">
        <v>5</v>
      </c>
      <c r="BF165" s="56">
        <v>6</v>
      </c>
      <c r="BG165" s="56">
        <v>7</v>
      </c>
      <c r="BH165" s="56">
        <v>8</v>
      </c>
      <c r="BI165" s="56">
        <v>9</v>
      </c>
      <c r="BJ165" s="57" t="str">
        <f t="shared" si="74"/>
        <v>标准型</v>
      </c>
      <c r="BK165" s="13">
        <f t="shared" si="70"/>
        <v>2</v>
      </c>
      <c r="BL165" s="13">
        <f t="shared" si="71"/>
        <v>4</v>
      </c>
      <c r="BM165" s="18">
        <f t="shared" si="76"/>
        <v>2</v>
      </c>
      <c r="BN165" s="19" t="str">
        <f t="shared" si="77"/>
        <v/>
      </c>
      <c r="BO165" s="19" t="str">
        <f t="array" ref="BO165">_xlfn.TEXTJOIN("",TRUE,IF(ISERROR(FIND(ROW($1:$10)-1,BM165&amp;BN165)),ROW($1:$10)-1,""))</f>
        <v>013456789</v>
      </c>
      <c r="BP165" s="20" t="str">
        <f t="shared" si="78"/>
        <v>复中中</v>
      </c>
      <c r="BQ165" s="21">
        <f t="shared" si="89"/>
        <v>2</v>
      </c>
      <c r="BR165" s="21" t="str">
        <f t="shared" si="87"/>
        <v/>
      </c>
      <c r="BS165" s="21" t="str">
        <f t="array" ref="BS165">_xlfn.TEXTJOIN("",TRUE,IF(ISERROR(FIND(ROW($1:$10)-1,BQ165&amp;BR165)),ROW($1:$10)-1,""))</f>
        <v>013456789</v>
      </c>
      <c r="BT165" s="20" t="str">
        <f t="shared" si="79"/>
        <v>复中中</v>
      </c>
      <c r="BU165" s="22">
        <f t="shared" si="80"/>
        <v>4</v>
      </c>
      <c r="BV165" s="22" t="str">
        <f t="shared" si="88"/>
        <v/>
      </c>
      <c r="BW165" s="22" t="str">
        <f t="array" ref="BW165">_xlfn.TEXTJOIN("",TRUE,IF(ISERROR(FIND(ROW($1:$10)-1,BU165&amp;BV165)),ROW($1:$10)-1,""))</f>
        <v>012356789</v>
      </c>
      <c r="BX165" s="20" t="str">
        <f t="shared" si="81"/>
        <v>复中中</v>
      </c>
      <c r="BY165" s="23" t="str">
        <f t="shared" si="75"/>
        <v>13</v>
      </c>
      <c r="BZ165" s="24" t="str">
        <f t="array" ref="BZ165">_xlfn.TEXTJOIN("",TRUE,IF(ISNUMBER(FIND(MID(BY164&amp;Q164,ROW($1:$4),1),BY165&amp;Q165)),MID(BY164&amp;Q164,ROW($1:$4),1),""))</f>
        <v>132</v>
      </c>
      <c r="CA165" s="25" t="str">
        <f t="array" ref="CA165">_xlfn.TEXTJOIN("",TRUE,IF(ISERROR(FIND(ROW($1:$10)-1,BY165&amp;BZ165)),ROW($1:$10)-1,""))</f>
        <v>0456789</v>
      </c>
      <c r="CB165" s="26" t="str">
        <f t="shared" si="82"/>
        <v>邻传孤</v>
      </c>
      <c r="CC165" s="27" t="str">
        <f t="shared" si="83"/>
        <v>13</v>
      </c>
      <c r="CD165" s="27" t="str">
        <f t="array" ref="CD165">_xlfn.TEXTJOIN("",TRUE,IF(ISNUMBER(FIND(MID(CC164&amp;R164,ROW($1:$4),1),CC165&amp;R165)),MID(CC164&amp;R164,ROW($1:$4),1),""))</f>
        <v>132</v>
      </c>
      <c r="CE165" s="27" t="str">
        <f t="array" ref="CE165">_xlfn.TEXTJOIN("",TRUE,IF(ISERROR(FIND(ROW($1:$10)-1,CC165&amp;CD165)),ROW($1:$10)-1,""))</f>
        <v>0456789</v>
      </c>
      <c r="CF165" s="17" t="str">
        <f t="shared" si="84"/>
        <v>邻传孤</v>
      </c>
      <c r="CG165" s="22" t="str">
        <f t="shared" si="85"/>
        <v>35</v>
      </c>
      <c r="CH165" s="22" t="str">
        <f t="array" ref="CH165">_xlfn.TEXTJOIN("",TRUE,IF(ISNUMBER(FIND(MID(CG164&amp;S164,ROW($1:$4),1),CG165&amp;S165)),MID(CG164&amp;S164,ROW($1:$4),1),""))</f>
        <v>354</v>
      </c>
      <c r="CI165" s="22" t="str">
        <f t="array" ref="CI165">_xlfn.TEXTJOIN("",TRUE,IF(ISERROR(FIND(ROW($1:$10)-1,CG165&amp;CH165)),ROW($1:$10)-1,""))</f>
        <v>0126789</v>
      </c>
      <c r="CJ165" s="28" t="str">
        <f t="shared" si="86"/>
        <v>邻传孤</v>
      </c>
    </row>
    <row r="166" spans="1:88">
      <c r="A166" s="32">
        <v>2024293</v>
      </c>
      <c r="B166" s="8" t="s">
        <v>169</v>
      </c>
      <c r="C166" s="49">
        <f t="shared" si="90"/>
        <v>8</v>
      </c>
      <c r="D166" s="50">
        <f t="shared" si="91"/>
        <v>8</v>
      </c>
      <c r="E166" s="51">
        <f t="shared" si="72"/>
        <v>2.6666666666666701</v>
      </c>
      <c r="F166" s="52">
        <f>MAX(MID(B166,{1,2,3},1)*1)-MIN(MID(B166,{1,2,3},1)*1)</f>
        <v>4</v>
      </c>
      <c r="G166" s="104">
        <v>0</v>
      </c>
      <c r="H166" s="104">
        <v>1</v>
      </c>
      <c r="I166" s="104">
        <v>2</v>
      </c>
      <c r="J166" s="104">
        <v>3</v>
      </c>
      <c r="K166" s="104">
        <v>4</v>
      </c>
      <c r="L166" s="104">
        <v>5</v>
      </c>
      <c r="M166" s="104">
        <v>6</v>
      </c>
      <c r="N166" s="104">
        <v>7</v>
      </c>
      <c r="O166" s="104">
        <v>8</v>
      </c>
      <c r="P166" s="104">
        <v>9</v>
      </c>
      <c r="Q166" s="53">
        <f t="shared" si="92"/>
        <v>3</v>
      </c>
      <c r="R166" s="53">
        <f t="shared" si="93"/>
        <v>4</v>
      </c>
      <c r="S166" s="53">
        <f t="shared" si="94"/>
        <v>1</v>
      </c>
      <c r="T166" s="101">
        <f t="shared" si="73"/>
        <v>8</v>
      </c>
      <c r="U166" s="15" t="str">
        <f>_xlfn.TEXTJOIN(", ",TRUE,ABS(MID(B166,{1,1,2},1)-MID(B166,{2,3,3},1)))</f>
        <v>3, 4, 1</v>
      </c>
      <c r="V166" s="54">
        <v>0</v>
      </c>
      <c r="W166" s="54">
        <v>1</v>
      </c>
      <c r="X166" s="54">
        <v>2</v>
      </c>
      <c r="Y166" s="54">
        <v>3</v>
      </c>
      <c r="Z166" s="54">
        <v>4</v>
      </c>
      <c r="AA166" s="54">
        <v>5</v>
      </c>
      <c r="AB166" s="54">
        <v>6</v>
      </c>
      <c r="AC166" s="54">
        <v>7</v>
      </c>
      <c r="AD166" s="54">
        <v>8</v>
      </c>
      <c r="AE166" s="54">
        <v>9</v>
      </c>
      <c r="AF166" s="55">
        <v>0</v>
      </c>
      <c r="AG166" s="55">
        <v>1</v>
      </c>
      <c r="AH166" s="55">
        <v>2</v>
      </c>
      <c r="AI166" s="55">
        <v>3</v>
      </c>
      <c r="AJ166" s="55">
        <v>4</v>
      </c>
      <c r="AK166" s="55">
        <v>5</v>
      </c>
      <c r="AL166" s="55">
        <v>6</v>
      </c>
      <c r="AM166" s="55">
        <v>7</v>
      </c>
      <c r="AN166" s="55">
        <v>8</v>
      </c>
      <c r="AO166" s="55">
        <v>9</v>
      </c>
      <c r="AP166" s="105">
        <v>0</v>
      </c>
      <c r="AQ166" s="105">
        <v>1</v>
      </c>
      <c r="AR166" s="105">
        <v>2</v>
      </c>
      <c r="AS166" s="105">
        <v>3</v>
      </c>
      <c r="AT166" s="105">
        <v>4</v>
      </c>
      <c r="AU166" s="105">
        <v>5</v>
      </c>
      <c r="AV166" s="105">
        <v>6</v>
      </c>
      <c r="AW166" s="105">
        <v>7</v>
      </c>
      <c r="AX166" s="105">
        <v>8</v>
      </c>
      <c r="AY166" s="105">
        <v>9</v>
      </c>
      <c r="AZ166" s="56">
        <v>0</v>
      </c>
      <c r="BA166" s="56">
        <v>1</v>
      </c>
      <c r="BB166" s="56">
        <v>2</v>
      </c>
      <c r="BC166" s="56">
        <v>3</v>
      </c>
      <c r="BD166" s="56">
        <v>4</v>
      </c>
      <c r="BE166" s="56">
        <v>5</v>
      </c>
      <c r="BF166" s="56">
        <v>6</v>
      </c>
      <c r="BG166" s="56">
        <v>7</v>
      </c>
      <c r="BH166" s="56">
        <v>8</v>
      </c>
      <c r="BI166" s="56">
        <v>9</v>
      </c>
      <c r="BJ166" s="57" t="str">
        <f t="shared" si="74"/>
        <v>紧凑型</v>
      </c>
      <c r="BK166" s="13">
        <f t="shared" si="70"/>
        <v>1</v>
      </c>
      <c r="BL166" s="13">
        <f t="shared" si="71"/>
        <v>4</v>
      </c>
      <c r="BM166" s="18" t="str">
        <f t="shared" si="76"/>
        <v/>
      </c>
      <c r="BN166" s="19" t="str">
        <f t="shared" si="77"/>
        <v/>
      </c>
      <c r="BO166" s="19" t="str">
        <f t="array" ref="BO166">_xlfn.TEXTJOIN("",TRUE,IF(ISERROR(FIND(ROW($1:$10)-1,BM166&amp;BN166)),ROW($1:$10)-1,""))</f>
        <v>0123456789</v>
      </c>
      <c r="BP166" s="20" t="str">
        <f t="shared" si="78"/>
        <v>中中中</v>
      </c>
      <c r="BQ166" s="21">
        <f t="shared" si="89"/>
        <v>4</v>
      </c>
      <c r="BR166" s="21">
        <f t="shared" si="87"/>
        <v>4</v>
      </c>
      <c r="BS166" s="21" t="str">
        <f t="array" ref="BS166">_xlfn.TEXTJOIN("",TRUE,IF(ISERROR(FIND(ROW($1:$10)-1,BQ166&amp;BR166)),ROW($1:$10)-1,""))</f>
        <v>012356789</v>
      </c>
      <c r="BT166" s="20" t="str">
        <f t="shared" si="79"/>
        <v>复隔中</v>
      </c>
      <c r="BU166" s="22" t="str">
        <f t="shared" si="80"/>
        <v/>
      </c>
      <c r="BV166" s="22" t="str">
        <f t="shared" si="88"/>
        <v/>
      </c>
      <c r="BW166" s="22" t="str">
        <f t="array" ref="BW166">_xlfn.TEXTJOIN("",TRUE,IF(ISERROR(FIND(ROW($1:$10)-1,BU166&amp;BV166)),ROW($1:$10)-1,""))</f>
        <v>0123456789</v>
      </c>
      <c r="BX166" s="20" t="str">
        <f t="shared" si="81"/>
        <v>中中中</v>
      </c>
      <c r="BY166" s="23" t="str">
        <f t="shared" si="75"/>
        <v>24</v>
      </c>
      <c r="BZ166" s="24" t="str">
        <f t="array" ref="BZ166">_xlfn.TEXTJOIN("",TRUE,IF(ISNUMBER(FIND(MID(BY165&amp;Q165,ROW($1:$4),1),BY166&amp;Q166)),MID(BY165&amp;Q165,ROW($1:$4),1),""))</f>
        <v>32</v>
      </c>
      <c r="CA166" s="25" t="str">
        <f t="array" ref="CA166">_xlfn.TEXTJOIN("",TRUE,IF(ISERROR(FIND(ROW($1:$10)-1,BY166&amp;BZ166)),ROW($1:$10)-1,""))</f>
        <v>0156789</v>
      </c>
      <c r="CB166" s="26" t="str">
        <f t="shared" si="82"/>
        <v>邻传孤</v>
      </c>
      <c r="CC166" s="27" t="str">
        <f t="shared" si="83"/>
        <v>35</v>
      </c>
      <c r="CD166" s="27" t="str">
        <f t="array" ref="CD166">_xlfn.TEXTJOIN("",TRUE,IF(ISNUMBER(FIND(MID(CC165&amp;R165,ROW($1:$4),1),CC166&amp;R166)),MID(CC165&amp;R165,ROW($1:$4),1),""))</f>
        <v>3</v>
      </c>
      <c r="CE166" s="27" t="str">
        <f t="array" ref="CE166">_xlfn.TEXTJOIN("",TRUE,IF(ISERROR(FIND(ROW($1:$10)-1,CC166&amp;CD166)),ROW($1:$10)-1,""))</f>
        <v>01246789</v>
      </c>
      <c r="CF166" s="17" t="str">
        <f t="shared" si="84"/>
        <v>邻传孤</v>
      </c>
      <c r="CG166" s="22" t="str">
        <f t="shared" si="85"/>
        <v>02</v>
      </c>
      <c r="CH166" s="22" t="str">
        <f t="array" ref="CH166">_xlfn.TEXTJOIN("",TRUE,IF(ISNUMBER(FIND(MID(CG165&amp;S165,ROW($1:$4),1),CG166&amp;S166)),MID(CG165&amp;S165,ROW($1:$4),1),""))</f>
        <v/>
      </c>
      <c r="CI166" s="22" t="str">
        <f t="array" ref="CI166">_xlfn.TEXTJOIN("",TRUE,IF(ISERROR(FIND(ROW($1:$10)-1,CG166&amp;CH166)),ROW($1:$10)-1,""))</f>
        <v>13456789</v>
      </c>
      <c r="CJ166" s="28" t="str">
        <f t="shared" si="86"/>
        <v>邻孤孤</v>
      </c>
    </row>
    <row r="167" spans="1:88">
      <c r="A167" s="32">
        <v>2024294</v>
      </c>
      <c r="B167" s="8" t="s">
        <v>170</v>
      </c>
      <c r="C167" s="49">
        <f t="shared" si="90"/>
        <v>13</v>
      </c>
      <c r="D167" s="50">
        <f t="shared" si="91"/>
        <v>3</v>
      </c>
      <c r="E167" s="51">
        <f t="shared" si="72"/>
        <v>4.3333333333333304</v>
      </c>
      <c r="F167" s="52">
        <f>MAX(MID(B167,{1,2,3},1)*1)-MIN(MID(B167,{1,2,3},1)*1)</f>
        <v>3</v>
      </c>
      <c r="G167" s="104">
        <v>0</v>
      </c>
      <c r="H167" s="104">
        <v>1</v>
      </c>
      <c r="I167" s="104">
        <v>2</v>
      </c>
      <c r="J167" s="104">
        <v>3</v>
      </c>
      <c r="K167" s="104">
        <v>4</v>
      </c>
      <c r="L167" s="104">
        <v>5</v>
      </c>
      <c r="M167" s="104">
        <v>6</v>
      </c>
      <c r="N167" s="104">
        <v>7</v>
      </c>
      <c r="O167" s="104">
        <v>8</v>
      </c>
      <c r="P167" s="104">
        <v>9</v>
      </c>
      <c r="Q167" s="53">
        <f t="shared" si="92"/>
        <v>3</v>
      </c>
      <c r="R167" s="53">
        <f t="shared" si="93"/>
        <v>1</v>
      </c>
      <c r="S167" s="53">
        <f t="shared" si="94"/>
        <v>2</v>
      </c>
      <c r="T167" s="101">
        <f t="shared" si="73"/>
        <v>6</v>
      </c>
      <c r="U167" s="15" t="str">
        <f>_xlfn.TEXTJOIN(", ",TRUE,ABS(MID(B167,{1,1,2},1)-MID(B167,{2,3,3},1)))</f>
        <v>3, 1, 2</v>
      </c>
      <c r="V167" s="54">
        <v>0</v>
      </c>
      <c r="W167" s="54">
        <v>1</v>
      </c>
      <c r="X167" s="54">
        <v>2</v>
      </c>
      <c r="Y167" s="54">
        <v>3</v>
      </c>
      <c r="Z167" s="54">
        <v>4</v>
      </c>
      <c r="AA167" s="54">
        <v>5</v>
      </c>
      <c r="AB167" s="54">
        <v>6</v>
      </c>
      <c r="AC167" s="54">
        <v>7</v>
      </c>
      <c r="AD167" s="54">
        <v>8</v>
      </c>
      <c r="AE167" s="54">
        <v>9</v>
      </c>
      <c r="AF167" s="55">
        <v>0</v>
      </c>
      <c r="AG167" s="55">
        <v>1</v>
      </c>
      <c r="AH167" s="55">
        <v>2</v>
      </c>
      <c r="AI167" s="55">
        <v>3</v>
      </c>
      <c r="AJ167" s="55">
        <v>4</v>
      </c>
      <c r="AK167" s="55">
        <v>5</v>
      </c>
      <c r="AL167" s="55">
        <v>6</v>
      </c>
      <c r="AM167" s="55">
        <v>7</v>
      </c>
      <c r="AN167" s="55">
        <v>8</v>
      </c>
      <c r="AO167" s="55">
        <v>9</v>
      </c>
      <c r="AP167" s="105">
        <v>0</v>
      </c>
      <c r="AQ167" s="105">
        <v>1</v>
      </c>
      <c r="AR167" s="105">
        <v>2</v>
      </c>
      <c r="AS167" s="105">
        <v>3</v>
      </c>
      <c r="AT167" s="105">
        <v>4</v>
      </c>
      <c r="AU167" s="105">
        <v>5</v>
      </c>
      <c r="AV167" s="105">
        <v>6</v>
      </c>
      <c r="AW167" s="105">
        <v>7</v>
      </c>
      <c r="AX167" s="105">
        <v>8</v>
      </c>
      <c r="AY167" s="105">
        <v>9</v>
      </c>
      <c r="AZ167" s="56">
        <v>0</v>
      </c>
      <c r="BA167" s="56">
        <v>1</v>
      </c>
      <c r="BB167" s="56">
        <v>2</v>
      </c>
      <c r="BC167" s="56">
        <v>3</v>
      </c>
      <c r="BD167" s="56">
        <v>4</v>
      </c>
      <c r="BE167" s="56">
        <v>5</v>
      </c>
      <c r="BF167" s="56">
        <v>6</v>
      </c>
      <c r="BG167" s="56">
        <v>7</v>
      </c>
      <c r="BH167" s="56">
        <v>8</v>
      </c>
      <c r="BI167" s="56">
        <v>9</v>
      </c>
      <c r="BJ167" s="57" t="str">
        <f t="shared" si="74"/>
        <v>紧凑型</v>
      </c>
      <c r="BK167" s="13">
        <f t="shared" si="70"/>
        <v>1</v>
      </c>
      <c r="BL167" s="13">
        <f t="shared" si="71"/>
        <v>3</v>
      </c>
      <c r="BM167" s="18">
        <f t="shared" si="76"/>
        <v>3</v>
      </c>
      <c r="BN167" s="19" t="str">
        <f t="shared" si="77"/>
        <v/>
      </c>
      <c r="BO167" s="19" t="str">
        <f t="array" ref="BO167">_xlfn.TEXTJOIN("",TRUE,IF(ISERROR(FIND(ROW($1:$10)-1,BM167&amp;BN167)),ROW($1:$10)-1,""))</f>
        <v>012456789</v>
      </c>
      <c r="BP167" s="20" t="str">
        <f t="shared" si="78"/>
        <v>复中中</v>
      </c>
      <c r="BQ167" s="21">
        <f t="shared" si="89"/>
        <v>1</v>
      </c>
      <c r="BR167" s="21" t="str">
        <f t="shared" si="87"/>
        <v/>
      </c>
      <c r="BS167" s="21" t="str">
        <f t="array" ref="BS167">_xlfn.TEXTJOIN("",TRUE,IF(ISERROR(FIND(ROW($1:$10)-1,BQ167&amp;BR167)),ROW($1:$10)-1,""))</f>
        <v>023456789</v>
      </c>
      <c r="BT167" s="20" t="str">
        <f t="shared" si="79"/>
        <v>复中中</v>
      </c>
      <c r="BU167" s="22" t="str">
        <f t="shared" si="80"/>
        <v/>
      </c>
      <c r="BV167" s="22">
        <f t="shared" si="88"/>
        <v>2</v>
      </c>
      <c r="BW167" s="22" t="str">
        <f t="array" ref="BW167">_xlfn.TEXTJOIN("",TRUE,IF(ISERROR(FIND(ROW($1:$10)-1,BU167&amp;BV167)),ROW($1:$10)-1,""))</f>
        <v>013456789</v>
      </c>
      <c r="BX167" s="20" t="str">
        <f t="shared" si="81"/>
        <v>中隔中</v>
      </c>
      <c r="BY167" s="23" t="str">
        <f t="shared" si="75"/>
        <v>24</v>
      </c>
      <c r="BZ167" s="24" t="str">
        <f t="array" ref="BZ167">_xlfn.TEXTJOIN("",TRUE,IF(ISNUMBER(FIND(MID(BY166&amp;Q166,ROW($1:$4),1),BY167&amp;Q167)),MID(BY166&amp;Q166,ROW($1:$4),1),""))</f>
        <v>243</v>
      </c>
      <c r="CA167" s="25" t="str">
        <f t="array" ref="CA167">_xlfn.TEXTJOIN("",TRUE,IF(ISERROR(FIND(ROW($1:$10)-1,BY167&amp;BZ167)),ROW($1:$10)-1,""))</f>
        <v>0156789</v>
      </c>
      <c r="CB167" s="26" t="str">
        <f t="shared" si="82"/>
        <v>邻传孤</v>
      </c>
      <c r="CC167" s="27" t="str">
        <f t="shared" si="83"/>
        <v>02</v>
      </c>
      <c r="CD167" s="27" t="str">
        <f t="array" ref="CD167">_xlfn.TEXTJOIN("",TRUE,IF(ISNUMBER(FIND(MID(CC166&amp;R166,ROW($1:$4),1),CC167&amp;R167)),MID(CC166&amp;R166,ROW($1:$4),1),""))</f>
        <v/>
      </c>
      <c r="CE167" s="27" t="str">
        <f t="array" ref="CE167">_xlfn.TEXTJOIN("",TRUE,IF(ISERROR(FIND(ROW($1:$10)-1,CC167&amp;CD167)),ROW($1:$10)-1,""))</f>
        <v>13456789</v>
      </c>
      <c r="CF167" s="17" t="str">
        <f t="shared" si="84"/>
        <v>邻孤孤</v>
      </c>
      <c r="CG167" s="22" t="str">
        <f t="shared" si="85"/>
        <v>13</v>
      </c>
      <c r="CH167" s="22" t="str">
        <f t="array" ref="CH167">_xlfn.TEXTJOIN("",TRUE,IF(ISNUMBER(FIND(MID(CG166&amp;S166,ROW($1:$4),1),CG167&amp;S167)),MID(CG166&amp;S166,ROW($1:$4),1),""))</f>
        <v>21</v>
      </c>
      <c r="CI167" s="22" t="str">
        <f t="array" ref="CI167">_xlfn.TEXTJOIN("",TRUE,IF(ISERROR(FIND(ROW($1:$10)-1,CG167&amp;CH167)),ROW($1:$10)-1,""))</f>
        <v>0456789</v>
      </c>
      <c r="CJ167" s="28" t="str">
        <f t="shared" si="86"/>
        <v>邻传孤</v>
      </c>
    </row>
    <row r="168" spans="1:88">
      <c r="A168" s="32">
        <v>2024295</v>
      </c>
      <c r="B168" s="8" t="s">
        <v>171</v>
      </c>
      <c r="C168" s="49">
        <f t="shared" si="90"/>
        <v>13</v>
      </c>
      <c r="D168" s="50">
        <f t="shared" si="91"/>
        <v>3</v>
      </c>
      <c r="E168" s="51">
        <f t="shared" si="72"/>
        <v>4.3333333333333304</v>
      </c>
      <c r="F168" s="52">
        <f>MAX(MID(B168,{1,2,3},1)*1)-MIN(MID(B168,{1,2,3},1)*1)</f>
        <v>6</v>
      </c>
      <c r="G168" s="104">
        <v>0</v>
      </c>
      <c r="H168" s="104">
        <v>1</v>
      </c>
      <c r="I168" s="104">
        <v>2</v>
      </c>
      <c r="J168" s="104">
        <v>3</v>
      </c>
      <c r="K168" s="104">
        <v>4</v>
      </c>
      <c r="L168" s="104">
        <v>5</v>
      </c>
      <c r="M168" s="104">
        <v>6</v>
      </c>
      <c r="N168" s="104">
        <v>7</v>
      </c>
      <c r="O168" s="104">
        <v>8</v>
      </c>
      <c r="P168" s="104">
        <v>9</v>
      </c>
      <c r="Q168" s="53">
        <f t="shared" si="92"/>
        <v>2</v>
      </c>
      <c r="R168" s="53">
        <f t="shared" si="93"/>
        <v>4</v>
      </c>
      <c r="S168" s="53">
        <f t="shared" si="94"/>
        <v>6</v>
      </c>
      <c r="T168" s="101">
        <f t="shared" si="73"/>
        <v>12</v>
      </c>
      <c r="U168" s="15" t="str">
        <f>_xlfn.TEXTJOIN(", ",TRUE,ABS(MID(B168,{1,1,2},1)-MID(B168,{2,3,3},1)))</f>
        <v>2, 4, 6</v>
      </c>
      <c r="V168" s="54">
        <v>0</v>
      </c>
      <c r="W168" s="54">
        <v>1</v>
      </c>
      <c r="X168" s="54">
        <v>2</v>
      </c>
      <c r="Y168" s="54">
        <v>3</v>
      </c>
      <c r="Z168" s="54">
        <v>4</v>
      </c>
      <c r="AA168" s="54">
        <v>5</v>
      </c>
      <c r="AB168" s="54">
        <v>6</v>
      </c>
      <c r="AC168" s="54">
        <v>7</v>
      </c>
      <c r="AD168" s="54">
        <v>8</v>
      </c>
      <c r="AE168" s="54">
        <v>9</v>
      </c>
      <c r="AF168" s="55">
        <v>0</v>
      </c>
      <c r="AG168" s="55">
        <v>1</v>
      </c>
      <c r="AH168" s="55">
        <v>2</v>
      </c>
      <c r="AI168" s="55">
        <v>3</v>
      </c>
      <c r="AJ168" s="55">
        <v>4</v>
      </c>
      <c r="AK168" s="55">
        <v>5</v>
      </c>
      <c r="AL168" s="55">
        <v>6</v>
      </c>
      <c r="AM168" s="55">
        <v>7</v>
      </c>
      <c r="AN168" s="55">
        <v>8</v>
      </c>
      <c r="AO168" s="55">
        <v>9</v>
      </c>
      <c r="AP168" s="105">
        <v>0</v>
      </c>
      <c r="AQ168" s="105">
        <v>1</v>
      </c>
      <c r="AR168" s="105">
        <v>2</v>
      </c>
      <c r="AS168" s="105">
        <v>3</v>
      </c>
      <c r="AT168" s="105">
        <v>4</v>
      </c>
      <c r="AU168" s="105">
        <v>5</v>
      </c>
      <c r="AV168" s="105">
        <v>6</v>
      </c>
      <c r="AW168" s="105">
        <v>7</v>
      </c>
      <c r="AX168" s="105">
        <v>8</v>
      </c>
      <c r="AY168" s="105">
        <v>9</v>
      </c>
      <c r="AZ168" s="56">
        <v>0</v>
      </c>
      <c r="BA168" s="56">
        <v>1</v>
      </c>
      <c r="BB168" s="56">
        <v>2</v>
      </c>
      <c r="BC168" s="56">
        <v>3</v>
      </c>
      <c r="BD168" s="56">
        <v>4</v>
      </c>
      <c r="BE168" s="56">
        <v>5</v>
      </c>
      <c r="BF168" s="56">
        <v>6</v>
      </c>
      <c r="BG168" s="56">
        <v>7</v>
      </c>
      <c r="BH168" s="56">
        <v>8</v>
      </c>
      <c r="BI168" s="56">
        <v>9</v>
      </c>
      <c r="BJ168" s="57" t="str">
        <f t="shared" si="74"/>
        <v>松散型</v>
      </c>
      <c r="BK168" s="13">
        <f t="shared" si="70"/>
        <v>2</v>
      </c>
      <c r="BL168" s="13">
        <f t="shared" si="71"/>
        <v>6</v>
      </c>
      <c r="BM168" s="18">
        <f t="shared" si="76"/>
        <v>2</v>
      </c>
      <c r="BN168" s="19" t="str">
        <f t="shared" si="77"/>
        <v/>
      </c>
      <c r="BO168" s="19" t="str">
        <f t="array" ref="BO168">_xlfn.TEXTJOIN("",TRUE,IF(ISERROR(FIND(ROW($1:$10)-1,BM168&amp;BN168)),ROW($1:$10)-1,""))</f>
        <v>013456789</v>
      </c>
      <c r="BP168" s="20" t="str">
        <f t="shared" si="78"/>
        <v>复中中</v>
      </c>
      <c r="BQ168" s="21" t="str">
        <f t="shared" si="89"/>
        <v/>
      </c>
      <c r="BR168" s="21">
        <f t="shared" si="87"/>
        <v>4</v>
      </c>
      <c r="BS168" s="21" t="str">
        <f t="array" ref="BS168">_xlfn.TEXTJOIN("",TRUE,IF(ISERROR(FIND(ROW($1:$10)-1,BQ168&amp;BR168)),ROW($1:$10)-1,""))</f>
        <v>012356789</v>
      </c>
      <c r="BT168" s="20" t="str">
        <f t="shared" si="79"/>
        <v>中隔中</v>
      </c>
      <c r="BU168" s="22" t="str">
        <f t="shared" si="80"/>
        <v/>
      </c>
      <c r="BV168" s="22" t="str">
        <f t="shared" si="88"/>
        <v/>
      </c>
      <c r="BW168" s="22" t="str">
        <f t="array" ref="BW168">_xlfn.TEXTJOIN("",TRUE,IF(ISERROR(FIND(ROW($1:$10)-1,BU168&amp;BV168)),ROW($1:$10)-1,""))</f>
        <v>0123456789</v>
      </c>
      <c r="BX168" s="20" t="str">
        <f t="shared" si="81"/>
        <v>中中中</v>
      </c>
      <c r="BY168" s="23" t="str">
        <f t="shared" si="75"/>
        <v>13</v>
      </c>
      <c r="BZ168" s="24" t="str">
        <f t="array" ref="BZ168">_xlfn.TEXTJOIN("",TRUE,IF(ISNUMBER(FIND(MID(BY167&amp;Q167,ROW($1:$4),1),BY168&amp;Q168)),MID(BY167&amp;Q167,ROW($1:$4),1),""))</f>
        <v>23</v>
      </c>
      <c r="CA168" s="25" t="str">
        <f t="array" ref="CA168">_xlfn.TEXTJOIN("",TRUE,IF(ISERROR(FIND(ROW($1:$10)-1,BY168&amp;BZ168)),ROW($1:$10)-1,""))</f>
        <v>0456789</v>
      </c>
      <c r="CB168" s="26" t="str">
        <f t="shared" si="82"/>
        <v>邻传孤</v>
      </c>
      <c r="CC168" s="27" t="str">
        <f t="shared" si="83"/>
        <v>35</v>
      </c>
      <c r="CD168" s="27" t="str">
        <f t="array" ref="CD168">_xlfn.TEXTJOIN("",TRUE,IF(ISNUMBER(FIND(MID(CC167&amp;R167,ROW($1:$4),1),CC168&amp;R168)),MID(CC167&amp;R167,ROW($1:$4),1),""))</f>
        <v/>
      </c>
      <c r="CE168" s="27" t="str">
        <f t="array" ref="CE168">_xlfn.TEXTJOIN("",TRUE,IF(ISERROR(FIND(ROW($1:$10)-1,CC168&amp;CD168)),ROW($1:$10)-1,""))</f>
        <v>01246789</v>
      </c>
      <c r="CF168" s="17" t="str">
        <f t="shared" si="84"/>
        <v>邻孤孤</v>
      </c>
      <c r="CG168" s="22" t="str">
        <f t="shared" si="85"/>
        <v>57</v>
      </c>
      <c r="CH168" s="22" t="str">
        <f t="array" ref="CH168">_xlfn.TEXTJOIN("",TRUE,IF(ISNUMBER(FIND(MID(CG167&amp;S167,ROW($1:$4),1),CG168&amp;S168)),MID(CG167&amp;S167,ROW($1:$4),1),""))</f>
        <v/>
      </c>
      <c r="CI168" s="22" t="str">
        <f t="array" ref="CI168">_xlfn.TEXTJOIN("",TRUE,IF(ISERROR(FIND(ROW($1:$10)-1,CG168&amp;CH168)),ROW($1:$10)-1,""))</f>
        <v>01234689</v>
      </c>
      <c r="CJ168" s="28" t="str">
        <f t="shared" si="86"/>
        <v>邻孤孤</v>
      </c>
    </row>
    <row r="169" spans="1:88">
      <c r="A169" s="32">
        <v>2024296</v>
      </c>
      <c r="B169" s="8" t="s">
        <v>39</v>
      </c>
      <c r="C169" s="49">
        <f t="shared" si="90"/>
        <v>15</v>
      </c>
      <c r="D169" s="50">
        <f t="shared" si="91"/>
        <v>5</v>
      </c>
      <c r="E169" s="51">
        <f t="shared" si="72"/>
        <v>5</v>
      </c>
      <c r="F169" s="52">
        <f>MAX(MID(B169,{1,2,3},1)*1)-MIN(MID(B169,{1,2,3},1)*1)</f>
        <v>7</v>
      </c>
      <c r="G169" s="104">
        <v>0</v>
      </c>
      <c r="H169" s="104">
        <v>1</v>
      </c>
      <c r="I169" s="104">
        <v>2</v>
      </c>
      <c r="J169" s="104">
        <v>3</v>
      </c>
      <c r="K169" s="104">
        <v>4</v>
      </c>
      <c r="L169" s="104">
        <v>5</v>
      </c>
      <c r="M169" s="104">
        <v>6</v>
      </c>
      <c r="N169" s="104">
        <v>7</v>
      </c>
      <c r="O169" s="104">
        <v>8</v>
      </c>
      <c r="P169" s="104">
        <v>9</v>
      </c>
      <c r="Q169" s="53">
        <f t="shared" si="92"/>
        <v>7</v>
      </c>
      <c r="R169" s="53">
        <f t="shared" si="93"/>
        <v>2</v>
      </c>
      <c r="S169" s="53">
        <f t="shared" si="94"/>
        <v>5</v>
      </c>
      <c r="T169" s="101">
        <f t="shared" si="73"/>
        <v>14</v>
      </c>
      <c r="U169" s="15" t="str">
        <f>_xlfn.TEXTJOIN(", ",TRUE,ABS(MID(B169,{1,1,2},1)-MID(B169,{2,3,3},1)))</f>
        <v>7, 2, 5</v>
      </c>
      <c r="V169" s="54">
        <v>0</v>
      </c>
      <c r="W169" s="54">
        <v>1</v>
      </c>
      <c r="X169" s="54">
        <v>2</v>
      </c>
      <c r="Y169" s="54">
        <v>3</v>
      </c>
      <c r="Z169" s="54">
        <v>4</v>
      </c>
      <c r="AA169" s="54">
        <v>5</v>
      </c>
      <c r="AB169" s="54">
        <v>6</v>
      </c>
      <c r="AC169" s="54">
        <v>7</v>
      </c>
      <c r="AD169" s="54">
        <v>8</v>
      </c>
      <c r="AE169" s="54">
        <v>9</v>
      </c>
      <c r="AF169" s="55">
        <v>0</v>
      </c>
      <c r="AG169" s="55">
        <v>1</v>
      </c>
      <c r="AH169" s="55">
        <v>2</v>
      </c>
      <c r="AI169" s="55">
        <v>3</v>
      </c>
      <c r="AJ169" s="55">
        <v>4</v>
      </c>
      <c r="AK169" s="55">
        <v>5</v>
      </c>
      <c r="AL169" s="55">
        <v>6</v>
      </c>
      <c r="AM169" s="55">
        <v>7</v>
      </c>
      <c r="AN169" s="55">
        <v>8</v>
      </c>
      <c r="AO169" s="55">
        <v>9</v>
      </c>
      <c r="AP169" s="105">
        <v>0</v>
      </c>
      <c r="AQ169" s="105">
        <v>1</v>
      </c>
      <c r="AR169" s="105">
        <v>2</v>
      </c>
      <c r="AS169" s="105">
        <v>3</v>
      </c>
      <c r="AT169" s="105">
        <v>4</v>
      </c>
      <c r="AU169" s="105">
        <v>5</v>
      </c>
      <c r="AV169" s="105">
        <v>6</v>
      </c>
      <c r="AW169" s="105">
        <v>7</v>
      </c>
      <c r="AX169" s="105">
        <v>8</v>
      </c>
      <c r="AY169" s="105">
        <v>9</v>
      </c>
      <c r="AZ169" s="56">
        <v>0</v>
      </c>
      <c r="BA169" s="56">
        <v>1</v>
      </c>
      <c r="BB169" s="56">
        <v>2</v>
      </c>
      <c r="BC169" s="56">
        <v>3</v>
      </c>
      <c r="BD169" s="56">
        <v>4</v>
      </c>
      <c r="BE169" s="56">
        <v>5</v>
      </c>
      <c r="BF169" s="56">
        <v>6</v>
      </c>
      <c r="BG169" s="56">
        <v>7</v>
      </c>
      <c r="BH169" s="56">
        <v>8</v>
      </c>
      <c r="BI169" s="56">
        <v>9</v>
      </c>
      <c r="BJ169" s="57" t="str">
        <f t="shared" si="74"/>
        <v>松散型</v>
      </c>
      <c r="BK169" s="13">
        <f t="shared" si="70"/>
        <v>2</v>
      </c>
      <c r="BL169" s="13">
        <f t="shared" si="71"/>
        <v>7</v>
      </c>
      <c r="BM169" s="18" t="str">
        <f t="shared" si="76"/>
        <v/>
      </c>
      <c r="BN169" s="19" t="str">
        <f t="shared" si="77"/>
        <v/>
      </c>
      <c r="BO169" s="19" t="str">
        <f t="array" ref="BO169">_xlfn.TEXTJOIN("",TRUE,IF(ISERROR(FIND(ROW($1:$10)-1,BM169&amp;BN169)),ROW($1:$10)-1,""))</f>
        <v>0123456789</v>
      </c>
      <c r="BP169" s="20" t="str">
        <f t="shared" si="78"/>
        <v>中中中</v>
      </c>
      <c r="BQ169" s="21">
        <f t="shared" si="89"/>
        <v>2</v>
      </c>
      <c r="BR169" s="21">
        <f t="shared" si="87"/>
        <v>2</v>
      </c>
      <c r="BS169" s="21" t="str">
        <f t="array" ref="BS169">_xlfn.TEXTJOIN("",TRUE,IF(ISERROR(FIND(ROW($1:$10)-1,BQ169&amp;BR169)),ROW($1:$10)-1,""))</f>
        <v>013456789</v>
      </c>
      <c r="BT169" s="20" t="str">
        <f t="shared" si="79"/>
        <v>复隔中</v>
      </c>
      <c r="BU169" s="22" t="str">
        <f t="shared" si="80"/>
        <v/>
      </c>
      <c r="BV169" s="22" t="str">
        <f t="shared" si="88"/>
        <v/>
      </c>
      <c r="BW169" s="22" t="str">
        <f t="array" ref="BW169">_xlfn.TEXTJOIN("",TRUE,IF(ISERROR(FIND(ROW($1:$10)-1,BU169&amp;BV169)),ROW($1:$10)-1,""))</f>
        <v>0123456789</v>
      </c>
      <c r="BX169" s="20" t="str">
        <f t="shared" si="81"/>
        <v>中中中</v>
      </c>
      <c r="BY169" s="23" t="str">
        <f t="shared" si="75"/>
        <v>68</v>
      </c>
      <c r="BZ169" s="24" t="str">
        <f t="array" ref="BZ169">_xlfn.TEXTJOIN("",TRUE,IF(ISNUMBER(FIND(MID(BY168&amp;Q168,ROW($1:$4),1),BY169&amp;Q169)),MID(BY168&amp;Q168,ROW($1:$4),1),""))</f>
        <v/>
      </c>
      <c r="CA169" s="25" t="str">
        <f t="array" ref="CA169">_xlfn.TEXTJOIN("",TRUE,IF(ISERROR(FIND(ROW($1:$10)-1,BY169&amp;BZ169)),ROW($1:$10)-1,""))</f>
        <v>01234579</v>
      </c>
      <c r="CB169" s="26" t="str">
        <f t="shared" si="82"/>
        <v>邻孤孤</v>
      </c>
      <c r="CC169" s="27" t="str">
        <f t="shared" si="83"/>
        <v>13</v>
      </c>
      <c r="CD169" s="27" t="str">
        <f t="array" ref="CD169">_xlfn.TEXTJOIN("",TRUE,IF(ISNUMBER(FIND(MID(CC168&amp;R168,ROW($1:$4),1),CC169&amp;R169)),MID(CC168&amp;R168,ROW($1:$4),1),""))</f>
        <v>3</v>
      </c>
      <c r="CE169" s="27" t="str">
        <f t="array" ref="CE169">_xlfn.TEXTJOIN("",TRUE,IF(ISERROR(FIND(ROW($1:$10)-1,CC169&amp;CD169)),ROW($1:$10)-1,""))</f>
        <v>02456789</v>
      </c>
      <c r="CF169" s="17" t="str">
        <f t="shared" si="84"/>
        <v>邻传孤</v>
      </c>
      <c r="CG169" s="22" t="str">
        <f t="shared" si="85"/>
        <v>46</v>
      </c>
      <c r="CH169" s="22" t="str">
        <f t="array" ref="CH169">_xlfn.TEXTJOIN("",TRUE,IF(ISNUMBER(FIND(MID(CG168&amp;S168,ROW($1:$4),1),CG169&amp;S169)),MID(CG168&amp;S168,ROW($1:$4),1),""))</f>
        <v>56</v>
      </c>
      <c r="CI169" s="22" t="str">
        <f t="array" ref="CI169">_xlfn.TEXTJOIN("",TRUE,IF(ISERROR(FIND(ROW($1:$10)-1,CG169&amp;CH169)),ROW($1:$10)-1,""))</f>
        <v>0123789</v>
      </c>
      <c r="CJ169" s="28" t="str">
        <f t="shared" si="86"/>
        <v>邻传孤</v>
      </c>
    </row>
    <row r="170" spans="1:88">
      <c r="A170" s="32">
        <v>2024297</v>
      </c>
      <c r="B170" s="8" t="s">
        <v>172</v>
      </c>
      <c r="C170" s="49">
        <f t="shared" si="90"/>
        <v>12</v>
      </c>
      <c r="D170" s="50">
        <f t="shared" si="91"/>
        <v>2</v>
      </c>
      <c r="E170" s="51">
        <f t="shared" si="72"/>
        <v>4</v>
      </c>
      <c r="F170" s="52">
        <f>MAX(MID(B170,{1,2,3},1)*1)-MIN(MID(B170,{1,2,3},1)*1)</f>
        <v>5</v>
      </c>
      <c r="G170" s="104">
        <v>0</v>
      </c>
      <c r="H170" s="104">
        <v>1</v>
      </c>
      <c r="I170" s="104">
        <v>2</v>
      </c>
      <c r="J170" s="104">
        <v>3</v>
      </c>
      <c r="K170" s="104">
        <v>4</v>
      </c>
      <c r="L170" s="104">
        <v>5</v>
      </c>
      <c r="M170" s="104">
        <v>6</v>
      </c>
      <c r="N170" s="104">
        <v>7</v>
      </c>
      <c r="O170" s="104">
        <v>8</v>
      </c>
      <c r="P170" s="104">
        <v>9</v>
      </c>
      <c r="Q170" s="53">
        <f t="shared" si="92"/>
        <v>4</v>
      </c>
      <c r="R170" s="53">
        <f t="shared" si="93"/>
        <v>1</v>
      </c>
      <c r="S170" s="53">
        <f t="shared" si="94"/>
        <v>5</v>
      </c>
      <c r="T170" s="101">
        <f t="shared" si="73"/>
        <v>10</v>
      </c>
      <c r="U170" s="15" t="str">
        <f>_xlfn.TEXTJOIN(", ",TRUE,ABS(MID(B170,{1,1,2},1)-MID(B170,{2,3,3},1)))</f>
        <v>4, 1, 5</v>
      </c>
      <c r="V170" s="54">
        <v>0</v>
      </c>
      <c r="W170" s="54">
        <v>1</v>
      </c>
      <c r="X170" s="54">
        <v>2</v>
      </c>
      <c r="Y170" s="54">
        <v>3</v>
      </c>
      <c r="Z170" s="54">
        <v>4</v>
      </c>
      <c r="AA170" s="54">
        <v>5</v>
      </c>
      <c r="AB170" s="54">
        <v>6</v>
      </c>
      <c r="AC170" s="54">
        <v>7</v>
      </c>
      <c r="AD170" s="54">
        <v>8</v>
      </c>
      <c r="AE170" s="54">
        <v>9</v>
      </c>
      <c r="AF170" s="55">
        <v>0</v>
      </c>
      <c r="AG170" s="55">
        <v>1</v>
      </c>
      <c r="AH170" s="55">
        <v>2</v>
      </c>
      <c r="AI170" s="55">
        <v>3</v>
      </c>
      <c r="AJ170" s="55">
        <v>4</v>
      </c>
      <c r="AK170" s="55">
        <v>5</v>
      </c>
      <c r="AL170" s="55">
        <v>6</v>
      </c>
      <c r="AM170" s="55">
        <v>7</v>
      </c>
      <c r="AN170" s="55">
        <v>8</v>
      </c>
      <c r="AO170" s="55">
        <v>9</v>
      </c>
      <c r="AP170" s="105">
        <v>0</v>
      </c>
      <c r="AQ170" s="105">
        <v>1</v>
      </c>
      <c r="AR170" s="105">
        <v>2</v>
      </c>
      <c r="AS170" s="105">
        <v>3</v>
      </c>
      <c r="AT170" s="105">
        <v>4</v>
      </c>
      <c r="AU170" s="105">
        <v>5</v>
      </c>
      <c r="AV170" s="105">
        <v>6</v>
      </c>
      <c r="AW170" s="105">
        <v>7</v>
      </c>
      <c r="AX170" s="105">
        <v>8</v>
      </c>
      <c r="AY170" s="105">
        <v>9</v>
      </c>
      <c r="AZ170" s="56">
        <v>0</v>
      </c>
      <c r="BA170" s="56">
        <v>1</v>
      </c>
      <c r="BB170" s="56">
        <v>2</v>
      </c>
      <c r="BC170" s="56">
        <v>3</v>
      </c>
      <c r="BD170" s="56">
        <v>4</v>
      </c>
      <c r="BE170" s="56">
        <v>5</v>
      </c>
      <c r="BF170" s="56">
        <v>6</v>
      </c>
      <c r="BG170" s="56">
        <v>7</v>
      </c>
      <c r="BH170" s="56">
        <v>8</v>
      </c>
      <c r="BI170" s="56">
        <v>9</v>
      </c>
      <c r="BJ170" s="57" t="str">
        <f t="shared" si="74"/>
        <v>标准型</v>
      </c>
      <c r="BK170" s="13">
        <f t="shared" si="70"/>
        <v>1</v>
      </c>
      <c r="BL170" s="13">
        <f t="shared" si="71"/>
        <v>5</v>
      </c>
      <c r="BM170" s="18" t="str">
        <f t="shared" si="76"/>
        <v/>
      </c>
      <c r="BN170" s="19">
        <f t="shared" si="77"/>
        <v>4</v>
      </c>
      <c r="BO170" s="19" t="str">
        <f t="array" ref="BO170">_xlfn.TEXTJOIN("",TRUE,IF(ISERROR(FIND(ROW($1:$10)-1,BM170&amp;BN170)),ROW($1:$10)-1,""))</f>
        <v>012356789</v>
      </c>
      <c r="BP170" s="20" t="str">
        <f t="shared" si="78"/>
        <v>中隔中</v>
      </c>
      <c r="BQ170" s="21" t="str">
        <f t="shared" si="89"/>
        <v/>
      </c>
      <c r="BR170" s="21" t="str">
        <f t="shared" si="87"/>
        <v/>
      </c>
      <c r="BS170" s="21" t="str">
        <f t="array" ref="BS170">_xlfn.TEXTJOIN("",TRUE,IF(ISERROR(FIND(ROW($1:$10)-1,BQ170&amp;BR170)),ROW($1:$10)-1,""))</f>
        <v>0123456789</v>
      </c>
      <c r="BT170" s="20" t="str">
        <f t="shared" si="79"/>
        <v>中中中</v>
      </c>
      <c r="BU170" s="22">
        <f t="shared" si="80"/>
        <v>5</v>
      </c>
      <c r="BV170" s="22" t="str">
        <f t="shared" si="88"/>
        <v/>
      </c>
      <c r="BW170" s="22" t="str">
        <f t="array" ref="BW170">_xlfn.TEXTJOIN("",TRUE,IF(ISERROR(FIND(ROW($1:$10)-1,BU170&amp;BV170)),ROW($1:$10)-1,""))</f>
        <v>012346789</v>
      </c>
      <c r="BX170" s="20" t="str">
        <f t="shared" si="81"/>
        <v>复中中</v>
      </c>
      <c r="BY170" s="23" t="str">
        <f t="shared" si="75"/>
        <v>35</v>
      </c>
      <c r="BZ170" s="24" t="str">
        <f t="array" ref="BZ170">_xlfn.TEXTJOIN("",TRUE,IF(ISNUMBER(FIND(MID(BY169&amp;Q169,ROW($1:$4),1),BY170&amp;Q170)),MID(BY169&amp;Q169,ROW($1:$4),1),""))</f>
        <v/>
      </c>
      <c r="CA170" s="25" t="str">
        <f t="array" ref="CA170">_xlfn.TEXTJOIN("",TRUE,IF(ISERROR(FIND(ROW($1:$10)-1,BY170&amp;BZ170)),ROW($1:$10)-1,""))</f>
        <v>01246789</v>
      </c>
      <c r="CB170" s="26" t="str">
        <f t="shared" si="82"/>
        <v>邻孤孤</v>
      </c>
      <c r="CC170" s="27" t="str">
        <f t="shared" si="83"/>
        <v>02</v>
      </c>
      <c r="CD170" s="27" t="str">
        <f t="array" ref="CD170">_xlfn.TEXTJOIN("",TRUE,IF(ISNUMBER(FIND(MID(CC169&amp;R169,ROW($1:$4),1),CC170&amp;R170)),MID(CC169&amp;R169,ROW($1:$4),1),""))</f>
        <v>12</v>
      </c>
      <c r="CE170" s="27" t="str">
        <f t="array" ref="CE170">_xlfn.TEXTJOIN("",TRUE,IF(ISERROR(FIND(ROW($1:$10)-1,CC170&amp;CD170)),ROW($1:$10)-1,""))</f>
        <v>3456789</v>
      </c>
      <c r="CF170" s="17" t="str">
        <f t="shared" si="84"/>
        <v>邻传孤</v>
      </c>
      <c r="CG170" s="22" t="str">
        <f t="shared" si="85"/>
        <v>46</v>
      </c>
      <c r="CH170" s="22" t="str">
        <f t="array" ref="CH170">_xlfn.TEXTJOIN("",TRUE,IF(ISNUMBER(FIND(MID(CG169&amp;S169,ROW($1:$4),1),CG170&amp;S170)),MID(CG169&amp;S169,ROW($1:$4),1),""))</f>
        <v>465</v>
      </c>
      <c r="CI170" s="22" t="str">
        <f t="array" ref="CI170">_xlfn.TEXTJOIN("",TRUE,IF(ISERROR(FIND(ROW($1:$10)-1,CG170&amp;CH170)),ROW($1:$10)-1,""))</f>
        <v>0123789</v>
      </c>
      <c r="CJ170" s="28" t="str">
        <f t="shared" si="86"/>
        <v>邻传孤</v>
      </c>
    </row>
    <row r="171" spans="1:88">
      <c r="A171" s="32">
        <v>2024298</v>
      </c>
      <c r="B171" s="8" t="s">
        <v>173</v>
      </c>
      <c r="C171" s="49">
        <f t="shared" ref="C171:C196" si="95">LEFT(B171,1)+MID(B171,2,1)+RIGHT(B171,1)</f>
        <v>10</v>
      </c>
      <c r="D171" s="50">
        <f t="shared" ref="D171:D196" si="96">MOD(LEFT(B171,1)+MID(B171,2,1)+RIGHT(B171,1),10)</f>
        <v>0</v>
      </c>
      <c r="E171" s="51">
        <f t="shared" si="72"/>
        <v>3.3333333333333299</v>
      </c>
      <c r="F171" s="52">
        <f>MAX(MID(B171,{1,2,3},1)*1)-MIN(MID(B171,{1,2,3},1)*1)</f>
        <v>5</v>
      </c>
      <c r="G171" s="104">
        <v>0</v>
      </c>
      <c r="H171" s="104">
        <v>1</v>
      </c>
      <c r="I171" s="104">
        <v>2</v>
      </c>
      <c r="J171" s="104">
        <v>3</v>
      </c>
      <c r="K171" s="104">
        <v>4</v>
      </c>
      <c r="L171" s="104">
        <v>5</v>
      </c>
      <c r="M171" s="104">
        <v>6</v>
      </c>
      <c r="N171" s="104">
        <v>7</v>
      </c>
      <c r="O171" s="104">
        <v>8</v>
      </c>
      <c r="P171" s="104">
        <v>9</v>
      </c>
      <c r="Q171" s="53">
        <f t="shared" ref="Q171:Q196" si="97">ABS(LEFT(B171,1)-MID(B171,2,1))</f>
        <v>5</v>
      </c>
      <c r="R171" s="53">
        <f t="shared" ref="R171:R196" si="98">ABS(LEFT(B171,1)-RIGHT(B171,1))</f>
        <v>5</v>
      </c>
      <c r="S171" s="53">
        <f t="shared" ref="S171:S196" si="99">ABS(MID(B171,2,1)-RIGHT(B171,1))</f>
        <v>0</v>
      </c>
      <c r="T171" s="101">
        <f t="shared" si="73"/>
        <v>10</v>
      </c>
      <c r="U171" s="15" t="str">
        <f>_xlfn.TEXTJOIN(", ",TRUE,ABS(MID(B171,{1,1,2},1)-MID(B171,{2,3,3},1)))</f>
        <v>5, 5, 0</v>
      </c>
      <c r="V171" s="54">
        <v>0</v>
      </c>
      <c r="W171" s="54">
        <v>1</v>
      </c>
      <c r="X171" s="54">
        <v>2</v>
      </c>
      <c r="Y171" s="54">
        <v>3</v>
      </c>
      <c r="Z171" s="54">
        <v>4</v>
      </c>
      <c r="AA171" s="54">
        <v>5</v>
      </c>
      <c r="AB171" s="54">
        <v>6</v>
      </c>
      <c r="AC171" s="54">
        <v>7</v>
      </c>
      <c r="AD171" s="54">
        <v>8</v>
      </c>
      <c r="AE171" s="54">
        <v>9</v>
      </c>
      <c r="AF171" s="55">
        <v>0</v>
      </c>
      <c r="AG171" s="55">
        <v>1</v>
      </c>
      <c r="AH171" s="55">
        <v>2</v>
      </c>
      <c r="AI171" s="55">
        <v>3</v>
      </c>
      <c r="AJ171" s="55">
        <v>4</v>
      </c>
      <c r="AK171" s="55">
        <v>5</v>
      </c>
      <c r="AL171" s="55">
        <v>6</v>
      </c>
      <c r="AM171" s="55">
        <v>7</v>
      </c>
      <c r="AN171" s="55">
        <v>8</v>
      </c>
      <c r="AO171" s="55">
        <v>9</v>
      </c>
      <c r="AP171" s="105">
        <v>0</v>
      </c>
      <c r="AQ171" s="105">
        <v>1</v>
      </c>
      <c r="AR171" s="105">
        <v>2</v>
      </c>
      <c r="AS171" s="105">
        <v>3</v>
      </c>
      <c r="AT171" s="105">
        <v>4</v>
      </c>
      <c r="AU171" s="105">
        <v>5</v>
      </c>
      <c r="AV171" s="105">
        <v>6</v>
      </c>
      <c r="AW171" s="105">
        <v>7</v>
      </c>
      <c r="AX171" s="105">
        <v>8</v>
      </c>
      <c r="AY171" s="105">
        <v>9</v>
      </c>
      <c r="AZ171" s="56">
        <v>0</v>
      </c>
      <c r="BA171" s="56">
        <v>1</v>
      </c>
      <c r="BB171" s="56">
        <v>2</v>
      </c>
      <c r="BC171" s="56">
        <v>3</v>
      </c>
      <c r="BD171" s="56">
        <v>4</v>
      </c>
      <c r="BE171" s="56">
        <v>5</v>
      </c>
      <c r="BF171" s="56">
        <v>6</v>
      </c>
      <c r="BG171" s="56">
        <v>7</v>
      </c>
      <c r="BH171" s="56">
        <v>8</v>
      </c>
      <c r="BI171" s="56">
        <v>9</v>
      </c>
      <c r="BJ171" s="57" t="str">
        <f t="shared" si="74"/>
        <v>对子</v>
      </c>
      <c r="BK171" s="13">
        <f t="shared" si="70"/>
        <v>0</v>
      </c>
      <c r="BL171" s="13">
        <f t="shared" si="71"/>
        <v>5</v>
      </c>
      <c r="BM171" s="18">
        <f t="shared" si="76"/>
        <v>5</v>
      </c>
      <c r="BN171" s="19">
        <f t="shared" si="77"/>
        <v>5</v>
      </c>
      <c r="BO171" s="19" t="str">
        <f t="array" ref="BO171">_xlfn.TEXTJOIN("",TRUE,IF(ISERROR(FIND(ROW($1:$10)-1,BM171&amp;BN171)),ROW($1:$10)-1,""))</f>
        <v>012346789</v>
      </c>
      <c r="BP171" s="20" t="str">
        <f t="shared" si="78"/>
        <v>复隔中</v>
      </c>
      <c r="BQ171" s="21">
        <f t="shared" si="89"/>
        <v>5</v>
      </c>
      <c r="BR171" s="21">
        <f t="shared" si="87"/>
        <v>5</v>
      </c>
      <c r="BS171" s="21" t="str">
        <f t="array" ref="BS171">_xlfn.TEXTJOIN("",TRUE,IF(ISERROR(FIND(ROW($1:$10)-1,BQ171&amp;BR171)),ROW($1:$10)-1,""))</f>
        <v>012346789</v>
      </c>
      <c r="BT171" s="20" t="str">
        <f t="shared" si="79"/>
        <v>复隔中</v>
      </c>
      <c r="BU171" s="22" t="str">
        <f t="shared" si="80"/>
        <v/>
      </c>
      <c r="BV171" s="22" t="str">
        <f t="shared" si="88"/>
        <v/>
      </c>
      <c r="BW171" s="22" t="str">
        <f t="array" ref="BW171">_xlfn.TEXTJOIN("",TRUE,IF(ISERROR(FIND(ROW($1:$10)-1,BU171&amp;BV171)),ROW($1:$10)-1,""))</f>
        <v>0123456789</v>
      </c>
      <c r="BX171" s="20" t="str">
        <f t="shared" si="81"/>
        <v>中中中</v>
      </c>
      <c r="BY171" s="23" t="str">
        <f t="shared" si="75"/>
        <v>46</v>
      </c>
      <c r="BZ171" s="24" t="str">
        <f t="array" ref="BZ171">_xlfn.TEXTJOIN("",TRUE,IF(ISNUMBER(FIND(MID(BY170&amp;Q170,ROW($1:$4),1),BY171&amp;Q171)),MID(BY170&amp;Q170,ROW($1:$4),1),""))</f>
        <v>54</v>
      </c>
      <c r="CA171" s="25" t="str">
        <f t="array" ref="CA171">_xlfn.TEXTJOIN("",TRUE,IF(ISERROR(FIND(ROW($1:$10)-1,BY171&amp;BZ171)),ROW($1:$10)-1,""))</f>
        <v>0123789</v>
      </c>
      <c r="CB171" s="26" t="str">
        <f t="shared" si="82"/>
        <v>邻传孤</v>
      </c>
      <c r="CC171" s="27" t="str">
        <f t="shared" si="83"/>
        <v>46</v>
      </c>
      <c r="CD171" s="27" t="str">
        <f t="array" ref="CD171">_xlfn.TEXTJOIN("",TRUE,IF(ISNUMBER(FIND(MID(CC170&amp;R170,ROW($1:$4),1),CC171&amp;R171)),MID(CC170&amp;R170,ROW($1:$4),1),""))</f>
        <v/>
      </c>
      <c r="CE171" s="27" t="str">
        <f t="array" ref="CE171">_xlfn.TEXTJOIN("",TRUE,IF(ISERROR(FIND(ROW($1:$10)-1,CC171&amp;CD171)),ROW($1:$10)-1,""))</f>
        <v>01235789</v>
      </c>
      <c r="CF171" s="17" t="str">
        <f t="shared" si="84"/>
        <v>邻孤孤</v>
      </c>
      <c r="CG171" s="22" t="str">
        <f t="shared" si="85"/>
        <v>91</v>
      </c>
      <c r="CH171" s="22" t="str">
        <f t="array" ref="CH171">_xlfn.TEXTJOIN("",TRUE,IF(ISNUMBER(FIND(MID(CG170&amp;S170,ROW($1:$4),1),CG171&amp;S171)),MID(CG170&amp;S170,ROW($1:$4),1),""))</f>
        <v/>
      </c>
      <c r="CI171" s="22" t="str">
        <f t="array" ref="CI171">_xlfn.TEXTJOIN("",TRUE,IF(ISERROR(FIND(ROW($1:$10)-1,CG171&amp;CH171)),ROW($1:$10)-1,""))</f>
        <v>02345678</v>
      </c>
      <c r="CJ171" s="28" t="str">
        <f t="shared" si="86"/>
        <v>邻孤孤</v>
      </c>
    </row>
    <row r="172" spans="1:88">
      <c r="A172" s="32">
        <v>2024299</v>
      </c>
      <c r="B172" s="8" t="s">
        <v>174</v>
      </c>
      <c r="C172" s="49">
        <f t="shared" si="95"/>
        <v>22</v>
      </c>
      <c r="D172" s="50">
        <f t="shared" si="96"/>
        <v>2</v>
      </c>
      <c r="E172" s="51">
        <f t="shared" si="72"/>
        <v>7.3333333333333304</v>
      </c>
      <c r="F172" s="52">
        <f>MAX(MID(B172,{1,2,3},1)*1)-MIN(MID(B172,{1,2,3},1)*1)</f>
        <v>5</v>
      </c>
      <c r="G172" s="104">
        <v>0</v>
      </c>
      <c r="H172" s="104">
        <v>1</v>
      </c>
      <c r="I172" s="104">
        <v>2</v>
      </c>
      <c r="J172" s="104">
        <v>3</v>
      </c>
      <c r="K172" s="104">
        <v>4</v>
      </c>
      <c r="L172" s="104">
        <v>5</v>
      </c>
      <c r="M172" s="104">
        <v>6</v>
      </c>
      <c r="N172" s="104">
        <v>7</v>
      </c>
      <c r="O172" s="104">
        <v>8</v>
      </c>
      <c r="P172" s="104">
        <v>9</v>
      </c>
      <c r="Q172" s="53">
        <f t="shared" si="97"/>
        <v>5</v>
      </c>
      <c r="R172" s="53">
        <f t="shared" si="98"/>
        <v>0</v>
      </c>
      <c r="S172" s="53">
        <f t="shared" si="99"/>
        <v>5</v>
      </c>
      <c r="T172" s="101">
        <f t="shared" si="73"/>
        <v>10</v>
      </c>
      <c r="U172" s="15" t="str">
        <f>_xlfn.TEXTJOIN(", ",TRUE,ABS(MID(B172,{1,1,2},1)-MID(B172,{2,3,3},1)))</f>
        <v>5, 0, 5</v>
      </c>
      <c r="V172" s="54">
        <v>0</v>
      </c>
      <c r="W172" s="54">
        <v>1</v>
      </c>
      <c r="X172" s="54">
        <v>2</v>
      </c>
      <c r="Y172" s="54">
        <v>3</v>
      </c>
      <c r="Z172" s="54">
        <v>4</v>
      </c>
      <c r="AA172" s="54">
        <v>5</v>
      </c>
      <c r="AB172" s="54">
        <v>6</v>
      </c>
      <c r="AC172" s="54">
        <v>7</v>
      </c>
      <c r="AD172" s="54">
        <v>8</v>
      </c>
      <c r="AE172" s="54">
        <v>9</v>
      </c>
      <c r="AF172" s="55">
        <v>0</v>
      </c>
      <c r="AG172" s="55">
        <v>1</v>
      </c>
      <c r="AH172" s="55">
        <v>2</v>
      </c>
      <c r="AI172" s="55">
        <v>3</v>
      </c>
      <c r="AJ172" s="55">
        <v>4</v>
      </c>
      <c r="AK172" s="55">
        <v>5</v>
      </c>
      <c r="AL172" s="55">
        <v>6</v>
      </c>
      <c r="AM172" s="55">
        <v>7</v>
      </c>
      <c r="AN172" s="55">
        <v>8</v>
      </c>
      <c r="AO172" s="55">
        <v>9</v>
      </c>
      <c r="AP172" s="105">
        <v>0</v>
      </c>
      <c r="AQ172" s="105">
        <v>1</v>
      </c>
      <c r="AR172" s="105">
        <v>2</v>
      </c>
      <c r="AS172" s="105">
        <v>3</v>
      </c>
      <c r="AT172" s="105">
        <v>4</v>
      </c>
      <c r="AU172" s="105">
        <v>5</v>
      </c>
      <c r="AV172" s="105">
        <v>6</v>
      </c>
      <c r="AW172" s="105">
        <v>7</v>
      </c>
      <c r="AX172" s="105">
        <v>8</v>
      </c>
      <c r="AY172" s="105">
        <v>9</v>
      </c>
      <c r="AZ172" s="56">
        <v>0</v>
      </c>
      <c r="BA172" s="56">
        <v>1</v>
      </c>
      <c r="BB172" s="56">
        <v>2</v>
      </c>
      <c r="BC172" s="56">
        <v>3</v>
      </c>
      <c r="BD172" s="56">
        <v>4</v>
      </c>
      <c r="BE172" s="56">
        <v>5</v>
      </c>
      <c r="BF172" s="56">
        <v>6</v>
      </c>
      <c r="BG172" s="56">
        <v>7</v>
      </c>
      <c r="BH172" s="56">
        <v>8</v>
      </c>
      <c r="BI172" s="56">
        <v>9</v>
      </c>
      <c r="BJ172" s="57" t="str">
        <f t="shared" si="74"/>
        <v>对子</v>
      </c>
      <c r="BK172" s="13">
        <f t="shared" si="70"/>
        <v>0</v>
      </c>
      <c r="BL172" s="13">
        <f t="shared" si="71"/>
        <v>5</v>
      </c>
      <c r="BM172" s="18">
        <f t="shared" si="76"/>
        <v>5</v>
      </c>
      <c r="BN172" s="19">
        <f t="shared" si="77"/>
        <v>5</v>
      </c>
      <c r="BO172" s="19" t="str">
        <f t="array" ref="BO172">_xlfn.TEXTJOIN("",TRUE,IF(ISERROR(FIND(ROW($1:$10)-1,BM172&amp;BN172)),ROW($1:$10)-1,""))</f>
        <v>012346789</v>
      </c>
      <c r="BP172" s="20" t="str">
        <f t="shared" si="78"/>
        <v>复隔中</v>
      </c>
      <c r="BQ172" s="21">
        <f t="shared" si="89"/>
        <v>0</v>
      </c>
      <c r="BR172" s="21" t="str">
        <f t="shared" si="87"/>
        <v/>
      </c>
      <c r="BS172" s="21" t="str">
        <f t="array" ref="BS172">_xlfn.TEXTJOIN("",TRUE,IF(ISERROR(FIND(ROW($1:$10)-1,BQ172&amp;BR172)),ROW($1:$10)-1,""))</f>
        <v>123456789</v>
      </c>
      <c r="BT172" s="20" t="str">
        <f t="shared" si="79"/>
        <v>复中中</v>
      </c>
      <c r="BU172" s="22">
        <f t="shared" si="80"/>
        <v>5</v>
      </c>
      <c r="BV172" s="22">
        <f t="shared" si="88"/>
        <v>5</v>
      </c>
      <c r="BW172" s="22" t="str">
        <f t="array" ref="BW172">_xlfn.TEXTJOIN("",TRUE,IF(ISERROR(FIND(ROW($1:$10)-1,BU172&amp;BV172)),ROW($1:$10)-1,""))</f>
        <v>012346789</v>
      </c>
      <c r="BX172" s="20" t="str">
        <f t="shared" si="81"/>
        <v>复隔中</v>
      </c>
      <c r="BY172" s="23" t="str">
        <f t="shared" si="75"/>
        <v>46</v>
      </c>
      <c r="BZ172" s="24" t="str">
        <f t="array" ref="BZ172">_xlfn.TEXTJOIN("",TRUE,IF(ISNUMBER(FIND(MID(BY171&amp;Q171,ROW($1:$4),1),BY172&amp;Q172)),MID(BY171&amp;Q171,ROW($1:$4),1),""))</f>
        <v>465</v>
      </c>
      <c r="CA172" s="25" t="str">
        <f t="array" ref="CA172">_xlfn.TEXTJOIN("",TRUE,IF(ISERROR(FIND(ROW($1:$10)-1,BY172&amp;BZ172)),ROW($1:$10)-1,""))</f>
        <v>0123789</v>
      </c>
      <c r="CB172" s="26" t="str">
        <f t="shared" si="82"/>
        <v>邻传孤</v>
      </c>
      <c r="CC172" s="27" t="str">
        <f t="shared" si="83"/>
        <v>91</v>
      </c>
      <c r="CD172" s="27" t="str">
        <f t="array" ref="CD172">_xlfn.TEXTJOIN("",TRUE,IF(ISNUMBER(FIND(MID(CC171&amp;R171,ROW($1:$4),1),CC172&amp;R172)),MID(CC171&amp;R171,ROW($1:$4),1),""))</f>
        <v/>
      </c>
      <c r="CE172" s="27" t="str">
        <f t="array" ref="CE172">_xlfn.TEXTJOIN("",TRUE,IF(ISERROR(FIND(ROW($1:$10)-1,CC172&amp;CD172)),ROW($1:$10)-1,""))</f>
        <v>02345678</v>
      </c>
      <c r="CF172" s="17" t="str">
        <f t="shared" si="84"/>
        <v>邻孤孤</v>
      </c>
      <c r="CG172" s="22" t="str">
        <f t="shared" si="85"/>
        <v>46</v>
      </c>
      <c r="CH172" s="22" t="str">
        <f t="array" ref="CH172">_xlfn.TEXTJOIN("",TRUE,IF(ISNUMBER(FIND(MID(CG171&amp;S171,ROW($1:$4),1),CG172&amp;S172)),MID(CG171&amp;S171,ROW($1:$4),1),""))</f>
        <v/>
      </c>
      <c r="CI172" s="22" t="str">
        <f t="array" ref="CI172">_xlfn.TEXTJOIN("",TRUE,IF(ISERROR(FIND(ROW($1:$10)-1,CG172&amp;CH172)),ROW($1:$10)-1,""))</f>
        <v>01235789</v>
      </c>
      <c r="CJ172" s="28" t="str">
        <f t="shared" si="86"/>
        <v>邻孤孤</v>
      </c>
    </row>
    <row r="173" spans="1:88">
      <c r="A173" s="32">
        <v>2024300</v>
      </c>
      <c r="B173" s="8" t="s">
        <v>175</v>
      </c>
      <c r="C173" s="49">
        <f t="shared" si="95"/>
        <v>18</v>
      </c>
      <c r="D173" s="50">
        <f t="shared" si="96"/>
        <v>8</v>
      </c>
      <c r="E173" s="51">
        <f t="shared" si="72"/>
        <v>6</v>
      </c>
      <c r="F173" s="52">
        <f>MAX(MID(B173,{1,2,3},1)*1)-MIN(MID(B173,{1,2,3},1)*1)</f>
        <v>0</v>
      </c>
      <c r="G173" s="104">
        <v>0</v>
      </c>
      <c r="H173" s="104">
        <v>1</v>
      </c>
      <c r="I173" s="104">
        <v>2</v>
      </c>
      <c r="J173" s="104">
        <v>3</v>
      </c>
      <c r="K173" s="104">
        <v>4</v>
      </c>
      <c r="L173" s="104">
        <v>5</v>
      </c>
      <c r="M173" s="104">
        <v>6</v>
      </c>
      <c r="N173" s="104">
        <v>7</v>
      </c>
      <c r="O173" s="104">
        <v>8</v>
      </c>
      <c r="P173" s="104">
        <v>9</v>
      </c>
      <c r="Q173" s="53">
        <f t="shared" si="97"/>
        <v>0</v>
      </c>
      <c r="R173" s="53">
        <f t="shared" si="98"/>
        <v>0</v>
      </c>
      <c r="S173" s="53">
        <f t="shared" si="99"/>
        <v>0</v>
      </c>
      <c r="T173" s="101">
        <f t="shared" si="73"/>
        <v>0</v>
      </c>
      <c r="U173" s="15" t="str">
        <f>_xlfn.TEXTJOIN(", ",TRUE,ABS(MID(B173,{1,1,2},1)-MID(B173,{2,3,3},1)))</f>
        <v>0, 0, 0</v>
      </c>
      <c r="V173" s="54">
        <v>0</v>
      </c>
      <c r="W173" s="54">
        <v>1</v>
      </c>
      <c r="X173" s="54">
        <v>2</v>
      </c>
      <c r="Y173" s="54">
        <v>3</v>
      </c>
      <c r="Z173" s="54">
        <v>4</v>
      </c>
      <c r="AA173" s="54">
        <v>5</v>
      </c>
      <c r="AB173" s="54">
        <v>6</v>
      </c>
      <c r="AC173" s="54">
        <v>7</v>
      </c>
      <c r="AD173" s="54">
        <v>8</v>
      </c>
      <c r="AE173" s="54">
        <v>9</v>
      </c>
      <c r="AF173" s="55">
        <v>0</v>
      </c>
      <c r="AG173" s="55">
        <v>1</v>
      </c>
      <c r="AH173" s="55">
        <v>2</v>
      </c>
      <c r="AI173" s="55">
        <v>3</v>
      </c>
      <c r="AJ173" s="55">
        <v>4</v>
      </c>
      <c r="AK173" s="55">
        <v>5</v>
      </c>
      <c r="AL173" s="55">
        <v>6</v>
      </c>
      <c r="AM173" s="55">
        <v>7</v>
      </c>
      <c r="AN173" s="55">
        <v>8</v>
      </c>
      <c r="AO173" s="55">
        <v>9</v>
      </c>
      <c r="AP173" s="105">
        <v>0</v>
      </c>
      <c r="AQ173" s="105">
        <v>1</v>
      </c>
      <c r="AR173" s="105">
        <v>2</v>
      </c>
      <c r="AS173" s="105">
        <v>3</v>
      </c>
      <c r="AT173" s="105">
        <v>4</v>
      </c>
      <c r="AU173" s="105">
        <v>5</v>
      </c>
      <c r="AV173" s="105">
        <v>6</v>
      </c>
      <c r="AW173" s="105">
        <v>7</v>
      </c>
      <c r="AX173" s="105">
        <v>8</v>
      </c>
      <c r="AY173" s="105">
        <v>9</v>
      </c>
      <c r="AZ173" s="56">
        <v>0</v>
      </c>
      <c r="BA173" s="56">
        <v>1</v>
      </c>
      <c r="BB173" s="56">
        <v>2</v>
      </c>
      <c r="BC173" s="56">
        <v>3</v>
      </c>
      <c r="BD173" s="56">
        <v>4</v>
      </c>
      <c r="BE173" s="56">
        <v>5</v>
      </c>
      <c r="BF173" s="56">
        <v>6</v>
      </c>
      <c r="BG173" s="56">
        <v>7</v>
      </c>
      <c r="BH173" s="56">
        <v>8</v>
      </c>
      <c r="BI173" s="56">
        <v>9</v>
      </c>
      <c r="BJ173" s="57" t="str">
        <f t="shared" si="74"/>
        <v>紧凑型</v>
      </c>
      <c r="BK173" s="13">
        <f t="shared" si="70"/>
        <v>0</v>
      </c>
      <c r="BL173" s="13">
        <f t="shared" si="71"/>
        <v>0</v>
      </c>
      <c r="BM173" s="18">
        <f t="shared" si="76"/>
        <v>0</v>
      </c>
      <c r="BN173" s="19">
        <f t="shared" si="77"/>
        <v>0</v>
      </c>
      <c r="BO173" s="19" t="str">
        <f t="array" ref="BO173">_xlfn.TEXTJOIN("",TRUE,IF(ISERROR(FIND(ROW($1:$10)-1,BM173&amp;BN173)),ROW($1:$10)-1,""))</f>
        <v>123456789</v>
      </c>
      <c r="BP173" s="20" t="str">
        <f t="shared" si="78"/>
        <v>复隔中</v>
      </c>
      <c r="BQ173" s="21">
        <f t="shared" si="89"/>
        <v>0</v>
      </c>
      <c r="BR173" s="21">
        <f t="shared" si="87"/>
        <v>0</v>
      </c>
      <c r="BS173" s="21" t="str">
        <f t="array" ref="BS173">_xlfn.TEXTJOIN("",TRUE,IF(ISERROR(FIND(ROW($1:$10)-1,BQ173&amp;BR173)),ROW($1:$10)-1,""))</f>
        <v>123456789</v>
      </c>
      <c r="BT173" s="20" t="str">
        <f t="shared" si="79"/>
        <v>复隔中</v>
      </c>
      <c r="BU173" s="22">
        <f t="shared" si="80"/>
        <v>0</v>
      </c>
      <c r="BV173" s="22">
        <f t="shared" si="88"/>
        <v>0</v>
      </c>
      <c r="BW173" s="22" t="str">
        <f t="array" ref="BW173">_xlfn.TEXTJOIN("",TRUE,IF(ISERROR(FIND(ROW($1:$10)-1,BU173&amp;BV173)),ROW($1:$10)-1,""))</f>
        <v>123456789</v>
      </c>
      <c r="BX173" s="20" t="str">
        <f t="shared" si="81"/>
        <v>复隔中</v>
      </c>
      <c r="BY173" s="23" t="str">
        <f t="shared" si="75"/>
        <v>91</v>
      </c>
      <c r="BZ173" s="24" t="str">
        <f t="array" ref="BZ173">_xlfn.TEXTJOIN("",TRUE,IF(ISNUMBER(FIND(MID(BY172&amp;Q172,ROW($1:$4),1),BY173&amp;Q173)),MID(BY172&amp;Q172,ROW($1:$4),1),""))</f>
        <v/>
      </c>
      <c r="CA173" s="25" t="str">
        <f t="array" ref="CA173">_xlfn.TEXTJOIN("",TRUE,IF(ISERROR(FIND(ROW($1:$10)-1,BY173&amp;BZ173)),ROW($1:$10)-1,""))</f>
        <v>02345678</v>
      </c>
      <c r="CB173" s="26" t="str">
        <f t="shared" si="82"/>
        <v>邻孤孤</v>
      </c>
      <c r="CC173" s="27" t="str">
        <f t="shared" si="83"/>
        <v>91</v>
      </c>
      <c r="CD173" s="27" t="str">
        <f t="array" ref="CD173">_xlfn.TEXTJOIN("",TRUE,IF(ISNUMBER(FIND(MID(CC172&amp;R172,ROW($1:$4),1),CC173&amp;R173)),MID(CC172&amp;R172,ROW($1:$4),1),""))</f>
        <v>910</v>
      </c>
      <c r="CE173" s="27" t="str">
        <f t="array" ref="CE173">_xlfn.TEXTJOIN("",TRUE,IF(ISERROR(FIND(ROW($1:$10)-1,CC173&amp;CD173)),ROW($1:$10)-1,""))</f>
        <v>2345678</v>
      </c>
      <c r="CF173" s="17" t="str">
        <f t="shared" si="84"/>
        <v>邻传孤</v>
      </c>
      <c r="CG173" s="22" t="str">
        <f t="shared" si="85"/>
        <v>91</v>
      </c>
      <c r="CH173" s="22" t="str">
        <f t="array" ref="CH173">_xlfn.TEXTJOIN("",TRUE,IF(ISNUMBER(FIND(MID(CG172&amp;S172,ROW($1:$4),1),CG173&amp;S173)),MID(CG172&amp;S172,ROW($1:$4),1),""))</f>
        <v/>
      </c>
      <c r="CI173" s="22" t="str">
        <f t="array" ref="CI173">_xlfn.TEXTJOIN("",TRUE,IF(ISERROR(FIND(ROW($1:$10)-1,CG173&amp;CH173)),ROW($1:$10)-1,""))</f>
        <v>02345678</v>
      </c>
      <c r="CJ173" s="28" t="str">
        <f t="shared" si="86"/>
        <v>邻孤孤</v>
      </c>
    </row>
    <row r="174" spans="1:88">
      <c r="A174" s="32">
        <v>2024301</v>
      </c>
      <c r="B174" s="8" t="s">
        <v>176</v>
      </c>
      <c r="C174" s="49">
        <f t="shared" si="95"/>
        <v>12</v>
      </c>
      <c r="D174" s="50">
        <f t="shared" si="96"/>
        <v>2</v>
      </c>
      <c r="E174" s="51">
        <f t="shared" si="72"/>
        <v>4</v>
      </c>
      <c r="F174" s="52">
        <f>MAX(MID(B174,{1,2,3},1)*1)-MIN(MID(B174,{1,2,3},1)*1)</f>
        <v>2</v>
      </c>
      <c r="G174" s="104">
        <v>0</v>
      </c>
      <c r="H174" s="104">
        <v>1</v>
      </c>
      <c r="I174" s="104">
        <v>2</v>
      </c>
      <c r="J174" s="104">
        <v>3</v>
      </c>
      <c r="K174" s="104">
        <v>4</v>
      </c>
      <c r="L174" s="104">
        <v>5</v>
      </c>
      <c r="M174" s="104">
        <v>6</v>
      </c>
      <c r="N174" s="104">
        <v>7</v>
      </c>
      <c r="O174" s="104">
        <v>8</v>
      </c>
      <c r="P174" s="104">
        <v>9</v>
      </c>
      <c r="Q174" s="53">
        <f t="shared" si="97"/>
        <v>1</v>
      </c>
      <c r="R174" s="53">
        <f t="shared" si="98"/>
        <v>1</v>
      </c>
      <c r="S174" s="53">
        <f t="shared" si="99"/>
        <v>2</v>
      </c>
      <c r="T174" s="101">
        <f t="shared" si="73"/>
        <v>4</v>
      </c>
      <c r="U174" s="15" t="str">
        <f>_xlfn.TEXTJOIN(", ",TRUE,ABS(MID(B174,{1,1,2},1)-MID(B174,{2,3,3},1)))</f>
        <v>1, 1, 2</v>
      </c>
      <c r="V174" s="54">
        <v>0</v>
      </c>
      <c r="W174" s="54">
        <v>1</v>
      </c>
      <c r="X174" s="54">
        <v>2</v>
      </c>
      <c r="Y174" s="54">
        <v>3</v>
      </c>
      <c r="Z174" s="54">
        <v>4</v>
      </c>
      <c r="AA174" s="54">
        <v>5</v>
      </c>
      <c r="AB174" s="54">
        <v>6</v>
      </c>
      <c r="AC174" s="54">
        <v>7</v>
      </c>
      <c r="AD174" s="54">
        <v>8</v>
      </c>
      <c r="AE174" s="54">
        <v>9</v>
      </c>
      <c r="AF174" s="55">
        <v>0</v>
      </c>
      <c r="AG174" s="55">
        <v>1</v>
      </c>
      <c r="AH174" s="55">
        <v>2</v>
      </c>
      <c r="AI174" s="55">
        <v>3</v>
      </c>
      <c r="AJ174" s="55">
        <v>4</v>
      </c>
      <c r="AK174" s="55">
        <v>5</v>
      </c>
      <c r="AL174" s="55">
        <v>6</v>
      </c>
      <c r="AM174" s="55">
        <v>7</v>
      </c>
      <c r="AN174" s="55">
        <v>8</v>
      </c>
      <c r="AO174" s="55">
        <v>9</v>
      </c>
      <c r="AP174" s="105">
        <v>0</v>
      </c>
      <c r="AQ174" s="105">
        <v>1</v>
      </c>
      <c r="AR174" s="105">
        <v>2</v>
      </c>
      <c r="AS174" s="105">
        <v>3</v>
      </c>
      <c r="AT174" s="105">
        <v>4</v>
      </c>
      <c r="AU174" s="105">
        <v>5</v>
      </c>
      <c r="AV174" s="105">
        <v>6</v>
      </c>
      <c r="AW174" s="105">
        <v>7</v>
      </c>
      <c r="AX174" s="105">
        <v>8</v>
      </c>
      <c r="AY174" s="105">
        <v>9</v>
      </c>
      <c r="AZ174" s="56">
        <v>0</v>
      </c>
      <c r="BA174" s="56">
        <v>1</v>
      </c>
      <c r="BB174" s="56">
        <v>2</v>
      </c>
      <c r="BC174" s="56">
        <v>3</v>
      </c>
      <c r="BD174" s="56">
        <v>4</v>
      </c>
      <c r="BE174" s="56">
        <v>5</v>
      </c>
      <c r="BF174" s="56">
        <v>6</v>
      </c>
      <c r="BG174" s="56">
        <v>7</v>
      </c>
      <c r="BH174" s="56">
        <v>8</v>
      </c>
      <c r="BI174" s="56">
        <v>9</v>
      </c>
      <c r="BJ174" s="57" t="str">
        <f t="shared" si="74"/>
        <v>紧凑型</v>
      </c>
      <c r="BK174" s="13">
        <f t="shared" si="70"/>
        <v>1</v>
      </c>
      <c r="BL174" s="13">
        <f t="shared" si="71"/>
        <v>2</v>
      </c>
      <c r="BM174" s="18" t="str">
        <f t="shared" si="76"/>
        <v/>
      </c>
      <c r="BN174" s="19" t="str">
        <f t="shared" si="77"/>
        <v/>
      </c>
      <c r="BO174" s="19" t="str">
        <f t="array" ref="BO174">_xlfn.TEXTJOIN("",TRUE,IF(ISERROR(FIND(ROW($1:$10)-1,BM174&amp;BN174)),ROW($1:$10)-1,""))</f>
        <v>0123456789</v>
      </c>
      <c r="BP174" s="20" t="str">
        <f t="shared" si="78"/>
        <v>中中中</v>
      </c>
      <c r="BQ174" s="21" t="str">
        <f t="shared" si="89"/>
        <v/>
      </c>
      <c r="BR174" s="21" t="str">
        <f t="shared" si="87"/>
        <v/>
      </c>
      <c r="BS174" s="21" t="str">
        <f t="array" ref="BS174">_xlfn.TEXTJOIN("",TRUE,IF(ISERROR(FIND(ROW($1:$10)-1,BQ174&amp;BR174)),ROW($1:$10)-1,""))</f>
        <v>0123456789</v>
      </c>
      <c r="BT174" s="20" t="str">
        <f t="shared" si="79"/>
        <v>中中中</v>
      </c>
      <c r="BU174" s="22" t="str">
        <f t="shared" si="80"/>
        <v/>
      </c>
      <c r="BV174" s="22" t="str">
        <f t="shared" si="88"/>
        <v/>
      </c>
      <c r="BW174" s="22" t="str">
        <f t="array" ref="BW174">_xlfn.TEXTJOIN("",TRUE,IF(ISERROR(FIND(ROW($1:$10)-1,BU174&amp;BV174)),ROW($1:$10)-1,""))</f>
        <v>0123456789</v>
      </c>
      <c r="BX174" s="20" t="str">
        <f t="shared" si="81"/>
        <v>中中中</v>
      </c>
      <c r="BY174" s="23" t="str">
        <f t="shared" si="75"/>
        <v>02</v>
      </c>
      <c r="BZ174" s="24" t="str">
        <f t="array" ref="BZ174">_xlfn.TEXTJOIN("",TRUE,IF(ISNUMBER(FIND(MID(BY173&amp;Q173,ROW($1:$4),1),BY174&amp;Q174)),MID(BY173&amp;Q173,ROW($1:$4),1),""))</f>
        <v>10</v>
      </c>
      <c r="CA174" s="25" t="str">
        <f t="array" ref="CA174">_xlfn.TEXTJOIN("",TRUE,IF(ISERROR(FIND(ROW($1:$10)-1,BY174&amp;BZ174)),ROW($1:$10)-1,""))</f>
        <v>3456789</v>
      </c>
      <c r="CB174" s="26" t="str">
        <f t="shared" si="82"/>
        <v>邻传孤</v>
      </c>
      <c r="CC174" s="27" t="str">
        <f t="shared" si="83"/>
        <v>02</v>
      </c>
      <c r="CD174" s="27" t="str">
        <f t="array" ref="CD174">_xlfn.TEXTJOIN("",TRUE,IF(ISNUMBER(FIND(MID(CC173&amp;R173,ROW($1:$4),1),CC174&amp;R174)),MID(CC173&amp;R173,ROW($1:$4),1),""))</f>
        <v>10</v>
      </c>
      <c r="CE174" s="27" t="str">
        <f t="array" ref="CE174">_xlfn.TEXTJOIN("",TRUE,IF(ISERROR(FIND(ROW($1:$10)-1,CC174&amp;CD174)),ROW($1:$10)-1,""))</f>
        <v>3456789</v>
      </c>
      <c r="CF174" s="17" t="str">
        <f t="shared" si="84"/>
        <v>邻传孤</v>
      </c>
      <c r="CG174" s="22" t="str">
        <f t="shared" si="85"/>
        <v>13</v>
      </c>
      <c r="CH174" s="22" t="str">
        <f t="array" ref="CH174">_xlfn.TEXTJOIN("",TRUE,IF(ISNUMBER(FIND(MID(CG173&amp;S173,ROW($1:$4),1),CG174&amp;S174)),MID(CG173&amp;S173,ROW($1:$4),1),""))</f>
        <v>1</v>
      </c>
      <c r="CI174" s="22" t="str">
        <f t="array" ref="CI174">_xlfn.TEXTJOIN("",TRUE,IF(ISERROR(FIND(ROW($1:$10)-1,CG174&amp;CH174)),ROW($1:$10)-1,""))</f>
        <v>02456789</v>
      </c>
      <c r="CJ174" s="28" t="str">
        <f t="shared" si="86"/>
        <v>邻传孤</v>
      </c>
    </row>
    <row r="175" spans="1:88">
      <c r="A175" s="32">
        <v>2024302</v>
      </c>
      <c r="B175" s="8" t="s">
        <v>177</v>
      </c>
      <c r="C175" s="49">
        <f t="shared" si="95"/>
        <v>12</v>
      </c>
      <c r="D175" s="50">
        <f t="shared" si="96"/>
        <v>2</v>
      </c>
      <c r="E175" s="51">
        <f t="shared" si="72"/>
        <v>4</v>
      </c>
      <c r="F175" s="52">
        <f>MAX(MID(B175,{1,2,3},1)*1)-MIN(MID(B175,{1,2,3},1)*1)</f>
        <v>5</v>
      </c>
      <c r="G175" s="104">
        <v>0</v>
      </c>
      <c r="H175" s="104">
        <v>1</v>
      </c>
      <c r="I175" s="104">
        <v>2</v>
      </c>
      <c r="J175" s="104">
        <v>3</v>
      </c>
      <c r="K175" s="104">
        <v>4</v>
      </c>
      <c r="L175" s="104">
        <v>5</v>
      </c>
      <c r="M175" s="104">
        <v>6</v>
      </c>
      <c r="N175" s="104">
        <v>7</v>
      </c>
      <c r="O175" s="104">
        <v>8</v>
      </c>
      <c r="P175" s="104">
        <v>9</v>
      </c>
      <c r="Q175" s="53">
        <f t="shared" si="97"/>
        <v>4</v>
      </c>
      <c r="R175" s="53">
        <f t="shared" si="98"/>
        <v>1</v>
      </c>
      <c r="S175" s="53">
        <f t="shared" si="99"/>
        <v>5</v>
      </c>
      <c r="T175" s="101">
        <f t="shared" si="73"/>
        <v>10</v>
      </c>
      <c r="U175" s="15" t="str">
        <f>_xlfn.TEXTJOIN(", ",TRUE,ABS(MID(B175,{1,1,2},1)-MID(B175,{2,3,3},1)))</f>
        <v>4, 1, 5</v>
      </c>
      <c r="V175" s="54">
        <v>0</v>
      </c>
      <c r="W175" s="54">
        <v>1</v>
      </c>
      <c r="X175" s="54">
        <v>2</v>
      </c>
      <c r="Y175" s="54">
        <v>3</v>
      </c>
      <c r="Z175" s="54">
        <v>4</v>
      </c>
      <c r="AA175" s="54">
        <v>5</v>
      </c>
      <c r="AB175" s="54">
        <v>6</v>
      </c>
      <c r="AC175" s="54">
        <v>7</v>
      </c>
      <c r="AD175" s="54">
        <v>8</v>
      </c>
      <c r="AE175" s="54">
        <v>9</v>
      </c>
      <c r="AF175" s="55">
        <v>0</v>
      </c>
      <c r="AG175" s="55">
        <v>1</v>
      </c>
      <c r="AH175" s="55">
        <v>2</v>
      </c>
      <c r="AI175" s="55">
        <v>3</v>
      </c>
      <c r="AJ175" s="55">
        <v>4</v>
      </c>
      <c r="AK175" s="55">
        <v>5</v>
      </c>
      <c r="AL175" s="55">
        <v>6</v>
      </c>
      <c r="AM175" s="55">
        <v>7</v>
      </c>
      <c r="AN175" s="55">
        <v>8</v>
      </c>
      <c r="AO175" s="55">
        <v>9</v>
      </c>
      <c r="AP175" s="105">
        <v>0</v>
      </c>
      <c r="AQ175" s="105">
        <v>1</v>
      </c>
      <c r="AR175" s="105">
        <v>2</v>
      </c>
      <c r="AS175" s="105">
        <v>3</v>
      </c>
      <c r="AT175" s="105">
        <v>4</v>
      </c>
      <c r="AU175" s="105">
        <v>5</v>
      </c>
      <c r="AV175" s="105">
        <v>6</v>
      </c>
      <c r="AW175" s="105">
        <v>7</v>
      </c>
      <c r="AX175" s="105">
        <v>8</v>
      </c>
      <c r="AY175" s="105">
        <v>9</v>
      </c>
      <c r="AZ175" s="56">
        <v>0</v>
      </c>
      <c r="BA175" s="56">
        <v>1</v>
      </c>
      <c r="BB175" s="56">
        <v>2</v>
      </c>
      <c r="BC175" s="56">
        <v>3</v>
      </c>
      <c r="BD175" s="56">
        <v>4</v>
      </c>
      <c r="BE175" s="56">
        <v>5</v>
      </c>
      <c r="BF175" s="56">
        <v>6</v>
      </c>
      <c r="BG175" s="56">
        <v>7</v>
      </c>
      <c r="BH175" s="56">
        <v>8</v>
      </c>
      <c r="BI175" s="56">
        <v>9</v>
      </c>
      <c r="BJ175" s="57" t="str">
        <f t="shared" si="74"/>
        <v>标准型</v>
      </c>
      <c r="BK175" s="13">
        <f t="shared" si="70"/>
        <v>1</v>
      </c>
      <c r="BL175" s="13">
        <f t="shared" si="71"/>
        <v>5</v>
      </c>
      <c r="BM175" s="18" t="str">
        <f t="shared" si="76"/>
        <v/>
      </c>
      <c r="BN175" s="19" t="str">
        <f t="shared" si="77"/>
        <v/>
      </c>
      <c r="BO175" s="19" t="str">
        <f t="array" ref="BO175">_xlfn.TEXTJOIN("",TRUE,IF(ISERROR(FIND(ROW($1:$10)-1,BM175&amp;BN175)),ROW($1:$10)-1,""))</f>
        <v>0123456789</v>
      </c>
      <c r="BP175" s="20" t="str">
        <f t="shared" si="78"/>
        <v>中中中</v>
      </c>
      <c r="BQ175" s="21">
        <f t="shared" si="89"/>
        <v>1</v>
      </c>
      <c r="BR175" s="21" t="str">
        <f t="shared" si="87"/>
        <v/>
      </c>
      <c r="BS175" s="21" t="str">
        <f t="array" ref="BS175">_xlfn.TEXTJOIN("",TRUE,IF(ISERROR(FIND(ROW($1:$10)-1,BQ175&amp;BR175)),ROW($1:$10)-1,""))</f>
        <v>023456789</v>
      </c>
      <c r="BT175" s="20" t="str">
        <f t="shared" si="79"/>
        <v>复中中</v>
      </c>
      <c r="BU175" s="22" t="str">
        <f t="shared" si="80"/>
        <v/>
      </c>
      <c r="BV175" s="22" t="str">
        <f t="shared" si="88"/>
        <v/>
      </c>
      <c r="BW175" s="22" t="str">
        <f t="array" ref="BW175">_xlfn.TEXTJOIN("",TRUE,IF(ISERROR(FIND(ROW($1:$10)-1,BU175&amp;BV175)),ROW($1:$10)-1,""))</f>
        <v>0123456789</v>
      </c>
      <c r="BX175" s="20" t="str">
        <f t="shared" si="81"/>
        <v>中中中</v>
      </c>
      <c r="BY175" s="23" t="str">
        <f t="shared" si="75"/>
        <v>35</v>
      </c>
      <c r="BZ175" s="24" t="str">
        <f t="array" ref="BZ175">_xlfn.TEXTJOIN("",TRUE,IF(ISNUMBER(FIND(MID(BY174&amp;Q174,ROW($1:$4),1),BY175&amp;Q175)),MID(BY174&amp;Q174,ROW($1:$4),1),""))</f>
        <v/>
      </c>
      <c r="CA175" s="25" t="str">
        <f t="array" ref="CA175">_xlfn.TEXTJOIN("",TRUE,IF(ISERROR(FIND(ROW($1:$10)-1,BY175&amp;BZ175)),ROW($1:$10)-1,""))</f>
        <v>01246789</v>
      </c>
      <c r="CB175" s="26" t="str">
        <f t="shared" si="82"/>
        <v>邻孤孤</v>
      </c>
      <c r="CC175" s="27" t="str">
        <f t="shared" si="83"/>
        <v>02</v>
      </c>
      <c r="CD175" s="27" t="str">
        <f t="array" ref="CD175">_xlfn.TEXTJOIN("",TRUE,IF(ISNUMBER(FIND(MID(CC174&amp;R174,ROW($1:$4),1),CC175&amp;R175)),MID(CC174&amp;R174,ROW($1:$4),1),""))</f>
        <v>021</v>
      </c>
      <c r="CE175" s="27" t="str">
        <f t="array" ref="CE175">_xlfn.TEXTJOIN("",TRUE,IF(ISERROR(FIND(ROW($1:$10)-1,CC175&amp;CD175)),ROW($1:$10)-1,""))</f>
        <v>3456789</v>
      </c>
      <c r="CF175" s="17" t="str">
        <f t="shared" si="84"/>
        <v>邻传孤</v>
      </c>
      <c r="CG175" s="22" t="str">
        <f t="shared" si="85"/>
        <v>46</v>
      </c>
      <c r="CH175" s="22" t="str">
        <f t="array" ref="CH175">_xlfn.TEXTJOIN("",TRUE,IF(ISNUMBER(FIND(MID(CG174&amp;S174,ROW($1:$4),1),CG175&amp;S175)),MID(CG174&amp;S174,ROW($1:$4),1),""))</f>
        <v/>
      </c>
      <c r="CI175" s="22" t="str">
        <f t="array" ref="CI175">_xlfn.TEXTJOIN("",TRUE,IF(ISERROR(FIND(ROW($1:$10)-1,CG175&amp;CH175)),ROW($1:$10)-1,""))</f>
        <v>01235789</v>
      </c>
      <c r="CJ175" s="28" t="str">
        <f t="shared" si="86"/>
        <v>邻孤孤</v>
      </c>
    </row>
    <row r="176" spans="1:88">
      <c r="A176" s="32">
        <v>2024303</v>
      </c>
      <c r="B176" s="8" t="s">
        <v>178</v>
      </c>
      <c r="C176" s="49">
        <f t="shared" si="95"/>
        <v>12</v>
      </c>
      <c r="D176" s="50">
        <f t="shared" si="96"/>
        <v>2</v>
      </c>
      <c r="E176" s="51">
        <f t="shared" si="72"/>
        <v>4</v>
      </c>
      <c r="F176" s="52">
        <f>MAX(MID(B176,{1,2,3},1)*1)-MIN(MID(B176,{1,2,3},1)*1)</f>
        <v>3</v>
      </c>
      <c r="G176" s="104">
        <v>0</v>
      </c>
      <c r="H176" s="104">
        <v>1</v>
      </c>
      <c r="I176" s="104">
        <v>2</v>
      </c>
      <c r="J176" s="104">
        <v>3</v>
      </c>
      <c r="K176" s="104">
        <v>4</v>
      </c>
      <c r="L176" s="104">
        <v>5</v>
      </c>
      <c r="M176" s="104">
        <v>6</v>
      </c>
      <c r="N176" s="104">
        <v>7</v>
      </c>
      <c r="O176" s="104">
        <v>8</v>
      </c>
      <c r="P176" s="104">
        <v>9</v>
      </c>
      <c r="Q176" s="53">
        <f t="shared" si="97"/>
        <v>0</v>
      </c>
      <c r="R176" s="53">
        <f t="shared" si="98"/>
        <v>3</v>
      </c>
      <c r="S176" s="53">
        <f t="shared" si="99"/>
        <v>3</v>
      </c>
      <c r="T176" s="101">
        <f t="shared" si="73"/>
        <v>6</v>
      </c>
      <c r="U176" s="15" t="str">
        <f>_xlfn.TEXTJOIN(", ",TRUE,ABS(MID(B176,{1,1,2},1)-MID(B176,{2,3,3},1)))</f>
        <v>0, 3, 3</v>
      </c>
      <c r="V176" s="54">
        <v>0</v>
      </c>
      <c r="W176" s="54">
        <v>1</v>
      </c>
      <c r="X176" s="54">
        <v>2</v>
      </c>
      <c r="Y176" s="54">
        <v>3</v>
      </c>
      <c r="Z176" s="54">
        <v>4</v>
      </c>
      <c r="AA176" s="54">
        <v>5</v>
      </c>
      <c r="AB176" s="54">
        <v>6</v>
      </c>
      <c r="AC176" s="54">
        <v>7</v>
      </c>
      <c r="AD176" s="54">
        <v>8</v>
      </c>
      <c r="AE176" s="54">
        <v>9</v>
      </c>
      <c r="AF176" s="55">
        <v>0</v>
      </c>
      <c r="AG176" s="55">
        <v>1</v>
      </c>
      <c r="AH176" s="55">
        <v>2</v>
      </c>
      <c r="AI176" s="55">
        <v>3</v>
      </c>
      <c r="AJ176" s="55">
        <v>4</v>
      </c>
      <c r="AK176" s="55">
        <v>5</v>
      </c>
      <c r="AL176" s="55">
        <v>6</v>
      </c>
      <c r="AM176" s="55">
        <v>7</v>
      </c>
      <c r="AN176" s="55">
        <v>8</v>
      </c>
      <c r="AO176" s="55">
        <v>9</v>
      </c>
      <c r="AP176" s="105">
        <v>0</v>
      </c>
      <c r="AQ176" s="105">
        <v>1</v>
      </c>
      <c r="AR176" s="105">
        <v>2</v>
      </c>
      <c r="AS176" s="105">
        <v>3</v>
      </c>
      <c r="AT176" s="105">
        <v>4</v>
      </c>
      <c r="AU176" s="105">
        <v>5</v>
      </c>
      <c r="AV176" s="105">
        <v>6</v>
      </c>
      <c r="AW176" s="105">
        <v>7</v>
      </c>
      <c r="AX176" s="105">
        <v>8</v>
      </c>
      <c r="AY176" s="105">
        <v>9</v>
      </c>
      <c r="AZ176" s="56">
        <v>0</v>
      </c>
      <c r="BA176" s="56">
        <v>1</v>
      </c>
      <c r="BB176" s="56">
        <v>2</v>
      </c>
      <c r="BC176" s="56">
        <v>3</v>
      </c>
      <c r="BD176" s="56">
        <v>4</v>
      </c>
      <c r="BE176" s="56">
        <v>5</v>
      </c>
      <c r="BF176" s="56">
        <v>6</v>
      </c>
      <c r="BG176" s="56">
        <v>7</v>
      </c>
      <c r="BH176" s="56">
        <v>8</v>
      </c>
      <c r="BI176" s="56">
        <v>9</v>
      </c>
      <c r="BJ176" s="57" t="str">
        <f t="shared" si="74"/>
        <v>紧凑型</v>
      </c>
      <c r="BK176" s="13">
        <f t="shared" si="70"/>
        <v>0</v>
      </c>
      <c r="BL176" s="13">
        <f t="shared" si="71"/>
        <v>3</v>
      </c>
      <c r="BM176" s="18" t="str">
        <f t="shared" si="76"/>
        <v/>
      </c>
      <c r="BN176" s="19" t="str">
        <f t="shared" si="77"/>
        <v/>
      </c>
      <c r="BO176" s="19" t="str">
        <f t="array" ref="BO176">_xlfn.TEXTJOIN("",TRUE,IF(ISERROR(FIND(ROW($1:$10)-1,BM176&amp;BN176)),ROW($1:$10)-1,""))</f>
        <v>0123456789</v>
      </c>
      <c r="BP176" s="20" t="str">
        <f t="shared" si="78"/>
        <v>中中中</v>
      </c>
      <c r="BQ176" s="21" t="str">
        <f t="shared" si="89"/>
        <v/>
      </c>
      <c r="BR176" s="21" t="str">
        <f t="shared" si="87"/>
        <v/>
      </c>
      <c r="BS176" s="21" t="str">
        <f t="array" ref="BS176">_xlfn.TEXTJOIN("",TRUE,IF(ISERROR(FIND(ROW($1:$10)-1,BQ176&amp;BR176)),ROW($1:$10)-1,""))</f>
        <v>0123456789</v>
      </c>
      <c r="BT176" s="20" t="str">
        <f t="shared" si="79"/>
        <v>中中中</v>
      </c>
      <c r="BU176" s="22" t="str">
        <f t="shared" si="80"/>
        <v/>
      </c>
      <c r="BV176" s="22" t="str">
        <f t="shared" si="88"/>
        <v/>
      </c>
      <c r="BW176" s="22" t="str">
        <f t="array" ref="BW176">_xlfn.TEXTJOIN("",TRUE,IF(ISERROR(FIND(ROW($1:$10)-1,BU176&amp;BV176)),ROW($1:$10)-1,""))</f>
        <v>0123456789</v>
      </c>
      <c r="BX176" s="20" t="str">
        <f t="shared" si="81"/>
        <v>中中中</v>
      </c>
      <c r="BY176" s="23" t="str">
        <f t="shared" si="75"/>
        <v>91</v>
      </c>
      <c r="BZ176" s="24" t="str">
        <f t="array" ref="BZ176">_xlfn.TEXTJOIN("",TRUE,IF(ISNUMBER(FIND(MID(BY175&amp;Q175,ROW($1:$4),1),BY176&amp;Q176)),MID(BY175&amp;Q175,ROW($1:$4),1),""))</f>
        <v/>
      </c>
      <c r="CA176" s="25" t="str">
        <f t="array" ref="CA176">_xlfn.TEXTJOIN("",TRUE,IF(ISERROR(FIND(ROW($1:$10)-1,BY176&amp;BZ176)),ROW($1:$10)-1,""))</f>
        <v>02345678</v>
      </c>
      <c r="CB176" s="26" t="str">
        <f t="shared" si="82"/>
        <v>邻孤孤</v>
      </c>
      <c r="CC176" s="27" t="str">
        <f t="shared" si="83"/>
        <v>24</v>
      </c>
      <c r="CD176" s="27" t="str">
        <f t="array" ref="CD176">_xlfn.TEXTJOIN("",TRUE,IF(ISNUMBER(FIND(MID(CC175&amp;R175,ROW($1:$4),1),CC176&amp;R176)),MID(CC175&amp;R175,ROW($1:$4),1),""))</f>
        <v>2</v>
      </c>
      <c r="CE176" s="27" t="str">
        <f t="array" ref="CE176">_xlfn.TEXTJOIN("",TRUE,IF(ISERROR(FIND(ROW($1:$10)-1,CC176&amp;CD176)),ROW($1:$10)-1,""))</f>
        <v>01356789</v>
      </c>
      <c r="CF176" s="17" t="str">
        <f t="shared" si="84"/>
        <v>邻传孤</v>
      </c>
      <c r="CG176" s="22" t="str">
        <f t="shared" si="85"/>
        <v>24</v>
      </c>
      <c r="CH176" s="22" t="str">
        <f t="array" ref="CH176">_xlfn.TEXTJOIN("",TRUE,IF(ISNUMBER(FIND(MID(CG175&amp;S175,ROW($1:$4),1),CG176&amp;S176)),MID(CG175&amp;S175,ROW($1:$4),1),""))</f>
        <v>4</v>
      </c>
      <c r="CI176" s="22" t="str">
        <f t="array" ref="CI176">_xlfn.TEXTJOIN("",TRUE,IF(ISERROR(FIND(ROW($1:$10)-1,CG176&amp;CH176)),ROW($1:$10)-1,""))</f>
        <v>01356789</v>
      </c>
      <c r="CJ176" s="28" t="str">
        <f t="shared" si="86"/>
        <v>邻传孤</v>
      </c>
    </row>
    <row r="177" spans="1:88">
      <c r="A177" s="32">
        <v>2024304</v>
      </c>
      <c r="B177" s="8" t="s">
        <v>179</v>
      </c>
      <c r="C177" s="49">
        <f t="shared" si="95"/>
        <v>16</v>
      </c>
      <c r="D177" s="50">
        <f t="shared" si="96"/>
        <v>6</v>
      </c>
      <c r="E177" s="51">
        <f t="shared" si="72"/>
        <v>5.3333333333333304</v>
      </c>
      <c r="F177" s="52">
        <f>MAX(MID(B177,{1,2,3},1)*1)-MIN(MID(B177,{1,2,3},1)*1)</f>
        <v>8</v>
      </c>
      <c r="G177" s="104">
        <v>0</v>
      </c>
      <c r="H177" s="104">
        <v>1</v>
      </c>
      <c r="I177" s="104">
        <v>2</v>
      </c>
      <c r="J177" s="104">
        <v>3</v>
      </c>
      <c r="K177" s="104">
        <v>4</v>
      </c>
      <c r="L177" s="104">
        <v>5</v>
      </c>
      <c r="M177" s="104">
        <v>6</v>
      </c>
      <c r="N177" s="104">
        <v>7</v>
      </c>
      <c r="O177" s="104">
        <v>8</v>
      </c>
      <c r="P177" s="104">
        <v>9</v>
      </c>
      <c r="Q177" s="53">
        <f t="shared" si="97"/>
        <v>5</v>
      </c>
      <c r="R177" s="53">
        <f t="shared" si="98"/>
        <v>8</v>
      </c>
      <c r="S177" s="53">
        <f t="shared" si="99"/>
        <v>3</v>
      </c>
      <c r="T177" s="101">
        <f t="shared" si="73"/>
        <v>16</v>
      </c>
      <c r="U177" s="15" t="str">
        <f>_xlfn.TEXTJOIN(", ",TRUE,ABS(MID(B177,{1,1,2},1)-MID(B177,{2,3,3},1)))</f>
        <v>5, 8, 3</v>
      </c>
      <c r="V177" s="54">
        <v>0</v>
      </c>
      <c r="W177" s="54">
        <v>1</v>
      </c>
      <c r="X177" s="54">
        <v>2</v>
      </c>
      <c r="Y177" s="54">
        <v>3</v>
      </c>
      <c r="Z177" s="54">
        <v>4</v>
      </c>
      <c r="AA177" s="54">
        <v>5</v>
      </c>
      <c r="AB177" s="54">
        <v>6</v>
      </c>
      <c r="AC177" s="54">
        <v>7</v>
      </c>
      <c r="AD177" s="54">
        <v>8</v>
      </c>
      <c r="AE177" s="54">
        <v>9</v>
      </c>
      <c r="AF177" s="55">
        <v>0</v>
      </c>
      <c r="AG177" s="55">
        <v>1</v>
      </c>
      <c r="AH177" s="55">
        <v>2</v>
      </c>
      <c r="AI177" s="55">
        <v>3</v>
      </c>
      <c r="AJ177" s="55">
        <v>4</v>
      </c>
      <c r="AK177" s="55">
        <v>5</v>
      </c>
      <c r="AL177" s="55">
        <v>6</v>
      </c>
      <c r="AM177" s="55">
        <v>7</v>
      </c>
      <c r="AN177" s="55">
        <v>8</v>
      </c>
      <c r="AO177" s="55">
        <v>9</v>
      </c>
      <c r="AP177" s="105">
        <v>0</v>
      </c>
      <c r="AQ177" s="105">
        <v>1</v>
      </c>
      <c r="AR177" s="105">
        <v>2</v>
      </c>
      <c r="AS177" s="105">
        <v>3</v>
      </c>
      <c r="AT177" s="105">
        <v>4</v>
      </c>
      <c r="AU177" s="105">
        <v>5</v>
      </c>
      <c r="AV177" s="105">
        <v>6</v>
      </c>
      <c r="AW177" s="105">
        <v>7</v>
      </c>
      <c r="AX177" s="105">
        <v>8</v>
      </c>
      <c r="AY177" s="105">
        <v>9</v>
      </c>
      <c r="AZ177" s="56">
        <v>0</v>
      </c>
      <c r="BA177" s="56">
        <v>1</v>
      </c>
      <c r="BB177" s="56">
        <v>2</v>
      </c>
      <c r="BC177" s="56">
        <v>3</v>
      </c>
      <c r="BD177" s="56">
        <v>4</v>
      </c>
      <c r="BE177" s="56">
        <v>5</v>
      </c>
      <c r="BF177" s="56">
        <v>6</v>
      </c>
      <c r="BG177" s="56">
        <v>7</v>
      </c>
      <c r="BH177" s="56">
        <v>8</v>
      </c>
      <c r="BI177" s="56">
        <v>9</v>
      </c>
      <c r="BJ177" s="57" t="str">
        <f t="shared" si="74"/>
        <v>松散型</v>
      </c>
      <c r="BK177" s="13">
        <f t="shared" si="70"/>
        <v>3</v>
      </c>
      <c r="BL177" s="13">
        <f t="shared" si="71"/>
        <v>8</v>
      </c>
      <c r="BM177" s="18" t="str">
        <f t="shared" si="76"/>
        <v/>
      </c>
      <c r="BN177" s="19">
        <f t="shared" si="77"/>
        <v>5</v>
      </c>
      <c r="BO177" s="19" t="str">
        <f t="array" ref="BO177">_xlfn.TEXTJOIN("",TRUE,IF(ISERROR(FIND(ROW($1:$10)-1,BM177&amp;BN177)),ROW($1:$10)-1,""))</f>
        <v>012346789</v>
      </c>
      <c r="BP177" s="20" t="str">
        <f t="shared" si="78"/>
        <v>中隔中</v>
      </c>
      <c r="BQ177" s="21" t="str">
        <f t="shared" si="89"/>
        <v/>
      </c>
      <c r="BR177" s="21" t="str">
        <f t="shared" si="87"/>
        <v/>
      </c>
      <c r="BS177" s="21" t="str">
        <f t="array" ref="BS177">_xlfn.TEXTJOIN("",TRUE,IF(ISERROR(FIND(ROW($1:$10)-1,BQ177&amp;BR177)),ROW($1:$10)-1,""))</f>
        <v>0123456789</v>
      </c>
      <c r="BT177" s="20" t="str">
        <f t="shared" si="79"/>
        <v>中中中</v>
      </c>
      <c r="BU177" s="22">
        <f t="shared" si="80"/>
        <v>3</v>
      </c>
      <c r="BV177" s="22" t="str">
        <f t="shared" si="88"/>
        <v/>
      </c>
      <c r="BW177" s="22" t="str">
        <f t="array" ref="BW177">_xlfn.TEXTJOIN("",TRUE,IF(ISERROR(FIND(ROW($1:$10)-1,BU177&amp;BV177)),ROW($1:$10)-1,""))</f>
        <v>012456789</v>
      </c>
      <c r="BX177" s="20" t="str">
        <f t="shared" si="81"/>
        <v>复中中</v>
      </c>
      <c r="BY177" s="23" t="str">
        <f t="shared" si="75"/>
        <v>46</v>
      </c>
      <c r="BZ177" s="24" t="str">
        <f t="array" ref="BZ177">_xlfn.TEXTJOIN("",TRUE,IF(ISNUMBER(FIND(MID(BY176&amp;Q176,ROW($1:$4),1),BY177&amp;Q177)),MID(BY176&amp;Q176,ROW($1:$4),1),""))</f>
        <v/>
      </c>
      <c r="CA177" s="25" t="str">
        <f t="array" ref="CA177">_xlfn.TEXTJOIN("",TRUE,IF(ISERROR(FIND(ROW($1:$10)-1,BY177&amp;BZ177)),ROW($1:$10)-1,""))</f>
        <v>01235789</v>
      </c>
      <c r="CB177" s="26" t="str">
        <f t="shared" si="82"/>
        <v>邻孤孤</v>
      </c>
      <c r="CC177" s="27" t="str">
        <f t="shared" si="83"/>
        <v>79</v>
      </c>
      <c r="CD177" s="27" t="str">
        <f t="array" ref="CD177">_xlfn.TEXTJOIN("",TRUE,IF(ISNUMBER(FIND(MID(CC176&amp;R176,ROW($1:$4),1),CC177&amp;R177)),MID(CC176&amp;R176,ROW($1:$4),1),""))</f>
        <v/>
      </c>
      <c r="CE177" s="27" t="str">
        <f t="array" ref="CE177">_xlfn.TEXTJOIN("",TRUE,IF(ISERROR(FIND(ROW($1:$10)-1,CC177&amp;CD177)),ROW($1:$10)-1,""))</f>
        <v>01234568</v>
      </c>
      <c r="CF177" s="17" t="str">
        <f t="shared" si="84"/>
        <v>邻孤孤</v>
      </c>
      <c r="CG177" s="22" t="str">
        <f t="shared" si="85"/>
        <v>24</v>
      </c>
      <c r="CH177" s="22" t="str">
        <f t="array" ref="CH177">_xlfn.TEXTJOIN("",TRUE,IF(ISNUMBER(FIND(MID(CG176&amp;S176,ROW($1:$4),1),CG177&amp;S177)),MID(CG176&amp;S176,ROW($1:$4),1),""))</f>
        <v>243</v>
      </c>
      <c r="CI177" s="22" t="str">
        <f t="array" ref="CI177">_xlfn.TEXTJOIN("",TRUE,IF(ISERROR(FIND(ROW($1:$10)-1,CG177&amp;CH177)),ROW($1:$10)-1,""))</f>
        <v>0156789</v>
      </c>
      <c r="CJ177" s="28" t="str">
        <f t="shared" si="86"/>
        <v>邻传孤</v>
      </c>
    </row>
    <row r="178" spans="1:88">
      <c r="A178" s="32">
        <v>2024305</v>
      </c>
      <c r="B178" s="8" t="s">
        <v>180</v>
      </c>
      <c r="C178" s="49">
        <f t="shared" si="95"/>
        <v>21</v>
      </c>
      <c r="D178" s="50">
        <f t="shared" si="96"/>
        <v>1</v>
      </c>
      <c r="E178" s="51">
        <f t="shared" si="72"/>
        <v>7</v>
      </c>
      <c r="F178" s="52">
        <f>MAX(MID(B178,{1,2,3},1)*1)-MIN(MID(B178,{1,2,3},1)*1)</f>
        <v>3</v>
      </c>
      <c r="G178" s="104">
        <v>0</v>
      </c>
      <c r="H178" s="104">
        <v>1</v>
      </c>
      <c r="I178" s="104">
        <v>2</v>
      </c>
      <c r="J178" s="104">
        <v>3</v>
      </c>
      <c r="K178" s="104">
        <v>4</v>
      </c>
      <c r="L178" s="104">
        <v>5</v>
      </c>
      <c r="M178" s="104">
        <v>6</v>
      </c>
      <c r="N178" s="104">
        <v>7</v>
      </c>
      <c r="O178" s="104">
        <v>8</v>
      </c>
      <c r="P178" s="104">
        <v>9</v>
      </c>
      <c r="Q178" s="53">
        <f t="shared" si="97"/>
        <v>3</v>
      </c>
      <c r="R178" s="53">
        <f t="shared" si="98"/>
        <v>3</v>
      </c>
      <c r="S178" s="53">
        <f t="shared" si="99"/>
        <v>0</v>
      </c>
      <c r="T178" s="101">
        <f t="shared" si="73"/>
        <v>6</v>
      </c>
      <c r="U178" s="15" t="str">
        <f>_xlfn.TEXTJOIN(", ",TRUE,ABS(MID(B178,{1,1,2},1)-MID(B178,{2,3,3},1)))</f>
        <v>3, 3, 0</v>
      </c>
      <c r="V178" s="54">
        <v>0</v>
      </c>
      <c r="W178" s="54">
        <v>1</v>
      </c>
      <c r="X178" s="54">
        <v>2</v>
      </c>
      <c r="Y178" s="54">
        <v>3</v>
      </c>
      <c r="Z178" s="54">
        <v>4</v>
      </c>
      <c r="AA178" s="54">
        <v>5</v>
      </c>
      <c r="AB178" s="54">
        <v>6</v>
      </c>
      <c r="AC178" s="54">
        <v>7</v>
      </c>
      <c r="AD178" s="54">
        <v>8</v>
      </c>
      <c r="AE178" s="54">
        <v>9</v>
      </c>
      <c r="AF178" s="55">
        <v>0</v>
      </c>
      <c r="AG178" s="55">
        <v>1</v>
      </c>
      <c r="AH178" s="55">
        <v>2</v>
      </c>
      <c r="AI178" s="55">
        <v>3</v>
      </c>
      <c r="AJ178" s="55">
        <v>4</v>
      </c>
      <c r="AK178" s="55">
        <v>5</v>
      </c>
      <c r="AL178" s="55">
        <v>6</v>
      </c>
      <c r="AM178" s="55">
        <v>7</v>
      </c>
      <c r="AN178" s="55">
        <v>8</v>
      </c>
      <c r="AO178" s="55">
        <v>9</v>
      </c>
      <c r="AP178" s="105">
        <v>0</v>
      </c>
      <c r="AQ178" s="105">
        <v>1</v>
      </c>
      <c r="AR178" s="105">
        <v>2</v>
      </c>
      <c r="AS178" s="105">
        <v>3</v>
      </c>
      <c r="AT178" s="105">
        <v>4</v>
      </c>
      <c r="AU178" s="105">
        <v>5</v>
      </c>
      <c r="AV178" s="105">
        <v>6</v>
      </c>
      <c r="AW178" s="105">
        <v>7</v>
      </c>
      <c r="AX178" s="105">
        <v>8</v>
      </c>
      <c r="AY178" s="105">
        <v>9</v>
      </c>
      <c r="AZ178" s="56">
        <v>0</v>
      </c>
      <c r="BA178" s="56">
        <v>1</v>
      </c>
      <c r="BB178" s="56">
        <v>2</v>
      </c>
      <c r="BC178" s="56">
        <v>3</v>
      </c>
      <c r="BD178" s="56">
        <v>4</v>
      </c>
      <c r="BE178" s="56">
        <v>5</v>
      </c>
      <c r="BF178" s="56">
        <v>6</v>
      </c>
      <c r="BG178" s="56">
        <v>7</v>
      </c>
      <c r="BH178" s="56">
        <v>8</v>
      </c>
      <c r="BI178" s="56">
        <v>9</v>
      </c>
      <c r="BJ178" s="57" t="str">
        <f t="shared" si="74"/>
        <v>紧凑型</v>
      </c>
      <c r="BK178" s="13">
        <f t="shared" si="70"/>
        <v>0</v>
      </c>
      <c r="BL178" s="13">
        <f t="shared" si="71"/>
        <v>3</v>
      </c>
      <c r="BM178" s="18">
        <f t="shared" si="76"/>
        <v>3</v>
      </c>
      <c r="BN178" s="19">
        <f t="shared" si="77"/>
        <v>3</v>
      </c>
      <c r="BO178" s="19" t="str">
        <f t="array" ref="BO178">_xlfn.TEXTJOIN("",TRUE,IF(ISERROR(FIND(ROW($1:$10)-1,BM178&amp;BN178)),ROW($1:$10)-1,""))</f>
        <v>012456789</v>
      </c>
      <c r="BP178" s="20" t="str">
        <f t="shared" si="78"/>
        <v>复隔中</v>
      </c>
      <c r="BQ178" s="21">
        <f t="shared" si="89"/>
        <v>3</v>
      </c>
      <c r="BR178" s="21">
        <f t="shared" si="87"/>
        <v>3</v>
      </c>
      <c r="BS178" s="21" t="str">
        <f t="array" ref="BS178">_xlfn.TEXTJOIN("",TRUE,IF(ISERROR(FIND(ROW($1:$10)-1,BQ178&amp;BR178)),ROW($1:$10)-1,""))</f>
        <v>012456789</v>
      </c>
      <c r="BT178" s="20" t="str">
        <f t="shared" si="79"/>
        <v>复隔中</v>
      </c>
      <c r="BU178" s="22" t="str">
        <f t="shared" si="80"/>
        <v/>
      </c>
      <c r="BV178" s="22">
        <f t="shared" si="88"/>
        <v>0</v>
      </c>
      <c r="BW178" s="22" t="str">
        <f t="array" ref="BW178">_xlfn.TEXTJOIN("",TRUE,IF(ISERROR(FIND(ROW($1:$10)-1,BU178&amp;BV178)),ROW($1:$10)-1,""))</f>
        <v>123456789</v>
      </c>
      <c r="BX178" s="20" t="str">
        <f t="shared" si="81"/>
        <v>中隔中</v>
      </c>
      <c r="BY178" s="23" t="str">
        <f t="shared" si="75"/>
        <v>24</v>
      </c>
      <c r="BZ178" s="24" t="str">
        <f t="array" ref="BZ178">_xlfn.TEXTJOIN("",TRUE,IF(ISNUMBER(FIND(MID(BY177&amp;Q177,ROW($1:$4),1),BY178&amp;Q178)),MID(BY177&amp;Q177,ROW($1:$4),1),""))</f>
        <v>4</v>
      </c>
      <c r="CA178" s="25" t="str">
        <f t="array" ref="CA178">_xlfn.TEXTJOIN("",TRUE,IF(ISERROR(FIND(ROW($1:$10)-1,BY178&amp;BZ178)),ROW($1:$10)-1,""))</f>
        <v>01356789</v>
      </c>
      <c r="CB178" s="26" t="str">
        <f t="shared" si="82"/>
        <v>邻传孤</v>
      </c>
      <c r="CC178" s="27" t="str">
        <f t="shared" si="83"/>
        <v>24</v>
      </c>
      <c r="CD178" s="27" t="str">
        <f t="array" ref="CD178">_xlfn.TEXTJOIN("",TRUE,IF(ISNUMBER(FIND(MID(CC177&amp;R177,ROW($1:$4),1),CC178&amp;R178)),MID(CC177&amp;R177,ROW($1:$4),1),""))</f>
        <v/>
      </c>
      <c r="CE178" s="27" t="str">
        <f t="array" ref="CE178">_xlfn.TEXTJOIN("",TRUE,IF(ISERROR(FIND(ROW($1:$10)-1,CC178&amp;CD178)),ROW($1:$10)-1,""))</f>
        <v>01356789</v>
      </c>
      <c r="CF178" s="17" t="str">
        <f t="shared" si="84"/>
        <v>邻孤孤</v>
      </c>
      <c r="CG178" s="22" t="str">
        <f t="shared" si="85"/>
        <v>91</v>
      </c>
      <c r="CH178" s="22" t="str">
        <f t="array" ref="CH178">_xlfn.TEXTJOIN("",TRUE,IF(ISNUMBER(FIND(MID(CG177&amp;S177,ROW($1:$4),1),CG178&amp;S178)),MID(CG177&amp;S177,ROW($1:$4),1),""))</f>
        <v/>
      </c>
      <c r="CI178" s="22" t="str">
        <f t="array" ref="CI178">_xlfn.TEXTJOIN("",TRUE,IF(ISERROR(FIND(ROW($1:$10)-1,CG178&amp;CH178)),ROW($1:$10)-1,""))</f>
        <v>02345678</v>
      </c>
      <c r="CJ178" s="28" t="str">
        <f t="shared" si="86"/>
        <v>邻孤孤</v>
      </c>
    </row>
    <row r="179" spans="1:88">
      <c r="A179" s="32">
        <v>2024306</v>
      </c>
      <c r="B179" s="8" t="s">
        <v>181</v>
      </c>
      <c r="C179" s="49">
        <f t="shared" si="95"/>
        <v>17</v>
      </c>
      <c r="D179" s="50">
        <f t="shared" si="96"/>
        <v>7</v>
      </c>
      <c r="E179" s="51">
        <f t="shared" si="72"/>
        <v>5.6666666666666696</v>
      </c>
      <c r="F179" s="52">
        <f>MAX(MID(B179,{1,2,3},1)*1)-MIN(MID(B179,{1,2,3},1)*1)</f>
        <v>7</v>
      </c>
      <c r="G179" s="104">
        <v>0</v>
      </c>
      <c r="H179" s="104">
        <v>1</v>
      </c>
      <c r="I179" s="104">
        <v>2</v>
      </c>
      <c r="J179" s="104">
        <v>3</v>
      </c>
      <c r="K179" s="104">
        <v>4</v>
      </c>
      <c r="L179" s="104">
        <v>5</v>
      </c>
      <c r="M179" s="104">
        <v>6</v>
      </c>
      <c r="N179" s="104">
        <v>7</v>
      </c>
      <c r="O179" s="104">
        <v>8</v>
      </c>
      <c r="P179" s="104">
        <v>9</v>
      </c>
      <c r="Q179" s="53">
        <f t="shared" si="97"/>
        <v>7</v>
      </c>
      <c r="R179" s="53">
        <f t="shared" si="98"/>
        <v>4</v>
      </c>
      <c r="S179" s="53">
        <f t="shared" si="99"/>
        <v>3</v>
      </c>
      <c r="T179" s="101">
        <f t="shared" si="73"/>
        <v>14</v>
      </c>
      <c r="U179" s="15" t="str">
        <f>_xlfn.TEXTJOIN(", ",TRUE,ABS(MID(B179,{1,1,2},1)-MID(B179,{2,3,3},1)))</f>
        <v>7, 4, 3</v>
      </c>
      <c r="V179" s="54">
        <v>0</v>
      </c>
      <c r="W179" s="54">
        <v>1</v>
      </c>
      <c r="X179" s="54">
        <v>2</v>
      </c>
      <c r="Y179" s="54">
        <v>3</v>
      </c>
      <c r="Z179" s="54">
        <v>4</v>
      </c>
      <c r="AA179" s="54">
        <v>5</v>
      </c>
      <c r="AB179" s="54">
        <v>6</v>
      </c>
      <c r="AC179" s="54">
        <v>7</v>
      </c>
      <c r="AD179" s="54">
        <v>8</v>
      </c>
      <c r="AE179" s="54">
        <v>9</v>
      </c>
      <c r="AF179" s="55">
        <v>0</v>
      </c>
      <c r="AG179" s="55">
        <v>1</v>
      </c>
      <c r="AH179" s="55">
        <v>2</v>
      </c>
      <c r="AI179" s="55">
        <v>3</v>
      </c>
      <c r="AJ179" s="55">
        <v>4</v>
      </c>
      <c r="AK179" s="55">
        <v>5</v>
      </c>
      <c r="AL179" s="55">
        <v>6</v>
      </c>
      <c r="AM179" s="55">
        <v>7</v>
      </c>
      <c r="AN179" s="55">
        <v>8</v>
      </c>
      <c r="AO179" s="55">
        <v>9</v>
      </c>
      <c r="AP179" s="105">
        <v>0</v>
      </c>
      <c r="AQ179" s="105">
        <v>1</v>
      </c>
      <c r="AR179" s="105">
        <v>2</v>
      </c>
      <c r="AS179" s="105">
        <v>3</v>
      </c>
      <c r="AT179" s="105">
        <v>4</v>
      </c>
      <c r="AU179" s="105">
        <v>5</v>
      </c>
      <c r="AV179" s="105">
        <v>6</v>
      </c>
      <c r="AW179" s="105">
        <v>7</v>
      </c>
      <c r="AX179" s="105">
        <v>8</v>
      </c>
      <c r="AY179" s="105">
        <v>9</v>
      </c>
      <c r="AZ179" s="56">
        <v>0</v>
      </c>
      <c r="BA179" s="56">
        <v>1</v>
      </c>
      <c r="BB179" s="56">
        <v>2</v>
      </c>
      <c r="BC179" s="56">
        <v>3</v>
      </c>
      <c r="BD179" s="56">
        <v>4</v>
      </c>
      <c r="BE179" s="56">
        <v>5</v>
      </c>
      <c r="BF179" s="56">
        <v>6</v>
      </c>
      <c r="BG179" s="56">
        <v>7</v>
      </c>
      <c r="BH179" s="56">
        <v>8</v>
      </c>
      <c r="BI179" s="56">
        <v>9</v>
      </c>
      <c r="BJ179" s="57" t="str">
        <f t="shared" si="74"/>
        <v>松散型</v>
      </c>
      <c r="BK179" s="13">
        <f t="shared" si="70"/>
        <v>3</v>
      </c>
      <c r="BL179" s="13">
        <f t="shared" si="71"/>
        <v>7</v>
      </c>
      <c r="BM179" s="18" t="str">
        <f t="shared" si="76"/>
        <v/>
      </c>
      <c r="BN179" s="19" t="str">
        <f t="shared" si="77"/>
        <v/>
      </c>
      <c r="BO179" s="19" t="str">
        <f t="array" ref="BO179">_xlfn.TEXTJOIN("",TRUE,IF(ISERROR(FIND(ROW($1:$10)-1,BM179&amp;BN179)),ROW($1:$10)-1,""))</f>
        <v>0123456789</v>
      </c>
      <c r="BP179" s="20" t="str">
        <f t="shared" si="78"/>
        <v>中中中</v>
      </c>
      <c r="BQ179" s="21" t="str">
        <f t="shared" si="89"/>
        <v/>
      </c>
      <c r="BR179" s="21" t="str">
        <f t="shared" si="87"/>
        <v/>
      </c>
      <c r="BS179" s="21" t="str">
        <f t="array" ref="BS179">_xlfn.TEXTJOIN("",TRUE,IF(ISERROR(FIND(ROW($1:$10)-1,BQ179&amp;BR179)),ROW($1:$10)-1,""))</f>
        <v>0123456789</v>
      </c>
      <c r="BT179" s="20" t="str">
        <f t="shared" si="79"/>
        <v>中中中</v>
      </c>
      <c r="BU179" s="22">
        <f t="shared" si="80"/>
        <v>3</v>
      </c>
      <c r="BV179" s="22">
        <f t="shared" si="88"/>
        <v>3</v>
      </c>
      <c r="BW179" s="22" t="str">
        <f t="array" ref="BW179">_xlfn.TEXTJOIN("",TRUE,IF(ISERROR(FIND(ROW($1:$10)-1,BU179&amp;BV179)),ROW($1:$10)-1,""))</f>
        <v>012456789</v>
      </c>
      <c r="BX179" s="20" t="str">
        <f t="shared" si="81"/>
        <v>复隔中</v>
      </c>
      <c r="BY179" s="23" t="str">
        <f t="shared" si="75"/>
        <v>68</v>
      </c>
      <c r="BZ179" s="24" t="str">
        <f t="array" ref="BZ179">_xlfn.TEXTJOIN("",TRUE,IF(ISNUMBER(FIND(MID(BY178&amp;Q178,ROW($1:$4),1),BY179&amp;Q179)),MID(BY178&amp;Q178,ROW($1:$4),1),""))</f>
        <v/>
      </c>
      <c r="CA179" s="25" t="str">
        <f t="array" ref="CA179">_xlfn.TEXTJOIN("",TRUE,IF(ISERROR(FIND(ROW($1:$10)-1,BY179&amp;BZ179)),ROW($1:$10)-1,""))</f>
        <v>01234579</v>
      </c>
      <c r="CB179" s="26" t="str">
        <f t="shared" si="82"/>
        <v>邻孤孤</v>
      </c>
      <c r="CC179" s="27" t="str">
        <f t="shared" si="83"/>
        <v>35</v>
      </c>
      <c r="CD179" s="27" t="str">
        <f t="array" ref="CD179">_xlfn.TEXTJOIN("",TRUE,IF(ISNUMBER(FIND(MID(CC178&amp;R178,ROW($1:$4),1),CC179&amp;R179)),MID(CC178&amp;R178,ROW($1:$4),1),""))</f>
        <v>43</v>
      </c>
      <c r="CE179" s="27" t="str">
        <f t="array" ref="CE179">_xlfn.TEXTJOIN("",TRUE,IF(ISERROR(FIND(ROW($1:$10)-1,CC179&amp;CD179)),ROW($1:$10)-1,""))</f>
        <v>0126789</v>
      </c>
      <c r="CF179" s="17" t="str">
        <f t="shared" si="84"/>
        <v>邻传孤</v>
      </c>
      <c r="CG179" s="22" t="str">
        <f t="shared" si="85"/>
        <v>24</v>
      </c>
      <c r="CH179" s="22" t="str">
        <f t="array" ref="CH179">_xlfn.TEXTJOIN("",TRUE,IF(ISNUMBER(FIND(MID(CG178&amp;S178,ROW($1:$4),1),CG179&amp;S179)),MID(CG178&amp;S178,ROW($1:$4),1),""))</f>
        <v/>
      </c>
      <c r="CI179" s="22" t="str">
        <f t="array" ref="CI179">_xlfn.TEXTJOIN("",TRUE,IF(ISERROR(FIND(ROW($1:$10)-1,CG179&amp;CH179)),ROW($1:$10)-1,""))</f>
        <v>01356789</v>
      </c>
      <c r="CJ179" s="28" t="str">
        <f t="shared" si="86"/>
        <v>邻孤孤</v>
      </c>
    </row>
    <row r="180" spans="1:88">
      <c r="A180" s="32">
        <v>2024307</v>
      </c>
      <c r="B180" s="8" t="s">
        <v>79</v>
      </c>
      <c r="C180" s="49">
        <f t="shared" si="95"/>
        <v>21</v>
      </c>
      <c r="D180" s="50">
        <f t="shared" si="96"/>
        <v>1</v>
      </c>
      <c r="E180" s="51">
        <f t="shared" si="72"/>
        <v>7</v>
      </c>
      <c r="F180" s="52">
        <f>MAX(MID(B180,{1,2,3},1)*1)-MIN(MID(B180,{1,2,3},1)*1)</f>
        <v>4</v>
      </c>
      <c r="G180" s="104">
        <v>0</v>
      </c>
      <c r="H180" s="104">
        <v>1</v>
      </c>
      <c r="I180" s="104">
        <v>2</v>
      </c>
      <c r="J180" s="104">
        <v>3</v>
      </c>
      <c r="K180" s="104">
        <v>4</v>
      </c>
      <c r="L180" s="104">
        <v>5</v>
      </c>
      <c r="M180" s="104">
        <v>6</v>
      </c>
      <c r="N180" s="104">
        <v>7</v>
      </c>
      <c r="O180" s="104">
        <v>8</v>
      </c>
      <c r="P180" s="104">
        <v>9</v>
      </c>
      <c r="Q180" s="53">
        <f t="shared" si="97"/>
        <v>2</v>
      </c>
      <c r="R180" s="53">
        <f t="shared" si="98"/>
        <v>4</v>
      </c>
      <c r="S180" s="53">
        <f t="shared" si="99"/>
        <v>2</v>
      </c>
      <c r="T180" s="101">
        <f t="shared" si="73"/>
        <v>8</v>
      </c>
      <c r="U180" s="15" t="str">
        <f>_xlfn.TEXTJOIN(", ",TRUE,ABS(MID(B180,{1,1,2},1)-MID(B180,{2,3,3},1)))</f>
        <v>2, 4, 2</v>
      </c>
      <c r="V180" s="54">
        <v>0</v>
      </c>
      <c r="W180" s="54">
        <v>1</v>
      </c>
      <c r="X180" s="54">
        <v>2</v>
      </c>
      <c r="Y180" s="54">
        <v>3</v>
      </c>
      <c r="Z180" s="54">
        <v>4</v>
      </c>
      <c r="AA180" s="54">
        <v>5</v>
      </c>
      <c r="AB180" s="54">
        <v>6</v>
      </c>
      <c r="AC180" s="54">
        <v>7</v>
      </c>
      <c r="AD180" s="54">
        <v>8</v>
      </c>
      <c r="AE180" s="54">
        <v>9</v>
      </c>
      <c r="AF180" s="55">
        <v>0</v>
      </c>
      <c r="AG180" s="55">
        <v>1</v>
      </c>
      <c r="AH180" s="55">
        <v>2</v>
      </c>
      <c r="AI180" s="55">
        <v>3</v>
      </c>
      <c r="AJ180" s="55">
        <v>4</v>
      </c>
      <c r="AK180" s="55">
        <v>5</v>
      </c>
      <c r="AL180" s="55">
        <v>6</v>
      </c>
      <c r="AM180" s="55">
        <v>7</v>
      </c>
      <c r="AN180" s="55">
        <v>8</v>
      </c>
      <c r="AO180" s="55">
        <v>9</v>
      </c>
      <c r="AP180" s="105">
        <v>0</v>
      </c>
      <c r="AQ180" s="105">
        <v>1</v>
      </c>
      <c r="AR180" s="105">
        <v>2</v>
      </c>
      <c r="AS180" s="105">
        <v>3</v>
      </c>
      <c r="AT180" s="105">
        <v>4</v>
      </c>
      <c r="AU180" s="105">
        <v>5</v>
      </c>
      <c r="AV180" s="105">
        <v>6</v>
      </c>
      <c r="AW180" s="105">
        <v>7</v>
      </c>
      <c r="AX180" s="105">
        <v>8</v>
      </c>
      <c r="AY180" s="105">
        <v>9</v>
      </c>
      <c r="AZ180" s="56">
        <v>0</v>
      </c>
      <c r="BA180" s="56">
        <v>1</v>
      </c>
      <c r="BB180" s="56">
        <v>2</v>
      </c>
      <c r="BC180" s="56">
        <v>3</v>
      </c>
      <c r="BD180" s="56">
        <v>4</v>
      </c>
      <c r="BE180" s="56">
        <v>5</v>
      </c>
      <c r="BF180" s="56">
        <v>6</v>
      </c>
      <c r="BG180" s="56">
        <v>7</v>
      </c>
      <c r="BH180" s="56">
        <v>8</v>
      </c>
      <c r="BI180" s="56">
        <v>9</v>
      </c>
      <c r="BJ180" s="57" t="str">
        <f t="shared" si="74"/>
        <v>标准型</v>
      </c>
      <c r="BK180" s="13">
        <f t="shared" si="70"/>
        <v>2</v>
      </c>
      <c r="BL180" s="13">
        <f t="shared" si="71"/>
        <v>4</v>
      </c>
      <c r="BM180" s="18" t="str">
        <f t="shared" si="76"/>
        <v/>
      </c>
      <c r="BN180" s="19" t="str">
        <f t="shared" si="77"/>
        <v/>
      </c>
      <c r="BO180" s="19" t="str">
        <f t="array" ref="BO180">_xlfn.TEXTJOIN("",TRUE,IF(ISERROR(FIND(ROW($1:$10)-1,BM180&amp;BN180)),ROW($1:$10)-1,""))</f>
        <v>0123456789</v>
      </c>
      <c r="BP180" s="20" t="str">
        <f t="shared" si="78"/>
        <v>中中中</v>
      </c>
      <c r="BQ180" s="21">
        <f t="shared" si="89"/>
        <v>4</v>
      </c>
      <c r="BR180" s="21" t="str">
        <f t="shared" si="87"/>
        <v/>
      </c>
      <c r="BS180" s="21" t="str">
        <f t="array" ref="BS180">_xlfn.TEXTJOIN("",TRUE,IF(ISERROR(FIND(ROW($1:$10)-1,BQ180&amp;BR180)),ROW($1:$10)-1,""))</f>
        <v>012356789</v>
      </c>
      <c r="BT180" s="20" t="str">
        <f t="shared" si="79"/>
        <v>复中中</v>
      </c>
      <c r="BU180" s="22" t="str">
        <f t="shared" si="80"/>
        <v/>
      </c>
      <c r="BV180" s="22" t="str">
        <f t="shared" si="88"/>
        <v/>
      </c>
      <c r="BW180" s="22" t="str">
        <f t="array" ref="BW180">_xlfn.TEXTJOIN("",TRUE,IF(ISERROR(FIND(ROW($1:$10)-1,BU180&amp;BV180)),ROW($1:$10)-1,""))</f>
        <v>0123456789</v>
      </c>
      <c r="BX180" s="20" t="str">
        <f t="shared" si="81"/>
        <v>中中中</v>
      </c>
      <c r="BY180" s="23" t="str">
        <f t="shared" si="75"/>
        <v>13</v>
      </c>
      <c r="BZ180" s="24" t="str">
        <f t="array" ref="BZ180">_xlfn.TEXTJOIN("",TRUE,IF(ISNUMBER(FIND(MID(BY179&amp;Q179,ROW($1:$4),1),BY180&amp;Q180)),MID(BY179&amp;Q179,ROW($1:$4),1),""))</f>
        <v/>
      </c>
      <c r="CA180" s="25" t="str">
        <f t="array" ref="CA180">_xlfn.TEXTJOIN("",TRUE,IF(ISERROR(FIND(ROW($1:$10)-1,BY180&amp;BZ180)),ROW($1:$10)-1,""))</f>
        <v>02456789</v>
      </c>
      <c r="CB180" s="26" t="str">
        <f t="shared" si="82"/>
        <v>邻孤孤</v>
      </c>
      <c r="CC180" s="27" t="str">
        <f t="shared" si="83"/>
        <v>35</v>
      </c>
      <c r="CD180" s="27" t="str">
        <f t="array" ref="CD180">_xlfn.TEXTJOIN("",TRUE,IF(ISNUMBER(FIND(MID(CC179&amp;R179,ROW($1:$4),1),CC180&amp;R180)),MID(CC179&amp;R179,ROW($1:$4),1),""))</f>
        <v>354</v>
      </c>
      <c r="CE180" s="27" t="str">
        <f t="array" ref="CE180">_xlfn.TEXTJOIN("",TRUE,IF(ISERROR(FIND(ROW($1:$10)-1,CC180&amp;CD180)),ROW($1:$10)-1,""))</f>
        <v>0126789</v>
      </c>
      <c r="CF180" s="17" t="str">
        <f t="shared" si="84"/>
        <v>邻传孤</v>
      </c>
      <c r="CG180" s="22" t="str">
        <f t="shared" si="85"/>
        <v>13</v>
      </c>
      <c r="CH180" s="22" t="str">
        <f t="array" ref="CH180">_xlfn.TEXTJOIN("",TRUE,IF(ISNUMBER(FIND(MID(CG179&amp;S179,ROW($1:$4),1),CG180&amp;S180)),MID(CG179&amp;S179,ROW($1:$4),1),""))</f>
        <v>23</v>
      </c>
      <c r="CI180" s="22" t="str">
        <f t="array" ref="CI180">_xlfn.TEXTJOIN("",TRUE,IF(ISERROR(FIND(ROW($1:$10)-1,CG180&amp;CH180)),ROW($1:$10)-1,""))</f>
        <v>0456789</v>
      </c>
      <c r="CJ180" s="28" t="str">
        <f t="shared" si="86"/>
        <v>邻传孤</v>
      </c>
    </row>
    <row r="181" spans="1:88">
      <c r="A181" s="32">
        <v>2024308</v>
      </c>
      <c r="B181" s="8" t="s">
        <v>182</v>
      </c>
      <c r="C181" s="49">
        <f t="shared" si="95"/>
        <v>15</v>
      </c>
      <c r="D181" s="50">
        <f t="shared" si="96"/>
        <v>5</v>
      </c>
      <c r="E181" s="51">
        <f t="shared" si="72"/>
        <v>5</v>
      </c>
      <c r="F181" s="52">
        <f>MAX(MID(B181,{1,2,3},1)*1)-MIN(MID(B181,{1,2,3},1)*1)</f>
        <v>2</v>
      </c>
      <c r="G181" s="104">
        <v>0</v>
      </c>
      <c r="H181" s="104">
        <v>1</v>
      </c>
      <c r="I181" s="104">
        <v>2</v>
      </c>
      <c r="J181" s="104">
        <v>3</v>
      </c>
      <c r="K181" s="104">
        <v>4</v>
      </c>
      <c r="L181" s="104">
        <v>5</v>
      </c>
      <c r="M181" s="104">
        <v>6</v>
      </c>
      <c r="N181" s="104">
        <v>7</v>
      </c>
      <c r="O181" s="104">
        <v>8</v>
      </c>
      <c r="P181" s="104">
        <v>9</v>
      </c>
      <c r="Q181" s="53">
        <f t="shared" si="97"/>
        <v>1</v>
      </c>
      <c r="R181" s="53">
        <f t="shared" si="98"/>
        <v>2</v>
      </c>
      <c r="S181" s="53">
        <f t="shared" si="99"/>
        <v>1</v>
      </c>
      <c r="T181" s="101">
        <f t="shared" si="73"/>
        <v>4</v>
      </c>
      <c r="U181" s="15" t="str">
        <f>_xlfn.TEXTJOIN(", ",TRUE,ABS(MID(B181,{1,1,2},1)-MID(B181,{2,3,3},1)))</f>
        <v>1, 2, 1</v>
      </c>
      <c r="V181" s="54">
        <v>0</v>
      </c>
      <c r="W181" s="54">
        <v>1</v>
      </c>
      <c r="X181" s="54">
        <v>2</v>
      </c>
      <c r="Y181" s="54">
        <v>3</v>
      </c>
      <c r="Z181" s="54">
        <v>4</v>
      </c>
      <c r="AA181" s="54">
        <v>5</v>
      </c>
      <c r="AB181" s="54">
        <v>6</v>
      </c>
      <c r="AC181" s="54">
        <v>7</v>
      </c>
      <c r="AD181" s="54">
        <v>8</v>
      </c>
      <c r="AE181" s="54">
        <v>9</v>
      </c>
      <c r="AF181" s="55">
        <v>0</v>
      </c>
      <c r="AG181" s="55">
        <v>1</v>
      </c>
      <c r="AH181" s="55">
        <v>2</v>
      </c>
      <c r="AI181" s="55">
        <v>3</v>
      </c>
      <c r="AJ181" s="55">
        <v>4</v>
      </c>
      <c r="AK181" s="55">
        <v>5</v>
      </c>
      <c r="AL181" s="55">
        <v>6</v>
      </c>
      <c r="AM181" s="55">
        <v>7</v>
      </c>
      <c r="AN181" s="55">
        <v>8</v>
      </c>
      <c r="AO181" s="55">
        <v>9</v>
      </c>
      <c r="AP181" s="105">
        <v>0</v>
      </c>
      <c r="AQ181" s="105">
        <v>1</v>
      </c>
      <c r="AR181" s="105">
        <v>2</v>
      </c>
      <c r="AS181" s="105">
        <v>3</v>
      </c>
      <c r="AT181" s="105">
        <v>4</v>
      </c>
      <c r="AU181" s="105">
        <v>5</v>
      </c>
      <c r="AV181" s="105">
        <v>6</v>
      </c>
      <c r="AW181" s="105">
        <v>7</v>
      </c>
      <c r="AX181" s="105">
        <v>8</v>
      </c>
      <c r="AY181" s="105">
        <v>9</v>
      </c>
      <c r="AZ181" s="56">
        <v>0</v>
      </c>
      <c r="BA181" s="56">
        <v>1</v>
      </c>
      <c r="BB181" s="56">
        <v>2</v>
      </c>
      <c r="BC181" s="56">
        <v>3</v>
      </c>
      <c r="BD181" s="56">
        <v>4</v>
      </c>
      <c r="BE181" s="56">
        <v>5</v>
      </c>
      <c r="BF181" s="56">
        <v>6</v>
      </c>
      <c r="BG181" s="56">
        <v>7</v>
      </c>
      <c r="BH181" s="56">
        <v>8</v>
      </c>
      <c r="BI181" s="56">
        <v>9</v>
      </c>
      <c r="BJ181" s="57" t="str">
        <f t="shared" si="74"/>
        <v>紧凑型</v>
      </c>
      <c r="BK181" s="13">
        <f t="shared" si="70"/>
        <v>1</v>
      </c>
      <c r="BL181" s="13">
        <f t="shared" si="71"/>
        <v>2</v>
      </c>
      <c r="BM181" s="18" t="str">
        <f t="shared" si="76"/>
        <v/>
      </c>
      <c r="BN181" s="19" t="str">
        <f t="shared" si="77"/>
        <v/>
      </c>
      <c r="BO181" s="19" t="str">
        <f t="array" ref="BO181">_xlfn.TEXTJOIN("",TRUE,IF(ISERROR(FIND(ROW($1:$10)-1,BM181&amp;BN181)),ROW($1:$10)-1,""))</f>
        <v>0123456789</v>
      </c>
      <c r="BP181" s="20" t="str">
        <f t="shared" si="78"/>
        <v>中中中</v>
      </c>
      <c r="BQ181" s="21">
        <f t="shared" si="89"/>
        <v>2</v>
      </c>
      <c r="BR181" s="21" t="str">
        <f t="shared" si="87"/>
        <v/>
      </c>
      <c r="BS181" s="21" t="str">
        <f t="array" ref="BS181">_xlfn.TEXTJOIN("",TRUE,IF(ISERROR(FIND(ROW($1:$10)-1,BQ181&amp;BR181)),ROW($1:$10)-1,""))</f>
        <v>013456789</v>
      </c>
      <c r="BT181" s="20" t="str">
        <f t="shared" si="79"/>
        <v>复中中</v>
      </c>
      <c r="BU181" s="22" t="str">
        <f t="shared" si="80"/>
        <v/>
      </c>
      <c r="BV181" s="22" t="str">
        <f t="shared" si="88"/>
        <v/>
      </c>
      <c r="BW181" s="22" t="str">
        <f t="array" ref="BW181">_xlfn.TEXTJOIN("",TRUE,IF(ISERROR(FIND(ROW($1:$10)-1,BU181&amp;BV181)),ROW($1:$10)-1,""))</f>
        <v>0123456789</v>
      </c>
      <c r="BX181" s="20" t="str">
        <f t="shared" si="81"/>
        <v>中中中</v>
      </c>
      <c r="BY181" s="23" t="str">
        <f t="shared" si="75"/>
        <v>02</v>
      </c>
      <c r="BZ181" s="24" t="str">
        <f t="array" ref="BZ181">_xlfn.TEXTJOIN("",TRUE,IF(ISNUMBER(FIND(MID(BY180&amp;Q180,ROW($1:$4),1),BY181&amp;Q181)),MID(BY180&amp;Q180,ROW($1:$4),1),""))</f>
        <v>12</v>
      </c>
      <c r="CA181" s="25" t="str">
        <f t="array" ref="CA181">_xlfn.TEXTJOIN("",TRUE,IF(ISERROR(FIND(ROW($1:$10)-1,BY181&amp;BZ181)),ROW($1:$10)-1,""))</f>
        <v>3456789</v>
      </c>
      <c r="CB181" s="26" t="str">
        <f t="shared" si="82"/>
        <v>邻传孤</v>
      </c>
      <c r="CC181" s="27" t="str">
        <f t="shared" si="83"/>
        <v>13</v>
      </c>
      <c r="CD181" s="27" t="str">
        <f t="array" ref="CD181">_xlfn.TEXTJOIN("",TRUE,IF(ISNUMBER(FIND(MID(CC180&amp;R180,ROW($1:$4),1),CC181&amp;R181)),MID(CC180&amp;R180,ROW($1:$4),1),""))</f>
        <v>3</v>
      </c>
      <c r="CE181" s="27" t="str">
        <f t="array" ref="CE181">_xlfn.TEXTJOIN("",TRUE,IF(ISERROR(FIND(ROW($1:$10)-1,CC181&amp;CD181)),ROW($1:$10)-1,""))</f>
        <v>02456789</v>
      </c>
      <c r="CF181" s="17" t="str">
        <f t="shared" si="84"/>
        <v>邻传孤</v>
      </c>
      <c r="CG181" s="22" t="str">
        <f t="shared" si="85"/>
        <v>02</v>
      </c>
      <c r="CH181" s="22" t="str">
        <f t="array" ref="CH181">_xlfn.TEXTJOIN("",TRUE,IF(ISNUMBER(FIND(MID(CG180&amp;S180,ROW($1:$4),1),CG181&amp;S181)),MID(CG180&amp;S180,ROW($1:$4),1),""))</f>
        <v>12</v>
      </c>
      <c r="CI181" s="22" t="str">
        <f t="array" ref="CI181">_xlfn.TEXTJOIN("",TRUE,IF(ISERROR(FIND(ROW($1:$10)-1,CG181&amp;CH181)),ROW($1:$10)-1,""))</f>
        <v>3456789</v>
      </c>
      <c r="CJ181" s="28" t="str">
        <f t="shared" si="86"/>
        <v>邻传孤</v>
      </c>
    </row>
    <row r="182" spans="1:88">
      <c r="A182" s="32">
        <v>2024309</v>
      </c>
      <c r="B182" s="8" t="s">
        <v>183</v>
      </c>
      <c r="C182" s="49">
        <f t="shared" si="95"/>
        <v>17</v>
      </c>
      <c r="D182" s="50">
        <f t="shared" si="96"/>
        <v>7</v>
      </c>
      <c r="E182" s="51">
        <f t="shared" si="72"/>
        <v>5.6666666666666696</v>
      </c>
      <c r="F182" s="52">
        <f>MAX(MID(B182,{1,2,3},1)*1)-MIN(MID(B182,{1,2,3},1)*1)</f>
        <v>6</v>
      </c>
      <c r="G182" s="104">
        <v>0</v>
      </c>
      <c r="H182" s="104">
        <v>1</v>
      </c>
      <c r="I182" s="104">
        <v>2</v>
      </c>
      <c r="J182" s="104">
        <v>3</v>
      </c>
      <c r="K182" s="104">
        <v>4</v>
      </c>
      <c r="L182" s="104">
        <v>5</v>
      </c>
      <c r="M182" s="104">
        <v>6</v>
      </c>
      <c r="N182" s="104">
        <v>7</v>
      </c>
      <c r="O182" s="104">
        <v>8</v>
      </c>
      <c r="P182" s="104">
        <v>9</v>
      </c>
      <c r="Q182" s="53">
        <f t="shared" si="97"/>
        <v>2</v>
      </c>
      <c r="R182" s="53">
        <f t="shared" si="98"/>
        <v>4</v>
      </c>
      <c r="S182" s="53">
        <f t="shared" si="99"/>
        <v>6</v>
      </c>
      <c r="T182" s="101">
        <f t="shared" si="73"/>
        <v>12</v>
      </c>
      <c r="U182" s="15" t="str">
        <f>_xlfn.TEXTJOIN(", ",TRUE,ABS(MID(B182,{1,1,2},1)-MID(B182,{2,3,3},1)))</f>
        <v>2, 4, 6</v>
      </c>
      <c r="V182" s="54">
        <v>0</v>
      </c>
      <c r="W182" s="54">
        <v>1</v>
      </c>
      <c r="X182" s="54">
        <v>2</v>
      </c>
      <c r="Y182" s="54">
        <v>3</v>
      </c>
      <c r="Z182" s="54">
        <v>4</v>
      </c>
      <c r="AA182" s="54">
        <v>5</v>
      </c>
      <c r="AB182" s="54">
        <v>6</v>
      </c>
      <c r="AC182" s="54">
        <v>7</v>
      </c>
      <c r="AD182" s="54">
        <v>8</v>
      </c>
      <c r="AE182" s="54">
        <v>9</v>
      </c>
      <c r="AF182" s="55">
        <v>0</v>
      </c>
      <c r="AG182" s="55">
        <v>1</v>
      </c>
      <c r="AH182" s="55">
        <v>2</v>
      </c>
      <c r="AI182" s="55">
        <v>3</v>
      </c>
      <c r="AJ182" s="55">
        <v>4</v>
      </c>
      <c r="AK182" s="55">
        <v>5</v>
      </c>
      <c r="AL182" s="55">
        <v>6</v>
      </c>
      <c r="AM182" s="55">
        <v>7</v>
      </c>
      <c r="AN182" s="55">
        <v>8</v>
      </c>
      <c r="AO182" s="55">
        <v>9</v>
      </c>
      <c r="AP182" s="105">
        <v>0</v>
      </c>
      <c r="AQ182" s="105">
        <v>1</v>
      </c>
      <c r="AR182" s="105">
        <v>2</v>
      </c>
      <c r="AS182" s="105">
        <v>3</v>
      </c>
      <c r="AT182" s="105">
        <v>4</v>
      </c>
      <c r="AU182" s="105">
        <v>5</v>
      </c>
      <c r="AV182" s="105">
        <v>6</v>
      </c>
      <c r="AW182" s="105">
        <v>7</v>
      </c>
      <c r="AX182" s="105">
        <v>8</v>
      </c>
      <c r="AY182" s="105">
        <v>9</v>
      </c>
      <c r="AZ182" s="56">
        <v>0</v>
      </c>
      <c r="BA182" s="56">
        <v>1</v>
      </c>
      <c r="BB182" s="56">
        <v>2</v>
      </c>
      <c r="BC182" s="56">
        <v>3</v>
      </c>
      <c r="BD182" s="56">
        <v>4</v>
      </c>
      <c r="BE182" s="56">
        <v>5</v>
      </c>
      <c r="BF182" s="56">
        <v>6</v>
      </c>
      <c r="BG182" s="56">
        <v>7</v>
      </c>
      <c r="BH182" s="56">
        <v>8</v>
      </c>
      <c r="BI182" s="56">
        <v>9</v>
      </c>
      <c r="BJ182" s="57" t="str">
        <f t="shared" si="74"/>
        <v>松散型</v>
      </c>
      <c r="BK182" s="13">
        <f t="shared" si="70"/>
        <v>2</v>
      </c>
      <c r="BL182" s="13">
        <f t="shared" si="71"/>
        <v>6</v>
      </c>
      <c r="BM182" s="18">
        <f t="shared" si="76"/>
        <v>2</v>
      </c>
      <c r="BN182" s="19">
        <f t="shared" si="77"/>
        <v>2</v>
      </c>
      <c r="BO182" s="19" t="str">
        <f t="array" ref="BO182">_xlfn.TEXTJOIN("",TRUE,IF(ISERROR(FIND(ROW($1:$10)-1,BM182&amp;BN182)),ROW($1:$10)-1,""))</f>
        <v>013456789</v>
      </c>
      <c r="BP182" s="20" t="str">
        <f t="shared" si="78"/>
        <v>复隔中</v>
      </c>
      <c r="BQ182" s="21" t="str">
        <f t="shared" si="89"/>
        <v/>
      </c>
      <c r="BR182" s="21">
        <f t="shared" si="87"/>
        <v>4</v>
      </c>
      <c r="BS182" s="21" t="str">
        <f t="array" ref="BS182">_xlfn.TEXTJOIN("",TRUE,IF(ISERROR(FIND(ROW($1:$10)-1,BQ182&amp;BR182)),ROW($1:$10)-1,""))</f>
        <v>012356789</v>
      </c>
      <c r="BT182" s="20" t="str">
        <f t="shared" si="79"/>
        <v>中隔中</v>
      </c>
      <c r="BU182" s="22" t="str">
        <f t="shared" si="80"/>
        <v/>
      </c>
      <c r="BV182" s="22" t="str">
        <f t="shared" si="88"/>
        <v/>
      </c>
      <c r="BW182" s="22" t="str">
        <f t="array" ref="BW182">_xlfn.TEXTJOIN("",TRUE,IF(ISERROR(FIND(ROW($1:$10)-1,BU182&amp;BV182)),ROW($1:$10)-1,""))</f>
        <v>0123456789</v>
      </c>
      <c r="BX182" s="20" t="str">
        <f t="shared" si="81"/>
        <v>中中中</v>
      </c>
      <c r="BY182" s="23" t="str">
        <f t="shared" si="75"/>
        <v>13</v>
      </c>
      <c r="BZ182" s="24" t="str">
        <f t="array" ref="BZ182">_xlfn.TEXTJOIN("",TRUE,IF(ISNUMBER(FIND(MID(BY181&amp;Q181,ROW($1:$4),1),BY182&amp;Q182)),MID(BY181&amp;Q181,ROW($1:$4),1),""))</f>
        <v>21</v>
      </c>
      <c r="CA182" s="25" t="str">
        <f t="array" ref="CA182">_xlfn.TEXTJOIN("",TRUE,IF(ISERROR(FIND(ROW($1:$10)-1,BY182&amp;BZ182)),ROW($1:$10)-1,""))</f>
        <v>0456789</v>
      </c>
      <c r="CB182" s="26" t="str">
        <f t="shared" si="82"/>
        <v>邻传孤</v>
      </c>
      <c r="CC182" s="27" t="str">
        <f t="shared" si="83"/>
        <v>35</v>
      </c>
      <c r="CD182" s="27" t="str">
        <f t="array" ref="CD182">_xlfn.TEXTJOIN("",TRUE,IF(ISNUMBER(FIND(MID(CC181&amp;R181,ROW($1:$4),1),CC182&amp;R182)),MID(CC181&amp;R181,ROW($1:$4),1),""))</f>
        <v>3</v>
      </c>
      <c r="CE182" s="27" t="str">
        <f t="array" ref="CE182">_xlfn.TEXTJOIN("",TRUE,IF(ISERROR(FIND(ROW($1:$10)-1,CC182&amp;CD182)),ROW($1:$10)-1,""))</f>
        <v>01246789</v>
      </c>
      <c r="CF182" s="17" t="str">
        <f t="shared" si="84"/>
        <v>邻传孤</v>
      </c>
      <c r="CG182" s="22" t="str">
        <f t="shared" si="85"/>
        <v>57</v>
      </c>
      <c r="CH182" s="22" t="str">
        <f t="array" ref="CH182">_xlfn.TEXTJOIN("",TRUE,IF(ISNUMBER(FIND(MID(CG181&amp;S181,ROW($1:$4),1),CG182&amp;S182)),MID(CG181&amp;S181,ROW($1:$4),1),""))</f>
        <v/>
      </c>
      <c r="CI182" s="22" t="str">
        <f t="array" ref="CI182">_xlfn.TEXTJOIN("",TRUE,IF(ISERROR(FIND(ROW($1:$10)-1,CG182&amp;CH182)),ROW($1:$10)-1,""))</f>
        <v>01234689</v>
      </c>
      <c r="CJ182" s="28" t="str">
        <f t="shared" si="86"/>
        <v>邻孤孤</v>
      </c>
    </row>
    <row r="183" spans="1:88">
      <c r="A183" s="32">
        <v>2024310</v>
      </c>
      <c r="B183" s="8" t="s">
        <v>184</v>
      </c>
      <c r="C183" s="49">
        <f t="shared" si="95"/>
        <v>9</v>
      </c>
      <c r="D183" s="50">
        <f t="shared" si="96"/>
        <v>9</v>
      </c>
      <c r="E183" s="51">
        <f t="shared" si="72"/>
        <v>3</v>
      </c>
      <c r="F183" s="52">
        <f>MAX(MID(B183,{1,2,3},1)*1)-MIN(MID(B183,{1,2,3},1)*1)</f>
        <v>6</v>
      </c>
      <c r="G183" s="104">
        <v>0</v>
      </c>
      <c r="H183" s="104">
        <v>1</v>
      </c>
      <c r="I183" s="104">
        <v>2</v>
      </c>
      <c r="J183" s="104">
        <v>3</v>
      </c>
      <c r="K183" s="104">
        <v>4</v>
      </c>
      <c r="L183" s="104">
        <v>5</v>
      </c>
      <c r="M183" s="104">
        <v>6</v>
      </c>
      <c r="N183" s="104">
        <v>7</v>
      </c>
      <c r="O183" s="104">
        <v>8</v>
      </c>
      <c r="P183" s="104">
        <v>9</v>
      </c>
      <c r="Q183" s="53">
        <f t="shared" si="97"/>
        <v>6</v>
      </c>
      <c r="R183" s="53">
        <f t="shared" si="98"/>
        <v>3</v>
      </c>
      <c r="S183" s="53">
        <f t="shared" si="99"/>
        <v>3</v>
      </c>
      <c r="T183" s="101">
        <f t="shared" si="73"/>
        <v>12</v>
      </c>
      <c r="U183" s="15" t="str">
        <f>_xlfn.TEXTJOIN(", ",TRUE,ABS(MID(B183,{1,1,2},1)-MID(B183,{2,3,3},1)))</f>
        <v>6, 3, 3</v>
      </c>
      <c r="V183" s="54">
        <v>0</v>
      </c>
      <c r="W183" s="54">
        <v>1</v>
      </c>
      <c r="X183" s="54">
        <v>2</v>
      </c>
      <c r="Y183" s="54">
        <v>3</v>
      </c>
      <c r="Z183" s="54">
        <v>4</v>
      </c>
      <c r="AA183" s="54">
        <v>5</v>
      </c>
      <c r="AB183" s="54">
        <v>6</v>
      </c>
      <c r="AC183" s="54">
        <v>7</v>
      </c>
      <c r="AD183" s="54">
        <v>8</v>
      </c>
      <c r="AE183" s="54">
        <v>9</v>
      </c>
      <c r="AF183" s="55">
        <v>0</v>
      </c>
      <c r="AG183" s="55">
        <v>1</v>
      </c>
      <c r="AH183" s="55">
        <v>2</v>
      </c>
      <c r="AI183" s="55">
        <v>3</v>
      </c>
      <c r="AJ183" s="55">
        <v>4</v>
      </c>
      <c r="AK183" s="55">
        <v>5</v>
      </c>
      <c r="AL183" s="55">
        <v>6</v>
      </c>
      <c r="AM183" s="55">
        <v>7</v>
      </c>
      <c r="AN183" s="55">
        <v>8</v>
      </c>
      <c r="AO183" s="55">
        <v>9</v>
      </c>
      <c r="AP183" s="105">
        <v>0</v>
      </c>
      <c r="AQ183" s="105">
        <v>1</v>
      </c>
      <c r="AR183" s="105">
        <v>2</v>
      </c>
      <c r="AS183" s="105">
        <v>3</v>
      </c>
      <c r="AT183" s="105">
        <v>4</v>
      </c>
      <c r="AU183" s="105">
        <v>5</v>
      </c>
      <c r="AV183" s="105">
        <v>6</v>
      </c>
      <c r="AW183" s="105">
        <v>7</v>
      </c>
      <c r="AX183" s="105">
        <v>8</v>
      </c>
      <c r="AY183" s="105">
        <v>9</v>
      </c>
      <c r="AZ183" s="56">
        <v>0</v>
      </c>
      <c r="BA183" s="56">
        <v>1</v>
      </c>
      <c r="BB183" s="56">
        <v>2</v>
      </c>
      <c r="BC183" s="56">
        <v>3</v>
      </c>
      <c r="BD183" s="56">
        <v>4</v>
      </c>
      <c r="BE183" s="56">
        <v>5</v>
      </c>
      <c r="BF183" s="56">
        <v>6</v>
      </c>
      <c r="BG183" s="56">
        <v>7</v>
      </c>
      <c r="BH183" s="56">
        <v>8</v>
      </c>
      <c r="BI183" s="56">
        <v>9</v>
      </c>
      <c r="BJ183" s="57" t="str">
        <f t="shared" si="74"/>
        <v>松散型</v>
      </c>
      <c r="BK183" s="13">
        <f t="shared" si="70"/>
        <v>3</v>
      </c>
      <c r="BL183" s="13">
        <f t="shared" si="71"/>
        <v>6</v>
      </c>
      <c r="BM183" s="18">
        <f t="shared" si="76"/>
        <v>6</v>
      </c>
      <c r="BN183" s="19" t="str">
        <f t="shared" si="77"/>
        <v/>
      </c>
      <c r="BO183" s="19" t="str">
        <f t="array" ref="BO183">_xlfn.TEXTJOIN("",TRUE,IF(ISERROR(FIND(ROW($1:$10)-1,BM183&amp;BN183)),ROW($1:$10)-1,""))</f>
        <v>012345789</v>
      </c>
      <c r="BP183" s="20" t="str">
        <f t="shared" si="78"/>
        <v>复中中</v>
      </c>
      <c r="BQ183" s="21" t="str">
        <f t="shared" si="89"/>
        <v/>
      </c>
      <c r="BR183" s="21" t="str">
        <f t="shared" si="87"/>
        <v/>
      </c>
      <c r="BS183" s="21" t="str">
        <f t="array" ref="BS183">_xlfn.TEXTJOIN("",TRUE,IF(ISERROR(FIND(ROW($1:$10)-1,BQ183&amp;BR183)),ROW($1:$10)-1,""))</f>
        <v>0123456789</v>
      </c>
      <c r="BT183" s="20" t="str">
        <f t="shared" si="79"/>
        <v>中中中</v>
      </c>
      <c r="BU183" s="22" t="str">
        <f t="shared" si="80"/>
        <v/>
      </c>
      <c r="BV183" s="22" t="str">
        <f t="shared" si="88"/>
        <v/>
      </c>
      <c r="BW183" s="22" t="str">
        <f t="array" ref="BW183">_xlfn.TEXTJOIN("",TRUE,IF(ISERROR(FIND(ROW($1:$10)-1,BU183&amp;BV183)),ROW($1:$10)-1,""))</f>
        <v>0123456789</v>
      </c>
      <c r="BX183" s="20" t="str">
        <f t="shared" si="81"/>
        <v>中中中</v>
      </c>
      <c r="BY183" s="23" t="str">
        <f t="shared" si="75"/>
        <v>57</v>
      </c>
      <c r="BZ183" s="24" t="str">
        <f t="array" ref="BZ183">_xlfn.TEXTJOIN("",TRUE,IF(ISNUMBER(FIND(MID(BY182&amp;Q182,ROW($1:$4),1),BY183&amp;Q183)),MID(BY182&amp;Q182,ROW($1:$4),1),""))</f>
        <v/>
      </c>
      <c r="CA183" s="25" t="str">
        <f t="array" ref="CA183">_xlfn.TEXTJOIN("",TRUE,IF(ISERROR(FIND(ROW($1:$10)-1,BY183&amp;BZ183)),ROW($1:$10)-1,""))</f>
        <v>01234689</v>
      </c>
      <c r="CB183" s="26" t="str">
        <f t="shared" si="82"/>
        <v>邻孤孤</v>
      </c>
      <c r="CC183" s="27" t="str">
        <f t="shared" si="83"/>
        <v>24</v>
      </c>
      <c r="CD183" s="27" t="str">
        <f t="array" ref="CD183">_xlfn.TEXTJOIN("",TRUE,IF(ISNUMBER(FIND(MID(CC182&amp;R182,ROW($1:$4),1),CC183&amp;R183)),MID(CC182&amp;R182,ROW($1:$4),1),""))</f>
        <v>34</v>
      </c>
      <c r="CE183" s="27" t="str">
        <f t="array" ref="CE183">_xlfn.TEXTJOIN("",TRUE,IF(ISERROR(FIND(ROW($1:$10)-1,CC183&amp;CD183)),ROW($1:$10)-1,""))</f>
        <v>0156789</v>
      </c>
      <c r="CF183" s="17" t="str">
        <f t="shared" si="84"/>
        <v>邻传孤</v>
      </c>
      <c r="CG183" s="22" t="str">
        <f t="shared" si="85"/>
        <v>24</v>
      </c>
      <c r="CH183" s="22" t="str">
        <f t="array" ref="CH183">_xlfn.TEXTJOIN("",TRUE,IF(ISNUMBER(FIND(MID(CG182&amp;S182,ROW($1:$4),1),CG183&amp;S183)),MID(CG182&amp;S182,ROW($1:$4),1),""))</f>
        <v/>
      </c>
      <c r="CI183" s="22" t="str">
        <f t="array" ref="CI183">_xlfn.TEXTJOIN("",TRUE,IF(ISERROR(FIND(ROW($1:$10)-1,CG183&amp;CH183)),ROW($1:$10)-1,""))</f>
        <v>01356789</v>
      </c>
      <c r="CJ183" s="28" t="str">
        <f t="shared" si="86"/>
        <v>邻孤孤</v>
      </c>
    </row>
    <row r="184" spans="1:88">
      <c r="A184" s="32">
        <v>2024311</v>
      </c>
      <c r="B184" s="8" t="s">
        <v>185</v>
      </c>
      <c r="C184" s="49">
        <f t="shared" si="95"/>
        <v>13</v>
      </c>
      <c r="D184" s="50">
        <f t="shared" si="96"/>
        <v>3</v>
      </c>
      <c r="E184" s="51">
        <f t="shared" si="72"/>
        <v>4.3333333333333304</v>
      </c>
      <c r="F184" s="52">
        <f>MAX(MID(B184,{1,2,3},1)*1)-MIN(MID(B184,{1,2,3},1)*1)</f>
        <v>7</v>
      </c>
      <c r="G184" s="104">
        <v>0</v>
      </c>
      <c r="H184" s="104">
        <v>1</v>
      </c>
      <c r="I184" s="104">
        <v>2</v>
      </c>
      <c r="J184" s="104">
        <v>3</v>
      </c>
      <c r="K184" s="104">
        <v>4</v>
      </c>
      <c r="L184" s="104">
        <v>5</v>
      </c>
      <c r="M184" s="104">
        <v>6</v>
      </c>
      <c r="N184" s="104">
        <v>7</v>
      </c>
      <c r="O184" s="104">
        <v>8</v>
      </c>
      <c r="P184" s="104">
        <v>9</v>
      </c>
      <c r="Q184" s="53">
        <f t="shared" si="97"/>
        <v>6</v>
      </c>
      <c r="R184" s="53">
        <f t="shared" si="98"/>
        <v>7</v>
      </c>
      <c r="S184" s="53">
        <f t="shared" si="99"/>
        <v>1</v>
      </c>
      <c r="T184" s="101">
        <f t="shared" si="73"/>
        <v>14</v>
      </c>
      <c r="U184" s="15" t="str">
        <f>_xlfn.TEXTJOIN(", ",TRUE,ABS(MID(B184,{1,1,2},1)-MID(B184,{2,3,3},1)))</f>
        <v>6, 7, 1</v>
      </c>
      <c r="V184" s="54">
        <v>0</v>
      </c>
      <c r="W184" s="54">
        <v>1</v>
      </c>
      <c r="X184" s="54">
        <v>2</v>
      </c>
      <c r="Y184" s="54">
        <v>3</v>
      </c>
      <c r="Z184" s="54">
        <v>4</v>
      </c>
      <c r="AA184" s="54">
        <v>5</v>
      </c>
      <c r="AB184" s="54">
        <v>6</v>
      </c>
      <c r="AC184" s="54">
        <v>7</v>
      </c>
      <c r="AD184" s="54">
        <v>8</v>
      </c>
      <c r="AE184" s="54">
        <v>9</v>
      </c>
      <c r="AF184" s="55">
        <v>0</v>
      </c>
      <c r="AG184" s="55">
        <v>1</v>
      </c>
      <c r="AH184" s="55">
        <v>2</v>
      </c>
      <c r="AI184" s="55">
        <v>3</v>
      </c>
      <c r="AJ184" s="55">
        <v>4</v>
      </c>
      <c r="AK184" s="55">
        <v>5</v>
      </c>
      <c r="AL184" s="55">
        <v>6</v>
      </c>
      <c r="AM184" s="55">
        <v>7</v>
      </c>
      <c r="AN184" s="55">
        <v>8</v>
      </c>
      <c r="AO184" s="55">
        <v>9</v>
      </c>
      <c r="AP184" s="105">
        <v>0</v>
      </c>
      <c r="AQ184" s="105">
        <v>1</v>
      </c>
      <c r="AR184" s="105">
        <v>2</v>
      </c>
      <c r="AS184" s="105">
        <v>3</v>
      </c>
      <c r="AT184" s="105">
        <v>4</v>
      </c>
      <c r="AU184" s="105">
        <v>5</v>
      </c>
      <c r="AV184" s="105">
        <v>6</v>
      </c>
      <c r="AW184" s="105">
        <v>7</v>
      </c>
      <c r="AX184" s="105">
        <v>8</v>
      </c>
      <c r="AY184" s="105">
        <v>9</v>
      </c>
      <c r="AZ184" s="56">
        <v>0</v>
      </c>
      <c r="BA184" s="56">
        <v>1</v>
      </c>
      <c r="BB184" s="56">
        <v>2</v>
      </c>
      <c r="BC184" s="56">
        <v>3</v>
      </c>
      <c r="BD184" s="56">
        <v>4</v>
      </c>
      <c r="BE184" s="56">
        <v>5</v>
      </c>
      <c r="BF184" s="56">
        <v>6</v>
      </c>
      <c r="BG184" s="56">
        <v>7</v>
      </c>
      <c r="BH184" s="56">
        <v>8</v>
      </c>
      <c r="BI184" s="56">
        <v>9</v>
      </c>
      <c r="BJ184" s="57" t="str">
        <f t="shared" si="74"/>
        <v>松散型</v>
      </c>
      <c r="BK184" s="13">
        <f t="shared" si="70"/>
        <v>1</v>
      </c>
      <c r="BL184" s="13">
        <f t="shared" si="71"/>
        <v>7</v>
      </c>
      <c r="BM184" s="18">
        <f t="shared" si="76"/>
        <v>6</v>
      </c>
      <c r="BN184" s="19">
        <f t="shared" si="77"/>
        <v>6</v>
      </c>
      <c r="BO184" s="19" t="str">
        <f t="array" ref="BO184">_xlfn.TEXTJOIN("",TRUE,IF(ISERROR(FIND(ROW($1:$10)-1,BM184&amp;BN184)),ROW($1:$10)-1,""))</f>
        <v>012345789</v>
      </c>
      <c r="BP184" s="20" t="str">
        <f t="shared" si="78"/>
        <v>复隔中</v>
      </c>
      <c r="BQ184" s="21" t="str">
        <f t="shared" si="89"/>
        <v/>
      </c>
      <c r="BR184" s="21" t="str">
        <f t="shared" si="87"/>
        <v/>
      </c>
      <c r="BS184" s="21" t="str">
        <f t="array" ref="BS184">_xlfn.TEXTJOIN("",TRUE,IF(ISERROR(FIND(ROW($1:$10)-1,BQ184&amp;BR184)),ROW($1:$10)-1,""))</f>
        <v>0123456789</v>
      </c>
      <c r="BT184" s="20" t="str">
        <f t="shared" si="79"/>
        <v>中中中</v>
      </c>
      <c r="BU184" s="22" t="str">
        <f t="shared" si="80"/>
        <v/>
      </c>
      <c r="BV184" s="22" t="str">
        <f t="shared" si="88"/>
        <v/>
      </c>
      <c r="BW184" s="22" t="str">
        <f t="array" ref="BW184">_xlfn.TEXTJOIN("",TRUE,IF(ISERROR(FIND(ROW($1:$10)-1,BU184&amp;BV184)),ROW($1:$10)-1,""))</f>
        <v>0123456789</v>
      </c>
      <c r="BX184" s="20" t="str">
        <f t="shared" si="81"/>
        <v>中中中</v>
      </c>
      <c r="BY184" s="23" t="str">
        <f t="shared" si="75"/>
        <v>57</v>
      </c>
      <c r="BZ184" s="24" t="str">
        <f t="array" ref="BZ184">_xlfn.TEXTJOIN("",TRUE,IF(ISNUMBER(FIND(MID(BY183&amp;Q183,ROW($1:$4),1),BY184&amp;Q184)),MID(BY183&amp;Q183,ROW($1:$4),1),""))</f>
        <v>576</v>
      </c>
      <c r="CA184" s="25" t="str">
        <f t="array" ref="CA184">_xlfn.TEXTJOIN("",TRUE,IF(ISERROR(FIND(ROW($1:$10)-1,BY184&amp;BZ184)),ROW($1:$10)-1,""))</f>
        <v>0123489</v>
      </c>
      <c r="CB184" s="26" t="str">
        <f t="shared" si="82"/>
        <v>邻传孤</v>
      </c>
      <c r="CC184" s="27" t="str">
        <f t="shared" si="83"/>
        <v>68</v>
      </c>
      <c r="CD184" s="27" t="str">
        <f t="array" ref="CD184">_xlfn.TEXTJOIN("",TRUE,IF(ISNUMBER(FIND(MID(CC183&amp;R183,ROW($1:$4),1),CC184&amp;R184)),MID(CC183&amp;R183,ROW($1:$4),1),""))</f>
        <v/>
      </c>
      <c r="CE184" s="27" t="str">
        <f t="array" ref="CE184">_xlfn.TEXTJOIN("",TRUE,IF(ISERROR(FIND(ROW($1:$10)-1,CC184&amp;CD184)),ROW($1:$10)-1,""))</f>
        <v>01234579</v>
      </c>
      <c r="CF184" s="17" t="str">
        <f t="shared" si="84"/>
        <v>邻孤孤</v>
      </c>
      <c r="CG184" s="22" t="str">
        <f t="shared" si="85"/>
        <v>02</v>
      </c>
      <c r="CH184" s="22" t="str">
        <f t="array" ref="CH184">_xlfn.TEXTJOIN("",TRUE,IF(ISNUMBER(FIND(MID(CG183&amp;S183,ROW($1:$4),1),CG184&amp;S184)),MID(CG183&amp;S183,ROW($1:$4),1),""))</f>
        <v>2</v>
      </c>
      <c r="CI184" s="22" t="str">
        <f t="array" ref="CI184">_xlfn.TEXTJOIN("",TRUE,IF(ISERROR(FIND(ROW($1:$10)-1,CG184&amp;CH184)),ROW($1:$10)-1,""))</f>
        <v>13456789</v>
      </c>
      <c r="CJ184" s="28" t="str">
        <f t="shared" si="86"/>
        <v>邻传孤</v>
      </c>
    </row>
    <row r="185" spans="1:88">
      <c r="A185" s="32">
        <v>2024312</v>
      </c>
      <c r="B185" s="8" t="s">
        <v>186</v>
      </c>
      <c r="C185" s="49">
        <f t="shared" si="95"/>
        <v>16</v>
      </c>
      <c r="D185" s="50">
        <f t="shared" si="96"/>
        <v>6</v>
      </c>
      <c r="E185" s="51">
        <f t="shared" si="72"/>
        <v>5.3333333333333304</v>
      </c>
      <c r="F185" s="52">
        <f>MAX(MID(B185,{1,2,3},1)*1)-MIN(MID(B185,{1,2,3},1)*1)</f>
        <v>3</v>
      </c>
      <c r="G185" s="104">
        <v>0</v>
      </c>
      <c r="H185" s="104">
        <v>1</v>
      </c>
      <c r="I185" s="104">
        <v>2</v>
      </c>
      <c r="J185" s="104">
        <v>3</v>
      </c>
      <c r="K185" s="104">
        <v>4</v>
      </c>
      <c r="L185" s="104">
        <v>5</v>
      </c>
      <c r="M185" s="104">
        <v>6</v>
      </c>
      <c r="N185" s="104">
        <v>7</v>
      </c>
      <c r="O185" s="104">
        <v>8</v>
      </c>
      <c r="P185" s="104">
        <v>9</v>
      </c>
      <c r="Q185" s="53">
        <f t="shared" si="97"/>
        <v>2</v>
      </c>
      <c r="R185" s="53">
        <f t="shared" si="98"/>
        <v>3</v>
      </c>
      <c r="S185" s="53">
        <f t="shared" si="99"/>
        <v>1</v>
      </c>
      <c r="T185" s="101">
        <f t="shared" si="73"/>
        <v>6</v>
      </c>
      <c r="U185" s="15" t="str">
        <f>_xlfn.TEXTJOIN(", ",TRUE,ABS(MID(B185,{1,1,2},1)-MID(B185,{2,3,3},1)))</f>
        <v>2, 3, 1</v>
      </c>
      <c r="V185" s="54">
        <v>0</v>
      </c>
      <c r="W185" s="54">
        <v>1</v>
      </c>
      <c r="X185" s="54">
        <v>2</v>
      </c>
      <c r="Y185" s="54">
        <v>3</v>
      </c>
      <c r="Z185" s="54">
        <v>4</v>
      </c>
      <c r="AA185" s="54">
        <v>5</v>
      </c>
      <c r="AB185" s="54">
        <v>6</v>
      </c>
      <c r="AC185" s="54">
        <v>7</v>
      </c>
      <c r="AD185" s="54">
        <v>8</v>
      </c>
      <c r="AE185" s="54">
        <v>9</v>
      </c>
      <c r="AF185" s="55">
        <v>0</v>
      </c>
      <c r="AG185" s="55">
        <v>1</v>
      </c>
      <c r="AH185" s="55">
        <v>2</v>
      </c>
      <c r="AI185" s="55">
        <v>3</v>
      </c>
      <c r="AJ185" s="55">
        <v>4</v>
      </c>
      <c r="AK185" s="55">
        <v>5</v>
      </c>
      <c r="AL185" s="55">
        <v>6</v>
      </c>
      <c r="AM185" s="55">
        <v>7</v>
      </c>
      <c r="AN185" s="55">
        <v>8</v>
      </c>
      <c r="AO185" s="55">
        <v>9</v>
      </c>
      <c r="AP185" s="105">
        <v>0</v>
      </c>
      <c r="AQ185" s="105">
        <v>1</v>
      </c>
      <c r="AR185" s="105">
        <v>2</v>
      </c>
      <c r="AS185" s="105">
        <v>3</v>
      </c>
      <c r="AT185" s="105">
        <v>4</v>
      </c>
      <c r="AU185" s="105">
        <v>5</v>
      </c>
      <c r="AV185" s="105">
        <v>6</v>
      </c>
      <c r="AW185" s="105">
        <v>7</v>
      </c>
      <c r="AX185" s="105">
        <v>8</v>
      </c>
      <c r="AY185" s="105">
        <v>9</v>
      </c>
      <c r="AZ185" s="56">
        <v>0</v>
      </c>
      <c r="BA185" s="56">
        <v>1</v>
      </c>
      <c r="BB185" s="56">
        <v>2</v>
      </c>
      <c r="BC185" s="56">
        <v>3</v>
      </c>
      <c r="BD185" s="56">
        <v>4</v>
      </c>
      <c r="BE185" s="56">
        <v>5</v>
      </c>
      <c r="BF185" s="56">
        <v>6</v>
      </c>
      <c r="BG185" s="56">
        <v>7</v>
      </c>
      <c r="BH185" s="56">
        <v>8</v>
      </c>
      <c r="BI185" s="56">
        <v>9</v>
      </c>
      <c r="BJ185" s="57" t="str">
        <f t="shared" si="74"/>
        <v>紧凑型</v>
      </c>
      <c r="BK185" s="13">
        <f t="shared" si="70"/>
        <v>1</v>
      </c>
      <c r="BL185" s="13">
        <f t="shared" si="71"/>
        <v>3</v>
      </c>
      <c r="BM185" s="18" t="str">
        <f t="shared" si="76"/>
        <v/>
      </c>
      <c r="BN185" s="19" t="str">
        <f t="shared" si="77"/>
        <v/>
      </c>
      <c r="BO185" s="19" t="str">
        <f t="array" ref="BO185">_xlfn.TEXTJOIN("",TRUE,IF(ISERROR(FIND(ROW($1:$10)-1,BM185&amp;BN185)),ROW($1:$10)-1,""))</f>
        <v>0123456789</v>
      </c>
      <c r="BP185" s="20" t="str">
        <f t="shared" si="78"/>
        <v>中中中</v>
      </c>
      <c r="BQ185" s="21" t="str">
        <f t="shared" si="89"/>
        <v/>
      </c>
      <c r="BR185" s="21">
        <f t="shared" si="87"/>
        <v>3</v>
      </c>
      <c r="BS185" s="21" t="str">
        <f t="array" ref="BS185">_xlfn.TEXTJOIN("",TRUE,IF(ISERROR(FIND(ROW($1:$10)-1,BQ185&amp;BR185)),ROW($1:$10)-1,""))</f>
        <v>012456789</v>
      </c>
      <c r="BT185" s="20" t="str">
        <f t="shared" si="79"/>
        <v>中隔中</v>
      </c>
      <c r="BU185" s="22">
        <f t="shared" si="80"/>
        <v>1</v>
      </c>
      <c r="BV185" s="22" t="str">
        <f t="shared" si="88"/>
        <v/>
      </c>
      <c r="BW185" s="22" t="str">
        <f t="array" ref="BW185">_xlfn.TEXTJOIN("",TRUE,IF(ISERROR(FIND(ROW($1:$10)-1,BU185&amp;BV185)),ROW($1:$10)-1,""))</f>
        <v>023456789</v>
      </c>
      <c r="BX185" s="20" t="str">
        <f t="shared" si="81"/>
        <v>复中中</v>
      </c>
      <c r="BY185" s="23" t="str">
        <f t="shared" si="75"/>
        <v>13</v>
      </c>
      <c r="BZ185" s="24" t="str">
        <f t="array" ref="BZ185">_xlfn.TEXTJOIN("",TRUE,IF(ISNUMBER(FIND(MID(BY184&amp;Q184,ROW($1:$4),1),BY185&amp;Q185)),MID(BY184&amp;Q184,ROW($1:$4),1),""))</f>
        <v/>
      </c>
      <c r="CA185" s="25" t="str">
        <f t="array" ref="CA185">_xlfn.TEXTJOIN("",TRUE,IF(ISERROR(FIND(ROW($1:$10)-1,BY185&amp;BZ185)),ROW($1:$10)-1,""))</f>
        <v>02456789</v>
      </c>
      <c r="CB185" s="26" t="str">
        <f t="shared" si="82"/>
        <v>邻孤孤</v>
      </c>
      <c r="CC185" s="27" t="str">
        <f t="shared" si="83"/>
        <v>24</v>
      </c>
      <c r="CD185" s="27" t="str">
        <f t="array" ref="CD185">_xlfn.TEXTJOIN("",TRUE,IF(ISNUMBER(FIND(MID(CC184&amp;R184,ROW($1:$4),1),CC185&amp;R185)),MID(CC184&amp;R184,ROW($1:$4),1),""))</f>
        <v/>
      </c>
      <c r="CE185" s="27" t="str">
        <f t="array" ref="CE185">_xlfn.TEXTJOIN("",TRUE,IF(ISERROR(FIND(ROW($1:$10)-1,CC185&amp;CD185)),ROW($1:$10)-1,""))</f>
        <v>01356789</v>
      </c>
      <c r="CF185" s="17" t="str">
        <f t="shared" si="84"/>
        <v>邻孤孤</v>
      </c>
      <c r="CG185" s="22" t="str">
        <f t="shared" si="85"/>
        <v>02</v>
      </c>
      <c r="CH185" s="22" t="str">
        <f t="array" ref="CH185">_xlfn.TEXTJOIN("",TRUE,IF(ISNUMBER(FIND(MID(CG184&amp;S184,ROW($1:$4),1),CG185&amp;S185)),MID(CG184&amp;S184,ROW($1:$4),1),""))</f>
        <v>021</v>
      </c>
      <c r="CI185" s="22" t="str">
        <f t="array" ref="CI185">_xlfn.TEXTJOIN("",TRUE,IF(ISERROR(FIND(ROW($1:$10)-1,CG185&amp;CH185)),ROW($1:$10)-1,""))</f>
        <v>3456789</v>
      </c>
      <c r="CJ185" s="28" t="str">
        <f t="shared" si="86"/>
        <v>邻传孤</v>
      </c>
    </row>
    <row r="186" spans="1:88">
      <c r="A186" s="32">
        <v>2024313</v>
      </c>
      <c r="B186" s="8" t="s">
        <v>187</v>
      </c>
      <c r="C186" s="49">
        <f t="shared" si="95"/>
        <v>14</v>
      </c>
      <c r="D186" s="50">
        <f t="shared" si="96"/>
        <v>4</v>
      </c>
      <c r="E186" s="51">
        <f t="shared" si="72"/>
        <v>4.6666666666666696</v>
      </c>
      <c r="F186" s="52">
        <f>MAX(MID(B186,{1,2,3},1)*1)-MIN(MID(B186,{1,2,3},1)*1)</f>
        <v>9</v>
      </c>
      <c r="G186" s="104">
        <v>0</v>
      </c>
      <c r="H186" s="104">
        <v>1</v>
      </c>
      <c r="I186" s="104">
        <v>2</v>
      </c>
      <c r="J186" s="104">
        <v>3</v>
      </c>
      <c r="K186" s="104">
        <v>4</v>
      </c>
      <c r="L186" s="104">
        <v>5</v>
      </c>
      <c r="M186" s="104">
        <v>6</v>
      </c>
      <c r="N186" s="104">
        <v>7</v>
      </c>
      <c r="O186" s="104">
        <v>8</v>
      </c>
      <c r="P186" s="104">
        <v>9</v>
      </c>
      <c r="Q186" s="53">
        <f t="shared" si="97"/>
        <v>9</v>
      </c>
      <c r="R186" s="53">
        <f t="shared" si="98"/>
        <v>5</v>
      </c>
      <c r="S186" s="53">
        <f t="shared" si="99"/>
        <v>4</v>
      </c>
      <c r="T186" s="101">
        <f t="shared" si="73"/>
        <v>18</v>
      </c>
      <c r="U186" s="15" t="str">
        <f>_xlfn.TEXTJOIN(", ",TRUE,ABS(MID(B186,{1,1,2},1)-MID(B186,{2,3,3},1)))</f>
        <v>9, 5, 4</v>
      </c>
      <c r="V186" s="54">
        <v>0</v>
      </c>
      <c r="W186" s="54">
        <v>1</v>
      </c>
      <c r="X186" s="54">
        <v>2</v>
      </c>
      <c r="Y186" s="54">
        <v>3</v>
      </c>
      <c r="Z186" s="54">
        <v>4</v>
      </c>
      <c r="AA186" s="54">
        <v>5</v>
      </c>
      <c r="AB186" s="54">
        <v>6</v>
      </c>
      <c r="AC186" s="54">
        <v>7</v>
      </c>
      <c r="AD186" s="54">
        <v>8</v>
      </c>
      <c r="AE186" s="54">
        <v>9</v>
      </c>
      <c r="AF186" s="55">
        <v>0</v>
      </c>
      <c r="AG186" s="55">
        <v>1</v>
      </c>
      <c r="AH186" s="55">
        <v>2</v>
      </c>
      <c r="AI186" s="55">
        <v>3</v>
      </c>
      <c r="AJ186" s="55">
        <v>4</v>
      </c>
      <c r="AK186" s="55">
        <v>5</v>
      </c>
      <c r="AL186" s="55">
        <v>6</v>
      </c>
      <c r="AM186" s="55">
        <v>7</v>
      </c>
      <c r="AN186" s="55">
        <v>8</v>
      </c>
      <c r="AO186" s="55">
        <v>9</v>
      </c>
      <c r="AP186" s="105">
        <v>0</v>
      </c>
      <c r="AQ186" s="105">
        <v>1</v>
      </c>
      <c r="AR186" s="105">
        <v>2</v>
      </c>
      <c r="AS186" s="105">
        <v>3</v>
      </c>
      <c r="AT186" s="105">
        <v>4</v>
      </c>
      <c r="AU186" s="105">
        <v>5</v>
      </c>
      <c r="AV186" s="105">
        <v>6</v>
      </c>
      <c r="AW186" s="105">
        <v>7</v>
      </c>
      <c r="AX186" s="105">
        <v>8</v>
      </c>
      <c r="AY186" s="105">
        <v>9</v>
      </c>
      <c r="AZ186" s="56">
        <v>0</v>
      </c>
      <c r="BA186" s="56">
        <v>1</v>
      </c>
      <c r="BB186" s="56">
        <v>2</v>
      </c>
      <c r="BC186" s="56">
        <v>3</v>
      </c>
      <c r="BD186" s="56">
        <v>4</v>
      </c>
      <c r="BE186" s="56">
        <v>5</v>
      </c>
      <c r="BF186" s="56">
        <v>6</v>
      </c>
      <c r="BG186" s="56">
        <v>7</v>
      </c>
      <c r="BH186" s="56">
        <v>8</v>
      </c>
      <c r="BI186" s="56">
        <v>9</v>
      </c>
      <c r="BJ186" s="57" t="str">
        <f t="shared" si="74"/>
        <v>松散型</v>
      </c>
      <c r="BK186" s="13">
        <f t="shared" si="70"/>
        <v>4</v>
      </c>
      <c r="BL186" s="13">
        <f t="shared" si="71"/>
        <v>9</v>
      </c>
      <c r="BM186" s="18" t="str">
        <f t="shared" si="76"/>
        <v/>
      </c>
      <c r="BN186" s="19" t="str">
        <f t="shared" si="77"/>
        <v/>
      </c>
      <c r="BO186" s="19" t="str">
        <f t="array" ref="BO186">_xlfn.TEXTJOIN("",TRUE,IF(ISERROR(FIND(ROW($1:$10)-1,BM186&amp;BN186)),ROW($1:$10)-1,""))</f>
        <v>0123456789</v>
      </c>
      <c r="BP186" s="20" t="str">
        <f t="shared" si="78"/>
        <v>中中中</v>
      </c>
      <c r="BQ186" s="21" t="str">
        <f t="shared" si="89"/>
        <v/>
      </c>
      <c r="BR186" s="21" t="str">
        <f t="shared" si="87"/>
        <v/>
      </c>
      <c r="BS186" s="21" t="str">
        <f t="array" ref="BS186">_xlfn.TEXTJOIN("",TRUE,IF(ISERROR(FIND(ROW($1:$10)-1,BQ186&amp;BR186)),ROW($1:$10)-1,""))</f>
        <v>0123456789</v>
      </c>
      <c r="BT186" s="20" t="str">
        <f t="shared" si="79"/>
        <v>中中中</v>
      </c>
      <c r="BU186" s="22" t="str">
        <f t="shared" si="80"/>
        <v/>
      </c>
      <c r="BV186" s="22" t="str">
        <f t="shared" si="88"/>
        <v/>
      </c>
      <c r="BW186" s="22" t="str">
        <f t="array" ref="BW186">_xlfn.TEXTJOIN("",TRUE,IF(ISERROR(FIND(ROW($1:$10)-1,BU186&amp;BV186)),ROW($1:$10)-1,""))</f>
        <v>0123456789</v>
      </c>
      <c r="BX186" s="20" t="str">
        <f t="shared" si="81"/>
        <v>中中中</v>
      </c>
      <c r="BY186" s="23" t="str">
        <f t="shared" si="75"/>
        <v>80</v>
      </c>
      <c r="BZ186" s="24" t="str">
        <f t="array" ref="BZ186">_xlfn.TEXTJOIN("",TRUE,IF(ISNUMBER(FIND(MID(BY185&amp;Q185,ROW($1:$4),1),BY186&amp;Q186)),MID(BY185&amp;Q185,ROW($1:$4),1),""))</f>
        <v/>
      </c>
      <c r="CA186" s="25" t="str">
        <f t="array" ref="CA186">_xlfn.TEXTJOIN("",TRUE,IF(ISERROR(FIND(ROW($1:$10)-1,BY186&amp;BZ186)),ROW($1:$10)-1,""))</f>
        <v>12345679</v>
      </c>
      <c r="CB186" s="26" t="str">
        <f t="shared" si="82"/>
        <v>邻孤孤</v>
      </c>
      <c r="CC186" s="27" t="str">
        <f t="shared" si="83"/>
        <v>46</v>
      </c>
      <c r="CD186" s="27" t="str">
        <f t="array" ref="CD186">_xlfn.TEXTJOIN("",TRUE,IF(ISNUMBER(FIND(MID(CC185&amp;R185,ROW($1:$4),1),CC186&amp;R186)),MID(CC185&amp;R185,ROW($1:$4),1),""))</f>
        <v>4</v>
      </c>
      <c r="CE186" s="27" t="str">
        <f t="array" ref="CE186">_xlfn.TEXTJOIN("",TRUE,IF(ISERROR(FIND(ROW($1:$10)-1,CC186&amp;CD186)),ROW($1:$10)-1,""))</f>
        <v>01235789</v>
      </c>
      <c r="CF186" s="17" t="str">
        <f t="shared" si="84"/>
        <v>邻传孤</v>
      </c>
      <c r="CG186" s="22" t="str">
        <f t="shared" si="85"/>
        <v>35</v>
      </c>
      <c r="CH186" s="22" t="str">
        <f t="array" ref="CH186">_xlfn.TEXTJOIN("",TRUE,IF(ISNUMBER(FIND(MID(CG185&amp;S185,ROW($1:$4),1),CG186&amp;S186)),MID(CG185&amp;S185,ROW($1:$4),1),""))</f>
        <v/>
      </c>
      <c r="CI186" s="22" t="str">
        <f t="array" ref="CI186">_xlfn.TEXTJOIN("",TRUE,IF(ISERROR(FIND(ROW($1:$10)-1,CG186&amp;CH186)),ROW($1:$10)-1,""))</f>
        <v>01246789</v>
      </c>
      <c r="CJ186" s="28" t="str">
        <f t="shared" si="86"/>
        <v>邻孤孤</v>
      </c>
    </row>
    <row r="187" spans="1:88">
      <c r="A187" s="32">
        <v>2024314</v>
      </c>
      <c r="B187" s="8" t="s">
        <v>188</v>
      </c>
      <c r="C187" s="49">
        <f t="shared" si="95"/>
        <v>15</v>
      </c>
      <c r="D187" s="50">
        <f t="shared" si="96"/>
        <v>5</v>
      </c>
      <c r="E187" s="51">
        <f t="shared" si="72"/>
        <v>5</v>
      </c>
      <c r="F187" s="52">
        <f>MAX(MID(B187,{1,2,3},1)*1)-MIN(MID(B187,{1,2,3},1)*1)</f>
        <v>5</v>
      </c>
      <c r="G187" s="104">
        <v>0</v>
      </c>
      <c r="H187" s="104">
        <v>1</v>
      </c>
      <c r="I187" s="104">
        <v>2</v>
      </c>
      <c r="J187" s="104">
        <v>3</v>
      </c>
      <c r="K187" s="104">
        <v>4</v>
      </c>
      <c r="L187" s="104">
        <v>5</v>
      </c>
      <c r="M187" s="104">
        <v>6</v>
      </c>
      <c r="N187" s="104">
        <v>7</v>
      </c>
      <c r="O187" s="104">
        <v>8</v>
      </c>
      <c r="P187" s="104">
        <v>9</v>
      </c>
      <c r="Q187" s="53">
        <f t="shared" si="97"/>
        <v>1</v>
      </c>
      <c r="R187" s="53">
        <f t="shared" si="98"/>
        <v>4</v>
      </c>
      <c r="S187" s="53">
        <f t="shared" si="99"/>
        <v>5</v>
      </c>
      <c r="T187" s="101">
        <f t="shared" si="73"/>
        <v>10</v>
      </c>
      <c r="U187" s="15" t="str">
        <f>_xlfn.TEXTJOIN(", ",TRUE,ABS(MID(B187,{1,1,2},1)-MID(B187,{2,3,3},1)))</f>
        <v>1, 4, 5</v>
      </c>
      <c r="V187" s="54">
        <v>0</v>
      </c>
      <c r="W187" s="54">
        <v>1</v>
      </c>
      <c r="X187" s="54">
        <v>2</v>
      </c>
      <c r="Y187" s="54">
        <v>3</v>
      </c>
      <c r="Z187" s="54">
        <v>4</v>
      </c>
      <c r="AA187" s="54">
        <v>5</v>
      </c>
      <c r="AB187" s="54">
        <v>6</v>
      </c>
      <c r="AC187" s="54">
        <v>7</v>
      </c>
      <c r="AD187" s="54">
        <v>8</v>
      </c>
      <c r="AE187" s="54">
        <v>9</v>
      </c>
      <c r="AF187" s="55">
        <v>0</v>
      </c>
      <c r="AG187" s="55">
        <v>1</v>
      </c>
      <c r="AH187" s="55">
        <v>2</v>
      </c>
      <c r="AI187" s="55">
        <v>3</v>
      </c>
      <c r="AJ187" s="55">
        <v>4</v>
      </c>
      <c r="AK187" s="55">
        <v>5</v>
      </c>
      <c r="AL187" s="55">
        <v>6</v>
      </c>
      <c r="AM187" s="55">
        <v>7</v>
      </c>
      <c r="AN187" s="55">
        <v>8</v>
      </c>
      <c r="AO187" s="55">
        <v>9</v>
      </c>
      <c r="AP187" s="105">
        <v>0</v>
      </c>
      <c r="AQ187" s="105">
        <v>1</v>
      </c>
      <c r="AR187" s="105">
        <v>2</v>
      </c>
      <c r="AS187" s="105">
        <v>3</v>
      </c>
      <c r="AT187" s="105">
        <v>4</v>
      </c>
      <c r="AU187" s="105">
        <v>5</v>
      </c>
      <c r="AV187" s="105">
        <v>6</v>
      </c>
      <c r="AW187" s="105">
        <v>7</v>
      </c>
      <c r="AX187" s="105">
        <v>8</v>
      </c>
      <c r="AY187" s="105">
        <v>9</v>
      </c>
      <c r="AZ187" s="56">
        <v>0</v>
      </c>
      <c r="BA187" s="56">
        <v>1</v>
      </c>
      <c r="BB187" s="56">
        <v>2</v>
      </c>
      <c r="BC187" s="56">
        <v>3</v>
      </c>
      <c r="BD187" s="56">
        <v>4</v>
      </c>
      <c r="BE187" s="56">
        <v>5</v>
      </c>
      <c r="BF187" s="56">
        <v>6</v>
      </c>
      <c r="BG187" s="56">
        <v>7</v>
      </c>
      <c r="BH187" s="56">
        <v>8</v>
      </c>
      <c r="BI187" s="56">
        <v>9</v>
      </c>
      <c r="BJ187" s="57" t="str">
        <f t="shared" si="74"/>
        <v>标准型</v>
      </c>
      <c r="BK187" s="13">
        <f t="shared" si="70"/>
        <v>1</v>
      </c>
      <c r="BL187" s="13">
        <f t="shared" si="71"/>
        <v>5</v>
      </c>
      <c r="BM187" s="18" t="str">
        <f t="shared" si="76"/>
        <v/>
      </c>
      <c r="BN187" s="19">
        <f t="shared" si="77"/>
        <v>1</v>
      </c>
      <c r="BO187" s="19" t="str">
        <f t="array" ref="BO187">_xlfn.TEXTJOIN("",TRUE,IF(ISERROR(FIND(ROW($1:$10)-1,BM187&amp;BN187)),ROW($1:$10)-1,""))</f>
        <v>023456789</v>
      </c>
      <c r="BP187" s="20" t="str">
        <f t="shared" si="78"/>
        <v>中隔中</v>
      </c>
      <c r="BQ187" s="21">
        <f t="shared" si="89"/>
        <v>4</v>
      </c>
      <c r="BR187" s="21" t="str">
        <f t="shared" si="87"/>
        <v/>
      </c>
      <c r="BS187" s="21" t="str">
        <f t="array" ref="BS187">_xlfn.TEXTJOIN("",TRUE,IF(ISERROR(FIND(ROW($1:$10)-1,BQ187&amp;BR187)),ROW($1:$10)-1,""))</f>
        <v>012356789</v>
      </c>
      <c r="BT187" s="20" t="str">
        <f t="shared" si="79"/>
        <v>复中中</v>
      </c>
      <c r="BU187" s="22">
        <f t="shared" si="80"/>
        <v>5</v>
      </c>
      <c r="BV187" s="22" t="str">
        <f t="shared" si="88"/>
        <v/>
      </c>
      <c r="BW187" s="22" t="str">
        <f t="array" ref="BW187">_xlfn.TEXTJOIN("",TRUE,IF(ISERROR(FIND(ROW($1:$10)-1,BU187&amp;BV187)),ROW($1:$10)-1,""))</f>
        <v>012346789</v>
      </c>
      <c r="BX187" s="20" t="str">
        <f t="shared" si="81"/>
        <v>复中中</v>
      </c>
      <c r="BY187" s="23" t="str">
        <f t="shared" si="75"/>
        <v>02</v>
      </c>
      <c r="BZ187" s="24" t="str">
        <f t="array" ref="BZ187">_xlfn.TEXTJOIN("",TRUE,IF(ISNUMBER(FIND(MID(BY186&amp;Q186,ROW($1:$4),1),BY187&amp;Q187)),MID(BY186&amp;Q186,ROW($1:$4),1),""))</f>
        <v>0</v>
      </c>
      <c r="CA187" s="25" t="str">
        <f t="array" ref="CA187">_xlfn.TEXTJOIN("",TRUE,IF(ISERROR(FIND(ROW($1:$10)-1,BY187&amp;BZ187)),ROW($1:$10)-1,""))</f>
        <v>13456789</v>
      </c>
      <c r="CB187" s="26" t="str">
        <f t="shared" si="82"/>
        <v>邻传孤</v>
      </c>
      <c r="CC187" s="27" t="str">
        <f t="shared" si="83"/>
        <v>35</v>
      </c>
      <c r="CD187" s="27" t="str">
        <f t="array" ref="CD187">_xlfn.TEXTJOIN("",TRUE,IF(ISNUMBER(FIND(MID(CC186&amp;R186,ROW($1:$4),1),CC187&amp;R187)),MID(CC186&amp;R186,ROW($1:$4),1),""))</f>
        <v>45</v>
      </c>
      <c r="CE187" s="27" t="str">
        <f t="array" ref="CE187">_xlfn.TEXTJOIN("",TRUE,IF(ISERROR(FIND(ROW($1:$10)-1,CC187&amp;CD187)),ROW($1:$10)-1,""))</f>
        <v>0126789</v>
      </c>
      <c r="CF187" s="17" t="str">
        <f t="shared" si="84"/>
        <v>邻传孤</v>
      </c>
      <c r="CG187" s="22" t="str">
        <f t="shared" si="85"/>
        <v>46</v>
      </c>
      <c r="CH187" s="22" t="str">
        <f t="array" ref="CH187">_xlfn.TEXTJOIN("",TRUE,IF(ISNUMBER(FIND(MID(CG186&amp;S186,ROW($1:$4),1),CG187&amp;S187)),MID(CG186&amp;S186,ROW($1:$4),1),""))</f>
        <v>54</v>
      </c>
      <c r="CI187" s="22" t="str">
        <f t="array" ref="CI187">_xlfn.TEXTJOIN("",TRUE,IF(ISERROR(FIND(ROW($1:$10)-1,CG187&amp;CH187)),ROW($1:$10)-1,""))</f>
        <v>0123789</v>
      </c>
      <c r="CJ187" s="28" t="str">
        <f t="shared" si="86"/>
        <v>邻传孤</v>
      </c>
    </row>
    <row r="188" spans="1:88">
      <c r="A188" s="32">
        <v>2024315</v>
      </c>
      <c r="B188" s="8" t="s">
        <v>189</v>
      </c>
      <c r="C188" s="49">
        <f t="shared" si="95"/>
        <v>10</v>
      </c>
      <c r="D188" s="50">
        <f t="shared" si="96"/>
        <v>0</v>
      </c>
      <c r="E188" s="51">
        <f t="shared" si="72"/>
        <v>3.3333333333333299</v>
      </c>
      <c r="F188" s="52">
        <f>MAX(MID(B188,{1,2,3},1)*1)-MIN(MID(B188,{1,2,3},1)*1)</f>
        <v>8</v>
      </c>
      <c r="G188" s="104">
        <v>0</v>
      </c>
      <c r="H188" s="104">
        <v>1</v>
      </c>
      <c r="I188" s="104">
        <v>2</v>
      </c>
      <c r="J188" s="104">
        <v>3</v>
      </c>
      <c r="K188" s="104">
        <v>4</v>
      </c>
      <c r="L188" s="104">
        <v>5</v>
      </c>
      <c r="M188" s="104">
        <v>6</v>
      </c>
      <c r="N188" s="104">
        <v>7</v>
      </c>
      <c r="O188" s="104">
        <v>8</v>
      </c>
      <c r="P188" s="104">
        <v>9</v>
      </c>
      <c r="Q188" s="53">
        <f t="shared" si="97"/>
        <v>8</v>
      </c>
      <c r="R188" s="53">
        <f t="shared" si="98"/>
        <v>6</v>
      </c>
      <c r="S188" s="53">
        <f t="shared" si="99"/>
        <v>2</v>
      </c>
      <c r="T188" s="101">
        <f t="shared" si="73"/>
        <v>16</v>
      </c>
      <c r="U188" s="15" t="str">
        <f>_xlfn.TEXTJOIN(", ",TRUE,ABS(MID(B188,{1,1,2},1)-MID(B188,{2,3,3},1)))</f>
        <v>8, 6, 2</v>
      </c>
      <c r="V188" s="54">
        <v>0</v>
      </c>
      <c r="W188" s="54">
        <v>1</v>
      </c>
      <c r="X188" s="54">
        <v>2</v>
      </c>
      <c r="Y188" s="54">
        <v>3</v>
      </c>
      <c r="Z188" s="54">
        <v>4</v>
      </c>
      <c r="AA188" s="54">
        <v>5</v>
      </c>
      <c r="AB188" s="54">
        <v>6</v>
      </c>
      <c r="AC188" s="54">
        <v>7</v>
      </c>
      <c r="AD188" s="54">
        <v>8</v>
      </c>
      <c r="AE188" s="54">
        <v>9</v>
      </c>
      <c r="AF188" s="55">
        <v>0</v>
      </c>
      <c r="AG188" s="55">
        <v>1</v>
      </c>
      <c r="AH188" s="55">
        <v>2</v>
      </c>
      <c r="AI188" s="55">
        <v>3</v>
      </c>
      <c r="AJ188" s="55">
        <v>4</v>
      </c>
      <c r="AK188" s="55">
        <v>5</v>
      </c>
      <c r="AL188" s="55">
        <v>6</v>
      </c>
      <c r="AM188" s="55">
        <v>7</v>
      </c>
      <c r="AN188" s="55">
        <v>8</v>
      </c>
      <c r="AO188" s="55">
        <v>9</v>
      </c>
      <c r="AP188" s="105">
        <v>0</v>
      </c>
      <c r="AQ188" s="105">
        <v>1</v>
      </c>
      <c r="AR188" s="105">
        <v>2</v>
      </c>
      <c r="AS188" s="105">
        <v>3</v>
      </c>
      <c r="AT188" s="105">
        <v>4</v>
      </c>
      <c r="AU188" s="105">
        <v>5</v>
      </c>
      <c r="AV188" s="105">
        <v>6</v>
      </c>
      <c r="AW188" s="105">
        <v>7</v>
      </c>
      <c r="AX188" s="105">
        <v>8</v>
      </c>
      <c r="AY188" s="105">
        <v>9</v>
      </c>
      <c r="AZ188" s="56">
        <v>0</v>
      </c>
      <c r="BA188" s="56">
        <v>1</v>
      </c>
      <c r="BB188" s="56">
        <v>2</v>
      </c>
      <c r="BC188" s="56">
        <v>3</v>
      </c>
      <c r="BD188" s="56">
        <v>4</v>
      </c>
      <c r="BE188" s="56">
        <v>5</v>
      </c>
      <c r="BF188" s="56">
        <v>6</v>
      </c>
      <c r="BG188" s="56">
        <v>7</v>
      </c>
      <c r="BH188" s="56">
        <v>8</v>
      </c>
      <c r="BI188" s="56">
        <v>9</v>
      </c>
      <c r="BJ188" s="57" t="str">
        <f t="shared" si="74"/>
        <v>松散型</v>
      </c>
      <c r="BK188" s="13">
        <f t="shared" si="70"/>
        <v>2</v>
      </c>
      <c r="BL188" s="13">
        <f t="shared" si="71"/>
        <v>8</v>
      </c>
      <c r="BM188" s="18" t="str">
        <f t="shared" si="76"/>
        <v/>
      </c>
      <c r="BN188" s="19" t="str">
        <f t="shared" si="77"/>
        <v/>
      </c>
      <c r="BO188" s="19" t="str">
        <f t="array" ref="BO188">_xlfn.TEXTJOIN("",TRUE,IF(ISERROR(FIND(ROW($1:$10)-1,BM188&amp;BN188)),ROW($1:$10)-1,""))</f>
        <v>0123456789</v>
      </c>
      <c r="BP188" s="20" t="str">
        <f t="shared" si="78"/>
        <v>中中中</v>
      </c>
      <c r="BQ188" s="21" t="str">
        <f t="shared" si="89"/>
        <v/>
      </c>
      <c r="BR188" s="21" t="str">
        <f t="shared" si="87"/>
        <v/>
      </c>
      <c r="BS188" s="21" t="str">
        <f t="array" ref="BS188">_xlfn.TEXTJOIN("",TRUE,IF(ISERROR(FIND(ROW($1:$10)-1,BQ188&amp;BR188)),ROW($1:$10)-1,""))</f>
        <v>0123456789</v>
      </c>
      <c r="BT188" s="20" t="str">
        <f t="shared" si="79"/>
        <v>中中中</v>
      </c>
      <c r="BU188" s="22" t="str">
        <f t="shared" si="80"/>
        <v/>
      </c>
      <c r="BV188" s="22" t="str">
        <f t="shared" si="88"/>
        <v/>
      </c>
      <c r="BW188" s="22" t="str">
        <f t="array" ref="BW188">_xlfn.TEXTJOIN("",TRUE,IF(ISERROR(FIND(ROW($1:$10)-1,BU188&amp;BV188)),ROW($1:$10)-1,""))</f>
        <v>0123456789</v>
      </c>
      <c r="BX188" s="20" t="str">
        <f t="shared" si="81"/>
        <v>中中中</v>
      </c>
      <c r="BY188" s="23" t="str">
        <f t="shared" si="75"/>
        <v>79</v>
      </c>
      <c r="BZ188" s="24" t="str">
        <f t="array" ref="BZ188">_xlfn.TEXTJOIN("",TRUE,IF(ISNUMBER(FIND(MID(BY187&amp;Q187,ROW($1:$4),1),BY188&amp;Q188)),MID(BY187&amp;Q187,ROW($1:$4),1),""))</f>
        <v/>
      </c>
      <c r="CA188" s="25" t="str">
        <f t="array" ref="CA188">_xlfn.TEXTJOIN("",TRUE,IF(ISERROR(FIND(ROW($1:$10)-1,BY188&amp;BZ188)),ROW($1:$10)-1,""))</f>
        <v>01234568</v>
      </c>
      <c r="CB188" s="26" t="str">
        <f t="shared" si="82"/>
        <v>邻孤孤</v>
      </c>
      <c r="CC188" s="27" t="str">
        <f t="shared" si="83"/>
        <v>57</v>
      </c>
      <c r="CD188" s="27" t="str">
        <f t="array" ref="CD188">_xlfn.TEXTJOIN("",TRUE,IF(ISNUMBER(FIND(MID(CC187&amp;R187,ROW($1:$4),1),CC188&amp;R188)),MID(CC187&amp;R187,ROW($1:$4),1),""))</f>
        <v>5</v>
      </c>
      <c r="CE188" s="27" t="str">
        <f t="array" ref="CE188">_xlfn.TEXTJOIN("",TRUE,IF(ISERROR(FIND(ROW($1:$10)-1,CC188&amp;CD188)),ROW($1:$10)-1,""))</f>
        <v>01234689</v>
      </c>
      <c r="CF188" s="17" t="str">
        <f t="shared" si="84"/>
        <v>邻传孤</v>
      </c>
      <c r="CG188" s="22" t="str">
        <f t="shared" si="85"/>
        <v>13</v>
      </c>
      <c r="CH188" s="22" t="str">
        <f t="array" ref="CH188">_xlfn.TEXTJOIN("",TRUE,IF(ISNUMBER(FIND(MID(CG187&amp;S187,ROW($1:$4),1),CG188&amp;S188)),MID(CG187&amp;S187,ROW($1:$4),1),""))</f>
        <v/>
      </c>
      <c r="CI188" s="22" t="str">
        <f t="array" ref="CI188">_xlfn.TEXTJOIN("",TRUE,IF(ISERROR(FIND(ROW($1:$10)-1,CG188&amp;CH188)),ROW($1:$10)-1,""))</f>
        <v>02456789</v>
      </c>
      <c r="CJ188" s="28" t="str">
        <f t="shared" si="86"/>
        <v>邻孤孤</v>
      </c>
    </row>
    <row r="189" spans="1:88">
      <c r="A189" s="32">
        <v>2024316</v>
      </c>
      <c r="B189" s="8" t="s">
        <v>190</v>
      </c>
      <c r="C189" s="49">
        <f t="shared" si="95"/>
        <v>24</v>
      </c>
      <c r="D189" s="50">
        <f t="shared" si="96"/>
        <v>4</v>
      </c>
      <c r="E189" s="51">
        <f t="shared" si="72"/>
        <v>8</v>
      </c>
      <c r="F189" s="52">
        <f>MAX(MID(B189,{1,2,3},1)*1)-MIN(MID(B189,{1,2,3},1)*1)</f>
        <v>2</v>
      </c>
      <c r="G189" s="104">
        <v>0</v>
      </c>
      <c r="H189" s="104">
        <v>1</v>
      </c>
      <c r="I189" s="104">
        <v>2</v>
      </c>
      <c r="J189" s="104">
        <v>3</v>
      </c>
      <c r="K189" s="104">
        <v>4</v>
      </c>
      <c r="L189" s="104">
        <v>5</v>
      </c>
      <c r="M189" s="104">
        <v>6</v>
      </c>
      <c r="N189" s="104">
        <v>7</v>
      </c>
      <c r="O189" s="104">
        <v>8</v>
      </c>
      <c r="P189" s="104">
        <v>9</v>
      </c>
      <c r="Q189" s="53">
        <f t="shared" si="97"/>
        <v>1</v>
      </c>
      <c r="R189" s="53">
        <f t="shared" si="98"/>
        <v>2</v>
      </c>
      <c r="S189" s="53">
        <f t="shared" si="99"/>
        <v>1</v>
      </c>
      <c r="T189" s="101">
        <f t="shared" si="73"/>
        <v>4</v>
      </c>
      <c r="U189" s="15" t="str">
        <f>_xlfn.TEXTJOIN(", ",TRUE,ABS(MID(B189,{1,1,2},1)-MID(B189,{2,3,3},1)))</f>
        <v>1, 2, 1</v>
      </c>
      <c r="V189" s="54">
        <v>0</v>
      </c>
      <c r="W189" s="54">
        <v>1</v>
      </c>
      <c r="X189" s="54">
        <v>2</v>
      </c>
      <c r="Y189" s="54">
        <v>3</v>
      </c>
      <c r="Z189" s="54">
        <v>4</v>
      </c>
      <c r="AA189" s="54">
        <v>5</v>
      </c>
      <c r="AB189" s="54">
        <v>6</v>
      </c>
      <c r="AC189" s="54">
        <v>7</v>
      </c>
      <c r="AD189" s="54">
        <v>8</v>
      </c>
      <c r="AE189" s="54">
        <v>9</v>
      </c>
      <c r="AF189" s="55">
        <v>0</v>
      </c>
      <c r="AG189" s="55">
        <v>1</v>
      </c>
      <c r="AH189" s="55">
        <v>2</v>
      </c>
      <c r="AI189" s="55">
        <v>3</v>
      </c>
      <c r="AJ189" s="55">
        <v>4</v>
      </c>
      <c r="AK189" s="55">
        <v>5</v>
      </c>
      <c r="AL189" s="55">
        <v>6</v>
      </c>
      <c r="AM189" s="55">
        <v>7</v>
      </c>
      <c r="AN189" s="55">
        <v>8</v>
      </c>
      <c r="AO189" s="55">
        <v>9</v>
      </c>
      <c r="AP189" s="105">
        <v>0</v>
      </c>
      <c r="AQ189" s="105">
        <v>1</v>
      </c>
      <c r="AR189" s="105">
        <v>2</v>
      </c>
      <c r="AS189" s="105">
        <v>3</v>
      </c>
      <c r="AT189" s="105">
        <v>4</v>
      </c>
      <c r="AU189" s="105">
        <v>5</v>
      </c>
      <c r="AV189" s="105">
        <v>6</v>
      </c>
      <c r="AW189" s="105">
        <v>7</v>
      </c>
      <c r="AX189" s="105">
        <v>8</v>
      </c>
      <c r="AY189" s="105">
        <v>9</v>
      </c>
      <c r="AZ189" s="56">
        <v>0</v>
      </c>
      <c r="BA189" s="56">
        <v>1</v>
      </c>
      <c r="BB189" s="56">
        <v>2</v>
      </c>
      <c r="BC189" s="56">
        <v>3</v>
      </c>
      <c r="BD189" s="56">
        <v>4</v>
      </c>
      <c r="BE189" s="56">
        <v>5</v>
      </c>
      <c r="BF189" s="56">
        <v>6</v>
      </c>
      <c r="BG189" s="56">
        <v>7</v>
      </c>
      <c r="BH189" s="56">
        <v>8</v>
      </c>
      <c r="BI189" s="56">
        <v>9</v>
      </c>
      <c r="BJ189" s="57" t="str">
        <f t="shared" si="74"/>
        <v>紧凑型</v>
      </c>
      <c r="BK189" s="13">
        <f t="shared" si="70"/>
        <v>1</v>
      </c>
      <c r="BL189" s="13">
        <f t="shared" si="71"/>
        <v>2</v>
      </c>
      <c r="BM189" s="18" t="str">
        <f t="shared" si="76"/>
        <v/>
      </c>
      <c r="BN189" s="19">
        <f t="shared" si="77"/>
        <v>1</v>
      </c>
      <c r="BO189" s="19" t="str">
        <f t="array" ref="BO189">_xlfn.TEXTJOIN("",TRUE,IF(ISERROR(FIND(ROW($1:$10)-1,BM189&amp;BN189)),ROW($1:$10)-1,""))</f>
        <v>023456789</v>
      </c>
      <c r="BP189" s="20" t="str">
        <f t="shared" si="78"/>
        <v>中隔中</v>
      </c>
      <c r="BQ189" s="21">
        <f t="shared" si="89"/>
        <v>2</v>
      </c>
      <c r="BR189" s="21" t="str">
        <f t="shared" si="87"/>
        <v/>
      </c>
      <c r="BS189" s="21" t="str">
        <f t="array" ref="BS189">_xlfn.TEXTJOIN("",TRUE,IF(ISERROR(FIND(ROW($1:$10)-1,BQ189&amp;BR189)),ROW($1:$10)-1,""))</f>
        <v>013456789</v>
      </c>
      <c r="BT189" s="20" t="str">
        <f t="shared" si="79"/>
        <v>复中中</v>
      </c>
      <c r="BU189" s="22" t="str">
        <f t="shared" si="80"/>
        <v/>
      </c>
      <c r="BV189" s="22">
        <f t="shared" si="88"/>
        <v>1</v>
      </c>
      <c r="BW189" s="22" t="str">
        <f t="array" ref="BW189">_xlfn.TEXTJOIN("",TRUE,IF(ISERROR(FIND(ROW($1:$10)-1,BU189&amp;BV189)),ROW($1:$10)-1,""))</f>
        <v>023456789</v>
      </c>
      <c r="BX189" s="20" t="str">
        <f t="shared" si="81"/>
        <v>中隔中</v>
      </c>
      <c r="BY189" s="23" t="str">
        <f t="shared" si="75"/>
        <v>02</v>
      </c>
      <c r="BZ189" s="24" t="str">
        <f t="array" ref="BZ189">_xlfn.TEXTJOIN("",TRUE,IF(ISNUMBER(FIND(MID(BY188&amp;Q188,ROW($1:$4),1),BY189&amp;Q189)),MID(BY188&amp;Q188,ROW($1:$4),1),""))</f>
        <v/>
      </c>
      <c r="CA189" s="25" t="str">
        <f t="array" ref="CA189">_xlfn.TEXTJOIN("",TRUE,IF(ISERROR(FIND(ROW($1:$10)-1,BY189&amp;BZ189)),ROW($1:$10)-1,""))</f>
        <v>13456789</v>
      </c>
      <c r="CB189" s="26" t="str">
        <f t="shared" si="82"/>
        <v>邻孤孤</v>
      </c>
      <c r="CC189" s="27" t="str">
        <f t="shared" si="83"/>
        <v>13</v>
      </c>
      <c r="CD189" s="27" t="str">
        <f t="array" ref="CD189">_xlfn.TEXTJOIN("",TRUE,IF(ISNUMBER(FIND(MID(CC188&amp;R188,ROW($1:$4),1),CC189&amp;R189)),MID(CC188&amp;R188,ROW($1:$4),1),""))</f>
        <v/>
      </c>
      <c r="CE189" s="27" t="str">
        <f t="array" ref="CE189">_xlfn.TEXTJOIN("",TRUE,IF(ISERROR(FIND(ROW($1:$10)-1,CC189&amp;CD189)),ROW($1:$10)-1,""))</f>
        <v>02456789</v>
      </c>
      <c r="CF189" s="17" t="str">
        <f t="shared" si="84"/>
        <v>邻孤孤</v>
      </c>
      <c r="CG189" s="22" t="str">
        <f t="shared" si="85"/>
        <v>02</v>
      </c>
      <c r="CH189" s="22" t="str">
        <f t="array" ref="CH189">_xlfn.TEXTJOIN("",TRUE,IF(ISNUMBER(FIND(MID(CG188&amp;S188,ROW($1:$4),1),CG189&amp;S189)),MID(CG188&amp;S188,ROW($1:$4),1),""))</f>
        <v>12</v>
      </c>
      <c r="CI189" s="22" t="str">
        <f t="array" ref="CI189">_xlfn.TEXTJOIN("",TRUE,IF(ISERROR(FIND(ROW($1:$10)-1,CG189&amp;CH189)),ROW($1:$10)-1,""))</f>
        <v>3456789</v>
      </c>
      <c r="CJ189" s="28" t="str">
        <f t="shared" si="86"/>
        <v>邻传孤</v>
      </c>
    </row>
    <row r="190" spans="1:88">
      <c r="A190" s="32">
        <v>2024317</v>
      </c>
      <c r="B190" s="8" t="s">
        <v>191</v>
      </c>
      <c r="C190" s="49">
        <f t="shared" si="95"/>
        <v>17</v>
      </c>
      <c r="D190" s="50">
        <f t="shared" si="96"/>
        <v>7</v>
      </c>
      <c r="E190" s="51">
        <f t="shared" si="72"/>
        <v>5.6666666666666696</v>
      </c>
      <c r="F190" s="52">
        <f>MAX(MID(B190,{1,2,3},1)*1)-MIN(MID(B190,{1,2,3},1)*1)</f>
        <v>5</v>
      </c>
      <c r="G190" s="104">
        <v>0</v>
      </c>
      <c r="H190" s="104">
        <v>1</v>
      </c>
      <c r="I190" s="104">
        <v>2</v>
      </c>
      <c r="J190" s="104">
        <v>3</v>
      </c>
      <c r="K190" s="104">
        <v>4</v>
      </c>
      <c r="L190" s="104">
        <v>5</v>
      </c>
      <c r="M190" s="104">
        <v>6</v>
      </c>
      <c r="N190" s="104">
        <v>7</v>
      </c>
      <c r="O190" s="104">
        <v>8</v>
      </c>
      <c r="P190" s="104">
        <v>9</v>
      </c>
      <c r="Q190" s="53">
        <f t="shared" si="97"/>
        <v>5</v>
      </c>
      <c r="R190" s="53">
        <f t="shared" si="98"/>
        <v>3</v>
      </c>
      <c r="S190" s="53">
        <f t="shared" si="99"/>
        <v>2</v>
      </c>
      <c r="T190" s="101">
        <f t="shared" si="73"/>
        <v>10</v>
      </c>
      <c r="U190" s="15" t="str">
        <f>_xlfn.TEXTJOIN(", ",TRUE,ABS(MID(B190,{1,1,2},1)-MID(B190,{2,3,3},1)))</f>
        <v>5, 3, 2</v>
      </c>
      <c r="V190" s="54">
        <v>0</v>
      </c>
      <c r="W190" s="54">
        <v>1</v>
      </c>
      <c r="X190" s="54">
        <v>2</v>
      </c>
      <c r="Y190" s="54">
        <v>3</v>
      </c>
      <c r="Z190" s="54">
        <v>4</v>
      </c>
      <c r="AA190" s="54">
        <v>5</v>
      </c>
      <c r="AB190" s="54">
        <v>6</v>
      </c>
      <c r="AC190" s="54">
        <v>7</v>
      </c>
      <c r="AD190" s="54">
        <v>8</v>
      </c>
      <c r="AE190" s="54">
        <v>9</v>
      </c>
      <c r="AF190" s="55">
        <v>0</v>
      </c>
      <c r="AG190" s="55">
        <v>1</v>
      </c>
      <c r="AH190" s="55">
        <v>2</v>
      </c>
      <c r="AI190" s="55">
        <v>3</v>
      </c>
      <c r="AJ190" s="55">
        <v>4</v>
      </c>
      <c r="AK190" s="55">
        <v>5</v>
      </c>
      <c r="AL190" s="55">
        <v>6</v>
      </c>
      <c r="AM190" s="55">
        <v>7</v>
      </c>
      <c r="AN190" s="55">
        <v>8</v>
      </c>
      <c r="AO190" s="55">
        <v>9</v>
      </c>
      <c r="AP190" s="105">
        <v>0</v>
      </c>
      <c r="AQ190" s="105">
        <v>1</v>
      </c>
      <c r="AR190" s="105">
        <v>2</v>
      </c>
      <c r="AS190" s="105">
        <v>3</v>
      </c>
      <c r="AT190" s="105">
        <v>4</v>
      </c>
      <c r="AU190" s="105">
        <v>5</v>
      </c>
      <c r="AV190" s="105">
        <v>6</v>
      </c>
      <c r="AW190" s="105">
        <v>7</v>
      </c>
      <c r="AX190" s="105">
        <v>8</v>
      </c>
      <c r="AY190" s="105">
        <v>9</v>
      </c>
      <c r="AZ190" s="56">
        <v>0</v>
      </c>
      <c r="BA190" s="56">
        <v>1</v>
      </c>
      <c r="BB190" s="56">
        <v>2</v>
      </c>
      <c r="BC190" s="56">
        <v>3</v>
      </c>
      <c r="BD190" s="56">
        <v>4</v>
      </c>
      <c r="BE190" s="56">
        <v>5</v>
      </c>
      <c r="BF190" s="56">
        <v>6</v>
      </c>
      <c r="BG190" s="56">
        <v>7</v>
      </c>
      <c r="BH190" s="56">
        <v>8</v>
      </c>
      <c r="BI190" s="56">
        <v>9</v>
      </c>
      <c r="BJ190" s="57" t="str">
        <f t="shared" si="74"/>
        <v>标准型</v>
      </c>
      <c r="BK190" s="13">
        <f t="shared" si="70"/>
        <v>2</v>
      </c>
      <c r="BL190" s="13">
        <f t="shared" si="71"/>
        <v>5</v>
      </c>
      <c r="BM190" s="18" t="str">
        <f t="shared" si="76"/>
        <v/>
      </c>
      <c r="BN190" s="19" t="str">
        <f t="shared" si="77"/>
        <v/>
      </c>
      <c r="BO190" s="19" t="str">
        <f t="array" ref="BO190">_xlfn.TEXTJOIN("",TRUE,IF(ISERROR(FIND(ROW($1:$10)-1,BM190&amp;BN190)),ROW($1:$10)-1,""))</f>
        <v>0123456789</v>
      </c>
      <c r="BP190" s="20" t="str">
        <f t="shared" si="78"/>
        <v>中中中</v>
      </c>
      <c r="BQ190" s="21" t="str">
        <f t="shared" si="89"/>
        <v/>
      </c>
      <c r="BR190" s="21" t="str">
        <f t="shared" si="87"/>
        <v/>
      </c>
      <c r="BS190" s="21" t="str">
        <f t="array" ref="BS190">_xlfn.TEXTJOIN("",TRUE,IF(ISERROR(FIND(ROW($1:$10)-1,BQ190&amp;BR190)),ROW($1:$10)-1,""))</f>
        <v>0123456789</v>
      </c>
      <c r="BT190" s="20" t="str">
        <f t="shared" si="79"/>
        <v>中中中</v>
      </c>
      <c r="BU190" s="22">
        <f t="shared" si="80"/>
        <v>2</v>
      </c>
      <c r="BV190" s="22">
        <f t="shared" si="88"/>
        <v>2</v>
      </c>
      <c r="BW190" s="22" t="str">
        <f t="array" ref="BW190">_xlfn.TEXTJOIN("",TRUE,IF(ISERROR(FIND(ROW($1:$10)-1,BU190&amp;BV190)),ROW($1:$10)-1,""))</f>
        <v>013456789</v>
      </c>
      <c r="BX190" s="20" t="str">
        <f t="shared" si="81"/>
        <v>复隔中</v>
      </c>
      <c r="BY190" s="23" t="str">
        <f t="shared" si="75"/>
        <v>46</v>
      </c>
      <c r="BZ190" s="24" t="str">
        <f t="array" ref="BZ190">_xlfn.TEXTJOIN("",TRUE,IF(ISNUMBER(FIND(MID(BY189&amp;Q189,ROW($1:$4),1),BY190&amp;Q190)),MID(BY189&amp;Q189,ROW($1:$4),1),""))</f>
        <v/>
      </c>
      <c r="CA190" s="25" t="str">
        <f t="array" ref="CA190">_xlfn.TEXTJOIN("",TRUE,IF(ISERROR(FIND(ROW($1:$10)-1,BY190&amp;BZ190)),ROW($1:$10)-1,""))</f>
        <v>01235789</v>
      </c>
      <c r="CB190" s="26" t="str">
        <f t="shared" si="82"/>
        <v>邻孤孤</v>
      </c>
      <c r="CC190" s="27" t="str">
        <f t="shared" si="83"/>
        <v>24</v>
      </c>
      <c r="CD190" s="27" t="str">
        <f t="array" ref="CD190">_xlfn.TEXTJOIN("",TRUE,IF(ISNUMBER(FIND(MID(CC189&amp;R189,ROW($1:$4),1),CC190&amp;R190)),MID(CC189&amp;R189,ROW($1:$4),1),""))</f>
        <v>32</v>
      </c>
      <c r="CE190" s="27" t="str">
        <f t="array" ref="CE190">_xlfn.TEXTJOIN("",TRUE,IF(ISERROR(FIND(ROW($1:$10)-1,CC190&amp;CD190)),ROW($1:$10)-1,""))</f>
        <v>0156789</v>
      </c>
      <c r="CF190" s="17" t="str">
        <f t="shared" si="84"/>
        <v>邻传孤</v>
      </c>
      <c r="CG190" s="22" t="str">
        <f t="shared" si="85"/>
        <v>13</v>
      </c>
      <c r="CH190" s="22" t="str">
        <f t="array" ref="CH190">_xlfn.TEXTJOIN("",TRUE,IF(ISNUMBER(FIND(MID(CG189&amp;S189,ROW($1:$4),1),CG190&amp;S190)),MID(CG189&amp;S189,ROW($1:$4),1),""))</f>
        <v>21</v>
      </c>
      <c r="CI190" s="22" t="str">
        <f t="array" ref="CI190">_xlfn.TEXTJOIN("",TRUE,IF(ISERROR(FIND(ROW($1:$10)-1,CG190&amp;CH190)),ROW($1:$10)-1,""))</f>
        <v>0456789</v>
      </c>
      <c r="CJ190" s="28" t="str">
        <f t="shared" si="86"/>
        <v>邻传孤</v>
      </c>
    </row>
    <row r="191" spans="1:88">
      <c r="A191" s="32">
        <v>2024318</v>
      </c>
      <c r="B191" s="8" t="s">
        <v>192</v>
      </c>
      <c r="C191" s="49">
        <f t="shared" si="95"/>
        <v>12</v>
      </c>
      <c r="D191" s="50">
        <f t="shared" si="96"/>
        <v>2</v>
      </c>
      <c r="E191" s="51">
        <f t="shared" si="72"/>
        <v>4</v>
      </c>
      <c r="F191" s="52">
        <f>MAX(MID(B191,{1,2,3},1)*1)-MIN(MID(B191,{1,2,3},1)*1)</f>
        <v>3</v>
      </c>
      <c r="G191" s="104">
        <v>0</v>
      </c>
      <c r="H191" s="104">
        <v>1</v>
      </c>
      <c r="I191" s="104">
        <v>2</v>
      </c>
      <c r="J191" s="104">
        <v>3</v>
      </c>
      <c r="K191" s="104">
        <v>4</v>
      </c>
      <c r="L191" s="104">
        <v>5</v>
      </c>
      <c r="M191" s="104">
        <v>6</v>
      </c>
      <c r="N191" s="104">
        <v>7</v>
      </c>
      <c r="O191" s="104">
        <v>8</v>
      </c>
      <c r="P191" s="104">
        <v>9</v>
      </c>
      <c r="Q191" s="53">
        <f t="shared" si="97"/>
        <v>3</v>
      </c>
      <c r="R191" s="53">
        <f t="shared" si="98"/>
        <v>0</v>
      </c>
      <c r="S191" s="53">
        <f t="shared" si="99"/>
        <v>3</v>
      </c>
      <c r="T191" s="101">
        <f t="shared" si="73"/>
        <v>6</v>
      </c>
      <c r="U191" s="15" t="str">
        <f>_xlfn.TEXTJOIN(", ",TRUE,ABS(MID(B191,{1,1,2},1)-MID(B191,{2,3,3},1)))</f>
        <v>3, 0, 3</v>
      </c>
      <c r="V191" s="54">
        <v>0</v>
      </c>
      <c r="W191" s="54">
        <v>1</v>
      </c>
      <c r="X191" s="54">
        <v>2</v>
      </c>
      <c r="Y191" s="54">
        <v>3</v>
      </c>
      <c r="Z191" s="54">
        <v>4</v>
      </c>
      <c r="AA191" s="54">
        <v>5</v>
      </c>
      <c r="AB191" s="54">
        <v>6</v>
      </c>
      <c r="AC191" s="54">
        <v>7</v>
      </c>
      <c r="AD191" s="54">
        <v>8</v>
      </c>
      <c r="AE191" s="54">
        <v>9</v>
      </c>
      <c r="AF191" s="55">
        <v>0</v>
      </c>
      <c r="AG191" s="55">
        <v>1</v>
      </c>
      <c r="AH191" s="55">
        <v>2</v>
      </c>
      <c r="AI191" s="55">
        <v>3</v>
      </c>
      <c r="AJ191" s="55">
        <v>4</v>
      </c>
      <c r="AK191" s="55">
        <v>5</v>
      </c>
      <c r="AL191" s="55">
        <v>6</v>
      </c>
      <c r="AM191" s="55">
        <v>7</v>
      </c>
      <c r="AN191" s="55">
        <v>8</v>
      </c>
      <c r="AO191" s="55">
        <v>9</v>
      </c>
      <c r="AP191" s="105">
        <v>0</v>
      </c>
      <c r="AQ191" s="105">
        <v>1</v>
      </c>
      <c r="AR191" s="105">
        <v>2</v>
      </c>
      <c r="AS191" s="105">
        <v>3</v>
      </c>
      <c r="AT191" s="105">
        <v>4</v>
      </c>
      <c r="AU191" s="105">
        <v>5</v>
      </c>
      <c r="AV191" s="105">
        <v>6</v>
      </c>
      <c r="AW191" s="105">
        <v>7</v>
      </c>
      <c r="AX191" s="105">
        <v>8</v>
      </c>
      <c r="AY191" s="105">
        <v>9</v>
      </c>
      <c r="AZ191" s="56">
        <v>0</v>
      </c>
      <c r="BA191" s="56">
        <v>1</v>
      </c>
      <c r="BB191" s="56">
        <v>2</v>
      </c>
      <c r="BC191" s="56">
        <v>3</v>
      </c>
      <c r="BD191" s="56">
        <v>4</v>
      </c>
      <c r="BE191" s="56">
        <v>5</v>
      </c>
      <c r="BF191" s="56">
        <v>6</v>
      </c>
      <c r="BG191" s="56">
        <v>7</v>
      </c>
      <c r="BH191" s="56">
        <v>8</v>
      </c>
      <c r="BI191" s="56">
        <v>9</v>
      </c>
      <c r="BJ191" s="57" t="str">
        <f t="shared" si="74"/>
        <v>紧凑型</v>
      </c>
      <c r="BK191" s="13">
        <f t="shared" si="70"/>
        <v>0</v>
      </c>
      <c r="BL191" s="13">
        <f t="shared" si="71"/>
        <v>3</v>
      </c>
      <c r="BM191" s="18">
        <f t="shared" si="76"/>
        <v>3</v>
      </c>
      <c r="BN191" s="19" t="str">
        <f t="shared" si="77"/>
        <v/>
      </c>
      <c r="BO191" s="19" t="str">
        <f t="array" ref="BO191">_xlfn.TEXTJOIN("",TRUE,IF(ISERROR(FIND(ROW($1:$10)-1,BM191&amp;BN191)),ROW($1:$10)-1,""))</f>
        <v>012456789</v>
      </c>
      <c r="BP191" s="20" t="str">
        <f t="shared" si="78"/>
        <v>复中中</v>
      </c>
      <c r="BQ191" s="21" t="str">
        <f t="shared" si="89"/>
        <v/>
      </c>
      <c r="BR191" s="21" t="str">
        <f t="shared" si="87"/>
        <v/>
      </c>
      <c r="BS191" s="21" t="str">
        <f t="array" ref="BS191">_xlfn.TEXTJOIN("",TRUE,IF(ISERROR(FIND(ROW($1:$10)-1,BQ191&amp;BR191)),ROW($1:$10)-1,""))</f>
        <v>0123456789</v>
      </c>
      <c r="BT191" s="20" t="str">
        <f t="shared" si="79"/>
        <v>中中中</v>
      </c>
      <c r="BU191" s="22">
        <f t="shared" si="80"/>
        <v>3</v>
      </c>
      <c r="BV191" s="22" t="str">
        <f t="shared" si="88"/>
        <v/>
      </c>
      <c r="BW191" s="22" t="str">
        <f t="array" ref="BW191">_xlfn.TEXTJOIN("",TRUE,IF(ISERROR(FIND(ROW($1:$10)-1,BU191&amp;BV191)),ROW($1:$10)-1,""))</f>
        <v>012456789</v>
      </c>
      <c r="BX191" s="20" t="str">
        <f t="shared" si="81"/>
        <v>复中中</v>
      </c>
      <c r="BY191" s="23" t="str">
        <f t="shared" si="75"/>
        <v>24</v>
      </c>
      <c r="BZ191" s="24" t="str">
        <f t="array" ref="BZ191">_xlfn.TEXTJOIN("",TRUE,IF(ISNUMBER(FIND(MID(BY190&amp;Q190,ROW($1:$4),1),BY191&amp;Q191)),MID(BY190&amp;Q190,ROW($1:$4),1),""))</f>
        <v>4</v>
      </c>
      <c r="CA191" s="25" t="str">
        <f t="array" ref="CA191">_xlfn.TEXTJOIN("",TRUE,IF(ISERROR(FIND(ROW($1:$10)-1,BY191&amp;BZ191)),ROW($1:$10)-1,""))</f>
        <v>01356789</v>
      </c>
      <c r="CB191" s="26" t="str">
        <f t="shared" si="82"/>
        <v>邻传孤</v>
      </c>
      <c r="CC191" s="27" t="str">
        <f t="shared" si="83"/>
        <v>91</v>
      </c>
      <c r="CD191" s="27" t="str">
        <f t="array" ref="CD191">_xlfn.TEXTJOIN("",TRUE,IF(ISNUMBER(FIND(MID(CC190&amp;R190,ROW($1:$4),1),CC191&amp;R191)),MID(CC190&amp;R190,ROW($1:$4),1),""))</f>
        <v/>
      </c>
      <c r="CE191" s="27" t="str">
        <f t="array" ref="CE191">_xlfn.TEXTJOIN("",TRUE,IF(ISERROR(FIND(ROW($1:$10)-1,CC191&amp;CD191)),ROW($1:$10)-1,""))</f>
        <v>02345678</v>
      </c>
      <c r="CF191" s="17" t="str">
        <f t="shared" si="84"/>
        <v>邻孤孤</v>
      </c>
      <c r="CG191" s="22" t="str">
        <f t="shared" si="85"/>
        <v>24</v>
      </c>
      <c r="CH191" s="22" t="str">
        <f t="array" ref="CH191">_xlfn.TEXTJOIN("",TRUE,IF(ISNUMBER(FIND(MID(CG190&amp;S190,ROW($1:$4),1),CG191&amp;S191)),MID(CG190&amp;S190,ROW($1:$4),1),""))</f>
        <v>32</v>
      </c>
      <c r="CI191" s="22" t="str">
        <f t="array" ref="CI191">_xlfn.TEXTJOIN("",TRUE,IF(ISERROR(FIND(ROW($1:$10)-1,CG191&amp;CH191)),ROW($1:$10)-1,""))</f>
        <v>0156789</v>
      </c>
      <c r="CJ191" s="28" t="str">
        <f t="shared" si="86"/>
        <v>邻传孤</v>
      </c>
    </row>
    <row r="192" spans="1:88">
      <c r="A192" s="32">
        <v>2024319</v>
      </c>
      <c r="B192" s="8" t="s">
        <v>193</v>
      </c>
      <c r="C192" s="49">
        <f t="shared" si="95"/>
        <v>15</v>
      </c>
      <c r="D192" s="50">
        <f t="shared" si="96"/>
        <v>5</v>
      </c>
      <c r="E192" s="51">
        <f t="shared" si="72"/>
        <v>5</v>
      </c>
      <c r="F192" s="52">
        <f>MAX(MID(B192,{1,2,3},1)*1)-MIN(MID(B192,{1,2,3},1)*1)</f>
        <v>5</v>
      </c>
      <c r="G192" s="104">
        <v>0</v>
      </c>
      <c r="H192" s="104">
        <v>1</v>
      </c>
      <c r="I192" s="104">
        <v>2</v>
      </c>
      <c r="J192" s="104">
        <v>3</v>
      </c>
      <c r="K192" s="104">
        <v>4</v>
      </c>
      <c r="L192" s="104">
        <v>5</v>
      </c>
      <c r="M192" s="104">
        <v>6</v>
      </c>
      <c r="N192" s="104">
        <v>7</v>
      </c>
      <c r="O192" s="104">
        <v>8</v>
      </c>
      <c r="P192" s="104">
        <v>9</v>
      </c>
      <c r="Q192" s="53">
        <f t="shared" si="97"/>
        <v>5</v>
      </c>
      <c r="R192" s="53">
        <f t="shared" si="98"/>
        <v>1</v>
      </c>
      <c r="S192" s="53">
        <f t="shared" si="99"/>
        <v>4</v>
      </c>
      <c r="T192" s="101">
        <f t="shared" si="73"/>
        <v>10</v>
      </c>
      <c r="U192" s="15" t="str">
        <f>_xlfn.TEXTJOIN(", ",TRUE,ABS(MID(B192,{1,1,2},1)-MID(B192,{2,3,3},1)))</f>
        <v>5, 1, 4</v>
      </c>
      <c r="V192" s="54">
        <v>0</v>
      </c>
      <c r="W192" s="54">
        <v>1</v>
      </c>
      <c r="X192" s="54">
        <v>2</v>
      </c>
      <c r="Y192" s="54">
        <v>3</v>
      </c>
      <c r="Z192" s="54">
        <v>4</v>
      </c>
      <c r="AA192" s="54">
        <v>5</v>
      </c>
      <c r="AB192" s="54">
        <v>6</v>
      </c>
      <c r="AC192" s="54">
        <v>7</v>
      </c>
      <c r="AD192" s="54">
        <v>8</v>
      </c>
      <c r="AE192" s="54">
        <v>9</v>
      </c>
      <c r="AF192" s="55">
        <v>0</v>
      </c>
      <c r="AG192" s="55">
        <v>1</v>
      </c>
      <c r="AH192" s="55">
        <v>2</v>
      </c>
      <c r="AI192" s="55">
        <v>3</v>
      </c>
      <c r="AJ192" s="55">
        <v>4</v>
      </c>
      <c r="AK192" s="55">
        <v>5</v>
      </c>
      <c r="AL192" s="55">
        <v>6</v>
      </c>
      <c r="AM192" s="55">
        <v>7</v>
      </c>
      <c r="AN192" s="55">
        <v>8</v>
      </c>
      <c r="AO192" s="55">
        <v>9</v>
      </c>
      <c r="AP192" s="105">
        <v>0</v>
      </c>
      <c r="AQ192" s="105">
        <v>1</v>
      </c>
      <c r="AR192" s="105">
        <v>2</v>
      </c>
      <c r="AS192" s="105">
        <v>3</v>
      </c>
      <c r="AT192" s="105">
        <v>4</v>
      </c>
      <c r="AU192" s="105">
        <v>5</v>
      </c>
      <c r="AV192" s="105">
        <v>6</v>
      </c>
      <c r="AW192" s="105">
        <v>7</v>
      </c>
      <c r="AX192" s="105">
        <v>8</v>
      </c>
      <c r="AY192" s="105">
        <v>9</v>
      </c>
      <c r="AZ192" s="56">
        <v>0</v>
      </c>
      <c r="BA192" s="56">
        <v>1</v>
      </c>
      <c r="BB192" s="56">
        <v>2</v>
      </c>
      <c r="BC192" s="56">
        <v>3</v>
      </c>
      <c r="BD192" s="56">
        <v>4</v>
      </c>
      <c r="BE192" s="56">
        <v>5</v>
      </c>
      <c r="BF192" s="56">
        <v>6</v>
      </c>
      <c r="BG192" s="56">
        <v>7</v>
      </c>
      <c r="BH192" s="56">
        <v>8</v>
      </c>
      <c r="BI192" s="56">
        <v>9</v>
      </c>
      <c r="BJ192" s="57" t="str">
        <f t="shared" si="74"/>
        <v>标准型</v>
      </c>
      <c r="BK192" s="13">
        <f t="shared" si="70"/>
        <v>1</v>
      </c>
      <c r="BL192" s="13">
        <f t="shared" si="71"/>
        <v>5</v>
      </c>
      <c r="BM192" s="18" t="str">
        <f t="shared" si="76"/>
        <v/>
      </c>
      <c r="BN192" s="19">
        <f t="shared" si="77"/>
        <v>5</v>
      </c>
      <c r="BO192" s="19" t="str">
        <f t="array" ref="BO192">_xlfn.TEXTJOIN("",TRUE,IF(ISERROR(FIND(ROW($1:$10)-1,BM192&amp;BN192)),ROW($1:$10)-1,""))</f>
        <v>012346789</v>
      </c>
      <c r="BP192" s="20" t="str">
        <f t="shared" si="78"/>
        <v>中隔中</v>
      </c>
      <c r="BQ192" s="21" t="str">
        <f t="shared" si="89"/>
        <v/>
      </c>
      <c r="BR192" s="21" t="str">
        <f t="shared" si="87"/>
        <v/>
      </c>
      <c r="BS192" s="21" t="str">
        <f t="array" ref="BS192">_xlfn.TEXTJOIN("",TRUE,IF(ISERROR(FIND(ROW($1:$10)-1,BQ192&amp;BR192)),ROW($1:$10)-1,""))</f>
        <v>0123456789</v>
      </c>
      <c r="BT192" s="20" t="str">
        <f t="shared" si="79"/>
        <v>中中中</v>
      </c>
      <c r="BU192" s="22" t="str">
        <f t="shared" si="80"/>
        <v/>
      </c>
      <c r="BV192" s="22" t="str">
        <f t="shared" si="88"/>
        <v/>
      </c>
      <c r="BW192" s="22" t="str">
        <f t="array" ref="BW192">_xlfn.TEXTJOIN("",TRUE,IF(ISERROR(FIND(ROW($1:$10)-1,BU192&amp;BV192)),ROW($1:$10)-1,""))</f>
        <v>0123456789</v>
      </c>
      <c r="BX192" s="20" t="str">
        <f t="shared" si="81"/>
        <v>中中中</v>
      </c>
      <c r="BY192" s="23" t="str">
        <f t="shared" si="75"/>
        <v>46</v>
      </c>
      <c r="BZ192" s="24" t="str">
        <f t="array" ref="BZ192">_xlfn.TEXTJOIN("",TRUE,IF(ISNUMBER(FIND(MID(BY191&amp;Q191,ROW($1:$4),1),BY192&amp;Q192)),MID(BY191&amp;Q191,ROW($1:$4),1),""))</f>
        <v>4</v>
      </c>
      <c r="CA192" s="25" t="str">
        <f t="array" ref="CA192">_xlfn.TEXTJOIN("",TRUE,IF(ISERROR(FIND(ROW($1:$10)-1,BY192&amp;BZ192)),ROW($1:$10)-1,""))</f>
        <v>01235789</v>
      </c>
      <c r="CB192" s="26" t="str">
        <f t="shared" si="82"/>
        <v>邻传孤</v>
      </c>
      <c r="CC192" s="27" t="str">
        <f t="shared" si="83"/>
        <v>02</v>
      </c>
      <c r="CD192" s="27" t="str">
        <f t="array" ref="CD192">_xlfn.TEXTJOIN("",TRUE,IF(ISNUMBER(FIND(MID(CC191&amp;R191,ROW($1:$4),1),CC192&amp;R192)),MID(CC191&amp;R191,ROW($1:$4),1),""))</f>
        <v>10</v>
      </c>
      <c r="CE192" s="27" t="str">
        <f t="array" ref="CE192">_xlfn.TEXTJOIN("",TRUE,IF(ISERROR(FIND(ROW($1:$10)-1,CC192&amp;CD192)),ROW($1:$10)-1,""))</f>
        <v>3456789</v>
      </c>
      <c r="CF192" s="17" t="str">
        <f t="shared" si="84"/>
        <v>邻传孤</v>
      </c>
      <c r="CG192" s="22" t="str">
        <f t="shared" si="85"/>
        <v>35</v>
      </c>
      <c r="CH192" s="22" t="str">
        <f t="array" ref="CH192">_xlfn.TEXTJOIN("",TRUE,IF(ISNUMBER(FIND(MID(CG191&amp;S191,ROW($1:$4),1),CG192&amp;S192)),MID(CG191&amp;S191,ROW($1:$4),1),""))</f>
        <v>43</v>
      </c>
      <c r="CI192" s="22" t="str">
        <f t="array" ref="CI192">_xlfn.TEXTJOIN("",TRUE,IF(ISERROR(FIND(ROW($1:$10)-1,CG192&amp;CH192)),ROW($1:$10)-1,""))</f>
        <v>0126789</v>
      </c>
      <c r="CJ192" s="28" t="str">
        <f t="shared" si="86"/>
        <v>邻传孤</v>
      </c>
    </row>
    <row r="193" spans="1:88">
      <c r="A193" s="32">
        <v>2024320</v>
      </c>
      <c r="B193" s="8" t="s">
        <v>194</v>
      </c>
      <c r="C193" s="49">
        <f t="shared" si="95"/>
        <v>22</v>
      </c>
      <c r="D193" s="50">
        <f t="shared" si="96"/>
        <v>2</v>
      </c>
      <c r="E193" s="51">
        <f t="shared" si="72"/>
        <v>7.3333333333333304</v>
      </c>
      <c r="F193" s="52">
        <f>MAX(MID(B193,{1,2,3},1)*1)-MIN(MID(B193,{1,2,3},1)*1)</f>
        <v>1</v>
      </c>
      <c r="G193" s="104">
        <v>0</v>
      </c>
      <c r="H193" s="104">
        <v>1</v>
      </c>
      <c r="I193" s="104">
        <v>2</v>
      </c>
      <c r="J193" s="104">
        <v>3</v>
      </c>
      <c r="K193" s="104">
        <v>4</v>
      </c>
      <c r="L193" s="104">
        <v>5</v>
      </c>
      <c r="M193" s="104">
        <v>6</v>
      </c>
      <c r="N193" s="104">
        <v>7</v>
      </c>
      <c r="O193" s="104">
        <v>8</v>
      </c>
      <c r="P193" s="104">
        <v>9</v>
      </c>
      <c r="Q193" s="53">
        <f t="shared" si="97"/>
        <v>0</v>
      </c>
      <c r="R193" s="53">
        <f t="shared" si="98"/>
        <v>1</v>
      </c>
      <c r="S193" s="53">
        <f t="shared" si="99"/>
        <v>1</v>
      </c>
      <c r="T193" s="101">
        <f t="shared" si="73"/>
        <v>2</v>
      </c>
      <c r="U193" s="15" t="str">
        <f>_xlfn.TEXTJOIN(", ",TRUE,ABS(MID(B193,{1,1,2},1)-MID(B193,{2,3,3},1)))</f>
        <v>0, 1, 1</v>
      </c>
      <c r="V193" s="54">
        <v>0</v>
      </c>
      <c r="W193" s="54">
        <v>1</v>
      </c>
      <c r="X193" s="54">
        <v>2</v>
      </c>
      <c r="Y193" s="54">
        <v>3</v>
      </c>
      <c r="Z193" s="54">
        <v>4</v>
      </c>
      <c r="AA193" s="54">
        <v>5</v>
      </c>
      <c r="AB193" s="54">
        <v>6</v>
      </c>
      <c r="AC193" s="54">
        <v>7</v>
      </c>
      <c r="AD193" s="54">
        <v>8</v>
      </c>
      <c r="AE193" s="54">
        <v>9</v>
      </c>
      <c r="AF193" s="55">
        <v>0</v>
      </c>
      <c r="AG193" s="55">
        <v>1</v>
      </c>
      <c r="AH193" s="55">
        <v>2</v>
      </c>
      <c r="AI193" s="55">
        <v>3</v>
      </c>
      <c r="AJ193" s="55">
        <v>4</v>
      </c>
      <c r="AK193" s="55">
        <v>5</v>
      </c>
      <c r="AL193" s="55">
        <v>6</v>
      </c>
      <c r="AM193" s="55">
        <v>7</v>
      </c>
      <c r="AN193" s="55">
        <v>8</v>
      </c>
      <c r="AO193" s="55">
        <v>9</v>
      </c>
      <c r="AP193" s="105">
        <v>0</v>
      </c>
      <c r="AQ193" s="105">
        <v>1</v>
      </c>
      <c r="AR193" s="105">
        <v>2</v>
      </c>
      <c r="AS193" s="105">
        <v>3</v>
      </c>
      <c r="AT193" s="105">
        <v>4</v>
      </c>
      <c r="AU193" s="105">
        <v>5</v>
      </c>
      <c r="AV193" s="105">
        <v>6</v>
      </c>
      <c r="AW193" s="105">
        <v>7</v>
      </c>
      <c r="AX193" s="105">
        <v>8</v>
      </c>
      <c r="AY193" s="105">
        <v>9</v>
      </c>
      <c r="AZ193" s="56">
        <v>0</v>
      </c>
      <c r="BA193" s="56">
        <v>1</v>
      </c>
      <c r="BB193" s="56">
        <v>2</v>
      </c>
      <c r="BC193" s="56">
        <v>3</v>
      </c>
      <c r="BD193" s="56">
        <v>4</v>
      </c>
      <c r="BE193" s="56">
        <v>5</v>
      </c>
      <c r="BF193" s="56">
        <v>6</v>
      </c>
      <c r="BG193" s="56">
        <v>7</v>
      </c>
      <c r="BH193" s="56">
        <v>8</v>
      </c>
      <c r="BI193" s="56">
        <v>9</v>
      </c>
      <c r="BJ193" s="57" t="str">
        <f t="shared" si="74"/>
        <v>紧凑型</v>
      </c>
      <c r="BK193" s="13">
        <f t="shared" si="70"/>
        <v>0</v>
      </c>
      <c r="BL193" s="13">
        <f t="shared" si="71"/>
        <v>1</v>
      </c>
      <c r="BM193" s="18" t="str">
        <f t="shared" si="76"/>
        <v/>
      </c>
      <c r="BN193" s="19">
        <f t="shared" si="77"/>
        <v>0</v>
      </c>
      <c r="BO193" s="19" t="str">
        <f t="array" ref="BO193">_xlfn.TEXTJOIN("",TRUE,IF(ISERROR(FIND(ROW($1:$10)-1,BM193&amp;BN193)),ROW($1:$10)-1,""))</f>
        <v>123456789</v>
      </c>
      <c r="BP193" s="20" t="str">
        <f t="shared" si="78"/>
        <v>中隔中</v>
      </c>
      <c r="BQ193" s="21">
        <f t="shared" si="89"/>
        <v>1</v>
      </c>
      <c r="BR193" s="21" t="str">
        <f t="shared" si="87"/>
        <v/>
      </c>
      <c r="BS193" s="21" t="str">
        <f t="array" ref="BS193">_xlfn.TEXTJOIN("",TRUE,IF(ISERROR(FIND(ROW($1:$10)-1,BQ193&amp;BR193)),ROW($1:$10)-1,""))</f>
        <v>023456789</v>
      </c>
      <c r="BT193" s="20" t="str">
        <f t="shared" si="79"/>
        <v>复中中</v>
      </c>
      <c r="BU193" s="22">
        <f t="shared" si="80"/>
        <v>1</v>
      </c>
      <c r="BV193" s="22" t="str">
        <f t="shared" si="88"/>
        <v/>
      </c>
      <c r="BW193" s="22" t="str">
        <f t="array" ref="BW193">_xlfn.TEXTJOIN("",TRUE,IF(ISERROR(FIND(ROW($1:$10)-1,BU193&amp;BV193)),ROW($1:$10)-1,""))</f>
        <v>023456789</v>
      </c>
      <c r="BX193" s="20" t="str">
        <f t="shared" si="81"/>
        <v>复中中</v>
      </c>
      <c r="BY193" s="23" t="str">
        <f t="shared" si="75"/>
        <v>91</v>
      </c>
      <c r="BZ193" s="24" t="str">
        <f t="array" ref="BZ193">_xlfn.TEXTJOIN("",TRUE,IF(ISNUMBER(FIND(MID(BY192&amp;Q192,ROW($1:$4),1),BY193&amp;Q193)),MID(BY192&amp;Q192,ROW($1:$4),1),""))</f>
        <v/>
      </c>
      <c r="CA193" s="25" t="str">
        <f t="array" ref="CA193">_xlfn.TEXTJOIN("",TRUE,IF(ISERROR(FIND(ROW($1:$10)-1,BY193&amp;BZ193)),ROW($1:$10)-1,""))</f>
        <v>02345678</v>
      </c>
      <c r="CB193" s="26" t="str">
        <f t="shared" si="82"/>
        <v>邻孤孤</v>
      </c>
      <c r="CC193" s="27" t="str">
        <f t="shared" si="83"/>
        <v>02</v>
      </c>
      <c r="CD193" s="27" t="str">
        <f t="array" ref="CD193">_xlfn.TEXTJOIN("",TRUE,IF(ISNUMBER(FIND(MID(CC192&amp;R192,ROW($1:$4),1),CC193&amp;R193)),MID(CC192&amp;R192,ROW($1:$4),1),""))</f>
        <v>021</v>
      </c>
      <c r="CE193" s="27" t="str">
        <f t="array" ref="CE193">_xlfn.TEXTJOIN("",TRUE,IF(ISERROR(FIND(ROW($1:$10)-1,CC193&amp;CD193)),ROW($1:$10)-1,""))</f>
        <v>3456789</v>
      </c>
      <c r="CF193" s="17" t="str">
        <f t="shared" si="84"/>
        <v>邻传孤</v>
      </c>
      <c r="CG193" s="22" t="str">
        <f t="shared" si="85"/>
        <v>02</v>
      </c>
      <c r="CH193" s="22" t="str">
        <f t="array" ref="CH193">_xlfn.TEXTJOIN("",TRUE,IF(ISNUMBER(FIND(MID(CG192&amp;S192,ROW($1:$4),1),CG193&amp;S193)),MID(CG192&amp;S192,ROW($1:$4),1),""))</f>
        <v/>
      </c>
      <c r="CI193" s="22" t="str">
        <f t="array" ref="CI193">_xlfn.TEXTJOIN("",TRUE,IF(ISERROR(FIND(ROW($1:$10)-1,CG193&amp;CH193)),ROW($1:$10)-1,""))</f>
        <v>13456789</v>
      </c>
      <c r="CJ193" s="28" t="str">
        <f t="shared" si="86"/>
        <v>邻孤孤</v>
      </c>
    </row>
    <row r="194" spans="1:88">
      <c r="A194" s="32">
        <v>2024321</v>
      </c>
      <c r="B194" s="8" t="s">
        <v>195</v>
      </c>
      <c r="C194" s="49">
        <f t="shared" si="95"/>
        <v>11</v>
      </c>
      <c r="D194" s="50">
        <f t="shared" si="96"/>
        <v>1</v>
      </c>
      <c r="E194" s="51">
        <f t="shared" si="72"/>
        <v>3.6666666666666701</v>
      </c>
      <c r="F194" s="52">
        <f>MAX(MID(B194,{1,2,3},1)*1)-MIN(MID(B194,{1,2,3},1)*1)</f>
        <v>3</v>
      </c>
      <c r="G194" s="104">
        <v>0</v>
      </c>
      <c r="H194" s="104">
        <v>1</v>
      </c>
      <c r="I194" s="104">
        <v>2</v>
      </c>
      <c r="J194" s="104">
        <v>3</v>
      </c>
      <c r="K194" s="104">
        <v>4</v>
      </c>
      <c r="L194" s="104">
        <v>5</v>
      </c>
      <c r="M194" s="104">
        <v>6</v>
      </c>
      <c r="N194" s="104">
        <v>7</v>
      </c>
      <c r="O194" s="104">
        <v>8</v>
      </c>
      <c r="P194" s="104">
        <v>9</v>
      </c>
      <c r="Q194" s="53">
        <f t="shared" si="97"/>
        <v>1</v>
      </c>
      <c r="R194" s="53">
        <f t="shared" si="98"/>
        <v>3</v>
      </c>
      <c r="S194" s="53">
        <f t="shared" si="99"/>
        <v>2</v>
      </c>
      <c r="T194" s="101">
        <f t="shared" si="73"/>
        <v>6</v>
      </c>
      <c r="U194" s="15" t="str">
        <f>_xlfn.TEXTJOIN(", ",TRUE,ABS(MID(B194,{1,1,2},1)-MID(B194,{2,3,3},1)))</f>
        <v>1, 3, 2</v>
      </c>
      <c r="V194" s="54">
        <v>0</v>
      </c>
      <c r="W194" s="54">
        <v>1</v>
      </c>
      <c r="X194" s="54">
        <v>2</v>
      </c>
      <c r="Y194" s="54">
        <v>3</v>
      </c>
      <c r="Z194" s="54">
        <v>4</v>
      </c>
      <c r="AA194" s="54">
        <v>5</v>
      </c>
      <c r="AB194" s="54">
        <v>6</v>
      </c>
      <c r="AC194" s="54">
        <v>7</v>
      </c>
      <c r="AD194" s="54">
        <v>8</v>
      </c>
      <c r="AE194" s="54">
        <v>9</v>
      </c>
      <c r="AF194" s="55">
        <v>0</v>
      </c>
      <c r="AG194" s="55">
        <v>1</v>
      </c>
      <c r="AH194" s="55">
        <v>2</v>
      </c>
      <c r="AI194" s="55">
        <v>3</v>
      </c>
      <c r="AJ194" s="55">
        <v>4</v>
      </c>
      <c r="AK194" s="55">
        <v>5</v>
      </c>
      <c r="AL194" s="55">
        <v>6</v>
      </c>
      <c r="AM194" s="55">
        <v>7</v>
      </c>
      <c r="AN194" s="55">
        <v>8</v>
      </c>
      <c r="AO194" s="55">
        <v>9</v>
      </c>
      <c r="AP194" s="105">
        <v>0</v>
      </c>
      <c r="AQ194" s="105">
        <v>1</v>
      </c>
      <c r="AR194" s="105">
        <v>2</v>
      </c>
      <c r="AS194" s="105">
        <v>3</v>
      </c>
      <c r="AT194" s="105">
        <v>4</v>
      </c>
      <c r="AU194" s="105">
        <v>5</v>
      </c>
      <c r="AV194" s="105">
        <v>6</v>
      </c>
      <c r="AW194" s="105">
        <v>7</v>
      </c>
      <c r="AX194" s="105">
        <v>8</v>
      </c>
      <c r="AY194" s="105">
        <v>9</v>
      </c>
      <c r="AZ194" s="56">
        <v>0</v>
      </c>
      <c r="BA194" s="56">
        <v>1</v>
      </c>
      <c r="BB194" s="56">
        <v>2</v>
      </c>
      <c r="BC194" s="56">
        <v>3</v>
      </c>
      <c r="BD194" s="56">
        <v>4</v>
      </c>
      <c r="BE194" s="56">
        <v>5</v>
      </c>
      <c r="BF194" s="56">
        <v>6</v>
      </c>
      <c r="BG194" s="56">
        <v>7</v>
      </c>
      <c r="BH194" s="56">
        <v>8</v>
      </c>
      <c r="BI194" s="56">
        <v>9</v>
      </c>
      <c r="BJ194" s="57" t="str">
        <f t="shared" si="74"/>
        <v>紧凑型</v>
      </c>
      <c r="BK194" s="13">
        <f t="shared" si="70"/>
        <v>1</v>
      </c>
      <c r="BL194" s="13">
        <f t="shared" si="71"/>
        <v>3</v>
      </c>
      <c r="BM194" s="18">
        <f t="shared" si="76"/>
        <v>1</v>
      </c>
      <c r="BN194" s="19">
        <f t="shared" si="77"/>
        <v>1</v>
      </c>
      <c r="BO194" s="19" t="str">
        <f t="array" ref="BO194">_xlfn.TEXTJOIN("",TRUE,IF(ISERROR(FIND(ROW($1:$10)-1,BM194&amp;BN194)),ROW($1:$10)-1,""))</f>
        <v>023456789</v>
      </c>
      <c r="BP194" s="20" t="str">
        <f t="shared" si="78"/>
        <v>复隔中</v>
      </c>
      <c r="BQ194" s="21" t="str">
        <f t="shared" si="89"/>
        <v/>
      </c>
      <c r="BR194" s="21" t="str">
        <f t="shared" si="87"/>
        <v/>
      </c>
      <c r="BS194" s="21" t="str">
        <f t="array" ref="BS194">_xlfn.TEXTJOIN("",TRUE,IF(ISERROR(FIND(ROW($1:$10)-1,BQ194&amp;BR194)),ROW($1:$10)-1,""))</f>
        <v>0123456789</v>
      </c>
      <c r="BT194" s="20" t="str">
        <f t="shared" si="79"/>
        <v>中中中</v>
      </c>
      <c r="BU194" s="22" t="str">
        <f t="shared" si="80"/>
        <v/>
      </c>
      <c r="BV194" s="22" t="str">
        <f t="shared" si="88"/>
        <v/>
      </c>
      <c r="BW194" s="22" t="str">
        <f t="array" ref="BW194">_xlfn.TEXTJOIN("",TRUE,IF(ISERROR(FIND(ROW($1:$10)-1,BU194&amp;BV194)),ROW($1:$10)-1,""))</f>
        <v>0123456789</v>
      </c>
      <c r="BX194" s="20" t="str">
        <f t="shared" si="81"/>
        <v>中中中</v>
      </c>
      <c r="BY194" s="23" t="str">
        <f t="shared" si="75"/>
        <v>02</v>
      </c>
      <c r="BZ194" s="24" t="str">
        <f t="array" ref="BZ194">_xlfn.TEXTJOIN("",TRUE,IF(ISNUMBER(FIND(MID(BY193&amp;Q193,ROW($1:$4),1),BY194&amp;Q194)),MID(BY193&amp;Q193,ROW($1:$4),1),""))</f>
        <v>10</v>
      </c>
      <c r="CA194" s="25" t="str">
        <f t="array" ref="CA194">_xlfn.TEXTJOIN("",TRUE,IF(ISERROR(FIND(ROW($1:$10)-1,BY194&amp;BZ194)),ROW($1:$10)-1,""))</f>
        <v>3456789</v>
      </c>
      <c r="CB194" s="26" t="str">
        <f t="shared" si="82"/>
        <v>邻传孤</v>
      </c>
      <c r="CC194" s="27" t="str">
        <f t="shared" si="83"/>
        <v>24</v>
      </c>
      <c r="CD194" s="27" t="str">
        <f t="array" ref="CD194">_xlfn.TEXTJOIN("",TRUE,IF(ISNUMBER(FIND(MID(CC193&amp;R193,ROW($1:$4),1),CC194&amp;R194)),MID(CC193&amp;R193,ROW($1:$4),1),""))</f>
        <v>2</v>
      </c>
      <c r="CE194" s="27" t="str">
        <f t="array" ref="CE194">_xlfn.TEXTJOIN("",TRUE,IF(ISERROR(FIND(ROW($1:$10)-1,CC194&amp;CD194)),ROW($1:$10)-1,""))</f>
        <v>01356789</v>
      </c>
      <c r="CF194" s="17" t="str">
        <f t="shared" si="84"/>
        <v>邻传孤</v>
      </c>
      <c r="CG194" s="22" t="str">
        <f t="shared" si="85"/>
        <v>13</v>
      </c>
      <c r="CH194" s="22" t="str">
        <f t="array" ref="CH194">_xlfn.TEXTJOIN("",TRUE,IF(ISNUMBER(FIND(MID(CG193&amp;S193,ROW($1:$4),1),CG194&amp;S194)),MID(CG193&amp;S193,ROW($1:$4),1),""))</f>
        <v>21</v>
      </c>
      <c r="CI194" s="22" t="str">
        <f t="array" ref="CI194">_xlfn.TEXTJOIN("",TRUE,IF(ISERROR(FIND(ROW($1:$10)-1,CG194&amp;CH194)),ROW($1:$10)-1,""))</f>
        <v>0456789</v>
      </c>
      <c r="CJ194" s="28" t="str">
        <f t="shared" si="86"/>
        <v>邻传孤</v>
      </c>
    </row>
    <row r="195" spans="1:88">
      <c r="A195" s="32">
        <v>2024322</v>
      </c>
      <c r="B195" s="8" t="s">
        <v>196</v>
      </c>
      <c r="C195" s="49">
        <f t="shared" si="95"/>
        <v>21</v>
      </c>
      <c r="D195" s="50">
        <f t="shared" si="96"/>
        <v>1</v>
      </c>
      <c r="E195" s="51">
        <f t="shared" si="72"/>
        <v>7</v>
      </c>
      <c r="F195" s="52">
        <f>MAX(MID(B195,{1,2,3},1)*1)-MIN(MID(B195,{1,2,3},1)*1)</f>
        <v>2</v>
      </c>
      <c r="G195" s="104">
        <v>0</v>
      </c>
      <c r="H195" s="104">
        <v>1</v>
      </c>
      <c r="I195" s="104">
        <v>2</v>
      </c>
      <c r="J195" s="104">
        <v>3</v>
      </c>
      <c r="K195" s="104">
        <v>4</v>
      </c>
      <c r="L195" s="104">
        <v>5</v>
      </c>
      <c r="M195" s="104">
        <v>6</v>
      </c>
      <c r="N195" s="104">
        <v>7</v>
      </c>
      <c r="O195" s="104">
        <v>8</v>
      </c>
      <c r="P195" s="104">
        <v>9</v>
      </c>
      <c r="Q195" s="53">
        <f t="shared" si="97"/>
        <v>2</v>
      </c>
      <c r="R195" s="53">
        <f t="shared" si="98"/>
        <v>1</v>
      </c>
      <c r="S195" s="53">
        <f t="shared" si="99"/>
        <v>1</v>
      </c>
      <c r="T195" s="101">
        <f t="shared" si="73"/>
        <v>4</v>
      </c>
      <c r="U195" s="15" t="str">
        <f>_xlfn.TEXTJOIN(", ",TRUE,ABS(MID(B195,{1,1,2},1)-MID(B195,{2,3,3},1)))</f>
        <v>2, 1, 1</v>
      </c>
      <c r="V195" s="54">
        <v>0</v>
      </c>
      <c r="W195" s="54">
        <v>1</v>
      </c>
      <c r="X195" s="54">
        <v>2</v>
      </c>
      <c r="Y195" s="54">
        <v>3</v>
      </c>
      <c r="Z195" s="54">
        <v>4</v>
      </c>
      <c r="AA195" s="54">
        <v>5</v>
      </c>
      <c r="AB195" s="54">
        <v>6</v>
      </c>
      <c r="AC195" s="54">
        <v>7</v>
      </c>
      <c r="AD195" s="54">
        <v>8</v>
      </c>
      <c r="AE195" s="54">
        <v>9</v>
      </c>
      <c r="AF195" s="55">
        <v>0</v>
      </c>
      <c r="AG195" s="55">
        <v>1</v>
      </c>
      <c r="AH195" s="55">
        <v>2</v>
      </c>
      <c r="AI195" s="55">
        <v>3</v>
      </c>
      <c r="AJ195" s="55">
        <v>4</v>
      </c>
      <c r="AK195" s="55">
        <v>5</v>
      </c>
      <c r="AL195" s="55">
        <v>6</v>
      </c>
      <c r="AM195" s="55">
        <v>7</v>
      </c>
      <c r="AN195" s="55">
        <v>8</v>
      </c>
      <c r="AO195" s="55">
        <v>9</v>
      </c>
      <c r="AP195" s="105">
        <v>0</v>
      </c>
      <c r="AQ195" s="105">
        <v>1</v>
      </c>
      <c r="AR195" s="105">
        <v>2</v>
      </c>
      <c r="AS195" s="105">
        <v>3</v>
      </c>
      <c r="AT195" s="105">
        <v>4</v>
      </c>
      <c r="AU195" s="105">
        <v>5</v>
      </c>
      <c r="AV195" s="105">
        <v>6</v>
      </c>
      <c r="AW195" s="105">
        <v>7</v>
      </c>
      <c r="AX195" s="105">
        <v>8</v>
      </c>
      <c r="AY195" s="105">
        <v>9</v>
      </c>
      <c r="AZ195" s="56">
        <v>0</v>
      </c>
      <c r="BA195" s="56">
        <v>1</v>
      </c>
      <c r="BB195" s="56">
        <v>2</v>
      </c>
      <c r="BC195" s="56">
        <v>3</v>
      </c>
      <c r="BD195" s="56">
        <v>4</v>
      </c>
      <c r="BE195" s="56">
        <v>5</v>
      </c>
      <c r="BF195" s="56">
        <v>6</v>
      </c>
      <c r="BG195" s="56">
        <v>7</v>
      </c>
      <c r="BH195" s="56">
        <v>8</v>
      </c>
      <c r="BI195" s="56">
        <v>9</v>
      </c>
      <c r="BJ195" s="57" t="str">
        <f t="shared" si="74"/>
        <v>紧凑型</v>
      </c>
      <c r="BK195" s="13">
        <f t="shared" ref="BK195:BK258" si="100">MIN(ABS(INT(B195/100)-INT(MOD(B195,100)/10)),ABS(INT(B195/100)-MOD(B195,10)),ABS(INT(MOD(B195,100)/10)-MOD(B195,10)))</f>
        <v>1</v>
      </c>
      <c r="BL195" s="13">
        <f t="shared" ref="BL195:BL258" si="101">MAX(ABS(INT(B195/100)-INT(MOD(B195,100)/10)),ABS(INT(B195/100)-MOD(B195,10)),ABS(INT(MOD(B195,100)/10)-MOD(B195,10)))</f>
        <v>2</v>
      </c>
      <c r="BM195" s="18">
        <f t="shared" si="76"/>
        <v>2</v>
      </c>
      <c r="BN195" s="19" t="str">
        <f t="shared" si="77"/>
        <v/>
      </c>
      <c r="BO195" s="19" t="str">
        <f t="array" ref="BO195">_xlfn.TEXTJOIN("",TRUE,IF(ISERROR(FIND(ROW($1:$10)-1,BM195&amp;BN195)),ROW($1:$10)-1,""))</f>
        <v>013456789</v>
      </c>
      <c r="BP195" s="20" t="str">
        <f t="shared" si="78"/>
        <v>复中中</v>
      </c>
      <c r="BQ195" s="21">
        <f t="shared" si="89"/>
        <v>1</v>
      </c>
      <c r="BR195" s="21">
        <f t="shared" si="87"/>
        <v>1</v>
      </c>
      <c r="BS195" s="21" t="str">
        <f t="array" ref="BS195">_xlfn.TEXTJOIN("",TRUE,IF(ISERROR(FIND(ROW($1:$10)-1,BQ195&amp;BR195)),ROW($1:$10)-1,""))</f>
        <v>023456789</v>
      </c>
      <c r="BT195" s="20" t="str">
        <f t="shared" si="79"/>
        <v>复隔中</v>
      </c>
      <c r="BU195" s="22">
        <f t="shared" si="80"/>
        <v>1</v>
      </c>
      <c r="BV195" s="22">
        <f t="shared" si="88"/>
        <v>1</v>
      </c>
      <c r="BW195" s="22" t="str">
        <f t="array" ref="BW195">_xlfn.TEXTJOIN("",TRUE,IF(ISERROR(FIND(ROW($1:$10)-1,BU195&amp;BV195)),ROW($1:$10)-1,""))</f>
        <v>023456789</v>
      </c>
      <c r="BX195" s="20" t="str">
        <f t="shared" si="81"/>
        <v>复隔中</v>
      </c>
      <c r="BY195" s="23" t="str">
        <f t="shared" si="75"/>
        <v>13</v>
      </c>
      <c r="BZ195" s="24" t="str">
        <f t="array" ref="BZ195">_xlfn.TEXTJOIN("",TRUE,IF(ISNUMBER(FIND(MID(BY194&amp;Q194,ROW($1:$4),1),BY195&amp;Q195)),MID(BY194&amp;Q194,ROW($1:$4),1),""))</f>
        <v>21</v>
      </c>
      <c r="CA195" s="25" t="str">
        <f t="array" ref="CA195">_xlfn.TEXTJOIN("",TRUE,IF(ISERROR(FIND(ROW($1:$10)-1,BY195&amp;BZ195)),ROW($1:$10)-1,""))</f>
        <v>0456789</v>
      </c>
      <c r="CB195" s="26" t="str">
        <f t="shared" si="82"/>
        <v>邻传孤</v>
      </c>
      <c r="CC195" s="27" t="str">
        <f t="shared" si="83"/>
        <v>02</v>
      </c>
      <c r="CD195" s="27" t="str">
        <f t="array" ref="CD195">_xlfn.TEXTJOIN("",TRUE,IF(ISNUMBER(FIND(MID(CC194&amp;R194,ROW($1:$4),1),CC195&amp;R195)),MID(CC194&amp;R194,ROW($1:$4),1),""))</f>
        <v>2</v>
      </c>
      <c r="CE195" s="27" t="str">
        <f t="array" ref="CE195">_xlfn.TEXTJOIN("",TRUE,IF(ISERROR(FIND(ROW($1:$10)-1,CC195&amp;CD195)),ROW($1:$10)-1,""))</f>
        <v>13456789</v>
      </c>
      <c r="CF195" s="17" t="str">
        <f t="shared" si="84"/>
        <v>邻传孤</v>
      </c>
      <c r="CG195" s="22" t="str">
        <f t="shared" si="85"/>
        <v>02</v>
      </c>
      <c r="CH195" s="22" t="str">
        <f t="array" ref="CH195">_xlfn.TEXTJOIN("",TRUE,IF(ISNUMBER(FIND(MID(CG194&amp;S194,ROW($1:$4),1),CG195&amp;S195)),MID(CG194&amp;S194,ROW($1:$4),1),""))</f>
        <v>12</v>
      </c>
      <c r="CI195" s="22" t="str">
        <f t="array" ref="CI195">_xlfn.TEXTJOIN("",TRUE,IF(ISERROR(FIND(ROW($1:$10)-1,CG195&amp;CH195)),ROW($1:$10)-1,""))</f>
        <v>3456789</v>
      </c>
      <c r="CJ195" s="28" t="str">
        <f t="shared" si="86"/>
        <v>邻传孤</v>
      </c>
    </row>
    <row r="196" spans="1:88">
      <c r="A196" s="32">
        <v>2024323</v>
      </c>
      <c r="B196" s="8" t="s">
        <v>36</v>
      </c>
      <c r="C196" s="49">
        <f t="shared" si="95"/>
        <v>14</v>
      </c>
      <c r="D196" s="50">
        <f t="shared" si="96"/>
        <v>4</v>
      </c>
      <c r="E196" s="51">
        <f t="shared" ref="E196:E259" si="102">C196/3</f>
        <v>4.6666666666666696</v>
      </c>
      <c r="F196" s="52">
        <f>MAX(MID(B196,{1,2,3},1)*1)-MIN(MID(B196,{1,2,3},1)*1)</f>
        <v>3</v>
      </c>
      <c r="G196" s="104">
        <v>0</v>
      </c>
      <c r="H196" s="104">
        <v>1</v>
      </c>
      <c r="I196" s="104">
        <v>2</v>
      </c>
      <c r="J196" s="104">
        <v>3</v>
      </c>
      <c r="K196" s="104">
        <v>4</v>
      </c>
      <c r="L196" s="104">
        <v>5</v>
      </c>
      <c r="M196" s="104">
        <v>6</v>
      </c>
      <c r="N196" s="104">
        <v>7</v>
      </c>
      <c r="O196" s="104">
        <v>8</v>
      </c>
      <c r="P196" s="104">
        <v>9</v>
      </c>
      <c r="Q196" s="53">
        <f t="shared" si="97"/>
        <v>2</v>
      </c>
      <c r="R196" s="53">
        <f t="shared" si="98"/>
        <v>1</v>
      </c>
      <c r="S196" s="53">
        <f t="shared" si="99"/>
        <v>3</v>
      </c>
      <c r="T196" s="101">
        <f t="shared" ref="T196:T259" si="103">Q196+R196+S196</f>
        <v>6</v>
      </c>
      <c r="U196" s="15" t="str">
        <f>_xlfn.TEXTJOIN(", ",TRUE,ABS(MID(B196,{1,1,2},1)-MID(B196,{2,3,3},1)))</f>
        <v>2, 1, 3</v>
      </c>
      <c r="V196" s="54">
        <v>0</v>
      </c>
      <c r="W196" s="54">
        <v>1</v>
      </c>
      <c r="X196" s="54">
        <v>2</v>
      </c>
      <c r="Y196" s="54">
        <v>3</v>
      </c>
      <c r="Z196" s="54">
        <v>4</v>
      </c>
      <c r="AA196" s="54">
        <v>5</v>
      </c>
      <c r="AB196" s="54">
        <v>6</v>
      </c>
      <c r="AC196" s="54">
        <v>7</v>
      </c>
      <c r="AD196" s="54">
        <v>8</v>
      </c>
      <c r="AE196" s="54">
        <v>9</v>
      </c>
      <c r="AF196" s="55">
        <v>0</v>
      </c>
      <c r="AG196" s="55">
        <v>1</v>
      </c>
      <c r="AH196" s="55">
        <v>2</v>
      </c>
      <c r="AI196" s="55">
        <v>3</v>
      </c>
      <c r="AJ196" s="55">
        <v>4</v>
      </c>
      <c r="AK196" s="55">
        <v>5</v>
      </c>
      <c r="AL196" s="55">
        <v>6</v>
      </c>
      <c r="AM196" s="55">
        <v>7</v>
      </c>
      <c r="AN196" s="55">
        <v>8</v>
      </c>
      <c r="AO196" s="55">
        <v>9</v>
      </c>
      <c r="AP196" s="105">
        <v>0</v>
      </c>
      <c r="AQ196" s="105">
        <v>1</v>
      </c>
      <c r="AR196" s="105">
        <v>2</v>
      </c>
      <c r="AS196" s="105">
        <v>3</v>
      </c>
      <c r="AT196" s="105">
        <v>4</v>
      </c>
      <c r="AU196" s="105">
        <v>5</v>
      </c>
      <c r="AV196" s="105">
        <v>6</v>
      </c>
      <c r="AW196" s="105">
        <v>7</v>
      </c>
      <c r="AX196" s="105">
        <v>8</v>
      </c>
      <c r="AY196" s="105">
        <v>9</v>
      </c>
      <c r="AZ196" s="56">
        <v>0</v>
      </c>
      <c r="BA196" s="56">
        <v>1</v>
      </c>
      <c r="BB196" s="56">
        <v>2</v>
      </c>
      <c r="BC196" s="56">
        <v>3</v>
      </c>
      <c r="BD196" s="56">
        <v>4</v>
      </c>
      <c r="BE196" s="56">
        <v>5</v>
      </c>
      <c r="BF196" s="56">
        <v>6</v>
      </c>
      <c r="BG196" s="56">
        <v>7</v>
      </c>
      <c r="BH196" s="56">
        <v>8</v>
      </c>
      <c r="BI196" s="56">
        <v>9</v>
      </c>
      <c r="BJ196" s="57" t="str">
        <f t="shared" ref="BJ196:BJ259" si="104">IF(AND(BK196&lt;=1,BL196&lt;=4),"紧凑型",IF(OR(BK196&gt;=3,BL196&gt;=6),"松散型",IF(AND(BK196&gt;=1,BL196&lt;=5),"标准型","对子")))</f>
        <v>紧凑型</v>
      </c>
      <c r="BK196" s="13">
        <f t="shared" si="100"/>
        <v>1</v>
      </c>
      <c r="BL196" s="13">
        <f t="shared" si="101"/>
        <v>3</v>
      </c>
      <c r="BM196" s="18">
        <f t="shared" si="76"/>
        <v>2</v>
      </c>
      <c r="BN196" s="19">
        <f t="shared" si="77"/>
        <v>2</v>
      </c>
      <c r="BO196" s="19" t="str">
        <f t="array" ref="BO196">_xlfn.TEXTJOIN("",TRUE,IF(ISERROR(FIND(ROW($1:$10)-1,BM196&amp;BN196)),ROW($1:$10)-1,""))</f>
        <v>013456789</v>
      </c>
      <c r="BP196" s="20" t="str">
        <f t="shared" si="78"/>
        <v>复隔中</v>
      </c>
      <c r="BQ196" s="21">
        <f t="shared" si="89"/>
        <v>1</v>
      </c>
      <c r="BR196" s="21">
        <f t="shared" si="87"/>
        <v>1</v>
      </c>
      <c r="BS196" s="21" t="str">
        <f t="array" ref="BS196">_xlfn.TEXTJOIN("",TRUE,IF(ISERROR(FIND(ROW($1:$10)-1,BQ196&amp;BR196)),ROW($1:$10)-1,""))</f>
        <v>023456789</v>
      </c>
      <c r="BT196" s="20" t="str">
        <f t="shared" si="79"/>
        <v>复隔中</v>
      </c>
      <c r="BU196" s="22" t="str">
        <f t="shared" si="80"/>
        <v/>
      </c>
      <c r="BV196" s="22">
        <f t="shared" si="88"/>
        <v>3</v>
      </c>
      <c r="BW196" s="22" t="str">
        <f t="array" ref="BW196">_xlfn.TEXTJOIN("",TRUE,IF(ISERROR(FIND(ROW($1:$10)-1,BU196&amp;BV196)),ROW($1:$10)-1,""))</f>
        <v>012456789</v>
      </c>
      <c r="BX196" s="20" t="str">
        <f t="shared" si="81"/>
        <v>中隔中</v>
      </c>
      <c r="BY196" s="23" t="str">
        <f t="shared" ref="BY196:BY259" si="105">IF(Q196=0,9,Q196-1)&amp;""&amp;IF(Q196=9,0,Q196+1)</f>
        <v>13</v>
      </c>
      <c r="BZ196" s="24" t="str">
        <f t="array" ref="BZ196">_xlfn.TEXTJOIN("",TRUE,IF(ISNUMBER(FIND(MID(BY195&amp;Q195,ROW($1:$4),1),BY196&amp;Q196)),MID(BY195&amp;Q195,ROW($1:$4),1),""))</f>
        <v>132</v>
      </c>
      <c r="CA196" s="25" t="str">
        <f t="array" ref="CA196">_xlfn.TEXTJOIN("",TRUE,IF(ISERROR(FIND(ROW($1:$10)-1,BY196&amp;BZ196)),ROW($1:$10)-1,""))</f>
        <v>0456789</v>
      </c>
      <c r="CB196" s="26" t="str">
        <f t="shared" si="82"/>
        <v>邻传孤</v>
      </c>
      <c r="CC196" s="27" t="str">
        <f t="shared" si="83"/>
        <v>02</v>
      </c>
      <c r="CD196" s="27" t="str">
        <f t="array" ref="CD196">_xlfn.TEXTJOIN("",TRUE,IF(ISNUMBER(FIND(MID(CC195&amp;R195,ROW($1:$4),1),CC196&amp;R196)),MID(CC195&amp;R195,ROW($1:$4),1),""))</f>
        <v>021</v>
      </c>
      <c r="CE196" s="27" t="str">
        <f t="array" ref="CE196">_xlfn.TEXTJOIN("",TRUE,IF(ISERROR(FIND(ROW($1:$10)-1,CC196&amp;CD196)),ROW($1:$10)-1,""))</f>
        <v>3456789</v>
      </c>
      <c r="CF196" s="17" t="str">
        <f t="shared" si="84"/>
        <v>邻传孤</v>
      </c>
      <c r="CG196" s="22" t="str">
        <f t="shared" si="85"/>
        <v>24</v>
      </c>
      <c r="CH196" s="22" t="str">
        <f t="array" ref="CH196">_xlfn.TEXTJOIN("",TRUE,IF(ISNUMBER(FIND(MID(CG195&amp;S195,ROW($1:$4),1),CG196&amp;S196)),MID(CG195&amp;S195,ROW($1:$4),1),""))</f>
        <v>2</v>
      </c>
      <c r="CI196" s="22" t="str">
        <f t="array" ref="CI196">_xlfn.TEXTJOIN("",TRUE,IF(ISERROR(FIND(ROW($1:$10)-1,CG196&amp;CH196)),ROW($1:$10)-1,""))</f>
        <v>01356789</v>
      </c>
      <c r="CJ196" s="28" t="str">
        <f t="shared" si="86"/>
        <v>邻传孤</v>
      </c>
    </row>
    <row r="197" spans="1:88">
      <c r="A197" s="32">
        <v>2024324</v>
      </c>
      <c r="B197" s="8" t="s">
        <v>197</v>
      </c>
      <c r="C197" s="49">
        <f t="shared" ref="C197:C213" si="106">LEFT(B197,1)+MID(B197,2,1)+RIGHT(B197,1)</f>
        <v>15</v>
      </c>
      <c r="D197" s="50">
        <f t="shared" ref="D197:D213" si="107">MOD(LEFT(B197,1)+MID(B197,2,1)+RIGHT(B197,1),10)</f>
        <v>5</v>
      </c>
      <c r="E197" s="51">
        <f t="shared" si="102"/>
        <v>5</v>
      </c>
      <c r="F197" s="52">
        <f>MAX(MID(B197,{1,2,3},1)*1)-MIN(MID(B197,{1,2,3},1)*1)</f>
        <v>5</v>
      </c>
      <c r="G197" s="104">
        <v>0</v>
      </c>
      <c r="H197" s="104">
        <v>1</v>
      </c>
      <c r="I197" s="104">
        <v>2</v>
      </c>
      <c r="J197" s="104">
        <v>3</v>
      </c>
      <c r="K197" s="104">
        <v>4</v>
      </c>
      <c r="L197" s="104">
        <v>5</v>
      </c>
      <c r="M197" s="104">
        <v>6</v>
      </c>
      <c r="N197" s="104">
        <v>7</v>
      </c>
      <c r="O197" s="104">
        <v>8</v>
      </c>
      <c r="P197" s="104">
        <v>9</v>
      </c>
      <c r="Q197" s="53">
        <f t="shared" ref="Q197:Q213" si="108">ABS(LEFT(B197,1)-MID(B197,2,1))</f>
        <v>5</v>
      </c>
      <c r="R197" s="53">
        <f t="shared" ref="R197:R213" si="109">ABS(LEFT(B197,1)-RIGHT(B197,1))</f>
        <v>1</v>
      </c>
      <c r="S197" s="53">
        <f t="shared" ref="S197:S213" si="110">ABS(MID(B197,2,1)-RIGHT(B197,1))</f>
        <v>4</v>
      </c>
      <c r="T197" s="101">
        <f t="shared" si="103"/>
        <v>10</v>
      </c>
      <c r="U197" s="15" t="str">
        <f>_xlfn.TEXTJOIN(", ",TRUE,ABS(MID(B197,{1,1,2},1)-MID(B197,{2,3,3},1)))</f>
        <v>5, 1, 4</v>
      </c>
      <c r="V197" s="54">
        <v>0</v>
      </c>
      <c r="W197" s="54">
        <v>1</v>
      </c>
      <c r="X197" s="54">
        <v>2</v>
      </c>
      <c r="Y197" s="54">
        <v>3</v>
      </c>
      <c r="Z197" s="54">
        <v>4</v>
      </c>
      <c r="AA197" s="54">
        <v>5</v>
      </c>
      <c r="AB197" s="54">
        <v>6</v>
      </c>
      <c r="AC197" s="54">
        <v>7</v>
      </c>
      <c r="AD197" s="54">
        <v>8</v>
      </c>
      <c r="AE197" s="54">
        <v>9</v>
      </c>
      <c r="AF197" s="55">
        <v>0</v>
      </c>
      <c r="AG197" s="55">
        <v>1</v>
      </c>
      <c r="AH197" s="55">
        <v>2</v>
      </c>
      <c r="AI197" s="55">
        <v>3</v>
      </c>
      <c r="AJ197" s="55">
        <v>4</v>
      </c>
      <c r="AK197" s="55">
        <v>5</v>
      </c>
      <c r="AL197" s="55">
        <v>6</v>
      </c>
      <c r="AM197" s="55">
        <v>7</v>
      </c>
      <c r="AN197" s="55">
        <v>8</v>
      </c>
      <c r="AO197" s="55">
        <v>9</v>
      </c>
      <c r="AP197" s="105">
        <v>0</v>
      </c>
      <c r="AQ197" s="105">
        <v>1</v>
      </c>
      <c r="AR197" s="105">
        <v>2</v>
      </c>
      <c r="AS197" s="105">
        <v>3</v>
      </c>
      <c r="AT197" s="105">
        <v>4</v>
      </c>
      <c r="AU197" s="105">
        <v>5</v>
      </c>
      <c r="AV197" s="105">
        <v>6</v>
      </c>
      <c r="AW197" s="105">
        <v>7</v>
      </c>
      <c r="AX197" s="105">
        <v>8</v>
      </c>
      <c r="AY197" s="105">
        <v>9</v>
      </c>
      <c r="AZ197" s="56">
        <v>0</v>
      </c>
      <c r="BA197" s="56">
        <v>1</v>
      </c>
      <c r="BB197" s="56">
        <v>2</v>
      </c>
      <c r="BC197" s="56">
        <v>3</v>
      </c>
      <c r="BD197" s="56">
        <v>4</v>
      </c>
      <c r="BE197" s="56">
        <v>5</v>
      </c>
      <c r="BF197" s="56">
        <v>6</v>
      </c>
      <c r="BG197" s="56">
        <v>7</v>
      </c>
      <c r="BH197" s="56">
        <v>8</v>
      </c>
      <c r="BI197" s="56">
        <v>9</v>
      </c>
      <c r="BJ197" s="57" t="str">
        <f t="shared" si="104"/>
        <v>标准型</v>
      </c>
      <c r="BK197" s="13">
        <f t="shared" si="100"/>
        <v>1</v>
      </c>
      <c r="BL197" s="13">
        <f t="shared" si="101"/>
        <v>5</v>
      </c>
      <c r="BM197" s="18" t="str">
        <f t="shared" ref="BM197:BM260" si="111">IF(COUNTIF($Q196:$S196,Q197)&gt;0,Q197,"")</f>
        <v/>
      </c>
      <c r="BN197" s="19" t="str">
        <f t="shared" ref="BN197:BN260" si="112">IF(COUNTIF($Q195:$S195,Q197)&gt;0,Q197,"")</f>
        <v/>
      </c>
      <c r="BO197" s="19" t="str">
        <f t="array" ref="BO197">_xlfn.TEXTJOIN("",TRUE,IF(ISERROR(FIND(ROW($1:$10)-1,BM197&amp;BN197)),ROW($1:$10)-1,""))</f>
        <v>0123456789</v>
      </c>
      <c r="BP197" s="20" t="str">
        <f t="shared" ref="BP197:BP260" si="113">IF(BM197&lt;&gt;"","复","中")&amp;IF(BN197&lt;&gt;"","隔","中")&amp;"中"</f>
        <v>中中中</v>
      </c>
      <c r="BQ197" s="21">
        <f t="shared" si="89"/>
        <v>1</v>
      </c>
      <c r="BR197" s="21">
        <f t="shared" si="87"/>
        <v>1</v>
      </c>
      <c r="BS197" s="21" t="str">
        <f t="array" ref="BS197">_xlfn.TEXTJOIN("",TRUE,IF(ISERROR(FIND(ROW($1:$10)-1,BQ197&amp;BR197)),ROW($1:$10)-1,""))</f>
        <v>023456789</v>
      </c>
      <c r="BT197" s="20" t="str">
        <f t="shared" ref="BT197:BT260" si="114">IF(BQ197&lt;&gt;"","复","中")&amp;IF(BR197&lt;&gt;"","隔","中")&amp;"中"</f>
        <v>复隔中</v>
      </c>
      <c r="BU197" s="22" t="str">
        <f t="shared" ref="BU197:BU260" si="115">IF(COUNTIF($Q196:$S196,S197)&gt;0,S197,"")</f>
        <v/>
      </c>
      <c r="BV197" s="22" t="str">
        <f t="shared" si="88"/>
        <v/>
      </c>
      <c r="BW197" s="22" t="str">
        <f t="array" ref="BW197">_xlfn.TEXTJOIN("",TRUE,IF(ISERROR(FIND(ROW($1:$10)-1,BU197&amp;BV197)),ROW($1:$10)-1,""))</f>
        <v>0123456789</v>
      </c>
      <c r="BX197" s="20" t="str">
        <f t="shared" ref="BX197:BX260" si="116">IF(BU197&lt;&gt;"","复","中")&amp;IF(BV197&lt;&gt;"","隔","中")&amp;"中"</f>
        <v>中中中</v>
      </c>
      <c r="BY197" s="23" t="str">
        <f t="shared" si="105"/>
        <v>46</v>
      </c>
      <c r="BZ197" s="24" t="str">
        <f t="array" ref="BZ197">_xlfn.TEXTJOIN("",TRUE,IF(ISNUMBER(FIND(MID(BY196&amp;Q196,ROW($1:$4),1),BY197&amp;Q197)),MID(BY196&amp;Q196,ROW($1:$4),1),""))</f>
        <v/>
      </c>
      <c r="CA197" s="25" t="str">
        <f t="array" ref="CA197">_xlfn.TEXTJOIN("",TRUE,IF(ISERROR(FIND(ROW($1:$10)-1,BY197&amp;BZ197)),ROW($1:$10)-1,""))</f>
        <v>01235789</v>
      </c>
      <c r="CB197" s="26" t="str">
        <f t="shared" ref="CB197:CB260" si="117">IF(BY197&lt;&gt;"","邻","孤")&amp;IF(BZ197&lt;&gt;"","传","孤")&amp;"孤"</f>
        <v>邻孤孤</v>
      </c>
      <c r="CC197" s="27" t="str">
        <f t="shared" ref="CC197:CC260" si="118">IF(R197=0,9,R197-1)&amp;""&amp;IF(R197=9,0,R197+1)</f>
        <v>02</v>
      </c>
      <c r="CD197" s="27" t="str">
        <f t="array" ref="CD197">_xlfn.TEXTJOIN("",TRUE,IF(ISNUMBER(FIND(MID(CC196&amp;R196,ROW($1:$4),1),CC197&amp;R197)),MID(CC196&amp;R196,ROW($1:$4),1),""))</f>
        <v>021</v>
      </c>
      <c r="CE197" s="27" t="str">
        <f t="array" ref="CE197">_xlfn.TEXTJOIN("",TRUE,IF(ISERROR(FIND(ROW($1:$10)-1,CC197&amp;CD197)),ROW($1:$10)-1,""))</f>
        <v>3456789</v>
      </c>
      <c r="CF197" s="17" t="str">
        <f t="shared" ref="CF197:CF260" si="119">IF(CC197&lt;&gt;"","邻","孤")&amp;IF(CD197&lt;&gt;"","传","孤")&amp;"孤"</f>
        <v>邻传孤</v>
      </c>
      <c r="CG197" s="22" t="str">
        <f t="shared" ref="CG197:CG260" si="120">IF(S197=0,9,S197-1)&amp;""&amp;IF(S197=9,0,S197+1)</f>
        <v>35</v>
      </c>
      <c r="CH197" s="22" t="str">
        <f t="array" ref="CH197">_xlfn.TEXTJOIN("",TRUE,IF(ISNUMBER(FIND(MID(CG196&amp;S196,ROW($1:$4),1),CG197&amp;S197)),MID(CG196&amp;S196,ROW($1:$4),1),""))</f>
        <v>43</v>
      </c>
      <c r="CI197" s="22" t="str">
        <f t="array" ref="CI197">_xlfn.TEXTJOIN("",TRUE,IF(ISERROR(FIND(ROW($1:$10)-1,CG197&amp;CH197)),ROW($1:$10)-1,""))</f>
        <v>0126789</v>
      </c>
      <c r="CJ197" s="28" t="str">
        <f t="shared" ref="CJ197:CJ260" si="121">IF(CG197&lt;&gt;"","邻","孤")&amp;IF(CH197&lt;&gt;"","传","孤")&amp;"孤"</f>
        <v>邻传孤</v>
      </c>
    </row>
    <row r="198" spans="1:88">
      <c r="A198" s="32">
        <v>2024325</v>
      </c>
      <c r="B198" s="8" t="s">
        <v>198</v>
      </c>
      <c r="C198" s="49">
        <f t="shared" si="106"/>
        <v>14</v>
      </c>
      <c r="D198" s="50">
        <f t="shared" si="107"/>
        <v>4</v>
      </c>
      <c r="E198" s="51">
        <f t="shared" si="102"/>
        <v>4.6666666666666696</v>
      </c>
      <c r="F198" s="52">
        <f>MAX(MID(B198,{1,2,3},1)*1)-MIN(MID(B198,{1,2,3},1)*1)</f>
        <v>7</v>
      </c>
      <c r="G198" s="104">
        <v>0</v>
      </c>
      <c r="H198" s="104">
        <v>1</v>
      </c>
      <c r="I198" s="104">
        <v>2</v>
      </c>
      <c r="J198" s="104">
        <v>3</v>
      </c>
      <c r="K198" s="104">
        <v>4</v>
      </c>
      <c r="L198" s="104">
        <v>5</v>
      </c>
      <c r="M198" s="104">
        <v>6</v>
      </c>
      <c r="N198" s="104">
        <v>7</v>
      </c>
      <c r="O198" s="104">
        <v>8</v>
      </c>
      <c r="P198" s="104">
        <v>9</v>
      </c>
      <c r="Q198" s="53">
        <f t="shared" si="108"/>
        <v>4</v>
      </c>
      <c r="R198" s="53">
        <f t="shared" si="109"/>
        <v>7</v>
      </c>
      <c r="S198" s="53">
        <f t="shared" si="110"/>
        <v>3</v>
      </c>
      <c r="T198" s="101">
        <f t="shared" si="103"/>
        <v>14</v>
      </c>
      <c r="U198" s="15" t="str">
        <f>_xlfn.TEXTJOIN(", ",TRUE,ABS(MID(B198,{1,1,2},1)-MID(B198,{2,3,3},1)))</f>
        <v>4, 7, 3</v>
      </c>
      <c r="V198" s="54">
        <v>0</v>
      </c>
      <c r="W198" s="54">
        <v>1</v>
      </c>
      <c r="X198" s="54">
        <v>2</v>
      </c>
      <c r="Y198" s="54">
        <v>3</v>
      </c>
      <c r="Z198" s="54">
        <v>4</v>
      </c>
      <c r="AA198" s="54">
        <v>5</v>
      </c>
      <c r="AB198" s="54">
        <v>6</v>
      </c>
      <c r="AC198" s="54">
        <v>7</v>
      </c>
      <c r="AD198" s="54">
        <v>8</v>
      </c>
      <c r="AE198" s="54">
        <v>9</v>
      </c>
      <c r="AF198" s="55">
        <v>0</v>
      </c>
      <c r="AG198" s="55">
        <v>1</v>
      </c>
      <c r="AH198" s="55">
        <v>2</v>
      </c>
      <c r="AI198" s="55">
        <v>3</v>
      </c>
      <c r="AJ198" s="55">
        <v>4</v>
      </c>
      <c r="AK198" s="55">
        <v>5</v>
      </c>
      <c r="AL198" s="55">
        <v>6</v>
      </c>
      <c r="AM198" s="55">
        <v>7</v>
      </c>
      <c r="AN198" s="55">
        <v>8</v>
      </c>
      <c r="AO198" s="55">
        <v>9</v>
      </c>
      <c r="AP198" s="105">
        <v>0</v>
      </c>
      <c r="AQ198" s="105">
        <v>1</v>
      </c>
      <c r="AR198" s="105">
        <v>2</v>
      </c>
      <c r="AS198" s="105">
        <v>3</v>
      </c>
      <c r="AT198" s="105">
        <v>4</v>
      </c>
      <c r="AU198" s="105">
        <v>5</v>
      </c>
      <c r="AV198" s="105">
        <v>6</v>
      </c>
      <c r="AW198" s="105">
        <v>7</v>
      </c>
      <c r="AX198" s="105">
        <v>8</v>
      </c>
      <c r="AY198" s="105">
        <v>9</v>
      </c>
      <c r="AZ198" s="56">
        <v>0</v>
      </c>
      <c r="BA198" s="56">
        <v>1</v>
      </c>
      <c r="BB198" s="56">
        <v>2</v>
      </c>
      <c r="BC198" s="56">
        <v>3</v>
      </c>
      <c r="BD198" s="56">
        <v>4</v>
      </c>
      <c r="BE198" s="56">
        <v>5</v>
      </c>
      <c r="BF198" s="56">
        <v>6</v>
      </c>
      <c r="BG198" s="56">
        <v>7</v>
      </c>
      <c r="BH198" s="56">
        <v>8</v>
      </c>
      <c r="BI198" s="56">
        <v>9</v>
      </c>
      <c r="BJ198" s="57" t="str">
        <f t="shared" si="104"/>
        <v>松散型</v>
      </c>
      <c r="BK198" s="13">
        <f t="shared" si="100"/>
        <v>3</v>
      </c>
      <c r="BL198" s="13">
        <f t="shared" si="101"/>
        <v>7</v>
      </c>
      <c r="BM198" s="18">
        <f t="shared" si="111"/>
        <v>4</v>
      </c>
      <c r="BN198" s="19" t="str">
        <f t="shared" si="112"/>
        <v/>
      </c>
      <c r="BO198" s="19" t="str">
        <f t="array" ref="BO198">_xlfn.TEXTJOIN("",TRUE,IF(ISERROR(FIND(ROW($1:$10)-1,BM198&amp;BN198)),ROW($1:$10)-1,""))</f>
        <v>012356789</v>
      </c>
      <c r="BP198" s="20" t="str">
        <f t="shared" si="113"/>
        <v>复中中</v>
      </c>
      <c r="BQ198" s="21" t="str">
        <f t="shared" si="89"/>
        <v/>
      </c>
      <c r="BR198" s="21" t="str">
        <f t="shared" ref="BR198:BR261" si="122">IF(COUNTIF($Q196:$S196,R198)&gt;0,R198,"")</f>
        <v/>
      </c>
      <c r="BS198" s="21" t="str">
        <f t="array" ref="BS198">_xlfn.TEXTJOIN("",TRUE,IF(ISERROR(FIND(ROW($1:$10)-1,BQ198&amp;BR198)),ROW($1:$10)-1,""))</f>
        <v>0123456789</v>
      </c>
      <c r="BT198" s="20" t="str">
        <f t="shared" si="114"/>
        <v>中中中</v>
      </c>
      <c r="BU198" s="22" t="str">
        <f t="shared" si="115"/>
        <v/>
      </c>
      <c r="BV198" s="22">
        <f t="shared" ref="BV198:BV261" si="123">IF(COUNTIF($Q196:$S196,S198)&gt;0,S198,"")</f>
        <v>3</v>
      </c>
      <c r="BW198" s="22" t="str">
        <f t="array" ref="BW198">_xlfn.TEXTJOIN("",TRUE,IF(ISERROR(FIND(ROW($1:$10)-1,BU198&amp;BV198)),ROW($1:$10)-1,""))</f>
        <v>012456789</v>
      </c>
      <c r="BX198" s="20" t="str">
        <f t="shared" si="116"/>
        <v>中隔中</v>
      </c>
      <c r="BY198" s="23" t="str">
        <f t="shared" si="105"/>
        <v>35</v>
      </c>
      <c r="BZ198" s="24" t="str">
        <f t="array" ref="BZ198">_xlfn.TEXTJOIN("",TRUE,IF(ISNUMBER(FIND(MID(BY197&amp;Q197,ROW($1:$4),1),BY198&amp;Q198)),MID(BY197&amp;Q197,ROW($1:$4),1),""))</f>
        <v>45</v>
      </c>
      <c r="CA198" s="25" t="str">
        <f t="array" ref="CA198">_xlfn.TEXTJOIN("",TRUE,IF(ISERROR(FIND(ROW($1:$10)-1,BY198&amp;BZ198)),ROW($1:$10)-1,""))</f>
        <v>0126789</v>
      </c>
      <c r="CB198" s="26" t="str">
        <f t="shared" si="117"/>
        <v>邻传孤</v>
      </c>
      <c r="CC198" s="27" t="str">
        <f t="shared" si="118"/>
        <v>68</v>
      </c>
      <c r="CD198" s="27" t="str">
        <f t="array" ref="CD198">_xlfn.TEXTJOIN("",TRUE,IF(ISNUMBER(FIND(MID(CC197&amp;R197,ROW($1:$4),1),CC198&amp;R198)),MID(CC197&amp;R197,ROW($1:$4),1),""))</f>
        <v/>
      </c>
      <c r="CE198" s="27" t="str">
        <f t="array" ref="CE198">_xlfn.TEXTJOIN("",TRUE,IF(ISERROR(FIND(ROW($1:$10)-1,CC198&amp;CD198)),ROW($1:$10)-1,""))</f>
        <v>01234579</v>
      </c>
      <c r="CF198" s="17" t="str">
        <f t="shared" si="119"/>
        <v>邻孤孤</v>
      </c>
      <c r="CG198" s="22" t="str">
        <f t="shared" si="120"/>
        <v>24</v>
      </c>
      <c r="CH198" s="22" t="str">
        <f t="array" ref="CH198">_xlfn.TEXTJOIN("",TRUE,IF(ISNUMBER(FIND(MID(CG197&amp;S197,ROW($1:$4),1),CG198&amp;S198)),MID(CG197&amp;S197,ROW($1:$4),1),""))</f>
        <v>34</v>
      </c>
      <c r="CI198" s="22" t="str">
        <f t="array" ref="CI198">_xlfn.TEXTJOIN("",TRUE,IF(ISERROR(FIND(ROW($1:$10)-1,CG198&amp;CH198)),ROW($1:$10)-1,""))</f>
        <v>0156789</v>
      </c>
      <c r="CJ198" s="28" t="str">
        <f t="shared" si="121"/>
        <v>邻传孤</v>
      </c>
    </row>
    <row r="199" spans="1:88">
      <c r="A199" s="32">
        <v>2024326</v>
      </c>
      <c r="B199" s="8" t="s">
        <v>199</v>
      </c>
      <c r="C199" s="49">
        <f t="shared" si="106"/>
        <v>11</v>
      </c>
      <c r="D199" s="50">
        <f t="shared" si="107"/>
        <v>1</v>
      </c>
      <c r="E199" s="51">
        <f t="shared" si="102"/>
        <v>3.6666666666666701</v>
      </c>
      <c r="F199" s="52">
        <f>MAX(MID(B199,{1,2,3},1)*1)-MIN(MID(B199,{1,2,3},1)*1)</f>
        <v>5</v>
      </c>
      <c r="G199" s="104">
        <v>0</v>
      </c>
      <c r="H199" s="104">
        <v>1</v>
      </c>
      <c r="I199" s="104">
        <v>2</v>
      </c>
      <c r="J199" s="104">
        <v>3</v>
      </c>
      <c r="K199" s="104">
        <v>4</v>
      </c>
      <c r="L199" s="104">
        <v>5</v>
      </c>
      <c r="M199" s="104">
        <v>6</v>
      </c>
      <c r="N199" s="104">
        <v>7</v>
      </c>
      <c r="O199" s="104">
        <v>8</v>
      </c>
      <c r="P199" s="104">
        <v>9</v>
      </c>
      <c r="Q199" s="53">
        <f t="shared" si="108"/>
        <v>5</v>
      </c>
      <c r="R199" s="53">
        <f t="shared" si="109"/>
        <v>5</v>
      </c>
      <c r="S199" s="53">
        <f t="shared" si="110"/>
        <v>0</v>
      </c>
      <c r="T199" s="101">
        <f t="shared" si="103"/>
        <v>10</v>
      </c>
      <c r="U199" s="15" t="str">
        <f>_xlfn.TEXTJOIN(", ",TRUE,ABS(MID(B199,{1,1,2},1)-MID(B199,{2,3,3},1)))</f>
        <v>5, 5, 0</v>
      </c>
      <c r="V199" s="54">
        <v>0</v>
      </c>
      <c r="W199" s="54">
        <v>1</v>
      </c>
      <c r="X199" s="54">
        <v>2</v>
      </c>
      <c r="Y199" s="54">
        <v>3</v>
      </c>
      <c r="Z199" s="54">
        <v>4</v>
      </c>
      <c r="AA199" s="54">
        <v>5</v>
      </c>
      <c r="AB199" s="54">
        <v>6</v>
      </c>
      <c r="AC199" s="54">
        <v>7</v>
      </c>
      <c r="AD199" s="54">
        <v>8</v>
      </c>
      <c r="AE199" s="54">
        <v>9</v>
      </c>
      <c r="AF199" s="55">
        <v>0</v>
      </c>
      <c r="AG199" s="55">
        <v>1</v>
      </c>
      <c r="AH199" s="55">
        <v>2</v>
      </c>
      <c r="AI199" s="55">
        <v>3</v>
      </c>
      <c r="AJ199" s="55">
        <v>4</v>
      </c>
      <c r="AK199" s="55">
        <v>5</v>
      </c>
      <c r="AL199" s="55">
        <v>6</v>
      </c>
      <c r="AM199" s="55">
        <v>7</v>
      </c>
      <c r="AN199" s="55">
        <v>8</v>
      </c>
      <c r="AO199" s="55">
        <v>9</v>
      </c>
      <c r="AP199" s="105">
        <v>0</v>
      </c>
      <c r="AQ199" s="105">
        <v>1</v>
      </c>
      <c r="AR199" s="105">
        <v>2</v>
      </c>
      <c r="AS199" s="105">
        <v>3</v>
      </c>
      <c r="AT199" s="105">
        <v>4</v>
      </c>
      <c r="AU199" s="105">
        <v>5</v>
      </c>
      <c r="AV199" s="105">
        <v>6</v>
      </c>
      <c r="AW199" s="105">
        <v>7</v>
      </c>
      <c r="AX199" s="105">
        <v>8</v>
      </c>
      <c r="AY199" s="105">
        <v>9</v>
      </c>
      <c r="AZ199" s="56">
        <v>0</v>
      </c>
      <c r="BA199" s="56">
        <v>1</v>
      </c>
      <c r="BB199" s="56">
        <v>2</v>
      </c>
      <c r="BC199" s="56">
        <v>3</v>
      </c>
      <c r="BD199" s="56">
        <v>4</v>
      </c>
      <c r="BE199" s="56">
        <v>5</v>
      </c>
      <c r="BF199" s="56">
        <v>6</v>
      </c>
      <c r="BG199" s="56">
        <v>7</v>
      </c>
      <c r="BH199" s="56">
        <v>8</v>
      </c>
      <c r="BI199" s="56">
        <v>9</v>
      </c>
      <c r="BJ199" s="57" t="str">
        <f t="shared" si="104"/>
        <v>对子</v>
      </c>
      <c r="BK199" s="13">
        <f t="shared" si="100"/>
        <v>0</v>
      </c>
      <c r="BL199" s="13">
        <f t="shared" si="101"/>
        <v>5</v>
      </c>
      <c r="BM199" s="18" t="str">
        <f t="shared" si="111"/>
        <v/>
      </c>
      <c r="BN199" s="19">
        <f t="shared" si="112"/>
        <v>5</v>
      </c>
      <c r="BO199" s="19" t="str">
        <f t="array" ref="BO199">_xlfn.TEXTJOIN("",TRUE,IF(ISERROR(FIND(ROW($1:$10)-1,BM199&amp;BN199)),ROW($1:$10)-1,""))</f>
        <v>012346789</v>
      </c>
      <c r="BP199" s="20" t="str">
        <f t="shared" si="113"/>
        <v>中隔中</v>
      </c>
      <c r="BQ199" s="21" t="str">
        <f t="shared" si="89"/>
        <v/>
      </c>
      <c r="BR199" s="21">
        <f t="shared" si="122"/>
        <v>5</v>
      </c>
      <c r="BS199" s="21" t="str">
        <f t="array" ref="BS199">_xlfn.TEXTJOIN("",TRUE,IF(ISERROR(FIND(ROW($1:$10)-1,BQ199&amp;BR199)),ROW($1:$10)-1,""))</f>
        <v>012346789</v>
      </c>
      <c r="BT199" s="20" t="str">
        <f t="shared" si="114"/>
        <v>中隔中</v>
      </c>
      <c r="BU199" s="22" t="str">
        <f t="shared" si="115"/>
        <v/>
      </c>
      <c r="BV199" s="22" t="str">
        <f t="shared" si="123"/>
        <v/>
      </c>
      <c r="BW199" s="22" t="str">
        <f t="array" ref="BW199">_xlfn.TEXTJOIN("",TRUE,IF(ISERROR(FIND(ROW($1:$10)-1,BU199&amp;BV199)),ROW($1:$10)-1,""))</f>
        <v>0123456789</v>
      </c>
      <c r="BX199" s="20" t="str">
        <f t="shared" si="116"/>
        <v>中中中</v>
      </c>
      <c r="BY199" s="23" t="str">
        <f t="shared" si="105"/>
        <v>46</v>
      </c>
      <c r="BZ199" s="24" t="str">
        <f t="array" ref="BZ199">_xlfn.TEXTJOIN("",TRUE,IF(ISNUMBER(FIND(MID(BY198&amp;Q198,ROW($1:$4),1),BY199&amp;Q199)),MID(BY198&amp;Q198,ROW($1:$4),1),""))</f>
        <v>54</v>
      </c>
      <c r="CA199" s="25" t="str">
        <f t="array" ref="CA199">_xlfn.TEXTJOIN("",TRUE,IF(ISERROR(FIND(ROW($1:$10)-1,BY199&amp;BZ199)),ROW($1:$10)-1,""))</f>
        <v>0123789</v>
      </c>
      <c r="CB199" s="26" t="str">
        <f t="shared" si="117"/>
        <v>邻传孤</v>
      </c>
      <c r="CC199" s="27" t="str">
        <f t="shared" si="118"/>
        <v>46</v>
      </c>
      <c r="CD199" s="27" t="str">
        <f t="array" ref="CD199">_xlfn.TEXTJOIN("",TRUE,IF(ISNUMBER(FIND(MID(CC198&amp;R198,ROW($1:$4),1),CC199&amp;R199)),MID(CC198&amp;R198,ROW($1:$4),1),""))</f>
        <v>6</v>
      </c>
      <c r="CE199" s="27" t="str">
        <f t="array" ref="CE199">_xlfn.TEXTJOIN("",TRUE,IF(ISERROR(FIND(ROW($1:$10)-1,CC199&amp;CD199)),ROW($1:$10)-1,""))</f>
        <v>01235789</v>
      </c>
      <c r="CF199" s="17" t="str">
        <f t="shared" si="119"/>
        <v>邻传孤</v>
      </c>
      <c r="CG199" s="22" t="str">
        <f t="shared" si="120"/>
        <v>91</v>
      </c>
      <c r="CH199" s="22" t="str">
        <f t="array" ref="CH199">_xlfn.TEXTJOIN("",TRUE,IF(ISNUMBER(FIND(MID(CG198&amp;S198,ROW($1:$4),1),CG199&amp;S199)),MID(CG198&amp;S198,ROW($1:$4),1),""))</f>
        <v/>
      </c>
      <c r="CI199" s="22" t="str">
        <f t="array" ref="CI199">_xlfn.TEXTJOIN("",TRUE,IF(ISERROR(FIND(ROW($1:$10)-1,CG199&amp;CH199)),ROW($1:$10)-1,""))</f>
        <v>02345678</v>
      </c>
      <c r="CJ199" s="28" t="str">
        <f t="shared" si="121"/>
        <v>邻孤孤</v>
      </c>
    </row>
    <row r="200" spans="1:88">
      <c r="A200" s="32">
        <v>2024327</v>
      </c>
      <c r="B200" s="8" t="s">
        <v>200</v>
      </c>
      <c r="C200" s="49">
        <f t="shared" si="106"/>
        <v>10</v>
      </c>
      <c r="D200" s="50">
        <f t="shared" si="107"/>
        <v>0</v>
      </c>
      <c r="E200" s="51">
        <f t="shared" si="102"/>
        <v>3.3333333333333299</v>
      </c>
      <c r="F200" s="52">
        <f>MAX(MID(B200,{1,2,3},1)*1)-MIN(MID(B200,{1,2,3},1)*1)</f>
        <v>8</v>
      </c>
      <c r="G200" s="104">
        <v>0</v>
      </c>
      <c r="H200" s="104">
        <v>1</v>
      </c>
      <c r="I200" s="104">
        <v>2</v>
      </c>
      <c r="J200" s="104">
        <v>3</v>
      </c>
      <c r="K200" s="104">
        <v>4</v>
      </c>
      <c r="L200" s="104">
        <v>5</v>
      </c>
      <c r="M200" s="104">
        <v>6</v>
      </c>
      <c r="N200" s="104">
        <v>7</v>
      </c>
      <c r="O200" s="104">
        <v>8</v>
      </c>
      <c r="P200" s="104">
        <v>9</v>
      </c>
      <c r="Q200" s="53">
        <f t="shared" si="108"/>
        <v>6</v>
      </c>
      <c r="R200" s="53">
        <f t="shared" si="109"/>
        <v>2</v>
      </c>
      <c r="S200" s="53">
        <f t="shared" si="110"/>
        <v>8</v>
      </c>
      <c r="T200" s="101">
        <f t="shared" si="103"/>
        <v>16</v>
      </c>
      <c r="U200" s="15" t="str">
        <f>_xlfn.TEXTJOIN(", ",TRUE,ABS(MID(B200,{1,1,2},1)-MID(B200,{2,3,3},1)))</f>
        <v>6, 2, 8</v>
      </c>
      <c r="V200" s="54">
        <v>0</v>
      </c>
      <c r="W200" s="54">
        <v>1</v>
      </c>
      <c r="X200" s="54">
        <v>2</v>
      </c>
      <c r="Y200" s="54">
        <v>3</v>
      </c>
      <c r="Z200" s="54">
        <v>4</v>
      </c>
      <c r="AA200" s="54">
        <v>5</v>
      </c>
      <c r="AB200" s="54">
        <v>6</v>
      </c>
      <c r="AC200" s="54">
        <v>7</v>
      </c>
      <c r="AD200" s="54">
        <v>8</v>
      </c>
      <c r="AE200" s="54">
        <v>9</v>
      </c>
      <c r="AF200" s="55">
        <v>0</v>
      </c>
      <c r="AG200" s="55">
        <v>1</v>
      </c>
      <c r="AH200" s="55">
        <v>2</v>
      </c>
      <c r="AI200" s="55">
        <v>3</v>
      </c>
      <c r="AJ200" s="55">
        <v>4</v>
      </c>
      <c r="AK200" s="55">
        <v>5</v>
      </c>
      <c r="AL200" s="55">
        <v>6</v>
      </c>
      <c r="AM200" s="55">
        <v>7</v>
      </c>
      <c r="AN200" s="55">
        <v>8</v>
      </c>
      <c r="AO200" s="55">
        <v>9</v>
      </c>
      <c r="AP200" s="105">
        <v>0</v>
      </c>
      <c r="AQ200" s="105">
        <v>1</v>
      </c>
      <c r="AR200" s="105">
        <v>2</v>
      </c>
      <c r="AS200" s="105">
        <v>3</v>
      </c>
      <c r="AT200" s="105">
        <v>4</v>
      </c>
      <c r="AU200" s="105">
        <v>5</v>
      </c>
      <c r="AV200" s="105">
        <v>6</v>
      </c>
      <c r="AW200" s="105">
        <v>7</v>
      </c>
      <c r="AX200" s="105">
        <v>8</v>
      </c>
      <c r="AY200" s="105">
        <v>9</v>
      </c>
      <c r="AZ200" s="56">
        <v>0</v>
      </c>
      <c r="BA200" s="56">
        <v>1</v>
      </c>
      <c r="BB200" s="56">
        <v>2</v>
      </c>
      <c r="BC200" s="56">
        <v>3</v>
      </c>
      <c r="BD200" s="56">
        <v>4</v>
      </c>
      <c r="BE200" s="56">
        <v>5</v>
      </c>
      <c r="BF200" s="56">
        <v>6</v>
      </c>
      <c r="BG200" s="56">
        <v>7</v>
      </c>
      <c r="BH200" s="56">
        <v>8</v>
      </c>
      <c r="BI200" s="56">
        <v>9</v>
      </c>
      <c r="BJ200" s="57" t="str">
        <f t="shared" si="104"/>
        <v>松散型</v>
      </c>
      <c r="BK200" s="13">
        <f t="shared" si="100"/>
        <v>2</v>
      </c>
      <c r="BL200" s="13">
        <f t="shared" si="101"/>
        <v>8</v>
      </c>
      <c r="BM200" s="18" t="str">
        <f t="shared" si="111"/>
        <v/>
      </c>
      <c r="BN200" s="19" t="str">
        <f t="shared" si="112"/>
        <v/>
      </c>
      <c r="BO200" s="19" t="str">
        <f t="array" ref="BO200">_xlfn.TEXTJOIN("",TRUE,IF(ISERROR(FIND(ROW($1:$10)-1,BM200&amp;BN200)),ROW($1:$10)-1,""))</f>
        <v>0123456789</v>
      </c>
      <c r="BP200" s="20" t="str">
        <f t="shared" si="113"/>
        <v>中中中</v>
      </c>
      <c r="BQ200" s="21" t="str">
        <f t="shared" ref="BQ200:BQ263" si="124">IF(COUNTIF($Q199:$S199,R200)&gt;0,R200,"")</f>
        <v/>
      </c>
      <c r="BR200" s="21" t="str">
        <f t="shared" si="122"/>
        <v/>
      </c>
      <c r="BS200" s="21" t="str">
        <f t="array" ref="BS200">_xlfn.TEXTJOIN("",TRUE,IF(ISERROR(FIND(ROW($1:$10)-1,BQ200&amp;BR200)),ROW($1:$10)-1,""))</f>
        <v>0123456789</v>
      </c>
      <c r="BT200" s="20" t="str">
        <f t="shared" si="114"/>
        <v>中中中</v>
      </c>
      <c r="BU200" s="22" t="str">
        <f t="shared" si="115"/>
        <v/>
      </c>
      <c r="BV200" s="22" t="str">
        <f t="shared" si="123"/>
        <v/>
      </c>
      <c r="BW200" s="22" t="str">
        <f t="array" ref="BW200">_xlfn.TEXTJOIN("",TRUE,IF(ISERROR(FIND(ROW($1:$10)-1,BU200&amp;BV200)),ROW($1:$10)-1,""))</f>
        <v>0123456789</v>
      </c>
      <c r="BX200" s="20" t="str">
        <f t="shared" si="116"/>
        <v>中中中</v>
      </c>
      <c r="BY200" s="23" t="str">
        <f t="shared" si="105"/>
        <v>57</v>
      </c>
      <c r="BZ200" s="24" t="str">
        <f t="array" ref="BZ200">_xlfn.TEXTJOIN("",TRUE,IF(ISNUMBER(FIND(MID(BY199&amp;Q199,ROW($1:$4),1),BY200&amp;Q200)),MID(BY199&amp;Q199,ROW($1:$4),1),""))</f>
        <v>65</v>
      </c>
      <c r="CA200" s="25" t="str">
        <f t="array" ref="CA200">_xlfn.TEXTJOIN("",TRUE,IF(ISERROR(FIND(ROW($1:$10)-1,BY200&amp;BZ200)),ROW($1:$10)-1,""))</f>
        <v>0123489</v>
      </c>
      <c r="CB200" s="26" t="str">
        <f t="shared" si="117"/>
        <v>邻传孤</v>
      </c>
      <c r="CC200" s="27" t="str">
        <f t="shared" si="118"/>
        <v>13</v>
      </c>
      <c r="CD200" s="27" t="str">
        <f t="array" ref="CD200">_xlfn.TEXTJOIN("",TRUE,IF(ISNUMBER(FIND(MID(CC199&amp;R199,ROW($1:$4),1),CC200&amp;R200)),MID(CC199&amp;R199,ROW($1:$4),1),""))</f>
        <v/>
      </c>
      <c r="CE200" s="27" t="str">
        <f t="array" ref="CE200">_xlfn.TEXTJOIN("",TRUE,IF(ISERROR(FIND(ROW($1:$10)-1,CC200&amp;CD200)),ROW($1:$10)-1,""))</f>
        <v>02456789</v>
      </c>
      <c r="CF200" s="17" t="str">
        <f t="shared" si="119"/>
        <v>邻孤孤</v>
      </c>
      <c r="CG200" s="22" t="str">
        <f t="shared" si="120"/>
        <v>79</v>
      </c>
      <c r="CH200" s="22" t="str">
        <f t="array" ref="CH200">_xlfn.TEXTJOIN("",TRUE,IF(ISNUMBER(FIND(MID(CG199&amp;S199,ROW($1:$4),1),CG200&amp;S200)),MID(CG199&amp;S199,ROW($1:$4),1),""))</f>
        <v>9</v>
      </c>
      <c r="CI200" s="22" t="str">
        <f t="array" ref="CI200">_xlfn.TEXTJOIN("",TRUE,IF(ISERROR(FIND(ROW($1:$10)-1,CG200&amp;CH200)),ROW($1:$10)-1,""))</f>
        <v>01234568</v>
      </c>
      <c r="CJ200" s="28" t="str">
        <f t="shared" si="121"/>
        <v>邻传孤</v>
      </c>
    </row>
    <row r="201" spans="1:88">
      <c r="A201" s="32">
        <v>2024328</v>
      </c>
      <c r="B201" s="8" t="s">
        <v>78</v>
      </c>
      <c r="C201" s="49">
        <f t="shared" si="106"/>
        <v>9</v>
      </c>
      <c r="D201" s="50">
        <f t="shared" si="107"/>
        <v>9</v>
      </c>
      <c r="E201" s="51">
        <f t="shared" si="102"/>
        <v>3</v>
      </c>
      <c r="F201" s="52">
        <f>MAX(MID(B201,{1,2,3},1)*1)-MIN(MID(B201,{1,2,3},1)*1)</f>
        <v>6</v>
      </c>
      <c r="G201" s="104">
        <v>0</v>
      </c>
      <c r="H201" s="104">
        <v>1</v>
      </c>
      <c r="I201" s="104">
        <v>2</v>
      </c>
      <c r="J201" s="104">
        <v>3</v>
      </c>
      <c r="K201" s="104">
        <v>4</v>
      </c>
      <c r="L201" s="104">
        <v>5</v>
      </c>
      <c r="M201" s="104">
        <v>6</v>
      </c>
      <c r="N201" s="104">
        <v>7</v>
      </c>
      <c r="O201" s="104">
        <v>8</v>
      </c>
      <c r="P201" s="104">
        <v>9</v>
      </c>
      <c r="Q201" s="53">
        <f t="shared" si="108"/>
        <v>3</v>
      </c>
      <c r="R201" s="53">
        <f t="shared" si="109"/>
        <v>3</v>
      </c>
      <c r="S201" s="53">
        <f t="shared" si="110"/>
        <v>6</v>
      </c>
      <c r="T201" s="101">
        <f t="shared" si="103"/>
        <v>12</v>
      </c>
      <c r="U201" s="15" t="str">
        <f>_xlfn.TEXTJOIN(", ",TRUE,ABS(MID(B201,{1,1,2},1)-MID(B201,{2,3,3},1)))</f>
        <v>3, 3, 6</v>
      </c>
      <c r="V201" s="54">
        <v>0</v>
      </c>
      <c r="W201" s="54">
        <v>1</v>
      </c>
      <c r="X201" s="54">
        <v>2</v>
      </c>
      <c r="Y201" s="54">
        <v>3</v>
      </c>
      <c r="Z201" s="54">
        <v>4</v>
      </c>
      <c r="AA201" s="54">
        <v>5</v>
      </c>
      <c r="AB201" s="54">
        <v>6</v>
      </c>
      <c r="AC201" s="54">
        <v>7</v>
      </c>
      <c r="AD201" s="54">
        <v>8</v>
      </c>
      <c r="AE201" s="54">
        <v>9</v>
      </c>
      <c r="AF201" s="55">
        <v>0</v>
      </c>
      <c r="AG201" s="55">
        <v>1</v>
      </c>
      <c r="AH201" s="55">
        <v>2</v>
      </c>
      <c r="AI201" s="55">
        <v>3</v>
      </c>
      <c r="AJ201" s="55">
        <v>4</v>
      </c>
      <c r="AK201" s="55">
        <v>5</v>
      </c>
      <c r="AL201" s="55">
        <v>6</v>
      </c>
      <c r="AM201" s="55">
        <v>7</v>
      </c>
      <c r="AN201" s="55">
        <v>8</v>
      </c>
      <c r="AO201" s="55">
        <v>9</v>
      </c>
      <c r="AP201" s="105">
        <v>0</v>
      </c>
      <c r="AQ201" s="105">
        <v>1</v>
      </c>
      <c r="AR201" s="105">
        <v>2</v>
      </c>
      <c r="AS201" s="105">
        <v>3</v>
      </c>
      <c r="AT201" s="105">
        <v>4</v>
      </c>
      <c r="AU201" s="105">
        <v>5</v>
      </c>
      <c r="AV201" s="105">
        <v>6</v>
      </c>
      <c r="AW201" s="105">
        <v>7</v>
      </c>
      <c r="AX201" s="105">
        <v>8</v>
      </c>
      <c r="AY201" s="105">
        <v>9</v>
      </c>
      <c r="AZ201" s="56">
        <v>0</v>
      </c>
      <c r="BA201" s="56">
        <v>1</v>
      </c>
      <c r="BB201" s="56">
        <v>2</v>
      </c>
      <c r="BC201" s="56">
        <v>3</v>
      </c>
      <c r="BD201" s="56">
        <v>4</v>
      </c>
      <c r="BE201" s="56">
        <v>5</v>
      </c>
      <c r="BF201" s="56">
        <v>6</v>
      </c>
      <c r="BG201" s="56">
        <v>7</v>
      </c>
      <c r="BH201" s="56">
        <v>8</v>
      </c>
      <c r="BI201" s="56">
        <v>9</v>
      </c>
      <c r="BJ201" s="57" t="str">
        <f t="shared" si="104"/>
        <v>松散型</v>
      </c>
      <c r="BK201" s="13">
        <f t="shared" si="100"/>
        <v>3</v>
      </c>
      <c r="BL201" s="13">
        <f t="shared" si="101"/>
        <v>6</v>
      </c>
      <c r="BM201" s="18" t="str">
        <f t="shared" si="111"/>
        <v/>
      </c>
      <c r="BN201" s="19" t="str">
        <f t="shared" si="112"/>
        <v/>
      </c>
      <c r="BO201" s="19" t="str">
        <f t="array" ref="BO201">_xlfn.TEXTJOIN("",TRUE,IF(ISERROR(FIND(ROW($1:$10)-1,BM201&amp;BN201)),ROW($1:$10)-1,""))</f>
        <v>0123456789</v>
      </c>
      <c r="BP201" s="20" t="str">
        <f t="shared" si="113"/>
        <v>中中中</v>
      </c>
      <c r="BQ201" s="21" t="str">
        <f t="shared" si="124"/>
        <v/>
      </c>
      <c r="BR201" s="21" t="str">
        <f t="shared" si="122"/>
        <v/>
      </c>
      <c r="BS201" s="21" t="str">
        <f t="array" ref="BS201">_xlfn.TEXTJOIN("",TRUE,IF(ISERROR(FIND(ROW($1:$10)-1,BQ201&amp;BR201)),ROW($1:$10)-1,""))</f>
        <v>0123456789</v>
      </c>
      <c r="BT201" s="20" t="str">
        <f t="shared" si="114"/>
        <v>中中中</v>
      </c>
      <c r="BU201" s="22">
        <f t="shared" si="115"/>
        <v>6</v>
      </c>
      <c r="BV201" s="22" t="str">
        <f t="shared" si="123"/>
        <v/>
      </c>
      <c r="BW201" s="22" t="str">
        <f t="array" ref="BW201">_xlfn.TEXTJOIN("",TRUE,IF(ISERROR(FIND(ROW($1:$10)-1,BU201&amp;BV201)),ROW($1:$10)-1,""))</f>
        <v>012345789</v>
      </c>
      <c r="BX201" s="20" t="str">
        <f t="shared" si="116"/>
        <v>复中中</v>
      </c>
      <c r="BY201" s="23" t="str">
        <f t="shared" si="105"/>
        <v>24</v>
      </c>
      <c r="BZ201" s="24" t="str">
        <f t="array" ref="BZ201">_xlfn.TEXTJOIN("",TRUE,IF(ISNUMBER(FIND(MID(BY200&amp;Q200,ROW($1:$4),1),BY201&amp;Q201)),MID(BY200&amp;Q200,ROW($1:$4),1),""))</f>
        <v/>
      </c>
      <c r="CA201" s="25" t="str">
        <f t="array" ref="CA201">_xlfn.TEXTJOIN("",TRUE,IF(ISERROR(FIND(ROW($1:$10)-1,BY201&amp;BZ201)),ROW($1:$10)-1,""))</f>
        <v>01356789</v>
      </c>
      <c r="CB201" s="26" t="str">
        <f t="shared" si="117"/>
        <v>邻孤孤</v>
      </c>
      <c r="CC201" s="27" t="str">
        <f t="shared" si="118"/>
        <v>24</v>
      </c>
      <c r="CD201" s="27" t="str">
        <f t="array" ref="CD201">_xlfn.TEXTJOIN("",TRUE,IF(ISNUMBER(FIND(MID(CC200&amp;R200,ROW($1:$4),1),CC201&amp;R201)),MID(CC200&amp;R200,ROW($1:$4),1),""))</f>
        <v>32</v>
      </c>
      <c r="CE201" s="27" t="str">
        <f t="array" ref="CE201">_xlfn.TEXTJOIN("",TRUE,IF(ISERROR(FIND(ROW($1:$10)-1,CC201&amp;CD201)),ROW($1:$10)-1,""))</f>
        <v>0156789</v>
      </c>
      <c r="CF201" s="17" t="str">
        <f t="shared" si="119"/>
        <v>邻传孤</v>
      </c>
      <c r="CG201" s="22" t="str">
        <f t="shared" si="120"/>
        <v>57</v>
      </c>
      <c r="CH201" s="22" t="str">
        <f t="array" ref="CH201">_xlfn.TEXTJOIN("",TRUE,IF(ISNUMBER(FIND(MID(CG200&amp;S200,ROW($1:$4),1),CG201&amp;S201)),MID(CG200&amp;S200,ROW($1:$4),1),""))</f>
        <v>7</v>
      </c>
      <c r="CI201" s="22" t="str">
        <f t="array" ref="CI201">_xlfn.TEXTJOIN("",TRUE,IF(ISERROR(FIND(ROW($1:$10)-1,CG201&amp;CH201)),ROW($1:$10)-1,""))</f>
        <v>01234689</v>
      </c>
      <c r="CJ201" s="28" t="str">
        <f t="shared" si="121"/>
        <v>邻传孤</v>
      </c>
    </row>
    <row r="202" spans="1:88">
      <c r="A202" s="32">
        <v>2024329</v>
      </c>
      <c r="B202" s="8" t="s">
        <v>201</v>
      </c>
      <c r="C202" s="49">
        <f t="shared" si="106"/>
        <v>10</v>
      </c>
      <c r="D202" s="50">
        <f t="shared" si="107"/>
        <v>0</v>
      </c>
      <c r="E202" s="51">
        <f t="shared" si="102"/>
        <v>3.3333333333333299</v>
      </c>
      <c r="F202" s="52">
        <f>MAX(MID(B202,{1,2,3},1)*1)-MIN(MID(B202,{1,2,3},1)*1)</f>
        <v>9</v>
      </c>
      <c r="G202" s="104">
        <v>0</v>
      </c>
      <c r="H202" s="104">
        <v>1</v>
      </c>
      <c r="I202" s="104">
        <v>2</v>
      </c>
      <c r="J202" s="104">
        <v>3</v>
      </c>
      <c r="K202" s="104">
        <v>4</v>
      </c>
      <c r="L202" s="104">
        <v>5</v>
      </c>
      <c r="M202" s="104">
        <v>6</v>
      </c>
      <c r="N202" s="104">
        <v>7</v>
      </c>
      <c r="O202" s="104">
        <v>8</v>
      </c>
      <c r="P202" s="104">
        <v>9</v>
      </c>
      <c r="Q202" s="53">
        <f t="shared" si="108"/>
        <v>8</v>
      </c>
      <c r="R202" s="53">
        <f t="shared" si="109"/>
        <v>9</v>
      </c>
      <c r="S202" s="53">
        <f t="shared" si="110"/>
        <v>1</v>
      </c>
      <c r="T202" s="101">
        <f t="shared" si="103"/>
        <v>18</v>
      </c>
      <c r="U202" s="15" t="str">
        <f>_xlfn.TEXTJOIN(", ",TRUE,ABS(MID(B202,{1,1,2},1)-MID(B202,{2,3,3},1)))</f>
        <v>8, 9, 1</v>
      </c>
      <c r="V202" s="54">
        <v>0</v>
      </c>
      <c r="W202" s="54">
        <v>1</v>
      </c>
      <c r="X202" s="54">
        <v>2</v>
      </c>
      <c r="Y202" s="54">
        <v>3</v>
      </c>
      <c r="Z202" s="54">
        <v>4</v>
      </c>
      <c r="AA202" s="54">
        <v>5</v>
      </c>
      <c r="AB202" s="54">
        <v>6</v>
      </c>
      <c r="AC202" s="54">
        <v>7</v>
      </c>
      <c r="AD202" s="54">
        <v>8</v>
      </c>
      <c r="AE202" s="54">
        <v>9</v>
      </c>
      <c r="AF202" s="55">
        <v>0</v>
      </c>
      <c r="AG202" s="55">
        <v>1</v>
      </c>
      <c r="AH202" s="55">
        <v>2</v>
      </c>
      <c r="AI202" s="55">
        <v>3</v>
      </c>
      <c r="AJ202" s="55">
        <v>4</v>
      </c>
      <c r="AK202" s="55">
        <v>5</v>
      </c>
      <c r="AL202" s="55">
        <v>6</v>
      </c>
      <c r="AM202" s="55">
        <v>7</v>
      </c>
      <c r="AN202" s="55">
        <v>8</v>
      </c>
      <c r="AO202" s="55">
        <v>9</v>
      </c>
      <c r="AP202" s="105">
        <v>0</v>
      </c>
      <c r="AQ202" s="105">
        <v>1</v>
      </c>
      <c r="AR202" s="105">
        <v>2</v>
      </c>
      <c r="AS202" s="105">
        <v>3</v>
      </c>
      <c r="AT202" s="105">
        <v>4</v>
      </c>
      <c r="AU202" s="105">
        <v>5</v>
      </c>
      <c r="AV202" s="105">
        <v>6</v>
      </c>
      <c r="AW202" s="105">
        <v>7</v>
      </c>
      <c r="AX202" s="105">
        <v>8</v>
      </c>
      <c r="AY202" s="105">
        <v>9</v>
      </c>
      <c r="AZ202" s="56">
        <v>0</v>
      </c>
      <c r="BA202" s="56">
        <v>1</v>
      </c>
      <c r="BB202" s="56">
        <v>2</v>
      </c>
      <c r="BC202" s="56">
        <v>3</v>
      </c>
      <c r="BD202" s="56">
        <v>4</v>
      </c>
      <c r="BE202" s="56">
        <v>5</v>
      </c>
      <c r="BF202" s="56">
        <v>6</v>
      </c>
      <c r="BG202" s="56">
        <v>7</v>
      </c>
      <c r="BH202" s="56">
        <v>8</v>
      </c>
      <c r="BI202" s="56">
        <v>9</v>
      </c>
      <c r="BJ202" s="57" t="str">
        <f t="shared" si="104"/>
        <v>松散型</v>
      </c>
      <c r="BK202" s="13">
        <f t="shared" si="100"/>
        <v>1</v>
      </c>
      <c r="BL202" s="13">
        <f t="shared" si="101"/>
        <v>9</v>
      </c>
      <c r="BM202" s="18" t="str">
        <f t="shared" si="111"/>
        <v/>
      </c>
      <c r="BN202" s="19">
        <f t="shared" si="112"/>
        <v>8</v>
      </c>
      <c r="BO202" s="19" t="str">
        <f t="array" ref="BO202">_xlfn.TEXTJOIN("",TRUE,IF(ISERROR(FIND(ROW($1:$10)-1,BM202&amp;BN202)),ROW($1:$10)-1,""))</f>
        <v>012345679</v>
      </c>
      <c r="BP202" s="20" t="str">
        <f t="shared" si="113"/>
        <v>中隔中</v>
      </c>
      <c r="BQ202" s="21" t="str">
        <f t="shared" si="124"/>
        <v/>
      </c>
      <c r="BR202" s="21" t="str">
        <f t="shared" si="122"/>
        <v/>
      </c>
      <c r="BS202" s="21" t="str">
        <f t="array" ref="BS202">_xlfn.TEXTJOIN("",TRUE,IF(ISERROR(FIND(ROW($1:$10)-1,BQ202&amp;BR202)),ROW($1:$10)-1,""))</f>
        <v>0123456789</v>
      </c>
      <c r="BT202" s="20" t="str">
        <f t="shared" si="114"/>
        <v>中中中</v>
      </c>
      <c r="BU202" s="22" t="str">
        <f t="shared" si="115"/>
        <v/>
      </c>
      <c r="BV202" s="22" t="str">
        <f t="shared" si="123"/>
        <v/>
      </c>
      <c r="BW202" s="22" t="str">
        <f t="array" ref="BW202">_xlfn.TEXTJOIN("",TRUE,IF(ISERROR(FIND(ROW($1:$10)-1,BU202&amp;BV202)),ROW($1:$10)-1,""))</f>
        <v>0123456789</v>
      </c>
      <c r="BX202" s="20" t="str">
        <f t="shared" si="116"/>
        <v>中中中</v>
      </c>
      <c r="BY202" s="23" t="str">
        <f t="shared" si="105"/>
        <v>79</v>
      </c>
      <c r="BZ202" s="24" t="str">
        <f t="array" ref="BZ202">_xlfn.TEXTJOIN("",TRUE,IF(ISNUMBER(FIND(MID(BY201&amp;Q201,ROW($1:$4),1),BY202&amp;Q202)),MID(BY201&amp;Q201,ROW($1:$4),1),""))</f>
        <v/>
      </c>
      <c r="CA202" s="25" t="str">
        <f t="array" ref="CA202">_xlfn.TEXTJOIN("",TRUE,IF(ISERROR(FIND(ROW($1:$10)-1,BY202&amp;BZ202)),ROW($1:$10)-1,""))</f>
        <v>01234568</v>
      </c>
      <c r="CB202" s="26" t="str">
        <f t="shared" si="117"/>
        <v>邻孤孤</v>
      </c>
      <c r="CC202" s="27" t="str">
        <f t="shared" si="118"/>
        <v>80</v>
      </c>
      <c r="CD202" s="27" t="str">
        <f t="array" ref="CD202">_xlfn.TEXTJOIN("",TRUE,IF(ISNUMBER(FIND(MID(CC201&amp;R201,ROW($1:$4),1),CC202&amp;R202)),MID(CC201&amp;R201,ROW($1:$4),1),""))</f>
        <v/>
      </c>
      <c r="CE202" s="27" t="str">
        <f t="array" ref="CE202">_xlfn.TEXTJOIN("",TRUE,IF(ISERROR(FIND(ROW($1:$10)-1,CC202&amp;CD202)),ROW($1:$10)-1,""))</f>
        <v>12345679</v>
      </c>
      <c r="CF202" s="17" t="str">
        <f t="shared" si="119"/>
        <v>邻孤孤</v>
      </c>
      <c r="CG202" s="22" t="str">
        <f t="shared" si="120"/>
        <v>02</v>
      </c>
      <c r="CH202" s="22" t="str">
        <f t="array" ref="CH202">_xlfn.TEXTJOIN("",TRUE,IF(ISNUMBER(FIND(MID(CG201&amp;S201,ROW($1:$4),1),CG202&amp;S202)),MID(CG201&amp;S201,ROW($1:$4),1),""))</f>
        <v/>
      </c>
      <c r="CI202" s="22" t="str">
        <f t="array" ref="CI202">_xlfn.TEXTJOIN("",TRUE,IF(ISERROR(FIND(ROW($1:$10)-1,CG202&amp;CH202)),ROW($1:$10)-1,""))</f>
        <v>13456789</v>
      </c>
      <c r="CJ202" s="28" t="str">
        <f t="shared" si="121"/>
        <v>邻孤孤</v>
      </c>
    </row>
    <row r="203" spans="1:88">
      <c r="A203" s="32">
        <v>2024330</v>
      </c>
      <c r="B203" s="8" t="s">
        <v>202</v>
      </c>
      <c r="C203" s="49">
        <f t="shared" si="106"/>
        <v>14</v>
      </c>
      <c r="D203" s="50">
        <f t="shared" si="107"/>
        <v>4</v>
      </c>
      <c r="E203" s="51">
        <f t="shared" si="102"/>
        <v>4.6666666666666696</v>
      </c>
      <c r="F203" s="52">
        <f>MAX(MID(B203,{1,2,3},1)*1)-MIN(MID(B203,{1,2,3},1)*1)</f>
        <v>6</v>
      </c>
      <c r="G203" s="104">
        <v>0</v>
      </c>
      <c r="H203" s="104">
        <v>1</v>
      </c>
      <c r="I203" s="104">
        <v>2</v>
      </c>
      <c r="J203" s="104">
        <v>3</v>
      </c>
      <c r="K203" s="104">
        <v>4</v>
      </c>
      <c r="L203" s="104">
        <v>5</v>
      </c>
      <c r="M203" s="104">
        <v>6</v>
      </c>
      <c r="N203" s="104">
        <v>7</v>
      </c>
      <c r="O203" s="104">
        <v>8</v>
      </c>
      <c r="P203" s="104">
        <v>9</v>
      </c>
      <c r="Q203" s="53">
        <f t="shared" si="108"/>
        <v>5</v>
      </c>
      <c r="R203" s="53">
        <f t="shared" si="109"/>
        <v>6</v>
      </c>
      <c r="S203" s="53">
        <f t="shared" si="110"/>
        <v>1</v>
      </c>
      <c r="T203" s="101">
        <f t="shared" si="103"/>
        <v>12</v>
      </c>
      <c r="U203" s="15" t="str">
        <f>_xlfn.TEXTJOIN(", ",TRUE,ABS(MID(B203,{1,1,2},1)-MID(B203,{2,3,3},1)))</f>
        <v>5, 6, 1</v>
      </c>
      <c r="V203" s="54">
        <v>0</v>
      </c>
      <c r="W203" s="54">
        <v>1</v>
      </c>
      <c r="X203" s="54">
        <v>2</v>
      </c>
      <c r="Y203" s="54">
        <v>3</v>
      </c>
      <c r="Z203" s="54">
        <v>4</v>
      </c>
      <c r="AA203" s="54">
        <v>5</v>
      </c>
      <c r="AB203" s="54">
        <v>6</v>
      </c>
      <c r="AC203" s="54">
        <v>7</v>
      </c>
      <c r="AD203" s="54">
        <v>8</v>
      </c>
      <c r="AE203" s="54">
        <v>9</v>
      </c>
      <c r="AF203" s="55">
        <v>0</v>
      </c>
      <c r="AG203" s="55">
        <v>1</v>
      </c>
      <c r="AH203" s="55">
        <v>2</v>
      </c>
      <c r="AI203" s="55">
        <v>3</v>
      </c>
      <c r="AJ203" s="55">
        <v>4</v>
      </c>
      <c r="AK203" s="55">
        <v>5</v>
      </c>
      <c r="AL203" s="55">
        <v>6</v>
      </c>
      <c r="AM203" s="55">
        <v>7</v>
      </c>
      <c r="AN203" s="55">
        <v>8</v>
      </c>
      <c r="AO203" s="55">
        <v>9</v>
      </c>
      <c r="AP203" s="105">
        <v>0</v>
      </c>
      <c r="AQ203" s="105">
        <v>1</v>
      </c>
      <c r="AR203" s="105">
        <v>2</v>
      </c>
      <c r="AS203" s="105">
        <v>3</v>
      </c>
      <c r="AT203" s="105">
        <v>4</v>
      </c>
      <c r="AU203" s="105">
        <v>5</v>
      </c>
      <c r="AV203" s="105">
        <v>6</v>
      </c>
      <c r="AW203" s="105">
        <v>7</v>
      </c>
      <c r="AX203" s="105">
        <v>8</v>
      </c>
      <c r="AY203" s="105">
        <v>9</v>
      </c>
      <c r="AZ203" s="56">
        <v>0</v>
      </c>
      <c r="BA203" s="56">
        <v>1</v>
      </c>
      <c r="BB203" s="56">
        <v>2</v>
      </c>
      <c r="BC203" s="56">
        <v>3</v>
      </c>
      <c r="BD203" s="56">
        <v>4</v>
      </c>
      <c r="BE203" s="56">
        <v>5</v>
      </c>
      <c r="BF203" s="56">
        <v>6</v>
      </c>
      <c r="BG203" s="56">
        <v>7</v>
      </c>
      <c r="BH203" s="56">
        <v>8</v>
      </c>
      <c r="BI203" s="56">
        <v>9</v>
      </c>
      <c r="BJ203" s="57" t="str">
        <f t="shared" si="104"/>
        <v>松散型</v>
      </c>
      <c r="BK203" s="13">
        <f t="shared" si="100"/>
        <v>1</v>
      </c>
      <c r="BL203" s="13">
        <f t="shared" si="101"/>
        <v>6</v>
      </c>
      <c r="BM203" s="18" t="str">
        <f t="shared" si="111"/>
        <v/>
      </c>
      <c r="BN203" s="19" t="str">
        <f t="shared" si="112"/>
        <v/>
      </c>
      <c r="BO203" s="19" t="str">
        <f t="array" ref="BO203">_xlfn.TEXTJOIN("",TRUE,IF(ISERROR(FIND(ROW($1:$10)-1,BM203&amp;BN203)),ROW($1:$10)-1,""))</f>
        <v>0123456789</v>
      </c>
      <c r="BP203" s="20" t="str">
        <f t="shared" si="113"/>
        <v>中中中</v>
      </c>
      <c r="BQ203" s="21" t="str">
        <f t="shared" si="124"/>
        <v/>
      </c>
      <c r="BR203" s="21">
        <f t="shared" si="122"/>
        <v>6</v>
      </c>
      <c r="BS203" s="21" t="str">
        <f t="array" ref="BS203">_xlfn.TEXTJOIN("",TRUE,IF(ISERROR(FIND(ROW($1:$10)-1,BQ203&amp;BR203)),ROW($1:$10)-1,""))</f>
        <v>012345789</v>
      </c>
      <c r="BT203" s="20" t="str">
        <f t="shared" si="114"/>
        <v>中隔中</v>
      </c>
      <c r="BU203" s="22">
        <f t="shared" si="115"/>
        <v>1</v>
      </c>
      <c r="BV203" s="22" t="str">
        <f t="shared" si="123"/>
        <v/>
      </c>
      <c r="BW203" s="22" t="str">
        <f t="array" ref="BW203">_xlfn.TEXTJOIN("",TRUE,IF(ISERROR(FIND(ROW($1:$10)-1,BU203&amp;BV203)),ROW($1:$10)-1,""))</f>
        <v>023456789</v>
      </c>
      <c r="BX203" s="20" t="str">
        <f t="shared" si="116"/>
        <v>复中中</v>
      </c>
      <c r="BY203" s="23" t="str">
        <f t="shared" si="105"/>
        <v>46</v>
      </c>
      <c r="BZ203" s="24" t="str">
        <f t="array" ref="BZ203">_xlfn.TEXTJOIN("",TRUE,IF(ISNUMBER(FIND(MID(BY202&amp;Q202,ROW($1:$4),1),BY203&amp;Q203)),MID(BY202&amp;Q202,ROW($1:$4),1),""))</f>
        <v/>
      </c>
      <c r="CA203" s="25" t="str">
        <f t="array" ref="CA203">_xlfn.TEXTJOIN("",TRUE,IF(ISERROR(FIND(ROW($1:$10)-1,BY203&amp;BZ203)),ROW($1:$10)-1,""))</f>
        <v>01235789</v>
      </c>
      <c r="CB203" s="26" t="str">
        <f t="shared" si="117"/>
        <v>邻孤孤</v>
      </c>
      <c r="CC203" s="27" t="str">
        <f t="shared" si="118"/>
        <v>57</v>
      </c>
      <c r="CD203" s="27" t="str">
        <f t="array" ref="CD203">_xlfn.TEXTJOIN("",TRUE,IF(ISNUMBER(FIND(MID(CC202&amp;R202,ROW($1:$4),1),CC203&amp;R203)),MID(CC202&amp;R202,ROW($1:$4),1),""))</f>
        <v/>
      </c>
      <c r="CE203" s="27" t="str">
        <f t="array" ref="CE203">_xlfn.TEXTJOIN("",TRUE,IF(ISERROR(FIND(ROW($1:$10)-1,CC203&amp;CD203)),ROW($1:$10)-1,""))</f>
        <v>01234689</v>
      </c>
      <c r="CF203" s="17" t="str">
        <f t="shared" si="119"/>
        <v>邻孤孤</v>
      </c>
      <c r="CG203" s="22" t="str">
        <f t="shared" si="120"/>
        <v>02</v>
      </c>
      <c r="CH203" s="22" t="str">
        <f t="array" ref="CH203">_xlfn.TEXTJOIN("",TRUE,IF(ISNUMBER(FIND(MID(CG202&amp;S202,ROW($1:$4),1),CG203&amp;S203)),MID(CG202&amp;S202,ROW($1:$4),1),""))</f>
        <v>021</v>
      </c>
      <c r="CI203" s="22" t="str">
        <f t="array" ref="CI203">_xlfn.TEXTJOIN("",TRUE,IF(ISERROR(FIND(ROW($1:$10)-1,CG203&amp;CH203)),ROW($1:$10)-1,""))</f>
        <v>3456789</v>
      </c>
      <c r="CJ203" s="28" t="str">
        <f t="shared" si="121"/>
        <v>邻传孤</v>
      </c>
    </row>
    <row r="204" spans="1:88">
      <c r="A204" s="32">
        <v>2024331</v>
      </c>
      <c r="B204" s="8" t="s">
        <v>203</v>
      </c>
      <c r="C204" s="49">
        <f t="shared" si="106"/>
        <v>19</v>
      </c>
      <c r="D204" s="50">
        <f t="shared" si="107"/>
        <v>9</v>
      </c>
      <c r="E204" s="51">
        <f t="shared" si="102"/>
        <v>6.3333333333333304</v>
      </c>
      <c r="F204" s="52">
        <f>MAX(MID(B204,{1,2,3},1)*1)-MIN(MID(B204,{1,2,3},1)*1)</f>
        <v>5</v>
      </c>
      <c r="G204" s="104">
        <v>0</v>
      </c>
      <c r="H204" s="104">
        <v>1</v>
      </c>
      <c r="I204" s="104">
        <v>2</v>
      </c>
      <c r="J204" s="104">
        <v>3</v>
      </c>
      <c r="K204" s="104">
        <v>4</v>
      </c>
      <c r="L204" s="104">
        <v>5</v>
      </c>
      <c r="M204" s="104">
        <v>6</v>
      </c>
      <c r="N204" s="104">
        <v>7</v>
      </c>
      <c r="O204" s="104">
        <v>8</v>
      </c>
      <c r="P204" s="104">
        <v>9</v>
      </c>
      <c r="Q204" s="53">
        <f t="shared" si="108"/>
        <v>3</v>
      </c>
      <c r="R204" s="53">
        <f t="shared" si="109"/>
        <v>5</v>
      </c>
      <c r="S204" s="53">
        <f t="shared" si="110"/>
        <v>2</v>
      </c>
      <c r="T204" s="101">
        <f t="shared" si="103"/>
        <v>10</v>
      </c>
      <c r="U204" s="15" t="str">
        <f>_xlfn.TEXTJOIN(", ",TRUE,ABS(MID(B204,{1,1,2},1)-MID(B204,{2,3,3},1)))</f>
        <v>3, 5, 2</v>
      </c>
      <c r="V204" s="54">
        <v>0</v>
      </c>
      <c r="W204" s="54">
        <v>1</v>
      </c>
      <c r="X204" s="54">
        <v>2</v>
      </c>
      <c r="Y204" s="54">
        <v>3</v>
      </c>
      <c r="Z204" s="54">
        <v>4</v>
      </c>
      <c r="AA204" s="54">
        <v>5</v>
      </c>
      <c r="AB204" s="54">
        <v>6</v>
      </c>
      <c r="AC204" s="54">
        <v>7</v>
      </c>
      <c r="AD204" s="54">
        <v>8</v>
      </c>
      <c r="AE204" s="54">
        <v>9</v>
      </c>
      <c r="AF204" s="55">
        <v>0</v>
      </c>
      <c r="AG204" s="55">
        <v>1</v>
      </c>
      <c r="AH204" s="55">
        <v>2</v>
      </c>
      <c r="AI204" s="55">
        <v>3</v>
      </c>
      <c r="AJ204" s="55">
        <v>4</v>
      </c>
      <c r="AK204" s="55">
        <v>5</v>
      </c>
      <c r="AL204" s="55">
        <v>6</v>
      </c>
      <c r="AM204" s="55">
        <v>7</v>
      </c>
      <c r="AN204" s="55">
        <v>8</v>
      </c>
      <c r="AO204" s="55">
        <v>9</v>
      </c>
      <c r="AP204" s="105">
        <v>0</v>
      </c>
      <c r="AQ204" s="105">
        <v>1</v>
      </c>
      <c r="AR204" s="105">
        <v>2</v>
      </c>
      <c r="AS204" s="105">
        <v>3</v>
      </c>
      <c r="AT204" s="105">
        <v>4</v>
      </c>
      <c r="AU204" s="105">
        <v>5</v>
      </c>
      <c r="AV204" s="105">
        <v>6</v>
      </c>
      <c r="AW204" s="105">
        <v>7</v>
      </c>
      <c r="AX204" s="105">
        <v>8</v>
      </c>
      <c r="AY204" s="105">
        <v>9</v>
      </c>
      <c r="AZ204" s="56">
        <v>0</v>
      </c>
      <c r="BA204" s="56">
        <v>1</v>
      </c>
      <c r="BB204" s="56">
        <v>2</v>
      </c>
      <c r="BC204" s="56">
        <v>3</v>
      </c>
      <c r="BD204" s="56">
        <v>4</v>
      </c>
      <c r="BE204" s="56">
        <v>5</v>
      </c>
      <c r="BF204" s="56">
        <v>6</v>
      </c>
      <c r="BG204" s="56">
        <v>7</v>
      </c>
      <c r="BH204" s="56">
        <v>8</v>
      </c>
      <c r="BI204" s="56">
        <v>9</v>
      </c>
      <c r="BJ204" s="57" t="str">
        <f t="shared" si="104"/>
        <v>标准型</v>
      </c>
      <c r="BK204" s="13">
        <f t="shared" si="100"/>
        <v>2</v>
      </c>
      <c r="BL204" s="13">
        <f t="shared" si="101"/>
        <v>5</v>
      </c>
      <c r="BM204" s="18" t="str">
        <f t="shared" si="111"/>
        <v/>
      </c>
      <c r="BN204" s="19" t="str">
        <f t="shared" si="112"/>
        <v/>
      </c>
      <c r="BO204" s="19" t="str">
        <f t="array" ref="BO204">_xlfn.TEXTJOIN("",TRUE,IF(ISERROR(FIND(ROW($1:$10)-1,BM204&amp;BN204)),ROW($1:$10)-1,""))</f>
        <v>0123456789</v>
      </c>
      <c r="BP204" s="20" t="str">
        <f t="shared" si="113"/>
        <v>中中中</v>
      </c>
      <c r="BQ204" s="21">
        <f t="shared" si="124"/>
        <v>5</v>
      </c>
      <c r="BR204" s="21" t="str">
        <f t="shared" si="122"/>
        <v/>
      </c>
      <c r="BS204" s="21" t="str">
        <f t="array" ref="BS204">_xlfn.TEXTJOIN("",TRUE,IF(ISERROR(FIND(ROW($1:$10)-1,BQ204&amp;BR204)),ROW($1:$10)-1,""))</f>
        <v>012346789</v>
      </c>
      <c r="BT204" s="20" t="str">
        <f t="shared" si="114"/>
        <v>复中中</v>
      </c>
      <c r="BU204" s="22" t="str">
        <f t="shared" si="115"/>
        <v/>
      </c>
      <c r="BV204" s="22" t="str">
        <f t="shared" si="123"/>
        <v/>
      </c>
      <c r="BW204" s="22" t="str">
        <f t="array" ref="BW204">_xlfn.TEXTJOIN("",TRUE,IF(ISERROR(FIND(ROW($1:$10)-1,BU204&amp;BV204)),ROW($1:$10)-1,""))</f>
        <v>0123456789</v>
      </c>
      <c r="BX204" s="20" t="str">
        <f t="shared" si="116"/>
        <v>中中中</v>
      </c>
      <c r="BY204" s="23" t="str">
        <f t="shared" si="105"/>
        <v>24</v>
      </c>
      <c r="BZ204" s="24" t="str">
        <f t="array" ref="BZ204">_xlfn.TEXTJOIN("",TRUE,IF(ISNUMBER(FIND(MID(BY203&amp;Q203,ROW($1:$4),1),BY204&amp;Q204)),MID(BY203&amp;Q203,ROW($1:$4),1),""))</f>
        <v>4</v>
      </c>
      <c r="CA204" s="25" t="str">
        <f t="array" ref="CA204">_xlfn.TEXTJOIN("",TRUE,IF(ISERROR(FIND(ROW($1:$10)-1,BY204&amp;BZ204)),ROW($1:$10)-1,""))</f>
        <v>01356789</v>
      </c>
      <c r="CB204" s="26" t="str">
        <f t="shared" si="117"/>
        <v>邻传孤</v>
      </c>
      <c r="CC204" s="27" t="str">
        <f t="shared" si="118"/>
        <v>46</v>
      </c>
      <c r="CD204" s="27" t="str">
        <f t="array" ref="CD204">_xlfn.TEXTJOIN("",TRUE,IF(ISNUMBER(FIND(MID(CC203&amp;R203,ROW($1:$4),1),CC204&amp;R204)),MID(CC203&amp;R203,ROW($1:$4),1),""))</f>
        <v>56</v>
      </c>
      <c r="CE204" s="27" t="str">
        <f t="array" ref="CE204">_xlfn.TEXTJOIN("",TRUE,IF(ISERROR(FIND(ROW($1:$10)-1,CC204&amp;CD204)),ROW($1:$10)-1,""))</f>
        <v>0123789</v>
      </c>
      <c r="CF204" s="17" t="str">
        <f t="shared" si="119"/>
        <v>邻传孤</v>
      </c>
      <c r="CG204" s="22" t="str">
        <f t="shared" si="120"/>
        <v>13</v>
      </c>
      <c r="CH204" s="22" t="str">
        <f t="array" ref="CH204">_xlfn.TEXTJOIN("",TRUE,IF(ISNUMBER(FIND(MID(CG203&amp;S203,ROW($1:$4),1),CG204&amp;S204)),MID(CG203&amp;S203,ROW($1:$4),1),""))</f>
        <v>21</v>
      </c>
      <c r="CI204" s="22" t="str">
        <f t="array" ref="CI204">_xlfn.TEXTJOIN("",TRUE,IF(ISERROR(FIND(ROW($1:$10)-1,CG204&amp;CH204)),ROW($1:$10)-1,""))</f>
        <v>0456789</v>
      </c>
      <c r="CJ204" s="28" t="str">
        <f t="shared" si="121"/>
        <v>邻传孤</v>
      </c>
    </row>
    <row r="205" spans="1:88">
      <c r="A205" s="32">
        <v>2024332</v>
      </c>
      <c r="B205" s="8" t="s">
        <v>46</v>
      </c>
      <c r="C205" s="49">
        <f t="shared" si="106"/>
        <v>18</v>
      </c>
      <c r="D205" s="50">
        <f t="shared" si="107"/>
        <v>8</v>
      </c>
      <c r="E205" s="51">
        <f t="shared" si="102"/>
        <v>6</v>
      </c>
      <c r="F205" s="52">
        <f>MAX(MID(B205,{1,2,3},1)*1)-MIN(MID(B205,{1,2,3},1)*1)</f>
        <v>2</v>
      </c>
      <c r="G205" s="104">
        <v>0</v>
      </c>
      <c r="H205" s="104">
        <v>1</v>
      </c>
      <c r="I205" s="104">
        <v>2</v>
      </c>
      <c r="J205" s="104">
        <v>3</v>
      </c>
      <c r="K205" s="104">
        <v>4</v>
      </c>
      <c r="L205" s="104">
        <v>5</v>
      </c>
      <c r="M205" s="104">
        <v>6</v>
      </c>
      <c r="N205" s="104">
        <v>7</v>
      </c>
      <c r="O205" s="104">
        <v>8</v>
      </c>
      <c r="P205" s="104">
        <v>9</v>
      </c>
      <c r="Q205" s="53">
        <f t="shared" si="108"/>
        <v>1</v>
      </c>
      <c r="R205" s="53">
        <f t="shared" si="109"/>
        <v>2</v>
      </c>
      <c r="S205" s="53">
        <f t="shared" si="110"/>
        <v>1</v>
      </c>
      <c r="T205" s="101">
        <f t="shared" si="103"/>
        <v>4</v>
      </c>
      <c r="U205" s="15" t="str">
        <f>_xlfn.TEXTJOIN(", ",TRUE,ABS(MID(B205,{1,1,2},1)-MID(B205,{2,3,3},1)))</f>
        <v>1, 2, 1</v>
      </c>
      <c r="V205" s="54">
        <v>0</v>
      </c>
      <c r="W205" s="54">
        <v>1</v>
      </c>
      <c r="X205" s="54">
        <v>2</v>
      </c>
      <c r="Y205" s="54">
        <v>3</v>
      </c>
      <c r="Z205" s="54">
        <v>4</v>
      </c>
      <c r="AA205" s="54">
        <v>5</v>
      </c>
      <c r="AB205" s="54">
        <v>6</v>
      </c>
      <c r="AC205" s="54">
        <v>7</v>
      </c>
      <c r="AD205" s="54">
        <v>8</v>
      </c>
      <c r="AE205" s="54">
        <v>9</v>
      </c>
      <c r="AF205" s="55">
        <v>0</v>
      </c>
      <c r="AG205" s="55">
        <v>1</v>
      </c>
      <c r="AH205" s="55">
        <v>2</v>
      </c>
      <c r="AI205" s="55">
        <v>3</v>
      </c>
      <c r="AJ205" s="55">
        <v>4</v>
      </c>
      <c r="AK205" s="55">
        <v>5</v>
      </c>
      <c r="AL205" s="55">
        <v>6</v>
      </c>
      <c r="AM205" s="55">
        <v>7</v>
      </c>
      <c r="AN205" s="55">
        <v>8</v>
      </c>
      <c r="AO205" s="55">
        <v>9</v>
      </c>
      <c r="AP205" s="105">
        <v>0</v>
      </c>
      <c r="AQ205" s="105">
        <v>1</v>
      </c>
      <c r="AR205" s="105">
        <v>2</v>
      </c>
      <c r="AS205" s="105">
        <v>3</v>
      </c>
      <c r="AT205" s="105">
        <v>4</v>
      </c>
      <c r="AU205" s="105">
        <v>5</v>
      </c>
      <c r="AV205" s="105">
        <v>6</v>
      </c>
      <c r="AW205" s="105">
        <v>7</v>
      </c>
      <c r="AX205" s="105">
        <v>8</v>
      </c>
      <c r="AY205" s="105">
        <v>9</v>
      </c>
      <c r="AZ205" s="56">
        <v>0</v>
      </c>
      <c r="BA205" s="56">
        <v>1</v>
      </c>
      <c r="BB205" s="56">
        <v>2</v>
      </c>
      <c r="BC205" s="56">
        <v>3</v>
      </c>
      <c r="BD205" s="56">
        <v>4</v>
      </c>
      <c r="BE205" s="56">
        <v>5</v>
      </c>
      <c r="BF205" s="56">
        <v>6</v>
      </c>
      <c r="BG205" s="56">
        <v>7</v>
      </c>
      <c r="BH205" s="56">
        <v>8</v>
      </c>
      <c r="BI205" s="56">
        <v>9</v>
      </c>
      <c r="BJ205" s="57" t="str">
        <f t="shared" si="104"/>
        <v>紧凑型</v>
      </c>
      <c r="BK205" s="13">
        <f t="shared" si="100"/>
        <v>1</v>
      </c>
      <c r="BL205" s="13">
        <f t="shared" si="101"/>
        <v>2</v>
      </c>
      <c r="BM205" s="18" t="str">
        <f t="shared" si="111"/>
        <v/>
      </c>
      <c r="BN205" s="19">
        <f t="shared" si="112"/>
        <v>1</v>
      </c>
      <c r="BO205" s="19" t="str">
        <f t="array" ref="BO205">_xlfn.TEXTJOIN("",TRUE,IF(ISERROR(FIND(ROW($1:$10)-1,BM205&amp;BN205)),ROW($1:$10)-1,""))</f>
        <v>023456789</v>
      </c>
      <c r="BP205" s="20" t="str">
        <f t="shared" si="113"/>
        <v>中隔中</v>
      </c>
      <c r="BQ205" s="21">
        <f t="shared" si="124"/>
        <v>2</v>
      </c>
      <c r="BR205" s="21" t="str">
        <f t="shared" si="122"/>
        <v/>
      </c>
      <c r="BS205" s="21" t="str">
        <f t="array" ref="BS205">_xlfn.TEXTJOIN("",TRUE,IF(ISERROR(FIND(ROW($1:$10)-1,BQ205&amp;BR205)),ROW($1:$10)-1,""))</f>
        <v>013456789</v>
      </c>
      <c r="BT205" s="20" t="str">
        <f t="shared" si="114"/>
        <v>复中中</v>
      </c>
      <c r="BU205" s="22" t="str">
        <f t="shared" si="115"/>
        <v/>
      </c>
      <c r="BV205" s="22">
        <f t="shared" si="123"/>
        <v>1</v>
      </c>
      <c r="BW205" s="22" t="str">
        <f t="array" ref="BW205">_xlfn.TEXTJOIN("",TRUE,IF(ISERROR(FIND(ROW($1:$10)-1,BU205&amp;BV205)),ROW($1:$10)-1,""))</f>
        <v>023456789</v>
      </c>
      <c r="BX205" s="20" t="str">
        <f t="shared" si="116"/>
        <v>中隔中</v>
      </c>
      <c r="BY205" s="23" t="str">
        <f t="shared" si="105"/>
        <v>02</v>
      </c>
      <c r="BZ205" s="24" t="str">
        <f t="array" ref="BZ205">_xlfn.TEXTJOIN("",TRUE,IF(ISNUMBER(FIND(MID(BY204&amp;Q204,ROW($1:$4),1),BY205&amp;Q205)),MID(BY204&amp;Q204,ROW($1:$4),1),""))</f>
        <v>2</v>
      </c>
      <c r="CA205" s="25" t="str">
        <f t="array" ref="CA205">_xlfn.TEXTJOIN("",TRUE,IF(ISERROR(FIND(ROW($1:$10)-1,BY205&amp;BZ205)),ROW($1:$10)-1,""))</f>
        <v>13456789</v>
      </c>
      <c r="CB205" s="26" t="str">
        <f t="shared" si="117"/>
        <v>邻传孤</v>
      </c>
      <c r="CC205" s="27" t="str">
        <f t="shared" si="118"/>
        <v>13</v>
      </c>
      <c r="CD205" s="27" t="str">
        <f t="array" ref="CD205">_xlfn.TEXTJOIN("",TRUE,IF(ISNUMBER(FIND(MID(CC204&amp;R204,ROW($1:$4),1),CC205&amp;R205)),MID(CC204&amp;R204,ROW($1:$4),1),""))</f>
        <v/>
      </c>
      <c r="CE205" s="27" t="str">
        <f t="array" ref="CE205">_xlfn.TEXTJOIN("",TRUE,IF(ISERROR(FIND(ROW($1:$10)-1,CC205&amp;CD205)),ROW($1:$10)-1,""))</f>
        <v>02456789</v>
      </c>
      <c r="CF205" s="17" t="str">
        <f t="shared" si="119"/>
        <v>邻孤孤</v>
      </c>
      <c r="CG205" s="22" t="str">
        <f t="shared" si="120"/>
        <v>02</v>
      </c>
      <c r="CH205" s="22" t="str">
        <f t="array" ref="CH205">_xlfn.TEXTJOIN("",TRUE,IF(ISNUMBER(FIND(MID(CG204&amp;S204,ROW($1:$4),1),CG205&amp;S205)),MID(CG204&amp;S204,ROW($1:$4),1),""))</f>
        <v>12</v>
      </c>
      <c r="CI205" s="22" t="str">
        <f t="array" ref="CI205">_xlfn.TEXTJOIN("",TRUE,IF(ISERROR(FIND(ROW($1:$10)-1,CG205&amp;CH205)),ROW($1:$10)-1,""))</f>
        <v>3456789</v>
      </c>
      <c r="CJ205" s="28" t="str">
        <f t="shared" si="121"/>
        <v>邻传孤</v>
      </c>
    </row>
    <row r="206" spans="1:88">
      <c r="A206" s="32">
        <v>2024333</v>
      </c>
      <c r="B206" s="8" t="s">
        <v>204</v>
      </c>
      <c r="C206" s="49">
        <f t="shared" si="106"/>
        <v>15</v>
      </c>
      <c r="D206" s="50">
        <f t="shared" si="107"/>
        <v>5</v>
      </c>
      <c r="E206" s="51">
        <f t="shared" si="102"/>
        <v>5</v>
      </c>
      <c r="F206" s="52">
        <f>MAX(MID(B206,{1,2,3},1)*1)-MIN(MID(B206,{1,2,3},1)*1)</f>
        <v>8</v>
      </c>
      <c r="G206" s="104">
        <v>0</v>
      </c>
      <c r="H206" s="104">
        <v>1</v>
      </c>
      <c r="I206" s="104">
        <v>2</v>
      </c>
      <c r="J206" s="104">
        <v>3</v>
      </c>
      <c r="K206" s="104">
        <v>4</v>
      </c>
      <c r="L206" s="104">
        <v>5</v>
      </c>
      <c r="M206" s="104">
        <v>6</v>
      </c>
      <c r="N206" s="104">
        <v>7</v>
      </c>
      <c r="O206" s="104">
        <v>8</v>
      </c>
      <c r="P206" s="104">
        <v>9</v>
      </c>
      <c r="Q206" s="53">
        <f t="shared" si="108"/>
        <v>4</v>
      </c>
      <c r="R206" s="53">
        <f t="shared" si="109"/>
        <v>8</v>
      </c>
      <c r="S206" s="53">
        <f t="shared" si="110"/>
        <v>4</v>
      </c>
      <c r="T206" s="101">
        <f t="shared" si="103"/>
        <v>16</v>
      </c>
      <c r="U206" s="15" t="str">
        <f>_xlfn.TEXTJOIN(", ",TRUE,ABS(MID(B206,{1,1,2},1)-MID(B206,{2,3,3},1)))</f>
        <v>4, 8, 4</v>
      </c>
      <c r="V206" s="54">
        <v>0</v>
      </c>
      <c r="W206" s="54">
        <v>1</v>
      </c>
      <c r="X206" s="54">
        <v>2</v>
      </c>
      <c r="Y206" s="54">
        <v>3</v>
      </c>
      <c r="Z206" s="54">
        <v>4</v>
      </c>
      <c r="AA206" s="54">
        <v>5</v>
      </c>
      <c r="AB206" s="54">
        <v>6</v>
      </c>
      <c r="AC206" s="54">
        <v>7</v>
      </c>
      <c r="AD206" s="54">
        <v>8</v>
      </c>
      <c r="AE206" s="54">
        <v>9</v>
      </c>
      <c r="AF206" s="55">
        <v>0</v>
      </c>
      <c r="AG206" s="55">
        <v>1</v>
      </c>
      <c r="AH206" s="55">
        <v>2</v>
      </c>
      <c r="AI206" s="55">
        <v>3</v>
      </c>
      <c r="AJ206" s="55">
        <v>4</v>
      </c>
      <c r="AK206" s="55">
        <v>5</v>
      </c>
      <c r="AL206" s="55">
        <v>6</v>
      </c>
      <c r="AM206" s="55">
        <v>7</v>
      </c>
      <c r="AN206" s="55">
        <v>8</v>
      </c>
      <c r="AO206" s="55">
        <v>9</v>
      </c>
      <c r="AP206" s="105">
        <v>0</v>
      </c>
      <c r="AQ206" s="105">
        <v>1</v>
      </c>
      <c r="AR206" s="105">
        <v>2</v>
      </c>
      <c r="AS206" s="105">
        <v>3</v>
      </c>
      <c r="AT206" s="105">
        <v>4</v>
      </c>
      <c r="AU206" s="105">
        <v>5</v>
      </c>
      <c r="AV206" s="105">
        <v>6</v>
      </c>
      <c r="AW206" s="105">
        <v>7</v>
      </c>
      <c r="AX206" s="105">
        <v>8</v>
      </c>
      <c r="AY206" s="105">
        <v>9</v>
      </c>
      <c r="AZ206" s="56">
        <v>0</v>
      </c>
      <c r="BA206" s="56">
        <v>1</v>
      </c>
      <c r="BB206" s="56">
        <v>2</v>
      </c>
      <c r="BC206" s="56">
        <v>3</v>
      </c>
      <c r="BD206" s="56">
        <v>4</v>
      </c>
      <c r="BE206" s="56">
        <v>5</v>
      </c>
      <c r="BF206" s="56">
        <v>6</v>
      </c>
      <c r="BG206" s="56">
        <v>7</v>
      </c>
      <c r="BH206" s="56">
        <v>8</v>
      </c>
      <c r="BI206" s="56">
        <v>9</v>
      </c>
      <c r="BJ206" s="57" t="str">
        <f t="shared" si="104"/>
        <v>松散型</v>
      </c>
      <c r="BK206" s="13">
        <f t="shared" si="100"/>
        <v>4</v>
      </c>
      <c r="BL206" s="13">
        <f t="shared" si="101"/>
        <v>8</v>
      </c>
      <c r="BM206" s="18" t="str">
        <f t="shared" si="111"/>
        <v/>
      </c>
      <c r="BN206" s="19" t="str">
        <f t="shared" si="112"/>
        <v/>
      </c>
      <c r="BO206" s="19" t="str">
        <f t="array" ref="BO206">_xlfn.TEXTJOIN("",TRUE,IF(ISERROR(FIND(ROW($1:$10)-1,BM206&amp;BN206)),ROW($1:$10)-1,""))</f>
        <v>0123456789</v>
      </c>
      <c r="BP206" s="20" t="str">
        <f t="shared" si="113"/>
        <v>中中中</v>
      </c>
      <c r="BQ206" s="21" t="str">
        <f t="shared" si="124"/>
        <v/>
      </c>
      <c r="BR206" s="21" t="str">
        <f t="shared" si="122"/>
        <v/>
      </c>
      <c r="BS206" s="21" t="str">
        <f t="array" ref="BS206">_xlfn.TEXTJOIN("",TRUE,IF(ISERROR(FIND(ROW($1:$10)-1,BQ206&amp;BR206)),ROW($1:$10)-1,""))</f>
        <v>0123456789</v>
      </c>
      <c r="BT206" s="20" t="str">
        <f t="shared" si="114"/>
        <v>中中中</v>
      </c>
      <c r="BU206" s="22" t="str">
        <f t="shared" si="115"/>
        <v/>
      </c>
      <c r="BV206" s="22" t="str">
        <f t="shared" si="123"/>
        <v/>
      </c>
      <c r="BW206" s="22" t="str">
        <f t="array" ref="BW206">_xlfn.TEXTJOIN("",TRUE,IF(ISERROR(FIND(ROW($1:$10)-1,BU206&amp;BV206)),ROW($1:$10)-1,""))</f>
        <v>0123456789</v>
      </c>
      <c r="BX206" s="20" t="str">
        <f t="shared" si="116"/>
        <v>中中中</v>
      </c>
      <c r="BY206" s="23" t="str">
        <f t="shared" si="105"/>
        <v>35</v>
      </c>
      <c r="BZ206" s="24" t="str">
        <f t="array" ref="BZ206">_xlfn.TEXTJOIN("",TRUE,IF(ISNUMBER(FIND(MID(BY205&amp;Q205,ROW($1:$4),1),BY206&amp;Q206)),MID(BY205&amp;Q205,ROW($1:$4),1),""))</f>
        <v/>
      </c>
      <c r="CA206" s="25" t="str">
        <f t="array" ref="CA206">_xlfn.TEXTJOIN("",TRUE,IF(ISERROR(FIND(ROW($1:$10)-1,BY206&amp;BZ206)),ROW($1:$10)-1,""))</f>
        <v>01246789</v>
      </c>
      <c r="CB206" s="26" t="str">
        <f t="shared" si="117"/>
        <v>邻孤孤</v>
      </c>
      <c r="CC206" s="27" t="str">
        <f t="shared" si="118"/>
        <v>79</v>
      </c>
      <c r="CD206" s="27" t="str">
        <f t="array" ref="CD206">_xlfn.TEXTJOIN("",TRUE,IF(ISNUMBER(FIND(MID(CC205&amp;R205,ROW($1:$4),1),CC206&amp;R206)),MID(CC205&amp;R205,ROW($1:$4),1),""))</f>
        <v/>
      </c>
      <c r="CE206" s="27" t="str">
        <f t="array" ref="CE206">_xlfn.TEXTJOIN("",TRUE,IF(ISERROR(FIND(ROW($1:$10)-1,CC206&amp;CD206)),ROW($1:$10)-1,""))</f>
        <v>01234568</v>
      </c>
      <c r="CF206" s="17" t="str">
        <f t="shared" si="119"/>
        <v>邻孤孤</v>
      </c>
      <c r="CG206" s="22" t="str">
        <f t="shared" si="120"/>
        <v>35</v>
      </c>
      <c r="CH206" s="22" t="str">
        <f t="array" ref="CH206">_xlfn.TEXTJOIN("",TRUE,IF(ISNUMBER(FIND(MID(CG205&amp;S205,ROW($1:$4),1),CG206&amp;S206)),MID(CG205&amp;S205,ROW($1:$4),1),""))</f>
        <v/>
      </c>
      <c r="CI206" s="22" t="str">
        <f t="array" ref="CI206">_xlfn.TEXTJOIN("",TRUE,IF(ISERROR(FIND(ROW($1:$10)-1,CG206&amp;CH206)),ROW($1:$10)-1,""))</f>
        <v>01246789</v>
      </c>
      <c r="CJ206" s="28" t="str">
        <f t="shared" si="121"/>
        <v>邻孤孤</v>
      </c>
    </row>
    <row r="207" spans="1:88">
      <c r="A207" s="32">
        <v>2024334</v>
      </c>
      <c r="B207" s="8" t="s">
        <v>205</v>
      </c>
      <c r="C207" s="49">
        <f t="shared" si="106"/>
        <v>10</v>
      </c>
      <c r="D207" s="50">
        <f t="shared" si="107"/>
        <v>0</v>
      </c>
      <c r="E207" s="51">
        <f t="shared" si="102"/>
        <v>3.3333333333333299</v>
      </c>
      <c r="F207" s="52">
        <f>MAX(MID(B207,{1,2,3},1)*1)-MIN(MID(B207,{1,2,3},1)*1)</f>
        <v>4</v>
      </c>
      <c r="G207" s="104">
        <v>0</v>
      </c>
      <c r="H207" s="104">
        <v>1</v>
      </c>
      <c r="I207" s="104">
        <v>2</v>
      </c>
      <c r="J207" s="104">
        <v>3</v>
      </c>
      <c r="K207" s="104">
        <v>4</v>
      </c>
      <c r="L207" s="104">
        <v>5</v>
      </c>
      <c r="M207" s="104">
        <v>6</v>
      </c>
      <c r="N207" s="104">
        <v>7</v>
      </c>
      <c r="O207" s="104">
        <v>8</v>
      </c>
      <c r="P207" s="104">
        <v>9</v>
      </c>
      <c r="Q207" s="53">
        <f t="shared" si="108"/>
        <v>1</v>
      </c>
      <c r="R207" s="53">
        <f t="shared" si="109"/>
        <v>4</v>
      </c>
      <c r="S207" s="53">
        <f t="shared" si="110"/>
        <v>3</v>
      </c>
      <c r="T207" s="101">
        <f t="shared" si="103"/>
        <v>8</v>
      </c>
      <c r="U207" s="15" t="str">
        <f>_xlfn.TEXTJOIN(", ",TRUE,ABS(MID(B207,{1,1,2},1)-MID(B207,{2,3,3},1)))</f>
        <v>1, 4, 3</v>
      </c>
      <c r="V207" s="54">
        <v>0</v>
      </c>
      <c r="W207" s="54">
        <v>1</v>
      </c>
      <c r="X207" s="54">
        <v>2</v>
      </c>
      <c r="Y207" s="54">
        <v>3</v>
      </c>
      <c r="Z207" s="54">
        <v>4</v>
      </c>
      <c r="AA207" s="54">
        <v>5</v>
      </c>
      <c r="AB207" s="54">
        <v>6</v>
      </c>
      <c r="AC207" s="54">
        <v>7</v>
      </c>
      <c r="AD207" s="54">
        <v>8</v>
      </c>
      <c r="AE207" s="54">
        <v>9</v>
      </c>
      <c r="AF207" s="55">
        <v>0</v>
      </c>
      <c r="AG207" s="55">
        <v>1</v>
      </c>
      <c r="AH207" s="55">
        <v>2</v>
      </c>
      <c r="AI207" s="55">
        <v>3</v>
      </c>
      <c r="AJ207" s="55">
        <v>4</v>
      </c>
      <c r="AK207" s="55">
        <v>5</v>
      </c>
      <c r="AL207" s="55">
        <v>6</v>
      </c>
      <c r="AM207" s="55">
        <v>7</v>
      </c>
      <c r="AN207" s="55">
        <v>8</v>
      </c>
      <c r="AO207" s="55">
        <v>9</v>
      </c>
      <c r="AP207" s="105">
        <v>0</v>
      </c>
      <c r="AQ207" s="105">
        <v>1</v>
      </c>
      <c r="AR207" s="105">
        <v>2</v>
      </c>
      <c r="AS207" s="105">
        <v>3</v>
      </c>
      <c r="AT207" s="105">
        <v>4</v>
      </c>
      <c r="AU207" s="105">
        <v>5</v>
      </c>
      <c r="AV207" s="105">
        <v>6</v>
      </c>
      <c r="AW207" s="105">
        <v>7</v>
      </c>
      <c r="AX207" s="105">
        <v>8</v>
      </c>
      <c r="AY207" s="105">
        <v>9</v>
      </c>
      <c r="AZ207" s="56">
        <v>0</v>
      </c>
      <c r="BA207" s="56">
        <v>1</v>
      </c>
      <c r="BB207" s="56">
        <v>2</v>
      </c>
      <c r="BC207" s="56">
        <v>3</v>
      </c>
      <c r="BD207" s="56">
        <v>4</v>
      </c>
      <c r="BE207" s="56">
        <v>5</v>
      </c>
      <c r="BF207" s="56">
        <v>6</v>
      </c>
      <c r="BG207" s="56">
        <v>7</v>
      </c>
      <c r="BH207" s="56">
        <v>8</v>
      </c>
      <c r="BI207" s="56">
        <v>9</v>
      </c>
      <c r="BJ207" s="57" t="str">
        <f t="shared" si="104"/>
        <v>紧凑型</v>
      </c>
      <c r="BK207" s="13">
        <f t="shared" si="100"/>
        <v>1</v>
      </c>
      <c r="BL207" s="13">
        <f t="shared" si="101"/>
        <v>4</v>
      </c>
      <c r="BM207" s="18" t="str">
        <f t="shared" si="111"/>
        <v/>
      </c>
      <c r="BN207" s="19">
        <f t="shared" si="112"/>
        <v>1</v>
      </c>
      <c r="BO207" s="19" t="str">
        <f t="array" ref="BO207">_xlfn.TEXTJOIN("",TRUE,IF(ISERROR(FIND(ROW($1:$10)-1,BM207&amp;BN207)),ROW($1:$10)-1,""))</f>
        <v>023456789</v>
      </c>
      <c r="BP207" s="20" t="str">
        <f t="shared" si="113"/>
        <v>中隔中</v>
      </c>
      <c r="BQ207" s="21">
        <f t="shared" si="124"/>
        <v>4</v>
      </c>
      <c r="BR207" s="21" t="str">
        <f t="shared" si="122"/>
        <v/>
      </c>
      <c r="BS207" s="21" t="str">
        <f t="array" ref="BS207">_xlfn.TEXTJOIN("",TRUE,IF(ISERROR(FIND(ROW($1:$10)-1,BQ207&amp;BR207)),ROW($1:$10)-1,""))</f>
        <v>012356789</v>
      </c>
      <c r="BT207" s="20" t="str">
        <f t="shared" si="114"/>
        <v>复中中</v>
      </c>
      <c r="BU207" s="22" t="str">
        <f t="shared" si="115"/>
        <v/>
      </c>
      <c r="BV207" s="22" t="str">
        <f t="shared" si="123"/>
        <v/>
      </c>
      <c r="BW207" s="22" t="str">
        <f t="array" ref="BW207">_xlfn.TEXTJOIN("",TRUE,IF(ISERROR(FIND(ROW($1:$10)-1,BU207&amp;BV207)),ROW($1:$10)-1,""))</f>
        <v>0123456789</v>
      </c>
      <c r="BX207" s="20" t="str">
        <f t="shared" si="116"/>
        <v>中中中</v>
      </c>
      <c r="BY207" s="23" t="str">
        <f t="shared" si="105"/>
        <v>02</v>
      </c>
      <c r="BZ207" s="24" t="str">
        <f t="array" ref="BZ207">_xlfn.TEXTJOIN("",TRUE,IF(ISNUMBER(FIND(MID(BY206&amp;Q206,ROW($1:$4),1),BY207&amp;Q207)),MID(BY206&amp;Q206,ROW($1:$4),1),""))</f>
        <v/>
      </c>
      <c r="CA207" s="25" t="str">
        <f t="array" ref="CA207">_xlfn.TEXTJOIN("",TRUE,IF(ISERROR(FIND(ROW($1:$10)-1,BY207&amp;BZ207)),ROW($1:$10)-1,""))</f>
        <v>13456789</v>
      </c>
      <c r="CB207" s="26" t="str">
        <f t="shared" si="117"/>
        <v>邻孤孤</v>
      </c>
      <c r="CC207" s="27" t="str">
        <f t="shared" si="118"/>
        <v>35</v>
      </c>
      <c r="CD207" s="27" t="str">
        <f t="array" ref="CD207">_xlfn.TEXTJOIN("",TRUE,IF(ISNUMBER(FIND(MID(CC206&amp;R206,ROW($1:$4),1),CC207&amp;R207)),MID(CC206&amp;R206,ROW($1:$4),1),""))</f>
        <v/>
      </c>
      <c r="CE207" s="27" t="str">
        <f t="array" ref="CE207">_xlfn.TEXTJOIN("",TRUE,IF(ISERROR(FIND(ROW($1:$10)-1,CC207&amp;CD207)),ROW($1:$10)-1,""))</f>
        <v>01246789</v>
      </c>
      <c r="CF207" s="17" t="str">
        <f t="shared" si="119"/>
        <v>邻孤孤</v>
      </c>
      <c r="CG207" s="22" t="str">
        <f t="shared" si="120"/>
        <v>24</v>
      </c>
      <c r="CH207" s="22" t="str">
        <f t="array" ref="CH207">_xlfn.TEXTJOIN("",TRUE,IF(ISNUMBER(FIND(MID(CG206&amp;S206,ROW($1:$4),1),CG207&amp;S207)),MID(CG206&amp;S206,ROW($1:$4),1),""))</f>
        <v>34</v>
      </c>
      <c r="CI207" s="22" t="str">
        <f t="array" ref="CI207">_xlfn.TEXTJOIN("",TRUE,IF(ISERROR(FIND(ROW($1:$10)-1,CG207&amp;CH207)),ROW($1:$10)-1,""))</f>
        <v>0156789</v>
      </c>
      <c r="CJ207" s="28" t="str">
        <f t="shared" si="121"/>
        <v>邻传孤</v>
      </c>
    </row>
    <row r="208" spans="1:88">
      <c r="A208" s="32">
        <v>2024335</v>
      </c>
      <c r="B208" s="8" t="s">
        <v>206</v>
      </c>
      <c r="C208" s="49">
        <f t="shared" si="106"/>
        <v>17</v>
      </c>
      <c r="D208" s="50">
        <f t="shared" si="107"/>
        <v>7</v>
      </c>
      <c r="E208" s="51">
        <f t="shared" si="102"/>
        <v>5.6666666666666696</v>
      </c>
      <c r="F208" s="52">
        <f>MAX(MID(B208,{1,2,3},1)*1)-MIN(MID(B208,{1,2,3},1)*1)</f>
        <v>6</v>
      </c>
      <c r="G208" s="104">
        <v>0</v>
      </c>
      <c r="H208" s="104">
        <v>1</v>
      </c>
      <c r="I208" s="104">
        <v>2</v>
      </c>
      <c r="J208" s="104">
        <v>3</v>
      </c>
      <c r="K208" s="104">
        <v>4</v>
      </c>
      <c r="L208" s="104">
        <v>5</v>
      </c>
      <c r="M208" s="104">
        <v>6</v>
      </c>
      <c r="N208" s="104">
        <v>7</v>
      </c>
      <c r="O208" s="104">
        <v>8</v>
      </c>
      <c r="P208" s="104">
        <v>9</v>
      </c>
      <c r="Q208" s="53">
        <f t="shared" si="108"/>
        <v>4</v>
      </c>
      <c r="R208" s="53">
        <f t="shared" si="109"/>
        <v>2</v>
      </c>
      <c r="S208" s="53">
        <f t="shared" si="110"/>
        <v>6</v>
      </c>
      <c r="T208" s="101">
        <f t="shared" si="103"/>
        <v>12</v>
      </c>
      <c r="U208" s="15" t="str">
        <f>_xlfn.TEXTJOIN(", ",TRUE,ABS(MID(B208,{1,1,2},1)-MID(B208,{2,3,3},1)))</f>
        <v>4, 2, 6</v>
      </c>
      <c r="V208" s="54">
        <v>0</v>
      </c>
      <c r="W208" s="54">
        <v>1</v>
      </c>
      <c r="X208" s="54">
        <v>2</v>
      </c>
      <c r="Y208" s="54">
        <v>3</v>
      </c>
      <c r="Z208" s="54">
        <v>4</v>
      </c>
      <c r="AA208" s="54">
        <v>5</v>
      </c>
      <c r="AB208" s="54">
        <v>6</v>
      </c>
      <c r="AC208" s="54">
        <v>7</v>
      </c>
      <c r="AD208" s="54">
        <v>8</v>
      </c>
      <c r="AE208" s="54">
        <v>9</v>
      </c>
      <c r="AF208" s="55">
        <v>0</v>
      </c>
      <c r="AG208" s="55">
        <v>1</v>
      </c>
      <c r="AH208" s="55">
        <v>2</v>
      </c>
      <c r="AI208" s="55">
        <v>3</v>
      </c>
      <c r="AJ208" s="55">
        <v>4</v>
      </c>
      <c r="AK208" s="55">
        <v>5</v>
      </c>
      <c r="AL208" s="55">
        <v>6</v>
      </c>
      <c r="AM208" s="55">
        <v>7</v>
      </c>
      <c r="AN208" s="55">
        <v>8</v>
      </c>
      <c r="AO208" s="55">
        <v>9</v>
      </c>
      <c r="AP208" s="105">
        <v>0</v>
      </c>
      <c r="AQ208" s="105">
        <v>1</v>
      </c>
      <c r="AR208" s="105">
        <v>2</v>
      </c>
      <c r="AS208" s="105">
        <v>3</v>
      </c>
      <c r="AT208" s="105">
        <v>4</v>
      </c>
      <c r="AU208" s="105">
        <v>5</v>
      </c>
      <c r="AV208" s="105">
        <v>6</v>
      </c>
      <c r="AW208" s="105">
        <v>7</v>
      </c>
      <c r="AX208" s="105">
        <v>8</v>
      </c>
      <c r="AY208" s="105">
        <v>9</v>
      </c>
      <c r="AZ208" s="56">
        <v>0</v>
      </c>
      <c r="BA208" s="56">
        <v>1</v>
      </c>
      <c r="BB208" s="56">
        <v>2</v>
      </c>
      <c r="BC208" s="56">
        <v>3</v>
      </c>
      <c r="BD208" s="56">
        <v>4</v>
      </c>
      <c r="BE208" s="56">
        <v>5</v>
      </c>
      <c r="BF208" s="56">
        <v>6</v>
      </c>
      <c r="BG208" s="56">
        <v>7</v>
      </c>
      <c r="BH208" s="56">
        <v>8</v>
      </c>
      <c r="BI208" s="56">
        <v>9</v>
      </c>
      <c r="BJ208" s="57" t="str">
        <f t="shared" si="104"/>
        <v>松散型</v>
      </c>
      <c r="BK208" s="13">
        <f t="shared" si="100"/>
        <v>2</v>
      </c>
      <c r="BL208" s="13">
        <f t="shared" si="101"/>
        <v>6</v>
      </c>
      <c r="BM208" s="18">
        <f t="shared" si="111"/>
        <v>4</v>
      </c>
      <c r="BN208" s="19">
        <f t="shared" si="112"/>
        <v>4</v>
      </c>
      <c r="BO208" s="19" t="str">
        <f t="array" ref="BO208">_xlfn.TEXTJOIN("",TRUE,IF(ISERROR(FIND(ROW($1:$10)-1,BM208&amp;BN208)),ROW($1:$10)-1,""))</f>
        <v>012356789</v>
      </c>
      <c r="BP208" s="20" t="str">
        <f t="shared" si="113"/>
        <v>复隔中</v>
      </c>
      <c r="BQ208" s="21" t="str">
        <f t="shared" si="124"/>
        <v/>
      </c>
      <c r="BR208" s="21" t="str">
        <f t="shared" si="122"/>
        <v/>
      </c>
      <c r="BS208" s="21" t="str">
        <f t="array" ref="BS208">_xlfn.TEXTJOIN("",TRUE,IF(ISERROR(FIND(ROW($1:$10)-1,BQ208&amp;BR208)),ROW($1:$10)-1,""))</f>
        <v>0123456789</v>
      </c>
      <c r="BT208" s="20" t="str">
        <f t="shared" si="114"/>
        <v>中中中</v>
      </c>
      <c r="BU208" s="22" t="str">
        <f t="shared" si="115"/>
        <v/>
      </c>
      <c r="BV208" s="22" t="str">
        <f t="shared" si="123"/>
        <v/>
      </c>
      <c r="BW208" s="22" t="str">
        <f t="array" ref="BW208">_xlfn.TEXTJOIN("",TRUE,IF(ISERROR(FIND(ROW($1:$10)-1,BU208&amp;BV208)),ROW($1:$10)-1,""))</f>
        <v>0123456789</v>
      </c>
      <c r="BX208" s="20" t="str">
        <f t="shared" si="116"/>
        <v>中中中</v>
      </c>
      <c r="BY208" s="23" t="str">
        <f t="shared" si="105"/>
        <v>35</v>
      </c>
      <c r="BZ208" s="24" t="str">
        <f t="array" ref="BZ208">_xlfn.TEXTJOIN("",TRUE,IF(ISNUMBER(FIND(MID(BY207&amp;Q207,ROW($1:$4),1),BY208&amp;Q208)),MID(BY207&amp;Q207,ROW($1:$4),1),""))</f>
        <v/>
      </c>
      <c r="CA208" s="25" t="str">
        <f t="array" ref="CA208">_xlfn.TEXTJOIN("",TRUE,IF(ISERROR(FIND(ROW($1:$10)-1,BY208&amp;BZ208)),ROW($1:$10)-1,""))</f>
        <v>01246789</v>
      </c>
      <c r="CB208" s="26" t="str">
        <f t="shared" si="117"/>
        <v>邻孤孤</v>
      </c>
      <c r="CC208" s="27" t="str">
        <f t="shared" si="118"/>
        <v>13</v>
      </c>
      <c r="CD208" s="27" t="str">
        <f t="array" ref="CD208">_xlfn.TEXTJOIN("",TRUE,IF(ISNUMBER(FIND(MID(CC207&amp;R207,ROW($1:$4),1),CC208&amp;R208)),MID(CC207&amp;R207,ROW($1:$4),1),""))</f>
        <v>3</v>
      </c>
      <c r="CE208" s="27" t="str">
        <f t="array" ref="CE208">_xlfn.TEXTJOIN("",TRUE,IF(ISERROR(FIND(ROW($1:$10)-1,CC208&amp;CD208)),ROW($1:$10)-1,""))</f>
        <v>02456789</v>
      </c>
      <c r="CF208" s="17" t="str">
        <f t="shared" si="119"/>
        <v>邻传孤</v>
      </c>
      <c r="CG208" s="22" t="str">
        <f t="shared" si="120"/>
        <v>57</v>
      </c>
      <c r="CH208" s="22" t="str">
        <f t="array" ref="CH208">_xlfn.TEXTJOIN("",TRUE,IF(ISNUMBER(FIND(MID(CG207&amp;S207,ROW($1:$4),1),CG208&amp;S208)),MID(CG207&amp;S207,ROW($1:$4),1),""))</f>
        <v/>
      </c>
      <c r="CI208" s="22" t="str">
        <f t="array" ref="CI208">_xlfn.TEXTJOIN("",TRUE,IF(ISERROR(FIND(ROW($1:$10)-1,CG208&amp;CH208)),ROW($1:$10)-1,""))</f>
        <v>01234689</v>
      </c>
      <c r="CJ208" s="28" t="str">
        <f t="shared" si="121"/>
        <v>邻孤孤</v>
      </c>
    </row>
    <row r="209" spans="1:88">
      <c r="A209" s="32">
        <v>2024336</v>
      </c>
      <c r="B209" s="8" t="s">
        <v>203</v>
      </c>
      <c r="C209" s="49">
        <f t="shared" si="106"/>
        <v>19</v>
      </c>
      <c r="D209" s="50">
        <f t="shared" si="107"/>
        <v>9</v>
      </c>
      <c r="E209" s="51">
        <f t="shared" si="102"/>
        <v>6.3333333333333304</v>
      </c>
      <c r="F209" s="52">
        <f>MAX(MID(B209,{1,2,3},1)*1)-MIN(MID(B209,{1,2,3},1)*1)</f>
        <v>5</v>
      </c>
      <c r="G209" s="104">
        <v>0</v>
      </c>
      <c r="H209" s="104">
        <v>1</v>
      </c>
      <c r="I209" s="104">
        <v>2</v>
      </c>
      <c r="J209" s="104">
        <v>3</v>
      </c>
      <c r="K209" s="104">
        <v>4</v>
      </c>
      <c r="L209" s="104">
        <v>5</v>
      </c>
      <c r="M209" s="104">
        <v>6</v>
      </c>
      <c r="N209" s="104">
        <v>7</v>
      </c>
      <c r="O209" s="104">
        <v>8</v>
      </c>
      <c r="P209" s="104">
        <v>9</v>
      </c>
      <c r="Q209" s="53">
        <f t="shared" si="108"/>
        <v>3</v>
      </c>
      <c r="R209" s="53">
        <f t="shared" si="109"/>
        <v>5</v>
      </c>
      <c r="S209" s="53">
        <f t="shared" si="110"/>
        <v>2</v>
      </c>
      <c r="T209" s="101">
        <f t="shared" si="103"/>
        <v>10</v>
      </c>
      <c r="U209" s="15" t="str">
        <f>_xlfn.TEXTJOIN(", ",TRUE,ABS(MID(B209,{1,1,2},1)-MID(B209,{2,3,3},1)))</f>
        <v>3, 5, 2</v>
      </c>
      <c r="V209" s="54">
        <v>0</v>
      </c>
      <c r="W209" s="54">
        <v>1</v>
      </c>
      <c r="X209" s="54">
        <v>2</v>
      </c>
      <c r="Y209" s="54">
        <v>3</v>
      </c>
      <c r="Z209" s="54">
        <v>4</v>
      </c>
      <c r="AA209" s="54">
        <v>5</v>
      </c>
      <c r="AB209" s="54">
        <v>6</v>
      </c>
      <c r="AC209" s="54">
        <v>7</v>
      </c>
      <c r="AD209" s="54">
        <v>8</v>
      </c>
      <c r="AE209" s="54">
        <v>9</v>
      </c>
      <c r="AF209" s="55">
        <v>0</v>
      </c>
      <c r="AG209" s="55">
        <v>1</v>
      </c>
      <c r="AH209" s="55">
        <v>2</v>
      </c>
      <c r="AI209" s="55">
        <v>3</v>
      </c>
      <c r="AJ209" s="55">
        <v>4</v>
      </c>
      <c r="AK209" s="55">
        <v>5</v>
      </c>
      <c r="AL209" s="55">
        <v>6</v>
      </c>
      <c r="AM209" s="55">
        <v>7</v>
      </c>
      <c r="AN209" s="55">
        <v>8</v>
      </c>
      <c r="AO209" s="55">
        <v>9</v>
      </c>
      <c r="AP209" s="105">
        <v>0</v>
      </c>
      <c r="AQ209" s="105">
        <v>1</v>
      </c>
      <c r="AR209" s="105">
        <v>2</v>
      </c>
      <c r="AS209" s="105">
        <v>3</v>
      </c>
      <c r="AT209" s="105">
        <v>4</v>
      </c>
      <c r="AU209" s="105">
        <v>5</v>
      </c>
      <c r="AV209" s="105">
        <v>6</v>
      </c>
      <c r="AW209" s="105">
        <v>7</v>
      </c>
      <c r="AX209" s="105">
        <v>8</v>
      </c>
      <c r="AY209" s="105">
        <v>9</v>
      </c>
      <c r="AZ209" s="56">
        <v>0</v>
      </c>
      <c r="BA209" s="56">
        <v>1</v>
      </c>
      <c r="BB209" s="56">
        <v>2</v>
      </c>
      <c r="BC209" s="56">
        <v>3</v>
      </c>
      <c r="BD209" s="56">
        <v>4</v>
      </c>
      <c r="BE209" s="56">
        <v>5</v>
      </c>
      <c r="BF209" s="56">
        <v>6</v>
      </c>
      <c r="BG209" s="56">
        <v>7</v>
      </c>
      <c r="BH209" s="56">
        <v>8</v>
      </c>
      <c r="BI209" s="56">
        <v>9</v>
      </c>
      <c r="BJ209" s="57" t="str">
        <f t="shared" si="104"/>
        <v>标准型</v>
      </c>
      <c r="BK209" s="13">
        <f t="shared" si="100"/>
        <v>2</v>
      </c>
      <c r="BL209" s="13">
        <f t="shared" si="101"/>
        <v>5</v>
      </c>
      <c r="BM209" s="18" t="str">
        <f t="shared" si="111"/>
        <v/>
      </c>
      <c r="BN209" s="19">
        <f t="shared" si="112"/>
        <v>3</v>
      </c>
      <c r="BO209" s="19" t="str">
        <f t="array" ref="BO209">_xlfn.TEXTJOIN("",TRUE,IF(ISERROR(FIND(ROW($1:$10)-1,BM209&amp;BN209)),ROW($1:$10)-1,""))</f>
        <v>012456789</v>
      </c>
      <c r="BP209" s="20" t="str">
        <f t="shared" si="113"/>
        <v>中隔中</v>
      </c>
      <c r="BQ209" s="21" t="str">
        <f t="shared" si="124"/>
        <v/>
      </c>
      <c r="BR209" s="21" t="str">
        <f t="shared" si="122"/>
        <v/>
      </c>
      <c r="BS209" s="21" t="str">
        <f t="array" ref="BS209">_xlfn.TEXTJOIN("",TRUE,IF(ISERROR(FIND(ROW($1:$10)-1,BQ209&amp;BR209)),ROW($1:$10)-1,""))</f>
        <v>0123456789</v>
      </c>
      <c r="BT209" s="20" t="str">
        <f t="shared" si="114"/>
        <v>中中中</v>
      </c>
      <c r="BU209" s="22">
        <f t="shared" si="115"/>
        <v>2</v>
      </c>
      <c r="BV209" s="22" t="str">
        <f t="shared" si="123"/>
        <v/>
      </c>
      <c r="BW209" s="22" t="str">
        <f t="array" ref="BW209">_xlfn.TEXTJOIN("",TRUE,IF(ISERROR(FIND(ROW($1:$10)-1,BU209&amp;BV209)),ROW($1:$10)-1,""))</f>
        <v>013456789</v>
      </c>
      <c r="BX209" s="20" t="str">
        <f t="shared" si="116"/>
        <v>复中中</v>
      </c>
      <c r="BY209" s="23" t="str">
        <f t="shared" si="105"/>
        <v>24</v>
      </c>
      <c r="BZ209" s="24" t="str">
        <f t="array" ref="BZ209">_xlfn.TEXTJOIN("",TRUE,IF(ISNUMBER(FIND(MID(BY208&amp;Q208,ROW($1:$4),1),BY209&amp;Q209)),MID(BY208&amp;Q208,ROW($1:$4),1),""))</f>
        <v>34</v>
      </c>
      <c r="CA209" s="25" t="str">
        <f t="array" ref="CA209">_xlfn.TEXTJOIN("",TRUE,IF(ISERROR(FIND(ROW($1:$10)-1,BY209&amp;BZ209)),ROW($1:$10)-1,""))</f>
        <v>0156789</v>
      </c>
      <c r="CB209" s="26" t="str">
        <f t="shared" si="117"/>
        <v>邻传孤</v>
      </c>
      <c r="CC209" s="27" t="str">
        <f t="shared" si="118"/>
        <v>46</v>
      </c>
      <c r="CD209" s="27" t="str">
        <f t="array" ref="CD209">_xlfn.TEXTJOIN("",TRUE,IF(ISNUMBER(FIND(MID(CC208&amp;R208,ROW($1:$4),1),CC209&amp;R209)),MID(CC208&amp;R208,ROW($1:$4),1),""))</f>
        <v/>
      </c>
      <c r="CE209" s="27" t="str">
        <f t="array" ref="CE209">_xlfn.TEXTJOIN("",TRUE,IF(ISERROR(FIND(ROW($1:$10)-1,CC209&amp;CD209)),ROW($1:$10)-1,""))</f>
        <v>01235789</v>
      </c>
      <c r="CF209" s="17" t="str">
        <f t="shared" si="119"/>
        <v>邻孤孤</v>
      </c>
      <c r="CG209" s="22" t="str">
        <f t="shared" si="120"/>
        <v>13</v>
      </c>
      <c r="CH209" s="22" t="str">
        <f t="array" ref="CH209">_xlfn.TEXTJOIN("",TRUE,IF(ISNUMBER(FIND(MID(CG208&amp;S208,ROW($1:$4),1),CG209&amp;S209)),MID(CG208&amp;S208,ROW($1:$4),1),""))</f>
        <v/>
      </c>
      <c r="CI209" s="22" t="str">
        <f t="array" ref="CI209">_xlfn.TEXTJOIN("",TRUE,IF(ISERROR(FIND(ROW($1:$10)-1,CG209&amp;CH209)),ROW($1:$10)-1,""))</f>
        <v>02456789</v>
      </c>
      <c r="CJ209" s="28" t="str">
        <f t="shared" si="121"/>
        <v>邻孤孤</v>
      </c>
    </row>
    <row r="210" spans="1:88">
      <c r="A210" s="32">
        <v>2024337</v>
      </c>
      <c r="B210" s="8" t="s">
        <v>94</v>
      </c>
      <c r="C210" s="49">
        <f t="shared" si="106"/>
        <v>15</v>
      </c>
      <c r="D210" s="50">
        <f t="shared" si="107"/>
        <v>5</v>
      </c>
      <c r="E210" s="51">
        <f t="shared" si="102"/>
        <v>5</v>
      </c>
      <c r="F210" s="52">
        <f>MAX(MID(B210,{1,2,3},1)*1)-MIN(MID(B210,{1,2,3},1)*1)</f>
        <v>5</v>
      </c>
      <c r="G210" s="104">
        <v>0</v>
      </c>
      <c r="H210" s="104">
        <v>1</v>
      </c>
      <c r="I210" s="104">
        <v>2</v>
      </c>
      <c r="J210" s="104">
        <v>3</v>
      </c>
      <c r="K210" s="104">
        <v>4</v>
      </c>
      <c r="L210" s="104">
        <v>5</v>
      </c>
      <c r="M210" s="104">
        <v>6</v>
      </c>
      <c r="N210" s="104">
        <v>7</v>
      </c>
      <c r="O210" s="104">
        <v>8</v>
      </c>
      <c r="P210" s="104">
        <v>9</v>
      </c>
      <c r="Q210" s="53">
        <f t="shared" si="108"/>
        <v>4</v>
      </c>
      <c r="R210" s="53">
        <f t="shared" si="109"/>
        <v>5</v>
      </c>
      <c r="S210" s="53">
        <f t="shared" si="110"/>
        <v>1</v>
      </c>
      <c r="T210" s="101">
        <f t="shared" si="103"/>
        <v>10</v>
      </c>
      <c r="U210" s="15" t="str">
        <f>_xlfn.TEXTJOIN(", ",TRUE,ABS(MID(B210,{1,1,2},1)-MID(B210,{2,3,3},1)))</f>
        <v>4, 5, 1</v>
      </c>
      <c r="V210" s="54">
        <v>0</v>
      </c>
      <c r="W210" s="54">
        <v>1</v>
      </c>
      <c r="X210" s="54">
        <v>2</v>
      </c>
      <c r="Y210" s="54">
        <v>3</v>
      </c>
      <c r="Z210" s="54">
        <v>4</v>
      </c>
      <c r="AA210" s="54">
        <v>5</v>
      </c>
      <c r="AB210" s="54">
        <v>6</v>
      </c>
      <c r="AC210" s="54">
        <v>7</v>
      </c>
      <c r="AD210" s="54">
        <v>8</v>
      </c>
      <c r="AE210" s="54">
        <v>9</v>
      </c>
      <c r="AF210" s="55">
        <v>0</v>
      </c>
      <c r="AG210" s="55">
        <v>1</v>
      </c>
      <c r="AH210" s="55">
        <v>2</v>
      </c>
      <c r="AI210" s="55">
        <v>3</v>
      </c>
      <c r="AJ210" s="55">
        <v>4</v>
      </c>
      <c r="AK210" s="55">
        <v>5</v>
      </c>
      <c r="AL210" s="55">
        <v>6</v>
      </c>
      <c r="AM210" s="55">
        <v>7</v>
      </c>
      <c r="AN210" s="55">
        <v>8</v>
      </c>
      <c r="AO210" s="55">
        <v>9</v>
      </c>
      <c r="AP210" s="105">
        <v>0</v>
      </c>
      <c r="AQ210" s="105">
        <v>1</v>
      </c>
      <c r="AR210" s="105">
        <v>2</v>
      </c>
      <c r="AS210" s="105">
        <v>3</v>
      </c>
      <c r="AT210" s="105">
        <v>4</v>
      </c>
      <c r="AU210" s="105">
        <v>5</v>
      </c>
      <c r="AV210" s="105">
        <v>6</v>
      </c>
      <c r="AW210" s="105">
        <v>7</v>
      </c>
      <c r="AX210" s="105">
        <v>8</v>
      </c>
      <c r="AY210" s="105">
        <v>9</v>
      </c>
      <c r="AZ210" s="56">
        <v>0</v>
      </c>
      <c r="BA210" s="56">
        <v>1</v>
      </c>
      <c r="BB210" s="56">
        <v>2</v>
      </c>
      <c r="BC210" s="56">
        <v>3</v>
      </c>
      <c r="BD210" s="56">
        <v>4</v>
      </c>
      <c r="BE210" s="56">
        <v>5</v>
      </c>
      <c r="BF210" s="56">
        <v>6</v>
      </c>
      <c r="BG210" s="56">
        <v>7</v>
      </c>
      <c r="BH210" s="56">
        <v>8</v>
      </c>
      <c r="BI210" s="56">
        <v>9</v>
      </c>
      <c r="BJ210" s="57" t="str">
        <f t="shared" si="104"/>
        <v>标准型</v>
      </c>
      <c r="BK210" s="13">
        <f t="shared" si="100"/>
        <v>1</v>
      </c>
      <c r="BL210" s="13">
        <f t="shared" si="101"/>
        <v>5</v>
      </c>
      <c r="BM210" s="18" t="str">
        <f t="shared" si="111"/>
        <v/>
      </c>
      <c r="BN210" s="19">
        <f t="shared" si="112"/>
        <v>4</v>
      </c>
      <c r="BO210" s="19" t="str">
        <f t="array" ref="BO210">_xlfn.TEXTJOIN("",TRUE,IF(ISERROR(FIND(ROW($1:$10)-1,BM210&amp;BN210)),ROW($1:$10)-1,""))</f>
        <v>012356789</v>
      </c>
      <c r="BP210" s="20" t="str">
        <f t="shared" si="113"/>
        <v>中隔中</v>
      </c>
      <c r="BQ210" s="21">
        <f t="shared" si="124"/>
        <v>5</v>
      </c>
      <c r="BR210" s="21" t="str">
        <f t="shared" si="122"/>
        <v/>
      </c>
      <c r="BS210" s="21" t="str">
        <f t="array" ref="BS210">_xlfn.TEXTJOIN("",TRUE,IF(ISERROR(FIND(ROW($1:$10)-1,BQ210&amp;BR210)),ROW($1:$10)-1,""))</f>
        <v>012346789</v>
      </c>
      <c r="BT210" s="20" t="str">
        <f t="shared" si="114"/>
        <v>复中中</v>
      </c>
      <c r="BU210" s="22" t="str">
        <f t="shared" si="115"/>
        <v/>
      </c>
      <c r="BV210" s="22" t="str">
        <f t="shared" si="123"/>
        <v/>
      </c>
      <c r="BW210" s="22" t="str">
        <f t="array" ref="BW210">_xlfn.TEXTJOIN("",TRUE,IF(ISERROR(FIND(ROW($1:$10)-1,BU210&amp;BV210)),ROW($1:$10)-1,""))</f>
        <v>0123456789</v>
      </c>
      <c r="BX210" s="20" t="str">
        <f t="shared" si="116"/>
        <v>中中中</v>
      </c>
      <c r="BY210" s="23" t="str">
        <f t="shared" si="105"/>
        <v>35</v>
      </c>
      <c r="BZ210" s="24" t="str">
        <f t="array" ref="BZ210">_xlfn.TEXTJOIN("",TRUE,IF(ISNUMBER(FIND(MID(BY209&amp;Q209,ROW($1:$4),1),BY210&amp;Q210)),MID(BY209&amp;Q209,ROW($1:$4),1),""))</f>
        <v>43</v>
      </c>
      <c r="CA210" s="25" t="str">
        <f t="array" ref="CA210">_xlfn.TEXTJOIN("",TRUE,IF(ISERROR(FIND(ROW($1:$10)-1,BY210&amp;BZ210)),ROW($1:$10)-1,""))</f>
        <v>0126789</v>
      </c>
      <c r="CB210" s="26" t="str">
        <f t="shared" si="117"/>
        <v>邻传孤</v>
      </c>
      <c r="CC210" s="27" t="str">
        <f t="shared" si="118"/>
        <v>46</v>
      </c>
      <c r="CD210" s="27" t="str">
        <f t="array" ref="CD210">_xlfn.TEXTJOIN("",TRUE,IF(ISNUMBER(FIND(MID(CC209&amp;R209,ROW($1:$4),1),CC210&amp;R210)),MID(CC209&amp;R209,ROW($1:$4),1),""))</f>
        <v>465</v>
      </c>
      <c r="CE210" s="27" t="str">
        <f t="array" ref="CE210">_xlfn.TEXTJOIN("",TRUE,IF(ISERROR(FIND(ROW($1:$10)-1,CC210&amp;CD210)),ROW($1:$10)-1,""))</f>
        <v>0123789</v>
      </c>
      <c r="CF210" s="17" t="str">
        <f t="shared" si="119"/>
        <v>邻传孤</v>
      </c>
      <c r="CG210" s="22" t="str">
        <f t="shared" si="120"/>
        <v>02</v>
      </c>
      <c r="CH210" s="22" t="str">
        <f t="array" ref="CH210">_xlfn.TEXTJOIN("",TRUE,IF(ISNUMBER(FIND(MID(CG209&amp;S209,ROW($1:$4),1),CG210&amp;S210)),MID(CG209&amp;S209,ROW($1:$4),1),""))</f>
        <v>12</v>
      </c>
      <c r="CI210" s="22" t="str">
        <f t="array" ref="CI210">_xlfn.TEXTJOIN("",TRUE,IF(ISERROR(FIND(ROW($1:$10)-1,CG210&amp;CH210)),ROW($1:$10)-1,""))</f>
        <v>3456789</v>
      </c>
      <c r="CJ210" s="28" t="str">
        <f t="shared" si="121"/>
        <v>邻传孤</v>
      </c>
    </row>
    <row r="211" spans="1:88">
      <c r="A211" s="32">
        <v>2024338</v>
      </c>
      <c r="B211" s="8" t="s">
        <v>207</v>
      </c>
      <c r="C211" s="49">
        <f t="shared" si="106"/>
        <v>23</v>
      </c>
      <c r="D211" s="50">
        <f t="shared" si="107"/>
        <v>3</v>
      </c>
      <c r="E211" s="51">
        <f t="shared" si="102"/>
        <v>7.6666666666666696</v>
      </c>
      <c r="F211" s="52">
        <f>MAX(MID(B211,{1,2,3},1)*1)-MIN(MID(B211,{1,2,3},1)*1)</f>
        <v>2</v>
      </c>
      <c r="G211" s="104">
        <v>0</v>
      </c>
      <c r="H211" s="104">
        <v>1</v>
      </c>
      <c r="I211" s="104">
        <v>2</v>
      </c>
      <c r="J211" s="104">
        <v>3</v>
      </c>
      <c r="K211" s="104">
        <v>4</v>
      </c>
      <c r="L211" s="104">
        <v>5</v>
      </c>
      <c r="M211" s="104">
        <v>6</v>
      </c>
      <c r="N211" s="104">
        <v>7</v>
      </c>
      <c r="O211" s="104">
        <v>8</v>
      </c>
      <c r="P211" s="104">
        <v>9</v>
      </c>
      <c r="Q211" s="53">
        <f t="shared" si="108"/>
        <v>2</v>
      </c>
      <c r="R211" s="53">
        <f t="shared" si="109"/>
        <v>2</v>
      </c>
      <c r="S211" s="53">
        <f t="shared" si="110"/>
        <v>0</v>
      </c>
      <c r="T211" s="101">
        <f t="shared" si="103"/>
        <v>4</v>
      </c>
      <c r="U211" s="15" t="str">
        <f>_xlfn.TEXTJOIN(", ",TRUE,ABS(MID(B211,{1,1,2},1)-MID(B211,{2,3,3},1)))</f>
        <v>2, 2, 0</v>
      </c>
      <c r="V211" s="54">
        <v>0</v>
      </c>
      <c r="W211" s="54">
        <v>1</v>
      </c>
      <c r="X211" s="54">
        <v>2</v>
      </c>
      <c r="Y211" s="54">
        <v>3</v>
      </c>
      <c r="Z211" s="54">
        <v>4</v>
      </c>
      <c r="AA211" s="54">
        <v>5</v>
      </c>
      <c r="AB211" s="54">
        <v>6</v>
      </c>
      <c r="AC211" s="54">
        <v>7</v>
      </c>
      <c r="AD211" s="54">
        <v>8</v>
      </c>
      <c r="AE211" s="54">
        <v>9</v>
      </c>
      <c r="AF211" s="55">
        <v>0</v>
      </c>
      <c r="AG211" s="55">
        <v>1</v>
      </c>
      <c r="AH211" s="55">
        <v>2</v>
      </c>
      <c r="AI211" s="55">
        <v>3</v>
      </c>
      <c r="AJ211" s="55">
        <v>4</v>
      </c>
      <c r="AK211" s="55">
        <v>5</v>
      </c>
      <c r="AL211" s="55">
        <v>6</v>
      </c>
      <c r="AM211" s="55">
        <v>7</v>
      </c>
      <c r="AN211" s="55">
        <v>8</v>
      </c>
      <c r="AO211" s="55">
        <v>9</v>
      </c>
      <c r="AP211" s="105">
        <v>0</v>
      </c>
      <c r="AQ211" s="105">
        <v>1</v>
      </c>
      <c r="AR211" s="105">
        <v>2</v>
      </c>
      <c r="AS211" s="105">
        <v>3</v>
      </c>
      <c r="AT211" s="105">
        <v>4</v>
      </c>
      <c r="AU211" s="105">
        <v>5</v>
      </c>
      <c r="AV211" s="105">
        <v>6</v>
      </c>
      <c r="AW211" s="105">
        <v>7</v>
      </c>
      <c r="AX211" s="105">
        <v>8</v>
      </c>
      <c r="AY211" s="105">
        <v>9</v>
      </c>
      <c r="AZ211" s="56">
        <v>0</v>
      </c>
      <c r="BA211" s="56">
        <v>1</v>
      </c>
      <c r="BB211" s="56">
        <v>2</v>
      </c>
      <c r="BC211" s="56">
        <v>3</v>
      </c>
      <c r="BD211" s="56">
        <v>4</v>
      </c>
      <c r="BE211" s="56">
        <v>5</v>
      </c>
      <c r="BF211" s="56">
        <v>6</v>
      </c>
      <c r="BG211" s="56">
        <v>7</v>
      </c>
      <c r="BH211" s="56">
        <v>8</v>
      </c>
      <c r="BI211" s="56">
        <v>9</v>
      </c>
      <c r="BJ211" s="57" t="str">
        <f t="shared" si="104"/>
        <v>紧凑型</v>
      </c>
      <c r="BK211" s="13">
        <f t="shared" si="100"/>
        <v>0</v>
      </c>
      <c r="BL211" s="13">
        <f t="shared" si="101"/>
        <v>2</v>
      </c>
      <c r="BM211" s="18" t="str">
        <f t="shared" si="111"/>
        <v/>
      </c>
      <c r="BN211" s="19">
        <f t="shared" si="112"/>
        <v>2</v>
      </c>
      <c r="BO211" s="19" t="str">
        <f t="array" ref="BO211">_xlfn.TEXTJOIN("",TRUE,IF(ISERROR(FIND(ROW($1:$10)-1,BM211&amp;BN211)),ROW($1:$10)-1,""))</f>
        <v>013456789</v>
      </c>
      <c r="BP211" s="20" t="str">
        <f t="shared" si="113"/>
        <v>中隔中</v>
      </c>
      <c r="BQ211" s="21" t="str">
        <f t="shared" si="124"/>
        <v/>
      </c>
      <c r="BR211" s="21">
        <f t="shared" si="122"/>
        <v>2</v>
      </c>
      <c r="BS211" s="21" t="str">
        <f t="array" ref="BS211">_xlfn.TEXTJOIN("",TRUE,IF(ISERROR(FIND(ROW($1:$10)-1,BQ211&amp;BR211)),ROW($1:$10)-1,""))</f>
        <v>013456789</v>
      </c>
      <c r="BT211" s="20" t="str">
        <f t="shared" si="114"/>
        <v>中隔中</v>
      </c>
      <c r="BU211" s="22" t="str">
        <f t="shared" si="115"/>
        <v/>
      </c>
      <c r="BV211" s="22" t="str">
        <f t="shared" si="123"/>
        <v/>
      </c>
      <c r="BW211" s="22" t="str">
        <f t="array" ref="BW211">_xlfn.TEXTJOIN("",TRUE,IF(ISERROR(FIND(ROW($1:$10)-1,BU211&amp;BV211)),ROW($1:$10)-1,""))</f>
        <v>0123456789</v>
      </c>
      <c r="BX211" s="20" t="str">
        <f t="shared" si="116"/>
        <v>中中中</v>
      </c>
      <c r="BY211" s="23" t="str">
        <f t="shared" si="105"/>
        <v>13</v>
      </c>
      <c r="BZ211" s="24" t="str">
        <f t="array" ref="BZ211">_xlfn.TEXTJOIN("",TRUE,IF(ISNUMBER(FIND(MID(BY210&amp;Q210,ROW($1:$4),1),BY211&amp;Q211)),MID(BY210&amp;Q210,ROW($1:$4),1),""))</f>
        <v>3</v>
      </c>
      <c r="CA211" s="25" t="str">
        <f t="array" ref="CA211">_xlfn.TEXTJOIN("",TRUE,IF(ISERROR(FIND(ROW($1:$10)-1,BY211&amp;BZ211)),ROW($1:$10)-1,""))</f>
        <v>02456789</v>
      </c>
      <c r="CB211" s="26" t="str">
        <f t="shared" si="117"/>
        <v>邻传孤</v>
      </c>
      <c r="CC211" s="27" t="str">
        <f t="shared" si="118"/>
        <v>13</v>
      </c>
      <c r="CD211" s="27" t="str">
        <f t="array" ref="CD211">_xlfn.TEXTJOIN("",TRUE,IF(ISNUMBER(FIND(MID(CC210&amp;R210,ROW($1:$4),1),CC211&amp;R211)),MID(CC210&amp;R210,ROW($1:$4),1),""))</f>
        <v/>
      </c>
      <c r="CE211" s="27" t="str">
        <f t="array" ref="CE211">_xlfn.TEXTJOIN("",TRUE,IF(ISERROR(FIND(ROW($1:$10)-1,CC211&amp;CD211)),ROW($1:$10)-1,""))</f>
        <v>02456789</v>
      </c>
      <c r="CF211" s="17" t="str">
        <f t="shared" si="119"/>
        <v>邻孤孤</v>
      </c>
      <c r="CG211" s="22" t="str">
        <f t="shared" si="120"/>
        <v>91</v>
      </c>
      <c r="CH211" s="22" t="str">
        <f t="array" ref="CH211">_xlfn.TEXTJOIN("",TRUE,IF(ISNUMBER(FIND(MID(CG210&amp;S210,ROW($1:$4),1),CG211&amp;S211)),MID(CG210&amp;S210,ROW($1:$4),1),""))</f>
        <v>01</v>
      </c>
      <c r="CI211" s="22" t="str">
        <f t="array" ref="CI211">_xlfn.TEXTJOIN("",TRUE,IF(ISERROR(FIND(ROW($1:$10)-1,CG211&amp;CH211)),ROW($1:$10)-1,""))</f>
        <v>2345678</v>
      </c>
      <c r="CJ211" s="28" t="str">
        <f t="shared" si="121"/>
        <v>邻传孤</v>
      </c>
    </row>
    <row r="212" spans="1:88">
      <c r="A212" s="32">
        <v>2024339</v>
      </c>
      <c r="B212" s="8" t="s">
        <v>208</v>
      </c>
      <c r="C212" s="49">
        <f t="shared" si="106"/>
        <v>14</v>
      </c>
      <c r="D212" s="50">
        <f t="shared" si="107"/>
        <v>4</v>
      </c>
      <c r="E212" s="51">
        <f t="shared" si="102"/>
        <v>4.6666666666666696</v>
      </c>
      <c r="F212" s="52">
        <f>MAX(MID(B212,{1,2,3},1)*1)-MIN(MID(B212,{1,2,3},1)*1)</f>
        <v>9</v>
      </c>
      <c r="G212" s="104">
        <v>0</v>
      </c>
      <c r="H212" s="104">
        <v>1</v>
      </c>
      <c r="I212" s="104">
        <v>2</v>
      </c>
      <c r="J212" s="104">
        <v>3</v>
      </c>
      <c r="K212" s="104">
        <v>4</v>
      </c>
      <c r="L212" s="104">
        <v>5</v>
      </c>
      <c r="M212" s="104">
        <v>6</v>
      </c>
      <c r="N212" s="104">
        <v>7</v>
      </c>
      <c r="O212" s="104">
        <v>8</v>
      </c>
      <c r="P212" s="104">
        <v>9</v>
      </c>
      <c r="Q212" s="53">
        <f t="shared" si="108"/>
        <v>5</v>
      </c>
      <c r="R212" s="53">
        <f t="shared" si="109"/>
        <v>4</v>
      </c>
      <c r="S212" s="53">
        <f t="shared" si="110"/>
        <v>9</v>
      </c>
      <c r="T212" s="101">
        <f t="shared" si="103"/>
        <v>18</v>
      </c>
      <c r="U212" s="15" t="str">
        <f>_xlfn.TEXTJOIN(", ",TRUE,ABS(MID(B212,{1,1,2},1)-MID(B212,{2,3,3},1)))</f>
        <v>5, 4, 9</v>
      </c>
      <c r="V212" s="54">
        <v>0</v>
      </c>
      <c r="W212" s="54">
        <v>1</v>
      </c>
      <c r="X212" s="54">
        <v>2</v>
      </c>
      <c r="Y212" s="54">
        <v>3</v>
      </c>
      <c r="Z212" s="54">
        <v>4</v>
      </c>
      <c r="AA212" s="54">
        <v>5</v>
      </c>
      <c r="AB212" s="54">
        <v>6</v>
      </c>
      <c r="AC212" s="54">
        <v>7</v>
      </c>
      <c r="AD212" s="54">
        <v>8</v>
      </c>
      <c r="AE212" s="54">
        <v>9</v>
      </c>
      <c r="AF212" s="55">
        <v>0</v>
      </c>
      <c r="AG212" s="55">
        <v>1</v>
      </c>
      <c r="AH212" s="55">
        <v>2</v>
      </c>
      <c r="AI212" s="55">
        <v>3</v>
      </c>
      <c r="AJ212" s="55">
        <v>4</v>
      </c>
      <c r="AK212" s="55">
        <v>5</v>
      </c>
      <c r="AL212" s="55">
        <v>6</v>
      </c>
      <c r="AM212" s="55">
        <v>7</v>
      </c>
      <c r="AN212" s="55">
        <v>8</v>
      </c>
      <c r="AO212" s="55">
        <v>9</v>
      </c>
      <c r="AP212" s="105">
        <v>0</v>
      </c>
      <c r="AQ212" s="105">
        <v>1</v>
      </c>
      <c r="AR212" s="105">
        <v>2</v>
      </c>
      <c r="AS212" s="105">
        <v>3</v>
      </c>
      <c r="AT212" s="105">
        <v>4</v>
      </c>
      <c r="AU212" s="105">
        <v>5</v>
      </c>
      <c r="AV212" s="105">
        <v>6</v>
      </c>
      <c r="AW212" s="105">
        <v>7</v>
      </c>
      <c r="AX212" s="105">
        <v>8</v>
      </c>
      <c r="AY212" s="105">
        <v>9</v>
      </c>
      <c r="AZ212" s="56">
        <v>0</v>
      </c>
      <c r="BA212" s="56">
        <v>1</v>
      </c>
      <c r="BB212" s="56">
        <v>2</v>
      </c>
      <c r="BC212" s="56">
        <v>3</v>
      </c>
      <c r="BD212" s="56">
        <v>4</v>
      </c>
      <c r="BE212" s="56">
        <v>5</v>
      </c>
      <c r="BF212" s="56">
        <v>6</v>
      </c>
      <c r="BG212" s="56">
        <v>7</v>
      </c>
      <c r="BH212" s="56">
        <v>8</v>
      </c>
      <c r="BI212" s="56">
        <v>9</v>
      </c>
      <c r="BJ212" s="57" t="str">
        <f t="shared" si="104"/>
        <v>松散型</v>
      </c>
      <c r="BK212" s="13">
        <f t="shared" si="100"/>
        <v>4</v>
      </c>
      <c r="BL212" s="13">
        <f t="shared" si="101"/>
        <v>9</v>
      </c>
      <c r="BM212" s="18" t="str">
        <f t="shared" si="111"/>
        <v/>
      </c>
      <c r="BN212" s="19">
        <f t="shared" si="112"/>
        <v>5</v>
      </c>
      <c r="BO212" s="19" t="str">
        <f t="array" ref="BO212">_xlfn.TEXTJOIN("",TRUE,IF(ISERROR(FIND(ROW($1:$10)-1,BM212&amp;BN212)),ROW($1:$10)-1,""))</f>
        <v>012346789</v>
      </c>
      <c r="BP212" s="20" t="str">
        <f t="shared" si="113"/>
        <v>中隔中</v>
      </c>
      <c r="BQ212" s="21" t="str">
        <f t="shared" si="124"/>
        <v/>
      </c>
      <c r="BR212" s="21">
        <f t="shared" si="122"/>
        <v>4</v>
      </c>
      <c r="BS212" s="21" t="str">
        <f t="array" ref="BS212">_xlfn.TEXTJOIN("",TRUE,IF(ISERROR(FIND(ROW($1:$10)-1,BQ212&amp;BR212)),ROW($1:$10)-1,""))</f>
        <v>012356789</v>
      </c>
      <c r="BT212" s="20" t="str">
        <f t="shared" si="114"/>
        <v>中隔中</v>
      </c>
      <c r="BU212" s="22" t="str">
        <f t="shared" si="115"/>
        <v/>
      </c>
      <c r="BV212" s="22" t="str">
        <f t="shared" si="123"/>
        <v/>
      </c>
      <c r="BW212" s="22" t="str">
        <f t="array" ref="BW212">_xlfn.TEXTJOIN("",TRUE,IF(ISERROR(FIND(ROW($1:$10)-1,BU212&amp;BV212)),ROW($1:$10)-1,""))</f>
        <v>0123456789</v>
      </c>
      <c r="BX212" s="20" t="str">
        <f t="shared" si="116"/>
        <v>中中中</v>
      </c>
      <c r="BY212" s="23" t="str">
        <f t="shared" si="105"/>
        <v>46</v>
      </c>
      <c r="BZ212" s="24" t="str">
        <f t="array" ref="BZ212">_xlfn.TEXTJOIN("",TRUE,IF(ISNUMBER(FIND(MID(BY211&amp;Q211,ROW($1:$4),1),BY212&amp;Q212)),MID(BY211&amp;Q211,ROW($1:$4),1),""))</f>
        <v/>
      </c>
      <c r="CA212" s="25" t="str">
        <f t="array" ref="CA212">_xlfn.TEXTJOIN("",TRUE,IF(ISERROR(FIND(ROW($1:$10)-1,BY212&amp;BZ212)),ROW($1:$10)-1,""))</f>
        <v>01235789</v>
      </c>
      <c r="CB212" s="26" t="str">
        <f t="shared" si="117"/>
        <v>邻孤孤</v>
      </c>
      <c r="CC212" s="27" t="str">
        <f t="shared" si="118"/>
        <v>35</v>
      </c>
      <c r="CD212" s="27" t="str">
        <f t="array" ref="CD212">_xlfn.TEXTJOIN("",TRUE,IF(ISNUMBER(FIND(MID(CC211&amp;R211,ROW($1:$4),1),CC212&amp;R212)),MID(CC211&amp;R211,ROW($1:$4),1),""))</f>
        <v>3</v>
      </c>
      <c r="CE212" s="27" t="str">
        <f t="array" ref="CE212">_xlfn.TEXTJOIN("",TRUE,IF(ISERROR(FIND(ROW($1:$10)-1,CC212&amp;CD212)),ROW($1:$10)-1,""))</f>
        <v>01246789</v>
      </c>
      <c r="CF212" s="17" t="str">
        <f t="shared" si="119"/>
        <v>邻传孤</v>
      </c>
      <c r="CG212" s="22" t="str">
        <f t="shared" si="120"/>
        <v>80</v>
      </c>
      <c r="CH212" s="22" t="str">
        <f t="array" ref="CH212">_xlfn.TEXTJOIN("",TRUE,IF(ISNUMBER(FIND(MID(CG211&amp;S211,ROW($1:$4),1),CG212&amp;S212)),MID(CG211&amp;S211,ROW($1:$4),1),""))</f>
        <v>90</v>
      </c>
      <c r="CI212" s="22" t="str">
        <f t="array" ref="CI212">_xlfn.TEXTJOIN("",TRUE,IF(ISERROR(FIND(ROW($1:$10)-1,CG212&amp;CH212)),ROW($1:$10)-1,""))</f>
        <v>1234567</v>
      </c>
      <c r="CJ212" s="28" t="str">
        <f t="shared" si="121"/>
        <v>邻传孤</v>
      </c>
    </row>
    <row r="213" spans="1:88">
      <c r="A213" s="32">
        <v>2024340</v>
      </c>
      <c r="B213" s="8" t="s">
        <v>209</v>
      </c>
      <c r="C213" s="49">
        <f t="shared" si="106"/>
        <v>17</v>
      </c>
      <c r="D213" s="50">
        <f t="shared" si="107"/>
        <v>7</v>
      </c>
      <c r="E213" s="51">
        <f t="shared" si="102"/>
        <v>5.6666666666666696</v>
      </c>
      <c r="F213" s="52">
        <f>MAX(MID(B213,{1,2,3},1)*1)-MIN(MID(B213,{1,2,3},1)*1)</f>
        <v>6</v>
      </c>
      <c r="G213" s="104">
        <v>0</v>
      </c>
      <c r="H213" s="104">
        <v>1</v>
      </c>
      <c r="I213" s="104">
        <v>2</v>
      </c>
      <c r="J213" s="104">
        <v>3</v>
      </c>
      <c r="K213" s="104">
        <v>4</v>
      </c>
      <c r="L213" s="104">
        <v>5</v>
      </c>
      <c r="M213" s="104">
        <v>6</v>
      </c>
      <c r="N213" s="104">
        <v>7</v>
      </c>
      <c r="O213" s="104">
        <v>8</v>
      </c>
      <c r="P213" s="104">
        <v>9</v>
      </c>
      <c r="Q213" s="53">
        <f t="shared" si="108"/>
        <v>5</v>
      </c>
      <c r="R213" s="53">
        <f t="shared" si="109"/>
        <v>6</v>
      </c>
      <c r="S213" s="53">
        <f t="shared" si="110"/>
        <v>1</v>
      </c>
      <c r="T213" s="101">
        <f t="shared" si="103"/>
        <v>12</v>
      </c>
      <c r="U213" s="15" t="str">
        <f>_xlfn.TEXTJOIN(", ",TRUE,ABS(MID(B213,{1,1,2},1)-MID(B213,{2,3,3},1)))</f>
        <v>5, 6, 1</v>
      </c>
      <c r="V213" s="54">
        <v>0</v>
      </c>
      <c r="W213" s="54">
        <v>1</v>
      </c>
      <c r="X213" s="54">
        <v>2</v>
      </c>
      <c r="Y213" s="54">
        <v>3</v>
      </c>
      <c r="Z213" s="54">
        <v>4</v>
      </c>
      <c r="AA213" s="54">
        <v>5</v>
      </c>
      <c r="AB213" s="54">
        <v>6</v>
      </c>
      <c r="AC213" s="54">
        <v>7</v>
      </c>
      <c r="AD213" s="54">
        <v>8</v>
      </c>
      <c r="AE213" s="54">
        <v>9</v>
      </c>
      <c r="AF213" s="55">
        <v>0</v>
      </c>
      <c r="AG213" s="55">
        <v>1</v>
      </c>
      <c r="AH213" s="55">
        <v>2</v>
      </c>
      <c r="AI213" s="55">
        <v>3</v>
      </c>
      <c r="AJ213" s="55">
        <v>4</v>
      </c>
      <c r="AK213" s="55">
        <v>5</v>
      </c>
      <c r="AL213" s="55">
        <v>6</v>
      </c>
      <c r="AM213" s="55">
        <v>7</v>
      </c>
      <c r="AN213" s="55">
        <v>8</v>
      </c>
      <c r="AO213" s="55">
        <v>9</v>
      </c>
      <c r="AP213" s="105">
        <v>0</v>
      </c>
      <c r="AQ213" s="105">
        <v>1</v>
      </c>
      <c r="AR213" s="105">
        <v>2</v>
      </c>
      <c r="AS213" s="105">
        <v>3</v>
      </c>
      <c r="AT213" s="105">
        <v>4</v>
      </c>
      <c r="AU213" s="105">
        <v>5</v>
      </c>
      <c r="AV213" s="105">
        <v>6</v>
      </c>
      <c r="AW213" s="105">
        <v>7</v>
      </c>
      <c r="AX213" s="105">
        <v>8</v>
      </c>
      <c r="AY213" s="105">
        <v>9</v>
      </c>
      <c r="AZ213" s="56">
        <v>0</v>
      </c>
      <c r="BA213" s="56">
        <v>1</v>
      </c>
      <c r="BB213" s="56">
        <v>2</v>
      </c>
      <c r="BC213" s="56">
        <v>3</v>
      </c>
      <c r="BD213" s="56">
        <v>4</v>
      </c>
      <c r="BE213" s="56">
        <v>5</v>
      </c>
      <c r="BF213" s="56">
        <v>6</v>
      </c>
      <c r="BG213" s="56">
        <v>7</v>
      </c>
      <c r="BH213" s="56">
        <v>8</v>
      </c>
      <c r="BI213" s="56">
        <v>9</v>
      </c>
      <c r="BJ213" s="57" t="str">
        <f t="shared" si="104"/>
        <v>松散型</v>
      </c>
      <c r="BK213" s="13">
        <f t="shared" si="100"/>
        <v>1</v>
      </c>
      <c r="BL213" s="13">
        <f t="shared" si="101"/>
        <v>6</v>
      </c>
      <c r="BM213" s="18">
        <f t="shared" si="111"/>
        <v>5</v>
      </c>
      <c r="BN213" s="19" t="str">
        <f t="shared" si="112"/>
        <v/>
      </c>
      <c r="BO213" s="19" t="str">
        <f t="array" ref="BO213">_xlfn.TEXTJOIN("",TRUE,IF(ISERROR(FIND(ROW($1:$10)-1,BM213&amp;BN213)),ROW($1:$10)-1,""))</f>
        <v>012346789</v>
      </c>
      <c r="BP213" s="20" t="str">
        <f t="shared" si="113"/>
        <v>复中中</v>
      </c>
      <c r="BQ213" s="21" t="str">
        <f t="shared" si="124"/>
        <v/>
      </c>
      <c r="BR213" s="21" t="str">
        <f t="shared" si="122"/>
        <v/>
      </c>
      <c r="BS213" s="21" t="str">
        <f t="array" ref="BS213">_xlfn.TEXTJOIN("",TRUE,IF(ISERROR(FIND(ROW($1:$10)-1,BQ213&amp;BR213)),ROW($1:$10)-1,""))</f>
        <v>0123456789</v>
      </c>
      <c r="BT213" s="20" t="str">
        <f t="shared" si="114"/>
        <v>中中中</v>
      </c>
      <c r="BU213" s="22" t="str">
        <f t="shared" si="115"/>
        <v/>
      </c>
      <c r="BV213" s="22" t="str">
        <f t="shared" si="123"/>
        <v/>
      </c>
      <c r="BW213" s="22" t="str">
        <f t="array" ref="BW213">_xlfn.TEXTJOIN("",TRUE,IF(ISERROR(FIND(ROW($1:$10)-1,BU213&amp;BV213)),ROW($1:$10)-1,""))</f>
        <v>0123456789</v>
      </c>
      <c r="BX213" s="20" t="str">
        <f t="shared" si="116"/>
        <v>中中中</v>
      </c>
      <c r="BY213" s="23" t="str">
        <f t="shared" si="105"/>
        <v>46</v>
      </c>
      <c r="BZ213" s="24" t="str">
        <f t="array" ref="BZ213">_xlfn.TEXTJOIN("",TRUE,IF(ISNUMBER(FIND(MID(BY212&amp;Q212,ROW($1:$4),1),BY213&amp;Q213)),MID(BY212&amp;Q212,ROW($1:$4),1),""))</f>
        <v>465</v>
      </c>
      <c r="CA213" s="25" t="str">
        <f t="array" ref="CA213">_xlfn.TEXTJOIN("",TRUE,IF(ISERROR(FIND(ROW($1:$10)-1,BY213&amp;BZ213)),ROW($1:$10)-1,""))</f>
        <v>0123789</v>
      </c>
      <c r="CB213" s="26" t="str">
        <f t="shared" si="117"/>
        <v>邻传孤</v>
      </c>
      <c r="CC213" s="27" t="str">
        <f t="shared" si="118"/>
        <v>57</v>
      </c>
      <c r="CD213" s="27" t="str">
        <f t="array" ref="CD213">_xlfn.TEXTJOIN("",TRUE,IF(ISNUMBER(FIND(MID(CC212&amp;R212,ROW($1:$4),1),CC213&amp;R213)),MID(CC212&amp;R212,ROW($1:$4),1),""))</f>
        <v>5</v>
      </c>
      <c r="CE213" s="27" t="str">
        <f t="array" ref="CE213">_xlfn.TEXTJOIN("",TRUE,IF(ISERROR(FIND(ROW($1:$10)-1,CC213&amp;CD213)),ROW($1:$10)-1,""))</f>
        <v>01234689</v>
      </c>
      <c r="CF213" s="17" t="str">
        <f t="shared" si="119"/>
        <v>邻传孤</v>
      </c>
      <c r="CG213" s="22" t="str">
        <f t="shared" si="120"/>
        <v>02</v>
      </c>
      <c r="CH213" s="22" t="str">
        <f t="array" ref="CH213">_xlfn.TEXTJOIN("",TRUE,IF(ISNUMBER(FIND(MID(CG212&amp;S212,ROW($1:$4),1),CG213&amp;S213)),MID(CG212&amp;S212,ROW($1:$4),1),""))</f>
        <v>0</v>
      </c>
      <c r="CI213" s="22" t="str">
        <f t="array" ref="CI213">_xlfn.TEXTJOIN("",TRUE,IF(ISERROR(FIND(ROW($1:$10)-1,CG213&amp;CH213)),ROW($1:$10)-1,""))</f>
        <v>13456789</v>
      </c>
      <c r="CJ213" s="28" t="str">
        <f t="shared" si="121"/>
        <v>邻传孤</v>
      </c>
    </row>
    <row r="214" spans="1:88">
      <c r="A214" s="32">
        <v>2024341</v>
      </c>
      <c r="B214" s="8" t="s">
        <v>210</v>
      </c>
      <c r="C214" s="49">
        <f t="shared" ref="C214:C232" si="125">LEFT(B214,1)+MID(B214,2,1)+RIGHT(B214,1)</f>
        <v>11</v>
      </c>
      <c r="D214" s="50">
        <f t="shared" ref="D214:D232" si="126">MOD(LEFT(B214,1)+MID(B214,2,1)+RIGHT(B214,1),10)</f>
        <v>1</v>
      </c>
      <c r="E214" s="51">
        <f t="shared" si="102"/>
        <v>3.6666666666666701</v>
      </c>
      <c r="F214" s="52">
        <f>MAX(MID(B214,{1,2,3},1)*1)-MIN(MID(B214,{1,2,3},1)*1)</f>
        <v>6</v>
      </c>
      <c r="G214" s="104">
        <v>0</v>
      </c>
      <c r="H214" s="104">
        <v>1</v>
      </c>
      <c r="I214" s="104">
        <v>2</v>
      </c>
      <c r="J214" s="104">
        <v>3</v>
      </c>
      <c r="K214" s="104">
        <v>4</v>
      </c>
      <c r="L214" s="104">
        <v>5</v>
      </c>
      <c r="M214" s="104">
        <v>6</v>
      </c>
      <c r="N214" s="104">
        <v>7</v>
      </c>
      <c r="O214" s="104">
        <v>8</v>
      </c>
      <c r="P214" s="104">
        <v>9</v>
      </c>
      <c r="Q214" s="53">
        <f t="shared" ref="Q214:Q232" si="127">ABS(LEFT(B214,1)-MID(B214,2,1))</f>
        <v>4</v>
      </c>
      <c r="R214" s="53">
        <f t="shared" ref="R214:R232" si="128">ABS(LEFT(B214,1)-RIGHT(B214,1))</f>
        <v>2</v>
      </c>
      <c r="S214" s="53">
        <f t="shared" ref="S214:S232" si="129">ABS(MID(B214,2,1)-RIGHT(B214,1))</f>
        <v>6</v>
      </c>
      <c r="T214" s="101">
        <f t="shared" si="103"/>
        <v>12</v>
      </c>
      <c r="U214" s="15" t="str">
        <f>_xlfn.TEXTJOIN(", ",TRUE,ABS(MID(B214,{1,1,2},1)-MID(B214,{2,3,3},1)))</f>
        <v>4, 2, 6</v>
      </c>
      <c r="V214" s="54">
        <v>0</v>
      </c>
      <c r="W214" s="54">
        <v>1</v>
      </c>
      <c r="X214" s="54">
        <v>2</v>
      </c>
      <c r="Y214" s="54">
        <v>3</v>
      </c>
      <c r="Z214" s="54">
        <v>4</v>
      </c>
      <c r="AA214" s="54">
        <v>5</v>
      </c>
      <c r="AB214" s="54">
        <v>6</v>
      </c>
      <c r="AC214" s="54">
        <v>7</v>
      </c>
      <c r="AD214" s="54">
        <v>8</v>
      </c>
      <c r="AE214" s="54">
        <v>9</v>
      </c>
      <c r="AF214" s="55">
        <v>0</v>
      </c>
      <c r="AG214" s="55">
        <v>1</v>
      </c>
      <c r="AH214" s="55">
        <v>2</v>
      </c>
      <c r="AI214" s="55">
        <v>3</v>
      </c>
      <c r="AJ214" s="55">
        <v>4</v>
      </c>
      <c r="AK214" s="55">
        <v>5</v>
      </c>
      <c r="AL214" s="55">
        <v>6</v>
      </c>
      <c r="AM214" s="55">
        <v>7</v>
      </c>
      <c r="AN214" s="55">
        <v>8</v>
      </c>
      <c r="AO214" s="55">
        <v>9</v>
      </c>
      <c r="AP214" s="105">
        <v>0</v>
      </c>
      <c r="AQ214" s="105">
        <v>1</v>
      </c>
      <c r="AR214" s="105">
        <v>2</v>
      </c>
      <c r="AS214" s="105">
        <v>3</v>
      </c>
      <c r="AT214" s="105">
        <v>4</v>
      </c>
      <c r="AU214" s="105">
        <v>5</v>
      </c>
      <c r="AV214" s="105">
        <v>6</v>
      </c>
      <c r="AW214" s="105">
        <v>7</v>
      </c>
      <c r="AX214" s="105">
        <v>8</v>
      </c>
      <c r="AY214" s="105">
        <v>9</v>
      </c>
      <c r="AZ214" s="56">
        <v>0</v>
      </c>
      <c r="BA214" s="56">
        <v>1</v>
      </c>
      <c r="BB214" s="56">
        <v>2</v>
      </c>
      <c r="BC214" s="56">
        <v>3</v>
      </c>
      <c r="BD214" s="56">
        <v>4</v>
      </c>
      <c r="BE214" s="56">
        <v>5</v>
      </c>
      <c r="BF214" s="56">
        <v>6</v>
      </c>
      <c r="BG214" s="56">
        <v>7</v>
      </c>
      <c r="BH214" s="56">
        <v>8</v>
      </c>
      <c r="BI214" s="56">
        <v>9</v>
      </c>
      <c r="BJ214" s="57" t="str">
        <f t="shared" si="104"/>
        <v>松散型</v>
      </c>
      <c r="BK214" s="13">
        <f t="shared" si="100"/>
        <v>2</v>
      </c>
      <c r="BL214" s="13">
        <f t="shared" si="101"/>
        <v>6</v>
      </c>
      <c r="BM214" s="18" t="str">
        <f t="shared" si="111"/>
        <v/>
      </c>
      <c r="BN214" s="19">
        <f t="shared" si="112"/>
        <v>4</v>
      </c>
      <c r="BO214" s="19" t="str">
        <f t="array" ref="BO214">_xlfn.TEXTJOIN("",TRUE,IF(ISERROR(FIND(ROW($1:$10)-1,BM214&amp;BN214)),ROW($1:$10)-1,""))</f>
        <v>012356789</v>
      </c>
      <c r="BP214" s="20" t="str">
        <f t="shared" si="113"/>
        <v>中隔中</v>
      </c>
      <c r="BQ214" s="21" t="str">
        <f t="shared" si="124"/>
        <v/>
      </c>
      <c r="BR214" s="21" t="str">
        <f t="shared" si="122"/>
        <v/>
      </c>
      <c r="BS214" s="21" t="str">
        <f t="array" ref="BS214">_xlfn.TEXTJOIN("",TRUE,IF(ISERROR(FIND(ROW($1:$10)-1,BQ214&amp;BR214)),ROW($1:$10)-1,""))</f>
        <v>0123456789</v>
      </c>
      <c r="BT214" s="20" t="str">
        <f t="shared" si="114"/>
        <v>中中中</v>
      </c>
      <c r="BU214" s="22">
        <f t="shared" si="115"/>
        <v>6</v>
      </c>
      <c r="BV214" s="22" t="str">
        <f t="shared" si="123"/>
        <v/>
      </c>
      <c r="BW214" s="22" t="str">
        <f t="array" ref="BW214">_xlfn.TEXTJOIN("",TRUE,IF(ISERROR(FIND(ROW($1:$10)-1,BU214&amp;BV214)),ROW($1:$10)-1,""))</f>
        <v>012345789</v>
      </c>
      <c r="BX214" s="20" t="str">
        <f t="shared" si="116"/>
        <v>复中中</v>
      </c>
      <c r="BY214" s="23" t="str">
        <f t="shared" si="105"/>
        <v>35</v>
      </c>
      <c r="BZ214" s="24" t="str">
        <f t="array" ref="BZ214">_xlfn.TEXTJOIN("",TRUE,IF(ISNUMBER(FIND(MID(BY213&amp;Q213,ROW($1:$4),1),BY214&amp;Q214)),MID(BY213&amp;Q213,ROW($1:$4),1),""))</f>
        <v>45</v>
      </c>
      <c r="CA214" s="25" t="str">
        <f t="array" ref="CA214">_xlfn.TEXTJOIN("",TRUE,IF(ISERROR(FIND(ROW($1:$10)-1,BY214&amp;BZ214)),ROW($1:$10)-1,""))</f>
        <v>0126789</v>
      </c>
      <c r="CB214" s="26" t="str">
        <f t="shared" si="117"/>
        <v>邻传孤</v>
      </c>
      <c r="CC214" s="27" t="str">
        <f t="shared" si="118"/>
        <v>13</v>
      </c>
      <c r="CD214" s="27" t="str">
        <f t="array" ref="CD214">_xlfn.TEXTJOIN("",TRUE,IF(ISNUMBER(FIND(MID(CC213&amp;R213,ROW($1:$4),1),CC214&amp;R214)),MID(CC213&amp;R213,ROW($1:$4),1),""))</f>
        <v/>
      </c>
      <c r="CE214" s="27" t="str">
        <f t="array" ref="CE214">_xlfn.TEXTJOIN("",TRUE,IF(ISERROR(FIND(ROW($1:$10)-1,CC214&amp;CD214)),ROW($1:$10)-1,""))</f>
        <v>02456789</v>
      </c>
      <c r="CF214" s="17" t="str">
        <f t="shared" si="119"/>
        <v>邻孤孤</v>
      </c>
      <c r="CG214" s="22" t="str">
        <f t="shared" si="120"/>
        <v>57</v>
      </c>
      <c r="CH214" s="22" t="str">
        <f t="array" ref="CH214">_xlfn.TEXTJOIN("",TRUE,IF(ISNUMBER(FIND(MID(CG213&amp;S213,ROW($1:$4),1),CG214&amp;S214)),MID(CG213&amp;S213,ROW($1:$4),1),""))</f>
        <v/>
      </c>
      <c r="CI214" s="22" t="str">
        <f t="array" ref="CI214">_xlfn.TEXTJOIN("",TRUE,IF(ISERROR(FIND(ROW($1:$10)-1,CG214&amp;CH214)),ROW($1:$10)-1,""))</f>
        <v>01234689</v>
      </c>
      <c r="CJ214" s="28" t="str">
        <f t="shared" si="121"/>
        <v>邻孤孤</v>
      </c>
    </row>
    <row r="215" spans="1:88">
      <c r="A215" s="32">
        <v>2024342</v>
      </c>
      <c r="B215" s="8" t="s">
        <v>106</v>
      </c>
      <c r="C215" s="49">
        <f t="shared" si="125"/>
        <v>15</v>
      </c>
      <c r="D215" s="50">
        <f t="shared" si="126"/>
        <v>5</v>
      </c>
      <c r="E215" s="51">
        <f t="shared" si="102"/>
        <v>5</v>
      </c>
      <c r="F215" s="52">
        <f>MAX(MID(B215,{1,2,3},1)*1)-MIN(MID(B215,{1,2,3},1)*1)</f>
        <v>5</v>
      </c>
      <c r="G215" s="104">
        <v>0</v>
      </c>
      <c r="H215" s="104">
        <v>1</v>
      </c>
      <c r="I215" s="104">
        <v>2</v>
      </c>
      <c r="J215" s="104">
        <v>3</v>
      </c>
      <c r="K215" s="104">
        <v>4</v>
      </c>
      <c r="L215" s="104">
        <v>5</v>
      </c>
      <c r="M215" s="104">
        <v>6</v>
      </c>
      <c r="N215" s="104">
        <v>7</v>
      </c>
      <c r="O215" s="104">
        <v>8</v>
      </c>
      <c r="P215" s="104">
        <v>9</v>
      </c>
      <c r="Q215" s="53">
        <f t="shared" si="127"/>
        <v>4</v>
      </c>
      <c r="R215" s="53">
        <f t="shared" si="128"/>
        <v>1</v>
      </c>
      <c r="S215" s="53">
        <f t="shared" si="129"/>
        <v>5</v>
      </c>
      <c r="T215" s="101">
        <f t="shared" si="103"/>
        <v>10</v>
      </c>
      <c r="U215" s="15" t="str">
        <f>_xlfn.TEXTJOIN(", ",TRUE,ABS(MID(B215,{1,1,2},1)-MID(B215,{2,3,3},1)))</f>
        <v>4, 1, 5</v>
      </c>
      <c r="V215" s="54">
        <v>0</v>
      </c>
      <c r="W215" s="54">
        <v>1</v>
      </c>
      <c r="X215" s="54">
        <v>2</v>
      </c>
      <c r="Y215" s="54">
        <v>3</v>
      </c>
      <c r="Z215" s="54">
        <v>4</v>
      </c>
      <c r="AA215" s="54">
        <v>5</v>
      </c>
      <c r="AB215" s="54">
        <v>6</v>
      </c>
      <c r="AC215" s="54">
        <v>7</v>
      </c>
      <c r="AD215" s="54">
        <v>8</v>
      </c>
      <c r="AE215" s="54">
        <v>9</v>
      </c>
      <c r="AF215" s="55">
        <v>0</v>
      </c>
      <c r="AG215" s="55">
        <v>1</v>
      </c>
      <c r="AH215" s="55">
        <v>2</v>
      </c>
      <c r="AI215" s="55">
        <v>3</v>
      </c>
      <c r="AJ215" s="55">
        <v>4</v>
      </c>
      <c r="AK215" s="55">
        <v>5</v>
      </c>
      <c r="AL215" s="55">
        <v>6</v>
      </c>
      <c r="AM215" s="55">
        <v>7</v>
      </c>
      <c r="AN215" s="55">
        <v>8</v>
      </c>
      <c r="AO215" s="55">
        <v>9</v>
      </c>
      <c r="AP215" s="105">
        <v>0</v>
      </c>
      <c r="AQ215" s="105">
        <v>1</v>
      </c>
      <c r="AR215" s="105">
        <v>2</v>
      </c>
      <c r="AS215" s="105">
        <v>3</v>
      </c>
      <c r="AT215" s="105">
        <v>4</v>
      </c>
      <c r="AU215" s="105">
        <v>5</v>
      </c>
      <c r="AV215" s="105">
        <v>6</v>
      </c>
      <c r="AW215" s="105">
        <v>7</v>
      </c>
      <c r="AX215" s="105">
        <v>8</v>
      </c>
      <c r="AY215" s="105">
        <v>9</v>
      </c>
      <c r="AZ215" s="56">
        <v>0</v>
      </c>
      <c r="BA215" s="56">
        <v>1</v>
      </c>
      <c r="BB215" s="56">
        <v>2</v>
      </c>
      <c r="BC215" s="56">
        <v>3</v>
      </c>
      <c r="BD215" s="56">
        <v>4</v>
      </c>
      <c r="BE215" s="56">
        <v>5</v>
      </c>
      <c r="BF215" s="56">
        <v>6</v>
      </c>
      <c r="BG215" s="56">
        <v>7</v>
      </c>
      <c r="BH215" s="56">
        <v>8</v>
      </c>
      <c r="BI215" s="56">
        <v>9</v>
      </c>
      <c r="BJ215" s="57" t="str">
        <f t="shared" si="104"/>
        <v>标准型</v>
      </c>
      <c r="BK215" s="13">
        <f t="shared" si="100"/>
        <v>1</v>
      </c>
      <c r="BL215" s="13">
        <f t="shared" si="101"/>
        <v>5</v>
      </c>
      <c r="BM215" s="18">
        <f t="shared" si="111"/>
        <v>4</v>
      </c>
      <c r="BN215" s="19" t="str">
        <f t="shared" si="112"/>
        <v/>
      </c>
      <c r="BO215" s="19" t="str">
        <f t="array" ref="BO215">_xlfn.TEXTJOIN("",TRUE,IF(ISERROR(FIND(ROW($1:$10)-1,BM215&amp;BN215)),ROW($1:$10)-1,""))</f>
        <v>012356789</v>
      </c>
      <c r="BP215" s="20" t="str">
        <f t="shared" si="113"/>
        <v>复中中</v>
      </c>
      <c r="BQ215" s="21" t="str">
        <f t="shared" si="124"/>
        <v/>
      </c>
      <c r="BR215" s="21">
        <f t="shared" si="122"/>
        <v>1</v>
      </c>
      <c r="BS215" s="21" t="str">
        <f t="array" ref="BS215">_xlfn.TEXTJOIN("",TRUE,IF(ISERROR(FIND(ROW($1:$10)-1,BQ215&amp;BR215)),ROW($1:$10)-1,""))</f>
        <v>023456789</v>
      </c>
      <c r="BT215" s="20" t="str">
        <f t="shared" si="114"/>
        <v>中隔中</v>
      </c>
      <c r="BU215" s="22" t="str">
        <f t="shared" si="115"/>
        <v/>
      </c>
      <c r="BV215" s="22">
        <f t="shared" si="123"/>
        <v>5</v>
      </c>
      <c r="BW215" s="22" t="str">
        <f t="array" ref="BW215">_xlfn.TEXTJOIN("",TRUE,IF(ISERROR(FIND(ROW($1:$10)-1,BU215&amp;BV215)),ROW($1:$10)-1,""))</f>
        <v>012346789</v>
      </c>
      <c r="BX215" s="20" t="str">
        <f t="shared" si="116"/>
        <v>中隔中</v>
      </c>
      <c r="BY215" s="23" t="str">
        <f t="shared" si="105"/>
        <v>35</v>
      </c>
      <c r="BZ215" s="24" t="str">
        <f t="array" ref="BZ215">_xlfn.TEXTJOIN("",TRUE,IF(ISNUMBER(FIND(MID(BY214&amp;Q214,ROW($1:$4),1),BY215&amp;Q215)),MID(BY214&amp;Q214,ROW($1:$4),1),""))</f>
        <v>354</v>
      </c>
      <c r="CA215" s="25" t="str">
        <f t="array" ref="CA215">_xlfn.TEXTJOIN("",TRUE,IF(ISERROR(FIND(ROW($1:$10)-1,BY215&amp;BZ215)),ROW($1:$10)-1,""))</f>
        <v>0126789</v>
      </c>
      <c r="CB215" s="26" t="str">
        <f t="shared" si="117"/>
        <v>邻传孤</v>
      </c>
      <c r="CC215" s="27" t="str">
        <f t="shared" si="118"/>
        <v>02</v>
      </c>
      <c r="CD215" s="27" t="str">
        <f t="array" ref="CD215">_xlfn.TEXTJOIN("",TRUE,IF(ISNUMBER(FIND(MID(CC214&amp;R214,ROW($1:$4),1),CC215&amp;R215)),MID(CC214&amp;R214,ROW($1:$4),1),""))</f>
        <v>12</v>
      </c>
      <c r="CE215" s="27" t="str">
        <f t="array" ref="CE215">_xlfn.TEXTJOIN("",TRUE,IF(ISERROR(FIND(ROW($1:$10)-1,CC215&amp;CD215)),ROW($1:$10)-1,""))</f>
        <v>3456789</v>
      </c>
      <c r="CF215" s="17" t="str">
        <f t="shared" si="119"/>
        <v>邻传孤</v>
      </c>
      <c r="CG215" s="22" t="str">
        <f t="shared" si="120"/>
        <v>46</v>
      </c>
      <c r="CH215" s="22" t="str">
        <f t="array" ref="CH215">_xlfn.TEXTJOIN("",TRUE,IF(ISNUMBER(FIND(MID(CG214&amp;S214,ROW($1:$4),1),CG215&amp;S215)),MID(CG214&amp;S214,ROW($1:$4),1),""))</f>
        <v>56</v>
      </c>
      <c r="CI215" s="22" t="str">
        <f t="array" ref="CI215">_xlfn.TEXTJOIN("",TRUE,IF(ISERROR(FIND(ROW($1:$10)-1,CG215&amp;CH215)),ROW($1:$10)-1,""))</f>
        <v>0123789</v>
      </c>
      <c r="CJ215" s="28" t="str">
        <f t="shared" si="121"/>
        <v>邻传孤</v>
      </c>
    </row>
    <row r="216" spans="1:88">
      <c r="A216" s="32">
        <v>2024343</v>
      </c>
      <c r="B216" s="8" t="s">
        <v>211</v>
      </c>
      <c r="C216" s="49">
        <f t="shared" si="125"/>
        <v>7</v>
      </c>
      <c r="D216" s="50">
        <f t="shared" si="126"/>
        <v>7</v>
      </c>
      <c r="E216" s="51">
        <f t="shared" si="102"/>
        <v>2.3333333333333299</v>
      </c>
      <c r="F216" s="52">
        <f>MAX(MID(B216,{1,2,3},1)*1)-MIN(MID(B216,{1,2,3},1)*1)</f>
        <v>3</v>
      </c>
      <c r="G216" s="104">
        <v>0</v>
      </c>
      <c r="H216" s="104">
        <v>1</v>
      </c>
      <c r="I216" s="104">
        <v>2</v>
      </c>
      <c r="J216" s="104">
        <v>3</v>
      </c>
      <c r="K216" s="104">
        <v>4</v>
      </c>
      <c r="L216" s="104">
        <v>5</v>
      </c>
      <c r="M216" s="104">
        <v>6</v>
      </c>
      <c r="N216" s="104">
        <v>7</v>
      </c>
      <c r="O216" s="104">
        <v>8</v>
      </c>
      <c r="P216" s="104">
        <v>9</v>
      </c>
      <c r="Q216" s="53">
        <f t="shared" si="127"/>
        <v>1</v>
      </c>
      <c r="R216" s="53">
        <f t="shared" si="128"/>
        <v>2</v>
      </c>
      <c r="S216" s="53">
        <f t="shared" si="129"/>
        <v>3</v>
      </c>
      <c r="T216" s="101">
        <f t="shared" si="103"/>
        <v>6</v>
      </c>
      <c r="U216" s="15" t="str">
        <f>_xlfn.TEXTJOIN(", ",TRUE,ABS(MID(B216,{1,1,2},1)-MID(B216,{2,3,3},1)))</f>
        <v>1, 2, 3</v>
      </c>
      <c r="V216" s="54">
        <v>0</v>
      </c>
      <c r="W216" s="54">
        <v>1</v>
      </c>
      <c r="X216" s="54">
        <v>2</v>
      </c>
      <c r="Y216" s="54">
        <v>3</v>
      </c>
      <c r="Z216" s="54">
        <v>4</v>
      </c>
      <c r="AA216" s="54">
        <v>5</v>
      </c>
      <c r="AB216" s="54">
        <v>6</v>
      </c>
      <c r="AC216" s="54">
        <v>7</v>
      </c>
      <c r="AD216" s="54">
        <v>8</v>
      </c>
      <c r="AE216" s="54">
        <v>9</v>
      </c>
      <c r="AF216" s="55">
        <v>0</v>
      </c>
      <c r="AG216" s="55">
        <v>1</v>
      </c>
      <c r="AH216" s="55">
        <v>2</v>
      </c>
      <c r="AI216" s="55">
        <v>3</v>
      </c>
      <c r="AJ216" s="55">
        <v>4</v>
      </c>
      <c r="AK216" s="55">
        <v>5</v>
      </c>
      <c r="AL216" s="55">
        <v>6</v>
      </c>
      <c r="AM216" s="55">
        <v>7</v>
      </c>
      <c r="AN216" s="55">
        <v>8</v>
      </c>
      <c r="AO216" s="55">
        <v>9</v>
      </c>
      <c r="AP216" s="105">
        <v>0</v>
      </c>
      <c r="AQ216" s="105">
        <v>1</v>
      </c>
      <c r="AR216" s="105">
        <v>2</v>
      </c>
      <c r="AS216" s="105">
        <v>3</v>
      </c>
      <c r="AT216" s="105">
        <v>4</v>
      </c>
      <c r="AU216" s="105">
        <v>5</v>
      </c>
      <c r="AV216" s="105">
        <v>6</v>
      </c>
      <c r="AW216" s="105">
        <v>7</v>
      </c>
      <c r="AX216" s="105">
        <v>8</v>
      </c>
      <c r="AY216" s="105">
        <v>9</v>
      </c>
      <c r="AZ216" s="56">
        <v>0</v>
      </c>
      <c r="BA216" s="56">
        <v>1</v>
      </c>
      <c r="BB216" s="56">
        <v>2</v>
      </c>
      <c r="BC216" s="56">
        <v>3</v>
      </c>
      <c r="BD216" s="56">
        <v>4</v>
      </c>
      <c r="BE216" s="56">
        <v>5</v>
      </c>
      <c r="BF216" s="56">
        <v>6</v>
      </c>
      <c r="BG216" s="56">
        <v>7</v>
      </c>
      <c r="BH216" s="56">
        <v>8</v>
      </c>
      <c r="BI216" s="56">
        <v>9</v>
      </c>
      <c r="BJ216" s="57" t="str">
        <f t="shared" si="104"/>
        <v>紧凑型</v>
      </c>
      <c r="BK216" s="13">
        <f t="shared" si="100"/>
        <v>1</v>
      </c>
      <c r="BL216" s="13">
        <f t="shared" si="101"/>
        <v>3</v>
      </c>
      <c r="BM216" s="18">
        <f t="shared" si="111"/>
        <v>1</v>
      </c>
      <c r="BN216" s="19" t="str">
        <f t="shared" si="112"/>
        <v/>
      </c>
      <c r="BO216" s="19" t="str">
        <f t="array" ref="BO216">_xlfn.TEXTJOIN("",TRUE,IF(ISERROR(FIND(ROW($1:$10)-1,BM216&amp;BN216)),ROW($1:$10)-1,""))</f>
        <v>023456789</v>
      </c>
      <c r="BP216" s="20" t="str">
        <f t="shared" si="113"/>
        <v>复中中</v>
      </c>
      <c r="BQ216" s="21" t="str">
        <f t="shared" si="124"/>
        <v/>
      </c>
      <c r="BR216" s="21">
        <f t="shared" si="122"/>
        <v>2</v>
      </c>
      <c r="BS216" s="21" t="str">
        <f t="array" ref="BS216">_xlfn.TEXTJOIN("",TRUE,IF(ISERROR(FIND(ROW($1:$10)-1,BQ216&amp;BR216)),ROW($1:$10)-1,""))</f>
        <v>013456789</v>
      </c>
      <c r="BT216" s="20" t="str">
        <f t="shared" si="114"/>
        <v>中隔中</v>
      </c>
      <c r="BU216" s="22" t="str">
        <f t="shared" si="115"/>
        <v/>
      </c>
      <c r="BV216" s="22" t="str">
        <f t="shared" si="123"/>
        <v/>
      </c>
      <c r="BW216" s="22" t="str">
        <f t="array" ref="BW216">_xlfn.TEXTJOIN("",TRUE,IF(ISERROR(FIND(ROW($1:$10)-1,BU216&amp;BV216)),ROW($1:$10)-1,""))</f>
        <v>0123456789</v>
      </c>
      <c r="BX216" s="20" t="str">
        <f t="shared" si="116"/>
        <v>中中中</v>
      </c>
      <c r="BY216" s="23" t="str">
        <f t="shared" si="105"/>
        <v>02</v>
      </c>
      <c r="BZ216" s="24" t="str">
        <f t="array" ref="BZ216">_xlfn.TEXTJOIN("",TRUE,IF(ISNUMBER(FIND(MID(BY215&amp;Q215,ROW($1:$4),1),BY216&amp;Q216)),MID(BY215&amp;Q215,ROW($1:$4),1),""))</f>
        <v/>
      </c>
      <c r="CA216" s="25" t="str">
        <f t="array" ref="CA216">_xlfn.TEXTJOIN("",TRUE,IF(ISERROR(FIND(ROW($1:$10)-1,BY216&amp;BZ216)),ROW($1:$10)-1,""))</f>
        <v>13456789</v>
      </c>
      <c r="CB216" s="26" t="str">
        <f t="shared" si="117"/>
        <v>邻孤孤</v>
      </c>
      <c r="CC216" s="27" t="str">
        <f t="shared" si="118"/>
        <v>13</v>
      </c>
      <c r="CD216" s="27" t="str">
        <f t="array" ref="CD216">_xlfn.TEXTJOIN("",TRUE,IF(ISNUMBER(FIND(MID(CC215&amp;R215,ROW($1:$4),1),CC216&amp;R216)),MID(CC215&amp;R215,ROW($1:$4),1),""))</f>
        <v>21</v>
      </c>
      <c r="CE216" s="27" t="str">
        <f t="array" ref="CE216">_xlfn.TEXTJOIN("",TRUE,IF(ISERROR(FIND(ROW($1:$10)-1,CC216&amp;CD216)),ROW($1:$10)-1,""))</f>
        <v>0456789</v>
      </c>
      <c r="CF216" s="17" t="str">
        <f t="shared" si="119"/>
        <v>邻传孤</v>
      </c>
      <c r="CG216" s="22" t="str">
        <f t="shared" si="120"/>
        <v>24</v>
      </c>
      <c r="CH216" s="22" t="str">
        <f t="array" ref="CH216">_xlfn.TEXTJOIN("",TRUE,IF(ISNUMBER(FIND(MID(CG215&amp;S215,ROW($1:$4),1),CG216&amp;S216)),MID(CG215&amp;S215,ROW($1:$4),1),""))</f>
        <v>4</v>
      </c>
      <c r="CI216" s="22" t="str">
        <f t="array" ref="CI216">_xlfn.TEXTJOIN("",TRUE,IF(ISERROR(FIND(ROW($1:$10)-1,CG216&amp;CH216)),ROW($1:$10)-1,""))</f>
        <v>01356789</v>
      </c>
      <c r="CJ216" s="28" t="str">
        <f t="shared" si="121"/>
        <v>邻传孤</v>
      </c>
    </row>
    <row r="217" spans="1:88">
      <c r="A217" s="32">
        <v>2024344</v>
      </c>
      <c r="B217" s="8" t="s">
        <v>110</v>
      </c>
      <c r="C217" s="49">
        <f t="shared" si="125"/>
        <v>8</v>
      </c>
      <c r="D217" s="50">
        <f t="shared" si="126"/>
        <v>8</v>
      </c>
      <c r="E217" s="51">
        <f t="shared" si="102"/>
        <v>2.6666666666666701</v>
      </c>
      <c r="F217" s="52">
        <f>MAX(MID(B217,{1,2,3},1)*1)-MIN(MID(B217,{1,2,3},1)*1)</f>
        <v>5</v>
      </c>
      <c r="G217" s="104">
        <v>0</v>
      </c>
      <c r="H217" s="104">
        <v>1</v>
      </c>
      <c r="I217" s="104">
        <v>2</v>
      </c>
      <c r="J217" s="104">
        <v>3</v>
      </c>
      <c r="K217" s="104">
        <v>4</v>
      </c>
      <c r="L217" s="104">
        <v>5</v>
      </c>
      <c r="M217" s="104">
        <v>6</v>
      </c>
      <c r="N217" s="104">
        <v>7</v>
      </c>
      <c r="O217" s="104">
        <v>8</v>
      </c>
      <c r="P217" s="104">
        <v>9</v>
      </c>
      <c r="Q217" s="53">
        <f t="shared" si="127"/>
        <v>3</v>
      </c>
      <c r="R217" s="53">
        <f t="shared" si="128"/>
        <v>2</v>
      </c>
      <c r="S217" s="53">
        <f t="shared" si="129"/>
        <v>5</v>
      </c>
      <c r="T217" s="101">
        <f t="shared" si="103"/>
        <v>10</v>
      </c>
      <c r="U217" s="15" t="str">
        <f>_xlfn.TEXTJOIN(", ",TRUE,ABS(MID(B217,{1,1,2},1)-MID(B217,{2,3,3},1)))</f>
        <v>3, 2, 5</v>
      </c>
      <c r="V217" s="54">
        <v>0</v>
      </c>
      <c r="W217" s="54">
        <v>1</v>
      </c>
      <c r="X217" s="54">
        <v>2</v>
      </c>
      <c r="Y217" s="54">
        <v>3</v>
      </c>
      <c r="Z217" s="54">
        <v>4</v>
      </c>
      <c r="AA217" s="54">
        <v>5</v>
      </c>
      <c r="AB217" s="54">
        <v>6</v>
      </c>
      <c r="AC217" s="54">
        <v>7</v>
      </c>
      <c r="AD217" s="54">
        <v>8</v>
      </c>
      <c r="AE217" s="54">
        <v>9</v>
      </c>
      <c r="AF217" s="55">
        <v>0</v>
      </c>
      <c r="AG217" s="55">
        <v>1</v>
      </c>
      <c r="AH217" s="55">
        <v>2</v>
      </c>
      <c r="AI217" s="55">
        <v>3</v>
      </c>
      <c r="AJ217" s="55">
        <v>4</v>
      </c>
      <c r="AK217" s="55">
        <v>5</v>
      </c>
      <c r="AL217" s="55">
        <v>6</v>
      </c>
      <c r="AM217" s="55">
        <v>7</v>
      </c>
      <c r="AN217" s="55">
        <v>8</v>
      </c>
      <c r="AO217" s="55">
        <v>9</v>
      </c>
      <c r="AP217" s="105">
        <v>0</v>
      </c>
      <c r="AQ217" s="105">
        <v>1</v>
      </c>
      <c r="AR217" s="105">
        <v>2</v>
      </c>
      <c r="AS217" s="105">
        <v>3</v>
      </c>
      <c r="AT217" s="105">
        <v>4</v>
      </c>
      <c r="AU217" s="105">
        <v>5</v>
      </c>
      <c r="AV217" s="105">
        <v>6</v>
      </c>
      <c r="AW217" s="105">
        <v>7</v>
      </c>
      <c r="AX217" s="105">
        <v>8</v>
      </c>
      <c r="AY217" s="105">
        <v>9</v>
      </c>
      <c r="AZ217" s="56">
        <v>0</v>
      </c>
      <c r="BA217" s="56">
        <v>1</v>
      </c>
      <c r="BB217" s="56">
        <v>2</v>
      </c>
      <c r="BC217" s="56">
        <v>3</v>
      </c>
      <c r="BD217" s="56">
        <v>4</v>
      </c>
      <c r="BE217" s="56">
        <v>5</v>
      </c>
      <c r="BF217" s="56">
        <v>6</v>
      </c>
      <c r="BG217" s="56">
        <v>7</v>
      </c>
      <c r="BH217" s="56">
        <v>8</v>
      </c>
      <c r="BI217" s="56">
        <v>9</v>
      </c>
      <c r="BJ217" s="57" t="str">
        <f t="shared" si="104"/>
        <v>标准型</v>
      </c>
      <c r="BK217" s="13">
        <f t="shared" si="100"/>
        <v>2</v>
      </c>
      <c r="BL217" s="13">
        <f t="shared" si="101"/>
        <v>5</v>
      </c>
      <c r="BM217" s="18">
        <f t="shared" si="111"/>
        <v>3</v>
      </c>
      <c r="BN217" s="19" t="str">
        <f t="shared" si="112"/>
        <v/>
      </c>
      <c r="BO217" s="19" t="str">
        <f t="array" ref="BO217">_xlfn.TEXTJOIN("",TRUE,IF(ISERROR(FIND(ROW($1:$10)-1,BM217&amp;BN217)),ROW($1:$10)-1,""))</f>
        <v>012456789</v>
      </c>
      <c r="BP217" s="20" t="str">
        <f t="shared" si="113"/>
        <v>复中中</v>
      </c>
      <c r="BQ217" s="21">
        <f t="shared" si="124"/>
        <v>2</v>
      </c>
      <c r="BR217" s="21" t="str">
        <f t="shared" si="122"/>
        <v/>
      </c>
      <c r="BS217" s="21" t="str">
        <f t="array" ref="BS217">_xlfn.TEXTJOIN("",TRUE,IF(ISERROR(FIND(ROW($1:$10)-1,BQ217&amp;BR217)),ROW($1:$10)-1,""))</f>
        <v>013456789</v>
      </c>
      <c r="BT217" s="20" t="str">
        <f t="shared" si="114"/>
        <v>复中中</v>
      </c>
      <c r="BU217" s="22" t="str">
        <f t="shared" si="115"/>
        <v/>
      </c>
      <c r="BV217" s="22">
        <f t="shared" si="123"/>
        <v>5</v>
      </c>
      <c r="BW217" s="22" t="str">
        <f t="array" ref="BW217">_xlfn.TEXTJOIN("",TRUE,IF(ISERROR(FIND(ROW($1:$10)-1,BU217&amp;BV217)),ROW($1:$10)-1,""))</f>
        <v>012346789</v>
      </c>
      <c r="BX217" s="20" t="str">
        <f t="shared" si="116"/>
        <v>中隔中</v>
      </c>
      <c r="BY217" s="23" t="str">
        <f t="shared" si="105"/>
        <v>24</v>
      </c>
      <c r="BZ217" s="24" t="str">
        <f t="array" ref="BZ217">_xlfn.TEXTJOIN("",TRUE,IF(ISNUMBER(FIND(MID(BY216&amp;Q216,ROW($1:$4),1),BY217&amp;Q217)),MID(BY216&amp;Q216,ROW($1:$4),1),""))</f>
        <v>2</v>
      </c>
      <c r="CA217" s="25" t="str">
        <f t="array" ref="CA217">_xlfn.TEXTJOIN("",TRUE,IF(ISERROR(FIND(ROW($1:$10)-1,BY217&amp;BZ217)),ROW($1:$10)-1,""))</f>
        <v>01356789</v>
      </c>
      <c r="CB217" s="26" t="str">
        <f t="shared" si="117"/>
        <v>邻传孤</v>
      </c>
      <c r="CC217" s="27" t="str">
        <f t="shared" si="118"/>
        <v>13</v>
      </c>
      <c r="CD217" s="27" t="str">
        <f t="array" ref="CD217">_xlfn.TEXTJOIN("",TRUE,IF(ISNUMBER(FIND(MID(CC216&amp;R216,ROW($1:$4),1),CC217&amp;R217)),MID(CC216&amp;R216,ROW($1:$4),1),""))</f>
        <v>132</v>
      </c>
      <c r="CE217" s="27" t="str">
        <f t="array" ref="CE217">_xlfn.TEXTJOIN("",TRUE,IF(ISERROR(FIND(ROW($1:$10)-1,CC217&amp;CD217)),ROW($1:$10)-1,""))</f>
        <v>0456789</v>
      </c>
      <c r="CF217" s="17" t="str">
        <f t="shared" si="119"/>
        <v>邻传孤</v>
      </c>
      <c r="CG217" s="22" t="str">
        <f t="shared" si="120"/>
        <v>46</v>
      </c>
      <c r="CH217" s="22" t="str">
        <f t="array" ref="CH217">_xlfn.TEXTJOIN("",TRUE,IF(ISNUMBER(FIND(MID(CG216&amp;S216,ROW($1:$4),1),CG217&amp;S217)),MID(CG216&amp;S216,ROW($1:$4),1),""))</f>
        <v>4</v>
      </c>
      <c r="CI217" s="22" t="str">
        <f t="array" ref="CI217">_xlfn.TEXTJOIN("",TRUE,IF(ISERROR(FIND(ROW($1:$10)-1,CG217&amp;CH217)),ROW($1:$10)-1,""))</f>
        <v>01235789</v>
      </c>
      <c r="CJ217" s="28" t="str">
        <f t="shared" si="121"/>
        <v>邻传孤</v>
      </c>
    </row>
    <row r="218" spans="1:88">
      <c r="A218" s="32">
        <v>2024345</v>
      </c>
      <c r="B218" s="8" t="s">
        <v>212</v>
      </c>
      <c r="C218" s="49">
        <f t="shared" si="125"/>
        <v>11</v>
      </c>
      <c r="D218" s="50">
        <f t="shared" si="126"/>
        <v>1</v>
      </c>
      <c r="E218" s="51">
        <f t="shared" si="102"/>
        <v>3.6666666666666701</v>
      </c>
      <c r="F218" s="52">
        <f>MAX(MID(B218,{1,2,3},1)*1)-MIN(MID(B218,{1,2,3},1)*1)</f>
        <v>6</v>
      </c>
      <c r="G218" s="104">
        <v>0</v>
      </c>
      <c r="H218" s="104">
        <v>1</v>
      </c>
      <c r="I218" s="104">
        <v>2</v>
      </c>
      <c r="J218" s="104">
        <v>3</v>
      </c>
      <c r="K218" s="104">
        <v>4</v>
      </c>
      <c r="L218" s="104">
        <v>5</v>
      </c>
      <c r="M218" s="104">
        <v>6</v>
      </c>
      <c r="N218" s="104">
        <v>7</v>
      </c>
      <c r="O218" s="104">
        <v>8</v>
      </c>
      <c r="P218" s="104">
        <v>9</v>
      </c>
      <c r="Q218" s="53">
        <f t="shared" si="127"/>
        <v>2</v>
      </c>
      <c r="R218" s="53">
        <f t="shared" si="128"/>
        <v>4</v>
      </c>
      <c r="S218" s="53">
        <f t="shared" si="129"/>
        <v>6</v>
      </c>
      <c r="T218" s="101">
        <f t="shared" si="103"/>
        <v>12</v>
      </c>
      <c r="U218" s="15" t="str">
        <f>_xlfn.TEXTJOIN(", ",TRUE,ABS(MID(B218,{1,1,2},1)-MID(B218,{2,3,3},1)))</f>
        <v>2, 4, 6</v>
      </c>
      <c r="V218" s="54">
        <v>0</v>
      </c>
      <c r="W218" s="54">
        <v>1</v>
      </c>
      <c r="X218" s="54">
        <v>2</v>
      </c>
      <c r="Y218" s="54">
        <v>3</v>
      </c>
      <c r="Z218" s="54">
        <v>4</v>
      </c>
      <c r="AA218" s="54">
        <v>5</v>
      </c>
      <c r="AB218" s="54">
        <v>6</v>
      </c>
      <c r="AC218" s="54">
        <v>7</v>
      </c>
      <c r="AD218" s="54">
        <v>8</v>
      </c>
      <c r="AE218" s="54">
        <v>9</v>
      </c>
      <c r="AF218" s="55">
        <v>0</v>
      </c>
      <c r="AG218" s="55">
        <v>1</v>
      </c>
      <c r="AH218" s="55">
        <v>2</v>
      </c>
      <c r="AI218" s="55">
        <v>3</v>
      </c>
      <c r="AJ218" s="55">
        <v>4</v>
      </c>
      <c r="AK218" s="55">
        <v>5</v>
      </c>
      <c r="AL218" s="55">
        <v>6</v>
      </c>
      <c r="AM218" s="55">
        <v>7</v>
      </c>
      <c r="AN218" s="55">
        <v>8</v>
      </c>
      <c r="AO218" s="55">
        <v>9</v>
      </c>
      <c r="AP218" s="105">
        <v>0</v>
      </c>
      <c r="AQ218" s="105">
        <v>1</v>
      </c>
      <c r="AR218" s="105">
        <v>2</v>
      </c>
      <c r="AS218" s="105">
        <v>3</v>
      </c>
      <c r="AT218" s="105">
        <v>4</v>
      </c>
      <c r="AU218" s="105">
        <v>5</v>
      </c>
      <c r="AV218" s="105">
        <v>6</v>
      </c>
      <c r="AW218" s="105">
        <v>7</v>
      </c>
      <c r="AX218" s="105">
        <v>8</v>
      </c>
      <c r="AY218" s="105">
        <v>9</v>
      </c>
      <c r="AZ218" s="56">
        <v>0</v>
      </c>
      <c r="BA218" s="56">
        <v>1</v>
      </c>
      <c r="BB218" s="56">
        <v>2</v>
      </c>
      <c r="BC218" s="56">
        <v>3</v>
      </c>
      <c r="BD218" s="56">
        <v>4</v>
      </c>
      <c r="BE218" s="56">
        <v>5</v>
      </c>
      <c r="BF218" s="56">
        <v>6</v>
      </c>
      <c r="BG218" s="56">
        <v>7</v>
      </c>
      <c r="BH218" s="56">
        <v>8</v>
      </c>
      <c r="BI218" s="56">
        <v>9</v>
      </c>
      <c r="BJ218" s="57" t="str">
        <f t="shared" si="104"/>
        <v>松散型</v>
      </c>
      <c r="BK218" s="13">
        <f t="shared" si="100"/>
        <v>2</v>
      </c>
      <c r="BL218" s="13">
        <f t="shared" si="101"/>
        <v>6</v>
      </c>
      <c r="BM218" s="18">
        <f t="shared" si="111"/>
        <v>2</v>
      </c>
      <c r="BN218" s="19">
        <f t="shared" si="112"/>
        <v>2</v>
      </c>
      <c r="BO218" s="19" t="str">
        <f t="array" ref="BO218">_xlfn.TEXTJOIN("",TRUE,IF(ISERROR(FIND(ROW($1:$10)-1,BM218&amp;BN218)),ROW($1:$10)-1,""))</f>
        <v>013456789</v>
      </c>
      <c r="BP218" s="20" t="str">
        <f t="shared" si="113"/>
        <v>复隔中</v>
      </c>
      <c r="BQ218" s="21" t="str">
        <f t="shared" si="124"/>
        <v/>
      </c>
      <c r="BR218" s="21" t="str">
        <f t="shared" si="122"/>
        <v/>
      </c>
      <c r="BS218" s="21" t="str">
        <f t="array" ref="BS218">_xlfn.TEXTJOIN("",TRUE,IF(ISERROR(FIND(ROW($1:$10)-1,BQ218&amp;BR218)),ROW($1:$10)-1,""))</f>
        <v>0123456789</v>
      </c>
      <c r="BT218" s="20" t="str">
        <f t="shared" si="114"/>
        <v>中中中</v>
      </c>
      <c r="BU218" s="22" t="str">
        <f t="shared" si="115"/>
        <v/>
      </c>
      <c r="BV218" s="22" t="str">
        <f t="shared" si="123"/>
        <v/>
      </c>
      <c r="BW218" s="22" t="str">
        <f t="array" ref="BW218">_xlfn.TEXTJOIN("",TRUE,IF(ISERROR(FIND(ROW($1:$10)-1,BU218&amp;BV218)),ROW($1:$10)-1,""))</f>
        <v>0123456789</v>
      </c>
      <c r="BX218" s="20" t="str">
        <f t="shared" si="116"/>
        <v>中中中</v>
      </c>
      <c r="BY218" s="23" t="str">
        <f t="shared" si="105"/>
        <v>13</v>
      </c>
      <c r="BZ218" s="24" t="str">
        <f t="array" ref="BZ218">_xlfn.TEXTJOIN("",TRUE,IF(ISNUMBER(FIND(MID(BY217&amp;Q217,ROW($1:$4),1),BY218&amp;Q218)),MID(BY217&amp;Q217,ROW($1:$4),1),""))</f>
        <v>23</v>
      </c>
      <c r="CA218" s="25" t="str">
        <f t="array" ref="CA218">_xlfn.TEXTJOIN("",TRUE,IF(ISERROR(FIND(ROW($1:$10)-1,BY218&amp;BZ218)),ROW($1:$10)-1,""))</f>
        <v>0456789</v>
      </c>
      <c r="CB218" s="26" t="str">
        <f t="shared" si="117"/>
        <v>邻传孤</v>
      </c>
      <c r="CC218" s="27" t="str">
        <f t="shared" si="118"/>
        <v>35</v>
      </c>
      <c r="CD218" s="27" t="str">
        <f t="array" ref="CD218">_xlfn.TEXTJOIN("",TRUE,IF(ISNUMBER(FIND(MID(CC217&amp;R217,ROW($1:$4),1),CC218&amp;R218)),MID(CC217&amp;R217,ROW($1:$4),1),""))</f>
        <v>3</v>
      </c>
      <c r="CE218" s="27" t="str">
        <f t="array" ref="CE218">_xlfn.TEXTJOIN("",TRUE,IF(ISERROR(FIND(ROW($1:$10)-1,CC218&amp;CD218)),ROW($1:$10)-1,""))</f>
        <v>01246789</v>
      </c>
      <c r="CF218" s="17" t="str">
        <f t="shared" si="119"/>
        <v>邻传孤</v>
      </c>
      <c r="CG218" s="22" t="str">
        <f t="shared" si="120"/>
        <v>57</v>
      </c>
      <c r="CH218" s="22" t="str">
        <f t="array" ref="CH218">_xlfn.TEXTJOIN("",TRUE,IF(ISNUMBER(FIND(MID(CG217&amp;S217,ROW($1:$4),1),CG218&amp;S218)),MID(CG217&amp;S217,ROW($1:$4),1),""))</f>
        <v>65</v>
      </c>
      <c r="CI218" s="22" t="str">
        <f t="array" ref="CI218">_xlfn.TEXTJOIN("",TRUE,IF(ISERROR(FIND(ROW($1:$10)-1,CG218&amp;CH218)),ROW($1:$10)-1,""))</f>
        <v>0123489</v>
      </c>
      <c r="CJ218" s="28" t="str">
        <f t="shared" si="121"/>
        <v>邻传孤</v>
      </c>
    </row>
    <row r="219" spans="1:88">
      <c r="A219" s="32">
        <v>2024346</v>
      </c>
      <c r="B219" s="8" t="s">
        <v>89</v>
      </c>
      <c r="C219" s="49">
        <f t="shared" si="125"/>
        <v>11</v>
      </c>
      <c r="D219" s="50">
        <f t="shared" si="126"/>
        <v>1</v>
      </c>
      <c r="E219" s="51">
        <f t="shared" si="102"/>
        <v>3.6666666666666701</v>
      </c>
      <c r="F219" s="52">
        <f>MAX(MID(B219,{1,2,3},1)*1)-MIN(MID(B219,{1,2,3},1)*1)</f>
        <v>6</v>
      </c>
      <c r="G219" s="104">
        <v>0</v>
      </c>
      <c r="H219" s="104">
        <v>1</v>
      </c>
      <c r="I219" s="104">
        <v>2</v>
      </c>
      <c r="J219" s="104">
        <v>3</v>
      </c>
      <c r="K219" s="104">
        <v>4</v>
      </c>
      <c r="L219" s="104">
        <v>5</v>
      </c>
      <c r="M219" s="104">
        <v>6</v>
      </c>
      <c r="N219" s="104">
        <v>7</v>
      </c>
      <c r="O219" s="104">
        <v>8</v>
      </c>
      <c r="P219" s="104">
        <v>9</v>
      </c>
      <c r="Q219" s="53">
        <f t="shared" si="127"/>
        <v>5</v>
      </c>
      <c r="R219" s="53">
        <f t="shared" si="128"/>
        <v>6</v>
      </c>
      <c r="S219" s="53">
        <f t="shared" si="129"/>
        <v>1</v>
      </c>
      <c r="T219" s="101">
        <f t="shared" si="103"/>
        <v>12</v>
      </c>
      <c r="U219" s="15" t="str">
        <f>_xlfn.TEXTJOIN(", ",TRUE,ABS(MID(B219,{1,1,2},1)-MID(B219,{2,3,3},1)))</f>
        <v>5, 6, 1</v>
      </c>
      <c r="V219" s="54">
        <v>0</v>
      </c>
      <c r="W219" s="54">
        <v>1</v>
      </c>
      <c r="X219" s="54">
        <v>2</v>
      </c>
      <c r="Y219" s="54">
        <v>3</v>
      </c>
      <c r="Z219" s="54">
        <v>4</v>
      </c>
      <c r="AA219" s="54">
        <v>5</v>
      </c>
      <c r="AB219" s="54">
        <v>6</v>
      </c>
      <c r="AC219" s="54">
        <v>7</v>
      </c>
      <c r="AD219" s="54">
        <v>8</v>
      </c>
      <c r="AE219" s="54">
        <v>9</v>
      </c>
      <c r="AF219" s="55">
        <v>0</v>
      </c>
      <c r="AG219" s="55">
        <v>1</v>
      </c>
      <c r="AH219" s="55">
        <v>2</v>
      </c>
      <c r="AI219" s="55">
        <v>3</v>
      </c>
      <c r="AJ219" s="55">
        <v>4</v>
      </c>
      <c r="AK219" s="55">
        <v>5</v>
      </c>
      <c r="AL219" s="55">
        <v>6</v>
      </c>
      <c r="AM219" s="55">
        <v>7</v>
      </c>
      <c r="AN219" s="55">
        <v>8</v>
      </c>
      <c r="AO219" s="55">
        <v>9</v>
      </c>
      <c r="AP219" s="105">
        <v>0</v>
      </c>
      <c r="AQ219" s="105">
        <v>1</v>
      </c>
      <c r="AR219" s="105">
        <v>2</v>
      </c>
      <c r="AS219" s="105">
        <v>3</v>
      </c>
      <c r="AT219" s="105">
        <v>4</v>
      </c>
      <c r="AU219" s="105">
        <v>5</v>
      </c>
      <c r="AV219" s="105">
        <v>6</v>
      </c>
      <c r="AW219" s="105">
        <v>7</v>
      </c>
      <c r="AX219" s="105">
        <v>8</v>
      </c>
      <c r="AY219" s="105">
        <v>9</v>
      </c>
      <c r="AZ219" s="56">
        <v>0</v>
      </c>
      <c r="BA219" s="56">
        <v>1</v>
      </c>
      <c r="BB219" s="56">
        <v>2</v>
      </c>
      <c r="BC219" s="56">
        <v>3</v>
      </c>
      <c r="BD219" s="56">
        <v>4</v>
      </c>
      <c r="BE219" s="56">
        <v>5</v>
      </c>
      <c r="BF219" s="56">
        <v>6</v>
      </c>
      <c r="BG219" s="56">
        <v>7</v>
      </c>
      <c r="BH219" s="56">
        <v>8</v>
      </c>
      <c r="BI219" s="56">
        <v>9</v>
      </c>
      <c r="BJ219" s="57" t="str">
        <f t="shared" si="104"/>
        <v>松散型</v>
      </c>
      <c r="BK219" s="13">
        <f t="shared" si="100"/>
        <v>1</v>
      </c>
      <c r="BL219" s="13">
        <f t="shared" si="101"/>
        <v>6</v>
      </c>
      <c r="BM219" s="18" t="str">
        <f t="shared" si="111"/>
        <v/>
      </c>
      <c r="BN219" s="19">
        <f t="shared" si="112"/>
        <v>5</v>
      </c>
      <c r="BO219" s="19" t="str">
        <f t="array" ref="BO219">_xlfn.TEXTJOIN("",TRUE,IF(ISERROR(FIND(ROW($1:$10)-1,BM219&amp;BN219)),ROW($1:$10)-1,""))</f>
        <v>012346789</v>
      </c>
      <c r="BP219" s="20" t="str">
        <f t="shared" si="113"/>
        <v>中隔中</v>
      </c>
      <c r="BQ219" s="21">
        <f t="shared" si="124"/>
        <v>6</v>
      </c>
      <c r="BR219" s="21" t="str">
        <f t="shared" si="122"/>
        <v/>
      </c>
      <c r="BS219" s="21" t="str">
        <f t="array" ref="BS219">_xlfn.TEXTJOIN("",TRUE,IF(ISERROR(FIND(ROW($1:$10)-1,BQ219&amp;BR219)),ROW($1:$10)-1,""))</f>
        <v>012345789</v>
      </c>
      <c r="BT219" s="20" t="str">
        <f t="shared" si="114"/>
        <v>复中中</v>
      </c>
      <c r="BU219" s="22" t="str">
        <f t="shared" si="115"/>
        <v/>
      </c>
      <c r="BV219" s="22" t="str">
        <f t="shared" si="123"/>
        <v/>
      </c>
      <c r="BW219" s="22" t="str">
        <f t="array" ref="BW219">_xlfn.TEXTJOIN("",TRUE,IF(ISERROR(FIND(ROW($1:$10)-1,BU219&amp;BV219)),ROW($1:$10)-1,""))</f>
        <v>0123456789</v>
      </c>
      <c r="BX219" s="20" t="str">
        <f t="shared" si="116"/>
        <v>中中中</v>
      </c>
      <c r="BY219" s="23" t="str">
        <f t="shared" si="105"/>
        <v>46</v>
      </c>
      <c r="BZ219" s="24" t="str">
        <f t="array" ref="BZ219">_xlfn.TEXTJOIN("",TRUE,IF(ISNUMBER(FIND(MID(BY218&amp;Q218,ROW($1:$4),1),BY219&amp;Q219)),MID(BY218&amp;Q218,ROW($1:$4),1),""))</f>
        <v/>
      </c>
      <c r="CA219" s="25" t="str">
        <f t="array" ref="CA219">_xlfn.TEXTJOIN("",TRUE,IF(ISERROR(FIND(ROW($1:$10)-1,BY219&amp;BZ219)),ROW($1:$10)-1,""))</f>
        <v>01235789</v>
      </c>
      <c r="CB219" s="26" t="str">
        <f t="shared" si="117"/>
        <v>邻孤孤</v>
      </c>
      <c r="CC219" s="27" t="str">
        <f t="shared" si="118"/>
        <v>57</v>
      </c>
      <c r="CD219" s="27" t="str">
        <f t="array" ref="CD219">_xlfn.TEXTJOIN("",TRUE,IF(ISNUMBER(FIND(MID(CC218&amp;R218,ROW($1:$4),1),CC219&amp;R219)),MID(CC218&amp;R218,ROW($1:$4),1),""))</f>
        <v>5</v>
      </c>
      <c r="CE219" s="27" t="str">
        <f t="array" ref="CE219">_xlfn.TEXTJOIN("",TRUE,IF(ISERROR(FIND(ROW($1:$10)-1,CC219&amp;CD219)),ROW($1:$10)-1,""))</f>
        <v>01234689</v>
      </c>
      <c r="CF219" s="17" t="str">
        <f t="shared" si="119"/>
        <v>邻传孤</v>
      </c>
      <c r="CG219" s="22" t="str">
        <f t="shared" si="120"/>
        <v>02</v>
      </c>
      <c r="CH219" s="22" t="str">
        <f t="array" ref="CH219">_xlfn.TEXTJOIN("",TRUE,IF(ISNUMBER(FIND(MID(CG218&amp;S218,ROW($1:$4),1),CG219&amp;S219)),MID(CG218&amp;S218,ROW($1:$4),1),""))</f>
        <v/>
      </c>
      <c r="CI219" s="22" t="str">
        <f t="array" ref="CI219">_xlfn.TEXTJOIN("",TRUE,IF(ISERROR(FIND(ROW($1:$10)-1,CG219&amp;CH219)),ROW($1:$10)-1,""))</f>
        <v>13456789</v>
      </c>
      <c r="CJ219" s="28" t="str">
        <f t="shared" si="121"/>
        <v>邻孤孤</v>
      </c>
    </row>
    <row r="220" spans="1:88">
      <c r="A220" s="32">
        <v>2024347</v>
      </c>
      <c r="B220" s="8" t="s">
        <v>213</v>
      </c>
      <c r="C220" s="49">
        <f t="shared" si="125"/>
        <v>14</v>
      </c>
      <c r="D220" s="50">
        <f t="shared" si="126"/>
        <v>4</v>
      </c>
      <c r="E220" s="51">
        <f t="shared" si="102"/>
        <v>4.6666666666666696</v>
      </c>
      <c r="F220" s="52">
        <f>MAX(MID(B220,{1,2,3},1)*1)-MIN(MID(B220,{1,2,3},1)*1)</f>
        <v>7</v>
      </c>
      <c r="G220" s="104">
        <v>0</v>
      </c>
      <c r="H220" s="104">
        <v>1</v>
      </c>
      <c r="I220" s="104">
        <v>2</v>
      </c>
      <c r="J220" s="104">
        <v>3</v>
      </c>
      <c r="K220" s="104">
        <v>4</v>
      </c>
      <c r="L220" s="104">
        <v>5</v>
      </c>
      <c r="M220" s="104">
        <v>6</v>
      </c>
      <c r="N220" s="104">
        <v>7</v>
      </c>
      <c r="O220" s="104">
        <v>8</v>
      </c>
      <c r="P220" s="104">
        <v>9</v>
      </c>
      <c r="Q220" s="53">
        <f t="shared" si="127"/>
        <v>6</v>
      </c>
      <c r="R220" s="53">
        <f t="shared" si="128"/>
        <v>1</v>
      </c>
      <c r="S220" s="53">
        <f t="shared" si="129"/>
        <v>7</v>
      </c>
      <c r="T220" s="101">
        <f t="shared" si="103"/>
        <v>14</v>
      </c>
      <c r="U220" s="15" t="str">
        <f>_xlfn.TEXTJOIN(", ",TRUE,ABS(MID(B220,{1,1,2},1)-MID(B220,{2,3,3},1)))</f>
        <v>6, 1, 7</v>
      </c>
      <c r="V220" s="54">
        <v>0</v>
      </c>
      <c r="W220" s="54">
        <v>1</v>
      </c>
      <c r="X220" s="54">
        <v>2</v>
      </c>
      <c r="Y220" s="54">
        <v>3</v>
      </c>
      <c r="Z220" s="54">
        <v>4</v>
      </c>
      <c r="AA220" s="54">
        <v>5</v>
      </c>
      <c r="AB220" s="54">
        <v>6</v>
      </c>
      <c r="AC220" s="54">
        <v>7</v>
      </c>
      <c r="AD220" s="54">
        <v>8</v>
      </c>
      <c r="AE220" s="54">
        <v>9</v>
      </c>
      <c r="AF220" s="55">
        <v>0</v>
      </c>
      <c r="AG220" s="55">
        <v>1</v>
      </c>
      <c r="AH220" s="55">
        <v>2</v>
      </c>
      <c r="AI220" s="55">
        <v>3</v>
      </c>
      <c r="AJ220" s="55">
        <v>4</v>
      </c>
      <c r="AK220" s="55">
        <v>5</v>
      </c>
      <c r="AL220" s="55">
        <v>6</v>
      </c>
      <c r="AM220" s="55">
        <v>7</v>
      </c>
      <c r="AN220" s="55">
        <v>8</v>
      </c>
      <c r="AO220" s="55">
        <v>9</v>
      </c>
      <c r="AP220" s="105">
        <v>0</v>
      </c>
      <c r="AQ220" s="105">
        <v>1</v>
      </c>
      <c r="AR220" s="105">
        <v>2</v>
      </c>
      <c r="AS220" s="105">
        <v>3</v>
      </c>
      <c r="AT220" s="105">
        <v>4</v>
      </c>
      <c r="AU220" s="105">
        <v>5</v>
      </c>
      <c r="AV220" s="105">
        <v>6</v>
      </c>
      <c r="AW220" s="105">
        <v>7</v>
      </c>
      <c r="AX220" s="105">
        <v>8</v>
      </c>
      <c r="AY220" s="105">
        <v>9</v>
      </c>
      <c r="AZ220" s="56">
        <v>0</v>
      </c>
      <c r="BA220" s="56">
        <v>1</v>
      </c>
      <c r="BB220" s="56">
        <v>2</v>
      </c>
      <c r="BC220" s="56">
        <v>3</v>
      </c>
      <c r="BD220" s="56">
        <v>4</v>
      </c>
      <c r="BE220" s="56">
        <v>5</v>
      </c>
      <c r="BF220" s="56">
        <v>6</v>
      </c>
      <c r="BG220" s="56">
        <v>7</v>
      </c>
      <c r="BH220" s="56">
        <v>8</v>
      </c>
      <c r="BI220" s="56">
        <v>9</v>
      </c>
      <c r="BJ220" s="57" t="str">
        <f t="shared" si="104"/>
        <v>松散型</v>
      </c>
      <c r="BK220" s="13">
        <f t="shared" si="100"/>
        <v>1</v>
      </c>
      <c r="BL220" s="13">
        <f t="shared" si="101"/>
        <v>7</v>
      </c>
      <c r="BM220" s="18">
        <f t="shared" si="111"/>
        <v>6</v>
      </c>
      <c r="BN220" s="19">
        <f t="shared" si="112"/>
        <v>6</v>
      </c>
      <c r="BO220" s="19" t="str">
        <f t="array" ref="BO220">_xlfn.TEXTJOIN("",TRUE,IF(ISERROR(FIND(ROW($1:$10)-1,BM220&amp;BN220)),ROW($1:$10)-1,""))</f>
        <v>012345789</v>
      </c>
      <c r="BP220" s="20" t="str">
        <f t="shared" si="113"/>
        <v>复隔中</v>
      </c>
      <c r="BQ220" s="21">
        <f t="shared" si="124"/>
        <v>1</v>
      </c>
      <c r="BR220" s="21" t="str">
        <f t="shared" si="122"/>
        <v/>
      </c>
      <c r="BS220" s="21" t="str">
        <f t="array" ref="BS220">_xlfn.TEXTJOIN("",TRUE,IF(ISERROR(FIND(ROW($1:$10)-1,BQ220&amp;BR220)),ROW($1:$10)-1,""))</f>
        <v>023456789</v>
      </c>
      <c r="BT220" s="20" t="str">
        <f t="shared" si="114"/>
        <v>复中中</v>
      </c>
      <c r="BU220" s="22" t="str">
        <f t="shared" si="115"/>
        <v/>
      </c>
      <c r="BV220" s="22" t="str">
        <f t="shared" si="123"/>
        <v/>
      </c>
      <c r="BW220" s="22" t="str">
        <f t="array" ref="BW220">_xlfn.TEXTJOIN("",TRUE,IF(ISERROR(FIND(ROW($1:$10)-1,BU220&amp;BV220)),ROW($1:$10)-1,""))</f>
        <v>0123456789</v>
      </c>
      <c r="BX220" s="20" t="str">
        <f t="shared" si="116"/>
        <v>中中中</v>
      </c>
      <c r="BY220" s="23" t="str">
        <f t="shared" si="105"/>
        <v>57</v>
      </c>
      <c r="BZ220" s="24" t="str">
        <f t="array" ref="BZ220">_xlfn.TEXTJOIN("",TRUE,IF(ISNUMBER(FIND(MID(BY219&amp;Q219,ROW($1:$4),1),BY220&amp;Q220)),MID(BY219&amp;Q219,ROW($1:$4),1),""))</f>
        <v>65</v>
      </c>
      <c r="CA220" s="25" t="str">
        <f t="array" ref="CA220">_xlfn.TEXTJOIN("",TRUE,IF(ISERROR(FIND(ROW($1:$10)-1,BY220&amp;BZ220)),ROW($1:$10)-1,""))</f>
        <v>0123489</v>
      </c>
      <c r="CB220" s="26" t="str">
        <f t="shared" si="117"/>
        <v>邻传孤</v>
      </c>
      <c r="CC220" s="27" t="str">
        <f t="shared" si="118"/>
        <v>02</v>
      </c>
      <c r="CD220" s="27" t="str">
        <f t="array" ref="CD220">_xlfn.TEXTJOIN("",TRUE,IF(ISNUMBER(FIND(MID(CC219&amp;R219,ROW($1:$4),1),CC220&amp;R220)),MID(CC219&amp;R219,ROW($1:$4),1),""))</f>
        <v/>
      </c>
      <c r="CE220" s="27" t="str">
        <f t="array" ref="CE220">_xlfn.TEXTJOIN("",TRUE,IF(ISERROR(FIND(ROW($1:$10)-1,CC220&amp;CD220)),ROW($1:$10)-1,""))</f>
        <v>13456789</v>
      </c>
      <c r="CF220" s="17" t="str">
        <f t="shared" si="119"/>
        <v>邻孤孤</v>
      </c>
      <c r="CG220" s="22" t="str">
        <f t="shared" si="120"/>
        <v>68</v>
      </c>
      <c r="CH220" s="22" t="str">
        <f t="array" ref="CH220">_xlfn.TEXTJOIN("",TRUE,IF(ISNUMBER(FIND(MID(CG219&amp;S219,ROW($1:$4),1),CG220&amp;S220)),MID(CG219&amp;S219,ROW($1:$4),1),""))</f>
        <v/>
      </c>
      <c r="CI220" s="22" t="str">
        <f t="array" ref="CI220">_xlfn.TEXTJOIN("",TRUE,IF(ISERROR(FIND(ROW($1:$10)-1,CG220&amp;CH220)),ROW($1:$10)-1,""))</f>
        <v>01234579</v>
      </c>
      <c r="CJ220" s="28" t="str">
        <f t="shared" si="121"/>
        <v>邻孤孤</v>
      </c>
    </row>
    <row r="221" spans="1:88">
      <c r="A221" s="32">
        <v>2024348</v>
      </c>
      <c r="B221" s="8" t="s">
        <v>214</v>
      </c>
      <c r="C221" s="49">
        <f t="shared" si="125"/>
        <v>19</v>
      </c>
      <c r="D221" s="50">
        <f t="shared" si="126"/>
        <v>9</v>
      </c>
      <c r="E221" s="51">
        <f t="shared" si="102"/>
        <v>6.3333333333333304</v>
      </c>
      <c r="F221" s="52">
        <f>MAX(MID(B221,{1,2,3},1)*1)-MIN(MID(B221,{1,2,3},1)*1)</f>
        <v>7</v>
      </c>
      <c r="G221" s="104">
        <v>0</v>
      </c>
      <c r="H221" s="104">
        <v>1</v>
      </c>
      <c r="I221" s="104">
        <v>2</v>
      </c>
      <c r="J221" s="104">
        <v>3</v>
      </c>
      <c r="K221" s="104">
        <v>4</v>
      </c>
      <c r="L221" s="104">
        <v>5</v>
      </c>
      <c r="M221" s="104">
        <v>6</v>
      </c>
      <c r="N221" s="104">
        <v>7</v>
      </c>
      <c r="O221" s="104">
        <v>8</v>
      </c>
      <c r="P221" s="104">
        <v>9</v>
      </c>
      <c r="Q221" s="53">
        <f t="shared" si="127"/>
        <v>7</v>
      </c>
      <c r="R221" s="53">
        <f t="shared" si="128"/>
        <v>1</v>
      </c>
      <c r="S221" s="53">
        <f t="shared" si="129"/>
        <v>6</v>
      </c>
      <c r="T221" s="101">
        <f t="shared" si="103"/>
        <v>14</v>
      </c>
      <c r="U221" s="15" t="str">
        <f>_xlfn.TEXTJOIN(", ",TRUE,ABS(MID(B221,{1,1,2},1)-MID(B221,{2,3,3},1)))</f>
        <v>7, 1, 6</v>
      </c>
      <c r="V221" s="54">
        <v>0</v>
      </c>
      <c r="W221" s="54">
        <v>1</v>
      </c>
      <c r="X221" s="54">
        <v>2</v>
      </c>
      <c r="Y221" s="54">
        <v>3</v>
      </c>
      <c r="Z221" s="54">
        <v>4</v>
      </c>
      <c r="AA221" s="54">
        <v>5</v>
      </c>
      <c r="AB221" s="54">
        <v>6</v>
      </c>
      <c r="AC221" s="54">
        <v>7</v>
      </c>
      <c r="AD221" s="54">
        <v>8</v>
      </c>
      <c r="AE221" s="54">
        <v>9</v>
      </c>
      <c r="AF221" s="55">
        <v>0</v>
      </c>
      <c r="AG221" s="55">
        <v>1</v>
      </c>
      <c r="AH221" s="55">
        <v>2</v>
      </c>
      <c r="AI221" s="55">
        <v>3</v>
      </c>
      <c r="AJ221" s="55">
        <v>4</v>
      </c>
      <c r="AK221" s="55">
        <v>5</v>
      </c>
      <c r="AL221" s="55">
        <v>6</v>
      </c>
      <c r="AM221" s="55">
        <v>7</v>
      </c>
      <c r="AN221" s="55">
        <v>8</v>
      </c>
      <c r="AO221" s="55">
        <v>9</v>
      </c>
      <c r="AP221" s="105">
        <v>0</v>
      </c>
      <c r="AQ221" s="105">
        <v>1</v>
      </c>
      <c r="AR221" s="105">
        <v>2</v>
      </c>
      <c r="AS221" s="105">
        <v>3</v>
      </c>
      <c r="AT221" s="105">
        <v>4</v>
      </c>
      <c r="AU221" s="105">
        <v>5</v>
      </c>
      <c r="AV221" s="105">
        <v>6</v>
      </c>
      <c r="AW221" s="105">
        <v>7</v>
      </c>
      <c r="AX221" s="105">
        <v>8</v>
      </c>
      <c r="AY221" s="105">
        <v>9</v>
      </c>
      <c r="AZ221" s="56">
        <v>0</v>
      </c>
      <c r="BA221" s="56">
        <v>1</v>
      </c>
      <c r="BB221" s="56">
        <v>2</v>
      </c>
      <c r="BC221" s="56">
        <v>3</v>
      </c>
      <c r="BD221" s="56">
        <v>4</v>
      </c>
      <c r="BE221" s="56">
        <v>5</v>
      </c>
      <c r="BF221" s="56">
        <v>6</v>
      </c>
      <c r="BG221" s="56">
        <v>7</v>
      </c>
      <c r="BH221" s="56">
        <v>8</v>
      </c>
      <c r="BI221" s="56">
        <v>9</v>
      </c>
      <c r="BJ221" s="57" t="str">
        <f t="shared" si="104"/>
        <v>松散型</v>
      </c>
      <c r="BK221" s="13">
        <f t="shared" si="100"/>
        <v>1</v>
      </c>
      <c r="BL221" s="13">
        <f t="shared" si="101"/>
        <v>7</v>
      </c>
      <c r="BM221" s="18">
        <f t="shared" si="111"/>
        <v>7</v>
      </c>
      <c r="BN221" s="19" t="str">
        <f t="shared" si="112"/>
        <v/>
      </c>
      <c r="BO221" s="19" t="str">
        <f t="array" ref="BO221">_xlfn.TEXTJOIN("",TRUE,IF(ISERROR(FIND(ROW($1:$10)-1,BM221&amp;BN221)),ROW($1:$10)-1,""))</f>
        <v>012345689</v>
      </c>
      <c r="BP221" s="20" t="str">
        <f t="shared" si="113"/>
        <v>复中中</v>
      </c>
      <c r="BQ221" s="21">
        <f t="shared" si="124"/>
        <v>1</v>
      </c>
      <c r="BR221" s="21">
        <f t="shared" si="122"/>
        <v>1</v>
      </c>
      <c r="BS221" s="21" t="str">
        <f t="array" ref="BS221">_xlfn.TEXTJOIN("",TRUE,IF(ISERROR(FIND(ROW($1:$10)-1,BQ221&amp;BR221)),ROW($1:$10)-1,""))</f>
        <v>023456789</v>
      </c>
      <c r="BT221" s="20" t="str">
        <f t="shared" si="114"/>
        <v>复隔中</v>
      </c>
      <c r="BU221" s="22">
        <f t="shared" si="115"/>
        <v>6</v>
      </c>
      <c r="BV221" s="22">
        <f t="shared" si="123"/>
        <v>6</v>
      </c>
      <c r="BW221" s="22" t="str">
        <f t="array" ref="BW221">_xlfn.TEXTJOIN("",TRUE,IF(ISERROR(FIND(ROW($1:$10)-1,BU221&amp;BV221)),ROW($1:$10)-1,""))</f>
        <v>012345789</v>
      </c>
      <c r="BX221" s="20" t="str">
        <f t="shared" si="116"/>
        <v>复隔中</v>
      </c>
      <c r="BY221" s="23" t="str">
        <f t="shared" si="105"/>
        <v>68</v>
      </c>
      <c r="BZ221" s="24" t="str">
        <f t="array" ref="BZ221">_xlfn.TEXTJOIN("",TRUE,IF(ISNUMBER(FIND(MID(BY220&amp;Q220,ROW($1:$4),1),BY221&amp;Q221)),MID(BY220&amp;Q220,ROW($1:$4),1),""))</f>
        <v>76</v>
      </c>
      <c r="CA221" s="25" t="str">
        <f t="array" ref="CA221">_xlfn.TEXTJOIN("",TRUE,IF(ISERROR(FIND(ROW($1:$10)-1,BY221&amp;BZ221)),ROW($1:$10)-1,""))</f>
        <v>0123459</v>
      </c>
      <c r="CB221" s="26" t="str">
        <f t="shared" si="117"/>
        <v>邻传孤</v>
      </c>
      <c r="CC221" s="27" t="str">
        <f t="shared" si="118"/>
        <v>02</v>
      </c>
      <c r="CD221" s="27" t="str">
        <f t="array" ref="CD221">_xlfn.TEXTJOIN("",TRUE,IF(ISNUMBER(FIND(MID(CC220&amp;R220,ROW($1:$4),1),CC221&amp;R221)),MID(CC220&amp;R220,ROW($1:$4),1),""))</f>
        <v>021</v>
      </c>
      <c r="CE221" s="27" t="str">
        <f t="array" ref="CE221">_xlfn.TEXTJOIN("",TRUE,IF(ISERROR(FIND(ROW($1:$10)-1,CC221&amp;CD221)),ROW($1:$10)-1,""))</f>
        <v>3456789</v>
      </c>
      <c r="CF221" s="17" t="str">
        <f t="shared" si="119"/>
        <v>邻传孤</v>
      </c>
      <c r="CG221" s="22" t="str">
        <f t="shared" si="120"/>
        <v>57</v>
      </c>
      <c r="CH221" s="22" t="str">
        <f t="array" ref="CH221">_xlfn.TEXTJOIN("",TRUE,IF(ISNUMBER(FIND(MID(CG220&amp;S220,ROW($1:$4),1),CG221&amp;S221)),MID(CG220&amp;S220,ROW($1:$4),1),""))</f>
        <v>67</v>
      </c>
      <c r="CI221" s="22" t="str">
        <f t="array" ref="CI221">_xlfn.TEXTJOIN("",TRUE,IF(ISERROR(FIND(ROW($1:$10)-1,CG221&amp;CH221)),ROW($1:$10)-1,""))</f>
        <v>0123489</v>
      </c>
      <c r="CJ221" s="28" t="str">
        <f t="shared" si="121"/>
        <v>邻传孤</v>
      </c>
    </row>
    <row r="222" spans="1:88">
      <c r="A222" s="32">
        <v>2024349</v>
      </c>
      <c r="B222" s="8" t="s">
        <v>69</v>
      </c>
      <c r="C222" s="49">
        <f t="shared" si="125"/>
        <v>9</v>
      </c>
      <c r="D222" s="50">
        <f t="shared" si="126"/>
        <v>9</v>
      </c>
      <c r="E222" s="51">
        <f t="shared" si="102"/>
        <v>3</v>
      </c>
      <c r="F222" s="52">
        <f>MAX(MID(B222,{1,2,3},1)*1)-MIN(MID(B222,{1,2,3},1)*1)</f>
        <v>8</v>
      </c>
      <c r="G222" s="104">
        <v>0</v>
      </c>
      <c r="H222" s="104">
        <v>1</v>
      </c>
      <c r="I222" s="104">
        <v>2</v>
      </c>
      <c r="J222" s="104">
        <v>3</v>
      </c>
      <c r="K222" s="104">
        <v>4</v>
      </c>
      <c r="L222" s="104">
        <v>5</v>
      </c>
      <c r="M222" s="104">
        <v>6</v>
      </c>
      <c r="N222" s="104">
        <v>7</v>
      </c>
      <c r="O222" s="104">
        <v>8</v>
      </c>
      <c r="P222" s="104">
        <v>9</v>
      </c>
      <c r="Q222" s="53">
        <f t="shared" si="127"/>
        <v>1</v>
      </c>
      <c r="R222" s="53">
        <f t="shared" si="128"/>
        <v>7</v>
      </c>
      <c r="S222" s="53">
        <f t="shared" si="129"/>
        <v>8</v>
      </c>
      <c r="T222" s="101">
        <f t="shared" si="103"/>
        <v>16</v>
      </c>
      <c r="U222" s="15" t="str">
        <f>_xlfn.TEXTJOIN(", ",TRUE,ABS(MID(B222,{1,1,2},1)-MID(B222,{2,3,3},1)))</f>
        <v>1, 7, 8</v>
      </c>
      <c r="V222" s="54">
        <v>0</v>
      </c>
      <c r="W222" s="54">
        <v>1</v>
      </c>
      <c r="X222" s="54">
        <v>2</v>
      </c>
      <c r="Y222" s="54">
        <v>3</v>
      </c>
      <c r="Z222" s="54">
        <v>4</v>
      </c>
      <c r="AA222" s="54">
        <v>5</v>
      </c>
      <c r="AB222" s="54">
        <v>6</v>
      </c>
      <c r="AC222" s="54">
        <v>7</v>
      </c>
      <c r="AD222" s="54">
        <v>8</v>
      </c>
      <c r="AE222" s="54">
        <v>9</v>
      </c>
      <c r="AF222" s="55">
        <v>0</v>
      </c>
      <c r="AG222" s="55">
        <v>1</v>
      </c>
      <c r="AH222" s="55">
        <v>2</v>
      </c>
      <c r="AI222" s="55">
        <v>3</v>
      </c>
      <c r="AJ222" s="55">
        <v>4</v>
      </c>
      <c r="AK222" s="55">
        <v>5</v>
      </c>
      <c r="AL222" s="55">
        <v>6</v>
      </c>
      <c r="AM222" s="55">
        <v>7</v>
      </c>
      <c r="AN222" s="55">
        <v>8</v>
      </c>
      <c r="AO222" s="55">
        <v>9</v>
      </c>
      <c r="AP222" s="105">
        <v>0</v>
      </c>
      <c r="AQ222" s="105">
        <v>1</v>
      </c>
      <c r="AR222" s="105">
        <v>2</v>
      </c>
      <c r="AS222" s="105">
        <v>3</v>
      </c>
      <c r="AT222" s="105">
        <v>4</v>
      </c>
      <c r="AU222" s="105">
        <v>5</v>
      </c>
      <c r="AV222" s="105">
        <v>6</v>
      </c>
      <c r="AW222" s="105">
        <v>7</v>
      </c>
      <c r="AX222" s="105">
        <v>8</v>
      </c>
      <c r="AY222" s="105">
        <v>9</v>
      </c>
      <c r="AZ222" s="56">
        <v>0</v>
      </c>
      <c r="BA222" s="56">
        <v>1</v>
      </c>
      <c r="BB222" s="56">
        <v>2</v>
      </c>
      <c r="BC222" s="56">
        <v>3</v>
      </c>
      <c r="BD222" s="56">
        <v>4</v>
      </c>
      <c r="BE222" s="56">
        <v>5</v>
      </c>
      <c r="BF222" s="56">
        <v>6</v>
      </c>
      <c r="BG222" s="56">
        <v>7</v>
      </c>
      <c r="BH222" s="56">
        <v>8</v>
      </c>
      <c r="BI222" s="56">
        <v>9</v>
      </c>
      <c r="BJ222" s="57" t="str">
        <f t="shared" si="104"/>
        <v>松散型</v>
      </c>
      <c r="BK222" s="13">
        <f t="shared" si="100"/>
        <v>1</v>
      </c>
      <c r="BL222" s="13">
        <f t="shared" si="101"/>
        <v>8</v>
      </c>
      <c r="BM222" s="18">
        <f t="shared" si="111"/>
        <v>1</v>
      </c>
      <c r="BN222" s="19">
        <f t="shared" si="112"/>
        <v>1</v>
      </c>
      <c r="BO222" s="19" t="str">
        <f t="array" ref="BO222">_xlfn.TEXTJOIN("",TRUE,IF(ISERROR(FIND(ROW($1:$10)-1,BM222&amp;BN222)),ROW($1:$10)-1,""))</f>
        <v>023456789</v>
      </c>
      <c r="BP222" s="20" t="str">
        <f t="shared" si="113"/>
        <v>复隔中</v>
      </c>
      <c r="BQ222" s="21">
        <f t="shared" si="124"/>
        <v>7</v>
      </c>
      <c r="BR222" s="21">
        <f t="shared" si="122"/>
        <v>7</v>
      </c>
      <c r="BS222" s="21" t="str">
        <f t="array" ref="BS222">_xlfn.TEXTJOIN("",TRUE,IF(ISERROR(FIND(ROW($1:$10)-1,BQ222&amp;BR222)),ROW($1:$10)-1,""))</f>
        <v>012345689</v>
      </c>
      <c r="BT222" s="20" t="str">
        <f t="shared" si="114"/>
        <v>复隔中</v>
      </c>
      <c r="BU222" s="22" t="str">
        <f t="shared" si="115"/>
        <v/>
      </c>
      <c r="BV222" s="22" t="str">
        <f t="shared" si="123"/>
        <v/>
      </c>
      <c r="BW222" s="22" t="str">
        <f t="array" ref="BW222">_xlfn.TEXTJOIN("",TRUE,IF(ISERROR(FIND(ROW($1:$10)-1,BU222&amp;BV222)),ROW($1:$10)-1,""))</f>
        <v>0123456789</v>
      </c>
      <c r="BX222" s="20" t="str">
        <f t="shared" si="116"/>
        <v>中中中</v>
      </c>
      <c r="BY222" s="23" t="str">
        <f t="shared" si="105"/>
        <v>02</v>
      </c>
      <c r="BZ222" s="24" t="str">
        <f t="array" ref="BZ222">_xlfn.TEXTJOIN("",TRUE,IF(ISNUMBER(FIND(MID(BY221&amp;Q221,ROW($1:$4),1),BY222&amp;Q222)),MID(BY221&amp;Q221,ROW($1:$4),1),""))</f>
        <v/>
      </c>
      <c r="CA222" s="25" t="str">
        <f t="array" ref="CA222">_xlfn.TEXTJOIN("",TRUE,IF(ISERROR(FIND(ROW($1:$10)-1,BY222&amp;BZ222)),ROW($1:$10)-1,""))</f>
        <v>13456789</v>
      </c>
      <c r="CB222" s="26" t="str">
        <f t="shared" si="117"/>
        <v>邻孤孤</v>
      </c>
      <c r="CC222" s="27" t="str">
        <f t="shared" si="118"/>
        <v>68</v>
      </c>
      <c r="CD222" s="27" t="str">
        <f t="array" ref="CD222">_xlfn.TEXTJOIN("",TRUE,IF(ISNUMBER(FIND(MID(CC221&amp;R221,ROW($1:$4),1),CC222&amp;R222)),MID(CC221&amp;R221,ROW($1:$4),1),""))</f>
        <v/>
      </c>
      <c r="CE222" s="27" t="str">
        <f t="array" ref="CE222">_xlfn.TEXTJOIN("",TRUE,IF(ISERROR(FIND(ROW($1:$10)-1,CC222&amp;CD222)),ROW($1:$10)-1,""))</f>
        <v>01234579</v>
      </c>
      <c r="CF222" s="17" t="str">
        <f t="shared" si="119"/>
        <v>邻孤孤</v>
      </c>
      <c r="CG222" s="22" t="str">
        <f t="shared" si="120"/>
        <v>79</v>
      </c>
      <c r="CH222" s="22" t="str">
        <f t="array" ref="CH222">_xlfn.TEXTJOIN("",TRUE,IF(ISNUMBER(FIND(MID(CG221&amp;S221,ROW($1:$4),1),CG222&amp;S222)),MID(CG221&amp;S221,ROW($1:$4),1),""))</f>
        <v>7</v>
      </c>
      <c r="CI222" s="22" t="str">
        <f t="array" ref="CI222">_xlfn.TEXTJOIN("",TRUE,IF(ISERROR(FIND(ROW($1:$10)-1,CG222&amp;CH222)),ROW($1:$10)-1,""))</f>
        <v>01234568</v>
      </c>
      <c r="CJ222" s="28" t="str">
        <f t="shared" si="121"/>
        <v>邻传孤</v>
      </c>
    </row>
    <row r="223" spans="1:88">
      <c r="A223" s="32">
        <v>2024350</v>
      </c>
      <c r="B223" s="8" t="s">
        <v>188</v>
      </c>
      <c r="C223" s="49">
        <f t="shared" si="125"/>
        <v>15</v>
      </c>
      <c r="D223" s="50">
        <f t="shared" si="126"/>
        <v>5</v>
      </c>
      <c r="E223" s="51">
        <f t="shared" si="102"/>
        <v>5</v>
      </c>
      <c r="F223" s="52">
        <f>MAX(MID(B223,{1,2,3},1)*1)-MIN(MID(B223,{1,2,3},1)*1)</f>
        <v>5</v>
      </c>
      <c r="G223" s="104">
        <v>0</v>
      </c>
      <c r="H223" s="104">
        <v>1</v>
      </c>
      <c r="I223" s="104">
        <v>2</v>
      </c>
      <c r="J223" s="104">
        <v>3</v>
      </c>
      <c r="K223" s="104">
        <v>4</v>
      </c>
      <c r="L223" s="104">
        <v>5</v>
      </c>
      <c r="M223" s="104">
        <v>6</v>
      </c>
      <c r="N223" s="104">
        <v>7</v>
      </c>
      <c r="O223" s="104">
        <v>8</v>
      </c>
      <c r="P223" s="104">
        <v>9</v>
      </c>
      <c r="Q223" s="53">
        <f t="shared" si="127"/>
        <v>1</v>
      </c>
      <c r="R223" s="53">
        <f t="shared" si="128"/>
        <v>4</v>
      </c>
      <c r="S223" s="53">
        <f t="shared" si="129"/>
        <v>5</v>
      </c>
      <c r="T223" s="101">
        <f t="shared" si="103"/>
        <v>10</v>
      </c>
      <c r="U223" s="15" t="str">
        <f>_xlfn.TEXTJOIN(", ",TRUE,ABS(MID(B223,{1,1,2},1)-MID(B223,{2,3,3},1)))</f>
        <v>1, 4, 5</v>
      </c>
      <c r="V223" s="54">
        <v>0</v>
      </c>
      <c r="W223" s="54">
        <v>1</v>
      </c>
      <c r="X223" s="54">
        <v>2</v>
      </c>
      <c r="Y223" s="54">
        <v>3</v>
      </c>
      <c r="Z223" s="54">
        <v>4</v>
      </c>
      <c r="AA223" s="54">
        <v>5</v>
      </c>
      <c r="AB223" s="54">
        <v>6</v>
      </c>
      <c r="AC223" s="54">
        <v>7</v>
      </c>
      <c r="AD223" s="54">
        <v>8</v>
      </c>
      <c r="AE223" s="54">
        <v>9</v>
      </c>
      <c r="AF223" s="55">
        <v>0</v>
      </c>
      <c r="AG223" s="55">
        <v>1</v>
      </c>
      <c r="AH223" s="55">
        <v>2</v>
      </c>
      <c r="AI223" s="55">
        <v>3</v>
      </c>
      <c r="AJ223" s="55">
        <v>4</v>
      </c>
      <c r="AK223" s="55">
        <v>5</v>
      </c>
      <c r="AL223" s="55">
        <v>6</v>
      </c>
      <c r="AM223" s="55">
        <v>7</v>
      </c>
      <c r="AN223" s="55">
        <v>8</v>
      </c>
      <c r="AO223" s="55">
        <v>9</v>
      </c>
      <c r="AP223" s="105">
        <v>0</v>
      </c>
      <c r="AQ223" s="105">
        <v>1</v>
      </c>
      <c r="AR223" s="105">
        <v>2</v>
      </c>
      <c r="AS223" s="105">
        <v>3</v>
      </c>
      <c r="AT223" s="105">
        <v>4</v>
      </c>
      <c r="AU223" s="105">
        <v>5</v>
      </c>
      <c r="AV223" s="105">
        <v>6</v>
      </c>
      <c r="AW223" s="105">
        <v>7</v>
      </c>
      <c r="AX223" s="105">
        <v>8</v>
      </c>
      <c r="AY223" s="105">
        <v>9</v>
      </c>
      <c r="AZ223" s="56">
        <v>0</v>
      </c>
      <c r="BA223" s="56">
        <v>1</v>
      </c>
      <c r="BB223" s="56">
        <v>2</v>
      </c>
      <c r="BC223" s="56">
        <v>3</v>
      </c>
      <c r="BD223" s="56">
        <v>4</v>
      </c>
      <c r="BE223" s="56">
        <v>5</v>
      </c>
      <c r="BF223" s="56">
        <v>6</v>
      </c>
      <c r="BG223" s="56">
        <v>7</v>
      </c>
      <c r="BH223" s="56">
        <v>8</v>
      </c>
      <c r="BI223" s="56">
        <v>9</v>
      </c>
      <c r="BJ223" s="57" t="str">
        <f t="shared" si="104"/>
        <v>标准型</v>
      </c>
      <c r="BK223" s="13">
        <f t="shared" si="100"/>
        <v>1</v>
      </c>
      <c r="BL223" s="13">
        <f t="shared" si="101"/>
        <v>5</v>
      </c>
      <c r="BM223" s="18">
        <f t="shared" si="111"/>
        <v>1</v>
      </c>
      <c r="BN223" s="19">
        <f t="shared" si="112"/>
        <v>1</v>
      </c>
      <c r="BO223" s="19" t="str">
        <f t="array" ref="BO223">_xlfn.TEXTJOIN("",TRUE,IF(ISERROR(FIND(ROW($1:$10)-1,BM223&amp;BN223)),ROW($1:$10)-1,""))</f>
        <v>023456789</v>
      </c>
      <c r="BP223" s="20" t="str">
        <f t="shared" si="113"/>
        <v>复隔中</v>
      </c>
      <c r="BQ223" s="21" t="str">
        <f t="shared" si="124"/>
        <v/>
      </c>
      <c r="BR223" s="21" t="str">
        <f t="shared" si="122"/>
        <v/>
      </c>
      <c r="BS223" s="21" t="str">
        <f t="array" ref="BS223">_xlfn.TEXTJOIN("",TRUE,IF(ISERROR(FIND(ROW($1:$10)-1,BQ223&amp;BR223)),ROW($1:$10)-1,""))</f>
        <v>0123456789</v>
      </c>
      <c r="BT223" s="20" t="str">
        <f t="shared" si="114"/>
        <v>中中中</v>
      </c>
      <c r="BU223" s="22" t="str">
        <f t="shared" si="115"/>
        <v/>
      </c>
      <c r="BV223" s="22" t="str">
        <f t="shared" si="123"/>
        <v/>
      </c>
      <c r="BW223" s="22" t="str">
        <f t="array" ref="BW223">_xlfn.TEXTJOIN("",TRUE,IF(ISERROR(FIND(ROW($1:$10)-1,BU223&amp;BV223)),ROW($1:$10)-1,""))</f>
        <v>0123456789</v>
      </c>
      <c r="BX223" s="20" t="str">
        <f t="shared" si="116"/>
        <v>中中中</v>
      </c>
      <c r="BY223" s="23" t="str">
        <f t="shared" si="105"/>
        <v>02</v>
      </c>
      <c r="BZ223" s="24" t="str">
        <f t="array" ref="BZ223">_xlfn.TEXTJOIN("",TRUE,IF(ISNUMBER(FIND(MID(BY222&amp;Q222,ROW($1:$4),1),BY223&amp;Q223)),MID(BY222&amp;Q222,ROW($1:$4),1),""))</f>
        <v>021</v>
      </c>
      <c r="CA223" s="25" t="str">
        <f t="array" ref="CA223">_xlfn.TEXTJOIN("",TRUE,IF(ISERROR(FIND(ROW($1:$10)-1,BY223&amp;BZ223)),ROW($1:$10)-1,""))</f>
        <v>3456789</v>
      </c>
      <c r="CB223" s="26" t="str">
        <f t="shared" si="117"/>
        <v>邻传孤</v>
      </c>
      <c r="CC223" s="27" t="str">
        <f t="shared" si="118"/>
        <v>35</v>
      </c>
      <c r="CD223" s="27" t="str">
        <f t="array" ref="CD223">_xlfn.TEXTJOIN("",TRUE,IF(ISNUMBER(FIND(MID(CC222&amp;R222,ROW($1:$4),1),CC223&amp;R223)),MID(CC222&amp;R222,ROW($1:$4),1),""))</f>
        <v/>
      </c>
      <c r="CE223" s="27" t="str">
        <f t="array" ref="CE223">_xlfn.TEXTJOIN("",TRUE,IF(ISERROR(FIND(ROW($1:$10)-1,CC223&amp;CD223)),ROW($1:$10)-1,""))</f>
        <v>01246789</v>
      </c>
      <c r="CF223" s="17" t="str">
        <f t="shared" si="119"/>
        <v>邻孤孤</v>
      </c>
      <c r="CG223" s="22" t="str">
        <f t="shared" si="120"/>
        <v>46</v>
      </c>
      <c r="CH223" s="22" t="str">
        <f t="array" ref="CH223">_xlfn.TEXTJOIN("",TRUE,IF(ISNUMBER(FIND(MID(CG222&amp;S222,ROW($1:$4),1),CG223&amp;S223)),MID(CG222&amp;S222,ROW($1:$4),1),""))</f>
        <v/>
      </c>
      <c r="CI223" s="22" t="str">
        <f t="array" ref="CI223">_xlfn.TEXTJOIN("",TRUE,IF(ISERROR(FIND(ROW($1:$10)-1,CG223&amp;CH223)),ROW($1:$10)-1,""))</f>
        <v>01235789</v>
      </c>
      <c r="CJ223" s="28" t="str">
        <f t="shared" si="121"/>
        <v>邻孤孤</v>
      </c>
    </row>
    <row r="224" spans="1:88">
      <c r="A224" s="32">
        <v>2024351</v>
      </c>
      <c r="B224" s="8" t="s">
        <v>215</v>
      </c>
      <c r="C224" s="49">
        <f t="shared" si="125"/>
        <v>18</v>
      </c>
      <c r="D224" s="50">
        <f t="shared" si="126"/>
        <v>8</v>
      </c>
      <c r="E224" s="51">
        <f t="shared" si="102"/>
        <v>6</v>
      </c>
      <c r="F224" s="52">
        <f>MAX(MID(B224,{1,2,3},1)*1)-MIN(MID(B224,{1,2,3},1)*1)</f>
        <v>2</v>
      </c>
      <c r="G224" s="104">
        <v>0</v>
      </c>
      <c r="H224" s="104">
        <v>1</v>
      </c>
      <c r="I224" s="104">
        <v>2</v>
      </c>
      <c r="J224" s="104">
        <v>3</v>
      </c>
      <c r="K224" s="104">
        <v>4</v>
      </c>
      <c r="L224" s="104">
        <v>5</v>
      </c>
      <c r="M224" s="104">
        <v>6</v>
      </c>
      <c r="N224" s="104">
        <v>7</v>
      </c>
      <c r="O224" s="104">
        <v>8</v>
      </c>
      <c r="P224" s="104">
        <v>9</v>
      </c>
      <c r="Q224" s="53">
        <f t="shared" si="127"/>
        <v>1</v>
      </c>
      <c r="R224" s="53">
        <f t="shared" si="128"/>
        <v>1</v>
      </c>
      <c r="S224" s="53">
        <f t="shared" si="129"/>
        <v>2</v>
      </c>
      <c r="T224" s="101">
        <f t="shared" si="103"/>
        <v>4</v>
      </c>
      <c r="U224" s="15" t="str">
        <f>_xlfn.TEXTJOIN(", ",TRUE,ABS(MID(B224,{1,1,2},1)-MID(B224,{2,3,3},1)))</f>
        <v>1, 1, 2</v>
      </c>
      <c r="V224" s="54">
        <v>0</v>
      </c>
      <c r="W224" s="54">
        <v>1</v>
      </c>
      <c r="X224" s="54">
        <v>2</v>
      </c>
      <c r="Y224" s="54">
        <v>3</v>
      </c>
      <c r="Z224" s="54">
        <v>4</v>
      </c>
      <c r="AA224" s="54">
        <v>5</v>
      </c>
      <c r="AB224" s="54">
        <v>6</v>
      </c>
      <c r="AC224" s="54">
        <v>7</v>
      </c>
      <c r="AD224" s="54">
        <v>8</v>
      </c>
      <c r="AE224" s="54">
        <v>9</v>
      </c>
      <c r="AF224" s="55">
        <v>0</v>
      </c>
      <c r="AG224" s="55">
        <v>1</v>
      </c>
      <c r="AH224" s="55">
        <v>2</v>
      </c>
      <c r="AI224" s="55">
        <v>3</v>
      </c>
      <c r="AJ224" s="55">
        <v>4</v>
      </c>
      <c r="AK224" s="55">
        <v>5</v>
      </c>
      <c r="AL224" s="55">
        <v>6</v>
      </c>
      <c r="AM224" s="55">
        <v>7</v>
      </c>
      <c r="AN224" s="55">
        <v>8</v>
      </c>
      <c r="AO224" s="55">
        <v>9</v>
      </c>
      <c r="AP224" s="105">
        <v>0</v>
      </c>
      <c r="AQ224" s="105">
        <v>1</v>
      </c>
      <c r="AR224" s="105">
        <v>2</v>
      </c>
      <c r="AS224" s="105">
        <v>3</v>
      </c>
      <c r="AT224" s="105">
        <v>4</v>
      </c>
      <c r="AU224" s="105">
        <v>5</v>
      </c>
      <c r="AV224" s="105">
        <v>6</v>
      </c>
      <c r="AW224" s="105">
        <v>7</v>
      </c>
      <c r="AX224" s="105">
        <v>8</v>
      </c>
      <c r="AY224" s="105">
        <v>9</v>
      </c>
      <c r="AZ224" s="56">
        <v>0</v>
      </c>
      <c r="BA224" s="56">
        <v>1</v>
      </c>
      <c r="BB224" s="56">
        <v>2</v>
      </c>
      <c r="BC224" s="56">
        <v>3</v>
      </c>
      <c r="BD224" s="56">
        <v>4</v>
      </c>
      <c r="BE224" s="56">
        <v>5</v>
      </c>
      <c r="BF224" s="56">
        <v>6</v>
      </c>
      <c r="BG224" s="56">
        <v>7</v>
      </c>
      <c r="BH224" s="56">
        <v>8</v>
      </c>
      <c r="BI224" s="56">
        <v>9</v>
      </c>
      <c r="BJ224" s="57" t="str">
        <f t="shared" si="104"/>
        <v>紧凑型</v>
      </c>
      <c r="BK224" s="13">
        <f t="shared" si="100"/>
        <v>1</v>
      </c>
      <c r="BL224" s="13">
        <f t="shared" si="101"/>
        <v>2</v>
      </c>
      <c r="BM224" s="18">
        <f t="shared" si="111"/>
        <v>1</v>
      </c>
      <c r="BN224" s="19">
        <f t="shared" si="112"/>
        <v>1</v>
      </c>
      <c r="BO224" s="19" t="str">
        <f t="array" ref="BO224">_xlfn.TEXTJOIN("",TRUE,IF(ISERROR(FIND(ROW($1:$10)-1,BM224&amp;BN224)),ROW($1:$10)-1,""))</f>
        <v>023456789</v>
      </c>
      <c r="BP224" s="20" t="str">
        <f t="shared" si="113"/>
        <v>复隔中</v>
      </c>
      <c r="BQ224" s="21">
        <f t="shared" si="124"/>
        <v>1</v>
      </c>
      <c r="BR224" s="21">
        <f t="shared" si="122"/>
        <v>1</v>
      </c>
      <c r="BS224" s="21" t="str">
        <f t="array" ref="BS224">_xlfn.TEXTJOIN("",TRUE,IF(ISERROR(FIND(ROW($1:$10)-1,BQ224&amp;BR224)),ROW($1:$10)-1,""))</f>
        <v>023456789</v>
      </c>
      <c r="BT224" s="20" t="str">
        <f t="shared" si="114"/>
        <v>复隔中</v>
      </c>
      <c r="BU224" s="22" t="str">
        <f t="shared" si="115"/>
        <v/>
      </c>
      <c r="BV224" s="22" t="str">
        <f t="shared" si="123"/>
        <v/>
      </c>
      <c r="BW224" s="22" t="str">
        <f t="array" ref="BW224">_xlfn.TEXTJOIN("",TRUE,IF(ISERROR(FIND(ROW($1:$10)-1,BU224&amp;BV224)),ROW($1:$10)-1,""))</f>
        <v>0123456789</v>
      </c>
      <c r="BX224" s="20" t="str">
        <f t="shared" si="116"/>
        <v>中中中</v>
      </c>
      <c r="BY224" s="23" t="str">
        <f t="shared" si="105"/>
        <v>02</v>
      </c>
      <c r="BZ224" s="24" t="str">
        <f t="array" ref="BZ224">_xlfn.TEXTJOIN("",TRUE,IF(ISNUMBER(FIND(MID(BY223&amp;Q223,ROW($1:$4),1),BY224&amp;Q224)),MID(BY223&amp;Q223,ROW($1:$4),1),""))</f>
        <v>021</v>
      </c>
      <c r="CA224" s="25" t="str">
        <f t="array" ref="CA224">_xlfn.TEXTJOIN("",TRUE,IF(ISERROR(FIND(ROW($1:$10)-1,BY224&amp;BZ224)),ROW($1:$10)-1,""))</f>
        <v>3456789</v>
      </c>
      <c r="CB224" s="26" t="str">
        <f t="shared" si="117"/>
        <v>邻传孤</v>
      </c>
      <c r="CC224" s="27" t="str">
        <f t="shared" si="118"/>
        <v>02</v>
      </c>
      <c r="CD224" s="27" t="str">
        <f t="array" ref="CD224">_xlfn.TEXTJOIN("",TRUE,IF(ISNUMBER(FIND(MID(CC223&amp;R223,ROW($1:$4),1),CC224&amp;R224)),MID(CC223&amp;R223,ROW($1:$4),1),""))</f>
        <v/>
      </c>
      <c r="CE224" s="27" t="str">
        <f t="array" ref="CE224">_xlfn.TEXTJOIN("",TRUE,IF(ISERROR(FIND(ROW($1:$10)-1,CC224&amp;CD224)),ROW($1:$10)-1,""))</f>
        <v>13456789</v>
      </c>
      <c r="CF224" s="17" t="str">
        <f t="shared" si="119"/>
        <v>邻孤孤</v>
      </c>
      <c r="CG224" s="22" t="str">
        <f t="shared" si="120"/>
        <v>13</v>
      </c>
      <c r="CH224" s="22" t="str">
        <f t="array" ref="CH224">_xlfn.TEXTJOIN("",TRUE,IF(ISNUMBER(FIND(MID(CG223&amp;S223,ROW($1:$4),1),CG224&amp;S224)),MID(CG223&amp;S223,ROW($1:$4),1),""))</f>
        <v/>
      </c>
      <c r="CI224" s="22" t="str">
        <f t="array" ref="CI224">_xlfn.TEXTJOIN("",TRUE,IF(ISERROR(FIND(ROW($1:$10)-1,CG224&amp;CH224)),ROW($1:$10)-1,""))</f>
        <v>02456789</v>
      </c>
      <c r="CJ224" s="28" t="str">
        <f t="shared" si="121"/>
        <v>邻孤孤</v>
      </c>
    </row>
    <row r="225" spans="1:88">
      <c r="A225" s="32">
        <v>2024352</v>
      </c>
      <c r="B225" s="8" t="s">
        <v>146</v>
      </c>
      <c r="C225" s="49">
        <f t="shared" si="125"/>
        <v>13</v>
      </c>
      <c r="D225" s="50">
        <f t="shared" si="126"/>
        <v>3</v>
      </c>
      <c r="E225" s="51">
        <f t="shared" si="102"/>
        <v>4.3333333333333304</v>
      </c>
      <c r="F225" s="52">
        <f>MAX(MID(B225,{1,2,3},1)*1)-MIN(MID(B225,{1,2,3},1)*1)</f>
        <v>7</v>
      </c>
      <c r="G225" s="104">
        <v>0</v>
      </c>
      <c r="H225" s="104">
        <v>1</v>
      </c>
      <c r="I225" s="104">
        <v>2</v>
      </c>
      <c r="J225" s="104">
        <v>3</v>
      </c>
      <c r="K225" s="104">
        <v>4</v>
      </c>
      <c r="L225" s="104">
        <v>5</v>
      </c>
      <c r="M225" s="104">
        <v>6</v>
      </c>
      <c r="N225" s="104">
        <v>7</v>
      </c>
      <c r="O225" s="104">
        <v>8</v>
      </c>
      <c r="P225" s="104">
        <v>9</v>
      </c>
      <c r="Q225" s="53">
        <f t="shared" si="127"/>
        <v>7</v>
      </c>
      <c r="R225" s="53">
        <f t="shared" si="128"/>
        <v>0</v>
      </c>
      <c r="S225" s="53">
        <f t="shared" si="129"/>
        <v>7</v>
      </c>
      <c r="T225" s="101">
        <f t="shared" si="103"/>
        <v>14</v>
      </c>
      <c r="U225" s="15" t="str">
        <f>_xlfn.TEXTJOIN(", ",TRUE,ABS(MID(B225,{1,1,2},1)-MID(B225,{2,3,3},1)))</f>
        <v>7, 0, 7</v>
      </c>
      <c r="V225" s="54">
        <v>0</v>
      </c>
      <c r="W225" s="54">
        <v>1</v>
      </c>
      <c r="X225" s="54">
        <v>2</v>
      </c>
      <c r="Y225" s="54">
        <v>3</v>
      </c>
      <c r="Z225" s="54">
        <v>4</v>
      </c>
      <c r="AA225" s="54">
        <v>5</v>
      </c>
      <c r="AB225" s="54">
        <v>6</v>
      </c>
      <c r="AC225" s="54">
        <v>7</v>
      </c>
      <c r="AD225" s="54">
        <v>8</v>
      </c>
      <c r="AE225" s="54">
        <v>9</v>
      </c>
      <c r="AF225" s="55">
        <v>0</v>
      </c>
      <c r="AG225" s="55">
        <v>1</v>
      </c>
      <c r="AH225" s="55">
        <v>2</v>
      </c>
      <c r="AI225" s="55">
        <v>3</v>
      </c>
      <c r="AJ225" s="55">
        <v>4</v>
      </c>
      <c r="AK225" s="55">
        <v>5</v>
      </c>
      <c r="AL225" s="55">
        <v>6</v>
      </c>
      <c r="AM225" s="55">
        <v>7</v>
      </c>
      <c r="AN225" s="55">
        <v>8</v>
      </c>
      <c r="AO225" s="55">
        <v>9</v>
      </c>
      <c r="AP225" s="105">
        <v>0</v>
      </c>
      <c r="AQ225" s="105">
        <v>1</v>
      </c>
      <c r="AR225" s="105">
        <v>2</v>
      </c>
      <c r="AS225" s="105">
        <v>3</v>
      </c>
      <c r="AT225" s="105">
        <v>4</v>
      </c>
      <c r="AU225" s="105">
        <v>5</v>
      </c>
      <c r="AV225" s="105">
        <v>6</v>
      </c>
      <c r="AW225" s="105">
        <v>7</v>
      </c>
      <c r="AX225" s="105">
        <v>8</v>
      </c>
      <c r="AY225" s="105">
        <v>9</v>
      </c>
      <c r="AZ225" s="56">
        <v>0</v>
      </c>
      <c r="BA225" s="56">
        <v>1</v>
      </c>
      <c r="BB225" s="56">
        <v>2</v>
      </c>
      <c r="BC225" s="56">
        <v>3</v>
      </c>
      <c r="BD225" s="56">
        <v>4</v>
      </c>
      <c r="BE225" s="56">
        <v>5</v>
      </c>
      <c r="BF225" s="56">
        <v>6</v>
      </c>
      <c r="BG225" s="56">
        <v>7</v>
      </c>
      <c r="BH225" s="56">
        <v>8</v>
      </c>
      <c r="BI225" s="56">
        <v>9</v>
      </c>
      <c r="BJ225" s="57" t="str">
        <f t="shared" si="104"/>
        <v>松散型</v>
      </c>
      <c r="BK225" s="13">
        <f t="shared" si="100"/>
        <v>0</v>
      </c>
      <c r="BL225" s="13">
        <f t="shared" si="101"/>
        <v>7</v>
      </c>
      <c r="BM225" s="18" t="str">
        <f t="shared" si="111"/>
        <v/>
      </c>
      <c r="BN225" s="19" t="str">
        <f t="shared" si="112"/>
        <v/>
      </c>
      <c r="BO225" s="19" t="str">
        <f t="array" ref="BO225">_xlfn.TEXTJOIN("",TRUE,IF(ISERROR(FIND(ROW($1:$10)-1,BM225&amp;BN225)),ROW($1:$10)-1,""))</f>
        <v>0123456789</v>
      </c>
      <c r="BP225" s="20" t="str">
        <f t="shared" si="113"/>
        <v>中中中</v>
      </c>
      <c r="BQ225" s="21" t="str">
        <f t="shared" si="124"/>
        <v/>
      </c>
      <c r="BR225" s="21" t="str">
        <f t="shared" si="122"/>
        <v/>
      </c>
      <c r="BS225" s="21" t="str">
        <f t="array" ref="BS225">_xlfn.TEXTJOIN("",TRUE,IF(ISERROR(FIND(ROW($1:$10)-1,BQ225&amp;BR225)),ROW($1:$10)-1,""))</f>
        <v>0123456789</v>
      </c>
      <c r="BT225" s="20" t="str">
        <f t="shared" si="114"/>
        <v>中中中</v>
      </c>
      <c r="BU225" s="22" t="str">
        <f t="shared" si="115"/>
        <v/>
      </c>
      <c r="BV225" s="22" t="str">
        <f t="shared" si="123"/>
        <v/>
      </c>
      <c r="BW225" s="22" t="str">
        <f t="array" ref="BW225">_xlfn.TEXTJOIN("",TRUE,IF(ISERROR(FIND(ROW($1:$10)-1,BU225&amp;BV225)),ROW($1:$10)-1,""))</f>
        <v>0123456789</v>
      </c>
      <c r="BX225" s="20" t="str">
        <f t="shared" si="116"/>
        <v>中中中</v>
      </c>
      <c r="BY225" s="23" t="str">
        <f t="shared" si="105"/>
        <v>68</v>
      </c>
      <c r="BZ225" s="24" t="str">
        <f t="array" ref="BZ225">_xlfn.TEXTJOIN("",TRUE,IF(ISNUMBER(FIND(MID(BY224&amp;Q224,ROW($1:$4),1),BY225&amp;Q225)),MID(BY224&amp;Q224,ROW($1:$4),1),""))</f>
        <v/>
      </c>
      <c r="CA225" s="25" t="str">
        <f t="array" ref="CA225">_xlfn.TEXTJOIN("",TRUE,IF(ISERROR(FIND(ROW($1:$10)-1,BY225&amp;BZ225)),ROW($1:$10)-1,""))</f>
        <v>01234579</v>
      </c>
      <c r="CB225" s="26" t="str">
        <f t="shared" si="117"/>
        <v>邻孤孤</v>
      </c>
      <c r="CC225" s="27" t="str">
        <f t="shared" si="118"/>
        <v>91</v>
      </c>
      <c r="CD225" s="27" t="str">
        <f t="array" ref="CD225">_xlfn.TEXTJOIN("",TRUE,IF(ISNUMBER(FIND(MID(CC224&amp;R224,ROW($1:$4),1),CC225&amp;R225)),MID(CC224&amp;R224,ROW($1:$4),1),""))</f>
        <v>01</v>
      </c>
      <c r="CE225" s="27" t="str">
        <f t="array" ref="CE225">_xlfn.TEXTJOIN("",TRUE,IF(ISERROR(FIND(ROW($1:$10)-1,CC225&amp;CD225)),ROW($1:$10)-1,""))</f>
        <v>2345678</v>
      </c>
      <c r="CF225" s="17" t="str">
        <f t="shared" si="119"/>
        <v>邻传孤</v>
      </c>
      <c r="CG225" s="22" t="str">
        <f t="shared" si="120"/>
        <v>68</v>
      </c>
      <c r="CH225" s="22" t="str">
        <f t="array" ref="CH225">_xlfn.TEXTJOIN("",TRUE,IF(ISNUMBER(FIND(MID(CG224&amp;S224,ROW($1:$4),1),CG225&amp;S225)),MID(CG224&amp;S224,ROW($1:$4),1),""))</f>
        <v/>
      </c>
      <c r="CI225" s="22" t="str">
        <f t="array" ref="CI225">_xlfn.TEXTJOIN("",TRUE,IF(ISERROR(FIND(ROW($1:$10)-1,CG225&amp;CH225)),ROW($1:$10)-1,""))</f>
        <v>01234579</v>
      </c>
      <c r="CJ225" s="28" t="str">
        <f t="shared" si="121"/>
        <v>邻孤孤</v>
      </c>
    </row>
    <row r="226" spans="1:88">
      <c r="A226" s="32">
        <v>2025001</v>
      </c>
      <c r="B226" s="8" t="s">
        <v>216</v>
      </c>
      <c r="C226" s="49">
        <f t="shared" si="125"/>
        <v>10</v>
      </c>
      <c r="D226" s="50">
        <f t="shared" si="126"/>
        <v>0</v>
      </c>
      <c r="E226" s="51">
        <f t="shared" si="102"/>
        <v>3.3333333333333299</v>
      </c>
      <c r="F226" s="52">
        <f>MAX(MID(B226,{1,2,3},1)*1)-MIN(MID(B226,{1,2,3},1)*1)</f>
        <v>7</v>
      </c>
      <c r="G226" s="104">
        <v>0</v>
      </c>
      <c r="H226" s="104">
        <v>1</v>
      </c>
      <c r="I226" s="104">
        <v>2</v>
      </c>
      <c r="J226" s="104">
        <v>3</v>
      </c>
      <c r="K226" s="104">
        <v>4</v>
      </c>
      <c r="L226" s="104">
        <v>5</v>
      </c>
      <c r="M226" s="104">
        <v>6</v>
      </c>
      <c r="N226" s="104">
        <v>7</v>
      </c>
      <c r="O226" s="104">
        <v>8</v>
      </c>
      <c r="P226" s="104">
        <v>9</v>
      </c>
      <c r="Q226" s="53">
        <f t="shared" si="127"/>
        <v>7</v>
      </c>
      <c r="R226" s="53">
        <f t="shared" si="128"/>
        <v>4</v>
      </c>
      <c r="S226" s="53">
        <f t="shared" si="129"/>
        <v>3</v>
      </c>
      <c r="T226" s="101">
        <f t="shared" si="103"/>
        <v>14</v>
      </c>
      <c r="U226" s="15" t="str">
        <f>_xlfn.TEXTJOIN(", ",TRUE,ABS(MID(B226,{1,1,2},1)-MID(B226,{2,3,3},1)))</f>
        <v>7, 4, 3</v>
      </c>
      <c r="V226" s="54">
        <v>0</v>
      </c>
      <c r="W226" s="54">
        <v>1</v>
      </c>
      <c r="X226" s="54">
        <v>2</v>
      </c>
      <c r="Y226" s="54">
        <v>3</v>
      </c>
      <c r="Z226" s="54">
        <v>4</v>
      </c>
      <c r="AA226" s="54">
        <v>5</v>
      </c>
      <c r="AB226" s="54">
        <v>6</v>
      </c>
      <c r="AC226" s="54">
        <v>7</v>
      </c>
      <c r="AD226" s="54">
        <v>8</v>
      </c>
      <c r="AE226" s="54">
        <v>9</v>
      </c>
      <c r="AF226" s="55">
        <v>0</v>
      </c>
      <c r="AG226" s="55">
        <v>1</v>
      </c>
      <c r="AH226" s="55">
        <v>2</v>
      </c>
      <c r="AI226" s="55">
        <v>3</v>
      </c>
      <c r="AJ226" s="55">
        <v>4</v>
      </c>
      <c r="AK226" s="55">
        <v>5</v>
      </c>
      <c r="AL226" s="55">
        <v>6</v>
      </c>
      <c r="AM226" s="55">
        <v>7</v>
      </c>
      <c r="AN226" s="55">
        <v>8</v>
      </c>
      <c r="AO226" s="55">
        <v>9</v>
      </c>
      <c r="AP226" s="105">
        <v>0</v>
      </c>
      <c r="AQ226" s="105">
        <v>1</v>
      </c>
      <c r="AR226" s="105">
        <v>2</v>
      </c>
      <c r="AS226" s="105">
        <v>3</v>
      </c>
      <c r="AT226" s="105">
        <v>4</v>
      </c>
      <c r="AU226" s="105">
        <v>5</v>
      </c>
      <c r="AV226" s="105">
        <v>6</v>
      </c>
      <c r="AW226" s="105">
        <v>7</v>
      </c>
      <c r="AX226" s="105">
        <v>8</v>
      </c>
      <c r="AY226" s="105">
        <v>9</v>
      </c>
      <c r="AZ226" s="56">
        <v>0</v>
      </c>
      <c r="BA226" s="56">
        <v>1</v>
      </c>
      <c r="BB226" s="56">
        <v>2</v>
      </c>
      <c r="BC226" s="56">
        <v>3</v>
      </c>
      <c r="BD226" s="56">
        <v>4</v>
      </c>
      <c r="BE226" s="56">
        <v>5</v>
      </c>
      <c r="BF226" s="56">
        <v>6</v>
      </c>
      <c r="BG226" s="56">
        <v>7</v>
      </c>
      <c r="BH226" s="56">
        <v>8</v>
      </c>
      <c r="BI226" s="56">
        <v>9</v>
      </c>
      <c r="BJ226" s="57" t="str">
        <f t="shared" si="104"/>
        <v>松散型</v>
      </c>
      <c r="BK226" s="13">
        <f t="shared" si="100"/>
        <v>3</v>
      </c>
      <c r="BL226" s="13">
        <f t="shared" si="101"/>
        <v>7</v>
      </c>
      <c r="BM226" s="18">
        <f t="shared" si="111"/>
        <v>7</v>
      </c>
      <c r="BN226" s="19" t="str">
        <f t="shared" si="112"/>
        <v/>
      </c>
      <c r="BO226" s="19" t="str">
        <f t="array" ref="BO226">_xlfn.TEXTJOIN("",TRUE,IF(ISERROR(FIND(ROW($1:$10)-1,BM226&amp;BN226)),ROW($1:$10)-1,""))</f>
        <v>012345689</v>
      </c>
      <c r="BP226" s="20" t="str">
        <f t="shared" si="113"/>
        <v>复中中</v>
      </c>
      <c r="BQ226" s="21" t="str">
        <f t="shared" si="124"/>
        <v/>
      </c>
      <c r="BR226" s="21" t="str">
        <f t="shared" si="122"/>
        <v/>
      </c>
      <c r="BS226" s="21" t="str">
        <f t="array" ref="BS226">_xlfn.TEXTJOIN("",TRUE,IF(ISERROR(FIND(ROW($1:$10)-1,BQ226&amp;BR226)),ROW($1:$10)-1,""))</f>
        <v>0123456789</v>
      </c>
      <c r="BT226" s="20" t="str">
        <f t="shared" si="114"/>
        <v>中中中</v>
      </c>
      <c r="BU226" s="22" t="str">
        <f t="shared" si="115"/>
        <v/>
      </c>
      <c r="BV226" s="22" t="str">
        <f t="shared" si="123"/>
        <v/>
      </c>
      <c r="BW226" s="22" t="str">
        <f t="array" ref="BW226">_xlfn.TEXTJOIN("",TRUE,IF(ISERROR(FIND(ROW($1:$10)-1,BU226&amp;BV226)),ROW($1:$10)-1,""))</f>
        <v>0123456789</v>
      </c>
      <c r="BX226" s="20" t="str">
        <f t="shared" si="116"/>
        <v>中中中</v>
      </c>
      <c r="BY226" s="23" t="str">
        <f t="shared" si="105"/>
        <v>68</v>
      </c>
      <c r="BZ226" s="24" t="str">
        <f t="array" ref="BZ226">_xlfn.TEXTJOIN("",TRUE,IF(ISNUMBER(FIND(MID(BY225&amp;Q225,ROW($1:$4),1),BY226&amp;Q226)),MID(BY225&amp;Q225,ROW($1:$4),1),""))</f>
        <v>687</v>
      </c>
      <c r="CA226" s="25" t="str">
        <f t="array" ref="CA226">_xlfn.TEXTJOIN("",TRUE,IF(ISERROR(FIND(ROW($1:$10)-1,BY226&amp;BZ226)),ROW($1:$10)-1,""))</f>
        <v>0123459</v>
      </c>
      <c r="CB226" s="26" t="str">
        <f t="shared" si="117"/>
        <v>邻传孤</v>
      </c>
      <c r="CC226" s="27" t="str">
        <f t="shared" si="118"/>
        <v>35</v>
      </c>
      <c r="CD226" s="27" t="str">
        <f t="array" ref="CD226">_xlfn.TEXTJOIN("",TRUE,IF(ISNUMBER(FIND(MID(CC225&amp;R225,ROW($1:$4),1),CC226&amp;R226)),MID(CC225&amp;R225,ROW($1:$4),1),""))</f>
        <v/>
      </c>
      <c r="CE226" s="27" t="str">
        <f t="array" ref="CE226">_xlfn.TEXTJOIN("",TRUE,IF(ISERROR(FIND(ROW($1:$10)-1,CC226&amp;CD226)),ROW($1:$10)-1,""))</f>
        <v>01246789</v>
      </c>
      <c r="CF226" s="17" t="str">
        <f t="shared" si="119"/>
        <v>邻孤孤</v>
      </c>
      <c r="CG226" s="22" t="str">
        <f t="shared" si="120"/>
        <v>24</v>
      </c>
      <c r="CH226" s="22" t="str">
        <f t="array" ref="CH226">_xlfn.TEXTJOIN("",TRUE,IF(ISNUMBER(FIND(MID(CG225&amp;S225,ROW($1:$4),1),CG226&amp;S226)),MID(CG225&amp;S225,ROW($1:$4),1),""))</f>
        <v/>
      </c>
      <c r="CI226" s="22" t="str">
        <f t="array" ref="CI226">_xlfn.TEXTJOIN("",TRUE,IF(ISERROR(FIND(ROW($1:$10)-1,CG226&amp;CH226)),ROW($1:$10)-1,""))</f>
        <v>01356789</v>
      </c>
      <c r="CJ226" s="28" t="str">
        <f t="shared" si="121"/>
        <v>邻孤孤</v>
      </c>
    </row>
    <row r="227" spans="1:88">
      <c r="A227" s="32">
        <v>2025002</v>
      </c>
      <c r="B227" s="8" t="s">
        <v>217</v>
      </c>
      <c r="C227" s="49">
        <f t="shared" si="125"/>
        <v>16</v>
      </c>
      <c r="D227" s="50">
        <f t="shared" si="126"/>
        <v>6</v>
      </c>
      <c r="E227" s="51">
        <f t="shared" si="102"/>
        <v>5.3333333333333304</v>
      </c>
      <c r="F227" s="52">
        <f>MAX(MID(B227,{1,2,3},1)*1)-MIN(MID(B227,{1,2,3},1)*1)</f>
        <v>8</v>
      </c>
      <c r="G227" s="104">
        <v>0</v>
      </c>
      <c r="H227" s="104">
        <v>1</v>
      </c>
      <c r="I227" s="104">
        <v>2</v>
      </c>
      <c r="J227" s="104">
        <v>3</v>
      </c>
      <c r="K227" s="104">
        <v>4</v>
      </c>
      <c r="L227" s="104">
        <v>5</v>
      </c>
      <c r="M227" s="104">
        <v>6</v>
      </c>
      <c r="N227" s="104">
        <v>7</v>
      </c>
      <c r="O227" s="104">
        <v>8</v>
      </c>
      <c r="P227" s="104">
        <v>9</v>
      </c>
      <c r="Q227" s="53">
        <f t="shared" si="127"/>
        <v>8</v>
      </c>
      <c r="R227" s="53">
        <f t="shared" si="128"/>
        <v>3</v>
      </c>
      <c r="S227" s="53">
        <f t="shared" si="129"/>
        <v>5</v>
      </c>
      <c r="T227" s="101">
        <f t="shared" si="103"/>
        <v>16</v>
      </c>
      <c r="U227" s="15" t="str">
        <f>_xlfn.TEXTJOIN(", ",TRUE,ABS(MID(B227,{1,1,2},1)-MID(B227,{2,3,3},1)))</f>
        <v>8, 3, 5</v>
      </c>
      <c r="V227" s="54">
        <v>0</v>
      </c>
      <c r="W227" s="54">
        <v>1</v>
      </c>
      <c r="X227" s="54">
        <v>2</v>
      </c>
      <c r="Y227" s="54">
        <v>3</v>
      </c>
      <c r="Z227" s="54">
        <v>4</v>
      </c>
      <c r="AA227" s="54">
        <v>5</v>
      </c>
      <c r="AB227" s="54">
        <v>6</v>
      </c>
      <c r="AC227" s="54">
        <v>7</v>
      </c>
      <c r="AD227" s="54">
        <v>8</v>
      </c>
      <c r="AE227" s="54">
        <v>9</v>
      </c>
      <c r="AF227" s="55">
        <v>0</v>
      </c>
      <c r="AG227" s="55">
        <v>1</v>
      </c>
      <c r="AH227" s="55">
        <v>2</v>
      </c>
      <c r="AI227" s="55">
        <v>3</v>
      </c>
      <c r="AJ227" s="55">
        <v>4</v>
      </c>
      <c r="AK227" s="55">
        <v>5</v>
      </c>
      <c r="AL227" s="55">
        <v>6</v>
      </c>
      <c r="AM227" s="55">
        <v>7</v>
      </c>
      <c r="AN227" s="55">
        <v>8</v>
      </c>
      <c r="AO227" s="55">
        <v>9</v>
      </c>
      <c r="AP227" s="105">
        <v>0</v>
      </c>
      <c r="AQ227" s="105">
        <v>1</v>
      </c>
      <c r="AR227" s="105">
        <v>2</v>
      </c>
      <c r="AS227" s="105">
        <v>3</v>
      </c>
      <c r="AT227" s="105">
        <v>4</v>
      </c>
      <c r="AU227" s="105">
        <v>5</v>
      </c>
      <c r="AV227" s="105">
        <v>6</v>
      </c>
      <c r="AW227" s="105">
        <v>7</v>
      </c>
      <c r="AX227" s="105">
        <v>8</v>
      </c>
      <c r="AY227" s="105">
        <v>9</v>
      </c>
      <c r="AZ227" s="56">
        <v>0</v>
      </c>
      <c r="BA227" s="56">
        <v>1</v>
      </c>
      <c r="BB227" s="56">
        <v>2</v>
      </c>
      <c r="BC227" s="56">
        <v>3</v>
      </c>
      <c r="BD227" s="56">
        <v>4</v>
      </c>
      <c r="BE227" s="56">
        <v>5</v>
      </c>
      <c r="BF227" s="56">
        <v>6</v>
      </c>
      <c r="BG227" s="56">
        <v>7</v>
      </c>
      <c r="BH227" s="56">
        <v>8</v>
      </c>
      <c r="BI227" s="56">
        <v>9</v>
      </c>
      <c r="BJ227" s="57" t="str">
        <f t="shared" si="104"/>
        <v>松散型</v>
      </c>
      <c r="BK227" s="13">
        <f t="shared" si="100"/>
        <v>3</v>
      </c>
      <c r="BL227" s="13">
        <f t="shared" si="101"/>
        <v>8</v>
      </c>
      <c r="BM227" s="18" t="str">
        <f t="shared" si="111"/>
        <v/>
      </c>
      <c r="BN227" s="19" t="str">
        <f t="shared" si="112"/>
        <v/>
      </c>
      <c r="BO227" s="19" t="str">
        <f t="array" ref="BO227">_xlfn.TEXTJOIN("",TRUE,IF(ISERROR(FIND(ROW($1:$10)-1,BM227&amp;BN227)),ROW($1:$10)-1,""))</f>
        <v>0123456789</v>
      </c>
      <c r="BP227" s="20" t="str">
        <f t="shared" si="113"/>
        <v>中中中</v>
      </c>
      <c r="BQ227" s="21">
        <f t="shared" si="124"/>
        <v>3</v>
      </c>
      <c r="BR227" s="21" t="str">
        <f t="shared" si="122"/>
        <v/>
      </c>
      <c r="BS227" s="21" t="str">
        <f t="array" ref="BS227">_xlfn.TEXTJOIN("",TRUE,IF(ISERROR(FIND(ROW($1:$10)-1,BQ227&amp;BR227)),ROW($1:$10)-1,""))</f>
        <v>012456789</v>
      </c>
      <c r="BT227" s="20" t="str">
        <f t="shared" si="114"/>
        <v>复中中</v>
      </c>
      <c r="BU227" s="22" t="str">
        <f t="shared" si="115"/>
        <v/>
      </c>
      <c r="BV227" s="22" t="str">
        <f t="shared" si="123"/>
        <v/>
      </c>
      <c r="BW227" s="22" t="str">
        <f t="array" ref="BW227">_xlfn.TEXTJOIN("",TRUE,IF(ISERROR(FIND(ROW($1:$10)-1,BU227&amp;BV227)),ROW($1:$10)-1,""))</f>
        <v>0123456789</v>
      </c>
      <c r="BX227" s="20" t="str">
        <f t="shared" si="116"/>
        <v>中中中</v>
      </c>
      <c r="BY227" s="23" t="str">
        <f t="shared" si="105"/>
        <v>79</v>
      </c>
      <c r="BZ227" s="24" t="str">
        <f t="array" ref="BZ227">_xlfn.TEXTJOIN("",TRUE,IF(ISNUMBER(FIND(MID(BY226&amp;Q226,ROW($1:$4),1),BY227&amp;Q227)),MID(BY226&amp;Q226,ROW($1:$4),1),""))</f>
        <v>87</v>
      </c>
      <c r="CA227" s="25" t="str">
        <f t="array" ref="CA227">_xlfn.TEXTJOIN("",TRUE,IF(ISERROR(FIND(ROW($1:$10)-1,BY227&amp;BZ227)),ROW($1:$10)-1,""))</f>
        <v>0123456</v>
      </c>
      <c r="CB227" s="26" t="str">
        <f t="shared" si="117"/>
        <v>邻传孤</v>
      </c>
      <c r="CC227" s="27" t="str">
        <f t="shared" si="118"/>
        <v>24</v>
      </c>
      <c r="CD227" s="27" t="str">
        <f t="array" ref="CD227">_xlfn.TEXTJOIN("",TRUE,IF(ISNUMBER(FIND(MID(CC226&amp;R226,ROW($1:$4),1),CC227&amp;R227)),MID(CC226&amp;R226,ROW($1:$4),1),""))</f>
        <v>34</v>
      </c>
      <c r="CE227" s="27" t="str">
        <f t="array" ref="CE227">_xlfn.TEXTJOIN("",TRUE,IF(ISERROR(FIND(ROW($1:$10)-1,CC227&amp;CD227)),ROW($1:$10)-1,""))</f>
        <v>0156789</v>
      </c>
      <c r="CF227" s="17" t="str">
        <f t="shared" si="119"/>
        <v>邻传孤</v>
      </c>
      <c r="CG227" s="22" t="str">
        <f t="shared" si="120"/>
        <v>46</v>
      </c>
      <c r="CH227" s="22" t="str">
        <f t="array" ref="CH227">_xlfn.TEXTJOIN("",TRUE,IF(ISNUMBER(FIND(MID(CG226&amp;S226,ROW($1:$4),1),CG227&amp;S227)),MID(CG226&amp;S226,ROW($1:$4),1),""))</f>
        <v>4</v>
      </c>
      <c r="CI227" s="22" t="str">
        <f t="array" ref="CI227">_xlfn.TEXTJOIN("",TRUE,IF(ISERROR(FIND(ROW($1:$10)-1,CG227&amp;CH227)),ROW($1:$10)-1,""))</f>
        <v>01235789</v>
      </c>
      <c r="CJ227" s="28" t="str">
        <f t="shared" si="121"/>
        <v>邻传孤</v>
      </c>
    </row>
    <row r="228" spans="1:88">
      <c r="A228" s="32">
        <v>2025003</v>
      </c>
      <c r="B228" s="8" t="s">
        <v>211</v>
      </c>
      <c r="C228" s="49">
        <f t="shared" si="125"/>
        <v>7</v>
      </c>
      <c r="D228" s="50">
        <f t="shared" si="126"/>
        <v>7</v>
      </c>
      <c r="E228" s="51">
        <f t="shared" si="102"/>
        <v>2.3333333333333299</v>
      </c>
      <c r="F228" s="52">
        <f>MAX(MID(B228,{1,2,3},1)*1)-MIN(MID(B228,{1,2,3},1)*1)</f>
        <v>3</v>
      </c>
      <c r="G228" s="104">
        <v>0</v>
      </c>
      <c r="H228" s="104">
        <v>1</v>
      </c>
      <c r="I228" s="104">
        <v>2</v>
      </c>
      <c r="J228" s="104">
        <v>3</v>
      </c>
      <c r="K228" s="104">
        <v>4</v>
      </c>
      <c r="L228" s="104">
        <v>5</v>
      </c>
      <c r="M228" s="104">
        <v>6</v>
      </c>
      <c r="N228" s="104">
        <v>7</v>
      </c>
      <c r="O228" s="104">
        <v>8</v>
      </c>
      <c r="P228" s="104">
        <v>9</v>
      </c>
      <c r="Q228" s="53">
        <f t="shared" si="127"/>
        <v>1</v>
      </c>
      <c r="R228" s="53">
        <f t="shared" si="128"/>
        <v>2</v>
      </c>
      <c r="S228" s="53">
        <f t="shared" si="129"/>
        <v>3</v>
      </c>
      <c r="T228" s="101">
        <f t="shared" si="103"/>
        <v>6</v>
      </c>
      <c r="U228" s="15" t="str">
        <f>_xlfn.TEXTJOIN(", ",TRUE,ABS(MID(B228,{1,1,2},1)-MID(B228,{2,3,3},1)))</f>
        <v>1, 2, 3</v>
      </c>
      <c r="V228" s="54">
        <v>0</v>
      </c>
      <c r="W228" s="54">
        <v>1</v>
      </c>
      <c r="X228" s="54">
        <v>2</v>
      </c>
      <c r="Y228" s="54">
        <v>3</v>
      </c>
      <c r="Z228" s="54">
        <v>4</v>
      </c>
      <c r="AA228" s="54">
        <v>5</v>
      </c>
      <c r="AB228" s="54">
        <v>6</v>
      </c>
      <c r="AC228" s="54">
        <v>7</v>
      </c>
      <c r="AD228" s="54">
        <v>8</v>
      </c>
      <c r="AE228" s="54">
        <v>9</v>
      </c>
      <c r="AF228" s="55">
        <v>0</v>
      </c>
      <c r="AG228" s="55">
        <v>1</v>
      </c>
      <c r="AH228" s="55">
        <v>2</v>
      </c>
      <c r="AI228" s="55">
        <v>3</v>
      </c>
      <c r="AJ228" s="55">
        <v>4</v>
      </c>
      <c r="AK228" s="55">
        <v>5</v>
      </c>
      <c r="AL228" s="55">
        <v>6</v>
      </c>
      <c r="AM228" s="55">
        <v>7</v>
      </c>
      <c r="AN228" s="55">
        <v>8</v>
      </c>
      <c r="AO228" s="55">
        <v>9</v>
      </c>
      <c r="AP228" s="105">
        <v>0</v>
      </c>
      <c r="AQ228" s="105">
        <v>1</v>
      </c>
      <c r="AR228" s="105">
        <v>2</v>
      </c>
      <c r="AS228" s="105">
        <v>3</v>
      </c>
      <c r="AT228" s="105">
        <v>4</v>
      </c>
      <c r="AU228" s="105">
        <v>5</v>
      </c>
      <c r="AV228" s="105">
        <v>6</v>
      </c>
      <c r="AW228" s="105">
        <v>7</v>
      </c>
      <c r="AX228" s="105">
        <v>8</v>
      </c>
      <c r="AY228" s="105">
        <v>9</v>
      </c>
      <c r="AZ228" s="56">
        <v>0</v>
      </c>
      <c r="BA228" s="56">
        <v>1</v>
      </c>
      <c r="BB228" s="56">
        <v>2</v>
      </c>
      <c r="BC228" s="56">
        <v>3</v>
      </c>
      <c r="BD228" s="56">
        <v>4</v>
      </c>
      <c r="BE228" s="56">
        <v>5</v>
      </c>
      <c r="BF228" s="56">
        <v>6</v>
      </c>
      <c r="BG228" s="56">
        <v>7</v>
      </c>
      <c r="BH228" s="56">
        <v>8</v>
      </c>
      <c r="BI228" s="56">
        <v>9</v>
      </c>
      <c r="BJ228" s="57" t="str">
        <f t="shared" si="104"/>
        <v>紧凑型</v>
      </c>
      <c r="BK228" s="13">
        <f t="shared" si="100"/>
        <v>1</v>
      </c>
      <c r="BL228" s="13">
        <f t="shared" si="101"/>
        <v>3</v>
      </c>
      <c r="BM228" s="18" t="str">
        <f t="shared" si="111"/>
        <v/>
      </c>
      <c r="BN228" s="19" t="str">
        <f t="shared" si="112"/>
        <v/>
      </c>
      <c r="BO228" s="19" t="str">
        <f t="array" ref="BO228">_xlfn.TEXTJOIN("",TRUE,IF(ISERROR(FIND(ROW($1:$10)-1,BM228&amp;BN228)),ROW($1:$10)-1,""))</f>
        <v>0123456789</v>
      </c>
      <c r="BP228" s="20" t="str">
        <f t="shared" si="113"/>
        <v>中中中</v>
      </c>
      <c r="BQ228" s="21" t="str">
        <f t="shared" si="124"/>
        <v/>
      </c>
      <c r="BR228" s="21" t="str">
        <f t="shared" si="122"/>
        <v/>
      </c>
      <c r="BS228" s="21" t="str">
        <f t="array" ref="BS228">_xlfn.TEXTJOIN("",TRUE,IF(ISERROR(FIND(ROW($1:$10)-1,BQ228&amp;BR228)),ROW($1:$10)-1,""))</f>
        <v>0123456789</v>
      </c>
      <c r="BT228" s="20" t="str">
        <f t="shared" si="114"/>
        <v>中中中</v>
      </c>
      <c r="BU228" s="22">
        <f t="shared" si="115"/>
        <v>3</v>
      </c>
      <c r="BV228" s="22">
        <f t="shared" si="123"/>
        <v>3</v>
      </c>
      <c r="BW228" s="22" t="str">
        <f t="array" ref="BW228">_xlfn.TEXTJOIN("",TRUE,IF(ISERROR(FIND(ROW($1:$10)-1,BU228&amp;BV228)),ROW($1:$10)-1,""))</f>
        <v>012456789</v>
      </c>
      <c r="BX228" s="20" t="str">
        <f t="shared" si="116"/>
        <v>复隔中</v>
      </c>
      <c r="BY228" s="23" t="str">
        <f t="shared" si="105"/>
        <v>02</v>
      </c>
      <c r="BZ228" s="24" t="str">
        <f t="array" ref="BZ228">_xlfn.TEXTJOIN("",TRUE,IF(ISNUMBER(FIND(MID(BY227&amp;Q227,ROW($1:$4),1),BY228&amp;Q228)),MID(BY227&amp;Q227,ROW($1:$4),1),""))</f>
        <v/>
      </c>
      <c r="CA228" s="25" t="str">
        <f t="array" ref="CA228">_xlfn.TEXTJOIN("",TRUE,IF(ISERROR(FIND(ROW($1:$10)-1,BY228&amp;BZ228)),ROW($1:$10)-1,""))</f>
        <v>13456789</v>
      </c>
      <c r="CB228" s="26" t="str">
        <f t="shared" si="117"/>
        <v>邻孤孤</v>
      </c>
      <c r="CC228" s="27" t="str">
        <f t="shared" si="118"/>
        <v>13</v>
      </c>
      <c r="CD228" s="27" t="str">
        <f t="array" ref="CD228">_xlfn.TEXTJOIN("",TRUE,IF(ISNUMBER(FIND(MID(CC227&amp;R227,ROW($1:$4),1),CC228&amp;R228)),MID(CC227&amp;R227,ROW($1:$4),1),""))</f>
        <v>23</v>
      </c>
      <c r="CE228" s="27" t="str">
        <f t="array" ref="CE228">_xlfn.TEXTJOIN("",TRUE,IF(ISERROR(FIND(ROW($1:$10)-1,CC228&amp;CD228)),ROW($1:$10)-1,""))</f>
        <v>0456789</v>
      </c>
      <c r="CF228" s="17" t="str">
        <f t="shared" si="119"/>
        <v>邻传孤</v>
      </c>
      <c r="CG228" s="22" t="str">
        <f t="shared" si="120"/>
        <v>24</v>
      </c>
      <c r="CH228" s="22" t="str">
        <f t="array" ref="CH228">_xlfn.TEXTJOIN("",TRUE,IF(ISNUMBER(FIND(MID(CG227&amp;S227,ROW($1:$4),1),CG228&amp;S228)),MID(CG227&amp;S227,ROW($1:$4),1),""))</f>
        <v>4</v>
      </c>
      <c r="CI228" s="22" t="str">
        <f t="array" ref="CI228">_xlfn.TEXTJOIN("",TRUE,IF(ISERROR(FIND(ROW($1:$10)-1,CG228&amp;CH228)),ROW($1:$10)-1,""))</f>
        <v>01356789</v>
      </c>
      <c r="CJ228" s="28" t="str">
        <f t="shared" si="121"/>
        <v>邻传孤</v>
      </c>
    </row>
    <row r="229" spans="1:88">
      <c r="A229" s="32">
        <v>2025004</v>
      </c>
      <c r="B229" s="8" t="s">
        <v>218</v>
      </c>
      <c r="C229" s="49">
        <f t="shared" si="125"/>
        <v>13</v>
      </c>
      <c r="D229" s="50">
        <f t="shared" si="126"/>
        <v>3</v>
      </c>
      <c r="E229" s="51">
        <f t="shared" si="102"/>
        <v>4.3333333333333304</v>
      </c>
      <c r="F229" s="52">
        <f>MAX(MID(B229,{1,2,3},1)*1)-MIN(MID(B229,{1,2,3},1)*1)</f>
        <v>3</v>
      </c>
      <c r="G229" s="104">
        <v>0</v>
      </c>
      <c r="H229" s="104">
        <v>1</v>
      </c>
      <c r="I229" s="104">
        <v>2</v>
      </c>
      <c r="J229" s="104">
        <v>3</v>
      </c>
      <c r="K229" s="104">
        <v>4</v>
      </c>
      <c r="L229" s="104">
        <v>5</v>
      </c>
      <c r="M229" s="104">
        <v>6</v>
      </c>
      <c r="N229" s="104">
        <v>7</v>
      </c>
      <c r="O229" s="104">
        <v>8</v>
      </c>
      <c r="P229" s="104">
        <v>9</v>
      </c>
      <c r="Q229" s="53">
        <f t="shared" si="127"/>
        <v>3</v>
      </c>
      <c r="R229" s="53">
        <f t="shared" si="128"/>
        <v>2</v>
      </c>
      <c r="S229" s="53">
        <f t="shared" si="129"/>
        <v>1</v>
      </c>
      <c r="T229" s="101">
        <f t="shared" si="103"/>
        <v>6</v>
      </c>
      <c r="U229" s="15" t="str">
        <f>_xlfn.TEXTJOIN(", ",TRUE,ABS(MID(B229,{1,1,2},1)-MID(B229,{2,3,3},1)))</f>
        <v>3, 2, 1</v>
      </c>
      <c r="V229" s="54">
        <v>0</v>
      </c>
      <c r="W229" s="54">
        <v>1</v>
      </c>
      <c r="X229" s="54">
        <v>2</v>
      </c>
      <c r="Y229" s="54">
        <v>3</v>
      </c>
      <c r="Z229" s="54">
        <v>4</v>
      </c>
      <c r="AA229" s="54">
        <v>5</v>
      </c>
      <c r="AB229" s="54">
        <v>6</v>
      </c>
      <c r="AC229" s="54">
        <v>7</v>
      </c>
      <c r="AD229" s="54">
        <v>8</v>
      </c>
      <c r="AE229" s="54">
        <v>9</v>
      </c>
      <c r="AF229" s="55">
        <v>0</v>
      </c>
      <c r="AG229" s="55">
        <v>1</v>
      </c>
      <c r="AH229" s="55">
        <v>2</v>
      </c>
      <c r="AI229" s="55">
        <v>3</v>
      </c>
      <c r="AJ229" s="55">
        <v>4</v>
      </c>
      <c r="AK229" s="55">
        <v>5</v>
      </c>
      <c r="AL229" s="55">
        <v>6</v>
      </c>
      <c r="AM229" s="55">
        <v>7</v>
      </c>
      <c r="AN229" s="55">
        <v>8</v>
      </c>
      <c r="AO229" s="55">
        <v>9</v>
      </c>
      <c r="AP229" s="105">
        <v>0</v>
      </c>
      <c r="AQ229" s="105">
        <v>1</v>
      </c>
      <c r="AR229" s="105">
        <v>2</v>
      </c>
      <c r="AS229" s="105">
        <v>3</v>
      </c>
      <c r="AT229" s="105">
        <v>4</v>
      </c>
      <c r="AU229" s="105">
        <v>5</v>
      </c>
      <c r="AV229" s="105">
        <v>6</v>
      </c>
      <c r="AW229" s="105">
        <v>7</v>
      </c>
      <c r="AX229" s="105">
        <v>8</v>
      </c>
      <c r="AY229" s="105">
        <v>9</v>
      </c>
      <c r="AZ229" s="56">
        <v>0</v>
      </c>
      <c r="BA229" s="56">
        <v>1</v>
      </c>
      <c r="BB229" s="56">
        <v>2</v>
      </c>
      <c r="BC229" s="56">
        <v>3</v>
      </c>
      <c r="BD229" s="56">
        <v>4</v>
      </c>
      <c r="BE229" s="56">
        <v>5</v>
      </c>
      <c r="BF229" s="56">
        <v>6</v>
      </c>
      <c r="BG229" s="56">
        <v>7</v>
      </c>
      <c r="BH229" s="56">
        <v>8</v>
      </c>
      <c r="BI229" s="56">
        <v>9</v>
      </c>
      <c r="BJ229" s="57" t="str">
        <f t="shared" si="104"/>
        <v>紧凑型</v>
      </c>
      <c r="BK229" s="13">
        <f t="shared" si="100"/>
        <v>1</v>
      </c>
      <c r="BL229" s="13">
        <f t="shared" si="101"/>
        <v>3</v>
      </c>
      <c r="BM229" s="18">
        <f t="shared" si="111"/>
        <v>3</v>
      </c>
      <c r="BN229" s="19">
        <f t="shared" si="112"/>
        <v>3</v>
      </c>
      <c r="BO229" s="19" t="str">
        <f t="array" ref="BO229">_xlfn.TEXTJOIN("",TRUE,IF(ISERROR(FIND(ROW($1:$10)-1,BM229&amp;BN229)),ROW($1:$10)-1,""))</f>
        <v>012456789</v>
      </c>
      <c r="BP229" s="20" t="str">
        <f t="shared" si="113"/>
        <v>复隔中</v>
      </c>
      <c r="BQ229" s="21">
        <f t="shared" si="124"/>
        <v>2</v>
      </c>
      <c r="BR229" s="21" t="str">
        <f t="shared" si="122"/>
        <v/>
      </c>
      <c r="BS229" s="21" t="str">
        <f t="array" ref="BS229">_xlfn.TEXTJOIN("",TRUE,IF(ISERROR(FIND(ROW($1:$10)-1,BQ229&amp;BR229)),ROW($1:$10)-1,""))</f>
        <v>013456789</v>
      </c>
      <c r="BT229" s="20" t="str">
        <f t="shared" si="114"/>
        <v>复中中</v>
      </c>
      <c r="BU229" s="22">
        <f t="shared" si="115"/>
        <v>1</v>
      </c>
      <c r="BV229" s="22" t="str">
        <f t="shared" si="123"/>
        <v/>
      </c>
      <c r="BW229" s="22" t="str">
        <f t="array" ref="BW229">_xlfn.TEXTJOIN("",TRUE,IF(ISERROR(FIND(ROW($1:$10)-1,BU229&amp;BV229)),ROW($1:$10)-1,""))</f>
        <v>023456789</v>
      </c>
      <c r="BX229" s="20" t="str">
        <f t="shared" si="116"/>
        <v>复中中</v>
      </c>
      <c r="BY229" s="23" t="str">
        <f t="shared" si="105"/>
        <v>24</v>
      </c>
      <c r="BZ229" s="24" t="str">
        <f t="array" ref="BZ229">_xlfn.TEXTJOIN("",TRUE,IF(ISNUMBER(FIND(MID(BY228&amp;Q228,ROW($1:$4),1),BY229&amp;Q229)),MID(BY228&amp;Q228,ROW($1:$4),1),""))</f>
        <v>2</v>
      </c>
      <c r="CA229" s="25" t="str">
        <f t="array" ref="CA229">_xlfn.TEXTJOIN("",TRUE,IF(ISERROR(FIND(ROW($1:$10)-1,BY229&amp;BZ229)),ROW($1:$10)-1,""))</f>
        <v>01356789</v>
      </c>
      <c r="CB229" s="26" t="str">
        <f t="shared" si="117"/>
        <v>邻传孤</v>
      </c>
      <c r="CC229" s="27" t="str">
        <f t="shared" si="118"/>
        <v>13</v>
      </c>
      <c r="CD229" s="27" t="str">
        <f t="array" ref="CD229">_xlfn.TEXTJOIN("",TRUE,IF(ISNUMBER(FIND(MID(CC228&amp;R228,ROW($1:$4),1),CC229&amp;R229)),MID(CC228&amp;R228,ROW($1:$4),1),""))</f>
        <v>132</v>
      </c>
      <c r="CE229" s="27" t="str">
        <f t="array" ref="CE229">_xlfn.TEXTJOIN("",TRUE,IF(ISERROR(FIND(ROW($1:$10)-1,CC229&amp;CD229)),ROW($1:$10)-1,""))</f>
        <v>0456789</v>
      </c>
      <c r="CF229" s="17" t="str">
        <f t="shared" si="119"/>
        <v>邻传孤</v>
      </c>
      <c r="CG229" s="22" t="str">
        <f t="shared" si="120"/>
        <v>02</v>
      </c>
      <c r="CH229" s="22" t="str">
        <f t="array" ref="CH229">_xlfn.TEXTJOIN("",TRUE,IF(ISNUMBER(FIND(MID(CG228&amp;S228,ROW($1:$4),1),CG229&amp;S229)),MID(CG228&amp;S228,ROW($1:$4),1),""))</f>
        <v>2</v>
      </c>
      <c r="CI229" s="22" t="str">
        <f t="array" ref="CI229">_xlfn.TEXTJOIN("",TRUE,IF(ISERROR(FIND(ROW($1:$10)-1,CG229&amp;CH229)),ROW($1:$10)-1,""))</f>
        <v>13456789</v>
      </c>
      <c r="CJ229" s="28" t="str">
        <f t="shared" si="121"/>
        <v>邻传孤</v>
      </c>
    </row>
    <row r="230" spans="1:88">
      <c r="A230" s="32">
        <v>2025005</v>
      </c>
      <c r="B230" s="8" t="s">
        <v>219</v>
      </c>
      <c r="C230" s="49">
        <f t="shared" si="125"/>
        <v>13</v>
      </c>
      <c r="D230" s="50">
        <f t="shared" si="126"/>
        <v>3</v>
      </c>
      <c r="E230" s="51">
        <f t="shared" si="102"/>
        <v>4.3333333333333304</v>
      </c>
      <c r="F230" s="52">
        <f>MAX(MID(B230,{1,2,3},1)*1)-MIN(MID(B230,{1,2,3},1)*1)</f>
        <v>8</v>
      </c>
      <c r="G230" s="104">
        <v>0</v>
      </c>
      <c r="H230" s="104">
        <v>1</v>
      </c>
      <c r="I230" s="104">
        <v>2</v>
      </c>
      <c r="J230" s="104">
        <v>3</v>
      </c>
      <c r="K230" s="104">
        <v>4</v>
      </c>
      <c r="L230" s="104">
        <v>5</v>
      </c>
      <c r="M230" s="104">
        <v>6</v>
      </c>
      <c r="N230" s="104">
        <v>7</v>
      </c>
      <c r="O230" s="104">
        <v>8</v>
      </c>
      <c r="P230" s="104">
        <v>9</v>
      </c>
      <c r="Q230" s="53">
        <f t="shared" si="127"/>
        <v>8</v>
      </c>
      <c r="R230" s="53">
        <f t="shared" si="128"/>
        <v>5</v>
      </c>
      <c r="S230" s="53">
        <f t="shared" si="129"/>
        <v>3</v>
      </c>
      <c r="T230" s="101">
        <f t="shared" si="103"/>
        <v>16</v>
      </c>
      <c r="U230" s="15" t="str">
        <f>_xlfn.TEXTJOIN(", ",TRUE,ABS(MID(B230,{1,1,2},1)-MID(B230,{2,3,3},1)))</f>
        <v>8, 5, 3</v>
      </c>
      <c r="V230" s="54">
        <v>0</v>
      </c>
      <c r="W230" s="54">
        <v>1</v>
      </c>
      <c r="X230" s="54">
        <v>2</v>
      </c>
      <c r="Y230" s="54">
        <v>3</v>
      </c>
      <c r="Z230" s="54">
        <v>4</v>
      </c>
      <c r="AA230" s="54">
        <v>5</v>
      </c>
      <c r="AB230" s="54">
        <v>6</v>
      </c>
      <c r="AC230" s="54">
        <v>7</v>
      </c>
      <c r="AD230" s="54">
        <v>8</v>
      </c>
      <c r="AE230" s="54">
        <v>9</v>
      </c>
      <c r="AF230" s="55">
        <v>0</v>
      </c>
      <c r="AG230" s="55">
        <v>1</v>
      </c>
      <c r="AH230" s="55">
        <v>2</v>
      </c>
      <c r="AI230" s="55">
        <v>3</v>
      </c>
      <c r="AJ230" s="55">
        <v>4</v>
      </c>
      <c r="AK230" s="55">
        <v>5</v>
      </c>
      <c r="AL230" s="55">
        <v>6</v>
      </c>
      <c r="AM230" s="55">
        <v>7</v>
      </c>
      <c r="AN230" s="55">
        <v>8</v>
      </c>
      <c r="AO230" s="55">
        <v>9</v>
      </c>
      <c r="AP230" s="105">
        <v>0</v>
      </c>
      <c r="AQ230" s="105">
        <v>1</v>
      </c>
      <c r="AR230" s="105">
        <v>2</v>
      </c>
      <c r="AS230" s="105">
        <v>3</v>
      </c>
      <c r="AT230" s="105">
        <v>4</v>
      </c>
      <c r="AU230" s="105">
        <v>5</v>
      </c>
      <c r="AV230" s="105">
        <v>6</v>
      </c>
      <c r="AW230" s="105">
        <v>7</v>
      </c>
      <c r="AX230" s="105">
        <v>8</v>
      </c>
      <c r="AY230" s="105">
        <v>9</v>
      </c>
      <c r="AZ230" s="56">
        <v>0</v>
      </c>
      <c r="BA230" s="56">
        <v>1</v>
      </c>
      <c r="BB230" s="56">
        <v>2</v>
      </c>
      <c r="BC230" s="56">
        <v>3</v>
      </c>
      <c r="BD230" s="56">
        <v>4</v>
      </c>
      <c r="BE230" s="56">
        <v>5</v>
      </c>
      <c r="BF230" s="56">
        <v>6</v>
      </c>
      <c r="BG230" s="56">
        <v>7</v>
      </c>
      <c r="BH230" s="56">
        <v>8</v>
      </c>
      <c r="BI230" s="56">
        <v>9</v>
      </c>
      <c r="BJ230" s="57" t="str">
        <f t="shared" si="104"/>
        <v>松散型</v>
      </c>
      <c r="BK230" s="13">
        <f t="shared" si="100"/>
        <v>3</v>
      </c>
      <c r="BL230" s="13">
        <f t="shared" si="101"/>
        <v>8</v>
      </c>
      <c r="BM230" s="18" t="str">
        <f t="shared" si="111"/>
        <v/>
      </c>
      <c r="BN230" s="19" t="str">
        <f t="shared" si="112"/>
        <v/>
      </c>
      <c r="BO230" s="19" t="str">
        <f t="array" ref="BO230">_xlfn.TEXTJOIN("",TRUE,IF(ISERROR(FIND(ROW($1:$10)-1,BM230&amp;BN230)),ROW($1:$10)-1,""))</f>
        <v>0123456789</v>
      </c>
      <c r="BP230" s="20" t="str">
        <f t="shared" si="113"/>
        <v>中中中</v>
      </c>
      <c r="BQ230" s="21" t="str">
        <f t="shared" si="124"/>
        <v/>
      </c>
      <c r="BR230" s="21" t="str">
        <f t="shared" si="122"/>
        <v/>
      </c>
      <c r="BS230" s="21" t="str">
        <f t="array" ref="BS230">_xlfn.TEXTJOIN("",TRUE,IF(ISERROR(FIND(ROW($1:$10)-1,BQ230&amp;BR230)),ROW($1:$10)-1,""))</f>
        <v>0123456789</v>
      </c>
      <c r="BT230" s="20" t="str">
        <f t="shared" si="114"/>
        <v>中中中</v>
      </c>
      <c r="BU230" s="22">
        <f t="shared" si="115"/>
        <v>3</v>
      </c>
      <c r="BV230" s="22">
        <f t="shared" si="123"/>
        <v>3</v>
      </c>
      <c r="BW230" s="22" t="str">
        <f t="array" ref="BW230">_xlfn.TEXTJOIN("",TRUE,IF(ISERROR(FIND(ROW($1:$10)-1,BU230&amp;BV230)),ROW($1:$10)-1,""))</f>
        <v>012456789</v>
      </c>
      <c r="BX230" s="20" t="str">
        <f t="shared" si="116"/>
        <v>复隔中</v>
      </c>
      <c r="BY230" s="23" t="str">
        <f t="shared" si="105"/>
        <v>79</v>
      </c>
      <c r="BZ230" s="24" t="str">
        <f t="array" ref="BZ230">_xlfn.TEXTJOIN("",TRUE,IF(ISNUMBER(FIND(MID(BY229&amp;Q229,ROW($1:$4),1),BY230&amp;Q230)),MID(BY229&amp;Q229,ROW($1:$4),1),""))</f>
        <v/>
      </c>
      <c r="CA230" s="25" t="str">
        <f t="array" ref="CA230">_xlfn.TEXTJOIN("",TRUE,IF(ISERROR(FIND(ROW($1:$10)-1,BY230&amp;BZ230)),ROW($1:$10)-1,""))</f>
        <v>01234568</v>
      </c>
      <c r="CB230" s="26" t="str">
        <f t="shared" si="117"/>
        <v>邻孤孤</v>
      </c>
      <c r="CC230" s="27" t="str">
        <f t="shared" si="118"/>
        <v>46</v>
      </c>
      <c r="CD230" s="27" t="str">
        <f t="array" ref="CD230">_xlfn.TEXTJOIN("",TRUE,IF(ISNUMBER(FIND(MID(CC229&amp;R229,ROW($1:$4),1),CC230&amp;R230)),MID(CC229&amp;R229,ROW($1:$4),1),""))</f>
        <v/>
      </c>
      <c r="CE230" s="27" t="str">
        <f t="array" ref="CE230">_xlfn.TEXTJOIN("",TRUE,IF(ISERROR(FIND(ROW($1:$10)-1,CC230&amp;CD230)),ROW($1:$10)-1,""))</f>
        <v>01235789</v>
      </c>
      <c r="CF230" s="17" t="str">
        <f t="shared" si="119"/>
        <v>邻孤孤</v>
      </c>
      <c r="CG230" s="22" t="str">
        <f t="shared" si="120"/>
        <v>24</v>
      </c>
      <c r="CH230" s="22" t="str">
        <f t="array" ref="CH230">_xlfn.TEXTJOIN("",TRUE,IF(ISNUMBER(FIND(MID(CG229&amp;S229,ROW($1:$4),1),CG230&amp;S230)),MID(CG229&amp;S229,ROW($1:$4),1),""))</f>
        <v>2</v>
      </c>
      <c r="CI230" s="22" t="str">
        <f t="array" ref="CI230">_xlfn.TEXTJOIN("",TRUE,IF(ISERROR(FIND(ROW($1:$10)-1,CG230&amp;CH230)),ROW($1:$10)-1,""))</f>
        <v>01356789</v>
      </c>
      <c r="CJ230" s="28" t="str">
        <f t="shared" si="121"/>
        <v>邻传孤</v>
      </c>
    </row>
    <row r="231" spans="1:88">
      <c r="A231" s="32">
        <v>2025006</v>
      </c>
      <c r="B231" s="8" t="s">
        <v>220</v>
      </c>
      <c r="C231" s="49">
        <f t="shared" si="125"/>
        <v>25</v>
      </c>
      <c r="D231" s="50">
        <f t="shared" si="126"/>
        <v>5</v>
      </c>
      <c r="E231" s="51">
        <f t="shared" si="102"/>
        <v>8.3333333333333304</v>
      </c>
      <c r="F231" s="52">
        <f>MAX(MID(B231,{1,2,3},1)*1)-MIN(MID(B231,{1,2,3},1)*1)</f>
        <v>1</v>
      </c>
      <c r="G231" s="104">
        <v>0</v>
      </c>
      <c r="H231" s="104">
        <v>1</v>
      </c>
      <c r="I231" s="104">
        <v>2</v>
      </c>
      <c r="J231" s="104">
        <v>3</v>
      </c>
      <c r="K231" s="104">
        <v>4</v>
      </c>
      <c r="L231" s="104">
        <v>5</v>
      </c>
      <c r="M231" s="104">
        <v>6</v>
      </c>
      <c r="N231" s="104">
        <v>7</v>
      </c>
      <c r="O231" s="104">
        <v>8</v>
      </c>
      <c r="P231" s="104">
        <v>9</v>
      </c>
      <c r="Q231" s="53">
        <f t="shared" si="127"/>
        <v>1</v>
      </c>
      <c r="R231" s="53">
        <f t="shared" si="128"/>
        <v>0</v>
      </c>
      <c r="S231" s="53">
        <f t="shared" si="129"/>
        <v>1</v>
      </c>
      <c r="T231" s="101">
        <f t="shared" si="103"/>
        <v>2</v>
      </c>
      <c r="U231" s="15" t="str">
        <f>_xlfn.TEXTJOIN(", ",TRUE,ABS(MID(B231,{1,1,2},1)-MID(B231,{2,3,3},1)))</f>
        <v>1, 0, 1</v>
      </c>
      <c r="V231" s="54">
        <v>0</v>
      </c>
      <c r="W231" s="54">
        <v>1</v>
      </c>
      <c r="X231" s="54">
        <v>2</v>
      </c>
      <c r="Y231" s="54">
        <v>3</v>
      </c>
      <c r="Z231" s="54">
        <v>4</v>
      </c>
      <c r="AA231" s="54">
        <v>5</v>
      </c>
      <c r="AB231" s="54">
        <v>6</v>
      </c>
      <c r="AC231" s="54">
        <v>7</v>
      </c>
      <c r="AD231" s="54">
        <v>8</v>
      </c>
      <c r="AE231" s="54">
        <v>9</v>
      </c>
      <c r="AF231" s="55">
        <v>0</v>
      </c>
      <c r="AG231" s="55">
        <v>1</v>
      </c>
      <c r="AH231" s="55">
        <v>2</v>
      </c>
      <c r="AI231" s="55">
        <v>3</v>
      </c>
      <c r="AJ231" s="55">
        <v>4</v>
      </c>
      <c r="AK231" s="55">
        <v>5</v>
      </c>
      <c r="AL231" s="55">
        <v>6</v>
      </c>
      <c r="AM231" s="55">
        <v>7</v>
      </c>
      <c r="AN231" s="55">
        <v>8</v>
      </c>
      <c r="AO231" s="55">
        <v>9</v>
      </c>
      <c r="AP231" s="105">
        <v>0</v>
      </c>
      <c r="AQ231" s="105">
        <v>1</v>
      </c>
      <c r="AR231" s="105">
        <v>2</v>
      </c>
      <c r="AS231" s="105">
        <v>3</v>
      </c>
      <c r="AT231" s="105">
        <v>4</v>
      </c>
      <c r="AU231" s="105">
        <v>5</v>
      </c>
      <c r="AV231" s="105">
        <v>6</v>
      </c>
      <c r="AW231" s="105">
        <v>7</v>
      </c>
      <c r="AX231" s="105">
        <v>8</v>
      </c>
      <c r="AY231" s="105">
        <v>9</v>
      </c>
      <c r="AZ231" s="56">
        <v>0</v>
      </c>
      <c r="BA231" s="56">
        <v>1</v>
      </c>
      <c r="BB231" s="56">
        <v>2</v>
      </c>
      <c r="BC231" s="56">
        <v>3</v>
      </c>
      <c r="BD231" s="56">
        <v>4</v>
      </c>
      <c r="BE231" s="56">
        <v>5</v>
      </c>
      <c r="BF231" s="56">
        <v>6</v>
      </c>
      <c r="BG231" s="56">
        <v>7</v>
      </c>
      <c r="BH231" s="56">
        <v>8</v>
      </c>
      <c r="BI231" s="56">
        <v>9</v>
      </c>
      <c r="BJ231" s="57" t="str">
        <f t="shared" si="104"/>
        <v>紧凑型</v>
      </c>
      <c r="BK231" s="13">
        <f t="shared" si="100"/>
        <v>0</v>
      </c>
      <c r="BL231" s="13">
        <f t="shared" si="101"/>
        <v>1</v>
      </c>
      <c r="BM231" s="18" t="str">
        <f t="shared" si="111"/>
        <v/>
      </c>
      <c r="BN231" s="19">
        <f t="shared" si="112"/>
        <v>1</v>
      </c>
      <c r="BO231" s="19" t="str">
        <f t="array" ref="BO231">_xlfn.TEXTJOIN("",TRUE,IF(ISERROR(FIND(ROW($1:$10)-1,BM231&amp;BN231)),ROW($1:$10)-1,""))</f>
        <v>023456789</v>
      </c>
      <c r="BP231" s="20" t="str">
        <f t="shared" si="113"/>
        <v>中隔中</v>
      </c>
      <c r="BQ231" s="21" t="str">
        <f t="shared" si="124"/>
        <v/>
      </c>
      <c r="BR231" s="21" t="str">
        <f t="shared" si="122"/>
        <v/>
      </c>
      <c r="BS231" s="21" t="str">
        <f t="array" ref="BS231">_xlfn.TEXTJOIN("",TRUE,IF(ISERROR(FIND(ROW($1:$10)-1,BQ231&amp;BR231)),ROW($1:$10)-1,""))</f>
        <v>0123456789</v>
      </c>
      <c r="BT231" s="20" t="str">
        <f t="shared" si="114"/>
        <v>中中中</v>
      </c>
      <c r="BU231" s="22" t="str">
        <f t="shared" si="115"/>
        <v/>
      </c>
      <c r="BV231" s="22">
        <f t="shared" si="123"/>
        <v>1</v>
      </c>
      <c r="BW231" s="22" t="str">
        <f t="array" ref="BW231">_xlfn.TEXTJOIN("",TRUE,IF(ISERROR(FIND(ROW($1:$10)-1,BU231&amp;BV231)),ROW($1:$10)-1,""))</f>
        <v>023456789</v>
      </c>
      <c r="BX231" s="20" t="str">
        <f t="shared" si="116"/>
        <v>中隔中</v>
      </c>
      <c r="BY231" s="23" t="str">
        <f t="shared" si="105"/>
        <v>02</v>
      </c>
      <c r="BZ231" s="24" t="str">
        <f t="array" ref="BZ231">_xlfn.TEXTJOIN("",TRUE,IF(ISNUMBER(FIND(MID(BY230&amp;Q230,ROW($1:$4),1),BY231&amp;Q231)),MID(BY230&amp;Q230,ROW($1:$4),1),""))</f>
        <v/>
      </c>
      <c r="CA231" s="25" t="str">
        <f t="array" ref="CA231">_xlfn.TEXTJOIN("",TRUE,IF(ISERROR(FIND(ROW($1:$10)-1,BY231&amp;BZ231)),ROW($1:$10)-1,""))</f>
        <v>13456789</v>
      </c>
      <c r="CB231" s="26" t="str">
        <f t="shared" si="117"/>
        <v>邻孤孤</v>
      </c>
      <c r="CC231" s="27" t="str">
        <f t="shared" si="118"/>
        <v>91</v>
      </c>
      <c r="CD231" s="27" t="str">
        <f t="array" ref="CD231">_xlfn.TEXTJOIN("",TRUE,IF(ISNUMBER(FIND(MID(CC230&amp;R230,ROW($1:$4),1),CC231&amp;R231)),MID(CC230&amp;R230,ROW($1:$4),1),""))</f>
        <v/>
      </c>
      <c r="CE231" s="27" t="str">
        <f t="array" ref="CE231">_xlfn.TEXTJOIN("",TRUE,IF(ISERROR(FIND(ROW($1:$10)-1,CC231&amp;CD231)),ROW($1:$10)-1,""))</f>
        <v>02345678</v>
      </c>
      <c r="CF231" s="17" t="str">
        <f t="shared" si="119"/>
        <v>邻孤孤</v>
      </c>
      <c r="CG231" s="22" t="str">
        <f t="shared" si="120"/>
        <v>02</v>
      </c>
      <c r="CH231" s="22" t="str">
        <f t="array" ref="CH231">_xlfn.TEXTJOIN("",TRUE,IF(ISNUMBER(FIND(MID(CG230&amp;S230,ROW($1:$4),1),CG231&amp;S231)),MID(CG230&amp;S230,ROW($1:$4),1),""))</f>
        <v>2</v>
      </c>
      <c r="CI231" s="22" t="str">
        <f t="array" ref="CI231">_xlfn.TEXTJOIN("",TRUE,IF(ISERROR(FIND(ROW($1:$10)-1,CG231&amp;CH231)),ROW($1:$10)-1,""))</f>
        <v>13456789</v>
      </c>
      <c r="CJ231" s="28" t="str">
        <f t="shared" si="121"/>
        <v>邻传孤</v>
      </c>
    </row>
    <row r="232" spans="1:88">
      <c r="A232" s="32">
        <v>2025007</v>
      </c>
      <c r="B232" s="8" t="s">
        <v>221</v>
      </c>
      <c r="C232" s="49">
        <f t="shared" si="125"/>
        <v>6</v>
      </c>
      <c r="D232" s="50">
        <f t="shared" si="126"/>
        <v>6</v>
      </c>
      <c r="E232" s="51">
        <f t="shared" si="102"/>
        <v>2</v>
      </c>
      <c r="F232" s="52">
        <f>MAX(MID(B232,{1,2,3},1)*1)-MIN(MID(B232,{1,2,3},1)*1)</f>
        <v>3</v>
      </c>
      <c r="G232" s="104">
        <v>0</v>
      </c>
      <c r="H232" s="104">
        <v>1</v>
      </c>
      <c r="I232" s="104">
        <v>2</v>
      </c>
      <c r="J232" s="104">
        <v>3</v>
      </c>
      <c r="K232" s="104">
        <v>4</v>
      </c>
      <c r="L232" s="104">
        <v>5</v>
      </c>
      <c r="M232" s="104">
        <v>6</v>
      </c>
      <c r="N232" s="104">
        <v>7</v>
      </c>
      <c r="O232" s="104">
        <v>8</v>
      </c>
      <c r="P232" s="104">
        <v>9</v>
      </c>
      <c r="Q232" s="53">
        <f t="shared" si="127"/>
        <v>3</v>
      </c>
      <c r="R232" s="53">
        <f t="shared" si="128"/>
        <v>0</v>
      </c>
      <c r="S232" s="53">
        <f t="shared" si="129"/>
        <v>3</v>
      </c>
      <c r="T232" s="101">
        <f t="shared" si="103"/>
        <v>6</v>
      </c>
      <c r="U232" s="15" t="str">
        <f>_xlfn.TEXTJOIN(", ",TRUE,ABS(MID(B232,{1,1,2},1)-MID(B232,{2,3,3},1)))</f>
        <v>3, 0, 3</v>
      </c>
      <c r="V232" s="54">
        <v>0</v>
      </c>
      <c r="W232" s="54">
        <v>1</v>
      </c>
      <c r="X232" s="54">
        <v>2</v>
      </c>
      <c r="Y232" s="54">
        <v>3</v>
      </c>
      <c r="Z232" s="54">
        <v>4</v>
      </c>
      <c r="AA232" s="54">
        <v>5</v>
      </c>
      <c r="AB232" s="54">
        <v>6</v>
      </c>
      <c r="AC232" s="54">
        <v>7</v>
      </c>
      <c r="AD232" s="54">
        <v>8</v>
      </c>
      <c r="AE232" s="54">
        <v>9</v>
      </c>
      <c r="AF232" s="55">
        <v>0</v>
      </c>
      <c r="AG232" s="55">
        <v>1</v>
      </c>
      <c r="AH232" s="55">
        <v>2</v>
      </c>
      <c r="AI232" s="55">
        <v>3</v>
      </c>
      <c r="AJ232" s="55">
        <v>4</v>
      </c>
      <c r="AK232" s="55">
        <v>5</v>
      </c>
      <c r="AL232" s="55">
        <v>6</v>
      </c>
      <c r="AM232" s="55">
        <v>7</v>
      </c>
      <c r="AN232" s="55">
        <v>8</v>
      </c>
      <c r="AO232" s="55">
        <v>9</v>
      </c>
      <c r="AP232" s="105">
        <v>0</v>
      </c>
      <c r="AQ232" s="105">
        <v>1</v>
      </c>
      <c r="AR232" s="105">
        <v>2</v>
      </c>
      <c r="AS232" s="105">
        <v>3</v>
      </c>
      <c r="AT232" s="105">
        <v>4</v>
      </c>
      <c r="AU232" s="105">
        <v>5</v>
      </c>
      <c r="AV232" s="105">
        <v>6</v>
      </c>
      <c r="AW232" s="105">
        <v>7</v>
      </c>
      <c r="AX232" s="105">
        <v>8</v>
      </c>
      <c r="AY232" s="105">
        <v>9</v>
      </c>
      <c r="AZ232" s="56">
        <v>0</v>
      </c>
      <c r="BA232" s="56">
        <v>1</v>
      </c>
      <c r="BB232" s="56">
        <v>2</v>
      </c>
      <c r="BC232" s="56">
        <v>3</v>
      </c>
      <c r="BD232" s="56">
        <v>4</v>
      </c>
      <c r="BE232" s="56">
        <v>5</v>
      </c>
      <c r="BF232" s="56">
        <v>6</v>
      </c>
      <c r="BG232" s="56">
        <v>7</v>
      </c>
      <c r="BH232" s="56">
        <v>8</v>
      </c>
      <c r="BI232" s="56">
        <v>9</v>
      </c>
      <c r="BJ232" s="57" t="str">
        <f t="shared" si="104"/>
        <v>紧凑型</v>
      </c>
      <c r="BK232" s="13">
        <f t="shared" si="100"/>
        <v>0</v>
      </c>
      <c r="BL232" s="13">
        <f t="shared" si="101"/>
        <v>3</v>
      </c>
      <c r="BM232" s="18" t="str">
        <f t="shared" si="111"/>
        <v/>
      </c>
      <c r="BN232" s="19">
        <f t="shared" si="112"/>
        <v>3</v>
      </c>
      <c r="BO232" s="19" t="str">
        <f t="array" ref="BO232">_xlfn.TEXTJOIN("",TRUE,IF(ISERROR(FIND(ROW($1:$10)-1,BM232&amp;BN232)),ROW($1:$10)-1,""))</f>
        <v>012456789</v>
      </c>
      <c r="BP232" s="20" t="str">
        <f t="shared" si="113"/>
        <v>中隔中</v>
      </c>
      <c r="BQ232" s="21">
        <f t="shared" si="124"/>
        <v>0</v>
      </c>
      <c r="BR232" s="21" t="str">
        <f t="shared" si="122"/>
        <v/>
      </c>
      <c r="BS232" s="21" t="str">
        <f t="array" ref="BS232">_xlfn.TEXTJOIN("",TRUE,IF(ISERROR(FIND(ROW($1:$10)-1,BQ232&amp;BR232)),ROW($1:$10)-1,""))</f>
        <v>123456789</v>
      </c>
      <c r="BT232" s="20" t="str">
        <f t="shared" si="114"/>
        <v>复中中</v>
      </c>
      <c r="BU232" s="22" t="str">
        <f t="shared" si="115"/>
        <v/>
      </c>
      <c r="BV232" s="22">
        <f t="shared" si="123"/>
        <v>3</v>
      </c>
      <c r="BW232" s="22" t="str">
        <f t="array" ref="BW232">_xlfn.TEXTJOIN("",TRUE,IF(ISERROR(FIND(ROW($1:$10)-1,BU232&amp;BV232)),ROW($1:$10)-1,""))</f>
        <v>012456789</v>
      </c>
      <c r="BX232" s="20" t="str">
        <f t="shared" si="116"/>
        <v>中隔中</v>
      </c>
      <c r="BY232" s="23" t="str">
        <f t="shared" si="105"/>
        <v>24</v>
      </c>
      <c r="BZ232" s="24" t="str">
        <f t="array" ref="BZ232">_xlfn.TEXTJOIN("",TRUE,IF(ISNUMBER(FIND(MID(BY231&amp;Q231,ROW($1:$4),1),BY232&amp;Q232)),MID(BY231&amp;Q231,ROW($1:$4),1),""))</f>
        <v>2</v>
      </c>
      <c r="CA232" s="25" t="str">
        <f t="array" ref="CA232">_xlfn.TEXTJOIN("",TRUE,IF(ISERROR(FIND(ROW($1:$10)-1,BY232&amp;BZ232)),ROW($1:$10)-1,""))</f>
        <v>01356789</v>
      </c>
      <c r="CB232" s="26" t="str">
        <f t="shared" si="117"/>
        <v>邻传孤</v>
      </c>
      <c r="CC232" s="27" t="str">
        <f t="shared" si="118"/>
        <v>91</v>
      </c>
      <c r="CD232" s="27" t="str">
        <f t="array" ref="CD232">_xlfn.TEXTJOIN("",TRUE,IF(ISNUMBER(FIND(MID(CC231&amp;R231,ROW($1:$4),1),CC232&amp;R232)),MID(CC231&amp;R231,ROW($1:$4),1),""))</f>
        <v>910</v>
      </c>
      <c r="CE232" s="27" t="str">
        <f t="array" ref="CE232">_xlfn.TEXTJOIN("",TRUE,IF(ISERROR(FIND(ROW($1:$10)-1,CC232&amp;CD232)),ROW($1:$10)-1,""))</f>
        <v>2345678</v>
      </c>
      <c r="CF232" s="17" t="str">
        <f t="shared" si="119"/>
        <v>邻传孤</v>
      </c>
      <c r="CG232" s="22" t="str">
        <f t="shared" si="120"/>
        <v>24</v>
      </c>
      <c r="CH232" s="22" t="str">
        <f t="array" ref="CH232">_xlfn.TEXTJOIN("",TRUE,IF(ISNUMBER(FIND(MID(CG231&amp;S231,ROW($1:$4),1),CG232&amp;S232)),MID(CG231&amp;S231,ROW($1:$4),1),""))</f>
        <v>2</v>
      </c>
      <c r="CI232" s="22" t="str">
        <f t="array" ref="CI232">_xlfn.TEXTJOIN("",TRUE,IF(ISERROR(FIND(ROW($1:$10)-1,CG232&amp;CH232)),ROW($1:$10)-1,""))</f>
        <v>01356789</v>
      </c>
      <c r="CJ232" s="28" t="str">
        <f t="shared" si="121"/>
        <v>邻传孤</v>
      </c>
    </row>
    <row r="233" spans="1:88">
      <c r="A233" s="32">
        <v>2025008</v>
      </c>
      <c r="B233" s="8" t="s">
        <v>222</v>
      </c>
      <c r="C233" s="49">
        <f t="shared" ref="C233:C257" si="130">LEFT(B233,1)+MID(B233,2,1)+RIGHT(B233,1)</f>
        <v>8</v>
      </c>
      <c r="D233" s="50">
        <f t="shared" ref="D233:D257" si="131">MOD(LEFT(B233,1)+MID(B233,2,1)+RIGHT(B233,1),10)</f>
        <v>8</v>
      </c>
      <c r="E233" s="51">
        <f t="shared" si="102"/>
        <v>2.6666666666666701</v>
      </c>
      <c r="F233" s="52">
        <f>MAX(MID(B233,{1,2,3},1)*1)-MIN(MID(B233,{1,2,3},1)*1)</f>
        <v>6</v>
      </c>
      <c r="G233" s="104">
        <v>0</v>
      </c>
      <c r="H233" s="104">
        <v>1</v>
      </c>
      <c r="I233" s="104">
        <v>2</v>
      </c>
      <c r="J233" s="104">
        <v>3</v>
      </c>
      <c r="K233" s="104">
        <v>4</v>
      </c>
      <c r="L233" s="104">
        <v>5</v>
      </c>
      <c r="M233" s="104">
        <v>6</v>
      </c>
      <c r="N233" s="104">
        <v>7</v>
      </c>
      <c r="O233" s="104">
        <v>8</v>
      </c>
      <c r="P233" s="104">
        <v>9</v>
      </c>
      <c r="Q233" s="53">
        <f t="shared" ref="Q233:Q257" si="132">ABS(LEFT(B233,1)-MID(B233,2,1))</f>
        <v>4</v>
      </c>
      <c r="R233" s="53">
        <f t="shared" ref="R233:R257" si="133">ABS(LEFT(B233,1)-RIGHT(B233,1))</f>
        <v>2</v>
      </c>
      <c r="S233" s="53">
        <f t="shared" ref="S233:S257" si="134">ABS(MID(B233,2,1)-RIGHT(B233,1))</f>
        <v>6</v>
      </c>
      <c r="T233" s="101">
        <f t="shared" si="103"/>
        <v>12</v>
      </c>
      <c r="U233" s="15" t="str">
        <f>_xlfn.TEXTJOIN(", ",TRUE,ABS(MID(B233,{1,1,2},1)-MID(B233,{2,3,3},1)))</f>
        <v>4, 2, 6</v>
      </c>
      <c r="V233" s="54">
        <v>0</v>
      </c>
      <c r="W233" s="54">
        <v>1</v>
      </c>
      <c r="X233" s="54">
        <v>2</v>
      </c>
      <c r="Y233" s="54">
        <v>3</v>
      </c>
      <c r="Z233" s="54">
        <v>4</v>
      </c>
      <c r="AA233" s="54">
        <v>5</v>
      </c>
      <c r="AB233" s="54">
        <v>6</v>
      </c>
      <c r="AC233" s="54">
        <v>7</v>
      </c>
      <c r="AD233" s="54">
        <v>8</v>
      </c>
      <c r="AE233" s="54">
        <v>9</v>
      </c>
      <c r="AF233" s="55">
        <v>0</v>
      </c>
      <c r="AG233" s="55">
        <v>1</v>
      </c>
      <c r="AH233" s="55">
        <v>2</v>
      </c>
      <c r="AI233" s="55">
        <v>3</v>
      </c>
      <c r="AJ233" s="55">
        <v>4</v>
      </c>
      <c r="AK233" s="55">
        <v>5</v>
      </c>
      <c r="AL233" s="55">
        <v>6</v>
      </c>
      <c r="AM233" s="55">
        <v>7</v>
      </c>
      <c r="AN233" s="55">
        <v>8</v>
      </c>
      <c r="AO233" s="55">
        <v>9</v>
      </c>
      <c r="AP233" s="105">
        <v>0</v>
      </c>
      <c r="AQ233" s="105">
        <v>1</v>
      </c>
      <c r="AR233" s="105">
        <v>2</v>
      </c>
      <c r="AS233" s="105">
        <v>3</v>
      </c>
      <c r="AT233" s="105">
        <v>4</v>
      </c>
      <c r="AU233" s="105">
        <v>5</v>
      </c>
      <c r="AV233" s="105">
        <v>6</v>
      </c>
      <c r="AW233" s="105">
        <v>7</v>
      </c>
      <c r="AX233" s="105">
        <v>8</v>
      </c>
      <c r="AY233" s="105">
        <v>9</v>
      </c>
      <c r="AZ233" s="56">
        <v>0</v>
      </c>
      <c r="BA233" s="56">
        <v>1</v>
      </c>
      <c r="BB233" s="56">
        <v>2</v>
      </c>
      <c r="BC233" s="56">
        <v>3</v>
      </c>
      <c r="BD233" s="56">
        <v>4</v>
      </c>
      <c r="BE233" s="56">
        <v>5</v>
      </c>
      <c r="BF233" s="56">
        <v>6</v>
      </c>
      <c r="BG233" s="56">
        <v>7</v>
      </c>
      <c r="BH233" s="56">
        <v>8</v>
      </c>
      <c r="BI233" s="56">
        <v>9</v>
      </c>
      <c r="BJ233" s="57" t="str">
        <f t="shared" si="104"/>
        <v>松散型</v>
      </c>
      <c r="BK233" s="13">
        <f t="shared" si="100"/>
        <v>2</v>
      </c>
      <c r="BL233" s="13">
        <f t="shared" si="101"/>
        <v>6</v>
      </c>
      <c r="BM233" s="18" t="str">
        <f t="shared" si="111"/>
        <v/>
      </c>
      <c r="BN233" s="19" t="str">
        <f t="shared" si="112"/>
        <v/>
      </c>
      <c r="BO233" s="19" t="str">
        <f t="array" ref="BO233">_xlfn.TEXTJOIN("",TRUE,IF(ISERROR(FIND(ROW($1:$10)-1,BM233&amp;BN233)),ROW($1:$10)-1,""))</f>
        <v>0123456789</v>
      </c>
      <c r="BP233" s="20" t="str">
        <f t="shared" si="113"/>
        <v>中中中</v>
      </c>
      <c r="BQ233" s="21" t="str">
        <f t="shared" si="124"/>
        <v/>
      </c>
      <c r="BR233" s="21" t="str">
        <f t="shared" si="122"/>
        <v/>
      </c>
      <c r="BS233" s="21" t="str">
        <f t="array" ref="BS233">_xlfn.TEXTJOIN("",TRUE,IF(ISERROR(FIND(ROW($1:$10)-1,BQ233&amp;BR233)),ROW($1:$10)-1,""))</f>
        <v>0123456789</v>
      </c>
      <c r="BT233" s="20" t="str">
        <f t="shared" si="114"/>
        <v>中中中</v>
      </c>
      <c r="BU233" s="22" t="str">
        <f t="shared" si="115"/>
        <v/>
      </c>
      <c r="BV233" s="22" t="str">
        <f t="shared" si="123"/>
        <v/>
      </c>
      <c r="BW233" s="22" t="str">
        <f t="array" ref="BW233">_xlfn.TEXTJOIN("",TRUE,IF(ISERROR(FIND(ROW($1:$10)-1,BU233&amp;BV233)),ROW($1:$10)-1,""))</f>
        <v>0123456789</v>
      </c>
      <c r="BX233" s="20" t="str">
        <f t="shared" si="116"/>
        <v>中中中</v>
      </c>
      <c r="BY233" s="23" t="str">
        <f t="shared" si="105"/>
        <v>35</v>
      </c>
      <c r="BZ233" s="24" t="str">
        <f t="array" ref="BZ233">_xlfn.TEXTJOIN("",TRUE,IF(ISNUMBER(FIND(MID(BY232&amp;Q232,ROW($1:$4),1),BY233&amp;Q233)),MID(BY232&amp;Q232,ROW($1:$4),1),""))</f>
        <v>43</v>
      </c>
      <c r="CA233" s="25" t="str">
        <f t="array" ref="CA233">_xlfn.TEXTJOIN("",TRUE,IF(ISERROR(FIND(ROW($1:$10)-1,BY233&amp;BZ233)),ROW($1:$10)-1,""))</f>
        <v>0126789</v>
      </c>
      <c r="CB233" s="26" t="str">
        <f t="shared" si="117"/>
        <v>邻传孤</v>
      </c>
      <c r="CC233" s="27" t="str">
        <f t="shared" si="118"/>
        <v>13</v>
      </c>
      <c r="CD233" s="27" t="str">
        <f t="array" ref="CD233">_xlfn.TEXTJOIN("",TRUE,IF(ISNUMBER(FIND(MID(CC232&amp;R232,ROW($1:$4),1),CC233&amp;R233)),MID(CC232&amp;R232,ROW($1:$4),1),""))</f>
        <v>1</v>
      </c>
      <c r="CE233" s="27" t="str">
        <f t="array" ref="CE233">_xlfn.TEXTJOIN("",TRUE,IF(ISERROR(FIND(ROW($1:$10)-1,CC233&amp;CD233)),ROW($1:$10)-1,""))</f>
        <v>02456789</v>
      </c>
      <c r="CF233" s="17" t="str">
        <f t="shared" si="119"/>
        <v>邻传孤</v>
      </c>
      <c r="CG233" s="22" t="str">
        <f t="shared" si="120"/>
        <v>57</v>
      </c>
      <c r="CH233" s="22" t="str">
        <f t="array" ref="CH233">_xlfn.TEXTJOIN("",TRUE,IF(ISNUMBER(FIND(MID(CG232&amp;S232,ROW($1:$4),1),CG233&amp;S233)),MID(CG232&amp;S232,ROW($1:$4),1),""))</f>
        <v/>
      </c>
      <c r="CI233" s="22" t="str">
        <f t="array" ref="CI233">_xlfn.TEXTJOIN("",TRUE,IF(ISERROR(FIND(ROW($1:$10)-1,CG233&amp;CH233)),ROW($1:$10)-1,""))</f>
        <v>01234689</v>
      </c>
      <c r="CJ233" s="28" t="str">
        <f t="shared" si="121"/>
        <v>邻孤孤</v>
      </c>
    </row>
    <row r="234" spans="1:88">
      <c r="A234" s="32">
        <v>2025009</v>
      </c>
      <c r="B234" s="8" t="s">
        <v>223</v>
      </c>
      <c r="C234" s="49">
        <f t="shared" si="130"/>
        <v>11</v>
      </c>
      <c r="D234" s="50">
        <f t="shared" si="131"/>
        <v>1</v>
      </c>
      <c r="E234" s="51">
        <f t="shared" si="102"/>
        <v>3.6666666666666701</v>
      </c>
      <c r="F234" s="52">
        <f>MAX(MID(B234,{1,2,3},1)*1)-MIN(MID(B234,{1,2,3},1)*1)</f>
        <v>5</v>
      </c>
      <c r="G234" s="104">
        <v>0</v>
      </c>
      <c r="H234" s="104">
        <v>1</v>
      </c>
      <c r="I234" s="104">
        <v>2</v>
      </c>
      <c r="J234" s="104">
        <v>3</v>
      </c>
      <c r="K234" s="104">
        <v>4</v>
      </c>
      <c r="L234" s="104">
        <v>5</v>
      </c>
      <c r="M234" s="104">
        <v>6</v>
      </c>
      <c r="N234" s="104">
        <v>7</v>
      </c>
      <c r="O234" s="104">
        <v>8</v>
      </c>
      <c r="P234" s="104">
        <v>9</v>
      </c>
      <c r="Q234" s="53">
        <f t="shared" si="132"/>
        <v>3</v>
      </c>
      <c r="R234" s="53">
        <f t="shared" si="133"/>
        <v>2</v>
      </c>
      <c r="S234" s="53">
        <f t="shared" si="134"/>
        <v>5</v>
      </c>
      <c r="T234" s="101">
        <f t="shared" si="103"/>
        <v>10</v>
      </c>
      <c r="U234" s="15" t="str">
        <f>_xlfn.TEXTJOIN(", ",TRUE,ABS(MID(B234,{1,1,2},1)-MID(B234,{2,3,3},1)))</f>
        <v>3, 2, 5</v>
      </c>
      <c r="V234" s="54">
        <v>0</v>
      </c>
      <c r="W234" s="54">
        <v>1</v>
      </c>
      <c r="X234" s="54">
        <v>2</v>
      </c>
      <c r="Y234" s="54">
        <v>3</v>
      </c>
      <c r="Z234" s="54">
        <v>4</v>
      </c>
      <c r="AA234" s="54">
        <v>5</v>
      </c>
      <c r="AB234" s="54">
        <v>6</v>
      </c>
      <c r="AC234" s="54">
        <v>7</v>
      </c>
      <c r="AD234" s="54">
        <v>8</v>
      </c>
      <c r="AE234" s="54">
        <v>9</v>
      </c>
      <c r="AF234" s="55">
        <v>0</v>
      </c>
      <c r="AG234" s="55">
        <v>1</v>
      </c>
      <c r="AH234" s="55">
        <v>2</v>
      </c>
      <c r="AI234" s="55">
        <v>3</v>
      </c>
      <c r="AJ234" s="55">
        <v>4</v>
      </c>
      <c r="AK234" s="55">
        <v>5</v>
      </c>
      <c r="AL234" s="55">
        <v>6</v>
      </c>
      <c r="AM234" s="55">
        <v>7</v>
      </c>
      <c r="AN234" s="55">
        <v>8</v>
      </c>
      <c r="AO234" s="55">
        <v>9</v>
      </c>
      <c r="AP234" s="105">
        <v>0</v>
      </c>
      <c r="AQ234" s="105">
        <v>1</v>
      </c>
      <c r="AR234" s="105">
        <v>2</v>
      </c>
      <c r="AS234" s="105">
        <v>3</v>
      </c>
      <c r="AT234" s="105">
        <v>4</v>
      </c>
      <c r="AU234" s="105">
        <v>5</v>
      </c>
      <c r="AV234" s="105">
        <v>6</v>
      </c>
      <c r="AW234" s="105">
        <v>7</v>
      </c>
      <c r="AX234" s="105">
        <v>8</v>
      </c>
      <c r="AY234" s="105">
        <v>9</v>
      </c>
      <c r="AZ234" s="56">
        <v>0</v>
      </c>
      <c r="BA234" s="56">
        <v>1</v>
      </c>
      <c r="BB234" s="56">
        <v>2</v>
      </c>
      <c r="BC234" s="56">
        <v>3</v>
      </c>
      <c r="BD234" s="56">
        <v>4</v>
      </c>
      <c r="BE234" s="56">
        <v>5</v>
      </c>
      <c r="BF234" s="56">
        <v>6</v>
      </c>
      <c r="BG234" s="56">
        <v>7</v>
      </c>
      <c r="BH234" s="56">
        <v>8</v>
      </c>
      <c r="BI234" s="56">
        <v>9</v>
      </c>
      <c r="BJ234" s="57" t="str">
        <f t="shared" si="104"/>
        <v>标准型</v>
      </c>
      <c r="BK234" s="13">
        <f t="shared" si="100"/>
        <v>2</v>
      </c>
      <c r="BL234" s="13">
        <f t="shared" si="101"/>
        <v>5</v>
      </c>
      <c r="BM234" s="18" t="str">
        <f t="shared" si="111"/>
        <v/>
      </c>
      <c r="BN234" s="19">
        <f t="shared" si="112"/>
        <v>3</v>
      </c>
      <c r="BO234" s="19" t="str">
        <f t="array" ref="BO234">_xlfn.TEXTJOIN("",TRUE,IF(ISERROR(FIND(ROW($1:$10)-1,BM234&amp;BN234)),ROW($1:$10)-1,""))</f>
        <v>012456789</v>
      </c>
      <c r="BP234" s="20" t="str">
        <f t="shared" si="113"/>
        <v>中隔中</v>
      </c>
      <c r="BQ234" s="21">
        <f t="shared" si="124"/>
        <v>2</v>
      </c>
      <c r="BR234" s="21" t="str">
        <f t="shared" si="122"/>
        <v/>
      </c>
      <c r="BS234" s="21" t="str">
        <f t="array" ref="BS234">_xlfn.TEXTJOIN("",TRUE,IF(ISERROR(FIND(ROW($1:$10)-1,BQ234&amp;BR234)),ROW($1:$10)-1,""))</f>
        <v>013456789</v>
      </c>
      <c r="BT234" s="20" t="str">
        <f t="shared" si="114"/>
        <v>复中中</v>
      </c>
      <c r="BU234" s="22" t="str">
        <f t="shared" si="115"/>
        <v/>
      </c>
      <c r="BV234" s="22" t="str">
        <f t="shared" si="123"/>
        <v/>
      </c>
      <c r="BW234" s="22" t="str">
        <f t="array" ref="BW234">_xlfn.TEXTJOIN("",TRUE,IF(ISERROR(FIND(ROW($1:$10)-1,BU234&amp;BV234)),ROW($1:$10)-1,""))</f>
        <v>0123456789</v>
      </c>
      <c r="BX234" s="20" t="str">
        <f t="shared" si="116"/>
        <v>中中中</v>
      </c>
      <c r="BY234" s="23" t="str">
        <f t="shared" si="105"/>
        <v>24</v>
      </c>
      <c r="BZ234" s="24" t="str">
        <f t="array" ref="BZ234">_xlfn.TEXTJOIN("",TRUE,IF(ISNUMBER(FIND(MID(BY233&amp;Q233,ROW($1:$4),1),BY234&amp;Q234)),MID(BY233&amp;Q233,ROW($1:$4),1),""))</f>
        <v>34</v>
      </c>
      <c r="CA234" s="25" t="str">
        <f t="array" ref="CA234">_xlfn.TEXTJOIN("",TRUE,IF(ISERROR(FIND(ROW($1:$10)-1,BY234&amp;BZ234)),ROW($1:$10)-1,""))</f>
        <v>0156789</v>
      </c>
      <c r="CB234" s="26" t="str">
        <f t="shared" si="117"/>
        <v>邻传孤</v>
      </c>
      <c r="CC234" s="27" t="str">
        <f t="shared" si="118"/>
        <v>13</v>
      </c>
      <c r="CD234" s="27" t="str">
        <f t="array" ref="CD234">_xlfn.TEXTJOIN("",TRUE,IF(ISNUMBER(FIND(MID(CC233&amp;R233,ROW($1:$4),1),CC234&amp;R234)),MID(CC233&amp;R233,ROW($1:$4),1),""))</f>
        <v>132</v>
      </c>
      <c r="CE234" s="27" t="str">
        <f t="array" ref="CE234">_xlfn.TEXTJOIN("",TRUE,IF(ISERROR(FIND(ROW($1:$10)-1,CC234&amp;CD234)),ROW($1:$10)-1,""))</f>
        <v>0456789</v>
      </c>
      <c r="CF234" s="17" t="str">
        <f t="shared" si="119"/>
        <v>邻传孤</v>
      </c>
      <c r="CG234" s="22" t="str">
        <f t="shared" si="120"/>
        <v>46</v>
      </c>
      <c r="CH234" s="22" t="str">
        <f t="array" ref="CH234">_xlfn.TEXTJOIN("",TRUE,IF(ISNUMBER(FIND(MID(CG233&amp;S233,ROW($1:$4),1),CG234&amp;S234)),MID(CG233&amp;S233,ROW($1:$4),1),""))</f>
        <v>56</v>
      </c>
      <c r="CI234" s="22" t="str">
        <f t="array" ref="CI234">_xlfn.TEXTJOIN("",TRUE,IF(ISERROR(FIND(ROW($1:$10)-1,CG234&amp;CH234)),ROW($1:$10)-1,""))</f>
        <v>0123789</v>
      </c>
      <c r="CJ234" s="28" t="str">
        <f t="shared" si="121"/>
        <v>邻传孤</v>
      </c>
    </row>
    <row r="235" spans="1:88">
      <c r="A235" s="32">
        <v>2025010</v>
      </c>
      <c r="B235" s="8" t="s">
        <v>224</v>
      </c>
      <c r="C235" s="49">
        <f t="shared" si="130"/>
        <v>9</v>
      </c>
      <c r="D235" s="50">
        <f t="shared" si="131"/>
        <v>9</v>
      </c>
      <c r="E235" s="51">
        <f t="shared" si="102"/>
        <v>3</v>
      </c>
      <c r="F235" s="52">
        <f>MAX(MID(B235,{1,2,3},1)*1)-MIN(MID(B235,{1,2,3},1)*1)</f>
        <v>0</v>
      </c>
      <c r="G235" s="104">
        <v>0</v>
      </c>
      <c r="H235" s="104">
        <v>1</v>
      </c>
      <c r="I235" s="104">
        <v>2</v>
      </c>
      <c r="J235" s="104">
        <v>3</v>
      </c>
      <c r="K235" s="104">
        <v>4</v>
      </c>
      <c r="L235" s="104">
        <v>5</v>
      </c>
      <c r="M235" s="104">
        <v>6</v>
      </c>
      <c r="N235" s="104">
        <v>7</v>
      </c>
      <c r="O235" s="104">
        <v>8</v>
      </c>
      <c r="P235" s="104">
        <v>9</v>
      </c>
      <c r="Q235" s="53">
        <f t="shared" si="132"/>
        <v>0</v>
      </c>
      <c r="R235" s="53">
        <f t="shared" si="133"/>
        <v>0</v>
      </c>
      <c r="S235" s="53">
        <f t="shared" si="134"/>
        <v>0</v>
      </c>
      <c r="T235" s="101">
        <f t="shared" si="103"/>
        <v>0</v>
      </c>
      <c r="U235" s="15" t="str">
        <f>_xlfn.TEXTJOIN(", ",TRUE,ABS(MID(B235,{1,1,2},1)-MID(B235,{2,3,3},1)))</f>
        <v>0, 0, 0</v>
      </c>
      <c r="V235" s="54">
        <v>0</v>
      </c>
      <c r="W235" s="54">
        <v>1</v>
      </c>
      <c r="X235" s="54">
        <v>2</v>
      </c>
      <c r="Y235" s="54">
        <v>3</v>
      </c>
      <c r="Z235" s="54">
        <v>4</v>
      </c>
      <c r="AA235" s="54">
        <v>5</v>
      </c>
      <c r="AB235" s="54">
        <v>6</v>
      </c>
      <c r="AC235" s="54">
        <v>7</v>
      </c>
      <c r="AD235" s="54">
        <v>8</v>
      </c>
      <c r="AE235" s="54">
        <v>9</v>
      </c>
      <c r="AF235" s="55">
        <v>0</v>
      </c>
      <c r="AG235" s="55">
        <v>1</v>
      </c>
      <c r="AH235" s="55">
        <v>2</v>
      </c>
      <c r="AI235" s="55">
        <v>3</v>
      </c>
      <c r="AJ235" s="55">
        <v>4</v>
      </c>
      <c r="AK235" s="55">
        <v>5</v>
      </c>
      <c r="AL235" s="55">
        <v>6</v>
      </c>
      <c r="AM235" s="55">
        <v>7</v>
      </c>
      <c r="AN235" s="55">
        <v>8</v>
      </c>
      <c r="AO235" s="55">
        <v>9</v>
      </c>
      <c r="AP235" s="105">
        <v>0</v>
      </c>
      <c r="AQ235" s="105">
        <v>1</v>
      </c>
      <c r="AR235" s="105">
        <v>2</v>
      </c>
      <c r="AS235" s="105">
        <v>3</v>
      </c>
      <c r="AT235" s="105">
        <v>4</v>
      </c>
      <c r="AU235" s="105">
        <v>5</v>
      </c>
      <c r="AV235" s="105">
        <v>6</v>
      </c>
      <c r="AW235" s="105">
        <v>7</v>
      </c>
      <c r="AX235" s="105">
        <v>8</v>
      </c>
      <c r="AY235" s="105">
        <v>9</v>
      </c>
      <c r="AZ235" s="56">
        <v>0</v>
      </c>
      <c r="BA235" s="56">
        <v>1</v>
      </c>
      <c r="BB235" s="56">
        <v>2</v>
      </c>
      <c r="BC235" s="56">
        <v>3</v>
      </c>
      <c r="BD235" s="56">
        <v>4</v>
      </c>
      <c r="BE235" s="56">
        <v>5</v>
      </c>
      <c r="BF235" s="56">
        <v>6</v>
      </c>
      <c r="BG235" s="56">
        <v>7</v>
      </c>
      <c r="BH235" s="56">
        <v>8</v>
      </c>
      <c r="BI235" s="56">
        <v>9</v>
      </c>
      <c r="BJ235" s="57" t="str">
        <f t="shared" si="104"/>
        <v>紧凑型</v>
      </c>
      <c r="BK235" s="13">
        <f t="shared" si="100"/>
        <v>0</v>
      </c>
      <c r="BL235" s="13">
        <f t="shared" si="101"/>
        <v>0</v>
      </c>
      <c r="BM235" s="18" t="str">
        <f t="shared" si="111"/>
        <v/>
      </c>
      <c r="BN235" s="19" t="str">
        <f t="shared" si="112"/>
        <v/>
      </c>
      <c r="BO235" s="19" t="str">
        <f t="array" ref="BO235">_xlfn.TEXTJOIN("",TRUE,IF(ISERROR(FIND(ROW($1:$10)-1,BM235&amp;BN235)),ROW($1:$10)-1,""))</f>
        <v>0123456789</v>
      </c>
      <c r="BP235" s="20" t="str">
        <f t="shared" si="113"/>
        <v>中中中</v>
      </c>
      <c r="BQ235" s="21" t="str">
        <f t="shared" si="124"/>
        <v/>
      </c>
      <c r="BR235" s="21" t="str">
        <f t="shared" si="122"/>
        <v/>
      </c>
      <c r="BS235" s="21" t="str">
        <f t="array" ref="BS235">_xlfn.TEXTJOIN("",TRUE,IF(ISERROR(FIND(ROW($1:$10)-1,BQ235&amp;BR235)),ROW($1:$10)-1,""))</f>
        <v>0123456789</v>
      </c>
      <c r="BT235" s="20" t="str">
        <f t="shared" si="114"/>
        <v>中中中</v>
      </c>
      <c r="BU235" s="22" t="str">
        <f t="shared" si="115"/>
        <v/>
      </c>
      <c r="BV235" s="22" t="str">
        <f t="shared" si="123"/>
        <v/>
      </c>
      <c r="BW235" s="22" t="str">
        <f t="array" ref="BW235">_xlfn.TEXTJOIN("",TRUE,IF(ISERROR(FIND(ROW($1:$10)-1,BU235&amp;BV235)),ROW($1:$10)-1,""))</f>
        <v>0123456789</v>
      </c>
      <c r="BX235" s="20" t="str">
        <f t="shared" si="116"/>
        <v>中中中</v>
      </c>
      <c r="BY235" s="23" t="str">
        <f t="shared" si="105"/>
        <v>91</v>
      </c>
      <c r="BZ235" s="24" t="str">
        <f t="array" ref="BZ235">_xlfn.TEXTJOIN("",TRUE,IF(ISNUMBER(FIND(MID(BY234&amp;Q234,ROW($1:$4),1),BY235&amp;Q235)),MID(BY234&amp;Q234,ROW($1:$4),1),""))</f>
        <v/>
      </c>
      <c r="CA235" s="25" t="str">
        <f t="array" ref="CA235">_xlfn.TEXTJOIN("",TRUE,IF(ISERROR(FIND(ROW($1:$10)-1,BY235&amp;BZ235)),ROW($1:$10)-1,""))</f>
        <v>02345678</v>
      </c>
      <c r="CB235" s="26" t="str">
        <f t="shared" si="117"/>
        <v>邻孤孤</v>
      </c>
      <c r="CC235" s="27" t="str">
        <f t="shared" si="118"/>
        <v>91</v>
      </c>
      <c r="CD235" s="27" t="str">
        <f t="array" ref="CD235">_xlfn.TEXTJOIN("",TRUE,IF(ISNUMBER(FIND(MID(CC234&amp;R234,ROW($1:$4),1),CC235&amp;R235)),MID(CC234&amp;R234,ROW($1:$4),1),""))</f>
        <v>1</v>
      </c>
      <c r="CE235" s="27" t="str">
        <f t="array" ref="CE235">_xlfn.TEXTJOIN("",TRUE,IF(ISERROR(FIND(ROW($1:$10)-1,CC235&amp;CD235)),ROW($1:$10)-1,""))</f>
        <v>02345678</v>
      </c>
      <c r="CF235" s="17" t="str">
        <f t="shared" si="119"/>
        <v>邻传孤</v>
      </c>
      <c r="CG235" s="22" t="str">
        <f t="shared" si="120"/>
        <v>91</v>
      </c>
      <c r="CH235" s="22" t="str">
        <f t="array" ref="CH235">_xlfn.TEXTJOIN("",TRUE,IF(ISNUMBER(FIND(MID(CG234&amp;S234,ROW($1:$4),1),CG235&amp;S235)),MID(CG234&amp;S234,ROW($1:$4),1),""))</f>
        <v/>
      </c>
      <c r="CI235" s="22" t="str">
        <f t="array" ref="CI235">_xlfn.TEXTJOIN("",TRUE,IF(ISERROR(FIND(ROW($1:$10)-1,CG235&amp;CH235)),ROW($1:$10)-1,""))</f>
        <v>02345678</v>
      </c>
      <c r="CJ235" s="28" t="str">
        <f t="shared" si="121"/>
        <v>邻孤孤</v>
      </c>
    </row>
    <row r="236" spans="1:88">
      <c r="A236" s="32">
        <v>2025011</v>
      </c>
      <c r="B236" s="8" t="s">
        <v>225</v>
      </c>
      <c r="C236" s="49">
        <f t="shared" si="130"/>
        <v>14</v>
      </c>
      <c r="D236" s="50">
        <f t="shared" si="131"/>
        <v>4</v>
      </c>
      <c r="E236" s="51">
        <f t="shared" si="102"/>
        <v>4.6666666666666696</v>
      </c>
      <c r="F236" s="52">
        <f>MAX(MID(B236,{1,2,3},1)*1)-MIN(MID(B236,{1,2,3},1)*1)</f>
        <v>7</v>
      </c>
      <c r="G236" s="104">
        <v>0</v>
      </c>
      <c r="H236" s="104">
        <v>1</v>
      </c>
      <c r="I236" s="104">
        <v>2</v>
      </c>
      <c r="J236" s="104">
        <v>3</v>
      </c>
      <c r="K236" s="104">
        <v>4</v>
      </c>
      <c r="L236" s="104">
        <v>5</v>
      </c>
      <c r="M236" s="104">
        <v>6</v>
      </c>
      <c r="N236" s="104">
        <v>7</v>
      </c>
      <c r="O236" s="104">
        <v>8</v>
      </c>
      <c r="P236" s="104">
        <v>9</v>
      </c>
      <c r="Q236" s="53">
        <f t="shared" si="132"/>
        <v>4</v>
      </c>
      <c r="R236" s="53">
        <f t="shared" si="133"/>
        <v>3</v>
      </c>
      <c r="S236" s="53">
        <f t="shared" si="134"/>
        <v>7</v>
      </c>
      <c r="T236" s="101">
        <f t="shared" si="103"/>
        <v>14</v>
      </c>
      <c r="U236" s="15" t="str">
        <f>_xlfn.TEXTJOIN(", ",TRUE,ABS(MID(B236,{1,1,2},1)-MID(B236,{2,3,3},1)))</f>
        <v>4, 3, 7</v>
      </c>
      <c r="V236" s="54">
        <v>0</v>
      </c>
      <c r="W236" s="54">
        <v>1</v>
      </c>
      <c r="X236" s="54">
        <v>2</v>
      </c>
      <c r="Y236" s="54">
        <v>3</v>
      </c>
      <c r="Z236" s="54">
        <v>4</v>
      </c>
      <c r="AA236" s="54">
        <v>5</v>
      </c>
      <c r="AB236" s="54">
        <v>6</v>
      </c>
      <c r="AC236" s="54">
        <v>7</v>
      </c>
      <c r="AD236" s="54">
        <v>8</v>
      </c>
      <c r="AE236" s="54">
        <v>9</v>
      </c>
      <c r="AF236" s="55">
        <v>0</v>
      </c>
      <c r="AG236" s="55">
        <v>1</v>
      </c>
      <c r="AH236" s="55">
        <v>2</v>
      </c>
      <c r="AI236" s="55">
        <v>3</v>
      </c>
      <c r="AJ236" s="55">
        <v>4</v>
      </c>
      <c r="AK236" s="55">
        <v>5</v>
      </c>
      <c r="AL236" s="55">
        <v>6</v>
      </c>
      <c r="AM236" s="55">
        <v>7</v>
      </c>
      <c r="AN236" s="55">
        <v>8</v>
      </c>
      <c r="AO236" s="55">
        <v>9</v>
      </c>
      <c r="AP236" s="105">
        <v>0</v>
      </c>
      <c r="AQ236" s="105">
        <v>1</v>
      </c>
      <c r="AR236" s="105">
        <v>2</v>
      </c>
      <c r="AS236" s="105">
        <v>3</v>
      </c>
      <c r="AT236" s="105">
        <v>4</v>
      </c>
      <c r="AU236" s="105">
        <v>5</v>
      </c>
      <c r="AV236" s="105">
        <v>6</v>
      </c>
      <c r="AW236" s="105">
        <v>7</v>
      </c>
      <c r="AX236" s="105">
        <v>8</v>
      </c>
      <c r="AY236" s="105">
        <v>9</v>
      </c>
      <c r="AZ236" s="56">
        <v>0</v>
      </c>
      <c r="BA236" s="56">
        <v>1</v>
      </c>
      <c r="BB236" s="56">
        <v>2</v>
      </c>
      <c r="BC236" s="56">
        <v>3</v>
      </c>
      <c r="BD236" s="56">
        <v>4</v>
      </c>
      <c r="BE236" s="56">
        <v>5</v>
      </c>
      <c r="BF236" s="56">
        <v>6</v>
      </c>
      <c r="BG236" s="56">
        <v>7</v>
      </c>
      <c r="BH236" s="56">
        <v>8</v>
      </c>
      <c r="BI236" s="56">
        <v>9</v>
      </c>
      <c r="BJ236" s="57" t="str">
        <f t="shared" si="104"/>
        <v>松散型</v>
      </c>
      <c r="BK236" s="13">
        <f t="shared" si="100"/>
        <v>3</v>
      </c>
      <c r="BL236" s="13">
        <f t="shared" si="101"/>
        <v>7</v>
      </c>
      <c r="BM236" s="18" t="str">
        <f t="shared" si="111"/>
        <v/>
      </c>
      <c r="BN236" s="19" t="str">
        <f t="shared" si="112"/>
        <v/>
      </c>
      <c r="BO236" s="19" t="str">
        <f t="array" ref="BO236">_xlfn.TEXTJOIN("",TRUE,IF(ISERROR(FIND(ROW($1:$10)-1,BM236&amp;BN236)),ROW($1:$10)-1,""))</f>
        <v>0123456789</v>
      </c>
      <c r="BP236" s="20" t="str">
        <f t="shared" si="113"/>
        <v>中中中</v>
      </c>
      <c r="BQ236" s="21" t="str">
        <f t="shared" si="124"/>
        <v/>
      </c>
      <c r="BR236" s="21">
        <f t="shared" si="122"/>
        <v>3</v>
      </c>
      <c r="BS236" s="21" t="str">
        <f t="array" ref="BS236">_xlfn.TEXTJOIN("",TRUE,IF(ISERROR(FIND(ROW($1:$10)-1,BQ236&amp;BR236)),ROW($1:$10)-1,""))</f>
        <v>012456789</v>
      </c>
      <c r="BT236" s="20" t="str">
        <f t="shared" si="114"/>
        <v>中隔中</v>
      </c>
      <c r="BU236" s="22" t="str">
        <f t="shared" si="115"/>
        <v/>
      </c>
      <c r="BV236" s="22" t="str">
        <f t="shared" si="123"/>
        <v/>
      </c>
      <c r="BW236" s="22" t="str">
        <f t="array" ref="BW236">_xlfn.TEXTJOIN("",TRUE,IF(ISERROR(FIND(ROW($1:$10)-1,BU236&amp;BV236)),ROW($1:$10)-1,""))</f>
        <v>0123456789</v>
      </c>
      <c r="BX236" s="20" t="str">
        <f t="shared" si="116"/>
        <v>中中中</v>
      </c>
      <c r="BY236" s="23" t="str">
        <f t="shared" si="105"/>
        <v>35</v>
      </c>
      <c r="BZ236" s="24" t="str">
        <f t="array" ref="BZ236">_xlfn.TEXTJOIN("",TRUE,IF(ISNUMBER(FIND(MID(BY235&amp;Q235,ROW($1:$4),1),BY236&amp;Q236)),MID(BY235&amp;Q235,ROW($1:$4),1),""))</f>
        <v/>
      </c>
      <c r="CA236" s="25" t="str">
        <f t="array" ref="CA236">_xlfn.TEXTJOIN("",TRUE,IF(ISERROR(FIND(ROW($1:$10)-1,BY236&amp;BZ236)),ROW($1:$10)-1,""))</f>
        <v>01246789</v>
      </c>
      <c r="CB236" s="26" t="str">
        <f t="shared" si="117"/>
        <v>邻孤孤</v>
      </c>
      <c r="CC236" s="27" t="str">
        <f t="shared" si="118"/>
        <v>24</v>
      </c>
      <c r="CD236" s="27" t="str">
        <f t="array" ref="CD236">_xlfn.TEXTJOIN("",TRUE,IF(ISNUMBER(FIND(MID(CC235&amp;R235,ROW($1:$4),1),CC236&amp;R236)),MID(CC235&amp;R235,ROW($1:$4),1),""))</f>
        <v/>
      </c>
      <c r="CE236" s="27" t="str">
        <f t="array" ref="CE236">_xlfn.TEXTJOIN("",TRUE,IF(ISERROR(FIND(ROW($1:$10)-1,CC236&amp;CD236)),ROW($1:$10)-1,""))</f>
        <v>01356789</v>
      </c>
      <c r="CF236" s="17" t="str">
        <f t="shared" si="119"/>
        <v>邻孤孤</v>
      </c>
      <c r="CG236" s="22" t="str">
        <f t="shared" si="120"/>
        <v>68</v>
      </c>
      <c r="CH236" s="22" t="str">
        <f t="array" ref="CH236">_xlfn.TEXTJOIN("",TRUE,IF(ISNUMBER(FIND(MID(CG235&amp;S235,ROW($1:$4),1),CG236&amp;S236)),MID(CG235&amp;S235,ROW($1:$4),1),""))</f>
        <v/>
      </c>
      <c r="CI236" s="22" t="str">
        <f t="array" ref="CI236">_xlfn.TEXTJOIN("",TRUE,IF(ISERROR(FIND(ROW($1:$10)-1,CG236&amp;CH236)),ROW($1:$10)-1,""))</f>
        <v>01234579</v>
      </c>
      <c r="CJ236" s="28" t="str">
        <f t="shared" si="121"/>
        <v>邻孤孤</v>
      </c>
    </row>
    <row r="237" spans="1:88">
      <c r="A237" s="32">
        <v>2025012</v>
      </c>
      <c r="B237" s="8" t="s">
        <v>226</v>
      </c>
      <c r="C237" s="49">
        <f t="shared" si="130"/>
        <v>19</v>
      </c>
      <c r="D237" s="50">
        <f t="shared" si="131"/>
        <v>9</v>
      </c>
      <c r="E237" s="51">
        <f t="shared" si="102"/>
        <v>6.3333333333333304</v>
      </c>
      <c r="F237" s="52">
        <f>MAX(MID(B237,{1,2,3},1)*1)-MIN(MID(B237,{1,2,3},1)*1)</f>
        <v>4</v>
      </c>
      <c r="G237" s="104">
        <v>0</v>
      </c>
      <c r="H237" s="104">
        <v>1</v>
      </c>
      <c r="I237" s="104">
        <v>2</v>
      </c>
      <c r="J237" s="104">
        <v>3</v>
      </c>
      <c r="K237" s="104">
        <v>4</v>
      </c>
      <c r="L237" s="104">
        <v>5</v>
      </c>
      <c r="M237" s="104">
        <v>6</v>
      </c>
      <c r="N237" s="104">
        <v>7</v>
      </c>
      <c r="O237" s="104">
        <v>8</v>
      </c>
      <c r="P237" s="104">
        <v>9</v>
      </c>
      <c r="Q237" s="53">
        <f t="shared" si="132"/>
        <v>4</v>
      </c>
      <c r="R237" s="53">
        <f t="shared" si="133"/>
        <v>3</v>
      </c>
      <c r="S237" s="53">
        <f t="shared" si="134"/>
        <v>1</v>
      </c>
      <c r="T237" s="101">
        <f t="shared" si="103"/>
        <v>8</v>
      </c>
      <c r="U237" s="15" t="str">
        <f>_xlfn.TEXTJOIN(", ",TRUE,ABS(MID(B237,{1,1,2},1)-MID(B237,{2,3,3},1)))</f>
        <v>4, 3, 1</v>
      </c>
      <c r="V237" s="54">
        <v>0</v>
      </c>
      <c r="W237" s="54">
        <v>1</v>
      </c>
      <c r="X237" s="54">
        <v>2</v>
      </c>
      <c r="Y237" s="54">
        <v>3</v>
      </c>
      <c r="Z237" s="54">
        <v>4</v>
      </c>
      <c r="AA237" s="54">
        <v>5</v>
      </c>
      <c r="AB237" s="54">
        <v>6</v>
      </c>
      <c r="AC237" s="54">
        <v>7</v>
      </c>
      <c r="AD237" s="54">
        <v>8</v>
      </c>
      <c r="AE237" s="54">
        <v>9</v>
      </c>
      <c r="AF237" s="55">
        <v>0</v>
      </c>
      <c r="AG237" s="55">
        <v>1</v>
      </c>
      <c r="AH237" s="55">
        <v>2</v>
      </c>
      <c r="AI237" s="55">
        <v>3</v>
      </c>
      <c r="AJ237" s="55">
        <v>4</v>
      </c>
      <c r="AK237" s="55">
        <v>5</v>
      </c>
      <c r="AL237" s="55">
        <v>6</v>
      </c>
      <c r="AM237" s="55">
        <v>7</v>
      </c>
      <c r="AN237" s="55">
        <v>8</v>
      </c>
      <c r="AO237" s="55">
        <v>9</v>
      </c>
      <c r="AP237" s="105">
        <v>0</v>
      </c>
      <c r="AQ237" s="105">
        <v>1</v>
      </c>
      <c r="AR237" s="105">
        <v>2</v>
      </c>
      <c r="AS237" s="105">
        <v>3</v>
      </c>
      <c r="AT237" s="105">
        <v>4</v>
      </c>
      <c r="AU237" s="105">
        <v>5</v>
      </c>
      <c r="AV237" s="105">
        <v>6</v>
      </c>
      <c r="AW237" s="105">
        <v>7</v>
      </c>
      <c r="AX237" s="105">
        <v>8</v>
      </c>
      <c r="AY237" s="105">
        <v>9</v>
      </c>
      <c r="AZ237" s="56">
        <v>0</v>
      </c>
      <c r="BA237" s="56">
        <v>1</v>
      </c>
      <c r="BB237" s="56">
        <v>2</v>
      </c>
      <c r="BC237" s="56">
        <v>3</v>
      </c>
      <c r="BD237" s="56">
        <v>4</v>
      </c>
      <c r="BE237" s="56">
        <v>5</v>
      </c>
      <c r="BF237" s="56">
        <v>6</v>
      </c>
      <c r="BG237" s="56">
        <v>7</v>
      </c>
      <c r="BH237" s="56">
        <v>8</v>
      </c>
      <c r="BI237" s="56">
        <v>9</v>
      </c>
      <c r="BJ237" s="57" t="str">
        <f t="shared" si="104"/>
        <v>紧凑型</v>
      </c>
      <c r="BK237" s="13">
        <f t="shared" si="100"/>
        <v>1</v>
      </c>
      <c r="BL237" s="13">
        <f t="shared" si="101"/>
        <v>4</v>
      </c>
      <c r="BM237" s="18">
        <f t="shared" si="111"/>
        <v>4</v>
      </c>
      <c r="BN237" s="19" t="str">
        <f t="shared" si="112"/>
        <v/>
      </c>
      <c r="BO237" s="19" t="str">
        <f t="array" ref="BO237">_xlfn.TEXTJOIN("",TRUE,IF(ISERROR(FIND(ROW($1:$10)-1,BM237&amp;BN237)),ROW($1:$10)-1,""))</f>
        <v>012356789</v>
      </c>
      <c r="BP237" s="20" t="str">
        <f t="shared" si="113"/>
        <v>复中中</v>
      </c>
      <c r="BQ237" s="21">
        <f t="shared" si="124"/>
        <v>3</v>
      </c>
      <c r="BR237" s="21" t="str">
        <f t="shared" si="122"/>
        <v/>
      </c>
      <c r="BS237" s="21" t="str">
        <f t="array" ref="BS237">_xlfn.TEXTJOIN("",TRUE,IF(ISERROR(FIND(ROW($1:$10)-1,BQ237&amp;BR237)),ROW($1:$10)-1,""))</f>
        <v>012456789</v>
      </c>
      <c r="BT237" s="20" t="str">
        <f t="shared" si="114"/>
        <v>复中中</v>
      </c>
      <c r="BU237" s="22" t="str">
        <f t="shared" si="115"/>
        <v/>
      </c>
      <c r="BV237" s="22" t="str">
        <f t="shared" si="123"/>
        <v/>
      </c>
      <c r="BW237" s="22" t="str">
        <f t="array" ref="BW237">_xlfn.TEXTJOIN("",TRUE,IF(ISERROR(FIND(ROW($1:$10)-1,BU237&amp;BV237)),ROW($1:$10)-1,""))</f>
        <v>0123456789</v>
      </c>
      <c r="BX237" s="20" t="str">
        <f t="shared" si="116"/>
        <v>中中中</v>
      </c>
      <c r="BY237" s="23" t="str">
        <f t="shared" si="105"/>
        <v>35</v>
      </c>
      <c r="BZ237" s="24" t="str">
        <f t="array" ref="BZ237">_xlfn.TEXTJOIN("",TRUE,IF(ISNUMBER(FIND(MID(BY236&amp;Q236,ROW($1:$4),1),BY237&amp;Q237)),MID(BY236&amp;Q236,ROW($1:$4),1),""))</f>
        <v>354</v>
      </c>
      <c r="CA237" s="25" t="str">
        <f t="array" ref="CA237">_xlfn.TEXTJOIN("",TRUE,IF(ISERROR(FIND(ROW($1:$10)-1,BY237&amp;BZ237)),ROW($1:$10)-1,""))</f>
        <v>0126789</v>
      </c>
      <c r="CB237" s="26" t="str">
        <f t="shared" si="117"/>
        <v>邻传孤</v>
      </c>
      <c r="CC237" s="27" t="str">
        <f t="shared" si="118"/>
        <v>24</v>
      </c>
      <c r="CD237" s="27" t="str">
        <f t="array" ref="CD237">_xlfn.TEXTJOIN("",TRUE,IF(ISNUMBER(FIND(MID(CC236&amp;R236,ROW($1:$4),1),CC237&amp;R237)),MID(CC236&amp;R236,ROW($1:$4),1),""))</f>
        <v>243</v>
      </c>
      <c r="CE237" s="27" t="str">
        <f t="array" ref="CE237">_xlfn.TEXTJOIN("",TRUE,IF(ISERROR(FIND(ROW($1:$10)-1,CC237&amp;CD237)),ROW($1:$10)-1,""))</f>
        <v>0156789</v>
      </c>
      <c r="CF237" s="17" t="str">
        <f t="shared" si="119"/>
        <v>邻传孤</v>
      </c>
      <c r="CG237" s="22" t="str">
        <f t="shared" si="120"/>
        <v>02</v>
      </c>
      <c r="CH237" s="22" t="str">
        <f t="array" ref="CH237">_xlfn.TEXTJOIN("",TRUE,IF(ISNUMBER(FIND(MID(CG236&amp;S236,ROW($1:$4),1),CG237&amp;S237)),MID(CG236&amp;S236,ROW($1:$4),1),""))</f>
        <v/>
      </c>
      <c r="CI237" s="22" t="str">
        <f t="array" ref="CI237">_xlfn.TEXTJOIN("",TRUE,IF(ISERROR(FIND(ROW($1:$10)-1,CG237&amp;CH237)),ROW($1:$10)-1,""))</f>
        <v>13456789</v>
      </c>
      <c r="CJ237" s="28" t="str">
        <f t="shared" si="121"/>
        <v>邻孤孤</v>
      </c>
    </row>
    <row r="238" spans="1:88">
      <c r="A238" s="32">
        <v>2025013</v>
      </c>
      <c r="B238" s="8" t="s">
        <v>227</v>
      </c>
      <c r="C238" s="49">
        <f t="shared" si="130"/>
        <v>12</v>
      </c>
      <c r="D238" s="50">
        <f t="shared" si="131"/>
        <v>2</v>
      </c>
      <c r="E238" s="51">
        <f t="shared" si="102"/>
        <v>4</v>
      </c>
      <c r="F238" s="52">
        <f>MAX(MID(B238,{1,2,3},1)*1)-MIN(MID(B238,{1,2,3},1)*1)</f>
        <v>6</v>
      </c>
      <c r="G238" s="104">
        <v>0</v>
      </c>
      <c r="H238" s="104">
        <v>1</v>
      </c>
      <c r="I238" s="104">
        <v>2</v>
      </c>
      <c r="J238" s="104">
        <v>3</v>
      </c>
      <c r="K238" s="104">
        <v>4</v>
      </c>
      <c r="L238" s="104">
        <v>5</v>
      </c>
      <c r="M238" s="104">
        <v>6</v>
      </c>
      <c r="N238" s="104">
        <v>7</v>
      </c>
      <c r="O238" s="104">
        <v>8</v>
      </c>
      <c r="P238" s="104">
        <v>9</v>
      </c>
      <c r="Q238" s="53">
        <f t="shared" si="132"/>
        <v>6</v>
      </c>
      <c r="R238" s="53">
        <f t="shared" si="133"/>
        <v>0</v>
      </c>
      <c r="S238" s="53">
        <f t="shared" si="134"/>
        <v>6</v>
      </c>
      <c r="T238" s="101">
        <f t="shared" si="103"/>
        <v>12</v>
      </c>
      <c r="U238" s="15" t="str">
        <f>_xlfn.TEXTJOIN(", ",TRUE,ABS(MID(B238,{1,1,2},1)-MID(B238,{2,3,3},1)))</f>
        <v>6, 0, 6</v>
      </c>
      <c r="V238" s="54">
        <v>0</v>
      </c>
      <c r="W238" s="54">
        <v>1</v>
      </c>
      <c r="X238" s="54">
        <v>2</v>
      </c>
      <c r="Y238" s="54">
        <v>3</v>
      </c>
      <c r="Z238" s="54">
        <v>4</v>
      </c>
      <c r="AA238" s="54">
        <v>5</v>
      </c>
      <c r="AB238" s="54">
        <v>6</v>
      </c>
      <c r="AC238" s="54">
        <v>7</v>
      </c>
      <c r="AD238" s="54">
        <v>8</v>
      </c>
      <c r="AE238" s="54">
        <v>9</v>
      </c>
      <c r="AF238" s="55">
        <v>0</v>
      </c>
      <c r="AG238" s="55">
        <v>1</v>
      </c>
      <c r="AH238" s="55">
        <v>2</v>
      </c>
      <c r="AI238" s="55">
        <v>3</v>
      </c>
      <c r="AJ238" s="55">
        <v>4</v>
      </c>
      <c r="AK238" s="55">
        <v>5</v>
      </c>
      <c r="AL238" s="55">
        <v>6</v>
      </c>
      <c r="AM238" s="55">
        <v>7</v>
      </c>
      <c r="AN238" s="55">
        <v>8</v>
      </c>
      <c r="AO238" s="55">
        <v>9</v>
      </c>
      <c r="AP238" s="105">
        <v>0</v>
      </c>
      <c r="AQ238" s="105">
        <v>1</v>
      </c>
      <c r="AR238" s="105">
        <v>2</v>
      </c>
      <c r="AS238" s="105">
        <v>3</v>
      </c>
      <c r="AT238" s="105">
        <v>4</v>
      </c>
      <c r="AU238" s="105">
        <v>5</v>
      </c>
      <c r="AV238" s="105">
        <v>6</v>
      </c>
      <c r="AW238" s="105">
        <v>7</v>
      </c>
      <c r="AX238" s="105">
        <v>8</v>
      </c>
      <c r="AY238" s="105">
        <v>9</v>
      </c>
      <c r="AZ238" s="56">
        <v>0</v>
      </c>
      <c r="BA238" s="56">
        <v>1</v>
      </c>
      <c r="BB238" s="56">
        <v>2</v>
      </c>
      <c r="BC238" s="56">
        <v>3</v>
      </c>
      <c r="BD238" s="56">
        <v>4</v>
      </c>
      <c r="BE238" s="56">
        <v>5</v>
      </c>
      <c r="BF238" s="56">
        <v>6</v>
      </c>
      <c r="BG238" s="56">
        <v>7</v>
      </c>
      <c r="BH238" s="56">
        <v>8</v>
      </c>
      <c r="BI238" s="56">
        <v>9</v>
      </c>
      <c r="BJ238" s="57" t="str">
        <f t="shared" si="104"/>
        <v>松散型</v>
      </c>
      <c r="BK238" s="13">
        <f t="shared" si="100"/>
        <v>0</v>
      </c>
      <c r="BL238" s="13">
        <f t="shared" si="101"/>
        <v>6</v>
      </c>
      <c r="BM238" s="18" t="str">
        <f t="shared" si="111"/>
        <v/>
      </c>
      <c r="BN238" s="19" t="str">
        <f t="shared" si="112"/>
        <v/>
      </c>
      <c r="BO238" s="19" t="str">
        <f t="array" ref="BO238">_xlfn.TEXTJOIN("",TRUE,IF(ISERROR(FIND(ROW($1:$10)-1,BM238&amp;BN238)),ROW($1:$10)-1,""))</f>
        <v>0123456789</v>
      </c>
      <c r="BP238" s="20" t="str">
        <f t="shared" si="113"/>
        <v>中中中</v>
      </c>
      <c r="BQ238" s="21" t="str">
        <f t="shared" si="124"/>
        <v/>
      </c>
      <c r="BR238" s="21" t="str">
        <f t="shared" si="122"/>
        <v/>
      </c>
      <c r="BS238" s="21" t="str">
        <f t="array" ref="BS238">_xlfn.TEXTJOIN("",TRUE,IF(ISERROR(FIND(ROW($1:$10)-1,BQ238&amp;BR238)),ROW($1:$10)-1,""))</f>
        <v>0123456789</v>
      </c>
      <c r="BT238" s="20" t="str">
        <f t="shared" si="114"/>
        <v>中中中</v>
      </c>
      <c r="BU238" s="22" t="str">
        <f t="shared" si="115"/>
        <v/>
      </c>
      <c r="BV238" s="22" t="str">
        <f t="shared" si="123"/>
        <v/>
      </c>
      <c r="BW238" s="22" t="str">
        <f t="array" ref="BW238">_xlfn.TEXTJOIN("",TRUE,IF(ISERROR(FIND(ROW($1:$10)-1,BU238&amp;BV238)),ROW($1:$10)-1,""))</f>
        <v>0123456789</v>
      </c>
      <c r="BX238" s="20" t="str">
        <f t="shared" si="116"/>
        <v>中中中</v>
      </c>
      <c r="BY238" s="23" t="str">
        <f t="shared" si="105"/>
        <v>57</v>
      </c>
      <c r="BZ238" s="24" t="str">
        <f t="array" ref="BZ238">_xlfn.TEXTJOIN("",TRUE,IF(ISNUMBER(FIND(MID(BY237&amp;Q237,ROW($1:$4),1),BY238&amp;Q238)),MID(BY237&amp;Q237,ROW($1:$4),1),""))</f>
        <v>5</v>
      </c>
      <c r="CA238" s="25" t="str">
        <f t="array" ref="CA238">_xlfn.TEXTJOIN("",TRUE,IF(ISERROR(FIND(ROW($1:$10)-1,BY238&amp;BZ238)),ROW($1:$10)-1,""))</f>
        <v>01234689</v>
      </c>
      <c r="CB238" s="26" t="str">
        <f t="shared" si="117"/>
        <v>邻传孤</v>
      </c>
      <c r="CC238" s="27" t="str">
        <f t="shared" si="118"/>
        <v>91</v>
      </c>
      <c r="CD238" s="27" t="str">
        <f t="array" ref="CD238">_xlfn.TEXTJOIN("",TRUE,IF(ISNUMBER(FIND(MID(CC237&amp;R237,ROW($1:$4),1),CC238&amp;R238)),MID(CC237&amp;R237,ROW($1:$4),1),""))</f>
        <v/>
      </c>
      <c r="CE238" s="27" t="str">
        <f t="array" ref="CE238">_xlfn.TEXTJOIN("",TRUE,IF(ISERROR(FIND(ROW($1:$10)-1,CC238&amp;CD238)),ROW($1:$10)-1,""))</f>
        <v>02345678</v>
      </c>
      <c r="CF238" s="17" t="str">
        <f t="shared" si="119"/>
        <v>邻孤孤</v>
      </c>
      <c r="CG238" s="22" t="str">
        <f t="shared" si="120"/>
        <v>57</v>
      </c>
      <c r="CH238" s="22" t="str">
        <f t="array" ref="CH238">_xlfn.TEXTJOIN("",TRUE,IF(ISNUMBER(FIND(MID(CG237&amp;S237,ROW($1:$4),1),CG238&amp;S238)),MID(CG237&amp;S237,ROW($1:$4),1),""))</f>
        <v/>
      </c>
      <c r="CI238" s="22" t="str">
        <f t="array" ref="CI238">_xlfn.TEXTJOIN("",TRUE,IF(ISERROR(FIND(ROW($1:$10)-1,CG238&amp;CH238)),ROW($1:$10)-1,""))</f>
        <v>01234689</v>
      </c>
      <c r="CJ238" s="28" t="str">
        <f t="shared" si="121"/>
        <v>邻孤孤</v>
      </c>
    </row>
    <row r="239" spans="1:88">
      <c r="A239" s="32">
        <v>2025014</v>
      </c>
      <c r="B239" s="8" t="s">
        <v>228</v>
      </c>
      <c r="C239" s="49">
        <f t="shared" si="130"/>
        <v>22</v>
      </c>
      <c r="D239" s="50">
        <f t="shared" si="131"/>
        <v>2</v>
      </c>
      <c r="E239" s="51">
        <f t="shared" si="102"/>
        <v>7.3333333333333304</v>
      </c>
      <c r="F239" s="52">
        <f>MAX(MID(B239,{1,2,3},1)*1)-MIN(MID(B239,{1,2,3},1)*1)</f>
        <v>3</v>
      </c>
      <c r="G239" s="104">
        <v>0</v>
      </c>
      <c r="H239" s="104">
        <v>1</v>
      </c>
      <c r="I239" s="104">
        <v>2</v>
      </c>
      <c r="J239" s="104">
        <v>3</v>
      </c>
      <c r="K239" s="104">
        <v>4</v>
      </c>
      <c r="L239" s="104">
        <v>5</v>
      </c>
      <c r="M239" s="104">
        <v>6</v>
      </c>
      <c r="N239" s="104">
        <v>7</v>
      </c>
      <c r="O239" s="104">
        <v>8</v>
      </c>
      <c r="P239" s="104">
        <v>9</v>
      </c>
      <c r="Q239" s="53">
        <f t="shared" si="132"/>
        <v>1</v>
      </c>
      <c r="R239" s="53">
        <f t="shared" si="133"/>
        <v>3</v>
      </c>
      <c r="S239" s="53">
        <f t="shared" si="134"/>
        <v>2</v>
      </c>
      <c r="T239" s="101">
        <f t="shared" si="103"/>
        <v>6</v>
      </c>
      <c r="U239" s="15" t="str">
        <f>_xlfn.TEXTJOIN(", ",TRUE,ABS(MID(B239,{1,1,2},1)-MID(B239,{2,3,3},1)))</f>
        <v>1, 3, 2</v>
      </c>
      <c r="V239" s="54">
        <v>0</v>
      </c>
      <c r="W239" s="54">
        <v>1</v>
      </c>
      <c r="X239" s="54">
        <v>2</v>
      </c>
      <c r="Y239" s="54">
        <v>3</v>
      </c>
      <c r="Z239" s="54">
        <v>4</v>
      </c>
      <c r="AA239" s="54">
        <v>5</v>
      </c>
      <c r="AB239" s="54">
        <v>6</v>
      </c>
      <c r="AC239" s="54">
        <v>7</v>
      </c>
      <c r="AD239" s="54">
        <v>8</v>
      </c>
      <c r="AE239" s="54">
        <v>9</v>
      </c>
      <c r="AF239" s="55">
        <v>0</v>
      </c>
      <c r="AG239" s="55">
        <v>1</v>
      </c>
      <c r="AH239" s="55">
        <v>2</v>
      </c>
      <c r="AI239" s="55">
        <v>3</v>
      </c>
      <c r="AJ239" s="55">
        <v>4</v>
      </c>
      <c r="AK239" s="55">
        <v>5</v>
      </c>
      <c r="AL239" s="55">
        <v>6</v>
      </c>
      <c r="AM239" s="55">
        <v>7</v>
      </c>
      <c r="AN239" s="55">
        <v>8</v>
      </c>
      <c r="AO239" s="55">
        <v>9</v>
      </c>
      <c r="AP239" s="105">
        <v>0</v>
      </c>
      <c r="AQ239" s="105">
        <v>1</v>
      </c>
      <c r="AR239" s="105">
        <v>2</v>
      </c>
      <c r="AS239" s="105">
        <v>3</v>
      </c>
      <c r="AT239" s="105">
        <v>4</v>
      </c>
      <c r="AU239" s="105">
        <v>5</v>
      </c>
      <c r="AV239" s="105">
        <v>6</v>
      </c>
      <c r="AW239" s="105">
        <v>7</v>
      </c>
      <c r="AX239" s="105">
        <v>8</v>
      </c>
      <c r="AY239" s="105">
        <v>9</v>
      </c>
      <c r="AZ239" s="56">
        <v>0</v>
      </c>
      <c r="BA239" s="56">
        <v>1</v>
      </c>
      <c r="BB239" s="56">
        <v>2</v>
      </c>
      <c r="BC239" s="56">
        <v>3</v>
      </c>
      <c r="BD239" s="56">
        <v>4</v>
      </c>
      <c r="BE239" s="56">
        <v>5</v>
      </c>
      <c r="BF239" s="56">
        <v>6</v>
      </c>
      <c r="BG239" s="56">
        <v>7</v>
      </c>
      <c r="BH239" s="56">
        <v>8</v>
      </c>
      <c r="BI239" s="56">
        <v>9</v>
      </c>
      <c r="BJ239" s="57" t="str">
        <f t="shared" si="104"/>
        <v>紧凑型</v>
      </c>
      <c r="BK239" s="13">
        <f t="shared" si="100"/>
        <v>1</v>
      </c>
      <c r="BL239" s="13">
        <f t="shared" si="101"/>
        <v>3</v>
      </c>
      <c r="BM239" s="18" t="str">
        <f t="shared" si="111"/>
        <v/>
      </c>
      <c r="BN239" s="19">
        <f t="shared" si="112"/>
        <v>1</v>
      </c>
      <c r="BO239" s="19" t="str">
        <f t="array" ref="BO239">_xlfn.TEXTJOIN("",TRUE,IF(ISERROR(FIND(ROW($1:$10)-1,BM239&amp;BN239)),ROW($1:$10)-1,""))</f>
        <v>023456789</v>
      </c>
      <c r="BP239" s="20" t="str">
        <f t="shared" si="113"/>
        <v>中隔中</v>
      </c>
      <c r="BQ239" s="21" t="str">
        <f t="shared" si="124"/>
        <v/>
      </c>
      <c r="BR239" s="21">
        <f t="shared" si="122"/>
        <v>3</v>
      </c>
      <c r="BS239" s="21" t="str">
        <f t="array" ref="BS239">_xlfn.TEXTJOIN("",TRUE,IF(ISERROR(FIND(ROW($1:$10)-1,BQ239&amp;BR239)),ROW($1:$10)-1,""))</f>
        <v>012456789</v>
      </c>
      <c r="BT239" s="20" t="str">
        <f t="shared" si="114"/>
        <v>中隔中</v>
      </c>
      <c r="BU239" s="22" t="str">
        <f t="shared" si="115"/>
        <v/>
      </c>
      <c r="BV239" s="22" t="str">
        <f t="shared" si="123"/>
        <v/>
      </c>
      <c r="BW239" s="22" t="str">
        <f t="array" ref="BW239">_xlfn.TEXTJOIN("",TRUE,IF(ISERROR(FIND(ROW($1:$10)-1,BU239&amp;BV239)),ROW($1:$10)-1,""))</f>
        <v>0123456789</v>
      </c>
      <c r="BX239" s="20" t="str">
        <f t="shared" si="116"/>
        <v>中中中</v>
      </c>
      <c r="BY239" s="23" t="str">
        <f t="shared" si="105"/>
        <v>02</v>
      </c>
      <c r="BZ239" s="24" t="str">
        <f t="array" ref="BZ239">_xlfn.TEXTJOIN("",TRUE,IF(ISNUMBER(FIND(MID(BY238&amp;Q238,ROW($1:$4),1),BY239&amp;Q239)),MID(BY238&amp;Q238,ROW($1:$4),1),""))</f>
        <v/>
      </c>
      <c r="CA239" s="25" t="str">
        <f t="array" ref="CA239">_xlfn.TEXTJOIN("",TRUE,IF(ISERROR(FIND(ROW($1:$10)-1,BY239&amp;BZ239)),ROW($1:$10)-1,""))</f>
        <v>13456789</v>
      </c>
      <c r="CB239" s="26" t="str">
        <f t="shared" si="117"/>
        <v>邻孤孤</v>
      </c>
      <c r="CC239" s="27" t="str">
        <f t="shared" si="118"/>
        <v>24</v>
      </c>
      <c r="CD239" s="27" t="str">
        <f t="array" ref="CD239">_xlfn.TEXTJOIN("",TRUE,IF(ISNUMBER(FIND(MID(CC238&amp;R238,ROW($1:$4),1),CC239&amp;R239)),MID(CC238&amp;R238,ROW($1:$4),1),""))</f>
        <v/>
      </c>
      <c r="CE239" s="27" t="str">
        <f t="array" ref="CE239">_xlfn.TEXTJOIN("",TRUE,IF(ISERROR(FIND(ROW($1:$10)-1,CC239&amp;CD239)),ROW($1:$10)-1,""))</f>
        <v>01356789</v>
      </c>
      <c r="CF239" s="17" t="str">
        <f t="shared" si="119"/>
        <v>邻孤孤</v>
      </c>
      <c r="CG239" s="22" t="str">
        <f t="shared" si="120"/>
        <v>13</v>
      </c>
      <c r="CH239" s="22" t="str">
        <f t="array" ref="CH239">_xlfn.TEXTJOIN("",TRUE,IF(ISNUMBER(FIND(MID(CG238&amp;S238,ROW($1:$4),1),CG239&amp;S239)),MID(CG238&amp;S238,ROW($1:$4),1),""))</f>
        <v/>
      </c>
      <c r="CI239" s="22" t="str">
        <f t="array" ref="CI239">_xlfn.TEXTJOIN("",TRUE,IF(ISERROR(FIND(ROW($1:$10)-1,CG239&amp;CH239)),ROW($1:$10)-1,""))</f>
        <v>02456789</v>
      </c>
      <c r="CJ239" s="28" t="str">
        <f t="shared" si="121"/>
        <v>邻孤孤</v>
      </c>
    </row>
    <row r="240" spans="1:88">
      <c r="A240" s="32">
        <v>2025015</v>
      </c>
      <c r="B240" s="8" t="s">
        <v>229</v>
      </c>
      <c r="C240" s="49">
        <f t="shared" si="130"/>
        <v>15</v>
      </c>
      <c r="D240" s="50">
        <f t="shared" si="131"/>
        <v>5</v>
      </c>
      <c r="E240" s="51">
        <f t="shared" si="102"/>
        <v>5</v>
      </c>
      <c r="F240" s="52">
        <f>MAX(MID(B240,{1,2,3},1)*1)-MIN(MID(B240,{1,2,3},1)*1)</f>
        <v>7</v>
      </c>
      <c r="G240" s="104">
        <v>0</v>
      </c>
      <c r="H240" s="104">
        <v>1</v>
      </c>
      <c r="I240" s="104">
        <v>2</v>
      </c>
      <c r="J240" s="104">
        <v>3</v>
      </c>
      <c r="K240" s="104">
        <v>4</v>
      </c>
      <c r="L240" s="104">
        <v>5</v>
      </c>
      <c r="M240" s="104">
        <v>6</v>
      </c>
      <c r="N240" s="104">
        <v>7</v>
      </c>
      <c r="O240" s="104">
        <v>8</v>
      </c>
      <c r="P240" s="104">
        <v>9</v>
      </c>
      <c r="Q240" s="53">
        <f t="shared" si="132"/>
        <v>5</v>
      </c>
      <c r="R240" s="53">
        <f t="shared" si="133"/>
        <v>7</v>
      </c>
      <c r="S240" s="53">
        <f t="shared" si="134"/>
        <v>2</v>
      </c>
      <c r="T240" s="101">
        <f t="shared" si="103"/>
        <v>14</v>
      </c>
      <c r="U240" s="15" t="str">
        <f>_xlfn.TEXTJOIN(", ",TRUE,ABS(MID(B240,{1,1,2},1)-MID(B240,{2,3,3},1)))</f>
        <v>5, 7, 2</v>
      </c>
      <c r="V240" s="54">
        <v>0</v>
      </c>
      <c r="W240" s="54">
        <v>1</v>
      </c>
      <c r="X240" s="54">
        <v>2</v>
      </c>
      <c r="Y240" s="54">
        <v>3</v>
      </c>
      <c r="Z240" s="54">
        <v>4</v>
      </c>
      <c r="AA240" s="54">
        <v>5</v>
      </c>
      <c r="AB240" s="54">
        <v>6</v>
      </c>
      <c r="AC240" s="54">
        <v>7</v>
      </c>
      <c r="AD240" s="54">
        <v>8</v>
      </c>
      <c r="AE240" s="54">
        <v>9</v>
      </c>
      <c r="AF240" s="55">
        <v>0</v>
      </c>
      <c r="AG240" s="55">
        <v>1</v>
      </c>
      <c r="AH240" s="55">
        <v>2</v>
      </c>
      <c r="AI240" s="55">
        <v>3</v>
      </c>
      <c r="AJ240" s="55">
        <v>4</v>
      </c>
      <c r="AK240" s="55">
        <v>5</v>
      </c>
      <c r="AL240" s="55">
        <v>6</v>
      </c>
      <c r="AM240" s="55">
        <v>7</v>
      </c>
      <c r="AN240" s="55">
        <v>8</v>
      </c>
      <c r="AO240" s="55">
        <v>9</v>
      </c>
      <c r="AP240" s="105">
        <v>0</v>
      </c>
      <c r="AQ240" s="105">
        <v>1</v>
      </c>
      <c r="AR240" s="105">
        <v>2</v>
      </c>
      <c r="AS240" s="105">
        <v>3</v>
      </c>
      <c r="AT240" s="105">
        <v>4</v>
      </c>
      <c r="AU240" s="105">
        <v>5</v>
      </c>
      <c r="AV240" s="105">
        <v>6</v>
      </c>
      <c r="AW240" s="105">
        <v>7</v>
      </c>
      <c r="AX240" s="105">
        <v>8</v>
      </c>
      <c r="AY240" s="105">
        <v>9</v>
      </c>
      <c r="AZ240" s="56">
        <v>0</v>
      </c>
      <c r="BA240" s="56">
        <v>1</v>
      </c>
      <c r="BB240" s="56">
        <v>2</v>
      </c>
      <c r="BC240" s="56">
        <v>3</v>
      </c>
      <c r="BD240" s="56">
        <v>4</v>
      </c>
      <c r="BE240" s="56">
        <v>5</v>
      </c>
      <c r="BF240" s="56">
        <v>6</v>
      </c>
      <c r="BG240" s="56">
        <v>7</v>
      </c>
      <c r="BH240" s="56">
        <v>8</v>
      </c>
      <c r="BI240" s="56">
        <v>9</v>
      </c>
      <c r="BJ240" s="57" t="str">
        <f t="shared" si="104"/>
        <v>松散型</v>
      </c>
      <c r="BK240" s="13">
        <f t="shared" si="100"/>
        <v>2</v>
      </c>
      <c r="BL240" s="13">
        <f t="shared" si="101"/>
        <v>7</v>
      </c>
      <c r="BM240" s="18" t="str">
        <f t="shared" si="111"/>
        <v/>
      </c>
      <c r="BN240" s="19" t="str">
        <f t="shared" si="112"/>
        <v/>
      </c>
      <c r="BO240" s="19" t="str">
        <f t="array" ref="BO240">_xlfn.TEXTJOIN("",TRUE,IF(ISERROR(FIND(ROW($1:$10)-1,BM240&amp;BN240)),ROW($1:$10)-1,""))</f>
        <v>0123456789</v>
      </c>
      <c r="BP240" s="20" t="str">
        <f t="shared" si="113"/>
        <v>中中中</v>
      </c>
      <c r="BQ240" s="21" t="str">
        <f t="shared" si="124"/>
        <v/>
      </c>
      <c r="BR240" s="21" t="str">
        <f t="shared" si="122"/>
        <v/>
      </c>
      <c r="BS240" s="21" t="str">
        <f t="array" ref="BS240">_xlfn.TEXTJOIN("",TRUE,IF(ISERROR(FIND(ROW($1:$10)-1,BQ240&amp;BR240)),ROW($1:$10)-1,""))</f>
        <v>0123456789</v>
      </c>
      <c r="BT240" s="20" t="str">
        <f t="shared" si="114"/>
        <v>中中中</v>
      </c>
      <c r="BU240" s="22">
        <f t="shared" si="115"/>
        <v>2</v>
      </c>
      <c r="BV240" s="22" t="str">
        <f t="shared" si="123"/>
        <v/>
      </c>
      <c r="BW240" s="22" t="str">
        <f t="array" ref="BW240">_xlfn.TEXTJOIN("",TRUE,IF(ISERROR(FIND(ROW($1:$10)-1,BU240&amp;BV240)),ROW($1:$10)-1,""))</f>
        <v>013456789</v>
      </c>
      <c r="BX240" s="20" t="str">
        <f t="shared" si="116"/>
        <v>复中中</v>
      </c>
      <c r="BY240" s="23" t="str">
        <f t="shared" si="105"/>
        <v>46</v>
      </c>
      <c r="BZ240" s="24" t="str">
        <f t="array" ref="BZ240">_xlfn.TEXTJOIN("",TRUE,IF(ISNUMBER(FIND(MID(BY239&amp;Q239,ROW($1:$4),1),BY240&amp;Q240)),MID(BY239&amp;Q239,ROW($1:$4),1),""))</f>
        <v/>
      </c>
      <c r="CA240" s="25" t="str">
        <f t="array" ref="CA240">_xlfn.TEXTJOIN("",TRUE,IF(ISERROR(FIND(ROW($1:$10)-1,BY240&amp;BZ240)),ROW($1:$10)-1,""))</f>
        <v>01235789</v>
      </c>
      <c r="CB240" s="26" t="str">
        <f t="shared" si="117"/>
        <v>邻孤孤</v>
      </c>
      <c r="CC240" s="27" t="str">
        <f t="shared" si="118"/>
        <v>68</v>
      </c>
      <c r="CD240" s="27" t="str">
        <f t="array" ref="CD240">_xlfn.TEXTJOIN("",TRUE,IF(ISNUMBER(FIND(MID(CC239&amp;R239,ROW($1:$4),1),CC240&amp;R240)),MID(CC239&amp;R239,ROW($1:$4),1),""))</f>
        <v/>
      </c>
      <c r="CE240" s="27" t="str">
        <f t="array" ref="CE240">_xlfn.TEXTJOIN("",TRUE,IF(ISERROR(FIND(ROW($1:$10)-1,CC240&amp;CD240)),ROW($1:$10)-1,""))</f>
        <v>01234579</v>
      </c>
      <c r="CF240" s="17" t="str">
        <f t="shared" si="119"/>
        <v>邻孤孤</v>
      </c>
      <c r="CG240" s="22" t="str">
        <f t="shared" si="120"/>
        <v>13</v>
      </c>
      <c r="CH240" s="22" t="str">
        <f t="array" ref="CH240">_xlfn.TEXTJOIN("",TRUE,IF(ISNUMBER(FIND(MID(CG239&amp;S239,ROW($1:$4),1),CG240&amp;S240)),MID(CG239&amp;S239,ROW($1:$4),1),""))</f>
        <v>132</v>
      </c>
      <c r="CI240" s="22" t="str">
        <f t="array" ref="CI240">_xlfn.TEXTJOIN("",TRUE,IF(ISERROR(FIND(ROW($1:$10)-1,CG240&amp;CH240)),ROW($1:$10)-1,""))</f>
        <v>0456789</v>
      </c>
      <c r="CJ240" s="28" t="str">
        <f t="shared" si="121"/>
        <v>邻传孤</v>
      </c>
    </row>
    <row r="241" spans="1:88">
      <c r="A241" s="32">
        <v>2025016</v>
      </c>
      <c r="B241" s="8" t="s">
        <v>230</v>
      </c>
      <c r="C241" s="49">
        <f t="shared" si="130"/>
        <v>5</v>
      </c>
      <c r="D241" s="50">
        <f t="shared" si="131"/>
        <v>5</v>
      </c>
      <c r="E241" s="51">
        <f t="shared" si="102"/>
        <v>1.6666666666666701</v>
      </c>
      <c r="F241" s="52">
        <f>MAX(MID(B241,{1,2,3},1)*1)-MIN(MID(B241,{1,2,3},1)*1)</f>
        <v>4</v>
      </c>
      <c r="G241" s="104">
        <v>0</v>
      </c>
      <c r="H241" s="104">
        <v>1</v>
      </c>
      <c r="I241" s="104">
        <v>2</v>
      </c>
      <c r="J241" s="104">
        <v>3</v>
      </c>
      <c r="K241" s="104">
        <v>4</v>
      </c>
      <c r="L241" s="104">
        <v>5</v>
      </c>
      <c r="M241" s="104">
        <v>6</v>
      </c>
      <c r="N241" s="104">
        <v>7</v>
      </c>
      <c r="O241" s="104">
        <v>8</v>
      </c>
      <c r="P241" s="104">
        <v>9</v>
      </c>
      <c r="Q241" s="53">
        <f t="shared" si="132"/>
        <v>1</v>
      </c>
      <c r="R241" s="53">
        <f t="shared" si="133"/>
        <v>3</v>
      </c>
      <c r="S241" s="53">
        <f t="shared" si="134"/>
        <v>4</v>
      </c>
      <c r="T241" s="101">
        <f t="shared" si="103"/>
        <v>8</v>
      </c>
      <c r="U241" s="15" t="str">
        <f>_xlfn.TEXTJOIN(", ",TRUE,ABS(MID(B241,{1,1,2},1)-MID(B241,{2,3,3},1)))</f>
        <v>1, 3, 4</v>
      </c>
      <c r="V241" s="54">
        <v>0</v>
      </c>
      <c r="W241" s="54">
        <v>1</v>
      </c>
      <c r="X241" s="54">
        <v>2</v>
      </c>
      <c r="Y241" s="54">
        <v>3</v>
      </c>
      <c r="Z241" s="54">
        <v>4</v>
      </c>
      <c r="AA241" s="54">
        <v>5</v>
      </c>
      <c r="AB241" s="54">
        <v>6</v>
      </c>
      <c r="AC241" s="54">
        <v>7</v>
      </c>
      <c r="AD241" s="54">
        <v>8</v>
      </c>
      <c r="AE241" s="54">
        <v>9</v>
      </c>
      <c r="AF241" s="55">
        <v>0</v>
      </c>
      <c r="AG241" s="55">
        <v>1</v>
      </c>
      <c r="AH241" s="55">
        <v>2</v>
      </c>
      <c r="AI241" s="55">
        <v>3</v>
      </c>
      <c r="AJ241" s="55">
        <v>4</v>
      </c>
      <c r="AK241" s="55">
        <v>5</v>
      </c>
      <c r="AL241" s="55">
        <v>6</v>
      </c>
      <c r="AM241" s="55">
        <v>7</v>
      </c>
      <c r="AN241" s="55">
        <v>8</v>
      </c>
      <c r="AO241" s="55">
        <v>9</v>
      </c>
      <c r="AP241" s="105">
        <v>0</v>
      </c>
      <c r="AQ241" s="105">
        <v>1</v>
      </c>
      <c r="AR241" s="105">
        <v>2</v>
      </c>
      <c r="AS241" s="105">
        <v>3</v>
      </c>
      <c r="AT241" s="105">
        <v>4</v>
      </c>
      <c r="AU241" s="105">
        <v>5</v>
      </c>
      <c r="AV241" s="105">
        <v>6</v>
      </c>
      <c r="AW241" s="105">
        <v>7</v>
      </c>
      <c r="AX241" s="105">
        <v>8</v>
      </c>
      <c r="AY241" s="105">
        <v>9</v>
      </c>
      <c r="AZ241" s="56">
        <v>0</v>
      </c>
      <c r="BA241" s="56">
        <v>1</v>
      </c>
      <c r="BB241" s="56">
        <v>2</v>
      </c>
      <c r="BC241" s="56">
        <v>3</v>
      </c>
      <c r="BD241" s="56">
        <v>4</v>
      </c>
      <c r="BE241" s="56">
        <v>5</v>
      </c>
      <c r="BF241" s="56">
        <v>6</v>
      </c>
      <c r="BG241" s="56">
        <v>7</v>
      </c>
      <c r="BH241" s="56">
        <v>8</v>
      </c>
      <c r="BI241" s="56">
        <v>9</v>
      </c>
      <c r="BJ241" s="57" t="str">
        <f t="shared" si="104"/>
        <v>紧凑型</v>
      </c>
      <c r="BK241" s="13">
        <f t="shared" si="100"/>
        <v>1</v>
      </c>
      <c r="BL241" s="13">
        <f t="shared" si="101"/>
        <v>4</v>
      </c>
      <c r="BM241" s="18" t="str">
        <f t="shared" si="111"/>
        <v/>
      </c>
      <c r="BN241" s="19">
        <f t="shared" si="112"/>
        <v>1</v>
      </c>
      <c r="BO241" s="19" t="str">
        <f t="array" ref="BO241">_xlfn.TEXTJOIN("",TRUE,IF(ISERROR(FIND(ROW($1:$10)-1,BM241&amp;BN241)),ROW($1:$10)-1,""))</f>
        <v>023456789</v>
      </c>
      <c r="BP241" s="20" t="str">
        <f t="shared" si="113"/>
        <v>中隔中</v>
      </c>
      <c r="BQ241" s="21" t="str">
        <f t="shared" si="124"/>
        <v/>
      </c>
      <c r="BR241" s="21">
        <f t="shared" si="122"/>
        <v>3</v>
      </c>
      <c r="BS241" s="21" t="str">
        <f t="array" ref="BS241">_xlfn.TEXTJOIN("",TRUE,IF(ISERROR(FIND(ROW($1:$10)-1,BQ241&amp;BR241)),ROW($1:$10)-1,""))</f>
        <v>012456789</v>
      </c>
      <c r="BT241" s="20" t="str">
        <f t="shared" si="114"/>
        <v>中隔中</v>
      </c>
      <c r="BU241" s="22" t="str">
        <f t="shared" si="115"/>
        <v/>
      </c>
      <c r="BV241" s="22" t="str">
        <f t="shared" si="123"/>
        <v/>
      </c>
      <c r="BW241" s="22" t="str">
        <f t="array" ref="BW241">_xlfn.TEXTJOIN("",TRUE,IF(ISERROR(FIND(ROW($1:$10)-1,BU241&amp;BV241)),ROW($1:$10)-1,""))</f>
        <v>0123456789</v>
      </c>
      <c r="BX241" s="20" t="str">
        <f t="shared" si="116"/>
        <v>中中中</v>
      </c>
      <c r="BY241" s="23" t="str">
        <f t="shared" si="105"/>
        <v>02</v>
      </c>
      <c r="BZ241" s="24" t="str">
        <f t="array" ref="BZ241">_xlfn.TEXTJOIN("",TRUE,IF(ISNUMBER(FIND(MID(BY240&amp;Q240,ROW($1:$4),1),BY241&amp;Q241)),MID(BY240&amp;Q240,ROW($1:$4),1),""))</f>
        <v/>
      </c>
      <c r="CA241" s="25" t="str">
        <f t="array" ref="CA241">_xlfn.TEXTJOIN("",TRUE,IF(ISERROR(FIND(ROW($1:$10)-1,BY241&amp;BZ241)),ROW($1:$10)-1,""))</f>
        <v>13456789</v>
      </c>
      <c r="CB241" s="26" t="str">
        <f t="shared" si="117"/>
        <v>邻孤孤</v>
      </c>
      <c r="CC241" s="27" t="str">
        <f t="shared" si="118"/>
        <v>24</v>
      </c>
      <c r="CD241" s="27" t="str">
        <f t="array" ref="CD241">_xlfn.TEXTJOIN("",TRUE,IF(ISNUMBER(FIND(MID(CC240&amp;R240,ROW($1:$4),1),CC241&amp;R241)),MID(CC240&amp;R240,ROW($1:$4),1),""))</f>
        <v/>
      </c>
      <c r="CE241" s="27" t="str">
        <f t="array" ref="CE241">_xlfn.TEXTJOIN("",TRUE,IF(ISERROR(FIND(ROW($1:$10)-1,CC241&amp;CD241)),ROW($1:$10)-1,""))</f>
        <v>01356789</v>
      </c>
      <c r="CF241" s="17" t="str">
        <f t="shared" si="119"/>
        <v>邻孤孤</v>
      </c>
      <c r="CG241" s="22" t="str">
        <f t="shared" si="120"/>
        <v>35</v>
      </c>
      <c r="CH241" s="22" t="str">
        <f t="array" ref="CH241">_xlfn.TEXTJOIN("",TRUE,IF(ISNUMBER(FIND(MID(CG240&amp;S240,ROW($1:$4),1),CG241&amp;S241)),MID(CG240&amp;S240,ROW($1:$4),1),""))</f>
        <v>3</v>
      </c>
      <c r="CI241" s="22" t="str">
        <f t="array" ref="CI241">_xlfn.TEXTJOIN("",TRUE,IF(ISERROR(FIND(ROW($1:$10)-1,CG241&amp;CH241)),ROW($1:$10)-1,""))</f>
        <v>01246789</v>
      </c>
      <c r="CJ241" s="28" t="str">
        <f t="shared" si="121"/>
        <v>邻传孤</v>
      </c>
    </row>
    <row r="242" spans="1:88">
      <c r="A242" s="32">
        <v>2025017</v>
      </c>
      <c r="B242" s="8" t="s">
        <v>231</v>
      </c>
      <c r="C242" s="49">
        <f t="shared" si="130"/>
        <v>9</v>
      </c>
      <c r="D242" s="50">
        <f t="shared" si="131"/>
        <v>9</v>
      </c>
      <c r="E242" s="51">
        <f t="shared" si="102"/>
        <v>3</v>
      </c>
      <c r="F242" s="52">
        <f>MAX(MID(B242,{1,2,3},1)*1)-MIN(MID(B242,{1,2,3},1)*1)</f>
        <v>7</v>
      </c>
      <c r="G242" s="104">
        <v>0</v>
      </c>
      <c r="H242" s="104">
        <v>1</v>
      </c>
      <c r="I242" s="104">
        <v>2</v>
      </c>
      <c r="J242" s="104">
        <v>3</v>
      </c>
      <c r="K242" s="104">
        <v>4</v>
      </c>
      <c r="L242" s="104">
        <v>5</v>
      </c>
      <c r="M242" s="104">
        <v>6</v>
      </c>
      <c r="N242" s="104">
        <v>7</v>
      </c>
      <c r="O242" s="104">
        <v>8</v>
      </c>
      <c r="P242" s="104">
        <v>9</v>
      </c>
      <c r="Q242" s="53">
        <f t="shared" si="132"/>
        <v>2</v>
      </c>
      <c r="R242" s="53">
        <f t="shared" si="133"/>
        <v>7</v>
      </c>
      <c r="S242" s="53">
        <f t="shared" si="134"/>
        <v>5</v>
      </c>
      <c r="T242" s="101">
        <f t="shared" si="103"/>
        <v>14</v>
      </c>
      <c r="U242" s="15" t="str">
        <f>_xlfn.TEXTJOIN(", ",TRUE,ABS(MID(B242,{1,1,2},1)-MID(B242,{2,3,3},1)))</f>
        <v>2, 7, 5</v>
      </c>
      <c r="V242" s="54">
        <v>0</v>
      </c>
      <c r="W242" s="54">
        <v>1</v>
      </c>
      <c r="X242" s="54">
        <v>2</v>
      </c>
      <c r="Y242" s="54">
        <v>3</v>
      </c>
      <c r="Z242" s="54">
        <v>4</v>
      </c>
      <c r="AA242" s="54">
        <v>5</v>
      </c>
      <c r="AB242" s="54">
        <v>6</v>
      </c>
      <c r="AC242" s="54">
        <v>7</v>
      </c>
      <c r="AD242" s="54">
        <v>8</v>
      </c>
      <c r="AE242" s="54">
        <v>9</v>
      </c>
      <c r="AF242" s="55">
        <v>0</v>
      </c>
      <c r="AG242" s="55">
        <v>1</v>
      </c>
      <c r="AH242" s="55">
        <v>2</v>
      </c>
      <c r="AI242" s="55">
        <v>3</v>
      </c>
      <c r="AJ242" s="55">
        <v>4</v>
      </c>
      <c r="AK242" s="55">
        <v>5</v>
      </c>
      <c r="AL242" s="55">
        <v>6</v>
      </c>
      <c r="AM242" s="55">
        <v>7</v>
      </c>
      <c r="AN242" s="55">
        <v>8</v>
      </c>
      <c r="AO242" s="55">
        <v>9</v>
      </c>
      <c r="AP242" s="105">
        <v>0</v>
      </c>
      <c r="AQ242" s="105">
        <v>1</v>
      </c>
      <c r="AR242" s="105">
        <v>2</v>
      </c>
      <c r="AS242" s="105">
        <v>3</v>
      </c>
      <c r="AT242" s="105">
        <v>4</v>
      </c>
      <c r="AU242" s="105">
        <v>5</v>
      </c>
      <c r="AV242" s="105">
        <v>6</v>
      </c>
      <c r="AW242" s="105">
        <v>7</v>
      </c>
      <c r="AX242" s="105">
        <v>8</v>
      </c>
      <c r="AY242" s="105">
        <v>9</v>
      </c>
      <c r="AZ242" s="56">
        <v>0</v>
      </c>
      <c r="BA242" s="56">
        <v>1</v>
      </c>
      <c r="BB242" s="56">
        <v>2</v>
      </c>
      <c r="BC242" s="56">
        <v>3</v>
      </c>
      <c r="BD242" s="56">
        <v>4</v>
      </c>
      <c r="BE242" s="56">
        <v>5</v>
      </c>
      <c r="BF242" s="56">
        <v>6</v>
      </c>
      <c r="BG242" s="56">
        <v>7</v>
      </c>
      <c r="BH242" s="56">
        <v>8</v>
      </c>
      <c r="BI242" s="56">
        <v>9</v>
      </c>
      <c r="BJ242" s="57" t="str">
        <f t="shared" si="104"/>
        <v>松散型</v>
      </c>
      <c r="BK242" s="13">
        <f t="shared" si="100"/>
        <v>2</v>
      </c>
      <c r="BL242" s="13">
        <f t="shared" si="101"/>
        <v>7</v>
      </c>
      <c r="BM242" s="18" t="str">
        <f t="shared" si="111"/>
        <v/>
      </c>
      <c r="BN242" s="19">
        <f t="shared" si="112"/>
        <v>2</v>
      </c>
      <c r="BO242" s="19" t="str">
        <f t="array" ref="BO242">_xlfn.TEXTJOIN("",TRUE,IF(ISERROR(FIND(ROW($1:$10)-1,BM242&amp;BN242)),ROW($1:$10)-1,""))</f>
        <v>013456789</v>
      </c>
      <c r="BP242" s="20" t="str">
        <f t="shared" si="113"/>
        <v>中隔中</v>
      </c>
      <c r="BQ242" s="21" t="str">
        <f t="shared" si="124"/>
        <v/>
      </c>
      <c r="BR242" s="21">
        <f t="shared" si="122"/>
        <v>7</v>
      </c>
      <c r="BS242" s="21" t="str">
        <f t="array" ref="BS242">_xlfn.TEXTJOIN("",TRUE,IF(ISERROR(FIND(ROW($1:$10)-1,BQ242&amp;BR242)),ROW($1:$10)-1,""))</f>
        <v>012345689</v>
      </c>
      <c r="BT242" s="20" t="str">
        <f t="shared" si="114"/>
        <v>中隔中</v>
      </c>
      <c r="BU242" s="22" t="str">
        <f t="shared" si="115"/>
        <v/>
      </c>
      <c r="BV242" s="22">
        <f t="shared" si="123"/>
        <v>5</v>
      </c>
      <c r="BW242" s="22" t="str">
        <f t="array" ref="BW242">_xlfn.TEXTJOIN("",TRUE,IF(ISERROR(FIND(ROW($1:$10)-1,BU242&amp;BV242)),ROW($1:$10)-1,""))</f>
        <v>012346789</v>
      </c>
      <c r="BX242" s="20" t="str">
        <f t="shared" si="116"/>
        <v>中隔中</v>
      </c>
      <c r="BY242" s="23" t="str">
        <f t="shared" si="105"/>
        <v>13</v>
      </c>
      <c r="BZ242" s="24" t="str">
        <f t="array" ref="BZ242">_xlfn.TEXTJOIN("",TRUE,IF(ISNUMBER(FIND(MID(BY241&amp;Q241,ROW($1:$4),1),BY242&amp;Q242)),MID(BY241&amp;Q241,ROW($1:$4),1),""))</f>
        <v>21</v>
      </c>
      <c r="CA242" s="25" t="str">
        <f t="array" ref="CA242">_xlfn.TEXTJOIN("",TRUE,IF(ISERROR(FIND(ROW($1:$10)-1,BY242&amp;BZ242)),ROW($1:$10)-1,""))</f>
        <v>0456789</v>
      </c>
      <c r="CB242" s="26" t="str">
        <f t="shared" si="117"/>
        <v>邻传孤</v>
      </c>
      <c r="CC242" s="27" t="str">
        <f t="shared" si="118"/>
        <v>68</v>
      </c>
      <c r="CD242" s="27" t="str">
        <f t="array" ref="CD242">_xlfn.TEXTJOIN("",TRUE,IF(ISNUMBER(FIND(MID(CC241&amp;R241,ROW($1:$4),1),CC242&amp;R242)),MID(CC241&amp;R241,ROW($1:$4),1),""))</f>
        <v/>
      </c>
      <c r="CE242" s="27" t="str">
        <f t="array" ref="CE242">_xlfn.TEXTJOIN("",TRUE,IF(ISERROR(FIND(ROW($1:$10)-1,CC242&amp;CD242)),ROW($1:$10)-1,""))</f>
        <v>01234579</v>
      </c>
      <c r="CF242" s="17" t="str">
        <f t="shared" si="119"/>
        <v>邻孤孤</v>
      </c>
      <c r="CG242" s="22" t="str">
        <f t="shared" si="120"/>
        <v>46</v>
      </c>
      <c r="CH242" s="22" t="str">
        <f t="array" ref="CH242">_xlfn.TEXTJOIN("",TRUE,IF(ISNUMBER(FIND(MID(CG241&amp;S241,ROW($1:$4),1),CG242&amp;S242)),MID(CG241&amp;S241,ROW($1:$4),1),""))</f>
        <v>54</v>
      </c>
      <c r="CI242" s="22" t="str">
        <f t="array" ref="CI242">_xlfn.TEXTJOIN("",TRUE,IF(ISERROR(FIND(ROW($1:$10)-1,CG242&amp;CH242)),ROW($1:$10)-1,""))</f>
        <v>0123789</v>
      </c>
      <c r="CJ242" s="28" t="str">
        <f t="shared" si="121"/>
        <v>邻传孤</v>
      </c>
    </row>
    <row r="243" spans="1:88">
      <c r="A243" s="32">
        <v>2025018</v>
      </c>
      <c r="B243" s="8" t="s">
        <v>232</v>
      </c>
      <c r="C243" s="49">
        <f t="shared" si="130"/>
        <v>17</v>
      </c>
      <c r="D243" s="50">
        <f t="shared" si="131"/>
        <v>7</v>
      </c>
      <c r="E243" s="51">
        <f t="shared" si="102"/>
        <v>5.6666666666666696</v>
      </c>
      <c r="F243" s="52">
        <f>MAX(MID(B243,{1,2,3},1)*1)-MIN(MID(B243,{1,2,3},1)*1)</f>
        <v>5</v>
      </c>
      <c r="G243" s="104">
        <v>0</v>
      </c>
      <c r="H243" s="104">
        <v>1</v>
      </c>
      <c r="I243" s="104">
        <v>2</v>
      </c>
      <c r="J243" s="104">
        <v>3</v>
      </c>
      <c r="K243" s="104">
        <v>4</v>
      </c>
      <c r="L243" s="104">
        <v>5</v>
      </c>
      <c r="M243" s="104">
        <v>6</v>
      </c>
      <c r="N243" s="104">
        <v>7</v>
      </c>
      <c r="O243" s="104">
        <v>8</v>
      </c>
      <c r="P243" s="104">
        <v>9</v>
      </c>
      <c r="Q243" s="53">
        <f t="shared" si="132"/>
        <v>5</v>
      </c>
      <c r="R243" s="53">
        <f t="shared" si="133"/>
        <v>2</v>
      </c>
      <c r="S243" s="53">
        <f t="shared" si="134"/>
        <v>3</v>
      </c>
      <c r="T243" s="101">
        <f t="shared" si="103"/>
        <v>10</v>
      </c>
      <c r="U243" s="15" t="str">
        <f>_xlfn.TEXTJOIN(", ",TRUE,ABS(MID(B243,{1,1,2},1)-MID(B243,{2,3,3},1)))</f>
        <v>5, 2, 3</v>
      </c>
      <c r="V243" s="54">
        <v>0</v>
      </c>
      <c r="W243" s="54">
        <v>1</v>
      </c>
      <c r="X243" s="54">
        <v>2</v>
      </c>
      <c r="Y243" s="54">
        <v>3</v>
      </c>
      <c r="Z243" s="54">
        <v>4</v>
      </c>
      <c r="AA243" s="54">
        <v>5</v>
      </c>
      <c r="AB243" s="54">
        <v>6</v>
      </c>
      <c r="AC243" s="54">
        <v>7</v>
      </c>
      <c r="AD243" s="54">
        <v>8</v>
      </c>
      <c r="AE243" s="54">
        <v>9</v>
      </c>
      <c r="AF243" s="55">
        <v>0</v>
      </c>
      <c r="AG243" s="55">
        <v>1</v>
      </c>
      <c r="AH243" s="55">
        <v>2</v>
      </c>
      <c r="AI243" s="55">
        <v>3</v>
      </c>
      <c r="AJ243" s="55">
        <v>4</v>
      </c>
      <c r="AK243" s="55">
        <v>5</v>
      </c>
      <c r="AL243" s="55">
        <v>6</v>
      </c>
      <c r="AM243" s="55">
        <v>7</v>
      </c>
      <c r="AN243" s="55">
        <v>8</v>
      </c>
      <c r="AO243" s="55">
        <v>9</v>
      </c>
      <c r="AP243" s="105">
        <v>0</v>
      </c>
      <c r="AQ243" s="105">
        <v>1</v>
      </c>
      <c r="AR243" s="105">
        <v>2</v>
      </c>
      <c r="AS243" s="105">
        <v>3</v>
      </c>
      <c r="AT243" s="105">
        <v>4</v>
      </c>
      <c r="AU243" s="105">
        <v>5</v>
      </c>
      <c r="AV243" s="105">
        <v>6</v>
      </c>
      <c r="AW243" s="105">
        <v>7</v>
      </c>
      <c r="AX243" s="105">
        <v>8</v>
      </c>
      <c r="AY243" s="105">
        <v>9</v>
      </c>
      <c r="AZ243" s="56">
        <v>0</v>
      </c>
      <c r="BA243" s="56">
        <v>1</v>
      </c>
      <c r="BB243" s="56">
        <v>2</v>
      </c>
      <c r="BC243" s="56">
        <v>3</v>
      </c>
      <c r="BD243" s="56">
        <v>4</v>
      </c>
      <c r="BE243" s="56">
        <v>5</v>
      </c>
      <c r="BF243" s="56">
        <v>6</v>
      </c>
      <c r="BG243" s="56">
        <v>7</v>
      </c>
      <c r="BH243" s="56">
        <v>8</v>
      </c>
      <c r="BI243" s="56">
        <v>9</v>
      </c>
      <c r="BJ243" s="57" t="str">
        <f t="shared" si="104"/>
        <v>标准型</v>
      </c>
      <c r="BK243" s="13">
        <f t="shared" si="100"/>
        <v>2</v>
      </c>
      <c r="BL243" s="13">
        <f t="shared" si="101"/>
        <v>5</v>
      </c>
      <c r="BM243" s="18">
        <f t="shared" si="111"/>
        <v>5</v>
      </c>
      <c r="BN243" s="19" t="str">
        <f t="shared" si="112"/>
        <v/>
      </c>
      <c r="BO243" s="19" t="str">
        <f t="array" ref="BO243">_xlfn.TEXTJOIN("",TRUE,IF(ISERROR(FIND(ROW($1:$10)-1,BM243&amp;BN243)),ROW($1:$10)-1,""))</f>
        <v>012346789</v>
      </c>
      <c r="BP243" s="20" t="str">
        <f t="shared" si="113"/>
        <v>复中中</v>
      </c>
      <c r="BQ243" s="21">
        <f t="shared" si="124"/>
        <v>2</v>
      </c>
      <c r="BR243" s="21" t="str">
        <f t="shared" si="122"/>
        <v/>
      </c>
      <c r="BS243" s="21" t="str">
        <f t="array" ref="BS243">_xlfn.TEXTJOIN("",TRUE,IF(ISERROR(FIND(ROW($1:$10)-1,BQ243&amp;BR243)),ROW($1:$10)-1,""))</f>
        <v>013456789</v>
      </c>
      <c r="BT243" s="20" t="str">
        <f t="shared" si="114"/>
        <v>复中中</v>
      </c>
      <c r="BU243" s="22" t="str">
        <f t="shared" si="115"/>
        <v/>
      </c>
      <c r="BV243" s="22">
        <f t="shared" si="123"/>
        <v>3</v>
      </c>
      <c r="BW243" s="22" t="str">
        <f t="array" ref="BW243">_xlfn.TEXTJOIN("",TRUE,IF(ISERROR(FIND(ROW($1:$10)-1,BU243&amp;BV243)),ROW($1:$10)-1,""))</f>
        <v>012456789</v>
      </c>
      <c r="BX243" s="20" t="str">
        <f t="shared" si="116"/>
        <v>中隔中</v>
      </c>
      <c r="BY243" s="23" t="str">
        <f t="shared" si="105"/>
        <v>46</v>
      </c>
      <c r="BZ243" s="24" t="str">
        <f t="array" ref="BZ243">_xlfn.TEXTJOIN("",TRUE,IF(ISNUMBER(FIND(MID(BY242&amp;Q242,ROW($1:$4),1),BY243&amp;Q243)),MID(BY242&amp;Q242,ROW($1:$4),1),""))</f>
        <v/>
      </c>
      <c r="CA243" s="25" t="str">
        <f t="array" ref="CA243">_xlfn.TEXTJOIN("",TRUE,IF(ISERROR(FIND(ROW($1:$10)-1,BY243&amp;BZ243)),ROW($1:$10)-1,""))</f>
        <v>01235789</v>
      </c>
      <c r="CB243" s="26" t="str">
        <f t="shared" si="117"/>
        <v>邻孤孤</v>
      </c>
      <c r="CC243" s="27" t="str">
        <f t="shared" si="118"/>
        <v>13</v>
      </c>
      <c r="CD243" s="27" t="str">
        <f t="array" ref="CD243">_xlfn.TEXTJOIN("",TRUE,IF(ISNUMBER(FIND(MID(CC242&amp;R242,ROW($1:$4),1),CC243&amp;R243)),MID(CC242&amp;R242,ROW($1:$4),1),""))</f>
        <v/>
      </c>
      <c r="CE243" s="27" t="str">
        <f t="array" ref="CE243">_xlfn.TEXTJOIN("",TRUE,IF(ISERROR(FIND(ROW($1:$10)-1,CC243&amp;CD243)),ROW($1:$10)-1,""))</f>
        <v>02456789</v>
      </c>
      <c r="CF243" s="17" t="str">
        <f t="shared" si="119"/>
        <v>邻孤孤</v>
      </c>
      <c r="CG243" s="22" t="str">
        <f t="shared" si="120"/>
        <v>24</v>
      </c>
      <c r="CH243" s="22" t="str">
        <f t="array" ref="CH243">_xlfn.TEXTJOIN("",TRUE,IF(ISNUMBER(FIND(MID(CG242&amp;S242,ROW($1:$4),1),CG243&amp;S243)),MID(CG242&amp;S242,ROW($1:$4),1),""))</f>
        <v>4</v>
      </c>
      <c r="CI243" s="22" t="str">
        <f t="array" ref="CI243">_xlfn.TEXTJOIN("",TRUE,IF(ISERROR(FIND(ROW($1:$10)-1,CG243&amp;CH243)),ROW($1:$10)-1,""))</f>
        <v>01356789</v>
      </c>
      <c r="CJ243" s="28" t="str">
        <f t="shared" si="121"/>
        <v>邻传孤</v>
      </c>
    </row>
    <row r="244" spans="1:88">
      <c r="A244" s="32">
        <v>2025019</v>
      </c>
      <c r="B244" s="8" t="s">
        <v>91</v>
      </c>
      <c r="C244" s="49">
        <f t="shared" si="130"/>
        <v>8</v>
      </c>
      <c r="D244" s="50">
        <f t="shared" si="131"/>
        <v>8</v>
      </c>
      <c r="E244" s="51">
        <f t="shared" si="102"/>
        <v>2.6666666666666701</v>
      </c>
      <c r="F244" s="52">
        <f>MAX(MID(B244,{1,2,3},1)*1)-MIN(MID(B244,{1,2,3},1)*1)</f>
        <v>7</v>
      </c>
      <c r="G244" s="104">
        <v>0</v>
      </c>
      <c r="H244" s="104">
        <v>1</v>
      </c>
      <c r="I244" s="104">
        <v>2</v>
      </c>
      <c r="J244" s="104">
        <v>3</v>
      </c>
      <c r="K244" s="104">
        <v>4</v>
      </c>
      <c r="L244" s="104">
        <v>5</v>
      </c>
      <c r="M244" s="104">
        <v>6</v>
      </c>
      <c r="N244" s="104">
        <v>7</v>
      </c>
      <c r="O244" s="104">
        <v>8</v>
      </c>
      <c r="P244" s="104">
        <v>9</v>
      </c>
      <c r="Q244" s="53">
        <f t="shared" si="132"/>
        <v>6</v>
      </c>
      <c r="R244" s="53">
        <f t="shared" si="133"/>
        <v>7</v>
      </c>
      <c r="S244" s="53">
        <f t="shared" si="134"/>
        <v>1</v>
      </c>
      <c r="T244" s="101">
        <f t="shared" si="103"/>
        <v>14</v>
      </c>
      <c r="U244" s="15" t="str">
        <f>_xlfn.TEXTJOIN(", ",TRUE,ABS(MID(B244,{1,1,2},1)-MID(B244,{2,3,3},1)))</f>
        <v>6, 7, 1</v>
      </c>
      <c r="V244" s="54">
        <v>0</v>
      </c>
      <c r="W244" s="54">
        <v>1</v>
      </c>
      <c r="X244" s="54">
        <v>2</v>
      </c>
      <c r="Y244" s="54">
        <v>3</v>
      </c>
      <c r="Z244" s="54">
        <v>4</v>
      </c>
      <c r="AA244" s="54">
        <v>5</v>
      </c>
      <c r="AB244" s="54">
        <v>6</v>
      </c>
      <c r="AC244" s="54">
        <v>7</v>
      </c>
      <c r="AD244" s="54">
        <v>8</v>
      </c>
      <c r="AE244" s="54">
        <v>9</v>
      </c>
      <c r="AF244" s="55">
        <v>0</v>
      </c>
      <c r="AG244" s="55">
        <v>1</v>
      </c>
      <c r="AH244" s="55">
        <v>2</v>
      </c>
      <c r="AI244" s="55">
        <v>3</v>
      </c>
      <c r="AJ244" s="55">
        <v>4</v>
      </c>
      <c r="AK244" s="55">
        <v>5</v>
      </c>
      <c r="AL244" s="55">
        <v>6</v>
      </c>
      <c r="AM244" s="55">
        <v>7</v>
      </c>
      <c r="AN244" s="55">
        <v>8</v>
      </c>
      <c r="AO244" s="55">
        <v>9</v>
      </c>
      <c r="AP244" s="105">
        <v>0</v>
      </c>
      <c r="AQ244" s="105">
        <v>1</v>
      </c>
      <c r="AR244" s="105">
        <v>2</v>
      </c>
      <c r="AS244" s="105">
        <v>3</v>
      </c>
      <c r="AT244" s="105">
        <v>4</v>
      </c>
      <c r="AU244" s="105">
        <v>5</v>
      </c>
      <c r="AV244" s="105">
        <v>6</v>
      </c>
      <c r="AW244" s="105">
        <v>7</v>
      </c>
      <c r="AX244" s="105">
        <v>8</v>
      </c>
      <c r="AY244" s="105">
        <v>9</v>
      </c>
      <c r="AZ244" s="56">
        <v>0</v>
      </c>
      <c r="BA244" s="56">
        <v>1</v>
      </c>
      <c r="BB244" s="56">
        <v>2</v>
      </c>
      <c r="BC244" s="56">
        <v>3</v>
      </c>
      <c r="BD244" s="56">
        <v>4</v>
      </c>
      <c r="BE244" s="56">
        <v>5</v>
      </c>
      <c r="BF244" s="56">
        <v>6</v>
      </c>
      <c r="BG244" s="56">
        <v>7</v>
      </c>
      <c r="BH244" s="56">
        <v>8</v>
      </c>
      <c r="BI244" s="56">
        <v>9</v>
      </c>
      <c r="BJ244" s="57" t="str">
        <f t="shared" si="104"/>
        <v>松散型</v>
      </c>
      <c r="BK244" s="13">
        <f t="shared" si="100"/>
        <v>1</v>
      </c>
      <c r="BL244" s="13">
        <f t="shared" si="101"/>
        <v>7</v>
      </c>
      <c r="BM244" s="18" t="str">
        <f t="shared" si="111"/>
        <v/>
      </c>
      <c r="BN244" s="19" t="str">
        <f t="shared" si="112"/>
        <v/>
      </c>
      <c r="BO244" s="19" t="str">
        <f t="array" ref="BO244">_xlfn.TEXTJOIN("",TRUE,IF(ISERROR(FIND(ROW($1:$10)-1,BM244&amp;BN244)),ROW($1:$10)-1,""))</f>
        <v>0123456789</v>
      </c>
      <c r="BP244" s="20" t="str">
        <f t="shared" si="113"/>
        <v>中中中</v>
      </c>
      <c r="BQ244" s="21" t="str">
        <f t="shared" si="124"/>
        <v/>
      </c>
      <c r="BR244" s="21">
        <f t="shared" si="122"/>
        <v>7</v>
      </c>
      <c r="BS244" s="21" t="str">
        <f t="array" ref="BS244">_xlfn.TEXTJOIN("",TRUE,IF(ISERROR(FIND(ROW($1:$10)-1,BQ244&amp;BR244)),ROW($1:$10)-1,""))</f>
        <v>012345689</v>
      </c>
      <c r="BT244" s="20" t="str">
        <f t="shared" si="114"/>
        <v>中隔中</v>
      </c>
      <c r="BU244" s="22" t="str">
        <f t="shared" si="115"/>
        <v/>
      </c>
      <c r="BV244" s="22" t="str">
        <f t="shared" si="123"/>
        <v/>
      </c>
      <c r="BW244" s="22" t="str">
        <f t="array" ref="BW244">_xlfn.TEXTJOIN("",TRUE,IF(ISERROR(FIND(ROW($1:$10)-1,BU244&amp;BV244)),ROW($1:$10)-1,""))</f>
        <v>0123456789</v>
      </c>
      <c r="BX244" s="20" t="str">
        <f t="shared" si="116"/>
        <v>中中中</v>
      </c>
      <c r="BY244" s="23" t="str">
        <f t="shared" si="105"/>
        <v>57</v>
      </c>
      <c r="BZ244" s="24" t="str">
        <f t="array" ref="BZ244">_xlfn.TEXTJOIN("",TRUE,IF(ISNUMBER(FIND(MID(BY243&amp;Q243,ROW($1:$4),1),BY244&amp;Q244)),MID(BY243&amp;Q243,ROW($1:$4),1),""))</f>
        <v>65</v>
      </c>
      <c r="CA244" s="25" t="str">
        <f t="array" ref="CA244">_xlfn.TEXTJOIN("",TRUE,IF(ISERROR(FIND(ROW($1:$10)-1,BY244&amp;BZ244)),ROW($1:$10)-1,""))</f>
        <v>0123489</v>
      </c>
      <c r="CB244" s="26" t="str">
        <f t="shared" si="117"/>
        <v>邻传孤</v>
      </c>
      <c r="CC244" s="27" t="str">
        <f t="shared" si="118"/>
        <v>68</v>
      </c>
      <c r="CD244" s="27" t="str">
        <f t="array" ref="CD244">_xlfn.TEXTJOIN("",TRUE,IF(ISNUMBER(FIND(MID(CC243&amp;R243,ROW($1:$4),1),CC244&amp;R244)),MID(CC243&amp;R243,ROW($1:$4),1),""))</f>
        <v/>
      </c>
      <c r="CE244" s="27" t="str">
        <f t="array" ref="CE244">_xlfn.TEXTJOIN("",TRUE,IF(ISERROR(FIND(ROW($1:$10)-1,CC244&amp;CD244)),ROW($1:$10)-1,""))</f>
        <v>01234579</v>
      </c>
      <c r="CF244" s="17" t="str">
        <f t="shared" si="119"/>
        <v>邻孤孤</v>
      </c>
      <c r="CG244" s="22" t="str">
        <f t="shared" si="120"/>
        <v>02</v>
      </c>
      <c r="CH244" s="22" t="str">
        <f t="array" ref="CH244">_xlfn.TEXTJOIN("",TRUE,IF(ISNUMBER(FIND(MID(CG243&amp;S243,ROW($1:$4),1),CG244&amp;S244)),MID(CG243&amp;S243,ROW($1:$4),1),""))</f>
        <v>2</v>
      </c>
      <c r="CI244" s="22" t="str">
        <f t="array" ref="CI244">_xlfn.TEXTJOIN("",TRUE,IF(ISERROR(FIND(ROW($1:$10)-1,CG244&amp;CH244)),ROW($1:$10)-1,""))</f>
        <v>13456789</v>
      </c>
      <c r="CJ244" s="28" t="str">
        <f t="shared" si="121"/>
        <v>邻传孤</v>
      </c>
    </row>
    <row r="245" spans="1:88">
      <c r="A245" s="32">
        <v>2025020</v>
      </c>
      <c r="B245" s="8" t="s">
        <v>89</v>
      </c>
      <c r="C245" s="49">
        <f t="shared" si="130"/>
        <v>11</v>
      </c>
      <c r="D245" s="50">
        <f t="shared" si="131"/>
        <v>1</v>
      </c>
      <c r="E245" s="51">
        <f t="shared" si="102"/>
        <v>3.6666666666666701</v>
      </c>
      <c r="F245" s="52">
        <f>MAX(MID(B245,{1,2,3},1)*1)-MIN(MID(B245,{1,2,3},1)*1)</f>
        <v>6</v>
      </c>
      <c r="G245" s="104">
        <v>0</v>
      </c>
      <c r="H245" s="104">
        <v>1</v>
      </c>
      <c r="I245" s="104">
        <v>2</v>
      </c>
      <c r="J245" s="104">
        <v>3</v>
      </c>
      <c r="K245" s="104">
        <v>4</v>
      </c>
      <c r="L245" s="104">
        <v>5</v>
      </c>
      <c r="M245" s="104">
        <v>6</v>
      </c>
      <c r="N245" s="104">
        <v>7</v>
      </c>
      <c r="O245" s="104">
        <v>8</v>
      </c>
      <c r="P245" s="104">
        <v>9</v>
      </c>
      <c r="Q245" s="53">
        <f t="shared" si="132"/>
        <v>5</v>
      </c>
      <c r="R245" s="53">
        <f t="shared" si="133"/>
        <v>6</v>
      </c>
      <c r="S245" s="53">
        <f t="shared" si="134"/>
        <v>1</v>
      </c>
      <c r="T245" s="101">
        <f t="shared" si="103"/>
        <v>12</v>
      </c>
      <c r="U245" s="15" t="str">
        <f>_xlfn.TEXTJOIN(", ",TRUE,ABS(MID(B245,{1,1,2},1)-MID(B245,{2,3,3},1)))</f>
        <v>5, 6, 1</v>
      </c>
      <c r="V245" s="54">
        <v>0</v>
      </c>
      <c r="W245" s="54">
        <v>1</v>
      </c>
      <c r="X245" s="54">
        <v>2</v>
      </c>
      <c r="Y245" s="54">
        <v>3</v>
      </c>
      <c r="Z245" s="54">
        <v>4</v>
      </c>
      <c r="AA245" s="54">
        <v>5</v>
      </c>
      <c r="AB245" s="54">
        <v>6</v>
      </c>
      <c r="AC245" s="54">
        <v>7</v>
      </c>
      <c r="AD245" s="54">
        <v>8</v>
      </c>
      <c r="AE245" s="54">
        <v>9</v>
      </c>
      <c r="AF245" s="55">
        <v>0</v>
      </c>
      <c r="AG245" s="55">
        <v>1</v>
      </c>
      <c r="AH245" s="55">
        <v>2</v>
      </c>
      <c r="AI245" s="55">
        <v>3</v>
      </c>
      <c r="AJ245" s="55">
        <v>4</v>
      </c>
      <c r="AK245" s="55">
        <v>5</v>
      </c>
      <c r="AL245" s="55">
        <v>6</v>
      </c>
      <c r="AM245" s="55">
        <v>7</v>
      </c>
      <c r="AN245" s="55">
        <v>8</v>
      </c>
      <c r="AO245" s="55">
        <v>9</v>
      </c>
      <c r="AP245" s="105">
        <v>0</v>
      </c>
      <c r="AQ245" s="105">
        <v>1</v>
      </c>
      <c r="AR245" s="105">
        <v>2</v>
      </c>
      <c r="AS245" s="105">
        <v>3</v>
      </c>
      <c r="AT245" s="105">
        <v>4</v>
      </c>
      <c r="AU245" s="105">
        <v>5</v>
      </c>
      <c r="AV245" s="105">
        <v>6</v>
      </c>
      <c r="AW245" s="105">
        <v>7</v>
      </c>
      <c r="AX245" s="105">
        <v>8</v>
      </c>
      <c r="AY245" s="105">
        <v>9</v>
      </c>
      <c r="AZ245" s="56">
        <v>0</v>
      </c>
      <c r="BA245" s="56">
        <v>1</v>
      </c>
      <c r="BB245" s="56">
        <v>2</v>
      </c>
      <c r="BC245" s="56">
        <v>3</v>
      </c>
      <c r="BD245" s="56">
        <v>4</v>
      </c>
      <c r="BE245" s="56">
        <v>5</v>
      </c>
      <c r="BF245" s="56">
        <v>6</v>
      </c>
      <c r="BG245" s="56">
        <v>7</v>
      </c>
      <c r="BH245" s="56">
        <v>8</v>
      </c>
      <c r="BI245" s="56">
        <v>9</v>
      </c>
      <c r="BJ245" s="57" t="str">
        <f t="shared" si="104"/>
        <v>松散型</v>
      </c>
      <c r="BK245" s="13">
        <f t="shared" si="100"/>
        <v>1</v>
      </c>
      <c r="BL245" s="13">
        <f t="shared" si="101"/>
        <v>6</v>
      </c>
      <c r="BM245" s="18" t="str">
        <f t="shared" si="111"/>
        <v/>
      </c>
      <c r="BN245" s="19">
        <f t="shared" si="112"/>
        <v>5</v>
      </c>
      <c r="BO245" s="19" t="str">
        <f t="array" ref="BO245">_xlfn.TEXTJOIN("",TRUE,IF(ISERROR(FIND(ROW($1:$10)-1,BM245&amp;BN245)),ROW($1:$10)-1,""))</f>
        <v>012346789</v>
      </c>
      <c r="BP245" s="20" t="str">
        <f t="shared" si="113"/>
        <v>中隔中</v>
      </c>
      <c r="BQ245" s="21">
        <f t="shared" si="124"/>
        <v>6</v>
      </c>
      <c r="BR245" s="21" t="str">
        <f t="shared" si="122"/>
        <v/>
      </c>
      <c r="BS245" s="21" t="str">
        <f t="array" ref="BS245">_xlfn.TEXTJOIN("",TRUE,IF(ISERROR(FIND(ROW($1:$10)-1,BQ245&amp;BR245)),ROW($1:$10)-1,""))</f>
        <v>012345789</v>
      </c>
      <c r="BT245" s="20" t="str">
        <f t="shared" si="114"/>
        <v>复中中</v>
      </c>
      <c r="BU245" s="22">
        <f t="shared" si="115"/>
        <v>1</v>
      </c>
      <c r="BV245" s="22" t="str">
        <f t="shared" si="123"/>
        <v/>
      </c>
      <c r="BW245" s="22" t="str">
        <f t="array" ref="BW245">_xlfn.TEXTJOIN("",TRUE,IF(ISERROR(FIND(ROW($1:$10)-1,BU245&amp;BV245)),ROW($1:$10)-1,""))</f>
        <v>023456789</v>
      </c>
      <c r="BX245" s="20" t="str">
        <f t="shared" si="116"/>
        <v>复中中</v>
      </c>
      <c r="BY245" s="23" t="str">
        <f t="shared" si="105"/>
        <v>46</v>
      </c>
      <c r="BZ245" s="24" t="str">
        <f t="array" ref="BZ245">_xlfn.TEXTJOIN("",TRUE,IF(ISNUMBER(FIND(MID(BY244&amp;Q244,ROW($1:$4),1),BY245&amp;Q245)),MID(BY244&amp;Q244,ROW($1:$4),1),""))</f>
        <v>56</v>
      </c>
      <c r="CA245" s="25" t="str">
        <f t="array" ref="CA245">_xlfn.TEXTJOIN("",TRUE,IF(ISERROR(FIND(ROW($1:$10)-1,BY245&amp;BZ245)),ROW($1:$10)-1,""))</f>
        <v>0123789</v>
      </c>
      <c r="CB245" s="26" t="str">
        <f t="shared" si="117"/>
        <v>邻传孤</v>
      </c>
      <c r="CC245" s="27" t="str">
        <f t="shared" si="118"/>
        <v>57</v>
      </c>
      <c r="CD245" s="27" t="str">
        <f t="array" ref="CD245">_xlfn.TEXTJOIN("",TRUE,IF(ISNUMBER(FIND(MID(CC244&amp;R244,ROW($1:$4),1),CC245&amp;R245)),MID(CC244&amp;R244,ROW($1:$4),1),""))</f>
        <v>67</v>
      </c>
      <c r="CE245" s="27" t="str">
        <f t="array" ref="CE245">_xlfn.TEXTJOIN("",TRUE,IF(ISERROR(FIND(ROW($1:$10)-1,CC245&amp;CD245)),ROW($1:$10)-1,""))</f>
        <v>0123489</v>
      </c>
      <c r="CF245" s="17" t="str">
        <f t="shared" si="119"/>
        <v>邻传孤</v>
      </c>
      <c r="CG245" s="22" t="str">
        <f t="shared" si="120"/>
        <v>02</v>
      </c>
      <c r="CH245" s="22" t="str">
        <f t="array" ref="CH245">_xlfn.TEXTJOIN("",TRUE,IF(ISNUMBER(FIND(MID(CG244&amp;S244,ROW($1:$4),1),CG245&amp;S245)),MID(CG244&amp;S244,ROW($1:$4),1),""))</f>
        <v>021</v>
      </c>
      <c r="CI245" s="22" t="str">
        <f t="array" ref="CI245">_xlfn.TEXTJOIN("",TRUE,IF(ISERROR(FIND(ROW($1:$10)-1,CG245&amp;CH245)),ROW($1:$10)-1,""))</f>
        <v>3456789</v>
      </c>
      <c r="CJ245" s="28" t="str">
        <f t="shared" si="121"/>
        <v>邻传孤</v>
      </c>
    </row>
    <row r="246" spans="1:88">
      <c r="A246" s="32">
        <v>2025021</v>
      </c>
      <c r="B246" s="8" t="s">
        <v>55</v>
      </c>
      <c r="C246" s="49">
        <f t="shared" si="130"/>
        <v>18</v>
      </c>
      <c r="D246" s="50">
        <f t="shared" si="131"/>
        <v>8</v>
      </c>
      <c r="E246" s="51">
        <f t="shared" si="102"/>
        <v>6</v>
      </c>
      <c r="F246" s="52">
        <f>MAX(MID(B246,{1,2,3},1)*1)-MIN(MID(B246,{1,2,3},1)*1)</f>
        <v>4</v>
      </c>
      <c r="G246" s="104">
        <v>0</v>
      </c>
      <c r="H246" s="104">
        <v>1</v>
      </c>
      <c r="I246" s="104">
        <v>2</v>
      </c>
      <c r="J246" s="104">
        <v>3</v>
      </c>
      <c r="K246" s="104">
        <v>4</v>
      </c>
      <c r="L246" s="104">
        <v>5</v>
      </c>
      <c r="M246" s="104">
        <v>6</v>
      </c>
      <c r="N246" s="104">
        <v>7</v>
      </c>
      <c r="O246" s="104">
        <v>8</v>
      </c>
      <c r="P246" s="104">
        <v>9</v>
      </c>
      <c r="Q246" s="53">
        <f t="shared" si="132"/>
        <v>2</v>
      </c>
      <c r="R246" s="53">
        <f t="shared" si="133"/>
        <v>4</v>
      </c>
      <c r="S246" s="53">
        <f t="shared" si="134"/>
        <v>2</v>
      </c>
      <c r="T246" s="101">
        <f t="shared" si="103"/>
        <v>8</v>
      </c>
      <c r="U246" s="15" t="str">
        <f>_xlfn.TEXTJOIN(", ",TRUE,ABS(MID(B246,{1,1,2},1)-MID(B246,{2,3,3},1)))</f>
        <v>2, 4, 2</v>
      </c>
      <c r="V246" s="54">
        <v>0</v>
      </c>
      <c r="W246" s="54">
        <v>1</v>
      </c>
      <c r="X246" s="54">
        <v>2</v>
      </c>
      <c r="Y246" s="54">
        <v>3</v>
      </c>
      <c r="Z246" s="54">
        <v>4</v>
      </c>
      <c r="AA246" s="54">
        <v>5</v>
      </c>
      <c r="AB246" s="54">
        <v>6</v>
      </c>
      <c r="AC246" s="54">
        <v>7</v>
      </c>
      <c r="AD246" s="54">
        <v>8</v>
      </c>
      <c r="AE246" s="54">
        <v>9</v>
      </c>
      <c r="AF246" s="55">
        <v>0</v>
      </c>
      <c r="AG246" s="55">
        <v>1</v>
      </c>
      <c r="AH246" s="55">
        <v>2</v>
      </c>
      <c r="AI246" s="55">
        <v>3</v>
      </c>
      <c r="AJ246" s="55">
        <v>4</v>
      </c>
      <c r="AK246" s="55">
        <v>5</v>
      </c>
      <c r="AL246" s="55">
        <v>6</v>
      </c>
      <c r="AM246" s="55">
        <v>7</v>
      </c>
      <c r="AN246" s="55">
        <v>8</v>
      </c>
      <c r="AO246" s="55">
        <v>9</v>
      </c>
      <c r="AP246" s="105">
        <v>0</v>
      </c>
      <c r="AQ246" s="105">
        <v>1</v>
      </c>
      <c r="AR246" s="105">
        <v>2</v>
      </c>
      <c r="AS246" s="105">
        <v>3</v>
      </c>
      <c r="AT246" s="105">
        <v>4</v>
      </c>
      <c r="AU246" s="105">
        <v>5</v>
      </c>
      <c r="AV246" s="105">
        <v>6</v>
      </c>
      <c r="AW246" s="105">
        <v>7</v>
      </c>
      <c r="AX246" s="105">
        <v>8</v>
      </c>
      <c r="AY246" s="105">
        <v>9</v>
      </c>
      <c r="AZ246" s="56">
        <v>0</v>
      </c>
      <c r="BA246" s="56">
        <v>1</v>
      </c>
      <c r="BB246" s="56">
        <v>2</v>
      </c>
      <c r="BC246" s="56">
        <v>3</v>
      </c>
      <c r="BD246" s="56">
        <v>4</v>
      </c>
      <c r="BE246" s="56">
        <v>5</v>
      </c>
      <c r="BF246" s="56">
        <v>6</v>
      </c>
      <c r="BG246" s="56">
        <v>7</v>
      </c>
      <c r="BH246" s="56">
        <v>8</v>
      </c>
      <c r="BI246" s="56">
        <v>9</v>
      </c>
      <c r="BJ246" s="57" t="str">
        <f t="shared" si="104"/>
        <v>标准型</v>
      </c>
      <c r="BK246" s="13">
        <f t="shared" si="100"/>
        <v>2</v>
      </c>
      <c r="BL246" s="13">
        <f t="shared" si="101"/>
        <v>4</v>
      </c>
      <c r="BM246" s="18" t="str">
        <f t="shared" si="111"/>
        <v/>
      </c>
      <c r="BN246" s="19" t="str">
        <f t="shared" si="112"/>
        <v/>
      </c>
      <c r="BO246" s="19" t="str">
        <f t="array" ref="BO246">_xlfn.TEXTJOIN("",TRUE,IF(ISERROR(FIND(ROW($1:$10)-1,BM246&amp;BN246)),ROW($1:$10)-1,""))</f>
        <v>0123456789</v>
      </c>
      <c r="BP246" s="20" t="str">
        <f t="shared" si="113"/>
        <v>中中中</v>
      </c>
      <c r="BQ246" s="21" t="str">
        <f t="shared" si="124"/>
        <v/>
      </c>
      <c r="BR246" s="21" t="str">
        <f t="shared" si="122"/>
        <v/>
      </c>
      <c r="BS246" s="21" t="str">
        <f t="array" ref="BS246">_xlfn.TEXTJOIN("",TRUE,IF(ISERROR(FIND(ROW($1:$10)-1,BQ246&amp;BR246)),ROW($1:$10)-1,""))</f>
        <v>0123456789</v>
      </c>
      <c r="BT246" s="20" t="str">
        <f t="shared" si="114"/>
        <v>中中中</v>
      </c>
      <c r="BU246" s="22" t="str">
        <f t="shared" si="115"/>
        <v/>
      </c>
      <c r="BV246" s="22" t="str">
        <f t="shared" si="123"/>
        <v/>
      </c>
      <c r="BW246" s="22" t="str">
        <f t="array" ref="BW246">_xlfn.TEXTJOIN("",TRUE,IF(ISERROR(FIND(ROW($1:$10)-1,BU246&amp;BV246)),ROW($1:$10)-1,""))</f>
        <v>0123456789</v>
      </c>
      <c r="BX246" s="20" t="str">
        <f t="shared" si="116"/>
        <v>中中中</v>
      </c>
      <c r="BY246" s="23" t="str">
        <f t="shared" si="105"/>
        <v>13</v>
      </c>
      <c r="BZ246" s="24" t="str">
        <f t="array" ref="BZ246">_xlfn.TEXTJOIN("",TRUE,IF(ISNUMBER(FIND(MID(BY245&amp;Q245,ROW($1:$4),1),BY246&amp;Q246)),MID(BY245&amp;Q245,ROW($1:$4),1),""))</f>
        <v/>
      </c>
      <c r="CA246" s="25" t="str">
        <f t="array" ref="CA246">_xlfn.TEXTJOIN("",TRUE,IF(ISERROR(FIND(ROW($1:$10)-1,BY246&amp;BZ246)),ROW($1:$10)-1,""))</f>
        <v>02456789</v>
      </c>
      <c r="CB246" s="26" t="str">
        <f t="shared" si="117"/>
        <v>邻孤孤</v>
      </c>
      <c r="CC246" s="27" t="str">
        <f t="shared" si="118"/>
        <v>35</v>
      </c>
      <c r="CD246" s="27" t="str">
        <f t="array" ref="CD246">_xlfn.TEXTJOIN("",TRUE,IF(ISNUMBER(FIND(MID(CC245&amp;R245,ROW($1:$4),1),CC246&amp;R246)),MID(CC245&amp;R245,ROW($1:$4),1),""))</f>
        <v>5</v>
      </c>
      <c r="CE246" s="27" t="str">
        <f t="array" ref="CE246">_xlfn.TEXTJOIN("",TRUE,IF(ISERROR(FIND(ROW($1:$10)-1,CC246&amp;CD246)),ROW($1:$10)-1,""))</f>
        <v>01246789</v>
      </c>
      <c r="CF246" s="17" t="str">
        <f t="shared" si="119"/>
        <v>邻传孤</v>
      </c>
      <c r="CG246" s="22" t="str">
        <f t="shared" si="120"/>
        <v>13</v>
      </c>
      <c r="CH246" s="22" t="str">
        <f t="array" ref="CH246">_xlfn.TEXTJOIN("",TRUE,IF(ISNUMBER(FIND(MID(CG245&amp;S245,ROW($1:$4),1),CG246&amp;S246)),MID(CG245&amp;S245,ROW($1:$4),1),""))</f>
        <v>21</v>
      </c>
      <c r="CI246" s="22" t="str">
        <f t="array" ref="CI246">_xlfn.TEXTJOIN("",TRUE,IF(ISERROR(FIND(ROW($1:$10)-1,CG246&amp;CH246)),ROW($1:$10)-1,""))</f>
        <v>0456789</v>
      </c>
      <c r="CJ246" s="28" t="str">
        <f t="shared" si="121"/>
        <v>邻传孤</v>
      </c>
    </row>
    <row r="247" spans="1:88">
      <c r="A247" s="32">
        <v>2025022</v>
      </c>
      <c r="B247" s="8" t="s">
        <v>233</v>
      </c>
      <c r="C247" s="49">
        <f t="shared" si="130"/>
        <v>17</v>
      </c>
      <c r="D247" s="50">
        <f t="shared" si="131"/>
        <v>7</v>
      </c>
      <c r="E247" s="51">
        <f t="shared" si="102"/>
        <v>5.6666666666666696</v>
      </c>
      <c r="F247" s="52">
        <f>MAX(MID(B247,{1,2,3},1)*1)-MIN(MID(B247,{1,2,3},1)*1)</f>
        <v>5</v>
      </c>
      <c r="G247" s="104">
        <v>0</v>
      </c>
      <c r="H247" s="104">
        <v>1</v>
      </c>
      <c r="I247" s="104">
        <v>2</v>
      </c>
      <c r="J247" s="104">
        <v>3</v>
      </c>
      <c r="K247" s="104">
        <v>4</v>
      </c>
      <c r="L247" s="104">
        <v>5</v>
      </c>
      <c r="M247" s="104">
        <v>6</v>
      </c>
      <c r="N247" s="104">
        <v>7</v>
      </c>
      <c r="O247" s="104">
        <v>8</v>
      </c>
      <c r="P247" s="104">
        <v>9</v>
      </c>
      <c r="Q247" s="53">
        <f t="shared" si="132"/>
        <v>3</v>
      </c>
      <c r="R247" s="53">
        <f t="shared" si="133"/>
        <v>2</v>
      </c>
      <c r="S247" s="53">
        <f t="shared" si="134"/>
        <v>5</v>
      </c>
      <c r="T247" s="101">
        <f t="shared" si="103"/>
        <v>10</v>
      </c>
      <c r="U247" s="15" t="str">
        <f>_xlfn.TEXTJOIN(", ",TRUE,ABS(MID(B247,{1,1,2},1)-MID(B247,{2,3,3},1)))</f>
        <v>3, 2, 5</v>
      </c>
      <c r="V247" s="54">
        <v>0</v>
      </c>
      <c r="W247" s="54">
        <v>1</v>
      </c>
      <c r="X247" s="54">
        <v>2</v>
      </c>
      <c r="Y247" s="54">
        <v>3</v>
      </c>
      <c r="Z247" s="54">
        <v>4</v>
      </c>
      <c r="AA247" s="54">
        <v>5</v>
      </c>
      <c r="AB247" s="54">
        <v>6</v>
      </c>
      <c r="AC247" s="54">
        <v>7</v>
      </c>
      <c r="AD247" s="54">
        <v>8</v>
      </c>
      <c r="AE247" s="54">
        <v>9</v>
      </c>
      <c r="AF247" s="55">
        <v>0</v>
      </c>
      <c r="AG247" s="55">
        <v>1</v>
      </c>
      <c r="AH247" s="55">
        <v>2</v>
      </c>
      <c r="AI247" s="55">
        <v>3</v>
      </c>
      <c r="AJ247" s="55">
        <v>4</v>
      </c>
      <c r="AK247" s="55">
        <v>5</v>
      </c>
      <c r="AL247" s="55">
        <v>6</v>
      </c>
      <c r="AM247" s="55">
        <v>7</v>
      </c>
      <c r="AN247" s="55">
        <v>8</v>
      </c>
      <c r="AO247" s="55">
        <v>9</v>
      </c>
      <c r="AP247" s="105">
        <v>0</v>
      </c>
      <c r="AQ247" s="105">
        <v>1</v>
      </c>
      <c r="AR247" s="105">
        <v>2</v>
      </c>
      <c r="AS247" s="105">
        <v>3</v>
      </c>
      <c r="AT247" s="105">
        <v>4</v>
      </c>
      <c r="AU247" s="105">
        <v>5</v>
      </c>
      <c r="AV247" s="105">
        <v>6</v>
      </c>
      <c r="AW247" s="105">
        <v>7</v>
      </c>
      <c r="AX247" s="105">
        <v>8</v>
      </c>
      <c r="AY247" s="105">
        <v>9</v>
      </c>
      <c r="AZ247" s="56">
        <v>0</v>
      </c>
      <c r="BA247" s="56">
        <v>1</v>
      </c>
      <c r="BB247" s="56">
        <v>2</v>
      </c>
      <c r="BC247" s="56">
        <v>3</v>
      </c>
      <c r="BD247" s="56">
        <v>4</v>
      </c>
      <c r="BE247" s="56">
        <v>5</v>
      </c>
      <c r="BF247" s="56">
        <v>6</v>
      </c>
      <c r="BG247" s="56">
        <v>7</v>
      </c>
      <c r="BH247" s="56">
        <v>8</v>
      </c>
      <c r="BI247" s="56">
        <v>9</v>
      </c>
      <c r="BJ247" s="57" t="str">
        <f t="shared" si="104"/>
        <v>标准型</v>
      </c>
      <c r="BK247" s="13">
        <f t="shared" si="100"/>
        <v>2</v>
      </c>
      <c r="BL247" s="13">
        <f t="shared" si="101"/>
        <v>5</v>
      </c>
      <c r="BM247" s="18" t="str">
        <f t="shared" si="111"/>
        <v/>
      </c>
      <c r="BN247" s="19" t="str">
        <f t="shared" si="112"/>
        <v/>
      </c>
      <c r="BO247" s="19" t="str">
        <f t="array" ref="BO247">_xlfn.TEXTJOIN("",TRUE,IF(ISERROR(FIND(ROW($1:$10)-1,BM247&amp;BN247)),ROW($1:$10)-1,""))</f>
        <v>0123456789</v>
      </c>
      <c r="BP247" s="20" t="str">
        <f t="shared" si="113"/>
        <v>中中中</v>
      </c>
      <c r="BQ247" s="21">
        <f t="shared" si="124"/>
        <v>2</v>
      </c>
      <c r="BR247" s="21" t="str">
        <f t="shared" si="122"/>
        <v/>
      </c>
      <c r="BS247" s="21" t="str">
        <f t="array" ref="BS247">_xlfn.TEXTJOIN("",TRUE,IF(ISERROR(FIND(ROW($1:$10)-1,BQ247&amp;BR247)),ROW($1:$10)-1,""))</f>
        <v>013456789</v>
      </c>
      <c r="BT247" s="20" t="str">
        <f t="shared" si="114"/>
        <v>复中中</v>
      </c>
      <c r="BU247" s="22" t="str">
        <f t="shared" si="115"/>
        <v/>
      </c>
      <c r="BV247" s="22">
        <f t="shared" si="123"/>
        <v>5</v>
      </c>
      <c r="BW247" s="22" t="str">
        <f t="array" ref="BW247">_xlfn.TEXTJOIN("",TRUE,IF(ISERROR(FIND(ROW($1:$10)-1,BU247&amp;BV247)),ROW($1:$10)-1,""))</f>
        <v>012346789</v>
      </c>
      <c r="BX247" s="20" t="str">
        <f t="shared" si="116"/>
        <v>中隔中</v>
      </c>
      <c r="BY247" s="23" t="str">
        <f t="shared" si="105"/>
        <v>24</v>
      </c>
      <c r="BZ247" s="24" t="str">
        <f t="array" ref="BZ247">_xlfn.TEXTJOIN("",TRUE,IF(ISNUMBER(FIND(MID(BY246&amp;Q246,ROW($1:$4),1),BY247&amp;Q247)),MID(BY246&amp;Q246,ROW($1:$4),1),""))</f>
        <v>32</v>
      </c>
      <c r="CA247" s="25" t="str">
        <f t="array" ref="CA247">_xlfn.TEXTJOIN("",TRUE,IF(ISERROR(FIND(ROW($1:$10)-1,BY247&amp;BZ247)),ROW($1:$10)-1,""))</f>
        <v>0156789</v>
      </c>
      <c r="CB247" s="26" t="str">
        <f t="shared" si="117"/>
        <v>邻传孤</v>
      </c>
      <c r="CC247" s="27" t="str">
        <f t="shared" si="118"/>
        <v>13</v>
      </c>
      <c r="CD247" s="27" t="str">
        <f t="array" ref="CD247">_xlfn.TEXTJOIN("",TRUE,IF(ISNUMBER(FIND(MID(CC246&amp;R246,ROW($1:$4),1),CC247&amp;R247)),MID(CC246&amp;R246,ROW($1:$4),1),""))</f>
        <v>3</v>
      </c>
      <c r="CE247" s="27" t="str">
        <f t="array" ref="CE247">_xlfn.TEXTJOIN("",TRUE,IF(ISERROR(FIND(ROW($1:$10)-1,CC247&amp;CD247)),ROW($1:$10)-1,""))</f>
        <v>02456789</v>
      </c>
      <c r="CF247" s="17" t="str">
        <f t="shared" si="119"/>
        <v>邻传孤</v>
      </c>
      <c r="CG247" s="22" t="str">
        <f t="shared" si="120"/>
        <v>46</v>
      </c>
      <c r="CH247" s="22" t="str">
        <f t="array" ref="CH247">_xlfn.TEXTJOIN("",TRUE,IF(ISNUMBER(FIND(MID(CG246&amp;S246,ROW($1:$4),1),CG247&amp;S247)),MID(CG246&amp;S246,ROW($1:$4),1),""))</f>
        <v/>
      </c>
      <c r="CI247" s="22" t="str">
        <f t="array" ref="CI247">_xlfn.TEXTJOIN("",TRUE,IF(ISERROR(FIND(ROW($1:$10)-1,CG247&amp;CH247)),ROW($1:$10)-1,""))</f>
        <v>01235789</v>
      </c>
      <c r="CJ247" s="28" t="str">
        <f t="shared" si="121"/>
        <v>邻孤孤</v>
      </c>
    </row>
    <row r="248" spans="1:88">
      <c r="A248" s="32">
        <v>2025023</v>
      </c>
      <c r="B248" s="8" t="s">
        <v>234</v>
      </c>
      <c r="C248" s="49">
        <f t="shared" si="130"/>
        <v>15</v>
      </c>
      <c r="D248" s="50">
        <f t="shared" si="131"/>
        <v>5</v>
      </c>
      <c r="E248" s="51">
        <f t="shared" si="102"/>
        <v>5</v>
      </c>
      <c r="F248" s="52">
        <f>MAX(MID(B248,{1,2,3},1)*1)-MIN(MID(B248,{1,2,3},1)*1)</f>
        <v>8</v>
      </c>
      <c r="G248" s="104">
        <v>0</v>
      </c>
      <c r="H248" s="104">
        <v>1</v>
      </c>
      <c r="I248" s="104">
        <v>2</v>
      </c>
      <c r="J248" s="104">
        <v>3</v>
      </c>
      <c r="K248" s="104">
        <v>4</v>
      </c>
      <c r="L248" s="104">
        <v>5</v>
      </c>
      <c r="M248" s="104">
        <v>6</v>
      </c>
      <c r="N248" s="104">
        <v>7</v>
      </c>
      <c r="O248" s="104">
        <v>8</v>
      </c>
      <c r="P248" s="104">
        <v>9</v>
      </c>
      <c r="Q248" s="53">
        <f t="shared" si="132"/>
        <v>4</v>
      </c>
      <c r="R248" s="53">
        <f t="shared" si="133"/>
        <v>4</v>
      </c>
      <c r="S248" s="53">
        <f t="shared" si="134"/>
        <v>8</v>
      </c>
      <c r="T248" s="101">
        <f t="shared" si="103"/>
        <v>16</v>
      </c>
      <c r="U248" s="15" t="str">
        <f>_xlfn.TEXTJOIN(", ",TRUE,ABS(MID(B248,{1,1,2},1)-MID(B248,{2,3,3},1)))</f>
        <v>4, 4, 8</v>
      </c>
      <c r="V248" s="54">
        <v>0</v>
      </c>
      <c r="W248" s="54">
        <v>1</v>
      </c>
      <c r="X248" s="54">
        <v>2</v>
      </c>
      <c r="Y248" s="54">
        <v>3</v>
      </c>
      <c r="Z248" s="54">
        <v>4</v>
      </c>
      <c r="AA248" s="54">
        <v>5</v>
      </c>
      <c r="AB248" s="54">
        <v>6</v>
      </c>
      <c r="AC248" s="54">
        <v>7</v>
      </c>
      <c r="AD248" s="54">
        <v>8</v>
      </c>
      <c r="AE248" s="54">
        <v>9</v>
      </c>
      <c r="AF248" s="55">
        <v>0</v>
      </c>
      <c r="AG248" s="55">
        <v>1</v>
      </c>
      <c r="AH248" s="55">
        <v>2</v>
      </c>
      <c r="AI248" s="55">
        <v>3</v>
      </c>
      <c r="AJ248" s="55">
        <v>4</v>
      </c>
      <c r="AK248" s="55">
        <v>5</v>
      </c>
      <c r="AL248" s="55">
        <v>6</v>
      </c>
      <c r="AM248" s="55">
        <v>7</v>
      </c>
      <c r="AN248" s="55">
        <v>8</v>
      </c>
      <c r="AO248" s="55">
        <v>9</v>
      </c>
      <c r="AP248" s="105">
        <v>0</v>
      </c>
      <c r="AQ248" s="105">
        <v>1</v>
      </c>
      <c r="AR248" s="105">
        <v>2</v>
      </c>
      <c r="AS248" s="105">
        <v>3</v>
      </c>
      <c r="AT248" s="105">
        <v>4</v>
      </c>
      <c r="AU248" s="105">
        <v>5</v>
      </c>
      <c r="AV248" s="105">
        <v>6</v>
      </c>
      <c r="AW248" s="105">
        <v>7</v>
      </c>
      <c r="AX248" s="105">
        <v>8</v>
      </c>
      <c r="AY248" s="105">
        <v>9</v>
      </c>
      <c r="AZ248" s="56">
        <v>0</v>
      </c>
      <c r="BA248" s="56">
        <v>1</v>
      </c>
      <c r="BB248" s="56">
        <v>2</v>
      </c>
      <c r="BC248" s="56">
        <v>3</v>
      </c>
      <c r="BD248" s="56">
        <v>4</v>
      </c>
      <c r="BE248" s="56">
        <v>5</v>
      </c>
      <c r="BF248" s="56">
        <v>6</v>
      </c>
      <c r="BG248" s="56">
        <v>7</v>
      </c>
      <c r="BH248" s="56">
        <v>8</v>
      </c>
      <c r="BI248" s="56">
        <v>9</v>
      </c>
      <c r="BJ248" s="57" t="str">
        <f t="shared" si="104"/>
        <v>松散型</v>
      </c>
      <c r="BK248" s="13">
        <f t="shared" si="100"/>
        <v>4</v>
      </c>
      <c r="BL248" s="13">
        <f t="shared" si="101"/>
        <v>8</v>
      </c>
      <c r="BM248" s="18" t="str">
        <f t="shared" si="111"/>
        <v/>
      </c>
      <c r="BN248" s="19">
        <f t="shared" si="112"/>
        <v>4</v>
      </c>
      <c r="BO248" s="19" t="str">
        <f t="array" ref="BO248">_xlfn.TEXTJOIN("",TRUE,IF(ISERROR(FIND(ROW($1:$10)-1,BM248&amp;BN248)),ROW($1:$10)-1,""))</f>
        <v>012356789</v>
      </c>
      <c r="BP248" s="20" t="str">
        <f t="shared" si="113"/>
        <v>中隔中</v>
      </c>
      <c r="BQ248" s="21" t="str">
        <f t="shared" si="124"/>
        <v/>
      </c>
      <c r="BR248" s="21">
        <f t="shared" si="122"/>
        <v>4</v>
      </c>
      <c r="BS248" s="21" t="str">
        <f t="array" ref="BS248">_xlfn.TEXTJOIN("",TRUE,IF(ISERROR(FIND(ROW($1:$10)-1,BQ248&amp;BR248)),ROW($1:$10)-1,""))</f>
        <v>012356789</v>
      </c>
      <c r="BT248" s="20" t="str">
        <f t="shared" si="114"/>
        <v>中隔中</v>
      </c>
      <c r="BU248" s="22" t="str">
        <f t="shared" si="115"/>
        <v/>
      </c>
      <c r="BV248" s="22" t="str">
        <f t="shared" si="123"/>
        <v/>
      </c>
      <c r="BW248" s="22" t="str">
        <f t="array" ref="BW248">_xlfn.TEXTJOIN("",TRUE,IF(ISERROR(FIND(ROW($1:$10)-1,BU248&amp;BV248)),ROW($1:$10)-1,""))</f>
        <v>0123456789</v>
      </c>
      <c r="BX248" s="20" t="str">
        <f t="shared" si="116"/>
        <v>中中中</v>
      </c>
      <c r="BY248" s="23" t="str">
        <f t="shared" si="105"/>
        <v>35</v>
      </c>
      <c r="BZ248" s="24" t="str">
        <f t="array" ref="BZ248">_xlfn.TEXTJOIN("",TRUE,IF(ISNUMBER(FIND(MID(BY247&amp;Q247,ROW($1:$4),1),BY248&amp;Q248)),MID(BY247&amp;Q247,ROW($1:$4),1),""))</f>
        <v>43</v>
      </c>
      <c r="CA248" s="25" t="str">
        <f t="array" ref="CA248">_xlfn.TEXTJOIN("",TRUE,IF(ISERROR(FIND(ROW($1:$10)-1,BY248&amp;BZ248)),ROW($1:$10)-1,""))</f>
        <v>0126789</v>
      </c>
      <c r="CB248" s="26" t="str">
        <f t="shared" si="117"/>
        <v>邻传孤</v>
      </c>
      <c r="CC248" s="27" t="str">
        <f t="shared" si="118"/>
        <v>35</v>
      </c>
      <c r="CD248" s="27" t="str">
        <f t="array" ref="CD248">_xlfn.TEXTJOIN("",TRUE,IF(ISNUMBER(FIND(MID(CC247&amp;R247,ROW($1:$4),1),CC248&amp;R248)),MID(CC247&amp;R247,ROW($1:$4),1),""))</f>
        <v>3</v>
      </c>
      <c r="CE248" s="27" t="str">
        <f t="array" ref="CE248">_xlfn.TEXTJOIN("",TRUE,IF(ISERROR(FIND(ROW($1:$10)-1,CC248&amp;CD248)),ROW($1:$10)-1,""))</f>
        <v>01246789</v>
      </c>
      <c r="CF248" s="17" t="str">
        <f t="shared" si="119"/>
        <v>邻传孤</v>
      </c>
      <c r="CG248" s="22" t="str">
        <f t="shared" si="120"/>
        <v>79</v>
      </c>
      <c r="CH248" s="22" t="str">
        <f t="array" ref="CH248">_xlfn.TEXTJOIN("",TRUE,IF(ISNUMBER(FIND(MID(CG247&amp;S247,ROW($1:$4),1),CG248&amp;S248)),MID(CG247&amp;S247,ROW($1:$4),1),""))</f>
        <v/>
      </c>
      <c r="CI248" s="22" t="str">
        <f t="array" ref="CI248">_xlfn.TEXTJOIN("",TRUE,IF(ISERROR(FIND(ROW($1:$10)-1,CG248&amp;CH248)),ROW($1:$10)-1,""))</f>
        <v>01234568</v>
      </c>
      <c r="CJ248" s="28" t="str">
        <f t="shared" si="121"/>
        <v>邻孤孤</v>
      </c>
    </row>
    <row r="249" spans="1:88">
      <c r="A249" s="32">
        <v>2025024</v>
      </c>
      <c r="B249" s="8" t="s">
        <v>235</v>
      </c>
      <c r="C249" s="49">
        <f t="shared" si="130"/>
        <v>15</v>
      </c>
      <c r="D249" s="50">
        <f t="shared" si="131"/>
        <v>5</v>
      </c>
      <c r="E249" s="51">
        <f t="shared" si="102"/>
        <v>5</v>
      </c>
      <c r="F249" s="52">
        <f>MAX(MID(B249,{1,2,3},1)*1)-MIN(MID(B249,{1,2,3},1)*1)</f>
        <v>5</v>
      </c>
      <c r="G249" s="104">
        <v>0</v>
      </c>
      <c r="H249" s="104">
        <v>1</v>
      </c>
      <c r="I249" s="104">
        <v>2</v>
      </c>
      <c r="J249" s="104">
        <v>3</v>
      </c>
      <c r="K249" s="104">
        <v>4</v>
      </c>
      <c r="L249" s="104">
        <v>5</v>
      </c>
      <c r="M249" s="104">
        <v>6</v>
      </c>
      <c r="N249" s="104">
        <v>7</v>
      </c>
      <c r="O249" s="104">
        <v>8</v>
      </c>
      <c r="P249" s="104">
        <v>9</v>
      </c>
      <c r="Q249" s="53">
        <f t="shared" si="132"/>
        <v>1</v>
      </c>
      <c r="R249" s="53">
        <f t="shared" si="133"/>
        <v>5</v>
      </c>
      <c r="S249" s="53">
        <f t="shared" si="134"/>
        <v>4</v>
      </c>
      <c r="T249" s="101">
        <f t="shared" si="103"/>
        <v>10</v>
      </c>
      <c r="U249" s="15" t="str">
        <f>_xlfn.TEXTJOIN(", ",TRUE,ABS(MID(B249,{1,1,2},1)-MID(B249,{2,3,3},1)))</f>
        <v>1, 5, 4</v>
      </c>
      <c r="V249" s="54">
        <v>0</v>
      </c>
      <c r="W249" s="54">
        <v>1</v>
      </c>
      <c r="X249" s="54">
        <v>2</v>
      </c>
      <c r="Y249" s="54">
        <v>3</v>
      </c>
      <c r="Z249" s="54">
        <v>4</v>
      </c>
      <c r="AA249" s="54">
        <v>5</v>
      </c>
      <c r="AB249" s="54">
        <v>6</v>
      </c>
      <c r="AC249" s="54">
        <v>7</v>
      </c>
      <c r="AD249" s="54">
        <v>8</v>
      </c>
      <c r="AE249" s="54">
        <v>9</v>
      </c>
      <c r="AF249" s="55">
        <v>0</v>
      </c>
      <c r="AG249" s="55">
        <v>1</v>
      </c>
      <c r="AH249" s="55">
        <v>2</v>
      </c>
      <c r="AI249" s="55">
        <v>3</v>
      </c>
      <c r="AJ249" s="55">
        <v>4</v>
      </c>
      <c r="AK249" s="55">
        <v>5</v>
      </c>
      <c r="AL249" s="55">
        <v>6</v>
      </c>
      <c r="AM249" s="55">
        <v>7</v>
      </c>
      <c r="AN249" s="55">
        <v>8</v>
      </c>
      <c r="AO249" s="55">
        <v>9</v>
      </c>
      <c r="AP249" s="105">
        <v>0</v>
      </c>
      <c r="AQ249" s="105">
        <v>1</v>
      </c>
      <c r="AR249" s="105">
        <v>2</v>
      </c>
      <c r="AS249" s="105">
        <v>3</v>
      </c>
      <c r="AT249" s="105">
        <v>4</v>
      </c>
      <c r="AU249" s="105">
        <v>5</v>
      </c>
      <c r="AV249" s="105">
        <v>6</v>
      </c>
      <c r="AW249" s="105">
        <v>7</v>
      </c>
      <c r="AX249" s="105">
        <v>8</v>
      </c>
      <c r="AY249" s="105">
        <v>9</v>
      </c>
      <c r="AZ249" s="56">
        <v>0</v>
      </c>
      <c r="BA249" s="56">
        <v>1</v>
      </c>
      <c r="BB249" s="56">
        <v>2</v>
      </c>
      <c r="BC249" s="56">
        <v>3</v>
      </c>
      <c r="BD249" s="56">
        <v>4</v>
      </c>
      <c r="BE249" s="56">
        <v>5</v>
      </c>
      <c r="BF249" s="56">
        <v>6</v>
      </c>
      <c r="BG249" s="56">
        <v>7</v>
      </c>
      <c r="BH249" s="56">
        <v>8</v>
      </c>
      <c r="BI249" s="56">
        <v>9</v>
      </c>
      <c r="BJ249" s="57" t="str">
        <f t="shared" si="104"/>
        <v>标准型</v>
      </c>
      <c r="BK249" s="13">
        <f t="shared" si="100"/>
        <v>1</v>
      </c>
      <c r="BL249" s="13">
        <f t="shared" si="101"/>
        <v>5</v>
      </c>
      <c r="BM249" s="18" t="str">
        <f t="shared" si="111"/>
        <v/>
      </c>
      <c r="BN249" s="19" t="str">
        <f t="shared" si="112"/>
        <v/>
      </c>
      <c r="BO249" s="19" t="str">
        <f t="array" ref="BO249">_xlfn.TEXTJOIN("",TRUE,IF(ISERROR(FIND(ROW($1:$10)-1,BM249&amp;BN249)),ROW($1:$10)-1,""))</f>
        <v>0123456789</v>
      </c>
      <c r="BP249" s="20" t="str">
        <f t="shared" si="113"/>
        <v>中中中</v>
      </c>
      <c r="BQ249" s="21" t="str">
        <f t="shared" si="124"/>
        <v/>
      </c>
      <c r="BR249" s="21">
        <f t="shared" si="122"/>
        <v>5</v>
      </c>
      <c r="BS249" s="21" t="str">
        <f t="array" ref="BS249">_xlfn.TEXTJOIN("",TRUE,IF(ISERROR(FIND(ROW($1:$10)-1,BQ249&amp;BR249)),ROW($1:$10)-1,""))</f>
        <v>012346789</v>
      </c>
      <c r="BT249" s="20" t="str">
        <f t="shared" si="114"/>
        <v>中隔中</v>
      </c>
      <c r="BU249" s="22">
        <f t="shared" si="115"/>
        <v>4</v>
      </c>
      <c r="BV249" s="22" t="str">
        <f t="shared" si="123"/>
        <v/>
      </c>
      <c r="BW249" s="22" t="str">
        <f t="array" ref="BW249">_xlfn.TEXTJOIN("",TRUE,IF(ISERROR(FIND(ROW($1:$10)-1,BU249&amp;BV249)),ROW($1:$10)-1,""))</f>
        <v>012356789</v>
      </c>
      <c r="BX249" s="20" t="str">
        <f t="shared" si="116"/>
        <v>复中中</v>
      </c>
      <c r="BY249" s="23" t="str">
        <f t="shared" si="105"/>
        <v>02</v>
      </c>
      <c r="BZ249" s="24" t="str">
        <f t="array" ref="BZ249">_xlfn.TEXTJOIN("",TRUE,IF(ISNUMBER(FIND(MID(BY248&amp;Q248,ROW($1:$4),1),BY249&amp;Q249)),MID(BY248&amp;Q248,ROW($1:$4),1),""))</f>
        <v/>
      </c>
      <c r="CA249" s="25" t="str">
        <f t="array" ref="CA249">_xlfn.TEXTJOIN("",TRUE,IF(ISERROR(FIND(ROW($1:$10)-1,BY249&amp;BZ249)),ROW($1:$10)-1,""))</f>
        <v>13456789</v>
      </c>
      <c r="CB249" s="26" t="str">
        <f t="shared" si="117"/>
        <v>邻孤孤</v>
      </c>
      <c r="CC249" s="27" t="str">
        <f t="shared" si="118"/>
        <v>46</v>
      </c>
      <c r="CD249" s="27" t="str">
        <f t="array" ref="CD249">_xlfn.TEXTJOIN("",TRUE,IF(ISNUMBER(FIND(MID(CC248&amp;R248,ROW($1:$4),1),CC249&amp;R249)),MID(CC248&amp;R248,ROW($1:$4),1),""))</f>
        <v>54</v>
      </c>
      <c r="CE249" s="27" t="str">
        <f t="array" ref="CE249">_xlfn.TEXTJOIN("",TRUE,IF(ISERROR(FIND(ROW($1:$10)-1,CC249&amp;CD249)),ROW($1:$10)-1,""))</f>
        <v>0123789</v>
      </c>
      <c r="CF249" s="17" t="str">
        <f t="shared" si="119"/>
        <v>邻传孤</v>
      </c>
      <c r="CG249" s="22" t="str">
        <f t="shared" si="120"/>
        <v>35</v>
      </c>
      <c r="CH249" s="22" t="str">
        <f t="array" ref="CH249">_xlfn.TEXTJOIN("",TRUE,IF(ISNUMBER(FIND(MID(CG248&amp;S248,ROW($1:$4),1),CG249&amp;S249)),MID(CG248&amp;S248,ROW($1:$4),1),""))</f>
        <v/>
      </c>
      <c r="CI249" s="22" t="str">
        <f t="array" ref="CI249">_xlfn.TEXTJOIN("",TRUE,IF(ISERROR(FIND(ROW($1:$10)-1,CG249&amp;CH249)),ROW($1:$10)-1,""))</f>
        <v>01246789</v>
      </c>
      <c r="CJ249" s="28" t="str">
        <f t="shared" si="121"/>
        <v>邻孤孤</v>
      </c>
    </row>
    <row r="250" spans="1:88">
      <c r="A250" s="32">
        <v>2025025</v>
      </c>
      <c r="B250" s="8" t="s">
        <v>236</v>
      </c>
      <c r="C250" s="49">
        <f t="shared" si="130"/>
        <v>18</v>
      </c>
      <c r="D250" s="50">
        <f t="shared" si="131"/>
        <v>8</v>
      </c>
      <c r="E250" s="51">
        <f t="shared" si="102"/>
        <v>6</v>
      </c>
      <c r="F250" s="52">
        <f>MAX(MID(B250,{1,2,3},1)*1)-MIN(MID(B250,{1,2,3},1)*1)</f>
        <v>4</v>
      </c>
      <c r="G250" s="104">
        <v>0</v>
      </c>
      <c r="H250" s="104">
        <v>1</v>
      </c>
      <c r="I250" s="104">
        <v>2</v>
      </c>
      <c r="J250" s="104">
        <v>3</v>
      </c>
      <c r="K250" s="104">
        <v>4</v>
      </c>
      <c r="L250" s="104">
        <v>5</v>
      </c>
      <c r="M250" s="104">
        <v>6</v>
      </c>
      <c r="N250" s="104">
        <v>7</v>
      </c>
      <c r="O250" s="104">
        <v>8</v>
      </c>
      <c r="P250" s="104">
        <v>9</v>
      </c>
      <c r="Q250" s="53">
        <f t="shared" si="132"/>
        <v>4</v>
      </c>
      <c r="R250" s="53">
        <f t="shared" si="133"/>
        <v>2</v>
      </c>
      <c r="S250" s="53">
        <f t="shared" si="134"/>
        <v>2</v>
      </c>
      <c r="T250" s="101">
        <f t="shared" si="103"/>
        <v>8</v>
      </c>
      <c r="U250" s="15" t="str">
        <f>_xlfn.TEXTJOIN(", ",TRUE,ABS(MID(B250,{1,1,2},1)-MID(B250,{2,3,3},1)))</f>
        <v>4, 2, 2</v>
      </c>
      <c r="V250" s="54">
        <v>0</v>
      </c>
      <c r="W250" s="54">
        <v>1</v>
      </c>
      <c r="X250" s="54">
        <v>2</v>
      </c>
      <c r="Y250" s="54">
        <v>3</v>
      </c>
      <c r="Z250" s="54">
        <v>4</v>
      </c>
      <c r="AA250" s="54">
        <v>5</v>
      </c>
      <c r="AB250" s="54">
        <v>6</v>
      </c>
      <c r="AC250" s="54">
        <v>7</v>
      </c>
      <c r="AD250" s="54">
        <v>8</v>
      </c>
      <c r="AE250" s="54">
        <v>9</v>
      </c>
      <c r="AF250" s="55">
        <v>0</v>
      </c>
      <c r="AG250" s="55">
        <v>1</v>
      </c>
      <c r="AH250" s="55">
        <v>2</v>
      </c>
      <c r="AI250" s="55">
        <v>3</v>
      </c>
      <c r="AJ250" s="55">
        <v>4</v>
      </c>
      <c r="AK250" s="55">
        <v>5</v>
      </c>
      <c r="AL250" s="55">
        <v>6</v>
      </c>
      <c r="AM250" s="55">
        <v>7</v>
      </c>
      <c r="AN250" s="55">
        <v>8</v>
      </c>
      <c r="AO250" s="55">
        <v>9</v>
      </c>
      <c r="AP250" s="105">
        <v>0</v>
      </c>
      <c r="AQ250" s="105">
        <v>1</v>
      </c>
      <c r="AR250" s="105">
        <v>2</v>
      </c>
      <c r="AS250" s="105">
        <v>3</v>
      </c>
      <c r="AT250" s="105">
        <v>4</v>
      </c>
      <c r="AU250" s="105">
        <v>5</v>
      </c>
      <c r="AV250" s="105">
        <v>6</v>
      </c>
      <c r="AW250" s="105">
        <v>7</v>
      </c>
      <c r="AX250" s="105">
        <v>8</v>
      </c>
      <c r="AY250" s="105">
        <v>9</v>
      </c>
      <c r="AZ250" s="56">
        <v>0</v>
      </c>
      <c r="BA250" s="56">
        <v>1</v>
      </c>
      <c r="BB250" s="56">
        <v>2</v>
      </c>
      <c r="BC250" s="56">
        <v>3</v>
      </c>
      <c r="BD250" s="56">
        <v>4</v>
      </c>
      <c r="BE250" s="56">
        <v>5</v>
      </c>
      <c r="BF250" s="56">
        <v>6</v>
      </c>
      <c r="BG250" s="56">
        <v>7</v>
      </c>
      <c r="BH250" s="56">
        <v>8</v>
      </c>
      <c r="BI250" s="56">
        <v>9</v>
      </c>
      <c r="BJ250" s="57" t="str">
        <f t="shared" si="104"/>
        <v>标准型</v>
      </c>
      <c r="BK250" s="13">
        <f t="shared" si="100"/>
        <v>2</v>
      </c>
      <c r="BL250" s="13">
        <f t="shared" si="101"/>
        <v>4</v>
      </c>
      <c r="BM250" s="18">
        <f t="shared" si="111"/>
        <v>4</v>
      </c>
      <c r="BN250" s="19">
        <f t="shared" si="112"/>
        <v>4</v>
      </c>
      <c r="BO250" s="19" t="str">
        <f t="array" ref="BO250">_xlfn.TEXTJOIN("",TRUE,IF(ISERROR(FIND(ROW($1:$10)-1,BM250&amp;BN250)),ROW($1:$10)-1,""))</f>
        <v>012356789</v>
      </c>
      <c r="BP250" s="20" t="str">
        <f t="shared" si="113"/>
        <v>复隔中</v>
      </c>
      <c r="BQ250" s="21" t="str">
        <f t="shared" si="124"/>
        <v/>
      </c>
      <c r="BR250" s="21" t="str">
        <f t="shared" si="122"/>
        <v/>
      </c>
      <c r="BS250" s="21" t="str">
        <f t="array" ref="BS250">_xlfn.TEXTJOIN("",TRUE,IF(ISERROR(FIND(ROW($1:$10)-1,BQ250&amp;BR250)),ROW($1:$10)-1,""))</f>
        <v>0123456789</v>
      </c>
      <c r="BT250" s="20" t="str">
        <f t="shared" si="114"/>
        <v>中中中</v>
      </c>
      <c r="BU250" s="22" t="str">
        <f t="shared" si="115"/>
        <v/>
      </c>
      <c r="BV250" s="22" t="str">
        <f t="shared" si="123"/>
        <v/>
      </c>
      <c r="BW250" s="22" t="str">
        <f t="array" ref="BW250">_xlfn.TEXTJOIN("",TRUE,IF(ISERROR(FIND(ROW($1:$10)-1,BU250&amp;BV250)),ROW($1:$10)-1,""))</f>
        <v>0123456789</v>
      </c>
      <c r="BX250" s="20" t="str">
        <f t="shared" si="116"/>
        <v>中中中</v>
      </c>
      <c r="BY250" s="23" t="str">
        <f t="shared" si="105"/>
        <v>35</v>
      </c>
      <c r="BZ250" s="24" t="str">
        <f t="array" ref="BZ250">_xlfn.TEXTJOIN("",TRUE,IF(ISNUMBER(FIND(MID(BY249&amp;Q249,ROW($1:$4),1),BY250&amp;Q250)),MID(BY249&amp;Q249,ROW($1:$4),1),""))</f>
        <v/>
      </c>
      <c r="CA250" s="25" t="str">
        <f t="array" ref="CA250">_xlfn.TEXTJOIN("",TRUE,IF(ISERROR(FIND(ROW($1:$10)-1,BY250&amp;BZ250)),ROW($1:$10)-1,""))</f>
        <v>01246789</v>
      </c>
      <c r="CB250" s="26" t="str">
        <f t="shared" si="117"/>
        <v>邻孤孤</v>
      </c>
      <c r="CC250" s="27" t="str">
        <f t="shared" si="118"/>
        <v>13</v>
      </c>
      <c r="CD250" s="27" t="str">
        <f t="array" ref="CD250">_xlfn.TEXTJOIN("",TRUE,IF(ISNUMBER(FIND(MID(CC249&amp;R249,ROW($1:$4),1),CC250&amp;R250)),MID(CC249&amp;R249,ROW($1:$4),1),""))</f>
        <v/>
      </c>
      <c r="CE250" s="27" t="str">
        <f t="array" ref="CE250">_xlfn.TEXTJOIN("",TRUE,IF(ISERROR(FIND(ROW($1:$10)-1,CC250&amp;CD250)),ROW($1:$10)-1,""))</f>
        <v>02456789</v>
      </c>
      <c r="CF250" s="17" t="str">
        <f t="shared" si="119"/>
        <v>邻孤孤</v>
      </c>
      <c r="CG250" s="22" t="str">
        <f t="shared" si="120"/>
        <v>13</v>
      </c>
      <c r="CH250" s="22" t="str">
        <f t="array" ref="CH250">_xlfn.TEXTJOIN("",TRUE,IF(ISNUMBER(FIND(MID(CG249&amp;S249,ROW($1:$4),1),CG250&amp;S250)),MID(CG249&amp;S249,ROW($1:$4),1),""))</f>
        <v>3</v>
      </c>
      <c r="CI250" s="22" t="str">
        <f t="array" ref="CI250">_xlfn.TEXTJOIN("",TRUE,IF(ISERROR(FIND(ROW($1:$10)-1,CG250&amp;CH250)),ROW($1:$10)-1,""))</f>
        <v>02456789</v>
      </c>
      <c r="CJ250" s="28" t="str">
        <f t="shared" si="121"/>
        <v>邻传孤</v>
      </c>
    </row>
    <row r="251" spans="1:88">
      <c r="A251" s="32">
        <v>2025026</v>
      </c>
      <c r="B251" s="8" t="s">
        <v>237</v>
      </c>
      <c r="C251" s="49">
        <f t="shared" si="130"/>
        <v>21</v>
      </c>
      <c r="D251" s="50">
        <f t="shared" si="131"/>
        <v>1</v>
      </c>
      <c r="E251" s="51">
        <f t="shared" si="102"/>
        <v>7</v>
      </c>
      <c r="F251" s="52">
        <f>MAX(MID(B251,{1,2,3},1)*1)-MIN(MID(B251,{1,2,3},1)*1)</f>
        <v>3</v>
      </c>
      <c r="G251" s="104">
        <v>0</v>
      </c>
      <c r="H251" s="104">
        <v>1</v>
      </c>
      <c r="I251" s="104">
        <v>2</v>
      </c>
      <c r="J251" s="104">
        <v>3</v>
      </c>
      <c r="K251" s="104">
        <v>4</v>
      </c>
      <c r="L251" s="104">
        <v>5</v>
      </c>
      <c r="M251" s="104">
        <v>6</v>
      </c>
      <c r="N251" s="104">
        <v>7</v>
      </c>
      <c r="O251" s="104">
        <v>8</v>
      </c>
      <c r="P251" s="104">
        <v>9</v>
      </c>
      <c r="Q251" s="53">
        <f t="shared" si="132"/>
        <v>3</v>
      </c>
      <c r="R251" s="53">
        <f t="shared" si="133"/>
        <v>3</v>
      </c>
      <c r="S251" s="53">
        <f t="shared" si="134"/>
        <v>0</v>
      </c>
      <c r="T251" s="101">
        <f t="shared" si="103"/>
        <v>6</v>
      </c>
      <c r="U251" s="15" t="str">
        <f>_xlfn.TEXTJOIN(", ",TRUE,ABS(MID(B251,{1,1,2},1)-MID(B251,{2,3,3},1)))</f>
        <v>3, 3, 0</v>
      </c>
      <c r="V251" s="54">
        <v>0</v>
      </c>
      <c r="W251" s="54">
        <v>1</v>
      </c>
      <c r="X251" s="54">
        <v>2</v>
      </c>
      <c r="Y251" s="54">
        <v>3</v>
      </c>
      <c r="Z251" s="54">
        <v>4</v>
      </c>
      <c r="AA251" s="54">
        <v>5</v>
      </c>
      <c r="AB251" s="54">
        <v>6</v>
      </c>
      <c r="AC251" s="54">
        <v>7</v>
      </c>
      <c r="AD251" s="54">
        <v>8</v>
      </c>
      <c r="AE251" s="54">
        <v>9</v>
      </c>
      <c r="AF251" s="55">
        <v>0</v>
      </c>
      <c r="AG251" s="55">
        <v>1</v>
      </c>
      <c r="AH251" s="55">
        <v>2</v>
      </c>
      <c r="AI251" s="55">
        <v>3</v>
      </c>
      <c r="AJ251" s="55">
        <v>4</v>
      </c>
      <c r="AK251" s="55">
        <v>5</v>
      </c>
      <c r="AL251" s="55">
        <v>6</v>
      </c>
      <c r="AM251" s="55">
        <v>7</v>
      </c>
      <c r="AN251" s="55">
        <v>8</v>
      </c>
      <c r="AO251" s="55">
        <v>9</v>
      </c>
      <c r="AP251" s="105">
        <v>0</v>
      </c>
      <c r="AQ251" s="105">
        <v>1</v>
      </c>
      <c r="AR251" s="105">
        <v>2</v>
      </c>
      <c r="AS251" s="105">
        <v>3</v>
      </c>
      <c r="AT251" s="105">
        <v>4</v>
      </c>
      <c r="AU251" s="105">
        <v>5</v>
      </c>
      <c r="AV251" s="105">
        <v>6</v>
      </c>
      <c r="AW251" s="105">
        <v>7</v>
      </c>
      <c r="AX251" s="105">
        <v>8</v>
      </c>
      <c r="AY251" s="105">
        <v>9</v>
      </c>
      <c r="AZ251" s="56">
        <v>0</v>
      </c>
      <c r="BA251" s="56">
        <v>1</v>
      </c>
      <c r="BB251" s="56">
        <v>2</v>
      </c>
      <c r="BC251" s="56">
        <v>3</v>
      </c>
      <c r="BD251" s="56">
        <v>4</v>
      </c>
      <c r="BE251" s="56">
        <v>5</v>
      </c>
      <c r="BF251" s="56">
        <v>6</v>
      </c>
      <c r="BG251" s="56">
        <v>7</v>
      </c>
      <c r="BH251" s="56">
        <v>8</v>
      </c>
      <c r="BI251" s="56">
        <v>9</v>
      </c>
      <c r="BJ251" s="57" t="str">
        <f t="shared" si="104"/>
        <v>紧凑型</v>
      </c>
      <c r="BK251" s="13">
        <f t="shared" si="100"/>
        <v>0</v>
      </c>
      <c r="BL251" s="13">
        <f t="shared" si="101"/>
        <v>3</v>
      </c>
      <c r="BM251" s="18" t="str">
        <f t="shared" si="111"/>
        <v/>
      </c>
      <c r="BN251" s="19" t="str">
        <f t="shared" si="112"/>
        <v/>
      </c>
      <c r="BO251" s="19" t="str">
        <f t="array" ref="BO251">_xlfn.TEXTJOIN("",TRUE,IF(ISERROR(FIND(ROW($1:$10)-1,BM251&amp;BN251)),ROW($1:$10)-1,""))</f>
        <v>0123456789</v>
      </c>
      <c r="BP251" s="20" t="str">
        <f t="shared" si="113"/>
        <v>中中中</v>
      </c>
      <c r="BQ251" s="21" t="str">
        <f t="shared" si="124"/>
        <v/>
      </c>
      <c r="BR251" s="21" t="str">
        <f t="shared" si="122"/>
        <v/>
      </c>
      <c r="BS251" s="21" t="str">
        <f t="array" ref="BS251">_xlfn.TEXTJOIN("",TRUE,IF(ISERROR(FIND(ROW($1:$10)-1,BQ251&amp;BR251)),ROW($1:$10)-1,""))</f>
        <v>0123456789</v>
      </c>
      <c r="BT251" s="20" t="str">
        <f t="shared" si="114"/>
        <v>中中中</v>
      </c>
      <c r="BU251" s="22" t="str">
        <f t="shared" si="115"/>
        <v/>
      </c>
      <c r="BV251" s="22" t="str">
        <f t="shared" si="123"/>
        <v/>
      </c>
      <c r="BW251" s="22" t="str">
        <f t="array" ref="BW251">_xlfn.TEXTJOIN("",TRUE,IF(ISERROR(FIND(ROW($1:$10)-1,BU251&amp;BV251)),ROW($1:$10)-1,""))</f>
        <v>0123456789</v>
      </c>
      <c r="BX251" s="20" t="str">
        <f t="shared" si="116"/>
        <v>中中中</v>
      </c>
      <c r="BY251" s="23" t="str">
        <f t="shared" si="105"/>
        <v>24</v>
      </c>
      <c r="BZ251" s="24" t="str">
        <f t="array" ref="BZ251">_xlfn.TEXTJOIN("",TRUE,IF(ISNUMBER(FIND(MID(BY250&amp;Q250,ROW($1:$4),1),BY251&amp;Q251)),MID(BY250&amp;Q250,ROW($1:$4),1),""))</f>
        <v>34</v>
      </c>
      <c r="CA251" s="25" t="str">
        <f t="array" ref="CA251">_xlfn.TEXTJOIN("",TRUE,IF(ISERROR(FIND(ROW($1:$10)-1,BY251&amp;BZ251)),ROW($1:$10)-1,""))</f>
        <v>0156789</v>
      </c>
      <c r="CB251" s="26" t="str">
        <f t="shared" si="117"/>
        <v>邻传孤</v>
      </c>
      <c r="CC251" s="27" t="str">
        <f t="shared" si="118"/>
        <v>24</v>
      </c>
      <c r="CD251" s="27" t="str">
        <f t="array" ref="CD251">_xlfn.TEXTJOIN("",TRUE,IF(ISNUMBER(FIND(MID(CC250&amp;R250,ROW($1:$4),1),CC251&amp;R251)),MID(CC250&amp;R250,ROW($1:$4),1),""))</f>
        <v>32</v>
      </c>
      <c r="CE251" s="27" t="str">
        <f t="array" ref="CE251">_xlfn.TEXTJOIN("",TRUE,IF(ISERROR(FIND(ROW($1:$10)-1,CC251&amp;CD251)),ROW($1:$10)-1,""))</f>
        <v>0156789</v>
      </c>
      <c r="CF251" s="17" t="str">
        <f t="shared" si="119"/>
        <v>邻传孤</v>
      </c>
      <c r="CG251" s="22" t="str">
        <f t="shared" si="120"/>
        <v>91</v>
      </c>
      <c r="CH251" s="22" t="str">
        <f t="array" ref="CH251">_xlfn.TEXTJOIN("",TRUE,IF(ISNUMBER(FIND(MID(CG250&amp;S250,ROW($1:$4),1),CG251&amp;S251)),MID(CG250&amp;S250,ROW($1:$4),1),""))</f>
        <v>1</v>
      </c>
      <c r="CI251" s="22" t="str">
        <f t="array" ref="CI251">_xlfn.TEXTJOIN("",TRUE,IF(ISERROR(FIND(ROW($1:$10)-1,CG251&amp;CH251)),ROW($1:$10)-1,""))</f>
        <v>02345678</v>
      </c>
      <c r="CJ251" s="28" t="str">
        <f t="shared" si="121"/>
        <v>邻传孤</v>
      </c>
    </row>
    <row r="252" spans="1:88">
      <c r="A252" s="32">
        <v>2025027</v>
      </c>
      <c r="B252" s="8" t="s">
        <v>238</v>
      </c>
      <c r="C252" s="49">
        <f t="shared" si="130"/>
        <v>14</v>
      </c>
      <c r="D252" s="50">
        <f t="shared" si="131"/>
        <v>4</v>
      </c>
      <c r="E252" s="51">
        <f t="shared" si="102"/>
        <v>4.6666666666666696</v>
      </c>
      <c r="F252" s="52">
        <f>MAX(MID(B252,{1,2,3},1)*1)-MIN(MID(B252,{1,2,3},1)*1)</f>
        <v>5</v>
      </c>
      <c r="G252" s="104">
        <v>0</v>
      </c>
      <c r="H252" s="104">
        <v>1</v>
      </c>
      <c r="I252" s="104">
        <v>2</v>
      </c>
      <c r="J252" s="104">
        <v>3</v>
      </c>
      <c r="K252" s="104">
        <v>4</v>
      </c>
      <c r="L252" s="104">
        <v>5</v>
      </c>
      <c r="M252" s="104">
        <v>6</v>
      </c>
      <c r="N252" s="104">
        <v>7</v>
      </c>
      <c r="O252" s="104">
        <v>8</v>
      </c>
      <c r="P252" s="104">
        <v>9</v>
      </c>
      <c r="Q252" s="53">
        <f t="shared" si="132"/>
        <v>5</v>
      </c>
      <c r="R252" s="53">
        <f t="shared" si="133"/>
        <v>0</v>
      </c>
      <c r="S252" s="53">
        <f t="shared" si="134"/>
        <v>5</v>
      </c>
      <c r="T252" s="101">
        <f t="shared" si="103"/>
        <v>10</v>
      </c>
      <c r="U252" s="15" t="str">
        <f>_xlfn.TEXTJOIN(", ",TRUE,ABS(MID(B252,{1,1,2},1)-MID(B252,{2,3,3},1)))</f>
        <v>5, 0, 5</v>
      </c>
      <c r="V252" s="54">
        <v>0</v>
      </c>
      <c r="W252" s="54">
        <v>1</v>
      </c>
      <c r="X252" s="54">
        <v>2</v>
      </c>
      <c r="Y252" s="54">
        <v>3</v>
      </c>
      <c r="Z252" s="54">
        <v>4</v>
      </c>
      <c r="AA252" s="54">
        <v>5</v>
      </c>
      <c r="AB252" s="54">
        <v>6</v>
      </c>
      <c r="AC252" s="54">
        <v>7</v>
      </c>
      <c r="AD252" s="54">
        <v>8</v>
      </c>
      <c r="AE252" s="54">
        <v>9</v>
      </c>
      <c r="AF252" s="55">
        <v>0</v>
      </c>
      <c r="AG252" s="55">
        <v>1</v>
      </c>
      <c r="AH252" s="55">
        <v>2</v>
      </c>
      <c r="AI252" s="55">
        <v>3</v>
      </c>
      <c r="AJ252" s="55">
        <v>4</v>
      </c>
      <c r="AK252" s="55">
        <v>5</v>
      </c>
      <c r="AL252" s="55">
        <v>6</v>
      </c>
      <c r="AM252" s="55">
        <v>7</v>
      </c>
      <c r="AN252" s="55">
        <v>8</v>
      </c>
      <c r="AO252" s="55">
        <v>9</v>
      </c>
      <c r="AP252" s="105">
        <v>0</v>
      </c>
      <c r="AQ252" s="105">
        <v>1</v>
      </c>
      <c r="AR252" s="105">
        <v>2</v>
      </c>
      <c r="AS252" s="105">
        <v>3</v>
      </c>
      <c r="AT252" s="105">
        <v>4</v>
      </c>
      <c r="AU252" s="105">
        <v>5</v>
      </c>
      <c r="AV252" s="105">
        <v>6</v>
      </c>
      <c r="AW252" s="105">
        <v>7</v>
      </c>
      <c r="AX252" s="105">
        <v>8</v>
      </c>
      <c r="AY252" s="105">
        <v>9</v>
      </c>
      <c r="AZ252" s="56">
        <v>0</v>
      </c>
      <c r="BA252" s="56">
        <v>1</v>
      </c>
      <c r="BB252" s="56">
        <v>2</v>
      </c>
      <c r="BC252" s="56">
        <v>3</v>
      </c>
      <c r="BD252" s="56">
        <v>4</v>
      </c>
      <c r="BE252" s="56">
        <v>5</v>
      </c>
      <c r="BF252" s="56">
        <v>6</v>
      </c>
      <c r="BG252" s="56">
        <v>7</v>
      </c>
      <c r="BH252" s="56">
        <v>8</v>
      </c>
      <c r="BI252" s="56">
        <v>9</v>
      </c>
      <c r="BJ252" s="57" t="str">
        <f t="shared" si="104"/>
        <v>对子</v>
      </c>
      <c r="BK252" s="13">
        <f t="shared" si="100"/>
        <v>0</v>
      </c>
      <c r="BL252" s="13">
        <f t="shared" si="101"/>
        <v>5</v>
      </c>
      <c r="BM252" s="18" t="str">
        <f t="shared" si="111"/>
        <v/>
      </c>
      <c r="BN252" s="19" t="str">
        <f t="shared" si="112"/>
        <v/>
      </c>
      <c r="BO252" s="19" t="str">
        <f t="array" ref="BO252">_xlfn.TEXTJOIN("",TRUE,IF(ISERROR(FIND(ROW($1:$10)-1,BM252&amp;BN252)),ROW($1:$10)-1,""))</f>
        <v>0123456789</v>
      </c>
      <c r="BP252" s="20" t="str">
        <f t="shared" si="113"/>
        <v>中中中</v>
      </c>
      <c r="BQ252" s="21">
        <f t="shared" si="124"/>
        <v>0</v>
      </c>
      <c r="BR252" s="21" t="str">
        <f t="shared" si="122"/>
        <v/>
      </c>
      <c r="BS252" s="21" t="str">
        <f t="array" ref="BS252">_xlfn.TEXTJOIN("",TRUE,IF(ISERROR(FIND(ROW($1:$10)-1,BQ252&amp;BR252)),ROW($1:$10)-1,""))</f>
        <v>123456789</v>
      </c>
      <c r="BT252" s="20" t="str">
        <f t="shared" si="114"/>
        <v>复中中</v>
      </c>
      <c r="BU252" s="22" t="str">
        <f t="shared" si="115"/>
        <v/>
      </c>
      <c r="BV252" s="22" t="str">
        <f t="shared" si="123"/>
        <v/>
      </c>
      <c r="BW252" s="22" t="str">
        <f t="array" ref="BW252">_xlfn.TEXTJOIN("",TRUE,IF(ISERROR(FIND(ROW($1:$10)-1,BU252&amp;BV252)),ROW($1:$10)-1,""))</f>
        <v>0123456789</v>
      </c>
      <c r="BX252" s="20" t="str">
        <f t="shared" si="116"/>
        <v>中中中</v>
      </c>
      <c r="BY252" s="23" t="str">
        <f t="shared" si="105"/>
        <v>46</v>
      </c>
      <c r="BZ252" s="24" t="str">
        <f t="array" ref="BZ252">_xlfn.TEXTJOIN("",TRUE,IF(ISNUMBER(FIND(MID(BY251&amp;Q251,ROW($1:$4),1),BY252&amp;Q252)),MID(BY251&amp;Q251,ROW($1:$4),1),""))</f>
        <v>4</v>
      </c>
      <c r="CA252" s="25" t="str">
        <f t="array" ref="CA252">_xlfn.TEXTJOIN("",TRUE,IF(ISERROR(FIND(ROW($1:$10)-1,BY252&amp;BZ252)),ROW($1:$10)-1,""))</f>
        <v>01235789</v>
      </c>
      <c r="CB252" s="26" t="str">
        <f t="shared" si="117"/>
        <v>邻传孤</v>
      </c>
      <c r="CC252" s="27" t="str">
        <f t="shared" si="118"/>
        <v>91</v>
      </c>
      <c r="CD252" s="27" t="str">
        <f t="array" ref="CD252">_xlfn.TEXTJOIN("",TRUE,IF(ISNUMBER(FIND(MID(CC251&amp;R251,ROW($1:$4),1),CC252&amp;R252)),MID(CC251&amp;R251,ROW($1:$4),1),""))</f>
        <v/>
      </c>
      <c r="CE252" s="27" t="str">
        <f t="array" ref="CE252">_xlfn.TEXTJOIN("",TRUE,IF(ISERROR(FIND(ROW($1:$10)-1,CC252&amp;CD252)),ROW($1:$10)-1,""))</f>
        <v>02345678</v>
      </c>
      <c r="CF252" s="17" t="str">
        <f t="shared" si="119"/>
        <v>邻孤孤</v>
      </c>
      <c r="CG252" s="22" t="str">
        <f t="shared" si="120"/>
        <v>46</v>
      </c>
      <c r="CH252" s="22" t="str">
        <f t="array" ref="CH252">_xlfn.TEXTJOIN("",TRUE,IF(ISNUMBER(FIND(MID(CG251&amp;S251,ROW($1:$4),1),CG252&amp;S252)),MID(CG251&amp;S251,ROW($1:$4),1),""))</f>
        <v/>
      </c>
      <c r="CI252" s="22" t="str">
        <f t="array" ref="CI252">_xlfn.TEXTJOIN("",TRUE,IF(ISERROR(FIND(ROW($1:$10)-1,CG252&amp;CH252)),ROW($1:$10)-1,""))</f>
        <v>01235789</v>
      </c>
      <c r="CJ252" s="28" t="str">
        <f t="shared" si="121"/>
        <v>邻孤孤</v>
      </c>
    </row>
    <row r="253" spans="1:88">
      <c r="A253" s="32">
        <v>2025028</v>
      </c>
      <c r="B253" s="8" t="s">
        <v>137</v>
      </c>
      <c r="C253" s="49">
        <f t="shared" si="130"/>
        <v>13</v>
      </c>
      <c r="D253" s="50">
        <f t="shared" si="131"/>
        <v>3</v>
      </c>
      <c r="E253" s="51">
        <f t="shared" si="102"/>
        <v>4.3333333333333304</v>
      </c>
      <c r="F253" s="52">
        <f>MAX(MID(B253,{1,2,3},1)*1)-MIN(MID(B253,{1,2,3},1)*1)</f>
        <v>9</v>
      </c>
      <c r="G253" s="104">
        <v>0</v>
      </c>
      <c r="H253" s="104">
        <v>1</v>
      </c>
      <c r="I253" s="104">
        <v>2</v>
      </c>
      <c r="J253" s="104">
        <v>3</v>
      </c>
      <c r="K253" s="104">
        <v>4</v>
      </c>
      <c r="L253" s="104">
        <v>5</v>
      </c>
      <c r="M253" s="104">
        <v>6</v>
      </c>
      <c r="N253" s="104">
        <v>7</v>
      </c>
      <c r="O253" s="104">
        <v>8</v>
      </c>
      <c r="P253" s="104">
        <v>9</v>
      </c>
      <c r="Q253" s="53">
        <f t="shared" si="132"/>
        <v>4</v>
      </c>
      <c r="R253" s="53">
        <f t="shared" si="133"/>
        <v>5</v>
      </c>
      <c r="S253" s="53">
        <f t="shared" si="134"/>
        <v>9</v>
      </c>
      <c r="T253" s="101">
        <f t="shared" si="103"/>
        <v>18</v>
      </c>
      <c r="U253" s="15" t="str">
        <f>_xlfn.TEXTJOIN(", ",TRUE,ABS(MID(B253,{1,1,2},1)-MID(B253,{2,3,3},1)))</f>
        <v>4, 5, 9</v>
      </c>
      <c r="V253" s="54">
        <v>0</v>
      </c>
      <c r="W253" s="54">
        <v>1</v>
      </c>
      <c r="X253" s="54">
        <v>2</v>
      </c>
      <c r="Y253" s="54">
        <v>3</v>
      </c>
      <c r="Z253" s="54">
        <v>4</v>
      </c>
      <c r="AA253" s="54">
        <v>5</v>
      </c>
      <c r="AB253" s="54">
        <v>6</v>
      </c>
      <c r="AC253" s="54">
        <v>7</v>
      </c>
      <c r="AD253" s="54">
        <v>8</v>
      </c>
      <c r="AE253" s="54">
        <v>9</v>
      </c>
      <c r="AF253" s="55">
        <v>0</v>
      </c>
      <c r="AG253" s="55">
        <v>1</v>
      </c>
      <c r="AH253" s="55">
        <v>2</v>
      </c>
      <c r="AI253" s="55">
        <v>3</v>
      </c>
      <c r="AJ253" s="55">
        <v>4</v>
      </c>
      <c r="AK253" s="55">
        <v>5</v>
      </c>
      <c r="AL253" s="55">
        <v>6</v>
      </c>
      <c r="AM253" s="55">
        <v>7</v>
      </c>
      <c r="AN253" s="55">
        <v>8</v>
      </c>
      <c r="AO253" s="55">
        <v>9</v>
      </c>
      <c r="AP253" s="105">
        <v>0</v>
      </c>
      <c r="AQ253" s="105">
        <v>1</v>
      </c>
      <c r="AR253" s="105">
        <v>2</v>
      </c>
      <c r="AS253" s="105">
        <v>3</v>
      </c>
      <c r="AT253" s="105">
        <v>4</v>
      </c>
      <c r="AU253" s="105">
        <v>5</v>
      </c>
      <c r="AV253" s="105">
        <v>6</v>
      </c>
      <c r="AW253" s="105">
        <v>7</v>
      </c>
      <c r="AX253" s="105">
        <v>8</v>
      </c>
      <c r="AY253" s="105">
        <v>9</v>
      </c>
      <c r="AZ253" s="56">
        <v>0</v>
      </c>
      <c r="BA253" s="56">
        <v>1</v>
      </c>
      <c r="BB253" s="56">
        <v>2</v>
      </c>
      <c r="BC253" s="56">
        <v>3</v>
      </c>
      <c r="BD253" s="56">
        <v>4</v>
      </c>
      <c r="BE253" s="56">
        <v>5</v>
      </c>
      <c r="BF253" s="56">
        <v>6</v>
      </c>
      <c r="BG253" s="56">
        <v>7</v>
      </c>
      <c r="BH253" s="56">
        <v>8</v>
      </c>
      <c r="BI253" s="56">
        <v>9</v>
      </c>
      <c r="BJ253" s="57" t="str">
        <f t="shared" si="104"/>
        <v>松散型</v>
      </c>
      <c r="BK253" s="13">
        <f t="shared" si="100"/>
        <v>4</v>
      </c>
      <c r="BL253" s="13">
        <f t="shared" si="101"/>
        <v>9</v>
      </c>
      <c r="BM253" s="18" t="str">
        <f t="shared" si="111"/>
        <v/>
      </c>
      <c r="BN253" s="19" t="str">
        <f t="shared" si="112"/>
        <v/>
      </c>
      <c r="BO253" s="19" t="str">
        <f t="array" ref="BO253">_xlfn.TEXTJOIN("",TRUE,IF(ISERROR(FIND(ROW($1:$10)-1,BM253&amp;BN253)),ROW($1:$10)-1,""))</f>
        <v>0123456789</v>
      </c>
      <c r="BP253" s="20" t="str">
        <f t="shared" si="113"/>
        <v>中中中</v>
      </c>
      <c r="BQ253" s="21">
        <f t="shared" si="124"/>
        <v>5</v>
      </c>
      <c r="BR253" s="21" t="str">
        <f t="shared" si="122"/>
        <v/>
      </c>
      <c r="BS253" s="21" t="str">
        <f t="array" ref="BS253">_xlfn.TEXTJOIN("",TRUE,IF(ISERROR(FIND(ROW($1:$10)-1,BQ253&amp;BR253)),ROW($1:$10)-1,""))</f>
        <v>012346789</v>
      </c>
      <c r="BT253" s="20" t="str">
        <f t="shared" si="114"/>
        <v>复中中</v>
      </c>
      <c r="BU253" s="22" t="str">
        <f t="shared" si="115"/>
        <v/>
      </c>
      <c r="BV253" s="22" t="str">
        <f t="shared" si="123"/>
        <v/>
      </c>
      <c r="BW253" s="22" t="str">
        <f t="array" ref="BW253">_xlfn.TEXTJOIN("",TRUE,IF(ISERROR(FIND(ROW($1:$10)-1,BU253&amp;BV253)),ROW($1:$10)-1,""))</f>
        <v>0123456789</v>
      </c>
      <c r="BX253" s="20" t="str">
        <f t="shared" si="116"/>
        <v>中中中</v>
      </c>
      <c r="BY253" s="23" t="str">
        <f t="shared" si="105"/>
        <v>35</v>
      </c>
      <c r="BZ253" s="24" t="str">
        <f t="array" ref="BZ253">_xlfn.TEXTJOIN("",TRUE,IF(ISNUMBER(FIND(MID(BY252&amp;Q252,ROW($1:$4),1),BY253&amp;Q253)),MID(BY252&amp;Q252,ROW($1:$4),1),""))</f>
        <v>45</v>
      </c>
      <c r="CA253" s="25" t="str">
        <f t="array" ref="CA253">_xlfn.TEXTJOIN("",TRUE,IF(ISERROR(FIND(ROW($1:$10)-1,BY253&amp;BZ253)),ROW($1:$10)-1,""))</f>
        <v>0126789</v>
      </c>
      <c r="CB253" s="26" t="str">
        <f t="shared" si="117"/>
        <v>邻传孤</v>
      </c>
      <c r="CC253" s="27" t="str">
        <f t="shared" si="118"/>
        <v>46</v>
      </c>
      <c r="CD253" s="27" t="str">
        <f t="array" ref="CD253">_xlfn.TEXTJOIN("",TRUE,IF(ISNUMBER(FIND(MID(CC252&amp;R252,ROW($1:$4),1),CC253&amp;R253)),MID(CC252&amp;R252,ROW($1:$4),1),""))</f>
        <v/>
      </c>
      <c r="CE253" s="27" t="str">
        <f t="array" ref="CE253">_xlfn.TEXTJOIN("",TRUE,IF(ISERROR(FIND(ROW($1:$10)-1,CC253&amp;CD253)),ROW($1:$10)-1,""))</f>
        <v>01235789</v>
      </c>
      <c r="CF253" s="17" t="str">
        <f t="shared" si="119"/>
        <v>邻孤孤</v>
      </c>
      <c r="CG253" s="22" t="str">
        <f t="shared" si="120"/>
        <v>80</v>
      </c>
      <c r="CH253" s="22" t="str">
        <f t="array" ref="CH253">_xlfn.TEXTJOIN("",TRUE,IF(ISNUMBER(FIND(MID(CG252&amp;S252,ROW($1:$4),1),CG253&amp;S253)),MID(CG252&amp;S252,ROW($1:$4),1),""))</f>
        <v/>
      </c>
      <c r="CI253" s="22" t="str">
        <f t="array" ref="CI253">_xlfn.TEXTJOIN("",TRUE,IF(ISERROR(FIND(ROW($1:$10)-1,CG253&amp;CH253)),ROW($1:$10)-1,""))</f>
        <v>12345679</v>
      </c>
      <c r="CJ253" s="28" t="str">
        <f t="shared" si="121"/>
        <v>邻孤孤</v>
      </c>
    </row>
    <row r="254" spans="1:88">
      <c r="A254" s="32">
        <v>2025029</v>
      </c>
      <c r="B254" s="8" t="s">
        <v>138</v>
      </c>
      <c r="C254" s="49">
        <f t="shared" si="130"/>
        <v>15</v>
      </c>
      <c r="D254" s="50">
        <f t="shared" si="131"/>
        <v>5</v>
      </c>
      <c r="E254" s="51">
        <f t="shared" si="102"/>
        <v>5</v>
      </c>
      <c r="F254" s="52">
        <f>MAX(MID(B254,{1,2,3},1)*1)-MIN(MID(B254,{1,2,3},1)*1)</f>
        <v>9</v>
      </c>
      <c r="G254" s="104">
        <v>0</v>
      </c>
      <c r="H254" s="104">
        <v>1</v>
      </c>
      <c r="I254" s="104">
        <v>2</v>
      </c>
      <c r="J254" s="104">
        <v>3</v>
      </c>
      <c r="K254" s="104">
        <v>4</v>
      </c>
      <c r="L254" s="104">
        <v>5</v>
      </c>
      <c r="M254" s="104">
        <v>6</v>
      </c>
      <c r="N254" s="104">
        <v>7</v>
      </c>
      <c r="O254" s="104">
        <v>8</v>
      </c>
      <c r="P254" s="104">
        <v>9</v>
      </c>
      <c r="Q254" s="53">
        <f t="shared" si="132"/>
        <v>9</v>
      </c>
      <c r="R254" s="53">
        <f t="shared" si="133"/>
        <v>6</v>
      </c>
      <c r="S254" s="53">
        <f t="shared" si="134"/>
        <v>3</v>
      </c>
      <c r="T254" s="101">
        <f t="shared" si="103"/>
        <v>18</v>
      </c>
      <c r="U254" s="15" t="str">
        <f>_xlfn.TEXTJOIN(", ",TRUE,ABS(MID(B254,{1,1,2},1)-MID(B254,{2,3,3},1)))</f>
        <v>9, 6, 3</v>
      </c>
      <c r="V254" s="54">
        <v>0</v>
      </c>
      <c r="W254" s="54">
        <v>1</v>
      </c>
      <c r="X254" s="54">
        <v>2</v>
      </c>
      <c r="Y254" s="54">
        <v>3</v>
      </c>
      <c r="Z254" s="54">
        <v>4</v>
      </c>
      <c r="AA254" s="54">
        <v>5</v>
      </c>
      <c r="AB254" s="54">
        <v>6</v>
      </c>
      <c r="AC254" s="54">
        <v>7</v>
      </c>
      <c r="AD254" s="54">
        <v>8</v>
      </c>
      <c r="AE254" s="54">
        <v>9</v>
      </c>
      <c r="AF254" s="55">
        <v>0</v>
      </c>
      <c r="AG254" s="55">
        <v>1</v>
      </c>
      <c r="AH254" s="55">
        <v>2</v>
      </c>
      <c r="AI254" s="55">
        <v>3</v>
      </c>
      <c r="AJ254" s="55">
        <v>4</v>
      </c>
      <c r="AK254" s="55">
        <v>5</v>
      </c>
      <c r="AL254" s="55">
        <v>6</v>
      </c>
      <c r="AM254" s="55">
        <v>7</v>
      </c>
      <c r="AN254" s="55">
        <v>8</v>
      </c>
      <c r="AO254" s="55">
        <v>9</v>
      </c>
      <c r="AP254" s="105">
        <v>0</v>
      </c>
      <c r="AQ254" s="105">
        <v>1</v>
      </c>
      <c r="AR254" s="105">
        <v>2</v>
      </c>
      <c r="AS254" s="105">
        <v>3</v>
      </c>
      <c r="AT254" s="105">
        <v>4</v>
      </c>
      <c r="AU254" s="105">
        <v>5</v>
      </c>
      <c r="AV254" s="105">
        <v>6</v>
      </c>
      <c r="AW254" s="105">
        <v>7</v>
      </c>
      <c r="AX254" s="105">
        <v>8</v>
      </c>
      <c r="AY254" s="105">
        <v>9</v>
      </c>
      <c r="AZ254" s="56">
        <v>0</v>
      </c>
      <c r="BA254" s="56">
        <v>1</v>
      </c>
      <c r="BB254" s="56">
        <v>2</v>
      </c>
      <c r="BC254" s="56">
        <v>3</v>
      </c>
      <c r="BD254" s="56">
        <v>4</v>
      </c>
      <c r="BE254" s="56">
        <v>5</v>
      </c>
      <c r="BF254" s="56">
        <v>6</v>
      </c>
      <c r="BG254" s="56">
        <v>7</v>
      </c>
      <c r="BH254" s="56">
        <v>8</v>
      </c>
      <c r="BI254" s="56">
        <v>9</v>
      </c>
      <c r="BJ254" s="57" t="str">
        <f t="shared" si="104"/>
        <v>松散型</v>
      </c>
      <c r="BK254" s="13">
        <f t="shared" si="100"/>
        <v>3</v>
      </c>
      <c r="BL254" s="13">
        <f t="shared" si="101"/>
        <v>9</v>
      </c>
      <c r="BM254" s="18">
        <f t="shared" si="111"/>
        <v>9</v>
      </c>
      <c r="BN254" s="19" t="str">
        <f t="shared" si="112"/>
        <v/>
      </c>
      <c r="BO254" s="19" t="str">
        <f t="array" ref="BO254">_xlfn.TEXTJOIN("",TRUE,IF(ISERROR(FIND(ROW($1:$10)-1,BM254&amp;BN254)),ROW($1:$10)-1,""))</f>
        <v>012345678</v>
      </c>
      <c r="BP254" s="20" t="str">
        <f t="shared" si="113"/>
        <v>复中中</v>
      </c>
      <c r="BQ254" s="21" t="str">
        <f t="shared" si="124"/>
        <v/>
      </c>
      <c r="BR254" s="21" t="str">
        <f t="shared" si="122"/>
        <v/>
      </c>
      <c r="BS254" s="21" t="str">
        <f t="array" ref="BS254">_xlfn.TEXTJOIN("",TRUE,IF(ISERROR(FIND(ROW($1:$10)-1,BQ254&amp;BR254)),ROW($1:$10)-1,""))</f>
        <v>0123456789</v>
      </c>
      <c r="BT254" s="20" t="str">
        <f t="shared" si="114"/>
        <v>中中中</v>
      </c>
      <c r="BU254" s="22" t="str">
        <f t="shared" si="115"/>
        <v/>
      </c>
      <c r="BV254" s="22" t="str">
        <f t="shared" si="123"/>
        <v/>
      </c>
      <c r="BW254" s="22" t="str">
        <f t="array" ref="BW254">_xlfn.TEXTJOIN("",TRUE,IF(ISERROR(FIND(ROW($1:$10)-1,BU254&amp;BV254)),ROW($1:$10)-1,""))</f>
        <v>0123456789</v>
      </c>
      <c r="BX254" s="20" t="str">
        <f t="shared" si="116"/>
        <v>中中中</v>
      </c>
      <c r="BY254" s="23" t="str">
        <f t="shared" si="105"/>
        <v>80</v>
      </c>
      <c r="BZ254" s="24" t="str">
        <f t="array" ref="BZ254">_xlfn.TEXTJOIN("",TRUE,IF(ISNUMBER(FIND(MID(BY253&amp;Q253,ROW($1:$4),1),BY254&amp;Q254)),MID(BY253&amp;Q253,ROW($1:$4),1),""))</f>
        <v/>
      </c>
      <c r="CA254" s="25" t="str">
        <f t="array" ref="CA254">_xlfn.TEXTJOIN("",TRUE,IF(ISERROR(FIND(ROW($1:$10)-1,BY254&amp;BZ254)),ROW($1:$10)-1,""))</f>
        <v>12345679</v>
      </c>
      <c r="CB254" s="26" t="str">
        <f t="shared" si="117"/>
        <v>邻孤孤</v>
      </c>
      <c r="CC254" s="27" t="str">
        <f t="shared" si="118"/>
        <v>57</v>
      </c>
      <c r="CD254" s="27" t="str">
        <f t="array" ref="CD254">_xlfn.TEXTJOIN("",TRUE,IF(ISNUMBER(FIND(MID(CC253&amp;R253,ROW($1:$4),1),CC254&amp;R254)),MID(CC253&amp;R253,ROW($1:$4),1),""))</f>
        <v>65</v>
      </c>
      <c r="CE254" s="27" t="str">
        <f t="array" ref="CE254">_xlfn.TEXTJOIN("",TRUE,IF(ISERROR(FIND(ROW($1:$10)-1,CC254&amp;CD254)),ROW($1:$10)-1,""))</f>
        <v>0123489</v>
      </c>
      <c r="CF254" s="17" t="str">
        <f t="shared" si="119"/>
        <v>邻传孤</v>
      </c>
      <c r="CG254" s="22" t="str">
        <f t="shared" si="120"/>
        <v>24</v>
      </c>
      <c r="CH254" s="22" t="str">
        <f t="array" ref="CH254">_xlfn.TEXTJOIN("",TRUE,IF(ISNUMBER(FIND(MID(CG253&amp;S253,ROW($1:$4),1),CG254&amp;S254)),MID(CG253&amp;S253,ROW($1:$4),1),""))</f>
        <v/>
      </c>
      <c r="CI254" s="22" t="str">
        <f t="array" ref="CI254">_xlfn.TEXTJOIN("",TRUE,IF(ISERROR(FIND(ROW($1:$10)-1,CG254&amp;CH254)),ROW($1:$10)-1,""))</f>
        <v>01356789</v>
      </c>
      <c r="CJ254" s="28" t="str">
        <f t="shared" si="121"/>
        <v>邻孤孤</v>
      </c>
    </row>
    <row r="255" spans="1:88">
      <c r="A255" s="32">
        <v>2025030</v>
      </c>
      <c r="B255" s="8" t="s">
        <v>239</v>
      </c>
      <c r="C255" s="49">
        <f t="shared" si="130"/>
        <v>5</v>
      </c>
      <c r="D255" s="50">
        <f t="shared" si="131"/>
        <v>5</v>
      </c>
      <c r="E255" s="51">
        <f t="shared" si="102"/>
        <v>1.6666666666666701</v>
      </c>
      <c r="F255" s="52">
        <f>MAX(MID(B255,{1,2,3},1)*1)-MIN(MID(B255,{1,2,3},1)*1)</f>
        <v>3</v>
      </c>
      <c r="G255" s="104">
        <v>0</v>
      </c>
      <c r="H255" s="104">
        <v>1</v>
      </c>
      <c r="I255" s="104">
        <v>2</v>
      </c>
      <c r="J255" s="104">
        <v>3</v>
      </c>
      <c r="K255" s="104">
        <v>4</v>
      </c>
      <c r="L255" s="104">
        <v>5</v>
      </c>
      <c r="M255" s="104">
        <v>6</v>
      </c>
      <c r="N255" s="104">
        <v>7</v>
      </c>
      <c r="O255" s="104">
        <v>8</v>
      </c>
      <c r="P255" s="104">
        <v>9</v>
      </c>
      <c r="Q255" s="53">
        <f t="shared" si="132"/>
        <v>3</v>
      </c>
      <c r="R255" s="53">
        <f t="shared" si="133"/>
        <v>1</v>
      </c>
      <c r="S255" s="53">
        <f t="shared" si="134"/>
        <v>2</v>
      </c>
      <c r="T255" s="101">
        <f t="shared" si="103"/>
        <v>6</v>
      </c>
      <c r="U255" s="15" t="str">
        <f>_xlfn.TEXTJOIN(", ",TRUE,ABS(MID(B255,{1,1,2},1)-MID(B255,{2,3,3},1)))</f>
        <v>3, 1, 2</v>
      </c>
      <c r="V255" s="54">
        <v>0</v>
      </c>
      <c r="W255" s="54">
        <v>1</v>
      </c>
      <c r="X255" s="54">
        <v>2</v>
      </c>
      <c r="Y255" s="54">
        <v>3</v>
      </c>
      <c r="Z255" s="54">
        <v>4</v>
      </c>
      <c r="AA255" s="54">
        <v>5</v>
      </c>
      <c r="AB255" s="54">
        <v>6</v>
      </c>
      <c r="AC255" s="54">
        <v>7</v>
      </c>
      <c r="AD255" s="54">
        <v>8</v>
      </c>
      <c r="AE255" s="54">
        <v>9</v>
      </c>
      <c r="AF255" s="55">
        <v>0</v>
      </c>
      <c r="AG255" s="55">
        <v>1</v>
      </c>
      <c r="AH255" s="55">
        <v>2</v>
      </c>
      <c r="AI255" s="55">
        <v>3</v>
      </c>
      <c r="AJ255" s="55">
        <v>4</v>
      </c>
      <c r="AK255" s="55">
        <v>5</v>
      </c>
      <c r="AL255" s="55">
        <v>6</v>
      </c>
      <c r="AM255" s="55">
        <v>7</v>
      </c>
      <c r="AN255" s="55">
        <v>8</v>
      </c>
      <c r="AO255" s="55">
        <v>9</v>
      </c>
      <c r="AP255" s="105">
        <v>0</v>
      </c>
      <c r="AQ255" s="105">
        <v>1</v>
      </c>
      <c r="AR255" s="105">
        <v>2</v>
      </c>
      <c r="AS255" s="105">
        <v>3</v>
      </c>
      <c r="AT255" s="105">
        <v>4</v>
      </c>
      <c r="AU255" s="105">
        <v>5</v>
      </c>
      <c r="AV255" s="105">
        <v>6</v>
      </c>
      <c r="AW255" s="105">
        <v>7</v>
      </c>
      <c r="AX255" s="105">
        <v>8</v>
      </c>
      <c r="AY255" s="105">
        <v>9</v>
      </c>
      <c r="AZ255" s="56">
        <v>0</v>
      </c>
      <c r="BA255" s="56">
        <v>1</v>
      </c>
      <c r="BB255" s="56">
        <v>2</v>
      </c>
      <c r="BC255" s="56">
        <v>3</v>
      </c>
      <c r="BD255" s="56">
        <v>4</v>
      </c>
      <c r="BE255" s="56">
        <v>5</v>
      </c>
      <c r="BF255" s="56">
        <v>6</v>
      </c>
      <c r="BG255" s="56">
        <v>7</v>
      </c>
      <c r="BH255" s="56">
        <v>8</v>
      </c>
      <c r="BI255" s="56">
        <v>9</v>
      </c>
      <c r="BJ255" s="57" t="str">
        <f t="shared" si="104"/>
        <v>紧凑型</v>
      </c>
      <c r="BK255" s="13">
        <f t="shared" si="100"/>
        <v>1</v>
      </c>
      <c r="BL255" s="13">
        <f t="shared" si="101"/>
        <v>3</v>
      </c>
      <c r="BM255" s="18">
        <f t="shared" si="111"/>
        <v>3</v>
      </c>
      <c r="BN255" s="19" t="str">
        <f t="shared" si="112"/>
        <v/>
      </c>
      <c r="BO255" s="19" t="str">
        <f t="array" ref="BO255">_xlfn.TEXTJOIN("",TRUE,IF(ISERROR(FIND(ROW($1:$10)-1,BM255&amp;BN255)),ROW($1:$10)-1,""))</f>
        <v>012456789</v>
      </c>
      <c r="BP255" s="20" t="str">
        <f t="shared" si="113"/>
        <v>复中中</v>
      </c>
      <c r="BQ255" s="21" t="str">
        <f t="shared" si="124"/>
        <v/>
      </c>
      <c r="BR255" s="21" t="str">
        <f t="shared" si="122"/>
        <v/>
      </c>
      <c r="BS255" s="21" t="str">
        <f t="array" ref="BS255">_xlfn.TEXTJOIN("",TRUE,IF(ISERROR(FIND(ROW($1:$10)-1,BQ255&amp;BR255)),ROW($1:$10)-1,""))</f>
        <v>0123456789</v>
      </c>
      <c r="BT255" s="20" t="str">
        <f t="shared" si="114"/>
        <v>中中中</v>
      </c>
      <c r="BU255" s="22" t="str">
        <f t="shared" si="115"/>
        <v/>
      </c>
      <c r="BV255" s="22" t="str">
        <f t="shared" si="123"/>
        <v/>
      </c>
      <c r="BW255" s="22" t="str">
        <f t="array" ref="BW255">_xlfn.TEXTJOIN("",TRUE,IF(ISERROR(FIND(ROW($1:$10)-1,BU255&amp;BV255)),ROW($1:$10)-1,""))</f>
        <v>0123456789</v>
      </c>
      <c r="BX255" s="20" t="str">
        <f t="shared" si="116"/>
        <v>中中中</v>
      </c>
      <c r="BY255" s="23" t="str">
        <f t="shared" si="105"/>
        <v>24</v>
      </c>
      <c r="BZ255" s="24" t="str">
        <f t="array" ref="BZ255">_xlfn.TEXTJOIN("",TRUE,IF(ISNUMBER(FIND(MID(BY254&amp;Q254,ROW($1:$4),1),BY255&amp;Q255)),MID(BY254&amp;Q254,ROW($1:$4),1),""))</f>
        <v/>
      </c>
      <c r="CA255" s="25" t="str">
        <f t="array" ref="CA255">_xlfn.TEXTJOIN("",TRUE,IF(ISERROR(FIND(ROW($1:$10)-1,BY255&amp;BZ255)),ROW($1:$10)-1,""))</f>
        <v>01356789</v>
      </c>
      <c r="CB255" s="26" t="str">
        <f t="shared" si="117"/>
        <v>邻孤孤</v>
      </c>
      <c r="CC255" s="27" t="str">
        <f t="shared" si="118"/>
        <v>02</v>
      </c>
      <c r="CD255" s="27" t="str">
        <f t="array" ref="CD255">_xlfn.TEXTJOIN("",TRUE,IF(ISNUMBER(FIND(MID(CC254&amp;R254,ROW($1:$4),1),CC255&amp;R255)),MID(CC254&amp;R254,ROW($1:$4),1),""))</f>
        <v/>
      </c>
      <c r="CE255" s="27" t="str">
        <f t="array" ref="CE255">_xlfn.TEXTJOIN("",TRUE,IF(ISERROR(FIND(ROW($1:$10)-1,CC255&amp;CD255)),ROW($1:$10)-1,""))</f>
        <v>13456789</v>
      </c>
      <c r="CF255" s="17" t="str">
        <f t="shared" si="119"/>
        <v>邻孤孤</v>
      </c>
      <c r="CG255" s="22" t="str">
        <f t="shared" si="120"/>
        <v>13</v>
      </c>
      <c r="CH255" s="22" t="str">
        <f t="array" ref="CH255">_xlfn.TEXTJOIN("",TRUE,IF(ISNUMBER(FIND(MID(CG254&amp;S254,ROW($1:$4),1),CG255&amp;S255)),MID(CG254&amp;S254,ROW($1:$4),1),""))</f>
        <v>23</v>
      </c>
      <c r="CI255" s="22" t="str">
        <f t="array" ref="CI255">_xlfn.TEXTJOIN("",TRUE,IF(ISERROR(FIND(ROW($1:$10)-1,CG255&amp;CH255)),ROW($1:$10)-1,""))</f>
        <v>0456789</v>
      </c>
      <c r="CJ255" s="28" t="str">
        <f t="shared" si="121"/>
        <v>邻传孤</v>
      </c>
    </row>
    <row r="256" spans="1:88">
      <c r="A256" s="32">
        <v>2025031</v>
      </c>
      <c r="B256" s="8" t="s">
        <v>240</v>
      </c>
      <c r="C256" s="49">
        <f t="shared" si="130"/>
        <v>19</v>
      </c>
      <c r="D256" s="50">
        <f t="shared" si="131"/>
        <v>9</v>
      </c>
      <c r="E256" s="51">
        <f t="shared" si="102"/>
        <v>6.3333333333333304</v>
      </c>
      <c r="F256" s="52">
        <f>MAX(MID(B256,{1,2,3},1)*1)-MIN(MID(B256,{1,2,3},1)*1)</f>
        <v>6</v>
      </c>
      <c r="G256" s="104">
        <v>0</v>
      </c>
      <c r="H256" s="104">
        <v>1</v>
      </c>
      <c r="I256" s="104">
        <v>2</v>
      </c>
      <c r="J256" s="104">
        <v>3</v>
      </c>
      <c r="K256" s="104">
        <v>4</v>
      </c>
      <c r="L256" s="104">
        <v>5</v>
      </c>
      <c r="M256" s="104">
        <v>6</v>
      </c>
      <c r="N256" s="104">
        <v>7</v>
      </c>
      <c r="O256" s="104">
        <v>8</v>
      </c>
      <c r="P256" s="104">
        <v>9</v>
      </c>
      <c r="Q256" s="53">
        <f t="shared" si="132"/>
        <v>4</v>
      </c>
      <c r="R256" s="53">
        <f t="shared" si="133"/>
        <v>6</v>
      </c>
      <c r="S256" s="53">
        <f t="shared" si="134"/>
        <v>2</v>
      </c>
      <c r="T256" s="101">
        <f t="shared" si="103"/>
        <v>12</v>
      </c>
      <c r="U256" s="15" t="str">
        <f>_xlfn.TEXTJOIN(", ",TRUE,ABS(MID(B256,{1,1,2},1)-MID(B256,{2,3,3},1)))</f>
        <v>4, 6, 2</v>
      </c>
      <c r="V256" s="54">
        <v>0</v>
      </c>
      <c r="W256" s="54">
        <v>1</v>
      </c>
      <c r="X256" s="54">
        <v>2</v>
      </c>
      <c r="Y256" s="54">
        <v>3</v>
      </c>
      <c r="Z256" s="54">
        <v>4</v>
      </c>
      <c r="AA256" s="54">
        <v>5</v>
      </c>
      <c r="AB256" s="54">
        <v>6</v>
      </c>
      <c r="AC256" s="54">
        <v>7</v>
      </c>
      <c r="AD256" s="54">
        <v>8</v>
      </c>
      <c r="AE256" s="54">
        <v>9</v>
      </c>
      <c r="AF256" s="55">
        <v>0</v>
      </c>
      <c r="AG256" s="55">
        <v>1</v>
      </c>
      <c r="AH256" s="55">
        <v>2</v>
      </c>
      <c r="AI256" s="55">
        <v>3</v>
      </c>
      <c r="AJ256" s="55">
        <v>4</v>
      </c>
      <c r="AK256" s="55">
        <v>5</v>
      </c>
      <c r="AL256" s="55">
        <v>6</v>
      </c>
      <c r="AM256" s="55">
        <v>7</v>
      </c>
      <c r="AN256" s="55">
        <v>8</v>
      </c>
      <c r="AO256" s="55">
        <v>9</v>
      </c>
      <c r="AP256" s="105">
        <v>0</v>
      </c>
      <c r="AQ256" s="105">
        <v>1</v>
      </c>
      <c r="AR256" s="105">
        <v>2</v>
      </c>
      <c r="AS256" s="105">
        <v>3</v>
      </c>
      <c r="AT256" s="105">
        <v>4</v>
      </c>
      <c r="AU256" s="105">
        <v>5</v>
      </c>
      <c r="AV256" s="105">
        <v>6</v>
      </c>
      <c r="AW256" s="105">
        <v>7</v>
      </c>
      <c r="AX256" s="105">
        <v>8</v>
      </c>
      <c r="AY256" s="105">
        <v>9</v>
      </c>
      <c r="AZ256" s="56">
        <v>0</v>
      </c>
      <c r="BA256" s="56">
        <v>1</v>
      </c>
      <c r="BB256" s="56">
        <v>2</v>
      </c>
      <c r="BC256" s="56">
        <v>3</v>
      </c>
      <c r="BD256" s="56">
        <v>4</v>
      </c>
      <c r="BE256" s="56">
        <v>5</v>
      </c>
      <c r="BF256" s="56">
        <v>6</v>
      </c>
      <c r="BG256" s="56">
        <v>7</v>
      </c>
      <c r="BH256" s="56">
        <v>8</v>
      </c>
      <c r="BI256" s="56">
        <v>9</v>
      </c>
      <c r="BJ256" s="57" t="str">
        <f t="shared" si="104"/>
        <v>松散型</v>
      </c>
      <c r="BK256" s="13">
        <f t="shared" si="100"/>
        <v>2</v>
      </c>
      <c r="BL256" s="13">
        <f t="shared" si="101"/>
        <v>6</v>
      </c>
      <c r="BM256" s="18" t="str">
        <f t="shared" si="111"/>
        <v/>
      </c>
      <c r="BN256" s="19" t="str">
        <f t="shared" si="112"/>
        <v/>
      </c>
      <c r="BO256" s="19" t="str">
        <f t="array" ref="BO256">_xlfn.TEXTJOIN("",TRUE,IF(ISERROR(FIND(ROW($1:$10)-1,BM256&amp;BN256)),ROW($1:$10)-1,""))</f>
        <v>0123456789</v>
      </c>
      <c r="BP256" s="20" t="str">
        <f t="shared" si="113"/>
        <v>中中中</v>
      </c>
      <c r="BQ256" s="21" t="str">
        <f t="shared" si="124"/>
        <v/>
      </c>
      <c r="BR256" s="21">
        <f t="shared" si="122"/>
        <v>6</v>
      </c>
      <c r="BS256" s="21" t="str">
        <f t="array" ref="BS256">_xlfn.TEXTJOIN("",TRUE,IF(ISERROR(FIND(ROW($1:$10)-1,BQ256&amp;BR256)),ROW($1:$10)-1,""))</f>
        <v>012345789</v>
      </c>
      <c r="BT256" s="20" t="str">
        <f t="shared" si="114"/>
        <v>中隔中</v>
      </c>
      <c r="BU256" s="22">
        <f t="shared" si="115"/>
        <v>2</v>
      </c>
      <c r="BV256" s="22" t="str">
        <f t="shared" si="123"/>
        <v/>
      </c>
      <c r="BW256" s="22" t="str">
        <f t="array" ref="BW256">_xlfn.TEXTJOIN("",TRUE,IF(ISERROR(FIND(ROW($1:$10)-1,BU256&amp;BV256)),ROW($1:$10)-1,""))</f>
        <v>013456789</v>
      </c>
      <c r="BX256" s="20" t="str">
        <f t="shared" si="116"/>
        <v>复中中</v>
      </c>
      <c r="BY256" s="23" t="str">
        <f t="shared" si="105"/>
        <v>35</v>
      </c>
      <c r="BZ256" s="24" t="str">
        <f t="array" ref="BZ256">_xlfn.TEXTJOIN("",TRUE,IF(ISNUMBER(FIND(MID(BY255&amp;Q255,ROW($1:$4),1),BY256&amp;Q256)),MID(BY255&amp;Q255,ROW($1:$4),1),""))</f>
        <v>43</v>
      </c>
      <c r="CA256" s="25" t="str">
        <f t="array" ref="CA256">_xlfn.TEXTJOIN("",TRUE,IF(ISERROR(FIND(ROW($1:$10)-1,BY256&amp;BZ256)),ROW($1:$10)-1,""))</f>
        <v>0126789</v>
      </c>
      <c r="CB256" s="26" t="str">
        <f t="shared" si="117"/>
        <v>邻传孤</v>
      </c>
      <c r="CC256" s="27" t="str">
        <f t="shared" si="118"/>
        <v>57</v>
      </c>
      <c r="CD256" s="27" t="str">
        <f t="array" ref="CD256">_xlfn.TEXTJOIN("",TRUE,IF(ISNUMBER(FIND(MID(CC255&amp;R255,ROW($1:$4),1),CC256&amp;R256)),MID(CC255&amp;R255,ROW($1:$4),1),""))</f>
        <v/>
      </c>
      <c r="CE256" s="27" t="str">
        <f t="array" ref="CE256">_xlfn.TEXTJOIN("",TRUE,IF(ISERROR(FIND(ROW($1:$10)-1,CC256&amp;CD256)),ROW($1:$10)-1,""))</f>
        <v>01234689</v>
      </c>
      <c r="CF256" s="17" t="str">
        <f t="shared" si="119"/>
        <v>邻孤孤</v>
      </c>
      <c r="CG256" s="22" t="str">
        <f t="shared" si="120"/>
        <v>13</v>
      </c>
      <c r="CH256" s="22" t="str">
        <f t="array" ref="CH256">_xlfn.TEXTJOIN("",TRUE,IF(ISNUMBER(FIND(MID(CG255&amp;S255,ROW($1:$4),1),CG256&amp;S256)),MID(CG255&amp;S255,ROW($1:$4),1),""))</f>
        <v>132</v>
      </c>
      <c r="CI256" s="22" t="str">
        <f t="array" ref="CI256">_xlfn.TEXTJOIN("",TRUE,IF(ISERROR(FIND(ROW($1:$10)-1,CG256&amp;CH256)),ROW($1:$10)-1,""))</f>
        <v>0456789</v>
      </c>
      <c r="CJ256" s="28" t="str">
        <f t="shared" si="121"/>
        <v>邻传孤</v>
      </c>
    </row>
    <row r="257" spans="1:88">
      <c r="A257" s="32">
        <v>2025032</v>
      </c>
      <c r="B257" s="8" t="s">
        <v>241</v>
      </c>
      <c r="C257" s="49">
        <f t="shared" si="130"/>
        <v>22</v>
      </c>
      <c r="D257" s="50">
        <f t="shared" si="131"/>
        <v>2</v>
      </c>
      <c r="E257" s="51">
        <f t="shared" si="102"/>
        <v>7.3333333333333304</v>
      </c>
      <c r="F257" s="52">
        <f>MAX(MID(B257,{1,2,3},1)*1)-MIN(MID(B257,{1,2,3},1)*1)</f>
        <v>5</v>
      </c>
      <c r="G257" s="104">
        <v>0</v>
      </c>
      <c r="H257" s="104">
        <v>1</v>
      </c>
      <c r="I257" s="104">
        <v>2</v>
      </c>
      <c r="J257" s="104">
        <v>3</v>
      </c>
      <c r="K257" s="104">
        <v>4</v>
      </c>
      <c r="L257" s="104">
        <v>5</v>
      </c>
      <c r="M257" s="104">
        <v>6</v>
      </c>
      <c r="N257" s="104">
        <v>7</v>
      </c>
      <c r="O257" s="104">
        <v>8</v>
      </c>
      <c r="P257" s="104">
        <v>9</v>
      </c>
      <c r="Q257" s="53">
        <f t="shared" si="132"/>
        <v>5</v>
      </c>
      <c r="R257" s="53">
        <f t="shared" si="133"/>
        <v>5</v>
      </c>
      <c r="S257" s="53">
        <f t="shared" si="134"/>
        <v>0</v>
      </c>
      <c r="T257" s="101">
        <f t="shared" si="103"/>
        <v>10</v>
      </c>
      <c r="U257" s="15" t="str">
        <f>_xlfn.TEXTJOIN(", ",TRUE,ABS(MID(B257,{1,1,2},1)-MID(B257,{2,3,3},1)))</f>
        <v>5, 5, 0</v>
      </c>
      <c r="V257" s="54">
        <v>0</v>
      </c>
      <c r="W257" s="54">
        <v>1</v>
      </c>
      <c r="X257" s="54">
        <v>2</v>
      </c>
      <c r="Y257" s="54">
        <v>3</v>
      </c>
      <c r="Z257" s="54">
        <v>4</v>
      </c>
      <c r="AA257" s="54">
        <v>5</v>
      </c>
      <c r="AB257" s="54">
        <v>6</v>
      </c>
      <c r="AC257" s="54">
        <v>7</v>
      </c>
      <c r="AD257" s="54">
        <v>8</v>
      </c>
      <c r="AE257" s="54">
        <v>9</v>
      </c>
      <c r="AF257" s="55">
        <v>0</v>
      </c>
      <c r="AG257" s="55">
        <v>1</v>
      </c>
      <c r="AH257" s="55">
        <v>2</v>
      </c>
      <c r="AI257" s="55">
        <v>3</v>
      </c>
      <c r="AJ257" s="55">
        <v>4</v>
      </c>
      <c r="AK257" s="55">
        <v>5</v>
      </c>
      <c r="AL257" s="55">
        <v>6</v>
      </c>
      <c r="AM257" s="55">
        <v>7</v>
      </c>
      <c r="AN257" s="55">
        <v>8</v>
      </c>
      <c r="AO257" s="55">
        <v>9</v>
      </c>
      <c r="AP257" s="105">
        <v>0</v>
      </c>
      <c r="AQ257" s="105">
        <v>1</v>
      </c>
      <c r="AR257" s="105">
        <v>2</v>
      </c>
      <c r="AS257" s="105">
        <v>3</v>
      </c>
      <c r="AT257" s="105">
        <v>4</v>
      </c>
      <c r="AU257" s="105">
        <v>5</v>
      </c>
      <c r="AV257" s="105">
        <v>6</v>
      </c>
      <c r="AW257" s="105">
        <v>7</v>
      </c>
      <c r="AX257" s="105">
        <v>8</v>
      </c>
      <c r="AY257" s="105">
        <v>9</v>
      </c>
      <c r="AZ257" s="56">
        <v>0</v>
      </c>
      <c r="BA257" s="56">
        <v>1</v>
      </c>
      <c r="BB257" s="56">
        <v>2</v>
      </c>
      <c r="BC257" s="56">
        <v>3</v>
      </c>
      <c r="BD257" s="56">
        <v>4</v>
      </c>
      <c r="BE257" s="56">
        <v>5</v>
      </c>
      <c r="BF257" s="56">
        <v>6</v>
      </c>
      <c r="BG257" s="56">
        <v>7</v>
      </c>
      <c r="BH257" s="56">
        <v>8</v>
      </c>
      <c r="BI257" s="56">
        <v>9</v>
      </c>
      <c r="BJ257" s="57" t="str">
        <f t="shared" si="104"/>
        <v>对子</v>
      </c>
      <c r="BK257" s="13">
        <f t="shared" si="100"/>
        <v>0</v>
      </c>
      <c r="BL257" s="13">
        <f t="shared" si="101"/>
        <v>5</v>
      </c>
      <c r="BM257" s="18" t="str">
        <f t="shared" si="111"/>
        <v/>
      </c>
      <c r="BN257" s="19" t="str">
        <f t="shared" si="112"/>
        <v/>
      </c>
      <c r="BO257" s="19" t="str">
        <f t="array" ref="BO257">_xlfn.TEXTJOIN("",TRUE,IF(ISERROR(FIND(ROW($1:$10)-1,BM257&amp;BN257)),ROW($1:$10)-1,""))</f>
        <v>0123456789</v>
      </c>
      <c r="BP257" s="20" t="str">
        <f t="shared" si="113"/>
        <v>中中中</v>
      </c>
      <c r="BQ257" s="21" t="str">
        <f t="shared" si="124"/>
        <v/>
      </c>
      <c r="BR257" s="21" t="str">
        <f t="shared" si="122"/>
        <v/>
      </c>
      <c r="BS257" s="21" t="str">
        <f t="array" ref="BS257">_xlfn.TEXTJOIN("",TRUE,IF(ISERROR(FIND(ROW($1:$10)-1,BQ257&amp;BR257)),ROW($1:$10)-1,""))</f>
        <v>0123456789</v>
      </c>
      <c r="BT257" s="20" t="str">
        <f t="shared" si="114"/>
        <v>中中中</v>
      </c>
      <c r="BU257" s="22" t="str">
        <f t="shared" si="115"/>
        <v/>
      </c>
      <c r="BV257" s="22" t="str">
        <f t="shared" si="123"/>
        <v/>
      </c>
      <c r="BW257" s="22" t="str">
        <f t="array" ref="BW257">_xlfn.TEXTJOIN("",TRUE,IF(ISERROR(FIND(ROW($1:$10)-1,BU257&amp;BV257)),ROW($1:$10)-1,""))</f>
        <v>0123456789</v>
      </c>
      <c r="BX257" s="20" t="str">
        <f t="shared" si="116"/>
        <v>中中中</v>
      </c>
      <c r="BY257" s="23" t="str">
        <f t="shared" si="105"/>
        <v>46</v>
      </c>
      <c r="BZ257" s="24" t="str">
        <f t="array" ref="BZ257">_xlfn.TEXTJOIN("",TRUE,IF(ISNUMBER(FIND(MID(BY256&amp;Q256,ROW($1:$4),1),BY257&amp;Q257)),MID(BY256&amp;Q256,ROW($1:$4),1),""))</f>
        <v>54</v>
      </c>
      <c r="CA257" s="25" t="str">
        <f t="array" ref="CA257">_xlfn.TEXTJOIN("",TRUE,IF(ISERROR(FIND(ROW($1:$10)-1,BY257&amp;BZ257)),ROW($1:$10)-1,""))</f>
        <v>0123789</v>
      </c>
      <c r="CB257" s="26" t="str">
        <f t="shared" si="117"/>
        <v>邻传孤</v>
      </c>
      <c r="CC257" s="27" t="str">
        <f t="shared" si="118"/>
        <v>46</v>
      </c>
      <c r="CD257" s="27" t="str">
        <f t="array" ref="CD257">_xlfn.TEXTJOIN("",TRUE,IF(ISNUMBER(FIND(MID(CC256&amp;R256,ROW($1:$4),1),CC257&amp;R257)),MID(CC256&amp;R256,ROW($1:$4),1),""))</f>
        <v>56</v>
      </c>
      <c r="CE257" s="27" t="str">
        <f t="array" ref="CE257">_xlfn.TEXTJOIN("",TRUE,IF(ISERROR(FIND(ROW($1:$10)-1,CC257&amp;CD257)),ROW($1:$10)-1,""))</f>
        <v>0123789</v>
      </c>
      <c r="CF257" s="17" t="str">
        <f t="shared" si="119"/>
        <v>邻传孤</v>
      </c>
      <c r="CG257" s="22" t="str">
        <f t="shared" si="120"/>
        <v>91</v>
      </c>
      <c r="CH257" s="22" t="str">
        <f t="array" ref="CH257">_xlfn.TEXTJOIN("",TRUE,IF(ISNUMBER(FIND(MID(CG256&amp;S256,ROW($1:$4),1),CG257&amp;S257)),MID(CG256&amp;S256,ROW($1:$4),1),""))</f>
        <v>1</v>
      </c>
      <c r="CI257" s="22" t="str">
        <f t="array" ref="CI257">_xlfn.TEXTJOIN("",TRUE,IF(ISERROR(FIND(ROW($1:$10)-1,CG257&amp;CH257)),ROW($1:$10)-1,""))</f>
        <v>02345678</v>
      </c>
      <c r="CJ257" s="28" t="str">
        <f t="shared" si="121"/>
        <v>邻传孤</v>
      </c>
    </row>
    <row r="258" spans="1:88">
      <c r="A258" s="32">
        <v>2025033</v>
      </c>
      <c r="B258" s="8" t="s">
        <v>227</v>
      </c>
      <c r="C258" s="49">
        <f t="shared" ref="C258:C283" si="135">LEFT(B258,1)+MID(B258,2,1)+RIGHT(B258,1)</f>
        <v>12</v>
      </c>
      <c r="D258" s="50">
        <f t="shared" ref="D258:D283" si="136">MOD(LEFT(B258,1)+MID(B258,2,1)+RIGHT(B258,1),10)</f>
        <v>2</v>
      </c>
      <c r="E258" s="51">
        <f t="shared" si="102"/>
        <v>4</v>
      </c>
      <c r="F258" s="52">
        <f>MAX(MID(B258,{1,2,3},1)*1)-MIN(MID(B258,{1,2,3},1)*1)</f>
        <v>6</v>
      </c>
      <c r="G258" s="104">
        <v>0</v>
      </c>
      <c r="H258" s="104">
        <v>1</v>
      </c>
      <c r="I258" s="104">
        <v>2</v>
      </c>
      <c r="J258" s="104">
        <v>3</v>
      </c>
      <c r="K258" s="104">
        <v>4</v>
      </c>
      <c r="L258" s="104">
        <v>5</v>
      </c>
      <c r="M258" s="104">
        <v>6</v>
      </c>
      <c r="N258" s="104">
        <v>7</v>
      </c>
      <c r="O258" s="104">
        <v>8</v>
      </c>
      <c r="P258" s="104">
        <v>9</v>
      </c>
      <c r="Q258" s="53">
        <f t="shared" ref="Q258:Q283" si="137">ABS(LEFT(B258,1)-MID(B258,2,1))</f>
        <v>6</v>
      </c>
      <c r="R258" s="53">
        <f t="shared" ref="R258:R283" si="138">ABS(LEFT(B258,1)-RIGHT(B258,1))</f>
        <v>0</v>
      </c>
      <c r="S258" s="53">
        <f t="shared" ref="S258:S283" si="139">ABS(MID(B258,2,1)-RIGHT(B258,1))</f>
        <v>6</v>
      </c>
      <c r="T258" s="101">
        <f t="shared" si="103"/>
        <v>12</v>
      </c>
      <c r="U258" s="15" t="str">
        <f>_xlfn.TEXTJOIN(", ",TRUE,ABS(MID(B258,{1,1,2},1)-MID(B258,{2,3,3},1)))</f>
        <v>6, 0, 6</v>
      </c>
      <c r="V258" s="54">
        <v>0</v>
      </c>
      <c r="W258" s="54">
        <v>1</v>
      </c>
      <c r="X258" s="54">
        <v>2</v>
      </c>
      <c r="Y258" s="54">
        <v>3</v>
      </c>
      <c r="Z258" s="54">
        <v>4</v>
      </c>
      <c r="AA258" s="54">
        <v>5</v>
      </c>
      <c r="AB258" s="54">
        <v>6</v>
      </c>
      <c r="AC258" s="54">
        <v>7</v>
      </c>
      <c r="AD258" s="54">
        <v>8</v>
      </c>
      <c r="AE258" s="54">
        <v>9</v>
      </c>
      <c r="AF258" s="55">
        <v>0</v>
      </c>
      <c r="AG258" s="55">
        <v>1</v>
      </c>
      <c r="AH258" s="55">
        <v>2</v>
      </c>
      <c r="AI258" s="55">
        <v>3</v>
      </c>
      <c r="AJ258" s="55">
        <v>4</v>
      </c>
      <c r="AK258" s="55">
        <v>5</v>
      </c>
      <c r="AL258" s="55">
        <v>6</v>
      </c>
      <c r="AM258" s="55">
        <v>7</v>
      </c>
      <c r="AN258" s="55">
        <v>8</v>
      </c>
      <c r="AO258" s="55">
        <v>9</v>
      </c>
      <c r="AP258" s="105">
        <v>0</v>
      </c>
      <c r="AQ258" s="105">
        <v>1</v>
      </c>
      <c r="AR258" s="105">
        <v>2</v>
      </c>
      <c r="AS258" s="105">
        <v>3</v>
      </c>
      <c r="AT258" s="105">
        <v>4</v>
      </c>
      <c r="AU258" s="105">
        <v>5</v>
      </c>
      <c r="AV258" s="105">
        <v>6</v>
      </c>
      <c r="AW258" s="105">
        <v>7</v>
      </c>
      <c r="AX258" s="105">
        <v>8</v>
      </c>
      <c r="AY258" s="105">
        <v>9</v>
      </c>
      <c r="AZ258" s="56">
        <v>0</v>
      </c>
      <c r="BA258" s="56">
        <v>1</v>
      </c>
      <c r="BB258" s="56">
        <v>2</v>
      </c>
      <c r="BC258" s="56">
        <v>3</v>
      </c>
      <c r="BD258" s="56">
        <v>4</v>
      </c>
      <c r="BE258" s="56">
        <v>5</v>
      </c>
      <c r="BF258" s="56">
        <v>6</v>
      </c>
      <c r="BG258" s="56">
        <v>7</v>
      </c>
      <c r="BH258" s="56">
        <v>8</v>
      </c>
      <c r="BI258" s="56">
        <v>9</v>
      </c>
      <c r="BJ258" s="57" t="str">
        <f t="shared" si="104"/>
        <v>松散型</v>
      </c>
      <c r="BK258" s="13">
        <f t="shared" si="100"/>
        <v>0</v>
      </c>
      <c r="BL258" s="13">
        <f t="shared" si="101"/>
        <v>6</v>
      </c>
      <c r="BM258" s="18" t="str">
        <f t="shared" si="111"/>
        <v/>
      </c>
      <c r="BN258" s="19">
        <f t="shared" si="112"/>
        <v>6</v>
      </c>
      <c r="BO258" s="19" t="str">
        <f t="array" ref="BO258">_xlfn.TEXTJOIN("",TRUE,IF(ISERROR(FIND(ROW($1:$10)-1,BM258&amp;BN258)),ROW($1:$10)-1,""))</f>
        <v>012345789</v>
      </c>
      <c r="BP258" s="20" t="str">
        <f t="shared" si="113"/>
        <v>中隔中</v>
      </c>
      <c r="BQ258" s="21">
        <f t="shared" si="124"/>
        <v>0</v>
      </c>
      <c r="BR258" s="21" t="str">
        <f t="shared" si="122"/>
        <v/>
      </c>
      <c r="BS258" s="21" t="str">
        <f t="array" ref="BS258">_xlfn.TEXTJOIN("",TRUE,IF(ISERROR(FIND(ROW($1:$10)-1,BQ258&amp;BR258)),ROW($1:$10)-1,""))</f>
        <v>123456789</v>
      </c>
      <c r="BT258" s="20" t="str">
        <f t="shared" si="114"/>
        <v>复中中</v>
      </c>
      <c r="BU258" s="22" t="str">
        <f t="shared" si="115"/>
        <v/>
      </c>
      <c r="BV258" s="22">
        <f t="shared" si="123"/>
        <v>6</v>
      </c>
      <c r="BW258" s="22" t="str">
        <f t="array" ref="BW258">_xlfn.TEXTJOIN("",TRUE,IF(ISERROR(FIND(ROW($1:$10)-1,BU258&amp;BV258)),ROW($1:$10)-1,""))</f>
        <v>012345789</v>
      </c>
      <c r="BX258" s="20" t="str">
        <f t="shared" si="116"/>
        <v>中隔中</v>
      </c>
      <c r="BY258" s="23" t="str">
        <f t="shared" si="105"/>
        <v>57</v>
      </c>
      <c r="BZ258" s="24" t="str">
        <f t="array" ref="BZ258">_xlfn.TEXTJOIN("",TRUE,IF(ISNUMBER(FIND(MID(BY257&amp;Q257,ROW($1:$4),1),BY258&amp;Q258)),MID(BY257&amp;Q257,ROW($1:$4),1),""))</f>
        <v>65</v>
      </c>
      <c r="CA258" s="25" t="str">
        <f t="array" ref="CA258">_xlfn.TEXTJOIN("",TRUE,IF(ISERROR(FIND(ROW($1:$10)-1,BY258&amp;BZ258)),ROW($1:$10)-1,""))</f>
        <v>0123489</v>
      </c>
      <c r="CB258" s="26" t="str">
        <f t="shared" si="117"/>
        <v>邻传孤</v>
      </c>
      <c r="CC258" s="27" t="str">
        <f t="shared" si="118"/>
        <v>91</v>
      </c>
      <c r="CD258" s="27" t="str">
        <f t="array" ref="CD258">_xlfn.TEXTJOIN("",TRUE,IF(ISNUMBER(FIND(MID(CC257&amp;R257,ROW($1:$4),1),CC258&amp;R258)),MID(CC257&amp;R257,ROW($1:$4),1),""))</f>
        <v/>
      </c>
      <c r="CE258" s="27" t="str">
        <f t="array" ref="CE258">_xlfn.TEXTJOIN("",TRUE,IF(ISERROR(FIND(ROW($1:$10)-1,CC258&amp;CD258)),ROW($1:$10)-1,""))</f>
        <v>02345678</v>
      </c>
      <c r="CF258" s="17" t="str">
        <f t="shared" si="119"/>
        <v>邻孤孤</v>
      </c>
      <c r="CG258" s="22" t="str">
        <f t="shared" si="120"/>
        <v>57</v>
      </c>
      <c r="CH258" s="22" t="str">
        <f t="array" ref="CH258">_xlfn.TEXTJOIN("",TRUE,IF(ISNUMBER(FIND(MID(CG257&amp;S257,ROW($1:$4),1),CG258&amp;S258)),MID(CG257&amp;S257,ROW($1:$4),1),""))</f>
        <v/>
      </c>
      <c r="CI258" s="22" t="str">
        <f t="array" ref="CI258">_xlfn.TEXTJOIN("",TRUE,IF(ISERROR(FIND(ROW($1:$10)-1,CG258&amp;CH258)),ROW($1:$10)-1,""))</f>
        <v>01234689</v>
      </c>
      <c r="CJ258" s="28" t="str">
        <f t="shared" si="121"/>
        <v>邻孤孤</v>
      </c>
    </row>
    <row r="259" spans="1:88">
      <c r="A259" s="32">
        <v>2025034</v>
      </c>
      <c r="B259" s="8" t="s">
        <v>242</v>
      </c>
      <c r="C259" s="49">
        <f t="shared" si="135"/>
        <v>9</v>
      </c>
      <c r="D259" s="50">
        <f t="shared" si="136"/>
        <v>9</v>
      </c>
      <c r="E259" s="51">
        <f t="shared" si="102"/>
        <v>3</v>
      </c>
      <c r="F259" s="52">
        <f>MAX(MID(B259,{1,2,3},1)*1)-MIN(MID(B259,{1,2,3},1)*1)</f>
        <v>5</v>
      </c>
      <c r="G259" s="104">
        <v>0</v>
      </c>
      <c r="H259" s="104">
        <v>1</v>
      </c>
      <c r="I259" s="104">
        <v>2</v>
      </c>
      <c r="J259" s="104">
        <v>3</v>
      </c>
      <c r="K259" s="104">
        <v>4</v>
      </c>
      <c r="L259" s="104">
        <v>5</v>
      </c>
      <c r="M259" s="104">
        <v>6</v>
      </c>
      <c r="N259" s="104">
        <v>7</v>
      </c>
      <c r="O259" s="104">
        <v>8</v>
      </c>
      <c r="P259" s="104">
        <v>9</v>
      </c>
      <c r="Q259" s="53">
        <f t="shared" si="137"/>
        <v>4</v>
      </c>
      <c r="R259" s="53">
        <f t="shared" si="138"/>
        <v>1</v>
      </c>
      <c r="S259" s="53">
        <f t="shared" si="139"/>
        <v>5</v>
      </c>
      <c r="T259" s="101">
        <f t="shared" si="103"/>
        <v>10</v>
      </c>
      <c r="U259" s="15" t="str">
        <f>_xlfn.TEXTJOIN(", ",TRUE,ABS(MID(B259,{1,1,2},1)-MID(B259,{2,3,3},1)))</f>
        <v>4, 1, 5</v>
      </c>
      <c r="V259" s="54">
        <v>0</v>
      </c>
      <c r="W259" s="54">
        <v>1</v>
      </c>
      <c r="X259" s="54">
        <v>2</v>
      </c>
      <c r="Y259" s="54">
        <v>3</v>
      </c>
      <c r="Z259" s="54">
        <v>4</v>
      </c>
      <c r="AA259" s="54">
        <v>5</v>
      </c>
      <c r="AB259" s="54">
        <v>6</v>
      </c>
      <c r="AC259" s="54">
        <v>7</v>
      </c>
      <c r="AD259" s="54">
        <v>8</v>
      </c>
      <c r="AE259" s="54">
        <v>9</v>
      </c>
      <c r="AF259" s="55">
        <v>0</v>
      </c>
      <c r="AG259" s="55">
        <v>1</v>
      </c>
      <c r="AH259" s="55">
        <v>2</v>
      </c>
      <c r="AI259" s="55">
        <v>3</v>
      </c>
      <c r="AJ259" s="55">
        <v>4</v>
      </c>
      <c r="AK259" s="55">
        <v>5</v>
      </c>
      <c r="AL259" s="55">
        <v>6</v>
      </c>
      <c r="AM259" s="55">
        <v>7</v>
      </c>
      <c r="AN259" s="55">
        <v>8</v>
      </c>
      <c r="AO259" s="55">
        <v>9</v>
      </c>
      <c r="AP259" s="105">
        <v>0</v>
      </c>
      <c r="AQ259" s="105">
        <v>1</v>
      </c>
      <c r="AR259" s="105">
        <v>2</v>
      </c>
      <c r="AS259" s="105">
        <v>3</v>
      </c>
      <c r="AT259" s="105">
        <v>4</v>
      </c>
      <c r="AU259" s="105">
        <v>5</v>
      </c>
      <c r="AV259" s="105">
        <v>6</v>
      </c>
      <c r="AW259" s="105">
        <v>7</v>
      </c>
      <c r="AX259" s="105">
        <v>8</v>
      </c>
      <c r="AY259" s="105">
        <v>9</v>
      </c>
      <c r="AZ259" s="56">
        <v>0</v>
      </c>
      <c r="BA259" s="56">
        <v>1</v>
      </c>
      <c r="BB259" s="56">
        <v>2</v>
      </c>
      <c r="BC259" s="56">
        <v>3</v>
      </c>
      <c r="BD259" s="56">
        <v>4</v>
      </c>
      <c r="BE259" s="56">
        <v>5</v>
      </c>
      <c r="BF259" s="56">
        <v>6</v>
      </c>
      <c r="BG259" s="56">
        <v>7</v>
      </c>
      <c r="BH259" s="56">
        <v>8</v>
      </c>
      <c r="BI259" s="56">
        <v>9</v>
      </c>
      <c r="BJ259" s="57" t="str">
        <f t="shared" si="104"/>
        <v>标准型</v>
      </c>
      <c r="BK259" s="13">
        <f t="shared" ref="BK259:BK322" si="140">MIN(ABS(INT(B259/100)-INT(MOD(B259,100)/10)),ABS(INT(B259/100)-MOD(B259,10)),ABS(INT(MOD(B259,100)/10)-MOD(B259,10)))</f>
        <v>1</v>
      </c>
      <c r="BL259" s="13">
        <f t="shared" ref="BL259:BL322" si="141">MAX(ABS(INT(B259/100)-INT(MOD(B259,100)/10)),ABS(INT(B259/100)-MOD(B259,10)),ABS(INT(MOD(B259,100)/10)-MOD(B259,10)))</f>
        <v>5</v>
      </c>
      <c r="BM259" s="18" t="str">
        <f t="shared" si="111"/>
        <v/>
      </c>
      <c r="BN259" s="19" t="str">
        <f t="shared" si="112"/>
        <v/>
      </c>
      <c r="BO259" s="19" t="str">
        <f t="array" ref="BO259">_xlfn.TEXTJOIN("",TRUE,IF(ISERROR(FIND(ROW($1:$10)-1,BM259&amp;BN259)),ROW($1:$10)-1,""))</f>
        <v>0123456789</v>
      </c>
      <c r="BP259" s="20" t="str">
        <f t="shared" si="113"/>
        <v>中中中</v>
      </c>
      <c r="BQ259" s="21" t="str">
        <f t="shared" si="124"/>
        <v/>
      </c>
      <c r="BR259" s="21" t="str">
        <f t="shared" si="122"/>
        <v/>
      </c>
      <c r="BS259" s="21" t="str">
        <f t="array" ref="BS259">_xlfn.TEXTJOIN("",TRUE,IF(ISERROR(FIND(ROW($1:$10)-1,BQ259&amp;BR259)),ROW($1:$10)-1,""))</f>
        <v>0123456789</v>
      </c>
      <c r="BT259" s="20" t="str">
        <f t="shared" si="114"/>
        <v>中中中</v>
      </c>
      <c r="BU259" s="22" t="str">
        <f t="shared" si="115"/>
        <v/>
      </c>
      <c r="BV259" s="22">
        <f t="shared" si="123"/>
        <v>5</v>
      </c>
      <c r="BW259" s="22" t="str">
        <f t="array" ref="BW259">_xlfn.TEXTJOIN("",TRUE,IF(ISERROR(FIND(ROW($1:$10)-1,BU259&amp;BV259)),ROW($1:$10)-1,""))</f>
        <v>012346789</v>
      </c>
      <c r="BX259" s="20" t="str">
        <f t="shared" si="116"/>
        <v>中隔中</v>
      </c>
      <c r="BY259" s="23" t="str">
        <f t="shared" si="105"/>
        <v>35</v>
      </c>
      <c r="BZ259" s="24" t="str">
        <f t="array" ref="BZ259">_xlfn.TEXTJOIN("",TRUE,IF(ISNUMBER(FIND(MID(BY258&amp;Q258,ROW($1:$4),1),BY259&amp;Q259)),MID(BY258&amp;Q258,ROW($1:$4),1),""))</f>
        <v>5</v>
      </c>
      <c r="CA259" s="25" t="str">
        <f t="array" ref="CA259">_xlfn.TEXTJOIN("",TRUE,IF(ISERROR(FIND(ROW($1:$10)-1,BY259&amp;BZ259)),ROW($1:$10)-1,""))</f>
        <v>01246789</v>
      </c>
      <c r="CB259" s="26" t="str">
        <f t="shared" si="117"/>
        <v>邻传孤</v>
      </c>
      <c r="CC259" s="27" t="str">
        <f t="shared" si="118"/>
        <v>02</v>
      </c>
      <c r="CD259" s="27" t="str">
        <f t="array" ref="CD259">_xlfn.TEXTJOIN("",TRUE,IF(ISNUMBER(FIND(MID(CC258&amp;R258,ROW($1:$4),1),CC259&amp;R259)),MID(CC258&amp;R258,ROW($1:$4),1),""))</f>
        <v>10</v>
      </c>
      <c r="CE259" s="27" t="str">
        <f t="array" ref="CE259">_xlfn.TEXTJOIN("",TRUE,IF(ISERROR(FIND(ROW($1:$10)-1,CC259&amp;CD259)),ROW($1:$10)-1,""))</f>
        <v>3456789</v>
      </c>
      <c r="CF259" s="17" t="str">
        <f t="shared" si="119"/>
        <v>邻传孤</v>
      </c>
      <c r="CG259" s="22" t="str">
        <f t="shared" si="120"/>
        <v>46</v>
      </c>
      <c r="CH259" s="22" t="str">
        <f t="array" ref="CH259">_xlfn.TEXTJOIN("",TRUE,IF(ISNUMBER(FIND(MID(CG258&amp;S258,ROW($1:$4),1),CG259&amp;S259)),MID(CG258&amp;S258,ROW($1:$4),1),""))</f>
        <v>56</v>
      </c>
      <c r="CI259" s="22" t="str">
        <f t="array" ref="CI259">_xlfn.TEXTJOIN("",TRUE,IF(ISERROR(FIND(ROW($1:$10)-1,CG259&amp;CH259)),ROW($1:$10)-1,""))</f>
        <v>0123789</v>
      </c>
      <c r="CJ259" s="28" t="str">
        <f t="shared" si="121"/>
        <v>邻传孤</v>
      </c>
    </row>
    <row r="260" spans="1:88">
      <c r="A260" s="32">
        <v>2025035</v>
      </c>
      <c r="B260" s="8" t="s">
        <v>194</v>
      </c>
      <c r="C260" s="49">
        <f t="shared" si="135"/>
        <v>22</v>
      </c>
      <c r="D260" s="50">
        <f t="shared" si="136"/>
        <v>2</v>
      </c>
      <c r="E260" s="51">
        <f t="shared" ref="E260:E323" si="142">C260/3</f>
        <v>7.3333333333333304</v>
      </c>
      <c r="F260" s="52">
        <f>MAX(MID(B260,{1,2,3},1)*1)-MIN(MID(B260,{1,2,3},1)*1)</f>
        <v>1</v>
      </c>
      <c r="G260" s="104">
        <v>0</v>
      </c>
      <c r="H260" s="104">
        <v>1</v>
      </c>
      <c r="I260" s="104">
        <v>2</v>
      </c>
      <c r="J260" s="104">
        <v>3</v>
      </c>
      <c r="K260" s="104">
        <v>4</v>
      </c>
      <c r="L260" s="104">
        <v>5</v>
      </c>
      <c r="M260" s="104">
        <v>6</v>
      </c>
      <c r="N260" s="104">
        <v>7</v>
      </c>
      <c r="O260" s="104">
        <v>8</v>
      </c>
      <c r="P260" s="104">
        <v>9</v>
      </c>
      <c r="Q260" s="53">
        <f t="shared" si="137"/>
        <v>0</v>
      </c>
      <c r="R260" s="53">
        <f t="shared" si="138"/>
        <v>1</v>
      </c>
      <c r="S260" s="53">
        <f t="shared" si="139"/>
        <v>1</v>
      </c>
      <c r="T260" s="101">
        <f t="shared" ref="T260:T323" si="143">Q260+R260+S260</f>
        <v>2</v>
      </c>
      <c r="U260" s="15" t="str">
        <f>_xlfn.TEXTJOIN(", ",TRUE,ABS(MID(B260,{1,1,2},1)-MID(B260,{2,3,3},1)))</f>
        <v>0, 1, 1</v>
      </c>
      <c r="V260" s="54">
        <v>0</v>
      </c>
      <c r="W260" s="54">
        <v>1</v>
      </c>
      <c r="X260" s="54">
        <v>2</v>
      </c>
      <c r="Y260" s="54">
        <v>3</v>
      </c>
      <c r="Z260" s="54">
        <v>4</v>
      </c>
      <c r="AA260" s="54">
        <v>5</v>
      </c>
      <c r="AB260" s="54">
        <v>6</v>
      </c>
      <c r="AC260" s="54">
        <v>7</v>
      </c>
      <c r="AD260" s="54">
        <v>8</v>
      </c>
      <c r="AE260" s="54">
        <v>9</v>
      </c>
      <c r="AF260" s="55">
        <v>0</v>
      </c>
      <c r="AG260" s="55">
        <v>1</v>
      </c>
      <c r="AH260" s="55">
        <v>2</v>
      </c>
      <c r="AI260" s="55">
        <v>3</v>
      </c>
      <c r="AJ260" s="55">
        <v>4</v>
      </c>
      <c r="AK260" s="55">
        <v>5</v>
      </c>
      <c r="AL260" s="55">
        <v>6</v>
      </c>
      <c r="AM260" s="55">
        <v>7</v>
      </c>
      <c r="AN260" s="55">
        <v>8</v>
      </c>
      <c r="AO260" s="55">
        <v>9</v>
      </c>
      <c r="AP260" s="105">
        <v>0</v>
      </c>
      <c r="AQ260" s="105">
        <v>1</v>
      </c>
      <c r="AR260" s="105">
        <v>2</v>
      </c>
      <c r="AS260" s="105">
        <v>3</v>
      </c>
      <c r="AT260" s="105">
        <v>4</v>
      </c>
      <c r="AU260" s="105">
        <v>5</v>
      </c>
      <c r="AV260" s="105">
        <v>6</v>
      </c>
      <c r="AW260" s="105">
        <v>7</v>
      </c>
      <c r="AX260" s="105">
        <v>8</v>
      </c>
      <c r="AY260" s="105">
        <v>9</v>
      </c>
      <c r="AZ260" s="56">
        <v>0</v>
      </c>
      <c r="BA260" s="56">
        <v>1</v>
      </c>
      <c r="BB260" s="56">
        <v>2</v>
      </c>
      <c r="BC260" s="56">
        <v>3</v>
      </c>
      <c r="BD260" s="56">
        <v>4</v>
      </c>
      <c r="BE260" s="56">
        <v>5</v>
      </c>
      <c r="BF260" s="56">
        <v>6</v>
      </c>
      <c r="BG260" s="56">
        <v>7</v>
      </c>
      <c r="BH260" s="56">
        <v>8</v>
      </c>
      <c r="BI260" s="56">
        <v>9</v>
      </c>
      <c r="BJ260" s="57" t="str">
        <f t="shared" ref="BJ260:BJ323" si="144">IF(AND(BK260&lt;=1,BL260&lt;=4),"紧凑型",IF(OR(BK260&gt;=3,BL260&gt;=6),"松散型",IF(AND(BK260&gt;=1,BL260&lt;=5),"标准型","对子")))</f>
        <v>紧凑型</v>
      </c>
      <c r="BK260" s="13">
        <f t="shared" si="140"/>
        <v>0</v>
      </c>
      <c r="BL260" s="13">
        <f t="shared" si="141"/>
        <v>1</v>
      </c>
      <c r="BM260" s="18" t="str">
        <f t="shared" si="111"/>
        <v/>
      </c>
      <c r="BN260" s="19">
        <f t="shared" si="112"/>
        <v>0</v>
      </c>
      <c r="BO260" s="19" t="str">
        <f t="array" ref="BO260">_xlfn.TEXTJOIN("",TRUE,IF(ISERROR(FIND(ROW($1:$10)-1,BM260&amp;BN260)),ROW($1:$10)-1,""))</f>
        <v>123456789</v>
      </c>
      <c r="BP260" s="20" t="str">
        <f t="shared" si="113"/>
        <v>中隔中</v>
      </c>
      <c r="BQ260" s="21">
        <f t="shared" si="124"/>
        <v>1</v>
      </c>
      <c r="BR260" s="21" t="str">
        <f t="shared" si="122"/>
        <v/>
      </c>
      <c r="BS260" s="21" t="str">
        <f t="array" ref="BS260">_xlfn.TEXTJOIN("",TRUE,IF(ISERROR(FIND(ROW($1:$10)-1,BQ260&amp;BR260)),ROW($1:$10)-1,""))</f>
        <v>023456789</v>
      </c>
      <c r="BT260" s="20" t="str">
        <f t="shared" si="114"/>
        <v>复中中</v>
      </c>
      <c r="BU260" s="22">
        <f t="shared" si="115"/>
        <v>1</v>
      </c>
      <c r="BV260" s="22" t="str">
        <f t="shared" si="123"/>
        <v/>
      </c>
      <c r="BW260" s="22" t="str">
        <f t="array" ref="BW260">_xlfn.TEXTJOIN("",TRUE,IF(ISERROR(FIND(ROW($1:$10)-1,BU260&amp;BV260)),ROW($1:$10)-1,""))</f>
        <v>023456789</v>
      </c>
      <c r="BX260" s="20" t="str">
        <f t="shared" si="116"/>
        <v>复中中</v>
      </c>
      <c r="BY260" s="23" t="str">
        <f t="shared" ref="BY260:BY323" si="145">IF(Q260=0,9,Q260-1)&amp;""&amp;IF(Q260=9,0,Q260+1)</f>
        <v>91</v>
      </c>
      <c r="BZ260" s="24" t="str">
        <f t="array" ref="BZ260">_xlfn.TEXTJOIN("",TRUE,IF(ISNUMBER(FIND(MID(BY259&amp;Q259,ROW($1:$4),1),BY260&amp;Q260)),MID(BY259&amp;Q259,ROW($1:$4),1),""))</f>
        <v/>
      </c>
      <c r="CA260" s="25" t="str">
        <f t="array" ref="CA260">_xlfn.TEXTJOIN("",TRUE,IF(ISERROR(FIND(ROW($1:$10)-1,BY260&amp;BZ260)),ROW($1:$10)-1,""))</f>
        <v>02345678</v>
      </c>
      <c r="CB260" s="26" t="str">
        <f t="shared" si="117"/>
        <v>邻孤孤</v>
      </c>
      <c r="CC260" s="27" t="str">
        <f t="shared" si="118"/>
        <v>02</v>
      </c>
      <c r="CD260" s="27" t="str">
        <f t="array" ref="CD260">_xlfn.TEXTJOIN("",TRUE,IF(ISNUMBER(FIND(MID(CC259&amp;R259,ROW($1:$4),1),CC260&amp;R260)),MID(CC259&amp;R259,ROW($1:$4),1),""))</f>
        <v>021</v>
      </c>
      <c r="CE260" s="27" t="str">
        <f t="array" ref="CE260">_xlfn.TEXTJOIN("",TRUE,IF(ISERROR(FIND(ROW($1:$10)-1,CC260&amp;CD260)),ROW($1:$10)-1,""))</f>
        <v>3456789</v>
      </c>
      <c r="CF260" s="17" t="str">
        <f t="shared" si="119"/>
        <v>邻传孤</v>
      </c>
      <c r="CG260" s="22" t="str">
        <f t="shared" si="120"/>
        <v>02</v>
      </c>
      <c r="CH260" s="22" t="str">
        <f t="array" ref="CH260">_xlfn.TEXTJOIN("",TRUE,IF(ISNUMBER(FIND(MID(CG259&amp;S259,ROW($1:$4),1),CG260&amp;S260)),MID(CG259&amp;S259,ROW($1:$4),1),""))</f>
        <v/>
      </c>
      <c r="CI260" s="22" t="str">
        <f t="array" ref="CI260">_xlfn.TEXTJOIN("",TRUE,IF(ISERROR(FIND(ROW($1:$10)-1,CG260&amp;CH260)),ROW($1:$10)-1,""))</f>
        <v>13456789</v>
      </c>
      <c r="CJ260" s="28" t="str">
        <f t="shared" si="121"/>
        <v>邻孤孤</v>
      </c>
    </row>
    <row r="261" spans="1:88">
      <c r="A261" s="32">
        <v>2025036</v>
      </c>
      <c r="B261" s="8" t="s">
        <v>243</v>
      </c>
      <c r="C261" s="49">
        <f t="shared" si="135"/>
        <v>14</v>
      </c>
      <c r="D261" s="50">
        <f t="shared" si="136"/>
        <v>4</v>
      </c>
      <c r="E261" s="51">
        <f t="shared" si="142"/>
        <v>4.6666666666666696</v>
      </c>
      <c r="F261" s="52">
        <f>MAX(MID(B261,{1,2,3},1)*1)-MIN(MID(B261,{1,2,3},1)*1)</f>
        <v>6</v>
      </c>
      <c r="G261" s="104">
        <v>0</v>
      </c>
      <c r="H261" s="104">
        <v>1</v>
      </c>
      <c r="I261" s="104">
        <v>2</v>
      </c>
      <c r="J261" s="104">
        <v>3</v>
      </c>
      <c r="K261" s="104">
        <v>4</v>
      </c>
      <c r="L261" s="104">
        <v>5</v>
      </c>
      <c r="M261" s="104">
        <v>6</v>
      </c>
      <c r="N261" s="104">
        <v>7</v>
      </c>
      <c r="O261" s="104">
        <v>8</v>
      </c>
      <c r="P261" s="104">
        <v>9</v>
      </c>
      <c r="Q261" s="53">
        <f t="shared" si="137"/>
        <v>5</v>
      </c>
      <c r="R261" s="53">
        <f t="shared" si="138"/>
        <v>1</v>
      </c>
      <c r="S261" s="53">
        <f t="shared" si="139"/>
        <v>6</v>
      </c>
      <c r="T261" s="101">
        <f t="shared" si="143"/>
        <v>12</v>
      </c>
      <c r="U261" s="15" t="str">
        <f>_xlfn.TEXTJOIN(", ",TRUE,ABS(MID(B261,{1,1,2},1)-MID(B261,{2,3,3},1)))</f>
        <v>5, 1, 6</v>
      </c>
      <c r="V261" s="54">
        <v>0</v>
      </c>
      <c r="W261" s="54">
        <v>1</v>
      </c>
      <c r="X261" s="54">
        <v>2</v>
      </c>
      <c r="Y261" s="54">
        <v>3</v>
      </c>
      <c r="Z261" s="54">
        <v>4</v>
      </c>
      <c r="AA261" s="54">
        <v>5</v>
      </c>
      <c r="AB261" s="54">
        <v>6</v>
      </c>
      <c r="AC261" s="54">
        <v>7</v>
      </c>
      <c r="AD261" s="54">
        <v>8</v>
      </c>
      <c r="AE261" s="54">
        <v>9</v>
      </c>
      <c r="AF261" s="55">
        <v>0</v>
      </c>
      <c r="AG261" s="55">
        <v>1</v>
      </c>
      <c r="AH261" s="55">
        <v>2</v>
      </c>
      <c r="AI261" s="55">
        <v>3</v>
      </c>
      <c r="AJ261" s="55">
        <v>4</v>
      </c>
      <c r="AK261" s="55">
        <v>5</v>
      </c>
      <c r="AL261" s="55">
        <v>6</v>
      </c>
      <c r="AM261" s="55">
        <v>7</v>
      </c>
      <c r="AN261" s="55">
        <v>8</v>
      </c>
      <c r="AO261" s="55">
        <v>9</v>
      </c>
      <c r="AP261" s="105">
        <v>0</v>
      </c>
      <c r="AQ261" s="105">
        <v>1</v>
      </c>
      <c r="AR261" s="105">
        <v>2</v>
      </c>
      <c r="AS261" s="105">
        <v>3</v>
      </c>
      <c r="AT261" s="105">
        <v>4</v>
      </c>
      <c r="AU261" s="105">
        <v>5</v>
      </c>
      <c r="AV261" s="105">
        <v>6</v>
      </c>
      <c r="AW261" s="105">
        <v>7</v>
      </c>
      <c r="AX261" s="105">
        <v>8</v>
      </c>
      <c r="AY261" s="105">
        <v>9</v>
      </c>
      <c r="AZ261" s="56">
        <v>0</v>
      </c>
      <c r="BA261" s="56">
        <v>1</v>
      </c>
      <c r="BB261" s="56">
        <v>2</v>
      </c>
      <c r="BC261" s="56">
        <v>3</v>
      </c>
      <c r="BD261" s="56">
        <v>4</v>
      </c>
      <c r="BE261" s="56">
        <v>5</v>
      </c>
      <c r="BF261" s="56">
        <v>6</v>
      </c>
      <c r="BG261" s="56">
        <v>7</v>
      </c>
      <c r="BH261" s="56">
        <v>8</v>
      </c>
      <c r="BI261" s="56">
        <v>9</v>
      </c>
      <c r="BJ261" s="57" t="str">
        <f t="shared" si="144"/>
        <v>松散型</v>
      </c>
      <c r="BK261" s="13">
        <f t="shared" si="140"/>
        <v>1</v>
      </c>
      <c r="BL261" s="13">
        <f t="shared" si="141"/>
        <v>6</v>
      </c>
      <c r="BM261" s="18" t="str">
        <f t="shared" ref="BM261:BM324" si="146">IF(COUNTIF($Q260:$S260,Q261)&gt;0,Q261,"")</f>
        <v/>
      </c>
      <c r="BN261" s="19">
        <f t="shared" ref="BN261:BN324" si="147">IF(COUNTIF($Q259:$S259,Q261)&gt;0,Q261,"")</f>
        <v>5</v>
      </c>
      <c r="BO261" s="19" t="str">
        <f t="array" ref="BO261">_xlfn.TEXTJOIN("",TRUE,IF(ISERROR(FIND(ROW($1:$10)-1,BM261&amp;BN261)),ROW($1:$10)-1,""))</f>
        <v>012346789</v>
      </c>
      <c r="BP261" s="20" t="str">
        <f t="shared" ref="BP261:BP324" si="148">IF(BM261&lt;&gt;"","复","中")&amp;IF(BN261&lt;&gt;"","隔","中")&amp;"中"</f>
        <v>中隔中</v>
      </c>
      <c r="BQ261" s="21">
        <f t="shared" si="124"/>
        <v>1</v>
      </c>
      <c r="BR261" s="21">
        <f t="shared" si="122"/>
        <v>1</v>
      </c>
      <c r="BS261" s="21" t="str">
        <f t="array" ref="BS261">_xlfn.TEXTJOIN("",TRUE,IF(ISERROR(FIND(ROW($1:$10)-1,BQ261&amp;BR261)),ROW($1:$10)-1,""))</f>
        <v>023456789</v>
      </c>
      <c r="BT261" s="20" t="str">
        <f t="shared" ref="BT261:BT324" si="149">IF(BQ261&lt;&gt;"","复","中")&amp;IF(BR261&lt;&gt;"","隔","中")&amp;"中"</f>
        <v>复隔中</v>
      </c>
      <c r="BU261" s="22" t="str">
        <f t="shared" ref="BU261:BU324" si="150">IF(COUNTIF($Q260:$S260,S261)&gt;0,S261,"")</f>
        <v/>
      </c>
      <c r="BV261" s="22" t="str">
        <f t="shared" si="123"/>
        <v/>
      </c>
      <c r="BW261" s="22" t="str">
        <f t="array" ref="BW261">_xlfn.TEXTJOIN("",TRUE,IF(ISERROR(FIND(ROW($1:$10)-1,BU261&amp;BV261)),ROW($1:$10)-1,""))</f>
        <v>0123456789</v>
      </c>
      <c r="BX261" s="20" t="str">
        <f t="shared" ref="BX261:BX324" si="151">IF(BU261&lt;&gt;"","复","中")&amp;IF(BV261&lt;&gt;"","隔","中")&amp;"中"</f>
        <v>中中中</v>
      </c>
      <c r="BY261" s="23" t="str">
        <f t="shared" si="145"/>
        <v>46</v>
      </c>
      <c r="BZ261" s="24" t="str">
        <f t="array" ref="BZ261">_xlfn.TEXTJOIN("",TRUE,IF(ISNUMBER(FIND(MID(BY260&amp;Q260,ROW($1:$4),1),BY261&amp;Q261)),MID(BY260&amp;Q260,ROW($1:$4),1),""))</f>
        <v/>
      </c>
      <c r="CA261" s="25" t="str">
        <f t="array" ref="CA261">_xlfn.TEXTJOIN("",TRUE,IF(ISERROR(FIND(ROW($1:$10)-1,BY261&amp;BZ261)),ROW($1:$10)-1,""))</f>
        <v>01235789</v>
      </c>
      <c r="CB261" s="26" t="str">
        <f t="shared" ref="CB261:CB324" si="152">IF(BY261&lt;&gt;"","邻","孤")&amp;IF(BZ261&lt;&gt;"","传","孤")&amp;"孤"</f>
        <v>邻孤孤</v>
      </c>
      <c r="CC261" s="27" t="str">
        <f t="shared" ref="CC261:CC324" si="153">IF(R261=0,9,R261-1)&amp;""&amp;IF(R261=9,0,R261+1)</f>
        <v>02</v>
      </c>
      <c r="CD261" s="27" t="str">
        <f t="array" ref="CD261">_xlfn.TEXTJOIN("",TRUE,IF(ISNUMBER(FIND(MID(CC260&amp;R260,ROW($1:$4),1),CC261&amp;R261)),MID(CC260&amp;R260,ROW($1:$4),1),""))</f>
        <v>021</v>
      </c>
      <c r="CE261" s="27" t="str">
        <f t="array" ref="CE261">_xlfn.TEXTJOIN("",TRUE,IF(ISERROR(FIND(ROW($1:$10)-1,CC261&amp;CD261)),ROW($1:$10)-1,""))</f>
        <v>3456789</v>
      </c>
      <c r="CF261" s="17" t="str">
        <f t="shared" ref="CF261:CF324" si="154">IF(CC261&lt;&gt;"","邻","孤")&amp;IF(CD261&lt;&gt;"","传","孤")&amp;"孤"</f>
        <v>邻传孤</v>
      </c>
      <c r="CG261" s="22" t="str">
        <f t="shared" ref="CG261:CG324" si="155">IF(S261=0,9,S261-1)&amp;""&amp;IF(S261=9,0,S261+1)</f>
        <v>57</v>
      </c>
      <c r="CH261" s="22" t="str">
        <f t="array" ref="CH261">_xlfn.TEXTJOIN("",TRUE,IF(ISNUMBER(FIND(MID(CG260&amp;S260,ROW($1:$4),1),CG261&amp;S261)),MID(CG260&amp;S260,ROW($1:$4),1),""))</f>
        <v/>
      </c>
      <c r="CI261" s="22" t="str">
        <f t="array" ref="CI261">_xlfn.TEXTJOIN("",TRUE,IF(ISERROR(FIND(ROW($1:$10)-1,CG261&amp;CH261)),ROW($1:$10)-1,""))</f>
        <v>01234689</v>
      </c>
      <c r="CJ261" s="28" t="str">
        <f t="shared" ref="CJ261:CJ324" si="156">IF(CG261&lt;&gt;"","邻","孤")&amp;IF(CH261&lt;&gt;"","传","孤")&amp;"孤"</f>
        <v>邻孤孤</v>
      </c>
    </row>
    <row r="262" spans="1:88">
      <c r="A262" s="32">
        <v>2025037</v>
      </c>
      <c r="B262" s="8" t="s">
        <v>244</v>
      </c>
      <c r="C262" s="49">
        <f t="shared" si="135"/>
        <v>5</v>
      </c>
      <c r="D262" s="50">
        <f t="shared" si="136"/>
        <v>5</v>
      </c>
      <c r="E262" s="51">
        <f t="shared" si="142"/>
        <v>1.6666666666666701</v>
      </c>
      <c r="F262" s="52">
        <f>MAX(MID(B262,{1,2,3},1)*1)-MIN(MID(B262,{1,2,3},1)*1)</f>
        <v>2</v>
      </c>
      <c r="G262" s="104">
        <v>0</v>
      </c>
      <c r="H262" s="104">
        <v>1</v>
      </c>
      <c r="I262" s="104">
        <v>2</v>
      </c>
      <c r="J262" s="104">
        <v>3</v>
      </c>
      <c r="K262" s="104">
        <v>4</v>
      </c>
      <c r="L262" s="104">
        <v>5</v>
      </c>
      <c r="M262" s="104">
        <v>6</v>
      </c>
      <c r="N262" s="104">
        <v>7</v>
      </c>
      <c r="O262" s="104">
        <v>8</v>
      </c>
      <c r="P262" s="104">
        <v>9</v>
      </c>
      <c r="Q262" s="53">
        <f t="shared" si="137"/>
        <v>2</v>
      </c>
      <c r="R262" s="53">
        <f t="shared" si="138"/>
        <v>0</v>
      </c>
      <c r="S262" s="53">
        <f t="shared" si="139"/>
        <v>2</v>
      </c>
      <c r="T262" s="101">
        <f t="shared" si="143"/>
        <v>4</v>
      </c>
      <c r="U262" s="15" t="str">
        <f>_xlfn.TEXTJOIN(", ",TRUE,ABS(MID(B262,{1,1,2},1)-MID(B262,{2,3,3},1)))</f>
        <v>2, 0, 2</v>
      </c>
      <c r="V262" s="54">
        <v>0</v>
      </c>
      <c r="W262" s="54">
        <v>1</v>
      </c>
      <c r="X262" s="54">
        <v>2</v>
      </c>
      <c r="Y262" s="54">
        <v>3</v>
      </c>
      <c r="Z262" s="54">
        <v>4</v>
      </c>
      <c r="AA262" s="54">
        <v>5</v>
      </c>
      <c r="AB262" s="54">
        <v>6</v>
      </c>
      <c r="AC262" s="54">
        <v>7</v>
      </c>
      <c r="AD262" s="54">
        <v>8</v>
      </c>
      <c r="AE262" s="54">
        <v>9</v>
      </c>
      <c r="AF262" s="55">
        <v>0</v>
      </c>
      <c r="AG262" s="55">
        <v>1</v>
      </c>
      <c r="AH262" s="55">
        <v>2</v>
      </c>
      <c r="AI262" s="55">
        <v>3</v>
      </c>
      <c r="AJ262" s="55">
        <v>4</v>
      </c>
      <c r="AK262" s="55">
        <v>5</v>
      </c>
      <c r="AL262" s="55">
        <v>6</v>
      </c>
      <c r="AM262" s="55">
        <v>7</v>
      </c>
      <c r="AN262" s="55">
        <v>8</v>
      </c>
      <c r="AO262" s="55">
        <v>9</v>
      </c>
      <c r="AP262" s="105">
        <v>0</v>
      </c>
      <c r="AQ262" s="105">
        <v>1</v>
      </c>
      <c r="AR262" s="105">
        <v>2</v>
      </c>
      <c r="AS262" s="105">
        <v>3</v>
      </c>
      <c r="AT262" s="105">
        <v>4</v>
      </c>
      <c r="AU262" s="105">
        <v>5</v>
      </c>
      <c r="AV262" s="105">
        <v>6</v>
      </c>
      <c r="AW262" s="105">
        <v>7</v>
      </c>
      <c r="AX262" s="105">
        <v>8</v>
      </c>
      <c r="AY262" s="105">
        <v>9</v>
      </c>
      <c r="AZ262" s="56">
        <v>0</v>
      </c>
      <c r="BA262" s="56">
        <v>1</v>
      </c>
      <c r="BB262" s="56">
        <v>2</v>
      </c>
      <c r="BC262" s="56">
        <v>3</v>
      </c>
      <c r="BD262" s="56">
        <v>4</v>
      </c>
      <c r="BE262" s="56">
        <v>5</v>
      </c>
      <c r="BF262" s="56">
        <v>6</v>
      </c>
      <c r="BG262" s="56">
        <v>7</v>
      </c>
      <c r="BH262" s="56">
        <v>8</v>
      </c>
      <c r="BI262" s="56">
        <v>9</v>
      </c>
      <c r="BJ262" s="57" t="str">
        <f t="shared" si="144"/>
        <v>紧凑型</v>
      </c>
      <c r="BK262" s="13">
        <f t="shared" si="140"/>
        <v>0</v>
      </c>
      <c r="BL262" s="13">
        <f t="shared" si="141"/>
        <v>2</v>
      </c>
      <c r="BM262" s="18" t="str">
        <f t="shared" si="146"/>
        <v/>
      </c>
      <c r="BN262" s="19" t="str">
        <f t="shared" si="147"/>
        <v/>
      </c>
      <c r="BO262" s="19" t="str">
        <f t="array" ref="BO262">_xlfn.TEXTJOIN("",TRUE,IF(ISERROR(FIND(ROW($1:$10)-1,BM262&amp;BN262)),ROW($1:$10)-1,""))</f>
        <v>0123456789</v>
      </c>
      <c r="BP262" s="20" t="str">
        <f t="shared" si="148"/>
        <v>中中中</v>
      </c>
      <c r="BQ262" s="21" t="str">
        <f t="shared" si="124"/>
        <v/>
      </c>
      <c r="BR262" s="21">
        <f t="shared" ref="BR262:BR325" si="157">IF(COUNTIF($Q260:$S260,R262)&gt;0,R262,"")</f>
        <v>0</v>
      </c>
      <c r="BS262" s="21" t="str">
        <f t="array" ref="BS262">_xlfn.TEXTJOIN("",TRUE,IF(ISERROR(FIND(ROW($1:$10)-1,BQ262&amp;BR262)),ROW($1:$10)-1,""))</f>
        <v>123456789</v>
      </c>
      <c r="BT262" s="20" t="str">
        <f t="shared" si="149"/>
        <v>中隔中</v>
      </c>
      <c r="BU262" s="22" t="str">
        <f t="shared" si="150"/>
        <v/>
      </c>
      <c r="BV262" s="22" t="str">
        <f t="shared" ref="BV262:BV325" si="158">IF(COUNTIF($Q260:$S260,S262)&gt;0,S262,"")</f>
        <v/>
      </c>
      <c r="BW262" s="22" t="str">
        <f t="array" ref="BW262">_xlfn.TEXTJOIN("",TRUE,IF(ISERROR(FIND(ROW($1:$10)-1,BU262&amp;BV262)),ROW($1:$10)-1,""))</f>
        <v>0123456789</v>
      </c>
      <c r="BX262" s="20" t="str">
        <f t="shared" si="151"/>
        <v>中中中</v>
      </c>
      <c r="BY262" s="23" t="str">
        <f t="shared" si="145"/>
        <v>13</v>
      </c>
      <c r="BZ262" s="24" t="str">
        <f t="array" ref="BZ262">_xlfn.TEXTJOIN("",TRUE,IF(ISNUMBER(FIND(MID(BY261&amp;Q261,ROW($1:$4),1),BY262&amp;Q262)),MID(BY261&amp;Q261,ROW($1:$4),1),""))</f>
        <v/>
      </c>
      <c r="CA262" s="25" t="str">
        <f t="array" ref="CA262">_xlfn.TEXTJOIN("",TRUE,IF(ISERROR(FIND(ROW($1:$10)-1,BY262&amp;BZ262)),ROW($1:$10)-1,""))</f>
        <v>02456789</v>
      </c>
      <c r="CB262" s="26" t="str">
        <f t="shared" si="152"/>
        <v>邻孤孤</v>
      </c>
      <c r="CC262" s="27" t="str">
        <f t="shared" si="153"/>
        <v>91</v>
      </c>
      <c r="CD262" s="27" t="str">
        <f t="array" ref="CD262">_xlfn.TEXTJOIN("",TRUE,IF(ISNUMBER(FIND(MID(CC261&amp;R261,ROW($1:$4),1),CC262&amp;R262)),MID(CC261&amp;R261,ROW($1:$4),1),""))</f>
        <v>01</v>
      </c>
      <c r="CE262" s="27" t="str">
        <f t="array" ref="CE262">_xlfn.TEXTJOIN("",TRUE,IF(ISERROR(FIND(ROW($1:$10)-1,CC262&amp;CD262)),ROW($1:$10)-1,""))</f>
        <v>2345678</v>
      </c>
      <c r="CF262" s="17" t="str">
        <f t="shared" si="154"/>
        <v>邻传孤</v>
      </c>
      <c r="CG262" s="22" t="str">
        <f t="shared" si="155"/>
        <v>13</v>
      </c>
      <c r="CH262" s="22" t="str">
        <f t="array" ref="CH262">_xlfn.TEXTJOIN("",TRUE,IF(ISNUMBER(FIND(MID(CG261&amp;S261,ROW($1:$4),1),CG262&amp;S262)),MID(CG261&amp;S261,ROW($1:$4),1),""))</f>
        <v/>
      </c>
      <c r="CI262" s="22" t="str">
        <f t="array" ref="CI262">_xlfn.TEXTJOIN("",TRUE,IF(ISERROR(FIND(ROW($1:$10)-1,CG262&amp;CH262)),ROW($1:$10)-1,""))</f>
        <v>02456789</v>
      </c>
      <c r="CJ262" s="28" t="str">
        <f t="shared" si="156"/>
        <v>邻孤孤</v>
      </c>
    </row>
    <row r="263" spans="1:88">
      <c r="A263" s="32">
        <v>2025038</v>
      </c>
      <c r="B263" s="8" t="s">
        <v>245</v>
      </c>
      <c r="C263" s="49">
        <f t="shared" si="135"/>
        <v>19</v>
      </c>
      <c r="D263" s="50">
        <f t="shared" si="136"/>
        <v>9</v>
      </c>
      <c r="E263" s="51">
        <f t="shared" si="142"/>
        <v>6.3333333333333304</v>
      </c>
      <c r="F263" s="52">
        <f>MAX(MID(B263,{1,2,3},1)*1)-MIN(MID(B263,{1,2,3},1)*1)</f>
        <v>4</v>
      </c>
      <c r="G263" s="104">
        <v>0</v>
      </c>
      <c r="H263" s="104">
        <v>1</v>
      </c>
      <c r="I263" s="104">
        <v>2</v>
      </c>
      <c r="J263" s="104">
        <v>3</v>
      </c>
      <c r="K263" s="104">
        <v>4</v>
      </c>
      <c r="L263" s="104">
        <v>5</v>
      </c>
      <c r="M263" s="104">
        <v>6</v>
      </c>
      <c r="N263" s="104">
        <v>7</v>
      </c>
      <c r="O263" s="104">
        <v>8</v>
      </c>
      <c r="P263" s="104">
        <v>9</v>
      </c>
      <c r="Q263" s="53">
        <f t="shared" si="137"/>
        <v>4</v>
      </c>
      <c r="R263" s="53">
        <f t="shared" si="138"/>
        <v>1</v>
      </c>
      <c r="S263" s="53">
        <f t="shared" si="139"/>
        <v>3</v>
      </c>
      <c r="T263" s="101">
        <f t="shared" si="143"/>
        <v>8</v>
      </c>
      <c r="U263" s="15" t="str">
        <f>_xlfn.TEXTJOIN(", ",TRUE,ABS(MID(B263,{1,1,2},1)-MID(B263,{2,3,3},1)))</f>
        <v>4, 1, 3</v>
      </c>
      <c r="V263" s="54">
        <v>0</v>
      </c>
      <c r="W263" s="54">
        <v>1</v>
      </c>
      <c r="X263" s="54">
        <v>2</v>
      </c>
      <c r="Y263" s="54">
        <v>3</v>
      </c>
      <c r="Z263" s="54">
        <v>4</v>
      </c>
      <c r="AA263" s="54">
        <v>5</v>
      </c>
      <c r="AB263" s="54">
        <v>6</v>
      </c>
      <c r="AC263" s="54">
        <v>7</v>
      </c>
      <c r="AD263" s="54">
        <v>8</v>
      </c>
      <c r="AE263" s="54">
        <v>9</v>
      </c>
      <c r="AF263" s="55">
        <v>0</v>
      </c>
      <c r="AG263" s="55">
        <v>1</v>
      </c>
      <c r="AH263" s="55">
        <v>2</v>
      </c>
      <c r="AI263" s="55">
        <v>3</v>
      </c>
      <c r="AJ263" s="55">
        <v>4</v>
      </c>
      <c r="AK263" s="55">
        <v>5</v>
      </c>
      <c r="AL263" s="55">
        <v>6</v>
      </c>
      <c r="AM263" s="55">
        <v>7</v>
      </c>
      <c r="AN263" s="55">
        <v>8</v>
      </c>
      <c r="AO263" s="55">
        <v>9</v>
      </c>
      <c r="AP263" s="105">
        <v>0</v>
      </c>
      <c r="AQ263" s="105">
        <v>1</v>
      </c>
      <c r="AR263" s="105">
        <v>2</v>
      </c>
      <c r="AS263" s="105">
        <v>3</v>
      </c>
      <c r="AT263" s="105">
        <v>4</v>
      </c>
      <c r="AU263" s="105">
        <v>5</v>
      </c>
      <c r="AV263" s="105">
        <v>6</v>
      </c>
      <c r="AW263" s="105">
        <v>7</v>
      </c>
      <c r="AX263" s="105">
        <v>8</v>
      </c>
      <c r="AY263" s="105">
        <v>9</v>
      </c>
      <c r="AZ263" s="56">
        <v>0</v>
      </c>
      <c r="BA263" s="56">
        <v>1</v>
      </c>
      <c r="BB263" s="56">
        <v>2</v>
      </c>
      <c r="BC263" s="56">
        <v>3</v>
      </c>
      <c r="BD263" s="56">
        <v>4</v>
      </c>
      <c r="BE263" s="56">
        <v>5</v>
      </c>
      <c r="BF263" s="56">
        <v>6</v>
      </c>
      <c r="BG263" s="56">
        <v>7</v>
      </c>
      <c r="BH263" s="56">
        <v>8</v>
      </c>
      <c r="BI263" s="56">
        <v>9</v>
      </c>
      <c r="BJ263" s="57" t="str">
        <f t="shared" si="144"/>
        <v>紧凑型</v>
      </c>
      <c r="BK263" s="13">
        <f t="shared" si="140"/>
        <v>1</v>
      </c>
      <c r="BL263" s="13">
        <f t="shared" si="141"/>
        <v>4</v>
      </c>
      <c r="BM263" s="18" t="str">
        <f t="shared" si="146"/>
        <v/>
      </c>
      <c r="BN263" s="19" t="str">
        <f t="shared" si="147"/>
        <v/>
      </c>
      <c r="BO263" s="19" t="str">
        <f t="array" ref="BO263">_xlfn.TEXTJOIN("",TRUE,IF(ISERROR(FIND(ROW($1:$10)-1,BM263&amp;BN263)),ROW($1:$10)-1,""))</f>
        <v>0123456789</v>
      </c>
      <c r="BP263" s="20" t="str">
        <f t="shared" si="148"/>
        <v>中中中</v>
      </c>
      <c r="BQ263" s="21" t="str">
        <f t="shared" si="124"/>
        <v/>
      </c>
      <c r="BR263" s="21">
        <f t="shared" si="157"/>
        <v>1</v>
      </c>
      <c r="BS263" s="21" t="str">
        <f t="array" ref="BS263">_xlfn.TEXTJOIN("",TRUE,IF(ISERROR(FIND(ROW($1:$10)-1,BQ263&amp;BR263)),ROW($1:$10)-1,""))</f>
        <v>023456789</v>
      </c>
      <c r="BT263" s="20" t="str">
        <f t="shared" si="149"/>
        <v>中隔中</v>
      </c>
      <c r="BU263" s="22" t="str">
        <f t="shared" si="150"/>
        <v/>
      </c>
      <c r="BV263" s="22" t="str">
        <f t="shared" si="158"/>
        <v/>
      </c>
      <c r="BW263" s="22" t="str">
        <f t="array" ref="BW263">_xlfn.TEXTJOIN("",TRUE,IF(ISERROR(FIND(ROW($1:$10)-1,BU263&amp;BV263)),ROW($1:$10)-1,""))</f>
        <v>0123456789</v>
      </c>
      <c r="BX263" s="20" t="str">
        <f t="shared" si="151"/>
        <v>中中中</v>
      </c>
      <c r="BY263" s="23" t="str">
        <f t="shared" si="145"/>
        <v>35</v>
      </c>
      <c r="BZ263" s="24" t="str">
        <f t="array" ref="BZ263">_xlfn.TEXTJOIN("",TRUE,IF(ISNUMBER(FIND(MID(BY262&amp;Q262,ROW($1:$4),1),BY263&amp;Q263)),MID(BY262&amp;Q262,ROW($1:$4),1),""))</f>
        <v>3</v>
      </c>
      <c r="CA263" s="25" t="str">
        <f t="array" ref="CA263">_xlfn.TEXTJOIN("",TRUE,IF(ISERROR(FIND(ROW($1:$10)-1,BY263&amp;BZ263)),ROW($1:$10)-1,""))</f>
        <v>01246789</v>
      </c>
      <c r="CB263" s="26" t="str">
        <f t="shared" si="152"/>
        <v>邻传孤</v>
      </c>
      <c r="CC263" s="27" t="str">
        <f t="shared" si="153"/>
        <v>02</v>
      </c>
      <c r="CD263" s="27" t="str">
        <f t="array" ref="CD263">_xlfn.TEXTJOIN("",TRUE,IF(ISNUMBER(FIND(MID(CC262&amp;R262,ROW($1:$4),1),CC263&amp;R263)),MID(CC262&amp;R262,ROW($1:$4),1),""))</f>
        <v>10</v>
      </c>
      <c r="CE263" s="27" t="str">
        <f t="array" ref="CE263">_xlfn.TEXTJOIN("",TRUE,IF(ISERROR(FIND(ROW($1:$10)-1,CC263&amp;CD263)),ROW($1:$10)-1,""))</f>
        <v>3456789</v>
      </c>
      <c r="CF263" s="17" t="str">
        <f t="shared" si="154"/>
        <v>邻传孤</v>
      </c>
      <c r="CG263" s="22" t="str">
        <f t="shared" si="155"/>
        <v>24</v>
      </c>
      <c r="CH263" s="22" t="str">
        <f t="array" ref="CH263">_xlfn.TEXTJOIN("",TRUE,IF(ISNUMBER(FIND(MID(CG262&amp;S262,ROW($1:$4),1),CG263&amp;S263)),MID(CG262&amp;S262,ROW($1:$4),1),""))</f>
        <v>32</v>
      </c>
      <c r="CI263" s="22" t="str">
        <f t="array" ref="CI263">_xlfn.TEXTJOIN("",TRUE,IF(ISERROR(FIND(ROW($1:$10)-1,CG263&amp;CH263)),ROW($1:$10)-1,""))</f>
        <v>0156789</v>
      </c>
      <c r="CJ263" s="28" t="str">
        <f t="shared" si="156"/>
        <v>邻传孤</v>
      </c>
    </row>
    <row r="264" spans="1:88">
      <c r="A264" s="32">
        <v>2025039</v>
      </c>
      <c r="B264" s="8" t="s">
        <v>246</v>
      </c>
      <c r="C264" s="49">
        <f t="shared" si="135"/>
        <v>14</v>
      </c>
      <c r="D264" s="50">
        <f t="shared" si="136"/>
        <v>4</v>
      </c>
      <c r="E264" s="51">
        <f t="shared" si="142"/>
        <v>4.6666666666666696</v>
      </c>
      <c r="F264" s="52">
        <f>MAX(MID(B264,{1,2,3},1)*1)-MIN(MID(B264,{1,2,3},1)*1)</f>
        <v>7</v>
      </c>
      <c r="G264" s="104">
        <v>0</v>
      </c>
      <c r="H264" s="104">
        <v>1</v>
      </c>
      <c r="I264" s="104">
        <v>2</v>
      </c>
      <c r="J264" s="104">
        <v>3</v>
      </c>
      <c r="K264" s="104">
        <v>4</v>
      </c>
      <c r="L264" s="104">
        <v>5</v>
      </c>
      <c r="M264" s="104">
        <v>6</v>
      </c>
      <c r="N264" s="104">
        <v>7</v>
      </c>
      <c r="O264" s="104">
        <v>8</v>
      </c>
      <c r="P264" s="104">
        <v>9</v>
      </c>
      <c r="Q264" s="53">
        <f t="shared" si="137"/>
        <v>6</v>
      </c>
      <c r="R264" s="53">
        <f t="shared" si="138"/>
        <v>7</v>
      </c>
      <c r="S264" s="53">
        <f t="shared" si="139"/>
        <v>1</v>
      </c>
      <c r="T264" s="101">
        <f t="shared" si="143"/>
        <v>14</v>
      </c>
      <c r="U264" s="15" t="str">
        <f>_xlfn.TEXTJOIN(", ",TRUE,ABS(MID(B264,{1,1,2},1)-MID(B264,{2,3,3},1)))</f>
        <v>6, 7, 1</v>
      </c>
      <c r="V264" s="54">
        <v>0</v>
      </c>
      <c r="W264" s="54">
        <v>1</v>
      </c>
      <c r="X264" s="54">
        <v>2</v>
      </c>
      <c r="Y264" s="54">
        <v>3</v>
      </c>
      <c r="Z264" s="54">
        <v>4</v>
      </c>
      <c r="AA264" s="54">
        <v>5</v>
      </c>
      <c r="AB264" s="54">
        <v>6</v>
      </c>
      <c r="AC264" s="54">
        <v>7</v>
      </c>
      <c r="AD264" s="54">
        <v>8</v>
      </c>
      <c r="AE264" s="54">
        <v>9</v>
      </c>
      <c r="AF264" s="55">
        <v>0</v>
      </c>
      <c r="AG264" s="55">
        <v>1</v>
      </c>
      <c r="AH264" s="55">
        <v>2</v>
      </c>
      <c r="AI264" s="55">
        <v>3</v>
      </c>
      <c r="AJ264" s="55">
        <v>4</v>
      </c>
      <c r="AK264" s="55">
        <v>5</v>
      </c>
      <c r="AL264" s="55">
        <v>6</v>
      </c>
      <c r="AM264" s="55">
        <v>7</v>
      </c>
      <c r="AN264" s="55">
        <v>8</v>
      </c>
      <c r="AO264" s="55">
        <v>9</v>
      </c>
      <c r="AP264" s="105">
        <v>0</v>
      </c>
      <c r="AQ264" s="105">
        <v>1</v>
      </c>
      <c r="AR264" s="105">
        <v>2</v>
      </c>
      <c r="AS264" s="105">
        <v>3</v>
      </c>
      <c r="AT264" s="105">
        <v>4</v>
      </c>
      <c r="AU264" s="105">
        <v>5</v>
      </c>
      <c r="AV264" s="105">
        <v>6</v>
      </c>
      <c r="AW264" s="105">
        <v>7</v>
      </c>
      <c r="AX264" s="105">
        <v>8</v>
      </c>
      <c r="AY264" s="105">
        <v>9</v>
      </c>
      <c r="AZ264" s="56">
        <v>0</v>
      </c>
      <c r="BA264" s="56">
        <v>1</v>
      </c>
      <c r="BB264" s="56">
        <v>2</v>
      </c>
      <c r="BC264" s="56">
        <v>3</v>
      </c>
      <c r="BD264" s="56">
        <v>4</v>
      </c>
      <c r="BE264" s="56">
        <v>5</v>
      </c>
      <c r="BF264" s="56">
        <v>6</v>
      </c>
      <c r="BG264" s="56">
        <v>7</v>
      </c>
      <c r="BH264" s="56">
        <v>8</v>
      </c>
      <c r="BI264" s="56">
        <v>9</v>
      </c>
      <c r="BJ264" s="57" t="str">
        <f t="shared" si="144"/>
        <v>松散型</v>
      </c>
      <c r="BK264" s="13">
        <f t="shared" si="140"/>
        <v>1</v>
      </c>
      <c r="BL264" s="13">
        <f t="shared" si="141"/>
        <v>7</v>
      </c>
      <c r="BM264" s="18" t="str">
        <f t="shared" si="146"/>
        <v/>
      </c>
      <c r="BN264" s="19" t="str">
        <f t="shared" si="147"/>
        <v/>
      </c>
      <c r="BO264" s="19" t="str">
        <f t="array" ref="BO264">_xlfn.TEXTJOIN("",TRUE,IF(ISERROR(FIND(ROW($1:$10)-1,BM264&amp;BN264)),ROW($1:$10)-1,""))</f>
        <v>0123456789</v>
      </c>
      <c r="BP264" s="20" t="str">
        <f t="shared" si="148"/>
        <v>中中中</v>
      </c>
      <c r="BQ264" s="21" t="str">
        <f t="shared" ref="BQ264:BQ327" si="159">IF(COUNTIF($Q263:$S263,R264)&gt;0,R264,"")</f>
        <v/>
      </c>
      <c r="BR264" s="21" t="str">
        <f t="shared" si="157"/>
        <v/>
      </c>
      <c r="BS264" s="21" t="str">
        <f t="array" ref="BS264">_xlfn.TEXTJOIN("",TRUE,IF(ISERROR(FIND(ROW($1:$10)-1,BQ264&amp;BR264)),ROW($1:$10)-1,""))</f>
        <v>0123456789</v>
      </c>
      <c r="BT264" s="20" t="str">
        <f t="shared" si="149"/>
        <v>中中中</v>
      </c>
      <c r="BU264" s="22">
        <f t="shared" si="150"/>
        <v>1</v>
      </c>
      <c r="BV264" s="22" t="str">
        <f t="shared" si="158"/>
        <v/>
      </c>
      <c r="BW264" s="22" t="str">
        <f t="array" ref="BW264">_xlfn.TEXTJOIN("",TRUE,IF(ISERROR(FIND(ROW($1:$10)-1,BU264&amp;BV264)),ROW($1:$10)-1,""))</f>
        <v>023456789</v>
      </c>
      <c r="BX264" s="20" t="str">
        <f t="shared" si="151"/>
        <v>复中中</v>
      </c>
      <c r="BY264" s="23" t="str">
        <f t="shared" si="145"/>
        <v>57</v>
      </c>
      <c r="BZ264" s="24" t="str">
        <f t="array" ref="BZ264">_xlfn.TEXTJOIN("",TRUE,IF(ISNUMBER(FIND(MID(BY263&amp;Q263,ROW($1:$4),1),BY264&amp;Q264)),MID(BY263&amp;Q263,ROW($1:$4),1),""))</f>
        <v>5</v>
      </c>
      <c r="CA264" s="25" t="str">
        <f t="array" ref="CA264">_xlfn.TEXTJOIN("",TRUE,IF(ISERROR(FIND(ROW($1:$10)-1,BY264&amp;BZ264)),ROW($1:$10)-1,""))</f>
        <v>01234689</v>
      </c>
      <c r="CB264" s="26" t="str">
        <f t="shared" si="152"/>
        <v>邻传孤</v>
      </c>
      <c r="CC264" s="27" t="str">
        <f t="shared" si="153"/>
        <v>68</v>
      </c>
      <c r="CD264" s="27" t="str">
        <f t="array" ref="CD264">_xlfn.TEXTJOIN("",TRUE,IF(ISNUMBER(FIND(MID(CC263&amp;R263,ROW($1:$4),1),CC264&amp;R264)),MID(CC263&amp;R263,ROW($1:$4),1),""))</f>
        <v/>
      </c>
      <c r="CE264" s="27" t="str">
        <f t="array" ref="CE264">_xlfn.TEXTJOIN("",TRUE,IF(ISERROR(FIND(ROW($1:$10)-1,CC264&amp;CD264)),ROW($1:$10)-1,""))</f>
        <v>01234579</v>
      </c>
      <c r="CF264" s="17" t="str">
        <f t="shared" si="154"/>
        <v>邻孤孤</v>
      </c>
      <c r="CG264" s="22" t="str">
        <f t="shared" si="155"/>
        <v>02</v>
      </c>
      <c r="CH264" s="22" t="str">
        <f t="array" ref="CH264">_xlfn.TEXTJOIN("",TRUE,IF(ISNUMBER(FIND(MID(CG263&amp;S263,ROW($1:$4),1),CG264&amp;S264)),MID(CG263&amp;S263,ROW($1:$4),1),""))</f>
        <v>2</v>
      </c>
      <c r="CI264" s="22" t="str">
        <f t="array" ref="CI264">_xlfn.TEXTJOIN("",TRUE,IF(ISERROR(FIND(ROW($1:$10)-1,CG264&amp;CH264)),ROW($1:$10)-1,""))</f>
        <v>13456789</v>
      </c>
      <c r="CJ264" s="28" t="str">
        <f t="shared" si="156"/>
        <v>邻传孤</v>
      </c>
    </row>
    <row r="265" spans="1:88">
      <c r="A265" s="32">
        <v>2025040</v>
      </c>
      <c r="B265" s="8" t="s">
        <v>247</v>
      </c>
      <c r="C265" s="49">
        <f t="shared" si="135"/>
        <v>14</v>
      </c>
      <c r="D265" s="50">
        <f t="shared" si="136"/>
        <v>4</v>
      </c>
      <c r="E265" s="51">
        <f t="shared" si="142"/>
        <v>4.6666666666666696</v>
      </c>
      <c r="F265" s="52">
        <f>MAX(MID(B265,{1,2,3},1)*1)-MIN(MID(B265,{1,2,3},1)*1)</f>
        <v>6</v>
      </c>
      <c r="G265" s="104">
        <v>0</v>
      </c>
      <c r="H265" s="104">
        <v>1</v>
      </c>
      <c r="I265" s="104">
        <v>2</v>
      </c>
      <c r="J265" s="104">
        <v>3</v>
      </c>
      <c r="K265" s="104">
        <v>4</v>
      </c>
      <c r="L265" s="104">
        <v>5</v>
      </c>
      <c r="M265" s="104">
        <v>6</v>
      </c>
      <c r="N265" s="104">
        <v>7</v>
      </c>
      <c r="O265" s="104">
        <v>8</v>
      </c>
      <c r="P265" s="104">
        <v>9</v>
      </c>
      <c r="Q265" s="53">
        <f t="shared" si="137"/>
        <v>2</v>
      </c>
      <c r="R265" s="53">
        <f t="shared" si="138"/>
        <v>4</v>
      </c>
      <c r="S265" s="53">
        <f t="shared" si="139"/>
        <v>6</v>
      </c>
      <c r="T265" s="101">
        <f t="shared" si="143"/>
        <v>12</v>
      </c>
      <c r="U265" s="15" t="str">
        <f>_xlfn.TEXTJOIN(", ",TRUE,ABS(MID(B265,{1,1,2},1)-MID(B265,{2,3,3},1)))</f>
        <v>2, 4, 6</v>
      </c>
      <c r="V265" s="54">
        <v>0</v>
      </c>
      <c r="W265" s="54">
        <v>1</v>
      </c>
      <c r="X265" s="54">
        <v>2</v>
      </c>
      <c r="Y265" s="54">
        <v>3</v>
      </c>
      <c r="Z265" s="54">
        <v>4</v>
      </c>
      <c r="AA265" s="54">
        <v>5</v>
      </c>
      <c r="AB265" s="54">
        <v>6</v>
      </c>
      <c r="AC265" s="54">
        <v>7</v>
      </c>
      <c r="AD265" s="54">
        <v>8</v>
      </c>
      <c r="AE265" s="54">
        <v>9</v>
      </c>
      <c r="AF265" s="55">
        <v>0</v>
      </c>
      <c r="AG265" s="55">
        <v>1</v>
      </c>
      <c r="AH265" s="55">
        <v>2</v>
      </c>
      <c r="AI265" s="55">
        <v>3</v>
      </c>
      <c r="AJ265" s="55">
        <v>4</v>
      </c>
      <c r="AK265" s="55">
        <v>5</v>
      </c>
      <c r="AL265" s="55">
        <v>6</v>
      </c>
      <c r="AM265" s="55">
        <v>7</v>
      </c>
      <c r="AN265" s="55">
        <v>8</v>
      </c>
      <c r="AO265" s="55">
        <v>9</v>
      </c>
      <c r="AP265" s="105">
        <v>0</v>
      </c>
      <c r="AQ265" s="105">
        <v>1</v>
      </c>
      <c r="AR265" s="105">
        <v>2</v>
      </c>
      <c r="AS265" s="105">
        <v>3</v>
      </c>
      <c r="AT265" s="105">
        <v>4</v>
      </c>
      <c r="AU265" s="105">
        <v>5</v>
      </c>
      <c r="AV265" s="105">
        <v>6</v>
      </c>
      <c r="AW265" s="105">
        <v>7</v>
      </c>
      <c r="AX265" s="105">
        <v>8</v>
      </c>
      <c r="AY265" s="105">
        <v>9</v>
      </c>
      <c r="AZ265" s="56">
        <v>0</v>
      </c>
      <c r="BA265" s="56">
        <v>1</v>
      </c>
      <c r="BB265" s="56">
        <v>2</v>
      </c>
      <c r="BC265" s="56">
        <v>3</v>
      </c>
      <c r="BD265" s="56">
        <v>4</v>
      </c>
      <c r="BE265" s="56">
        <v>5</v>
      </c>
      <c r="BF265" s="56">
        <v>6</v>
      </c>
      <c r="BG265" s="56">
        <v>7</v>
      </c>
      <c r="BH265" s="56">
        <v>8</v>
      </c>
      <c r="BI265" s="56">
        <v>9</v>
      </c>
      <c r="BJ265" s="57" t="str">
        <f t="shared" si="144"/>
        <v>松散型</v>
      </c>
      <c r="BK265" s="13">
        <f t="shared" si="140"/>
        <v>2</v>
      </c>
      <c r="BL265" s="13">
        <f t="shared" si="141"/>
        <v>6</v>
      </c>
      <c r="BM265" s="18" t="str">
        <f t="shared" si="146"/>
        <v/>
      </c>
      <c r="BN265" s="19" t="str">
        <f t="shared" si="147"/>
        <v/>
      </c>
      <c r="BO265" s="19" t="str">
        <f t="array" ref="BO265">_xlfn.TEXTJOIN("",TRUE,IF(ISERROR(FIND(ROW($1:$10)-1,BM265&amp;BN265)),ROW($1:$10)-1,""))</f>
        <v>0123456789</v>
      </c>
      <c r="BP265" s="20" t="str">
        <f t="shared" si="148"/>
        <v>中中中</v>
      </c>
      <c r="BQ265" s="21" t="str">
        <f t="shared" si="159"/>
        <v/>
      </c>
      <c r="BR265" s="21">
        <f t="shared" si="157"/>
        <v>4</v>
      </c>
      <c r="BS265" s="21" t="str">
        <f t="array" ref="BS265">_xlfn.TEXTJOIN("",TRUE,IF(ISERROR(FIND(ROW($1:$10)-1,BQ265&amp;BR265)),ROW($1:$10)-1,""))</f>
        <v>012356789</v>
      </c>
      <c r="BT265" s="20" t="str">
        <f t="shared" si="149"/>
        <v>中隔中</v>
      </c>
      <c r="BU265" s="22">
        <f t="shared" si="150"/>
        <v>6</v>
      </c>
      <c r="BV265" s="22" t="str">
        <f t="shared" si="158"/>
        <v/>
      </c>
      <c r="BW265" s="22" t="str">
        <f t="array" ref="BW265">_xlfn.TEXTJOIN("",TRUE,IF(ISERROR(FIND(ROW($1:$10)-1,BU265&amp;BV265)),ROW($1:$10)-1,""))</f>
        <v>012345789</v>
      </c>
      <c r="BX265" s="20" t="str">
        <f t="shared" si="151"/>
        <v>复中中</v>
      </c>
      <c r="BY265" s="23" t="str">
        <f t="shared" si="145"/>
        <v>13</v>
      </c>
      <c r="BZ265" s="24" t="str">
        <f t="array" ref="BZ265">_xlfn.TEXTJOIN("",TRUE,IF(ISNUMBER(FIND(MID(BY264&amp;Q264,ROW($1:$4),1),BY265&amp;Q265)),MID(BY264&amp;Q264,ROW($1:$4),1),""))</f>
        <v/>
      </c>
      <c r="CA265" s="25" t="str">
        <f t="array" ref="CA265">_xlfn.TEXTJOIN("",TRUE,IF(ISERROR(FIND(ROW($1:$10)-1,BY265&amp;BZ265)),ROW($1:$10)-1,""))</f>
        <v>02456789</v>
      </c>
      <c r="CB265" s="26" t="str">
        <f t="shared" si="152"/>
        <v>邻孤孤</v>
      </c>
      <c r="CC265" s="27" t="str">
        <f t="shared" si="153"/>
        <v>35</v>
      </c>
      <c r="CD265" s="27" t="str">
        <f t="array" ref="CD265">_xlfn.TEXTJOIN("",TRUE,IF(ISNUMBER(FIND(MID(CC264&amp;R264,ROW($1:$4),1),CC265&amp;R265)),MID(CC264&amp;R264,ROW($1:$4),1),""))</f>
        <v/>
      </c>
      <c r="CE265" s="27" t="str">
        <f t="array" ref="CE265">_xlfn.TEXTJOIN("",TRUE,IF(ISERROR(FIND(ROW($1:$10)-1,CC265&amp;CD265)),ROW($1:$10)-1,""))</f>
        <v>01246789</v>
      </c>
      <c r="CF265" s="17" t="str">
        <f t="shared" si="154"/>
        <v>邻孤孤</v>
      </c>
      <c r="CG265" s="22" t="str">
        <f t="shared" si="155"/>
        <v>57</v>
      </c>
      <c r="CH265" s="22" t="str">
        <f t="array" ref="CH265">_xlfn.TEXTJOIN("",TRUE,IF(ISNUMBER(FIND(MID(CG264&amp;S264,ROW($1:$4),1),CG265&amp;S265)),MID(CG264&amp;S264,ROW($1:$4),1),""))</f>
        <v/>
      </c>
      <c r="CI265" s="22" t="str">
        <f t="array" ref="CI265">_xlfn.TEXTJOIN("",TRUE,IF(ISERROR(FIND(ROW($1:$10)-1,CG265&amp;CH265)),ROW($1:$10)-1,""))</f>
        <v>01234689</v>
      </c>
      <c r="CJ265" s="28" t="str">
        <f t="shared" si="156"/>
        <v>邻孤孤</v>
      </c>
    </row>
    <row r="266" spans="1:88">
      <c r="A266" s="32">
        <v>2025041</v>
      </c>
      <c r="B266" s="8" t="s">
        <v>248</v>
      </c>
      <c r="C266" s="49">
        <f t="shared" si="135"/>
        <v>5</v>
      </c>
      <c r="D266" s="50">
        <f t="shared" si="136"/>
        <v>5</v>
      </c>
      <c r="E266" s="51">
        <f t="shared" si="142"/>
        <v>1.6666666666666701</v>
      </c>
      <c r="F266" s="52">
        <f>MAX(MID(B266,{1,2,3},1)*1)-MIN(MID(B266,{1,2,3},1)*1)</f>
        <v>4</v>
      </c>
      <c r="G266" s="104">
        <v>0</v>
      </c>
      <c r="H266" s="104">
        <v>1</v>
      </c>
      <c r="I266" s="104">
        <v>2</v>
      </c>
      <c r="J266" s="104">
        <v>3</v>
      </c>
      <c r="K266" s="104">
        <v>4</v>
      </c>
      <c r="L266" s="104">
        <v>5</v>
      </c>
      <c r="M266" s="104">
        <v>6</v>
      </c>
      <c r="N266" s="104">
        <v>7</v>
      </c>
      <c r="O266" s="104">
        <v>8</v>
      </c>
      <c r="P266" s="104">
        <v>9</v>
      </c>
      <c r="Q266" s="53">
        <f t="shared" si="137"/>
        <v>4</v>
      </c>
      <c r="R266" s="53">
        <f t="shared" si="138"/>
        <v>3</v>
      </c>
      <c r="S266" s="53">
        <f t="shared" si="139"/>
        <v>1</v>
      </c>
      <c r="T266" s="101">
        <f t="shared" si="143"/>
        <v>8</v>
      </c>
      <c r="U266" s="15" t="str">
        <f>_xlfn.TEXTJOIN(", ",TRUE,ABS(MID(B266,{1,1,2},1)-MID(B266,{2,3,3},1)))</f>
        <v>4, 3, 1</v>
      </c>
      <c r="V266" s="54">
        <v>0</v>
      </c>
      <c r="W266" s="54">
        <v>1</v>
      </c>
      <c r="X266" s="54">
        <v>2</v>
      </c>
      <c r="Y266" s="54">
        <v>3</v>
      </c>
      <c r="Z266" s="54">
        <v>4</v>
      </c>
      <c r="AA266" s="54">
        <v>5</v>
      </c>
      <c r="AB266" s="54">
        <v>6</v>
      </c>
      <c r="AC266" s="54">
        <v>7</v>
      </c>
      <c r="AD266" s="54">
        <v>8</v>
      </c>
      <c r="AE266" s="54">
        <v>9</v>
      </c>
      <c r="AF266" s="55">
        <v>0</v>
      </c>
      <c r="AG266" s="55">
        <v>1</v>
      </c>
      <c r="AH266" s="55">
        <v>2</v>
      </c>
      <c r="AI266" s="55">
        <v>3</v>
      </c>
      <c r="AJ266" s="55">
        <v>4</v>
      </c>
      <c r="AK266" s="55">
        <v>5</v>
      </c>
      <c r="AL266" s="55">
        <v>6</v>
      </c>
      <c r="AM266" s="55">
        <v>7</v>
      </c>
      <c r="AN266" s="55">
        <v>8</v>
      </c>
      <c r="AO266" s="55">
        <v>9</v>
      </c>
      <c r="AP266" s="105">
        <v>0</v>
      </c>
      <c r="AQ266" s="105">
        <v>1</v>
      </c>
      <c r="AR266" s="105">
        <v>2</v>
      </c>
      <c r="AS266" s="105">
        <v>3</v>
      </c>
      <c r="AT266" s="105">
        <v>4</v>
      </c>
      <c r="AU266" s="105">
        <v>5</v>
      </c>
      <c r="AV266" s="105">
        <v>6</v>
      </c>
      <c r="AW266" s="105">
        <v>7</v>
      </c>
      <c r="AX266" s="105">
        <v>8</v>
      </c>
      <c r="AY266" s="105">
        <v>9</v>
      </c>
      <c r="AZ266" s="56">
        <v>0</v>
      </c>
      <c r="BA266" s="56">
        <v>1</v>
      </c>
      <c r="BB266" s="56">
        <v>2</v>
      </c>
      <c r="BC266" s="56">
        <v>3</v>
      </c>
      <c r="BD266" s="56">
        <v>4</v>
      </c>
      <c r="BE266" s="56">
        <v>5</v>
      </c>
      <c r="BF266" s="56">
        <v>6</v>
      </c>
      <c r="BG266" s="56">
        <v>7</v>
      </c>
      <c r="BH266" s="56">
        <v>8</v>
      </c>
      <c r="BI266" s="56">
        <v>9</v>
      </c>
      <c r="BJ266" s="57" t="str">
        <f t="shared" si="144"/>
        <v>紧凑型</v>
      </c>
      <c r="BK266" s="13">
        <f t="shared" si="140"/>
        <v>1</v>
      </c>
      <c r="BL266" s="13">
        <f t="shared" si="141"/>
        <v>4</v>
      </c>
      <c r="BM266" s="18">
        <f t="shared" si="146"/>
        <v>4</v>
      </c>
      <c r="BN266" s="19" t="str">
        <f t="shared" si="147"/>
        <v/>
      </c>
      <c r="BO266" s="19" t="str">
        <f t="array" ref="BO266">_xlfn.TEXTJOIN("",TRUE,IF(ISERROR(FIND(ROW($1:$10)-1,BM266&amp;BN266)),ROW($1:$10)-1,""))</f>
        <v>012356789</v>
      </c>
      <c r="BP266" s="20" t="str">
        <f t="shared" si="148"/>
        <v>复中中</v>
      </c>
      <c r="BQ266" s="21" t="str">
        <f t="shared" si="159"/>
        <v/>
      </c>
      <c r="BR266" s="21" t="str">
        <f t="shared" si="157"/>
        <v/>
      </c>
      <c r="BS266" s="21" t="str">
        <f t="array" ref="BS266">_xlfn.TEXTJOIN("",TRUE,IF(ISERROR(FIND(ROW($1:$10)-1,BQ266&amp;BR266)),ROW($1:$10)-1,""))</f>
        <v>0123456789</v>
      </c>
      <c r="BT266" s="20" t="str">
        <f t="shared" si="149"/>
        <v>中中中</v>
      </c>
      <c r="BU266" s="22" t="str">
        <f t="shared" si="150"/>
        <v/>
      </c>
      <c r="BV266" s="22">
        <f t="shared" si="158"/>
        <v>1</v>
      </c>
      <c r="BW266" s="22" t="str">
        <f t="array" ref="BW266">_xlfn.TEXTJOIN("",TRUE,IF(ISERROR(FIND(ROW($1:$10)-1,BU266&amp;BV266)),ROW($1:$10)-1,""))</f>
        <v>023456789</v>
      </c>
      <c r="BX266" s="20" t="str">
        <f t="shared" si="151"/>
        <v>中隔中</v>
      </c>
      <c r="BY266" s="23" t="str">
        <f t="shared" si="145"/>
        <v>35</v>
      </c>
      <c r="BZ266" s="24" t="str">
        <f t="array" ref="BZ266">_xlfn.TEXTJOIN("",TRUE,IF(ISNUMBER(FIND(MID(BY265&amp;Q265,ROW($1:$4),1),BY266&amp;Q266)),MID(BY265&amp;Q265,ROW($1:$4),1),""))</f>
        <v>3</v>
      </c>
      <c r="CA266" s="25" t="str">
        <f t="array" ref="CA266">_xlfn.TEXTJOIN("",TRUE,IF(ISERROR(FIND(ROW($1:$10)-1,BY266&amp;BZ266)),ROW($1:$10)-1,""))</f>
        <v>01246789</v>
      </c>
      <c r="CB266" s="26" t="str">
        <f t="shared" si="152"/>
        <v>邻传孤</v>
      </c>
      <c r="CC266" s="27" t="str">
        <f t="shared" si="153"/>
        <v>24</v>
      </c>
      <c r="CD266" s="27" t="str">
        <f t="array" ref="CD266">_xlfn.TEXTJOIN("",TRUE,IF(ISNUMBER(FIND(MID(CC265&amp;R265,ROW($1:$4),1),CC266&amp;R266)),MID(CC265&amp;R265,ROW($1:$4),1),""))</f>
        <v>34</v>
      </c>
      <c r="CE266" s="27" t="str">
        <f t="array" ref="CE266">_xlfn.TEXTJOIN("",TRUE,IF(ISERROR(FIND(ROW($1:$10)-1,CC266&amp;CD266)),ROW($1:$10)-1,""))</f>
        <v>0156789</v>
      </c>
      <c r="CF266" s="17" t="str">
        <f t="shared" si="154"/>
        <v>邻传孤</v>
      </c>
      <c r="CG266" s="22" t="str">
        <f t="shared" si="155"/>
        <v>02</v>
      </c>
      <c r="CH266" s="22" t="str">
        <f t="array" ref="CH266">_xlfn.TEXTJOIN("",TRUE,IF(ISNUMBER(FIND(MID(CG265&amp;S265,ROW($1:$4),1),CG266&amp;S266)),MID(CG265&amp;S265,ROW($1:$4),1),""))</f>
        <v/>
      </c>
      <c r="CI266" s="22" t="str">
        <f t="array" ref="CI266">_xlfn.TEXTJOIN("",TRUE,IF(ISERROR(FIND(ROW($1:$10)-1,CG266&amp;CH266)),ROW($1:$10)-1,""))</f>
        <v>13456789</v>
      </c>
      <c r="CJ266" s="28" t="str">
        <f t="shared" si="156"/>
        <v>邻孤孤</v>
      </c>
    </row>
    <row r="267" spans="1:88">
      <c r="A267" s="32">
        <v>2025042</v>
      </c>
      <c r="B267" s="8" t="s">
        <v>249</v>
      </c>
      <c r="C267" s="49">
        <f t="shared" si="135"/>
        <v>19</v>
      </c>
      <c r="D267" s="50">
        <f t="shared" si="136"/>
        <v>9</v>
      </c>
      <c r="E267" s="51">
        <f t="shared" si="142"/>
        <v>6.3333333333333304</v>
      </c>
      <c r="F267" s="52">
        <f>MAX(MID(B267,{1,2,3},1)*1)-MIN(MID(B267,{1,2,3},1)*1)</f>
        <v>2</v>
      </c>
      <c r="G267" s="104">
        <v>0</v>
      </c>
      <c r="H267" s="104">
        <v>1</v>
      </c>
      <c r="I267" s="104">
        <v>2</v>
      </c>
      <c r="J267" s="104">
        <v>3</v>
      </c>
      <c r="K267" s="104">
        <v>4</v>
      </c>
      <c r="L267" s="104">
        <v>5</v>
      </c>
      <c r="M267" s="104">
        <v>6</v>
      </c>
      <c r="N267" s="104">
        <v>7</v>
      </c>
      <c r="O267" s="104">
        <v>8</v>
      </c>
      <c r="P267" s="104">
        <v>9</v>
      </c>
      <c r="Q267" s="53">
        <f t="shared" si="137"/>
        <v>0</v>
      </c>
      <c r="R267" s="53">
        <f t="shared" si="138"/>
        <v>2</v>
      </c>
      <c r="S267" s="53">
        <f t="shared" si="139"/>
        <v>2</v>
      </c>
      <c r="T267" s="101">
        <f t="shared" si="143"/>
        <v>4</v>
      </c>
      <c r="U267" s="15" t="str">
        <f>_xlfn.TEXTJOIN(", ",TRUE,ABS(MID(B267,{1,1,2},1)-MID(B267,{2,3,3},1)))</f>
        <v>0, 2, 2</v>
      </c>
      <c r="V267" s="54">
        <v>0</v>
      </c>
      <c r="W267" s="54">
        <v>1</v>
      </c>
      <c r="X267" s="54">
        <v>2</v>
      </c>
      <c r="Y267" s="54">
        <v>3</v>
      </c>
      <c r="Z267" s="54">
        <v>4</v>
      </c>
      <c r="AA267" s="54">
        <v>5</v>
      </c>
      <c r="AB267" s="54">
        <v>6</v>
      </c>
      <c r="AC267" s="54">
        <v>7</v>
      </c>
      <c r="AD267" s="54">
        <v>8</v>
      </c>
      <c r="AE267" s="54">
        <v>9</v>
      </c>
      <c r="AF267" s="55">
        <v>0</v>
      </c>
      <c r="AG267" s="55">
        <v>1</v>
      </c>
      <c r="AH267" s="55">
        <v>2</v>
      </c>
      <c r="AI267" s="55">
        <v>3</v>
      </c>
      <c r="AJ267" s="55">
        <v>4</v>
      </c>
      <c r="AK267" s="55">
        <v>5</v>
      </c>
      <c r="AL267" s="55">
        <v>6</v>
      </c>
      <c r="AM267" s="55">
        <v>7</v>
      </c>
      <c r="AN267" s="55">
        <v>8</v>
      </c>
      <c r="AO267" s="55">
        <v>9</v>
      </c>
      <c r="AP267" s="105">
        <v>0</v>
      </c>
      <c r="AQ267" s="105">
        <v>1</v>
      </c>
      <c r="AR267" s="105">
        <v>2</v>
      </c>
      <c r="AS267" s="105">
        <v>3</v>
      </c>
      <c r="AT267" s="105">
        <v>4</v>
      </c>
      <c r="AU267" s="105">
        <v>5</v>
      </c>
      <c r="AV267" s="105">
        <v>6</v>
      </c>
      <c r="AW267" s="105">
        <v>7</v>
      </c>
      <c r="AX267" s="105">
        <v>8</v>
      </c>
      <c r="AY267" s="105">
        <v>9</v>
      </c>
      <c r="AZ267" s="56">
        <v>0</v>
      </c>
      <c r="BA267" s="56">
        <v>1</v>
      </c>
      <c r="BB267" s="56">
        <v>2</v>
      </c>
      <c r="BC267" s="56">
        <v>3</v>
      </c>
      <c r="BD267" s="56">
        <v>4</v>
      </c>
      <c r="BE267" s="56">
        <v>5</v>
      </c>
      <c r="BF267" s="56">
        <v>6</v>
      </c>
      <c r="BG267" s="56">
        <v>7</v>
      </c>
      <c r="BH267" s="56">
        <v>8</v>
      </c>
      <c r="BI267" s="56">
        <v>9</v>
      </c>
      <c r="BJ267" s="57" t="str">
        <f t="shared" si="144"/>
        <v>紧凑型</v>
      </c>
      <c r="BK267" s="13">
        <f t="shared" si="140"/>
        <v>0</v>
      </c>
      <c r="BL267" s="13">
        <f t="shared" si="141"/>
        <v>2</v>
      </c>
      <c r="BM267" s="18" t="str">
        <f t="shared" si="146"/>
        <v/>
      </c>
      <c r="BN267" s="19" t="str">
        <f t="shared" si="147"/>
        <v/>
      </c>
      <c r="BO267" s="19" t="str">
        <f t="array" ref="BO267">_xlfn.TEXTJOIN("",TRUE,IF(ISERROR(FIND(ROW($1:$10)-1,BM267&amp;BN267)),ROW($1:$10)-1,""))</f>
        <v>0123456789</v>
      </c>
      <c r="BP267" s="20" t="str">
        <f t="shared" si="148"/>
        <v>中中中</v>
      </c>
      <c r="BQ267" s="21" t="str">
        <f t="shared" si="159"/>
        <v/>
      </c>
      <c r="BR267" s="21">
        <f t="shared" si="157"/>
        <v>2</v>
      </c>
      <c r="BS267" s="21" t="str">
        <f t="array" ref="BS267">_xlfn.TEXTJOIN("",TRUE,IF(ISERROR(FIND(ROW($1:$10)-1,BQ267&amp;BR267)),ROW($1:$10)-1,""))</f>
        <v>013456789</v>
      </c>
      <c r="BT267" s="20" t="str">
        <f t="shared" si="149"/>
        <v>中隔中</v>
      </c>
      <c r="BU267" s="22" t="str">
        <f t="shared" si="150"/>
        <v/>
      </c>
      <c r="BV267" s="22">
        <f t="shared" si="158"/>
        <v>2</v>
      </c>
      <c r="BW267" s="22" t="str">
        <f t="array" ref="BW267">_xlfn.TEXTJOIN("",TRUE,IF(ISERROR(FIND(ROW($1:$10)-1,BU267&amp;BV267)),ROW($1:$10)-1,""))</f>
        <v>013456789</v>
      </c>
      <c r="BX267" s="20" t="str">
        <f t="shared" si="151"/>
        <v>中隔中</v>
      </c>
      <c r="BY267" s="23" t="str">
        <f t="shared" si="145"/>
        <v>91</v>
      </c>
      <c r="BZ267" s="24" t="str">
        <f t="array" ref="BZ267">_xlfn.TEXTJOIN("",TRUE,IF(ISNUMBER(FIND(MID(BY266&amp;Q266,ROW($1:$4),1),BY267&amp;Q267)),MID(BY266&amp;Q266,ROW($1:$4),1),""))</f>
        <v/>
      </c>
      <c r="CA267" s="25" t="str">
        <f t="array" ref="CA267">_xlfn.TEXTJOIN("",TRUE,IF(ISERROR(FIND(ROW($1:$10)-1,BY267&amp;BZ267)),ROW($1:$10)-1,""))</f>
        <v>02345678</v>
      </c>
      <c r="CB267" s="26" t="str">
        <f t="shared" si="152"/>
        <v>邻孤孤</v>
      </c>
      <c r="CC267" s="27" t="str">
        <f t="shared" si="153"/>
        <v>13</v>
      </c>
      <c r="CD267" s="27" t="str">
        <f t="array" ref="CD267">_xlfn.TEXTJOIN("",TRUE,IF(ISNUMBER(FIND(MID(CC266&amp;R266,ROW($1:$4),1),CC267&amp;R267)),MID(CC266&amp;R266,ROW($1:$4),1),""))</f>
        <v>23</v>
      </c>
      <c r="CE267" s="27" t="str">
        <f t="array" ref="CE267">_xlfn.TEXTJOIN("",TRUE,IF(ISERROR(FIND(ROW($1:$10)-1,CC267&amp;CD267)),ROW($1:$10)-1,""))</f>
        <v>0456789</v>
      </c>
      <c r="CF267" s="17" t="str">
        <f t="shared" si="154"/>
        <v>邻传孤</v>
      </c>
      <c r="CG267" s="22" t="str">
        <f t="shared" si="155"/>
        <v>13</v>
      </c>
      <c r="CH267" s="22" t="str">
        <f t="array" ref="CH267">_xlfn.TEXTJOIN("",TRUE,IF(ISNUMBER(FIND(MID(CG266&amp;S266,ROW($1:$4),1),CG267&amp;S267)),MID(CG266&amp;S266,ROW($1:$4),1),""))</f>
        <v>21</v>
      </c>
      <c r="CI267" s="22" t="str">
        <f t="array" ref="CI267">_xlfn.TEXTJOIN("",TRUE,IF(ISERROR(FIND(ROW($1:$10)-1,CG267&amp;CH267)),ROW($1:$10)-1,""))</f>
        <v>0456789</v>
      </c>
      <c r="CJ267" s="28" t="str">
        <f t="shared" si="156"/>
        <v>邻传孤</v>
      </c>
    </row>
    <row r="268" spans="1:88">
      <c r="A268" s="32">
        <v>2025043</v>
      </c>
      <c r="B268" s="8" t="s">
        <v>250</v>
      </c>
      <c r="C268" s="49">
        <f t="shared" si="135"/>
        <v>16</v>
      </c>
      <c r="D268" s="50">
        <f t="shared" si="136"/>
        <v>6</v>
      </c>
      <c r="E268" s="51">
        <f t="shared" si="142"/>
        <v>5.3333333333333304</v>
      </c>
      <c r="F268" s="52">
        <f>MAX(MID(B268,{1,2,3},1)*1)-MIN(MID(B268,{1,2,3},1)*1)</f>
        <v>3</v>
      </c>
      <c r="G268" s="104">
        <v>0</v>
      </c>
      <c r="H268" s="104">
        <v>1</v>
      </c>
      <c r="I268" s="104">
        <v>2</v>
      </c>
      <c r="J268" s="104">
        <v>3</v>
      </c>
      <c r="K268" s="104">
        <v>4</v>
      </c>
      <c r="L268" s="104">
        <v>5</v>
      </c>
      <c r="M268" s="104">
        <v>6</v>
      </c>
      <c r="N268" s="104">
        <v>7</v>
      </c>
      <c r="O268" s="104">
        <v>8</v>
      </c>
      <c r="P268" s="104">
        <v>9</v>
      </c>
      <c r="Q268" s="53">
        <f t="shared" si="137"/>
        <v>3</v>
      </c>
      <c r="R268" s="53">
        <f t="shared" si="138"/>
        <v>1</v>
      </c>
      <c r="S268" s="53">
        <f t="shared" si="139"/>
        <v>2</v>
      </c>
      <c r="T268" s="101">
        <f t="shared" si="143"/>
        <v>6</v>
      </c>
      <c r="U268" s="15" t="str">
        <f>_xlfn.TEXTJOIN(", ",TRUE,ABS(MID(B268,{1,1,2},1)-MID(B268,{2,3,3},1)))</f>
        <v>3, 1, 2</v>
      </c>
      <c r="V268" s="54">
        <v>0</v>
      </c>
      <c r="W268" s="54">
        <v>1</v>
      </c>
      <c r="X268" s="54">
        <v>2</v>
      </c>
      <c r="Y268" s="54">
        <v>3</v>
      </c>
      <c r="Z268" s="54">
        <v>4</v>
      </c>
      <c r="AA268" s="54">
        <v>5</v>
      </c>
      <c r="AB268" s="54">
        <v>6</v>
      </c>
      <c r="AC268" s="54">
        <v>7</v>
      </c>
      <c r="AD268" s="54">
        <v>8</v>
      </c>
      <c r="AE268" s="54">
        <v>9</v>
      </c>
      <c r="AF268" s="55">
        <v>0</v>
      </c>
      <c r="AG268" s="55">
        <v>1</v>
      </c>
      <c r="AH268" s="55">
        <v>2</v>
      </c>
      <c r="AI268" s="55">
        <v>3</v>
      </c>
      <c r="AJ268" s="55">
        <v>4</v>
      </c>
      <c r="AK268" s="55">
        <v>5</v>
      </c>
      <c r="AL268" s="55">
        <v>6</v>
      </c>
      <c r="AM268" s="55">
        <v>7</v>
      </c>
      <c r="AN268" s="55">
        <v>8</v>
      </c>
      <c r="AO268" s="55">
        <v>9</v>
      </c>
      <c r="AP268" s="105">
        <v>0</v>
      </c>
      <c r="AQ268" s="105">
        <v>1</v>
      </c>
      <c r="AR268" s="105">
        <v>2</v>
      </c>
      <c r="AS268" s="105">
        <v>3</v>
      </c>
      <c r="AT268" s="105">
        <v>4</v>
      </c>
      <c r="AU268" s="105">
        <v>5</v>
      </c>
      <c r="AV268" s="105">
        <v>6</v>
      </c>
      <c r="AW268" s="105">
        <v>7</v>
      </c>
      <c r="AX268" s="105">
        <v>8</v>
      </c>
      <c r="AY268" s="105">
        <v>9</v>
      </c>
      <c r="AZ268" s="56">
        <v>0</v>
      </c>
      <c r="BA268" s="56">
        <v>1</v>
      </c>
      <c r="BB268" s="56">
        <v>2</v>
      </c>
      <c r="BC268" s="56">
        <v>3</v>
      </c>
      <c r="BD268" s="56">
        <v>4</v>
      </c>
      <c r="BE268" s="56">
        <v>5</v>
      </c>
      <c r="BF268" s="56">
        <v>6</v>
      </c>
      <c r="BG268" s="56">
        <v>7</v>
      </c>
      <c r="BH268" s="56">
        <v>8</v>
      </c>
      <c r="BI268" s="56">
        <v>9</v>
      </c>
      <c r="BJ268" s="57" t="str">
        <f t="shared" si="144"/>
        <v>紧凑型</v>
      </c>
      <c r="BK268" s="13">
        <f t="shared" si="140"/>
        <v>1</v>
      </c>
      <c r="BL268" s="13">
        <f t="shared" si="141"/>
        <v>3</v>
      </c>
      <c r="BM268" s="18" t="str">
        <f t="shared" si="146"/>
        <v/>
      </c>
      <c r="BN268" s="19">
        <f t="shared" si="147"/>
        <v>3</v>
      </c>
      <c r="BO268" s="19" t="str">
        <f t="array" ref="BO268">_xlfn.TEXTJOIN("",TRUE,IF(ISERROR(FIND(ROW($1:$10)-1,BM268&amp;BN268)),ROW($1:$10)-1,""))</f>
        <v>012456789</v>
      </c>
      <c r="BP268" s="20" t="str">
        <f t="shared" si="148"/>
        <v>中隔中</v>
      </c>
      <c r="BQ268" s="21" t="str">
        <f t="shared" si="159"/>
        <v/>
      </c>
      <c r="BR268" s="21">
        <f t="shared" si="157"/>
        <v>1</v>
      </c>
      <c r="BS268" s="21" t="str">
        <f t="array" ref="BS268">_xlfn.TEXTJOIN("",TRUE,IF(ISERROR(FIND(ROW($1:$10)-1,BQ268&amp;BR268)),ROW($1:$10)-1,""))</f>
        <v>023456789</v>
      </c>
      <c r="BT268" s="20" t="str">
        <f t="shared" si="149"/>
        <v>中隔中</v>
      </c>
      <c r="BU268" s="22">
        <f t="shared" si="150"/>
        <v>2</v>
      </c>
      <c r="BV268" s="22" t="str">
        <f t="shared" si="158"/>
        <v/>
      </c>
      <c r="BW268" s="22" t="str">
        <f t="array" ref="BW268">_xlfn.TEXTJOIN("",TRUE,IF(ISERROR(FIND(ROW($1:$10)-1,BU268&amp;BV268)),ROW($1:$10)-1,""))</f>
        <v>013456789</v>
      </c>
      <c r="BX268" s="20" t="str">
        <f t="shared" si="151"/>
        <v>复中中</v>
      </c>
      <c r="BY268" s="23" t="str">
        <f t="shared" si="145"/>
        <v>24</v>
      </c>
      <c r="BZ268" s="24" t="str">
        <f t="array" ref="BZ268">_xlfn.TEXTJOIN("",TRUE,IF(ISNUMBER(FIND(MID(BY267&amp;Q267,ROW($1:$4),1),BY268&amp;Q268)),MID(BY267&amp;Q267,ROW($1:$4),1),""))</f>
        <v/>
      </c>
      <c r="CA268" s="25" t="str">
        <f t="array" ref="CA268">_xlfn.TEXTJOIN("",TRUE,IF(ISERROR(FIND(ROW($1:$10)-1,BY268&amp;BZ268)),ROW($1:$10)-1,""))</f>
        <v>01356789</v>
      </c>
      <c r="CB268" s="26" t="str">
        <f t="shared" si="152"/>
        <v>邻孤孤</v>
      </c>
      <c r="CC268" s="27" t="str">
        <f t="shared" si="153"/>
        <v>02</v>
      </c>
      <c r="CD268" s="27" t="str">
        <f t="array" ref="CD268">_xlfn.TEXTJOIN("",TRUE,IF(ISNUMBER(FIND(MID(CC267&amp;R267,ROW($1:$4),1),CC268&amp;R268)),MID(CC267&amp;R267,ROW($1:$4),1),""))</f>
        <v>12</v>
      </c>
      <c r="CE268" s="27" t="str">
        <f t="array" ref="CE268">_xlfn.TEXTJOIN("",TRUE,IF(ISERROR(FIND(ROW($1:$10)-1,CC268&amp;CD268)),ROW($1:$10)-1,""))</f>
        <v>3456789</v>
      </c>
      <c r="CF268" s="17" t="str">
        <f t="shared" si="154"/>
        <v>邻传孤</v>
      </c>
      <c r="CG268" s="22" t="str">
        <f t="shared" si="155"/>
        <v>13</v>
      </c>
      <c r="CH268" s="22" t="str">
        <f t="array" ref="CH268">_xlfn.TEXTJOIN("",TRUE,IF(ISNUMBER(FIND(MID(CG267&amp;S267,ROW($1:$4),1),CG268&amp;S268)),MID(CG267&amp;S267,ROW($1:$4),1),""))</f>
        <v>132</v>
      </c>
      <c r="CI268" s="22" t="str">
        <f t="array" ref="CI268">_xlfn.TEXTJOIN("",TRUE,IF(ISERROR(FIND(ROW($1:$10)-1,CG268&amp;CH268)),ROW($1:$10)-1,""))</f>
        <v>0456789</v>
      </c>
      <c r="CJ268" s="28" t="str">
        <f t="shared" si="156"/>
        <v>邻传孤</v>
      </c>
    </row>
    <row r="269" spans="1:88">
      <c r="A269" s="32">
        <v>2025044</v>
      </c>
      <c r="B269" s="8" t="s">
        <v>251</v>
      </c>
      <c r="C269" s="49">
        <f t="shared" si="135"/>
        <v>12</v>
      </c>
      <c r="D269" s="50">
        <f t="shared" si="136"/>
        <v>2</v>
      </c>
      <c r="E269" s="51">
        <f t="shared" si="142"/>
        <v>4</v>
      </c>
      <c r="F269" s="52">
        <f>MAX(MID(B269,{1,2,3},1)*1)-MIN(MID(B269,{1,2,3},1)*1)</f>
        <v>8</v>
      </c>
      <c r="G269" s="104">
        <v>0</v>
      </c>
      <c r="H269" s="104">
        <v>1</v>
      </c>
      <c r="I269" s="104">
        <v>2</v>
      </c>
      <c r="J269" s="104">
        <v>3</v>
      </c>
      <c r="K269" s="104">
        <v>4</v>
      </c>
      <c r="L269" s="104">
        <v>5</v>
      </c>
      <c r="M269" s="104">
        <v>6</v>
      </c>
      <c r="N269" s="104">
        <v>7</v>
      </c>
      <c r="O269" s="104">
        <v>8</v>
      </c>
      <c r="P269" s="104">
        <v>9</v>
      </c>
      <c r="Q269" s="53">
        <f t="shared" si="137"/>
        <v>8</v>
      </c>
      <c r="R269" s="53">
        <f t="shared" si="138"/>
        <v>7</v>
      </c>
      <c r="S269" s="53">
        <f t="shared" si="139"/>
        <v>1</v>
      </c>
      <c r="T269" s="101">
        <f t="shared" si="143"/>
        <v>16</v>
      </c>
      <c r="U269" s="15" t="str">
        <f>_xlfn.TEXTJOIN(", ",TRUE,ABS(MID(B269,{1,1,2},1)-MID(B269,{2,3,3},1)))</f>
        <v>8, 7, 1</v>
      </c>
      <c r="V269" s="54">
        <v>0</v>
      </c>
      <c r="W269" s="54">
        <v>1</v>
      </c>
      <c r="X269" s="54">
        <v>2</v>
      </c>
      <c r="Y269" s="54">
        <v>3</v>
      </c>
      <c r="Z269" s="54">
        <v>4</v>
      </c>
      <c r="AA269" s="54">
        <v>5</v>
      </c>
      <c r="AB269" s="54">
        <v>6</v>
      </c>
      <c r="AC269" s="54">
        <v>7</v>
      </c>
      <c r="AD269" s="54">
        <v>8</v>
      </c>
      <c r="AE269" s="54">
        <v>9</v>
      </c>
      <c r="AF269" s="55">
        <v>0</v>
      </c>
      <c r="AG269" s="55">
        <v>1</v>
      </c>
      <c r="AH269" s="55">
        <v>2</v>
      </c>
      <c r="AI269" s="55">
        <v>3</v>
      </c>
      <c r="AJ269" s="55">
        <v>4</v>
      </c>
      <c r="AK269" s="55">
        <v>5</v>
      </c>
      <c r="AL269" s="55">
        <v>6</v>
      </c>
      <c r="AM269" s="55">
        <v>7</v>
      </c>
      <c r="AN269" s="55">
        <v>8</v>
      </c>
      <c r="AO269" s="55">
        <v>9</v>
      </c>
      <c r="AP269" s="105">
        <v>0</v>
      </c>
      <c r="AQ269" s="105">
        <v>1</v>
      </c>
      <c r="AR269" s="105">
        <v>2</v>
      </c>
      <c r="AS269" s="105">
        <v>3</v>
      </c>
      <c r="AT269" s="105">
        <v>4</v>
      </c>
      <c r="AU269" s="105">
        <v>5</v>
      </c>
      <c r="AV269" s="105">
        <v>6</v>
      </c>
      <c r="AW269" s="105">
        <v>7</v>
      </c>
      <c r="AX269" s="105">
        <v>8</v>
      </c>
      <c r="AY269" s="105">
        <v>9</v>
      </c>
      <c r="AZ269" s="56">
        <v>0</v>
      </c>
      <c r="BA269" s="56">
        <v>1</v>
      </c>
      <c r="BB269" s="56">
        <v>2</v>
      </c>
      <c r="BC269" s="56">
        <v>3</v>
      </c>
      <c r="BD269" s="56">
        <v>4</v>
      </c>
      <c r="BE269" s="56">
        <v>5</v>
      </c>
      <c r="BF269" s="56">
        <v>6</v>
      </c>
      <c r="BG269" s="56">
        <v>7</v>
      </c>
      <c r="BH269" s="56">
        <v>8</v>
      </c>
      <c r="BI269" s="56">
        <v>9</v>
      </c>
      <c r="BJ269" s="57" t="str">
        <f t="shared" si="144"/>
        <v>松散型</v>
      </c>
      <c r="BK269" s="13">
        <f t="shared" si="140"/>
        <v>1</v>
      </c>
      <c r="BL269" s="13">
        <f t="shared" si="141"/>
        <v>8</v>
      </c>
      <c r="BM269" s="18" t="str">
        <f t="shared" si="146"/>
        <v/>
      </c>
      <c r="BN269" s="19" t="str">
        <f t="shared" si="147"/>
        <v/>
      </c>
      <c r="BO269" s="19" t="str">
        <f t="array" ref="BO269">_xlfn.TEXTJOIN("",TRUE,IF(ISERROR(FIND(ROW($1:$10)-1,BM269&amp;BN269)),ROW($1:$10)-1,""))</f>
        <v>0123456789</v>
      </c>
      <c r="BP269" s="20" t="str">
        <f t="shared" si="148"/>
        <v>中中中</v>
      </c>
      <c r="BQ269" s="21" t="str">
        <f t="shared" si="159"/>
        <v/>
      </c>
      <c r="BR269" s="21" t="str">
        <f t="shared" si="157"/>
        <v/>
      </c>
      <c r="BS269" s="21" t="str">
        <f t="array" ref="BS269">_xlfn.TEXTJOIN("",TRUE,IF(ISERROR(FIND(ROW($1:$10)-1,BQ269&amp;BR269)),ROW($1:$10)-1,""))</f>
        <v>0123456789</v>
      </c>
      <c r="BT269" s="20" t="str">
        <f t="shared" si="149"/>
        <v>中中中</v>
      </c>
      <c r="BU269" s="22">
        <f t="shared" si="150"/>
        <v>1</v>
      </c>
      <c r="BV269" s="22" t="str">
        <f t="shared" si="158"/>
        <v/>
      </c>
      <c r="BW269" s="22" t="str">
        <f t="array" ref="BW269">_xlfn.TEXTJOIN("",TRUE,IF(ISERROR(FIND(ROW($1:$10)-1,BU269&amp;BV269)),ROW($1:$10)-1,""))</f>
        <v>023456789</v>
      </c>
      <c r="BX269" s="20" t="str">
        <f t="shared" si="151"/>
        <v>复中中</v>
      </c>
      <c r="BY269" s="23" t="str">
        <f t="shared" si="145"/>
        <v>79</v>
      </c>
      <c r="BZ269" s="24" t="str">
        <f t="array" ref="BZ269">_xlfn.TEXTJOIN("",TRUE,IF(ISNUMBER(FIND(MID(BY268&amp;Q268,ROW($1:$4),1),BY269&amp;Q269)),MID(BY268&amp;Q268,ROW($1:$4),1),""))</f>
        <v/>
      </c>
      <c r="CA269" s="25" t="str">
        <f t="array" ref="CA269">_xlfn.TEXTJOIN("",TRUE,IF(ISERROR(FIND(ROW($1:$10)-1,BY269&amp;BZ269)),ROW($1:$10)-1,""))</f>
        <v>01234568</v>
      </c>
      <c r="CB269" s="26" t="str">
        <f t="shared" si="152"/>
        <v>邻孤孤</v>
      </c>
      <c r="CC269" s="27" t="str">
        <f t="shared" si="153"/>
        <v>68</v>
      </c>
      <c r="CD269" s="27" t="str">
        <f t="array" ref="CD269">_xlfn.TEXTJOIN("",TRUE,IF(ISNUMBER(FIND(MID(CC268&amp;R268,ROW($1:$4),1),CC269&amp;R269)),MID(CC268&amp;R268,ROW($1:$4),1),""))</f>
        <v/>
      </c>
      <c r="CE269" s="27" t="str">
        <f t="array" ref="CE269">_xlfn.TEXTJOIN("",TRUE,IF(ISERROR(FIND(ROW($1:$10)-1,CC269&amp;CD269)),ROW($1:$10)-1,""))</f>
        <v>01234579</v>
      </c>
      <c r="CF269" s="17" t="str">
        <f t="shared" si="154"/>
        <v>邻孤孤</v>
      </c>
      <c r="CG269" s="22" t="str">
        <f t="shared" si="155"/>
        <v>02</v>
      </c>
      <c r="CH269" s="22" t="str">
        <f t="array" ref="CH269">_xlfn.TEXTJOIN("",TRUE,IF(ISNUMBER(FIND(MID(CG268&amp;S268,ROW($1:$4),1),CG269&amp;S269)),MID(CG268&amp;S268,ROW($1:$4),1),""))</f>
        <v>12</v>
      </c>
      <c r="CI269" s="22" t="str">
        <f t="array" ref="CI269">_xlfn.TEXTJOIN("",TRUE,IF(ISERROR(FIND(ROW($1:$10)-1,CG269&amp;CH269)),ROW($1:$10)-1,""))</f>
        <v>3456789</v>
      </c>
      <c r="CJ269" s="28" t="str">
        <f t="shared" si="156"/>
        <v>邻传孤</v>
      </c>
    </row>
    <row r="270" spans="1:88">
      <c r="A270" s="32">
        <v>2025045</v>
      </c>
      <c r="B270" s="8" t="s">
        <v>252</v>
      </c>
      <c r="C270" s="49">
        <f t="shared" si="135"/>
        <v>14</v>
      </c>
      <c r="D270" s="50">
        <f t="shared" si="136"/>
        <v>4</v>
      </c>
      <c r="E270" s="51">
        <f t="shared" si="142"/>
        <v>4.6666666666666696</v>
      </c>
      <c r="F270" s="52">
        <f>MAX(MID(B270,{1,2,3},1)*1)-MIN(MID(B270,{1,2,3},1)*1)</f>
        <v>1</v>
      </c>
      <c r="G270" s="104">
        <v>0</v>
      </c>
      <c r="H270" s="104">
        <v>1</v>
      </c>
      <c r="I270" s="104">
        <v>2</v>
      </c>
      <c r="J270" s="104">
        <v>3</v>
      </c>
      <c r="K270" s="104">
        <v>4</v>
      </c>
      <c r="L270" s="104">
        <v>5</v>
      </c>
      <c r="M270" s="104">
        <v>6</v>
      </c>
      <c r="N270" s="104">
        <v>7</v>
      </c>
      <c r="O270" s="104">
        <v>8</v>
      </c>
      <c r="P270" s="104">
        <v>9</v>
      </c>
      <c r="Q270" s="53">
        <f t="shared" si="137"/>
        <v>0</v>
      </c>
      <c r="R270" s="53">
        <f t="shared" si="138"/>
        <v>1</v>
      </c>
      <c r="S270" s="53">
        <f t="shared" si="139"/>
        <v>1</v>
      </c>
      <c r="T270" s="101">
        <f t="shared" si="143"/>
        <v>2</v>
      </c>
      <c r="U270" s="15" t="str">
        <f>_xlfn.TEXTJOIN(", ",TRUE,ABS(MID(B270,{1,1,2},1)-MID(B270,{2,3,3},1)))</f>
        <v>0, 1, 1</v>
      </c>
      <c r="V270" s="54">
        <v>0</v>
      </c>
      <c r="W270" s="54">
        <v>1</v>
      </c>
      <c r="X270" s="54">
        <v>2</v>
      </c>
      <c r="Y270" s="54">
        <v>3</v>
      </c>
      <c r="Z270" s="54">
        <v>4</v>
      </c>
      <c r="AA270" s="54">
        <v>5</v>
      </c>
      <c r="AB270" s="54">
        <v>6</v>
      </c>
      <c r="AC270" s="54">
        <v>7</v>
      </c>
      <c r="AD270" s="54">
        <v>8</v>
      </c>
      <c r="AE270" s="54">
        <v>9</v>
      </c>
      <c r="AF270" s="55">
        <v>0</v>
      </c>
      <c r="AG270" s="55">
        <v>1</v>
      </c>
      <c r="AH270" s="55">
        <v>2</v>
      </c>
      <c r="AI270" s="55">
        <v>3</v>
      </c>
      <c r="AJ270" s="55">
        <v>4</v>
      </c>
      <c r="AK270" s="55">
        <v>5</v>
      </c>
      <c r="AL270" s="55">
        <v>6</v>
      </c>
      <c r="AM270" s="55">
        <v>7</v>
      </c>
      <c r="AN270" s="55">
        <v>8</v>
      </c>
      <c r="AO270" s="55">
        <v>9</v>
      </c>
      <c r="AP270" s="105">
        <v>0</v>
      </c>
      <c r="AQ270" s="105">
        <v>1</v>
      </c>
      <c r="AR270" s="105">
        <v>2</v>
      </c>
      <c r="AS270" s="105">
        <v>3</v>
      </c>
      <c r="AT270" s="105">
        <v>4</v>
      </c>
      <c r="AU270" s="105">
        <v>5</v>
      </c>
      <c r="AV270" s="105">
        <v>6</v>
      </c>
      <c r="AW270" s="105">
        <v>7</v>
      </c>
      <c r="AX270" s="105">
        <v>8</v>
      </c>
      <c r="AY270" s="105">
        <v>9</v>
      </c>
      <c r="AZ270" s="56">
        <v>0</v>
      </c>
      <c r="BA270" s="56">
        <v>1</v>
      </c>
      <c r="BB270" s="56">
        <v>2</v>
      </c>
      <c r="BC270" s="56">
        <v>3</v>
      </c>
      <c r="BD270" s="56">
        <v>4</v>
      </c>
      <c r="BE270" s="56">
        <v>5</v>
      </c>
      <c r="BF270" s="56">
        <v>6</v>
      </c>
      <c r="BG270" s="56">
        <v>7</v>
      </c>
      <c r="BH270" s="56">
        <v>8</v>
      </c>
      <c r="BI270" s="56">
        <v>9</v>
      </c>
      <c r="BJ270" s="57" t="str">
        <f t="shared" si="144"/>
        <v>紧凑型</v>
      </c>
      <c r="BK270" s="13">
        <f t="shared" si="140"/>
        <v>0</v>
      </c>
      <c r="BL270" s="13">
        <f t="shared" si="141"/>
        <v>1</v>
      </c>
      <c r="BM270" s="18" t="str">
        <f t="shared" si="146"/>
        <v/>
      </c>
      <c r="BN270" s="19" t="str">
        <f t="shared" si="147"/>
        <v/>
      </c>
      <c r="BO270" s="19" t="str">
        <f t="array" ref="BO270">_xlfn.TEXTJOIN("",TRUE,IF(ISERROR(FIND(ROW($1:$10)-1,BM270&amp;BN270)),ROW($1:$10)-1,""))</f>
        <v>0123456789</v>
      </c>
      <c r="BP270" s="20" t="str">
        <f t="shared" si="148"/>
        <v>中中中</v>
      </c>
      <c r="BQ270" s="21">
        <f t="shared" si="159"/>
        <v>1</v>
      </c>
      <c r="BR270" s="21">
        <f t="shared" si="157"/>
        <v>1</v>
      </c>
      <c r="BS270" s="21" t="str">
        <f t="array" ref="BS270">_xlfn.TEXTJOIN("",TRUE,IF(ISERROR(FIND(ROW($1:$10)-1,BQ270&amp;BR270)),ROW($1:$10)-1,""))</f>
        <v>023456789</v>
      </c>
      <c r="BT270" s="20" t="str">
        <f t="shared" si="149"/>
        <v>复隔中</v>
      </c>
      <c r="BU270" s="22">
        <f t="shared" si="150"/>
        <v>1</v>
      </c>
      <c r="BV270" s="22">
        <f t="shared" si="158"/>
        <v>1</v>
      </c>
      <c r="BW270" s="22" t="str">
        <f t="array" ref="BW270">_xlfn.TEXTJOIN("",TRUE,IF(ISERROR(FIND(ROW($1:$10)-1,BU270&amp;BV270)),ROW($1:$10)-1,""))</f>
        <v>023456789</v>
      </c>
      <c r="BX270" s="20" t="str">
        <f t="shared" si="151"/>
        <v>复隔中</v>
      </c>
      <c r="BY270" s="23" t="str">
        <f t="shared" si="145"/>
        <v>91</v>
      </c>
      <c r="BZ270" s="24" t="str">
        <f t="array" ref="BZ270">_xlfn.TEXTJOIN("",TRUE,IF(ISNUMBER(FIND(MID(BY269&amp;Q269,ROW($1:$4),1),BY270&amp;Q270)),MID(BY269&amp;Q269,ROW($1:$4),1),""))</f>
        <v>9</v>
      </c>
      <c r="CA270" s="25" t="str">
        <f t="array" ref="CA270">_xlfn.TEXTJOIN("",TRUE,IF(ISERROR(FIND(ROW($1:$10)-1,BY270&amp;BZ270)),ROW($1:$10)-1,""))</f>
        <v>02345678</v>
      </c>
      <c r="CB270" s="26" t="str">
        <f t="shared" si="152"/>
        <v>邻传孤</v>
      </c>
      <c r="CC270" s="27" t="str">
        <f t="shared" si="153"/>
        <v>02</v>
      </c>
      <c r="CD270" s="27" t="str">
        <f t="array" ref="CD270">_xlfn.TEXTJOIN("",TRUE,IF(ISNUMBER(FIND(MID(CC269&amp;R269,ROW($1:$4),1),CC270&amp;R270)),MID(CC269&amp;R269,ROW($1:$4),1),""))</f>
        <v/>
      </c>
      <c r="CE270" s="27" t="str">
        <f t="array" ref="CE270">_xlfn.TEXTJOIN("",TRUE,IF(ISERROR(FIND(ROW($1:$10)-1,CC270&amp;CD270)),ROW($1:$10)-1,""))</f>
        <v>13456789</v>
      </c>
      <c r="CF270" s="17" t="str">
        <f t="shared" si="154"/>
        <v>邻孤孤</v>
      </c>
      <c r="CG270" s="22" t="str">
        <f t="shared" si="155"/>
        <v>02</v>
      </c>
      <c r="CH270" s="22" t="str">
        <f t="array" ref="CH270">_xlfn.TEXTJOIN("",TRUE,IF(ISNUMBER(FIND(MID(CG269&amp;S269,ROW($1:$4),1),CG270&amp;S270)),MID(CG269&amp;S269,ROW($1:$4),1),""))</f>
        <v>021</v>
      </c>
      <c r="CI270" s="22" t="str">
        <f t="array" ref="CI270">_xlfn.TEXTJOIN("",TRUE,IF(ISERROR(FIND(ROW($1:$10)-1,CG270&amp;CH270)),ROW($1:$10)-1,""))</f>
        <v>3456789</v>
      </c>
      <c r="CJ270" s="28" t="str">
        <f t="shared" si="156"/>
        <v>邻传孤</v>
      </c>
    </row>
    <row r="271" spans="1:88">
      <c r="A271" s="32">
        <v>2025046</v>
      </c>
      <c r="B271" s="8" t="s">
        <v>253</v>
      </c>
      <c r="C271" s="49">
        <f t="shared" si="135"/>
        <v>13</v>
      </c>
      <c r="D271" s="50">
        <f t="shared" si="136"/>
        <v>3</v>
      </c>
      <c r="E271" s="51">
        <f t="shared" si="142"/>
        <v>4.3333333333333304</v>
      </c>
      <c r="F271" s="52">
        <f>MAX(MID(B271,{1,2,3},1)*1)-MIN(MID(B271,{1,2,3},1)*1)</f>
        <v>9</v>
      </c>
      <c r="G271" s="104">
        <v>0</v>
      </c>
      <c r="H271" s="104">
        <v>1</v>
      </c>
      <c r="I271" s="104">
        <v>2</v>
      </c>
      <c r="J271" s="104">
        <v>3</v>
      </c>
      <c r="K271" s="104">
        <v>4</v>
      </c>
      <c r="L271" s="104">
        <v>5</v>
      </c>
      <c r="M271" s="104">
        <v>6</v>
      </c>
      <c r="N271" s="104">
        <v>7</v>
      </c>
      <c r="O271" s="104">
        <v>8</v>
      </c>
      <c r="P271" s="104">
        <v>9</v>
      </c>
      <c r="Q271" s="53">
        <f t="shared" si="137"/>
        <v>5</v>
      </c>
      <c r="R271" s="53">
        <f t="shared" si="138"/>
        <v>4</v>
      </c>
      <c r="S271" s="53">
        <f t="shared" si="139"/>
        <v>9</v>
      </c>
      <c r="T271" s="101">
        <f t="shared" si="143"/>
        <v>18</v>
      </c>
      <c r="U271" s="15" t="str">
        <f>_xlfn.TEXTJOIN(", ",TRUE,ABS(MID(B271,{1,1,2},1)-MID(B271,{2,3,3},1)))</f>
        <v>5, 4, 9</v>
      </c>
      <c r="V271" s="54">
        <v>0</v>
      </c>
      <c r="W271" s="54">
        <v>1</v>
      </c>
      <c r="X271" s="54">
        <v>2</v>
      </c>
      <c r="Y271" s="54">
        <v>3</v>
      </c>
      <c r="Z271" s="54">
        <v>4</v>
      </c>
      <c r="AA271" s="54">
        <v>5</v>
      </c>
      <c r="AB271" s="54">
        <v>6</v>
      </c>
      <c r="AC271" s="54">
        <v>7</v>
      </c>
      <c r="AD271" s="54">
        <v>8</v>
      </c>
      <c r="AE271" s="54">
        <v>9</v>
      </c>
      <c r="AF271" s="55">
        <v>0</v>
      </c>
      <c r="AG271" s="55">
        <v>1</v>
      </c>
      <c r="AH271" s="55">
        <v>2</v>
      </c>
      <c r="AI271" s="55">
        <v>3</v>
      </c>
      <c r="AJ271" s="55">
        <v>4</v>
      </c>
      <c r="AK271" s="55">
        <v>5</v>
      </c>
      <c r="AL271" s="55">
        <v>6</v>
      </c>
      <c r="AM271" s="55">
        <v>7</v>
      </c>
      <c r="AN271" s="55">
        <v>8</v>
      </c>
      <c r="AO271" s="55">
        <v>9</v>
      </c>
      <c r="AP271" s="105">
        <v>0</v>
      </c>
      <c r="AQ271" s="105">
        <v>1</v>
      </c>
      <c r="AR271" s="105">
        <v>2</v>
      </c>
      <c r="AS271" s="105">
        <v>3</v>
      </c>
      <c r="AT271" s="105">
        <v>4</v>
      </c>
      <c r="AU271" s="105">
        <v>5</v>
      </c>
      <c r="AV271" s="105">
        <v>6</v>
      </c>
      <c r="AW271" s="105">
        <v>7</v>
      </c>
      <c r="AX271" s="105">
        <v>8</v>
      </c>
      <c r="AY271" s="105">
        <v>9</v>
      </c>
      <c r="AZ271" s="56">
        <v>0</v>
      </c>
      <c r="BA271" s="56">
        <v>1</v>
      </c>
      <c r="BB271" s="56">
        <v>2</v>
      </c>
      <c r="BC271" s="56">
        <v>3</v>
      </c>
      <c r="BD271" s="56">
        <v>4</v>
      </c>
      <c r="BE271" s="56">
        <v>5</v>
      </c>
      <c r="BF271" s="56">
        <v>6</v>
      </c>
      <c r="BG271" s="56">
        <v>7</v>
      </c>
      <c r="BH271" s="56">
        <v>8</v>
      </c>
      <c r="BI271" s="56">
        <v>9</v>
      </c>
      <c r="BJ271" s="57" t="str">
        <f t="shared" si="144"/>
        <v>松散型</v>
      </c>
      <c r="BK271" s="13">
        <f t="shared" si="140"/>
        <v>4</v>
      </c>
      <c r="BL271" s="13">
        <f t="shared" si="141"/>
        <v>9</v>
      </c>
      <c r="BM271" s="18" t="str">
        <f t="shared" si="146"/>
        <v/>
      </c>
      <c r="BN271" s="19" t="str">
        <f t="shared" si="147"/>
        <v/>
      </c>
      <c r="BO271" s="19" t="str">
        <f t="array" ref="BO271">_xlfn.TEXTJOIN("",TRUE,IF(ISERROR(FIND(ROW($1:$10)-1,BM271&amp;BN271)),ROW($1:$10)-1,""))</f>
        <v>0123456789</v>
      </c>
      <c r="BP271" s="20" t="str">
        <f t="shared" si="148"/>
        <v>中中中</v>
      </c>
      <c r="BQ271" s="21" t="str">
        <f t="shared" si="159"/>
        <v/>
      </c>
      <c r="BR271" s="21" t="str">
        <f t="shared" si="157"/>
        <v/>
      </c>
      <c r="BS271" s="21" t="str">
        <f t="array" ref="BS271">_xlfn.TEXTJOIN("",TRUE,IF(ISERROR(FIND(ROW($1:$10)-1,BQ271&amp;BR271)),ROW($1:$10)-1,""))</f>
        <v>0123456789</v>
      </c>
      <c r="BT271" s="20" t="str">
        <f t="shared" si="149"/>
        <v>中中中</v>
      </c>
      <c r="BU271" s="22" t="str">
        <f t="shared" si="150"/>
        <v/>
      </c>
      <c r="BV271" s="22" t="str">
        <f t="shared" si="158"/>
        <v/>
      </c>
      <c r="BW271" s="22" t="str">
        <f t="array" ref="BW271">_xlfn.TEXTJOIN("",TRUE,IF(ISERROR(FIND(ROW($1:$10)-1,BU271&amp;BV271)),ROW($1:$10)-1,""))</f>
        <v>0123456789</v>
      </c>
      <c r="BX271" s="20" t="str">
        <f t="shared" si="151"/>
        <v>中中中</v>
      </c>
      <c r="BY271" s="23" t="str">
        <f t="shared" si="145"/>
        <v>46</v>
      </c>
      <c r="BZ271" s="24" t="str">
        <f t="array" ref="BZ271">_xlfn.TEXTJOIN("",TRUE,IF(ISNUMBER(FIND(MID(BY270&amp;Q270,ROW($1:$4),1),BY271&amp;Q271)),MID(BY270&amp;Q270,ROW($1:$4),1),""))</f>
        <v/>
      </c>
      <c r="CA271" s="25" t="str">
        <f t="array" ref="CA271">_xlfn.TEXTJOIN("",TRUE,IF(ISERROR(FIND(ROW($1:$10)-1,BY271&amp;BZ271)),ROW($1:$10)-1,""))</f>
        <v>01235789</v>
      </c>
      <c r="CB271" s="26" t="str">
        <f t="shared" si="152"/>
        <v>邻孤孤</v>
      </c>
      <c r="CC271" s="27" t="str">
        <f t="shared" si="153"/>
        <v>35</v>
      </c>
      <c r="CD271" s="27" t="str">
        <f t="array" ref="CD271">_xlfn.TEXTJOIN("",TRUE,IF(ISNUMBER(FIND(MID(CC270&amp;R270,ROW($1:$4),1),CC271&amp;R271)),MID(CC270&amp;R270,ROW($1:$4),1),""))</f>
        <v/>
      </c>
      <c r="CE271" s="27" t="str">
        <f t="array" ref="CE271">_xlfn.TEXTJOIN("",TRUE,IF(ISERROR(FIND(ROW($1:$10)-1,CC271&amp;CD271)),ROW($1:$10)-1,""))</f>
        <v>01246789</v>
      </c>
      <c r="CF271" s="17" t="str">
        <f t="shared" si="154"/>
        <v>邻孤孤</v>
      </c>
      <c r="CG271" s="22" t="str">
        <f t="shared" si="155"/>
        <v>80</v>
      </c>
      <c r="CH271" s="22" t="str">
        <f t="array" ref="CH271">_xlfn.TEXTJOIN("",TRUE,IF(ISNUMBER(FIND(MID(CG270&amp;S270,ROW($1:$4),1),CG271&amp;S271)),MID(CG270&amp;S270,ROW($1:$4),1),""))</f>
        <v>0</v>
      </c>
      <c r="CI271" s="22" t="str">
        <f t="array" ref="CI271">_xlfn.TEXTJOIN("",TRUE,IF(ISERROR(FIND(ROW($1:$10)-1,CG271&amp;CH271)),ROW($1:$10)-1,""))</f>
        <v>12345679</v>
      </c>
      <c r="CJ271" s="28" t="str">
        <f t="shared" si="156"/>
        <v>邻传孤</v>
      </c>
    </row>
    <row r="272" spans="1:88">
      <c r="A272" s="32">
        <v>2025047</v>
      </c>
      <c r="B272" s="8" t="s">
        <v>158</v>
      </c>
      <c r="C272" s="49">
        <f t="shared" si="135"/>
        <v>14</v>
      </c>
      <c r="D272" s="50">
        <f t="shared" si="136"/>
        <v>4</v>
      </c>
      <c r="E272" s="51">
        <f t="shared" si="142"/>
        <v>4.6666666666666696</v>
      </c>
      <c r="F272" s="52">
        <f>MAX(MID(B272,{1,2,3},1)*1)-MIN(MID(B272,{1,2,3},1)*1)</f>
        <v>6</v>
      </c>
      <c r="G272" s="104">
        <v>0</v>
      </c>
      <c r="H272" s="104">
        <v>1</v>
      </c>
      <c r="I272" s="104">
        <v>2</v>
      </c>
      <c r="J272" s="104">
        <v>3</v>
      </c>
      <c r="K272" s="104">
        <v>4</v>
      </c>
      <c r="L272" s="104">
        <v>5</v>
      </c>
      <c r="M272" s="104">
        <v>6</v>
      </c>
      <c r="N272" s="104">
        <v>7</v>
      </c>
      <c r="O272" s="104">
        <v>8</v>
      </c>
      <c r="P272" s="104">
        <v>9</v>
      </c>
      <c r="Q272" s="53">
        <f t="shared" si="137"/>
        <v>2</v>
      </c>
      <c r="R272" s="53">
        <f t="shared" si="138"/>
        <v>6</v>
      </c>
      <c r="S272" s="53">
        <f t="shared" si="139"/>
        <v>4</v>
      </c>
      <c r="T272" s="101">
        <f t="shared" si="143"/>
        <v>12</v>
      </c>
      <c r="U272" s="15" t="str">
        <f>_xlfn.TEXTJOIN(", ",TRUE,ABS(MID(B272,{1,1,2},1)-MID(B272,{2,3,3},1)))</f>
        <v>2, 6, 4</v>
      </c>
      <c r="V272" s="54">
        <v>0</v>
      </c>
      <c r="W272" s="54">
        <v>1</v>
      </c>
      <c r="X272" s="54">
        <v>2</v>
      </c>
      <c r="Y272" s="54">
        <v>3</v>
      </c>
      <c r="Z272" s="54">
        <v>4</v>
      </c>
      <c r="AA272" s="54">
        <v>5</v>
      </c>
      <c r="AB272" s="54">
        <v>6</v>
      </c>
      <c r="AC272" s="54">
        <v>7</v>
      </c>
      <c r="AD272" s="54">
        <v>8</v>
      </c>
      <c r="AE272" s="54">
        <v>9</v>
      </c>
      <c r="AF272" s="55">
        <v>0</v>
      </c>
      <c r="AG272" s="55">
        <v>1</v>
      </c>
      <c r="AH272" s="55">
        <v>2</v>
      </c>
      <c r="AI272" s="55">
        <v>3</v>
      </c>
      <c r="AJ272" s="55">
        <v>4</v>
      </c>
      <c r="AK272" s="55">
        <v>5</v>
      </c>
      <c r="AL272" s="55">
        <v>6</v>
      </c>
      <c r="AM272" s="55">
        <v>7</v>
      </c>
      <c r="AN272" s="55">
        <v>8</v>
      </c>
      <c r="AO272" s="55">
        <v>9</v>
      </c>
      <c r="AP272" s="105">
        <v>0</v>
      </c>
      <c r="AQ272" s="105">
        <v>1</v>
      </c>
      <c r="AR272" s="105">
        <v>2</v>
      </c>
      <c r="AS272" s="105">
        <v>3</v>
      </c>
      <c r="AT272" s="105">
        <v>4</v>
      </c>
      <c r="AU272" s="105">
        <v>5</v>
      </c>
      <c r="AV272" s="105">
        <v>6</v>
      </c>
      <c r="AW272" s="105">
        <v>7</v>
      </c>
      <c r="AX272" s="105">
        <v>8</v>
      </c>
      <c r="AY272" s="105">
        <v>9</v>
      </c>
      <c r="AZ272" s="56">
        <v>0</v>
      </c>
      <c r="BA272" s="56">
        <v>1</v>
      </c>
      <c r="BB272" s="56">
        <v>2</v>
      </c>
      <c r="BC272" s="56">
        <v>3</v>
      </c>
      <c r="BD272" s="56">
        <v>4</v>
      </c>
      <c r="BE272" s="56">
        <v>5</v>
      </c>
      <c r="BF272" s="56">
        <v>6</v>
      </c>
      <c r="BG272" s="56">
        <v>7</v>
      </c>
      <c r="BH272" s="56">
        <v>8</v>
      </c>
      <c r="BI272" s="56">
        <v>9</v>
      </c>
      <c r="BJ272" s="57" t="str">
        <f t="shared" si="144"/>
        <v>松散型</v>
      </c>
      <c r="BK272" s="13">
        <f t="shared" si="140"/>
        <v>2</v>
      </c>
      <c r="BL272" s="13">
        <f t="shared" si="141"/>
        <v>6</v>
      </c>
      <c r="BM272" s="18" t="str">
        <f t="shared" si="146"/>
        <v/>
      </c>
      <c r="BN272" s="19" t="str">
        <f t="shared" si="147"/>
        <v/>
      </c>
      <c r="BO272" s="19" t="str">
        <f t="array" ref="BO272">_xlfn.TEXTJOIN("",TRUE,IF(ISERROR(FIND(ROW($1:$10)-1,BM272&amp;BN272)),ROW($1:$10)-1,""))</f>
        <v>0123456789</v>
      </c>
      <c r="BP272" s="20" t="str">
        <f t="shared" si="148"/>
        <v>中中中</v>
      </c>
      <c r="BQ272" s="21" t="str">
        <f t="shared" si="159"/>
        <v/>
      </c>
      <c r="BR272" s="21" t="str">
        <f t="shared" si="157"/>
        <v/>
      </c>
      <c r="BS272" s="21" t="str">
        <f t="array" ref="BS272">_xlfn.TEXTJOIN("",TRUE,IF(ISERROR(FIND(ROW($1:$10)-1,BQ272&amp;BR272)),ROW($1:$10)-1,""))</f>
        <v>0123456789</v>
      </c>
      <c r="BT272" s="20" t="str">
        <f t="shared" si="149"/>
        <v>中中中</v>
      </c>
      <c r="BU272" s="22">
        <f t="shared" si="150"/>
        <v>4</v>
      </c>
      <c r="BV272" s="22" t="str">
        <f t="shared" si="158"/>
        <v/>
      </c>
      <c r="BW272" s="22" t="str">
        <f t="array" ref="BW272">_xlfn.TEXTJOIN("",TRUE,IF(ISERROR(FIND(ROW($1:$10)-1,BU272&amp;BV272)),ROW($1:$10)-1,""))</f>
        <v>012356789</v>
      </c>
      <c r="BX272" s="20" t="str">
        <f t="shared" si="151"/>
        <v>复中中</v>
      </c>
      <c r="BY272" s="23" t="str">
        <f t="shared" si="145"/>
        <v>13</v>
      </c>
      <c r="BZ272" s="24" t="str">
        <f t="array" ref="BZ272">_xlfn.TEXTJOIN("",TRUE,IF(ISNUMBER(FIND(MID(BY271&amp;Q271,ROW($1:$4),1),BY272&amp;Q272)),MID(BY271&amp;Q271,ROW($1:$4),1),""))</f>
        <v/>
      </c>
      <c r="CA272" s="25" t="str">
        <f t="array" ref="CA272">_xlfn.TEXTJOIN("",TRUE,IF(ISERROR(FIND(ROW($1:$10)-1,BY272&amp;BZ272)),ROW($1:$10)-1,""))</f>
        <v>02456789</v>
      </c>
      <c r="CB272" s="26" t="str">
        <f t="shared" si="152"/>
        <v>邻孤孤</v>
      </c>
      <c r="CC272" s="27" t="str">
        <f t="shared" si="153"/>
        <v>57</v>
      </c>
      <c r="CD272" s="27" t="str">
        <f t="array" ref="CD272">_xlfn.TEXTJOIN("",TRUE,IF(ISNUMBER(FIND(MID(CC271&amp;R271,ROW($1:$4),1),CC272&amp;R272)),MID(CC271&amp;R271,ROW($1:$4),1),""))</f>
        <v>5</v>
      </c>
      <c r="CE272" s="27" t="str">
        <f t="array" ref="CE272">_xlfn.TEXTJOIN("",TRUE,IF(ISERROR(FIND(ROW($1:$10)-1,CC272&amp;CD272)),ROW($1:$10)-1,""))</f>
        <v>01234689</v>
      </c>
      <c r="CF272" s="17" t="str">
        <f t="shared" si="154"/>
        <v>邻传孤</v>
      </c>
      <c r="CG272" s="22" t="str">
        <f t="shared" si="155"/>
        <v>35</v>
      </c>
      <c r="CH272" s="22" t="str">
        <f t="array" ref="CH272">_xlfn.TEXTJOIN("",TRUE,IF(ISNUMBER(FIND(MID(CG271&amp;S271,ROW($1:$4),1),CG272&amp;S272)),MID(CG271&amp;S271,ROW($1:$4),1),""))</f>
        <v/>
      </c>
      <c r="CI272" s="22" t="str">
        <f t="array" ref="CI272">_xlfn.TEXTJOIN("",TRUE,IF(ISERROR(FIND(ROW($1:$10)-1,CG272&amp;CH272)),ROW($1:$10)-1,""))</f>
        <v>01246789</v>
      </c>
      <c r="CJ272" s="28" t="str">
        <f t="shared" si="156"/>
        <v>邻孤孤</v>
      </c>
    </row>
    <row r="273" spans="1:88">
      <c r="A273" s="32">
        <v>2025048</v>
      </c>
      <c r="B273" s="8" t="s">
        <v>30</v>
      </c>
      <c r="C273" s="49">
        <f t="shared" si="135"/>
        <v>10</v>
      </c>
      <c r="D273" s="50">
        <f t="shared" si="136"/>
        <v>0</v>
      </c>
      <c r="E273" s="51">
        <f t="shared" si="142"/>
        <v>3.3333333333333299</v>
      </c>
      <c r="F273" s="52">
        <f>MAX(MID(B273,{1,2,3},1)*1)-MIN(MID(B273,{1,2,3},1)*1)</f>
        <v>6</v>
      </c>
      <c r="G273" s="104">
        <v>0</v>
      </c>
      <c r="H273" s="104">
        <v>1</v>
      </c>
      <c r="I273" s="104">
        <v>2</v>
      </c>
      <c r="J273" s="104">
        <v>3</v>
      </c>
      <c r="K273" s="104">
        <v>4</v>
      </c>
      <c r="L273" s="104">
        <v>5</v>
      </c>
      <c r="M273" s="104">
        <v>6</v>
      </c>
      <c r="N273" s="104">
        <v>7</v>
      </c>
      <c r="O273" s="104">
        <v>8</v>
      </c>
      <c r="P273" s="104">
        <v>9</v>
      </c>
      <c r="Q273" s="53">
        <f t="shared" si="137"/>
        <v>2</v>
      </c>
      <c r="R273" s="53">
        <f t="shared" si="138"/>
        <v>6</v>
      </c>
      <c r="S273" s="53">
        <f t="shared" si="139"/>
        <v>4</v>
      </c>
      <c r="T273" s="101">
        <f t="shared" si="143"/>
        <v>12</v>
      </c>
      <c r="U273" s="15" t="str">
        <f>_xlfn.TEXTJOIN(", ",TRUE,ABS(MID(B273,{1,1,2},1)-MID(B273,{2,3,3},1)))</f>
        <v>2, 6, 4</v>
      </c>
      <c r="V273" s="54">
        <v>0</v>
      </c>
      <c r="W273" s="54">
        <v>1</v>
      </c>
      <c r="X273" s="54">
        <v>2</v>
      </c>
      <c r="Y273" s="54">
        <v>3</v>
      </c>
      <c r="Z273" s="54">
        <v>4</v>
      </c>
      <c r="AA273" s="54">
        <v>5</v>
      </c>
      <c r="AB273" s="54">
        <v>6</v>
      </c>
      <c r="AC273" s="54">
        <v>7</v>
      </c>
      <c r="AD273" s="54">
        <v>8</v>
      </c>
      <c r="AE273" s="54">
        <v>9</v>
      </c>
      <c r="AF273" s="55">
        <v>0</v>
      </c>
      <c r="AG273" s="55">
        <v>1</v>
      </c>
      <c r="AH273" s="55">
        <v>2</v>
      </c>
      <c r="AI273" s="55">
        <v>3</v>
      </c>
      <c r="AJ273" s="55">
        <v>4</v>
      </c>
      <c r="AK273" s="55">
        <v>5</v>
      </c>
      <c r="AL273" s="55">
        <v>6</v>
      </c>
      <c r="AM273" s="55">
        <v>7</v>
      </c>
      <c r="AN273" s="55">
        <v>8</v>
      </c>
      <c r="AO273" s="55">
        <v>9</v>
      </c>
      <c r="AP273" s="105">
        <v>0</v>
      </c>
      <c r="AQ273" s="105">
        <v>1</v>
      </c>
      <c r="AR273" s="105">
        <v>2</v>
      </c>
      <c r="AS273" s="105">
        <v>3</v>
      </c>
      <c r="AT273" s="105">
        <v>4</v>
      </c>
      <c r="AU273" s="105">
        <v>5</v>
      </c>
      <c r="AV273" s="105">
        <v>6</v>
      </c>
      <c r="AW273" s="105">
        <v>7</v>
      </c>
      <c r="AX273" s="105">
        <v>8</v>
      </c>
      <c r="AY273" s="105">
        <v>9</v>
      </c>
      <c r="AZ273" s="56">
        <v>0</v>
      </c>
      <c r="BA273" s="56">
        <v>1</v>
      </c>
      <c r="BB273" s="56">
        <v>2</v>
      </c>
      <c r="BC273" s="56">
        <v>3</v>
      </c>
      <c r="BD273" s="56">
        <v>4</v>
      </c>
      <c r="BE273" s="56">
        <v>5</v>
      </c>
      <c r="BF273" s="56">
        <v>6</v>
      </c>
      <c r="BG273" s="56">
        <v>7</v>
      </c>
      <c r="BH273" s="56">
        <v>8</v>
      </c>
      <c r="BI273" s="56">
        <v>9</v>
      </c>
      <c r="BJ273" s="57" t="str">
        <f t="shared" si="144"/>
        <v>松散型</v>
      </c>
      <c r="BK273" s="13">
        <f t="shared" si="140"/>
        <v>2</v>
      </c>
      <c r="BL273" s="13">
        <f t="shared" si="141"/>
        <v>6</v>
      </c>
      <c r="BM273" s="18">
        <f t="shared" si="146"/>
        <v>2</v>
      </c>
      <c r="BN273" s="19" t="str">
        <f t="shared" si="147"/>
        <v/>
      </c>
      <c r="BO273" s="19" t="str">
        <f t="array" ref="BO273">_xlfn.TEXTJOIN("",TRUE,IF(ISERROR(FIND(ROW($1:$10)-1,BM273&amp;BN273)),ROW($1:$10)-1,""))</f>
        <v>013456789</v>
      </c>
      <c r="BP273" s="20" t="str">
        <f t="shared" si="148"/>
        <v>复中中</v>
      </c>
      <c r="BQ273" s="21">
        <f t="shared" si="159"/>
        <v>6</v>
      </c>
      <c r="BR273" s="21" t="str">
        <f t="shared" si="157"/>
        <v/>
      </c>
      <c r="BS273" s="21" t="str">
        <f t="array" ref="BS273">_xlfn.TEXTJOIN("",TRUE,IF(ISERROR(FIND(ROW($1:$10)-1,BQ273&amp;BR273)),ROW($1:$10)-1,""))</f>
        <v>012345789</v>
      </c>
      <c r="BT273" s="20" t="str">
        <f t="shared" si="149"/>
        <v>复中中</v>
      </c>
      <c r="BU273" s="22">
        <f t="shared" si="150"/>
        <v>4</v>
      </c>
      <c r="BV273" s="22">
        <f t="shared" si="158"/>
        <v>4</v>
      </c>
      <c r="BW273" s="22" t="str">
        <f t="array" ref="BW273">_xlfn.TEXTJOIN("",TRUE,IF(ISERROR(FIND(ROW($1:$10)-1,BU273&amp;BV273)),ROW($1:$10)-1,""))</f>
        <v>012356789</v>
      </c>
      <c r="BX273" s="20" t="str">
        <f t="shared" si="151"/>
        <v>复隔中</v>
      </c>
      <c r="BY273" s="23" t="str">
        <f t="shared" si="145"/>
        <v>13</v>
      </c>
      <c r="BZ273" s="24" t="str">
        <f t="array" ref="BZ273">_xlfn.TEXTJOIN("",TRUE,IF(ISNUMBER(FIND(MID(BY272&amp;Q272,ROW($1:$4),1),BY273&amp;Q273)),MID(BY272&amp;Q272,ROW($1:$4),1),""))</f>
        <v>132</v>
      </c>
      <c r="CA273" s="25" t="str">
        <f t="array" ref="CA273">_xlfn.TEXTJOIN("",TRUE,IF(ISERROR(FIND(ROW($1:$10)-1,BY273&amp;BZ273)),ROW($1:$10)-1,""))</f>
        <v>0456789</v>
      </c>
      <c r="CB273" s="26" t="str">
        <f t="shared" si="152"/>
        <v>邻传孤</v>
      </c>
      <c r="CC273" s="27" t="str">
        <f t="shared" si="153"/>
        <v>57</v>
      </c>
      <c r="CD273" s="27" t="str">
        <f t="array" ref="CD273">_xlfn.TEXTJOIN("",TRUE,IF(ISNUMBER(FIND(MID(CC272&amp;R272,ROW($1:$4),1),CC273&amp;R273)),MID(CC272&amp;R272,ROW($1:$4),1),""))</f>
        <v>576</v>
      </c>
      <c r="CE273" s="27" t="str">
        <f t="array" ref="CE273">_xlfn.TEXTJOIN("",TRUE,IF(ISERROR(FIND(ROW($1:$10)-1,CC273&amp;CD273)),ROW($1:$10)-1,""))</f>
        <v>0123489</v>
      </c>
      <c r="CF273" s="17" t="str">
        <f t="shared" si="154"/>
        <v>邻传孤</v>
      </c>
      <c r="CG273" s="22" t="str">
        <f t="shared" si="155"/>
        <v>35</v>
      </c>
      <c r="CH273" s="22" t="str">
        <f t="array" ref="CH273">_xlfn.TEXTJOIN("",TRUE,IF(ISNUMBER(FIND(MID(CG272&amp;S272,ROW($1:$4),1),CG273&amp;S273)),MID(CG272&amp;S272,ROW($1:$4),1),""))</f>
        <v>354</v>
      </c>
      <c r="CI273" s="22" t="str">
        <f t="array" ref="CI273">_xlfn.TEXTJOIN("",TRUE,IF(ISERROR(FIND(ROW($1:$10)-1,CG273&amp;CH273)),ROW($1:$10)-1,""))</f>
        <v>0126789</v>
      </c>
      <c r="CJ273" s="28" t="str">
        <f t="shared" si="156"/>
        <v>邻传孤</v>
      </c>
    </row>
    <row r="274" spans="1:88">
      <c r="A274" s="32">
        <v>2025049</v>
      </c>
      <c r="B274" s="8" t="s">
        <v>254</v>
      </c>
      <c r="C274" s="49">
        <f t="shared" si="135"/>
        <v>4</v>
      </c>
      <c r="D274" s="50">
        <f t="shared" si="136"/>
        <v>4</v>
      </c>
      <c r="E274" s="51">
        <f t="shared" si="142"/>
        <v>1.3333333333333299</v>
      </c>
      <c r="F274" s="52">
        <f>MAX(MID(B274,{1,2,3},1)*1)-MIN(MID(B274,{1,2,3},1)*1)</f>
        <v>4</v>
      </c>
      <c r="G274" s="104">
        <v>0</v>
      </c>
      <c r="H274" s="104">
        <v>1</v>
      </c>
      <c r="I274" s="104">
        <v>2</v>
      </c>
      <c r="J274" s="104">
        <v>3</v>
      </c>
      <c r="K274" s="104">
        <v>4</v>
      </c>
      <c r="L274" s="104">
        <v>5</v>
      </c>
      <c r="M274" s="104">
        <v>6</v>
      </c>
      <c r="N274" s="104">
        <v>7</v>
      </c>
      <c r="O274" s="104">
        <v>8</v>
      </c>
      <c r="P274" s="104">
        <v>9</v>
      </c>
      <c r="Q274" s="53">
        <f t="shared" si="137"/>
        <v>0</v>
      </c>
      <c r="R274" s="53">
        <f t="shared" si="138"/>
        <v>4</v>
      </c>
      <c r="S274" s="53">
        <f t="shared" si="139"/>
        <v>4</v>
      </c>
      <c r="T274" s="101">
        <f t="shared" si="143"/>
        <v>8</v>
      </c>
      <c r="U274" s="15" t="str">
        <f>_xlfn.TEXTJOIN(", ",TRUE,ABS(MID(B274,{1,1,2},1)-MID(B274,{2,3,3},1)))</f>
        <v>0, 4, 4</v>
      </c>
      <c r="V274" s="54">
        <v>0</v>
      </c>
      <c r="W274" s="54">
        <v>1</v>
      </c>
      <c r="X274" s="54">
        <v>2</v>
      </c>
      <c r="Y274" s="54">
        <v>3</v>
      </c>
      <c r="Z274" s="54">
        <v>4</v>
      </c>
      <c r="AA274" s="54">
        <v>5</v>
      </c>
      <c r="AB274" s="54">
        <v>6</v>
      </c>
      <c r="AC274" s="54">
        <v>7</v>
      </c>
      <c r="AD274" s="54">
        <v>8</v>
      </c>
      <c r="AE274" s="54">
        <v>9</v>
      </c>
      <c r="AF274" s="55">
        <v>0</v>
      </c>
      <c r="AG274" s="55">
        <v>1</v>
      </c>
      <c r="AH274" s="55">
        <v>2</v>
      </c>
      <c r="AI274" s="55">
        <v>3</v>
      </c>
      <c r="AJ274" s="55">
        <v>4</v>
      </c>
      <c r="AK274" s="55">
        <v>5</v>
      </c>
      <c r="AL274" s="55">
        <v>6</v>
      </c>
      <c r="AM274" s="55">
        <v>7</v>
      </c>
      <c r="AN274" s="55">
        <v>8</v>
      </c>
      <c r="AO274" s="55">
        <v>9</v>
      </c>
      <c r="AP274" s="105">
        <v>0</v>
      </c>
      <c r="AQ274" s="105">
        <v>1</v>
      </c>
      <c r="AR274" s="105">
        <v>2</v>
      </c>
      <c r="AS274" s="105">
        <v>3</v>
      </c>
      <c r="AT274" s="105">
        <v>4</v>
      </c>
      <c r="AU274" s="105">
        <v>5</v>
      </c>
      <c r="AV274" s="105">
        <v>6</v>
      </c>
      <c r="AW274" s="105">
        <v>7</v>
      </c>
      <c r="AX274" s="105">
        <v>8</v>
      </c>
      <c r="AY274" s="105">
        <v>9</v>
      </c>
      <c r="AZ274" s="56">
        <v>0</v>
      </c>
      <c r="BA274" s="56">
        <v>1</v>
      </c>
      <c r="BB274" s="56">
        <v>2</v>
      </c>
      <c r="BC274" s="56">
        <v>3</v>
      </c>
      <c r="BD274" s="56">
        <v>4</v>
      </c>
      <c r="BE274" s="56">
        <v>5</v>
      </c>
      <c r="BF274" s="56">
        <v>6</v>
      </c>
      <c r="BG274" s="56">
        <v>7</v>
      </c>
      <c r="BH274" s="56">
        <v>8</v>
      </c>
      <c r="BI274" s="56">
        <v>9</v>
      </c>
      <c r="BJ274" s="57" t="str">
        <f t="shared" si="144"/>
        <v>紧凑型</v>
      </c>
      <c r="BK274" s="13">
        <f t="shared" si="140"/>
        <v>0</v>
      </c>
      <c r="BL274" s="13">
        <f t="shared" si="141"/>
        <v>4</v>
      </c>
      <c r="BM274" s="18" t="str">
        <f t="shared" si="146"/>
        <v/>
      </c>
      <c r="BN274" s="19" t="str">
        <f t="shared" si="147"/>
        <v/>
      </c>
      <c r="BO274" s="19" t="str">
        <f t="array" ref="BO274">_xlfn.TEXTJOIN("",TRUE,IF(ISERROR(FIND(ROW($1:$10)-1,BM274&amp;BN274)),ROW($1:$10)-1,""))</f>
        <v>0123456789</v>
      </c>
      <c r="BP274" s="20" t="str">
        <f t="shared" si="148"/>
        <v>中中中</v>
      </c>
      <c r="BQ274" s="21">
        <f t="shared" si="159"/>
        <v>4</v>
      </c>
      <c r="BR274" s="21">
        <f t="shared" si="157"/>
        <v>4</v>
      </c>
      <c r="BS274" s="21" t="str">
        <f t="array" ref="BS274">_xlfn.TEXTJOIN("",TRUE,IF(ISERROR(FIND(ROW($1:$10)-1,BQ274&amp;BR274)),ROW($1:$10)-1,""))</f>
        <v>012356789</v>
      </c>
      <c r="BT274" s="20" t="str">
        <f t="shared" si="149"/>
        <v>复隔中</v>
      </c>
      <c r="BU274" s="22">
        <f t="shared" si="150"/>
        <v>4</v>
      </c>
      <c r="BV274" s="22">
        <f t="shared" si="158"/>
        <v>4</v>
      </c>
      <c r="BW274" s="22" t="str">
        <f t="array" ref="BW274">_xlfn.TEXTJOIN("",TRUE,IF(ISERROR(FIND(ROW($1:$10)-1,BU274&amp;BV274)),ROW($1:$10)-1,""))</f>
        <v>012356789</v>
      </c>
      <c r="BX274" s="20" t="str">
        <f t="shared" si="151"/>
        <v>复隔中</v>
      </c>
      <c r="BY274" s="23" t="str">
        <f t="shared" si="145"/>
        <v>91</v>
      </c>
      <c r="BZ274" s="24" t="str">
        <f t="array" ref="BZ274">_xlfn.TEXTJOIN("",TRUE,IF(ISNUMBER(FIND(MID(BY273&amp;Q273,ROW($1:$4),1),BY274&amp;Q274)),MID(BY273&amp;Q273,ROW($1:$4),1),""))</f>
        <v>1</v>
      </c>
      <c r="CA274" s="25" t="str">
        <f t="array" ref="CA274">_xlfn.TEXTJOIN("",TRUE,IF(ISERROR(FIND(ROW($1:$10)-1,BY274&amp;BZ274)),ROW($1:$10)-1,""))</f>
        <v>02345678</v>
      </c>
      <c r="CB274" s="26" t="str">
        <f t="shared" si="152"/>
        <v>邻传孤</v>
      </c>
      <c r="CC274" s="27" t="str">
        <f t="shared" si="153"/>
        <v>35</v>
      </c>
      <c r="CD274" s="27" t="str">
        <f t="array" ref="CD274">_xlfn.TEXTJOIN("",TRUE,IF(ISNUMBER(FIND(MID(CC273&amp;R273,ROW($1:$4),1),CC274&amp;R274)),MID(CC273&amp;R273,ROW($1:$4),1),""))</f>
        <v>5</v>
      </c>
      <c r="CE274" s="27" t="str">
        <f t="array" ref="CE274">_xlfn.TEXTJOIN("",TRUE,IF(ISERROR(FIND(ROW($1:$10)-1,CC274&amp;CD274)),ROW($1:$10)-1,""))</f>
        <v>01246789</v>
      </c>
      <c r="CF274" s="17" t="str">
        <f t="shared" si="154"/>
        <v>邻传孤</v>
      </c>
      <c r="CG274" s="22" t="str">
        <f t="shared" si="155"/>
        <v>35</v>
      </c>
      <c r="CH274" s="22" t="str">
        <f t="array" ref="CH274">_xlfn.TEXTJOIN("",TRUE,IF(ISNUMBER(FIND(MID(CG273&amp;S273,ROW($1:$4),1),CG274&amp;S274)),MID(CG273&amp;S273,ROW($1:$4),1),""))</f>
        <v>354</v>
      </c>
      <c r="CI274" s="22" t="str">
        <f t="array" ref="CI274">_xlfn.TEXTJOIN("",TRUE,IF(ISERROR(FIND(ROW($1:$10)-1,CG274&amp;CH274)),ROW($1:$10)-1,""))</f>
        <v>0126789</v>
      </c>
      <c r="CJ274" s="28" t="str">
        <f t="shared" si="156"/>
        <v>邻传孤</v>
      </c>
    </row>
    <row r="275" spans="1:88">
      <c r="A275" s="32">
        <v>2025050</v>
      </c>
      <c r="B275" s="8" t="s">
        <v>255</v>
      </c>
      <c r="C275" s="49">
        <f t="shared" si="135"/>
        <v>14</v>
      </c>
      <c r="D275" s="50">
        <f t="shared" si="136"/>
        <v>4</v>
      </c>
      <c r="E275" s="51">
        <f t="shared" si="142"/>
        <v>4.6666666666666696</v>
      </c>
      <c r="F275" s="52">
        <f>MAX(MID(B275,{1,2,3},1)*1)-MIN(MID(B275,{1,2,3},1)*1)</f>
        <v>8</v>
      </c>
      <c r="G275" s="104">
        <v>0</v>
      </c>
      <c r="H275" s="104">
        <v>1</v>
      </c>
      <c r="I275" s="104">
        <v>2</v>
      </c>
      <c r="J275" s="104">
        <v>3</v>
      </c>
      <c r="K275" s="104">
        <v>4</v>
      </c>
      <c r="L275" s="104">
        <v>5</v>
      </c>
      <c r="M275" s="104">
        <v>6</v>
      </c>
      <c r="N275" s="104">
        <v>7</v>
      </c>
      <c r="O275" s="104">
        <v>8</v>
      </c>
      <c r="P275" s="104">
        <v>9</v>
      </c>
      <c r="Q275" s="53">
        <f t="shared" si="137"/>
        <v>8</v>
      </c>
      <c r="R275" s="53">
        <f t="shared" si="138"/>
        <v>2</v>
      </c>
      <c r="S275" s="53">
        <f t="shared" si="139"/>
        <v>6</v>
      </c>
      <c r="T275" s="101">
        <f t="shared" si="143"/>
        <v>16</v>
      </c>
      <c r="U275" s="15" t="str">
        <f>_xlfn.TEXTJOIN(", ",TRUE,ABS(MID(B275,{1,1,2},1)-MID(B275,{2,3,3},1)))</f>
        <v>8, 2, 6</v>
      </c>
      <c r="V275" s="54">
        <v>0</v>
      </c>
      <c r="W275" s="54">
        <v>1</v>
      </c>
      <c r="X275" s="54">
        <v>2</v>
      </c>
      <c r="Y275" s="54">
        <v>3</v>
      </c>
      <c r="Z275" s="54">
        <v>4</v>
      </c>
      <c r="AA275" s="54">
        <v>5</v>
      </c>
      <c r="AB275" s="54">
        <v>6</v>
      </c>
      <c r="AC275" s="54">
        <v>7</v>
      </c>
      <c r="AD275" s="54">
        <v>8</v>
      </c>
      <c r="AE275" s="54">
        <v>9</v>
      </c>
      <c r="AF275" s="55">
        <v>0</v>
      </c>
      <c r="AG275" s="55">
        <v>1</v>
      </c>
      <c r="AH275" s="55">
        <v>2</v>
      </c>
      <c r="AI275" s="55">
        <v>3</v>
      </c>
      <c r="AJ275" s="55">
        <v>4</v>
      </c>
      <c r="AK275" s="55">
        <v>5</v>
      </c>
      <c r="AL275" s="55">
        <v>6</v>
      </c>
      <c r="AM275" s="55">
        <v>7</v>
      </c>
      <c r="AN275" s="55">
        <v>8</v>
      </c>
      <c r="AO275" s="55">
        <v>9</v>
      </c>
      <c r="AP275" s="105">
        <v>0</v>
      </c>
      <c r="AQ275" s="105">
        <v>1</v>
      </c>
      <c r="AR275" s="105">
        <v>2</v>
      </c>
      <c r="AS275" s="105">
        <v>3</v>
      </c>
      <c r="AT275" s="105">
        <v>4</v>
      </c>
      <c r="AU275" s="105">
        <v>5</v>
      </c>
      <c r="AV275" s="105">
        <v>6</v>
      </c>
      <c r="AW275" s="105">
        <v>7</v>
      </c>
      <c r="AX275" s="105">
        <v>8</v>
      </c>
      <c r="AY275" s="105">
        <v>9</v>
      </c>
      <c r="AZ275" s="56">
        <v>0</v>
      </c>
      <c r="BA275" s="56">
        <v>1</v>
      </c>
      <c r="BB275" s="56">
        <v>2</v>
      </c>
      <c r="BC275" s="56">
        <v>3</v>
      </c>
      <c r="BD275" s="56">
        <v>4</v>
      </c>
      <c r="BE275" s="56">
        <v>5</v>
      </c>
      <c r="BF275" s="56">
        <v>6</v>
      </c>
      <c r="BG275" s="56">
        <v>7</v>
      </c>
      <c r="BH275" s="56">
        <v>8</v>
      </c>
      <c r="BI275" s="56">
        <v>9</v>
      </c>
      <c r="BJ275" s="57" t="str">
        <f t="shared" si="144"/>
        <v>松散型</v>
      </c>
      <c r="BK275" s="13">
        <f t="shared" si="140"/>
        <v>2</v>
      </c>
      <c r="BL275" s="13">
        <f t="shared" si="141"/>
        <v>8</v>
      </c>
      <c r="BM275" s="18" t="str">
        <f t="shared" si="146"/>
        <v/>
      </c>
      <c r="BN275" s="19" t="str">
        <f t="shared" si="147"/>
        <v/>
      </c>
      <c r="BO275" s="19" t="str">
        <f t="array" ref="BO275">_xlfn.TEXTJOIN("",TRUE,IF(ISERROR(FIND(ROW($1:$10)-1,BM275&amp;BN275)),ROW($1:$10)-1,""))</f>
        <v>0123456789</v>
      </c>
      <c r="BP275" s="20" t="str">
        <f t="shared" si="148"/>
        <v>中中中</v>
      </c>
      <c r="BQ275" s="21" t="str">
        <f t="shared" si="159"/>
        <v/>
      </c>
      <c r="BR275" s="21">
        <f t="shared" si="157"/>
        <v>2</v>
      </c>
      <c r="BS275" s="21" t="str">
        <f t="array" ref="BS275">_xlfn.TEXTJOIN("",TRUE,IF(ISERROR(FIND(ROW($1:$10)-1,BQ275&amp;BR275)),ROW($1:$10)-1,""))</f>
        <v>013456789</v>
      </c>
      <c r="BT275" s="20" t="str">
        <f t="shared" si="149"/>
        <v>中隔中</v>
      </c>
      <c r="BU275" s="22" t="str">
        <f t="shared" si="150"/>
        <v/>
      </c>
      <c r="BV275" s="22">
        <f t="shared" si="158"/>
        <v>6</v>
      </c>
      <c r="BW275" s="22" t="str">
        <f t="array" ref="BW275">_xlfn.TEXTJOIN("",TRUE,IF(ISERROR(FIND(ROW($1:$10)-1,BU275&amp;BV275)),ROW($1:$10)-1,""))</f>
        <v>012345789</v>
      </c>
      <c r="BX275" s="20" t="str">
        <f t="shared" si="151"/>
        <v>中隔中</v>
      </c>
      <c r="BY275" s="23" t="str">
        <f t="shared" si="145"/>
        <v>79</v>
      </c>
      <c r="BZ275" s="24" t="str">
        <f t="array" ref="BZ275">_xlfn.TEXTJOIN("",TRUE,IF(ISNUMBER(FIND(MID(BY274&amp;Q274,ROW($1:$4),1),BY275&amp;Q275)),MID(BY274&amp;Q274,ROW($1:$4),1),""))</f>
        <v>9</v>
      </c>
      <c r="CA275" s="25" t="str">
        <f t="array" ref="CA275">_xlfn.TEXTJOIN("",TRUE,IF(ISERROR(FIND(ROW($1:$10)-1,BY275&amp;BZ275)),ROW($1:$10)-1,""))</f>
        <v>01234568</v>
      </c>
      <c r="CB275" s="26" t="str">
        <f t="shared" si="152"/>
        <v>邻传孤</v>
      </c>
      <c r="CC275" s="27" t="str">
        <f t="shared" si="153"/>
        <v>13</v>
      </c>
      <c r="CD275" s="27" t="str">
        <f t="array" ref="CD275">_xlfn.TEXTJOIN("",TRUE,IF(ISNUMBER(FIND(MID(CC274&amp;R274,ROW($1:$4),1),CC275&amp;R275)),MID(CC274&amp;R274,ROW($1:$4),1),""))</f>
        <v>3</v>
      </c>
      <c r="CE275" s="27" t="str">
        <f t="array" ref="CE275">_xlfn.TEXTJOIN("",TRUE,IF(ISERROR(FIND(ROW($1:$10)-1,CC275&amp;CD275)),ROW($1:$10)-1,""))</f>
        <v>02456789</v>
      </c>
      <c r="CF275" s="17" t="str">
        <f t="shared" si="154"/>
        <v>邻传孤</v>
      </c>
      <c r="CG275" s="22" t="str">
        <f t="shared" si="155"/>
        <v>57</v>
      </c>
      <c r="CH275" s="22" t="str">
        <f t="array" ref="CH275">_xlfn.TEXTJOIN("",TRUE,IF(ISNUMBER(FIND(MID(CG274&amp;S274,ROW($1:$4),1),CG275&amp;S275)),MID(CG274&amp;S274,ROW($1:$4),1),""))</f>
        <v>5</v>
      </c>
      <c r="CI275" s="22" t="str">
        <f t="array" ref="CI275">_xlfn.TEXTJOIN("",TRUE,IF(ISERROR(FIND(ROW($1:$10)-1,CG275&amp;CH275)),ROW($1:$10)-1,""))</f>
        <v>01234689</v>
      </c>
      <c r="CJ275" s="28" t="str">
        <f t="shared" si="156"/>
        <v>邻传孤</v>
      </c>
    </row>
    <row r="276" spans="1:88">
      <c r="A276" s="32">
        <v>2025051</v>
      </c>
      <c r="B276" s="8" t="s">
        <v>256</v>
      </c>
      <c r="C276" s="49">
        <f t="shared" si="135"/>
        <v>14</v>
      </c>
      <c r="D276" s="50">
        <f t="shared" si="136"/>
        <v>4</v>
      </c>
      <c r="E276" s="51">
        <f t="shared" si="142"/>
        <v>4.6666666666666696</v>
      </c>
      <c r="F276" s="52">
        <f>MAX(MID(B276,{1,2,3},1)*1)-MIN(MID(B276,{1,2,3},1)*1)</f>
        <v>9</v>
      </c>
      <c r="G276" s="104">
        <v>0</v>
      </c>
      <c r="H276" s="104">
        <v>1</v>
      </c>
      <c r="I276" s="104">
        <v>2</v>
      </c>
      <c r="J276" s="104">
        <v>3</v>
      </c>
      <c r="K276" s="104">
        <v>4</v>
      </c>
      <c r="L276" s="104">
        <v>5</v>
      </c>
      <c r="M276" s="104">
        <v>6</v>
      </c>
      <c r="N276" s="104">
        <v>7</v>
      </c>
      <c r="O276" s="104">
        <v>8</v>
      </c>
      <c r="P276" s="104">
        <v>9</v>
      </c>
      <c r="Q276" s="53">
        <f t="shared" si="137"/>
        <v>9</v>
      </c>
      <c r="R276" s="53">
        <f t="shared" si="138"/>
        <v>4</v>
      </c>
      <c r="S276" s="53">
        <f t="shared" si="139"/>
        <v>5</v>
      </c>
      <c r="T276" s="101">
        <f t="shared" si="143"/>
        <v>18</v>
      </c>
      <c r="U276" s="15" t="str">
        <f>_xlfn.TEXTJOIN(", ",TRUE,ABS(MID(B276,{1,1,2},1)-MID(B276,{2,3,3},1)))</f>
        <v>9, 4, 5</v>
      </c>
      <c r="V276" s="54">
        <v>0</v>
      </c>
      <c r="W276" s="54">
        <v>1</v>
      </c>
      <c r="X276" s="54">
        <v>2</v>
      </c>
      <c r="Y276" s="54">
        <v>3</v>
      </c>
      <c r="Z276" s="54">
        <v>4</v>
      </c>
      <c r="AA276" s="54">
        <v>5</v>
      </c>
      <c r="AB276" s="54">
        <v>6</v>
      </c>
      <c r="AC276" s="54">
        <v>7</v>
      </c>
      <c r="AD276" s="54">
        <v>8</v>
      </c>
      <c r="AE276" s="54">
        <v>9</v>
      </c>
      <c r="AF276" s="55">
        <v>0</v>
      </c>
      <c r="AG276" s="55">
        <v>1</v>
      </c>
      <c r="AH276" s="55">
        <v>2</v>
      </c>
      <c r="AI276" s="55">
        <v>3</v>
      </c>
      <c r="AJ276" s="55">
        <v>4</v>
      </c>
      <c r="AK276" s="55">
        <v>5</v>
      </c>
      <c r="AL276" s="55">
        <v>6</v>
      </c>
      <c r="AM276" s="55">
        <v>7</v>
      </c>
      <c r="AN276" s="55">
        <v>8</v>
      </c>
      <c r="AO276" s="55">
        <v>9</v>
      </c>
      <c r="AP276" s="105">
        <v>0</v>
      </c>
      <c r="AQ276" s="105">
        <v>1</v>
      </c>
      <c r="AR276" s="105">
        <v>2</v>
      </c>
      <c r="AS276" s="105">
        <v>3</v>
      </c>
      <c r="AT276" s="105">
        <v>4</v>
      </c>
      <c r="AU276" s="105">
        <v>5</v>
      </c>
      <c r="AV276" s="105">
        <v>6</v>
      </c>
      <c r="AW276" s="105">
        <v>7</v>
      </c>
      <c r="AX276" s="105">
        <v>8</v>
      </c>
      <c r="AY276" s="105">
        <v>9</v>
      </c>
      <c r="AZ276" s="56">
        <v>0</v>
      </c>
      <c r="BA276" s="56">
        <v>1</v>
      </c>
      <c r="BB276" s="56">
        <v>2</v>
      </c>
      <c r="BC276" s="56">
        <v>3</v>
      </c>
      <c r="BD276" s="56">
        <v>4</v>
      </c>
      <c r="BE276" s="56">
        <v>5</v>
      </c>
      <c r="BF276" s="56">
        <v>6</v>
      </c>
      <c r="BG276" s="56">
        <v>7</v>
      </c>
      <c r="BH276" s="56">
        <v>8</v>
      </c>
      <c r="BI276" s="56">
        <v>9</v>
      </c>
      <c r="BJ276" s="57" t="str">
        <f t="shared" si="144"/>
        <v>松散型</v>
      </c>
      <c r="BK276" s="13">
        <f t="shared" si="140"/>
        <v>4</v>
      </c>
      <c r="BL276" s="13">
        <f t="shared" si="141"/>
        <v>9</v>
      </c>
      <c r="BM276" s="18" t="str">
        <f t="shared" si="146"/>
        <v/>
      </c>
      <c r="BN276" s="19" t="str">
        <f t="shared" si="147"/>
        <v/>
      </c>
      <c r="BO276" s="19" t="str">
        <f t="array" ref="BO276">_xlfn.TEXTJOIN("",TRUE,IF(ISERROR(FIND(ROW($1:$10)-1,BM276&amp;BN276)),ROW($1:$10)-1,""))</f>
        <v>0123456789</v>
      </c>
      <c r="BP276" s="20" t="str">
        <f t="shared" si="148"/>
        <v>中中中</v>
      </c>
      <c r="BQ276" s="21" t="str">
        <f t="shared" si="159"/>
        <v/>
      </c>
      <c r="BR276" s="21">
        <f t="shared" si="157"/>
        <v>4</v>
      </c>
      <c r="BS276" s="21" t="str">
        <f t="array" ref="BS276">_xlfn.TEXTJOIN("",TRUE,IF(ISERROR(FIND(ROW($1:$10)-1,BQ276&amp;BR276)),ROW($1:$10)-1,""))</f>
        <v>012356789</v>
      </c>
      <c r="BT276" s="20" t="str">
        <f t="shared" si="149"/>
        <v>中隔中</v>
      </c>
      <c r="BU276" s="22" t="str">
        <f t="shared" si="150"/>
        <v/>
      </c>
      <c r="BV276" s="22" t="str">
        <f t="shared" si="158"/>
        <v/>
      </c>
      <c r="BW276" s="22" t="str">
        <f t="array" ref="BW276">_xlfn.TEXTJOIN("",TRUE,IF(ISERROR(FIND(ROW($1:$10)-1,BU276&amp;BV276)),ROW($1:$10)-1,""))</f>
        <v>0123456789</v>
      </c>
      <c r="BX276" s="20" t="str">
        <f t="shared" si="151"/>
        <v>中中中</v>
      </c>
      <c r="BY276" s="23" t="str">
        <f t="shared" si="145"/>
        <v>80</v>
      </c>
      <c r="BZ276" s="24" t="str">
        <f t="array" ref="BZ276">_xlfn.TEXTJOIN("",TRUE,IF(ISNUMBER(FIND(MID(BY275&amp;Q275,ROW($1:$4),1),BY276&amp;Q276)),MID(BY275&amp;Q275,ROW($1:$4),1),""))</f>
        <v>98</v>
      </c>
      <c r="CA276" s="25" t="str">
        <f t="array" ref="CA276">_xlfn.TEXTJOIN("",TRUE,IF(ISERROR(FIND(ROW($1:$10)-1,BY276&amp;BZ276)),ROW($1:$10)-1,""))</f>
        <v>1234567</v>
      </c>
      <c r="CB276" s="26" t="str">
        <f t="shared" si="152"/>
        <v>邻传孤</v>
      </c>
      <c r="CC276" s="27" t="str">
        <f t="shared" si="153"/>
        <v>35</v>
      </c>
      <c r="CD276" s="27" t="str">
        <f t="array" ref="CD276">_xlfn.TEXTJOIN("",TRUE,IF(ISNUMBER(FIND(MID(CC275&amp;R275,ROW($1:$4),1),CC276&amp;R276)),MID(CC275&amp;R275,ROW($1:$4),1),""))</f>
        <v>3</v>
      </c>
      <c r="CE276" s="27" t="str">
        <f t="array" ref="CE276">_xlfn.TEXTJOIN("",TRUE,IF(ISERROR(FIND(ROW($1:$10)-1,CC276&amp;CD276)),ROW($1:$10)-1,""))</f>
        <v>01246789</v>
      </c>
      <c r="CF276" s="17" t="str">
        <f t="shared" si="154"/>
        <v>邻传孤</v>
      </c>
      <c r="CG276" s="22" t="str">
        <f t="shared" si="155"/>
        <v>46</v>
      </c>
      <c r="CH276" s="22" t="str">
        <f t="array" ref="CH276">_xlfn.TEXTJOIN("",TRUE,IF(ISNUMBER(FIND(MID(CG275&amp;S275,ROW($1:$4),1),CG276&amp;S276)),MID(CG275&amp;S275,ROW($1:$4),1),""))</f>
        <v>56</v>
      </c>
      <c r="CI276" s="22" t="str">
        <f t="array" ref="CI276">_xlfn.TEXTJOIN("",TRUE,IF(ISERROR(FIND(ROW($1:$10)-1,CG276&amp;CH276)),ROW($1:$10)-1,""))</f>
        <v>0123789</v>
      </c>
      <c r="CJ276" s="28" t="str">
        <f t="shared" si="156"/>
        <v>邻传孤</v>
      </c>
    </row>
    <row r="277" spans="1:88">
      <c r="A277" s="32">
        <v>2025052</v>
      </c>
      <c r="B277" s="8" t="s">
        <v>257</v>
      </c>
      <c r="C277" s="49">
        <f t="shared" si="135"/>
        <v>18</v>
      </c>
      <c r="D277" s="50">
        <f t="shared" si="136"/>
        <v>8</v>
      </c>
      <c r="E277" s="51">
        <f t="shared" si="142"/>
        <v>6</v>
      </c>
      <c r="F277" s="52">
        <f>MAX(MID(B277,{1,2,3},1)*1)-MIN(MID(B277,{1,2,3},1)*1)</f>
        <v>3</v>
      </c>
      <c r="G277" s="104">
        <v>0</v>
      </c>
      <c r="H277" s="104">
        <v>1</v>
      </c>
      <c r="I277" s="104">
        <v>2</v>
      </c>
      <c r="J277" s="104">
        <v>3</v>
      </c>
      <c r="K277" s="104">
        <v>4</v>
      </c>
      <c r="L277" s="104">
        <v>5</v>
      </c>
      <c r="M277" s="104">
        <v>6</v>
      </c>
      <c r="N277" s="104">
        <v>7</v>
      </c>
      <c r="O277" s="104">
        <v>8</v>
      </c>
      <c r="P277" s="104">
        <v>9</v>
      </c>
      <c r="Q277" s="53">
        <f t="shared" si="137"/>
        <v>3</v>
      </c>
      <c r="R277" s="53">
        <f t="shared" si="138"/>
        <v>0</v>
      </c>
      <c r="S277" s="53">
        <f t="shared" si="139"/>
        <v>3</v>
      </c>
      <c r="T277" s="101">
        <f t="shared" si="143"/>
        <v>6</v>
      </c>
      <c r="U277" s="15" t="str">
        <f>_xlfn.TEXTJOIN(", ",TRUE,ABS(MID(B277,{1,1,2},1)-MID(B277,{2,3,3},1)))</f>
        <v>3, 0, 3</v>
      </c>
      <c r="V277" s="54">
        <v>0</v>
      </c>
      <c r="W277" s="54">
        <v>1</v>
      </c>
      <c r="X277" s="54">
        <v>2</v>
      </c>
      <c r="Y277" s="54">
        <v>3</v>
      </c>
      <c r="Z277" s="54">
        <v>4</v>
      </c>
      <c r="AA277" s="54">
        <v>5</v>
      </c>
      <c r="AB277" s="54">
        <v>6</v>
      </c>
      <c r="AC277" s="54">
        <v>7</v>
      </c>
      <c r="AD277" s="54">
        <v>8</v>
      </c>
      <c r="AE277" s="54">
        <v>9</v>
      </c>
      <c r="AF277" s="55">
        <v>0</v>
      </c>
      <c r="AG277" s="55">
        <v>1</v>
      </c>
      <c r="AH277" s="55">
        <v>2</v>
      </c>
      <c r="AI277" s="55">
        <v>3</v>
      </c>
      <c r="AJ277" s="55">
        <v>4</v>
      </c>
      <c r="AK277" s="55">
        <v>5</v>
      </c>
      <c r="AL277" s="55">
        <v>6</v>
      </c>
      <c r="AM277" s="55">
        <v>7</v>
      </c>
      <c r="AN277" s="55">
        <v>8</v>
      </c>
      <c r="AO277" s="55">
        <v>9</v>
      </c>
      <c r="AP277" s="105">
        <v>0</v>
      </c>
      <c r="AQ277" s="105">
        <v>1</v>
      </c>
      <c r="AR277" s="105">
        <v>2</v>
      </c>
      <c r="AS277" s="105">
        <v>3</v>
      </c>
      <c r="AT277" s="105">
        <v>4</v>
      </c>
      <c r="AU277" s="105">
        <v>5</v>
      </c>
      <c r="AV277" s="105">
        <v>6</v>
      </c>
      <c r="AW277" s="105">
        <v>7</v>
      </c>
      <c r="AX277" s="105">
        <v>8</v>
      </c>
      <c r="AY277" s="105">
        <v>9</v>
      </c>
      <c r="AZ277" s="56">
        <v>0</v>
      </c>
      <c r="BA277" s="56">
        <v>1</v>
      </c>
      <c r="BB277" s="56">
        <v>2</v>
      </c>
      <c r="BC277" s="56">
        <v>3</v>
      </c>
      <c r="BD277" s="56">
        <v>4</v>
      </c>
      <c r="BE277" s="56">
        <v>5</v>
      </c>
      <c r="BF277" s="56">
        <v>6</v>
      </c>
      <c r="BG277" s="56">
        <v>7</v>
      </c>
      <c r="BH277" s="56">
        <v>8</v>
      </c>
      <c r="BI277" s="56">
        <v>9</v>
      </c>
      <c r="BJ277" s="57" t="str">
        <f t="shared" si="144"/>
        <v>紧凑型</v>
      </c>
      <c r="BK277" s="13">
        <f t="shared" si="140"/>
        <v>0</v>
      </c>
      <c r="BL277" s="13">
        <f t="shared" si="141"/>
        <v>3</v>
      </c>
      <c r="BM277" s="18" t="str">
        <f t="shared" si="146"/>
        <v/>
      </c>
      <c r="BN277" s="19" t="str">
        <f t="shared" si="147"/>
        <v/>
      </c>
      <c r="BO277" s="19" t="str">
        <f t="array" ref="BO277">_xlfn.TEXTJOIN("",TRUE,IF(ISERROR(FIND(ROW($1:$10)-1,BM277&amp;BN277)),ROW($1:$10)-1,""))</f>
        <v>0123456789</v>
      </c>
      <c r="BP277" s="20" t="str">
        <f t="shared" si="148"/>
        <v>中中中</v>
      </c>
      <c r="BQ277" s="21" t="str">
        <f t="shared" si="159"/>
        <v/>
      </c>
      <c r="BR277" s="21" t="str">
        <f t="shared" si="157"/>
        <v/>
      </c>
      <c r="BS277" s="21" t="str">
        <f t="array" ref="BS277">_xlfn.TEXTJOIN("",TRUE,IF(ISERROR(FIND(ROW($1:$10)-1,BQ277&amp;BR277)),ROW($1:$10)-1,""))</f>
        <v>0123456789</v>
      </c>
      <c r="BT277" s="20" t="str">
        <f t="shared" si="149"/>
        <v>中中中</v>
      </c>
      <c r="BU277" s="22" t="str">
        <f t="shared" si="150"/>
        <v/>
      </c>
      <c r="BV277" s="22" t="str">
        <f t="shared" si="158"/>
        <v/>
      </c>
      <c r="BW277" s="22" t="str">
        <f t="array" ref="BW277">_xlfn.TEXTJOIN("",TRUE,IF(ISERROR(FIND(ROW($1:$10)-1,BU277&amp;BV277)),ROW($1:$10)-1,""))</f>
        <v>0123456789</v>
      </c>
      <c r="BX277" s="20" t="str">
        <f t="shared" si="151"/>
        <v>中中中</v>
      </c>
      <c r="BY277" s="23" t="str">
        <f t="shared" si="145"/>
        <v>24</v>
      </c>
      <c r="BZ277" s="24" t="str">
        <f t="array" ref="BZ277">_xlfn.TEXTJOIN("",TRUE,IF(ISNUMBER(FIND(MID(BY276&amp;Q276,ROW($1:$4),1),BY277&amp;Q277)),MID(BY276&amp;Q276,ROW($1:$4),1),""))</f>
        <v/>
      </c>
      <c r="CA277" s="25" t="str">
        <f t="array" ref="CA277">_xlfn.TEXTJOIN("",TRUE,IF(ISERROR(FIND(ROW($1:$10)-1,BY277&amp;BZ277)),ROW($1:$10)-1,""))</f>
        <v>01356789</v>
      </c>
      <c r="CB277" s="26" t="str">
        <f t="shared" si="152"/>
        <v>邻孤孤</v>
      </c>
      <c r="CC277" s="27" t="str">
        <f t="shared" si="153"/>
        <v>91</v>
      </c>
      <c r="CD277" s="27" t="str">
        <f t="array" ref="CD277">_xlfn.TEXTJOIN("",TRUE,IF(ISNUMBER(FIND(MID(CC276&amp;R276,ROW($1:$4),1),CC277&amp;R277)),MID(CC276&amp;R276,ROW($1:$4),1),""))</f>
        <v/>
      </c>
      <c r="CE277" s="27" t="str">
        <f t="array" ref="CE277">_xlfn.TEXTJOIN("",TRUE,IF(ISERROR(FIND(ROW($1:$10)-1,CC277&amp;CD277)),ROW($1:$10)-1,""))</f>
        <v>02345678</v>
      </c>
      <c r="CF277" s="17" t="str">
        <f t="shared" si="154"/>
        <v>邻孤孤</v>
      </c>
      <c r="CG277" s="22" t="str">
        <f t="shared" si="155"/>
        <v>24</v>
      </c>
      <c r="CH277" s="22" t="str">
        <f t="array" ref="CH277">_xlfn.TEXTJOIN("",TRUE,IF(ISNUMBER(FIND(MID(CG276&amp;S276,ROW($1:$4),1),CG277&amp;S277)),MID(CG276&amp;S276,ROW($1:$4),1),""))</f>
        <v>4</v>
      </c>
      <c r="CI277" s="22" t="str">
        <f t="array" ref="CI277">_xlfn.TEXTJOIN("",TRUE,IF(ISERROR(FIND(ROW($1:$10)-1,CG277&amp;CH277)),ROW($1:$10)-1,""))</f>
        <v>01356789</v>
      </c>
      <c r="CJ277" s="28" t="str">
        <f t="shared" si="156"/>
        <v>邻传孤</v>
      </c>
    </row>
    <row r="278" spans="1:88">
      <c r="A278" s="32">
        <v>2025053</v>
      </c>
      <c r="B278" s="8" t="s">
        <v>258</v>
      </c>
      <c r="C278" s="49">
        <f t="shared" si="135"/>
        <v>22</v>
      </c>
      <c r="D278" s="50">
        <f t="shared" si="136"/>
        <v>2</v>
      </c>
      <c r="E278" s="51">
        <f t="shared" si="142"/>
        <v>7.3333333333333304</v>
      </c>
      <c r="F278" s="52">
        <f>MAX(MID(B278,{1,2,3},1)*1)-MIN(MID(B278,{1,2,3},1)*1)</f>
        <v>4</v>
      </c>
      <c r="G278" s="104">
        <v>0</v>
      </c>
      <c r="H278" s="104">
        <v>1</v>
      </c>
      <c r="I278" s="104">
        <v>2</v>
      </c>
      <c r="J278" s="104">
        <v>3</v>
      </c>
      <c r="K278" s="104">
        <v>4</v>
      </c>
      <c r="L278" s="104">
        <v>5</v>
      </c>
      <c r="M278" s="104">
        <v>6</v>
      </c>
      <c r="N278" s="104">
        <v>7</v>
      </c>
      <c r="O278" s="104">
        <v>8</v>
      </c>
      <c r="P278" s="104">
        <v>9</v>
      </c>
      <c r="Q278" s="53">
        <f t="shared" si="137"/>
        <v>1</v>
      </c>
      <c r="R278" s="53">
        <f t="shared" si="138"/>
        <v>3</v>
      </c>
      <c r="S278" s="53">
        <f t="shared" si="139"/>
        <v>4</v>
      </c>
      <c r="T278" s="101">
        <f t="shared" si="143"/>
        <v>8</v>
      </c>
      <c r="U278" s="15" t="str">
        <f>_xlfn.TEXTJOIN(", ",TRUE,ABS(MID(B278,{1,1,2},1)-MID(B278,{2,3,3},1)))</f>
        <v>1, 3, 4</v>
      </c>
      <c r="V278" s="54">
        <v>0</v>
      </c>
      <c r="W278" s="54">
        <v>1</v>
      </c>
      <c r="X278" s="54">
        <v>2</v>
      </c>
      <c r="Y278" s="54">
        <v>3</v>
      </c>
      <c r="Z278" s="54">
        <v>4</v>
      </c>
      <c r="AA278" s="54">
        <v>5</v>
      </c>
      <c r="AB278" s="54">
        <v>6</v>
      </c>
      <c r="AC278" s="54">
        <v>7</v>
      </c>
      <c r="AD278" s="54">
        <v>8</v>
      </c>
      <c r="AE278" s="54">
        <v>9</v>
      </c>
      <c r="AF278" s="55">
        <v>0</v>
      </c>
      <c r="AG278" s="55">
        <v>1</v>
      </c>
      <c r="AH278" s="55">
        <v>2</v>
      </c>
      <c r="AI278" s="55">
        <v>3</v>
      </c>
      <c r="AJ278" s="55">
        <v>4</v>
      </c>
      <c r="AK278" s="55">
        <v>5</v>
      </c>
      <c r="AL278" s="55">
        <v>6</v>
      </c>
      <c r="AM278" s="55">
        <v>7</v>
      </c>
      <c r="AN278" s="55">
        <v>8</v>
      </c>
      <c r="AO278" s="55">
        <v>9</v>
      </c>
      <c r="AP278" s="105">
        <v>0</v>
      </c>
      <c r="AQ278" s="105">
        <v>1</v>
      </c>
      <c r="AR278" s="105">
        <v>2</v>
      </c>
      <c r="AS278" s="105">
        <v>3</v>
      </c>
      <c r="AT278" s="105">
        <v>4</v>
      </c>
      <c r="AU278" s="105">
        <v>5</v>
      </c>
      <c r="AV278" s="105">
        <v>6</v>
      </c>
      <c r="AW278" s="105">
        <v>7</v>
      </c>
      <c r="AX278" s="105">
        <v>8</v>
      </c>
      <c r="AY278" s="105">
        <v>9</v>
      </c>
      <c r="AZ278" s="56">
        <v>0</v>
      </c>
      <c r="BA278" s="56">
        <v>1</v>
      </c>
      <c r="BB278" s="56">
        <v>2</v>
      </c>
      <c r="BC278" s="56">
        <v>3</v>
      </c>
      <c r="BD278" s="56">
        <v>4</v>
      </c>
      <c r="BE278" s="56">
        <v>5</v>
      </c>
      <c r="BF278" s="56">
        <v>6</v>
      </c>
      <c r="BG278" s="56">
        <v>7</v>
      </c>
      <c r="BH278" s="56">
        <v>8</v>
      </c>
      <c r="BI278" s="56">
        <v>9</v>
      </c>
      <c r="BJ278" s="57" t="str">
        <f t="shared" si="144"/>
        <v>紧凑型</v>
      </c>
      <c r="BK278" s="13">
        <f t="shared" si="140"/>
        <v>1</v>
      </c>
      <c r="BL278" s="13">
        <f t="shared" si="141"/>
        <v>4</v>
      </c>
      <c r="BM278" s="18" t="str">
        <f t="shared" si="146"/>
        <v/>
      </c>
      <c r="BN278" s="19" t="str">
        <f t="shared" si="147"/>
        <v/>
      </c>
      <c r="BO278" s="19" t="str">
        <f t="array" ref="BO278">_xlfn.TEXTJOIN("",TRUE,IF(ISERROR(FIND(ROW($1:$10)-1,BM278&amp;BN278)),ROW($1:$10)-1,""))</f>
        <v>0123456789</v>
      </c>
      <c r="BP278" s="20" t="str">
        <f t="shared" si="148"/>
        <v>中中中</v>
      </c>
      <c r="BQ278" s="21">
        <f t="shared" si="159"/>
        <v>3</v>
      </c>
      <c r="BR278" s="21" t="str">
        <f t="shared" si="157"/>
        <v/>
      </c>
      <c r="BS278" s="21" t="str">
        <f t="array" ref="BS278">_xlfn.TEXTJOIN("",TRUE,IF(ISERROR(FIND(ROW($1:$10)-1,BQ278&amp;BR278)),ROW($1:$10)-1,""))</f>
        <v>012456789</v>
      </c>
      <c r="BT278" s="20" t="str">
        <f t="shared" si="149"/>
        <v>复中中</v>
      </c>
      <c r="BU278" s="22" t="str">
        <f t="shared" si="150"/>
        <v/>
      </c>
      <c r="BV278" s="22">
        <f t="shared" si="158"/>
        <v>4</v>
      </c>
      <c r="BW278" s="22" t="str">
        <f t="array" ref="BW278">_xlfn.TEXTJOIN("",TRUE,IF(ISERROR(FIND(ROW($1:$10)-1,BU278&amp;BV278)),ROW($1:$10)-1,""))</f>
        <v>012356789</v>
      </c>
      <c r="BX278" s="20" t="str">
        <f t="shared" si="151"/>
        <v>中隔中</v>
      </c>
      <c r="BY278" s="23" t="str">
        <f t="shared" si="145"/>
        <v>02</v>
      </c>
      <c r="BZ278" s="24" t="str">
        <f t="array" ref="BZ278">_xlfn.TEXTJOIN("",TRUE,IF(ISNUMBER(FIND(MID(BY277&amp;Q277,ROW($1:$4),1),BY278&amp;Q278)),MID(BY277&amp;Q277,ROW($1:$4),1),""))</f>
        <v>2</v>
      </c>
      <c r="CA278" s="25" t="str">
        <f t="array" ref="CA278">_xlfn.TEXTJOIN("",TRUE,IF(ISERROR(FIND(ROW($1:$10)-1,BY278&amp;BZ278)),ROW($1:$10)-1,""))</f>
        <v>13456789</v>
      </c>
      <c r="CB278" s="26" t="str">
        <f t="shared" si="152"/>
        <v>邻传孤</v>
      </c>
      <c r="CC278" s="27" t="str">
        <f t="shared" si="153"/>
        <v>24</v>
      </c>
      <c r="CD278" s="27" t="str">
        <f t="array" ref="CD278">_xlfn.TEXTJOIN("",TRUE,IF(ISNUMBER(FIND(MID(CC277&amp;R277,ROW($1:$4),1),CC278&amp;R278)),MID(CC277&amp;R277,ROW($1:$4),1),""))</f>
        <v/>
      </c>
      <c r="CE278" s="27" t="str">
        <f t="array" ref="CE278">_xlfn.TEXTJOIN("",TRUE,IF(ISERROR(FIND(ROW($1:$10)-1,CC278&amp;CD278)),ROW($1:$10)-1,""))</f>
        <v>01356789</v>
      </c>
      <c r="CF278" s="17" t="str">
        <f t="shared" si="154"/>
        <v>邻孤孤</v>
      </c>
      <c r="CG278" s="22" t="str">
        <f t="shared" si="155"/>
        <v>35</v>
      </c>
      <c r="CH278" s="22" t="str">
        <f t="array" ref="CH278">_xlfn.TEXTJOIN("",TRUE,IF(ISNUMBER(FIND(MID(CG277&amp;S277,ROW($1:$4),1),CG278&amp;S278)),MID(CG277&amp;S277,ROW($1:$4),1),""))</f>
        <v>43</v>
      </c>
      <c r="CI278" s="22" t="str">
        <f t="array" ref="CI278">_xlfn.TEXTJOIN("",TRUE,IF(ISERROR(FIND(ROW($1:$10)-1,CG278&amp;CH278)),ROW($1:$10)-1,""))</f>
        <v>0126789</v>
      </c>
      <c r="CJ278" s="28" t="str">
        <f t="shared" si="156"/>
        <v>邻传孤</v>
      </c>
    </row>
    <row r="279" spans="1:88">
      <c r="A279" s="32">
        <v>2025054</v>
      </c>
      <c r="B279" s="8" t="s">
        <v>119</v>
      </c>
      <c r="C279" s="49">
        <f t="shared" si="135"/>
        <v>20</v>
      </c>
      <c r="D279" s="50">
        <f t="shared" si="136"/>
        <v>0</v>
      </c>
      <c r="E279" s="51">
        <f t="shared" si="142"/>
        <v>6.6666666666666696</v>
      </c>
      <c r="F279" s="52">
        <f>MAX(MID(B279,{1,2,3},1)*1)-MIN(MID(B279,{1,2,3},1)*1)</f>
        <v>5</v>
      </c>
      <c r="G279" s="104">
        <v>0</v>
      </c>
      <c r="H279" s="104">
        <v>1</v>
      </c>
      <c r="I279" s="104">
        <v>2</v>
      </c>
      <c r="J279" s="104">
        <v>3</v>
      </c>
      <c r="K279" s="104">
        <v>4</v>
      </c>
      <c r="L279" s="104">
        <v>5</v>
      </c>
      <c r="M279" s="104">
        <v>6</v>
      </c>
      <c r="N279" s="104">
        <v>7</v>
      </c>
      <c r="O279" s="104">
        <v>8</v>
      </c>
      <c r="P279" s="104">
        <v>9</v>
      </c>
      <c r="Q279" s="53">
        <f t="shared" si="137"/>
        <v>5</v>
      </c>
      <c r="R279" s="53">
        <f t="shared" si="138"/>
        <v>3</v>
      </c>
      <c r="S279" s="53">
        <f t="shared" si="139"/>
        <v>2</v>
      </c>
      <c r="T279" s="101">
        <f t="shared" si="143"/>
        <v>10</v>
      </c>
      <c r="U279" s="15" t="str">
        <f>_xlfn.TEXTJOIN(", ",TRUE,ABS(MID(B279,{1,1,2},1)-MID(B279,{2,3,3},1)))</f>
        <v>5, 3, 2</v>
      </c>
      <c r="V279" s="54">
        <v>0</v>
      </c>
      <c r="W279" s="54">
        <v>1</v>
      </c>
      <c r="X279" s="54">
        <v>2</v>
      </c>
      <c r="Y279" s="54">
        <v>3</v>
      </c>
      <c r="Z279" s="54">
        <v>4</v>
      </c>
      <c r="AA279" s="54">
        <v>5</v>
      </c>
      <c r="AB279" s="54">
        <v>6</v>
      </c>
      <c r="AC279" s="54">
        <v>7</v>
      </c>
      <c r="AD279" s="54">
        <v>8</v>
      </c>
      <c r="AE279" s="54">
        <v>9</v>
      </c>
      <c r="AF279" s="55">
        <v>0</v>
      </c>
      <c r="AG279" s="55">
        <v>1</v>
      </c>
      <c r="AH279" s="55">
        <v>2</v>
      </c>
      <c r="AI279" s="55">
        <v>3</v>
      </c>
      <c r="AJ279" s="55">
        <v>4</v>
      </c>
      <c r="AK279" s="55">
        <v>5</v>
      </c>
      <c r="AL279" s="55">
        <v>6</v>
      </c>
      <c r="AM279" s="55">
        <v>7</v>
      </c>
      <c r="AN279" s="55">
        <v>8</v>
      </c>
      <c r="AO279" s="55">
        <v>9</v>
      </c>
      <c r="AP279" s="105">
        <v>0</v>
      </c>
      <c r="AQ279" s="105">
        <v>1</v>
      </c>
      <c r="AR279" s="105">
        <v>2</v>
      </c>
      <c r="AS279" s="105">
        <v>3</v>
      </c>
      <c r="AT279" s="105">
        <v>4</v>
      </c>
      <c r="AU279" s="105">
        <v>5</v>
      </c>
      <c r="AV279" s="105">
        <v>6</v>
      </c>
      <c r="AW279" s="105">
        <v>7</v>
      </c>
      <c r="AX279" s="105">
        <v>8</v>
      </c>
      <c r="AY279" s="105">
        <v>9</v>
      </c>
      <c r="AZ279" s="56">
        <v>0</v>
      </c>
      <c r="BA279" s="56">
        <v>1</v>
      </c>
      <c r="BB279" s="56">
        <v>2</v>
      </c>
      <c r="BC279" s="56">
        <v>3</v>
      </c>
      <c r="BD279" s="56">
        <v>4</v>
      </c>
      <c r="BE279" s="56">
        <v>5</v>
      </c>
      <c r="BF279" s="56">
        <v>6</v>
      </c>
      <c r="BG279" s="56">
        <v>7</v>
      </c>
      <c r="BH279" s="56">
        <v>8</v>
      </c>
      <c r="BI279" s="56">
        <v>9</v>
      </c>
      <c r="BJ279" s="57" t="str">
        <f t="shared" si="144"/>
        <v>标准型</v>
      </c>
      <c r="BK279" s="13">
        <f t="shared" si="140"/>
        <v>2</v>
      </c>
      <c r="BL279" s="13">
        <f t="shared" si="141"/>
        <v>5</v>
      </c>
      <c r="BM279" s="18" t="str">
        <f t="shared" si="146"/>
        <v/>
      </c>
      <c r="BN279" s="19" t="str">
        <f t="shared" si="147"/>
        <v/>
      </c>
      <c r="BO279" s="19" t="str">
        <f t="array" ref="BO279">_xlfn.TEXTJOIN("",TRUE,IF(ISERROR(FIND(ROW($1:$10)-1,BM279&amp;BN279)),ROW($1:$10)-1,""))</f>
        <v>0123456789</v>
      </c>
      <c r="BP279" s="20" t="str">
        <f t="shared" si="148"/>
        <v>中中中</v>
      </c>
      <c r="BQ279" s="21">
        <f t="shared" si="159"/>
        <v>3</v>
      </c>
      <c r="BR279" s="21">
        <f t="shared" si="157"/>
        <v>3</v>
      </c>
      <c r="BS279" s="21" t="str">
        <f t="array" ref="BS279">_xlfn.TEXTJOIN("",TRUE,IF(ISERROR(FIND(ROW($1:$10)-1,BQ279&amp;BR279)),ROW($1:$10)-1,""))</f>
        <v>012456789</v>
      </c>
      <c r="BT279" s="20" t="str">
        <f t="shared" si="149"/>
        <v>复隔中</v>
      </c>
      <c r="BU279" s="22" t="str">
        <f t="shared" si="150"/>
        <v/>
      </c>
      <c r="BV279" s="22" t="str">
        <f t="shared" si="158"/>
        <v/>
      </c>
      <c r="BW279" s="22" t="str">
        <f t="array" ref="BW279">_xlfn.TEXTJOIN("",TRUE,IF(ISERROR(FIND(ROW($1:$10)-1,BU279&amp;BV279)),ROW($1:$10)-1,""))</f>
        <v>0123456789</v>
      </c>
      <c r="BX279" s="20" t="str">
        <f t="shared" si="151"/>
        <v>中中中</v>
      </c>
      <c r="BY279" s="23" t="str">
        <f t="shared" si="145"/>
        <v>46</v>
      </c>
      <c r="BZ279" s="24" t="str">
        <f t="array" ref="BZ279">_xlfn.TEXTJOIN("",TRUE,IF(ISNUMBER(FIND(MID(BY278&amp;Q278,ROW($1:$4),1),BY279&amp;Q279)),MID(BY278&amp;Q278,ROW($1:$4),1),""))</f>
        <v/>
      </c>
      <c r="CA279" s="25" t="str">
        <f t="array" ref="CA279">_xlfn.TEXTJOIN("",TRUE,IF(ISERROR(FIND(ROW($1:$10)-1,BY279&amp;BZ279)),ROW($1:$10)-1,""))</f>
        <v>01235789</v>
      </c>
      <c r="CB279" s="26" t="str">
        <f t="shared" si="152"/>
        <v>邻孤孤</v>
      </c>
      <c r="CC279" s="27" t="str">
        <f t="shared" si="153"/>
        <v>24</v>
      </c>
      <c r="CD279" s="27" t="str">
        <f t="array" ref="CD279">_xlfn.TEXTJOIN("",TRUE,IF(ISNUMBER(FIND(MID(CC278&amp;R278,ROW($1:$4),1),CC279&amp;R279)),MID(CC278&amp;R278,ROW($1:$4),1),""))</f>
        <v>243</v>
      </c>
      <c r="CE279" s="27" t="str">
        <f t="array" ref="CE279">_xlfn.TEXTJOIN("",TRUE,IF(ISERROR(FIND(ROW($1:$10)-1,CC279&amp;CD279)),ROW($1:$10)-1,""))</f>
        <v>0156789</v>
      </c>
      <c r="CF279" s="17" t="str">
        <f t="shared" si="154"/>
        <v>邻传孤</v>
      </c>
      <c r="CG279" s="22" t="str">
        <f t="shared" si="155"/>
        <v>13</v>
      </c>
      <c r="CH279" s="22" t="str">
        <f t="array" ref="CH279">_xlfn.TEXTJOIN("",TRUE,IF(ISNUMBER(FIND(MID(CG278&amp;S278,ROW($1:$4),1),CG279&amp;S279)),MID(CG278&amp;S278,ROW($1:$4),1),""))</f>
        <v>3</v>
      </c>
      <c r="CI279" s="22" t="str">
        <f t="array" ref="CI279">_xlfn.TEXTJOIN("",TRUE,IF(ISERROR(FIND(ROW($1:$10)-1,CG279&amp;CH279)),ROW($1:$10)-1,""))</f>
        <v>02456789</v>
      </c>
      <c r="CJ279" s="28" t="str">
        <f t="shared" si="156"/>
        <v>邻传孤</v>
      </c>
    </row>
    <row r="280" spans="1:88">
      <c r="A280" s="32">
        <v>2025055</v>
      </c>
      <c r="B280" s="8" t="s">
        <v>259</v>
      </c>
      <c r="C280" s="49">
        <f t="shared" si="135"/>
        <v>17</v>
      </c>
      <c r="D280" s="50">
        <f t="shared" si="136"/>
        <v>7</v>
      </c>
      <c r="E280" s="51">
        <f t="shared" si="142"/>
        <v>5.6666666666666696</v>
      </c>
      <c r="F280" s="52">
        <f>MAX(MID(B280,{1,2,3},1)*1)-MIN(MID(B280,{1,2,3},1)*1)</f>
        <v>5</v>
      </c>
      <c r="G280" s="104">
        <v>0</v>
      </c>
      <c r="H280" s="104">
        <v>1</v>
      </c>
      <c r="I280" s="104">
        <v>2</v>
      </c>
      <c r="J280" s="104">
        <v>3</v>
      </c>
      <c r="K280" s="104">
        <v>4</v>
      </c>
      <c r="L280" s="104">
        <v>5</v>
      </c>
      <c r="M280" s="104">
        <v>6</v>
      </c>
      <c r="N280" s="104">
        <v>7</v>
      </c>
      <c r="O280" s="104">
        <v>8</v>
      </c>
      <c r="P280" s="104">
        <v>9</v>
      </c>
      <c r="Q280" s="53">
        <f t="shared" si="137"/>
        <v>3</v>
      </c>
      <c r="R280" s="53">
        <f t="shared" si="138"/>
        <v>5</v>
      </c>
      <c r="S280" s="53">
        <f t="shared" si="139"/>
        <v>2</v>
      </c>
      <c r="T280" s="101">
        <f t="shared" si="143"/>
        <v>10</v>
      </c>
      <c r="U280" s="15" t="str">
        <f>_xlfn.TEXTJOIN(", ",TRUE,ABS(MID(B280,{1,1,2},1)-MID(B280,{2,3,3},1)))</f>
        <v>3, 5, 2</v>
      </c>
      <c r="V280" s="54">
        <v>0</v>
      </c>
      <c r="W280" s="54">
        <v>1</v>
      </c>
      <c r="X280" s="54">
        <v>2</v>
      </c>
      <c r="Y280" s="54">
        <v>3</v>
      </c>
      <c r="Z280" s="54">
        <v>4</v>
      </c>
      <c r="AA280" s="54">
        <v>5</v>
      </c>
      <c r="AB280" s="54">
        <v>6</v>
      </c>
      <c r="AC280" s="54">
        <v>7</v>
      </c>
      <c r="AD280" s="54">
        <v>8</v>
      </c>
      <c r="AE280" s="54">
        <v>9</v>
      </c>
      <c r="AF280" s="55">
        <v>0</v>
      </c>
      <c r="AG280" s="55">
        <v>1</v>
      </c>
      <c r="AH280" s="55">
        <v>2</v>
      </c>
      <c r="AI280" s="55">
        <v>3</v>
      </c>
      <c r="AJ280" s="55">
        <v>4</v>
      </c>
      <c r="AK280" s="55">
        <v>5</v>
      </c>
      <c r="AL280" s="55">
        <v>6</v>
      </c>
      <c r="AM280" s="55">
        <v>7</v>
      </c>
      <c r="AN280" s="55">
        <v>8</v>
      </c>
      <c r="AO280" s="55">
        <v>9</v>
      </c>
      <c r="AP280" s="105">
        <v>0</v>
      </c>
      <c r="AQ280" s="105">
        <v>1</v>
      </c>
      <c r="AR280" s="105">
        <v>2</v>
      </c>
      <c r="AS280" s="105">
        <v>3</v>
      </c>
      <c r="AT280" s="105">
        <v>4</v>
      </c>
      <c r="AU280" s="105">
        <v>5</v>
      </c>
      <c r="AV280" s="105">
        <v>6</v>
      </c>
      <c r="AW280" s="105">
        <v>7</v>
      </c>
      <c r="AX280" s="105">
        <v>8</v>
      </c>
      <c r="AY280" s="105">
        <v>9</v>
      </c>
      <c r="AZ280" s="56">
        <v>0</v>
      </c>
      <c r="BA280" s="56">
        <v>1</v>
      </c>
      <c r="BB280" s="56">
        <v>2</v>
      </c>
      <c r="BC280" s="56">
        <v>3</v>
      </c>
      <c r="BD280" s="56">
        <v>4</v>
      </c>
      <c r="BE280" s="56">
        <v>5</v>
      </c>
      <c r="BF280" s="56">
        <v>6</v>
      </c>
      <c r="BG280" s="56">
        <v>7</v>
      </c>
      <c r="BH280" s="56">
        <v>8</v>
      </c>
      <c r="BI280" s="56">
        <v>9</v>
      </c>
      <c r="BJ280" s="57" t="str">
        <f t="shared" si="144"/>
        <v>标准型</v>
      </c>
      <c r="BK280" s="13">
        <f t="shared" si="140"/>
        <v>2</v>
      </c>
      <c r="BL280" s="13">
        <f t="shared" si="141"/>
        <v>5</v>
      </c>
      <c r="BM280" s="18">
        <f t="shared" si="146"/>
        <v>3</v>
      </c>
      <c r="BN280" s="19">
        <f t="shared" si="147"/>
        <v>3</v>
      </c>
      <c r="BO280" s="19" t="str">
        <f t="array" ref="BO280">_xlfn.TEXTJOIN("",TRUE,IF(ISERROR(FIND(ROW($1:$10)-1,BM280&amp;BN280)),ROW($1:$10)-1,""))</f>
        <v>012456789</v>
      </c>
      <c r="BP280" s="20" t="str">
        <f t="shared" si="148"/>
        <v>复隔中</v>
      </c>
      <c r="BQ280" s="21">
        <f t="shared" si="159"/>
        <v>5</v>
      </c>
      <c r="BR280" s="21" t="str">
        <f t="shared" si="157"/>
        <v/>
      </c>
      <c r="BS280" s="21" t="str">
        <f t="array" ref="BS280">_xlfn.TEXTJOIN("",TRUE,IF(ISERROR(FIND(ROW($1:$10)-1,BQ280&amp;BR280)),ROW($1:$10)-1,""))</f>
        <v>012346789</v>
      </c>
      <c r="BT280" s="20" t="str">
        <f t="shared" si="149"/>
        <v>复中中</v>
      </c>
      <c r="BU280" s="22">
        <f t="shared" si="150"/>
        <v>2</v>
      </c>
      <c r="BV280" s="22" t="str">
        <f t="shared" si="158"/>
        <v/>
      </c>
      <c r="BW280" s="22" t="str">
        <f t="array" ref="BW280">_xlfn.TEXTJOIN("",TRUE,IF(ISERROR(FIND(ROW($1:$10)-1,BU280&amp;BV280)),ROW($1:$10)-1,""))</f>
        <v>013456789</v>
      </c>
      <c r="BX280" s="20" t="str">
        <f t="shared" si="151"/>
        <v>复中中</v>
      </c>
      <c r="BY280" s="23" t="str">
        <f t="shared" si="145"/>
        <v>24</v>
      </c>
      <c r="BZ280" s="24" t="str">
        <f t="array" ref="BZ280">_xlfn.TEXTJOIN("",TRUE,IF(ISNUMBER(FIND(MID(BY279&amp;Q279,ROW($1:$4),1),BY280&amp;Q280)),MID(BY279&amp;Q279,ROW($1:$4),1),""))</f>
        <v>4</v>
      </c>
      <c r="CA280" s="25" t="str">
        <f t="array" ref="CA280">_xlfn.TEXTJOIN("",TRUE,IF(ISERROR(FIND(ROW($1:$10)-1,BY280&amp;BZ280)),ROW($1:$10)-1,""))</f>
        <v>01356789</v>
      </c>
      <c r="CB280" s="26" t="str">
        <f t="shared" si="152"/>
        <v>邻传孤</v>
      </c>
      <c r="CC280" s="27" t="str">
        <f t="shared" si="153"/>
        <v>46</v>
      </c>
      <c r="CD280" s="27" t="str">
        <f t="array" ref="CD280">_xlfn.TEXTJOIN("",TRUE,IF(ISNUMBER(FIND(MID(CC279&amp;R279,ROW($1:$4),1),CC280&amp;R280)),MID(CC279&amp;R279,ROW($1:$4),1),""))</f>
        <v>4</v>
      </c>
      <c r="CE280" s="27" t="str">
        <f t="array" ref="CE280">_xlfn.TEXTJOIN("",TRUE,IF(ISERROR(FIND(ROW($1:$10)-1,CC280&amp;CD280)),ROW($1:$10)-1,""))</f>
        <v>01235789</v>
      </c>
      <c r="CF280" s="17" t="str">
        <f t="shared" si="154"/>
        <v>邻传孤</v>
      </c>
      <c r="CG280" s="22" t="str">
        <f t="shared" si="155"/>
        <v>13</v>
      </c>
      <c r="CH280" s="22" t="str">
        <f t="array" ref="CH280">_xlfn.TEXTJOIN("",TRUE,IF(ISNUMBER(FIND(MID(CG279&amp;S279,ROW($1:$4),1),CG280&amp;S280)),MID(CG279&amp;S279,ROW($1:$4),1),""))</f>
        <v>132</v>
      </c>
      <c r="CI280" s="22" t="str">
        <f t="array" ref="CI280">_xlfn.TEXTJOIN("",TRUE,IF(ISERROR(FIND(ROW($1:$10)-1,CG280&amp;CH280)),ROW($1:$10)-1,""))</f>
        <v>0456789</v>
      </c>
      <c r="CJ280" s="28" t="str">
        <f t="shared" si="156"/>
        <v>邻传孤</v>
      </c>
    </row>
    <row r="281" spans="1:88">
      <c r="A281" s="32">
        <v>2025056</v>
      </c>
      <c r="B281" s="8" t="s">
        <v>123</v>
      </c>
      <c r="C281" s="49">
        <f t="shared" si="135"/>
        <v>15</v>
      </c>
      <c r="D281" s="50">
        <f t="shared" si="136"/>
        <v>5</v>
      </c>
      <c r="E281" s="51">
        <f t="shared" si="142"/>
        <v>5</v>
      </c>
      <c r="F281" s="52">
        <f>MAX(MID(B281,{1,2,3},1)*1)-MIN(MID(B281,{1,2,3},1)*1)</f>
        <v>7</v>
      </c>
      <c r="G281" s="104">
        <v>0</v>
      </c>
      <c r="H281" s="104">
        <v>1</v>
      </c>
      <c r="I281" s="104">
        <v>2</v>
      </c>
      <c r="J281" s="104">
        <v>3</v>
      </c>
      <c r="K281" s="104">
        <v>4</v>
      </c>
      <c r="L281" s="104">
        <v>5</v>
      </c>
      <c r="M281" s="104">
        <v>6</v>
      </c>
      <c r="N281" s="104">
        <v>7</v>
      </c>
      <c r="O281" s="104">
        <v>8</v>
      </c>
      <c r="P281" s="104">
        <v>9</v>
      </c>
      <c r="Q281" s="53">
        <f t="shared" si="137"/>
        <v>5</v>
      </c>
      <c r="R281" s="53">
        <f t="shared" si="138"/>
        <v>2</v>
      </c>
      <c r="S281" s="53">
        <f t="shared" si="139"/>
        <v>7</v>
      </c>
      <c r="T281" s="101">
        <f t="shared" si="143"/>
        <v>14</v>
      </c>
      <c r="U281" s="15" t="str">
        <f>_xlfn.TEXTJOIN(", ",TRUE,ABS(MID(B281,{1,1,2},1)-MID(B281,{2,3,3},1)))</f>
        <v>5, 2, 7</v>
      </c>
      <c r="V281" s="54">
        <v>0</v>
      </c>
      <c r="W281" s="54">
        <v>1</v>
      </c>
      <c r="X281" s="54">
        <v>2</v>
      </c>
      <c r="Y281" s="54">
        <v>3</v>
      </c>
      <c r="Z281" s="54">
        <v>4</v>
      </c>
      <c r="AA281" s="54">
        <v>5</v>
      </c>
      <c r="AB281" s="54">
        <v>6</v>
      </c>
      <c r="AC281" s="54">
        <v>7</v>
      </c>
      <c r="AD281" s="54">
        <v>8</v>
      </c>
      <c r="AE281" s="54">
        <v>9</v>
      </c>
      <c r="AF281" s="55">
        <v>0</v>
      </c>
      <c r="AG281" s="55">
        <v>1</v>
      </c>
      <c r="AH281" s="55">
        <v>2</v>
      </c>
      <c r="AI281" s="55">
        <v>3</v>
      </c>
      <c r="AJ281" s="55">
        <v>4</v>
      </c>
      <c r="AK281" s="55">
        <v>5</v>
      </c>
      <c r="AL281" s="55">
        <v>6</v>
      </c>
      <c r="AM281" s="55">
        <v>7</v>
      </c>
      <c r="AN281" s="55">
        <v>8</v>
      </c>
      <c r="AO281" s="55">
        <v>9</v>
      </c>
      <c r="AP281" s="105">
        <v>0</v>
      </c>
      <c r="AQ281" s="105">
        <v>1</v>
      </c>
      <c r="AR281" s="105">
        <v>2</v>
      </c>
      <c r="AS281" s="105">
        <v>3</v>
      </c>
      <c r="AT281" s="105">
        <v>4</v>
      </c>
      <c r="AU281" s="105">
        <v>5</v>
      </c>
      <c r="AV281" s="105">
        <v>6</v>
      </c>
      <c r="AW281" s="105">
        <v>7</v>
      </c>
      <c r="AX281" s="105">
        <v>8</v>
      </c>
      <c r="AY281" s="105">
        <v>9</v>
      </c>
      <c r="AZ281" s="56">
        <v>0</v>
      </c>
      <c r="BA281" s="56">
        <v>1</v>
      </c>
      <c r="BB281" s="56">
        <v>2</v>
      </c>
      <c r="BC281" s="56">
        <v>3</v>
      </c>
      <c r="BD281" s="56">
        <v>4</v>
      </c>
      <c r="BE281" s="56">
        <v>5</v>
      </c>
      <c r="BF281" s="56">
        <v>6</v>
      </c>
      <c r="BG281" s="56">
        <v>7</v>
      </c>
      <c r="BH281" s="56">
        <v>8</v>
      </c>
      <c r="BI281" s="56">
        <v>9</v>
      </c>
      <c r="BJ281" s="57" t="str">
        <f t="shared" si="144"/>
        <v>松散型</v>
      </c>
      <c r="BK281" s="13">
        <f t="shared" si="140"/>
        <v>2</v>
      </c>
      <c r="BL281" s="13">
        <f t="shared" si="141"/>
        <v>7</v>
      </c>
      <c r="BM281" s="18">
        <f t="shared" si="146"/>
        <v>5</v>
      </c>
      <c r="BN281" s="19">
        <f t="shared" si="147"/>
        <v>5</v>
      </c>
      <c r="BO281" s="19" t="str">
        <f t="array" ref="BO281">_xlfn.TEXTJOIN("",TRUE,IF(ISERROR(FIND(ROW($1:$10)-1,BM281&amp;BN281)),ROW($1:$10)-1,""))</f>
        <v>012346789</v>
      </c>
      <c r="BP281" s="20" t="str">
        <f t="shared" si="148"/>
        <v>复隔中</v>
      </c>
      <c r="BQ281" s="21">
        <f t="shared" si="159"/>
        <v>2</v>
      </c>
      <c r="BR281" s="21">
        <f t="shared" si="157"/>
        <v>2</v>
      </c>
      <c r="BS281" s="21" t="str">
        <f t="array" ref="BS281">_xlfn.TEXTJOIN("",TRUE,IF(ISERROR(FIND(ROW($1:$10)-1,BQ281&amp;BR281)),ROW($1:$10)-1,""))</f>
        <v>013456789</v>
      </c>
      <c r="BT281" s="20" t="str">
        <f t="shared" si="149"/>
        <v>复隔中</v>
      </c>
      <c r="BU281" s="22" t="str">
        <f t="shared" si="150"/>
        <v/>
      </c>
      <c r="BV281" s="22" t="str">
        <f t="shared" si="158"/>
        <v/>
      </c>
      <c r="BW281" s="22" t="str">
        <f t="array" ref="BW281">_xlfn.TEXTJOIN("",TRUE,IF(ISERROR(FIND(ROW($1:$10)-1,BU281&amp;BV281)),ROW($1:$10)-1,""))</f>
        <v>0123456789</v>
      </c>
      <c r="BX281" s="20" t="str">
        <f t="shared" si="151"/>
        <v>中中中</v>
      </c>
      <c r="BY281" s="23" t="str">
        <f t="shared" si="145"/>
        <v>46</v>
      </c>
      <c r="BZ281" s="24" t="str">
        <f t="array" ref="BZ281">_xlfn.TEXTJOIN("",TRUE,IF(ISNUMBER(FIND(MID(BY280&amp;Q280,ROW($1:$4),1),BY281&amp;Q281)),MID(BY280&amp;Q280,ROW($1:$4),1),""))</f>
        <v>4</v>
      </c>
      <c r="CA281" s="25" t="str">
        <f t="array" ref="CA281">_xlfn.TEXTJOIN("",TRUE,IF(ISERROR(FIND(ROW($1:$10)-1,BY281&amp;BZ281)),ROW($1:$10)-1,""))</f>
        <v>01235789</v>
      </c>
      <c r="CB281" s="26" t="str">
        <f t="shared" si="152"/>
        <v>邻传孤</v>
      </c>
      <c r="CC281" s="27" t="str">
        <f t="shared" si="153"/>
        <v>13</v>
      </c>
      <c r="CD281" s="27" t="str">
        <f t="array" ref="CD281">_xlfn.TEXTJOIN("",TRUE,IF(ISNUMBER(FIND(MID(CC280&amp;R280,ROW($1:$4),1),CC281&amp;R281)),MID(CC280&amp;R280,ROW($1:$4),1),""))</f>
        <v/>
      </c>
      <c r="CE281" s="27" t="str">
        <f t="array" ref="CE281">_xlfn.TEXTJOIN("",TRUE,IF(ISERROR(FIND(ROW($1:$10)-1,CC281&amp;CD281)),ROW($1:$10)-1,""))</f>
        <v>02456789</v>
      </c>
      <c r="CF281" s="17" t="str">
        <f t="shared" si="154"/>
        <v>邻孤孤</v>
      </c>
      <c r="CG281" s="22" t="str">
        <f t="shared" si="155"/>
        <v>68</v>
      </c>
      <c r="CH281" s="22" t="str">
        <f t="array" ref="CH281">_xlfn.TEXTJOIN("",TRUE,IF(ISNUMBER(FIND(MID(CG280&amp;S280,ROW($1:$4),1),CG281&amp;S281)),MID(CG280&amp;S280,ROW($1:$4),1),""))</f>
        <v/>
      </c>
      <c r="CI281" s="22" t="str">
        <f t="array" ref="CI281">_xlfn.TEXTJOIN("",TRUE,IF(ISERROR(FIND(ROW($1:$10)-1,CG281&amp;CH281)),ROW($1:$10)-1,""))</f>
        <v>01234579</v>
      </c>
      <c r="CJ281" s="28" t="str">
        <f t="shared" si="156"/>
        <v>邻孤孤</v>
      </c>
    </row>
    <row r="282" spans="1:88">
      <c r="A282" s="32">
        <v>2025057</v>
      </c>
      <c r="B282" s="8" t="s">
        <v>60</v>
      </c>
      <c r="C282" s="49">
        <f t="shared" si="135"/>
        <v>19</v>
      </c>
      <c r="D282" s="50">
        <f t="shared" si="136"/>
        <v>9</v>
      </c>
      <c r="E282" s="51">
        <f t="shared" si="142"/>
        <v>6.3333333333333304</v>
      </c>
      <c r="F282" s="52">
        <f>MAX(MID(B282,{1,2,3},1)*1)-MIN(MID(B282,{1,2,3},1)*1)</f>
        <v>6</v>
      </c>
      <c r="G282" s="104">
        <v>0</v>
      </c>
      <c r="H282" s="104">
        <v>1</v>
      </c>
      <c r="I282" s="104">
        <v>2</v>
      </c>
      <c r="J282" s="104">
        <v>3</v>
      </c>
      <c r="K282" s="104">
        <v>4</v>
      </c>
      <c r="L282" s="104">
        <v>5</v>
      </c>
      <c r="M282" s="104">
        <v>6</v>
      </c>
      <c r="N282" s="104">
        <v>7</v>
      </c>
      <c r="O282" s="104">
        <v>8</v>
      </c>
      <c r="P282" s="104">
        <v>9</v>
      </c>
      <c r="Q282" s="53">
        <f t="shared" si="137"/>
        <v>6</v>
      </c>
      <c r="R282" s="53">
        <f t="shared" si="138"/>
        <v>4</v>
      </c>
      <c r="S282" s="53">
        <f t="shared" si="139"/>
        <v>2</v>
      </c>
      <c r="T282" s="101">
        <f t="shared" si="143"/>
        <v>12</v>
      </c>
      <c r="U282" s="15" t="str">
        <f>_xlfn.TEXTJOIN(", ",TRUE,ABS(MID(B282,{1,1,2},1)-MID(B282,{2,3,3},1)))</f>
        <v>6, 4, 2</v>
      </c>
      <c r="V282" s="54">
        <v>0</v>
      </c>
      <c r="W282" s="54">
        <v>1</v>
      </c>
      <c r="X282" s="54">
        <v>2</v>
      </c>
      <c r="Y282" s="54">
        <v>3</v>
      </c>
      <c r="Z282" s="54">
        <v>4</v>
      </c>
      <c r="AA282" s="54">
        <v>5</v>
      </c>
      <c r="AB282" s="54">
        <v>6</v>
      </c>
      <c r="AC282" s="54">
        <v>7</v>
      </c>
      <c r="AD282" s="54">
        <v>8</v>
      </c>
      <c r="AE282" s="54">
        <v>9</v>
      </c>
      <c r="AF282" s="55">
        <v>0</v>
      </c>
      <c r="AG282" s="55">
        <v>1</v>
      </c>
      <c r="AH282" s="55">
        <v>2</v>
      </c>
      <c r="AI282" s="55">
        <v>3</v>
      </c>
      <c r="AJ282" s="55">
        <v>4</v>
      </c>
      <c r="AK282" s="55">
        <v>5</v>
      </c>
      <c r="AL282" s="55">
        <v>6</v>
      </c>
      <c r="AM282" s="55">
        <v>7</v>
      </c>
      <c r="AN282" s="55">
        <v>8</v>
      </c>
      <c r="AO282" s="55">
        <v>9</v>
      </c>
      <c r="AP282" s="105">
        <v>0</v>
      </c>
      <c r="AQ282" s="105">
        <v>1</v>
      </c>
      <c r="AR282" s="105">
        <v>2</v>
      </c>
      <c r="AS282" s="105">
        <v>3</v>
      </c>
      <c r="AT282" s="105">
        <v>4</v>
      </c>
      <c r="AU282" s="105">
        <v>5</v>
      </c>
      <c r="AV282" s="105">
        <v>6</v>
      </c>
      <c r="AW282" s="105">
        <v>7</v>
      </c>
      <c r="AX282" s="105">
        <v>8</v>
      </c>
      <c r="AY282" s="105">
        <v>9</v>
      </c>
      <c r="AZ282" s="56">
        <v>0</v>
      </c>
      <c r="BA282" s="56">
        <v>1</v>
      </c>
      <c r="BB282" s="56">
        <v>2</v>
      </c>
      <c r="BC282" s="56">
        <v>3</v>
      </c>
      <c r="BD282" s="56">
        <v>4</v>
      </c>
      <c r="BE282" s="56">
        <v>5</v>
      </c>
      <c r="BF282" s="56">
        <v>6</v>
      </c>
      <c r="BG282" s="56">
        <v>7</v>
      </c>
      <c r="BH282" s="56">
        <v>8</v>
      </c>
      <c r="BI282" s="56">
        <v>9</v>
      </c>
      <c r="BJ282" s="57" t="str">
        <f t="shared" si="144"/>
        <v>松散型</v>
      </c>
      <c r="BK282" s="13">
        <f t="shared" si="140"/>
        <v>2</v>
      </c>
      <c r="BL282" s="13">
        <f t="shared" si="141"/>
        <v>6</v>
      </c>
      <c r="BM282" s="18" t="str">
        <f t="shared" si="146"/>
        <v/>
      </c>
      <c r="BN282" s="19" t="str">
        <f t="shared" si="147"/>
        <v/>
      </c>
      <c r="BO282" s="19" t="str">
        <f t="array" ref="BO282">_xlfn.TEXTJOIN("",TRUE,IF(ISERROR(FIND(ROW($1:$10)-1,BM282&amp;BN282)),ROW($1:$10)-1,""))</f>
        <v>0123456789</v>
      </c>
      <c r="BP282" s="20" t="str">
        <f t="shared" si="148"/>
        <v>中中中</v>
      </c>
      <c r="BQ282" s="21" t="str">
        <f t="shared" si="159"/>
        <v/>
      </c>
      <c r="BR282" s="21" t="str">
        <f t="shared" si="157"/>
        <v/>
      </c>
      <c r="BS282" s="21" t="str">
        <f t="array" ref="BS282">_xlfn.TEXTJOIN("",TRUE,IF(ISERROR(FIND(ROW($1:$10)-1,BQ282&amp;BR282)),ROW($1:$10)-1,""))</f>
        <v>0123456789</v>
      </c>
      <c r="BT282" s="20" t="str">
        <f t="shared" si="149"/>
        <v>中中中</v>
      </c>
      <c r="BU282" s="22">
        <f t="shared" si="150"/>
        <v>2</v>
      </c>
      <c r="BV282" s="22">
        <f t="shared" si="158"/>
        <v>2</v>
      </c>
      <c r="BW282" s="22" t="str">
        <f t="array" ref="BW282">_xlfn.TEXTJOIN("",TRUE,IF(ISERROR(FIND(ROW($1:$10)-1,BU282&amp;BV282)),ROW($1:$10)-1,""))</f>
        <v>013456789</v>
      </c>
      <c r="BX282" s="20" t="str">
        <f t="shared" si="151"/>
        <v>复隔中</v>
      </c>
      <c r="BY282" s="23" t="str">
        <f t="shared" si="145"/>
        <v>57</v>
      </c>
      <c r="BZ282" s="24" t="str">
        <f t="array" ref="BZ282">_xlfn.TEXTJOIN("",TRUE,IF(ISNUMBER(FIND(MID(BY281&amp;Q281,ROW($1:$4),1),BY282&amp;Q282)),MID(BY281&amp;Q281,ROW($1:$4),1),""))</f>
        <v>65</v>
      </c>
      <c r="CA282" s="25" t="str">
        <f t="array" ref="CA282">_xlfn.TEXTJOIN("",TRUE,IF(ISERROR(FIND(ROW($1:$10)-1,BY282&amp;BZ282)),ROW($1:$10)-1,""))</f>
        <v>0123489</v>
      </c>
      <c r="CB282" s="26" t="str">
        <f t="shared" si="152"/>
        <v>邻传孤</v>
      </c>
      <c r="CC282" s="27" t="str">
        <f t="shared" si="153"/>
        <v>35</v>
      </c>
      <c r="CD282" s="27" t="str">
        <f t="array" ref="CD282">_xlfn.TEXTJOIN("",TRUE,IF(ISNUMBER(FIND(MID(CC281&amp;R281,ROW($1:$4),1),CC282&amp;R282)),MID(CC281&amp;R281,ROW($1:$4),1),""))</f>
        <v>3</v>
      </c>
      <c r="CE282" s="27" t="str">
        <f t="array" ref="CE282">_xlfn.TEXTJOIN("",TRUE,IF(ISERROR(FIND(ROW($1:$10)-1,CC282&amp;CD282)),ROW($1:$10)-1,""))</f>
        <v>01246789</v>
      </c>
      <c r="CF282" s="17" t="str">
        <f t="shared" si="154"/>
        <v>邻传孤</v>
      </c>
      <c r="CG282" s="22" t="str">
        <f t="shared" si="155"/>
        <v>13</v>
      </c>
      <c r="CH282" s="22" t="str">
        <f t="array" ref="CH282">_xlfn.TEXTJOIN("",TRUE,IF(ISNUMBER(FIND(MID(CG281&amp;S281,ROW($1:$4),1),CG282&amp;S282)),MID(CG281&amp;S281,ROW($1:$4),1),""))</f>
        <v/>
      </c>
      <c r="CI282" s="22" t="str">
        <f t="array" ref="CI282">_xlfn.TEXTJOIN("",TRUE,IF(ISERROR(FIND(ROW($1:$10)-1,CG282&amp;CH282)),ROW($1:$10)-1,""))</f>
        <v>02456789</v>
      </c>
      <c r="CJ282" s="28" t="str">
        <f t="shared" si="156"/>
        <v>邻孤孤</v>
      </c>
    </row>
    <row r="283" spans="1:88">
      <c r="A283" s="32">
        <v>2025058</v>
      </c>
      <c r="B283" s="8" t="s">
        <v>108</v>
      </c>
      <c r="C283" s="49">
        <f t="shared" si="135"/>
        <v>9</v>
      </c>
      <c r="D283" s="50">
        <f t="shared" si="136"/>
        <v>9</v>
      </c>
      <c r="E283" s="51">
        <f t="shared" si="142"/>
        <v>3</v>
      </c>
      <c r="F283" s="52">
        <f>MAX(MID(B283,{1,2,3},1)*1)-MIN(MID(B283,{1,2,3},1)*1)</f>
        <v>5</v>
      </c>
      <c r="G283" s="104">
        <v>0</v>
      </c>
      <c r="H283" s="104">
        <v>1</v>
      </c>
      <c r="I283" s="104">
        <v>2</v>
      </c>
      <c r="J283" s="104">
        <v>3</v>
      </c>
      <c r="K283" s="104">
        <v>4</v>
      </c>
      <c r="L283" s="104">
        <v>5</v>
      </c>
      <c r="M283" s="104">
        <v>6</v>
      </c>
      <c r="N283" s="104">
        <v>7</v>
      </c>
      <c r="O283" s="104">
        <v>8</v>
      </c>
      <c r="P283" s="104">
        <v>9</v>
      </c>
      <c r="Q283" s="53">
        <f t="shared" si="137"/>
        <v>4</v>
      </c>
      <c r="R283" s="53">
        <f t="shared" si="138"/>
        <v>1</v>
      </c>
      <c r="S283" s="53">
        <f t="shared" si="139"/>
        <v>5</v>
      </c>
      <c r="T283" s="101">
        <f t="shared" si="143"/>
        <v>10</v>
      </c>
      <c r="U283" s="15" t="str">
        <f>_xlfn.TEXTJOIN(", ",TRUE,ABS(MID(B283,{1,1,2},1)-MID(B283,{2,3,3},1)))</f>
        <v>4, 1, 5</v>
      </c>
      <c r="V283" s="54">
        <v>0</v>
      </c>
      <c r="W283" s="54">
        <v>1</v>
      </c>
      <c r="X283" s="54">
        <v>2</v>
      </c>
      <c r="Y283" s="54">
        <v>3</v>
      </c>
      <c r="Z283" s="54">
        <v>4</v>
      </c>
      <c r="AA283" s="54">
        <v>5</v>
      </c>
      <c r="AB283" s="54">
        <v>6</v>
      </c>
      <c r="AC283" s="54">
        <v>7</v>
      </c>
      <c r="AD283" s="54">
        <v>8</v>
      </c>
      <c r="AE283" s="54">
        <v>9</v>
      </c>
      <c r="AF283" s="55">
        <v>0</v>
      </c>
      <c r="AG283" s="55">
        <v>1</v>
      </c>
      <c r="AH283" s="55">
        <v>2</v>
      </c>
      <c r="AI283" s="55">
        <v>3</v>
      </c>
      <c r="AJ283" s="55">
        <v>4</v>
      </c>
      <c r="AK283" s="55">
        <v>5</v>
      </c>
      <c r="AL283" s="55">
        <v>6</v>
      </c>
      <c r="AM283" s="55">
        <v>7</v>
      </c>
      <c r="AN283" s="55">
        <v>8</v>
      </c>
      <c r="AO283" s="55">
        <v>9</v>
      </c>
      <c r="AP283" s="105">
        <v>0</v>
      </c>
      <c r="AQ283" s="105">
        <v>1</v>
      </c>
      <c r="AR283" s="105">
        <v>2</v>
      </c>
      <c r="AS283" s="105">
        <v>3</v>
      </c>
      <c r="AT283" s="105">
        <v>4</v>
      </c>
      <c r="AU283" s="105">
        <v>5</v>
      </c>
      <c r="AV283" s="105">
        <v>6</v>
      </c>
      <c r="AW283" s="105">
        <v>7</v>
      </c>
      <c r="AX283" s="105">
        <v>8</v>
      </c>
      <c r="AY283" s="105">
        <v>9</v>
      </c>
      <c r="AZ283" s="56">
        <v>0</v>
      </c>
      <c r="BA283" s="56">
        <v>1</v>
      </c>
      <c r="BB283" s="56">
        <v>2</v>
      </c>
      <c r="BC283" s="56">
        <v>3</v>
      </c>
      <c r="BD283" s="56">
        <v>4</v>
      </c>
      <c r="BE283" s="56">
        <v>5</v>
      </c>
      <c r="BF283" s="56">
        <v>6</v>
      </c>
      <c r="BG283" s="56">
        <v>7</v>
      </c>
      <c r="BH283" s="56">
        <v>8</v>
      </c>
      <c r="BI283" s="56">
        <v>9</v>
      </c>
      <c r="BJ283" s="57" t="str">
        <f t="shared" si="144"/>
        <v>标准型</v>
      </c>
      <c r="BK283" s="13">
        <f t="shared" si="140"/>
        <v>1</v>
      </c>
      <c r="BL283" s="13">
        <f t="shared" si="141"/>
        <v>5</v>
      </c>
      <c r="BM283" s="18">
        <f t="shared" si="146"/>
        <v>4</v>
      </c>
      <c r="BN283" s="19" t="str">
        <f t="shared" si="147"/>
        <v/>
      </c>
      <c r="BO283" s="19" t="str">
        <f t="array" ref="BO283">_xlfn.TEXTJOIN("",TRUE,IF(ISERROR(FIND(ROW($1:$10)-1,BM283&amp;BN283)),ROW($1:$10)-1,""))</f>
        <v>012356789</v>
      </c>
      <c r="BP283" s="20" t="str">
        <f t="shared" si="148"/>
        <v>复中中</v>
      </c>
      <c r="BQ283" s="21" t="str">
        <f t="shared" si="159"/>
        <v/>
      </c>
      <c r="BR283" s="21" t="str">
        <f t="shared" si="157"/>
        <v/>
      </c>
      <c r="BS283" s="21" t="str">
        <f t="array" ref="BS283">_xlfn.TEXTJOIN("",TRUE,IF(ISERROR(FIND(ROW($1:$10)-1,BQ283&amp;BR283)),ROW($1:$10)-1,""))</f>
        <v>0123456789</v>
      </c>
      <c r="BT283" s="20" t="str">
        <f t="shared" si="149"/>
        <v>中中中</v>
      </c>
      <c r="BU283" s="22" t="str">
        <f t="shared" si="150"/>
        <v/>
      </c>
      <c r="BV283" s="22">
        <f t="shared" si="158"/>
        <v>5</v>
      </c>
      <c r="BW283" s="22" t="str">
        <f t="array" ref="BW283">_xlfn.TEXTJOIN("",TRUE,IF(ISERROR(FIND(ROW($1:$10)-1,BU283&amp;BV283)),ROW($1:$10)-1,""))</f>
        <v>012346789</v>
      </c>
      <c r="BX283" s="20" t="str">
        <f t="shared" si="151"/>
        <v>中隔中</v>
      </c>
      <c r="BY283" s="23" t="str">
        <f t="shared" si="145"/>
        <v>35</v>
      </c>
      <c r="BZ283" s="24" t="str">
        <f t="array" ref="BZ283">_xlfn.TEXTJOIN("",TRUE,IF(ISNUMBER(FIND(MID(BY282&amp;Q282,ROW($1:$4),1),BY283&amp;Q283)),MID(BY282&amp;Q282,ROW($1:$4),1),""))</f>
        <v>5</v>
      </c>
      <c r="CA283" s="25" t="str">
        <f t="array" ref="CA283">_xlfn.TEXTJOIN("",TRUE,IF(ISERROR(FIND(ROW($1:$10)-1,BY283&amp;BZ283)),ROW($1:$10)-1,""))</f>
        <v>01246789</v>
      </c>
      <c r="CB283" s="26" t="str">
        <f t="shared" si="152"/>
        <v>邻传孤</v>
      </c>
      <c r="CC283" s="27" t="str">
        <f t="shared" si="153"/>
        <v>02</v>
      </c>
      <c r="CD283" s="27" t="str">
        <f t="array" ref="CD283">_xlfn.TEXTJOIN("",TRUE,IF(ISNUMBER(FIND(MID(CC282&amp;R282,ROW($1:$4),1),CC283&amp;R283)),MID(CC282&amp;R282,ROW($1:$4),1),""))</f>
        <v/>
      </c>
      <c r="CE283" s="27" t="str">
        <f t="array" ref="CE283">_xlfn.TEXTJOIN("",TRUE,IF(ISERROR(FIND(ROW($1:$10)-1,CC283&amp;CD283)),ROW($1:$10)-1,""))</f>
        <v>13456789</v>
      </c>
      <c r="CF283" s="17" t="str">
        <f t="shared" si="154"/>
        <v>邻孤孤</v>
      </c>
      <c r="CG283" s="22" t="str">
        <f t="shared" si="155"/>
        <v>46</v>
      </c>
      <c r="CH283" s="22" t="str">
        <f t="array" ref="CH283">_xlfn.TEXTJOIN("",TRUE,IF(ISNUMBER(FIND(MID(CG282&amp;S282,ROW($1:$4),1),CG283&amp;S283)),MID(CG282&amp;S282,ROW($1:$4),1),""))</f>
        <v/>
      </c>
      <c r="CI283" s="22" t="str">
        <f t="array" ref="CI283">_xlfn.TEXTJOIN("",TRUE,IF(ISERROR(FIND(ROW($1:$10)-1,CG283&amp;CH283)),ROW($1:$10)-1,""))</f>
        <v>01235789</v>
      </c>
      <c r="CJ283" s="28" t="str">
        <f t="shared" si="156"/>
        <v>邻孤孤</v>
      </c>
    </row>
    <row r="284" spans="1:88">
      <c r="A284" s="32">
        <v>2025059</v>
      </c>
      <c r="B284" s="8" t="s">
        <v>245</v>
      </c>
      <c r="C284" s="49">
        <f t="shared" ref="C284:C310" si="160">LEFT(B284,1)+MID(B284,2,1)+RIGHT(B284,1)</f>
        <v>19</v>
      </c>
      <c r="D284" s="50">
        <f t="shared" ref="D284:D310" si="161">MOD(LEFT(B284,1)+MID(B284,2,1)+RIGHT(B284,1),10)</f>
        <v>9</v>
      </c>
      <c r="E284" s="51">
        <f t="shared" si="142"/>
        <v>6.3333333333333304</v>
      </c>
      <c r="F284" s="52">
        <f>MAX(MID(B284,{1,2,3},1)*1)-MIN(MID(B284,{1,2,3},1)*1)</f>
        <v>4</v>
      </c>
      <c r="G284" s="104">
        <v>0</v>
      </c>
      <c r="H284" s="104">
        <v>1</v>
      </c>
      <c r="I284" s="104">
        <v>2</v>
      </c>
      <c r="J284" s="104">
        <v>3</v>
      </c>
      <c r="K284" s="104">
        <v>4</v>
      </c>
      <c r="L284" s="104">
        <v>5</v>
      </c>
      <c r="M284" s="104">
        <v>6</v>
      </c>
      <c r="N284" s="104">
        <v>7</v>
      </c>
      <c r="O284" s="104">
        <v>8</v>
      </c>
      <c r="P284" s="104">
        <v>9</v>
      </c>
      <c r="Q284" s="53">
        <f t="shared" ref="Q284:Q310" si="162">ABS(LEFT(B284,1)-MID(B284,2,1))</f>
        <v>4</v>
      </c>
      <c r="R284" s="53">
        <f t="shared" ref="R284:R310" si="163">ABS(LEFT(B284,1)-RIGHT(B284,1))</f>
        <v>1</v>
      </c>
      <c r="S284" s="53">
        <f t="shared" ref="S284:S310" si="164">ABS(MID(B284,2,1)-RIGHT(B284,1))</f>
        <v>3</v>
      </c>
      <c r="T284" s="101">
        <f t="shared" si="143"/>
        <v>8</v>
      </c>
      <c r="U284" s="15" t="str">
        <f>_xlfn.TEXTJOIN(", ",TRUE,ABS(MID(B284,{1,1,2},1)-MID(B284,{2,3,3},1)))</f>
        <v>4, 1, 3</v>
      </c>
      <c r="V284" s="54">
        <v>0</v>
      </c>
      <c r="W284" s="54">
        <v>1</v>
      </c>
      <c r="X284" s="54">
        <v>2</v>
      </c>
      <c r="Y284" s="54">
        <v>3</v>
      </c>
      <c r="Z284" s="54">
        <v>4</v>
      </c>
      <c r="AA284" s="54">
        <v>5</v>
      </c>
      <c r="AB284" s="54">
        <v>6</v>
      </c>
      <c r="AC284" s="54">
        <v>7</v>
      </c>
      <c r="AD284" s="54">
        <v>8</v>
      </c>
      <c r="AE284" s="54">
        <v>9</v>
      </c>
      <c r="AF284" s="55">
        <v>0</v>
      </c>
      <c r="AG284" s="55">
        <v>1</v>
      </c>
      <c r="AH284" s="55">
        <v>2</v>
      </c>
      <c r="AI284" s="55">
        <v>3</v>
      </c>
      <c r="AJ284" s="55">
        <v>4</v>
      </c>
      <c r="AK284" s="55">
        <v>5</v>
      </c>
      <c r="AL284" s="55">
        <v>6</v>
      </c>
      <c r="AM284" s="55">
        <v>7</v>
      </c>
      <c r="AN284" s="55">
        <v>8</v>
      </c>
      <c r="AO284" s="55">
        <v>9</v>
      </c>
      <c r="AP284" s="105">
        <v>0</v>
      </c>
      <c r="AQ284" s="105">
        <v>1</v>
      </c>
      <c r="AR284" s="105">
        <v>2</v>
      </c>
      <c r="AS284" s="105">
        <v>3</v>
      </c>
      <c r="AT284" s="105">
        <v>4</v>
      </c>
      <c r="AU284" s="105">
        <v>5</v>
      </c>
      <c r="AV284" s="105">
        <v>6</v>
      </c>
      <c r="AW284" s="105">
        <v>7</v>
      </c>
      <c r="AX284" s="105">
        <v>8</v>
      </c>
      <c r="AY284" s="105">
        <v>9</v>
      </c>
      <c r="AZ284" s="56">
        <v>0</v>
      </c>
      <c r="BA284" s="56">
        <v>1</v>
      </c>
      <c r="BB284" s="56">
        <v>2</v>
      </c>
      <c r="BC284" s="56">
        <v>3</v>
      </c>
      <c r="BD284" s="56">
        <v>4</v>
      </c>
      <c r="BE284" s="56">
        <v>5</v>
      </c>
      <c r="BF284" s="56">
        <v>6</v>
      </c>
      <c r="BG284" s="56">
        <v>7</v>
      </c>
      <c r="BH284" s="56">
        <v>8</v>
      </c>
      <c r="BI284" s="56">
        <v>9</v>
      </c>
      <c r="BJ284" s="57" t="str">
        <f t="shared" si="144"/>
        <v>紧凑型</v>
      </c>
      <c r="BK284" s="13">
        <f t="shared" si="140"/>
        <v>1</v>
      </c>
      <c r="BL284" s="13">
        <f t="shared" si="141"/>
        <v>4</v>
      </c>
      <c r="BM284" s="18">
        <f t="shared" si="146"/>
        <v>4</v>
      </c>
      <c r="BN284" s="19">
        <f t="shared" si="147"/>
        <v>4</v>
      </c>
      <c r="BO284" s="19" t="str">
        <f t="array" ref="BO284">_xlfn.TEXTJOIN("",TRUE,IF(ISERROR(FIND(ROW($1:$10)-1,BM284&amp;BN284)),ROW($1:$10)-1,""))</f>
        <v>012356789</v>
      </c>
      <c r="BP284" s="20" t="str">
        <f t="shared" si="148"/>
        <v>复隔中</v>
      </c>
      <c r="BQ284" s="21">
        <f t="shared" si="159"/>
        <v>1</v>
      </c>
      <c r="BR284" s="21" t="str">
        <f t="shared" si="157"/>
        <v/>
      </c>
      <c r="BS284" s="21" t="str">
        <f t="array" ref="BS284">_xlfn.TEXTJOIN("",TRUE,IF(ISERROR(FIND(ROW($1:$10)-1,BQ284&amp;BR284)),ROW($1:$10)-1,""))</f>
        <v>023456789</v>
      </c>
      <c r="BT284" s="20" t="str">
        <f t="shared" si="149"/>
        <v>复中中</v>
      </c>
      <c r="BU284" s="22" t="str">
        <f t="shared" si="150"/>
        <v/>
      </c>
      <c r="BV284" s="22" t="str">
        <f t="shared" si="158"/>
        <v/>
      </c>
      <c r="BW284" s="22" t="str">
        <f t="array" ref="BW284">_xlfn.TEXTJOIN("",TRUE,IF(ISERROR(FIND(ROW($1:$10)-1,BU284&amp;BV284)),ROW($1:$10)-1,""))</f>
        <v>0123456789</v>
      </c>
      <c r="BX284" s="20" t="str">
        <f t="shared" si="151"/>
        <v>中中中</v>
      </c>
      <c r="BY284" s="23" t="str">
        <f t="shared" si="145"/>
        <v>35</v>
      </c>
      <c r="BZ284" s="24" t="str">
        <f t="array" ref="BZ284">_xlfn.TEXTJOIN("",TRUE,IF(ISNUMBER(FIND(MID(BY283&amp;Q283,ROW($1:$4),1),BY284&amp;Q284)),MID(BY283&amp;Q283,ROW($1:$4),1),""))</f>
        <v>354</v>
      </c>
      <c r="CA284" s="25" t="str">
        <f t="array" ref="CA284">_xlfn.TEXTJOIN("",TRUE,IF(ISERROR(FIND(ROW($1:$10)-1,BY284&amp;BZ284)),ROW($1:$10)-1,""))</f>
        <v>0126789</v>
      </c>
      <c r="CB284" s="26" t="str">
        <f t="shared" si="152"/>
        <v>邻传孤</v>
      </c>
      <c r="CC284" s="27" t="str">
        <f t="shared" si="153"/>
        <v>02</v>
      </c>
      <c r="CD284" s="27" t="str">
        <f t="array" ref="CD284">_xlfn.TEXTJOIN("",TRUE,IF(ISNUMBER(FIND(MID(CC283&amp;R283,ROW($1:$4),1),CC284&amp;R284)),MID(CC283&amp;R283,ROW($1:$4),1),""))</f>
        <v>021</v>
      </c>
      <c r="CE284" s="27" t="str">
        <f t="array" ref="CE284">_xlfn.TEXTJOIN("",TRUE,IF(ISERROR(FIND(ROW($1:$10)-1,CC284&amp;CD284)),ROW($1:$10)-1,""))</f>
        <v>3456789</v>
      </c>
      <c r="CF284" s="17" t="str">
        <f t="shared" si="154"/>
        <v>邻传孤</v>
      </c>
      <c r="CG284" s="22" t="str">
        <f t="shared" si="155"/>
        <v>24</v>
      </c>
      <c r="CH284" s="22" t="str">
        <f t="array" ref="CH284">_xlfn.TEXTJOIN("",TRUE,IF(ISNUMBER(FIND(MID(CG283&amp;S283,ROW($1:$4),1),CG284&amp;S284)),MID(CG283&amp;S283,ROW($1:$4),1),""))</f>
        <v>4</v>
      </c>
      <c r="CI284" s="22" t="str">
        <f t="array" ref="CI284">_xlfn.TEXTJOIN("",TRUE,IF(ISERROR(FIND(ROW($1:$10)-1,CG284&amp;CH284)),ROW($1:$10)-1,""))</f>
        <v>01356789</v>
      </c>
      <c r="CJ284" s="28" t="str">
        <f t="shared" si="156"/>
        <v>邻传孤</v>
      </c>
    </row>
    <row r="285" spans="1:88">
      <c r="A285" s="32">
        <v>2025060</v>
      </c>
      <c r="B285" s="8" t="s">
        <v>120</v>
      </c>
      <c r="C285" s="49">
        <f t="shared" si="160"/>
        <v>20</v>
      </c>
      <c r="D285" s="50">
        <f t="shared" si="161"/>
        <v>0</v>
      </c>
      <c r="E285" s="51">
        <f t="shared" si="142"/>
        <v>6.6666666666666696</v>
      </c>
      <c r="F285" s="52">
        <f>MAX(MID(B285,{1,2,3},1)*1)-MIN(MID(B285,{1,2,3},1)*1)</f>
        <v>6</v>
      </c>
      <c r="G285" s="104">
        <v>0</v>
      </c>
      <c r="H285" s="104">
        <v>1</v>
      </c>
      <c r="I285" s="104">
        <v>2</v>
      </c>
      <c r="J285" s="104">
        <v>3</v>
      </c>
      <c r="K285" s="104">
        <v>4</v>
      </c>
      <c r="L285" s="104">
        <v>5</v>
      </c>
      <c r="M285" s="104">
        <v>6</v>
      </c>
      <c r="N285" s="104">
        <v>7</v>
      </c>
      <c r="O285" s="104">
        <v>8</v>
      </c>
      <c r="P285" s="104">
        <v>9</v>
      </c>
      <c r="Q285" s="53">
        <f t="shared" si="162"/>
        <v>6</v>
      </c>
      <c r="R285" s="53">
        <f t="shared" si="163"/>
        <v>1</v>
      </c>
      <c r="S285" s="53">
        <f t="shared" si="164"/>
        <v>5</v>
      </c>
      <c r="T285" s="101">
        <f t="shared" si="143"/>
        <v>12</v>
      </c>
      <c r="U285" s="15" t="str">
        <f>_xlfn.TEXTJOIN(", ",TRUE,ABS(MID(B285,{1,1,2},1)-MID(B285,{2,3,3},1)))</f>
        <v>6, 1, 5</v>
      </c>
      <c r="V285" s="54">
        <v>0</v>
      </c>
      <c r="W285" s="54">
        <v>1</v>
      </c>
      <c r="X285" s="54">
        <v>2</v>
      </c>
      <c r="Y285" s="54">
        <v>3</v>
      </c>
      <c r="Z285" s="54">
        <v>4</v>
      </c>
      <c r="AA285" s="54">
        <v>5</v>
      </c>
      <c r="AB285" s="54">
        <v>6</v>
      </c>
      <c r="AC285" s="54">
        <v>7</v>
      </c>
      <c r="AD285" s="54">
        <v>8</v>
      </c>
      <c r="AE285" s="54">
        <v>9</v>
      </c>
      <c r="AF285" s="55">
        <v>0</v>
      </c>
      <c r="AG285" s="55">
        <v>1</v>
      </c>
      <c r="AH285" s="55">
        <v>2</v>
      </c>
      <c r="AI285" s="55">
        <v>3</v>
      </c>
      <c r="AJ285" s="55">
        <v>4</v>
      </c>
      <c r="AK285" s="55">
        <v>5</v>
      </c>
      <c r="AL285" s="55">
        <v>6</v>
      </c>
      <c r="AM285" s="55">
        <v>7</v>
      </c>
      <c r="AN285" s="55">
        <v>8</v>
      </c>
      <c r="AO285" s="55">
        <v>9</v>
      </c>
      <c r="AP285" s="105">
        <v>0</v>
      </c>
      <c r="AQ285" s="105">
        <v>1</v>
      </c>
      <c r="AR285" s="105">
        <v>2</v>
      </c>
      <c r="AS285" s="105">
        <v>3</v>
      </c>
      <c r="AT285" s="105">
        <v>4</v>
      </c>
      <c r="AU285" s="105">
        <v>5</v>
      </c>
      <c r="AV285" s="105">
        <v>6</v>
      </c>
      <c r="AW285" s="105">
        <v>7</v>
      </c>
      <c r="AX285" s="105">
        <v>8</v>
      </c>
      <c r="AY285" s="105">
        <v>9</v>
      </c>
      <c r="AZ285" s="56">
        <v>0</v>
      </c>
      <c r="BA285" s="56">
        <v>1</v>
      </c>
      <c r="BB285" s="56">
        <v>2</v>
      </c>
      <c r="BC285" s="56">
        <v>3</v>
      </c>
      <c r="BD285" s="56">
        <v>4</v>
      </c>
      <c r="BE285" s="56">
        <v>5</v>
      </c>
      <c r="BF285" s="56">
        <v>6</v>
      </c>
      <c r="BG285" s="56">
        <v>7</v>
      </c>
      <c r="BH285" s="56">
        <v>8</v>
      </c>
      <c r="BI285" s="56">
        <v>9</v>
      </c>
      <c r="BJ285" s="57" t="str">
        <f t="shared" si="144"/>
        <v>松散型</v>
      </c>
      <c r="BK285" s="13">
        <f t="shared" si="140"/>
        <v>1</v>
      </c>
      <c r="BL285" s="13">
        <f t="shared" si="141"/>
        <v>6</v>
      </c>
      <c r="BM285" s="18" t="str">
        <f t="shared" si="146"/>
        <v/>
      </c>
      <c r="BN285" s="19" t="str">
        <f t="shared" si="147"/>
        <v/>
      </c>
      <c r="BO285" s="19" t="str">
        <f t="array" ref="BO285">_xlfn.TEXTJOIN("",TRUE,IF(ISERROR(FIND(ROW($1:$10)-1,BM285&amp;BN285)),ROW($1:$10)-1,""))</f>
        <v>0123456789</v>
      </c>
      <c r="BP285" s="20" t="str">
        <f t="shared" si="148"/>
        <v>中中中</v>
      </c>
      <c r="BQ285" s="21">
        <f t="shared" si="159"/>
        <v>1</v>
      </c>
      <c r="BR285" s="21">
        <f t="shared" si="157"/>
        <v>1</v>
      </c>
      <c r="BS285" s="21" t="str">
        <f t="array" ref="BS285">_xlfn.TEXTJOIN("",TRUE,IF(ISERROR(FIND(ROW($1:$10)-1,BQ285&amp;BR285)),ROW($1:$10)-1,""))</f>
        <v>023456789</v>
      </c>
      <c r="BT285" s="20" t="str">
        <f t="shared" si="149"/>
        <v>复隔中</v>
      </c>
      <c r="BU285" s="22" t="str">
        <f t="shared" si="150"/>
        <v/>
      </c>
      <c r="BV285" s="22">
        <f t="shared" si="158"/>
        <v>5</v>
      </c>
      <c r="BW285" s="22" t="str">
        <f t="array" ref="BW285">_xlfn.TEXTJOIN("",TRUE,IF(ISERROR(FIND(ROW($1:$10)-1,BU285&amp;BV285)),ROW($1:$10)-1,""))</f>
        <v>012346789</v>
      </c>
      <c r="BX285" s="20" t="str">
        <f t="shared" si="151"/>
        <v>中隔中</v>
      </c>
      <c r="BY285" s="23" t="str">
        <f t="shared" si="145"/>
        <v>57</v>
      </c>
      <c r="BZ285" s="24" t="str">
        <f t="array" ref="BZ285">_xlfn.TEXTJOIN("",TRUE,IF(ISNUMBER(FIND(MID(BY284&amp;Q284,ROW($1:$4),1),BY285&amp;Q285)),MID(BY284&amp;Q284,ROW($1:$4),1),""))</f>
        <v>5</v>
      </c>
      <c r="CA285" s="25" t="str">
        <f t="array" ref="CA285">_xlfn.TEXTJOIN("",TRUE,IF(ISERROR(FIND(ROW($1:$10)-1,BY285&amp;BZ285)),ROW($1:$10)-1,""))</f>
        <v>01234689</v>
      </c>
      <c r="CB285" s="26" t="str">
        <f t="shared" si="152"/>
        <v>邻传孤</v>
      </c>
      <c r="CC285" s="27" t="str">
        <f t="shared" si="153"/>
        <v>02</v>
      </c>
      <c r="CD285" s="27" t="str">
        <f t="array" ref="CD285">_xlfn.TEXTJOIN("",TRUE,IF(ISNUMBER(FIND(MID(CC284&amp;R284,ROW($1:$4),1),CC285&amp;R285)),MID(CC284&amp;R284,ROW($1:$4),1),""))</f>
        <v>021</v>
      </c>
      <c r="CE285" s="27" t="str">
        <f t="array" ref="CE285">_xlfn.TEXTJOIN("",TRUE,IF(ISERROR(FIND(ROW($1:$10)-1,CC285&amp;CD285)),ROW($1:$10)-1,""))</f>
        <v>3456789</v>
      </c>
      <c r="CF285" s="17" t="str">
        <f t="shared" si="154"/>
        <v>邻传孤</v>
      </c>
      <c r="CG285" s="22" t="str">
        <f t="shared" si="155"/>
        <v>46</v>
      </c>
      <c r="CH285" s="22" t="str">
        <f t="array" ref="CH285">_xlfn.TEXTJOIN("",TRUE,IF(ISNUMBER(FIND(MID(CG284&amp;S284,ROW($1:$4),1),CG285&amp;S285)),MID(CG284&amp;S284,ROW($1:$4),1),""))</f>
        <v>4</v>
      </c>
      <c r="CI285" s="22" t="str">
        <f t="array" ref="CI285">_xlfn.TEXTJOIN("",TRUE,IF(ISERROR(FIND(ROW($1:$10)-1,CG285&amp;CH285)),ROW($1:$10)-1,""))</f>
        <v>01235789</v>
      </c>
      <c r="CJ285" s="28" t="str">
        <f t="shared" si="156"/>
        <v>邻传孤</v>
      </c>
    </row>
    <row r="286" spans="1:88">
      <c r="A286" s="32">
        <v>2025061</v>
      </c>
      <c r="B286" s="8" t="s">
        <v>260</v>
      </c>
      <c r="C286" s="49">
        <f t="shared" si="160"/>
        <v>17</v>
      </c>
      <c r="D286" s="50">
        <f t="shared" si="161"/>
        <v>7</v>
      </c>
      <c r="E286" s="51">
        <f t="shared" si="142"/>
        <v>5.6666666666666696</v>
      </c>
      <c r="F286" s="52">
        <f>MAX(MID(B286,{1,2,3},1)*1)-MIN(MID(B286,{1,2,3},1)*1)</f>
        <v>3</v>
      </c>
      <c r="G286" s="104">
        <v>0</v>
      </c>
      <c r="H286" s="104">
        <v>1</v>
      </c>
      <c r="I286" s="104">
        <v>2</v>
      </c>
      <c r="J286" s="104">
        <v>3</v>
      </c>
      <c r="K286" s="104">
        <v>4</v>
      </c>
      <c r="L286" s="104">
        <v>5</v>
      </c>
      <c r="M286" s="104">
        <v>6</v>
      </c>
      <c r="N286" s="104">
        <v>7</v>
      </c>
      <c r="O286" s="104">
        <v>8</v>
      </c>
      <c r="P286" s="104">
        <v>9</v>
      </c>
      <c r="Q286" s="53">
        <f t="shared" si="162"/>
        <v>3</v>
      </c>
      <c r="R286" s="53">
        <f t="shared" si="163"/>
        <v>2</v>
      </c>
      <c r="S286" s="53">
        <f t="shared" si="164"/>
        <v>1</v>
      </c>
      <c r="T286" s="101">
        <f t="shared" si="143"/>
        <v>6</v>
      </c>
      <c r="U286" s="15" t="str">
        <f>_xlfn.TEXTJOIN(", ",TRUE,ABS(MID(B286,{1,1,2},1)-MID(B286,{2,3,3},1)))</f>
        <v>3, 2, 1</v>
      </c>
      <c r="V286" s="54">
        <v>0</v>
      </c>
      <c r="W286" s="54">
        <v>1</v>
      </c>
      <c r="X286" s="54">
        <v>2</v>
      </c>
      <c r="Y286" s="54">
        <v>3</v>
      </c>
      <c r="Z286" s="54">
        <v>4</v>
      </c>
      <c r="AA286" s="54">
        <v>5</v>
      </c>
      <c r="AB286" s="54">
        <v>6</v>
      </c>
      <c r="AC286" s="54">
        <v>7</v>
      </c>
      <c r="AD286" s="54">
        <v>8</v>
      </c>
      <c r="AE286" s="54">
        <v>9</v>
      </c>
      <c r="AF286" s="55">
        <v>0</v>
      </c>
      <c r="AG286" s="55">
        <v>1</v>
      </c>
      <c r="AH286" s="55">
        <v>2</v>
      </c>
      <c r="AI286" s="55">
        <v>3</v>
      </c>
      <c r="AJ286" s="55">
        <v>4</v>
      </c>
      <c r="AK286" s="55">
        <v>5</v>
      </c>
      <c r="AL286" s="55">
        <v>6</v>
      </c>
      <c r="AM286" s="55">
        <v>7</v>
      </c>
      <c r="AN286" s="55">
        <v>8</v>
      </c>
      <c r="AO286" s="55">
        <v>9</v>
      </c>
      <c r="AP286" s="105">
        <v>0</v>
      </c>
      <c r="AQ286" s="105">
        <v>1</v>
      </c>
      <c r="AR286" s="105">
        <v>2</v>
      </c>
      <c r="AS286" s="105">
        <v>3</v>
      </c>
      <c r="AT286" s="105">
        <v>4</v>
      </c>
      <c r="AU286" s="105">
        <v>5</v>
      </c>
      <c r="AV286" s="105">
        <v>6</v>
      </c>
      <c r="AW286" s="105">
        <v>7</v>
      </c>
      <c r="AX286" s="105">
        <v>8</v>
      </c>
      <c r="AY286" s="105">
        <v>9</v>
      </c>
      <c r="AZ286" s="56">
        <v>0</v>
      </c>
      <c r="BA286" s="56">
        <v>1</v>
      </c>
      <c r="BB286" s="56">
        <v>2</v>
      </c>
      <c r="BC286" s="56">
        <v>3</v>
      </c>
      <c r="BD286" s="56">
        <v>4</v>
      </c>
      <c r="BE286" s="56">
        <v>5</v>
      </c>
      <c r="BF286" s="56">
        <v>6</v>
      </c>
      <c r="BG286" s="56">
        <v>7</v>
      </c>
      <c r="BH286" s="56">
        <v>8</v>
      </c>
      <c r="BI286" s="56">
        <v>9</v>
      </c>
      <c r="BJ286" s="57" t="str">
        <f t="shared" si="144"/>
        <v>紧凑型</v>
      </c>
      <c r="BK286" s="13">
        <f t="shared" si="140"/>
        <v>1</v>
      </c>
      <c r="BL286" s="13">
        <f t="shared" si="141"/>
        <v>3</v>
      </c>
      <c r="BM286" s="18" t="str">
        <f t="shared" si="146"/>
        <v/>
      </c>
      <c r="BN286" s="19">
        <f t="shared" si="147"/>
        <v>3</v>
      </c>
      <c r="BO286" s="19" t="str">
        <f t="array" ref="BO286">_xlfn.TEXTJOIN("",TRUE,IF(ISERROR(FIND(ROW($1:$10)-1,BM286&amp;BN286)),ROW($1:$10)-1,""))</f>
        <v>012456789</v>
      </c>
      <c r="BP286" s="20" t="str">
        <f t="shared" si="148"/>
        <v>中隔中</v>
      </c>
      <c r="BQ286" s="21" t="str">
        <f t="shared" si="159"/>
        <v/>
      </c>
      <c r="BR286" s="21" t="str">
        <f t="shared" si="157"/>
        <v/>
      </c>
      <c r="BS286" s="21" t="str">
        <f t="array" ref="BS286">_xlfn.TEXTJOIN("",TRUE,IF(ISERROR(FIND(ROW($1:$10)-1,BQ286&amp;BR286)),ROW($1:$10)-1,""))</f>
        <v>0123456789</v>
      </c>
      <c r="BT286" s="20" t="str">
        <f t="shared" si="149"/>
        <v>中中中</v>
      </c>
      <c r="BU286" s="22">
        <f t="shared" si="150"/>
        <v>1</v>
      </c>
      <c r="BV286" s="22">
        <f t="shared" si="158"/>
        <v>1</v>
      </c>
      <c r="BW286" s="22" t="str">
        <f t="array" ref="BW286">_xlfn.TEXTJOIN("",TRUE,IF(ISERROR(FIND(ROW($1:$10)-1,BU286&amp;BV286)),ROW($1:$10)-1,""))</f>
        <v>023456789</v>
      </c>
      <c r="BX286" s="20" t="str">
        <f t="shared" si="151"/>
        <v>复隔中</v>
      </c>
      <c r="BY286" s="23" t="str">
        <f t="shared" si="145"/>
        <v>24</v>
      </c>
      <c r="BZ286" s="24" t="str">
        <f t="array" ref="BZ286">_xlfn.TEXTJOIN("",TRUE,IF(ISNUMBER(FIND(MID(BY285&amp;Q285,ROW($1:$4),1),BY286&amp;Q286)),MID(BY285&amp;Q285,ROW($1:$4),1),""))</f>
        <v/>
      </c>
      <c r="CA286" s="25" t="str">
        <f t="array" ref="CA286">_xlfn.TEXTJOIN("",TRUE,IF(ISERROR(FIND(ROW($1:$10)-1,BY286&amp;BZ286)),ROW($1:$10)-1,""))</f>
        <v>01356789</v>
      </c>
      <c r="CB286" s="26" t="str">
        <f t="shared" si="152"/>
        <v>邻孤孤</v>
      </c>
      <c r="CC286" s="27" t="str">
        <f t="shared" si="153"/>
        <v>13</v>
      </c>
      <c r="CD286" s="27" t="str">
        <f t="array" ref="CD286">_xlfn.TEXTJOIN("",TRUE,IF(ISNUMBER(FIND(MID(CC285&amp;R285,ROW($1:$4),1),CC286&amp;R286)),MID(CC285&amp;R285,ROW($1:$4),1),""))</f>
        <v>21</v>
      </c>
      <c r="CE286" s="27" t="str">
        <f t="array" ref="CE286">_xlfn.TEXTJOIN("",TRUE,IF(ISERROR(FIND(ROW($1:$10)-1,CC286&amp;CD286)),ROW($1:$10)-1,""))</f>
        <v>0456789</v>
      </c>
      <c r="CF286" s="17" t="str">
        <f t="shared" si="154"/>
        <v>邻传孤</v>
      </c>
      <c r="CG286" s="22" t="str">
        <f t="shared" si="155"/>
        <v>02</v>
      </c>
      <c r="CH286" s="22" t="str">
        <f t="array" ref="CH286">_xlfn.TEXTJOIN("",TRUE,IF(ISNUMBER(FIND(MID(CG285&amp;S285,ROW($1:$4),1),CG286&amp;S286)),MID(CG285&amp;S285,ROW($1:$4),1),""))</f>
        <v/>
      </c>
      <c r="CI286" s="22" t="str">
        <f t="array" ref="CI286">_xlfn.TEXTJOIN("",TRUE,IF(ISERROR(FIND(ROW($1:$10)-1,CG286&amp;CH286)),ROW($1:$10)-1,""))</f>
        <v>13456789</v>
      </c>
      <c r="CJ286" s="28" t="str">
        <f t="shared" si="156"/>
        <v>邻孤孤</v>
      </c>
    </row>
    <row r="287" spans="1:88">
      <c r="A287" s="32">
        <v>2025062</v>
      </c>
      <c r="B287" s="8" t="s">
        <v>261</v>
      </c>
      <c r="C287" s="49">
        <f t="shared" si="160"/>
        <v>9</v>
      </c>
      <c r="D287" s="50">
        <f t="shared" si="161"/>
        <v>9</v>
      </c>
      <c r="E287" s="51">
        <f t="shared" si="142"/>
        <v>3</v>
      </c>
      <c r="F287" s="52">
        <f>MAX(MID(B287,{1,2,3},1)*1)-MIN(MID(B287,{1,2,3},1)*1)</f>
        <v>8</v>
      </c>
      <c r="G287" s="104">
        <v>0</v>
      </c>
      <c r="H287" s="104">
        <v>1</v>
      </c>
      <c r="I287" s="104">
        <v>2</v>
      </c>
      <c r="J287" s="104">
        <v>3</v>
      </c>
      <c r="K287" s="104">
        <v>4</v>
      </c>
      <c r="L287" s="104">
        <v>5</v>
      </c>
      <c r="M287" s="104">
        <v>6</v>
      </c>
      <c r="N287" s="104">
        <v>7</v>
      </c>
      <c r="O287" s="104">
        <v>8</v>
      </c>
      <c r="P287" s="104">
        <v>9</v>
      </c>
      <c r="Q287" s="53">
        <f t="shared" si="162"/>
        <v>7</v>
      </c>
      <c r="R287" s="53">
        <f t="shared" si="163"/>
        <v>8</v>
      </c>
      <c r="S287" s="53">
        <f t="shared" si="164"/>
        <v>1</v>
      </c>
      <c r="T287" s="101">
        <f t="shared" si="143"/>
        <v>16</v>
      </c>
      <c r="U287" s="15" t="str">
        <f>_xlfn.TEXTJOIN(", ",TRUE,ABS(MID(B287,{1,1,2},1)-MID(B287,{2,3,3},1)))</f>
        <v>7, 8, 1</v>
      </c>
      <c r="V287" s="54">
        <v>0</v>
      </c>
      <c r="W287" s="54">
        <v>1</v>
      </c>
      <c r="X287" s="54">
        <v>2</v>
      </c>
      <c r="Y287" s="54">
        <v>3</v>
      </c>
      <c r="Z287" s="54">
        <v>4</v>
      </c>
      <c r="AA287" s="54">
        <v>5</v>
      </c>
      <c r="AB287" s="54">
        <v>6</v>
      </c>
      <c r="AC287" s="54">
        <v>7</v>
      </c>
      <c r="AD287" s="54">
        <v>8</v>
      </c>
      <c r="AE287" s="54">
        <v>9</v>
      </c>
      <c r="AF287" s="55">
        <v>0</v>
      </c>
      <c r="AG287" s="55">
        <v>1</v>
      </c>
      <c r="AH287" s="55">
        <v>2</v>
      </c>
      <c r="AI287" s="55">
        <v>3</v>
      </c>
      <c r="AJ287" s="55">
        <v>4</v>
      </c>
      <c r="AK287" s="55">
        <v>5</v>
      </c>
      <c r="AL287" s="55">
        <v>6</v>
      </c>
      <c r="AM287" s="55">
        <v>7</v>
      </c>
      <c r="AN287" s="55">
        <v>8</v>
      </c>
      <c r="AO287" s="55">
        <v>9</v>
      </c>
      <c r="AP287" s="105">
        <v>0</v>
      </c>
      <c r="AQ287" s="105">
        <v>1</v>
      </c>
      <c r="AR287" s="105">
        <v>2</v>
      </c>
      <c r="AS287" s="105">
        <v>3</v>
      </c>
      <c r="AT287" s="105">
        <v>4</v>
      </c>
      <c r="AU287" s="105">
        <v>5</v>
      </c>
      <c r="AV287" s="105">
        <v>6</v>
      </c>
      <c r="AW287" s="105">
        <v>7</v>
      </c>
      <c r="AX287" s="105">
        <v>8</v>
      </c>
      <c r="AY287" s="105">
        <v>9</v>
      </c>
      <c r="AZ287" s="56">
        <v>0</v>
      </c>
      <c r="BA287" s="56">
        <v>1</v>
      </c>
      <c r="BB287" s="56">
        <v>2</v>
      </c>
      <c r="BC287" s="56">
        <v>3</v>
      </c>
      <c r="BD287" s="56">
        <v>4</v>
      </c>
      <c r="BE287" s="56">
        <v>5</v>
      </c>
      <c r="BF287" s="56">
        <v>6</v>
      </c>
      <c r="BG287" s="56">
        <v>7</v>
      </c>
      <c r="BH287" s="56">
        <v>8</v>
      </c>
      <c r="BI287" s="56">
        <v>9</v>
      </c>
      <c r="BJ287" s="57" t="str">
        <f t="shared" si="144"/>
        <v>松散型</v>
      </c>
      <c r="BK287" s="13">
        <f t="shared" si="140"/>
        <v>1</v>
      </c>
      <c r="BL287" s="13">
        <f t="shared" si="141"/>
        <v>8</v>
      </c>
      <c r="BM287" s="18" t="str">
        <f t="shared" si="146"/>
        <v/>
      </c>
      <c r="BN287" s="19" t="str">
        <f t="shared" si="147"/>
        <v/>
      </c>
      <c r="BO287" s="19" t="str">
        <f t="array" ref="BO287">_xlfn.TEXTJOIN("",TRUE,IF(ISERROR(FIND(ROW($1:$10)-1,BM287&amp;BN287)),ROW($1:$10)-1,""))</f>
        <v>0123456789</v>
      </c>
      <c r="BP287" s="20" t="str">
        <f t="shared" si="148"/>
        <v>中中中</v>
      </c>
      <c r="BQ287" s="21" t="str">
        <f t="shared" si="159"/>
        <v/>
      </c>
      <c r="BR287" s="21" t="str">
        <f t="shared" si="157"/>
        <v/>
      </c>
      <c r="BS287" s="21" t="str">
        <f t="array" ref="BS287">_xlfn.TEXTJOIN("",TRUE,IF(ISERROR(FIND(ROW($1:$10)-1,BQ287&amp;BR287)),ROW($1:$10)-1,""))</f>
        <v>0123456789</v>
      </c>
      <c r="BT287" s="20" t="str">
        <f t="shared" si="149"/>
        <v>中中中</v>
      </c>
      <c r="BU287" s="22">
        <f t="shared" si="150"/>
        <v>1</v>
      </c>
      <c r="BV287" s="22">
        <f t="shared" si="158"/>
        <v>1</v>
      </c>
      <c r="BW287" s="22" t="str">
        <f t="array" ref="BW287">_xlfn.TEXTJOIN("",TRUE,IF(ISERROR(FIND(ROW($1:$10)-1,BU287&amp;BV287)),ROW($1:$10)-1,""))</f>
        <v>023456789</v>
      </c>
      <c r="BX287" s="20" t="str">
        <f t="shared" si="151"/>
        <v>复隔中</v>
      </c>
      <c r="BY287" s="23" t="str">
        <f t="shared" si="145"/>
        <v>68</v>
      </c>
      <c r="BZ287" s="24" t="str">
        <f t="array" ref="BZ287">_xlfn.TEXTJOIN("",TRUE,IF(ISNUMBER(FIND(MID(BY286&amp;Q286,ROW($1:$4),1),BY287&amp;Q287)),MID(BY286&amp;Q286,ROW($1:$4),1),""))</f>
        <v/>
      </c>
      <c r="CA287" s="25" t="str">
        <f t="array" ref="CA287">_xlfn.TEXTJOIN("",TRUE,IF(ISERROR(FIND(ROW($1:$10)-1,BY287&amp;BZ287)),ROW($1:$10)-1,""))</f>
        <v>01234579</v>
      </c>
      <c r="CB287" s="26" t="str">
        <f t="shared" si="152"/>
        <v>邻孤孤</v>
      </c>
      <c r="CC287" s="27" t="str">
        <f t="shared" si="153"/>
        <v>79</v>
      </c>
      <c r="CD287" s="27" t="str">
        <f t="array" ref="CD287">_xlfn.TEXTJOIN("",TRUE,IF(ISNUMBER(FIND(MID(CC286&amp;R286,ROW($1:$4),1),CC287&amp;R287)),MID(CC286&amp;R286,ROW($1:$4),1),""))</f>
        <v/>
      </c>
      <c r="CE287" s="27" t="str">
        <f t="array" ref="CE287">_xlfn.TEXTJOIN("",TRUE,IF(ISERROR(FIND(ROW($1:$10)-1,CC287&amp;CD287)),ROW($1:$10)-1,""))</f>
        <v>01234568</v>
      </c>
      <c r="CF287" s="17" t="str">
        <f t="shared" si="154"/>
        <v>邻孤孤</v>
      </c>
      <c r="CG287" s="22" t="str">
        <f t="shared" si="155"/>
        <v>02</v>
      </c>
      <c r="CH287" s="22" t="str">
        <f t="array" ref="CH287">_xlfn.TEXTJOIN("",TRUE,IF(ISNUMBER(FIND(MID(CG286&amp;S286,ROW($1:$4),1),CG287&amp;S287)),MID(CG286&amp;S286,ROW($1:$4),1),""))</f>
        <v>021</v>
      </c>
      <c r="CI287" s="22" t="str">
        <f t="array" ref="CI287">_xlfn.TEXTJOIN("",TRUE,IF(ISERROR(FIND(ROW($1:$10)-1,CG287&amp;CH287)),ROW($1:$10)-1,""))</f>
        <v>3456789</v>
      </c>
      <c r="CJ287" s="28" t="str">
        <f t="shared" si="156"/>
        <v>邻传孤</v>
      </c>
    </row>
    <row r="288" spans="1:88">
      <c r="A288" s="32">
        <v>2025063</v>
      </c>
      <c r="B288" s="8" t="s">
        <v>108</v>
      </c>
      <c r="C288" s="49">
        <f t="shared" si="160"/>
        <v>9</v>
      </c>
      <c r="D288" s="50">
        <f t="shared" si="161"/>
        <v>9</v>
      </c>
      <c r="E288" s="51">
        <f t="shared" si="142"/>
        <v>3</v>
      </c>
      <c r="F288" s="52">
        <f>MAX(MID(B288,{1,2,3},1)*1)-MIN(MID(B288,{1,2,3},1)*1)</f>
        <v>5</v>
      </c>
      <c r="G288" s="104">
        <v>0</v>
      </c>
      <c r="H288" s="104">
        <v>1</v>
      </c>
      <c r="I288" s="104">
        <v>2</v>
      </c>
      <c r="J288" s="104">
        <v>3</v>
      </c>
      <c r="K288" s="104">
        <v>4</v>
      </c>
      <c r="L288" s="104">
        <v>5</v>
      </c>
      <c r="M288" s="104">
        <v>6</v>
      </c>
      <c r="N288" s="104">
        <v>7</v>
      </c>
      <c r="O288" s="104">
        <v>8</v>
      </c>
      <c r="P288" s="104">
        <v>9</v>
      </c>
      <c r="Q288" s="53">
        <f t="shared" si="162"/>
        <v>4</v>
      </c>
      <c r="R288" s="53">
        <f t="shared" si="163"/>
        <v>1</v>
      </c>
      <c r="S288" s="53">
        <f t="shared" si="164"/>
        <v>5</v>
      </c>
      <c r="T288" s="101">
        <f t="shared" si="143"/>
        <v>10</v>
      </c>
      <c r="U288" s="15" t="str">
        <f>_xlfn.TEXTJOIN(", ",TRUE,ABS(MID(B288,{1,1,2},1)-MID(B288,{2,3,3},1)))</f>
        <v>4, 1, 5</v>
      </c>
      <c r="V288" s="54">
        <v>0</v>
      </c>
      <c r="W288" s="54">
        <v>1</v>
      </c>
      <c r="X288" s="54">
        <v>2</v>
      </c>
      <c r="Y288" s="54">
        <v>3</v>
      </c>
      <c r="Z288" s="54">
        <v>4</v>
      </c>
      <c r="AA288" s="54">
        <v>5</v>
      </c>
      <c r="AB288" s="54">
        <v>6</v>
      </c>
      <c r="AC288" s="54">
        <v>7</v>
      </c>
      <c r="AD288" s="54">
        <v>8</v>
      </c>
      <c r="AE288" s="54">
        <v>9</v>
      </c>
      <c r="AF288" s="55">
        <v>0</v>
      </c>
      <c r="AG288" s="55">
        <v>1</v>
      </c>
      <c r="AH288" s="55">
        <v>2</v>
      </c>
      <c r="AI288" s="55">
        <v>3</v>
      </c>
      <c r="AJ288" s="55">
        <v>4</v>
      </c>
      <c r="AK288" s="55">
        <v>5</v>
      </c>
      <c r="AL288" s="55">
        <v>6</v>
      </c>
      <c r="AM288" s="55">
        <v>7</v>
      </c>
      <c r="AN288" s="55">
        <v>8</v>
      </c>
      <c r="AO288" s="55">
        <v>9</v>
      </c>
      <c r="AP288" s="105">
        <v>0</v>
      </c>
      <c r="AQ288" s="105">
        <v>1</v>
      </c>
      <c r="AR288" s="105">
        <v>2</v>
      </c>
      <c r="AS288" s="105">
        <v>3</v>
      </c>
      <c r="AT288" s="105">
        <v>4</v>
      </c>
      <c r="AU288" s="105">
        <v>5</v>
      </c>
      <c r="AV288" s="105">
        <v>6</v>
      </c>
      <c r="AW288" s="105">
        <v>7</v>
      </c>
      <c r="AX288" s="105">
        <v>8</v>
      </c>
      <c r="AY288" s="105">
        <v>9</v>
      </c>
      <c r="AZ288" s="56">
        <v>0</v>
      </c>
      <c r="BA288" s="56">
        <v>1</v>
      </c>
      <c r="BB288" s="56">
        <v>2</v>
      </c>
      <c r="BC288" s="56">
        <v>3</v>
      </c>
      <c r="BD288" s="56">
        <v>4</v>
      </c>
      <c r="BE288" s="56">
        <v>5</v>
      </c>
      <c r="BF288" s="56">
        <v>6</v>
      </c>
      <c r="BG288" s="56">
        <v>7</v>
      </c>
      <c r="BH288" s="56">
        <v>8</v>
      </c>
      <c r="BI288" s="56">
        <v>9</v>
      </c>
      <c r="BJ288" s="57" t="str">
        <f t="shared" si="144"/>
        <v>标准型</v>
      </c>
      <c r="BK288" s="13">
        <f t="shared" si="140"/>
        <v>1</v>
      </c>
      <c r="BL288" s="13">
        <f t="shared" si="141"/>
        <v>5</v>
      </c>
      <c r="BM288" s="18" t="str">
        <f t="shared" si="146"/>
        <v/>
      </c>
      <c r="BN288" s="19" t="str">
        <f t="shared" si="147"/>
        <v/>
      </c>
      <c r="BO288" s="19" t="str">
        <f t="array" ref="BO288">_xlfn.TEXTJOIN("",TRUE,IF(ISERROR(FIND(ROW($1:$10)-1,BM288&amp;BN288)),ROW($1:$10)-1,""))</f>
        <v>0123456789</v>
      </c>
      <c r="BP288" s="20" t="str">
        <f t="shared" si="148"/>
        <v>中中中</v>
      </c>
      <c r="BQ288" s="21">
        <f t="shared" si="159"/>
        <v>1</v>
      </c>
      <c r="BR288" s="21">
        <f t="shared" si="157"/>
        <v>1</v>
      </c>
      <c r="BS288" s="21" t="str">
        <f t="array" ref="BS288">_xlfn.TEXTJOIN("",TRUE,IF(ISERROR(FIND(ROW($1:$10)-1,BQ288&amp;BR288)),ROW($1:$10)-1,""))</f>
        <v>023456789</v>
      </c>
      <c r="BT288" s="20" t="str">
        <f t="shared" si="149"/>
        <v>复隔中</v>
      </c>
      <c r="BU288" s="22" t="str">
        <f t="shared" si="150"/>
        <v/>
      </c>
      <c r="BV288" s="22" t="str">
        <f t="shared" si="158"/>
        <v/>
      </c>
      <c r="BW288" s="22" t="str">
        <f t="array" ref="BW288">_xlfn.TEXTJOIN("",TRUE,IF(ISERROR(FIND(ROW($1:$10)-1,BU288&amp;BV288)),ROW($1:$10)-1,""))</f>
        <v>0123456789</v>
      </c>
      <c r="BX288" s="20" t="str">
        <f t="shared" si="151"/>
        <v>中中中</v>
      </c>
      <c r="BY288" s="23" t="str">
        <f t="shared" si="145"/>
        <v>35</v>
      </c>
      <c r="BZ288" s="24" t="str">
        <f t="array" ref="BZ288">_xlfn.TEXTJOIN("",TRUE,IF(ISNUMBER(FIND(MID(BY287&amp;Q287,ROW($1:$4),1),BY288&amp;Q288)),MID(BY287&amp;Q287,ROW($1:$4),1),""))</f>
        <v/>
      </c>
      <c r="CA288" s="25" t="str">
        <f t="array" ref="CA288">_xlfn.TEXTJOIN("",TRUE,IF(ISERROR(FIND(ROW($1:$10)-1,BY288&amp;BZ288)),ROW($1:$10)-1,""))</f>
        <v>01246789</v>
      </c>
      <c r="CB288" s="26" t="str">
        <f t="shared" si="152"/>
        <v>邻孤孤</v>
      </c>
      <c r="CC288" s="27" t="str">
        <f t="shared" si="153"/>
        <v>02</v>
      </c>
      <c r="CD288" s="27" t="str">
        <f t="array" ref="CD288">_xlfn.TEXTJOIN("",TRUE,IF(ISNUMBER(FIND(MID(CC287&amp;R287,ROW($1:$4),1),CC288&amp;R288)),MID(CC287&amp;R287,ROW($1:$4),1),""))</f>
        <v/>
      </c>
      <c r="CE288" s="27" t="str">
        <f t="array" ref="CE288">_xlfn.TEXTJOIN("",TRUE,IF(ISERROR(FIND(ROW($1:$10)-1,CC288&amp;CD288)),ROW($1:$10)-1,""))</f>
        <v>13456789</v>
      </c>
      <c r="CF288" s="17" t="str">
        <f t="shared" si="154"/>
        <v>邻孤孤</v>
      </c>
      <c r="CG288" s="22" t="str">
        <f t="shared" si="155"/>
        <v>46</v>
      </c>
      <c r="CH288" s="22" t="str">
        <f t="array" ref="CH288">_xlfn.TEXTJOIN("",TRUE,IF(ISNUMBER(FIND(MID(CG287&amp;S287,ROW($1:$4),1),CG288&amp;S288)),MID(CG287&amp;S287,ROW($1:$4),1),""))</f>
        <v/>
      </c>
      <c r="CI288" s="22" t="str">
        <f t="array" ref="CI288">_xlfn.TEXTJOIN("",TRUE,IF(ISERROR(FIND(ROW($1:$10)-1,CG288&amp;CH288)),ROW($1:$10)-1,""))</f>
        <v>01235789</v>
      </c>
      <c r="CJ288" s="28" t="str">
        <f t="shared" si="156"/>
        <v>邻孤孤</v>
      </c>
    </row>
    <row r="289" spans="1:88">
      <c r="A289" s="32">
        <v>2025064</v>
      </c>
      <c r="B289" s="8" t="s">
        <v>214</v>
      </c>
      <c r="C289" s="49">
        <f t="shared" si="160"/>
        <v>19</v>
      </c>
      <c r="D289" s="50">
        <f t="shared" si="161"/>
        <v>9</v>
      </c>
      <c r="E289" s="51">
        <f t="shared" si="142"/>
        <v>6.3333333333333304</v>
      </c>
      <c r="F289" s="52">
        <f>MAX(MID(B289,{1,2,3},1)*1)-MIN(MID(B289,{1,2,3},1)*1)</f>
        <v>7</v>
      </c>
      <c r="G289" s="104">
        <v>0</v>
      </c>
      <c r="H289" s="104">
        <v>1</v>
      </c>
      <c r="I289" s="104">
        <v>2</v>
      </c>
      <c r="J289" s="104">
        <v>3</v>
      </c>
      <c r="K289" s="104">
        <v>4</v>
      </c>
      <c r="L289" s="104">
        <v>5</v>
      </c>
      <c r="M289" s="104">
        <v>6</v>
      </c>
      <c r="N289" s="104">
        <v>7</v>
      </c>
      <c r="O289" s="104">
        <v>8</v>
      </c>
      <c r="P289" s="104">
        <v>9</v>
      </c>
      <c r="Q289" s="53">
        <f t="shared" si="162"/>
        <v>7</v>
      </c>
      <c r="R289" s="53">
        <f t="shared" si="163"/>
        <v>1</v>
      </c>
      <c r="S289" s="53">
        <f t="shared" si="164"/>
        <v>6</v>
      </c>
      <c r="T289" s="101">
        <f t="shared" si="143"/>
        <v>14</v>
      </c>
      <c r="U289" s="15" t="str">
        <f>_xlfn.TEXTJOIN(", ",TRUE,ABS(MID(B289,{1,1,2},1)-MID(B289,{2,3,3},1)))</f>
        <v>7, 1, 6</v>
      </c>
      <c r="V289" s="54">
        <v>0</v>
      </c>
      <c r="W289" s="54">
        <v>1</v>
      </c>
      <c r="X289" s="54">
        <v>2</v>
      </c>
      <c r="Y289" s="54">
        <v>3</v>
      </c>
      <c r="Z289" s="54">
        <v>4</v>
      </c>
      <c r="AA289" s="54">
        <v>5</v>
      </c>
      <c r="AB289" s="54">
        <v>6</v>
      </c>
      <c r="AC289" s="54">
        <v>7</v>
      </c>
      <c r="AD289" s="54">
        <v>8</v>
      </c>
      <c r="AE289" s="54">
        <v>9</v>
      </c>
      <c r="AF289" s="55">
        <v>0</v>
      </c>
      <c r="AG289" s="55">
        <v>1</v>
      </c>
      <c r="AH289" s="55">
        <v>2</v>
      </c>
      <c r="AI289" s="55">
        <v>3</v>
      </c>
      <c r="AJ289" s="55">
        <v>4</v>
      </c>
      <c r="AK289" s="55">
        <v>5</v>
      </c>
      <c r="AL289" s="55">
        <v>6</v>
      </c>
      <c r="AM289" s="55">
        <v>7</v>
      </c>
      <c r="AN289" s="55">
        <v>8</v>
      </c>
      <c r="AO289" s="55">
        <v>9</v>
      </c>
      <c r="AP289" s="105">
        <v>0</v>
      </c>
      <c r="AQ289" s="105">
        <v>1</v>
      </c>
      <c r="AR289" s="105">
        <v>2</v>
      </c>
      <c r="AS289" s="105">
        <v>3</v>
      </c>
      <c r="AT289" s="105">
        <v>4</v>
      </c>
      <c r="AU289" s="105">
        <v>5</v>
      </c>
      <c r="AV289" s="105">
        <v>6</v>
      </c>
      <c r="AW289" s="105">
        <v>7</v>
      </c>
      <c r="AX289" s="105">
        <v>8</v>
      </c>
      <c r="AY289" s="105">
        <v>9</v>
      </c>
      <c r="AZ289" s="56">
        <v>0</v>
      </c>
      <c r="BA289" s="56">
        <v>1</v>
      </c>
      <c r="BB289" s="56">
        <v>2</v>
      </c>
      <c r="BC289" s="56">
        <v>3</v>
      </c>
      <c r="BD289" s="56">
        <v>4</v>
      </c>
      <c r="BE289" s="56">
        <v>5</v>
      </c>
      <c r="BF289" s="56">
        <v>6</v>
      </c>
      <c r="BG289" s="56">
        <v>7</v>
      </c>
      <c r="BH289" s="56">
        <v>8</v>
      </c>
      <c r="BI289" s="56">
        <v>9</v>
      </c>
      <c r="BJ289" s="57" t="str">
        <f t="shared" si="144"/>
        <v>松散型</v>
      </c>
      <c r="BK289" s="13">
        <f t="shared" si="140"/>
        <v>1</v>
      </c>
      <c r="BL289" s="13">
        <f t="shared" si="141"/>
        <v>7</v>
      </c>
      <c r="BM289" s="18" t="str">
        <f t="shared" si="146"/>
        <v/>
      </c>
      <c r="BN289" s="19">
        <f t="shared" si="147"/>
        <v>7</v>
      </c>
      <c r="BO289" s="19" t="str">
        <f t="array" ref="BO289">_xlfn.TEXTJOIN("",TRUE,IF(ISERROR(FIND(ROW($1:$10)-1,BM289&amp;BN289)),ROW($1:$10)-1,""))</f>
        <v>012345689</v>
      </c>
      <c r="BP289" s="20" t="str">
        <f t="shared" si="148"/>
        <v>中隔中</v>
      </c>
      <c r="BQ289" s="21">
        <f t="shared" si="159"/>
        <v>1</v>
      </c>
      <c r="BR289" s="21">
        <f t="shared" si="157"/>
        <v>1</v>
      </c>
      <c r="BS289" s="21" t="str">
        <f t="array" ref="BS289">_xlfn.TEXTJOIN("",TRUE,IF(ISERROR(FIND(ROW($1:$10)-1,BQ289&amp;BR289)),ROW($1:$10)-1,""))</f>
        <v>023456789</v>
      </c>
      <c r="BT289" s="20" t="str">
        <f t="shared" si="149"/>
        <v>复隔中</v>
      </c>
      <c r="BU289" s="22" t="str">
        <f t="shared" si="150"/>
        <v/>
      </c>
      <c r="BV289" s="22" t="str">
        <f t="shared" si="158"/>
        <v/>
      </c>
      <c r="BW289" s="22" t="str">
        <f t="array" ref="BW289">_xlfn.TEXTJOIN("",TRUE,IF(ISERROR(FIND(ROW($1:$10)-1,BU289&amp;BV289)),ROW($1:$10)-1,""))</f>
        <v>0123456789</v>
      </c>
      <c r="BX289" s="20" t="str">
        <f t="shared" si="151"/>
        <v>中中中</v>
      </c>
      <c r="BY289" s="23" t="str">
        <f t="shared" si="145"/>
        <v>68</v>
      </c>
      <c r="BZ289" s="24" t="str">
        <f t="array" ref="BZ289">_xlfn.TEXTJOIN("",TRUE,IF(ISNUMBER(FIND(MID(BY288&amp;Q288,ROW($1:$4),1),BY289&amp;Q289)),MID(BY288&amp;Q288,ROW($1:$4),1),""))</f>
        <v/>
      </c>
      <c r="CA289" s="25" t="str">
        <f t="array" ref="CA289">_xlfn.TEXTJOIN("",TRUE,IF(ISERROR(FIND(ROW($1:$10)-1,BY289&amp;BZ289)),ROW($1:$10)-1,""))</f>
        <v>01234579</v>
      </c>
      <c r="CB289" s="26" t="str">
        <f t="shared" si="152"/>
        <v>邻孤孤</v>
      </c>
      <c r="CC289" s="27" t="str">
        <f t="shared" si="153"/>
        <v>02</v>
      </c>
      <c r="CD289" s="27" t="str">
        <f t="array" ref="CD289">_xlfn.TEXTJOIN("",TRUE,IF(ISNUMBER(FIND(MID(CC288&amp;R288,ROW($1:$4),1),CC289&amp;R289)),MID(CC288&amp;R288,ROW($1:$4),1),""))</f>
        <v>021</v>
      </c>
      <c r="CE289" s="27" t="str">
        <f t="array" ref="CE289">_xlfn.TEXTJOIN("",TRUE,IF(ISERROR(FIND(ROW($1:$10)-1,CC289&amp;CD289)),ROW($1:$10)-1,""))</f>
        <v>3456789</v>
      </c>
      <c r="CF289" s="17" t="str">
        <f t="shared" si="154"/>
        <v>邻传孤</v>
      </c>
      <c r="CG289" s="22" t="str">
        <f t="shared" si="155"/>
        <v>57</v>
      </c>
      <c r="CH289" s="22" t="str">
        <f t="array" ref="CH289">_xlfn.TEXTJOIN("",TRUE,IF(ISNUMBER(FIND(MID(CG288&amp;S288,ROW($1:$4),1),CG289&amp;S289)),MID(CG288&amp;S288,ROW($1:$4),1),""))</f>
        <v>65</v>
      </c>
      <c r="CI289" s="22" t="str">
        <f t="array" ref="CI289">_xlfn.TEXTJOIN("",TRUE,IF(ISERROR(FIND(ROW($1:$10)-1,CG289&amp;CH289)),ROW($1:$10)-1,""))</f>
        <v>0123489</v>
      </c>
      <c r="CJ289" s="28" t="str">
        <f t="shared" si="156"/>
        <v>邻传孤</v>
      </c>
    </row>
    <row r="290" spans="1:88">
      <c r="A290" s="32">
        <v>2025065</v>
      </c>
      <c r="B290" s="8" t="s">
        <v>262</v>
      </c>
      <c r="C290" s="49">
        <f t="shared" si="160"/>
        <v>16</v>
      </c>
      <c r="D290" s="50">
        <f t="shared" si="161"/>
        <v>6</v>
      </c>
      <c r="E290" s="51">
        <f t="shared" si="142"/>
        <v>5.3333333333333304</v>
      </c>
      <c r="F290" s="52">
        <f>MAX(MID(B290,{1,2,3},1)*1)-MIN(MID(B290,{1,2,3},1)*1)</f>
        <v>5</v>
      </c>
      <c r="G290" s="104">
        <v>0</v>
      </c>
      <c r="H290" s="104">
        <v>1</v>
      </c>
      <c r="I290" s="104">
        <v>2</v>
      </c>
      <c r="J290" s="104">
        <v>3</v>
      </c>
      <c r="K290" s="104">
        <v>4</v>
      </c>
      <c r="L290" s="104">
        <v>5</v>
      </c>
      <c r="M290" s="104">
        <v>6</v>
      </c>
      <c r="N290" s="104">
        <v>7</v>
      </c>
      <c r="O290" s="104">
        <v>8</v>
      </c>
      <c r="P290" s="104">
        <v>9</v>
      </c>
      <c r="Q290" s="53">
        <f t="shared" si="162"/>
        <v>2</v>
      </c>
      <c r="R290" s="53">
        <f t="shared" si="163"/>
        <v>3</v>
      </c>
      <c r="S290" s="53">
        <f t="shared" si="164"/>
        <v>5</v>
      </c>
      <c r="T290" s="101">
        <f t="shared" si="143"/>
        <v>10</v>
      </c>
      <c r="U290" s="15" t="str">
        <f>_xlfn.TEXTJOIN(", ",TRUE,ABS(MID(B290,{1,1,2},1)-MID(B290,{2,3,3},1)))</f>
        <v>2, 3, 5</v>
      </c>
      <c r="V290" s="54">
        <v>0</v>
      </c>
      <c r="W290" s="54">
        <v>1</v>
      </c>
      <c r="X290" s="54">
        <v>2</v>
      </c>
      <c r="Y290" s="54">
        <v>3</v>
      </c>
      <c r="Z290" s="54">
        <v>4</v>
      </c>
      <c r="AA290" s="54">
        <v>5</v>
      </c>
      <c r="AB290" s="54">
        <v>6</v>
      </c>
      <c r="AC290" s="54">
        <v>7</v>
      </c>
      <c r="AD290" s="54">
        <v>8</v>
      </c>
      <c r="AE290" s="54">
        <v>9</v>
      </c>
      <c r="AF290" s="55">
        <v>0</v>
      </c>
      <c r="AG290" s="55">
        <v>1</v>
      </c>
      <c r="AH290" s="55">
        <v>2</v>
      </c>
      <c r="AI290" s="55">
        <v>3</v>
      </c>
      <c r="AJ290" s="55">
        <v>4</v>
      </c>
      <c r="AK290" s="55">
        <v>5</v>
      </c>
      <c r="AL290" s="55">
        <v>6</v>
      </c>
      <c r="AM290" s="55">
        <v>7</v>
      </c>
      <c r="AN290" s="55">
        <v>8</v>
      </c>
      <c r="AO290" s="55">
        <v>9</v>
      </c>
      <c r="AP290" s="105">
        <v>0</v>
      </c>
      <c r="AQ290" s="105">
        <v>1</v>
      </c>
      <c r="AR290" s="105">
        <v>2</v>
      </c>
      <c r="AS290" s="105">
        <v>3</v>
      </c>
      <c r="AT290" s="105">
        <v>4</v>
      </c>
      <c r="AU290" s="105">
        <v>5</v>
      </c>
      <c r="AV290" s="105">
        <v>6</v>
      </c>
      <c r="AW290" s="105">
        <v>7</v>
      </c>
      <c r="AX290" s="105">
        <v>8</v>
      </c>
      <c r="AY290" s="105">
        <v>9</v>
      </c>
      <c r="AZ290" s="56">
        <v>0</v>
      </c>
      <c r="BA290" s="56">
        <v>1</v>
      </c>
      <c r="BB290" s="56">
        <v>2</v>
      </c>
      <c r="BC290" s="56">
        <v>3</v>
      </c>
      <c r="BD290" s="56">
        <v>4</v>
      </c>
      <c r="BE290" s="56">
        <v>5</v>
      </c>
      <c r="BF290" s="56">
        <v>6</v>
      </c>
      <c r="BG290" s="56">
        <v>7</v>
      </c>
      <c r="BH290" s="56">
        <v>8</v>
      </c>
      <c r="BI290" s="56">
        <v>9</v>
      </c>
      <c r="BJ290" s="57" t="str">
        <f t="shared" si="144"/>
        <v>标准型</v>
      </c>
      <c r="BK290" s="13">
        <f t="shared" si="140"/>
        <v>2</v>
      </c>
      <c r="BL290" s="13">
        <f t="shared" si="141"/>
        <v>5</v>
      </c>
      <c r="BM290" s="18" t="str">
        <f t="shared" si="146"/>
        <v/>
      </c>
      <c r="BN290" s="19" t="str">
        <f t="shared" si="147"/>
        <v/>
      </c>
      <c r="BO290" s="19" t="str">
        <f t="array" ref="BO290">_xlfn.TEXTJOIN("",TRUE,IF(ISERROR(FIND(ROW($1:$10)-1,BM290&amp;BN290)),ROW($1:$10)-1,""))</f>
        <v>0123456789</v>
      </c>
      <c r="BP290" s="20" t="str">
        <f t="shared" si="148"/>
        <v>中中中</v>
      </c>
      <c r="BQ290" s="21" t="str">
        <f t="shared" si="159"/>
        <v/>
      </c>
      <c r="BR290" s="21" t="str">
        <f t="shared" si="157"/>
        <v/>
      </c>
      <c r="BS290" s="21" t="str">
        <f t="array" ref="BS290">_xlfn.TEXTJOIN("",TRUE,IF(ISERROR(FIND(ROW($1:$10)-1,BQ290&amp;BR290)),ROW($1:$10)-1,""))</f>
        <v>0123456789</v>
      </c>
      <c r="BT290" s="20" t="str">
        <f t="shared" si="149"/>
        <v>中中中</v>
      </c>
      <c r="BU290" s="22" t="str">
        <f t="shared" si="150"/>
        <v/>
      </c>
      <c r="BV290" s="22">
        <f t="shared" si="158"/>
        <v>5</v>
      </c>
      <c r="BW290" s="22" t="str">
        <f t="array" ref="BW290">_xlfn.TEXTJOIN("",TRUE,IF(ISERROR(FIND(ROW($1:$10)-1,BU290&amp;BV290)),ROW($1:$10)-1,""))</f>
        <v>012346789</v>
      </c>
      <c r="BX290" s="20" t="str">
        <f t="shared" si="151"/>
        <v>中隔中</v>
      </c>
      <c r="BY290" s="23" t="str">
        <f t="shared" si="145"/>
        <v>13</v>
      </c>
      <c r="BZ290" s="24" t="str">
        <f t="array" ref="BZ290">_xlfn.TEXTJOIN("",TRUE,IF(ISNUMBER(FIND(MID(BY289&amp;Q289,ROW($1:$4),1),BY290&amp;Q290)),MID(BY289&amp;Q289,ROW($1:$4),1),""))</f>
        <v/>
      </c>
      <c r="CA290" s="25" t="str">
        <f t="array" ref="CA290">_xlfn.TEXTJOIN("",TRUE,IF(ISERROR(FIND(ROW($1:$10)-1,BY290&amp;BZ290)),ROW($1:$10)-1,""))</f>
        <v>02456789</v>
      </c>
      <c r="CB290" s="26" t="str">
        <f t="shared" si="152"/>
        <v>邻孤孤</v>
      </c>
      <c r="CC290" s="27" t="str">
        <f t="shared" si="153"/>
        <v>24</v>
      </c>
      <c r="CD290" s="27" t="str">
        <f t="array" ref="CD290">_xlfn.TEXTJOIN("",TRUE,IF(ISNUMBER(FIND(MID(CC289&amp;R289,ROW($1:$4),1),CC290&amp;R290)),MID(CC289&amp;R289,ROW($1:$4),1),""))</f>
        <v>2</v>
      </c>
      <c r="CE290" s="27" t="str">
        <f t="array" ref="CE290">_xlfn.TEXTJOIN("",TRUE,IF(ISERROR(FIND(ROW($1:$10)-1,CC290&amp;CD290)),ROW($1:$10)-1,""))</f>
        <v>01356789</v>
      </c>
      <c r="CF290" s="17" t="str">
        <f t="shared" si="154"/>
        <v>邻传孤</v>
      </c>
      <c r="CG290" s="22" t="str">
        <f t="shared" si="155"/>
        <v>46</v>
      </c>
      <c r="CH290" s="22" t="str">
        <f t="array" ref="CH290">_xlfn.TEXTJOIN("",TRUE,IF(ISNUMBER(FIND(MID(CG289&amp;S289,ROW($1:$4),1),CG290&amp;S290)),MID(CG289&amp;S289,ROW($1:$4),1),""))</f>
        <v>56</v>
      </c>
      <c r="CI290" s="22" t="str">
        <f t="array" ref="CI290">_xlfn.TEXTJOIN("",TRUE,IF(ISERROR(FIND(ROW($1:$10)-1,CG290&amp;CH290)),ROW($1:$10)-1,""))</f>
        <v>0123789</v>
      </c>
      <c r="CJ290" s="28" t="str">
        <f t="shared" si="156"/>
        <v>邻传孤</v>
      </c>
    </row>
    <row r="291" spans="1:88">
      <c r="A291" s="32">
        <v>2025066</v>
      </c>
      <c r="B291" s="8" t="s">
        <v>263</v>
      </c>
      <c r="C291" s="49">
        <f t="shared" si="160"/>
        <v>9</v>
      </c>
      <c r="D291" s="50">
        <f t="shared" si="161"/>
        <v>9</v>
      </c>
      <c r="E291" s="51">
        <f t="shared" si="142"/>
        <v>3</v>
      </c>
      <c r="F291" s="52">
        <f>MAX(MID(B291,{1,2,3},1)*1)-MIN(MID(B291,{1,2,3},1)*1)</f>
        <v>7</v>
      </c>
      <c r="G291" s="104">
        <v>0</v>
      </c>
      <c r="H291" s="104">
        <v>1</v>
      </c>
      <c r="I291" s="104">
        <v>2</v>
      </c>
      <c r="J291" s="104">
        <v>3</v>
      </c>
      <c r="K291" s="104">
        <v>4</v>
      </c>
      <c r="L291" s="104">
        <v>5</v>
      </c>
      <c r="M291" s="104">
        <v>6</v>
      </c>
      <c r="N291" s="104">
        <v>7</v>
      </c>
      <c r="O291" s="104">
        <v>8</v>
      </c>
      <c r="P291" s="104">
        <v>9</v>
      </c>
      <c r="Q291" s="53">
        <f t="shared" si="162"/>
        <v>5</v>
      </c>
      <c r="R291" s="53">
        <f t="shared" si="163"/>
        <v>7</v>
      </c>
      <c r="S291" s="53">
        <f t="shared" si="164"/>
        <v>2</v>
      </c>
      <c r="T291" s="101">
        <f t="shared" si="143"/>
        <v>14</v>
      </c>
      <c r="U291" s="15" t="str">
        <f>_xlfn.TEXTJOIN(", ",TRUE,ABS(MID(B291,{1,1,2},1)-MID(B291,{2,3,3},1)))</f>
        <v>5, 7, 2</v>
      </c>
      <c r="V291" s="54">
        <v>0</v>
      </c>
      <c r="W291" s="54">
        <v>1</v>
      </c>
      <c r="X291" s="54">
        <v>2</v>
      </c>
      <c r="Y291" s="54">
        <v>3</v>
      </c>
      <c r="Z291" s="54">
        <v>4</v>
      </c>
      <c r="AA291" s="54">
        <v>5</v>
      </c>
      <c r="AB291" s="54">
        <v>6</v>
      </c>
      <c r="AC291" s="54">
        <v>7</v>
      </c>
      <c r="AD291" s="54">
        <v>8</v>
      </c>
      <c r="AE291" s="54">
        <v>9</v>
      </c>
      <c r="AF291" s="55">
        <v>0</v>
      </c>
      <c r="AG291" s="55">
        <v>1</v>
      </c>
      <c r="AH291" s="55">
        <v>2</v>
      </c>
      <c r="AI291" s="55">
        <v>3</v>
      </c>
      <c r="AJ291" s="55">
        <v>4</v>
      </c>
      <c r="AK291" s="55">
        <v>5</v>
      </c>
      <c r="AL291" s="55">
        <v>6</v>
      </c>
      <c r="AM291" s="55">
        <v>7</v>
      </c>
      <c r="AN291" s="55">
        <v>8</v>
      </c>
      <c r="AO291" s="55">
        <v>9</v>
      </c>
      <c r="AP291" s="105">
        <v>0</v>
      </c>
      <c r="AQ291" s="105">
        <v>1</v>
      </c>
      <c r="AR291" s="105">
        <v>2</v>
      </c>
      <c r="AS291" s="105">
        <v>3</v>
      </c>
      <c r="AT291" s="105">
        <v>4</v>
      </c>
      <c r="AU291" s="105">
        <v>5</v>
      </c>
      <c r="AV291" s="105">
        <v>6</v>
      </c>
      <c r="AW291" s="105">
        <v>7</v>
      </c>
      <c r="AX291" s="105">
        <v>8</v>
      </c>
      <c r="AY291" s="105">
        <v>9</v>
      </c>
      <c r="AZ291" s="56">
        <v>0</v>
      </c>
      <c r="BA291" s="56">
        <v>1</v>
      </c>
      <c r="BB291" s="56">
        <v>2</v>
      </c>
      <c r="BC291" s="56">
        <v>3</v>
      </c>
      <c r="BD291" s="56">
        <v>4</v>
      </c>
      <c r="BE291" s="56">
        <v>5</v>
      </c>
      <c r="BF291" s="56">
        <v>6</v>
      </c>
      <c r="BG291" s="56">
        <v>7</v>
      </c>
      <c r="BH291" s="56">
        <v>8</v>
      </c>
      <c r="BI291" s="56">
        <v>9</v>
      </c>
      <c r="BJ291" s="57" t="str">
        <f t="shared" si="144"/>
        <v>松散型</v>
      </c>
      <c r="BK291" s="13">
        <f t="shared" si="140"/>
        <v>2</v>
      </c>
      <c r="BL291" s="13">
        <f t="shared" si="141"/>
        <v>7</v>
      </c>
      <c r="BM291" s="18">
        <f t="shared" si="146"/>
        <v>5</v>
      </c>
      <c r="BN291" s="19" t="str">
        <f t="shared" si="147"/>
        <v/>
      </c>
      <c r="BO291" s="19" t="str">
        <f t="array" ref="BO291">_xlfn.TEXTJOIN("",TRUE,IF(ISERROR(FIND(ROW($1:$10)-1,BM291&amp;BN291)),ROW($1:$10)-1,""))</f>
        <v>012346789</v>
      </c>
      <c r="BP291" s="20" t="str">
        <f t="shared" si="148"/>
        <v>复中中</v>
      </c>
      <c r="BQ291" s="21" t="str">
        <f t="shared" si="159"/>
        <v/>
      </c>
      <c r="BR291" s="21">
        <f t="shared" si="157"/>
        <v>7</v>
      </c>
      <c r="BS291" s="21" t="str">
        <f t="array" ref="BS291">_xlfn.TEXTJOIN("",TRUE,IF(ISERROR(FIND(ROW($1:$10)-1,BQ291&amp;BR291)),ROW($1:$10)-1,""))</f>
        <v>012345689</v>
      </c>
      <c r="BT291" s="20" t="str">
        <f t="shared" si="149"/>
        <v>中隔中</v>
      </c>
      <c r="BU291" s="22">
        <f t="shared" si="150"/>
        <v>2</v>
      </c>
      <c r="BV291" s="22" t="str">
        <f t="shared" si="158"/>
        <v/>
      </c>
      <c r="BW291" s="22" t="str">
        <f t="array" ref="BW291">_xlfn.TEXTJOIN("",TRUE,IF(ISERROR(FIND(ROW($1:$10)-1,BU291&amp;BV291)),ROW($1:$10)-1,""))</f>
        <v>013456789</v>
      </c>
      <c r="BX291" s="20" t="str">
        <f t="shared" si="151"/>
        <v>复中中</v>
      </c>
      <c r="BY291" s="23" t="str">
        <f t="shared" si="145"/>
        <v>46</v>
      </c>
      <c r="BZ291" s="24" t="str">
        <f t="array" ref="BZ291">_xlfn.TEXTJOIN("",TRUE,IF(ISNUMBER(FIND(MID(BY290&amp;Q290,ROW($1:$4),1),BY291&amp;Q291)),MID(BY290&amp;Q290,ROW($1:$4),1),""))</f>
        <v/>
      </c>
      <c r="CA291" s="25" t="str">
        <f t="array" ref="CA291">_xlfn.TEXTJOIN("",TRUE,IF(ISERROR(FIND(ROW($1:$10)-1,BY291&amp;BZ291)),ROW($1:$10)-1,""))</f>
        <v>01235789</v>
      </c>
      <c r="CB291" s="26" t="str">
        <f t="shared" si="152"/>
        <v>邻孤孤</v>
      </c>
      <c r="CC291" s="27" t="str">
        <f t="shared" si="153"/>
        <v>68</v>
      </c>
      <c r="CD291" s="27" t="str">
        <f t="array" ref="CD291">_xlfn.TEXTJOIN("",TRUE,IF(ISNUMBER(FIND(MID(CC290&amp;R290,ROW($1:$4),1),CC291&amp;R291)),MID(CC290&amp;R290,ROW($1:$4),1),""))</f>
        <v/>
      </c>
      <c r="CE291" s="27" t="str">
        <f t="array" ref="CE291">_xlfn.TEXTJOIN("",TRUE,IF(ISERROR(FIND(ROW($1:$10)-1,CC291&amp;CD291)),ROW($1:$10)-1,""))</f>
        <v>01234579</v>
      </c>
      <c r="CF291" s="17" t="str">
        <f t="shared" si="154"/>
        <v>邻孤孤</v>
      </c>
      <c r="CG291" s="22" t="str">
        <f t="shared" si="155"/>
        <v>13</v>
      </c>
      <c r="CH291" s="22" t="str">
        <f t="array" ref="CH291">_xlfn.TEXTJOIN("",TRUE,IF(ISNUMBER(FIND(MID(CG290&amp;S290,ROW($1:$4),1),CG291&amp;S291)),MID(CG290&amp;S290,ROW($1:$4),1),""))</f>
        <v/>
      </c>
      <c r="CI291" s="22" t="str">
        <f t="array" ref="CI291">_xlfn.TEXTJOIN("",TRUE,IF(ISERROR(FIND(ROW($1:$10)-1,CG291&amp;CH291)),ROW($1:$10)-1,""))</f>
        <v>02456789</v>
      </c>
      <c r="CJ291" s="28" t="str">
        <f t="shared" si="156"/>
        <v>邻孤孤</v>
      </c>
    </row>
    <row r="292" spans="1:88">
      <c r="A292" s="32">
        <v>2025067</v>
      </c>
      <c r="B292" s="8" t="s">
        <v>264</v>
      </c>
      <c r="C292" s="49">
        <f t="shared" si="160"/>
        <v>16</v>
      </c>
      <c r="D292" s="50">
        <f t="shared" si="161"/>
        <v>6</v>
      </c>
      <c r="E292" s="51">
        <f t="shared" si="142"/>
        <v>5.3333333333333304</v>
      </c>
      <c r="F292" s="52">
        <f>MAX(MID(B292,{1,2,3},1)*1)-MIN(MID(B292,{1,2,3},1)*1)</f>
        <v>5</v>
      </c>
      <c r="G292" s="104">
        <v>0</v>
      </c>
      <c r="H292" s="104">
        <v>1</v>
      </c>
      <c r="I292" s="104">
        <v>2</v>
      </c>
      <c r="J292" s="104">
        <v>3</v>
      </c>
      <c r="K292" s="104">
        <v>4</v>
      </c>
      <c r="L292" s="104">
        <v>5</v>
      </c>
      <c r="M292" s="104">
        <v>6</v>
      </c>
      <c r="N292" s="104">
        <v>7</v>
      </c>
      <c r="O292" s="104">
        <v>8</v>
      </c>
      <c r="P292" s="104">
        <v>9</v>
      </c>
      <c r="Q292" s="53">
        <f t="shared" si="162"/>
        <v>5</v>
      </c>
      <c r="R292" s="53">
        <f t="shared" si="163"/>
        <v>2</v>
      </c>
      <c r="S292" s="53">
        <f t="shared" si="164"/>
        <v>3</v>
      </c>
      <c r="T292" s="101">
        <f t="shared" si="143"/>
        <v>10</v>
      </c>
      <c r="U292" s="15" t="str">
        <f>_xlfn.TEXTJOIN(", ",TRUE,ABS(MID(B292,{1,1,2},1)-MID(B292,{2,3,3},1)))</f>
        <v>5, 2, 3</v>
      </c>
      <c r="V292" s="54">
        <v>0</v>
      </c>
      <c r="W292" s="54">
        <v>1</v>
      </c>
      <c r="X292" s="54">
        <v>2</v>
      </c>
      <c r="Y292" s="54">
        <v>3</v>
      </c>
      <c r="Z292" s="54">
        <v>4</v>
      </c>
      <c r="AA292" s="54">
        <v>5</v>
      </c>
      <c r="AB292" s="54">
        <v>6</v>
      </c>
      <c r="AC292" s="54">
        <v>7</v>
      </c>
      <c r="AD292" s="54">
        <v>8</v>
      </c>
      <c r="AE292" s="54">
        <v>9</v>
      </c>
      <c r="AF292" s="55">
        <v>0</v>
      </c>
      <c r="AG292" s="55">
        <v>1</v>
      </c>
      <c r="AH292" s="55">
        <v>2</v>
      </c>
      <c r="AI292" s="55">
        <v>3</v>
      </c>
      <c r="AJ292" s="55">
        <v>4</v>
      </c>
      <c r="AK292" s="55">
        <v>5</v>
      </c>
      <c r="AL292" s="55">
        <v>6</v>
      </c>
      <c r="AM292" s="55">
        <v>7</v>
      </c>
      <c r="AN292" s="55">
        <v>8</v>
      </c>
      <c r="AO292" s="55">
        <v>9</v>
      </c>
      <c r="AP292" s="105">
        <v>0</v>
      </c>
      <c r="AQ292" s="105">
        <v>1</v>
      </c>
      <c r="AR292" s="105">
        <v>2</v>
      </c>
      <c r="AS292" s="105">
        <v>3</v>
      </c>
      <c r="AT292" s="105">
        <v>4</v>
      </c>
      <c r="AU292" s="105">
        <v>5</v>
      </c>
      <c r="AV292" s="105">
        <v>6</v>
      </c>
      <c r="AW292" s="105">
        <v>7</v>
      </c>
      <c r="AX292" s="105">
        <v>8</v>
      </c>
      <c r="AY292" s="105">
        <v>9</v>
      </c>
      <c r="AZ292" s="56">
        <v>0</v>
      </c>
      <c r="BA292" s="56">
        <v>1</v>
      </c>
      <c r="BB292" s="56">
        <v>2</v>
      </c>
      <c r="BC292" s="56">
        <v>3</v>
      </c>
      <c r="BD292" s="56">
        <v>4</v>
      </c>
      <c r="BE292" s="56">
        <v>5</v>
      </c>
      <c r="BF292" s="56">
        <v>6</v>
      </c>
      <c r="BG292" s="56">
        <v>7</v>
      </c>
      <c r="BH292" s="56">
        <v>8</v>
      </c>
      <c r="BI292" s="56">
        <v>9</v>
      </c>
      <c r="BJ292" s="57" t="str">
        <f t="shared" si="144"/>
        <v>标准型</v>
      </c>
      <c r="BK292" s="13">
        <f t="shared" si="140"/>
        <v>2</v>
      </c>
      <c r="BL292" s="13">
        <f t="shared" si="141"/>
        <v>5</v>
      </c>
      <c r="BM292" s="18">
        <f t="shared" si="146"/>
        <v>5</v>
      </c>
      <c r="BN292" s="19">
        <f t="shared" si="147"/>
        <v>5</v>
      </c>
      <c r="BO292" s="19" t="str">
        <f t="array" ref="BO292">_xlfn.TEXTJOIN("",TRUE,IF(ISERROR(FIND(ROW($1:$10)-1,BM292&amp;BN292)),ROW($1:$10)-1,""))</f>
        <v>012346789</v>
      </c>
      <c r="BP292" s="20" t="str">
        <f t="shared" si="148"/>
        <v>复隔中</v>
      </c>
      <c r="BQ292" s="21">
        <f t="shared" si="159"/>
        <v>2</v>
      </c>
      <c r="BR292" s="21">
        <f t="shared" si="157"/>
        <v>2</v>
      </c>
      <c r="BS292" s="21" t="str">
        <f t="array" ref="BS292">_xlfn.TEXTJOIN("",TRUE,IF(ISERROR(FIND(ROW($1:$10)-1,BQ292&amp;BR292)),ROW($1:$10)-1,""))</f>
        <v>013456789</v>
      </c>
      <c r="BT292" s="20" t="str">
        <f t="shared" si="149"/>
        <v>复隔中</v>
      </c>
      <c r="BU292" s="22" t="str">
        <f t="shared" si="150"/>
        <v/>
      </c>
      <c r="BV292" s="22">
        <f t="shared" si="158"/>
        <v>3</v>
      </c>
      <c r="BW292" s="22" t="str">
        <f t="array" ref="BW292">_xlfn.TEXTJOIN("",TRUE,IF(ISERROR(FIND(ROW($1:$10)-1,BU292&amp;BV292)),ROW($1:$10)-1,""))</f>
        <v>012456789</v>
      </c>
      <c r="BX292" s="20" t="str">
        <f t="shared" si="151"/>
        <v>中隔中</v>
      </c>
      <c r="BY292" s="23" t="str">
        <f t="shared" si="145"/>
        <v>46</v>
      </c>
      <c r="BZ292" s="24" t="str">
        <f t="array" ref="BZ292">_xlfn.TEXTJOIN("",TRUE,IF(ISNUMBER(FIND(MID(BY291&amp;Q291,ROW($1:$4),1),BY292&amp;Q292)),MID(BY291&amp;Q291,ROW($1:$4),1),""))</f>
        <v>465</v>
      </c>
      <c r="CA292" s="25" t="str">
        <f t="array" ref="CA292">_xlfn.TEXTJOIN("",TRUE,IF(ISERROR(FIND(ROW($1:$10)-1,BY292&amp;BZ292)),ROW($1:$10)-1,""))</f>
        <v>0123789</v>
      </c>
      <c r="CB292" s="26" t="str">
        <f t="shared" si="152"/>
        <v>邻传孤</v>
      </c>
      <c r="CC292" s="27" t="str">
        <f t="shared" si="153"/>
        <v>13</v>
      </c>
      <c r="CD292" s="27" t="str">
        <f t="array" ref="CD292">_xlfn.TEXTJOIN("",TRUE,IF(ISNUMBER(FIND(MID(CC291&amp;R291,ROW($1:$4),1),CC292&amp;R292)),MID(CC291&amp;R291,ROW($1:$4),1),""))</f>
        <v/>
      </c>
      <c r="CE292" s="27" t="str">
        <f t="array" ref="CE292">_xlfn.TEXTJOIN("",TRUE,IF(ISERROR(FIND(ROW($1:$10)-1,CC292&amp;CD292)),ROW($1:$10)-1,""))</f>
        <v>02456789</v>
      </c>
      <c r="CF292" s="17" t="str">
        <f t="shared" si="154"/>
        <v>邻孤孤</v>
      </c>
      <c r="CG292" s="22" t="str">
        <f t="shared" si="155"/>
        <v>24</v>
      </c>
      <c r="CH292" s="22" t="str">
        <f t="array" ref="CH292">_xlfn.TEXTJOIN("",TRUE,IF(ISNUMBER(FIND(MID(CG291&amp;S291,ROW($1:$4),1),CG292&amp;S292)),MID(CG291&amp;S291,ROW($1:$4),1),""))</f>
        <v>32</v>
      </c>
      <c r="CI292" s="22" t="str">
        <f t="array" ref="CI292">_xlfn.TEXTJOIN("",TRUE,IF(ISERROR(FIND(ROW($1:$10)-1,CG292&amp;CH292)),ROW($1:$10)-1,""))</f>
        <v>0156789</v>
      </c>
      <c r="CJ292" s="28" t="str">
        <f t="shared" si="156"/>
        <v>邻传孤</v>
      </c>
    </row>
    <row r="293" spans="1:88">
      <c r="A293" s="32">
        <v>2025068</v>
      </c>
      <c r="B293" s="8" t="s">
        <v>265</v>
      </c>
      <c r="C293" s="49">
        <f t="shared" si="160"/>
        <v>15</v>
      </c>
      <c r="D293" s="50">
        <f t="shared" si="161"/>
        <v>5</v>
      </c>
      <c r="E293" s="51">
        <f t="shared" si="142"/>
        <v>5</v>
      </c>
      <c r="F293" s="52">
        <f>MAX(MID(B293,{1,2,3},1)*1)-MIN(MID(B293,{1,2,3},1)*1)</f>
        <v>0</v>
      </c>
      <c r="G293" s="104">
        <v>0</v>
      </c>
      <c r="H293" s="104">
        <v>1</v>
      </c>
      <c r="I293" s="104">
        <v>2</v>
      </c>
      <c r="J293" s="104">
        <v>3</v>
      </c>
      <c r="K293" s="104">
        <v>4</v>
      </c>
      <c r="L293" s="104">
        <v>5</v>
      </c>
      <c r="M293" s="104">
        <v>6</v>
      </c>
      <c r="N293" s="104">
        <v>7</v>
      </c>
      <c r="O293" s="104">
        <v>8</v>
      </c>
      <c r="P293" s="104">
        <v>9</v>
      </c>
      <c r="Q293" s="53">
        <f t="shared" si="162"/>
        <v>0</v>
      </c>
      <c r="R293" s="53">
        <f t="shared" si="163"/>
        <v>0</v>
      </c>
      <c r="S293" s="53">
        <f t="shared" si="164"/>
        <v>0</v>
      </c>
      <c r="T293" s="101">
        <f t="shared" si="143"/>
        <v>0</v>
      </c>
      <c r="U293" s="15" t="str">
        <f>_xlfn.TEXTJOIN(", ",TRUE,ABS(MID(B293,{1,1,2},1)-MID(B293,{2,3,3},1)))</f>
        <v>0, 0, 0</v>
      </c>
      <c r="V293" s="54">
        <v>0</v>
      </c>
      <c r="W293" s="54">
        <v>1</v>
      </c>
      <c r="X293" s="54">
        <v>2</v>
      </c>
      <c r="Y293" s="54">
        <v>3</v>
      </c>
      <c r="Z293" s="54">
        <v>4</v>
      </c>
      <c r="AA293" s="54">
        <v>5</v>
      </c>
      <c r="AB293" s="54">
        <v>6</v>
      </c>
      <c r="AC293" s="54">
        <v>7</v>
      </c>
      <c r="AD293" s="54">
        <v>8</v>
      </c>
      <c r="AE293" s="54">
        <v>9</v>
      </c>
      <c r="AF293" s="55">
        <v>0</v>
      </c>
      <c r="AG293" s="55">
        <v>1</v>
      </c>
      <c r="AH293" s="55">
        <v>2</v>
      </c>
      <c r="AI293" s="55">
        <v>3</v>
      </c>
      <c r="AJ293" s="55">
        <v>4</v>
      </c>
      <c r="AK293" s="55">
        <v>5</v>
      </c>
      <c r="AL293" s="55">
        <v>6</v>
      </c>
      <c r="AM293" s="55">
        <v>7</v>
      </c>
      <c r="AN293" s="55">
        <v>8</v>
      </c>
      <c r="AO293" s="55">
        <v>9</v>
      </c>
      <c r="AP293" s="105">
        <v>0</v>
      </c>
      <c r="AQ293" s="105">
        <v>1</v>
      </c>
      <c r="AR293" s="105">
        <v>2</v>
      </c>
      <c r="AS293" s="105">
        <v>3</v>
      </c>
      <c r="AT293" s="105">
        <v>4</v>
      </c>
      <c r="AU293" s="105">
        <v>5</v>
      </c>
      <c r="AV293" s="105">
        <v>6</v>
      </c>
      <c r="AW293" s="105">
        <v>7</v>
      </c>
      <c r="AX293" s="105">
        <v>8</v>
      </c>
      <c r="AY293" s="105">
        <v>9</v>
      </c>
      <c r="AZ293" s="56">
        <v>0</v>
      </c>
      <c r="BA293" s="56">
        <v>1</v>
      </c>
      <c r="BB293" s="56">
        <v>2</v>
      </c>
      <c r="BC293" s="56">
        <v>3</v>
      </c>
      <c r="BD293" s="56">
        <v>4</v>
      </c>
      <c r="BE293" s="56">
        <v>5</v>
      </c>
      <c r="BF293" s="56">
        <v>6</v>
      </c>
      <c r="BG293" s="56">
        <v>7</v>
      </c>
      <c r="BH293" s="56">
        <v>8</v>
      </c>
      <c r="BI293" s="56">
        <v>9</v>
      </c>
      <c r="BJ293" s="57" t="str">
        <f t="shared" si="144"/>
        <v>紧凑型</v>
      </c>
      <c r="BK293" s="13">
        <f t="shared" si="140"/>
        <v>0</v>
      </c>
      <c r="BL293" s="13">
        <f t="shared" si="141"/>
        <v>0</v>
      </c>
      <c r="BM293" s="18" t="str">
        <f t="shared" si="146"/>
        <v/>
      </c>
      <c r="BN293" s="19" t="str">
        <f t="shared" si="147"/>
        <v/>
      </c>
      <c r="BO293" s="19" t="str">
        <f t="array" ref="BO293">_xlfn.TEXTJOIN("",TRUE,IF(ISERROR(FIND(ROW($1:$10)-1,BM293&amp;BN293)),ROW($1:$10)-1,""))</f>
        <v>0123456789</v>
      </c>
      <c r="BP293" s="20" t="str">
        <f t="shared" si="148"/>
        <v>中中中</v>
      </c>
      <c r="BQ293" s="21" t="str">
        <f t="shared" si="159"/>
        <v/>
      </c>
      <c r="BR293" s="21" t="str">
        <f t="shared" si="157"/>
        <v/>
      </c>
      <c r="BS293" s="21" t="str">
        <f t="array" ref="BS293">_xlfn.TEXTJOIN("",TRUE,IF(ISERROR(FIND(ROW($1:$10)-1,BQ293&amp;BR293)),ROW($1:$10)-1,""))</f>
        <v>0123456789</v>
      </c>
      <c r="BT293" s="20" t="str">
        <f t="shared" si="149"/>
        <v>中中中</v>
      </c>
      <c r="BU293" s="22" t="str">
        <f t="shared" si="150"/>
        <v/>
      </c>
      <c r="BV293" s="22" t="str">
        <f t="shared" si="158"/>
        <v/>
      </c>
      <c r="BW293" s="22" t="str">
        <f t="array" ref="BW293">_xlfn.TEXTJOIN("",TRUE,IF(ISERROR(FIND(ROW($1:$10)-1,BU293&amp;BV293)),ROW($1:$10)-1,""))</f>
        <v>0123456789</v>
      </c>
      <c r="BX293" s="20" t="str">
        <f t="shared" si="151"/>
        <v>中中中</v>
      </c>
      <c r="BY293" s="23" t="str">
        <f t="shared" si="145"/>
        <v>91</v>
      </c>
      <c r="BZ293" s="24" t="str">
        <f t="array" ref="BZ293">_xlfn.TEXTJOIN("",TRUE,IF(ISNUMBER(FIND(MID(BY292&amp;Q292,ROW($1:$4),1),BY293&amp;Q293)),MID(BY292&amp;Q292,ROW($1:$4),1),""))</f>
        <v/>
      </c>
      <c r="CA293" s="25" t="str">
        <f t="array" ref="CA293">_xlfn.TEXTJOIN("",TRUE,IF(ISERROR(FIND(ROW($1:$10)-1,BY293&amp;BZ293)),ROW($1:$10)-1,""))</f>
        <v>02345678</v>
      </c>
      <c r="CB293" s="26" t="str">
        <f t="shared" si="152"/>
        <v>邻孤孤</v>
      </c>
      <c r="CC293" s="27" t="str">
        <f t="shared" si="153"/>
        <v>91</v>
      </c>
      <c r="CD293" s="27" t="str">
        <f t="array" ref="CD293">_xlfn.TEXTJOIN("",TRUE,IF(ISNUMBER(FIND(MID(CC292&amp;R292,ROW($1:$4),1),CC293&amp;R293)),MID(CC292&amp;R292,ROW($1:$4),1),""))</f>
        <v>1</v>
      </c>
      <c r="CE293" s="27" t="str">
        <f t="array" ref="CE293">_xlfn.TEXTJOIN("",TRUE,IF(ISERROR(FIND(ROW($1:$10)-1,CC293&amp;CD293)),ROW($1:$10)-1,""))</f>
        <v>02345678</v>
      </c>
      <c r="CF293" s="17" t="str">
        <f t="shared" si="154"/>
        <v>邻传孤</v>
      </c>
      <c r="CG293" s="22" t="str">
        <f t="shared" si="155"/>
        <v>91</v>
      </c>
      <c r="CH293" s="22" t="str">
        <f t="array" ref="CH293">_xlfn.TEXTJOIN("",TRUE,IF(ISNUMBER(FIND(MID(CG292&amp;S292,ROW($1:$4),1),CG293&amp;S293)),MID(CG292&amp;S292,ROW($1:$4),1),""))</f>
        <v/>
      </c>
      <c r="CI293" s="22" t="str">
        <f t="array" ref="CI293">_xlfn.TEXTJOIN("",TRUE,IF(ISERROR(FIND(ROW($1:$10)-1,CG293&amp;CH293)),ROW($1:$10)-1,""))</f>
        <v>02345678</v>
      </c>
      <c r="CJ293" s="28" t="str">
        <f t="shared" si="156"/>
        <v>邻孤孤</v>
      </c>
    </row>
    <row r="294" spans="1:88">
      <c r="A294" s="32">
        <v>2025069</v>
      </c>
      <c r="B294" s="8" t="s">
        <v>266</v>
      </c>
      <c r="C294" s="49">
        <f t="shared" si="160"/>
        <v>15</v>
      </c>
      <c r="D294" s="50">
        <f t="shared" si="161"/>
        <v>5</v>
      </c>
      <c r="E294" s="51">
        <f t="shared" si="142"/>
        <v>5</v>
      </c>
      <c r="F294" s="52">
        <f>MAX(MID(B294,{1,2,3},1)*1)-MIN(MID(B294,{1,2,3},1)*1)</f>
        <v>9</v>
      </c>
      <c r="G294" s="104">
        <v>0</v>
      </c>
      <c r="H294" s="104">
        <v>1</v>
      </c>
      <c r="I294" s="104">
        <v>2</v>
      </c>
      <c r="J294" s="104">
        <v>3</v>
      </c>
      <c r="K294" s="104">
        <v>4</v>
      </c>
      <c r="L294" s="104">
        <v>5</v>
      </c>
      <c r="M294" s="104">
        <v>6</v>
      </c>
      <c r="N294" s="104">
        <v>7</v>
      </c>
      <c r="O294" s="104">
        <v>8</v>
      </c>
      <c r="P294" s="104">
        <v>9</v>
      </c>
      <c r="Q294" s="53">
        <f t="shared" si="162"/>
        <v>9</v>
      </c>
      <c r="R294" s="53">
        <f t="shared" si="163"/>
        <v>3</v>
      </c>
      <c r="S294" s="53">
        <f t="shared" si="164"/>
        <v>6</v>
      </c>
      <c r="T294" s="101">
        <f t="shared" si="143"/>
        <v>18</v>
      </c>
      <c r="U294" s="15" t="str">
        <f>_xlfn.TEXTJOIN(", ",TRUE,ABS(MID(B294,{1,1,2},1)-MID(B294,{2,3,3},1)))</f>
        <v>9, 3, 6</v>
      </c>
      <c r="V294" s="54">
        <v>0</v>
      </c>
      <c r="W294" s="54">
        <v>1</v>
      </c>
      <c r="X294" s="54">
        <v>2</v>
      </c>
      <c r="Y294" s="54">
        <v>3</v>
      </c>
      <c r="Z294" s="54">
        <v>4</v>
      </c>
      <c r="AA294" s="54">
        <v>5</v>
      </c>
      <c r="AB294" s="54">
        <v>6</v>
      </c>
      <c r="AC294" s="54">
        <v>7</v>
      </c>
      <c r="AD294" s="54">
        <v>8</v>
      </c>
      <c r="AE294" s="54">
        <v>9</v>
      </c>
      <c r="AF294" s="55">
        <v>0</v>
      </c>
      <c r="AG294" s="55">
        <v>1</v>
      </c>
      <c r="AH294" s="55">
        <v>2</v>
      </c>
      <c r="AI294" s="55">
        <v>3</v>
      </c>
      <c r="AJ294" s="55">
        <v>4</v>
      </c>
      <c r="AK294" s="55">
        <v>5</v>
      </c>
      <c r="AL294" s="55">
        <v>6</v>
      </c>
      <c r="AM294" s="55">
        <v>7</v>
      </c>
      <c r="AN294" s="55">
        <v>8</v>
      </c>
      <c r="AO294" s="55">
        <v>9</v>
      </c>
      <c r="AP294" s="105">
        <v>0</v>
      </c>
      <c r="AQ294" s="105">
        <v>1</v>
      </c>
      <c r="AR294" s="105">
        <v>2</v>
      </c>
      <c r="AS294" s="105">
        <v>3</v>
      </c>
      <c r="AT294" s="105">
        <v>4</v>
      </c>
      <c r="AU294" s="105">
        <v>5</v>
      </c>
      <c r="AV294" s="105">
        <v>6</v>
      </c>
      <c r="AW294" s="105">
        <v>7</v>
      </c>
      <c r="AX294" s="105">
        <v>8</v>
      </c>
      <c r="AY294" s="105">
        <v>9</v>
      </c>
      <c r="AZ294" s="56">
        <v>0</v>
      </c>
      <c r="BA294" s="56">
        <v>1</v>
      </c>
      <c r="BB294" s="56">
        <v>2</v>
      </c>
      <c r="BC294" s="56">
        <v>3</v>
      </c>
      <c r="BD294" s="56">
        <v>4</v>
      </c>
      <c r="BE294" s="56">
        <v>5</v>
      </c>
      <c r="BF294" s="56">
        <v>6</v>
      </c>
      <c r="BG294" s="56">
        <v>7</v>
      </c>
      <c r="BH294" s="56">
        <v>8</v>
      </c>
      <c r="BI294" s="56">
        <v>9</v>
      </c>
      <c r="BJ294" s="57" t="str">
        <f t="shared" si="144"/>
        <v>松散型</v>
      </c>
      <c r="BK294" s="13">
        <f t="shared" si="140"/>
        <v>3</v>
      </c>
      <c r="BL294" s="13">
        <f t="shared" si="141"/>
        <v>9</v>
      </c>
      <c r="BM294" s="18" t="str">
        <f t="shared" si="146"/>
        <v/>
      </c>
      <c r="BN294" s="19" t="str">
        <f t="shared" si="147"/>
        <v/>
      </c>
      <c r="BO294" s="19" t="str">
        <f t="array" ref="BO294">_xlfn.TEXTJOIN("",TRUE,IF(ISERROR(FIND(ROW($1:$10)-1,BM294&amp;BN294)),ROW($1:$10)-1,""))</f>
        <v>0123456789</v>
      </c>
      <c r="BP294" s="20" t="str">
        <f t="shared" si="148"/>
        <v>中中中</v>
      </c>
      <c r="BQ294" s="21" t="str">
        <f t="shared" si="159"/>
        <v/>
      </c>
      <c r="BR294" s="21">
        <f t="shared" si="157"/>
        <v>3</v>
      </c>
      <c r="BS294" s="21" t="str">
        <f t="array" ref="BS294">_xlfn.TEXTJOIN("",TRUE,IF(ISERROR(FIND(ROW($1:$10)-1,BQ294&amp;BR294)),ROW($1:$10)-1,""))</f>
        <v>012456789</v>
      </c>
      <c r="BT294" s="20" t="str">
        <f t="shared" si="149"/>
        <v>中隔中</v>
      </c>
      <c r="BU294" s="22" t="str">
        <f t="shared" si="150"/>
        <v/>
      </c>
      <c r="BV294" s="22" t="str">
        <f t="shared" si="158"/>
        <v/>
      </c>
      <c r="BW294" s="22" t="str">
        <f t="array" ref="BW294">_xlfn.TEXTJOIN("",TRUE,IF(ISERROR(FIND(ROW($1:$10)-1,BU294&amp;BV294)),ROW($1:$10)-1,""))</f>
        <v>0123456789</v>
      </c>
      <c r="BX294" s="20" t="str">
        <f t="shared" si="151"/>
        <v>中中中</v>
      </c>
      <c r="BY294" s="23" t="str">
        <f t="shared" si="145"/>
        <v>80</v>
      </c>
      <c r="BZ294" s="24" t="str">
        <f t="array" ref="BZ294">_xlfn.TEXTJOIN("",TRUE,IF(ISNUMBER(FIND(MID(BY293&amp;Q293,ROW($1:$4),1),BY294&amp;Q294)),MID(BY293&amp;Q293,ROW($1:$4),1),""))</f>
        <v>90</v>
      </c>
      <c r="CA294" s="25" t="str">
        <f t="array" ref="CA294">_xlfn.TEXTJOIN("",TRUE,IF(ISERROR(FIND(ROW($1:$10)-1,BY294&amp;BZ294)),ROW($1:$10)-1,""))</f>
        <v>1234567</v>
      </c>
      <c r="CB294" s="26" t="str">
        <f t="shared" si="152"/>
        <v>邻传孤</v>
      </c>
      <c r="CC294" s="27" t="str">
        <f t="shared" si="153"/>
        <v>24</v>
      </c>
      <c r="CD294" s="27" t="str">
        <f t="array" ref="CD294">_xlfn.TEXTJOIN("",TRUE,IF(ISNUMBER(FIND(MID(CC293&amp;R293,ROW($1:$4),1),CC294&amp;R294)),MID(CC293&amp;R293,ROW($1:$4),1),""))</f>
        <v/>
      </c>
      <c r="CE294" s="27" t="str">
        <f t="array" ref="CE294">_xlfn.TEXTJOIN("",TRUE,IF(ISERROR(FIND(ROW($1:$10)-1,CC294&amp;CD294)),ROW($1:$10)-1,""))</f>
        <v>01356789</v>
      </c>
      <c r="CF294" s="17" t="str">
        <f t="shared" si="154"/>
        <v>邻孤孤</v>
      </c>
      <c r="CG294" s="22" t="str">
        <f t="shared" si="155"/>
        <v>57</v>
      </c>
      <c r="CH294" s="22" t="str">
        <f t="array" ref="CH294">_xlfn.TEXTJOIN("",TRUE,IF(ISNUMBER(FIND(MID(CG293&amp;S293,ROW($1:$4),1),CG294&amp;S294)),MID(CG293&amp;S293,ROW($1:$4),1),""))</f>
        <v/>
      </c>
      <c r="CI294" s="22" t="str">
        <f t="array" ref="CI294">_xlfn.TEXTJOIN("",TRUE,IF(ISERROR(FIND(ROW($1:$10)-1,CG294&amp;CH294)),ROW($1:$10)-1,""))</f>
        <v>01234689</v>
      </c>
      <c r="CJ294" s="28" t="str">
        <f t="shared" si="156"/>
        <v>邻孤孤</v>
      </c>
    </row>
    <row r="295" spans="1:88">
      <c r="A295" s="32">
        <v>2025070</v>
      </c>
      <c r="B295" s="8" t="s">
        <v>35</v>
      </c>
      <c r="C295" s="49">
        <f t="shared" si="160"/>
        <v>19</v>
      </c>
      <c r="D295" s="50">
        <f t="shared" si="161"/>
        <v>9</v>
      </c>
      <c r="E295" s="51">
        <f t="shared" si="142"/>
        <v>6.3333333333333304</v>
      </c>
      <c r="F295" s="52">
        <f>MAX(MID(B295,{1,2,3},1)*1)-MIN(MID(B295,{1,2,3},1)*1)</f>
        <v>4</v>
      </c>
      <c r="G295" s="104">
        <v>0</v>
      </c>
      <c r="H295" s="104">
        <v>1</v>
      </c>
      <c r="I295" s="104">
        <v>2</v>
      </c>
      <c r="J295" s="104">
        <v>3</v>
      </c>
      <c r="K295" s="104">
        <v>4</v>
      </c>
      <c r="L295" s="104">
        <v>5</v>
      </c>
      <c r="M295" s="104">
        <v>6</v>
      </c>
      <c r="N295" s="104">
        <v>7</v>
      </c>
      <c r="O295" s="104">
        <v>8</v>
      </c>
      <c r="P295" s="104">
        <v>9</v>
      </c>
      <c r="Q295" s="53">
        <f t="shared" si="162"/>
        <v>3</v>
      </c>
      <c r="R295" s="53">
        <f t="shared" si="163"/>
        <v>1</v>
      </c>
      <c r="S295" s="53">
        <f t="shared" si="164"/>
        <v>4</v>
      </c>
      <c r="T295" s="101">
        <f t="shared" si="143"/>
        <v>8</v>
      </c>
      <c r="U295" s="15" t="str">
        <f>_xlfn.TEXTJOIN(", ",TRUE,ABS(MID(B295,{1,1,2},1)-MID(B295,{2,3,3},1)))</f>
        <v>3, 1, 4</v>
      </c>
      <c r="V295" s="54">
        <v>0</v>
      </c>
      <c r="W295" s="54">
        <v>1</v>
      </c>
      <c r="X295" s="54">
        <v>2</v>
      </c>
      <c r="Y295" s="54">
        <v>3</v>
      </c>
      <c r="Z295" s="54">
        <v>4</v>
      </c>
      <c r="AA295" s="54">
        <v>5</v>
      </c>
      <c r="AB295" s="54">
        <v>6</v>
      </c>
      <c r="AC295" s="54">
        <v>7</v>
      </c>
      <c r="AD295" s="54">
        <v>8</v>
      </c>
      <c r="AE295" s="54">
        <v>9</v>
      </c>
      <c r="AF295" s="55">
        <v>0</v>
      </c>
      <c r="AG295" s="55">
        <v>1</v>
      </c>
      <c r="AH295" s="55">
        <v>2</v>
      </c>
      <c r="AI295" s="55">
        <v>3</v>
      </c>
      <c r="AJ295" s="55">
        <v>4</v>
      </c>
      <c r="AK295" s="55">
        <v>5</v>
      </c>
      <c r="AL295" s="55">
        <v>6</v>
      </c>
      <c r="AM295" s="55">
        <v>7</v>
      </c>
      <c r="AN295" s="55">
        <v>8</v>
      </c>
      <c r="AO295" s="55">
        <v>9</v>
      </c>
      <c r="AP295" s="105">
        <v>0</v>
      </c>
      <c r="AQ295" s="105">
        <v>1</v>
      </c>
      <c r="AR295" s="105">
        <v>2</v>
      </c>
      <c r="AS295" s="105">
        <v>3</v>
      </c>
      <c r="AT295" s="105">
        <v>4</v>
      </c>
      <c r="AU295" s="105">
        <v>5</v>
      </c>
      <c r="AV295" s="105">
        <v>6</v>
      </c>
      <c r="AW295" s="105">
        <v>7</v>
      </c>
      <c r="AX295" s="105">
        <v>8</v>
      </c>
      <c r="AY295" s="105">
        <v>9</v>
      </c>
      <c r="AZ295" s="56">
        <v>0</v>
      </c>
      <c r="BA295" s="56">
        <v>1</v>
      </c>
      <c r="BB295" s="56">
        <v>2</v>
      </c>
      <c r="BC295" s="56">
        <v>3</v>
      </c>
      <c r="BD295" s="56">
        <v>4</v>
      </c>
      <c r="BE295" s="56">
        <v>5</v>
      </c>
      <c r="BF295" s="56">
        <v>6</v>
      </c>
      <c r="BG295" s="56">
        <v>7</v>
      </c>
      <c r="BH295" s="56">
        <v>8</v>
      </c>
      <c r="BI295" s="56">
        <v>9</v>
      </c>
      <c r="BJ295" s="57" t="str">
        <f t="shared" si="144"/>
        <v>紧凑型</v>
      </c>
      <c r="BK295" s="13">
        <f t="shared" si="140"/>
        <v>1</v>
      </c>
      <c r="BL295" s="13">
        <f t="shared" si="141"/>
        <v>4</v>
      </c>
      <c r="BM295" s="18">
        <f t="shared" si="146"/>
        <v>3</v>
      </c>
      <c r="BN295" s="19" t="str">
        <f t="shared" si="147"/>
        <v/>
      </c>
      <c r="BO295" s="19" t="str">
        <f t="array" ref="BO295">_xlfn.TEXTJOIN("",TRUE,IF(ISERROR(FIND(ROW($1:$10)-1,BM295&amp;BN295)),ROW($1:$10)-1,""))</f>
        <v>012456789</v>
      </c>
      <c r="BP295" s="20" t="str">
        <f t="shared" si="148"/>
        <v>复中中</v>
      </c>
      <c r="BQ295" s="21" t="str">
        <f t="shared" si="159"/>
        <v/>
      </c>
      <c r="BR295" s="21" t="str">
        <f t="shared" si="157"/>
        <v/>
      </c>
      <c r="BS295" s="21" t="str">
        <f t="array" ref="BS295">_xlfn.TEXTJOIN("",TRUE,IF(ISERROR(FIND(ROW($1:$10)-1,BQ295&amp;BR295)),ROW($1:$10)-1,""))</f>
        <v>0123456789</v>
      </c>
      <c r="BT295" s="20" t="str">
        <f t="shared" si="149"/>
        <v>中中中</v>
      </c>
      <c r="BU295" s="22" t="str">
        <f t="shared" si="150"/>
        <v/>
      </c>
      <c r="BV295" s="22" t="str">
        <f t="shared" si="158"/>
        <v/>
      </c>
      <c r="BW295" s="22" t="str">
        <f t="array" ref="BW295">_xlfn.TEXTJOIN("",TRUE,IF(ISERROR(FIND(ROW($1:$10)-1,BU295&amp;BV295)),ROW($1:$10)-1,""))</f>
        <v>0123456789</v>
      </c>
      <c r="BX295" s="20" t="str">
        <f t="shared" si="151"/>
        <v>中中中</v>
      </c>
      <c r="BY295" s="23" t="str">
        <f t="shared" si="145"/>
        <v>24</v>
      </c>
      <c r="BZ295" s="24" t="str">
        <f t="array" ref="BZ295">_xlfn.TEXTJOIN("",TRUE,IF(ISNUMBER(FIND(MID(BY294&amp;Q294,ROW($1:$4),1),BY295&amp;Q295)),MID(BY294&amp;Q294,ROW($1:$4),1),""))</f>
        <v/>
      </c>
      <c r="CA295" s="25" t="str">
        <f t="array" ref="CA295">_xlfn.TEXTJOIN("",TRUE,IF(ISERROR(FIND(ROW($1:$10)-1,BY295&amp;BZ295)),ROW($1:$10)-1,""))</f>
        <v>01356789</v>
      </c>
      <c r="CB295" s="26" t="str">
        <f t="shared" si="152"/>
        <v>邻孤孤</v>
      </c>
      <c r="CC295" s="27" t="str">
        <f t="shared" si="153"/>
        <v>02</v>
      </c>
      <c r="CD295" s="27" t="str">
        <f t="array" ref="CD295">_xlfn.TEXTJOIN("",TRUE,IF(ISNUMBER(FIND(MID(CC294&amp;R294,ROW($1:$4),1),CC295&amp;R295)),MID(CC294&amp;R294,ROW($1:$4),1),""))</f>
        <v>2</v>
      </c>
      <c r="CE295" s="27" t="str">
        <f t="array" ref="CE295">_xlfn.TEXTJOIN("",TRUE,IF(ISERROR(FIND(ROW($1:$10)-1,CC295&amp;CD295)),ROW($1:$10)-1,""))</f>
        <v>13456789</v>
      </c>
      <c r="CF295" s="17" t="str">
        <f t="shared" si="154"/>
        <v>邻传孤</v>
      </c>
      <c r="CG295" s="22" t="str">
        <f t="shared" si="155"/>
        <v>35</v>
      </c>
      <c r="CH295" s="22" t="str">
        <f t="array" ref="CH295">_xlfn.TEXTJOIN("",TRUE,IF(ISNUMBER(FIND(MID(CG294&amp;S294,ROW($1:$4),1),CG295&amp;S295)),MID(CG294&amp;S294,ROW($1:$4),1),""))</f>
        <v>5</v>
      </c>
      <c r="CI295" s="22" t="str">
        <f t="array" ref="CI295">_xlfn.TEXTJOIN("",TRUE,IF(ISERROR(FIND(ROW($1:$10)-1,CG295&amp;CH295)),ROW($1:$10)-1,""))</f>
        <v>01246789</v>
      </c>
      <c r="CJ295" s="28" t="str">
        <f t="shared" si="156"/>
        <v>邻传孤</v>
      </c>
    </row>
    <row r="296" spans="1:88">
      <c r="A296" s="32">
        <v>2025071</v>
      </c>
      <c r="B296" s="8" t="s">
        <v>267</v>
      </c>
      <c r="C296" s="49">
        <f t="shared" si="160"/>
        <v>11</v>
      </c>
      <c r="D296" s="50">
        <f t="shared" si="161"/>
        <v>1</v>
      </c>
      <c r="E296" s="51">
        <f t="shared" si="142"/>
        <v>3.6666666666666701</v>
      </c>
      <c r="F296" s="52">
        <f>MAX(MID(B296,{1,2,3},1)*1)-MIN(MID(B296,{1,2,3},1)*1)</f>
        <v>1</v>
      </c>
      <c r="G296" s="104">
        <v>0</v>
      </c>
      <c r="H296" s="104">
        <v>1</v>
      </c>
      <c r="I296" s="104">
        <v>2</v>
      </c>
      <c r="J296" s="104">
        <v>3</v>
      </c>
      <c r="K296" s="104">
        <v>4</v>
      </c>
      <c r="L296" s="104">
        <v>5</v>
      </c>
      <c r="M296" s="104">
        <v>6</v>
      </c>
      <c r="N296" s="104">
        <v>7</v>
      </c>
      <c r="O296" s="104">
        <v>8</v>
      </c>
      <c r="P296" s="104">
        <v>9</v>
      </c>
      <c r="Q296" s="53">
        <f t="shared" si="162"/>
        <v>1</v>
      </c>
      <c r="R296" s="53">
        <f t="shared" si="163"/>
        <v>0</v>
      </c>
      <c r="S296" s="53">
        <f t="shared" si="164"/>
        <v>1</v>
      </c>
      <c r="T296" s="101">
        <f t="shared" si="143"/>
        <v>2</v>
      </c>
      <c r="U296" s="15" t="str">
        <f>_xlfn.TEXTJOIN(", ",TRUE,ABS(MID(B296,{1,1,2},1)-MID(B296,{2,3,3},1)))</f>
        <v>1, 0, 1</v>
      </c>
      <c r="V296" s="54">
        <v>0</v>
      </c>
      <c r="W296" s="54">
        <v>1</v>
      </c>
      <c r="X296" s="54">
        <v>2</v>
      </c>
      <c r="Y296" s="54">
        <v>3</v>
      </c>
      <c r="Z296" s="54">
        <v>4</v>
      </c>
      <c r="AA296" s="54">
        <v>5</v>
      </c>
      <c r="AB296" s="54">
        <v>6</v>
      </c>
      <c r="AC296" s="54">
        <v>7</v>
      </c>
      <c r="AD296" s="54">
        <v>8</v>
      </c>
      <c r="AE296" s="54">
        <v>9</v>
      </c>
      <c r="AF296" s="55">
        <v>0</v>
      </c>
      <c r="AG296" s="55">
        <v>1</v>
      </c>
      <c r="AH296" s="55">
        <v>2</v>
      </c>
      <c r="AI296" s="55">
        <v>3</v>
      </c>
      <c r="AJ296" s="55">
        <v>4</v>
      </c>
      <c r="AK296" s="55">
        <v>5</v>
      </c>
      <c r="AL296" s="55">
        <v>6</v>
      </c>
      <c r="AM296" s="55">
        <v>7</v>
      </c>
      <c r="AN296" s="55">
        <v>8</v>
      </c>
      <c r="AO296" s="55">
        <v>9</v>
      </c>
      <c r="AP296" s="105">
        <v>0</v>
      </c>
      <c r="AQ296" s="105">
        <v>1</v>
      </c>
      <c r="AR296" s="105">
        <v>2</v>
      </c>
      <c r="AS296" s="105">
        <v>3</v>
      </c>
      <c r="AT296" s="105">
        <v>4</v>
      </c>
      <c r="AU296" s="105">
        <v>5</v>
      </c>
      <c r="AV296" s="105">
        <v>6</v>
      </c>
      <c r="AW296" s="105">
        <v>7</v>
      </c>
      <c r="AX296" s="105">
        <v>8</v>
      </c>
      <c r="AY296" s="105">
        <v>9</v>
      </c>
      <c r="AZ296" s="56">
        <v>0</v>
      </c>
      <c r="BA296" s="56">
        <v>1</v>
      </c>
      <c r="BB296" s="56">
        <v>2</v>
      </c>
      <c r="BC296" s="56">
        <v>3</v>
      </c>
      <c r="BD296" s="56">
        <v>4</v>
      </c>
      <c r="BE296" s="56">
        <v>5</v>
      </c>
      <c r="BF296" s="56">
        <v>6</v>
      </c>
      <c r="BG296" s="56">
        <v>7</v>
      </c>
      <c r="BH296" s="56">
        <v>8</v>
      </c>
      <c r="BI296" s="56">
        <v>9</v>
      </c>
      <c r="BJ296" s="57" t="str">
        <f t="shared" si="144"/>
        <v>紧凑型</v>
      </c>
      <c r="BK296" s="13">
        <f t="shared" si="140"/>
        <v>0</v>
      </c>
      <c r="BL296" s="13">
        <f t="shared" si="141"/>
        <v>1</v>
      </c>
      <c r="BM296" s="18">
        <f t="shared" si="146"/>
        <v>1</v>
      </c>
      <c r="BN296" s="19" t="str">
        <f t="shared" si="147"/>
        <v/>
      </c>
      <c r="BO296" s="19" t="str">
        <f t="array" ref="BO296">_xlfn.TEXTJOIN("",TRUE,IF(ISERROR(FIND(ROW($1:$10)-1,BM296&amp;BN296)),ROW($1:$10)-1,""))</f>
        <v>023456789</v>
      </c>
      <c r="BP296" s="20" t="str">
        <f t="shared" si="148"/>
        <v>复中中</v>
      </c>
      <c r="BQ296" s="21" t="str">
        <f t="shared" si="159"/>
        <v/>
      </c>
      <c r="BR296" s="21" t="str">
        <f t="shared" si="157"/>
        <v/>
      </c>
      <c r="BS296" s="21" t="str">
        <f t="array" ref="BS296">_xlfn.TEXTJOIN("",TRUE,IF(ISERROR(FIND(ROW($1:$10)-1,BQ296&amp;BR296)),ROW($1:$10)-1,""))</f>
        <v>0123456789</v>
      </c>
      <c r="BT296" s="20" t="str">
        <f t="shared" si="149"/>
        <v>中中中</v>
      </c>
      <c r="BU296" s="22">
        <f t="shared" si="150"/>
        <v>1</v>
      </c>
      <c r="BV296" s="22" t="str">
        <f t="shared" si="158"/>
        <v/>
      </c>
      <c r="BW296" s="22" t="str">
        <f t="array" ref="BW296">_xlfn.TEXTJOIN("",TRUE,IF(ISERROR(FIND(ROW($1:$10)-1,BU296&amp;BV296)),ROW($1:$10)-1,""))</f>
        <v>023456789</v>
      </c>
      <c r="BX296" s="20" t="str">
        <f t="shared" si="151"/>
        <v>复中中</v>
      </c>
      <c r="BY296" s="23" t="str">
        <f t="shared" si="145"/>
        <v>02</v>
      </c>
      <c r="BZ296" s="24" t="str">
        <f t="array" ref="BZ296">_xlfn.TEXTJOIN("",TRUE,IF(ISNUMBER(FIND(MID(BY295&amp;Q295,ROW($1:$4),1),BY296&amp;Q296)),MID(BY295&amp;Q295,ROW($1:$4),1),""))</f>
        <v>2</v>
      </c>
      <c r="CA296" s="25" t="str">
        <f t="array" ref="CA296">_xlfn.TEXTJOIN("",TRUE,IF(ISERROR(FIND(ROW($1:$10)-1,BY296&amp;BZ296)),ROW($1:$10)-1,""))</f>
        <v>13456789</v>
      </c>
      <c r="CB296" s="26" t="str">
        <f t="shared" si="152"/>
        <v>邻传孤</v>
      </c>
      <c r="CC296" s="27" t="str">
        <f t="shared" si="153"/>
        <v>91</v>
      </c>
      <c r="CD296" s="27" t="str">
        <f t="array" ref="CD296">_xlfn.TEXTJOIN("",TRUE,IF(ISNUMBER(FIND(MID(CC295&amp;R295,ROW($1:$4),1),CC296&amp;R296)),MID(CC295&amp;R295,ROW($1:$4),1),""))</f>
        <v>01</v>
      </c>
      <c r="CE296" s="27" t="str">
        <f t="array" ref="CE296">_xlfn.TEXTJOIN("",TRUE,IF(ISERROR(FIND(ROW($1:$10)-1,CC296&amp;CD296)),ROW($1:$10)-1,""))</f>
        <v>2345678</v>
      </c>
      <c r="CF296" s="17" t="str">
        <f t="shared" si="154"/>
        <v>邻传孤</v>
      </c>
      <c r="CG296" s="22" t="str">
        <f t="shared" si="155"/>
        <v>02</v>
      </c>
      <c r="CH296" s="22" t="str">
        <f t="array" ref="CH296">_xlfn.TEXTJOIN("",TRUE,IF(ISNUMBER(FIND(MID(CG295&amp;S295,ROW($1:$4),1),CG296&amp;S296)),MID(CG295&amp;S295,ROW($1:$4),1),""))</f>
        <v/>
      </c>
      <c r="CI296" s="22" t="str">
        <f t="array" ref="CI296">_xlfn.TEXTJOIN("",TRUE,IF(ISERROR(FIND(ROW($1:$10)-1,CG296&amp;CH296)),ROW($1:$10)-1,""))</f>
        <v>13456789</v>
      </c>
      <c r="CJ296" s="28" t="str">
        <f t="shared" si="156"/>
        <v>邻孤孤</v>
      </c>
    </row>
    <row r="297" spans="1:88">
      <c r="A297" s="32">
        <v>2025072</v>
      </c>
      <c r="B297" s="8" t="s">
        <v>268</v>
      </c>
      <c r="C297" s="49">
        <f t="shared" si="160"/>
        <v>11</v>
      </c>
      <c r="D297" s="50">
        <f t="shared" si="161"/>
        <v>1</v>
      </c>
      <c r="E297" s="51">
        <f t="shared" si="142"/>
        <v>3.6666666666666701</v>
      </c>
      <c r="F297" s="52">
        <f>MAX(MID(B297,{1,2,3},1)*1)-MIN(MID(B297,{1,2,3},1)*1)</f>
        <v>5</v>
      </c>
      <c r="G297" s="104">
        <v>0</v>
      </c>
      <c r="H297" s="104">
        <v>1</v>
      </c>
      <c r="I297" s="104">
        <v>2</v>
      </c>
      <c r="J297" s="104">
        <v>3</v>
      </c>
      <c r="K297" s="104">
        <v>4</v>
      </c>
      <c r="L297" s="104">
        <v>5</v>
      </c>
      <c r="M297" s="104">
        <v>6</v>
      </c>
      <c r="N297" s="104">
        <v>7</v>
      </c>
      <c r="O297" s="104">
        <v>8</v>
      </c>
      <c r="P297" s="104">
        <v>9</v>
      </c>
      <c r="Q297" s="53">
        <f t="shared" si="162"/>
        <v>5</v>
      </c>
      <c r="R297" s="53">
        <f t="shared" si="163"/>
        <v>0</v>
      </c>
      <c r="S297" s="53">
        <f t="shared" si="164"/>
        <v>5</v>
      </c>
      <c r="T297" s="101">
        <f t="shared" si="143"/>
        <v>10</v>
      </c>
      <c r="U297" s="15" t="str">
        <f>_xlfn.TEXTJOIN(", ",TRUE,ABS(MID(B297,{1,1,2},1)-MID(B297,{2,3,3},1)))</f>
        <v>5, 0, 5</v>
      </c>
      <c r="V297" s="54">
        <v>0</v>
      </c>
      <c r="W297" s="54">
        <v>1</v>
      </c>
      <c r="X297" s="54">
        <v>2</v>
      </c>
      <c r="Y297" s="54">
        <v>3</v>
      </c>
      <c r="Z297" s="54">
        <v>4</v>
      </c>
      <c r="AA297" s="54">
        <v>5</v>
      </c>
      <c r="AB297" s="54">
        <v>6</v>
      </c>
      <c r="AC297" s="54">
        <v>7</v>
      </c>
      <c r="AD297" s="54">
        <v>8</v>
      </c>
      <c r="AE297" s="54">
        <v>9</v>
      </c>
      <c r="AF297" s="55">
        <v>0</v>
      </c>
      <c r="AG297" s="55">
        <v>1</v>
      </c>
      <c r="AH297" s="55">
        <v>2</v>
      </c>
      <c r="AI297" s="55">
        <v>3</v>
      </c>
      <c r="AJ297" s="55">
        <v>4</v>
      </c>
      <c r="AK297" s="55">
        <v>5</v>
      </c>
      <c r="AL297" s="55">
        <v>6</v>
      </c>
      <c r="AM297" s="55">
        <v>7</v>
      </c>
      <c r="AN297" s="55">
        <v>8</v>
      </c>
      <c r="AO297" s="55">
        <v>9</v>
      </c>
      <c r="AP297" s="105">
        <v>0</v>
      </c>
      <c r="AQ297" s="105">
        <v>1</v>
      </c>
      <c r="AR297" s="105">
        <v>2</v>
      </c>
      <c r="AS297" s="105">
        <v>3</v>
      </c>
      <c r="AT297" s="105">
        <v>4</v>
      </c>
      <c r="AU297" s="105">
        <v>5</v>
      </c>
      <c r="AV297" s="105">
        <v>6</v>
      </c>
      <c r="AW297" s="105">
        <v>7</v>
      </c>
      <c r="AX297" s="105">
        <v>8</v>
      </c>
      <c r="AY297" s="105">
        <v>9</v>
      </c>
      <c r="AZ297" s="56">
        <v>0</v>
      </c>
      <c r="BA297" s="56">
        <v>1</v>
      </c>
      <c r="BB297" s="56">
        <v>2</v>
      </c>
      <c r="BC297" s="56">
        <v>3</v>
      </c>
      <c r="BD297" s="56">
        <v>4</v>
      </c>
      <c r="BE297" s="56">
        <v>5</v>
      </c>
      <c r="BF297" s="56">
        <v>6</v>
      </c>
      <c r="BG297" s="56">
        <v>7</v>
      </c>
      <c r="BH297" s="56">
        <v>8</v>
      </c>
      <c r="BI297" s="56">
        <v>9</v>
      </c>
      <c r="BJ297" s="57" t="str">
        <f t="shared" si="144"/>
        <v>对子</v>
      </c>
      <c r="BK297" s="13">
        <f t="shared" si="140"/>
        <v>0</v>
      </c>
      <c r="BL297" s="13">
        <f t="shared" si="141"/>
        <v>5</v>
      </c>
      <c r="BM297" s="18" t="str">
        <f t="shared" si="146"/>
        <v/>
      </c>
      <c r="BN297" s="19" t="str">
        <f t="shared" si="147"/>
        <v/>
      </c>
      <c r="BO297" s="19" t="str">
        <f t="array" ref="BO297">_xlfn.TEXTJOIN("",TRUE,IF(ISERROR(FIND(ROW($1:$10)-1,BM297&amp;BN297)),ROW($1:$10)-1,""))</f>
        <v>0123456789</v>
      </c>
      <c r="BP297" s="20" t="str">
        <f t="shared" si="148"/>
        <v>中中中</v>
      </c>
      <c r="BQ297" s="21">
        <f t="shared" si="159"/>
        <v>0</v>
      </c>
      <c r="BR297" s="21" t="str">
        <f t="shared" si="157"/>
        <v/>
      </c>
      <c r="BS297" s="21" t="str">
        <f t="array" ref="BS297">_xlfn.TEXTJOIN("",TRUE,IF(ISERROR(FIND(ROW($1:$10)-1,BQ297&amp;BR297)),ROW($1:$10)-1,""))</f>
        <v>123456789</v>
      </c>
      <c r="BT297" s="20" t="str">
        <f t="shared" si="149"/>
        <v>复中中</v>
      </c>
      <c r="BU297" s="22" t="str">
        <f t="shared" si="150"/>
        <v/>
      </c>
      <c r="BV297" s="22" t="str">
        <f t="shared" si="158"/>
        <v/>
      </c>
      <c r="BW297" s="22" t="str">
        <f t="array" ref="BW297">_xlfn.TEXTJOIN("",TRUE,IF(ISERROR(FIND(ROW($1:$10)-1,BU297&amp;BV297)),ROW($1:$10)-1,""))</f>
        <v>0123456789</v>
      </c>
      <c r="BX297" s="20" t="str">
        <f t="shared" si="151"/>
        <v>中中中</v>
      </c>
      <c r="BY297" s="23" t="str">
        <f t="shared" si="145"/>
        <v>46</v>
      </c>
      <c r="BZ297" s="24" t="str">
        <f t="array" ref="BZ297">_xlfn.TEXTJOIN("",TRUE,IF(ISNUMBER(FIND(MID(BY296&amp;Q296,ROW($1:$4),1),BY297&amp;Q297)),MID(BY296&amp;Q296,ROW($1:$4),1),""))</f>
        <v/>
      </c>
      <c r="CA297" s="25" t="str">
        <f t="array" ref="CA297">_xlfn.TEXTJOIN("",TRUE,IF(ISERROR(FIND(ROW($1:$10)-1,BY297&amp;BZ297)),ROW($1:$10)-1,""))</f>
        <v>01235789</v>
      </c>
      <c r="CB297" s="26" t="str">
        <f t="shared" si="152"/>
        <v>邻孤孤</v>
      </c>
      <c r="CC297" s="27" t="str">
        <f t="shared" si="153"/>
        <v>91</v>
      </c>
      <c r="CD297" s="27" t="str">
        <f t="array" ref="CD297">_xlfn.TEXTJOIN("",TRUE,IF(ISNUMBER(FIND(MID(CC296&amp;R296,ROW($1:$4),1),CC297&amp;R297)),MID(CC296&amp;R296,ROW($1:$4),1),""))</f>
        <v>910</v>
      </c>
      <c r="CE297" s="27" t="str">
        <f t="array" ref="CE297">_xlfn.TEXTJOIN("",TRUE,IF(ISERROR(FIND(ROW($1:$10)-1,CC297&amp;CD297)),ROW($1:$10)-1,""))</f>
        <v>2345678</v>
      </c>
      <c r="CF297" s="17" t="str">
        <f t="shared" si="154"/>
        <v>邻传孤</v>
      </c>
      <c r="CG297" s="22" t="str">
        <f t="shared" si="155"/>
        <v>46</v>
      </c>
      <c r="CH297" s="22" t="str">
        <f t="array" ref="CH297">_xlfn.TEXTJOIN("",TRUE,IF(ISNUMBER(FIND(MID(CG296&amp;S296,ROW($1:$4),1),CG297&amp;S297)),MID(CG296&amp;S296,ROW($1:$4),1),""))</f>
        <v/>
      </c>
      <c r="CI297" s="22" t="str">
        <f t="array" ref="CI297">_xlfn.TEXTJOIN("",TRUE,IF(ISERROR(FIND(ROW($1:$10)-1,CG297&amp;CH297)),ROW($1:$10)-1,""))</f>
        <v>01235789</v>
      </c>
      <c r="CJ297" s="28" t="str">
        <f t="shared" si="156"/>
        <v>邻孤孤</v>
      </c>
    </row>
    <row r="298" spans="1:88">
      <c r="A298" s="32">
        <v>2025073</v>
      </c>
      <c r="B298" s="8" t="s">
        <v>194</v>
      </c>
      <c r="C298" s="49">
        <f t="shared" si="160"/>
        <v>22</v>
      </c>
      <c r="D298" s="50">
        <f t="shared" si="161"/>
        <v>2</v>
      </c>
      <c r="E298" s="51">
        <f t="shared" si="142"/>
        <v>7.3333333333333304</v>
      </c>
      <c r="F298" s="52">
        <f>MAX(MID(B298,{1,2,3},1)*1)-MIN(MID(B298,{1,2,3},1)*1)</f>
        <v>1</v>
      </c>
      <c r="G298" s="104">
        <v>0</v>
      </c>
      <c r="H298" s="104">
        <v>1</v>
      </c>
      <c r="I298" s="104">
        <v>2</v>
      </c>
      <c r="J298" s="104">
        <v>3</v>
      </c>
      <c r="K298" s="104">
        <v>4</v>
      </c>
      <c r="L298" s="104">
        <v>5</v>
      </c>
      <c r="M298" s="104">
        <v>6</v>
      </c>
      <c r="N298" s="104">
        <v>7</v>
      </c>
      <c r="O298" s="104">
        <v>8</v>
      </c>
      <c r="P298" s="104">
        <v>9</v>
      </c>
      <c r="Q298" s="53">
        <f t="shared" si="162"/>
        <v>0</v>
      </c>
      <c r="R298" s="53">
        <f t="shared" si="163"/>
        <v>1</v>
      </c>
      <c r="S298" s="53">
        <f t="shared" si="164"/>
        <v>1</v>
      </c>
      <c r="T298" s="101">
        <f t="shared" si="143"/>
        <v>2</v>
      </c>
      <c r="U298" s="15" t="str">
        <f>_xlfn.TEXTJOIN(", ",TRUE,ABS(MID(B298,{1,1,2},1)-MID(B298,{2,3,3},1)))</f>
        <v>0, 1, 1</v>
      </c>
      <c r="V298" s="54">
        <v>0</v>
      </c>
      <c r="W298" s="54">
        <v>1</v>
      </c>
      <c r="X298" s="54">
        <v>2</v>
      </c>
      <c r="Y298" s="54">
        <v>3</v>
      </c>
      <c r="Z298" s="54">
        <v>4</v>
      </c>
      <c r="AA298" s="54">
        <v>5</v>
      </c>
      <c r="AB298" s="54">
        <v>6</v>
      </c>
      <c r="AC298" s="54">
        <v>7</v>
      </c>
      <c r="AD298" s="54">
        <v>8</v>
      </c>
      <c r="AE298" s="54">
        <v>9</v>
      </c>
      <c r="AF298" s="55">
        <v>0</v>
      </c>
      <c r="AG298" s="55">
        <v>1</v>
      </c>
      <c r="AH298" s="55">
        <v>2</v>
      </c>
      <c r="AI298" s="55">
        <v>3</v>
      </c>
      <c r="AJ298" s="55">
        <v>4</v>
      </c>
      <c r="AK298" s="55">
        <v>5</v>
      </c>
      <c r="AL298" s="55">
        <v>6</v>
      </c>
      <c r="AM298" s="55">
        <v>7</v>
      </c>
      <c r="AN298" s="55">
        <v>8</v>
      </c>
      <c r="AO298" s="55">
        <v>9</v>
      </c>
      <c r="AP298" s="105">
        <v>0</v>
      </c>
      <c r="AQ298" s="105">
        <v>1</v>
      </c>
      <c r="AR298" s="105">
        <v>2</v>
      </c>
      <c r="AS298" s="105">
        <v>3</v>
      </c>
      <c r="AT298" s="105">
        <v>4</v>
      </c>
      <c r="AU298" s="105">
        <v>5</v>
      </c>
      <c r="AV298" s="105">
        <v>6</v>
      </c>
      <c r="AW298" s="105">
        <v>7</v>
      </c>
      <c r="AX298" s="105">
        <v>8</v>
      </c>
      <c r="AY298" s="105">
        <v>9</v>
      </c>
      <c r="AZ298" s="56">
        <v>0</v>
      </c>
      <c r="BA298" s="56">
        <v>1</v>
      </c>
      <c r="BB298" s="56">
        <v>2</v>
      </c>
      <c r="BC298" s="56">
        <v>3</v>
      </c>
      <c r="BD298" s="56">
        <v>4</v>
      </c>
      <c r="BE298" s="56">
        <v>5</v>
      </c>
      <c r="BF298" s="56">
        <v>6</v>
      </c>
      <c r="BG298" s="56">
        <v>7</v>
      </c>
      <c r="BH298" s="56">
        <v>8</v>
      </c>
      <c r="BI298" s="56">
        <v>9</v>
      </c>
      <c r="BJ298" s="57" t="str">
        <f t="shared" si="144"/>
        <v>紧凑型</v>
      </c>
      <c r="BK298" s="13">
        <f t="shared" si="140"/>
        <v>0</v>
      </c>
      <c r="BL298" s="13">
        <f t="shared" si="141"/>
        <v>1</v>
      </c>
      <c r="BM298" s="18">
        <f t="shared" si="146"/>
        <v>0</v>
      </c>
      <c r="BN298" s="19">
        <f t="shared" si="147"/>
        <v>0</v>
      </c>
      <c r="BO298" s="19" t="str">
        <f t="array" ref="BO298">_xlfn.TEXTJOIN("",TRUE,IF(ISERROR(FIND(ROW($1:$10)-1,BM298&amp;BN298)),ROW($1:$10)-1,""))</f>
        <v>123456789</v>
      </c>
      <c r="BP298" s="20" t="str">
        <f t="shared" si="148"/>
        <v>复隔中</v>
      </c>
      <c r="BQ298" s="21" t="str">
        <f t="shared" si="159"/>
        <v/>
      </c>
      <c r="BR298" s="21">
        <f t="shared" si="157"/>
        <v>1</v>
      </c>
      <c r="BS298" s="21" t="str">
        <f t="array" ref="BS298">_xlfn.TEXTJOIN("",TRUE,IF(ISERROR(FIND(ROW($1:$10)-1,BQ298&amp;BR298)),ROW($1:$10)-1,""))</f>
        <v>023456789</v>
      </c>
      <c r="BT298" s="20" t="str">
        <f t="shared" si="149"/>
        <v>中隔中</v>
      </c>
      <c r="BU298" s="22" t="str">
        <f t="shared" si="150"/>
        <v/>
      </c>
      <c r="BV298" s="22">
        <f t="shared" si="158"/>
        <v>1</v>
      </c>
      <c r="BW298" s="22" t="str">
        <f t="array" ref="BW298">_xlfn.TEXTJOIN("",TRUE,IF(ISERROR(FIND(ROW($1:$10)-1,BU298&amp;BV298)),ROW($1:$10)-1,""))</f>
        <v>023456789</v>
      </c>
      <c r="BX298" s="20" t="str">
        <f t="shared" si="151"/>
        <v>中隔中</v>
      </c>
      <c r="BY298" s="23" t="str">
        <f t="shared" si="145"/>
        <v>91</v>
      </c>
      <c r="BZ298" s="24" t="str">
        <f t="array" ref="BZ298">_xlfn.TEXTJOIN("",TRUE,IF(ISNUMBER(FIND(MID(BY297&amp;Q297,ROW($1:$4),1),BY298&amp;Q298)),MID(BY297&amp;Q297,ROW($1:$4),1),""))</f>
        <v/>
      </c>
      <c r="CA298" s="25" t="str">
        <f t="array" ref="CA298">_xlfn.TEXTJOIN("",TRUE,IF(ISERROR(FIND(ROW($1:$10)-1,BY298&amp;BZ298)),ROW($1:$10)-1,""))</f>
        <v>02345678</v>
      </c>
      <c r="CB298" s="26" t="str">
        <f t="shared" si="152"/>
        <v>邻孤孤</v>
      </c>
      <c r="CC298" s="27" t="str">
        <f t="shared" si="153"/>
        <v>02</v>
      </c>
      <c r="CD298" s="27" t="str">
        <f t="array" ref="CD298">_xlfn.TEXTJOIN("",TRUE,IF(ISNUMBER(FIND(MID(CC297&amp;R297,ROW($1:$4),1),CC298&amp;R298)),MID(CC297&amp;R297,ROW($1:$4),1),""))</f>
        <v>10</v>
      </c>
      <c r="CE298" s="27" t="str">
        <f t="array" ref="CE298">_xlfn.TEXTJOIN("",TRUE,IF(ISERROR(FIND(ROW($1:$10)-1,CC298&amp;CD298)),ROW($1:$10)-1,""))</f>
        <v>3456789</v>
      </c>
      <c r="CF298" s="17" t="str">
        <f t="shared" si="154"/>
        <v>邻传孤</v>
      </c>
      <c r="CG298" s="22" t="str">
        <f t="shared" si="155"/>
        <v>02</v>
      </c>
      <c r="CH298" s="22" t="str">
        <f t="array" ref="CH298">_xlfn.TEXTJOIN("",TRUE,IF(ISNUMBER(FIND(MID(CG297&amp;S297,ROW($1:$4),1),CG298&amp;S298)),MID(CG297&amp;S297,ROW($1:$4),1),""))</f>
        <v/>
      </c>
      <c r="CI298" s="22" t="str">
        <f t="array" ref="CI298">_xlfn.TEXTJOIN("",TRUE,IF(ISERROR(FIND(ROW($1:$10)-1,CG298&amp;CH298)),ROW($1:$10)-1,""))</f>
        <v>13456789</v>
      </c>
      <c r="CJ298" s="28" t="str">
        <f t="shared" si="156"/>
        <v>邻孤孤</v>
      </c>
    </row>
    <row r="299" spans="1:88">
      <c r="A299" s="32">
        <v>2025074</v>
      </c>
      <c r="B299" s="8" t="s">
        <v>161</v>
      </c>
      <c r="C299" s="49">
        <f t="shared" si="160"/>
        <v>14</v>
      </c>
      <c r="D299" s="50">
        <f t="shared" si="161"/>
        <v>4</v>
      </c>
      <c r="E299" s="51">
        <f t="shared" si="142"/>
        <v>4.6666666666666696</v>
      </c>
      <c r="F299" s="52">
        <f>MAX(MID(B299,{1,2,3},1)*1)-MIN(MID(B299,{1,2,3},1)*1)</f>
        <v>8</v>
      </c>
      <c r="G299" s="104">
        <v>0</v>
      </c>
      <c r="H299" s="104">
        <v>1</v>
      </c>
      <c r="I299" s="104">
        <v>2</v>
      </c>
      <c r="J299" s="104">
        <v>3</v>
      </c>
      <c r="K299" s="104">
        <v>4</v>
      </c>
      <c r="L299" s="104">
        <v>5</v>
      </c>
      <c r="M299" s="104">
        <v>6</v>
      </c>
      <c r="N299" s="104">
        <v>7</v>
      </c>
      <c r="O299" s="104">
        <v>8</v>
      </c>
      <c r="P299" s="104">
        <v>9</v>
      </c>
      <c r="Q299" s="53">
        <f t="shared" si="162"/>
        <v>3</v>
      </c>
      <c r="R299" s="53">
        <f t="shared" si="163"/>
        <v>5</v>
      </c>
      <c r="S299" s="53">
        <f t="shared" si="164"/>
        <v>8</v>
      </c>
      <c r="T299" s="101">
        <f t="shared" si="143"/>
        <v>16</v>
      </c>
      <c r="U299" s="15" t="str">
        <f>_xlfn.TEXTJOIN(", ",TRUE,ABS(MID(B299,{1,1,2},1)-MID(B299,{2,3,3},1)))</f>
        <v>3, 5, 8</v>
      </c>
      <c r="V299" s="54">
        <v>0</v>
      </c>
      <c r="W299" s="54">
        <v>1</v>
      </c>
      <c r="X299" s="54">
        <v>2</v>
      </c>
      <c r="Y299" s="54">
        <v>3</v>
      </c>
      <c r="Z299" s="54">
        <v>4</v>
      </c>
      <c r="AA299" s="54">
        <v>5</v>
      </c>
      <c r="AB299" s="54">
        <v>6</v>
      </c>
      <c r="AC299" s="54">
        <v>7</v>
      </c>
      <c r="AD299" s="54">
        <v>8</v>
      </c>
      <c r="AE299" s="54">
        <v>9</v>
      </c>
      <c r="AF299" s="55">
        <v>0</v>
      </c>
      <c r="AG299" s="55">
        <v>1</v>
      </c>
      <c r="AH299" s="55">
        <v>2</v>
      </c>
      <c r="AI299" s="55">
        <v>3</v>
      </c>
      <c r="AJ299" s="55">
        <v>4</v>
      </c>
      <c r="AK299" s="55">
        <v>5</v>
      </c>
      <c r="AL299" s="55">
        <v>6</v>
      </c>
      <c r="AM299" s="55">
        <v>7</v>
      </c>
      <c r="AN299" s="55">
        <v>8</v>
      </c>
      <c r="AO299" s="55">
        <v>9</v>
      </c>
      <c r="AP299" s="105">
        <v>0</v>
      </c>
      <c r="AQ299" s="105">
        <v>1</v>
      </c>
      <c r="AR299" s="105">
        <v>2</v>
      </c>
      <c r="AS299" s="105">
        <v>3</v>
      </c>
      <c r="AT299" s="105">
        <v>4</v>
      </c>
      <c r="AU299" s="105">
        <v>5</v>
      </c>
      <c r="AV299" s="105">
        <v>6</v>
      </c>
      <c r="AW299" s="105">
        <v>7</v>
      </c>
      <c r="AX299" s="105">
        <v>8</v>
      </c>
      <c r="AY299" s="105">
        <v>9</v>
      </c>
      <c r="AZ299" s="56">
        <v>0</v>
      </c>
      <c r="BA299" s="56">
        <v>1</v>
      </c>
      <c r="BB299" s="56">
        <v>2</v>
      </c>
      <c r="BC299" s="56">
        <v>3</v>
      </c>
      <c r="BD299" s="56">
        <v>4</v>
      </c>
      <c r="BE299" s="56">
        <v>5</v>
      </c>
      <c r="BF299" s="56">
        <v>6</v>
      </c>
      <c r="BG299" s="56">
        <v>7</v>
      </c>
      <c r="BH299" s="56">
        <v>8</v>
      </c>
      <c r="BI299" s="56">
        <v>9</v>
      </c>
      <c r="BJ299" s="57" t="str">
        <f t="shared" si="144"/>
        <v>松散型</v>
      </c>
      <c r="BK299" s="13">
        <f t="shared" si="140"/>
        <v>3</v>
      </c>
      <c r="BL299" s="13">
        <f t="shared" si="141"/>
        <v>8</v>
      </c>
      <c r="BM299" s="18" t="str">
        <f t="shared" si="146"/>
        <v/>
      </c>
      <c r="BN299" s="19" t="str">
        <f t="shared" si="147"/>
        <v/>
      </c>
      <c r="BO299" s="19" t="str">
        <f t="array" ref="BO299">_xlfn.TEXTJOIN("",TRUE,IF(ISERROR(FIND(ROW($1:$10)-1,BM299&amp;BN299)),ROW($1:$10)-1,""))</f>
        <v>0123456789</v>
      </c>
      <c r="BP299" s="20" t="str">
        <f t="shared" si="148"/>
        <v>中中中</v>
      </c>
      <c r="BQ299" s="21" t="str">
        <f t="shared" si="159"/>
        <v/>
      </c>
      <c r="BR299" s="21">
        <f t="shared" si="157"/>
        <v>5</v>
      </c>
      <c r="BS299" s="21" t="str">
        <f t="array" ref="BS299">_xlfn.TEXTJOIN("",TRUE,IF(ISERROR(FIND(ROW($1:$10)-1,BQ299&amp;BR299)),ROW($1:$10)-1,""))</f>
        <v>012346789</v>
      </c>
      <c r="BT299" s="20" t="str">
        <f t="shared" si="149"/>
        <v>中隔中</v>
      </c>
      <c r="BU299" s="22" t="str">
        <f t="shared" si="150"/>
        <v/>
      </c>
      <c r="BV299" s="22" t="str">
        <f t="shared" si="158"/>
        <v/>
      </c>
      <c r="BW299" s="22" t="str">
        <f t="array" ref="BW299">_xlfn.TEXTJOIN("",TRUE,IF(ISERROR(FIND(ROW($1:$10)-1,BU299&amp;BV299)),ROW($1:$10)-1,""))</f>
        <v>0123456789</v>
      </c>
      <c r="BX299" s="20" t="str">
        <f t="shared" si="151"/>
        <v>中中中</v>
      </c>
      <c r="BY299" s="23" t="str">
        <f t="shared" si="145"/>
        <v>24</v>
      </c>
      <c r="BZ299" s="24" t="str">
        <f t="array" ref="BZ299">_xlfn.TEXTJOIN("",TRUE,IF(ISNUMBER(FIND(MID(BY298&amp;Q298,ROW($1:$4),1),BY299&amp;Q299)),MID(BY298&amp;Q298,ROW($1:$4),1),""))</f>
        <v/>
      </c>
      <c r="CA299" s="25" t="str">
        <f t="array" ref="CA299">_xlfn.TEXTJOIN("",TRUE,IF(ISERROR(FIND(ROW($1:$10)-1,BY299&amp;BZ299)),ROW($1:$10)-1,""))</f>
        <v>01356789</v>
      </c>
      <c r="CB299" s="26" t="str">
        <f t="shared" si="152"/>
        <v>邻孤孤</v>
      </c>
      <c r="CC299" s="27" t="str">
        <f t="shared" si="153"/>
        <v>46</v>
      </c>
      <c r="CD299" s="27" t="str">
        <f t="array" ref="CD299">_xlfn.TEXTJOIN("",TRUE,IF(ISNUMBER(FIND(MID(CC298&amp;R298,ROW($1:$4),1),CC299&amp;R299)),MID(CC298&amp;R298,ROW($1:$4),1),""))</f>
        <v/>
      </c>
      <c r="CE299" s="27" t="str">
        <f t="array" ref="CE299">_xlfn.TEXTJOIN("",TRUE,IF(ISERROR(FIND(ROW($1:$10)-1,CC299&amp;CD299)),ROW($1:$10)-1,""))</f>
        <v>01235789</v>
      </c>
      <c r="CF299" s="17" t="str">
        <f t="shared" si="154"/>
        <v>邻孤孤</v>
      </c>
      <c r="CG299" s="22" t="str">
        <f t="shared" si="155"/>
        <v>79</v>
      </c>
      <c r="CH299" s="22" t="str">
        <f t="array" ref="CH299">_xlfn.TEXTJOIN("",TRUE,IF(ISNUMBER(FIND(MID(CG298&amp;S298,ROW($1:$4),1),CG299&amp;S299)),MID(CG298&amp;S298,ROW($1:$4),1),""))</f>
        <v/>
      </c>
      <c r="CI299" s="22" t="str">
        <f t="array" ref="CI299">_xlfn.TEXTJOIN("",TRUE,IF(ISERROR(FIND(ROW($1:$10)-1,CG299&amp;CH299)),ROW($1:$10)-1,""))</f>
        <v>01234568</v>
      </c>
      <c r="CJ299" s="28" t="str">
        <f t="shared" si="156"/>
        <v>邻孤孤</v>
      </c>
    </row>
    <row r="300" spans="1:88">
      <c r="A300" s="32">
        <v>2025075</v>
      </c>
      <c r="B300" s="8" t="s">
        <v>269</v>
      </c>
      <c r="C300" s="49">
        <f t="shared" si="160"/>
        <v>16</v>
      </c>
      <c r="D300" s="50">
        <f t="shared" si="161"/>
        <v>6</v>
      </c>
      <c r="E300" s="51">
        <f t="shared" si="142"/>
        <v>5.3333333333333304</v>
      </c>
      <c r="F300" s="52">
        <f>MAX(MID(B300,{1,2,3},1)*1)-MIN(MID(B300,{1,2,3},1)*1)</f>
        <v>9</v>
      </c>
      <c r="G300" s="104">
        <v>0</v>
      </c>
      <c r="H300" s="104">
        <v>1</v>
      </c>
      <c r="I300" s="104">
        <v>2</v>
      </c>
      <c r="J300" s="104">
        <v>3</v>
      </c>
      <c r="K300" s="104">
        <v>4</v>
      </c>
      <c r="L300" s="104">
        <v>5</v>
      </c>
      <c r="M300" s="104">
        <v>6</v>
      </c>
      <c r="N300" s="104">
        <v>7</v>
      </c>
      <c r="O300" s="104">
        <v>8</v>
      </c>
      <c r="P300" s="104">
        <v>9</v>
      </c>
      <c r="Q300" s="53">
        <f t="shared" si="162"/>
        <v>7</v>
      </c>
      <c r="R300" s="53">
        <f t="shared" si="163"/>
        <v>2</v>
      </c>
      <c r="S300" s="53">
        <f t="shared" si="164"/>
        <v>9</v>
      </c>
      <c r="T300" s="101">
        <f t="shared" si="143"/>
        <v>18</v>
      </c>
      <c r="U300" s="15" t="str">
        <f>_xlfn.TEXTJOIN(", ",TRUE,ABS(MID(B300,{1,1,2},1)-MID(B300,{2,3,3},1)))</f>
        <v>7, 2, 9</v>
      </c>
      <c r="V300" s="54">
        <v>0</v>
      </c>
      <c r="W300" s="54">
        <v>1</v>
      </c>
      <c r="X300" s="54">
        <v>2</v>
      </c>
      <c r="Y300" s="54">
        <v>3</v>
      </c>
      <c r="Z300" s="54">
        <v>4</v>
      </c>
      <c r="AA300" s="54">
        <v>5</v>
      </c>
      <c r="AB300" s="54">
        <v>6</v>
      </c>
      <c r="AC300" s="54">
        <v>7</v>
      </c>
      <c r="AD300" s="54">
        <v>8</v>
      </c>
      <c r="AE300" s="54">
        <v>9</v>
      </c>
      <c r="AF300" s="55">
        <v>0</v>
      </c>
      <c r="AG300" s="55">
        <v>1</v>
      </c>
      <c r="AH300" s="55">
        <v>2</v>
      </c>
      <c r="AI300" s="55">
        <v>3</v>
      </c>
      <c r="AJ300" s="55">
        <v>4</v>
      </c>
      <c r="AK300" s="55">
        <v>5</v>
      </c>
      <c r="AL300" s="55">
        <v>6</v>
      </c>
      <c r="AM300" s="55">
        <v>7</v>
      </c>
      <c r="AN300" s="55">
        <v>8</v>
      </c>
      <c r="AO300" s="55">
        <v>9</v>
      </c>
      <c r="AP300" s="105">
        <v>0</v>
      </c>
      <c r="AQ300" s="105">
        <v>1</v>
      </c>
      <c r="AR300" s="105">
        <v>2</v>
      </c>
      <c r="AS300" s="105">
        <v>3</v>
      </c>
      <c r="AT300" s="105">
        <v>4</v>
      </c>
      <c r="AU300" s="105">
        <v>5</v>
      </c>
      <c r="AV300" s="105">
        <v>6</v>
      </c>
      <c r="AW300" s="105">
        <v>7</v>
      </c>
      <c r="AX300" s="105">
        <v>8</v>
      </c>
      <c r="AY300" s="105">
        <v>9</v>
      </c>
      <c r="AZ300" s="56">
        <v>0</v>
      </c>
      <c r="BA300" s="56">
        <v>1</v>
      </c>
      <c r="BB300" s="56">
        <v>2</v>
      </c>
      <c r="BC300" s="56">
        <v>3</v>
      </c>
      <c r="BD300" s="56">
        <v>4</v>
      </c>
      <c r="BE300" s="56">
        <v>5</v>
      </c>
      <c r="BF300" s="56">
        <v>6</v>
      </c>
      <c r="BG300" s="56">
        <v>7</v>
      </c>
      <c r="BH300" s="56">
        <v>8</v>
      </c>
      <c r="BI300" s="56">
        <v>9</v>
      </c>
      <c r="BJ300" s="57" t="str">
        <f t="shared" si="144"/>
        <v>松散型</v>
      </c>
      <c r="BK300" s="13">
        <f t="shared" si="140"/>
        <v>2</v>
      </c>
      <c r="BL300" s="13">
        <f t="shared" si="141"/>
        <v>9</v>
      </c>
      <c r="BM300" s="18" t="str">
        <f t="shared" si="146"/>
        <v/>
      </c>
      <c r="BN300" s="19" t="str">
        <f t="shared" si="147"/>
        <v/>
      </c>
      <c r="BO300" s="19" t="str">
        <f t="array" ref="BO300">_xlfn.TEXTJOIN("",TRUE,IF(ISERROR(FIND(ROW($1:$10)-1,BM300&amp;BN300)),ROW($1:$10)-1,""))</f>
        <v>0123456789</v>
      </c>
      <c r="BP300" s="20" t="str">
        <f t="shared" si="148"/>
        <v>中中中</v>
      </c>
      <c r="BQ300" s="21" t="str">
        <f t="shared" si="159"/>
        <v/>
      </c>
      <c r="BR300" s="21" t="str">
        <f t="shared" si="157"/>
        <v/>
      </c>
      <c r="BS300" s="21" t="str">
        <f t="array" ref="BS300">_xlfn.TEXTJOIN("",TRUE,IF(ISERROR(FIND(ROW($1:$10)-1,BQ300&amp;BR300)),ROW($1:$10)-1,""))</f>
        <v>0123456789</v>
      </c>
      <c r="BT300" s="20" t="str">
        <f t="shared" si="149"/>
        <v>中中中</v>
      </c>
      <c r="BU300" s="22" t="str">
        <f t="shared" si="150"/>
        <v/>
      </c>
      <c r="BV300" s="22" t="str">
        <f t="shared" si="158"/>
        <v/>
      </c>
      <c r="BW300" s="22" t="str">
        <f t="array" ref="BW300">_xlfn.TEXTJOIN("",TRUE,IF(ISERROR(FIND(ROW($1:$10)-1,BU300&amp;BV300)),ROW($1:$10)-1,""))</f>
        <v>0123456789</v>
      </c>
      <c r="BX300" s="20" t="str">
        <f t="shared" si="151"/>
        <v>中中中</v>
      </c>
      <c r="BY300" s="23" t="str">
        <f t="shared" si="145"/>
        <v>68</v>
      </c>
      <c r="BZ300" s="24" t="str">
        <f t="array" ref="BZ300">_xlfn.TEXTJOIN("",TRUE,IF(ISNUMBER(FIND(MID(BY299&amp;Q299,ROW($1:$4),1),BY300&amp;Q300)),MID(BY299&amp;Q299,ROW($1:$4),1),""))</f>
        <v/>
      </c>
      <c r="CA300" s="25" t="str">
        <f t="array" ref="CA300">_xlfn.TEXTJOIN("",TRUE,IF(ISERROR(FIND(ROW($1:$10)-1,BY300&amp;BZ300)),ROW($1:$10)-1,""))</f>
        <v>01234579</v>
      </c>
      <c r="CB300" s="26" t="str">
        <f t="shared" si="152"/>
        <v>邻孤孤</v>
      </c>
      <c r="CC300" s="27" t="str">
        <f t="shared" si="153"/>
        <v>13</v>
      </c>
      <c r="CD300" s="27" t="str">
        <f t="array" ref="CD300">_xlfn.TEXTJOIN("",TRUE,IF(ISNUMBER(FIND(MID(CC299&amp;R299,ROW($1:$4),1),CC300&amp;R300)),MID(CC299&amp;R299,ROW($1:$4),1),""))</f>
        <v/>
      </c>
      <c r="CE300" s="27" t="str">
        <f t="array" ref="CE300">_xlfn.TEXTJOIN("",TRUE,IF(ISERROR(FIND(ROW($1:$10)-1,CC300&amp;CD300)),ROW($1:$10)-1,""))</f>
        <v>02456789</v>
      </c>
      <c r="CF300" s="17" t="str">
        <f t="shared" si="154"/>
        <v>邻孤孤</v>
      </c>
      <c r="CG300" s="22" t="str">
        <f t="shared" si="155"/>
        <v>80</v>
      </c>
      <c r="CH300" s="22" t="str">
        <f t="array" ref="CH300">_xlfn.TEXTJOIN("",TRUE,IF(ISNUMBER(FIND(MID(CG299&amp;S299,ROW($1:$4),1),CG300&amp;S300)),MID(CG299&amp;S299,ROW($1:$4),1),""))</f>
        <v>98</v>
      </c>
      <c r="CI300" s="22" t="str">
        <f t="array" ref="CI300">_xlfn.TEXTJOIN("",TRUE,IF(ISERROR(FIND(ROW($1:$10)-1,CG300&amp;CH300)),ROW($1:$10)-1,""))</f>
        <v>1234567</v>
      </c>
      <c r="CJ300" s="28" t="str">
        <f t="shared" si="156"/>
        <v>邻传孤</v>
      </c>
    </row>
    <row r="301" spans="1:88">
      <c r="A301" s="32">
        <v>2025076</v>
      </c>
      <c r="B301" s="8" t="s">
        <v>270</v>
      </c>
      <c r="C301" s="49">
        <f t="shared" si="160"/>
        <v>16</v>
      </c>
      <c r="D301" s="50">
        <f t="shared" si="161"/>
        <v>6</v>
      </c>
      <c r="E301" s="51">
        <f t="shared" si="142"/>
        <v>5.3333333333333304</v>
      </c>
      <c r="F301" s="52">
        <f>MAX(MID(B301,{1,2,3},1)*1)-MIN(MID(B301,{1,2,3},1)*1)</f>
        <v>7</v>
      </c>
      <c r="G301" s="104">
        <v>0</v>
      </c>
      <c r="H301" s="104">
        <v>1</v>
      </c>
      <c r="I301" s="104">
        <v>2</v>
      </c>
      <c r="J301" s="104">
        <v>3</v>
      </c>
      <c r="K301" s="104">
        <v>4</v>
      </c>
      <c r="L301" s="104">
        <v>5</v>
      </c>
      <c r="M301" s="104">
        <v>6</v>
      </c>
      <c r="N301" s="104">
        <v>7</v>
      </c>
      <c r="O301" s="104">
        <v>8</v>
      </c>
      <c r="P301" s="104">
        <v>9</v>
      </c>
      <c r="Q301" s="53">
        <f t="shared" si="162"/>
        <v>1</v>
      </c>
      <c r="R301" s="53">
        <f t="shared" si="163"/>
        <v>6</v>
      </c>
      <c r="S301" s="53">
        <f t="shared" si="164"/>
        <v>7</v>
      </c>
      <c r="T301" s="101">
        <f t="shared" si="143"/>
        <v>14</v>
      </c>
      <c r="U301" s="15" t="str">
        <f>_xlfn.TEXTJOIN(", ",TRUE,ABS(MID(B301,{1,1,2},1)-MID(B301,{2,3,3},1)))</f>
        <v>1, 6, 7</v>
      </c>
      <c r="V301" s="54">
        <v>0</v>
      </c>
      <c r="W301" s="54">
        <v>1</v>
      </c>
      <c r="X301" s="54">
        <v>2</v>
      </c>
      <c r="Y301" s="54">
        <v>3</v>
      </c>
      <c r="Z301" s="54">
        <v>4</v>
      </c>
      <c r="AA301" s="54">
        <v>5</v>
      </c>
      <c r="AB301" s="54">
        <v>6</v>
      </c>
      <c r="AC301" s="54">
        <v>7</v>
      </c>
      <c r="AD301" s="54">
        <v>8</v>
      </c>
      <c r="AE301" s="54">
        <v>9</v>
      </c>
      <c r="AF301" s="55">
        <v>0</v>
      </c>
      <c r="AG301" s="55">
        <v>1</v>
      </c>
      <c r="AH301" s="55">
        <v>2</v>
      </c>
      <c r="AI301" s="55">
        <v>3</v>
      </c>
      <c r="AJ301" s="55">
        <v>4</v>
      </c>
      <c r="AK301" s="55">
        <v>5</v>
      </c>
      <c r="AL301" s="55">
        <v>6</v>
      </c>
      <c r="AM301" s="55">
        <v>7</v>
      </c>
      <c r="AN301" s="55">
        <v>8</v>
      </c>
      <c r="AO301" s="55">
        <v>9</v>
      </c>
      <c r="AP301" s="105">
        <v>0</v>
      </c>
      <c r="AQ301" s="105">
        <v>1</v>
      </c>
      <c r="AR301" s="105">
        <v>2</v>
      </c>
      <c r="AS301" s="105">
        <v>3</v>
      </c>
      <c r="AT301" s="105">
        <v>4</v>
      </c>
      <c r="AU301" s="105">
        <v>5</v>
      </c>
      <c r="AV301" s="105">
        <v>6</v>
      </c>
      <c r="AW301" s="105">
        <v>7</v>
      </c>
      <c r="AX301" s="105">
        <v>8</v>
      </c>
      <c r="AY301" s="105">
        <v>9</v>
      </c>
      <c r="AZ301" s="56">
        <v>0</v>
      </c>
      <c r="BA301" s="56">
        <v>1</v>
      </c>
      <c r="BB301" s="56">
        <v>2</v>
      </c>
      <c r="BC301" s="56">
        <v>3</v>
      </c>
      <c r="BD301" s="56">
        <v>4</v>
      </c>
      <c r="BE301" s="56">
        <v>5</v>
      </c>
      <c r="BF301" s="56">
        <v>6</v>
      </c>
      <c r="BG301" s="56">
        <v>7</v>
      </c>
      <c r="BH301" s="56">
        <v>8</v>
      </c>
      <c r="BI301" s="56">
        <v>9</v>
      </c>
      <c r="BJ301" s="57" t="str">
        <f t="shared" si="144"/>
        <v>松散型</v>
      </c>
      <c r="BK301" s="13">
        <f t="shared" si="140"/>
        <v>1</v>
      </c>
      <c r="BL301" s="13">
        <f t="shared" si="141"/>
        <v>7</v>
      </c>
      <c r="BM301" s="18" t="str">
        <f t="shared" si="146"/>
        <v/>
      </c>
      <c r="BN301" s="19" t="str">
        <f t="shared" si="147"/>
        <v/>
      </c>
      <c r="BO301" s="19" t="str">
        <f t="array" ref="BO301">_xlfn.TEXTJOIN("",TRUE,IF(ISERROR(FIND(ROW($1:$10)-1,BM301&amp;BN301)),ROW($1:$10)-1,""))</f>
        <v>0123456789</v>
      </c>
      <c r="BP301" s="20" t="str">
        <f t="shared" si="148"/>
        <v>中中中</v>
      </c>
      <c r="BQ301" s="21" t="str">
        <f t="shared" si="159"/>
        <v/>
      </c>
      <c r="BR301" s="21" t="str">
        <f t="shared" si="157"/>
        <v/>
      </c>
      <c r="BS301" s="21" t="str">
        <f t="array" ref="BS301">_xlfn.TEXTJOIN("",TRUE,IF(ISERROR(FIND(ROW($1:$10)-1,BQ301&amp;BR301)),ROW($1:$10)-1,""))</f>
        <v>0123456789</v>
      </c>
      <c r="BT301" s="20" t="str">
        <f t="shared" si="149"/>
        <v>中中中</v>
      </c>
      <c r="BU301" s="22">
        <f t="shared" si="150"/>
        <v>7</v>
      </c>
      <c r="BV301" s="22" t="str">
        <f t="shared" si="158"/>
        <v/>
      </c>
      <c r="BW301" s="22" t="str">
        <f t="array" ref="BW301">_xlfn.TEXTJOIN("",TRUE,IF(ISERROR(FIND(ROW($1:$10)-1,BU301&amp;BV301)),ROW($1:$10)-1,""))</f>
        <v>012345689</v>
      </c>
      <c r="BX301" s="20" t="str">
        <f t="shared" si="151"/>
        <v>复中中</v>
      </c>
      <c r="BY301" s="23" t="str">
        <f t="shared" si="145"/>
        <v>02</v>
      </c>
      <c r="BZ301" s="24" t="str">
        <f t="array" ref="BZ301">_xlfn.TEXTJOIN("",TRUE,IF(ISNUMBER(FIND(MID(BY300&amp;Q300,ROW($1:$4),1),BY301&amp;Q301)),MID(BY300&amp;Q300,ROW($1:$4),1),""))</f>
        <v/>
      </c>
      <c r="CA301" s="25" t="str">
        <f t="array" ref="CA301">_xlfn.TEXTJOIN("",TRUE,IF(ISERROR(FIND(ROW($1:$10)-1,BY301&amp;BZ301)),ROW($1:$10)-1,""))</f>
        <v>13456789</v>
      </c>
      <c r="CB301" s="26" t="str">
        <f t="shared" si="152"/>
        <v>邻孤孤</v>
      </c>
      <c r="CC301" s="27" t="str">
        <f t="shared" si="153"/>
        <v>57</v>
      </c>
      <c r="CD301" s="27" t="str">
        <f t="array" ref="CD301">_xlfn.TEXTJOIN("",TRUE,IF(ISNUMBER(FIND(MID(CC300&amp;R300,ROW($1:$4),1),CC301&amp;R301)),MID(CC300&amp;R300,ROW($1:$4),1),""))</f>
        <v/>
      </c>
      <c r="CE301" s="27" t="str">
        <f t="array" ref="CE301">_xlfn.TEXTJOIN("",TRUE,IF(ISERROR(FIND(ROW($1:$10)-1,CC301&amp;CD301)),ROW($1:$10)-1,""))</f>
        <v>01234689</v>
      </c>
      <c r="CF301" s="17" t="str">
        <f t="shared" si="154"/>
        <v>邻孤孤</v>
      </c>
      <c r="CG301" s="22" t="str">
        <f t="shared" si="155"/>
        <v>68</v>
      </c>
      <c r="CH301" s="22" t="str">
        <f t="array" ref="CH301">_xlfn.TEXTJOIN("",TRUE,IF(ISNUMBER(FIND(MID(CG300&amp;S300,ROW($1:$4),1),CG301&amp;S301)),MID(CG300&amp;S300,ROW($1:$4),1),""))</f>
        <v>8</v>
      </c>
      <c r="CI301" s="22" t="str">
        <f t="array" ref="CI301">_xlfn.TEXTJOIN("",TRUE,IF(ISERROR(FIND(ROW($1:$10)-1,CG301&amp;CH301)),ROW($1:$10)-1,""))</f>
        <v>01234579</v>
      </c>
      <c r="CJ301" s="28" t="str">
        <f t="shared" si="156"/>
        <v>邻传孤</v>
      </c>
    </row>
    <row r="302" spans="1:88">
      <c r="A302" s="32">
        <v>2025077</v>
      </c>
      <c r="B302" s="8" t="s">
        <v>271</v>
      </c>
      <c r="C302" s="49">
        <f t="shared" si="160"/>
        <v>13</v>
      </c>
      <c r="D302" s="50">
        <f t="shared" si="161"/>
        <v>3</v>
      </c>
      <c r="E302" s="51">
        <f t="shared" si="142"/>
        <v>4.3333333333333304</v>
      </c>
      <c r="F302" s="52">
        <f>MAX(MID(B302,{1,2,3},1)*1)-MIN(MID(B302,{1,2,3},1)*1)</f>
        <v>4</v>
      </c>
      <c r="G302" s="104">
        <v>0</v>
      </c>
      <c r="H302" s="104">
        <v>1</v>
      </c>
      <c r="I302" s="104">
        <v>2</v>
      </c>
      <c r="J302" s="104">
        <v>3</v>
      </c>
      <c r="K302" s="104">
        <v>4</v>
      </c>
      <c r="L302" s="104">
        <v>5</v>
      </c>
      <c r="M302" s="104">
        <v>6</v>
      </c>
      <c r="N302" s="104">
        <v>7</v>
      </c>
      <c r="O302" s="104">
        <v>8</v>
      </c>
      <c r="P302" s="104">
        <v>9</v>
      </c>
      <c r="Q302" s="53">
        <f t="shared" si="162"/>
        <v>4</v>
      </c>
      <c r="R302" s="53">
        <f t="shared" si="163"/>
        <v>1</v>
      </c>
      <c r="S302" s="53">
        <f t="shared" si="164"/>
        <v>3</v>
      </c>
      <c r="T302" s="101">
        <f t="shared" si="143"/>
        <v>8</v>
      </c>
      <c r="U302" s="15" t="str">
        <f>_xlfn.TEXTJOIN(", ",TRUE,ABS(MID(B302,{1,1,2},1)-MID(B302,{2,3,3},1)))</f>
        <v>4, 1, 3</v>
      </c>
      <c r="V302" s="54">
        <v>0</v>
      </c>
      <c r="W302" s="54">
        <v>1</v>
      </c>
      <c r="X302" s="54">
        <v>2</v>
      </c>
      <c r="Y302" s="54">
        <v>3</v>
      </c>
      <c r="Z302" s="54">
        <v>4</v>
      </c>
      <c r="AA302" s="54">
        <v>5</v>
      </c>
      <c r="AB302" s="54">
        <v>6</v>
      </c>
      <c r="AC302" s="54">
        <v>7</v>
      </c>
      <c r="AD302" s="54">
        <v>8</v>
      </c>
      <c r="AE302" s="54">
        <v>9</v>
      </c>
      <c r="AF302" s="55">
        <v>0</v>
      </c>
      <c r="AG302" s="55">
        <v>1</v>
      </c>
      <c r="AH302" s="55">
        <v>2</v>
      </c>
      <c r="AI302" s="55">
        <v>3</v>
      </c>
      <c r="AJ302" s="55">
        <v>4</v>
      </c>
      <c r="AK302" s="55">
        <v>5</v>
      </c>
      <c r="AL302" s="55">
        <v>6</v>
      </c>
      <c r="AM302" s="55">
        <v>7</v>
      </c>
      <c r="AN302" s="55">
        <v>8</v>
      </c>
      <c r="AO302" s="55">
        <v>9</v>
      </c>
      <c r="AP302" s="105">
        <v>0</v>
      </c>
      <c r="AQ302" s="105">
        <v>1</v>
      </c>
      <c r="AR302" s="105">
        <v>2</v>
      </c>
      <c r="AS302" s="105">
        <v>3</v>
      </c>
      <c r="AT302" s="105">
        <v>4</v>
      </c>
      <c r="AU302" s="105">
        <v>5</v>
      </c>
      <c r="AV302" s="105">
        <v>6</v>
      </c>
      <c r="AW302" s="105">
        <v>7</v>
      </c>
      <c r="AX302" s="105">
        <v>8</v>
      </c>
      <c r="AY302" s="105">
        <v>9</v>
      </c>
      <c r="AZ302" s="56">
        <v>0</v>
      </c>
      <c r="BA302" s="56">
        <v>1</v>
      </c>
      <c r="BB302" s="56">
        <v>2</v>
      </c>
      <c r="BC302" s="56">
        <v>3</v>
      </c>
      <c r="BD302" s="56">
        <v>4</v>
      </c>
      <c r="BE302" s="56">
        <v>5</v>
      </c>
      <c r="BF302" s="56">
        <v>6</v>
      </c>
      <c r="BG302" s="56">
        <v>7</v>
      </c>
      <c r="BH302" s="56">
        <v>8</v>
      </c>
      <c r="BI302" s="56">
        <v>9</v>
      </c>
      <c r="BJ302" s="57" t="str">
        <f t="shared" si="144"/>
        <v>紧凑型</v>
      </c>
      <c r="BK302" s="13">
        <f t="shared" si="140"/>
        <v>1</v>
      </c>
      <c r="BL302" s="13">
        <f t="shared" si="141"/>
        <v>4</v>
      </c>
      <c r="BM302" s="18" t="str">
        <f t="shared" si="146"/>
        <v/>
      </c>
      <c r="BN302" s="19" t="str">
        <f t="shared" si="147"/>
        <v/>
      </c>
      <c r="BO302" s="19" t="str">
        <f t="array" ref="BO302">_xlfn.TEXTJOIN("",TRUE,IF(ISERROR(FIND(ROW($1:$10)-1,BM302&amp;BN302)),ROW($1:$10)-1,""))</f>
        <v>0123456789</v>
      </c>
      <c r="BP302" s="20" t="str">
        <f t="shared" si="148"/>
        <v>中中中</v>
      </c>
      <c r="BQ302" s="21">
        <f t="shared" si="159"/>
        <v>1</v>
      </c>
      <c r="BR302" s="21" t="str">
        <f t="shared" si="157"/>
        <v/>
      </c>
      <c r="BS302" s="21" t="str">
        <f t="array" ref="BS302">_xlfn.TEXTJOIN("",TRUE,IF(ISERROR(FIND(ROW($1:$10)-1,BQ302&amp;BR302)),ROW($1:$10)-1,""))</f>
        <v>023456789</v>
      </c>
      <c r="BT302" s="20" t="str">
        <f t="shared" si="149"/>
        <v>复中中</v>
      </c>
      <c r="BU302" s="22" t="str">
        <f t="shared" si="150"/>
        <v/>
      </c>
      <c r="BV302" s="22" t="str">
        <f t="shared" si="158"/>
        <v/>
      </c>
      <c r="BW302" s="22" t="str">
        <f t="array" ref="BW302">_xlfn.TEXTJOIN("",TRUE,IF(ISERROR(FIND(ROW($1:$10)-1,BU302&amp;BV302)),ROW($1:$10)-1,""))</f>
        <v>0123456789</v>
      </c>
      <c r="BX302" s="20" t="str">
        <f t="shared" si="151"/>
        <v>中中中</v>
      </c>
      <c r="BY302" s="23" t="str">
        <f t="shared" si="145"/>
        <v>35</v>
      </c>
      <c r="BZ302" s="24" t="str">
        <f t="array" ref="BZ302">_xlfn.TEXTJOIN("",TRUE,IF(ISNUMBER(FIND(MID(BY301&amp;Q301,ROW($1:$4),1),BY302&amp;Q302)),MID(BY301&amp;Q301,ROW($1:$4),1),""))</f>
        <v/>
      </c>
      <c r="CA302" s="25" t="str">
        <f t="array" ref="CA302">_xlfn.TEXTJOIN("",TRUE,IF(ISERROR(FIND(ROW($1:$10)-1,BY302&amp;BZ302)),ROW($1:$10)-1,""))</f>
        <v>01246789</v>
      </c>
      <c r="CB302" s="26" t="str">
        <f t="shared" si="152"/>
        <v>邻孤孤</v>
      </c>
      <c r="CC302" s="27" t="str">
        <f t="shared" si="153"/>
        <v>02</v>
      </c>
      <c r="CD302" s="27" t="str">
        <f t="array" ref="CD302">_xlfn.TEXTJOIN("",TRUE,IF(ISNUMBER(FIND(MID(CC301&amp;R301,ROW($1:$4),1),CC302&amp;R302)),MID(CC301&amp;R301,ROW($1:$4),1),""))</f>
        <v/>
      </c>
      <c r="CE302" s="27" t="str">
        <f t="array" ref="CE302">_xlfn.TEXTJOIN("",TRUE,IF(ISERROR(FIND(ROW($1:$10)-1,CC302&amp;CD302)),ROW($1:$10)-1,""))</f>
        <v>13456789</v>
      </c>
      <c r="CF302" s="17" t="str">
        <f t="shared" si="154"/>
        <v>邻孤孤</v>
      </c>
      <c r="CG302" s="22" t="str">
        <f t="shared" si="155"/>
        <v>24</v>
      </c>
      <c r="CH302" s="22" t="str">
        <f t="array" ref="CH302">_xlfn.TEXTJOIN("",TRUE,IF(ISNUMBER(FIND(MID(CG301&amp;S301,ROW($1:$4),1),CG302&amp;S302)),MID(CG301&amp;S301,ROW($1:$4),1),""))</f>
        <v/>
      </c>
      <c r="CI302" s="22" t="str">
        <f t="array" ref="CI302">_xlfn.TEXTJOIN("",TRUE,IF(ISERROR(FIND(ROW($1:$10)-1,CG302&amp;CH302)),ROW($1:$10)-1,""))</f>
        <v>01356789</v>
      </c>
      <c r="CJ302" s="28" t="str">
        <f t="shared" si="156"/>
        <v>邻孤孤</v>
      </c>
    </row>
    <row r="303" spans="1:88">
      <c r="A303" s="32">
        <v>2025078</v>
      </c>
      <c r="B303" s="8" t="s">
        <v>272</v>
      </c>
      <c r="C303" s="49">
        <f t="shared" si="160"/>
        <v>0</v>
      </c>
      <c r="D303" s="50">
        <f t="shared" si="161"/>
        <v>0</v>
      </c>
      <c r="E303" s="51">
        <f t="shared" si="142"/>
        <v>0</v>
      </c>
      <c r="F303" s="52">
        <f>MAX(MID(B303,{1,2,3},1)*1)-MIN(MID(B303,{1,2,3},1)*1)</f>
        <v>0</v>
      </c>
      <c r="G303" s="104">
        <v>0</v>
      </c>
      <c r="H303" s="104">
        <v>1</v>
      </c>
      <c r="I303" s="104">
        <v>2</v>
      </c>
      <c r="J303" s="104">
        <v>3</v>
      </c>
      <c r="K303" s="104">
        <v>4</v>
      </c>
      <c r="L303" s="104">
        <v>5</v>
      </c>
      <c r="M303" s="104">
        <v>6</v>
      </c>
      <c r="N303" s="104">
        <v>7</v>
      </c>
      <c r="O303" s="104">
        <v>8</v>
      </c>
      <c r="P303" s="104">
        <v>9</v>
      </c>
      <c r="Q303" s="53">
        <f t="shared" si="162"/>
        <v>0</v>
      </c>
      <c r="R303" s="53">
        <f t="shared" si="163"/>
        <v>0</v>
      </c>
      <c r="S303" s="53">
        <f t="shared" si="164"/>
        <v>0</v>
      </c>
      <c r="T303" s="101">
        <f t="shared" si="143"/>
        <v>0</v>
      </c>
      <c r="U303" s="15" t="str">
        <f>_xlfn.TEXTJOIN(", ",TRUE,ABS(MID(B303,{1,1,2},1)-MID(B303,{2,3,3},1)))</f>
        <v>0, 0, 0</v>
      </c>
      <c r="V303" s="54">
        <v>0</v>
      </c>
      <c r="W303" s="54">
        <v>1</v>
      </c>
      <c r="X303" s="54">
        <v>2</v>
      </c>
      <c r="Y303" s="54">
        <v>3</v>
      </c>
      <c r="Z303" s="54">
        <v>4</v>
      </c>
      <c r="AA303" s="54">
        <v>5</v>
      </c>
      <c r="AB303" s="54">
        <v>6</v>
      </c>
      <c r="AC303" s="54">
        <v>7</v>
      </c>
      <c r="AD303" s="54">
        <v>8</v>
      </c>
      <c r="AE303" s="54">
        <v>9</v>
      </c>
      <c r="AF303" s="55">
        <v>0</v>
      </c>
      <c r="AG303" s="55">
        <v>1</v>
      </c>
      <c r="AH303" s="55">
        <v>2</v>
      </c>
      <c r="AI303" s="55">
        <v>3</v>
      </c>
      <c r="AJ303" s="55">
        <v>4</v>
      </c>
      <c r="AK303" s="55">
        <v>5</v>
      </c>
      <c r="AL303" s="55">
        <v>6</v>
      </c>
      <c r="AM303" s="55">
        <v>7</v>
      </c>
      <c r="AN303" s="55">
        <v>8</v>
      </c>
      <c r="AO303" s="55">
        <v>9</v>
      </c>
      <c r="AP303" s="105">
        <v>0</v>
      </c>
      <c r="AQ303" s="105">
        <v>1</v>
      </c>
      <c r="AR303" s="105">
        <v>2</v>
      </c>
      <c r="AS303" s="105">
        <v>3</v>
      </c>
      <c r="AT303" s="105">
        <v>4</v>
      </c>
      <c r="AU303" s="105">
        <v>5</v>
      </c>
      <c r="AV303" s="105">
        <v>6</v>
      </c>
      <c r="AW303" s="105">
        <v>7</v>
      </c>
      <c r="AX303" s="105">
        <v>8</v>
      </c>
      <c r="AY303" s="105">
        <v>9</v>
      </c>
      <c r="AZ303" s="56">
        <v>0</v>
      </c>
      <c r="BA303" s="56">
        <v>1</v>
      </c>
      <c r="BB303" s="56">
        <v>2</v>
      </c>
      <c r="BC303" s="56">
        <v>3</v>
      </c>
      <c r="BD303" s="56">
        <v>4</v>
      </c>
      <c r="BE303" s="56">
        <v>5</v>
      </c>
      <c r="BF303" s="56">
        <v>6</v>
      </c>
      <c r="BG303" s="56">
        <v>7</v>
      </c>
      <c r="BH303" s="56">
        <v>8</v>
      </c>
      <c r="BI303" s="56">
        <v>9</v>
      </c>
      <c r="BJ303" s="57" t="str">
        <f t="shared" si="144"/>
        <v>紧凑型</v>
      </c>
      <c r="BK303" s="13">
        <f t="shared" si="140"/>
        <v>0</v>
      </c>
      <c r="BL303" s="13">
        <f t="shared" si="141"/>
        <v>0</v>
      </c>
      <c r="BM303" s="18" t="str">
        <f t="shared" si="146"/>
        <v/>
      </c>
      <c r="BN303" s="19" t="str">
        <f t="shared" si="147"/>
        <v/>
      </c>
      <c r="BO303" s="19" t="str">
        <f t="array" ref="BO303">_xlfn.TEXTJOIN("",TRUE,IF(ISERROR(FIND(ROW($1:$10)-1,BM303&amp;BN303)),ROW($1:$10)-1,""))</f>
        <v>0123456789</v>
      </c>
      <c r="BP303" s="20" t="str">
        <f t="shared" si="148"/>
        <v>中中中</v>
      </c>
      <c r="BQ303" s="21" t="str">
        <f t="shared" si="159"/>
        <v/>
      </c>
      <c r="BR303" s="21" t="str">
        <f t="shared" si="157"/>
        <v/>
      </c>
      <c r="BS303" s="21" t="str">
        <f t="array" ref="BS303">_xlfn.TEXTJOIN("",TRUE,IF(ISERROR(FIND(ROW($1:$10)-1,BQ303&amp;BR303)),ROW($1:$10)-1,""))</f>
        <v>0123456789</v>
      </c>
      <c r="BT303" s="20" t="str">
        <f t="shared" si="149"/>
        <v>中中中</v>
      </c>
      <c r="BU303" s="22" t="str">
        <f t="shared" si="150"/>
        <v/>
      </c>
      <c r="BV303" s="22" t="str">
        <f t="shared" si="158"/>
        <v/>
      </c>
      <c r="BW303" s="22" t="str">
        <f t="array" ref="BW303">_xlfn.TEXTJOIN("",TRUE,IF(ISERROR(FIND(ROW($1:$10)-1,BU303&amp;BV303)),ROW($1:$10)-1,""))</f>
        <v>0123456789</v>
      </c>
      <c r="BX303" s="20" t="str">
        <f t="shared" si="151"/>
        <v>中中中</v>
      </c>
      <c r="BY303" s="23" t="str">
        <f t="shared" si="145"/>
        <v>91</v>
      </c>
      <c r="BZ303" s="24" t="str">
        <f t="array" ref="BZ303">_xlfn.TEXTJOIN("",TRUE,IF(ISNUMBER(FIND(MID(BY302&amp;Q302,ROW($1:$4),1),BY303&amp;Q303)),MID(BY302&amp;Q302,ROW($1:$4),1),""))</f>
        <v/>
      </c>
      <c r="CA303" s="25" t="str">
        <f t="array" ref="CA303">_xlfn.TEXTJOIN("",TRUE,IF(ISERROR(FIND(ROW($1:$10)-1,BY303&amp;BZ303)),ROW($1:$10)-1,""))</f>
        <v>02345678</v>
      </c>
      <c r="CB303" s="26" t="str">
        <f t="shared" si="152"/>
        <v>邻孤孤</v>
      </c>
      <c r="CC303" s="27" t="str">
        <f t="shared" si="153"/>
        <v>91</v>
      </c>
      <c r="CD303" s="27" t="str">
        <f t="array" ref="CD303">_xlfn.TEXTJOIN("",TRUE,IF(ISNUMBER(FIND(MID(CC302&amp;R302,ROW($1:$4),1),CC303&amp;R303)),MID(CC302&amp;R302,ROW($1:$4),1),""))</f>
        <v>01</v>
      </c>
      <c r="CE303" s="27" t="str">
        <f t="array" ref="CE303">_xlfn.TEXTJOIN("",TRUE,IF(ISERROR(FIND(ROW($1:$10)-1,CC303&amp;CD303)),ROW($1:$10)-1,""))</f>
        <v>2345678</v>
      </c>
      <c r="CF303" s="17" t="str">
        <f t="shared" si="154"/>
        <v>邻传孤</v>
      </c>
      <c r="CG303" s="22" t="str">
        <f t="shared" si="155"/>
        <v>91</v>
      </c>
      <c r="CH303" s="22" t="str">
        <f t="array" ref="CH303">_xlfn.TEXTJOIN("",TRUE,IF(ISNUMBER(FIND(MID(CG302&amp;S302,ROW($1:$4),1),CG303&amp;S303)),MID(CG302&amp;S302,ROW($1:$4),1),""))</f>
        <v/>
      </c>
      <c r="CI303" s="22" t="str">
        <f t="array" ref="CI303">_xlfn.TEXTJOIN("",TRUE,IF(ISERROR(FIND(ROW($1:$10)-1,CG303&amp;CH303)),ROW($1:$10)-1,""))</f>
        <v>02345678</v>
      </c>
      <c r="CJ303" s="28" t="str">
        <f t="shared" si="156"/>
        <v>邻孤孤</v>
      </c>
    </row>
    <row r="304" spans="1:88">
      <c r="A304" s="32">
        <v>2025079</v>
      </c>
      <c r="B304" s="8" t="s">
        <v>215</v>
      </c>
      <c r="C304" s="49">
        <f t="shared" si="160"/>
        <v>18</v>
      </c>
      <c r="D304" s="50">
        <f t="shared" si="161"/>
        <v>8</v>
      </c>
      <c r="E304" s="51">
        <f t="shared" si="142"/>
        <v>6</v>
      </c>
      <c r="F304" s="52">
        <f>MAX(MID(B304,{1,2,3},1)*1)-MIN(MID(B304,{1,2,3},1)*1)</f>
        <v>2</v>
      </c>
      <c r="G304" s="104">
        <v>0</v>
      </c>
      <c r="H304" s="104">
        <v>1</v>
      </c>
      <c r="I304" s="104">
        <v>2</v>
      </c>
      <c r="J304" s="104">
        <v>3</v>
      </c>
      <c r="K304" s="104">
        <v>4</v>
      </c>
      <c r="L304" s="104">
        <v>5</v>
      </c>
      <c r="M304" s="104">
        <v>6</v>
      </c>
      <c r="N304" s="104">
        <v>7</v>
      </c>
      <c r="O304" s="104">
        <v>8</v>
      </c>
      <c r="P304" s="104">
        <v>9</v>
      </c>
      <c r="Q304" s="53">
        <f t="shared" si="162"/>
        <v>1</v>
      </c>
      <c r="R304" s="53">
        <f t="shared" si="163"/>
        <v>1</v>
      </c>
      <c r="S304" s="53">
        <f t="shared" si="164"/>
        <v>2</v>
      </c>
      <c r="T304" s="101">
        <f t="shared" si="143"/>
        <v>4</v>
      </c>
      <c r="U304" s="15" t="str">
        <f>_xlfn.TEXTJOIN(", ",TRUE,ABS(MID(B304,{1,1,2},1)-MID(B304,{2,3,3},1)))</f>
        <v>1, 1, 2</v>
      </c>
      <c r="V304" s="54">
        <v>0</v>
      </c>
      <c r="W304" s="54">
        <v>1</v>
      </c>
      <c r="X304" s="54">
        <v>2</v>
      </c>
      <c r="Y304" s="54">
        <v>3</v>
      </c>
      <c r="Z304" s="54">
        <v>4</v>
      </c>
      <c r="AA304" s="54">
        <v>5</v>
      </c>
      <c r="AB304" s="54">
        <v>6</v>
      </c>
      <c r="AC304" s="54">
        <v>7</v>
      </c>
      <c r="AD304" s="54">
        <v>8</v>
      </c>
      <c r="AE304" s="54">
        <v>9</v>
      </c>
      <c r="AF304" s="55">
        <v>0</v>
      </c>
      <c r="AG304" s="55">
        <v>1</v>
      </c>
      <c r="AH304" s="55">
        <v>2</v>
      </c>
      <c r="AI304" s="55">
        <v>3</v>
      </c>
      <c r="AJ304" s="55">
        <v>4</v>
      </c>
      <c r="AK304" s="55">
        <v>5</v>
      </c>
      <c r="AL304" s="55">
        <v>6</v>
      </c>
      <c r="AM304" s="55">
        <v>7</v>
      </c>
      <c r="AN304" s="55">
        <v>8</v>
      </c>
      <c r="AO304" s="55">
        <v>9</v>
      </c>
      <c r="AP304" s="105">
        <v>0</v>
      </c>
      <c r="AQ304" s="105">
        <v>1</v>
      </c>
      <c r="AR304" s="105">
        <v>2</v>
      </c>
      <c r="AS304" s="105">
        <v>3</v>
      </c>
      <c r="AT304" s="105">
        <v>4</v>
      </c>
      <c r="AU304" s="105">
        <v>5</v>
      </c>
      <c r="AV304" s="105">
        <v>6</v>
      </c>
      <c r="AW304" s="105">
        <v>7</v>
      </c>
      <c r="AX304" s="105">
        <v>8</v>
      </c>
      <c r="AY304" s="105">
        <v>9</v>
      </c>
      <c r="AZ304" s="56">
        <v>0</v>
      </c>
      <c r="BA304" s="56">
        <v>1</v>
      </c>
      <c r="BB304" s="56">
        <v>2</v>
      </c>
      <c r="BC304" s="56">
        <v>3</v>
      </c>
      <c r="BD304" s="56">
        <v>4</v>
      </c>
      <c r="BE304" s="56">
        <v>5</v>
      </c>
      <c r="BF304" s="56">
        <v>6</v>
      </c>
      <c r="BG304" s="56">
        <v>7</v>
      </c>
      <c r="BH304" s="56">
        <v>8</v>
      </c>
      <c r="BI304" s="56">
        <v>9</v>
      </c>
      <c r="BJ304" s="57" t="str">
        <f t="shared" si="144"/>
        <v>紧凑型</v>
      </c>
      <c r="BK304" s="13">
        <f t="shared" si="140"/>
        <v>1</v>
      </c>
      <c r="BL304" s="13">
        <f t="shared" si="141"/>
        <v>2</v>
      </c>
      <c r="BM304" s="18" t="str">
        <f t="shared" si="146"/>
        <v/>
      </c>
      <c r="BN304" s="19">
        <f t="shared" si="147"/>
        <v>1</v>
      </c>
      <c r="BO304" s="19" t="str">
        <f t="array" ref="BO304">_xlfn.TEXTJOIN("",TRUE,IF(ISERROR(FIND(ROW($1:$10)-1,BM304&amp;BN304)),ROW($1:$10)-1,""))</f>
        <v>023456789</v>
      </c>
      <c r="BP304" s="20" t="str">
        <f t="shared" si="148"/>
        <v>中隔中</v>
      </c>
      <c r="BQ304" s="21" t="str">
        <f t="shared" si="159"/>
        <v/>
      </c>
      <c r="BR304" s="21">
        <f t="shared" si="157"/>
        <v>1</v>
      </c>
      <c r="BS304" s="21" t="str">
        <f t="array" ref="BS304">_xlfn.TEXTJOIN("",TRUE,IF(ISERROR(FIND(ROW($1:$10)-1,BQ304&amp;BR304)),ROW($1:$10)-1,""))</f>
        <v>023456789</v>
      </c>
      <c r="BT304" s="20" t="str">
        <f t="shared" si="149"/>
        <v>中隔中</v>
      </c>
      <c r="BU304" s="22" t="str">
        <f t="shared" si="150"/>
        <v/>
      </c>
      <c r="BV304" s="22" t="str">
        <f t="shared" si="158"/>
        <v/>
      </c>
      <c r="BW304" s="22" t="str">
        <f t="array" ref="BW304">_xlfn.TEXTJOIN("",TRUE,IF(ISERROR(FIND(ROW($1:$10)-1,BU304&amp;BV304)),ROW($1:$10)-1,""))</f>
        <v>0123456789</v>
      </c>
      <c r="BX304" s="20" t="str">
        <f t="shared" si="151"/>
        <v>中中中</v>
      </c>
      <c r="BY304" s="23" t="str">
        <f t="shared" si="145"/>
        <v>02</v>
      </c>
      <c r="BZ304" s="24" t="str">
        <f t="array" ref="BZ304">_xlfn.TEXTJOIN("",TRUE,IF(ISNUMBER(FIND(MID(BY303&amp;Q303,ROW($1:$4),1),BY304&amp;Q304)),MID(BY303&amp;Q303,ROW($1:$4),1),""))</f>
        <v>10</v>
      </c>
      <c r="CA304" s="25" t="str">
        <f t="array" ref="CA304">_xlfn.TEXTJOIN("",TRUE,IF(ISERROR(FIND(ROW($1:$10)-1,BY304&amp;BZ304)),ROW($1:$10)-1,""))</f>
        <v>3456789</v>
      </c>
      <c r="CB304" s="26" t="str">
        <f t="shared" si="152"/>
        <v>邻传孤</v>
      </c>
      <c r="CC304" s="27" t="str">
        <f t="shared" si="153"/>
        <v>02</v>
      </c>
      <c r="CD304" s="27" t="str">
        <f t="array" ref="CD304">_xlfn.TEXTJOIN("",TRUE,IF(ISNUMBER(FIND(MID(CC303&amp;R303,ROW($1:$4),1),CC304&amp;R304)),MID(CC303&amp;R303,ROW($1:$4),1),""))</f>
        <v>10</v>
      </c>
      <c r="CE304" s="27" t="str">
        <f t="array" ref="CE304">_xlfn.TEXTJOIN("",TRUE,IF(ISERROR(FIND(ROW($1:$10)-1,CC304&amp;CD304)),ROW($1:$10)-1,""))</f>
        <v>3456789</v>
      </c>
      <c r="CF304" s="17" t="str">
        <f t="shared" si="154"/>
        <v>邻传孤</v>
      </c>
      <c r="CG304" s="22" t="str">
        <f t="shared" si="155"/>
        <v>13</v>
      </c>
      <c r="CH304" s="22" t="str">
        <f t="array" ref="CH304">_xlfn.TEXTJOIN("",TRUE,IF(ISNUMBER(FIND(MID(CG303&amp;S303,ROW($1:$4),1),CG304&amp;S304)),MID(CG303&amp;S303,ROW($1:$4),1),""))</f>
        <v>1</v>
      </c>
      <c r="CI304" s="22" t="str">
        <f t="array" ref="CI304">_xlfn.TEXTJOIN("",TRUE,IF(ISERROR(FIND(ROW($1:$10)-1,CG304&amp;CH304)),ROW($1:$10)-1,""))</f>
        <v>02456789</v>
      </c>
      <c r="CJ304" s="28" t="str">
        <f t="shared" si="156"/>
        <v>邻传孤</v>
      </c>
    </row>
    <row r="305" spans="1:88">
      <c r="A305" s="32">
        <v>2025080</v>
      </c>
      <c r="B305" s="8" t="s">
        <v>273</v>
      </c>
      <c r="C305" s="49">
        <f t="shared" si="160"/>
        <v>5</v>
      </c>
      <c r="D305" s="50">
        <f t="shared" si="161"/>
        <v>5</v>
      </c>
      <c r="E305" s="51">
        <f t="shared" si="142"/>
        <v>1.6666666666666701</v>
      </c>
      <c r="F305" s="52">
        <f>MAX(MID(B305,{1,2,3},1)*1)-MIN(MID(B305,{1,2,3},1)*1)</f>
        <v>5</v>
      </c>
      <c r="G305" s="104">
        <v>0</v>
      </c>
      <c r="H305" s="104">
        <v>1</v>
      </c>
      <c r="I305" s="104">
        <v>2</v>
      </c>
      <c r="J305" s="104">
        <v>3</v>
      </c>
      <c r="K305" s="104">
        <v>4</v>
      </c>
      <c r="L305" s="104">
        <v>5</v>
      </c>
      <c r="M305" s="104">
        <v>6</v>
      </c>
      <c r="N305" s="104">
        <v>7</v>
      </c>
      <c r="O305" s="104">
        <v>8</v>
      </c>
      <c r="P305" s="104">
        <v>9</v>
      </c>
      <c r="Q305" s="53">
        <f t="shared" si="162"/>
        <v>5</v>
      </c>
      <c r="R305" s="53">
        <f t="shared" si="163"/>
        <v>5</v>
      </c>
      <c r="S305" s="53">
        <f t="shared" si="164"/>
        <v>0</v>
      </c>
      <c r="T305" s="101">
        <f t="shared" si="143"/>
        <v>10</v>
      </c>
      <c r="U305" s="15" t="str">
        <f>_xlfn.TEXTJOIN(", ",TRUE,ABS(MID(B305,{1,1,2},1)-MID(B305,{2,3,3},1)))</f>
        <v>5, 5, 0</v>
      </c>
      <c r="V305" s="54">
        <v>0</v>
      </c>
      <c r="W305" s="54">
        <v>1</v>
      </c>
      <c r="X305" s="54">
        <v>2</v>
      </c>
      <c r="Y305" s="54">
        <v>3</v>
      </c>
      <c r="Z305" s="54">
        <v>4</v>
      </c>
      <c r="AA305" s="54">
        <v>5</v>
      </c>
      <c r="AB305" s="54">
        <v>6</v>
      </c>
      <c r="AC305" s="54">
        <v>7</v>
      </c>
      <c r="AD305" s="54">
        <v>8</v>
      </c>
      <c r="AE305" s="54">
        <v>9</v>
      </c>
      <c r="AF305" s="55">
        <v>0</v>
      </c>
      <c r="AG305" s="55">
        <v>1</v>
      </c>
      <c r="AH305" s="55">
        <v>2</v>
      </c>
      <c r="AI305" s="55">
        <v>3</v>
      </c>
      <c r="AJ305" s="55">
        <v>4</v>
      </c>
      <c r="AK305" s="55">
        <v>5</v>
      </c>
      <c r="AL305" s="55">
        <v>6</v>
      </c>
      <c r="AM305" s="55">
        <v>7</v>
      </c>
      <c r="AN305" s="55">
        <v>8</v>
      </c>
      <c r="AO305" s="55">
        <v>9</v>
      </c>
      <c r="AP305" s="105">
        <v>0</v>
      </c>
      <c r="AQ305" s="105">
        <v>1</v>
      </c>
      <c r="AR305" s="105">
        <v>2</v>
      </c>
      <c r="AS305" s="105">
        <v>3</v>
      </c>
      <c r="AT305" s="105">
        <v>4</v>
      </c>
      <c r="AU305" s="105">
        <v>5</v>
      </c>
      <c r="AV305" s="105">
        <v>6</v>
      </c>
      <c r="AW305" s="105">
        <v>7</v>
      </c>
      <c r="AX305" s="105">
        <v>8</v>
      </c>
      <c r="AY305" s="105">
        <v>9</v>
      </c>
      <c r="AZ305" s="56">
        <v>0</v>
      </c>
      <c r="BA305" s="56">
        <v>1</v>
      </c>
      <c r="BB305" s="56">
        <v>2</v>
      </c>
      <c r="BC305" s="56">
        <v>3</v>
      </c>
      <c r="BD305" s="56">
        <v>4</v>
      </c>
      <c r="BE305" s="56">
        <v>5</v>
      </c>
      <c r="BF305" s="56">
        <v>6</v>
      </c>
      <c r="BG305" s="56">
        <v>7</v>
      </c>
      <c r="BH305" s="56">
        <v>8</v>
      </c>
      <c r="BI305" s="56">
        <v>9</v>
      </c>
      <c r="BJ305" s="57" t="str">
        <f t="shared" si="144"/>
        <v>对子</v>
      </c>
      <c r="BK305" s="13">
        <f t="shared" si="140"/>
        <v>0</v>
      </c>
      <c r="BL305" s="13">
        <f t="shared" si="141"/>
        <v>5</v>
      </c>
      <c r="BM305" s="18" t="str">
        <f t="shared" si="146"/>
        <v/>
      </c>
      <c r="BN305" s="19" t="str">
        <f t="shared" si="147"/>
        <v/>
      </c>
      <c r="BO305" s="19" t="str">
        <f t="array" ref="BO305">_xlfn.TEXTJOIN("",TRUE,IF(ISERROR(FIND(ROW($1:$10)-1,BM305&amp;BN305)),ROW($1:$10)-1,""))</f>
        <v>0123456789</v>
      </c>
      <c r="BP305" s="20" t="str">
        <f t="shared" si="148"/>
        <v>中中中</v>
      </c>
      <c r="BQ305" s="21" t="str">
        <f t="shared" si="159"/>
        <v/>
      </c>
      <c r="BR305" s="21" t="str">
        <f t="shared" si="157"/>
        <v/>
      </c>
      <c r="BS305" s="21" t="str">
        <f t="array" ref="BS305">_xlfn.TEXTJOIN("",TRUE,IF(ISERROR(FIND(ROW($1:$10)-1,BQ305&amp;BR305)),ROW($1:$10)-1,""))</f>
        <v>0123456789</v>
      </c>
      <c r="BT305" s="20" t="str">
        <f t="shared" si="149"/>
        <v>中中中</v>
      </c>
      <c r="BU305" s="22" t="str">
        <f t="shared" si="150"/>
        <v/>
      </c>
      <c r="BV305" s="22">
        <f t="shared" si="158"/>
        <v>0</v>
      </c>
      <c r="BW305" s="22" t="str">
        <f t="array" ref="BW305">_xlfn.TEXTJOIN("",TRUE,IF(ISERROR(FIND(ROW($1:$10)-1,BU305&amp;BV305)),ROW($1:$10)-1,""))</f>
        <v>123456789</v>
      </c>
      <c r="BX305" s="20" t="str">
        <f t="shared" si="151"/>
        <v>中隔中</v>
      </c>
      <c r="BY305" s="23" t="str">
        <f t="shared" si="145"/>
        <v>46</v>
      </c>
      <c r="BZ305" s="24" t="str">
        <f t="array" ref="BZ305">_xlfn.TEXTJOIN("",TRUE,IF(ISNUMBER(FIND(MID(BY304&amp;Q304,ROW($1:$4),1),BY305&amp;Q305)),MID(BY304&amp;Q304,ROW($1:$4),1),""))</f>
        <v/>
      </c>
      <c r="CA305" s="25" t="str">
        <f t="array" ref="CA305">_xlfn.TEXTJOIN("",TRUE,IF(ISERROR(FIND(ROW($1:$10)-1,BY305&amp;BZ305)),ROW($1:$10)-1,""))</f>
        <v>01235789</v>
      </c>
      <c r="CB305" s="26" t="str">
        <f t="shared" si="152"/>
        <v>邻孤孤</v>
      </c>
      <c r="CC305" s="27" t="str">
        <f t="shared" si="153"/>
        <v>46</v>
      </c>
      <c r="CD305" s="27" t="str">
        <f t="array" ref="CD305">_xlfn.TEXTJOIN("",TRUE,IF(ISNUMBER(FIND(MID(CC304&amp;R304,ROW($1:$4),1),CC305&amp;R305)),MID(CC304&amp;R304,ROW($1:$4),1),""))</f>
        <v/>
      </c>
      <c r="CE305" s="27" t="str">
        <f t="array" ref="CE305">_xlfn.TEXTJOIN("",TRUE,IF(ISERROR(FIND(ROW($1:$10)-1,CC305&amp;CD305)),ROW($1:$10)-1,""))</f>
        <v>01235789</v>
      </c>
      <c r="CF305" s="17" t="str">
        <f t="shared" si="154"/>
        <v>邻孤孤</v>
      </c>
      <c r="CG305" s="22" t="str">
        <f t="shared" si="155"/>
        <v>91</v>
      </c>
      <c r="CH305" s="22" t="str">
        <f t="array" ref="CH305">_xlfn.TEXTJOIN("",TRUE,IF(ISNUMBER(FIND(MID(CG304&amp;S304,ROW($1:$4),1),CG305&amp;S305)),MID(CG304&amp;S304,ROW($1:$4),1),""))</f>
        <v>1</v>
      </c>
      <c r="CI305" s="22" t="str">
        <f t="array" ref="CI305">_xlfn.TEXTJOIN("",TRUE,IF(ISERROR(FIND(ROW($1:$10)-1,CG305&amp;CH305)),ROW($1:$10)-1,""))</f>
        <v>02345678</v>
      </c>
      <c r="CJ305" s="28" t="str">
        <f t="shared" si="156"/>
        <v>邻传孤</v>
      </c>
    </row>
    <row r="306" spans="1:88">
      <c r="A306" s="32">
        <v>2025081</v>
      </c>
      <c r="B306" s="8" t="s">
        <v>274</v>
      </c>
      <c r="C306" s="49">
        <f t="shared" si="160"/>
        <v>7</v>
      </c>
      <c r="D306" s="50">
        <f t="shared" si="161"/>
        <v>7</v>
      </c>
      <c r="E306" s="51">
        <f t="shared" si="142"/>
        <v>2.3333333333333299</v>
      </c>
      <c r="F306" s="52">
        <f>MAX(MID(B306,{1,2,3},1)*1)-MIN(MID(B306,{1,2,3},1)*1)</f>
        <v>4</v>
      </c>
      <c r="G306" s="104">
        <v>0</v>
      </c>
      <c r="H306" s="104">
        <v>1</v>
      </c>
      <c r="I306" s="104">
        <v>2</v>
      </c>
      <c r="J306" s="104">
        <v>3</v>
      </c>
      <c r="K306" s="104">
        <v>4</v>
      </c>
      <c r="L306" s="104">
        <v>5</v>
      </c>
      <c r="M306" s="104">
        <v>6</v>
      </c>
      <c r="N306" s="104">
        <v>7</v>
      </c>
      <c r="O306" s="104">
        <v>8</v>
      </c>
      <c r="P306" s="104">
        <v>9</v>
      </c>
      <c r="Q306" s="53">
        <f t="shared" si="162"/>
        <v>4</v>
      </c>
      <c r="R306" s="53">
        <f t="shared" si="163"/>
        <v>1</v>
      </c>
      <c r="S306" s="53">
        <f t="shared" si="164"/>
        <v>3</v>
      </c>
      <c r="T306" s="101">
        <f t="shared" si="143"/>
        <v>8</v>
      </c>
      <c r="U306" s="15" t="str">
        <f>_xlfn.TEXTJOIN(", ",TRUE,ABS(MID(B306,{1,1,2},1)-MID(B306,{2,3,3},1)))</f>
        <v>4, 1, 3</v>
      </c>
      <c r="V306" s="54">
        <v>0</v>
      </c>
      <c r="W306" s="54">
        <v>1</v>
      </c>
      <c r="X306" s="54">
        <v>2</v>
      </c>
      <c r="Y306" s="54">
        <v>3</v>
      </c>
      <c r="Z306" s="54">
        <v>4</v>
      </c>
      <c r="AA306" s="54">
        <v>5</v>
      </c>
      <c r="AB306" s="54">
        <v>6</v>
      </c>
      <c r="AC306" s="54">
        <v>7</v>
      </c>
      <c r="AD306" s="54">
        <v>8</v>
      </c>
      <c r="AE306" s="54">
        <v>9</v>
      </c>
      <c r="AF306" s="55">
        <v>0</v>
      </c>
      <c r="AG306" s="55">
        <v>1</v>
      </c>
      <c r="AH306" s="55">
        <v>2</v>
      </c>
      <c r="AI306" s="55">
        <v>3</v>
      </c>
      <c r="AJ306" s="55">
        <v>4</v>
      </c>
      <c r="AK306" s="55">
        <v>5</v>
      </c>
      <c r="AL306" s="55">
        <v>6</v>
      </c>
      <c r="AM306" s="55">
        <v>7</v>
      </c>
      <c r="AN306" s="55">
        <v>8</v>
      </c>
      <c r="AO306" s="55">
        <v>9</v>
      </c>
      <c r="AP306" s="105">
        <v>0</v>
      </c>
      <c r="AQ306" s="105">
        <v>1</v>
      </c>
      <c r="AR306" s="105">
        <v>2</v>
      </c>
      <c r="AS306" s="105">
        <v>3</v>
      </c>
      <c r="AT306" s="105">
        <v>4</v>
      </c>
      <c r="AU306" s="105">
        <v>5</v>
      </c>
      <c r="AV306" s="105">
        <v>6</v>
      </c>
      <c r="AW306" s="105">
        <v>7</v>
      </c>
      <c r="AX306" s="105">
        <v>8</v>
      </c>
      <c r="AY306" s="105">
        <v>9</v>
      </c>
      <c r="AZ306" s="56">
        <v>0</v>
      </c>
      <c r="BA306" s="56">
        <v>1</v>
      </c>
      <c r="BB306" s="56">
        <v>2</v>
      </c>
      <c r="BC306" s="56">
        <v>3</v>
      </c>
      <c r="BD306" s="56">
        <v>4</v>
      </c>
      <c r="BE306" s="56">
        <v>5</v>
      </c>
      <c r="BF306" s="56">
        <v>6</v>
      </c>
      <c r="BG306" s="56">
        <v>7</v>
      </c>
      <c r="BH306" s="56">
        <v>8</v>
      </c>
      <c r="BI306" s="56">
        <v>9</v>
      </c>
      <c r="BJ306" s="57" t="str">
        <f t="shared" si="144"/>
        <v>紧凑型</v>
      </c>
      <c r="BK306" s="13">
        <f t="shared" si="140"/>
        <v>1</v>
      </c>
      <c r="BL306" s="13">
        <f t="shared" si="141"/>
        <v>4</v>
      </c>
      <c r="BM306" s="18" t="str">
        <f t="shared" si="146"/>
        <v/>
      </c>
      <c r="BN306" s="19" t="str">
        <f t="shared" si="147"/>
        <v/>
      </c>
      <c r="BO306" s="19" t="str">
        <f t="array" ref="BO306">_xlfn.TEXTJOIN("",TRUE,IF(ISERROR(FIND(ROW($1:$10)-1,BM306&amp;BN306)),ROW($1:$10)-1,""))</f>
        <v>0123456789</v>
      </c>
      <c r="BP306" s="20" t="str">
        <f t="shared" si="148"/>
        <v>中中中</v>
      </c>
      <c r="BQ306" s="21" t="str">
        <f t="shared" si="159"/>
        <v/>
      </c>
      <c r="BR306" s="21">
        <f t="shared" si="157"/>
        <v>1</v>
      </c>
      <c r="BS306" s="21" t="str">
        <f t="array" ref="BS306">_xlfn.TEXTJOIN("",TRUE,IF(ISERROR(FIND(ROW($1:$10)-1,BQ306&amp;BR306)),ROW($1:$10)-1,""))</f>
        <v>023456789</v>
      </c>
      <c r="BT306" s="20" t="str">
        <f t="shared" si="149"/>
        <v>中隔中</v>
      </c>
      <c r="BU306" s="22" t="str">
        <f t="shared" si="150"/>
        <v/>
      </c>
      <c r="BV306" s="22" t="str">
        <f t="shared" si="158"/>
        <v/>
      </c>
      <c r="BW306" s="22" t="str">
        <f t="array" ref="BW306">_xlfn.TEXTJOIN("",TRUE,IF(ISERROR(FIND(ROW($1:$10)-1,BU306&amp;BV306)),ROW($1:$10)-1,""))</f>
        <v>0123456789</v>
      </c>
      <c r="BX306" s="20" t="str">
        <f t="shared" si="151"/>
        <v>中中中</v>
      </c>
      <c r="BY306" s="23" t="str">
        <f t="shared" si="145"/>
        <v>35</v>
      </c>
      <c r="BZ306" s="24" t="str">
        <f t="array" ref="BZ306">_xlfn.TEXTJOIN("",TRUE,IF(ISNUMBER(FIND(MID(BY305&amp;Q305,ROW($1:$4),1),BY306&amp;Q306)),MID(BY305&amp;Q305,ROW($1:$4),1),""))</f>
        <v>45</v>
      </c>
      <c r="CA306" s="25" t="str">
        <f t="array" ref="CA306">_xlfn.TEXTJOIN("",TRUE,IF(ISERROR(FIND(ROW($1:$10)-1,BY306&amp;BZ306)),ROW($1:$10)-1,""))</f>
        <v>0126789</v>
      </c>
      <c r="CB306" s="26" t="str">
        <f t="shared" si="152"/>
        <v>邻传孤</v>
      </c>
      <c r="CC306" s="27" t="str">
        <f t="shared" si="153"/>
        <v>02</v>
      </c>
      <c r="CD306" s="27" t="str">
        <f t="array" ref="CD306">_xlfn.TEXTJOIN("",TRUE,IF(ISNUMBER(FIND(MID(CC305&amp;R305,ROW($1:$4),1),CC306&amp;R306)),MID(CC305&amp;R305,ROW($1:$4),1),""))</f>
        <v/>
      </c>
      <c r="CE306" s="27" t="str">
        <f t="array" ref="CE306">_xlfn.TEXTJOIN("",TRUE,IF(ISERROR(FIND(ROW($1:$10)-1,CC306&amp;CD306)),ROW($1:$10)-1,""))</f>
        <v>13456789</v>
      </c>
      <c r="CF306" s="17" t="str">
        <f t="shared" si="154"/>
        <v>邻孤孤</v>
      </c>
      <c r="CG306" s="22" t="str">
        <f t="shared" si="155"/>
        <v>24</v>
      </c>
      <c r="CH306" s="22" t="str">
        <f t="array" ref="CH306">_xlfn.TEXTJOIN("",TRUE,IF(ISNUMBER(FIND(MID(CG305&amp;S305,ROW($1:$4),1),CG306&amp;S306)),MID(CG305&amp;S305,ROW($1:$4),1),""))</f>
        <v/>
      </c>
      <c r="CI306" s="22" t="str">
        <f t="array" ref="CI306">_xlfn.TEXTJOIN("",TRUE,IF(ISERROR(FIND(ROW($1:$10)-1,CG306&amp;CH306)),ROW($1:$10)-1,""))</f>
        <v>01356789</v>
      </c>
      <c r="CJ306" s="28" t="str">
        <f t="shared" si="156"/>
        <v>邻孤孤</v>
      </c>
    </row>
    <row r="307" spans="1:88">
      <c r="A307" s="32">
        <v>2025082</v>
      </c>
      <c r="B307" s="8" t="s">
        <v>275</v>
      </c>
      <c r="C307" s="49">
        <f t="shared" si="160"/>
        <v>12</v>
      </c>
      <c r="D307" s="50">
        <f t="shared" si="161"/>
        <v>2</v>
      </c>
      <c r="E307" s="51">
        <f t="shared" si="142"/>
        <v>4</v>
      </c>
      <c r="F307" s="52">
        <f>MAX(MID(B307,{1,2,3},1)*1)-MIN(MID(B307,{1,2,3},1)*1)</f>
        <v>6</v>
      </c>
      <c r="G307" s="104">
        <v>0</v>
      </c>
      <c r="H307" s="104">
        <v>1</v>
      </c>
      <c r="I307" s="104">
        <v>2</v>
      </c>
      <c r="J307" s="104">
        <v>3</v>
      </c>
      <c r="K307" s="104">
        <v>4</v>
      </c>
      <c r="L307" s="104">
        <v>5</v>
      </c>
      <c r="M307" s="104">
        <v>6</v>
      </c>
      <c r="N307" s="104">
        <v>7</v>
      </c>
      <c r="O307" s="104">
        <v>8</v>
      </c>
      <c r="P307" s="104">
        <v>9</v>
      </c>
      <c r="Q307" s="53">
        <f t="shared" si="162"/>
        <v>3</v>
      </c>
      <c r="R307" s="53">
        <f t="shared" si="163"/>
        <v>3</v>
      </c>
      <c r="S307" s="53">
        <f t="shared" si="164"/>
        <v>6</v>
      </c>
      <c r="T307" s="101">
        <f t="shared" si="143"/>
        <v>12</v>
      </c>
      <c r="U307" s="15" t="str">
        <f>_xlfn.TEXTJOIN(", ",TRUE,ABS(MID(B307,{1,1,2},1)-MID(B307,{2,3,3},1)))</f>
        <v>3, 3, 6</v>
      </c>
      <c r="V307" s="54">
        <v>0</v>
      </c>
      <c r="W307" s="54">
        <v>1</v>
      </c>
      <c r="X307" s="54">
        <v>2</v>
      </c>
      <c r="Y307" s="54">
        <v>3</v>
      </c>
      <c r="Z307" s="54">
        <v>4</v>
      </c>
      <c r="AA307" s="54">
        <v>5</v>
      </c>
      <c r="AB307" s="54">
        <v>6</v>
      </c>
      <c r="AC307" s="54">
        <v>7</v>
      </c>
      <c r="AD307" s="54">
        <v>8</v>
      </c>
      <c r="AE307" s="54">
        <v>9</v>
      </c>
      <c r="AF307" s="55">
        <v>0</v>
      </c>
      <c r="AG307" s="55">
        <v>1</v>
      </c>
      <c r="AH307" s="55">
        <v>2</v>
      </c>
      <c r="AI307" s="55">
        <v>3</v>
      </c>
      <c r="AJ307" s="55">
        <v>4</v>
      </c>
      <c r="AK307" s="55">
        <v>5</v>
      </c>
      <c r="AL307" s="55">
        <v>6</v>
      </c>
      <c r="AM307" s="55">
        <v>7</v>
      </c>
      <c r="AN307" s="55">
        <v>8</v>
      </c>
      <c r="AO307" s="55">
        <v>9</v>
      </c>
      <c r="AP307" s="105">
        <v>0</v>
      </c>
      <c r="AQ307" s="105">
        <v>1</v>
      </c>
      <c r="AR307" s="105">
        <v>2</v>
      </c>
      <c r="AS307" s="105">
        <v>3</v>
      </c>
      <c r="AT307" s="105">
        <v>4</v>
      </c>
      <c r="AU307" s="105">
        <v>5</v>
      </c>
      <c r="AV307" s="105">
        <v>6</v>
      </c>
      <c r="AW307" s="105">
        <v>7</v>
      </c>
      <c r="AX307" s="105">
        <v>8</v>
      </c>
      <c r="AY307" s="105">
        <v>9</v>
      </c>
      <c r="AZ307" s="56">
        <v>0</v>
      </c>
      <c r="BA307" s="56">
        <v>1</v>
      </c>
      <c r="BB307" s="56">
        <v>2</v>
      </c>
      <c r="BC307" s="56">
        <v>3</v>
      </c>
      <c r="BD307" s="56">
        <v>4</v>
      </c>
      <c r="BE307" s="56">
        <v>5</v>
      </c>
      <c r="BF307" s="56">
        <v>6</v>
      </c>
      <c r="BG307" s="56">
        <v>7</v>
      </c>
      <c r="BH307" s="56">
        <v>8</v>
      </c>
      <c r="BI307" s="56">
        <v>9</v>
      </c>
      <c r="BJ307" s="57" t="str">
        <f t="shared" si="144"/>
        <v>松散型</v>
      </c>
      <c r="BK307" s="13">
        <f t="shared" si="140"/>
        <v>3</v>
      </c>
      <c r="BL307" s="13">
        <f t="shared" si="141"/>
        <v>6</v>
      </c>
      <c r="BM307" s="18">
        <f t="shared" si="146"/>
        <v>3</v>
      </c>
      <c r="BN307" s="19" t="str">
        <f t="shared" si="147"/>
        <v/>
      </c>
      <c r="BO307" s="19" t="str">
        <f t="array" ref="BO307">_xlfn.TEXTJOIN("",TRUE,IF(ISERROR(FIND(ROW($1:$10)-1,BM307&amp;BN307)),ROW($1:$10)-1,""))</f>
        <v>012456789</v>
      </c>
      <c r="BP307" s="20" t="str">
        <f t="shared" si="148"/>
        <v>复中中</v>
      </c>
      <c r="BQ307" s="21">
        <f t="shared" si="159"/>
        <v>3</v>
      </c>
      <c r="BR307" s="21" t="str">
        <f t="shared" si="157"/>
        <v/>
      </c>
      <c r="BS307" s="21" t="str">
        <f t="array" ref="BS307">_xlfn.TEXTJOIN("",TRUE,IF(ISERROR(FIND(ROW($1:$10)-1,BQ307&amp;BR307)),ROW($1:$10)-1,""))</f>
        <v>012456789</v>
      </c>
      <c r="BT307" s="20" t="str">
        <f t="shared" si="149"/>
        <v>复中中</v>
      </c>
      <c r="BU307" s="22" t="str">
        <f t="shared" si="150"/>
        <v/>
      </c>
      <c r="BV307" s="22" t="str">
        <f t="shared" si="158"/>
        <v/>
      </c>
      <c r="BW307" s="22" t="str">
        <f t="array" ref="BW307">_xlfn.TEXTJOIN("",TRUE,IF(ISERROR(FIND(ROW($1:$10)-1,BU307&amp;BV307)),ROW($1:$10)-1,""))</f>
        <v>0123456789</v>
      </c>
      <c r="BX307" s="20" t="str">
        <f t="shared" si="151"/>
        <v>中中中</v>
      </c>
      <c r="BY307" s="23" t="str">
        <f t="shared" si="145"/>
        <v>24</v>
      </c>
      <c r="BZ307" s="24" t="str">
        <f t="array" ref="BZ307">_xlfn.TEXTJOIN("",TRUE,IF(ISNUMBER(FIND(MID(BY306&amp;Q306,ROW($1:$4),1),BY307&amp;Q307)),MID(BY306&amp;Q306,ROW($1:$4),1),""))</f>
        <v>34</v>
      </c>
      <c r="CA307" s="25" t="str">
        <f t="array" ref="CA307">_xlfn.TEXTJOIN("",TRUE,IF(ISERROR(FIND(ROW($1:$10)-1,BY307&amp;BZ307)),ROW($1:$10)-1,""))</f>
        <v>0156789</v>
      </c>
      <c r="CB307" s="26" t="str">
        <f t="shared" si="152"/>
        <v>邻传孤</v>
      </c>
      <c r="CC307" s="27" t="str">
        <f t="shared" si="153"/>
        <v>24</v>
      </c>
      <c r="CD307" s="27" t="str">
        <f t="array" ref="CD307">_xlfn.TEXTJOIN("",TRUE,IF(ISNUMBER(FIND(MID(CC306&amp;R306,ROW($1:$4),1),CC307&amp;R307)),MID(CC306&amp;R306,ROW($1:$4),1),""))</f>
        <v>2</v>
      </c>
      <c r="CE307" s="27" t="str">
        <f t="array" ref="CE307">_xlfn.TEXTJOIN("",TRUE,IF(ISERROR(FIND(ROW($1:$10)-1,CC307&amp;CD307)),ROW($1:$10)-1,""))</f>
        <v>01356789</v>
      </c>
      <c r="CF307" s="17" t="str">
        <f t="shared" si="154"/>
        <v>邻传孤</v>
      </c>
      <c r="CG307" s="22" t="str">
        <f t="shared" si="155"/>
        <v>57</v>
      </c>
      <c r="CH307" s="22" t="str">
        <f t="array" ref="CH307">_xlfn.TEXTJOIN("",TRUE,IF(ISNUMBER(FIND(MID(CG306&amp;S306,ROW($1:$4),1),CG307&amp;S307)),MID(CG306&amp;S306,ROW($1:$4),1),""))</f>
        <v/>
      </c>
      <c r="CI307" s="22" t="str">
        <f t="array" ref="CI307">_xlfn.TEXTJOIN("",TRUE,IF(ISERROR(FIND(ROW($1:$10)-1,CG307&amp;CH307)),ROW($1:$10)-1,""))</f>
        <v>01234689</v>
      </c>
      <c r="CJ307" s="28" t="str">
        <f t="shared" si="156"/>
        <v>邻孤孤</v>
      </c>
    </row>
    <row r="308" spans="1:88">
      <c r="A308" s="32">
        <v>2025083</v>
      </c>
      <c r="B308" s="8" t="s">
        <v>276</v>
      </c>
      <c r="C308" s="49">
        <f t="shared" si="160"/>
        <v>15</v>
      </c>
      <c r="D308" s="50">
        <f t="shared" si="161"/>
        <v>5</v>
      </c>
      <c r="E308" s="51">
        <f t="shared" si="142"/>
        <v>5</v>
      </c>
      <c r="F308" s="52">
        <f>MAX(MID(B308,{1,2,3},1)*1)-MIN(MID(B308,{1,2,3},1)*1)</f>
        <v>8</v>
      </c>
      <c r="G308" s="104">
        <v>0</v>
      </c>
      <c r="H308" s="104">
        <v>1</v>
      </c>
      <c r="I308" s="104">
        <v>2</v>
      </c>
      <c r="J308" s="104">
        <v>3</v>
      </c>
      <c r="K308" s="104">
        <v>4</v>
      </c>
      <c r="L308" s="104">
        <v>5</v>
      </c>
      <c r="M308" s="104">
        <v>6</v>
      </c>
      <c r="N308" s="104">
        <v>7</v>
      </c>
      <c r="O308" s="104">
        <v>8</v>
      </c>
      <c r="P308" s="104">
        <v>9</v>
      </c>
      <c r="Q308" s="53">
        <f t="shared" si="162"/>
        <v>8</v>
      </c>
      <c r="R308" s="53">
        <f t="shared" si="163"/>
        <v>4</v>
      </c>
      <c r="S308" s="53">
        <f t="shared" si="164"/>
        <v>4</v>
      </c>
      <c r="T308" s="101">
        <f t="shared" si="143"/>
        <v>16</v>
      </c>
      <c r="U308" s="15" t="str">
        <f>_xlfn.TEXTJOIN(", ",TRUE,ABS(MID(B308,{1,1,2},1)-MID(B308,{2,3,3},1)))</f>
        <v>8, 4, 4</v>
      </c>
      <c r="V308" s="54">
        <v>0</v>
      </c>
      <c r="W308" s="54">
        <v>1</v>
      </c>
      <c r="X308" s="54">
        <v>2</v>
      </c>
      <c r="Y308" s="54">
        <v>3</v>
      </c>
      <c r="Z308" s="54">
        <v>4</v>
      </c>
      <c r="AA308" s="54">
        <v>5</v>
      </c>
      <c r="AB308" s="54">
        <v>6</v>
      </c>
      <c r="AC308" s="54">
        <v>7</v>
      </c>
      <c r="AD308" s="54">
        <v>8</v>
      </c>
      <c r="AE308" s="54">
        <v>9</v>
      </c>
      <c r="AF308" s="55">
        <v>0</v>
      </c>
      <c r="AG308" s="55">
        <v>1</v>
      </c>
      <c r="AH308" s="55">
        <v>2</v>
      </c>
      <c r="AI308" s="55">
        <v>3</v>
      </c>
      <c r="AJ308" s="55">
        <v>4</v>
      </c>
      <c r="AK308" s="55">
        <v>5</v>
      </c>
      <c r="AL308" s="55">
        <v>6</v>
      </c>
      <c r="AM308" s="55">
        <v>7</v>
      </c>
      <c r="AN308" s="55">
        <v>8</v>
      </c>
      <c r="AO308" s="55">
        <v>9</v>
      </c>
      <c r="AP308" s="105">
        <v>0</v>
      </c>
      <c r="AQ308" s="105">
        <v>1</v>
      </c>
      <c r="AR308" s="105">
        <v>2</v>
      </c>
      <c r="AS308" s="105">
        <v>3</v>
      </c>
      <c r="AT308" s="105">
        <v>4</v>
      </c>
      <c r="AU308" s="105">
        <v>5</v>
      </c>
      <c r="AV308" s="105">
        <v>6</v>
      </c>
      <c r="AW308" s="105">
        <v>7</v>
      </c>
      <c r="AX308" s="105">
        <v>8</v>
      </c>
      <c r="AY308" s="105">
        <v>9</v>
      </c>
      <c r="AZ308" s="56">
        <v>0</v>
      </c>
      <c r="BA308" s="56">
        <v>1</v>
      </c>
      <c r="BB308" s="56">
        <v>2</v>
      </c>
      <c r="BC308" s="56">
        <v>3</v>
      </c>
      <c r="BD308" s="56">
        <v>4</v>
      </c>
      <c r="BE308" s="56">
        <v>5</v>
      </c>
      <c r="BF308" s="56">
        <v>6</v>
      </c>
      <c r="BG308" s="56">
        <v>7</v>
      </c>
      <c r="BH308" s="56">
        <v>8</v>
      </c>
      <c r="BI308" s="56">
        <v>9</v>
      </c>
      <c r="BJ308" s="57" t="str">
        <f t="shared" si="144"/>
        <v>松散型</v>
      </c>
      <c r="BK308" s="13">
        <f t="shared" si="140"/>
        <v>4</v>
      </c>
      <c r="BL308" s="13">
        <f t="shared" si="141"/>
        <v>8</v>
      </c>
      <c r="BM308" s="18" t="str">
        <f t="shared" si="146"/>
        <v/>
      </c>
      <c r="BN308" s="19" t="str">
        <f t="shared" si="147"/>
        <v/>
      </c>
      <c r="BO308" s="19" t="str">
        <f t="array" ref="BO308">_xlfn.TEXTJOIN("",TRUE,IF(ISERROR(FIND(ROW($1:$10)-1,BM308&amp;BN308)),ROW($1:$10)-1,""))</f>
        <v>0123456789</v>
      </c>
      <c r="BP308" s="20" t="str">
        <f t="shared" si="148"/>
        <v>中中中</v>
      </c>
      <c r="BQ308" s="21" t="str">
        <f t="shared" si="159"/>
        <v/>
      </c>
      <c r="BR308" s="21">
        <f t="shared" si="157"/>
        <v>4</v>
      </c>
      <c r="BS308" s="21" t="str">
        <f t="array" ref="BS308">_xlfn.TEXTJOIN("",TRUE,IF(ISERROR(FIND(ROW($1:$10)-1,BQ308&amp;BR308)),ROW($1:$10)-1,""))</f>
        <v>012356789</v>
      </c>
      <c r="BT308" s="20" t="str">
        <f t="shared" si="149"/>
        <v>中隔中</v>
      </c>
      <c r="BU308" s="22" t="str">
        <f t="shared" si="150"/>
        <v/>
      </c>
      <c r="BV308" s="22">
        <f t="shared" si="158"/>
        <v>4</v>
      </c>
      <c r="BW308" s="22" t="str">
        <f t="array" ref="BW308">_xlfn.TEXTJOIN("",TRUE,IF(ISERROR(FIND(ROW($1:$10)-1,BU308&amp;BV308)),ROW($1:$10)-1,""))</f>
        <v>012356789</v>
      </c>
      <c r="BX308" s="20" t="str">
        <f t="shared" si="151"/>
        <v>中隔中</v>
      </c>
      <c r="BY308" s="23" t="str">
        <f t="shared" si="145"/>
        <v>79</v>
      </c>
      <c r="BZ308" s="24" t="str">
        <f t="array" ref="BZ308">_xlfn.TEXTJOIN("",TRUE,IF(ISNUMBER(FIND(MID(BY307&amp;Q307,ROW($1:$4),1),BY308&amp;Q308)),MID(BY307&amp;Q307,ROW($1:$4),1),""))</f>
        <v/>
      </c>
      <c r="CA308" s="25" t="str">
        <f t="array" ref="CA308">_xlfn.TEXTJOIN("",TRUE,IF(ISERROR(FIND(ROW($1:$10)-1,BY308&amp;BZ308)),ROW($1:$10)-1,""))</f>
        <v>01234568</v>
      </c>
      <c r="CB308" s="26" t="str">
        <f t="shared" si="152"/>
        <v>邻孤孤</v>
      </c>
      <c r="CC308" s="27" t="str">
        <f t="shared" si="153"/>
        <v>35</v>
      </c>
      <c r="CD308" s="27" t="str">
        <f t="array" ref="CD308">_xlfn.TEXTJOIN("",TRUE,IF(ISNUMBER(FIND(MID(CC307&amp;R307,ROW($1:$4),1),CC308&amp;R308)),MID(CC307&amp;R307,ROW($1:$4),1),""))</f>
        <v>43</v>
      </c>
      <c r="CE308" s="27" t="str">
        <f t="array" ref="CE308">_xlfn.TEXTJOIN("",TRUE,IF(ISERROR(FIND(ROW($1:$10)-1,CC308&amp;CD308)),ROW($1:$10)-1,""))</f>
        <v>0126789</v>
      </c>
      <c r="CF308" s="17" t="str">
        <f t="shared" si="154"/>
        <v>邻传孤</v>
      </c>
      <c r="CG308" s="22" t="str">
        <f t="shared" si="155"/>
        <v>35</v>
      </c>
      <c r="CH308" s="22" t="str">
        <f t="array" ref="CH308">_xlfn.TEXTJOIN("",TRUE,IF(ISNUMBER(FIND(MID(CG307&amp;S307,ROW($1:$4),1),CG308&amp;S308)),MID(CG307&amp;S307,ROW($1:$4),1),""))</f>
        <v>5</v>
      </c>
      <c r="CI308" s="22" t="str">
        <f t="array" ref="CI308">_xlfn.TEXTJOIN("",TRUE,IF(ISERROR(FIND(ROW($1:$10)-1,CG308&amp;CH308)),ROW($1:$10)-1,""))</f>
        <v>01246789</v>
      </c>
      <c r="CJ308" s="28" t="str">
        <f t="shared" si="156"/>
        <v>邻传孤</v>
      </c>
    </row>
    <row r="309" spans="1:88">
      <c r="A309" s="32">
        <v>2025084</v>
      </c>
      <c r="B309" s="8" t="s">
        <v>277</v>
      </c>
      <c r="C309" s="49">
        <f t="shared" si="160"/>
        <v>3</v>
      </c>
      <c r="D309" s="50">
        <f t="shared" si="161"/>
        <v>3</v>
      </c>
      <c r="E309" s="51">
        <f t="shared" si="142"/>
        <v>1</v>
      </c>
      <c r="F309" s="52">
        <f>MAX(MID(B309,{1,2,3},1)*1)-MIN(MID(B309,{1,2,3},1)*1)</f>
        <v>3</v>
      </c>
      <c r="G309" s="104">
        <v>0</v>
      </c>
      <c r="H309" s="104">
        <v>1</v>
      </c>
      <c r="I309" s="104">
        <v>2</v>
      </c>
      <c r="J309" s="104">
        <v>3</v>
      </c>
      <c r="K309" s="104">
        <v>4</v>
      </c>
      <c r="L309" s="104">
        <v>5</v>
      </c>
      <c r="M309" s="104">
        <v>6</v>
      </c>
      <c r="N309" s="104">
        <v>7</v>
      </c>
      <c r="O309" s="104">
        <v>8</v>
      </c>
      <c r="P309" s="104">
        <v>9</v>
      </c>
      <c r="Q309" s="53">
        <f t="shared" si="162"/>
        <v>3</v>
      </c>
      <c r="R309" s="53">
        <f t="shared" si="163"/>
        <v>0</v>
      </c>
      <c r="S309" s="53">
        <f t="shared" si="164"/>
        <v>3</v>
      </c>
      <c r="T309" s="101">
        <f t="shared" si="143"/>
        <v>6</v>
      </c>
      <c r="U309" s="15" t="str">
        <f>_xlfn.TEXTJOIN(", ",TRUE,ABS(MID(B309,{1,1,2},1)-MID(B309,{2,3,3},1)))</f>
        <v>3, 0, 3</v>
      </c>
      <c r="V309" s="54">
        <v>0</v>
      </c>
      <c r="W309" s="54">
        <v>1</v>
      </c>
      <c r="X309" s="54">
        <v>2</v>
      </c>
      <c r="Y309" s="54">
        <v>3</v>
      </c>
      <c r="Z309" s="54">
        <v>4</v>
      </c>
      <c r="AA309" s="54">
        <v>5</v>
      </c>
      <c r="AB309" s="54">
        <v>6</v>
      </c>
      <c r="AC309" s="54">
        <v>7</v>
      </c>
      <c r="AD309" s="54">
        <v>8</v>
      </c>
      <c r="AE309" s="54">
        <v>9</v>
      </c>
      <c r="AF309" s="55">
        <v>0</v>
      </c>
      <c r="AG309" s="55">
        <v>1</v>
      </c>
      <c r="AH309" s="55">
        <v>2</v>
      </c>
      <c r="AI309" s="55">
        <v>3</v>
      </c>
      <c r="AJ309" s="55">
        <v>4</v>
      </c>
      <c r="AK309" s="55">
        <v>5</v>
      </c>
      <c r="AL309" s="55">
        <v>6</v>
      </c>
      <c r="AM309" s="55">
        <v>7</v>
      </c>
      <c r="AN309" s="55">
        <v>8</v>
      </c>
      <c r="AO309" s="55">
        <v>9</v>
      </c>
      <c r="AP309" s="105">
        <v>0</v>
      </c>
      <c r="AQ309" s="105">
        <v>1</v>
      </c>
      <c r="AR309" s="105">
        <v>2</v>
      </c>
      <c r="AS309" s="105">
        <v>3</v>
      </c>
      <c r="AT309" s="105">
        <v>4</v>
      </c>
      <c r="AU309" s="105">
        <v>5</v>
      </c>
      <c r="AV309" s="105">
        <v>6</v>
      </c>
      <c r="AW309" s="105">
        <v>7</v>
      </c>
      <c r="AX309" s="105">
        <v>8</v>
      </c>
      <c r="AY309" s="105">
        <v>9</v>
      </c>
      <c r="AZ309" s="56">
        <v>0</v>
      </c>
      <c r="BA309" s="56">
        <v>1</v>
      </c>
      <c r="BB309" s="56">
        <v>2</v>
      </c>
      <c r="BC309" s="56">
        <v>3</v>
      </c>
      <c r="BD309" s="56">
        <v>4</v>
      </c>
      <c r="BE309" s="56">
        <v>5</v>
      </c>
      <c r="BF309" s="56">
        <v>6</v>
      </c>
      <c r="BG309" s="56">
        <v>7</v>
      </c>
      <c r="BH309" s="56">
        <v>8</v>
      </c>
      <c r="BI309" s="56">
        <v>9</v>
      </c>
      <c r="BJ309" s="57" t="str">
        <f t="shared" si="144"/>
        <v>紧凑型</v>
      </c>
      <c r="BK309" s="13">
        <f t="shared" si="140"/>
        <v>0</v>
      </c>
      <c r="BL309" s="13">
        <f t="shared" si="141"/>
        <v>3</v>
      </c>
      <c r="BM309" s="18" t="str">
        <f t="shared" si="146"/>
        <v/>
      </c>
      <c r="BN309" s="19">
        <f t="shared" si="147"/>
        <v>3</v>
      </c>
      <c r="BO309" s="19" t="str">
        <f t="array" ref="BO309">_xlfn.TEXTJOIN("",TRUE,IF(ISERROR(FIND(ROW($1:$10)-1,BM309&amp;BN309)),ROW($1:$10)-1,""))</f>
        <v>012456789</v>
      </c>
      <c r="BP309" s="20" t="str">
        <f t="shared" si="148"/>
        <v>中隔中</v>
      </c>
      <c r="BQ309" s="21" t="str">
        <f t="shared" si="159"/>
        <v/>
      </c>
      <c r="BR309" s="21" t="str">
        <f t="shared" si="157"/>
        <v/>
      </c>
      <c r="BS309" s="21" t="str">
        <f t="array" ref="BS309">_xlfn.TEXTJOIN("",TRUE,IF(ISERROR(FIND(ROW($1:$10)-1,BQ309&amp;BR309)),ROW($1:$10)-1,""))</f>
        <v>0123456789</v>
      </c>
      <c r="BT309" s="20" t="str">
        <f t="shared" si="149"/>
        <v>中中中</v>
      </c>
      <c r="BU309" s="22" t="str">
        <f t="shared" si="150"/>
        <v/>
      </c>
      <c r="BV309" s="22">
        <f t="shared" si="158"/>
        <v>3</v>
      </c>
      <c r="BW309" s="22" t="str">
        <f t="array" ref="BW309">_xlfn.TEXTJOIN("",TRUE,IF(ISERROR(FIND(ROW($1:$10)-1,BU309&amp;BV309)),ROW($1:$10)-1,""))</f>
        <v>012456789</v>
      </c>
      <c r="BX309" s="20" t="str">
        <f t="shared" si="151"/>
        <v>中隔中</v>
      </c>
      <c r="BY309" s="23" t="str">
        <f t="shared" si="145"/>
        <v>24</v>
      </c>
      <c r="BZ309" s="24" t="str">
        <f t="array" ref="BZ309">_xlfn.TEXTJOIN("",TRUE,IF(ISNUMBER(FIND(MID(BY308&amp;Q308,ROW($1:$4),1),BY309&amp;Q309)),MID(BY308&amp;Q308,ROW($1:$4),1),""))</f>
        <v/>
      </c>
      <c r="CA309" s="25" t="str">
        <f t="array" ref="CA309">_xlfn.TEXTJOIN("",TRUE,IF(ISERROR(FIND(ROW($1:$10)-1,BY309&amp;BZ309)),ROW($1:$10)-1,""))</f>
        <v>01356789</v>
      </c>
      <c r="CB309" s="26" t="str">
        <f t="shared" si="152"/>
        <v>邻孤孤</v>
      </c>
      <c r="CC309" s="27" t="str">
        <f t="shared" si="153"/>
        <v>91</v>
      </c>
      <c r="CD309" s="27" t="str">
        <f t="array" ref="CD309">_xlfn.TEXTJOIN("",TRUE,IF(ISNUMBER(FIND(MID(CC308&amp;R308,ROW($1:$4),1),CC309&amp;R309)),MID(CC308&amp;R308,ROW($1:$4),1),""))</f>
        <v/>
      </c>
      <c r="CE309" s="27" t="str">
        <f t="array" ref="CE309">_xlfn.TEXTJOIN("",TRUE,IF(ISERROR(FIND(ROW($1:$10)-1,CC309&amp;CD309)),ROW($1:$10)-1,""))</f>
        <v>02345678</v>
      </c>
      <c r="CF309" s="17" t="str">
        <f t="shared" si="154"/>
        <v>邻孤孤</v>
      </c>
      <c r="CG309" s="22" t="str">
        <f t="shared" si="155"/>
        <v>24</v>
      </c>
      <c r="CH309" s="22" t="str">
        <f t="array" ref="CH309">_xlfn.TEXTJOIN("",TRUE,IF(ISNUMBER(FIND(MID(CG308&amp;S308,ROW($1:$4),1),CG309&amp;S309)),MID(CG308&amp;S308,ROW($1:$4),1),""))</f>
        <v>34</v>
      </c>
      <c r="CI309" s="22" t="str">
        <f t="array" ref="CI309">_xlfn.TEXTJOIN("",TRUE,IF(ISERROR(FIND(ROW($1:$10)-1,CG309&amp;CH309)),ROW($1:$10)-1,""))</f>
        <v>0156789</v>
      </c>
      <c r="CJ309" s="28" t="str">
        <f t="shared" si="156"/>
        <v>邻传孤</v>
      </c>
    </row>
    <row r="310" spans="1:88">
      <c r="A310" s="32">
        <v>2025085</v>
      </c>
      <c r="B310" s="8" t="s">
        <v>278</v>
      </c>
      <c r="C310" s="49">
        <f t="shared" si="160"/>
        <v>14</v>
      </c>
      <c r="D310" s="50">
        <f t="shared" si="161"/>
        <v>4</v>
      </c>
      <c r="E310" s="51">
        <f t="shared" si="142"/>
        <v>4.6666666666666696</v>
      </c>
      <c r="F310" s="52">
        <f>MAX(MID(B310,{1,2,3},1)*1)-MIN(MID(B310,{1,2,3},1)*1)</f>
        <v>5</v>
      </c>
      <c r="G310" s="104">
        <v>0</v>
      </c>
      <c r="H310" s="104">
        <v>1</v>
      </c>
      <c r="I310" s="104">
        <v>2</v>
      </c>
      <c r="J310" s="104">
        <v>3</v>
      </c>
      <c r="K310" s="104">
        <v>4</v>
      </c>
      <c r="L310" s="104">
        <v>5</v>
      </c>
      <c r="M310" s="104">
        <v>6</v>
      </c>
      <c r="N310" s="104">
        <v>7</v>
      </c>
      <c r="O310" s="104">
        <v>8</v>
      </c>
      <c r="P310" s="104">
        <v>9</v>
      </c>
      <c r="Q310" s="53">
        <f t="shared" si="162"/>
        <v>0</v>
      </c>
      <c r="R310" s="53">
        <f t="shared" si="163"/>
        <v>5</v>
      </c>
      <c r="S310" s="53">
        <f t="shared" si="164"/>
        <v>5</v>
      </c>
      <c r="T310" s="101">
        <f t="shared" si="143"/>
        <v>10</v>
      </c>
      <c r="U310" s="15" t="str">
        <f>_xlfn.TEXTJOIN(", ",TRUE,ABS(MID(B310,{1,1,2},1)-MID(B310,{2,3,3},1)))</f>
        <v>0, 5, 5</v>
      </c>
      <c r="V310" s="54">
        <v>0</v>
      </c>
      <c r="W310" s="54">
        <v>1</v>
      </c>
      <c r="X310" s="54">
        <v>2</v>
      </c>
      <c r="Y310" s="54">
        <v>3</v>
      </c>
      <c r="Z310" s="54">
        <v>4</v>
      </c>
      <c r="AA310" s="54">
        <v>5</v>
      </c>
      <c r="AB310" s="54">
        <v>6</v>
      </c>
      <c r="AC310" s="54">
        <v>7</v>
      </c>
      <c r="AD310" s="54">
        <v>8</v>
      </c>
      <c r="AE310" s="54">
        <v>9</v>
      </c>
      <c r="AF310" s="55">
        <v>0</v>
      </c>
      <c r="AG310" s="55">
        <v>1</v>
      </c>
      <c r="AH310" s="55">
        <v>2</v>
      </c>
      <c r="AI310" s="55">
        <v>3</v>
      </c>
      <c r="AJ310" s="55">
        <v>4</v>
      </c>
      <c r="AK310" s="55">
        <v>5</v>
      </c>
      <c r="AL310" s="55">
        <v>6</v>
      </c>
      <c r="AM310" s="55">
        <v>7</v>
      </c>
      <c r="AN310" s="55">
        <v>8</v>
      </c>
      <c r="AO310" s="55">
        <v>9</v>
      </c>
      <c r="AP310" s="105">
        <v>0</v>
      </c>
      <c r="AQ310" s="105">
        <v>1</v>
      </c>
      <c r="AR310" s="105">
        <v>2</v>
      </c>
      <c r="AS310" s="105">
        <v>3</v>
      </c>
      <c r="AT310" s="105">
        <v>4</v>
      </c>
      <c r="AU310" s="105">
        <v>5</v>
      </c>
      <c r="AV310" s="105">
        <v>6</v>
      </c>
      <c r="AW310" s="105">
        <v>7</v>
      </c>
      <c r="AX310" s="105">
        <v>8</v>
      </c>
      <c r="AY310" s="105">
        <v>9</v>
      </c>
      <c r="AZ310" s="56">
        <v>0</v>
      </c>
      <c r="BA310" s="56">
        <v>1</v>
      </c>
      <c r="BB310" s="56">
        <v>2</v>
      </c>
      <c r="BC310" s="56">
        <v>3</v>
      </c>
      <c r="BD310" s="56">
        <v>4</v>
      </c>
      <c r="BE310" s="56">
        <v>5</v>
      </c>
      <c r="BF310" s="56">
        <v>6</v>
      </c>
      <c r="BG310" s="56">
        <v>7</v>
      </c>
      <c r="BH310" s="56">
        <v>8</v>
      </c>
      <c r="BI310" s="56">
        <v>9</v>
      </c>
      <c r="BJ310" s="57" t="str">
        <f t="shared" si="144"/>
        <v>对子</v>
      </c>
      <c r="BK310" s="13">
        <f t="shared" si="140"/>
        <v>0</v>
      </c>
      <c r="BL310" s="13">
        <f t="shared" si="141"/>
        <v>5</v>
      </c>
      <c r="BM310" s="18">
        <f t="shared" si="146"/>
        <v>0</v>
      </c>
      <c r="BN310" s="19" t="str">
        <f t="shared" si="147"/>
        <v/>
      </c>
      <c r="BO310" s="19" t="str">
        <f t="array" ref="BO310">_xlfn.TEXTJOIN("",TRUE,IF(ISERROR(FIND(ROW($1:$10)-1,BM310&amp;BN310)),ROW($1:$10)-1,""))</f>
        <v>123456789</v>
      </c>
      <c r="BP310" s="20" t="str">
        <f t="shared" si="148"/>
        <v>复中中</v>
      </c>
      <c r="BQ310" s="21" t="str">
        <f t="shared" si="159"/>
        <v/>
      </c>
      <c r="BR310" s="21" t="str">
        <f t="shared" si="157"/>
        <v/>
      </c>
      <c r="BS310" s="21" t="str">
        <f t="array" ref="BS310">_xlfn.TEXTJOIN("",TRUE,IF(ISERROR(FIND(ROW($1:$10)-1,BQ310&amp;BR310)),ROW($1:$10)-1,""))</f>
        <v>0123456789</v>
      </c>
      <c r="BT310" s="20" t="str">
        <f t="shared" si="149"/>
        <v>中中中</v>
      </c>
      <c r="BU310" s="22" t="str">
        <f t="shared" si="150"/>
        <v/>
      </c>
      <c r="BV310" s="22" t="str">
        <f t="shared" si="158"/>
        <v/>
      </c>
      <c r="BW310" s="22" t="str">
        <f t="array" ref="BW310">_xlfn.TEXTJOIN("",TRUE,IF(ISERROR(FIND(ROW($1:$10)-1,BU310&amp;BV310)),ROW($1:$10)-1,""))</f>
        <v>0123456789</v>
      </c>
      <c r="BX310" s="20" t="str">
        <f t="shared" si="151"/>
        <v>中中中</v>
      </c>
      <c r="BY310" s="23" t="str">
        <f t="shared" si="145"/>
        <v>91</v>
      </c>
      <c r="BZ310" s="24" t="str">
        <f t="array" ref="BZ310">_xlfn.TEXTJOIN("",TRUE,IF(ISNUMBER(FIND(MID(BY309&amp;Q309,ROW($1:$4),1),BY310&amp;Q310)),MID(BY309&amp;Q309,ROW($1:$4),1),""))</f>
        <v/>
      </c>
      <c r="CA310" s="25" t="str">
        <f t="array" ref="CA310">_xlfn.TEXTJOIN("",TRUE,IF(ISERROR(FIND(ROW($1:$10)-1,BY310&amp;BZ310)),ROW($1:$10)-1,""))</f>
        <v>02345678</v>
      </c>
      <c r="CB310" s="26" t="str">
        <f t="shared" si="152"/>
        <v>邻孤孤</v>
      </c>
      <c r="CC310" s="27" t="str">
        <f t="shared" si="153"/>
        <v>46</v>
      </c>
      <c r="CD310" s="27" t="str">
        <f t="array" ref="CD310">_xlfn.TEXTJOIN("",TRUE,IF(ISNUMBER(FIND(MID(CC309&amp;R309,ROW($1:$4),1),CC310&amp;R310)),MID(CC309&amp;R309,ROW($1:$4),1),""))</f>
        <v/>
      </c>
      <c r="CE310" s="27" t="str">
        <f t="array" ref="CE310">_xlfn.TEXTJOIN("",TRUE,IF(ISERROR(FIND(ROW($1:$10)-1,CC310&amp;CD310)),ROW($1:$10)-1,""))</f>
        <v>01235789</v>
      </c>
      <c r="CF310" s="17" t="str">
        <f t="shared" si="154"/>
        <v>邻孤孤</v>
      </c>
      <c r="CG310" s="22" t="str">
        <f t="shared" si="155"/>
        <v>46</v>
      </c>
      <c r="CH310" s="22" t="str">
        <f t="array" ref="CH310">_xlfn.TEXTJOIN("",TRUE,IF(ISNUMBER(FIND(MID(CG309&amp;S309,ROW($1:$4),1),CG310&amp;S310)),MID(CG309&amp;S309,ROW($1:$4),1),""))</f>
        <v>4</v>
      </c>
      <c r="CI310" s="22" t="str">
        <f t="array" ref="CI310">_xlfn.TEXTJOIN("",TRUE,IF(ISERROR(FIND(ROW($1:$10)-1,CG310&amp;CH310)),ROW($1:$10)-1,""))</f>
        <v>01235789</v>
      </c>
      <c r="CJ310" s="28" t="str">
        <f t="shared" si="156"/>
        <v>邻传孤</v>
      </c>
    </row>
    <row r="311" spans="1:88">
      <c r="A311" s="32">
        <v>2025086</v>
      </c>
      <c r="B311" s="8" t="s">
        <v>149</v>
      </c>
      <c r="C311" s="49">
        <f t="shared" ref="C311:C335" si="165">LEFT(B311,1)+MID(B311,2,1)+RIGHT(B311,1)</f>
        <v>19</v>
      </c>
      <c r="D311" s="50">
        <f t="shared" ref="D311:D335" si="166">MOD(LEFT(B311,1)+MID(B311,2,1)+RIGHT(B311,1),10)</f>
        <v>9</v>
      </c>
      <c r="E311" s="51">
        <f t="shared" si="142"/>
        <v>6.3333333333333304</v>
      </c>
      <c r="F311" s="52">
        <f>MAX(MID(B311,{1,2,3},1)*1)-MIN(MID(B311,{1,2,3},1)*1)</f>
        <v>5</v>
      </c>
      <c r="G311" s="104">
        <v>0</v>
      </c>
      <c r="H311" s="104">
        <v>1</v>
      </c>
      <c r="I311" s="104">
        <v>2</v>
      </c>
      <c r="J311" s="104">
        <v>3</v>
      </c>
      <c r="K311" s="104">
        <v>4</v>
      </c>
      <c r="L311" s="104">
        <v>5</v>
      </c>
      <c r="M311" s="104">
        <v>6</v>
      </c>
      <c r="N311" s="104">
        <v>7</v>
      </c>
      <c r="O311" s="104">
        <v>8</v>
      </c>
      <c r="P311" s="104">
        <v>9</v>
      </c>
      <c r="Q311" s="53">
        <f t="shared" ref="Q311:Q335" si="167">ABS(LEFT(B311,1)-MID(B311,2,1))</f>
        <v>5</v>
      </c>
      <c r="R311" s="53">
        <f t="shared" ref="R311:R335" si="168">ABS(LEFT(B311,1)-RIGHT(B311,1))</f>
        <v>5</v>
      </c>
      <c r="S311" s="53">
        <f t="shared" ref="S311:S335" si="169">ABS(MID(B311,2,1)-RIGHT(B311,1))</f>
        <v>0</v>
      </c>
      <c r="T311" s="101">
        <f t="shared" si="143"/>
        <v>10</v>
      </c>
      <c r="U311" s="15" t="str">
        <f>_xlfn.TEXTJOIN(", ",TRUE,ABS(MID(B311,{1,1,2},1)-MID(B311,{2,3,3},1)))</f>
        <v>5, 5, 0</v>
      </c>
      <c r="V311" s="54">
        <v>0</v>
      </c>
      <c r="W311" s="54">
        <v>1</v>
      </c>
      <c r="X311" s="54">
        <v>2</v>
      </c>
      <c r="Y311" s="54">
        <v>3</v>
      </c>
      <c r="Z311" s="54">
        <v>4</v>
      </c>
      <c r="AA311" s="54">
        <v>5</v>
      </c>
      <c r="AB311" s="54">
        <v>6</v>
      </c>
      <c r="AC311" s="54">
        <v>7</v>
      </c>
      <c r="AD311" s="54">
        <v>8</v>
      </c>
      <c r="AE311" s="54">
        <v>9</v>
      </c>
      <c r="AF311" s="55">
        <v>0</v>
      </c>
      <c r="AG311" s="55">
        <v>1</v>
      </c>
      <c r="AH311" s="55">
        <v>2</v>
      </c>
      <c r="AI311" s="55">
        <v>3</v>
      </c>
      <c r="AJ311" s="55">
        <v>4</v>
      </c>
      <c r="AK311" s="55">
        <v>5</v>
      </c>
      <c r="AL311" s="55">
        <v>6</v>
      </c>
      <c r="AM311" s="55">
        <v>7</v>
      </c>
      <c r="AN311" s="55">
        <v>8</v>
      </c>
      <c r="AO311" s="55">
        <v>9</v>
      </c>
      <c r="AP311" s="105">
        <v>0</v>
      </c>
      <c r="AQ311" s="105">
        <v>1</v>
      </c>
      <c r="AR311" s="105">
        <v>2</v>
      </c>
      <c r="AS311" s="105">
        <v>3</v>
      </c>
      <c r="AT311" s="105">
        <v>4</v>
      </c>
      <c r="AU311" s="105">
        <v>5</v>
      </c>
      <c r="AV311" s="105">
        <v>6</v>
      </c>
      <c r="AW311" s="105">
        <v>7</v>
      </c>
      <c r="AX311" s="105">
        <v>8</v>
      </c>
      <c r="AY311" s="105">
        <v>9</v>
      </c>
      <c r="AZ311" s="56">
        <v>0</v>
      </c>
      <c r="BA311" s="56">
        <v>1</v>
      </c>
      <c r="BB311" s="56">
        <v>2</v>
      </c>
      <c r="BC311" s="56">
        <v>3</v>
      </c>
      <c r="BD311" s="56">
        <v>4</v>
      </c>
      <c r="BE311" s="56">
        <v>5</v>
      </c>
      <c r="BF311" s="56">
        <v>6</v>
      </c>
      <c r="BG311" s="56">
        <v>7</v>
      </c>
      <c r="BH311" s="56">
        <v>8</v>
      </c>
      <c r="BI311" s="56">
        <v>9</v>
      </c>
      <c r="BJ311" s="57" t="str">
        <f t="shared" si="144"/>
        <v>对子</v>
      </c>
      <c r="BK311" s="13">
        <f t="shared" si="140"/>
        <v>0</v>
      </c>
      <c r="BL311" s="13">
        <f t="shared" si="141"/>
        <v>5</v>
      </c>
      <c r="BM311" s="18">
        <f t="shared" si="146"/>
        <v>5</v>
      </c>
      <c r="BN311" s="19" t="str">
        <f t="shared" si="147"/>
        <v/>
      </c>
      <c r="BO311" s="19" t="str">
        <f t="array" ref="BO311">_xlfn.TEXTJOIN("",TRUE,IF(ISERROR(FIND(ROW($1:$10)-1,BM311&amp;BN311)),ROW($1:$10)-1,""))</f>
        <v>012346789</v>
      </c>
      <c r="BP311" s="20" t="str">
        <f t="shared" si="148"/>
        <v>复中中</v>
      </c>
      <c r="BQ311" s="21">
        <f t="shared" si="159"/>
        <v>5</v>
      </c>
      <c r="BR311" s="21" t="str">
        <f t="shared" si="157"/>
        <v/>
      </c>
      <c r="BS311" s="21" t="str">
        <f t="array" ref="BS311">_xlfn.TEXTJOIN("",TRUE,IF(ISERROR(FIND(ROW($1:$10)-1,BQ311&amp;BR311)),ROW($1:$10)-1,""))</f>
        <v>012346789</v>
      </c>
      <c r="BT311" s="20" t="str">
        <f t="shared" si="149"/>
        <v>复中中</v>
      </c>
      <c r="BU311" s="22">
        <f t="shared" si="150"/>
        <v>0</v>
      </c>
      <c r="BV311" s="22">
        <f t="shared" si="158"/>
        <v>0</v>
      </c>
      <c r="BW311" s="22" t="str">
        <f t="array" ref="BW311">_xlfn.TEXTJOIN("",TRUE,IF(ISERROR(FIND(ROW($1:$10)-1,BU311&amp;BV311)),ROW($1:$10)-1,""))</f>
        <v>123456789</v>
      </c>
      <c r="BX311" s="20" t="str">
        <f t="shared" si="151"/>
        <v>复隔中</v>
      </c>
      <c r="BY311" s="23" t="str">
        <f t="shared" si="145"/>
        <v>46</v>
      </c>
      <c r="BZ311" s="24" t="str">
        <f t="array" ref="BZ311">_xlfn.TEXTJOIN("",TRUE,IF(ISNUMBER(FIND(MID(BY310&amp;Q310,ROW($1:$4),1),BY311&amp;Q311)),MID(BY310&amp;Q310,ROW($1:$4),1),""))</f>
        <v/>
      </c>
      <c r="CA311" s="25" t="str">
        <f t="array" ref="CA311">_xlfn.TEXTJOIN("",TRUE,IF(ISERROR(FIND(ROW($1:$10)-1,BY311&amp;BZ311)),ROW($1:$10)-1,""))</f>
        <v>01235789</v>
      </c>
      <c r="CB311" s="26" t="str">
        <f t="shared" si="152"/>
        <v>邻孤孤</v>
      </c>
      <c r="CC311" s="27" t="str">
        <f t="shared" si="153"/>
        <v>46</v>
      </c>
      <c r="CD311" s="27" t="str">
        <f t="array" ref="CD311">_xlfn.TEXTJOIN("",TRUE,IF(ISNUMBER(FIND(MID(CC310&amp;R310,ROW($1:$4),1),CC311&amp;R311)),MID(CC310&amp;R310,ROW($1:$4),1),""))</f>
        <v>465</v>
      </c>
      <c r="CE311" s="27" t="str">
        <f t="array" ref="CE311">_xlfn.TEXTJOIN("",TRUE,IF(ISERROR(FIND(ROW($1:$10)-1,CC311&amp;CD311)),ROW($1:$10)-1,""))</f>
        <v>0123789</v>
      </c>
      <c r="CF311" s="17" t="str">
        <f t="shared" si="154"/>
        <v>邻传孤</v>
      </c>
      <c r="CG311" s="22" t="str">
        <f t="shared" si="155"/>
        <v>91</v>
      </c>
      <c r="CH311" s="22" t="str">
        <f t="array" ref="CH311">_xlfn.TEXTJOIN("",TRUE,IF(ISNUMBER(FIND(MID(CG310&amp;S310,ROW($1:$4),1),CG311&amp;S311)),MID(CG310&amp;S310,ROW($1:$4),1),""))</f>
        <v/>
      </c>
      <c r="CI311" s="22" t="str">
        <f t="array" ref="CI311">_xlfn.TEXTJOIN("",TRUE,IF(ISERROR(FIND(ROW($1:$10)-1,CG311&amp;CH311)),ROW($1:$10)-1,""))</f>
        <v>02345678</v>
      </c>
      <c r="CJ311" s="28" t="str">
        <f t="shared" si="156"/>
        <v>邻孤孤</v>
      </c>
    </row>
    <row r="312" spans="1:88">
      <c r="A312" s="32">
        <v>2025087</v>
      </c>
      <c r="B312" s="8" t="s">
        <v>279</v>
      </c>
      <c r="C312" s="49">
        <f t="shared" si="165"/>
        <v>16</v>
      </c>
      <c r="D312" s="50">
        <f t="shared" si="166"/>
        <v>6</v>
      </c>
      <c r="E312" s="51">
        <f t="shared" si="142"/>
        <v>5.3333333333333304</v>
      </c>
      <c r="F312" s="52">
        <f>MAX(MID(B312,{1,2,3},1)*1)-MIN(MID(B312,{1,2,3},1)*1)</f>
        <v>6</v>
      </c>
      <c r="G312" s="104">
        <v>0</v>
      </c>
      <c r="H312" s="104">
        <v>1</v>
      </c>
      <c r="I312" s="104">
        <v>2</v>
      </c>
      <c r="J312" s="104">
        <v>3</v>
      </c>
      <c r="K312" s="104">
        <v>4</v>
      </c>
      <c r="L312" s="104">
        <v>5</v>
      </c>
      <c r="M312" s="104">
        <v>6</v>
      </c>
      <c r="N312" s="104">
        <v>7</v>
      </c>
      <c r="O312" s="104">
        <v>8</v>
      </c>
      <c r="P312" s="104">
        <v>9</v>
      </c>
      <c r="Q312" s="53">
        <f t="shared" si="167"/>
        <v>6</v>
      </c>
      <c r="R312" s="53">
        <f t="shared" si="168"/>
        <v>2</v>
      </c>
      <c r="S312" s="53">
        <f t="shared" si="169"/>
        <v>4</v>
      </c>
      <c r="T312" s="101">
        <f t="shared" si="143"/>
        <v>12</v>
      </c>
      <c r="U312" s="15" t="str">
        <f>_xlfn.TEXTJOIN(", ",TRUE,ABS(MID(B312,{1,1,2},1)-MID(B312,{2,3,3},1)))</f>
        <v>6, 2, 4</v>
      </c>
      <c r="V312" s="54">
        <v>0</v>
      </c>
      <c r="W312" s="54">
        <v>1</v>
      </c>
      <c r="X312" s="54">
        <v>2</v>
      </c>
      <c r="Y312" s="54">
        <v>3</v>
      </c>
      <c r="Z312" s="54">
        <v>4</v>
      </c>
      <c r="AA312" s="54">
        <v>5</v>
      </c>
      <c r="AB312" s="54">
        <v>6</v>
      </c>
      <c r="AC312" s="54">
        <v>7</v>
      </c>
      <c r="AD312" s="54">
        <v>8</v>
      </c>
      <c r="AE312" s="54">
        <v>9</v>
      </c>
      <c r="AF312" s="55">
        <v>0</v>
      </c>
      <c r="AG312" s="55">
        <v>1</v>
      </c>
      <c r="AH312" s="55">
        <v>2</v>
      </c>
      <c r="AI312" s="55">
        <v>3</v>
      </c>
      <c r="AJ312" s="55">
        <v>4</v>
      </c>
      <c r="AK312" s="55">
        <v>5</v>
      </c>
      <c r="AL312" s="55">
        <v>6</v>
      </c>
      <c r="AM312" s="55">
        <v>7</v>
      </c>
      <c r="AN312" s="55">
        <v>8</v>
      </c>
      <c r="AO312" s="55">
        <v>9</v>
      </c>
      <c r="AP312" s="105">
        <v>0</v>
      </c>
      <c r="AQ312" s="105">
        <v>1</v>
      </c>
      <c r="AR312" s="105">
        <v>2</v>
      </c>
      <c r="AS312" s="105">
        <v>3</v>
      </c>
      <c r="AT312" s="105">
        <v>4</v>
      </c>
      <c r="AU312" s="105">
        <v>5</v>
      </c>
      <c r="AV312" s="105">
        <v>6</v>
      </c>
      <c r="AW312" s="105">
        <v>7</v>
      </c>
      <c r="AX312" s="105">
        <v>8</v>
      </c>
      <c r="AY312" s="105">
        <v>9</v>
      </c>
      <c r="AZ312" s="56">
        <v>0</v>
      </c>
      <c r="BA312" s="56">
        <v>1</v>
      </c>
      <c r="BB312" s="56">
        <v>2</v>
      </c>
      <c r="BC312" s="56">
        <v>3</v>
      </c>
      <c r="BD312" s="56">
        <v>4</v>
      </c>
      <c r="BE312" s="56">
        <v>5</v>
      </c>
      <c r="BF312" s="56">
        <v>6</v>
      </c>
      <c r="BG312" s="56">
        <v>7</v>
      </c>
      <c r="BH312" s="56">
        <v>8</v>
      </c>
      <c r="BI312" s="56">
        <v>9</v>
      </c>
      <c r="BJ312" s="57" t="str">
        <f t="shared" si="144"/>
        <v>松散型</v>
      </c>
      <c r="BK312" s="13">
        <f t="shared" si="140"/>
        <v>2</v>
      </c>
      <c r="BL312" s="13">
        <f t="shared" si="141"/>
        <v>6</v>
      </c>
      <c r="BM312" s="18" t="str">
        <f t="shared" si="146"/>
        <v/>
      </c>
      <c r="BN312" s="19" t="str">
        <f t="shared" si="147"/>
        <v/>
      </c>
      <c r="BO312" s="19" t="str">
        <f t="array" ref="BO312">_xlfn.TEXTJOIN("",TRUE,IF(ISERROR(FIND(ROW($1:$10)-1,BM312&amp;BN312)),ROW($1:$10)-1,""))</f>
        <v>0123456789</v>
      </c>
      <c r="BP312" s="20" t="str">
        <f t="shared" si="148"/>
        <v>中中中</v>
      </c>
      <c r="BQ312" s="21" t="str">
        <f t="shared" si="159"/>
        <v/>
      </c>
      <c r="BR312" s="21" t="str">
        <f t="shared" si="157"/>
        <v/>
      </c>
      <c r="BS312" s="21" t="str">
        <f t="array" ref="BS312">_xlfn.TEXTJOIN("",TRUE,IF(ISERROR(FIND(ROW($1:$10)-1,BQ312&amp;BR312)),ROW($1:$10)-1,""))</f>
        <v>0123456789</v>
      </c>
      <c r="BT312" s="20" t="str">
        <f t="shared" si="149"/>
        <v>中中中</v>
      </c>
      <c r="BU312" s="22" t="str">
        <f t="shared" si="150"/>
        <v/>
      </c>
      <c r="BV312" s="22" t="str">
        <f t="shared" si="158"/>
        <v/>
      </c>
      <c r="BW312" s="22" t="str">
        <f t="array" ref="BW312">_xlfn.TEXTJOIN("",TRUE,IF(ISERROR(FIND(ROW($1:$10)-1,BU312&amp;BV312)),ROW($1:$10)-1,""))</f>
        <v>0123456789</v>
      </c>
      <c r="BX312" s="20" t="str">
        <f t="shared" si="151"/>
        <v>中中中</v>
      </c>
      <c r="BY312" s="23" t="str">
        <f t="shared" si="145"/>
        <v>57</v>
      </c>
      <c r="BZ312" s="24" t="str">
        <f t="array" ref="BZ312">_xlfn.TEXTJOIN("",TRUE,IF(ISNUMBER(FIND(MID(BY311&amp;Q311,ROW($1:$4),1),BY312&amp;Q312)),MID(BY311&amp;Q311,ROW($1:$4),1),""))</f>
        <v>65</v>
      </c>
      <c r="CA312" s="25" t="str">
        <f t="array" ref="CA312">_xlfn.TEXTJOIN("",TRUE,IF(ISERROR(FIND(ROW($1:$10)-1,BY312&amp;BZ312)),ROW($1:$10)-1,""))</f>
        <v>0123489</v>
      </c>
      <c r="CB312" s="26" t="str">
        <f t="shared" si="152"/>
        <v>邻传孤</v>
      </c>
      <c r="CC312" s="27" t="str">
        <f t="shared" si="153"/>
        <v>13</v>
      </c>
      <c r="CD312" s="27" t="str">
        <f t="array" ref="CD312">_xlfn.TEXTJOIN("",TRUE,IF(ISNUMBER(FIND(MID(CC311&amp;R311,ROW($1:$4),1),CC312&amp;R312)),MID(CC311&amp;R311,ROW($1:$4),1),""))</f>
        <v/>
      </c>
      <c r="CE312" s="27" t="str">
        <f t="array" ref="CE312">_xlfn.TEXTJOIN("",TRUE,IF(ISERROR(FIND(ROW($1:$10)-1,CC312&amp;CD312)),ROW($1:$10)-1,""))</f>
        <v>02456789</v>
      </c>
      <c r="CF312" s="17" t="str">
        <f t="shared" si="154"/>
        <v>邻孤孤</v>
      </c>
      <c r="CG312" s="22" t="str">
        <f t="shared" si="155"/>
        <v>35</v>
      </c>
      <c r="CH312" s="22" t="str">
        <f t="array" ref="CH312">_xlfn.TEXTJOIN("",TRUE,IF(ISNUMBER(FIND(MID(CG311&amp;S311,ROW($1:$4),1),CG312&amp;S312)),MID(CG311&amp;S311,ROW($1:$4),1),""))</f>
        <v/>
      </c>
      <c r="CI312" s="22" t="str">
        <f t="array" ref="CI312">_xlfn.TEXTJOIN("",TRUE,IF(ISERROR(FIND(ROW($1:$10)-1,CG312&amp;CH312)),ROW($1:$10)-1,""))</f>
        <v>01246789</v>
      </c>
      <c r="CJ312" s="28" t="str">
        <f t="shared" si="156"/>
        <v>邻孤孤</v>
      </c>
    </row>
    <row r="313" spans="1:88">
      <c r="A313" s="32">
        <v>2025088</v>
      </c>
      <c r="B313" s="8" t="s">
        <v>280</v>
      </c>
      <c r="C313" s="49">
        <f t="shared" si="165"/>
        <v>4</v>
      </c>
      <c r="D313" s="50">
        <f t="shared" si="166"/>
        <v>4</v>
      </c>
      <c r="E313" s="51">
        <f t="shared" si="142"/>
        <v>1.3333333333333299</v>
      </c>
      <c r="F313" s="52">
        <f>MAX(MID(B313,{1,2,3},1)*1)-MIN(MID(B313,{1,2,3},1)*1)</f>
        <v>2</v>
      </c>
      <c r="G313" s="104">
        <v>0</v>
      </c>
      <c r="H313" s="104">
        <v>1</v>
      </c>
      <c r="I313" s="104">
        <v>2</v>
      </c>
      <c r="J313" s="104">
        <v>3</v>
      </c>
      <c r="K313" s="104">
        <v>4</v>
      </c>
      <c r="L313" s="104">
        <v>5</v>
      </c>
      <c r="M313" s="104">
        <v>6</v>
      </c>
      <c r="N313" s="104">
        <v>7</v>
      </c>
      <c r="O313" s="104">
        <v>8</v>
      </c>
      <c r="P313" s="104">
        <v>9</v>
      </c>
      <c r="Q313" s="53">
        <f t="shared" si="167"/>
        <v>2</v>
      </c>
      <c r="R313" s="53">
        <f t="shared" si="168"/>
        <v>2</v>
      </c>
      <c r="S313" s="53">
        <f t="shared" si="169"/>
        <v>0</v>
      </c>
      <c r="T313" s="101">
        <f t="shared" si="143"/>
        <v>4</v>
      </c>
      <c r="U313" s="15" t="str">
        <f>_xlfn.TEXTJOIN(", ",TRUE,ABS(MID(B313,{1,1,2},1)-MID(B313,{2,3,3},1)))</f>
        <v>2, 2, 0</v>
      </c>
      <c r="V313" s="54">
        <v>0</v>
      </c>
      <c r="W313" s="54">
        <v>1</v>
      </c>
      <c r="X313" s="54">
        <v>2</v>
      </c>
      <c r="Y313" s="54">
        <v>3</v>
      </c>
      <c r="Z313" s="54">
        <v>4</v>
      </c>
      <c r="AA313" s="54">
        <v>5</v>
      </c>
      <c r="AB313" s="54">
        <v>6</v>
      </c>
      <c r="AC313" s="54">
        <v>7</v>
      </c>
      <c r="AD313" s="54">
        <v>8</v>
      </c>
      <c r="AE313" s="54">
        <v>9</v>
      </c>
      <c r="AF313" s="55">
        <v>0</v>
      </c>
      <c r="AG313" s="55">
        <v>1</v>
      </c>
      <c r="AH313" s="55">
        <v>2</v>
      </c>
      <c r="AI313" s="55">
        <v>3</v>
      </c>
      <c r="AJ313" s="55">
        <v>4</v>
      </c>
      <c r="AK313" s="55">
        <v>5</v>
      </c>
      <c r="AL313" s="55">
        <v>6</v>
      </c>
      <c r="AM313" s="55">
        <v>7</v>
      </c>
      <c r="AN313" s="55">
        <v>8</v>
      </c>
      <c r="AO313" s="55">
        <v>9</v>
      </c>
      <c r="AP313" s="105">
        <v>0</v>
      </c>
      <c r="AQ313" s="105">
        <v>1</v>
      </c>
      <c r="AR313" s="105">
        <v>2</v>
      </c>
      <c r="AS313" s="105">
        <v>3</v>
      </c>
      <c r="AT313" s="105">
        <v>4</v>
      </c>
      <c r="AU313" s="105">
        <v>5</v>
      </c>
      <c r="AV313" s="105">
        <v>6</v>
      </c>
      <c r="AW313" s="105">
        <v>7</v>
      </c>
      <c r="AX313" s="105">
        <v>8</v>
      </c>
      <c r="AY313" s="105">
        <v>9</v>
      </c>
      <c r="AZ313" s="56">
        <v>0</v>
      </c>
      <c r="BA313" s="56">
        <v>1</v>
      </c>
      <c r="BB313" s="56">
        <v>2</v>
      </c>
      <c r="BC313" s="56">
        <v>3</v>
      </c>
      <c r="BD313" s="56">
        <v>4</v>
      </c>
      <c r="BE313" s="56">
        <v>5</v>
      </c>
      <c r="BF313" s="56">
        <v>6</v>
      </c>
      <c r="BG313" s="56">
        <v>7</v>
      </c>
      <c r="BH313" s="56">
        <v>8</v>
      </c>
      <c r="BI313" s="56">
        <v>9</v>
      </c>
      <c r="BJ313" s="57" t="str">
        <f t="shared" si="144"/>
        <v>紧凑型</v>
      </c>
      <c r="BK313" s="13">
        <f t="shared" si="140"/>
        <v>0</v>
      </c>
      <c r="BL313" s="13">
        <f t="shared" si="141"/>
        <v>2</v>
      </c>
      <c r="BM313" s="18">
        <f t="shared" si="146"/>
        <v>2</v>
      </c>
      <c r="BN313" s="19" t="str">
        <f t="shared" si="147"/>
        <v/>
      </c>
      <c r="BO313" s="19" t="str">
        <f t="array" ref="BO313">_xlfn.TEXTJOIN("",TRUE,IF(ISERROR(FIND(ROW($1:$10)-1,BM313&amp;BN313)),ROW($1:$10)-1,""))</f>
        <v>013456789</v>
      </c>
      <c r="BP313" s="20" t="str">
        <f t="shared" si="148"/>
        <v>复中中</v>
      </c>
      <c r="BQ313" s="21">
        <f t="shared" si="159"/>
        <v>2</v>
      </c>
      <c r="BR313" s="21" t="str">
        <f t="shared" si="157"/>
        <v/>
      </c>
      <c r="BS313" s="21" t="str">
        <f t="array" ref="BS313">_xlfn.TEXTJOIN("",TRUE,IF(ISERROR(FIND(ROW($1:$10)-1,BQ313&amp;BR313)),ROW($1:$10)-1,""))</f>
        <v>013456789</v>
      </c>
      <c r="BT313" s="20" t="str">
        <f t="shared" si="149"/>
        <v>复中中</v>
      </c>
      <c r="BU313" s="22" t="str">
        <f t="shared" si="150"/>
        <v/>
      </c>
      <c r="BV313" s="22">
        <f t="shared" si="158"/>
        <v>0</v>
      </c>
      <c r="BW313" s="22" t="str">
        <f t="array" ref="BW313">_xlfn.TEXTJOIN("",TRUE,IF(ISERROR(FIND(ROW($1:$10)-1,BU313&amp;BV313)),ROW($1:$10)-1,""))</f>
        <v>123456789</v>
      </c>
      <c r="BX313" s="20" t="str">
        <f t="shared" si="151"/>
        <v>中隔中</v>
      </c>
      <c r="BY313" s="23" t="str">
        <f t="shared" si="145"/>
        <v>13</v>
      </c>
      <c r="BZ313" s="24" t="str">
        <f t="array" ref="BZ313">_xlfn.TEXTJOIN("",TRUE,IF(ISNUMBER(FIND(MID(BY312&amp;Q312,ROW($1:$4),1),BY313&amp;Q313)),MID(BY312&amp;Q312,ROW($1:$4),1),""))</f>
        <v/>
      </c>
      <c r="CA313" s="25" t="str">
        <f t="array" ref="CA313">_xlfn.TEXTJOIN("",TRUE,IF(ISERROR(FIND(ROW($1:$10)-1,BY313&amp;BZ313)),ROW($1:$10)-1,""))</f>
        <v>02456789</v>
      </c>
      <c r="CB313" s="26" t="str">
        <f t="shared" si="152"/>
        <v>邻孤孤</v>
      </c>
      <c r="CC313" s="27" t="str">
        <f t="shared" si="153"/>
        <v>13</v>
      </c>
      <c r="CD313" s="27" t="str">
        <f t="array" ref="CD313">_xlfn.TEXTJOIN("",TRUE,IF(ISNUMBER(FIND(MID(CC312&amp;R312,ROW($1:$4),1),CC313&amp;R313)),MID(CC312&amp;R312,ROW($1:$4),1),""))</f>
        <v>132</v>
      </c>
      <c r="CE313" s="27" t="str">
        <f t="array" ref="CE313">_xlfn.TEXTJOIN("",TRUE,IF(ISERROR(FIND(ROW($1:$10)-1,CC313&amp;CD313)),ROW($1:$10)-1,""))</f>
        <v>0456789</v>
      </c>
      <c r="CF313" s="17" t="str">
        <f t="shared" si="154"/>
        <v>邻传孤</v>
      </c>
      <c r="CG313" s="22" t="str">
        <f t="shared" si="155"/>
        <v>91</v>
      </c>
      <c r="CH313" s="22" t="str">
        <f t="array" ref="CH313">_xlfn.TEXTJOIN("",TRUE,IF(ISNUMBER(FIND(MID(CG312&amp;S312,ROW($1:$4),1),CG313&amp;S313)),MID(CG312&amp;S312,ROW($1:$4),1),""))</f>
        <v/>
      </c>
      <c r="CI313" s="22" t="str">
        <f t="array" ref="CI313">_xlfn.TEXTJOIN("",TRUE,IF(ISERROR(FIND(ROW($1:$10)-1,CG313&amp;CH313)),ROW($1:$10)-1,""))</f>
        <v>02345678</v>
      </c>
      <c r="CJ313" s="28" t="str">
        <f t="shared" si="156"/>
        <v>邻孤孤</v>
      </c>
    </row>
    <row r="314" spans="1:88">
      <c r="A314" s="32">
        <v>2025089</v>
      </c>
      <c r="B314" s="8" t="s">
        <v>281</v>
      </c>
      <c r="C314" s="49">
        <f t="shared" si="165"/>
        <v>19</v>
      </c>
      <c r="D314" s="50">
        <f t="shared" si="166"/>
        <v>9</v>
      </c>
      <c r="E314" s="51">
        <f t="shared" si="142"/>
        <v>6.3333333333333304</v>
      </c>
      <c r="F314" s="52">
        <f>MAX(MID(B314,{1,2,3},1)*1)-MIN(MID(B314,{1,2,3},1)*1)</f>
        <v>3</v>
      </c>
      <c r="G314" s="104">
        <v>0</v>
      </c>
      <c r="H314" s="104">
        <v>1</v>
      </c>
      <c r="I314" s="104">
        <v>2</v>
      </c>
      <c r="J314" s="104">
        <v>3</v>
      </c>
      <c r="K314" s="104">
        <v>4</v>
      </c>
      <c r="L314" s="104">
        <v>5</v>
      </c>
      <c r="M314" s="104">
        <v>6</v>
      </c>
      <c r="N314" s="104">
        <v>7</v>
      </c>
      <c r="O314" s="104">
        <v>8</v>
      </c>
      <c r="P314" s="104">
        <v>9</v>
      </c>
      <c r="Q314" s="53">
        <f t="shared" si="167"/>
        <v>1</v>
      </c>
      <c r="R314" s="53">
        <f t="shared" si="168"/>
        <v>2</v>
      </c>
      <c r="S314" s="53">
        <f t="shared" si="169"/>
        <v>3</v>
      </c>
      <c r="T314" s="101">
        <f t="shared" si="143"/>
        <v>6</v>
      </c>
      <c r="U314" s="15" t="str">
        <f>_xlfn.TEXTJOIN(", ",TRUE,ABS(MID(B314,{1,1,2},1)-MID(B314,{2,3,3},1)))</f>
        <v>1, 2, 3</v>
      </c>
      <c r="V314" s="54">
        <v>0</v>
      </c>
      <c r="W314" s="54">
        <v>1</v>
      </c>
      <c r="X314" s="54">
        <v>2</v>
      </c>
      <c r="Y314" s="54">
        <v>3</v>
      </c>
      <c r="Z314" s="54">
        <v>4</v>
      </c>
      <c r="AA314" s="54">
        <v>5</v>
      </c>
      <c r="AB314" s="54">
        <v>6</v>
      </c>
      <c r="AC314" s="54">
        <v>7</v>
      </c>
      <c r="AD314" s="54">
        <v>8</v>
      </c>
      <c r="AE314" s="54">
        <v>9</v>
      </c>
      <c r="AF314" s="55">
        <v>0</v>
      </c>
      <c r="AG314" s="55">
        <v>1</v>
      </c>
      <c r="AH314" s="55">
        <v>2</v>
      </c>
      <c r="AI314" s="55">
        <v>3</v>
      </c>
      <c r="AJ314" s="55">
        <v>4</v>
      </c>
      <c r="AK314" s="55">
        <v>5</v>
      </c>
      <c r="AL314" s="55">
        <v>6</v>
      </c>
      <c r="AM314" s="55">
        <v>7</v>
      </c>
      <c r="AN314" s="55">
        <v>8</v>
      </c>
      <c r="AO314" s="55">
        <v>9</v>
      </c>
      <c r="AP314" s="105">
        <v>0</v>
      </c>
      <c r="AQ314" s="105">
        <v>1</v>
      </c>
      <c r="AR314" s="105">
        <v>2</v>
      </c>
      <c r="AS314" s="105">
        <v>3</v>
      </c>
      <c r="AT314" s="105">
        <v>4</v>
      </c>
      <c r="AU314" s="105">
        <v>5</v>
      </c>
      <c r="AV314" s="105">
        <v>6</v>
      </c>
      <c r="AW314" s="105">
        <v>7</v>
      </c>
      <c r="AX314" s="105">
        <v>8</v>
      </c>
      <c r="AY314" s="105">
        <v>9</v>
      </c>
      <c r="AZ314" s="56">
        <v>0</v>
      </c>
      <c r="BA314" s="56">
        <v>1</v>
      </c>
      <c r="BB314" s="56">
        <v>2</v>
      </c>
      <c r="BC314" s="56">
        <v>3</v>
      </c>
      <c r="BD314" s="56">
        <v>4</v>
      </c>
      <c r="BE314" s="56">
        <v>5</v>
      </c>
      <c r="BF314" s="56">
        <v>6</v>
      </c>
      <c r="BG314" s="56">
        <v>7</v>
      </c>
      <c r="BH314" s="56">
        <v>8</v>
      </c>
      <c r="BI314" s="56">
        <v>9</v>
      </c>
      <c r="BJ314" s="57" t="str">
        <f t="shared" si="144"/>
        <v>紧凑型</v>
      </c>
      <c r="BK314" s="13">
        <f t="shared" si="140"/>
        <v>1</v>
      </c>
      <c r="BL314" s="13">
        <f t="shared" si="141"/>
        <v>3</v>
      </c>
      <c r="BM314" s="18" t="str">
        <f t="shared" si="146"/>
        <v/>
      </c>
      <c r="BN314" s="19" t="str">
        <f t="shared" si="147"/>
        <v/>
      </c>
      <c r="BO314" s="19" t="str">
        <f t="array" ref="BO314">_xlfn.TEXTJOIN("",TRUE,IF(ISERROR(FIND(ROW($1:$10)-1,BM314&amp;BN314)),ROW($1:$10)-1,""))</f>
        <v>0123456789</v>
      </c>
      <c r="BP314" s="20" t="str">
        <f t="shared" si="148"/>
        <v>中中中</v>
      </c>
      <c r="BQ314" s="21">
        <f t="shared" si="159"/>
        <v>2</v>
      </c>
      <c r="BR314" s="21">
        <f t="shared" si="157"/>
        <v>2</v>
      </c>
      <c r="BS314" s="21" t="str">
        <f t="array" ref="BS314">_xlfn.TEXTJOIN("",TRUE,IF(ISERROR(FIND(ROW($1:$10)-1,BQ314&amp;BR314)),ROW($1:$10)-1,""))</f>
        <v>013456789</v>
      </c>
      <c r="BT314" s="20" t="str">
        <f t="shared" si="149"/>
        <v>复隔中</v>
      </c>
      <c r="BU314" s="22" t="str">
        <f t="shared" si="150"/>
        <v/>
      </c>
      <c r="BV314" s="22" t="str">
        <f t="shared" si="158"/>
        <v/>
      </c>
      <c r="BW314" s="22" t="str">
        <f t="array" ref="BW314">_xlfn.TEXTJOIN("",TRUE,IF(ISERROR(FIND(ROW($1:$10)-1,BU314&amp;BV314)),ROW($1:$10)-1,""))</f>
        <v>0123456789</v>
      </c>
      <c r="BX314" s="20" t="str">
        <f t="shared" si="151"/>
        <v>中中中</v>
      </c>
      <c r="BY314" s="23" t="str">
        <f t="shared" si="145"/>
        <v>02</v>
      </c>
      <c r="BZ314" s="24" t="str">
        <f t="array" ref="BZ314">_xlfn.TEXTJOIN("",TRUE,IF(ISNUMBER(FIND(MID(BY313&amp;Q313,ROW($1:$4),1),BY314&amp;Q314)),MID(BY313&amp;Q313,ROW($1:$4),1),""))</f>
        <v>12</v>
      </c>
      <c r="CA314" s="25" t="str">
        <f t="array" ref="CA314">_xlfn.TEXTJOIN("",TRUE,IF(ISERROR(FIND(ROW($1:$10)-1,BY314&amp;BZ314)),ROW($1:$10)-1,""))</f>
        <v>3456789</v>
      </c>
      <c r="CB314" s="26" t="str">
        <f t="shared" si="152"/>
        <v>邻传孤</v>
      </c>
      <c r="CC314" s="27" t="str">
        <f t="shared" si="153"/>
        <v>13</v>
      </c>
      <c r="CD314" s="27" t="str">
        <f t="array" ref="CD314">_xlfn.TEXTJOIN("",TRUE,IF(ISNUMBER(FIND(MID(CC313&amp;R313,ROW($1:$4),1),CC314&amp;R314)),MID(CC313&amp;R313,ROW($1:$4),1),""))</f>
        <v>132</v>
      </c>
      <c r="CE314" s="27" t="str">
        <f t="array" ref="CE314">_xlfn.TEXTJOIN("",TRUE,IF(ISERROR(FIND(ROW($1:$10)-1,CC314&amp;CD314)),ROW($1:$10)-1,""))</f>
        <v>0456789</v>
      </c>
      <c r="CF314" s="17" t="str">
        <f t="shared" si="154"/>
        <v>邻传孤</v>
      </c>
      <c r="CG314" s="22" t="str">
        <f t="shared" si="155"/>
        <v>24</v>
      </c>
      <c r="CH314" s="22" t="str">
        <f t="array" ref="CH314">_xlfn.TEXTJOIN("",TRUE,IF(ISNUMBER(FIND(MID(CG313&amp;S313,ROW($1:$4),1),CG314&amp;S314)),MID(CG313&amp;S313,ROW($1:$4),1),""))</f>
        <v/>
      </c>
      <c r="CI314" s="22" t="str">
        <f t="array" ref="CI314">_xlfn.TEXTJOIN("",TRUE,IF(ISERROR(FIND(ROW($1:$10)-1,CG314&amp;CH314)),ROW($1:$10)-1,""))</f>
        <v>01356789</v>
      </c>
      <c r="CJ314" s="28" t="str">
        <f t="shared" si="156"/>
        <v>邻孤孤</v>
      </c>
    </row>
    <row r="315" spans="1:88">
      <c r="A315" s="32">
        <v>2025090</v>
      </c>
      <c r="B315" s="8" t="s">
        <v>282</v>
      </c>
      <c r="C315" s="49">
        <f t="shared" si="165"/>
        <v>15</v>
      </c>
      <c r="D315" s="50">
        <f t="shared" si="166"/>
        <v>5</v>
      </c>
      <c r="E315" s="51">
        <f t="shared" si="142"/>
        <v>5</v>
      </c>
      <c r="F315" s="52">
        <f>MAX(MID(B315,{1,2,3},1)*1)-MIN(MID(B315,{1,2,3},1)*1)</f>
        <v>8</v>
      </c>
      <c r="G315" s="104">
        <v>0</v>
      </c>
      <c r="H315" s="104">
        <v>1</v>
      </c>
      <c r="I315" s="104">
        <v>2</v>
      </c>
      <c r="J315" s="104">
        <v>3</v>
      </c>
      <c r="K315" s="104">
        <v>4</v>
      </c>
      <c r="L315" s="104">
        <v>5</v>
      </c>
      <c r="M315" s="104">
        <v>6</v>
      </c>
      <c r="N315" s="104">
        <v>7</v>
      </c>
      <c r="O315" s="104">
        <v>8</v>
      </c>
      <c r="P315" s="104">
        <v>9</v>
      </c>
      <c r="Q315" s="53">
        <f t="shared" si="167"/>
        <v>4</v>
      </c>
      <c r="R315" s="53">
        <f t="shared" si="168"/>
        <v>8</v>
      </c>
      <c r="S315" s="53">
        <f t="shared" si="169"/>
        <v>4</v>
      </c>
      <c r="T315" s="101">
        <f t="shared" si="143"/>
        <v>16</v>
      </c>
      <c r="U315" s="15" t="str">
        <f>_xlfn.TEXTJOIN(", ",TRUE,ABS(MID(B315,{1,1,2},1)-MID(B315,{2,3,3},1)))</f>
        <v>4, 8, 4</v>
      </c>
      <c r="V315" s="54">
        <v>0</v>
      </c>
      <c r="W315" s="54">
        <v>1</v>
      </c>
      <c r="X315" s="54">
        <v>2</v>
      </c>
      <c r="Y315" s="54">
        <v>3</v>
      </c>
      <c r="Z315" s="54">
        <v>4</v>
      </c>
      <c r="AA315" s="54">
        <v>5</v>
      </c>
      <c r="AB315" s="54">
        <v>6</v>
      </c>
      <c r="AC315" s="54">
        <v>7</v>
      </c>
      <c r="AD315" s="54">
        <v>8</v>
      </c>
      <c r="AE315" s="54">
        <v>9</v>
      </c>
      <c r="AF315" s="55">
        <v>0</v>
      </c>
      <c r="AG315" s="55">
        <v>1</v>
      </c>
      <c r="AH315" s="55">
        <v>2</v>
      </c>
      <c r="AI315" s="55">
        <v>3</v>
      </c>
      <c r="AJ315" s="55">
        <v>4</v>
      </c>
      <c r="AK315" s="55">
        <v>5</v>
      </c>
      <c r="AL315" s="55">
        <v>6</v>
      </c>
      <c r="AM315" s="55">
        <v>7</v>
      </c>
      <c r="AN315" s="55">
        <v>8</v>
      </c>
      <c r="AO315" s="55">
        <v>9</v>
      </c>
      <c r="AP315" s="105">
        <v>0</v>
      </c>
      <c r="AQ315" s="105">
        <v>1</v>
      </c>
      <c r="AR315" s="105">
        <v>2</v>
      </c>
      <c r="AS315" s="105">
        <v>3</v>
      </c>
      <c r="AT315" s="105">
        <v>4</v>
      </c>
      <c r="AU315" s="105">
        <v>5</v>
      </c>
      <c r="AV315" s="105">
        <v>6</v>
      </c>
      <c r="AW315" s="105">
        <v>7</v>
      </c>
      <c r="AX315" s="105">
        <v>8</v>
      </c>
      <c r="AY315" s="105">
        <v>9</v>
      </c>
      <c r="AZ315" s="56">
        <v>0</v>
      </c>
      <c r="BA315" s="56">
        <v>1</v>
      </c>
      <c r="BB315" s="56">
        <v>2</v>
      </c>
      <c r="BC315" s="56">
        <v>3</v>
      </c>
      <c r="BD315" s="56">
        <v>4</v>
      </c>
      <c r="BE315" s="56">
        <v>5</v>
      </c>
      <c r="BF315" s="56">
        <v>6</v>
      </c>
      <c r="BG315" s="56">
        <v>7</v>
      </c>
      <c r="BH315" s="56">
        <v>8</v>
      </c>
      <c r="BI315" s="56">
        <v>9</v>
      </c>
      <c r="BJ315" s="57" t="str">
        <f t="shared" si="144"/>
        <v>松散型</v>
      </c>
      <c r="BK315" s="13">
        <f t="shared" si="140"/>
        <v>4</v>
      </c>
      <c r="BL315" s="13">
        <f t="shared" si="141"/>
        <v>8</v>
      </c>
      <c r="BM315" s="18" t="str">
        <f t="shared" si="146"/>
        <v/>
      </c>
      <c r="BN315" s="19" t="str">
        <f t="shared" si="147"/>
        <v/>
      </c>
      <c r="BO315" s="19" t="str">
        <f t="array" ref="BO315">_xlfn.TEXTJOIN("",TRUE,IF(ISERROR(FIND(ROW($1:$10)-1,BM315&amp;BN315)),ROW($1:$10)-1,""))</f>
        <v>0123456789</v>
      </c>
      <c r="BP315" s="20" t="str">
        <f t="shared" si="148"/>
        <v>中中中</v>
      </c>
      <c r="BQ315" s="21" t="str">
        <f t="shared" si="159"/>
        <v/>
      </c>
      <c r="BR315" s="21" t="str">
        <f t="shared" si="157"/>
        <v/>
      </c>
      <c r="BS315" s="21" t="str">
        <f t="array" ref="BS315">_xlfn.TEXTJOIN("",TRUE,IF(ISERROR(FIND(ROW($1:$10)-1,BQ315&amp;BR315)),ROW($1:$10)-1,""))</f>
        <v>0123456789</v>
      </c>
      <c r="BT315" s="20" t="str">
        <f t="shared" si="149"/>
        <v>中中中</v>
      </c>
      <c r="BU315" s="22" t="str">
        <f t="shared" si="150"/>
        <v/>
      </c>
      <c r="BV315" s="22" t="str">
        <f t="shared" si="158"/>
        <v/>
      </c>
      <c r="BW315" s="22" t="str">
        <f t="array" ref="BW315">_xlfn.TEXTJOIN("",TRUE,IF(ISERROR(FIND(ROW($1:$10)-1,BU315&amp;BV315)),ROW($1:$10)-1,""))</f>
        <v>0123456789</v>
      </c>
      <c r="BX315" s="20" t="str">
        <f t="shared" si="151"/>
        <v>中中中</v>
      </c>
      <c r="BY315" s="23" t="str">
        <f t="shared" si="145"/>
        <v>35</v>
      </c>
      <c r="BZ315" s="24" t="str">
        <f t="array" ref="BZ315">_xlfn.TEXTJOIN("",TRUE,IF(ISNUMBER(FIND(MID(BY314&amp;Q314,ROW($1:$4),1),BY315&amp;Q315)),MID(BY314&amp;Q314,ROW($1:$4),1),""))</f>
        <v/>
      </c>
      <c r="CA315" s="25" t="str">
        <f t="array" ref="CA315">_xlfn.TEXTJOIN("",TRUE,IF(ISERROR(FIND(ROW($1:$10)-1,BY315&amp;BZ315)),ROW($1:$10)-1,""))</f>
        <v>01246789</v>
      </c>
      <c r="CB315" s="26" t="str">
        <f t="shared" si="152"/>
        <v>邻孤孤</v>
      </c>
      <c r="CC315" s="27" t="str">
        <f t="shared" si="153"/>
        <v>79</v>
      </c>
      <c r="CD315" s="27" t="str">
        <f t="array" ref="CD315">_xlfn.TEXTJOIN("",TRUE,IF(ISNUMBER(FIND(MID(CC314&amp;R314,ROW($1:$4),1),CC315&amp;R315)),MID(CC314&amp;R314,ROW($1:$4),1),""))</f>
        <v/>
      </c>
      <c r="CE315" s="27" t="str">
        <f t="array" ref="CE315">_xlfn.TEXTJOIN("",TRUE,IF(ISERROR(FIND(ROW($1:$10)-1,CC315&amp;CD315)),ROW($1:$10)-1,""))</f>
        <v>01234568</v>
      </c>
      <c r="CF315" s="17" t="str">
        <f t="shared" si="154"/>
        <v>邻孤孤</v>
      </c>
      <c r="CG315" s="22" t="str">
        <f t="shared" si="155"/>
        <v>35</v>
      </c>
      <c r="CH315" s="22" t="str">
        <f t="array" ref="CH315">_xlfn.TEXTJOIN("",TRUE,IF(ISNUMBER(FIND(MID(CG314&amp;S314,ROW($1:$4),1),CG315&amp;S315)),MID(CG314&amp;S314,ROW($1:$4),1),""))</f>
        <v>43</v>
      </c>
      <c r="CI315" s="22" t="str">
        <f t="array" ref="CI315">_xlfn.TEXTJOIN("",TRUE,IF(ISERROR(FIND(ROW($1:$10)-1,CG315&amp;CH315)),ROW($1:$10)-1,""))</f>
        <v>0126789</v>
      </c>
      <c r="CJ315" s="28" t="str">
        <f t="shared" si="156"/>
        <v>邻传孤</v>
      </c>
    </row>
    <row r="316" spans="1:88">
      <c r="A316" s="32">
        <v>2025091</v>
      </c>
      <c r="B316" s="8" t="s">
        <v>283</v>
      </c>
      <c r="C316" s="49">
        <f t="shared" si="165"/>
        <v>9</v>
      </c>
      <c r="D316" s="50">
        <f t="shared" si="166"/>
        <v>9</v>
      </c>
      <c r="E316" s="51">
        <f t="shared" si="142"/>
        <v>3</v>
      </c>
      <c r="F316" s="52">
        <f>MAX(MID(B316,{1,2,3},1)*1)-MIN(MID(B316,{1,2,3},1)*1)</f>
        <v>4</v>
      </c>
      <c r="G316" s="104">
        <v>0</v>
      </c>
      <c r="H316" s="104">
        <v>1</v>
      </c>
      <c r="I316" s="104">
        <v>2</v>
      </c>
      <c r="J316" s="104">
        <v>3</v>
      </c>
      <c r="K316" s="104">
        <v>4</v>
      </c>
      <c r="L316" s="104">
        <v>5</v>
      </c>
      <c r="M316" s="104">
        <v>6</v>
      </c>
      <c r="N316" s="104">
        <v>7</v>
      </c>
      <c r="O316" s="104">
        <v>8</v>
      </c>
      <c r="P316" s="104">
        <v>9</v>
      </c>
      <c r="Q316" s="53">
        <f t="shared" si="167"/>
        <v>2</v>
      </c>
      <c r="R316" s="53">
        <f t="shared" si="168"/>
        <v>4</v>
      </c>
      <c r="S316" s="53">
        <f t="shared" si="169"/>
        <v>2</v>
      </c>
      <c r="T316" s="101">
        <f t="shared" si="143"/>
        <v>8</v>
      </c>
      <c r="U316" s="15" t="str">
        <f>_xlfn.TEXTJOIN(", ",TRUE,ABS(MID(B316,{1,1,2},1)-MID(B316,{2,3,3},1)))</f>
        <v>2, 4, 2</v>
      </c>
      <c r="V316" s="54">
        <v>0</v>
      </c>
      <c r="W316" s="54">
        <v>1</v>
      </c>
      <c r="X316" s="54">
        <v>2</v>
      </c>
      <c r="Y316" s="54">
        <v>3</v>
      </c>
      <c r="Z316" s="54">
        <v>4</v>
      </c>
      <c r="AA316" s="54">
        <v>5</v>
      </c>
      <c r="AB316" s="54">
        <v>6</v>
      </c>
      <c r="AC316" s="54">
        <v>7</v>
      </c>
      <c r="AD316" s="54">
        <v>8</v>
      </c>
      <c r="AE316" s="54">
        <v>9</v>
      </c>
      <c r="AF316" s="55">
        <v>0</v>
      </c>
      <c r="AG316" s="55">
        <v>1</v>
      </c>
      <c r="AH316" s="55">
        <v>2</v>
      </c>
      <c r="AI316" s="55">
        <v>3</v>
      </c>
      <c r="AJ316" s="55">
        <v>4</v>
      </c>
      <c r="AK316" s="55">
        <v>5</v>
      </c>
      <c r="AL316" s="55">
        <v>6</v>
      </c>
      <c r="AM316" s="55">
        <v>7</v>
      </c>
      <c r="AN316" s="55">
        <v>8</v>
      </c>
      <c r="AO316" s="55">
        <v>9</v>
      </c>
      <c r="AP316" s="105">
        <v>0</v>
      </c>
      <c r="AQ316" s="105">
        <v>1</v>
      </c>
      <c r="AR316" s="105">
        <v>2</v>
      </c>
      <c r="AS316" s="105">
        <v>3</v>
      </c>
      <c r="AT316" s="105">
        <v>4</v>
      </c>
      <c r="AU316" s="105">
        <v>5</v>
      </c>
      <c r="AV316" s="105">
        <v>6</v>
      </c>
      <c r="AW316" s="105">
        <v>7</v>
      </c>
      <c r="AX316" s="105">
        <v>8</v>
      </c>
      <c r="AY316" s="105">
        <v>9</v>
      </c>
      <c r="AZ316" s="56">
        <v>0</v>
      </c>
      <c r="BA316" s="56">
        <v>1</v>
      </c>
      <c r="BB316" s="56">
        <v>2</v>
      </c>
      <c r="BC316" s="56">
        <v>3</v>
      </c>
      <c r="BD316" s="56">
        <v>4</v>
      </c>
      <c r="BE316" s="56">
        <v>5</v>
      </c>
      <c r="BF316" s="56">
        <v>6</v>
      </c>
      <c r="BG316" s="56">
        <v>7</v>
      </c>
      <c r="BH316" s="56">
        <v>8</v>
      </c>
      <c r="BI316" s="56">
        <v>9</v>
      </c>
      <c r="BJ316" s="57" t="str">
        <f t="shared" si="144"/>
        <v>标准型</v>
      </c>
      <c r="BK316" s="13">
        <f t="shared" si="140"/>
        <v>2</v>
      </c>
      <c r="BL316" s="13">
        <f t="shared" si="141"/>
        <v>4</v>
      </c>
      <c r="BM316" s="18" t="str">
        <f t="shared" si="146"/>
        <v/>
      </c>
      <c r="BN316" s="19">
        <f t="shared" si="147"/>
        <v>2</v>
      </c>
      <c r="BO316" s="19" t="str">
        <f t="array" ref="BO316">_xlfn.TEXTJOIN("",TRUE,IF(ISERROR(FIND(ROW($1:$10)-1,BM316&amp;BN316)),ROW($1:$10)-1,""))</f>
        <v>013456789</v>
      </c>
      <c r="BP316" s="20" t="str">
        <f t="shared" si="148"/>
        <v>中隔中</v>
      </c>
      <c r="BQ316" s="21">
        <f t="shared" si="159"/>
        <v>4</v>
      </c>
      <c r="BR316" s="21" t="str">
        <f t="shared" si="157"/>
        <v/>
      </c>
      <c r="BS316" s="21" t="str">
        <f t="array" ref="BS316">_xlfn.TEXTJOIN("",TRUE,IF(ISERROR(FIND(ROW($1:$10)-1,BQ316&amp;BR316)),ROW($1:$10)-1,""))</f>
        <v>012356789</v>
      </c>
      <c r="BT316" s="20" t="str">
        <f t="shared" si="149"/>
        <v>复中中</v>
      </c>
      <c r="BU316" s="22" t="str">
        <f t="shared" si="150"/>
        <v/>
      </c>
      <c r="BV316" s="22">
        <f t="shared" si="158"/>
        <v>2</v>
      </c>
      <c r="BW316" s="22" t="str">
        <f t="array" ref="BW316">_xlfn.TEXTJOIN("",TRUE,IF(ISERROR(FIND(ROW($1:$10)-1,BU316&amp;BV316)),ROW($1:$10)-1,""))</f>
        <v>013456789</v>
      </c>
      <c r="BX316" s="20" t="str">
        <f t="shared" si="151"/>
        <v>中隔中</v>
      </c>
      <c r="BY316" s="23" t="str">
        <f t="shared" si="145"/>
        <v>13</v>
      </c>
      <c r="BZ316" s="24" t="str">
        <f t="array" ref="BZ316">_xlfn.TEXTJOIN("",TRUE,IF(ISNUMBER(FIND(MID(BY315&amp;Q315,ROW($1:$4),1),BY316&amp;Q316)),MID(BY315&amp;Q315,ROW($1:$4),1),""))</f>
        <v>3</v>
      </c>
      <c r="CA316" s="25" t="str">
        <f t="array" ref="CA316">_xlfn.TEXTJOIN("",TRUE,IF(ISERROR(FIND(ROW($1:$10)-1,BY316&amp;BZ316)),ROW($1:$10)-1,""))</f>
        <v>02456789</v>
      </c>
      <c r="CB316" s="26" t="str">
        <f t="shared" si="152"/>
        <v>邻传孤</v>
      </c>
      <c r="CC316" s="27" t="str">
        <f t="shared" si="153"/>
        <v>35</v>
      </c>
      <c r="CD316" s="27" t="str">
        <f t="array" ref="CD316">_xlfn.TEXTJOIN("",TRUE,IF(ISNUMBER(FIND(MID(CC315&amp;R315,ROW($1:$4),1),CC316&amp;R316)),MID(CC315&amp;R315,ROW($1:$4),1),""))</f>
        <v/>
      </c>
      <c r="CE316" s="27" t="str">
        <f t="array" ref="CE316">_xlfn.TEXTJOIN("",TRUE,IF(ISERROR(FIND(ROW($1:$10)-1,CC316&amp;CD316)),ROW($1:$10)-1,""))</f>
        <v>01246789</v>
      </c>
      <c r="CF316" s="17" t="str">
        <f t="shared" si="154"/>
        <v>邻孤孤</v>
      </c>
      <c r="CG316" s="22" t="str">
        <f t="shared" si="155"/>
        <v>13</v>
      </c>
      <c r="CH316" s="22" t="str">
        <f t="array" ref="CH316">_xlfn.TEXTJOIN("",TRUE,IF(ISNUMBER(FIND(MID(CG315&amp;S315,ROW($1:$4),1),CG316&amp;S316)),MID(CG315&amp;S315,ROW($1:$4),1),""))</f>
        <v>3</v>
      </c>
      <c r="CI316" s="22" t="str">
        <f t="array" ref="CI316">_xlfn.TEXTJOIN("",TRUE,IF(ISERROR(FIND(ROW($1:$10)-1,CG316&amp;CH316)),ROW($1:$10)-1,""))</f>
        <v>02456789</v>
      </c>
      <c r="CJ316" s="28" t="str">
        <f t="shared" si="156"/>
        <v>邻传孤</v>
      </c>
    </row>
    <row r="317" spans="1:88">
      <c r="A317" s="32">
        <v>2025092</v>
      </c>
      <c r="B317" s="8" t="s">
        <v>212</v>
      </c>
      <c r="C317" s="49">
        <f t="shared" si="165"/>
        <v>11</v>
      </c>
      <c r="D317" s="50">
        <f t="shared" si="166"/>
        <v>1</v>
      </c>
      <c r="E317" s="51">
        <f t="shared" si="142"/>
        <v>3.6666666666666701</v>
      </c>
      <c r="F317" s="52">
        <f>MAX(MID(B317,{1,2,3},1)*1)-MIN(MID(B317,{1,2,3},1)*1)</f>
        <v>6</v>
      </c>
      <c r="G317" s="104">
        <v>0</v>
      </c>
      <c r="H317" s="104">
        <v>1</v>
      </c>
      <c r="I317" s="104">
        <v>2</v>
      </c>
      <c r="J317" s="104">
        <v>3</v>
      </c>
      <c r="K317" s="104">
        <v>4</v>
      </c>
      <c r="L317" s="104">
        <v>5</v>
      </c>
      <c r="M317" s="104">
        <v>6</v>
      </c>
      <c r="N317" s="104">
        <v>7</v>
      </c>
      <c r="O317" s="104">
        <v>8</v>
      </c>
      <c r="P317" s="104">
        <v>9</v>
      </c>
      <c r="Q317" s="53">
        <f t="shared" si="167"/>
        <v>2</v>
      </c>
      <c r="R317" s="53">
        <f t="shared" si="168"/>
        <v>4</v>
      </c>
      <c r="S317" s="53">
        <f t="shared" si="169"/>
        <v>6</v>
      </c>
      <c r="T317" s="101">
        <f t="shared" si="143"/>
        <v>12</v>
      </c>
      <c r="U317" s="15" t="str">
        <f>_xlfn.TEXTJOIN(", ",TRUE,ABS(MID(B317,{1,1,2},1)-MID(B317,{2,3,3},1)))</f>
        <v>2, 4, 6</v>
      </c>
      <c r="V317" s="54">
        <v>0</v>
      </c>
      <c r="W317" s="54">
        <v>1</v>
      </c>
      <c r="X317" s="54">
        <v>2</v>
      </c>
      <c r="Y317" s="54">
        <v>3</v>
      </c>
      <c r="Z317" s="54">
        <v>4</v>
      </c>
      <c r="AA317" s="54">
        <v>5</v>
      </c>
      <c r="AB317" s="54">
        <v>6</v>
      </c>
      <c r="AC317" s="54">
        <v>7</v>
      </c>
      <c r="AD317" s="54">
        <v>8</v>
      </c>
      <c r="AE317" s="54">
        <v>9</v>
      </c>
      <c r="AF317" s="55">
        <v>0</v>
      </c>
      <c r="AG317" s="55">
        <v>1</v>
      </c>
      <c r="AH317" s="55">
        <v>2</v>
      </c>
      <c r="AI317" s="55">
        <v>3</v>
      </c>
      <c r="AJ317" s="55">
        <v>4</v>
      </c>
      <c r="AK317" s="55">
        <v>5</v>
      </c>
      <c r="AL317" s="55">
        <v>6</v>
      </c>
      <c r="AM317" s="55">
        <v>7</v>
      </c>
      <c r="AN317" s="55">
        <v>8</v>
      </c>
      <c r="AO317" s="55">
        <v>9</v>
      </c>
      <c r="AP317" s="105">
        <v>0</v>
      </c>
      <c r="AQ317" s="105">
        <v>1</v>
      </c>
      <c r="AR317" s="105">
        <v>2</v>
      </c>
      <c r="AS317" s="105">
        <v>3</v>
      </c>
      <c r="AT317" s="105">
        <v>4</v>
      </c>
      <c r="AU317" s="105">
        <v>5</v>
      </c>
      <c r="AV317" s="105">
        <v>6</v>
      </c>
      <c r="AW317" s="105">
        <v>7</v>
      </c>
      <c r="AX317" s="105">
        <v>8</v>
      </c>
      <c r="AY317" s="105">
        <v>9</v>
      </c>
      <c r="AZ317" s="56">
        <v>0</v>
      </c>
      <c r="BA317" s="56">
        <v>1</v>
      </c>
      <c r="BB317" s="56">
        <v>2</v>
      </c>
      <c r="BC317" s="56">
        <v>3</v>
      </c>
      <c r="BD317" s="56">
        <v>4</v>
      </c>
      <c r="BE317" s="56">
        <v>5</v>
      </c>
      <c r="BF317" s="56">
        <v>6</v>
      </c>
      <c r="BG317" s="56">
        <v>7</v>
      </c>
      <c r="BH317" s="56">
        <v>8</v>
      </c>
      <c r="BI317" s="56">
        <v>9</v>
      </c>
      <c r="BJ317" s="57" t="str">
        <f t="shared" si="144"/>
        <v>松散型</v>
      </c>
      <c r="BK317" s="13">
        <f t="shared" si="140"/>
        <v>2</v>
      </c>
      <c r="BL317" s="13">
        <f t="shared" si="141"/>
        <v>6</v>
      </c>
      <c r="BM317" s="18">
        <f t="shared" si="146"/>
        <v>2</v>
      </c>
      <c r="BN317" s="19" t="str">
        <f t="shared" si="147"/>
        <v/>
      </c>
      <c r="BO317" s="19" t="str">
        <f t="array" ref="BO317">_xlfn.TEXTJOIN("",TRUE,IF(ISERROR(FIND(ROW($1:$10)-1,BM317&amp;BN317)),ROW($1:$10)-1,""))</f>
        <v>013456789</v>
      </c>
      <c r="BP317" s="20" t="str">
        <f t="shared" si="148"/>
        <v>复中中</v>
      </c>
      <c r="BQ317" s="21">
        <f t="shared" si="159"/>
        <v>4</v>
      </c>
      <c r="BR317" s="21">
        <f t="shared" si="157"/>
        <v>4</v>
      </c>
      <c r="BS317" s="21" t="str">
        <f t="array" ref="BS317">_xlfn.TEXTJOIN("",TRUE,IF(ISERROR(FIND(ROW($1:$10)-1,BQ317&amp;BR317)),ROW($1:$10)-1,""))</f>
        <v>012356789</v>
      </c>
      <c r="BT317" s="20" t="str">
        <f t="shared" si="149"/>
        <v>复隔中</v>
      </c>
      <c r="BU317" s="22" t="str">
        <f t="shared" si="150"/>
        <v/>
      </c>
      <c r="BV317" s="22" t="str">
        <f t="shared" si="158"/>
        <v/>
      </c>
      <c r="BW317" s="22" t="str">
        <f t="array" ref="BW317">_xlfn.TEXTJOIN("",TRUE,IF(ISERROR(FIND(ROW($1:$10)-1,BU317&amp;BV317)),ROW($1:$10)-1,""))</f>
        <v>0123456789</v>
      </c>
      <c r="BX317" s="20" t="str">
        <f t="shared" si="151"/>
        <v>中中中</v>
      </c>
      <c r="BY317" s="23" t="str">
        <f t="shared" si="145"/>
        <v>13</v>
      </c>
      <c r="BZ317" s="24" t="str">
        <f t="array" ref="BZ317">_xlfn.TEXTJOIN("",TRUE,IF(ISNUMBER(FIND(MID(BY316&amp;Q316,ROW($1:$4),1),BY317&amp;Q317)),MID(BY316&amp;Q316,ROW($1:$4),1),""))</f>
        <v>132</v>
      </c>
      <c r="CA317" s="25" t="str">
        <f t="array" ref="CA317">_xlfn.TEXTJOIN("",TRUE,IF(ISERROR(FIND(ROW($1:$10)-1,BY317&amp;BZ317)),ROW($1:$10)-1,""))</f>
        <v>0456789</v>
      </c>
      <c r="CB317" s="26" t="str">
        <f t="shared" si="152"/>
        <v>邻传孤</v>
      </c>
      <c r="CC317" s="27" t="str">
        <f t="shared" si="153"/>
        <v>35</v>
      </c>
      <c r="CD317" s="27" t="str">
        <f t="array" ref="CD317">_xlfn.TEXTJOIN("",TRUE,IF(ISNUMBER(FIND(MID(CC316&amp;R316,ROW($1:$4),1),CC317&amp;R317)),MID(CC316&amp;R316,ROW($1:$4),1),""))</f>
        <v>354</v>
      </c>
      <c r="CE317" s="27" t="str">
        <f t="array" ref="CE317">_xlfn.TEXTJOIN("",TRUE,IF(ISERROR(FIND(ROW($1:$10)-1,CC317&amp;CD317)),ROW($1:$10)-1,""))</f>
        <v>0126789</v>
      </c>
      <c r="CF317" s="17" t="str">
        <f t="shared" si="154"/>
        <v>邻传孤</v>
      </c>
      <c r="CG317" s="22" t="str">
        <f t="shared" si="155"/>
        <v>57</v>
      </c>
      <c r="CH317" s="22" t="str">
        <f t="array" ref="CH317">_xlfn.TEXTJOIN("",TRUE,IF(ISNUMBER(FIND(MID(CG316&amp;S316,ROW($1:$4),1),CG317&amp;S317)),MID(CG316&amp;S316,ROW($1:$4),1),""))</f>
        <v/>
      </c>
      <c r="CI317" s="22" t="str">
        <f t="array" ref="CI317">_xlfn.TEXTJOIN("",TRUE,IF(ISERROR(FIND(ROW($1:$10)-1,CG317&amp;CH317)),ROW($1:$10)-1,""))</f>
        <v>01234689</v>
      </c>
      <c r="CJ317" s="28" t="str">
        <f t="shared" si="156"/>
        <v>邻孤孤</v>
      </c>
    </row>
    <row r="318" spans="1:88">
      <c r="A318" s="32">
        <v>2025093</v>
      </c>
      <c r="B318" s="8" t="s">
        <v>284</v>
      </c>
      <c r="C318" s="49">
        <f t="shared" si="165"/>
        <v>14</v>
      </c>
      <c r="D318" s="50">
        <f t="shared" si="166"/>
        <v>4</v>
      </c>
      <c r="E318" s="51">
        <f t="shared" si="142"/>
        <v>4.6666666666666696</v>
      </c>
      <c r="F318" s="52">
        <f>MAX(MID(B318,{1,2,3},1)*1)-MIN(MID(B318,{1,2,3},1)*1)</f>
        <v>1</v>
      </c>
      <c r="G318" s="104">
        <v>0</v>
      </c>
      <c r="H318" s="104">
        <v>1</v>
      </c>
      <c r="I318" s="104">
        <v>2</v>
      </c>
      <c r="J318" s="104">
        <v>3</v>
      </c>
      <c r="K318" s="104">
        <v>4</v>
      </c>
      <c r="L318" s="104">
        <v>5</v>
      </c>
      <c r="M318" s="104">
        <v>6</v>
      </c>
      <c r="N318" s="104">
        <v>7</v>
      </c>
      <c r="O318" s="104">
        <v>8</v>
      </c>
      <c r="P318" s="104">
        <v>9</v>
      </c>
      <c r="Q318" s="53">
        <f t="shared" si="167"/>
        <v>1</v>
      </c>
      <c r="R318" s="53">
        <f t="shared" si="168"/>
        <v>0</v>
      </c>
      <c r="S318" s="53">
        <f t="shared" si="169"/>
        <v>1</v>
      </c>
      <c r="T318" s="101">
        <f t="shared" si="143"/>
        <v>2</v>
      </c>
      <c r="U318" s="15" t="str">
        <f>_xlfn.TEXTJOIN(", ",TRUE,ABS(MID(B318,{1,1,2},1)-MID(B318,{2,3,3},1)))</f>
        <v>1, 0, 1</v>
      </c>
      <c r="V318" s="54">
        <v>0</v>
      </c>
      <c r="W318" s="54">
        <v>1</v>
      </c>
      <c r="X318" s="54">
        <v>2</v>
      </c>
      <c r="Y318" s="54">
        <v>3</v>
      </c>
      <c r="Z318" s="54">
        <v>4</v>
      </c>
      <c r="AA318" s="54">
        <v>5</v>
      </c>
      <c r="AB318" s="54">
        <v>6</v>
      </c>
      <c r="AC318" s="54">
        <v>7</v>
      </c>
      <c r="AD318" s="54">
        <v>8</v>
      </c>
      <c r="AE318" s="54">
        <v>9</v>
      </c>
      <c r="AF318" s="55">
        <v>0</v>
      </c>
      <c r="AG318" s="55">
        <v>1</v>
      </c>
      <c r="AH318" s="55">
        <v>2</v>
      </c>
      <c r="AI318" s="55">
        <v>3</v>
      </c>
      <c r="AJ318" s="55">
        <v>4</v>
      </c>
      <c r="AK318" s="55">
        <v>5</v>
      </c>
      <c r="AL318" s="55">
        <v>6</v>
      </c>
      <c r="AM318" s="55">
        <v>7</v>
      </c>
      <c r="AN318" s="55">
        <v>8</v>
      </c>
      <c r="AO318" s="55">
        <v>9</v>
      </c>
      <c r="AP318" s="105">
        <v>0</v>
      </c>
      <c r="AQ318" s="105">
        <v>1</v>
      </c>
      <c r="AR318" s="105">
        <v>2</v>
      </c>
      <c r="AS318" s="105">
        <v>3</v>
      </c>
      <c r="AT318" s="105">
        <v>4</v>
      </c>
      <c r="AU318" s="105">
        <v>5</v>
      </c>
      <c r="AV318" s="105">
        <v>6</v>
      </c>
      <c r="AW318" s="105">
        <v>7</v>
      </c>
      <c r="AX318" s="105">
        <v>8</v>
      </c>
      <c r="AY318" s="105">
        <v>9</v>
      </c>
      <c r="AZ318" s="56">
        <v>0</v>
      </c>
      <c r="BA318" s="56">
        <v>1</v>
      </c>
      <c r="BB318" s="56">
        <v>2</v>
      </c>
      <c r="BC318" s="56">
        <v>3</v>
      </c>
      <c r="BD318" s="56">
        <v>4</v>
      </c>
      <c r="BE318" s="56">
        <v>5</v>
      </c>
      <c r="BF318" s="56">
        <v>6</v>
      </c>
      <c r="BG318" s="56">
        <v>7</v>
      </c>
      <c r="BH318" s="56">
        <v>8</v>
      </c>
      <c r="BI318" s="56">
        <v>9</v>
      </c>
      <c r="BJ318" s="57" t="str">
        <f t="shared" si="144"/>
        <v>紧凑型</v>
      </c>
      <c r="BK318" s="13">
        <f t="shared" si="140"/>
        <v>0</v>
      </c>
      <c r="BL318" s="13">
        <f t="shared" si="141"/>
        <v>1</v>
      </c>
      <c r="BM318" s="18" t="str">
        <f t="shared" si="146"/>
        <v/>
      </c>
      <c r="BN318" s="19" t="str">
        <f t="shared" si="147"/>
        <v/>
      </c>
      <c r="BO318" s="19" t="str">
        <f t="array" ref="BO318">_xlfn.TEXTJOIN("",TRUE,IF(ISERROR(FIND(ROW($1:$10)-1,BM318&amp;BN318)),ROW($1:$10)-1,""))</f>
        <v>0123456789</v>
      </c>
      <c r="BP318" s="20" t="str">
        <f t="shared" si="148"/>
        <v>中中中</v>
      </c>
      <c r="BQ318" s="21" t="str">
        <f t="shared" si="159"/>
        <v/>
      </c>
      <c r="BR318" s="21" t="str">
        <f t="shared" si="157"/>
        <v/>
      </c>
      <c r="BS318" s="21" t="str">
        <f t="array" ref="BS318">_xlfn.TEXTJOIN("",TRUE,IF(ISERROR(FIND(ROW($1:$10)-1,BQ318&amp;BR318)),ROW($1:$10)-1,""))</f>
        <v>0123456789</v>
      </c>
      <c r="BT318" s="20" t="str">
        <f t="shared" si="149"/>
        <v>中中中</v>
      </c>
      <c r="BU318" s="22" t="str">
        <f t="shared" si="150"/>
        <v/>
      </c>
      <c r="BV318" s="22" t="str">
        <f t="shared" si="158"/>
        <v/>
      </c>
      <c r="BW318" s="22" t="str">
        <f t="array" ref="BW318">_xlfn.TEXTJOIN("",TRUE,IF(ISERROR(FIND(ROW($1:$10)-1,BU318&amp;BV318)),ROW($1:$10)-1,""))</f>
        <v>0123456789</v>
      </c>
      <c r="BX318" s="20" t="str">
        <f t="shared" si="151"/>
        <v>中中中</v>
      </c>
      <c r="BY318" s="23" t="str">
        <f t="shared" si="145"/>
        <v>02</v>
      </c>
      <c r="BZ318" s="24" t="str">
        <f t="array" ref="BZ318">_xlfn.TEXTJOIN("",TRUE,IF(ISNUMBER(FIND(MID(BY317&amp;Q317,ROW($1:$4),1),BY318&amp;Q318)),MID(BY317&amp;Q317,ROW($1:$4),1),""))</f>
        <v>12</v>
      </c>
      <c r="CA318" s="25" t="str">
        <f t="array" ref="CA318">_xlfn.TEXTJOIN("",TRUE,IF(ISERROR(FIND(ROW($1:$10)-1,BY318&amp;BZ318)),ROW($1:$10)-1,""))</f>
        <v>3456789</v>
      </c>
      <c r="CB318" s="26" t="str">
        <f t="shared" si="152"/>
        <v>邻传孤</v>
      </c>
      <c r="CC318" s="27" t="str">
        <f t="shared" si="153"/>
        <v>91</v>
      </c>
      <c r="CD318" s="27" t="str">
        <f t="array" ref="CD318">_xlfn.TEXTJOIN("",TRUE,IF(ISNUMBER(FIND(MID(CC317&amp;R317,ROW($1:$4),1),CC318&amp;R318)),MID(CC317&amp;R317,ROW($1:$4),1),""))</f>
        <v/>
      </c>
      <c r="CE318" s="27" t="str">
        <f t="array" ref="CE318">_xlfn.TEXTJOIN("",TRUE,IF(ISERROR(FIND(ROW($1:$10)-1,CC318&amp;CD318)),ROW($1:$10)-1,""))</f>
        <v>02345678</v>
      </c>
      <c r="CF318" s="17" t="str">
        <f t="shared" si="154"/>
        <v>邻孤孤</v>
      </c>
      <c r="CG318" s="22" t="str">
        <f t="shared" si="155"/>
        <v>02</v>
      </c>
      <c r="CH318" s="22" t="str">
        <f t="array" ref="CH318">_xlfn.TEXTJOIN("",TRUE,IF(ISNUMBER(FIND(MID(CG317&amp;S317,ROW($1:$4),1),CG318&amp;S318)),MID(CG317&amp;S317,ROW($1:$4),1),""))</f>
        <v/>
      </c>
      <c r="CI318" s="22" t="str">
        <f t="array" ref="CI318">_xlfn.TEXTJOIN("",TRUE,IF(ISERROR(FIND(ROW($1:$10)-1,CG318&amp;CH318)),ROW($1:$10)-1,""))</f>
        <v>13456789</v>
      </c>
      <c r="CJ318" s="28" t="str">
        <f t="shared" si="156"/>
        <v>邻孤孤</v>
      </c>
    </row>
    <row r="319" spans="1:88">
      <c r="A319" s="32">
        <v>2025094</v>
      </c>
      <c r="B319" s="8" t="s">
        <v>285</v>
      </c>
      <c r="C319" s="49">
        <f t="shared" si="165"/>
        <v>19</v>
      </c>
      <c r="D319" s="50">
        <f t="shared" si="166"/>
        <v>9</v>
      </c>
      <c r="E319" s="51">
        <f t="shared" si="142"/>
        <v>6.3333333333333304</v>
      </c>
      <c r="F319" s="52">
        <f>MAX(MID(B319,{1,2,3},1)*1)-MIN(MID(B319,{1,2,3},1)*1)</f>
        <v>5</v>
      </c>
      <c r="G319" s="104">
        <v>0</v>
      </c>
      <c r="H319" s="104">
        <v>1</v>
      </c>
      <c r="I319" s="104">
        <v>2</v>
      </c>
      <c r="J319" s="104">
        <v>3</v>
      </c>
      <c r="K319" s="104">
        <v>4</v>
      </c>
      <c r="L319" s="104">
        <v>5</v>
      </c>
      <c r="M319" s="104">
        <v>6</v>
      </c>
      <c r="N319" s="104">
        <v>7</v>
      </c>
      <c r="O319" s="104">
        <v>8</v>
      </c>
      <c r="P319" s="104">
        <v>9</v>
      </c>
      <c r="Q319" s="53">
        <f t="shared" si="167"/>
        <v>2</v>
      </c>
      <c r="R319" s="53">
        <f t="shared" si="168"/>
        <v>3</v>
      </c>
      <c r="S319" s="53">
        <f t="shared" si="169"/>
        <v>5</v>
      </c>
      <c r="T319" s="101">
        <f t="shared" si="143"/>
        <v>10</v>
      </c>
      <c r="U319" s="15" t="str">
        <f>_xlfn.TEXTJOIN(", ",TRUE,ABS(MID(B319,{1,1,2},1)-MID(B319,{2,3,3},1)))</f>
        <v>2, 3, 5</v>
      </c>
      <c r="V319" s="54">
        <v>0</v>
      </c>
      <c r="W319" s="54">
        <v>1</v>
      </c>
      <c r="X319" s="54">
        <v>2</v>
      </c>
      <c r="Y319" s="54">
        <v>3</v>
      </c>
      <c r="Z319" s="54">
        <v>4</v>
      </c>
      <c r="AA319" s="54">
        <v>5</v>
      </c>
      <c r="AB319" s="54">
        <v>6</v>
      </c>
      <c r="AC319" s="54">
        <v>7</v>
      </c>
      <c r="AD319" s="54">
        <v>8</v>
      </c>
      <c r="AE319" s="54">
        <v>9</v>
      </c>
      <c r="AF319" s="55">
        <v>0</v>
      </c>
      <c r="AG319" s="55">
        <v>1</v>
      </c>
      <c r="AH319" s="55">
        <v>2</v>
      </c>
      <c r="AI319" s="55">
        <v>3</v>
      </c>
      <c r="AJ319" s="55">
        <v>4</v>
      </c>
      <c r="AK319" s="55">
        <v>5</v>
      </c>
      <c r="AL319" s="55">
        <v>6</v>
      </c>
      <c r="AM319" s="55">
        <v>7</v>
      </c>
      <c r="AN319" s="55">
        <v>8</v>
      </c>
      <c r="AO319" s="55">
        <v>9</v>
      </c>
      <c r="AP319" s="105">
        <v>0</v>
      </c>
      <c r="AQ319" s="105">
        <v>1</v>
      </c>
      <c r="AR319" s="105">
        <v>2</v>
      </c>
      <c r="AS319" s="105">
        <v>3</v>
      </c>
      <c r="AT319" s="105">
        <v>4</v>
      </c>
      <c r="AU319" s="105">
        <v>5</v>
      </c>
      <c r="AV319" s="105">
        <v>6</v>
      </c>
      <c r="AW319" s="105">
        <v>7</v>
      </c>
      <c r="AX319" s="105">
        <v>8</v>
      </c>
      <c r="AY319" s="105">
        <v>9</v>
      </c>
      <c r="AZ319" s="56">
        <v>0</v>
      </c>
      <c r="BA319" s="56">
        <v>1</v>
      </c>
      <c r="BB319" s="56">
        <v>2</v>
      </c>
      <c r="BC319" s="56">
        <v>3</v>
      </c>
      <c r="BD319" s="56">
        <v>4</v>
      </c>
      <c r="BE319" s="56">
        <v>5</v>
      </c>
      <c r="BF319" s="56">
        <v>6</v>
      </c>
      <c r="BG319" s="56">
        <v>7</v>
      </c>
      <c r="BH319" s="56">
        <v>8</v>
      </c>
      <c r="BI319" s="56">
        <v>9</v>
      </c>
      <c r="BJ319" s="57" t="str">
        <f t="shared" si="144"/>
        <v>标准型</v>
      </c>
      <c r="BK319" s="13">
        <f t="shared" si="140"/>
        <v>2</v>
      </c>
      <c r="BL319" s="13">
        <f t="shared" si="141"/>
        <v>5</v>
      </c>
      <c r="BM319" s="18" t="str">
        <f t="shared" si="146"/>
        <v/>
      </c>
      <c r="BN319" s="19">
        <f t="shared" si="147"/>
        <v>2</v>
      </c>
      <c r="BO319" s="19" t="str">
        <f t="array" ref="BO319">_xlfn.TEXTJOIN("",TRUE,IF(ISERROR(FIND(ROW($1:$10)-1,BM319&amp;BN319)),ROW($1:$10)-1,""))</f>
        <v>013456789</v>
      </c>
      <c r="BP319" s="20" t="str">
        <f t="shared" si="148"/>
        <v>中隔中</v>
      </c>
      <c r="BQ319" s="21" t="str">
        <f t="shared" si="159"/>
        <v/>
      </c>
      <c r="BR319" s="21" t="str">
        <f t="shared" si="157"/>
        <v/>
      </c>
      <c r="BS319" s="21" t="str">
        <f t="array" ref="BS319">_xlfn.TEXTJOIN("",TRUE,IF(ISERROR(FIND(ROW($1:$10)-1,BQ319&amp;BR319)),ROW($1:$10)-1,""))</f>
        <v>0123456789</v>
      </c>
      <c r="BT319" s="20" t="str">
        <f t="shared" si="149"/>
        <v>中中中</v>
      </c>
      <c r="BU319" s="22" t="str">
        <f t="shared" si="150"/>
        <v/>
      </c>
      <c r="BV319" s="22" t="str">
        <f t="shared" si="158"/>
        <v/>
      </c>
      <c r="BW319" s="22" t="str">
        <f t="array" ref="BW319">_xlfn.TEXTJOIN("",TRUE,IF(ISERROR(FIND(ROW($1:$10)-1,BU319&amp;BV319)),ROW($1:$10)-1,""))</f>
        <v>0123456789</v>
      </c>
      <c r="BX319" s="20" t="str">
        <f t="shared" si="151"/>
        <v>中中中</v>
      </c>
      <c r="BY319" s="23" t="str">
        <f t="shared" si="145"/>
        <v>13</v>
      </c>
      <c r="BZ319" s="24" t="str">
        <f t="array" ref="BZ319">_xlfn.TEXTJOIN("",TRUE,IF(ISNUMBER(FIND(MID(BY318&amp;Q318,ROW($1:$4),1),BY319&amp;Q319)),MID(BY318&amp;Q318,ROW($1:$4),1),""))</f>
        <v>21</v>
      </c>
      <c r="CA319" s="25" t="str">
        <f t="array" ref="CA319">_xlfn.TEXTJOIN("",TRUE,IF(ISERROR(FIND(ROW($1:$10)-1,BY319&amp;BZ319)),ROW($1:$10)-1,""))</f>
        <v>0456789</v>
      </c>
      <c r="CB319" s="26" t="str">
        <f t="shared" si="152"/>
        <v>邻传孤</v>
      </c>
      <c r="CC319" s="27" t="str">
        <f t="shared" si="153"/>
        <v>24</v>
      </c>
      <c r="CD319" s="27" t="str">
        <f t="array" ref="CD319">_xlfn.TEXTJOIN("",TRUE,IF(ISNUMBER(FIND(MID(CC318&amp;R318,ROW($1:$4),1),CC319&amp;R319)),MID(CC318&amp;R318,ROW($1:$4),1),""))</f>
        <v/>
      </c>
      <c r="CE319" s="27" t="str">
        <f t="array" ref="CE319">_xlfn.TEXTJOIN("",TRUE,IF(ISERROR(FIND(ROW($1:$10)-1,CC319&amp;CD319)),ROW($1:$10)-1,""))</f>
        <v>01356789</v>
      </c>
      <c r="CF319" s="17" t="str">
        <f t="shared" si="154"/>
        <v>邻孤孤</v>
      </c>
      <c r="CG319" s="22" t="str">
        <f t="shared" si="155"/>
        <v>46</v>
      </c>
      <c r="CH319" s="22" t="str">
        <f t="array" ref="CH319">_xlfn.TEXTJOIN("",TRUE,IF(ISNUMBER(FIND(MID(CG318&amp;S318,ROW($1:$4),1),CG319&amp;S319)),MID(CG318&amp;S318,ROW($1:$4),1),""))</f>
        <v/>
      </c>
      <c r="CI319" s="22" t="str">
        <f t="array" ref="CI319">_xlfn.TEXTJOIN("",TRUE,IF(ISERROR(FIND(ROW($1:$10)-1,CG319&amp;CH319)),ROW($1:$10)-1,""))</f>
        <v>01235789</v>
      </c>
      <c r="CJ319" s="28" t="str">
        <f t="shared" si="156"/>
        <v>邻孤孤</v>
      </c>
    </row>
    <row r="320" spans="1:88">
      <c r="A320" s="32">
        <v>2025095</v>
      </c>
      <c r="B320" s="8" t="s">
        <v>286</v>
      </c>
      <c r="C320" s="49">
        <f t="shared" si="165"/>
        <v>14</v>
      </c>
      <c r="D320" s="50">
        <f t="shared" si="166"/>
        <v>4</v>
      </c>
      <c r="E320" s="51">
        <f t="shared" si="142"/>
        <v>4.6666666666666696</v>
      </c>
      <c r="F320" s="52">
        <f>MAX(MID(B320,{1,2,3},1)*1)-MIN(MID(B320,{1,2,3},1)*1)</f>
        <v>8</v>
      </c>
      <c r="G320" s="104">
        <v>0</v>
      </c>
      <c r="H320" s="104">
        <v>1</v>
      </c>
      <c r="I320" s="104">
        <v>2</v>
      </c>
      <c r="J320" s="104">
        <v>3</v>
      </c>
      <c r="K320" s="104">
        <v>4</v>
      </c>
      <c r="L320" s="104">
        <v>5</v>
      </c>
      <c r="M320" s="104">
        <v>6</v>
      </c>
      <c r="N320" s="104">
        <v>7</v>
      </c>
      <c r="O320" s="104">
        <v>8</v>
      </c>
      <c r="P320" s="104">
        <v>9</v>
      </c>
      <c r="Q320" s="53">
        <f t="shared" si="167"/>
        <v>6</v>
      </c>
      <c r="R320" s="53">
        <f t="shared" si="168"/>
        <v>8</v>
      </c>
      <c r="S320" s="53">
        <f t="shared" si="169"/>
        <v>2</v>
      </c>
      <c r="T320" s="101">
        <f t="shared" si="143"/>
        <v>16</v>
      </c>
      <c r="U320" s="15" t="str">
        <f>_xlfn.TEXTJOIN(", ",TRUE,ABS(MID(B320,{1,1,2},1)-MID(B320,{2,3,3},1)))</f>
        <v>6, 8, 2</v>
      </c>
      <c r="V320" s="54">
        <v>0</v>
      </c>
      <c r="W320" s="54">
        <v>1</v>
      </c>
      <c r="X320" s="54">
        <v>2</v>
      </c>
      <c r="Y320" s="54">
        <v>3</v>
      </c>
      <c r="Z320" s="54">
        <v>4</v>
      </c>
      <c r="AA320" s="54">
        <v>5</v>
      </c>
      <c r="AB320" s="54">
        <v>6</v>
      </c>
      <c r="AC320" s="54">
        <v>7</v>
      </c>
      <c r="AD320" s="54">
        <v>8</v>
      </c>
      <c r="AE320" s="54">
        <v>9</v>
      </c>
      <c r="AF320" s="55">
        <v>0</v>
      </c>
      <c r="AG320" s="55">
        <v>1</v>
      </c>
      <c r="AH320" s="55">
        <v>2</v>
      </c>
      <c r="AI320" s="55">
        <v>3</v>
      </c>
      <c r="AJ320" s="55">
        <v>4</v>
      </c>
      <c r="AK320" s="55">
        <v>5</v>
      </c>
      <c r="AL320" s="55">
        <v>6</v>
      </c>
      <c r="AM320" s="55">
        <v>7</v>
      </c>
      <c r="AN320" s="55">
        <v>8</v>
      </c>
      <c r="AO320" s="55">
        <v>9</v>
      </c>
      <c r="AP320" s="105">
        <v>0</v>
      </c>
      <c r="AQ320" s="105">
        <v>1</v>
      </c>
      <c r="AR320" s="105">
        <v>2</v>
      </c>
      <c r="AS320" s="105">
        <v>3</v>
      </c>
      <c r="AT320" s="105">
        <v>4</v>
      </c>
      <c r="AU320" s="105">
        <v>5</v>
      </c>
      <c r="AV320" s="105">
        <v>6</v>
      </c>
      <c r="AW320" s="105">
        <v>7</v>
      </c>
      <c r="AX320" s="105">
        <v>8</v>
      </c>
      <c r="AY320" s="105">
        <v>9</v>
      </c>
      <c r="AZ320" s="56">
        <v>0</v>
      </c>
      <c r="BA320" s="56">
        <v>1</v>
      </c>
      <c r="BB320" s="56">
        <v>2</v>
      </c>
      <c r="BC320" s="56">
        <v>3</v>
      </c>
      <c r="BD320" s="56">
        <v>4</v>
      </c>
      <c r="BE320" s="56">
        <v>5</v>
      </c>
      <c r="BF320" s="56">
        <v>6</v>
      </c>
      <c r="BG320" s="56">
        <v>7</v>
      </c>
      <c r="BH320" s="56">
        <v>8</v>
      </c>
      <c r="BI320" s="56">
        <v>9</v>
      </c>
      <c r="BJ320" s="57" t="str">
        <f t="shared" si="144"/>
        <v>松散型</v>
      </c>
      <c r="BK320" s="13">
        <f t="shared" si="140"/>
        <v>2</v>
      </c>
      <c r="BL320" s="13">
        <f t="shared" si="141"/>
        <v>8</v>
      </c>
      <c r="BM320" s="18" t="str">
        <f t="shared" si="146"/>
        <v/>
      </c>
      <c r="BN320" s="19" t="str">
        <f t="shared" si="147"/>
        <v/>
      </c>
      <c r="BO320" s="19" t="str">
        <f t="array" ref="BO320">_xlfn.TEXTJOIN("",TRUE,IF(ISERROR(FIND(ROW($1:$10)-1,BM320&amp;BN320)),ROW($1:$10)-1,""))</f>
        <v>0123456789</v>
      </c>
      <c r="BP320" s="20" t="str">
        <f t="shared" si="148"/>
        <v>中中中</v>
      </c>
      <c r="BQ320" s="21" t="str">
        <f t="shared" si="159"/>
        <v/>
      </c>
      <c r="BR320" s="21" t="str">
        <f t="shared" si="157"/>
        <v/>
      </c>
      <c r="BS320" s="21" t="str">
        <f t="array" ref="BS320">_xlfn.TEXTJOIN("",TRUE,IF(ISERROR(FIND(ROW($1:$10)-1,BQ320&amp;BR320)),ROW($1:$10)-1,""))</f>
        <v>0123456789</v>
      </c>
      <c r="BT320" s="20" t="str">
        <f t="shared" si="149"/>
        <v>中中中</v>
      </c>
      <c r="BU320" s="22">
        <f t="shared" si="150"/>
        <v>2</v>
      </c>
      <c r="BV320" s="22" t="str">
        <f t="shared" si="158"/>
        <v/>
      </c>
      <c r="BW320" s="22" t="str">
        <f t="array" ref="BW320">_xlfn.TEXTJOIN("",TRUE,IF(ISERROR(FIND(ROW($1:$10)-1,BU320&amp;BV320)),ROW($1:$10)-1,""))</f>
        <v>013456789</v>
      </c>
      <c r="BX320" s="20" t="str">
        <f t="shared" si="151"/>
        <v>复中中</v>
      </c>
      <c r="BY320" s="23" t="str">
        <f t="shared" si="145"/>
        <v>57</v>
      </c>
      <c r="BZ320" s="24" t="str">
        <f t="array" ref="BZ320">_xlfn.TEXTJOIN("",TRUE,IF(ISNUMBER(FIND(MID(BY319&amp;Q319,ROW($1:$4),1),BY320&amp;Q320)),MID(BY319&amp;Q319,ROW($1:$4),1),""))</f>
        <v/>
      </c>
      <c r="CA320" s="25" t="str">
        <f t="array" ref="CA320">_xlfn.TEXTJOIN("",TRUE,IF(ISERROR(FIND(ROW($1:$10)-1,BY320&amp;BZ320)),ROW($1:$10)-1,""))</f>
        <v>01234689</v>
      </c>
      <c r="CB320" s="26" t="str">
        <f t="shared" si="152"/>
        <v>邻孤孤</v>
      </c>
      <c r="CC320" s="27" t="str">
        <f t="shared" si="153"/>
        <v>79</v>
      </c>
      <c r="CD320" s="27" t="str">
        <f t="array" ref="CD320">_xlfn.TEXTJOIN("",TRUE,IF(ISNUMBER(FIND(MID(CC319&amp;R319,ROW($1:$4),1),CC320&amp;R320)),MID(CC319&amp;R319,ROW($1:$4),1),""))</f>
        <v/>
      </c>
      <c r="CE320" s="27" t="str">
        <f t="array" ref="CE320">_xlfn.TEXTJOIN("",TRUE,IF(ISERROR(FIND(ROW($1:$10)-1,CC320&amp;CD320)),ROW($1:$10)-1,""))</f>
        <v>01234568</v>
      </c>
      <c r="CF320" s="17" t="str">
        <f t="shared" si="154"/>
        <v>邻孤孤</v>
      </c>
      <c r="CG320" s="22" t="str">
        <f t="shared" si="155"/>
        <v>13</v>
      </c>
      <c r="CH320" s="22" t="str">
        <f t="array" ref="CH320">_xlfn.TEXTJOIN("",TRUE,IF(ISNUMBER(FIND(MID(CG319&amp;S319,ROW($1:$4),1),CG320&amp;S320)),MID(CG319&amp;S319,ROW($1:$4),1),""))</f>
        <v/>
      </c>
      <c r="CI320" s="22" t="str">
        <f t="array" ref="CI320">_xlfn.TEXTJOIN("",TRUE,IF(ISERROR(FIND(ROW($1:$10)-1,CG320&amp;CH320)),ROW($1:$10)-1,""))</f>
        <v>02456789</v>
      </c>
      <c r="CJ320" s="28" t="str">
        <f t="shared" si="156"/>
        <v>邻孤孤</v>
      </c>
    </row>
    <row r="321" spans="1:88">
      <c r="A321" s="32">
        <v>2025096</v>
      </c>
      <c r="B321" s="8" t="s">
        <v>264</v>
      </c>
      <c r="C321" s="49">
        <f t="shared" si="165"/>
        <v>16</v>
      </c>
      <c r="D321" s="50">
        <f t="shared" si="166"/>
        <v>6</v>
      </c>
      <c r="E321" s="51">
        <f t="shared" si="142"/>
        <v>5.3333333333333304</v>
      </c>
      <c r="F321" s="52">
        <f>MAX(MID(B321,{1,2,3},1)*1)-MIN(MID(B321,{1,2,3},1)*1)</f>
        <v>5</v>
      </c>
      <c r="G321" s="104">
        <v>0</v>
      </c>
      <c r="H321" s="104">
        <v>1</v>
      </c>
      <c r="I321" s="104">
        <v>2</v>
      </c>
      <c r="J321" s="104">
        <v>3</v>
      </c>
      <c r="K321" s="104">
        <v>4</v>
      </c>
      <c r="L321" s="104">
        <v>5</v>
      </c>
      <c r="M321" s="104">
        <v>6</v>
      </c>
      <c r="N321" s="104">
        <v>7</v>
      </c>
      <c r="O321" s="104">
        <v>8</v>
      </c>
      <c r="P321" s="104">
        <v>9</v>
      </c>
      <c r="Q321" s="53">
        <f t="shared" si="167"/>
        <v>5</v>
      </c>
      <c r="R321" s="53">
        <f t="shared" si="168"/>
        <v>2</v>
      </c>
      <c r="S321" s="53">
        <f t="shared" si="169"/>
        <v>3</v>
      </c>
      <c r="T321" s="101">
        <f t="shared" si="143"/>
        <v>10</v>
      </c>
      <c r="U321" s="15" t="str">
        <f>_xlfn.TEXTJOIN(", ",TRUE,ABS(MID(B321,{1,1,2},1)-MID(B321,{2,3,3},1)))</f>
        <v>5, 2, 3</v>
      </c>
      <c r="V321" s="54">
        <v>0</v>
      </c>
      <c r="W321" s="54">
        <v>1</v>
      </c>
      <c r="X321" s="54">
        <v>2</v>
      </c>
      <c r="Y321" s="54">
        <v>3</v>
      </c>
      <c r="Z321" s="54">
        <v>4</v>
      </c>
      <c r="AA321" s="54">
        <v>5</v>
      </c>
      <c r="AB321" s="54">
        <v>6</v>
      </c>
      <c r="AC321" s="54">
        <v>7</v>
      </c>
      <c r="AD321" s="54">
        <v>8</v>
      </c>
      <c r="AE321" s="54">
        <v>9</v>
      </c>
      <c r="AF321" s="55">
        <v>0</v>
      </c>
      <c r="AG321" s="55">
        <v>1</v>
      </c>
      <c r="AH321" s="55">
        <v>2</v>
      </c>
      <c r="AI321" s="55">
        <v>3</v>
      </c>
      <c r="AJ321" s="55">
        <v>4</v>
      </c>
      <c r="AK321" s="55">
        <v>5</v>
      </c>
      <c r="AL321" s="55">
        <v>6</v>
      </c>
      <c r="AM321" s="55">
        <v>7</v>
      </c>
      <c r="AN321" s="55">
        <v>8</v>
      </c>
      <c r="AO321" s="55">
        <v>9</v>
      </c>
      <c r="AP321" s="105">
        <v>0</v>
      </c>
      <c r="AQ321" s="105">
        <v>1</v>
      </c>
      <c r="AR321" s="105">
        <v>2</v>
      </c>
      <c r="AS321" s="105">
        <v>3</v>
      </c>
      <c r="AT321" s="105">
        <v>4</v>
      </c>
      <c r="AU321" s="105">
        <v>5</v>
      </c>
      <c r="AV321" s="105">
        <v>6</v>
      </c>
      <c r="AW321" s="105">
        <v>7</v>
      </c>
      <c r="AX321" s="105">
        <v>8</v>
      </c>
      <c r="AY321" s="105">
        <v>9</v>
      </c>
      <c r="AZ321" s="56">
        <v>0</v>
      </c>
      <c r="BA321" s="56">
        <v>1</v>
      </c>
      <c r="BB321" s="56">
        <v>2</v>
      </c>
      <c r="BC321" s="56">
        <v>3</v>
      </c>
      <c r="BD321" s="56">
        <v>4</v>
      </c>
      <c r="BE321" s="56">
        <v>5</v>
      </c>
      <c r="BF321" s="56">
        <v>6</v>
      </c>
      <c r="BG321" s="56">
        <v>7</v>
      </c>
      <c r="BH321" s="56">
        <v>8</v>
      </c>
      <c r="BI321" s="56">
        <v>9</v>
      </c>
      <c r="BJ321" s="57" t="str">
        <f t="shared" si="144"/>
        <v>标准型</v>
      </c>
      <c r="BK321" s="13">
        <f t="shared" si="140"/>
        <v>2</v>
      </c>
      <c r="BL321" s="13">
        <f t="shared" si="141"/>
        <v>5</v>
      </c>
      <c r="BM321" s="18" t="str">
        <f t="shared" si="146"/>
        <v/>
      </c>
      <c r="BN321" s="19">
        <f t="shared" si="147"/>
        <v>5</v>
      </c>
      <c r="BO321" s="19" t="str">
        <f t="array" ref="BO321">_xlfn.TEXTJOIN("",TRUE,IF(ISERROR(FIND(ROW($1:$10)-1,BM321&amp;BN321)),ROW($1:$10)-1,""))</f>
        <v>012346789</v>
      </c>
      <c r="BP321" s="20" t="str">
        <f t="shared" si="148"/>
        <v>中隔中</v>
      </c>
      <c r="BQ321" s="21">
        <f t="shared" si="159"/>
        <v>2</v>
      </c>
      <c r="BR321" s="21">
        <f t="shared" si="157"/>
        <v>2</v>
      </c>
      <c r="BS321" s="21" t="str">
        <f t="array" ref="BS321">_xlfn.TEXTJOIN("",TRUE,IF(ISERROR(FIND(ROW($1:$10)-1,BQ321&amp;BR321)),ROW($1:$10)-1,""))</f>
        <v>013456789</v>
      </c>
      <c r="BT321" s="20" t="str">
        <f t="shared" si="149"/>
        <v>复隔中</v>
      </c>
      <c r="BU321" s="22" t="str">
        <f t="shared" si="150"/>
        <v/>
      </c>
      <c r="BV321" s="22">
        <f t="shared" si="158"/>
        <v>3</v>
      </c>
      <c r="BW321" s="22" t="str">
        <f t="array" ref="BW321">_xlfn.TEXTJOIN("",TRUE,IF(ISERROR(FIND(ROW($1:$10)-1,BU321&amp;BV321)),ROW($1:$10)-1,""))</f>
        <v>012456789</v>
      </c>
      <c r="BX321" s="20" t="str">
        <f t="shared" si="151"/>
        <v>中隔中</v>
      </c>
      <c r="BY321" s="23" t="str">
        <f t="shared" si="145"/>
        <v>46</v>
      </c>
      <c r="BZ321" s="24" t="str">
        <f t="array" ref="BZ321">_xlfn.TEXTJOIN("",TRUE,IF(ISNUMBER(FIND(MID(BY320&amp;Q320,ROW($1:$4),1),BY321&amp;Q321)),MID(BY320&amp;Q320,ROW($1:$4),1),""))</f>
        <v>56</v>
      </c>
      <c r="CA321" s="25" t="str">
        <f t="array" ref="CA321">_xlfn.TEXTJOIN("",TRUE,IF(ISERROR(FIND(ROW($1:$10)-1,BY321&amp;BZ321)),ROW($1:$10)-1,""))</f>
        <v>0123789</v>
      </c>
      <c r="CB321" s="26" t="str">
        <f t="shared" si="152"/>
        <v>邻传孤</v>
      </c>
      <c r="CC321" s="27" t="str">
        <f t="shared" si="153"/>
        <v>13</v>
      </c>
      <c r="CD321" s="27" t="str">
        <f t="array" ref="CD321">_xlfn.TEXTJOIN("",TRUE,IF(ISNUMBER(FIND(MID(CC320&amp;R320,ROW($1:$4),1),CC321&amp;R321)),MID(CC320&amp;R320,ROW($1:$4),1),""))</f>
        <v/>
      </c>
      <c r="CE321" s="27" t="str">
        <f t="array" ref="CE321">_xlfn.TEXTJOIN("",TRUE,IF(ISERROR(FIND(ROW($1:$10)-1,CC321&amp;CD321)),ROW($1:$10)-1,""))</f>
        <v>02456789</v>
      </c>
      <c r="CF321" s="17" t="str">
        <f t="shared" si="154"/>
        <v>邻孤孤</v>
      </c>
      <c r="CG321" s="22" t="str">
        <f t="shared" si="155"/>
        <v>24</v>
      </c>
      <c r="CH321" s="22" t="str">
        <f t="array" ref="CH321">_xlfn.TEXTJOIN("",TRUE,IF(ISNUMBER(FIND(MID(CG320&amp;S320,ROW($1:$4),1),CG321&amp;S321)),MID(CG320&amp;S320,ROW($1:$4),1),""))</f>
        <v>32</v>
      </c>
      <c r="CI321" s="22" t="str">
        <f t="array" ref="CI321">_xlfn.TEXTJOIN("",TRUE,IF(ISERROR(FIND(ROW($1:$10)-1,CG321&amp;CH321)),ROW($1:$10)-1,""))</f>
        <v>0156789</v>
      </c>
      <c r="CJ321" s="28" t="str">
        <f t="shared" si="156"/>
        <v>邻传孤</v>
      </c>
    </row>
    <row r="322" spans="1:88">
      <c r="A322" s="32">
        <v>2025097</v>
      </c>
      <c r="B322" s="8" t="s">
        <v>195</v>
      </c>
      <c r="C322" s="49">
        <f t="shared" si="165"/>
        <v>11</v>
      </c>
      <c r="D322" s="50">
        <f t="shared" si="166"/>
        <v>1</v>
      </c>
      <c r="E322" s="51">
        <f t="shared" si="142"/>
        <v>3.6666666666666701</v>
      </c>
      <c r="F322" s="52">
        <f>MAX(MID(B322,{1,2,3},1)*1)-MIN(MID(B322,{1,2,3},1)*1)</f>
        <v>3</v>
      </c>
      <c r="G322" s="104">
        <v>0</v>
      </c>
      <c r="H322" s="104">
        <v>1</v>
      </c>
      <c r="I322" s="104">
        <v>2</v>
      </c>
      <c r="J322" s="104">
        <v>3</v>
      </c>
      <c r="K322" s="104">
        <v>4</v>
      </c>
      <c r="L322" s="104">
        <v>5</v>
      </c>
      <c r="M322" s="104">
        <v>6</v>
      </c>
      <c r="N322" s="104">
        <v>7</v>
      </c>
      <c r="O322" s="104">
        <v>8</v>
      </c>
      <c r="P322" s="104">
        <v>9</v>
      </c>
      <c r="Q322" s="53">
        <f t="shared" si="167"/>
        <v>1</v>
      </c>
      <c r="R322" s="53">
        <f t="shared" si="168"/>
        <v>3</v>
      </c>
      <c r="S322" s="53">
        <f t="shared" si="169"/>
        <v>2</v>
      </c>
      <c r="T322" s="101">
        <f t="shared" si="143"/>
        <v>6</v>
      </c>
      <c r="U322" s="15" t="str">
        <f>_xlfn.TEXTJOIN(", ",TRUE,ABS(MID(B322,{1,1,2},1)-MID(B322,{2,3,3},1)))</f>
        <v>1, 3, 2</v>
      </c>
      <c r="V322" s="54">
        <v>0</v>
      </c>
      <c r="W322" s="54">
        <v>1</v>
      </c>
      <c r="X322" s="54">
        <v>2</v>
      </c>
      <c r="Y322" s="54">
        <v>3</v>
      </c>
      <c r="Z322" s="54">
        <v>4</v>
      </c>
      <c r="AA322" s="54">
        <v>5</v>
      </c>
      <c r="AB322" s="54">
        <v>6</v>
      </c>
      <c r="AC322" s="54">
        <v>7</v>
      </c>
      <c r="AD322" s="54">
        <v>8</v>
      </c>
      <c r="AE322" s="54">
        <v>9</v>
      </c>
      <c r="AF322" s="55">
        <v>0</v>
      </c>
      <c r="AG322" s="55">
        <v>1</v>
      </c>
      <c r="AH322" s="55">
        <v>2</v>
      </c>
      <c r="AI322" s="55">
        <v>3</v>
      </c>
      <c r="AJ322" s="55">
        <v>4</v>
      </c>
      <c r="AK322" s="55">
        <v>5</v>
      </c>
      <c r="AL322" s="55">
        <v>6</v>
      </c>
      <c r="AM322" s="55">
        <v>7</v>
      </c>
      <c r="AN322" s="55">
        <v>8</v>
      </c>
      <c r="AO322" s="55">
        <v>9</v>
      </c>
      <c r="AP322" s="105">
        <v>0</v>
      </c>
      <c r="AQ322" s="105">
        <v>1</v>
      </c>
      <c r="AR322" s="105">
        <v>2</v>
      </c>
      <c r="AS322" s="105">
        <v>3</v>
      </c>
      <c r="AT322" s="105">
        <v>4</v>
      </c>
      <c r="AU322" s="105">
        <v>5</v>
      </c>
      <c r="AV322" s="105">
        <v>6</v>
      </c>
      <c r="AW322" s="105">
        <v>7</v>
      </c>
      <c r="AX322" s="105">
        <v>8</v>
      </c>
      <c r="AY322" s="105">
        <v>9</v>
      </c>
      <c r="AZ322" s="56">
        <v>0</v>
      </c>
      <c r="BA322" s="56">
        <v>1</v>
      </c>
      <c r="BB322" s="56">
        <v>2</v>
      </c>
      <c r="BC322" s="56">
        <v>3</v>
      </c>
      <c r="BD322" s="56">
        <v>4</v>
      </c>
      <c r="BE322" s="56">
        <v>5</v>
      </c>
      <c r="BF322" s="56">
        <v>6</v>
      </c>
      <c r="BG322" s="56">
        <v>7</v>
      </c>
      <c r="BH322" s="56">
        <v>8</v>
      </c>
      <c r="BI322" s="56">
        <v>9</v>
      </c>
      <c r="BJ322" s="57" t="str">
        <f t="shared" si="144"/>
        <v>紧凑型</v>
      </c>
      <c r="BK322" s="13">
        <f t="shared" si="140"/>
        <v>1</v>
      </c>
      <c r="BL322" s="13">
        <f t="shared" si="141"/>
        <v>3</v>
      </c>
      <c r="BM322" s="18" t="str">
        <f t="shared" si="146"/>
        <v/>
      </c>
      <c r="BN322" s="19" t="str">
        <f t="shared" si="147"/>
        <v/>
      </c>
      <c r="BO322" s="19" t="str">
        <f t="array" ref="BO322">_xlfn.TEXTJOIN("",TRUE,IF(ISERROR(FIND(ROW($1:$10)-1,BM322&amp;BN322)),ROW($1:$10)-1,""))</f>
        <v>0123456789</v>
      </c>
      <c r="BP322" s="20" t="str">
        <f t="shared" si="148"/>
        <v>中中中</v>
      </c>
      <c r="BQ322" s="21">
        <f t="shared" si="159"/>
        <v>3</v>
      </c>
      <c r="BR322" s="21" t="str">
        <f t="shared" si="157"/>
        <v/>
      </c>
      <c r="BS322" s="21" t="str">
        <f t="array" ref="BS322">_xlfn.TEXTJOIN("",TRUE,IF(ISERROR(FIND(ROW($1:$10)-1,BQ322&amp;BR322)),ROW($1:$10)-1,""))</f>
        <v>012456789</v>
      </c>
      <c r="BT322" s="20" t="str">
        <f t="shared" si="149"/>
        <v>复中中</v>
      </c>
      <c r="BU322" s="22">
        <f t="shared" si="150"/>
        <v>2</v>
      </c>
      <c r="BV322" s="22">
        <f t="shared" si="158"/>
        <v>2</v>
      </c>
      <c r="BW322" s="22" t="str">
        <f t="array" ref="BW322">_xlfn.TEXTJOIN("",TRUE,IF(ISERROR(FIND(ROW($1:$10)-1,BU322&amp;BV322)),ROW($1:$10)-1,""))</f>
        <v>013456789</v>
      </c>
      <c r="BX322" s="20" t="str">
        <f t="shared" si="151"/>
        <v>复隔中</v>
      </c>
      <c r="BY322" s="23" t="str">
        <f t="shared" si="145"/>
        <v>02</v>
      </c>
      <c r="BZ322" s="24" t="str">
        <f t="array" ref="BZ322">_xlfn.TEXTJOIN("",TRUE,IF(ISNUMBER(FIND(MID(BY321&amp;Q321,ROW($1:$4),1),BY322&amp;Q322)),MID(BY321&amp;Q321,ROW($1:$4),1),""))</f>
        <v/>
      </c>
      <c r="CA322" s="25" t="str">
        <f t="array" ref="CA322">_xlfn.TEXTJOIN("",TRUE,IF(ISERROR(FIND(ROW($1:$10)-1,BY322&amp;BZ322)),ROW($1:$10)-1,""))</f>
        <v>13456789</v>
      </c>
      <c r="CB322" s="26" t="str">
        <f t="shared" si="152"/>
        <v>邻孤孤</v>
      </c>
      <c r="CC322" s="27" t="str">
        <f t="shared" si="153"/>
        <v>24</v>
      </c>
      <c r="CD322" s="27" t="str">
        <f t="array" ref="CD322">_xlfn.TEXTJOIN("",TRUE,IF(ISNUMBER(FIND(MID(CC321&amp;R321,ROW($1:$4),1),CC322&amp;R322)),MID(CC321&amp;R321,ROW($1:$4),1),""))</f>
        <v>32</v>
      </c>
      <c r="CE322" s="27" t="str">
        <f t="array" ref="CE322">_xlfn.TEXTJOIN("",TRUE,IF(ISERROR(FIND(ROW($1:$10)-1,CC322&amp;CD322)),ROW($1:$10)-1,""))</f>
        <v>0156789</v>
      </c>
      <c r="CF322" s="17" t="str">
        <f t="shared" si="154"/>
        <v>邻传孤</v>
      </c>
      <c r="CG322" s="22" t="str">
        <f t="shared" si="155"/>
        <v>13</v>
      </c>
      <c r="CH322" s="22" t="str">
        <f t="array" ref="CH322">_xlfn.TEXTJOIN("",TRUE,IF(ISNUMBER(FIND(MID(CG321&amp;S321,ROW($1:$4),1),CG322&amp;S322)),MID(CG321&amp;S321,ROW($1:$4),1),""))</f>
        <v>23</v>
      </c>
      <c r="CI322" s="22" t="str">
        <f t="array" ref="CI322">_xlfn.TEXTJOIN("",TRUE,IF(ISERROR(FIND(ROW($1:$10)-1,CG322&amp;CH322)),ROW($1:$10)-1,""))</f>
        <v>0456789</v>
      </c>
      <c r="CJ322" s="28" t="str">
        <f t="shared" si="156"/>
        <v>邻传孤</v>
      </c>
    </row>
    <row r="323" spans="1:88">
      <c r="A323" s="32">
        <v>2025098</v>
      </c>
      <c r="B323" s="8" t="s">
        <v>287</v>
      </c>
      <c r="C323" s="49">
        <f t="shared" si="165"/>
        <v>12</v>
      </c>
      <c r="D323" s="50">
        <f t="shared" si="166"/>
        <v>2</v>
      </c>
      <c r="E323" s="51">
        <f t="shared" si="142"/>
        <v>4</v>
      </c>
      <c r="F323" s="52">
        <f>MAX(MID(B323,{1,2,3},1)*1)-MIN(MID(B323,{1,2,3},1)*1)</f>
        <v>6</v>
      </c>
      <c r="G323" s="104">
        <v>0</v>
      </c>
      <c r="H323" s="104">
        <v>1</v>
      </c>
      <c r="I323" s="104">
        <v>2</v>
      </c>
      <c r="J323" s="104">
        <v>3</v>
      </c>
      <c r="K323" s="104">
        <v>4</v>
      </c>
      <c r="L323" s="104">
        <v>5</v>
      </c>
      <c r="M323" s="104">
        <v>6</v>
      </c>
      <c r="N323" s="104">
        <v>7</v>
      </c>
      <c r="O323" s="104">
        <v>8</v>
      </c>
      <c r="P323" s="104">
        <v>9</v>
      </c>
      <c r="Q323" s="53">
        <f t="shared" si="167"/>
        <v>6</v>
      </c>
      <c r="R323" s="53">
        <f t="shared" si="168"/>
        <v>3</v>
      </c>
      <c r="S323" s="53">
        <f t="shared" si="169"/>
        <v>3</v>
      </c>
      <c r="T323" s="101">
        <f t="shared" si="143"/>
        <v>12</v>
      </c>
      <c r="U323" s="15" t="str">
        <f>_xlfn.TEXTJOIN(", ",TRUE,ABS(MID(B323,{1,1,2},1)-MID(B323,{2,3,3},1)))</f>
        <v>6, 3, 3</v>
      </c>
      <c r="V323" s="54">
        <v>0</v>
      </c>
      <c r="W323" s="54">
        <v>1</v>
      </c>
      <c r="X323" s="54">
        <v>2</v>
      </c>
      <c r="Y323" s="54">
        <v>3</v>
      </c>
      <c r="Z323" s="54">
        <v>4</v>
      </c>
      <c r="AA323" s="54">
        <v>5</v>
      </c>
      <c r="AB323" s="54">
        <v>6</v>
      </c>
      <c r="AC323" s="54">
        <v>7</v>
      </c>
      <c r="AD323" s="54">
        <v>8</v>
      </c>
      <c r="AE323" s="54">
        <v>9</v>
      </c>
      <c r="AF323" s="55">
        <v>0</v>
      </c>
      <c r="AG323" s="55">
        <v>1</v>
      </c>
      <c r="AH323" s="55">
        <v>2</v>
      </c>
      <c r="AI323" s="55">
        <v>3</v>
      </c>
      <c r="AJ323" s="55">
        <v>4</v>
      </c>
      <c r="AK323" s="55">
        <v>5</v>
      </c>
      <c r="AL323" s="55">
        <v>6</v>
      </c>
      <c r="AM323" s="55">
        <v>7</v>
      </c>
      <c r="AN323" s="55">
        <v>8</v>
      </c>
      <c r="AO323" s="55">
        <v>9</v>
      </c>
      <c r="AP323" s="105">
        <v>0</v>
      </c>
      <c r="AQ323" s="105">
        <v>1</v>
      </c>
      <c r="AR323" s="105">
        <v>2</v>
      </c>
      <c r="AS323" s="105">
        <v>3</v>
      </c>
      <c r="AT323" s="105">
        <v>4</v>
      </c>
      <c r="AU323" s="105">
        <v>5</v>
      </c>
      <c r="AV323" s="105">
        <v>6</v>
      </c>
      <c r="AW323" s="105">
        <v>7</v>
      </c>
      <c r="AX323" s="105">
        <v>8</v>
      </c>
      <c r="AY323" s="105">
        <v>9</v>
      </c>
      <c r="AZ323" s="56">
        <v>0</v>
      </c>
      <c r="BA323" s="56">
        <v>1</v>
      </c>
      <c r="BB323" s="56">
        <v>2</v>
      </c>
      <c r="BC323" s="56">
        <v>3</v>
      </c>
      <c r="BD323" s="56">
        <v>4</v>
      </c>
      <c r="BE323" s="56">
        <v>5</v>
      </c>
      <c r="BF323" s="56">
        <v>6</v>
      </c>
      <c r="BG323" s="56">
        <v>7</v>
      </c>
      <c r="BH323" s="56">
        <v>8</v>
      </c>
      <c r="BI323" s="56">
        <v>9</v>
      </c>
      <c r="BJ323" s="57" t="str">
        <f t="shared" si="144"/>
        <v>松散型</v>
      </c>
      <c r="BK323" s="13">
        <f t="shared" ref="BK323:BK386" si="170">MIN(ABS(INT(B323/100)-INT(MOD(B323,100)/10)),ABS(INT(B323/100)-MOD(B323,10)),ABS(INT(MOD(B323,100)/10)-MOD(B323,10)))</f>
        <v>3</v>
      </c>
      <c r="BL323" s="13">
        <f t="shared" ref="BL323:BL386" si="171">MAX(ABS(INT(B323/100)-INT(MOD(B323,100)/10)),ABS(INT(B323/100)-MOD(B323,10)),ABS(INT(MOD(B323,100)/10)-MOD(B323,10)))</f>
        <v>6</v>
      </c>
      <c r="BM323" s="18" t="str">
        <f t="shared" si="146"/>
        <v/>
      </c>
      <c r="BN323" s="19" t="str">
        <f t="shared" si="147"/>
        <v/>
      </c>
      <c r="BO323" s="19" t="str">
        <f t="array" ref="BO323">_xlfn.TEXTJOIN("",TRUE,IF(ISERROR(FIND(ROW($1:$10)-1,BM323&amp;BN323)),ROW($1:$10)-1,""))</f>
        <v>0123456789</v>
      </c>
      <c r="BP323" s="20" t="str">
        <f t="shared" si="148"/>
        <v>中中中</v>
      </c>
      <c r="BQ323" s="21">
        <f t="shared" si="159"/>
        <v>3</v>
      </c>
      <c r="BR323" s="21">
        <f t="shared" si="157"/>
        <v>3</v>
      </c>
      <c r="BS323" s="21" t="str">
        <f t="array" ref="BS323">_xlfn.TEXTJOIN("",TRUE,IF(ISERROR(FIND(ROW($1:$10)-1,BQ323&amp;BR323)),ROW($1:$10)-1,""))</f>
        <v>012456789</v>
      </c>
      <c r="BT323" s="20" t="str">
        <f t="shared" si="149"/>
        <v>复隔中</v>
      </c>
      <c r="BU323" s="22">
        <f t="shared" si="150"/>
        <v>3</v>
      </c>
      <c r="BV323" s="22">
        <f t="shared" si="158"/>
        <v>3</v>
      </c>
      <c r="BW323" s="22" t="str">
        <f t="array" ref="BW323">_xlfn.TEXTJOIN("",TRUE,IF(ISERROR(FIND(ROW($1:$10)-1,BU323&amp;BV323)),ROW($1:$10)-1,""))</f>
        <v>012456789</v>
      </c>
      <c r="BX323" s="20" t="str">
        <f t="shared" si="151"/>
        <v>复隔中</v>
      </c>
      <c r="BY323" s="23" t="str">
        <f t="shared" si="145"/>
        <v>57</v>
      </c>
      <c r="BZ323" s="24" t="str">
        <f t="array" ref="BZ323">_xlfn.TEXTJOIN("",TRUE,IF(ISNUMBER(FIND(MID(BY322&amp;Q322,ROW($1:$4),1),BY323&amp;Q323)),MID(BY322&amp;Q322,ROW($1:$4),1),""))</f>
        <v/>
      </c>
      <c r="CA323" s="25" t="str">
        <f t="array" ref="CA323">_xlfn.TEXTJOIN("",TRUE,IF(ISERROR(FIND(ROW($1:$10)-1,BY323&amp;BZ323)),ROW($1:$10)-1,""))</f>
        <v>01234689</v>
      </c>
      <c r="CB323" s="26" t="str">
        <f t="shared" si="152"/>
        <v>邻孤孤</v>
      </c>
      <c r="CC323" s="27" t="str">
        <f t="shared" si="153"/>
        <v>24</v>
      </c>
      <c r="CD323" s="27" t="str">
        <f t="array" ref="CD323">_xlfn.TEXTJOIN("",TRUE,IF(ISNUMBER(FIND(MID(CC322&amp;R322,ROW($1:$4),1),CC323&amp;R323)),MID(CC322&amp;R322,ROW($1:$4),1),""))</f>
        <v>243</v>
      </c>
      <c r="CE323" s="27" t="str">
        <f t="array" ref="CE323">_xlfn.TEXTJOIN("",TRUE,IF(ISERROR(FIND(ROW($1:$10)-1,CC323&amp;CD323)),ROW($1:$10)-1,""))</f>
        <v>0156789</v>
      </c>
      <c r="CF323" s="17" t="str">
        <f t="shared" si="154"/>
        <v>邻传孤</v>
      </c>
      <c r="CG323" s="22" t="str">
        <f t="shared" si="155"/>
        <v>24</v>
      </c>
      <c r="CH323" s="22" t="str">
        <f t="array" ref="CH323">_xlfn.TEXTJOIN("",TRUE,IF(ISNUMBER(FIND(MID(CG322&amp;S322,ROW($1:$4),1),CG323&amp;S323)),MID(CG322&amp;S322,ROW($1:$4),1),""))</f>
        <v>32</v>
      </c>
      <c r="CI323" s="22" t="str">
        <f t="array" ref="CI323">_xlfn.TEXTJOIN("",TRUE,IF(ISERROR(FIND(ROW($1:$10)-1,CG323&amp;CH323)),ROW($1:$10)-1,""))</f>
        <v>0156789</v>
      </c>
      <c r="CJ323" s="28" t="str">
        <f t="shared" si="156"/>
        <v>邻传孤</v>
      </c>
    </row>
    <row r="324" spans="1:88">
      <c r="A324" s="32">
        <v>2025099</v>
      </c>
      <c r="B324" s="8" t="s">
        <v>288</v>
      </c>
      <c r="C324" s="49">
        <f t="shared" si="165"/>
        <v>14</v>
      </c>
      <c r="D324" s="50">
        <f t="shared" si="166"/>
        <v>4</v>
      </c>
      <c r="E324" s="51">
        <f t="shared" ref="E324:E387" si="172">C324/3</f>
        <v>4.6666666666666696</v>
      </c>
      <c r="F324" s="52">
        <f>MAX(MID(B324,{1,2,3},1)*1)-MIN(MID(B324,{1,2,3},1)*1)</f>
        <v>7</v>
      </c>
      <c r="G324" s="104">
        <v>0</v>
      </c>
      <c r="H324" s="104">
        <v>1</v>
      </c>
      <c r="I324" s="104">
        <v>2</v>
      </c>
      <c r="J324" s="104">
        <v>3</v>
      </c>
      <c r="K324" s="104">
        <v>4</v>
      </c>
      <c r="L324" s="104">
        <v>5</v>
      </c>
      <c r="M324" s="104">
        <v>6</v>
      </c>
      <c r="N324" s="104">
        <v>7</v>
      </c>
      <c r="O324" s="104">
        <v>8</v>
      </c>
      <c r="P324" s="104">
        <v>9</v>
      </c>
      <c r="Q324" s="53">
        <f t="shared" si="167"/>
        <v>7</v>
      </c>
      <c r="R324" s="53">
        <f t="shared" si="168"/>
        <v>0</v>
      </c>
      <c r="S324" s="53">
        <f t="shared" si="169"/>
        <v>7</v>
      </c>
      <c r="T324" s="101">
        <f t="shared" ref="T324:T387" si="173">Q324+R324+S324</f>
        <v>14</v>
      </c>
      <c r="U324" s="15" t="str">
        <f>_xlfn.TEXTJOIN(", ",TRUE,ABS(MID(B324,{1,1,2},1)-MID(B324,{2,3,3},1)))</f>
        <v>7, 0, 7</v>
      </c>
      <c r="V324" s="54">
        <v>0</v>
      </c>
      <c r="W324" s="54">
        <v>1</v>
      </c>
      <c r="X324" s="54">
        <v>2</v>
      </c>
      <c r="Y324" s="54">
        <v>3</v>
      </c>
      <c r="Z324" s="54">
        <v>4</v>
      </c>
      <c r="AA324" s="54">
        <v>5</v>
      </c>
      <c r="AB324" s="54">
        <v>6</v>
      </c>
      <c r="AC324" s="54">
        <v>7</v>
      </c>
      <c r="AD324" s="54">
        <v>8</v>
      </c>
      <c r="AE324" s="54">
        <v>9</v>
      </c>
      <c r="AF324" s="55">
        <v>0</v>
      </c>
      <c r="AG324" s="55">
        <v>1</v>
      </c>
      <c r="AH324" s="55">
        <v>2</v>
      </c>
      <c r="AI324" s="55">
        <v>3</v>
      </c>
      <c r="AJ324" s="55">
        <v>4</v>
      </c>
      <c r="AK324" s="55">
        <v>5</v>
      </c>
      <c r="AL324" s="55">
        <v>6</v>
      </c>
      <c r="AM324" s="55">
        <v>7</v>
      </c>
      <c r="AN324" s="55">
        <v>8</v>
      </c>
      <c r="AO324" s="55">
        <v>9</v>
      </c>
      <c r="AP324" s="105">
        <v>0</v>
      </c>
      <c r="AQ324" s="105">
        <v>1</v>
      </c>
      <c r="AR324" s="105">
        <v>2</v>
      </c>
      <c r="AS324" s="105">
        <v>3</v>
      </c>
      <c r="AT324" s="105">
        <v>4</v>
      </c>
      <c r="AU324" s="105">
        <v>5</v>
      </c>
      <c r="AV324" s="105">
        <v>6</v>
      </c>
      <c r="AW324" s="105">
        <v>7</v>
      </c>
      <c r="AX324" s="105">
        <v>8</v>
      </c>
      <c r="AY324" s="105">
        <v>9</v>
      </c>
      <c r="AZ324" s="56">
        <v>0</v>
      </c>
      <c r="BA324" s="56">
        <v>1</v>
      </c>
      <c r="BB324" s="56">
        <v>2</v>
      </c>
      <c r="BC324" s="56">
        <v>3</v>
      </c>
      <c r="BD324" s="56">
        <v>4</v>
      </c>
      <c r="BE324" s="56">
        <v>5</v>
      </c>
      <c r="BF324" s="56">
        <v>6</v>
      </c>
      <c r="BG324" s="56">
        <v>7</v>
      </c>
      <c r="BH324" s="56">
        <v>8</v>
      </c>
      <c r="BI324" s="56">
        <v>9</v>
      </c>
      <c r="BJ324" s="57" t="str">
        <f t="shared" ref="BJ324:BJ387" si="174">IF(AND(BK324&lt;=1,BL324&lt;=4),"紧凑型",IF(OR(BK324&gt;=3,BL324&gt;=6),"松散型",IF(AND(BK324&gt;=1,BL324&lt;=5),"标准型","对子")))</f>
        <v>松散型</v>
      </c>
      <c r="BK324" s="13">
        <f t="shared" si="170"/>
        <v>0</v>
      </c>
      <c r="BL324" s="13">
        <f t="shared" si="171"/>
        <v>7</v>
      </c>
      <c r="BM324" s="18" t="str">
        <f t="shared" si="146"/>
        <v/>
      </c>
      <c r="BN324" s="19" t="str">
        <f t="shared" si="147"/>
        <v/>
      </c>
      <c r="BO324" s="19" t="str">
        <f t="array" ref="BO324">_xlfn.TEXTJOIN("",TRUE,IF(ISERROR(FIND(ROW($1:$10)-1,BM324&amp;BN324)),ROW($1:$10)-1,""))</f>
        <v>0123456789</v>
      </c>
      <c r="BP324" s="20" t="str">
        <f t="shared" si="148"/>
        <v>中中中</v>
      </c>
      <c r="BQ324" s="21" t="str">
        <f t="shared" si="159"/>
        <v/>
      </c>
      <c r="BR324" s="21" t="str">
        <f t="shared" si="157"/>
        <v/>
      </c>
      <c r="BS324" s="21" t="str">
        <f t="array" ref="BS324">_xlfn.TEXTJOIN("",TRUE,IF(ISERROR(FIND(ROW($1:$10)-1,BQ324&amp;BR324)),ROW($1:$10)-1,""))</f>
        <v>0123456789</v>
      </c>
      <c r="BT324" s="20" t="str">
        <f t="shared" si="149"/>
        <v>中中中</v>
      </c>
      <c r="BU324" s="22" t="str">
        <f t="shared" si="150"/>
        <v/>
      </c>
      <c r="BV324" s="22" t="str">
        <f t="shared" si="158"/>
        <v/>
      </c>
      <c r="BW324" s="22" t="str">
        <f t="array" ref="BW324">_xlfn.TEXTJOIN("",TRUE,IF(ISERROR(FIND(ROW($1:$10)-1,BU324&amp;BV324)),ROW($1:$10)-1,""))</f>
        <v>0123456789</v>
      </c>
      <c r="BX324" s="20" t="str">
        <f t="shared" si="151"/>
        <v>中中中</v>
      </c>
      <c r="BY324" s="23" t="str">
        <f t="shared" ref="BY324:BY387" si="175">IF(Q324=0,9,Q324-1)&amp;""&amp;IF(Q324=9,0,Q324+1)</f>
        <v>68</v>
      </c>
      <c r="BZ324" s="24" t="str">
        <f t="array" ref="BZ324">_xlfn.TEXTJOIN("",TRUE,IF(ISNUMBER(FIND(MID(BY323&amp;Q323,ROW($1:$4),1),BY324&amp;Q324)),MID(BY323&amp;Q323,ROW($1:$4),1),""))</f>
        <v>76</v>
      </c>
      <c r="CA324" s="25" t="str">
        <f t="array" ref="CA324">_xlfn.TEXTJOIN("",TRUE,IF(ISERROR(FIND(ROW($1:$10)-1,BY324&amp;BZ324)),ROW($1:$10)-1,""))</f>
        <v>0123459</v>
      </c>
      <c r="CB324" s="26" t="str">
        <f t="shared" si="152"/>
        <v>邻传孤</v>
      </c>
      <c r="CC324" s="27" t="str">
        <f t="shared" si="153"/>
        <v>91</v>
      </c>
      <c r="CD324" s="27" t="str">
        <f t="array" ref="CD324">_xlfn.TEXTJOIN("",TRUE,IF(ISNUMBER(FIND(MID(CC323&amp;R323,ROW($1:$4),1),CC324&amp;R324)),MID(CC323&amp;R323,ROW($1:$4),1),""))</f>
        <v/>
      </c>
      <c r="CE324" s="27" t="str">
        <f t="array" ref="CE324">_xlfn.TEXTJOIN("",TRUE,IF(ISERROR(FIND(ROW($1:$10)-1,CC324&amp;CD324)),ROW($1:$10)-1,""))</f>
        <v>02345678</v>
      </c>
      <c r="CF324" s="17" t="str">
        <f t="shared" si="154"/>
        <v>邻孤孤</v>
      </c>
      <c r="CG324" s="22" t="str">
        <f t="shared" si="155"/>
        <v>68</v>
      </c>
      <c r="CH324" s="22" t="str">
        <f t="array" ref="CH324">_xlfn.TEXTJOIN("",TRUE,IF(ISNUMBER(FIND(MID(CG323&amp;S323,ROW($1:$4),1),CG324&amp;S324)),MID(CG323&amp;S323,ROW($1:$4),1),""))</f>
        <v/>
      </c>
      <c r="CI324" s="22" t="str">
        <f t="array" ref="CI324">_xlfn.TEXTJOIN("",TRUE,IF(ISERROR(FIND(ROW($1:$10)-1,CG324&amp;CH324)),ROW($1:$10)-1,""))</f>
        <v>01234579</v>
      </c>
      <c r="CJ324" s="28" t="str">
        <f t="shared" si="156"/>
        <v>邻孤孤</v>
      </c>
    </row>
    <row r="325" spans="1:88">
      <c r="A325" s="32">
        <v>2025100</v>
      </c>
      <c r="B325" s="8" t="s">
        <v>289</v>
      </c>
      <c r="C325" s="49">
        <f t="shared" si="165"/>
        <v>17</v>
      </c>
      <c r="D325" s="50">
        <f t="shared" si="166"/>
        <v>7</v>
      </c>
      <c r="E325" s="51">
        <f t="shared" si="172"/>
        <v>5.6666666666666696</v>
      </c>
      <c r="F325" s="52">
        <f>MAX(MID(B325,{1,2,3},1)*1)-MIN(MID(B325,{1,2,3},1)*1)</f>
        <v>6</v>
      </c>
      <c r="G325" s="104">
        <v>0</v>
      </c>
      <c r="H325" s="104">
        <v>1</v>
      </c>
      <c r="I325" s="104">
        <v>2</v>
      </c>
      <c r="J325" s="104">
        <v>3</v>
      </c>
      <c r="K325" s="104">
        <v>4</v>
      </c>
      <c r="L325" s="104">
        <v>5</v>
      </c>
      <c r="M325" s="104">
        <v>6</v>
      </c>
      <c r="N325" s="104">
        <v>7</v>
      </c>
      <c r="O325" s="104">
        <v>8</v>
      </c>
      <c r="P325" s="104">
        <v>9</v>
      </c>
      <c r="Q325" s="53">
        <f t="shared" si="167"/>
        <v>4</v>
      </c>
      <c r="R325" s="53">
        <f t="shared" si="168"/>
        <v>6</v>
      </c>
      <c r="S325" s="53">
        <f t="shared" si="169"/>
        <v>2</v>
      </c>
      <c r="T325" s="101">
        <f t="shared" si="173"/>
        <v>12</v>
      </c>
      <c r="U325" s="15" t="str">
        <f>_xlfn.TEXTJOIN(", ",TRUE,ABS(MID(B325,{1,1,2},1)-MID(B325,{2,3,3},1)))</f>
        <v>4, 6, 2</v>
      </c>
      <c r="V325" s="54">
        <v>0</v>
      </c>
      <c r="W325" s="54">
        <v>1</v>
      </c>
      <c r="X325" s="54">
        <v>2</v>
      </c>
      <c r="Y325" s="54">
        <v>3</v>
      </c>
      <c r="Z325" s="54">
        <v>4</v>
      </c>
      <c r="AA325" s="54">
        <v>5</v>
      </c>
      <c r="AB325" s="54">
        <v>6</v>
      </c>
      <c r="AC325" s="54">
        <v>7</v>
      </c>
      <c r="AD325" s="54">
        <v>8</v>
      </c>
      <c r="AE325" s="54">
        <v>9</v>
      </c>
      <c r="AF325" s="55">
        <v>0</v>
      </c>
      <c r="AG325" s="55">
        <v>1</v>
      </c>
      <c r="AH325" s="55">
        <v>2</v>
      </c>
      <c r="AI325" s="55">
        <v>3</v>
      </c>
      <c r="AJ325" s="55">
        <v>4</v>
      </c>
      <c r="AK325" s="55">
        <v>5</v>
      </c>
      <c r="AL325" s="55">
        <v>6</v>
      </c>
      <c r="AM325" s="55">
        <v>7</v>
      </c>
      <c r="AN325" s="55">
        <v>8</v>
      </c>
      <c r="AO325" s="55">
        <v>9</v>
      </c>
      <c r="AP325" s="105">
        <v>0</v>
      </c>
      <c r="AQ325" s="105">
        <v>1</v>
      </c>
      <c r="AR325" s="105">
        <v>2</v>
      </c>
      <c r="AS325" s="105">
        <v>3</v>
      </c>
      <c r="AT325" s="105">
        <v>4</v>
      </c>
      <c r="AU325" s="105">
        <v>5</v>
      </c>
      <c r="AV325" s="105">
        <v>6</v>
      </c>
      <c r="AW325" s="105">
        <v>7</v>
      </c>
      <c r="AX325" s="105">
        <v>8</v>
      </c>
      <c r="AY325" s="105">
        <v>9</v>
      </c>
      <c r="AZ325" s="56">
        <v>0</v>
      </c>
      <c r="BA325" s="56">
        <v>1</v>
      </c>
      <c r="BB325" s="56">
        <v>2</v>
      </c>
      <c r="BC325" s="56">
        <v>3</v>
      </c>
      <c r="BD325" s="56">
        <v>4</v>
      </c>
      <c r="BE325" s="56">
        <v>5</v>
      </c>
      <c r="BF325" s="56">
        <v>6</v>
      </c>
      <c r="BG325" s="56">
        <v>7</v>
      </c>
      <c r="BH325" s="56">
        <v>8</v>
      </c>
      <c r="BI325" s="56">
        <v>9</v>
      </c>
      <c r="BJ325" s="57" t="str">
        <f t="shared" si="174"/>
        <v>松散型</v>
      </c>
      <c r="BK325" s="13">
        <f t="shared" si="170"/>
        <v>2</v>
      </c>
      <c r="BL325" s="13">
        <f t="shared" si="171"/>
        <v>6</v>
      </c>
      <c r="BM325" s="18" t="str">
        <f t="shared" ref="BM325:BM388" si="176">IF(COUNTIF($Q324:$S324,Q325)&gt;0,Q325,"")</f>
        <v/>
      </c>
      <c r="BN325" s="19" t="str">
        <f t="shared" ref="BN325:BN388" si="177">IF(COUNTIF($Q323:$S323,Q325)&gt;0,Q325,"")</f>
        <v/>
      </c>
      <c r="BO325" s="19" t="str">
        <f t="array" ref="BO325">_xlfn.TEXTJOIN("",TRUE,IF(ISERROR(FIND(ROW($1:$10)-1,BM325&amp;BN325)),ROW($1:$10)-1,""))</f>
        <v>0123456789</v>
      </c>
      <c r="BP325" s="20" t="str">
        <f t="shared" ref="BP325:BP388" si="178">IF(BM325&lt;&gt;"","复","中")&amp;IF(BN325&lt;&gt;"","隔","中")&amp;"中"</f>
        <v>中中中</v>
      </c>
      <c r="BQ325" s="21" t="str">
        <f t="shared" si="159"/>
        <v/>
      </c>
      <c r="BR325" s="21">
        <f t="shared" si="157"/>
        <v>6</v>
      </c>
      <c r="BS325" s="21" t="str">
        <f t="array" ref="BS325">_xlfn.TEXTJOIN("",TRUE,IF(ISERROR(FIND(ROW($1:$10)-1,BQ325&amp;BR325)),ROW($1:$10)-1,""))</f>
        <v>012345789</v>
      </c>
      <c r="BT325" s="20" t="str">
        <f t="shared" ref="BT325:BT388" si="179">IF(BQ325&lt;&gt;"","复","中")&amp;IF(BR325&lt;&gt;"","隔","中")&amp;"中"</f>
        <v>中隔中</v>
      </c>
      <c r="BU325" s="22" t="str">
        <f t="shared" ref="BU325:BU388" si="180">IF(COUNTIF($Q324:$S324,S325)&gt;0,S325,"")</f>
        <v/>
      </c>
      <c r="BV325" s="22" t="str">
        <f t="shared" si="158"/>
        <v/>
      </c>
      <c r="BW325" s="22" t="str">
        <f t="array" ref="BW325">_xlfn.TEXTJOIN("",TRUE,IF(ISERROR(FIND(ROW($1:$10)-1,BU325&amp;BV325)),ROW($1:$10)-1,""))</f>
        <v>0123456789</v>
      </c>
      <c r="BX325" s="20" t="str">
        <f t="shared" ref="BX325:BX388" si="181">IF(BU325&lt;&gt;"","复","中")&amp;IF(BV325&lt;&gt;"","隔","中")&amp;"中"</f>
        <v>中中中</v>
      </c>
      <c r="BY325" s="23" t="str">
        <f t="shared" si="175"/>
        <v>35</v>
      </c>
      <c r="BZ325" s="24" t="str">
        <f t="array" ref="BZ325">_xlfn.TEXTJOIN("",TRUE,IF(ISNUMBER(FIND(MID(BY324&amp;Q324,ROW($1:$4),1),BY325&amp;Q325)),MID(BY324&amp;Q324,ROW($1:$4),1),""))</f>
        <v/>
      </c>
      <c r="CA325" s="25" t="str">
        <f t="array" ref="CA325">_xlfn.TEXTJOIN("",TRUE,IF(ISERROR(FIND(ROW($1:$10)-1,BY325&amp;BZ325)),ROW($1:$10)-1,""))</f>
        <v>01246789</v>
      </c>
      <c r="CB325" s="26" t="str">
        <f t="shared" ref="CB325:CB388" si="182">IF(BY325&lt;&gt;"","邻","孤")&amp;IF(BZ325&lt;&gt;"","传","孤")&amp;"孤"</f>
        <v>邻孤孤</v>
      </c>
      <c r="CC325" s="27" t="str">
        <f t="shared" ref="CC325:CC388" si="183">IF(R325=0,9,R325-1)&amp;""&amp;IF(R325=9,0,R325+1)</f>
        <v>57</v>
      </c>
      <c r="CD325" s="27" t="str">
        <f t="array" ref="CD325">_xlfn.TEXTJOIN("",TRUE,IF(ISNUMBER(FIND(MID(CC324&amp;R324,ROW($1:$4),1),CC325&amp;R325)),MID(CC324&amp;R324,ROW($1:$4),1),""))</f>
        <v/>
      </c>
      <c r="CE325" s="27" t="str">
        <f t="array" ref="CE325">_xlfn.TEXTJOIN("",TRUE,IF(ISERROR(FIND(ROW($1:$10)-1,CC325&amp;CD325)),ROW($1:$10)-1,""))</f>
        <v>01234689</v>
      </c>
      <c r="CF325" s="17" t="str">
        <f t="shared" ref="CF325:CF388" si="184">IF(CC325&lt;&gt;"","邻","孤")&amp;IF(CD325&lt;&gt;"","传","孤")&amp;"孤"</f>
        <v>邻孤孤</v>
      </c>
      <c r="CG325" s="22" t="str">
        <f t="shared" ref="CG325:CG388" si="185">IF(S325=0,9,S325-1)&amp;""&amp;IF(S325=9,0,S325+1)</f>
        <v>13</v>
      </c>
      <c r="CH325" s="22" t="str">
        <f t="array" ref="CH325">_xlfn.TEXTJOIN("",TRUE,IF(ISNUMBER(FIND(MID(CG324&amp;S324,ROW($1:$4),1),CG325&amp;S325)),MID(CG324&amp;S324,ROW($1:$4),1),""))</f>
        <v/>
      </c>
      <c r="CI325" s="22" t="str">
        <f t="array" ref="CI325">_xlfn.TEXTJOIN("",TRUE,IF(ISERROR(FIND(ROW($1:$10)-1,CG325&amp;CH325)),ROW($1:$10)-1,""))</f>
        <v>02456789</v>
      </c>
      <c r="CJ325" s="28" t="str">
        <f t="shared" ref="CJ325:CJ388" si="186">IF(CG325&lt;&gt;"","邻","孤")&amp;IF(CH325&lt;&gt;"","传","孤")&amp;"孤"</f>
        <v>邻孤孤</v>
      </c>
    </row>
    <row r="326" spans="1:88">
      <c r="A326" s="32">
        <v>2025101</v>
      </c>
      <c r="B326" s="8" t="s">
        <v>290</v>
      </c>
      <c r="C326" s="49">
        <f t="shared" si="165"/>
        <v>7</v>
      </c>
      <c r="D326" s="50">
        <f t="shared" si="166"/>
        <v>7</v>
      </c>
      <c r="E326" s="51">
        <f t="shared" si="172"/>
        <v>2.3333333333333299</v>
      </c>
      <c r="F326" s="52">
        <f>MAX(MID(B326,{1,2,3},1)*1)-MIN(MID(B326,{1,2,3},1)*1)</f>
        <v>6</v>
      </c>
      <c r="G326" s="104">
        <v>0</v>
      </c>
      <c r="H326" s="104">
        <v>1</v>
      </c>
      <c r="I326" s="104">
        <v>2</v>
      </c>
      <c r="J326" s="104">
        <v>3</v>
      </c>
      <c r="K326" s="104">
        <v>4</v>
      </c>
      <c r="L326" s="104">
        <v>5</v>
      </c>
      <c r="M326" s="104">
        <v>6</v>
      </c>
      <c r="N326" s="104">
        <v>7</v>
      </c>
      <c r="O326" s="104">
        <v>8</v>
      </c>
      <c r="P326" s="104">
        <v>9</v>
      </c>
      <c r="Q326" s="53">
        <f t="shared" si="167"/>
        <v>1</v>
      </c>
      <c r="R326" s="53">
        <f t="shared" si="168"/>
        <v>6</v>
      </c>
      <c r="S326" s="53">
        <f t="shared" si="169"/>
        <v>5</v>
      </c>
      <c r="T326" s="101">
        <f t="shared" si="173"/>
        <v>12</v>
      </c>
      <c r="U326" s="15" t="str">
        <f>_xlfn.TEXTJOIN(", ",TRUE,ABS(MID(B326,{1,1,2},1)-MID(B326,{2,3,3},1)))</f>
        <v>1, 6, 5</v>
      </c>
      <c r="V326" s="54">
        <v>0</v>
      </c>
      <c r="W326" s="54">
        <v>1</v>
      </c>
      <c r="X326" s="54">
        <v>2</v>
      </c>
      <c r="Y326" s="54">
        <v>3</v>
      </c>
      <c r="Z326" s="54">
        <v>4</v>
      </c>
      <c r="AA326" s="54">
        <v>5</v>
      </c>
      <c r="AB326" s="54">
        <v>6</v>
      </c>
      <c r="AC326" s="54">
        <v>7</v>
      </c>
      <c r="AD326" s="54">
        <v>8</v>
      </c>
      <c r="AE326" s="54">
        <v>9</v>
      </c>
      <c r="AF326" s="55">
        <v>0</v>
      </c>
      <c r="AG326" s="55">
        <v>1</v>
      </c>
      <c r="AH326" s="55">
        <v>2</v>
      </c>
      <c r="AI326" s="55">
        <v>3</v>
      </c>
      <c r="AJ326" s="55">
        <v>4</v>
      </c>
      <c r="AK326" s="55">
        <v>5</v>
      </c>
      <c r="AL326" s="55">
        <v>6</v>
      </c>
      <c r="AM326" s="55">
        <v>7</v>
      </c>
      <c r="AN326" s="55">
        <v>8</v>
      </c>
      <c r="AO326" s="55">
        <v>9</v>
      </c>
      <c r="AP326" s="105">
        <v>0</v>
      </c>
      <c r="AQ326" s="105">
        <v>1</v>
      </c>
      <c r="AR326" s="105">
        <v>2</v>
      </c>
      <c r="AS326" s="105">
        <v>3</v>
      </c>
      <c r="AT326" s="105">
        <v>4</v>
      </c>
      <c r="AU326" s="105">
        <v>5</v>
      </c>
      <c r="AV326" s="105">
        <v>6</v>
      </c>
      <c r="AW326" s="105">
        <v>7</v>
      </c>
      <c r="AX326" s="105">
        <v>8</v>
      </c>
      <c r="AY326" s="105">
        <v>9</v>
      </c>
      <c r="AZ326" s="56">
        <v>0</v>
      </c>
      <c r="BA326" s="56">
        <v>1</v>
      </c>
      <c r="BB326" s="56">
        <v>2</v>
      </c>
      <c r="BC326" s="56">
        <v>3</v>
      </c>
      <c r="BD326" s="56">
        <v>4</v>
      </c>
      <c r="BE326" s="56">
        <v>5</v>
      </c>
      <c r="BF326" s="56">
        <v>6</v>
      </c>
      <c r="BG326" s="56">
        <v>7</v>
      </c>
      <c r="BH326" s="56">
        <v>8</v>
      </c>
      <c r="BI326" s="56">
        <v>9</v>
      </c>
      <c r="BJ326" s="57" t="str">
        <f t="shared" si="174"/>
        <v>松散型</v>
      </c>
      <c r="BK326" s="13">
        <f t="shared" si="170"/>
        <v>1</v>
      </c>
      <c r="BL326" s="13">
        <f t="shared" si="171"/>
        <v>6</v>
      </c>
      <c r="BM326" s="18" t="str">
        <f t="shared" si="176"/>
        <v/>
      </c>
      <c r="BN326" s="19" t="str">
        <f t="shared" si="177"/>
        <v/>
      </c>
      <c r="BO326" s="19" t="str">
        <f t="array" ref="BO326">_xlfn.TEXTJOIN("",TRUE,IF(ISERROR(FIND(ROW($1:$10)-1,BM326&amp;BN326)),ROW($1:$10)-1,""))</f>
        <v>0123456789</v>
      </c>
      <c r="BP326" s="20" t="str">
        <f t="shared" si="178"/>
        <v>中中中</v>
      </c>
      <c r="BQ326" s="21">
        <f t="shared" si="159"/>
        <v>6</v>
      </c>
      <c r="BR326" s="21" t="str">
        <f t="shared" ref="BR326:BR389" si="187">IF(COUNTIF($Q324:$S324,R326)&gt;0,R326,"")</f>
        <v/>
      </c>
      <c r="BS326" s="21" t="str">
        <f t="array" ref="BS326">_xlfn.TEXTJOIN("",TRUE,IF(ISERROR(FIND(ROW($1:$10)-1,BQ326&amp;BR326)),ROW($1:$10)-1,""))</f>
        <v>012345789</v>
      </c>
      <c r="BT326" s="20" t="str">
        <f t="shared" si="179"/>
        <v>复中中</v>
      </c>
      <c r="BU326" s="22" t="str">
        <f t="shared" si="180"/>
        <v/>
      </c>
      <c r="BV326" s="22" t="str">
        <f t="shared" ref="BV326:BV389" si="188">IF(COUNTIF($Q324:$S324,S326)&gt;0,S326,"")</f>
        <v/>
      </c>
      <c r="BW326" s="22" t="str">
        <f t="array" ref="BW326">_xlfn.TEXTJOIN("",TRUE,IF(ISERROR(FIND(ROW($1:$10)-1,BU326&amp;BV326)),ROW($1:$10)-1,""))</f>
        <v>0123456789</v>
      </c>
      <c r="BX326" s="20" t="str">
        <f t="shared" si="181"/>
        <v>中中中</v>
      </c>
      <c r="BY326" s="23" t="str">
        <f t="shared" si="175"/>
        <v>02</v>
      </c>
      <c r="BZ326" s="24" t="str">
        <f t="array" ref="BZ326">_xlfn.TEXTJOIN("",TRUE,IF(ISNUMBER(FIND(MID(BY325&amp;Q325,ROW($1:$4),1),BY326&amp;Q326)),MID(BY325&amp;Q325,ROW($1:$4),1),""))</f>
        <v/>
      </c>
      <c r="CA326" s="25" t="str">
        <f t="array" ref="CA326">_xlfn.TEXTJOIN("",TRUE,IF(ISERROR(FIND(ROW($1:$10)-1,BY326&amp;BZ326)),ROW($1:$10)-1,""))</f>
        <v>13456789</v>
      </c>
      <c r="CB326" s="26" t="str">
        <f t="shared" si="182"/>
        <v>邻孤孤</v>
      </c>
      <c r="CC326" s="27" t="str">
        <f t="shared" si="183"/>
        <v>57</v>
      </c>
      <c r="CD326" s="27" t="str">
        <f t="array" ref="CD326">_xlfn.TEXTJOIN("",TRUE,IF(ISNUMBER(FIND(MID(CC325&amp;R325,ROW($1:$4),1),CC326&amp;R326)),MID(CC325&amp;R325,ROW($1:$4),1),""))</f>
        <v>576</v>
      </c>
      <c r="CE326" s="27" t="str">
        <f t="array" ref="CE326">_xlfn.TEXTJOIN("",TRUE,IF(ISERROR(FIND(ROW($1:$10)-1,CC326&amp;CD326)),ROW($1:$10)-1,""))</f>
        <v>0123489</v>
      </c>
      <c r="CF326" s="17" t="str">
        <f t="shared" si="184"/>
        <v>邻传孤</v>
      </c>
      <c r="CG326" s="22" t="str">
        <f t="shared" si="185"/>
        <v>46</v>
      </c>
      <c r="CH326" s="22" t="str">
        <f t="array" ref="CH326">_xlfn.TEXTJOIN("",TRUE,IF(ISNUMBER(FIND(MID(CG325&amp;S325,ROW($1:$4),1),CG326&amp;S326)),MID(CG325&amp;S325,ROW($1:$4),1),""))</f>
        <v/>
      </c>
      <c r="CI326" s="22" t="str">
        <f t="array" ref="CI326">_xlfn.TEXTJOIN("",TRUE,IF(ISERROR(FIND(ROW($1:$10)-1,CG326&amp;CH326)),ROW($1:$10)-1,""))</f>
        <v>01235789</v>
      </c>
      <c r="CJ326" s="28" t="str">
        <f t="shared" si="186"/>
        <v>邻孤孤</v>
      </c>
    </row>
    <row r="327" spans="1:88">
      <c r="A327" s="32">
        <v>2025102</v>
      </c>
      <c r="B327" s="8" t="s">
        <v>291</v>
      </c>
      <c r="C327" s="49">
        <f t="shared" si="165"/>
        <v>8</v>
      </c>
      <c r="D327" s="50">
        <f t="shared" si="166"/>
        <v>8</v>
      </c>
      <c r="E327" s="51">
        <f t="shared" si="172"/>
        <v>2.6666666666666701</v>
      </c>
      <c r="F327" s="52">
        <f>MAX(MID(B327,{1,2,3},1)*1)-MIN(MID(B327,{1,2,3},1)*1)</f>
        <v>5</v>
      </c>
      <c r="G327" s="104">
        <v>0</v>
      </c>
      <c r="H327" s="104">
        <v>1</v>
      </c>
      <c r="I327" s="104">
        <v>2</v>
      </c>
      <c r="J327" s="104">
        <v>3</v>
      </c>
      <c r="K327" s="104">
        <v>4</v>
      </c>
      <c r="L327" s="104">
        <v>5</v>
      </c>
      <c r="M327" s="104">
        <v>6</v>
      </c>
      <c r="N327" s="104">
        <v>7</v>
      </c>
      <c r="O327" s="104">
        <v>8</v>
      </c>
      <c r="P327" s="104">
        <v>9</v>
      </c>
      <c r="Q327" s="53">
        <f t="shared" si="167"/>
        <v>5</v>
      </c>
      <c r="R327" s="53">
        <f t="shared" si="168"/>
        <v>0</v>
      </c>
      <c r="S327" s="53">
        <f t="shared" si="169"/>
        <v>5</v>
      </c>
      <c r="T327" s="101">
        <f t="shared" si="173"/>
        <v>10</v>
      </c>
      <c r="U327" s="15" t="str">
        <f>_xlfn.TEXTJOIN(", ",TRUE,ABS(MID(B327,{1,1,2},1)-MID(B327,{2,3,3},1)))</f>
        <v>5, 0, 5</v>
      </c>
      <c r="V327" s="54">
        <v>0</v>
      </c>
      <c r="W327" s="54">
        <v>1</v>
      </c>
      <c r="X327" s="54">
        <v>2</v>
      </c>
      <c r="Y327" s="54">
        <v>3</v>
      </c>
      <c r="Z327" s="54">
        <v>4</v>
      </c>
      <c r="AA327" s="54">
        <v>5</v>
      </c>
      <c r="AB327" s="54">
        <v>6</v>
      </c>
      <c r="AC327" s="54">
        <v>7</v>
      </c>
      <c r="AD327" s="54">
        <v>8</v>
      </c>
      <c r="AE327" s="54">
        <v>9</v>
      </c>
      <c r="AF327" s="55">
        <v>0</v>
      </c>
      <c r="AG327" s="55">
        <v>1</v>
      </c>
      <c r="AH327" s="55">
        <v>2</v>
      </c>
      <c r="AI327" s="55">
        <v>3</v>
      </c>
      <c r="AJ327" s="55">
        <v>4</v>
      </c>
      <c r="AK327" s="55">
        <v>5</v>
      </c>
      <c r="AL327" s="55">
        <v>6</v>
      </c>
      <c r="AM327" s="55">
        <v>7</v>
      </c>
      <c r="AN327" s="55">
        <v>8</v>
      </c>
      <c r="AO327" s="55">
        <v>9</v>
      </c>
      <c r="AP327" s="105">
        <v>0</v>
      </c>
      <c r="AQ327" s="105">
        <v>1</v>
      </c>
      <c r="AR327" s="105">
        <v>2</v>
      </c>
      <c r="AS327" s="105">
        <v>3</v>
      </c>
      <c r="AT327" s="105">
        <v>4</v>
      </c>
      <c r="AU327" s="105">
        <v>5</v>
      </c>
      <c r="AV327" s="105">
        <v>6</v>
      </c>
      <c r="AW327" s="105">
        <v>7</v>
      </c>
      <c r="AX327" s="105">
        <v>8</v>
      </c>
      <c r="AY327" s="105">
        <v>9</v>
      </c>
      <c r="AZ327" s="56">
        <v>0</v>
      </c>
      <c r="BA327" s="56">
        <v>1</v>
      </c>
      <c r="BB327" s="56">
        <v>2</v>
      </c>
      <c r="BC327" s="56">
        <v>3</v>
      </c>
      <c r="BD327" s="56">
        <v>4</v>
      </c>
      <c r="BE327" s="56">
        <v>5</v>
      </c>
      <c r="BF327" s="56">
        <v>6</v>
      </c>
      <c r="BG327" s="56">
        <v>7</v>
      </c>
      <c r="BH327" s="56">
        <v>8</v>
      </c>
      <c r="BI327" s="56">
        <v>9</v>
      </c>
      <c r="BJ327" s="57" t="str">
        <f t="shared" si="174"/>
        <v>对子</v>
      </c>
      <c r="BK327" s="13">
        <f t="shared" si="170"/>
        <v>0</v>
      </c>
      <c r="BL327" s="13">
        <f t="shared" si="171"/>
        <v>5</v>
      </c>
      <c r="BM327" s="18">
        <f t="shared" si="176"/>
        <v>5</v>
      </c>
      <c r="BN327" s="19" t="str">
        <f t="shared" si="177"/>
        <v/>
      </c>
      <c r="BO327" s="19" t="str">
        <f t="array" ref="BO327">_xlfn.TEXTJOIN("",TRUE,IF(ISERROR(FIND(ROW($1:$10)-1,BM327&amp;BN327)),ROW($1:$10)-1,""))</f>
        <v>012346789</v>
      </c>
      <c r="BP327" s="20" t="str">
        <f t="shared" si="178"/>
        <v>复中中</v>
      </c>
      <c r="BQ327" s="21" t="str">
        <f t="shared" si="159"/>
        <v/>
      </c>
      <c r="BR327" s="21" t="str">
        <f t="shared" si="187"/>
        <v/>
      </c>
      <c r="BS327" s="21" t="str">
        <f t="array" ref="BS327">_xlfn.TEXTJOIN("",TRUE,IF(ISERROR(FIND(ROW($1:$10)-1,BQ327&amp;BR327)),ROW($1:$10)-1,""))</f>
        <v>0123456789</v>
      </c>
      <c r="BT327" s="20" t="str">
        <f t="shared" si="179"/>
        <v>中中中</v>
      </c>
      <c r="BU327" s="22">
        <f t="shared" si="180"/>
        <v>5</v>
      </c>
      <c r="BV327" s="22" t="str">
        <f t="shared" si="188"/>
        <v/>
      </c>
      <c r="BW327" s="22" t="str">
        <f t="array" ref="BW327">_xlfn.TEXTJOIN("",TRUE,IF(ISERROR(FIND(ROW($1:$10)-1,BU327&amp;BV327)),ROW($1:$10)-1,""))</f>
        <v>012346789</v>
      </c>
      <c r="BX327" s="20" t="str">
        <f t="shared" si="181"/>
        <v>复中中</v>
      </c>
      <c r="BY327" s="23" t="str">
        <f t="shared" si="175"/>
        <v>46</v>
      </c>
      <c r="BZ327" s="24" t="str">
        <f t="array" ref="BZ327">_xlfn.TEXTJOIN("",TRUE,IF(ISNUMBER(FIND(MID(BY326&amp;Q326,ROW($1:$4),1),BY327&amp;Q327)),MID(BY326&amp;Q326,ROW($1:$4),1),""))</f>
        <v/>
      </c>
      <c r="CA327" s="25" t="str">
        <f t="array" ref="CA327">_xlfn.TEXTJOIN("",TRUE,IF(ISERROR(FIND(ROW($1:$10)-1,BY327&amp;BZ327)),ROW($1:$10)-1,""))</f>
        <v>01235789</v>
      </c>
      <c r="CB327" s="26" t="str">
        <f t="shared" si="182"/>
        <v>邻孤孤</v>
      </c>
      <c r="CC327" s="27" t="str">
        <f t="shared" si="183"/>
        <v>91</v>
      </c>
      <c r="CD327" s="27" t="str">
        <f t="array" ref="CD327">_xlfn.TEXTJOIN("",TRUE,IF(ISNUMBER(FIND(MID(CC326&amp;R326,ROW($1:$4),1),CC327&amp;R327)),MID(CC326&amp;R326,ROW($1:$4),1),""))</f>
        <v/>
      </c>
      <c r="CE327" s="27" t="str">
        <f t="array" ref="CE327">_xlfn.TEXTJOIN("",TRUE,IF(ISERROR(FIND(ROW($1:$10)-1,CC327&amp;CD327)),ROW($1:$10)-1,""))</f>
        <v>02345678</v>
      </c>
      <c r="CF327" s="17" t="str">
        <f t="shared" si="184"/>
        <v>邻孤孤</v>
      </c>
      <c r="CG327" s="22" t="str">
        <f t="shared" si="185"/>
        <v>46</v>
      </c>
      <c r="CH327" s="22" t="str">
        <f t="array" ref="CH327">_xlfn.TEXTJOIN("",TRUE,IF(ISNUMBER(FIND(MID(CG326&amp;S326,ROW($1:$4),1),CG327&amp;S327)),MID(CG326&amp;S326,ROW($1:$4),1),""))</f>
        <v>465</v>
      </c>
      <c r="CI327" s="22" t="str">
        <f t="array" ref="CI327">_xlfn.TEXTJOIN("",TRUE,IF(ISERROR(FIND(ROW($1:$10)-1,CG327&amp;CH327)),ROW($1:$10)-1,""))</f>
        <v>0123789</v>
      </c>
      <c r="CJ327" s="28" t="str">
        <f t="shared" si="186"/>
        <v>邻传孤</v>
      </c>
    </row>
    <row r="328" spans="1:88">
      <c r="A328" s="32">
        <v>2025103</v>
      </c>
      <c r="B328" s="8" t="s">
        <v>292</v>
      </c>
      <c r="C328" s="49">
        <f t="shared" si="165"/>
        <v>10</v>
      </c>
      <c r="D328" s="50">
        <f t="shared" si="166"/>
        <v>0</v>
      </c>
      <c r="E328" s="51">
        <f t="shared" si="172"/>
        <v>3.3333333333333299</v>
      </c>
      <c r="F328" s="52">
        <f>MAX(MID(B328,{1,2,3},1)*1)-MIN(MID(B328,{1,2,3},1)*1)</f>
        <v>7</v>
      </c>
      <c r="G328" s="104">
        <v>0</v>
      </c>
      <c r="H328" s="104">
        <v>1</v>
      </c>
      <c r="I328" s="104">
        <v>2</v>
      </c>
      <c r="J328" s="104">
        <v>3</v>
      </c>
      <c r="K328" s="104">
        <v>4</v>
      </c>
      <c r="L328" s="104">
        <v>5</v>
      </c>
      <c r="M328" s="104">
        <v>6</v>
      </c>
      <c r="N328" s="104">
        <v>7</v>
      </c>
      <c r="O328" s="104">
        <v>8</v>
      </c>
      <c r="P328" s="104">
        <v>9</v>
      </c>
      <c r="Q328" s="53">
        <f t="shared" si="167"/>
        <v>4</v>
      </c>
      <c r="R328" s="53">
        <f t="shared" si="168"/>
        <v>3</v>
      </c>
      <c r="S328" s="53">
        <f t="shared" si="169"/>
        <v>7</v>
      </c>
      <c r="T328" s="101">
        <f t="shared" si="173"/>
        <v>14</v>
      </c>
      <c r="U328" s="15" t="str">
        <f>_xlfn.TEXTJOIN(", ",TRUE,ABS(MID(B328,{1,1,2},1)-MID(B328,{2,3,3},1)))</f>
        <v>4, 3, 7</v>
      </c>
      <c r="V328" s="54">
        <v>0</v>
      </c>
      <c r="W328" s="54">
        <v>1</v>
      </c>
      <c r="X328" s="54">
        <v>2</v>
      </c>
      <c r="Y328" s="54">
        <v>3</v>
      </c>
      <c r="Z328" s="54">
        <v>4</v>
      </c>
      <c r="AA328" s="54">
        <v>5</v>
      </c>
      <c r="AB328" s="54">
        <v>6</v>
      </c>
      <c r="AC328" s="54">
        <v>7</v>
      </c>
      <c r="AD328" s="54">
        <v>8</v>
      </c>
      <c r="AE328" s="54">
        <v>9</v>
      </c>
      <c r="AF328" s="55">
        <v>0</v>
      </c>
      <c r="AG328" s="55">
        <v>1</v>
      </c>
      <c r="AH328" s="55">
        <v>2</v>
      </c>
      <c r="AI328" s="55">
        <v>3</v>
      </c>
      <c r="AJ328" s="55">
        <v>4</v>
      </c>
      <c r="AK328" s="55">
        <v>5</v>
      </c>
      <c r="AL328" s="55">
        <v>6</v>
      </c>
      <c r="AM328" s="55">
        <v>7</v>
      </c>
      <c r="AN328" s="55">
        <v>8</v>
      </c>
      <c r="AO328" s="55">
        <v>9</v>
      </c>
      <c r="AP328" s="105">
        <v>0</v>
      </c>
      <c r="AQ328" s="105">
        <v>1</v>
      </c>
      <c r="AR328" s="105">
        <v>2</v>
      </c>
      <c r="AS328" s="105">
        <v>3</v>
      </c>
      <c r="AT328" s="105">
        <v>4</v>
      </c>
      <c r="AU328" s="105">
        <v>5</v>
      </c>
      <c r="AV328" s="105">
        <v>6</v>
      </c>
      <c r="AW328" s="105">
        <v>7</v>
      </c>
      <c r="AX328" s="105">
        <v>8</v>
      </c>
      <c r="AY328" s="105">
        <v>9</v>
      </c>
      <c r="AZ328" s="56">
        <v>0</v>
      </c>
      <c r="BA328" s="56">
        <v>1</v>
      </c>
      <c r="BB328" s="56">
        <v>2</v>
      </c>
      <c r="BC328" s="56">
        <v>3</v>
      </c>
      <c r="BD328" s="56">
        <v>4</v>
      </c>
      <c r="BE328" s="56">
        <v>5</v>
      </c>
      <c r="BF328" s="56">
        <v>6</v>
      </c>
      <c r="BG328" s="56">
        <v>7</v>
      </c>
      <c r="BH328" s="56">
        <v>8</v>
      </c>
      <c r="BI328" s="56">
        <v>9</v>
      </c>
      <c r="BJ328" s="57" t="str">
        <f t="shared" si="174"/>
        <v>松散型</v>
      </c>
      <c r="BK328" s="13">
        <f t="shared" si="170"/>
        <v>3</v>
      </c>
      <c r="BL328" s="13">
        <f t="shared" si="171"/>
        <v>7</v>
      </c>
      <c r="BM328" s="18" t="str">
        <f t="shared" si="176"/>
        <v/>
      </c>
      <c r="BN328" s="19" t="str">
        <f t="shared" si="177"/>
        <v/>
      </c>
      <c r="BO328" s="19" t="str">
        <f t="array" ref="BO328">_xlfn.TEXTJOIN("",TRUE,IF(ISERROR(FIND(ROW($1:$10)-1,BM328&amp;BN328)),ROW($1:$10)-1,""))</f>
        <v>0123456789</v>
      </c>
      <c r="BP328" s="20" t="str">
        <f t="shared" si="178"/>
        <v>中中中</v>
      </c>
      <c r="BQ328" s="21" t="str">
        <f t="shared" ref="BQ328:BQ391" si="189">IF(COUNTIF($Q327:$S327,R328)&gt;0,R328,"")</f>
        <v/>
      </c>
      <c r="BR328" s="21" t="str">
        <f t="shared" si="187"/>
        <v/>
      </c>
      <c r="BS328" s="21" t="str">
        <f t="array" ref="BS328">_xlfn.TEXTJOIN("",TRUE,IF(ISERROR(FIND(ROW($1:$10)-1,BQ328&amp;BR328)),ROW($1:$10)-1,""))</f>
        <v>0123456789</v>
      </c>
      <c r="BT328" s="20" t="str">
        <f t="shared" si="179"/>
        <v>中中中</v>
      </c>
      <c r="BU328" s="22" t="str">
        <f t="shared" si="180"/>
        <v/>
      </c>
      <c r="BV328" s="22" t="str">
        <f t="shared" si="188"/>
        <v/>
      </c>
      <c r="BW328" s="22" t="str">
        <f t="array" ref="BW328">_xlfn.TEXTJOIN("",TRUE,IF(ISERROR(FIND(ROW($1:$10)-1,BU328&amp;BV328)),ROW($1:$10)-1,""))</f>
        <v>0123456789</v>
      </c>
      <c r="BX328" s="20" t="str">
        <f t="shared" si="181"/>
        <v>中中中</v>
      </c>
      <c r="BY328" s="23" t="str">
        <f t="shared" si="175"/>
        <v>35</v>
      </c>
      <c r="BZ328" s="24" t="str">
        <f t="array" ref="BZ328">_xlfn.TEXTJOIN("",TRUE,IF(ISNUMBER(FIND(MID(BY327&amp;Q327,ROW($1:$4),1),BY328&amp;Q328)),MID(BY327&amp;Q327,ROW($1:$4),1),""))</f>
        <v>45</v>
      </c>
      <c r="CA328" s="25" t="str">
        <f t="array" ref="CA328">_xlfn.TEXTJOIN("",TRUE,IF(ISERROR(FIND(ROW($1:$10)-1,BY328&amp;BZ328)),ROW($1:$10)-1,""))</f>
        <v>0126789</v>
      </c>
      <c r="CB328" s="26" t="str">
        <f t="shared" si="182"/>
        <v>邻传孤</v>
      </c>
      <c r="CC328" s="27" t="str">
        <f t="shared" si="183"/>
        <v>24</v>
      </c>
      <c r="CD328" s="27" t="str">
        <f t="array" ref="CD328">_xlfn.TEXTJOIN("",TRUE,IF(ISNUMBER(FIND(MID(CC327&amp;R327,ROW($1:$4),1),CC328&amp;R328)),MID(CC327&amp;R327,ROW($1:$4),1),""))</f>
        <v/>
      </c>
      <c r="CE328" s="27" t="str">
        <f t="array" ref="CE328">_xlfn.TEXTJOIN("",TRUE,IF(ISERROR(FIND(ROW($1:$10)-1,CC328&amp;CD328)),ROW($1:$10)-1,""))</f>
        <v>01356789</v>
      </c>
      <c r="CF328" s="17" t="str">
        <f t="shared" si="184"/>
        <v>邻孤孤</v>
      </c>
      <c r="CG328" s="22" t="str">
        <f t="shared" si="185"/>
        <v>68</v>
      </c>
      <c r="CH328" s="22" t="str">
        <f t="array" ref="CH328">_xlfn.TEXTJOIN("",TRUE,IF(ISNUMBER(FIND(MID(CG327&amp;S327,ROW($1:$4),1),CG328&amp;S328)),MID(CG327&amp;S327,ROW($1:$4),1),""))</f>
        <v>6</v>
      </c>
      <c r="CI328" s="22" t="str">
        <f t="array" ref="CI328">_xlfn.TEXTJOIN("",TRUE,IF(ISERROR(FIND(ROW($1:$10)-1,CG328&amp;CH328)),ROW($1:$10)-1,""))</f>
        <v>01234579</v>
      </c>
      <c r="CJ328" s="28" t="str">
        <f t="shared" si="186"/>
        <v>邻传孤</v>
      </c>
    </row>
    <row r="329" spans="1:88">
      <c r="A329" s="32">
        <v>2025104</v>
      </c>
      <c r="B329" s="8" t="s">
        <v>293</v>
      </c>
      <c r="C329" s="49">
        <f t="shared" si="165"/>
        <v>22</v>
      </c>
      <c r="D329" s="50">
        <f t="shared" si="166"/>
        <v>2</v>
      </c>
      <c r="E329" s="51">
        <f t="shared" si="172"/>
        <v>7.3333333333333304</v>
      </c>
      <c r="F329" s="52">
        <f>MAX(MID(B329,{1,2,3},1)*1)-MIN(MID(B329,{1,2,3},1)*1)</f>
        <v>1</v>
      </c>
      <c r="G329" s="104">
        <v>0</v>
      </c>
      <c r="H329" s="104">
        <v>1</v>
      </c>
      <c r="I329" s="104">
        <v>2</v>
      </c>
      <c r="J329" s="104">
        <v>3</v>
      </c>
      <c r="K329" s="104">
        <v>4</v>
      </c>
      <c r="L329" s="104">
        <v>5</v>
      </c>
      <c r="M329" s="104">
        <v>6</v>
      </c>
      <c r="N329" s="104">
        <v>7</v>
      </c>
      <c r="O329" s="104">
        <v>8</v>
      </c>
      <c r="P329" s="104">
        <v>9</v>
      </c>
      <c r="Q329" s="53">
        <f t="shared" si="167"/>
        <v>1</v>
      </c>
      <c r="R329" s="53">
        <f t="shared" si="168"/>
        <v>1</v>
      </c>
      <c r="S329" s="53">
        <f t="shared" si="169"/>
        <v>0</v>
      </c>
      <c r="T329" s="101">
        <f t="shared" si="173"/>
        <v>2</v>
      </c>
      <c r="U329" s="15" t="str">
        <f>_xlfn.TEXTJOIN(", ",TRUE,ABS(MID(B329,{1,1,2},1)-MID(B329,{2,3,3},1)))</f>
        <v>1, 1, 0</v>
      </c>
      <c r="V329" s="54">
        <v>0</v>
      </c>
      <c r="W329" s="54">
        <v>1</v>
      </c>
      <c r="X329" s="54">
        <v>2</v>
      </c>
      <c r="Y329" s="54">
        <v>3</v>
      </c>
      <c r="Z329" s="54">
        <v>4</v>
      </c>
      <c r="AA329" s="54">
        <v>5</v>
      </c>
      <c r="AB329" s="54">
        <v>6</v>
      </c>
      <c r="AC329" s="54">
        <v>7</v>
      </c>
      <c r="AD329" s="54">
        <v>8</v>
      </c>
      <c r="AE329" s="54">
        <v>9</v>
      </c>
      <c r="AF329" s="55">
        <v>0</v>
      </c>
      <c r="AG329" s="55">
        <v>1</v>
      </c>
      <c r="AH329" s="55">
        <v>2</v>
      </c>
      <c r="AI329" s="55">
        <v>3</v>
      </c>
      <c r="AJ329" s="55">
        <v>4</v>
      </c>
      <c r="AK329" s="55">
        <v>5</v>
      </c>
      <c r="AL329" s="55">
        <v>6</v>
      </c>
      <c r="AM329" s="55">
        <v>7</v>
      </c>
      <c r="AN329" s="55">
        <v>8</v>
      </c>
      <c r="AO329" s="55">
        <v>9</v>
      </c>
      <c r="AP329" s="105">
        <v>0</v>
      </c>
      <c r="AQ329" s="105">
        <v>1</v>
      </c>
      <c r="AR329" s="105">
        <v>2</v>
      </c>
      <c r="AS329" s="105">
        <v>3</v>
      </c>
      <c r="AT329" s="105">
        <v>4</v>
      </c>
      <c r="AU329" s="105">
        <v>5</v>
      </c>
      <c r="AV329" s="105">
        <v>6</v>
      </c>
      <c r="AW329" s="105">
        <v>7</v>
      </c>
      <c r="AX329" s="105">
        <v>8</v>
      </c>
      <c r="AY329" s="105">
        <v>9</v>
      </c>
      <c r="AZ329" s="56">
        <v>0</v>
      </c>
      <c r="BA329" s="56">
        <v>1</v>
      </c>
      <c r="BB329" s="56">
        <v>2</v>
      </c>
      <c r="BC329" s="56">
        <v>3</v>
      </c>
      <c r="BD329" s="56">
        <v>4</v>
      </c>
      <c r="BE329" s="56">
        <v>5</v>
      </c>
      <c r="BF329" s="56">
        <v>6</v>
      </c>
      <c r="BG329" s="56">
        <v>7</v>
      </c>
      <c r="BH329" s="56">
        <v>8</v>
      </c>
      <c r="BI329" s="56">
        <v>9</v>
      </c>
      <c r="BJ329" s="57" t="str">
        <f t="shared" si="174"/>
        <v>紧凑型</v>
      </c>
      <c r="BK329" s="13">
        <f t="shared" si="170"/>
        <v>0</v>
      </c>
      <c r="BL329" s="13">
        <f t="shared" si="171"/>
        <v>1</v>
      </c>
      <c r="BM329" s="18" t="str">
        <f t="shared" si="176"/>
        <v/>
      </c>
      <c r="BN329" s="19" t="str">
        <f t="shared" si="177"/>
        <v/>
      </c>
      <c r="BO329" s="19" t="str">
        <f t="array" ref="BO329">_xlfn.TEXTJOIN("",TRUE,IF(ISERROR(FIND(ROW($1:$10)-1,BM329&amp;BN329)),ROW($1:$10)-1,""))</f>
        <v>0123456789</v>
      </c>
      <c r="BP329" s="20" t="str">
        <f t="shared" si="178"/>
        <v>中中中</v>
      </c>
      <c r="BQ329" s="21" t="str">
        <f t="shared" si="189"/>
        <v/>
      </c>
      <c r="BR329" s="21" t="str">
        <f t="shared" si="187"/>
        <v/>
      </c>
      <c r="BS329" s="21" t="str">
        <f t="array" ref="BS329">_xlfn.TEXTJOIN("",TRUE,IF(ISERROR(FIND(ROW($1:$10)-1,BQ329&amp;BR329)),ROW($1:$10)-1,""))</f>
        <v>0123456789</v>
      </c>
      <c r="BT329" s="20" t="str">
        <f t="shared" si="179"/>
        <v>中中中</v>
      </c>
      <c r="BU329" s="22" t="str">
        <f t="shared" si="180"/>
        <v/>
      </c>
      <c r="BV329" s="22">
        <f t="shared" si="188"/>
        <v>0</v>
      </c>
      <c r="BW329" s="22" t="str">
        <f t="array" ref="BW329">_xlfn.TEXTJOIN("",TRUE,IF(ISERROR(FIND(ROW($1:$10)-1,BU329&amp;BV329)),ROW($1:$10)-1,""))</f>
        <v>123456789</v>
      </c>
      <c r="BX329" s="20" t="str">
        <f t="shared" si="181"/>
        <v>中隔中</v>
      </c>
      <c r="BY329" s="23" t="str">
        <f t="shared" si="175"/>
        <v>02</v>
      </c>
      <c r="BZ329" s="24" t="str">
        <f t="array" ref="BZ329">_xlfn.TEXTJOIN("",TRUE,IF(ISNUMBER(FIND(MID(BY328&amp;Q328,ROW($1:$4),1),BY329&amp;Q329)),MID(BY328&amp;Q328,ROW($1:$4),1),""))</f>
        <v/>
      </c>
      <c r="CA329" s="25" t="str">
        <f t="array" ref="CA329">_xlfn.TEXTJOIN("",TRUE,IF(ISERROR(FIND(ROW($1:$10)-1,BY329&amp;BZ329)),ROW($1:$10)-1,""))</f>
        <v>13456789</v>
      </c>
      <c r="CB329" s="26" t="str">
        <f t="shared" si="182"/>
        <v>邻孤孤</v>
      </c>
      <c r="CC329" s="27" t="str">
        <f t="shared" si="183"/>
        <v>02</v>
      </c>
      <c r="CD329" s="27" t="str">
        <f t="array" ref="CD329">_xlfn.TEXTJOIN("",TRUE,IF(ISNUMBER(FIND(MID(CC328&amp;R328,ROW($1:$4),1),CC329&amp;R329)),MID(CC328&amp;R328,ROW($1:$4),1),""))</f>
        <v>2</v>
      </c>
      <c r="CE329" s="27" t="str">
        <f t="array" ref="CE329">_xlfn.TEXTJOIN("",TRUE,IF(ISERROR(FIND(ROW($1:$10)-1,CC329&amp;CD329)),ROW($1:$10)-1,""))</f>
        <v>13456789</v>
      </c>
      <c r="CF329" s="17" t="str">
        <f t="shared" si="184"/>
        <v>邻传孤</v>
      </c>
      <c r="CG329" s="22" t="str">
        <f t="shared" si="185"/>
        <v>91</v>
      </c>
      <c r="CH329" s="22" t="str">
        <f t="array" ref="CH329">_xlfn.TEXTJOIN("",TRUE,IF(ISNUMBER(FIND(MID(CG328&amp;S328,ROW($1:$4),1),CG329&amp;S329)),MID(CG328&amp;S328,ROW($1:$4),1),""))</f>
        <v/>
      </c>
      <c r="CI329" s="22" t="str">
        <f t="array" ref="CI329">_xlfn.TEXTJOIN("",TRUE,IF(ISERROR(FIND(ROW($1:$10)-1,CG329&amp;CH329)),ROW($1:$10)-1,""))</f>
        <v>02345678</v>
      </c>
      <c r="CJ329" s="28" t="str">
        <f t="shared" si="186"/>
        <v>邻孤孤</v>
      </c>
    </row>
    <row r="330" spans="1:88">
      <c r="A330" s="32">
        <v>2025105</v>
      </c>
      <c r="B330" s="8" t="s">
        <v>294</v>
      </c>
      <c r="C330" s="49">
        <f t="shared" si="165"/>
        <v>6</v>
      </c>
      <c r="D330" s="50">
        <f t="shared" si="166"/>
        <v>6</v>
      </c>
      <c r="E330" s="51">
        <f t="shared" si="172"/>
        <v>2</v>
      </c>
      <c r="F330" s="52">
        <f>MAX(MID(B330,{1,2,3},1)*1)-MIN(MID(B330,{1,2,3},1)*1)</f>
        <v>5</v>
      </c>
      <c r="G330" s="104">
        <v>0</v>
      </c>
      <c r="H330" s="104">
        <v>1</v>
      </c>
      <c r="I330" s="104">
        <v>2</v>
      </c>
      <c r="J330" s="104">
        <v>3</v>
      </c>
      <c r="K330" s="104">
        <v>4</v>
      </c>
      <c r="L330" s="104">
        <v>5</v>
      </c>
      <c r="M330" s="104">
        <v>6</v>
      </c>
      <c r="N330" s="104">
        <v>7</v>
      </c>
      <c r="O330" s="104">
        <v>8</v>
      </c>
      <c r="P330" s="104">
        <v>9</v>
      </c>
      <c r="Q330" s="53">
        <f t="shared" si="167"/>
        <v>1</v>
      </c>
      <c r="R330" s="53">
        <f t="shared" si="168"/>
        <v>5</v>
      </c>
      <c r="S330" s="53">
        <f t="shared" si="169"/>
        <v>4</v>
      </c>
      <c r="T330" s="101">
        <f t="shared" si="173"/>
        <v>10</v>
      </c>
      <c r="U330" s="15" t="str">
        <f>_xlfn.TEXTJOIN(", ",TRUE,ABS(MID(B330,{1,1,2},1)-MID(B330,{2,3,3},1)))</f>
        <v>1, 5, 4</v>
      </c>
      <c r="V330" s="54">
        <v>0</v>
      </c>
      <c r="W330" s="54">
        <v>1</v>
      </c>
      <c r="X330" s="54">
        <v>2</v>
      </c>
      <c r="Y330" s="54">
        <v>3</v>
      </c>
      <c r="Z330" s="54">
        <v>4</v>
      </c>
      <c r="AA330" s="54">
        <v>5</v>
      </c>
      <c r="AB330" s="54">
        <v>6</v>
      </c>
      <c r="AC330" s="54">
        <v>7</v>
      </c>
      <c r="AD330" s="54">
        <v>8</v>
      </c>
      <c r="AE330" s="54">
        <v>9</v>
      </c>
      <c r="AF330" s="55">
        <v>0</v>
      </c>
      <c r="AG330" s="55">
        <v>1</v>
      </c>
      <c r="AH330" s="55">
        <v>2</v>
      </c>
      <c r="AI330" s="55">
        <v>3</v>
      </c>
      <c r="AJ330" s="55">
        <v>4</v>
      </c>
      <c r="AK330" s="55">
        <v>5</v>
      </c>
      <c r="AL330" s="55">
        <v>6</v>
      </c>
      <c r="AM330" s="55">
        <v>7</v>
      </c>
      <c r="AN330" s="55">
        <v>8</v>
      </c>
      <c r="AO330" s="55">
        <v>9</v>
      </c>
      <c r="AP330" s="105">
        <v>0</v>
      </c>
      <c r="AQ330" s="105">
        <v>1</v>
      </c>
      <c r="AR330" s="105">
        <v>2</v>
      </c>
      <c r="AS330" s="105">
        <v>3</v>
      </c>
      <c r="AT330" s="105">
        <v>4</v>
      </c>
      <c r="AU330" s="105">
        <v>5</v>
      </c>
      <c r="AV330" s="105">
        <v>6</v>
      </c>
      <c r="AW330" s="105">
        <v>7</v>
      </c>
      <c r="AX330" s="105">
        <v>8</v>
      </c>
      <c r="AY330" s="105">
        <v>9</v>
      </c>
      <c r="AZ330" s="56">
        <v>0</v>
      </c>
      <c r="BA330" s="56">
        <v>1</v>
      </c>
      <c r="BB330" s="56">
        <v>2</v>
      </c>
      <c r="BC330" s="56">
        <v>3</v>
      </c>
      <c r="BD330" s="56">
        <v>4</v>
      </c>
      <c r="BE330" s="56">
        <v>5</v>
      </c>
      <c r="BF330" s="56">
        <v>6</v>
      </c>
      <c r="BG330" s="56">
        <v>7</v>
      </c>
      <c r="BH330" s="56">
        <v>8</v>
      </c>
      <c r="BI330" s="56">
        <v>9</v>
      </c>
      <c r="BJ330" s="57" t="str">
        <f t="shared" si="174"/>
        <v>标准型</v>
      </c>
      <c r="BK330" s="13">
        <f t="shared" si="170"/>
        <v>1</v>
      </c>
      <c r="BL330" s="13">
        <f t="shared" si="171"/>
        <v>5</v>
      </c>
      <c r="BM330" s="18">
        <f t="shared" si="176"/>
        <v>1</v>
      </c>
      <c r="BN330" s="19" t="str">
        <f t="shared" si="177"/>
        <v/>
      </c>
      <c r="BO330" s="19" t="str">
        <f t="array" ref="BO330">_xlfn.TEXTJOIN("",TRUE,IF(ISERROR(FIND(ROW($1:$10)-1,BM330&amp;BN330)),ROW($1:$10)-1,""))</f>
        <v>023456789</v>
      </c>
      <c r="BP330" s="20" t="str">
        <f t="shared" si="178"/>
        <v>复中中</v>
      </c>
      <c r="BQ330" s="21" t="str">
        <f t="shared" si="189"/>
        <v/>
      </c>
      <c r="BR330" s="21" t="str">
        <f t="shared" si="187"/>
        <v/>
      </c>
      <c r="BS330" s="21" t="str">
        <f t="array" ref="BS330">_xlfn.TEXTJOIN("",TRUE,IF(ISERROR(FIND(ROW($1:$10)-1,BQ330&amp;BR330)),ROW($1:$10)-1,""))</f>
        <v>0123456789</v>
      </c>
      <c r="BT330" s="20" t="str">
        <f t="shared" si="179"/>
        <v>中中中</v>
      </c>
      <c r="BU330" s="22" t="str">
        <f t="shared" si="180"/>
        <v/>
      </c>
      <c r="BV330" s="22">
        <f t="shared" si="188"/>
        <v>4</v>
      </c>
      <c r="BW330" s="22" t="str">
        <f t="array" ref="BW330">_xlfn.TEXTJOIN("",TRUE,IF(ISERROR(FIND(ROW($1:$10)-1,BU330&amp;BV330)),ROW($1:$10)-1,""))</f>
        <v>012356789</v>
      </c>
      <c r="BX330" s="20" t="str">
        <f t="shared" si="181"/>
        <v>中隔中</v>
      </c>
      <c r="BY330" s="23" t="str">
        <f t="shared" si="175"/>
        <v>02</v>
      </c>
      <c r="BZ330" s="24" t="str">
        <f t="array" ref="BZ330">_xlfn.TEXTJOIN("",TRUE,IF(ISNUMBER(FIND(MID(BY329&amp;Q329,ROW($1:$4),1),BY330&amp;Q330)),MID(BY329&amp;Q329,ROW($1:$4),1),""))</f>
        <v>021</v>
      </c>
      <c r="CA330" s="25" t="str">
        <f t="array" ref="CA330">_xlfn.TEXTJOIN("",TRUE,IF(ISERROR(FIND(ROW($1:$10)-1,BY330&amp;BZ330)),ROW($1:$10)-1,""))</f>
        <v>3456789</v>
      </c>
      <c r="CB330" s="26" t="str">
        <f t="shared" si="182"/>
        <v>邻传孤</v>
      </c>
      <c r="CC330" s="27" t="str">
        <f t="shared" si="183"/>
        <v>46</v>
      </c>
      <c r="CD330" s="27" t="str">
        <f t="array" ref="CD330">_xlfn.TEXTJOIN("",TRUE,IF(ISNUMBER(FIND(MID(CC329&amp;R329,ROW($1:$4),1),CC330&amp;R330)),MID(CC329&amp;R329,ROW($1:$4),1),""))</f>
        <v/>
      </c>
      <c r="CE330" s="27" t="str">
        <f t="array" ref="CE330">_xlfn.TEXTJOIN("",TRUE,IF(ISERROR(FIND(ROW($1:$10)-1,CC330&amp;CD330)),ROW($1:$10)-1,""))</f>
        <v>01235789</v>
      </c>
      <c r="CF330" s="17" t="str">
        <f t="shared" si="184"/>
        <v>邻孤孤</v>
      </c>
      <c r="CG330" s="22" t="str">
        <f t="shared" si="185"/>
        <v>35</v>
      </c>
      <c r="CH330" s="22" t="str">
        <f t="array" ref="CH330">_xlfn.TEXTJOIN("",TRUE,IF(ISNUMBER(FIND(MID(CG329&amp;S329,ROW($1:$4),1),CG330&amp;S330)),MID(CG329&amp;S329,ROW($1:$4),1),""))</f>
        <v/>
      </c>
      <c r="CI330" s="22" t="str">
        <f t="array" ref="CI330">_xlfn.TEXTJOIN("",TRUE,IF(ISERROR(FIND(ROW($1:$10)-1,CG330&amp;CH330)),ROW($1:$10)-1,""))</f>
        <v>01246789</v>
      </c>
      <c r="CJ330" s="28" t="str">
        <f t="shared" si="186"/>
        <v>邻孤孤</v>
      </c>
    </row>
    <row r="331" spans="1:88">
      <c r="A331" s="32">
        <v>2025106</v>
      </c>
      <c r="B331" s="8" t="s">
        <v>62</v>
      </c>
      <c r="C331" s="49">
        <f t="shared" si="165"/>
        <v>14</v>
      </c>
      <c r="D331" s="50">
        <f t="shared" si="166"/>
        <v>4</v>
      </c>
      <c r="E331" s="51">
        <f t="shared" si="172"/>
        <v>4.6666666666666696</v>
      </c>
      <c r="F331" s="52">
        <f>MAX(MID(B331,{1,2,3},1)*1)-MIN(MID(B331,{1,2,3},1)*1)</f>
        <v>5</v>
      </c>
      <c r="G331" s="104">
        <v>0</v>
      </c>
      <c r="H331" s="104">
        <v>1</v>
      </c>
      <c r="I331" s="104">
        <v>2</v>
      </c>
      <c r="J331" s="104">
        <v>3</v>
      </c>
      <c r="K331" s="104">
        <v>4</v>
      </c>
      <c r="L331" s="104">
        <v>5</v>
      </c>
      <c r="M331" s="104">
        <v>6</v>
      </c>
      <c r="N331" s="104">
        <v>7</v>
      </c>
      <c r="O331" s="104">
        <v>8</v>
      </c>
      <c r="P331" s="104">
        <v>9</v>
      </c>
      <c r="Q331" s="53">
        <f t="shared" si="167"/>
        <v>2</v>
      </c>
      <c r="R331" s="53">
        <f t="shared" si="168"/>
        <v>5</v>
      </c>
      <c r="S331" s="53">
        <f t="shared" si="169"/>
        <v>3</v>
      </c>
      <c r="T331" s="101">
        <f t="shared" si="173"/>
        <v>10</v>
      </c>
      <c r="U331" s="15" t="str">
        <f>_xlfn.TEXTJOIN(", ",TRUE,ABS(MID(B331,{1,1,2},1)-MID(B331,{2,3,3},1)))</f>
        <v>2, 5, 3</v>
      </c>
      <c r="V331" s="54">
        <v>0</v>
      </c>
      <c r="W331" s="54">
        <v>1</v>
      </c>
      <c r="X331" s="54">
        <v>2</v>
      </c>
      <c r="Y331" s="54">
        <v>3</v>
      </c>
      <c r="Z331" s="54">
        <v>4</v>
      </c>
      <c r="AA331" s="54">
        <v>5</v>
      </c>
      <c r="AB331" s="54">
        <v>6</v>
      </c>
      <c r="AC331" s="54">
        <v>7</v>
      </c>
      <c r="AD331" s="54">
        <v>8</v>
      </c>
      <c r="AE331" s="54">
        <v>9</v>
      </c>
      <c r="AF331" s="55">
        <v>0</v>
      </c>
      <c r="AG331" s="55">
        <v>1</v>
      </c>
      <c r="AH331" s="55">
        <v>2</v>
      </c>
      <c r="AI331" s="55">
        <v>3</v>
      </c>
      <c r="AJ331" s="55">
        <v>4</v>
      </c>
      <c r="AK331" s="55">
        <v>5</v>
      </c>
      <c r="AL331" s="55">
        <v>6</v>
      </c>
      <c r="AM331" s="55">
        <v>7</v>
      </c>
      <c r="AN331" s="55">
        <v>8</v>
      </c>
      <c r="AO331" s="55">
        <v>9</v>
      </c>
      <c r="AP331" s="105">
        <v>0</v>
      </c>
      <c r="AQ331" s="105">
        <v>1</v>
      </c>
      <c r="AR331" s="105">
        <v>2</v>
      </c>
      <c r="AS331" s="105">
        <v>3</v>
      </c>
      <c r="AT331" s="105">
        <v>4</v>
      </c>
      <c r="AU331" s="105">
        <v>5</v>
      </c>
      <c r="AV331" s="105">
        <v>6</v>
      </c>
      <c r="AW331" s="105">
        <v>7</v>
      </c>
      <c r="AX331" s="105">
        <v>8</v>
      </c>
      <c r="AY331" s="105">
        <v>9</v>
      </c>
      <c r="AZ331" s="56">
        <v>0</v>
      </c>
      <c r="BA331" s="56">
        <v>1</v>
      </c>
      <c r="BB331" s="56">
        <v>2</v>
      </c>
      <c r="BC331" s="56">
        <v>3</v>
      </c>
      <c r="BD331" s="56">
        <v>4</v>
      </c>
      <c r="BE331" s="56">
        <v>5</v>
      </c>
      <c r="BF331" s="56">
        <v>6</v>
      </c>
      <c r="BG331" s="56">
        <v>7</v>
      </c>
      <c r="BH331" s="56">
        <v>8</v>
      </c>
      <c r="BI331" s="56">
        <v>9</v>
      </c>
      <c r="BJ331" s="57" t="str">
        <f t="shared" si="174"/>
        <v>标准型</v>
      </c>
      <c r="BK331" s="13">
        <f t="shared" si="170"/>
        <v>2</v>
      </c>
      <c r="BL331" s="13">
        <f t="shared" si="171"/>
        <v>5</v>
      </c>
      <c r="BM331" s="18" t="str">
        <f t="shared" si="176"/>
        <v/>
      </c>
      <c r="BN331" s="19" t="str">
        <f t="shared" si="177"/>
        <v/>
      </c>
      <c r="BO331" s="19" t="str">
        <f t="array" ref="BO331">_xlfn.TEXTJOIN("",TRUE,IF(ISERROR(FIND(ROW($1:$10)-1,BM331&amp;BN331)),ROW($1:$10)-1,""))</f>
        <v>0123456789</v>
      </c>
      <c r="BP331" s="20" t="str">
        <f t="shared" si="178"/>
        <v>中中中</v>
      </c>
      <c r="BQ331" s="21">
        <f t="shared" si="189"/>
        <v>5</v>
      </c>
      <c r="BR331" s="21" t="str">
        <f t="shared" si="187"/>
        <v/>
      </c>
      <c r="BS331" s="21" t="str">
        <f t="array" ref="BS331">_xlfn.TEXTJOIN("",TRUE,IF(ISERROR(FIND(ROW($1:$10)-1,BQ331&amp;BR331)),ROW($1:$10)-1,""))</f>
        <v>012346789</v>
      </c>
      <c r="BT331" s="20" t="str">
        <f t="shared" si="179"/>
        <v>复中中</v>
      </c>
      <c r="BU331" s="22" t="str">
        <f t="shared" si="180"/>
        <v/>
      </c>
      <c r="BV331" s="22" t="str">
        <f t="shared" si="188"/>
        <v/>
      </c>
      <c r="BW331" s="22" t="str">
        <f t="array" ref="BW331">_xlfn.TEXTJOIN("",TRUE,IF(ISERROR(FIND(ROW($1:$10)-1,BU331&amp;BV331)),ROW($1:$10)-1,""))</f>
        <v>0123456789</v>
      </c>
      <c r="BX331" s="20" t="str">
        <f t="shared" si="181"/>
        <v>中中中</v>
      </c>
      <c r="BY331" s="23" t="str">
        <f t="shared" si="175"/>
        <v>13</v>
      </c>
      <c r="BZ331" s="24" t="str">
        <f t="array" ref="BZ331">_xlfn.TEXTJOIN("",TRUE,IF(ISNUMBER(FIND(MID(BY330&amp;Q330,ROW($1:$4),1),BY331&amp;Q331)),MID(BY330&amp;Q330,ROW($1:$4),1),""))</f>
        <v>21</v>
      </c>
      <c r="CA331" s="25" t="str">
        <f t="array" ref="CA331">_xlfn.TEXTJOIN("",TRUE,IF(ISERROR(FIND(ROW($1:$10)-1,BY331&amp;BZ331)),ROW($1:$10)-1,""))</f>
        <v>0456789</v>
      </c>
      <c r="CB331" s="26" t="str">
        <f t="shared" si="182"/>
        <v>邻传孤</v>
      </c>
      <c r="CC331" s="27" t="str">
        <f t="shared" si="183"/>
        <v>46</v>
      </c>
      <c r="CD331" s="27" t="str">
        <f t="array" ref="CD331">_xlfn.TEXTJOIN("",TRUE,IF(ISNUMBER(FIND(MID(CC330&amp;R330,ROW($1:$4),1),CC331&amp;R331)),MID(CC330&amp;R330,ROW($1:$4),1),""))</f>
        <v>465</v>
      </c>
      <c r="CE331" s="27" t="str">
        <f t="array" ref="CE331">_xlfn.TEXTJOIN("",TRUE,IF(ISERROR(FIND(ROW($1:$10)-1,CC331&amp;CD331)),ROW($1:$10)-1,""))</f>
        <v>0123789</v>
      </c>
      <c r="CF331" s="17" t="str">
        <f t="shared" si="184"/>
        <v>邻传孤</v>
      </c>
      <c r="CG331" s="22" t="str">
        <f t="shared" si="185"/>
        <v>24</v>
      </c>
      <c r="CH331" s="22" t="str">
        <f t="array" ref="CH331">_xlfn.TEXTJOIN("",TRUE,IF(ISNUMBER(FIND(MID(CG330&amp;S330,ROW($1:$4),1),CG331&amp;S331)),MID(CG330&amp;S330,ROW($1:$4),1),""))</f>
        <v>34</v>
      </c>
      <c r="CI331" s="22" t="str">
        <f t="array" ref="CI331">_xlfn.TEXTJOIN("",TRUE,IF(ISERROR(FIND(ROW($1:$10)-1,CG331&amp;CH331)),ROW($1:$10)-1,""))</f>
        <v>0156789</v>
      </c>
      <c r="CJ331" s="28" t="str">
        <f t="shared" si="186"/>
        <v>邻传孤</v>
      </c>
    </row>
    <row r="332" spans="1:88">
      <c r="A332" s="32">
        <v>2025107</v>
      </c>
      <c r="B332" s="8" t="s">
        <v>231</v>
      </c>
      <c r="C332" s="49">
        <f t="shared" si="165"/>
        <v>9</v>
      </c>
      <c r="D332" s="50">
        <f t="shared" si="166"/>
        <v>9</v>
      </c>
      <c r="E332" s="51">
        <f t="shared" si="172"/>
        <v>3</v>
      </c>
      <c r="F332" s="52">
        <f>MAX(MID(B332,{1,2,3},1)*1)-MIN(MID(B332,{1,2,3},1)*1)</f>
        <v>7</v>
      </c>
      <c r="G332" s="104">
        <v>0</v>
      </c>
      <c r="H332" s="104">
        <v>1</v>
      </c>
      <c r="I332" s="104">
        <v>2</v>
      </c>
      <c r="J332" s="104">
        <v>3</v>
      </c>
      <c r="K332" s="104">
        <v>4</v>
      </c>
      <c r="L332" s="104">
        <v>5</v>
      </c>
      <c r="M332" s="104">
        <v>6</v>
      </c>
      <c r="N332" s="104">
        <v>7</v>
      </c>
      <c r="O332" s="104">
        <v>8</v>
      </c>
      <c r="P332" s="104">
        <v>9</v>
      </c>
      <c r="Q332" s="53">
        <f t="shared" si="167"/>
        <v>2</v>
      </c>
      <c r="R332" s="53">
        <f t="shared" si="168"/>
        <v>7</v>
      </c>
      <c r="S332" s="53">
        <f t="shared" si="169"/>
        <v>5</v>
      </c>
      <c r="T332" s="101">
        <f t="shared" si="173"/>
        <v>14</v>
      </c>
      <c r="U332" s="15" t="str">
        <f>_xlfn.TEXTJOIN(", ",TRUE,ABS(MID(B332,{1,1,2},1)-MID(B332,{2,3,3},1)))</f>
        <v>2, 7, 5</v>
      </c>
      <c r="V332" s="54">
        <v>0</v>
      </c>
      <c r="W332" s="54">
        <v>1</v>
      </c>
      <c r="X332" s="54">
        <v>2</v>
      </c>
      <c r="Y332" s="54">
        <v>3</v>
      </c>
      <c r="Z332" s="54">
        <v>4</v>
      </c>
      <c r="AA332" s="54">
        <v>5</v>
      </c>
      <c r="AB332" s="54">
        <v>6</v>
      </c>
      <c r="AC332" s="54">
        <v>7</v>
      </c>
      <c r="AD332" s="54">
        <v>8</v>
      </c>
      <c r="AE332" s="54">
        <v>9</v>
      </c>
      <c r="AF332" s="55">
        <v>0</v>
      </c>
      <c r="AG332" s="55">
        <v>1</v>
      </c>
      <c r="AH332" s="55">
        <v>2</v>
      </c>
      <c r="AI332" s="55">
        <v>3</v>
      </c>
      <c r="AJ332" s="55">
        <v>4</v>
      </c>
      <c r="AK332" s="55">
        <v>5</v>
      </c>
      <c r="AL332" s="55">
        <v>6</v>
      </c>
      <c r="AM332" s="55">
        <v>7</v>
      </c>
      <c r="AN332" s="55">
        <v>8</v>
      </c>
      <c r="AO332" s="55">
        <v>9</v>
      </c>
      <c r="AP332" s="105">
        <v>0</v>
      </c>
      <c r="AQ332" s="105">
        <v>1</v>
      </c>
      <c r="AR332" s="105">
        <v>2</v>
      </c>
      <c r="AS332" s="105">
        <v>3</v>
      </c>
      <c r="AT332" s="105">
        <v>4</v>
      </c>
      <c r="AU332" s="105">
        <v>5</v>
      </c>
      <c r="AV332" s="105">
        <v>6</v>
      </c>
      <c r="AW332" s="105">
        <v>7</v>
      </c>
      <c r="AX332" s="105">
        <v>8</v>
      </c>
      <c r="AY332" s="105">
        <v>9</v>
      </c>
      <c r="AZ332" s="56">
        <v>0</v>
      </c>
      <c r="BA332" s="56">
        <v>1</v>
      </c>
      <c r="BB332" s="56">
        <v>2</v>
      </c>
      <c r="BC332" s="56">
        <v>3</v>
      </c>
      <c r="BD332" s="56">
        <v>4</v>
      </c>
      <c r="BE332" s="56">
        <v>5</v>
      </c>
      <c r="BF332" s="56">
        <v>6</v>
      </c>
      <c r="BG332" s="56">
        <v>7</v>
      </c>
      <c r="BH332" s="56">
        <v>8</v>
      </c>
      <c r="BI332" s="56">
        <v>9</v>
      </c>
      <c r="BJ332" s="57" t="str">
        <f t="shared" si="174"/>
        <v>松散型</v>
      </c>
      <c r="BK332" s="13">
        <f t="shared" si="170"/>
        <v>2</v>
      </c>
      <c r="BL332" s="13">
        <f t="shared" si="171"/>
        <v>7</v>
      </c>
      <c r="BM332" s="18">
        <f t="shared" si="176"/>
        <v>2</v>
      </c>
      <c r="BN332" s="19" t="str">
        <f t="shared" si="177"/>
        <v/>
      </c>
      <c r="BO332" s="19" t="str">
        <f t="array" ref="BO332">_xlfn.TEXTJOIN("",TRUE,IF(ISERROR(FIND(ROW($1:$10)-1,BM332&amp;BN332)),ROW($1:$10)-1,""))</f>
        <v>013456789</v>
      </c>
      <c r="BP332" s="20" t="str">
        <f t="shared" si="178"/>
        <v>复中中</v>
      </c>
      <c r="BQ332" s="21" t="str">
        <f t="shared" si="189"/>
        <v/>
      </c>
      <c r="BR332" s="21" t="str">
        <f t="shared" si="187"/>
        <v/>
      </c>
      <c r="BS332" s="21" t="str">
        <f t="array" ref="BS332">_xlfn.TEXTJOIN("",TRUE,IF(ISERROR(FIND(ROW($1:$10)-1,BQ332&amp;BR332)),ROW($1:$10)-1,""))</f>
        <v>0123456789</v>
      </c>
      <c r="BT332" s="20" t="str">
        <f t="shared" si="179"/>
        <v>中中中</v>
      </c>
      <c r="BU332" s="22">
        <f t="shared" si="180"/>
        <v>5</v>
      </c>
      <c r="BV332" s="22">
        <f t="shared" si="188"/>
        <v>5</v>
      </c>
      <c r="BW332" s="22" t="str">
        <f t="array" ref="BW332">_xlfn.TEXTJOIN("",TRUE,IF(ISERROR(FIND(ROW($1:$10)-1,BU332&amp;BV332)),ROW($1:$10)-1,""))</f>
        <v>012346789</v>
      </c>
      <c r="BX332" s="20" t="str">
        <f t="shared" si="181"/>
        <v>复隔中</v>
      </c>
      <c r="BY332" s="23" t="str">
        <f t="shared" si="175"/>
        <v>13</v>
      </c>
      <c r="BZ332" s="24" t="str">
        <f t="array" ref="BZ332">_xlfn.TEXTJOIN("",TRUE,IF(ISNUMBER(FIND(MID(BY331&amp;Q331,ROW($1:$4),1),BY332&amp;Q332)),MID(BY331&amp;Q331,ROW($1:$4),1),""))</f>
        <v>132</v>
      </c>
      <c r="CA332" s="25" t="str">
        <f t="array" ref="CA332">_xlfn.TEXTJOIN("",TRUE,IF(ISERROR(FIND(ROW($1:$10)-1,BY332&amp;BZ332)),ROW($1:$10)-1,""))</f>
        <v>0456789</v>
      </c>
      <c r="CB332" s="26" t="str">
        <f t="shared" si="182"/>
        <v>邻传孤</v>
      </c>
      <c r="CC332" s="27" t="str">
        <f t="shared" si="183"/>
        <v>68</v>
      </c>
      <c r="CD332" s="27" t="str">
        <f t="array" ref="CD332">_xlfn.TEXTJOIN("",TRUE,IF(ISNUMBER(FIND(MID(CC331&amp;R331,ROW($1:$4),1),CC332&amp;R332)),MID(CC331&amp;R331,ROW($1:$4),1),""))</f>
        <v>6</v>
      </c>
      <c r="CE332" s="27" t="str">
        <f t="array" ref="CE332">_xlfn.TEXTJOIN("",TRUE,IF(ISERROR(FIND(ROW($1:$10)-1,CC332&amp;CD332)),ROW($1:$10)-1,""))</f>
        <v>01234579</v>
      </c>
      <c r="CF332" s="17" t="str">
        <f t="shared" si="184"/>
        <v>邻传孤</v>
      </c>
      <c r="CG332" s="22" t="str">
        <f t="shared" si="185"/>
        <v>46</v>
      </c>
      <c r="CH332" s="22" t="str">
        <f t="array" ref="CH332">_xlfn.TEXTJOIN("",TRUE,IF(ISNUMBER(FIND(MID(CG331&amp;S331,ROW($1:$4),1),CG332&amp;S332)),MID(CG331&amp;S331,ROW($1:$4),1),""))</f>
        <v>4</v>
      </c>
      <c r="CI332" s="22" t="str">
        <f t="array" ref="CI332">_xlfn.TEXTJOIN("",TRUE,IF(ISERROR(FIND(ROW($1:$10)-1,CG332&amp;CH332)),ROW($1:$10)-1,""))</f>
        <v>01235789</v>
      </c>
      <c r="CJ332" s="28" t="str">
        <f t="shared" si="186"/>
        <v>邻传孤</v>
      </c>
    </row>
    <row r="333" spans="1:88">
      <c r="A333" s="32">
        <v>2025108</v>
      </c>
      <c r="B333" s="8" t="s">
        <v>295</v>
      </c>
      <c r="C333" s="49">
        <f t="shared" si="165"/>
        <v>11</v>
      </c>
      <c r="D333" s="50">
        <f t="shared" si="166"/>
        <v>1</v>
      </c>
      <c r="E333" s="51">
        <f t="shared" si="172"/>
        <v>3.6666666666666701</v>
      </c>
      <c r="F333" s="52">
        <f>MAX(MID(B333,{1,2,3},1)*1)-MIN(MID(B333,{1,2,3},1)*1)</f>
        <v>7</v>
      </c>
      <c r="G333" s="104">
        <v>0</v>
      </c>
      <c r="H333" s="104">
        <v>1</v>
      </c>
      <c r="I333" s="104">
        <v>2</v>
      </c>
      <c r="J333" s="104">
        <v>3</v>
      </c>
      <c r="K333" s="104">
        <v>4</v>
      </c>
      <c r="L333" s="104">
        <v>5</v>
      </c>
      <c r="M333" s="104">
        <v>6</v>
      </c>
      <c r="N333" s="104">
        <v>7</v>
      </c>
      <c r="O333" s="104">
        <v>8</v>
      </c>
      <c r="P333" s="104">
        <v>9</v>
      </c>
      <c r="Q333" s="53">
        <f t="shared" si="167"/>
        <v>4</v>
      </c>
      <c r="R333" s="53">
        <f t="shared" si="168"/>
        <v>3</v>
      </c>
      <c r="S333" s="53">
        <f t="shared" si="169"/>
        <v>7</v>
      </c>
      <c r="T333" s="101">
        <f t="shared" si="173"/>
        <v>14</v>
      </c>
      <c r="U333" s="15" t="str">
        <f>_xlfn.TEXTJOIN(", ",TRUE,ABS(MID(B333,{1,1,2},1)-MID(B333,{2,3,3},1)))</f>
        <v>4, 3, 7</v>
      </c>
      <c r="V333" s="54">
        <v>0</v>
      </c>
      <c r="W333" s="54">
        <v>1</v>
      </c>
      <c r="X333" s="54">
        <v>2</v>
      </c>
      <c r="Y333" s="54">
        <v>3</v>
      </c>
      <c r="Z333" s="54">
        <v>4</v>
      </c>
      <c r="AA333" s="54">
        <v>5</v>
      </c>
      <c r="AB333" s="54">
        <v>6</v>
      </c>
      <c r="AC333" s="54">
        <v>7</v>
      </c>
      <c r="AD333" s="54">
        <v>8</v>
      </c>
      <c r="AE333" s="54">
        <v>9</v>
      </c>
      <c r="AF333" s="55">
        <v>0</v>
      </c>
      <c r="AG333" s="55">
        <v>1</v>
      </c>
      <c r="AH333" s="55">
        <v>2</v>
      </c>
      <c r="AI333" s="55">
        <v>3</v>
      </c>
      <c r="AJ333" s="55">
        <v>4</v>
      </c>
      <c r="AK333" s="55">
        <v>5</v>
      </c>
      <c r="AL333" s="55">
        <v>6</v>
      </c>
      <c r="AM333" s="55">
        <v>7</v>
      </c>
      <c r="AN333" s="55">
        <v>8</v>
      </c>
      <c r="AO333" s="55">
        <v>9</v>
      </c>
      <c r="AP333" s="105">
        <v>0</v>
      </c>
      <c r="AQ333" s="105">
        <v>1</v>
      </c>
      <c r="AR333" s="105">
        <v>2</v>
      </c>
      <c r="AS333" s="105">
        <v>3</v>
      </c>
      <c r="AT333" s="105">
        <v>4</v>
      </c>
      <c r="AU333" s="105">
        <v>5</v>
      </c>
      <c r="AV333" s="105">
        <v>6</v>
      </c>
      <c r="AW333" s="105">
        <v>7</v>
      </c>
      <c r="AX333" s="105">
        <v>8</v>
      </c>
      <c r="AY333" s="105">
        <v>9</v>
      </c>
      <c r="AZ333" s="56">
        <v>0</v>
      </c>
      <c r="BA333" s="56">
        <v>1</v>
      </c>
      <c r="BB333" s="56">
        <v>2</v>
      </c>
      <c r="BC333" s="56">
        <v>3</v>
      </c>
      <c r="BD333" s="56">
        <v>4</v>
      </c>
      <c r="BE333" s="56">
        <v>5</v>
      </c>
      <c r="BF333" s="56">
        <v>6</v>
      </c>
      <c r="BG333" s="56">
        <v>7</v>
      </c>
      <c r="BH333" s="56">
        <v>8</v>
      </c>
      <c r="BI333" s="56">
        <v>9</v>
      </c>
      <c r="BJ333" s="57" t="str">
        <f t="shared" si="174"/>
        <v>松散型</v>
      </c>
      <c r="BK333" s="13">
        <f t="shared" si="170"/>
        <v>3</v>
      </c>
      <c r="BL333" s="13">
        <f t="shared" si="171"/>
        <v>7</v>
      </c>
      <c r="BM333" s="18" t="str">
        <f t="shared" si="176"/>
        <v/>
      </c>
      <c r="BN333" s="19" t="str">
        <f t="shared" si="177"/>
        <v/>
      </c>
      <c r="BO333" s="19" t="str">
        <f t="array" ref="BO333">_xlfn.TEXTJOIN("",TRUE,IF(ISERROR(FIND(ROW($1:$10)-1,BM333&amp;BN333)),ROW($1:$10)-1,""))</f>
        <v>0123456789</v>
      </c>
      <c r="BP333" s="20" t="str">
        <f t="shared" si="178"/>
        <v>中中中</v>
      </c>
      <c r="BQ333" s="21" t="str">
        <f t="shared" si="189"/>
        <v/>
      </c>
      <c r="BR333" s="21">
        <f t="shared" si="187"/>
        <v>3</v>
      </c>
      <c r="BS333" s="21" t="str">
        <f t="array" ref="BS333">_xlfn.TEXTJOIN("",TRUE,IF(ISERROR(FIND(ROW($1:$10)-1,BQ333&amp;BR333)),ROW($1:$10)-1,""))</f>
        <v>012456789</v>
      </c>
      <c r="BT333" s="20" t="str">
        <f t="shared" si="179"/>
        <v>中隔中</v>
      </c>
      <c r="BU333" s="22">
        <f t="shared" si="180"/>
        <v>7</v>
      </c>
      <c r="BV333" s="22" t="str">
        <f t="shared" si="188"/>
        <v/>
      </c>
      <c r="BW333" s="22" t="str">
        <f t="array" ref="BW333">_xlfn.TEXTJOIN("",TRUE,IF(ISERROR(FIND(ROW($1:$10)-1,BU333&amp;BV333)),ROW($1:$10)-1,""))</f>
        <v>012345689</v>
      </c>
      <c r="BX333" s="20" t="str">
        <f t="shared" si="181"/>
        <v>复中中</v>
      </c>
      <c r="BY333" s="23" t="str">
        <f t="shared" si="175"/>
        <v>35</v>
      </c>
      <c r="BZ333" s="24" t="str">
        <f t="array" ref="BZ333">_xlfn.TEXTJOIN("",TRUE,IF(ISNUMBER(FIND(MID(BY332&amp;Q332,ROW($1:$4),1),BY333&amp;Q333)),MID(BY332&amp;Q332,ROW($1:$4),1),""))</f>
        <v>3</v>
      </c>
      <c r="CA333" s="25" t="str">
        <f t="array" ref="CA333">_xlfn.TEXTJOIN("",TRUE,IF(ISERROR(FIND(ROW($1:$10)-1,BY333&amp;BZ333)),ROW($1:$10)-1,""))</f>
        <v>01246789</v>
      </c>
      <c r="CB333" s="26" t="str">
        <f t="shared" si="182"/>
        <v>邻传孤</v>
      </c>
      <c r="CC333" s="27" t="str">
        <f t="shared" si="183"/>
        <v>24</v>
      </c>
      <c r="CD333" s="27" t="str">
        <f t="array" ref="CD333">_xlfn.TEXTJOIN("",TRUE,IF(ISNUMBER(FIND(MID(CC332&amp;R332,ROW($1:$4),1),CC333&amp;R333)),MID(CC332&amp;R332,ROW($1:$4),1),""))</f>
        <v/>
      </c>
      <c r="CE333" s="27" t="str">
        <f t="array" ref="CE333">_xlfn.TEXTJOIN("",TRUE,IF(ISERROR(FIND(ROW($1:$10)-1,CC333&amp;CD333)),ROW($1:$10)-1,""))</f>
        <v>01356789</v>
      </c>
      <c r="CF333" s="17" t="str">
        <f t="shared" si="184"/>
        <v>邻孤孤</v>
      </c>
      <c r="CG333" s="22" t="str">
        <f t="shared" si="185"/>
        <v>68</v>
      </c>
      <c r="CH333" s="22" t="str">
        <f t="array" ref="CH333">_xlfn.TEXTJOIN("",TRUE,IF(ISNUMBER(FIND(MID(CG332&amp;S332,ROW($1:$4),1),CG333&amp;S333)),MID(CG332&amp;S332,ROW($1:$4),1),""))</f>
        <v>6</v>
      </c>
      <c r="CI333" s="22" t="str">
        <f t="array" ref="CI333">_xlfn.TEXTJOIN("",TRUE,IF(ISERROR(FIND(ROW($1:$10)-1,CG333&amp;CH333)),ROW($1:$10)-1,""))</f>
        <v>01234579</v>
      </c>
      <c r="CJ333" s="28" t="str">
        <f t="shared" si="186"/>
        <v>邻传孤</v>
      </c>
    </row>
    <row r="334" spans="1:88">
      <c r="A334" s="32">
        <v>2025109</v>
      </c>
      <c r="B334" s="8" t="s">
        <v>296</v>
      </c>
      <c r="C334" s="49">
        <f t="shared" si="165"/>
        <v>13</v>
      </c>
      <c r="D334" s="50">
        <f t="shared" si="166"/>
        <v>3</v>
      </c>
      <c r="E334" s="51">
        <f t="shared" si="172"/>
        <v>4.3333333333333304</v>
      </c>
      <c r="F334" s="52">
        <f>MAX(MID(B334,{1,2,3},1)*1)-MIN(MID(B334,{1,2,3},1)*1)</f>
        <v>7</v>
      </c>
      <c r="G334" s="104">
        <v>0</v>
      </c>
      <c r="H334" s="104">
        <v>1</v>
      </c>
      <c r="I334" s="104">
        <v>2</v>
      </c>
      <c r="J334" s="104">
        <v>3</v>
      </c>
      <c r="K334" s="104">
        <v>4</v>
      </c>
      <c r="L334" s="104">
        <v>5</v>
      </c>
      <c r="M334" s="104">
        <v>6</v>
      </c>
      <c r="N334" s="104">
        <v>7</v>
      </c>
      <c r="O334" s="104">
        <v>8</v>
      </c>
      <c r="P334" s="104">
        <v>9</v>
      </c>
      <c r="Q334" s="53">
        <f t="shared" si="167"/>
        <v>4</v>
      </c>
      <c r="R334" s="53">
        <f t="shared" si="168"/>
        <v>7</v>
      </c>
      <c r="S334" s="53">
        <f t="shared" si="169"/>
        <v>3</v>
      </c>
      <c r="T334" s="101">
        <f t="shared" si="173"/>
        <v>14</v>
      </c>
      <c r="U334" s="15" t="str">
        <f>_xlfn.TEXTJOIN(", ",TRUE,ABS(MID(B334,{1,1,2},1)-MID(B334,{2,3,3},1)))</f>
        <v>4, 7, 3</v>
      </c>
      <c r="V334" s="54">
        <v>0</v>
      </c>
      <c r="W334" s="54">
        <v>1</v>
      </c>
      <c r="X334" s="54">
        <v>2</v>
      </c>
      <c r="Y334" s="54">
        <v>3</v>
      </c>
      <c r="Z334" s="54">
        <v>4</v>
      </c>
      <c r="AA334" s="54">
        <v>5</v>
      </c>
      <c r="AB334" s="54">
        <v>6</v>
      </c>
      <c r="AC334" s="54">
        <v>7</v>
      </c>
      <c r="AD334" s="54">
        <v>8</v>
      </c>
      <c r="AE334" s="54">
        <v>9</v>
      </c>
      <c r="AF334" s="55">
        <v>0</v>
      </c>
      <c r="AG334" s="55">
        <v>1</v>
      </c>
      <c r="AH334" s="55">
        <v>2</v>
      </c>
      <c r="AI334" s="55">
        <v>3</v>
      </c>
      <c r="AJ334" s="55">
        <v>4</v>
      </c>
      <c r="AK334" s="55">
        <v>5</v>
      </c>
      <c r="AL334" s="55">
        <v>6</v>
      </c>
      <c r="AM334" s="55">
        <v>7</v>
      </c>
      <c r="AN334" s="55">
        <v>8</v>
      </c>
      <c r="AO334" s="55">
        <v>9</v>
      </c>
      <c r="AP334" s="105">
        <v>0</v>
      </c>
      <c r="AQ334" s="105">
        <v>1</v>
      </c>
      <c r="AR334" s="105">
        <v>2</v>
      </c>
      <c r="AS334" s="105">
        <v>3</v>
      </c>
      <c r="AT334" s="105">
        <v>4</v>
      </c>
      <c r="AU334" s="105">
        <v>5</v>
      </c>
      <c r="AV334" s="105">
        <v>6</v>
      </c>
      <c r="AW334" s="105">
        <v>7</v>
      </c>
      <c r="AX334" s="105">
        <v>8</v>
      </c>
      <c r="AY334" s="105">
        <v>9</v>
      </c>
      <c r="AZ334" s="56">
        <v>0</v>
      </c>
      <c r="BA334" s="56">
        <v>1</v>
      </c>
      <c r="BB334" s="56">
        <v>2</v>
      </c>
      <c r="BC334" s="56">
        <v>3</v>
      </c>
      <c r="BD334" s="56">
        <v>4</v>
      </c>
      <c r="BE334" s="56">
        <v>5</v>
      </c>
      <c r="BF334" s="56">
        <v>6</v>
      </c>
      <c r="BG334" s="56">
        <v>7</v>
      </c>
      <c r="BH334" s="56">
        <v>8</v>
      </c>
      <c r="BI334" s="56">
        <v>9</v>
      </c>
      <c r="BJ334" s="57" t="str">
        <f t="shared" si="174"/>
        <v>松散型</v>
      </c>
      <c r="BK334" s="13">
        <f t="shared" si="170"/>
        <v>3</v>
      </c>
      <c r="BL334" s="13">
        <f t="shared" si="171"/>
        <v>7</v>
      </c>
      <c r="BM334" s="18">
        <f t="shared" si="176"/>
        <v>4</v>
      </c>
      <c r="BN334" s="19" t="str">
        <f t="shared" si="177"/>
        <v/>
      </c>
      <c r="BO334" s="19" t="str">
        <f t="array" ref="BO334">_xlfn.TEXTJOIN("",TRUE,IF(ISERROR(FIND(ROW($1:$10)-1,BM334&amp;BN334)),ROW($1:$10)-1,""))</f>
        <v>012356789</v>
      </c>
      <c r="BP334" s="20" t="str">
        <f t="shared" si="178"/>
        <v>复中中</v>
      </c>
      <c r="BQ334" s="21">
        <f t="shared" si="189"/>
        <v>7</v>
      </c>
      <c r="BR334" s="21">
        <f t="shared" si="187"/>
        <v>7</v>
      </c>
      <c r="BS334" s="21" t="str">
        <f t="array" ref="BS334">_xlfn.TEXTJOIN("",TRUE,IF(ISERROR(FIND(ROW($1:$10)-1,BQ334&amp;BR334)),ROW($1:$10)-1,""))</f>
        <v>012345689</v>
      </c>
      <c r="BT334" s="20" t="str">
        <f t="shared" si="179"/>
        <v>复隔中</v>
      </c>
      <c r="BU334" s="22">
        <f t="shared" si="180"/>
        <v>3</v>
      </c>
      <c r="BV334" s="22" t="str">
        <f t="shared" si="188"/>
        <v/>
      </c>
      <c r="BW334" s="22" t="str">
        <f t="array" ref="BW334">_xlfn.TEXTJOIN("",TRUE,IF(ISERROR(FIND(ROW($1:$10)-1,BU334&amp;BV334)),ROW($1:$10)-1,""))</f>
        <v>012456789</v>
      </c>
      <c r="BX334" s="20" t="str">
        <f t="shared" si="181"/>
        <v>复中中</v>
      </c>
      <c r="BY334" s="23" t="str">
        <f t="shared" si="175"/>
        <v>35</v>
      </c>
      <c r="BZ334" s="24" t="str">
        <f t="array" ref="BZ334">_xlfn.TEXTJOIN("",TRUE,IF(ISNUMBER(FIND(MID(BY333&amp;Q333,ROW($1:$4),1),BY334&amp;Q334)),MID(BY333&amp;Q333,ROW($1:$4),1),""))</f>
        <v>354</v>
      </c>
      <c r="CA334" s="25" t="str">
        <f t="array" ref="CA334">_xlfn.TEXTJOIN("",TRUE,IF(ISERROR(FIND(ROW($1:$10)-1,BY334&amp;BZ334)),ROW($1:$10)-1,""))</f>
        <v>0126789</v>
      </c>
      <c r="CB334" s="26" t="str">
        <f t="shared" si="182"/>
        <v>邻传孤</v>
      </c>
      <c r="CC334" s="27" t="str">
        <f t="shared" si="183"/>
        <v>68</v>
      </c>
      <c r="CD334" s="27" t="str">
        <f t="array" ref="CD334">_xlfn.TEXTJOIN("",TRUE,IF(ISNUMBER(FIND(MID(CC333&amp;R333,ROW($1:$4),1),CC334&amp;R334)),MID(CC333&amp;R333,ROW($1:$4),1),""))</f>
        <v/>
      </c>
      <c r="CE334" s="27" t="str">
        <f t="array" ref="CE334">_xlfn.TEXTJOIN("",TRUE,IF(ISERROR(FIND(ROW($1:$10)-1,CC334&amp;CD334)),ROW($1:$10)-1,""))</f>
        <v>01234579</v>
      </c>
      <c r="CF334" s="17" t="str">
        <f t="shared" si="184"/>
        <v>邻孤孤</v>
      </c>
      <c r="CG334" s="22" t="str">
        <f t="shared" si="185"/>
        <v>24</v>
      </c>
      <c r="CH334" s="22" t="str">
        <f t="array" ref="CH334">_xlfn.TEXTJOIN("",TRUE,IF(ISNUMBER(FIND(MID(CG333&amp;S333,ROW($1:$4),1),CG334&amp;S334)),MID(CG333&amp;S333,ROW($1:$4),1),""))</f>
        <v/>
      </c>
      <c r="CI334" s="22" t="str">
        <f t="array" ref="CI334">_xlfn.TEXTJOIN("",TRUE,IF(ISERROR(FIND(ROW($1:$10)-1,CG334&amp;CH334)),ROW($1:$10)-1,""))</f>
        <v>01356789</v>
      </c>
      <c r="CJ334" s="28" t="str">
        <f t="shared" si="186"/>
        <v>邻孤孤</v>
      </c>
    </row>
    <row r="335" spans="1:88">
      <c r="A335" s="32">
        <v>2025110</v>
      </c>
      <c r="B335" s="8" t="s">
        <v>297</v>
      </c>
      <c r="C335" s="49">
        <f t="shared" si="165"/>
        <v>14</v>
      </c>
      <c r="D335" s="50">
        <f t="shared" si="166"/>
        <v>4</v>
      </c>
      <c r="E335" s="51">
        <f t="shared" si="172"/>
        <v>4.6666666666666696</v>
      </c>
      <c r="F335" s="52">
        <f>MAX(MID(B335,{1,2,3},1)*1)-MIN(MID(B335,{1,2,3},1)*1)</f>
        <v>8</v>
      </c>
      <c r="G335" s="104">
        <v>0</v>
      </c>
      <c r="H335" s="104">
        <v>1</v>
      </c>
      <c r="I335" s="104">
        <v>2</v>
      </c>
      <c r="J335" s="104">
        <v>3</v>
      </c>
      <c r="K335" s="104">
        <v>4</v>
      </c>
      <c r="L335" s="104">
        <v>5</v>
      </c>
      <c r="M335" s="104">
        <v>6</v>
      </c>
      <c r="N335" s="104">
        <v>7</v>
      </c>
      <c r="O335" s="104">
        <v>8</v>
      </c>
      <c r="P335" s="104">
        <v>9</v>
      </c>
      <c r="Q335" s="53">
        <f t="shared" si="167"/>
        <v>8</v>
      </c>
      <c r="R335" s="53">
        <f t="shared" si="168"/>
        <v>5</v>
      </c>
      <c r="S335" s="53">
        <f t="shared" si="169"/>
        <v>3</v>
      </c>
      <c r="T335" s="101">
        <f t="shared" si="173"/>
        <v>16</v>
      </c>
      <c r="U335" s="15" t="str">
        <f>_xlfn.TEXTJOIN(", ",TRUE,ABS(MID(B335,{1,1,2},1)-MID(B335,{2,3,3},1)))</f>
        <v>8, 5, 3</v>
      </c>
      <c r="V335" s="54">
        <v>0</v>
      </c>
      <c r="W335" s="54">
        <v>1</v>
      </c>
      <c r="X335" s="54">
        <v>2</v>
      </c>
      <c r="Y335" s="54">
        <v>3</v>
      </c>
      <c r="Z335" s="54">
        <v>4</v>
      </c>
      <c r="AA335" s="54">
        <v>5</v>
      </c>
      <c r="AB335" s="54">
        <v>6</v>
      </c>
      <c r="AC335" s="54">
        <v>7</v>
      </c>
      <c r="AD335" s="54">
        <v>8</v>
      </c>
      <c r="AE335" s="54">
        <v>9</v>
      </c>
      <c r="AF335" s="55">
        <v>0</v>
      </c>
      <c r="AG335" s="55">
        <v>1</v>
      </c>
      <c r="AH335" s="55">
        <v>2</v>
      </c>
      <c r="AI335" s="55">
        <v>3</v>
      </c>
      <c r="AJ335" s="55">
        <v>4</v>
      </c>
      <c r="AK335" s="55">
        <v>5</v>
      </c>
      <c r="AL335" s="55">
        <v>6</v>
      </c>
      <c r="AM335" s="55">
        <v>7</v>
      </c>
      <c r="AN335" s="55">
        <v>8</v>
      </c>
      <c r="AO335" s="55">
        <v>9</v>
      </c>
      <c r="AP335" s="105">
        <v>0</v>
      </c>
      <c r="AQ335" s="105">
        <v>1</v>
      </c>
      <c r="AR335" s="105">
        <v>2</v>
      </c>
      <c r="AS335" s="105">
        <v>3</v>
      </c>
      <c r="AT335" s="105">
        <v>4</v>
      </c>
      <c r="AU335" s="105">
        <v>5</v>
      </c>
      <c r="AV335" s="105">
        <v>6</v>
      </c>
      <c r="AW335" s="105">
        <v>7</v>
      </c>
      <c r="AX335" s="105">
        <v>8</v>
      </c>
      <c r="AY335" s="105">
        <v>9</v>
      </c>
      <c r="AZ335" s="56">
        <v>0</v>
      </c>
      <c r="BA335" s="56">
        <v>1</v>
      </c>
      <c r="BB335" s="56">
        <v>2</v>
      </c>
      <c r="BC335" s="56">
        <v>3</v>
      </c>
      <c r="BD335" s="56">
        <v>4</v>
      </c>
      <c r="BE335" s="56">
        <v>5</v>
      </c>
      <c r="BF335" s="56">
        <v>6</v>
      </c>
      <c r="BG335" s="56">
        <v>7</v>
      </c>
      <c r="BH335" s="56">
        <v>8</v>
      </c>
      <c r="BI335" s="56">
        <v>9</v>
      </c>
      <c r="BJ335" s="57" t="str">
        <f t="shared" si="174"/>
        <v>松散型</v>
      </c>
      <c r="BK335" s="13">
        <f t="shared" si="170"/>
        <v>3</v>
      </c>
      <c r="BL335" s="13">
        <f t="shared" si="171"/>
        <v>8</v>
      </c>
      <c r="BM335" s="18" t="str">
        <f t="shared" si="176"/>
        <v/>
      </c>
      <c r="BN335" s="19" t="str">
        <f t="shared" si="177"/>
        <v/>
      </c>
      <c r="BO335" s="19" t="str">
        <f t="array" ref="BO335">_xlfn.TEXTJOIN("",TRUE,IF(ISERROR(FIND(ROW($1:$10)-1,BM335&amp;BN335)),ROW($1:$10)-1,""))</f>
        <v>0123456789</v>
      </c>
      <c r="BP335" s="20" t="str">
        <f t="shared" si="178"/>
        <v>中中中</v>
      </c>
      <c r="BQ335" s="21" t="str">
        <f t="shared" si="189"/>
        <v/>
      </c>
      <c r="BR335" s="21" t="str">
        <f t="shared" si="187"/>
        <v/>
      </c>
      <c r="BS335" s="21" t="str">
        <f t="array" ref="BS335">_xlfn.TEXTJOIN("",TRUE,IF(ISERROR(FIND(ROW($1:$10)-1,BQ335&amp;BR335)),ROW($1:$10)-1,""))</f>
        <v>0123456789</v>
      </c>
      <c r="BT335" s="20" t="str">
        <f t="shared" si="179"/>
        <v>中中中</v>
      </c>
      <c r="BU335" s="22">
        <f t="shared" si="180"/>
        <v>3</v>
      </c>
      <c r="BV335" s="22">
        <f t="shared" si="188"/>
        <v>3</v>
      </c>
      <c r="BW335" s="22" t="str">
        <f t="array" ref="BW335">_xlfn.TEXTJOIN("",TRUE,IF(ISERROR(FIND(ROW($1:$10)-1,BU335&amp;BV335)),ROW($1:$10)-1,""))</f>
        <v>012456789</v>
      </c>
      <c r="BX335" s="20" t="str">
        <f t="shared" si="181"/>
        <v>复隔中</v>
      </c>
      <c r="BY335" s="23" t="str">
        <f t="shared" si="175"/>
        <v>79</v>
      </c>
      <c r="BZ335" s="24" t="str">
        <f t="array" ref="BZ335">_xlfn.TEXTJOIN("",TRUE,IF(ISNUMBER(FIND(MID(BY334&amp;Q334,ROW($1:$4),1),BY335&amp;Q335)),MID(BY334&amp;Q334,ROW($1:$4),1),""))</f>
        <v/>
      </c>
      <c r="CA335" s="25" t="str">
        <f t="array" ref="CA335">_xlfn.TEXTJOIN("",TRUE,IF(ISERROR(FIND(ROW($1:$10)-1,BY335&amp;BZ335)),ROW($1:$10)-1,""))</f>
        <v>01234568</v>
      </c>
      <c r="CB335" s="26" t="str">
        <f t="shared" si="182"/>
        <v>邻孤孤</v>
      </c>
      <c r="CC335" s="27" t="str">
        <f t="shared" si="183"/>
        <v>46</v>
      </c>
      <c r="CD335" s="27" t="str">
        <f t="array" ref="CD335">_xlfn.TEXTJOIN("",TRUE,IF(ISNUMBER(FIND(MID(CC334&amp;R334,ROW($1:$4),1),CC335&amp;R335)),MID(CC334&amp;R334,ROW($1:$4),1),""))</f>
        <v>6</v>
      </c>
      <c r="CE335" s="27" t="str">
        <f t="array" ref="CE335">_xlfn.TEXTJOIN("",TRUE,IF(ISERROR(FIND(ROW($1:$10)-1,CC335&amp;CD335)),ROW($1:$10)-1,""))</f>
        <v>01235789</v>
      </c>
      <c r="CF335" s="17" t="str">
        <f t="shared" si="184"/>
        <v>邻传孤</v>
      </c>
      <c r="CG335" s="22" t="str">
        <f t="shared" si="185"/>
        <v>24</v>
      </c>
      <c r="CH335" s="22" t="str">
        <f t="array" ref="CH335">_xlfn.TEXTJOIN("",TRUE,IF(ISNUMBER(FIND(MID(CG334&amp;S334,ROW($1:$4),1),CG335&amp;S335)),MID(CG334&amp;S334,ROW($1:$4),1),""))</f>
        <v>243</v>
      </c>
      <c r="CI335" s="22" t="str">
        <f t="array" ref="CI335">_xlfn.TEXTJOIN("",TRUE,IF(ISERROR(FIND(ROW($1:$10)-1,CG335&amp;CH335)),ROW($1:$10)-1,""))</f>
        <v>0156789</v>
      </c>
      <c r="CJ335" s="28" t="str">
        <f t="shared" si="186"/>
        <v>邻传孤</v>
      </c>
    </row>
    <row r="336" spans="1:88">
      <c r="A336" s="32">
        <v>2025111</v>
      </c>
      <c r="B336" s="8" t="s">
        <v>298</v>
      </c>
      <c r="C336" s="49">
        <f t="shared" ref="C336:C360" si="190">LEFT(B336,1)+MID(B336,2,1)+RIGHT(B336,1)</f>
        <v>9</v>
      </c>
      <c r="D336" s="50">
        <f t="shared" ref="D336:D360" si="191">MOD(LEFT(B336,1)+MID(B336,2,1)+RIGHT(B336,1),10)</f>
        <v>9</v>
      </c>
      <c r="E336" s="51">
        <f t="shared" si="172"/>
        <v>3</v>
      </c>
      <c r="F336" s="52">
        <f>MAX(MID(B336,{1,2,3},1)*1)-MIN(MID(B336,{1,2,3},1)*1)</f>
        <v>7</v>
      </c>
      <c r="G336" s="104">
        <v>0</v>
      </c>
      <c r="H336" s="104">
        <v>1</v>
      </c>
      <c r="I336" s="104">
        <v>2</v>
      </c>
      <c r="J336" s="104">
        <v>3</v>
      </c>
      <c r="K336" s="104">
        <v>4</v>
      </c>
      <c r="L336" s="104">
        <v>5</v>
      </c>
      <c r="M336" s="104">
        <v>6</v>
      </c>
      <c r="N336" s="104">
        <v>7</v>
      </c>
      <c r="O336" s="104">
        <v>8</v>
      </c>
      <c r="P336" s="104">
        <v>9</v>
      </c>
      <c r="Q336" s="53">
        <f t="shared" ref="Q336:Q360" si="192">ABS(LEFT(B336,1)-MID(B336,2,1))</f>
        <v>5</v>
      </c>
      <c r="R336" s="53">
        <f t="shared" ref="R336:R360" si="193">ABS(LEFT(B336,1)-RIGHT(B336,1))</f>
        <v>2</v>
      </c>
      <c r="S336" s="53">
        <f t="shared" ref="S336:S360" si="194">ABS(MID(B336,2,1)-RIGHT(B336,1))</f>
        <v>7</v>
      </c>
      <c r="T336" s="101">
        <f t="shared" si="173"/>
        <v>14</v>
      </c>
      <c r="U336" s="15" t="str">
        <f>_xlfn.TEXTJOIN(", ",TRUE,ABS(MID(B336,{1,1,2},1)-MID(B336,{2,3,3},1)))</f>
        <v>5, 2, 7</v>
      </c>
      <c r="V336" s="54">
        <v>0</v>
      </c>
      <c r="W336" s="54">
        <v>1</v>
      </c>
      <c r="X336" s="54">
        <v>2</v>
      </c>
      <c r="Y336" s="54">
        <v>3</v>
      </c>
      <c r="Z336" s="54">
        <v>4</v>
      </c>
      <c r="AA336" s="54">
        <v>5</v>
      </c>
      <c r="AB336" s="54">
        <v>6</v>
      </c>
      <c r="AC336" s="54">
        <v>7</v>
      </c>
      <c r="AD336" s="54">
        <v>8</v>
      </c>
      <c r="AE336" s="54">
        <v>9</v>
      </c>
      <c r="AF336" s="55">
        <v>0</v>
      </c>
      <c r="AG336" s="55">
        <v>1</v>
      </c>
      <c r="AH336" s="55">
        <v>2</v>
      </c>
      <c r="AI336" s="55">
        <v>3</v>
      </c>
      <c r="AJ336" s="55">
        <v>4</v>
      </c>
      <c r="AK336" s="55">
        <v>5</v>
      </c>
      <c r="AL336" s="55">
        <v>6</v>
      </c>
      <c r="AM336" s="55">
        <v>7</v>
      </c>
      <c r="AN336" s="55">
        <v>8</v>
      </c>
      <c r="AO336" s="55">
        <v>9</v>
      </c>
      <c r="AP336" s="105">
        <v>0</v>
      </c>
      <c r="AQ336" s="105">
        <v>1</v>
      </c>
      <c r="AR336" s="105">
        <v>2</v>
      </c>
      <c r="AS336" s="105">
        <v>3</v>
      </c>
      <c r="AT336" s="105">
        <v>4</v>
      </c>
      <c r="AU336" s="105">
        <v>5</v>
      </c>
      <c r="AV336" s="105">
        <v>6</v>
      </c>
      <c r="AW336" s="105">
        <v>7</v>
      </c>
      <c r="AX336" s="105">
        <v>8</v>
      </c>
      <c r="AY336" s="105">
        <v>9</v>
      </c>
      <c r="AZ336" s="56">
        <v>0</v>
      </c>
      <c r="BA336" s="56">
        <v>1</v>
      </c>
      <c r="BB336" s="56">
        <v>2</v>
      </c>
      <c r="BC336" s="56">
        <v>3</v>
      </c>
      <c r="BD336" s="56">
        <v>4</v>
      </c>
      <c r="BE336" s="56">
        <v>5</v>
      </c>
      <c r="BF336" s="56">
        <v>6</v>
      </c>
      <c r="BG336" s="56">
        <v>7</v>
      </c>
      <c r="BH336" s="56">
        <v>8</v>
      </c>
      <c r="BI336" s="56">
        <v>9</v>
      </c>
      <c r="BJ336" s="57" t="str">
        <f t="shared" si="174"/>
        <v>松散型</v>
      </c>
      <c r="BK336" s="13">
        <f t="shared" si="170"/>
        <v>2</v>
      </c>
      <c r="BL336" s="13">
        <f t="shared" si="171"/>
        <v>7</v>
      </c>
      <c r="BM336" s="18">
        <f t="shared" si="176"/>
        <v>5</v>
      </c>
      <c r="BN336" s="19" t="str">
        <f t="shared" si="177"/>
        <v/>
      </c>
      <c r="BO336" s="19" t="str">
        <f t="array" ref="BO336">_xlfn.TEXTJOIN("",TRUE,IF(ISERROR(FIND(ROW($1:$10)-1,BM336&amp;BN336)),ROW($1:$10)-1,""))</f>
        <v>012346789</v>
      </c>
      <c r="BP336" s="20" t="str">
        <f t="shared" si="178"/>
        <v>复中中</v>
      </c>
      <c r="BQ336" s="21" t="str">
        <f t="shared" si="189"/>
        <v/>
      </c>
      <c r="BR336" s="21" t="str">
        <f t="shared" si="187"/>
        <v/>
      </c>
      <c r="BS336" s="21" t="str">
        <f t="array" ref="BS336">_xlfn.TEXTJOIN("",TRUE,IF(ISERROR(FIND(ROW($1:$10)-1,BQ336&amp;BR336)),ROW($1:$10)-1,""))</f>
        <v>0123456789</v>
      </c>
      <c r="BT336" s="20" t="str">
        <f t="shared" si="179"/>
        <v>中中中</v>
      </c>
      <c r="BU336" s="22" t="str">
        <f t="shared" si="180"/>
        <v/>
      </c>
      <c r="BV336" s="22">
        <f t="shared" si="188"/>
        <v>7</v>
      </c>
      <c r="BW336" s="22" t="str">
        <f t="array" ref="BW336">_xlfn.TEXTJOIN("",TRUE,IF(ISERROR(FIND(ROW($1:$10)-1,BU336&amp;BV336)),ROW($1:$10)-1,""))</f>
        <v>012345689</v>
      </c>
      <c r="BX336" s="20" t="str">
        <f t="shared" si="181"/>
        <v>中隔中</v>
      </c>
      <c r="BY336" s="23" t="str">
        <f t="shared" si="175"/>
        <v>46</v>
      </c>
      <c r="BZ336" s="24" t="str">
        <f t="array" ref="BZ336">_xlfn.TEXTJOIN("",TRUE,IF(ISNUMBER(FIND(MID(BY335&amp;Q335,ROW($1:$4),1),BY336&amp;Q336)),MID(BY335&amp;Q335,ROW($1:$4),1),""))</f>
        <v/>
      </c>
      <c r="CA336" s="25" t="str">
        <f t="array" ref="CA336">_xlfn.TEXTJOIN("",TRUE,IF(ISERROR(FIND(ROW($1:$10)-1,BY336&amp;BZ336)),ROW($1:$10)-1,""))</f>
        <v>01235789</v>
      </c>
      <c r="CB336" s="26" t="str">
        <f t="shared" si="182"/>
        <v>邻孤孤</v>
      </c>
      <c r="CC336" s="27" t="str">
        <f t="shared" si="183"/>
        <v>13</v>
      </c>
      <c r="CD336" s="27" t="str">
        <f t="array" ref="CD336">_xlfn.TEXTJOIN("",TRUE,IF(ISNUMBER(FIND(MID(CC335&amp;R335,ROW($1:$4),1),CC336&amp;R336)),MID(CC335&amp;R335,ROW($1:$4),1),""))</f>
        <v/>
      </c>
      <c r="CE336" s="27" t="str">
        <f t="array" ref="CE336">_xlfn.TEXTJOIN("",TRUE,IF(ISERROR(FIND(ROW($1:$10)-1,CC336&amp;CD336)),ROW($1:$10)-1,""))</f>
        <v>02456789</v>
      </c>
      <c r="CF336" s="17" t="str">
        <f t="shared" si="184"/>
        <v>邻孤孤</v>
      </c>
      <c r="CG336" s="22" t="str">
        <f t="shared" si="185"/>
        <v>68</v>
      </c>
      <c r="CH336" s="22" t="str">
        <f t="array" ref="CH336">_xlfn.TEXTJOIN("",TRUE,IF(ISNUMBER(FIND(MID(CG335&amp;S335,ROW($1:$4),1),CG336&amp;S336)),MID(CG335&amp;S335,ROW($1:$4),1),""))</f>
        <v/>
      </c>
      <c r="CI336" s="22" t="str">
        <f t="array" ref="CI336">_xlfn.TEXTJOIN("",TRUE,IF(ISERROR(FIND(ROW($1:$10)-1,CG336&amp;CH336)),ROW($1:$10)-1,""))</f>
        <v>01234579</v>
      </c>
      <c r="CJ336" s="28" t="str">
        <f t="shared" si="186"/>
        <v>邻孤孤</v>
      </c>
    </row>
    <row r="337" spans="1:88">
      <c r="A337" s="32">
        <v>2025112</v>
      </c>
      <c r="B337" s="8" t="s">
        <v>299</v>
      </c>
      <c r="C337" s="49">
        <f t="shared" si="190"/>
        <v>18</v>
      </c>
      <c r="D337" s="50">
        <f t="shared" si="191"/>
        <v>8</v>
      </c>
      <c r="E337" s="51">
        <f t="shared" si="172"/>
        <v>6</v>
      </c>
      <c r="F337" s="52">
        <f>MAX(MID(B337,{1,2,3},1)*1)-MIN(MID(B337,{1,2,3},1)*1)</f>
        <v>5</v>
      </c>
      <c r="G337" s="104">
        <v>0</v>
      </c>
      <c r="H337" s="104">
        <v>1</v>
      </c>
      <c r="I337" s="104">
        <v>2</v>
      </c>
      <c r="J337" s="104">
        <v>3</v>
      </c>
      <c r="K337" s="104">
        <v>4</v>
      </c>
      <c r="L337" s="104">
        <v>5</v>
      </c>
      <c r="M337" s="104">
        <v>6</v>
      </c>
      <c r="N337" s="104">
        <v>7</v>
      </c>
      <c r="O337" s="104">
        <v>8</v>
      </c>
      <c r="P337" s="104">
        <v>9</v>
      </c>
      <c r="Q337" s="53">
        <f t="shared" si="192"/>
        <v>4</v>
      </c>
      <c r="R337" s="53">
        <f t="shared" si="193"/>
        <v>5</v>
      </c>
      <c r="S337" s="53">
        <f t="shared" si="194"/>
        <v>1</v>
      </c>
      <c r="T337" s="101">
        <f t="shared" si="173"/>
        <v>10</v>
      </c>
      <c r="U337" s="15" t="str">
        <f>_xlfn.TEXTJOIN(", ",TRUE,ABS(MID(B337,{1,1,2},1)-MID(B337,{2,3,3},1)))</f>
        <v>4, 5, 1</v>
      </c>
      <c r="V337" s="54">
        <v>0</v>
      </c>
      <c r="W337" s="54">
        <v>1</v>
      </c>
      <c r="X337" s="54">
        <v>2</v>
      </c>
      <c r="Y337" s="54">
        <v>3</v>
      </c>
      <c r="Z337" s="54">
        <v>4</v>
      </c>
      <c r="AA337" s="54">
        <v>5</v>
      </c>
      <c r="AB337" s="54">
        <v>6</v>
      </c>
      <c r="AC337" s="54">
        <v>7</v>
      </c>
      <c r="AD337" s="54">
        <v>8</v>
      </c>
      <c r="AE337" s="54">
        <v>9</v>
      </c>
      <c r="AF337" s="55">
        <v>0</v>
      </c>
      <c r="AG337" s="55">
        <v>1</v>
      </c>
      <c r="AH337" s="55">
        <v>2</v>
      </c>
      <c r="AI337" s="55">
        <v>3</v>
      </c>
      <c r="AJ337" s="55">
        <v>4</v>
      </c>
      <c r="AK337" s="55">
        <v>5</v>
      </c>
      <c r="AL337" s="55">
        <v>6</v>
      </c>
      <c r="AM337" s="55">
        <v>7</v>
      </c>
      <c r="AN337" s="55">
        <v>8</v>
      </c>
      <c r="AO337" s="55">
        <v>9</v>
      </c>
      <c r="AP337" s="105">
        <v>0</v>
      </c>
      <c r="AQ337" s="105">
        <v>1</v>
      </c>
      <c r="AR337" s="105">
        <v>2</v>
      </c>
      <c r="AS337" s="105">
        <v>3</v>
      </c>
      <c r="AT337" s="105">
        <v>4</v>
      </c>
      <c r="AU337" s="105">
        <v>5</v>
      </c>
      <c r="AV337" s="105">
        <v>6</v>
      </c>
      <c r="AW337" s="105">
        <v>7</v>
      </c>
      <c r="AX337" s="105">
        <v>8</v>
      </c>
      <c r="AY337" s="105">
        <v>9</v>
      </c>
      <c r="AZ337" s="56">
        <v>0</v>
      </c>
      <c r="BA337" s="56">
        <v>1</v>
      </c>
      <c r="BB337" s="56">
        <v>2</v>
      </c>
      <c r="BC337" s="56">
        <v>3</v>
      </c>
      <c r="BD337" s="56">
        <v>4</v>
      </c>
      <c r="BE337" s="56">
        <v>5</v>
      </c>
      <c r="BF337" s="56">
        <v>6</v>
      </c>
      <c r="BG337" s="56">
        <v>7</v>
      </c>
      <c r="BH337" s="56">
        <v>8</v>
      </c>
      <c r="BI337" s="56">
        <v>9</v>
      </c>
      <c r="BJ337" s="57" t="str">
        <f t="shared" si="174"/>
        <v>标准型</v>
      </c>
      <c r="BK337" s="13">
        <f t="shared" si="170"/>
        <v>1</v>
      </c>
      <c r="BL337" s="13">
        <f t="shared" si="171"/>
        <v>5</v>
      </c>
      <c r="BM337" s="18" t="str">
        <f t="shared" si="176"/>
        <v/>
      </c>
      <c r="BN337" s="19" t="str">
        <f t="shared" si="177"/>
        <v/>
      </c>
      <c r="BO337" s="19" t="str">
        <f t="array" ref="BO337">_xlfn.TEXTJOIN("",TRUE,IF(ISERROR(FIND(ROW($1:$10)-1,BM337&amp;BN337)),ROW($1:$10)-1,""))</f>
        <v>0123456789</v>
      </c>
      <c r="BP337" s="20" t="str">
        <f t="shared" si="178"/>
        <v>中中中</v>
      </c>
      <c r="BQ337" s="21">
        <f t="shared" si="189"/>
        <v>5</v>
      </c>
      <c r="BR337" s="21">
        <f t="shared" si="187"/>
        <v>5</v>
      </c>
      <c r="BS337" s="21" t="str">
        <f t="array" ref="BS337">_xlfn.TEXTJOIN("",TRUE,IF(ISERROR(FIND(ROW($1:$10)-1,BQ337&amp;BR337)),ROW($1:$10)-1,""))</f>
        <v>012346789</v>
      </c>
      <c r="BT337" s="20" t="str">
        <f t="shared" si="179"/>
        <v>复隔中</v>
      </c>
      <c r="BU337" s="22" t="str">
        <f t="shared" si="180"/>
        <v/>
      </c>
      <c r="BV337" s="22" t="str">
        <f t="shared" si="188"/>
        <v/>
      </c>
      <c r="BW337" s="22" t="str">
        <f t="array" ref="BW337">_xlfn.TEXTJOIN("",TRUE,IF(ISERROR(FIND(ROW($1:$10)-1,BU337&amp;BV337)),ROW($1:$10)-1,""))</f>
        <v>0123456789</v>
      </c>
      <c r="BX337" s="20" t="str">
        <f t="shared" si="181"/>
        <v>中中中</v>
      </c>
      <c r="BY337" s="23" t="str">
        <f t="shared" si="175"/>
        <v>35</v>
      </c>
      <c r="BZ337" s="24" t="str">
        <f t="array" ref="BZ337">_xlfn.TEXTJOIN("",TRUE,IF(ISNUMBER(FIND(MID(BY336&amp;Q336,ROW($1:$4),1),BY337&amp;Q337)),MID(BY336&amp;Q336,ROW($1:$4),1),""))</f>
        <v>45</v>
      </c>
      <c r="CA337" s="25" t="str">
        <f t="array" ref="CA337">_xlfn.TEXTJOIN("",TRUE,IF(ISERROR(FIND(ROW($1:$10)-1,BY337&amp;BZ337)),ROW($1:$10)-1,""))</f>
        <v>0126789</v>
      </c>
      <c r="CB337" s="26" t="str">
        <f t="shared" si="182"/>
        <v>邻传孤</v>
      </c>
      <c r="CC337" s="27" t="str">
        <f t="shared" si="183"/>
        <v>46</v>
      </c>
      <c r="CD337" s="27" t="str">
        <f t="array" ref="CD337">_xlfn.TEXTJOIN("",TRUE,IF(ISNUMBER(FIND(MID(CC336&amp;R336,ROW($1:$4),1),CC337&amp;R337)),MID(CC336&amp;R336,ROW($1:$4),1),""))</f>
        <v/>
      </c>
      <c r="CE337" s="27" t="str">
        <f t="array" ref="CE337">_xlfn.TEXTJOIN("",TRUE,IF(ISERROR(FIND(ROW($1:$10)-1,CC337&amp;CD337)),ROW($1:$10)-1,""))</f>
        <v>01235789</v>
      </c>
      <c r="CF337" s="17" t="str">
        <f t="shared" si="184"/>
        <v>邻孤孤</v>
      </c>
      <c r="CG337" s="22" t="str">
        <f t="shared" si="185"/>
        <v>02</v>
      </c>
      <c r="CH337" s="22" t="str">
        <f t="array" ref="CH337">_xlfn.TEXTJOIN("",TRUE,IF(ISNUMBER(FIND(MID(CG336&amp;S336,ROW($1:$4),1),CG337&amp;S337)),MID(CG336&amp;S336,ROW($1:$4),1),""))</f>
        <v/>
      </c>
      <c r="CI337" s="22" t="str">
        <f t="array" ref="CI337">_xlfn.TEXTJOIN("",TRUE,IF(ISERROR(FIND(ROW($1:$10)-1,CG337&amp;CH337)),ROW($1:$10)-1,""))</f>
        <v>13456789</v>
      </c>
      <c r="CJ337" s="28" t="str">
        <f t="shared" si="186"/>
        <v>邻孤孤</v>
      </c>
    </row>
    <row r="338" spans="1:88">
      <c r="A338" s="32">
        <v>2025113</v>
      </c>
      <c r="B338" s="8" t="s">
        <v>300</v>
      </c>
      <c r="C338" s="49">
        <f t="shared" si="190"/>
        <v>14</v>
      </c>
      <c r="D338" s="50">
        <f t="shared" si="191"/>
        <v>4</v>
      </c>
      <c r="E338" s="51">
        <f t="shared" si="172"/>
        <v>4.6666666666666696</v>
      </c>
      <c r="F338" s="52">
        <f>MAX(MID(B338,{1,2,3},1)*1)-MIN(MID(B338,{1,2,3},1)*1)</f>
        <v>3</v>
      </c>
      <c r="G338" s="104">
        <v>0</v>
      </c>
      <c r="H338" s="104">
        <v>1</v>
      </c>
      <c r="I338" s="104">
        <v>2</v>
      </c>
      <c r="J338" s="104">
        <v>3</v>
      </c>
      <c r="K338" s="104">
        <v>4</v>
      </c>
      <c r="L338" s="104">
        <v>5</v>
      </c>
      <c r="M338" s="104">
        <v>6</v>
      </c>
      <c r="N338" s="104">
        <v>7</v>
      </c>
      <c r="O338" s="104">
        <v>8</v>
      </c>
      <c r="P338" s="104">
        <v>9</v>
      </c>
      <c r="Q338" s="53">
        <f t="shared" si="192"/>
        <v>3</v>
      </c>
      <c r="R338" s="53">
        <f t="shared" si="193"/>
        <v>1</v>
      </c>
      <c r="S338" s="53">
        <f t="shared" si="194"/>
        <v>2</v>
      </c>
      <c r="T338" s="101">
        <f t="shared" si="173"/>
        <v>6</v>
      </c>
      <c r="U338" s="15" t="str">
        <f>_xlfn.TEXTJOIN(", ",TRUE,ABS(MID(B338,{1,1,2},1)-MID(B338,{2,3,3},1)))</f>
        <v>3, 1, 2</v>
      </c>
      <c r="V338" s="54">
        <v>0</v>
      </c>
      <c r="W338" s="54">
        <v>1</v>
      </c>
      <c r="X338" s="54">
        <v>2</v>
      </c>
      <c r="Y338" s="54">
        <v>3</v>
      </c>
      <c r="Z338" s="54">
        <v>4</v>
      </c>
      <c r="AA338" s="54">
        <v>5</v>
      </c>
      <c r="AB338" s="54">
        <v>6</v>
      </c>
      <c r="AC338" s="54">
        <v>7</v>
      </c>
      <c r="AD338" s="54">
        <v>8</v>
      </c>
      <c r="AE338" s="54">
        <v>9</v>
      </c>
      <c r="AF338" s="55">
        <v>0</v>
      </c>
      <c r="AG338" s="55">
        <v>1</v>
      </c>
      <c r="AH338" s="55">
        <v>2</v>
      </c>
      <c r="AI338" s="55">
        <v>3</v>
      </c>
      <c r="AJ338" s="55">
        <v>4</v>
      </c>
      <c r="AK338" s="55">
        <v>5</v>
      </c>
      <c r="AL338" s="55">
        <v>6</v>
      </c>
      <c r="AM338" s="55">
        <v>7</v>
      </c>
      <c r="AN338" s="55">
        <v>8</v>
      </c>
      <c r="AO338" s="55">
        <v>9</v>
      </c>
      <c r="AP338" s="105">
        <v>0</v>
      </c>
      <c r="AQ338" s="105">
        <v>1</v>
      </c>
      <c r="AR338" s="105">
        <v>2</v>
      </c>
      <c r="AS338" s="105">
        <v>3</v>
      </c>
      <c r="AT338" s="105">
        <v>4</v>
      </c>
      <c r="AU338" s="105">
        <v>5</v>
      </c>
      <c r="AV338" s="105">
        <v>6</v>
      </c>
      <c r="AW338" s="105">
        <v>7</v>
      </c>
      <c r="AX338" s="105">
        <v>8</v>
      </c>
      <c r="AY338" s="105">
        <v>9</v>
      </c>
      <c r="AZ338" s="56">
        <v>0</v>
      </c>
      <c r="BA338" s="56">
        <v>1</v>
      </c>
      <c r="BB338" s="56">
        <v>2</v>
      </c>
      <c r="BC338" s="56">
        <v>3</v>
      </c>
      <c r="BD338" s="56">
        <v>4</v>
      </c>
      <c r="BE338" s="56">
        <v>5</v>
      </c>
      <c r="BF338" s="56">
        <v>6</v>
      </c>
      <c r="BG338" s="56">
        <v>7</v>
      </c>
      <c r="BH338" s="56">
        <v>8</v>
      </c>
      <c r="BI338" s="56">
        <v>9</v>
      </c>
      <c r="BJ338" s="57" t="str">
        <f t="shared" si="174"/>
        <v>紧凑型</v>
      </c>
      <c r="BK338" s="13">
        <f t="shared" si="170"/>
        <v>1</v>
      </c>
      <c r="BL338" s="13">
        <f t="shared" si="171"/>
        <v>3</v>
      </c>
      <c r="BM338" s="18" t="str">
        <f t="shared" si="176"/>
        <v/>
      </c>
      <c r="BN338" s="19" t="str">
        <f t="shared" si="177"/>
        <v/>
      </c>
      <c r="BO338" s="19" t="str">
        <f t="array" ref="BO338">_xlfn.TEXTJOIN("",TRUE,IF(ISERROR(FIND(ROW($1:$10)-1,BM338&amp;BN338)),ROW($1:$10)-1,""))</f>
        <v>0123456789</v>
      </c>
      <c r="BP338" s="20" t="str">
        <f t="shared" si="178"/>
        <v>中中中</v>
      </c>
      <c r="BQ338" s="21">
        <f t="shared" si="189"/>
        <v>1</v>
      </c>
      <c r="BR338" s="21" t="str">
        <f t="shared" si="187"/>
        <v/>
      </c>
      <c r="BS338" s="21" t="str">
        <f t="array" ref="BS338">_xlfn.TEXTJOIN("",TRUE,IF(ISERROR(FIND(ROW($1:$10)-1,BQ338&amp;BR338)),ROW($1:$10)-1,""))</f>
        <v>023456789</v>
      </c>
      <c r="BT338" s="20" t="str">
        <f t="shared" si="179"/>
        <v>复中中</v>
      </c>
      <c r="BU338" s="22" t="str">
        <f t="shared" si="180"/>
        <v/>
      </c>
      <c r="BV338" s="22">
        <f t="shared" si="188"/>
        <v>2</v>
      </c>
      <c r="BW338" s="22" t="str">
        <f t="array" ref="BW338">_xlfn.TEXTJOIN("",TRUE,IF(ISERROR(FIND(ROW($1:$10)-1,BU338&amp;BV338)),ROW($1:$10)-1,""))</f>
        <v>013456789</v>
      </c>
      <c r="BX338" s="20" t="str">
        <f t="shared" si="181"/>
        <v>中隔中</v>
      </c>
      <c r="BY338" s="23" t="str">
        <f t="shared" si="175"/>
        <v>24</v>
      </c>
      <c r="BZ338" s="24" t="str">
        <f t="array" ref="BZ338">_xlfn.TEXTJOIN("",TRUE,IF(ISNUMBER(FIND(MID(BY337&amp;Q337,ROW($1:$4),1),BY338&amp;Q338)),MID(BY337&amp;Q337,ROW($1:$4),1),""))</f>
        <v>34</v>
      </c>
      <c r="CA338" s="25" t="str">
        <f t="array" ref="CA338">_xlfn.TEXTJOIN("",TRUE,IF(ISERROR(FIND(ROW($1:$10)-1,BY338&amp;BZ338)),ROW($1:$10)-1,""))</f>
        <v>0156789</v>
      </c>
      <c r="CB338" s="26" t="str">
        <f t="shared" si="182"/>
        <v>邻传孤</v>
      </c>
      <c r="CC338" s="27" t="str">
        <f t="shared" si="183"/>
        <v>02</v>
      </c>
      <c r="CD338" s="27" t="str">
        <f t="array" ref="CD338">_xlfn.TEXTJOIN("",TRUE,IF(ISNUMBER(FIND(MID(CC337&amp;R337,ROW($1:$4),1),CC338&amp;R338)),MID(CC337&amp;R337,ROW($1:$4),1),""))</f>
        <v/>
      </c>
      <c r="CE338" s="27" t="str">
        <f t="array" ref="CE338">_xlfn.TEXTJOIN("",TRUE,IF(ISERROR(FIND(ROW($1:$10)-1,CC338&amp;CD338)),ROW($1:$10)-1,""))</f>
        <v>13456789</v>
      </c>
      <c r="CF338" s="17" t="str">
        <f t="shared" si="184"/>
        <v>邻孤孤</v>
      </c>
      <c r="CG338" s="22" t="str">
        <f t="shared" si="185"/>
        <v>13</v>
      </c>
      <c r="CH338" s="22" t="str">
        <f t="array" ref="CH338">_xlfn.TEXTJOIN("",TRUE,IF(ISNUMBER(FIND(MID(CG337&amp;S337,ROW($1:$4),1),CG338&amp;S338)),MID(CG337&amp;S337,ROW($1:$4),1),""))</f>
        <v>21</v>
      </c>
      <c r="CI338" s="22" t="str">
        <f t="array" ref="CI338">_xlfn.TEXTJOIN("",TRUE,IF(ISERROR(FIND(ROW($1:$10)-1,CG338&amp;CH338)),ROW($1:$10)-1,""))</f>
        <v>0456789</v>
      </c>
      <c r="CJ338" s="28" t="str">
        <f t="shared" si="186"/>
        <v>邻传孤</v>
      </c>
    </row>
    <row r="339" spans="1:88">
      <c r="A339" s="32">
        <v>2025114</v>
      </c>
      <c r="B339" s="8" t="s">
        <v>301</v>
      </c>
      <c r="C339" s="49">
        <f t="shared" si="190"/>
        <v>15</v>
      </c>
      <c r="D339" s="50">
        <f t="shared" si="191"/>
        <v>5</v>
      </c>
      <c r="E339" s="51">
        <f t="shared" si="172"/>
        <v>5</v>
      </c>
      <c r="F339" s="52">
        <f>MAX(MID(B339,{1,2,3},1)*1)-MIN(MID(B339,{1,2,3},1)*1)</f>
        <v>4</v>
      </c>
      <c r="G339" s="104">
        <v>0</v>
      </c>
      <c r="H339" s="104">
        <v>1</v>
      </c>
      <c r="I339" s="104">
        <v>2</v>
      </c>
      <c r="J339" s="104">
        <v>3</v>
      </c>
      <c r="K339" s="104">
        <v>4</v>
      </c>
      <c r="L339" s="104">
        <v>5</v>
      </c>
      <c r="M339" s="104">
        <v>6</v>
      </c>
      <c r="N339" s="104">
        <v>7</v>
      </c>
      <c r="O339" s="104">
        <v>8</v>
      </c>
      <c r="P339" s="104">
        <v>9</v>
      </c>
      <c r="Q339" s="53">
        <f t="shared" si="192"/>
        <v>4</v>
      </c>
      <c r="R339" s="53">
        <f t="shared" si="193"/>
        <v>2</v>
      </c>
      <c r="S339" s="53">
        <f t="shared" si="194"/>
        <v>2</v>
      </c>
      <c r="T339" s="101">
        <f t="shared" si="173"/>
        <v>8</v>
      </c>
      <c r="U339" s="15" t="str">
        <f>_xlfn.TEXTJOIN(", ",TRUE,ABS(MID(B339,{1,1,2},1)-MID(B339,{2,3,3},1)))</f>
        <v>4, 2, 2</v>
      </c>
      <c r="V339" s="54">
        <v>0</v>
      </c>
      <c r="W339" s="54">
        <v>1</v>
      </c>
      <c r="X339" s="54">
        <v>2</v>
      </c>
      <c r="Y339" s="54">
        <v>3</v>
      </c>
      <c r="Z339" s="54">
        <v>4</v>
      </c>
      <c r="AA339" s="54">
        <v>5</v>
      </c>
      <c r="AB339" s="54">
        <v>6</v>
      </c>
      <c r="AC339" s="54">
        <v>7</v>
      </c>
      <c r="AD339" s="54">
        <v>8</v>
      </c>
      <c r="AE339" s="54">
        <v>9</v>
      </c>
      <c r="AF339" s="55">
        <v>0</v>
      </c>
      <c r="AG339" s="55">
        <v>1</v>
      </c>
      <c r="AH339" s="55">
        <v>2</v>
      </c>
      <c r="AI339" s="55">
        <v>3</v>
      </c>
      <c r="AJ339" s="55">
        <v>4</v>
      </c>
      <c r="AK339" s="55">
        <v>5</v>
      </c>
      <c r="AL339" s="55">
        <v>6</v>
      </c>
      <c r="AM339" s="55">
        <v>7</v>
      </c>
      <c r="AN339" s="55">
        <v>8</v>
      </c>
      <c r="AO339" s="55">
        <v>9</v>
      </c>
      <c r="AP339" s="105">
        <v>0</v>
      </c>
      <c r="AQ339" s="105">
        <v>1</v>
      </c>
      <c r="AR339" s="105">
        <v>2</v>
      </c>
      <c r="AS339" s="105">
        <v>3</v>
      </c>
      <c r="AT339" s="105">
        <v>4</v>
      </c>
      <c r="AU339" s="105">
        <v>5</v>
      </c>
      <c r="AV339" s="105">
        <v>6</v>
      </c>
      <c r="AW339" s="105">
        <v>7</v>
      </c>
      <c r="AX339" s="105">
        <v>8</v>
      </c>
      <c r="AY339" s="105">
        <v>9</v>
      </c>
      <c r="AZ339" s="56">
        <v>0</v>
      </c>
      <c r="BA339" s="56">
        <v>1</v>
      </c>
      <c r="BB339" s="56">
        <v>2</v>
      </c>
      <c r="BC339" s="56">
        <v>3</v>
      </c>
      <c r="BD339" s="56">
        <v>4</v>
      </c>
      <c r="BE339" s="56">
        <v>5</v>
      </c>
      <c r="BF339" s="56">
        <v>6</v>
      </c>
      <c r="BG339" s="56">
        <v>7</v>
      </c>
      <c r="BH339" s="56">
        <v>8</v>
      </c>
      <c r="BI339" s="56">
        <v>9</v>
      </c>
      <c r="BJ339" s="57" t="str">
        <f t="shared" si="174"/>
        <v>标准型</v>
      </c>
      <c r="BK339" s="13">
        <f t="shared" si="170"/>
        <v>2</v>
      </c>
      <c r="BL339" s="13">
        <f t="shared" si="171"/>
        <v>4</v>
      </c>
      <c r="BM339" s="18" t="str">
        <f t="shared" si="176"/>
        <v/>
      </c>
      <c r="BN339" s="19">
        <f t="shared" si="177"/>
        <v>4</v>
      </c>
      <c r="BO339" s="19" t="str">
        <f t="array" ref="BO339">_xlfn.TEXTJOIN("",TRUE,IF(ISERROR(FIND(ROW($1:$10)-1,BM339&amp;BN339)),ROW($1:$10)-1,""))</f>
        <v>012356789</v>
      </c>
      <c r="BP339" s="20" t="str">
        <f t="shared" si="178"/>
        <v>中隔中</v>
      </c>
      <c r="BQ339" s="21">
        <f t="shared" si="189"/>
        <v>2</v>
      </c>
      <c r="BR339" s="21" t="str">
        <f t="shared" si="187"/>
        <v/>
      </c>
      <c r="BS339" s="21" t="str">
        <f t="array" ref="BS339">_xlfn.TEXTJOIN("",TRUE,IF(ISERROR(FIND(ROW($1:$10)-1,BQ339&amp;BR339)),ROW($1:$10)-1,""))</f>
        <v>013456789</v>
      </c>
      <c r="BT339" s="20" t="str">
        <f t="shared" si="179"/>
        <v>复中中</v>
      </c>
      <c r="BU339" s="22">
        <f t="shared" si="180"/>
        <v>2</v>
      </c>
      <c r="BV339" s="22" t="str">
        <f t="shared" si="188"/>
        <v/>
      </c>
      <c r="BW339" s="22" t="str">
        <f t="array" ref="BW339">_xlfn.TEXTJOIN("",TRUE,IF(ISERROR(FIND(ROW($1:$10)-1,BU339&amp;BV339)),ROW($1:$10)-1,""))</f>
        <v>013456789</v>
      </c>
      <c r="BX339" s="20" t="str">
        <f t="shared" si="181"/>
        <v>复中中</v>
      </c>
      <c r="BY339" s="23" t="str">
        <f t="shared" si="175"/>
        <v>35</v>
      </c>
      <c r="BZ339" s="24" t="str">
        <f t="array" ref="BZ339">_xlfn.TEXTJOIN("",TRUE,IF(ISNUMBER(FIND(MID(BY338&amp;Q338,ROW($1:$4),1),BY339&amp;Q339)),MID(BY338&amp;Q338,ROW($1:$4),1),""))</f>
        <v>43</v>
      </c>
      <c r="CA339" s="25" t="str">
        <f t="array" ref="CA339">_xlfn.TEXTJOIN("",TRUE,IF(ISERROR(FIND(ROW($1:$10)-1,BY339&amp;BZ339)),ROW($1:$10)-1,""))</f>
        <v>0126789</v>
      </c>
      <c r="CB339" s="26" t="str">
        <f t="shared" si="182"/>
        <v>邻传孤</v>
      </c>
      <c r="CC339" s="27" t="str">
        <f t="shared" si="183"/>
        <v>13</v>
      </c>
      <c r="CD339" s="27" t="str">
        <f t="array" ref="CD339">_xlfn.TEXTJOIN("",TRUE,IF(ISNUMBER(FIND(MID(CC338&amp;R338,ROW($1:$4),1),CC339&amp;R339)),MID(CC338&amp;R338,ROW($1:$4),1),""))</f>
        <v>21</v>
      </c>
      <c r="CE339" s="27" t="str">
        <f t="array" ref="CE339">_xlfn.TEXTJOIN("",TRUE,IF(ISERROR(FIND(ROW($1:$10)-1,CC339&amp;CD339)),ROW($1:$10)-1,""))</f>
        <v>0456789</v>
      </c>
      <c r="CF339" s="17" t="str">
        <f t="shared" si="184"/>
        <v>邻传孤</v>
      </c>
      <c r="CG339" s="22" t="str">
        <f t="shared" si="185"/>
        <v>13</v>
      </c>
      <c r="CH339" s="22" t="str">
        <f t="array" ref="CH339">_xlfn.TEXTJOIN("",TRUE,IF(ISNUMBER(FIND(MID(CG338&amp;S338,ROW($1:$4),1),CG339&amp;S339)),MID(CG338&amp;S338,ROW($1:$4),1),""))</f>
        <v>132</v>
      </c>
      <c r="CI339" s="22" t="str">
        <f t="array" ref="CI339">_xlfn.TEXTJOIN("",TRUE,IF(ISERROR(FIND(ROW($1:$10)-1,CG339&amp;CH339)),ROW($1:$10)-1,""))</f>
        <v>0456789</v>
      </c>
      <c r="CJ339" s="28" t="str">
        <f t="shared" si="186"/>
        <v>邻传孤</v>
      </c>
    </row>
    <row r="340" spans="1:88">
      <c r="A340" s="32">
        <v>2025115</v>
      </c>
      <c r="B340" s="8" t="s">
        <v>302</v>
      </c>
      <c r="C340" s="49">
        <f t="shared" si="190"/>
        <v>8</v>
      </c>
      <c r="D340" s="50">
        <f t="shared" si="191"/>
        <v>8</v>
      </c>
      <c r="E340" s="51">
        <f t="shared" si="172"/>
        <v>2.6666666666666701</v>
      </c>
      <c r="F340" s="52">
        <f>MAX(MID(B340,{1,2,3},1)*1)-MIN(MID(B340,{1,2,3},1)*1)</f>
        <v>6</v>
      </c>
      <c r="G340" s="104">
        <v>0</v>
      </c>
      <c r="H340" s="104">
        <v>1</v>
      </c>
      <c r="I340" s="104">
        <v>2</v>
      </c>
      <c r="J340" s="104">
        <v>3</v>
      </c>
      <c r="K340" s="104">
        <v>4</v>
      </c>
      <c r="L340" s="104">
        <v>5</v>
      </c>
      <c r="M340" s="104">
        <v>6</v>
      </c>
      <c r="N340" s="104">
        <v>7</v>
      </c>
      <c r="O340" s="104">
        <v>8</v>
      </c>
      <c r="P340" s="104">
        <v>9</v>
      </c>
      <c r="Q340" s="53">
        <f t="shared" si="192"/>
        <v>2</v>
      </c>
      <c r="R340" s="53">
        <f t="shared" si="193"/>
        <v>4</v>
      </c>
      <c r="S340" s="53">
        <f t="shared" si="194"/>
        <v>6</v>
      </c>
      <c r="T340" s="101">
        <f t="shared" si="173"/>
        <v>12</v>
      </c>
      <c r="U340" s="15" t="str">
        <f>_xlfn.TEXTJOIN(", ",TRUE,ABS(MID(B340,{1,1,2},1)-MID(B340,{2,3,3},1)))</f>
        <v>2, 4, 6</v>
      </c>
      <c r="V340" s="54">
        <v>0</v>
      </c>
      <c r="W340" s="54">
        <v>1</v>
      </c>
      <c r="X340" s="54">
        <v>2</v>
      </c>
      <c r="Y340" s="54">
        <v>3</v>
      </c>
      <c r="Z340" s="54">
        <v>4</v>
      </c>
      <c r="AA340" s="54">
        <v>5</v>
      </c>
      <c r="AB340" s="54">
        <v>6</v>
      </c>
      <c r="AC340" s="54">
        <v>7</v>
      </c>
      <c r="AD340" s="54">
        <v>8</v>
      </c>
      <c r="AE340" s="54">
        <v>9</v>
      </c>
      <c r="AF340" s="55">
        <v>0</v>
      </c>
      <c r="AG340" s="55">
        <v>1</v>
      </c>
      <c r="AH340" s="55">
        <v>2</v>
      </c>
      <c r="AI340" s="55">
        <v>3</v>
      </c>
      <c r="AJ340" s="55">
        <v>4</v>
      </c>
      <c r="AK340" s="55">
        <v>5</v>
      </c>
      <c r="AL340" s="55">
        <v>6</v>
      </c>
      <c r="AM340" s="55">
        <v>7</v>
      </c>
      <c r="AN340" s="55">
        <v>8</v>
      </c>
      <c r="AO340" s="55">
        <v>9</v>
      </c>
      <c r="AP340" s="105">
        <v>0</v>
      </c>
      <c r="AQ340" s="105">
        <v>1</v>
      </c>
      <c r="AR340" s="105">
        <v>2</v>
      </c>
      <c r="AS340" s="105">
        <v>3</v>
      </c>
      <c r="AT340" s="105">
        <v>4</v>
      </c>
      <c r="AU340" s="105">
        <v>5</v>
      </c>
      <c r="AV340" s="105">
        <v>6</v>
      </c>
      <c r="AW340" s="105">
        <v>7</v>
      </c>
      <c r="AX340" s="105">
        <v>8</v>
      </c>
      <c r="AY340" s="105">
        <v>9</v>
      </c>
      <c r="AZ340" s="56">
        <v>0</v>
      </c>
      <c r="BA340" s="56">
        <v>1</v>
      </c>
      <c r="BB340" s="56">
        <v>2</v>
      </c>
      <c r="BC340" s="56">
        <v>3</v>
      </c>
      <c r="BD340" s="56">
        <v>4</v>
      </c>
      <c r="BE340" s="56">
        <v>5</v>
      </c>
      <c r="BF340" s="56">
        <v>6</v>
      </c>
      <c r="BG340" s="56">
        <v>7</v>
      </c>
      <c r="BH340" s="56">
        <v>8</v>
      </c>
      <c r="BI340" s="56">
        <v>9</v>
      </c>
      <c r="BJ340" s="57" t="str">
        <f t="shared" si="174"/>
        <v>松散型</v>
      </c>
      <c r="BK340" s="13">
        <f t="shared" si="170"/>
        <v>2</v>
      </c>
      <c r="BL340" s="13">
        <f t="shared" si="171"/>
        <v>6</v>
      </c>
      <c r="BM340" s="18">
        <f t="shared" si="176"/>
        <v>2</v>
      </c>
      <c r="BN340" s="19">
        <f t="shared" si="177"/>
        <v>2</v>
      </c>
      <c r="BO340" s="19" t="str">
        <f t="array" ref="BO340">_xlfn.TEXTJOIN("",TRUE,IF(ISERROR(FIND(ROW($1:$10)-1,BM340&amp;BN340)),ROW($1:$10)-1,""))</f>
        <v>013456789</v>
      </c>
      <c r="BP340" s="20" t="str">
        <f t="shared" si="178"/>
        <v>复隔中</v>
      </c>
      <c r="BQ340" s="21">
        <f t="shared" si="189"/>
        <v>4</v>
      </c>
      <c r="BR340" s="21" t="str">
        <f t="shared" si="187"/>
        <v/>
      </c>
      <c r="BS340" s="21" t="str">
        <f t="array" ref="BS340">_xlfn.TEXTJOIN("",TRUE,IF(ISERROR(FIND(ROW($1:$10)-1,BQ340&amp;BR340)),ROW($1:$10)-1,""))</f>
        <v>012356789</v>
      </c>
      <c r="BT340" s="20" t="str">
        <f t="shared" si="179"/>
        <v>复中中</v>
      </c>
      <c r="BU340" s="22" t="str">
        <f t="shared" si="180"/>
        <v/>
      </c>
      <c r="BV340" s="22" t="str">
        <f t="shared" si="188"/>
        <v/>
      </c>
      <c r="BW340" s="22" t="str">
        <f t="array" ref="BW340">_xlfn.TEXTJOIN("",TRUE,IF(ISERROR(FIND(ROW($1:$10)-1,BU340&amp;BV340)),ROW($1:$10)-1,""))</f>
        <v>0123456789</v>
      </c>
      <c r="BX340" s="20" t="str">
        <f t="shared" si="181"/>
        <v>中中中</v>
      </c>
      <c r="BY340" s="23" t="str">
        <f t="shared" si="175"/>
        <v>13</v>
      </c>
      <c r="BZ340" s="24" t="str">
        <f t="array" ref="BZ340">_xlfn.TEXTJOIN("",TRUE,IF(ISNUMBER(FIND(MID(BY339&amp;Q339,ROW($1:$4),1),BY340&amp;Q340)),MID(BY339&amp;Q339,ROW($1:$4),1),""))</f>
        <v>3</v>
      </c>
      <c r="CA340" s="25" t="str">
        <f t="array" ref="CA340">_xlfn.TEXTJOIN("",TRUE,IF(ISERROR(FIND(ROW($1:$10)-1,BY340&amp;BZ340)),ROW($1:$10)-1,""))</f>
        <v>02456789</v>
      </c>
      <c r="CB340" s="26" t="str">
        <f t="shared" si="182"/>
        <v>邻传孤</v>
      </c>
      <c r="CC340" s="27" t="str">
        <f t="shared" si="183"/>
        <v>35</v>
      </c>
      <c r="CD340" s="27" t="str">
        <f t="array" ref="CD340">_xlfn.TEXTJOIN("",TRUE,IF(ISNUMBER(FIND(MID(CC339&amp;R339,ROW($1:$4),1),CC340&amp;R340)),MID(CC339&amp;R339,ROW($1:$4),1),""))</f>
        <v>3</v>
      </c>
      <c r="CE340" s="27" t="str">
        <f t="array" ref="CE340">_xlfn.TEXTJOIN("",TRUE,IF(ISERROR(FIND(ROW($1:$10)-1,CC340&amp;CD340)),ROW($1:$10)-1,""))</f>
        <v>01246789</v>
      </c>
      <c r="CF340" s="17" t="str">
        <f t="shared" si="184"/>
        <v>邻传孤</v>
      </c>
      <c r="CG340" s="22" t="str">
        <f t="shared" si="185"/>
        <v>57</v>
      </c>
      <c r="CH340" s="22" t="str">
        <f t="array" ref="CH340">_xlfn.TEXTJOIN("",TRUE,IF(ISNUMBER(FIND(MID(CG339&amp;S339,ROW($1:$4),1),CG340&amp;S340)),MID(CG339&amp;S339,ROW($1:$4),1),""))</f>
        <v/>
      </c>
      <c r="CI340" s="22" t="str">
        <f t="array" ref="CI340">_xlfn.TEXTJOIN("",TRUE,IF(ISERROR(FIND(ROW($1:$10)-1,CG340&amp;CH340)),ROW($1:$10)-1,""))</f>
        <v>01234689</v>
      </c>
      <c r="CJ340" s="28" t="str">
        <f t="shared" si="186"/>
        <v>邻孤孤</v>
      </c>
    </row>
    <row r="341" spans="1:88">
      <c r="A341" s="32">
        <v>2025116</v>
      </c>
      <c r="B341" s="8" t="s">
        <v>303</v>
      </c>
      <c r="C341" s="49">
        <f t="shared" si="190"/>
        <v>5</v>
      </c>
      <c r="D341" s="50">
        <f t="shared" si="191"/>
        <v>5</v>
      </c>
      <c r="E341" s="51">
        <f t="shared" si="172"/>
        <v>1.6666666666666701</v>
      </c>
      <c r="F341" s="52">
        <f>MAX(MID(B341,{1,2,3},1)*1)-MIN(MID(B341,{1,2,3},1)*1)</f>
        <v>3</v>
      </c>
      <c r="G341" s="104">
        <v>0</v>
      </c>
      <c r="H341" s="104">
        <v>1</v>
      </c>
      <c r="I341" s="104">
        <v>2</v>
      </c>
      <c r="J341" s="104">
        <v>3</v>
      </c>
      <c r="K341" s="104">
        <v>4</v>
      </c>
      <c r="L341" s="104">
        <v>5</v>
      </c>
      <c r="M341" s="104">
        <v>6</v>
      </c>
      <c r="N341" s="104">
        <v>7</v>
      </c>
      <c r="O341" s="104">
        <v>8</v>
      </c>
      <c r="P341" s="104">
        <v>9</v>
      </c>
      <c r="Q341" s="53">
        <f t="shared" si="192"/>
        <v>1</v>
      </c>
      <c r="R341" s="53">
        <f t="shared" si="193"/>
        <v>3</v>
      </c>
      <c r="S341" s="53">
        <f t="shared" si="194"/>
        <v>2</v>
      </c>
      <c r="T341" s="101">
        <f t="shared" si="173"/>
        <v>6</v>
      </c>
      <c r="U341" s="15" t="str">
        <f>_xlfn.TEXTJOIN(", ",TRUE,ABS(MID(B341,{1,1,2},1)-MID(B341,{2,3,3},1)))</f>
        <v>1, 3, 2</v>
      </c>
      <c r="V341" s="54">
        <v>0</v>
      </c>
      <c r="W341" s="54">
        <v>1</v>
      </c>
      <c r="X341" s="54">
        <v>2</v>
      </c>
      <c r="Y341" s="54">
        <v>3</v>
      </c>
      <c r="Z341" s="54">
        <v>4</v>
      </c>
      <c r="AA341" s="54">
        <v>5</v>
      </c>
      <c r="AB341" s="54">
        <v>6</v>
      </c>
      <c r="AC341" s="54">
        <v>7</v>
      </c>
      <c r="AD341" s="54">
        <v>8</v>
      </c>
      <c r="AE341" s="54">
        <v>9</v>
      </c>
      <c r="AF341" s="55">
        <v>0</v>
      </c>
      <c r="AG341" s="55">
        <v>1</v>
      </c>
      <c r="AH341" s="55">
        <v>2</v>
      </c>
      <c r="AI341" s="55">
        <v>3</v>
      </c>
      <c r="AJ341" s="55">
        <v>4</v>
      </c>
      <c r="AK341" s="55">
        <v>5</v>
      </c>
      <c r="AL341" s="55">
        <v>6</v>
      </c>
      <c r="AM341" s="55">
        <v>7</v>
      </c>
      <c r="AN341" s="55">
        <v>8</v>
      </c>
      <c r="AO341" s="55">
        <v>9</v>
      </c>
      <c r="AP341" s="105">
        <v>0</v>
      </c>
      <c r="AQ341" s="105">
        <v>1</v>
      </c>
      <c r="AR341" s="105">
        <v>2</v>
      </c>
      <c r="AS341" s="105">
        <v>3</v>
      </c>
      <c r="AT341" s="105">
        <v>4</v>
      </c>
      <c r="AU341" s="105">
        <v>5</v>
      </c>
      <c r="AV341" s="105">
        <v>6</v>
      </c>
      <c r="AW341" s="105">
        <v>7</v>
      </c>
      <c r="AX341" s="105">
        <v>8</v>
      </c>
      <c r="AY341" s="105">
        <v>9</v>
      </c>
      <c r="AZ341" s="56">
        <v>0</v>
      </c>
      <c r="BA341" s="56">
        <v>1</v>
      </c>
      <c r="BB341" s="56">
        <v>2</v>
      </c>
      <c r="BC341" s="56">
        <v>3</v>
      </c>
      <c r="BD341" s="56">
        <v>4</v>
      </c>
      <c r="BE341" s="56">
        <v>5</v>
      </c>
      <c r="BF341" s="56">
        <v>6</v>
      </c>
      <c r="BG341" s="56">
        <v>7</v>
      </c>
      <c r="BH341" s="56">
        <v>8</v>
      </c>
      <c r="BI341" s="56">
        <v>9</v>
      </c>
      <c r="BJ341" s="57" t="str">
        <f t="shared" si="174"/>
        <v>紧凑型</v>
      </c>
      <c r="BK341" s="13">
        <f t="shared" si="170"/>
        <v>1</v>
      </c>
      <c r="BL341" s="13">
        <f t="shared" si="171"/>
        <v>3</v>
      </c>
      <c r="BM341" s="18" t="str">
        <f t="shared" si="176"/>
        <v/>
      </c>
      <c r="BN341" s="19" t="str">
        <f t="shared" si="177"/>
        <v/>
      </c>
      <c r="BO341" s="19" t="str">
        <f t="array" ref="BO341">_xlfn.TEXTJOIN("",TRUE,IF(ISERROR(FIND(ROW($1:$10)-1,BM341&amp;BN341)),ROW($1:$10)-1,""))</f>
        <v>0123456789</v>
      </c>
      <c r="BP341" s="20" t="str">
        <f t="shared" si="178"/>
        <v>中中中</v>
      </c>
      <c r="BQ341" s="21" t="str">
        <f t="shared" si="189"/>
        <v/>
      </c>
      <c r="BR341" s="21" t="str">
        <f t="shared" si="187"/>
        <v/>
      </c>
      <c r="BS341" s="21" t="str">
        <f t="array" ref="BS341">_xlfn.TEXTJOIN("",TRUE,IF(ISERROR(FIND(ROW($1:$10)-1,BQ341&amp;BR341)),ROW($1:$10)-1,""))</f>
        <v>0123456789</v>
      </c>
      <c r="BT341" s="20" t="str">
        <f t="shared" si="179"/>
        <v>中中中</v>
      </c>
      <c r="BU341" s="22">
        <f t="shared" si="180"/>
        <v>2</v>
      </c>
      <c r="BV341" s="22">
        <f t="shared" si="188"/>
        <v>2</v>
      </c>
      <c r="BW341" s="22" t="str">
        <f t="array" ref="BW341">_xlfn.TEXTJOIN("",TRUE,IF(ISERROR(FIND(ROW($1:$10)-1,BU341&amp;BV341)),ROW($1:$10)-1,""))</f>
        <v>013456789</v>
      </c>
      <c r="BX341" s="20" t="str">
        <f t="shared" si="181"/>
        <v>复隔中</v>
      </c>
      <c r="BY341" s="23" t="str">
        <f t="shared" si="175"/>
        <v>02</v>
      </c>
      <c r="BZ341" s="24" t="str">
        <f t="array" ref="BZ341">_xlfn.TEXTJOIN("",TRUE,IF(ISNUMBER(FIND(MID(BY340&amp;Q340,ROW($1:$4),1),BY341&amp;Q341)),MID(BY340&amp;Q340,ROW($1:$4),1),""))</f>
        <v>12</v>
      </c>
      <c r="CA341" s="25" t="str">
        <f t="array" ref="CA341">_xlfn.TEXTJOIN("",TRUE,IF(ISERROR(FIND(ROW($1:$10)-1,BY341&amp;BZ341)),ROW($1:$10)-1,""))</f>
        <v>3456789</v>
      </c>
      <c r="CB341" s="26" t="str">
        <f t="shared" si="182"/>
        <v>邻传孤</v>
      </c>
      <c r="CC341" s="27" t="str">
        <f t="shared" si="183"/>
        <v>24</v>
      </c>
      <c r="CD341" s="27" t="str">
        <f t="array" ref="CD341">_xlfn.TEXTJOIN("",TRUE,IF(ISNUMBER(FIND(MID(CC340&amp;R340,ROW($1:$4),1),CC341&amp;R341)),MID(CC340&amp;R340,ROW($1:$4),1),""))</f>
        <v>34</v>
      </c>
      <c r="CE341" s="27" t="str">
        <f t="array" ref="CE341">_xlfn.TEXTJOIN("",TRUE,IF(ISERROR(FIND(ROW($1:$10)-1,CC341&amp;CD341)),ROW($1:$10)-1,""))</f>
        <v>0156789</v>
      </c>
      <c r="CF341" s="17" t="str">
        <f t="shared" si="184"/>
        <v>邻传孤</v>
      </c>
      <c r="CG341" s="22" t="str">
        <f t="shared" si="185"/>
        <v>13</v>
      </c>
      <c r="CH341" s="22" t="str">
        <f t="array" ref="CH341">_xlfn.TEXTJOIN("",TRUE,IF(ISNUMBER(FIND(MID(CG340&amp;S340,ROW($1:$4),1),CG341&amp;S341)),MID(CG340&amp;S340,ROW($1:$4),1),""))</f>
        <v/>
      </c>
      <c r="CI341" s="22" t="str">
        <f t="array" ref="CI341">_xlfn.TEXTJOIN("",TRUE,IF(ISERROR(FIND(ROW($1:$10)-1,CG341&amp;CH341)),ROW($1:$10)-1,""))</f>
        <v>02456789</v>
      </c>
      <c r="CJ341" s="28" t="str">
        <f t="shared" si="186"/>
        <v>邻孤孤</v>
      </c>
    </row>
    <row r="342" spans="1:88">
      <c r="A342" s="32">
        <v>2025117</v>
      </c>
      <c r="B342" s="8" t="s">
        <v>304</v>
      </c>
      <c r="C342" s="49">
        <f t="shared" si="190"/>
        <v>21</v>
      </c>
      <c r="D342" s="50">
        <f t="shared" si="191"/>
        <v>1</v>
      </c>
      <c r="E342" s="51">
        <f t="shared" si="172"/>
        <v>7</v>
      </c>
      <c r="F342" s="52">
        <f>MAX(MID(B342,{1,2,3},1)*1)-MIN(MID(B342,{1,2,3},1)*1)</f>
        <v>5</v>
      </c>
      <c r="G342" s="104">
        <v>0</v>
      </c>
      <c r="H342" s="104">
        <v>1</v>
      </c>
      <c r="I342" s="104">
        <v>2</v>
      </c>
      <c r="J342" s="104">
        <v>3</v>
      </c>
      <c r="K342" s="104">
        <v>4</v>
      </c>
      <c r="L342" s="104">
        <v>5</v>
      </c>
      <c r="M342" s="104">
        <v>6</v>
      </c>
      <c r="N342" s="104">
        <v>7</v>
      </c>
      <c r="O342" s="104">
        <v>8</v>
      </c>
      <c r="P342" s="104">
        <v>9</v>
      </c>
      <c r="Q342" s="53">
        <f t="shared" si="192"/>
        <v>4</v>
      </c>
      <c r="R342" s="53">
        <f t="shared" si="193"/>
        <v>1</v>
      </c>
      <c r="S342" s="53">
        <f t="shared" si="194"/>
        <v>5</v>
      </c>
      <c r="T342" s="101">
        <f t="shared" si="173"/>
        <v>10</v>
      </c>
      <c r="U342" s="15" t="str">
        <f>_xlfn.TEXTJOIN(", ",TRUE,ABS(MID(B342,{1,1,2},1)-MID(B342,{2,3,3},1)))</f>
        <v>4, 1, 5</v>
      </c>
      <c r="V342" s="54">
        <v>0</v>
      </c>
      <c r="W342" s="54">
        <v>1</v>
      </c>
      <c r="X342" s="54">
        <v>2</v>
      </c>
      <c r="Y342" s="54">
        <v>3</v>
      </c>
      <c r="Z342" s="54">
        <v>4</v>
      </c>
      <c r="AA342" s="54">
        <v>5</v>
      </c>
      <c r="AB342" s="54">
        <v>6</v>
      </c>
      <c r="AC342" s="54">
        <v>7</v>
      </c>
      <c r="AD342" s="54">
        <v>8</v>
      </c>
      <c r="AE342" s="54">
        <v>9</v>
      </c>
      <c r="AF342" s="55">
        <v>0</v>
      </c>
      <c r="AG342" s="55">
        <v>1</v>
      </c>
      <c r="AH342" s="55">
        <v>2</v>
      </c>
      <c r="AI342" s="55">
        <v>3</v>
      </c>
      <c r="AJ342" s="55">
        <v>4</v>
      </c>
      <c r="AK342" s="55">
        <v>5</v>
      </c>
      <c r="AL342" s="55">
        <v>6</v>
      </c>
      <c r="AM342" s="55">
        <v>7</v>
      </c>
      <c r="AN342" s="55">
        <v>8</v>
      </c>
      <c r="AO342" s="55">
        <v>9</v>
      </c>
      <c r="AP342" s="105">
        <v>0</v>
      </c>
      <c r="AQ342" s="105">
        <v>1</v>
      </c>
      <c r="AR342" s="105">
        <v>2</v>
      </c>
      <c r="AS342" s="105">
        <v>3</v>
      </c>
      <c r="AT342" s="105">
        <v>4</v>
      </c>
      <c r="AU342" s="105">
        <v>5</v>
      </c>
      <c r="AV342" s="105">
        <v>6</v>
      </c>
      <c r="AW342" s="105">
        <v>7</v>
      </c>
      <c r="AX342" s="105">
        <v>8</v>
      </c>
      <c r="AY342" s="105">
        <v>9</v>
      </c>
      <c r="AZ342" s="56">
        <v>0</v>
      </c>
      <c r="BA342" s="56">
        <v>1</v>
      </c>
      <c r="BB342" s="56">
        <v>2</v>
      </c>
      <c r="BC342" s="56">
        <v>3</v>
      </c>
      <c r="BD342" s="56">
        <v>4</v>
      </c>
      <c r="BE342" s="56">
        <v>5</v>
      </c>
      <c r="BF342" s="56">
        <v>6</v>
      </c>
      <c r="BG342" s="56">
        <v>7</v>
      </c>
      <c r="BH342" s="56">
        <v>8</v>
      </c>
      <c r="BI342" s="56">
        <v>9</v>
      </c>
      <c r="BJ342" s="57" t="str">
        <f t="shared" si="174"/>
        <v>标准型</v>
      </c>
      <c r="BK342" s="13">
        <f t="shared" si="170"/>
        <v>1</v>
      </c>
      <c r="BL342" s="13">
        <f t="shared" si="171"/>
        <v>5</v>
      </c>
      <c r="BM342" s="18" t="str">
        <f t="shared" si="176"/>
        <v/>
      </c>
      <c r="BN342" s="19">
        <f t="shared" si="177"/>
        <v>4</v>
      </c>
      <c r="BO342" s="19" t="str">
        <f t="array" ref="BO342">_xlfn.TEXTJOIN("",TRUE,IF(ISERROR(FIND(ROW($1:$10)-1,BM342&amp;BN342)),ROW($1:$10)-1,""))</f>
        <v>012356789</v>
      </c>
      <c r="BP342" s="20" t="str">
        <f t="shared" si="178"/>
        <v>中隔中</v>
      </c>
      <c r="BQ342" s="21">
        <f t="shared" si="189"/>
        <v>1</v>
      </c>
      <c r="BR342" s="21" t="str">
        <f t="shared" si="187"/>
        <v/>
      </c>
      <c r="BS342" s="21" t="str">
        <f t="array" ref="BS342">_xlfn.TEXTJOIN("",TRUE,IF(ISERROR(FIND(ROW($1:$10)-1,BQ342&amp;BR342)),ROW($1:$10)-1,""))</f>
        <v>023456789</v>
      </c>
      <c r="BT342" s="20" t="str">
        <f t="shared" si="179"/>
        <v>复中中</v>
      </c>
      <c r="BU342" s="22" t="str">
        <f t="shared" si="180"/>
        <v/>
      </c>
      <c r="BV342" s="22" t="str">
        <f t="shared" si="188"/>
        <v/>
      </c>
      <c r="BW342" s="22" t="str">
        <f t="array" ref="BW342">_xlfn.TEXTJOIN("",TRUE,IF(ISERROR(FIND(ROW($1:$10)-1,BU342&amp;BV342)),ROW($1:$10)-1,""))</f>
        <v>0123456789</v>
      </c>
      <c r="BX342" s="20" t="str">
        <f t="shared" si="181"/>
        <v>中中中</v>
      </c>
      <c r="BY342" s="23" t="str">
        <f t="shared" si="175"/>
        <v>35</v>
      </c>
      <c r="BZ342" s="24" t="str">
        <f t="array" ref="BZ342">_xlfn.TEXTJOIN("",TRUE,IF(ISNUMBER(FIND(MID(BY341&amp;Q341,ROW($1:$4),1),BY342&amp;Q342)),MID(BY341&amp;Q341,ROW($1:$4),1),""))</f>
        <v/>
      </c>
      <c r="CA342" s="25" t="str">
        <f t="array" ref="CA342">_xlfn.TEXTJOIN("",TRUE,IF(ISERROR(FIND(ROW($1:$10)-1,BY342&amp;BZ342)),ROW($1:$10)-1,""))</f>
        <v>01246789</v>
      </c>
      <c r="CB342" s="26" t="str">
        <f t="shared" si="182"/>
        <v>邻孤孤</v>
      </c>
      <c r="CC342" s="27" t="str">
        <f t="shared" si="183"/>
        <v>02</v>
      </c>
      <c r="CD342" s="27" t="str">
        <f t="array" ref="CD342">_xlfn.TEXTJOIN("",TRUE,IF(ISNUMBER(FIND(MID(CC341&amp;R341,ROW($1:$4),1),CC342&amp;R342)),MID(CC341&amp;R341,ROW($1:$4),1),""))</f>
        <v>2</v>
      </c>
      <c r="CE342" s="27" t="str">
        <f t="array" ref="CE342">_xlfn.TEXTJOIN("",TRUE,IF(ISERROR(FIND(ROW($1:$10)-1,CC342&amp;CD342)),ROW($1:$10)-1,""))</f>
        <v>13456789</v>
      </c>
      <c r="CF342" s="17" t="str">
        <f t="shared" si="184"/>
        <v>邻传孤</v>
      </c>
      <c r="CG342" s="22" t="str">
        <f t="shared" si="185"/>
        <v>46</v>
      </c>
      <c r="CH342" s="22" t="str">
        <f t="array" ref="CH342">_xlfn.TEXTJOIN("",TRUE,IF(ISNUMBER(FIND(MID(CG341&amp;S341,ROW($1:$4),1),CG342&amp;S342)),MID(CG341&amp;S341,ROW($1:$4),1),""))</f>
        <v/>
      </c>
      <c r="CI342" s="22" t="str">
        <f t="array" ref="CI342">_xlfn.TEXTJOIN("",TRUE,IF(ISERROR(FIND(ROW($1:$10)-1,CG342&amp;CH342)),ROW($1:$10)-1,""))</f>
        <v>01235789</v>
      </c>
      <c r="CJ342" s="28" t="str">
        <f t="shared" si="186"/>
        <v>邻孤孤</v>
      </c>
    </row>
    <row r="343" spans="1:88">
      <c r="A343" s="32">
        <v>2025118</v>
      </c>
      <c r="B343" s="8" t="s">
        <v>164</v>
      </c>
      <c r="C343" s="49">
        <f t="shared" si="190"/>
        <v>9</v>
      </c>
      <c r="D343" s="50">
        <f t="shared" si="191"/>
        <v>9</v>
      </c>
      <c r="E343" s="51">
        <f t="shared" si="172"/>
        <v>3</v>
      </c>
      <c r="F343" s="52">
        <f>MAX(MID(B343,{1,2,3},1)*1)-MIN(MID(B343,{1,2,3},1)*1)</f>
        <v>5</v>
      </c>
      <c r="G343" s="104">
        <v>0</v>
      </c>
      <c r="H343" s="104">
        <v>1</v>
      </c>
      <c r="I343" s="104">
        <v>2</v>
      </c>
      <c r="J343" s="104">
        <v>3</v>
      </c>
      <c r="K343" s="104">
        <v>4</v>
      </c>
      <c r="L343" s="104">
        <v>5</v>
      </c>
      <c r="M343" s="104">
        <v>6</v>
      </c>
      <c r="N343" s="104">
        <v>7</v>
      </c>
      <c r="O343" s="104">
        <v>8</v>
      </c>
      <c r="P343" s="104">
        <v>9</v>
      </c>
      <c r="Q343" s="53">
        <f t="shared" si="192"/>
        <v>4</v>
      </c>
      <c r="R343" s="53">
        <f t="shared" si="193"/>
        <v>5</v>
      </c>
      <c r="S343" s="53">
        <f t="shared" si="194"/>
        <v>1</v>
      </c>
      <c r="T343" s="101">
        <f t="shared" si="173"/>
        <v>10</v>
      </c>
      <c r="U343" s="15" t="str">
        <f>_xlfn.TEXTJOIN(", ",TRUE,ABS(MID(B343,{1,1,2},1)-MID(B343,{2,3,3},1)))</f>
        <v>4, 5, 1</v>
      </c>
      <c r="V343" s="54">
        <v>0</v>
      </c>
      <c r="W343" s="54">
        <v>1</v>
      </c>
      <c r="X343" s="54">
        <v>2</v>
      </c>
      <c r="Y343" s="54">
        <v>3</v>
      </c>
      <c r="Z343" s="54">
        <v>4</v>
      </c>
      <c r="AA343" s="54">
        <v>5</v>
      </c>
      <c r="AB343" s="54">
        <v>6</v>
      </c>
      <c r="AC343" s="54">
        <v>7</v>
      </c>
      <c r="AD343" s="54">
        <v>8</v>
      </c>
      <c r="AE343" s="54">
        <v>9</v>
      </c>
      <c r="AF343" s="55">
        <v>0</v>
      </c>
      <c r="AG343" s="55">
        <v>1</v>
      </c>
      <c r="AH343" s="55">
        <v>2</v>
      </c>
      <c r="AI343" s="55">
        <v>3</v>
      </c>
      <c r="AJ343" s="55">
        <v>4</v>
      </c>
      <c r="AK343" s="55">
        <v>5</v>
      </c>
      <c r="AL343" s="55">
        <v>6</v>
      </c>
      <c r="AM343" s="55">
        <v>7</v>
      </c>
      <c r="AN343" s="55">
        <v>8</v>
      </c>
      <c r="AO343" s="55">
        <v>9</v>
      </c>
      <c r="AP343" s="105">
        <v>0</v>
      </c>
      <c r="AQ343" s="105">
        <v>1</v>
      </c>
      <c r="AR343" s="105">
        <v>2</v>
      </c>
      <c r="AS343" s="105">
        <v>3</v>
      </c>
      <c r="AT343" s="105">
        <v>4</v>
      </c>
      <c r="AU343" s="105">
        <v>5</v>
      </c>
      <c r="AV343" s="105">
        <v>6</v>
      </c>
      <c r="AW343" s="105">
        <v>7</v>
      </c>
      <c r="AX343" s="105">
        <v>8</v>
      </c>
      <c r="AY343" s="105">
        <v>9</v>
      </c>
      <c r="AZ343" s="56">
        <v>0</v>
      </c>
      <c r="BA343" s="56">
        <v>1</v>
      </c>
      <c r="BB343" s="56">
        <v>2</v>
      </c>
      <c r="BC343" s="56">
        <v>3</v>
      </c>
      <c r="BD343" s="56">
        <v>4</v>
      </c>
      <c r="BE343" s="56">
        <v>5</v>
      </c>
      <c r="BF343" s="56">
        <v>6</v>
      </c>
      <c r="BG343" s="56">
        <v>7</v>
      </c>
      <c r="BH343" s="56">
        <v>8</v>
      </c>
      <c r="BI343" s="56">
        <v>9</v>
      </c>
      <c r="BJ343" s="57" t="str">
        <f t="shared" si="174"/>
        <v>标准型</v>
      </c>
      <c r="BK343" s="13">
        <f t="shared" si="170"/>
        <v>1</v>
      </c>
      <c r="BL343" s="13">
        <f t="shared" si="171"/>
        <v>5</v>
      </c>
      <c r="BM343" s="18">
        <f t="shared" si="176"/>
        <v>4</v>
      </c>
      <c r="BN343" s="19" t="str">
        <f t="shared" si="177"/>
        <v/>
      </c>
      <c r="BO343" s="19" t="str">
        <f t="array" ref="BO343">_xlfn.TEXTJOIN("",TRUE,IF(ISERROR(FIND(ROW($1:$10)-1,BM343&amp;BN343)),ROW($1:$10)-1,""))</f>
        <v>012356789</v>
      </c>
      <c r="BP343" s="20" t="str">
        <f t="shared" si="178"/>
        <v>复中中</v>
      </c>
      <c r="BQ343" s="21">
        <f t="shared" si="189"/>
        <v>5</v>
      </c>
      <c r="BR343" s="21" t="str">
        <f t="shared" si="187"/>
        <v/>
      </c>
      <c r="BS343" s="21" t="str">
        <f t="array" ref="BS343">_xlfn.TEXTJOIN("",TRUE,IF(ISERROR(FIND(ROW($1:$10)-1,BQ343&amp;BR343)),ROW($1:$10)-1,""))</f>
        <v>012346789</v>
      </c>
      <c r="BT343" s="20" t="str">
        <f t="shared" si="179"/>
        <v>复中中</v>
      </c>
      <c r="BU343" s="22">
        <f t="shared" si="180"/>
        <v>1</v>
      </c>
      <c r="BV343" s="22">
        <f t="shared" si="188"/>
        <v>1</v>
      </c>
      <c r="BW343" s="22" t="str">
        <f t="array" ref="BW343">_xlfn.TEXTJOIN("",TRUE,IF(ISERROR(FIND(ROW($1:$10)-1,BU343&amp;BV343)),ROW($1:$10)-1,""))</f>
        <v>023456789</v>
      </c>
      <c r="BX343" s="20" t="str">
        <f t="shared" si="181"/>
        <v>复隔中</v>
      </c>
      <c r="BY343" s="23" t="str">
        <f t="shared" si="175"/>
        <v>35</v>
      </c>
      <c r="BZ343" s="24" t="str">
        <f t="array" ref="BZ343">_xlfn.TEXTJOIN("",TRUE,IF(ISNUMBER(FIND(MID(BY342&amp;Q342,ROW($1:$4),1),BY343&amp;Q343)),MID(BY342&amp;Q342,ROW($1:$4),1),""))</f>
        <v>354</v>
      </c>
      <c r="CA343" s="25" t="str">
        <f t="array" ref="CA343">_xlfn.TEXTJOIN("",TRUE,IF(ISERROR(FIND(ROW($1:$10)-1,BY343&amp;BZ343)),ROW($1:$10)-1,""))</f>
        <v>0126789</v>
      </c>
      <c r="CB343" s="26" t="str">
        <f t="shared" si="182"/>
        <v>邻传孤</v>
      </c>
      <c r="CC343" s="27" t="str">
        <f t="shared" si="183"/>
        <v>46</v>
      </c>
      <c r="CD343" s="27" t="str">
        <f t="array" ref="CD343">_xlfn.TEXTJOIN("",TRUE,IF(ISNUMBER(FIND(MID(CC342&amp;R342,ROW($1:$4),1),CC343&amp;R343)),MID(CC342&amp;R342,ROW($1:$4),1),""))</f>
        <v/>
      </c>
      <c r="CE343" s="27" t="str">
        <f t="array" ref="CE343">_xlfn.TEXTJOIN("",TRUE,IF(ISERROR(FIND(ROW($1:$10)-1,CC343&amp;CD343)),ROW($1:$10)-1,""))</f>
        <v>01235789</v>
      </c>
      <c r="CF343" s="17" t="str">
        <f t="shared" si="184"/>
        <v>邻孤孤</v>
      </c>
      <c r="CG343" s="22" t="str">
        <f t="shared" si="185"/>
        <v>02</v>
      </c>
      <c r="CH343" s="22" t="str">
        <f t="array" ref="CH343">_xlfn.TEXTJOIN("",TRUE,IF(ISNUMBER(FIND(MID(CG342&amp;S342,ROW($1:$4),1),CG343&amp;S343)),MID(CG342&amp;S342,ROW($1:$4),1),""))</f>
        <v/>
      </c>
      <c r="CI343" s="22" t="str">
        <f t="array" ref="CI343">_xlfn.TEXTJOIN("",TRUE,IF(ISERROR(FIND(ROW($1:$10)-1,CG343&amp;CH343)),ROW($1:$10)-1,""))</f>
        <v>13456789</v>
      </c>
      <c r="CJ343" s="28" t="str">
        <f t="shared" si="186"/>
        <v>邻孤孤</v>
      </c>
    </row>
    <row r="344" spans="1:88">
      <c r="A344" s="32">
        <v>2025119</v>
      </c>
      <c r="B344" s="8" t="s">
        <v>305</v>
      </c>
      <c r="C344" s="49">
        <f t="shared" si="190"/>
        <v>9</v>
      </c>
      <c r="D344" s="50">
        <f t="shared" si="191"/>
        <v>9</v>
      </c>
      <c r="E344" s="51">
        <f t="shared" si="172"/>
        <v>3</v>
      </c>
      <c r="F344" s="52">
        <f>MAX(MID(B344,{1,2,3},1)*1)-MIN(MID(B344,{1,2,3},1)*1)</f>
        <v>4</v>
      </c>
      <c r="G344" s="104">
        <v>0</v>
      </c>
      <c r="H344" s="104">
        <v>1</v>
      </c>
      <c r="I344" s="104">
        <v>2</v>
      </c>
      <c r="J344" s="104">
        <v>3</v>
      </c>
      <c r="K344" s="104">
        <v>4</v>
      </c>
      <c r="L344" s="104">
        <v>5</v>
      </c>
      <c r="M344" s="104">
        <v>6</v>
      </c>
      <c r="N344" s="104">
        <v>7</v>
      </c>
      <c r="O344" s="104">
        <v>8</v>
      </c>
      <c r="P344" s="104">
        <v>9</v>
      </c>
      <c r="Q344" s="53">
        <f t="shared" si="192"/>
        <v>2</v>
      </c>
      <c r="R344" s="53">
        <f t="shared" si="193"/>
        <v>2</v>
      </c>
      <c r="S344" s="53">
        <f t="shared" si="194"/>
        <v>4</v>
      </c>
      <c r="T344" s="101">
        <f t="shared" si="173"/>
        <v>8</v>
      </c>
      <c r="U344" s="15" t="str">
        <f>_xlfn.TEXTJOIN(", ",TRUE,ABS(MID(B344,{1,1,2},1)-MID(B344,{2,3,3},1)))</f>
        <v>2, 2, 4</v>
      </c>
      <c r="V344" s="54">
        <v>0</v>
      </c>
      <c r="W344" s="54">
        <v>1</v>
      </c>
      <c r="X344" s="54">
        <v>2</v>
      </c>
      <c r="Y344" s="54">
        <v>3</v>
      </c>
      <c r="Z344" s="54">
        <v>4</v>
      </c>
      <c r="AA344" s="54">
        <v>5</v>
      </c>
      <c r="AB344" s="54">
        <v>6</v>
      </c>
      <c r="AC344" s="54">
        <v>7</v>
      </c>
      <c r="AD344" s="54">
        <v>8</v>
      </c>
      <c r="AE344" s="54">
        <v>9</v>
      </c>
      <c r="AF344" s="55">
        <v>0</v>
      </c>
      <c r="AG344" s="55">
        <v>1</v>
      </c>
      <c r="AH344" s="55">
        <v>2</v>
      </c>
      <c r="AI344" s="55">
        <v>3</v>
      </c>
      <c r="AJ344" s="55">
        <v>4</v>
      </c>
      <c r="AK344" s="55">
        <v>5</v>
      </c>
      <c r="AL344" s="55">
        <v>6</v>
      </c>
      <c r="AM344" s="55">
        <v>7</v>
      </c>
      <c r="AN344" s="55">
        <v>8</v>
      </c>
      <c r="AO344" s="55">
        <v>9</v>
      </c>
      <c r="AP344" s="105">
        <v>0</v>
      </c>
      <c r="AQ344" s="105">
        <v>1</v>
      </c>
      <c r="AR344" s="105">
        <v>2</v>
      </c>
      <c r="AS344" s="105">
        <v>3</v>
      </c>
      <c r="AT344" s="105">
        <v>4</v>
      </c>
      <c r="AU344" s="105">
        <v>5</v>
      </c>
      <c r="AV344" s="105">
        <v>6</v>
      </c>
      <c r="AW344" s="105">
        <v>7</v>
      </c>
      <c r="AX344" s="105">
        <v>8</v>
      </c>
      <c r="AY344" s="105">
        <v>9</v>
      </c>
      <c r="AZ344" s="56">
        <v>0</v>
      </c>
      <c r="BA344" s="56">
        <v>1</v>
      </c>
      <c r="BB344" s="56">
        <v>2</v>
      </c>
      <c r="BC344" s="56">
        <v>3</v>
      </c>
      <c r="BD344" s="56">
        <v>4</v>
      </c>
      <c r="BE344" s="56">
        <v>5</v>
      </c>
      <c r="BF344" s="56">
        <v>6</v>
      </c>
      <c r="BG344" s="56">
        <v>7</v>
      </c>
      <c r="BH344" s="56">
        <v>8</v>
      </c>
      <c r="BI344" s="56">
        <v>9</v>
      </c>
      <c r="BJ344" s="57" t="str">
        <f t="shared" si="174"/>
        <v>标准型</v>
      </c>
      <c r="BK344" s="13">
        <f t="shared" si="170"/>
        <v>2</v>
      </c>
      <c r="BL344" s="13">
        <f t="shared" si="171"/>
        <v>4</v>
      </c>
      <c r="BM344" s="18" t="str">
        <f t="shared" si="176"/>
        <v/>
      </c>
      <c r="BN344" s="19" t="str">
        <f t="shared" si="177"/>
        <v/>
      </c>
      <c r="BO344" s="19" t="str">
        <f t="array" ref="BO344">_xlfn.TEXTJOIN("",TRUE,IF(ISERROR(FIND(ROW($1:$10)-1,BM344&amp;BN344)),ROW($1:$10)-1,""))</f>
        <v>0123456789</v>
      </c>
      <c r="BP344" s="20" t="str">
        <f t="shared" si="178"/>
        <v>中中中</v>
      </c>
      <c r="BQ344" s="21" t="str">
        <f t="shared" si="189"/>
        <v/>
      </c>
      <c r="BR344" s="21" t="str">
        <f t="shared" si="187"/>
        <v/>
      </c>
      <c r="BS344" s="21" t="str">
        <f t="array" ref="BS344">_xlfn.TEXTJOIN("",TRUE,IF(ISERROR(FIND(ROW($1:$10)-1,BQ344&amp;BR344)),ROW($1:$10)-1,""))</f>
        <v>0123456789</v>
      </c>
      <c r="BT344" s="20" t="str">
        <f t="shared" si="179"/>
        <v>中中中</v>
      </c>
      <c r="BU344" s="22">
        <f t="shared" si="180"/>
        <v>4</v>
      </c>
      <c r="BV344" s="22">
        <f t="shared" si="188"/>
        <v>4</v>
      </c>
      <c r="BW344" s="22" t="str">
        <f t="array" ref="BW344">_xlfn.TEXTJOIN("",TRUE,IF(ISERROR(FIND(ROW($1:$10)-1,BU344&amp;BV344)),ROW($1:$10)-1,""))</f>
        <v>012356789</v>
      </c>
      <c r="BX344" s="20" t="str">
        <f t="shared" si="181"/>
        <v>复隔中</v>
      </c>
      <c r="BY344" s="23" t="str">
        <f t="shared" si="175"/>
        <v>13</v>
      </c>
      <c r="BZ344" s="24" t="str">
        <f t="array" ref="BZ344">_xlfn.TEXTJOIN("",TRUE,IF(ISNUMBER(FIND(MID(BY343&amp;Q343,ROW($1:$4),1),BY344&amp;Q344)),MID(BY343&amp;Q343,ROW($1:$4),1),""))</f>
        <v>3</v>
      </c>
      <c r="CA344" s="25" t="str">
        <f t="array" ref="CA344">_xlfn.TEXTJOIN("",TRUE,IF(ISERROR(FIND(ROW($1:$10)-1,BY344&amp;BZ344)),ROW($1:$10)-1,""))</f>
        <v>02456789</v>
      </c>
      <c r="CB344" s="26" t="str">
        <f t="shared" si="182"/>
        <v>邻传孤</v>
      </c>
      <c r="CC344" s="27" t="str">
        <f t="shared" si="183"/>
        <v>13</v>
      </c>
      <c r="CD344" s="27" t="str">
        <f t="array" ref="CD344">_xlfn.TEXTJOIN("",TRUE,IF(ISNUMBER(FIND(MID(CC343&amp;R343,ROW($1:$4),1),CC344&amp;R344)),MID(CC343&amp;R343,ROW($1:$4),1),""))</f>
        <v/>
      </c>
      <c r="CE344" s="27" t="str">
        <f t="array" ref="CE344">_xlfn.TEXTJOIN("",TRUE,IF(ISERROR(FIND(ROW($1:$10)-1,CC344&amp;CD344)),ROW($1:$10)-1,""))</f>
        <v>02456789</v>
      </c>
      <c r="CF344" s="17" t="str">
        <f t="shared" si="184"/>
        <v>邻孤孤</v>
      </c>
      <c r="CG344" s="22" t="str">
        <f t="shared" si="185"/>
        <v>35</v>
      </c>
      <c r="CH344" s="22" t="str">
        <f t="array" ref="CH344">_xlfn.TEXTJOIN("",TRUE,IF(ISNUMBER(FIND(MID(CG343&amp;S343,ROW($1:$4),1),CG344&amp;S344)),MID(CG343&amp;S343,ROW($1:$4),1),""))</f>
        <v/>
      </c>
      <c r="CI344" s="22" t="str">
        <f t="array" ref="CI344">_xlfn.TEXTJOIN("",TRUE,IF(ISERROR(FIND(ROW($1:$10)-1,CG344&amp;CH344)),ROW($1:$10)-1,""))</f>
        <v>01246789</v>
      </c>
      <c r="CJ344" s="28" t="str">
        <f t="shared" si="186"/>
        <v>邻孤孤</v>
      </c>
    </row>
    <row r="345" spans="1:88">
      <c r="A345" s="32">
        <v>2025120</v>
      </c>
      <c r="B345" s="8" t="s">
        <v>251</v>
      </c>
      <c r="C345" s="49">
        <f t="shared" si="190"/>
        <v>12</v>
      </c>
      <c r="D345" s="50">
        <f t="shared" si="191"/>
        <v>2</v>
      </c>
      <c r="E345" s="51">
        <f t="shared" si="172"/>
        <v>4</v>
      </c>
      <c r="F345" s="52">
        <f>MAX(MID(B345,{1,2,3},1)*1)-MIN(MID(B345,{1,2,3},1)*1)</f>
        <v>8</v>
      </c>
      <c r="G345" s="104">
        <v>0</v>
      </c>
      <c r="H345" s="104">
        <v>1</v>
      </c>
      <c r="I345" s="104">
        <v>2</v>
      </c>
      <c r="J345" s="104">
        <v>3</v>
      </c>
      <c r="K345" s="104">
        <v>4</v>
      </c>
      <c r="L345" s="104">
        <v>5</v>
      </c>
      <c r="M345" s="104">
        <v>6</v>
      </c>
      <c r="N345" s="104">
        <v>7</v>
      </c>
      <c r="O345" s="104">
        <v>8</v>
      </c>
      <c r="P345" s="104">
        <v>9</v>
      </c>
      <c r="Q345" s="53">
        <f t="shared" si="192"/>
        <v>8</v>
      </c>
      <c r="R345" s="53">
        <f t="shared" si="193"/>
        <v>7</v>
      </c>
      <c r="S345" s="53">
        <f t="shared" si="194"/>
        <v>1</v>
      </c>
      <c r="T345" s="101">
        <f t="shared" si="173"/>
        <v>16</v>
      </c>
      <c r="U345" s="15" t="str">
        <f>_xlfn.TEXTJOIN(", ",TRUE,ABS(MID(B345,{1,1,2},1)-MID(B345,{2,3,3},1)))</f>
        <v>8, 7, 1</v>
      </c>
      <c r="V345" s="54">
        <v>0</v>
      </c>
      <c r="W345" s="54">
        <v>1</v>
      </c>
      <c r="X345" s="54">
        <v>2</v>
      </c>
      <c r="Y345" s="54">
        <v>3</v>
      </c>
      <c r="Z345" s="54">
        <v>4</v>
      </c>
      <c r="AA345" s="54">
        <v>5</v>
      </c>
      <c r="AB345" s="54">
        <v>6</v>
      </c>
      <c r="AC345" s="54">
        <v>7</v>
      </c>
      <c r="AD345" s="54">
        <v>8</v>
      </c>
      <c r="AE345" s="54">
        <v>9</v>
      </c>
      <c r="AF345" s="55">
        <v>0</v>
      </c>
      <c r="AG345" s="55">
        <v>1</v>
      </c>
      <c r="AH345" s="55">
        <v>2</v>
      </c>
      <c r="AI345" s="55">
        <v>3</v>
      </c>
      <c r="AJ345" s="55">
        <v>4</v>
      </c>
      <c r="AK345" s="55">
        <v>5</v>
      </c>
      <c r="AL345" s="55">
        <v>6</v>
      </c>
      <c r="AM345" s="55">
        <v>7</v>
      </c>
      <c r="AN345" s="55">
        <v>8</v>
      </c>
      <c r="AO345" s="55">
        <v>9</v>
      </c>
      <c r="AP345" s="105">
        <v>0</v>
      </c>
      <c r="AQ345" s="105">
        <v>1</v>
      </c>
      <c r="AR345" s="105">
        <v>2</v>
      </c>
      <c r="AS345" s="105">
        <v>3</v>
      </c>
      <c r="AT345" s="105">
        <v>4</v>
      </c>
      <c r="AU345" s="105">
        <v>5</v>
      </c>
      <c r="AV345" s="105">
        <v>6</v>
      </c>
      <c r="AW345" s="105">
        <v>7</v>
      </c>
      <c r="AX345" s="105">
        <v>8</v>
      </c>
      <c r="AY345" s="105">
        <v>9</v>
      </c>
      <c r="AZ345" s="56">
        <v>0</v>
      </c>
      <c r="BA345" s="56">
        <v>1</v>
      </c>
      <c r="BB345" s="56">
        <v>2</v>
      </c>
      <c r="BC345" s="56">
        <v>3</v>
      </c>
      <c r="BD345" s="56">
        <v>4</v>
      </c>
      <c r="BE345" s="56">
        <v>5</v>
      </c>
      <c r="BF345" s="56">
        <v>6</v>
      </c>
      <c r="BG345" s="56">
        <v>7</v>
      </c>
      <c r="BH345" s="56">
        <v>8</v>
      </c>
      <c r="BI345" s="56">
        <v>9</v>
      </c>
      <c r="BJ345" s="57" t="str">
        <f t="shared" si="174"/>
        <v>松散型</v>
      </c>
      <c r="BK345" s="13">
        <f t="shared" si="170"/>
        <v>1</v>
      </c>
      <c r="BL345" s="13">
        <f t="shared" si="171"/>
        <v>8</v>
      </c>
      <c r="BM345" s="18" t="str">
        <f t="shared" si="176"/>
        <v/>
      </c>
      <c r="BN345" s="19" t="str">
        <f t="shared" si="177"/>
        <v/>
      </c>
      <c r="BO345" s="19" t="str">
        <f t="array" ref="BO345">_xlfn.TEXTJOIN("",TRUE,IF(ISERROR(FIND(ROW($1:$10)-1,BM345&amp;BN345)),ROW($1:$10)-1,""))</f>
        <v>0123456789</v>
      </c>
      <c r="BP345" s="20" t="str">
        <f t="shared" si="178"/>
        <v>中中中</v>
      </c>
      <c r="BQ345" s="21" t="str">
        <f t="shared" si="189"/>
        <v/>
      </c>
      <c r="BR345" s="21" t="str">
        <f t="shared" si="187"/>
        <v/>
      </c>
      <c r="BS345" s="21" t="str">
        <f t="array" ref="BS345">_xlfn.TEXTJOIN("",TRUE,IF(ISERROR(FIND(ROW($1:$10)-1,BQ345&amp;BR345)),ROW($1:$10)-1,""))</f>
        <v>0123456789</v>
      </c>
      <c r="BT345" s="20" t="str">
        <f t="shared" si="179"/>
        <v>中中中</v>
      </c>
      <c r="BU345" s="22" t="str">
        <f t="shared" si="180"/>
        <v/>
      </c>
      <c r="BV345" s="22">
        <f t="shared" si="188"/>
        <v>1</v>
      </c>
      <c r="BW345" s="22" t="str">
        <f t="array" ref="BW345">_xlfn.TEXTJOIN("",TRUE,IF(ISERROR(FIND(ROW($1:$10)-1,BU345&amp;BV345)),ROW($1:$10)-1,""))</f>
        <v>023456789</v>
      </c>
      <c r="BX345" s="20" t="str">
        <f t="shared" si="181"/>
        <v>中隔中</v>
      </c>
      <c r="BY345" s="23" t="str">
        <f t="shared" si="175"/>
        <v>79</v>
      </c>
      <c r="BZ345" s="24" t="str">
        <f t="array" ref="BZ345">_xlfn.TEXTJOIN("",TRUE,IF(ISNUMBER(FIND(MID(BY344&amp;Q344,ROW($1:$4),1),BY345&amp;Q345)),MID(BY344&amp;Q344,ROW($1:$4),1),""))</f>
        <v/>
      </c>
      <c r="CA345" s="25" t="str">
        <f t="array" ref="CA345">_xlfn.TEXTJOIN("",TRUE,IF(ISERROR(FIND(ROW($1:$10)-1,BY345&amp;BZ345)),ROW($1:$10)-1,""))</f>
        <v>01234568</v>
      </c>
      <c r="CB345" s="26" t="str">
        <f t="shared" si="182"/>
        <v>邻孤孤</v>
      </c>
      <c r="CC345" s="27" t="str">
        <f t="shared" si="183"/>
        <v>68</v>
      </c>
      <c r="CD345" s="27" t="str">
        <f t="array" ref="CD345">_xlfn.TEXTJOIN("",TRUE,IF(ISNUMBER(FIND(MID(CC344&amp;R344,ROW($1:$4),1),CC345&amp;R345)),MID(CC344&amp;R344,ROW($1:$4),1),""))</f>
        <v/>
      </c>
      <c r="CE345" s="27" t="str">
        <f t="array" ref="CE345">_xlfn.TEXTJOIN("",TRUE,IF(ISERROR(FIND(ROW($1:$10)-1,CC345&amp;CD345)),ROW($1:$10)-1,""))</f>
        <v>01234579</v>
      </c>
      <c r="CF345" s="17" t="str">
        <f t="shared" si="184"/>
        <v>邻孤孤</v>
      </c>
      <c r="CG345" s="22" t="str">
        <f t="shared" si="185"/>
        <v>02</v>
      </c>
      <c r="CH345" s="22" t="str">
        <f t="array" ref="CH345">_xlfn.TEXTJOIN("",TRUE,IF(ISNUMBER(FIND(MID(CG344&amp;S344,ROW($1:$4),1),CG345&amp;S345)),MID(CG344&amp;S344,ROW($1:$4),1),""))</f>
        <v/>
      </c>
      <c r="CI345" s="22" t="str">
        <f t="array" ref="CI345">_xlfn.TEXTJOIN("",TRUE,IF(ISERROR(FIND(ROW($1:$10)-1,CG345&amp;CH345)),ROW($1:$10)-1,""))</f>
        <v>13456789</v>
      </c>
      <c r="CJ345" s="28" t="str">
        <f t="shared" si="186"/>
        <v>邻孤孤</v>
      </c>
    </row>
    <row r="346" spans="1:88">
      <c r="A346" s="32">
        <v>2025121</v>
      </c>
      <c r="B346" s="8" t="s">
        <v>306</v>
      </c>
      <c r="C346" s="49">
        <f t="shared" si="190"/>
        <v>3</v>
      </c>
      <c r="D346" s="50">
        <f t="shared" si="191"/>
        <v>3</v>
      </c>
      <c r="E346" s="51">
        <f t="shared" si="172"/>
        <v>1</v>
      </c>
      <c r="F346" s="52">
        <f>MAX(MID(B346,{1,2,3},1)*1)-MIN(MID(B346,{1,2,3},1)*1)</f>
        <v>2</v>
      </c>
      <c r="G346" s="104">
        <v>0</v>
      </c>
      <c r="H346" s="104">
        <v>1</v>
      </c>
      <c r="I346" s="104">
        <v>2</v>
      </c>
      <c r="J346" s="104">
        <v>3</v>
      </c>
      <c r="K346" s="104">
        <v>4</v>
      </c>
      <c r="L346" s="104">
        <v>5</v>
      </c>
      <c r="M346" s="104">
        <v>6</v>
      </c>
      <c r="N346" s="104">
        <v>7</v>
      </c>
      <c r="O346" s="104">
        <v>8</v>
      </c>
      <c r="P346" s="104">
        <v>9</v>
      </c>
      <c r="Q346" s="53">
        <f t="shared" si="192"/>
        <v>1</v>
      </c>
      <c r="R346" s="53">
        <f t="shared" si="193"/>
        <v>1</v>
      </c>
      <c r="S346" s="53">
        <f t="shared" si="194"/>
        <v>2</v>
      </c>
      <c r="T346" s="101">
        <f t="shared" si="173"/>
        <v>4</v>
      </c>
      <c r="U346" s="15" t="str">
        <f>_xlfn.TEXTJOIN(", ",TRUE,ABS(MID(B346,{1,1,2},1)-MID(B346,{2,3,3},1)))</f>
        <v>1, 1, 2</v>
      </c>
      <c r="V346" s="54">
        <v>0</v>
      </c>
      <c r="W346" s="54">
        <v>1</v>
      </c>
      <c r="X346" s="54">
        <v>2</v>
      </c>
      <c r="Y346" s="54">
        <v>3</v>
      </c>
      <c r="Z346" s="54">
        <v>4</v>
      </c>
      <c r="AA346" s="54">
        <v>5</v>
      </c>
      <c r="AB346" s="54">
        <v>6</v>
      </c>
      <c r="AC346" s="54">
        <v>7</v>
      </c>
      <c r="AD346" s="54">
        <v>8</v>
      </c>
      <c r="AE346" s="54">
        <v>9</v>
      </c>
      <c r="AF346" s="55">
        <v>0</v>
      </c>
      <c r="AG346" s="55">
        <v>1</v>
      </c>
      <c r="AH346" s="55">
        <v>2</v>
      </c>
      <c r="AI346" s="55">
        <v>3</v>
      </c>
      <c r="AJ346" s="55">
        <v>4</v>
      </c>
      <c r="AK346" s="55">
        <v>5</v>
      </c>
      <c r="AL346" s="55">
        <v>6</v>
      </c>
      <c r="AM346" s="55">
        <v>7</v>
      </c>
      <c r="AN346" s="55">
        <v>8</v>
      </c>
      <c r="AO346" s="55">
        <v>9</v>
      </c>
      <c r="AP346" s="105">
        <v>0</v>
      </c>
      <c r="AQ346" s="105">
        <v>1</v>
      </c>
      <c r="AR346" s="105">
        <v>2</v>
      </c>
      <c r="AS346" s="105">
        <v>3</v>
      </c>
      <c r="AT346" s="105">
        <v>4</v>
      </c>
      <c r="AU346" s="105">
        <v>5</v>
      </c>
      <c r="AV346" s="105">
        <v>6</v>
      </c>
      <c r="AW346" s="105">
        <v>7</v>
      </c>
      <c r="AX346" s="105">
        <v>8</v>
      </c>
      <c r="AY346" s="105">
        <v>9</v>
      </c>
      <c r="AZ346" s="56">
        <v>0</v>
      </c>
      <c r="BA346" s="56">
        <v>1</v>
      </c>
      <c r="BB346" s="56">
        <v>2</v>
      </c>
      <c r="BC346" s="56">
        <v>3</v>
      </c>
      <c r="BD346" s="56">
        <v>4</v>
      </c>
      <c r="BE346" s="56">
        <v>5</v>
      </c>
      <c r="BF346" s="56">
        <v>6</v>
      </c>
      <c r="BG346" s="56">
        <v>7</v>
      </c>
      <c r="BH346" s="56">
        <v>8</v>
      </c>
      <c r="BI346" s="56">
        <v>9</v>
      </c>
      <c r="BJ346" s="57" t="str">
        <f t="shared" si="174"/>
        <v>紧凑型</v>
      </c>
      <c r="BK346" s="13">
        <f t="shared" si="170"/>
        <v>1</v>
      </c>
      <c r="BL346" s="13">
        <f t="shared" si="171"/>
        <v>2</v>
      </c>
      <c r="BM346" s="18">
        <f t="shared" si="176"/>
        <v>1</v>
      </c>
      <c r="BN346" s="19" t="str">
        <f t="shared" si="177"/>
        <v/>
      </c>
      <c r="BO346" s="19" t="str">
        <f t="array" ref="BO346">_xlfn.TEXTJOIN("",TRUE,IF(ISERROR(FIND(ROW($1:$10)-1,BM346&amp;BN346)),ROW($1:$10)-1,""))</f>
        <v>023456789</v>
      </c>
      <c r="BP346" s="20" t="str">
        <f t="shared" si="178"/>
        <v>复中中</v>
      </c>
      <c r="BQ346" s="21">
        <f t="shared" si="189"/>
        <v>1</v>
      </c>
      <c r="BR346" s="21" t="str">
        <f t="shared" si="187"/>
        <v/>
      </c>
      <c r="BS346" s="21" t="str">
        <f t="array" ref="BS346">_xlfn.TEXTJOIN("",TRUE,IF(ISERROR(FIND(ROW($1:$10)-1,BQ346&amp;BR346)),ROW($1:$10)-1,""))</f>
        <v>023456789</v>
      </c>
      <c r="BT346" s="20" t="str">
        <f t="shared" si="179"/>
        <v>复中中</v>
      </c>
      <c r="BU346" s="22" t="str">
        <f t="shared" si="180"/>
        <v/>
      </c>
      <c r="BV346" s="22">
        <f t="shared" si="188"/>
        <v>2</v>
      </c>
      <c r="BW346" s="22" t="str">
        <f t="array" ref="BW346">_xlfn.TEXTJOIN("",TRUE,IF(ISERROR(FIND(ROW($1:$10)-1,BU346&amp;BV346)),ROW($1:$10)-1,""))</f>
        <v>013456789</v>
      </c>
      <c r="BX346" s="20" t="str">
        <f t="shared" si="181"/>
        <v>中隔中</v>
      </c>
      <c r="BY346" s="23" t="str">
        <f t="shared" si="175"/>
        <v>02</v>
      </c>
      <c r="BZ346" s="24" t="str">
        <f t="array" ref="BZ346">_xlfn.TEXTJOIN("",TRUE,IF(ISNUMBER(FIND(MID(BY345&amp;Q345,ROW($1:$4),1),BY346&amp;Q346)),MID(BY345&amp;Q345,ROW($1:$4),1),""))</f>
        <v/>
      </c>
      <c r="CA346" s="25" t="str">
        <f t="array" ref="CA346">_xlfn.TEXTJOIN("",TRUE,IF(ISERROR(FIND(ROW($1:$10)-1,BY346&amp;BZ346)),ROW($1:$10)-1,""))</f>
        <v>13456789</v>
      </c>
      <c r="CB346" s="26" t="str">
        <f t="shared" si="182"/>
        <v>邻孤孤</v>
      </c>
      <c r="CC346" s="27" t="str">
        <f t="shared" si="183"/>
        <v>02</v>
      </c>
      <c r="CD346" s="27" t="str">
        <f t="array" ref="CD346">_xlfn.TEXTJOIN("",TRUE,IF(ISNUMBER(FIND(MID(CC345&amp;R345,ROW($1:$4),1),CC346&amp;R346)),MID(CC345&amp;R345,ROW($1:$4),1),""))</f>
        <v/>
      </c>
      <c r="CE346" s="27" t="str">
        <f t="array" ref="CE346">_xlfn.TEXTJOIN("",TRUE,IF(ISERROR(FIND(ROW($1:$10)-1,CC346&amp;CD346)),ROW($1:$10)-1,""))</f>
        <v>13456789</v>
      </c>
      <c r="CF346" s="17" t="str">
        <f t="shared" si="184"/>
        <v>邻孤孤</v>
      </c>
      <c r="CG346" s="22" t="str">
        <f t="shared" si="185"/>
        <v>13</v>
      </c>
      <c r="CH346" s="22" t="str">
        <f t="array" ref="CH346">_xlfn.TEXTJOIN("",TRUE,IF(ISNUMBER(FIND(MID(CG345&amp;S345,ROW($1:$4),1),CG346&amp;S346)),MID(CG345&amp;S345,ROW($1:$4),1),""))</f>
        <v>21</v>
      </c>
      <c r="CI346" s="22" t="str">
        <f t="array" ref="CI346">_xlfn.TEXTJOIN("",TRUE,IF(ISERROR(FIND(ROW($1:$10)-1,CG346&amp;CH346)),ROW($1:$10)-1,""))</f>
        <v>0456789</v>
      </c>
      <c r="CJ346" s="28" t="str">
        <f t="shared" si="186"/>
        <v>邻传孤</v>
      </c>
    </row>
    <row r="347" spans="1:88">
      <c r="A347" s="32">
        <v>2025122</v>
      </c>
      <c r="B347" s="8" t="s">
        <v>68</v>
      </c>
      <c r="C347" s="49">
        <f t="shared" si="190"/>
        <v>20</v>
      </c>
      <c r="D347" s="50">
        <f t="shared" si="191"/>
        <v>0</v>
      </c>
      <c r="E347" s="51">
        <f t="shared" si="172"/>
        <v>6.6666666666666696</v>
      </c>
      <c r="F347" s="52">
        <f>MAX(MID(B347,{1,2,3},1)*1)-MIN(MID(B347,{1,2,3},1)*1)</f>
        <v>4</v>
      </c>
      <c r="G347" s="104">
        <v>0</v>
      </c>
      <c r="H347" s="104">
        <v>1</v>
      </c>
      <c r="I347" s="104">
        <v>2</v>
      </c>
      <c r="J347" s="104">
        <v>3</v>
      </c>
      <c r="K347" s="104">
        <v>4</v>
      </c>
      <c r="L347" s="104">
        <v>5</v>
      </c>
      <c r="M347" s="104">
        <v>6</v>
      </c>
      <c r="N347" s="104">
        <v>7</v>
      </c>
      <c r="O347" s="104">
        <v>8</v>
      </c>
      <c r="P347" s="104">
        <v>9</v>
      </c>
      <c r="Q347" s="53">
        <f t="shared" si="192"/>
        <v>4</v>
      </c>
      <c r="R347" s="53">
        <f t="shared" si="193"/>
        <v>4</v>
      </c>
      <c r="S347" s="53">
        <f t="shared" si="194"/>
        <v>0</v>
      </c>
      <c r="T347" s="101">
        <f t="shared" si="173"/>
        <v>8</v>
      </c>
      <c r="U347" s="15" t="str">
        <f>_xlfn.TEXTJOIN(", ",TRUE,ABS(MID(B347,{1,1,2},1)-MID(B347,{2,3,3},1)))</f>
        <v>4, 4, 0</v>
      </c>
      <c r="V347" s="54">
        <v>0</v>
      </c>
      <c r="W347" s="54">
        <v>1</v>
      </c>
      <c r="X347" s="54">
        <v>2</v>
      </c>
      <c r="Y347" s="54">
        <v>3</v>
      </c>
      <c r="Z347" s="54">
        <v>4</v>
      </c>
      <c r="AA347" s="54">
        <v>5</v>
      </c>
      <c r="AB347" s="54">
        <v>6</v>
      </c>
      <c r="AC347" s="54">
        <v>7</v>
      </c>
      <c r="AD347" s="54">
        <v>8</v>
      </c>
      <c r="AE347" s="54">
        <v>9</v>
      </c>
      <c r="AF347" s="55">
        <v>0</v>
      </c>
      <c r="AG347" s="55">
        <v>1</v>
      </c>
      <c r="AH347" s="55">
        <v>2</v>
      </c>
      <c r="AI347" s="55">
        <v>3</v>
      </c>
      <c r="AJ347" s="55">
        <v>4</v>
      </c>
      <c r="AK347" s="55">
        <v>5</v>
      </c>
      <c r="AL347" s="55">
        <v>6</v>
      </c>
      <c r="AM347" s="55">
        <v>7</v>
      </c>
      <c r="AN347" s="55">
        <v>8</v>
      </c>
      <c r="AO347" s="55">
        <v>9</v>
      </c>
      <c r="AP347" s="105">
        <v>0</v>
      </c>
      <c r="AQ347" s="105">
        <v>1</v>
      </c>
      <c r="AR347" s="105">
        <v>2</v>
      </c>
      <c r="AS347" s="105">
        <v>3</v>
      </c>
      <c r="AT347" s="105">
        <v>4</v>
      </c>
      <c r="AU347" s="105">
        <v>5</v>
      </c>
      <c r="AV347" s="105">
        <v>6</v>
      </c>
      <c r="AW347" s="105">
        <v>7</v>
      </c>
      <c r="AX347" s="105">
        <v>8</v>
      </c>
      <c r="AY347" s="105">
        <v>9</v>
      </c>
      <c r="AZ347" s="56">
        <v>0</v>
      </c>
      <c r="BA347" s="56">
        <v>1</v>
      </c>
      <c r="BB347" s="56">
        <v>2</v>
      </c>
      <c r="BC347" s="56">
        <v>3</v>
      </c>
      <c r="BD347" s="56">
        <v>4</v>
      </c>
      <c r="BE347" s="56">
        <v>5</v>
      </c>
      <c r="BF347" s="56">
        <v>6</v>
      </c>
      <c r="BG347" s="56">
        <v>7</v>
      </c>
      <c r="BH347" s="56">
        <v>8</v>
      </c>
      <c r="BI347" s="56">
        <v>9</v>
      </c>
      <c r="BJ347" s="57" t="str">
        <f t="shared" si="174"/>
        <v>紧凑型</v>
      </c>
      <c r="BK347" s="13">
        <f t="shared" si="170"/>
        <v>0</v>
      </c>
      <c r="BL347" s="13">
        <f t="shared" si="171"/>
        <v>4</v>
      </c>
      <c r="BM347" s="18" t="str">
        <f t="shared" si="176"/>
        <v/>
      </c>
      <c r="BN347" s="19" t="str">
        <f t="shared" si="177"/>
        <v/>
      </c>
      <c r="BO347" s="19" t="str">
        <f t="array" ref="BO347">_xlfn.TEXTJOIN("",TRUE,IF(ISERROR(FIND(ROW($1:$10)-1,BM347&amp;BN347)),ROW($1:$10)-1,""))</f>
        <v>0123456789</v>
      </c>
      <c r="BP347" s="20" t="str">
        <f t="shared" si="178"/>
        <v>中中中</v>
      </c>
      <c r="BQ347" s="21" t="str">
        <f t="shared" si="189"/>
        <v/>
      </c>
      <c r="BR347" s="21" t="str">
        <f t="shared" si="187"/>
        <v/>
      </c>
      <c r="BS347" s="21" t="str">
        <f t="array" ref="BS347">_xlfn.TEXTJOIN("",TRUE,IF(ISERROR(FIND(ROW($1:$10)-1,BQ347&amp;BR347)),ROW($1:$10)-1,""))</f>
        <v>0123456789</v>
      </c>
      <c r="BT347" s="20" t="str">
        <f t="shared" si="179"/>
        <v>中中中</v>
      </c>
      <c r="BU347" s="22" t="str">
        <f t="shared" si="180"/>
        <v/>
      </c>
      <c r="BV347" s="22" t="str">
        <f t="shared" si="188"/>
        <v/>
      </c>
      <c r="BW347" s="22" t="str">
        <f t="array" ref="BW347">_xlfn.TEXTJOIN("",TRUE,IF(ISERROR(FIND(ROW($1:$10)-1,BU347&amp;BV347)),ROW($1:$10)-1,""))</f>
        <v>0123456789</v>
      </c>
      <c r="BX347" s="20" t="str">
        <f t="shared" si="181"/>
        <v>中中中</v>
      </c>
      <c r="BY347" s="23" t="str">
        <f t="shared" si="175"/>
        <v>35</v>
      </c>
      <c r="BZ347" s="24" t="str">
        <f t="array" ref="BZ347">_xlfn.TEXTJOIN("",TRUE,IF(ISNUMBER(FIND(MID(BY346&amp;Q346,ROW($1:$4),1),BY347&amp;Q347)),MID(BY346&amp;Q346,ROW($1:$4),1),""))</f>
        <v/>
      </c>
      <c r="CA347" s="25" t="str">
        <f t="array" ref="CA347">_xlfn.TEXTJOIN("",TRUE,IF(ISERROR(FIND(ROW($1:$10)-1,BY347&amp;BZ347)),ROW($1:$10)-1,""))</f>
        <v>01246789</v>
      </c>
      <c r="CB347" s="26" t="str">
        <f t="shared" si="182"/>
        <v>邻孤孤</v>
      </c>
      <c r="CC347" s="27" t="str">
        <f t="shared" si="183"/>
        <v>35</v>
      </c>
      <c r="CD347" s="27" t="str">
        <f t="array" ref="CD347">_xlfn.TEXTJOIN("",TRUE,IF(ISNUMBER(FIND(MID(CC346&amp;R346,ROW($1:$4),1),CC347&amp;R347)),MID(CC346&amp;R346,ROW($1:$4),1),""))</f>
        <v/>
      </c>
      <c r="CE347" s="27" t="str">
        <f t="array" ref="CE347">_xlfn.TEXTJOIN("",TRUE,IF(ISERROR(FIND(ROW($1:$10)-1,CC347&amp;CD347)),ROW($1:$10)-1,""))</f>
        <v>01246789</v>
      </c>
      <c r="CF347" s="17" t="str">
        <f t="shared" si="184"/>
        <v>邻孤孤</v>
      </c>
      <c r="CG347" s="22" t="str">
        <f t="shared" si="185"/>
        <v>91</v>
      </c>
      <c r="CH347" s="22" t="str">
        <f t="array" ref="CH347">_xlfn.TEXTJOIN("",TRUE,IF(ISNUMBER(FIND(MID(CG346&amp;S346,ROW($1:$4),1),CG347&amp;S347)),MID(CG346&amp;S346,ROW($1:$4),1),""))</f>
        <v>1</v>
      </c>
      <c r="CI347" s="22" t="str">
        <f t="array" ref="CI347">_xlfn.TEXTJOIN("",TRUE,IF(ISERROR(FIND(ROW($1:$10)-1,CG347&amp;CH347)),ROW($1:$10)-1,""))</f>
        <v>02345678</v>
      </c>
      <c r="CJ347" s="28" t="str">
        <f t="shared" si="186"/>
        <v>邻传孤</v>
      </c>
    </row>
    <row r="348" spans="1:88">
      <c r="A348" s="32">
        <v>2025123</v>
      </c>
      <c r="B348" s="8" t="s">
        <v>88</v>
      </c>
      <c r="C348" s="49">
        <f t="shared" si="190"/>
        <v>14</v>
      </c>
      <c r="D348" s="50">
        <f t="shared" si="191"/>
        <v>4</v>
      </c>
      <c r="E348" s="51">
        <f t="shared" si="172"/>
        <v>4.6666666666666696</v>
      </c>
      <c r="F348" s="52">
        <f>MAX(MID(B348,{1,2,3},1)*1)-MIN(MID(B348,{1,2,3},1)*1)</f>
        <v>5</v>
      </c>
      <c r="G348" s="104">
        <v>0</v>
      </c>
      <c r="H348" s="104">
        <v>1</v>
      </c>
      <c r="I348" s="104">
        <v>2</v>
      </c>
      <c r="J348" s="104">
        <v>3</v>
      </c>
      <c r="K348" s="104">
        <v>4</v>
      </c>
      <c r="L348" s="104">
        <v>5</v>
      </c>
      <c r="M348" s="104">
        <v>6</v>
      </c>
      <c r="N348" s="104">
        <v>7</v>
      </c>
      <c r="O348" s="104">
        <v>8</v>
      </c>
      <c r="P348" s="104">
        <v>9</v>
      </c>
      <c r="Q348" s="53">
        <f t="shared" si="192"/>
        <v>5</v>
      </c>
      <c r="R348" s="53">
        <f t="shared" si="193"/>
        <v>2</v>
      </c>
      <c r="S348" s="53">
        <f t="shared" si="194"/>
        <v>3</v>
      </c>
      <c r="T348" s="101">
        <f t="shared" si="173"/>
        <v>10</v>
      </c>
      <c r="U348" s="15" t="str">
        <f>_xlfn.TEXTJOIN(", ",TRUE,ABS(MID(B348,{1,1,2},1)-MID(B348,{2,3,3},1)))</f>
        <v>5, 2, 3</v>
      </c>
      <c r="V348" s="54">
        <v>0</v>
      </c>
      <c r="W348" s="54">
        <v>1</v>
      </c>
      <c r="X348" s="54">
        <v>2</v>
      </c>
      <c r="Y348" s="54">
        <v>3</v>
      </c>
      <c r="Z348" s="54">
        <v>4</v>
      </c>
      <c r="AA348" s="54">
        <v>5</v>
      </c>
      <c r="AB348" s="54">
        <v>6</v>
      </c>
      <c r="AC348" s="54">
        <v>7</v>
      </c>
      <c r="AD348" s="54">
        <v>8</v>
      </c>
      <c r="AE348" s="54">
        <v>9</v>
      </c>
      <c r="AF348" s="55">
        <v>0</v>
      </c>
      <c r="AG348" s="55">
        <v>1</v>
      </c>
      <c r="AH348" s="55">
        <v>2</v>
      </c>
      <c r="AI348" s="55">
        <v>3</v>
      </c>
      <c r="AJ348" s="55">
        <v>4</v>
      </c>
      <c r="AK348" s="55">
        <v>5</v>
      </c>
      <c r="AL348" s="55">
        <v>6</v>
      </c>
      <c r="AM348" s="55">
        <v>7</v>
      </c>
      <c r="AN348" s="55">
        <v>8</v>
      </c>
      <c r="AO348" s="55">
        <v>9</v>
      </c>
      <c r="AP348" s="105">
        <v>0</v>
      </c>
      <c r="AQ348" s="105">
        <v>1</v>
      </c>
      <c r="AR348" s="105">
        <v>2</v>
      </c>
      <c r="AS348" s="105">
        <v>3</v>
      </c>
      <c r="AT348" s="105">
        <v>4</v>
      </c>
      <c r="AU348" s="105">
        <v>5</v>
      </c>
      <c r="AV348" s="105">
        <v>6</v>
      </c>
      <c r="AW348" s="105">
        <v>7</v>
      </c>
      <c r="AX348" s="105">
        <v>8</v>
      </c>
      <c r="AY348" s="105">
        <v>9</v>
      </c>
      <c r="AZ348" s="56">
        <v>0</v>
      </c>
      <c r="BA348" s="56">
        <v>1</v>
      </c>
      <c r="BB348" s="56">
        <v>2</v>
      </c>
      <c r="BC348" s="56">
        <v>3</v>
      </c>
      <c r="BD348" s="56">
        <v>4</v>
      </c>
      <c r="BE348" s="56">
        <v>5</v>
      </c>
      <c r="BF348" s="56">
        <v>6</v>
      </c>
      <c r="BG348" s="56">
        <v>7</v>
      </c>
      <c r="BH348" s="56">
        <v>8</v>
      </c>
      <c r="BI348" s="56">
        <v>9</v>
      </c>
      <c r="BJ348" s="57" t="str">
        <f t="shared" si="174"/>
        <v>标准型</v>
      </c>
      <c r="BK348" s="13">
        <f t="shared" si="170"/>
        <v>2</v>
      </c>
      <c r="BL348" s="13">
        <f t="shared" si="171"/>
        <v>5</v>
      </c>
      <c r="BM348" s="18" t="str">
        <f t="shared" si="176"/>
        <v/>
      </c>
      <c r="BN348" s="19" t="str">
        <f t="shared" si="177"/>
        <v/>
      </c>
      <c r="BO348" s="19" t="str">
        <f t="array" ref="BO348">_xlfn.TEXTJOIN("",TRUE,IF(ISERROR(FIND(ROW($1:$10)-1,BM348&amp;BN348)),ROW($1:$10)-1,""))</f>
        <v>0123456789</v>
      </c>
      <c r="BP348" s="20" t="str">
        <f t="shared" si="178"/>
        <v>中中中</v>
      </c>
      <c r="BQ348" s="21" t="str">
        <f t="shared" si="189"/>
        <v/>
      </c>
      <c r="BR348" s="21">
        <f t="shared" si="187"/>
        <v>2</v>
      </c>
      <c r="BS348" s="21" t="str">
        <f t="array" ref="BS348">_xlfn.TEXTJOIN("",TRUE,IF(ISERROR(FIND(ROW($1:$10)-1,BQ348&amp;BR348)),ROW($1:$10)-1,""))</f>
        <v>013456789</v>
      </c>
      <c r="BT348" s="20" t="str">
        <f t="shared" si="179"/>
        <v>中隔中</v>
      </c>
      <c r="BU348" s="22" t="str">
        <f t="shared" si="180"/>
        <v/>
      </c>
      <c r="BV348" s="22" t="str">
        <f t="shared" si="188"/>
        <v/>
      </c>
      <c r="BW348" s="22" t="str">
        <f t="array" ref="BW348">_xlfn.TEXTJOIN("",TRUE,IF(ISERROR(FIND(ROW($1:$10)-1,BU348&amp;BV348)),ROW($1:$10)-1,""))</f>
        <v>0123456789</v>
      </c>
      <c r="BX348" s="20" t="str">
        <f t="shared" si="181"/>
        <v>中中中</v>
      </c>
      <c r="BY348" s="23" t="str">
        <f t="shared" si="175"/>
        <v>46</v>
      </c>
      <c r="BZ348" s="24" t="str">
        <f t="array" ref="BZ348">_xlfn.TEXTJOIN("",TRUE,IF(ISNUMBER(FIND(MID(BY347&amp;Q347,ROW($1:$4),1),BY348&amp;Q348)),MID(BY347&amp;Q347,ROW($1:$4),1),""))</f>
        <v>54</v>
      </c>
      <c r="CA348" s="25" t="str">
        <f t="array" ref="CA348">_xlfn.TEXTJOIN("",TRUE,IF(ISERROR(FIND(ROW($1:$10)-1,BY348&amp;BZ348)),ROW($1:$10)-1,""))</f>
        <v>0123789</v>
      </c>
      <c r="CB348" s="26" t="str">
        <f t="shared" si="182"/>
        <v>邻传孤</v>
      </c>
      <c r="CC348" s="27" t="str">
        <f t="shared" si="183"/>
        <v>13</v>
      </c>
      <c r="CD348" s="27" t="str">
        <f t="array" ref="CD348">_xlfn.TEXTJOIN("",TRUE,IF(ISNUMBER(FIND(MID(CC347&amp;R347,ROW($1:$4),1),CC348&amp;R348)),MID(CC347&amp;R347,ROW($1:$4),1),""))</f>
        <v>3</v>
      </c>
      <c r="CE348" s="27" t="str">
        <f t="array" ref="CE348">_xlfn.TEXTJOIN("",TRUE,IF(ISERROR(FIND(ROW($1:$10)-1,CC348&amp;CD348)),ROW($1:$10)-1,""))</f>
        <v>02456789</v>
      </c>
      <c r="CF348" s="17" t="str">
        <f t="shared" si="184"/>
        <v>邻传孤</v>
      </c>
      <c r="CG348" s="22" t="str">
        <f t="shared" si="185"/>
        <v>24</v>
      </c>
      <c r="CH348" s="22" t="str">
        <f t="array" ref="CH348">_xlfn.TEXTJOIN("",TRUE,IF(ISNUMBER(FIND(MID(CG347&amp;S347,ROW($1:$4),1),CG348&amp;S348)),MID(CG347&amp;S347,ROW($1:$4),1),""))</f>
        <v/>
      </c>
      <c r="CI348" s="22" t="str">
        <f t="array" ref="CI348">_xlfn.TEXTJOIN("",TRUE,IF(ISERROR(FIND(ROW($1:$10)-1,CG348&amp;CH348)),ROW($1:$10)-1,""))</f>
        <v>01356789</v>
      </c>
      <c r="CJ348" s="28" t="str">
        <f t="shared" si="186"/>
        <v>邻孤孤</v>
      </c>
    </row>
    <row r="349" spans="1:88">
      <c r="A349" s="32">
        <v>2025124</v>
      </c>
      <c r="B349" s="8" t="s">
        <v>307</v>
      </c>
      <c r="C349" s="49">
        <f t="shared" si="190"/>
        <v>17</v>
      </c>
      <c r="D349" s="50">
        <f t="shared" si="191"/>
        <v>7</v>
      </c>
      <c r="E349" s="51">
        <f t="shared" si="172"/>
        <v>5.6666666666666696</v>
      </c>
      <c r="F349" s="52">
        <f>MAX(MID(B349,{1,2,3},1)*1)-MIN(MID(B349,{1,2,3},1)*1)</f>
        <v>9</v>
      </c>
      <c r="G349" s="104">
        <v>0</v>
      </c>
      <c r="H349" s="104">
        <v>1</v>
      </c>
      <c r="I349" s="104">
        <v>2</v>
      </c>
      <c r="J349" s="104">
        <v>3</v>
      </c>
      <c r="K349" s="104">
        <v>4</v>
      </c>
      <c r="L349" s="104">
        <v>5</v>
      </c>
      <c r="M349" s="104">
        <v>6</v>
      </c>
      <c r="N349" s="104">
        <v>7</v>
      </c>
      <c r="O349" s="104">
        <v>8</v>
      </c>
      <c r="P349" s="104">
        <v>9</v>
      </c>
      <c r="Q349" s="53">
        <f t="shared" si="192"/>
        <v>8</v>
      </c>
      <c r="R349" s="53">
        <f t="shared" si="193"/>
        <v>1</v>
      </c>
      <c r="S349" s="53">
        <f t="shared" si="194"/>
        <v>9</v>
      </c>
      <c r="T349" s="101">
        <f t="shared" si="173"/>
        <v>18</v>
      </c>
      <c r="U349" s="15" t="str">
        <f>_xlfn.TEXTJOIN(", ",TRUE,ABS(MID(B349,{1,1,2},1)-MID(B349,{2,3,3},1)))</f>
        <v>8, 1, 9</v>
      </c>
      <c r="V349" s="54">
        <v>0</v>
      </c>
      <c r="W349" s="54">
        <v>1</v>
      </c>
      <c r="X349" s="54">
        <v>2</v>
      </c>
      <c r="Y349" s="54">
        <v>3</v>
      </c>
      <c r="Z349" s="54">
        <v>4</v>
      </c>
      <c r="AA349" s="54">
        <v>5</v>
      </c>
      <c r="AB349" s="54">
        <v>6</v>
      </c>
      <c r="AC349" s="54">
        <v>7</v>
      </c>
      <c r="AD349" s="54">
        <v>8</v>
      </c>
      <c r="AE349" s="54">
        <v>9</v>
      </c>
      <c r="AF349" s="55">
        <v>0</v>
      </c>
      <c r="AG349" s="55">
        <v>1</v>
      </c>
      <c r="AH349" s="55">
        <v>2</v>
      </c>
      <c r="AI349" s="55">
        <v>3</v>
      </c>
      <c r="AJ349" s="55">
        <v>4</v>
      </c>
      <c r="AK349" s="55">
        <v>5</v>
      </c>
      <c r="AL349" s="55">
        <v>6</v>
      </c>
      <c r="AM349" s="55">
        <v>7</v>
      </c>
      <c r="AN349" s="55">
        <v>8</v>
      </c>
      <c r="AO349" s="55">
        <v>9</v>
      </c>
      <c r="AP349" s="105">
        <v>0</v>
      </c>
      <c r="AQ349" s="105">
        <v>1</v>
      </c>
      <c r="AR349" s="105">
        <v>2</v>
      </c>
      <c r="AS349" s="105">
        <v>3</v>
      </c>
      <c r="AT349" s="105">
        <v>4</v>
      </c>
      <c r="AU349" s="105">
        <v>5</v>
      </c>
      <c r="AV349" s="105">
        <v>6</v>
      </c>
      <c r="AW349" s="105">
        <v>7</v>
      </c>
      <c r="AX349" s="105">
        <v>8</v>
      </c>
      <c r="AY349" s="105">
        <v>9</v>
      </c>
      <c r="AZ349" s="56">
        <v>0</v>
      </c>
      <c r="BA349" s="56">
        <v>1</v>
      </c>
      <c r="BB349" s="56">
        <v>2</v>
      </c>
      <c r="BC349" s="56">
        <v>3</v>
      </c>
      <c r="BD349" s="56">
        <v>4</v>
      </c>
      <c r="BE349" s="56">
        <v>5</v>
      </c>
      <c r="BF349" s="56">
        <v>6</v>
      </c>
      <c r="BG349" s="56">
        <v>7</v>
      </c>
      <c r="BH349" s="56">
        <v>8</v>
      </c>
      <c r="BI349" s="56">
        <v>9</v>
      </c>
      <c r="BJ349" s="57" t="str">
        <f t="shared" si="174"/>
        <v>松散型</v>
      </c>
      <c r="BK349" s="13">
        <f t="shared" si="170"/>
        <v>1</v>
      </c>
      <c r="BL349" s="13">
        <f t="shared" si="171"/>
        <v>9</v>
      </c>
      <c r="BM349" s="18" t="str">
        <f t="shared" si="176"/>
        <v/>
      </c>
      <c r="BN349" s="19" t="str">
        <f t="shared" si="177"/>
        <v/>
      </c>
      <c r="BO349" s="19" t="str">
        <f t="array" ref="BO349">_xlfn.TEXTJOIN("",TRUE,IF(ISERROR(FIND(ROW($1:$10)-1,BM349&amp;BN349)),ROW($1:$10)-1,""))</f>
        <v>0123456789</v>
      </c>
      <c r="BP349" s="20" t="str">
        <f t="shared" si="178"/>
        <v>中中中</v>
      </c>
      <c r="BQ349" s="21" t="str">
        <f t="shared" si="189"/>
        <v/>
      </c>
      <c r="BR349" s="21" t="str">
        <f t="shared" si="187"/>
        <v/>
      </c>
      <c r="BS349" s="21" t="str">
        <f t="array" ref="BS349">_xlfn.TEXTJOIN("",TRUE,IF(ISERROR(FIND(ROW($1:$10)-1,BQ349&amp;BR349)),ROW($1:$10)-1,""))</f>
        <v>0123456789</v>
      </c>
      <c r="BT349" s="20" t="str">
        <f t="shared" si="179"/>
        <v>中中中</v>
      </c>
      <c r="BU349" s="22" t="str">
        <f t="shared" si="180"/>
        <v/>
      </c>
      <c r="BV349" s="22" t="str">
        <f t="shared" si="188"/>
        <v/>
      </c>
      <c r="BW349" s="22" t="str">
        <f t="array" ref="BW349">_xlfn.TEXTJOIN("",TRUE,IF(ISERROR(FIND(ROW($1:$10)-1,BU349&amp;BV349)),ROW($1:$10)-1,""))</f>
        <v>0123456789</v>
      </c>
      <c r="BX349" s="20" t="str">
        <f t="shared" si="181"/>
        <v>中中中</v>
      </c>
      <c r="BY349" s="23" t="str">
        <f t="shared" si="175"/>
        <v>79</v>
      </c>
      <c r="BZ349" s="24" t="str">
        <f t="array" ref="BZ349">_xlfn.TEXTJOIN("",TRUE,IF(ISNUMBER(FIND(MID(BY348&amp;Q348,ROW($1:$4),1),BY349&amp;Q349)),MID(BY348&amp;Q348,ROW($1:$4),1),""))</f>
        <v/>
      </c>
      <c r="CA349" s="25" t="str">
        <f t="array" ref="CA349">_xlfn.TEXTJOIN("",TRUE,IF(ISERROR(FIND(ROW($1:$10)-1,BY349&amp;BZ349)),ROW($1:$10)-1,""))</f>
        <v>01234568</v>
      </c>
      <c r="CB349" s="26" t="str">
        <f t="shared" si="182"/>
        <v>邻孤孤</v>
      </c>
      <c r="CC349" s="27" t="str">
        <f t="shared" si="183"/>
        <v>02</v>
      </c>
      <c r="CD349" s="27" t="str">
        <f t="array" ref="CD349">_xlfn.TEXTJOIN("",TRUE,IF(ISNUMBER(FIND(MID(CC348&amp;R348,ROW($1:$4),1),CC349&amp;R349)),MID(CC348&amp;R348,ROW($1:$4),1),""))</f>
        <v>12</v>
      </c>
      <c r="CE349" s="27" t="str">
        <f t="array" ref="CE349">_xlfn.TEXTJOIN("",TRUE,IF(ISERROR(FIND(ROW($1:$10)-1,CC349&amp;CD349)),ROW($1:$10)-1,""))</f>
        <v>3456789</v>
      </c>
      <c r="CF349" s="17" t="str">
        <f t="shared" si="184"/>
        <v>邻传孤</v>
      </c>
      <c r="CG349" s="22" t="str">
        <f t="shared" si="185"/>
        <v>80</v>
      </c>
      <c r="CH349" s="22" t="str">
        <f t="array" ref="CH349">_xlfn.TEXTJOIN("",TRUE,IF(ISNUMBER(FIND(MID(CG348&amp;S348,ROW($1:$4),1),CG349&amp;S349)),MID(CG348&amp;S348,ROW($1:$4),1),""))</f>
        <v/>
      </c>
      <c r="CI349" s="22" t="str">
        <f t="array" ref="CI349">_xlfn.TEXTJOIN("",TRUE,IF(ISERROR(FIND(ROW($1:$10)-1,CG349&amp;CH349)),ROW($1:$10)-1,""))</f>
        <v>12345679</v>
      </c>
      <c r="CJ349" s="28" t="str">
        <f t="shared" si="186"/>
        <v>邻孤孤</v>
      </c>
    </row>
    <row r="350" spans="1:88">
      <c r="A350" s="32">
        <v>2025125</v>
      </c>
      <c r="B350" s="8" t="s">
        <v>308</v>
      </c>
      <c r="C350" s="49">
        <f t="shared" si="190"/>
        <v>9</v>
      </c>
      <c r="D350" s="50">
        <f t="shared" si="191"/>
        <v>9</v>
      </c>
      <c r="E350" s="51">
        <f t="shared" si="172"/>
        <v>3</v>
      </c>
      <c r="F350" s="52">
        <f>MAX(MID(B350,{1,2,3},1)*1)-MIN(MID(B350,{1,2,3},1)*1)</f>
        <v>4</v>
      </c>
      <c r="G350" s="104">
        <v>0</v>
      </c>
      <c r="H350" s="104">
        <v>1</v>
      </c>
      <c r="I350" s="104">
        <v>2</v>
      </c>
      <c r="J350" s="104">
        <v>3</v>
      </c>
      <c r="K350" s="104">
        <v>4</v>
      </c>
      <c r="L350" s="104">
        <v>5</v>
      </c>
      <c r="M350" s="104">
        <v>6</v>
      </c>
      <c r="N350" s="104">
        <v>7</v>
      </c>
      <c r="O350" s="104">
        <v>8</v>
      </c>
      <c r="P350" s="104">
        <v>9</v>
      </c>
      <c r="Q350" s="53">
        <f t="shared" si="192"/>
        <v>2</v>
      </c>
      <c r="R350" s="53">
        <f t="shared" si="193"/>
        <v>2</v>
      </c>
      <c r="S350" s="53">
        <f t="shared" si="194"/>
        <v>4</v>
      </c>
      <c r="T350" s="101">
        <f t="shared" si="173"/>
        <v>8</v>
      </c>
      <c r="U350" s="15" t="str">
        <f>_xlfn.TEXTJOIN(", ",TRUE,ABS(MID(B350,{1,1,2},1)-MID(B350,{2,3,3},1)))</f>
        <v>2, 2, 4</v>
      </c>
      <c r="V350" s="54">
        <v>0</v>
      </c>
      <c r="W350" s="54">
        <v>1</v>
      </c>
      <c r="X350" s="54">
        <v>2</v>
      </c>
      <c r="Y350" s="54">
        <v>3</v>
      </c>
      <c r="Z350" s="54">
        <v>4</v>
      </c>
      <c r="AA350" s="54">
        <v>5</v>
      </c>
      <c r="AB350" s="54">
        <v>6</v>
      </c>
      <c r="AC350" s="54">
        <v>7</v>
      </c>
      <c r="AD350" s="54">
        <v>8</v>
      </c>
      <c r="AE350" s="54">
        <v>9</v>
      </c>
      <c r="AF350" s="55">
        <v>0</v>
      </c>
      <c r="AG350" s="55">
        <v>1</v>
      </c>
      <c r="AH350" s="55">
        <v>2</v>
      </c>
      <c r="AI350" s="55">
        <v>3</v>
      </c>
      <c r="AJ350" s="55">
        <v>4</v>
      </c>
      <c r="AK350" s="55">
        <v>5</v>
      </c>
      <c r="AL350" s="55">
        <v>6</v>
      </c>
      <c r="AM350" s="55">
        <v>7</v>
      </c>
      <c r="AN350" s="55">
        <v>8</v>
      </c>
      <c r="AO350" s="55">
        <v>9</v>
      </c>
      <c r="AP350" s="105">
        <v>0</v>
      </c>
      <c r="AQ350" s="105">
        <v>1</v>
      </c>
      <c r="AR350" s="105">
        <v>2</v>
      </c>
      <c r="AS350" s="105">
        <v>3</v>
      </c>
      <c r="AT350" s="105">
        <v>4</v>
      </c>
      <c r="AU350" s="105">
        <v>5</v>
      </c>
      <c r="AV350" s="105">
        <v>6</v>
      </c>
      <c r="AW350" s="105">
        <v>7</v>
      </c>
      <c r="AX350" s="105">
        <v>8</v>
      </c>
      <c r="AY350" s="105">
        <v>9</v>
      </c>
      <c r="AZ350" s="56">
        <v>0</v>
      </c>
      <c r="BA350" s="56">
        <v>1</v>
      </c>
      <c r="BB350" s="56">
        <v>2</v>
      </c>
      <c r="BC350" s="56">
        <v>3</v>
      </c>
      <c r="BD350" s="56">
        <v>4</v>
      </c>
      <c r="BE350" s="56">
        <v>5</v>
      </c>
      <c r="BF350" s="56">
        <v>6</v>
      </c>
      <c r="BG350" s="56">
        <v>7</v>
      </c>
      <c r="BH350" s="56">
        <v>8</v>
      </c>
      <c r="BI350" s="56">
        <v>9</v>
      </c>
      <c r="BJ350" s="57" t="str">
        <f t="shared" si="174"/>
        <v>标准型</v>
      </c>
      <c r="BK350" s="13">
        <f t="shared" si="170"/>
        <v>2</v>
      </c>
      <c r="BL350" s="13">
        <f t="shared" si="171"/>
        <v>4</v>
      </c>
      <c r="BM350" s="18" t="str">
        <f t="shared" si="176"/>
        <v/>
      </c>
      <c r="BN350" s="19">
        <f t="shared" si="177"/>
        <v>2</v>
      </c>
      <c r="BO350" s="19" t="str">
        <f t="array" ref="BO350">_xlfn.TEXTJOIN("",TRUE,IF(ISERROR(FIND(ROW($1:$10)-1,BM350&amp;BN350)),ROW($1:$10)-1,""))</f>
        <v>013456789</v>
      </c>
      <c r="BP350" s="20" t="str">
        <f t="shared" si="178"/>
        <v>中隔中</v>
      </c>
      <c r="BQ350" s="21" t="str">
        <f t="shared" si="189"/>
        <v/>
      </c>
      <c r="BR350" s="21">
        <f t="shared" si="187"/>
        <v>2</v>
      </c>
      <c r="BS350" s="21" t="str">
        <f t="array" ref="BS350">_xlfn.TEXTJOIN("",TRUE,IF(ISERROR(FIND(ROW($1:$10)-1,BQ350&amp;BR350)),ROW($1:$10)-1,""))</f>
        <v>013456789</v>
      </c>
      <c r="BT350" s="20" t="str">
        <f t="shared" si="179"/>
        <v>中隔中</v>
      </c>
      <c r="BU350" s="22" t="str">
        <f t="shared" si="180"/>
        <v/>
      </c>
      <c r="BV350" s="22" t="str">
        <f t="shared" si="188"/>
        <v/>
      </c>
      <c r="BW350" s="22" t="str">
        <f t="array" ref="BW350">_xlfn.TEXTJOIN("",TRUE,IF(ISERROR(FIND(ROW($1:$10)-1,BU350&amp;BV350)),ROW($1:$10)-1,""))</f>
        <v>0123456789</v>
      </c>
      <c r="BX350" s="20" t="str">
        <f t="shared" si="181"/>
        <v>中中中</v>
      </c>
      <c r="BY350" s="23" t="str">
        <f t="shared" si="175"/>
        <v>13</v>
      </c>
      <c r="BZ350" s="24" t="str">
        <f t="array" ref="BZ350">_xlfn.TEXTJOIN("",TRUE,IF(ISNUMBER(FIND(MID(BY349&amp;Q349,ROW($1:$4),1),BY350&amp;Q350)),MID(BY349&amp;Q349,ROW($1:$4),1),""))</f>
        <v/>
      </c>
      <c r="CA350" s="25" t="str">
        <f t="array" ref="CA350">_xlfn.TEXTJOIN("",TRUE,IF(ISERROR(FIND(ROW($1:$10)-1,BY350&amp;BZ350)),ROW($1:$10)-1,""))</f>
        <v>02456789</v>
      </c>
      <c r="CB350" s="26" t="str">
        <f t="shared" si="182"/>
        <v>邻孤孤</v>
      </c>
      <c r="CC350" s="27" t="str">
        <f t="shared" si="183"/>
        <v>13</v>
      </c>
      <c r="CD350" s="27" t="str">
        <f t="array" ref="CD350">_xlfn.TEXTJOIN("",TRUE,IF(ISNUMBER(FIND(MID(CC349&amp;R349,ROW($1:$4),1),CC350&amp;R350)),MID(CC349&amp;R349,ROW($1:$4),1),""))</f>
        <v>21</v>
      </c>
      <c r="CE350" s="27" t="str">
        <f t="array" ref="CE350">_xlfn.TEXTJOIN("",TRUE,IF(ISERROR(FIND(ROW($1:$10)-1,CC350&amp;CD350)),ROW($1:$10)-1,""))</f>
        <v>0456789</v>
      </c>
      <c r="CF350" s="17" t="str">
        <f t="shared" si="184"/>
        <v>邻传孤</v>
      </c>
      <c r="CG350" s="22" t="str">
        <f t="shared" si="185"/>
        <v>35</v>
      </c>
      <c r="CH350" s="22" t="str">
        <f t="array" ref="CH350">_xlfn.TEXTJOIN("",TRUE,IF(ISNUMBER(FIND(MID(CG349&amp;S349,ROW($1:$4),1),CG350&amp;S350)),MID(CG349&amp;S349,ROW($1:$4),1),""))</f>
        <v/>
      </c>
      <c r="CI350" s="22" t="str">
        <f t="array" ref="CI350">_xlfn.TEXTJOIN("",TRUE,IF(ISERROR(FIND(ROW($1:$10)-1,CG350&amp;CH350)),ROW($1:$10)-1,""))</f>
        <v>01246789</v>
      </c>
      <c r="CJ350" s="28" t="str">
        <f t="shared" si="186"/>
        <v>邻孤孤</v>
      </c>
    </row>
    <row r="351" spans="1:88">
      <c r="A351" s="32">
        <v>2025126</v>
      </c>
      <c r="B351" s="8" t="s">
        <v>303</v>
      </c>
      <c r="C351" s="49">
        <f t="shared" si="190"/>
        <v>5</v>
      </c>
      <c r="D351" s="50">
        <f t="shared" si="191"/>
        <v>5</v>
      </c>
      <c r="E351" s="51">
        <f t="shared" si="172"/>
        <v>1.6666666666666701</v>
      </c>
      <c r="F351" s="52">
        <f>MAX(MID(B351,{1,2,3},1)*1)-MIN(MID(B351,{1,2,3},1)*1)</f>
        <v>3</v>
      </c>
      <c r="G351" s="104">
        <v>0</v>
      </c>
      <c r="H351" s="104">
        <v>1</v>
      </c>
      <c r="I351" s="104">
        <v>2</v>
      </c>
      <c r="J351" s="104">
        <v>3</v>
      </c>
      <c r="K351" s="104">
        <v>4</v>
      </c>
      <c r="L351" s="104">
        <v>5</v>
      </c>
      <c r="M351" s="104">
        <v>6</v>
      </c>
      <c r="N351" s="104">
        <v>7</v>
      </c>
      <c r="O351" s="104">
        <v>8</v>
      </c>
      <c r="P351" s="104">
        <v>9</v>
      </c>
      <c r="Q351" s="53">
        <f t="shared" si="192"/>
        <v>1</v>
      </c>
      <c r="R351" s="53">
        <f t="shared" si="193"/>
        <v>3</v>
      </c>
      <c r="S351" s="53">
        <f t="shared" si="194"/>
        <v>2</v>
      </c>
      <c r="T351" s="101">
        <f t="shared" si="173"/>
        <v>6</v>
      </c>
      <c r="U351" s="15" t="str">
        <f>_xlfn.TEXTJOIN(", ",TRUE,ABS(MID(B351,{1,1,2},1)-MID(B351,{2,3,3},1)))</f>
        <v>1, 3, 2</v>
      </c>
      <c r="V351" s="54">
        <v>0</v>
      </c>
      <c r="W351" s="54">
        <v>1</v>
      </c>
      <c r="X351" s="54">
        <v>2</v>
      </c>
      <c r="Y351" s="54">
        <v>3</v>
      </c>
      <c r="Z351" s="54">
        <v>4</v>
      </c>
      <c r="AA351" s="54">
        <v>5</v>
      </c>
      <c r="AB351" s="54">
        <v>6</v>
      </c>
      <c r="AC351" s="54">
        <v>7</v>
      </c>
      <c r="AD351" s="54">
        <v>8</v>
      </c>
      <c r="AE351" s="54">
        <v>9</v>
      </c>
      <c r="AF351" s="55">
        <v>0</v>
      </c>
      <c r="AG351" s="55">
        <v>1</v>
      </c>
      <c r="AH351" s="55">
        <v>2</v>
      </c>
      <c r="AI351" s="55">
        <v>3</v>
      </c>
      <c r="AJ351" s="55">
        <v>4</v>
      </c>
      <c r="AK351" s="55">
        <v>5</v>
      </c>
      <c r="AL351" s="55">
        <v>6</v>
      </c>
      <c r="AM351" s="55">
        <v>7</v>
      </c>
      <c r="AN351" s="55">
        <v>8</v>
      </c>
      <c r="AO351" s="55">
        <v>9</v>
      </c>
      <c r="AP351" s="105">
        <v>0</v>
      </c>
      <c r="AQ351" s="105">
        <v>1</v>
      </c>
      <c r="AR351" s="105">
        <v>2</v>
      </c>
      <c r="AS351" s="105">
        <v>3</v>
      </c>
      <c r="AT351" s="105">
        <v>4</v>
      </c>
      <c r="AU351" s="105">
        <v>5</v>
      </c>
      <c r="AV351" s="105">
        <v>6</v>
      </c>
      <c r="AW351" s="105">
        <v>7</v>
      </c>
      <c r="AX351" s="105">
        <v>8</v>
      </c>
      <c r="AY351" s="105">
        <v>9</v>
      </c>
      <c r="AZ351" s="56">
        <v>0</v>
      </c>
      <c r="BA351" s="56">
        <v>1</v>
      </c>
      <c r="BB351" s="56">
        <v>2</v>
      </c>
      <c r="BC351" s="56">
        <v>3</v>
      </c>
      <c r="BD351" s="56">
        <v>4</v>
      </c>
      <c r="BE351" s="56">
        <v>5</v>
      </c>
      <c r="BF351" s="56">
        <v>6</v>
      </c>
      <c r="BG351" s="56">
        <v>7</v>
      </c>
      <c r="BH351" s="56">
        <v>8</v>
      </c>
      <c r="BI351" s="56">
        <v>9</v>
      </c>
      <c r="BJ351" s="57" t="str">
        <f t="shared" si="174"/>
        <v>紧凑型</v>
      </c>
      <c r="BK351" s="13">
        <f t="shared" si="170"/>
        <v>1</v>
      </c>
      <c r="BL351" s="13">
        <f t="shared" si="171"/>
        <v>3</v>
      </c>
      <c r="BM351" s="18" t="str">
        <f t="shared" si="176"/>
        <v/>
      </c>
      <c r="BN351" s="19">
        <f t="shared" si="177"/>
        <v>1</v>
      </c>
      <c r="BO351" s="19" t="str">
        <f t="array" ref="BO351">_xlfn.TEXTJOIN("",TRUE,IF(ISERROR(FIND(ROW($1:$10)-1,BM351&amp;BN351)),ROW($1:$10)-1,""))</f>
        <v>023456789</v>
      </c>
      <c r="BP351" s="20" t="str">
        <f t="shared" si="178"/>
        <v>中隔中</v>
      </c>
      <c r="BQ351" s="21" t="str">
        <f t="shared" si="189"/>
        <v/>
      </c>
      <c r="BR351" s="21" t="str">
        <f t="shared" si="187"/>
        <v/>
      </c>
      <c r="BS351" s="21" t="str">
        <f t="array" ref="BS351">_xlfn.TEXTJOIN("",TRUE,IF(ISERROR(FIND(ROW($1:$10)-1,BQ351&amp;BR351)),ROW($1:$10)-1,""))</f>
        <v>0123456789</v>
      </c>
      <c r="BT351" s="20" t="str">
        <f t="shared" si="179"/>
        <v>中中中</v>
      </c>
      <c r="BU351" s="22">
        <f t="shared" si="180"/>
        <v>2</v>
      </c>
      <c r="BV351" s="22" t="str">
        <f t="shared" si="188"/>
        <v/>
      </c>
      <c r="BW351" s="22" t="str">
        <f t="array" ref="BW351">_xlfn.TEXTJOIN("",TRUE,IF(ISERROR(FIND(ROW($1:$10)-1,BU351&amp;BV351)),ROW($1:$10)-1,""))</f>
        <v>013456789</v>
      </c>
      <c r="BX351" s="20" t="str">
        <f t="shared" si="181"/>
        <v>复中中</v>
      </c>
      <c r="BY351" s="23" t="str">
        <f t="shared" si="175"/>
        <v>02</v>
      </c>
      <c r="BZ351" s="24" t="str">
        <f t="array" ref="BZ351">_xlfn.TEXTJOIN("",TRUE,IF(ISNUMBER(FIND(MID(BY350&amp;Q350,ROW($1:$4),1),BY351&amp;Q351)),MID(BY350&amp;Q350,ROW($1:$4),1),""))</f>
        <v>12</v>
      </c>
      <c r="CA351" s="25" t="str">
        <f t="array" ref="CA351">_xlfn.TEXTJOIN("",TRUE,IF(ISERROR(FIND(ROW($1:$10)-1,BY351&amp;BZ351)),ROW($1:$10)-1,""))</f>
        <v>3456789</v>
      </c>
      <c r="CB351" s="26" t="str">
        <f t="shared" si="182"/>
        <v>邻传孤</v>
      </c>
      <c r="CC351" s="27" t="str">
        <f t="shared" si="183"/>
        <v>24</v>
      </c>
      <c r="CD351" s="27" t="str">
        <f t="array" ref="CD351">_xlfn.TEXTJOIN("",TRUE,IF(ISNUMBER(FIND(MID(CC350&amp;R350,ROW($1:$4),1),CC351&amp;R351)),MID(CC350&amp;R350,ROW($1:$4),1),""))</f>
        <v>32</v>
      </c>
      <c r="CE351" s="27" t="str">
        <f t="array" ref="CE351">_xlfn.TEXTJOIN("",TRUE,IF(ISERROR(FIND(ROW($1:$10)-1,CC351&amp;CD351)),ROW($1:$10)-1,""))</f>
        <v>0156789</v>
      </c>
      <c r="CF351" s="17" t="str">
        <f t="shared" si="184"/>
        <v>邻传孤</v>
      </c>
      <c r="CG351" s="22" t="str">
        <f t="shared" si="185"/>
        <v>13</v>
      </c>
      <c r="CH351" s="22" t="str">
        <f t="array" ref="CH351">_xlfn.TEXTJOIN("",TRUE,IF(ISNUMBER(FIND(MID(CG350&amp;S350,ROW($1:$4),1),CG351&amp;S351)),MID(CG350&amp;S350,ROW($1:$4),1),""))</f>
        <v>3</v>
      </c>
      <c r="CI351" s="22" t="str">
        <f t="array" ref="CI351">_xlfn.TEXTJOIN("",TRUE,IF(ISERROR(FIND(ROW($1:$10)-1,CG351&amp;CH351)),ROW($1:$10)-1,""))</f>
        <v>02456789</v>
      </c>
      <c r="CJ351" s="28" t="str">
        <f t="shared" si="186"/>
        <v>邻传孤</v>
      </c>
    </row>
    <row r="352" spans="1:88">
      <c r="A352" s="32">
        <v>2025127</v>
      </c>
      <c r="B352" s="8" t="s">
        <v>309</v>
      </c>
      <c r="C352" s="49">
        <f t="shared" si="190"/>
        <v>8</v>
      </c>
      <c r="D352" s="50">
        <f t="shared" si="191"/>
        <v>8</v>
      </c>
      <c r="E352" s="51">
        <f t="shared" si="172"/>
        <v>2.6666666666666701</v>
      </c>
      <c r="F352" s="52">
        <f>MAX(MID(B352,{1,2,3},1)*1)-MIN(MID(B352,{1,2,3},1)*1)</f>
        <v>3</v>
      </c>
      <c r="G352" s="104">
        <v>0</v>
      </c>
      <c r="H352" s="104">
        <v>1</v>
      </c>
      <c r="I352" s="104">
        <v>2</v>
      </c>
      <c r="J352" s="104">
        <v>3</v>
      </c>
      <c r="K352" s="104">
        <v>4</v>
      </c>
      <c r="L352" s="104">
        <v>5</v>
      </c>
      <c r="M352" s="104">
        <v>6</v>
      </c>
      <c r="N352" s="104">
        <v>7</v>
      </c>
      <c r="O352" s="104">
        <v>8</v>
      </c>
      <c r="P352" s="104">
        <v>9</v>
      </c>
      <c r="Q352" s="53">
        <f t="shared" si="192"/>
        <v>1</v>
      </c>
      <c r="R352" s="53">
        <f t="shared" si="193"/>
        <v>3</v>
      </c>
      <c r="S352" s="53">
        <f t="shared" si="194"/>
        <v>2</v>
      </c>
      <c r="T352" s="101">
        <f t="shared" si="173"/>
        <v>6</v>
      </c>
      <c r="U352" s="15" t="str">
        <f>_xlfn.TEXTJOIN(", ",TRUE,ABS(MID(B352,{1,1,2},1)-MID(B352,{2,3,3},1)))</f>
        <v>1, 3, 2</v>
      </c>
      <c r="V352" s="54">
        <v>0</v>
      </c>
      <c r="W352" s="54">
        <v>1</v>
      </c>
      <c r="X352" s="54">
        <v>2</v>
      </c>
      <c r="Y352" s="54">
        <v>3</v>
      </c>
      <c r="Z352" s="54">
        <v>4</v>
      </c>
      <c r="AA352" s="54">
        <v>5</v>
      </c>
      <c r="AB352" s="54">
        <v>6</v>
      </c>
      <c r="AC352" s="54">
        <v>7</v>
      </c>
      <c r="AD352" s="54">
        <v>8</v>
      </c>
      <c r="AE352" s="54">
        <v>9</v>
      </c>
      <c r="AF352" s="55">
        <v>0</v>
      </c>
      <c r="AG352" s="55">
        <v>1</v>
      </c>
      <c r="AH352" s="55">
        <v>2</v>
      </c>
      <c r="AI352" s="55">
        <v>3</v>
      </c>
      <c r="AJ352" s="55">
        <v>4</v>
      </c>
      <c r="AK352" s="55">
        <v>5</v>
      </c>
      <c r="AL352" s="55">
        <v>6</v>
      </c>
      <c r="AM352" s="55">
        <v>7</v>
      </c>
      <c r="AN352" s="55">
        <v>8</v>
      </c>
      <c r="AO352" s="55">
        <v>9</v>
      </c>
      <c r="AP352" s="105">
        <v>0</v>
      </c>
      <c r="AQ352" s="105">
        <v>1</v>
      </c>
      <c r="AR352" s="105">
        <v>2</v>
      </c>
      <c r="AS352" s="105">
        <v>3</v>
      </c>
      <c r="AT352" s="105">
        <v>4</v>
      </c>
      <c r="AU352" s="105">
        <v>5</v>
      </c>
      <c r="AV352" s="105">
        <v>6</v>
      </c>
      <c r="AW352" s="105">
        <v>7</v>
      </c>
      <c r="AX352" s="105">
        <v>8</v>
      </c>
      <c r="AY352" s="105">
        <v>9</v>
      </c>
      <c r="AZ352" s="56">
        <v>0</v>
      </c>
      <c r="BA352" s="56">
        <v>1</v>
      </c>
      <c r="BB352" s="56">
        <v>2</v>
      </c>
      <c r="BC352" s="56">
        <v>3</v>
      </c>
      <c r="BD352" s="56">
        <v>4</v>
      </c>
      <c r="BE352" s="56">
        <v>5</v>
      </c>
      <c r="BF352" s="56">
        <v>6</v>
      </c>
      <c r="BG352" s="56">
        <v>7</v>
      </c>
      <c r="BH352" s="56">
        <v>8</v>
      </c>
      <c r="BI352" s="56">
        <v>9</v>
      </c>
      <c r="BJ352" s="57" t="str">
        <f t="shared" si="174"/>
        <v>紧凑型</v>
      </c>
      <c r="BK352" s="13">
        <f t="shared" si="170"/>
        <v>1</v>
      </c>
      <c r="BL352" s="13">
        <f t="shared" si="171"/>
        <v>3</v>
      </c>
      <c r="BM352" s="18">
        <f t="shared" si="176"/>
        <v>1</v>
      </c>
      <c r="BN352" s="19" t="str">
        <f t="shared" si="177"/>
        <v/>
      </c>
      <c r="BO352" s="19" t="str">
        <f t="array" ref="BO352">_xlfn.TEXTJOIN("",TRUE,IF(ISERROR(FIND(ROW($1:$10)-1,BM352&amp;BN352)),ROW($1:$10)-1,""))</f>
        <v>023456789</v>
      </c>
      <c r="BP352" s="20" t="str">
        <f t="shared" si="178"/>
        <v>复中中</v>
      </c>
      <c r="BQ352" s="21">
        <f t="shared" si="189"/>
        <v>3</v>
      </c>
      <c r="BR352" s="21" t="str">
        <f t="shared" si="187"/>
        <v/>
      </c>
      <c r="BS352" s="21" t="str">
        <f t="array" ref="BS352">_xlfn.TEXTJOIN("",TRUE,IF(ISERROR(FIND(ROW($1:$10)-1,BQ352&amp;BR352)),ROW($1:$10)-1,""))</f>
        <v>012456789</v>
      </c>
      <c r="BT352" s="20" t="str">
        <f t="shared" si="179"/>
        <v>复中中</v>
      </c>
      <c r="BU352" s="22">
        <f t="shared" si="180"/>
        <v>2</v>
      </c>
      <c r="BV352" s="22">
        <f t="shared" si="188"/>
        <v>2</v>
      </c>
      <c r="BW352" s="22" t="str">
        <f t="array" ref="BW352">_xlfn.TEXTJOIN("",TRUE,IF(ISERROR(FIND(ROW($1:$10)-1,BU352&amp;BV352)),ROW($1:$10)-1,""))</f>
        <v>013456789</v>
      </c>
      <c r="BX352" s="20" t="str">
        <f t="shared" si="181"/>
        <v>复隔中</v>
      </c>
      <c r="BY352" s="23" t="str">
        <f t="shared" si="175"/>
        <v>02</v>
      </c>
      <c r="BZ352" s="24" t="str">
        <f t="array" ref="BZ352">_xlfn.TEXTJOIN("",TRUE,IF(ISNUMBER(FIND(MID(BY351&amp;Q351,ROW($1:$4),1),BY352&amp;Q352)),MID(BY351&amp;Q351,ROW($1:$4),1),""))</f>
        <v>021</v>
      </c>
      <c r="CA352" s="25" t="str">
        <f t="array" ref="CA352">_xlfn.TEXTJOIN("",TRUE,IF(ISERROR(FIND(ROW($1:$10)-1,BY352&amp;BZ352)),ROW($1:$10)-1,""))</f>
        <v>3456789</v>
      </c>
      <c r="CB352" s="26" t="str">
        <f t="shared" si="182"/>
        <v>邻传孤</v>
      </c>
      <c r="CC352" s="27" t="str">
        <f t="shared" si="183"/>
        <v>24</v>
      </c>
      <c r="CD352" s="27" t="str">
        <f t="array" ref="CD352">_xlfn.TEXTJOIN("",TRUE,IF(ISNUMBER(FIND(MID(CC351&amp;R351,ROW($1:$4),1),CC352&amp;R352)),MID(CC351&amp;R351,ROW($1:$4),1),""))</f>
        <v>243</v>
      </c>
      <c r="CE352" s="27" t="str">
        <f t="array" ref="CE352">_xlfn.TEXTJOIN("",TRUE,IF(ISERROR(FIND(ROW($1:$10)-1,CC352&amp;CD352)),ROW($1:$10)-1,""))</f>
        <v>0156789</v>
      </c>
      <c r="CF352" s="17" t="str">
        <f t="shared" si="184"/>
        <v>邻传孤</v>
      </c>
      <c r="CG352" s="22" t="str">
        <f t="shared" si="185"/>
        <v>13</v>
      </c>
      <c r="CH352" s="22" t="str">
        <f t="array" ref="CH352">_xlfn.TEXTJOIN("",TRUE,IF(ISNUMBER(FIND(MID(CG351&amp;S351,ROW($1:$4),1),CG352&amp;S352)),MID(CG351&amp;S351,ROW($1:$4),1),""))</f>
        <v>132</v>
      </c>
      <c r="CI352" s="22" t="str">
        <f t="array" ref="CI352">_xlfn.TEXTJOIN("",TRUE,IF(ISERROR(FIND(ROW($1:$10)-1,CG352&amp;CH352)),ROW($1:$10)-1,""))</f>
        <v>0456789</v>
      </c>
      <c r="CJ352" s="28" t="str">
        <f t="shared" si="186"/>
        <v>邻传孤</v>
      </c>
    </row>
    <row r="353" spans="1:88">
      <c r="A353" s="32">
        <v>2025128</v>
      </c>
      <c r="B353" s="8" t="s">
        <v>310</v>
      </c>
      <c r="C353" s="49">
        <f t="shared" si="190"/>
        <v>13</v>
      </c>
      <c r="D353" s="50">
        <f t="shared" si="191"/>
        <v>3</v>
      </c>
      <c r="E353" s="51">
        <f t="shared" si="172"/>
        <v>4.3333333333333304</v>
      </c>
      <c r="F353" s="52">
        <f>MAX(MID(B353,{1,2,3},1)*1)-MIN(MID(B353,{1,2,3},1)*1)</f>
        <v>7</v>
      </c>
      <c r="G353" s="104">
        <v>0</v>
      </c>
      <c r="H353" s="104">
        <v>1</v>
      </c>
      <c r="I353" s="104">
        <v>2</v>
      </c>
      <c r="J353" s="104">
        <v>3</v>
      </c>
      <c r="K353" s="104">
        <v>4</v>
      </c>
      <c r="L353" s="104">
        <v>5</v>
      </c>
      <c r="M353" s="104">
        <v>6</v>
      </c>
      <c r="N353" s="104">
        <v>7</v>
      </c>
      <c r="O353" s="104">
        <v>8</v>
      </c>
      <c r="P353" s="104">
        <v>9</v>
      </c>
      <c r="Q353" s="53">
        <f t="shared" si="192"/>
        <v>7</v>
      </c>
      <c r="R353" s="53">
        <f t="shared" si="193"/>
        <v>4</v>
      </c>
      <c r="S353" s="53">
        <f t="shared" si="194"/>
        <v>3</v>
      </c>
      <c r="T353" s="101">
        <f t="shared" si="173"/>
        <v>14</v>
      </c>
      <c r="U353" s="15" t="str">
        <f>_xlfn.TEXTJOIN(", ",TRUE,ABS(MID(B353,{1,1,2},1)-MID(B353,{2,3,3},1)))</f>
        <v>7, 4, 3</v>
      </c>
      <c r="V353" s="54">
        <v>0</v>
      </c>
      <c r="W353" s="54">
        <v>1</v>
      </c>
      <c r="X353" s="54">
        <v>2</v>
      </c>
      <c r="Y353" s="54">
        <v>3</v>
      </c>
      <c r="Z353" s="54">
        <v>4</v>
      </c>
      <c r="AA353" s="54">
        <v>5</v>
      </c>
      <c r="AB353" s="54">
        <v>6</v>
      </c>
      <c r="AC353" s="54">
        <v>7</v>
      </c>
      <c r="AD353" s="54">
        <v>8</v>
      </c>
      <c r="AE353" s="54">
        <v>9</v>
      </c>
      <c r="AF353" s="55">
        <v>0</v>
      </c>
      <c r="AG353" s="55">
        <v>1</v>
      </c>
      <c r="AH353" s="55">
        <v>2</v>
      </c>
      <c r="AI353" s="55">
        <v>3</v>
      </c>
      <c r="AJ353" s="55">
        <v>4</v>
      </c>
      <c r="AK353" s="55">
        <v>5</v>
      </c>
      <c r="AL353" s="55">
        <v>6</v>
      </c>
      <c r="AM353" s="55">
        <v>7</v>
      </c>
      <c r="AN353" s="55">
        <v>8</v>
      </c>
      <c r="AO353" s="55">
        <v>9</v>
      </c>
      <c r="AP353" s="105">
        <v>0</v>
      </c>
      <c r="AQ353" s="105">
        <v>1</v>
      </c>
      <c r="AR353" s="105">
        <v>2</v>
      </c>
      <c r="AS353" s="105">
        <v>3</v>
      </c>
      <c r="AT353" s="105">
        <v>4</v>
      </c>
      <c r="AU353" s="105">
        <v>5</v>
      </c>
      <c r="AV353" s="105">
        <v>6</v>
      </c>
      <c r="AW353" s="105">
        <v>7</v>
      </c>
      <c r="AX353" s="105">
        <v>8</v>
      </c>
      <c r="AY353" s="105">
        <v>9</v>
      </c>
      <c r="AZ353" s="56">
        <v>0</v>
      </c>
      <c r="BA353" s="56">
        <v>1</v>
      </c>
      <c r="BB353" s="56">
        <v>2</v>
      </c>
      <c r="BC353" s="56">
        <v>3</v>
      </c>
      <c r="BD353" s="56">
        <v>4</v>
      </c>
      <c r="BE353" s="56">
        <v>5</v>
      </c>
      <c r="BF353" s="56">
        <v>6</v>
      </c>
      <c r="BG353" s="56">
        <v>7</v>
      </c>
      <c r="BH353" s="56">
        <v>8</v>
      </c>
      <c r="BI353" s="56">
        <v>9</v>
      </c>
      <c r="BJ353" s="57" t="str">
        <f t="shared" si="174"/>
        <v>松散型</v>
      </c>
      <c r="BK353" s="13">
        <f t="shared" si="170"/>
        <v>3</v>
      </c>
      <c r="BL353" s="13">
        <f t="shared" si="171"/>
        <v>7</v>
      </c>
      <c r="BM353" s="18" t="str">
        <f t="shared" si="176"/>
        <v/>
      </c>
      <c r="BN353" s="19" t="str">
        <f t="shared" si="177"/>
        <v/>
      </c>
      <c r="BO353" s="19" t="str">
        <f t="array" ref="BO353">_xlfn.TEXTJOIN("",TRUE,IF(ISERROR(FIND(ROW($1:$10)-1,BM353&amp;BN353)),ROW($1:$10)-1,""))</f>
        <v>0123456789</v>
      </c>
      <c r="BP353" s="20" t="str">
        <f t="shared" si="178"/>
        <v>中中中</v>
      </c>
      <c r="BQ353" s="21" t="str">
        <f t="shared" si="189"/>
        <v/>
      </c>
      <c r="BR353" s="21" t="str">
        <f t="shared" si="187"/>
        <v/>
      </c>
      <c r="BS353" s="21" t="str">
        <f t="array" ref="BS353">_xlfn.TEXTJOIN("",TRUE,IF(ISERROR(FIND(ROW($1:$10)-1,BQ353&amp;BR353)),ROW($1:$10)-1,""))</f>
        <v>0123456789</v>
      </c>
      <c r="BT353" s="20" t="str">
        <f t="shared" si="179"/>
        <v>中中中</v>
      </c>
      <c r="BU353" s="22">
        <f t="shared" si="180"/>
        <v>3</v>
      </c>
      <c r="BV353" s="22">
        <f t="shared" si="188"/>
        <v>3</v>
      </c>
      <c r="BW353" s="22" t="str">
        <f t="array" ref="BW353">_xlfn.TEXTJOIN("",TRUE,IF(ISERROR(FIND(ROW($1:$10)-1,BU353&amp;BV353)),ROW($1:$10)-1,""))</f>
        <v>012456789</v>
      </c>
      <c r="BX353" s="20" t="str">
        <f t="shared" si="181"/>
        <v>复隔中</v>
      </c>
      <c r="BY353" s="23" t="str">
        <f t="shared" si="175"/>
        <v>68</v>
      </c>
      <c r="BZ353" s="24" t="str">
        <f t="array" ref="BZ353">_xlfn.TEXTJOIN("",TRUE,IF(ISNUMBER(FIND(MID(BY352&amp;Q352,ROW($1:$4),1),BY353&amp;Q353)),MID(BY352&amp;Q352,ROW($1:$4),1),""))</f>
        <v/>
      </c>
      <c r="CA353" s="25" t="str">
        <f t="array" ref="CA353">_xlfn.TEXTJOIN("",TRUE,IF(ISERROR(FIND(ROW($1:$10)-1,BY353&amp;BZ353)),ROW($1:$10)-1,""))</f>
        <v>01234579</v>
      </c>
      <c r="CB353" s="26" t="str">
        <f t="shared" si="182"/>
        <v>邻孤孤</v>
      </c>
      <c r="CC353" s="27" t="str">
        <f t="shared" si="183"/>
        <v>35</v>
      </c>
      <c r="CD353" s="27" t="str">
        <f t="array" ref="CD353">_xlfn.TEXTJOIN("",TRUE,IF(ISNUMBER(FIND(MID(CC352&amp;R352,ROW($1:$4),1),CC353&amp;R353)),MID(CC352&amp;R352,ROW($1:$4),1),""))</f>
        <v>43</v>
      </c>
      <c r="CE353" s="27" t="str">
        <f t="array" ref="CE353">_xlfn.TEXTJOIN("",TRUE,IF(ISERROR(FIND(ROW($1:$10)-1,CC353&amp;CD353)),ROW($1:$10)-1,""))</f>
        <v>0126789</v>
      </c>
      <c r="CF353" s="17" t="str">
        <f t="shared" si="184"/>
        <v>邻传孤</v>
      </c>
      <c r="CG353" s="22" t="str">
        <f t="shared" si="185"/>
        <v>24</v>
      </c>
      <c r="CH353" s="22" t="str">
        <f t="array" ref="CH353">_xlfn.TEXTJOIN("",TRUE,IF(ISNUMBER(FIND(MID(CG352&amp;S352,ROW($1:$4),1),CG353&amp;S353)),MID(CG352&amp;S352,ROW($1:$4),1),""))</f>
        <v>32</v>
      </c>
      <c r="CI353" s="22" t="str">
        <f t="array" ref="CI353">_xlfn.TEXTJOIN("",TRUE,IF(ISERROR(FIND(ROW($1:$10)-1,CG353&amp;CH353)),ROW($1:$10)-1,""))</f>
        <v>0156789</v>
      </c>
      <c r="CJ353" s="28" t="str">
        <f t="shared" si="186"/>
        <v>邻传孤</v>
      </c>
    </row>
    <row r="354" spans="1:88">
      <c r="A354" s="32">
        <v>2025129</v>
      </c>
      <c r="B354" s="8" t="s">
        <v>276</v>
      </c>
      <c r="C354" s="49">
        <f t="shared" si="190"/>
        <v>15</v>
      </c>
      <c r="D354" s="50">
        <f t="shared" si="191"/>
        <v>5</v>
      </c>
      <c r="E354" s="51">
        <f t="shared" si="172"/>
        <v>5</v>
      </c>
      <c r="F354" s="52">
        <f>MAX(MID(B354,{1,2,3},1)*1)-MIN(MID(B354,{1,2,3},1)*1)</f>
        <v>8</v>
      </c>
      <c r="G354" s="104">
        <v>0</v>
      </c>
      <c r="H354" s="104">
        <v>1</v>
      </c>
      <c r="I354" s="104">
        <v>2</v>
      </c>
      <c r="J354" s="104">
        <v>3</v>
      </c>
      <c r="K354" s="104">
        <v>4</v>
      </c>
      <c r="L354" s="104">
        <v>5</v>
      </c>
      <c r="M354" s="104">
        <v>6</v>
      </c>
      <c r="N354" s="104">
        <v>7</v>
      </c>
      <c r="O354" s="104">
        <v>8</v>
      </c>
      <c r="P354" s="104">
        <v>9</v>
      </c>
      <c r="Q354" s="53">
        <f t="shared" si="192"/>
        <v>8</v>
      </c>
      <c r="R354" s="53">
        <f t="shared" si="193"/>
        <v>4</v>
      </c>
      <c r="S354" s="53">
        <f t="shared" si="194"/>
        <v>4</v>
      </c>
      <c r="T354" s="101">
        <f t="shared" si="173"/>
        <v>16</v>
      </c>
      <c r="U354" s="15" t="str">
        <f>_xlfn.TEXTJOIN(", ",TRUE,ABS(MID(B354,{1,1,2},1)-MID(B354,{2,3,3},1)))</f>
        <v>8, 4, 4</v>
      </c>
      <c r="V354" s="54">
        <v>0</v>
      </c>
      <c r="W354" s="54">
        <v>1</v>
      </c>
      <c r="X354" s="54">
        <v>2</v>
      </c>
      <c r="Y354" s="54">
        <v>3</v>
      </c>
      <c r="Z354" s="54">
        <v>4</v>
      </c>
      <c r="AA354" s="54">
        <v>5</v>
      </c>
      <c r="AB354" s="54">
        <v>6</v>
      </c>
      <c r="AC354" s="54">
        <v>7</v>
      </c>
      <c r="AD354" s="54">
        <v>8</v>
      </c>
      <c r="AE354" s="54">
        <v>9</v>
      </c>
      <c r="AF354" s="55">
        <v>0</v>
      </c>
      <c r="AG354" s="55">
        <v>1</v>
      </c>
      <c r="AH354" s="55">
        <v>2</v>
      </c>
      <c r="AI354" s="55">
        <v>3</v>
      </c>
      <c r="AJ354" s="55">
        <v>4</v>
      </c>
      <c r="AK354" s="55">
        <v>5</v>
      </c>
      <c r="AL354" s="55">
        <v>6</v>
      </c>
      <c r="AM354" s="55">
        <v>7</v>
      </c>
      <c r="AN354" s="55">
        <v>8</v>
      </c>
      <c r="AO354" s="55">
        <v>9</v>
      </c>
      <c r="AP354" s="105">
        <v>0</v>
      </c>
      <c r="AQ354" s="105">
        <v>1</v>
      </c>
      <c r="AR354" s="105">
        <v>2</v>
      </c>
      <c r="AS354" s="105">
        <v>3</v>
      </c>
      <c r="AT354" s="105">
        <v>4</v>
      </c>
      <c r="AU354" s="105">
        <v>5</v>
      </c>
      <c r="AV354" s="105">
        <v>6</v>
      </c>
      <c r="AW354" s="105">
        <v>7</v>
      </c>
      <c r="AX354" s="105">
        <v>8</v>
      </c>
      <c r="AY354" s="105">
        <v>9</v>
      </c>
      <c r="AZ354" s="56">
        <v>0</v>
      </c>
      <c r="BA354" s="56">
        <v>1</v>
      </c>
      <c r="BB354" s="56">
        <v>2</v>
      </c>
      <c r="BC354" s="56">
        <v>3</v>
      </c>
      <c r="BD354" s="56">
        <v>4</v>
      </c>
      <c r="BE354" s="56">
        <v>5</v>
      </c>
      <c r="BF354" s="56">
        <v>6</v>
      </c>
      <c r="BG354" s="56">
        <v>7</v>
      </c>
      <c r="BH354" s="56">
        <v>8</v>
      </c>
      <c r="BI354" s="56">
        <v>9</v>
      </c>
      <c r="BJ354" s="57" t="str">
        <f t="shared" si="174"/>
        <v>松散型</v>
      </c>
      <c r="BK354" s="13">
        <f t="shared" si="170"/>
        <v>4</v>
      </c>
      <c r="BL354" s="13">
        <f t="shared" si="171"/>
        <v>8</v>
      </c>
      <c r="BM354" s="18" t="str">
        <f t="shared" si="176"/>
        <v/>
      </c>
      <c r="BN354" s="19" t="str">
        <f t="shared" si="177"/>
        <v/>
      </c>
      <c r="BO354" s="19" t="str">
        <f t="array" ref="BO354">_xlfn.TEXTJOIN("",TRUE,IF(ISERROR(FIND(ROW($1:$10)-1,BM354&amp;BN354)),ROW($1:$10)-1,""))</f>
        <v>0123456789</v>
      </c>
      <c r="BP354" s="20" t="str">
        <f t="shared" si="178"/>
        <v>中中中</v>
      </c>
      <c r="BQ354" s="21">
        <f t="shared" si="189"/>
        <v>4</v>
      </c>
      <c r="BR354" s="21" t="str">
        <f t="shared" si="187"/>
        <v/>
      </c>
      <c r="BS354" s="21" t="str">
        <f t="array" ref="BS354">_xlfn.TEXTJOIN("",TRUE,IF(ISERROR(FIND(ROW($1:$10)-1,BQ354&amp;BR354)),ROW($1:$10)-1,""))</f>
        <v>012356789</v>
      </c>
      <c r="BT354" s="20" t="str">
        <f t="shared" si="179"/>
        <v>复中中</v>
      </c>
      <c r="BU354" s="22">
        <f t="shared" si="180"/>
        <v>4</v>
      </c>
      <c r="BV354" s="22" t="str">
        <f t="shared" si="188"/>
        <v/>
      </c>
      <c r="BW354" s="22" t="str">
        <f t="array" ref="BW354">_xlfn.TEXTJOIN("",TRUE,IF(ISERROR(FIND(ROW($1:$10)-1,BU354&amp;BV354)),ROW($1:$10)-1,""))</f>
        <v>012356789</v>
      </c>
      <c r="BX354" s="20" t="str">
        <f t="shared" si="181"/>
        <v>复中中</v>
      </c>
      <c r="BY354" s="23" t="str">
        <f t="shared" si="175"/>
        <v>79</v>
      </c>
      <c r="BZ354" s="24" t="str">
        <f t="array" ref="BZ354">_xlfn.TEXTJOIN("",TRUE,IF(ISNUMBER(FIND(MID(BY353&amp;Q353,ROW($1:$4),1),BY354&amp;Q354)),MID(BY353&amp;Q353,ROW($1:$4),1),""))</f>
        <v>87</v>
      </c>
      <c r="CA354" s="25" t="str">
        <f t="array" ref="CA354">_xlfn.TEXTJOIN("",TRUE,IF(ISERROR(FIND(ROW($1:$10)-1,BY354&amp;BZ354)),ROW($1:$10)-1,""))</f>
        <v>0123456</v>
      </c>
      <c r="CB354" s="26" t="str">
        <f t="shared" si="182"/>
        <v>邻传孤</v>
      </c>
      <c r="CC354" s="27" t="str">
        <f t="shared" si="183"/>
        <v>35</v>
      </c>
      <c r="CD354" s="27" t="str">
        <f t="array" ref="CD354">_xlfn.TEXTJOIN("",TRUE,IF(ISNUMBER(FIND(MID(CC353&amp;R353,ROW($1:$4),1),CC354&amp;R354)),MID(CC353&amp;R353,ROW($1:$4),1),""))</f>
        <v>354</v>
      </c>
      <c r="CE354" s="27" t="str">
        <f t="array" ref="CE354">_xlfn.TEXTJOIN("",TRUE,IF(ISERROR(FIND(ROW($1:$10)-1,CC354&amp;CD354)),ROW($1:$10)-1,""))</f>
        <v>0126789</v>
      </c>
      <c r="CF354" s="17" t="str">
        <f t="shared" si="184"/>
        <v>邻传孤</v>
      </c>
      <c r="CG354" s="22" t="str">
        <f t="shared" si="185"/>
        <v>35</v>
      </c>
      <c r="CH354" s="22" t="str">
        <f t="array" ref="CH354">_xlfn.TEXTJOIN("",TRUE,IF(ISNUMBER(FIND(MID(CG353&amp;S353,ROW($1:$4),1),CG354&amp;S354)),MID(CG353&amp;S353,ROW($1:$4),1),""))</f>
        <v>43</v>
      </c>
      <c r="CI354" s="22" t="str">
        <f t="array" ref="CI354">_xlfn.TEXTJOIN("",TRUE,IF(ISERROR(FIND(ROW($1:$10)-1,CG354&amp;CH354)),ROW($1:$10)-1,""))</f>
        <v>0126789</v>
      </c>
      <c r="CJ354" s="28" t="str">
        <f t="shared" si="186"/>
        <v>邻传孤</v>
      </c>
    </row>
    <row r="355" spans="1:88">
      <c r="A355" s="32">
        <v>2025130</v>
      </c>
      <c r="B355" s="8" t="s">
        <v>311</v>
      </c>
      <c r="C355" s="49">
        <f t="shared" si="190"/>
        <v>6</v>
      </c>
      <c r="D355" s="50">
        <f t="shared" si="191"/>
        <v>6</v>
      </c>
      <c r="E355" s="51">
        <f t="shared" si="172"/>
        <v>2</v>
      </c>
      <c r="F355" s="52">
        <f>MAX(MID(B355,{1,2,3},1)*1)-MIN(MID(B355,{1,2,3},1)*1)</f>
        <v>4</v>
      </c>
      <c r="G355" s="104">
        <v>0</v>
      </c>
      <c r="H355" s="104">
        <v>1</v>
      </c>
      <c r="I355" s="104">
        <v>2</v>
      </c>
      <c r="J355" s="104">
        <v>3</v>
      </c>
      <c r="K355" s="104">
        <v>4</v>
      </c>
      <c r="L355" s="104">
        <v>5</v>
      </c>
      <c r="M355" s="104">
        <v>6</v>
      </c>
      <c r="N355" s="104">
        <v>7</v>
      </c>
      <c r="O355" s="104">
        <v>8</v>
      </c>
      <c r="P355" s="104">
        <v>9</v>
      </c>
      <c r="Q355" s="53">
        <f t="shared" si="192"/>
        <v>2</v>
      </c>
      <c r="R355" s="53">
        <f t="shared" si="193"/>
        <v>2</v>
      </c>
      <c r="S355" s="53">
        <f t="shared" si="194"/>
        <v>4</v>
      </c>
      <c r="T355" s="101">
        <f t="shared" si="173"/>
        <v>8</v>
      </c>
      <c r="U355" s="15" t="str">
        <f>_xlfn.TEXTJOIN(", ",TRUE,ABS(MID(B355,{1,1,2},1)-MID(B355,{2,3,3},1)))</f>
        <v>2, 2, 4</v>
      </c>
      <c r="V355" s="54">
        <v>0</v>
      </c>
      <c r="W355" s="54">
        <v>1</v>
      </c>
      <c r="X355" s="54">
        <v>2</v>
      </c>
      <c r="Y355" s="54">
        <v>3</v>
      </c>
      <c r="Z355" s="54">
        <v>4</v>
      </c>
      <c r="AA355" s="54">
        <v>5</v>
      </c>
      <c r="AB355" s="54">
        <v>6</v>
      </c>
      <c r="AC355" s="54">
        <v>7</v>
      </c>
      <c r="AD355" s="54">
        <v>8</v>
      </c>
      <c r="AE355" s="54">
        <v>9</v>
      </c>
      <c r="AF355" s="55">
        <v>0</v>
      </c>
      <c r="AG355" s="55">
        <v>1</v>
      </c>
      <c r="AH355" s="55">
        <v>2</v>
      </c>
      <c r="AI355" s="55">
        <v>3</v>
      </c>
      <c r="AJ355" s="55">
        <v>4</v>
      </c>
      <c r="AK355" s="55">
        <v>5</v>
      </c>
      <c r="AL355" s="55">
        <v>6</v>
      </c>
      <c r="AM355" s="55">
        <v>7</v>
      </c>
      <c r="AN355" s="55">
        <v>8</v>
      </c>
      <c r="AO355" s="55">
        <v>9</v>
      </c>
      <c r="AP355" s="105">
        <v>0</v>
      </c>
      <c r="AQ355" s="105">
        <v>1</v>
      </c>
      <c r="AR355" s="105">
        <v>2</v>
      </c>
      <c r="AS355" s="105">
        <v>3</v>
      </c>
      <c r="AT355" s="105">
        <v>4</v>
      </c>
      <c r="AU355" s="105">
        <v>5</v>
      </c>
      <c r="AV355" s="105">
        <v>6</v>
      </c>
      <c r="AW355" s="105">
        <v>7</v>
      </c>
      <c r="AX355" s="105">
        <v>8</v>
      </c>
      <c r="AY355" s="105">
        <v>9</v>
      </c>
      <c r="AZ355" s="56">
        <v>0</v>
      </c>
      <c r="BA355" s="56">
        <v>1</v>
      </c>
      <c r="BB355" s="56">
        <v>2</v>
      </c>
      <c r="BC355" s="56">
        <v>3</v>
      </c>
      <c r="BD355" s="56">
        <v>4</v>
      </c>
      <c r="BE355" s="56">
        <v>5</v>
      </c>
      <c r="BF355" s="56">
        <v>6</v>
      </c>
      <c r="BG355" s="56">
        <v>7</v>
      </c>
      <c r="BH355" s="56">
        <v>8</v>
      </c>
      <c r="BI355" s="56">
        <v>9</v>
      </c>
      <c r="BJ355" s="57" t="str">
        <f t="shared" si="174"/>
        <v>标准型</v>
      </c>
      <c r="BK355" s="13">
        <f t="shared" si="170"/>
        <v>2</v>
      </c>
      <c r="BL355" s="13">
        <f t="shared" si="171"/>
        <v>4</v>
      </c>
      <c r="BM355" s="18" t="str">
        <f t="shared" si="176"/>
        <v/>
      </c>
      <c r="BN355" s="19" t="str">
        <f t="shared" si="177"/>
        <v/>
      </c>
      <c r="BO355" s="19" t="str">
        <f t="array" ref="BO355">_xlfn.TEXTJOIN("",TRUE,IF(ISERROR(FIND(ROW($1:$10)-1,BM355&amp;BN355)),ROW($1:$10)-1,""))</f>
        <v>0123456789</v>
      </c>
      <c r="BP355" s="20" t="str">
        <f t="shared" si="178"/>
        <v>中中中</v>
      </c>
      <c r="BQ355" s="21" t="str">
        <f t="shared" si="189"/>
        <v/>
      </c>
      <c r="BR355" s="21" t="str">
        <f t="shared" si="187"/>
        <v/>
      </c>
      <c r="BS355" s="21" t="str">
        <f t="array" ref="BS355">_xlfn.TEXTJOIN("",TRUE,IF(ISERROR(FIND(ROW($1:$10)-1,BQ355&amp;BR355)),ROW($1:$10)-1,""))</f>
        <v>0123456789</v>
      </c>
      <c r="BT355" s="20" t="str">
        <f t="shared" si="179"/>
        <v>中中中</v>
      </c>
      <c r="BU355" s="22">
        <f t="shared" si="180"/>
        <v>4</v>
      </c>
      <c r="BV355" s="22">
        <f t="shared" si="188"/>
        <v>4</v>
      </c>
      <c r="BW355" s="22" t="str">
        <f t="array" ref="BW355">_xlfn.TEXTJOIN("",TRUE,IF(ISERROR(FIND(ROW($1:$10)-1,BU355&amp;BV355)),ROW($1:$10)-1,""))</f>
        <v>012356789</v>
      </c>
      <c r="BX355" s="20" t="str">
        <f t="shared" si="181"/>
        <v>复隔中</v>
      </c>
      <c r="BY355" s="23" t="str">
        <f t="shared" si="175"/>
        <v>13</v>
      </c>
      <c r="BZ355" s="24" t="str">
        <f t="array" ref="BZ355">_xlfn.TEXTJOIN("",TRUE,IF(ISNUMBER(FIND(MID(BY354&amp;Q354,ROW($1:$4),1),BY355&amp;Q355)),MID(BY354&amp;Q354,ROW($1:$4),1),""))</f>
        <v/>
      </c>
      <c r="CA355" s="25" t="str">
        <f t="array" ref="CA355">_xlfn.TEXTJOIN("",TRUE,IF(ISERROR(FIND(ROW($1:$10)-1,BY355&amp;BZ355)),ROW($1:$10)-1,""))</f>
        <v>02456789</v>
      </c>
      <c r="CB355" s="26" t="str">
        <f t="shared" si="182"/>
        <v>邻孤孤</v>
      </c>
      <c r="CC355" s="27" t="str">
        <f t="shared" si="183"/>
        <v>13</v>
      </c>
      <c r="CD355" s="27" t="str">
        <f t="array" ref="CD355">_xlfn.TEXTJOIN("",TRUE,IF(ISNUMBER(FIND(MID(CC354&amp;R354,ROW($1:$4),1),CC355&amp;R355)),MID(CC354&amp;R354,ROW($1:$4),1),""))</f>
        <v>3</v>
      </c>
      <c r="CE355" s="27" t="str">
        <f t="array" ref="CE355">_xlfn.TEXTJOIN("",TRUE,IF(ISERROR(FIND(ROW($1:$10)-1,CC355&amp;CD355)),ROW($1:$10)-1,""))</f>
        <v>02456789</v>
      </c>
      <c r="CF355" s="17" t="str">
        <f t="shared" si="184"/>
        <v>邻传孤</v>
      </c>
      <c r="CG355" s="22" t="str">
        <f t="shared" si="185"/>
        <v>35</v>
      </c>
      <c r="CH355" s="22" t="str">
        <f t="array" ref="CH355">_xlfn.TEXTJOIN("",TRUE,IF(ISNUMBER(FIND(MID(CG354&amp;S354,ROW($1:$4),1),CG355&amp;S355)),MID(CG354&amp;S354,ROW($1:$4),1),""))</f>
        <v>354</v>
      </c>
      <c r="CI355" s="22" t="str">
        <f t="array" ref="CI355">_xlfn.TEXTJOIN("",TRUE,IF(ISERROR(FIND(ROW($1:$10)-1,CG355&amp;CH355)),ROW($1:$10)-1,""))</f>
        <v>0126789</v>
      </c>
      <c r="CJ355" s="28" t="str">
        <f t="shared" si="186"/>
        <v>邻传孤</v>
      </c>
    </row>
    <row r="356" spans="1:88">
      <c r="A356" s="32">
        <v>2025131</v>
      </c>
      <c r="B356" s="8" t="s">
        <v>312</v>
      </c>
      <c r="C356" s="49">
        <f t="shared" si="190"/>
        <v>5</v>
      </c>
      <c r="D356" s="50">
        <f t="shared" si="191"/>
        <v>5</v>
      </c>
      <c r="E356" s="51">
        <f t="shared" si="172"/>
        <v>1.6666666666666701</v>
      </c>
      <c r="F356" s="52">
        <f>MAX(MID(B356,{1,2,3},1)*1)-MIN(MID(B356,{1,2,3},1)*1)</f>
        <v>3</v>
      </c>
      <c r="G356" s="104">
        <v>0</v>
      </c>
      <c r="H356" s="104">
        <v>1</v>
      </c>
      <c r="I356" s="104">
        <v>2</v>
      </c>
      <c r="J356" s="104">
        <v>3</v>
      </c>
      <c r="K356" s="104">
        <v>4</v>
      </c>
      <c r="L356" s="104">
        <v>5</v>
      </c>
      <c r="M356" s="104">
        <v>6</v>
      </c>
      <c r="N356" s="104">
        <v>7</v>
      </c>
      <c r="O356" s="104">
        <v>8</v>
      </c>
      <c r="P356" s="104">
        <v>9</v>
      </c>
      <c r="Q356" s="53">
        <f t="shared" si="192"/>
        <v>2</v>
      </c>
      <c r="R356" s="53">
        <f t="shared" si="193"/>
        <v>1</v>
      </c>
      <c r="S356" s="53">
        <f t="shared" si="194"/>
        <v>3</v>
      </c>
      <c r="T356" s="101">
        <f t="shared" si="173"/>
        <v>6</v>
      </c>
      <c r="U356" s="15" t="str">
        <f>_xlfn.TEXTJOIN(", ",TRUE,ABS(MID(B356,{1,1,2},1)-MID(B356,{2,3,3},1)))</f>
        <v>2, 1, 3</v>
      </c>
      <c r="V356" s="54">
        <v>0</v>
      </c>
      <c r="W356" s="54">
        <v>1</v>
      </c>
      <c r="X356" s="54">
        <v>2</v>
      </c>
      <c r="Y356" s="54">
        <v>3</v>
      </c>
      <c r="Z356" s="54">
        <v>4</v>
      </c>
      <c r="AA356" s="54">
        <v>5</v>
      </c>
      <c r="AB356" s="54">
        <v>6</v>
      </c>
      <c r="AC356" s="54">
        <v>7</v>
      </c>
      <c r="AD356" s="54">
        <v>8</v>
      </c>
      <c r="AE356" s="54">
        <v>9</v>
      </c>
      <c r="AF356" s="55">
        <v>0</v>
      </c>
      <c r="AG356" s="55">
        <v>1</v>
      </c>
      <c r="AH356" s="55">
        <v>2</v>
      </c>
      <c r="AI356" s="55">
        <v>3</v>
      </c>
      <c r="AJ356" s="55">
        <v>4</v>
      </c>
      <c r="AK356" s="55">
        <v>5</v>
      </c>
      <c r="AL356" s="55">
        <v>6</v>
      </c>
      <c r="AM356" s="55">
        <v>7</v>
      </c>
      <c r="AN356" s="55">
        <v>8</v>
      </c>
      <c r="AO356" s="55">
        <v>9</v>
      </c>
      <c r="AP356" s="105">
        <v>0</v>
      </c>
      <c r="AQ356" s="105">
        <v>1</v>
      </c>
      <c r="AR356" s="105">
        <v>2</v>
      </c>
      <c r="AS356" s="105">
        <v>3</v>
      </c>
      <c r="AT356" s="105">
        <v>4</v>
      </c>
      <c r="AU356" s="105">
        <v>5</v>
      </c>
      <c r="AV356" s="105">
        <v>6</v>
      </c>
      <c r="AW356" s="105">
        <v>7</v>
      </c>
      <c r="AX356" s="105">
        <v>8</v>
      </c>
      <c r="AY356" s="105">
        <v>9</v>
      </c>
      <c r="AZ356" s="56">
        <v>0</v>
      </c>
      <c r="BA356" s="56">
        <v>1</v>
      </c>
      <c r="BB356" s="56">
        <v>2</v>
      </c>
      <c r="BC356" s="56">
        <v>3</v>
      </c>
      <c r="BD356" s="56">
        <v>4</v>
      </c>
      <c r="BE356" s="56">
        <v>5</v>
      </c>
      <c r="BF356" s="56">
        <v>6</v>
      </c>
      <c r="BG356" s="56">
        <v>7</v>
      </c>
      <c r="BH356" s="56">
        <v>8</v>
      </c>
      <c r="BI356" s="56">
        <v>9</v>
      </c>
      <c r="BJ356" s="57" t="str">
        <f t="shared" si="174"/>
        <v>紧凑型</v>
      </c>
      <c r="BK356" s="13">
        <f t="shared" si="170"/>
        <v>1</v>
      </c>
      <c r="BL356" s="13">
        <f t="shared" si="171"/>
        <v>3</v>
      </c>
      <c r="BM356" s="18">
        <f t="shared" si="176"/>
        <v>2</v>
      </c>
      <c r="BN356" s="19" t="str">
        <f t="shared" si="177"/>
        <v/>
      </c>
      <c r="BO356" s="19" t="str">
        <f t="array" ref="BO356">_xlfn.TEXTJOIN("",TRUE,IF(ISERROR(FIND(ROW($1:$10)-1,BM356&amp;BN356)),ROW($1:$10)-1,""))</f>
        <v>013456789</v>
      </c>
      <c r="BP356" s="20" t="str">
        <f t="shared" si="178"/>
        <v>复中中</v>
      </c>
      <c r="BQ356" s="21" t="str">
        <f t="shared" si="189"/>
        <v/>
      </c>
      <c r="BR356" s="21" t="str">
        <f t="shared" si="187"/>
        <v/>
      </c>
      <c r="BS356" s="21" t="str">
        <f t="array" ref="BS356">_xlfn.TEXTJOIN("",TRUE,IF(ISERROR(FIND(ROW($1:$10)-1,BQ356&amp;BR356)),ROW($1:$10)-1,""))</f>
        <v>0123456789</v>
      </c>
      <c r="BT356" s="20" t="str">
        <f t="shared" si="179"/>
        <v>中中中</v>
      </c>
      <c r="BU356" s="22" t="str">
        <f t="shared" si="180"/>
        <v/>
      </c>
      <c r="BV356" s="22" t="str">
        <f t="shared" si="188"/>
        <v/>
      </c>
      <c r="BW356" s="22" t="str">
        <f t="array" ref="BW356">_xlfn.TEXTJOIN("",TRUE,IF(ISERROR(FIND(ROW($1:$10)-1,BU356&amp;BV356)),ROW($1:$10)-1,""))</f>
        <v>0123456789</v>
      </c>
      <c r="BX356" s="20" t="str">
        <f t="shared" si="181"/>
        <v>中中中</v>
      </c>
      <c r="BY356" s="23" t="str">
        <f t="shared" si="175"/>
        <v>13</v>
      </c>
      <c r="BZ356" s="24" t="str">
        <f t="array" ref="BZ356">_xlfn.TEXTJOIN("",TRUE,IF(ISNUMBER(FIND(MID(BY355&amp;Q355,ROW($1:$4),1),BY356&amp;Q356)),MID(BY355&amp;Q355,ROW($1:$4),1),""))</f>
        <v>132</v>
      </c>
      <c r="CA356" s="25" t="str">
        <f t="array" ref="CA356">_xlfn.TEXTJOIN("",TRUE,IF(ISERROR(FIND(ROW($1:$10)-1,BY356&amp;BZ356)),ROW($1:$10)-1,""))</f>
        <v>0456789</v>
      </c>
      <c r="CB356" s="26" t="str">
        <f t="shared" si="182"/>
        <v>邻传孤</v>
      </c>
      <c r="CC356" s="27" t="str">
        <f t="shared" si="183"/>
        <v>02</v>
      </c>
      <c r="CD356" s="27" t="str">
        <f t="array" ref="CD356">_xlfn.TEXTJOIN("",TRUE,IF(ISNUMBER(FIND(MID(CC355&amp;R355,ROW($1:$4),1),CC356&amp;R356)),MID(CC355&amp;R355,ROW($1:$4),1),""))</f>
        <v>12</v>
      </c>
      <c r="CE356" s="27" t="str">
        <f t="array" ref="CE356">_xlfn.TEXTJOIN("",TRUE,IF(ISERROR(FIND(ROW($1:$10)-1,CC356&amp;CD356)),ROW($1:$10)-1,""))</f>
        <v>3456789</v>
      </c>
      <c r="CF356" s="17" t="str">
        <f t="shared" si="184"/>
        <v>邻传孤</v>
      </c>
      <c r="CG356" s="22" t="str">
        <f t="shared" si="185"/>
        <v>24</v>
      </c>
      <c r="CH356" s="22" t="str">
        <f t="array" ref="CH356">_xlfn.TEXTJOIN("",TRUE,IF(ISNUMBER(FIND(MID(CG355&amp;S355,ROW($1:$4),1),CG356&amp;S356)),MID(CG355&amp;S355,ROW($1:$4),1),""))</f>
        <v>34</v>
      </c>
      <c r="CI356" s="22" t="str">
        <f t="array" ref="CI356">_xlfn.TEXTJOIN("",TRUE,IF(ISERROR(FIND(ROW($1:$10)-1,CG356&amp;CH356)),ROW($1:$10)-1,""))</f>
        <v>0156789</v>
      </c>
      <c r="CJ356" s="28" t="str">
        <f t="shared" si="186"/>
        <v>邻传孤</v>
      </c>
    </row>
    <row r="357" spans="1:88">
      <c r="A357" s="32">
        <v>2025132</v>
      </c>
      <c r="B357" s="8" t="s">
        <v>313</v>
      </c>
      <c r="C357" s="49">
        <f t="shared" si="190"/>
        <v>23</v>
      </c>
      <c r="D357" s="50">
        <f t="shared" si="191"/>
        <v>3</v>
      </c>
      <c r="E357" s="51">
        <f t="shared" si="172"/>
        <v>7.6666666666666696</v>
      </c>
      <c r="F357" s="52">
        <f>MAX(MID(B357,{1,2,3},1)*1)-MIN(MID(B357,{1,2,3},1)*1)</f>
        <v>3</v>
      </c>
      <c r="G357" s="104">
        <v>0</v>
      </c>
      <c r="H357" s="104">
        <v>1</v>
      </c>
      <c r="I357" s="104">
        <v>2</v>
      </c>
      <c r="J357" s="104">
        <v>3</v>
      </c>
      <c r="K357" s="104">
        <v>4</v>
      </c>
      <c r="L357" s="104">
        <v>5</v>
      </c>
      <c r="M357" s="104">
        <v>6</v>
      </c>
      <c r="N357" s="104">
        <v>7</v>
      </c>
      <c r="O357" s="104">
        <v>8</v>
      </c>
      <c r="P357" s="104">
        <v>9</v>
      </c>
      <c r="Q357" s="53">
        <f t="shared" si="192"/>
        <v>2</v>
      </c>
      <c r="R357" s="53">
        <f t="shared" si="193"/>
        <v>3</v>
      </c>
      <c r="S357" s="53">
        <f t="shared" si="194"/>
        <v>1</v>
      </c>
      <c r="T357" s="101">
        <f t="shared" si="173"/>
        <v>6</v>
      </c>
      <c r="U357" s="15" t="str">
        <f>_xlfn.TEXTJOIN(", ",TRUE,ABS(MID(B357,{1,1,2},1)-MID(B357,{2,3,3},1)))</f>
        <v>2, 3, 1</v>
      </c>
      <c r="V357" s="54">
        <v>0</v>
      </c>
      <c r="W357" s="54">
        <v>1</v>
      </c>
      <c r="X357" s="54">
        <v>2</v>
      </c>
      <c r="Y357" s="54">
        <v>3</v>
      </c>
      <c r="Z357" s="54">
        <v>4</v>
      </c>
      <c r="AA357" s="54">
        <v>5</v>
      </c>
      <c r="AB357" s="54">
        <v>6</v>
      </c>
      <c r="AC357" s="54">
        <v>7</v>
      </c>
      <c r="AD357" s="54">
        <v>8</v>
      </c>
      <c r="AE357" s="54">
        <v>9</v>
      </c>
      <c r="AF357" s="55">
        <v>0</v>
      </c>
      <c r="AG357" s="55">
        <v>1</v>
      </c>
      <c r="AH357" s="55">
        <v>2</v>
      </c>
      <c r="AI357" s="55">
        <v>3</v>
      </c>
      <c r="AJ357" s="55">
        <v>4</v>
      </c>
      <c r="AK357" s="55">
        <v>5</v>
      </c>
      <c r="AL357" s="55">
        <v>6</v>
      </c>
      <c r="AM357" s="55">
        <v>7</v>
      </c>
      <c r="AN357" s="55">
        <v>8</v>
      </c>
      <c r="AO357" s="55">
        <v>9</v>
      </c>
      <c r="AP357" s="105">
        <v>0</v>
      </c>
      <c r="AQ357" s="105">
        <v>1</v>
      </c>
      <c r="AR357" s="105">
        <v>2</v>
      </c>
      <c r="AS357" s="105">
        <v>3</v>
      </c>
      <c r="AT357" s="105">
        <v>4</v>
      </c>
      <c r="AU357" s="105">
        <v>5</v>
      </c>
      <c r="AV357" s="105">
        <v>6</v>
      </c>
      <c r="AW357" s="105">
        <v>7</v>
      </c>
      <c r="AX357" s="105">
        <v>8</v>
      </c>
      <c r="AY357" s="105">
        <v>9</v>
      </c>
      <c r="AZ357" s="56">
        <v>0</v>
      </c>
      <c r="BA357" s="56">
        <v>1</v>
      </c>
      <c r="BB357" s="56">
        <v>2</v>
      </c>
      <c r="BC357" s="56">
        <v>3</v>
      </c>
      <c r="BD357" s="56">
        <v>4</v>
      </c>
      <c r="BE357" s="56">
        <v>5</v>
      </c>
      <c r="BF357" s="56">
        <v>6</v>
      </c>
      <c r="BG357" s="56">
        <v>7</v>
      </c>
      <c r="BH357" s="56">
        <v>8</v>
      </c>
      <c r="BI357" s="56">
        <v>9</v>
      </c>
      <c r="BJ357" s="57" t="str">
        <f t="shared" si="174"/>
        <v>紧凑型</v>
      </c>
      <c r="BK357" s="13">
        <f t="shared" si="170"/>
        <v>1</v>
      </c>
      <c r="BL357" s="13">
        <f t="shared" si="171"/>
        <v>3</v>
      </c>
      <c r="BM357" s="18">
        <f t="shared" si="176"/>
        <v>2</v>
      </c>
      <c r="BN357" s="19">
        <f t="shared" si="177"/>
        <v>2</v>
      </c>
      <c r="BO357" s="19" t="str">
        <f t="array" ref="BO357">_xlfn.TEXTJOIN("",TRUE,IF(ISERROR(FIND(ROW($1:$10)-1,BM357&amp;BN357)),ROW($1:$10)-1,""))</f>
        <v>013456789</v>
      </c>
      <c r="BP357" s="20" t="str">
        <f t="shared" si="178"/>
        <v>复隔中</v>
      </c>
      <c r="BQ357" s="21">
        <f t="shared" si="189"/>
        <v>3</v>
      </c>
      <c r="BR357" s="21" t="str">
        <f t="shared" si="187"/>
        <v/>
      </c>
      <c r="BS357" s="21" t="str">
        <f t="array" ref="BS357">_xlfn.TEXTJOIN("",TRUE,IF(ISERROR(FIND(ROW($1:$10)-1,BQ357&amp;BR357)),ROW($1:$10)-1,""))</f>
        <v>012456789</v>
      </c>
      <c r="BT357" s="20" t="str">
        <f t="shared" si="179"/>
        <v>复中中</v>
      </c>
      <c r="BU357" s="22">
        <f t="shared" si="180"/>
        <v>1</v>
      </c>
      <c r="BV357" s="22" t="str">
        <f t="shared" si="188"/>
        <v/>
      </c>
      <c r="BW357" s="22" t="str">
        <f t="array" ref="BW357">_xlfn.TEXTJOIN("",TRUE,IF(ISERROR(FIND(ROW($1:$10)-1,BU357&amp;BV357)),ROW($1:$10)-1,""))</f>
        <v>023456789</v>
      </c>
      <c r="BX357" s="20" t="str">
        <f t="shared" si="181"/>
        <v>复中中</v>
      </c>
      <c r="BY357" s="23" t="str">
        <f t="shared" si="175"/>
        <v>13</v>
      </c>
      <c r="BZ357" s="24" t="str">
        <f t="array" ref="BZ357">_xlfn.TEXTJOIN("",TRUE,IF(ISNUMBER(FIND(MID(BY356&amp;Q356,ROW($1:$4),1),BY357&amp;Q357)),MID(BY356&amp;Q356,ROW($1:$4),1),""))</f>
        <v>132</v>
      </c>
      <c r="CA357" s="25" t="str">
        <f t="array" ref="CA357">_xlfn.TEXTJOIN("",TRUE,IF(ISERROR(FIND(ROW($1:$10)-1,BY357&amp;BZ357)),ROW($1:$10)-1,""))</f>
        <v>0456789</v>
      </c>
      <c r="CB357" s="26" t="str">
        <f t="shared" si="182"/>
        <v>邻传孤</v>
      </c>
      <c r="CC357" s="27" t="str">
        <f t="shared" si="183"/>
        <v>24</v>
      </c>
      <c r="CD357" s="27" t="str">
        <f t="array" ref="CD357">_xlfn.TEXTJOIN("",TRUE,IF(ISNUMBER(FIND(MID(CC356&amp;R356,ROW($1:$4),1),CC357&amp;R357)),MID(CC356&amp;R356,ROW($1:$4),1),""))</f>
        <v>2</v>
      </c>
      <c r="CE357" s="27" t="str">
        <f t="array" ref="CE357">_xlfn.TEXTJOIN("",TRUE,IF(ISERROR(FIND(ROW($1:$10)-1,CC357&amp;CD357)),ROW($1:$10)-1,""))</f>
        <v>01356789</v>
      </c>
      <c r="CF357" s="17" t="str">
        <f t="shared" si="184"/>
        <v>邻传孤</v>
      </c>
      <c r="CG357" s="22" t="str">
        <f t="shared" si="185"/>
        <v>02</v>
      </c>
      <c r="CH357" s="22" t="str">
        <f t="array" ref="CH357">_xlfn.TEXTJOIN("",TRUE,IF(ISNUMBER(FIND(MID(CG356&amp;S356,ROW($1:$4),1),CG357&amp;S357)),MID(CG356&amp;S356,ROW($1:$4),1),""))</f>
        <v>2</v>
      </c>
      <c r="CI357" s="22" t="str">
        <f t="array" ref="CI357">_xlfn.TEXTJOIN("",TRUE,IF(ISERROR(FIND(ROW($1:$10)-1,CG357&amp;CH357)),ROW($1:$10)-1,""))</f>
        <v>13456789</v>
      </c>
      <c r="CJ357" s="28" t="str">
        <f t="shared" si="186"/>
        <v>邻传孤</v>
      </c>
    </row>
    <row r="358" spans="1:88">
      <c r="A358" s="32">
        <v>2025133</v>
      </c>
      <c r="B358" s="8" t="s">
        <v>314</v>
      </c>
      <c r="C358" s="49">
        <f t="shared" si="190"/>
        <v>15</v>
      </c>
      <c r="D358" s="50">
        <f t="shared" si="191"/>
        <v>5</v>
      </c>
      <c r="E358" s="51">
        <f t="shared" si="172"/>
        <v>5</v>
      </c>
      <c r="F358" s="52">
        <f>MAX(MID(B358,{1,2,3},1)*1)-MIN(MID(B358,{1,2,3},1)*1)</f>
        <v>2</v>
      </c>
      <c r="G358" s="104">
        <v>0</v>
      </c>
      <c r="H358" s="104">
        <v>1</v>
      </c>
      <c r="I358" s="104">
        <v>2</v>
      </c>
      <c r="J358" s="104">
        <v>3</v>
      </c>
      <c r="K358" s="104">
        <v>4</v>
      </c>
      <c r="L358" s="104">
        <v>5</v>
      </c>
      <c r="M358" s="104">
        <v>6</v>
      </c>
      <c r="N358" s="104">
        <v>7</v>
      </c>
      <c r="O358" s="104">
        <v>8</v>
      </c>
      <c r="P358" s="104">
        <v>9</v>
      </c>
      <c r="Q358" s="53">
        <f t="shared" si="192"/>
        <v>2</v>
      </c>
      <c r="R358" s="53">
        <f t="shared" si="193"/>
        <v>1</v>
      </c>
      <c r="S358" s="53">
        <f t="shared" si="194"/>
        <v>1</v>
      </c>
      <c r="T358" s="101">
        <f t="shared" si="173"/>
        <v>4</v>
      </c>
      <c r="U358" s="15" t="str">
        <f>_xlfn.TEXTJOIN(", ",TRUE,ABS(MID(B358,{1,1,2},1)-MID(B358,{2,3,3},1)))</f>
        <v>2, 1, 1</v>
      </c>
      <c r="V358" s="54">
        <v>0</v>
      </c>
      <c r="W358" s="54">
        <v>1</v>
      </c>
      <c r="X358" s="54">
        <v>2</v>
      </c>
      <c r="Y358" s="54">
        <v>3</v>
      </c>
      <c r="Z358" s="54">
        <v>4</v>
      </c>
      <c r="AA358" s="54">
        <v>5</v>
      </c>
      <c r="AB358" s="54">
        <v>6</v>
      </c>
      <c r="AC358" s="54">
        <v>7</v>
      </c>
      <c r="AD358" s="54">
        <v>8</v>
      </c>
      <c r="AE358" s="54">
        <v>9</v>
      </c>
      <c r="AF358" s="55">
        <v>0</v>
      </c>
      <c r="AG358" s="55">
        <v>1</v>
      </c>
      <c r="AH358" s="55">
        <v>2</v>
      </c>
      <c r="AI358" s="55">
        <v>3</v>
      </c>
      <c r="AJ358" s="55">
        <v>4</v>
      </c>
      <c r="AK358" s="55">
        <v>5</v>
      </c>
      <c r="AL358" s="55">
        <v>6</v>
      </c>
      <c r="AM358" s="55">
        <v>7</v>
      </c>
      <c r="AN358" s="55">
        <v>8</v>
      </c>
      <c r="AO358" s="55">
        <v>9</v>
      </c>
      <c r="AP358" s="105">
        <v>0</v>
      </c>
      <c r="AQ358" s="105">
        <v>1</v>
      </c>
      <c r="AR358" s="105">
        <v>2</v>
      </c>
      <c r="AS358" s="105">
        <v>3</v>
      </c>
      <c r="AT358" s="105">
        <v>4</v>
      </c>
      <c r="AU358" s="105">
        <v>5</v>
      </c>
      <c r="AV358" s="105">
        <v>6</v>
      </c>
      <c r="AW358" s="105">
        <v>7</v>
      </c>
      <c r="AX358" s="105">
        <v>8</v>
      </c>
      <c r="AY358" s="105">
        <v>9</v>
      </c>
      <c r="AZ358" s="56">
        <v>0</v>
      </c>
      <c r="BA358" s="56">
        <v>1</v>
      </c>
      <c r="BB358" s="56">
        <v>2</v>
      </c>
      <c r="BC358" s="56">
        <v>3</v>
      </c>
      <c r="BD358" s="56">
        <v>4</v>
      </c>
      <c r="BE358" s="56">
        <v>5</v>
      </c>
      <c r="BF358" s="56">
        <v>6</v>
      </c>
      <c r="BG358" s="56">
        <v>7</v>
      </c>
      <c r="BH358" s="56">
        <v>8</v>
      </c>
      <c r="BI358" s="56">
        <v>9</v>
      </c>
      <c r="BJ358" s="57" t="str">
        <f t="shared" si="174"/>
        <v>紧凑型</v>
      </c>
      <c r="BK358" s="13">
        <f t="shared" si="170"/>
        <v>1</v>
      </c>
      <c r="BL358" s="13">
        <f t="shared" si="171"/>
        <v>2</v>
      </c>
      <c r="BM358" s="18">
        <f t="shared" si="176"/>
        <v>2</v>
      </c>
      <c r="BN358" s="19">
        <f t="shared" si="177"/>
        <v>2</v>
      </c>
      <c r="BO358" s="19" t="str">
        <f t="array" ref="BO358">_xlfn.TEXTJOIN("",TRUE,IF(ISERROR(FIND(ROW($1:$10)-1,BM358&amp;BN358)),ROW($1:$10)-1,""))</f>
        <v>013456789</v>
      </c>
      <c r="BP358" s="20" t="str">
        <f t="shared" si="178"/>
        <v>复隔中</v>
      </c>
      <c r="BQ358" s="21">
        <f t="shared" si="189"/>
        <v>1</v>
      </c>
      <c r="BR358" s="21">
        <f t="shared" si="187"/>
        <v>1</v>
      </c>
      <c r="BS358" s="21" t="str">
        <f t="array" ref="BS358">_xlfn.TEXTJOIN("",TRUE,IF(ISERROR(FIND(ROW($1:$10)-1,BQ358&amp;BR358)),ROW($1:$10)-1,""))</f>
        <v>023456789</v>
      </c>
      <c r="BT358" s="20" t="str">
        <f t="shared" si="179"/>
        <v>复隔中</v>
      </c>
      <c r="BU358" s="22">
        <f t="shared" si="180"/>
        <v>1</v>
      </c>
      <c r="BV358" s="22">
        <f t="shared" si="188"/>
        <v>1</v>
      </c>
      <c r="BW358" s="22" t="str">
        <f t="array" ref="BW358">_xlfn.TEXTJOIN("",TRUE,IF(ISERROR(FIND(ROW($1:$10)-1,BU358&amp;BV358)),ROW($1:$10)-1,""))</f>
        <v>023456789</v>
      </c>
      <c r="BX358" s="20" t="str">
        <f t="shared" si="181"/>
        <v>复隔中</v>
      </c>
      <c r="BY358" s="23" t="str">
        <f t="shared" si="175"/>
        <v>13</v>
      </c>
      <c r="BZ358" s="24" t="str">
        <f t="array" ref="BZ358">_xlfn.TEXTJOIN("",TRUE,IF(ISNUMBER(FIND(MID(BY357&amp;Q357,ROW($1:$4),1),BY358&amp;Q358)),MID(BY357&amp;Q357,ROW($1:$4),1),""))</f>
        <v>132</v>
      </c>
      <c r="CA358" s="25" t="str">
        <f t="array" ref="CA358">_xlfn.TEXTJOIN("",TRUE,IF(ISERROR(FIND(ROW($1:$10)-1,BY358&amp;BZ358)),ROW($1:$10)-1,""))</f>
        <v>0456789</v>
      </c>
      <c r="CB358" s="26" t="str">
        <f t="shared" si="182"/>
        <v>邻传孤</v>
      </c>
      <c r="CC358" s="27" t="str">
        <f t="shared" si="183"/>
        <v>02</v>
      </c>
      <c r="CD358" s="27" t="str">
        <f t="array" ref="CD358">_xlfn.TEXTJOIN("",TRUE,IF(ISNUMBER(FIND(MID(CC357&amp;R357,ROW($1:$4),1),CC358&amp;R358)),MID(CC357&amp;R357,ROW($1:$4),1),""))</f>
        <v>2</v>
      </c>
      <c r="CE358" s="27" t="str">
        <f t="array" ref="CE358">_xlfn.TEXTJOIN("",TRUE,IF(ISERROR(FIND(ROW($1:$10)-1,CC358&amp;CD358)),ROW($1:$10)-1,""))</f>
        <v>13456789</v>
      </c>
      <c r="CF358" s="17" t="str">
        <f t="shared" si="184"/>
        <v>邻传孤</v>
      </c>
      <c r="CG358" s="22" t="str">
        <f t="shared" si="185"/>
        <v>02</v>
      </c>
      <c r="CH358" s="22" t="str">
        <f t="array" ref="CH358">_xlfn.TEXTJOIN("",TRUE,IF(ISNUMBER(FIND(MID(CG357&amp;S357,ROW($1:$4),1),CG358&amp;S358)),MID(CG357&amp;S357,ROW($1:$4),1),""))</f>
        <v>021</v>
      </c>
      <c r="CI358" s="22" t="str">
        <f t="array" ref="CI358">_xlfn.TEXTJOIN("",TRUE,IF(ISERROR(FIND(ROW($1:$10)-1,CG358&amp;CH358)),ROW($1:$10)-1,""))</f>
        <v>3456789</v>
      </c>
      <c r="CJ358" s="28" t="str">
        <f t="shared" si="186"/>
        <v>邻传孤</v>
      </c>
    </row>
    <row r="359" spans="1:88">
      <c r="A359" s="32">
        <v>2025134</v>
      </c>
      <c r="B359" s="8" t="s">
        <v>35</v>
      </c>
      <c r="C359" s="49">
        <f t="shared" si="190"/>
        <v>19</v>
      </c>
      <c r="D359" s="50">
        <f t="shared" si="191"/>
        <v>9</v>
      </c>
      <c r="E359" s="51">
        <f t="shared" si="172"/>
        <v>6.3333333333333304</v>
      </c>
      <c r="F359" s="52">
        <f>MAX(MID(B359,{1,2,3},1)*1)-MIN(MID(B359,{1,2,3},1)*1)</f>
        <v>4</v>
      </c>
      <c r="G359" s="104">
        <v>0</v>
      </c>
      <c r="H359" s="104">
        <v>1</v>
      </c>
      <c r="I359" s="104">
        <v>2</v>
      </c>
      <c r="J359" s="104">
        <v>3</v>
      </c>
      <c r="K359" s="104">
        <v>4</v>
      </c>
      <c r="L359" s="104">
        <v>5</v>
      </c>
      <c r="M359" s="104">
        <v>6</v>
      </c>
      <c r="N359" s="104">
        <v>7</v>
      </c>
      <c r="O359" s="104">
        <v>8</v>
      </c>
      <c r="P359" s="104">
        <v>9</v>
      </c>
      <c r="Q359" s="53">
        <f t="shared" si="192"/>
        <v>3</v>
      </c>
      <c r="R359" s="53">
        <f t="shared" si="193"/>
        <v>1</v>
      </c>
      <c r="S359" s="53">
        <f t="shared" si="194"/>
        <v>4</v>
      </c>
      <c r="T359" s="101">
        <f t="shared" si="173"/>
        <v>8</v>
      </c>
      <c r="U359" s="15" t="str">
        <f>_xlfn.TEXTJOIN(", ",TRUE,ABS(MID(B359,{1,1,2},1)-MID(B359,{2,3,3},1)))</f>
        <v>3, 1, 4</v>
      </c>
      <c r="V359" s="54">
        <v>0</v>
      </c>
      <c r="W359" s="54">
        <v>1</v>
      </c>
      <c r="X359" s="54">
        <v>2</v>
      </c>
      <c r="Y359" s="54">
        <v>3</v>
      </c>
      <c r="Z359" s="54">
        <v>4</v>
      </c>
      <c r="AA359" s="54">
        <v>5</v>
      </c>
      <c r="AB359" s="54">
        <v>6</v>
      </c>
      <c r="AC359" s="54">
        <v>7</v>
      </c>
      <c r="AD359" s="54">
        <v>8</v>
      </c>
      <c r="AE359" s="54">
        <v>9</v>
      </c>
      <c r="AF359" s="55">
        <v>0</v>
      </c>
      <c r="AG359" s="55">
        <v>1</v>
      </c>
      <c r="AH359" s="55">
        <v>2</v>
      </c>
      <c r="AI359" s="55">
        <v>3</v>
      </c>
      <c r="AJ359" s="55">
        <v>4</v>
      </c>
      <c r="AK359" s="55">
        <v>5</v>
      </c>
      <c r="AL359" s="55">
        <v>6</v>
      </c>
      <c r="AM359" s="55">
        <v>7</v>
      </c>
      <c r="AN359" s="55">
        <v>8</v>
      </c>
      <c r="AO359" s="55">
        <v>9</v>
      </c>
      <c r="AP359" s="105">
        <v>0</v>
      </c>
      <c r="AQ359" s="105">
        <v>1</v>
      </c>
      <c r="AR359" s="105">
        <v>2</v>
      </c>
      <c r="AS359" s="105">
        <v>3</v>
      </c>
      <c r="AT359" s="105">
        <v>4</v>
      </c>
      <c r="AU359" s="105">
        <v>5</v>
      </c>
      <c r="AV359" s="105">
        <v>6</v>
      </c>
      <c r="AW359" s="105">
        <v>7</v>
      </c>
      <c r="AX359" s="105">
        <v>8</v>
      </c>
      <c r="AY359" s="105">
        <v>9</v>
      </c>
      <c r="AZ359" s="56">
        <v>0</v>
      </c>
      <c r="BA359" s="56">
        <v>1</v>
      </c>
      <c r="BB359" s="56">
        <v>2</v>
      </c>
      <c r="BC359" s="56">
        <v>3</v>
      </c>
      <c r="BD359" s="56">
        <v>4</v>
      </c>
      <c r="BE359" s="56">
        <v>5</v>
      </c>
      <c r="BF359" s="56">
        <v>6</v>
      </c>
      <c r="BG359" s="56">
        <v>7</v>
      </c>
      <c r="BH359" s="56">
        <v>8</v>
      </c>
      <c r="BI359" s="56">
        <v>9</v>
      </c>
      <c r="BJ359" s="57" t="str">
        <f t="shared" si="174"/>
        <v>紧凑型</v>
      </c>
      <c r="BK359" s="13">
        <f t="shared" si="170"/>
        <v>1</v>
      </c>
      <c r="BL359" s="13">
        <f t="shared" si="171"/>
        <v>4</v>
      </c>
      <c r="BM359" s="18" t="str">
        <f t="shared" si="176"/>
        <v/>
      </c>
      <c r="BN359" s="19">
        <f t="shared" si="177"/>
        <v>3</v>
      </c>
      <c r="BO359" s="19" t="str">
        <f t="array" ref="BO359">_xlfn.TEXTJOIN("",TRUE,IF(ISERROR(FIND(ROW($1:$10)-1,BM359&amp;BN359)),ROW($1:$10)-1,""))</f>
        <v>012456789</v>
      </c>
      <c r="BP359" s="20" t="str">
        <f t="shared" si="178"/>
        <v>中隔中</v>
      </c>
      <c r="BQ359" s="21">
        <f t="shared" si="189"/>
        <v>1</v>
      </c>
      <c r="BR359" s="21">
        <f t="shared" si="187"/>
        <v>1</v>
      </c>
      <c r="BS359" s="21" t="str">
        <f t="array" ref="BS359">_xlfn.TEXTJOIN("",TRUE,IF(ISERROR(FIND(ROW($1:$10)-1,BQ359&amp;BR359)),ROW($1:$10)-1,""))</f>
        <v>023456789</v>
      </c>
      <c r="BT359" s="20" t="str">
        <f t="shared" si="179"/>
        <v>复隔中</v>
      </c>
      <c r="BU359" s="22" t="str">
        <f t="shared" si="180"/>
        <v/>
      </c>
      <c r="BV359" s="22" t="str">
        <f t="shared" si="188"/>
        <v/>
      </c>
      <c r="BW359" s="22" t="str">
        <f t="array" ref="BW359">_xlfn.TEXTJOIN("",TRUE,IF(ISERROR(FIND(ROW($1:$10)-1,BU359&amp;BV359)),ROW($1:$10)-1,""))</f>
        <v>0123456789</v>
      </c>
      <c r="BX359" s="20" t="str">
        <f t="shared" si="181"/>
        <v>中中中</v>
      </c>
      <c r="BY359" s="23" t="str">
        <f t="shared" si="175"/>
        <v>24</v>
      </c>
      <c r="BZ359" s="24" t="str">
        <f t="array" ref="BZ359">_xlfn.TEXTJOIN("",TRUE,IF(ISNUMBER(FIND(MID(BY358&amp;Q358,ROW($1:$4),1),BY359&amp;Q359)),MID(BY358&amp;Q358,ROW($1:$4),1),""))</f>
        <v>32</v>
      </c>
      <c r="CA359" s="25" t="str">
        <f t="array" ref="CA359">_xlfn.TEXTJOIN("",TRUE,IF(ISERROR(FIND(ROW($1:$10)-1,BY359&amp;BZ359)),ROW($1:$10)-1,""))</f>
        <v>0156789</v>
      </c>
      <c r="CB359" s="26" t="str">
        <f t="shared" si="182"/>
        <v>邻传孤</v>
      </c>
      <c r="CC359" s="27" t="str">
        <f t="shared" si="183"/>
        <v>02</v>
      </c>
      <c r="CD359" s="27" t="str">
        <f t="array" ref="CD359">_xlfn.TEXTJOIN("",TRUE,IF(ISNUMBER(FIND(MID(CC358&amp;R358,ROW($1:$4),1),CC359&amp;R359)),MID(CC358&amp;R358,ROW($1:$4),1),""))</f>
        <v>021</v>
      </c>
      <c r="CE359" s="27" t="str">
        <f t="array" ref="CE359">_xlfn.TEXTJOIN("",TRUE,IF(ISERROR(FIND(ROW($1:$10)-1,CC359&amp;CD359)),ROW($1:$10)-1,""))</f>
        <v>3456789</v>
      </c>
      <c r="CF359" s="17" t="str">
        <f t="shared" si="184"/>
        <v>邻传孤</v>
      </c>
      <c r="CG359" s="22" t="str">
        <f t="shared" si="185"/>
        <v>35</v>
      </c>
      <c r="CH359" s="22" t="str">
        <f t="array" ref="CH359">_xlfn.TEXTJOIN("",TRUE,IF(ISNUMBER(FIND(MID(CG358&amp;S358,ROW($1:$4),1),CG359&amp;S359)),MID(CG358&amp;S358,ROW($1:$4),1),""))</f>
        <v/>
      </c>
      <c r="CI359" s="22" t="str">
        <f t="array" ref="CI359">_xlfn.TEXTJOIN("",TRUE,IF(ISERROR(FIND(ROW($1:$10)-1,CG359&amp;CH359)),ROW($1:$10)-1,""))</f>
        <v>01246789</v>
      </c>
      <c r="CJ359" s="28" t="str">
        <f t="shared" si="186"/>
        <v>邻孤孤</v>
      </c>
    </row>
    <row r="360" spans="1:88">
      <c r="A360" s="32">
        <v>2025135</v>
      </c>
      <c r="B360" s="8" t="s">
        <v>315</v>
      </c>
      <c r="C360" s="49">
        <f t="shared" si="190"/>
        <v>17</v>
      </c>
      <c r="D360" s="50">
        <f t="shared" si="191"/>
        <v>7</v>
      </c>
      <c r="E360" s="51">
        <f t="shared" si="172"/>
        <v>5.6666666666666696</v>
      </c>
      <c r="F360" s="52">
        <f>MAX(MID(B360,{1,2,3},1)*1)-MIN(MID(B360,{1,2,3},1)*1)</f>
        <v>4</v>
      </c>
      <c r="G360" s="104">
        <v>0</v>
      </c>
      <c r="H360" s="104">
        <v>1</v>
      </c>
      <c r="I360" s="104">
        <v>2</v>
      </c>
      <c r="J360" s="104">
        <v>3</v>
      </c>
      <c r="K360" s="104">
        <v>4</v>
      </c>
      <c r="L360" s="104">
        <v>5</v>
      </c>
      <c r="M360" s="104">
        <v>6</v>
      </c>
      <c r="N360" s="104">
        <v>7</v>
      </c>
      <c r="O360" s="104">
        <v>8</v>
      </c>
      <c r="P360" s="104">
        <v>9</v>
      </c>
      <c r="Q360" s="53">
        <f t="shared" si="192"/>
        <v>1</v>
      </c>
      <c r="R360" s="53">
        <f t="shared" si="193"/>
        <v>4</v>
      </c>
      <c r="S360" s="53">
        <f t="shared" si="194"/>
        <v>3</v>
      </c>
      <c r="T360" s="101">
        <f t="shared" si="173"/>
        <v>8</v>
      </c>
      <c r="U360" s="15" t="str">
        <f>_xlfn.TEXTJOIN(", ",TRUE,ABS(MID(B360,{1,1,2},1)-MID(B360,{2,3,3},1)))</f>
        <v>1, 4, 3</v>
      </c>
      <c r="V360" s="54">
        <v>0</v>
      </c>
      <c r="W360" s="54">
        <v>1</v>
      </c>
      <c r="X360" s="54">
        <v>2</v>
      </c>
      <c r="Y360" s="54">
        <v>3</v>
      </c>
      <c r="Z360" s="54">
        <v>4</v>
      </c>
      <c r="AA360" s="54">
        <v>5</v>
      </c>
      <c r="AB360" s="54">
        <v>6</v>
      </c>
      <c r="AC360" s="54">
        <v>7</v>
      </c>
      <c r="AD360" s="54">
        <v>8</v>
      </c>
      <c r="AE360" s="54">
        <v>9</v>
      </c>
      <c r="AF360" s="55">
        <v>0</v>
      </c>
      <c r="AG360" s="55">
        <v>1</v>
      </c>
      <c r="AH360" s="55">
        <v>2</v>
      </c>
      <c r="AI360" s="55">
        <v>3</v>
      </c>
      <c r="AJ360" s="55">
        <v>4</v>
      </c>
      <c r="AK360" s="55">
        <v>5</v>
      </c>
      <c r="AL360" s="55">
        <v>6</v>
      </c>
      <c r="AM360" s="55">
        <v>7</v>
      </c>
      <c r="AN360" s="55">
        <v>8</v>
      </c>
      <c r="AO360" s="55">
        <v>9</v>
      </c>
      <c r="AP360" s="105">
        <v>0</v>
      </c>
      <c r="AQ360" s="105">
        <v>1</v>
      </c>
      <c r="AR360" s="105">
        <v>2</v>
      </c>
      <c r="AS360" s="105">
        <v>3</v>
      </c>
      <c r="AT360" s="105">
        <v>4</v>
      </c>
      <c r="AU360" s="105">
        <v>5</v>
      </c>
      <c r="AV360" s="105">
        <v>6</v>
      </c>
      <c r="AW360" s="105">
        <v>7</v>
      </c>
      <c r="AX360" s="105">
        <v>8</v>
      </c>
      <c r="AY360" s="105">
        <v>9</v>
      </c>
      <c r="AZ360" s="56">
        <v>0</v>
      </c>
      <c r="BA360" s="56">
        <v>1</v>
      </c>
      <c r="BB360" s="56">
        <v>2</v>
      </c>
      <c r="BC360" s="56">
        <v>3</v>
      </c>
      <c r="BD360" s="56">
        <v>4</v>
      </c>
      <c r="BE360" s="56">
        <v>5</v>
      </c>
      <c r="BF360" s="56">
        <v>6</v>
      </c>
      <c r="BG360" s="56">
        <v>7</v>
      </c>
      <c r="BH360" s="56">
        <v>8</v>
      </c>
      <c r="BI360" s="56">
        <v>9</v>
      </c>
      <c r="BJ360" s="57" t="str">
        <f t="shared" si="174"/>
        <v>紧凑型</v>
      </c>
      <c r="BK360" s="13">
        <f t="shared" si="170"/>
        <v>1</v>
      </c>
      <c r="BL360" s="13">
        <f t="shared" si="171"/>
        <v>4</v>
      </c>
      <c r="BM360" s="18">
        <f t="shared" si="176"/>
        <v>1</v>
      </c>
      <c r="BN360" s="19">
        <f t="shared" si="177"/>
        <v>1</v>
      </c>
      <c r="BO360" s="19" t="str">
        <f t="array" ref="BO360">_xlfn.TEXTJOIN("",TRUE,IF(ISERROR(FIND(ROW($1:$10)-1,BM360&amp;BN360)),ROW($1:$10)-1,""))</f>
        <v>023456789</v>
      </c>
      <c r="BP360" s="20" t="str">
        <f t="shared" si="178"/>
        <v>复隔中</v>
      </c>
      <c r="BQ360" s="21">
        <f t="shared" si="189"/>
        <v>4</v>
      </c>
      <c r="BR360" s="21" t="str">
        <f t="shared" si="187"/>
        <v/>
      </c>
      <c r="BS360" s="21" t="str">
        <f t="array" ref="BS360">_xlfn.TEXTJOIN("",TRUE,IF(ISERROR(FIND(ROW($1:$10)-1,BQ360&amp;BR360)),ROW($1:$10)-1,""))</f>
        <v>012356789</v>
      </c>
      <c r="BT360" s="20" t="str">
        <f t="shared" si="179"/>
        <v>复中中</v>
      </c>
      <c r="BU360" s="22">
        <f t="shared" si="180"/>
        <v>3</v>
      </c>
      <c r="BV360" s="22" t="str">
        <f t="shared" si="188"/>
        <v/>
      </c>
      <c r="BW360" s="22" t="str">
        <f t="array" ref="BW360">_xlfn.TEXTJOIN("",TRUE,IF(ISERROR(FIND(ROW($1:$10)-1,BU360&amp;BV360)),ROW($1:$10)-1,""))</f>
        <v>012456789</v>
      </c>
      <c r="BX360" s="20" t="str">
        <f t="shared" si="181"/>
        <v>复中中</v>
      </c>
      <c r="BY360" s="23" t="str">
        <f t="shared" si="175"/>
        <v>02</v>
      </c>
      <c r="BZ360" s="24" t="str">
        <f t="array" ref="BZ360">_xlfn.TEXTJOIN("",TRUE,IF(ISNUMBER(FIND(MID(BY359&amp;Q359,ROW($1:$4),1),BY360&amp;Q360)),MID(BY359&amp;Q359,ROW($1:$4),1),""))</f>
        <v>2</v>
      </c>
      <c r="CA360" s="25" t="str">
        <f t="array" ref="CA360">_xlfn.TEXTJOIN("",TRUE,IF(ISERROR(FIND(ROW($1:$10)-1,BY360&amp;BZ360)),ROW($1:$10)-1,""))</f>
        <v>13456789</v>
      </c>
      <c r="CB360" s="26" t="str">
        <f t="shared" si="182"/>
        <v>邻传孤</v>
      </c>
      <c r="CC360" s="27" t="str">
        <f t="shared" si="183"/>
        <v>35</v>
      </c>
      <c r="CD360" s="27" t="str">
        <f t="array" ref="CD360">_xlfn.TEXTJOIN("",TRUE,IF(ISNUMBER(FIND(MID(CC359&amp;R359,ROW($1:$4),1),CC360&amp;R360)),MID(CC359&amp;R359,ROW($1:$4),1),""))</f>
        <v/>
      </c>
      <c r="CE360" s="27" t="str">
        <f t="array" ref="CE360">_xlfn.TEXTJOIN("",TRUE,IF(ISERROR(FIND(ROW($1:$10)-1,CC360&amp;CD360)),ROW($1:$10)-1,""))</f>
        <v>01246789</v>
      </c>
      <c r="CF360" s="17" t="str">
        <f t="shared" si="184"/>
        <v>邻孤孤</v>
      </c>
      <c r="CG360" s="22" t="str">
        <f t="shared" si="185"/>
        <v>24</v>
      </c>
      <c r="CH360" s="22" t="str">
        <f t="array" ref="CH360">_xlfn.TEXTJOIN("",TRUE,IF(ISNUMBER(FIND(MID(CG359&amp;S359,ROW($1:$4),1),CG360&amp;S360)),MID(CG359&amp;S359,ROW($1:$4),1),""))</f>
        <v>34</v>
      </c>
      <c r="CI360" s="22" t="str">
        <f t="array" ref="CI360">_xlfn.TEXTJOIN("",TRUE,IF(ISERROR(FIND(ROW($1:$10)-1,CG360&amp;CH360)),ROW($1:$10)-1,""))</f>
        <v>0156789</v>
      </c>
      <c r="CJ360" s="28" t="str">
        <f t="shared" si="186"/>
        <v>邻传孤</v>
      </c>
    </row>
    <row r="361" spans="1:88">
      <c r="A361" s="32">
        <v>2025136</v>
      </c>
      <c r="B361" s="8" t="s">
        <v>316</v>
      </c>
      <c r="C361" s="49">
        <f t="shared" ref="C361:C382" si="195">LEFT(B361,1)+MID(B361,2,1)+RIGHT(B361,1)</f>
        <v>5</v>
      </c>
      <c r="D361" s="50">
        <f t="shared" ref="D361:D382" si="196">MOD(LEFT(B361,1)+MID(B361,2,1)+RIGHT(B361,1),10)</f>
        <v>5</v>
      </c>
      <c r="E361" s="51">
        <f t="shared" si="172"/>
        <v>1.6666666666666701</v>
      </c>
      <c r="F361" s="52">
        <f>MAX(MID(B361,{1,2,3},1)*1)-MIN(MID(B361,{1,2,3},1)*1)</f>
        <v>2</v>
      </c>
      <c r="G361" s="104">
        <v>0</v>
      </c>
      <c r="H361" s="104">
        <v>1</v>
      </c>
      <c r="I361" s="104">
        <v>2</v>
      </c>
      <c r="J361" s="104">
        <v>3</v>
      </c>
      <c r="K361" s="104">
        <v>4</v>
      </c>
      <c r="L361" s="104">
        <v>5</v>
      </c>
      <c r="M361" s="104">
        <v>6</v>
      </c>
      <c r="N361" s="104">
        <v>7</v>
      </c>
      <c r="O361" s="104">
        <v>8</v>
      </c>
      <c r="P361" s="104">
        <v>9</v>
      </c>
      <c r="Q361" s="53">
        <f t="shared" ref="Q361:Q382" si="197">ABS(LEFT(B361,1)-MID(B361,2,1))</f>
        <v>0</v>
      </c>
      <c r="R361" s="53">
        <f t="shared" ref="R361:R382" si="198">ABS(LEFT(B361,1)-RIGHT(B361,1))</f>
        <v>2</v>
      </c>
      <c r="S361" s="53">
        <f t="shared" ref="S361:S382" si="199">ABS(MID(B361,2,1)-RIGHT(B361,1))</f>
        <v>2</v>
      </c>
      <c r="T361" s="101">
        <f t="shared" si="173"/>
        <v>4</v>
      </c>
      <c r="U361" s="15" t="str">
        <f>_xlfn.TEXTJOIN(", ",TRUE,ABS(MID(B361,{1,1,2},1)-MID(B361,{2,3,3},1)))</f>
        <v>0, 2, 2</v>
      </c>
      <c r="V361" s="54">
        <v>0</v>
      </c>
      <c r="W361" s="54">
        <v>1</v>
      </c>
      <c r="X361" s="54">
        <v>2</v>
      </c>
      <c r="Y361" s="54">
        <v>3</v>
      </c>
      <c r="Z361" s="54">
        <v>4</v>
      </c>
      <c r="AA361" s="54">
        <v>5</v>
      </c>
      <c r="AB361" s="54">
        <v>6</v>
      </c>
      <c r="AC361" s="54">
        <v>7</v>
      </c>
      <c r="AD361" s="54">
        <v>8</v>
      </c>
      <c r="AE361" s="54">
        <v>9</v>
      </c>
      <c r="AF361" s="55">
        <v>0</v>
      </c>
      <c r="AG361" s="55">
        <v>1</v>
      </c>
      <c r="AH361" s="55">
        <v>2</v>
      </c>
      <c r="AI361" s="55">
        <v>3</v>
      </c>
      <c r="AJ361" s="55">
        <v>4</v>
      </c>
      <c r="AK361" s="55">
        <v>5</v>
      </c>
      <c r="AL361" s="55">
        <v>6</v>
      </c>
      <c r="AM361" s="55">
        <v>7</v>
      </c>
      <c r="AN361" s="55">
        <v>8</v>
      </c>
      <c r="AO361" s="55">
        <v>9</v>
      </c>
      <c r="AP361" s="105">
        <v>0</v>
      </c>
      <c r="AQ361" s="105">
        <v>1</v>
      </c>
      <c r="AR361" s="105">
        <v>2</v>
      </c>
      <c r="AS361" s="105">
        <v>3</v>
      </c>
      <c r="AT361" s="105">
        <v>4</v>
      </c>
      <c r="AU361" s="105">
        <v>5</v>
      </c>
      <c r="AV361" s="105">
        <v>6</v>
      </c>
      <c r="AW361" s="105">
        <v>7</v>
      </c>
      <c r="AX361" s="105">
        <v>8</v>
      </c>
      <c r="AY361" s="105">
        <v>9</v>
      </c>
      <c r="AZ361" s="56">
        <v>0</v>
      </c>
      <c r="BA361" s="56">
        <v>1</v>
      </c>
      <c r="BB361" s="56">
        <v>2</v>
      </c>
      <c r="BC361" s="56">
        <v>3</v>
      </c>
      <c r="BD361" s="56">
        <v>4</v>
      </c>
      <c r="BE361" s="56">
        <v>5</v>
      </c>
      <c r="BF361" s="56">
        <v>6</v>
      </c>
      <c r="BG361" s="56">
        <v>7</v>
      </c>
      <c r="BH361" s="56">
        <v>8</v>
      </c>
      <c r="BI361" s="56">
        <v>9</v>
      </c>
      <c r="BJ361" s="57" t="str">
        <f t="shared" si="174"/>
        <v>紧凑型</v>
      </c>
      <c r="BK361" s="13">
        <f t="shared" si="170"/>
        <v>0</v>
      </c>
      <c r="BL361" s="13">
        <f t="shared" si="171"/>
        <v>2</v>
      </c>
      <c r="BM361" s="18" t="str">
        <f t="shared" si="176"/>
        <v/>
      </c>
      <c r="BN361" s="19" t="str">
        <f t="shared" si="177"/>
        <v/>
      </c>
      <c r="BO361" s="19" t="str">
        <f t="array" ref="BO361">_xlfn.TEXTJOIN("",TRUE,IF(ISERROR(FIND(ROW($1:$10)-1,BM361&amp;BN361)),ROW($1:$10)-1,""))</f>
        <v>0123456789</v>
      </c>
      <c r="BP361" s="20" t="str">
        <f t="shared" si="178"/>
        <v>中中中</v>
      </c>
      <c r="BQ361" s="21" t="str">
        <f t="shared" si="189"/>
        <v/>
      </c>
      <c r="BR361" s="21" t="str">
        <f t="shared" si="187"/>
        <v/>
      </c>
      <c r="BS361" s="21" t="str">
        <f t="array" ref="BS361">_xlfn.TEXTJOIN("",TRUE,IF(ISERROR(FIND(ROW($1:$10)-1,BQ361&amp;BR361)),ROW($1:$10)-1,""))</f>
        <v>0123456789</v>
      </c>
      <c r="BT361" s="20" t="str">
        <f t="shared" si="179"/>
        <v>中中中</v>
      </c>
      <c r="BU361" s="22" t="str">
        <f t="shared" si="180"/>
        <v/>
      </c>
      <c r="BV361" s="22" t="str">
        <f t="shared" si="188"/>
        <v/>
      </c>
      <c r="BW361" s="22" t="str">
        <f t="array" ref="BW361">_xlfn.TEXTJOIN("",TRUE,IF(ISERROR(FIND(ROW($1:$10)-1,BU361&amp;BV361)),ROW($1:$10)-1,""))</f>
        <v>0123456789</v>
      </c>
      <c r="BX361" s="20" t="str">
        <f t="shared" si="181"/>
        <v>中中中</v>
      </c>
      <c r="BY361" s="23" t="str">
        <f t="shared" si="175"/>
        <v>91</v>
      </c>
      <c r="BZ361" s="24" t="str">
        <f t="array" ref="BZ361">_xlfn.TEXTJOIN("",TRUE,IF(ISNUMBER(FIND(MID(BY360&amp;Q360,ROW($1:$4),1),BY361&amp;Q361)),MID(BY360&amp;Q360,ROW($1:$4),1),""))</f>
        <v>01</v>
      </c>
      <c r="CA361" s="25" t="str">
        <f t="array" ref="CA361">_xlfn.TEXTJOIN("",TRUE,IF(ISERROR(FIND(ROW($1:$10)-1,BY361&amp;BZ361)),ROW($1:$10)-1,""))</f>
        <v>2345678</v>
      </c>
      <c r="CB361" s="26" t="str">
        <f t="shared" si="182"/>
        <v>邻传孤</v>
      </c>
      <c r="CC361" s="27" t="str">
        <f t="shared" si="183"/>
        <v>13</v>
      </c>
      <c r="CD361" s="27" t="str">
        <f t="array" ref="CD361">_xlfn.TEXTJOIN("",TRUE,IF(ISNUMBER(FIND(MID(CC360&amp;R360,ROW($1:$4),1),CC361&amp;R361)),MID(CC360&amp;R360,ROW($1:$4),1),""))</f>
        <v>3</v>
      </c>
      <c r="CE361" s="27" t="str">
        <f t="array" ref="CE361">_xlfn.TEXTJOIN("",TRUE,IF(ISERROR(FIND(ROW($1:$10)-1,CC361&amp;CD361)),ROW($1:$10)-1,""))</f>
        <v>02456789</v>
      </c>
      <c r="CF361" s="17" t="str">
        <f t="shared" si="184"/>
        <v>邻传孤</v>
      </c>
      <c r="CG361" s="22" t="str">
        <f t="shared" si="185"/>
        <v>13</v>
      </c>
      <c r="CH361" s="22" t="str">
        <f t="array" ref="CH361">_xlfn.TEXTJOIN("",TRUE,IF(ISNUMBER(FIND(MID(CG360&amp;S360,ROW($1:$4),1),CG361&amp;S361)),MID(CG360&amp;S360,ROW($1:$4),1),""))</f>
        <v>23</v>
      </c>
      <c r="CI361" s="22" t="str">
        <f t="array" ref="CI361">_xlfn.TEXTJOIN("",TRUE,IF(ISERROR(FIND(ROW($1:$10)-1,CG361&amp;CH361)),ROW($1:$10)-1,""))</f>
        <v>0456789</v>
      </c>
      <c r="CJ361" s="28" t="str">
        <f t="shared" si="186"/>
        <v>邻传孤</v>
      </c>
    </row>
    <row r="362" spans="1:88">
      <c r="A362" s="32">
        <v>2025137</v>
      </c>
      <c r="B362" s="8" t="s">
        <v>317</v>
      </c>
      <c r="C362" s="49">
        <f t="shared" si="195"/>
        <v>19</v>
      </c>
      <c r="D362" s="50">
        <f t="shared" si="196"/>
        <v>9</v>
      </c>
      <c r="E362" s="51">
        <f t="shared" si="172"/>
        <v>6.3333333333333304</v>
      </c>
      <c r="F362" s="52">
        <f>MAX(MID(B362,{1,2,3},1)*1)-MIN(MID(B362,{1,2,3},1)*1)</f>
        <v>5</v>
      </c>
      <c r="G362" s="104">
        <v>0</v>
      </c>
      <c r="H362" s="104">
        <v>1</v>
      </c>
      <c r="I362" s="104">
        <v>2</v>
      </c>
      <c r="J362" s="104">
        <v>3</v>
      </c>
      <c r="K362" s="104">
        <v>4</v>
      </c>
      <c r="L362" s="104">
        <v>5</v>
      </c>
      <c r="M362" s="104">
        <v>6</v>
      </c>
      <c r="N362" s="104">
        <v>7</v>
      </c>
      <c r="O362" s="104">
        <v>8</v>
      </c>
      <c r="P362" s="104">
        <v>9</v>
      </c>
      <c r="Q362" s="53">
        <f t="shared" si="197"/>
        <v>5</v>
      </c>
      <c r="R362" s="53">
        <f t="shared" si="198"/>
        <v>0</v>
      </c>
      <c r="S362" s="53">
        <f t="shared" si="199"/>
        <v>5</v>
      </c>
      <c r="T362" s="101">
        <f t="shared" si="173"/>
        <v>10</v>
      </c>
      <c r="U362" s="15" t="str">
        <f>_xlfn.TEXTJOIN(", ",TRUE,ABS(MID(B362,{1,1,2},1)-MID(B362,{2,3,3},1)))</f>
        <v>5, 0, 5</v>
      </c>
      <c r="V362" s="54">
        <v>0</v>
      </c>
      <c r="W362" s="54">
        <v>1</v>
      </c>
      <c r="X362" s="54">
        <v>2</v>
      </c>
      <c r="Y362" s="54">
        <v>3</v>
      </c>
      <c r="Z362" s="54">
        <v>4</v>
      </c>
      <c r="AA362" s="54">
        <v>5</v>
      </c>
      <c r="AB362" s="54">
        <v>6</v>
      </c>
      <c r="AC362" s="54">
        <v>7</v>
      </c>
      <c r="AD362" s="54">
        <v>8</v>
      </c>
      <c r="AE362" s="54">
        <v>9</v>
      </c>
      <c r="AF362" s="55">
        <v>0</v>
      </c>
      <c r="AG362" s="55">
        <v>1</v>
      </c>
      <c r="AH362" s="55">
        <v>2</v>
      </c>
      <c r="AI362" s="55">
        <v>3</v>
      </c>
      <c r="AJ362" s="55">
        <v>4</v>
      </c>
      <c r="AK362" s="55">
        <v>5</v>
      </c>
      <c r="AL362" s="55">
        <v>6</v>
      </c>
      <c r="AM362" s="55">
        <v>7</v>
      </c>
      <c r="AN362" s="55">
        <v>8</v>
      </c>
      <c r="AO362" s="55">
        <v>9</v>
      </c>
      <c r="AP362" s="105">
        <v>0</v>
      </c>
      <c r="AQ362" s="105">
        <v>1</v>
      </c>
      <c r="AR362" s="105">
        <v>2</v>
      </c>
      <c r="AS362" s="105">
        <v>3</v>
      </c>
      <c r="AT362" s="105">
        <v>4</v>
      </c>
      <c r="AU362" s="105">
        <v>5</v>
      </c>
      <c r="AV362" s="105">
        <v>6</v>
      </c>
      <c r="AW362" s="105">
        <v>7</v>
      </c>
      <c r="AX362" s="105">
        <v>8</v>
      </c>
      <c r="AY362" s="105">
        <v>9</v>
      </c>
      <c r="AZ362" s="56">
        <v>0</v>
      </c>
      <c r="BA362" s="56">
        <v>1</v>
      </c>
      <c r="BB362" s="56">
        <v>2</v>
      </c>
      <c r="BC362" s="56">
        <v>3</v>
      </c>
      <c r="BD362" s="56">
        <v>4</v>
      </c>
      <c r="BE362" s="56">
        <v>5</v>
      </c>
      <c r="BF362" s="56">
        <v>6</v>
      </c>
      <c r="BG362" s="56">
        <v>7</v>
      </c>
      <c r="BH362" s="56">
        <v>8</v>
      </c>
      <c r="BI362" s="56">
        <v>9</v>
      </c>
      <c r="BJ362" s="57" t="str">
        <f t="shared" si="174"/>
        <v>对子</v>
      </c>
      <c r="BK362" s="13">
        <f t="shared" si="170"/>
        <v>0</v>
      </c>
      <c r="BL362" s="13">
        <f t="shared" si="171"/>
        <v>5</v>
      </c>
      <c r="BM362" s="18" t="str">
        <f t="shared" si="176"/>
        <v/>
      </c>
      <c r="BN362" s="19" t="str">
        <f t="shared" si="177"/>
        <v/>
      </c>
      <c r="BO362" s="19" t="str">
        <f t="array" ref="BO362">_xlfn.TEXTJOIN("",TRUE,IF(ISERROR(FIND(ROW($1:$10)-1,BM362&amp;BN362)),ROW($1:$10)-1,""))</f>
        <v>0123456789</v>
      </c>
      <c r="BP362" s="20" t="str">
        <f t="shared" si="178"/>
        <v>中中中</v>
      </c>
      <c r="BQ362" s="21">
        <f t="shared" si="189"/>
        <v>0</v>
      </c>
      <c r="BR362" s="21" t="str">
        <f t="shared" si="187"/>
        <v/>
      </c>
      <c r="BS362" s="21" t="str">
        <f t="array" ref="BS362">_xlfn.TEXTJOIN("",TRUE,IF(ISERROR(FIND(ROW($1:$10)-1,BQ362&amp;BR362)),ROW($1:$10)-1,""))</f>
        <v>123456789</v>
      </c>
      <c r="BT362" s="20" t="str">
        <f t="shared" si="179"/>
        <v>复中中</v>
      </c>
      <c r="BU362" s="22" t="str">
        <f t="shared" si="180"/>
        <v/>
      </c>
      <c r="BV362" s="22" t="str">
        <f t="shared" si="188"/>
        <v/>
      </c>
      <c r="BW362" s="22" t="str">
        <f t="array" ref="BW362">_xlfn.TEXTJOIN("",TRUE,IF(ISERROR(FIND(ROW($1:$10)-1,BU362&amp;BV362)),ROW($1:$10)-1,""))</f>
        <v>0123456789</v>
      </c>
      <c r="BX362" s="20" t="str">
        <f t="shared" si="181"/>
        <v>中中中</v>
      </c>
      <c r="BY362" s="23" t="str">
        <f t="shared" si="175"/>
        <v>46</v>
      </c>
      <c r="BZ362" s="24" t="str">
        <f t="array" ref="BZ362">_xlfn.TEXTJOIN("",TRUE,IF(ISNUMBER(FIND(MID(BY361&amp;Q361,ROW($1:$4),1),BY362&amp;Q362)),MID(BY361&amp;Q361,ROW($1:$4),1),""))</f>
        <v/>
      </c>
      <c r="CA362" s="25" t="str">
        <f t="array" ref="CA362">_xlfn.TEXTJOIN("",TRUE,IF(ISERROR(FIND(ROW($1:$10)-1,BY362&amp;BZ362)),ROW($1:$10)-1,""))</f>
        <v>01235789</v>
      </c>
      <c r="CB362" s="26" t="str">
        <f t="shared" si="182"/>
        <v>邻孤孤</v>
      </c>
      <c r="CC362" s="27" t="str">
        <f t="shared" si="183"/>
        <v>91</v>
      </c>
      <c r="CD362" s="27" t="str">
        <f t="array" ref="CD362">_xlfn.TEXTJOIN("",TRUE,IF(ISNUMBER(FIND(MID(CC361&amp;R361,ROW($1:$4),1),CC362&amp;R362)),MID(CC361&amp;R361,ROW($1:$4),1),""))</f>
        <v>1</v>
      </c>
      <c r="CE362" s="27" t="str">
        <f t="array" ref="CE362">_xlfn.TEXTJOIN("",TRUE,IF(ISERROR(FIND(ROW($1:$10)-1,CC362&amp;CD362)),ROW($1:$10)-1,""))</f>
        <v>02345678</v>
      </c>
      <c r="CF362" s="17" t="str">
        <f t="shared" si="184"/>
        <v>邻传孤</v>
      </c>
      <c r="CG362" s="22" t="str">
        <f t="shared" si="185"/>
        <v>46</v>
      </c>
      <c r="CH362" s="22" t="str">
        <f t="array" ref="CH362">_xlfn.TEXTJOIN("",TRUE,IF(ISNUMBER(FIND(MID(CG361&amp;S361,ROW($1:$4),1),CG362&amp;S362)),MID(CG361&amp;S361,ROW($1:$4),1),""))</f>
        <v/>
      </c>
      <c r="CI362" s="22" t="str">
        <f t="array" ref="CI362">_xlfn.TEXTJOIN("",TRUE,IF(ISERROR(FIND(ROW($1:$10)-1,CG362&amp;CH362)),ROW($1:$10)-1,""))</f>
        <v>01235789</v>
      </c>
      <c r="CJ362" s="28" t="str">
        <f t="shared" si="186"/>
        <v>邻孤孤</v>
      </c>
    </row>
    <row r="363" spans="1:88">
      <c r="A363" s="32">
        <v>2025138</v>
      </c>
      <c r="B363" s="8" t="s">
        <v>181</v>
      </c>
      <c r="C363" s="49">
        <f t="shared" si="195"/>
        <v>17</v>
      </c>
      <c r="D363" s="50">
        <f t="shared" si="196"/>
        <v>7</v>
      </c>
      <c r="E363" s="51">
        <f t="shared" si="172"/>
        <v>5.6666666666666696</v>
      </c>
      <c r="F363" s="52">
        <f>MAX(MID(B363,{1,2,3},1)*1)-MIN(MID(B363,{1,2,3},1)*1)</f>
        <v>7</v>
      </c>
      <c r="G363" s="104">
        <v>0</v>
      </c>
      <c r="H363" s="104">
        <v>1</v>
      </c>
      <c r="I363" s="104">
        <v>2</v>
      </c>
      <c r="J363" s="104">
        <v>3</v>
      </c>
      <c r="K363" s="104">
        <v>4</v>
      </c>
      <c r="L363" s="104">
        <v>5</v>
      </c>
      <c r="M363" s="104">
        <v>6</v>
      </c>
      <c r="N363" s="104">
        <v>7</v>
      </c>
      <c r="O363" s="104">
        <v>8</v>
      </c>
      <c r="P363" s="104">
        <v>9</v>
      </c>
      <c r="Q363" s="53">
        <f t="shared" si="197"/>
        <v>7</v>
      </c>
      <c r="R363" s="53">
        <f t="shared" si="198"/>
        <v>4</v>
      </c>
      <c r="S363" s="53">
        <f t="shared" si="199"/>
        <v>3</v>
      </c>
      <c r="T363" s="101">
        <f t="shared" si="173"/>
        <v>14</v>
      </c>
      <c r="U363" s="15" t="str">
        <f>_xlfn.TEXTJOIN(", ",TRUE,ABS(MID(B363,{1,1,2},1)-MID(B363,{2,3,3},1)))</f>
        <v>7, 4, 3</v>
      </c>
      <c r="V363" s="54">
        <v>0</v>
      </c>
      <c r="W363" s="54">
        <v>1</v>
      </c>
      <c r="X363" s="54">
        <v>2</v>
      </c>
      <c r="Y363" s="54">
        <v>3</v>
      </c>
      <c r="Z363" s="54">
        <v>4</v>
      </c>
      <c r="AA363" s="54">
        <v>5</v>
      </c>
      <c r="AB363" s="54">
        <v>6</v>
      </c>
      <c r="AC363" s="54">
        <v>7</v>
      </c>
      <c r="AD363" s="54">
        <v>8</v>
      </c>
      <c r="AE363" s="54">
        <v>9</v>
      </c>
      <c r="AF363" s="55">
        <v>0</v>
      </c>
      <c r="AG363" s="55">
        <v>1</v>
      </c>
      <c r="AH363" s="55">
        <v>2</v>
      </c>
      <c r="AI363" s="55">
        <v>3</v>
      </c>
      <c r="AJ363" s="55">
        <v>4</v>
      </c>
      <c r="AK363" s="55">
        <v>5</v>
      </c>
      <c r="AL363" s="55">
        <v>6</v>
      </c>
      <c r="AM363" s="55">
        <v>7</v>
      </c>
      <c r="AN363" s="55">
        <v>8</v>
      </c>
      <c r="AO363" s="55">
        <v>9</v>
      </c>
      <c r="AP363" s="105">
        <v>0</v>
      </c>
      <c r="AQ363" s="105">
        <v>1</v>
      </c>
      <c r="AR363" s="105">
        <v>2</v>
      </c>
      <c r="AS363" s="105">
        <v>3</v>
      </c>
      <c r="AT363" s="105">
        <v>4</v>
      </c>
      <c r="AU363" s="105">
        <v>5</v>
      </c>
      <c r="AV363" s="105">
        <v>6</v>
      </c>
      <c r="AW363" s="105">
        <v>7</v>
      </c>
      <c r="AX363" s="105">
        <v>8</v>
      </c>
      <c r="AY363" s="105">
        <v>9</v>
      </c>
      <c r="AZ363" s="56">
        <v>0</v>
      </c>
      <c r="BA363" s="56">
        <v>1</v>
      </c>
      <c r="BB363" s="56">
        <v>2</v>
      </c>
      <c r="BC363" s="56">
        <v>3</v>
      </c>
      <c r="BD363" s="56">
        <v>4</v>
      </c>
      <c r="BE363" s="56">
        <v>5</v>
      </c>
      <c r="BF363" s="56">
        <v>6</v>
      </c>
      <c r="BG363" s="56">
        <v>7</v>
      </c>
      <c r="BH363" s="56">
        <v>8</v>
      </c>
      <c r="BI363" s="56">
        <v>9</v>
      </c>
      <c r="BJ363" s="57" t="str">
        <f t="shared" si="174"/>
        <v>松散型</v>
      </c>
      <c r="BK363" s="13">
        <f t="shared" si="170"/>
        <v>3</v>
      </c>
      <c r="BL363" s="13">
        <f t="shared" si="171"/>
        <v>7</v>
      </c>
      <c r="BM363" s="18" t="str">
        <f t="shared" si="176"/>
        <v/>
      </c>
      <c r="BN363" s="19" t="str">
        <f t="shared" si="177"/>
        <v/>
      </c>
      <c r="BO363" s="19" t="str">
        <f t="array" ref="BO363">_xlfn.TEXTJOIN("",TRUE,IF(ISERROR(FIND(ROW($1:$10)-1,BM363&amp;BN363)),ROW($1:$10)-1,""))</f>
        <v>0123456789</v>
      </c>
      <c r="BP363" s="20" t="str">
        <f t="shared" si="178"/>
        <v>中中中</v>
      </c>
      <c r="BQ363" s="21" t="str">
        <f t="shared" si="189"/>
        <v/>
      </c>
      <c r="BR363" s="21" t="str">
        <f t="shared" si="187"/>
        <v/>
      </c>
      <c r="BS363" s="21" t="str">
        <f t="array" ref="BS363">_xlfn.TEXTJOIN("",TRUE,IF(ISERROR(FIND(ROW($1:$10)-1,BQ363&amp;BR363)),ROW($1:$10)-1,""))</f>
        <v>0123456789</v>
      </c>
      <c r="BT363" s="20" t="str">
        <f t="shared" si="179"/>
        <v>中中中</v>
      </c>
      <c r="BU363" s="22" t="str">
        <f t="shared" si="180"/>
        <v/>
      </c>
      <c r="BV363" s="22" t="str">
        <f t="shared" si="188"/>
        <v/>
      </c>
      <c r="BW363" s="22" t="str">
        <f t="array" ref="BW363">_xlfn.TEXTJOIN("",TRUE,IF(ISERROR(FIND(ROW($1:$10)-1,BU363&amp;BV363)),ROW($1:$10)-1,""))</f>
        <v>0123456789</v>
      </c>
      <c r="BX363" s="20" t="str">
        <f t="shared" si="181"/>
        <v>中中中</v>
      </c>
      <c r="BY363" s="23" t="str">
        <f t="shared" si="175"/>
        <v>68</v>
      </c>
      <c r="BZ363" s="24" t="str">
        <f t="array" ref="BZ363">_xlfn.TEXTJOIN("",TRUE,IF(ISNUMBER(FIND(MID(BY362&amp;Q362,ROW($1:$4),1),BY363&amp;Q363)),MID(BY362&amp;Q362,ROW($1:$4),1),""))</f>
        <v>6</v>
      </c>
      <c r="CA363" s="25" t="str">
        <f t="array" ref="CA363">_xlfn.TEXTJOIN("",TRUE,IF(ISERROR(FIND(ROW($1:$10)-1,BY363&amp;BZ363)),ROW($1:$10)-1,""))</f>
        <v>01234579</v>
      </c>
      <c r="CB363" s="26" t="str">
        <f t="shared" si="182"/>
        <v>邻传孤</v>
      </c>
      <c r="CC363" s="27" t="str">
        <f t="shared" si="183"/>
        <v>35</v>
      </c>
      <c r="CD363" s="27" t="str">
        <f t="array" ref="CD363">_xlfn.TEXTJOIN("",TRUE,IF(ISNUMBER(FIND(MID(CC362&amp;R362,ROW($1:$4),1),CC363&amp;R363)),MID(CC362&amp;R362,ROW($1:$4),1),""))</f>
        <v/>
      </c>
      <c r="CE363" s="27" t="str">
        <f t="array" ref="CE363">_xlfn.TEXTJOIN("",TRUE,IF(ISERROR(FIND(ROW($1:$10)-1,CC363&amp;CD363)),ROW($1:$10)-1,""))</f>
        <v>01246789</v>
      </c>
      <c r="CF363" s="17" t="str">
        <f t="shared" si="184"/>
        <v>邻孤孤</v>
      </c>
      <c r="CG363" s="22" t="str">
        <f t="shared" si="185"/>
        <v>24</v>
      </c>
      <c r="CH363" s="22" t="str">
        <f t="array" ref="CH363">_xlfn.TEXTJOIN("",TRUE,IF(ISNUMBER(FIND(MID(CG362&amp;S362,ROW($1:$4),1),CG363&amp;S363)),MID(CG362&amp;S362,ROW($1:$4),1),""))</f>
        <v>4</v>
      </c>
      <c r="CI363" s="22" t="str">
        <f t="array" ref="CI363">_xlfn.TEXTJOIN("",TRUE,IF(ISERROR(FIND(ROW($1:$10)-1,CG363&amp;CH363)),ROW($1:$10)-1,""))</f>
        <v>01356789</v>
      </c>
      <c r="CJ363" s="28" t="str">
        <f t="shared" si="186"/>
        <v>邻传孤</v>
      </c>
    </row>
    <row r="364" spans="1:88">
      <c r="A364" s="32">
        <v>2025139</v>
      </c>
      <c r="B364" s="8" t="s">
        <v>318</v>
      </c>
      <c r="C364" s="49">
        <f t="shared" si="195"/>
        <v>22</v>
      </c>
      <c r="D364" s="50">
        <f t="shared" si="196"/>
        <v>2</v>
      </c>
      <c r="E364" s="51">
        <f t="shared" si="172"/>
        <v>7.3333333333333304</v>
      </c>
      <c r="F364" s="52">
        <f>MAX(MID(B364,{1,2,3},1)*1)-MIN(MID(B364,{1,2,3},1)*1)</f>
        <v>4</v>
      </c>
      <c r="G364" s="104">
        <v>0</v>
      </c>
      <c r="H364" s="104">
        <v>1</v>
      </c>
      <c r="I364" s="104">
        <v>2</v>
      </c>
      <c r="J364" s="104">
        <v>3</v>
      </c>
      <c r="K364" s="104">
        <v>4</v>
      </c>
      <c r="L364" s="104">
        <v>5</v>
      </c>
      <c r="M364" s="104">
        <v>6</v>
      </c>
      <c r="N364" s="104">
        <v>7</v>
      </c>
      <c r="O364" s="104">
        <v>8</v>
      </c>
      <c r="P364" s="104">
        <v>9</v>
      </c>
      <c r="Q364" s="53">
        <f t="shared" si="197"/>
        <v>4</v>
      </c>
      <c r="R364" s="53">
        <f t="shared" si="198"/>
        <v>3</v>
      </c>
      <c r="S364" s="53">
        <f t="shared" si="199"/>
        <v>1</v>
      </c>
      <c r="T364" s="101">
        <f t="shared" si="173"/>
        <v>8</v>
      </c>
      <c r="U364" s="15" t="str">
        <f>_xlfn.TEXTJOIN(", ",TRUE,ABS(MID(B364,{1,1,2},1)-MID(B364,{2,3,3},1)))</f>
        <v>4, 3, 1</v>
      </c>
      <c r="V364" s="54">
        <v>0</v>
      </c>
      <c r="W364" s="54">
        <v>1</v>
      </c>
      <c r="X364" s="54">
        <v>2</v>
      </c>
      <c r="Y364" s="54">
        <v>3</v>
      </c>
      <c r="Z364" s="54">
        <v>4</v>
      </c>
      <c r="AA364" s="54">
        <v>5</v>
      </c>
      <c r="AB364" s="54">
        <v>6</v>
      </c>
      <c r="AC364" s="54">
        <v>7</v>
      </c>
      <c r="AD364" s="54">
        <v>8</v>
      </c>
      <c r="AE364" s="54">
        <v>9</v>
      </c>
      <c r="AF364" s="55">
        <v>0</v>
      </c>
      <c r="AG364" s="55">
        <v>1</v>
      </c>
      <c r="AH364" s="55">
        <v>2</v>
      </c>
      <c r="AI364" s="55">
        <v>3</v>
      </c>
      <c r="AJ364" s="55">
        <v>4</v>
      </c>
      <c r="AK364" s="55">
        <v>5</v>
      </c>
      <c r="AL364" s="55">
        <v>6</v>
      </c>
      <c r="AM364" s="55">
        <v>7</v>
      </c>
      <c r="AN364" s="55">
        <v>8</v>
      </c>
      <c r="AO364" s="55">
        <v>9</v>
      </c>
      <c r="AP364" s="105">
        <v>0</v>
      </c>
      <c r="AQ364" s="105">
        <v>1</v>
      </c>
      <c r="AR364" s="105">
        <v>2</v>
      </c>
      <c r="AS364" s="105">
        <v>3</v>
      </c>
      <c r="AT364" s="105">
        <v>4</v>
      </c>
      <c r="AU364" s="105">
        <v>5</v>
      </c>
      <c r="AV364" s="105">
        <v>6</v>
      </c>
      <c r="AW364" s="105">
        <v>7</v>
      </c>
      <c r="AX364" s="105">
        <v>8</v>
      </c>
      <c r="AY364" s="105">
        <v>9</v>
      </c>
      <c r="AZ364" s="56">
        <v>0</v>
      </c>
      <c r="BA364" s="56">
        <v>1</v>
      </c>
      <c r="BB364" s="56">
        <v>2</v>
      </c>
      <c r="BC364" s="56">
        <v>3</v>
      </c>
      <c r="BD364" s="56">
        <v>4</v>
      </c>
      <c r="BE364" s="56">
        <v>5</v>
      </c>
      <c r="BF364" s="56">
        <v>6</v>
      </c>
      <c r="BG364" s="56">
        <v>7</v>
      </c>
      <c r="BH364" s="56">
        <v>8</v>
      </c>
      <c r="BI364" s="56">
        <v>9</v>
      </c>
      <c r="BJ364" s="57" t="str">
        <f t="shared" si="174"/>
        <v>紧凑型</v>
      </c>
      <c r="BK364" s="13">
        <f t="shared" si="170"/>
        <v>1</v>
      </c>
      <c r="BL364" s="13">
        <f t="shared" si="171"/>
        <v>4</v>
      </c>
      <c r="BM364" s="18">
        <f t="shared" si="176"/>
        <v>4</v>
      </c>
      <c r="BN364" s="19" t="str">
        <f t="shared" si="177"/>
        <v/>
      </c>
      <c r="BO364" s="19" t="str">
        <f t="array" ref="BO364">_xlfn.TEXTJOIN("",TRUE,IF(ISERROR(FIND(ROW($1:$10)-1,BM364&amp;BN364)),ROW($1:$10)-1,""))</f>
        <v>012356789</v>
      </c>
      <c r="BP364" s="20" t="str">
        <f t="shared" si="178"/>
        <v>复中中</v>
      </c>
      <c r="BQ364" s="21">
        <f t="shared" si="189"/>
        <v>3</v>
      </c>
      <c r="BR364" s="21" t="str">
        <f t="shared" si="187"/>
        <v/>
      </c>
      <c r="BS364" s="21" t="str">
        <f t="array" ref="BS364">_xlfn.TEXTJOIN("",TRUE,IF(ISERROR(FIND(ROW($1:$10)-1,BQ364&amp;BR364)),ROW($1:$10)-1,""))</f>
        <v>012456789</v>
      </c>
      <c r="BT364" s="20" t="str">
        <f t="shared" si="179"/>
        <v>复中中</v>
      </c>
      <c r="BU364" s="22" t="str">
        <f t="shared" si="180"/>
        <v/>
      </c>
      <c r="BV364" s="22" t="str">
        <f t="shared" si="188"/>
        <v/>
      </c>
      <c r="BW364" s="22" t="str">
        <f t="array" ref="BW364">_xlfn.TEXTJOIN("",TRUE,IF(ISERROR(FIND(ROW($1:$10)-1,BU364&amp;BV364)),ROW($1:$10)-1,""))</f>
        <v>0123456789</v>
      </c>
      <c r="BX364" s="20" t="str">
        <f t="shared" si="181"/>
        <v>中中中</v>
      </c>
      <c r="BY364" s="23" t="str">
        <f t="shared" si="175"/>
        <v>35</v>
      </c>
      <c r="BZ364" s="24" t="str">
        <f t="array" ref="BZ364">_xlfn.TEXTJOIN("",TRUE,IF(ISNUMBER(FIND(MID(BY363&amp;Q363,ROW($1:$4),1),BY364&amp;Q364)),MID(BY363&amp;Q363,ROW($1:$4),1),""))</f>
        <v/>
      </c>
      <c r="CA364" s="25" t="str">
        <f t="array" ref="CA364">_xlfn.TEXTJOIN("",TRUE,IF(ISERROR(FIND(ROW($1:$10)-1,BY364&amp;BZ364)),ROW($1:$10)-1,""))</f>
        <v>01246789</v>
      </c>
      <c r="CB364" s="26" t="str">
        <f t="shared" si="182"/>
        <v>邻孤孤</v>
      </c>
      <c r="CC364" s="27" t="str">
        <f t="shared" si="183"/>
        <v>24</v>
      </c>
      <c r="CD364" s="27" t="str">
        <f t="array" ref="CD364">_xlfn.TEXTJOIN("",TRUE,IF(ISNUMBER(FIND(MID(CC363&amp;R363,ROW($1:$4),1),CC364&amp;R364)),MID(CC363&amp;R363,ROW($1:$4),1),""))</f>
        <v>34</v>
      </c>
      <c r="CE364" s="27" t="str">
        <f t="array" ref="CE364">_xlfn.TEXTJOIN("",TRUE,IF(ISERROR(FIND(ROW($1:$10)-1,CC364&amp;CD364)),ROW($1:$10)-1,""))</f>
        <v>0156789</v>
      </c>
      <c r="CF364" s="17" t="str">
        <f t="shared" si="184"/>
        <v>邻传孤</v>
      </c>
      <c r="CG364" s="22" t="str">
        <f t="shared" si="185"/>
        <v>02</v>
      </c>
      <c r="CH364" s="22" t="str">
        <f t="array" ref="CH364">_xlfn.TEXTJOIN("",TRUE,IF(ISNUMBER(FIND(MID(CG363&amp;S363,ROW($1:$4),1),CG364&amp;S364)),MID(CG363&amp;S363,ROW($1:$4),1),""))</f>
        <v>2</v>
      </c>
      <c r="CI364" s="22" t="str">
        <f t="array" ref="CI364">_xlfn.TEXTJOIN("",TRUE,IF(ISERROR(FIND(ROW($1:$10)-1,CG364&amp;CH364)),ROW($1:$10)-1,""))</f>
        <v>13456789</v>
      </c>
      <c r="CJ364" s="28" t="str">
        <f t="shared" si="186"/>
        <v>邻传孤</v>
      </c>
    </row>
    <row r="365" spans="1:88">
      <c r="A365" s="32">
        <v>2025140</v>
      </c>
      <c r="B365" s="8" t="s">
        <v>319</v>
      </c>
      <c r="C365" s="49">
        <f t="shared" si="195"/>
        <v>14</v>
      </c>
      <c r="D365" s="50">
        <f t="shared" si="196"/>
        <v>4</v>
      </c>
      <c r="E365" s="51">
        <f t="shared" si="172"/>
        <v>4.6666666666666696</v>
      </c>
      <c r="F365" s="52">
        <f>MAX(MID(B365,{1,2,3},1)*1)-MIN(MID(B365,{1,2,3},1)*1)</f>
        <v>8</v>
      </c>
      <c r="G365" s="104">
        <v>0</v>
      </c>
      <c r="H365" s="104">
        <v>1</v>
      </c>
      <c r="I365" s="104">
        <v>2</v>
      </c>
      <c r="J365" s="104">
        <v>3</v>
      </c>
      <c r="K365" s="104">
        <v>4</v>
      </c>
      <c r="L365" s="104">
        <v>5</v>
      </c>
      <c r="M365" s="104">
        <v>6</v>
      </c>
      <c r="N365" s="104">
        <v>7</v>
      </c>
      <c r="O365" s="104">
        <v>8</v>
      </c>
      <c r="P365" s="104">
        <v>9</v>
      </c>
      <c r="Q365" s="53">
        <f t="shared" si="197"/>
        <v>3</v>
      </c>
      <c r="R365" s="53">
        <f t="shared" si="198"/>
        <v>8</v>
      </c>
      <c r="S365" s="53">
        <f t="shared" si="199"/>
        <v>5</v>
      </c>
      <c r="T365" s="101">
        <f t="shared" si="173"/>
        <v>16</v>
      </c>
      <c r="U365" s="15" t="str">
        <f>_xlfn.TEXTJOIN(", ",TRUE,ABS(MID(B365,{1,1,2},1)-MID(B365,{2,3,3},1)))</f>
        <v>3, 8, 5</v>
      </c>
      <c r="V365" s="54">
        <v>0</v>
      </c>
      <c r="W365" s="54">
        <v>1</v>
      </c>
      <c r="X365" s="54">
        <v>2</v>
      </c>
      <c r="Y365" s="54">
        <v>3</v>
      </c>
      <c r="Z365" s="54">
        <v>4</v>
      </c>
      <c r="AA365" s="54">
        <v>5</v>
      </c>
      <c r="AB365" s="54">
        <v>6</v>
      </c>
      <c r="AC365" s="54">
        <v>7</v>
      </c>
      <c r="AD365" s="54">
        <v>8</v>
      </c>
      <c r="AE365" s="54">
        <v>9</v>
      </c>
      <c r="AF365" s="55">
        <v>0</v>
      </c>
      <c r="AG365" s="55">
        <v>1</v>
      </c>
      <c r="AH365" s="55">
        <v>2</v>
      </c>
      <c r="AI365" s="55">
        <v>3</v>
      </c>
      <c r="AJ365" s="55">
        <v>4</v>
      </c>
      <c r="AK365" s="55">
        <v>5</v>
      </c>
      <c r="AL365" s="55">
        <v>6</v>
      </c>
      <c r="AM365" s="55">
        <v>7</v>
      </c>
      <c r="AN365" s="55">
        <v>8</v>
      </c>
      <c r="AO365" s="55">
        <v>9</v>
      </c>
      <c r="AP365" s="105">
        <v>0</v>
      </c>
      <c r="AQ365" s="105">
        <v>1</v>
      </c>
      <c r="AR365" s="105">
        <v>2</v>
      </c>
      <c r="AS365" s="105">
        <v>3</v>
      </c>
      <c r="AT365" s="105">
        <v>4</v>
      </c>
      <c r="AU365" s="105">
        <v>5</v>
      </c>
      <c r="AV365" s="105">
        <v>6</v>
      </c>
      <c r="AW365" s="105">
        <v>7</v>
      </c>
      <c r="AX365" s="105">
        <v>8</v>
      </c>
      <c r="AY365" s="105">
        <v>9</v>
      </c>
      <c r="AZ365" s="56">
        <v>0</v>
      </c>
      <c r="BA365" s="56">
        <v>1</v>
      </c>
      <c r="BB365" s="56">
        <v>2</v>
      </c>
      <c r="BC365" s="56">
        <v>3</v>
      </c>
      <c r="BD365" s="56">
        <v>4</v>
      </c>
      <c r="BE365" s="56">
        <v>5</v>
      </c>
      <c r="BF365" s="56">
        <v>6</v>
      </c>
      <c r="BG365" s="56">
        <v>7</v>
      </c>
      <c r="BH365" s="56">
        <v>8</v>
      </c>
      <c r="BI365" s="56">
        <v>9</v>
      </c>
      <c r="BJ365" s="57" t="str">
        <f t="shared" si="174"/>
        <v>松散型</v>
      </c>
      <c r="BK365" s="13">
        <f t="shared" si="170"/>
        <v>3</v>
      </c>
      <c r="BL365" s="13">
        <f t="shared" si="171"/>
        <v>8</v>
      </c>
      <c r="BM365" s="18">
        <f t="shared" si="176"/>
        <v>3</v>
      </c>
      <c r="BN365" s="19">
        <f t="shared" si="177"/>
        <v>3</v>
      </c>
      <c r="BO365" s="19" t="str">
        <f t="array" ref="BO365">_xlfn.TEXTJOIN("",TRUE,IF(ISERROR(FIND(ROW($1:$10)-1,BM365&amp;BN365)),ROW($1:$10)-1,""))</f>
        <v>012456789</v>
      </c>
      <c r="BP365" s="20" t="str">
        <f t="shared" si="178"/>
        <v>复隔中</v>
      </c>
      <c r="BQ365" s="21" t="str">
        <f t="shared" si="189"/>
        <v/>
      </c>
      <c r="BR365" s="21" t="str">
        <f t="shared" si="187"/>
        <v/>
      </c>
      <c r="BS365" s="21" t="str">
        <f t="array" ref="BS365">_xlfn.TEXTJOIN("",TRUE,IF(ISERROR(FIND(ROW($1:$10)-1,BQ365&amp;BR365)),ROW($1:$10)-1,""))</f>
        <v>0123456789</v>
      </c>
      <c r="BT365" s="20" t="str">
        <f t="shared" si="179"/>
        <v>中中中</v>
      </c>
      <c r="BU365" s="22" t="str">
        <f t="shared" si="180"/>
        <v/>
      </c>
      <c r="BV365" s="22" t="str">
        <f t="shared" si="188"/>
        <v/>
      </c>
      <c r="BW365" s="22" t="str">
        <f t="array" ref="BW365">_xlfn.TEXTJOIN("",TRUE,IF(ISERROR(FIND(ROW($1:$10)-1,BU365&amp;BV365)),ROW($1:$10)-1,""))</f>
        <v>0123456789</v>
      </c>
      <c r="BX365" s="20" t="str">
        <f t="shared" si="181"/>
        <v>中中中</v>
      </c>
      <c r="BY365" s="23" t="str">
        <f t="shared" si="175"/>
        <v>24</v>
      </c>
      <c r="BZ365" s="24" t="str">
        <f t="array" ref="BZ365">_xlfn.TEXTJOIN("",TRUE,IF(ISNUMBER(FIND(MID(BY364&amp;Q364,ROW($1:$4),1),BY365&amp;Q365)),MID(BY364&amp;Q364,ROW($1:$4),1),""))</f>
        <v>34</v>
      </c>
      <c r="CA365" s="25" t="str">
        <f t="array" ref="CA365">_xlfn.TEXTJOIN("",TRUE,IF(ISERROR(FIND(ROW($1:$10)-1,BY365&amp;BZ365)),ROW($1:$10)-1,""))</f>
        <v>0156789</v>
      </c>
      <c r="CB365" s="26" t="str">
        <f t="shared" si="182"/>
        <v>邻传孤</v>
      </c>
      <c r="CC365" s="27" t="str">
        <f t="shared" si="183"/>
        <v>79</v>
      </c>
      <c r="CD365" s="27" t="str">
        <f t="array" ref="CD365">_xlfn.TEXTJOIN("",TRUE,IF(ISNUMBER(FIND(MID(CC364&amp;R364,ROW($1:$4),1),CC365&amp;R365)),MID(CC364&amp;R364,ROW($1:$4),1),""))</f>
        <v/>
      </c>
      <c r="CE365" s="27" t="str">
        <f t="array" ref="CE365">_xlfn.TEXTJOIN("",TRUE,IF(ISERROR(FIND(ROW($1:$10)-1,CC365&amp;CD365)),ROW($1:$10)-1,""))</f>
        <v>01234568</v>
      </c>
      <c r="CF365" s="17" t="str">
        <f t="shared" si="184"/>
        <v>邻孤孤</v>
      </c>
      <c r="CG365" s="22" t="str">
        <f t="shared" si="185"/>
        <v>46</v>
      </c>
      <c r="CH365" s="22" t="str">
        <f t="array" ref="CH365">_xlfn.TEXTJOIN("",TRUE,IF(ISNUMBER(FIND(MID(CG364&amp;S364,ROW($1:$4),1),CG365&amp;S365)),MID(CG364&amp;S364,ROW($1:$4),1),""))</f>
        <v/>
      </c>
      <c r="CI365" s="22" t="str">
        <f t="array" ref="CI365">_xlfn.TEXTJOIN("",TRUE,IF(ISERROR(FIND(ROW($1:$10)-1,CG365&amp;CH365)),ROW($1:$10)-1,""))</f>
        <v>01235789</v>
      </c>
      <c r="CJ365" s="28" t="str">
        <f t="shared" si="186"/>
        <v>邻孤孤</v>
      </c>
    </row>
    <row r="366" spans="1:88">
      <c r="A366" s="32">
        <v>2025141</v>
      </c>
      <c r="B366" s="8" t="s">
        <v>320</v>
      </c>
      <c r="C366" s="49">
        <f t="shared" si="195"/>
        <v>4</v>
      </c>
      <c r="D366" s="50">
        <f t="shared" si="196"/>
        <v>4</v>
      </c>
      <c r="E366" s="51">
        <f t="shared" si="172"/>
        <v>1.3333333333333299</v>
      </c>
      <c r="F366" s="52">
        <f>MAX(MID(B366,{1,2,3},1)*1)-MIN(MID(B366,{1,2,3},1)*1)</f>
        <v>2</v>
      </c>
      <c r="G366" s="104">
        <v>0</v>
      </c>
      <c r="H366" s="104">
        <v>1</v>
      </c>
      <c r="I366" s="104">
        <v>2</v>
      </c>
      <c r="J366" s="104">
        <v>3</v>
      </c>
      <c r="K366" s="104">
        <v>4</v>
      </c>
      <c r="L366" s="104">
        <v>5</v>
      </c>
      <c r="M366" s="104">
        <v>6</v>
      </c>
      <c r="N366" s="104">
        <v>7</v>
      </c>
      <c r="O366" s="104">
        <v>8</v>
      </c>
      <c r="P366" s="104">
        <v>9</v>
      </c>
      <c r="Q366" s="53">
        <f t="shared" si="197"/>
        <v>2</v>
      </c>
      <c r="R366" s="53">
        <f t="shared" si="198"/>
        <v>0</v>
      </c>
      <c r="S366" s="53">
        <f t="shared" si="199"/>
        <v>2</v>
      </c>
      <c r="T366" s="101">
        <f t="shared" si="173"/>
        <v>4</v>
      </c>
      <c r="U366" s="15" t="str">
        <f>_xlfn.TEXTJOIN(", ",TRUE,ABS(MID(B366,{1,1,2},1)-MID(B366,{2,3,3},1)))</f>
        <v>2, 0, 2</v>
      </c>
      <c r="V366" s="54">
        <v>0</v>
      </c>
      <c r="W366" s="54">
        <v>1</v>
      </c>
      <c r="X366" s="54">
        <v>2</v>
      </c>
      <c r="Y366" s="54">
        <v>3</v>
      </c>
      <c r="Z366" s="54">
        <v>4</v>
      </c>
      <c r="AA366" s="54">
        <v>5</v>
      </c>
      <c r="AB366" s="54">
        <v>6</v>
      </c>
      <c r="AC366" s="54">
        <v>7</v>
      </c>
      <c r="AD366" s="54">
        <v>8</v>
      </c>
      <c r="AE366" s="54">
        <v>9</v>
      </c>
      <c r="AF366" s="55">
        <v>0</v>
      </c>
      <c r="AG366" s="55">
        <v>1</v>
      </c>
      <c r="AH366" s="55">
        <v>2</v>
      </c>
      <c r="AI366" s="55">
        <v>3</v>
      </c>
      <c r="AJ366" s="55">
        <v>4</v>
      </c>
      <c r="AK366" s="55">
        <v>5</v>
      </c>
      <c r="AL366" s="55">
        <v>6</v>
      </c>
      <c r="AM366" s="55">
        <v>7</v>
      </c>
      <c r="AN366" s="55">
        <v>8</v>
      </c>
      <c r="AO366" s="55">
        <v>9</v>
      </c>
      <c r="AP366" s="105">
        <v>0</v>
      </c>
      <c r="AQ366" s="105">
        <v>1</v>
      </c>
      <c r="AR366" s="105">
        <v>2</v>
      </c>
      <c r="AS366" s="105">
        <v>3</v>
      </c>
      <c r="AT366" s="105">
        <v>4</v>
      </c>
      <c r="AU366" s="105">
        <v>5</v>
      </c>
      <c r="AV366" s="105">
        <v>6</v>
      </c>
      <c r="AW366" s="105">
        <v>7</v>
      </c>
      <c r="AX366" s="105">
        <v>8</v>
      </c>
      <c r="AY366" s="105">
        <v>9</v>
      </c>
      <c r="AZ366" s="56">
        <v>0</v>
      </c>
      <c r="BA366" s="56">
        <v>1</v>
      </c>
      <c r="BB366" s="56">
        <v>2</v>
      </c>
      <c r="BC366" s="56">
        <v>3</v>
      </c>
      <c r="BD366" s="56">
        <v>4</v>
      </c>
      <c r="BE366" s="56">
        <v>5</v>
      </c>
      <c r="BF366" s="56">
        <v>6</v>
      </c>
      <c r="BG366" s="56">
        <v>7</v>
      </c>
      <c r="BH366" s="56">
        <v>8</v>
      </c>
      <c r="BI366" s="56">
        <v>9</v>
      </c>
      <c r="BJ366" s="57" t="str">
        <f t="shared" si="174"/>
        <v>紧凑型</v>
      </c>
      <c r="BK366" s="13">
        <f t="shared" si="170"/>
        <v>0</v>
      </c>
      <c r="BL366" s="13">
        <f t="shared" si="171"/>
        <v>2</v>
      </c>
      <c r="BM366" s="18" t="str">
        <f t="shared" si="176"/>
        <v/>
      </c>
      <c r="BN366" s="19" t="str">
        <f t="shared" si="177"/>
        <v/>
      </c>
      <c r="BO366" s="19" t="str">
        <f t="array" ref="BO366">_xlfn.TEXTJOIN("",TRUE,IF(ISERROR(FIND(ROW($1:$10)-1,BM366&amp;BN366)),ROW($1:$10)-1,""))</f>
        <v>0123456789</v>
      </c>
      <c r="BP366" s="20" t="str">
        <f t="shared" si="178"/>
        <v>中中中</v>
      </c>
      <c r="BQ366" s="21" t="str">
        <f t="shared" si="189"/>
        <v/>
      </c>
      <c r="BR366" s="21" t="str">
        <f t="shared" si="187"/>
        <v/>
      </c>
      <c r="BS366" s="21" t="str">
        <f t="array" ref="BS366">_xlfn.TEXTJOIN("",TRUE,IF(ISERROR(FIND(ROW($1:$10)-1,BQ366&amp;BR366)),ROW($1:$10)-1,""))</f>
        <v>0123456789</v>
      </c>
      <c r="BT366" s="20" t="str">
        <f t="shared" si="179"/>
        <v>中中中</v>
      </c>
      <c r="BU366" s="22" t="str">
        <f t="shared" si="180"/>
        <v/>
      </c>
      <c r="BV366" s="22" t="str">
        <f t="shared" si="188"/>
        <v/>
      </c>
      <c r="BW366" s="22" t="str">
        <f t="array" ref="BW366">_xlfn.TEXTJOIN("",TRUE,IF(ISERROR(FIND(ROW($1:$10)-1,BU366&amp;BV366)),ROW($1:$10)-1,""))</f>
        <v>0123456789</v>
      </c>
      <c r="BX366" s="20" t="str">
        <f t="shared" si="181"/>
        <v>中中中</v>
      </c>
      <c r="BY366" s="23" t="str">
        <f t="shared" si="175"/>
        <v>13</v>
      </c>
      <c r="BZ366" s="24" t="str">
        <f t="array" ref="BZ366">_xlfn.TEXTJOIN("",TRUE,IF(ISNUMBER(FIND(MID(BY365&amp;Q365,ROW($1:$4),1),BY366&amp;Q366)),MID(BY365&amp;Q365,ROW($1:$4),1),""))</f>
        <v>23</v>
      </c>
      <c r="CA366" s="25" t="str">
        <f t="array" ref="CA366">_xlfn.TEXTJOIN("",TRUE,IF(ISERROR(FIND(ROW($1:$10)-1,BY366&amp;BZ366)),ROW($1:$10)-1,""))</f>
        <v>0456789</v>
      </c>
      <c r="CB366" s="26" t="str">
        <f t="shared" si="182"/>
        <v>邻传孤</v>
      </c>
      <c r="CC366" s="27" t="str">
        <f t="shared" si="183"/>
        <v>91</v>
      </c>
      <c r="CD366" s="27" t="str">
        <f t="array" ref="CD366">_xlfn.TEXTJOIN("",TRUE,IF(ISNUMBER(FIND(MID(CC365&amp;R365,ROW($1:$4),1),CC366&amp;R366)),MID(CC365&amp;R365,ROW($1:$4),1),""))</f>
        <v>9</v>
      </c>
      <c r="CE366" s="27" t="str">
        <f t="array" ref="CE366">_xlfn.TEXTJOIN("",TRUE,IF(ISERROR(FIND(ROW($1:$10)-1,CC366&amp;CD366)),ROW($1:$10)-1,""))</f>
        <v>02345678</v>
      </c>
      <c r="CF366" s="17" t="str">
        <f t="shared" si="184"/>
        <v>邻传孤</v>
      </c>
      <c r="CG366" s="22" t="str">
        <f t="shared" si="185"/>
        <v>13</v>
      </c>
      <c r="CH366" s="22" t="str">
        <f t="array" ref="CH366">_xlfn.TEXTJOIN("",TRUE,IF(ISNUMBER(FIND(MID(CG365&amp;S365,ROW($1:$4),1),CG366&amp;S366)),MID(CG365&amp;S365,ROW($1:$4),1),""))</f>
        <v/>
      </c>
      <c r="CI366" s="22" t="str">
        <f t="array" ref="CI366">_xlfn.TEXTJOIN("",TRUE,IF(ISERROR(FIND(ROW($1:$10)-1,CG366&amp;CH366)),ROW($1:$10)-1,""))</f>
        <v>02456789</v>
      </c>
      <c r="CJ366" s="28" t="str">
        <f t="shared" si="186"/>
        <v>邻孤孤</v>
      </c>
    </row>
    <row r="367" spans="1:88">
      <c r="A367" s="32">
        <v>2025142</v>
      </c>
      <c r="B367" s="8" t="s">
        <v>217</v>
      </c>
      <c r="C367" s="49">
        <f t="shared" si="195"/>
        <v>16</v>
      </c>
      <c r="D367" s="50">
        <f t="shared" si="196"/>
        <v>6</v>
      </c>
      <c r="E367" s="51">
        <f t="shared" si="172"/>
        <v>5.3333333333333304</v>
      </c>
      <c r="F367" s="52">
        <f>MAX(MID(B367,{1,2,3},1)*1)-MIN(MID(B367,{1,2,3},1)*1)</f>
        <v>8</v>
      </c>
      <c r="G367" s="104">
        <v>0</v>
      </c>
      <c r="H367" s="104">
        <v>1</v>
      </c>
      <c r="I367" s="104">
        <v>2</v>
      </c>
      <c r="J367" s="104">
        <v>3</v>
      </c>
      <c r="K367" s="104">
        <v>4</v>
      </c>
      <c r="L367" s="104">
        <v>5</v>
      </c>
      <c r="M367" s="104">
        <v>6</v>
      </c>
      <c r="N367" s="104">
        <v>7</v>
      </c>
      <c r="O367" s="104">
        <v>8</v>
      </c>
      <c r="P367" s="104">
        <v>9</v>
      </c>
      <c r="Q367" s="53">
        <f t="shared" si="197"/>
        <v>8</v>
      </c>
      <c r="R367" s="53">
        <f t="shared" si="198"/>
        <v>3</v>
      </c>
      <c r="S367" s="53">
        <f t="shared" si="199"/>
        <v>5</v>
      </c>
      <c r="T367" s="101">
        <f t="shared" si="173"/>
        <v>16</v>
      </c>
      <c r="U367" s="15" t="str">
        <f>_xlfn.TEXTJOIN(", ",TRUE,ABS(MID(B367,{1,1,2},1)-MID(B367,{2,3,3},1)))</f>
        <v>8, 3, 5</v>
      </c>
      <c r="V367" s="54">
        <v>0</v>
      </c>
      <c r="W367" s="54">
        <v>1</v>
      </c>
      <c r="X367" s="54">
        <v>2</v>
      </c>
      <c r="Y367" s="54">
        <v>3</v>
      </c>
      <c r="Z367" s="54">
        <v>4</v>
      </c>
      <c r="AA367" s="54">
        <v>5</v>
      </c>
      <c r="AB367" s="54">
        <v>6</v>
      </c>
      <c r="AC367" s="54">
        <v>7</v>
      </c>
      <c r="AD367" s="54">
        <v>8</v>
      </c>
      <c r="AE367" s="54">
        <v>9</v>
      </c>
      <c r="AF367" s="55">
        <v>0</v>
      </c>
      <c r="AG367" s="55">
        <v>1</v>
      </c>
      <c r="AH367" s="55">
        <v>2</v>
      </c>
      <c r="AI367" s="55">
        <v>3</v>
      </c>
      <c r="AJ367" s="55">
        <v>4</v>
      </c>
      <c r="AK367" s="55">
        <v>5</v>
      </c>
      <c r="AL367" s="55">
        <v>6</v>
      </c>
      <c r="AM367" s="55">
        <v>7</v>
      </c>
      <c r="AN367" s="55">
        <v>8</v>
      </c>
      <c r="AO367" s="55">
        <v>9</v>
      </c>
      <c r="AP367" s="105">
        <v>0</v>
      </c>
      <c r="AQ367" s="105">
        <v>1</v>
      </c>
      <c r="AR367" s="105">
        <v>2</v>
      </c>
      <c r="AS367" s="105">
        <v>3</v>
      </c>
      <c r="AT367" s="105">
        <v>4</v>
      </c>
      <c r="AU367" s="105">
        <v>5</v>
      </c>
      <c r="AV367" s="105">
        <v>6</v>
      </c>
      <c r="AW367" s="105">
        <v>7</v>
      </c>
      <c r="AX367" s="105">
        <v>8</v>
      </c>
      <c r="AY367" s="105">
        <v>9</v>
      </c>
      <c r="AZ367" s="56">
        <v>0</v>
      </c>
      <c r="BA367" s="56">
        <v>1</v>
      </c>
      <c r="BB367" s="56">
        <v>2</v>
      </c>
      <c r="BC367" s="56">
        <v>3</v>
      </c>
      <c r="BD367" s="56">
        <v>4</v>
      </c>
      <c r="BE367" s="56">
        <v>5</v>
      </c>
      <c r="BF367" s="56">
        <v>6</v>
      </c>
      <c r="BG367" s="56">
        <v>7</v>
      </c>
      <c r="BH367" s="56">
        <v>8</v>
      </c>
      <c r="BI367" s="56">
        <v>9</v>
      </c>
      <c r="BJ367" s="57" t="str">
        <f t="shared" si="174"/>
        <v>松散型</v>
      </c>
      <c r="BK367" s="13">
        <f t="shared" si="170"/>
        <v>3</v>
      </c>
      <c r="BL367" s="13">
        <f t="shared" si="171"/>
        <v>8</v>
      </c>
      <c r="BM367" s="18" t="str">
        <f t="shared" si="176"/>
        <v/>
      </c>
      <c r="BN367" s="19">
        <f t="shared" si="177"/>
        <v>8</v>
      </c>
      <c r="BO367" s="19" t="str">
        <f t="array" ref="BO367">_xlfn.TEXTJOIN("",TRUE,IF(ISERROR(FIND(ROW($1:$10)-1,BM367&amp;BN367)),ROW($1:$10)-1,""))</f>
        <v>012345679</v>
      </c>
      <c r="BP367" s="20" t="str">
        <f t="shared" si="178"/>
        <v>中隔中</v>
      </c>
      <c r="BQ367" s="21" t="str">
        <f t="shared" si="189"/>
        <v/>
      </c>
      <c r="BR367" s="21">
        <f t="shared" si="187"/>
        <v>3</v>
      </c>
      <c r="BS367" s="21" t="str">
        <f t="array" ref="BS367">_xlfn.TEXTJOIN("",TRUE,IF(ISERROR(FIND(ROW($1:$10)-1,BQ367&amp;BR367)),ROW($1:$10)-1,""))</f>
        <v>012456789</v>
      </c>
      <c r="BT367" s="20" t="str">
        <f t="shared" si="179"/>
        <v>中隔中</v>
      </c>
      <c r="BU367" s="22" t="str">
        <f t="shared" si="180"/>
        <v/>
      </c>
      <c r="BV367" s="22">
        <f t="shared" si="188"/>
        <v>5</v>
      </c>
      <c r="BW367" s="22" t="str">
        <f t="array" ref="BW367">_xlfn.TEXTJOIN("",TRUE,IF(ISERROR(FIND(ROW($1:$10)-1,BU367&amp;BV367)),ROW($1:$10)-1,""))</f>
        <v>012346789</v>
      </c>
      <c r="BX367" s="20" t="str">
        <f t="shared" si="181"/>
        <v>中隔中</v>
      </c>
      <c r="BY367" s="23" t="str">
        <f t="shared" si="175"/>
        <v>79</v>
      </c>
      <c r="BZ367" s="24" t="str">
        <f t="array" ref="BZ367">_xlfn.TEXTJOIN("",TRUE,IF(ISNUMBER(FIND(MID(BY366&amp;Q366,ROW($1:$4),1),BY367&amp;Q367)),MID(BY366&amp;Q366,ROW($1:$4),1),""))</f>
        <v/>
      </c>
      <c r="CA367" s="25" t="str">
        <f t="array" ref="CA367">_xlfn.TEXTJOIN("",TRUE,IF(ISERROR(FIND(ROW($1:$10)-1,BY367&amp;BZ367)),ROW($1:$10)-1,""))</f>
        <v>01234568</v>
      </c>
      <c r="CB367" s="26" t="str">
        <f t="shared" si="182"/>
        <v>邻孤孤</v>
      </c>
      <c r="CC367" s="27" t="str">
        <f t="shared" si="183"/>
        <v>24</v>
      </c>
      <c r="CD367" s="27" t="str">
        <f t="array" ref="CD367">_xlfn.TEXTJOIN("",TRUE,IF(ISNUMBER(FIND(MID(CC366&amp;R366,ROW($1:$4),1),CC367&amp;R367)),MID(CC366&amp;R366,ROW($1:$4),1),""))</f>
        <v/>
      </c>
      <c r="CE367" s="27" t="str">
        <f t="array" ref="CE367">_xlfn.TEXTJOIN("",TRUE,IF(ISERROR(FIND(ROW($1:$10)-1,CC367&amp;CD367)),ROW($1:$10)-1,""))</f>
        <v>01356789</v>
      </c>
      <c r="CF367" s="17" t="str">
        <f t="shared" si="184"/>
        <v>邻孤孤</v>
      </c>
      <c r="CG367" s="22" t="str">
        <f t="shared" si="185"/>
        <v>46</v>
      </c>
      <c r="CH367" s="22" t="str">
        <f t="array" ref="CH367">_xlfn.TEXTJOIN("",TRUE,IF(ISNUMBER(FIND(MID(CG366&amp;S366,ROW($1:$4),1),CG367&amp;S367)),MID(CG366&amp;S366,ROW($1:$4),1),""))</f>
        <v/>
      </c>
      <c r="CI367" s="22" t="str">
        <f t="array" ref="CI367">_xlfn.TEXTJOIN("",TRUE,IF(ISERROR(FIND(ROW($1:$10)-1,CG367&amp;CH367)),ROW($1:$10)-1,""))</f>
        <v>01235789</v>
      </c>
      <c r="CJ367" s="28" t="str">
        <f t="shared" si="186"/>
        <v>邻孤孤</v>
      </c>
    </row>
    <row r="368" spans="1:88">
      <c r="A368" s="32">
        <v>2025143</v>
      </c>
      <c r="B368" s="8" t="s">
        <v>37</v>
      </c>
      <c r="C368" s="49">
        <f t="shared" si="195"/>
        <v>13</v>
      </c>
      <c r="D368" s="50">
        <f t="shared" si="196"/>
        <v>3</v>
      </c>
      <c r="E368" s="51">
        <f t="shared" si="172"/>
        <v>4.3333333333333304</v>
      </c>
      <c r="F368" s="52">
        <f>MAX(MID(B368,{1,2,3},1)*1)-MIN(MID(B368,{1,2,3},1)*1)</f>
        <v>4</v>
      </c>
      <c r="G368" s="104">
        <v>0</v>
      </c>
      <c r="H368" s="104">
        <v>1</v>
      </c>
      <c r="I368" s="104">
        <v>2</v>
      </c>
      <c r="J368" s="104">
        <v>3</v>
      </c>
      <c r="K368" s="104">
        <v>4</v>
      </c>
      <c r="L368" s="104">
        <v>5</v>
      </c>
      <c r="M368" s="104">
        <v>6</v>
      </c>
      <c r="N368" s="104">
        <v>7</v>
      </c>
      <c r="O368" s="104">
        <v>8</v>
      </c>
      <c r="P368" s="104">
        <v>9</v>
      </c>
      <c r="Q368" s="53">
        <f t="shared" si="197"/>
        <v>3</v>
      </c>
      <c r="R368" s="53">
        <f t="shared" si="198"/>
        <v>4</v>
      </c>
      <c r="S368" s="53">
        <f t="shared" si="199"/>
        <v>1</v>
      </c>
      <c r="T368" s="101">
        <f t="shared" si="173"/>
        <v>8</v>
      </c>
      <c r="U368" s="15" t="str">
        <f>_xlfn.TEXTJOIN(", ",TRUE,ABS(MID(B368,{1,1,2},1)-MID(B368,{2,3,3},1)))</f>
        <v>3, 4, 1</v>
      </c>
      <c r="V368" s="54">
        <v>0</v>
      </c>
      <c r="W368" s="54">
        <v>1</v>
      </c>
      <c r="X368" s="54">
        <v>2</v>
      </c>
      <c r="Y368" s="54">
        <v>3</v>
      </c>
      <c r="Z368" s="54">
        <v>4</v>
      </c>
      <c r="AA368" s="54">
        <v>5</v>
      </c>
      <c r="AB368" s="54">
        <v>6</v>
      </c>
      <c r="AC368" s="54">
        <v>7</v>
      </c>
      <c r="AD368" s="54">
        <v>8</v>
      </c>
      <c r="AE368" s="54">
        <v>9</v>
      </c>
      <c r="AF368" s="55">
        <v>0</v>
      </c>
      <c r="AG368" s="55">
        <v>1</v>
      </c>
      <c r="AH368" s="55">
        <v>2</v>
      </c>
      <c r="AI368" s="55">
        <v>3</v>
      </c>
      <c r="AJ368" s="55">
        <v>4</v>
      </c>
      <c r="AK368" s="55">
        <v>5</v>
      </c>
      <c r="AL368" s="55">
        <v>6</v>
      </c>
      <c r="AM368" s="55">
        <v>7</v>
      </c>
      <c r="AN368" s="55">
        <v>8</v>
      </c>
      <c r="AO368" s="55">
        <v>9</v>
      </c>
      <c r="AP368" s="105">
        <v>0</v>
      </c>
      <c r="AQ368" s="105">
        <v>1</v>
      </c>
      <c r="AR368" s="105">
        <v>2</v>
      </c>
      <c r="AS368" s="105">
        <v>3</v>
      </c>
      <c r="AT368" s="105">
        <v>4</v>
      </c>
      <c r="AU368" s="105">
        <v>5</v>
      </c>
      <c r="AV368" s="105">
        <v>6</v>
      </c>
      <c r="AW368" s="105">
        <v>7</v>
      </c>
      <c r="AX368" s="105">
        <v>8</v>
      </c>
      <c r="AY368" s="105">
        <v>9</v>
      </c>
      <c r="AZ368" s="56">
        <v>0</v>
      </c>
      <c r="BA368" s="56">
        <v>1</v>
      </c>
      <c r="BB368" s="56">
        <v>2</v>
      </c>
      <c r="BC368" s="56">
        <v>3</v>
      </c>
      <c r="BD368" s="56">
        <v>4</v>
      </c>
      <c r="BE368" s="56">
        <v>5</v>
      </c>
      <c r="BF368" s="56">
        <v>6</v>
      </c>
      <c r="BG368" s="56">
        <v>7</v>
      </c>
      <c r="BH368" s="56">
        <v>8</v>
      </c>
      <c r="BI368" s="56">
        <v>9</v>
      </c>
      <c r="BJ368" s="57" t="str">
        <f t="shared" si="174"/>
        <v>紧凑型</v>
      </c>
      <c r="BK368" s="13">
        <f t="shared" si="170"/>
        <v>1</v>
      </c>
      <c r="BL368" s="13">
        <f t="shared" si="171"/>
        <v>4</v>
      </c>
      <c r="BM368" s="18">
        <f t="shared" si="176"/>
        <v>3</v>
      </c>
      <c r="BN368" s="19" t="str">
        <f t="shared" si="177"/>
        <v/>
      </c>
      <c r="BO368" s="19" t="str">
        <f t="array" ref="BO368">_xlfn.TEXTJOIN("",TRUE,IF(ISERROR(FIND(ROW($1:$10)-1,BM368&amp;BN368)),ROW($1:$10)-1,""))</f>
        <v>012456789</v>
      </c>
      <c r="BP368" s="20" t="str">
        <f t="shared" si="178"/>
        <v>复中中</v>
      </c>
      <c r="BQ368" s="21" t="str">
        <f t="shared" si="189"/>
        <v/>
      </c>
      <c r="BR368" s="21" t="str">
        <f t="shared" si="187"/>
        <v/>
      </c>
      <c r="BS368" s="21" t="str">
        <f t="array" ref="BS368">_xlfn.TEXTJOIN("",TRUE,IF(ISERROR(FIND(ROW($1:$10)-1,BQ368&amp;BR368)),ROW($1:$10)-1,""))</f>
        <v>0123456789</v>
      </c>
      <c r="BT368" s="20" t="str">
        <f t="shared" si="179"/>
        <v>中中中</v>
      </c>
      <c r="BU368" s="22" t="str">
        <f t="shared" si="180"/>
        <v/>
      </c>
      <c r="BV368" s="22" t="str">
        <f t="shared" si="188"/>
        <v/>
      </c>
      <c r="BW368" s="22" t="str">
        <f t="array" ref="BW368">_xlfn.TEXTJOIN("",TRUE,IF(ISERROR(FIND(ROW($1:$10)-1,BU368&amp;BV368)),ROW($1:$10)-1,""))</f>
        <v>0123456789</v>
      </c>
      <c r="BX368" s="20" t="str">
        <f t="shared" si="181"/>
        <v>中中中</v>
      </c>
      <c r="BY368" s="23" t="str">
        <f t="shared" si="175"/>
        <v>24</v>
      </c>
      <c r="BZ368" s="24" t="str">
        <f t="array" ref="BZ368">_xlfn.TEXTJOIN("",TRUE,IF(ISNUMBER(FIND(MID(BY367&amp;Q367,ROW($1:$4),1),BY368&amp;Q368)),MID(BY367&amp;Q367,ROW($1:$4),1),""))</f>
        <v/>
      </c>
      <c r="CA368" s="25" t="str">
        <f t="array" ref="CA368">_xlfn.TEXTJOIN("",TRUE,IF(ISERROR(FIND(ROW($1:$10)-1,BY368&amp;BZ368)),ROW($1:$10)-1,""))</f>
        <v>01356789</v>
      </c>
      <c r="CB368" s="26" t="str">
        <f t="shared" si="182"/>
        <v>邻孤孤</v>
      </c>
      <c r="CC368" s="27" t="str">
        <f t="shared" si="183"/>
        <v>35</v>
      </c>
      <c r="CD368" s="27" t="str">
        <f t="array" ref="CD368">_xlfn.TEXTJOIN("",TRUE,IF(ISNUMBER(FIND(MID(CC367&amp;R367,ROW($1:$4),1),CC368&amp;R368)),MID(CC367&amp;R367,ROW($1:$4),1),""))</f>
        <v>43</v>
      </c>
      <c r="CE368" s="27" t="str">
        <f t="array" ref="CE368">_xlfn.TEXTJOIN("",TRUE,IF(ISERROR(FIND(ROW($1:$10)-1,CC368&amp;CD368)),ROW($1:$10)-1,""))</f>
        <v>0126789</v>
      </c>
      <c r="CF368" s="17" t="str">
        <f t="shared" si="184"/>
        <v>邻传孤</v>
      </c>
      <c r="CG368" s="22" t="str">
        <f t="shared" si="185"/>
        <v>02</v>
      </c>
      <c r="CH368" s="22" t="str">
        <f t="array" ref="CH368">_xlfn.TEXTJOIN("",TRUE,IF(ISNUMBER(FIND(MID(CG367&amp;S367,ROW($1:$4),1),CG368&amp;S368)),MID(CG367&amp;S367,ROW($1:$4),1),""))</f>
        <v/>
      </c>
      <c r="CI368" s="22" t="str">
        <f t="array" ref="CI368">_xlfn.TEXTJOIN("",TRUE,IF(ISERROR(FIND(ROW($1:$10)-1,CG368&amp;CH368)),ROW($1:$10)-1,""))</f>
        <v>13456789</v>
      </c>
      <c r="CJ368" s="28" t="str">
        <f t="shared" si="186"/>
        <v>邻孤孤</v>
      </c>
    </row>
    <row r="369" spans="1:88">
      <c r="A369" s="32">
        <v>2025144</v>
      </c>
      <c r="B369" s="8" t="s">
        <v>175</v>
      </c>
      <c r="C369" s="49">
        <f t="shared" si="195"/>
        <v>18</v>
      </c>
      <c r="D369" s="50">
        <f t="shared" si="196"/>
        <v>8</v>
      </c>
      <c r="E369" s="51">
        <f t="shared" si="172"/>
        <v>6</v>
      </c>
      <c r="F369" s="52">
        <f>MAX(MID(B369,{1,2,3},1)*1)-MIN(MID(B369,{1,2,3},1)*1)</f>
        <v>0</v>
      </c>
      <c r="G369" s="104">
        <v>0</v>
      </c>
      <c r="H369" s="104">
        <v>1</v>
      </c>
      <c r="I369" s="104">
        <v>2</v>
      </c>
      <c r="J369" s="104">
        <v>3</v>
      </c>
      <c r="K369" s="104">
        <v>4</v>
      </c>
      <c r="L369" s="104">
        <v>5</v>
      </c>
      <c r="M369" s="104">
        <v>6</v>
      </c>
      <c r="N369" s="104">
        <v>7</v>
      </c>
      <c r="O369" s="104">
        <v>8</v>
      </c>
      <c r="P369" s="104">
        <v>9</v>
      </c>
      <c r="Q369" s="53">
        <f t="shared" si="197"/>
        <v>0</v>
      </c>
      <c r="R369" s="53">
        <f t="shared" si="198"/>
        <v>0</v>
      </c>
      <c r="S369" s="53">
        <f t="shared" si="199"/>
        <v>0</v>
      </c>
      <c r="T369" s="101">
        <f t="shared" si="173"/>
        <v>0</v>
      </c>
      <c r="U369" s="15" t="str">
        <f>_xlfn.TEXTJOIN(", ",TRUE,ABS(MID(B369,{1,1,2},1)-MID(B369,{2,3,3},1)))</f>
        <v>0, 0, 0</v>
      </c>
      <c r="V369" s="54">
        <v>0</v>
      </c>
      <c r="W369" s="54">
        <v>1</v>
      </c>
      <c r="X369" s="54">
        <v>2</v>
      </c>
      <c r="Y369" s="54">
        <v>3</v>
      </c>
      <c r="Z369" s="54">
        <v>4</v>
      </c>
      <c r="AA369" s="54">
        <v>5</v>
      </c>
      <c r="AB369" s="54">
        <v>6</v>
      </c>
      <c r="AC369" s="54">
        <v>7</v>
      </c>
      <c r="AD369" s="54">
        <v>8</v>
      </c>
      <c r="AE369" s="54">
        <v>9</v>
      </c>
      <c r="AF369" s="55">
        <v>0</v>
      </c>
      <c r="AG369" s="55">
        <v>1</v>
      </c>
      <c r="AH369" s="55">
        <v>2</v>
      </c>
      <c r="AI369" s="55">
        <v>3</v>
      </c>
      <c r="AJ369" s="55">
        <v>4</v>
      </c>
      <c r="AK369" s="55">
        <v>5</v>
      </c>
      <c r="AL369" s="55">
        <v>6</v>
      </c>
      <c r="AM369" s="55">
        <v>7</v>
      </c>
      <c r="AN369" s="55">
        <v>8</v>
      </c>
      <c r="AO369" s="55">
        <v>9</v>
      </c>
      <c r="AP369" s="105">
        <v>0</v>
      </c>
      <c r="AQ369" s="105">
        <v>1</v>
      </c>
      <c r="AR369" s="105">
        <v>2</v>
      </c>
      <c r="AS369" s="105">
        <v>3</v>
      </c>
      <c r="AT369" s="105">
        <v>4</v>
      </c>
      <c r="AU369" s="105">
        <v>5</v>
      </c>
      <c r="AV369" s="105">
        <v>6</v>
      </c>
      <c r="AW369" s="105">
        <v>7</v>
      </c>
      <c r="AX369" s="105">
        <v>8</v>
      </c>
      <c r="AY369" s="105">
        <v>9</v>
      </c>
      <c r="AZ369" s="56">
        <v>0</v>
      </c>
      <c r="BA369" s="56">
        <v>1</v>
      </c>
      <c r="BB369" s="56">
        <v>2</v>
      </c>
      <c r="BC369" s="56">
        <v>3</v>
      </c>
      <c r="BD369" s="56">
        <v>4</v>
      </c>
      <c r="BE369" s="56">
        <v>5</v>
      </c>
      <c r="BF369" s="56">
        <v>6</v>
      </c>
      <c r="BG369" s="56">
        <v>7</v>
      </c>
      <c r="BH369" s="56">
        <v>8</v>
      </c>
      <c r="BI369" s="56">
        <v>9</v>
      </c>
      <c r="BJ369" s="57" t="str">
        <f t="shared" si="174"/>
        <v>紧凑型</v>
      </c>
      <c r="BK369" s="13">
        <f t="shared" si="170"/>
        <v>0</v>
      </c>
      <c r="BL369" s="13">
        <f t="shared" si="171"/>
        <v>0</v>
      </c>
      <c r="BM369" s="18" t="str">
        <f t="shared" si="176"/>
        <v/>
      </c>
      <c r="BN369" s="19" t="str">
        <f t="shared" si="177"/>
        <v/>
      </c>
      <c r="BO369" s="19" t="str">
        <f t="array" ref="BO369">_xlfn.TEXTJOIN("",TRUE,IF(ISERROR(FIND(ROW($1:$10)-1,BM369&amp;BN369)),ROW($1:$10)-1,""))</f>
        <v>0123456789</v>
      </c>
      <c r="BP369" s="20" t="str">
        <f t="shared" si="178"/>
        <v>中中中</v>
      </c>
      <c r="BQ369" s="21" t="str">
        <f t="shared" si="189"/>
        <v/>
      </c>
      <c r="BR369" s="21" t="str">
        <f t="shared" si="187"/>
        <v/>
      </c>
      <c r="BS369" s="21" t="str">
        <f t="array" ref="BS369">_xlfn.TEXTJOIN("",TRUE,IF(ISERROR(FIND(ROW($1:$10)-1,BQ369&amp;BR369)),ROW($1:$10)-1,""))</f>
        <v>0123456789</v>
      </c>
      <c r="BT369" s="20" t="str">
        <f t="shared" si="179"/>
        <v>中中中</v>
      </c>
      <c r="BU369" s="22" t="str">
        <f t="shared" si="180"/>
        <v/>
      </c>
      <c r="BV369" s="22" t="str">
        <f t="shared" si="188"/>
        <v/>
      </c>
      <c r="BW369" s="22" t="str">
        <f t="array" ref="BW369">_xlfn.TEXTJOIN("",TRUE,IF(ISERROR(FIND(ROW($1:$10)-1,BU369&amp;BV369)),ROW($1:$10)-1,""))</f>
        <v>0123456789</v>
      </c>
      <c r="BX369" s="20" t="str">
        <f t="shared" si="181"/>
        <v>中中中</v>
      </c>
      <c r="BY369" s="23" t="str">
        <f t="shared" si="175"/>
        <v>91</v>
      </c>
      <c r="BZ369" s="24" t="str">
        <f t="array" ref="BZ369">_xlfn.TEXTJOIN("",TRUE,IF(ISNUMBER(FIND(MID(BY368&amp;Q368,ROW($1:$4),1),BY369&amp;Q369)),MID(BY368&amp;Q368,ROW($1:$4),1),""))</f>
        <v/>
      </c>
      <c r="CA369" s="25" t="str">
        <f t="array" ref="CA369">_xlfn.TEXTJOIN("",TRUE,IF(ISERROR(FIND(ROW($1:$10)-1,BY369&amp;BZ369)),ROW($1:$10)-1,""))</f>
        <v>02345678</v>
      </c>
      <c r="CB369" s="26" t="str">
        <f t="shared" si="182"/>
        <v>邻孤孤</v>
      </c>
      <c r="CC369" s="27" t="str">
        <f t="shared" si="183"/>
        <v>91</v>
      </c>
      <c r="CD369" s="27" t="str">
        <f t="array" ref="CD369">_xlfn.TEXTJOIN("",TRUE,IF(ISNUMBER(FIND(MID(CC368&amp;R368,ROW($1:$4),1),CC369&amp;R369)),MID(CC368&amp;R368,ROW($1:$4),1),""))</f>
        <v/>
      </c>
      <c r="CE369" s="27" t="str">
        <f t="array" ref="CE369">_xlfn.TEXTJOIN("",TRUE,IF(ISERROR(FIND(ROW($1:$10)-1,CC369&amp;CD369)),ROW($1:$10)-1,""))</f>
        <v>02345678</v>
      </c>
      <c r="CF369" s="17" t="str">
        <f t="shared" si="184"/>
        <v>邻孤孤</v>
      </c>
      <c r="CG369" s="22" t="str">
        <f t="shared" si="185"/>
        <v>91</v>
      </c>
      <c r="CH369" s="22" t="str">
        <f t="array" ref="CH369">_xlfn.TEXTJOIN("",TRUE,IF(ISNUMBER(FIND(MID(CG368&amp;S368,ROW($1:$4),1),CG369&amp;S369)),MID(CG368&amp;S368,ROW($1:$4),1),""))</f>
        <v>01</v>
      </c>
      <c r="CI369" s="22" t="str">
        <f t="array" ref="CI369">_xlfn.TEXTJOIN("",TRUE,IF(ISERROR(FIND(ROW($1:$10)-1,CG369&amp;CH369)),ROW($1:$10)-1,""))</f>
        <v>2345678</v>
      </c>
      <c r="CJ369" s="28" t="str">
        <f t="shared" si="186"/>
        <v>邻传孤</v>
      </c>
    </row>
    <row r="370" spans="1:88">
      <c r="A370" s="32">
        <v>2025145</v>
      </c>
      <c r="B370" s="8" t="s">
        <v>321</v>
      </c>
      <c r="C370" s="49">
        <f t="shared" si="195"/>
        <v>15</v>
      </c>
      <c r="D370" s="50">
        <f t="shared" si="196"/>
        <v>5</v>
      </c>
      <c r="E370" s="51">
        <f t="shared" si="172"/>
        <v>5</v>
      </c>
      <c r="F370" s="52">
        <f>MAX(MID(B370,{1,2,3},1)*1)-MIN(MID(B370,{1,2,3},1)*1)</f>
        <v>5</v>
      </c>
      <c r="G370" s="104">
        <v>0</v>
      </c>
      <c r="H370" s="104">
        <v>1</v>
      </c>
      <c r="I370" s="104">
        <v>2</v>
      </c>
      <c r="J370" s="104">
        <v>3</v>
      </c>
      <c r="K370" s="104">
        <v>4</v>
      </c>
      <c r="L370" s="104">
        <v>5</v>
      </c>
      <c r="M370" s="104">
        <v>6</v>
      </c>
      <c r="N370" s="104">
        <v>7</v>
      </c>
      <c r="O370" s="104">
        <v>8</v>
      </c>
      <c r="P370" s="104">
        <v>9</v>
      </c>
      <c r="Q370" s="53">
        <f t="shared" si="197"/>
        <v>4</v>
      </c>
      <c r="R370" s="53">
        <f t="shared" si="198"/>
        <v>5</v>
      </c>
      <c r="S370" s="53">
        <f t="shared" si="199"/>
        <v>1</v>
      </c>
      <c r="T370" s="101">
        <f t="shared" si="173"/>
        <v>10</v>
      </c>
      <c r="U370" s="15" t="str">
        <f>_xlfn.TEXTJOIN(", ",TRUE,ABS(MID(B370,{1,1,2},1)-MID(B370,{2,3,3},1)))</f>
        <v>4, 5, 1</v>
      </c>
      <c r="V370" s="54">
        <v>0</v>
      </c>
      <c r="W370" s="54">
        <v>1</v>
      </c>
      <c r="X370" s="54">
        <v>2</v>
      </c>
      <c r="Y370" s="54">
        <v>3</v>
      </c>
      <c r="Z370" s="54">
        <v>4</v>
      </c>
      <c r="AA370" s="54">
        <v>5</v>
      </c>
      <c r="AB370" s="54">
        <v>6</v>
      </c>
      <c r="AC370" s="54">
        <v>7</v>
      </c>
      <c r="AD370" s="54">
        <v>8</v>
      </c>
      <c r="AE370" s="54">
        <v>9</v>
      </c>
      <c r="AF370" s="55">
        <v>0</v>
      </c>
      <c r="AG370" s="55">
        <v>1</v>
      </c>
      <c r="AH370" s="55">
        <v>2</v>
      </c>
      <c r="AI370" s="55">
        <v>3</v>
      </c>
      <c r="AJ370" s="55">
        <v>4</v>
      </c>
      <c r="AK370" s="55">
        <v>5</v>
      </c>
      <c r="AL370" s="55">
        <v>6</v>
      </c>
      <c r="AM370" s="55">
        <v>7</v>
      </c>
      <c r="AN370" s="55">
        <v>8</v>
      </c>
      <c r="AO370" s="55">
        <v>9</v>
      </c>
      <c r="AP370" s="105">
        <v>0</v>
      </c>
      <c r="AQ370" s="105">
        <v>1</v>
      </c>
      <c r="AR370" s="105">
        <v>2</v>
      </c>
      <c r="AS370" s="105">
        <v>3</v>
      </c>
      <c r="AT370" s="105">
        <v>4</v>
      </c>
      <c r="AU370" s="105">
        <v>5</v>
      </c>
      <c r="AV370" s="105">
        <v>6</v>
      </c>
      <c r="AW370" s="105">
        <v>7</v>
      </c>
      <c r="AX370" s="105">
        <v>8</v>
      </c>
      <c r="AY370" s="105">
        <v>9</v>
      </c>
      <c r="AZ370" s="56">
        <v>0</v>
      </c>
      <c r="BA370" s="56">
        <v>1</v>
      </c>
      <c r="BB370" s="56">
        <v>2</v>
      </c>
      <c r="BC370" s="56">
        <v>3</v>
      </c>
      <c r="BD370" s="56">
        <v>4</v>
      </c>
      <c r="BE370" s="56">
        <v>5</v>
      </c>
      <c r="BF370" s="56">
        <v>6</v>
      </c>
      <c r="BG370" s="56">
        <v>7</v>
      </c>
      <c r="BH370" s="56">
        <v>8</v>
      </c>
      <c r="BI370" s="56">
        <v>9</v>
      </c>
      <c r="BJ370" s="57" t="str">
        <f t="shared" si="174"/>
        <v>标准型</v>
      </c>
      <c r="BK370" s="13">
        <f t="shared" si="170"/>
        <v>1</v>
      </c>
      <c r="BL370" s="13">
        <f t="shared" si="171"/>
        <v>5</v>
      </c>
      <c r="BM370" s="18" t="str">
        <f t="shared" si="176"/>
        <v/>
      </c>
      <c r="BN370" s="19">
        <f t="shared" si="177"/>
        <v>4</v>
      </c>
      <c r="BO370" s="19" t="str">
        <f t="array" ref="BO370">_xlfn.TEXTJOIN("",TRUE,IF(ISERROR(FIND(ROW($1:$10)-1,BM370&amp;BN370)),ROW($1:$10)-1,""))</f>
        <v>012356789</v>
      </c>
      <c r="BP370" s="20" t="str">
        <f t="shared" si="178"/>
        <v>中隔中</v>
      </c>
      <c r="BQ370" s="21" t="str">
        <f t="shared" si="189"/>
        <v/>
      </c>
      <c r="BR370" s="21" t="str">
        <f t="shared" si="187"/>
        <v/>
      </c>
      <c r="BS370" s="21" t="str">
        <f t="array" ref="BS370">_xlfn.TEXTJOIN("",TRUE,IF(ISERROR(FIND(ROW($1:$10)-1,BQ370&amp;BR370)),ROW($1:$10)-1,""))</f>
        <v>0123456789</v>
      </c>
      <c r="BT370" s="20" t="str">
        <f t="shared" si="179"/>
        <v>中中中</v>
      </c>
      <c r="BU370" s="22" t="str">
        <f t="shared" si="180"/>
        <v/>
      </c>
      <c r="BV370" s="22">
        <f t="shared" si="188"/>
        <v>1</v>
      </c>
      <c r="BW370" s="22" t="str">
        <f t="array" ref="BW370">_xlfn.TEXTJOIN("",TRUE,IF(ISERROR(FIND(ROW($1:$10)-1,BU370&amp;BV370)),ROW($1:$10)-1,""))</f>
        <v>023456789</v>
      </c>
      <c r="BX370" s="20" t="str">
        <f t="shared" si="181"/>
        <v>中隔中</v>
      </c>
      <c r="BY370" s="23" t="str">
        <f t="shared" si="175"/>
        <v>35</v>
      </c>
      <c r="BZ370" s="24" t="str">
        <f t="array" ref="BZ370">_xlfn.TEXTJOIN("",TRUE,IF(ISNUMBER(FIND(MID(BY369&amp;Q369,ROW($1:$4),1),BY370&amp;Q370)),MID(BY369&amp;Q369,ROW($1:$4),1),""))</f>
        <v/>
      </c>
      <c r="CA370" s="25" t="str">
        <f t="array" ref="CA370">_xlfn.TEXTJOIN("",TRUE,IF(ISERROR(FIND(ROW($1:$10)-1,BY370&amp;BZ370)),ROW($1:$10)-1,""))</f>
        <v>01246789</v>
      </c>
      <c r="CB370" s="26" t="str">
        <f t="shared" si="182"/>
        <v>邻孤孤</v>
      </c>
      <c r="CC370" s="27" t="str">
        <f t="shared" si="183"/>
        <v>46</v>
      </c>
      <c r="CD370" s="27" t="str">
        <f t="array" ref="CD370">_xlfn.TEXTJOIN("",TRUE,IF(ISNUMBER(FIND(MID(CC369&amp;R369,ROW($1:$4),1),CC370&amp;R370)),MID(CC369&amp;R369,ROW($1:$4),1),""))</f>
        <v/>
      </c>
      <c r="CE370" s="27" t="str">
        <f t="array" ref="CE370">_xlfn.TEXTJOIN("",TRUE,IF(ISERROR(FIND(ROW($1:$10)-1,CC370&amp;CD370)),ROW($1:$10)-1,""))</f>
        <v>01235789</v>
      </c>
      <c r="CF370" s="17" t="str">
        <f t="shared" si="184"/>
        <v>邻孤孤</v>
      </c>
      <c r="CG370" s="22" t="str">
        <f t="shared" si="185"/>
        <v>02</v>
      </c>
      <c r="CH370" s="22" t="str">
        <f t="array" ref="CH370">_xlfn.TEXTJOIN("",TRUE,IF(ISNUMBER(FIND(MID(CG369&amp;S369,ROW($1:$4),1),CG370&amp;S370)),MID(CG369&amp;S369,ROW($1:$4),1),""))</f>
        <v>10</v>
      </c>
      <c r="CI370" s="22" t="str">
        <f t="array" ref="CI370">_xlfn.TEXTJOIN("",TRUE,IF(ISERROR(FIND(ROW($1:$10)-1,CG370&amp;CH370)),ROW($1:$10)-1,""))</f>
        <v>3456789</v>
      </c>
      <c r="CJ370" s="28" t="str">
        <f t="shared" si="186"/>
        <v>邻传孤</v>
      </c>
    </row>
    <row r="371" spans="1:88">
      <c r="A371" s="32">
        <v>2025146</v>
      </c>
      <c r="B371" s="8" t="s">
        <v>322</v>
      </c>
      <c r="C371" s="49">
        <f t="shared" si="195"/>
        <v>24</v>
      </c>
      <c r="D371" s="50">
        <f t="shared" si="196"/>
        <v>4</v>
      </c>
      <c r="E371" s="51">
        <f t="shared" si="172"/>
        <v>8</v>
      </c>
      <c r="F371" s="52">
        <f>MAX(MID(B371,{1,2,3},1)*1)-MIN(MID(B371,{1,2,3},1)*1)</f>
        <v>2</v>
      </c>
      <c r="G371" s="104">
        <v>0</v>
      </c>
      <c r="H371" s="104">
        <v>1</v>
      </c>
      <c r="I371" s="104">
        <v>2</v>
      </c>
      <c r="J371" s="104">
        <v>3</v>
      </c>
      <c r="K371" s="104">
        <v>4</v>
      </c>
      <c r="L371" s="104">
        <v>5</v>
      </c>
      <c r="M371" s="104">
        <v>6</v>
      </c>
      <c r="N371" s="104">
        <v>7</v>
      </c>
      <c r="O371" s="104">
        <v>8</v>
      </c>
      <c r="P371" s="104">
        <v>9</v>
      </c>
      <c r="Q371" s="53">
        <f t="shared" si="197"/>
        <v>1</v>
      </c>
      <c r="R371" s="53">
        <f t="shared" si="198"/>
        <v>1</v>
      </c>
      <c r="S371" s="53">
        <f t="shared" si="199"/>
        <v>2</v>
      </c>
      <c r="T371" s="101">
        <f t="shared" si="173"/>
        <v>4</v>
      </c>
      <c r="U371" s="15" t="str">
        <f>_xlfn.TEXTJOIN(", ",TRUE,ABS(MID(B371,{1,1,2},1)-MID(B371,{2,3,3},1)))</f>
        <v>1, 1, 2</v>
      </c>
      <c r="V371" s="54">
        <v>0</v>
      </c>
      <c r="W371" s="54">
        <v>1</v>
      </c>
      <c r="X371" s="54">
        <v>2</v>
      </c>
      <c r="Y371" s="54">
        <v>3</v>
      </c>
      <c r="Z371" s="54">
        <v>4</v>
      </c>
      <c r="AA371" s="54">
        <v>5</v>
      </c>
      <c r="AB371" s="54">
        <v>6</v>
      </c>
      <c r="AC371" s="54">
        <v>7</v>
      </c>
      <c r="AD371" s="54">
        <v>8</v>
      </c>
      <c r="AE371" s="54">
        <v>9</v>
      </c>
      <c r="AF371" s="55">
        <v>0</v>
      </c>
      <c r="AG371" s="55">
        <v>1</v>
      </c>
      <c r="AH371" s="55">
        <v>2</v>
      </c>
      <c r="AI371" s="55">
        <v>3</v>
      </c>
      <c r="AJ371" s="55">
        <v>4</v>
      </c>
      <c r="AK371" s="55">
        <v>5</v>
      </c>
      <c r="AL371" s="55">
        <v>6</v>
      </c>
      <c r="AM371" s="55">
        <v>7</v>
      </c>
      <c r="AN371" s="55">
        <v>8</v>
      </c>
      <c r="AO371" s="55">
        <v>9</v>
      </c>
      <c r="AP371" s="105">
        <v>0</v>
      </c>
      <c r="AQ371" s="105">
        <v>1</v>
      </c>
      <c r="AR371" s="105">
        <v>2</v>
      </c>
      <c r="AS371" s="105">
        <v>3</v>
      </c>
      <c r="AT371" s="105">
        <v>4</v>
      </c>
      <c r="AU371" s="105">
        <v>5</v>
      </c>
      <c r="AV371" s="105">
        <v>6</v>
      </c>
      <c r="AW371" s="105">
        <v>7</v>
      </c>
      <c r="AX371" s="105">
        <v>8</v>
      </c>
      <c r="AY371" s="105">
        <v>9</v>
      </c>
      <c r="AZ371" s="56">
        <v>0</v>
      </c>
      <c r="BA371" s="56">
        <v>1</v>
      </c>
      <c r="BB371" s="56">
        <v>2</v>
      </c>
      <c r="BC371" s="56">
        <v>3</v>
      </c>
      <c r="BD371" s="56">
        <v>4</v>
      </c>
      <c r="BE371" s="56">
        <v>5</v>
      </c>
      <c r="BF371" s="56">
        <v>6</v>
      </c>
      <c r="BG371" s="56">
        <v>7</v>
      </c>
      <c r="BH371" s="56">
        <v>8</v>
      </c>
      <c r="BI371" s="56">
        <v>9</v>
      </c>
      <c r="BJ371" s="57" t="str">
        <f t="shared" si="174"/>
        <v>紧凑型</v>
      </c>
      <c r="BK371" s="13">
        <f t="shared" si="170"/>
        <v>1</v>
      </c>
      <c r="BL371" s="13">
        <f t="shared" si="171"/>
        <v>2</v>
      </c>
      <c r="BM371" s="18">
        <f t="shared" si="176"/>
        <v>1</v>
      </c>
      <c r="BN371" s="19" t="str">
        <f t="shared" si="177"/>
        <v/>
      </c>
      <c r="BO371" s="19" t="str">
        <f t="array" ref="BO371">_xlfn.TEXTJOIN("",TRUE,IF(ISERROR(FIND(ROW($1:$10)-1,BM371&amp;BN371)),ROW($1:$10)-1,""))</f>
        <v>023456789</v>
      </c>
      <c r="BP371" s="20" t="str">
        <f t="shared" si="178"/>
        <v>复中中</v>
      </c>
      <c r="BQ371" s="21">
        <f t="shared" si="189"/>
        <v>1</v>
      </c>
      <c r="BR371" s="21" t="str">
        <f t="shared" si="187"/>
        <v/>
      </c>
      <c r="BS371" s="21" t="str">
        <f t="array" ref="BS371">_xlfn.TEXTJOIN("",TRUE,IF(ISERROR(FIND(ROW($1:$10)-1,BQ371&amp;BR371)),ROW($1:$10)-1,""))</f>
        <v>023456789</v>
      </c>
      <c r="BT371" s="20" t="str">
        <f t="shared" si="179"/>
        <v>复中中</v>
      </c>
      <c r="BU371" s="22" t="str">
        <f t="shared" si="180"/>
        <v/>
      </c>
      <c r="BV371" s="22" t="str">
        <f t="shared" si="188"/>
        <v/>
      </c>
      <c r="BW371" s="22" t="str">
        <f t="array" ref="BW371">_xlfn.TEXTJOIN("",TRUE,IF(ISERROR(FIND(ROW($1:$10)-1,BU371&amp;BV371)),ROW($1:$10)-1,""))</f>
        <v>0123456789</v>
      </c>
      <c r="BX371" s="20" t="str">
        <f t="shared" si="181"/>
        <v>中中中</v>
      </c>
      <c r="BY371" s="23" t="str">
        <f t="shared" si="175"/>
        <v>02</v>
      </c>
      <c r="BZ371" s="24" t="str">
        <f t="array" ref="BZ371">_xlfn.TEXTJOIN("",TRUE,IF(ISNUMBER(FIND(MID(BY370&amp;Q370,ROW($1:$4),1),BY371&amp;Q371)),MID(BY370&amp;Q370,ROW($1:$4),1),""))</f>
        <v/>
      </c>
      <c r="CA371" s="25" t="str">
        <f t="array" ref="CA371">_xlfn.TEXTJOIN("",TRUE,IF(ISERROR(FIND(ROW($1:$10)-1,BY371&amp;BZ371)),ROW($1:$10)-1,""))</f>
        <v>13456789</v>
      </c>
      <c r="CB371" s="26" t="str">
        <f t="shared" si="182"/>
        <v>邻孤孤</v>
      </c>
      <c r="CC371" s="27" t="str">
        <f t="shared" si="183"/>
        <v>02</v>
      </c>
      <c r="CD371" s="27" t="str">
        <f t="array" ref="CD371">_xlfn.TEXTJOIN("",TRUE,IF(ISNUMBER(FIND(MID(CC370&amp;R370,ROW($1:$4),1),CC371&amp;R371)),MID(CC370&amp;R370,ROW($1:$4),1),""))</f>
        <v/>
      </c>
      <c r="CE371" s="27" t="str">
        <f t="array" ref="CE371">_xlfn.TEXTJOIN("",TRUE,IF(ISERROR(FIND(ROW($1:$10)-1,CC371&amp;CD371)),ROW($1:$10)-1,""))</f>
        <v>13456789</v>
      </c>
      <c r="CF371" s="17" t="str">
        <f t="shared" si="184"/>
        <v>邻孤孤</v>
      </c>
      <c r="CG371" s="22" t="str">
        <f t="shared" si="185"/>
        <v>13</v>
      </c>
      <c r="CH371" s="22" t="str">
        <f t="array" ref="CH371">_xlfn.TEXTJOIN("",TRUE,IF(ISNUMBER(FIND(MID(CG370&amp;S370,ROW($1:$4),1),CG371&amp;S371)),MID(CG370&amp;S370,ROW($1:$4),1),""))</f>
        <v>21</v>
      </c>
      <c r="CI371" s="22" t="str">
        <f t="array" ref="CI371">_xlfn.TEXTJOIN("",TRUE,IF(ISERROR(FIND(ROW($1:$10)-1,CG371&amp;CH371)),ROW($1:$10)-1,""))</f>
        <v>0456789</v>
      </c>
      <c r="CJ371" s="28" t="str">
        <f t="shared" si="186"/>
        <v>邻传孤</v>
      </c>
    </row>
    <row r="372" spans="1:88">
      <c r="A372" s="32">
        <v>2025147</v>
      </c>
      <c r="B372" s="8" t="s">
        <v>323</v>
      </c>
      <c r="C372" s="49">
        <f t="shared" si="195"/>
        <v>6</v>
      </c>
      <c r="D372" s="50">
        <f t="shared" si="196"/>
        <v>6</v>
      </c>
      <c r="E372" s="51">
        <f t="shared" si="172"/>
        <v>2</v>
      </c>
      <c r="F372" s="52">
        <f>MAX(MID(B372,{1,2,3},1)*1)-MIN(MID(B372,{1,2,3},1)*1)</f>
        <v>2</v>
      </c>
      <c r="G372" s="104">
        <v>0</v>
      </c>
      <c r="H372" s="104">
        <v>1</v>
      </c>
      <c r="I372" s="104">
        <v>2</v>
      </c>
      <c r="J372" s="104">
        <v>3</v>
      </c>
      <c r="K372" s="104">
        <v>4</v>
      </c>
      <c r="L372" s="104">
        <v>5</v>
      </c>
      <c r="M372" s="104">
        <v>6</v>
      </c>
      <c r="N372" s="104">
        <v>7</v>
      </c>
      <c r="O372" s="104">
        <v>8</v>
      </c>
      <c r="P372" s="104">
        <v>9</v>
      </c>
      <c r="Q372" s="53">
        <f t="shared" si="197"/>
        <v>1</v>
      </c>
      <c r="R372" s="53">
        <f t="shared" si="198"/>
        <v>2</v>
      </c>
      <c r="S372" s="53">
        <f t="shared" si="199"/>
        <v>1</v>
      </c>
      <c r="T372" s="101">
        <f t="shared" si="173"/>
        <v>4</v>
      </c>
      <c r="U372" s="15" t="str">
        <f>_xlfn.TEXTJOIN(", ",TRUE,ABS(MID(B372,{1,1,2},1)-MID(B372,{2,3,3},1)))</f>
        <v>1, 2, 1</v>
      </c>
      <c r="V372" s="54">
        <v>0</v>
      </c>
      <c r="W372" s="54">
        <v>1</v>
      </c>
      <c r="X372" s="54">
        <v>2</v>
      </c>
      <c r="Y372" s="54">
        <v>3</v>
      </c>
      <c r="Z372" s="54">
        <v>4</v>
      </c>
      <c r="AA372" s="54">
        <v>5</v>
      </c>
      <c r="AB372" s="54">
        <v>6</v>
      </c>
      <c r="AC372" s="54">
        <v>7</v>
      </c>
      <c r="AD372" s="54">
        <v>8</v>
      </c>
      <c r="AE372" s="54">
        <v>9</v>
      </c>
      <c r="AF372" s="55">
        <v>0</v>
      </c>
      <c r="AG372" s="55">
        <v>1</v>
      </c>
      <c r="AH372" s="55">
        <v>2</v>
      </c>
      <c r="AI372" s="55">
        <v>3</v>
      </c>
      <c r="AJ372" s="55">
        <v>4</v>
      </c>
      <c r="AK372" s="55">
        <v>5</v>
      </c>
      <c r="AL372" s="55">
        <v>6</v>
      </c>
      <c r="AM372" s="55">
        <v>7</v>
      </c>
      <c r="AN372" s="55">
        <v>8</v>
      </c>
      <c r="AO372" s="55">
        <v>9</v>
      </c>
      <c r="AP372" s="105">
        <v>0</v>
      </c>
      <c r="AQ372" s="105">
        <v>1</v>
      </c>
      <c r="AR372" s="105">
        <v>2</v>
      </c>
      <c r="AS372" s="105">
        <v>3</v>
      </c>
      <c r="AT372" s="105">
        <v>4</v>
      </c>
      <c r="AU372" s="105">
        <v>5</v>
      </c>
      <c r="AV372" s="105">
        <v>6</v>
      </c>
      <c r="AW372" s="105">
        <v>7</v>
      </c>
      <c r="AX372" s="105">
        <v>8</v>
      </c>
      <c r="AY372" s="105">
        <v>9</v>
      </c>
      <c r="AZ372" s="56">
        <v>0</v>
      </c>
      <c r="BA372" s="56">
        <v>1</v>
      </c>
      <c r="BB372" s="56">
        <v>2</v>
      </c>
      <c r="BC372" s="56">
        <v>3</v>
      </c>
      <c r="BD372" s="56">
        <v>4</v>
      </c>
      <c r="BE372" s="56">
        <v>5</v>
      </c>
      <c r="BF372" s="56">
        <v>6</v>
      </c>
      <c r="BG372" s="56">
        <v>7</v>
      </c>
      <c r="BH372" s="56">
        <v>8</v>
      </c>
      <c r="BI372" s="56">
        <v>9</v>
      </c>
      <c r="BJ372" s="57" t="str">
        <f t="shared" si="174"/>
        <v>紧凑型</v>
      </c>
      <c r="BK372" s="13">
        <f t="shared" si="170"/>
        <v>1</v>
      </c>
      <c r="BL372" s="13">
        <f t="shared" si="171"/>
        <v>2</v>
      </c>
      <c r="BM372" s="18">
        <f t="shared" si="176"/>
        <v>1</v>
      </c>
      <c r="BN372" s="19">
        <f t="shared" si="177"/>
        <v>1</v>
      </c>
      <c r="BO372" s="19" t="str">
        <f t="array" ref="BO372">_xlfn.TEXTJOIN("",TRUE,IF(ISERROR(FIND(ROW($1:$10)-1,BM372&amp;BN372)),ROW($1:$10)-1,""))</f>
        <v>023456789</v>
      </c>
      <c r="BP372" s="20" t="str">
        <f t="shared" si="178"/>
        <v>复隔中</v>
      </c>
      <c r="BQ372" s="21">
        <f t="shared" si="189"/>
        <v>2</v>
      </c>
      <c r="BR372" s="21" t="str">
        <f t="shared" si="187"/>
        <v/>
      </c>
      <c r="BS372" s="21" t="str">
        <f t="array" ref="BS372">_xlfn.TEXTJOIN("",TRUE,IF(ISERROR(FIND(ROW($1:$10)-1,BQ372&amp;BR372)),ROW($1:$10)-1,""))</f>
        <v>013456789</v>
      </c>
      <c r="BT372" s="20" t="str">
        <f t="shared" si="179"/>
        <v>复中中</v>
      </c>
      <c r="BU372" s="22">
        <f t="shared" si="180"/>
        <v>1</v>
      </c>
      <c r="BV372" s="22">
        <f t="shared" si="188"/>
        <v>1</v>
      </c>
      <c r="BW372" s="22" t="str">
        <f t="array" ref="BW372">_xlfn.TEXTJOIN("",TRUE,IF(ISERROR(FIND(ROW($1:$10)-1,BU372&amp;BV372)),ROW($1:$10)-1,""))</f>
        <v>023456789</v>
      </c>
      <c r="BX372" s="20" t="str">
        <f t="shared" si="181"/>
        <v>复隔中</v>
      </c>
      <c r="BY372" s="23" t="str">
        <f t="shared" si="175"/>
        <v>02</v>
      </c>
      <c r="BZ372" s="24" t="str">
        <f t="array" ref="BZ372">_xlfn.TEXTJOIN("",TRUE,IF(ISNUMBER(FIND(MID(BY371&amp;Q371,ROW($1:$4),1),BY372&amp;Q372)),MID(BY371&amp;Q371,ROW($1:$4),1),""))</f>
        <v>021</v>
      </c>
      <c r="CA372" s="25" t="str">
        <f t="array" ref="CA372">_xlfn.TEXTJOIN("",TRUE,IF(ISERROR(FIND(ROW($1:$10)-1,BY372&amp;BZ372)),ROW($1:$10)-1,""))</f>
        <v>3456789</v>
      </c>
      <c r="CB372" s="26" t="str">
        <f t="shared" si="182"/>
        <v>邻传孤</v>
      </c>
      <c r="CC372" s="27" t="str">
        <f t="shared" si="183"/>
        <v>13</v>
      </c>
      <c r="CD372" s="27" t="str">
        <f t="array" ref="CD372">_xlfn.TEXTJOIN("",TRUE,IF(ISNUMBER(FIND(MID(CC371&amp;R371,ROW($1:$4),1),CC372&amp;R372)),MID(CC371&amp;R371,ROW($1:$4),1),""))</f>
        <v>21</v>
      </c>
      <c r="CE372" s="27" t="str">
        <f t="array" ref="CE372">_xlfn.TEXTJOIN("",TRUE,IF(ISERROR(FIND(ROW($1:$10)-1,CC372&amp;CD372)),ROW($1:$10)-1,""))</f>
        <v>0456789</v>
      </c>
      <c r="CF372" s="17" t="str">
        <f t="shared" si="184"/>
        <v>邻传孤</v>
      </c>
      <c r="CG372" s="22" t="str">
        <f t="shared" si="185"/>
        <v>02</v>
      </c>
      <c r="CH372" s="22" t="str">
        <f t="array" ref="CH372">_xlfn.TEXTJOIN("",TRUE,IF(ISNUMBER(FIND(MID(CG371&amp;S371,ROW($1:$4),1),CG372&amp;S372)),MID(CG371&amp;S371,ROW($1:$4),1),""))</f>
        <v>12</v>
      </c>
      <c r="CI372" s="22" t="str">
        <f t="array" ref="CI372">_xlfn.TEXTJOIN("",TRUE,IF(ISERROR(FIND(ROW($1:$10)-1,CG372&amp;CH372)),ROW($1:$10)-1,""))</f>
        <v>3456789</v>
      </c>
      <c r="CJ372" s="28" t="str">
        <f t="shared" si="186"/>
        <v>邻传孤</v>
      </c>
    </row>
    <row r="373" spans="1:88">
      <c r="A373" s="32">
        <v>2025148</v>
      </c>
      <c r="B373" s="8" t="s">
        <v>317</v>
      </c>
      <c r="C373" s="49">
        <f t="shared" si="195"/>
        <v>19</v>
      </c>
      <c r="D373" s="50">
        <f t="shared" si="196"/>
        <v>9</v>
      </c>
      <c r="E373" s="51">
        <f t="shared" si="172"/>
        <v>6.3333333333333304</v>
      </c>
      <c r="F373" s="52">
        <f>MAX(MID(B373,{1,2,3},1)*1)-MIN(MID(B373,{1,2,3},1)*1)</f>
        <v>5</v>
      </c>
      <c r="G373" s="104">
        <v>0</v>
      </c>
      <c r="H373" s="104">
        <v>1</v>
      </c>
      <c r="I373" s="104">
        <v>2</v>
      </c>
      <c r="J373" s="104">
        <v>3</v>
      </c>
      <c r="K373" s="104">
        <v>4</v>
      </c>
      <c r="L373" s="104">
        <v>5</v>
      </c>
      <c r="M373" s="104">
        <v>6</v>
      </c>
      <c r="N373" s="104">
        <v>7</v>
      </c>
      <c r="O373" s="104">
        <v>8</v>
      </c>
      <c r="P373" s="104">
        <v>9</v>
      </c>
      <c r="Q373" s="53">
        <f t="shared" si="197"/>
        <v>5</v>
      </c>
      <c r="R373" s="53">
        <f t="shared" si="198"/>
        <v>0</v>
      </c>
      <c r="S373" s="53">
        <f t="shared" si="199"/>
        <v>5</v>
      </c>
      <c r="T373" s="101">
        <f t="shared" si="173"/>
        <v>10</v>
      </c>
      <c r="U373" s="15" t="str">
        <f>_xlfn.TEXTJOIN(", ",TRUE,ABS(MID(B373,{1,1,2},1)-MID(B373,{2,3,3},1)))</f>
        <v>5, 0, 5</v>
      </c>
      <c r="V373" s="54">
        <v>0</v>
      </c>
      <c r="W373" s="54">
        <v>1</v>
      </c>
      <c r="X373" s="54">
        <v>2</v>
      </c>
      <c r="Y373" s="54">
        <v>3</v>
      </c>
      <c r="Z373" s="54">
        <v>4</v>
      </c>
      <c r="AA373" s="54">
        <v>5</v>
      </c>
      <c r="AB373" s="54">
        <v>6</v>
      </c>
      <c r="AC373" s="54">
        <v>7</v>
      </c>
      <c r="AD373" s="54">
        <v>8</v>
      </c>
      <c r="AE373" s="54">
        <v>9</v>
      </c>
      <c r="AF373" s="55">
        <v>0</v>
      </c>
      <c r="AG373" s="55">
        <v>1</v>
      </c>
      <c r="AH373" s="55">
        <v>2</v>
      </c>
      <c r="AI373" s="55">
        <v>3</v>
      </c>
      <c r="AJ373" s="55">
        <v>4</v>
      </c>
      <c r="AK373" s="55">
        <v>5</v>
      </c>
      <c r="AL373" s="55">
        <v>6</v>
      </c>
      <c r="AM373" s="55">
        <v>7</v>
      </c>
      <c r="AN373" s="55">
        <v>8</v>
      </c>
      <c r="AO373" s="55">
        <v>9</v>
      </c>
      <c r="AP373" s="105">
        <v>0</v>
      </c>
      <c r="AQ373" s="105">
        <v>1</v>
      </c>
      <c r="AR373" s="105">
        <v>2</v>
      </c>
      <c r="AS373" s="105">
        <v>3</v>
      </c>
      <c r="AT373" s="105">
        <v>4</v>
      </c>
      <c r="AU373" s="105">
        <v>5</v>
      </c>
      <c r="AV373" s="105">
        <v>6</v>
      </c>
      <c r="AW373" s="105">
        <v>7</v>
      </c>
      <c r="AX373" s="105">
        <v>8</v>
      </c>
      <c r="AY373" s="105">
        <v>9</v>
      </c>
      <c r="AZ373" s="56">
        <v>0</v>
      </c>
      <c r="BA373" s="56">
        <v>1</v>
      </c>
      <c r="BB373" s="56">
        <v>2</v>
      </c>
      <c r="BC373" s="56">
        <v>3</v>
      </c>
      <c r="BD373" s="56">
        <v>4</v>
      </c>
      <c r="BE373" s="56">
        <v>5</v>
      </c>
      <c r="BF373" s="56">
        <v>6</v>
      </c>
      <c r="BG373" s="56">
        <v>7</v>
      </c>
      <c r="BH373" s="56">
        <v>8</v>
      </c>
      <c r="BI373" s="56">
        <v>9</v>
      </c>
      <c r="BJ373" s="57" t="str">
        <f t="shared" si="174"/>
        <v>对子</v>
      </c>
      <c r="BK373" s="13">
        <f t="shared" si="170"/>
        <v>0</v>
      </c>
      <c r="BL373" s="13">
        <f t="shared" si="171"/>
        <v>5</v>
      </c>
      <c r="BM373" s="18" t="str">
        <f t="shared" si="176"/>
        <v/>
      </c>
      <c r="BN373" s="19" t="str">
        <f t="shared" si="177"/>
        <v/>
      </c>
      <c r="BO373" s="19" t="str">
        <f t="array" ref="BO373">_xlfn.TEXTJOIN("",TRUE,IF(ISERROR(FIND(ROW($1:$10)-1,BM373&amp;BN373)),ROW($1:$10)-1,""))</f>
        <v>0123456789</v>
      </c>
      <c r="BP373" s="20" t="str">
        <f t="shared" si="178"/>
        <v>中中中</v>
      </c>
      <c r="BQ373" s="21" t="str">
        <f t="shared" si="189"/>
        <v/>
      </c>
      <c r="BR373" s="21" t="str">
        <f t="shared" si="187"/>
        <v/>
      </c>
      <c r="BS373" s="21" t="str">
        <f t="array" ref="BS373">_xlfn.TEXTJOIN("",TRUE,IF(ISERROR(FIND(ROW($1:$10)-1,BQ373&amp;BR373)),ROW($1:$10)-1,""))</f>
        <v>0123456789</v>
      </c>
      <c r="BT373" s="20" t="str">
        <f t="shared" si="179"/>
        <v>中中中</v>
      </c>
      <c r="BU373" s="22" t="str">
        <f t="shared" si="180"/>
        <v/>
      </c>
      <c r="BV373" s="22" t="str">
        <f t="shared" si="188"/>
        <v/>
      </c>
      <c r="BW373" s="22" t="str">
        <f t="array" ref="BW373">_xlfn.TEXTJOIN("",TRUE,IF(ISERROR(FIND(ROW($1:$10)-1,BU373&amp;BV373)),ROW($1:$10)-1,""))</f>
        <v>0123456789</v>
      </c>
      <c r="BX373" s="20" t="str">
        <f t="shared" si="181"/>
        <v>中中中</v>
      </c>
      <c r="BY373" s="23" t="str">
        <f t="shared" si="175"/>
        <v>46</v>
      </c>
      <c r="BZ373" s="24" t="str">
        <f t="array" ref="BZ373">_xlfn.TEXTJOIN("",TRUE,IF(ISNUMBER(FIND(MID(BY372&amp;Q372,ROW($1:$4),1),BY373&amp;Q373)),MID(BY372&amp;Q372,ROW($1:$4),1),""))</f>
        <v/>
      </c>
      <c r="CA373" s="25" t="str">
        <f t="array" ref="CA373">_xlfn.TEXTJOIN("",TRUE,IF(ISERROR(FIND(ROW($1:$10)-1,BY373&amp;BZ373)),ROW($1:$10)-1,""))</f>
        <v>01235789</v>
      </c>
      <c r="CB373" s="26" t="str">
        <f t="shared" si="182"/>
        <v>邻孤孤</v>
      </c>
      <c r="CC373" s="27" t="str">
        <f t="shared" si="183"/>
        <v>91</v>
      </c>
      <c r="CD373" s="27" t="str">
        <f t="array" ref="CD373">_xlfn.TEXTJOIN("",TRUE,IF(ISNUMBER(FIND(MID(CC372&amp;R372,ROW($1:$4),1),CC373&amp;R373)),MID(CC372&amp;R372,ROW($1:$4),1),""))</f>
        <v>1</v>
      </c>
      <c r="CE373" s="27" t="str">
        <f t="array" ref="CE373">_xlfn.TEXTJOIN("",TRUE,IF(ISERROR(FIND(ROW($1:$10)-1,CC373&amp;CD373)),ROW($1:$10)-1,""))</f>
        <v>02345678</v>
      </c>
      <c r="CF373" s="17" t="str">
        <f t="shared" si="184"/>
        <v>邻传孤</v>
      </c>
      <c r="CG373" s="22" t="str">
        <f t="shared" si="185"/>
        <v>46</v>
      </c>
      <c r="CH373" s="22" t="str">
        <f t="array" ref="CH373">_xlfn.TEXTJOIN("",TRUE,IF(ISNUMBER(FIND(MID(CG372&amp;S372,ROW($1:$4),1),CG373&amp;S373)),MID(CG372&amp;S372,ROW($1:$4),1),""))</f>
        <v/>
      </c>
      <c r="CI373" s="22" t="str">
        <f t="array" ref="CI373">_xlfn.TEXTJOIN("",TRUE,IF(ISERROR(FIND(ROW($1:$10)-1,CG373&amp;CH373)),ROW($1:$10)-1,""))</f>
        <v>01235789</v>
      </c>
      <c r="CJ373" s="28" t="str">
        <f t="shared" si="186"/>
        <v>邻孤孤</v>
      </c>
    </row>
    <row r="374" spans="1:88">
      <c r="A374" s="32">
        <v>2025149</v>
      </c>
      <c r="B374" s="8" t="s">
        <v>324</v>
      </c>
      <c r="C374" s="49">
        <f t="shared" si="195"/>
        <v>14</v>
      </c>
      <c r="D374" s="50">
        <f t="shared" si="196"/>
        <v>4</v>
      </c>
      <c r="E374" s="51">
        <f t="shared" si="172"/>
        <v>4.6666666666666696</v>
      </c>
      <c r="F374" s="52">
        <f>MAX(MID(B374,{1,2,3},1)*1)-MIN(MID(B374,{1,2,3},1)*1)</f>
        <v>4</v>
      </c>
      <c r="G374" s="104">
        <v>0</v>
      </c>
      <c r="H374" s="104">
        <v>1</v>
      </c>
      <c r="I374" s="104">
        <v>2</v>
      </c>
      <c r="J374" s="104">
        <v>3</v>
      </c>
      <c r="K374" s="104">
        <v>4</v>
      </c>
      <c r="L374" s="104">
        <v>5</v>
      </c>
      <c r="M374" s="104">
        <v>6</v>
      </c>
      <c r="N374" s="104">
        <v>7</v>
      </c>
      <c r="O374" s="104">
        <v>8</v>
      </c>
      <c r="P374" s="104">
        <v>9</v>
      </c>
      <c r="Q374" s="53">
        <f t="shared" si="197"/>
        <v>4</v>
      </c>
      <c r="R374" s="53">
        <f t="shared" si="198"/>
        <v>3</v>
      </c>
      <c r="S374" s="53">
        <f t="shared" si="199"/>
        <v>1</v>
      </c>
      <c r="T374" s="101">
        <f t="shared" si="173"/>
        <v>8</v>
      </c>
      <c r="U374" s="15" t="str">
        <f>_xlfn.TEXTJOIN(", ",TRUE,ABS(MID(B374,{1,1,2},1)-MID(B374,{2,3,3},1)))</f>
        <v>4, 3, 1</v>
      </c>
      <c r="V374" s="54">
        <v>0</v>
      </c>
      <c r="W374" s="54">
        <v>1</v>
      </c>
      <c r="X374" s="54">
        <v>2</v>
      </c>
      <c r="Y374" s="54">
        <v>3</v>
      </c>
      <c r="Z374" s="54">
        <v>4</v>
      </c>
      <c r="AA374" s="54">
        <v>5</v>
      </c>
      <c r="AB374" s="54">
        <v>6</v>
      </c>
      <c r="AC374" s="54">
        <v>7</v>
      </c>
      <c r="AD374" s="54">
        <v>8</v>
      </c>
      <c r="AE374" s="54">
        <v>9</v>
      </c>
      <c r="AF374" s="55">
        <v>0</v>
      </c>
      <c r="AG374" s="55">
        <v>1</v>
      </c>
      <c r="AH374" s="55">
        <v>2</v>
      </c>
      <c r="AI374" s="55">
        <v>3</v>
      </c>
      <c r="AJ374" s="55">
        <v>4</v>
      </c>
      <c r="AK374" s="55">
        <v>5</v>
      </c>
      <c r="AL374" s="55">
        <v>6</v>
      </c>
      <c r="AM374" s="55">
        <v>7</v>
      </c>
      <c r="AN374" s="55">
        <v>8</v>
      </c>
      <c r="AO374" s="55">
        <v>9</v>
      </c>
      <c r="AP374" s="105">
        <v>0</v>
      </c>
      <c r="AQ374" s="105">
        <v>1</v>
      </c>
      <c r="AR374" s="105">
        <v>2</v>
      </c>
      <c r="AS374" s="105">
        <v>3</v>
      </c>
      <c r="AT374" s="105">
        <v>4</v>
      </c>
      <c r="AU374" s="105">
        <v>5</v>
      </c>
      <c r="AV374" s="105">
        <v>6</v>
      </c>
      <c r="AW374" s="105">
        <v>7</v>
      </c>
      <c r="AX374" s="105">
        <v>8</v>
      </c>
      <c r="AY374" s="105">
        <v>9</v>
      </c>
      <c r="AZ374" s="56">
        <v>0</v>
      </c>
      <c r="BA374" s="56">
        <v>1</v>
      </c>
      <c r="BB374" s="56">
        <v>2</v>
      </c>
      <c r="BC374" s="56">
        <v>3</v>
      </c>
      <c r="BD374" s="56">
        <v>4</v>
      </c>
      <c r="BE374" s="56">
        <v>5</v>
      </c>
      <c r="BF374" s="56">
        <v>6</v>
      </c>
      <c r="BG374" s="56">
        <v>7</v>
      </c>
      <c r="BH374" s="56">
        <v>8</v>
      </c>
      <c r="BI374" s="56">
        <v>9</v>
      </c>
      <c r="BJ374" s="57" t="str">
        <f t="shared" si="174"/>
        <v>紧凑型</v>
      </c>
      <c r="BK374" s="13">
        <f t="shared" si="170"/>
        <v>1</v>
      </c>
      <c r="BL374" s="13">
        <f t="shared" si="171"/>
        <v>4</v>
      </c>
      <c r="BM374" s="18" t="str">
        <f t="shared" si="176"/>
        <v/>
      </c>
      <c r="BN374" s="19" t="str">
        <f t="shared" si="177"/>
        <v/>
      </c>
      <c r="BO374" s="19" t="str">
        <f t="array" ref="BO374">_xlfn.TEXTJOIN("",TRUE,IF(ISERROR(FIND(ROW($1:$10)-1,BM374&amp;BN374)),ROW($1:$10)-1,""))</f>
        <v>0123456789</v>
      </c>
      <c r="BP374" s="20" t="str">
        <f t="shared" si="178"/>
        <v>中中中</v>
      </c>
      <c r="BQ374" s="21" t="str">
        <f t="shared" si="189"/>
        <v/>
      </c>
      <c r="BR374" s="21" t="str">
        <f t="shared" si="187"/>
        <v/>
      </c>
      <c r="BS374" s="21" t="str">
        <f t="array" ref="BS374">_xlfn.TEXTJOIN("",TRUE,IF(ISERROR(FIND(ROW($1:$10)-1,BQ374&amp;BR374)),ROW($1:$10)-1,""))</f>
        <v>0123456789</v>
      </c>
      <c r="BT374" s="20" t="str">
        <f t="shared" si="179"/>
        <v>中中中</v>
      </c>
      <c r="BU374" s="22" t="str">
        <f t="shared" si="180"/>
        <v/>
      </c>
      <c r="BV374" s="22">
        <f t="shared" si="188"/>
        <v>1</v>
      </c>
      <c r="BW374" s="22" t="str">
        <f t="array" ref="BW374">_xlfn.TEXTJOIN("",TRUE,IF(ISERROR(FIND(ROW($1:$10)-1,BU374&amp;BV374)),ROW($1:$10)-1,""))</f>
        <v>023456789</v>
      </c>
      <c r="BX374" s="20" t="str">
        <f t="shared" si="181"/>
        <v>中隔中</v>
      </c>
      <c r="BY374" s="23" t="str">
        <f t="shared" si="175"/>
        <v>35</v>
      </c>
      <c r="BZ374" s="24" t="str">
        <f t="array" ref="BZ374">_xlfn.TEXTJOIN("",TRUE,IF(ISNUMBER(FIND(MID(BY373&amp;Q373,ROW($1:$4),1),BY374&amp;Q374)),MID(BY373&amp;Q373,ROW($1:$4),1),""))</f>
        <v>45</v>
      </c>
      <c r="CA374" s="25" t="str">
        <f t="array" ref="CA374">_xlfn.TEXTJOIN("",TRUE,IF(ISERROR(FIND(ROW($1:$10)-1,BY374&amp;BZ374)),ROW($1:$10)-1,""))</f>
        <v>0126789</v>
      </c>
      <c r="CB374" s="26" t="str">
        <f t="shared" si="182"/>
        <v>邻传孤</v>
      </c>
      <c r="CC374" s="27" t="str">
        <f t="shared" si="183"/>
        <v>24</v>
      </c>
      <c r="CD374" s="27" t="str">
        <f t="array" ref="CD374">_xlfn.TEXTJOIN("",TRUE,IF(ISNUMBER(FIND(MID(CC373&amp;R373,ROW($1:$4),1),CC374&amp;R374)),MID(CC373&amp;R373,ROW($1:$4),1),""))</f>
        <v/>
      </c>
      <c r="CE374" s="27" t="str">
        <f t="array" ref="CE374">_xlfn.TEXTJOIN("",TRUE,IF(ISERROR(FIND(ROW($1:$10)-1,CC374&amp;CD374)),ROW($1:$10)-1,""))</f>
        <v>01356789</v>
      </c>
      <c r="CF374" s="17" t="str">
        <f t="shared" si="184"/>
        <v>邻孤孤</v>
      </c>
      <c r="CG374" s="22" t="str">
        <f t="shared" si="185"/>
        <v>02</v>
      </c>
      <c r="CH374" s="22" t="str">
        <f t="array" ref="CH374">_xlfn.TEXTJOIN("",TRUE,IF(ISNUMBER(FIND(MID(CG373&amp;S373,ROW($1:$4),1),CG374&amp;S374)),MID(CG373&amp;S373,ROW($1:$4),1),""))</f>
        <v/>
      </c>
      <c r="CI374" s="22" t="str">
        <f t="array" ref="CI374">_xlfn.TEXTJOIN("",TRUE,IF(ISERROR(FIND(ROW($1:$10)-1,CG374&amp;CH374)),ROW($1:$10)-1,""))</f>
        <v>13456789</v>
      </c>
      <c r="CJ374" s="28" t="str">
        <f t="shared" si="186"/>
        <v>邻孤孤</v>
      </c>
    </row>
    <row r="375" spans="1:88">
      <c r="A375" s="32">
        <v>2025150</v>
      </c>
      <c r="B375" s="8" t="s">
        <v>323</v>
      </c>
      <c r="C375" s="49">
        <f t="shared" si="195"/>
        <v>6</v>
      </c>
      <c r="D375" s="50">
        <f t="shared" si="196"/>
        <v>6</v>
      </c>
      <c r="E375" s="51">
        <f t="shared" si="172"/>
        <v>2</v>
      </c>
      <c r="F375" s="52">
        <f>MAX(MID(B375,{1,2,3},1)*1)-MIN(MID(B375,{1,2,3},1)*1)</f>
        <v>2</v>
      </c>
      <c r="G375" s="104">
        <v>0</v>
      </c>
      <c r="H375" s="104">
        <v>1</v>
      </c>
      <c r="I375" s="104">
        <v>2</v>
      </c>
      <c r="J375" s="104">
        <v>3</v>
      </c>
      <c r="K375" s="104">
        <v>4</v>
      </c>
      <c r="L375" s="104">
        <v>5</v>
      </c>
      <c r="M375" s="104">
        <v>6</v>
      </c>
      <c r="N375" s="104">
        <v>7</v>
      </c>
      <c r="O375" s="104">
        <v>8</v>
      </c>
      <c r="P375" s="104">
        <v>9</v>
      </c>
      <c r="Q375" s="53">
        <f t="shared" si="197"/>
        <v>1</v>
      </c>
      <c r="R375" s="53">
        <f t="shared" si="198"/>
        <v>2</v>
      </c>
      <c r="S375" s="53">
        <f t="shared" si="199"/>
        <v>1</v>
      </c>
      <c r="T375" s="101">
        <f t="shared" si="173"/>
        <v>4</v>
      </c>
      <c r="U375" s="15" t="str">
        <f>_xlfn.TEXTJOIN(", ",TRUE,ABS(MID(B375,{1,1,2},1)-MID(B375,{2,3,3},1)))</f>
        <v>1, 2, 1</v>
      </c>
      <c r="V375" s="54">
        <v>0</v>
      </c>
      <c r="W375" s="54">
        <v>1</v>
      </c>
      <c r="X375" s="54">
        <v>2</v>
      </c>
      <c r="Y375" s="54">
        <v>3</v>
      </c>
      <c r="Z375" s="54">
        <v>4</v>
      </c>
      <c r="AA375" s="54">
        <v>5</v>
      </c>
      <c r="AB375" s="54">
        <v>6</v>
      </c>
      <c r="AC375" s="54">
        <v>7</v>
      </c>
      <c r="AD375" s="54">
        <v>8</v>
      </c>
      <c r="AE375" s="54">
        <v>9</v>
      </c>
      <c r="AF375" s="55">
        <v>0</v>
      </c>
      <c r="AG375" s="55">
        <v>1</v>
      </c>
      <c r="AH375" s="55">
        <v>2</v>
      </c>
      <c r="AI375" s="55">
        <v>3</v>
      </c>
      <c r="AJ375" s="55">
        <v>4</v>
      </c>
      <c r="AK375" s="55">
        <v>5</v>
      </c>
      <c r="AL375" s="55">
        <v>6</v>
      </c>
      <c r="AM375" s="55">
        <v>7</v>
      </c>
      <c r="AN375" s="55">
        <v>8</v>
      </c>
      <c r="AO375" s="55">
        <v>9</v>
      </c>
      <c r="AP375" s="105">
        <v>0</v>
      </c>
      <c r="AQ375" s="105">
        <v>1</v>
      </c>
      <c r="AR375" s="105">
        <v>2</v>
      </c>
      <c r="AS375" s="105">
        <v>3</v>
      </c>
      <c r="AT375" s="105">
        <v>4</v>
      </c>
      <c r="AU375" s="105">
        <v>5</v>
      </c>
      <c r="AV375" s="105">
        <v>6</v>
      </c>
      <c r="AW375" s="105">
        <v>7</v>
      </c>
      <c r="AX375" s="105">
        <v>8</v>
      </c>
      <c r="AY375" s="105">
        <v>9</v>
      </c>
      <c r="AZ375" s="56">
        <v>0</v>
      </c>
      <c r="BA375" s="56">
        <v>1</v>
      </c>
      <c r="BB375" s="56">
        <v>2</v>
      </c>
      <c r="BC375" s="56">
        <v>3</v>
      </c>
      <c r="BD375" s="56">
        <v>4</v>
      </c>
      <c r="BE375" s="56">
        <v>5</v>
      </c>
      <c r="BF375" s="56">
        <v>6</v>
      </c>
      <c r="BG375" s="56">
        <v>7</v>
      </c>
      <c r="BH375" s="56">
        <v>8</v>
      </c>
      <c r="BI375" s="56">
        <v>9</v>
      </c>
      <c r="BJ375" s="57" t="str">
        <f t="shared" si="174"/>
        <v>紧凑型</v>
      </c>
      <c r="BK375" s="13">
        <f t="shared" si="170"/>
        <v>1</v>
      </c>
      <c r="BL375" s="13">
        <f t="shared" si="171"/>
        <v>2</v>
      </c>
      <c r="BM375" s="18">
        <f t="shared" si="176"/>
        <v>1</v>
      </c>
      <c r="BN375" s="19" t="str">
        <f t="shared" si="177"/>
        <v/>
      </c>
      <c r="BO375" s="19" t="str">
        <f t="array" ref="BO375">_xlfn.TEXTJOIN("",TRUE,IF(ISERROR(FIND(ROW($1:$10)-1,BM375&amp;BN375)),ROW($1:$10)-1,""))</f>
        <v>023456789</v>
      </c>
      <c r="BP375" s="20" t="str">
        <f t="shared" si="178"/>
        <v>复中中</v>
      </c>
      <c r="BQ375" s="21" t="str">
        <f t="shared" si="189"/>
        <v/>
      </c>
      <c r="BR375" s="21" t="str">
        <f t="shared" si="187"/>
        <v/>
      </c>
      <c r="BS375" s="21" t="str">
        <f t="array" ref="BS375">_xlfn.TEXTJOIN("",TRUE,IF(ISERROR(FIND(ROW($1:$10)-1,BQ375&amp;BR375)),ROW($1:$10)-1,""))</f>
        <v>0123456789</v>
      </c>
      <c r="BT375" s="20" t="str">
        <f t="shared" si="179"/>
        <v>中中中</v>
      </c>
      <c r="BU375" s="22">
        <f t="shared" si="180"/>
        <v>1</v>
      </c>
      <c r="BV375" s="22" t="str">
        <f t="shared" si="188"/>
        <v/>
      </c>
      <c r="BW375" s="22" t="str">
        <f t="array" ref="BW375">_xlfn.TEXTJOIN("",TRUE,IF(ISERROR(FIND(ROW($1:$10)-1,BU375&amp;BV375)),ROW($1:$10)-1,""))</f>
        <v>023456789</v>
      </c>
      <c r="BX375" s="20" t="str">
        <f t="shared" si="181"/>
        <v>复中中</v>
      </c>
      <c r="BY375" s="23" t="str">
        <f t="shared" si="175"/>
        <v>02</v>
      </c>
      <c r="BZ375" s="24" t="str">
        <f t="array" ref="BZ375">_xlfn.TEXTJOIN("",TRUE,IF(ISNUMBER(FIND(MID(BY374&amp;Q374,ROW($1:$4),1),BY375&amp;Q375)),MID(BY374&amp;Q374,ROW($1:$4),1),""))</f>
        <v/>
      </c>
      <c r="CA375" s="25" t="str">
        <f t="array" ref="CA375">_xlfn.TEXTJOIN("",TRUE,IF(ISERROR(FIND(ROW($1:$10)-1,BY375&amp;BZ375)),ROW($1:$10)-1,""))</f>
        <v>13456789</v>
      </c>
      <c r="CB375" s="26" t="str">
        <f t="shared" si="182"/>
        <v>邻孤孤</v>
      </c>
      <c r="CC375" s="27" t="str">
        <f t="shared" si="183"/>
        <v>13</v>
      </c>
      <c r="CD375" s="27" t="str">
        <f t="array" ref="CD375">_xlfn.TEXTJOIN("",TRUE,IF(ISNUMBER(FIND(MID(CC374&amp;R374,ROW($1:$4),1),CC375&amp;R375)),MID(CC374&amp;R374,ROW($1:$4),1),""))</f>
        <v>23</v>
      </c>
      <c r="CE375" s="27" t="str">
        <f t="array" ref="CE375">_xlfn.TEXTJOIN("",TRUE,IF(ISERROR(FIND(ROW($1:$10)-1,CC375&amp;CD375)),ROW($1:$10)-1,""))</f>
        <v>0456789</v>
      </c>
      <c r="CF375" s="17" t="str">
        <f t="shared" si="184"/>
        <v>邻传孤</v>
      </c>
      <c r="CG375" s="22" t="str">
        <f t="shared" si="185"/>
        <v>02</v>
      </c>
      <c r="CH375" s="22" t="str">
        <f t="array" ref="CH375">_xlfn.TEXTJOIN("",TRUE,IF(ISNUMBER(FIND(MID(CG374&amp;S374,ROW($1:$4),1),CG375&amp;S375)),MID(CG374&amp;S374,ROW($1:$4),1),""))</f>
        <v>021</v>
      </c>
      <c r="CI375" s="22" t="str">
        <f t="array" ref="CI375">_xlfn.TEXTJOIN("",TRUE,IF(ISERROR(FIND(ROW($1:$10)-1,CG375&amp;CH375)),ROW($1:$10)-1,""))</f>
        <v>3456789</v>
      </c>
      <c r="CJ375" s="28" t="str">
        <f t="shared" si="186"/>
        <v>邻传孤</v>
      </c>
    </row>
    <row r="376" spans="1:88">
      <c r="A376" s="32">
        <v>2025151</v>
      </c>
      <c r="B376" s="8" t="s">
        <v>163</v>
      </c>
      <c r="C376" s="49">
        <f t="shared" si="195"/>
        <v>16</v>
      </c>
      <c r="D376" s="50">
        <f t="shared" si="196"/>
        <v>6</v>
      </c>
      <c r="E376" s="51">
        <f t="shared" si="172"/>
        <v>5.3333333333333304</v>
      </c>
      <c r="F376" s="52">
        <f>MAX(MID(B376,{1,2,3},1)*1)-MIN(MID(B376,{1,2,3},1)*1)</f>
        <v>7</v>
      </c>
      <c r="G376" s="104">
        <v>0</v>
      </c>
      <c r="H376" s="104">
        <v>1</v>
      </c>
      <c r="I376" s="104">
        <v>2</v>
      </c>
      <c r="J376" s="104">
        <v>3</v>
      </c>
      <c r="K376" s="104">
        <v>4</v>
      </c>
      <c r="L376" s="104">
        <v>5</v>
      </c>
      <c r="M376" s="104">
        <v>6</v>
      </c>
      <c r="N376" s="104">
        <v>7</v>
      </c>
      <c r="O376" s="104">
        <v>8</v>
      </c>
      <c r="P376" s="104">
        <v>9</v>
      </c>
      <c r="Q376" s="53">
        <f t="shared" si="197"/>
        <v>6</v>
      </c>
      <c r="R376" s="53">
        <f t="shared" si="198"/>
        <v>1</v>
      </c>
      <c r="S376" s="53">
        <f t="shared" si="199"/>
        <v>7</v>
      </c>
      <c r="T376" s="101">
        <f t="shared" si="173"/>
        <v>14</v>
      </c>
      <c r="U376" s="15" t="str">
        <f>_xlfn.TEXTJOIN(", ",TRUE,ABS(MID(B376,{1,1,2},1)-MID(B376,{2,3,3},1)))</f>
        <v>6, 1, 7</v>
      </c>
      <c r="V376" s="54">
        <v>0</v>
      </c>
      <c r="W376" s="54">
        <v>1</v>
      </c>
      <c r="X376" s="54">
        <v>2</v>
      </c>
      <c r="Y376" s="54">
        <v>3</v>
      </c>
      <c r="Z376" s="54">
        <v>4</v>
      </c>
      <c r="AA376" s="54">
        <v>5</v>
      </c>
      <c r="AB376" s="54">
        <v>6</v>
      </c>
      <c r="AC376" s="54">
        <v>7</v>
      </c>
      <c r="AD376" s="54">
        <v>8</v>
      </c>
      <c r="AE376" s="54">
        <v>9</v>
      </c>
      <c r="AF376" s="55">
        <v>0</v>
      </c>
      <c r="AG376" s="55">
        <v>1</v>
      </c>
      <c r="AH376" s="55">
        <v>2</v>
      </c>
      <c r="AI376" s="55">
        <v>3</v>
      </c>
      <c r="AJ376" s="55">
        <v>4</v>
      </c>
      <c r="AK376" s="55">
        <v>5</v>
      </c>
      <c r="AL376" s="55">
        <v>6</v>
      </c>
      <c r="AM376" s="55">
        <v>7</v>
      </c>
      <c r="AN376" s="55">
        <v>8</v>
      </c>
      <c r="AO376" s="55">
        <v>9</v>
      </c>
      <c r="AP376" s="105">
        <v>0</v>
      </c>
      <c r="AQ376" s="105">
        <v>1</v>
      </c>
      <c r="AR376" s="105">
        <v>2</v>
      </c>
      <c r="AS376" s="105">
        <v>3</v>
      </c>
      <c r="AT376" s="105">
        <v>4</v>
      </c>
      <c r="AU376" s="105">
        <v>5</v>
      </c>
      <c r="AV376" s="105">
        <v>6</v>
      </c>
      <c r="AW376" s="105">
        <v>7</v>
      </c>
      <c r="AX376" s="105">
        <v>8</v>
      </c>
      <c r="AY376" s="105">
        <v>9</v>
      </c>
      <c r="AZ376" s="56">
        <v>0</v>
      </c>
      <c r="BA376" s="56">
        <v>1</v>
      </c>
      <c r="BB376" s="56">
        <v>2</v>
      </c>
      <c r="BC376" s="56">
        <v>3</v>
      </c>
      <c r="BD376" s="56">
        <v>4</v>
      </c>
      <c r="BE376" s="56">
        <v>5</v>
      </c>
      <c r="BF376" s="56">
        <v>6</v>
      </c>
      <c r="BG376" s="56">
        <v>7</v>
      </c>
      <c r="BH376" s="56">
        <v>8</v>
      </c>
      <c r="BI376" s="56">
        <v>9</v>
      </c>
      <c r="BJ376" s="57" t="str">
        <f t="shared" si="174"/>
        <v>松散型</v>
      </c>
      <c r="BK376" s="13">
        <f t="shared" si="170"/>
        <v>1</v>
      </c>
      <c r="BL376" s="13">
        <f t="shared" si="171"/>
        <v>7</v>
      </c>
      <c r="BM376" s="18" t="str">
        <f t="shared" si="176"/>
        <v/>
      </c>
      <c r="BN376" s="19" t="str">
        <f t="shared" si="177"/>
        <v/>
      </c>
      <c r="BO376" s="19" t="str">
        <f t="array" ref="BO376">_xlfn.TEXTJOIN("",TRUE,IF(ISERROR(FIND(ROW($1:$10)-1,BM376&amp;BN376)),ROW($1:$10)-1,""))</f>
        <v>0123456789</v>
      </c>
      <c r="BP376" s="20" t="str">
        <f t="shared" si="178"/>
        <v>中中中</v>
      </c>
      <c r="BQ376" s="21">
        <f t="shared" si="189"/>
        <v>1</v>
      </c>
      <c r="BR376" s="21">
        <f t="shared" si="187"/>
        <v>1</v>
      </c>
      <c r="BS376" s="21" t="str">
        <f t="array" ref="BS376">_xlfn.TEXTJOIN("",TRUE,IF(ISERROR(FIND(ROW($1:$10)-1,BQ376&amp;BR376)),ROW($1:$10)-1,""))</f>
        <v>023456789</v>
      </c>
      <c r="BT376" s="20" t="str">
        <f t="shared" si="179"/>
        <v>复隔中</v>
      </c>
      <c r="BU376" s="22" t="str">
        <f t="shared" si="180"/>
        <v/>
      </c>
      <c r="BV376" s="22" t="str">
        <f t="shared" si="188"/>
        <v/>
      </c>
      <c r="BW376" s="22" t="str">
        <f t="array" ref="BW376">_xlfn.TEXTJOIN("",TRUE,IF(ISERROR(FIND(ROW($1:$10)-1,BU376&amp;BV376)),ROW($1:$10)-1,""))</f>
        <v>0123456789</v>
      </c>
      <c r="BX376" s="20" t="str">
        <f t="shared" si="181"/>
        <v>中中中</v>
      </c>
      <c r="BY376" s="23" t="str">
        <f t="shared" si="175"/>
        <v>57</v>
      </c>
      <c r="BZ376" s="24" t="str">
        <f t="array" ref="BZ376">_xlfn.TEXTJOIN("",TRUE,IF(ISNUMBER(FIND(MID(BY375&amp;Q375,ROW($1:$4),1),BY376&amp;Q376)),MID(BY375&amp;Q375,ROW($1:$4),1),""))</f>
        <v/>
      </c>
      <c r="CA376" s="25" t="str">
        <f t="array" ref="CA376">_xlfn.TEXTJOIN("",TRUE,IF(ISERROR(FIND(ROW($1:$10)-1,BY376&amp;BZ376)),ROW($1:$10)-1,""))</f>
        <v>01234689</v>
      </c>
      <c r="CB376" s="26" t="str">
        <f t="shared" si="182"/>
        <v>邻孤孤</v>
      </c>
      <c r="CC376" s="27" t="str">
        <f t="shared" si="183"/>
        <v>02</v>
      </c>
      <c r="CD376" s="27" t="str">
        <f t="array" ref="CD376">_xlfn.TEXTJOIN("",TRUE,IF(ISNUMBER(FIND(MID(CC375&amp;R375,ROW($1:$4),1),CC376&amp;R376)),MID(CC375&amp;R375,ROW($1:$4),1),""))</f>
        <v>12</v>
      </c>
      <c r="CE376" s="27" t="str">
        <f t="array" ref="CE376">_xlfn.TEXTJOIN("",TRUE,IF(ISERROR(FIND(ROW($1:$10)-1,CC376&amp;CD376)),ROW($1:$10)-1,""))</f>
        <v>3456789</v>
      </c>
      <c r="CF376" s="17" t="str">
        <f t="shared" si="184"/>
        <v>邻传孤</v>
      </c>
      <c r="CG376" s="22" t="str">
        <f t="shared" si="185"/>
        <v>68</v>
      </c>
      <c r="CH376" s="22" t="str">
        <f t="array" ref="CH376">_xlfn.TEXTJOIN("",TRUE,IF(ISNUMBER(FIND(MID(CG375&amp;S375,ROW($1:$4),1),CG376&amp;S376)),MID(CG375&amp;S375,ROW($1:$4),1),""))</f>
        <v/>
      </c>
      <c r="CI376" s="22" t="str">
        <f t="array" ref="CI376">_xlfn.TEXTJOIN("",TRUE,IF(ISERROR(FIND(ROW($1:$10)-1,CG376&amp;CH376)),ROW($1:$10)-1,""))</f>
        <v>01234579</v>
      </c>
      <c r="CJ376" s="28" t="str">
        <f t="shared" si="186"/>
        <v>邻孤孤</v>
      </c>
    </row>
    <row r="377" spans="1:88">
      <c r="A377" s="32">
        <v>2025152</v>
      </c>
      <c r="B377" s="8" t="s">
        <v>325</v>
      </c>
      <c r="C377" s="49">
        <f t="shared" si="195"/>
        <v>3</v>
      </c>
      <c r="D377" s="50">
        <f t="shared" si="196"/>
        <v>3</v>
      </c>
      <c r="E377" s="51">
        <f t="shared" si="172"/>
        <v>1</v>
      </c>
      <c r="F377" s="52">
        <f>MAX(MID(B377,{1,2,3},1)*1)-MIN(MID(B377,{1,2,3},1)*1)</f>
        <v>2</v>
      </c>
      <c r="G377" s="104">
        <v>0</v>
      </c>
      <c r="H377" s="104">
        <v>1</v>
      </c>
      <c r="I377" s="104">
        <v>2</v>
      </c>
      <c r="J377" s="104">
        <v>3</v>
      </c>
      <c r="K377" s="104">
        <v>4</v>
      </c>
      <c r="L377" s="104">
        <v>5</v>
      </c>
      <c r="M377" s="104">
        <v>6</v>
      </c>
      <c r="N377" s="104">
        <v>7</v>
      </c>
      <c r="O377" s="104">
        <v>8</v>
      </c>
      <c r="P377" s="104">
        <v>9</v>
      </c>
      <c r="Q377" s="53">
        <f t="shared" si="197"/>
        <v>1</v>
      </c>
      <c r="R377" s="53">
        <f t="shared" si="198"/>
        <v>2</v>
      </c>
      <c r="S377" s="53">
        <f t="shared" si="199"/>
        <v>1</v>
      </c>
      <c r="T377" s="101">
        <f t="shared" si="173"/>
        <v>4</v>
      </c>
      <c r="U377" s="15" t="str">
        <f>_xlfn.TEXTJOIN(", ",TRUE,ABS(MID(B377,{1,1,2},1)-MID(B377,{2,3,3},1)))</f>
        <v>1, 2, 1</v>
      </c>
      <c r="V377" s="54">
        <v>0</v>
      </c>
      <c r="W377" s="54">
        <v>1</v>
      </c>
      <c r="X377" s="54">
        <v>2</v>
      </c>
      <c r="Y377" s="54">
        <v>3</v>
      </c>
      <c r="Z377" s="54">
        <v>4</v>
      </c>
      <c r="AA377" s="54">
        <v>5</v>
      </c>
      <c r="AB377" s="54">
        <v>6</v>
      </c>
      <c r="AC377" s="54">
        <v>7</v>
      </c>
      <c r="AD377" s="54">
        <v>8</v>
      </c>
      <c r="AE377" s="54">
        <v>9</v>
      </c>
      <c r="AF377" s="55">
        <v>0</v>
      </c>
      <c r="AG377" s="55">
        <v>1</v>
      </c>
      <c r="AH377" s="55">
        <v>2</v>
      </c>
      <c r="AI377" s="55">
        <v>3</v>
      </c>
      <c r="AJ377" s="55">
        <v>4</v>
      </c>
      <c r="AK377" s="55">
        <v>5</v>
      </c>
      <c r="AL377" s="55">
        <v>6</v>
      </c>
      <c r="AM377" s="55">
        <v>7</v>
      </c>
      <c r="AN377" s="55">
        <v>8</v>
      </c>
      <c r="AO377" s="55">
        <v>9</v>
      </c>
      <c r="AP377" s="105">
        <v>0</v>
      </c>
      <c r="AQ377" s="105">
        <v>1</v>
      </c>
      <c r="AR377" s="105">
        <v>2</v>
      </c>
      <c r="AS377" s="105">
        <v>3</v>
      </c>
      <c r="AT377" s="105">
        <v>4</v>
      </c>
      <c r="AU377" s="105">
        <v>5</v>
      </c>
      <c r="AV377" s="105">
        <v>6</v>
      </c>
      <c r="AW377" s="105">
        <v>7</v>
      </c>
      <c r="AX377" s="105">
        <v>8</v>
      </c>
      <c r="AY377" s="105">
        <v>9</v>
      </c>
      <c r="AZ377" s="56">
        <v>0</v>
      </c>
      <c r="BA377" s="56">
        <v>1</v>
      </c>
      <c r="BB377" s="56">
        <v>2</v>
      </c>
      <c r="BC377" s="56">
        <v>3</v>
      </c>
      <c r="BD377" s="56">
        <v>4</v>
      </c>
      <c r="BE377" s="56">
        <v>5</v>
      </c>
      <c r="BF377" s="56">
        <v>6</v>
      </c>
      <c r="BG377" s="56">
        <v>7</v>
      </c>
      <c r="BH377" s="56">
        <v>8</v>
      </c>
      <c r="BI377" s="56">
        <v>9</v>
      </c>
      <c r="BJ377" s="57" t="str">
        <f t="shared" si="174"/>
        <v>紧凑型</v>
      </c>
      <c r="BK377" s="13">
        <f t="shared" si="170"/>
        <v>1</v>
      </c>
      <c r="BL377" s="13">
        <f t="shared" si="171"/>
        <v>2</v>
      </c>
      <c r="BM377" s="18">
        <f t="shared" si="176"/>
        <v>1</v>
      </c>
      <c r="BN377" s="19">
        <f t="shared" si="177"/>
        <v>1</v>
      </c>
      <c r="BO377" s="19" t="str">
        <f t="array" ref="BO377">_xlfn.TEXTJOIN("",TRUE,IF(ISERROR(FIND(ROW($1:$10)-1,BM377&amp;BN377)),ROW($1:$10)-1,""))</f>
        <v>023456789</v>
      </c>
      <c r="BP377" s="20" t="str">
        <f t="shared" si="178"/>
        <v>复隔中</v>
      </c>
      <c r="BQ377" s="21" t="str">
        <f t="shared" si="189"/>
        <v/>
      </c>
      <c r="BR377" s="21">
        <f t="shared" si="187"/>
        <v>2</v>
      </c>
      <c r="BS377" s="21" t="str">
        <f t="array" ref="BS377">_xlfn.TEXTJOIN("",TRUE,IF(ISERROR(FIND(ROW($1:$10)-1,BQ377&amp;BR377)),ROW($1:$10)-1,""))</f>
        <v>013456789</v>
      </c>
      <c r="BT377" s="20" t="str">
        <f t="shared" si="179"/>
        <v>中隔中</v>
      </c>
      <c r="BU377" s="22">
        <f t="shared" si="180"/>
        <v>1</v>
      </c>
      <c r="BV377" s="22">
        <f t="shared" si="188"/>
        <v>1</v>
      </c>
      <c r="BW377" s="22" t="str">
        <f t="array" ref="BW377">_xlfn.TEXTJOIN("",TRUE,IF(ISERROR(FIND(ROW($1:$10)-1,BU377&amp;BV377)),ROW($1:$10)-1,""))</f>
        <v>023456789</v>
      </c>
      <c r="BX377" s="20" t="str">
        <f t="shared" si="181"/>
        <v>复隔中</v>
      </c>
      <c r="BY377" s="23" t="str">
        <f t="shared" si="175"/>
        <v>02</v>
      </c>
      <c r="BZ377" s="24" t="str">
        <f t="array" ref="BZ377">_xlfn.TEXTJOIN("",TRUE,IF(ISNUMBER(FIND(MID(BY376&amp;Q376,ROW($1:$4),1),BY377&amp;Q377)),MID(BY376&amp;Q376,ROW($1:$4),1),""))</f>
        <v/>
      </c>
      <c r="CA377" s="25" t="str">
        <f t="array" ref="CA377">_xlfn.TEXTJOIN("",TRUE,IF(ISERROR(FIND(ROW($1:$10)-1,BY377&amp;BZ377)),ROW($1:$10)-1,""))</f>
        <v>13456789</v>
      </c>
      <c r="CB377" s="26" t="str">
        <f t="shared" si="182"/>
        <v>邻孤孤</v>
      </c>
      <c r="CC377" s="27" t="str">
        <f t="shared" si="183"/>
        <v>13</v>
      </c>
      <c r="CD377" s="27" t="str">
        <f t="array" ref="CD377">_xlfn.TEXTJOIN("",TRUE,IF(ISNUMBER(FIND(MID(CC376&amp;R376,ROW($1:$4),1),CC377&amp;R377)),MID(CC376&amp;R376,ROW($1:$4),1),""))</f>
        <v>21</v>
      </c>
      <c r="CE377" s="27" t="str">
        <f t="array" ref="CE377">_xlfn.TEXTJOIN("",TRUE,IF(ISERROR(FIND(ROW($1:$10)-1,CC377&amp;CD377)),ROW($1:$10)-1,""))</f>
        <v>0456789</v>
      </c>
      <c r="CF377" s="17" t="str">
        <f t="shared" si="184"/>
        <v>邻传孤</v>
      </c>
      <c r="CG377" s="22" t="str">
        <f t="shared" si="185"/>
        <v>02</v>
      </c>
      <c r="CH377" s="22" t="str">
        <f t="array" ref="CH377">_xlfn.TEXTJOIN("",TRUE,IF(ISNUMBER(FIND(MID(CG376&amp;S376,ROW($1:$4),1),CG377&amp;S377)),MID(CG376&amp;S376,ROW($1:$4),1),""))</f>
        <v/>
      </c>
      <c r="CI377" s="22" t="str">
        <f t="array" ref="CI377">_xlfn.TEXTJOIN("",TRUE,IF(ISERROR(FIND(ROW($1:$10)-1,CG377&amp;CH377)),ROW($1:$10)-1,""))</f>
        <v>13456789</v>
      </c>
      <c r="CJ377" s="28" t="str">
        <f t="shared" si="186"/>
        <v>邻孤孤</v>
      </c>
    </row>
    <row r="378" spans="1:88">
      <c r="A378" s="32">
        <v>2025153</v>
      </c>
      <c r="B378" s="8" t="s">
        <v>27</v>
      </c>
      <c r="C378" s="49">
        <f t="shared" si="195"/>
        <v>15</v>
      </c>
      <c r="D378" s="50">
        <f t="shared" si="196"/>
        <v>5</v>
      </c>
      <c r="E378" s="51">
        <f t="shared" si="172"/>
        <v>5</v>
      </c>
      <c r="F378" s="52">
        <f>MAX(MID(B378,{1,2,3},1)*1)-MIN(MID(B378,{1,2,3},1)*1)</f>
        <v>9</v>
      </c>
      <c r="G378" s="104">
        <v>0</v>
      </c>
      <c r="H378" s="104">
        <v>1</v>
      </c>
      <c r="I378" s="104">
        <v>2</v>
      </c>
      <c r="J378" s="104">
        <v>3</v>
      </c>
      <c r="K378" s="104">
        <v>4</v>
      </c>
      <c r="L378" s="104">
        <v>5</v>
      </c>
      <c r="M378" s="104">
        <v>6</v>
      </c>
      <c r="N378" s="104">
        <v>7</v>
      </c>
      <c r="O378" s="104">
        <v>8</v>
      </c>
      <c r="P378" s="104">
        <v>9</v>
      </c>
      <c r="Q378" s="53">
        <f t="shared" si="197"/>
        <v>6</v>
      </c>
      <c r="R378" s="53">
        <f t="shared" si="198"/>
        <v>9</v>
      </c>
      <c r="S378" s="53">
        <f t="shared" si="199"/>
        <v>3</v>
      </c>
      <c r="T378" s="101">
        <f t="shared" si="173"/>
        <v>18</v>
      </c>
      <c r="U378" s="15" t="str">
        <f>_xlfn.TEXTJOIN(", ",TRUE,ABS(MID(B378,{1,1,2},1)-MID(B378,{2,3,3},1)))</f>
        <v>6, 9, 3</v>
      </c>
      <c r="V378" s="54">
        <v>0</v>
      </c>
      <c r="W378" s="54">
        <v>1</v>
      </c>
      <c r="X378" s="54">
        <v>2</v>
      </c>
      <c r="Y378" s="54">
        <v>3</v>
      </c>
      <c r="Z378" s="54">
        <v>4</v>
      </c>
      <c r="AA378" s="54">
        <v>5</v>
      </c>
      <c r="AB378" s="54">
        <v>6</v>
      </c>
      <c r="AC378" s="54">
        <v>7</v>
      </c>
      <c r="AD378" s="54">
        <v>8</v>
      </c>
      <c r="AE378" s="54">
        <v>9</v>
      </c>
      <c r="AF378" s="55">
        <v>0</v>
      </c>
      <c r="AG378" s="55">
        <v>1</v>
      </c>
      <c r="AH378" s="55">
        <v>2</v>
      </c>
      <c r="AI378" s="55">
        <v>3</v>
      </c>
      <c r="AJ378" s="55">
        <v>4</v>
      </c>
      <c r="AK378" s="55">
        <v>5</v>
      </c>
      <c r="AL378" s="55">
        <v>6</v>
      </c>
      <c r="AM378" s="55">
        <v>7</v>
      </c>
      <c r="AN378" s="55">
        <v>8</v>
      </c>
      <c r="AO378" s="55">
        <v>9</v>
      </c>
      <c r="AP378" s="105">
        <v>0</v>
      </c>
      <c r="AQ378" s="105">
        <v>1</v>
      </c>
      <c r="AR378" s="105">
        <v>2</v>
      </c>
      <c r="AS378" s="105">
        <v>3</v>
      </c>
      <c r="AT378" s="105">
        <v>4</v>
      </c>
      <c r="AU378" s="105">
        <v>5</v>
      </c>
      <c r="AV378" s="105">
        <v>6</v>
      </c>
      <c r="AW378" s="105">
        <v>7</v>
      </c>
      <c r="AX378" s="105">
        <v>8</v>
      </c>
      <c r="AY378" s="105">
        <v>9</v>
      </c>
      <c r="AZ378" s="56">
        <v>0</v>
      </c>
      <c r="BA378" s="56">
        <v>1</v>
      </c>
      <c r="BB378" s="56">
        <v>2</v>
      </c>
      <c r="BC378" s="56">
        <v>3</v>
      </c>
      <c r="BD378" s="56">
        <v>4</v>
      </c>
      <c r="BE378" s="56">
        <v>5</v>
      </c>
      <c r="BF378" s="56">
        <v>6</v>
      </c>
      <c r="BG378" s="56">
        <v>7</v>
      </c>
      <c r="BH378" s="56">
        <v>8</v>
      </c>
      <c r="BI378" s="56">
        <v>9</v>
      </c>
      <c r="BJ378" s="57" t="str">
        <f t="shared" si="174"/>
        <v>松散型</v>
      </c>
      <c r="BK378" s="13">
        <f t="shared" si="170"/>
        <v>3</v>
      </c>
      <c r="BL378" s="13">
        <f t="shared" si="171"/>
        <v>9</v>
      </c>
      <c r="BM378" s="18" t="str">
        <f t="shared" si="176"/>
        <v/>
      </c>
      <c r="BN378" s="19">
        <f t="shared" si="177"/>
        <v>6</v>
      </c>
      <c r="BO378" s="19" t="str">
        <f t="array" ref="BO378">_xlfn.TEXTJOIN("",TRUE,IF(ISERROR(FIND(ROW($1:$10)-1,BM378&amp;BN378)),ROW($1:$10)-1,""))</f>
        <v>012345789</v>
      </c>
      <c r="BP378" s="20" t="str">
        <f t="shared" si="178"/>
        <v>中隔中</v>
      </c>
      <c r="BQ378" s="21" t="str">
        <f t="shared" si="189"/>
        <v/>
      </c>
      <c r="BR378" s="21" t="str">
        <f t="shared" si="187"/>
        <v/>
      </c>
      <c r="BS378" s="21" t="str">
        <f t="array" ref="BS378">_xlfn.TEXTJOIN("",TRUE,IF(ISERROR(FIND(ROW($1:$10)-1,BQ378&amp;BR378)),ROW($1:$10)-1,""))</f>
        <v>0123456789</v>
      </c>
      <c r="BT378" s="20" t="str">
        <f t="shared" si="179"/>
        <v>中中中</v>
      </c>
      <c r="BU378" s="22" t="str">
        <f t="shared" si="180"/>
        <v/>
      </c>
      <c r="BV378" s="22" t="str">
        <f t="shared" si="188"/>
        <v/>
      </c>
      <c r="BW378" s="22" t="str">
        <f t="array" ref="BW378">_xlfn.TEXTJOIN("",TRUE,IF(ISERROR(FIND(ROW($1:$10)-1,BU378&amp;BV378)),ROW($1:$10)-1,""))</f>
        <v>0123456789</v>
      </c>
      <c r="BX378" s="20" t="str">
        <f t="shared" si="181"/>
        <v>中中中</v>
      </c>
      <c r="BY378" s="23" t="str">
        <f t="shared" si="175"/>
        <v>57</v>
      </c>
      <c r="BZ378" s="24" t="str">
        <f t="array" ref="BZ378">_xlfn.TEXTJOIN("",TRUE,IF(ISNUMBER(FIND(MID(BY377&amp;Q377,ROW($1:$4),1),BY378&amp;Q378)),MID(BY377&amp;Q377,ROW($1:$4),1),""))</f>
        <v/>
      </c>
      <c r="CA378" s="25" t="str">
        <f t="array" ref="CA378">_xlfn.TEXTJOIN("",TRUE,IF(ISERROR(FIND(ROW($1:$10)-1,BY378&amp;BZ378)),ROW($1:$10)-1,""))</f>
        <v>01234689</v>
      </c>
      <c r="CB378" s="26" t="str">
        <f t="shared" si="182"/>
        <v>邻孤孤</v>
      </c>
      <c r="CC378" s="27" t="str">
        <f t="shared" si="183"/>
        <v>80</v>
      </c>
      <c r="CD378" s="27" t="str">
        <f t="array" ref="CD378">_xlfn.TEXTJOIN("",TRUE,IF(ISNUMBER(FIND(MID(CC377&amp;R377,ROW($1:$4),1),CC378&amp;R378)),MID(CC377&amp;R377,ROW($1:$4),1),""))</f>
        <v/>
      </c>
      <c r="CE378" s="27" t="str">
        <f t="array" ref="CE378">_xlfn.TEXTJOIN("",TRUE,IF(ISERROR(FIND(ROW($1:$10)-1,CC378&amp;CD378)),ROW($1:$10)-1,""))</f>
        <v>12345679</v>
      </c>
      <c r="CF378" s="17" t="str">
        <f t="shared" si="184"/>
        <v>邻孤孤</v>
      </c>
      <c r="CG378" s="22" t="str">
        <f t="shared" si="185"/>
        <v>24</v>
      </c>
      <c r="CH378" s="22" t="str">
        <f t="array" ref="CH378">_xlfn.TEXTJOIN("",TRUE,IF(ISNUMBER(FIND(MID(CG377&amp;S377,ROW($1:$4),1),CG378&amp;S378)),MID(CG377&amp;S377,ROW($1:$4),1),""))</f>
        <v>2</v>
      </c>
      <c r="CI378" s="22" t="str">
        <f t="array" ref="CI378">_xlfn.TEXTJOIN("",TRUE,IF(ISERROR(FIND(ROW($1:$10)-1,CG378&amp;CH378)),ROW($1:$10)-1,""))</f>
        <v>01356789</v>
      </c>
      <c r="CJ378" s="28" t="str">
        <f t="shared" si="186"/>
        <v>邻传孤</v>
      </c>
    </row>
    <row r="379" spans="1:88">
      <c r="A379" s="32">
        <v>2025154</v>
      </c>
      <c r="B379" s="8" t="s">
        <v>326</v>
      </c>
      <c r="C379" s="49">
        <f t="shared" si="195"/>
        <v>14</v>
      </c>
      <c r="D379" s="50">
        <f t="shared" si="196"/>
        <v>4</v>
      </c>
      <c r="E379" s="51">
        <f t="shared" si="172"/>
        <v>4.6666666666666696</v>
      </c>
      <c r="F379" s="52">
        <f>MAX(MID(B379,{1,2,3},1)*1)-MIN(MID(B379,{1,2,3},1)*1)</f>
        <v>7</v>
      </c>
      <c r="G379" s="104">
        <v>0</v>
      </c>
      <c r="H379" s="104">
        <v>1</v>
      </c>
      <c r="I379" s="104">
        <v>2</v>
      </c>
      <c r="J379" s="104">
        <v>3</v>
      </c>
      <c r="K379" s="104">
        <v>4</v>
      </c>
      <c r="L379" s="104">
        <v>5</v>
      </c>
      <c r="M379" s="104">
        <v>6</v>
      </c>
      <c r="N379" s="104">
        <v>7</v>
      </c>
      <c r="O379" s="104">
        <v>8</v>
      </c>
      <c r="P379" s="104">
        <v>9</v>
      </c>
      <c r="Q379" s="53">
        <f t="shared" si="197"/>
        <v>7</v>
      </c>
      <c r="R379" s="53">
        <f t="shared" si="198"/>
        <v>6</v>
      </c>
      <c r="S379" s="53">
        <f t="shared" si="199"/>
        <v>1</v>
      </c>
      <c r="T379" s="101">
        <f t="shared" si="173"/>
        <v>14</v>
      </c>
      <c r="U379" s="15" t="str">
        <f>_xlfn.TEXTJOIN(", ",TRUE,ABS(MID(B379,{1,1,2},1)-MID(B379,{2,3,3},1)))</f>
        <v>7, 6, 1</v>
      </c>
      <c r="V379" s="54">
        <v>0</v>
      </c>
      <c r="W379" s="54">
        <v>1</v>
      </c>
      <c r="X379" s="54">
        <v>2</v>
      </c>
      <c r="Y379" s="54">
        <v>3</v>
      </c>
      <c r="Z379" s="54">
        <v>4</v>
      </c>
      <c r="AA379" s="54">
        <v>5</v>
      </c>
      <c r="AB379" s="54">
        <v>6</v>
      </c>
      <c r="AC379" s="54">
        <v>7</v>
      </c>
      <c r="AD379" s="54">
        <v>8</v>
      </c>
      <c r="AE379" s="54">
        <v>9</v>
      </c>
      <c r="AF379" s="55">
        <v>0</v>
      </c>
      <c r="AG379" s="55">
        <v>1</v>
      </c>
      <c r="AH379" s="55">
        <v>2</v>
      </c>
      <c r="AI379" s="55">
        <v>3</v>
      </c>
      <c r="AJ379" s="55">
        <v>4</v>
      </c>
      <c r="AK379" s="55">
        <v>5</v>
      </c>
      <c r="AL379" s="55">
        <v>6</v>
      </c>
      <c r="AM379" s="55">
        <v>7</v>
      </c>
      <c r="AN379" s="55">
        <v>8</v>
      </c>
      <c r="AO379" s="55">
        <v>9</v>
      </c>
      <c r="AP379" s="105">
        <v>0</v>
      </c>
      <c r="AQ379" s="105">
        <v>1</v>
      </c>
      <c r="AR379" s="105">
        <v>2</v>
      </c>
      <c r="AS379" s="105">
        <v>3</v>
      </c>
      <c r="AT379" s="105">
        <v>4</v>
      </c>
      <c r="AU379" s="105">
        <v>5</v>
      </c>
      <c r="AV379" s="105">
        <v>6</v>
      </c>
      <c r="AW379" s="105">
        <v>7</v>
      </c>
      <c r="AX379" s="105">
        <v>8</v>
      </c>
      <c r="AY379" s="105">
        <v>9</v>
      </c>
      <c r="AZ379" s="56">
        <v>0</v>
      </c>
      <c r="BA379" s="56">
        <v>1</v>
      </c>
      <c r="BB379" s="56">
        <v>2</v>
      </c>
      <c r="BC379" s="56">
        <v>3</v>
      </c>
      <c r="BD379" s="56">
        <v>4</v>
      </c>
      <c r="BE379" s="56">
        <v>5</v>
      </c>
      <c r="BF379" s="56">
        <v>6</v>
      </c>
      <c r="BG379" s="56">
        <v>7</v>
      </c>
      <c r="BH379" s="56">
        <v>8</v>
      </c>
      <c r="BI379" s="56">
        <v>9</v>
      </c>
      <c r="BJ379" s="57" t="str">
        <f t="shared" si="174"/>
        <v>松散型</v>
      </c>
      <c r="BK379" s="13">
        <f t="shared" si="170"/>
        <v>1</v>
      </c>
      <c r="BL379" s="13">
        <f t="shared" si="171"/>
        <v>7</v>
      </c>
      <c r="BM379" s="18" t="str">
        <f t="shared" si="176"/>
        <v/>
      </c>
      <c r="BN379" s="19" t="str">
        <f t="shared" si="177"/>
        <v/>
      </c>
      <c r="BO379" s="19" t="str">
        <f t="array" ref="BO379">_xlfn.TEXTJOIN("",TRUE,IF(ISERROR(FIND(ROW($1:$10)-1,BM379&amp;BN379)),ROW($1:$10)-1,""))</f>
        <v>0123456789</v>
      </c>
      <c r="BP379" s="20" t="str">
        <f t="shared" si="178"/>
        <v>中中中</v>
      </c>
      <c r="BQ379" s="21">
        <f t="shared" si="189"/>
        <v>6</v>
      </c>
      <c r="BR379" s="21" t="str">
        <f t="shared" si="187"/>
        <v/>
      </c>
      <c r="BS379" s="21" t="str">
        <f t="array" ref="BS379">_xlfn.TEXTJOIN("",TRUE,IF(ISERROR(FIND(ROW($1:$10)-1,BQ379&amp;BR379)),ROW($1:$10)-1,""))</f>
        <v>012345789</v>
      </c>
      <c r="BT379" s="20" t="str">
        <f t="shared" si="179"/>
        <v>复中中</v>
      </c>
      <c r="BU379" s="22" t="str">
        <f t="shared" si="180"/>
        <v/>
      </c>
      <c r="BV379" s="22">
        <f t="shared" si="188"/>
        <v>1</v>
      </c>
      <c r="BW379" s="22" t="str">
        <f t="array" ref="BW379">_xlfn.TEXTJOIN("",TRUE,IF(ISERROR(FIND(ROW($1:$10)-1,BU379&amp;BV379)),ROW($1:$10)-1,""))</f>
        <v>023456789</v>
      </c>
      <c r="BX379" s="20" t="str">
        <f t="shared" si="181"/>
        <v>中隔中</v>
      </c>
      <c r="BY379" s="23" t="str">
        <f t="shared" si="175"/>
        <v>68</v>
      </c>
      <c r="BZ379" s="24" t="str">
        <f t="array" ref="BZ379">_xlfn.TEXTJOIN("",TRUE,IF(ISNUMBER(FIND(MID(BY378&amp;Q378,ROW($1:$4),1),BY379&amp;Q379)),MID(BY378&amp;Q378,ROW($1:$4),1),""))</f>
        <v>76</v>
      </c>
      <c r="CA379" s="25" t="str">
        <f t="array" ref="CA379">_xlfn.TEXTJOIN("",TRUE,IF(ISERROR(FIND(ROW($1:$10)-1,BY379&amp;BZ379)),ROW($1:$10)-1,""))</f>
        <v>0123459</v>
      </c>
      <c r="CB379" s="26" t="str">
        <f t="shared" si="182"/>
        <v>邻传孤</v>
      </c>
      <c r="CC379" s="27" t="str">
        <f t="shared" si="183"/>
        <v>57</v>
      </c>
      <c r="CD379" s="27" t="str">
        <f t="array" ref="CD379">_xlfn.TEXTJOIN("",TRUE,IF(ISNUMBER(FIND(MID(CC378&amp;R378,ROW($1:$4),1),CC379&amp;R379)),MID(CC378&amp;R378,ROW($1:$4),1),""))</f>
        <v/>
      </c>
      <c r="CE379" s="27" t="str">
        <f t="array" ref="CE379">_xlfn.TEXTJOIN("",TRUE,IF(ISERROR(FIND(ROW($1:$10)-1,CC379&amp;CD379)),ROW($1:$10)-1,""))</f>
        <v>01234689</v>
      </c>
      <c r="CF379" s="17" t="str">
        <f t="shared" si="184"/>
        <v>邻孤孤</v>
      </c>
      <c r="CG379" s="22" t="str">
        <f t="shared" si="185"/>
        <v>02</v>
      </c>
      <c r="CH379" s="22" t="str">
        <f t="array" ref="CH379">_xlfn.TEXTJOIN("",TRUE,IF(ISNUMBER(FIND(MID(CG378&amp;S378,ROW($1:$4),1),CG379&amp;S379)),MID(CG378&amp;S378,ROW($1:$4),1),""))</f>
        <v>2</v>
      </c>
      <c r="CI379" s="22" t="str">
        <f t="array" ref="CI379">_xlfn.TEXTJOIN("",TRUE,IF(ISERROR(FIND(ROW($1:$10)-1,CG379&amp;CH379)),ROW($1:$10)-1,""))</f>
        <v>13456789</v>
      </c>
      <c r="CJ379" s="28" t="str">
        <f t="shared" si="186"/>
        <v>邻传孤</v>
      </c>
    </row>
    <row r="380" spans="1:88">
      <c r="A380" s="32">
        <v>2025155</v>
      </c>
      <c r="B380" s="8" t="s">
        <v>241</v>
      </c>
      <c r="C380" s="49">
        <f t="shared" si="195"/>
        <v>22</v>
      </c>
      <c r="D380" s="50">
        <f t="shared" si="196"/>
        <v>2</v>
      </c>
      <c r="E380" s="51">
        <f t="shared" si="172"/>
        <v>7.3333333333333304</v>
      </c>
      <c r="F380" s="52">
        <f>MAX(MID(B380,{1,2,3},1)*1)-MIN(MID(B380,{1,2,3},1)*1)</f>
        <v>5</v>
      </c>
      <c r="G380" s="104">
        <v>0</v>
      </c>
      <c r="H380" s="104">
        <v>1</v>
      </c>
      <c r="I380" s="104">
        <v>2</v>
      </c>
      <c r="J380" s="104">
        <v>3</v>
      </c>
      <c r="K380" s="104">
        <v>4</v>
      </c>
      <c r="L380" s="104">
        <v>5</v>
      </c>
      <c r="M380" s="104">
        <v>6</v>
      </c>
      <c r="N380" s="104">
        <v>7</v>
      </c>
      <c r="O380" s="104">
        <v>8</v>
      </c>
      <c r="P380" s="104">
        <v>9</v>
      </c>
      <c r="Q380" s="53">
        <f t="shared" si="197"/>
        <v>5</v>
      </c>
      <c r="R380" s="53">
        <f t="shared" si="198"/>
        <v>5</v>
      </c>
      <c r="S380" s="53">
        <f t="shared" si="199"/>
        <v>0</v>
      </c>
      <c r="T380" s="101">
        <f t="shared" si="173"/>
        <v>10</v>
      </c>
      <c r="U380" s="15" t="str">
        <f>_xlfn.TEXTJOIN(", ",TRUE,ABS(MID(B380,{1,1,2},1)-MID(B380,{2,3,3},1)))</f>
        <v>5, 5, 0</v>
      </c>
      <c r="V380" s="54">
        <v>0</v>
      </c>
      <c r="W380" s="54">
        <v>1</v>
      </c>
      <c r="X380" s="54">
        <v>2</v>
      </c>
      <c r="Y380" s="54">
        <v>3</v>
      </c>
      <c r="Z380" s="54">
        <v>4</v>
      </c>
      <c r="AA380" s="54">
        <v>5</v>
      </c>
      <c r="AB380" s="54">
        <v>6</v>
      </c>
      <c r="AC380" s="54">
        <v>7</v>
      </c>
      <c r="AD380" s="54">
        <v>8</v>
      </c>
      <c r="AE380" s="54">
        <v>9</v>
      </c>
      <c r="AF380" s="55">
        <v>0</v>
      </c>
      <c r="AG380" s="55">
        <v>1</v>
      </c>
      <c r="AH380" s="55">
        <v>2</v>
      </c>
      <c r="AI380" s="55">
        <v>3</v>
      </c>
      <c r="AJ380" s="55">
        <v>4</v>
      </c>
      <c r="AK380" s="55">
        <v>5</v>
      </c>
      <c r="AL380" s="55">
        <v>6</v>
      </c>
      <c r="AM380" s="55">
        <v>7</v>
      </c>
      <c r="AN380" s="55">
        <v>8</v>
      </c>
      <c r="AO380" s="55">
        <v>9</v>
      </c>
      <c r="AP380" s="105">
        <v>0</v>
      </c>
      <c r="AQ380" s="105">
        <v>1</v>
      </c>
      <c r="AR380" s="105">
        <v>2</v>
      </c>
      <c r="AS380" s="105">
        <v>3</v>
      </c>
      <c r="AT380" s="105">
        <v>4</v>
      </c>
      <c r="AU380" s="105">
        <v>5</v>
      </c>
      <c r="AV380" s="105">
        <v>6</v>
      </c>
      <c r="AW380" s="105">
        <v>7</v>
      </c>
      <c r="AX380" s="105">
        <v>8</v>
      </c>
      <c r="AY380" s="105">
        <v>9</v>
      </c>
      <c r="AZ380" s="56">
        <v>0</v>
      </c>
      <c r="BA380" s="56">
        <v>1</v>
      </c>
      <c r="BB380" s="56">
        <v>2</v>
      </c>
      <c r="BC380" s="56">
        <v>3</v>
      </c>
      <c r="BD380" s="56">
        <v>4</v>
      </c>
      <c r="BE380" s="56">
        <v>5</v>
      </c>
      <c r="BF380" s="56">
        <v>6</v>
      </c>
      <c r="BG380" s="56">
        <v>7</v>
      </c>
      <c r="BH380" s="56">
        <v>8</v>
      </c>
      <c r="BI380" s="56">
        <v>9</v>
      </c>
      <c r="BJ380" s="57" t="str">
        <f t="shared" si="174"/>
        <v>对子</v>
      </c>
      <c r="BK380" s="13">
        <f t="shared" si="170"/>
        <v>0</v>
      </c>
      <c r="BL380" s="13">
        <f t="shared" si="171"/>
        <v>5</v>
      </c>
      <c r="BM380" s="18" t="str">
        <f t="shared" si="176"/>
        <v/>
      </c>
      <c r="BN380" s="19" t="str">
        <f t="shared" si="177"/>
        <v/>
      </c>
      <c r="BO380" s="19" t="str">
        <f t="array" ref="BO380">_xlfn.TEXTJOIN("",TRUE,IF(ISERROR(FIND(ROW($1:$10)-1,BM380&amp;BN380)),ROW($1:$10)-1,""))</f>
        <v>0123456789</v>
      </c>
      <c r="BP380" s="20" t="str">
        <f t="shared" si="178"/>
        <v>中中中</v>
      </c>
      <c r="BQ380" s="21" t="str">
        <f t="shared" si="189"/>
        <v/>
      </c>
      <c r="BR380" s="21" t="str">
        <f t="shared" si="187"/>
        <v/>
      </c>
      <c r="BS380" s="21" t="str">
        <f t="array" ref="BS380">_xlfn.TEXTJOIN("",TRUE,IF(ISERROR(FIND(ROW($1:$10)-1,BQ380&amp;BR380)),ROW($1:$10)-1,""))</f>
        <v>0123456789</v>
      </c>
      <c r="BT380" s="20" t="str">
        <f t="shared" si="179"/>
        <v>中中中</v>
      </c>
      <c r="BU380" s="22" t="str">
        <f t="shared" si="180"/>
        <v/>
      </c>
      <c r="BV380" s="22" t="str">
        <f t="shared" si="188"/>
        <v/>
      </c>
      <c r="BW380" s="22" t="str">
        <f t="array" ref="BW380">_xlfn.TEXTJOIN("",TRUE,IF(ISERROR(FIND(ROW($1:$10)-1,BU380&amp;BV380)),ROW($1:$10)-1,""))</f>
        <v>0123456789</v>
      </c>
      <c r="BX380" s="20" t="str">
        <f t="shared" si="181"/>
        <v>中中中</v>
      </c>
      <c r="BY380" s="23" t="str">
        <f t="shared" si="175"/>
        <v>46</v>
      </c>
      <c r="BZ380" s="24" t="str">
        <f t="array" ref="BZ380">_xlfn.TEXTJOIN("",TRUE,IF(ISNUMBER(FIND(MID(BY379&amp;Q379,ROW($1:$4),1),BY380&amp;Q380)),MID(BY379&amp;Q379,ROW($1:$4),1),""))</f>
        <v>6</v>
      </c>
      <c r="CA380" s="25" t="str">
        <f t="array" ref="CA380">_xlfn.TEXTJOIN("",TRUE,IF(ISERROR(FIND(ROW($1:$10)-1,BY380&amp;BZ380)),ROW($1:$10)-1,""))</f>
        <v>01235789</v>
      </c>
      <c r="CB380" s="26" t="str">
        <f t="shared" si="182"/>
        <v>邻传孤</v>
      </c>
      <c r="CC380" s="27" t="str">
        <f t="shared" si="183"/>
        <v>46</v>
      </c>
      <c r="CD380" s="27" t="str">
        <f t="array" ref="CD380">_xlfn.TEXTJOIN("",TRUE,IF(ISNUMBER(FIND(MID(CC379&amp;R379,ROW($1:$4),1),CC380&amp;R380)),MID(CC379&amp;R379,ROW($1:$4),1),""))</f>
        <v>56</v>
      </c>
      <c r="CE380" s="27" t="str">
        <f t="array" ref="CE380">_xlfn.TEXTJOIN("",TRUE,IF(ISERROR(FIND(ROW($1:$10)-1,CC380&amp;CD380)),ROW($1:$10)-1,""))</f>
        <v>0123789</v>
      </c>
      <c r="CF380" s="17" t="str">
        <f t="shared" si="184"/>
        <v>邻传孤</v>
      </c>
      <c r="CG380" s="22" t="str">
        <f t="shared" si="185"/>
        <v>91</v>
      </c>
      <c r="CH380" s="22" t="str">
        <f t="array" ref="CH380">_xlfn.TEXTJOIN("",TRUE,IF(ISNUMBER(FIND(MID(CG379&amp;S379,ROW($1:$4),1),CG380&amp;S380)),MID(CG379&amp;S379,ROW($1:$4),1),""))</f>
        <v>01</v>
      </c>
      <c r="CI380" s="22" t="str">
        <f t="array" ref="CI380">_xlfn.TEXTJOIN("",TRUE,IF(ISERROR(FIND(ROW($1:$10)-1,CG380&amp;CH380)),ROW($1:$10)-1,""))</f>
        <v>2345678</v>
      </c>
      <c r="CJ380" s="28" t="str">
        <f t="shared" si="186"/>
        <v>邻传孤</v>
      </c>
    </row>
    <row r="381" spans="1:88">
      <c r="A381" s="32">
        <v>2025156</v>
      </c>
      <c r="B381" s="8" t="s">
        <v>249</v>
      </c>
      <c r="C381" s="49">
        <f t="shared" si="195"/>
        <v>19</v>
      </c>
      <c r="D381" s="50">
        <f t="shared" si="196"/>
        <v>9</v>
      </c>
      <c r="E381" s="51">
        <f t="shared" si="172"/>
        <v>6.3333333333333304</v>
      </c>
      <c r="F381" s="52">
        <f>MAX(MID(B381,{1,2,3},1)*1)-MIN(MID(B381,{1,2,3},1)*1)</f>
        <v>2</v>
      </c>
      <c r="G381" s="104">
        <v>0</v>
      </c>
      <c r="H381" s="104">
        <v>1</v>
      </c>
      <c r="I381" s="104">
        <v>2</v>
      </c>
      <c r="J381" s="104">
        <v>3</v>
      </c>
      <c r="K381" s="104">
        <v>4</v>
      </c>
      <c r="L381" s="104">
        <v>5</v>
      </c>
      <c r="M381" s="104">
        <v>6</v>
      </c>
      <c r="N381" s="104">
        <v>7</v>
      </c>
      <c r="O381" s="104">
        <v>8</v>
      </c>
      <c r="P381" s="104">
        <v>9</v>
      </c>
      <c r="Q381" s="53">
        <f t="shared" si="197"/>
        <v>0</v>
      </c>
      <c r="R381" s="53">
        <f t="shared" si="198"/>
        <v>2</v>
      </c>
      <c r="S381" s="53">
        <f t="shared" si="199"/>
        <v>2</v>
      </c>
      <c r="T381" s="101">
        <f t="shared" si="173"/>
        <v>4</v>
      </c>
      <c r="U381" s="15" t="str">
        <f>_xlfn.TEXTJOIN(", ",TRUE,ABS(MID(B381,{1,1,2},1)-MID(B381,{2,3,3},1)))</f>
        <v>0, 2, 2</v>
      </c>
      <c r="V381" s="54">
        <v>0</v>
      </c>
      <c r="W381" s="54">
        <v>1</v>
      </c>
      <c r="X381" s="54">
        <v>2</v>
      </c>
      <c r="Y381" s="54">
        <v>3</v>
      </c>
      <c r="Z381" s="54">
        <v>4</v>
      </c>
      <c r="AA381" s="54">
        <v>5</v>
      </c>
      <c r="AB381" s="54">
        <v>6</v>
      </c>
      <c r="AC381" s="54">
        <v>7</v>
      </c>
      <c r="AD381" s="54">
        <v>8</v>
      </c>
      <c r="AE381" s="54">
        <v>9</v>
      </c>
      <c r="AF381" s="55">
        <v>0</v>
      </c>
      <c r="AG381" s="55">
        <v>1</v>
      </c>
      <c r="AH381" s="55">
        <v>2</v>
      </c>
      <c r="AI381" s="55">
        <v>3</v>
      </c>
      <c r="AJ381" s="55">
        <v>4</v>
      </c>
      <c r="AK381" s="55">
        <v>5</v>
      </c>
      <c r="AL381" s="55">
        <v>6</v>
      </c>
      <c r="AM381" s="55">
        <v>7</v>
      </c>
      <c r="AN381" s="55">
        <v>8</v>
      </c>
      <c r="AO381" s="55">
        <v>9</v>
      </c>
      <c r="AP381" s="105">
        <v>0</v>
      </c>
      <c r="AQ381" s="105">
        <v>1</v>
      </c>
      <c r="AR381" s="105">
        <v>2</v>
      </c>
      <c r="AS381" s="105">
        <v>3</v>
      </c>
      <c r="AT381" s="105">
        <v>4</v>
      </c>
      <c r="AU381" s="105">
        <v>5</v>
      </c>
      <c r="AV381" s="105">
        <v>6</v>
      </c>
      <c r="AW381" s="105">
        <v>7</v>
      </c>
      <c r="AX381" s="105">
        <v>8</v>
      </c>
      <c r="AY381" s="105">
        <v>9</v>
      </c>
      <c r="AZ381" s="56">
        <v>0</v>
      </c>
      <c r="BA381" s="56">
        <v>1</v>
      </c>
      <c r="BB381" s="56">
        <v>2</v>
      </c>
      <c r="BC381" s="56">
        <v>3</v>
      </c>
      <c r="BD381" s="56">
        <v>4</v>
      </c>
      <c r="BE381" s="56">
        <v>5</v>
      </c>
      <c r="BF381" s="56">
        <v>6</v>
      </c>
      <c r="BG381" s="56">
        <v>7</v>
      </c>
      <c r="BH381" s="56">
        <v>8</v>
      </c>
      <c r="BI381" s="56">
        <v>9</v>
      </c>
      <c r="BJ381" s="57" t="str">
        <f t="shared" si="174"/>
        <v>紧凑型</v>
      </c>
      <c r="BK381" s="13">
        <f t="shared" si="170"/>
        <v>0</v>
      </c>
      <c r="BL381" s="13">
        <f t="shared" si="171"/>
        <v>2</v>
      </c>
      <c r="BM381" s="18">
        <f t="shared" si="176"/>
        <v>0</v>
      </c>
      <c r="BN381" s="19" t="str">
        <f t="shared" si="177"/>
        <v/>
      </c>
      <c r="BO381" s="19" t="str">
        <f t="array" ref="BO381">_xlfn.TEXTJOIN("",TRUE,IF(ISERROR(FIND(ROW($1:$10)-1,BM381&amp;BN381)),ROW($1:$10)-1,""))</f>
        <v>123456789</v>
      </c>
      <c r="BP381" s="20" t="str">
        <f t="shared" si="178"/>
        <v>复中中</v>
      </c>
      <c r="BQ381" s="21" t="str">
        <f t="shared" si="189"/>
        <v/>
      </c>
      <c r="BR381" s="21" t="str">
        <f t="shared" si="187"/>
        <v/>
      </c>
      <c r="BS381" s="21" t="str">
        <f t="array" ref="BS381">_xlfn.TEXTJOIN("",TRUE,IF(ISERROR(FIND(ROW($1:$10)-1,BQ381&amp;BR381)),ROW($1:$10)-1,""))</f>
        <v>0123456789</v>
      </c>
      <c r="BT381" s="20" t="str">
        <f t="shared" si="179"/>
        <v>中中中</v>
      </c>
      <c r="BU381" s="22" t="str">
        <f t="shared" si="180"/>
        <v/>
      </c>
      <c r="BV381" s="22" t="str">
        <f t="shared" si="188"/>
        <v/>
      </c>
      <c r="BW381" s="22" t="str">
        <f t="array" ref="BW381">_xlfn.TEXTJOIN("",TRUE,IF(ISERROR(FIND(ROW($1:$10)-1,BU381&amp;BV381)),ROW($1:$10)-1,""))</f>
        <v>0123456789</v>
      </c>
      <c r="BX381" s="20" t="str">
        <f t="shared" si="181"/>
        <v>中中中</v>
      </c>
      <c r="BY381" s="23" t="str">
        <f t="shared" si="175"/>
        <v>91</v>
      </c>
      <c r="BZ381" s="24" t="str">
        <f t="array" ref="BZ381">_xlfn.TEXTJOIN("",TRUE,IF(ISNUMBER(FIND(MID(BY380&amp;Q380,ROW($1:$4),1),BY381&amp;Q381)),MID(BY380&amp;Q380,ROW($1:$4),1),""))</f>
        <v/>
      </c>
      <c r="CA381" s="25" t="str">
        <f t="array" ref="CA381">_xlfn.TEXTJOIN("",TRUE,IF(ISERROR(FIND(ROW($1:$10)-1,BY381&amp;BZ381)),ROW($1:$10)-1,""))</f>
        <v>02345678</v>
      </c>
      <c r="CB381" s="26" t="str">
        <f t="shared" si="182"/>
        <v>邻孤孤</v>
      </c>
      <c r="CC381" s="27" t="str">
        <f t="shared" si="183"/>
        <v>13</v>
      </c>
      <c r="CD381" s="27" t="str">
        <f t="array" ref="CD381">_xlfn.TEXTJOIN("",TRUE,IF(ISNUMBER(FIND(MID(CC380&amp;R380,ROW($1:$4),1),CC381&amp;R381)),MID(CC380&amp;R380,ROW($1:$4),1),""))</f>
        <v/>
      </c>
      <c r="CE381" s="27" t="str">
        <f t="array" ref="CE381">_xlfn.TEXTJOIN("",TRUE,IF(ISERROR(FIND(ROW($1:$10)-1,CC381&amp;CD381)),ROW($1:$10)-1,""))</f>
        <v>02456789</v>
      </c>
      <c r="CF381" s="17" t="str">
        <f t="shared" si="184"/>
        <v>邻孤孤</v>
      </c>
      <c r="CG381" s="22" t="str">
        <f t="shared" si="185"/>
        <v>13</v>
      </c>
      <c r="CH381" s="22" t="str">
        <f t="array" ref="CH381">_xlfn.TEXTJOIN("",TRUE,IF(ISNUMBER(FIND(MID(CG380&amp;S380,ROW($1:$4),1),CG381&amp;S381)),MID(CG380&amp;S380,ROW($1:$4),1),""))</f>
        <v>1</v>
      </c>
      <c r="CI381" s="22" t="str">
        <f t="array" ref="CI381">_xlfn.TEXTJOIN("",TRUE,IF(ISERROR(FIND(ROW($1:$10)-1,CG381&amp;CH381)),ROW($1:$10)-1,""))</f>
        <v>02456789</v>
      </c>
      <c r="CJ381" s="28" t="str">
        <f t="shared" si="186"/>
        <v>邻传孤</v>
      </c>
    </row>
    <row r="382" spans="1:88">
      <c r="A382" s="32">
        <v>2025157</v>
      </c>
      <c r="B382" s="8" t="s">
        <v>327</v>
      </c>
      <c r="C382" s="49">
        <f t="shared" si="195"/>
        <v>24</v>
      </c>
      <c r="D382" s="50">
        <f t="shared" si="196"/>
        <v>4</v>
      </c>
      <c r="E382" s="51">
        <f t="shared" si="172"/>
        <v>8</v>
      </c>
      <c r="F382" s="52">
        <f>MAX(MID(B382,{1,2,3},1)*1)-MIN(MID(B382,{1,2,3},1)*1)</f>
        <v>3</v>
      </c>
      <c r="G382" s="104">
        <v>0</v>
      </c>
      <c r="H382" s="104">
        <v>1</v>
      </c>
      <c r="I382" s="104">
        <v>2</v>
      </c>
      <c r="J382" s="104">
        <v>3</v>
      </c>
      <c r="K382" s="104">
        <v>4</v>
      </c>
      <c r="L382" s="104">
        <v>5</v>
      </c>
      <c r="M382" s="104">
        <v>6</v>
      </c>
      <c r="N382" s="104">
        <v>7</v>
      </c>
      <c r="O382" s="104">
        <v>8</v>
      </c>
      <c r="P382" s="104">
        <v>9</v>
      </c>
      <c r="Q382" s="53">
        <f t="shared" si="197"/>
        <v>3</v>
      </c>
      <c r="R382" s="53">
        <f t="shared" si="198"/>
        <v>0</v>
      </c>
      <c r="S382" s="53">
        <f t="shared" si="199"/>
        <v>3</v>
      </c>
      <c r="T382" s="101">
        <f t="shared" si="173"/>
        <v>6</v>
      </c>
      <c r="U382" s="15" t="str">
        <f>_xlfn.TEXTJOIN(", ",TRUE,ABS(MID(B382,{1,1,2},1)-MID(B382,{2,3,3},1)))</f>
        <v>3, 0, 3</v>
      </c>
      <c r="V382" s="54">
        <v>0</v>
      </c>
      <c r="W382" s="54">
        <v>1</v>
      </c>
      <c r="X382" s="54">
        <v>2</v>
      </c>
      <c r="Y382" s="54">
        <v>3</v>
      </c>
      <c r="Z382" s="54">
        <v>4</v>
      </c>
      <c r="AA382" s="54">
        <v>5</v>
      </c>
      <c r="AB382" s="54">
        <v>6</v>
      </c>
      <c r="AC382" s="54">
        <v>7</v>
      </c>
      <c r="AD382" s="54">
        <v>8</v>
      </c>
      <c r="AE382" s="54">
        <v>9</v>
      </c>
      <c r="AF382" s="55">
        <v>0</v>
      </c>
      <c r="AG382" s="55">
        <v>1</v>
      </c>
      <c r="AH382" s="55">
        <v>2</v>
      </c>
      <c r="AI382" s="55">
        <v>3</v>
      </c>
      <c r="AJ382" s="55">
        <v>4</v>
      </c>
      <c r="AK382" s="55">
        <v>5</v>
      </c>
      <c r="AL382" s="55">
        <v>6</v>
      </c>
      <c r="AM382" s="55">
        <v>7</v>
      </c>
      <c r="AN382" s="55">
        <v>8</v>
      </c>
      <c r="AO382" s="55">
        <v>9</v>
      </c>
      <c r="AP382" s="105">
        <v>0</v>
      </c>
      <c r="AQ382" s="105">
        <v>1</v>
      </c>
      <c r="AR382" s="105">
        <v>2</v>
      </c>
      <c r="AS382" s="105">
        <v>3</v>
      </c>
      <c r="AT382" s="105">
        <v>4</v>
      </c>
      <c r="AU382" s="105">
        <v>5</v>
      </c>
      <c r="AV382" s="105">
        <v>6</v>
      </c>
      <c r="AW382" s="105">
        <v>7</v>
      </c>
      <c r="AX382" s="105">
        <v>8</v>
      </c>
      <c r="AY382" s="105">
        <v>9</v>
      </c>
      <c r="AZ382" s="56">
        <v>0</v>
      </c>
      <c r="BA382" s="56">
        <v>1</v>
      </c>
      <c r="BB382" s="56">
        <v>2</v>
      </c>
      <c r="BC382" s="56">
        <v>3</v>
      </c>
      <c r="BD382" s="56">
        <v>4</v>
      </c>
      <c r="BE382" s="56">
        <v>5</v>
      </c>
      <c r="BF382" s="56">
        <v>6</v>
      </c>
      <c r="BG382" s="56">
        <v>7</v>
      </c>
      <c r="BH382" s="56">
        <v>8</v>
      </c>
      <c r="BI382" s="56">
        <v>9</v>
      </c>
      <c r="BJ382" s="57" t="str">
        <f t="shared" si="174"/>
        <v>紧凑型</v>
      </c>
      <c r="BK382" s="13">
        <f t="shared" si="170"/>
        <v>0</v>
      </c>
      <c r="BL382" s="13">
        <f t="shared" si="171"/>
        <v>3</v>
      </c>
      <c r="BM382" s="18" t="str">
        <f t="shared" si="176"/>
        <v/>
      </c>
      <c r="BN382" s="19" t="str">
        <f t="shared" si="177"/>
        <v/>
      </c>
      <c r="BO382" s="19" t="str">
        <f t="array" ref="BO382">_xlfn.TEXTJOIN("",TRUE,IF(ISERROR(FIND(ROW($1:$10)-1,BM382&amp;BN382)),ROW($1:$10)-1,""))</f>
        <v>0123456789</v>
      </c>
      <c r="BP382" s="20" t="str">
        <f t="shared" si="178"/>
        <v>中中中</v>
      </c>
      <c r="BQ382" s="21">
        <f t="shared" si="189"/>
        <v>0</v>
      </c>
      <c r="BR382" s="21">
        <f t="shared" si="187"/>
        <v>0</v>
      </c>
      <c r="BS382" s="21" t="str">
        <f t="array" ref="BS382">_xlfn.TEXTJOIN("",TRUE,IF(ISERROR(FIND(ROW($1:$10)-1,BQ382&amp;BR382)),ROW($1:$10)-1,""))</f>
        <v>123456789</v>
      </c>
      <c r="BT382" s="20" t="str">
        <f t="shared" si="179"/>
        <v>复隔中</v>
      </c>
      <c r="BU382" s="22" t="str">
        <f t="shared" si="180"/>
        <v/>
      </c>
      <c r="BV382" s="22" t="str">
        <f t="shared" si="188"/>
        <v/>
      </c>
      <c r="BW382" s="22" t="str">
        <f t="array" ref="BW382">_xlfn.TEXTJOIN("",TRUE,IF(ISERROR(FIND(ROW($1:$10)-1,BU382&amp;BV382)),ROW($1:$10)-1,""))</f>
        <v>0123456789</v>
      </c>
      <c r="BX382" s="20" t="str">
        <f t="shared" si="181"/>
        <v>中中中</v>
      </c>
      <c r="BY382" s="23" t="str">
        <f t="shared" si="175"/>
        <v>24</v>
      </c>
      <c r="BZ382" s="24" t="str">
        <f t="array" ref="BZ382">_xlfn.TEXTJOIN("",TRUE,IF(ISNUMBER(FIND(MID(BY381&amp;Q381,ROW($1:$4),1),BY382&amp;Q382)),MID(BY381&amp;Q381,ROW($1:$4),1),""))</f>
        <v/>
      </c>
      <c r="CA382" s="25" t="str">
        <f t="array" ref="CA382">_xlfn.TEXTJOIN("",TRUE,IF(ISERROR(FIND(ROW($1:$10)-1,BY382&amp;BZ382)),ROW($1:$10)-1,""))</f>
        <v>01356789</v>
      </c>
      <c r="CB382" s="26" t="str">
        <f t="shared" si="182"/>
        <v>邻孤孤</v>
      </c>
      <c r="CC382" s="27" t="str">
        <f t="shared" si="183"/>
        <v>91</v>
      </c>
      <c r="CD382" s="27" t="str">
        <f t="array" ref="CD382">_xlfn.TEXTJOIN("",TRUE,IF(ISNUMBER(FIND(MID(CC381&amp;R381,ROW($1:$4),1),CC382&amp;R382)),MID(CC381&amp;R381,ROW($1:$4),1),""))</f>
        <v>1</v>
      </c>
      <c r="CE382" s="27" t="str">
        <f t="array" ref="CE382">_xlfn.TEXTJOIN("",TRUE,IF(ISERROR(FIND(ROW($1:$10)-1,CC382&amp;CD382)),ROW($1:$10)-1,""))</f>
        <v>02345678</v>
      </c>
      <c r="CF382" s="17" t="str">
        <f t="shared" si="184"/>
        <v>邻传孤</v>
      </c>
      <c r="CG382" s="22" t="str">
        <f t="shared" si="185"/>
        <v>24</v>
      </c>
      <c r="CH382" s="22" t="str">
        <f t="array" ref="CH382">_xlfn.TEXTJOIN("",TRUE,IF(ISNUMBER(FIND(MID(CG381&amp;S381,ROW($1:$4),1),CG382&amp;S382)),MID(CG381&amp;S381,ROW($1:$4),1),""))</f>
        <v>32</v>
      </c>
      <c r="CI382" s="22" t="str">
        <f t="array" ref="CI382">_xlfn.TEXTJOIN("",TRUE,IF(ISERROR(FIND(ROW($1:$10)-1,CG382&amp;CH382)),ROW($1:$10)-1,""))</f>
        <v>0156789</v>
      </c>
      <c r="CJ382" s="28" t="str">
        <f t="shared" si="186"/>
        <v>邻传孤</v>
      </c>
    </row>
    <row r="383" spans="1:88">
      <c r="A383" s="32">
        <v>2025158</v>
      </c>
      <c r="B383" s="8" t="s">
        <v>328</v>
      </c>
      <c r="C383" s="49">
        <f t="shared" ref="C383:C402" si="200">LEFT(B383,1)+MID(B383,2,1)+RIGHT(B383,1)</f>
        <v>8</v>
      </c>
      <c r="D383" s="50">
        <f t="shared" ref="D383:D402" si="201">MOD(LEFT(B383,1)+MID(B383,2,1)+RIGHT(B383,1),10)</f>
        <v>8</v>
      </c>
      <c r="E383" s="51">
        <f t="shared" si="172"/>
        <v>2.6666666666666701</v>
      </c>
      <c r="F383" s="52">
        <f>MAX(MID(B383,{1,2,3},1)*1)-MIN(MID(B383,{1,2,3},1)*1)</f>
        <v>7</v>
      </c>
      <c r="G383" s="104">
        <v>0</v>
      </c>
      <c r="H383" s="104">
        <v>1</v>
      </c>
      <c r="I383" s="104">
        <v>2</v>
      </c>
      <c r="J383" s="104">
        <v>3</v>
      </c>
      <c r="K383" s="104">
        <v>4</v>
      </c>
      <c r="L383" s="104">
        <v>5</v>
      </c>
      <c r="M383" s="104">
        <v>6</v>
      </c>
      <c r="N383" s="104">
        <v>7</v>
      </c>
      <c r="O383" s="104">
        <v>8</v>
      </c>
      <c r="P383" s="104">
        <v>9</v>
      </c>
      <c r="Q383" s="53">
        <f t="shared" ref="Q383:Q402" si="202">ABS(LEFT(B383,1)-MID(B383,2,1))</f>
        <v>7</v>
      </c>
      <c r="R383" s="53">
        <f t="shared" ref="R383:R402" si="203">ABS(LEFT(B383,1)-RIGHT(B383,1))</f>
        <v>6</v>
      </c>
      <c r="S383" s="53">
        <f t="shared" ref="S383:S402" si="204">ABS(MID(B383,2,1)-RIGHT(B383,1))</f>
        <v>1</v>
      </c>
      <c r="T383" s="101">
        <f t="shared" si="173"/>
        <v>14</v>
      </c>
      <c r="U383" s="15" t="str">
        <f>_xlfn.TEXTJOIN(", ",TRUE,ABS(MID(B383,{1,1,2},1)-MID(B383,{2,3,3},1)))</f>
        <v>7, 6, 1</v>
      </c>
      <c r="V383" s="54">
        <v>0</v>
      </c>
      <c r="W383" s="54">
        <v>1</v>
      </c>
      <c r="X383" s="54">
        <v>2</v>
      </c>
      <c r="Y383" s="54">
        <v>3</v>
      </c>
      <c r="Z383" s="54">
        <v>4</v>
      </c>
      <c r="AA383" s="54">
        <v>5</v>
      </c>
      <c r="AB383" s="54">
        <v>6</v>
      </c>
      <c r="AC383" s="54">
        <v>7</v>
      </c>
      <c r="AD383" s="54">
        <v>8</v>
      </c>
      <c r="AE383" s="54">
        <v>9</v>
      </c>
      <c r="AF383" s="55">
        <v>0</v>
      </c>
      <c r="AG383" s="55">
        <v>1</v>
      </c>
      <c r="AH383" s="55">
        <v>2</v>
      </c>
      <c r="AI383" s="55">
        <v>3</v>
      </c>
      <c r="AJ383" s="55">
        <v>4</v>
      </c>
      <c r="AK383" s="55">
        <v>5</v>
      </c>
      <c r="AL383" s="55">
        <v>6</v>
      </c>
      <c r="AM383" s="55">
        <v>7</v>
      </c>
      <c r="AN383" s="55">
        <v>8</v>
      </c>
      <c r="AO383" s="55">
        <v>9</v>
      </c>
      <c r="AP383" s="105">
        <v>0</v>
      </c>
      <c r="AQ383" s="105">
        <v>1</v>
      </c>
      <c r="AR383" s="105">
        <v>2</v>
      </c>
      <c r="AS383" s="105">
        <v>3</v>
      </c>
      <c r="AT383" s="105">
        <v>4</v>
      </c>
      <c r="AU383" s="105">
        <v>5</v>
      </c>
      <c r="AV383" s="105">
        <v>6</v>
      </c>
      <c r="AW383" s="105">
        <v>7</v>
      </c>
      <c r="AX383" s="105">
        <v>8</v>
      </c>
      <c r="AY383" s="105">
        <v>9</v>
      </c>
      <c r="AZ383" s="56">
        <v>0</v>
      </c>
      <c r="BA383" s="56">
        <v>1</v>
      </c>
      <c r="BB383" s="56">
        <v>2</v>
      </c>
      <c r="BC383" s="56">
        <v>3</v>
      </c>
      <c r="BD383" s="56">
        <v>4</v>
      </c>
      <c r="BE383" s="56">
        <v>5</v>
      </c>
      <c r="BF383" s="56">
        <v>6</v>
      </c>
      <c r="BG383" s="56">
        <v>7</v>
      </c>
      <c r="BH383" s="56">
        <v>8</v>
      </c>
      <c r="BI383" s="56">
        <v>9</v>
      </c>
      <c r="BJ383" s="57" t="str">
        <f t="shared" si="174"/>
        <v>松散型</v>
      </c>
      <c r="BK383" s="13">
        <f t="shared" si="170"/>
        <v>1</v>
      </c>
      <c r="BL383" s="13">
        <f t="shared" si="171"/>
        <v>7</v>
      </c>
      <c r="BM383" s="18" t="str">
        <f t="shared" si="176"/>
        <v/>
      </c>
      <c r="BN383" s="19" t="str">
        <f t="shared" si="177"/>
        <v/>
      </c>
      <c r="BO383" s="19" t="str">
        <f t="array" ref="BO383">_xlfn.TEXTJOIN("",TRUE,IF(ISERROR(FIND(ROW($1:$10)-1,BM383&amp;BN383)),ROW($1:$10)-1,""))</f>
        <v>0123456789</v>
      </c>
      <c r="BP383" s="20" t="str">
        <f t="shared" si="178"/>
        <v>中中中</v>
      </c>
      <c r="BQ383" s="21" t="str">
        <f t="shared" si="189"/>
        <v/>
      </c>
      <c r="BR383" s="21" t="str">
        <f t="shared" si="187"/>
        <v/>
      </c>
      <c r="BS383" s="21" t="str">
        <f t="array" ref="BS383">_xlfn.TEXTJOIN("",TRUE,IF(ISERROR(FIND(ROW($1:$10)-1,BQ383&amp;BR383)),ROW($1:$10)-1,""))</f>
        <v>0123456789</v>
      </c>
      <c r="BT383" s="20" t="str">
        <f t="shared" si="179"/>
        <v>中中中</v>
      </c>
      <c r="BU383" s="22" t="str">
        <f t="shared" si="180"/>
        <v/>
      </c>
      <c r="BV383" s="22" t="str">
        <f t="shared" si="188"/>
        <v/>
      </c>
      <c r="BW383" s="22" t="str">
        <f t="array" ref="BW383">_xlfn.TEXTJOIN("",TRUE,IF(ISERROR(FIND(ROW($1:$10)-1,BU383&amp;BV383)),ROW($1:$10)-1,""))</f>
        <v>0123456789</v>
      </c>
      <c r="BX383" s="20" t="str">
        <f t="shared" si="181"/>
        <v>中中中</v>
      </c>
      <c r="BY383" s="23" t="str">
        <f t="shared" si="175"/>
        <v>68</v>
      </c>
      <c r="BZ383" s="24" t="str">
        <f t="array" ref="BZ383">_xlfn.TEXTJOIN("",TRUE,IF(ISNUMBER(FIND(MID(BY382&amp;Q382,ROW($1:$4),1),BY383&amp;Q383)),MID(BY382&amp;Q382,ROW($1:$4),1),""))</f>
        <v/>
      </c>
      <c r="CA383" s="25" t="str">
        <f t="array" ref="CA383">_xlfn.TEXTJOIN("",TRUE,IF(ISERROR(FIND(ROW($1:$10)-1,BY383&amp;BZ383)),ROW($1:$10)-1,""))</f>
        <v>01234579</v>
      </c>
      <c r="CB383" s="26" t="str">
        <f t="shared" si="182"/>
        <v>邻孤孤</v>
      </c>
      <c r="CC383" s="27" t="str">
        <f t="shared" si="183"/>
        <v>57</v>
      </c>
      <c r="CD383" s="27" t="str">
        <f t="array" ref="CD383">_xlfn.TEXTJOIN("",TRUE,IF(ISNUMBER(FIND(MID(CC382&amp;R382,ROW($1:$4),1),CC383&amp;R383)),MID(CC382&amp;R382,ROW($1:$4),1),""))</f>
        <v/>
      </c>
      <c r="CE383" s="27" t="str">
        <f t="array" ref="CE383">_xlfn.TEXTJOIN("",TRUE,IF(ISERROR(FIND(ROW($1:$10)-1,CC383&amp;CD383)),ROW($1:$10)-1,""))</f>
        <v>01234689</v>
      </c>
      <c r="CF383" s="17" t="str">
        <f t="shared" si="184"/>
        <v>邻孤孤</v>
      </c>
      <c r="CG383" s="22" t="str">
        <f t="shared" si="185"/>
        <v>02</v>
      </c>
      <c r="CH383" s="22" t="str">
        <f t="array" ref="CH383">_xlfn.TEXTJOIN("",TRUE,IF(ISNUMBER(FIND(MID(CG382&amp;S382,ROW($1:$4),1),CG383&amp;S383)),MID(CG382&amp;S382,ROW($1:$4),1),""))</f>
        <v>2</v>
      </c>
      <c r="CI383" s="22" t="str">
        <f t="array" ref="CI383">_xlfn.TEXTJOIN("",TRUE,IF(ISERROR(FIND(ROW($1:$10)-1,CG383&amp;CH383)),ROW($1:$10)-1,""))</f>
        <v>13456789</v>
      </c>
      <c r="CJ383" s="28" t="str">
        <f t="shared" si="186"/>
        <v>邻传孤</v>
      </c>
    </row>
    <row r="384" spans="1:88">
      <c r="A384" s="32">
        <v>2025159</v>
      </c>
      <c r="B384" s="8" t="s">
        <v>329</v>
      </c>
      <c r="C384" s="49">
        <f t="shared" si="200"/>
        <v>10</v>
      </c>
      <c r="D384" s="50">
        <f t="shared" si="201"/>
        <v>0</v>
      </c>
      <c r="E384" s="51">
        <f t="shared" si="172"/>
        <v>3.3333333333333299</v>
      </c>
      <c r="F384" s="52">
        <f>MAX(MID(B384,{1,2,3},1)*1)-MIN(MID(B384,{1,2,3},1)*1)</f>
        <v>7</v>
      </c>
      <c r="G384" s="104">
        <v>0</v>
      </c>
      <c r="H384" s="104">
        <v>1</v>
      </c>
      <c r="I384" s="104">
        <v>2</v>
      </c>
      <c r="J384" s="104">
        <v>3</v>
      </c>
      <c r="K384" s="104">
        <v>4</v>
      </c>
      <c r="L384" s="104">
        <v>5</v>
      </c>
      <c r="M384" s="104">
        <v>6</v>
      </c>
      <c r="N384" s="104">
        <v>7</v>
      </c>
      <c r="O384" s="104">
        <v>8</v>
      </c>
      <c r="P384" s="104">
        <v>9</v>
      </c>
      <c r="Q384" s="53">
        <f t="shared" si="202"/>
        <v>7</v>
      </c>
      <c r="R384" s="53">
        <f t="shared" si="203"/>
        <v>3</v>
      </c>
      <c r="S384" s="53">
        <f t="shared" si="204"/>
        <v>4</v>
      </c>
      <c r="T384" s="101">
        <f t="shared" si="173"/>
        <v>14</v>
      </c>
      <c r="U384" s="15" t="str">
        <f>_xlfn.TEXTJOIN(", ",TRUE,ABS(MID(B384,{1,1,2},1)-MID(B384,{2,3,3},1)))</f>
        <v>7, 3, 4</v>
      </c>
      <c r="V384" s="54">
        <v>0</v>
      </c>
      <c r="W384" s="54">
        <v>1</v>
      </c>
      <c r="X384" s="54">
        <v>2</v>
      </c>
      <c r="Y384" s="54">
        <v>3</v>
      </c>
      <c r="Z384" s="54">
        <v>4</v>
      </c>
      <c r="AA384" s="54">
        <v>5</v>
      </c>
      <c r="AB384" s="54">
        <v>6</v>
      </c>
      <c r="AC384" s="54">
        <v>7</v>
      </c>
      <c r="AD384" s="54">
        <v>8</v>
      </c>
      <c r="AE384" s="54">
        <v>9</v>
      </c>
      <c r="AF384" s="55">
        <v>0</v>
      </c>
      <c r="AG384" s="55">
        <v>1</v>
      </c>
      <c r="AH384" s="55">
        <v>2</v>
      </c>
      <c r="AI384" s="55">
        <v>3</v>
      </c>
      <c r="AJ384" s="55">
        <v>4</v>
      </c>
      <c r="AK384" s="55">
        <v>5</v>
      </c>
      <c r="AL384" s="55">
        <v>6</v>
      </c>
      <c r="AM384" s="55">
        <v>7</v>
      </c>
      <c r="AN384" s="55">
        <v>8</v>
      </c>
      <c r="AO384" s="55">
        <v>9</v>
      </c>
      <c r="AP384" s="105">
        <v>0</v>
      </c>
      <c r="AQ384" s="105">
        <v>1</v>
      </c>
      <c r="AR384" s="105">
        <v>2</v>
      </c>
      <c r="AS384" s="105">
        <v>3</v>
      </c>
      <c r="AT384" s="105">
        <v>4</v>
      </c>
      <c r="AU384" s="105">
        <v>5</v>
      </c>
      <c r="AV384" s="105">
        <v>6</v>
      </c>
      <c r="AW384" s="105">
        <v>7</v>
      </c>
      <c r="AX384" s="105">
        <v>8</v>
      </c>
      <c r="AY384" s="105">
        <v>9</v>
      </c>
      <c r="AZ384" s="56">
        <v>0</v>
      </c>
      <c r="BA384" s="56">
        <v>1</v>
      </c>
      <c r="BB384" s="56">
        <v>2</v>
      </c>
      <c r="BC384" s="56">
        <v>3</v>
      </c>
      <c r="BD384" s="56">
        <v>4</v>
      </c>
      <c r="BE384" s="56">
        <v>5</v>
      </c>
      <c r="BF384" s="56">
        <v>6</v>
      </c>
      <c r="BG384" s="56">
        <v>7</v>
      </c>
      <c r="BH384" s="56">
        <v>8</v>
      </c>
      <c r="BI384" s="56">
        <v>9</v>
      </c>
      <c r="BJ384" s="57" t="str">
        <f t="shared" si="174"/>
        <v>松散型</v>
      </c>
      <c r="BK384" s="13">
        <f t="shared" si="170"/>
        <v>3</v>
      </c>
      <c r="BL384" s="13">
        <f t="shared" si="171"/>
        <v>7</v>
      </c>
      <c r="BM384" s="18">
        <f t="shared" si="176"/>
        <v>7</v>
      </c>
      <c r="BN384" s="19" t="str">
        <f t="shared" si="177"/>
        <v/>
      </c>
      <c r="BO384" s="19" t="str">
        <f t="array" ref="BO384">_xlfn.TEXTJOIN("",TRUE,IF(ISERROR(FIND(ROW($1:$10)-1,BM384&amp;BN384)),ROW($1:$10)-1,""))</f>
        <v>012345689</v>
      </c>
      <c r="BP384" s="20" t="str">
        <f t="shared" si="178"/>
        <v>复中中</v>
      </c>
      <c r="BQ384" s="21" t="str">
        <f t="shared" si="189"/>
        <v/>
      </c>
      <c r="BR384" s="21">
        <f t="shared" si="187"/>
        <v>3</v>
      </c>
      <c r="BS384" s="21" t="str">
        <f t="array" ref="BS384">_xlfn.TEXTJOIN("",TRUE,IF(ISERROR(FIND(ROW($1:$10)-1,BQ384&amp;BR384)),ROW($1:$10)-1,""))</f>
        <v>012456789</v>
      </c>
      <c r="BT384" s="20" t="str">
        <f t="shared" si="179"/>
        <v>中隔中</v>
      </c>
      <c r="BU384" s="22" t="str">
        <f t="shared" si="180"/>
        <v/>
      </c>
      <c r="BV384" s="22" t="str">
        <f t="shared" si="188"/>
        <v/>
      </c>
      <c r="BW384" s="22" t="str">
        <f t="array" ref="BW384">_xlfn.TEXTJOIN("",TRUE,IF(ISERROR(FIND(ROW($1:$10)-1,BU384&amp;BV384)),ROW($1:$10)-1,""))</f>
        <v>0123456789</v>
      </c>
      <c r="BX384" s="20" t="str">
        <f t="shared" si="181"/>
        <v>中中中</v>
      </c>
      <c r="BY384" s="23" t="str">
        <f t="shared" si="175"/>
        <v>68</v>
      </c>
      <c r="BZ384" s="24" t="str">
        <f t="array" ref="BZ384">_xlfn.TEXTJOIN("",TRUE,IF(ISNUMBER(FIND(MID(BY383&amp;Q383,ROW($1:$4),1),BY384&amp;Q384)),MID(BY383&amp;Q383,ROW($1:$4),1),""))</f>
        <v>687</v>
      </c>
      <c r="CA384" s="25" t="str">
        <f t="array" ref="CA384">_xlfn.TEXTJOIN("",TRUE,IF(ISERROR(FIND(ROW($1:$10)-1,BY384&amp;BZ384)),ROW($1:$10)-1,""))</f>
        <v>0123459</v>
      </c>
      <c r="CB384" s="26" t="str">
        <f t="shared" si="182"/>
        <v>邻传孤</v>
      </c>
      <c r="CC384" s="27" t="str">
        <f t="shared" si="183"/>
        <v>24</v>
      </c>
      <c r="CD384" s="27" t="str">
        <f t="array" ref="CD384">_xlfn.TEXTJOIN("",TRUE,IF(ISNUMBER(FIND(MID(CC383&amp;R383,ROW($1:$4),1),CC384&amp;R384)),MID(CC383&amp;R383,ROW($1:$4),1),""))</f>
        <v/>
      </c>
      <c r="CE384" s="27" t="str">
        <f t="array" ref="CE384">_xlfn.TEXTJOIN("",TRUE,IF(ISERROR(FIND(ROW($1:$10)-1,CC384&amp;CD384)),ROW($1:$10)-1,""))</f>
        <v>01356789</v>
      </c>
      <c r="CF384" s="17" t="str">
        <f t="shared" si="184"/>
        <v>邻孤孤</v>
      </c>
      <c r="CG384" s="22" t="str">
        <f t="shared" si="185"/>
        <v>35</v>
      </c>
      <c r="CH384" s="22" t="str">
        <f t="array" ref="CH384">_xlfn.TEXTJOIN("",TRUE,IF(ISNUMBER(FIND(MID(CG383&amp;S383,ROW($1:$4),1),CG384&amp;S384)),MID(CG383&amp;S383,ROW($1:$4),1),""))</f>
        <v/>
      </c>
      <c r="CI384" s="22" t="str">
        <f t="array" ref="CI384">_xlfn.TEXTJOIN("",TRUE,IF(ISERROR(FIND(ROW($1:$10)-1,CG384&amp;CH384)),ROW($1:$10)-1,""))</f>
        <v>01246789</v>
      </c>
      <c r="CJ384" s="28" t="str">
        <f t="shared" si="186"/>
        <v>邻孤孤</v>
      </c>
    </row>
    <row r="385" spans="1:88">
      <c r="A385" s="32">
        <v>2025160</v>
      </c>
      <c r="B385" s="8" t="s">
        <v>330</v>
      </c>
      <c r="C385" s="49">
        <f t="shared" si="200"/>
        <v>8</v>
      </c>
      <c r="D385" s="50">
        <f t="shared" si="201"/>
        <v>8</v>
      </c>
      <c r="E385" s="51">
        <f t="shared" si="172"/>
        <v>2.6666666666666701</v>
      </c>
      <c r="F385" s="52">
        <f>MAX(MID(B385,{1,2,3},1)*1)-MIN(MID(B385,{1,2,3},1)*1)</f>
        <v>5</v>
      </c>
      <c r="G385" s="104">
        <v>0</v>
      </c>
      <c r="H385" s="104">
        <v>1</v>
      </c>
      <c r="I385" s="104">
        <v>2</v>
      </c>
      <c r="J385" s="104">
        <v>3</v>
      </c>
      <c r="K385" s="104">
        <v>4</v>
      </c>
      <c r="L385" s="104">
        <v>5</v>
      </c>
      <c r="M385" s="104">
        <v>6</v>
      </c>
      <c r="N385" s="104">
        <v>7</v>
      </c>
      <c r="O385" s="104">
        <v>8</v>
      </c>
      <c r="P385" s="104">
        <v>9</v>
      </c>
      <c r="Q385" s="53">
        <f t="shared" si="202"/>
        <v>5</v>
      </c>
      <c r="R385" s="53">
        <f t="shared" si="203"/>
        <v>2</v>
      </c>
      <c r="S385" s="53">
        <f t="shared" si="204"/>
        <v>3</v>
      </c>
      <c r="T385" s="101">
        <f t="shared" si="173"/>
        <v>10</v>
      </c>
      <c r="U385" s="15" t="str">
        <f>_xlfn.TEXTJOIN(", ",TRUE,ABS(MID(B385,{1,1,2},1)-MID(B385,{2,3,3},1)))</f>
        <v>5, 2, 3</v>
      </c>
      <c r="V385" s="54">
        <v>0</v>
      </c>
      <c r="W385" s="54">
        <v>1</v>
      </c>
      <c r="X385" s="54">
        <v>2</v>
      </c>
      <c r="Y385" s="54">
        <v>3</v>
      </c>
      <c r="Z385" s="54">
        <v>4</v>
      </c>
      <c r="AA385" s="54">
        <v>5</v>
      </c>
      <c r="AB385" s="54">
        <v>6</v>
      </c>
      <c r="AC385" s="54">
        <v>7</v>
      </c>
      <c r="AD385" s="54">
        <v>8</v>
      </c>
      <c r="AE385" s="54">
        <v>9</v>
      </c>
      <c r="AF385" s="55">
        <v>0</v>
      </c>
      <c r="AG385" s="55">
        <v>1</v>
      </c>
      <c r="AH385" s="55">
        <v>2</v>
      </c>
      <c r="AI385" s="55">
        <v>3</v>
      </c>
      <c r="AJ385" s="55">
        <v>4</v>
      </c>
      <c r="AK385" s="55">
        <v>5</v>
      </c>
      <c r="AL385" s="55">
        <v>6</v>
      </c>
      <c r="AM385" s="55">
        <v>7</v>
      </c>
      <c r="AN385" s="55">
        <v>8</v>
      </c>
      <c r="AO385" s="55">
        <v>9</v>
      </c>
      <c r="AP385" s="105">
        <v>0</v>
      </c>
      <c r="AQ385" s="105">
        <v>1</v>
      </c>
      <c r="AR385" s="105">
        <v>2</v>
      </c>
      <c r="AS385" s="105">
        <v>3</v>
      </c>
      <c r="AT385" s="105">
        <v>4</v>
      </c>
      <c r="AU385" s="105">
        <v>5</v>
      </c>
      <c r="AV385" s="105">
        <v>6</v>
      </c>
      <c r="AW385" s="105">
        <v>7</v>
      </c>
      <c r="AX385" s="105">
        <v>8</v>
      </c>
      <c r="AY385" s="105">
        <v>9</v>
      </c>
      <c r="AZ385" s="56">
        <v>0</v>
      </c>
      <c r="BA385" s="56">
        <v>1</v>
      </c>
      <c r="BB385" s="56">
        <v>2</v>
      </c>
      <c r="BC385" s="56">
        <v>3</v>
      </c>
      <c r="BD385" s="56">
        <v>4</v>
      </c>
      <c r="BE385" s="56">
        <v>5</v>
      </c>
      <c r="BF385" s="56">
        <v>6</v>
      </c>
      <c r="BG385" s="56">
        <v>7</v>
      </c>
      <c r="BH385" s="56">
        <v>8</v>
      </c>
      <c r="BI385" s="56">
        <v>9</v>
      </c>
      <c r="BJ385" s="57" t="str">
        <f t="shared" si="174"/>
        <v>标准型</v>
      </c>
      <c r="BK385" s="13">
        <f t="shared" si="170"/>
        <v>2</v>
      </c>
      <c r="BL385" s="13">
        <f t="shared" si="171"/>
        <v>5</v>
      </c>
      <c r="BM385" s="18" t="str">
        <f t="shared" si="176"/>
        <v/>
      </c>
      <c r="BN385" s="19" t="str">
        <f t="shared" si="177"/>
        <v/>
      </c>
      <c r="BO385" s="19" t="str">
        <f t="array" ref="BO385">_xlfn.TEXTJOIN("",TRUE,IF(ISERROR(FIND(ROW($1:$10)-1,BM385&amp;BN385)),ROW($1:$10)-1,""))</f>
        <v>0123456789</v>
      </c>
      <c r="BP385" s="20" t="str">
        <f t="shared" si="178"/>
        <v>中中中</v>
      </c>
      <c r="BQ385" s="21" t="str">
        <f t="shared" si="189"/>
        <v/>
      </c>
      <c r="BR385" s="21" t="str">
        <f t="shared" si="187"/>
        <v/>
      </c>
      <c r="BS385" s="21" t="str">
        <f t="array" ref="BS385">_xlfn.TEXTJOIN("",TRUE,IF(ISERROR(FIND(ROW($1:$10)-1,BQ385&amp;BR385)),ROW($1:$10)-1,""))</f>
        <v>0123456789</v>
      </c>
      <c r="BT385" s="20" t="str">
        <f t="shared" si="179"/>
        <v>中中中</v>
      </c>
      <c r="BU385" s="22">
        <f t="shared" si="180"/>
        <v>3</v>
      </c>
      <c r="BV385" s="22" t="str">
        <f t="shared" si="188"/>
        <v/>
      </c>
      <c r="BW385" s="22" t="str">
        <f t="array" ref="BW385">_xlfn.TEXTJOIN("",TRUE,IF(ISERROR(FIND(ROW($1:$10)-1,BU385&amp;BV385)),ROW($1:$10)-1,""))</f>
        <v>012456789</v>
      </c>
      <c r="BX385" s="20" t="str">
        <f t="shared" si="181"/>
        <v>复中中</v>
      </c>
      <c r="BY385" s="23" t="str">
        <f t="shared" si="175"/>
        <v>46</v>
      </c>
      <c r="BZ385" s="24" t="str">
        <f t="array" ref="BZ385">_xlfn.TEXTJOIN("",TRUE,IF(ISNUMBER(FIND(MID(BY384&amp;Q384,ROW($1:$4),1),BY385&amp;Q385)),MID(BY384&amp;Q384,ROW($1:$4),1),""))</f>
        <v>6</v>
      </c>
      <c r="CA385" s="25" t="str">
        <f t="array" ref="CA385">_xlfn.TEXTJOIN("",TRUE,IF(ISERROR(FIND(ROW($1:$10)-1,BY385&amp;BZ385)),ROW($1:$10)-1,""))</f>
        <v>01235789</v>
      </c>
      <c r="CB385" s="26" t="str">
        <f t="shared" si="182"/>
        <v>邻传孤</v>
      </c>
      <c r="CC385" s="27" t="str">
        <f t="shared" si="183"/>
        <v>13</v>
      </c>
      <c r="CD385" s="27" t="str">
        <f t="array" ref="CD385">_xlfn.TEXTJOIN("",TRUE,IF(ISNUMBER(FIND(MID(CC384&amp;R384,ROW($1:$4),1),CC385&amp;R385)),MID(CC384&amp;R384,ROW($1:$4),1),""))</f>
        <v>23</v>
      </c>
      <c r="CE385" s="27" t="str">
        <f t="array" ref="CE385">_xlfn.TEXTJOIN("",TRUE,IF(ISERROR(FIND(ROW($1:$10)-1,CC385&amp;CD385)),ROW($1:$10)-1,""))</f>
        <v>0456789</v>
      </c>
      <c r="CF385" s="17" t="str">
        <f t="shared" si="184"/>
        <v>邻传孤</v>
      </c>
      <c r="CG385" s="22" t="str">
        <f t="shared" si="185"/>
        <v>24</v>
      </c>
      <c r="CH385" s="22" t="str">
        <f t="array" ref="CH385">_xlfn.TEXTJOIN("",TRUE,IF(ISNUMBER(FIND(MID(CG384&amp;S384,ROW($1:$4),1),CG385&amp;S385)),MID(CG384&amp;S384,ROW($1:$4),1),""))</f>
        <v>34</v>
      </c>
      <c r="CI385" s="22" t="str">
        <f t="array" ref="CI385">_xlfn.TEXTJOIN("",TRUE,IF(ISERROR(FIND(ROW($1:$10)-1,CG385&amp;CH385)),ROW($1:$10)-1,""))</f>
        <v>0156789</v>
      </c>
      <c r="CJ385" s="28" t="str">
        <f t="shared" si="186"/>
        <v>邻传孤</v>
      </c>
    </row>
    <row r="386" spans="1:88">
      <c r="A386" s="32">
        <v>2025161</v>
      </c>
      <c r="B386" s="8" t="s">
        <v>35</v>
      </c>
      <c r="C386" s="49">
        <f t="shared" si="200"/>
        <v>19</v>
      </c>
      <c r="D386" s="50">
        <f t="shared" si="201"/>
        <v>9</v>
      </c>
      <c r="E386" s="51">
        <f t="shared" si="172"/>
        <v>6.3333333333333304</v>
      </c>
      <c r="F386" s="52">
        <f>MAX(MID(B386,{1,2,3},1)*1)-MIN(MID(B386,{1,2,3},1)*1)</f>
        <v>4</v>
      </c>
      <c r="G386" s="104">
        <v>0</v>
      </c>
      <c r="H386" s="104">
        <v>1</v>
      </c>
      <c r="I386" s="104">
        <v>2</v>
      </c>
      <c r="J386" s="104">
        <v>3</v>
      </c>
      <c r="K386" s="104">
        <v>4</v>
      </c>
      <c r="L386" s="104">
        <v>5</v>
      </c>
      <c r="M386" s="104">
        <v>6</v>
      </c>
      <c r="N386" s="104">
        <v>7</v>
      </c>
      <c r="O386" s="104">
        <v>8</v>
      </c>
      <c r="P386" s="104">
        <v>9</v>
      </c>
      <c r="Q386" s="53">
        <f t="shared" si="202"/>
        <v>3</v>
      </c>
      <c r="R386" s="53">
        <f t="shared" si="203"/>
        <v>1</v>
      </c>
      <c r="S386" s="53">
        <f t="shared" si="204"/>
        <v>4</v>
      </c>
      <c r="T386" s="101">
        <f t="shared" si="173"/>
        <v>8</v>
      </c>
      <c r="U386" s="15" t="str">
        <f>_xlfn.TEXTJOIN(", ",TRUE,ABS(MID(B386,{1,1,2},1)-MID(B386,{2,3,3},1)))</f>
        <v>3, 1, 4</v>
      </c>
      <c r="V386" s="54">
        <v>0</v>
      </c>
      <c r="W386" s="54">
        <v>1</v>
      </c>
      <c r="X386" s="54">
        <v>2</v>
      </c>
      <c r="Y386" s="54">
        <v>3</v>
      </c>
      <c r="Z386" s="54">
        <v>4</v>
      </c>
      <c r="AA386" s="54">
        <v>5</v>
      </c>
      <c r="AB386" s="54">
        <v>6</v>
      </c>
      <c r="AC386" s="54">
        <v>7</v>
      </c>
      <c r="AD386" s="54">
        <v>8</v>
      </c>
      <c r="AE386" s="54">
        <v>9</v>
      </c>
      <c r="AF386" s="55">
        <v>0</v>
      </c>
      <c r="AG386" s="55">
        <v>1</v>
      </c>
      <c r="AH386" s="55">
        <v>2</v>
      </c>
      <c r="AI386" s="55">
        <v>3</v>
      </c>
      <c r="AJ386" s="55">
        <v>4</v>
      </c>
      <c r="AK386" s="55">
        <v>5</v>
      </c>
      <c r="AL386" s="55">
        <v>6</v>
      </c>
      <c r="AM386" s="55">
        <v>7</v>
      </c>
      <c r="AN386" s="55">
        <v>8</v>
      </c>
      <c r="AO386" s="55">
        <v>9</v>
      </c>
      <c r="AP386" s="105">
        <v>0</v>
      </c>
      <c r="AQ386" s="105">
        <v>1</v>
      </c>
      <c r="AR386" s="105">
        <v>2</v>
      </c>
      <c r="AS386" s="105">
        <v>3</v>
      </c>
      <c r="AT386" s="105">
        <v>4</v>
      </c>
      <c r="AU386" s="105">
        <v>5</v>
      </c>
      <c r="AV386" s="105">
        <v>6</v>
      </c>
      <c r="AW386" s="105">
        <v>7</v>
      </c>
      <c r="AX386" s="105">
        <v>8</v>
      </c>
      <c r="AY386" s="105">
        <v>9</v>
      </c>
      <c r="AZ386" s="56">
        <v>0</v>
      </c>
      <c r="BA386" s="56">
        <v>1</v>
      </c>
      <c r="BB386" s="56">
        <v>2</v>
      </c>
      <c r="BC386" s="56">
        <v>3</v>
      </c>
      <c r="BD386" s="56">
        <v>4</v>
      </c>
      <c r="BE386" s="56">
        <v>5</v>
      </c>
      <c r="BF386" s="56">
        <v>6</v>
      </c>
      <c r="BG386" s="56">
        <v>7</v>
      </c>
      <c r="BH386" s="56">
        <v>8</v>
      </c>
      <c r="BI386" s="56">
        <v>9</v>
      </c>
      <c r="BJ386" s="57" t="str">
        <f t="shared" si="174"/>
        <v>紧凑型</v>
      </c>
      <c r="BK386" s="13">
        <f t="shared" si="170"/>
        <v>1</v>
      </c>
      <c r="BL386" s="13">
        <f t="shared" si="171"/>
        <v>4</v>
      </c>
      <c r="BM386" s="18">
        <f t="shared" si="176"/>
        <v>3</v>
      </c>
      <c r="BN386" s="19">
        <f t="shared" si="177"/>
        <v>3</v>
      </c>
      <c r="BO386" s="19" t="str">
        <f t="array" ref="BO386">_xlfn.TEXTJOIN("",TRUE,IF(ISERROR(FIND(ROW($1:$10)-1,BM386&amp;BN386)),ROW($1:$10)-1,""))</f>
        <v>012456789</v>
      </c>
      <c r="BP386" s="20" t="str">
        <f t="shared" si="178"/>
        <v>复隔中</v>
      </c>
      <c r="BQ386" s="21" t="str">
        <f t="shared" si="189"/>
        <v/>
      </c>
      <c r="BR386" s="21" t="str">
        <f t="shared" si="187"/>
        <v/>
      </c>
      <c r="BS386" s="21" t="str">
        <f t="array" ref="BS386">_xlfn.TEXTJOIN("",TRUE,IF(ISERROR(FIND(ROW($1:$10)-1,BQ386&amp;BR386)),ROW($1:$10)-1,""))</f>
        <v>0123456789</v>
      </c>
      <c r="BT386" s="20" t="str">
        <f t="shared" si="179"/>
        <v>中中中</v>
      </c>
      <c r="BU386" s="22" t="str">
        <f t="shared" si="180"/>
        <v/>
      </c>
      <c r="BV386" s="22">
        <f t="shared" si="188"/>
        <v>4</v>
      </c>
      <c r="BW386" s="22" t="str">
        <f t="array" ref="BW386">_xlfn.TEXTJOIN("",TRUE,IF(ISERROR(FIND(ROW($1:$10)-1,BU386&amp;BV386)),ROW($1:$10)-1,""))</f>
        <v>012356789</v>
      </c>
      <c r="BX386" s="20" t="str">
        <f t="shared" si="181"/>
        <v>中隔中</v>
      </c>
      <c r="BY386" s="23" t="str">
        <f t="shared" si="175"/>
        <v>24</v>
      </c>
      <c r="BZ386" s="24" t="str">
        <f t="array" ref="BZ386">_xlfn.TEXTJOIN("",TRUE,IF(ISNUMBER(FIND(MID(BY385&amp;Q385,ROW($1:$4),1),BY386&amp;Q386)),MID(BY385&amp;Q385,ROW($1:$4),1),""))</f>
        <v>4</v>
      </c>
      <c r="CA386" s="25" t="str">
        <f t="array" ref="CA386">_xlfn.TEXTJOIN("",TRUE,IF(ISERROR(FIND(ROW($1:$10)-1,BY386&amp;BZ386)),ROW($1:$10)-1,""))</f>
        <v>01356789</v>
      </c>
      <c r="CB386" s="26" t="str">
        <f t="shared" si="182"/>
        <v>邻传孤</v>
      </c>
      <c r="CC386" s="27" t="str">
        <f t="shared" si="183"/>
        <v>02</v>
      </c>
      <c r="CD386" s="27" t="str">
        <f t="array" ref="CD386">_xlfn.TEXTJOIN("",TRUE,IF(ISNUMBER(FIND(MID(CC385&amp;R385,ROW($1:$4),1),CC386&amp;R386)),MID(CC385&amp;R385,ROW($1:$4),1),""))</f>
        <v>12</v>
      </c>
      <c r="CE386" s="27" t="str">
        <f t="array" ref="CE386">_xlfn.TEXTJOIN("",TRUE,IF(ISERROR(FIND(ROW($1:$10)-1,CC386&amp;CD386)),ROW($1:$10)-1,""))</f>
        <v>3456789</v>
      </c>
      <c r="CF386" s="17" t="str">
        <f t="shared" si="184"/>
        <v>邻传孤</v>
      </c>
      <c r="CG386" s="22" t="str">
        <f t="shared" si="185"/>
        <v>35</v>
      </c>
      <c r="CH386" s="22" t="str">
        <f t="array" ref="CH386">_xlfn.TEXTJOIN("",TRUE,IF(ISNUMBER(FIND(MID(CG385&amp;S385,ROW($1:$4),1),CG386&amp;S386)),MID(CG385&amp;S385,ROW($1:$4),1),""))</f>
        <v>43</v>
      </c>
      <c r="CI386" s="22" t="str">
        <f t="array" ref="CI386">_xlfn.TEXTJOIN("",TRUE,IF(ISERROR(FIND(ROW($1:$10)-1,CG386&amp;CH386)),ROW($1:$10)-1,""))</f>
        <v>0126789</v>
      </c>
      <c r="CJ386" s="28" t="str">
        <f t="shared" si="186"/>
        <v>邻传孤</v>
      </c>
    </row>
    <row r="387" spans="1:88">
      <c r="A387" s="32">
        <v>2025162</v>
      </c>
      <c r="B387" s="8" t="s">
        <v>152</v>
      </c>
      <c r="C387" s="49">
        <f t="shared" si="200"/>
        <v>14</v>
      </c>
      <c r="D387" s="50">
        <f t="shared" si="201"/>
        <v>4</v>
      </c>
      <c r="E387" s="51">
        <f t="shared" si="172"/>
        <v>4.6666666666666696</v>
      </c>
      <c r="F387" s="52">
        <f>MAX(MID(B387,{1,2,3},1)*1)-MIN(MID(B387,{1,2,3},1)*1)</f>
        <v>5</v>
      </c>
      <c r="G387" s="104">
        <v>0</v>
      </c>
      <c r="H387" s="104">
        <v>1</v>
      </c>
      <c r="I387" s="104">
        <v>2</v>
      </c>
      <c r="J387" s="104">
        <v>3</v>
      </c>
      <c r="K387" s="104">
        <v>4</v>
      </c>
      <c r="L387" s="104">
        <v>5</v>
      </c>
      <c r="M387" s="104">
        <v>6</v>
      </c>
      <c r="N387" s="104">
        <v>7</v>
      </c>
      <c r="O387" s="104">
        <v>8</v>
      </c>
      <c r="P387" s="104">
        <v>9</v>
      </c>
      <c r="Q387" s="53">
        <f t="shared" si="202"/>
        <v>5</v>
      </c>
      <c r="R387" s="53">
        <f t="shared" si="203"/>
        <v>3</v>
      </c>
      <c r="S387" s="53">
        <f t="shared" si="204"/>
        <v>2</v>
      </c>
      <c r="T387" s="101">
        <f t="shared" si="173"/>
        <v>10</v>
      </c>
      <c r="U387" s="15" t="str">
        <f>_xlfn.TEXTJOIN(", ",TRUE,ABS(MID(B387,{1,1,2},1)-MID(B387,{2,3,3},1)))</f>
        <v>5, 3, 2</v>
      </c>
      <c r="V387" s="54">
        <v>0</v>
      </c>
      <c r="W387" s="54">
        <v>1</v>
      </c>
      <c r="X387" s="54">
        <v>2</v>
      </c>
      <c r="Y387" s="54">
        <v>3</v>
      </c>
      <c r="Z387" s="54">
        <v>4</v>
      </c>
      <c r="AA387" s="54">
        <v>5</v>
      </c>
      <c r="AB387" s="54">
        <v>6</v>
      </c>
      <c r="AC387" s="54">
        <v>7</v>
      </c>
      <c r="AD387" s="54">
        <v>8</v>
      </c>
      <c r="AE387" s="54">
        <v>9</v>
      </c>
      <c r="AF387" s="55">
        <v>0</v>
      </c>
      <c r="AG387" s="55">
        <v>1</v>
      </c>
      <c r="AH387" s="55">
        <v>2</v>
      </c>
      <c r="AI387" s="55">
        <v>3</v>
      </c>
      <c r="AJ387" s="55">
        <v>4</v>
      </c>
      <c r="AK387" s="55">
        <v>5</v>
      </c>
      <c r="AL387" s="55">
        <v>6</v>
      </c>
      <c r="AM387" s="55">
        <v>7</v>
      </c>
      <c r="AN387" s="55">
        <v>8</v>
      </c>
      <c r="AO387" s="55">
        <v>9</v>
      </c>
      <c r="AP387" s="105">
        <v>0</v>
      </c>
      <c r="AQ387" s="105">
        <v>1</v>
      </c>
      <c r="AR387" s="105">
        <v>2</v>
      </c>
      <c r="AS387" s="105">
        <v>3</v>
      </c>
      <c r="AT387" s="105">
        <v>4</v>
      </c>
      <c r="AU387" s="105">
        <v>5</v>
      </c>
      <c r="AV387" s="105">
        <v>6</v>
      </c>
      <c r="AW387" s="105">
        <v>7</v>
      </c>
      <c r="AX387" s="105">
        <v>8</v>
      </c>
      <c r="AY387" s="105">
        <v>9</v>
      </c>
      <c r="AZ387" s="56">
        <v>0</v>
      </c>
      <c r="BA387" s="56">
        <v>1</v>
      </c>
      <c r="BB387" s="56">
        <v>2</v>
      </c>
      <c r="BC387" s="56">
        <v>3</v>
      </c>
      <c r="BD387" s="56">
        <v>4</v>
      </c>
      <c r="BE387" s="56">
        <v>5</v>
      </c>
      <c r="BF387" s="56">
        <v>6</v>
      </c>
      <c r="BG387" s="56">
        <v>7</v>
      </c>
      <c r="BH387" s="56">
        <v>8</v>
      </c>
      <c r="BI387" s="56">
        <v>9</v>
      </c>
      <c r="BJ387" s="57" t="str">
        <f t="shared" si="174"/>
        <v>标准型</v>
      </c>
      <c r="BK387" s="13">
        <f t="shared" ref="BK387:BK450" si="205">MIN(ABS(INT(B387/100)-INT(MOD(B387,100)/10)),ABS(INT(B387/100)-MOD(B387,10)),ABS(INT(MOD(B387,100)/10)-MOD(B387,10)))</f>
        <v>2</v>
      </c>
      <c r="BL387" s="13">
        <f t="shared" ref="BL387:BL450" si="206">MAX(ABS(INT(B387/100)-INT(MOD(B387,100)/10)),ABS(INT(B387/100)-MOD(B387,10)),ABS(INT(MOD(B387,100)/10)-MOD(B387,10)))</f>
        <v>5</v>
      </c>
      <c r="BM387" s="18" t="str">
        <f t="shared" si="176"/>
        <v/>
      </c>
      <c r="BN387" s="19">
        <f t="shared" si="177"/>
        <v>5</v>
      </c>
      <c r="BO387" s="19" t="str">
        <f t="array" ref="BO387">_xlfn.TEXTJOIN("",TRUE,IF(ISERROR(FIND(ROW($1:$10)-1,BM387&amp;BN387)),ROW($1:$10)-1,""))</f>
        <v>012346789</v>
      </c>
      <c r="BP387" s="20" t="str">
        <f t="shared" si="178"/>
        <v>中隔中</v>
      </c>
      <c r="BQ387" s="21">
        <f t="shared" si="189"/>
        <v>3</v>
      </c>
      <c r="BR387" s="21">
        <f t="shared" si="187"/>
        <v>3</v>
      </c>
      <c r="BS387" s="21" t="str">
        <f t="array" ref="BS387">_xlfn.TEXTJOIN("",TRUE,IF(ISERROR(FIND(ROW($1:$10)-1,BQ387&amp;BR387)),ROW($1:$10)-1,""))</f>
        <v>012456789</v>
      </c>
      <c r="BT387" s="20" t="str">
        <f t="shared" si="179"/>
        <v>复隔中</v>
      </c>
      <c r="BU387" s="22" t="str">
        <f t="shared" si="180"/>
        <v/>
      </c>
      <c r="BV387" s="22">
        <f t="shared" si="188"/>
        <v>2</v>
      </c>
      <c r="BW387" s="22" t="str">
        <f t="array" ref="BW387">_xlfn.TEXTJOIN("",TRUE,IF(ISERROR(FIND(ROW($1:$10)-1,BU387&amp;BV387)),ROW($1:$10)-1,""))</f>
        <v>013456789</v>
      </c>
      <c r="BX387" s="20" t="str">
        <f t="shared" si="181"/>
        <v>中隔中</v>
      </c>
      <c r="BY387" s="23" t="str">
        <f t="shared" si="175"/>
        <v>46</v>
      </c>
      <c r="BZ387" s="24" t="str">
        <f t="array" ref="BZ387">_xlfn.TEXTJOIN("",TRUE,IF(ISNUMBER(FIND(MID(BY386&amp;Q386,ROW($1:$4),1),BY387&amp;Q387)),MID(BY386&amp;Q386,ROW($1:$4),1),""))</f>
        <v>4</v>
      </c>
      <c r="CA387" s="25" t="str">
        <f t="array" ref="CA387">_xlfn.TEXTJOIN("",TRUE,IF(ISERROR(FIND(ROW($1:$10)-1,BY387&amp;BZ387)),ROW($1:$10)-1,""))</f>
        <v>01235789</v>
      </c>
      <c r="CB387" s="26" t="str">
        <f t="shared" si="182"/>
        <v>邻传孤</v>
      </c>
      <c r="CC387" s="27" t="str">
        <f t="shared" si="183"/>
        <v>24</v>
      </c>
      <c r="CD387" s="27" t="str">
        <f t="array" ref="CD387">_xlfn.TEXTJOIN("",TRUE,IF(ISNUMBER(FIND(MID(CC386&amp;R386,ROW($1:$4),1),CC387&amp;R387)),MID(CC386&amp;R386,ROW($1:$4),1),""))</f>
        <v>2</v>
      </c>
      <c r="CE387" s="27" t="str">
        <f t="array" ref="CE387">_xlfn.TEXTJOIN("",TRUE,IF(ISERROR(FIND(ROW($1:$10)-1,CC387&amp;CD387)),ROW($1:$10)-1,""))</f>
        <v>01356789</v>
      </c>
      <c r="CF387" s="17" t="str">
        <f t="shared" si="184"/>
        <v>邻传孤</v>
      </c>
      <c r="CG387" s="22" t="str">
        <f t="shared" si="185"/>
        <v>13</v>
      </c>
      <c r="CH387" s="22" t="str">
        <f t="array" ref="CH387">_xlfn.TEXTJOIN("",TRUE,IF(ISNUMBER(FIND(MID(CG386&amp;S386,ROW($1:$4),1),CG387&amp;S387)),MID(CG386&amp;S386,ROW($1:$4),1),""))</f>
        <v>3</v>
      </c>
      <c r="CI387" s="22" t="str">
        <f t="array" ref="CI387">_xlfn.TEXTJOIN("",TRUE,IF(ISERROR(FIND(ROW($1:$10)-1,CG387&amp;CH387)),ROW($1:$10)-1,""))</f>
        <v>02456789</v>
      </c>
      <c r="CJ387" s="28" t="str">
        <f t="shared" si="186"/>
        <v>邻传孤</v>
      </c>
    </row>
    <row r="388" spans="1:88">
      <c r="A388" s="32">
        <v>2025163</v>
      </c>
      <c r="B388" s="8" t="s">
        <v>331</v>
      </c>
      <c r="C388" s="49">
        <f t="shared" si="200"/>
        <v>15</v>
      </c>
      <c r="D388" s="50">
        <f t="shared" si="201"/>
        <v>5</v>
      </c>
      <c r="E388" s="51">
        <f t="shared" ref="E388:E451" si="207">C388/3</f>
        <v>5</v>
      </c>
      <c r="F388" s="52">
        <f>MAX(MID(B388,{1,2,3},1)*1)-MIN(MID(B388,{1,2,3},1)*1)</f>
        <v>3</v>
      </c>
      <c r="G388" s="104">
        <v>0</v>
      </c>
      <c r="H388" s="104">
        <v>1</v>
      </c>
      <c r="I388" s="104">
        <v>2</v>
      </c>
      <c r="J388" s="104">
        <v>3</v>
      </c>
      <c r="K388" s="104">
        <v>4</v>
      </c>
      <c r="L388" s="104">
        <v>5</v>
      </c>
      <c r="M388" s="104">
        <v>6</v>
      </c>
      <c r="N388" s="104">
        <v>7</v>
      </c>
      <c r="O388" s="104">
        <v>8</v>
      </c>
      <c r="P388" s="104">
        <v>9</v>
      </c>
      <c r="Q388" s="53">
        <f t="shared" si="202"/>
        <v>3</v>
      </c>
      <c r="R388" s="53">
        <f t="shared" si="203"/>
        <v>0</v>
      </c>
      <c r="S388" s="53">
        <f t="shared" si="204"/>
        <v>3</v>
      </c>
      <c r="T388" s="101">
        <f t="shared" ref="T388:T451" si="208">Q388+R388+S388</f>
        <v>6</v>
      </c>
      <c r="U388" s="15" t="str">
        <f>_xlfn.TEXTJOIN(", ",TRUE,ABS(MID(B388,{1,1,2},1)-MID(B388,{2,3,3},1)))</f>
        <v>3, 0, 3</v>
      </c>
      <c r="V388" s="54">
        <v>0</v>
      </c>
      <c r="W388" s="54">
        <v>1</v>
      </c>
      <c r="X388" s="54">
        <v>2</v>
      </c>
      <c r="Y388" s="54">
        <v>3</v>
      </c>
      <c r="Z388" s="54">
        <v>4</v>
      </c>
      <c r="AA388" s="54">
        <v>5</v>
      </c>
      <c r="AB388" s="54">
        <v>6</v>
      </c>
      <c r="AC388" s="54">
        <v>7</v>
      </c>
      <c r="AD388" s="54">
        <v>8</v>
      </c>
      <c r="AE388" s="54">
        <v>9</v>
      </c>
      <c r="AF388" s="55">
        <v>0</v>
      </c>
      <c r="AG388" s="55">
        <v>1</v>
      </c>
      <c r="AH388" s="55">
        <v>2</v>
      </c>
      <c r="AI388" s="55">
        <v>3</v>
      </c>
      <c r="AJ388" s="55">
        <v>4</v>
      </c>
      <c r="AK388" s="55">
        <v>5</v>
      </c>
      <c r="AL388" s="55">
        <v>6</v>
      </c>
      <c r="AM388" s="55">
        <v>7</v>
      </c>
      <c r="AN388" s="55">
        <v>8</v>
      </c>
      <c r="AO388" s="55">
        <v>9</v>
      </c>
      <c r="AP388" s="105">
        <v>0</v>
      </c>
      <c r="AQ388" s="105">
        <v>1</v>
      </c>
      <c r="AR388" s="105">
        <v>2</v>
      </c>
      <c r="AS388" s="105">
        <v>3</v>
      </c>
      <c r="AT388" s="105">
        <v>4</v>
      </c>
      <c r="AU388" s="105">
        <v>5</v>
      </c>
      <c r="AV388" s="105">
        <v>6</v>
      </c>
      <c r="AW388" s="105">
        <v>7</v>
      </c>
      <c r="AX388" s="105">
        <v>8</v>
      </c>
      <c r="AY388" s="105">
        <v>9</v>
      </c>
      <c r="AZ388" s="56">
        <v>0</v>
      </c>
      <c r="BA388" s="56">
        <v>1</v>
      </c>
      <c r="BB388" s="56">
        <v>2</v>
      </c>
      <c r="BC388" s="56">
        <v>3</v>
      </c>
      <c r="BD388" s="56">
        <v>4</v>
      </c>
      <c r="BE388" s="56">
        <v>5</v>
      </c>
      <c r="BF388" s="56">
        <v>6</v>
      </c>
      <c r="BG388" s="56">
        <v>7</v>
      </c>
      <c r="BH388" s="56">
        <v>8</v>
      </c>
      <c r="BI388" s="56">
        <v>9</v>
      </c>
      <c r="BJ388" s="57" t="str">
        <f t="shared" ref="BJ388:BJ451" si="209">IF(AND(BK388&lt;=1,BL388&lt;=4),"紧凑型",IF(OR(BK388&gt;=3,BL388&gt;=6),"松散型",IF(AND(BK388&gt;=1,BL388&lt;=5),"标准型","对子")))</f>
        <v>紧凑型</v>
      </c>
      <c r="BK388" s="13">
        <f t="shared" si="205"/>
        <v>0</v>
      </c>
      <c r="BL388" s="13">
        <f t="shared" si="206"/>
        <v>3</v>
      </c>
      <c r="BM388" s="18">
        <f t="shared" si="176"/>
        <v>3</v>
      </c>
      <c r="BN388" s="19">
        <f t="shared" si="177"/>
        <v>3</v>
      </c>
      <c r="BO388" s="19" t="str">
        <f t="array" ref="BO388">_xlfn.TEXTJOIN("",TRUE,IF(ISERROR(FIND(ROW($1:$10)-1,BM388&amp;BN388)),ROW($1:$10)-1,""))</f>
        <v>012456789</v>
      </c>
      <c r="BP388" s="20" t="str">
        <f t="shared" si="178"/>
        <v>复隔中</v>
      </c>
      <c r="BQ388" s="21" t="str">
        <f t="shared" si="189"/>
        <v/>
      </c>
      <c r="BR388" s="21" t="str">
        <f t="shared" si="187"/>
        <v/>
      </c>
      <c r="BS388" s="21" t="str">
        <f t="array" ref="BS388">_xlfn.TEXTJOIN("",TRUE,IF(ISERROR(FIND(ROW($1:$10)-1,BQ388&amp;BR388)),ROW($1:$10)-1,""))</f>
        <v>0123456789</v>
      </c>
      <c r="BT388" s="20" t="str">
        <f t="shared" si="179"/>
        <v>中中中</v>
      </c>
      <c r="BU388" s="22">
        <f t="shared" si="180"/>
        <v>3</v>
      </c>
      <c r="BV388" s="22">
        <f t="shared" si="188"/>
        <v>3</v>
      </c>
      <c r="BW388" s="22" t="str">
        <f t="array" ref="BW388">_xlfn.TEXTJOIN("",TRUE,IF(ISERROR(FIND(ROW($1:$10)-1,BU388&amp;BV388)),ROW($1:$10)-1,""))</f>
        <v>012456789</v>
      </c>
      <c r="BX388" s="20" t="str">
        <f t="shared" si="181"/>
        <v>复隔中</v>
      </c>
      <c r="BY388" s="23" t="str">
        <f t="shared" ref="BY388:BY451" si="210">IF(Q388=0,9,Q388-1)&amp;""&amp;IF(Q388=9,0,Q388+1)</f>
        <v>24</v>
      </c>
      <c r="BZ388" s="24" t="str">
        <f t="array" ref="BZ388">_xlfn.TEXTJOIN("",TRUE,IF(ISNUMBER(FIND(MID(BY387&amp;Q387,ROW($1:$4),1),BY388&amp;Q388)),MID(BY387&amp;Q387,ROW($1:$4),1),""))</f>
        <v>4</v>
      </c>
      <c r="CA388" s="25" t="str">
        <f t="array" ref="CA388">_xlfn.TEXTJOIN("",TRUE,IF(ISERROR(FIND(ROW($1:$10)-1,BY388&amp;BZ388)),ROW($1:$10)-1,""))</f>
        <v>01356789</v>
      </c>
      <c r="CB388" s="26" t="str">
        <f t="shared" si="182"/>
        <v>邻传孤</v>
      </c>
      <c r="CC388" s="27" t="str">
        <f t="shared" si="183"/>
        <v>91</v>
      </c>
      <c r="CD388" s="27" t="str">
        <f t="array" ref="CD388">_xlfn.TEXTJOIN("",TRUE,IF(ISNUMBER(FIND(MID(CC387&amp;R387,ROW($1:$4),1),CC388&amp;R388)),MID(CC387&amp;R387,ROW($1:$4),1),""))</f>
        <v/>
      </c>
      <c r="CE388" s="27" t="str">
        <f t="array" ref="CE388">_xlfn.TEXTJOIN("",TRUE,IF(ISERROR(FIND(ROW($1:$10)-1,CC388&amp;CD388)),ROW($1:$10)-1,""))</f>
        <v>02345678</v>
      </c>
      <c r="CF388" s="17" t="str">
        <f t="shared" si="184"/>
        <v>邻孤孤</v>
      </c>
      <c r="CG388" s="22" t="str">
        <f t="shared" si="185"/>
        <v>24</v>
      </c>
      <c r="CH388" s="22" t="str">
        <f t="array" ref="CH388">_xlfn.TEXTJOIN("",TRUE,IF(ISNUMBER(FIND(MID(CG387&amp;S387,ROW($1:$4),1),CG388&amp;S388)),MID(CG387&amp;S387,ROW($1:$4),1),""))</f>
        <v>32</v>
      </c>
      <c r="CI388" s="22" t="str">
        <f t="array" ref="CI388">_xlfn.TEXTJOIN("",TRUE,IF(ISERROR(FIND(ROW($1:$10)-1,CG388&amp;CH388)),ROW($1:$10)-1,""))</f>
        <v>0156789</v>
      </c>
      <c r="CJ388" s="28" t="str">
        <f t="shared" si="186"/>
        <v>邻传孤</v>
      </c>
    </row>
    <row r="389" spans="1:88">
      <c r="A389" s="32">
        <v>2025164</v>
      </c>
      <c r="B389" s="8" t="s">
        <v>332</v>
      </c>
      <c r="C389" s="49">
        <f t="shared" si="200"/>
        <v>13</v>
      </c>
      <c r="D389" s="50">
        <f t="shared" si="201"/>
        <v>3</v>
      </c>
      <c r="E389" s="51">
        <f t="shared" si="207"/>
        <v>4.3333333333333304</v>
      </c>
      <c r="F389" s="52">
        <f>MAX(MID(B389,{1,2,3},1)*1)-MIN(MID(B389,{1,2,3},1)*1)</f>
        <v>4</v>
      </c>
      <c r="G389" s="104">
        <v>0</v>
      </c>
      <c r="H389" s="104">
        <v>1</v>
      </c>
      <c r="I389" s="104">
        <v>2</v>
      </c>
      <c r="J389" s="104">
        <v>3</v>
      </c>
      <c r="K389" s="104">
        <v>4</v>
      </c>
      <c r="L389" s="104">
        <v>5</v>
      </c>
      <c r="M389" s="104">
        <v>6</v>
      </c>
      <c r="N389" s="104">
        <v>7</v>
      </c>
      <c r="O389" s="104">
        <v>8</v>
      </c>
      <c r="P389" s="104">
        <v>9</v>
      </c>
      <c r="Q389" s="53">
        <f t="shared" si="202"/>
        <v>0</v>
      </c>
      <c r="R389" s="53">
        <f t="shared" si="203"/>
        <v>4</v>
      </c>
      <c r="S389" s="53">
        <f t="shared" si="204"/>
        <v>4</v>
      </c>
      <c r="T389" s="101">
        <f t="shared" si="208"/>
        <v>8</v>
      </c>
      <c r="U389" s="15" t="str">
        <f>_xlfn.TEXTJOIN(", ",TRUE,ABS(MID(B389,{1,1,2},1)-MID(B389,{2,3,3},1)))</f>
        <v>0, 4, 4</v>
      </c>
      <c r="V389" s="54">
        <v>0</v>
      </c>
      <c r="W389" s="54">
        <v>1</v>
      </c>
      <c r="X389" s="54">
        <v>2</v>
      </c>
      <c r="Y389" s="54">
        <v>3</v>
      </c>
      <c r="Z389" s="54">
        <v>4</v>
      </c>
      <c r="AA389" s="54">
        <v>5</v>
      </c>
      <c r="AB389" s="54">
        <v>6</v>
      </c>
      <c r="AC389" s="54">
        <v>7</v>
      </c>
      <c r="AD389" s="54">
        <v>8</v>
      </c>
      <c r="AE389" s="54">
        <v>9</v>
      </c>
      <c r="AF389" s="55">
        <v>0</v>
      </c>
      <c r="AG389" s="55">
        <v>1</v>
      </c>
      <c r="AH389" s="55">
        <v>2</v>
      </c>
      <c r="AI389" s="55">
        <v>3</v>
      </c>
      <c r="AJ389" s="55">
        <v>4</v>
      </c>
      <c r="AK389" s="55">
        <v>5</v>
      </c>
      <c r="AL389" s="55">
        <v>6</v>
      </c>
      <c r="AM389" s="55">
        <v>7</v>
      </c>
      <c r="AN389" s="55">
        <v>8</v>
      </c>
      <c r="AO389" s="55">
        <v>9</v>
      </c>
      <c r="AP389" s="105">
        <v>0</v>
      </c>
      <c r="AQ389" s="105">
        <v>1</v>
      </c>
      <c r="AR389" s="105">
        <v>2</v>
      </c>
      <c r="AS389" s="105">
        <v>3</v>
      </c>
      <c r="AT389" s="105">
        <v>4</v>
      </c>
      <c r="AU389" s="105">
        <v>5</v>
      </c>
      <c r="AV389" s="105">
        <v>6</v>
      </c>
      <c r="AW389" s="105">
        <v>7</v>
      </c>
      <c r="AX389" s="105">
        <v>8</v>
      </c>
      <c r="AY389" s="105">
        <v>9</v>
      </c>
      <c r="AZ389" s="56">
        <v>0</v>
      </c>
      <c r="BA389" s="56">
        <v>1</v>
      </c>
      <c r="BB389" s="56">
        <v>2</v>
      </c>
      <c r="BC389" s="56">
        <v>3</v>
      </c>
      <c r="BD389" s="56">
        <v>4</v>
      </c>
      <c r="BE389" s="56">
        <v>5</v>
      </c>
      <c r="BF389" s="56">
        <v>6</v>
      </c>
      <c r="BG389" s="56">
        <v>7</v>
      </c>
      <c r="BH389" s="56">
        <v>8</v>
      </c>
      <c r="BI389" s="56">
        <v>9</v>
      </c>
      <c r="BJ389" s="57" t="str">
        <f t="shared" si="209"/>
        <v>紧凑型</v>
      </c>
      <c r="BK389" s="13">
        <f t="shared" si="205"/>
        <v>0</v>
      </c>
      <c r="BL389" s="13">
        <f t="shared" si="206"/>
        <v>4</v>
      </c>
      <c r="BM389" s="18">
        <f t="shared" ref="BM389:BM452" si="211">IF(COUNTIF($Q388:$S388,Q389)&gt;0,Q389,"")</f>
        <v>0</v>
      </c>
      <c r="BN389" s="19" t="str">
        <f t="shared" ref="BN389:BN452" si="212">IF(COUNTIF($Q387:$S387,Q389)&gt;0,Q389,"")</f>
        <v/>
      </c>
      <c r="BO389" s="19" t="str">
        <f t="array" ref="BO389">_xlfn.TEXTJOIN("",TRUE,IF(ISERROR(FIND(ROW($1:$10)-1,BM389&amp;BN389)),ROW($1:$10)-1,""))</f>
        <v>123456789</v>
      </c>
      <c r="BP389" s="20" t="str">
        <f t="shared" ref="BP389:BP452" si="213">IF(BM389&lt;&gt;"","复","中")&amp;IF(BN389&lt;&gt;"","隔","中")&amp;"中"</f>
        <v>复中中</v>
      </c>
      <c r="BQ389" s="21" t="str">
        <f t="shared" si="189"/>
        <v/>
      </c>
      <c r="BR389" s="21" t="str">
        <f t="shared" si="187"/>
        <v/>
      </c>
      <c r="BS389" s="21" t="str">
        <f t="array" ref="BS389">_xlfn.TEXTJOIN("",TRUE,IF(ISERROR(FIND(ROW($1:$10)-1,BQ389&amp;BR389)),ROW($1:$10)-1,""))</f>
        <v>0123456789</v>
      </c>
      <c r="BT389" s="20" t="str">
        <f t="shared" ref="BT389:BT452" si="214">IF(BQ389&lt;&gt;"","复","中")&amp;IF(BR389&lt;&gt;"","隔","中")&amp;"中"</f>
        <v>中中中</v>
      </c>
      <c r="BU389" s="22" t="str">
        <f t="shared" ref="BU389:BU452" si="215">IF(COUNTIF($Q388:$S388,S389)&gt;0,S389,"")</f>
        <v/>
      </c>
      <c r="BV389" s="22" t="str">
        <f t="shared" si="188"/>
        <v/>
      </c>
      <c r="BW389" s="22" t="str">
        <f t="array" ref="BW389">_xlfn.TEXTJOIN("",TRUE,IF(ISERROR(FIND(ROW($1:$10)-1,BU389&amp;BV389)),ROW($1:$10)-1,""))</f>
        <v>0123456789</v>
      </c>
      <c r="BX389" s="20" t="str">
        <f t="shared" ref="BX389:BX452" si="216">IF(BU389&lt;&gt;"","复","中")&amp;IF(BV389&lt;&gt;"","隔","中")&amp;"中"</f>
        <v>中中中</v>
      </c>
      <c r="BY389" s="23" t="str">
        <f t="shared" si="210"/>
        <v>91</v>
      </c>
      <c r="BZ389" s="24" t="str">
        <f t="array" ref="BZ389">_xlfn.TEXTJOIN("",TRUE,IF(ISNUMBER(FIND(MID(BY388&amp;Q388,ROW($1:$4),1),BY389&amp;Q389)),MID(BY388&amp;Q388,ROW($1:$4),1),""))</f>
        <v/>
      </c>
      <c r="CA389" s="25" t="str">
        <f t="array" ref="CA389">_xlfn.TEXTJOIN("",TRUE,IF(ISERROR(FIND(ROW($1:$10)-1,BY389&amp;BZ389)),ROW($1:$10)-1,""))</f>
        <v>02345678</v>
      </c>
      <c r="CB389" s="26" t="str">
        <f t="shared" ref="CB389:CB452" si="217">IF(BY389&lt;&gt;"","邻","孤")&amp;IF(BZ389&lt;&gt;"","传","孤")&amp;"孤"</f>
        <v>邻孤孤</v>
      </c>
      <c r="CC389" s="27" t="str">
        <f t="shared" ref="CC389:CC452" si="218">IF(R389=0,9,R389-1)&amp;""&amp;IF(R389=9,0,R389+1)</f>
        <v>35</v>
      </c>
      <c r="CD389" s="27" t="str">
        <f t="array" ref="CD389">_xlfn.TEXTJOIN("",TRUE,IF(ISNUMBER(FIND(MID(CC388&amp;R388,ROW($1:$4),1),CC389&amp;R389)),MID(CC388&amp;R388,ROW($1:$4),1),""))</f>
        <v/>
      </c>
      <c r="CE389" s="27" t="str">
        <f t="array" ref="CE389">_xlfn.TEXTJOIN("",TRUE,IF(ISERROR(FIND(ROW($1:$10)-1,CC389&amp;CD389)),ROW($1:$10)-1,""))</f>
        <v>01246789</v>
      </c>
      <c r="CF389" s="17" t="str">
        <f t="shared" ref="CF389:CF452" si="219">IF(CC389&lt;&gt;"","邻","孤")&amp;IF(CD389&lt;&gt;"","传","孤")&amp;"孤"</f>
        <v>邻孤孤</v>
      </c>
      <c r="CG389" s="22" t="str">
        <f t="shared" ref="CG389:CG452" si="220">IF(S389=0,9,S389-1)&amp;""&amp;IF(S389=9,0,S389+1)</f>
        <v>35</v>
      </c>
      <c r="CH389" s="22" t="str">
        <f t="array" ref="CH389">_xlfn.TEXTJOIN("",TRUE,IF(ISNUMBER(FIND(MID(CG388&amp;S388,ROW($1:$4),1),CG389&amp;S389)),MID(CG388&amp;S388,ROW($1:$4),1),""))</f>
        <v>43</v>
      </c>
      <c r="CI389" s="22" t="str">
        <f t="array" ref="CI389">_xlfn.TEXTJOIN("",TRUE,IF(ISERROR(FIND(ROW($1:$10)-1,CG389&amp;CH389)),ROW($1:$10)-1,""))</f>
        <v>0126789</v>
      </c>
      <c r="CJ389" s="28" t="str">
        <f t="shared" ref="CJ389:CJ452" si="221">IF(CG389&lt;&gt;"","邻","孤")&amp;IF(CH389&lt;&gt;"","传","孤")&amp;"孤"</f>
        <v>邻传孤</v>
      </c>
    </row>
    <row r="390" spans="1:88">
      <c r="A390" s="32">
        <v>2025165</v>
      </c>
      <c r="B390" s="8" t="s">
        <v>333</v>
      </c>
      <c r="C390" s="49">
        <f t="shared" si="200"/>
        <v>15</v>
      </c>
      <c r="D390" s="50">
        <f t="shared" si="201"/>
        <v>5</v>
      </c>
      <c r="E390" s="51">
        <f t="shared" si="207"/>
        <v>5</v>
      </c>
      <c r="F390" s="52">
        <f>MAX(MID(B390,{1,2,3},1)*1)-MIN(MID(B390,{1,2,3},1)*1)</f>
        <v>9</v>
      </c>
      <c r="G390" s="104">
        <v>0</v>
      </c>
      <c r="H390" s="104">
        <v>1</v>
      </c>
      <c r="I390" s="104">
        <v>2</v>
      </c>
      <c r="J390" s="104">
        <v>3</v>
      </c>
      <c r="K390" s="104">
        <v>4</v>
      </c>
      <c r="L390" s="104">
        <v>5</v>
      </c>
      <c r="M390" s="104">
        <v>6</v>
      </c>
      <c r="N390" s="104">
        <v>7</v>
      </c>
      <c r="O390" s="104">
        <v>8</v>
      </c>
      <c r="P390" s="104">
        <v>9</v>
      </c>
      <c r="Q390" s="53">
        <f t="shared" si="202"/>
        <v>6</v>
      </c>
      <c r="R390" s="53">
        <f t="shared" si="203"/>
        <v>3</v>
      </c>
      <c r="S390" s="53">
        <f t="shared" si="204"/>
        <v>9</v>
      </c>
      <c r="T390" s="101">
        <f t="shared" si="208"/>
        <v>18</v>
      </c>
      <c r="U390" s="15" t="str">
        <f>_xlfn.TEXTJOIN(", ",TRUE,ABS(MID(B390,{1,1,2},1)-MID(B390,{2,3,3},1)))</f>
        <v>6, 3, 9</v>
      </c>
      <c r="V390" s="54">
        <v>0</v>
      </c>
      <c r="W390" s="54">
        <v>1</v>
      </c>
      <c r="X390" s="54">
        <v>2</v>
      </c>
      <c r="Y390" s="54">
        <v>3</v>
      </c>
      <c r="Z390" s="54">
        <v>4</v>
      </c>
      <c r="AA390" s="54">
        <v>5</v>
      </c>
      <c r="AB390" s="54">
        <v>6</v>
      </c>
      <c r="AC390" s="54">
        <v>7</v>
      </c>
      <c r="AD390" s="54">
        <v>8</v>
      </c>
      <c r="AE390" s="54">
        <v>9</v>
      </c>
      <c r="AF390" s="55">
        <v>0</v>
      </c>
      <c r="AG390" s="55">
        <v>1</v>
      </c>
      <c r="AH390" s="55">
        <v>2</v>
      </c>
      <c r="AI390" s="55">
        <v>3</v>
      </c>
      <c r="AJ390" s="55">
        <v>4</v>
      </c>
      <c r="AK390" s="55">
        <v>5</v>
      </c>
      <c r="AL390" s="55">
        <v>6</v>
      </c>
      <c r="AM390" s="55">
        <v>7</v>
      </c>
      <c r="AN390" s="55">
        <v>8</v>
      </c>
      <c r="AO390" s="55">
        <v>9</v>
      </c>
      <c r="AP390" s="105">
        <v>0</v>
      </c>
      <c r="AQ390" s="105">
        <v>1</v>
      </c>
      <c r="AR390" s="105">
        <v>2</v>
      </c>
      <c r="AS390" s="105">
        <v>3</v>
      </c>
      <c r="AT390" s="105">
        <v>4</v>
      </c>
      <c r="AU390" s="105">
        <v>5</v>
      </c>
      <c r="AV390" s="105">
        <v>6</v>
      </c>
      <c r="AW390" s="105">
        <v>7</v>
      </c>
      <c r="AX390" s="105">
        <v>8</v>
      </c>
      <c r="AY390" s="105">
        <v>9</v>
      </c>
      <c r="AZ390" s="56">
        <v>0</v>
      </c>
      <c r="BA390" s="56">
        <v>1</v>
      </c>
      <c r="BB390" s="56">
        <v>2</v>
      </c>
      <c r="BC390" s="56">
        <v>3</v>
      </c>
      <c r="BD390" s="56">
        <v>4</v>
      </c>
      <c r="BE390" s="56">
        <v>5</v>
      </c>
      <c r="BF390" s="56">
        <v>6</v>
      </c>
      <c r="BG390" s="56">
        <v>7</v>
      </c>
      <c r="BH390" s="56">
        <v>8</v>
      </c>
      <c r="BI390" s="56">
        <v>9</v>
      </c>
      <c r="BJ390" s="57" t="str">
        <f t="shared" si="209"/>
        <v>松散型</v>
      </c>
      <c r="BK390" s="13">
        <f t="shared" si="205"/>
        <v>3</v>
      </c>
      <c r="BL390" s="13">
        <f t="shared" si="206"/>
        <v>9</v>
      </c>
      <c r="BM390" s="18" t="str">
        <f t="shared" si="211"/>
        <v/>
      </c>
      <c r="BN390" s="19" t="str">
        <f t="shared" si="212"/>
        <v/>
      </c>
      <c r="BO390" s="19" t="str">
        <f t="array" ref="BO390">_xlfn.TEXTJOIN("",TRUE,IF(ISERROR(FIND(ROW($1:$10)-1,BM390&amp;BN390)),ROW($1:$10)-1,""))</f>
        <v>0123456789</v>
      </c>
      <c r="BP390" s="20" t="str">
        <f t="shared" si="213"/>
        <v>中中中</v>
      </c>
      <c r="BQ390" s="21" t="str">
        <f t="shared" si="189"/>
        <v/>
      </c>
      <c r="BR390" s="21">
        <f t="shared" ref="BR390:BR453" si="222">IF(COUNTIF($Q388:$S388,R390)&gt;0,R390,"")</f>
        <v>3</v>
      </c>
      <c r="BS390" s="21" t="str">
        <f t="array" ref="BS390">_xlfn.TEXTJOIN("",TRUE,IF(ISERROR(FIND(ROW($1:$10)-1,BQ390&amp;BR390)),ROW($1:$10)-1,""))</f>
        <v>012456789</v>
      </c>
      <c r="BT390" s="20" t="str">
        <f t="shared" si="214"/>
        <v>中隔中</v>
      </c>
      <c r="BU390" s="22" t="str">
        <f t="shared" si="215"/>
        <v/>
      </c>
      <c r="BV390" s="22" t="str">
        <f t="shared" ref="BV390:BV453" si="223">IF(COUNTIF($Q388:$S388,S390)&gt;0,S390,"")</f>
        <v/>
      </c>
      <c r="BW390" s="22" t="str">
        <f t="array" ref="BW390">_xlfn.TEXTJOIN("",TRUE,IF(ISERROR(FIND(ROW($1:$10)-1,BU390&amp;BV390)),ROW($1:$10)-1,""))</f>
        <v>0123456789</v>
      </c>
      <c r="BX390" s="20" t="str">
        <f t="shared" si="216"/>
        <v>中中中</v>
      </c>
      <c r="BY390" s="23" t="str">
        <f t="shared" si="210"/>
        <v>57</v>
      </c>
      <c r="BZ390" s="24" t="str">
        <f t="array" ref="BZ390">_xlfn.TEXTJOIN("",TRUE,IF(ISNUMBER(FIND(MID(BY389&amp;Q389,ROW($1:$4),1),BY390&amp;Q390)),MID(BY389&amp;Q389,ROW($1:$4),1),""))</f>
        <v/>
      </c>
      <c r="CA390" s="25" t="str">
        <f t="array" ref="CA390">_xlfn.TEXTJOIN("",TRUE,IF(ISERROR(FIND(ROW($1:$10)-1,BY390&amp;BZ390)),ROW($1:$10)-1,""))</f>
        <v>01234689</v>
      </c>
      <c r="CB390" s="26" t="str">
        <f t="shared" si="217"/>
        <v>邻孤孤</v>
      </c>
      <c r="CC390" s="27" t="str">
        <f t="shared" si="218"/>
        <v>24</v>
      </c>
      <c r="CD390" s="27" t="str">
        <f t="array" ref="CD390">_xlfn.TEXTJOIN("",TRUE,IF(ISNUMBER(FIND(MID(CC389&amp;R389,ROW($1:$4),1),CC390&amp;R390)),MID(CC389&amp;R389,ROW($1:$4),1),""))</f>
        <v>34</v>
      </c>
      <c r="CE390" s="27" t="str">
        <f t="array" ref="CE390">_xlfn.TEXTJOIN("",TRUE,IF(ISERROR(FIND(ROW($1:$10)-1,CC390&amp;CD390)),ROW($1:$10)-1,""))</f>
        <v>0156789</v>
      </c>
      <c r="CF390" s="17" t="str">
        <f t="shared" si="219"/>
        <v>邻传孤</v>
      </c>
      <c r="CG390" s="22" t="str">
        <f t="shared" si="220"/>
        <v>80</v>
      </c>
      <c r="CH390" s="22" t="str">
        <f t="array" ref="CH390">_xlfn.TEXTJOIN("",TRUE,IF(ISNUMBER(FIND(MID(CG389&amp;S389,ROW($1:$4),1),CG390&amp;S390)),MID(CG389&amp;S389,ROW($1:$4),1),""))</f>
        <v/>
      </c>
      <c r="CI390" s="22" t="str">
        <f t="array" ref="CI390">_xlfn.TEXTJOIN("",TRUE,IF(ISERROR(FIND(ROW($1:$10)-1,CG390&amp;CH390)),ROW($1:$10)-1,""))</f>
        <v>12345679</v>
      </c>
      <c r="CJ390" s="28" t="str">
        <f t="shared" si="221"/>
        <v>邻孤孤</v>
      </c>
    </row>
    <row r="391" spans="1:88">
      <c r="A391" s="32">
        <v>2025166</v>
      </c>
      <c r="B391" s="8" t="s">
        <v>334</v>
      </c>
      <c r="C391" s="49">
        <f t="shared" si="200"/>
        <v>16</v>
      </c>
      <c r="D391" s="50">
        <f t="shared" si="201"/>
        <v>6</v>
      </c>
      <c r="E391" s="51">
        <f t="shared" si="207"/>
        <v>5.3333333333333304</v>
      </c>
      <c r="F391" s="52">
        <f>MAX(MID(B391,{1,2,3},1)*1)-MIN(MID(B391,{1,2,3},1)*1)</f>
        <v>8</v>
      </c>
      <c r="G391" s="104">
        <v>0</v>
      </c>
      <c r="H391" s="104">
        <v>1</v>
      </c>
      <c r="I391" s="104">
        <v>2</v>
      </c>
      <c r="J391" s="104">
        <v>3</v>
      </c>
      <c r="K391" s="104">
        <v>4</v>
      </c>
      <c r="L391" s="104">
        <v>5</v>
      </c>
      <c r="M391" s="104">
        <v>6</v>
      </c>
      <c r="N391" s="104">
        <v>7</v>
      </c>
      <c r="O391" s="104">
        <v>8</v>
      </c>
      <c r="P391" s="104">
        <v>9</v>
      </c>
      <c r="Q391" s="53">
        <f t="shared" si="202"/>
        <v>8</v>
      </c>
      <c r="R391" s="53">
        <f t="shared" si="203"/>
        <v>0</v>
      </c>
      <c r="S391" s="53">
        <f t="shared" si="204"/>
        <v>8</v>
      </c>
      <c r="T391" s="101">
        <f t="shared" si="208"/>
        <v>16</v>
      </c>
      <c r="U391" s="15" t="str">
        <f>_xlfn.TEXTJOIN(", ",TRUE,ABS(MID(B391,{1,1,2},1)-MID(B391,{2,3,3},1)))</f>
        <v>8, 0, 8</v>
      </c>
      <c r="V391" s="54">
        <v>0</v>
      </c>
      <c r="W391" s="54">
        <v>1</v>
      </c>
      <c r="X391" s="54">
        <v>2</v>
      </c>
      <c r="Y391" s="54">
        <v>3</v>
      </c>
      <c r="Z391" s="54">
        <v>4</v>
      </c>
      <c r="AA391" s="54">
        <v>5</v>
      </c>
      <c r="AB391" s="54">
        <v>6</v>
      </c>
      <c r="AC391" s="54">
        <v>7</v>
      </c>
      <c r="AD391" s="54">
        <v>8</v>
      </c>
      <c r="AE391" s="54">
        <v>9</v>
      </c>
      <c r="AF391" s="55">
        <v>0</v>
      </c>
      <c r="AG391" s="55">
        <v>1</v>
      </c>
      <c r="AH391" s="55">
        <v>2</v>
      </c>
      <c r="AI391" s="55">
        <v>3</v>
      </c>
      <c r="AJ391" s="55">
        <v>4</v>
      </c>
      <c r="AK391" s="55">
        <v>5</v>
      </c>
      <c r="AL391" s="55">
        <v>6</v>
      </c>
      <c r="AM391" s="55">
        <v>7</v>
      </c>
      <c r="AN391" s="55">
        <v>8</v>
      </c>
      <c r="AO391" s="55">
        <v>9</v>
      </c>
      <c r="AP391" s="105">
        <v>0</v>
      </c>
      <c r="AQ391" s="105">
        <v>1</v>
      </c>
      <c r="AR391" s="105">
        <v>2</v>
      </c>
      <c r="AS391" s="105">
        <v>3</v>
      </c>
      <c r="AT391" s="105">
        <v>4</v>
      </c>
      <c r="AU391" s="105">
        <v>5</v>
      </c>
      <c r="AV391" s="105">
        <v>6</v>
      </c>
      <c r="AW391" s="105">
        <v>7</v>
      </c>
      <c r="AX391" s="105">
        <v>8</v>
      </c>
      <c r="AY391" s="105">
        <v>9</v>
      </c>
      <c r="AZ391" s="56">
        <v>0</v>
      </c>
      <c r="BA391" s="56">
        <v>1</v>
      </c>
      <c r="BB391" s="56">
        <v>2</v>
      </c>
      <c r="BC391" s="56">
        <v>3</v>
      </c>
      <c r="BD391" s="56">
        <v>4</v>
      </c>
      <c r="BE391" s="56">
        <v>5</v>
      </c>
      <c r="BF391" s="56">
        <v>6</v>
      </c>
      <c r="BG391" s="56">
        <v>7</v>
      </c>
      <c r="BH391" s="56">
        <v>8</v>
      </c>
      <c r="BI391" s="56">
        <v>9</v>
      </c>
      <c r="BJ391" s="57" t="str">
        <f t="shared" si="209"/>
        <v>松散型</v>
      </c>
      <c r="BK391" s="13">
        <f t="shared" si="205"/>
        <v>0</v>
      </c>
      <c r="BL391" s="13">
        <f t="shared" si="206"/>
        <v>8</v>
      </c>
      <c r="BM391" s="18" t="str">
        <f t="shared" si="211"/>
        <v/>
      </c>
      <c r="BN391" s="19" t="str">
        <f t="shared" si="212"/>
        <v/>
      </c>
      <c r="BO391" s="19" t="str">
        <f t="array" ref="BO391">_xlfn.TEXTJOIN("",TRUE,IF(ISERROR(FIND(ROW($1:$10)-1,BM391&amp;BN391)),ROW($1:$10)-1,""))</f>
        <v>0123456789</v>
      </c>
      <c r="BP391" s="20" t="str">
        <f t="shared" si="213"/>
        <v>中中中</v>
      </c>
      <c r="BQ391" s="21" t="str">
        <f t="shared" si="189"/>
        <v/>
      </c>
      <c r="BR391" s="21">
        <f t="shared" si="222"/>
        <v>0</v>
      </c>
      <c r="BS391" s="21" t="str">
        <f t="array" ref="BS391">_xlfn.TEXTJOIN("",TRUE,IF(ISERROR(FIND(ROW($1:$10)-1,BQ391&amp;BR391)),ROW($1:$10)-1,""))</f>
        <v>123456789</v>
      </c>
      <c r="BT391" s="20" t="str">
        <f t="shared" si="214"/>
        <v>中隔中</v>
      </c>
      <c r="BU391" s="22" t="str">
        <f t="shared" si="215"/>
        <v/>
      </c>
      <c r="BV391" s="22" t="str">
        <f t="shared" si="223"/>
        <v/>
      </c>
      <c r="BW391" s="22" t="str">
        <f t="array" ref="BW391">_xlfn.TEXTJOIN("",TRUE,IF(ISERROR(FIND(ROW($1:$10)-1,BU391&amp;BV391)),ROW($1:$10)-1,""))</f>
        <v>0123456789</v>
      </c>
      <c r="BX391" s="20" t="str">
        <f t="shared" si="216"/>
        <v>中中中</v>
      </c>
      <c r="BY391" s="23" t="str">
        <f t="shared" si="210"/>
        <v>79</v>
      </c>
      <c r="BZ391" s="24" t="str">
        <f t="array" ref="BZ391">_xlfn.TEXTJOIN("",TRUE,IF(ISNUMBER(FIND(MID(BY390&amp;Q390,ROW($1:$4),1),BY391&amp;Q391)),MID(BY390&amp;Q390,ROW($1:$4),1),""))</f>
        <v>7</v>
      </c>
      <c r="CA391" s="25" t="str">
        <f t="array" ref="CA391">_xlfn.TEXTJOIN("",TRUE,IF(ISERROR(FIND(ROW($1:$10)-1,BY391&amp;BZ391)),ROW($1:$10)-1,""))</f>
        <v>01234568</v>
      </c>
      <c r="CB391" s="26" t="str">
        <f t="shared" si="217"/>
        <v>邻传孤</v>
      </c>
      <c r="CC391" s="27" t="str">
        <f t="shared" si="218"/>
        <v>91</v>
      </c>
      <c r="CD391" s="27" t="str">
        <f t="array" ref="CD391">_xlfn.TEXTJOIN("",TRUE,IF(ISNUMBER(FIND(MID(CC390&amp;R390,ROW($1:$4),1),CC391&amp;R391)),MID(CC390&amp;R390,ROW($1:$4),1),""))</f>
        <v/>
      </c>
      <c r="CE391" s="27" t="str">
        <f t="array" ref="CE391">_xlfn.TEXTJOIN("",TRUE,IF(ISERROR(FIND(ROW($1:$10)-1,CC391&amp;CD391)),ROW($1:$10)-1,""))</f>
        <v>02345678</v>
      </c>
      <c r="CF391" s="17" t="str">
        <f t="shared" si="219"/>
        <v>邻孤孤</v>
      </c>
      <c r="CG391" s="22" t="str">
        <f t="shared" si="220"/>
        <v>79</v>
      </c>
      <c r="CH391" s="22" t="str">
        <f t="array" ref="CH391">_xlfn.TEXTJOIN("",TRUE,IF(ISNUMBER(FIND(MID(CG390&amp;S390,ROW($1:$4),1),CG391&amp;S391)),MID(CG390&amp;S390,ROW($1:$4),1),""))</f>
        <v>89</v>
      </c>
      <c r="CI391" s="22" t="str">
        <f t="array" ref="CI391">_xlfn.TEXTJOIN("",TRUE,IF(ISERROR(FIND(ROW($1:$10)-1,CG391&amp;CH391)),ROW($1:$10)-1,""))</f>
        <v>0123456</v>
      </c>
      <c r="CJ391" s="28" t="str">
        <f t="shared" si="221"/>
        <v>邻传孤</v>
      </c>
    </row>
    <row r="392" spans="1:88">
      <c r="A392" s="32">
        <v>2025167</v>
      </c>
      <c r="B392" s="8" t="s">
        <v>335</v>
      </c>
      <c r="C392" s="49">
        <f t="shared" si="200"/>
        <v>9</v>
      </c>
      <c r="D392" s="50">
        <f t="shared" si="201"/>
        <v>9</v>
      </c>
      <c r="E392" s="51">
        <f t="shared" si="207"/>
        <v>3</v>
      </c>
      <c r="F392" s="52">
        <f>MAX(MID(B392,{1,2,3},1)*1)-MIN(MID(B392,{1,2,3},1)*1)</f>
        <v>7</v>
      </c>
      <c r="G392" s="104">
        <v>0</v>
      </c>
      <c r="H392" s="104">
        <v>1</v>
      </c>
      <c r="I392" s="104">
        <v>2</v>
      </c>
      <c r="J392" s="104">
        <v>3</v>
      </c>
      <c r="K392" s="104">
        <v>4</v>
      </c>
      <c r="L392" s="104">
        <v>5</v>
      </c>
      <c r="M392" s="104">
        <v>6</v>
      </c>
      <c r="N392" s="104">
        <v>7</v>
      </c>
      <c r="O392" s="104">
        <v>8</v>
      </c>
      <c r="P392" s="104">
        <v>9</v>
      </c>
      <c r="Q392" s="53">
        <f t="shared" si="202"/>
        <v>7</v>
      </c>
      <c r="R392" s="53">
        <f t="shared" si="203"/>
        <v>5</v>
      </c>
      <c r="S392" s="53">
        <f t="shared" si="204"/>
        <v>2</v>
      </c>
      <c r="T392" s="101">
        <f t="shared" si="208"/>
        <v>14</v>
      </c>
      <c r="U392" s="15" t="str">
        <f>_xlfn.TEXTJOIN(", ",TRUE,ABS(MID(B392,{1,1,2},1)-MID(B392,{2,3,3},1)))</f>
        <v>7, 5, 2</v>
      </c>
      <c r="V392" s="54">
        <v>0</v>
      </c>
      <c r="W392" s="54">
        <v>1</v>
      </c>
      <c r="X392" s="54">
        <v>2</v>
      </c>
      <c r="Y392" s="54">
        <v>3</v>
      </c>
      <c r="Z392" s="54">
        <v>4</v>
      </c>
      <c r="AA392" s="54">
        <v>5</v>
      </c>
      <c r="AB392" s="54">
        <v>6</v>
      </c>
      <c r="AC392" s="54">
        <v>7</v>
      </c>
      <c r="AD392" s="54">
        <v>8</v>
      </c>
      <c r="AE392" s="54">
        <v>9</v>
      </c>
      <c r="AF392" s="55">
        <v>0</v>
      </c>
      <c r="AG392" s="55">
        <v>1</v>
      </c>
      <c r="AH392" s="55">
        <v>2</v>
      </c>
      <c r="AI392" s="55">
        <v>3</v>
      </c>
      <c r="AJ392" s="55">
        <v>4</v>
      </c>
      <c r="AK392" s="55">
        <v>5</v>
      </c>
      <c r="AL392" s="55">
        <v>6</v>
      </c>
      <c r="AM392" s="55">
        <v>7</v>
      </c>
      <c r="AN392" s="55">
        <v>8</v>
      </c>
      <c r="AO392" s="55">
        <v>9</v>
      </c>
      <c r="AP392" s="105">
        <v>0</v>
      </c>
      <c r="AQ392" s="105">
        <v>1</v>
      </c>
      <c r="AR392" s="105">
        <v>2</v>
      </c>
      <c r="AS392" s="105">
        <v>3</v>
      </c>
      <c r="AT392" s="105">
        <v>4</v>
      </c>
      <c r="AU392" s="105">
        <v>5</v>
      </c>
      <c r="AV392" s="105">
        <v>6</v>
      </c>
      <c r="AW392" s="105">
        <v>7</v>
      </c>
      <c r="AX392" s="105">
        <v>8</v>
      </c>
      <c r="AY392" s="105">
        <v>9</v>
      </c>
      <c r="AZ392" s="56">
        <v>0</v>
      </c>
      <c r="BA392" s="56">
        <v>1</v>
      </c>
      <c r="BB392" s="56">
        <v>2</v>
      </c>
      <c r="BC392" s="56">
        <v>3</v>
      </c>
      <c r="BD392" s="56">
        <v>4</v>
      </c>
      <c r="BE392" s="56">
        <v>5</v>
      </c>
      <c r="BF392" s="56">
        <v>6</v>
      </c>
      <c r="BG392" s="56">
        <v>7</v>
      </c>
      <c r="BH392" s="56">
        <v>8</v>
      </c>
      <c r="BI392" s="56">
        <v>9</v>
      </c>
      <c r="BJ392" s="57" t="str">
        <f t="shared" si="209"/>
        <v>松散型</v>
      </c>
      <c r="BK392" s="13">
        <f t="shared" si="205"/>
        <v>2</v>
      </c>
      <c r="BL392" s="13">
        <f t="shared" si="206"/>
        <v>7</v>
      </c>
      <c r="BM392" s="18" t="str">
        <f t="shared" si="211"/>
        <v/>
      </c>
      <c r="BN392" s="19" t="str">
        <f t="shared" si="212"/>
        <v/>
      </c>
      <c r="BO392" s="19" t="str">
        <f t="array" ref="BO392">_xlfn.TEXTJOIN("",TRUE,IF(ISERROR(FIND(ROW($1:$10)-1,BM392&amp;BN392)),ROW($1:$10)-1,""))</f>
        <v>0123456789</v>
      </c>
      <c r="BP392" s="20" t="str">
        <f t="shared" si="213"/>
        <v>中中中</v>
      </c>
      <c r="BQ392" s="21" t="str">
        <f t="shared" ref="BQ392:BQ455" si="224">IF(COUNTIF($Q391:$S391,R392)&gt;0,R392,"")</f>
        <v/>
      </c>
      <c r="BR392" s="21" t="str">
        <f t="shared" si="222"/>
        <v/>
      </c>
      <c r="BS392" s="21" t="str">
        <f t="array" ref="BS392">_xlfn.TEXTJOIN("",TRUE,IF(ISERROR(FIND(ROW($1:$10)-1,BQ392&amp;BR392)),ROW($1:$10)-1,""))</f>
        <v>0123456789</v>
      </c>
      <c r="BT392" s="20" t="str">
        <f t="shared" si="214"/>
        <v>中中中</v>
      </c>
      <c r="BU392" s="22" t="str">
        <f t="shared" si="215"/>
        <v/>
      </c>
      <c r="BV392" s="22" t="str">
        <f t="shared" si="223"/>
        <v/>
      </c>
      <c r="BW392" s="22" t="str">
        <f t="array" ref="BW392">_xlfn.TEXTJOIN("",TRUE,IF(ISERROR(FIND(ROW($1:$10)-1,BU392&amp;BV392)),ROW($1:$10)-1,""))</f>
        <v>0123456789</v>
      </c>
      <c r="BX392" s="20" t="str">
        <f t="shared" si="216"/>
        <v>中中中</v>
      </c>
      <c r="BY392" s="23" t="str">
        <f t="shared" si="210"/>
        <v>68</v>
      </c>
      <c r="BZ392" s="24" t="str">
        <f t="array" ref="BZ392">_xlfn.TEXTJOIN("",TRUE,IF(ISNUMBER(FIND(MID(BY391&amp;Q391,ROW($1:$4),1),BY392&amp;Q392)),MID(BY391&amp;Q391,ROW($1:$4),1),""))</f>
        <v>78</v>
      </c>
      <c r="CA392" s="25" t="str">
        <f t="array" ref="CA392">_xlfn.TEXTJOIN("",TRUE,IF(ISERROR(FIND(ROW($1:$10)-1,BY392&amp;BZ392)),ROW($1:$10)-1,""))</f>
        <v>0123459</v>
      </c>
      <c r="CB392" s="26" t="str">
        <f t="shared" si="217"/>
        <v>邻传孤</v>
      </c>
      <c r="CC392" s="27" t="str">
        <f t="shared" si="218"/>
        <v>46</v>
      </c>
      <c r="CD392" s="27" t="str">
        <f t="array" ref="CD392">_xlfn.TEXTJOIN("",TRUE,IF(ISNUMBER(FIND(MID(CC391&amp;R391,ROW($1:$4),1),CC392&amp;R392)),MID(CC391&amp;R391,ROW($1:$4),1),""))</f>
        <v/>
      </c>
      <c r="CE392" s="27" t="str">
        <f t="array" ref="CE392">_xlfn.TEXTJOIN("",TRUE,IF(ISERROR(FIND(ROW($1:$10)-1,CC392&amp;CD392)),ROW($1:$10)-1,""))</f>
        <v>01235789</v>
      </c>
      <c r="CF392" s="17" t="str">
        <f t="shared" si="219"/>
        <v>邻孤孤</v>
      </c>
      <c r="CG392" s="22" t="str">
        <f t="shared" si="220"/>
        <v>13</v>
      </c>
      <c r="CH392" s="22" t="str">
        <f t="array" ref="CH392">_xlfn.TEXTJOIN("",TRUE,IF(ISNUMBER(FIND(MID(CG391&amp;S391,ROW($1:$4),1),CG392&amp;S392)),MID(CG391&amp;S391,ROW($1:$4),1),""))</f>
        <v/>
      </c>
      <c r="CI392" s="22" t="str">
        <f t="array" ref="CI392">_xlfn.TEXTJOIN("",TRUE,IF(ISERROR(FIND(ROW($1:$10)-1,CG392&amp;CH392)),ROW($1:$10)-1,""))</f>
        <v>02456789</v>
      </c>
      <c r="CJ392" s="28" t="str">
        <f t="shared" si="221"/>
        <v>邻孤孤</v>
      </c>
    </row>
    <row r="393" spans="1:88">
      <c r="A393" s="32">
        <v>2025168</v>
      </c>
      <c r="B393" s="8" t="s">
        <v>336</v>
      </c>
      <c r="C393" s="49">
        <f t="shared" si="200"/>
        <v>10</v>
      </c>
      <c r="D393" s="50">
        <f t="shared" si="201"/>
        <v>0</v>
      </c>
      <c r="E393" s="51">
        <f t="shared" si="207"/>
        <v>3.3333333333333299</v>
      </c>
      <c r="F393" s="52">
        <f>MAX(MID(B393,{1,2,3},1)*1)-MIN(MID(B393,{1,2,3},1)*1)</f>
        <v>4</v>
      </c>
      <c r="G393" s="104">
        <v>0</v>
      </c>
      <c r="H393" s="104">
        <v>1</v>
      </c>
      <c r="I393" s="104">
        <v>2</v>
      </c>
      <c r="J393" s="104">
        <v>3</v>
      </c>
      <c r="K393" s="104">
        <v>4</v>
      </c>
      <c r="L393" s="104">
        <v>5</v>
      </c>
      <c r="M393" s="104">
        <v>6</v>
      </c>
      <c r="N393" s="104">
        <v>7</v>
      </c>
      <c r="O393" s="104">
        <v>8</v>
      </c>
      <c r="P393" s="104">
        <v>9</v>
      </c>
      <c r="Q393" s="53">
        <f t="shared" si="202"/>
        <v>4</v>
      </c>
      <c r="R393" s="53">
        <f t="shared" si="203"/>
        <v>1</v>
      </c>
      <c r="S393" s="53">
        <f t="shared" si="204"/>
        <v>3</v>
      </c>
      <c r="T393" s="101">
        <f t="shared" si="208"/>
        <v>8</v>
      </c>
      <c r="U393" s="15" t="str">
        <f>_xlfn.TEXTJOIN(", ",TRUE,ABS(MID(B393,{1,1,2},1)-MID(B393,{2,3,3},1)))</f>
        <v>4, 1, 3</v>
      </c>
      <c r="V393" s="54">
        <v>0</v>
      </c>
      <c r="W393" s="54">
        <v>1</v>
      </c>
      <c r="X393" s="54">
        <v>2</v>
      </c>
      <c r="Y393" s="54">
        <v>3</v>
      </c>
      <c r="Z393" s="54">
        <v>4</v>
      </c>
      <c r="AA393" s="54">
        <v>5</v>
      </c>
      <c r="AB393" s="54">
        <v>6</v>
      </c>
      <c r="AC393" s="54">
        <v>7</v>
      </c>
      <c r="AD393" s="54">
        <v>8</v>
      </c>
      <c r="AE393" s="54">
        <v>9</v>
      </c>
      <c r="AF393" s="55">
        <v>0</v>
      </c>
      <c r="AG393" s="55">
        <v>1</v>
      </c>
      <c r="AH393" s="55">
        <v>2</v>
      </c>
      <c r="AI393" s="55">
        <v>3</v>
      </c>
      <c r="AJ393" s="55">
        <v>4</v>
      </c>
      <c r="AK393" s="55">
        <v>5</v>
      </c>
      <c r="AL393" s="55">
        <v>6</v>
      </c>
      <c r="AM393" s="55">
        <v>7</v>
      </c>
      <c r="AN393" s="55">
        <v>8</v>
      </c>
      <c r="AO393" s="55">
        <v>9</v>
      </c>
      <c r="AP393" s="105">
        <v>0</v>
      </c>
      <c r="AQ393" s="105">
        <v>1</v>
      </c>
      <c r="AR393" s="105">
        <v>2</v>
      </c>
      <c r="AS393" s="105">
        <v>3</v>
      </c>
      <c r="AT393" s="105">
        <v>4</v>
      </c>
      <c r="AU393" s="105">
        <v>5</v>
      </c>
      <c r="AV393" s="105">
        <v>6</v>
      </c>
      <c r="AW393" s="105">
        <v>7</v>
      </c>
      <c r="AX393" s="105">
        <v>8</v>
      </c>
      <c r="AY393" s="105">
        <v>9</v>
      </c>
      <c r="AZ393" s="56">
        <v>0</v>
      </c>
      <c r="BA393" s="56">
        <v>1</v>
      </c>
      <c r="BB393" s="56">
        <v>2</v>
      </c>
      <c r="BC393" s="56">
        <v>3</v>
      </c>
      <c r="BD393" s="56">
        <v>4</v>
      </c>
      <c r="BE393" s="56">
        <v>5</v>
      </c>
      <c r="BF393" s="56">
        <v>6</v>
      </c>
      <c r="BG393" s="56">
        <v>7</v>
      </c>
      <c r="BH393" s="56">
        <v>8</v>
      </c>
      <c r="BI393" s="56">
        <v>9</v>
      </c>
      <c r="BJ393" s="57" t="str">
        <f t="shared" si="209"/>
        <v>紧凑型</v>
      </c>
      <c r="BK393" s="13">
        <f t="shared" si="205"/>
        <v>1</v>
      </c>
      <c r="BL393" s="13">
        <f t="shared" si="206"/>
        <v>4</v>
      </c>
      <c r="BM393" s="18" t="str">
        <f t="shared" si="211"/>
        <v/>
      </c>
      <c r="BN393" s="19" t="str">
        <f t="shared" si="212"/>
        <v/>
      </c>
      <c r="BO393" s="19" t="str">
        <f t="array" ref="BO393">_xlfn.TEXTJOIN("",TRUE,IF(ISERROR(FIND(ROW($1:$10)-1,BM393&amp;BN393)),ROW($1:$10)-1,""))</f>
        <v>0123456789</v>
      </c>
      <c r="BP393" s="20" t="str">
        <f t="shared" si="213"/>
        <v>中中中</v>
      </c>
      <c r="BQ393" s="21" t="str">
        <f t="shared" si="224"/>
        <v/>
      </c>
      <c r="BR393" s="21" t="str">
        <f t="shared" si="222"/>
        <v/>
      </c>
      <c r="BS393" s="21" t="str">
        <f t="array" ref="BS393">_xlfn.TEXTJOIN("",TRUE,IF(ISERROR(FIND(ROW($1:$10)-1,BQ393&amp;BR393)),ROW($1:$10)-1,""))</f>
        <v>0123456789</v>
      </c>
      <c r="BT393" s="20" t="str">
        <f t="shared" si="214"/>
        <v>中中中</v>
      </c>
      <c r="BU393" s="22" t="str">
        <f t="shared" si="215"/>
        <v/>
      </c>
      <c r="BV393" s="22" t="str">
        <f t="shared" si="223"/>
        <v/>
      </c>
      <c r="BW393" s="22" t="str">
        <f t="array" ref="BW393">_xlfn.TEXTJOIN("",TRUE,IF(ISERROR(FIND(ROW($1:$10)-1,BU393&amp;BV393)),ROW($1:$10)-1,""))</f>
        <v>0123456789</v>
      </c>
      <c r="BX393" s="20" t="str">
        <f t="shared" si="216"/>
        <v>中中中</v>
      </c>
      <c r="BY393" s="23" t="str">
        <f t="shared" si="210"/>
        <v>35</v>
      </c>
      <c r="BZ393" s="24" t="str">
        <f t="array" ref="BZ393">_xlfn.TEXTJOIN("",TRUE,IF(ISNUMBER(FIND(MID(BY392&amp;Q392,ROW($1:$4),1),BY393&amp;Q393)),MID(BY392&amp;Q392,ROW($1:$4),1),""))</f>
        <v/>
      </c>
      <c r="CA393" s="25" t="str">
        <f t="array" ref="CA393">_xlfn.TEXTJOIN("",TRUE,IF(ISERROR(FIND(ROW($1:$10)-1,BY393&amp;BZ393)),ROW($1:$10)-1,""))</f>
        <v>01246789</v>
      </c>
      <c r="CB393" s="26" t="str">
        <f t="shared" si="217"/>
        <v>邻孤孤</v>
      </c>
      <c r="CC393" s="27" t="str">
        <f t="shared" si="218"/>
        <v>02</v>
      </c>
      <c r="CD393" s="27" t="str">
        <f t="array" ref="CD393">_xlfn.TEXTJOIN("",TRUE,IF(ISNUMBER(FIND(MID(CC392&amp;R392,ROW($1:$4),1),CC393&amp;R393)),MID(CC392&amp;R392,ROW($1:$4),1),""))</f>
        <v/>
      </c>
      <c r="CE393" s="27" t="str">
        <f t="array" ref="CE393">_xlfn.TEXTJOIN("",TRUE,IF(ISERROR(FIND(ROW($1:$10)-1,CC393&amp;CD393)),ROW($1:$10)-1,""))</f>
        <v>13456789</v>
      </c>
      <c r="CF393" s="17" t="str">
        <f t="shared" si="219"/>
        <v>邻孤孤</v>
      </c>
      <c r="CG393" s="22" t="str">
        <f t="shared" si="220"/>
        <v>24</v>
      </c>
      <c r="CH393" s="22" t="str">
        <f t="array" ref="CH393">_xlfn.TEXTJOIN("",TRUE,IF(ISNUMBER(FIND(MID(CG392&amp;S392,ROW($1:$4),1),CG393&amp;S393)),MID(CG392&amp;S392,ROW($1:$4),1),""))</f>
        <v>32</v>
      </c>
      <c r="CI393" s="22" t="str">
        <f t="array" ref="CI393">_xlfn.TEXTJOIN("",TRUE,IF(ISERROR(FIND(ROW($1:$10)-1,CG393&amp;CH393)),ROW($1:$10)-1,""))</f>
        <v>0156789</v>
      </c>
      <c r="CJ393" s="28" t="str">
        <f t="shared" si="221"/>
        <v>邻传孤</v>
      </c>
    </row>
    <row r="394" spans="1:88">
      <c r="A394" s="32">
        <v>2025169</v>
      </c>
      <c r="B394" s="8" t="s">
        <v>337</v>
      </c>
      <c r="C394" s="49">
        <f t="shared" si="200"/>
        <v>24</v>
      </c>
      <c r="D394" s="50">
        <f t="shared" si="201"/>
        <v>4</v>
      </c>
      <c r="E394" s="51">
        <f t="shared" si="207"/>
        <v>8</v>
      </c>
      <c r="F394" s="52">
        <f>MAX(MID(B394,{1,2,3},1)*1)-MIN(MID(B394,{1,2,3},1)*1)</f>
        <v>2</v>
      </c>
      <c r="G394" s="104">
        <v>0</v>
      </c>
      <c r="H394" s="104">
        <v>1</v>
      </c>
      <c r="I394" s="104">
        <v>2</v>
      </c>
      <c r="J394" s="104">
        <v>3</v>
      </c>
      <c r="K394" s="104">
        <v>4</v>
      </c>
      <c r="L394" s="104">
        <v>5</v>
      </c>
      <c r="M394" s="104">
        <v>6</v>
      </c>
      <c r="N394" s="104">
        <v>7</v>
      </c>
      <c r="O394" s="104">
        <v>8</v>
      </c>
      <c r="P394" s="104">
        <v>9</v>
      </c>
      <c r="Q394" s="53">
        <f t="shared" si="202"/>
        <v>2</v>
      </c>
      <c r="R394" s="53">
        <f t="shared" si="203"/>
        <v>1</v>
      </c>
      <c r="S394" s="53">
        <f t="shared" si="204"/>
        <v>1</v>
      </c>
      <c r="T394" s="101">
        <f t="shared" si="208"/>
        <v>4</v>
      </c>
      <c r="U394" s="15" t="str">
        <f>_xlfn.TEXTJOIN(", ",TRUE,ABS(MID(B394,{1,1,2},1)-MID(B394,{2,3,3},1)))</f>
        <v>2, 1, 1</v>
      </c>
      <c r="V394" s="54">
        <v>0</v>
      </c>
      <c r="W394" s="54">
        <v>1</v>
      </c>
      <c r="X394" s="54">
        <v>2</v>
      </c>
      <c r="Y394" s="54">
        <v>3</v>
      </c>
      <c r="Z394" s="54">
        <v>4</v>
      </c>
      <c r="AA394" s="54">
        <v>5</v>
      </c>
      <c r="AB394" s="54">
        <v>6</v>
      </c>
      <c r="AC394" s="54">
        <v>7</v>
      </c>
      <c r="AD394" s="54">
        <v>8</v>
      </c>
      <c r="AE394" s="54">
        <v>9</v>
      </c>
      <c r="AF394" s="55">
        <v>0</v>
      </c>
      <c r="AG394" s="55">
        <v>1</v>
      </c>
      <c r="AH394" s="55">
        <v>2</v>
      </c>
      <c r="AI394" s="55">
        <v>3</v>
      </c>
      <c r="AJ394" s="55">
        <v>4</v>
      </c>
      <c r="AK394" s="55">
        <v>5</v>
      </c>
      <c r="AL394" s="55">
        <v>6</v>
      </c>
      <c r="AM394" s="55">
        <v>7</v>
      </c>
      <c r="AN394" s="55">
        <v>8</v>
      </c>
      <c r="AO394" s="55">
        <v>9</v>
      </c>
      <c r="AP394" s="105">
        <v>0</v>
      </c>
      <c r="AQ394" s="105">
        <v>1</v>
      </c>
      <c r="AR394" s="105">
        <v>2</v>
      </c>
      <c r="AS394" s="105">
        <v>3</v>
      </c>
      <c r="AT394" s="105">
        <v>4</v>
      </c>
      <c r="AU394" s="105">
        <v>5</v>
      </c>
      <c r="AV394" s="105">
        <v>6</v>
      </c>
      <c r="AW394" s="105">
        <v>7</v>
      </c>
      <c r="AX394" s="105">
        <v>8</v>
      </c>
      <c r="AY394" s="105">
        <v>9</v>
      </c>
      <c r="AZ394" s="56">
        <v>0</v>
      </c>
      <c r="BA394" s="56">
        <v>1</v>
      </c>
      <c r="BB394" s="56">
        <v>2</v>
      </c>
      <c r="BC394" s="56">
        <v>3</v>
      </c>
      <c r="BD394" s="56">
        <v>4</v>
      </c>
      <c r="BE394" s="56">
        <v>5</v>
      </c>
      <c r="BF394" s="56">
        <v>6</v>
      </c>
      <c r="BG394" s="56">
        <v>7</v>
      </c>
      <c r="BH394" s="56">
        <v>8</v>
      </c>
      <c r="BI394" s="56">
        <v>9</v>
      </c>
      <c r="BJ394" s="57" t="str">
        <f t="shared" si="209"/>
        <v>紧凑型</v>
      </c>
      <c r="BK394" s="13">
        <f t="shared" si="205"/>
        <v>1</v>
      </c>
      <c r="BL394" s="13">
        <f t="shared" si="206"/>
        <v>2</v>
      </c>
      <c r="BM394" s="18" t="str">
        <f t="shared" si="211"/>
        <v/>
      </c>
      <c r="BN394" s="19">
        <f t="shared" si="212"/>
        <v>2</v>
      </c>
      <c r="BO394" s="19" t="str">
        <f t="array" ref="BO394">_xlfn.TEXTJOIN("",TRUE,IF(ISERROR(FIND(ROW($1:$10)-1,BM394&amp;BN394)),ROW($1:$10)-1,""))</f>
        <v>013456789</v>
      </c>
      <c r="BP394" s="20" t="str">
        <f t="shared" si="213"/>
        <v>中隔中</v>
      </c>
      <c r="BQ394" s="21">
        <f t="shared" si="224"/>
        <v>1</v>
      </c>
      <c r="BR394" s="21" t="str">
        <f t="shared" si="222"/>
        <v/>
      </c>
      <c r="BS394" s="21" t="str">
        <f t="array" ref="BS394">_xlfn.TEXTJOIN("",TRUE,IF(ISERROR(FIND(ROW($1:$10)-1,BQ394&amp;BR394)),ROW($1:$10)-1,""))</f>
        <v>023456789</v>
      </c>
      <c r="BT394" s="20" t="str">
        <f t="shared" si="214"/>
        <v>复中中</v>
      </c>
      <c r="BU394" s="22">
        <f t="shared" si="215"/>
        <v>1</v>
      </c>
      <c r="BV394" s="22" t="str">
        <f t="shared" si="223"/>
        <v/>
      </c>
      <c r="BW394" s="22" t="str">
        <f t="array" ref="BW394">_xlfn.TEXTJOIN("",TRUE,IF(ISERROR(FIND(ROW($1:$10)-1,BU394&amp;BV394)),ROW($1:$10)-1,""))</f>
        <v>023456789</v>
      </c>
      <c r="BX394" s="20" t="str">
        <f t="shared" si="216"/>
        <v>复中中</v>
      </c>
      <c r="BY394" s="23" t="str">
        <f t="shared" si="210"/>
        <v>13</v>
      </c>
      <c r="BZ394" s="24" t="str">
        <f t="array" ref="BZ394">_xlfn.TEXTJOIN("",TRUE,IF(ISNUMBER(FIND(MID(BY393&amp;Q393,ROW($1:$4),1),BY394&amp;Q394)),MID(BY393&amp;Q393,ROW($1:$4),1),""))</f>
        <v>3</v>
      </c>
      <c r="CA394" s="25" t="str">
        <f t="array" ref="CA394">_xlfn.TEXTJOIN("",TRUE,IF(ISERROR(FIND(ROW($1:$10)-1,BY394&amp;BZ394)),ROW($1:$10)-1,""))</f>
        <v>02456789</v>
      </c>
      <c r="CB394" s="26" t="str">
        <f t="shared" si="217"/>
        <v>邻传孤</v>
      </c>
      <c r="CC394" s="27" t="str">
        <f t="shared" si="218"/>
        <v>02</v>
      </c>
      <c r="CD394" s="27" t="str">
        <f t="array" ref="CD394">_xlfn.TEXTJOIN("",TRUE,IF(ISNUMBER(FIND(MID(CC393&amp;R393,ROW($1:$4),1),CC394&amp;R394)),MID(CC393&amp;R393,ROW($1:$4),1),""))</f>
        <v>021</v>
      </c>
      <c r="CE394" s="27" t="str">
        <f t="array" ref="CE394">_xlfn.TEXTJOIN("",TRUE,IF(ISERROR(FIND(ROW($1:$10)-1,CC394&amp;CD394)),ROW($1:$10)-1,""))</f>
        <v>3456789</v>
      </c>
      <c r="CF394" s="17" t="str">
        <f t="shared" si="219"/>
        <v>邻传孤</v>
      </c>
      <c r="CG394" s="22" t="str">
        <f t="shared" si="220"/>
        <v>02</v>
      </c>
      <c r="CH394" s="22" t="str">
        <f t="array" ref="CH394">_xlfn.TEXTJOIN("",TRUE,IF(ISNUMBER(FIND(MID(CG393&amp;S393,ROW($1:$4),1),CG394&amp;S394)),MID(CG393&amp;S393,ROW($1:$4),1),""))</f>
        <v>2</v>
      </c>
      <c r="CI394" s="22" t="str">
        <f t="array" ref="CI394">_xlfn.TEXTJOIN("",TRUE,IF(ISERROR(FIND(ROW($1:$10)-1,CG394&amp;CH394)),ROW($1:$10)-1,""))</f>
        <v>13456789</v>
      </c>
      <c r="CJ394" s="28" t="str">
        <f t="shared" si="221"/>
        <v>邻传孤</v>
      </c>
    </row>
    <row r="395" spans="1:88">
      <c r="A395" s="32">
        <v>2025170</v>
      </c>
      <c r="B395" s="8" t="s">
        <v>250</v>
      </c>
      <c r="C395" s="49">
        <f t="shared" si="200"/>
        <v>16</v>
      </c>
      <c r="D395" s="50">
        <f t="shared" si="201"/>
        <v>6</v>
      </c>
      <c r="E395" s="51">
        <f t="shared" si="207"/>
        <v>5.3333333333333304</v>
      </c>
      <c r="F395" s="52">
        <f>MAX(MID(B395,{1,2,3},1)*1)-MIN(MID(B395,{1,2,3},1)*1)</f>
        <v>3</v>
      </c>
      <c r="G395" s="104">
        <v>0</v>
      </c>
      <c r="H395" s="104">
        <v>1</v>
      </c>
      <c r="I395" s="104">
        <v>2</v>
      </c>
      <c r="J395" s="104">
        <v>3</v>
      </c>
      <c r="K395" s="104">
        <v>4</v>
      </c>
      <c r="L395" s="104">
        <v>5</v>
      </c>
      <c r="M395" s="104">
        <v>6</v>
      </c>
      <c r="N395" s="104">
        <v>7</v>
      </c>
      <c r="O395" s="104">
        <v>8</v>
      </c>
      <c r="P395" s="104">
        <v>9</v>
      </c>
      <c r="Q395" s="53">
        <f t="shared" si="202"/>
        <v>3</v>
      </c>
      <c r="R395" s="53">
        <f t="shared" si="203"/>
        <v>1</v>
      </c>
      <c r="S395" s="53">
        <f t="shared" si="204"/>
        <v>2</v>
      </c>
      <c r="T395" s="101">
        <f t="shared" si="208"/>
        <v>6</v>
      </c>
      <c r="U395" s="15" t="str">
        <f>_xlfn.TEXTJOIN(", ",TRUE,ABS(MID(B395,{1,1,2},1)-MID(B395,{2,3,3},1)))</f>
        <v>3, 1, 2</v>
      </c>
      <c r="V395" s="54">
        <v>0</v>
      </c>
      <c r="W395" s="54">
        <v>1</v>
      </c>
      <c r="X395" s="54">
        <v>2</v>
      </c>
      <c r="Y395" s="54">
        <v>3</v>
      </c>
      <c r="Z395" s="54">
        <v>4</v>
      </c>
      <c r="AA395" s="54">
        <v>5</v>
      </c>
      <c r="AB395" s="54">
        <v>6</v>
      </c>
      <c r="AC395" s="54">
        <v>7</v>
      </c>
      <c r="AD395" s="54">
        <v>8</v>
      </c>
      <c r="AE395" s="54">
        <v>9</v>
      </c>
      <c r="AF395" s="55">
        <v>0</v>
      </c>
      <c r="AG395" s="55">
        <v>1</v>
      </c>
      <c r="AH395" s="55">
        <v>2</v>
      </c>
      <c r="AI395" s="55">
        <v>3</v>
      </c>
      <c r="AJ395" s="55">
        <v>4</v>
      </c>
      <c r="AK395" s="55">
        <v>5</v>
      </c>
      <c r="AL395" s="55">
        <v>6</v>
      </c>
      <c r="AM395" s="55">
        <v>7</v>
      </c>
      <c r="AN395" s="55">
        <v>8</v>
      </c>
      <c r="AO395" s="55">
        <v>9</v>
      </c>
      <c r="AP395" s="105">
        <v>0</v>
      </c>
      <c r="AQ395" s="105">
        <v>1</v>
      </c>
      <c r="AR395" s="105">
        <v>2</v>
      </c>
      <c r="AS395" s="105">
        <v>3</v>
      </c>
      <c r="AT395" s="105">
        <v>4</v>
      </c>
      <c r="AU395" s="105">
        <v>5</v>
      </c>
      <c r="AV395" s="105">
        <v>6</v>
      </c>
      <c r="AW395" s="105">
        <v>7</v>
      </c>
      <c r="AX395" s="105">
        <v>8</v>
      </c>
      <c r="AY395" s="105">
        <v>9</v>
      </c>
      <c r="AZ395" s="56">
        <v>0</v>
      </c>
      <c r="BA395" s="56">
        <v>1</v>
      </c>
      <c r="BB395" s="56">
        <v>2</v>
      </c>
      <c r="BC395" s="56">
        <v>3</v>
      </c>
      <c r="BD395" s="56">
        <v>4</v>
      </c>
      <c r="BE395" s="56">
        <v>5</v>
      </c>
      <c r="BF395" s="56">
        <v>6</v>
      </c>
      <c r="BG395" s="56">
        <v>7</v>
      </c>
      <c r="BH395" s="56">
        <v>8</v>
      </c>
      <c r="BI395" s="56">
        <v>9</v>
      </c>
      <c r="BJ395" s="57" t="str">
        <f t="shared" si="209"/>
        <v>紧凑型</v>
      </c>
      <c r="BK395" s="13">
        <f t="shared" si="205"/>
        <v>1</v>
      </c>
      <c r="BL395" s="13">
        <f t="shared" si="206"/>
        <v>3</v>
      </c>
      <c r="BM395" s="18" t="str">
        <f t="shared" si="211"/>
        <v/>
      </c>
      <c r="BN395" s="19">
        <f t="shared" si="212"/>
        <v>3</v>
      </c>
      <c r="BO395" s="19" t="str">
        <f t="array" ref="BO395">_xlfn.TEXTJOIN("",TRUE,IF(ISERROR(FIND(ROW($1:$10)-1,BM395&amp;BN395)),ROW($1:$10)-1,""))</f>
        <v>012456789</v>
      </c>
      <c r="BP395" s="20" t="str">
        <f t="shared" si="213"/>
        <v>中隔中</v>
      </c>
      <c r="BQ395" s="21">
        <f t="shared" si="224"/>
        <v>1</v>
      </c>
      <c r="BR395" s="21">
        <f t="shared" si="222"/>
        <v>1</v>
      </c>
      <c r="BS395" s="21" t="str">
        <f t="array" ref="BS395">_xlfn.TEXTJOIN("",TRUE,IF(ISERROR(FIND(ROW($1:$10)-1,BQ395&amp;BR395)),ROW($1:$10)-1,""))</f>
        <v>023456789</v>
      </c>
      <c r="BT395" s="20" t="str">
        <f t="shared" si="214"/>
        <v>复隔中</v>
      </c>
      <c r="BU395" s="22">
        <f t="shared" si="215"/>
        <v>2</v>
      </c>
      <c r="BV395" s="22" t="str">
        <f t="shared" si="223"/>
        <v/>
      </c>
      <c r="BW395" s="22" t="str">
        <f t="array" ref="BW395">_xlfn.TEXTJOIN("",TRUE,IF(ISERROR(FIND(ROW($1:$10)-1,BU395&amp;BV395)),ROW($1:$10)-1,""))</f>
        <v>013456789</v>
      </c>
      <c r="BX395" s="20" t="str">
        <f t="shared" si="216"/>
        <v>复中中</v>
      </c>
      <c r="BY395" s="23" t="str">
        <f t="shared" si="210"/>
        <v>24</v>
      </c>
      <c r="BZ395" s="24" t="str">
        <f t="array" ref="BZ395">_xlfn.TEXTJOIN("",TRUE,IF(ISNUMBER(FIND(MID(BY394&amp;Q394,ROW($1:$4),1),BY395&amp;Q395)),MID(BY394&amp;Q394,ROW($1:$4),1),""))</f>
        <v>32</v>
      </c>
      <c r="CA395" s="25" t="str">
        <f t="array" ref="CA395">_xlfn.TEXTJOIN("",TRUE,IF(ISERROR(FIND(ROW($1:$10)-1,BY395&amp;BZ395)),ROW($1:$10)-1,""))</f>
        <v>0156789</v>
      </c>
      <c r="CB395" s="26" t="str">
        <f t="shared" si="217"/>
        <v>邻传孤</v>
      </c>
      <c r="CC395" s="27" t="str">
        <f t="shared" si="218"/>
        <v>02</v>
      </c>
      <c r="CD395" s="27" t="str">
        <f t="array" ref="CD395">_xlfn.TEXTJOIN("",TRUE,IF(ISNUMBER(FIND(MID(CC394&amp;R394,ROW($1:$4),1),CC395&amp;R395)),MID(CC394&amp;R394,ROW($1:$4),1),""))</f>
        <v>021</v>
      </c>
      <c r="CE395" s="27" t="str">
        <f t="array" ref="CE395">_xlfn.TEXTJOIN("",TRUE,IF(ISERROR(FIND(ROW($1:$10)-1,CC395&amp;CD395)),ROW($1:$10)-1,""))</f>
        <v>3456789</v>
      </c>
      <c r="CF395" s="17" t="str">
        <f t="shared" si="219"/>
        <v>邻传孤</v>
      </c>
      <c r="CG395" s="22" t="str">
        <f t="shared" si="220"/>
        <v>13</v>
      </c>
      <c r="CH395" s="22" t="str">
        <f t="array" ref="CH395">_xlfn.TEXTJOIN("",TRUE,IF(ISNUMBER(FIND(MID(CG394&amp;S394,ROW($1:$4),1),CG395&amp;S395)),MID(CG394&amp;S394,ROW($1:$4),1),""))</f>
        <v>21</v>
      </c>
      <c r="CI395" s="22" t="str">
        <f t="array" ref="CI395">_xlfn.TEXTJOIN("",TRUE,IF(ISERROR(FIND(ROW($1:$10)-1,CG395&amp;CH395)),ROW($1:$10)-1,""))</f>
        <v>0456789</v>
      </c>
      <c r="CJ395" s="28" t="str">
        <f t="shared" si="221"/>
        <v>邻传孤</v>
      </c>
    </row>
    <row r="396" spans="1:88">
      <c r="A396" s="32">
        <v>2025171</v>
      </c>
      <c r="B396" s="8" t="s">
        <v>316</v>
      </c>
      <c r="C396" s="49">
        <f t="shared" si="200"/>
        <v>5</v>
      </c>
      <c r="D396" s="50">
        <f t="shared" si="201"/>
        <v>5</v>
      </c>
      <c r="E396" s="51">
        <f t="shared" si="207"/>
        <v>1.6666666666666701</v>
      </c>
      <c r="F396" s="52">
        <f>MAX(MID(B396,{1,2,3},1)*1)-MIN(MID(B396,{1,2,3},1)*1)</f>
        <v>2</v>
      </c>
      <c r="G396" s="104">
        <v>0</v>
      </c>
      <c r="H396" s="104">
        <v>1</v>
      </c>
      <c r="I396" s="104">
        <v>2</v>
      </c>
      <c r="J396" s="104">
        <v>3</v>
      </c>
      <c r="K396" s="104">
        <v>4</v>
      </c>
      <c r="L396" s="104">
        <v>5</v>
      </c>
      <c r="M396" s="104">
        <v>6</v>
      </c>
      <c r="N396" s="104">
        <v>7</v>
      </c>
      <c r="O396" s="104">
        <v>8</v>
      </c>
      <c r="P396" s="104">
        <v>9</v>
      </c>
      <c r="Q396" s="53">
        <f t="shared" si="202"/>
        <v>0</v>
      </c>
      <c r="R396" s="53">
        <f t="shared" si="203"/>
        <v>2</v>
      </c>
      <c r="S396" s="53">
        <f t="shared" si="204"/>
        <v>2</v>
      </c>
      <c r="T396" s="101">
        <f t="shared" si="208"/>
        <v>4</v>
      </c>
      <c r="U396" s="15" t="str">
        <f>_xlfn.TEXTJOIN(", ",TRUE,ABS(MID(B396,{1,1,2},1)-MID(B396,{2,3,3},1)))</f>
        <v>0, 2, 2</v>
      </c>
      <c r="V396" s="54">
        <v>0</v>
      </c>
      <c r="W396" s="54">
        <v>1</v>
      </c>
      <c r="X396" s="54">
        <v>2</v>
      </c>
      <c r="Y396" s="54">
        <v>3</v>
      </c>
      <c r="Z396" s="54">
        <v>4</v>
      </c>
      <c r="AA396" s="54">
        <v>5</v>
      </c>
      <c r="AB396" s="54">
        <v>6</v>
      </c>
      <c r="AC396" s="54">
        <v>7</v>
      </c>
      <c r="AD396" s="54">
        <v>8</v>
      </c>
      <c r="AE396" s="54">
        <v>9</v>
      </c>
      <c r="AF396" s="55">
        <v>0</v>
      </c>
      <c r="AG396" s="55">
        <v>1</v>
      </c>
      <c r="AH396" s="55">
        <v>2</v>
      </c>
      <c r="AI396" s="55">
        <v>3</v>
      </c>
      <c r="AJ396" s="55">
        <v>4</v>
      </c>
      <c r="AK396" s="55">
        <v>5</v>
      </c>
      <c r="AL396" s="55">
        <v>6</v>
      </c>
      <c r="AM396" s="55">
        <v>7</v>
      </c>
      <c r="AN396" s="55">
        <v>8</v>
      </c>
      <c r="AO396" s="55">
        <v>9</v>
      </c>
      <c r="AP396" s="105">
        <v>0</v>
      </c>
      <c r="AQ396" s="105">
        <v>1</v>
      </c>
      <c r="AR396" s="105">
        <v>2</v>
      </c>
      <c r="AS396" s="105">
        <v>3</v>
      </c>
      <c r="AT396" s="105">
        <v>4</v>
      </c>
      <c r="AU396" s="105">
        <v>5</v>
      </c>
      <c r="AV396" s="105">
        <v>6</v>
      </c>
      <c r="AW396" s="105">
        <v>7</v>
      </c>
      <c r="AX396" s="105">
        <v>8</v>
      </c>
      <c r="AY396" s="105">
        <v>9</v>
      </c>
      <c r="AZ396" s="56">
        <v>0</v>
      </c>
      <c r="BA396" s="56">
        <v>1</v>
      </c>
      <c r="BB396" s="56">
        <v>2</v>
      </c>
      <c r="BC396" s="56">
        <v>3</v>
      </c>
      <c r="BD396" s="56">
        <v>4</v>
      </c>
      <c r="BE396" s="56">
        <v>5</v>
      </c>
      <c r="BF396" s="56">
        <v>6</v>
      </c>
      <c r="BG396" s="56">
        <v>7</v>
      </c>
      <c r="BH396" s="56">
        <v>8</v>
      </c>
      <c r="BI396" s="56">
        <v>9</v>
      </c>
      <c r="BJ396" s="57" t="str">
        <f t="shared" si="209"/>
        <v>紧凑型</v>
      </c>
      <c r="BK396" s="13">
        <f t="shared" si="205"/>
        <v>0</v>
      </c>
      <c r="BL396" s="13">
        <f t="shared" si="206"/>
        <v>2</v>
      </c>
      <c r="BM396" s="18" t="str">
        <f t="shared" si="211"/>
        <v/>
      </c>
      <c r="BN396" s="19" t="str">
        <f t="shared" si="212"/>
        <v/>
      </c>
      <c r="BO396" s="19" t="str">
        <f t="array" ref="BO396">_xlfn.TEXTJOIN("",TRUE,IF(ISERROR(FIND(ROW($1:$10)-1,BM396&amp;BN396)),ROW($1:$10)-1,""))</f>
        <v>0123456789</v>
      </c>
      <c r="BP396" s="20" t="str">
        <f t="shared" si="213"/>
        <v>中中中</v>
      </c>
      <c r="BQ396" s="21">
        <f t="shared" si="224"/>
        <v>2</v>
      </c>
      <c r="BR396" s="21">
        <f t="shared" si="222"/>
        <v>2</v>
      </c>
      <c r="BS396" s="21" t="str">
        <f t="array" ref="BS396">_xlfn.TEXTJOIN("",TRUE,IF(ISERROR(FIND(ROW($1:$10)-1,BQ396&amp;BR396)),ROW($1:$10)-1,""))</f>
        <v>013456789</v>
      </c>
      <c r="BT396" s="20" t="str">
        <f t="shared" si="214"/>
        <v>复隔中</v>
      </c>
      <c r="BU396" s="22">
        <f t="shared" si="215"/>
        <v>2</v>
      </c>
      <c r="BV396" s="22">
        <f t="shared" si="223"/>
        <v>2</v>
      </c>
      <c r="BW396" s="22" t="str">
        <f t="array" ref="BW396">_xlfn.TEXTJOIN("",TRUE,IF(ISERROR(FIND(ROW($1:$10)-1,BU396&amp;BV396)),ROW($1:$10)-1,""))</f>
        <v>013456789</v>
      </c>
      <c r="BX396" s="20" t="str">
        <f t="shared" si="216"/>
        <v>复隔中</v>
      </c>
      <c r="BY396" s="23" t="str">
        <f t="shared" si="210"/>
        <v>91</v>
      </c>
      <c r="BZ396" s="24" t="str">
        <f t="array" ref="BZ396">_xlfn.TEXTJOIN("",TRUE,IF(ISNUMBER(FIND(MID(BY395&amp;Q395,ROW($1:$4),1),BY396&amp;Q396)),MID(BY395&amp;Q395,ROW($1:$4),1),""))</f>
        <v/>
      </c>
      <c r="CA396" s="25" t="str">
        <f t="array" ref="CA396">_xlfn.TEXTJOIN("",TRUE,IF(ISERROR(FIND(ROW($1:$10)-1,BY396&amp;BZ396)),ROW($1:$10)-1,""))</f>
        <v>02345678</v>
      </c>
      <c r="CB396" s="26" t="str">
        <f t="shared" si="217"/>
        <v>邻孤孤</v>
      </c>
      <c r="CC396" s="27" t="str">
        <f t="shared" si="218"/>
        <v>13</v>
      </c>
      <c r="CD396" s="27" t="str">
        <f t="array" ref="CD396">_xlfn.TEXTJOIN("",TRUE,IF(ISNUMBER(FIND(MID(CC395&amp;R395,ROW($1:$4),1),CC396&amp;R396)),MID(CC395&amp;R395,ROW($1:$4),1),""))</f>
        <v>21</v>
      </c>
      <c r="CE396" s="27" t="str">
        <f t="array" ref="CE396">_xlfn.TEXTJOIN("",TRUE,IF(ISERROR(FIND(ROW($1:$10)-1,CC396&amp;CD396)),ROW($1:$10)-1,""))</f>
        <v>0456789</v>
      </c>
      <c r="CF396" s="17" t="str">
        <f t="shared" si="219"/>
        <v>邻传孤</v>
      </c>
      <c r="CG396" s="22" t="str">
        <f t="shared" si="220"/>
        <v>13</v>
      </c>
      <c r="CH396" s="22" t="str">
        <f t="array" ref="CH396">_xlfn.TEXTJOIN("",TRUE,IF(ISNUMBER(FIND(MID(CG395&amp;S395,ROW($1:$4),1),CG396&amp;S396)),MID(CG395&amp;S395,ROW($1:$4),1),""))</f>
        <v>132</v>
      </c>
      <c r="CI396" s="22" t="str">
        <f t="array" ref="CI396">_xlfn.TEXTJOIN("",TRUE,IF(ISERROR(FIND(ROW($1:$10)-1,CG396&amp;CH396)),ROW($1:$10)-1,""))</f>
        <v>0456789</v>
      </c>
      <c r="CJ396" s="28" t="str">
        <f t="shared" si="221"/>
        <v>邻传孤</v>
      </c>
    </row>
    <row r="397" spans="1:88">
      <c r="A397" s="32">
        <v>2025172</v>
      </c>
      <c r="B397" s="8" t="s">
        <v>338</v>
      </c>
      <c r="C397" s="49">
        <f t="shared" si="200"/>
        <v>10</v>
      </c>
      <c r="D397" s="50">
        <f t="shared" si="201"/>
        <v>0</v>
      </c>
      <c r="E397" s="51">
        <f t="shared" si="207"/>
        <v>3.3333333333333299</v>
      </c>
      <c r="F397" s="52">
        <f>MAX(MID(B397,{1,2,3},1)*1)-MIN(MID(B397,{1,2,3},1)*1)</f>
        <v>6</v>
      </c>
      <c r="G397" s="104">
        <v>0</v>
      </c>
      <c r="H397" s="104">
        <v>1</v>
      </c>
      <c r="I397" s="104">
        <v>2</v>
      </c>
      <c r="J397" s="104">
        <v>3</v>
      </c>
      <c r="K397" s="104">
        <v>4</v>
      </c>
      <c r="L397" s="104">
        <v>5</v>
      </c>
      <c r="M397" s="104">
        <v>6</v>
      </c>
      <c r="N397" s="104">
        <v>7</v>
      </c>
      <c r="O397" s="104">
        <v>8</v>
      </c>
      <c r="P397" s="104">
        <v>9</v>
      </c>
      <c r="Q397" s="53">
        <f t="shared" si="202"/>
        <v>4</v>
      </c>
      <c r="R397" s="53">
        <f t="shared" si="203"/>
        <v>2</v>
      </c>
      <c r="S397" s="53">
        <f t="shared" si="204"/>
        <v>6</v>
      </c>
      <c r="T397" s="101">
        <f t="shared" si="208"/>
        <v>12</v>
      </c>
      <c r="U397" s="15" t="str">
        <f>_xlfn.TEXTJOIN(", ",TRUE,ABS(MID(B397,{1,1,2},1)-MID(B397,{2,3,3},1)))</f>
        <v>4, 2, 6</v>
      </c>
      <c r="V397" s="54">
        <v>0</v>
      </c>
      <c r="W397" s="54">
        <v>1</v>
      </c>
      <c r="X397" s="54">
        <v>2</v>
      </c>
      <c r="Y397" s="54">
        <v>3</v>
      </c>
      <c r="Z397" s="54">
        <v>4</v>
      </c>
      <c r="AA397" s="54">
        <v>5</v>
      </c>
      <c r="AB397" s="54">
        <v>6</v>
      </c>
      <c r="AC397" s="54">
        <v>7</v>
      </c>
      <c r="AD397" s="54">
        <v>8</v>
      </c>
      <c r="AE397" s="54">
        <v>9</v>
      </c>
      <c r="AF397" s="55">
        <v>0</v>
      </c>
      <c r="AG397" s="55">
        <v>1</v>
      </c>
      <c r="AH397" s="55">
        <v>2</v>
      </c>
      <c r="AI397" s="55">
        <v>3</v>
      </c>
      <c r="AJ397" s="55">
        <v>4</v>
      </c>
      <c r="AK397" s="55">
        <v>5</v>
      </c>
      <c r="AL397" s="55">
        <v>6</v>
      </c>
      <c r="AM397" s="55">
        <v>7</v>
      </c>
      <c r="AN397" s="55">
        <v>8</v>
      </c>
      <c r="AO397" s="55">
        <v>9</v>
      </c>
      <c r="AP397" s="105">
        <v>0</v>
      </c>
      <c r="AQ397" s="105">
        <v>1</v>
      </c>
      <c r="AR397" s="105">
        <v>2</v>
      </c>
      <c r="AS397" s="105">
        <v>3</v>
      </c>
      <c r="AT397" s="105">
        <v>4</v>
      </c>
      <c r="AU397" s="105">
        <v>5</v>
      </c>
      <c r="AV397" s="105">
        <v>6</v>
      </c>
      <c r="AW397" s="105">
        <v>7</v>
      </c>
      <c r="AX397" s="105">
        <v>8</v>
      </c>
      <c r="AY397" s="105">
        <v>9</v>
      </c>
      <c r="AZ397" s="56">
        <v>0</v>
      </c>
      <c r="BA397" s="56">
        <v>1</v>
      </c>
      <c r="BB397" s="56">
        <v>2</v>
      </c>
      <c r="BC397" s="56">
        <v>3</v>
      </c>
      <c r="BD397" s="56">
        <v>4</v>
      </c>
      <c r="BE397" s="56">
        <v>5</v>
      </c>
      <c r="BF397" s="56">
        <v>6</v>
      </c>
      <c r="BG397" s="56">
        <v>7</v>
      </c>
      <c r="BH397" s="56">
        <v>8</v>
      </c>
      <c r="BI397" s="56">
        <v>9</v>
      </c>
      <c r="BJ397" s="57" t="str">
        <f t="shared" si="209"/>
        <v>松散型</v>
      </c>
      <c r="BK397" s="13">
        <f t="shared" si="205"/>
        <v>2</v>
      </c>
      <c r="BL397" s="13">
        <f t="shared" si="206"/>
        <v>6</v>
      </c>
      <c r="BM397" s="18" t="str">
        <f t="shared" si="211"/>
        <v/>
      </c>
      <c r="BN397" s="19" t="str">
        <f t="shared" si="212"/>
        <v/>
      </c>
      <c r="BO397" s="19" t="str">
        <f t="array" ref="BO397">_xlfn.TEXTJOIN("",TRUE,IF(ISERROR(FIND(ROW($1:$10)-1,BM397&amp;BN397)),ROW($1:$10)-1,""))</f>
        <v>0123456789</v>
      </c>
      <c r="BP397" s="20" t="str">
        <f t="shared" si="213"/>
        <v>中中中</v>
      </c>
      <c r="BQ397" s="21">
        <f t="shared" si="224"/>
        <v>2</v>
      </c>
      <c r="BR397" s="21">
        <f t="shared" si="222"/>
        <v>2</v>
      </c>
      <c r="BS397" s="21" t="str">
        <f t="array" ref="BS397">_xlfn.TEXTJOIN("",TRUE,IF(ISERROR(FIND(ROW($1:$10)-1,BQ397&amp;BR397)),ROW($1:$10)-1,""))</f>
        <v>013456789</v>
      </c>
      <c r="BT397" s="20" t="str">
        <f t="shared" si="214"/>
        <v>复隔中</v>
      </c>
      <c r="BU397" s="22" t="str">
        <f t="shared" si="215"/>
        <v/>
      </c>
      <c r="BV397" s="22" t="str">
        <f t="shared" si="223"/>
        <v/>
      </c>
      <c r="BW397" s="22" t="str">
        <f t="array" ref="BW397">_xlfn.TEXTJOIN("",TRUE,IF(ISERROR(FIND(ROW($1:$10)-1,BU397&amp;BV397)),ROW($1:$10)-1,""))</f>
        <v>0123456789</v>
      </c>
      <c r="BX397" s="20" t="str">
        <f t="shared" si="216"/>
        <v>中中中</v>
      </c>
      <c r="BY397" s="23" t="str">
        <f t="shared" si="210"/>
        <v>35</v>
      </c>
      <c r="BZ397" s="24" t="str">
        <f t="array" ref="BZ397">_xlfn.TEXTJOIN("",TRUE,IF(ISNUMBER(FIND(MID(BY396&amp;Q396,ROW($1:$4),1),BY397&amp;Q397)),MID(BY396&amp;Q396,ROW($1:$4),1),""))</f>
        <v/>
      </c>
      <c r="CA397" s="25" t="str">
        <f t="array" ref="CA397">_xlfn.TEXTJOIN("",TRUE,IF(ISERROR(FIND(ROW($1:$10)-1,BY397&amp;BZ397)),ROW($1:$10)-1,""))</f>
        <v>01246789</v>
      </c>
      <c r="CB397" s="26" t="str">
        <f t="shared" si="217"/>
        <v>邻孤孤</v>
      </c>
      <c r="CC397" s="27" t="str">
        <f t="shared" si="218"/>
        <v>13</v>
      </c>
      <c r="CD397" s="27" t="str">
        <f t="array" ref="CD397">_xlfn.TEXTJOIN("",TRUE,IF(ISNUMBER(FIND(MID(CC396&amp;R396,ROW($1:$4),1),CC397&amp;R397)),MID(CC396&amp;R396,ROW($1:$4),1),""))</f>
        <v>132</v>
      </c>
      <c r="CE397" s="27" t="str">
        <f t="array" ref="CE397">_xlfn.TEXTJOIN("",TRUE,IF(ISERROR(FIND(ROW($1:$10)-1,CC397&amp;CD397)),ROW($1:$10)-1,""))</f>
        <v>0456789</v>
      </c>
      <c r="CF397" s="17" t="str">
        <f t="shared" si="219"/>
        <v>邻传孤</v>
      </c>
      <c r="CG397" s="22" t="str">
        <f t="shared" si="220"/>
        <v>57</v>
      </c>
      <c r="CH397" s="22" t="str">
        <f t="array" ref="CH397">_xlfn.TEXTJOIN("",TRUE,IF(ISNUMBER(FIND(MID(CG396&amp;S396,ROW($1:$4),1),CG397&amp;S397)),MID(CG396&amp;S396,ROW($1:$4),1),""))</f>
        <v/>
      </c>
      <c r="CI397" s="22" t="str">
        <f t="array" ref="CI397">_xlfn.TEXTJOIN("",TRUE,IF(ISERROR(FIND(ROW($1:$10)-1,CG397&amp;CH397)),ROW($1:$10)-1,""))</f>
        <v>01234689</v>
      </c>
      <c r="CJ397" s="28" t="str">
        <f t="shared" si="221"/>
        <v>邻孤孤</v>
      </c>
    </row>
    <row r="398" spans="1:88">
      <c r="A398" s="32">
        <v>2025173</v>
      </c>
      <c r="B398" s="8" t="s">
        <v>339</v>
      </c>
      <c r="C398" s="49">
        <f t="shared" si="200"/>
        <v>11</v>
      </c>
      <c r="D398" s="50">
        <f t="shared" si="201"/>
        <v>1</v>
      </c>
      <c r="E398" s="51">
        <f t="shared" si="207"/>
        <v>3.6666666666666701</v>
      </c>
      <c r="F398" s="52">
        <f>MAX(MID(B398,{1,2,3},1)*1)-MIN(MID(B398,{1,2,3},1)*1)</f>
        <v>9</v>
      </c>
      <c r="G398" s="104">
        <v>0</v>
      </c>
      <c r="H398" s="104">
        <v>1</v>
      </c>
      <c r="I398" s="104">
        <v>2</v>
      </c>
      <c r="J398" s="104">
        <v>3</v>
      </c>
      <c r="K398" s="104">
        <v>4</v>
      </c>
      <c r="L398" s="104">
        <v>5</v>
      </c>
      <c r="M398" s="104">
        <v>6</v>
      </c>
      <c r="N398" s="104">
        <v>7</v>
      </c>
      <c r="O398" s="104">
        <v>8</v>
      </c>
      <c r="P398" s="104">
        <v>9</v>
      </c>
      <c r="Q398" s="53">
        <f t="shared" si="202"/>
        <v>9</v>
      </c>
      <c r="R398" s="53">
        <f t="shared" si="203"/>
        <v>2</v>
      </c>
      <c r="S398" s="53">
        <f t="shared" si="204"/>
        <v>7</v>
      </c>
      <c r="T398" s="101">
        <f t="shared" si="208"/>
        <v>18</v>
      </c>
      <c r="U398" s="15" t="str">
        <f>_xlfn.TEXTJOIN(", ",TRUE,ABS(MID(B398,{1,1,2},1)-MID(B398,{2,3,3},1)))</f>
        <v>9, 2, 7</v>
      </c>
      <c r="V398" s="54">
        <v>0</v>
      </c>
      <c r="W398" s="54">
        <v>1</v>
      </c>
      <c r="X398" s="54">
        <v>2</v>
      </c>
      <c r="Y398" s="54">
        <v>3</v>
      </c>
      <c r="Z398" s="54">
        <v>4</v>
      </c>
      <c r="AA398" s="54">
        <v>5</v>
      </c>
      <c r="AB398" s="54">
        <v>6</v>
      </c>
      <c r="AC398" s="54">
        <v>7</v>
      </c>
      <c r="AD398" s="54">
        <v>8</v>
      </c>
      <c r="AE398" s="54">
        <v>9</v>
      </c>
      <c r="AF398" s="55">
        <v>0</v>
      </c>
      <c r="AG398" s="55">
        <v>1</v>
      </c>
      <c r="AH398" s="55">
        <v>2</v>
      </c>
      <c r="AI398" s="55">
        <v>3</v>
      </c>
      <c r="AJ398" s="55">
        <v>4</v>
      </c>
      <c r="AK398" s="55">
        <v>5</v>
      </c>
      <c r="AL398" s="55">
        <v>6</v>
      </c>
      <c r="AM398" s="55">
        <v>7</v>
      </c>
      <c r="AN398" s="55">
        <v>8</v>
      </c>
      <c r="AO398" s="55">
        <v>9</v>
      </c>
      <c r="AP398" s="105">
        <v>0</v>
      </c>
      <c r="AQ398" s="105">
        <v>1</v>
      </c>
      <c r="AR398" s="105">
        <v>2</v>
      </c>
      <c r="AS398" s="105">
        <v>3</v>
      </c>
      <c r="AT398" s="105">
        <v>4</v>
      </c>
      <c r="AU398" s="105">
        <v>5</v>
      </c>
      <c r="AV398" s="105">
        <v>6</v>
      </c>
      <c r="AW398" s="105">
        <v>7</v>
      </c>
      <c r="AX398" s="105">
        <v>8</v>
      </c>
      <c r="AY398" s="105">
        <v>9</v>
      </c>
      <c r="AZ398" s="56">
        <v>0</v>
      </c>
      <c r="BA398" s="56">
        <v>1</v>
      </c>
      <c r="BB398" s="56">
        <v>2</v>
      </c>
      <c r="BC398" s="56">
        <v>3</v>
      </c>
      <c r="BD398" s="56">
        <v>4</v>
      </c>
      <c r="BE398" s="56">
        <v>5</v>
      </c>
      <c r="BF398" s="56">
        <v>6</v>
      </c>
      <c r="BG398" s="56">
        <v>7</v>
      </c>
      <c r="BH398" s="56">
        <v>8</v>
      </c>
      <c r="BI398" s="56">
        <v>9</v>
      </c>
      <c r="BJ398" s="57" t="str">
        <f t="shared" si="209"/>
        <v>松散型</v>
      </c>
      <c r="BK398" s="13">
        <f t="shared" si="205"/>
        <v>2</v>
      </c>
      <c r="BL398" s="13">
        <f t="shared" si="206"/>
        <v>9</v>
      </c>
      <c r="BM398" s="18" t="str">
        <f t="shared" si="211"/>
        <v/>
      </c>
      <c r="BN398" s="19" t="str">
        <f t="shared" si="212"/>
        <v/>
      </c>
      <c r="BO398" s="19" t="str">
        <f t="array" ref="BO398">_xlfn.TEXTJOIN("",TRUE,IF(ISERROR(FIND(ROW($1:$10)-1,BM398&amp;BN398)),ROW($1:$10)-1,""))</f>
        <v>0123456789</v>
      </c>
      <c r="BP398" s="20" t="str">
        <f t="shared" si="213"/>
        <v>中中中</v>
      </c>
      <c r="BQ398" s="21">
        <f t="shared" si="224"/>
        <v>2</v>
      </c>
      <c r="BR398" s="21">
        <f t="shared" si="222"/>
        <v>2</v>
      </c>
      <c r="BS398" s="21" t="str">
        <f t="array" ref="BS398">_xlfn.TEXTJOIN("",TRUE,IF(ISERROR(FIND(ROW($1:$10)-1,BQ398&amp;BR398)),ROW($1:$10)-1,""))</f>
        <v>013456789</v>
      </c>
      <c r="BT398" s="20" t="str">
        <f t="shared" si="214"/>
        <v>复隔中</v>
      </c>
      <c r="BU398" s="22" t="str">
        <f t="shared" si="215"/>
        <v/>
      </c>
      <c r="BV398" s="22" t="str">
        <f t="shared" si="223"/>
        <v/>
      </c>
      <c r="BW398" s="22" t="str">
        <f t="array" ref="BW398">_xlfn.TEXTJOIN("",TRUE,IF(ISERROR(FIND(ROW($1:$10)-1,BU398&amp;BV398)),ROW($1:$10)-1,""))</f>
        <v>0123456789</v>
      </c>
      <c r="BX398" s="20" t="str">
        <f t="shared" si="216"/>
        <v>中中中</v>
      </c>
      <c r="BY398" s="23" t="str">
        <f t="shared" si="210"/>
        <v>80</v>
      </c>
      <c r="BZ398" s="24" t="str">
        <f t="array" ref="BZ398">_xlfn.TEXTJOIN("",TRUE,IF(ISNUMBER(FIND(MID(BY397&amp;Q397,ROW($1:$4),1),BY398&amp;Q398)),MID(BY397&amp;Q397,ROW($1:$4),1),""))</f>
        <v/>
      </c>
      <c r="CA398" s="25" t="str">
        <f t="array" ref="CA398">_xlfn.TEXTJOIN("",TRUE,IF(ISERROR(FIND(ROW($1:$10)-1,BY398&amp;BZ398)),ROW($1:$10)-1,""))</f>
        <v>12345679</v>
      </c>
      <c r="CB398" s="26" t="str">
        <f t="shared" si="217"/>
        <v>邻孤孤</v>
      </c>
      <c r="CC398" s="27" t="str">
        <f t="shared" si="218"/>
        <v>13</v>
      </c>
      <c r="CD398" s="27" t="str">
        <f t="array" ref="CD398">_xlfn.TEXTJOIN("",TRUE,IF(ISNUMBER(FIND(MID(CC397&amp;R397,ROW($1:$4),1),CC398&amp;R398)),MID(CC397&amp;R397,ROW($1:$4),1),""))</f>
        <v>132</v>
      </c>
      <c r="CE398" s="27" t="str">
        <f t="array" ref="CE398">_xlfn.TEXTJOIN("",TRUE,IF(ISERROR(FIND(ROW($1:$10)-1,CC398&amp;CD398)),ROW($1:$10)-1,""))</f>
        <v>0456789</v>
      </c>
      <c r="CF398" s="17" t="str">
        <f t="shared" si="219"/>
        <v>邻传孤</v>
      </c>
      <c r="CG398" s="22" t="str">
        <f t="shared" si="220"/>
        <v>68</v>
      </c>
      <c r="CH398" s="22" t="str">
        <f t="array" ref="CH398">_xlfn.TEXTJOIN("",TRUE,IF(ISNUMBER(FIND(MID(CG397&amp;S397,ROW($1:$4),1),CG398&amp;S398)),MID(CG397&amp;S397,ROW($1:$4),1),""))</f>
        <v>76</v>
      </c>
      <c r="CI398" s="22" t="str">
        <f t="array" ref="CI398">_xlfn.TEXTJOIN("",TRUE,IF(ISERROR(FIND(ROW($1:$10)-1,CG398&amp;CH398)),ROW($1:$10)-1,""))</f>
        <v>0123459</v>
      </c>
      <c r="CJ398" s="28" t="str">
        <f t="shared" si="221"/>
        <v>邻传孤</v>
      </c>
    </row>
    <row r="399" spans="1:88">
      <c r="A399" s="32">
        <v>2025174</v>
      </c>
      <c r="B399" s="8" t="s">
        <v>340</v>
      </c>
      <c r="C399" s="49">
        <f t="shared" si="200"/>
        <v>11</v>
      </c>
      <c r="D399" s="50">
        <f t="shared" si="201"/>
        <v>1</v>
      </c>
      <c r="E399" s="51">
        <f t="shared" si="207"/>
        <v>3.6666666666666701</v>
      </c>
      <c r="F399" s="52">
        <f>MAX(MID(B399,{1,2,3},1)*1)-MIN(MID(B399,{1,2,3},1)*1)</f>
        <v>2</v>
      </c>
      <c r="G399" s="104">
        <v>0</v>
      </c>
      <c r="H399" s="104">
        <v>1</v>
      </c>
      <c r="I399" s="104">
        <v>2</v>
      </c>
      <c r="J399" s="104">
        <v>3</v>
      </c>
      <c r="K399" s="104">
        <v>4</v>
      </c>
      <c r="L399" s="104">
        <v>5</v>
      </c>
      <c r="M399" s="104">
        <v>6</v>
      </c>
      <c r="N399" s="104">
        <v>7</v>
      </c>
      <c r="O399" s="104">
        <v>8</v>
      </c>
      <c r="P399" s="104">
        <v>9</v>
      </c>
      <c r="Q399" s="53">
        <f t="shared" si="202"/>
        <v>2</v>
      </c>
      <c r="R399" s="53">
        <f t="shared" si="203"/>
        <v>2</v>
      </c>
      <c r="S399" s="53">
        <f t="shared" si="204"/>
        <v>0</v>
      </c>
      <c r="T399" s="101">
        <f t="shared" si="208"/>
        <v>4</v>
      </c>
      <c r="U399" s="15" t="str">
        <f>_xlfn.TEXTJOIN(", ",TRUE,ABS(MID(B399,{1,1,2},1)-MID(B399,{2,3,3},1)))</f>
        <v>2, 2, 0</v>
      </c>
      <c r="V399" s="54">
        <v>0</v>
      </c>
      <c r="W399" s="54">
        <v>1</v>
      </c>
      <c r="X399" s="54">
        <v>2</v>
      </c>
      <c r="Y399" s="54">
        <v>3</v>
      </c>
      <c r="Z399" s="54">
        <v>4</v>
      </c>
      <c r="AA399" s="54">
        <v>5</v>
      </c>
      <c r="AB399" s="54">
        <v>6</v>
      </c>
      <c r="AC399" s="54">
        <v>7</v>
      </c>
      <c r="AD399" s="54">
        <v>8</v>
      </c>
      <c r="AE399" s="54">
        <v>9</v>
      </c>
      <c r="AF399" s="55">
        <v>0</v>
      </c>
      <c r="AG399" s="55">
        <v>1</v>
      </c>
      <c r="AH399" s="55">
        <v>2</v>
      </c>
      <c r="AI399" s="55">
        <v>3</v>
      </c>
      <c r="AJ399" s="55">
        <v>4</v>
      </c>
      <c r="AK399" s="55">
        <v>5</v>
      </c>
      <c r="AL399" s="55">
        <v>6</v>
      </c>
      <c r="AM399" s="55">
        <v>7</v>
      </c>
      <c r="AN399" s="55">
        <v>8</v>
      </c>
      <c r="AO399" s="55">
        <v>9</v>
      </c>
      <c r="AP399" s="105">
        <v>0</v>
      </c>
      <c r="AQ399" s="105">
        <v>1</v>
      </c>
      <c r="AR399" s="105">
        <v>2</v>
      </c>
      <c r="AS399" s="105">
        <v>3</v>
      </c>
      <c r="AT399" s="105">
        <v>4</v>
      </c>
      <c r="AU399" s="105">
        <v>5</v>
      </c>
      <c r="AV399" s="105">
        <v>6</v>
      </c>
      <c r="AW399" s="105">
        <v>7</v>
      </c>
      <c r="AX399" s="105">
        <v>8</v>
      </c>
      <c r="AY399" s="105">
        <v>9</v>
      </c>
      <c r="AZ399" s="56">
        <v>0</v>
      </c>
      <c r="BA399" s="56">
        <v>1</v>
      </c>
      <c r="BB399" s="56">
        <v>2</v>
      </c>
      <c r="BC399" s="56">
        <v>3</v>
      </c>
      <c r="BD399" s="56">
        <v>4</v>
      </c>
      <c r="BE399" s="56">
        <v>5</v>
      </c>
      <c r="BF399" s="56">
        <v>6</v>
      </c>
      <c r="BG399" s="56">
        <v>7</v>
      </c>
      <c r="BH399" s="56">
        <v>8</v>
      </c>
      <c r="BI399" s="56">
        <v>9</v>
      </c>
      <c r="BJ399" s="57" t="str">
        <f t="shared" si="209"/>
        <v>紧凑型</v>
      </c>
      <c r="BK399" s="13">
        <f t="shared" si="205"/>
        <v>0</v>
      </c>
      <c r="BL399" s="13">
        <f t="shared" si="206"/>
        <v>2</v>
      </c>
      <c r="BM399" s="18">
        <f t="shared" si="211"/>
        <v>2</v>
      </c>
      <c r="BN399" s="19">
        <f t="shared" si="212"/>
        <v>2</v>
      </c>
      <c r="BO399" s="19" t="str">
        <f t="array" ref="BO399">_xlfn.TEXTJOIN("",TRUE,IF(ISERROR(FIND(ROW($1:$10)-1,BM399&amp;BN399)),ROW($1:$10)-1,""))</f>
        <v>013456789</v>
      </c>
      <c r="BP399" s="20" t="str">
        <f t="shared" si="213"/>
        <v>复隔中</v>
      </c>
      <c r="BQ399" s="21">
        <f t="shared" si="224"/>
        <v>2</v>
      </c>
      <c r="BR399" s="21">
        <f t="shared" si="222"/>
        <v>2</v>
      </c>
      <c r="BS399" s="21" t="str">
        <f t="array" ref="BS399">_xlfn.TEXTJOIN("",TRUE,IF(ISERROR(FIND(ROW($1:$10)-1,BQ399&amp;BR399)),ROW($1:$10)-1,""))</f>
        <v>013456789</v>
      </c>
      <c r="BT399" s="20" t="str">
        <f t="shared" si="214"/>
        <v>复隔中</v>
      </c>
      <c r="BU399" s="22" t="str">
        <f t="shared" si="215"/>
        <v/>
      </c>
      <c r="BV399" s="22" t="str">
        <f t="shared" si="223"/>
        <v/>
      </c>
      <c r="BW399" s="22" t="str">
        <f t="array" ref="BW399">_xlfn.TEXTJOIN("",TRUE,IF(ISERROR(FIND(ROW($1:$10)-1,BU399&amp;BV399)),ROW($1:$10)-1,""))</f>
        <v>0123456789</v>
      </c>
      <c r="BX399" s="20" t="str">
        <f t="shared" si="216"/>
        <v>中中中</v>
      </c>
      <c r="BY399" s="23" t="str">
        <f t="shared" si="210"/>
        <v>13</v>
      </c>
      <c r="BZ399" s="24" t="str">
        <f t="array" ref="BZ399">_xlfn.TEXTJOIN("",TRUE,IF(ISNUMBER(FIND(MID(BY398&amp;Q398,ROW($1:$4),1),BY399&amp;Q399)),MID(BY398&amp;Q398,ROW($1:$4),1),""))</f>
        <v/>
      </c>
      <c r="CA399" s="25" t="str">
        <f t="array" ref="CA399">_xlfn.TEXTJOIN("",TRUE,IF(ISERROR(FIND(ROW($1:$10)-1,BY399&amp;BZ399)),ROW($1:$10)-1,""))</f>
        <v>02456789</v>
      </c>
      <c r="CB399" s="26" t="str">
        <f t="shared" si="217"/>
        <v>邻孤孤</v>
      </c>
      <c r="CC399" s="27" t="str">
        <f t="shared" si="218"/>
        <v>13</v>
      </c>
      <c r="CD399" s="27" t="str">
        <f t="array" ref="CD399">_xlfn.TEXTJOIN("",TRUE,IF(ISNUMBER(FIND(MID(CC398&amp;R398,ROW($1:$4),1),CC399&amp;R399)),MID(CC398&amp;R398,ROW($1:$4),1),""))</f>
        <v>132</v>
      </c>
      <c r="CE399" s="27" t="str">
        <f t="array" ref="CE399">_xlfn.TEXTJOIN("",TRUE,IF(ISERROR(FIND(ROW($1:$10)-1,CC399&amp;CD399)),ROW($1:$10)-1,""))</f>
        <v>0456789</v>
      </c>
      <c r="CF399" s="17" t="str">
        <f t="shared" si="219"/>
        <v>邻传孤</v>
      </c>
      <c r="CG399" s="22" t="str">
        <f t="shared" si="220"/>
        <v>91</v>
      </c>
      <c r="CH399" s="22" t="str">
        <f t="array" ref="CH399">_xlfn.TEXTJOIN("",TRUE,IF(ISNUMBER(FIND(MID(CG398&amp;S398,ROW($1:$4),1),CG399&amp;S399)),MID(CG398&amp;S398,ROW($1:$4),1),""))</f>
        <v/>
      </c>
      <c r="CI399" s="22" t="str">
        <f t="array" ref="CI399">_xlfn.TEXTJOIN("",TRUE,IF(ISERROR(FIND(ROW($1:$10)-1,CG399&amp;CH399)),ROW($1:$10)-1,""))</f>
        <v>02345678</v>
      </c>
      <c r="CJ399" s="28" t="str">
        <f t="shared" si="221"/>
        <v>邻孤孤</v>
      </c>
    </row>
    <row r="400" spans="1:88">
      <c r="A400" s="32">
        <v>2025175</v>
      </c>
      <c r="B400" s="8" t="s">
        <v>341</v>
      </c>
      <c r="C400" s="49">
        <f t="shared" si="200"/>
        <v>13</v>
      </c>
      <c r="D400" s="50">
        <f t="shared" si="201"/>
        <v>3</v>
      </c>
      <c r="E400" s="51">
        <f t="shared" si="207"/>
        <v>4.3333333333333304</v>
      </c>
      <c r="F400" s="52">
        <f>MAX(MID(B400,{1,2,3},1)*1)-MIN(MID(B400,{1,2,3},1)*1)</f>
        <v>5</v>
      </c>
      <c r="G400" s="104">
        <v>0</v>
      </c>
      <c r="H400" s="104">
        <v>1</v>
      </c>
      <c r="I400" s="104">
        <v>2</v>
      </c>
      <c r="J400" s="104">
        <v>3</v>
      </c>
      <c r="K400" s="104">
        <v>4</v>
      </c>
      <c r="L400" s="104">
        <v>5</v>
      </c>
      <c r="M400" s="104">
        <v>6</v>
      </c>
      <c r="N400" s="104">
        <v>7</v>
      </c>
      <c r="O400" s="104">
        <v>8</v>
      </c>
      <c r="P400" s="104">
        <v>9</v>
      </c>
      <c r="Q400" s="53">
        <f t="shared" si="202"/>
        <v>5</v>
      </c>
      <c r="R400" s="53">
        <f t="shared" si="203"/>
        <v>0</v>
      </c>
      <c r="S400" s="53">
        <f t="shared" si="204"/>
        <v>5</v>
      </c>
      <c r="T400" s="101">
        <f t="shared" si="208"/>
        <v>10</v>
      </c>
      <c r="U400" s="15" t="str">
        <f>_xlfn.TEXTJOIN(", ",TRUE,ABS(MID(B400,{1,1,2},1)-MID(B400,{2,3,3},1)))</f>
        <v>5, 0, 5</v>
      </c>
      <c r="V400" s="54">
        <v>0</v>
      </c>
      <c r="W400" s="54">
        <v>1</v>
      </c>
      <c r="X400" s="54">
        <v>2</v>
      </c>
      <c r="Y400" s="54">
        <v>3</v>
      </c>
      <c r="Z400" s="54">
        <v>4</v>
      </c>
      <c r="AA400" s="54">
        <v>5</v>
      </c>
      <c r="AB400" s="54">
        <v>6</v>
      </c>
      <c r="AC400" s="54">
        <v>7</v>
      </c>
      <c r="AD400" s="54">
        <v>8</v>
      </c>
      <c r="AE400" s="54">
        <v>9</v>
      </c>
      <c r="AF400" s="55">
        <v>0</v>
      </c>
      <c r="AG400" s="55">
        <v>1</v>
      </c>
      <c r="AH400" s="55">
        <v>2</v>
      </c>
      <c r="AI400" s="55">
        <v>3</v>
      </c>
      <c r="AJ400" s="55">
        <v>4</v>
      </c>
      <c r="AK400" s="55">
        <v>5</v>
      </c>
      <c r="AL400" s="55">
        <v>6</v>
      </c>
      <c r="AM400" s="55">
        <v>7</v>
      </c>
      <c r="AN400" s="55">
        <v>8</v>
      </c>
      <c r="AO400" s="55">
        <v>9</v>
      </c>
      <c r="AP400" s="105">
        <v>0</v>
      </c>
      <c r="AQ400" s="105">
        <v>1</v>
      </c>
      <c r="AR400" s="105">
        <v>2</v>
      </c>
      <c r="AS400" s="105">
        <v>3</v>
      </c>
      <c r="AT400" s="105">
        <v>4</v>
      </c>
      <c r="AU400" s="105">
        <v>5</v>
      </c>
      <c r="AV400" s="105">
        <v>6</v>
      </c>
      <c r="AW400" s="105">
        <v>7</v>
      </c>
      <c r="AX400" s="105">
        <v>8</v>
      </c>
      <c r="AY400" s="105">
        <v>9</v>
      </c>
      <c r="AZ400" s="56">
        <v>0</v>
      </c>
      <c r="BA400" s="56">
        <v>1</v>
      </c>
      <c r="BB400" s="56">
        <v>2</v>
      </c>
      <c r="BC400" s="56">
        <v>3</v>
      </c>
      <c r="BD400" s="56">
        <v>4</v>
      </c>
      <c r="BE400" s="56">
        <v>5</v>
      </c>
      <c r="BF400" s="56">
        <v>6</v>
      </c>
      <c r="BG400" s="56">
        <v>7</v>
      </c>
      <c r="BH400" s="56">
        <v>8</v>
      </c>
      <c r="BI400" s="56">
        <v>9</v>
      </c>
      <c r="BJ400" s="57" t="str">
        <f t="shared" si="209"/>
        <v>对子</v>
      </c>
      <c r="BK400" s="13">
        <f t="shared" si="205"/>
        <v>0</v>
      </c>
      <c r="BL400" s="13">
        <f t="shared" si="206"/>
        <v>5</v>
      </c>
      <c r="BM400" s="18" t="str">
        <f t="shared" si="211"/>
        <v/>
      </c>
      <c r="BN400" s="19" t="str">
        <f t="shared" si="212"/>
        <v/>
      </c>
      <c r="BO400" s="19" t="str">
        <f t="array" ref="BO400">_xlfn.TEXTJOIN("",TRUE,IF(ISERROR(FIND(ROW($1:$10)-1,BM400&amp;BN400)),ROW($1:$10)-1,""))</f>
        <v>0123456789</v>
      </c>
      <c r="BP400" s="20" t="str">
        <f t="shared" si="213"/>
        <v>中中中</v>
      </c>
      <c r="BQ400" s="21">
        <f t="shared" si="224"/>
        <v>0</v>
      </c>
      <c r="BR400" s="21" t="str">
        <f t="shared" si="222"/>
        <v/>
      </c>
      <c r="BS400" s="21" t="str">
        <f t="array" ref="BS400">_xlfn.TEXTJOIN("",TRUE,IF(ISERROR(FIND(ROW($1:$10)-1,BQ400&amp;BR400)),ROW($1:$10)-1,""))</f>
        <v>123456789</v>
      </c>
      <c r="BT400" s="20" t="str">
        <f t="shared" si="214"/>
        <v>复中中</v>
      </c>
      <c r="BU400" s="22" t="str">
        <f t="shared" si="215"/>
        <v/>
      </c>
      <c r="BV400" s="22" t="str">
        <f t="shared" si="223"/>
        <v/>
      </c>
      <c r="BW400" s="22" t="str">
        <f t="array" ref="BW400">_xlfn.TEXTJOIN("",TRUE,IF(ISERROR(FIND(ROW($1:$10)-1,BU400&amp;BV400)),ROW($1:$10)-1,""))</f>
        <v>0123456789</v>
      </c>
      <c r="BX400" s="20" t="str">
        <f t="shared" si="216"/>
        <v>中中中</v>
      </c>
      <c r="BY400" s="23" t="str">
        <f t="shared" si="210"/>
        <v>46</v>
      </c>
      <c r="BZ400" s="24" t="str">
        <f t="array" ref="BZ400">_xlfn.TEXTJOIN("",TRUE,IF(ISNUMBER(FIND(MID(BY399&amp;Q399,ROW($1:$4),1),BY400&amp;Q400)),MID(BY399&amp;Q399,ROW($1:$4),1),""))</f>
        <v/>
      </c>
      <c r="CA400" s="25" t="str">
        <f t="array" ref="CA400">_xlfn.TEXTJOIN("",TRUE,IF(ISERROR(FIND(ROW($1:$10)-1,BY400&amp;BZ400)),ROW($1:$10)-1,""))</f>
        <v>01235789</v>
      </c>
      <c r="CB400" s="26" t="str">
        <f t="shared" si="217"/>
        <v>邻孤孤</v>
      </c>
      <c r="CC400" s="27" t="str">
        <f t="shared" si="218"/>
        <v>91</v>
      </c>
      <c r="CD400" s="27" t="str">
        <f t="array" ref="CD400">_xlfn.TEXTJOIN("",TRUE,IF(ISNUMBER(FIND(MID(CC399&amp;R399,ROW($1:$4),1),CC400&amp;R400)),MID(CC399&amp;R399,ROW($1:$4),1),""))</f>
        <v>1</v>
      </c>
      <c r="CE400" s="27" t="str">
        <f t="array" ref="CE400">_xlfn.TEXTJOIN("",TRUE,IF(ISERROR(FIND(ROW($1:$10)-1,CC400&amp;CD400)),ROW($1:$10)-1,""))</f>
        <v>02345678</v>
      </c>
      <c r="CF400" s="17" t="str">
        <f t="shared" si="219"/>
        <v>邻传孤</v>
      </c>
      <c r="CG400" s="22" t="str">
        <f t="shared" si="220"/>
        <v>46</v>
      </c>
      <c r="CH400" s="22" t="str">
        <f t="array" ref="CH400">_xlfn.TEXTJOIN("",TRUE,IF(ISNUMBER(FIND(MID(CG399&amp;S399,ROW($1:$4),1),CG400&amp;S400)),MID(CG399&amp;S399,ROW($1:$4),1),""))</f>
        <v/>
      </c>
      <c r="CI400" s="22" t="str">
        <f t="array" ref="CI400">_xlfn.TEXTJOIN("",TRUE,IF(ISERROR(FIND(ROW($1:$10)-1,CG400&amp;CH400)),ROW($1:$10)-1,""))</f>
        <v>01235789</v>
      </c>
      <c r="CJ400" s="28" t="str">
        <f t="shared" si="221"/>
        <v>邻孤孤</v>
      </c>
    </row>
    <row r="401" spans="1:88">
      <c r="A401" s="32">
        <v>2025176</v>
      </c>
      <c r="B401" s="8" t="s">
        <v>342</v>
      </c>
      <c r="C401" s="49">
        <f t="shared" si="200"/>
        <v>5</v>
      </c>
      <c r="D401" s="50">
        <f t="shared" si="201"/>
        <v>5</v>
      </c>
      <c r="E401" s="51">
        <f t="shared" si="207"/>
        <v>1.6666666666666701</v>
      </c>
      <c r="F401" s="52">
        <f>MAX(MID(B401,{1,2,3},1)*1)-MIN(MID(B401,{1,2,3},1)*1)</f>
        <v>1</v>
      </c>
      <c r="G401" s="104">
        <v>0</v>
      </c>
      <c r="H401" s="104">
        <v>1</v>
      </c>
      <c r="I401" s="104">
        <v>2</v>
      </c>
      <c r="J401" s="104">
        <v>3</v>
      </c>
      <c r="K401" s="104">
        <v>4</v>
      </c>
      <c r="L401" s="104">
        <v>5</v>
      </c>
      <c r="M401" s="104">
        <v>6</v>
      </c>
      <c r="N401" s="104">
        <v>7</v>
      </c>
      <c r="O401" s="104">
        <v>8</v>
      </c>
      <c r="P401" s="104">
        <v>9</v>
      </c>
      <c r="Q401" s="53">
        <f t="shared" si="202"/>
        <v>1</v>
      </c>
      <c r="R401" s="53">
        <f t="shared" si="203"/>
        <v>1</v>
      </c>
      <c r="S401" s="53">
        <f t="shared" si="204"/>
        <v>0</v>
      </c>
      <c r="T401" s="101">
        <f t="shared" si="208"/>
        <v>2</v>
      </c>
      <c r="U401" s="15" t="str">
        <f>_xlfn.TEXTJOIN(", ",TRUE,ABS(MID(B401,{1,1,2},1)-MID(B401,{2,3,3},1)))</f>
        <v>1, 1, 0</v>
      </c>
      <c r="V401" s="54">
        <v>0</v>
      </c>
      <c r="W401" s="54">
        <v>1</v>
      </c>
      <c r="X401" s="54">
        <v>2</v>
      </c>
      <c r="Y401" s="54">
        <v>3</v>
      </c>
      <c r="Z401" s="54">
        <v>4</v>
      </c>
      <c r="AA401" s="54">
        <v>5</v>
      </c>
      <c r="AB401" s="54">
        <v>6</v>
      </c>
      <c r="AC401" s="54">
        <v>7</v>
      </c>
      <c r="AD401" s="54">
        <v>8</v>
      </c>
      <c r="AE401" s="54">
        <v>9</v>
      </c>
      <c r="AF401" s="55">
        <v>0</v>
      </c>
      <c r="AG401" s="55">
        <v>1</v>
      </c>
      <c r="AH401" s="55">
        <v>2</v>
      </c>
      <c r="AI401" s="55">
        <v>3</v>
      </c>
      <c r="AJ401" s="55">
        <v>4</v>
      </c>
      <c r="AK401" s="55">
        <v>5</v>
      </c>
      <c r="AL401" s="55">
        <v>6</v>
      </c>
      <c r="AM401" s="55">
        <v>7</v>
      </c>
      <c r="AN401" s="55">
        <v>8</v>
      </c>
      <c r="AO401" s="55">
        <v>9</v>
      </c>
      <c r="AP401" s="105">
        <v>0</v>
      </c>
      <c r="AQ401" s="105">
        <v>1</v>
      </c>
      <c r="AR401" s="105">
        <v>2</v>
      </c>
      <c r="AS401" s="105">
        <v>3</v>
      </c>
      <c r="AT401" s="105">
        <v>4</v>
      </c>
      <c r="AU401" s="105">
        <v>5</v>
      </c>
      <c r="AV401" s="105">
        <v>6</v>
      </c>
      <c r="AW401" s="105">
        <v>7</v>
      </c>
      <c r="AX401" s="105">
        <v>8</v>
      </c>
      <c r="AY401" s="105">
        <v>9</v>
      </c>
      <c r="AZ401" s="56">
        <v>0</v>
      </c>
      <c r="BA401" s="56">
        <v>1</v>
      </c>
      <c r="BB401" s="56">
        <v>2</v>
      </c>
      <c r="BC401" s="56">
        <v>3</v>
      </c>
      <c r="BD401" s="56">
        <v>4</v>
      </c>
      <c r="BE401" s="56">
        <v>5</v>
      </c>
      <c r="BF401" s="56">
        <v>6</v>
      </c>
      <c r="BG401" s="56">
        <v>7</v>
      </c>
      <c r="BH401" s="56">
        <v>8</v>
      </c>
      <c r="BI401" s="56">
        <v>9</v>
      </c>
      <c r="BJ401" s="57" t="str">
        <f t="shared" si="209"/>
        <v>紧凑型</v>
      </c>
      <c r="BK401" s="13">
        <f t="shared" si="205"/>
        <v>0</v>
      </c>
      <c r="BL401" s="13">
        <f t="shared" si="206"/>
        <v>1</v>
      </c>
      <c r="BM401" s="18" t="str">
        <f t="shared" si="211"/>
        <v/>
      </c>
      <c r="BN401" s="19" t="str">
        <f t="shared" si="212"/>
        <v/>
      </c>
      <c r="BO401" s="19" t="str">
        <f t="array" ref="BO401">_xlfn.TEXTJOIN("",TRUE,IF(ISERROR(FIND(ROW($1:$10)-1,BM401&amp;BN401)),ROW($1:$10)-1,""))</f>
        <v>0123456789</v>
      </c>
      <c r="BP401" s="20" t="str">
        <f t="shared" si="213"/>
        <v>中中中</v>
      </c>
      <c r="BQ401" s="21" t="str">
        <f t="shared" si="224"/>
        <v/>
      </c>
      <c r="BR401" s="21" t="str">
        <f t="shared" si="222"/>
        <v/>
      </c>
      <c r="BS401" s="21" t="str">
        <f t="array" ref="BS401">_xlfn.TEXTJOIN("",TRUE,IF(ISERROR(FIND(ROW($1:$10)-1,BQ401&amp;BR401)),ROW($1:$10)-1,""))</f>
        <v>0123456789</v>
      </c>
      <c r="BT401" s="20" t="str">
        <f t="shared" si="214"/>
        <v>中中中</v>
      </c>
      <c r="BU401" s="22">
        <f t="shared" si="215"/>
        <v>0</v>
      </c>
      <c r="BV401" s="22">
        <f t="shared" si="223"/>
        <v>0</v>
      </c>
      <c r="BW401" s="22" t="str">
        <f t="array" ref="BW401">_xlfn.TEXTJOIN("",TRUE,IF(ISERROR(FIND(ROW($1:$10)-1,BU401&amp;BV401)),ROW($1:$10)-1,""))</f>
        <v>123456789</v>
      </c>
      <c r="BX401" s="20" t="str">
        <f t="shared" si="216"/>
        <v>复隔中</v>
      </c>
      <c r="BY401" s="23" t="str">
        <f t="shared" si="210"/>
        <v>02</v>
      </c>
      <c r="BZ401" s="24" t="str">
        <f t="array" ref="BZ401">_xlfn.TEXTJOIN("",TRUE,IF(ISNUMBER(FIND(MID(BY400&amp;Q400,ROW($1:$4),1),BY401&amp;Q401)),MID(BY400&amp;Q400,ROW($1:$4),1),""))</f>
        <v/>
      </c>
      <c r="CA401" s="25" t="str">
        <f t="array" ref="CA401">_xlfn.TEXTJOIN("",TRUE,IF(ISERROR(FIND(ROW($1:$10)-1,BY401&amp;BZ401)),ROW($1:$10)-1,""))</f>
        <v>13456789</v>
      </c>
      <c r="CB401" s="26" t="str">
        <f t="shared" si="217"/>
        <v>邻孤孤</v>
      </c>
      <c r="CC401" s="27" t="str">
        <f t="shared" si="218"/>
        <v>02</v>
      </c>
      <c r="CD401" s="27" t="str">
        <f t="array" ref="CD401">_xlfn.TEXTJOIN("",TRUE,IF(ISNUMBER(FIND(MID(CC400&amp;R400,ROW($1:$4),1),CC401&amp;R401)),MID(CC400&amp;R400,ROW($1:$4),1),""))</f>
        <v>10</v>
      </c>
      <c r="CE401" s="27" t="str">
        <f t="array" ref="CE401">_xlfn.TEXTJOIN("",TRUE,IF(ISERROR(FIND(ROW($1:$10)-1,CC401&amp;CD401)),ROW($1:$10)-1,""))</f>
        <v>3456789</v>
      </c>
      <c r="CF401" s="17" t="str">
        <f t="shared" si="219"/>
        <v>邻传孤</v>
      </c>
      <c r="CG401" s="22" t="str">
        <f t="shared" si="220"/>
        <v>91</v>
      </c>
      <c r="CH401" s="22" t="str">
        <f t="array" ref="CH401">_xlfn.TEXTJOIN("",TRUE,IF(ISNUMBER(FIND(MID(CG400&amp;S400,ROW($1:$4),1),CG401&amp;S401)),MID(CG400&amp;S400,ROW($1:$4),1),""))</f>
        <v/>
      </c>
      <c r="CI401" s="22" t="str">
        <f t="array" ref="CI401">_xlfn.TEXTJOIN("",TRUE,IF(ISERROR(FIND(ROW($1:$10)-1,CG401&amp;CH401)),ROW($1:$10)-1,""))</f>
        <v>02345678</v>
      </c>
      <c r="CJ401" s="28" t="str">
        <f t="shared" si="221"/>
        <v>邻孤孤</v>
      </c>
    </row>
    <row r="402" spans="1:88">
      <c r="A402" s="32">
        <v>2025177</v>
      </c>
      <c r="B402" s="8" t="s">
        <v>119</v>
      </c>
      <c r="C402" s="49">
        <f t="shared" si="200"/>
        <v>20</v>
      </c>
      <c r="D402" s="50">
        <f t="shared" si="201"/>
        <v>0</v>
      </c>
      <c r="E402" s="51">
        <f t="shared" si="207"/>
        <v>6.6666666666666696</v>
      </c>
      <c r="F402" s="52">
        <f>MAX(MID(B402,{1,2,3},1)*1)-MIN(MID(B402,{1,2,3},1)*1)</f>
        <v>5</v>
      </c>
      <c r="G402" s="104">
        <v>0</v>
      </c>
      <c r="H402" s="104">
        <v>1</v>
      </c>
      <c r="I402" s="104">
        <v>2</v>
      </c>
      <c r="J402" s="104">
        <v>3</v>
      </c>
      <c r="K402" s="104">
        <v>4</v>
      </c>
      <c r="L402" s="104">
        <v>5</v>
      </c>
      <c r="M402" s="104">
        <v>6</v>
      </c>
      <c r="N402" s="104">
        <v>7</v>
      </c>
      <c r="O402" s="104">
        <v>8</v>
      </c>
      <c r="P402" s="104">
        <v>9</v>
      </c>
      <c r="Q402" s="53">
        <f t="shared" si="202"/>
        <v>5</v>
      </c>
      <c r="R402" s="53">
        <f t="shared" si="203"/>
        <v>3</v>
      </c>
      <c r="S402" s="53">
        <f t="shared" si="204"/>
        <v>2</v>
      </c>
      <c r="T402" s="101">
        <f t="shared" si="208"/>
        <v>10</v>
      </c>
      <c r="U402" s="15" t="str">
        <f>_xlfn.TEXTJOIN(", ",TRUE,ABS(MID(B402,{1,1,2},1)-MID(B402,{2,3,3},1)))</f>
        <v>5, 3, 2</v>
      </c>
      <c r="V402" s="54">
        <v>0</v>
      </c>
      <c r="W402" s="54">
        <v>1</v>
      </c>
      <c r="X402" s="54">
        <v>2</v>
      </c>
      <c r="Y402" s="54">
        <v>3</v>
      </c>
      <c r="Z402" s="54">
        <v>4</v>
      </c>
      <c r="AA402" s="54">
        <v>5</v>
      </c>
      <c r="AB402" s="54">
        <v>6</v>
      </c>
      <c r="AC402" s="54">
        <v>7</v>
      </c>
      <c r="AD402" s="54">
        <v>8</v>
      </c>
      <c r="AE402" s="54">
        <v>9</v>
      </c>
      <c r="AF402" s="55">
        <v>0</v>
      </c>
      <c r="AG402" s="55">
        <v>1</v>
      </c>
      <c r="AH402" s="55">
        <v>2</v>
      </c>
      <c r="AI402" s="55">
        <v>3</v>
      </c>
      <c r="AJ402" s="55">
        <v>4</v>
      </c>
      <c r="AK402" s="55">
        <v>5</v>
      </c>
      <c r="AL402" s="55">
        <v>6</v>
      </c>
      <c r="AM402" s="55">
        <v>7</v>
      </c>
      <c r="AN402" s="55">
        <v>8</v>
      </c>
      <c r="AO402" s="55">
        <v>9</v>
      </c>
      <c r="AP402" s="105">
        <v>0</v>
      </c>
      <c r="AQ402" s="105">
        <v>1</v>
      </c>
      <c r="AR402" s="105">
        <v>2</v>
      </c>
      <c r="AS402" s="105">
        <v>3</v>
      </c>
      <c r="AT402" s="105">
        <v>4</v>
      </c>
      <c r="AU402" s="105">
        <v>5</v>
      </c>
      <c r="AV402" s="105">
        <v>6</v>
      </c>
      <c r="AW402" s="105">
        <v>7</v>
      </c>
      <c r="AX402" s="105">
        <v>8</v>
      </c>
      <c r="AY402" s="105">
        <v>9</v>
      </c>
      <c r="AZ402" s="56">
        <v>0</v>
      </c>
      <c r="BA402" s="56">
        <v>1</v>
      </c>
      <c r="BB402" s="56">
        <v>2</v>
      </c>
      <c r="BC402" s="56">
        <v>3</v>
      </c>
      <c r="BD402" s="56">
        <v>4</v>
      </c>
      <c r="BE402" s="56">
        <v>5</v>
      </c>
      <c r="BF402" s="56">
        <v>6</v>
      </c>
      <c r="BG402" s="56">
        <v>7</v>
      </c>
      <c r="BH402" s="56">
        <v>8</v>
      </c>
      <c r="BI402" s="56">
        <v>9</v>
      </c>
      <c r="BJ402" s="57" t="str">
        <f t="shared" si="209"/>
        <v>标准型</v>
      </c>
      <c r="BK402" s="13">
        <f t="shared" si="205"/>
        <v>2</v>
      </c>
      <c r="BL402" s="13">
        <f t="shared" si="206"/>
        <v>5</v>
      </c>
      <c r="BM402" s="18" t="str">
        <f t="shared" si="211"/>
        <v/>
      </c>
      <c r="BN402" s="19">
        <f t="shared" si="212"/>
        <v>5</v>
      </c>
      <c r="BO402" s="19" t="str">
        <f t="array" ref="BO402">_xlfn.TEXTJOIN("",TRUE,IF(ISERROR(FIND(ROW($1:$10)-1,BM402&amp;BN402)),ROW($1:$10)-1,""))</f>
        <v>012346789</v>
      </c>
      <c r="BP402" s="20" t="str">
        <f t="shared" si="213"/>
        <v>中隔中</v>
      </c>
      <c r="BQ402" s="21" t="str">
        <f t="shared" si="224"/>
        <v/>
      </c>
      <c r="BR402" s="21" t="str">
        <f t="shared" si="222"/>
        <v/>
      </c>
      <c r="BS402" s="21" t="str">
        <f t="array" ref="BS402">_xlfn.TEXTJOIN("",TRUE,IF(ISERROR(FIND(ROW($1:$10)-1,BQ402&amp;BR402)),ROW($1:$10)-1,""))</f>
        <v>0123456789</v>
      </c>
      <c r="BT402" s="20" t="str">
        <f t="shared" si="214"/>
        <v>中中中</v>
      </c>
      <c r="BU402" s="22" t="str">
        <f t="shared" si="215"/>
        <v/>
      </c>
      <c r="BV402" s="22" t="str">
        <f t="shared" si="223"/>
        <v/>
      </c>
      <c r="BW402" s="22" t="str">
        <f t="array" ref="BW402">_xlfn.TEXTJOIN("",TRUE,IF(ISERROR(FIND(ROW($1:$10)-1,BU402&amp;BV402)),ROW($1:$10)-1,""))</f>
        <v>0123456789</v>
      </c>
      <c r="BX402" s="20" t="str">
        <f t="shared" si="216"/>
        <v>中中中</v>
      </c>
      <c r="BY402" s="23" t="str">
        <f t="shared" si="210"/>
        <v>46</v>
      </c>
      <c r="BZ402" s="24" t="str">
        <f t="array" ref="BZ402">_xlfn.TEXTJOIN("",TRUE,IF(ISNUMBER(FIND(MID(BY401&amp;Q401,ROW($1:$4),1),BY402&amp;Q402)),MID(BY401&amp;Q401,ROW($1:$4),1),""))</f>
        <v/>
      </c>
      <c r="CA402" s="25" t="str">
        <f t="array" ref="CA402">_xlfn.TEXTJOIN("",TRUE,IF(ISERROR(FIND(ROW($1:$10)-1,BY402&amp;BZ402)),ROW($1:$10)-1,""))</f>
        <v>01235789</v>
      </c>
      <c r="CB402" s="26" t="str">
        <f t="shared" si="217"/>
        <v>邻孤孤</v>
      </c>
      <c r="CC402" s="27" t="str">
        <f t="shared" si="218"/>
        <v>24</v>
      </c>
      <c r="CD402" s="27" t="str">
        <f t="array" ref="CD402">_xlfn.TEXTJOIN("",TRUE,IF(ISNUMBER(FIND(MID(CC401&amp;R401,ROW($1:$4),1),CC402&amp;R402)),MID(CC401&amp;R401,ROW($1:$4),1),""))</f>
        <v>2</v>
      </c>
      <c r="CE402" s="27" t="str">
        <f t="array" ref="CE402">_xlfn.TEXTJOIN("",TRUE,IF(ISERROR(FIND(ROW($1:$10)-1,CC402&amp;CD402)),ROW($1:$10)-1,""))</f>
        <v>01356789</v>
      </c>
      <c r="CF402" s="17" t="str">
        <f t="shared" si="219"/>
        <v>邻传孤</v>
      </c>
      <c r="CG402" s="22" t="str">
        <f t="shared" si="220"/>
        <v>13</v>
      </c>
      <c r="CH402" s="22" t="str">
        <f t="array" ref="CH402">_xlfn.TEXTJOIN("",TRUE,IF(ISNUMBER(FIND(MID(CG401&amp;S401,ROW($1:$4),1),CG402&amp;S402)),MID(CG401&amp;S401,ROW($1:$4),1),""))</f>
        <v>1</v>
      </c>
      <c r="CI402" s="22" t="str">
        <f t="array" ref="CI402">_xlfn.TEXTJOIN("",TRUE,IF(ISERROR(FIND(ROW($1:$10)-1,CG402&amp;CH402)),ROW($1:$10)-1,""))</f>
        <v>02456789</v>
      </c>
      <c r="CJ402" s="28" t="str">
        <f t="shared" si="221"/>
        <v>邻传孤</v>
      </c>
    </row>
    <row r="403" spans="1:88">
      <c r="A403" s="32">
        <v>2025178</v>
      </c>
      <c r="B403" s="8" t="s">
        <v>343</v>
      </c>
      <c r="C403" s="49">
        <f t="shared" ref="C403:C423" si="225">LEFT(B403,1)+MID(B403,2,1)+RIGHT(B403,1)</f>
        <v>17</v>
      </c>
      <c r="D403" s="50">
        <f t="shared" ref="D403:D423" si="226">MOD(LEFT(B403,1)+MID(B403,2,1)+RIGHT(B403,1),10)</f>
        <v>7</v>
      </c>
      <c r="E403" s="51">
        <f t="shared" si="207"/>
        <v>5.6666666666666696</v>
      </c>
      <c r="F403" s="52">
        <f>MAX(MID(B403,{1,2,3},1)*1)-MIN(MID(B403,{1,2,3},1)*1)</f>
        <v>6</v>
      </c>
      <c r="G403" s="104">
        <v>0</v>
      </c>
      <c r="H403" s="104">
        <v>1</v>
      </c>
      <c r="I403" s="104">
        <v>2</v>
      </c>
      <c r="J403" s="104">
        <v>3</v>
      </c>
      <c r="K403" s="104">
        <v>4</v>
      </c>
      <c r="L403" s="104">
        <v>5</v>
      </c>
      <c r="M403" s="104">
        <v>6</v>
      </c>
      <c r="N403" s="104">
        <v>7</v>
      </c>
      <c r="O403" s="104">
        <v>8</v>
      </c>
      <c r="P403" s="104">
        <v>9</v>
      </c>
      <c r="Q403" s="53">
        <f t="shared" ref="Q403:Q423" si="227">ABS(LEFT(B403,1)-MID(B403,2,1))</f>
        <v>5</v>
      </c>
      <c r="R403" s="53">
        <f t="shared" ref="R403:R423" si="228">ABS(LEFT(B403,1)-RIGHT(B403,1))</f>
        <v>1</v>
      </c>
      <c r="S403" s="53">
        <f t="shared" ref="S403:S423" si="229">ABS(MID(B403,2,1)-RIGHT(B403,1))</f>
        <v>6</v>
      </c>
      <c r="T403" s="101">
        <f t="shared" si="208"/>
        <v>12</v>
      </c>
      <c r="U403" s="15" t="str">
        <f>_xlfn.TEXTJOIN(", ",TRUE,ABS(MID(B403,{1,1,2},1)-MID(B403,{2,3,3},1)))</f>
        <v>5, 1, 6</v>
      </c>
      <c r="V403" s="54">
        <v>0</v>
      </c>
      <c r="W403" s="54">
        <v>1</v>
      </c>
      <c r="X403" s="54">
        <v>2</v>
      </c>
      <c r="Y403" s="54">
        <v>3</v>
      </c>
      <c r="Z403" s="54">
        <v>4</v>
      </c>
      <c r="AA403" s="54">
        <v>5</v>
      </c>
      <c r="AB403" s="54">
        <v>6</v>
      </c>
      <c r="AC403" s="54">
        <v>7</v>
      </c>
      <c r="AD403" s="54">
        <v>8</v>
      </c>
      <c r="AE403" s="54">
        <v>9</v>
      </c>
      <c r="AF403" s="55">
        <v>0</v>
      </c>
      <c r="AG403" s="55">
        <v>1</v>
      </c>
      <c r="AH403" s="55">
        <v>2</v>
      </c>
      <c r="AI403" s="55">
        <v>3</v>
      </c>
      <c r="AJ403" s="55">
        <v>4</v>
      </c>
      <c r="AK403" s="55">
        <v>5</v>
      </c>
      <c r="AL403" s="55">
        <v>6</v>
      </c>
      <c r="AM403" s="55">
        <v>7</v>
      </c>
      <c r="AN403" s="55">
        <v>8</v>
      </c>
      <c r="AO403" s="55">
        <v>9</v>
      </c>
      <c r="AP403" s="105">
        <v>0</v>
      </c>
      <c r="AQ403" s="105">
        <v>1</v>
      </c>
      <c r="AR403" s="105">
        <v>2</v>
      </c>
      <c r="AS403" s="105">
        <v>3</v>
      </c>
      <c r="AT403" s="105">
        <v>4</v>
      </c>
      <c r="AU403" s="105">
        <v>5</v>
      </c>
      <c r="AV403" s="105">
        <v>6</v>
      </c>
      <c r="AW403" s="105">
        <v>7</v>
      </c>
      <c r="AX403" s="105">
        <v>8</v>
      </c>
      <c r="AY403" s="105">
        <v>9</v>
      </c>
      <c r="AZ403" s="56">
        <v>0</v>
      </c>
      <c r="BA403" s="56">
        <v>1</v>
      </c>
      <c r="BB403" s="56">
        <v>2</v>
      </c>
      <c r="BC403" s="56">
        <v>3</v>
      </c>
      <c r="BD403" s="56">
        <v>4</v>
      </c>
      <c r="BE403" s="56">
        <v>5</v>
      </c>
      <c r="BF403" s="56">
        <v>6</v>
      </c>
      <c r="BG403" s="56">
        <v>7</v>
      </c>
      <c r="BH403" s="56">
        <v>8</v>
      </c>
      <c r="BI403" s="56">
        <v>9</v>
      </c>
      <c r="BJ403" s="57" t="str">
        <f t="shared" si="209"/>
        <v>松散型</v>
      </c>
      <c r="BK403" s="13">
        <f t="shared" si="205"/>
        <v>1</v>
      </c>
      <c r="BL403" s="13">
        <f t="shared" si="206"/>
        <v>6</v>
      </c>
      <c r="BM403" s="18">
        <f t="shared" si="211"/>
        <v>5</v>
      </c>
      <c r="BN403" s="19" t="str">
        <f t="shared" si="212"/>
        <v/>
      </c>
      <c r="BO403" s="19" t="str">
        <f t="array" ref="BO403">_xlfn.TEXTJOIN("",TRUE,IF(ISERROR(FIND(ROW($1:$10)-1,BM403&amp;BN403)),ROW($1:$10)-1,""))</f>
        <v>012346789</v>
      </c>
      <c r="BP403" s="20" t="str">
        <f t="shared" si="213"/>
        <v>复中中</v>
      </c>
      <c r="BQ403" s="21" t="str">
        <f t="shared" si="224"/>
        <v/>
      </c>
      <c r="BR403" s="21">
        <f t="shared" si="222"/>
        <v>1</v>
      </c>
      <c r="BS403" s="21" t="str">
        <f t="array" ref="BS403">_xlfn.TEXTJOIN("",TRUE,IF(ISERROR(FIND(ROW($1:$10)-1,BQ403&amp;BR403)),ROW($1:$10)-1,""))</f>
        <v>023456789</v>
      </c>
      <c r="BT403" s="20" t="str">
        <f t="shared" si="214"/>
        <v>中隔中</v>
      </c>
      <c r="BU403" s="22" t="str">
        <f t="shared" si="215"/>
        <v/>
      </c>
      <c r="BV403" s="22" t="str">
        <f t="shared" si="223"/>
        <v/>
      </c>
      <c r="BW403" s="22" t="str">
        <f t="array" ref="BW403">_xlfn.TEXTJOIN("",TRUE,IF(ISERROR(FIND(ROW($1:$10)-1,BU403&amp;BV403)),ROW($1:$10)-1,""))</f>
        <v>0123456789</v>
      </c>
      <c r="BX403" s="20" t="str">
        <f t="shared" si="216"/>
        <v>中中中</v>
      </c>
      <c r="BY403" s="23" t="str">
        <f t="shared" si="210"/>
        <v>46</v>
      </c>
      <c r="BZ403" s="24" t="str">
        <f t="array" ref="BZ403">_xlfn.TEXTJOIN("",TRUE,IF(ISNUMBER(FIND(MID(BY402&amp;Q402,ROW($1:$4),1),BY403&amp;Q403)),MID(BY402&amp;Q402,ROW($1:$4),1),""))</f>
        <v>465</v>
      </c>
      <c r="CA403" s="25" t="str">
        <f t="array" ref="CA403">_xlfn.TEXTJOIN("",TRUE,IF(ISERROR(FIND(ROW($1:$10)-1,BY403&amp;BZ403)),ROW($1:$10)-1,""))</f>
        <v>0123789</v>
      </c>
      <c r="CB403" s="26" t="str">
        <f t="shared" si="217"/>
        <v>邻传孤</v>
      </c>
      <c r="CC403" s="27" t="str">
        <f t="shared" si="218"/>
        <v>02</v>
      </c>
      <c r="CD403" s="27" t="str">
        <f t="array" ref="CD403">_xlfn.TEXTJOIN("",TRUE,IF(ISNUMBER(FIND(MID(CC402&amp;R402,ROW($1:$4),1),CC403&amp;R403)),MID(CC402&amp;R402,ROW($1:$4),1),""))</f>
        <v>2</v>
      </c>
      <c r="CE403" s="27" t="str">
        <f t="array" ref="CE403">_xlfn.TEXTJOIN("",TRUE,IF(ISERROR(FIND(ROW($1:$10)-1,CC403&amp;CD403)),ROW($1:$10)-1,""))</f>
        <v>13456789</v>
      </c>
      <c r="CF403" s="17" t="str">
        <f t="shared" si="219"/>
        <v>邻传孤</v>
      </c>
      <c r="CG403" s="22" t="str">
        <f t="shared" si="220"/>
        <v>57</v>
      </c>
      <c r="CH403" s="22" t="str">
        <f t="array" ref="CH403">_xlfn.TEXTJOIN("",TRUE,IF(ISNUMBER(FIND(MID(CG402&amp;S402,ROW($1:$4),1),CG403&amp;S403)),MID(CG402&amp;S402,ROW($1:$4),1),""))</f>
        <v/>
      </c>
      <c r="CI403" s="22" t="str">
        <f t="array" ref="CI403">_xlfn.TEXTJOIN("",TRUE,IF(ISERROR(FIND(ROW($1:$10)-1,CG403&amp;CH403)),ROW($1:$10)-1,""))</f>
        <v>01234689</v>
      </c>
      <c r="CJ403" s="28" t="str">
        <f t="shared" si="221"/>
        <v>邻孤孤</v>
      </c>
    </row>
    <row r="404" spans="1:88">
      <c r="A404" s="32">
        <v>2025179</v>
      </c>
      <c r="B404" s="8" t="s">
        <v>200</v>
      </c>
      <c r="C404" s="49">
        <f t="shared" si="225"/>
        <v>10</v>
      </c>
      <c r="D404" s="50">
        <f t="shared" si="226"/>
        <v>0</v>
      </c>
      <c r="E404" s="51">
        <f t="shared" si="207"/>
        <v>3.3333333333333299</v>
      </c>
      <c r="F404" s="52">
        <f>MAX(MID(B404,{1,2,3},1)*1)-MIN(MID(B404,{1,2,3},1)*1)</f>
        <v>8</v>
      </c>
      <c r="G404" s="104">
        <v>0</v>
      </c>
      <c r="H404" s="104">
        <v>1</v>
      </c>
      <c r="I404" s="104">
        <v>2</v>
      </c>
      <c r="J404" s="104">
        <v>3</v>
      </c>
      <c r="K404" s="104">
        <v>4</v>
      </c>
      <c r="L404" s="104">
        <v>5</v>
      </c>
      <c r="M404" s="104">
        <v>6</v>
      </c>
      <c r="N404" s="104">
        <v>7</v>
      </c>
      <c r="O404" s="104">
        <v>8</v>
      </c>
      <c r="P404" s="104">
        <v>9</v>
      </c>
      <c r="Q404" s="53">
        <f t="shared" si="227"/>
        <v>6</v>
      </c>
      <c r="R404" s="53">
        <f t="shared" si="228"/>
        <v>2</v>
      </c>
      <c r="S404" s="53">
        <f t="shared" si="229"/>
        <v>8</v>
      </c>
      <c r="T404" s="101">
        <f t="shared" si="208"/>
        <v>16</v>
      </c>
      <c r="U404" s="15" t="str">
        <f>_xlfn.TEXTJOIN(", ",TRUE,ABS(MID(B404,{1,1,2},1)-MID(B404,{2,3,3},1)))</f>
        <v>6, 2, 8</v>
      </c>
      <c r="V404" s="54">
        <v>0</v>
      </c>
      <c r="W404" s="54">
        <v>1</v>
      </c>
      <c r="X404" s="54">
        <v>2</v>
      </c>
      <c r="Y404" s="54">
        <v>3</v>
      </c>
      <c r="Z404" s="54">
        <v>4</v>
      </c>
      <c r="AA404" s="54">
        <v>5</v>
      </c>
      <c r="AB404" s="54">
        <v>6</v>
      </c>
      <c r="AC404" s="54">
        <v>7</v>
      </c>
      <c r="AD404" s="54">
        <v>8</v>
      </c>
      <c r="AE404" s="54">
        <v>9</v>
      </c>
      <c r="AF404" s="55">
        <v>0</v>
      </c>
      <c r="AG404" s="55">
        <v>1</v>
      </c>
      <c r="AH404" s="55">
        <v>2</v>
      </c>
      <c r="AI404" s="55">
        <v>3</v>
      </c>
      <c r="AJ404" s="55">
        <v>4</v>
      </c>
      <c r="AK404" s="55">
        <v>5</v>
      </c>
      <c r="AL404" s="55">
        <v>6</v>
      </c>
      <c r="AM404" s="55">
        <v>7</v>
      </c>
      <c r="AN404" s="55">
        <v>8</v>
      </c>
      <c r="AO404" s="55">
        <v>9</v>
      </c>
      <c r="AP404" s="105">
        <v>0</v>
      </c>
      <c r="AQ404" s="105">
        <v>1</v>
      </c>
      <c r="AR404" s="105">
        <v>2</v>
      </c>
      <c r="AS404" s="105">
        <v>3</v>
      </c>
      <c r="AT404" s="105">
        <v>4</v>
      </c>
      <c r="AU404" s="105">
        <v>5</v>
      </c>
      <c r="AV404" s="105">
        <v>6</v>
      </c>
      <c r="AW404" s="105">
        <v>7</v>
      </c>
      <c r="AX404" s="105">
        <v>8</v>
      </c>
      <c r="AY404" s="105">
        <v>9</v>
      </c>
      <c r="AZ404" s="56">
        <v>0</v>
      </c>
      <c r="BA404" s="56">
        <v>1</v>
      </c>
      <c r="BB404" s="56">
        <v>2</v>
      </c>
      <c r="BC404" s="56">
        <v>3</v>
      </c>
      <c r="BD404" s="56">
        <v>4</v>
      </c>
      <c r="BE404" s="56">
        <v>5</v>
      </c>
      <c r="BF404" s="56">
        <v>6</v>
      </c>
      <c r="BG404" s="56">
        <v>7</v>
      </c>
      <c r="BH404" s="56">
        <v>8</v>
      </c>
      <c r="BI404" s="56">
        <v>9</v>
      </c>
      <c r="BJ404" s="57" t="str">
        <f t="shared" si="209"/>
        <v>松散型</v>
      </c>
      <c r="BK404" s="13">
        <f t="shared" si="205"/>
        <v>2</v>
      </c>
      <c r="BL404" s="13">
        <f t="shared" si="206"/>
        <v>8</v>
      </c>
      <c r="BM404" s="18">
        <f t="shared" si="211"/>
        <v>6</v>
      </c>
      <c r="BN404" s="19" t="str">
        <f t="shared" si="212"/>
        <v/>
      </c>
      <c r="BO404" s="19" t="str">
        <f t="array" ref="BO404">_xlfn.TEXTJOIN("",TRUE,IF(ISERROR(FIND(ROW($1:$10)-1,BM404&amp;BN404)),ROW($1:$10)-1,""))</f>
        <v>012345789</v>
      </c>
      <c r="BP404" s="20" t="str">
        <f t="shared" si="213"/>
        <v>复中中</v>
      </c>
      <c r="BQ404" s="21" t="str">
        <f t="shared" si="224"/>
        <v/>
      </c>
      <c r="BR404" s="21">
        <f t="shared" si="222"/>
        <v>2</v>
      </c>
      <c r="BS404" s="21" t="str">
        <f t="array" ref="BS404">_xlfn.TEXTJOIN("",TRUE,IF(ISERROR(FIND(ROW($1:$10)-1,BQ404&amp;BR404)),ROW($1:$10)-1,""))</f>
        <v>013456789</v>
      </c>
      <c r="BT404" s="20" t="str">
        <f t="shared" si="214"/>
        <v>中隔中</v>
      </c>
      <c r="BU404" s="22" t="str">
        <f t="shared" si="215"/>
        <v/>
      </c>
      <c r="BV404" s="22" t="str">
        <f t="shared" si="223"/>
        <v/>
      </c>
      <c r="BW404" s="22" t="str">
        <f t="array" ref="BW404">_xlfn.TEXTJOIN("",TRUE,IF(ISERROR(FIND(ROW($1:$10)-1,BU404&amp;BV404)),ROW($1:$10)-1,""))</f>
        <v>0123456789</v>
      </c>
      <c r="BX404" s="20" t="str">
        <f t="shared" si="216"/>
        <v>中中中</v>
      </c>
      <c r="BY404" s="23" t="str">
        <f t="shared" si="210"/>
        <v>57</v>
      </c>
      <c r="BZ404" s="24" t="str">
        <f t="array" ref="BZ404">_xlfn.TEXTJOIN("",TRUE,IF(ISNUMBER(FIND(MID(BY403&amp;Q403,ROW($1:$4),1),BY404&amp;Q404)),MID(BY403&amp;Q403,ROW($1:$4),1),""))</f>
        <v>65</v>
      </c>
      <c r="CA404" s="25" t="str">
        <f t="array" ref="CA404">_xlfn.TEXTJOIN("",TRUE,IF(ISERROR(FIND(ROW($1:$10)-1,BY404&amp;BZ404)),ROW($1:$10)-1,""))</f>
        <v>0123489</v>
      </c>
      <c r="CB404" s="26" t="str">
        <f t="shared" si="217"/>
        <v>邻传孤</v>
      </c>
      <c r="CC404" s="27" t="str">
        <f t="shared" si="218"/>
        <v>13</v>
      </c>
      <c r="CD404" s="27" t="str">
        <f t="array" ref="CD404">_xlfn.TEXTJOIN("",TRUE,IF(ISNUMBER(FIND(MID(CC403&amp;R403,ROW($1:$4),1),CC404&amp;R404)),MID(CC403&amp;R403,ROW($1:$4),1),""))</f>
        <v>21</v>
      </c>
      <c r="CE404" s="27" t="str">
        <f t="array" ref="CE404">_xlfn.TEXTJOIN("",TRUE,IF(ISERROR(FIND(ROW($1:$10)-1,CC404&amp;CD404)),ROW($1:$10)-1,""))</f>
        <v>0456789</v>
      </c>
      <c r="CF404" s="17" t="str">
        <f t="shared" si="219"/>
        <v>邻传孤</v>
      </c>
      <c r="CG404" s="22" t="str">
        <f t="shared" si="220"/>
        <v>79</v>
      </c>
      <c r="CH404" s="22" t="str">
        <f t="array" ref="CH404">_xlfn.TEXTJOIN("",TRUE,IF(ISNUMBER(FIND(MID(CG403&amp;S403,ROW($1:$4),1),CG404&amp;S404)),MID(CG403&amp;S403,ROW($1:$4),1),""))</f>
        <v>7</v>
      </c>
      <c r="CI404" s="22" t="str">
        <f t="array" ref="CI404">_xlfn.TEXTJOIN("",TRUE,IF(ISERROR(FIND(ROW($1:$10)-1,CG404&amp;CH404)),ROW($1:$10)-1,""))</f>
        <v>01234568</v>
      </c>
      <c r="CJ404" s="28" t="str">
        <f t="shared" si="221"/>
        <v>邻传孤</v>
      </c>
    </row>
    <row r="405" spans="1:88">
      <c r="A405" s="32">
        <v>2025180</v>
      </c>
      <c r="B405" s="8" t="s">
        <v>222</v>
      </c>
      <c r="C405" s="49">
        <f t="shared" si="225"/>
        <v>8</v>
      </c>
      <c r="D405" s="50">
        <f t="shared" si="226"/>
        <v>8</v>
      </c>
      <c r="E405" s="51">
        <f t="shared" si="207"/>
        <v>2.6666666666666701</v>
      </c>
      <c r="F405" s="52">
        <f>MAX(MID(B405,{1,2,3},1)*1)-MIN(MID(B405,{1,2,3},1)*1)</f>
        <v>6</v>
      </c>
      <c r="G405" s="104">
        <v>0</v>
      </c>
      <c r="H405" s="104">
        <v>1</v>
      </c>
      <c r="I405" s="104">
        <v>2</v>
      </c>
      <c r="J405" s="104">
        <v>3</v>
      </c>
      <c r="K405" s="104">
        <v>4</v>
      </c>
      <c r="L405" s="104">
        <v>5</v>
      </c>
      <c r="M405" s="104">
        <v>6</v>
      </c>
      <c r="N405" s="104">
        <v>7</v>
      </c>
      <c r="O405" s="104">
        <v>8</v>
      </c>
      <c r="P405" s="104">
        <v>9</v>
      </c>
      <c r="Q405" s="53">
        <f t="shared" si="227"/>
        <v>4</v>
      </c>
      <c r="R405" s="53">
        <f t="shared" si="228"/>
        <v>2</v>
      </c>
      <c r="S405" s="53">
        <f t="shared" si="229"/>
        <v>6</v>
      </c>
      <c r="T405" s="101">
        <f t="shared" si="208"/>
        <v>12</v>
      </c>
      <c r="U405" s="15" t="str">
        <f>_xlfn.TEXTJOIN(", ",TRUE,ABS(MID(B405,{1,1,2},1)-MID(B405,{2,3,3},1)))</f>
        <v>4, 2, 6</v>
      </c>
      <c r="V405" s="54">
        <v>0</v>
      </c>
      <c r="W405" s="54">
        <v>1</v>
      </c>
      <c r="X405" s="54">
        <v>2</v>
      </c>
      <c r="Y405" s="54">
        <v>3</v>
      </c>
      <c r="Z405" s="54">
        <v>4</v>
      </c>
      <c r="AA405" s="54">
        <v>5</v>
      </c>
      <c r="AB405" s="54">
        <v>6</v>
      </c>
      <c r="AC405" s="54">
        <v>7</v>
      </c>
      <c r="AD405" s="54">
        <v>8</v>
      </c>
      <c r="AE405" s="54">
        <v>9</v>
      </c>
      <c r="AF405" s="55">
        <v>0</v>
      </c>
      <c r="AG405" s="55">
        <v>1</v>
      </c>
      <c r="AH405" s="55">
        <v>2</v>
      </c>
      <c r="AI405" s="55">
        <v>3</v>
      </c>
      <c r="AJ405" s="55">
        <v>4</v>
      </c>
      <c r="AK405" s="55">
        <v>5</v>
      </c>
      <c r="AL405" s="55">
        <v>6</v>
      </c>
      <c r="AM405" s="55">
        <v>7</v>
      </c>
      <c r="AN405" s="55">
        <v>8</v>
      </c>
      <c r="AO405" s="55">
        <v>9</v>
      </c>
      <c r="AP405" s="105">
        <v>0</v>
      </c>
      <c r="AQ405" s="105">
        <v>1</v>
      </c>
      <c r="AR405" s="105">
        <v>2</v>
      </c>
      <c r="AS405" s="105">
        <v>3</v>
      </c>
      <c r="AT405" s="105">
        <v>4</v>
      </c>
      <c r="AU405" s="105">
        <v>5</v>
      </c>
      <c r="AV405" s="105">
        <v>6</v>
      </c>
      <c r="AW405" s="105">
        <v>7</v>
      </c>
      <c r="AX405" s="105">
        <v>8</v>
      </c>
      <c r="AY405" s="105">
        <v>9</v>
      </c>
      <c r="AZ405" s="56">
        <v>0</v>
      </c>
      <c r="BA405" s="56">
        <v>1</v>
      </c>
      <c r="BB405" s="56">
        <v>2</v>
      </c>
      <c r="BC405" s="56">
        <v>3</v>
      </c>
      <c r="BD405" s="56">
        <v>4</v>
      </c>
      <c r="BE405" s="56">
        <v>5</v>
      </c>
      <c r="BF405" s="56">
        <v>6</v>
      </c>
      <c r="BG405" s="56">
        <v>7</v>
      </c>
      <c r="BH405" s="56">
        <v>8</v>
      </c>
      <c r="BI405" s="56">
        <v>9</v>
      </c>
      <c r="BJ405" s="57" t="str">
        <f t="shared" si="209"/>
        <v>松散型</v>
      </c>
      <c r="BK405" s="13">
        <f t="shared" si="205"/>
        <v>2</v>
      </c>
      <c r="BL405" s="13">
        <f t="shared" si="206"/>
        <v>6</v>
      </c>
      <c r="BM405" s="18" t="str">
        <f t="shared" si="211"/>
        <v/>
      </c>
      <c r="BN405" s="19" t="str">
        <f t="shared" si="212"/>
        <v/>
      </c>
      <c r="BO405" s="19" t="str">
        <f t="array" ref="BO405">_xlfn.TEXTJOIN("",TRUE,IF(ISERROR(FIND(ROW($1:$10)-1,BM405&amp;BN405)),ROW($1:$10)-1,""))</f>
        <v>0123456789</v>
      </c>
      <c r="BP405" s="20" t="str">
        <f t="shared" si="213"/>
        <v>中中中</v>
      </c>
      <c r="BQ405" s="21">
        <f t="shared" si="224"/>
        <v>2</v>
      </c>
      <c r="BR405" s="21" t="str">
        <f t="shared" si="222"/>
        <v/>
      </c>
      <c r="BS405" s="21" t="str">
        <f t="array" ref="BS405">_xlfn.TEXTJOIN("",TRUE,IF(ISERROR(FIND(ROW($1:$10)-1,BQ405&amp;BR405)),ROW($1:$10)-1,""))</f>
        <v>013456789</v>
      </c>
      <c r="BT405" s="20" t="str">
        <f t="shared" si="214"/>
        <v>复中中</v>
      </c>
      <c r="BU405" s="22">
        <f t="shared" si="215"/>
        <v>6</v>
      </c>
      <c r="BV405" s="22">
        <f t="shared" si="223"/>
        <v>6</v>
      </c>
      <c r="BW405" s="22" t="str">
        <f t="array" ref="BW405">_xlfn.TEXTJOIN("",TRUE,IF(ISERROR(FIND(ROW($1:$10)-1,BU405&amp;BV405)),ROW($1:$10)-1,""))</f>
        <v>012345789</v>
      </c>
      <c r="BX405" s="20" t="str">
        <f t="shared" si="216"/>
        <v>复隔中</v>
      </c>
      <c r="BY405" s="23" t="str">
        <f t="shared" si="210"/>
        <v>35</v>
      </c>
      <c r="BZ405" s="24" t="str">
        <f t="array" ref="BZ405">_xlfn.TEXTJOIN("",TRUE,IF(ISNUMBER(FIND(MID(BY404&amp;Q404,ROW($1:$4),1),BY405&amp;Q405)),MID(BY404&amp;Q404,ROW($1:$4),1),""))</f>
        <v>5</v>
      </c>
      <c r="CA405" s="25" t="str">
        <f t="array" ref="CA405">_xlfn.TEXTJOIN("",TRUE,IF(ISERROR(FIND(ROW($1:$10)-1,BY405&amp;BZ405)),ROW($1:$10)-1,""))</f>
        <v>01246789</v>
      </c>
      <c r="CB405" s="26" t="str">
        <f t="shared" si="217"/>
        <v>邻传孤</v>
      </c>
      <c r="CC405" s="27" t="str">
        <f t="shared" si="218"/>
        <v>13</v>
      </c>
      <c r="CD405" s="27" t="str">
        <f t="array" ref="CD405">_xlfn.TEXTJOIN("",TRUE,IF(ISNUMBER(FIND(MID(CC404&amp;R404,ROW($1:$4),1),CC405&amp;R405)),MID(CC404&amp;R404,ROW($1:$4),1),""))</f>
        <v>132</v>
      </c>
      <c r="CE405" s="27" t="str">
        <f t="array" ref="CE405">_xlfn.TEXTJOIN("",TRUE,IF(ISERROR(FIND(ROW($1:$10)-1,CC405&amp;CD405)),ROW($1:$10)-1,""))</f>
        <v>0456789</v>
      </c>
      <c r="CF405" s="17" t="str">
        <f t="shared" si="219"/>
        <v>邻传孤</v>
      </c>
      <c r="CG405" s="22" t="str">
        <f t="shared" si="220"/>
        <v>57</v>
      </c>
      <c r="CH405" s="22" t="str">
        <f t="array" ref="CH405">_xlfn.TEXTJOIN("",TRUE,IF(ISNUMBER(FIND(MID(CG404&amp;S404,ROW($1:$4),1),CG405&amp;S405)),MID(CG404&amp;S404,ROW($1:$4),1),""))</f>
        <v>7</v>
      </c>
      <c r="CI405" s="22" t="str">
        <f t="array" ref="CI405">_xlfn.TEXTJOIN("",TRUE,IF(ISERROR(FIND(ROW($1:$10)-1,CG405&amp;CH405)),ROW($1:$10)-1,""))</f>
        <v>01234689</v>
      </c>
      <c r="CJ405" s="28" t="str">
        <f t="shared" si="221"/>
        <v>邻传孤</v>
      </c>
    </row>
    <row r="406" spans="1:88">
      <c r="A406" s="32">
        <v>2025181</v>
      </c>
      <c r="B406" s="8" t="s">
        <v>344</v>
      </c>
      <c r="C406" s="49">
        <f t="shared" si="225"/>
        <v>22</v>
      </c>
      <c r="D406" s="50">
        <f t="shared" si="226"/>
        <v>2</v>
      </c>
      <c r="E406" s="51">
        <f t="shared" si="207"/>
        <v>7.3333333333333304</v>
      </c>
      <c r="F406" s="52">
        <f>MAX(MID(B406,{1,2,3},1)*1)-MIN(MID(B406,{1,2,3},1)*1)</f>
        <v>2</v>
      </c>
      <c r="G406" s="104">
        <v>0</v>
      </c>
      <c r="H406" s="104">
        <v>1</v>
      </c>
      <c r="I406" s="104">
        <v>2</v>
      </c>
      <c r="J406" s="104">
        <v>3</v>
      </c>
      <c r="K406" s="104">
        <v>4</v>
      </c>
      <c r="L406" s="104">
        <v>5</v>
      </c>
      <c r="M406" s="104">
        <v>6</v>
      </c>
      <c r="N406" s="104">
        <v>7</v>
      </c>
      <c r="O406" s="104">
        <v>8</v>
      </c>
      <c r="P406" s="104">
        <v>9</v>
      </c>
      <c r="Q406" s="53">
        <f t="shared" si="227"/>
        <v>0</v>
      </c>
      <c r="R406" s="53">
        <f t="shared" si="228"/>
        <v>2</v>
      </c>
      <c r="S406" s="53">
        <f t="shared" si="229"/>
        <v>2</v>
      </c>
      <c r="T406" s="101">
        <f t="shared" si="208"/>
        <v>4</v>
      </c>
      <c r="U406" s="15" t="str">
        <f>_xlfn.TEXTJOIN(", ",TRUE,ABS(MID(B406,{1,1,2},1)-MID(B406,{2,3,3},1)))</f>
        <v>0, 2, 2</v>
      </c>
      <c r="V406" s="54">
        <v>0</v>
      </c>
      <c r="W406" s="54">
        <v>1</v>
      </c>
      <c r="X406" s="54">
        <v>2</v>
      </c>
      <c r="Y406" s="54">
        <v>3</v>
      </c>
      <c r="Z406" s="54">
        <v>4</v>
      </c>
      <c r="AA406" s="54">
        <v>5</v>
      </c>
      <c r="AB406" s="54">
        <v>6</v>
      </c>
      <c r="AC406" s="54">
        <v>7</v>
      </c>
      <c r="AD406" s="54">
        <v>8</v>
      </c>
      <c r="AE406" s="54">
        <v>9</v>
      </c>
      <c r="AF406" s="55">
        <v>0</v>
      </c>
      <c r="AG406" s="55">
        <v>1</v>
      </c>
      <c r="AH406" s="55">
        <v>2</v>
      </c>
      <c r="AI406" s="55">
        <v>3</v>
      </c>
      <c r="AJ406" s="55">
        <v>4</v>
      </c>
      <c r="AK406" s="55">
        <v>5</v>
      </c>
      <c r="AL406" s="55">
        <v>6</v>
      </c>
      <c r="AM406" s="55">
        <v>7</v>
      </c>
      <c r="AN406" s="55">
        <v>8</v>
      </c>
      <c r="AO406" s="55">
        <v>9</v>
      </c>
      <c r="AP406" s="105">
        <v>0</v>
      </c>
      <c r="AQ406" s="105">
        <v>1</v>
      </c>
      <c r="AR406" s="105">
        <v>2</v>
      </c>
      <c r="AS406" s="105">
        <v>3</v>
      </c>
      <c r="AT406" s="105">
        <v>4</v>
      </c>
      <c r="AU406" s="105">
        <v>5</v>
      </c>
      <c r="AV406" s="105">
        <v>6</v>
      </c>
      <c r="AW406" s="105">
        <v>7</v>
      </c>
      <c r="AX406" s="105">
        <v>8</v>
      </c>
      <c r="AY406" s="105">
        <v>9</v>
      </c>
      <c r="AZ406" s="56">
        <v>0</v>
      </c>
      <c r="BA406" s="56">
        <v>1</v>
      </c>
      <c r="BB406" s="56">
        <v>2</v>
      </c>
      <c r="BC406" s="56">
        <v>3</v>
      </c>
      <c r="BD406" s="56">
        <v>4</v>
      </c>
      <c r="BE406" s="56">
        <v>5</v>
      </c>
      <c r="BF406" s="56">
        <v>6</v>
      </c>
      <c r="BG406" s="56">
        <v>7</v>
      </c>
      <c r="BH406" s="56">
        <v>8</v>
      </c>
      <c r="BI406" s="56">
        <v>9</v>
      </c>
      <c r="BJ406" s="57" t="str">
        <f t="shared" si="209"/>
        <v>紧凑型</v>
      </c>
      <c r="BK406" s="13">
        <f t="shared" si="205"/>
        <v>0</v>
      </c>
      <c r="BL406" s="13">
        <f t="shared" si="206"/>
        <v>2</v>
      </c>
      <c r="BM406" s="18" t="str">
        <f t="shared" si="211"/>
        <v/>
      </c>
      <c r="BN406" s="19" t="str">
        <f t="shared" si="212"/>
        <v/>
      </c>
      <c r="BO406" s="19" t="str">
        <f t="array" ref="BO406">_xlfn.TEXTJOIN("",TRUE,IF(ISERROR(FIND(ROW($1:$10)-1,BM406&amp;BN406)),ROW($1:$10)-1,""))</f>
        <v>0123456789</v>
      </c>
      <c r="BP406" s="20" t="str">
        <f t="shared" si="213"/>
        <v>中中中</v>
      </c>
      <c r="BQ406" s="21">
        <f t="shared" si="224"/>
        <v>2</v>
      </c>
      <c r="BR406" s="21">
        <f t="shared" si="222"/>
        <v>2</v>
      </c>
      <c r="BS406" s="21" t="str">
        <f t="array" ref="BS406">_xlfn.TEXTJOIN("",TRUE,IF(ISERROR(FIND(ROW($1:$10)-1,BQ406&amp;BR406)),ROW($1:$10)-1,""))</f>
        <v>013456789</v>
      </c>
      <c r="BT406" s="20" t="str">
        <f t="shared" si="214"/>
        <v>复隔中</v>
      </c>
      <c r="BU406" s="22">
        <f t="shared" si="215"/>
        <v>2</v>
      </c>
      <c r="BV406" s="22">
        <f t="shared" si="223"/>
        <v>2</v>
      </c>
      <c r="BW406" s="22" t="str">
        <f t="array" ref="BW406">_xlfn.TEXTJOIN("",TRUE,IF(ISERROR(FIND(ROW($1:$10)-1,BU406&amp;BV406)),ROW($1:$10)-1,""))</f>
        <v>013456789</v>
      </c>
      <c r="BX406" s="20" t="str">
        <f t="shared" si="216"/>
        <v>复隔中</v>
      </c>
      <c r="BY406" s="23" t="str">
        <f t="shared" si="210"/>
        <v>91</v>
      </c>
      <c r="BZ406" s="24" t="str">
        <f t="array" ref="BZ406">_xlfn.TEXTJOIN("",TRUE,IF(ISNUMBER(FIND(MID(BY405&amp;Q405,ROW($1:$4),1),BY406&amp;Q406)),MID(BY405&amp;Q405,ROW($1:$4),1),""))</f>
        <v/>
      </c>
      <c r="CA406" s="25" t="str">
        <f t="array" ref="CA406">_xlfn.TEXTJOIN("",TRUE,IF(ISERROR(FIND(ROW($1:$10)-1,BY406&amp;BZ406)),ROW($1:$10)-1,""))</f>
        <v>02345678</v>
      </c>
      <c r="CB406" s="26" t="str">
        <f t="shared" si="217"/>
        <v>邻孤孤</v>
      </c>
      <c r="CC406" s="27" t="str">
        <f t="shared" si="218"/>
        <v>13</v>
      </c>
      <c r="CD406" s="27" t="str">
        <f t="array" ref="CD406">_xlfn.TEXTJOIN("",TRUE,IF(ISNUMBER(FIND(MID(CC405&amp;R405,ROW($1:$4),1),CC406&amp;R406)),MID(CC405&amp;R405,ROW($1:$4),1),""))</f>
        <v>132</v>
      </c>
      <c r="CE406" s="27" t="str">
        <f t="array" ref="CE406">_xlfn.TEXTJOIN("",TRUE,IF(ISERROR(FIND(ROW($1:$10)-1,CC406&amp;CD406)),ROW($1:$10)-1,""))</f>
        <v>0456789</v>
      </c>
      <c r="CF406" s="17" t="str">
        <f t="shared" si="219"/>
        <v>邻传孤</v>
      </c>
      <c r="CG406" s="22" t="str">
        <f t="shared" si="220"/>
        <v>13</v>
      </c>
      <c r="CH406" s="22" t="str">
        <f t="array" ref="CH406">_xlfn.TEXTJOIN("",TRUE,IF(ISNUMBER(FIND(MID(CG405&amp;S405,ROW($1:$4),1),CG406&amp;S406)),MID(CG405&amp;S405,ROW($1:$4),1),""))</f>
        <v/>
      </c>
      <c r="CI406" s="22" t="str">
        <f t="array" ref="CI406">_xlfn.TEXTJOIN("",TRUE,IF(ISERROR(FIND(ROW($1:$10)-1,CG406&amp;CH406)),ROW($1:$10)-1,""))</f>
        <v>02456789</v>
      </c>
      <c r="CJ406" s="28" t="str">
        <f t="shared" si="221"/>
        <v>邻孤孤</v>
      </c>
    </row>
    <row r="407" spans="1:88">
      <c r="A407" s="32">
        <v>2025182</v>
      </c>
      <c r="B407" s="8" t="s">
        <v>345</v>
      </c>
      <c r="C407" s="49">
        <f t="shared" si="225"/>
        <v>15</v>
      </c>
      <c r="D407" s="50">
        <f t="shared" si="226"/>
        <v>5</v>
      </c>
      <c r="E407" s="51">
        <f t="shared" si="207"/>
        <v>5</v>
      </c>
      <c r="F407" s="52">
        <f>MAX(MID(B407,{1,2,3},1)*1)-MIN(MID(B407,{1,2,3},1)*1)</f>
        <v>8</v>
      </c>
      <c r="G407" s="104">
        <v>0</v>
      </c>
      <c r="H407" s="104">
        <v>1</v>
      </c>
      <c r="I407" s="104">
        <v>2</v>
      </c>
      <c r="J407" s="104">
        <v>3</v>
      </c>
      <c r="K407" s="104">
        <v>4</v>
      </c>
      <c r="L407" s="104">
        <v>5</v>
      </c>
      <c r="M407" s="104">
        <v>6</v>
      </c>
      <c r="N407" s="104">
        <v>7</v>
      </c>
      <c r="O407" s="104">
        <v>8</v>
      </c>
      <c r="P407" s="104">
        <v>9</v>
      </c>
      <c r="Q407" s="53">
        <f t="shared" si="227"/>
        <v>7</v>
      </c>
      <c r="R407" s="53">
        <f t="shared" si="228"/>
        <v>1</v>
      </c>
      <c r="S407" s="53">
        <f t="shared" si="229"/>
        <v>8</v>
      </c>
      <c r="T407" s="101">
        <f t="shared" si="208"/>
        <v>16</v>
      </c>
      <c r="U407" s="15" t="str">
        <f>_xlfn.TEXTJOIN(", ",TRUE,ABS(MID(B407,{1,1,2},1)-MID(B407,{2,3,3},1)))</f>
        <v>7, 1, 8</v>
      </c>
      <c r="V407" s="54">
        <v>0</v>
      </c>
      <c r="W407" s="54">
        <v>1</v>
      </c>
      <c r="X407" s="54">
        <v>2</v>
      </c>
      <c r="Y407" s="54">
        <v>3</v>
      </c>
      <c r="Z407" s="54">
        <v>4</v>
      </c>
      <c r="AA407" s="54">
        <v>5</v>
      </c>
      <c r="AB407" s="54">
        <v>6</v>
      </c>
      <c r="AC407" s="54">
        <v>7</v>
      </c>
      <c r="AD407" s="54">
        <v>8</v>
      </c>
      <c r="AE407" s="54">
        <v>9</v>
      </c>
      <c r="AF407" s="55">
        <v>0</v>
      </c>
      <c r="AG407" s="55">
        <v>1</v>
      </c>
      <c r="AH407" s="55">
        <v>2</v>
      </c>
      <c r="AI407" s="55">
        <v>3</v>
      </c>
      <c r="AJ407" s="55">
        <v>4</v>
      </c>
      <c r="AK407" s="55">
        <v>5</v>
      </c>
      <c r="AL407" s="55">
        <v>6</v>
      </c>
      <c r="AM407" s="55">
        <v>7</v>
      </c>
      <c r="AN407" s="55">
        <v>8</v>
      </c>
      <c r="AO407" s="55">
        <v>9</v>
      </c>
      <c r="AP407" s="105">
        <v>0</v>
      </c>
      <c r="AQ407" s="105">
        <v>1</v>
      </c>
      <c r="AR407" s="105">
        <v>2</v>
      </c>
      <c r="AS407" s="105">
        <v>3</v>
      </c>
      <c r="AT407" s="105">
        <v>4</v>
      </c>
      <c r="AU407" s="105">
        <v>5</v>
      </c>
      <c r="AV407" s="105">
        <v>6</v>
      </c>
      <c r="AW407" s="105">
        <v>7</v>
      </c>
      <c r="AX407" s="105">
        <v>8</v>
      </c>
      <c r="AY407" s="105">
        <v>9</v>
      </c>
      <c r="AZ407" s="56">
        <v>0</v>
      </c>
      <c r="BA407" s="56">
        <v>1</v>
      </c>
      <c r="BB407" s="56">
        <v>2</v>
      </c>
      <c r="BC407" s="56">
        <v>3</v>
      </c>
      <c r="BD407" s="56">
        <v>4</v>
      </c>
      <c r="BE407" s="56">
        <v>5</v>
      </c>
      <c r="BF407" s="56">
        <v>6</v>
      </c>
      <c r="BG407" s="56">
        <v>7</v>
      </c>
      <c r="BH407" s="56">
        <v>8</v>
      </c>
      <c r="BI407" s="56">
        <v>9</v>
      </c>
      <c r="BJ407" s="57" t="str">
        <f t="shared" si="209"/>
        <v>松散型</v>
      </c>
      <c r="BK407" s="13">
        <f t="shared" si="205"/>
        <v>1</v>
      </c>
      <c r="BL407" s="13">
        <f t="shared" si="206"/>
        <v>8</v>
      </c>
      <c r="BM407" s="18" t="str">
        <f t="shared" si="211"/>
        <v/>
      </c>
      <c r="BN407" s="19" t="str">
        <f t="shared" si="212"/>
        <v/>
      </c>
      <c r="BO407" s="19" t="str">
        <f t="array" ref="BO407">_xlfn.TEXTJOIN("",TRUE,IF(ISERROR(FIND(ROW($1:$10)-1,BM407&amp;BN407)),ROW($1:$10)-1,""))</f>
        <v>0123456789</v>
      </c>
      <c r="BP407" s="20" t="str">
        <f t="shared" si="213"/>
        <v>中中中</v>
      </c>
      <c r="BQ407" s="21" t="str">
        <f t="shared" si="224"/>
        <v/>
      </c>
      <c r="BR407" s="21" t="str">
        <f t="shared" si="222"/>
        <v/>
      </c>
      <c r="BS407" s="21" t="str">
        <f t="array" ref="BS407">_xlfn.TEXTJOIN("",TRUE,IF(ISERROR(FIND(ROW($1:$10)-1,BQ407&amp;BR407)),ROW($1:$10)-1,""))</f>
        <v>0123456789</v>
      </c>
      <c r="BT407" s="20" t="str">
        <f t="shared" si="214"/>
        <v>中中中</v>
      </c>
      <c r="BU407" s="22" t="str">
        <f t="shared" si="215"/>
        <v/>
      </c>
      <c r="BV407" s="22" t="str">
        <f t="shared" si="223"/>
        <v/>
      </c>
      <c r="BW407" s="22" t="str">
        <f t="array" ref="BW407">_xlfn.TEXTJOIN("",TRUE,IF(ISERROR(FIND(ROW($1:$10)-1,BU407&amp;BV407)),ROW($1:$10)-1,""))</f>
        <v>0123456789</v>
      </c>
      <c r="BX407" s="20" t="str">
        <f t="shared" si="216"/>
        <v>中中中</v>
      </c>
      <c r="BY407" s="23" t="str">
        <f t="shared" si="210"/>
        <v>68</v>
      </c>
      <c r="BZ407" s="24" t="str">
        <f t="array" ref="BZ407">_xlfn.TEXTJOIN("",TRUE,IF(ISNUMBER(FIND(MID(BY406&amp;Q406,ROW($1:$4),1),BY407&amp;Q407)),MID(BY406&amp;Q406,ROW($1:$4),1),""))</f>
        <v/>
      </c>
      <c r="CA407" s="25" t="str">
        <f t="array" ref="CA407">_xlfn.TEXTJOIN("",TRUE,IF(ISERROR(FIND(ROW($1:$10)-1,BY407&amp;BZ407)),ROW($1:$10)-1,""))</f>
        <v>01234579</v>
      </c>
      <c r="CB407" s="26" t="str">
        <f t="shared" si="217"/>
        <v>邻孤孤</v>
      </c>
      <c r="CC407" s="27" t="str">
        <f t="shared" si="218"/>
        <v>02</v>
      </c>
      <c r="CD407" s="27" t="str">
        <f t="array" ref="CD407">_xlfn.TEXTJOIN("",TRUE,IF(ISNUMBER(FIND(MID(CC406&amp;R406,ROW($1:$4),1),CC407&amp;R407)),MID(CC406&amp;R406,ROW($1:$4),1),""))</f>
        <v>12</v>
      </c>
      <c r="CE407" s="27" t="str">
        <f t="array" ref="CE407">_xlfn.TEXTJOIN("",TRUE,IF(ISERROR(FIND(ROW($1:$10)-1,CC407&amp;CD407)),ROW($1:$10)-1,""))</f>
        <v>3456789</v>
      </c>
      <c r="CF407" s="17" t="str">
        <f t="shared" si="219"/>
        <v>邻传孤</v>
      </c>
      <c r="CG407" s="22" t="str">
        <f t="shared" si="220"/>
        <v>79</v>
      </c>
      <c r="CH407" s="22" t="str">
        <f t="array" ref="CH407">_xlfn.TEXTJOIN("",TRUE,IF(ISNUMBER(FIND(MID(CG406&amp;S406,ROW($1:$4),1),CG407&amp;S407)),MID(CG406&amp;S406,ROW($1:$4),1),""))</f>
        <v/>
      </c>
      <c r="CI407" s="22" t="str">
        <f t="array" ref="CI407">_xlfn.TEXTJOIN("",TRUE,IF(ISERROR(FIND(ROW($1:$10)-1,CG407&amp;CH407)),ROW($1:$10)-1,""))</f>
        <v>01234568</v>
      </c>
      <c r="CJ407" s="28" t="str">
        <f t="shared" si="221"/>
        <v>邻孤孤</v>
      </c>
    </row>
    <row r="408" spans="1:88">
      <c r="A408" s="32">
        <v>2025183</v>
      </c>
      <c r="B408" s="8" t="s">
        <v>346</v>
      </c>
      <c r="C408" s="49">
        <f t="shared" si="225"/>
        <v>15</v>
      </c>
      <c r="D408" s="50">
        <f t="shared" si="226"/>
        <v>5</v>
      </c>
      <c r="E408" s="51">
        <f t="shared" si="207"/>
        <v>5</v>
      </c>
      <c r="F408" s="52">
        <f>MAX(MID(B408,{1,2,3},1)*1)-MIN(MID(B408,{1,2,3},1)*1)</f>
        <v>3</v>
      </c>
      <c r="G408" s="104">
        <v>0</v>
      </c>
      <c r="H408" s="104">
        <v>1</v>
      </c>
      <c r="I408" s="104">
        <v>2</v>
      </c>
      <c r="J408" s="104">
        <v>3</v>
      </c>
      <c r="K408" s="104">
        <v>4</v>
      </c>
      <c r="L408" s="104">
        <v>5</v>
      </c>
      <c r="M408" s="104">
        <v>6</v>
      </c>
      <c r="N408" s="104">
        <v>7</v>
      </c>
      <c r="O408" s="104">
        <v>8</v>
      </c>
      <c r="P408" s="104">
        <v>9</v>
      </c>
      <c r="Q408" s="53">
        <f t="shared" si="227"/>
        <v>3</v>
      </c>
      <c r="R408" s="53">
        <f t="shared" si="228"/>
        <v>3</v>
      </c>
      <c r="S408" s="53">
        <f t="shared" si="229"/>
        <v>0</v>
      </c>
      <c r="T408" s="101">
        <f t="shared" si="208"/>
        <v>6</v>
      </c>
      <c r="U408" s="15" t="str">
        <f>_xlfn.TEXTJOIN(", ",TRUE,ABS(MID(B408,{1,1,2},1)-MID(B408,{2,3,3},1)))</f>
        <v>3, 3, 0</v>
      </c>
      <c r="V408" s="54">
        <v>0</v>
      </c>
      <c r="W408" s="54">
        <v>1</v>
      </c>
      <c r="X408" s="54">
        <v>2</v>
      </c>
      <c r="Y408" s="54">
        <v>3</v>
      </c>
      <c r="Z408" s="54">
        <v>4</v>
      </c>
      <c r="AA408" s="54">
        <v>5</v>
      </c>
      <c r="AB408" s="54">
        <v>6</v>
      </c>
      <c r="AC408" s="54">
        <v>7</v>
      </c>
      <c r="AD408" s="54">
        <v>8</v>
      </c>
      <c r="AE408" s="54">
        <v>9</v>
      </c>
      <c r="AF408" s="55">
        <v>0</v>
      </c>
      <c r="AG408" s="55">
        <v>1</v>
      </c>
      <c r="AH408" s="55">
        <v>2</v>
      </c>
      <c r="AI408" s="55">
        <v>3</v>
      </c>
      <c r="AJ408" s="55">
        <v>4</v>
      </c>
      <c r="AK408" s="55">
        <v>5</v>
      </c>
      <c r="AL408" s="55">
        <v>6</v>
      </c>
      <c r="AM408" s="55">
        <v>7</v>
      </c>
      <c r="AN408" s="55">
        <v>8</v>
      </c>
      <c r="AO408" s="55">
        <v>9</v>
      </c>
      <c r="AP408" s="105">
        <v>0</v>
      </c>
      <c r="AQ408" s="105">
        <v>1</v>
      </c>
      <c r="AR408" s="105">
        <v>2</v>
      </c>
      <c r="AS408" s="105">
        <v>3</v>
      </c>
      <c r="AT408" s="105">
        <v>4</v>
      </c>
      <c r="AU408" s="105">
        <v>5</v>
      </c>
      <c r="AV408" s="105">
        <v>6</v>
      </c>
      <c r="AW408" s="105">
        <v>7</v>
      </c>
      <c r="AX408" s="105">
        <v>8</v>
      </c>
      <c r="AY408" s="105">
        <v>9</v>
      </c>
      <c r="AZ408" s="56">
        <v>0</v>
      </c>
      <c r="BA408" s="56">
        <v>1</v>
      </c>
      <c r="BB408" s="56">
        <v>2</v>
      </c>
      <c r="BC408" s="56">
        <v>3</v>
      </c>
      <c r="BD408" s="56">
        <v>4</v>
      </c>
      <c r="BE408" s="56">
        <v>5</v>
      </c>
      <c r="BF408" s="56">
        <v>6</v>
      </c>
      <c r="BG408" s="56">
        <v>7</v>
      </c>
      <c r="BH408" s="56">
        <v>8</v>
      </c>
      <c r="BI408" s="56">
        <v>9</v>
      </c>
      <c r="BJ408" s="57" t="str">
        <f t="shared" si="209"/>
        <v>紧凑型</v>
      </c>
      <c r="BK408" s="13">
        <f t="shared" si="205"/>
        <v>0</v>
      </c>
      <c r="BL408" s="13">
        <f t="shared" si="206"/>
        <v>3</v>
      </c>
      <c r="BM408" s="18" t="str">
        <f t="shared" si="211"/>
        <v/>
      </c>
      <c r="BN408" s="19" t="str">
        <f t="shared" si="212"/>
        <v/>
      </c>
      <c r="BO408" s="19" t="str">
        <f t="array" ref="BO408">_xlfn.TEXTJOIN("",TRUE,IF(ISERROR(FIND(ROW($1:$10)-1,BM408&amp;BN408)),ROW($1:$10)-1,""))</f>
        <v>0123456789</v>
      </c>
      <c r="BP408" s="20" t="str">
        <f t="shared" si="213"/>
        <v>中中中</v>
      </c>
      <c r="BQ408" s="21" t="str">
        <f t="shared" si="224"/>
        <v/>
      </c>
      <c r="BR408" s="21" t="str">
        <f t="shared" si="222"/>
        <v/>
      </c>
      <c r="BS408" s="21" t="str">
        <f t="array" ref="BS408">_xlfn.TEXTJOIN("",TRUE,IF(ISERROR(FIND(ROW($1:$10)-1,BQ408&amp;BR408)),ROW($1:$10)-1,""))</f>
        <v>0123456789</v>
      </c>
      <c r="BT408" s="20" t="str">
        <f t="shared" si="214"/>
        <v>中中中</v>
      </c>
      <c r="BU408" s="22" t="str">
        <f t="shared" si="215"/>
        <v/>
      </c>
      <c r="BV408" s="22">
        <f t="shared" si="223"/>
        <v>0</v>
      </c>
      <c r="BW408" s="22" t="str">
        <f t="array" ref="BW408">_xlfn.TEXTJOIN("",TRUE,IF(ISERROR(FIND(ROW($1:$10)-1,BU408&amp;BV408)),ROW($1:$10)-1,""))</f>
        <v>123456789</v>
      </c>
      <c r="BX408" s="20" t="str">
        <f t="shared" si="216"/>
        <v>中隔中</v>
      </c>
      <c r="BY408" s="23" t="str">
        <f t="shared" si="210"/>
        <v>24</v>
      </c>
      <c r="BZ408" s="24" t="str">
        <f t="array" ref="BZ408">_xlfn.TEXTJOIN("",TRUE,IF(ISNUMBER(FIND(MID(BY407&amp;Q407,ROW($1:$4),1),BY408&amp;Q408)),MID(BY407&amp;Q407,ROW($1:$4),1),""))</f>
        <v/>
      </c>
      <c r="CA408" s="25" t="str">
        <f t="array" ref="CA408">_xlfn.TEXTJOIN("",TRUE,IF(ISERROR(FIND(ROW($1:$10)-1,BY408&amp;BZ408)),ROW($1:$10)-1,""))</f>
        <v>01356789</v>
      </c>
      <c r="CB408" s="26" t="str">
        <f t="shared" si="217"/>
        <v>邻孤孤</v>
      </c>
      <c r="CC408" s="27" t="str">
        <f t="shared" si="218"/>
        <v>24</v>
      </c>
      <c r="CD408" s="27" t="str">
        <f t="array" ref="CD408">_xlfn.TEXTJOIN("",TRUE,IF(ISNUMBER(FIND(MID(CC407&amp;R407,ROW($1:$4),1),CC408&amp;R408)),MID(CC407&amp;R407,ROW($1:$4),1),""))</f>
        <v>2</v>
      </c>
      <c r="CE408" s="27" t="str">
        <f t="array" ref="CE408">_xlfn.TEXTJOIN("",TRUE,IF(ISERROR(FIND(ROW($1:$10)-1,CC408&amp;CD408)),ROW($1:$10)-1,""))</f>
        <v>01356789</v>
      </c>
      <c r="CF408" s="17" t="str">
        <f t="shared" si="219"/>
        <v>邻传孤</v>
      </c>
      <c r="CG408" s="22" t="str">
        <f t="shared" si="220"/>
        <v>91</v>
      </c>
      <c r="CH408" s="22" t="str">
        <f t="array" ref="CH408">_xlfn.TEXTJOIN("",TRUE,IF(ISNUMBER(FIND(MID(CG407&amp;S407,ROW($1:$4),1),CG408&amp;S408)),MID(CG407&amp;S407,ROW($1:$4),1),""))</f>
        <v>9</v>
      </c>
      <c r="CI408" s="22" t="str">
        <f t="array" ref="CI408">_xlfn.TEXTJOIN("",TRUE,IF(ISERROR(FIND(ROW($1:$10)-1,CG408&amp;CH408)),ROW($1:$10)-1,""))</f>
        <v>02345678</v>
      </c>
      <c r="CJ408" s="28" t="str">
        <f t="shared" si="221"/>
        <v>邻传孤</v>
      </c>
    </row>
    <row r="409" spans="1:88">
      <c r="A409" s="32">
        <v>2025184</v>
      </c>
      <c r="B409" s="8" t="s">
        <v>347</v>
      </c>
      <c r="C409" s="49">
        <f t="shared" si="225"/>
        <v>25</v>
      </c>
      <c r="D409" s="50">
        <f t="shared" si="226"/>
        <v>5</v>
      </c>
      <c r="E409" s="51">
        <f t="shared" si="207"/>
        <v>8.3333333333333304</v>
      </c>
      <c r="F409" s="52">
        <f>MAX(MID(B409,{1,2,3},1)*1)-MIN(MID(B409,{1,2,3},1)*1)</f>
        <v>2</v>
      </c>
      <c r="G409" s="104">
        <v>0</v>
      </c>
      <c r="H409" s="104">
        <v>1</v>
      </c>
      <c r="I409" s="104">
        <v>2</v>
      </c>
      <c r="J409" s="104">
        <v>3</v>
      </c>
      <c r="K409" s="104">
        <v>4</v>
      </c>
      <c r="L409" s="104">
        <v>5</v>
      </c>
      <c r="M409" s="104">
        <v>6</v>
      </c>
      <c r="N409" s="104">
        <v>7</v>
      </c>
      <c r="O409" s="104">
        <v>8</v>
      </c>
      <c r="P409" s="104">
        <v>9</v>
      </c>
      <c r="Q409" s="53">
        <f t="shared" si="227"/>
        <v>2</v>
      </c>
      <c r="R409" s="53">
        <f t="shared" si="228"/>
        <v>2</v>
      </c>
      <c r="S409" s="53">
        <f t="shared" si="229"/>
        <v>0</v>
      </c>
      <c r="T409" s="101">
        <f t="shared" si="208"/>
        <v>4</v>
      </c>
      <c r="U409" s="15" t="str">
        <f>_xlfn.TEXTJOIN(", ",TRUE,ABS(MID(B409,{1,1,2},1)-MID(B409,{2,3,3},1)))</f>
        <v>2, 2, 0</v>
      </c>
      <c r="V409" s="54">
        <v>0</v>
      </c>
      <c r="W409" s="54">
        <v>1</v>
      </c>
      <c r="X409" s="54">
        <v>2</v>
      </c>
      <c r="Y409" s="54">
        <v>3</v>
      </c>
      <c r="Z409" s="54">
        <v>4</v>
      </c>
      <c r="AA409" s="54">
        <v>5</v>
      </c>
      <c r="AB409" s="54">
        <v>6</v>
      </c>
      <c r="AC409" s="54">
        <v>7</v>
      </c>
      <c r="AD409" s="54">
        <v>8</v>
      </c>
      <c r="AE409" s="54">
        <v>9</v>
      </c>
      <c r="AF409" s="55">
        <v>0</v>
      </c>
      <c r="AG409" s="55">
        <v>1</v>
      </c>
      <c r="AH409" s="55">
        <v>2</v>
      </c>
      <c r="AI409" s="55">
        <v>3</v>
      </c>
      <c r="AJ409" s="55">
        <v>4</v>
      </c>
      <c r="AK409" s="55">
        <v>5</v>
      </c>
      <c r="AL409" s="55">
        <v>6</v>
      </c>
      <c r="AM409" s="55">
        <v>7</v>
      </c>
      <c r="AN409" s="55">
        <v>8</v>
      </c>
      <c r="AO409" s="55">
        <v>9</v>
      </c>
      <c r="AP409" s="105">
        <v>0</v>
      </c>
      <c r="AQ409" s="105">
        <v>1</v>
      </c>
      <c r="AR409" s="105">
        <v>2</v>
      </c>
      <c r="AS409" s="105">
        <v>3</v>
      </c>
      <c r="AT409" s="105">
        <v>4</v>
      </c>
      <c r="AU409" s="105">
        <v>5</v>
      </c>
      <c r="AV409" s="105">
        <v>6</v>
      </c>
      <c r="AW409" s="105">
        <v>7</v>
      </c>
      <c r="AX409" s="105">
        <v>8</v>
      </c>
      <c r="AY409" s="105">
        <v>9</v>
      </c>
      <c r="AZ409" s="56">
        <v>0</v>
      </c>
      <c r="BA409" s="56">
        <v>1</v>
      </c>
      <c r="BB409" s="56">
        <v>2</v>
      </c>
      <c r="BC409" s="56">
        <v>3</v>
      </c>
      <c r="BD409" s="56">
        <v>4</v>
      </c>
      <c r="BE409" s="56">
        <v>5</v>
      </c>
      <c r="BF409" s="56">
        <v>6</v>
      </c>
      <c r="BG409" s="56">
        <v>7</v>
      </c>
      <c r="BH409" s="56">
        <v>8</v>
      </c>
      <c r="BI409" s="56">
        <v>9</v>
      </c>
      <c r="BJ409" s="57" t="str">
        <f t="shared" si="209"/>
        <v>紧凑型</v>
      </c>
      <c r="BK409" s="13">
        <f t="shared" si="205"/>
        <v>0</v>
      </c>
      <c r="BL409" s="13">
        <f t="shared" si="206"/>
        <v>2</v>
      </c>
      <c r="BM409" s="18" t="str">
        <f t="shared" si="211"/>
        <v/>
      </c>
      <c r="BN409" s="19" t="str">
        <f t="shared" si="212"/>
        <v/>
      </c>
      <c r="BO409" s="19" t="str">
        <f t="array" ref="BO409">_xlfn.TEXTJOIN("",TRUE,IF(ISERROR(FIND(ROW($1:$10)-1,BM409&amp;BN409)),ROW($1:$10)-1,""))</f>
        <v>0123456789</v>
      </c>
      <c r="BP409" s="20" t="str">
        <f t="shared" si="213"/>
        <v>中中中</v>
      </c>
      <c r="BQ409" s="21" t="str">
        <f t="shared" si="224"/>
        <v/>
      </c>
      <c r="BR409" s="21" t="str">
        <f t="shared" si="222"/>
        <v/>
      </c>
      <c r="BS409" s="21" t="str">
        <f t="array" ref="BS409">_xlfn.TEXTJOIN("",TRUE,IF(ISERROR(FIND(ROW($1:$10)-1,BQ409&amp;BR409)),ROW($1:$10)-1,""))</f>
        <v>0123456789</v>
      </c>
      <c r="BT409" s="20" t="str">
        <f t="shared" si="214"/>
        <v>中中中</v>
      </c>
      <c r="BU409" s="22">
        <f t="shared" si="215"/>
        <v>0</v>
      </c>
      <c r="BV409" s="22" t="str">
        <f t="shared" si="223"/>
        <v/>
      </c>
      <c r="BW409" s="22" t="str">
        <f t="array" ref="BW409">_xlfn.TEXTJOIN("",TRUE,IF(ISERROR(FIND(ROW($1:$10)-1,BU409&amp;BV409)),ROW($1:$10)-1,""))</f>
        <v>123456789</v>
      </c>
      <c r="BX409" s="20" t="str">
        <f t="shared" si="216"/>
        <v>复中中</v>
      </c>
      <c r="BY409" s="23" t="str">
        <f t="shared" si="210"/>
        <v>13</v>
      </c>
      <c r="BZ409" s="24" t="str">
        <f t="array" ref="BZ409">_xlfn.TEXTJOIN("",TRUE,IF(ISNUMBER(FIND(MID(BY408&amp;Q408,ROW($1:$4),1),BY409&amp;Q409)),MID(BY408&amp;Q408,ROW($1:$4),1),""))</f>
        <v>23</v>
      </c>
      <c r="CA409" s="25" t="str">
        <f t="array" ref="CA409">_xlfn.TEXTJOIN("",TRUE,IF(ISERROR(FIND(ROW($1:$10)-1,BY409&amp;BZ409)),ROW($1:$10)-1,""))</f>
        <v>0456789</v>
      </c>
      <c r="CB409" s="26" t="str">
        <f t="shared" si="217"/>
        <v>邻传孤</v>
      </c>
      <c r="CC409" s="27" t="str">
        <f t="shared" si="218"/>
        <v>13</v>
      </c>
      <c r="CD409" s="27" t="str">
        <f t="array" ref="CD409">_xlfn.TEXTJOIN("",TRUE,IF(ISNUMBER(FIND(MID(CC408&amp;R408,ROW($1:$4),1),CC409&amp;R409)),MID(CC408&amp;R408,ROW($1:$4),1),""))</f>
        <v>23</v>
      </c>
      <c r="CE409" s="27" t="str">
        <f t="array" ref="CE409">_xlfn.TEXTJOIN("",TRUE,IF(ISERROR(FIND(ROW($1:$10)-1,CC409&amp;CD409)),ROW($1:$10)-1,""))</f>
        <v>0456789</v>
      </c>
      <c r="CF409" s="17" t="str">
        <f t="shared" si="219"/>
        <v>邻传孤</v>
      </c>
      <c r="CG409" s="22" t="str">
        <f t="shared" si="220"/>
        <v>91</v>
      </c>
      <c r="CH409" s="22" t="str">
        <f t="array" ref="CH409">_xlfn.TEXTJOIN("",TRUE,IF(ISNUMBER(FIND(MID(CG408&amp;S408,ROW($1:$4),1),CG409&amp;S409)),MID(CG408&amp;S408,ROW($1:$4),1),""))</f>
        <v>910</v>
      </c>
      <c r="CI409" s="22" t="str">
        <f t="array" ref="CI409">_xlfn.TEXTJOIN("",TRUE,IF(ISERROR(FIND(ROW($1:$10)-1,CG409&amp;CH409)),ROW($1:$10)-1,""))</f>
        <v>2345678</v>
      </c>
      <c r="CJ409" s="28" t="str">
        <f t="shared" si="221"/>
        <v>邻传孤</v>
      </c>
    </row>
    <row r="410" spans="1:88">
      <c r="A410" s="32">
        <v>2025185</v>
      </c>
      <c r="B410" s="8" t="s">
        <v>56</v>
      </c>
      <c r="C410" s="49">
        <f t="shared" si="225"/>
        <v>11</v>
      </c>
      <c r="D410" s="50">
        <f t="shared" si="226"/>
        <v>1</v>
      </c>
      <c r="E410" s="51">
        <f t="shared" si="207"/>
        <v>3.6666666666666701</v>
      </c>
      <c r="F410" s="52">
        <f>MAX(MID(B410,{1,2,3},1)*1)-MIN(MID(B410,{1,2,3},1)*1)</f>
        <v>5</v>
      </c>
      <c r="G410" s="104">
        <v>0</v>
      </c>
      <c r="H410" s="104">
        <v>1</v>
      </c>
      <c r="I410" s="104">
        <v>2</v>
      </c>
      <c r="J410" s="104">
        <v>3</v>
      </c>
      <c r="K410" s="104">
        <v>4</v>
      </c>
      <c r="L410" s="104">
        <v>5</v>
      </c>
      <c r="M410" s="104">
        <v>6</v>
      </c>
      <c r="N410" s="104">
        <v>7</v>
      </c>
      <c r="O410" s="104">
        <v>8</v>
      </c>
      <c r="P410" s="104">
        <v>9</v>
      </c>
      <c r="Q410" s="53">
        <f t="shared" si="227"/>
        <v>5</v>
      </c>
      <c r="R410" s="53">
        <f t="shared" si="228"/>
        <v>3</v>
      </c>
      <c r="S410" s="53">
        <f t="shared" si="229"/>
        <v>2</v>
      </c>
      <c r="T410" s="101">
        <f t="shared" si="208"/>
        <v>10</v>
      </c>
      <c r="U410" s="15" t="str">
        <f>_xlfn.TEXTJOIN(", ",TRUE,ABS(MID(B410,{1,1,2},1)-MID(B410,{2,3,3},1)))</f>
        <v>5, 3, 2</v>
      </c>
      <c r="V410" s="54">
        <v>0</v>
      </c>
      <c r="W410" s="54">
        <v>1</v>
      </c>
      <c r="X410" s="54">
        <v>2</v>
      </c>
      <c r="Y410" s="54">
        <v>3</v>
      </c>
      <c r="Z410" s="54">
        <v>4</v>
      </c>
      <c r="AA410" s="54">
        <v>5</v>
      </c>
      <c r="AB410" s="54">
        <v>6</v>
      </c>
      <c r="AC410" s="54">
        <v>7</v>
      </c>
      <c r="AD410" s="54">
        <v>8</v>
      </c>
      <c r="AE410" s="54">
        <v>9</v>
      </c>
      <c r="AF410" s="55">
        <v>0</v>
      </c>
      <c r="AG410" s="55">
        <v>1</v>
      </c>
      <c r="AH410" s="55">
        <v>2</v>
      </c>
      <c r="AI410" s="55">
        <v>3</v>
      </c>
      <c r="AJ410" s="55">
        <v>4</v>
      </c>
      <c r="AK410" s="55">
        <v>5</v>
      </c>
      <c r="AL410" s="55">
        <v>6</v>
      </c>
      <c r="AM410" s="55">
        <v>7</v>
      </c>
      <c r="AN410" s="55">
        <v>8</v>
      </c>
      <c r="AO410" s="55">
        <v>9</v>
      </c>
      <c r="AP410" s="105">
        <v>0</v>
      </c>
      <c r="AQ410" s="105">
        <v>1</v>
      </c>
      <c r="AR410" s="105">
        <v>2</v>
      </c>
      <c r="AS410" s="105">
        <v>3</v>
      </c>
      <c r="AT410" s="105">
        <v>4</v>
      </c>
      <c r="AU410" s="105">
        <v>5</v>
      </c>
      <c r="AV410" s="105">
        <v>6</v>
      </c>
      <c r="AW410" s="105">
        <v>7</v>
      </c>
      <c r="AX410" s="105">
        <v>8</v>
      </c>
      <c r="AY410" s="105">
        <v>9</v>
      </c>
      <c r="AZ410" s="56">
        <v>0</v>
      </c>
      <c r="BA410" s="56">
        <v>1</v>
      </c>
      <c r="BB410" s="56">
        <v>2</v>
      </c>
      <c r="BC410" s="56">
        <v>3</v>
      </c>
      <c r="BD410" s="56">
        <v>4</v>
      </c>
      <c r="BE410" s="56">
        <v>5</v>
      </c>
      <c r="BF410" s="56">
        <v>6</v>
      </c>
      <c r="BG410" s="56">
        <v>7</v>
      </c>
      <c r="BH410" s="56">
        <v>8</v>
      </c>
      <c r="BI410" s="56">
        <v>9</v>
      </c>
      <c r="BJ410" s="57" t="str">
        <f t="shared" si="209"/>
        <v>标准型</v>
      </c>
      <c r="BK410" s="13">
        <f t="shared" si="205"/>
        <v>2</v>
      </c>
      <c r="BL410" s="13">
        <f t="shared" si="206"/>
        <v>5</v>
      </c>
      <c r="BM410" s="18" t="str">
        <f t="shared" si="211"/>
        <v/>
      </c>
      <c r="BN410" s="19" t="str">
        <f t="shared" si="212"/>
        <v/>
      </c>
      <c r="BO410" s="19" t="str">
        <f t="array" ref="BO410">_xlfn.TEXTJOIN("",TRUE,IF(ISERROR(FIND(ROW($1:$10)-1,BM410&amp;BN410)),ROW($1:$10)-1,""))</f>
        <v>0123456789</v>
      </c>
      <c r="BP410" s="20" t="str">
        <f t="shared" si="213"/>
        <v>中中中</v>
      </c>
      <c r="BQ410" s="21" t="str">
        <f t="shared" si="224"/>
        <v/>
      </c>
      <c r="BR410" s="21">
        <f t="shared" si="222"/>
        <v>3</v>
      </c>
      <c r="BS410" s="21" t="str">
        <f t="array" ref="BS410">_xlfn.TEXTJOIN("",TRUE,IF(ISERROR(FIND(ROW($1:$10)-1,BQ410&amp;BR410)),ROW($1:$10)-1,""))</f>
        <v>012456789</v>
      </c>
      <c r="BT410" s="20" t="str">
        <f t="shared" si="214"/>
        <v>中隔中</v>
      </c>
      <c r="BU410" s="22">
        <f t="shared" si="215"/>
        <v>2</v>
      </c>
      <c r="BV410" s="22" t="str">
        <f t="shared" si="223"/>
        <v/>
      </c>
      <c r="BW410" s="22" t="str">
        <f t="array" ref="BW410">_xlfn.TEXTJOIN("",TRUE,IF(ISERROR(FIND(ROW($1:$10)-1,BU410&amp;BV410)),ROW($1:$10)-1,""))</f>
        <v>013456789</v>
      </c>
      <c r="BX410" s="20" t="str">
        <f t="shared" si="216"/>
        <v>复中中</v>
      </c>
      <c r="BY410" s="23" t="str">
        <f t="shared" si="210"/>
        <v>46</v>
      </c>
      <c r="BZ410" s="24" t="str">
        <f t="array" ref="BZ410">_xlfn.TEXTJOIN("",TRUE,IF(ISNUMBER(FIND(MID(BY409&amp;Q409,ROW($1:$4),1),BY410&amp;Q410)),MID(BY409&amp;Q409,ROW($1:$4),1),""))</f>
        <v/>
      </c>
      <c r="CA410" s="25" t="str">
        <f t="array" ref="CA410">_xlfn.TEXTJOIN("",TRUE,IF(ISERROR(FIND(ROW($1:$10)-1,BY410&amp;BZ410)),ROW($1:$10)-1,""))</f>
        <v>01235789</v>
      </c>
      <c r="CB410" s="26" t="str">
        <f t="shared" si="217"/>
        <v>邻孤孤</v>
      </c>
      <c r="CC410" s="27" t="str">
        <f t="shared" si="218"/>
        <v>24</v>
      </c>
      <c r="CD410" s="27" t="str">
        <f t="array" ref="CD410">_xlfn.TEXTJOIN("",TRUE,IF(ISNUMBER(FIND(MID(CC409&amp;R409,ROW($1:$4),1),CC410&amp;R410)),MID(CC409&amp;R409,ROW($1:$4),1),""))</f>
        <v>32</v>
      </c>
      <c r="CE410" s="27" t="str">
        <f t="array" ref="CE410">_xlfn.TEXTJOIN("",TRUE,IF(ISERROR(FIND(ROW($1:$10)-1,CC410&amp;CD410)),ROW($1:$10)-1,""))</f>
        <v>0156789</v>
      </c>
      <c r="CF410" s="17" t="str">
        <f t="shared" si="219"/>
        <v>邻传孤</v>
      </c>
      <c r="CG410" s="22" t="str">
        <f t="shared" si="220"/>
        <v>13</v>
      </c>
      <c r="CH410" s="22" t="str">
        <f t="array" ref="CH410">_xlfn.TEXTJOIN("",TRUE,IF(ISNUMBER(FIND(MID(CG409&amp;S409,ROW($1:$4),1),CG410&amp;S410)),MID(CG409&amp;S409,ROW($1:$4),1),""))</f>
        <v>1</v>
      </c>
      <c r="CI410" s="22" t="str">
        <f t="array" ref="CI410">_xlfn.TEXTJOIN("",TRUE,IF(ISERROR(FIND(ROW($1:$10)-1,CG410&amp;CH410)),ROW($1:$10)-1,""))</f>
        <v>02456789</v>
      </c>
      <c r="CJ410" s="28" t="str">
        <f t="shared" si="221"/>
        <v>邻传孤</v>
      </c>
    </row>
    <row r="411" spans="1:88">
      <c r="A411" s="32">
        <v>2025186</v>
      </c>
      <c r="B411" s="8" t="s">
        <v>32</v>
      </c>
      <c r="C411" s="49">
        <f t="shared" si="225"/>
        <v>11</v>
      </c>
      <c r="D411" s="50">
        <f t="shared" si="226"/>
        <v>1</v>
      </c>
      <c r="E411" s="51">
        <f t="shared" si="207"/>
        <v>3.6666666666666701</v>
      </c>
      <c r="F411" s="52">
        <f>MAX(MID(B411,{1,2,3},1)*1)-MIN(MID(B411,{1,2,3},1)*1)</f>
        <v>5</v>
      </c>
      <c r="G411" s="104">
        <v>0</v>
      </c>
      <c r="H411" s="104">
        <v>1</v>
      </c>
      <c r="I411" s="104">
        <v>2</v>
      </c>
      <c r="J411" s="104">
        <v>3</v>
      </c>
      <c r="K411" s="104">
        <v>4</v>
      </c>
      <c r="L411" s="104">
        <v>5</v>
      </c>
      <c r="M411" s="104">
        <v>6</v>
      </c>
      <c r="N411" s="104">
        <v>7</v>
      </c>
      <c r="O411" s="104">
        <v>8</v>
      </c>
      <c r="P411" s="104">
        <v>9</v>
      </c>
      <c r="Q411" s="53">
        <f t="shared" si="227"/>
        <v>0</v>
      </c>
      <c r="R411" s="53">
        <f t="shared" si="228"/>
        <v>5</v>
      </c>
      <c r="S411" s="53">
        <f t="shared" si="229"/>
        <v>5</v>
      </c>
      <c r="T411" s="101">
        <f t="shared" si="208"/>
        <v>10</v>
      </c>
      <c r="U411" s="15" t="str">
        <f>_xlfn.TEXTJOIN(", ",TRUE,ABS(MID(B411,{1,1,2},1)-MID(B411,{2,3,3},1)))</f>
        <v>0, 5, 5</v>
      </c>
      <c r="V411" s="54">
        <v>0</v>
      </c>
      <c r="W411" s="54">
        <v>1</v>
      </c>
      <c r="X411" s="54">
        <v>2</v>
      </c>
      <c r="Y411" s="54">
        <v>3</v>
      </c>
      <c r="Z411" s="54">
        <v>4</v>
      </c>
      <c r="AA411" s="54">
        <v>5</v>
      </c>
      <c r="AB411" s="54">
        <v>6</v>
      </c>
      <c r="AC411" s="54">
        <v>7</v>
      </c>
      <c r="AD411" s="54">
        <v>8</v>
      </c>
      <c r="AE411" s="54">
        <v>9</v>
      </c>
      <c r="AF411" s="55">
        <v>0</v>
      </c>
      <c r="AG411" s="55">
        <v>1</v>
      </c>
      <c r="AH411" s="55">
        <v>2</v>
      </c>
      <c r="AI411" s="55">
        <v>3</v>
      </c>
      <c r="AJ411" s="55">
        <v>4</v>
      </c>
      <c r="AK411" s="55">
        <v>5</v>
      </c>
      <c r="AL411" s="55">
        <v>6</v>
      </c>
      <c r="AM411" s="55">
        <v>7</v>
      </c>
      <c r="AN411" s="55">
        <v>8</v>
      </c>
      <c r="AO411" s="55">
        <v>9</v>
      </c>
      <c r="AP411" s="105">
        <v>0</v>
      </c>
      <c r="AQ411" s="105">
        <v>1</v>
      </c>
      <c r="AR411" s="105">
        <v>2</v>
      </c>
      <c r="AS411" s="105">
        <v>3</v>
      </c>
      <c r="AT411" s="105">
        <v>4</v>
      </c>
      <c r="AU411" s="105">
        <v>5</v>
      </c>
      <c r="AV411" s="105">
        <v>6</v>
      </c>
      <c r="AW411" s="105">
        <v>7</v>
      </c>
      <c r="AX411" s="105">
        <v>8</v>
      </c>
      <c r="AY411" s="105">
        <v>9</v>
      </c>
      <c r="AZ411" s="56">
        <v>0</v>
      </c>
      <c r="BA411" s="56">
        <v>1</v>
      </c>
      <c r="BB411" s="56">
        <v>2</v>
      </c>
      <c r="BC411" s="56">
        <v>3</v>
      </c>
      <c r="BD411" s="56">
        <v>4</v>
      </c>
      <c r="BE411" s="56">
        <v>5</v>
      </c>
      <c r="BF411" s="56">
        <v>6</v>
      </c>
      <c r="BG411" s="56">
        <v>7</v>
      </c>
      <c r="BH411" s="56">
        <v>8</v>
      </c>
      <c r="BI411" s="56">
        <v>9</v>
      </c>
      <c r="BJ411" s="57" t="str">
        <f t="shared" si="209"/>
        <v>对子</v>
      </c>
      <c r="BK411" s="13">
        <f t="shared" si="205"/>
        <v>0</v>
      </c>
      <c r="BL411" s="13">
        <f t="shared" si="206"/>
        <v>5</v>
      </c>
      <c r="BM411" s="18" t="str">
        <f t="shared" si="211"/>
        <v/>
      </c>
      <c r="BN411" s="19">
        <f t="shared" si="212"/>
        <v>0</v>
      </c>
      <c r="BO411" s="19" t="str">
        <f t="array" ref="BO411">_xlfn.TEXTJOIN("",TRUE,IF(ISERROR(FIND(ROW($1:$10)-1,BM411&amp;BN411)),ROW($1:$10)-1,""))</f>
        <v>123456789</v>
      </c>
      <c r="BP411" s="20" t="str">
        <f t="shared" si="213"/>
        <v>中隔中</v>
      </c>
      <c r="BQ411" s="21">
        <f t="shared" si="224"/>
        <v>5</v>
      </c>
      <c r="BR411" s="21" t="str">
        <f t="shared" si="222"/>
        <v/>
      </c>
      <c r="BS411" s="21" t="str">
        <f t="array" ref="BS411">_xlfn.TEXTJOIN("",TRUE,IF(ISERROR(FIND(ROW($1:$10)-1,BQ411&amp;BR411)),ROW($1:$10)-1,""))</f>
        <v>012346789</v>
      </c>
      <c r="BT411" s="20" t="str">
        <f t="shared" si="214"/>
        <v>复中中</v>
      </c>
      <c r="BU411" s="22">
        <f t="shared" si="215"/>
        <v>5</v>
      </c>
      <c r="BV411" s="22" t="str">
        <f t="shared" si="223"/>
        <v/>
      </c>
      <c r="BW411" s="22" t="str">
        <f t="array" ref="BW411">_xlfn.TEXTJOIN("",TRUE,IF(ISERROR(FIND(ROW($1:$10)-1,BU411&amp;BV411)),ROW($1:$10)-1,""))</f>
        <v>012346789</v>
      </c>
      <c r="BX411" s="20" t="str">
        <f t="shared" si="216"/>
        <v>复中中</v>
      </c>
      <c r="BY411" s="23" t="str">
        <f t="shared" si="210"/>
        <v>91</v>
      </c>
      <c r="BZ411" s="24" t="str">
        <f t="array" ref="BZ411">_xlfn.TEXTJOIN("",TRUE,IF(ISNUMBER(FIND(MID(BY410&amp;Q410,ROW($1:$4),1),BY411&amp;Q411)),MID(BY410&amp;Q410,ROW($1:$4),1),""))</f>
        <v/>
      </c>
      <c r="CA411" s="25" t="str">
        <f t="array" ref="CA411">_xlfn.TEXTJOIN("",TRUE,IF(ISERROR(FIND(ROW($1:$10)-1,BY411&amp;BZ411)),ROW($1:$10)-1,""))</f>
        <v>02345678</v>
      </c>
      <c r="CB411" s="26" t="str">
        <f t="shared" si="217"/>
        <v>邻孤孤</v>
      </c>
      <c r="CC411" s="27" t="str">
        <f t="shared" si="218"/>
        <v>46</v>
      </c>
      <c r="CD411" s="27" t="str">
        <f t="array" ref="CD411">_xlfn.TEXTJOIN("",TRUE,IF(ISNUMBER(FIND(MID(CC410&amp;R410,ROW($1:$4),1),CC411&amp;R411)),MID(CC410&amp;R410,ROW($1:$4),1),""))</f>
        <v>4</v>
      </c>
      <c r="CE411" s="27" t="str">
        <f t="array" ref="CE411">_xlfn.TEXTJOIN("",TRUE,IF(ISERROR(FIND(ROW($1:$10)-1,CC411&amp;CD411)),ROW($1:$10)-1,""))</f>
        <v>01235789</v>
      </c>
      <c r="CF411" s="17" t="str">
        <f t="shared" si="219"/>
        <v>邻传孤</v>
      </c>
      <c r="CG411" s="22" t="str">
        <f t="shared" si="220"/>
        <v>46</v>
      </c>
      <c r="CH411" s="22" t="str">
        <f t="array" ref="CH411">_xlfn.TEXTJOIN("",TRUE,IF(ISNUMBER(FIND(MID(CG410&amp;S410,ROW($1:$4),1),CG411&amp;S411)),MID(CG410&amp;S410,ROW($1:$4),1),""))</f>
        <v/>
      </c>
      <c r="CI411" s="22" t="str">
        <f t="array" ref="CI411">_xlfn.TEXTJOIN("",TRUE,IF(ISERROR(FIND(ROW($1:$10)-1,CG411&amp;CH411)),ROW($1:$10)-1,""))</f>
        <v>01235789</v>
      </c>
      <c r="CJ411" s="28" t="str">
        <f t="shared" si="221"/>
        <v>邻孤孤</v>
      </c>
    </row>
    <row r="412" spans="1:88">
      <c r="A412" s="32">
        <v>2025187</v>
      </c>
      <c r="B412" s="8" t="s">
        <v>348</v>
      </c>
      <c r="C412" s="49">
        <f t="shared" si="225"/>
        <v>14</v>
      </c>
      <c r="D412" s="50">
        <f t="shared" si="226"/>
        <v>4</v>
      </c>
      <c r="E412" s="51">
        <f t="shared" si="207"/>
        <v>4.6666666666666696</v>
      </c>
      <c r="F412" s="52">
        <f>MAX(MID(B412,{1,2,3},1)*1)-MIN(MID(B412,{1,2,3},1)*1)</f>
        <v>6</v>
      </c>
      <c r="G412" s="104">
        <v>0</v>
      </c>
      <c r="H412" s="104">
        <v>1</v>
      </c>
      <c r="I412" s="104">
        <v>2</v>
      </c>
      <c r="J412" s="104">
        <v>3</v>
      </c>
      <c r="K412" s="104">
        <v>4</v>
      </c>
      <c r="L412" s="104">
        <v>5</v>
      </c>
      <c r="M412" s="104">
        <v>6</v>
      </c>
      <c r="N412" s="104">
        <v>7</v>
      </c>
      <c r="O412" s="104">
        <v>8</v>
      </c>
      <c r="P412" s="104">
        <v>9</v>
      </c>
      <c r="Q412" s="53">
        <f t="shared" si="227"/>
        <v>1</v>
      </c>
      <c r="R412" s="53">
        <f t="shared" si="228"/>
        <v>6</v>
      </c>
      <c r="S412" s="53">
        <f t="shared" si="229"/>
        <v>5</v>
      </c>
      <c r="T412" s="101">
        <f t="shared" si="208"/>
        <v>12</v>
      </c>
      <c r="U412" s="15" t="str">
        <f>_xlfn.TEXTJOIN(", ",TRUE,ABS(MID(B412,{1,1,2},1)-MID(B412,{2,3,3},1)))</f>
        <v>1, 6, 5</v>
      </c>
      <c r="V412" s="54">
        <v>0</v>
      </c>
      <c r="W412" s="54">
        <v>1</v>
      </c>
      <c r="X412" s="54">
        <v>2</v>
      </c>
      <c r="Y412" s="54">
        <v>3</v>
      </c>
      <c r="Z412" s="54">
        <v>4</v>
      </c>
      <c r="AA412" s="54">
        <v>5</v>
      </c>
      <c r="AB412" s="54">
        <v>6</v>
      </c>
      <c r="AC412" s="54">
        <v>7</v>
      </c>
      <c r="AD412" s="54">
        <v>8</v>
      </c>
      <c r="AE412" s="54">
        <v>9</v>
      </c>
      <c r="AF412" s="55">
        <v>0</v>
      </c>
      <c r="AG412" s="55">
        <v>1</v>
      </c>
      <c r="AH412" s="55">
        <v>2</v>
      </c>
      <c r="AI412" s="55">
        <v>3</v>
      </c>
      <c r="AJ412" s="55">
        <v>4</v>
      </c>
      <c r="AK412" s="55">
        <v>5</v>
      </c>
      <c r="AL412" s="55">
        <v>6</v>
      </c>
      <c r="AM412" s="55">
        <v>7</v>
      </c>
      <c r="AN412" s="55">
        <v>8</v>
      </c>
      <c r="AO412" s="55">
        <v>9</v>
      </c>
      <c r="AP412" s="105">
        <v>0</v>
      </c>
      <c r="AQ412" s="105">
        <v>1</v>
      </c>
      <c r="AR412" s="105">
        <v>2</v>
      </c>
      <c r="AS412" s="105">
        <v>3</v>
      </c>
      <c r="AT412" s="105">
        <v>4</v>
      </c>
      <c r="AU412" s="105">
        <v>5</v>
      </c>
      <c r="AV412" s="105">
        <v>6</v>
      </c>
      <c r="AW412" s="105">
        <v>7</v>
      </c>
      <c r="AX412" s="105">
        <v>8</v>
      </c>
      <c r="AY412" s="105">
        <v>9</v>
      </c>
      <c r="AZ412" s="56">
        <v>0</v>
      </c>
      <c r="BA412" s="56">
        <v>1</v>
      </c>
      <c r="BB412" s="56">
        <v>2</v>
      </c>
      <c r="BC412" s="56">
        <v>3</v>
      </c>
      <c r="BD412" s="56">
        <v>4</v>
      </c>
      <c r="BE412" s="56">
        <v>5</v>
      </c>
      <c r="BF412" s="56">
        <v>6</v>
      </c>
      <c r="BG412" s="56">
        <v>7</v>
      </c>
      <c r="BH412" s="56">
        <v>8</v>
      </c>
      <c r="BI412" s="56">
        <v>9</v>
      </c>
      <c r="BJ412" s="57" t="str">
        <f t="shared" si="209"/>
        <v>松散型</v>
      </c>
      <c r="BK412" s="13">
        <f t="shared" si="205"/>
        <v>1</v>
      </c>
      <c r="BL412" s="13">
        <f t="shared" si="206"/>
        <v>6</v>
      </c>
      <c r="BM412" s="18" t="str">
        <f t="shared" si="211"/>
        <v/>
      </c>
      <c r="BN412" s="19" t="str">
        <f t="shared" si="212"/>
        <v/>
      </c>
      <c r="BO412" s="19" t="str">
        <f t="array" ref="BO412">_xlfn.TEXTJOIN("",TRUE,IF(ISERROR(FIND(ROW($1:$10)-1,BM412&amp;BN412)),ROW($1:$10)-1,""))</f>
        <v>0123456789</v>
      </c>
      <c r="BP412" s="20" t="str">
        <f t="shared" si="213"/>
        <v>中中中</v>
      </c>
      <c r="BQ412" s="21" t="str">
        <f t="shared" si="224"/>
        <v/>
      </c>
      <c r="BR412" s="21" t="str">
        <f t="shared" si="222"/>
        <v/>
      </c>
      <c r="BS412" s="21" t="str">
        <f t="array" ref="BS412">_xlfn.TEXTJOIN("",TRUE,IF(ISERROR(FIND(ROW($1:$10)-1,BQ412&amp;BR412)),ROW($1:$10)-1,""))</f>
        <v>0123456789</v>
      </c>
      <c r="BT412" s="20" t="str">
        <f t="shared" si="214"/>
        <v>中中中</v>
      </c>
      <c r="BU412" s="22">
        <f t="shared" si="215"/>
        <v>5</v>
      </c>
      <c r="BV412" s="22">
        <f t="shared" si="223"/>
        <v>5</v>
      </c>
      <c r="BW412" s="22" t="str">
        <f t="array" ref="BW412">_xlfn.TEXTJOIN("",TRUE,IF(ISERROR(FIND(ROW($1:$10)-1,BU412&amp;BV412)),ROW($1:$10)-1,""))</f>
        <v>012346789</v>
      </c>
      <c r="BX412" s="20" t="str">
        <f t="shared" si="216"/>
        <v>复隔中</v>
      </c>
      <c r="BY412" s="23" t="str">
        <f t="shared" si="210"/>
        <v>02</v>
      </c>
      <c r="BZ412" s="24" t="str">
        <f t="array" ref="BZ412">_xlfn.TEXTJOIN("",TRUE,IF(ISNUMBER(FIND(MID(BY411&amp;Q411,ROW($1:$4),1),BY412&amp;Q412)),MID(BY411&amp;Q411,ROW($1:$4),1),""))</f>
        <v>10</v>
      </c>
      <c r="CA412" s="25" t="str">
        <f t="array" ref="CA412">_xlfn.TEXTJOIN("",TRUE,IF(ISERROR(FIND(ROW($1:$10)-1,BY412&amp;BZ412)),ROW($1:$10)-1,""))</f>
        <v>3456789</v>
      </c>
      <c r="CB412" s="26" t="str">
        <f t="shared" si="217"/>
        <v>邻传孤</v>
      </c>
      <c r="CC412" s="27" t="str">
        <f t="shared" si="218"/>
        <v>57</v>
      </c>
      <c r="CD412" s="27" t="str">
        <f t="array" ref="CD412">_xlfn.TEXTJOIN("",TRUE,IF(ISNUMBER(FIND(MID(CC411&amp;R411,ROW($1:$4),1),CC412&amp;R412)),MID(CC411&amp;R411,ROW($1:$4),1),""))</f>
        <v>65</v>
      </c>
      <c r="CE412" s="27" t="str">
        <f t="array" ref="CE412">_xlfn.TEXTJOIN("",TRUE,IF(ISERROR(FIND(ROW($1:$10)-1,CC412&amp;CD412)),ROW($1:$10)-1,""))</f>
        <v>0123489</v>
      </c>
      <c r="CF412" s="17" t="str">
        <f t="shared" si="219"/>
        <v>邻传孤</v>
      </c>
      <c r="CG412" s="22" t="str">
        <f t="shared" si="220"/>
        <v>46</v>
      </c>
      <c r="CH412" s="22" t="str">
        <f t="array" ref="CH412">_xlfn.TEXTJOIN("",TRUE,IF(ISNUMBER(FIND(MID(CG411&amp;S411,ROW($1:$4),1),CG412&amp;S412)),MID(CG411&amp;S411,ROW($1:$4),1),""))</f>
        <v>465</v>
      </c>
      <c r="CI412" s="22" t="str">
        <f t="array" ref="CI412">_xlfn.TEXTJOIN("",TRUE,IF(ISERROR(FIND(ROW($1:$10)-1,CG412&amp;CH412)),ROW($1:$10)-1,""))</f>
        <v>0123789</v>
      </c>
      <c r="CJ412" s="28" t="str">
        <f t="shared" si="221"/>
        <v>邻传孤</v>
      </c>
    </row>
    <row r="413" spans="1:88">
      <c r="A413" s="32">
        <v>2025188</v>
      </c>
      <c r="B413" s="8" t="s">
        <v>349</v>
      </c>
      <c r="C413" s="49">
        <f t="shared" si="225"/>
        <v>9</v>
      </c>
      <c r="D413" s="50">
        <f t="shared" si="226"/>
        <v>9</v>
      </c>
      <c r="E413" s="51">
        <f t="shared" si="207"/>
        <v>3</v>
      </c>
      <c r="F413" s="52">
        <f>MAX(MID(B413,{1,2,3},1)*1)-MIN(MID(B413,{1,2,3},1)*1)</f>
        <v>8</v>
      </c>
      <c r="G413" s="104">
        <v>0</v>
      </c>
      <c r="H413" s="104">
        <v>1</v>
      </c>
      <c r="I413" s="104">
        <v>2</v>
      </c>
      <c r="J413" s="104">
        <v>3</v>
      </c>
      <c r="K413" s="104">
        <v>4</v>
      </c>
      <c r="L413" s="104">
        <v>5</v>
      </c>
      <c r="M413" s="104">
        <v>6</v>
      </c>
      <c r="N413" s="104">
        <v>7</v>
      </c>
      <c r="O413" s="104">
        <v>8</v>
      </c>
      <c r="P413" s="104">
        <v>9</v>
      </c>
      <c r="Q413" s="53">
        <f t="shared" si="227"/>
        <v>1</v>
      </c>
      <c r="R413" s="53">
        <f t="shared" si="228"/>
        <v>8</v>
      </c>
      <c r="S413" s="53">
        <f t="shared" si="229"/>
        <v>7</v>
      </c>
      <c r="T413" s="101">
        <f t="shared" si="208"/>
        <v>16</v>
      </c>
      <c r="U413" s="15" t="str">
        <f>_xlfn.TEXTJOIN(", ",TRUE,ABS(MID(B413,{1,1,2},1)-MID(B413,{2,3,3},1)))</f>
        <v>1, 8, 7</v>
      </c>
      <c r="V413" s="54">
        <v>0</v>
      </c>
      <c r="W413" s="54">
        <v>1</v>
      </c>
      <c r="X413" s="54">
        <v>2</v>
      </c>
      <c r="Y413" s="54">
        <v>3</v>
      </c>
      <c r="Z413" s="54">
        <v>4</v>
      </c>
      <c r="AA413" s="54">
        <v>5</v>
      </c>
      <c r="AB413" s="54">
        <v>6</v>
      </c>
      <c r="AC413" s="54">
        <v>7</v>
      </c>
      <c r="AD413" s="54">
        <v>8</v>
      </c>
      <c r="AE413" s="54">
        <v>9</v>
      </c>
      <c r="AF413" s="55">
        <v>0</v>
      </c>
      <c r="AG413" s="55">
        <v>1</v>
      </c>
      <c r="AH413" s="55">
        <v>2</v>
      </c>
      <c r="AI413" s="55">
        <v>3</v>
      </c>
      <c r="AJ413" s="55">
        <v>4</v>
      </c>
      <c r="AK413" s="55">
        <v>5</v>
      </c>
      <c r="AL413" s="55">
        <v>6</v>
      </c>
      <c r="AM413" s="55">
        <v>7</v>
      </c>
      <c r="AN413" s="55">
        <v>8</v>
      </c>
      <c r="AO413" s="55">
        <v>9</v>
      </c>
      <c r="AP413" s="105">
        <v>0</v>
      </c>
      <c r="AQ413" s="105">
        <v>1</v>
      </c>
      <c r="AR413" s="105">
        <v>2</v>
      </c>
      <c r="AS413" s="105">
        <v>3</v>
      </c>
      <c r="AT413" s="105">
        <v>4</v>
      </c>
      <c r="AU413" s="105">
        <v>5</v>
      </c>
      <c r="AV413" s="105">
        <v>6</v>
      </c>
      <c r="AW413" s="105">
        <v>7</v>
      </c>
      <c r="AX413" s="105">
        <v>8</v>
      </c>
      <c r="AY413" s="105">
        <v>9</v>
      </c>
      <c r="AZ413" s="56">
        <v>0</v>
      </c>
      <c r="BA413" s="56">
        <v>1</v>
      </c>
      <c r="BB413" s="56">
        <v>2</v>
      </c>
      <c r="BC413" s="56">
        <v>3</v>
      </c>
      <c r="BD413" s="56">
        <v>4</v>
      </c>
      <c r="BE413" s="56">
        <v>5</v>
      </c>
      <c r="BF413" s="56">
        <v>6</v>
      </c>
      <c r="BG413" s="56">
        <v>7</v>
      </c>
      <c r="BH413" s="56">
        <v>8</v>
      </c>
      <c r="BI413" s="56">
        <v>9</v>
      </c>
      <c r="BJ413" s="57" t="str">
        <f t="shared" si="209"/>
        <v>松散型</v>
      </c>
      <c r="BK413" s="13">
        <f t="shared" si="205"/>
        <v>1</v>
      </c>
      <c r="BL413" s="13">
        <f t="shared" si="206"/>
        <v>8</v>
      </c>
      <c r="BM413" s="18">
        <f t="shared" si="211"/>
        <v>1</v>
      </c>
      <c r="BN413" s="19" t="str">
        <f t="shared" si="212"/>
        <v/>
      </c>
      <c r="BO413" s="19" t="str">
        <f t="array" ref="BO413">_xlfn.TEXTJOIN("",TRUE,IF(ISERROR(FIND(ROW($1:$10)-1,BM413&amp;BN413)),ROW($1:$10)-1,""))</f>
        <v>023456789</v>
      </c>
      <c r="BP413" s="20" t="str">
        <f t="shared" si="213"/>
        <v>复中中</v>
      </c>
      <c r="BQ413" s="21" t="str">
        <f t="shared" si="224"/>
        <v/>
      </c>
      <c r="BR413" s="21" t="str">
        <f t="shared" si="222"/>
        <v/>
      </c>
      <c r="BS413" s="21" t="str">
        <f t="array" ref="BS413">_xlfn.TEXTJOIN("",TRUE,IF(ISERROR(FIND(ROW($1:$10)-1,BQ413&amp;BR413)),ROW($1:$10)-1,""))</f>
        <v>0123456789</v>
      </c>
      <c r="BT413" s="20" t="str">
        <f t="shared" si="214"/>
        <v>中中中</v>
      </c>
      <c r="BU413" s="22" t="str">
        <f t="shared" si="215"/>
        <v/>
      </c>
      <c r="BV413" s="22" t="str">
        <f t="shared" si="223"/>
        <v/>
      </c>
      <c r="BW413" s="22" t="str">
        <f t="array" ref="BW413">_xlfn.TEXTJOIN("",TRUE,IF(ISERROR(FIND(ROW($1:$10)-1,BU413&amp;BV413)),ROW($1:$10)-1,""))</f>
        <v>0123456789</v>
      </c>
      <c r="BX413" s="20" t="str">
        <f t="shared" si="216"/>
        <v>中中中</v>
      </c>
      <c r="BY413" s="23" t="str">
        <f t="shared" si="210"/>
        <v>02</v>
      </c>
      <c r="BZ413" s="24" t="str">
        <f t="array" ref="BZ413">_xlfn.TEXTJOIN("",TRUE,IF(ISNUMBER(FIND(MID(BY412&amp;Q412,ROW($1:$4),1),BY413&amp;Q413)),MID(BY412&amp;Q412,ROW($1:$4),1),""))</f>
        <v>021</v>
      </c>
      <c r="CA413" s="25" t="str">
        <f t="array" ref="CA413">_xlfn.TEXTJOIN("",TRUE,IF(ISERROR(FIND(ROW($1:$10)-1,BY413&amp;BZ413)),ROW($1:$10)-1,""))</f>
        <v>3456789</v>
      </c>
      <c r="CB413" s="26" t="str">
        <f t="shared" si="217"/>
        <v>邻传孤</v>
      </c>
      <c r="CC413" s="27" t="str">
        <f t="shared" si="218"/>
        <v>79</v>
      </c>
      <c r="CD413" s="27" t="str">
        <f t="array" ref="CD413">_xlfn.TEXTJOIN("",TRUE,IF(ISNUMBER(FIND(MID(CC412&amp;R412,ROW($1:$4),1),CC413&amp;R413)),MID(CC412&amp;R412,ROW($1:$4),1),""))</f>
        <v>7</v>
      </c>
      <c r="CE413" s="27" t="str">
        <f t="array" ref="CE413">_xlfn.TEXTJOIN("",TRUE,IF(ISERROR(FIND(ROW($1:$10)-1,CC413&amp;CD413)),ROW($1:$10)-1,""))</f>
        <v>01234568</v>
      </c>
      <c r="CF413" s="17" t="str">
        <f t="shared" si="219"/>
        <v>邻传孤</v>
      </c>
      <c r="CG413" s="22" t="str">
        <f t="shared" si="220"/>
        <v>68</v>
      </c>
      <c r="CH413" s="22" t="str">
        <f t="array" ref="CH413">_xlfn.TEXTJOIN("",TRUE,IF(ISNUMBER(FIND(MID(CG412&amp;S412,ROW($1:$4),1),CG413&amp;S413)),MID(CG412&amp;S412,ROW($1:$4),1),""))</f>
        <v>6</v>
      </c>
      <c r="CI413" s="22" t="str">
        <f t="array" ref="CI413">_xlfn.TEXTJOIN("",TRUE,IF(ISERROR(FIND(ROW($1:$10)-1,CG413&amp;CH413)),ROW($1:$10)-1,""))</f>
        <v>01234579</v>
      </c>
      <c r="CJ413" s="28" t="str">
        <f t="shared" si="221"/>
        <v>邻传孤</v>
      </c>
    </row>
    <row r="414" spans="1:88">
      <c r="A414" s="32">
        <v>2025189</v>
      </c>
      <c r="B414" s="8" t="s">
        <v>350</v>
      </c>
      <c r="C414" s="49">
        <f t="shared" si="225"/>
        <v>16</v>
      </c>
      <c r="D414" s="50">
        <f t="shared" si="226"/>
        <v>6</v>
      </c>
      <c r="E414" s="51">
        <f t="shared" si="207"/>
        <v>5.3333333333333304</v>
      </c>
      <c r="F414" s="52">
        <f>MAX(MID(B414,{1,2,3},1)*1)-MIN(MID(B414,{1,2,3},1)*1)</f>
        <v>9</v>
      </c>
      <c r="G414" s="104">
        <v>0</v>
      </c>
      <c r="H414" s="104">
        <v>1</v>
      </c>
      <c r="I414" s="104">
        <v>2</v>
      </c>
      <c r="J414" s="104">
        <v>3</v>
      </c>
      <c r="K414" s="104">
        <v>4</v>
      </c>
      <c r="L414" s="104">
        <v>5</v>
      </c>
      <c r="M414" s="104">
        <v>6</v>
      </c>
      <c r="N414" s="104">
        <v>7</v>
      </c>
      <c r="O414" s="104">
        <v>8</v>
      </c>
      <c r="P414" s="104">
        <v>9</v>
      </c>
      <c r="Q414" s="53">
        <f t="shared" si="227"/>
        <v>9</v>
      </c>
      <c r="R414" s="53">
        <f t="shared" si="228"/>
        <v>2</v>
      </c>
      <c r="S414" s="53">
        <f t="shared" si="229"/>
        <v>7</v>
      </c>
      <c r="T414" s="101">
        <f t="shared" si="208"/>
        <v>18</v>
      </c>
      <c r="U414" s="15" t="str">
        <f>_xlfn.TEXTJOIN(", ",TRUE,ABS(MID(B414,{1,1,2},1)-MID(B414,{2,3,3},1)))</f>
        <v>9, 2, 7</v>
      </c>
      <c r="V414" s="54">
        <v>0</v>
      </c>
      <c r="W414" s="54">
        <v>1</v>
      </c>
      <c r="X414" s="54">
        <v>2</v>
      </c>
      <c r="Y414" s="54">
        <v>3</v>
      </c>
      <c r="Z414" s="54">
        <v>4</v>
      </c>
      <c r="AA414" s="54">
        <v>5</v>
      </c>
      <c r="AB414" s="54">
        <v>6</v>
      </c>
      <c r="AC414" s="54">
        <v>7</v>
      </c>
      <c r="AD414" s="54">
        <v>8</v>
      </c>
      <c r="AE414" s="54">
        <v>9</v>
      </c>
      <c r="AF414" s="55">
        <v>0</v>
      </c>
      <c r="AG414" s="55">
        <v>1</v>
      </c>
      <c r="AH414" s="55">
        <v>2</v>
      </c>
      <c r="AI414" s="55">
        <v>3</v>
      </c>
      <c r="AJ414" s="55">
        <v>4</v>
      </c>
      <c r="AK414" s="55">
        <v>5</v>
      </c>
      <c r="AL414" s="55">
        <v>6</v>
      </c>
      <c r="AM414" s="55">
        <v>7</v>
      </c>
      <c r="AN414" s="55">
        <v>8</v>
      </c>
      <c r="AO414" s="55">
        <v>9</v>
      </c>
      <c r="AP414" s="105">
        <v>0</v>
      </c>
      <c r="AQ414" s="105">
        <v>1</v>
      </c>
      <c r="AR414" s="105">
        <v>2</v>
      </c>
      <c r="AS414" s="105">
        <v>3</v>
      </c>
      <c r="AT414" s="105">
        <v>4</v>
      </c>
      <c r="AU414" s="105">
        <v>5</v>
      </c>
      <c r="AV414" s="105">
        <v>6</v>
      </c>
      <c r="AW414" s="105">
        <v>7</v>
      </c>
      <c r="AX414" s="105">
        <v>8</v>
      </c>
      <c r="AY414" s="105">
        <v>9</v>
      </c>
      <c r="AZ414" s="56">
        <v>0</v>
      </c>
      <c r="BA414" s="56">
        <v>1</v>
      </c>
      <c r="BB414" s="56">
        <v>2</v>
      </c>
      <c r="BC414" s="56">
        <v>3</v>
      </c>
      <c r="BD414" s="56">
        <v>4</v>
      </c>
      <c r="BE414" s="56">
        <v>5</v>
      </c>
      <c r="BF414" s="56">
        <v>6</v>
      </c>
      <c r="BG414" s="56">
        <v>7</v>
      </c>
      <c r="BH414" s="56">
        <v>8</v>
      </c>
      <c r="BI414" s="56">
        <v>9</v>
      </c>
      <c r="BJ414" s="57" t="str">
        <f t="shared" si="209"/>
        <v>松散型</v>
      </c>
      <c r="BK414" s="13">
        <f t="shared" si="205"/>
        <v>2</v>
      </c>
      <c r="BL414" s="13">
        <f t="shared" si="206"/>
        <v>9</v>
      </c>
      <c r="BM414" s="18" t="str">
        <f t="shared" si="211"/>
        <v/>
      </c>
      <c r="BN414" s="19" t="str">
        <f t="shared" si="212"/>
        <v/>
      </c>
      <c r="BO414" s="19" t="str">
        <f t="array" ref="BO414">_xlfn.TEXTJOIN("",TRUE,IF(ISERROR(FIND(ROW($1:$10)-1,BM414&amp;BN414)),ROW($1:$10)-1,""))</f>
        <v>0123456789</v>
      </c>
      <c r="BP414" s="20" t="str">
        <f t="shared" si="213"/>
        <v>中中中</v>
      </c>
      <c r="BQ414" s="21" t="str">
        <f t="shared" si="224"/>
        <v/>
      </c>
      <c r="BR414" s="21" t="str">
        <f t="shared" si="222"/>
        <v/>
      </c>
      <c r="BS414" s="21" t="str">
        <f t="array" ref="BS414">_xlfn.TEXTJOIN("",TRUE,IF(ISERROR(FIND(ROW($1:$10)-1,BQ414&amp;BR414)),ROW($1:$10)-1,""))</f>
        <v>0123456789</v>
      </c>
      <c r="BT414" s="20" t="str">
        <f t="shared" si="214"/>
        <v>中中中</v>
      </c>
      <c r="BU414" s="22">
        <f t="shared" si="215"/>
        <v>7</v>
      </c>
      <c r="BV414" s="22" t="str">
        <f t="shared" si="223"/>
        <v/>
      </c>
      <c r="BW414" s="22" t="str">
        <f t="array" ref="BW414">_xlfn.TEXTJOIN("",TRUE,IF(ISERROR(FIND(ROW($1:$10)-1,BU414&amp;BV414)),ROW($1:$10)-1,""))</f>
        <v>012345689</v>
      </c>
      <c r="BX414" s="20" t="str">
        <f t="shared" si="216"/>
        <v>复中中</v>
      </c>
      <c r="BY414" s="23" t="str">
        <f t="shared" si="210"/>
        <v>80</v>
      </c>
      <c r="BZ414" s="24" t="str">
        <f t="array" ref="BZ414">_xlfn.TEXTJOIN("",TRUE,IF(ISNUMBER(FIND(MID(BY413&amp;Q413,ROW($1:$4),1),BY414&amp;Q414)),MID(BY413&amp;Q413,ROW($1:$4),1),""))</f>
        <v>0</v>
      </c>
      <c r="CA414" s="25" t="str">
        <f t="array" ref="CA414">_xlfn.TEXTJOIN("",TRUE,IF(ISERROR(FIND(ROW($1:$10)-1,BY414&amp;BZ414)),ROW($1:$10)-1,""))</f>
        <v>12345679</v>
      </c>
      <c r="CB414" s="26" t="str">
        <f t="shared" si="217"/>
        <v>邻传孤</v>
      </c>
      <c r="CC414" s="27" t="str">
        <f t="shared" si="218"/>
        <v>13</v>
      </c>
      <c r="CD414" s="27" t="str">
        <f t="array" ref="CD414">_xlfn.TEXTJOIN("",TRUE,IF(ISNUMBER(FIND(MID(CC413&amp;R413,ROW($1:$4),1),CC414&amp;R414)),MID(CC413&amp;R413,ROW($1:$4),1),""))</f>
        <v/>
      </c>
      <c r="CE414" s="27" t="str">
        <f t="array" ref="CE414">_xlfn.TEXTJOIN("",TRUE,IF(ISERROR(FIND(ROW($1:$10)-1,CC414&amp;CD414)),ROW($1:$10)-1,""))</f>
        <v>02456789</v>
      </c>
      <c r="CF414" s="17" t="str">
        <f t="shared" si="219"/>
        <v>邻孤孤</v>
      </c>
      <c r="CG414" s="22" t="str">
        <f t="shared" si="220"/>
        <v>68</v>
      </c>
      <c r="CH414" s="22" t="str">
        <f t="array" ref="CH414">_xlfn.TEXTJOIN("",TRUE,IF(ISNUMBER(FIND(MID(CG413&amp;S413,ROW($1:$4),1),CG414&amp;S414)),MID(CG413&amp;S413,ROW($1:$4),1),""))</f>
        <v>687</v>
      </c>
      <c r="CI414" s="22" t="str">
        <f t="array" ref="CI414">_xlfn.TEXTJOIN("",TRUE,IF(ISERROR(FIND(ROW($1:$10)-1,CG414&amp;CH414)),ROW($1:$10)-1,""))</f>
        <v>0123459</v>
      </c>
      <c r="CJ414" s="28" t="str">
        <f t="shared" si="221"/>
        <v>邻传孤</v>
      </c>
    </row>
    <row r="415" spans="1:88">
      <c r="A415" s="32">
        <v>2025190</v>
      </c>
      <c r="B415" s="8" t="s">
        <v>63</v>
      </c>
      <c r="C415" s="49">
        <f t="shared" si="225"/>
        <v>6</v>
      </c>
      <c r="D415" s="50">
        <f t="shared" si="226"/>
        <v>6</v>
      </c>
      <c r="E415" s="51">
        <f t="shared" si="207"/>
        <v>2</v>
      </c>
      <c r="F415" s="52">
        <f>MAX(MID(B415,{1,2,3},1)*1)-MIN(MID(B415,{1,2,3},1)*1)</f>
        <v>4</v>
      </c>
      <c r="G415" s="104">
        <v>0</v>
      </c>
      <c r="H415" s="104">
        <v>1</v>
      </c>
      <c r="I415" s="104">
        <v>2</v>
      </c>
      <c r="J415" s="104">
        <v>3</v>
      </c>
      <c r="K415" s="104">
        <v>4</v>
      </c>
      <c r="L415" s="104">
        <v>5</v>
      </c>
      <c r="M415" s="104">
        <v>6</v>
      </c>
      <c r="N415" s="104">
        <v>7</v>
      </c>
      <c r="O415" s="104">
        <v>8</v>
      </c>
      <c r="P415" s="104">
        <v>9</v>
      </c>
      <c r="Q415" s="53">
        <f t="shared" si="227"/>
        <v>4</v>
      </c>
      <c r="R415" s="53">
        <f t="shared" si="228"/>
        <v>2</v>
      </c>
      <c r="S415" s="53">
        <f t="shared" si="229"/>
        <v>2</v>
      </c>
      <c r="T415" s="101">
        <f t="shared" si="208"/>
        <v>8</v>
      </c>
      <c r="U415" s="15" t="str">
        <f>_xlfn.TEXTJOIN(", ",TRUE,ABS(MID(B415,{1,1,2},1)-MID(B415,{2,3,3},1)))</f>
        <v>4, 2, 2</v>
      </c>
      <c r="V415" s="54">
        <v>0</v>
      </c>
      <c r="W415" s="54">
        <v>1</v>
      </c>
      <c r="X415" s="54">
        <v>2</v>
      </c>
      <c r="Y415" s="54">
        <v>3</v>
      </c>
      <c r="Z415" s="54">
        <v>4</v>
      </c>
      <c r="AA415" s="54">
        <v>5</v>
      </c>
      <c r="AB415" s="54">
        <v>6</v>
      </c>
      <c r="AC415" s="54">
        <v>7</v>
      </c>
      <c r="AD415" s="54">
        <v>8</v>
      </c>
      <c r="AE415" s="54">
        <v>9</v>
      </c>
      <c r="AF415" s="55">
        <v>0</v>
      </c>
      <c r="AG415" s="55">
        <v>1</v>
      </c>
      <c r="AH415" s="55">
        <v>2</v>
      </c>
      <c r="AI415" s="55">
        <v>3</v>
      </c>
      <c r="AJ415" s="55">
        <v>4</v>
      </c>
      <c r="AK415" s="55">
        <v>5</v>
      </c>
      <c r="AL415" s="55">
        <v>6</v>
      </c>
      <c r="AM415" s="55">
        <v>7</v>
      </c>
      <c r="AN415" s="55">
        <v>8</v>
      </c>
      <c r="AO415" s="55">
        <v>9</v>
      </c>
      <c r="AP415" s="105">
        <v>0</v>
      </c>
      <c r="AQ415" s="105">
        <v>1</v>
      </c>
      <c r="AR415" s="105">
        <v>2</v>
      </c>
      <c r="AS415" s="105">
        <v>3</v>
      </c>
      <c r="AT415" s="105">
        <v>4</v>
      </c>
      <c r="AU415" s="105">
        <v>5</v>
      </c>
      <c r="AV415" s="105">
        <v>6</v>
      </c>
      <c r="AW415" s="105">
        <v>7</v>
      </c>
      <c r="AX415" s="105">
        <v>8</v>
      </c>
      <c r="AY415" s="105">
        <v>9</v>
      </c>
      <c r="AZ415" s="56">
        <v>0</v>
      </c>
      <c r="BA415" s="56">
        <v>1</v>
      </c>
      <c r="BB415" s="56">
        <v>2</v>
      </c>
      <c r="BC415" s="56">
        <v>3</v>
      </c>
      <c r="BD415" s="56">
        <v>4</v>
      </c>
      <c r="BE415" s="56">
        <v>5</v>
      </c>
      <c r="BF415" s="56">
        <v>6</v>
      </c>
      <c r="BG415" s="56">
        <v>7</v>
      </c>
      <c r="BH415" s="56">
        <v>8</v>
      </c>
      <c r="BI415" s="56">
        <v>9</v>
      </c>
      <c r="BJ415" s="57" t="str">
        <f t="shared" si="209"/>
        <v>标准型</v>
      </c>
      <c r="BK415" s="13">
        <f t="shared" si="205"/>
        <v>2</v>
      </c>
      <c r="BL415" s="13">
        <f t="shared" si="206"/>
        <v>4</v>
      </c>
      <c r="BM415" s="18" t="str">
        <f t="shared" si="211"/>
        <v/>
      </c>
      <c r="BN415" s="19" t="str">
        <f t="shared" si="212"/>
        <v/>
      </c>
      <c r="BO415" s="19" t="str">
        <f t="array" ref="BO415">_xlfn.TEXTJOIN("",TRUE,IF(ISERROR(FIND(ROW($1:$10)-1,BM415&amp;BN415)),ROW($1:$10)-1,""))</f>
        <v>0123456789</v>
      </c>
      <c r="BP415" s="20" t="str">
        <f t="shared" si="213"/>
        <v>中中中</v>
      </c>
      <c r="BQ415" s="21">
        <f t="shared" si="224"/>
        <v>2</v>
      </c>
      <c r="BR415" s="21" t="str">
        <f t="shared" si="222"/>
        <v/>
      </c>
      <c r="BS415" s="21" t="str">
        <f t="array" ref="BS415">_xlfn.TEXTJOIN("",TRUE,IF(ISERROR(FIND(ROW($1:$10)-1,BQ415&amp;BR415)),ROW($1:$10)-1,""))</f>
        <v>013456789</v>
      </c>
      <c r="BT415" s="20" t="str">
        <f t="shared" si="214"/>
        <v>复中中</v>
      </c>
      <c r="BU415" s="22">
        <f t="shared" si="215"/>
        <v>2</v>
      </c>
      <c r="BV415" s="22" t="str">
        <f t="shared" si="223"/>
        <v/>
      </c>
      <c r="BW415" s="22" t="str">
        <f t="array" ref="BW415">_xlfn.TEXTJOIN("",TRUE,IF(ISERROR(FIND(ROW($1:$10)-1,BU415&amp;BV415)),ROW($1:$10)-1,""))</f>
        <v>013456789</v>
      </c>
      <c r="BX415" s="20" t="str">
        <f t="shared" si="216"/>
        <v>复中中</v>
      </c>
      <c r="BY415" s="23" t="str">
        <f t="shared" si="210"/>
        <v>35</v>
      </c>
      <c r="BZ415" s="24" t="str">
        <f t="array" ref="BZ415">_xlfn.TEXTJOIN("",TRUE,IF(ISNUMBER(FIND(MID(BY414&amp;Q414,ROW($1:$4),1),BY415&amp;Q415)),MID(BY414&amp;Q414,ROW($1:$4),1),""))</f>
        <v/>
      </c>
      <c r="CA415" s="25" t="str">
        <f t="array" ref="CA415">_xlfn.TEXTJOIN("",TRUE,IF(ISERROR(FIND(ROW($1:$10)-1,BY415&amp;BZ415)),ROW($1:$10)-1,""))</f>
        <v>01246789</v>
      </c>
      <c r="CB415" s="26" t="str">
        <f t="shared" si="217"/>
        <v>邻孤孤</v>
      </c>
      <c r="CC415" s="27" t="str">
        <f t="shared" si="218"/>
        <v>13</v>
      </c>
      <c r="CD415" s="27" t="str">
        <f t="array" ref="CD415">_xlfn.TEXTJOIN("",TRUE,IF(ISNUMBER(FIND(MID(CC414&amp;R414,ROW($1:$4),1),CC415&amp;R415)),MID(CC414&amp;R414,ROW($1:$4),1),""))</f>
        <v>132</v>
      </c>
      <c r="CE415" s="27" t="str">
        <f t="array" ref="CE415">_xlfn.TEXTJOIN("",TRUE,IF(ISERROR(FIND(ROW($1:$10)-1,CC415&amp;CD415)),ROW($1:$10)-1,""))</f>
        <v>0456789</v>
      </c>
      <c r="CF415" s="17" t="str">
        <f t="shared" si="219"/>
        <v>邻传孤</v>
      </c>
      <c r="CG415" s="22" t="str">
        <f t="shared" si="220"/>
        <v>13</v>
      </c>
      <c r="CH415" s="22" t="str">
        <f t="array" ref="CH415">_xlfn.TEXTJOIN("",TRUE,IF(ISNUMBER(FIND(MID(CG414&amp;S414,ROW($1:$4),1),CG415&amp;S415)),MID(CG414&amp;S414,ROW($1:$4),1),""))</f>
        <v/>
      </c>
      <c r="CI415" s="22" t="str">
        <f t="array" ref="CI415">_xlfn.TEXTJOIN("",TRUE,IF(ISERROR(FIND(ROW($1:$10)-1,CG415&amp;CH415)),ROW($1:$10)-1,""))</f>
        <v>02456789</v>
      </c>
      <c r="CJ415" s="28" t="str">
        <f t="shared" si="221"/>
        <v>邻孤孤</v>
      </c>
    </row>
    <row r="416" spans="1:88">
      <c r="A416" s="32">
        <v>2025191</v>
      </c>
      <c r="B416" s="8" t="s">
        <v>320</v>
      </c>
      <c r="C416" s="49">
        <f t="shared" si="225"/>
        <v>4</v>
      </c>
      <c r="D416" s="50">
        <f t="shared" si="226"/>
        <v>4</v>
      </c>
      <c r="E416" s="51">
        <f t="shared" si="207"/>
        <v>1.3333333333333299</v>
      </c>
      <c r="F416" s="52">
        <f>MAX(MID(B416,{1,2,3},1)*1)-MIN(MID(B416,{1,2,3},1)*1)</f>
        <v>2</v>
      </c>
      <c r="G416" s="104">
        <v>0</v>
      </c>
      <c r="H416" s="104">
        <v>1</v>
      </c>
      <c r="I416" s="104">
        <v>2</v>
      </c>
      <c r="J416" s="104">
        <v>3</v>
      </c>
      <c r="K416" s="104">
        <v>4</v>
      </c>
      <c r="L416" s="104">
        <v>5</v>
      </c>
      <c r="M416" s="104">
        <v>6</v>
      </c>
      <c r="N416" s="104">
        <v>7</v>
      </c>
      <c r="O416" s="104">
        <v>8</v>
      </c>
      <c r="P416" s="104">
        <v>9</v>
      </c>
      <c r="Q416" s="53">
        <f t="shared" si="227"/>
        <v>2</v>
      </c>
      <c r="R416" s="53">
        <f t="shared" si="228"/>
        <v>0</v>
      </c>
      <c r="S416" s="53">
        <f t="shared" si="229"/>
        <v>2</v>
      </c>
      <c r="T416" s="101">
        <f t="shared" si="208"/>
        <v>4</v>
      </c>
      <c r="U416" s="15" t="str">
        <f>_xlfn.TEXTJOIN(", ",TRUE,ABS(MID(B416,{1,1,2},1)-MID(B416,{2,3,3},1)))</f>
        <v>2, 0, 2</v>
      </c>
      <c r="V416" s="54">
        <v>0</v>
      </c>
      <c r="W416" s="54">
        <v>1</v>
      </c>
      <c r="X416" s="54">
        <v>2</v>
      </c>
      <c r="Y416" s="54">
        <v>3</v>
      </c>
      <c r="Z416" s="54">
        <v>4</v>
      </c>
      <c r="AA416" s="54">
        <v>5</v>
      </c>
      <c r="AB416" s="54">
        <v>6</v>
      </c>
      <c r="AC416" s="54">
        <v>7</v>
      </c>
      <c r="AD416" s="54">
        <v>8</v>
      </c>
      <c r="AE416" s="54">
        <v>9</v>
      </c>
      <c r="AF416" s="55">
        <v>0</v>
      </c>
      <c r="AG416" s="55">
        <v>1</v>
      </c>
      <c r="AH416" s="55">
        <v>2</v>
      </c>
      <c r="AI416" s="55">
        <v>3</v>
      </c>
      <c r="AJ416" s="55">
        <v>4</v>
      </c>
      <c r="AK416" s="55">
        <v>5</v>
      </c>
      <c r="AL416" s="55">
        <v>6</v>
      </c>
      <c r="AM416" s="55">
        <v>7</v>
      </c>
      <c r="AN416" s="55">
        <v>8</v>
      </c>
      <c r="AO416" s="55">
        <v>9</v>
      </c>
      <c r="AP416" s="105">
        <v>0</v>
      </c>
      <c r="AQ416" s="105">
        <v>1</v>
      </c>
      <c r="AR416" s="105">
        <v>2</v>
      </c>
      <c r="AS416" s="105">
        <v>3</v>
      </c>
      <c r="AT416" s="105">
        <v>4</v>
      </c>
      <c r="AU416" s="105">
        <v>5</v>
      </c>
      <c r="AV416" s="105">
        <v>6</v>
      </c>
      <c r="AW416" s="105">
        <v>7</v>
      </c>
      <c r="AX416" s="105">
        <v>8</v>
      </c>
      <c r="AY416" s="105">
        <v>9</v>
      </c>
      <c r="AZ416" s="56">
        <v>0</v>
      </c>
      <c r="BA416" s="56">
        <v>1</v>
      </c>
      <c r="BB416" s="56">
        <v>2</v>
      </c>
      <c r="BC416" s="56">
        <v>3</v>
      </c>
      <c r="BD416" s="56">
        <v>4</v>
      </c>
      <c r="BE416" s="56">
        <v>5</v>
      </c>
      <c r="BF416" s="56">
        <v>6</v>
      </c>
      <c r="BG416" s="56">
        <v>7</v>
      </c>
      <c r="BH416" s="56">
        <v>8</v>
      </c>
      <c r="BI416" s="56">
        <v>9</v>
      </c>
      <c r="BJ416" s="57" t="str">
        <f t="shared" si="209"/>
        <v>紧凑型</v>
      </c>
      <c r="BK416" s="13">
        <f t="shared" si="205"/>
        <v>0</v>
      </c>
      <c r="BL416" s="13">
        <f t="shared" si="206"/>
        <v>2</v>
      </c>
      <c r="BM416" s="18">
        <f t="shared" si="211"/>
        <v>2</v>
      </c>
      <c r="BN416" s="19">
        <f t="shared" si="212"/>
        <v>2</v>
      </c>
      <c r="BO416" s="19" t="str">
        <f t="array" ref="BO416">_xlfn.TEXTJOIN("",TRUE,IF(ISERROR(FIND(ROW($1:$10)-1,BM416&amp;BN416)),ROW($1:$10)-1,""))</f>
        <v>013456789</v>
      </c>
      <c r="BP416" s="20" t="str">
        <f t="shared" si="213"/>
        <v>复隔中</v>
      </c>
      <c r="BQ416" s="21" t="str">
        <f t="shared" si="224"/>
        <v/>
      </c>
      <c r="BR416" s="21" t="str">
        <f t="shared" si="222"/>
        <v/>
      </c>
      <c r="BS416" s="21" t="str">
        <f t="array" ref="BS416">_xlfn.TEXTJOIN("",TRUE,IF(ISERROR(FIND(ROW($1:$10)-1,BQ416&amp;BR416)),ROW($1:$10)-1,""))</f>
        <v>0123456789</v>
      </c>
      <c r="BT416" s="20" t="str">
        <f t="shared" si="214"/>
        <v>中中中</v>
      </c>
      <c r="BU416" s="22">
        <f t="shared" si="215"/>
        <v>2</v>
      </c>
      <c r="BV416" s="22">
        <f t="shared" si="223"/>
        <v>2</v>
      </c>
      <c r="BW416" s="22" t="str">
        <f t="array" ref="BW416">_xlfn.TEXTJOIN("",TRUE,IF(ISERROR(FIND(ROW($1:$10)-1,BU416&amp;BV416)),ROW($1:$10)-1,""))</f>
        <v>013456789</v>
      </c>
      <c r="BX416" s="20" t="str">
        <f t="shared" si="216"/>
        <v>复隔中</v>
      </c>
      <c r="BY416" s="23" t="str">
        <f t="shared" si="210"/>
        <v>13</v>
      </c>
      <c r="BZ416" s="24" t="str">
        <f t="array" ref="BZ416">_xlfn.TEXTJOIN("",TRUE,IF(ISNUMBER(FIND(MID(BY415&amp;Q415,ROW($1:$4),1),BY416&amp;Q416)),MID(BY415&amp;Q415,ROW($1:$4),1),""))</f>
        <v>3</v>
      </c>
      <c r="CA416" s="25" t="str">
        <f t="array" ref="CA416">_xlfn.TEXTJOIN("",TRUE,IF(ISERROR(FIND(ROW($1:$10)-1,BY416&amp;BZ416)),ROW($1:$10)-1,""))</f>
        <v>02456789</v>
      </c>
      <c r="CB416" s="26" t="str">
        <f t="shared" si="217"/>
        <v>邻传孤</v>
      </c>
      <c r="CC416" s="27" t="str">
        <f t="shared" si="218"/>
        <v>91</v>
      </c>
      <c r="CD416" s="27" t="str">
        <f t="array" ref="CD416">_xlfn.TEXTJOIN("",TRUE,IF(ISNUMBER(FIND(MID(CC415&amp;R415,ROW($1:$4),1),CC416&amp;R416)),MID(CC415&amp;R415,ROW($1:$4),1),""))</f>
        <v>1</v>
      </c>
      <c r="CE416" s="27" t="str">
        <f t="array" ref="CE416">_xlfn.TEXTJOIN("",TRUE,IF(ISERROR(FIND(ROW($1:$10)-1,CC416&amp;CD416)),ROW($1:$10)-1,""))</f>
        <v>02345678</v>
      </c>
      <c r="CF416" s="17" t="str">
        <f t="shared" si="219"/>
        <v>邻传孤</v>
      </c>
      <c r="CG416" s="22" t="str">
        <f t="shared" si="220"/>
        <v>13</v>
      </c>
      <c r="CH416" s="22" t="str">
        <f t="array" ref="CH416">_xlfn.TEXTJOIN("",TRUE,IF(ISNUMBER(FIND(MID(CG415&amp;S415,ROW($1:$4),1),CG416&amp;S416)),MID(CG415&amp;S415,ROW($1:$4),1),""))</f>
        <v>132</v>
      </c>
      <c r="CI416" s="22" t="str">
        <f t="array" ref="CI416">_xlfn.TEXTJOIN("",TRUE,IF(ISERROR(FIND(ROW($1:$10)-1,CG416&amp;CH416)),ROW($1:$10)-1,""))</f>
        <v>0456789</v>
      </c>
      <c r="CJ416" s="28" t="str">
        <f t="shared" si="221"/>
        <v>邻传孤</v>
      </c>
    </row>
    <row r="417" spans="1:88">
      <c r="A417" s="32">
        <v>2025192</v>
      </c>
      <c r="B417" s="8" t="s">
        <v>351</v>
      </c>
      <c r="C417" s="49">
        <f t="shared" si="225"/>
        <v>16</v>
      </c>
      <c r="D417" s="50">
        <f t="shared" si="226"/>
        <v>6</v>
      </c>
      <c r="E417" s="51">
        <f t="shared" si="207"/>
        <v>5.3333333333333304</v>
      </c>
      <c r="F417" s="52">
        <f>MAX(MID(B417,{1,2,3},1)*1)-MIN(MID(B417,{1,2,3},1)*1)</f>
        <v>8</v>
      </c>
      <c r="G417" s="104">
        <v>0</v>
      </c>
      <c r="H417" s="104">
        <v>1</v>
      </c>
      <c r="I417" s="104">
        <v>2</v>
      </c>
      <c r="J417" s="104">
        <v>3</v>
      </c>
      <c r="K417" s="104">
        <v>4</v>
      </c>
      <c r="L417" s="104">
        <v>5</v>
      </c>
      <c r="M417" s="104">
        <v>6</v>
      </c>
      <c r="N417" s="104">
        <v>7</v>
      </c>
      <c r="O417" s="104">
        <v>8</v>
      </c>
      <c r="P417" s="104">
        <v>9</v>
      </c>
      <c r="Q417" s="53">
        <f t="shared" si="227"/>
        <v>3</v>
      </c>
      <c r="R417" s="53">
        <f t="shared" si="228"/>
        <v>5</v>
      </c>
      <c r="S417" s="53">
        <f t="shared" si="229"/>
        <v>8</v>
      </c>
      <c r="T417" s="101">
        <f t="shared" si="208"/>
        <v>16</v>
      </c>
      <c r="U417" s="15" t="str">
        <f>_xlfn.TEXTJOIN(", ",TRUE,ABS(MID(B417,{1,1,2},1)-MID(B417,{2,3,3},1)))</f>
        <v>3, 5, 8</v>
      </c>
      <c r="V417" s="54">
        <v>0</v>
      </c>
      <c r="W417" s="54">
        <v>1</v>
      </c>
      <c r="X417" s="54">
        <v>2</v>
      </c>
      <c r="Y417" s="54">
        <v>3</v>
      </c>
      <c r="Z417" s="54">
        <v>4</v>
      </c>
      <c r="AA417" s="54">
        <v>5</v>
      </c>
      <c r="AB417" s="54">
        <v>6</v>
      </c>
      <c r="AC417" s="54">
        <v>7</v>
      </c>
      <c r="AD417" s="54">
        <v>8</v>
      </c>
      <c r="AE417" s="54">
        <v>9</v>
      </c>
      <c r="AF417" s="55">
        <v>0</v>
      </c>
      <c r="AG417" s="55">
        <v>1</v>
      </c>
      <c r="AH417" s="55">
        <v>2</v>
      </c>
      <c r="AI417" s="55">
        <v>3</v>
      </c>
      <c r="AJ417" s="55">
        <v>4</v>
      </c>
      <c r="AK417" s="55">
        <v>5</v>
      </c>
      <c r="AL417" s="55">
        <v>6</v>
      </c>
      <c r="AM417" s="55">
        <v>7</v>
      </c>
      <c r="AN417" s="55">
        <v>8</v>
      </c>
      <c r="AO417" s="55">
        <v>9</v>
      </c>
      <c r="AP417" s="105">
        <v>0</v>
      </c>
      <c r="AQ417" s="105">
        <v>1</v>
      </c>
      <c r="AR417" s="105">
        <v>2</v>
      </c>
      <c r="AS417" s="105">
        <v>3</v>
      </c>
      <c r="AT417" s="105">
        <v>4</v>
      </c>
      <c r="AU417" s="105">
        <v>5</v>
      </c>
      <c r="AV417" s="105">
        <v>6</v>
      </c>
      <c r="AW417" s="105">
        <v>7</v>
      </c>
      <c r="AX417" s="105">
        <v>8</v>
      </c>
      <c r="AY417" s="105">
        <v>9</v>
      </c>
      <c r="AZ417" s="56">
        <v>0</v>
      </c>
      <c r="BA417" s="56">
        <v>1</v>
      </c>
      <c r="BB417" s="56">
        <v>2</v>
      </c>
      <c r="BC417" s="56">
        <v>3</v>
      </c>
      <c r="BD417" s="56">
        <v>4</v>
      </c>
      <c r="BE417" s="56">
        <v>5</v>
      </c>
      <c r="BF417" s="56">
        <v>6</v>
      </c>
      <c r="BG417" s="56">
        <v>7</v>
      </c>
      <c r="BH417" s="56">
        <v>8</v>
      </c>
      <c r="BI417" s="56">
        <v>9</v>
      </c>
      <c r="BJ417" s="57" t="str">
        <f t="shared" si="209"/>
        <v>松散型</v>
      </c>
      <c r="BK417" s="13">
        <f t="shared" si="205"/>
        <v>3</v>
      </c>
      <c r="BL417" s="13">
        <f t="shared" si="206"/>
        <v>8</v>
      </c>
      <c r="BM417" s="18" t="str">
        <f t="shared" si="211"/>
        <v/>
      </c>
      <c r="BN417" s="19" t="str">
        <f t="shared" si="212"/>
        <v/>
      </c>
      <c r="BO417" s="19" t="str">
        <f t="array" ref="BO417">_xlfn.TEXTJOIN("",TRUE,IF(ISERROR(FIND(ROW($1:$10)-1,BM417&amp;BN417)),ROW($1:$10)-1,""))</f>
        <v>0123456789</v>
      </c>
      <c r="BP417" s="20" t="str">
        <f t="shared" si="213"/>
        <v>中中中</v>
      </c>
      <c r="BQ417" s="21" t="str">
        <f t="shared" si="224"/>
        <v/>
      </c>
      <c r="BR417" s="21" t="str">
        <f t="shared" si="222"/>
        <v/>
      </c>
      <c r="BS417" s="21" t="str">
        <f t="array" ref="BS417">_xlfn.TEXTJOIN("",TRUE,IF(ISERROR(FIND(ROW($1:$10)-1,BQ417&amp;BR417)),ROW($1:$10)-1,""))</f>
        <v>0123456789</v>
      </c>
      <c r="BT417" s="20" t="str">
        <f t="shared" si="214"/>
        <v>中中中</v>
      </c>
      <c r="BU417" s="22" t="str">
        <f t="shared" si="215"/>
        <v/>
      </c>
      <c r="BV417" s="22" t="str">
        <f t="shared" si="223"/>
        <v/>
      </c>
      <c r="BW417" s="22" t="str">
        <f t="array" ref="BW417">_xlfn.TEXTJOIN("",TRUE,IF(ISERROR(FIND(ROW($1:$10)-1,BU417&amp;BV417)),ROW($1:$10)-1,""))</f>
        <v>0123456789</v>
      </c>
      <c r="BX417" s="20" t="str">
        <f t="shared" si="216"/>
        <v>中中中</v>
      </c>
      <c r="BY417" s="23" t="str">
        <f t="shared" si="210"/>
        <v>24</v>
      </c>
      <c r="BZ417" s="24" t="str">
        <f t="array" ref="BZ417">_xlfn.TEXTJOIN("",TRUE,IF(ISNUMBER(FIND(MID(BY416&amp;Q416,ROW($1:$4),1),BY417&amp;Q417)),MID(BY416&amp;Q416,ROW($1:$4),1),""))</f>
        <v>32</v>
      </c>
      <c r="CA417" s="25" t="str">
        <f t="array" ref="CA417">_xlfn.TEXTJOIN("",TRUE,IF(ISERROR(FIND(ROW($1:$10)-1,BY417&amp;BZ417)),ROW($1:$10)-1,""))</f>
        <v>0156789</v>
      </c>
      <c r="CB417" s="26" t="str">
        <f t="shared" si="217"/>
        <v>邻传孤</v>
      </c>
      <c r="CC417" s="27" t="str">
        <f t="shared" si="218"/>
        <v>46</v>
      </c>
      <c r="CD417" s="27" t="str">
        <f t="array" ref="CD417">_xlfn.TEXTJOIN("",TRUE,IF(ISNUMBER(FIND(MID(CC416&amp;R416,ROW($1:$4),1),CC417&amp;R417)),MID(CC416&amp;R416,ROW($1:$4),1),""))</f>
        <v/>
      </c>
      <c r="CE417" s="27" t="str">
        <f t="array" ref="CE417">_xlfn.TEXTJOIN("",TRUE,IF(ISERROR(FIND(ROW($1:$10)-1,CC417&amp;CD417)),ROW($1:$10)-1,""))</f>
        <v>01235789</v>
      </c>
      <c r="CF417" s="17" t="str">
        <f t="shared" si="219"/>
        <v>邻孤孤</v>
      </c>
      <c r="CG417" s="22" t="str">
        <f t="shared" si="220"/>
        <v>79</v>
      </c>
      <c r="CH417" s="22" t="str">
        <f t="array" ref="CH417">_xlfn.TEXTJOIN("",TRUE,IF(ISNUMBER(FIND(MID(CG416&amp;S416,ROW($1:$4),1),CG417&amp;S417)),MID(CG416&amp;S416,ROW($1:$4),1),""))</f>
        <v/>
      </c>
      <c r="CI417" s="22" t="str">
        <f t="array" ref="CI417">_xlfn.TEXTJOIN("",TRUE,IF(ISERROR(FIND(ROW($1:$10)-1,CG417&amp;CH417)),ROW($1:$10)-1,""))</f>
        <v>01234568</v>
      </c>
      <c r="CJ417" s="28" t="str">
        <f t="shared" si="221"/>
        <v>邻孤孤</v>
      </c>
    </row>
    <row r="418" spans="1:88">
      <c r="A418" s="32">
        <v>2025193</v>
      </c>
      <c r="B418" s="8" t="s">
        <v>352</v>
      </c>
      <c r="C418" s="49">
        <f t="shared" si="225"/>
        <v>21</v>
      </c>
      <c r="D418" s="50">
        <f t="shared" si="226"/>
        <v>1</v>
      </c>
      <c r="E418" s="51">
        <f t="shared" si="207"/>
        <v>7</v>
      </c>
      <c r="F418" s="52">
        <f>MAX(MID(B418,{1,2,3},1)*1)-MIN(MID(B418,{1,2,3},1)*1)</f>
        <v>2</v>
      </c>
      <c r="G418" s="104">
        <v>0</v>
      </c>
      <c r="H418" s="104">
        <v>1</v>
      </c>
      <c r="I418" s="104">
        <v>2</v>
      </c>
      <c r="J418" s="104">
        <v>3</v>
      </c>
      <c r="K418" s="104">
        <v>4</v>
      </c>
      <c r="L418" s="104">
        <v>5</v>
      </c>
      <c r="M418" s="104">
        <v>6</v>
      </c>
      <c r="N418" s="104">
        <v>7</v>
      </c>
      <c r="O418" s="104">
        <v>8</v>
      </c>
      <c r="P418" s="104">
        <v>9</v>
      </c>
      <c r="Q418" s="53">
        <f t="shared" si="227"/>
        <v>1</v>
      </c>
      <c r="R418" s="53">
        <f t="shared" si="228"/>
        <v>2</v>
      </c>
      <c r="S418" s="53">
        <f t="shared" si="229"/>
        <v>1</v>
      </c>
      <c r="T418" s="101">
        <f t="shared" si="208"/>
        <v>4</v>
      </c>
      <c r="U418" s="15" t="str">
        <f>_xlfn.TEXTJOIN(", ",TRUE,ABS(MID(B418,{1,1,2},1)-MID(B418,{2,3,3},1)))</f>
        <v>1, 2, 1</v>
      </c>
      <c r="V418" s="54">
        <v>0</v>
      </c>
      <c r="W418" s="54">
        <v>1</v>
      </c>
      <c r="X418" s="54">
        <v>2</v>
      </c>
      <c r="Y418" s="54">
        <v>3</v>
      </c>
      <c r="Z418" s="54">
        <v>4</v>
      </c>
      <c r="AA418" s="54">
        <v>5</v>
      </c>
      <c r="AB418" s="54">
        <v>6</v>
      </c>
      <c r="AC418" s="54">
        <v>7</v>
      </c>
      <c r="AD418" s="54">
        <v>8</v>
      </c>
      <c r="AE418" s="54">
        <v>9</v>
      </c>
      <c r="AF418" s="55">
        <v>0</v>
      </c>
      <c r="AG418" s="55">
        <v>1</v>
      </c>
      <c r="AH418" s="55">
        <v>2</v>
      </c>
      <c r="AI418" s="55">
        <v>3</v>
      </c>
      <c r="AJ418" s="55">
        <v>4</v>
      </c>
      <c r="AK418" s="55">
        <v>5</v>
      </c>
      <c r="AL418" s="55">
        <v>6</v>
      </c>
      <c r="AM418" s="55">
        <v>7</v>
      </c>
      <c r="AN418" s="55">
        <v>8</v>
      </c>
      <c r="AO418" s="55">
        <v>9</v>
      </c>
      <c r="AP418" s="105">
        <v>0</v>
      </c>
      <c r="AQ418" s="105">
        <v>1</v>
      </c>
      <c r="AR418" s="105">
        <v>2</v>
      </c>
      <c r="AS418" s="105">
        <v>3</v>
      </c>
      <c r="AT418" s="105">
        <v>4</v>
      </c>
      <c r="AU418" s="105">
        <v>5</v>
      </c>
      <c r="AV418" s="105">
        <v>6</v>
      </c>
      <c r="AW418" s="105">
        <v>7</v>
      </c>
      <c r="AX418" s="105">
        <v>8</v>
      </c>
      <c r="AY418" s="105">
        <v>9</v>
      </c>
      <c r="AZ418" s="56">
        <v>0</v>
      </c>
      <c r="BA418" s="56">
        <v>1</v>
      </c>
      <c r="BB418" s="56">
        <v>2</v>
      </c>
      <c r="BC418" s="56">
        <v>3</v>
      </c>
      <c r="BD418" s="56">
        <v>4</v>
      </c>
      <c r="BE418" s="56">
        <v>5</v>
      </c>
      <c r="BF418" s="56">
        <v>6</v>
      </c>
      <c r="BG418" s="56">
        <v>7</v>
      </c>
      <c r="BH418" s="56">
        <v>8</v>
      </c>
      <c r="BI418" s="56">
        <v>9</v>
      </c>
      <c r="BJ418" s="57" t="str">
        <f t="shared" si="209"/>
        <v>紧凑型</v>
      </c>
      <c r="BK418" s="13">
        <f t="shared" si="205"/>
        <v>1</v>
      </c>
      <c r="BL418" s="13">
        <f t="shared" si="206"/>
        <v>2</v>
      </c>
      <c r="BM418" s="18" t="str">
        <f t="shared" si="211"/>
        <v/>
      </c>
      <c r="BN418" s="19" t="str">
        <f t="shared" si="212"/>
        <v/>
      </c>
      <c r="BO418" s="19" t="str">
        <f t="array" ref="BO418">_xlfn.TEXTJOIN("",TRUE,IF(ISERROR(FIND(ROW($1:$10)-1,BM418&amp;BN418)),ROW($1:$10)-1,""))</f>
        <v>0123456789</v>
      </c>
      <c r="BP418" s="20" t="str">
        <f t="shared" si="213"/>
        <v>中中中</v>
      </c>
      <c r="BQ418" s="21" t="str">
        <f t="shared" si="224"/>
        <v/>
      </c>
      <c r="BR418" s="21">
        <f t="shared" si="222"/>
        <v>2</v>
      </c>
      <c r="BS418" s="21" t="str">
        <f t="array" ref="BS418">_xlfn.TEXTJOIN("",TRUE,IF(ISERROR(FIND(ROW($1:$10)-1,BQ418&amp;BR418)),ROW($1:$10)-1,""))</f>
        <v>013456789</v>
      </c>
      <c r="BT418" s="20" t="str">
        <f t="shared" si="214"/>
        <v>中隔中</v>
      </c>
      <c r="BU418" s="22" t="str">
        <f t="shared" si="215"/>
        <v/>
      </c>
      <c r="BV418" s="22" t="str">
        <f t="shared" si="223"/>
        <v/>
      </c>
      <c r="BW418" s="22" t="str">
        <f t="array" ref="BW418">_xlfn.TEXTJOIN("",TRUE,IF(ISERROR(FIND(ROW($1:$10)-1,BU418&amp;BV418)),ROW($1:$10)-1,""))</f>
        <v>0123456789</v>
      </c>
      <c r="BX418" s="20" t="str">
        <f t="shared" si="216"/>
        <v>中中中</v>
      </c>
      <c r="BY418" s="23" t="str">
        <f t="shared" si="210"/>
        <v>02</v>
      </c>
      <c r="BZ418" s="24" t="str">
        <f t="array" ref="BZ418">_xlfn.TEXTJOIN("",TRUE,IF(ISNUMBER(FIND(MID(BY417&amp;Q417,ROW($1:$4),1),BY418&amp;Q418)),MID(BY417&amp;Q417,ROW($1:$4),1),""))</f>
        <v>2</v>
      </c>
      <c r="CA418" s="25" t="str">
        <f t="array" ref="CA418">_xlfn.TEXTJOIN("",TRUE,IF(ISERROR(FIND(ROW($1:$10)-1,BY418&amp;BZ418)),ROW($1:$10)-1,""))</f>
        <v>13456789</v>
      </c>
      <c r="CB418" s="26" t="str">
        <f t="shared" si="217"/>
        <v>邻传孤</v>
      </c>
      <c r="CC418" s="27" t="str">
        <f t="shared" si="218"/>
        <v>13</v>
      </c>
      <c r="CD418" s="27" t="str">
        <f t="array" ref="CD418">_xlfn.TEXTJOIN("",TRUE,IF(ISNUMBER(FIND(MID(CC417&amp;R417,ROW($1:$4),1),CC418&amp;R418)),MID(CC417&amp;R417,ROW($1:$4),1),""))</f>
        <v/>
      </c>
      <c r="CE418" s="27" t="str">
        <f t="array" ref="CE418">_xlfn.TEXTJOIN("",TRUE,IF(ISERROR(FIND(ROW($1:$10)-1,CC418&amp;CD418)),ROW($1:$10)-1,""))</f>
        <v>02456789</v>
      </c>
      <c r="CF418" s="17" t="str">
        <f t="shared" si="219"/>
        <v>邻孤孤</v>
      </c>
      <c r="CG418" s="22" t="str">
        <f t="shared" si="220"/>
        <v>02</v>
      </c>
      <c r="CH418" s="22" t="str">
        <f t="array" ref="CH418">_xlfn.TEXTJOIN("",TRUE,IF(ISNUMBER(FIND(MID(CG417&amp;S417,ROW($1:$4),1),CG418&amp;S418)),MID(CG417&amp;S417,ROW($1:$4),1),""))</f>
        <v/>
      </c>
      <c r="CI418" s="22" t="str">
        <f t="array" ref="CI418">_xlfn.TEXTJOIN("",TRUE,IF(ISERROR(FIND(ROW($1:$10)-1,CG418&amp;CH418)),ROW($1:$10)-1,""))</f>
        <v>13456789</v>
      </c>
      <c r="CJ418" s="28" t="str">
        <f t="shared" si="221"/>
        <v>邻孤孤</v>
      </c>
    </row>
    <row r="419" spans="1:88">
      <c r="A419" s="32">
        <v>2025194</v>
      </c>
      <c r="B419" s="8" t="s">
        <v>193</v>
      </c>
      <c r="C419" s="49">
        <f t="shared" si="225"/>
        <v>15</v>
      </c>
      <c r="D419" s="50">
        <f t="shared" si="226"/>
        <v>5</v>
      </c>
      <c r="E419" s="51">
        <f t="shared" si="207"/>
        <v>5</v>
      </c>
      <c r="F419" s="52">
        <f>MAX(MID(B419,{1,2,3},1)*1)-MIN(MID(B419,{1,2,3},1)*1)</f>
        <v>5</v>
      </c>
      <c r="G419" s="104">
        <v>0</v>
      </c>
      <c r="H419" s="104">
        <v>1</v>
      </c>
      <c r="I419" s="104">
        <v>2</v>
      </c>
      <c r="J419" s="104">
        <v>3</v>
      </c>
      <c r="K419" s="104">
        <v>4</v>
      </c>
      <c r="L419" s="104">
        <v>5</v>
      </c>
      <c r="M419" s="104">
        <v>6</v>
      </c>
      <c r="N419" s="104">
        <v>7</v>
      </c>
      <c r="O419" s="104">
        <v>8</v>
      </c>
      <c r="P419" s="104">
        <v>9</v>
      </c>
      <c r="Q419" s="53">
        <f t="shared" si="227"/>
        <v>5</v>
      </c>
      <c r="R419" s="53">
        <f t="shared" si="228"/>
        <v>1</v>
      </c>
      <c r="S419" s="53">
        <f t="shared" si="229"/>
        <v>4</v>
      </c>
      <c r="T419" s="101">
        <f t="shared" si="208"/>
        <v>10</v>
      </c>
      <c r="U419" s="15" t="str">
        <f>_xlfn.TEXTJOIN(", ",TRUE,ABS(MID(B419,{1,1,2},1)-MID(B419,{2,3,3},1)))</f>
        <v>5, 1, 4</v>
      </c>
      <c r="V419" s="54">
        <v>0</v>
      </c>
      <c r="W419" s="54">
        <v>1</v>
      </c>
      <c r="X419" s="54">
        <v>2</v>
      </c>
      <c r="Y419" s="54">
        <v>3</v>
      </c>
      <c r="Z419" s="54">
        <v>4</v>
      </c>
      <c r="AA419" s="54">
        <v>5</v>
      </c>
      <c r="AB419" s="54">
        <v>6</v>
      </c>
      <c r="AC419" s="54">
        <v>7</v>
      </c>
      <c r="AD419" s="54">
        <v>8</v>
      </c>
      <c r="AE419" s="54">
        <v>9</v>
      </c>
      <c r="AF419" s="55">
        <v>0</v>
      </c>
      <c r="AG419" s="55">
        <v>1</v>
      </c>
      <c r="AH419" s="55">
        <v>2</v>
      </c>
      <c r="AI419" s="55">
        <v>3</v>
      </c>
      <c r="AJ419" s="55">
        <v>4</v>
      </c>
      <c r="AK419" s="55">
        <v>5</v>
      </c>
      <c r="AL419" s="55">
        <v>6</v>
      </c>
      <c r="AM419" s="55">
        <v>7</v>
      </c>
      <c r="AN419" s="55">
        <v>8</v>
      </c>
      <c r="AO419" s="55">
        <v>9</v>
      </c>
      <c r="AP419" s="105">
        <v>0</v>
      </c>
      <c r="AQ419" s="105">
        <v>1</v>
      </c>
      <c r="AR419" s="105">
        <v>2</v>
      </c>
      <c r="AS419" s="105">
        <v>3</v>
      </c>
      <c r="AT419" s="105">
        <v>4</v>
      </c>
      <c r="AU419" s="105">
        <v>5</v>
      </c>
      <c r="AV419" s="105">
        <v>6</v>
      </c>
      <c r="AW419" s="105">
        <v>7</v>
      </c>
      <c r="AX419" s="105">
        <v>8</v>
      </c>
      <c r="AY419" s="105">
        <v>9</v>
      </c>
      <c r="AZ419" s="56">
        <v>0</v>
      </c>
      <c r="BA419" s="56">
        <v>1</v>
      </c>
      <c r="BB419" s="56">
        <v>2</v>
      </c>
      <c r="BC419" s="56">
        <v>3</v>
      </c>
      <c r="BD419" s="56">
        <v>4</v>
      </c>
      <c r="BE419" s="56">
        <v>5</v>
      </c>
      <c r="BF419" s="56">
        <v>6</v>
      </c>
      <c r="BG419" s="56">
        <v>7</v>
      </c>
      <c r="BH419" s="56">
        <v>8</v>
      </c>
      <c r="BI419" s="56">
        <v>9</v>
      </c>
      <c r="BJ419" s="57" t="str">
        <f t="shared" si="209"/>
        <v>标准型</v>
      </c>
      <c r="BK419" s="13">
        <f t="shared" si="205"/>
        <v>1</v>
      </c>
      <c r="BL419" s="13">
        <f t="shared" si="206"/>
        <v>5</v>
      </c>
      <c r="BM419" s="18" t="str">
        <f t="shared" si="211"/>
        <v/>
      </c>
      <c r="BN419" s="19">
        <f t="shared" si="212"/>
        <v>5</v>
      </c>
      <c r="BO419" s="19" t="str">
        <f t="array" ref="BO419">_xlfn.TEXTJOIN("",TRUE,IF(ISERROR(FIND(ROW($1:$10)-1,BM419&amp;BN419)),ROW($1:$10)-1,""))</f>
        <v>012346789</v>
      </c>
      <c r="BP419" s="20" t="str">
        <f t="shared" si="213"/>
        <v>中隔中</v>
      </c>
      <c r="BQ419" s="21">
        <f t="shared" si="224"/>
        <v>1</v>
      </c>
      <c r="BR419" s="21" t="str">
        <f t="shared" si="222"/>
        <v/>
      </c>
      <c r="BS419" s="21" t="str">
        <f t="array" ref="BS419">_xlfn.TEXTJOIN("",TRUE,IF(ISERROR(FIND(ROW($1:$10)-1,BQ419&amp;BR419)),ROW($1:$10)-1,""))</f>
        <v>023456789</v>
      </c>
      <c r="BT419" s="20" t="str">
        <f t="shared" si="214"/>
        <v>复中中</v>
      </c>
      <c r="BU419" s="22" t="str">
        <f t="shared" si="215"/>
        <v/>
      </c>
      <c r="BV419" s="22" t="str">
        <f t="shared" si="223"/>
        <v/>
      </c>
      <c r="BW419" s="22" t="str">
        <f t="array" ref="BW419">_xlfn.TEXTJOIN("",TRUE,IF(ISERROR(FIND(ROW($1:$10)-1,BU419&amp;BV419)),ROW($1:$10)-1,""))</f>
        <v>0123456789</v>
      </c>
      <c r="BX419" s="20" t="str">
        <f t="shared" si="216"/>
        <v>中中中</v>
      </c>
      <c r="BY419" s="23" t="str">
        <f t="shared" si="210"/>
        <v>46</v>
      </c>
      <c r="BZ419" s="24" t="str">
        <f t="array" ref="BZ419">_xlfn.TEXTJOIN("",TRUE,IF(ISNUMBER(FIND(MID(BY418&amp;Q418,ROW($1:$4),1),BY419&amp;Q419)),MID(BY418&amp;Q418,ROW($1:$4),1),""))</f>
        <v/>
      </c>
      <c r="CA419" s="25" t="str">
        <f t="array" ref="CA419">_xlfn.TEXTJOIN("",TRUE,IF(ISERROR(FIND(ROW($1:$10)-1,BY419&amp;BZ419)),ROW($1:$10)-1,""))</f>
        <v>01235789</v>
      </c>
      <c r="CB419" s="26" t="str">
        <f t="shared" si="217"/>
        <v>邻孤孤</v>
      </c>
      <c r="CC419" s="27" t="str">
        <f t="shared" si="218"/>
        <v>02</v>
      </c>
      <c r="CD419" s="27" t="str">
        <f t="array" ref="CD419">_xlfn.TEXTJOIN("",TRUE,IF(ISNUMBER(FIND(MID(CC418&amp;R418,ROW($1:$4),1),CC419&amp;R419)),MID(CC418&amp;R418,ROW($1:$4),1),""))</f>
        <v>12</v>
      </c>
      <c r="CE419" s="27" t="str">
        <f t="array" ref="CE419">_xlfn.TEXTJOIN("",TRUE,IF(ISERROR(FIND(ROW($1:$10)-1,CC419&amp;CD419)),ROW($1:$10)-1,""))</f>
        <v>3456789</v>
      </c>
      <c r="CF419" s="17" t="str">
        <f t="shared" si="219"/>
        <v>邻传孤</v>
      </c>
      <c r="CG419" s="22" t="str">
        <f t="shared" si="220"/>
        <v>35</v>
      </c>
      <c r="CH419" s="22" t="str">
        <f t="array" ref="CH419">_xlfn.TEXTJOIN("",TRUE,IF(ISNUMBER(FIND(MID(CG418&amp;S418,ROW($1:$4),1),CG419&amp;S419)),MID(CG418&amp;S418,ROW($1:$4),1),""))</f>
        <v/>
      </c>
      <c r="CI419" s="22" t="str">
        <f t="array" ref="CI419">_xlfn.TEXTJOIN("",TRUE,IF(ISERROR(FIND(ROW($1:$10)-1,CG419&amp;CH419)),ROW($1:$10)-1,""))</f>
        <v>01246789</v>
      </c>
      <c r="CJ419" s="28" t="str">
        <f t="shared" si="221"/>
        <v>邻孤孤</v>
      </c>
    </row>
    <row r="420" spans="1:88">
      <c r="A420" s="32">
        <v>2025195</v>
      </c>
      <c r="B420" s="8" t="s">
        <v>353</v>
      </c>
      <c r="C420" s="49">
        <f t="shared" si="225"/>
        <v>17</v>
      </c>
      <c r="D420" s="50">
        <f t="shared" si="226"/>
        <v>7</v>
      </c>
      <c r="E420" s="51">
        <f t="shared" si="207"/>
        <v>5.6666666666666696</v>
      </c>
      <c r="F420" s="52">
        <f>MAX(MID(B420,{1,2,3},1)*1)-MIN(MID(B420,{1,2,3},1)*1)</f>
        <v>9</v>
      </c>
      <c r="G420" s="104">
        <v>0</v>
      </c>
      <c r="H420" s="104">
        <v>1</v>
      </c>
      <c r="I420" s="104">
        <v>2</v>
      </c>
      <c r="J420" s="104">
        <v>3</v>
      </c>
      <c r="K420" s="104">
        <v>4</v>
      </c>
      <c r="L420" s="104">
        <v>5</v>
      </c>
      <c r="M420" s="104">
        <v>6</v>
      </c>
      <c r="N420" s="104">
        <v>7</v>
      </c>
      <c r="O420" s="104">
        <v>8</v>
      </c>
      <c r="P420" s="104">
        <v>9</v>
      </c>
      <c r="Q420" s="53">
        <f t="shared" si="227"/>
        <v>1</v>
      </c>
      <c r="R420" s="53">
        <f t="shared" si="228"/>
        <v>9</v>
      </c>
      <c r="S420" s="53">
        <f t="shared" si="229"/>
        <v>8</v>
      </c>
      <c r="T420" s="101">
        <f t="shared" si="208"/>
        <v>18</v>
      </c>
      <c r="U420" s="15" t="str">
        <f>_xlfn.TEXTJOIN(", ",TRUE,ABS(MID(B420,{1,1,2},1)-MID(B420,{2,3,3},1)))</f>
        <v>1, 9, 8</v>
      </c>
      <c r="V420" s="54">
        <v>0</v>
      </c>
      <c r="W420" s="54">
        <v>1</v>
      </c>
      <c r="X420" s="54">
        <v>2</v>
      </c>
      <c r="Y420" s="54">
        <v>3</v>
      </c>
      <c r="Z420" s="54">
        <v>4</v>
      </c>
      <c r="AA420" s="54">
        <v>5</v>
      </c>
      <c r="AB420" s="54">
        <v>6</v>
      </c>
      <c r="AC420" s="54">
        <v>7</v>
      </c>
      <c r="AD420" s="54">
        <v>8</v>
      </c>
      <c r="AE420" s="54">
        <v>9</v>
      </c>
      <c r="AF420" s="55">
        <v>0</v>
      </c>
      <c r="AG420" s="55">
        <v>1</v>
      </c>
      <c r="AH420" s="55">
        <v>2</v>
      </c>
      <c r="AI420" s="55">
        <v>3</v>
      </c>
      <c r="AJ420" s="55">
        <v>4</v>
      </c>
      <c r="AK420" s="55">
        <v>5</v>
      </c>
      <c r="AL420" s="55">
        <v>6</v>
      </c>
      <c r="AM420" s="55">
        <v>7</v>
      </c>
      <c r="AN420" s="55">
        <v>8</v>
      </c>
      <c r="AO420" s="55">
        <v>9</v>
      </c>
      <c r="AP420" s="105">
        <v>0</v>
      </c>
      <c r="AQ420" s="105">
        <v>1</v>
      </c>
      <c r="AR420" s="105">
        <v>2</v>
      </c>
      <c r="AS420" s="105">
        <v>3</v>
      </c>
      <c r="AT420" s="105">
        <v>4</v>
      </c>
      <c r="AU420" s="105">
        <v>5</v>
      </c>
      <c r="AV420" s="105">
        <v>6</v>
      </c>
      <c r="AW420" s="105">
        <v>7</v>
      </c>
      <c r="AX420" s="105">
        <v>8</v>
      </c>
      <c r="AY420" s="105">
        <v>9</v>
      </c>
      <c r="AZ420" s="56">
        <v>0</v>
      </c>
      <c r="BA420" s="56">
        <v>1</v>
      </c>
      <c r="BB420" s="56">
        <v>2</v>
      </c>
      <c r="BC420" s="56">
        <v>3</v>
      </c>
      <c r="BD420" s="56">
        <v>4</v>
      </c>
      <c r="BE420" s="56">
        <v>5</v>
      </c>
      <c r="BF420" s="56">
        <v>6</v>
      </c>
      <c r="BG420" s="56">
        <v>7</v>
      </c>
      <c r="BH420" s="56">
        <v>8</v>
      </c>
      <c r="BI420" s="56">
        <v>9</v>
      </c>
      <c r="BJ420" s="57" t="str">
        <f t="shared" si="209"/>
        <v>松散型</v>
      </c>
      <c r="BK420" s="13">
        <f t="shared" si="205"/>
        <v>1</v>
      </c>
      <c r="BL420" s="13">
        <f t="shared" si="206"/>
        <v>9</v>
      </c>
      <c r="BM420" s="18">
        <f t="shared" si="211"/>
        <v>1</v>
      </c>
      <c r="BN420" s="19">
        <f t="shared" si="212"/>
        <v>1</v>
      </c>
      <c r="BO420" s="19" t="str">
        <f t="array" ref="BO420">_xlfn.TEXTJOIN("",TRUE,IF(ISERROR(FIND(ROW($1:$10)-1,BM420&amp;BN420)),ROW($1:$10)-1,""))</f>
        <v>023456789</v>
      </c>
      <c r="BP420" s="20" t="str">
        <f t="shared" si="213"/>
        <v>复隔中</v>
      </c>
      <c r="BQ420" s="21" t="str">
        <f t="shared" si="224"/>
        <v/>
      </c>
      <c r="BR420" s="21" t="str">
        <f t="shared" si="222"/>
        <v/>
      </c>
      <c r="BS420" s="21" t="str">
        <f t="array" ref="BS420">_xlfn.TEXTJOIN("",TRUE,IF(ISERROR(FIND(ROW($1:$10)-1,BQ420&amp;BR420)),ROW($1:$10)-1,""))</f>
        <v>0123456789</v>
      </c>
      <c r="BT420" s="20" t="str">
        <f t="shared" si="214"/>
        <v>中中中</v>
      </c>
      <c r="BU420" s="22" t="str">
        <f t="shared" si="215"/>
        <v/>
      </c>
      <c r="BV420" s="22" t="str">
        <f t="shared" si="223"/>
        <v/>
      </c>
      <c r="BW420" s="22" t="str">
        <f t="array" ref="BW420">_xlfn.TEXTJOIN("",TRUE,IF(ISERROR(FIND(ROW($1:$10)-1,BU420&amp;BV420)),ROW($1:$10)-1,""))</f>
        <v>0123456789</v>
      </c>
      <c r="BX420" s="20" t="str">
        <f t="shared" si="216"/>
        <v>中中中</v>
      </c>
      <c r="BY420" s="23" t="str">
        <f t="shared" si="210"/>
        <v>02</v>
      </c>
      <c r="BZ420" s="24" t="str">
        <f t="array" ref="BZ420">_xlfn.TEXTJOIN("",TRUE,IF(ISNUMBER(FIND(MID(BY419&amp;Q419,ROW($1:$4),1),BY420&amp;Q420)),MID(BY419&amp;Q419,ROW($1:$4),1),""))</f>
        <v/>
      </c>
      <c r="CA420" s="25" t="str">
        <f t="array" ref="CA420">_xlfn.TEXTJOIN("",TRUE,IF(ISERROR(FIND(ROW($1:$10)-1,BY420&amp;BZ420)),ROW($1:$10)-1,""))</f>
        <v>13456789</v>
      </c>
      <c r="CB420" s="26" t="str">
        <f t="shared" si="217"/>
        <v>邻孤孤</v>
      </c>
      <c r="CC420" s="27" t="str">
        <f t="shared" si="218"/>
        <v>80</v>
      </c>
      <c r="CD420" s="27" t="str">
        <f t="array" ref="CD420">_xlfn.TEXTJOIN("",TRUE,IF(ISNUMBER(FIND(MID(CC419&amp;R419,ROW($1:$4),1),CC420&amp;R420)),MID(CC419&amp;R419,ROW($1:$4),1),""))</f>
        <v>0</v>
      </c>
      <c r="CE420" s="27" t="str">
        <f t="array" ref="CE420">_xlfn.TEXTJOIN("",TRUE,IF(ISERROR(FIND(ROW($1:$10)-1,CC420&amp;CD420)),ROW($1:$10)-1,""))</f>
        <v>12345679</v>
      </c>
      <c r="CF420" s="17" t="str">
        <f t="shared" si="219"/>
        <v>邻传孤</v>
      </c>
      <c r="CG420" s="22" t="str">
        <f t="shared" si="220"/>
        <v>79</v>
      </c>
      <c r="CH420" s="22" t="str">
        <f t="array" ref="CH420">_xlfn.TEXTJOIN("",TRUE,IF(ISNUMBER(FIND(MID(CG419&amp;S419,ROW($1:$4),1),CG420&amp;S420)),MID(CG419&amp;S419,ROW($1:$4),1),""))</f>
        <v/>
      </c>
      <c r="CI420" s="22" t="str">
        <f t="array" ref="CI420">_xlfn.TEXTJOIN("",TRUE,IF(ISERROR(FIND(ROW($1:$10)-1,CG420&amp;CH420)),ROW($1:$10)-1,""))</f>
        <v>01234568</v>
      </c>
      <c r="CJ420" s="28" t="str">
        <f t="shared" si="221"/>
        <v>邻孤孤</v>
      </c>
    </row>
    <row r="421" spans="1:88">
      <c r="A421" s="32">
        <v>2025196</v>
      </c>
      <c r="B421" s="8" t="s">
        <v>324</v>
      </c>
      <c r="C421" s="49">
        <f t="shared" si="225"/>
        <v>14</v>
      </c>
      <c r="D421" s="50">
        <f t="shared" si="226"/>
        <v>4</v>
      </c>
      <c r="E421" s="51">
        <f t="shared" si="207"/>
        <v>4.6666666666666696</v>
      </c>
      <c r="F421" s="52">
        <f>MAX(MID(B421,{1,2,3},1)*1)-MIN(MID(B421,{1,2,3},1)*1)</f>
        <v>4</v>
      </c>
      <c r="G421" s="104">
        <v>0</v>
      </c>
      <c r="H421" s="104">
        <v>1</v>
      </c>
      <c r="I421" s="104">
        <v>2</v>
      </c>
      <c r="J421" s="104">
        <v>3</v>
      </c>
      <c r="K421" s="104">
        <v>4</v>
      </c>
      <c r="L421" s="104">
        <v>5</v>
      </c>
      <c r="M421" s="104">
        <v>6</v>
      </c>
      <c r="N421" s="104">
        <v>7</v>
      </c>
      <c r="O421" s="104">
        <v>8</v>
      </c>
      <c r="P421" s="104">
        <v>9</v>
      </c>
      <c r="Q421" s="53">
        <f t="shared" si="227"/>
        <v>4</v>
      </c>
      <c r="R421" s="53">
        <f t="shared" si="228"/>
        <v>3</v>
      </c>
      <c r="S421" s="53">
        <f t="shared" si="229"/>
        <v>1</v>
      </c>
      <c r="T421" s="101">
        <f t="shared" si="208"/>
        <v>8</v>
      </c>
      <c r="U421" s="15" t="str">
        <f>_xlfn.TEXTJOIN(", ",TRUE,ABS(MID(B421,{1,1,2},1)-MID(B421,{2,3,3},1)))</f>
        <v>4, 3, 1</v>
      </c>
      <c r="V421" s="54">
        <v>0</v>
      </c>
      <c r="W421" s="54">
        <v>1</v>
      </c>
      <c r="X421" s="54">
        <v>2</v>
      </c>
      <c r="Y421" s="54">
        <v>3</v>
      </c>
      <c r="Z421" s="54">
        <v>4</v>
      </c>
      <c r="AA421" s="54">
        <v>5</v>
      </c>
      <c r="AB421" s="54">
        <v>6</v>
      </c>
      <c r="AC421" s="54">
        <v>7</v>
      </c>
      <c r="AD421" s="54">
        <v>8</v>
      </c>
      <c r="AE421" s="54">
        <v>9</v>
      </c>
      <c r="AF421" s="55">
        <v>0</v>
      </c>
      <c r="AG421" s="55">
        <v>1</v>
      </c>
      <c r="AH421" s="55">
        <v>2</v>
      </c>
      <c r="AI421" s="55">
        <v>3</v>
      </c>
      <c r="AJ421" s="55">
        <v>4</v>
      </c>
      <c r="AK421" s="55">
        <v>5</v>
      </c>
      <c r="AL421" s="55">
        <v>6</v>
      </c>
      <c r="AM421" s="55">
        <v>7</v>
      </c>
      <c r="AN421" s="55">
        <v>8</v>
      </c>
      <c r="AO421" s="55">
        <v>9</v>
      </c>
      <c r="AP421" s="105">
        <v>0</v>
      </c>
      <c r="AQ421" s="105">
        <v>1</v>
      </c>
      <c r="AR421" s="105">
        <v>2</v>
      </c>
      <c r="AS421" s="105">
        <v>3</v>
      </c>
      <c r="AT421" s="105">
        <v>4</v>
      </c>
      <c r="AU421" s="105">
        <v>5</v>
      </c>
      <c r="AV421" s="105">
        <v>6</v>
      </c>
      <c r="AW421" s="105">
        <v>7</v>
      </c>
      <c r="AX421" s="105">
        <v>8</v>
      </c>
      <c r="AY421" s="105">
        <v>9</v>
      </c>
      <c r="AZ421" s="56">
        <v>0</v>
      </c>
      <c r="BA421" s="56">
        <v>1</v>
      </c>
      <c r="BB421" s="56">
        <v>2</v>
      </c>
      <c r="BC421" s="56">
        <v>3</v>
      </c>
      <c r="BD421" s="56">
        <v>4</v>
      </c>
      <c r="BE421" s="56">
        <v>5</v>
      </c>
      <c r="BF421" s="56">
        <v>6</v>
      </c>
      <c r="BG421" s="56">
        <v>7</v>
      </c>
      <c r="BH421" s="56">
        <v>8</v>
      </c>
      <c r="BI421" s="56">
        <v>9</v>
      </c>
      <c r="BJ421" s="57" t="str">
        <f t="shared" si="209"/>
        <v>紧凑型</v>
      </c>
      <c r="BK421" s="13">
        <f t="shared" si="205"/>
        <v>1</v>
      </c>
      <c r="BL421" s="13">
        <f t="shared" si="206"/>
        <v>4</v>
      </c>
      <c r="BM421" s="18" t="str">
        <f t="shared" si="211"/>
        <v/>
      </c>
      <c r="BN421" s="19">
        <f t="shared" si="212"/>
        <v>4</v>
      </c>
      <c r="BO421" s="19" t="str">
        <f t="array" ref="BO421">_xlfn.TEXTJOIN("",TRUE,IF(ISERROR(FIND(ROW($1:$10)-1,BM421&amp;BN421)),ROW($1:$10)-1,""))</f>
        <v>012356789</v>
      </c>
      <c r="BP421" s="20" t="str">
        <f t="shared" si="213"/>
        <v>中隔中</v>
      </c>
      <c r="BQ421" s="21" t="str">
        <f t="shared" si="224"/>
        <v/>
      </c>
      <c r="BR421" s="21" t="str">
        <f t="shared" si="222"/>
        <v/>
      </c>
      <c r="BS421" s="21" t="str">
        <f t="array" ref="BS421">_xlfn.TEXTJOIN("",TRUE,IF(ISERROR(FIND(ROW($1:$10)-1,BQ421&amp;BR421)),ROW($1:$10)-1,""))</f>
        <v>0123456789</v>
      </c>
      <c r="BT421" s="20" t="str">
        <f t="shared" si="214"/>
        <v>中中中</v>
      </c>
      <c r="BU421" s="22">
        <f t="shared" si="215"/>
        <v>1</v>
      </c>
      <c r="BV421" s="22">
        <f t="shared" si="223"/>
        <v>1</v>
      </c>
      <c r="BW421" s="22" t="str">
        <f t="array" ref="BW421">_xlfn.TEXTJOIN("",TRUE,IF(ISERROR(FIND(ROW($1:$10)-1,BU421&amp;BV421)),ROW($1:$10)-1,""))</f>
        <v>023456789</v>
      </c>
      <c r="BX421" s="20" t="str">
        <f t="shared" si="216"/>
        <v>复隔中</v>
      </c>
      <c r="BY421" s="23" t="str">
        <f t="shared" si="210"/>
        <v>35</v>
      </c>
      <c r="BZ421" s="24" t="str">
        <f t="array" ref="BZ421">_xlfn.TEXTJOIN("",TRUE,IF(ISNUMBER(FIND(MID(BY420&amp;Q420,ROW($1:$4),1),BY421&amp;Q421)),MID(BY420&amp;Q420,ROW($1:$4),1),""))</f>
        <v/>
      </c>
      <c r="CA421" s="25" t="str">
        <f t="array" ref="CA421">_xlfn.TEXTJOIN("",TRUE,IF(ISERROR(FIND(ROW($1:$10)-1,BY421&amp;BZ421)),ROW($1:$10)-1,""))</f>
        <v>01246789</v>
      </c>
      <c r="CB421" s="26" t="str">
        <f t="shared" si="217"/>
        <v>邻孤孤</v>
      </c>
      <c r="CC421" s="27" t="str">
        <f t="shared" si="218"/>
        <v>24</v>
      </c>
      <c r="CD421" s="27" t="str">
        <f t="array" ref="CD421">_xlfn.TEXTJOIN("",TRUE,IF(ISNUMBER(FIND(MID(CC420&amp;R420,ROW($1:$4),1),CC421&amp;R421)),MID(CC420&amp;R420,ROW($1:$4),1),""))</f>
        <v/>
      </c>
      <c r="CE421" s="27" t="str">
        <f t="array" ref="CE421">_xlfn.TEXTJOIN("",TRUE,IF(ISERROR(FIND(ROW($1:$10)-1,CC421&amp;CD421)),ROW($1:$10)-1,""))</f>
        <v>01356789</v>
      </c>
      <c r="CF421" s="17" t="str">
        <f t="shared" si="219"/>
        <v>邻孤孤</v>
      </c>
      <c r="CG421" s="22" t="str">
        <f t="shared" si="220"/>
        <v>02</v>
      </c>
      <c r="CH421" s="22" t="str">
        <f t="array" ref="CH421">_xlfn.TEXTJOIN("",TRUE,IF(ISNUMBER(FIND(MID(CG420&amp;S420,ROW($1:$4),1),CG421&amp;S421)),MID(CG420&amp;S420,ROW($1:$4),1),""))</f>
        <v/>
      </c>
      <c r="CI421" s="22" t="str">
        <f t="array" ref="CI421">_xlfn.TEXTJOIN("",TRUE,IF(ISERROR(FIND(ROW($1:$10)-1,CG421&amp;CH421)),ROW($1:$10)-1,""))</f>
        <v>13456789</v>
      </c>
      <c r="CJ421" s="28" t="str">
        <f t="shared" si="221"/>
        <v>邻孤孤</v>
      </c>
    </row>
    <row r="422" spans="1:88">
      <c r="A422" s="32">
        <v>2025197</v>
      </c>
      <c r="B422" s="8" t="s">
        <v>354</v>
      </c>
      <c r="C422" s="49">
        <f t="shared" si="225"/>
        <v>12</v>
      </c>
      <c r="D422" s="50">
        <f t="shared" si="226"/>
        <v>2</v>
      </c>
      <c r="E422" s="51">
        <f t="shared" si="207"/>
        <v>4</v>
      </c>
      <c r="F422" s="52">
        <f>MAX(MID(B422,{1,2,3},1)*1)-MIN(MID(B422,{1,2,3},1)*1)</f>
        <v>7</v>
      </c>
      <c r="G422" s="104">
        <v>0</v>
      </c>
      <c r="H422" s="104">
        <v>1</v>
      </c>
      <c r="I422" s="104">
        <v>2</v>
      </c>
      <c r="J422" s="104">
        <v>3</v>
      </c>
      <c r="K422" s="104">
        <v>4</v>
      </c>
      <c r="L422" s="104">
        <v>5</v>
      </c>
      <c r="M422" s="104">
        <v>6</v>
      </c>
      <c r="N422" s="104">
        <v>7</v>
      </c>
      <c r="O422" s="104">
        <v>8</v>
      </c>
      <c r="P422" s="104">
        <v>9</v>
      </c>
      <c r="Q422" s="53">
        <f t="shared" si="227"/>
        <v>5</v>
      </c>
      <c r="R422" s="53">
        <f t="shared" si="228"/>
        <v>7</v>
      </c>
      <c r="S422" s="53">
        <f t="shared" si="229"/>
        <v>2</v>
      </c>
      <c r="T422" s="101">
        <f t="shared" si="208"/>
        <v>14</v>
      </c>
      <c r="U422" s="15" t="str">
        <f>_xlfn.TEXTJOIN(", ",TRUE,ABS(MID(B422,{1,1,2},1)-MID(B422,{2,3,3},1)))</f>
        <v>5, 7, 2</v>
      </c>
      <c r="V422" s="54">
        <v>0</v>
      </c>
      <c r="W422" s="54">
        <v>1</v>
      </c>
      <c r="X422" s="54">
        <v>2</v>
      </c>
      <c r="Y422" s="54">
        <v>3</v>
      </c>
      <c r="Z422" s="54">
        <v>4</v>
      </c>
      <c r="AA422" s="54">
        <v>5</v>
      </c>
      <c r="AB422" s="54">
        <v>6</v>
      </c>
      <c r="AC422" s="54">
        <v>7</v>
      </c>
      <c r="AD422" s="54">
        <v>8</v>
      </c>
      <c r="AE422" s="54">
        <v>9</v>
      </c>
      <c r="AF422" s="55">
        <v>0</v>
      </c>
      <c r="AG422" s="55">
        <v>1</v>
      </c>
      <c r="AH422" s="55">
        <v>2</v>
      </c>
      <c r="AI422" s="55">
        <v>3</v>
      </c>
      <c r="AJ422" s="55">
        <v>4</v>
      </c>
      <c r="AK422" s="55">
        <v>5</v>
      </c>
      <c r="AL422" s="55">
        <v>6</v>
      </c>
      <c r="AM422" s="55">
        <v>7</v>
      </c>
      <c r="AN422" s="55">
        <v>8</v>
      </c>
      <c r="AO422" s="55">
        <v>9</v>
      </c>
      <c r="AP422" s="105">
        <v>0</v>
      </c>
      <c r="AQ422" s="105">
        <v>1</v>
      </c>
      <c r="AR422" s="105">
        <v>2</v>
      </c>
      <c r="AS422" s="105">
        <v>3</v>
      </c>
      <c r="AT422" s="105">
        <v>4</v>
      </c>
      <c r="AU422" s="105">
        <v>5</v>
      </c>
      <c r="AV422" s="105">
        <v>6</v>
      </c>
      <c r="AW422" s="105">
        <v>7</v>
      </c>
      <c r="AX422" s="105">
        <v>8</v>
      </c>
      <c r="AY422" s="105">
        <v>9</v>
      </c>
      <c r="AZ422" s="56">
        <v>0</v>
      </c>
      <c r="BA422" s="56">
        <v>1</v>
      </c>
      <c r="BB422" s="56">
        <v>2</v>
      </c>
      <c r="BC422" s="56">
        <v>3</v>
      </c>
      <c r="BD422" s="56">
        <v>4</v>
      </c>
      <c r="BE422" s="56">
        <v>5</v>
      </c>
      <c r="BF422" s="56">
        <v>6</v>
      </c>
      <c r="BG422" s="56">
        <v>7</v>
      </c>
      <c r="BH422" s="56">
        <v>8</v>
      </c>
      <c r="BI422" s="56">
        <v>9</v>
      </c>
      <c r="BJ422" s="57" t="str">
        <f t="shared" si="209"/>
        <v>松散型</v>
      </c>
      <c r="BK422" s="13">
        <f t="shared" si="205"/>
        <v>2</v>
      </c>
      <c r="BL422" s="13">
        <f t="shared" si="206"/>
        <v>7</v>
      </c>
      <c r="BM422" s="18" t="str">
        <f t="shared" si="211"/>
        <v/>
      </c>
      <c r="BN422" s="19" t="str">
        <f t="shared" si="212"/>
        <v/>
      </c>
      <c r="BO422" s="19" t="str">
        <f t="array" ref="BO422">_xlfn.TEXTJOIN("",TRUE,IF(ISERROR(FIND(ROW($1:$10)-1,BM422&amp;BN422)),ROW($1:$10)-1,""))</f>
        <v>0123456789</v>
      </c>
      <c r="BP422" s="20" t="str">
        <f t="shared" si="213"/>
        <v>中中中</v>
      </c>
      <c r="BQ422" s="21" t="str">
        <f t="shared" si="224"/>
        <v/>
      </c>
      <c r="BR422" s="21" t="str">
        <f t="shared" si="222"/>
        <v/>
      </c>
      <c r="BS422" s="21" t="str">
        <f t="array" ref="BS422">_xlfn.TEXTJOIN("",TRUE,IF(ISERROR(FIND(ROW($1:$10)-1,BQ422&amp;BR422)),ROW($1:$10)-1,""))</f>
        <v>0123456789</v>
      </c>
      <c r="BT422" s="20" t="str">
        <f t="shared" si="214"/>
        <v>中中中</v>
      </c>
      <c r="BU422" s="22" t="str">
        <f t="shared" si="215"/>
        <v/>
      </c>
      <c r="BV422" s="22" t="str">
        <f t="shared" si="223"/>
        <v/>
      </c>
      <c r="BW422" s="22" t="str">
        <f t="array" ref="BW422">_xlfn.TEXTJOIN("",TRUE,IF(ISERROR(FIND(ROW($1:$10)-1,BU422&amp;BV422)),ROW($1:$10)-1,""))</f>
        <v>0123456789</v>
      </c>
      <c r="BX422" s="20" t="str">
        <f t="shared" si="216"/>
        <v>中中中</v>
      </c>
      <c r="BY422" s="23" t="str">
        <f t="shared" si="210"/>
        <v>46</v>
      </c>
      <c r="BZ422" s="24" t="str">
        <f t="array" ref="BZ422">_xlfn.TEXTJOIN("",TRUE,IF(ISNUMBER(FIND(MID(BY421&amp;Q421,ROW($1:$4),1),BY422&amp;Q422)),MID(BY421&amp;Q421,ROW($1:$4),1),""))</f>
        <v>54</v>
      </c>
      <c r="CA422" s="25" t="str">
        <f t="array" ref="CA422">_xlfn.TEXTJOIN("",TRUE,IF(ISERROR(FIND(ROW($1:$10)-1,BY422&amp;BZ422)),ROW($1:$10)-1,""))</f>
        <v>0123789</v>
      </c>
      <c r="CB422" s="26" t="str">
        <f t="shared" si="217"/>
        <v>邻传孤</v>
      </c>
      <c r="CC422" s="27" t="str">
        <f t="shared" si="218"/>
        <v>68</v>
      </c>
      <c r="CD422" s="27" t="str">
        <f t="array" ref="CD422">_xlfn.TEXTJOIN("",TRUE,IF(ISNUMBER(FIND(MID(CC421&amp;R421,ROW($1:$4),1),CC422&amp;R422)),MID(CC421&amp;R421,ROW($1:$4),1),""))</f>
        <v/>
      </c>
      <c r="CE422" s="27" t="str">
        <f t="array" ref="CE422">_xlfn.TEXTJOIN("",TRUE,IF(ISERROR(FIND(ROW($1:$10)-1,CC422&amp;CD422)),ROW($1:$10)-1,""))</f>
        <v>01234579</v>
      </c>
      <c r="CF422" s="17" t="str">
        <f t="shared" si="219"/>
        <v>邻孤孤</v>
      </c>
      <c r="CG422" s="22" t="str">
        <f t="shared" si="220"/>
        <v>13</v>
      </c>
      <c r="CH422" s="22" t="str">
        <f t="array" ref="CH422">_xlfn.TEXTJOIN("",TRUE,IF(ISNUMBER(FIND(MID(CG421&amp;S421,ROW($1:$4),1),CG422&amp;S422)),MID(CG421&amp;S421,ROW($1:$4),1),""))</f>
        <v>21</v>
      </c>
      <c r="CI422" s="22" t="str">
        <f t="array" ref="CI422">_xlfn.TEXTJOIN("",TRUE,IF(ISERROR(FIND(ROW($1:$10)-1,CG422&amp;CH422)),ROW($1:$10)-1,""))</f>
        <v>0456789</v>
      </c>
      <c r="CJ422" s="28" t="str">
        <f t="shared" si="221"/>
        <v>邻传孤</v>
      </c>
    </row>
    <row r="423" spans="1:88">
      <c r="A423" s="32">
        <v>2025198</v>
      </c>
      <c r="B423" s="8" t="s">
        <v>220</v>
      </c>
      <c r="C423" s="49">
        <f t="shared" si="225"/>
        <v>25</v>
      </c>
      <c r="D423" s="50">
        <f t="shared" si="226"/>
        <v>5</v>
      </c>
      <c r="E423" s="51">
        <f t="shared" si="207"/>
        <v>8.3333333333333304</v>
      </c>
      <c r="F423" s="52">
        <f>MAX(MID(B423,{1,2,3},1)*1)-MIN(MID(B423,{1,2,3},1)*1)</f>
        <v>1</v>
      </c>
      <c r="G423" s="104">
        <v>0</v>
      </c>
      <c r="H423" s="104">
        <v>1</v>
      </c>
      <c r="I423" s="104">
        <v>2</v>
      </c>
      <c r="J423" s="104">
        <v>3</v>
      </c>
      <c r="K423" s="104">
        <v>4</v>
      </c>
      <c r="L423" s="104">
        <v>5</v>
      </c>
      <c r="M423" s="104">
        <v>6</v>
      </c>
      <c r="N423" s="104">
        <v>7</v>
      </c>
      <c r="O423" s="104">
        <v>8</v>
      </c>
      <c r="P423" s="104">
        <v>9</v>
      </c>
      <c r="Q423" s="53">
        <f t="shared" si="227"/>
        <v>1</v>
      </c>
      <c r="R423" s="53">
        <f t="shared" si="228"/>
        <v>0</v>
      </c>
      <c r="S423" s="53">
        <f t="shared" si="229"/>
        <v>1</v>
      </c>
      <c r="T423" s="101">
        <f t="shared" si="208"/>
        <v>2</v>
      </c>
      <c r="U423" s="15" t="str">
        <f>_xlfn.TEXTJOIN(", ",TRUE,ABS(MID(B423,{1,1,2},1)-MID(B423,{2,3,3},1)))</f>
        <v>1, 0, 1</v>
      </c>
      <c r="V423" s="54">
        <v>0</v>
      </c>
      <c r="W423" s="54">
        <v>1</v>
      </c>
      <c r="X423" s="54">
        <v>2</v>
      </c>
      <c r="Y423" s="54">
        <v>3</v>
      </c>
      <c r="Z423" s="54">
        <v>4</v>
      </c>
      <c r="AA423" s="54">
        <v>5</v>
      </c>
      <c r="AB423" s="54">
        <v>6</v>
      </c>
      <c r="AC423" s="54">
        <v>7</v>
      </c>
      <c r="AD423" s="54">
        <v>8</v>
      </c>
      <c r="AE423" s="54">
        <v>9</v>
      </c>
      <c r="AF423" s="55">
        <v>0</v>
      </c>
      <c r="AG423" s="55">
        <v>1</v>
      </c>
      <c r="AH423" s="55">
        <v>2</v>
      </c>
      <c r="AI423" s="55">
        <v>3</v>
      </c>
      <c r="AJ423" s="55">
        <v>4</v>
      </c>
      <c r="AK423" s="55">
        <v>5</v>
      </c>
      <c r="AL423" s="55">
        <v>6</v>
      </c>
      <c r="AM423" s="55">
        <v>7</v>
      </c>
      <c r="AN423" s="55">
        <v>8</v>
      </c>
      <c r="AO423" s="55">
        <v>9</v>
      </c>
      <c r="AP423" s="105">
        <v>0</v>
      </c>
      <c r="AQ423" s="105">
        <v>1</v>
      </c>
      <c r="AR423" s="105">
        <v>2</v>
      </c>
      <c r="AS423" s="105">
        <v>3</v>
      </c>
      <c r="AT423" s="105">
        <v>4</v>
      </c>
      <c r="AU423" s="105">
        <v>5</v>
      </c>
      <c r="AV423" s="105">
        <v>6</v>
      </c>
      <c r="AW423" s="105">
        <v>7</v>
      </c>
      <c r="AX423" s="105">
        <v>8</v>
      </c>
      <c r="AY423" s="105">
        <v>9</v>
      </c>
      <c r="AZ423" s="56">
        <v>0</v>
      </c>
      <c r="BA423" s="56">
        <v>1</v>
      </c>
      <c r="BB423" s="56">
        <v>2</v>
      </c>
      <c r="BC423" s="56">
        <v>3</v>
      </c>
      <c r="BD423" s="56">
        <v>4</v>
      </c>
      <c r="BE423" s="56">
        <v>5</v>
      </c>
      <c r="BF423" s="56">
        <v>6</v>
      </c>
      <c r="BG423" s="56">
        <v>7</v>
      </c>
      <c r="BH423" s="56">
        <v>8</v>
      </c>
      <c r="BI423" s="56">
        <v>9</v>
      </c>
      <c r="BJ423" s="57" t="str">
        <f t="shared" si="209"/>
        <v>紧凑型</v>
      </c>
      <c r="BK423" s="13">
        <f t="shared" si="205"/>
        <v>0</v>
      </c>
      <c r="BL423" s="13">
        <f t="shared" si="206"/>
        <v>1</v>
      </c>
      <c r="BM423" s="18" t="str">
        <f t="shared" si="211"/>
        <v/>
      </c>
      <c r="BN423" s="19">
        <f t="shared" si="212"/>
        <v>1</v>
      </c>
      <c r="BO423" s="19" t="str">
        <f t="array" ref="BO423">_xlfn.TEXTJOIN("",TRUE,IF(ISERROR(FIND(ROW($1:$10)-1,BM423&amp;BN423)),ROW($1:$10)-1,""))</f>
        <v>023456789</v>
      </c>
      <c r="BP423" s="20" t="str">
        <f t="shared" si="213"/>
        <v>中隔中</v>
      </c>
      <c r="BQ423" s="21" t="str">
        <f t="shared" si="224"/>
        <v/>
      </c>
      <c r="BR423" s="21" t="str">
        <f t="shared" si="222"/>
        <v/>
      </c>
      <c r="BS423" s="21" t="str">
        <f t="array" ref="BS423">_xlfn.TEXTJOIN("",TRUE,IF(ISERROR(FIND(ROW($1:$10)-1,BQ423&amp;BR423)),ROW($1:$10)-1,""))</f>
        <v>0123456789</v>
      </c>
      <c r="BT423" s="20" t="str">
        <f t="shared" si="214"/>
        <v>中中中</v>
      </c>
      <c r="BU423" s="22" t="str">
        <f t="shared" si="215"/>
        <v/>
      </c>
      <c r="BV423" s="22">
        <f t="shared" si="223"/>
        <v>1</v>
      </c>
      <c r="BW423" s="22" t="str">
        <f t="array" ref="BW423">_xlfn.TEXTJOIN("",TRUE,IF(ISERROR(FIND(ROW($1:$10)-1,BU423&amp;BV423)),ROW($1:$10)-1,""))</f>
        <v>023456789</v>
      </c>
      <c r="BX423" s="20" t="str">
        <f t="shared" si="216"/>
        <v>中隔中</v>
      </c>
      <c r="BY423" s="23" t="str">
        <f t="shared" si="210"/>
        <v>02</v>
      </c>
      <c r="BZ423" s="24" t="str">
        <f t="array" ref="BZ423">_xlfn.TEXTJOIN("",TRUE,IF(ISNUMBER(FIND(MID(BY422&amp;Q422,ROW($1:$4),1),BY423&amp;Q423)),MID(BY422&amp;Q422,ROW($1:$4),1),""))</f>
        <v/>
      </c>
      <c r="CA423" s="25" t="str">
        <f t="array" ref="CA423">_xlfn.TEXTJOIN("",TRUE,IF(ISERROR(FIND(ROW($1:$10)-1,BY423&amp;BZ423)),ROW($1:$10)-1,""))</f>
        <v>13456789</v>
      </c>
      <c r="CB423" s="26" t="str">
        <f t="shared" si="217"/>
        <v>邻孤孤</v>
      </c>
      <c r="CC423" s="27" t="str">
        <f t="shared" si="218"/>
        <v>91</v>
      </c>
      <c r="CD423" s="27" t="str">
        <f t="array" ref="CD423">_xlfn.TEXTJOIN("",TRUE,IF(ISNUMBER(FIND(MID(CC422&amp;R422,ROW($1:$4),1),CC423&amp;R423)),MID(CC422&amp;R422,ROW($1:$4),1),""))</f>
        <v/>
      </c>
      <c r="CE423" s="27" t="str">
        <f t="array" ref="CE423">_xlfn.TEXTJOIN("",TRUE,IF(ISERROR(FIND(ROW($1:$10)-1,CC423&amp;CD423)),ROW($1:$10)-1,""))</f>
        <v>02345678</v>
      </c>
      <c r="CF423" s="17" t="str">
        <f t="shared" si="219"/>
        <v>邻孤孤</v>
      </c>
      <c r="CG423" s="22" t="str">
        <f t="shared" si="220"/>
        <v>02</v>
      </c>
      <c r="CH423" s="22" t="str">
        <f t="array" ref="CH423">_xlfn.TEXTJOIN("",TRUE,IF(ISNUMBER(FIND(MID(CG422&amp;S422,ROW($1:$4),1),CG423&amp;S423)),MID(CG422&amp;S422,ROW($1:$4),1),""))</f>
        <v>12</v>
      </c>
      <c r="CI423" s="22" t="str">
        <f t="array" ref="CI423">_xlfn.TEXTJOIN("",TRUE,IF(ISERROR(FIND(ROW($1:$10)-1,CG423&amp;CH423)),ROW($1:$10)-1,""))</f>
        <v>3456789</v>
      </c>
      <c r="CJ423" s="28" t="str">
        <f t="shared" si="221"/>
        <v>邻传孤</v>
      </c>
    </row>
    <row r="424" spans="1:88">
      <c r="A424" s="32">
        <v>2025199</v>
      </c>
      <c r="B424" s="8" t="s">
        <v>355</v>
      </c>
      <c r="C424" s="49">
        <f t="shared" ref="C424:C487" si="230">LEFT(B424,1)+MID(B424,2,1)+RIGHT(B424,1)</f>
        <v>16</v>
      </c>
      <c r="D424" s="50">
        <f t="shared" ref="D424:D487" si="231">MOD(LEFT(B424,1)+MID(B424,2,1)+RIGHT(B424,1),10)</f>
        <v>6</v>
      </c>
      <c r="E424" s="51">
        <f t="shared" si="207"/>
        <v>5.3333333333333304</v>
      </c>
      <c r="F424" s="52">
        <f>MAX(MID(B424,{1,2,3},1)*1)-MIN(MID(B424,{1,2,3},1)*1)</f>
        <v>6</v>
      </c>
      <c r="G424" s="104">
        <v>0</v>
      </c>
      <c r="H424" s="104">
        <v>1</v>
      </c>
      <c r="I424" s="104">
        <v>2</v>
      </c>
      <c r="J424" s="104">
        <v>3</v>
      </c>
      <c r="K424" s="104">
        <v>4</v>
      </c>
      <c r="L424" s="104">
        <v>5</v>
      </c>
      <c r="M424" s="104">
        <v>6</v>
      </c>
      <c r="N424" s="104">
        <v>7</v>
      </c>
      <c r="O424" s="104">
        <v>8</v>
      </c>
      <c r="P424" s="104">
        <v>9</v>
      </c>
      <c r="Q424" s="53">
        <f t="shared" ref="Q424:Q487" si="232">ABS(LEFT(B424,1)-MID(B424,2,1))</f>
        <v>5</v>
      </c>
      <c r="R424" s="53">
        <f t="shared" ref="R424:R487" si="233">ABS(LEFT(B424,1)-RIGHT(B424,1))</f>
        <v>6</v>
      </c>
      <c r="S424" s="53">
        <f t="shared" ref="S424:S487" si="234">ABS(MID(B424,2,1)-RIGHT(B424,1))</f>
        <v>1</v>
      </c>
      <c r="T424" s="101">
        <f t="shared" si="208"/>
        <v>12</v>
      </c>
      <c r="U424" s="15" t="str">
        <f>_xlfn.TEXTJOIN(", ",TRUE,ABS(MID(B424,{1,1,2},1)-MID(B424,{2,3,3},1)))</f>
        <v>5, 6, 1</v>
      </c>
      <c r="V424" s="54">
        <v>0</v>
      </c>
      <c r="W424" s="54">
        <v>1</v>
      </c>
      <c r="X424" s="54">
        <v>2</v>
      </c>
      <c r="Y424" s="54">
        <v>3</v>
      </c>
      <c r="Z424" s="54">
        <v>4</v>
      </c>
      <c r="AA424" s="54">
        <v>5</v>
      </c>
      <c r="AB424" s="54">
        <v>6</v>
      </c>
      <c r="AC424" s="54">
        <v>7</v>
      </c>
      <c r="AD424" s="54">
        <v>8</v>
      </c>
      <c r="AE424" s="54">
        <v>9</v>
      </c>
      <c r="AF424" s="55">
        <v>0</v>
      </c>
      <c r="AG424" s="55">
        <v>1</v>
      </c>
      <c r="AH424" s="55">
        <v>2</v>
      </c>
      <c r="AI424" s="55">
        <v>3</v>
      </c>
      <c r="AJ424" s="55">
        <v>4</v>
      </c>
      <c r="AK424" s="55">
        <v>5</v>
      </c>
      <c r="AL424" s="55">
        <v>6</v>
      </c>
      <c r="AM424" s="55">
        <v>7</v>
      </c>
      <c r="AN424" s="55">
        <v>8</v>
      </c>
      <c r="AO424" s="55">
        <v>9</v>
      </c>
      <c r="AP424" s="105">
        <v>0</v>
      </c>
      <c r="AQ424" s="105">
        <v>1</v>
      </c>
      <c r="AR424" s="105">
        <v>2</v>
      </c>
      <c r="AS424" s="105">
        <v>3</v>
      </c>
      <c r="AT424" s="105">
        <v>4</v>
      </c>
      <c r="AU424" s="105">
        <v>5</v>
      </c>
      <c r="AV424" s="105">
        <v>6</v>
      </c>
      <c r="AW424" s="105">
        <v>7</v>
      </c>
      <c r="AX424" s="105">
        <v>8</v>
      </c>
      <c r="AY424" s="105">
        <v>9</v>
      </c>
      <c r="AZ424" s="56">
        <v>0</v>
      </c>
      <c r="BA424" s="56">
        <v>1</v>
      </c>
      <c r="BB424" s="56">
        <v>2</v>
      </c>
      <c r="BC424" s="56">
        <v>3</v>
      </c>
      <c r="BD424" s="56">
        <v>4</v>
      </c>
      <c r="BE424" s="56">
        <v>5</v>
      </c>
      <c r="BF424" s="56">
        <v>6</v>
      </c>
      <c r="BG424" s="56">
        <v>7</v>
      </c>
      <c r="BH424" s="56">
        <v>8</v>
      </c>
      <c r="BI424" s="56">
        <v>9</v>
      </c>
      <c r="BJ424" s="57" t="str">
        <f t="shared" si="209"/>
        <v>松散型</v>
      </c>
      <c r="BK424" s="13">
        <f t="shared" si="205"/>
        <v>1</v>
      </c>
      <c r="BL424" s="13">
        <f t="shared" si="206"/>
        <v>6</v>
      </c>
      <c r="BM424" s="18" t="str">
        <f t="shared" si="211"/>
        <v/>
      </c>
      <c r="BN424" s="19">
        <f t="shared" si="212"/>
        <v>5</v>
      </c>
      <c r="BO424" s="19" t="str">
        <f t="array" ref="BO424">_xlfn.TEXTJOIN("",TRUE,IF(ISERROR(FIND(ROW($1:$10)-1,BM424&amp;BN424)),ROW($1:$10)-1,""))</f>
        <v>012346789</v>
      </c>
      <c r="BP424" s="20" t="str">
        <f t="shared" si="213"/>
        <v>中隔中</v>
      </c>
      <c r="BQ424" s="21" t="str">
        <f t="shared" si="224"/>
        <v/>
      </c>
      <c r="BR424" s="21" t="str">
        <f t="shared" si="222"/>
        <v/>
      </c>
      <c r="BS424" s="21" t="str">
        <f t="array" ref="BS424">_xlfn.TEXTJOIN("",TRUE,IF(ISERROR(FIND(ROW($1:$10)-1,BQ424&amp;BR424)),ROW($1:$10)-1,""))</f>
        <v>0123456789</v>
      </c>
      <c r="BT424" s="20" t="str">
        <f t="shared" si="214"/>
        <v>中中中</v>
      </c>
      <c r="BU424" s="22">
        <f t="shared" si="215"/>
        <v>1</v>
      </c>
      <c r="BV424" s="22" t="str">
        <f t="shared" si="223"/>
        <v/>
      </c>
      <c r="BW424" s="22" t="str">
        <f t="array" ref="BW424">_xlfn.TEXTJOIN("",TRUE,IF(ISERROR(FIND(ROW($1:$10)-1,BU424&amp;BV424)),ROW($1:$10)-1,""))</f>
        <v>023456789</v>
      </c>
      <c r="BX424" s="20" t="str">
        <f t="shared" si="216"/>
        <v>复中中</v>
      </c>
      <c r="BY424" s="23" t="str">
        <f t="shared" si="210"/>
        <v>46</v>
      </c>
      <c r="BZ424" s="24" t="str">
        <f t="array" ref="BZ424">_xlfn.TEXTJOIN("",TRUE,IF(ISNUMBER(FIND(MID(BY423&amp;Q423,ROW($1:$4),1),BY424&amp;Q424)),MID(BY423&amp;Q423,ROW($1:$4),1),""))</f>
        <v/>
      </c>
      <c r="CA424" s="25" t="str">
        <f t="array" ref="CA424">_xlfn.TEXTJOIN("",TRUE,IF(ISERROR(FIND(ROW($1:$10)-1,BY424&amp;BZ424)),ROW($1:$10)-1,""))</f>
        <v>01235789</v>
      </c>
      <c r="CB424" s="26" t="str">
        <f t="shared" si="217"/>
        <v>邻孤孤</v>
      </c>
      <c r="CC424" s="27" t="str">
        <f t="shared" si="218"/>
        <v>57</v>
      </c>
      <c r="CD424" s="27" t="str">
        <f t="array" ref="CD424">_xlfn.TEXTJOIN("",TRUE,IF(ISNUMBER(FIND(MID(CC423&amp;R423,ROW($1:$4),1),CC424&amp;R424)),MID(CC423&amp;R423,ROW($1:$4),1),""))</f>
        <v/>
      </c>
      <c r="CE424" s="27" t="str">
        <f t="array" ref="CE424">_xlfn.TEXTJOIN("",TRUE,IF(ISERROR(FIND(ROW($1:$10)-1,CC424&amp;CD424)),ROW($1:$10)-1,""))</f>
        <v>01234689</v>
      </c>
      <c r="CF424" s="17" t="str">
        <f t="shared" si="219"/>
        <v>邻孤孤</v>
      </c>
      <c r="CG424" s="22" t="str">
        <f t="shared" si="220"/>
        <v>02</v>
      </c>
      <c r="CH424" s="22" t="str">
        <f t="array" ref="CH424">_xlfn.TEXTJOIN("",TRUE,IF(ISNUMBER(FIND(MID(CG423&amp;S423,ROW($1:$4),1),CG424&amp;S424)),MID(CG423&amp;S423,ROW($1:$4),1),""))</f>
        <v>021</v>
      </c>
      <c r="CI424" s="22" t="str">
        <f t="array" ref="CI424">_xlfn.TEXTJOIN("",TRUE,IF(ISERROR(FIND(ROW($1:$10)-1,CG424&amp;CH424)),ROW($1:$10)-1,""))</f>
        <v>3456789</v>
      </c>
      <c r="CJ424" s="28" t="str">
        <f t="shared" si="221"/>
        <v>邻传孤</v>
      </c>
    </row>
    <row r="425" spans="1:88">
      <c r="A425" s="32">
        <v>2025200</v>
      </c>
      <c r="B425" s="8" t="s">
        <v>294</v>
      </c>
      <c r="C425" s="49">
        <f t="shared" si="230"/>
        <v>6</v>
      </c>
      <c r="D425" s="50">
        <f t="shared" si="231"/>
        <v>6</v>
      </c>
      <c r="E425" s="51">
        <f t="shared" si="207"/>
        <v>2</v>
      </c>
      <c r="F425" s="52">
        <f>MAX(MID(B425,{1,2,3},1)*1)-MIN(MID(B425,{1,2,3},1)*1)</f>
        <v>5</v>
      </c>
      <c r="G425" s="104">
        <v>0</v>
      </c>
      <c r="H425" s="104">
        <v>1</v>
      </c>
      <c r="I425" s="104">
        <v>2</v>
      </c>
      <c r="J425" s="104">
        <v>3</v>
      </c>
      <c r="K425" s="104">
        <v>4</v>
      </c>
      <c r="L425" s="104">
        <v>5</v>
      </c>
      <c r="M425" s="104">
        <v>6</v>
      </c>
      <c r="N425" s="104">
        <v>7</v>
      </c>
      <c r="O425" s="104">
        <v>8</v>
      </c>
      <c r="P425" s="104">
        <v>9</v>
      </c>
      <c r="Q425" s="53">
        <f t="shared" si="232"/>
        <v>1</v>
      </c>
      <c r="R425" s="53">
        <f t="shared" si="233"/>
        <v>5</v>
      </c>
      <c r="S425" s="53">
        <f t="shared" si="234"/>
        <v>4</v>
      </c>
      <c r="T425" s="101">
        <f t="shared" si="208"/>
        <v>10</v>
      </c>
      <c r="U425" s="15" t="str">
        <f>_xlfn.TEXTJOIN(", ",TRUE,ABS(MID(B425,{1,1,2},1)-MID(B425,{2,3,3},1)))</f>
        <v>1, 5, 4</v>
      </c>
      <c r="V425" s="54">
        <v>0</v>
      </c>
      <c r="W425" s="54">
        <v>1</v>
      </c>
      <c r="X425" s="54">
        <v>2</v>
      </c>
      <c r="Y425" s="54">
        <v>3</v>
      </c>
      <c r="Z425" s="54">
        <v>4</v>
      </c>
      <c r="AA425" s="54">
        <v>5</v>
      </c>
      <c r="AB425" s="54">
        <v>6</v>
      </c>
      <c r="AC425" s="54">
        <v>7</v>
      </c>
      <c r="AD425" s="54">
        <v>8</v>
      </c>
      <c r="AE425" s="54">
        <v>9</v>
      </c>
      <c r="AF425" s="55">
        <v>0</v>
      </c>
      <c r="AG425" s="55">
        <v>1</v>
      </c>
      <c r="AH425" s="55">
        <v>2</v>
      </c>
      <c r="AI425" s="55">
        <v>3</v>
      </c>
      <c r="AJ425" s="55">
        <v>4</v>
      </c>
      <c r="AK425" s="55">
        <v>5</v>
      </c>
      <c r="AL425" s="55">
        <v>6</v>
      </c>
      <c r="AM425" s="55">
        <v>7</v>
      </c>
      <c r="AN425" s="55">
        <v>8</v>
      </c>
      <c r="AO425" s="55">
        <v>9</v>
      </c>
      <c r="AP425" s="105">
        <v>0</v>
      </c>
      <c r="AQ425" s="105">
        <v>1</v>
      </c>
      <c r="AR425" s="105">
        <v>2</v>
      </c>
      <c r="AS425" s="105">
        <v>3</v>
      </c>
      <c r="AT425" s="105">
        <v>4</v>
      </c>
      <c r="AU425" s="105">
        <v>5</v>
      </c>
      <c r="AV425" s="105">
        <v>6</v>
      </c>
      <c r="AW425" s="105">
        <v>7</v>
      </c>
      <c r="AX425" s="105">
        <v>8</v>
      </c>
      <c r="AY425" s="105">
        <v>9</v>
      </c>
      <c r="AZ425" s="56">
        <v>0</v>
      </c>
      <c r="BA425" s="56">
        <v>1</v>
      </c>
      <c r="BB425" s="56">
        <v>2</v>
      </c>
      <c r="BC425" s="56">
        <v>3</v>
      </c>
      <c r="BD425" s="56">
        <v>4</v>
      </c>
      <c r="BE425" s="56">
        <v>5</v>
      </c>
      <c r="BF425" s="56">
        <v>6</v>
      </c>
      <c r="BG425" s="56">
        <v>7</v>
      </c>
      <c r="BH425" s="56">
        <v>8</v>
      </c>
      <c r="BI425" s="56">
        <v>9</v>
      </c>
      <c r="BJ425" s="57" t="str">
        <f t="shared" si="209"/>
        <v>标准型</v>
      </c>
      <c r="BK425" s="13">
        <f t="shared" si="205"/>
        <v>1</v>
      </c>
      <c r="BL425" s="13">
        <f t="shared" si="206"/>
        <v>5</v>
      </c>
      <c r="BM425" s="18">
        <f t="shared" si="211"/>
        <v>1</v>
      </c>
      <c r="BN425" s="19">
        <f t="shared" si="212"/>
        <v>1</v>
      </c>
      <c r="BO425" s="19" t="str">
        <f t="array" ref="BO425">_xlfn.TEXTJOIN("",TRUE,IF(ISERROR(FIND(ROW($1:$10)-1,BM425&amp;BN425)),ROW($1:$10)-1,""))</f>
        <v>023456789</v>
      </c>
      <c r="BP425" s="20" t="str">
        <f t="shared" si="213"/>
        <v>复隔中</v>
      </c>
      <c r="BQ425" s="21">
        <f t="shared" si="224"/>
        <v>5</v>
      </c>
      <c r="BR425" s="21" t="str">
        <f t="shared" si="222"/>
        <v/>
      </c>
      <c r="BS425" s="21" t="str">
        <f t="array" ref="BS425">_xlfn.TEXTJOIN("",TRUE,IF(ISERROR(FIND(ROW($1:$10)-1,BQ425&amp;BR425)),ROW($1:$10)-1,""))</f>
        <v>012346789</v>
      </c>
      <c r="BT425" s="20" t="str">
        <f t="shared" si="214"/>
        <v>复中中</v>
      </c>
      <c r="BU425" s="22" t="str">
        <f t="shared" si="215"/>
        <v/>
      </c>
      <c r="BV425" s="22" t="str">
        <f t="shared" si="223"/>
        <v/>
      </c>
      <c r="BW425" s="22" t="str">
        <f t="array" ref="BW425">_xlfn.TEXTJOIN("",TRUE,IF(ISERROR(FIND(ROW($1:$10)-1,BU425&amp;BV425)),ROW($1:$10)-1,""))</f>
        <v>0123456789</v>
      </c>
      <c r="BX425" s="20" t="str">
        <f t="shared" si="216"/>
        <v>中中中</v>
      </c>
      <c r="BY425" s="23" t="str">
        <f t="shared" si="210"/>
        <v>02</v>
      </c>
      <c r="BZ425" s="24" t="str">
        <f t="array" ref="BZ425">_xlfn.TEXTJOIN("",TRUE,IF(ISNUMBER(FIND(MID(BY424&amp;Q424,ROW($1:$4),1),BY425&amp;Q425)),MID(BY424&amp;Q424,ROW($1:$4),1),""))</f>
        <v/>
      </c>
      <c r="CA425" s="25" t="str">
        <f t="array" ref="CA425">_xlfn.TEXTJOIN("",TRUE,IF(ISERROR(FIND(ROW($1:$10)-1,BY425&amp;BZ425)),ROW($1:$10)-1,""))</f>
        <v>13456789</v>
      </c>
      <c r="CB425" s="26" t="str">
        <f t="shared" si="217"/>
        <v>邻孤孤</v>
      </c>
      <c r="CC425" s="27" t="str">
        <f t="shared" si="218"/>
        <v>46</v>
      </c>
      <c r="CD425" s="27" t="str">
        <f t="array" ref="CD425">_xlfn.TEXTJOIN("",TRUE,IF(ISNUMBER(FIND(MID(CC424&amp;R424,ROW($1:$4),1),CC425&amp;R425)),MID(CC424&amp;R424,ROW($1:$4),1),""))</f>
        <v>56</v>
      </c>
      <c r="CE425" s="27" t="str">
        <f t="array" ref="CE425">_xlfn.TEXTJOIN("",TRUE,IF(ISERROR(FIND(ROW($1:$10)-1,CC425&amp;CD425)),ROW($1:$10)-1,""))</f>
        <v>0123789</v>
      </c>
      <c r="CF425" s="17" t="str">
        <f t="shared" si="219"/>
        <v>邻传孤</v>
      </c>
      <c r="CG425" s="22" t="str">
        <f t="shared" si="220"/>
        <v>35</v>
      </c>
      <c r="CH425" s="22" t="str">
        <f t="array" ref="CH425">_xlfn.TEXTJOIN("",TRUE,IF(ISNUMBER(FIND(MID(CG424&amp;S424,ROW($1:$4),1),CG425&amp;S425)),MID(CG424&amp;S424,ROW($1:$4),1),""))</f>
        <v/>
      </c>
      <c r="CI425" s="22" t="str">
        <f t="array" ref="CI425">_xlfn.TEXTJOIN("",TRUE,IF(ISERROR(FIND(ROW($1:$10)-1,CG425&amp;CH425)),ROW($1:$10)-1,""))</f>
        <v>01246789</v>
      </c>
      <c r="CJ425" s="28" t="str">
        <f t="shared" si="221"/>
        <v>邻孤孤</v>
      </c>
    </row>
    <row r="426" spans="1:88">
      <c r="A426" s="32">
        <v>2025201</v>
      </c>
      <c r="B426" s="8" t="s">
        <v>356</v>
      </c>
      <c r="C426" s="49">
        <f t="shared" si="230"/>
        <v>18</v>
      </c>
      <c r="D426" s="50">
        <f t="shared" si="231"/>
        <v>8</v>
      </c>
      <c r="E426" s="51">
        <f t="shared" si="207"/>
        <v>6</v>
      </c>
      <c r="F426" s="52">
        <f>MAX(MID(B426,{1,2,3},1)*1)-MIN(MID(B426,{1,2,3},1)*1)</f>
        <v>4</v>
      </c>
      <c r="G426" s="104">
        <v>0</v>
      </c>
      <c r="H426" s="104">
        <v>1</v>
      </c>
      <c r="I426" s="104">
        <v>2</v>
      </c>
      <c r="J426" s="104">
        <v>3</v>
      </c>
      <c r="K426" s="104">
        <v>4</v>
      </c>
      <c r="L426" s="104">
        <v>5</v>
      </c>
      <c r="M426" s="104">
        <v>6</v>
      </c>
      <c r="N426" s="104">
        <v>7</v>
      </c>
      <c r="O426" s="104">
        <v>8</v>
      </c>
      <c r="P426" s="104">
        <v>9</v>
      </c>
      <c r="Q426" s="53">
        <f t="shared" si="232"/>
        <v>4</v>
      </c>
      <c r="R426" s="53">
        <f t="shared" si="233"/>
        <v>2</v>
      </c>
      <c r="S426" s="53">
        <f t="shared" si="234"/>
        <v>2</v>
      </c>
      <c r="T426" s="101">
        <f t="shared" si="208"/>
        <v>8</v>
      </c>
      <c r="U426" s="15" t="str">
        <f>_xlfn.TEXTJOIN(", ",TRUE,ABS(MID(B426,{1,1,2},1)-MID(B426,{2,3,3},1)))</f>
        <v>4, 2, 2</v>
      </c>
      <c r="V426" s="54">
        <v>0</v>
      </c>
      <c r="W426" s="54">
        <v>1</v>
      </c>
      <c r="X426" s="54">
        <v>2</v>
      </c>
      <c r="Y426" s="54">
        <v>3</v>
      </c>
      <c r="Z426" s="54">
        <v>4</v>
      </c>
      <c r="AA426" s="54">
        <v>5</v>
      </c>
      <c r="AB426" s="54">
        <v>6</v>
      </c>
      <c r="AC426" s="54">
        <v>7</v>
      </c>
      <c r="AD426" s="54">
        <v>8</v>
      </c>
      <c r="AE426" s="54">
        <v>9</v>
      </c>
      <c r="AF426" s="55">
        <v>0</v>
      </c>
      <c r="AG426" s="55">
        <v>1</v>
      </c>
      <c r="AH426" s="55">
        <v>2</v>
      </c>
      <c r="AI426" s="55">
        <v>3</v>
      </c>
      <c r="AJ426" s="55">
        <v>4</v>
      </c>
      <c r="AK426" s="55">
        <v>5</v>
      </c>
      <c r="AL426" s="55">
        <v>6</v>
      </c>
      <c r="AM426" s="55">
        <v>7</v>
      </c>
      <c r="AN426" s="55">
        <v>8</v>
      </c>
      <c r="AO426" s="55">
        <v>9</v>
      </c>
      <c r="AP426" s="105">
        <v>0</v>
      </c>
      <c r="AQ426" s="105">
        <v>1</v>
      </c>
      <c r="AR426" s="105">
        <v>2</v>
      </c>
      <c r="AS426" s="105">
        <v>3</v>
      </c>
      <c r="AT426" s="105">
        <v>4</v>
      </c>
      <c r="AU426" s="105">
        <v>5</v>
      </c>
      <c r="AV426" s="105">
        <v>6</v>
      </c>
      <c r="AW426" s="105">
        <v>7</v>
      </c>
      <c r="AX426" s="105">
        <v>8</v>
      </c>
      <c r="AY426" s="105">
        <v>9</v>
      </c>
      <c r="AZ426" s="56">
        <v>0</v>
      </c>
      <c r="BA426" s="56">
        <v>1</v>
      </c>
      <c r="BB426" s="56">
        <v>2</v>
      </c>
      <c r="BC426" s="56">
        <v>3</v>
      </c>
      <c r="BD426" s="56">
        <v>4</v>
      </c>
      <c r="BE426" s="56">
        <v>5</v>
      </c>
      <c r="BF426" s="56">
        <v>6</v>
      </c>
      <c r="BG426" s="56">
        <v>7</v>
      </c>
      <c r="BH426" s="56">
        <v>8</v>
      </c>
      <c r="BI426" s="56">
        <v>9</v>
      </c>
      <c r="BJ426" s="57" t="str">
        <f t="shared" si="209"/>
        <v>标准型</v>
      </c>
      <c r="BK426" s="13">
        <f t="shared" si="205"/>
        <v>2</v>
      </c>
      <c r="BL426" s="13">
        <f t="shared" si="206"/>
        <v>4</v>
      </c>
      <c r="BM426" s="18">
        <f t="shared" si="211"/>
        <v>4</v>
      </c>
      <c r="BN426" s="19" t="str">
        <f t="shared" si="212"/>
        <v/>
      </c>
      <c r="BO426" s="19" t="str">
        <f t="array" ref="BO426">_xlfn.TEXTJOIN("",TRUE,IF(ISERROR(FIND(ROW($1:$10)-1,BM426&amp;BN426)),ROW($1:$10)-1,""))</f>
        <v>012356789</v>
      </c>
      <c r="BP426" s="20" t="str">
        <f t="shared" si="213"/>
        <v>复中中</v>
      </c>
      <c r="BQ426" s="21" t="str">
        <f t="shared" si="224"/>
        <v/>
      </c>
      <c r="BR426" s="21" t="str">
        <f t="shared" si="222"/>
        <v/>
      </c>
      <c r="BS426" s="21" t="str">
        <f t="array" ref="BS426">_xlfn.TEXTJOIN("",TRUE,IF(ISERROR(FIND(ROW($1:$10)-1,BQ426&amp;BR426)),ROW($1:$10)-1,""))</f>
        <v>0123456789</v>
      </c>
      <c r="BT426" s="20" t="str">
        <f t="shared" si="214"/>
        <v>中中中</v>
      </c>
      <c r="BU426" s="22" t="str">
        <f t="shared" si="215"/>
        <v/>
      </c>
      <c r="BV426" s="22" t="str">
        <f t="shared" si="223"/>
        <v/>
      </c>
      <c r="BW426" s="22" t="str">
        <f t="array" ref="BW426">_xlfn.TEXTJOIN("",TRUE,IF(ISERROR(FIND(ROW($1:$10)-1,BU426&amp;BV426)),ROW($1:$10)-1,""))</f>
        <v>0123456789</v>
      </c>
      <c r="BX426" s="20" t="str">
        <f t="shared" si="216"/>
        <v>中中中</v>
      </c>
      <c r="BY426" s="23" t="str">
        <f t="shared" si="210"/>
        <v>35</v>
      </c>
      <c r="BZ426" s="24" t="str">
        <f t="array" ref="BZ426">_xlfn.TEXTJOIN("",TRUE,IF(ISNUMBER(FIND(MID(BY425&amp;Q425,ROW($1:$4),1),BY426&amp;Q426)),MID(BY425&amp;Q425,ROW($1:$4),1),""))</f>
        <v/>
      </c>
      <c r="CA426" s="25" t="str">
        <f t="array" ref="CA426">_xlfn.TEXTJOIN("",TRUE,IF(ISERROR(FIND(ROW($1:$10)-1,BY426&amp;BZ426)),ROW($1:$10)-1,""))</f>
        <v>01246789</v>
      </c>
      <c r="CB426" s="26" t="str">
        <f t="shared" si="217"/>
        <v>邻孤孤</v>
      </c>
      <c r="CC426" s="27" t="str">
        <f t="shared" si="218"/>
        <v>13</v>
      </c>
      <c r="CD426" s="27" t="str">
        <f t="array" ref="CD426">_xlfn.TEXTJOIN("",TRUE,IF(ISNUMBER(FIND(MID(CC425&amp;R425,ROW($1:$4),1),CC426&amp;R426)),MID(CC425&amp;R425,ROW($1:$4),1),""))</f>
        <v/>
      </c>
      <c r="CE426" s="27" t="str">
        <f t="array" ref="CE426">_xlfn.TEXTJOIN("",TRUE,IF(ISERROR(FIND(ROW($1:$10)-1,CC426&amp;CD426)),ROW($1:$10)-1,""))</f>
        <v>02456789</v>
      </c>
      <c r="CF426" s="17" t="str">
        <f t="shared" si="219"/>
        <v>邻孤孤</v>
      </c>
      <c r="CG426" s="22" t="str">
        <f t="shared" si="220"/>
        <v>13</v>
      </c>
      <c r="CH426" s="22" t="str">
        <f t="array" ref="CH426">_xlfn.TEXTJOIN("",TRUE,IF(ISNUMBER(FIND(MID(CG425&amp;S425,ROW($1:$4),1),CG426&amp;S426)),MID(CG425&amp;S425,ROW($1:$4),1),""))</f>
        <v>3</v>
      </c>
      <c r="CI426" s="22" t="str">
        <f t="array" ref="CI426">_xlfn.TEXTJOIN("",TRUE,IF(ISERROR(FIND(ROW($1:$10)-1,CG426&amp;CH426)),ROW($1:$10)-1,""))</f>
        <v>02456789</v>
      </c>
      <c r="CJ426" s="28" t="str">
        <f t="shared" si="221"/>
        <v>邻传孤</v>
      </c>
    </row>
    <row r="427" spans="1:88">
      <c r="A427" s="32">
        <v>2025202</v>
      </c>
      <c r="B427" s="8" t="s">
        <v>289</v>
      </c>
      <c r="C427" s="49">
        <f t="shared" si="230"/>
        <v>17</v>
      </c>
      <c r="D427" s="50">
        <f t="shared" si="231"/>
        <v>7</v>
      </c>
      <c r="E427" s="51">
        <f t="shared" si="207"/>
        <v>5.6666666666666696</v>
      </c>
      <c r="F427" s="52">
        <f>MAX(MID(B427,{1,2,3},1)*1)-MIN(MID(B427,{1,2,3},1)*1)</f>
        <v>6</v>
      </c>
      <c r="G427" s="104">
        <v>0</v>
      </c>
      <c r="H427" s="104">
        <v>1</v>
      </c>
      <c r="I427" s="104">
        <v>2</v>
      </c>
      <c r="J427" s="104">
        <v>3</v>
      </c>
      <c r="K427" s="104">
        <v>4</v>
      </c>
      <c r="L427" s="104">
        <v>5</v>
      </c>
      <c r="M427" s="104">
        <v>6</v>
      </c>
      <c r="N427" s="104">
        <v>7</v>
      </c>
      <c r="O427" s="104">
        <v>8</v>
      </c>
      <c r="P427" s="104">
        <v>9</v>
      </c>
      <c r="Q427" s="53">
        <f t="shared" si="232"/>
        <v>4</v>
      </c>
      <c r="R427" s="53">
        <f t="shared" si="233"/>
        <v>6</v>
      </c>
      <c r="S427" s="53">
        <f t="shared" si="234"/>
        <v>2</v>
      </c>
      <c r="T427" s="101">
        <f t="shared" si="208"/>
        <v>12</v>
      </c>
      <c r="U427" s="15" t="str">
        <f>_xlfn.TEXTJOIN(", ",TRUE,ABS(MID(B427,{1,1,2},1)-MID(B427,{2,3,3},1)))</f>
        <v>4, 6, 2</v>
      </c>
      <c r="V427" s="54">
        <v>0</v>
      </c>
      <c r="W427" s="54">
        <v>1</v>
      </c>
      <c r="X427" s="54">
        <v>2</v>
      </c>
      <c r="Y427" s="54">
        <v>3</v>
      </c>
      <c r="Z427" s="54">
        <v>4</v>
      </c>
      <c r="AA427" s="54">
        <v>5</v>
      </c>
      <c r="AB427" s="54">
        <v>6</v>
      </c>
      <c r="AC427" s="54">
        <v>7</v>
      </c>
      <c r="AD427" s="54">
        <v>8</v>
      </c>
      <c r="AE427" s="54">
        <v>9</v>
      </c>
      <c r="AF427" s="55">
        <v>0</v>
      </c>
      <c r="AG427" s="55">
        <v>1</v>
      </c>
      <c r="AH427" s="55">
        <v>2</v>
      </c>
      <c r="AI427" s="55">
        <v>3</v>
      </c>
      <c r="AJ427" s="55">
        <v>4</v>
      </c>
      <c r="AK427" s="55">
        <v>5</v>
      </c>
      <c r="AL427" s="55">
        <v>6</v>
      </c>
      <c r="AM427" s="55">
        <v>7</v>
      </c>
      <c r="AN427" s="55">
        <v>8</v>
      </c>
      <c r="AO427" s="55">
        <v>9</v>
      </c>
      <c r="AP427" s="105">
        <v>0</v>
      </c>
      <c r="AQ427" s="105">
        <v>1</v>
      </c>
      <c r="AR427" s="105">
        <v>2</v>
      </c>
      <c r="AS427" s="105">
        <v>3</v>
      </c>
      <c r="AT427" s="105">
        <v>4</v>
      </c>
      <c r="AU427" s="105">
        <v>5</v>
      </c>
      <c r="AV427" s="105">
        <v>6</v>
      </c>
      <c r="AW427" s="105">
        <v>7</v>
      </c>
      <c r="AX427" s="105">
        <v>8</v>
      </c>
      <c r="AY427" s="105">
        <v>9</v>
      </c>
      <c r="AZ427" s="56">
        <v>0</v>
      </c>
      <c r="BA427" s="56">
        <v>1</v>
      </c>
      <c r="BB427" s="56">
        <v>2</v>
      </c>
      <c r="BC427" s="56">
        <v>3</v>
      </c>
      <c r="BD427" s="56">
        <v>4</v>
      </c>
      <c r="BE427" s="56">
        <v>5</v>
      </c>
      <c r="BF427" s="56">
        <v>6</v>
      </c>
      <c r="BG427" s="56">
        <v>7</v>
      </c>
      <c r="BH427" s="56">
        <v>8</v>
      </c>
      <c r="BI427" s="56">
        <v>9</v>
      </c>
      <c r="BJ427" s="57" t="str">
        <f t="shared" si="209"/>
        <v>松散型</v>
      </c>
      <c r="BK427" s="13">
        <f t="shared" si="205"/>
        <v>2</v>
      </c>
      <c r="BL427" s="13">
        <f t="shared" si="206"/>
        <v>6</v>
      </c>
      <c r="BM427" s="18">
        <f t="shared" si="211"/>
        <v>4</v>
      </c>
      <c r="BN427" s="19">
        <f t="shared" si="212"/>
        <v>4</v>
      </c>
      <c r="BO427" s="19" t="str">
        <f t="array" ref="BO427">_xlfn.TEXTJOIN("",TRUE,IF(ISERROR(FIND(ROW($1:$10)-1,BM427&amp;BN427)),ROW($1:$10)-1,""))</f>
        <v>012356789</v>
      </c>
      <c r="BP427" s="20" t="str">
        <f t="shared" si="213"/>
        <v>复隔中</v>
      </c>
      <c r="BQ427" s="21" t="str">
        <f t="shared" si="224"/>
        <v/>
      </c>
      <c r="BR427" s="21" t="str">
        <f t="shared" si="222"/>
        <v/>
      </c>
      <c r="BS427" s="21" t="str">
        <f t="array" ref="BS427">_xlfn.TEXTJOIN("",TRUE,IF(ISERROR(FIND(ROW($1:$10)-1,BQ427&amp;BR427)),ROW($1:$10)-1,""))</f>
        <v>0123456789</v>
      </c>
      <c r="BT427" s="20" t="str">
        <f t="shared" si="214"/>
        <v>中中中</v>
      </c>
      <c r="BU427" s="22">
        <f t="shared" si="215"/>
        <v>2</v>
      </c>
      <c r="BV427" s="22" t="str">
        <f t="shared" si="223"/>
        <v/>
      </c>
      <c r="BW427" s="22" t="str">
        <f t="array" ref="BW427">_xlfn.TEXTJOIN("",TRUE,IF(ISERROR(FIND(ROW($1:$10)-1,BU427&amp;BV427)),ROW($1:$10)-1,""))</f>
        <v>013456789</v>
      </c>
      <c r="BX427" s="20" t="str">
        <f t="shared" si="216"/>
        <v>复中中</v>
      </c>
      <c r="BY427" s="23" t="str">
        <f t="shared" si="210"/>
        <v>35</v>
      </c>
      <c r="BZ427" s="24" t="str">
        <f t="array" ref="BZ427">_xlfn.TEXTJOIN("",TRUE,IF(ISNUMBER(FIND(MID(BY426&amp;Q426,ROW($1:$4),1),BY427&amp;Q427)),MID(BY426&amp;Q426,ROW($1:$4),1),""))</f>
        <v>354</v>
      </c>
      <c r="CA427" s="25" t="str">
        <f t="array" ref="CA427">_xlfn.TEXTJOIN("",TRUE,IF(ISERROR(FIND(ROW($1:$10)-1,BY427&amp;BZ427)),ROW($1:$10)-1,""))</f>
        <v>0126789</v>
      </c>
      <c r="CB427" s="26" t="str">
        <f t="shared" si="217"/>
        <v>邻传孤</v>
      </c>
      <c r="CC427" s="27" t="str">
        <f t="shared" si="218"/>
        <v>57</v>
      </c>
      <c r="CD427" s="27" t="str">
        <f t="array" ref="CD427">_xlfn.TEXTJOIN("",TRUE,IF(ISNUMBER(FIND(MID(CC426&amp;R426,ROW($1:$4),1),CC427&amp;R427)),MID(CC426&amp;R426,ROW($1:$4),1),""))</f>
        <v/>
      </c>
      <c r="CE427" s="27" t="str">
        <f t="array" ref="CE427">_xlfn.TEXTJOIN("",TRUE,IF(ISERROR(FIND(ROW($1:$10)-1,CC427&amp;CD427)),ROW($1:$10)-1,""))</f>
        <v>01234689</v>
      </c>
      <c r="CF427" s="17" t="str">
        <f t="shared" si="219"/>
        <v>邻孤孤</v>
      </c>
      <c r="CG427" s="22" t="str">
        <f t="shared" si="220"/>
        <v>13</v>
      </c>
      <c r="CH427" s="22" t="str">
        <f t="array" ref="CH427">_xlfn.TEXTJOIN("",TRUE,IF(ISNUMBER(FIND(MID(CG426&amp;S426,ROW($1:$4),1),CG427&amp;S427)),MID(CG426&amp;S426,ROW($1:$4),1),""))</f>
        <v>132</v>
      </c>
      <c r="CI427" s="22" t="str">
        <f t="array" ref="CI427">_xlfn.TEXTJOIN("",TRUE,IF(ISERROR(FIND(ROW($1:$10)-1,CG427&amp;CH427)),ROW($1:$10)-1,""))</f>
        <v>0456789</v>
      </c>
      <c r="CJ427" s="28" t="str">
        <f t="shared" si="221"/>
        <v>邻传孤</v>
      </c>
    </row>
    <row r="428" spans="1:88">
      <c r="A428" s="32">
        <v>2025203</v>
      </c>
      <c r="B428" s="8" t="s">
        <v>357</v>
      </c>
      <c r="C428" s="49">
        <f t="shared" si="230"/>
        <v>4</v>
      </c>
      <c r="D428" s="50">
        <f t="shared" si="231"/>
        <v>4</v>
      </c>
      <c r="E428" s="51">
        <f t="shared" si="207"/>
        <v>1.3333333333333299</v>
      </c>
      <c r="F428" s="52">
        <f>MAX(MID(B428,{1,2,3},1)*1)-MIN(MID(B428,{1,2,3},1)*1)</f>
        <v>3</v>
      </c>
      <c r="G428" s="104">
        <v>0</v>
      </c>
      <c r="H428" s="104">
        <v>1</v>
      </c>
      <c r="I428" s="104">
        <v>2</v>
      </c>
      <c r="J428" s="104">
        <v>3</v>
      </c>
      <c r="K428" s="104">
        <v>4</v>
      </c>
      <c r="L428" s="104">
        <v>5</v>
      </c>
      <c r="M428" s="104">
        <v>6</v>
      </c>
      <c r="N428" s="104">
        <v>7</v>
      </c>
      <c r="O428" s="104">
        <v>8</v>
      </c>
      <c r="P428" s="104">
        <v>9</v>
      </c>
      <c r="Q428" s="53">
        <f t="shared" si="232"/>
        <v>1</v>
      </c>
      <c r="R428" s="53">
        <f t="shared" si="233"/>
        <v>3</v>
      </c>
      <c r="S428" s="53">
        <f t="shared" si="234"/>
        <v>2</v>
      </c>
      <c r="T428" s="101">
        <f t="shared" si="208"/>
        <v>6</v>
      </c>
      <c r="U428" s="15" t="str">
        <f>_xlfn.TEXTJOIN(", ",TRUE,ABS(MID(B428,{1,1,2},1)-MID(B428,{2,3,3},1)))</f>
        <v>1, 3, 2</v>
      </c>
      <c r="V428" s="54">
        <v>0</v>
      </c>
      <c r="W428" s="54">
        <v>1</v>
      </c>
      <c r="X428" s="54">
        <v>2</v>
      </c>
      <c r="Y428" s="54">
        <v>3</v>
      </c>
      <c r="Z428" s="54">
        <v>4</v>
      </c>
      <c r="AA428" s="54">
        <v>5</v>
      </c>
      <c r="AB428" s="54">
        <v>6</v>
      </c>
      <c r="AC428" s="54">
        <v>7</v>
      </c>
      <c r="AD428" s="54">
        <v>8</v>
      </c>
      <c r="AE428" s="54">
        <v>9</v>
      </c>
      <c r="AF428" s="55">
        <v>0</v>
      </c>
      <c r="AG428" s="55">
        <v>1</v>
      </c>
      <c r="AH428" s="55">
        <v>2</v>
      </c>
      <c r="AI428" s="55">
        <v>3</v>
      </c>
      <c r="AJ428" s="55">
        <v>4</v>
      </c>
      <c r="AK428" s="55">
        <v>5</v>
      </c>
      <c r="AL428" s="55">
        <v>6</v>
      </c>
      <c r="AM428" s="55">
        <v>7</v>
      </c>
      <c r="AN428" s="55">
        <v>8</v>
      </c>
      <c r="AO428" s="55">
        <v>9</v>
      </c>
      <c r="AP428" s="105">
        <v>0</v>
      </c>
      <c r="AQ428" s="105">
        <v>1</v>
      </c>
      <c r="AR428" s="105">
        <v>2</v>
      </c>
      <c r="AS428" s="105">
        <v>3</v>
      </c>
      <c r="AT428" s="105">
        <v>4</v>
      </c>
      <c r="AU428" s="105">
        <v>5</v>
      </c>
      <c r="AV428" s="105">
        <v>6</v>
      </c>
      <c r="AW428" s="105">
        <v>7</v>
      </c>
      <c r="AX428" s="105">
        <v>8</v>
      </c>
      <c r="AY428" s="105">
        <v>9</v>
      </c>
      <c r="AZ428" s="56">
        <v>0</v>
      </c>
      <c r="BA428" s="56">
        <v>1</v>
      </c>
      <c r="BB428" s="56">
        <v>2</v>
      </c>
      <c r="BC428" s="56">
        <v>3</v>
      </c>
      <c r="BD428" s="56">
        <v>4</v>
      </c>
      <c r="BE428" s="56">
        <v>5</v>
      </c>
      <c r="BF428" s="56">
        <v>6</v>
      </c>
      <c r="BG428" s="56">
        <v>7</v>
      </c>
      <c r="BH428" s="56">
        <v>8</v>
      </c>
      <c r="BI428" s="56">
        <v>9</v>
      </c>
      <c r="BJ428" s="57" t="str">
        <f t="shared" si="209"/>
        <v>紧凑型</v>
      </c>
      <c r="BK428" s="13">
        <f t="shared" si="205"/>
        <v>1</v>
      </c>
      <c r="BL428" s="13">
        <f t="shared" si="206"/>
        <v>3</v>
      </c>
      <c r="BM428" s="18" t="str">
        <f t="shared" si="211"/>
        <v/>
      </c>
      <c r="BN428" s="19" t="str">
        <f t="shared" si="212"/>
        <v/>
      </c>
      <c r="BO428" s="19" t="str">
        <f t="array" ref="BO428">_xlfn.TEXTJOIN("",TRUE,IF(ISERROR(FIND(ROW($1:$10)-1,BM428&amp;BN428)),ROW($1:$10)-1,""))</f>
        <v>0123456789</v>
      </c>
      <c r="BP428" s="20" t="str">
        <f t="shared" si="213"/>
        <v>中中中</v>
      </c>
      <c r="BQ428" s="21" t="str">
        <f t="shared" si="224"/>
        <v/>
      </c>
      <c r="BR428" s="21" t="str">
        <f t="shared" si="222"/>
        <v/>
      </c>
      <c r="BS428" s="21" t="str">
        <f t="array" ref="BS428">_xlfn.TEXTJOIN("",TRUE,IF(ISERROR(FIND(ROW($1:$10)-1,BQ428&amp;BR428)),ROW($1:$10)-1,""))</f>
        <v>0123456789</v>
      </c>
      <c r="BT428" s="20" t="str">
        <f t="shared" si="214"/>
        <v>中中中</v>
      </c>
      <c r="BU428" s="22">
        <f t="shared" si="215"/>
        <v>2</v>
      </c>
      <c r="BV428" s="22">
        <f t="shared" si="223"/>
        <v>2</v>
      </c>
      <c r="BW428" s="22" t="str">
        <f t="array" ref="BW428">_xlfn.TEXTJOIN("",TRUE,IF(ISERROR(FIND(ROW($1:$10)-1,BU428&amp;BV428)),ROW($1:$10)-1,""))</f>
        <v>013456789</v>
      </c>
      <c r="BX428" s="20" t="str">
        <f t="shared" si="216"/>
        <v>复隔中</v>
      </c>
      <c r="BY428" s="23" t="str">
        <f t="shared" si="210"/>
        <v>02</v>
      </c>
      <c r="BZ428" s="24" t="str">
        <f t="array" ref="BZ428">_xlfn.TEXTJOIN("",TRUE,IF(ISNUMBER(FIND(MID(BY427&amp;Q427,ROW($1:$4),1),BY428&amp;Q428)),MID(BY427&amp;Q427,ROW($1:$4),1),""))</f>
        <v/>
      </c>
      <c r="CA428" s="25" t="str">
        <f t="array" ref="CA428">_xlfn.TEXTJOIN("",TRUE,IF(ISERROR(FIND(ROW($1:$10)-1,BY428&amp;BZ428)),ROW($1:$10)-1,""))</f>
        <v>13456789</v>
      </c>
      <c r="CB428" s="26" t="str">
        <f t="shared" si="217"/>
        <v>邻孤孤</v>
      </c>
      <c r="CC428" s="27" t="str">
        <f t="shared" si="218"/>
        <v>24</v>
      </c>
      <c r="CD428" s="27" t="str">
        <f t="array" ref="CD428">_xlfn.TEXTJOIN("",TRUE,IF(ISNUMBER(FIND(MID(CC427&amp;R427,ROW($1:$4),1),CC428&amp;R428)),MID(CC427&amp;R427,ROW($1:$4),1),""))</f>
        <v/>
      </c>
      <c r="CE428" s="27" t="str">
        <f t="array" ref="CE428">_xlfn.TEXTJOIN("",TRUE,IF(ISERROR(FIND(ROW($1:$10)-1,CC428&amp;CD428)),ROW($1:$10)-1,""))</f>
        <v>01356789</v>
      </c>
      <c r="CF428" s="17" t="str">
        <f t="shared" si="219"/>
        <v>邻孤孤</v>
      </c>
      <c r="CG428" s="22" t="str">
        <f t="shared" si="220"/>
        <v>13</v>
      </c>
      <c r="CH428" s="22" t="str">
        <f t="array" ref="CH428">_xlfn.TEXTJOIN("",TRUE,IF(ISNUMBER(FIND(MID(CG427&amp;S427,ROW($1:$4),1),CG428&amp;S428)),MID(CG427&amp;S427,ROW($1:$4),1),""))</f>
        <v>132</v>
      </c>
      <c r="CI428" s="22" t="str">
        <f t="array" ref="CI428">_xlfn.TEXTJOIN("",TRUE,IF(ISERROR(FIND(ROW($1:$10)-1,CG428&amp;CH428)),ROW($1:$10)-1,""))</f>
        <v>0456789</v>
      </c>
      <c r="CJ428" s="28" t="str">
        <f t="shared" si="221"/>
        <v>邻传孤</v>
      </c>
    </row>
    <row r="429" spans="1:88">
      <c r="A429" s="32">
        <v>2025204</v>
      </c>
      <c r="B429" s="8" t="s">
        <v>358</v>
      </c>
      <c r="C429" s="49">
        <f t="shared" si="230"/>
        <v>7</v>
      </c>
      <c r="D429" s="50">
        <f t="shared" si="231"/>
        <v>7</v>
      </c>
      <c r="E429" s="51">
        <f t="shared" si="207"/>
        <v>2.3333333333333299</v>
      </c>
      <c r="F429" s="52">
        <f>MAX(MID(B429,{1,2,3},1)*1)-MIN(MID(B429,{1,2,3},1)*1)</f>
        <v>7</v>
      </c>
      <c r="G429" s="104">
        <v>0</v>
      </c>
      <c r="H429" s="104">
        <v>1</v>
      </c>
      <c r="I429" s="104">
        <v>2</v>
      </c>
      <c r="J429" s="104">
        <v>3</v>
      </c>
      <c r="K429" s="104">
        <v>4</v>
      </c>
      <c r="L429" s="104">
        <v>5</v>
      </c>
      <c r="M429" s="104">
        <v>6</v>
      </c>
      <c r="N429" s="104">
        <v>7</v>
      </c>
      <c r="O429" s="104">
        <v>8</v>
      </c>
      <c r="P429" s="104">
        <v>9</v>
      </c>
      <c r="Q429" s="53">
        <f t="shared" si="232"/>
        <v>0</v>
      </c>
      <c r="R429" s="53">
        <f t="shared" si="233"/>
        <v>7</v>
      </c>
      <c r="S429" s="53">
        <f t="shared" si="234"/>
        <v>7</v>
      </c>
      <c r="T429" s="101">
        <f t="shared" si="208"/>
        <v>14</v>
      </c>
      <c r="U429" s="15" t="str">
        <f>_xlfn.TEXTJOIN(", ",TRUE,ABS(MID(B429,{1,1,2},1)-MID(B429,{2,3,3},1)))</f>
        <v>0, 7, 7</v>
      </c>
      <c r="V429" s="54">
        <v>0</v>
      </c>
      <c r="W429" s="54">
        <v>1</v>
      </c>
      <c r="X429" s="54">
        <v>2</v>
      </c>
      <c r="Y429" s="54">
        <v>3</v>
      </c>
      <c r="Z429" s="54">
        <v>4</v>
      </c>
      <c r="AA429" s="54">
        <v>5</v>
      </c>
      <c r="AB429" s="54">
        <v>6</v>
      </c>
      <c r="AC429" s="54">
        <v>7</v>
      </c>
      <c r="AD429" s="54">
        <v>8</v>
      </c>
      <c r="AE429" s="54">
        <v>9</v>
      </c>
      <c r="AF429" s="55">
        <v>0</v>
      </c>
      <c r="AG429" s="55">
        <v>1</v>
      </c>
      <c r="AH429" s="55">
        <v>2</v>
      </c>
      <c r="AI429" s="55">
        <v>3</v>
      </c>
      <c r="AJ429" s="55">
        <v>4</v>
      </c>
      <c r="AK429" s="55">
        <v>5</v>
      </c>
      <c r="AL429" s="55">
        <v>6</v>
      </c>
      <c r="AM429" s="55">
        <v>7</v>
      </c>
      <c r="AN429" s="55">
        <v>8</v>
      </c>
      <c r="AO429" s="55">
        <v>9</v>
      </c>
      <c r="AP429" s="105">
        <v>0</v>
      </c>
      <c r="AQ429" s="105">
        <v>1</v>
      </c>
      <c r="AR429" s="105">
        <v>2</v>
      </c>
      <c r="AS429" s="105">
        <v>3</v>
      </c>
      <c r="AT429" s="105">
        <v>4</v>
      </c>
      <c r="AU429" s="105">
        <v>5</v>
      </c>
      <c r="AV429" s="105">
        <v>6</v>
      </c>
      <c r="AW429" s="105">
        <v>7</v>
      </c>
      <c r="AX429" s="105">
        <v>8</v>
      </c>
      <c r="AY429" s="105">
        <v>9</v>
      </c>
      <c r="AZ429" s="56">
        <v>0</v>
      </c>
      <c r="BA429" s="56">
        <v>1</v>
      </c>
      <c r="BB429" s="56">
        <v>2</v>
      </c>
      <c r="BC429" s="56">
        <v>3</v>
      </c>
      <c r="BD429" s="56">
        <v>4</v>
      </c>
      <c r="BE429" s="56">
        <v>5</v>
      </c>
      <c r="BF429" s="56">
        <v>6</v>
      </c>
      <c r="BG429" s="56">
        <v>7</v>
      </c>
      <c r="BH429" s="56">
        <v>8</v>
      </c>
      <c r="BI429" s="56">
        <v>9</v>
      </c>
      <c r="BJ429" s="57" t="str">
        <f t="shared" si="209"/>
        <v>松散型</v>
      </c>
      <c r="BK429" s="13">
        <f t="shared" si="205"/>
        <v>0</v>
      </c>
      <c r="BL429" s="13">
        <f t="shared" si="206"/>
        <v>7</v>
      </c>
      <c r="BM429" s="18" t="str">
        <f t="shared" si="211"/>
        <v/>
      </c>
      <c r="BN429" s="19" t="str">
        <f t="shared" si="212"/>
        <v/>
      </c>
      <c r="BO429" s="19" t="str">
        <f t="array" ref="BO429">_xlfn.TEXTJOIN("",TRUE,IF(ISERROR(FIND(ROW($1:$10)-1,BM429&amp;BN429)),ROW($1:$10)-1,""))</f>
        <v>0123456789</v>
      </c>
      <c r="BP429" s="20" t="str">
        <f t="shared" si="213"/>
        <v>中中中</v>
      </c>
      <c r="BQ429" s="21" t="str">
        <f t="shared" si="224"/>
        <v/>
      </c>
      <c r="BR429" s="21" t="str">
        <f t="shared" si="222"/>
        <v/>
      </c>
      <c r="BS429" s="21" t="str">
        <f t="array" ref="BS429">_xlfn.TEXTJOIN("",TRUE,IF(ISERROR(FIND(ROW($1:$10)-1,BQ429&amp;BR429)),ROW($1:$10)-1,""))</f>
        <v>0123456789</v>
      </c>
      <c r="BT429" s="20" t="str">
        <f t="shared" si="214"/>
        <v>中中中</v>
      </c>
      <c r="BU429" s="22" t="str">
        <f t="shared" si="215"/>
        <v/>
      </c>
      <c r="BV429" s="22" t="str">
        <f t="shared" si="223"/>
        <v/>
      </c>
      <c r="BW429" s="22" t="str">
        <f t="array" ref="BW429">_xlfn.TEXTJOIN("",TRUE,IF(ISERROR(FIND(ROW($1:$10)-1,BU429&amp;BV429)),ROW($1:$10)-1,""))</f>
        <v>0123456789</v>
      </c>
      <c r="BX429" s="20" t="str">
        <f t="shared" si="216"/>
        <v>中中中</v>
      </c>
      <c r="BY429" s="23" t="str">
        <f t="shared" si="210"/>
        <v>91</v>
      </c>
      <c r="BZ429" s="24" t="str">
        <f t="array" ref="BZ429">_xlfn.TEXTJOIN("",TRUE,IF(ISNUMBER(FIND(MID(BY428&amp;Q428,ROW($1:$4),1),BY429&amp;Q429)),MID(BY428&amp;Q428,ROW($1:$4),1),""))</f>
        <v>01</v>
      </c>
      <c r="CA429" s="25" t="str">
        <f t="array" ref="CA429">_xlfn.TEXTJOIN("",TRUE,IF(ISERROR(FIND(ROW($1:$10)-1,BY429&amp;BZ429)),ROW($1:$10)-1,""))</f>
        <v>2345678</v>
      </c>
      <c r="CB429" s="26" t="str">
        <f t="shared" si="217"/>
        <v>邻传孤</v>
      </c>
      <c r="CC429" s="27" t="str">
        <f t="shared" si="218"/>
        <v>68</v>
      </c>
      <c r="CD429" s="27" t="str">
        <f t="array" ref="CD429">_xlfn.TEXTJOIN("",TRUE,IF(ISNUMBER(FIND(MID(CC428&amp;R428,ROW($1:$4),1),CC429&amp;R429)),MID(CC428&amp;R428,ROW($1:$4),1),""))</f>
        <v/>
      </c>
      <c r="CE429" s="27" t="str">
        <f t="array" ref="CE429">_xlfn.TEXTJOIN("",TRUE,IF(ISERROR(FIND(ROW($1:$10)-1,CC429&amp;CD429)),ROW($1:$10)-1,""))</f>
        <v>01234579</v>
      </c>
      <c r="CF429" s="17" t="str">
        <f t="shared" si="219"/>
        <v>邻孤孤</v>
      </c>
      <c r="CG429" s="22" t="str">
        <f t="shared" si="220"/>
        <v>68</v>
      </c>
      <c r="CH429" s="22" t="str">
        <f t="array" ref="CH429">_xlfn.TEXTJOIN("",TRUE,IF(ISNUMBER(FIND(MID(CG428&amp;S428,ROW($1:$4),1),CG429&amp;S429)),MID(CG428&amp;S428,ROW($1:$4),1),""))</f>
        <v/>
      </c>
      <c r="CI429" s="22" t="str">
        <f t="array" ref="CI429">_xlfn.TEXTJOIN("",TRUE,IF(ISERROR(FIND(ROW($1:$10)-1,CG429&amp;CH429)),ROW($1:$10)-1,""))</f>
        <v>01234579</v>
      </c>
      <c r="CJ429" s="28" t="str">
        <f t="shared" si="221"/>
        <v>邻孤孤</v>
      </c>
    </row>
    <row r="430" spans="1:88">
      <c r="A430" s="32">
        <v>2025205</v>
      </c>
      <c r="B430" s="8" t="s">
        <v>359</v>
      </c>
      <c r="C430" s="49">
        <f t="shared" si="230"/>
        <v>11</v>
      </c>
      <c r="D430" s="50">
        <f t="shared" si="231"/>
        <v>1</v>
      </c>
      <c r="E430" s="51">
        <f t="shared" si="207"/>
        <v>3.6666666666666701</v>
      </c>
      <c r="F430" s="52">
        <f>MAX(MID(B430,{1,2,3},1)*1)-MIN(MID(B430,{1,2,3},1)*1)</f>
        <v>9</v>
      </c>
      <c r="G430" s="104">
        <v>0</v>
      </c>
      <c r="H430" s="104">
        <v>1</v>
      </c>
      <c r="I430" s="104">
        <v>2</v>
      </c>
      <c r="J430" s="104">
        <v>3</v>
      </c>
      <c r="K430" s="104">
        <v>4</v>
      </c>
      <c r="L430" s="104">
        <v>5</v>
      </c>
      <c r="M430" s="104">
        <v>6</v>
      </c>
      <c r="N430" s="104">
        <v>7</v>
      </c>
      <c r="O430" s="104">
        <v>8</v>
      </c>
      <c r="P430" s="104">
        <v>9</v>
      </c>
      <c r="Q430" s="53">
        <f t="shared" si="232"/>
        <v>7</v>
      </c>
      <c r="R430" s="53">
        <f t="shared" si="233"/>
        <v>9</v>
      </c>
      <c r="S430" s="53">
        <f t="shared" si="234"/>
        <v>2</v>
      </c>
      <c r="T430" s="101">
        <f t="shared" si="208"/>
        <v>18</v>
      </c>
      <c r="U430" s="15" t="str">
        <f>_xlfn.TEXTJOIN(", ",TRUE,ABS(MID(B430,{1,1,2},1)-MID(B430,{2,3,3},1)))</f>
        <v>7, 9, 2</v>
      </c>
      <c r="V430" s="54">
        <v>0</v>
      </c>
      <c r="W430" s="54">
        <v>1</v>
      </c>
      <c r="X430" s="54">
        <v>2</v>
      </c>
      <c r="Y430" s="54">
        <v>3</v>
      </c>
      <c r="Z430" s="54">
        <v>4</v>
      </c>
      <c r="AA430" s="54">
        <v>5</v>
      </c>
      <c r="AB430" s="54">
        <v>6</v>
      </c>
      <c r="AC430" s="54">
        <v>7</v>
      </c>
      <c r="AD430" s="54">
        <v>8</v>
      </c>
      <c r="AE430" s="54">
        <v>9</v>
      </c>
      <c r="AF430" s="55">
        <v>0</v>
      </c>
      <c r="AG430" s="55">
        <v>1</v>
      </c>
      <c r="AH430" s="55">
        <v>2</v>
      </c>
      <c r="AI430" s="55">
        <v>3</v>
      </c>
      <c r="AJ430" s="55">
        <v>4</v>
      </c>
      <c r="AK430" s="55">
        <v>5</v>
      </c>
      <c r="AL430" s="55">
        <v>6</v>
      </c>
      <c r="AM430" s="55">
        <v>7</v>
      </c>
      <c r="AN430" s="55">
        <v>8</v>
      </c>
      <c r="AO430" s="55">
        <v>9</v>
      </c>
      <c r="AP430" s="105">
        <v>0</v>
      </c>
      <c r="AQ430" s="105">
        <v>1</v>
      </c>
      <c r="AR430" s="105">
        <v>2</v>
      </c>
      <c r="AS430" s="105">
        <v>3</v>
      </c>
      <c r="AT430" s="105">
        <v>4</v>
      </c>
      <c r="AU430" s="105">
        <v>5</v>
      </c>
      <c r="AV430" s="105">
        <v>6</v>
      </c>
      <c r="AW430" s="105">
        <v>7</v>
      </c>
      <c r="AX430" s="105">
        <v>8</v>
      </c>
      <c r="AY430" s="105">
        <v>9</v>
      </c>
      <c r="AZ430" s="56">
        <v>0</v>
      </c>
      <c r="BA430" s="56">
        <v>1</v>
      </c>
      <c r="BB430" s="56">
        <v>2</v>
      </c>
      <c r="BC430" s="56">
        <v>3</v>
      </c>
      <c r="BD430" s="56">
        <v>4</v>
      </c>
      <c r="BE430" s="56">
        <v>5</v>
      </c>
      <c r="BF430" s="56">
        <v>6</v>
      </c>
      <c r="BG430" s="56">
        <v>7</v>
      </c>
      <c r="BH430" s="56">
        <v>8</v>
      </c>
      <c r="BI430" s="56">
        <v>9</v>
      </c>
      <c r="BJ430" s="57" t="str">
        <f t="shared" si="209"/>
        <v>松散型</v>
      </c>
      <c r="BK430" s="13">
        <f t="shared" si="205"/>
        <v>2</v>
      </c>
      <c r="BL430" s="13">
        <f t="shared" si="206"/>
        <v>9</v>
      </c>
      <c r="BM430" s="18">
        <f t="shared" si="211"/>
        <v>7</v>
      </c>
      <c r="BN430" s="19" t="str">
        <f t="shared" si="212"/>
        <v/>
      </c>
      <c r="BO430" s="19" t="str">
        <f t="array" ref="BO430">_xlfn.TEXTJOIN("",TRUE,IF(ISERROR(FIND(ROW($1:$10)-1,BM430&amp;BN430)),ROW($1:$10)-1,""))</f>
        <v>012345689</v>
      </c>
      <c r="BP430" s="20" t="str">
        <f t="shared" si="213"/>
        <v>复中中</v>
      </c>
      <c r="BQ430" s="21" t="str">
        <f t="shared" si="224"/>
        <v/>
      </c>
      <c r="BR430" s="21" t="str">
        <f t="shared" si="222"/>
        <v/>
      </c>
      <c r="BS430" s="21" t="str">
        <f t="array" ref="BS430">_xlfn.TEXTJOIN("",TRUE,IF(ISERROR(FIND(ROW($1:$10)-1,BQ430&amp;BR430)),ROW($1:$10)-1,""))</f>
        <v>0123456789</v>
      </c>
      <c r="BT430" s="20" t="str">
        <f t="shared" si="214"/>
        <v>中中中</v>
      </c>
      <c r="BU430" s="22" t="str">
        <f t="shared" si="215"/>
        <v/>
      </c>
      <c r="BV430" s="22">
        <f t="shared" si="223"/>
        <v>2</v>
      </c>
      <c r="BW430" s="22" t="str">
        <f t="array" ref="BW430">_xlfn.TEXTJOIN("",TRUE,IF(ISERROR(FIND(ROW($1:$10)-1,BU430&amp;BV430)),ROW($1:$10)-1,""))</f>
        <v>013456789</v>
      </c>
      <c r="BX430" s="20" t="str">
        <f t="shared" si="216"/>
        <v>中隔中</v>
      </c>
      <c r="BY430" s="23" t="str">
        <f t="shared" si="210"/>
        <v>68</v>
      </c>
      <c r="BZ430" s="24" t="str">
        <f t="array" ref="BZ430">_xlfn.TEXTJOIN("",TRUE,IF(ISNUMBER(FIND(MID(BY429&amp;Q429,ROW($1:$4),1),BY430&amp;Q430)),MID(BY429&amp;Q429,ROW($1:$4),1),""))</f>
        <v/>
      </c>
      <c r="CA430" s="25" t="str">
        <f t="array" ref="CA430">_xlfn.TEXTJOIN("",TRUE,IF(ISERROR(FIND(ROW($1:$10)-1,BY430&amp;BZ430)),ROW($1:$10)-1,""))</f>
        <v>01234579</v>
      </c>
      <c r="CB430" s="26" t="str">
        <f t="shared" si="217"/>
        <v>邻孤孤</v>
      </c>
      <c r="CC430" s="27" t="str">
        <f t="shared" si="218"/>
        <v>80</v>
      </c>
      <c r="CD430" s="27" t="str">
        <f t="array" ref="CD430">_xlfn.TEXTJOIN("",TRUE,IF(ISNUMBER(FIND(MID(CC429&amp;R429,ROW($1:$4),1),CC430&amp;R430)),MID(CC429&amp;R429,ROW($1:$4),1),""))</f>
        <v>8</v>
      </c>
      <c r="CE430" s="27" t="str">
        <f t="array" ref="CE430">_xlfn.TEXTJOIN("",TRUE,IF(ISERROR(FIND(ROW($1:$10)-1,CC430&amp;CD430)),ROW($1:$10)-1,""))</f>
        <v>12345679</v>
      </c>
      <c r="CF430" s="17" t="str">
        <f t="shared" si="219"/>
        <v>邻传孤</v>
      </c>
      <c r="CG430" s="22" t="str">
        <f t="shared" si="220"/>
        <v>13</v>
      </c>
      <c r="CH430" s="22" t="str">
        <f t="array" ref="CH430">_xlfn.TEXTJOIN("",TRUE,IF(ISNUMBER(FIND(MID(CG429&amp;S429,ROW($1:$4),1),CG430&amp;S430)),MID(CG429&amp;S429,ROW($1:$4),1),""))</f>
        <v/>
      </c>
      <c r="CI430" s="22" t="str">
        <f t="array" ref="CI430">_xlfn.TEXTJOIN("",TRUE,IF(ISERROR(FIND(ROW($1:$10)-1,CG430&amp;CH430)),ROW($1:$10)-1,""))</f>
        <v>02456789</v>
      </c>
      <c r="CJ430" s="28" t="str">
        <f t="shared" si="221"/>
        <v>邻孤孤</v>
      </c>
    </row>
    <row r="431" spans="1:88">
      <c r="A431" s="32">
        <v>2025206</v>
      </c>
      <c r="B431" s="8" t="s">
        <v>107</v>
      </c>
      <c r="C431" s="49">
        <f t="shared" si="230"/>
        <v>12</v>
      </c>
      <c r="D431" s="50">
        <f t="shared" si="231"/>
        <v>2</v>
      </c>
      <c r="E431" s="51">
        <f t="shared" si="207"/>
        <v>4</v>
      </c>
      <c r="F431" s="52">
        <f>MAX(MID(B431,{1,2,3},1)*1)-MIN(MID(B431,{1,2,3},1)*1)</f>
        <v>0</v>
      </c>
      <c r="G431" s="104">
        <v>0</v>
      </c>
      <c r="H431" s="104">
        <v>1</v>
      </c>
      <c r="I431" s="104">
        <v>2</v>
      </c>
      <c r="J431" s="104">
        <v>3</v>
      </c>
      <c r="K431" s="104">
        <v>4</v>
      </c>
      <c r="L431" s="104">
        <v>5</v>
      </c>
      <c r="M431" s="104">
        <v>6</v>
      </c>
      <c r="N431" s="104">
        <v>7</v>
      </c>
      <c r="O431" s="104">
        <v>8</v>
      </c>
      <c r="P431" s="104">
        <v>9</v>
      </c>
      <c r="Q431" s="53">
        <f t="shared" si="232"/>
        <v>0</v>
      </c>
      <c r="R431" s="53">
        <f t="shared" si="233"/>
        <v>0</v>
      </c>
      <c r="S431" s="53">
        <f t="shared" si="234"/>
        <v>0</v>
      </c>
      <c r="T431" s="101">
        <f t="shared" si="208"/>
        <v>0</v>
      </c>
      <c r="U431" s="15" t="str">
        <f>_xlfn.TEXTJOIN(", ",TRUE,ABS(MID(B431,{1,1,2},1)-MID(B431,{2,3,3},1)))</f>
        <v>0, 0, 0</v>
      </c>
      <c r="V431" s="54">
        <v>0</v>
      </c>
      <c r="W431" s="54">
        <v>1</v>
      </c>
      <c r="X431" s="54">
        <v>2</v>
      </c>
      <c r="Y431" s="54">
        <v>3</v>
      </c>
      <c r="Z431" s="54">
        <v>4</v>
      </c>
      <c r="AA431" s="54">
        <v>5</v>
      </c>
      <c r="AB431" s="54">
        <v>6</v>
      </c>
      <c r="AC431" s="54">
        <v>7</v>
      </c>
      <c r="AD431" s="54">
        <v>8</v>
      </c>
      <c r="AE431" s="54">
        <v>9</v>
      </c>
      <c r="AF431" s="55">
        <v>0</v>
      </c>
      <c r="AG431" s="55">
        <v>1</v>
      </c>
      <c r="AH431" s="55">
        <v>2</v>
      </c>
      <c r="AI431" s="55">
        <v>3</v>
      </c>
      <c r="AJ431" s="55">
        <v>4</v>
      </c>
      <c r="AK431" s="55">
        <v>5</v>
      </c>
      <c r="AL431" s="55">
        <v>6</v>
      </c>
      <c r="AM431" s="55">
        <v>7</v>
      </c>
      <c r="AN431" s="55">
        <v>8</v>
      </c>
      <c r="AO431" s="55">
        <v>9</v>
      </c>
      <c r="AP431" s="105">
        <v>0</v>
      </c>
      <c r="AQ431" s="105">
        <v>1</v>
      </c>
      <c r="AR431" s="105">
        <v>2</v>
      </c>
      <c r="AS431" s="105">
        <v>3</v>
      </c>
      <c r="AT431" s="105">
        <v>4</v>
      </c>
      <c r="AU431" s="105">
        <v>5</v>
      </c>
      <c r="AV431" s="105">
        <v>6</v>
      </c>
      <c r="AW431" s="105">
        <v>7</v>
      </c>
      <c r="AX431" s="105">
        <v>8</v>
      </c>
      <c r="AY431" s="105">
        <v>9</v>
      </c>
      <c r="AZ431" s="56">
        <v>0</v>
      </c>
      <c r="BA431" s="56">
        <v>1</v>
      </c>
      <c r="BB431" s="56">
        <v>2</v>
      </c>
      <c r="BC431" s="56">
        <v>3</v>
      </c>
      <c r="BD431" s="56">
        <v>4</v>
      </c>
      <c r="BE431" s="56">
        <v>5</v>
      </c>
      <c r="BF431" s="56">
        <v>6</v>
      </c>
      <c r="BG431" s="56">
        <v>7</v>
      </c>
      <c r="BH431" s="56">
        <v>8</v>
      </c>
      <c r="BI431" s="56">
        <v>9</v>
      </c>
      <c r="BJ431" s="57" t="str">
        <f t="shared" si="209"/>
        <v>紧凑型</v>
      </c>
      <c r="BK431" s="13">
        <f t="shared" si="205"/>
        <v>0</v>
      </c>
      <c r="BL431" s="13">
        <f t="shared" si="206"/>
        <v>0</v>
      </c>
      <c r="BM431" s="18" t="str">
        <f t="shared" si="211"/>
        <v/>
      </c>
      <c r="BN431" s="19">
        <f t="shared" si="212"/>
        <v>0</v>
      </c>
      <c r="BO431" s="19" t="str">
        <f t="array" ref="BO431">_xlfn.TEXTJOIN("",TRUE,IF(ISERROR(FIND(ROW($1:$10)-1,BM431&amp;BN431)),ROW($1:$10)-1,""))</f>
        <v>123456789</v>
      </c>
      <c r="BP431" s="20" t="str">
        <f t="shared" si="213"/>
        <v>中隔中</v>
      </c>
      <c r="BQ431" s="21" t="str">
        <f t="shared" si="224"/>
        <v/>
      </c>
      <c r="BR431" s="21">
        <f t="shared" si="222"/>
        <v>0</v>
      </c>
      <c r="BS431" s="21" t="str">
        <f t="array" ref="BS431">_xlfn.TEXTJOIN("",TRUE,IF(ISERROR(FIND(ROW($1:$10)-1,BQ431&amp;BR431)),ROW($1:$10)-1,""))</f>
        <v>123456789</v>
      </c>
      <c r="BT431" s="20" t="str">
        <f t="shared" si="214"/>
        <v>中隔中</v>
      </c>
      <c r="BU431" s="22" t="str">
        <f t="shared" si="215"/>
        <v/>
      </c>
      <c r="BV431" s="22">
        <f t="shared" si="223"/>
        <v>0</v>
      </c>
      <c r="BW431" s="22" t="str">
        <f t="array" ref="BW431">_xlfn.TEXTJOIN("",TRUE,IF(ISERROR(FIND(ROW($1:$10)-1,BU431&amp;BV431)),ROW($1:$10)-1,""))</f>
        <v>123456789</v>
      </c>
      <c r="BX431" s="20" t="str">
        <f t="shared" si="216"/>
        <v>中隔中</v>
      </c>
      <c r="BY431" s="23" t="str">
        <f t="shared" si="210"/>
        <v>91</v>
      </c>
      <c r="BZ431" s="24" t="str">
        <f t="array" ref="BZ431">_xlfn.TEXTJOIN("",TRUE,IF(ISNUMBER(FIND(MID(BY430&amp;Q430,ROW($1:$4),1),BY431&amp;Q431)),MID(BY430&amp;Q430,ROW($1:$4),1),""))</f>
        <v/>
      </c>
      <c r="CA431" s="25" t="str">
        <f t="array" ref="CA431">_xlfn.TEXTJOIN("",TRUE,IF(ISERROR(FIND(ROW($1:$10)-1,BY431&amp;BZ431)),ROW($1:$10)-1,""))</f>
        <v>02345678</v>
      </c>
      <c r="CB431" s="26" t="str">
        <f t="shared" si="217"/>
        <v>邻孤孤</v>
      </c>
      <c r="CC431" s="27" t="str">
        <f t="shared" si="218"/>
        <v>91</v>
      </c>
      <c r="CD431" s="27" t="str">
        <f t="array" ref="CD431">_xlfn.TEXTJOIN("",TRUE,IF(ISNUMBER(FIND(MID(CC430&amp;R430,ROW($1:$4),1),CC431&amp;R431)),MID(CC430&amp;R430,ROW($1:$4),1),""))</f>
        <v>09</v>
      </c>
      <c r="CE431" s="27" t="str">
        <f t="array" ref="CE431">_xlfn.TEXTJOIN("",TRUE,IF(ISERROR(FIND(ROW($1:$10)-1,CC431&amp;CD431)),ROW($1:$10)-1,""))</f>
        <v>2345678</v>
      </c>
      <c r="CF431" s="17" t="str">
        <f t="shared" si="219"/>
        <v>邻传孤</v>
      </c>
      <c r="CG431" s="22" t="str">
        <f t="shared" si="220"/>
        <v>91</v>
      </c>
      <c r="CH431" s="22" t="str">
        <f t="array" ref="CH431">_xlfn.TEXTJOIN("",TRUE,IF(ISNUMBER(FIND(MID(CG430&amp;S430,ROW($1:$4),1),CG431&amp;S431)),MID(CG430&amp;S430,ROW($1:$4),1),""))</f>
        <v>1</v>
      </c>
      <c r="CI431" s="22" t="str">
        <f t="array" ref="CI431">_xlfn.TEXTJOIN("",TRUE,IF(ISERROR(FIND(ROW($1:$10)-1,CG431&amp;CH431)),ROW($1:$10)-1,""))</f>
        <v>02345678</v>
      </c>
      <c r="CJ431" s="28" t="str">
        <f t="shared" si="221"/>
        <v>邻传孤</v>
      </c>
    </row>
    <row r="432" spans="1:88">
      <c r="A432" s="32">
        <v>2025207</v>
      </c>
      <c r="B432" s="8" t="s">
        <v>360</v>
      </c>
      <c r="C432" s="49">
        <f t="shared" si="230"/>
        <v>12</v>
      </c>
      <c r="D432" s="50">
        <f t="shared" si="231"/>
        <v>2</v>
      </c>
      <c r="E432" s="51">
        <f t="shared" si="207"/>
        <v>4</v>
      </c>
      <c r="F432" s="52">
        <f>MAX(MID(B432,{1,2,3},1)*1)-MIN(MID(B432,{1,2,3},1)*1)</f>
        <v>3</v>
      </c>
      <c r="G432" s="104">
        <v>0</v>
      </c>
      <c r="H432" s="104">
        <v>1</v>
      </c>
      <c r="I432" s="104">
        <v>2</v>
      </c>
      <c r="J432" s="104">
        <v>3</v>
      </c>
      <c r="K432" s="104">
        <v>4</v>
      </c>
      <c r="L432" s="104">
        <v>5</v>
      </c>
      <c r="M432" s="104">
        <v>6</v>
      </c>
      <c r="N432" s="104">
        <v>7</v>
      </c>
      <c r="O432" s="104">
        <v>8</v>
      </c>
      <c r="P432" s="104">
        <v>9</v>
      </c>
      <c r="Q432" s="53">
        <f t="shared" si="232"/>
        <v>3</v>
      </c>
      <c r="R432" s="53">
        <f t="shared" si="233"/>
        <v>3</v>
      </c>
      <c r="S432" s="53">
        <f t="shared" si="234"/>
        <v>0</v>
      </c>
      <c r="T432" s="101">
        <f t="shared" si="208"/>
        <v>6</v>
      </c>
      <c r="U432" s="15" t="str">
        <f>_xlfn.TEXTJOIN(", ",TRUE,ABS(MID(B432,{1,1,2},1)-MID(B432,{2,3,3},1)))</f>
        <v>3, 3, 0</v>
      </c>
      <c r="V432" s="54">
        <v>0</v>
      </c>
      <c r="W432" s="54">
        <v>1</v>
      </c>
      <c r="X432" s="54">
        <v>2</v>
      </c>
      <c r="Y432" s="54">
        <v>3</v>
      </c>
      <c r="Z432" s="54">
        <v>4</v>
      </c>
      <c r="AA432" s="54">
        <v>5</v>
      </c>
      <c r="AB432" s="54">
        <v>6</v>
      </c>
      <c r="AC432" s="54">
        <v>7</v>
      </c>
      <c r="AD432" s="54">
        <v>8</v>
      </c>
      <c r="AE432" s="54">
        <v>9</v>
      </c>
      <c r="AF432" s="55">
        <v>0</v>
      </c>
      <c r="AG432" s="55">
        <v>1</v>
      </c>
      <c r="AH432" s="55">
        <v>2</v>
      </c>
      <c r="AI432" s="55">
        <v>3</v>
      </c>
      <c r="AJ432" s="55">
        <v>4</v>
      </c>
      <c r="AK432" s="55">
        <v>5</v>
      </c>
      <c r="AL432" s="55">
        <v>6</v>
      </c>
      <c r="AM432" s="55">
        <v>7</v>
      </c>
      <c r="AN432" s="55">
        <v>8</v>
      </c>
      <c r="AO432" s="55">
        <v>9</v>
      </c>
      <c r="AP432" s="105">
        <v>0</v>
      </c>
      <c r="AQ432" s="105">
        <v>1</v>
      </c>
      <c r="AR432" s="105">
        <v>2</v>
      </c>
      <c r="AS432" s="105">
        <v>3</v>
      </c>
      <c r="AT432" s="105">
        <v>4</v>
      </c>
      <c r="AU432" s="105">
        <v>5</v>
      </c>
      <c r="AV432" s="105">
        <v>6</v>
      </c>
      <c r="AW432" s="105">
        <v>7</v>
      </c>
      <c r="AX432" s="105">
        <v>8</v>
      </c>
      <c r="AY432" s="105">
        <v>9</v>
      </c>
      <c r="AZ432" s="56">
        <v>0</v>
      </c>
      <c r="BA432" s="56">
        <v>1</v>
      </c>
      <c r="BB432" s="56">
        <v>2</v>
      </c>
      <c r="BC432" s="56">
        <v>3</v>
      </c>
      <c r="BD432" s="56">
        <v>4</v>
      </c>
      <c r="BE432" s="56">
        <v>5</v>
      </c>
      <c r="BF432" s="56">
        <v>6</v>
      </c>
      <c r="BG432" s="56">
        <v>7</v>
      </c>
      <c r="BH432" s="56">
        <v>8</v>
      </c>
      <c r="BI432" s="56">
        <v>9</v>
      </c>
      <c r="BJ432" s="57" t="str">
        <f t="shared" si="209"/>
        <v>紧凑型</v>
      </c>
      <c r="BK432" s="13">
        <f t="shared" si="205"/>
        <v>0</v>
      </c>
      <c r="BL432" s="13">
        <f t="shared" si="206"/>
        <v>3</v>
      </c>
      <c r="BM432" s="18" t="str">
        <f t="shared" si="211"/>
        <v/>
      </c>
      <c r="BN432" s="19" t="str">
        <f t="shared" si="212"/>
        <v/>
      </c>
      <c r="BO432" s="19" t="str">
        <f t="array" ref="BO432">_xlfn.TEXTJOIN("",TRUE,IF(ISERROR(FIND(ROW($1:$10)-1,BM432&amp;BN432)),ROW($1:$10)-1,""))</f>
        <v>0123456789</v>
      </c>
      <c r="BP432" s="20" t="str">
        <f t="shared" si="213"/>
        <v>中中中</v>
      </c>
      <c r="BQ432" s="21" t="str">
        <f t="shared" si="224"/>
        <v/>
      </c>
      <c r="BR432" s="21" t="str">
        <f t="shared" si="222"/>
        <v/>
      </c>
      <c r="BS432" s="21" t="str">
        <f t="array" ref="BS432">_xlfn.TEXTJOIN("",TRUE,IF(ISERROR(FIND(ROW($1:$10)-1,BQ432&amp;BR432)),ROW($1:$10)-1,""))</f>
        <v>0123456789</v>
      </c>
      <c r="BT432" s="20" t="str">
        <f t="shared" si="214"/>
        <v>中中中</v>
      </c>
      <c r="BU432" s="22">
        <f t="shared" si="215"/>
        <v>0</v>
      </c>
      <c r="BV432" s="22" t="str">
        <f t="shared" si="223"/>
        <v/>
      </c>
      <c r="BW432" s="22" t="str">
        <f t="array" ref="BW432">_xlfn.TEXTJOIN("",TRUE,IF(ISERROR(FIND(ROW($1:$10)-1,BU432&amp;BV432)),ROW($1:$10)-1,""))</f>
        <v>123456789</v>
      </c>
      <c r="BX432" s="20" t="str">
        <f t="shared" si="216"/>
        <v>复中中</v>
      </c>
      <c r="BY432" s="23" t="str">
        <f t="shared" si="210"/>
        <v>24</v>
      </c>
      <c r="BZ432" s="24" t="str">
        <f t="array" ref="BZ432">_xlfn.TEXTJOIN("",TRUE,IF(ISNUMBER(FIND(MID(BY431&amp;Q431,ROW($1:$4),1),BY432&amp;Q432)),MID(BY431&amp;Q431,ROW($1:$4),1),""))</f>
        <v/>
      </c>
      <c r="CA432" s="25" t="str">
        <f t="array" ref="CA432">_xlfn.TEXTJOIN("",TRUE,IF(ISERROR(FIND(ROW($1:$10)-1,BY432&amp;BZ432)),ROW($1:$10)-1,""))</f>
        <v>01356789</v>
      </c>
      <c r="CB432" s="26" t="str">
        <f t="shared" si="217"/>
        <v>邻孤孤</v>
      </c>
      <c r="CC432" s="27" t="str">
        <f t="shared" si="218"/>
        <v>24</v>
      </c>
      <c r="CD432" s="27" t="str">
        <f t="array" ref="CD432">_xlfn.TEXTJOIN("",TRUE,IF(ISNUMBER(FIND(MID(CC431&amp;R431,ROW($1:$4),1),CC432&amp;R432)),MID(CC431&amp;R431,ROW($1:$4),1),""))</f>
        <v/>
      </c>
      <c r="CE432" s="27" t="str">
        <f t="array" ref="CE432">_xlfn.TEXTJOIN("",TRUE,IF(ISERROR(FIND(ROW($1:$10)-1,CC432&amp;CD432)),ROW($1:$10)-1,""))</f>
        <v>01356789</v>
      </c>
      <c r="CF432" s="17" t="str">
        <f t="shared" si="219"/>
        <v>邻孤孤</v>
      </c>
      <c r="CG432" s="22" t="str">
        <f t="shared" si="220"/>
        <v>91</v>
      </c>
      <c r="CH432" s="22" t="str">
        <f t="array" ref="CH432">_xlfn.TEXTJOIN("",TRUE,IF(ISNUMBER(FIND(MID(CG431&amp;S431,ROW($1:$4),1),CG432&amp;S432)),MID(CG431&amp;S431,ROW($1:$4),1),""))</f>
        <v>910</v>
      </c>
      <c r="CI432" s="22" t="str">
        <f t="array" ref="CI432">_xlfn.TEXTJOIN("",TRUE,IF(ISERROR(FIND(ROW($1:$10)-1,CG432&amp;CH432)),ROW($1:$10)-1,""))</f>
        <v>2345678</v>
      </c>
      <c r="CJ432" s="28" t="str">
        <f t="shared" si="221"/>
        <v>邻传孤</v>
      </c>
    </row>
    <row r="433" spans="1:88">
      <c r="A433" s="32">
        <v>2025208</v>
      </c>
      <c r="B433" s="8" t="s">
        <v>361</v>
      </c>
      <c r="C433" s="49">
        <f t="shared" si="230"/>
        <v>9</v>
      </c>
      <c r="D433" s="50">
        <f t="shared" si="231"/>
        <v>9</v>
      </c>
      <c r="E433" s="51">
        <f t="shared" si="207"/>
        <v>3</v>
      </c>
      <c r="F433" s="52">
        <f>MAX(MID(B433,{1,2,3},1)*1)-MIN(MID(B433,{1,2,3},1)*1)</f>
        <v>2</v>
      </c>
      <c r="G433" s="104">
        <v>0</v>
      </c>
      <c r="H433" s="104">
        <v>1</v>
      </c>
      <c r="I433" s="104">
        <v>2</v>
      </c>
      <c r="J433" s="104">
        <v>3</v>
      </c>
      <c r="K433" s="104">
        <v>4</v>
      </c>
      <c r="L433" s="104">
        <v>5</v>
      </c>
      <c r="M433" s="104">
        <v>6</v>
      </c>
      <c r="N433" s="104">
        <v>7</v>
      </c>
      <c r="O433" s="104">
        <v>8</v>
      </c>
      <c r="P433" s="104">
        <v>9</v>
      </c>
      <c r="Q433" s="53">
        <f t="shared" si="232"/>
        <v>1</v>
      </c>
      <c r="R433" s="53">
        <f t="shared" si="233"/>
        <v>2</v>
      </c>
      <c r="S433" s="53">
        <f t="shared" si="234"/>
        <v>1</v>
      </c>
      <c r="T433" s="101">
        <f t="shared" si="208"/>
        <v>4</v>
      </c>
      <c r="U433" s="15" t="str">
        <f>_xlfn.TEXTJOIN(", ",TRUE,ABS(MID(B433,{1,1,2},1)-MID(B433,{2,3,3},1)))</f>
        <v>1, 2, 1</v>
      </c>
      <c r="V433" s="54">
        <v>0</v>
      </c>
      <c r="W433" s="54">
        <v>1</v>
      </c>
      <c r="X433" s="54">
        <v>2</v>
      </c>
      <c r="Y433" s="54">
        <v>3</v>
      </c>
      <c r="Z433" s="54">
        <v>4</v>
      </c>
      <c r="AA433" s="54">
        <v>5</v>
      </c>
      <c r="AB433" s="54">
        <v>6</v>
      </c>
      <c r="AC433" s="54">
        <v>7</v>
      </c>
      <c r="AD433" s="54">
        <v>8</v>
      </c>
      <c r="AE433" s="54">
        <v>9</v>
      </c>
      <c r="AF433" s="55">
        <v>0</v>
      </c>
      <c r="AG433" s="55">
        <v>1</v>
      </c>
      <c r="AH433" s="55">
        <v>2</v>
      </c>
      <c r="AI433" s="55">
        <v>3</v>
      </c>
      <c r="AJ433" s="55">
        <v>4</v>
      </c>
      <c r="AK433" s="55">
        <v>5</v>
      </c>
      <c r="AL433" s="55">
        <v>6</v>
      </c>
      <c r="AM433" s="55">
        <v>7</v>
      </c>
      <c r="AN433" s="55">
        <v>8</v>
      </c>
      <c r="AO433" s="55">
        <v>9</v>
      </c>
      <c r="AP433" s="105">
        <v>0</v>
      </c>
      <c r="AQ433" s="105">
        <v>1</v>
      </c>
      <c r="AR433" s="105">
        <v>2</v>
      </c>
      <c r="AS433" s="105">
        <v>3</v>
      </c>
      <c r="AT433" s="105">
        <v>4</v>
      </c>
      <c r="AU433" s="105">
        <v>5</v>
      </c>
      <c r="AV433" s="105">
        <v>6</v>
      </c>
      <c r="AW433" s="105">
        <v>7</v>
      </c>
      <c r="AX433" s="105">
        <v>8</v>
      </c>
      <c r="AY433" s="105">
        <v>9</v>
      </c>
      <c r="AZ433" s="56">
        <v>0</v>
      </c>
      <c r="BA433" s="56">
        <v>1</v>
      </c>
      <c r="BB433" s="56">
        <v>2</v>
      </c>
      <c r="BC433" s="56">
        <v>3</v>
      </c>
      <c r="BD433" s="56">
        <v>4</v>
      </c>
      <c r="BE433" s="56">
        <v>5</v>
      </c>
      <c r="BF433" s="56">
        <v>6</v>
      </c>
      <c r="BG433" s="56">
        <v>7</v>
      </c>
      <c r="BH433" s="56">
        <v>8</v>
      </c>
      <c r="BI433" s="56">
        <v>9</v>
      </c>
      <c r="BJ433" s="57" t="str">
        <f t="shared" si="209"/>
        <v>紧凑型</v>
      </c>
      <c r="BK433" s="13">
        <f t="shared" si="205"/>
        <v>1</v>
      </c>
      <c r="BL433" s="13">
        <f t="shared" si="206"/>
        <v>2</v>
      </c>
      <c r="BM433" s="18" t="str">
        <f t="shared" si="211"/>
        <v/>
      </c>
      <c r="BN433" s="19" t="str">
        <f t="shared" si="212"/>
        <v/>
      </c>
      <c r="BO433" s="19" t="str">
        <f t="array" ref="BO433">_xlfn.TEXTJOIN("",TRUE,IF(ISERROR(FIND(ROW($1:$10)-1,BM433&amp;BN433)),ROW($1:$10)-1,""))</f>
        <v>0123456789</v>
      </c>
      <c r="BP433" s="20" t="str">
        <f t="shared" si="213"/>
        <v>中中中</v>
      </c>
      <c r="BQ433" s="21" t="str">
        <f t="shared" si="224"/>
        <v/>
      </c>
      <c r="BR433" s="21" t="str">
        <f t="shared" si="222"/>
        <v/>
      </c>
      <c r="BS433" s="21" t="str">
        <f t="array" ref="BS433">_xlfn.TEXTJOIN("",TRUE,IF(ISERROR(FIND(ROW($1:$10)-1,BQ433&amp;BR433)),ROW($1:$10)-1,""))</f>
        <v>0123456789</v>
      </c>
      <c r="BT433" s="20" t="str">
        <f t="shared" si="214"/>
        <v>中中中</v>
      </c>
      <c r="BU433" s="22" t="str">
        <f t="shared" si="215"/>
        <v/>
      </c>
      <c r="BV433" s="22" t="str">
        <f t="shared" si="223"/>
        <v/>
      </c>
      <c r="BW433" s="22" t="str">
        <f t="array" ref="BW433">_xlfn.TEXTJOIN("",TRUE,IF(ISERROR(FIND(ROW($1:$10)-1,BU433&amp;BV433)),ROW($1:$10)-1,""))</f>
        <v>0123456789</v>
      </c>
      <c r="BX433" s="20" t="str">
        <f t="shared" si="216"/>
        <v>中中中</v>
      </c>
      <c r="BY433" s="23" t="str">
        <f t="shared" si="210"/>
        <v>02</v>
      </c>
      <c r="BZ433" s="24" t="str">
        <f t="array" ref="BZ433">_xlfn.TEXTJOIN("",TRUE,IF(ISNUMBER(FIND(MID(BY432&amp;Q432,ROW($1:$4),1),BY433&amp;Q433)),MID(BY432&amp;Q432,ROW($1:$4),1),""))</f>
        <v>2</v>
      </c>
      <c r="CA433" s="25" t="str">
        <f t="array" ref="CA433">_xlfn.TEXTJOIN("",TRUE,IF(ISERROR(FIND(ROW($1:$10)-1,BY433&amp;BZ433)),ROW($1:$10)-1,""))</f>
        <v>13456789</v>
      </c>
      <c r="CB433" s="26" t="str">
        <f t="shared" si="217"/>
        <v>邻传孤</v>
      </c>
      <c r="CC433" s="27" t="str">
        <f t="shared" si="218"/>
        <v>13</v>
      </c>
      <c r="CD433" s="27" t="str">
        <f t="array" ref="CD433">_xlfn.TEXTJOIN("",TRUE,IF(ISNUMBER(FIND(MID(CC432&amp;R432,ROW($1:$4),1),CC433&amp;R433)),MID(CC432&amp;R432,ROW($1:$4),1),""))</f>
        <v>23</v>
      </c>
      <c r="CE433" s="27" t="str">
        <f t="array" ref="CE433">_xlfn.TEXTJOIN("",TRUE,IF(ISERROR(FIND(ROW($1:$10)-1,CC433&amp;CD433)),ROW($1:$10)-1,""))</f>
        <v>0456789</v>
      </c>
      <c r="CF433" s="17" t="str">
        <f t="shared" si="219"/>
        <v>邻传孤</v>
      </c>
      <c r="CG433" s="22" t="str">
        <f t="shared" si="220"/>
        <v>02</v>
      </c>
      <c r="CH433" s="22" t="str">
        <f t="array" ref="CH433">_xlfn.TEXTJOIN("",TRUE,IF(ISNUMBER(FIND(MID(CG432&amp;S432,ROW($1:$4),1),CG433&amp;S433)),MID(CG432&amp;S432,ROW($1:$4),1),""))</f>
        <v>10</v>
      </c>
      <c r="CI433" s="22" t="str">
        <f t="array" ref="CI433">_xlfn.TEXTJOIN("",TRUE,IF(ISERROR(FIND(ROW($1:$10)-1,CG433&amp;CH433)),ROW($1:$10)-1,""))</f>
        <v>3456789</v>
      </c>
      <c r="CJ433" s="28" t="str">
        <f t="shared" si="221"/>
        <v>邻传孤</v>
      </c>
    </row>
    <row r="434" spans="1:88">
      <c r="A434" s="32">
        <v>2025209</v>
      </c>
      <c r="B434" s="8" t="s">
        <v>362</v>
      </c>
      <c r="C434" s="49">
        <f t="shared" si="230"/>
        <v>18</v>
      </c>
      <c r="D434" s="50">
        <f t="shared" si="231"/>
        <v>8</v>
      </c>
      <c r="E434" s="51">
        <f t="shared" si="207"/>
        <v>6</v>
      </c>
      <c r="F434" s="52">
        <f>MAX(MID(B434,{1,2,3},1)*1)-MIN(MID(B434,{1,2,3},1)*1)</f>
        <v>5</v>
      </c>
      <c r="G434" s="104">
        <v>0</v>
      </c>
      <c r="H434" s="104">
        <v>1</v>
      </c>
      <c r="I434" s="104">
        <v>2</v>
      </c>
      <c r="J434" s="104">
        <v>3</v>
      </c>
      <c r="K434" s="104">
        <v>4</v>
      </c>
      <c r="L434" s="104">
        <v>5</v>
      </c>
      <c r="M434" s="104">
        <v>6</v>
      </c>
      <c r="N434" s="104">
        <v>7</v>
      </c>
      <c r="O434" s="104">
        <v>8</v>
      </c>
      <c r="P434" s="104">
        <v>9</v>
      </c>
      <c r="Q434" s="53">
        <f t="shared" si="232"/>
        <v>5</v>
      </c>
      <c r="R434" s="53">
        <f t="shared" si="233"/>
        <v>4</v>
      </c>
      <c r="S434" s="53">
        <f t="shared" si="234"/>
        <v>1</v>
      </c>
      <c r="T434" s="101">
        <f t="shared" si="208"/>
        <v>10</v>
      </c>
      <c r="U434" s="15" t="str">
        <f>_xlfn.TEXTJOIN(", ",TRUE,ABS(MID(B434,{1,1,2},1)-MID(B434,{2,3,3},1)))</f>
        <v>5, 4, 1</v>
      </c>
      <c r="V434" s="54">
        <v>0</v>
      </c>
      <c r="W434" s="54">
        <v>1</v>
      </c>
      <c r="X434" s="54">
        <v>2</v>
      </c>
      <c r="Y434" s="54">
        <v>3</v>
      </c>
      <c r="Z434" s="54">
        <v>4</v>
      </c>
      <c r="AA434" s="54">
        <v>5</v>
      </c>
      <c r="AB434" s="54">
        <v>6</v>
      </c>
      <c r="AC434" s="54">
        <v>7</v>
      </c>
      <c r="AD434" s="54">
        <v>8</v>
      </c>
      <c r="AE434" s="54">
        <v>9</v>
      </c>
      <c r="AF434" s="55">
        <v>0</v>
      </c>
      <c r="AG434" s="55">
        <v>1</v>
      </c>
      <c r="AH434" s="55">
        <v>2</v>
      </c>
      <c r="AI434" s="55">
        <v>3</v>
      </c>
      <c r="AJ434" s="55">
        <v>4</v>
      </c>
      <c r="AK434" s="55">
        <v>5</v>
      </c>
      <c r="AL434" s="55">
        <v>6</v>
      </c>
      <c r="AM434" s="55">
        <v>7</v>
      </c>
      <c r="AN434" s="55">
        <v>8</v>
      </c>
      <c r="AO434" s="55">
        <v>9</v>
      </c>
      <c r="AP434" s="105">
        <v>0</v>
      </c>
      <c r="AQ434" s="105">
        <v>1</v>
      </c>
      <c r="AR434" s="105">
        <v>2</v>
      </c>
      <c r="AS434" s="105">
        <v>3</v>
      </c>
      <c r="AT434" s="105">
        <v>4</v>
      </c>
      <c r="AU434" s="105">
        <v>5</v>
      </c>
      <c r="AV434" s="105">
        <v>6</v>
      </c>
      <c r="AW434" s="105">
        <v>7</v>
      </c>
      <c r="AX434" s="105">
        <v>8</v>
      </c>
      <c r="AY434" s="105">
        <v>9</v>
      </c>
      <c r="AZ434" s="56">
        <v>0</v>
      </c>
      <c r="BA434" s="56">
        <v>1</v>
      </c>
      <c r="BB434" s="56">
        <v>2</v>
      </c>
      <c r="BC434" s="56">
        <v>3</v>
      </c>
      <c r="BD434" s="56">
        <v>4</v>
      </c>
      <c r="BE434" s="56">
        <v>5</v>
      </c>
      <c r="BF434" s="56">
        <v>6</v>
      </c>
      <c r="BG434" s="56">
        <v>7</v>
      </c>
      <c r="BH434" s="56">
        <v>8</v>
      </c>
      <c r="BI434" s="56">
        <v>9</v>
      </c>
      <c r="BJ434" s="57" t="str">
        <f t="shared" si="209"/>
        <v>标准型</v>
      </c>
      <c r="BK434" s="13">
        <f t="shared" si="205"/>
        <v>1</v>
      </c>
      <c r="BL434" s="13">
        <f t="shared" si="206"/>
        <v>5</v>
      </c>
      <c r="BM434" s="18" t="str">
        <f t="shared" si="211"/>
        <v/>
      </c>
      <c r="BN434" s="19" t="str">
        <f t="shared" si="212"/>
        <v/>
      </c>
      <c r="BO434" s="19" t="str">
        <f t="array" ref="BO434">_xlfn.TEXTJOIN("",TRUE,IF(ISERROR(FIND(ROW($1:$10)-1,BM434&amp;BN434)),ROW($1:$10)-1,""))</f>
        <v>0123456789</v>
      </c>
      <c r="BP434" s="20" t="str">
        <f t="shared" si="213"/>
        <v>中中中</v>
      </c>
      <c r="BQ434" s="21" t="str">
        <f t="shared" si="224"/>
        <v/>
      </c>
      <c r="BR434" s="21" t="str">
        <f t="shared" si="222"/>
        <v/>
      </c>
      <c r="BS434" s="21" t="str">
        <f t="array" ref="BS434">_xlfn.TEXTJOIN("",TRUE,IF(ISERROR(FIND(ROW($1:$10)-1,BQ434&amp;BR434)),ROW($1:$10)-1,""))</f>
        <v>0123456789</v>
      </c>
      <c r="BT434" s="20" t="str">
        <f t="shared" si="214"/>
        <v>中中中</v>
      </c>
      <c r="BU434" s="22">
        <f t="shared" si="215"/>
        <v>1</v>
      </c>
      <c r="BV434" s="22" t="str">
        <f t="shared" si="223"/>
        <v/>
      </c>
      <c r="BW434" s="22" t="str">
        <f t="array" ref="BW434">_xlfn.TEXTJOIN("",TRUE,IF(ISERROR(FIND(ROW($1:$10)-1,BU434&amp;BV434)),ROW($1:$10)-1,""))</f>
        <v>023456789</v>
      </c>
      <c r="BX434" s="20" t="str">
        <f t="shared" si="216"/>
        <v>复中中</v>
      </c>
      <c r="BY434" s="23" t="str">
        <f t="shared" si="210"/>
        <v>46</v>
      </c>
      <c r="BZ434" s="24" t="str">
        <f t="array" ref="BZ434">_xlfn.TEXTJOIN("",TRUE,IF(ISNUMBER(FIND(MID(BY433&amp;Q433,ROW($1:$4),1),BY434&amp;Q434)),MID(BY433&amp;Q433,ROW($1:$4),1),""))</f>
        <v/>
      </c>
      <c r="CA434" s="25" t="str">
        <f t="array" ref="CA434">_xlfn.TEXTJOIN("",TRUE,IF(ISERROR(FIND(ROW($1:$10)-1,BY434&amp;BZ434)),ROW($1:$10)-1,""))</f>
        <v>01235789</v>
      </c>
      <c r="CB434" s="26" t="str">
        <f t="shared" si="217"/>
        <v>邻孤孤</v>
      </c>
      <c r="CC434" s="27" t="str">
        <f t="shared" si="218"/>
        <v>35</v>
      </c>
      <c r="CD434" s="27" t="str">
        <f t="array" ref="CD434">_xlfn.TEXTJOIN("",TRUE,IF(ISNUMBER(FIND(MID(CC433&amp;R433,ROW($1:$4),1),CC434&amp;R434)),MID(CC433&amp;R433,ROW($1:$4),1),""))</f>
        <v>3</v>
      </c>
      <c r="CE434" s="27" t="str">
        <f t="array" ref="CE434">_xlfn.TEXTJOIN("",TRUE,IF(ISERROR(FIND(ROW($1:$10)-1,CC434&amp;CD434)),ROW($1:$10)-1,""))</f>
        <v>01246789</v>
      </c>
      <c r="CF434" s="17" t="str">
        <f t="shared" si="219"/>
        <v>邻传孤</v>
      </c>
      <c r="CG434" s="22" t="str">
        <f t="shared" si="220"/>
        <v>02</v>
      </c>
      <c r="CH434" s="22" t="str">
        <f t="array" ref="CH434">_xlfn.TEXTJOIN("",TRUE,IF(ISNUMBER(FIND(MID(CG433&amp;S433,ROW($1:$4),1),CG434&amp;S434)),MID(CG433&amp;S433,ROW($1:$4),1),""))</f>
        <v>021</v>
      </c>
      <c r="CI434" s="22" t="str">
        <f t="array" ref="CI434">_xlfn.TEXTJOIN("",TRUE,IF(ISERROR(FIND(ROW($1:$10)-1,CG434&amp;CH434)),ROW($1:$10)-1,""))</f>
        <v>3456789</v>
      </c>
      <c r="CJ434" s="28" t="str">
        <f t="shared" si="221"/>
        <v>邻传孤</v>
      </c>
    </row>
    <row r="435" spans="1:88">
      <c r="A435" s="32">
        <v>2025210</v>
      </c>
      <c r="B435" s="8" t="s">
        <v>363</v>
      </c>
      <c r="C435" s="49">
        <f t="shared" si="230"/>
        <v>7</v>
      </c>
      <c r="D435" s="50">
        <f t="shared" si="231"/>
        <v>7</v>
      </c>
      <c r="E435" s="51">
        <f t="shared" si="207"/>
        <v>2.3333333333333299</v>
      </c>
      <c r="F435" s="52">
        <f>MAX(MID(B435,{1,2,3},1)*1)-MIN(MID(B435,{1,2,3},1)*1)</f>
        <v>5</v>
      </c>
      <c r="G435" s="104">
        <v>0</v>
      </c>
      <c r="H435" s="104">
        <v>1</v>
      </c>
      <c r="I435" s="104">
        <v>2</v>
      </c>
      <c r="J435" s="104">
        <v>3</v>
      </c>
      <c r="K435" s="104">
        <v>4</v>
      </c>
      <c r="L435" s="104">
        <v>5</v>
      </c>
      <c r="M435" s="104">
        <v>6</v>
      </c>
      <c r="N435" s="104">
        <v>7</v>
      </c>
      <c r="O435" s="104">
        <v>8</v>
      </c>
      <c r="P435" s="104">
        <v>9</v>
      </c>
      <c r="Q435" s="53">
        <f t="shared" si="232"/>
        <v>3</v>
      </c>
      <c r="R435" s="53">
        <f t="shared" si="233"/>
        <v>5</v>
      </c>
      <c r="S435" s="53">
        <f t="shared" si="234"/>
        <v>2</v>
      </c>
      <c r="T435" s="101">
        <f t="shared" si="208"/>
        <v>10</v>
      </c>
      <c r="U435" s="15" t="str">
        <f>_xlfn.TEXTJOIN(", ",TRUE,ABS(MID(B435,{1,1,2},1)-MID(B435,{2,3,3},1)))</f>
        <v>3, 5, 2</v>
      </c>
      <c r="V435" s="54">
        <v>0</v>
      </c>
      <c r="W435" s="54">
        <v>1</v>
      </c>
      <c r="X435" s="54">
        <v>2</v>
      </c>
      <c r="Y435" s="54">
        <v>3</v>
      </c>
      <c r="Z435" s="54">
        <v>4</v>
      </c>
      <c r="AA435" s="54">
        <v>5</v>
      </c>
      <c r="AB435" s="54">
        <v>6</v>
      </c>
      <c r="AC435" s="54">
        <v>7</v>
      </c>
      <c r="AD435" s="54">
        <v>8</v>
      </c>
      <c r="AE435" s="54">
        <v>9</v>
      </c>
      <c r="AF435" s="55">
        <v>0</v>
      </c>
      <c r="AG435" s="55">
        <v>1</v>
      </c>
      <c r="AH435" s="55">
        <v>2</v>
      </c>
      <c r="AI435" s="55">
        <v>3</v>
      </c>
      <c r="AJ435" s="55">
        <v>4</v>
      </c>
      <c r="AK435" s="55">
        <v>5</v>
      </c>
      <c r="AL435" s="55">
        <v>6</v>
      </c>
      <c r="AM435" s="55">
        <v>7</v>
      </c>
      <c r="AN435" s="55">
        <v>8</v>
      </c>
      <c r="AO435" s="55">
        <v>9</v>
      </c>
      <c r="AP435" s="105">
        <v>0</v>
      </c>
      <c r="AQ435" s="105">
        <v>1</v>
      </c>
      <c r="AR435" s="105">
        <v>2</v>
      </c>
      <c r="AS435" s="105">
        <v>3</v>
      </c>
      <c r="AT435" s="105">
        <v>4</v>
      </c>
      <c r="AU435" s="105">
        <v>5</v>
      </c>
      <c r="AV435" s="105">
        <v>6</v>
      </c>
      <c r="AW435" s="105">
        <v>7</v>
      </c>
      <c r="AX435" s="105">
        <v>8</v>
      </c>
      <c r="AY435" s="105">
        <v>9</v>
      </c>
      <c r="AZ435" s="56">
        <v>0</v>
      </c>
      <c r="BA435" s="56">
        <v>1</v>
      </c>
      <c r="BB435" s="56">
        <v>2</v>
      </c>
      <c r="BC435" s="56">
        <v>3</v>
      </c>
      <c r="BD435" s="56">
        <v>4</v>
      </c>
      <c r="BE435" s="56">
        <v>5</v>
      </c>
      <c r="BF435" s="56">
        <v>6</v>
      </c>
      <c r="BG435" s="56">
        <v>7</v>
      </c>
      <c r="BH435" s="56">
        <v>8</v>
      </c>
      <c r="BI435" s="56">
        <v>9</v>
      </c>
      <c r="BJ435" s="57" t="str">
        <f t="shared" si="209"/>
        <v>标准型</v>
      </c>
      <c r="BK435" s="13">
        <f t="shared" si="205"/>
        <v>2</v>
      </c>
      <c r="BL435" s="13">
        <f t="shared" si="206"/>
        <v>5</v>
      </c>
      <c r="BM435" s="18" t="str">
        <f t="shared" si="211"/>
        <v/>
      </c>
      <c r="BN435" s="19" t="str">
        <f t="shared" si="212"/>
        <v/>
      </c>
      <c r="BO435" s="19" t="str">
        <f t="array" ref="BO435">_xlfn.TEXTJOIN("",TRUE,IF(ISERROR(FIND(ROW($1:$10)-1,BM435&amp;BN435)),ROW($1:$10)-1,""))</f>
        <v>0123456789</v>
      </c>
      <c r="BP435" s="20" t="str">
        <f t="shared" si="213"/>
        <v>中中中</v>
      </c>
      <c r="BQ435" s="21">
        <f t="shared" si="224"/>
        <v>5</v>
      </c>
      <c r="BR435" s="21" t="str">
        <f t="shared" si="222"/>
        <v/>
      </c>
      <c r="BS435" s="21" t="str">
        <f t="array" ref="BS435">_xlfn.TEXTJOIN("",TRUE,IF(ISERROR(FIND(ROW($1:$10)-1,BQ435&amp;BR435)),ROW($1:$10)-1,""))</f>
        <v>012346789</v>
      </c>
      <c r="BT435" s="20" t="str">
        <f t="shared" si="214"/>
        <v>复中中</v>
      </c>
      <c r="BU435" s="22" t="str">
        <f t="shared" si="215"/>
        <v/>
      </c>
      <c r="BV435" s="22">
        <f t="shared" si="223"/>
        <v>2</v>
      </c>
      <c r="BW435" s="22" t="str">
        <f t="array" ref="BW435">_xlfn.TEXTJOIN("",TRUE,IF(ISERROR(FIND(ROW($1:$10)-1,BU435&amp;BV435)),ROW($1:$10)-1,""))</f>
        <v>013456789</v>
      </c>
      <c r="BX435" s="20" t="str">
        <f t="shared" si="216"/>
        <v>中隔中</v>
      </c>
      <c r="BY435" s="23" t="str">
        <f t="shared" si="210"/>
        <v>24</v>
      </c>
      <c r="BZ435" s="24" t="str">
        <f t="array" ref="BZ435">_xlfn.TEXTJOIN("",TRUE,IF(ISNUMBER(FIND(MID(BY434&amp;Q434,ROW($1:$4),1),BY435&amp;Q435)),MID(BY434&amp;Q434,ROW($1:$4),1),""))</f>
        <v>4</v>
      </c>
      <c r="CA435" s="25" t="str">
        <f t="array" ref="CA435">_xlfn.TEXTJOIN("",TRUE,IF(ISERROR(FIND(ROW($1:$10)-1,BY435&amp;BZ435)),ROW($1:$10)-1,""))</f>
        <v>01356789</v>
      </c>
      <c r="CB435" s="26" t="str">
        <f t="shared" si="217"/>
        <v>邻传孤</v>
      </c>
      <c r="CC435" s="27" t="str">
        <f t="shared" si="218"/>
        <v>46</v>
      </c>
      <c r="CD435" s="27" t="str">
        <f t="array" ref="CD435">_xlfn.TEXTJOIN("",TRUE,IF(ISNUMBER(FIND(MID(CC434&amp;R434,ROW($1:$4),1),CC435&amp;R435)),MID(CC434&amp;R434,ROW($1:$4),1),""))</f>
        <v>54</v>
      </c>
      <c r="CE435" s="27" t="str">
        <f t="array" ref="CE435">_xlfn.TEXTJOIN("",TRUE,IF(ISERROR(FIND(ROW($1:$10)-1,CC435&amp;CD435)),ROW($1:$10)-1,""))</f>
        <v>0123789</v>
      </c>
      <c r="CF435" s="17" t="str">
        <f t="shared" si="219"/>
        <v>邻传孤</v>
      </c>
      <c r="CG435" s="22" t="str">
        <f t="shared" si="220"/>
        <v>13</v>
      </c>
      <c r="CH435" s="22" t="str">
        <f t="array" ref="CH435">_xlfn.TEXTJOIN("",TRUE,IF(ISNUMBER(FIND(MID(CG434&amp;S434,ROW($1:$4),1),CG435&amp;S435)),MID(CG434&amp;S434,ROW($1:$4),1),""))</f>
        <v>21</v>
      </c>
      <c r="CI435" s="22" t="str">
        <f t="array" ref="CI435">_xlfn.TEXTJOIN("",TRUE,IF(ISERROR(FIND(ROW($1:$10)-1,CG435&amp;CH435)),ROW($1:$10)-1,""))</f>
        <v>0456789</v>
      </c>
      <c r="CJ435" s="28" t="str">
        <f t="shared" si="221"/>
        <v>邻传孤</v>
      </c>
    </row>
    <row r="436" spans="1:88">
      <c r="A436" s="32">
        <v>2025211</v>
      </c>
      <c r="B436" s="8" t="s">
        <v>322</v>
      </c>
      <c r="C436" s="49">
        <f t="shared" si="230"/>
        <v>24</v>
      </c>
      <c r="D436" s="50">
        <f t="shared" si="231"/>
        <v>4</v>
      </c>
      <c r="E436" s="51">
        <f t="shared" si="207"/>
        <v>8</v>
      </c>
      <c r="F436" s="52">
        <f>MAX(MID(B436,{1,2,3},1)*1)-MIN(MID(B436,{1,2,3},1)*1)</f>
        <v>2</v>
      </c>
      <c r="G436" s="104">
        <v>0</v>
      </c>
      <c r="H436" s="104">
        <v>1</v>
      </c>
      <c r="I436" s="104">
        <v>2</v>
      </c>
      <c r="J436" s="104">
        <v>3</v>
      </c>
      <c r="K436" s="104">
        <v>4</v>
      </c>
      <c r="L436" s="104">
        <v>5</v>
      </c>
      <c r="M436" s="104">
        <v>6</v>
      </c>
      <c r="N436" s="104">
        <v>7</v>
      </c>
      <c r="O436" s="104">
        <v>8</v>
      </c>
      <c r="P436" s="104">
        <v>9</v>
      </c>
      <c r="Q436" s="53">
        <f t="shared" si="232"/>
        <v>1</v>
      </c>
      <c r="R436" s="53">
        <f t="shared" si="233"/>
        <v>1</v>
      </c>
      <c r="S436" s="53">
        <f t="shared" si="234"/>
        <v>2</v>
      </c>
      <c r="T436" s="101">
        <f t="shared" si="208"/>
        <v>4</v>
      </c>
      <c r="U436" s="15" t="str">
        <f>_xlfn.TEXTJOIN(", ",TRUE,ABS(MID(B436,{1,1,2},1)-MID(B436,{2,3,3},1)))</f>
        <v>1, 1, 2</v>
      </c>
      <c r="V436" s="54">
        <v>0</v>
      </c>
      <c r="W436" s="54">
        <v>1</v>
      </c>
      <c r="X436" s="54">
        <v>2</v>
      </c>
      <c r="Y436" s="54">
        <v>3</v>
      </c>
      <c r="Z436" s="54">
        <v>4</v>
      </c>
      <c r="AA436" s="54">
        <v>5</v>
      </c>
      <c r="AB436" s="54">
        <v>6</v>
      </c>
      <c r="AC436" s="54">
        <v>7</v>
      </c>
      <c r="AD436" s="54">
        <v>8</v>
      </c>
      <c r="AE436" s="54">
        <v>9</v>
      </c>
      <c r="AF436" s="55">
        <v>0</v>
      </c>
      <c r="AG436" s="55">
        <v>1</v>
      </c>
      <c r="AH436" s="55">
        <v>2</v>
      </c>
      <c r="AI436" s="55">
        <v>3</v>
      </c>
      <c r="AJ436" s="55">
        <v>4</v>
      </c>
      <c r="AK436" s="55">
        <v>5</v>
      </c>
      <c r="AL436" s="55">
        <v>6</v>
      </c>
      <c r="AM436" s="55">
        <v>7</v>
      </c>
      <c r="AN436" s="55">
        <v>8</v>
      </c>
      <c r="AO436" s="55">
        <v>9</v>
      </c>
      <c r="AP436" s="105">
        <v>0</v>
      </c>
      <c r="AQ436" s="105">
        <v>1</v>
      </c>
      <c r="AR436" s="105">
        <v>2</v>
      </c>
      <c r="AS436" s="105">
        <v>3</v>
      </c>
      <c r="AT436" s="105">
        <v>4</v>
      </c>
      <c r="AU436" s="105">
        <v>5</v>
      </c>
      <c r="AV436" s="105">
        <v>6</v>
      </c>
      <c r="AW436" s="105">
        <v>7</v>
      </c>
      <c r="AX436" s="105">
        <v>8</v>
      </c>
      <c r="AY436" s="105">
        <v>9</v>
      </c>
      <c r="AZ436" s="56">
        <v>0</v>
      </c>
      <c r="BA436" s="56">
        <v>1</v>
      </c>
      <c r="BB436" s="56">
        <v>2</v>
      </c>
      <c r="BC436" s="56">
        <v>3</v>
      </c>
      <c r="BD436" s="56">
        <v>4</v>
      </c>
      <c r="BE436" s="56">
        <v>5</v>
      </c>
      <c r="BF436" s="56">
        <v>6</v>
      </c>
      <c r="BG436" s="56">
        <v>7</v>
      </c>
      <c r="BH436" s="56">
        <v>8</v>
      </c>
      <c r="BI436" s="56">
        <v>9</v>
      </c>
      <c r="BJ436" s="57" t="str">
        <f t="shared" si="209"/>
        <v>紧凑型</v>
      </c>
      <c r="BK436" s="13">
        <f t="shared" si="205"/>
        <v>1</v>
      </c>
      <c r="BL436" s="13">
        <f t="shared" si="206"/>
        <v>2</v>
      </c>
      <c r="BM436" s="18" t="str">
        <f t="shared" si="211"/>
        <v/>
      </c>
      <c r="BN436" s="19">
        <f t="shared" si="212"/>
        <v>1</v>
      </c>
      <c r="BO436" s="19" t="str">
        <f t="array" ref="BO436">_xlfn.TEXTJOIN("",TRUE,IF(ISERROR(FIND(ROW($1:$10)-1,BM436&amp;BN436)),ROW($1:$10)-1,""))</f>
        <v>023456789</v>
      </c>
      <c r="BP436" s="20" t="str">
        <f t="shared" si="213"/>
        <v>中隔中</v>
      </c>
      <c r="BQ436" s="21" t="str">
        <f t="shared" si="224"/>
        <v/>
      </c>
      <c r="BR436" s="21">
        <f t="shared" si="222"/>
        <v>1</v>
      </c>
      <c r="BS436" s="21" t="str">
        <f t="array" ref="BS436">_xlfn.TEXTJOIN("",TRUE,IF(ISERROR(FIND(ROW($1:$10)-1,BQ436&amp;BR436)),ROW($1:$10)-1,""))</f>
        <v>023456789</v>
      </c>
      <c r="BT436" s="20" t="str">
        <f t="shared" si="214"/>
        <v>中隔中</v>
      </c>
      <c r="BU436" s="22">
        <f t="shared" si="215"/>
        <v>2</v>
      </c>
      <c r="BV436" s="22" t="str">
        <f t="shared" si="223"/>
        <v/>
      </c>
      <c r="BW436" s="22" t="str">
        <f t="array" ref="BW436">_xlfn.TEXTJOIN("",TRUE,IF(ISERROR(FIND(ROW($1:$10)-1,BU436&amp;BV436)),ROW($1:$10)-1,""))</f>
        <v>013456789</v>
      </c>
      <c r="BX436" s="20" t="str">
        <f t="shared" si="216"/>
        <v>复中中</v>
      </c>
      <c r="BY436" s="23" t="str">
        <f t="shared" si="210"/>
        <v>02</v>
      </c>
      <c r="BZ436" s="24" t="str">
        <f t="array" ref="BZ436">_xlfn.TEXTJOIN("",TRUE,IF(ISNUMBER(FIND(MID(BY435&amp;Q435,ROW($1:$4),1),BY436&amp;Q436)),MID(BY435&amp;Q435,ROW($1:$4),1),""))</f>
        <v>2</v>
      </c>
      <c r="CA436" s="25" t="str">
        <f t="array" ref="CA436">_xlfn.TEXTJOIN("",TRUE,IF(ISERROR(FIND(ROW($1:$10)-1,BY436&amp;BZ436)),ROW($1:$10)-1,""))</f>
        <v>13456789</v>
      </c>
      <c r="CB436" s="26" t="str">
        <f t="shared" si="217"/>
        <v>邻传孤</v>
      </c>
      <c r="CC436" s="27" t="str">
        <f t="shared" si="218"/>
        <v>02</v>
      </c>
      <c r="CD436" s="27" t="str">
        <f t="array" ref="CD436">_xlfn.TEXTJOIN("",TRUE,IF(ISNUMBER(FIND(MID(CC435&amp;R435,ROW($1:$4),1),CC436&amp;R436)),MID(CC435&amp;R435,ROW($1:$4),1),""))</f>
        <v/>
      </c>
      <c r="CE436" s="27" t="str">
        <f t="array" ref="CE436">_xlfn.TEXTJOIN("",TRUE,IF(ISERROR(FIND(ROW($1:$10)-1,CC436&amp;CD436)),ROW($1:$10)-1,""))</f>
        <v>13456789</v>
      </c>
      <c r="CF436" s="17" t="str">
        <f t="shared" si="219"/>
        <v>邻孤孤</v>
      </c>
      <c r="CG436" s="22" t="str">
        <f t="shared" si="220"/>
        <v>13</v>
      </c>
      <c r="CH436" s="22" t="str">
        <f t="array" ref="CH436">_xlfn.TEXTJOIN("",TRUE,IF(ISNUMBER(FIND(MID(CG435&amp;S435,ROW($1:$4),1),CG436&amp;S436)),MID(CG435&amp;S435,ROW($1:$4),1),""))</f>
        <v>132</v>
      </c>
      <c r="CI436" s="22" t="str">
        <f t="array" ref="CI436">_xlfn.TEXTJOIN("",TRUE,IF(ISERROR(FIND(ROW($1:$10)-1,CG436&amp;CH436)),ROW($1:$10)-1,""))</f>
        <v>0456789</v>
      </c>
      <c r="CJ436" s="28" t="str">
        <f t="shared" si="221"/>
        <v>邻传孤</v>
      </c>
    </row>
    <row r="437" spans="1:88">
      <c r="A437" s="32">
        <v>2025212</v>
      </c>
      <c r="B437" s="8" t="s">
        <v>364</v>
      </c>
      <c r="C437" s="49">
        <f t="shared" si="230"/>
        <v>15</v>
      </c>
      <c r="D437" s="50">
        <f t="shared" si="231"/>
        <v>5</v>
      </c>
      <c r="E437" s="51">
        <f t="shared" si="207"/>
        <v>5</v>
      </c>
      <c r="F437" s="52">
        <f>MAX(MID(B437,{1,2,3},1)*1)-MIN(MID(B437,{1,2,3},1)*1)</f>
        <v>2</v>
      </c>
      <c r="G437" s="104">
        <v>0</v>
      </c>
      <c r="H437" s="104">
        <v>1</v>
      </c>
      <c r="I437" s="104">
        <v>2</v>
      </c>
      <c r="J437" s="104">
        <v>3</v>
      </c>
      <c r="K437" s="104">
        <v>4</v>
      </c>
      <c r="L437" s="104">
        <v>5</v>
      </c>
      <c r="M437" s="104">
        <v>6</v>
      </c>
      <c r="N437" s="104">
        <v>7</v>
      </c>
      <c r="O437" s="104">
        <v>8</v>
      </c>
      <c r="P437" s="104">
        <v>9</v>
      </c>
      <c r="Q437" s="53">
        <f t="shared" si="232"/>
        <v>1</v>
      </c>
      <c r="R437" s="53">
        <f t="shared" si="233"/>
        <v>2</v>
      </c>
      <c r="S437" s="53">
        <f t="shared" si="234"/>
        <v>1</v>
      </c>
      <c r="T437" s="101">
        <f t="shared" si="208"/>
        <v>4</v>
      </c>
      <c r="U437" s="15" t="str">
        <f>_xlfn.TEXTJOIN(", ",TRUE,ABS(MID(B437,{1,1,2},1)-MID(B437,{2,3,3},1)))</f>
        <v>1, 2, 1</v>
      </c>
      <c r="V437" s="54">
        <v>0</v>
      </c>
      <c r="W437" s="54">
        <v>1</v>
      </c>
      <c r="X437" s="54">
        <v>2</v>
      </c>
      <c r="Y437" s="54">
        <v>3</v>
      </c>
      <c r="Z437" s="54">
        <v>4</v>
      </c>
      <c r="AA437" s="54">
        <v>5</v>
      </c>
      <c r="AB437" s="54">
        <v>6</v>
      </c>
      <c r="AC437" s="54">
        <v>7</v>
      </c>
      <c r="AD437" s="54">
        <v>8</v>
      </c>
      <c r="AE437" s="54">
        <v>9</v>
      </c>
      <c r="AF437" s="55">
        <v>0</v>
      </c>
      <c r="AG437" s="55">
        <v>1</v>
      </c>
      <c r="AH437" s="55">
        <v>2</v>
      </c>
      <c r="AI437" s="55">
        <v>3</v>
      </c>
      <c r="AJ437" s="55">
        <v>4</v>
      </c>
      <c r="AK437" s="55">
        <v>5</v>
      </c>
      <c r="AL437" s="55">
        <v>6</v>
      </c>
      <c r="AM437" s="55">
        <v>7</v>
      </c>
      <c r="AN437" s="55">
        <v>8</v>
      </c>
      <c r="AO437" s="55">
        <v>9</v>
      </c>
      <c r="AP437" s="105">
        <v>0</v>
      </c>
      <c r="AQ437" s="105">
        <v>1</v>
      </c>
      <c r="AR437" s="105">
        <v>2</v>
      </c>
      <c r="AS437" s="105">
        <v>3</v>
      </c>
      <c r="AT437" s="105">
        <v>4</v>
      </c>
      <c r="AU437" s="105">
        <v>5</v>
      </c>
      <c r="AV437" s="105">
        <v>6</v>
      </c>
      <c r="AW437" s="105">
        <v>7</v>
      </c>
      <c r="AX437" s="105">
        <v>8</v>
      </c>
      <c r="AY437" s="105">
        <v>9</v>
      </c>
      <c r="AZ437" s="56">
        <v>0</v>
      </c>
      <c r="BA437" s="56">
        <v>1</v>
      </c>
      <c r="BB437" s="56">
        <v>2</v>
      </c>
      <c r="BC437" s="56">
        <v>3</v>
      </c>
      <c r="BD437" s="56">
        <v>4</v>
      </c>
      <c r="BE437" s="56">
        <v>5</v>
      </c>
      <c r="BF437" s="56">
        <v>6</v>
      </c>
      <c r="BG437" s="56">
        <v>7</v>
      </c>
      <c r="BH437" s="56">
        <v>8</v>
      </c>
      <c r="BI437" s="56">
        <v>9</v>
      </c>
      <c r="BJ437" s="57" t="str">
        <f t="shared" si="209"/>
        <v>紧凑型</v>
      </c>
      <c r="BK437" s="13">
        <f t="shared" si="205"/>
        <v>1</v>
      </c>
      <c r="BL437" s="13">
        <f t="shared" si="206"/>
        <v>2</v>
      </c>
      <c r="BM437" s="18">
        <f t="shared" si="211"/>
        <v>1</v>
      </c>
      <c r="BN437" s="19" t="str">
        <f t="shared" si="212"/>
        <v/>
      </c>
      <c r="BO437" s="19" t="str">
        <f t="array" ref="BO437">_xlfn.TEXTJOIN("",TRUE,IF(ISERROR(FIND(ROW($1:$10)-1,BM437&amp;BN437)),ROW($1:$10)-1,""))</f>
        <v>023456789</v>
      </c>
      <c r="BP437" s="20" t="str">
        <f t="shared" si="213"/>
        <v>复中中</v>
      </c>
      <c r="BQ437" s="21">
        <f t="shared" si="224"/>
        <v>2</v>
      </c>
      <c r="BR437" s="21">
        <f t="shared" si="222"/>
        <v>2</v>
      </c>
      <c r="BS437" s="21" t="str">
        <f t="array" ref="BS437">_xlfn.TEXTJOIN("",TRUE,IF(ISERROR(FIND(ROW($1:$10)-1,BQ437&amp;BR437)),ROW($1:$10)-1,""))</f>
        <v>013456789</v>
      </c>
      <c r="BT437" s="20" t="str">
        <f t="shared" si="214"/>
        <v>复隔中</v>
      </c>
      <c r="BU437" s="22">
        <f t="shared" si="215"/>
        <v>1</v>
      </c>
      <c r="BV437" s="22" t="str">
        <f t="shared" si="223"/>
        <v/>
      </c>
      <c r="BW437" s="22" t="str">
        <f t="array" ref="BW437">_xlfn.TEXTJOIN("",TRUE,IF(ISERROR(FIND(ROW($1:$10)-1,BU437&amp;BV437)),ROW($1:$10)-1,""))</f>
        <v>023456789</v>
      </c>
      <c r="BX437" s="20" t="str">
        <f t="shared" si="216"/>
        <v>复中中</v>
      </c>
      <c r="BY437" s="23" t="str">
        <f t="shared" si="210"/>
        <v>02</v>
      </c>
      <c r="BZ437" s="24" t="str">
        <f t="array" ref="BZ437">_xlfn.TEXTJOIN("",TRUE,IF(ISNUMBER(FIND(MID(BY436&amp;Q436,ROW($1:$4),1),BY437&amp;Q437)),MID(BY436&amp;Q436,ROW($1:$4),1),""))</f>
        <v>021</v>
      </c>
      <c r="CA437" s="25" t="str">
        <f t="array" ref="CA437">_xlfn.TEXTJOIN("",TRUE,IF(ISERROR(FIND(ROW($1:$10)-1,BY437&amp;BZ437)),ROW($1:$10)-1,""))</f>
        <v>3456789</v>
      </c>
      <c r="CB437" s="26" t="str">
        <f t="shared" si="217"/>
        <v>邻传孤</v>
      </c>
      <c r="CC437" s="27" t="str">
        <f t="shared" si="218"/>
        <v>13</v>
      </c>
      <c r="CD437" s="27" t="str">
        <f t="array" ref="CD437">_xlfn.TEXTJOIN("",TRUE,IF(ISNUMBER(FIND(MID(CC436&amp;R436,ROW($1:$4),1),CC437&amp;R437)),MID(CC436&amp;R436,ROW($1:$4),1),""))</f>
        <v>21</v>
      </c>
      <c r="CE437" s="27" t="str">
        <f t="array" ref="CE437">_xlfn.TEXTJOIN("",TRUE,IF(ISERROR(FIND(ROW($1:$10)-1,CC437&amp;CD437)),ROW($1:$10)-1,""))</f>
        <v>0456789</v>
      </c>
      <c r="CF437" s="17" t="str">
        <f t="shared" si="219"/>
        <v>邻传孤</v>
      </c>
      <c r="CG437" s="22" t="str">
        <f t="shared" si="220"/>
        <v>02</v>
      </c>
      <c r="CH437" s="22" t="str">
        <f t="array" ref="CH437">_xlfn.TEXTJOIN("",TRUE,IF(ISNUMBER(FIND(MID(CG436&amp;S436,ROW($1:$4),1),CG437&amp;S437)),MID(CG436&amp;S436,ROW($1:$4),1),""))</f>
        <v>12</v>
      </c>
      <c r="CI437" s="22" t="str">
        <f t="array" ref="CI437">_xlfn.TEXTJOIN("",TRUE,IF(ISERROR(FIND(ROW($1:$10)-1,CG437&amp;CH437)),ROW($1:$10)-1,""))</f>
        <v>3456789</v>
      </c>
      <c r="CJ437" s="28" t="str">
        <f t="shared" si="221"/>
        <v>邻传孤</v>
      </c>
    </row>
    <row r="438" spans="1:88">
      <c r="A438" s="32">
        <v>2025213</v>
      </c>
      <c r="B438" s="8" t="s">
        <v>365</v>
      </c>
      <c r="C438" s="49">
        <f t="shared" si="230"/>
        <v>12</v>
      </c>
      <c r="D438" s="50">
        <f t="shared" si="231"/>
        <v>2</v>
      </c>
      <c r="E438" s="51">
        <f t="shared" si="207"/>
        <v>4</v>
      </c>
      <c r="F438" s="52">
        <f>MAX(MID(B438,{1,2,3},1)*1)-MIN(MID(B438,{1,2,3},1)*1)</f>
        <v>7</v>
      </c>
      <c r="G438" s="104">
        <v>0</v>
      </c>
      <c r="H438" s="104">
        <v>1</v>
      </c>
      <c r="I438" s="104">
        <v>2</v>
      </c>
      <c r="J438" s="104">
        <v>3</v>
      </c>
      <c r="K438" s="104">
        <v>4</v>
      </c>
      <c r="L438" s="104">
        <v>5</v>
      </c>
      <c r="M438" s="104">
        <v>6</v>
      </c>
      <c r="N438" s="104">
        <v>7</v>
      </c>
      <c r="O438" s="104">
        <v>8</v>
      </c>
      <c r="P438" s="104">
        <v>9</v>
      </c>
      <c r="Q438" s="53">
        <f t="shared" si="232"/>
        <v>5</v>
      </c>
      <c r="R438" s="53">
        <f t="shared" si="233"/>
        <v>2</v>
      </c>
      <c r="S438" s="53">
        <f t="shared" si="234"/>
        <v>7</v>
      </c>
      <c r="T438" s="101">
        <f t="shared" si="208"/>
        <v>14</v>
      </c>
      <c r="U438" s="15" t="str">
        <f>_xlfn.TEXTJOIN(", ",TRUE,ABS(MID(B438,{1,1,2},1)-MID(B438,{2,3,3},1)))</f>
        <v>5, 2, 7</v>
      </c>
      <c r="V438" s="54">
        <v>0</v>
      </c>
      <c r="W438" s="54">
        <v>1</v>
      </c>
      <c r="X438" s="54">
        <v>2</v>
      </c>
      <c r="Y438" s="54">
        <v>3</v>
      </c>
      <c r="Z438" s="54">
        <v>4</v>
      </c>
      <c r="AA438" s="54">
        <v>5</v>
      </c>
      <c r="AB438" s="54">
        <v>6</v>
      </c>
      <c r="AC438" s="54">
        <v>7</v>
      </c>
      <c r="AD438" s="54">
        <v>8</v>
      </c>
      <c r="AE438" s="54">
        <v>9</v>
      </c>
      <c r="AF438" s="55">
        <v>0</v>
      </c>
      <c r="AG438" s="55">
        <v>1</v>
      </c>
      <c r="AH438" s="55">
        <v>2</v>
      </c>
      <c r="AI438" s="55">
        <v>3</v>
      </c>
      <c r="AJ438" s="55">
        <v>4</v>
      </c>
      <c r="AK438" s="55">
        <v>5</v>
      </c>
      <c r="AL438" s="55">
        <v>6</v>
      </c>
      <c r="AM438" s="55">
        <v>7</v>
      </c>
      <c r="AN438" s="55">
        <v>8</v>
      </c>
      <c r="AO438" s="55">
        <v>9</v>
      </c>
      <c r="AP438" s="105">
        <v>0</v>
      </c>
      <c r="AQ438" s="105">
        <v>1</v>
      </c>
      <c r="AR438" s="105">
        <v>2</v>
      </c>
      <c r="AS438" s="105">
        <v>3</v>
      </c>
      <c r="AT438" s="105">
        <v>4</v>
      </c>
      <c r="AU438" s="105">
        <v>5</v>
      </c>
      <c r="AV438" s="105">
        <v>6</v>
      </c>
      <c r="AW438" s="105">
        <v>7</v>
      </c>
      <c r="AX438" s="105">
        <v>8</v>
      </c>
      <c r="AY438" s="105">
        <v>9</v>
      </c>
      <c r="AZ438" s="56">
        <v>0</v>
      </c>
      <c r="BA438" s="56">
        <v>1</v>
      </c>
      <c r="BB438" s="56">
        <v>2</v>
      </c>
      <c r="BC438" s="56">
        <v>3</v>
      </c>
      <c r="BD438" s="56">
        <v>4</v>
      </c>
      <c r="BE438" s="56">
        <v>5</v>
      </c>
      <c r="BF438" s="56">
        <v>6</v>
      </c>
      <c r="BG438" s="56">
        <v>7</v>
      </c>
      <c r="BH438" s="56">
        <v>8</v>
      </c>
      <c r="BI438" s="56">
        <v>9</v>
      </c>
      <c r="BJ438" s="57" t="str">
        <f t="shared" si="209"/>
        <v>松散型</v>
      </c>
      <c r="BK438" s="13">
        <f t="shared" si="205"/>
        <v>2</v>
      </c>
      <c r="BL438" s="13">
        <f t="shared" si="206"/>
        <v>7</v>
      </c>
      <c r="BM438" s="18" t="str">
        <f t="shared" si="211"/>
        <v/>
      </c>
      <c r="BN438" s="19" t="str">
        <f t="shared" si="212"/>
        <v/>
      </c>
      <c r="BO438" s="19" t="str">
        <f t="array" ref="BO438">_xlfn.TEXTJOIN("",TRUE,IF(ISERROR(FIND(ROW($1:$10)-1,BM438&amp;BN438)),ROW($1:$10)-1,""))</f>
        <v>0123456789</v>
      </c>
      <c r="BP438" s="20" t="str">
        <f t="shared" si="213"/>
        <v>中中中</v>
      </c>
      <c r="BQ438" s="21">
        <f t="shared" si="224"/>
        <v>2</v>
      </c>
      <c r="BR438" s="21">
        <f t="shared" si="222"/>
        <v>2</v>
      </c>
      <c r="BS438" s="21" t="str">
        <f t="array" ref="BS438">_xlfn.TEXTJOIN("",TRUE,IF(ISERROR(FIND(ROW($1:$10)-1,BQ438&amp;BR438)),ROW($1:$10)-1,""))</f>
        <v>013456789</v>
      </c>
      <c r="BT438" s="20" t="str">
        <f t="shared" si="214"/>
        <v>复隔中</v>
      </c>
      <c r="BU438" s="22" t="str">
        <f t="shared" si="215"/>
        <v/>
      </c>
      <c r="BV438" s="22" t="str">
        <f t="shared" si="223"/>
        <v/>
      </c>
      <c r="BW438" s="22" t="str">
        <f t="array" ref="BW438">_xlfn.TEXTJOIN("",TRUE,IF(ISERROR(FIND(ROW($1:$10)-1,BU438&amp;BV438)),ROW($1:$10)-1,""))</f>
        <v>0123456789</v>
      </c>
      <c r="BX438" s="20" t="str">
        <f t="shared" si="216"/>
        <v>中中中</v>
      </c>
      <c r="BY438" s="23" t="str">
        <f t="shared" si="210"/>
        <v>46</v>
      </c>
      <c r="BZ438" s="24" t="str">
        <f t="array" ref="BZ438">_xlfn.TEXTJOIN("",TRUE,IF(ISNUMBER(FIND(MID(BY437&amp;Q437,ROW($1:$4),1),BY438&amp;Q438)),MID(BY437&amp;Q437,ROW($1:$4),1),""))</f>
        <v/>
      </c>
      <c r="CA438" s="25" t="str">
        <f t="array" ref="CA438">_xlfn.TEXTJOIN("",TRUE,IF(ISERROR(FIND(ROW($1:$10)-1,BY438&amp;BZ438)),ROW($1:$10)-1,""))</f>
        <v>01235789</v>
      </c>
      <c r="CB438" s="26" t="str">
        <f t="shared" si="217"/>
        <v>邻孤孤</v>
      </c>
      <c r="CC438" s="27" t="str">
        <f t="shared" si="218"/>
        <v>13</v>
      </c>
      <c r="CD438" s="27" t="str">
        <f t="array" ref="CD438">_xlfn.TEXTJOIN("",TRUE,IF(ISNUMBER(FIND(MID(CC437&amp;R437,ROW($1:$4),1),CC438&amp;R438)),MID(CC437&amp;R437,ROW($1:$4),1),""))</f>
        <v>132</v>
      </c>
      <c r="CE438" s="27" t="str">
        <f t="array" ref="CE438">_xlfn.TEXTJOIN("",TRUE,IF(ISERROR(FIND(ROW($1:$10)-1,CC438&amp;CD438)),ROW($1:$10)-1,""))</f>
        <v>0456789</v>
      </c>
      <c r="CF438" s="17" t="str">
        <f t="shared" si="219"/>
        <v>邻传孤</v>
      </c>
      <c r="CG438" s="22" t="str">
        <f t="shared" si="220"/>
        <v>68</v>
      </c>
      <c r="CH438" s="22" t="str">
        <f t="array" ref="CH438">_xlfn.TEXTJOIN("",TRUE,IF(ISNUMBER(FIND(MID(CG437&amp;S437,ROW($1:$4),1),CG438&amp;S438)),MID(CG437&amp;S437,ROW($1:$4),1),""))</f>
        <v/>
      </c>
      <c r="CI438" s="22" t="str">
        <f t="array" ref="CI438">_xlfn.TEXTJOIN("",TRUE,IF(ISERROR(FIND(ROW($1:$10)-1,CG438&amp;CH438)),ROW($1:$10)-1,""))</f>
        <v>01234579</v>
      </c>
      <c r="CJ438" s="28" t="str">
        <f t="shared" si="221"/>
        <v>邻孤孤</v>
      </c>
    </row>
    <row r="439" spans="1:88">
      <c r="A439" s="32">
        <v>2025214</v>
      </c>
      <c r="B439" s="8" t="s">
        <v>359</v>
      </c>
      <c r="C439" s="49">
        <f t="shared" si="230"/>
        <v>11</v>
      </c>
      <c r="D439" s="50">
        <f t="shared" si="231"/>
        <v>1</v>
      </c>
      <c r="E439" s="51">
        <f t="shared" si="207"/>
        <v>3.6666666666666701</v>
      </c>
      <c r="F439" s="52">
        <f>MAX(MID(B439,{1,2,3},1)*1)-MIN(MID(B439,{1,2,3},1)*1)</f>
        <v>9</v>
      </c>
      <c r="G439" s="104">
        <v>0</v>
      </c>
      <c r="H439" s="104">
        <v>1</v>
      </c>
      <c r="I439" s="104">
        <v>2</v>
      </c>
      <c r="J439" s="104">
        <v>3</v>
      </c>
      <c r="K439" s="104">
        <v>4</v>
      </c>
      <c r="L439" s="104">
        <v>5</v>
      </c>
      <c r="M439" s="104">
        <v>6</v>
      </c>
      <c r="N439" s="104">
        <v>7</v>
      </c>
      <c r="O439" s="104">
        <v>8</v>
      </c>
      <c r="P439" s="104">
        <v>9</v>
      </c>
      <c r="Q439" s="53">
        <f t="shared" si="232"/>
        <v>7</v>
      </c>
      <c r="R439" s="53">
        <f t="shared" si="233"/>
        <v>9</v>
      </c>
      <c r="S439" s="53">
        <f t="shared" si="234"/>
        <v>2</v>
      </c>
      <c r="T439" s="101">
        <f t="shared" si="208"/>
        <v>18</v>
      </c>
      <c r="U439" s="15" t="str">
        <f>_xlfn.TEXTJOIN(", ",TRUE,ABS(MID(B439,{1,1,2},1)-MID(B439,{2,3,3},1)))</f>
        <v>7, 9, 2</v>
      </c>
      <c r="V439" s="54">
        <v>0</v>
      </c>
      <c r="W439" s="54">
        <v>1</v>
      </c>
      <c r="X439" s="54">
        <v>2</v>
      </c>
      <c r="Y439" s="54">
        <v>3</v>
      </c>
      <c r="Z439" s="54">
        <v>4</v>
      </c>
      <c r="AA439" s="54">
        <v>5</v>
      </c>
      <c r="AB439" s="54">
        <v>6</v>
      </c>
      <c r="AC439" s="54">
        <v>7</v>
      </c>
      <c r="AD439" s="54">
        <v>8</v>
      </c>
      <c r="AE439" s="54">
        <v>9</v>
      </c>
      <c r="AF439" s="55">
        <v>0</v>
      </c>
      <c r="AG439" s="55">
        <v>1</v>
      </c>
      <c r="AH439" s="55">
        <v>2</v>
      </c>
      <c r="AI439" s="55">
        <v>3</v>
      </c>
      <c r="AJ439" s="55">
        <v>4</v>
      </c>
      <c r="AK439" s="55">
        <v>5</v>
      </c>
      <c r="AL439" s="55">
        <v>6</v>
      </c>
      <c r="AM439" s="55">
        <v>7</v>
      </c>
      <c r="AN439" s="55">
        <v>8</v>
      </c>
      <c r="AO439" s="55">
        <v>9</v>
      </c>
      <c r="AP439" s="105">
        <v>0</v>
      </c>
      <c r="AQ439" s="105">
        <v>1</v>
      </c>
      <c r="AR439" s="105">
        <v>2</v>
      </c>
      <c r="AS439" s="105">
        <v>3</v>
      </c>
      <c r="AT439" s="105">
        <v>4</v>
      </c>
      <c r="AU439" s="105">
        <v>5</v>
      </c>
      <c r="AV439" s="105">
        <v>6</v>
      </c>
      <c r="AW439" s="105">
        <v>7</v>
      </c>
      <c r="AX439" s="105">
        <v>8</v>
      </c>
      <c r="AY439" s="105">
        <v>9</v>
      </c>
      <c r="AZ439" s="56">
        <v>0</v>
      </c>
      <c r="BA439" s="56">
        <v>1</v>
      </c>
      <c r="BB439" s="56">
        <v>2</v>
      </c>
      <c r="BC439" s="56">
        <v>3</v>
      </c>
      <c r="BD439" s="56">
        <v>4</v>
      </c>
      <c r="BE439" s="56">
        <v>5</v>
      </c>
      <c r="BF439" s="56">
        <v>6</v>
      </c>
      <c r="BG439" s="56">
        <v>7</v>
      </c>
      <c r="BH439" s="56">
        <v>8</v>
      </c>
      <c r="BI439" s="56">
        <v>9</v>
      </c>
      <c r="BJ439" s="57" t="str">
        <f t="shared" si="209"/>
        <v>松散型</v>
      </c>
      <c r="BK439" s="13">
        <f t="shared" si="205"/>
        <v>2</v>
      </c>
      <c r="BL439" s="13">
        <f t="shared" si="206"/>
        <v>9</v>
      </c>
      <c r="BM439" s="18">
        <f t="shared" si="211"/>
        <v>7</v>
      </c>
      <c r="BN439" s="19" t="str">
        <f t="shared" si="212"/>
        <v/>
      </c>
      <c r="BO439" s="19" t="str">
        <f t="array" ref="BO439">_xlfn.TEXTJOIN("",TRUE,IF(ISERROR(FIND(ROW($1:$10)-1,BM439&amp;BN439)),ROW($1:$10)-1,""))</f>
        <v>012345689</v>
      </c>
      <c r="BP439" s="20" t="str">
        <f t="shared" si="213"/>
        <v>复中中</v>
      </c>
      <c r="BQ439" s="21" t="str">
        <f t="shared" si="224"/>
        <v/>
      </c>
      <c r="BR439" s="21" t="str">
        <f t="shared" si="222"/>
        <v/>
      </c>
      <c r="BS439" s="21" t="str">
        <f t="array" ref="BS439">_xlfn.TEXTJOIN("",TRUE,IF(ISERROR(FIND(ROW($1:$10)-1,BQ439&amp;BR439)),ROW($1:$10)-1,""))</f>
        <v>0123456789</v>
      </c>
      <c r="BT439" s="20" t="str">
        <f t="shared" si="214"/>
        <v>中中中</v>
      </c>
      <c r="BU439" s="22">
        <f t="shared" si="215"/>
        <v>2</v>
      </c>
      <c r="BV439" s="22">
        <f t="shared" si="223"/>
        <v>2</v>
      </c>
      <c r="BW439" s="22" t="str">
        <f t="array" ref="BW439">_xlfn.TEXTJOIN("",TRUE,IF(ISERROR(FIND(ROW($1:$10)-1,BU439&amp;BV439)),ROW($1:$10)-1,""))</f>
        <v>013456789</v>
      </c>
      <c r="BX439" s="20" t="str">
        <f t="shared" si="216"/>
        <v>复隔中</v>
      </c>
      <c r="BY439" s="23" t="str">
        <f t="shared" si="210"/>
        <v>68</v>
      </c>
      <c r="BZ439" s="24" t="str">
        <f t="array" ref="BZ439">_xlfn.TEXTJOIN("",TRUE,IF(ISNUMBER(FIND(MID(BY438&amp;Q438,ROW($1:$4),1),BY439&amp;Q439)),MID(BY438&amp;Q438,ROW($1:$4),1),""))</f>
        <v>6</v>
      </c>
      <c r="CA439" s="25" t="str">
        <f t="array" ref="CA439">_xlfn.TEXTJOIN("",TRUE,IF(ISERROR(FIND(ROW($1:$10)-1,BY439&amp;BZ439)),ROW($1:$10)-1,""))</f>
        <v>01234579</v>
      </c>
      <c r="CB439" s="26" t="str">
        <f t="shared" si="217"/>
        <v>邻传孤</v>
      </c>
      <c r="CC439" s="27" t="str">
        <f t="shared" si="218"/>
        <v>80</v>
      </c>
      <c r="CD439" s="27" t="str">
        <f t="array" ref="CD439">_xlfn.TEXTJOIN("",TRUE,IF(ISNUMBER(FIND(MID(CC438&amp;R438,ROW($1:$4),1),CC439&amp;R439)),MID(CC438&amp;R438,ROW($1:$4),1),""))</f>
        <v/>
      </c>
      <c r="CE439" s="27" t="str">
        <f t="array" ref="CE439">_xlfn.TEXTJOIN("",TRUE,IF(ISERROR(FIND(ROW($1:$10)-1,CC439&amp;CD439)),ROW($1:$10)-1,""))</f>
        <v>12345679</v>
      </c>
      <c r="CF439" s="17" t="str">
        <f t="shared" si="219"/>
        <v>邻孤孤</v>
      </c>
      <c r="CG439" s="22" t="str">
        <f t="shared" si="220"/>
        <v>13</v>
      </c>
      <c r="CH439" s="22" t="str">
        <f t="array" ref="CH439">_xlfn.TEXTJOIN("",TRUE,IF(ISNUMBER(FIND(MID(CG438&amp;S438,ROW($1:$4),1),CG439&amp;S439)),MID(CG438&amp;S438,ROW($1:$4),1),""))</f>
        <v/>
      </c>
      <c r="CI439" s="22" t="str">
        <f t="array" ref="CI439">_xlfn.TEXTJOIN("",TRUE,IF(ISERROR(FIND(ROW($1:$10)-1,CG439&amp;CH439)),ROW($1:$10)-1,""))</f>
        <v>02456789</v>
      </c>
      <c r="CJ439" s="28" t="str">
        <f t="shared" si="221"/>
        <v>邻孤孤</v>
      </c>
    </row>
    <row r="440" spans="1:88">
      <c r="A440" s="32">
        <v>2025215</v>
      </c>
      <c r="B440" s="8" t="s">
        <v>366</v>
      </c>
      <c r="C440" s="49">
        <f t="shared" si="230"/>
        <v>16</v>
      </c>
      <c r="D440" s="50">
        <f t="shared" si="231"/>
        <v>6</v>
      </c>
      <c r="E440" s="51">
        <f t="shared" si="207"/>
        <v>5.3333333333333304</v>
      </c>
      <c r="F440" s="52">
        <f>MAX(MID(B440,{1,2,3},1)*1)-MIN(MID(B440,{1,2,3},1)*1)</f>
        <v>5</v>
      </c>
      <c r="G440" s="104">
        <v>0</v>
      </c>
      <c r="H440" s="104">
        <v>1</v>
      </c>
      <c r="I440" s="104">
        <v>2</v>
      </c>
      <c r="J440" s="104">
        <v>3</v>
      </c>
      <c r="K440" s="104">
        <v>4</v>
      </c>
      <c r="L440" s="104">
        <v>5</v>
      </c>
      <c r="M440" s="104">
        <v>6</v>
      </c>
      <c r="N440" s="104">
        <v>7</v>
      </c>
      <c r="O440" s="104">
        <v>8</v>
      </c>
      <c r="P440" s="104">
        <v>9</v>
      </c>
      <c r="Q440" s="53">
        <f t="shared" si="232"/>
        <v>3</v>
      </c>
      <c r="R440" s="53">
        <f t="shared" si="233"/>
        <v>5</v>
      </c>
      <c r="S440" s="53">
        <f t="shared" si="234"/>
        <v>2</v>
      </c>
      <c r="T440" s="101">
        <f t="shared" si="208"/>
        <v>10</v>
      </c>
      <c r="U440" s="15" t="str">
        <f>_xlfn.TEXTJOIN(", ",TRUE,ABS(MID(B440,{1,1,2},1)-MID(B440,{2,3,3},1)))</f>
        <v>3, 5, 2</v>
      </c>
      <c r="V440" s="54">
        <v>0</v>
      </c>
      <c r="W440" s="54">
        <v>1</v>
      </c>
      <c r="X440" s="54">
        <v>2</v>
      </c>
      <c r="Y440" s="54">
        <v>3</v>
      </c>
      <c r="Z440" s="54">
        <v>4</v>
      </c>
      <c r="AA440" s="54">
        <v>5</v>
      </c>
      <c r="AB440" s="54">
        <v>6</v>
      </c>
      <c r="AC440" s="54">
        <v>7</v>
      </c>
      <c r="AD440" s="54">
        <v>8</v>
      </c>
      <c r="AE440" s="54">
        <v>9</v>
      </c>
      <c r="AF440" s="55">
        <v>0</v>
      </c>
      <c r="AG440" s="55">
        <v>1</v>
      </c>
      <c r="AH440" s="55">
        <v>2</v>
      </c>
      <c r="AI440" s="55">
        <v>3</v>
      </c>
      <c r="AJ440" s="55">
        <v>4</v>
      </c>
      <c r="AK440" s="55">
        <v>5</v>
      </c>
      <c r="AL440" s="55">
        <v>6</v>
      </c>
      <c r="AM440" s="55">
        <v>7</v>
      </c>
      <c r="AN440" s="55">
        <v>8</v>
      </c>
      <c r="AO440" s="55">
        <v>9</v>
      </c>
      <c r="AP440" s="105">
        <v>0</v>
      </c>
      <c r="AQ440" s="105">
        <v>1</v>
      </c>
      <c r="AR440" s="105">
        <v>2</v>
      </c>
      <c r="AS440" s="105">
        <v>3</v>
      </c>
      <c r="AT440" s="105">
        <v>4</v>
      </c>
      <c r="AU440" s="105">
        <v>5</v>
      </c>
      <c r="AV440" s="105">
        <v>6</v>
      </c>
      <c r="AW440" s="105">
        <v>7</v>
      </c>
      <c r="AX440" s="105">
        <v>8</v>
      </c>
      <c r="AY440" s="105">
        <v>9</v>
      </c>
      <c r="AZ440" s="56">
        <v>0</v>
      </c>
      <c r="BA440" s="56">
        <v>1</v>
      </c>
      <c r="BB440" s="56">
        <v>2</v>
      </c>
      <c r="BC440" s="56">
        <v>3</v>
      </c>
      <c r="BD440" s="56">
        <v>4</v>
      </c>
      <c r="BE440" s="56">
        <v>5</v>
      </c>
      <c r="BF440" s="56">
        <v>6</v>
      </c>
      <c r="BG440" s="56">
        <v>7</v>
      </c>
      <c r="BH440" s="56">
        <v>8</v>
      </c>
      <c r="BI440" s="56">
        <v>9</v>
      </c>
      <c r="BJ440" s="57" t="str">
        <f t="shared" si="209"/>
        <v>标准型</v>
      </c>
      <c r="BK440" s="13">
        <f t="shared" si="205"/>
        <v>2</v>
      </c>
      <c r="BL440" s="13">
        <f t="shared" si="206"/>
        <v>5</v>
      </c>
      <c r="BM440" s="18" t="str">
        <f t="shared" si="211"/>
        <v/>
      </c>
      <c r="BN440" s="19" t="str">
        <f t="shared" si="212"/>
        <v/>
      </c>
      <c r="BO440" s="19" t="str">
        <f t="array" ref="BO440">_xlfn.TEXTJOIN("",TRUE,IF(ISERROR(FIND(ROW($1:$10)-1,BM440&amp;BN440)),ROW($1:$10)-1,""))</f>
        <v>0123456789</v>
      </c>
      <c r="BP440" s="20" t="str">
        <f t="shared" si="213"/>
        <v>中中中</v>
      </c>
      <c r="BQ440" s="21" t="str">
        <f t="shared" si="224"/>
        <v/>
      </c>
      <c r="BR440" s="21">
        <f t="shared" si="222"/>
        <v>5</v>
      </c>
      <c r="BS440" s="21" t="str">
        <f t="array" ref="BS440">_xlfn.TEXTJOIN("",TRUE,IF(ISERROR(FIND(ROW($1:$10)-1,BQ440&amp;BR440)),ROW($1:$10)-1,""))</f>
        <v>012346789</v>
      </c>
      <c r="BT440" s="20" t="str">
        <f t="shared" si="214"/>
        <v>中隔中</v>
      </c>
      <c r="BU440" s="22">
        <f t="shared" si="215"/>
        <v>2</v>
      </c>
      <c r="BV440" s="22">
        <f t="shared" si="223"/>
        <v>2</v>
      </c>
      <c r="BW440" s="22" t="str">
        <f t="array" ref="BW440">_xlfn.TEXTJOIN("",TRUE,IF(ISERROR(FIND(ROW($1:$10)-1,BU440&amp;BV440)),ROW($1:$10)-1,""))</f>
        <v>013456789</v>
      </c>
      <c r="BX440" s="20" t="str">
        <f t="shared" si="216"/>
        <v>复隔中</v>
      </c>
      <c r="BY440" s="23" t="str">
        <f t="shared" si="210"/>
        <v>24</v>
      </c>
      <c r="BZ440" s="24" t="str">
        <f t="array" ref="BZ440">_xlfn.TEXTJOIN("",TRUE,IF(ISNUMBER(FIND(MID(BY439&amp;Q439,ROW($1:$4),1),BY440&amp;Q440)),MID(BY439&amp;Q439,ROW($1:$4),1),""))</f>
        <v/>
      </c>
      <c r="CA440" s="25" t="str">
        <f t="array" ref="CA440">_xlfn.TEXTJOIN("",TRUE,IF(ISERROR(FIND(ROW($1:$10)-1,BY440&amp;BZ440)),ROW($1:$10)-1,""))</f>
        <v>01356789</v>
      </c>
      <c r="CB440" s="26" t="str">
        <f t="shared" si="217"/>
        <v>邻孤孤</v>
      </c>
      <c r="CC440" s="27" t="str">
        <f t="shared" si="218"/>
        <v>46</v>
      </c>
      <c r="CD440" s="27" t="str">
        <f t="array" ref="CD440">_xlfn.TEXTJOIN("",TRUE,IF(ISNUMBER(FIND(MID(CC439&amp;R439,ROW($1:$4),1),CC440&amp;R440)),MID(CC439&amp;R439,ROW($1:$4),1),""))</f>
        <v/>
      </c>
      <c r="CE440" s="27" t="str">
        <f t="array" ref="CE440">_xlfn.TEXTJOIN("",TRUE,IF(ISERROR(FIND(ROW($1:$10)-1,CC440&amp;CD440)),ROW($1:$10)-1,""))</f>
        <v>01235789</v>
      </c>
      <c r="CF440" s="17" t="str">
        <f t="shared" si="219"/>
        <v>邻孤孤</v>
      </c>
      <c r="CG440" s="22" t="str">
        <f t="shared" si="220"/>
        <v>13</v>
      </c>
      <c r="CH440" s="22" t="str">
        <f t="array" ref="CH440">_xlfn.TEXTJOIN("",TRUE,IF(ISNUMBER(FIND(MID(CG439&amp;S439,ROW($1:$4),1),CG440&amp;S440)),MID(CG439&amp;S439,ROW($1:$4),1),""))</f>
        <v>132</v>
      </c>
      <c r="CI440" s="22" t="str">
        <f t="array" ref="CI440">_xlfn.TEXTJOIN("",TRUE,IF(ISERROR(FIND(ROW($1:$10)-1,CG440&amp;CH440)),ROW($1:$10)-1,""))</f>
        <v>0456789</v>
      </c>
      <c r="CJ440" s="28" t="str">
        <f t="shared" si="221"/>
        <v>邻传孤</v>
      </c>
    </row>
    <row r="441" spans="1:88">
      <c r="A441" s="32">
        <v>2025216</v>
      </c>
      <c r="B441" s="8" t="s">
        <v>271</v>
      </c>
      <c r="C441" s="49">
        <f t="shared" si="230"/>
        <v>13</v>
      </c>
      <c r="D441" s="50">
        <f t="shared" si="231"/>
        <v>3</v>
      </c>
      <c r="E441" s="51">
        <f t="shared" si="207"/>
        <v>4.3333333333333304</v>
      </c>
      <c r="F441" s="52">
        <f>MAX(MID(B441,{1,2,3},1)*1)-MIN(MID(B441,{1,2,3},1)*1)</f>
        <v>4</v>
      </c>
      <c r="G441" s="104">
        <v>0</v>
      </c>
      <c r="H441" s="104">
        <v>1</v>
      </c>
      <c r="I441" s="104">
        <v>2</v>
      </c>
      <c r="J441" s="104">
        <v>3</v>
      </c>
      <c r="K441" s="104">
        <v>4</v>
      </c>
      <c r="L441" s="104">
        <v>5</v>
      </c>
      <c r="M441" s="104">
        <v>6</v>
      </c>
      <c r="N441" s="104">
        <v>7</v>
      </c>
      <c r="O441" s="104">
        <v>8</v>
      </c>
      <c r="P441" s="104">
        <v>9</v>
      </c>
      <c r="Q441" s="53">
        <f t="shared" si="232"/>
        <v>4</v>
      </c>
      <c r="R441" s="53">
        <f t="shared" si="233"/>
        <v>1</v>
      </c>
      <c r="S441" s="53">
        <f t="shared" si="234"/>
        <v>3</v>
      </c>
      <c r="T441" s="101">
        <f t="shared" si="208"/>
        <v>8</v>
      </c>
      <c r="U441" s="15" t="str">
        <f>_xlfn.TEXTJOIN(", ",TRUE,ABS(MID(B441,{1,1,2},1)-MID(B441,{2,3,3},1)))</f>
        <v>4, 1, 3</v>
      </c>
      <c r="V441" s="54">
        <v>0</v>
      </c>
      <c r="W441" s="54">
        <v>1</v>
      </c>
      <c r="X441" s="54">
        <v>2</v>
      </c>
      <c r="Y441" s="54">
        <v>3</v>
      </c>
      <c r="Z441" s="54">
        <v>4</v>
      </c>
      <c r="AA441" s="54">
        <v>5</v>
      </c>
      <c r="AB441" s="54">
        <v>6</v>
      </c>
      <c r="AC441" s="54">
        <v>7</v>
      </c>
      <c r="AD441" s="54">
        <v>8</v>
      </c>
      <c r="AE441" s="54">
        <v>9</v>
      </c>
      <c r="AF441" s="55">
        <v>0</v>
      </c>
      <c r="AG441" s="55">
        <v>1</v>
      </c>
      <c r="AH441" s="55">
        <v>2</v>
      </c>
      <c r="AI441" s="55">
        <v>3</v>
      </c>
      <c r="AJ441" s="55">
        <v>4</v>
      </c>
      <c r="AK441" s="55">
        <v>5</v>
      </c>
      <c r="AL441" s="55">
        <v>6</v>
      </c>
      <c r="AM441" s="55">
        <v>7</v>
      </c>
      <c r="AN441" s="55">
        <v>8</v>
      </c>
      <c r="AO441" s="55">
        <v>9</v>
      </c>
      <c r="AP441" s="105">
        <v>0</v>
      </c>
      <c r="AQ441" s="105">
        <v>1</v>
      </c>
      <c r="AR441" s="105">
        <v>2</v>
      </c>
      <c r="AS441" s="105">
        <v>3</v>
      </c>
      <c r="AT441" s="105">
        <v>4</v>
      </c>
      <c r="AU441" s="105">
        <v>5</v>
      </c>
      <c r="AV441" s="105">
        <v>6</v>
      </c>
      <c r="AW441" s="105">
        <v>7</v>
      </c>
      <c r="AX441" s="105">
        <v>8</v>
      </c>
      <c r="AY441" s="105">
        <v>9</v>
      </c>
      <c r="AZ441" s="56">
        <v>0</v>
      </c>
      <c r="BA441" s="56">
        <v>1</v>
      </c>
      <c r="BB441" s="56">
        <v>2</v>
      </c>
      <c r="BC441" s="56">
        <v>3</v>
      </c>
      <c r="BD441" s="56">
        <v>4</v>
      </c>
      <c r="BE441" s="56">
        <v>5</v>
      </c>
      <c r="BF441" s="56">
        <v>6</v>
      </c>
      <c r="BG441" s="56">
        <v>7</v>
      </c>
      <c r="BH441" s="56">
        <v>8</v>
      </c>
      <c r="BI441" s="56">
        <v>9</v>
      </c>
      <c r="BJ441" s="57" t="str">
        <f t="shared" si="209"/>
        <v>紧凑型</v>
      </c>
      <c r="BK441" s="13">
        <f t="shared" si="205"/>
        <v>1</v>
      </c>
      <c r="BL441" s="13">
        <f t="shared" si="206"/>
        <v>4</v>
      </c>
      <c r="BM441" s="18" t="str">
        <f t="shared" si="211"/>
        <v/>
      </c>
      <c r="BN441" s="19" t="str">
        <f t="shared" si="212"/>
        <v/>
      </c>
      <c r="BO441" s="19" t="str">
        <f t="array" ref="BO441">_xlfn.TEXTJOIN("",TRUE,IF(ISERROR(FIND(ROW($1:$10)-1,BM441&amp;BN441)),ROW($1:$10)-1,""))</f>
        <v>0123456789</v>
      </c>
      <c r="BP441" s="20" t="str">
        <f t="shared" si="213"/>
        <v>中中中</v>
      </c>
      <c r="BQ441" s="21" t="str">
        <f t="shared" si="224"/>
        <v/>
      </c>
      <c r="BR441" s="21" t="str">
        <f t="shared" si="222"/>
        <v/>
      </c>
      <c r="BS441" s="21" t="str">
        <f t="array" ref="BS441">_xlfn.TEXTJOIN("",TRUE,IF(ISERROR(FIND(ROW($1:$10)-1,BQ441&amp;BR441)),ROW($1:$10)-1,""))</f>
        <v>0123456789</v>
      </c>
      <c r="BT441" s="20" t="str">
        <f t="shared" si="214"/>
        <v>中中中</v>
      </c>
      <c r="BU441" s="22">
        <f t="shared" si="215"/>
        <v>3</v>
      </c>
      <c r="BV441" s="22" t="str">
        <f t="shared" si="223"/>
        <v/>
      </c>
      <c r="BW441" s="22" t="str">
        <f t="array" ref="BW441">_xlfn.TEXTJOIN("",TRUE,IF(ISERROR(FIND(ROW($1:$10)-1,BU441&amp;BV441)),ROW($1:$10)-1,""))</f>
        <v>012456789</v>
      </c>
      <c r="BX441" s="20" t="str">
        <f t="shared" si="216"/>
        <v>复中中</v>
      </c>
      <c r="BY441" s="23" t="str">
        <f t="shared" si="210"/>
        <v>35</v>
      </c>
      <c r="BZ441" s="24" t="str">
        <f t="array" ref="BZ441">_xlfn.TEXTJOIN("",TRUE,IF(ISNUMBER(FIND(MID(BY440&amp;Q440,ROW($1:$4),1),BY441&amp;Q441)),MID(BY440&amp;Q440,ROW($1:$4),1),""))</f>
        <v>43</v>
      </c>
      <c r="CA441" s="25" t="str">
        <f t="array" ref="CA441">_xlfn.TEXTJOIN("",TRUE,IF(ISERROR(FIND(ROW($1:$10)-1,BY441&amp;BZ441)),ROW($1:$10)-1,""))</f>
        <v>0126789</v>
      </c>
      <c r="CB441" s="26" t="str">
        <f t="shared" si="217"/>
        <v>邻传孤</v>
      </c>
      <c r="CC441" s="27" t="str">
        <f t="shared" si="218"/>
        <v>02</v>
      </c>
      <c r="CD441" s="27" t="str">
        <f t="array" ref="CD441">_xlfn.TEXTJOIN("",TRUE,IF(ISNUMBER(FIND(MID(CC440&amp;R440,ROW($1:$4),1),CC441&amp;R441)),MID(CC440&amp;R440,ROW($1:$4),1),""))</f>
        <v/>
      </c>
      <c r="CE441" s="27" t="str">
        <f t="array" ref="CE441">_xlfn.TEXTJOIN("",TRUE,IF(ISERROR(FIND(ROW($1:$10)-1,CC441&amp;CD441)),ROW($1:$10)-1,""))</f>
        <v>13456789</v>
      </c>
      <c r="CF441" s="17" t="str">
        <f t="shared" si="219"/>
        <v>邻孤孤</v>
      </c>
      <c r="CG441" s="22" t="str">
        <f t="shared" si="220"/>
        <v>24</v>
      </c>
      <c r="CH441" s="22" t="str">
        <f t="array" ref="CH441">_xlfn.TEXTJOIN("",TRUE,IF(ISNUMBER(FIND(MID(CG440&amp;S440,ROW($1:$4),1),CG441&amp;S441)),MID(CG440&amp;S440,ROW($1:$4),1),""))</f>
        <v>32</v>
      </c>
      <c r="CI441" s="22" t="str">
        <f t="array" ref="CI441">_xlfn.TEXTJOIN("",TRUE,IF(ISERROR(FIND(ROW($1:$10)-1,CG441&amp;CH441)),ROW($1:$10)-1,""))</f>
        <v>0156789</v>
      </c>
      <c r="CJ441" s="28" t="str">
        <f t="shared" si="221"/>
        <v>邻传孤</v>
      </c>
    </row>
    <row r="442" spans="1:88">
      <c r="A442" s="32">
        <v>2025217</v>
      </c>
      <c r="B442" s="8" t="s">
        <v>367</v>
      </c>
      <c r="C442" s="49">
        <f t="shared" si="230"/>
        <v>21</v>
      </c>
      <c r="D442" s="50">
        <f t="shared" si="231"/>
        <v>1</v>
      </c>
      <c r="E442" s="51">
        <f t="shared" si="207"/>
        <v>7</v>
      </c>
      <c r="F442" s="52">
        <f>MAX(MID(B442,{1,2,3},1)*1)-MIN(MID(B442,{1,2,3},1)*1)</f>
        <v>5</v>
      </c>
      <c r="G442" s="104">
        <v>0</v>
      </c>
      <c r="H442" s="104">
        <v>1</v>
      </c>
      <c r="I442" s="104">
        <v>2</v>
      </c>
      <c r="J442" s="104">
        <v>3</v>
      </c>
      <c r="K442" s="104">
        <v>4</v>
      </c>
      <c r="L442" s="104">
        <v>5</v>
      </c>
      <c r="M442" s="104">
        <v>6</v>
      </c>
      <c r="N442" s="104">
        <v>7</v>
      </c>
      <c r="O442" s="104">
        <v>8</v>
      </c>
      <c r="P442" s="104">
        <v>9</v>
      </c>
      <c r="Q442" s="53">
        <f t="shared" si="232"/>
        <v>1</v>
      </c>
      <c r="R442" s="53">
        <f t="shared" si="233"/>
        <v>4</v>
      </c>
      <c r="S442" s="53">
        <f t="shared" si="234"/>
        <v>5</v>
      </c>
      <c r="T442" s="101">
        <f t="shared" si="208"/>
        <v>10</v>
      </c>
      <c r="U442" s="15" t="str">
        <f>_xlfn.TEXTJOIN(", ",TRUE,ABS(MID(B442,{1,1,2},1)-MID(B442,{2,3,3},1)))</f>
        <v>1, 4, 5</v>
      </c>
      <c r="V442" s="54">
        <v>0</v>
      </c>
      <c r="W442" s="54">
        <v>1</v>
      </c>
      <c r="X442" s="54">
        <v>2</v>
      </c>
      <c r="Y442" s="54">
        <v>3</v>
      </c>
      <c r="Z442" s="54">
        <v>4</v>
      </c>
      <c r="AA442" s="54">
        <v>5</v>
      </c>
      <c r="AB442" s="54">
        <v>6</v>
      </c>
      <c r="AC442" s="54">
        <v>7</v>
      </c>
      <c r="AD442" s="54">
        <v>8</v>
      </c>
      <c r="AE442" s="54">
        <v>9</v>
      </c>
      <c r="AF442" s="55">
        <v>0</v>
      </c>
      <c r="AG442" s="55">
        <v>1</v>
      </c>
      <c r="AH442" s="55">
        <v>2</v>
      </c>
      <c r="AI442" s="55">
        <v>3</v>
      </c>
      <c r="AJ442" s="55">
        <v>4</v>
      </c>
      <c r="AK442" s="55">
        <v>5</v>
      </c>
      <c r="AL442" s="55">
        <v>6</v>
      </c>
      <c r="AM442" s="55">
        <v>7</v>
      </c>
      <c r="AN442" s="55">
        <v>8</v>
      </c>
      <c r="AO442" s="55">
        <v>9</v>
      </c>
      <c r="AP442" s="105">
        <v>0</v>
      </c>
      <c r="AQ442" s="105">
        <v>1</v>
      </c>
      <c r="AR442" s="105">
        <v>2</v>
      </c>
      <c r="AS442" s="105">
        <v>3</v>
      </c>
      <c r="AT442" s="105">
        <v>4</v>
      </c>
      <c r="AU442" s="105">
        <v>5</v>
      </c>
      <c r="AV442" s="105">
        <v>6</v>
      </c>
      <c r="AW442" s="105">
        <v>7</v>
      </c>
      <c r="AX442" s="105">
        <v>8</v>
      </c>
      <c r="AY442" s="105">
        <v>9</v>
      </c>
      <c r="AZ442" s="56">
        <v>0</v>
      </c>
      <c r="BA442" s="56">
        <v>1</v>
      </c>
      <c r="BB442" s="56">
        <v>2</v>
      </c>
      <c r="BC442" s="56">
        <v>3</v>
      </c>
      <c r="BD442" s="56">
        <v>4</v>
      </c>
      <c r="BE442" s="56">
        <v>5</v>
      </c>
      <c r="BF442" s="56">
        <v>6</v>
      </c>
      <c r="BG442" s="56">
        <v>7</v>
      </c>
      <c r="BH442" s="56">
        <v>8</v>
      </c>
      <c r="BI442" s="56">
        <v>9</v>
      </c>
      <c r="BJ442" s="57" t="str">
        <f t="shared" si="209"/>
        <v>标准型</v>
      </c>
      <c r="BK442" s="13">
        <f t="shared" si="205"/>
        <v>1</v>
      </c>
      <c r="BL442" s="13">
        <f t="shared" si="206"/>
        <v>5</v>
      </c>
      <c r="BM442" s="18">
        <f t="shared" si="211"/>
        <v>1</v>
      </c>
      <c r="BN442" s="19" t="str">
        <f t="shared" si="212"/>
        <v/>
      </c>
      <c r="BO442" s="19" t="str">
        <f t="array" ref="BO442">_xlfn.TEXTJOIN("",TRUE,IF(ISERROR(FIND(ROW($1:$10)-1,BM442&amp;BN442)),ROW($1:$10)-1,""))</f>
        <v>023456789</v>
      </c>
      <c r="BP442" s="20" t="str">
        <f t="shared" si="213"/>
        <v>复中中</v>
      </c>
      <c r="BQ442" s="21">
        <f t="shared" si="224"/>
        <v>4</v>
      </c>
      <c r="BR442" s="21" t="str">
        <f t="shared" si="222"/>
        <v/>
      </c>
      <c r="BS442" s="21" t="str">
        <f t="array" ref="BS442">_xlfn.TEXTJOIN("",TRUE,IF(ISERROR(FIND(ROW($1:$10)-1,BQ442&amp;BR442)),ROW($1:$10)-1,""))</f>
        <v>012356789</v>
      </c>
      <c r="BT442" s="20" t="str">
        <f t="shared" si="214"/>
        <v>复中中</v>
      </c>
      <c r="BU442" s="22" t="str">
        <f t="shared" si="215"/>
        <v/>
      </c>
      <c r="BV442" s="22">
        <f t="shared" si="223"/>
        <v>5</v>
      </c>
      <c r="BW442" s="22" t="str">
        <f t="array" ref="BW442">_xlfn.TEXTJOIN("",TRUE,IF(ISERROR(FIND(ROW($1:$10)-1,BU442&amp;BV442)),ROW($1:$10)-1,""))</f>
        <v>012346789</v>
      </c>
      <c r="BX442" s="20" t="str">
        <f t="shared" si="216"/>
        <v>中隔中</v>
      </c>
      <c r="BY442" s="23" t="str">
        <f t="shared" si="210"/>
        <v>02</v>
      </c>
      <c r="BZ442" s="24" t="str">
        <f t="array" ref="BZ442">_xlfn.TEXTJOIN("",TRUE,IF(ISNUMBER(FIND(MID(BY441&amp;Q441,ROW($1:$4),1),BY442&amp;Q442)),MID(BY441&amp;Q441,ROW($1:$4),1),""))</f>
        <v/>
      </c>
      <c r="CA442" s="25" t="str">
        <f t="array" ref="CA442">_xlfn.TEXTJOIN("",TRUE,IF(ISERROR(FIND(ROW($1:$10)-1,BY442&amp;BZ442)),ROW($1:$10)-1,""))</f>
        <v>13456789</v>
      </c>
      <c r="CB442" s="26" t="str">
        <f t="shared" si="217"/>
        <v>邻孤孤</v>
      </c>
      <c r="CC442" s="27" t="str">
        <f t="shared" si="218"/>
        <v>35</v>
      </c>
      <c r="CD442" s="27" t="str">
        <f t="array" ref="CD442">_xlfn.TEXTJOIN("",TRUE,IF(ISNUMBER(FIND(MID(CC441&amp;R441,ROW($1:$4),1),CC442&amp;R442)),MID(CC441&amp;R441,ROW($1:$4),1),""))</f>
        <v/>
      </c>
      <c r="CE442" s="27" t="str">
        <f t="array" ref="CE442">_xlfn.TEXTJOIN("",TRUE,IF(ISERROR(FIND(ROW($1:$10)-1,CC442&amp;CD442)),ROW($1:$10)-1,""))</f>
        <v>01246789</v>
      </c>
      <c r="CF442" s="17" t="str">
        <f t="shared" si="219"/>
        <v>邻孤孤</v>
      </c>
      <c r="CG442" s="22" t="str">
        <f t="shared" si="220"/>
        <v>46</v>
      </c>
      <c r="CH442" s="22" t="str">
        <f t="array" ref="CH442">_xlfn.TEXTJOIN("",TRUE,IF(ISNUMBER(FIND(MID(CG441&amp;S441,ROW($1:$4),1),CG442&amp;S442)),MID(CG441&amp;S441,ROW($1:$4),1),""))</f>
        <v>4</v>
      </c>
      <c r="CI442" s="22" t="str">
        <f t="array" ref="CI442">_xlfn.TEXTJOIN("",TRUE,IF(ISERROR(FIND(ROW($1:$10)-1,CG442&amp;CH442)),ROW($1:$10)-1,""))</f>
        <v>01235789</v>
      </c>
      <c r="CJ442" s="28" t="str">
        <f t="shared" si="221"/>
        <v>邻传孤</v>
      </c>
    </row>
    <row r="443" spans="1:88">
      <c r="A443" s="32">
        <v>2025218</v>
      </c>
      <c r="B443" s="8" t="s">
        <v>368</v>
      </c>
      <c r="C443" s="49">
        <f t="shared" si="230"/>
        <v>13</v>
      </c>
      <c r="D443" s="50">
        <f t="shared" si="231"/>
        <v>3</v>
      </c>
      <c r="E443" s="51">
        <f t="shared" si="207"/>
        <v>4.3333333333333304</v>
      </c>
      <c r="F443" s="52">
        <f>MAX(MID(B443,{1,2,3},1)*1)-MIN(MID(B443,{1,2,3},1)*1)</f>
        <v>4</v>
      </c>
      <c r="G443" s="104">
        <v>0</v>
      </c>
      <c r="H443" s="104">
        <v>1</v>
      </c>
      <c r="I443" s="104">
        <v>2</v>
      </c>
      <c r="J443" s="104">
        <v>3</v>
      </c>
      <c r="K443" s="104">
        <v>4</v>
      </c>
      <c r="L443" s="104">
        <v>5</v>
      </c>
      <c r="M443" s="104">
        <v>6</v>
      </c>
      <c r="N443" s="104">
        <v>7</v>
      </c>
      <c r="O443" s="104">
        <v>8</v>
      </c>
      <c r="P443" s="104">
        <v>9</v>
      </c>
      <c r="Q443" s="53">
        <f t="shared" si="232"/>
        <v>3</v>
      </c>
      <c r="R443" s="53">
        <f t="shared" si="233"/>
        <v>1</v>
      </c>
      <c r="S443" s="53">
        <f t="shared" si="234"/>
        <v>4</v>
      </c>
      <c r="T443" s="101">
        <f t="shared" si="208"/>
        <v>8</v>
      </c>
      <c r="U443" s="15" t="str">
        <f>_xlfn.TEXTJOIN(", ",TRUE,ABS(MID(B443,{1,1,2},1)-MID(B443,{2,3,3},1)))</f>
        <v>3, 1, 4</v>
      </c>
      <c r="V443" s="54">
        <v>0</v>
      </c>
      <c r="W443" s="54">
        <v>1</v>
      </c>
      <c r="X443" s="54">
        <v>2</v>
      </c>
      <c r="Y443" s="54">
        <v>3</v>
      </c>
      <c r="Z443" s="54">
        <v>4</v>
      </c>
      <c r="AA443" s="54">
        <v>5</v>
      </c>
      <c r="AB443" s="54">
        <v>6</v>
      </c>
      <c r="AC443" s="54">
        <v>7</v>
      </c>
      <c r="AD443" s="54">
        <v>8</v>
      </c>
      <c r="AE443" s="54">
        <v>9</v>
      </c>
      <c r="AF443" s="55">
        <v>0</v>
      </c>
      <c r="AG443" s="55">
        <v>1</v>
      </c>
      <c r="AH443" s="55">
        <v>2</v>
      </c>
      <c r="AI443" s="55">
        <v>3</v>
      </c>
      <c r="AJ443" s="55">
        <v>4</v>
      </c>
      <c r="AK443" s="55">
        <v>5</v>
      </c>
      <c r="AL443" s="55">
        <v>6</v>
      </c>
      <c r="AM443" s="55">
        <v>7</v>
      </c>
      <c r="AN443" s="55">
        <v>8</v>
      </c>
      <c r="AO443" s="55">
        <v>9</v>
      </c>
      <c r="AP443" s="105">
        <v>0</v>
      </c>
      <c r="AQ443" s="105">
        <v>1</v>
      </c>
      <c r="AR443" s="105">
        <v>2</v>
      </c>
      <c r="AS443" s="105">
        <v>3</v>
      </c>
      <c r="AT443" s="105">
        <v>4</v>
      </c>
      <c r="AU443" s="105">
        <v>5</v>
      </c>
      <c r="AV443" s="105">
        <v>6</v>
      </c>
      <c r="AW443" s="105">
        <v>7</v>
      </c>
      <c r="AX443" s="105">
        <v>8</v>
      </c>
      <c r="AY443" s="105">
        <v>9</v>
      </c>
      <c r="AZ443" s="56">
        <v>0</v>
      </c>
      <c r="BA443" s="56">
        <v>1</v>
      </c>
      <c r="BB443" s="56">
        <v>2</v>
      </c>
      <c r="BC443" s="56">
        <v>3</v>
      </c>
      <c r="BD443" s="56">
        <v>4</v>
      </c>
      <c r="BE443" s="56">
        <v>5</v>
      </c>
      <c r="BF443" s="56">
        <v>6</v>
      </c>
      <c r="BG443" s="56">
        <v>7</v>
      </c>
      <c r="BH443" s="56">
        <v>8</v>
      </c>
      <c r="BI443" s="56">
        <v>9</v>
      </c>
      <c r="BJ443" s="57" t="str">
        <f t="shared" si="209"/>
        <v>紧凑型</v>
      </c>
      <c r="BK443" s="13">
        <f t="shared" si="205"/>
        <v>1</v>
      </c>
      <c r="BL443" s="13">
        <f t="shared" si="206"/>
        <v>4</v>
      </c>
      <c r="BM443" s="18" t="str">
        <f t="shared" si="211"/>
        <v/>
      </c>
      <c r="BN443" s="19">
        <f t="shared" si="212"/>
        <v>3</v>
      </c>
      <c r="BO443" s="19" t="str">
        <f t="array" ref="BO443">_xlfn.TEXTJOIN("",TRUE,IF(ISERROR(FIND(ROW($1:$10)-1,BM443&amp;BN443)),ROW($1:$10)-1,""))</f>
        <v>012456789</v>
      </c>
      <c r="BP443" s="20" t="str">
        <f t="shared" si="213"/>
        <v>中隔中</v>
      </c>
      <c r="BQ443" s="21">
        <f t="shared" si="224"/>
        <v>1</v>
      </c>
      <c r="BR443" s="21">
        <f t="shared" si="222"/>
        <v>1</v>
      </c>
      <c r="BS443" s="21" t="str">
        <f t="array" ref="BS443">_xlfn.TEXTJOIN("",TRUE,IF(ISERROR(FIND(ROW($1:$10)-1,BQ443&amp;BR443)),ROW($1:$10)-1,""))</f>
        <v>023456789</v>
      </c>
      <c r="BT443" s="20" t="str">
        <f t="shared" si="214"/>
        <v>复隔中</v>
      </c>
      <c r="BU443" s="22">
        <f t="shared" si="215"/>
        <v>4</v>
      </c>
      <c r="BV443" s="22">
        <f t="shared" si="223"/>
        <v>4</v>
      </c>
      <c r="BW443" s="22" t="str">
        <f t="array" ref="BW443">_xlfn.TEXTJOIN("",TRUE,IF(ISERROR(FIND(ROW($1:$10)-1,BU443&amp;BV443)),ROW($1:$10)-1,""))</f>
        <v>012356789</v>
      </c>
      <c r="BX443" s="20" t="str">
        <f t="shared" si="216"/>
        <v>复隔中</v>
      </c>
      <c r="BY443" s="23" t="str">
        <f t="shared" si="210"/>
        <v>24</v>
      </c>
      <c r="BZ443" s="24" t="str">
        <f t="array" ref="BZ443">_xlfn.TEXTJOIN("",TRUE,IF(ISNUMBER(FIND(MID(BY442&amp;Q442,ROW($1:$4),1),BY443&amp;Q443)),MID(BY442&amp;Q442,ROW($1:$4),1),""))</f>
        <v>2</v>
      </c>
      <c r="CA443" s="25" t="str">
        <f t="array" ref="CA443">_xlfn.TEXTJOIN("",TRUE,IF(ISERROR(FIND(ROW($1:$10)-1,BY443&amp;BZ443)),ROW($1:$10)-1,""))</f>
        <v>01356789</v>
      </c>
      <c r="CB443" s="26" t="str">
        <f t="shared" si="217"/>
        <v>邻传孤</v>
      </c>
      <c r="CC443" s="27" t="str">
        <f t="shared" si="218"/>
        <v>02</v>
      </c>
      <c r="CD443" s="27" t="str">
        <f t="array" ref="CD443">_xlfn.TEXTJOIN("",TRUE,IF(ISNUMBER(FIND(MID(CC442&amp;R442,ROW($1:$4),1),CC443&amp;R443)),MID(CC442&amp;R442,ROW($1:$4),1),""))</f>
        <v/>
      </c>
      <c r="CE443" s="27" t="str">
        <f t="array" ref="CE443">_xlfn.TEXTJOIN("",TRUE,IF(ISERROR(FIND(ROW($1:$10)-1,CC443&amp;CD443)),ROW($1:$10)-1,""))</f>
        <v>13456789</v>
      </c>
      <c r="CF443" s="17" t="str">
        <f t="shared" si="219"/>
        <v>邻孤孤</v>
      </c>
      <c r="CG443" s="22" t="str">
        <f t="shared" si="220"/>
        <v>35</v>
      </c>
      <c r="CH443" s="22" t="str">
        <f t="array" ref="CH443">_xlfn.TEXTJOIN("",TRUE,IF(ISNUMBER(FIND(MID(CG442&amp;S442,ROW($1:$4),1),CG443&amp;S443)),MID(CG442&amp;S442,ROW($1:$4),1),""))</f>
        <v>45</v>
      </c>
      <c r="CI443" s="22" t="str">
        <f t="array" ref="CI443">_xlfn.TEXTJOIN("",TRUE,IF(ISERROR(FIND(ROW($1:$10)-1,CG443&amp;CH443)),ROW($1:$10)-1,""))</f>
        <v>0126789</v>
      </c>
      <c r="CJ443" s="28" t="str">
        <f t="shared" si="221"/>
        <v>邻传孤</v>
      </c>
    </row>
    <row r="444" spans="1:88">
      <c r="A444" s="32">
        <v>2025219</v>
      </c>
      <c r="B444" s="8" t="s">
        <v>159</v>
      </c>
      <c r="C444" s="49">
        <f t="shared" si="230"/>
        <v>9</v>
      </c>
      <c r="D444" s="50">
        <f t="shared" si="231"/>
        <v>9</v>
      </c>
      <c r="E444" s="51">
        <f t="shared" si="207"/>
        <v>3</v>
      </c>
      <c r="F444" s="52">
        <f>MAX(MID(B444,{1,2,3},1)*1)-MIN(MID(B444,{1,2,3},1)*1)</f>
        <v>9</v>
      </c>
      <c r="G444" s="104">
        <v>0</v>
      </c>
      <c r="H444" s="104">
        <v>1</v>
      </c>
      <c r="I444" s="104">
        <v>2</v>
      </c>
      <c r="J444" s="104">
        <v>3</v>
      </c>
      <c r="K444" s="104">
        <v>4</v>
      </c>
      <c r="L444" s="104">
        <v>5</v>
      </c>
      <c r="M444" s="104">
        <v>6</v>
      </c>
      <c r="N444" s="104">
        <v>7</v>
      </c>
      <c r="O444" s="104">
        <v>8</v>
      </c>
      <c r="P444" s="104">
        <v>9</v>
      </c>
      <c r="Q444" s="53">
        <f t="shared" si="232"/>
        <v>9</v>
      </c>
      <c r="R444" s="53">
        <f t="shared" si="233"/>
        <v>9</v>
      </c>
      <c r="S444" s="53">
        <f t="shared" si="234"/>
        <v>0</v>
      </c>
      <c r="T444" s="101">
        <f t="shared" si="208"/>
        <v>18</v>
      </c>
      <c r="U444" s="15" t="str">
        <f>_xlfn.TEXTJOIN(", ",TRUE,ABS(MID(B444,{1,1,2},1)-MID(B444,{2,3,3},1)))</f>
        <v>9, 9, 0</v>
      </c>
      <c r="V444" s="54">
        <v>0</v>
      </c>
      <c r="W444" s="54">
        <v>1</v>
      </c>
      <c r="X444" s="54">
        <v>2</v>
      </c>
      <c r="Y444" s="54">
        <v>3</v>
      </c>
      <c r="Z444" s="54">
        <v>4</v>
      </c>
      <c r="AA444" s="54">
        <v>5</v>
      </c>
      <c r="AB444" s="54">
        <v>6</v>
      </c>
      <c r="AC444" s="54">
        <v>7</v>
      </c>
      <c r="AD444" s="54">
        <v>8</v>
      </c>
      <c r="AE444" s="54">
        <v>9</v>
      </c>
      <c r="AF444" s="55">
        <v>0</v>
      </c>
      <c r="AG444" s="55">
        <v>1</v>
      </c>
      <c r="AH444" s="55">
        <v>2</v>
      </c>
      <c r="AI444" s="55">
        <v>3</v>
      </c>
      <c r="AJ444" s="55">
        <v>4</v>
      </c>
      <c r="AK444" s="55">
        <v>5</v>
      </c>
      <c r="AL444" s="55">
        <v>6</v>
      </c>
      <c r="AM444" s="55">
        <v>7</v>
      </c>
      <c r="AN444" s="55">
        <v>8</v>
      </c>
      <c r="AO444" s="55">
        <v>9</v>
      </c>
      <c r="AP444" s="105">
        <v>0</v>
      </c>
      <c r="AQ444" s="105">
        <v>1</v>
      </c>
      <c r="AR444" s="105">
        <v>2</v>
      </c>
      <c r="AS444" s="105">
        <v>3</v>
      </c>
      <c r="AT444" s="105">
        <v>4</v>
      </c>
      <c r="AU444" s="105">
        <v>5</v>
      </c>
      <c r="AV444" s="105">
        <v>6</v>
      </c>
      <c r="AW444" s="105">
        <v>7</v>
      </c>
      <c r="AX444" s="105">
        <v>8</v>
      </c>
      <c r="AY444" s="105">
        <v>9</v>
      </c>
      <c r="AZ444" s="56">
        <v>0</v>
      </c>
      <c r="BA444" s="56">
        <v>1</v>
      </c>
      <c r="BB444" s="56">
        <v>2</v>
      </c>
      <c r="BC444" s="56">
        <v>3</v>
      </c>
      <c r="BD444" s="56">
        <v>4</v>
      </c>
      <c r="BE444" s="56">
        <v>5</v>
      </c>
      <c r="BF444" s="56">
        <v>6</v>
      </c>
      <c r="BG444" s="56">
        <v>7</v>
      </c>
      <c r="BH444" s="56">
        <v>8</v>
      </c>
      <c r="BI444" s="56">
        <v>9</v>
      </c>
      <c r="BJ444" s="57" t="str">
        <f t="shared" si="209"/>
        <v>松散型</v>
      </c>
      <c r="BK444" s="13">
        <f t="shared" si="205"/>
        <v>0</v>
      </c>
      <c r="BL444" s="13">
        <f t="shared" si="206"/>
        <v>9</v>
      </c>
      <c r="BM444" s="18" t="str">
        <f t="shared" si="211"/>
        <v/>
      </c>
      <c r="BN444" s="19" t="str">
        <f t="shared" si="212"/>
        <v/>
      </c>
      <c r="BO444" s="19" t="str">
        <f t="array" ref="BO444">_xlfn.TEXTJOIN("",TRUE,IF(ISERROR(FIND(ROW($1:$10)-1,BM444&amp;BN444)),ROW($1:$10)-1,""))</f>
        <v>0123456789</v>
      </c>
      <c r="BP444" s="20" t="str">
        <f t="shared" si="213"/>
        <v>中中中</v>
      </c>
      <c r="BQ444" s="21" t="str">
        <f t="shared" si="224"/>
        <v/>
      </c>
      <c r="BR444" s="21" t="str">
        <f t="shared" si="222"/>
        <v/>
      </c>
      <c r="BS444" s="21" t="str">
        <f t="array" ref="BS444">_xlfn.TEXTJOIN("",TRUE,IF(ISERROR(FIND(ROW($1:$10)-1,BQ444&amp;BR444)),ROW($1:$10)-1,""))</f>
        <v>0123456789</v>
      </c>
      <c r="BT444" s="20" t="str">
        <f t="shared" si="214"/>
        <v>中中中</v>
      </c>
      <c r="BU444" s="22" t="str">
        <f t="shared" si="215"/>
        <v/>
      </c>
      <c r="BV444" s="22" t="str">
        <f t="shared" si="223"/>
        <v/>
      </c>
      <c r="BW444" s="22" t="str">
        <f t="array" ref="BW444">_xlfn.TEXTJOIN("",TRUE,IF(ISERROR(FIND(ROW($1:$10)-1,BU444&amp;BV444)),ROW($1:$10)-1,""))</f>
        <v>0123456789</v>
      </c>
      <c r="BX444" s="20" t="str">
        <f t="shared" si="216"/>
        <v>中中中</v>
      </c>
      <c r="BY444" s="23" t="str">
        <f t="shared" si="210"/>
        <v>80</v>
      </c>
      <c r="BZ444" s="24" t="str">
        <f t="array" ref="BZ444">_xlfn.TEXTJOIN("",TRUE,IF(ISNUMBER(FIND(MID(BY443&amp;Q443,ROW($1:$4),1),BY444&amp;Q444)),MID(BY443&amp;Q443,ROW($1:$4),1),""))</f>
        <v/>
      </c>
      <c r="CA444" s="25" t="str">
        <f t="array" ref="CA444">_xlfn.TEXTJOIN("",TRUE,IF(ISERROR(FIND(ROW($1:$10)-1,BY444&amp;BZ444)),ROW($1:$10)-1,""))</f>
        <v>12345679</v>
      </c>
      <c r="CB444" s="26" t="str">
        <f t="shared" si="217"/>
        <v>邻孤孤</v>
      </c>
      <c r="CC444" s="27" t="str">
        <f t="shared" si="218"/>
        <v>80</v>
      </c>
      <c r="CD444" s="27" t="str">
        <f t="array" ref="CD444">_xlfn.TEXTJOIN("",TRUE,IF(ISNUMBER(FIND(MID(CC443&amp;R443,ROW($1:$4),1),CC444&amp;R444)),MID(CC443&amp;R443,ROW($1:$4),1),""))</f>
        <v>0</v>
      </c>
      <c r="CE444" s="27" t="str">
        <f t="array" ref="CE444">_xlfn.TEXTJOIN("",TRUE,IF(ISERROR(FIND(ROW($1:$10)-1,CC444&amp;CD444)),ROW($1:$10)-1,""))</f>
        <v>12345679</v>
      </c>
      <c r="CF444" s="17" t="str">
        <f t="shared" si="219"/>
        <v>邻传孤</v>
      </c>
      <c r="CG444" s="22" t="str">
        <f t="shared" si="220"/>
        <v>91</v>
      </c>
      <c r="CH444" s="22" t="str">
        <f t="array" ref="CH444">_xlfn.TEXTJOIN("",TRUE,IF(ISNUMBER(FIND(MID(CG443&amp;S443,ROW($1:$4),1),CG444&amp;S444)),MID(CG443&amp;S443,ROW($1:$4),1),""))</f>
        <v/>
      </c>
      <c r="CI444" s="22" t="str">
        <f t="array" ref="CI444">_xlfn.TEXTJOIN("",TRUE,IF(ISERROR(FIND(ROW($1:$10)-1,CG444&amp;CH444)),ROW($1:$10)-1,""))</f>
        <v>02345678</v>
      </c>
      <c r="CJ444" s="28" t="str">
        <f t="shared" si="221"/>
        <v>邻孤孤</v>
      </c>
    </row>
    <row r="445" spans="1:88">
      <c r="A445" s="32">
        <v>2025220</v>
      </c>
      <c r="B445" s="8" t="s">
        <v>36</v>
      </c>
      <c r="C445" s="49">
        <f t="shared" si="230"/>
        <v>14</v>
      </c>
      <c r="D445" s="50">
        <f t="shared" si="231"/>
        <v>4</v>
      </c>
      <c r="E445" s="51">
        <f t="shared" si="207"/>
        <v>4.6666666666666696</v>
      </c>
      <c r="F445" s="52">
        <f>MAX(MID(B445,{1,2,3},1)*1)-MIN(MID(B445,{1,2,3},1)*1)</f>
        <v>3</v>
      </c>
      <c r="G445" s="104">
        <v>0</v>
      </c>
      <c r="H445" s="104">
        <v>1</v>
      </c>
      <c r="I445" s="104">
        <v>2</v>
      </c>
      <c r="J445" s="104">
        <v>3</v>
      </c>
      <c r="K445" s="104">
        <v>4</v>
      </c>
      <c r="L445" s="104">
        <v>5</v>
      </c>
      <c r="M445" s="104">
        <v>6</v>
      </c>
      <c r="N445" s="104">
        <v>7</v>
      </c>
      <c r="O445" s="104">
        <v>8</v>
      </c>
      <c r="P445" s="104">
        <v>9</v>
      </c>
      <c r="Q445" s="53">
        <f t="shared" si="232"/>
        <v>2</v>
      </c>
      <c r="R445" s="53">
        <f t="shared" si="233"/>
        <v>1</v>
      </c>
      <c r="S445" s="53">
        <f t="shared" si="234"/>
        <v>3</v>
      </c>
      <c r="T445" s="101">
        <f t="shared" si="208"/>
        <v>6</v>
      </c>
      <c r="U445" s="15" t="str">
        <f>_xlfn.TEXTJOIN(", ",TRUE,ABS(MID(B445,{1,1,2},1)-MID(B445,{2,3,3},1)))</f>
        <v>2, 1, 3</v>
      </c>
      <c r="V445" s="54">
        <v>0</v>
      </c>
      <c r="W445" s="54">
        <v>1</v>
      </c>
      <c r="X445" s="54">
        <v>2</v>
      </c>
      <c r="Y445" s="54">
        <v>3</v>
      </c>
      <c r="Z445" s="54">
        <v>4</v>
      </c>
      <c r="AA445" s="54">
        <v>5</v>
      </c>
      <c r="AB445" s="54">
        <v>6</v>
      </c>
      <c r="AC445" s="54">
        <v>7</v>
      </c>
      <c r="AD445" s="54">
        <v>8</v>
      </c>
      <c r="AE445" s="54">
        <v>9</v>
      </c>
      <c r="AF445" s="55">
        <v>0</v>
      </c>
      <c r="AG445" s="55">
        <v>1</v>
      </c>
      <c r="AH445" s="55">
        <v>2</v>
      </c>
      <c r="AI445" s="55">
        <v>3</v>
      </c>
      <c r="AJ445" s="55">
        <v>4</v>
      </c>
      <c r="AK445" s="55">
        <v>5</v>
      </c>
      <c r="AL445" s="55">
        <v>6</v>
      </c>
      <c r="AM445" s="55">
        <v>7</v>
      </c>
      <c r="AN445" s="55">
        <v>8</v>
      </c>
      <c r="AO445" s="55">
        <v>9</v>
      </c>
      <c r="AP445" s="105">
        <v>0</v>
      </c>
      <c r="AQ445" s="105">
        <v>1</v>
      </c>
      <c r="AR445" s="105">
        <v>2</v>
      </c>
      <c r="AS445" s="105">
        <v>3</v>
      </c>
      <c r="AT445" s="105">
        <v>4</v>
      </c>
      <c r="AU445" s="105">
        <v>5</v>
      </c>
      <c r="AV445" s="105">
        <v>6</v>
      </c>
      <c r="AW445" s="105">
        <v>7</v>
      </c>
      <c r="AX445" s="105">
        <v>8</v>
      </c>
      <c r="AY445" s="105">
        <v>9</v>
      </c>
      <c r="AZ445" s="56">
        <v>0</v>
      </c>
      <c r="BA445" s="56">
        <v>1</v>
      </c>
      <c r="BB445" s="56">
        <v>2</v>
      </c>
      <c r="BC445" s="56">
        <v>3</v>
      </c>
      <c r="BD445" s="56">
        <v>4</v>
      </c>
      <c r="BE445" s="56">
        <v>5</v>
      </c>
      <c r="BF445" s="56">
        <v>6</v>
      </c>
      <c r="BG445" s="56">
        <v>7</v>
      </c>
      <c r="BH445" s="56">
        <v>8</v>
      </c>
      <c r="BI445" s="56">
        <v>9</v>
      </c>
      <c r="BJ445" s="57" t="str">
        <f t="shared" si="209"/>
        <v>紧凑型</v>
      </c>
      <c r="BK445" s="13">
        <f t="shared" si="205"/>
        <v>1</v>
      </c>
      <c r="BL445" s="13">
        <f t="shared" si="206"/>
        <v>3</v>
      </c>
      <c r="BM445" s="18" t="str">
        <f t="shared" si="211"/>
        <v/>
      </c>
      <c r="BN445" s="19" t="str">
        <f t="shared" si="212"/>
        <v/>
      </c>
      <c r="BO445" s="19" t="str">
        <f t="array" ref="BO445">_xlfn.TEXTJOIN("",TRUE,IF(ISERROR(FIND(ROW($1:$10)-1,BM445&amp;BN445)),ROW($1:$10)-1,""))</f>
        <v>0123456789</v>
      </c>
      <c r="BP445" s="20" t="str">
        <f t="shared" si="213"/>
        <v>中中中</v>
      </c>
      <c r="BQ445" s="21" t="str">
        <f t="shared" si="224"/>
        <v/>
      </c>
      <c r="BR445" s="21">
        <f t="shared" si="222"/>
        <v>1</v>
      </c>
      <c r="BS445" s="21" t="str">
        <f t="array" ref="BS445">_xlfn.TEXTJOIN("",TRUE,IF(ISERROR(FIND(ROW($1:$10)-1,BQ445&amp;BR445)),ROW($1:$10)-1,""))</f>
        <v>023456789</v>
      </c>
      <c r="BT445" s="20" t="str">
        <f t="shared" si="214"/>
        <v>中隔中</v>
      </c>
      <c r="BU445" s="22" t="str">
        <f t="shared" si="215"/>
        <v/>
      </c>
      <c r="BV445" s="22">
        <f t="shared" si="223"/>
        <v>3</v>
      </c>
      <c r="BW445" s="22" t="str">
        <f t="array" ref="BW445">_xlfn.TEXTJOIN("",TRUE,IF(ISERROR(FIND(ROW($1:$10)-1,BU445&amp;BV445)),ROW($1:$10)-1,""))</f>
        <v>012456789</v>
      </c>
      <c r="BX445" s="20" t="str">
        <f t="shared" si="216"/>
        <v>中隔中</v>
      </c>
      <c r="BY445" s="23" t="str">
        <f t="shared" si="210"/>
        <v>13</v>
      </c>
      <c r="BZ445" s="24" t="str">
        <f t="array" ref="BZ445">_xlfn.TEXTJOIN("",TRUE,IF(ISNUMBER(FIND(MID(BY444&amp;Q444,ROW($1:$4),1),BY445&amp;Q445)),MID(BY444&amp;Q444,ROW($1:$4),1),""))</f>
        <v/>
      </c>
      <c r="CA445" s="25" t="str">
        <f t="array" ref="CA445">_xlfn.TEXTJOIN("",TRUE,IF(ISERROR(FIND(ROW($1:$10)-1,BY445&amp;BZ445)),ROW($1:$10)-1,""))</f>
        <v>02456789</v>
      </c>
      <c r="CB445" s="26" t="str">
        <f t="shared" si="217"/>
        <v>邻孤孤</v>
      </c>
      <c r="CC445" s="27" t="str">
        <f t="shared" si="218"/>
        <v>02</v>
      </c>
      <c r="CD445" s="27" t="str">
        <f t="array" ref="CD445">_xlfn.TEXTJOIN("",TRUE,IF(ISNUMBER(FIND(MID(CC444&amp;R444,ROW($1:$4),1),CC445&amp;R445)),MID(CC444&amp;R444,ROW($1:$4),1),""))</f>
        <v>0</v>
      </c>
      <c r="CE445" s="27" t="str">
        <f t="array" ref="CE445">_xlfn.TEXTJOIN("",TRUE,IF(ISERROR(FIND(ROW($1:$10)-1,CC445&amp;CD445)),ROW($1:$10)-1,""))</f>
        <v>13456789</v>
      </c>
      <c r="CF445" s="17" t="str">
        <f t="shared" si="219"/>
        <v>邻传孤</v>
      </c>
      <c r="CG445" s="22" t="str">
        <f t="shared" si="220"/>
        <v>24</v>
      </c>
      <c r="CH445" s="22" t="str">
        <f t="array" ref="CH445">_xlfn.TEXTJOIN("",TRUE,IF(ISNUMBER(FIND(MID(CG444&amp;S444,ROW($1:$4),1),CG445&amp;S445)),MID(CG444&amp;S444,ROW($1:$4),1),""))</f>
        <v/>
      </c>
      <c r="CI445" s="22" t="str">
        <f t="array" ref="CI445">_xlfn.TEXTJOIN("",TRUE,IF(ISERROR(FIND(ROW($1:$10)-1,CG445&amp;CH445)),ROW($1:$10)-1,""))</f>
        <v>01356789</v>
      </c>
      <c r="CJ445" s="28" t="str">
        <f t="shared" si="221"/>
        <v>邻孤孤</v>
      </c>
    </row>
    <row r="446" spans="1:88">
      <c r="A446" s="32">
        <v>2025221</v>
      </c>
      <c r="B446" s="8" t="s">
        <v>181</v>
      </c>
      <c r="C446" s="49">
        <f t="shared" si="230"/>
        <v>17</v>
      </c>
      <c r="D446" s="50">
        <f t="shared" si="231"/>
        <v>7</v>
      </c>
      <c r="E446" s="51">
        <f t="shared" si="207"/>
        <v>5.6666666666666696</v>
      </c>
      <c r="F446" s="52">
        <f>MAX(MID(B446,{1,2,3},1)*1)-MIN(MID(B446,{1,2,3},1)*1)</f>
        <v>7</v>
      </c>
      <c r="G446" s="104">
        <v>0</v>
      </c>
      <c r="H446" s="104">
        <v>1</v>
      </c>
      <c r="I446" s="104">
        <v>2</v>
      </c>
      <c r="J446" s="104">
        <v>3</v>
      </c>
      <c r="K446" s="104">
        <v>4</v>
      </c>
      <c r="L446" s="104">
        <v>5</v>
      </c>
      <c r="M446" s="104">
        <v>6</v>
      </c>
      <c r="N446" s="104">
        <v>7</v>
      </c>
      <c r="O446" s="104">
        <v>8</v>
      </c>
      <c r="P446" s="104">
        <v>9</v>
      </c>
      <c r="Q446" s="53">
        <f t="shared" si="232"/>
        <v>7</v>
      </c>
      <c r="R446" s="53">
        <f t="shared" si="233"/>
        <v>4</v>
      </c>
      <c r="S446" s="53">
        <f t="shared" si="234"/>
        <v>3</v>
      </c>
      <c r="T446" s="101">
        <f t="shared" si="208"/>
        <v>14</v>
      </c>
      <c r="U446" s="15" t="str">
        <f>_xlfn.TEXTJOIN(", ",TRUE,ABS(MID(B446,{1,1,2},1)-MID(B446,{2,3,3},1)))</f>
        <v>7, 4, 3</v>
      </c>
      <c r="V446" s="54">
        <v>0</v>
      </c>
      <c r="W446" s="54">
        <v>1</v>
      </c>
      <c r="X446" s="54">
        <v>2</v>
      </c>
      <c r="Y446" s="54">
        <v>3</v>
      </c>
      <c r="Z446" s="54">
        <v>4</v>
      </c>
      <c r="AA446" s="54">
        <v>5</v>
      </c>
      <c r="AB446" s="54">
        <v>6</v>
      </c>
      <c r="AC446" s="54">
        <v>7</v>
      </c>
      <c r="AD446" s="54">
        <v>8</v>
      </c>
      <c r="AE446" s="54">
        <v>9</v>
      </c>
      <c r="AF446" s="55">
        <v>0</v>
      </c>
      <c r="AG446" s="55">
        <v>1</v>
      </c>
      <c r="AH446" s="55">
        <v>2</v>
      </c>
      <c r="AI446" s="55">
        <v>3</v>
      </c>
      <c r="AJ446" s="55">
        <v>4</v>
      </c>
      <c r="AK446" s="55">
        <v>5</v>
      </c>
      <c r="AL446" s="55">
        <v>6</v>
      </c>
      <c r="AM446" s="55">
        <v>7</v>
      </c>
      <c r="AN446" s="55">
        <v>8</v>
      </c>
      <c r="AO446" s="55">
        <v>9</v>
      </c>
      <c r="AP446" s="105">
        <v>0</v>
      </c>
      <c r="AQ446" s="105">
        <v>1</v>
      </c>
      <c r="AR446" s="105">
        <v>2</v>
      </c>
      <c r="AS446" s="105">
        <v>3</v>
      </c>
      <c r="AT446" s="105">
        <v>4</v>
      </c>
      <c r="AU446" s="105">
        <v>5</v>
      </c>
      <c r="AV446" s="105">
        <v>6</v>
      </c>
      <c r="AW446" s="105">
        <v>7</v>
      </c>
      <c r="AX446" s="105">
        <v>8</v>
      </c>
      <c r="AY446" s="105">
        <v>9</v>
      </c>
      <c r="AZ446" s="56">
        <v>0</v>
      </c>
      <c r="BA446" s="56">
        <v>1</v>
      </c>
      <c r="BB446" s="56">
        <v>2</v>
      </c>
      <c r="BC446" s="56">
        <v>3</v>
      </c>
      <c r="BD446" s="56">
        <v>4</v>
      </c>
      <c r="BE446" s="56">
        <v>5</v>
      </c>
      <c r="BF446" s="56">
        <v>6</v>
      </c>
      <c r="BG446" s="56">
        <v>7</v>
      </c>
      <c r="BH446" s="56">
        <v>8</v>
      </c>
      <c r="BI446" s="56">
        <v>9</v>
      </c>
      <c r="BJ446" s="57" t="str">
        <f t="shared" si="209"/>
        <v>松散型</v>
      </c>
      <c r="BK446" s="13">
        <f t="shared" si="205"/>
        <v>3</v>
      </c>
      <c r="BL446" s="13">
        <f t="shared" si="206"/>
        <v>7</v>
      </c>
      <c r="BM446" s="18" t="str">
        <f t="shared" si="211"/>
        <v/>
      </c>
      <c r="BN446" s="19" t="str">
        <f t="shared" si="212"/>
        <v/>
      </c>
      <c r="BO446" s="19" t="str">
        <f t="array" ref="BO446">_xlfn.TEXTJOIN("",TRUE,IF(ISERROR(FIND(ROW($1:$10)-1,BM446&amp;BN446)),ROW($1:$10)-1,""))</f>
        <v>0123456789</v>
      </c>
      <c r="BP446" s="20" t="str">
        <f t="shared" si="213"/>
        <v>中中中</v>
      </c>
      <c r="BQ446" s="21" t="str">
        <f t="shared" si="224"/>
        <v/>
      </c>
      <c r="BR446" s="21" t="str">
        <f t="shared" si="222"/>
        <v/>
      </c>
      <c r="BS446" s="21" t="str">
        <f t="array" ref="BS446">_xlfn.TEXTJOIN("",TRUE,IF(ISERROR(FIND(ROW($1:$10)-1,BQ446&amp;BR446)),ROW($1:$10)-1,""))</f>
        <v>0123456789</v>
      </c>
      <c r="BT446" s="20" t="str">
        <f t="shared" si="214"/>
        <v>中中中</v>
      </c>
      <c r="BU446" s="22">
        <f t="shared" si="215"/>
        <v>3</v>
      </c>
      <c r="BV446" s="22" t="str">
        <f t="shared" si="223"/>
        <v/>
      </c>
      <c r="BW446" s="22" t="str">
        <f t="array" ref="BW446">_xlfn.TEXTJOIN("",TRUE,IF(ISERROR(FIND(ROW($1:$10)-1,BU446&amp;BV446)),ROW($1:$10)-1,""))</f>
        <v>012456789</v>
      </c>
      <c r="BX446" s="20" t="str">
        <f t="shared" si="216"/>
        <v>复中中</v>
      </c>
      <c r="BY446" s="23" t="str">
        <f t="shared" si="210"/>
        <v>68</v>
      </c>
      <c r="BZ446" s="24" t="str">
        <f t="array" ref="BZ446">_xlfn.TEXTJOIN("",TRUE,IF(ISNUMBER(FIND(MID(BY445&amp;Q445,ROW($1:$4),1),BY446&amp;Q446)),MID(BY445&amp;Q445,ROW($1:$4),1),""))</f>
        <v/>
      </c>
      <c r="CA446" s="25" t="str">
        <f t="array" ref="CA446">_xlfn.TEXTJOIN("",TRUE,IF(ISERROR(FIND(ROW($1:$10)-1,BY446&amp;BZ446)),ROW($1:$10)-1,""))</f>
        <v>01234579</v>
      </c>
      <c r="CB446" s="26" t="str">
        <f t="shared" si="217"/>
        <v>邻孤孤</v>
      </c>
      <c r="CC446" s="27" t="str">
        <f t="shared" si="218"/>
        <v>35</v>
      </c>
      <c r="CD446" s="27" t="str">
        <f t="array" ref="CD446">_xlfn.TEXTJOIN("",TRUE,IF(ISNUMBER(FIND(MID(CC445&amp;R445,ROW($1:$4),1),CC446&amp;R446)),MID(CC445&amp;R445,ROW($1:$4),1),""))</f>
        <v/>
      </c>
      <c r="CE446" s="27" t="str">
        <f t="array" ref="CE446">_xlfn.TEXTJOIN("",TRUE,IF(ISERROR(FIND(ROW($1:$10)-1,CC446&amp;CD446)),ROW($1:$10)-1,""))</f>
        <v>01246789</v>
      </c>
      <c r="CF446" s="17" t="str">
        <f t="shared" si="219"/>
        <v>邻孤孤</v>
      </c>
      <c r="CG446" s="22" t="str">
        <f t="shared" si="220"/>
        <v>24</v>
      </c>
      <c r="CH446" s="22" t="str">
        <f t="array" ref="CH446">_xlfn.TEXTJOIN("",TRUE,IF(ISNUMBER(FIND(MID(CG445&amp;S445,ROW($1:$4),1),CG446&amp;S446)),MID(CG445&amp;S445,ROW($1:$4),1),""))</f>
        <v>243</v>
      </c>
      <c r="CI446" s="22" t="str">
        <f t="array" ref="CI446">_xlfn.TEXTJOIN("",TRUE,IF(ISERROR(FIND(ROW($1:$10)-1,CG446&amp;CH446)),ROW($1:$10)-1,""))</f>
        <v>0156789</v>
      </c>
      <c r="CJ446" s="28" t="str">
        <f t="shared" si="221"/>
        <v>邻传孤</v>
      </c>
    </row>
    <row r="447" spans="1:88">
      <c r="A447" s="32">
        <v>2025222</v>
      </c>
      <c r="B447" s="8" t="s">
        <v>369</v>
      </c>
      <c r="C447" s="49">
        <f t="shared" si="230"/>
        <v>1</v>
      </c>
      <c r="D447" s="50">
        <f t="shared" si="231"/>
        <v>1</v>
      </c>
      <c r="E447" s="51">
        <f t="shared" si="207"/>
        <v>0.33333333333333298</v>
      </c>
      <c r="F447" s="52">
        <f>MAX(MID(B447,{1,2,3},1)*1)-MIN(MID(B447,{1,2,3},1)*1)</f>
        <v>1</v>
      </c>
      <c r="G447" s="104">
        <v>0</v>
      </c>
      <c r="H447" s="104">
        <v>1</v>
      </c>
      <c r="I447" s="104">
        <v>2</v>
      </c>
      <c r="J447" s="104">
        <v>3</v>
      </c>
      <c r="K447" s="104">
        <v>4</v>
      </c>
      <c r="L447" s="104">
        <v>5</v>
      </c>
      <c r="M447" s="104">
        <v>6</v>
      </c>
      <c r="N447" s="104">
        <v>7</v>
      </c>
      <c r="O447" s="104">
        <v>8</v>
      </c>
      <c r="P447" s="104">
        <v>9</v>
      </c>
      <c r="Q447" s="53">
        <f t="shared" si="232"/>
        <v>1</v>
      </c>
      <c r="R447" s="53">
        <f t="shared" si="233"/>
        <v>0</v>
      </c>
      <c r="S447" s="53">
        <f t="shared" si="234"/>
        <v>1</v>
      </c>
      <c r="T447" s="101">
        <f t="shared" si="208"/>
        <v>2</v>
      </c>
      <c r="U447" s="15" t="str">
        <f>_xlfn.TEXTJOIN(", ",TRUE,ABS(MID(B447,{1,1,2},1)-MID(B447,{2,3,3},1)))</f>
        <v>1, 0, 1</v>
      </c>
      <c r="V447" s="54">
        <v>0</v>
      </c>
      <c r="W447" s="54">
        <v>1</v>
      </c>
      <c r="X447" s="54">
        <v>2</v>
      </c>
      <c r="Y447" s="54">
        <v>3</v>
      </c>
      <c r="Z447" s="54">
        <v>4</v>
      </c>
      <c r="AA447" s="54">
        <v>5</v>
      </c>
      <c r="AB447" s="54">
        <v>6</v>
      </c>
      <c r="AC447" s="54">
        <v>7</v>
      </c>
      <c r="AD447" s="54">
        <v>8</v>
      </c>
      <c r="AE447" s="54">
        <v>9</v>
      </c>
      <c r="AF447" s="55">
        <v>0</v>
      </c>
      <c r="AG447" s="55">
        <v>1</v>
      </c>
      <c r="AH447" s="55">
        <v>2</v>
      </c>
      <c r="AI447" s="55">
        <v>3</v>
      </c>
      <c r="AJ447" s="55">
        <v>4</v>
      </c>
      <c r="AK447" s="55">
        <v>5</v>
      </c>
      <c r="AL447" s="55">
        <v>6</v>
      </c>
      <c r="AM447" s="55">
        <v>7</v>
      </c>
      <c r="AN447" s="55">
        <v>8</v>
      </c>
      <c r="AO447" s="55">
        <v>9</v>
      </c>
      <c r="AP447" s="105">
        <v>0</v>
      </c>
      <c r="AQ447" s="105">
        <v>1</v>
      </c>
      <c r="AR447" s="105">
        <v>2</v>
      </c>
      <c r="AS447" s="105">
        <v>3</v>
      </c>
      <c r="AT447" s="105">
        <v>4</v>
      </c>
      <c r="AU447" s="105">
        <v>5</v>
      </c>
      <c r="AV447" s="105">
        <v>6</v>
      </c>
      <c r="AW447" s="105">
        <v>7</v>
      </c>
      <c r="AX447" s="105">
        <v>8</v>
      </c>
      <c r="AY447" s="105">
        <v>9</v>
      </c>
      <c r="AZ447" s="56">
        <v>0</v>
      </c>
      <c r="BA447" s="56">
        <v>1</v>
      </c>
      <c r="BB447" s="56">
        <v>2</v>
      </c>
      <c r="BC447" s="56">
        <v>3</v>
      </c>
      <c r="BD447" s="56">
        <v>4</v>
      </c>
      <c r="BE447" s="56">
        <v>5</v>
      </c>
      <c r="BF447" s="56">
        <v>6</v>
      </c>
      <c r="BG447" s="56">
        <v>7</v>
      </c>
      <c r="BH447" s="56">
        <v>8</v>
      </c>
      <c r="BI447" s="56">
        <v>9</v>
      </c>
      <c r="BJ447" s="57" t="str">
        <f t="shared" si="209"/>
        <v>紧凑型</v>
      </c>
      <c r="BK447" s="13">
        <f t="shared" si="205"/>
        <v>0</v>
      </c>
      <c r="BL447" s="13">
        <f t="shared" si="206"/>
        <v>1</v>
      </c>
      <c r="BM447" s="18" t="str">
        <f t="shared" si="211"/>
        <v/>
      </c>
      <c r="BN447" s="19">
        <f t="shared" si="212"/>
        <v>1</v>
      </c>
      <c r="BO447" s="19" t="str">
        <f t="array" ref="BO447">_xlfn.TEXTJOIN("",TRUE,IF(ISERROR(FIND(ROW($1:$10)-1,BM447&amp;BN447)),ROW($1:$10)-1,""))</f>
        <v>023456789</v>
      </c>
      <c r="BP447" s="20" t="str">
        <f t="shared" si="213"/>
        <v>中隔中</v>
      </c>
      <c r="BQ447" s="21" t="str">
        <f t="shared" si="224"/>
        <v/>
      </c>
      <c r="BR447" s="21" t="str">
        <f t="shared" si="222"/>
        <v/>
      </c>
      <c r="BS447" s="21" t="str">
        <f t="array" ref="BS447">_xlfn.TEXTJOIN("",TRUE,IF(ISERROR(FIND(ROW($1:$10)-1,BQ447&amp;BR447)),ROW($1:$10)-1,""))</f>
        <v>0123456789</v>
      </c>
      <c r="BT447" s="20" t="str">
        <f t="shared" si="214"/>
        <v>中中中</v>
      </c>
      <c r="BU447" s="22" t="str">
        <f t="shared" si="215"/>
        <v/>
      </c>
      <c r="BV447" s="22">
        <f t="shared" si="223"/>
        <v>1</v>
      </c>
      <c r="BW447" s="22" t="str">
        <f t="array" ref="BW447">_xlfn.TEXTJOIN("",TRUE,IF(ISERROR(FIND(ROW($1:$10)-1,BU447&amp;BV447)),ROW($1:$10)-1,""))</f>
        <v>023456789</v>
      </c>
      <c r="BX447" s="20" t="str">
        <f t="shared" si="216"/>
        <v>中隔中</v>
      </c>
      <c r="BY447" s="23" t="str">
        <f t="shared" si="210"/>
        <v>02</v>
      </c>
      <c r="BZ447" s="24" t="str">
        <f t="array" ref="BZ447">_xlfn.TEXTJOIN("",TRUE,IF(ISNUMBER(FIND(MID(BY446&amp;Q446,ROW($1:$4),1),BY447&amp;Q447)),MID(BY446&amp;Q446,ROW($1:$4),1),""))</f>
        <v/>
      </c>
      <c r="CA447" s="25" t="str">
        <f t="array" ref="CA447">_xlfn.TEXTJOIN("",TRUE,IF(ISERROR(FIND(ROW($1:$10)-1,BY447&amp;BZ447)),ROW($1:$10)-1,""))</f>
        <v>13456789</v>
      </c>
      <c r="CB447" s="26" t="str">
        <f t="shared" si="217"/>
        <v>邻孤孤</v>
      </c>
      <c r="CC447" s="27" t="str">
        <f t="shared" si="218"/>
        <v>91</v>
      </c>
      <c r="CD447" s="27" t="str">
        <f t="array" ref="CD447">_xlfn.TEXTJOIN("",TRUE,IF(ISNUMBER(FIND(MID(CC446&amp;R446,ROW($1:$4),1),CC447&amp;R447)),MID(CC446&amp;R446,ROW($1:$4),1),""))</f>
        <v/>
      </c>
      <c r="CE447" s="27" t="str">
        <f t="array" ref="CE447">_xlfn.TEXTJOIN("",TRUE,IF(ISERROR(FIND(ROW($1:$10)-1,CC447&amp;CD447)),ROW($1:$10)-1,""))</f>
        <v>02345678</v>
      </c>
      <c r="CF447" s="17" t="str">
        <f t="shared" si="219"/>
        <v>邻孤孤</v>
      </c>
      <c r="CG447" s="22" t="str">
        <f t="shared" si="220"/>
        <v>02</v>
      </c>
      <c r="CH447" s="22" t="str">
        <f t="array" ref="CH447">_xlfn.TEXTJOIN("",TRUE,IF(ISNUMBER(FIND(MID(CG446&amp;S446,ROW($1:$4),1),CG447&amp;S447)),MID(CG446&amp;S446,ROW($1:$4),1),""))</f>
        <v>2</v>
      </c>
      <c r="CI447" s="22" t="str">
        <f t="array" ref="CI447">_xlfn.TEXTJOIN("",TRUE,IF(ISERROR(FIND(ROW($1:$10)-1,CG447&amp;CH447)),ROW($1:$10)-1,""))</f>
        <v>13456789</v>
      </c>
      <c r="CJ447" s="28" t="str">
        <f t="shared" si="221"/>
        <v>邻传孤</v>
      </c>
    </row>
    <row r="448" spans="1:88">
      <c r="A448" s="32">
        <v>2025223</v>
      </c>
      <c r="B448" s="8" t="s">
        <v>370</v>
      </c>
      <c r="C448" s="49">
        <f t="shared" si="230"/>
        <v>16</v>
      </c>
      <c r="D448" s="50">
        <f t="shared" si="231"/>
        <v>6</v>
      </c>
      <c r="E448" s="51">
        <f t="shared" si="207"/>
        <v>5.3333333333333304</v>
      </c>
      <c r="F448" s="52">
        <f>MAX(MID(B448,{1,2,3},1)*1)-MIN(MID(B448,{1,2,3},1)*1)</f>
        <v>4</v>
      </c>
      <c r="G448" s="104">
        <v>0</v>
      </c>
      <c r="H448" s="104">
        <v>1</v>
      </c>
      <c r="I448" s="104">
        <v>2</v>
      </c>
      <c r="J448" s="104">
        <v>3</v>
      </c>
      <c r="K448" s="104">
        <v>4</v>
      </c>
      <c r="L448" s="104">
        <v>5</v>
      </c>
      <c r="M448" s="104">
        <v>6</v>
      </c>
      <c r="N448" s="104">
        <v>7</v>
      </c>
      <c r="O448" s="104">
        <v>8</v>
      </c>
      <c r="P448" s="104">
        <v>9</v>
      </c>
      <c r="Q448" s="53">
        <f t="shared" si="232"/>
        <v>4</v>
      </c>
      <c r="R448" s="53">
        <f t="shared" si="233"/>
        <v>1</v>
      </c>
      <c r="S448" s="53">
        <f t="shared" si="234"/>
        <v>3</v>
      </c>
      <c r="T448" s="101">
        <f t="shared" si="208"/>
        <v>8</v>
      </c>
      <c r="U448" s="15" t="str">
        <f>_xlfn.TEXTJOIN(", ",TRUE,ABS(MID(B448,{1,1,2},1)-MID(B448,{2,3,3},1)))</f>
        <v>4, 1, 3</v>
      </c>
      <c r="V448" s="54">
        <v>0</v>
      </c>
      <c r="W448" s="54">
        <v>1</v>
      </c>
      <c r="X448" s="54">
        <v>2</v>
      </c>
      <c r="Y448" s="54">
        <v>3</v>
      </c>
      <c r="Z448" s="54">
        <v>4</v>
      </c>
      <c r="AA448" s="54">
        <v>5</v>
      </c>
      <c r="AB448" s="54">
        <v>6</v>
      </c>
      <c r="AC448" s="54">
        <v>7</v>
      </c>
      <c r="AD448" s="54">
        <v>8</v>
      </c>
      <c r="AE448" s="54">
        <v>9</v>
      </c>
      <c r="AF448" s="55">
        <v>0</v>
      </c>
      <c r="AG448" s="55">
        <v>1</v>
      </c>
      <c r="AH448" s="55">
        <v>2</v>
      </c>
      <c r="AI448" s="55">
        <v>3</v>
      </c>
      <c r="AJ448" s="55">
        <v>4</v>
      </c>
      <c r="AK448" s="55">
        <v>5</v>
      </c>
      <c r="AL448" s="55">
        <v>6</v>
      </c>
      <c r="AM448" s="55">
        <v>7</v>
      </c>
      <c r="AN448" s="55">
        <v>8</v>
      </c>
      <c r="AO448" s="55">
        <v>9</v>
      </c>
      <c r="AP448" s="105">
        <v>0</v>
      </c>
      <c r="AQ448" s="105">
        <v>1</v>
      </c>
      <c r="AR448" s="105">
        <v>2</v>
      </c>
      <c r="AS448" s="105">
        <v>3</v>
      </c>
      <c r="AT448" s="105">
        <v>4</v>
      </c>
      <c r="AU448" s="105">
        <v>5</v>
      </c>
      <c r="AV448" s="105">
        <v>6</v>
      </c>
      <c r="AW448" s="105">
        <v>7</v>
      </c>
      <c r="AX448" s="105">
        <v>8</v>
      </c>
      <c r="AY448" s="105">
        <v>9</v>
      </c>
      <c r="AZ448" s="56">
        <v>0</v>
      </c>
      <c r="BA448" s="56">
        <v>1</v>
      </c>
      <c r="BB448" s="56">
        <v>2</v>
      </c>
      <c r="BC448" s="56">
        <v>3</v>
      </c>
      <c r="BD448" s="56">
        <v>4</v>
      </c>
      <c r="BE448" s="56">
        <v>5</v>
      </c>
      <c r="BF448" s="56">
        <v>6</v>
      </c>
      <c r="BG448" s="56">
        <v>7</v>
      </c>
      <c r="BH448" s="56">
        <v>8</v>
      </c>
      <c r="BI448" s="56">
        <v>9</v>
      </c>
      <c r="BJ448" s="57" t="str">
        <f t="shared" si="209"/>
        <v>紧凑型</v>
      </c>
      <c r="BK448" s="13">
        <f t="shared" si="205"/>
        <v>1</v>
      </c>
      <c r="BL448" s="13">
        <f t="shared" si="206"/>
        <v>4</v>
      </c>
      <c r="BM448" s="18" t="str">
        <f t="shared" si="211"/>
        <v/>
      </c>
      <c r="BN448" s="19">
        <f t="shared" si="212"/>
        <v>4</v>
      </c>
      <c r="BO448" s="19" t="str">
        <f t="array" ref="BO448">_xlfn.TEXTJOIN("",TRUE,IF(ISERROR(FIND(ROW($1:$10)-1,BM448&amp;BN448)),ROW($1:$10)-1,""))</f>
        <v>012356789</v>
      </c>
      <c r="BP448" s="20" t="str">
        <f t="shared" si="213"/>
        <v>中隔中</v>
      </c>
      <c r="BQ448" s="21">
        <f t="shared" si="224"/>
        <v>1</v>
      </c>
      <c r="BR448" s="21" t="str">
        <f t="shared" si="222"/>
        <v/>
      </c>
      <c r="BS448" s="21" t="str">
        <f t="array" ref="BS448">_xlfn.TEXTJOIN("",TRUE,IF(ISERROR(FIND(ROW($1:$10)-1,BQ448&amp;BR448)),ROW($1:$10)-1,""))</f>
        <v>023456789</v>
      </c>
      <c r="BT448" s="20" t="str">
        <f t="shared" si="214"/>
        <v>复中中</v>
      </c>
      <c r="BU448" s="22" t="str">
        <f t="shared" si="215"/>
        <v/>
      </c>
      <c r="BV448" s="22">
        <f t="shared" si="223"/>
        <v>3</v>
      </c>
      <c r="BW448" s="22" t="str">
        <f t="array" ref="BW448">_xlfn.TEXTJOIN("",TRUE,IF(ISERROR(FIND(ROW($1:$10)-1,BU448&amp;BV448)),ROW($1:$10)-1,""))</f>
        <v>012456789</v>
      </c>
      <c r="BX448" s="20" t="str">
        <f t="shared" si="216"/>
        <v>中隔中</v>
      </c>
      <c r="BY448" s="23" t="str">
        <f t="shared" si="210"/>
        <v>35</v>
      </c>
      <c r="BZ448" s="24" t="str">
        <f t="array" ref="BZ448">_xlfn.TEXTJOIN("",TRUE,IF(ISNUMBER(FIND(MID(BY447&amp;Q447,ROW($1:$4),1),BY448&amp;Q448)),MID(BY447&amp;Q447,ROW($1:$4),1),""))</f>
        <v/>
      </c>
      <c r="CA448" s="25" t="str">
        <f t="array" ref="CA448">_xlfn.TEXTJOIN("",TRUE,IF(ISERROR(FIND(ROW($1:$10)-1,BY448&amp;BZ448)),ROW($1:$10)-1,""))</f>
        <v>01246789</v>
      </c>
      <c r="CB448" s="26" t="str">
        <f t="shared" si="217"/>
        <v>邻孤孤</v>
      </c>
      <c r="CC448" s="27" t="str">
        <f t="shared" si="218"/>
        <v>02</v>
      </c>
      <c r="CD448" s="27" t="str">
        <f t="array" ref="CD448">_xlfn.TEXTJOIN("",TRUE,IF(ISNUMBER(FIND(MID(CC447&amp;R447,ROW($1:$4),1),CC448&amp;R448)),MID(CC447&amp;R447,ROW($1:$4),1),""))</f>
        <v>10</v>
      </c>
      <c r="CE448" s="27" t="str">
        <f t="array" ref="CE448">_xlfn.TEXTJOIN("",TRUE,IF(ISERROR(FIND(ROW($1:$10)-1,CC448&amp;CD448)),ROW($1:$10)-1,""))</f>
        <v>3456789</v>
      </c>
      <c r="CF448" s="17" t="str">
        <f t="shared" si="219"/>
        <v>邻传孤</v>
      </c>
      <c r="CG448" s="22" t="str">
        <f t="shared" si="220"/>
        <v>24</v>
      </c>
      <c r="CH448" s="22" t="str">
        <f t="array" ref="CH448">_xlfn.TEXTJOIN("",TRUE,IF(ISNUMBER(FIND(MID(CG447&amp;S447,ROW($1:$4),1),CG448&amp;S448)),MID(CG447&amp;S447,ROW($1:$4),1),""))</f>
        <v>2</v>
      </c>
      <c r="CI448" s="22" t="str">
        <f t="array" ref="CI448">_xlfn.TEXTJOIN("",TRUE,IF(ISERROR(FIND(ROW($1:$10)-1,CG448&amp;CH448)),ROW($1:$10)-1,""))</f>
        <v>01356789</v>
      </c>
      <c r="CJ448" s="28" t="str">
        <f t="shared" si="221"/>
        <v>邻传孤</v>
      </c>
    </row>
    <row r="449" spans="1:88">
      <c r="A449" s="32">
        <v>2025224</v>
      </c>
      <c r="B449" s="8" t="s">
        <v>371</v>
      </c>
      <c r="C449" s="49">
        <f t="shared" si="230"/>
        <v>18</v>
      </c>
      <c r="D449" s="50">
        <f t="shared" si="231"/>
        <v>8</v>
      </c>
      <c r="E449" s="51">
        <f t="shared" si="207"/>
        <v>6</v>
      </c>
      <c r="F449" s="52">
        <f>MAX(MID(B449,{1,2,3},1)*1)-MIN(MID(B449,{1,2,3},1)*1)</f>
        <v>9</v>
      </c>
      <c r="G449" s="104">
        <v>0</v>
      </c>
      <c r="H449" s="104">
        <v>1</v>
      </c>
      <c r="I449" s="104">
        <v>2</v>
      </c>
      <c r="J449" s="104">
        <v>3</v>
      </c>
      <c r="K449" s="104">
        <v>4</v>
      </c>
      <c r="L449" s="104">
        <v>5</v>
      </c>
      <c r="M449" s="104">
        <v>6</v>
      </c>
      <c r="N449" s="104">
        <v>7</v>
      </c>
      <c r="O449" s="104">
        <v>8</v>
      </c>
      <c r="P449" s="104">
        <v>9</v>
      </c>
      <c r="Q449" s="53">
        <f t="shared" si="232"/>
        <v>0</v>
      </c>
      <c r="R449" s="53">
        <f t="shared" si="233"/>
        <v>9</v>
      </c>
      <c r="S449" s="53">
        <f t="shared" si="234"/>
        <v>9</v>
      </c>
      <c r="T449" s="101">
        <f t="shared" si="208"/>
        <v>18</v>
      </c>
      <c r="U449" s="15" t="str">
        <f>_xlfn.TEXTJOIN(", ",TRUE,ABS(MID(B449,{1,1,2},1)-MID(B449,{2,3,3},1)))</f>
        <v>0, 9, 9</v>
      </c>
      <c r="V449" s="54">
        <v>0</v>
      </c>
      <c r="W449" s="54">
        <v>1</v>
      </c>
      <c r="X449" s="54">
        <v>2</v>
      </c>
      <c r="Y449" s="54">
        <v>3</v>
      </c>
      <c r="Z449" s="54">
        <v>4</v>
      </c>
      <c r="AA449" s="54">
        <v>5</v>
      </c>
      <c r="AB449" s="54">
        <v>6</v>
      </c>
      <c r="AC449" s="54">
        <v>7</v>
      </c>
      <c r="AD449" s="54">
        <v>8</v>
      </c>
      <c r="AE449" s="54">
        <v>9</v>
      </c>
      <c r="AF449" s="55">
        <v>0</v>
      </c>
      <c r="AG449" s="55">
        <v>1</v>
      </c>
      <c r="AH449" s="55">
        <v>2</v>
      </c>
      <c r="AI449" s="55">
        <v>3</v>
      </c>
      <c r="AJ449" s="55">
        <v>4</v>
      </c>
      <c r="AK449" s="55">
        <v>5</v>
      </c>
      <c r="AL449" s="55">
        <v>6</v>
      </c>
      <c r="AM449" s="55">
        <v>7</v>
      </c>
      <c r="AN449" s="55">
        <v>8</v>
      </c>
      <c r="AO449" s="55">
        <v>9</v>
      </c>
      <c r="AP449" s="105">
        <v>0</v>
      </c>
      <c r="AQ449" s="105">
        <v>1</v>
      </c>
      <c r="AR449" s="105">
        <v>2</v>
      </c>
      <c r="AS449" s="105">
        <v>3</v>
      </c>
      <c r="AT449" s="105">
        <v>4</v>
      </c>
      <c r="AU449" s="105">
        <v>5</v>
      </c>
      <c r="AV449" s="105">
        <v>6</v>
      </c>
      <c r="AW449" s="105">
        <v>7</v>
      </c>
      <c r="AX449" s="105">
        <v>8</v>
      </c>
      <c r="AY449" s="105">
        <v>9</v>
      </c>
      <c r="AZ449" s="56">
        <v>0</v>
      </c>
      <c r="BA449" s="56">
        <v>1</v>
      </c>
      <c r="BB449" s="56">
        <v>2</v>
      </c>
      <c r="BC449" s="56">
        <v>3</v>
      </c>
      <c r="BD449" s="56">
        <v>4</v>
      </c>
      <c r="BE449" s="56">
        <v>5</v>
      </c>
      <c r="BF449" s="56">
        <v>6</v>
      </c>
      <c r="BG449" s="56">
        <v>7</v>
      </c>
      <c r="BH449" s="56">
        <v>8</v>
      </c>
      <c r="BI449" s="56">
        <v>9</v>
      </c>
      <c r="BJ449" s="57" t="str">
        <f t="shared" si="209"/>
        <v>松散型</v>
      </c>
      <c r="BK449" s="13">
        <f t="shared" si="205"/>
        <v>0</v>
      </c>
      <c r="BL449" s="13">
        <f t="shared" si="206"/>
        <v>9</v>
      </c>
      <c r="BM449" s="18" t="str">
        <f t="shared" si="211"/>
        <v/>
      </c>
      <c r="BN449" s="19">
        <f t="shared" si="212"/>
        <v>0</v>
      </c>
      <c r="BO449" s="19" t="str">
        <f t="array" ref="BO449">_xlfn.TEXTJOIN("",TRUE,IF(ISERROR(FIND(ROW($1:$10)-1,BM449&amp;BN449)),ROW($1:$10)-1,""))</f>
        <v>123456789</v>
      </c>
      <c r="BP449" s="20" t="str">
        <f t="shared" si="213"/>
        <v>中隔中</v>
      </c>
      <c r="BQ449" s="21" t="str">
        <f t="shared" si="224"/>
        <v/>
      </c>
      <c r="BR449" s="21" t="str">
        <f t="shared" si="222"/>
        <v/>
      </c>
      <c r="BS449" s="21" t="str">
        <f t="array" ref="BS449">_xlfn.TEXTJOIN("",TRUE,IF(ISERROR(FIND(ROW($1:$10)-1,BQ449&amp;BR449)),ROW($1:$10)-1,""))</f>
        <v>0123456789</v>
      </c>
      <c r="BT449" s="20" t="str">
        <f t="shared" si="214"/>
        <v>中中中</v>
      </c>
      <c r="BU449" s="22" t="str">
        <f t="shared" si="215"/>
        <v/>
      </c>
      <c r="BV449" s="22" t="str">
        <f t="shared" si="223"/>
        <v/>
      </c>
      <c r="BW449" s="22" t="str">
        <f t="array" ref="BW449">_xlfn.TEXTJOIN("",TRUE,IF(ISERROR(FIND(ROW($1:$10)-1,BU449&amp;BV449)),ROW($1:$10)-1,""))</f>
        <v>0123456789</v>
      </c>
      <c r="BX449" s="20" t="str">
        <f t="shared" si="216"/>
        <v>中中中</v>
      </c>
      <c r="BY449" s="23" t="str">
        <f t="shared" si="210"/>
        <v>91</v>
      </c>
      <c r="BZ449" s="24" t="str">
        <f t="array" ref="BZ449">_xlfn.TEXTJOIN("",TRUE,IF(ISNUMBER(FIND(MID(BY448&amp;Q448,ROW($1:$4),1),BY449&amp;Q449)),MID(BY448&amp;Q448,ROW($1:$4),1),""))</f>
        <v/>
      </c>
      <c r="CA449" s="25" t="str">
        <f t="array" ref="CA449">_xlfn.TEXTJOIN("",TRUE,IF(ISERROR(FIND(ROW($1:$10)-1,BY449&amp;BZ449)),ROW($1:$10)-1,""))</f>
        <v>02345678</v>
      </c>
      <c r="CB449" s="26" t="str">
        <f t="shared" si="217"/>
        <v>邻孤孤</v>
      </c>
      <c r="CC449" s="27" t="str">
        <f t="shared" si="218"/>
        <v>80</v>
      </c>
      <c r="CD449" s="27" t="str">
        <f t="array" ref="CD449">_xlfn.TEXTJOIN("",TRUE,IF(ISNUMBER(FIND(MID(CC448&amp;R448,ROW($1:$4),1),CC449&amp;R449)),MID(CC448&amp;R448,ROW($1:$4),1),""))</f>
        <v>0</v>
      </c>
      <c r="CE449" s="27" t="str">
        <f t="array" ref="CE449">_xlfn.TEXTJOIN("",TRUE,IF(ISERROR(FIND(ROW($1:$10)-1,CC449&amp;CD449)),ROW($1:$10)-1,""))</f>
        <v>12345679</v>
      </c>
      <c r="CF449" s="17" t="str">
        <f t="shared" si="219"/>
        <v>邻传孤</v>
      </c>
      <c r="CG449" s="22" t="str">
        <f t="shared" si="220"/>
        <v>80</v>
      </c>
      <c r="CH449" s="22" t="str">
        <f t="array" ref="CH449">_xlfn.TEXTJOIN("",TRUE,IF(ISNUMBER(FIND(MID(CG448&amp;S448,ROW($1:$4),1),CG449&amp;S449)),MID(CG448&amp;S448,ROW($1:$4),1),""))</f>
        <v/>
      </c>
      <c r="CI449" s="22" t="str">
        <f t="array" ref="CI449">_xlfn.TEXTJOIN("",TRUE,IF(ISERROR(FIND(ROW($1:$10)-1,CG449&amp;CH449)),ROW($1:$10)-1,""))</f>
        <v>12345679</v>
      </c>
      <c r="CJ449" s="28" t="str">
        <f t="shared" si="221"/>
        <v>邻孤孤</v>
      </c>
    </row>
    <row r="450" spans="1:88">
      <c r="A450" s="32">
        <v>2025225</v>
      </c>
      <c r="B450" s="8" t="s">
        <v>255</v>
      </c>
      <c r="C450" s="49">
        <f t="shared" si="230"/>
        <v>14</v>
      </c>
      <c r="D450" s="50">
        <f t="shared" si="231"/>
        <v>4</v>
      </c>
      <c r="E450" s="51">
        <f t="shared" si="207"/>
        <v>4.6666666666666696</v>
      </c>
      <c r="F450" s="52">
        <f>MAX(MID(B450,{1,2,3},1)*1)-MIN(MID(B450,{1,2,3},1)*1)</f>
        <v>8</v>
      </c>
      <c r="G450" s="104">
        <v>0</v>
      </c>
      <c r="H450" s="104">
        <v>1</v>
      </c>
      <c r="I450" s="104">
        <v>2</v>
      </c>
      <c r="J450" s="104">
        <v>3</v>
      </c>
      <c r="K450" s="104">
        <v>4</v>
      </c>
      <c r="L450" s="104">
        <v>5</v>
      </c>
      <c r="M450" s="104">
        <v>6</v>
      </c>
      <c r="N450" s="104">
        <v>7</v>
      </c>
      <c r="O450" s="104">
        <v>8</v>
      </c>
      <c r="P450" s="104">
        <v>9</v>
      </c>
      <c r="Q450" s="53">
        <f t="shared" si="232"/>
        <v>8</v>
      </c>
      <c r="R450" s="53">
        <f t="shared" si="233"/>
        <v>2</v>
      </c>
      <c r="S450" s="53">
        <f t="shared" si="234"/>
        <v>6</v>
      </c>
      <c r="T450" s="101">
        <f t="shared" si="208"/>
        <v>16</v>
      </c>
      <c r="U450" s="15" t="str">
        <f>_xlfn.TEXTJOIN(", ",TRUE,ABS(MID(B450,{1,1,2},1)-MID(B450,{2,3,3},1)))</f>
        <v>8, 2, 6</v>
      </c>
      <c r="V450" s="54">
        <v>0</v>
      </c>
      <c r="W450" s="54">
        <v>1</v>
      </c>
      <c r="X450" s="54">
        <v>2</v>
      </c>
      <c r="Y450" s="54">
        <v>3</v>
      </c>
      <c r="Z450" s="54">
        <v>4</v>
      </c>
      <c r="AA450" s="54">
        <v>5</v>
      </c>
      <c r="AB450" s="54">
        <v>6</v>
      </c>
      <c r="AC450" s="54">
        <v>7</v>
      </c>
      <c r="AD450" s="54">
        <v>8</v>
      </c>
      <c r="AE450" s="54">
        <v>9</v>
      </c>
      <c r="AF450" s="55">
        <v>0</v>
      </c>
      <c r="AG450" s="55">
        <v>1</v>
      </c>
      <c r="AH450" s="55">
        <v>2</v>
      </c>
      <c r="AI450" s="55">
        <v>3</v>
      </c>
      <c r="AJ450" s="55">
        <v>4</v>
      </c>
      <c r="AK450" s="55">
        <v>5</v>
      </c>
      <c r="AL450" s="55">
        <v>6</v>
      </c>
      <c r="AM450" s="55">
        <v>7</v>
      </c>
      <c r="AN450" s="55">
        <v>8</v>
      </c>
      <c r="AO450" s="55">
        <v>9</v>
      </c>
      <c r="AP450" s="105">
        <v>0</v>
      </c>
      <c r="AQ450" s="105">
        <v>1</v>
      </c>
      <c r="AR450" s="105">
        <v>2</v>
      </c>
      <c r="AS450" s="105">
        <v>3</v>
      </c>
      <c r="AT450" s="105">
        <v>4</v>
      </c>
      <c r="AU450" s="105">
        <v>5</v>
      </c>
      <c r="AV450" s="105">
        <v>6</v>
      </c>
      <c r="AW450" s="105">
        <v>7</v>
      </c>
      <c r="AX450" s="105">
        <v>8</v>
      </c>
      <c r="AY450" s="105">
        <v>9</v>
      </c>
      <c r="AZ450" s="56">
        <v>0</v>
      </c>
      <c r="BA450" s="56">
        <v>1</v>
      </c>
      <c r="BB450" s="56">
        <v>2</v>
      </c>
      <c r="BC450" s="56">
        <v>3</v>
      </c>
      <c r="BD450" s="56">
        <v>4</v>
      </c>
      <c r="BE450" s="56">
        <v>5</v>
      </c>
      <c r="BF450" s="56">
        <v>6</v>
      </c>
      <c r="BG450" s="56">
        <v>7</v>
      </c>
      <c r="BH450" s="56">
        <v>8</v>
      </c>
      <c r="BI450" s="56">
        <v>9</v>
      </c>
      <c r="BJ450" s="57" t="str">
        <f t="shared" si="209"/>
        <v>松散型</v>
      </c>
      <c r="BK450" s="13">
        <f t="shared" si="205"/>
        <v>2</v>
      </c>
      <c r="BL450" s="13">
        <f t="shared" si="206"/>
        <v>8</v>
      </c>
      <c r="BM450" s="18" t="str">
        <f t="shared" si="211"/>
        <v/>
      </c>
      <c r="BN450" s="19" t="str">
        <f t="shared" si="212"/>
        <v/>
      </c>
      <c r="BO450" s="19" t="str">
        <f t="array" ref="BO450">_xlfn.TEXTJOIN("",TRUE,IF(ISERROR(FIND(ROW($1:$10)-1,BM450&amp;BN450)),ROW($1:$10)-1,""))</f>
        <v>0123456789</v>
      </c>
      <c r="BP450" s="20" t="str">
        <f t="shared" si="213"/>
        <v>中中中</v>
      </c>
      <c r="BQ450" s="21" t="str">
        <f t="shared" si="224"/>
        <v/>
      </c>
      <c r="BR450" s="21" t="str">
        <f t="shared" si="222"/>
        <v/>
      </c>
      <c r="BS450" s="21" t="str">
        <f t="array" ref="BS450">_xlfn.TEXTJOIN("",TRUE,IF(ISERROR(FIND(ROW($1:$10)-1,BQ450&amp;BR450)),ROW($1:$10)-1,""))</f>
        <v>0123456789</v>
      </c>
      <c r="BT450" s="20" t="str">
        <f t="shared" si="214"/>
        <v>中中中</v>
      </c>
      <c r="BU450" s="22" t="str">
        <f t="shared" si="215"/>
        <v/>
      </c>
      <c r="BV450" s="22" t="str">
        <f t="shared" si="223"/>
        <v/>
      </c>
      <c r="BW450" s="22" t="str">
        <f t="array" ref="BW450">_xlfn.TEXTJOIN("",TRUE,IF(ISERROR(FIND(ROW($1:$10)-1,BU450&amp;BV450)),ROW($1:$10)-1,""))</f>
        <v>0123456789</v>
      </c>
      <c r="BX450" s="20" t="str">
        <f t="shared" si="216"/>
        <v>中中中</v>
      </c>
      <c r="BY450" s="23" t="str">
        <f t="shared" si="210"/>
        <v>79</v>
      </c>
      <c r="BZ450" s="24" t="str">
        <f t="array" ref="BZ450">_xlfn.TEXTJOIN("",TRUE,IF(ISNUMBER(FIND(MID(BY449&amp;Q449,ROW($1:$4),1),BY450&amp;Q450)),MID(BY449&amp;Q449,ROW($1:$4),1),""))</f>
        <v>9</v>
      </c>
      <c r="CA450" s="25" t="str">
        <f t="array" ref="CA450">_xlfn.TEXTJOIN("",TRUE,IF(ISERROR(FIND(ROW($1:$10)-1,BY450&amp;BZ450)),ROW($1:$10)-1,""))</f>
        <v>01234568</v>
      </c>
      <c r="CB450" s="26" t="str">
        <f t="shared" si="217"/>
        <v>邻传孤</v>
      </c>
      <c r="CC450" s="27" t="str">
        <f t="shared" si="218"/>
        <v>13</v>
      </c>
      <c r="CD450" s="27" t="str">
        <f t="array" ref="CD450">_xlfn.TEXTJOIN("",TRUE,IF(ISNUMBER(FIND(MID(CC449&amp;R449,ROW($1:$4),1),CC450&amp;R450)),MID(CC449&amp;R449,ROW($1:$4),1),""))</f>
        <v/>
      </c>
      <c r="CE450" s="27" t="str">
        <f t="array" ref="CE450">_xlfn.TEXTJOIN("",TRUE,IF(ISERROR(FIND(ROW($1:$10)-1,CC450&amp;CD450)),ROW($1:$10)-1,""))</f>
        <v>02456789</v>
      </c>
      <c r="CF450" s="17" t="str">
        <f t="shared" si="219"/>
        <v>邻孤孤</v>
      </c>
      <c r="CG450" s="22" t="str">
        <f t="shared" si="220"/>
        <v>57</v>
      </c>
      <c r="CH450" s="22" t="str">
        <f t="array" ref="CH450">_xlfn.TEXTJOIN("",TRUE,IF(ISNUMBER(FIND(MID(CG449&amp;S449,ROW($1:$4),1),CG450&amp;S450)),MID(CG449&amp;S449,ROW($1:$4),1),""))</f>
        <v/>
      </c>
      <c r="CI450" s="22" t="str">
        <f t="array" ref="CI450">_xlfn.TEXTJOIN("",TRUE,IF(ISERROR(FIND(ROW($1:$10)-1,CG450&amp;CH450)),ROW($1:$10)-1,""))</f>
        <v>01234689</v>
      </c>
      <c r="CJ450" s="28" t="str">
        <f t="shared" si="221"/>
        <v>邻孤孤</v>
      </c>
    </row>
    <row r="451" spans="1:88">
      <c r="A451" s="32">
        <v>2025226</v>
      </c>
      <c r="B451" s="8" t="s">
        <v>41</v>
      </c>
      <c r="C451" s="49">
        <f t="shared" si="230"/>
        <v>9</v>
      </c>
      <c r="D451" s="50">
        <f t="shared" si="231"/>
        <v>9</v>
      </c>
      <c r="E451" s="51">
        <f t="shared" si="207"/>
        <v>3</v>
      </c>
      <c r="F451" s="52">
        <f>MAX(MID(B451,{1,2,3},1)*1)-MIN(MID(B451,{1,2,3},1)*1)</f>
        <v>8</v>
      </c>
      <c r="G451" s="104">
        <v>0</v>
      </c>
      <c r="H451" s="104">
        <v>1</v>
      </c>
      <c r="I451" s="104">
        <v>2</v>
      </c>
      <c r="J451" s="104">
        <v>3</v>
      </c>
      <c r="K451" s="104">
        <v>4</v>
      </c>
      <c r="L451" s="104">
        <v>5</v>
      </c>
      <c r="M451" s="104">
        <v>6</v>
      </c>
      <c r="N451" s="104">
        <v>7</v>
      </c>
      <c r="O451" s="104">
        <v>8</v>
      </c>
      <c r="P451" s="104">
        <v>9</v>
      </c>
      <c r="Q451" s="53">
        <f t="shared" si="232"/>
        <v>7</v>
      </c>
      <c r="R451" s="53">
        <f t="shared" si="233"/>
        <v>1</v>
      </c>
      <c r="S451" s="53">
        <f t="shared" si="234"/>
        <v>8</v>
      </c>
      <c r="T451" s="101">
        <f t="shared" si="208"/>
        <v>16</v>
      </c>
      <c r="U451" s="15" t="str">
        <f>_xlfn.TEXTJOIN(", ",TRUE,ABS(MID(B451,{1,1,2},1)-MID(B451,{2,3,3},1)))</f>
        <v>7, 1, 8</v>
      </c>
      <c r="V451" s="54">
        <v>0</v>
      </c>
      <c r="W451" s="54">
        <v>1</v>
      </c>
      <c r="X451" s="54">
        <v>2</v>
      </c>
      <c r="Y451" s="54">
        <v>3</v>
      </c>
      <c r="Z451" s="54">
        <v>4</v>
      </c>
      <c r="AA451" s="54">
        <v>5</v>
      </c>
      <c r="AB451" s="54">
        <v>6</v>
      </c>
      <c r="AC451" s="54">
        <v>7</v>
      </c>
      <c r="AD451" s="54">
        <v>8</v>
      </c>
      <c r="AE451" s="54">
        <v>9</v>
      </c>
      <c r="AF451" s="55">
        <v>0</v>
      </c>
      <c r="AG451" s="55">
        <v>1</v>
      </c>
      <c r="AH451" s="55">
        <v>2</v>
      </c>
      <c r="AI451" s="55">
        <v>3</v>
      </c>
      <c r="AJ451" s="55">
        <v>4</v>
      </c>
      <c r="AK451" s="55">
        <v>5</v>
      </c>
      <c r="AL451" s="55">
        <v>6</v>
      </c>
      <c r="AM451" s="55">
        <v>7</v>
      </c>
      <c r="AN451" s="55">
        <v>8</v>
      </c>
      <c r="AO451" s="55">
        <v>9</v>
      </c>
      <c r="AP451" s="105">
        <v>0</v>
      </c>
      <c r="AQ451" s="105">
        <v>1</v>
      </c>
      <c r="AR451" s="105">
        <v>2</v>
      </c>
      <c r="AS451" s="105">
        <v>3</v>
      </c>
      <c r="AT451" s="105">
        <v>4</v>
      </c>
      <c r="AU451" s="105">
        <v>5</v>
      </c>
      <c r="AV451" s="105">
        <v>6</v>
      </c>
      <c r="AW451" s="105">
        <v>7</v>
      </c>
      <c r="AX451" s="105">
        <v>8</v>
      </c>
      <c r="AY451" s="105">
        <v>9</v>
      </c>
      <c r="AZ451" s="56">
        <v>0</v>
      </c>
      <c r="BA451" s="56">
        <v>1</v>
      </c>
      <c r="BB451" s="56">
        <v>2</v>
      </c>
      <c r="BC451" s="56">
        <v>3</v>
      </c>
      <c r="BD451" s="56">
        <v>4</v>
      </c>
      <c r="BE451" s="56">
        <v>5</v>
      </c>
      <c r="BF451" s="56">
        <v>6</v>
      </c>
      <c r="BG451" s="56">
        <v>7</v>
      </c>
      <c r="BH451" s="56">
        <v>8</v>
      </c>
      <c r="BI451" s="56">
        <v>9</v>
      </c>
      <c r="BJ451" s="57" t="str">
        <f t="shared" si="209"/>
        <v>松散型</v>
      </c>
      <c r="BK451" s="13">
        <f t="shared" ref="BK451:BK514" si="235">MIN(ABS(INT(B451/100)-INT(MOD(B451,100)/10)),ABS(INT(B451/100)-MOD(B451,10)),ABS(INT(MOD(B451,100)/10)-MOD(B451,10)))</f>
        <v>1</v>
      </c>
      <c r="BL451" s="13">
        <f t="shared" ref="BL451:BL514" si="236">MAX(ABS(INT(B451/100)-INT(MOD(B451,100)/10)),ABS(INT(B451/100)-MOD(B451,10)),ABS(INT(MOD(B451,100)/10)-MOD(B451,10)))</f>
        <v>8</v>
      </c>
      <c r="BM451" s="18" t="str">
        <f t="shared" si="211"/>
        <v/>
      </c>
      <c r="BN451" s="19" t="str">
        <f t="shared" si="212"/>
        <v/>
      </c>
      <c r="BO451" s="19" t="str">
        <f t="array" ref="BO451">_xlfn.TEXTJOIN("",TRUE,IF(ISERROR(FIND(ROW($1:$10)-1,BM451&amp;BN451)),ROW($1:$10)-1,""))</f>
        <v>0123456789</v>
      </c>
      <c r="BP451" s="20" t="str">
        <f t="shared" si="213"/>
        <v>中中中</v>
      </c>
      <c r="BQ451" s="21" t="str">
        <f t="shared" si="224"/>
        <v/>
      </c>
      <c r="BR451" s="21" t="str">
        <f t="shared" si="222"/>
        <v/>
      </c>
      <c r="BS451" s="21" t="str">
        <f t="array" ref="BS451">_xlfn.TEXTJOIN("",TRUE,IF(ISERROR(FIND(ROW($1:$10)-1,BQ451&amp;BR451)),ROW($1:$10)-1,""))</f>
        <v>0123456789</v>
      </c>
      <c r="BT451" s="20" t="str">
        <f t="shared" si="214"/>
        <v>中中中</v>
      </c>
      <c r="BU451" s="22">
        <f t="shared" si="215"/>
        <v>8</v>
      </c>
      <c r="BV451" s="22" t="str">
        <f t="shared" si="223"/>
        <v/>
      </c>
      <c r="BW451" s="22" t="str">
        <f t="array" ref="BW451">_xlfn.TEXTJOIN("",TRUE,IF(ISERROR(FIND(ROW($1:$10)-1,BU451&amp;BV451)),ROW($1:$10)-1,""))</f>
        <v>012345679</v>
      </c>
      <c r="BX451" s="20" t="str">
        <f t="shared" si="216"/>
        <v>复中中</v>
      </c>
      <c r="BY451" s="23" t="str">
        <f t="shared" si="210"/>
        <v>68</v>
      </c>
      <c r="BZ451" s="24" t="str">
        <f t="array" ref="BZ451">_xlfn.TEXTJOIN("",TRUE,IF(ISNUMBER(FIND(MID(BY450&amp;Q450,ROW($1:$4),1),BY451&amp;Q451)),MID(BY450&amp;Q450,ROW($1:$4),1),""))</f>
        <v>78</v>
      </c>
      <c r="CA451" s="25" t="str">
        <f t="array" ref="CA451">_xlfn.TEXTJOIN("",TRUE,IF(ISERROR(FIND(ROW($1:$10)-1,BY451&amp;BZ451)),ROW($1:$10)-1,""))</f>
        <v>0123459</v>
      </c>
      <c r="CB451" s="26" t="str">
        <f t="shared" si="217"/>
        <v>邻传孤</v>
      </c>
      <c r="CC451" s="27" t="str">
        <f t="shared" si="218"/>
        <v>02</v>
      </c>
      <c r="CD451" s="27" t="str">
        <f t="array" ref="CD451">_xlfn.TEXTJOIN("",TRUE,IF(ISNUMBER(FIND(MID(CC450&amp;R450,ROW($1:$4),1),CC451&amp;R451)),MID(CC450&amp;R450,ROW($1:$4),1),""))</f>
        <v>12</v>
      </c>
      <c r="CE451" s="27" t="str">
        <f t="array" ref="CE451">_xlfn.TEXTJOIN("",TRUE,IF(ISERROR(FIND(ROW($1:$10)-1,CC451&amp;CD451)),ROW($1:$10)-1,""))</f>
        <v>3456789</v>
      </c>
      <c r="CF451" s="17" t="str">
        <f t="shared" si="219"/>
        <v>邻传孤</v>
      </c>
      <c r="CG451" s="22" t="str">
        <f t="shared" si="220"/>
        <v>79</v>
      </c>
      <c r="CH451" s="22" t="str">
        <f t="array" ref="CH451">_xlfn.TEXTJOIN("",TRUE,IF(ISNUMBER(FIND(MID(CG450&amp;S450,ROW($1:$4),1),CG451&amp;S451)),MID(CG450&amp;S450,ROW($1:$4),1),""))</f>
        <v>7</v>
      </c>
      <c r="CI451" s="22" t="str">
        <f t="array" ref="CI451">_xlfn.TEXTJOIN("",TRUE,IF(ISERROR(FIND(ROW($1:$10)-1,CG451&amp;CH451)),ROW($1:$10)-1,""))</f>
        <v>01234568</v>
      </c>
      <c r="CJ451" s="28" t="str">
        <f t="shared" si="221"/>
        <v>邻传孤</v>
      </c>
    </row>
    <row r="452" spans="1:88">
      <c r="A452" s="32">
        <v>2025227</v>
      </c>
      <c r="B452" s="8" t="s">
        <v>372</v>
      </c>
      <c r="C452" s="49">
        <f t="shared" si="230"/>
        <v>8</v>
      </c>
      <c r="D452" s="50">
        <f t="shared" si="231"/>
        <v>8</v>
      </c>
      <c r="E452" s="51">
        <f t="shared" ref="E452:E515" si="237">C452/3</f>
        <v>2.6666666666666701</v>
      </c>
      <c r="F452" s="52">
        <f>MAX(MID(B452,{1,2,3},1)*1)-MIN(MID(B452,{1,2,3},1)*1)</f>
        <v>5</v>
      </c>
      <c r="G452" s="104">
        <v>0</v>
      </c>
      <c r="H452" s="104">
        <v>1</v>
      </c>
      <c r="I452" s="104">
        <v>2</v>
      </c>
      <c r="J452" s="104">
        <v>3</v>
      </c>
      <c r="K452" s="104">
        <v>4</v>
      </c>
      <c r="L452" s="104">
        <v>5</v>
      </c>
      <c r="M452" s="104">
        <v>6</v>
      </c>
      <c r="N452" s="104">
        <v>7</v>
      </c>
      <c r="O452" s="104">
        <v>8</v>
      </c>
      <c r="P452" s="104">
        <v>9</v>
      </c>
      <c r="Q452" s="53">
        <f t="shared" si="232"/>
        <v>5</v>
      </c>
      <c r="R452" s="53">
        <f t="shared" si="233"/>
        <v>5</v>
      </c>
      <c r="S452" s="53">
        <f t="shared" si="234"/>
        <v>0</v>
      </c>
      <c r="T452" s="101">
        <f t="shared" ref="T452:T515" si="238">Q452+R452+S452</f>
        <v>10</v>
      </c>
      <c r="U452" s="15" t="str">
        <f>_xlfn.TEXTJOIN(", ",TRUE,ABS(MID(B452,{1,1,2},1)-MID(B452,{2,3,3},1)))</f>
        <v>5, 5, 0</v>
      </c>
      <c r="V452" s="54">
        <v>0</v>
      </c>
      <c r="W452" s="54">
        <v>1</v>
      </c>
      <c r="X452" s="54">
        <v>2</v>
      </c>
      <c r="Y452" s="54">
        <v>3</v>
      </c>
      <c r="Z452" s="54">
        <v>4</v>
      </c>
      <c r="AA452" s="54">
        <v>5</v>
      </c>
      <c r="AB452" s="54">
        <v>6</v>
      </c>
      <c r="AC452" s="54">
        <v>7</v>
      </c>
      <c r="AD452" s="54">
        <v>8</v>
      </c>
      <c r="AE452" s="54">
        <v>9</v>
      </c>
      <c r="AF452" s="55">
        <v>0</v>
      </c>
      <c r="AG452" s="55">
        <v>1</v>
      </c>
      <c r="AH452" s="55">
        <v>2</v>
      </c>
      <c r="AI452" s="55">
        <v>3</v>
      </c>
      <c r="AJ452" s="55">
        <v>4</v>
      </c>
      <c r="AK452" s="55">
        <v>5</v>
      </c>
      <c r="AL452" s="55">
        <v>6</v>
      </c>
      <c r="AM452" s="55">
        <v>7</v>
      </c>
      <c r="AN452" s="55">
        <v>8</v>
      </c>
      <c r="AO452" s="55">
        <v>9</v>
      </c>
      <c r="AP452" s="105">
        <v>0</v>
      </c>
      <c r="AQ452" s="105">
        <v>1</v>
      </c>
      <c r="AR452" s="105">
        <v>2</v>
      </c>
      <c r="AS452" s="105">
        <v>3</v>
      </c>
      <c r="AT452" s="105">
        <v>4</v>
      </c>
      <c r="AU452" s="105">
        <v>5</v>
      </c>
      <c r="AV452" s="105">
        <v>6</v>
      </c>
      <c r="AW452" s="105">
        <v>7</v>
      </c>
      <c r="AX452" s="105">
        <v>8</v>
      </c>
      <c r="AY452" s="105">
        <v>9</v>
      </c>
      <c r="AZ452" s="56">
        <v>0</v>
      </c>
      <c r="BA452" s="56">
        <v>1</v>
      </c>
      <c r="BB452" s="56">
        <v>2</v>
      </c>
      <c r="BC452" s="56">
        <v>3</v>
      </c>
      <c r="BD452" s="56">
        <v>4</v>
      </c>
      <c r="BE452" s="56">
        <v>5</v>
      </c>
      <c r="BF452" s="56">
        <v>6</v>
      </c>
      <c r="BG452" s="56">
        <v>7</v>
      </c>
      <c r="BH452" s="56">
        <v>8</v>
      </c>
      <c r="BI452" s="56">
        <v>9</v>
      </c>
      <c r="BJ452" s="57" t="str">
        <f t="shared" ref="BJ452:BJ515" si="239">IF(AND(BK452&lt;=1,BL452&lt;=4),"紧凑型",IF(OR(BK452&gt;=3,BL452&gt;=6),"松散型",IF(AND(BK452&gt;=1,BL452&lt;=5),"标准型","对子")))</f>
        <v>对子</v>
      </c>
      <c r="BK452" s="13">
        <f t="shared" si="235"/>
        <v>0</v>
      </c>
      <c r="BL452" s="13">
        <f t="shared" si="236"/>
        <v>5</v>
      </c>
      <c r="BM452" s="18" t="str">
        <f t="shared" si="211"/>
        <v/>
      </c>
      <c r="BN452" s="19" t="str">
        <f t="shared" si="212"/>
        <v/>
      </c>
      <c r="BO452" s="19" t="str">
        <f t="array" ref="BO452">_xlfn.TEXTJOIN("",TRUE,IF(ISERROR(FIND(ROW($1:$10)-1,BM452&amp;BN452)),ROW($1:$10)-1,""))</f>
        <v>0123456789</v>
      </c>
      <c r="BP452" s="20" t="str">
        <f t="shared" si="213"/>
        <v>中中中</v>
      </c>
      <c r="BQ452" s="21" t="str">
        <f t="shared" si="224"/>
        <v/>
      </c>
      <c r="BR452" s="21" t="str">
        <f t="shared" si="222"/>
        <v/>
      </c>
      <c r="BS452" s="21" t="str">
        <f t="array" ref="BS452">_xlfn.TEXTJOIN("",TRUE,IF(ISERROR(FIND(ROW($1:$10)-1,BQ452&amp;BR452)),ROW($1:$10)-1,""))</f>
        <v>0123456789</v>
      </c>
      <c r="BT452" s="20" t="str">
        <f t="shared" si="214"/>
        <v>中中中</v>
      </c>
      <c r="BU452" s="22" t="str">
        <f t="shared" si="215"/>
        <v/>
      </c>
      <c r="BV452" s="22" t="str">
        <f t="shared" si="223"/>
        <v/>
      </c>
      <c r="BW452" s="22" t="str">
        <f t="array" ref="BW452">_xlfn.TEXTJOIN("",TRUE,IF(ISERROR(FIND(ROW($1:$10)-1,BU452&amp;BV452)),ROW($1:$10)-1,""))</f>
        <v>0123456789</v>
      </c>
      <c r="BX452" s="20" t="str">
        <f t="shared" si="216"/>
        <v>中中中</v>
      </c>
      <c r="BY452" s="23" t="str">
        <f t="shared" ref="BY452:BY515" si="240">IF(Q452=0,9,Q452-1)&amp;""&amp;IF(Q452=9,0,Q452+1)</f>
        <v>46</v>
      </c>
      <c r="BZ452" s="24" t="str">
        <f t="array" ref="BZ452">_xlfn.TEXTJOIN("",TRUE,IF(ISNUMBER(FIND(MID(BY451&amp;Q451,ROW($1:$4),1),BY452&amp;Q452)),MID(BY451&amp;Q451,ROW($1:$4),1),""))</f>
        <v>6</v>
      </c>
      <c r="CA452" s="25" t="str">
        <f t="array" ref="CA452">_xlfn.TEXTJOIN("",TRUE,IF(ISERROR(FIND(ROW($1:$10)-1,BY452&amp;BZ452)),ROW($1:$10)-1,""))</f>
        <v>01235789</v>
      </c>
      <c r="CB452" s="26" t="str">
        <f t="shared" si="217"/>
        <v>邻传孤</v>
      </c>
      <c r="CC452" s="27" t="str">
        <f t="shared" si="218"/>
        <v>46</v>
      </c>
      <c r="CD452" s="27" t="str">
        <f t="array" ref="CD452">_xlfn.TEXTJOIN("",TRUE,IF(ISNUMBER(FIND(MID(CC451&amp;R451,ROW($1:$4),1),CC452&amp;R452)),MID(CC451&amp;R451,ROW($1:$4),1),""))</f>
        <v/>
      </c>
      <c r="CE452" s="27" t="str">
        <f t="array" ref="CE452">_xlfn.TEXTJOIN("",TRUE,IF(ISERROR(FIND(ROW($1:$10)-1,CC452&amp;CD452)),ROW($1:$10)-1,""))</f>
        <v>01235789</v>
      </c>
      <c r="CF452" s="17" t="str">
        <f t="shared" si="219"/>
        <v>邻孤孤</v>
      </c>
      <c r="CG452" s="22" t="str">
        <f t="shared" si="220"/>
        <v>91</v>
      </c>
      <c r="CH452" s="22" t="str">
        <f t="array" ref="CH452">_xlfn.TEXTJOIN("",TRUE,IF(ISNUMBER(FIND(MID(CG451&amp;S451,ROW($1:$4),1),CG452&amp;S452)),MID(CG451&amp;S451,ROW($1:$4),1),""))</f>
        <v>9</v>
      </c>
      <c r="CI452" s="22" t="str">
        <f t="array" ref="CI452">_xlfn.TEXTJOIN("",TRUE,IF(ISERROR(FIND(ROW($1:$10)-1,CG452&amp;CH452)),ROW($1:$10)-1,""))</f>
        <v>02345678</v>
      </c>
      <c r="CJ452" s="28" t="str">
        <f t="shared" si="221"/>
        <v>邻传孤</v>
      </c>
    </row>
    <row r="453" spans="1:88">
      <c r="A453" s="32">
        <v>2025228</v>
      </c>
      <c r="B453" s="8" t="s">
        <v>145</v>
      </c>
      <c r="C453" s="49">
        <f t="shared" si="230"/>
        <v>15</v>
      </c>
      <c r="D453" s="50">
        <f t="shared" si="231"/>
        <v>5</v>
      </c>
      <c r="E453" s="51">
        <f t="shared" si="237"/>
        <v>5</v>
      </c>
      <c r="F453" s="52">
        <f>MAX(MID(B453,{1,2,3},1)*1)-MIN(MID(B453,{1,2,3},1)*1)</f>
        <v>2</v>
      </c>
      <c r="G453" s="104">
        <v>0</v>
      </c>
      <c r="H453" s="104">
        <v>1</v>
      </c>
      <c r="I453" s="104">
        <v>2</v>
      </c>
      <c r="J453" s="104">
        <v>3</v>
      </c>
      <c r="K453" s="104">
        <v>4</v>
      </c>
      <c r="L453" s="104">
        <v>5</v>
      </c>
      <c r="M453" s="104">
        <v>6</v>
      </c>
      <c r="N453" s="104">
        <v>7</v>
      </c>
      <c r="O453" s="104">
        <v>8</v>
      </c>
      <c r="P453" s="104">
        <v>9</v>
      </c>
      <c r="Q453" s="53">
        <f t="shared" si="232"/>
        <v>2</v>
      </c>
      <c r="R453" s="53">
        <f t="shared" si="233"/>
        <v>1</v>
      </c>
      <c r="S453" s="53">
        <f t="shared" si="234"/>
        <v>1</v>
      </c>
      <c r="T453" s="101">
        <f t="shared" si="238"/>
        <v>4</v>
      </c>
      <c r="U453" s="15" t="str">
        <f>_xlfn.TEXTJOIN(", ",TRUE,ABS(MID(B453,{1,1,2},1)-MID(B453,{2,3,3},1)))</f>
        <v>2, 1, 1</v>
      </c>
      <c r="V453" s="54">
        <v>0</v>
      </c>
      <c r="W453" s="54">
        <v>1</v>
      </c>
      <c r="X453" s="54">
        <v>2</v>
      </c>
      <c r="Y453" s="54">
        <v>3</v>
      </c>
      <c r="Z453" s="54">
        <v>4</v>
      </c>
      <c r="AA453" s="54">
        <v>5</v>
      </c>
      <c r="AB453" s="54">
        <v>6</v>
      </c>
      <c r="AC453" s="54">
        <v>7</v>
      </c>
      <c r="AD453" s="54">
        <v>8</v>
      </c>
      <c r="AE453" s="54">
        <v>9</v>
      </c>
      <c r="AF453" s="55">
        <v>0</v>
      </c>
      <c r="AG453" s="55">
        <v>1</v>
      </c>
      <c r="AH453" s="55">
        <v>2</v>
      </c>
      <c r="AI453" s="55">
        <v>3</v>
      </c>
      <c r="AJ453" s="55">
        <v>4</v>
      </c>
      <c r="AK453" s="55">
        <v>5</v>
      </c>
      <c r="AL453" s="55">
        <v>6</v>
      </c>
      <c r="AM453" s="55">
        <v>7</v>
      </c>
      <c r="AN453" s="55">
        <v>8</v>
      </c>
      <c r="AO453" s="55">
        <v>9</v>
      </c>
      <c r="AP453" s="105">
        <v>0</v>
      </c>
      <c r="AQ453" s="105">
        <v>1</v>
      </c>
      <c r="AR453" s="105">
        <v>2</v>
      </c>
      <c r="AS453" s="105">
        <v>3</v>
      </c>
      <c r="AT453" s="105">
        <v>4</v>
      </c>
      <c r="AU453" s="105">
        <v>5</v>
      </c>
      <c r="AV453" s="105">
        <v>6</v>
      </c>
      <c r="AW453" s="105">
        <v>7</v>
      </c>
      <c r="AX453" s="105">
        <v>8</v>
      </c>
      <c r="AY453" s="105">
        <v>9</v>
      </c>
      <c r="AZ453" s="56">
        <v>0</v>
      </c>
      <c r="BA453" s="56">
        <v>1</v>
      </c>
      <c r="BB453" s="56">
        <v>2</v>
      </c>
      <c r="BC453" s="56">
        <v>3</v>
      </c>
      <c r="BD453" s="56">
        <v>4</v>
      </c>
      <c r="BE453" s="56">
        <v>5</v>
      </c>
      <c r="BF453" s="56">
        <v>6</v>
      </c>
      <c r="BG453" s="56">
        <v>7</v>
      </c>
      <c r="BH453" s="56">
        <v>8</v>
      </c>
      <c r="BI453" s="56">
        <v>9</v>
      </c>
      <c r="BJ453" s="57" t="str">
        <f t="shared" si="239"/>
        <v>紧凑型</v>
      </c>
      <c r="BK453" s="13">
        <f t="shared" si="235"/>
        <v>1</v>
      </c>
      <c r="BL453" s="13">
        <f t="shared" si="236"/>
        <v>2</v>
      </c>
      <c r="BM453" s="18" t="str">
        <f t="shared" ref="BM453:BM516" si="241">IF(COUNTIF($Q452:$S452,Q453)&gt;0,Q453,"")</f>
        <v/>
      </c>
      <c r="BN453" s="19" t="str">
        <f t="shared" ref="BN453:BN516" si="242">IF(COUNTIF($Q451:$S451,Q453)&gt;0,Q453,"")</f>
        <v/>
      </c>
      <c r="BO453" s="19" t="str">
        <f t="array" ref="BO453">_xlfn.TEXTJOIN("",TRUE,IF(ISERROR(FIND(ROW($1:$10)-1,BM453&amp;BN453)),ROW($1:$10)-1,""))</f>
        <v>0123456789</v>
      </c>
      <c r="BP453" s="20" t="str">
        <f t="shared" ref="BP453:BP516" si="243">IF(BM453&lt;&gt;"","复","中")&amp;IF(BN453&lt;&gt;"","隔","中")&amp;"中"</f>
        <v>中中中</v>
      </c>
      <c r="BQ453" s="21" t="str">
        <f t="shared" si="224"/>
        <v/>
      </c>
      <c r="BR453" s="21">
        <f t="shared" si="222"/>
        <v>1</v>
      </c>
      <c r="BS453" s="21" t="str">
        <f t="array" ref="BS453">_xlfn.TEXTJOIN("",TRUE,IF(ISERROR(FIND(ROW($1:$10)-1,BQ453&amp;BR453)),ROW($1:$10)-1,""))</f>
        <v>023456789</v>
      </c>
      <c r="BT453" s="20" t="str">
        <f t="shared" ref="BT453:BT516" si="244">IF(BQ453&lt;&gt;"","复","中")&amp;IF(BR453&lt;&gt;"","隔","中")&amp;"中"</f>
        <v>中隔中</v>
      </c>
      <c r="BU453" s="22" t="str">
        <f t="shared" ref="BU453:BU516" si="245">IF(COUNTIF($Q452:$S452,S453)&gt;0,S453,"")</f>
        <v/>
      </c>
      <c r="BV453" s="22">
        <f t="shared" si="223"/>
        <v>1</v>
      </c>
      <c r="BW453" s="22" t="str">
        <f t="array" ref="BW453">_xlfn.TEXTJOIN("",TRUE,IF(ISERROR(FIND(ROW($1:$10)-1,BU453&amp;BV453)),ROW($1:$10)-1,""))</f>
        <v>023456789</v>
      </c>
      <c r="BX453" s="20" t="str">
        <f t="shared" ref="BX453:BX516" si="246">IF(BU453&lt;&gt;"","复","中")&amp;IF(BV453&lt;&gt;"","隔","中")&amp;"中"</f>
        <v>中隔中</v>
      </c>
      <c r="BY453" s="23" t="str">
        <f t="shared" si="240"/>
        <v>13</v>
      </c>
      <c r="BZ453" s="24" t="str">
        <f t="array" ref="BZ453">_xlfn.TEXTJOIN("",TRUE,IF(ISNUMBER(FIND(MID(BY452&amp;Q452,ROW($1:$4),1),BY453&amp;Q453)),MID(BY452&amp;Q452,ROW($1:$4),1),""))</f>
        <v/>
      </c>
      <c r="CA453" s="25" t="str">
        <f t="array" ref="CA453">_xlfn.TEXTJOIN("",TRUE,IF(ISERROR(FIND(ROW($1:$10)-1,BY453&amp;BZ453)),ROW($1:$10)-1,""))</f>
        <v>02456789</v>
      </c>
      <c r="CB453" s="26" t="str">
        <f t="shared" ref="CB453:CB516" si="247">IF(BY453&lt;&gt;"","邻","孤")&amp;IF(BZ453&lt;&gt;"","传","孤")&amp;"孤"</f>
        <v>邻孤孤</v>
      </c>
      <c r="CC453" s="27" t="str">
        <f t="shared" ref="CC453:CC516" si="248">IF(R453=0,9,R453-1)&amp;""&amp;IF(R453=9,0,R453+1)</f>
        <v>02</v>
      </c>
      <c r="CD453" s="27" t="str">
        <f t="array" ref="CD453">_xlfn.TEXTJOIN("",TRUE,IF(ISNUMBER(FIND(MID(CC452&amp;R452,ROW($1:$4),1),CC453&amp;R453)),MID(CC452&amp;R452,ROW($1:$4),1),""))</f>
        <v/>
      </c>
      <c r="CE453" s="27" t="str">
        <f t="array" ref="CE453">_xlfn.TEXTJOIN("",TRUE,IF(ISERROR(FIND(ROW($1:$10)-1,CC453&amp;CD453)),ROW($1:$10)-1,""))</f>
        <v>13456789</v>
      </c>
      <c r="CF453" s="17" t="str">
        <f t="shared" ref="CF453:CF516" si="249">IF(CC453&lt;&gt;"","邻","孤")&amp;IF(CD453&lt;&gt;"","传","孤")&amp;"孤"</f>
        <v>邻孤孤</v>
      </c>
      <c r="CG453" s="22" t="str">
        <f t="shared" ref="CG453:CG516" si="250">IF(S453=0,9,S453-1)&amp;""&amp;IF(S453=9,0,S453+1)</f>
        <v>02</v>
      </c>
      <c r="CH453" s="22" t="str">
        <f t="array" ref="CH453">_xlfn.TEXTJOIN("",TRUE,IF(ISNUMBER(FIND(MID(CG452&amp;S452,ROW($1:$4),1),CG453&amp;S453)),MID(CG452&amp;S452,ROW($1:$4),1),""))</f>
        <v>10</v>
      </c>
      <c r="CI453" s="22" t="str">
        <f t="array" ref="CI453">_xlfn.TEXTJOIN("",TRUE,IF(ISERROR(FIND(ROW($1:$10)-1,CG453&amp;CH453)),ROW($1:$10)-1,""))</f>
        <v>3456789</v>
      </c>
      <c r="CJ453" s="28" t="str">
        <f t="shared" ref="CJ453:CJ516" si="251">IF(CG453&lt;&gt;"","邻","孤")&amp;IF(CH453&lt;&gt;"","传","孤")&amp;"孤"</f>
        <v>邻传孤</v>
      </c>
    </row>
    <row r="454" spans="1:88">
      <c r="A454" s="32">
        <v>2025229</v>
      </c>
      <c r="B454" s="8" t="s">
        <v>69</v>
      </c>
      <c r="C454" s="49">
        <f t="shared" si="230"/>
        <v>9</v>
      </c>
      <c r="D454" s="50">
        <f t="shared" si="231"/>
        <v>9</v>
      </c>
      <c r="E454" s="51">
        <f t="shared" si="237"/>
        <v>3</v>
      </c>
      <c r="F454" s="52">
        <f>MAX(MID(B454,{1,2,3},1)*1)-MIN(MID(B454,{1,2,3},1)*1)</f>
        <v>8</v>
      </c>
      <c r="G454" s="104">
        <v>0</v>
      </c>
      <c r="H454" s="104">
        <v>1</v>
      </c>
      <c r="I454" s="104">
        <v>2</v>
      </c>
      <c r="J454" s="104">
        <v>3</v>
      </c>
      <c r="K454" s="104">
        <v>4</v>
      </c>
      <c r="L454" s="104">
        <v>5</v>
      </c>
      <c r="M454" s="104">
        <v>6</v>
      </c>
      <c r="N454" s="104">
        <v>7</v>
      </c>
      <c r="O454" s="104">
        <v>8</v>
      </c>
      <c r="P454" s="104">
        <v>9</v>
      </c>
      <c r="Q454" s="53">
        <f t="shared" si="232"/>
        <v>1</v>
      </c>
      <c r="R454" s="53">
        <f t="shared" si="233"/>
        <v>7</v>
      </c>
      <c r="S454" s="53">
        <f t="shared" si="234"/>
        <v>8</v>
      </c>
      <c r="T454" s="101">
        <f t="shared" si="238"/>
        <v>16</v>
      </c>
      <c r="U454" s="15" t="str">
        <f>_xlfn.TEXTJOIN(", ",TRUE,ABS(MID(B454,{1,1,2},1)-MID(B454,{2,3,3},1)))</f>
        <v>1, 7, 8</v>
      </c>
      <c r="V454" s="54">
        <v>0</v>
      </c>
      <c r="W454" s="54">
        <v>1</v>
      </c>
      <c r="X454" s="54">
        <v>2</v>
      </c>
      <c r="Y454" s="54">
        <v>3</v>
      </c>
      <c r="Z454" s="54">
        <v>4</v>
      </c>
      <c r="AA454" s="54">
        <v>5</v>
      </c>
      <c r="AB454" s="54">
        <v>6</v>
      </c>
      <c r="AC454" s="54">
        <v>7</v>
      </c>
      <c r="AD454" s="54">
        <v>8</v>
      </c>
      <c r="AE454" s="54">
        <v>9</v>
      </c>
      <c r="AF454" s="55">
        <v>0</v>
      </c>
      <c r="AG454" s="55">
        <v>1</v>
      </c>
      <c r="AH454" s="55">
        <v>2</v>
      </c>
      <c r="AI454" s="55">
        <v>3</v>
      </c>
      <c r="AJ454" s="55">
        <v>4</v>
      </c>
      <c r="AK454" s="55">
        <v>5</v>
      </c>
      <c r="AL454" s="55">
        <v>6</v>
      </c>
      <c r="AM454" s="55">
        <v>7</v>
      </c>
      <c r="AN454" s="55">
        <v>8</v>
      </c>
      <c r="AO454" s="55">
        <v>9</v>
      </c>
      <c r="AP454" s="105">
        <v>0</v>
      </c>
      <c r="AQ454" s="105">
        <v>1</v>
      </c>
      <c r="AR454" s="105">
        <v>2</v>
      </c>
      <c r="AS454" s="105">
        <v>3</v>
      </c>
      <c r="AT454" s="105">
        <v>4</v>
      </c>
      <c r="AU454" s="105">
        <v>5</v>
      </c>
      <c r="AV454" s="105">
        <v>6</v>
      </c>
      <c r="AW454" s="105">
        <v>7</v>
      </c>
      <c r="AX454" s="105">
        <v>8</v>
      </c>
      <c r="AY454" s="105">
        <v>9</v>
      </c>
      <c r="AZ454" s="56">
        <v>0</v>
      </c>
      <c r="BA454" s="56">
        <v>1</v>
      </c>
      <c r="BB454" s="56">
        <v>2</v>
      </c>
      <c r="BC454" s="56">
        <v>3</v>
      </c>
      <c r="BD454" s="56">
        <v>4</v>
      </c>
      <c r="BE454" s="56">
        <v>5</v>
      </c>
      <c r="BF454" s="56">
        <v>6</v>
      </c>
      <c r="BG454" s="56">
        <v>7</v>
      </c>
      <c r="BH454" s="56">
        <v>8</v>
      </c>
      <c r="BI454" s="56">
        <v>9</v>
      </c>
      <c r="BJ454" s="57" t="str">
        <f t="shared" si="239"/>
        <v>松散型</v>
      </c>
      <c r="BK454" s="13">
        <f t="shared" si="235"/>
        <v>1</v>
      </c>
      <c r="BL454" s="13">
        <f t="shared" si="236"/>
        <v>8</v>
      </c>
      <c r="BM454" s="18">
        <f t="shared" si="241"/>
        <v>1</v>
      </c>
      <c r="BN454" s="19" t="str">
        <f t="shared" si="242"/>
        <v/>
      </c>
      <c r="BO454" s="19" t="str">
        <f t="array" ref="BO454">_xlfn.TEXTJOIN("",TRUE,IF(ISERROR(FIND(ROW($1:$10)-1,BM454&amp;BN454)),ROW($1:$10)-1,""))</f>
        <v>023456789</v>
      </c>
      <c r="BP454" s="20" t="str">
        <f t="shared" si="243"/>
        <v>复中中</v>
      </c>
      <c r="BQ454" s="21" t="str">
        <f t="shared" si="224"/>
        <v/>
      </c>
      <c r="BR454" s="21" t="str">
        <f t="shared" ref="BR454:BR517" si="252">IF(COUNTIF($Q452:$S452,R454)&gt;0,R454,"")</f>
        <v/>
      </c>
      <c r="BS454" s="21" t="str">
        <f t="array" ref="BS454">_xlfn.TEXTJOIN("",TRUE,IF(ISERROR(FIND(ROW($1:$10)-1,BQ454&amp;BR454)),ROW($1:$10)-1,""))</f>
        <v>0123456789</v>
      </c>
      <c r="BT454" s="20" t="str">
        <f t="shared" si="244"/>
        <v>中中中</v>
      </c>
      <c r="BU454" s="22" t="str">
        <f t="shared" si="245"/>
        <v/>
      </c>
      <c r="BV454" s="22" t="str">
        <f t="shared" ref="BV454:BV517" si="253">IF(COUNTIF($Q452:$S452,S454)&gt;0,S454,"")</f>
        <v/>
      </c>
      <c r="BW454" s="22" t="str">
        <f t="array" ref="BW454">_xlfn.TEXTJOIN("",TRUE,IF(ISERROR(FIND(ROW($1:$10)-1,BU454&amp;BV454)),ROW($1:$10)-1,""))</f>
        <v>0123456789</v>
      </c>
      <c r="BX454" s="20" t="str">
        <f t="shared" si="246"/>
        <v>中中中</v>
      </c>
      <c r="BY454" s="23" t="str">
        <f t="shared" si="240"/>
        <v>02</v>
      </c>
      <c r="BZ454" s="24" t="str">
        <f t="array" ref="BZ454">_xlfn.TEXTJOIN("",TRUE,IF(ISNUMBER(FIND(MID(BY453&amp;Q453,ROW($1:$4),1),BY454&amp;Q454)),MID(BY453&amp;Q453,ROW($1:$4),1),""))</f>
        <v>12</v>
      </c>
      <c r="CA454" s="25" t="str">
        <f t="array" ref="CA454">_xlfn.TEXTJOIN("",TRUE,IF(ISERROR(FIND(ROW($1:$10)-1,BY454&amp;BZ454)),ROW($1:$10)-1,""))</f>
        <v>3456789</v>
      </c>
      <c r="CB454" s="26" t="str">
        <f t="shared" si="247"/>
        <v>邻传孤</v>
      </c>
      <c r="CC454" s="27" t="str">
        <f t="shared" si="248"/>
        <v>68</v>
      </c>
      <c r="CD454" s="27" t="str">
        <f t="array" ref="CD454">_xlfn.TEXTJOIN("",TRUE,IF(ISNUMBER(FIND(MID(CC453&amp;R453,ROW($1:$4),1),CC454&amp;R454)),MID(CC453&amp;R453,ROW($1:$4),1),""))</f>
        <v/>
      </c>
      <c r="CE454" s="27" t="str">
        <f t="array" ref="CE454">_xlfn.TEXTJOIN("",TRUE,IF(ISERROR(FIND(ROW($1:$10)-1,CC454&amp;CD454)),ROW($1:$10)-1,""))</f>
        <v>01234579</v>
      </c>
      <c r="CF454" s="17" t="str">
        <f t="shared" si="249"/>
        <v>邻孤孤</v>
      </c>
      <c r="CG454" s="22" t="str">
        <f t="shared" si="250"/>
        <v>79</v>
      </c>
      <c r="CH454" s="22" t="str">
        <f t="array" ref="CH454">_xlfn.TEXTJOIN("",TRUE,IF(ISNUMBER(FIND(MID(CG453&amp;S453,ROW($1:$4),1),CG454&amp;S454)),MID(CG453&amp;S453,ROW($1:$4),1),""))</f>
        <v/>
      </c>
      <c r="CI454" s="22" t="str">
        <f t="array" ref="CI454">_xlfn.TEXTJOIN("",TRUE,IF(ISERROR(FIND(ROW($1:$10)-1,CG454&amp;CH454)),ROW($1:$10)-1,""))</f>
        <v>01234568</v>
      </c>
      <c r="CJ454" s="28" t="str">
        <f t="shared" si="251"/>
        <v>邻孤孤</v>
      </c>
    </row>
    <row r="455" spans="1:88">
      <c r="A455" s="32">
        <v>2025230</v>
      </c>
      <c r="B455" s="8" t="s">
        <v>373</v>
      </c>
      <c r="C455" s="49">
        <f t="shared" si="230"/>
        <v>16</v>
      </c>
      <c r="D455" s="50">
        <f t="shared" si="231"/>
        <v>6</v>
      </c>
      <c r="E455" s="51">
        <f t="shared" si="237"/>
        <v>5.3333333333333304</v>
      </c>
      <c r="F455" s="52">
        <f>MAX(MID(B455,{1,2,3},1)*1)-MIN(MID(B455,{1,2,3},1)*1)</f>
        <v>6</v>
      </c>
      <c r="G455" s="104">
        <v>0</v>
      </c>
      <c r="H455" s="104">
        <v>1</v>
      </c>
      <c r="I455" s="104">
        <v>2</v>
      </c>
      <c r="J455" s="104">
        <v>3</v>
      </c>
      <c r="K455" s="104">
        <v>4</v>
      </c>
      <c r="L455" s="104">
        <v>5</v>
      </c>
      <c r="M455" s="104">
        <v>6</v>
      </c>
      <c r="N455" s="104">
        <v>7</v>
      </c>
      <c r="O455" s="104">
        <v>8</v>
      </c>
      <c r="P455" s="104">
        <v>9</v>
      </c>
      <c r="Q455" s="53">
        <f t="shared" si="232"/>
        <v>1</v>
      </c>
      <c r="R455" s="53">
        <f t="shared" si="233"/>
        <v>5</v>
      </c>
      <c r="S455" s="53">
        <f t="shared" si="234"/>
        <v>6</v>
      </c>
      <c r="T455" s="101">
        <f t="shared" si="238"/>
        <v>12</v>
      </c>
      <c r="U455" s="15" t="str">
        <f>_xlfn.TEXTJOIN(", ",TRUE,ABS(MID(B455,{1,1,2},1)-MID(B455,{2,3,3},1)))</f>
        <v>1, 5, 6</v>
      </c>
      <c r="V455" s="54">
        <v>0</v>
      </c>
      <c r="W455" s="54">
        <v>1</v>
      </c>
      <c r="X455" s="54">
        <v>2</v>
      </c>
      <c r="Y455" s="54">
        <v>3</v>
      </c>
      <c r="Z455" s="54">
        <v>4</v>
      </c>
      <c r="AA455" s="54">
        <v>5</v>
      </c>
      <c r="AB455" s="54">
        <v>6</v>
      </c>
      <c r="AC455" s="54">
        <v>7</v>
      </c>
      <c r="AD455" s="54">
        <v>8</v>
      </c>
      <c r="AE455" s="54">
        <v>9</v>
      </c>
      <c r="AF455" s="55">
        <v>0</v>
      </c>
      <c r="AG455" s="55">
        <v>1</v>
      </c>
      <c r="AH455" s="55">
        <v>2</v>
      </c>
      <c r="AI455" s="55">
        <v>3</v>
      </c>
      <c r="AJ455" s="55">
        <v>4</v>
      </c>
      <c r="AK455" s="55">
        <v>5</v>
      </c>
      <c r="AL455" s="55">
        <v>6</v>
      </c>
      <c r="AM455" s="55">
        <v>7</v>
      </c>
      <c r="AN455" s="55">
        <v>8</v>
      </c>
      <c r="AO455" s="55">
        <v>9</v>
      </c>
      <c r="AP455" s="105">
        <v>0</v>
      </c>
      <c r="AQ455" s="105">
        <v>1</v>
      </c>
      <c r="AR455" s="105">
        <v>2</v>
      </c>
      <c r="AS455" s="105">
        <v>3</v>
      </c>
      <c r="AT455" s="105">
        <v>4</v>
      </c>
      <c r="AU455" s="105">
        <v>5</v>
      </c>
      <c r="AV455" s="105">
        <v>6</v>
      </c>
      <c r="AW455" s="105">
        <v>7</v>
      </c>
      <c r="AX455" s="105">
        <v>8</v>
      </c>
      <c r="AY455" s="105">
        <v>9</v>
      </c>
      <c r="AZ455" s="56">
        <v>0</v>
      </c>
      <c r="BA455" s="56">
        <v>1</v>
      </c>
      <c r="BB455" s="56">
        <v>2</v>
      </c>
      <c r="BC455" s="56">
        <v>3</v>
      </c>
      <c r="BD455" s="56">
        <v>4</v>
      </c>
      <c r="BE455" s="56">
        <v>5</v>
      </c>
      <c r="BF455" s="56">
        <v>6</v>
      </c>
      <c r="BG455" s="56">
        <v>7</v>
      </c>
      <c r="BH455" s="56">
        <v>8</v>
      </c>
      <c r="BI455" s="56">
        <v>9</v>
      </c>
      <c r="BJ455" s="57" t="str">
        <f t="shared" si="239"/>
        <v>松散型</v>
      </c>
      <c r="BK455" s="13">
        <f t="shared" si="235"/>
        <v>1</v>
      </c>
      <c r="BL455" s="13">
        <f t="shared" si="236"/>
        <v>6</v>
      </c>
      <c r="BM455" s="18">
        <f t="shared" si="241"/>
        <v>1</v>
      </c>
      <c r="BN455" s="19">
        <f t="shared" si="242"/>
        <v>1</v>
      </c>
      <c r="BO455" s="19" t="str">
        <f t="array" ref="BO455">_xlfn.TEXTJOIN("",TRUE,IF(ISERROR(FIND(ROW($1:$10)-1,BM455&amp;BN455)),ROW($1:$10)-1,""))</f>
        <v>023456789</v>
      </c>
      <c r="BP455" s="20" t="str">
        <f t="shared" si="243"/>
        <v>复隔中</v>
      </c>
      <c r="BQ455" s="21" t="str">
        <f t="shared" si="224"/>
        <v/>
      </c>
      <c r="BR455" s="21" t="str">
        <f t="shared" si="252"/>
        <v/>
      </c>
      <c r="BS455" s="21" t="str">
        <f t="array" ref="BS455">_xlfn.TEXTJOIN("",TRUE,IF(ISERROR(FIND(ROW($1:$10)-1,BQ455&amp;BR455)),ROW($1:$10)-1,""))</f>
        <v>0123456789</v>
      </c>
      <c r="BT455" s="20" t="str">
        <f t="shared" si="244"/>
        <v>中中中</v>
      </c>
      <c r="BU455" s="22" t="str">
        <f t="shared" si="245"/>
        <v/>
      </c>
      <c r="BV455" s="22" t="str">
        <f t="shared" si="253"/>
        <v/>
      </c>
      <c r="BW455" s="22" t="str">
        <f t="array" ref="BW455">_xlfn.TEXTJOIN("",TRUE,IF(ISERROR(FIND(ROW($1:$10)-1,BU455&amp;BV455)),ROW($1:$10)-1,""))</f>
        <v>0123456789</v>
      </c>
      <c r="BX455" s="20" t="str">
        <f t="shared" si="246"/>
        <v>中中中</v>
      </c>
      <c r="BY455" s="23" t="str">
        <f t="shared" si="240"/>
        <v>02</v>
      </c>
      <c r="BZ455" s="24" t="str">
        <f t="array" ref="BZ455">_xlfn.TEXTJOIN("",TRUE,IF(ISNUMBER(FIND(MID(BY454&amp;Q454,ROW($1:$4),1),BY455&amp;Q455)),MID(BY454&amp;Q454,ROW($1:$4),1),""))</f>
        <v>021</v>
      </c>
      <c r="CA455" s="25" t="str">
        <f t="array" ref="CA455">_xlfn.TEXTJOIN("",TRUE,IF(ISERROR(FIND(ROW($1:$10)-1,BY455&amp;BZ455)),ROW($1:$10)-1,""))</f>
        <v>3456789</v>
      </c>
      <c r="CB455" s="26" t="str">
        <f t="shared" si="247"/>
        <v>邻传孤</v>
      </c>
      <c r="CC455" s="27" t="str">
        <f t="shared" si="248"/>
        <v>46</v>
      </c>
      <c r="CD455" s="27" t="str">
        <f t="array" ref="CD455">_xlfn.TEXTJOIN("",TRUE,IF(ISNUMBER(FIND(MID(CC454&amp;R454,ROW($1:$4),1),CC455&amp;R455)),MID(CC454&amp;R454,ROW($1:$4),1),""))</f>
        <v>6</v>
      </c>
      <c r="CE455" s="27" t="str">
        <f t="array" ref="CE455">_xlfn.TEXTJOIN("",TRUE,IF(ISERROR(FIND(ROW($1:$10)-1,CC455&amp;CD455)),ROW($1:$10)-1,""))</f>
        <v>01235789</v>
      </c>
      <c r="CF455" s="17" t="str">
        <f t="shared" si="249"/>
        <v>邻传孤</v>
      </c>
      <c r="CG455" s="22" t="str">
        <f t="shared" si="250"/>
        <v>57</v>
      </c>
      <c r="CH455" s="22" t="str">
        <f t="array" ref="CH455">_xlfn.TEXTJOIN("",TRUE,IF(ISNUMBER(FIND(MID(CG454&amp;S454,ROW($1:$4),1),CG455&amp;S455)),MID(CG454&amp;S454,ROW($1:$4),1),""))</f>
        <v>7</v>
      </c>
      <c r="CI455" s="22" t="str">
        <f t="array" ref="CI455">_xlfn.TEXTJOIN("",TRUE,IF(ISERROR(FIND(ROW($1:$10)-1,CG455&amp;CH455)),ROW($1:$10)-1,""))</f>
        <v>01234689</v>
      </c>
      <c r="CJ455" s="28" t="str">
        <f t="shared" si="251"/>
        <v>邻传孤</v>
      </c>
    </row>
    <row r="456" spans="1:88">
      <c r="A456" s="32">
        <v>2025231</v>
      </c>
      <c r="B456" s="8" t="s">
        <v>374</v>
      </c>
      <c r="C456" s="49">
        <f t="shared" si="230"/>
        <v>12</v>
      </c>
      <c r="D456" s="50">
        <f t="shared" si="231"/>
        <v>2</v>
      </c>
      <c r="E456" s="51">
        <f t="shared" si="237"/>
        <v>4</v>
      </c>
      <c r="F456" s="52">
        <f>MAX(MID(B456,{1,2,3},1)*1)-MIN(MID(B456,{1,2,3},1)*1)</f>
        <v>5</v>
      </c>
      <c r="G456" s="104">
        <v>0</v>
      </c>
      <c r="H456" s="104">
        <v>1</v>
      </c>
      <c r="I456" s="104">
        <v>2</v>
      </c>
      <c r="J456" s="104">
        <v>3</v>
      </c>
      <c r="K456" s="104">
        <v>4</v>
      </c>
      <c r="L456" s="104">
        <v>5</v>
      </c>
      <c r="M456" s="104">
        <v>6</v>
      </c>
      <c r="N456" s="104">
        <v>7</v>
      </c>
      <c r="O456" s="104">
        <v>8</v>
      </c>
      <c r="P456" s="104">
        <v>9</v>
      </c>
      <c r="Q456" s="53">
        <f t="shared" si="232"/>
        <v>4</v>
      </c>
      <c r="R456" s="53">
        <f t="shared" si="233"/>
        <v>5</v>
      </c>
      <c r="S456" s="53">
        <f t="shared" si="234"/>
        <v>1</v>
      </c>
      <c r="T456" s="101">
        <f t="shared" si="238"/>
        <v>10</v>
      </c>
      <c r="U456" s="15" t="str">
        <f>_xlfn.TEXTJOIN(", ",TRUE,ABS(MID(B456,{1,1,2},1)-MID(B456,{2,3,3},1)))</f>
        <v>4, 5, 1</v>
      </c>
      <c r="V456" s="54">
        <v>0</v>
      </c>
      <c r="W456" s="54">
        <v>1</v>
      </c>
      <c r="X456" s="54">
        <v>2</v>
      </c>
      <c r="Y456" s="54">
        <v>3</v>
      </c>
      <c r="Z456" s="54">
        <v>4</v>
      </c>
      <c r="AA456" s="54">
        <v>5</v>
      </c>
      <c r="AB456" s="54">
        <v>6</v>
      </c>
      <c r="AC456" s="54">
        <v>7</v>
      </c>
      <c r="AD456" s="54">
        <v>8</v>
      </c>
      <c r="AE456" s="54">
        <v>9</v>
      </c>
      <c r="AF456" s="55">
        <v>0</v>
      </c>
      <c r="AG456" s="55">
        <v>1</v>
      </c>
      <c r="AH456" s="55">
        <v>2</v>
      </c>
      <c r="AI456" s="55">
        <v>3</v>
      </c>
      <c r="AJ456" s="55">
        <v>4</v>
      </c>
      <c r="AK456" s="55">
        <v>5</v>
      </c>
      <c r="AL456" s="55">
        <v>6</v>
      </c>
      <c r="AM456" s="55">
        <v>7</v>
      </c>
      <c r="AN456" s="55">
        <v>8</v>
      </c>
      <c r="AO456" s="55">
        <v>9</v>
      </c>
      <c r="AP456" s="105">
        <v>0</v>
      </c>
      <c r="AQ456" s="105">
        <v>1</v>
      </c>
      <c r="AR456" s="105">
        <v>2</v>
      </c>
      <c r="AS456" s="105">
        <v>3</v>
      </c>
      <c r="AT456" s="105">
        <v>4</v>
      </c>
      <c r="AU456" s="105">
        <v>5</v>
      </c>
      <c r="AV456" s="105">
        <v>6</v>
      </c>
      <c r="AW456" s="105">
        <v>7</v>
      </c>
      <c r="AX456" s="105">
        <v>8</v>
      </c>
      <c r="AY456" s="105">
        <v>9</v>
      </c>
      <c r="AZ456" s="56">
        <v>0</v>
      </c>
      <c r="BA456" s="56">
        <v>1</v>
      </c>
      <c r="BB456" s="56">
        <v>2</v>
      </c>
      <c r="BC456" s="56">
        <v>3</v>
      </c>
      <c r="BD456" s="56">
        <v>4</v>
      </c>
      <c r="BE456" s="56">
        <v>5</v>
      </c>
      <c r="BF456" s="56">
        <v>6</v>
      </c>
      <c r="BG456" s="56">
        <v>7</v>
      </c>
      <c r="BH456" s="56">
        <v>8</v>
      </c>
      <c r="BI456" s="56">
        <v>9</v>
      </c>
      <c r="BJ456" s="57" t="str">
        <f t="shared" si="239"/>
        <v>标准型</v>
      </c>
      <c r="BK456" s="13">
        <f t="shared" si="235"/>
        <v>1</v>
      </c>
      <c r="BL456" s="13">
        <f t="shared" si="236"/>
        <v>5</v>
      </c>
      <c r="BM456" s="18" t="str">
        <f t="shared" si="241"/>
        <v/>
      </c>
      <c r="BN456" s="19" t="str">
        <f t="shared" si="242"/>
        <v/>
      </c>
      <c r="BO456" s="19" t="str">
        <f t="array" ref="BO456">_xlfn.TEXTJOIN("",TRUE,IF(ISERROR(FIND(ROW($1:$10)-1,BM456&amp;BN456)),ROW($1:$10)-1,""))</f>
        <v>0123456789</v>
      </c>
      <c r="BP456" s="20" t="str">
        <f t="shared" si="243"/>
        <v>中中中</v>
      </c>
      <c r="BQ456" s="21">
        <f t="shared" ref="BQ456:BQ519" si="254">IF(COUNTIF($Q455:$S455,R456)&gt;0,R456,"")</f>
        <v>5</v>
      </c>
      <c r="BR456" s="21" t="str">
        <f t="shared" si="252"/>
        <v/>
      </c>
      <c r="BS456" s="21" t="str">
        <f t="array" ref="BS456">_xlfn.TEXTJOIN("",TRUE,IF(ISERROR(FIND(ROW($1:$10)-1,BQ456&amp;BR456)),ROW($1:$10)-1,""))</f>
        <v>012346789</v>
      </c>
      <c r="BT456" s="20" t="str">
        <f t="shared" si="244"/>
        <v>复中中</v>
      </c>
      <c r="BU456" s="22">
        <f t="shared" si="245"/>
        <v>1</v>
      </c>
      <c r="BV456" s="22">
        <f t="shared" si="253"/>
        <v>1</v>
      </c>
      <c r="BW456" s="22" t="str">
        <f t="array" ref="BW456">_xlfn.TEXTJOIN("",TRUE,IF(ISERROR(FIND(ROW($1:$10)-1,BU456&amp;BV456)),ROW($1:$10)-1,""))</f>
        <v>023456789</v>
      </c>
      <c r="BX456" s="20" t="str">
        <f t="shared" si="246"/>
        <v>复隔中</v>
      </c>
      <c r="BY456" s="23" t="str">
        <f t="shared" si="240"/>
        <v>35</v>
      </c>
      <c r="BZ456" s="24" t="str">
        <f t="array" ref="BZ456">_xlfn.TEXTJOIN("",TRUE,IF(ISNUMBER(FIND(MID(BY455&amp;Q455,ROW($1:$4),1),BY456&amp;Q456)),MID(BY455&amp;Q455,ROW($1:$4),1),""))</f>
        <v/>
      </c>
      <c r="CA456" s="25" t="str">
        <f t="array" ref="CA456">_xlfn.TEXTJOIN("",TRUE,IF(ISERROR(FIND(ROW($1:$10)-1,BY456&amp;BZ456)),ROW($1:$10)-1,""))</f>
        <v>01246789</v>
      </c>
      <c r="CB456" s="26" t="str">
        <f t="shared" si="247"/>
        <v>邻孤孤</v>
      </c>
      <c r="CC456" s="27" t="str">
        <f t="shared" si="248"/>
        <v>46</v>
      </c>
      <c r="CD456" s="27" t="str">
        <f t="array" ref="CD456">_xlfn.TEXTJOIN("",TRUE,IF(ISNUMBER(FIND(MID(CC455&amp;R455,ROW($1:$4),1),CC456&amp;R456)),MID(CC455&amp;R455,ROW($1:$4),1),""))</f>
        <v>465</v>
      </c>
      <c r="CE456" s="27" t="str">
        <f t="array" ref="CE456">_xlfn.TEXTJOIN("",TRUE,IF(ISERROR(FIND(ROW($1:$10)-1,CC456&amp;CD456)),ROW($1:$10)-1,""))</f>
        <v>0123789</v>
      </c>
      <c r="CF456" s="17" t="str">
        <f t="shared" si="249"/>
        <v>邻传孤</v>
      </c>
      <c r="CG456" s="22" t="str">
        <f t="shared" si="250"/>
        <v>02</v>
      </c>
      <c r="CH456" s="22" t="str">
        <f t="array" ref="CH456">_xlfn.TEXTJOIN("",TRUE,IF(ISNUMBER(FIND(MID(CG455&amp;S455,ROW($1:$4),1),CG456&amp;S456)),MID(CG455&amp;S455,ROW($1:$4),1),""))</f>
        <v/>
      </c>
      <c r="CI456" s="22" t="str">
        <f t="array" ref="CI456">_xlfn.TEXTJOIN("",TRUE,IF(ISERROR(FIND(ROW($1:$10)-1,CG456&amp;CH456)),ROW($1:$10)-1,""))</f>
        <v>13456789</v>
      </c>
      <c r="CJ456" s="28" t="str">
        <f t="shared" si="251"/>
        <v>邻孤孤</v>
      </c>
    </row>
    <row r="457" spans="1:88">
      <c r="A457" s="32">
        <v>2025232</v>
      </c>
      <c r="B457" s="8" t="s">
        <v>375</v>
      </c>
      <c r="C457" s="49">
        <f t="shared" si="230"/>
        <v>8</v>
      </c>
      <c r="D457" s="50">
        <f t="shared" si="231"/>
        <v>8</v>
      </c>
      <c r="E457" s="51">
        <f t="shared" si="237"/>
        <v>2.6666666666666701</v>
      </c>
      <c r="F457" s="52">
        <f>MAX(MID(B457,{1,2,3},1)*1)-MIN(MID(B457,{1,2,3},1)*1)</f>
        <v>4</v>
      </c>
      <c r="G457" s="104">
        <v>0</v>
      </c>
      <c r="H457" s="104">
        <v>1</v>
      </c>
      <c r="I457" s="104">
        <v>2</v>
      </c>
      <c r="J457" s="104">
        <v>3</v>
      </c>
      <c r="K457" s="104">
        <v>4</v>
      </c>
      <c r="L457" s="104">
        <v>5</v>
      </c>
      <c r="M457" s="104">
        <v>6</v>
      </c>
      <c r="N457" s="104">
        <v>7</v>
      </c>
      <c r="O457" s="104">
        <v>8</v>
      </c>
      <c r="P457" s="104">
        <v>9</v>
      </c>
      <c r="Q457" s="53">
        <f t="shared" si="232"/>
        <v>4</v>
      </c>
      <c r="R457" s="53">
        <f t="shared" si="233"/>
        <v>4</v>
      </c>
      <c r="S457" s="53">
        <f t="shared" si="234"/>
        <v>0</v>
      </c>
      <c r="T457" s="101">
        <f t="shared" si="238"/>
        <v>8</v>
      </c>
      <c r="U457" s="15" t="str">
        <f>_xlfn.TEXTJOIN(", ",TRUE,ABS(MID(B457,{1,1,2},1)-MID(B457,{2,3,3},1)))</f>
        <v>4, 4, 0</v>
      </c>
      <c r="V457" s="54">
        <v>0</v>
      </c>
      <c r="W457" s="54">
        <v>1</v>
      </c>
      <c r="X457" s="54">
        <v>2</v>
      </c>
      <c r="Y457" s="54">
        <v>3</v>
      </c>
      <c r="Z457" s="54">
        <v>4</v>
      </c>
      <c r="AA457" s="54">
        <v>5</v>
      </c>
      <c r="AB457" s="54">
        <v>6</v>
      </c>
      <c r="AC457" s="54">
        <v>7</v>
      </c>
      <c r="AD457" s="54">
        <v>8</v>
      </c>
      <c r="AE457" s="54">
        <v>9</v>
      </c>
      <c r="AF457" s="55">
        <v>0</v>
      </c>
      <c r="AG457" s="55">
        <v>1</v>
      </c>
      <c r="AH457" s="55">
        <v>2</v>
      </c>
      <c r="AI457" s="55">
        <v>3</v>
      </c>
      <c r="AJ457" s="55">
        <v>4</v>
      </c>
      <c r="AK457" s="55">
        <v>5</v>
      </c>
      <c r="AL457" s="55">
        <v>6</v>
      </c>
      <c r="AM457" s="55">
        <v>7</v>
      </c>
      <c r="AN457" s="55">
        <v>8</v>
      </c>
      <c r="AO457" s="55">
        <v>9</v>
      </c>
      <c r="AP457" s="105">
        <v>0</v>
      </c>
      <c r="AQ457" s="105">
        <v>1</v>
      </c>
      <c r="AR457" s="105">
        <v>2</v>
      </c>
      <c r="AS457" s="105">
        <v>3</v>
      </c>
      <c r="AT457" s="105">
        <v>4</v>
      </c>
      <c r="AU457" s="105">
        <v>5</v>
      </c>
      <c r="AV457" s="105">
        <v>6</v>
      </c>
      <c r="AW457" s="105">
        <v>7</v>
      </c>
      <c r="AX457" s="105">
        <v>8</v>
      </c>
      <c r="AY457" s="105">
        <v>9</v>
      </c>
      <c r="AZ457" s="56">
        <v>0</v>
      </c>
      <c r="BA457" s="56">
        <v>1</v>
      </c>
      <c r="BB457" s="56">
        <v>2</v>
      </c>
      <c r="BC457" s="56">
        <v>3</v>
      </c>
      <c r="BD457" s="56">
        <v>4</v>
      </c>
      <c r="BE457" s="56">
        <v>5</v>
      </c>
      <c r="BF457" s="56">
        <v>6</v>
      </c>
      <c r="BG457" s="56">
        <v>7</v>
      </c>
      <c r="BH457" s="56">
        <v>8</v>
      </c>
      <c r="BI457" s="56">
        <v>9</v>
      </c>
      <c r="BJ457" s="57" t="str">
        <f t="shared" si="239"/>
        <v>紧凑型</v>
      </c>
      <c r="BK457" s="13">
        <f t="shared" si="235"/>
        <v>0</v>
      </c>
      <c r="BL457" s="13">
        <f t="shared" si="236"/>
        <v>4</v>
      </c>
      <c r="BM457" s="18">
        <f t="shared" si="241"/>
        <v>4</v>
      </c>
      <c r="BN457" s="19" t="str">
        <f t="shared" si="242"/>
        <v/>
      </c>
      <c r="BO457" s="19" t="str">
        <f t="array" ref="BO457">_xlfn.TEXTJOIN("",TRUE,IF(ISERROR(FIND(ROW($1:$10)-1,BM457&amp;BN457)),ROW($1:$10)-1,""))</f>
        <v>012356789</v>
      </c>
      <c r="BP457" s="20" t="str">
        <f t="shared" si="243"/>
        <v>复中中</v>
      </c>
      <c r="BQ457" s="21">
        <f t="shared" si="254"/>
        <v>4</v>
      </c>
      <c r="BR457" s="21" t="str">
        <f t="shared" si="252"/>
        <v/>
      </c>
      <c r="BS457" s="21" t="str">
        <f t="array" ref="BS457">_xlfn.TEXTJOIN("",TRUE,IF(ISERROR(FIND(ROW($1:$10)-1,BQ457&amp;BR457)),ROW($1:$10)-1,""))</f>
        <v>012356789</v>
      </c>
      <c r="BT457" s="20" t="str">
        <f t="shared" si="244"/>
        <v>复中中</v>
      </c>
      <c r="BU457" s="22" t="str">
        <f t="shared" si="245"/>
        <v/>
      </c>
      <c r="BV457" s="22" t="str">
        <f t="shared" si="253"/>
        <v/>
      </c>
      <c r="BW457" s="22" t="str">
        <f t="array" ref="BW457">_xlfn.TEXTJOIN("",TRUE,IF(ISERROR(FIND(ROW($1:$10)-1,BU457&amp;BV457)),ROW($1:$10)-1,""))</f>
        <v>0123456789</v>
      </c>
      <c r="BX457" s="20" t="str">
        <f t="shared" si="246"/>
        <v>中中中</v>
      </c>
      <c r="BY457" s="23" t="str">
        <f t="shared" si="240"/>
        <v>35</v>
      </c>
      <c r="BZ457" s="24" t="str">
        <f t="array" ref="BZ457">_xlfn.TEXTJOIN("",TRUE,IF(ISNUMBER(FIND(MID(BY456&amp;Q456,ROW($1:$4),1),BY457&amp;Q457)),MID(BY456&amp;Q456,ROW($1:$4),1),""))</f>
        <v>354</v>
      </c>
      <c r="CA457" s="25" t="str">
        <f t="array" ref="CA457">_xlfn.TEXTJOIN("",TRUE,IF(ISERROR(FIND(ROW($1:$10)-1,BY457&amp;BZ457)),ROW($1:$10)-1,""))</f>
        <v>0126789</v>
      </c>
      <c r="CB457" s="26" t="str">
        <f t="shared" si="247"/>
        <v>邻传孤</v>
      </c>
      <c r="CC457" s="27" t="str">
        <f t="shared" si="248"/>
        <v>35</v>
      </c>
      <c r="CD457" s="27" t="str">
        <f t="array" ref="CD457">_xlfn.TEXTJOIN("",TRUE,IF(ISNUMBER(FIND(MID(CC456&amp;R456,ROW($1:$4),1),CC457&amp;R457)),MID(CC456&amp;R456,ROW($1:$4),1),""))</f>
        <v>45</v>
      </c>
      <c r="CE457" s="27" t="str">
        <f t="array" ref="CE457">_xlfn.TEXTJOIN("",TRUE,IF(ISERROR(FIND(ROW($1:$10)-1,CC457&amp;CD457)),ROW($1:$10)-1,""))</f>
        <v>0126789</v>
      </c>
      <c r="CF457" s="17" t="str">
        <f t="shared" si="249"/>
        <v>邻传孤</v>
      </c>
      <c r="CG457" s="22" t="str">
        <f t="shared" si="250"/>
        <v>91</v>
      </c>
      <c r="CH457" s="22" t="str">
        <f t="array" ref="CH457">_xlfn.TEXTJOIN("",TRUE,IF(ISNUMBER(FIND(MID(CG456&amp;S456,ROW($1:$4),1),CG457&amp;S457)),MID(CG456&amp;S456,ROW($1:$4),1),""))</f>
        <v>01</v>
      </c>
      <c r="CI457" s="22" t="str">
        <f t="array" ref="CI457">_xlfn.TEXTJOIN("",TRUE,IF(ISERROR(FIND(ROW($1:$10)-1,CG457&amp;CH457)),ROW($1:$10)-1,""))</f>
        <v>2345678</v>
      </c>
      <c r="CJ457" s="28" t="str">
        <f t="shared" si="251"/>
        <v>邻传孤</v>
      </c>
    </row>
    <row r="458" spans="1:88">
      <c r="A458" s="32">
        <v>2025233</v>
      </c>
      <c r="B458" s="8" t="s">
        <v>376</v>
      </c>
      <c r="C458" s="49">
        <f t="shared" si="230"/>
        <v>16</v>
      </c>
      <c r="D458" s="50">
        <f t="shared" si="231"/>
        <v>6</v>
      </c>
      <c r="E458" s="51">
        <f t="shared" si="237"/>
        <v>5.3333333333333304</v>
      </c>
      <c r="F458" s="52">
        <f>MAX(MID(B458,{1,2,3},1)*1)-MIN(MID(B458,{1,2,3},1)*1)</f>
        <v>7</v>
      </c>
      <c r="G458" s="104">
        <v>0</v>
      </c>
      <c r="H458" s="104">
        <v>1</v>
      </c>
      <c r="I458" s="104">
        <v>2</v>
      </c>
      <c r="J458" s="104">
        <v>3</v>
      </c>
      <c r="K458" s="104">
        <v>4</v>
      </c>
      <c r="L458" s="104">
        <v>5</v>
      </c>
      <c r="M458" s="104">
        <v>6</v>
      </c>
      <c r="N458" s="104">
        <v>7</v>
      </c>
      <c r="O458" s="104">
        <v>8</v>
      </c>
      <c r="P458" s="104">
        <v>9</v>
      </c>
      <c r="Q458" s="53">
        <f t="shared" si="232"/>
        <v>3</v>
      </c>
      <c r="R458" s="53">
        <f t="shared" si="233"/>
        <v>7</v>
      </c>
      <c r="S458" s="53">
        <f t="shared" si="234"/>
        <v>4</v>
      </c>
      <c r="T458" s="101">
        <f t="shared" si="238"/>
        <v>14</v>
      </c>
      <c r="U458" s="15" t="str">
        <f>_xlfn.TEXTJOIN(", ",TRUE,ABS(MID(B458,{1,1,2},1)-MID(B458,{2,3,3},1)))</f>
        <v>3, 7, 4</v>
      </c>
      <c r="V458" s="54">
        <v>0</v>
      </c>
      <c r="W458" s="54">
        <v>1</v>
      </c>
      <c r="X458" s="54">
        <v>2</v>
      </c>
      <c r="Y458" s="54">
        <v>3</v>
      </c>
      <c r="Z458" s="54">
        <v>4</v>
      </c>
      <c r="AA458" s="54">
        <v>5</v>
      </c>
      <c r="AB458" s="54">
        <v>6</v>
      </c>
      <c r="AC458" s="54">
        <v>7</v>
      </c>
      <c r="AD458" s="54">
        <v>8</v>
      </c>
      <c r="AE458" s="54">
        <v>9</v>
      </c>
      <c r="AF458" s="55">
        <v>0</v>
      </c>
      <c r="AG458" s="55">
        <v>1</v>
      </c>
      <c r="AH458" s="55">
        <v>2</v>
      </c>
      <c r="AI458" s="55">
        <v>3</v>
      </c>
      <c r="AJ458" s="55">
        <v>4</v>
      </c>
      <c r="AK458" s="55">
        <v>5</v>
      </c>
      <c r="AL458" s="55">
        <v>6</v>
      </c>
      <c r="AM458" s="55">
        <v>7</v>
      </c>
      <c r="AN458" s="55">
        <v>8</v>
      </c>
      <c r="AO458" s="55">
        <v>9</v>
      </c>
      <c r="AP458" s="105">
        <v>0</v>
      </c>
      <c r="AQ458" s="105">
        <v>1</v>
      </c>
      <c r="AR458" s="105">
        <v>2</v>
      </c>
      <c r="AS458" s="105">
        <v>3</v>
      </c>
      <c r="AT458" s="105">
        <v>4</v>
      </c>
      <c r="AU458" s="105">
        <v>5</v>
      </c>
      <c r="AV458" s="105">
        <v>6</v>
      </c>
      <c r="AW458" s="105">
        <v>7</v>
      </c>
      <c r="AX458" s="105">
        <v>8</v>
      </c>
      <c r="AY458" s="105">
        <v>9</v>
      </c>
      <c r="AZ458" s="56">
        <v>0</v>
      </c>
      <c r="BA458" s="56">
        <v>1</v>
      </c>
      <c r="BB458" s="56">
        <v>2</v>
      </c>
      <c r="BC458" s="56">
        <v>3</v>
      </c>
      <c r="BD458" s="56">
        <v>4</v>
      </c>
      <c r="BE458" s="56">
        <v>5</v>
      </c>
      <c r="BF458" s="56">
        <v>6</v>
      </c>
      <c r="BG458" s="56">
        <v>7</v>
      </c>
      <c r="BH458" s="56">
        <v>8</v>
      </c>
      <c r="BI458" s="56">
        <v>9</v>
      </c>
      <c r="BJ458" s="57" t="str">
        <f t="shared" si="239"/>
        <v>松散型</v>
      </c>
      <c r="BK458" s="13">
        <f t="shared" si="235"/>
        <v>3</v>
      </c>
      <c r="BL458" s="13">
        <f t="shared" si="236"/>
        <v>7</v>
      </c>
      <c r="BM458" s="18" t="str">
        <f t="shared" si="241"/>
        <v/>
      </c>
      <c r="BN458" s="19" t="str">
        <f t="shared" si="242"/>
        <v/>
      </c>
      <c r="BO458" s="19" t="str">
        <f t="array" ref="BO458">_xlfn.TEXTJOIN("",TRUE,IF(ISERROR(FIND(ROW($1:$10)-1,BM458&amp;BN458)),ROW($1:$10)-1,""))</f>
        <v>0123456789</v>
      </c>
      <c r="BP458" s="20" t="str">
        <f t="shared" si="243"/>
        <v>中中中</v>
      </c>
      <c r="BQ458" s="21" t="str">
        <f t="shared" si="254"/>
        <v/>
      </c>
      <c r="BR458" s="21" t="str">
        <f t="shared" si="252"/>
        <v/>
      </c>
      <c r="BS458" s="21" t="str">
        <f t="array" ref="BS458">_xlfn.TEXTJOIN("",TRUE,IF(ISERROR(FIND(ROW($1:$10)-1,BQ458&amp;BR458)),ROW($1:$10)-1,""))</f>
        <v>0123456789</v>
      </c>
      <c r="BT458" s="20" t="str">
        <f t="shared" si="244"/>
        <v>中中中</v>
      </c>
      <c r="BU458" s="22">
        <f t="shared" si="245"/>
        <v>4</v>
      </c>
      <c r="BV458" s="22">
        <f t="shared" si="253"/>
        <v>4</v>
      </c>
      <c r="BW458" s="22" t="str">
        <f t="array" ref="BW458">_xlfn.TEXTJOIN("",TRUE,IF(ISERROR(FIND(ROW($1:$10)-1,BU458&amp;BV458)),ROW($1:$10)-1,""))</f>
        <v>012356789</v>
      </c>
      <c r="BX458" s="20" t="str">
        <f t="shared" si="246"/>
        <v>复隔中</v>
      </c>
      <c r="BY458" s="23" t="str">
        <f t="shared" si="240"/>
        <v>24</v>
      </c>
      <c r="BZ458" s="24" t="str">
        <f t="array" ref="BZ458">_xlfn.TEXTJOIN("",TRUE,IF(ISNUMBER(FIND(MID(BY457&amp;Q457,ROW($1:$4),1),BY458&amp;Q458)),MID(BY457&amp;Q457,ROW($1:$4),1),""))</f>
        <v>34</v>
      </c>
      <c r="CA458" s="25" t="str">
        <f t="array" ref="CA458">_xlfn.TEXTJOIN("",TRUE,IF(ISERROR(FIND(ROW($1:$10)-1,BY458&amp;BZ458)),ROW($1:$10)-1,""))</f>
        <v>0156789</v>
      </c>
      <c r="CB458" s="26" t="str">
        <f t="shared" si="247"/>
        <v>邻传孤</v>
      </c>
      <c r="CC458" s="27" t="str">
        <f t="shared" si="248"/>
        <v>68</v>
      </c>
      <c r="CD458" s="27" t="str">
        <f t="array" ref="CD458">_xlfn.TEXTJOIN("",TRUE,IF(ISNUMBER(FIND(MID(CC457&amp;R457,ROW($1:$4),1),CC458&amp;R458)),MID(CC457&amp;R457,ROW($1:$4),1),""))</f>
        <v/>
      </c>
      <c r="CE458" s="27" t="str">
        <f t="array" ref="CE458">_xlfn.TEXTJOIN("",TRUE,IF(ISERROR(FIND(ROW($1:$10)-1,CC458&amp;CD458)),ROW($1:$10)-1,""))</f>
        <v>01234579</v>
      </c>
      <c r="CF458" s="17" t="str">
        <f t="shared" si="249"/>
        <v>邻孤孤</v>
      </c>
      <c r="CG458" s="22" t="str">
        <f t="shared" si="250"/>
        <v>35</v>
      </c>
      <c r="CH458" s="22" t="str">
        <f t="array" ref="CH458">_xlfn.TEXTJOIN("",TRUE,IF(ISNUMBER(FIND(MID(CG457&amp;S457,ROW($1:$4),1),CG458&amp;S458)),MID(CG457&amp;S457,ROW($1:$4),1),""))</f>
        <v/>
      </c>
      <c r="CI458" s="22" t="str">
        <f t="array" ref="CI458">_xlfn.TEXTJOIN("",TRUE,IF(ISERROR(FIND(ROW($1:$10)-1,CG458&amp;CH458)),ROW($1:$10)-1,""))</f>
        <v>01246789</v>
      </c>
      <c r="CJ458" s="28" t="str">
        <f t="shared" si="251"/>
        <v>邻孤孤</v>
      </c>
    </row>
    <row r="459" spans="1:88">
      <c r="A459" s="32">
        <v>2025234</v>
      </c>
      <c r="B459" s="8" t="s">
        <v>377</v>
      </c>
      <c r="C459" s="49">
        <f t="shared" si="230"/>
        <v>8</v>
      </c>
      <c r="D459" s="50">
        <f t="shared" si="231"/>
        <v>8</v>
      </c>
      <c r="E459" s="51">
        <f t="shared" si="237"/>
        <v>2.6666666666666701</v>
      </c>
      <c r="F459" s="52">
        <f>MAX(MID(B459,{1,2,3},1)*1)-MIN(MID(B459,{1,2,3},1)*1)</f>
        <v>6</v>
      </c>
      <c r="G459" s="104">
        <v>0</v>
      </c>
      <c r="H459" s="104">
        <v>1</v>
      </c>
      <c r="I459" s="104">
        <v>2</v>
      </c>
      <c r="J459" s="104">
        <v>3</v>
      </c>
      <c r="K459" s="104">
        <v>4</v>
      </c>
      <c r="L459" s="104">
        <v>5</v>
      </c>
      <c r="M459" s="104">
        <v>6</v>
      </c>
      <c r="N459" s="104">
        <v>7</v>
      </c>
      <c r="O459" s="104">
        <v>8</v>
      </c>
      <c r="P459" s="104">
        <v>9</v>
      </c>
      <c r="Q459" s="53">
        <f t="shared" si="232"/>
        <v>4</v>
      </c>
      <c r="R459" s="53">
        <f t="shared" si="233"/>
        <v>6</v>
      </c>
      <c r="S459" s="53">
        <f t="shared" si="234"/>
        <v>2</v>
      </c>
      <c r="T459" s="101">
        <f t="shared" si="238"/>
        <v>12</v>
      </c>
      <c r="U459" s="15" t="str">
        <f>_xlfn.TEXTJOIN(", ",TRUE,ABS(MID(B459,{1,1,2},1)-MID(B459,{2,3,3},1)))</f>
        <v>4, 6, 2</v>
      </c>
      <c r="V459" s="54">
        <v>0</v>
      </c>
      <c r="W459" s="54">
        <v>1</v>
      </c>
      <c r="X459" s="54">
        <v>2</v>
      </c>
      <c r="Y459" s="54">
        <v>3</v>
      </c>
      <c r="Z459" s="54">
        <v>4</v>
      </c>
      <c r="AA459" s="54">
        <v>5</v>
      </c>
      <c r="AB459" s="54">
        <v>6</v>
      </c>
      <c r="AC459" s="54">
        <v>7</v>
      </c>
      <c r="AD459" s="54">
        <v>8</v>
      </c>
      <c r="AE459" s="54">
        <v>9</v>
      </c>
      <c r="AF459" s="55">
        <v>0</v>
      </c>
      <c r="AG459" s="55">
        <v>1</v>
      </c>
      <c r="AH459" s="55">
        <v>2</v>
      </c>
      <c r="AI459" s="55">
        <v>3</v>
      </c>
      <c r="AJ459" s="55">
        <v>4</v>
      </c>
      <c r="AK459" s="55">
        <v>5</v>
      </c>
      <c r="AL459" s="55">
        <v>6</v>
      </c>
      <c r="AM459" s="55">
        <v>7</v>
      </c>
      <c r="AN459" s="55">
        <v>8</v>
      </c>
      <c r="AO459" s="55">
        <v>9</v>
      </c>
      <c r="AP459" s="105">
        <v>0</v>
      </c>
      <c r="AQ459" s="105">
        <v>1</v>
      </c>
      <c r="AR459" s="105">
        <v>2</v>
      </c>
      <c r="AS459" s="105">
        <v>3</v>
      </c>
      <c r="AT459" s="105">
        <v>4</v>
      </c>
      <c r="AU459" s="105">
        <v>5</v>
      </c>
      <c r="AV459" s="105">
        <v>6</v>
      </c>
      <c r="AW459" s="105">
        <v>7</v>
      </c>
      <c r="AX459" s="105">
        <v>8</v>
      </c>
      <c r="AY459" s="105">
        <v>9</v>
      </c>
      <c r="AZ459" s="56">
        <v>0</v>
      </c>
      <c r="BA459" s="56">
        <v>1</v>
      </c>
      <c r="BB459" s="56">
        <v>2</v>
      </c>
      <c r="BC459" s="56">
        <v>3</v>
      </c>
      <c r="BD459" s="56">
        <v>4</v>
      </c>
      <c r="BE459" s="56">
        <v>5</v>
      </c>
      <c r="BF459" s="56">
        <v>6</v>
      </c>
      <c r="BG459" s="56">
        <v>7</v>
      </c>
      <c r="BH459" s="56">
        <v>8</v>
      </c>
      <c r="BI459" s="56">
        <v>9</v>
      </c>
      <c r="BJ459" s="57" t="str">
        <f t="shared" si="239"/>
        <v>松散型</v>
      </c>
      <c r="BK459" s="13">
        <f t="shared" si="235"/>
        <v>2</v>
      </c>
      <c r="BL459" s="13">
        <f t="shared" si="236"/>
        <v>6</v>
      </c>
      <c r="BM459" s="18">
        <f t="shared" si="241"/>
        <v>4</v>
      </c>
      <c r="BN459" s="19">
        <f t="shared" si="242"/>
        <v>4</v>
      </c>
      <c r="BO459" s="19" t="str">
        <f t="array" ref="BO459">_xlfn.TEXTJOIN("",TRUE,IF(ISERROR(FIND(ROW($1:$10)-1,BM459&amp;BN459)),ROW($1:$10)-1,""))</f>
        <v>012356789</v>
      </c>
      <c r="BP459" s="20" t="str">
        <f t="shared" si="243"/>
        <v>复隔中</v>
      </c>
      <c r="BQ459" s="21" t="str">
        <f t="shared" si="254"/>
        <v/>
      </c>
      <c r="BR459" s="21" t="str">
        <f t="shared" si="252"/>
        <v/>
      </c>
      <c r="BS459" s="21" t="str">
        <f t="array" ref="BS459">_xlfn.TEXTJOIN("",TRUE,IF(ISERROR(FIND(ROW($1:$10)-1,BQ459&amp;BR459)),ROW($1:$10)-1,""))</f>
        <v>0123456789</v>
      </c>
      <c r="BT459" s="20" t="str">
        <f t="shared" si="244"/>
        <v>中中中</v>
      </c>
      <c r="BU459" s="22" t="str">
        <f t="shared" si="245"/>
        <v/>
      </c>
      <c r="BV459" s="22" t="str">
        <f t="shared" si="253"/>
        <v/>
      </c>
      <c r="BW459" s="22" t="str">
        <f t="array" ref="BW459">_xlfn.TEXTJOIN("",TRUE,IF(ISERROR(FIND(ROW($1:$10)-1,BU459&amp;BV459)),ROW($1:$10)-1,""))</f>
        <v>0123456789</v>
      </c>
      <c r="BX459" s="20" t="str">
        <f t="shared" si="246"/>
        <v>中中中</v>
      </c>
      <c r="BY459" s="23" t="str">
        <f t="shared" si="240"/>
        <v>35</v>
      </c>
      <c r="BZ459" s="24" t="str">
        <f t="array" ref="BZ459">_xlfn.TEXTJOIN("",TRUE,IF(ISNUMBER(FIND(MID(BY458&amp;Q458,ROW($1:$4),1),BY459&amp;Q459)),MID(BY458&amp;Q458,ROW($1:$4),1),""))</f>
        <v>43</v>
      </c>
      <c r="CA459" s="25" t="str">
        <f t="array" ref="CA459">_xlfn.TEXTJOIN("",TRUE,IF(ISERROR(FIND(ROW($1:$10)-1,BY459&amp;BZ459)),ROW($1:$10)-1,""))</f>
        <v>0126789</v>
      </c>
      <c r="CB459" s="26" t="str">
        <f t="shared" si="247"/>
        <v>邻传孤</v>
      </c>
      <c r="CC459" s="27" t="str">
        <f t="shared" si="248"/>
        <v>57</v>
      </c>
      <c r="CD459" s="27" t="str">
        <f t="array" ref="CD459">_xlfn.TEXTJOIN("",TRUE,IF(ISNUMBER(FIND(MID(CC458&amp;R458,ROW($1:$4),1),CC459&amp;R459)),MID(CC458&amp;R458,ROW($1:$4),1),""))</f>
        <v>67</v>
      </c>
      <c r="CE459" s="27" t="str">
        <f t="array" ref="CE459">_xlfn.TEXTJOIN("",TRUE,IF(ISERROR(FIND(ROW($1:$10)-1,CC459&amp;CD459)),ROW($1:$10)-1,""))</f>
        <v>0123489</v>
      </c>
      <c r="CF459" s="17" t="str">
        <f t="shared" si="249"/>
        <v>邻传孤</v>
      </c>
      <c r="CG459" s="22" t="str">
        <f t="shared" si="250"/>
        <v>13</v>
      </c>
      <c r="CH459" s="22" t="str">
        <f t="array" ref="CH459">_xlfn.TEXTJOIN("",TRUE,IF(ISNUMBER(FIND(MID(CG458&amp;S458,ROW($1:$4),1),CG459&amp;S459)),MID(CG458&amp;S458,ROW($1:$4),1),""))</f>
        <v>3</v>
      </c>
      <c r="CI459" s="22" t="str">
        <f t="array" ref="CI459">_xlfn.TEXTJOIN("",TRUE,IF(ISERROR(FIND(ROW($1:$10)-1,CG459&amp;CH459)),ROW($1:$10)-1,""))</f>
        <v>02456789</v>
      </c>
      <c r="CJ459" s="28" t="str">
        <f t="shared" si="251"/>
        <v>邻传孤</v>
      </c>
    </row>
    <row r="460" spans="1:88">
      <c r="A460" s="32">
        <v>2025235</v>
      </c>
      <c r="B460" s="8" t="s">
        <v>327</v>
      </c>
      <c r="C460" s="49">
        <f t="shared" si="230"/>
        <v>24</v>
      </c>
      <c r="D460" s="50">
        <f t="shared" si="231"/>
        <v>4</v>
      </c>
      <c r="E460" s="51">
        <f t="shared" si="237"/>
        <v>8</v>
      </c>
      <c r="F460" s="52">
        <f>MAX(MID(B460,{1,2,3},1)*1)-MIN(MID(B460,{1,2,3},1)*1)</f>
        <v>3</v>
      </c>
      <c r="G460" s="104">
        <v>0</v>
      </c>
      <c r="H460" s="104">
        <v>1</v>
      </c>
      <c r="I460" s="104">
        <v>2</v>
      </c>
      <c r="J460" s="104">
        <v>3</v>
      </c>
      <c r="K460" s="104">
        <v>4</v>
      </c>
      <c r="L460" s="104">
        <v>5</v>
      </c>
      <c r="M460" s="104">
        <v>6</v>
      </c>
      <c r="N460" s="104">
        <v>7</v>
      </c>
      <c r="O460" s="104">
        <v>8</v>
      </c>
      <c r="P460" s="104">
        <v>9</v>
      </c>
      <c r="Q460" s="53">
        <f t="shared" si="232"/>
        <v>3</v>
      </c>
      <c r="R460" s="53">
        <f t="shared" si="233"/>
        <v>0</v>
      </c>
      <c r="S460" s="53">
        <f t="shared" si="234"/>
        <v>3</v>
      </c>
      <c r="T460" s="101">
        <f t="shared" si="238"/>
        <v>6</v>
      </c>
      <c r="U460" s="15" t="str">
        <f>_xlfn.TEXTJOIN(", ",TRUE,ABS(MID(B460,{1,1,2},1)-MID(B460,{2,3,3},1)))</f>
        <v>3, 0, 3</v>
      </c>
      <c r="V460" s="54">
        <v>0</v>
      </c>
      <c r="W460" s="54">
        <v>1</v>
      </c>
      <c r="X460" s="54">
        <v>2</v>
      </c>
      <c r="Y460" s="54">
        <v>3</v>
      </c>
      <c r="Z460" s="54">
        <v>4</v>
      </c>
      <c r="AA460" s="54">
        <v>5</v>
      </c>
      <c r="AB460" s="54">
        <v>6</v>
      </c>
      <c r="AC460" s="54">
        <v>7</v>
      </c>
      <c r="AD460" s="54">
        <v>8</v>
      </c>
      <c r="AE460" s="54">
        <v>9</v>
      </c>
      <c r="AF460" s="55">
        <v>0</v>
      </c>
      <c r="AG460" s="55">
        <v>1</v>
      </c>
      <c r="AH460" s="55">
        <v>2</v>
      </c>
      <c r="AI460" s="55">
        <v>3</v>
      </c>
      <c r="AJ460" s="55">
        <v>4</v>
      </c>
      <c r="AK460" s="55">
        <v>5</v>
      </c>
      <c r="AL460" s="55">
        <v>6</v>
      </c>
      <c r="AM460" s="55">
        <v>7</v>
      </c>
      <c r="AN460" s="55">
        <v>8</v>
      </c>
      <c r="AO460" s="55">
        <v>9</v>
      </c>
      <c r="AP460" s="105">
        <v>0</v>
      </c>
      <c r="AQ460" s="105">
        <v>1</v>
      </c>
      <c r="AR460" s="105">
        <v>2</v>
      </c>
      <c r="AS460" s="105">
        <v>3</v>
      </c>
      <c r="AT460" s="105">
        <v>4</v>
      </c>
      <c r="AU460" s="105">
        <v>5</v>
      </c>
      <c r="AV460" s="105">
        <v>6</v>
      </c>
      <c r="AW460" s="105">
        <v>7</v>
      </c>
      <c r="AX460" s="105">
        <v>8</v>
      </c>
      <c r="AY460" s="105">
        <v>9</v>
      </c>
      <c r="AZ460" s="56">
        <v>0</v>
      </c>
      <c r="BA460" s="56">
        <v>1</v>
      </c>
      <c r="BB460" s="56">
        <v>2</v>
      </c>
      <c r="BC460" s="56">
        <v>3</v>
      </c>
      <c r="BD460" s="56">
        <v>4</v>
      </c>
      <c r="BE460" s="56">
        <v>5</v>
      </c>
      <c r="BF460" s="56">
        <v>6</v>
      </c>
      <c r="BG460" s="56">
        <v>7</v>
      </c>
      <c r="BH460" s="56">
        <v>8</v>
      </c>
      <c r="BI460" s="56">
        <v>9</v>
      </c>
      <c r="BJ460" s="57" t="str">
        <f t="shared" si="239"/>
        <v>紧凑型</v>
      </c>
      <c r="BK460" s="13">
        <f t="shared" si="235"/>
        <v>0</v>
      </c>
      <c r="BL460" s="13">
        <f t="shared" si="236"/>
        <v>3</v>
      </c>
      <c r="BM460" s="18" t="str">
        <f t="shared" si="241"/>
        <v/>
      </c>
      <c r="BN460" s="19">
        <f t="shared" si="242"/>
        <v>3</v>
      </c>
      <c r="BO460" s="19" t="str">
        <f t="array" ref="BO460">_xlfn.TEXTJOIN("",TRUE,IF(ISERROR(FIND(ROW($1:$10)-1,BM460&amp;BN460)),ROW($1:$10)-1,""))</f>
        <v>012456789</v>
      </c>
      <c r="BP460" s="20" t="str">
        <f t="shared" si="243"/>
        <v>中隔中</v>
      </c>
      <c r="BQ460" s="21" t="str">
        <f t="shared" si="254"/>
        <v/>
      </c>
      <c r="BR460" s="21" t="str">
        <f t="shared" si="252"/>
        <v/>
      </c>
      <c r="BS460" s="21" t="str">
        <f t="array" ref="BS460">_xlfn.TEXTJOIN("",TRUE,IF(ISERROR(FIND(ROW($1:$10)-1,BQ460&amp;BR460)),ROW($1:$10)-1,""))</f>
        <v>0123456789</v>
      </c>
      <c r="BT460" s="20" t="str">
        <f t="shared" si="244"/>
        <v>中中中</v>
      </c>
      <c r="BU460" s="22" t="str">
        <f t="shared" si="245"/>
        <v/>
      </c>
      <c r="BV460" s="22">
        <f t="shared" si="253"/>
        <v>3</v>
      </c>
      <c r="BW460" s="22" t="str">
        <f t="array" ref="BW460">_xlfn.TEXTJOIN("",TRUE,IF(ISERROR(FIND(ROW($1:$10)-1,BU460&amp;BV460)),ROW($1:$10)-1,""))</f>
        <v>012456789</v>
      </c>
      <c r="BX460" s="20" t="str">
        <f t="shared" si="246"/>
        <v>中隔中</v>
      </c>
      <c r="BY460" s="23" t="str">
        <f t="shared" si="240"/>
        <v>24</v>
      </c>
      <c r="BZ460" s="24" t="str">
        <f t="array" ref="BZ460">_xlfn.TEXTJOIN("",TRUE,IF(ISNUMBER(FIND(MID(BY459&amp;Q459,ROW($1:$4),1),BY460&amp;Q460)),MID(BY459&amp;Q459,ROW($1:$4),1),""))</f>
        <v>34</v>
      </c>
      <c r="CA460" s="25" t="str">
        <f t="array" ref="CA460">_xlfn.TEXTJOIN("",TRUE,IF(ISERROR(FIND(ROW($1:$10)-1,BY460&amp;BZ460)),ROW($1:$10)-1,""))</f>
        <v>0156789</v>
      </c>
      <c r="CB460" s="26" t="str">
        <f t="shared" si="247"/>
        <v>邻传孤</v>
      </c>
      <c r="CC460" s="27" t="str">
        <f t="shared" si="248"/>
        <v>91</v>
      </c>
      <c r="CD460" s="27" t="str">
        <f t="array" ref="CD460">_xlfn.TEXTJOIN("",TRUE,IF(ISNUMBER(FIND(MID(CC459&amp;R459,ROW($1:$4),1),CC460&amp;R460)),MID(CC459&amp;R459,ROW($1:$4),1),""))</f>
        <v/>
      </c>
      <c r="CE460" s="27" t="str">
        <f t="array" ref="CE460">_xlfn.TEXTJOIN("",TRUE,IF(ISERROR(FIND(ROW($1:$10)-1,CC460&amp;CD460)),ROW($1:$10)-1,""))</f>
        <v>02345678</v>
      </c>
      <c r="CF460" s="17" t="str">
        <f t="shared" si="249"/>
        <v>邻孤孤</v>
      </c>
      <c r="CG460" s="22" t="str">
        <f t="shared" si="250"/>
        <v>24</v>
      </c>
      <c r="CH460" s="22" t="str">
        <f t="array" ref="CH460">_xlfn.TEXTJOIN("",TRUE,IF(ISNUMBER(FIND(MID(CG459&amp;S459,ROW($1:$4),1),CG460&amp;S460)),MID(CG459&amp;S459,ROW($1:$4),1),""))</f>
        <v>32</v>
      </c>
      <c r="CI460" s="22" t="str">
        <f t="array" ref="CI460">_xlfn.TEXTJOIN("",TRUE,IF(ISERROR(FIND(ROW($1:$10)-1,CG460&amp;CH460)),ROW($1:$10)-1,""))</f>
        <v>0156789</v>
      </c>
      <c r="CJ460" s="28" t="str">
        <f t="shared" si="251"/>
        <v>邻传孤</v>
      </c>
    </row>
    <row r="461" spans="1:88">
      <c r="A461" s="32">
        <v>2025236</v>
      </c>
      <c r="B461" s="8" t="s">
        <v>378</v>
      </c>
      <c r="C461" s="49">
        <f t="shared" si="230"/>
        <v>13</v>
      </c>
      <c r="D461" s="50">
        <f t="shared" si="231"/>
        <v>3</v>
      </c>
      <c r="E461" s="51">
        <f t="shared" si="237"/>
        <v>4.3333333333333304</v>
      </c>
      <c r="F461" s="52">
        <f>MAX(MID(B461,{1,2,3},1)*1)-MIN(MID(B461,{1,2,3},1)*1)</f>
        <v>2</v>
      </c>
      <c r="G461" s="104">
        <v>0</v>
      </c>
      <c r="H461" s="104">
        <v>1</v>
      </c>
      <c r="I461" s="104">
        <v>2</v>
      </c>
      <c r="J461" s="104">
        <v>3</v>
      </c>
      <c r="K461" s="104">
        <v>4</v>
      </c>
      <c r="L461" s="104">
        <v>5</v>
      </c>
      <c r="M461" s="104">
        <v>6</v>
      </c>
      <c r="N461" s="104">
        <v>7</v>
      </c>
      <c r="O461" s="104">
        <v>8</v>
      </c>
      <c r="P461" s="104">
        <v>9</v>
      </c>
      <c r="Q461" s="53">
        <f t="shared" si="232"/>
        <v>2</v>
      </c>
      <c r="R461" s="53">
        <f t="shared" si="233"/>
        <v>2</v>
      </c>
      <c r="S461" s="53">
        <f t="shared" si="234"/>
        <v>0</v>
      </c>
      <c r="T461" s="101">
        <f t="shared" si="238"/>
        <v>4</v>
      </c>
      <c r="U461" s="15" t="str">
        <f>_xlfn.TEXTJOIN(", ",TRUE,ABS(MID(B461,{1,1,2},1)-MID(B461,{2,3,3},1)))</f>
        <v>2, 2, 0</v>
      </c>
      <c r="V461" s="54">
        <v>0</v>
      </c>
      <c r="W461" s="54">
        <v>1</v>
      </c>
      <c r="X461" s="54">
        <v>2</v>
      </c>
      <c r="Y461" s="54">
        <v>3</v>
      </c>
      <c r="Z461" s="54">
        <v>4</v>
      </c>
      <c r="AA461" s="54">
        <v>5</v>
      </c>
      <c r="AB461" s="54">
        <v>6</v>
      </c>
      <c r="AC461" s="54">
        <v>7</v>
      </c>
      <c r="AD461" s="54">
        <v>8</v>
      </c>
      <c r="AE461" s="54">
        <v>9</v>
      </c>
      <c r="AF461" s="55">
        <v>0</v>
      </c>
      <c r="AG461" s="55">
        <v>1</v>
      </c>
      <c r="AH461" s="55">
        <v>2</v>
      </c>
      <c r="AI461" s="55">
        <v>3</v>
      </c>
      <c r="AJ461" s="55">
        <v>4</v>
      </c>
      <c r="AK461" s="55">
        <v>5</v>
      </c>
      <c r="AL461" s="55">
        <v>6</v>
      </c>
      <c r="AM461" s="55">
        <v>7</v>
      </c>
      <c r="AN461" s="55">
        <v>8</v>
      </c>
      <c r="AO461" s="55">
        <v>9</v>
      </c>
      <c r="AP461" s="105">
        <v>0</v>
      </c>
      <c r="AQ461" s="105">
        <v>1</v>
      </c>
      <c r="AR461" s="105">
        <v>2</v>
      </c>
      <c r="AS461" s="105">
        <v>3</v>
      </c>
      <c r="AT461" s="105">
        <v>4</v>
      </c>
      <c r="AU461" s="105">
        <v>5</v>
      </c>
      <c r="AV461" s="105">
        <v>6</v>
      </c>
      <c r="AW461" s="105">
        <v>7</v>
      </c>
      <c r="AX461" s="105">
        <v>8</v>
      </c>
      <c r="AY461" s="105">
        <v>9</v>
      </c>
      <c r="AZ461" s="56">
        <v>0</v>
      </c>
      <c r="BA461" s="56">
        <v>1</v>
      </c>
      <c r="BB461" s="56">
        <v>2</v>
      </c>
      <c r="BC461" s="56">
        <v>3</v>
      </c>
      <c r="BD461" s="56">
        <v>4</v>
      </c>
      <c r="BE461" s="56">
        <v>5</v>
      </c>
      <c r="BF461" s="56">
        <v>6</v>
      </c>
      <c r="BG461" s="56">
        <v>7</v>
      </c>
      <c r="BH461" s="56">
        <v>8</v>
      </c>
      <c r="BI461" s="56">
        <v>9</v>
      </c>
      <c r="BJ461" s="57" t="str">
        <f t="shared" si="239"/>
        <v>紧凑型</v>
      </c>
      <c r="BK461" s="13">
        <f t="shared" si="235"/>
        <v>0</v>
      </c>
      <c r="BL461" s="13">
        <f t="shared" si="236"/>
        <v>2</v>
      </c>
      <c r="BM461" s="18" t="str">
        <f t="shared" si="241"/>
        <v/>
      </c>
      <c r="BN461" s="19">
        <f t="shared" si="242"/>
        <v>2</v>
      </c>
      <c r="BO461" s="19" t="str">
        <f t="array" ref="BO461">_xlfn.TEXTJOIN("",TRUE,IF(ISERROR(FIND(ROW($1:$10)-1,BM461&amp;BN461)),ROW($1:$10)-1,""))</f>
        <v>013456789</v>
      </c>
      <c r="BP461" s="20" t="str">
        <f t="shared" si="243"/>
        <v>中隔中</v>
      </c>
      <c r="BQ461" s="21" t="str">
        <f t="shared" si="254"/>
        <v/>
      </c>
      <c r="BR461" s="21">
        <f t="shared" si="252"/>
        <v>2</v>
      </c>
      <c r="BS461" s="21" t="str">
        <f t="array" ref="BS461">_xlfn.TEXTJOIN("",TRUE,IF(ISERROR(FIND(ROW($1:$10)-1,BQ461&amp;BR461)),ROW($1:$10)-1,""))</f>
        <v>013456789</v>
      </c>
      <c r="BT461" s="20" t="str">
        <f t="shared" si="244"/>
        <v>中隔中</v>
      </c>
      <c r="BU461" s="22">
        <f t="shared" si="245"/>
        <v>0</v>
      </c>
      <c r="BV461" s="22" t="str">
        <f t="shared" si="253"/>
        <v/>
      </c>
      <c r="BW461" s="22" t="str">
        <f t="array" ref="BW461">_xlfn.TEXTJOIN("",TRUE,IF(ISERROR(FIND(ROW($1:$10)-1,BU461&amp;BV461)),ROW($1:$10)-1,""))</f>
        <v>123456789</v>
      </c>
      <c r="BX461" s="20" t="str">
        <f t="shared" si="246"/>
        <v>复中中</v>
      </c>
      <c r="BY461" s="23" t="str">
        <f t="shared" si="240"/>
        <v>13</v>
      </c>
      <c r="BZ461" s="24" t="str">
        <f t="array" ref="BZ461">_xlfn.TEXTJOIN("",TRUE,IF(ISNUMBER(FIND(MID(BY460&amp;Q460,ROW($1:$4),1),BY461&amp;Q461)),MID(BY460&amp;Q460,ROW($1:$4),1),""))</f>
        <v>23</v>
      </c>
      <c r="CA461" s="25" t="str">
        <f t="array" ref="CA461">_xlfn.TEXTJOIN("",TRUE,IF(ISERROR(FIND(ROW($1:$10)-1,BY461&amp;BZ461)),ROW($1:$10)-1,""))</f>
        <v>0456789</v>
      </c>
      <c r="CB461" s="26" t="str">
        <f t="shared" si="247"/>
        <v>邻传孤</v>
      </c>
      <c r="CC461" s="27" t="str">
        <f t="shared" si="248"/>
        <v>13</v>
      </c>
      <c r="CD461" s="27" t="str">
        <f t="array" ref="CD461">_xlfn.TEXTJOIN("",TRUE,IF(ISNUMBER(FIND(MID(CC460&amp;R460,ROW($1:$4),1),CC461&amp;R461)),MID(CC460&amp;R460,ROW($1:$4),1),""))</f>
        <v>1</v>
      </c>
      <c r="CE461" s="27" t="str">
        <f t="array" ref="CE461">_xlfn.TEXTJOIN("",TRUE,IF(ISERROR(FIND(ROW($1:$10)-1,CC461&amp;CD461)),ROW($1:$10)-1,""))</f>
        <v>02456789</v>
      </c>
      <c r="CF461" s="17" t="str">
        <f t="shared" si="249"/>
        <v>邻传孤</v>
      </c>
      <c r="CG461" s="22" t="str">
        <f t="shared" si="250"/>
        <v>91</v>
      </c>
      <c r="CH461" s="22" t="str">
        <f t="array" ref="CH461">_xlfn.TEXTJOIN("",TRUE,IF(ISNUMBER(FIND(MID(CG460&amp;S460,ROW($1:$4),1),CG461&amp;S461)),MID(CG460&amp;S460,ROW($1:$4),1),""))</f>
        <v/>
      </c>
      <c r="CI461" s="22" t="str">
        <f t="array" ref="CI461">_xlfn.TEXTJOIN("",TRUE,IF(ISERROR(FIND(ROW($1:$10)-1,CG461&amp;CH461)),ROW($1:$10)-1,""))</f>
        <v>02345678</v>
      </c>
      <c r="CJ461" s="28" t="str">
        <f t="shared" si="251"/>
        <v>邻孤孤</v>
      </c>
    </row>
    <row r="462" spans="1:88">
      <c r="A462" s="32">
        <v>2025237</v>
      </c>
      <c r="B462" s="8" t="s">
        <v>379</v>
      </c>
      <c r="C462" s="49">
        <f t="shared" si="230"/>
        <v>14</v>
      </c>
      <c r="D462" s="50">
        <f t="shared" si="231"/>
        <v>4</v>
      </c>
      <c r="E462" s="51">
        <f t="shared" si="237"/>
        <v>4.6666666666666696</v>
      </c>
      <c r="F462" s="52">
        <f>MAX(MID(B462,{1,2,3},1)*1)-MIN(MID(B462,{1,2,3},1)*1)</f>
        <v>9</v>
      </c>
      <c r="G462" s="104">
        <v>0</v>
      </c>
      <c r="H462" s="104">
        <v>1</v>
      </c>
      <c r="I462" s="104">
        <v>2</v>
      </c>
      <c r="J462" s="104">
        <v>3</v>
      </c>
      <c r="K462" s="104">
        <v>4</v>
      </c>
      <c r="L462" s="104">
        <v>5</v>
      </c>
      <c r="M462" s="104">
        <v>6</v>
      </c>
      <c r="N462" s="104">
        <v>7</v>
      </c>
      <c r="O462" s="104">
        <v>8</v>
      </c>
      <c r="P462" s="104">
        <v>9</v>
      </c>
      <c r="Q462" s="53">
        <f t="shared" si="232"/>
        <v>4</v>
      </c>
      <c r="R462" s="53">
        <f t="shared" si="233"/>
        <v>5</v>
      </c>
      <c r="S462" s="53">
        <f t="shared" si="234"/>
        <v>9</v>
      </c>
      <c r="T462" s="101">
        <f t="shared" si="238"/>
        <v>18</v>
      </c>
      <c r="U462" s="15" t="str">
        <f>_xlfn.TEXTJOIN(", ",TRUE,ABS(MID(B462,{1,1,2},1)-MID(B462,{2,3,3},1)))</f>
        <v>4, 5, 9</v>
      </c>
      <c r="V462" s="54">
        <v>0</v>
      </c>
      <c r="W462" s="54">
        <v>1</v>
      </c>
      <c r="X462" s="54">
        <v>2</v>
      </c>
      <c r="Y462" s="54">
        <v>3</v>
      </c>
      <c r="Z462" s="54">
        <v>4</v>
      </c>
      <c r="AA462" s="54">
        <v>5</v>
      </c>
      <c r="AB462" s="54">
        <v>6</v>
      </c>
      <c r="AC462" s="54">
        <v>7</v>
      </c>
      <c r="AD462" s="54">
        <v>8</v>
      </c>
      <c r="AE462" s="54">
        <v>9</v>
      </c>
      <c r="AF462" s="55">
        <v>0</v>
      </c>
      <c r="AG462" s="55">
        <v>1</v>
      </c>
      <c r="AH462" s="55">
        <v>2</v>
      </c>
      <c r="AI462" s="55">
        <v>3</v>
      </c>
      <c r="AJ462" s="55">
        <v>4</v>
      </c>
      <c r="AK462" s="55">
        <v>5</v>
      </c>
      <c r="AL462" s="55">
        <v>6</v>
      </c>
      <c r="AM462" s="55">
        <v>7</v>
      </c>
      <c r="AN462" s="55">
        <v>8</v>
      </c>
      <c r="AO462" s="55">
        <v>9</v>
      </c>
      <c r="AP462" s="105">
        <v>0</v>
      </c>
      <c r="AQ462" s="105">
        <v>1</v>
      </c>
      <c r="AR462" s="105">
        <v>2</v>
      </c>
      <c r="AS462" s="105">
        <v>3</v>
      </c>
      <c r="AT462" s="105">
        <v>4</v>
      </c>
      <c r="AU462" s="105">
        <v>5</v>
      </c>
      <c r="AV462" s="105">
        <v>6</v>
      </c>
      <c r="AW462" s="105">
        <v>7</v>
      </c>
      <c r="AX462" s="105">
        <v>8</v>
      </c>
      <c r="AY462" s="105">
        <v>9</v>
      </c>
      <c r="AZ462" s="56">
        <v>0</v>
      </c>
      <c r="BA462" s="56">
        <v>1</v>
      </c>
      <c r="BB462" s="56">
        <v>2</v>
      </c>
      <c r="BC462" s="56">
        <v>3</v>
      </c>
      <c r="BD462" s="56">
        <v>4</v>
      </c>
      <c r="BE462" s="56">
        <v>5</v>
      </c>
      <c r="BF462" s="56">
        <v>6</v>
      </c>
      <c r="BG462" s="56">
        <v>7</v>
      </c>
      <c r="BH462" s="56">
        <v>8</v>
      </c>
      <c r="BI462" s="56">
        <v>9</v>
      </c>
      <c r="BJ462" s="57" t="str">
        <f t="shared" si="239"/>
        <v>松散型</v>
      </c>
      <c r="BK462" s="13">
        <f t="shared" si="235"/>
        <v>4</v>
      </c>
      <c r="BL462" s="13">
        <f t="shared" si="236"/>
        <v>9</v>
      </c>
      <c r="BM462" s="18" t="str">
        <f t="shared" si="241"/>
        <v/>
      </c>
      <c r="BN462" s="19" t="str">
        <f t="shared" si="242"/>
        <v/>
      </c>
      <c r="BO462" s="19" t="str">
        <f t="array" ref="BO462">_xlfn.TEXTJOIN("",TRUE,IF(ISERROR(FIND(ROW($1:$10)-1,BM462&amp;BN462)),ROW($1:$10)-1,""))</f>
        <v>0123456789</v>
      </c>
      <c r="BP462" s="20" t="str">
        <f t="shared" si="243"/>
        <v>中中中</v>
      </c>
      <c r="BQ462" s="21" t="str">
        <f t="shared" si="254"/>
        <v/>
      </c>
      <c r="BR462" s="21" t="str">
        <f t="shared" si="252"/>
        <v/>
      </c>
      <c r="BS462" s="21" t="str">
        <f t="array" ref="BS462">_xlfn.TEXTJOIN("",TRUE,IF(ISERROR(FIND(ROW($1:$10)-1,BQ462&amp;BR462)),ROW($1:$10)-1,""))</f>
        <v>0123456789</v>
      </c>
      <c r="BT462" s="20" t="str">
        <f t="shared" si="244"/>
        <v>中中中</v>
      </c>
      <c r="BU462" s="22" t="str">
        <f t="shared" si="245"/>
        <v/>
      </c>
      <c r="BV462" s="22" t="str">
        <f t="shared" si="253"/>
        <v/>
      </c>
      <c r="BW462" s="22" t="str">
        <f t="array" ref="BW462">_xlfn.TEXTJOIN("",TRUE,IF(ISERROR(FIND(ROW($1:$10)-1,BU462&amp;BV462)),ROW($1:$10)-1,""))</f>
        <v>0123456789</v>
      </c>
      <c r="BX462" s="20" t="str">
        <f t="shared" si="246"/>
        <v>中中中</v>
      </c>
      <c r="BY462" s="23" t="str">
        <f t="shared" si="240"/>
        <v>35</v>
      </c>
      <c r="BZ462" s="24" t="str">
        <f t="array" ref="BZ462">_xlfn.TEXTJOIN("",TRUE,IF(ISNUMBER(FIND(MID(BY461&amp;Q461,ROW($1:$4),1),BY462&amp;Q462)),MID(BY461&amp;Q461,ROW($1:$4),1),""))</f>
        <v>3</v>
      </c>
      <c r="CA462" s="25" t="str">
        <f t="array" ref="CA462">_xlfn.TEXTJOIN("",TRUE,IF(ISERROR(FIND(ROW($1:$10)-1,BY462&amp;BZ462)),ROW($1:$10)-1,""))</f>
        <v>01246789</v>
      </c>
      <c r="CB462" s="26" t="str">
        <f t="shared" si="247"/>
        <v>邻传孤</v>
      </c>
      <c r="CC462" s="27" t="str">
        <f t="shared" si="248"/>
        <v>46</v>
      </c>
      <c r="CD462" s="27" t="str">
        <f t="array" ref="CD462">_xlfn.TEXTJOIN("",TRUE,IF(ISNUMBER(FIND(MID(CC461&amp;R461,ROW($1:$4),1),CC462&amp;R462)),MID(CC461&amp;R461,ROW($1:$4),1),""))</f>
        <v/>
      </c>
      <c r="CE462" s="27" t="str">
        <f t="array" ref="CE462">_xlfn.TEXTJOIN("",TRUE,IF(ISERROR(FIND(ROW($1:$10)-1,CC462&amp;CD462)),ROW($1:$10)-1,""))</f>
        <v>01235789</v>
      </c>
      <c r="CF462" s="17" t="str">
        <f t="shared" si="249"/>
        <v>邻孤孤</v>
      </c>
      <c r="CG462" s="22" t="str">
        <f t="shared" si="250"/>
        <v>80</v>
      </c>
      <c r="CH462" s="22" t="str">
        <f t="array" ref="CH462">_xlfn.TEXTJOIN("",TRUE,IF(ISNUMBER(FIND(MID(CG461&amp;S461,ROW($1:$4),1),CG462&amp;S462)),MID(CG461&amp;S461,ROW($1:$4),1),""))</f>
        <v>90</v>
      </c>
      <c r="CI462" s="22" t="str">
        <f t="array" ref="CI462">_xlfn.TEXTJOIN("",TRUE,IF(ISERROR(FIND(ROW($1:$10)-1,CG462&amp;CH462)),ROW($1:$10)-1,""))</f>
        <v>1234567</v>
      </c>
      <c r="CJ462" s="28" t="str">
        <f t="shared" si="251"/>
        <v>邻传孤</v>
      </c>
    </row>
    <row r="463" spans="1:88">
      <c r="A463" s="32">
        <v>2025238</v>
      </c>
      <c r="B463" s="8" t="s">
        <v>380</v>
      </c>
      <c r="C463" s="49">
        <f t="shared" si="230"/>
        <v>14</v>
      </c>
      <c r="D463" s="50">
        <f t="shared" si="231"/>
        <v>4</v>
      </c>
      <c r="E463" s="51">
        <f t="shared" si="237"/>
        <v>4.6666666666666696</v>
      </c>
      <c r="F463" s="52">
        <f>MAX(MID(B463,{1,2,3},1)*1)-MIN(MID(B463,{1,2,3},1)*1)</f>
        <v>8</v>
      </c>
      <c r="G463" s="104">
        <v>0</v>
      </c>
      <c r="H463" s="104">
        <v>1</v>
      </c>
      <c r="I463" s="104">
        <v>2</v>
      </c>
      <c r="J463" s="104">
        <v>3</v>
      </c>
      <c r="K463" s="104">
        <v>4</v>
      </c>
      <c r="L463" s="104">
        <v>5</v>
      </c>
      <c r="M463" s="104">
        <v>6</v>
      </c>
      <c r="N463" s="104">
        <v>7</v>
      </c>
      <c r="O463" s="104">
        <v>8</v>
      </c>
      <c r="P463" s="104">
        <v>9</v>
      </c>
      <c r="Q463" s="53">
        <f t="shared" si="232"/>
        <v>2</v>
      </c>
      <c r="R463" s="53">
        <f t="shared" si="233"/>
        <v>8</v>
      </c>
      <c r="S463" s="53">
        <f t="shared" si="234"/>
        <v>6</v>
      </c>
      <c r="T463" s="101">
        <f t="shared" si="238"/>
        <v>16</v>
      </c>
      <c r="U463" s="15" t="str">
        <f>_xlfn.TEXTJOIN(", ",TRUE,ABS(MID(B463,{1,1,2},1)-MID(B463,{2,3,3},1)))</f>
        <v>2, 8, 6</v>
      </c>
      <c r="V463" s="54">
        <v>0</v>
      </c>
      <c r="W463" s="54">
        <v>1</v>
      </c>
      <c r="X463" s="54">
        <v>2</v>
      </c>
      <c r="Y463" s="54">
        <v>3</v>
      </c>
      <c r="Z463" s="54">
        <v>4</v>
      </c>
      <c r="AA463" s="54">
        <v>5</v>
      </c>
      <c r="AB463" s="54">
        <v>6</v>
      </c>
      <c r="AC463" s="54">
        <v>7</v>
      </c>
      <c r="AD463" s="54">
        <v>8</v>
      </c>
      <c r="AE463" s="54">
        <v>9</v>
      </c>
      <c r="AF463" s="55">
        <v>0</v>
      </c>
      <c r="AG463" s="55">
        <v>1</v>
      </c>
      <c r="AH463" s="55">
        <v>2</v>
      </c>
      <c r="AI463" s="55">
        <v>3</v>
      </c>
      <c r="AJ463" s="55">
        <v>4</v>
      </c>
      <c r="AK463" s="55">
        <v>5</v>
      </c>
      <c r="AL463" s="55">
        <v>6</v>
      </c>
      <c r="AM463" s="55">
        <v>7</v>
      </c>
      <c r="AN463" s="55">
        <v>8</v>
      </c>
      <c r="AO463" s="55">
        <v>9</v>
      </c>
      <c r="AP463" s="105">
        <v>0</v>
      </c>
      <c r="AQ463" s="105">
        <v>1</v>
      </c>
      <c r="AR463" s="105">
        <v>2</v>
      </c>
      <c r="AS463" s="105">
        <v>3</v>
      </c>
      <c r="AT463" s="105">
        <v>4</v>
      </c>
      <c r="AU463" s="105">
        <v>5</v>
      </c>
      <c r="AV463" s="105">
        <v>6</v>
      </c>
      <c r="AW463" s="105">
        <v>7</v>
      </c>
      <c r="AX463" s="105">
        <v>8</v>
      </c>
      <c r="AY463" s="105">
        <v>9</v>
      </c>
      <c r="AZ463" s="56">
        <v>0</v>
      </c>
      <c r="BA463" s="56">
        <v>1</v>
      </c>
      <c r="BB463" s="56">
        <v>2</v>
      </c>
      <c r="BC463" s="56">
        <v>3</v>
      </c>
      <c r="BD463" s="56">
        <v>4</v>
      </c>
      <c r="BE463" s="56">
        <v>5</v>
      </c>
      <c r="BF463" s="56">
        <v>6</v>
      </c>
      <c r="BG463" s="56">
        <v>7</v>
      </c>
      <c r="BH463" s="56">
        <v>8</v>
      </c>
      <c r="BI463" s="56">
        <v>9</v>
      </c>
      <c r="BJ463" s="57" t="str">
        <f t="shared" si="239"/>
        <v>松散型</v>
      </c>
      <c r="BK463" s="13">
        <f t="shared" si="235"/>
        <v>2</v>
      </c>
      <c r="BL463" s="13">
        <f t="shared" si="236"/>
        <v>8</v>
      </c>
      <c r="BM463" s="18" t="str">
        <f t="shared" si="241"/>
        <v/>
      </c>
      <c r="BN463" s="19">
        <f t="shared" si="242"/>
        <v>2</v>
      </c>
      <c r="BO463" s="19" t="str">
        <f t="array" ref="BO463">_xlfn.TEXTJOIN("",TRUE,IF(ISERROR(FIND(ROW($1:$10)-1,BM463&amp;BN463)),ROW($1:$10)-1,""))</f>
        <v>013456789</v>
      </c>
      <c r="BP463" s="20" t="str">
        <f t="shared" si="243"/>
        <v>中隔中</v>
      </c>
      <c r="BQ463" s="21" t="str">
        <f t="shared" si="254"/>
        <v/>
      </c>
      <c r="BR463" s="21" t="str">
        <f t="shared" si="252"/>
        <v/>
      </c>
      <c r="BS463" s="21" t="str">
        <f t="array" ref="BS463">_xlfn.TEXTJOIN("",TRUE,IF(ISERROR(FIND(ROW($1:$10)-1,BQ463&amp;BR463)),ROW($1:$10)-1,""))</f>
        <v>0123456789</v>
      </c>
      <c r="BT463" s="20" t="str">
        <f t="shared" si="244"/>
        <v>中中中</v>
      </c>
      <c r="BU463" s="22" t="str">
        <f t="shared" si="245"/>
        <v/>
      </c>
      <c r="BV463" s="22" t="str">
        <f t="shared" si="253"/>
        <v/>
      </c>
      <c r="BW463" s="22" t="str">
        <f t="array" ref="BW463">_xlfn.TEXTJOIN("",TRUE,IF(ISERROR(FIND(ROW($1:$10)-1,BU463&amp;BV463)),ROW($1:$10)-1,""))</f>
        <v>0123456789</v>
      </c>
      <c r="BX463" s="20" t="str">
        <f t="shared" si="246"/>
        <v>中中中</v>
      </c>
      <c r="BY463" s="23" t="str">
        <f t="shared" si="240"/>
        <v>13</v>
      </c>
      <c r="BZ463" s="24" t="str">
        <f t="array" ref="BZ463">_xlfn.TEXTJOIN("",TRUE,IF(ISNUMBER(FIND(MID(BY462&amp;Q462,ROW($1:$4),1),BY463&amp;Q463)),MID(BY462&amp;Q462,ROW($1:$4),1),""))</f>
        <v>3</v>
      </c>
      <c r="CA463" s="25" t="str">
        <f t="array" ref="CA463">_xlfn.TEXTJOIN("",TRUE,IF(ISERROR(FIND(ROW($1:$10)-1,BY463&amp;BZ463)),ROW($1:$10)-1,""))</f>
        <v>02456789</v>
      </c>
      <c r="CB463" s="26" t="str">
        <f t="shared" si="247"/>
        <v>邻传孤</v>
      </c>
      <c r="CC463" s="27" t="str">
        <f t="shared" si="248"/>
        <v>79</v>
      </c>
      <c r="CD463" s="27" t="str">
        <f t="array" ref="CD463">_xlfn.TEXTJOIN("",TRUE,IF(ISNUMBER(FIND(MID(CC462&amp;R462,ROW($1:$4),1),CC463&amp;R463)),MID(CC462&amp;R462,ROW($1:$4),1),""))</f>
        <v/>
      </c>
      <c r="CE463" s="27" t="str">
        <f t="array" ref="CE463">_xlfn.TEXTJOIN("",TRUE,IF(ISERROR(FIND(ROW($1:$10)-1,CC463&amp;CD463)),ROW($1:$10)-1,""))</f>
        <v>01234568</v>
      </c>
      <c r="CF463" s="17" t="str">
        <f t="shared" si="249"/>
        <v>邻孤孤</v>
      </c>
      <c r="CG463" s="22" t="str">
        <f t="shared" si="250"/>
        <v>57</v>
      </c>
      <c r="CH463" s="22" t="str">
        <f t="array" ref="CH463">_xlfn.TEXTJOIN("",TRUE,IF(ISNUMBER(FIND(MID(CG462&amp;S462,ROW($1:$4),1),CG463&amp;S463)),MID(CG462&amp;S462,ROW($1:$4),1),""))</f>
        <v/>
      </c>
      <c r="CI463" s="22" t="str">
        <f t="array" ref="CI463">_xlfn.TEXTJOIN("",TRUE,IF(ISERROR(FIND(ROW($1:$10)-1,CG463&amp;CH463)),ROW($1:$10)-1,""))</f>
        <v>01234689</v>
      </c>
      <c r="CJ463" s="28" t="str">
        <f t="shared" si="251"/>
        <v>邻孤孤</v>
      </c>
    </row>
    <row r="464" spans="1:88">
      <c r="A464" s="32">
        <v>2025239</v>
      </c>
      <c r="B464" s="8" t="s">
        <v>381</v>
      </c>
      <c r="C464" s="49">
        <f t="shared" si="230"/>
        <v>8</v>
      </c>
      <c r="D464" s="50">
        <f t="shared" si="231"/>
        <v>8</v>
      </c>
      <c r="E464" s="51">
        <f t="shared" si="237"/>
        <v>2.6666666666666701</v>
      </c>
      <c r="F464" s="52">
        <f>MAX(MID(B464,{1,2,3},1)*1)-MIN(MID(B464,{1,2,3},1)*1)</f>
        <v>4</v>
      </c>
      <c r="G464" s="104">
        <v>0</v>
      </c>
      <c r="H464" s="104">
        <v>1</v>
      </c>
      <c r="I464" s="104">
        <v>2</v>
      </c>
      <c r="J464" s="104">
        <v>3</v>
      </c>
      <c r="K464" s="104">
        <v>4</v>
      </c>
      <c r="L464" s="104">
        <v>5</v>
      </c>
      <c r="M464" s="104">
        <v>6</v>
      </c>
      <c r="N464" s="104">
        <v>7</v>
      </c>
      <c r="O464" s="104">
        <v>8</v>
      </c>
      <c r="P464" s="104">
        <v>9</v>
      </c>
      <c r="Q464" s="53">
        <f t="shared" si="232"/>
        <v>1</v>
      </c>
      <c r="R464" s="53">
        <f t="shared" si="233"/>
        <v>4</v>
      </c>
      <c r="S464" s="53">
        <f t="shared" si="234"/>
        <v>3</v>
      </c>
      <c r="T464" s="101">
        <f t="shared" si="238"/>
        <v>8</v>
      </c>
      <c r="U464" s="15" t="str">
        <f>_xlfn.TEXTJOIN(", ",TRUE,ABS(MID(B464,{1,1,2},1)-MID(B464,{2,3,3},1)))</f>
        <v>1, 4, 3</v>
      </c>
      <c r="V464" s="54">
        <v>0</v>
      </c>
      <c r="W464" s="54">
        <v>1</v>
      </c>
      <c r="X464" s="54">
        <v>2</v>
      </c>
      <c r="Y464" s="54">
        <v>3</v>
      </c>
      <c r="Z464" s="54">
        <v>4</v>
      </c>
      <c r="AA464" s="54">
        <v>5</v>
      </c>
      <c r="AB464" s="54">
        <v>6</v>
      </c>
      <c r="AC464" s="54">
        <v>7</v>
      </c>
      <c r="AD464" s="54">
        <v>8</v>
      </c>
      <c r="AE464" s="54">
        <v>9</v>
      </c>
      <c r="AF464" s="55">
        <v>0</v>
      </c>
      <c r="AG464" s="55">
        <v>1</v>
      </c>
      <c r="AH464" s="55">
        <v>2</v>
      </c>
      <c r="AI464" s="55">
        <v>3</v>
      </c>
      <c r="AJ464" s="55">
        <v>4</v>
      </c>
      <c r="AK464" s="55">
        <v>5</v>
      </c>
      <c r="AL464" s="55">
        <v>6</v>
      </c>
      <c r="AM464" s="55">
        <v>7</v>
      </c>
      <c r="AN464" s="55">
        <v>8</v>
      </c>
      <c r="AO464" s="55">
        <v>9</v>
      </c>
      <c r="AP464" s="105">
        <v>0</v>
      </c>
      <c r="AQ464" s="105">
        <v>1</v>
      </c>
      <c r="AR464" s="105">
        <v>2</v>
      </c>
      <c r="AS464" s="105">
        <v>3</v>
      </c>
      <c r="AT464" s="105">
        <v>4</v>
      </c>
      <c r="AU464" s="105">
        <v>5</v>
      </c>
      <c r="AV464" s="105">
        <v>6</v>
      </c>
      <c r="AW464" s="105">
        <v>7</v>
      </c>
      <c r="AX464" s="105">
        <v>8</v>
      </c>
      <c r="AY464" s="105">
        <v>9</v>
      </c>
      <c r="AZ464" s="56">
        <v>0</v>
      </c>
      <c r="BA464" s="56">
        <v>1</v>
      </c>
      <c r="BB464" s="56">
        <v>2</v>
      </c>
      <c r="BC464" s="56">
        <v>3</v>
      </c>
      <c r="BD464" s="56">
        <v>4</v>
      </c>
      <c r="BE464" s="56">
        <v>5</v>
      </c>
      <c r="BF464" s="56">
        <v>6</v>
      </c>
      <c r="BG464" s="56">
        <v>7</v>
      </c>
      <c r="BH464" s="56">
        <v>8</v>
      </c>
      <c r="BI464" s="56">
        <v>9</v>
      </c>
      <c r="BJ464" s="57" t="str">
        <f t="shared" si="239"/>
        <v>紧凑型</v>
      </c>
      <c r="BK464" s="13">
        <f t="shared" si="235"/>
        <v>1</v>
      </c>
      <c r="BL464" s="13">
        <f t="shared" si="236"/>
        <v>4</v>
      </c>
      <c r="BM464" s="18" t="str">
        <f t="shared" si="241"/>
        <v/>
      </c>
      <c r="BN464" s="19" t="str">
        <f t="shared" si="242"/>
        <v/>
      </c>
      <c r="BO464" s="19" t="str">
        <f t="array" ref="BO464">_xlfn.TEXTJOIN("",TRUE,IF(ISERROR(FIND(ROW($1:$10)-1,BM464&amp;BN464)),ROW($1:$10)-1,""))</f>
        <v>0123456789</v>
      </c>
      <c r="BP464" s="20" t="str">
        <f t="shared" si="243"/>
        <v>中中中</v>
      </c>
      <c r="BQ464" s="21" t="str">
        <f t="shared" si="254"/>
        <v/>
      </c>
      <c r="BR464" s="21">
        <f t="shared" si="252"/>
        <v>4</v>
      </c>
      <c r="BS464" s="21" t="str">
        <f t="array" ref="BS464">_xlfn.TEXTJOIN("",TRUE,IF(ISERROR(FIND(ROW($1:$10)-1,BQ464&amp;BR464)),ROW($1:$10)-1,""))</f>
        <v>012356789</v>
      </c>
      <c r="BT464" s="20" t="str">
        <f t="shared" si="244"/>
        <v>中隔中</v>
      </c>
      <c r="BU464" s="22" t="str">
        <f t="shared" si="245"/>
        <v/>
      </c>
      <c r="BV464" s="22" t="str">
        <f t="shared" si="253"/>
        <v/>
      </c>
      <c r="BW464" s="22" t="str">
        <f t="array" ref="BW464">_xlfn.TEXTJOIN("",TRUE,IF(ISERROR(FIND(ROW($1:$10)-1,BU464&amp;BV464)),ROW($1:$10)-1,""))</f>
        <v>0123456789</v>
      </c>
      <c r="BX464" s="20" t="str">
        <f t="shared" si="246"/>
        <v>中中中</v>
      </c>
      <c r="BY464" s="23" t="str">
        <f t="shared" si="240"/>
        <v>02</v>
      </c>
      <c r="BZ464" s="24" t="str">
        <f t="array" ref="BZ464">_xlfn.TEXTJOIN("",TRUE,IF(ISNUMBER(FIND(MID(BY463&amp;Q463,ROW($1:$4),1),BY464&amp;Q464)),MID(BY463&amp;Q463,ROW($1:$4),1),""))</f>
        <v>12</v>
      </c>
      <c r="CA464" s="25" t="str">
        <f t="array" ref="CA464">_xlfn.TEXTJOIN("",TRUE,IF(ISERROR(FIND(ROW($1:$10)-1,BY464&amp;BZ464)),ROW($1:$10)-1,""))</f>
        <v>3456789</v>
      </c>
      <c r="CB464" s="26" t="str">
        <f t="shared" si="247"/>
        <v>邻传孤</v>
      </c>
      <c r="CC464" s="27" t="str">
        <f t="shared" si="248"/>
        <v>35</v>
      </c>
      <c r="CD464" s="27" t="str">
        <f t="array" ref="CD464">_xlfn.TEXTJOIN("",TRUE,IF(ISNUMBER(FIND(MID(CC463&amp;R463,ROW($1:$4),1),CC464&amp;R464)),MID(CC463&amp;R463,ROW($1:$4),1),""))</f>
        <v/>
      </c>
      <c r="CE464" s="27" t="str">
        <f t="array" ref="CE464">_xlfn.TEXTJOIN("",TRUE,IF(ISERROR(FIND(ROW($1:$10)-1,CC464&amp;CD464)),ROW($1:$10)-1,""))</f>
        <v>01246789</v>
      </c>
      <c r="CF464" s="17" t="str">
        <f t="shared" si="249"/>
        <v>邻孤孤</v>
      </c>
      <c r="CG464" s="22" t="str">
        <f t="shared" si="250"/>
        <v>24</v>
      </c>
      <c r="CH464" s="22" t="str">
        <f t="array" ref="CH464">_xlfn.TEXTJOIN("",TRUE,IF(ISNUMBER(FIND(MID(CG463&amp;S463,ROW($1:$4),1),CG464&amp;S464)),MID(CG463&amp;S463,ROW($1:$4),1),""))</f>
        <v/>
      </c>
      <c r="CI464" s="22" t="str">
        <f t="array" ref="CI464">_xlfn.TEXTJOIN("",TRUE,IF(ISERROR(FIND(ROW($1:$10)-1,CG464&amp;CH464)),ROW($1:$10)-1,""))</f>
        <v>01356789</v>
      </c>
      <c r="CJ464" s="28" t="str">
        <f t="shared" si="251"/>
        <v>邻孤孤</v>
      </c>
    </row>
    <row r="465" spans="1:88">
      <c r="A465" s="32">
        <v>2025240</v>
      </c>
      <c r="B465" s="8" t="s">
        <v>161</v>
      </c>
      <c r="C465" s="49">
        <f t="shared" si="230"/>
        <v>14</v>
      </c>
      <c r="D465" s="50">
        <f t="shared" si="231"/>
        <v>4</v>
      </c>
      <c r="E465" s="51">
        <f t="shared" si="237"/>
        <v>4.6666666666666696</v>
      </c>
      <c r="F465" s="52">
        <f>MAX(MID(B465,{1,2,3},1)*1)-MIN(MID(B465,{1,2,3},1)*1)</f>
        <v>8</v>
      </c>
      <c r="G465" s="104">
        <v>0</v>
      </c>
      <c r="H465" s="104">
        <v>1</v>
      </c>
      <c r="I465" s="104">
        <v>2</v>
      </c>
      <c r="J465" s="104">
        <v>3</v>
      </c>
      <c r="K465" s="104">
        <v>4</v>
      </c>
      <c r="L465" s="104">
        <v>5</v>
      </c>
      <c r="M465" s="104">
        <v>6</v>
      </c>
      <c r="N465" s="104">
        <v>7</v>
      </c>
      <c r="O465" s="104">
        <v>8</v>
      </c>
      <c r="P465" s="104">
        <v>9</v>
      </c>
      <c r="Q465" s="53">
        <f t="shared" si="232"/>
        <v>3</v>
      </c>
      <c r="R465" s="53">
        <f t="shared" si="233"/>
        <v>5</v>
      </c>
      <c r="S465" s="53">
        <f t="shared" si="234"/>
        <v>8</v>
      </c>
      <c r="T465" s="101">
        <f t="shared" si="238"/>
        <v>16</v>
      </c>
      <c r="U465" s="15" t="str">
        <f>_xlfn.TEXTJOIN(", ",TRUE,ABS(MID(B465,{1,1,2},1)-MID(B465,{2,3,3},1)))</f>
        <v>3, 5, 8</v>
      </c>
      <c r="V465" s="54">
        <v>0</v>
      </c>
      <c r="W465" s="54">
        <v>1</v>
      </c>
      <c r="X465" s="54">
        <v>2</v>
      </c>
      <c r="Y465" s="54">
        <v>3</v>
      </c>
      <c r="Z465" s="54">
        <v>4</v>
      </c>
      <c r="AA465" s="54">
        <v>5</v>
      </c>
      <c r="AB465" s="54">
        <v>6</v>
      </c>
      <c r="AC465" s="54">
        <v>7</v>
      </c>
      <c r="AD465" s="54">
        <v>8</v>
      </c>
      <c r="AE465" s="54">
        <v>9</v>
      </c>
      <c r="AF465" s="55">
        <v>0</v>
      </c>
      <c r="AG465" s="55">
        <v>1</v>
      </c>
      <c r="AH465" s="55">
        <v>2</v>
      </c>
      <c r="AI465" s="55">
        <v>3</v>
      </c>
      <c r="AJ465" s="55">
        <v>4</v>
      </c>
      <c r="AK465" s="55">
        <v>5</v>
      </c>
      <c r="AL465" s="55">
        <v>6</v>
      </c>
      <c r="AM465" s="55">
        <v>7</v>
      </c>
      <c r="AN465" s="55">
        <v>8</v>
      </c>
      <c r="AO465" s="55">
        <v>9</v>
      </c>
      <c r="AP465" s="105">
        <v>0</v>
      </c>
      <c r="AQ465" s="105">
        <v>1</v>
      </c>
      <c r="AR465" s="105">
        <v>2</v>
      </c>
      <c r="AS465" s="105">
        <v>3</v>
      </c>
      <c r="AT465" s="105">
        <v>4</v>
      </c>
      <c r="AU465" s="105">
        <v>5</v>
      </c>
      <c r="AV465" s="105">
        <v>6</v>
      </c>
      <c r="AW465" s="105">
        <v>7</v>
      </c>
      <c r="AX465" s="105">
        <v>8</v>
      </c>
      <c r="AY465" s="105">
        <v>9</v>
      </c>
      <c r="AZ465" s="56">
        <v>0</v>
      </c>
      <c r="BA465" s="56">
        <v>1</v>
      </c>
      <c r="BB465" s="56">
        <v>2</v>
      </c>
      <c r="BC465" s="56">
        <v>3</v>
      </c>
      <c r="BD465" s="56">
        <v>4</v>
      </c>
      <c r="BE465" s="56">
        <v>5</v>
      </c>
      <c r="BF465" s="56">
        <v>6</v>
      </c>
      <c r="BG465" s="56">
        <v>7</v>
      </c>
      <c r="BH465" s="56">
        <v>8</v>
      </c>
      <c r="BI465" s="56">
        <v>9</v>
      </c>
      <c r="BJ465" s="57" t="str">
        <f t="shared" si="239"/>
        <v>松散型</v>
      </c>
      <c r="BK465" s="13">
        <f t="shared" si="235"/>
        <v>3</v>
      </c>
      <c r="BL465" s="13">
        <f t="shared" si="236"/>
        <v>8</v>
      </c>
      <c r="BM465" s="18">
        <f t="shared" si="241"/>
        <v>3</v>
      </c>
      <c r="BN465" s="19" t="str">
        <f t="shared" si="242"/>
        <v/>
      </c>
      <c r="BO465" s="19" t="str">
        <f t="array" ref="BO465">_xlfn.TEXTJOIN("",TRUE,IF(ISERROR(FIND(ROW($1:$10)-1,BM465&amp;BN465)),ROW($1:$10)-1,""))</f>
        <v>012456789</v>
      </c>
      <c r="BP465" s="20" t="str">
        <f t="shared" si="243"/>
        <v>复中中</v>
      </c>
      <c r="BQ465" s="21" t="str">
        <f t="shared" si="254"/>
        <v/>
      </c>
      <c r="BR465" s="21" t="str">
        <f t="shared" si="252"/>
        <v/>
      </c>
      <c r="BS465" s="21" t="str">
        <f t="array" ref="BS465">_xlfn.TEXTJOIN("",TRUE,IF(ISERROR(FIND(ROW($1:$10)-1,BQ465&amp;BR465)),ROW($1:$10)-1,""))</f>
        <v>0123456789</v>
      </c>
      <c r="BT465" s="20" t="str">
        <f t="shared" si="244"/>
        <v>中中中</v>
      </c>
      <c r="BU465" s="22" t="str">
        <f t="shared" si="245"/>
        <v/>
      </c>
      <c r="BV465" s="22">
        <f t="shared" si="253"/>
        <v>8</v>
      </c>
      <c r="BW465" s="22" t="str">
        <f t="array" ref="BW465">_xlfn.TEXTJOIN("",TRUE,IF(ISERROR(FIND(ROW($1:$10)-1,BU465&amp;BV465)),ROW($1:$10)-1,""))</f>
        <v>012345679</v>
      </c>
      <c r="BX465" s="20" t="str">
        <f t="shared" si="246"/>
        <v>中隔中</v>
      </c>
      <c r="BY465" s="23" t="str">
        <f t="shared" si="240"/>
        <v>24</v>
      </c>
      <c r="BZ465" s="24" t="str">
        <f t="array" ref="BZ465">_xlfn.TEXTJOIN("",TRUE,IF(ISNUMBER(FIND(MID(BY464&amp;Q464,ROW($1:$4),1),BY465&amp;Q465)),MID(BY464&amp;Q464,ROW($1:$4),1),""))</f>
        <v>2</v>
      </c>
      <c r="CA465" s="25" t="str">
        <f t="array" ref="CA465">_xlfn.TEXTJOIN("",TRUE,IF(ISERROR(FIND(ROW($1:$10)-1,BY465&amp;BZ465)),ROW($1:$10)-1,""))</f>
        <v>01356789</v>
      </c>
      <c r="CB465" s="26" t="str">
        <f t="shared" si="247"/>
        <v>邻传孤</v>
      </c>
      <c r="CC465" s="27" t="str">
        <f t="shared" si="248"/>
        <v>46</v>
      </c>
      <c r="CD465" s="27" t="str">
        <f t="array" ref="CD465">_xlfn.TEXTJOIN("",TRUE,IF(ISNUMBER(FIND(MID(CC464&amp;R464,ROW($1:$4),1),CC465&amp;R465)),MID(CC464&amp;R464,ROW($1:$4),1),""))</f>
        <v>54</v>
      </c>
      <c r="CE465" s="27" t="str">
        <f t="array" ref="CE465">_xlfn.TEXTJOIN("",TRUE,IF(ISERROR(FIND(ROW($1:$10)-1,CC465&amp;CD465)),ROW($1:$10)-1,""))</f>
        <v>0123789</v>
      </c>
      <c r="CF465" s="17" t="str">
        <f t="shared" si="249"/>
        <v>邻传孤</v>
      </c>
      <c r="CG465" s="22" t="str">
        <f t="shared" si="250"/>
        <v>79</v>
      </c>
      <c r="CH465" s="22" t="str">
        <f t="array" ref="CH465">_xlfn.TEXTJOIN("",TRUE,IF(ISNUMBER(FIND(MID(CG464&amp;S464,ROW($1:$4),1),CG465&amp;S465)),MID(CG464&amp;S464,ROW($1:$4),1),""))</f>
        <v/>
      </c>
      <c r="CI465" s="22" t="str">
        <f t="array" ref="CI465">_xlfn.TEXTJOIN("",TRUE,IF(ISERROR(FIND(ROW($1:$10)-1,CG465&amp;CH465)),ROW($1:$10)-1,""))</f>
        <v>01234568</v>
      </c>
      <c r="CJ465" s="28" t="str">
        <f t="shared" si="251"/>
        <v>邻孤孤</v>
      </c>
    </row>
    <row r="466" spans="1:88">
      <c r="A466" s="32">
        <v>2025241</v>
      </c>
      <c r="B466" s="8" t="s">
        <v>382</v>
      </c>
      <c r="C466" s="49">
        <f t="shared" si="230"/>
        <v>7</v>
      </c>
      <c r="D466" s="50">
        <f t="shared" si="231"/>
        <v>7</v>
      </c>
      <c r="E466" s="51">
        <f t="shared" si="237"/>
        <v>2.3333333333333299</v>
      </c>
      <c r="F466" s="52">
        <f>MAX(MID(B466,{1,2,3},1)*1)-MIN(MID(B466,{1,2,3},1)*1)</f>
        <v>6</v>
      </c>
      <c r="G466" s="104">
        <v>0</v>
      </c>
      <c r="H466" s="104">
        <v>1</v>
      </c>
      <c r="I466" s="104">
        <v>2</v>
      </c>
      <c r="J466" s="104">
        <v>3</v>
      </c>
      <c r="K466" s="104">
        <v>4</v>
      </c>
      <c r="L466" s="104">
        <v>5</v>
      </c>
      <c r="M466" s="104">
        <v>6</v>
      </c>
      <c r="N466" s="104">
        <v>7</v>
      </c>
      <c r="O466" s="104">
        <v>8</v>
      </c>
      <c r="P466" s="104">
        <v>9</v>
      </c>
      <c r="Q466" s="53">
        <f t="shared" si="232"/>
        <v>5</v>
      </c>
      <c r="R466" s="53">
        <f t="shared" si="233"/>
        <v>1</v>
      </c>
      <c r="S466" s="53">
        <f t="shared" si="234"/>
        <v>6</v>
      </c>
      <c r="T466" s="101">
        <f t="shared" si="238"/>
        <v>12</v>
      </c>
      <c r="U466" s="15" t="str">
        <f>_xlfn.TEXTJOIN(", ",TRUE,ABS(MID(B466,{1,1,2},1)-MID(B466,{2,3,3},1)))</f>
        <v>5, 1, 6</v>
      </c>
      <c r="V466" s="54">
        <v>0</v>
      </c>
      <c r="W466" s="54">
        <v>1</v>
      </c>
      <c r="X466" s="54">
        <v>2</v>
      </c>
      <c r="Y466" s="54">
        <v>3</v>
      </c>
      <c r="Z466" s="54">
        <v>4</v>
      </c>
      <c r="AA466" s="54">
        <v>5</v>
      </c>
      <c r="AB466" s="54">
        <v>6</v>
      </c>
      <c r="AC466" s="54">
        <v>7</v>
      </c>
      <c r="AD466" s="54">
        <v>8</v>
      </c>
      <c r="AE466" s="54">
        <v>9</v>
      </c>
      <c r="AF466" s="55">
        <v>0</v>
      </c>
      <c r="AG466" s="55">
        <v>1</v>
      </c>
      <c r="AH466" s="55">
        <v>2</v>
      </c>
      <c r="AI466" s="55">
        <v>3</v>
      </c>
      <c r="AJ466" s="55">
        <v>4</v>
      </c>
      <c r="AK466" s="55">
        <v>5</v>
      </c>
      <c r="AL466" s="55">
        <v>6</v>
      </c>
      <c r="AM466" s="55">
        <v>7</v>
      </c>
      <c r="AN466" s="55">
        <v>8</v>
      </c>
      <c r="AO466" s="55">
        <v>9</v>
      </c>
      <c r="AP466" s="105">
        <v>0</v>
      </c>
      <c r="AQ466" s="105">
        <v>1</v>
      </c>
      <c r="AR466" s="105">
        <v>2</v>
      </c>
      <c r="AS466" s="105">
        <v>3</v>
      </c>
      <c r="AT466" s="105">
        <v>4</v>
      </c>
      <c r="AU466" s="105">
        <v>5</v>
      </c>
      <c r="AV466" s="105">
        <v>6</v>
      </c>
      <c r="AW466" s="105">
        <v>7</v>
      </c>
      <c r="AX466" s="105">
        <v>8</v>
      </c>
      <c r="AY466" s="105">
        <v>9</v>
      </c>
      <c r="AZ466" s="56">
        <v>0</v>
      </c>
      <c r="BA466" s="56">
        <v>1</v>
      </c>
      <c r="BB466" s="56">
        <v>2</v>
      </c>
      <c r="BC466" s="56">
        <v>3</v>
      </c>
      <c r="BD466" s="56">
        <v>4</v>
      </c>
      <c r="BE466" s="56">
        <v>5</v>
      </c>
      <c r="BF466" s="56">
        <v>6</v>
      </c>
      <c r="BG466" s="56">
        <v>7</v>
      </c>
      <c r="BH466" s="56">
        <v>8</v>
      </c>
      <c r="BI466" s="56">
        <v>9</v>
      </c>
      <c r="BJ466" s="57" t="str">
        <f t="shared" si="239"/>
        <v>松散型</v>
      </c>
      <c r="BK466" s="13">
        <f t="shared" si="235"/>
        <v>1</v>
      </c>
      <c r="BL466" s="13">
        <f t="shared" si="236"/>
        <v>6</v>
      </c>
      <c r="BM466" s="18">
        <f t="shared" si="241"/>
        <v>5</v>
      </c>
      <c r="BN466" s="19" t="str">
        <f t="shared" si="242"/>
        <v/>
      </c>
      <c r="BO466" s="19" t="str">
        <f t="array" ref="BO466">_xlfn.TEXTJOIN("",TRUE,IF(ISERROR(FIND(ROW($1:$10)-1,BM466&amp;BN466)),ROW($1:$10)-1,""))</f>
        <v>012346789</v>
      </c>
      <c r="BP466" s="20" t="str">
        <f t="shared" si="243"/>
        <v>复中中</v>
      </c>
      <c r="BQ466" s="21" t="str">
        <f t="shared" si="254"/>
        <v/>
      </c>
      <c r="BR466" s="21">
        <f t="shared" si="252"/>
        <v>1</v>
      </c>
      <c r="BS466" s="21" t="str">
        <f t="array" ref="BS466">_xlfn.TEXTJOIN("",TRUE,IF(ISERROR(FIND(ROW($1:$10)-1,BQ466&amp;BR466)),ROW($1:$10)-1,""))</f>
        <v>023456789</v>
      </c>
      <c r="BT466" s="20" t="str">
        <f t="shared" si="244"/>
        <v>中隔中</v>
      </c>
      <c r="BU466" s="22" t="str">
        <f t="shared" si="245"/>
        <v/>
      </c>
      <c r="BV466" s="22" t="str">
        <f t="shared" si="253"/>
        <v/>
      </c>
      <c r="BW466" s="22" t="str">
        <f t="array" ref="BW466">_xlfn.TEXTJOIN("",TRUE,IF(ISERROR(FIND(ROW($1:$10)-1,BU466&amp;BV466)),ROW($1:$10)-1,""))</f>
        <v>0123456789</v>
      </c>
      <c r="BX466" s="20" t="str">
        <f t="shared" si="246"/>
        <v>中中中</v>
      </c>
      <c r="BY466" s="23" t="str">
        <f t="shared" si="240"/>
        <v>46</v>
      </c>
      <c r="BZ466" s="24" t="str">
        <f t="array" ref="BZ466">_xlfn.TEXTJOIN("",TRUE,IF(ISNUMBER(FIND(MID(BY465&amp;Q465,ROW($1:$4),1),BY466&amp;Q466)),MID(BY465&amp;Q465,ROW($1:$4),1),""))</f>
        <v>4</v>
      </c>
      <c r="CA466" s="25" t="str">
        <f t="array" ref="CA466">_xlfn.TEXTJOIN("",TRUE,IF(ISERROR(FIND(ROW($1:$10)-1,BY466&amp;BZ466)),ROW($1:$10)-1,""))</f>
        <v>01235789</v>
      </c>
      <c r="CB466" s="26" t="str">
        <f t="shared" si="247"/>
        <v>邻传孤</v>
      </c>
      <c r="CC466" s="27" t="str">
        <f t="shared" si="248"/>
        <v>02</v>
      </c>
      <c r="CD466" s="27" t="str">
        <f t="array" ref="CD466">_xlfn.TEXTJOIN("",TRUE,IF(ISNUMBER(FIND(MID(CC465&amp;R465,ROW($1:$4),1),CC466&amp;R466)),MID(CC465&amp;R465,ROW($1:$4),1),""))</f>
        <v/>
      </c>
      <c r="CE466" s="27" t="str">
        <f t="array" ref="CE466">_xlfn.TEXTJOIN("",TRUE,IF(ISERROR(FIND(ROW($1:$10)-1,CC466&amp;CD466)),ROW($1:$10)-1,""))</f>
        <v>13456789</v>
      </c>
      <c r="CF466" s="17" t="str">
        <f t="shared" si="249"/>
        <v>邻孤孤</v>
      </c>
      <c r="CG466" s="22" t="str">
        <f t="shared" si="250"/>
        <v>57</v>
      </c>
      <c r="CH466" s="22" t="str">
        <f t="array" ref="CH466">_xlfn.TEXTJOIN("",TRUE,IF(ISNUMBER(FIND(MID(CG465&amp;S465,ROW($1:$4),1),CG466&amp;S466)),MID(CG465&amp;S465,ROW($1:$4),1),""))</f>
        <v>7</v>
      </c>
      <c r="CI466" s="22" t="str">
        <f t="array" ref="CI466">_xlfn.TEXTJOIN("",TRUE,IF(ISERROR(FIND(ROW($1:$10)-1,CG466&amp;CH466)),ROW($1:$10)-1,""))</f>
        <v>01234689</v>
      </c>
      <c r="CJ466" s="28" t="str">
        <f t="shared" si="251"/>
        <v>邻传孤</v>
      </c>
    </row>
    <row r="467" spans="1:88">
      <c r="A467" s="32">
        <v>2025242</v>
      </c>
      <c r="B467" s="8" t="s">
        <v>371</v>
      </c>
      <c r="C467" s="49">
        <f t="shared" si="230"/>
        <v>18</v>
      </c>
      <c r="D467" s="50">
        <f t="shared" si="231"/>
        <v>8</v>
      </c>
      <c r="E467" s="51">
        <f t="shared" si="237"/>
        <v>6</v>
      </c>
      <c r="F467" s="52">
        <f>MAX(MID(B467,{1,2,3},1)*1)-MIN(MID(B467,{1,2,3},1)*1)</f>
        <v>9</v>
      </c>
      <c r="G467" s="104">
        <v>0</v>
      </c>
      <c r="H467" s="104">
        <v>1</v>
      </c>
      <c r="I467" s="104">
        <v>2</v>
      </c>
      <c r="J467" s="104">
        <v>3</v>
      </c>
      <c r="K467" s="104">
        <v>4</v>
      </c>
      <c r="L467" s="104">
        <v>5</v>
      </c>
      <c r="M467" s="104">
        <v>6</v>
      </c>
      <c r="N467" s="104">
        <v>7</v>
      </c>
      <c r="O467" s="104">
        <v>8</v>
      </c>
      <c r="P467" s="104">
        <v>9</v>
      </c>
      <c r="Q467" s="53">
        <f t="shared" si="232"/>
        <v>0</v>
      </c>
      <c r="R467" s="53">
        <f t="shared" si="233"/>
        <v>9</v>
      </c>
      <c r="S467" s="53">
        <f t="shared" si="234"/>
        <v>9</v>
      </c>
      <c r="T467" s="101">
        <f t="shared" si="238"/>
        <v>18</v>
      </c>
      <c r="U467" s="15" t="str">
        <f>_xlfn.TEXTJOIN(", ",TRUE,ABS(MID(B467,{1,1,2},1)-MID(B467,{2,3,3},1)))</f>
        <v>0, 9, 9</v>
      </c>
      <c r="V467" s="54">
        <v>0</v>
      </c>
      <c r="W467" s="54">
        <v>1</v>
      </c>
      <c r="X467" s="54">
        <v>2</v>
      </c>
      <c r="Y467" s="54">
        <v>3</v>
      </c>
      <c r="Z467" s="54">
        <v>4</v>
      </c>
      <c r="AA467" s="54">
        <v>5</v>
      </c>
      <c r="AB467" s="54">
        <v>6</v>
      </c>
      <c r="AC467" s="54">
        <v>7</v>
      </c>
      <c r="AD467" s="54">
        <v>8</v>
      </c>
      <c r="AE467" s="54">
        <v>9</v>
      </c>
      <c r="AF467" s="55">
        <v>0</v>
      </c>
      <c r="AG467" s="55">
        <v>1</v>
      </c>
      <c r="AH467" s="55">
        <v>2</v>
      </c>
      <c r="AI467" s="55">
        <v>3</v>
      </c>
      <c r="AJ467" s="55">
        <v>4</v>
      </c>
      <c r="AK467" s="55">
        <v>5</v>
      </c>
      <c r="AL467" s="55">
        <v>6</v>
      </c>
      <c r="AM467" s="55">
        <v>7</v>
      </c>
      <c r="AN467" s="55">
        <v>8</v>
      </c>
      <c r="AO467" s="55">
        <v>9</v>
      </c>
      <c r="AP467" s="105">
        <v>0</v>
      </c>
      <c r="AQ467" s="105">
        <v>1</v>
      </c>
      <c r="AR467" s="105">
        <v>2</v>
      </c>
      <c r="AS467" s="105">
        <v>3</v>
      </c>
      <c r="AT467" s="105">
        <v>4</v>
      </c>
      <c r="AU467" s="105">
        <v>5</v>
      </c>
      <c r="AV467" s="105">
        <v>6</v>
      </c>
      <c r="AW467" s="105">
        <v>7</v>
      </c>
      <c r="AX467" s="105">
        <v>8</v>
      </c>
      <c r="AY467" s="105">
        <v>9</v>
      </c>
      <c r="AZ467" s="56">
        <v>0</v>
      </c>
      <c r="BA467" s="56">
        <v>1</v>
      </c>
      <c r="BB467" s="56">
        <v>2</v>
      </c>
      <c r="BC467" s="56">
        <v>3</v>
      </c>
      <c r="BD467" s="56">
        <v>4</v>
      </c>
      <c r="BE467" s="56">
        <v>5</v>
      </c>
      <c r="BF467" s="56">
        <v>6</v>
      </c>
      <c r="BG467" s="56">
        <v>7</v>
      </c>
      <c r="BH467" s="56">
        <v>8</v>
      </c>
      <c r="BI467" s="56">
        <v>9</v>
      </c>
      <c r="BJ467" s="57" t="str">
        <f t="shared" si="239"/>
        <v>松散型</v>
      </c>
      <c r="BK467" s="13">
        <f t="shared" si="235"/>
        <v>0</v>
      </c>
      <c r="BL467" s="13">
        <f t="shared" si="236"/>
        <v>9</v>
      </c>
      <c r="BM467" s="18" t="str">
        <f t="shared" si="241"/>
        <v/>
      </c>
      <c r="BN467" s="19" t="str">
        <f t="shared" si="242"/>
        <v/>
      </c>
      <c r="BO467" s="19" t="str">
        <f t="array" ref="BO467">_xlfn.TEXTJOIN("",TRUE,IF(ISERROR(FIND(ROW($1:$10)-1,BM467&amp;BN467)),ROW($1:$10)-1,""))</f>
        <v>0123456789</v>
      </c>
      <c r="BP467" s="20" t="str">
        <f t="shared" si="243"/>
        <v>中中中</v>
      </c>
      <c r="BQ467" s="21" t="str">
        <f t="shared" si="254"/>
        <v/>
      </c>
      <c r="BR467" s="21" t="str">
        <f t="shared" si="252"/>
        <v/>
      </c>
      <c r="BS467" s="21" t="str">
        <f t="array" ref="BS467">_xlfn.TEXTJOIN("",TRUE,IF(ISERROR(FIND(ROW($1:$10)-1,BQ467&amp;BR467)),ROW($1:$10)-1,""))</f>
        <v>0123456789</v>
      </c>
      <c r="BT467" s="20" t="str">
        <f t="shared" si="244"/>
        <v>中中中</v>
      </c>
      <c r="BU467" s="22" t="str">
        <f t="shared" si="245"/>
        <v/>
      </c>
      <c r="BV467" s="22" t="str">
        <f t="shared" si="253"/>
        <v/>
      </c>
      <c r="BW467" s="22" t="str">
        <f t="array" ref="BW467">_xlfn.TEXTJOIN("",TRUE,IF(ISERROR(FIND(ROW($1:$10)-1,BU467&amp;BV467)),ROW($1:$10)-1,""))</f>
        <v>0123456789</v>
      </c>
      <c r="BX467" s="20" t="str">
        <f t="shared" si="246"/>
        <v>中中中</v>
      </c>
      <c r="BY467" s="23" t="str">
        <f t="shared" si="240"/>
        <v>91</v>
      </c>
      <c r="BZ467" s="24" t="str">
        <f t="array" ref="BZ467">_xlfn.TEXTJOIN("",TRUE,IF(ISNUMBER(FIND(MID(BY466&amp;Q466,ROW($1:$4),1),BY467&amp;Q467)),MID(BY466&amp;Q466,ROW($1:$4),1),""))</f>
        <v/>
      </c>
      <c r="CA467" s="25" t="str">
        <f t="array" ref="CA467">_xlfn.TEXTJOIN("",TRUE,IF(ISERROR(FIND(ROW($1:$10)-1,BY467&amp;BZ467)),ROW($1:$10)-1,""))</f>
        <v>02345678</v>
      </c>
      <c r="CB467" s="26" t="str">
        <f t="shared" si="247"/>
        <v>邻孤孤</v>
      </c>
      <c r="CC467" s="27" t="str">
        <f t="shared" si="248"/>
        <v>80</v>
      </c>
      <c r="CD467" s="27" t="str">
        <f t="array" ref="CD467">_xlfn.TEXTJOIN("",TRUE,IF(ISNUMBER(FIND(MID(CC466&amp;R466,ROW($1:$4),1),CC467&amp;R467)),MID(CC466&amp;R466,ROW($1:$4),1),""))</f>
        <v>0</v>
      </c>
      <c r="CE467" s="27" t="str">
        <f t="array" ref="CE467">_xlfn.TEXTJOIN("",TRUE,IF(ISERROR(FIND(ROW($1:$10)-1,CC467&amp;CD467)),ROW($1:$10)-1,""))</f>
        <v>12345679</v>
      </c>
      <c r="CF467" s="17" t="str">
        <f t="shared" si="249"/>
        <v>邻传孤</v>
      </c>
      <c r="CG467" s="22" t="str">
        <f t="shared" si="250"/>
        <v>80</v>
      </c>
      <c r="CH467" s="22" t="str">
        <f t="array" ref="CH467">_xlfn.TEXTJOIN("",TRUE,IF(ISNUMBER(FIND(MID(CG466&amp;S466,ROW($1:$4),1),CG467&amp;S467)),MID(CG466&amp;S466,ROW($1:$4),1),""))</f>
        <v/>
      </c>
      <c r="CI467" s="22" t="str">
        <f t="array" ref="CI467">_xlfn.TEXTJOIN("",TRUE,IF(ISERROR(FIND(ROW($1:$10)-1,CG467&amp;CH467)),ROW($1:$10)-1,""))</f>
        <v>12345679</v>
      </c>
      <c r="CJ467" s="28" t="str">
        <f t="shared" si="251"/>
        <v>邻孤孤</v>
      </c>
    </row>
    <row r="468" spans="1:88">
      <c r="A468" s="32">
        <v>2025243</v>
      </c>
      <c r="B468" s="8" t="s">
        <v>383</v>
      </c>
      <c r="C468" s="49">
        <f t="shared" si="230"/>
        <v>14</v>
      </c>
      <c r="D468" s="50">
        <f t="shared" si="231"/>
        <v>4</v>
      </c>
      <c r="E468" s="51">
        <f t="shared" si="237"/>
        <v>4.6666666666666696</v>
      </c>
      <c r="F468" s="52">
        <f>MAX(MID(B468,{1,2,3},1)*1)-MIN(MID(B468,{1,2,3},1)*1)</f>
        <v>6</v>
      </c>
      <c r="G468" s="104">
        <v>0</v>
      </c>
      <c r="H468" s="104">
        <v>1</v>
      </c>
      <c r="I468" s="104">
        <v>2</v>
      </c>
      <c r="J468" s="104">
        <v>3</v>
      </c>
      <c r="K468" s="104">
        <v>4</v>
      </c>
      <c r="L468" s="104">
        <v>5</v>
      </c>
      <c r="M468" s="104">
        <v>6</v>
      </c>
      <c r="N468" s="104">
        <v>7</v>
      </c>
      <c r="O468" s="104">
        <v>8</v>
      </c>
      <c r="P468" s="104">
        <v>9</v>
      </c>
      <c r="Q468" s="53">
        <f t="shared" si="232"/>
        <v>6</v>
      </c>
      <c r="R468" s="53">
        <f t="shared" si="233"/>
        <v>5</v>
      </c>
      <c r="S468" s="53">
        <f t="shared" si="234"/>
        <v>1</v>
      </c>
      <c r="T468" s="101">
        <f t="shared" si="238"/>
        <v>12</v>
      </c>
      <c r="U468" s="15" t="str">
        <f>_xlfn.TEXTJOIN(", ",TRUE,ABS(MID(B468,{1,1,2},1)-MID(B468,{2,3,3},1)))</f>
        <v>6, 5, 1</v>
      </c>
      <c r="V468" s="54">
        <v>0</v>
      </c>
      <c r="W468" s="54">
        <v>1</v>
      </c>
      <c r="X468" s="54">
        <v>2</v>
      </c>
      <c r="Y468" s="54">
        <v>3</v>
      </c>
      <c r="Z468" s="54">
        <v>4</v>
      </c>
      <c r="AA468" s="54">
        <v>5</v>
      </c>
      <c r="AB468" s="54">
        <v>6</v>
      </c>
      <c r="AC468" s="54">
        <v>7</v>
      </c>
      <c r="AD468" s="54">
        <v>8</v>
      </c>
      <c r="AE468" s="54">
        <v>9</v>
      </c>
      <c r="AF468" s="55">
        <v>0</v>
      </c>
      <c r="AG468" s="55">
        <v>1</v>
      </c>
      <c r="AH468" s="55">
        <v>2</v>
      </c>
      <c r="AI468" s="55">
        <v>3</v>
      </c>
      <c r="AJ468" s="55">
        <v>4</v>
      </c>
      <c r="AK468" s="55">
        <v>5</v>
      </c>
      <c r="AL468" s="55">
        <v>6</v>
      </c>
      <c r="AM468" s="55">
        <v>7</v>
      </c>
      <c r="AN468" s="55">
        <v>8</v>
      </c>
      <c r="AO468" s="55">
        <v>9</v>
      </c>
      <c r="AP468" s="105">
        <v>0</v>
      </c>
      <c r="AQ468" s="105">
        <v>1</v>
      </c>
      <c r="AR468" s="105">
        <v>2</v>
      </c>
      <c r="AS468" s="105">
        <v>3</v>
      </c>
      <c r="AT468" s="105">
        <v>4</v>
      </c>
      <c r="AU468" s="105">
        <v>5</v>
      </c>
      <c r="AV468" s="105">
        <v>6</v>
      </c>
      <c r="AW468" s="105">
        <v>7</v>
      </c>
      <c r="AX468" s="105">
        <v>8</v>
      </c>
      <c r="AY468" s="105">
        <v>9</v>
      </c>
      <c r="AZ468" s="56">
        <v>0</v>
      </c>
      <c r="BA468" s="56">
        <v>1</v>
      </c>
      <c r="BB468" s="56">
        <v>2</v>
      </c>
      <c r="BC468" s="56">
        <v>3</v>
      </c>
      <c r="BD468" s="56">
        <v>4</v>
      </c>
      <c r="BE468" s="56">
        <v>5</v>
      </c>
      <c r="BF468" s="56">
        <v>6</v>
      </c>
      <c r="BG468" s="56">
        <v>7</v>
      </c>
      <c r="BH468" s="56">
        <v>8</v>
      </c>
      <c r="BI468" s="56">
        <v>9</v>
      </c>
      <c r="BJ468" s="57" t="str">
        <f t="shared" si="239"/>
        <v>松散型</v>
      </c>
      <c r="BK468" s="13">
        <f t="shared" si="235"/>
        <v>1</v>
      </c>
      <c r="BL468" s="13">
        <f t="shared" si="236"/>
        <v>6</v>
      </c>
      <c r="BM468" s="18" t="str">
        <f t="shared" si="241"/>
        <v/>
      </c>
      <c r="BN468" s="19">
        <f t="shared" si="242"/>
        <v>6</v>
      </c>
      <c r="BO468" s="19" t="str">
        <f t="array" ref="BO468">_xlfn.TEXTJOIN("",TRUE,IF(ISERROR(FIND(ROW($1:$10)-1,BM468&amp;BN468)),ROW($1:$10)-1,""))</f>
        <v>012345789</v>
      </c>
      <c r="BP468" s="20" t="str">
        <f t="shared" si="243"/>
        <v>中隔中</v>
      </c>
      <c r="BQ468" s="21" t="str">
        <f t="shared" si="254"/>
        <v/>
      </c>
      <c r="BR468" s="21">
        <f t="shared" si="252"/>
        <v>5</v>
      </c>
      <c r="BS468" s="21" t="str">
        <f t="array" ref="BS468">_xlfn.TEXTJOIN("",TRUE,IF(ISERROR(FIND(ROW($1:$10)-1,BQ468&amp;BR468)),ROW($1:$10)-1,""))</f>
        <v>012346789</v>
      </c>
      <c r="BT468" s="20" t="str">
        <f t="shared" si="244"/>
        <v>中隔中</v>
      </c>
      <c r="BU468" s="22" t="str">
        <f t="shared" si="245"/>
        <v/>
      </c>
      <c r="BV468" s="22">
        <f t="shared" si="253"/>
        <v>1</v>
      </c>
      <c r="BW468" s="22" t="str">
        <f t="array" ref="BW468">_xlfn.TEXTJOIN("",TRUE,IF(ISERROR(FIND(ROW($1:$10)-1,BU468&amp;BV468)),ROW($1:$10)-1,""))</f>
        <v>023456789</v>
      </c>
      <c r="BX468" s="20" t="str">
        <f t="shared" si="246"/>
        <v>中隔中</v>
      </c>
      <c r="BY468" s="23" t="str">
        <f t="shared" si="240"/>
        <v>57</v>
      </c>
      <c r="BZ468" s="24" t="str">
        <f t="array" ref="BZ468">_xlfn.TEXTJOIN("",TRUE,IF(ISNUMBER(FIND(MID(BY467&amp;Q467,ROW($1:$4),1),BY468&amp;Q468)),MID(BY467&amp;Q467,ROW($1:$4),1),""))</f>
        <v/>
      </c>
      <c r="CA468" s="25" t="str">
        <f t="array" ref="CA468">_xlfn.TEXTJOIN("",TRUE,IF(ISERROR(FIND(ROW($1:$10)-1,BY468&amp;BZ468)),ROW($1:$10)-1,""))</f>
        <v>01234689</v>
      </c>
      <c r="CB468" s="26" t="str">
        <f t="shared" si="247"/>
        <v>邻孤孤</v>
      </c>
      <c r="CC468" s="27" t="str">
        <f t="shared" si="248"/>
        <v>46</v>
      </c>
      <c r="CD468" s="27" t="str">
        <f t="array" ref="CD468">_xlfn.TEXTJOIN("",TRUE,IF(ISNUMBER(FIND(MID(CC467&amp;R467,ROW($1:$4),1),CC468&amp;R468)),MID(CC467&amp;R467,ROW($1:$4),1),""))</f>
        <v/>
      </c>
      <c r="CE468" s="27" t="str">
        <f t="array" ref="CE468">_xlfn.TEXTJOIN("",TRUE,IF(ISERROR(FIND(ROW($1:$10)-1,CC468&amp;CD468)),ROW($1:$10)-1,""))</f>
        <v>01235789</v>
      </c>
      <c r="CF468" s="17" t="str">
        <f t="shared" si="249"/>
        <v>邻孤孤</v>
      </c>
      <c r="CG468" s="22" t="str">
        <f t="shared" si="250"/>
        <v>02</v>
      </c>
      <c r="CH468" s="22" t="str">
        <f t="array" ref="CH468">_xlfn.TEXTJOIN("",TRUE,IF(ISNUMBER(FIND(MID(CG467&amp;S467,ROW($1:$4),1),CG468&amp;S468)),MID(CG467&amp;S467,ROW($1:$4),1),""))</f>
        <v>0</v>
      </c>
      <c r="CI468" s="22" t="str">
        <f t="array" ref="CI468">_xlfn.TEXTJOIN("",TRUE,IF(ISERROR(FIND(ROW($1:$10)-1,CG468&amp;CH468)),ROW($1:$10)-1,""))</f>
        <v>13456789</v>
      </c>
      <c r="CJ468" s="28" t="str">
        <f t="shared" si="251"/>
        <v>邻传孤</v>
      </c>
    </row>
    <row r="469" spans="1:88">
      <c r="A469" s="32">
        <v>2025244</v>
      </c>
      <c r="B469" s="8" t="s">
        <v>384</v>
      </c>
      <c r="C469" s="49">
        <f t="shared" si="230"/>
        <v>16</v>
      </c>
      <c r="D469" s="50">
        <f t="shared" si="231"/>
        <v>6</v>
      </c>
      <c r="E469" s="51">
        <f t="shared" si="237"/>
        <v>5.3333333333333304</v>
      </c>
      <c r="F469" s="52">
        <f>MAX(MID(B469,{1,2,3},1)*1)-MIN(MID(B469,{1,2,3},1)*1)</f>
        <v>4</v>
      </c>
      <c r="G469" s="104">
        <v>0</v>
      </c>
      <c r="H469" s="104">
        <v>1</v>
      </c>
      <c r="I469" s="104">
        <v>2</v>
      </c>
      <c r="J469" s="104">
        <v>3</v>
      </c>
      <c r="K469" s="104">
        <v>4</v>
      </c>
      <c r="L469" s="104">
        <v>5</v>
      </c>
      <c r="M469" s="104">
        <v>6</v>
      </c>
      <c r="N469" s="104">
        <v>7</v>
      </c>
      <c r="O469" s="104">
        <v>8</v>
      </c>
      <c r="P469" s="104">
        <v>9</v>
      </c>
      <c r="Q469" s="53">
        <f t="shared" si="232"/>
        <v>1</v>
      </c>
      <c r="R469" s="53">
        <f t="shared" si="233"/>
        <v>3</v>
      </c>
      <c r="S469" s="53">
        <f t="shared" si="234"/>
        <v>4</v>
      </c>
      <c r="T469" s="101">
        <f t="shared" si="238"/>
        <v>8</v>
      </c>
      <c r="U469" s="15" t="str">
        <f>_xlfn.TEXTJOIN(", ",TRUE,ABS(MID(B469,{1,1,2},1)-MID(B469,{2,3,3},1)))</f>
        <v>1, 3, 4</v>
      </c>
      <c r="V469" s="54">
        <v>0</v>
      </c>
      <c r="W469" s="54">
        <v>1</v>
      </c>
      <c r="X469" s="54">
        <v>2</v>
      </c>
      <c r="Y469" s="54">
        <v>3</v>
      </c>
      <c r="Z469" s="54">
        <v>4</v>
      </c>
      <c r="AA469" s="54">
        <v>5</v>
      </c>
      <c r="AB469" s="54">
        <v>6</v>
      </c>
      <c r="AC469" s="54">
        <v>7</v>
      </c>
      <c r="AD469" s="54">
        <v>8</v>
      </c>
      <c r="AE469" s="54">
        <v>9</v>
      </c>
      <c r="AF469" s="55">
        <v>0</v>
      </c>
      <c r="AG469" s="55">
        <v>1</v>
      </c>
      <c r="AH469" s="55">
        <v>2</v>
      </c>
      <c r="AI469" s="55">
        <v>3</v>
      </c>
      <c r="AJ469" s="55">
        <v>4</v>
      </c>
      <c r="AK469" s="55">
        <v>5</v>
      </c>
      <c r="AL469" s="55">
        <v>6</v>
      </c>
      <c r="AM469" s="55">
        <v>7</v>
      </c>
      <c r="AN469" s="55">
        <v>8</v>
      </c>
      <c r="AO469" s="55">
        <v>9</v>
      </c>
      <c r="AP469" s="105">
        <v>0</v>
      </c>
      <c r="AQ469" s="105">
        <v>1</v>
      </c>
      <c r="AR469" s="105">
        <v>2</v>
      </c>
      <c r="AS469" s="105">
        <v>3</v>
      </c>
      <c r="AT469" s="105">
        <v>4</v>
      </c>
      <c r="AU469" s="105">
        <v>5</v>
      </c>
      <c r="AV469" s="105">
        <v>6</v>
      </c>
      <c r="AW469" s="105">
        <v>7</v>
      </c>
      <c r="AX469" s="105">
        <v>8</v>
      </c>
      <c r="AY469" s="105">
        <v>9</v>
      </c>
      <c r="AZ469" s="56">
        <v>0</v>
      </c>
      <c r="BA469" s="56">
        <v>1</v>
      </c>
      <c r="BB469" s="56">
        <v>2</v>
      </c>
      <c r="BC469" s="56">
        <v>3</v>
      </c>
      <c r="BD469" s="56">
        <v>4</v>
      </c>
      <c r="BE469" s="56">
        <v>5</v>
      </c>
      <c r="BF469" s="56">
        <v>6</v>
      </c>
      <c r="BG469" s="56">
        <v>7</v>
      </c>
      <c r="BH469" s="56">
        <v>8</v>
      </c>
      <c r="BI469" s="56">
        <v>9</v>
      </c>
      <c r="BJ469" s="57" t="str">
        <f t="shared" si="239"/>
        <v>紧凑型</v>
      </c>
      <c r="BK469" s="13">
        <f t="shared" si="235"/>
        <v>1</v>
      </c>
      <c r="BL469" s="13">
        <f t="shared" si="236"/>
        <v>4</v>
      </c>
      <c r="BM469" s="18">
        <f t="shared" si="241"/>
        <v>1</v>
      </c>
      <c r="BN469" s="19" t="str">
        <f t="shared" si="242"/>
        <v/>
      </c>
      <c r="BO469" s="19" t="str">
        <f t="array" ref="BO469">_xlfn.TEXTJOIN("",TRUE,IF(ISERROR(FIND(ROW($1:$10)-1,BM469&amp;BN469)),ROW($1:$10)-1,""))</f>
        <v>023456789</v>
      </c>
      <c r="BP469" s="20" t="str">
        <f t="shared" si="243"/>
        <v>复中中</v>
      </c>
      <c r="BQ469" s="21" t="str">
        <f t="shared" si="254"/>
        <v/>
      </c>
      <c r="BR469" s="21" t="str">
        <f t="shared" si="252"/>
        <v/>
      </c>
      <c r="BS469" s="21" t="str">
        <f t="array" ref="BS469">_xlfn.TEXTJOIN("",TRUE,IF(ISERROR(FIND(ROW($1:$10)-1,BQ469&amp;BR469)),ROW($1:$10)-1,""))</f>
        <v>0123456789</v>
      </c>
      <c r="BT469" s="20" t="str">
        <f t="shared" si="244"/>
        <v>中中中</v>
      </c>
      <c r="BU469" s="22" t="str">
        <f t="shared" si="245"/>
        <v/>
      </c>
      <c r="BV469" s="22" t="str">
        <f t="shared" si="253"/>
        <v/>
      </c>
      <c r="BW469" s="22" t="str">
        <f t="array" ref="BW469">_xlfn.TEXTJOIN("",TRUE,IF(ISERROR(FIND(ROW($1:$10)-1,BU469&amp;BV469)),ROW($1:$10)-1,""))</f>
        <v>0123456789</v>
      </c>
      <c r="BX469" s="20" t="str">
        <f t="shared" si="246"/>
        <v>中中中</v>
      </c>
      <c r="BY469" s="23" t="str">
        <f t="shared" si="240"/>
        <v>02</v>
      </c>
      <c r="BZ469" s="24" t="str">
        <f t="array" ref="BZ469">_xlfn.TEXTJOIN("",TRUE,IF(ISNUMBER(FIND(MID(BY468&amp;Q468,ROW($1:$4),1),BY469&amp;Q469)),MID(BY468&amp;Q468,ROW($1:$4),1),""))</f>
        <v/>
      </c>
      <c r="CA469" s="25" t="str">
        <f t="array" ref="CA469">_xlfn.TEXTJOIN("",TRUE,IF(ISERROR(FIND(ROW($1:$10)-1,BY469&amp;BZ469)),ROW($1:$10)-1,""))</f>
        <v>13456789</v>
      </c>
      <c r="CB469" s="26" t="str">
        <f t="shared" si="247"/>
        <v>邻孤孤</v>
      </c>
      <c r="CC469" s="27" t="str">
        <f t="shared" si="248"/>
        <v>24</v>
      </c>
      <c r="CD469" s="27" t="str">
        <f t="array" ref="CD469">_xlfn.TEXTJOIN("",TRUE,IF(ISNUMBER(FIND(MID(CC468&amp;R468,ROW($1:$4),1),CC469&amp;R469)),MID(CC468&amp;R468,ROW($1:$4),1),""))</f>
        <v>4</v>
      </c>
      <c r="CE469" s="27" t="str">
        <f t="array" ref="CE469">_xlfn.TEXTJOIN("",TRUE,IF(ISERROR(FIND(ROW($1:$10)-1,CC469&amp;CD469)),ROW($1:$10)-1,""))</f>
        <v>01356789</v>
      </c>
      <c r="CF469" s="17" t="str">
        <f t="shared" si="249"/>
        <v>邻传孤</v>
      </c>
      <c r="CG469" s="22" t="str">
        <f t="shared" si="250"/>
        <v>35</v>
      </c>
      <c r="CH469" s="22" t="str">
        <f t="array" ref="CH469">_xlfn.TEXTJOIN("",TRUE,IF(ISNUMBER(FIND(MID(CG468&amp;S468,ROW($1:$4),1),CG469&amp;S469)),MID(CG468&amp;S468,ROW($1:$4),1),""))</f>
        <v/>
      </c>
      <c r="CI469" s="22" t="str">
        <f t="array" ref="CI469">_xlfn.TEXTJOIN("",TRUE,IF(ISERROR(FIND(ROW($1:$10)-1,CG469&amp;CH469)),ROW($1:$10)-1,""))</f>
        <v>01246789</v>
      </c>
      <c r="CJ469" s="28" t="str">
        <f t="shared" si="251"/>
        <v>邻孤孤</v>
      </c>
    </row>
    <row r="470" spans="1:88">
      <c r="A470" s="32">
        <v>2025245</v>
      </c>
      <c r="B470" s="8" t="s">
        <v>47</v>
      </c>
      <c r="C470" s="49">
        <f t="shared" si="230"/>
        <v>20</v>
      </c>
      <c r="D470" s="50">
        <f t="shared" si="231"/>
        <v>0</v>
      </c>
      <c r="E470" s="51">
        <f t="shared" si="237"/>
        <v>6.6666666666666696</v>
      </c>
      <c r="F470" s="52">
        <f>MAX(MID(B470,{1,2,3},1)*1)-MIN(MID(B470,{1,2,3},1)*1)</f>
        <v>4</v>
      </c>
      <c r="G470" s="104">
        <v>0</v>
      </c>
      <c r="H470" s="104">
        <v>1</v>
      </c>
      <c r="I470" s="104">
        <v>2</v>
      </c>
      <c r="J470" s="104">
        <v>3</v>
      </c>
      <c r="K470" s="104">
        <v>4</v>
      </c>
      <c r="L470" s="104">
        <v>5</v>
      </c>
      <c r="M470" s="104">
        <v>6</v>
      </c>
      <c r="N470" s="104">
        <v>7</v>
      </c>
      <c r="O470" s="104">
        <v>8</v>
      </c>
      <c r="P470" s="104">
        <v>9</v>
      </c>
      <c r="Q470" s="53">
        <f t="shared" si="232"/>
        <v>4</v>
      </c>
      <c r="R470" s="53">
        <f t="shared" si="233"/>
        <v>0</v>
      </c>
      <c r="S470" s="53">
        <f t="shared" si="234"/>
        <v>4</v>
      </c>
      <c r="T470" s="101">
        <f t="shared" si="238"/>
        <v>8</v>
      </c>
      <c r="U470" s="15" t="str">
        <f>_xlfn.TEXTJOIN(", ",TRUE,ABS(MID(B470,{1,1,2},1)-MID(B470,{2,3,3},1)))</f>
        <v>4, 0, 4</v>
      </c>
      <c r="V470" s="54">
        <v>0</v>
      </c>
      <c r="W470" s="54">
        <v>1</v>
      </c>
      <c r="X470" s="54">
        <v>2</v>
      </c>
      <c r="Y470" s="54">
        <v>3</v>
      </c>
      <c r="Z470" s="54">
        <v>4</v>
      </c>
      <c r="AA470" s="54">
        <v>5</v>
      </c>
      <c r="AB470" s="54">
        <v>6</v>
      </c>
      <c r="AC470" s="54">
        <v>7</v>
      </c>
      <c r="AD470" s="54">
        <v>8</v>
      </c>
      <c r="AE470" s="54">
        <v>9</v>
      </c>
      <c r="AF470" s="55">
        <v>0</v>
      </c>
      <c r="AG470" s="55">
        <v>1</v>
      </c>
      <c r="AH470" s="55">
        <v>2</v>
      </c>
      <c r="AI470" s="55">
        <v>3</v>
      </c>
      <c r="AJ470" s="55">
        <v>4</v>
      </c>
      <c r="AK470" s="55">
        <v>5</v>
      </c>
      <c r="AL470" s="55">
        <v>6</v>
      </c>
      <c r="AM470" s="55">
        <v>7</v>
      </c>
      <c r="AN470" s="55">
        <v>8</v>
      </c>
      <c r="AO470" s="55">
        <v>9</v>
      </c>
      <c r="AP470" s="105">
        <v>0</v>
      </c>
      <c r="AQ470" s="105">
        <v>1</v>
      </c>
      <c r="AR470" s="105">
        <v>2</v>
      </c>
      <c r="AS470" s="105">
        <v>3</v>
      </c>
      <c r="AT470" s="105">
        <v>4</v>
      </c>
      <c r="AU470" s="105">
        <v>5</v>
      </c>
      <c r="AV470" s="105">
        <v>6</v>
      </c>
      <c r="AW470" s="105">
        <v>7</v>
      </c>
      <c r="AX470" s="105">
        <v>8</v>
      </c>
      <c r="AY470" s="105">
        <v>9</v>
      </c>
      <c r="AZ470" s="56">
        <v>0</v>
      </c>
      <c r="BA470" s="56">
        <v>1</v>
      </c>
      <c r="BB470" s="56">
        <v>2</v>
      </c>
      <c r="BC470" s="56">
        <v>3</v>
      </c>
      <c r="BD470" s="56">
        <v>4</v>
      </c>
      <c r="BE470" s="56">
        <v>5</v>
      </c>
      <c r="BF470" s="56">
        <v>6</v>
      </c>
      <c r="BG470" s="56">
        <v>7</v>
      </c>
      <c r="BH470" s="56">
        <v>8</v>
      </c>
      <c r="BI470" s="56">
        <v>9</v>
      </c>
      <c r="BJ470" s="57" t="str">
        <f t="shared" si="239"/>
        <v>紧凑型</v>
      </c>
      <c r="BK470" s="13">
        <f t="shared" si="235"/>
        <v>0</v>
      </c>
      <c r="BL470" s="13">
        <f t="shared" si="236"/>
        <v>4</v>
      </c>
      <c r="BM470" s="18">
        <f t="shared" si="241"/>
        <v>4</v>
      </c>
      <c r="BN470" s="19" t="str">
        <f t="shared" si="242"/>
        <v/>
      </c>
      <c r="BO470" s="19" t="str">
        <f t="array" ref="BO470">_xlfn.TEXTJOIN("",TRUE,IF(ISERROR(FIND(ROW($1:$10)-1,BM470&amp;BN470)),ROW($1:$10)-1,""))</f>
        <v>012356789</v>
      </c>
      <c r="BP470" s="20" t="str">
        <f t="shared" si="243"/>
        <v>复中中</v>
      </c>
      <c r="BQ470" s="21" t="str">
        <f t="shared" si="254"/>
        <v/>
      </c>
      <c r="BR470" s="21" t="str">
        <f t="shared" si="252"/>
        <v/>
      </c>
      <c r="BS470" s="21" t="str">
        <f t="array" ref="BS470">_xlfn.TEXTJOIN("",TRUE,IF(ISERROR(FIND(ROW($1:$10)-1,BQ470&amp;BR470)),ROW($1:$10)-1,""))</f>
        <v>0123456789</v>
      </c>
      <c r="BT470" s="20" t="str">
        <f t="shared" si="244"/>
        <v>中中中</v>
      </c>
      <c r="BU470" s="22">
        <f t="shared" si="245"/>
        <v>4</v>
      </c>
      <c r="BV470" s="22" t="str">
        <f t="shared" si="253"/>
        <v/>
      </c>
      <c r="BW470" s="22" t="str">
        <f t="array" ref="BW470">_xlfn.TEXTJOIN("",TRUE,IF(ISERROR(FIND(ROW($1:$10)-1,BU470&amp;BV470)),ROW($1:$10)-1,""))</f>
        <v>012356789</v>
      </c>
      <c r="BX470" s="20" t="str">
        <f t="shared" si="246"/>
        <v>复中中</v>
      </c>
      <c r="BY470" s="23" t="str">
        <f t="shared" si="240"/>
        <v>35</v>
      </c>
      <c r="BZ470" s="24" t="str">
        <f t="array" ref="BZ470">_xlfn.TEXTJOIN("",TRUE,IF(ISNUMBER(FIND(MID(BY469&amp;Q469,ROW($1:$4),1),BY470&amp;Q470)),MID(BY469&amp;Q469,ROW($1:$4),1),""))</f>
        <v/>
      </c>
      <c r="CA470" s="25" t="str">
        <f t="array" ref="CA470">_xlfn.TEXTJOIN("",TRUE,IF(ISERROR(FIND(ROW($1:$10)-1,BY470&amp;BZ470)),ROW($1:$10)-1,""))</f>
        <v>01246789</v>
      </c>
      <c r="CB470" s="26" t="str">
        <f t="shared" si="247"/>
        <v>邻孤孤</v>
      </c>
      <c r="CC470" s="27" t="str">
        <f t="shared" si="248"/>
        <v>91</v>
      </c>
      <c r="CD470" s="27" t="str">
        <f t="array" ref="CD470">_xlfn.TEXTJOIN("",TRUE,IF(ISNUMBER(FIND(MID(CC469&amp;R469,ROW($1:$4),1),CC470&amp;R470)),MID(CC469&amp;R469,ROW($1:$4),1),""))</f>
        <v/>
      </c>
      <c r="CE470" s="27" t="str">
        <f t="array" ref="CE470">_xlfn.TEXTJOIN("",TRUE,IF(ISERROR(FIND(ROW($1:$10)-1,CC470&amp;CD470)),ROW($1:$10)-1,""))</f>
        <v>02345678</v>
      </c>
      <c r="CF470" s="17" t="str">
        <f t="shared" si="249"/>
        <v>邻孤孤</v>
      </c>
      <c r="CG470" s="22" t="str">
        <f t="shared" si="250"/>
        <v>35</v>
      </c>
      <c r="CH470" s="22" t="str">
        <f t="array" ref="CH470">_xlfn.TEXTJOIN("",TRUE,IF(ISNUMBER(FIND(MID(CG469&amp;S469,ROW($1:$4),1),CG470&amp;S470)),MID(CG469&amp;S469,ROW($1:$4),1),""))</f>
        <v>354</v>
      </c>
      <c r="CI470" s="22" t="str">
        <f t="array" ref="CI470">_xlfn.TEXTJOIN("",TRUE,IF(ISERROR(FIND(ROW($1:$10)-1,CG470&amp;CH470)),ROW($1:$10)-1,""))</f>
        <v>0126789</v>
      </c>
      <c r="CJ470" s="28" t="str">
        <f t="shared" si="251"/>
        <v>邻传孤</v>
      </c>
    </row>
    <row r="471" spans="1:88">
      <c r="A471" s="32">
        <v>2025246</v>
      </c>
      <c r="B471" s="8" t="s">
        <v>385</v>
      </c>
      <c r="C471" s="49">
        <f t="shared" si="230"/>
        <v>25</v>
      </c>
      <c r="D471" s="50">
        <f t="shared" si="231"/>
        <v>5</v>
      </c>
      <c r="E471" s="51">
        <f t="shared" si="237"/>
        <v>8.3333333333333304</v>
      </c>
      <c r="F471" s="52">
        <f>MAX(MID(B471,{1,2,3},1)*1)-MIN(MID(B471,{1,2,3},1)*1)</f>
        <v>2</v>
      </c>
      <c r="G471" s="104">
        <v>0</v>
      </c>
      <c r="H471" s="104">
        <v>1</v>
      </c>
      <c r="I471" s="104">
        <v>2</v>
      </c>
      <c r="J471" s="104">
        <v>3</v>
      </c>
      <c r="K471" s="104">
        <v>4</v>
      </c>
      <c r="L471" s="104">
        <v>5</v>
      </c>
      <c r="M471" s="104">
        <v>6</v>
      </c>
      <c r="N471" s="104">
        <v>7</v>
      </c>
      <c r="O471" s="104">
        <v>8</v>
      </c>
      <c r="P471" s="104">
        <v>9</v>
      </c>
      <c r="Q471" s="53">
        <f t="shared" si="232"/>
        <v>0</v>
      </c>
      <c r="R471" s="53">
        <f t="shared" si="233"/>
        <v>2</v>
      </c>
      <c r="S471" s="53">
        <f t="shared" si="234"/>
        <v>2</v>
      </c>
      <c r="T471" s="101">
        <f t="shared" si="238"/>
        <v>4</v>
      </c>
      <c r="U471" s="15" t="str">
        <f>_xlfn.TEXTJOIN(", ",TRUE,ABS(MID(B471,{1,1,2},1)-MID(B471,{2,3,3},1)))</f>
        <v>0, 2, 2</v>
      </c>
      <c r="V471" s="54">
        <v>0</v>
      </c>
      <c r="W471" s="54">
        <v>1</v>
      </c>
      <c r="X471" s="54">
        <v>2</v>
      </c>
      <c r="Y471" s="54">
        <v>3</v>
      </c>
      <c r="Z471" s="54">
        <v>4</v>
      </c>
      <c r="AA471" s="54">
        <v>5</v>
      </c>
      <c r="AB471" s="54">
        <v>6</v>
      </c>
      <c r="AC471" s="54">
        <v>7</v>
      </c>
      <c r="AD471" s="54">
        <v>8</v>
      </c>
      <c r="AE471" s="54">
        <v>9</v>
      </c>
      <c r="AF471" s="55">
        <v>0</v>
      </c>
      <c r="AG471" s="55">
        <v>1</v>
      </c>
      <c r="AH471" s="55">
        <v>2</v>
      </c>
      <c r="AI471" s="55">
        <v>3</v>
      </c>
      <c r="AJ471" s="55">
        <v>4</v>
      </c>
      <c r="AK471" s="55">
        <v>5</v>
      </c>
      <c r="AL471" s="55">
        <v>6</v>
      </c>
      <c r="AM471" s="55">
        <v>7</v>
      </c>
      <c r="AN471" s="55">
        <v>8</v>
      </c>
      <c r="AO471" s="55">
        <v>9</v>
      </c>
      <c r="AP471" s="105">
        <v>0</v>
      </c>
      <c r="AQ471" s="105">
        <v>1</v>
      </c>
      <c r="AR471" s="105">
        <v>2</v>
      </c>
      <c r="AS471" s="105">
        <v>3</v>
      </c>
      <c r="AT471" s="105">
        <v>4</v>
      </c>
      <c r="AU471" s="105">
        <v>5</v>
      </c>
      <c r="AV471" s="105">
        <v>6</v>
      </c>
      <c r="AW471" s="105">
        <v>7</v>
      </c>
      <c r="AX471" s="105">
        <v>8</v>
      </c>
      <c r="AY471" s="105">
        <v>9</v>
      </c>
      <c r="AZ471" s="56">
        <v>0</v>
      </c>
      <c r="BA471" s="56">
        <v>1</v>
      </c>
      <c r="BB471" s="56">
        <v>2</v>
      </c>
      <c r="BC471" s="56">
        <v>3</v>
      </c>
      <c r="BD471" s="56">
        <v>4</v>
      </c>
      <c r="BE471" s="56">
        <v>5</v>
      </c>
      <c r="BF471" s="56">
        <v>6</v>
      </c>
      <c r="BG471" s="56">
        <v>7</v>
      </c>
      <c r="BH471" s="56">
        <v>8</v>
      </c>
      <c r="BI471" s="56">
        <v>9</v>
      </c>
      <c r="BJ471" s="57" t="str">
        <f t="shared" si="239"/>
        <v>紧凑型</v>
      </c>
      <c r="BK471" s="13">
        <f t="shared" si="235"/>
        <v>0</v>
      </c>
      <c r="BL471" s="13">
        <f t="shared" si="236"/>
        <v>2</v>
      </c>
      <c r="BM471" s="18">
        <f t="shared" si="241"/>
        <v>0</v>
      </c>
      <c r="BN471" s="19" t="str">
        <f t="shared" si="242"/>
        <v/>
      </c>
      <c r="BO471" s="19" t="str">
        <f t="array" ref="BO471">_xlfn.TEXTJOIN("",TRUE,IF(ISERROR(FIND(ROW($1:$10)-1,BM471&amp;BN471)),ROW($1:$10)-1,""))</f>
        <v>123456789</v>
      </c>
      <c r="BP471" s="20" t="str">
        <f t="shared" si="243"/>
        <v>复中中</v>
      </c>
      <c r="BQ471" s="21" t="str">
        <f t="shared" si="254"/>
        <v/>
      </c>
      <c r="BR471" s="21" t="str">
        <f t="shared" si="252"/>
        <v/>
      </c>
      <c r="BS471" s="21" t="str">
        <f t="array" ref="BS471">_xlfn.TEXTJOIN("",TRUE,IF(ISERROR(FIND(ROW($1:$10)-1,BQ471&amp;BR471)),ROW($1:$10)-1,""))</f>
        <v>0123456789</v>
      </c>
      <c r="BT471" s="20" t="str">
        <f t="shared" si="244"/>
        <v>中中中</v>
      </c>
      <c r="BU471" s="22" t="str">
        <f t="shared" si="245"/>
        <v/>
      </c>
      <c r="BV471" s="22" t="str">
        <f t="shared" si="253"/>
        <v/>
      </c>
      <c r="BW471" s="22" t="str">
        <f t="array" ref="BW471">_xlfn.TEXTJOIN("",TRUE,IF(ISERROR(FIND(ROW($1:$10)-1,BU471&amp;BV471)),ROW($1:$10)-1,""))</f>
        <v>0123456789</v>
      </c>
      <c r="BX471" s="20" t="str">
        <f t="shared" si="246"/>
        <v>中中中</v>
      </c>
      <c r="BY471" s="23" t="str">
        <f t="shared" si="240"/>
        <v>91</v>
      </c>
      <c r="BZ471" s="24" t="str">
        <f t="array" ref="BZ471">_xlfn.TEXTJOIN("",TRUE,IF(ISNUMBER(FIND(MID(BY470&amp;Q470,ROW($1:$4),1),BY471&amp;Q471)),MID(BY470&amp;Q470,ROW($1:$4),1),""))</f>
        <v/>
      </c>
      <c r="CA471" s="25" t="str">
        <f t="array" ref="CA471">_xlfn.TEXTJOIN("",TRUE,IF(ISERROR(FIND(ROW($1:$10)-1,BY471&amp;BZ471)),ROW($1:$10)-1,""))</f>
        <v>02345678</v>
      </c>
      <c r="CB471" s="26" t="str">
        <f t="shared" si="247"/>
        <v>邻孤孤</v>
      </c>
      <c r="CC471" s="27" t="str">
        <f t="shared" si="248"/>
        <v>13</v>
      </c>
      <c r="CD471" s="27" t="str">
        <f t="array" ref="CD471">_xlfn.TEXTJOIN("",TRUE,IF(ISNUMBER(FIND(MID(CC470&amp;R470,ROW($1:$4),1),CC471&amp;R471)),MID(CC470&amp;R470,ROW($1:$4),1),""))</f>
        <v>1</v>
      </c>
      <c r="CE471" s="27" t="str">
        <f t="array" ref="CE471">_xlfn.TEXTJOIN("",TRUE,IF(ISERROR(FIND(ROW($1:$10)-1,CC471&amp;CD471)),ROW($1:$10)-1,""))</f>
        <v>02456789</v>
      </c>
      <c r="CF471" s="17" t="str">
        <f t="shared" si="249"/>
        <v>邻传孤</v>
      </c>
      <c r="CG471" s="22" t="str">
        <f t="shared" si="250"/>
        <v>13</v>
      </c>
      <c r="CH471" s="22" t="str">
        <f t="array" ref="CH471">_xlfn.TEXTJOIN("",TRUE,IF(ISNUMBER(FIND(MID(CG470&amp;S470,ROW($1:$4),1),CG471&amp;S471)),MID(CG470&amp;S470,ROW($1:$4),1),""))</f>
        <v>3</v>
      </c>
      <c r="CI471" s="22" t="str">
        <f t="array" ref="CI471">_xlfn.TEXTJOIN("",TRUE,IF(ISERROR(FIND(ROW($1:$10)-1,CG471&amp;CH471)),ROW($1:$10)-1,""))</f>
        <v>02456789</v>
      </c>
      <c r="CJ471" s="28" t="str">
        <f t="shared" si="251"/>
        <v>邻传孤</v>
      </c>
    </row>
    <row r="472" spans="1:88">
      <c r="A472" s="32">
        <v>2025247</v>
      </c>
      <c r="B472" s="8" t="s">
        <v>386</v>
      </c>
      <c r="C472" s="49">
        <f t="shared" si="230"/>
        <v>10</v>
      </c>
      <c r="D472" s="50">
        <f t="shared" si="231"/>
        <v>0</v>
      </c>
      <c r="E472" s="51">
        <f t="shared" si="237"/>
        <v>3.3333333333333299</v>
      </c>
      <c r="F472" s="52">
        <f>MAX(MID(B472,{1,2,3},1)*1)-MIN(MID(B472,{1,2,3},1)*1)</f>
        <v>4</v>
      </c>
      <c r="G472" s="104">
        <v>0</v>
      </c>
      <c r="H472" s="104">
        <v>1</v>
      </c>
      <c r="I472" s="104">
        <v>2</v>
      </c>
      <c r="J472" s="104">
        <v>3</v>
      </c>
      <c r="K472" s="104">
        <v>4</v>
      </c>
      <c r="L472" s="104">
        <v>5</v>
      </c>
      <c r="M472" s="104">
        <v>6</v>
      </c>
      <c r="N472" s="104">
        <v>7</v>
      </c>
      <c r="O472" s="104">
        <v>8</v>
      </c>
      <c r="P472" s="104">
        <v>9</v>
      </c>
      <c r="Q472" s="53">
        <f t="shared" si="232"/>
        <v>4</v>
      </c>
      <c r="R472" s="53">
        <f t="shared" si="233"/>
        <v>0</v>
      </c>
      <c r="S472" s="53">
        <f t="shared" si="234"/>
        <v>4</v>
      </c>
      <c r="T472" s="101">
        <f t="shared" si="238"/>
        <v>8</v>
      </c>
      <c r="U472" s="15" t="str">
        <f>_xlfn.TEXTJOIN(", ",TRUE,ABS(MID(B472,{1,1,2},1)-MID(B472,{2,3,3},1)))</f>
        <v>4, 0, 4</v>
      </c>
      <c r="V472" s="54">
        <v>0</v>
      </c>
      <c r="W472" s="54">
        <v>1</v>
      </c>
      <c r="X472" s="54">
        <v>2</v>
      </c>
      <c r="Y472" s="54">
        <v>3</v>
      </c>
      <c r="Z472" s="54">
        <v>4</v>
      </c>
      <c r="AA472" s="54">
        <v>5</v>
      </c>
      <c r="AB472" s="54">
        <v>6</v>
      </c>
      <c r="AC472" s="54">
        <v>7</v>
      </c>
      <c r="AD472" s="54">
        <v>8</v>
      </c>
      <c r="AE472" s="54">
        <v>9</v>
      </c>
      <c r="AF472" s="55">
        <v>0</v>
      </c>
      <c r="AG472" s="55">
        <v>1</v>
      </c>
      <c r="AH472" s="55">
        <v>2</v>
      </c>
      <c r="AI472" s="55">
        <v>3</v>
      </c>
      <c r="AJ472" s="55">
        <v>4</v>
      </c>
      <c r="AK472" s="55">
        <v>5</v>
      </c>
      <c r="AL472" s="55">
        <v>6</v>
      </c>
      <c r="AM472" s="55">
        <v>7</v>
      </c>
      <c r="AN472" s="55">
        <v>8</v>
      </c>
      <c r="AO472" s="55">
        <v>9</v>
      </c>
      <c r="AP472" s="105">
        <v>0</v>
      </c>
      <c r="AQ472" s="105">
        <v>1</v>
      </c>
      <c r="AR472" s="105">
        <v>2</v>
      </c>
      <c r="AS472" s="105">
        <v>3</v>
      </c>
      <c r="AT472" s="105">
        <v>4</v>
      </c>
      <c r="AU472" s="105">
        <v>5</v>
      </c>
      <c r="AV472" s="105">
        <v>6</v>
      </c>
      <c r="AW472" s="105">
        <v>7</v>
      </c>
      <c r="AX472" s="105">
        <v>8</v>
      </c>
      <c r="AY472" s="105">
        <v>9</v>
      </c>
      <c r="AZ472" s="56">
        <v>0</v>
      </c>
      <c r="BA472" s="56">
        <v>1</v>
      </c>
      <c r="BB472" s="56">
        <v>2</v>
      </c>
      <c r="BC472" s="56">
        <v>3</v>
      </c>
      <c r="BD472" s="56">
        <v>4</v>
      </c>
      <c r="BE472" s="56">
        <v>5</v>
      </c>
      <c r="BF472" s="56">
        <v>6</v>
      </c>
      <c r="BG472" s="56">
        <v>7</v>
      </c>
      <c r="BH472" s="56">
        <v>8</v>
      </c>
      <c r="BI472" s="56">
        <v>9</v>
      </c>
      <c r="BJ472" s="57" t="str">
        <f t="shared" si="239"/>
        <v>紧凑型</v>
      </c>
      <c r="BK472" s="13">
        <f t="shared" si="235"/>
        <v>0</v>
      </c>
      <c r="BL472" s="13">
        <f t="shared" si="236"/>
        <v>4</v>
      </c>
      <c r="BM472" s="18" t="str">
        <f t="shared" si="241"/>
        <v/>
      </c>
      <c r="BN472" s="19">
        <f t="shared" si="242"/>
        <v>4</v>
      </c>
      <c r="BO472" s="19" t="str">
        <f t="array" ref="BO472">_xlfn.TEXTJOIN("",TRUE,IF(ISERROR(FIND(ROW($1:$10)-1,BM472&amp;BN472)),ROW($1:$10)-1,""))</f>
        <v>012356789</v>
      </c>
      <c r="BP472" s="20" t="str">
        <f t="shared" si="243"/>
        <v>中隔中</v>
      </c>
      <c r="BQ472" s="21">
        <f t="shared" si="254"/>
        <v>0</v>
      </c>
      <c r="BR472" s="21">
        <f t="shared" si="252"/>
        <v>0</v>
      </c>
      <c r="BS472" s="21" t="str">
        <f t="array" ref="BS472">_xlfn.TEXTJOIN("",TRUE,IF(ISERROR(FIND(ROW($1:$10)-1,BQ472&amp;BR472)),ROW($1:$10)-1,""))</f>
        <v>123456789</v>
      </c>
      <c r="BT472" s="20" t="str">
        <f t="shared" si="244"/>
        <v>复隔中</v>
      </c>
      <c r="BU472" s="22" t="str">
        <f t="shared" si="245"/>
        <v/>
      </c>
      <c r="BV472" s="22">
        <f t="shared" si="253"/>
        <v>4</v>
      </c>
      <c r="BW472" s="22" t="str">
        <f t="array" ref="BW472">_xlfn.TEXTJOIN("",TRUE,IF(ISERROR(FIND(ROW($1:$10)-1,BU472&amp;BV472)),ROW($1:$10)-1,""))</f>
        <v>012356789</v>
      </c>
      <c r="BX472" s="20" t="str">
        <f t="shared" si="246"/>
        <v>中隔中</v>
      </c>
      <c r="BY472" s="23" t="str">
        <f t="shared" si="240"/>
        <v>35</v>
      </c>
      <c r="BZ472" s="24" t="str">
        <f t="array" ref="BZ472">_xlfn.TEXTJOIN("",TRUE,IF(ISNUMBER(FIND(MID(BY471&amp;Q471,ROW($1:$4),1),BY472&amp;Q472)),MID(BY471&amp;Q471,ROW($1:$4),1),""))</f>
        <v/>
      </c>
      <c r="CA472" s="25" t="str">
        <f t="array" ref="CA472">_xlfn.TEXTJOIN("",TRUE,IF(ISERROR(FIND(ROW($1:$10)-1,BY472&amp;BZ472)),ROW($1:$10)-1,""))</f>
        <v>01246789</v>
      </c>
      <c r="CB472" s="26" t="str">
        <f t="shared" si="247"/>
        <v>邻孤孤</v>
      </c>
      <c r="CC472" s="27" t="str">
        <f t="shared" si="248"/>
        <v>91</v>
      </c>
      <c r="CD472" s="27" t="str">
        <f t="array" ref="CD472">_xlfn.TEXTJOIN("",TRUE,IF(ISNUMBER(FIND(MID(CC471&amp;R471,ROW($1:$4),1),CC472&amp;R472)),MID(CC471&amp;R471,ROW($1:$4),1),""))</f>
        <v>1</v>
      </c>
      <c r="CE472" s="27" t="str">
        <f t="array" ref="CE472">_xlfn.TEXTJOIN("",TRUE,IF(ISERROR(FIND(ROW($1:$10)-1,CC472&amp;CD472)),ROW($1:$10)-1,""))</f>
        <v>02345678</v>
      </c>
      <c r="CF472" s="17" t="str">
        <f t="shared" si="249"/>
        <v>邻传孤</v>
      </c>
      <c r="CG472" s="22" t="str">
        <f t="shared" si="250"/>
        <v>35</v>
      </c>
      <c r="CH472" s="22" t="str">
        <f t="array" ref="CH472">_xlfn.TEXTJOIN("",TRUE,IF(ISNUMBER(FIND(MID(CG471&amp;S471,ROW($1:$4),1),CG472&amp;S472)),MID(CG471&amp;S471,ROW($1:$4),1),""))</f>
        <v>3</v>
      </c>
      <c r="CI472" s="22" t="str">
        <f t="array" ref="CI472">_xlfn.TEXTJOIN("",TRUE,IF(ISERROR(FIND(ROW($1:$10)-1,CG472&amp;CH472)),ROW($1:$10)-1,""))</f>
        <v>01246789</v>
      </c>
      <c r="CJ472" s="28" t="str">
        <f t="shared" si="251"/>
        <v>邻传孤</v>
      </c>
    </row>
    <row r="473" spans="1:88">
      <c r="A473" s="32">
        <v>2025248</v>
      </c>
      <c r="B473" s="8" t="s">
        <v>368</v>
      </c>
      <c r="C473" s="49">
        <f t="shared" si="230"/>
        <v>13</v>
      </c>
      <c r="D473" s="50">
        <f t="shared" si="231"/>
        <v>3</v>
      </c>
      <c r="E473" s="51">
        <f t="shared" si="237"/>
        <v>4.3333333333333304</v>
      </c>
      <c r="F473" s="52">
        <f>MAX(MID(B473,{1,2,3},1)*1)-MIN(MID(B473,{1,2,3},1)*1)</f>
        <v>4</v>
      </c>
      <c r="G473" s="104">
        <v>0</v>
      </c>
      <c r="H473" s="104">
        <v>1</v>
      </c>
      <c r="I473" s="104">
        <v>2</v>
      </c>
      <c r="J473" s="104">
        <v>3</v>
      </c>
      <c r="K473" s="104">
        <v>4</v>
      </c>
      <c r="L473" s="104">
        <v>5</v>
      </c>
      <c r="M473" s="104">
        <v>6</v>
      </c>
      <c r="N473" s="104">
        <v>7</v>
      </c>
      <c r="O473" s="104">
        <v>8</v>
      </c>
      <c r="P473" s="104">
        <v>9</v>
      </c>
      <c r="Q473" s="53">
        <f t="shared" si="232"/>
        <v>3</v>
      </c>
      <c r="R473" s="53">
        <f t="shared" si="233"/>
        <v>1</v>
      </c>
      <c r="S473" s="53">
        <f t="shared" si="234"/>
        <v>4</v>
      </c>
      <c r="T473" s="101">
        <f t="shared" si="238"/>
        <v>8</v>
      </c>
      <c r="U473" s="15" t="str">
        <f>_xlfn.TEXTJOIN(", ",TRUE,ABS(MID(B473,{1,1,2},1)-MID(B473,{2,3,3},1)))</f>
        <v>3, 1, 4</v>
      </c>
      <c r="V473" s="54">
        <v>0</v>
      </c>
      <c r="W473" s="54">
        <v>1</v>
      </c>
      <c r="X473" s="54">
        <v>2</v>
      </c>
      <c r="Y473" s="54">
        <v>3</v>
      </c>
      <c r="Z473" s="54">
        <v>4</v>
      </c>
      <c r="AA473" s="54">
        <v>5</v>
      </c>
      <c r="AB473" s="54">
        <v>6</v>
      </c>
      <c r="AC473" s="54">
        <v>7</v>
      </c>
      <c r="AD473" s="54">
        <v>8</v>
      </c>
      <c r="AE473" s="54">
        <v>9</v>
      </c>
      <c r="AF473" s="55">
        <v>0</v>
      </c>
      <c r="AG473" s="55">
        <v>1</v>
      </c>
      <c r="AH473" s="55">
        <v>2</v>
      </c>
      <c r="AI473" s="55">
        <v>3</v>
      </c>
      <c r="AJ473" s="55">
        <v>4</v>
      </c>
      <c r="AK473" s="55">
        <v>5</v>
      </c>
      <c r="AL473" s="55">
        <v>6</v>
      </c>
      <c r="AM473" s="55">
        <v>7</v>
      </c>
      <c r="AN473" s="55">
        <v>8</v>
      </c>
      <c r="AO473" s="55">
        <v>9</v>
      </c>
      <c r="AP473" s="105">
        <v>0</v>
      </c>
      <c r="AQ473" s="105">
        <v>1</v>
      </c>
      <c r="AR473" s="105">
        <v>2</v>
      </c>
      <c r="AS473" s="105">
        <v>3</v>
      </c>
      <c r="AT473" s="105">
        <v>4</v>
      </c>
      <c r="AU473" s="105">
        <v>5</v>
      </c>
      <c r="AV473" s="105">
        <v>6</v>
      </c>
      <c r="AW473" s="105">
        <v>7</v>
      </c>
      <c r="AX473" s="105">
        <v>8</v>
      </c>
      <c r="AY473" s="105">
        <v>9</v>
      </c>
      <c r="AZ473" s="56">
        <v>0</v>
      </c>
      <c r="BA473" s="56">
        <v>1</v>
      </c>
      <c r="BB473" s="56">
        <v>2</v>
      </c>
      <c r="BC473" s="56">
        <v>3</v>
      </c>
      <c r="BD473" s="56">
        <v>4</v>
      </c>
      <c r="BE473" s="56">
        <v>5</v>
      </c>
      <c r="BF473" s="56">
        <v>6</v>
      </c>
      <c r="BG473" s="56">
        <v>7</v>
      </c>
      <c r="BH473" s="56">
        <v>8</v>
      </c>
      <c r="BI473" s="56">
        <v>9</v>
      </c>
      <c r="BJ473" s="57" t="str">
        <f t="shared" si="239"/>
        <v>紧凑型</v>
      </c>
      <c r="BK473" s="13">
        <f t="shared" si="235"/>
        <v>1</v>
      </c>
      <c r="BL473" s="13">
        <f t="shared" si="236"/>
        <v>4</v>
      </c>
      <c r="BM473" s="18" t="str">
        <f t="shared" si="241"/>
        <v/>
      </c>
      <c r="BN473" s="19" t="str">
        <f t="shared" si="242"/>
        <v/>
      </c>
      <c r="BO473" s="19" t="str">
        <f t="array" ref="BO473">_xlfn.TEXTJOIN("",TRUE,IF(ISERROR(FIND(ROW($1:$10)-1,BM473&amp;BN473)),ROW($1:$10)-1,""))</f>
        <v>0123456789</v>
      </c>
      <c r="BP473" s="20" t="str">
        <f t="shared" si="243"/>
        <v>中中中</v>
      </c>
      <c r="BQ473" s="21" t="str">
        <f t="shared" si="254"/>
        <v/>
      </c>
      <c r="BR473" s="21" t="str">
        <f t="shared" si="252"/>
        <v/>
      </c>
      <c r="BS473" s="21" t="str">
        <f t="array" ref="BS473">_xlfn.TEXTJOIN("",TRUE,IF(ISERROR(FIND(ROW($1:$10)-1,BQ473&amp;BR473)),ROW($1:$10)-1,""))</f>
        <v>0123456789</v>
      </c>
      <c r="BT473" s="20" t="str">
        <f t="shared" si="244"/>
        <v>中中中</v>
      </c>
      <c r="BU473" s="22">
        <f t="shared" si="245"/>
        <v>4</v>
      </c>
      <c r="BV473" s="22" t="str">
        <f t="shared" si="253"/>
        <v/>
      </c>
      <c r="BW473" s="22" t="str">
        <f t="array" ref="BW473">_xlfn.TEXTJOIN("",TRUE,IF(ISERROR(FIND(ROW($1:$10)-1,BU473&amp;BV473)),ROW($1:$10)-1,""))</f>
        <v>012356789</v>
      </c>
      <c r="BX473" s="20" t="str">
        <f t="shared" si="246"/>
        <v>复中中</v>
      </c>
      <c r="BY473" s="23" t="str">
        <f t="shared" si="240"/>
        <v>24</v>
      </c>
      <c r="BZ473" s="24" t="str">
        <f t="array" ref="BZ473">_xlfn.TEXTJOIN("",TRUE,IF(ISNUMBER(FIND(MID(BY472&amp;Q472,ROW($1:$4),1),BY473&amp;Q473)),MID(BY472&amp;Q472,ROW($1:$4),1),""))</f>
        <v>34</v>
      </c>
      <c r="CA473" s="25" t="str">
        <f t="array" ref="CA473">_xlfn.TEXTJOIN("",TRUE,IF(ISERROR(FIND(ROW($1:$10)-1,BY473&amp;BZ473)),ROW($1:$10)-1,""))</f>
        <v>0156789</v>
      </c>
      <c r="CB473" s="26" t="str">
        <f t="shared" si="247"/>
        <v>邻传孤</v>
      </c>
      <c r="CC473" s="27" t="str">
        <f t="shared" si="248"/>
        <v>02</v>
      </c>
      <c r="CD473" s="27" t="str">
        <f t="array" ref="CD473">_xlfn.TEXTJOIN("",TRUE,IF(ISNUMBER(FIND(MID(CC472&amp;R472,ROW($1:$4),1),CC473&amp;R473)),MID(CC472&amp;R472,ROW($1:$4),1),""))</f>
        <v>10</v>
      </c>
      <c r="CE473" s="27" t="str">
        <f t="array" ref="CE473">_xlfn.TEXTJOIN("",TRUE,IF(ISERROR(FIND(ROW($1:$10)-1,CC473&amp;CD473)),ROW($1:$10)-1,""))</f>
        <v>3456789</v>
      </c>
      <c r="CF473" s="17" t="str">
        <f t="shared" si="249"/>
        <v>邻传孤</v>
      </c>
      <c r="CG473" s="22" t="str">
        <f t="shared" si="250"/>
        <v>35</v>
      </c>
      <c r="CH473" s="22" t="str">
        <f t="array" ref="CH473">_xlfn.TEXTJOIN("",TRUE,IF(ISNUMBER(FIND(MID(CG472&amp;S472,ROW($1:$4),1),CG473&amp;S473)),MID(CG472&amp;S472,ROW($1:$4),1),""))</f>
        <v>354</v>
      </c>
      <c r="CI473" s="22" t="str">
        <f t="array" ref="CI473">_xlfn.TEXTJOIN("",TRUE,IF(ISERROR(FIND(ROW($1:$10)-1,CG473&amp;CH473)),ROW($1:$10)-1,""))</f>
        <v>0126789</v>
      </c>
      <c r="CJ473" s="28" t="str">
        <f t="shared" si="251"/>
        <v>邻传孤</v>
      </c>
    </row>
    <row r="474" spans="1:88">
      <c r="A474" s="32">
        <v>2025249</v>
      </c>
      <c r="B474" s="8" t="s">
        <v>387</v>
      </c>
      <c r="C474" s="49">
        <f t="shared" si="230"/>
        <v>16</v>
      </c>
      <c r="D474" s="50">
        <f t="shared" si="231"/>
        <v>6</v>
      </c>
      <c r="E474" s="51">
        <f t="shared" si="237"/>
        <v>5.3333333333333304</v>
      </c>
      <c r="F474" s="52">
        <f>MAX(MID(B474,{1,2,3},1)*1)-MIN(MID(B474,{1,2,3},1)*1)</f>
        <v>7</v>
      </c>
      <c r="G474" s="104">
        <v>0</v>
      </c>
      <c r="H474" s="104">
        <v>1</v>
      </c>
      <c r="I474" s="104">
        <v>2</v>
      </c>
      <c r="J474" s="104">
        <v>3</v>
      </c>
      <c r="K474" s="104">
        <v>4</v>
      </c>
      <c r="L474" s="104">
        <v>5</v>
      </c>
      <c r="M474" s="104">
        <v>6</v>
      </c>
      <c r="N474" s="104">
        <v>7</v>
      </c>
      <c r="O474" s="104">
        <v>8</v>
      </c>
      <c r="P474" s="104">
        <v>9</v>
      </c>
      <c r="Q474" s="53">
        <f t="shared" si="232"/>
        <v>4</v>
      </c>
      <c r="R474" s="53">
        <f t="shared" si="233"/>
        <v>7</v>
      </c>
      <c r="S474" s="53">
        <f t="shared" si="234"/>
        <v>3</v>
      </c>
      <c r="T474" s="101">
        <f t="shared" si="238"/>
        <v>14</v>
      </c>
      <c r="U474" s="15" t="str">
        <f>_xlfn.TEXTJOIN(", ",TRUE,ABS(MID(B474,{1,1,2},1)-MID(B474,{2,3,3},1)))</f>
        <v>4, 7, 3</v>
      </c>
      <c r="V474" s="54">
        <v>0</v>
      </c>
      <c r="W474" s="54">
        <v>1</v>
      </c>
      <c r="X474" s="54">
        <v>2</v>
      </c>
      <c r="Y474" s="54">
        <v>3</v>
      </c>
      <c r="Z474" s="54">
        <v>4</v>
      </c>
      <c r="AA474" s="54">
        <v>5</v>
      </c>
      <c r="AB474" s="54">
        <v>6</v>
      </c>
      <c r="AC474" s="54">
        <v>7</v>
      </c>
      <c r="AD474" s="54">
        <v>8</v>
      </c>
      <c r="AE474" s="54">
        <v>9</v>
      </c>
      <c r="AF474" s="55">
        <v>0</v>
      </c>
      <c r="AG474" s="55">
        <v>1</v>
      </c>
      <c r="AH474" s="55">
        <v>2</v>
      </c>
      <c r="AI474" s="55">
        <v>3</v>
      </c>
      <c r="AJ474" s="55">
        <v>4</v>
      </c>
      <c r="AK474" s="55">
        <v>5</v>
      </c>
      <c r="AL474" s="55">
        <v>6</v>
      </c>
      <c r="AM474" s="55">
        <v>7</v>
      </c>
      <c r="AN474" s="55">
        <v>8</v>
      </c>
      <c r="AO474" s="55">
        <v>9</v>
      </c>
      <c r="AP474" s="105">
        <v>0</v>
      </c>
      <c r="AQ474" s="105">
        <v>1</v>
      </c>
      <c r="AR474" s="105">
        <v>2</v>
      </c>
      <c r="AS474" s="105">
        <v>3</v>
      </c>
      <c r="AT474" s="105">
        <v>4</v>
      </c>
      <c r="AU474" s="105">
        <v>5</v>
      </c>
      <c r="AV474" s="105">
        <v>6</v>
      </c>
      <c r="AW474" s="105">
        <v>7</v>
      </c>
      <c r="AX474" s="105">
        <v>8</v>
      </c>
      <c r="AY474" s="105">
        <v>9</v>
      </c>
      <c r="AZ474" s="56">
        <v>0</v>
      </c>
      <c r="BA474" s="56">
        <v>1</v>
      </c>
      <c r="BB474" s="56">
        <v>2</v>
      </c>
      <c r="BC474" s="56">
        <v>3</v>
      </c>
      <c r="BD474" s="56">
        <v>4</v>
      </c>
      <c r="BE474" s="56">
        <v>5</v>
      </c>
      <c r="BF474" s="56">
        <v>6</v>
      </c>
      <c r="BG474" s="56">
        <v>7</v>
      </c>
      <c r="BH474" s="56">
        <v>8</v>
      </c>
      <c r="BI474" s="56">
        <v>9</v>
      </c>
      <c r="BJ474" s="57" t="str">
        <f t="shared" si="239"/>
        <v>松散型</v>
      </c>
      <c r="BK474" s="13">
        <f t="shared" si="235"/>
        <v>3</v>
      </c>
      <c r="BL474" s="13">
        <f t="shared" si="236"/>
        <v>7</v>
      </c>
      <c r="BM474" s="18">
        <f t="shared" si="241"/>
        <v>4</v>
      </c>
      <c r="BN474" s="19">
        <f t="shared" si="242"/>
        <v>4</v>
      </c>
      <c r="BO474" s="19" t="str">
        <f t="array" ref="BO474">_xlfn.TEXTJOIN("",TRUE,IF(ISERROR(FIND(ROW($1:$10)-1,BM474&amp;BN474)),ROW($1:$10)-1,""))</f>
        <v>012356789</v>
      </c>
      <c r="BP474" s="20" t="str">
        <f t="shared" si="243"/>
        <v>复隔中</v>
      </c>
      <c r="BQ474" s="21" t="str">
        <f t="shared" si="254"/>
        <v/>
      </c>
      <c r="BR474" s="21" t="str">
        <f t="shared" si="252"/>
        <v/>
      </c>
      <c r="BS474" s="21" t="str">
        <f t="array" ref="BS474">_xlfn.TEXTJOIN("",TRUE,IF(ISERROR(FIND(ROW($1:$10)-1,BQ474&amp;BR474)),ROW($1:$10)-1,""))</f>
        <v>0123456789</v>
      </c>
      <c r="BT474" s="20" t="str">
        <f t="shared" si="244"/>
        <v>中中中</v>
      </c>
      <c r="BU474" s="22">
        <f t="shared" si="245"/>
        <v>3</v>
      </c>
      <c r="BV474" s="22" t="str">
        <f t="shared" si="253"/>
        <v/>
      </c>
      <c r="BW474" s="22" t="str">
        <f t="array" ref="BW474">_xlfn.TEXTJOIN("",TRUE,IF(ISERROR(FIND(ROW($1:$10)-1,BU474&amp;BV474)),ROW($1:$10)-1,""))</f>
        <v>012456789</v>
      </c>
      <c r="BX474" s="20" t="str">
        <f t="shared" si="246"/>
        <v>复中中</v>
      </c>
      <c r="BY474" s="23" t="str">
        <f t="shared" si="240"/>
        <v>35</v>
      </c>
      <c r="BZ474" s="24" t="str">
        <f t="array" ref="BZ474">_xlfn.TEXTJOIN("",TRUE,IF(ISNUMBER(FIND(MID(BY473&amp;Q473,ROW($1:$4),1),BY474&amp;Q474)),MID(BY473&amp;Q473,ROW($1:$4),1),""))</f>
        <v>43</v>
      </c>
      <c r="CA474" s="25" t="str">
        <f t="array" ref="CA474">_xlfn.TEXTJOIN("",TRUE,IF(ISERROR(FIND(ROW($1:$10)-1,BY474&amp;BZ474)),ROW($1:$10)-1,""))</f>
        <v>0126789</v>
      </c>
      <c r="CB474" s="26" t="str">
        <f t="shared" si="247"/>
        <v>邻传孤</v>
      </c>
      <c r="CC474" s="27" t="str">
        <f t="shared" si="248"/>
        <v>68</v>
      </c>
      <c r="CD474" s="27" t="str">
        <f t="array" ref="CD474">_xlfn.TEXTJOIN("",TRUE,IF(ISNUMBER(FIND(MID(CC473&amp;R473,ROW($1:$4),1),CC474&amp;R474)),MID(CC473&amp;R473,ROW($1:$4),1),""))</f>
        <v/>
      </c>
      <c r="CE474" s="27" t="str">
        <f t="array" ref="CE474">_xlfn.TEXTJOIN("",TRUE,IF(ISERROR(FIND(ROW($1:$10)-1,CC474&amp;CD474)),ROW($1:$10)-1,""))</f>
        <v>01234579</v>
      </c>
      <c r="CF474" s="17" t="str">
        <f t="shared" si="249"/>
        <v>邻孤孤</v>
      </c>
      <c r="CG474" s="22" t="str">
        <f t="shared" si="250"/>
        <v>24</v>
      </c>
      <c r="CH474" s="22" t="str">
        <f t="array" ref="CH474">_xlfn.TEXTJOIN("",TRUE,IF(ISNUMBER(FIND(MID(CG473&amp;S473,ROW($1:$4),1),CG474&amp;S474)),MID(CG473&amp;S473,ROW($1:$4),1),""))</f>
        <v>34</v>
      </c>
      <c r="CI474" s="22" t="str">
        <f t="array" ref="CI474">_xlfn.TEXTJOIN("",TRUE,IF(ISERROR(FIND(ROW($1:$10)-1,CG474&amp;CH474)),ROW($1:$10)-1,""))</f>
        <v>0156789</v>
      </c>
      <c r="CJ474" s="28" t="str">
        <f t="shared" si="251"/>
        <v>邻传孤</v>
      </c>
    </row>
    <row r="475" spans="1:88">
      <c r="A475" s="32">
        <v>2025250</v>
      </c>
      <c r="B475" s="8" t="s">
        <v>388</v>
      </c>
      <c r="C475" s="49">
        <f t="shared" si="230"/>
        <v>11</v>
      </c>
      <c r="D475" s="50">
        <f t="shared" si="231"/>
        <v>1</v>
      </c>
      <c r="E475" s="51">
        <f t="shared" si="237"/>
        <v>3.6666666666666701</v>
      </c>
      <c r="F475" s="52">
        <f>MAX(MID(B475,{1,2,3},1)*1)-MIN(MID(B475,{1,2,3},1)*1)</f>
        <v>9</v>
      </c>
      <c r="G475" s="104">
        <v>0</v>
      </c>
      <c r="H475" s="104">
        <v>1</v>
      </c>
      <c r="I475" s="104">
        <v>2</v>
      </c>
      <c r="J475" s="104">
        <v>3</v>
      </c>
      <c r="K475" s="104">
        <v>4</v>
      </c>
      <c r="L475" s="104">
        <v>5</v>
      </c>
      <c r="M475" s="104">
        <v>6</v>
      </c>
      <c r="N475" s="104">
        <v>7</v>
      </c>
      <c r="O475" s="104">
        <v>8</v>
      </c>
      <c r="P475" s="104">
        <v>9</v>
      </c>
      <c r="Q475" s="53">
        <f t="shared" si="232"/>
        <v>9</v>
      </c>
      <c r="R475" s="53">
        <f t="shared" si="233"/>
        <v>7</v>
      </c>
      <c r="S475" s="53">
        <f t="shared" si="234"/>
        <v>2</v>
      </c>
      <c r="T475" s="101">
        <f t="shared" si="238"/>
        <v>18</v>
      </c>
      <c r="U475" s="15" t="str">
        <f>_xlfn.TEXTJOIN(", ",TRUE,ABS(MID(B475,{1,1,2},1)-MID(B475,{2,3,3},1)))</f>
        <v>9, 7, 2</v>
      </c>
      <c r="V475" s="54">
        <v>0</v>
      </c>
      <c r="W475" s="54">
        <v>1</v>
      </c>
      <c r="X475" s="54">
        <v>2</v>
      </c>
      <c r="Y475" s="54">
        <v>3</v>
      </c>
      <c r="Z475" s="54">
        <v>4</v>
      </c>
      <c r="AA475" s="54">
        <v>5</v>
      </c>
      <c r="AB475" s="54">
        <v>6</v>
      </c>
      <c r="AC475" s="54">
        <v>7</v>
      </c>
      <c r="AD475" s="54">
        <v>8</v>
      </c>
      <c r="AE475" s="54">
        <v>9</v>
      </c>
      <c r="AF475" s="55">
        <v>0</v>
      </c>
      <c r="AG475" s="55">
        <v>1</v>
      </c>
      <c r="AH475" s="55">
        <v>2</v>
      </c>
      <c r="AI475" s="55">
        <v>3</v>
      </c>
      <c r="AJ475" s="55">
        <v>4</v>
      </c>
      <c r="AK475" s="55">
        <v>5</v>
      </c>
      <c r="AL475" s="55">
        <v>6</v>
      </c>
      <c r="AM475" s="55">
        <v>7</v>
      </c>
      <c r="AN475" s="55">
        <v>8</v>
      </c>
      <c r="AO475" s="55">
        <v>9</v>
      </c>
      <c r="AP475" s="105">
        <v>0</v>
      </c>
      <c r="AQ475" s="105">
        <v>1</v>
      </c>
      <c r="AR475" s="105">
        <v>2</v>
      </c>
      <c r="AS475" s="105">
        <v>3</v>
      </c>
      <c r="AT475" s="105">
        <v>4</v>
      </c>
      <c r="AU475" s="105">
        <v>5</v>
      </c>
      <c r="AV475" s="105">
        <v>6</v>
      </c>
      <c r="AW475" s="105">
        <v>7</v>
      </c>
      <c r="AX475" s="105">
        <v>8</v>
      </c>
      <c r="AY475" s="105">
        <v>9</v>
      </c>
      <c r="AZ475" s="56">
        <v>0</v>
      </c>
      <c r="BA475" s="56">
        <v>1</v>
      </c>
      <c r="BB475" s="56">
        <v>2</v>
      </c>
      <c r="BC475" s="56">
        <v>3</v>
      </c>
      <c r="BD475" s="56">
        <v>4</v>
      </c>
      <c r="BE475" s="56">
        <v>5</v>
      </c>
      <c r="BF475" s="56">
        <v>6</v>
      </c>
      <c r="BG475" s="56">
        <v>7</v>
      </c>
      <c r="BH475" s="56">
        <v>8</v>
      </c>
      <c r="BI475" s="56">
        <v>9</v>
      </c>
      <c r="BJ475" s="57" t="str">
        <f t="shared" si="239"/>
        <v>松散型</v>
      </c>
      <c r="BK475" s="13">
        <f t="shared" si="235"/>
        <v>2</v>
      </c>
      <c r="BL475" s="13">
        <f t="shared" si="236"/>
        <v>9</v>
      </c>
      <c r="BM475" s="18" t="str">
        <f t="shared" si="241"/>
        <v/>
      </c>
      <c r="BN475" s="19" t="str">
        <f t="shared" si="242"/>
        <v/>
      </c>
      <c r="BO475" s="19" t="str">
        <f t="array" ref="BO475">_xlfn.TEXTJOIN("",TRUE,IF(ISERROR(FIND(ROW($1:$10)-1,BM475&amp;BN475)),ROW($1:$10)-1,""))</f>
        <v>0123456789</v>
      </c>
      <c r="BP475" s="20" t="str">
        <f t="shared" si="243"/>
        <v>中中中</v>
      </c>
      <c r="BQ475" s="21">
        <f t="shared" si="254"/>
        <v>7</v>
      </c>
      <c r="BR475" s="21" t="str">
        <f t="shared" si="252"/>
        <v/>
      </c>
      <c r="BS475" s="21" t="str">
        <f t="array" ref="BS475">_xlfn.TEXTJOIN("",TRUE,IF(ISERROR(FIND(ROW($1:$10)-1,BQ475&amp;BR475)),ROW($1:$10)-1,""))</f>
        <v>012345689</v>
      </c>
      <c r="BT475" s="20" t="str">
        <f t="shared" si="244"/>
        <v>复中中</v>
      </c>
      <c r="BU475" s="22" t="str">
        <f t="shared" si="245"/>
        <v/>
      </c>
      <c r="BV475" s="22" t="str">
        <f t="shared" si="253"/>
        <v/>
      </c>
      <c r="BW475" s="22" t="str">
        <f t="array" ref="BW475">_xlfn.TEXTJOIN("",TRUE,IF(ISERROR(FIND(ROW($1:$10)-1,BU475&amp;BV475)),ROW($1:$10)-1,""))</f>
        <v>0123456789</v>
      </c>
      <c r="BX475" s="20" t="str">
        <f t="shared" si="246"/>
        <v>中中中</v>
      </c>
      <c r="BY475" s="23" t="str">
        <f t="shared" si="240"/>
        <v>80</v>
      </c>
      <c r="BZ475" s="24" t="str">
        <f t="array" ref="BZ475">_xlfn.TEXTJOIN("",TRUE,IF(ISNUMBER(FIND(MID(BY474&amp;Q474,ROW($1:$4),1),BY475&amp;Q475)),MID(BY474&amp;Q474,ROW($1:$4),1),""))</f>
        <v/>
      </c>
      <c r="CA475" s="25" t="str">
        <f t="array" ref="CA475">_xlfn.TEXTJOIN("",TRUE,IF(ISERROR(FIND(ROW($1:$10)-1,BY475&amp;BZ475)),ROW($1:$10)-1,""))</f>
        <v>12345679</v>
      </c>
      <c r="CB475" s="26" t="str">
        <f t="shared" si="247"/>
        <v>邻孤孤</v>
      </c>
      <c r="CC475" s="27" t="str">
        <f t="shared" si="248"/>
        <v>68</v>
      </c>
      <c r="CD475" s="27" t="str">
        <f t="array" ref="CD475">_xlfn.TEXTJOIN("",TRUE,IF(ISNUMBER(FIND(MID(CC474&amp;R474,ROW($1:$4),1),CC475&amp;R475)),MID(CC474&amp;R474,ROW($1:$4),1),""))</f>
        <v>687</v>
      </c>
      <c r="CE475" s="27" t="str">
        <f t="array" ref="CE475">_xlfn.TEXTJOIN("",TRUE,IF(ISERROR(FIND(ROW($1:$10)-1,CC475&amp;CD475)),ROW($1:$10)-1,""))</f>
        <v>0123459</v>
      </c>
      <c r="CF475" s="17" t="str">
        <f t="shared" si="249"/>
        <v>邻传孤</v>
      </c>
      <c r="CG475" s="22" t="str">
        <f t="shared" si="250"/>
        <v>13</v>
      </c>
      <c r="CH475" s="22" t="str">
        <f t="array" ref="CH475">_xlfn.TEXTJOIN("",TRUE,IF(ISNUMBER(FIND(MID(CG474&amp;S474,ROW($1:$4),1),CG475&amp;S475)),MID(CG474&amp;S474,ROW($1:$4),1),""))</f>
        <v>23</v>
      </c>
      <c r="CI475" s="22" t="str">
        <f t="array" ref="CI475">_xlfn.TEXTJOIN("",TRUE,IF(ISERROR(FIND(ROW($1:$10)-1,CG475&amp;CH475)),ROW($1:$10)-1,""))</f>
        <v>0456789</v>
      </c>
      <c r="CJ475" s="28" t="str">
        <f t="shared" si="251"/>
        <v>邻传孤</v>
      </c>
    </row>
    <row r="476" spans="1:88">
      <c r="A476" s="32">
        <v>2025251</v>
      </c>
      <c r="B476" s="8" t="s">
        <v>389</v>
      </c>
      <c r="C476" s="49">
        <f t="shared" si="230"/>
        <v>22</v>
      </c>
      <c r="D476" s="50">
        <f t="shared" si="231"/>
        <v>2</v>
      </c>
      <c r="E476" s="51">
        <f t="shared" si="237"/>
        <v>7.3333333333333304</v>
      </c>
      <c r="F476" s="52">
        <f>MAX(MID(B476,{1,2,3},1)*1)-MIN(MID(B476,{1,2,3},1)*1)</f>
        <v>2</v>
      </c>
      <c r="G476" s="104">
        <v>0</v>
      </c>
      <c r="H476" s="104">
        <v>1</v>
      </c>
      <c r="I476" s="104">
        <v>2</v>
      </c>
      <c r="J476" s="104">
        <v>3</v>
      </c>
      <c r="K476" s="104">
        <v>4</v>
      </c>
      <c r="L476" s="104">
        <v>5</v>
      </c>
      <c r="M476" s="104">
        <v>6</v>
      </c>
      <c r="N476" s="104">
        <v>7</v>
      </c>
      <c r="O476" s="104">
        <v>8</v>
      </c>
      <c r="P476" s="104">
        <v>9</v>
      </c>
      <c r="Q476" s="53">
        <f t="shared" si="232"/>
        <v>2</v>
      </c>
      <c r="R476" s="53">
        <f t="shared" si="233"/>
        <v>0</v>
      </c>
      <c r="S476" s="53">
        <f t="shared" si="234"/>
        <v>2</v>
      </c>
      <c r="T476" s="101">
        <f t="shared" si="238"/>
        <v>4</v>
      </c>
      <c r="U476" s="15" t="str">
        <f>_xlfn.TEXTJOIN(", ",TRUE,ABS(MID(B476,{1,1,2},1)-MID(B476,{2,3,3},1)))</f>
        <v>2, 0, 2</v>
      </c>
      <c r="V476" s="54">
        <v>0</v>
      </c>
      <c r="W476" s="54">
        <v>1</v>
      </c>
      <c r="X476" s="54">
        <v>2</v>
      </c>
      <c r="Y476" s="54">
        <v>3</v>
      </c>
      <c r="Z476" s="54">
        <v>4</v>
      </c>
      <c r="AA476" s="54">
        <v>5</v>
      </c>
      <c r="AB476" s="54">
        <v>6</v>
      </c>
      <c r="AC476" s="54">
        <v>7</v>
      </c>
      <c r="AD476" s="54">
        <v>8</v>
      </c>
      <c r="AE476" s="54">
        <v>9</v>
      </c>
      <c r="AF476" s="55">
        <v>0</v>
      </c>
      <c r="AG476" s="55">
        <v>1</v>
      </c>
      <c r="AH476" s="55">
        <v>2</v>
      </c>
      <c r="AI476" s="55">
        <v>3</v>
      </c>
      <c r="AJ476" s="55">
        <v>4</v>
      </c>
      <c r="AK476" s="55">
        <v>5</v>
      </c>
      <c r="AL476" s="55">
        <v>6</v>
      </c>
      <c r="AM476" s="55">
        <v>7</v>
      </c>
      <c r="AN476" s="55">
        <v>8</v>
      </c>
      <c r="AO476" s="55">
        <v>9</v>
      </c>
      <c r="AP476" s="105">
        <v>0</v>
      </c>
      <c r="AQ476" s="105">
        <v>1</v>
      </c>
      <c r="AR476" s="105">
        <v>2</v>
      </c>
      <c r="AS476" s="105">
        <v>3</v>
      </c>
      <c r="AT476" s="105">
        <v>4</v>
      </c>
      <c r="AU476" s="105">
        <v>5</v>
      </c>
      <c r="AV476" s="105">
        <v>6</v>
      </c>
      <c r="AW476" s="105">
        <v>7</v>
      </c>
      <c r="AX476" s="105">
        <v>8</v>
      </c>
      <c r="AY476" s="105">
        <v>9</v>
      </c>
      <c r="AZ476" s="56">
        <v>0</v>
      </c>
      <c r="BA476" s="56">
        <v>1</v>
      </c>
      <c r="BB476" s="56">
        <v>2</v>
      </c>
      <c r="BC476" s="56">
        <v>3</v>
      </c>
      <c r="BD476" s="56">
        <v>4</v>
      </c>
      <c r="BE476" s="56">
        <v>5</v>
      </c>
      <c r="BF476" s="56">
        <v>6</v>
      </c>
      <c r="BG476" s="56">
        <v>7</v>
      </c>
      <c r="BH476" s="56">
        <v>8</v>
      </c>
      <c r="BI476" s="56">
        <v>9</v>
      </c>
      <c r="BJ476" s="57" t="str">
        <f t="shared" si="239"/>
        <v>紧凑型</v>
      </c>
      <c r="BK476" s="13">
        <f t="shared" si="235"/>
        <v>0</v>
      </c>
      <c r="BL476" s="13">
        <f t="shared" si="236"/>
        <v>2</v>
      </c>
      <c r="BM476" s="18">
        <f t="shared" si="241"/>
        <v>2</v>
      </c>
      <c r="BN476" s="19" t="str">
        <f t="shared" si="242"/>
        <v/>
      </c>
      <c r="BO476" s="19" t="str">
        <f t="array" ref="BO476">_xlfn.TEXTJOIN("",TRUE,IF(ISERROR(FIND(ROW($1:$10)-1,BM476&amp;BN476)),ROW($1:$10)-1,""))</f>
        <v>013456789</v>
      </c>
      <c r="BP476" s="20" t="str">
        <f t="shared" si="243"/>
        <v>复中中</v>
      </c>
      <c r="BQ476" s="21" t="str">
        <f t="shared" si="254"/>
        <v/>
      </c>
      <c r="BR476" s="21" t="str">
        <f t="shared" si="252"/>
        <v/>
      </c>
      <c r="BS476" s="21" t="str">
        <f t="array" ref="BS476">_xlfn.TEXTJOIN("",TRUE,IF(ISERROR(FIND(ROW($1:$10)-1,BQ476&amp;BR476)),ROW($1:$10)-1,""))</f>
        <v>0123456789</v>
      </c>
      <c r="BT476" s="20" t="str">
        <f t="shared" si="244"/>
        <v>中中中</v>
      </c>
      <c r="BU476" s="22">
        <f t="shared" si="245"/>
        <v>2</v>
      </c>
      <c r="BV476" s="22" t="str">
        <f t="shared" si="253"/>
        <v/>
      </c>
      <c r="BW476" s="22" t="str">
        <f t="array" ref="BW476">_xlfn.TEXTJOIN("",TRUE,IF(ISERROR(FIND(ROW($1:$10)-1,BU476&amp;BV476)),ROW($1:$10)-1,""))</f>
        <v>013456789</v>
      </c>
      <c r="BX476" s="20" t="str">
        <f t="shared" si="246"/>
        <v>复中中</v>
      </c>
      <c r="BY476" s="23" t="str">
        <f t="shared" si="240"/>
        <v>13</v>
      </c>
      <c r="BZ476" s="24" t="str">
        <f t="array" ref="BZ476">_xlfn.TEXTJOIN("",TRUE,IF(ISNUMBER(FIND(MID(BY475&amp;Q475,ROW($1:$4),1),BY476&amp;Q476)),MID(BY475&amp;Q475,ROW($1:$4),1),""))</f>
        <v/>
      </c>
      <c r="CA476" s="25" t="str">
        <f t="array" ref="CA476">_xlfn.TEXTJOIN("",TRUE,IF(ISERROR(FIND(ROW($1:$10)-1,BY476&amp;BZ476)),ROW($1:$10)-1,""))</f>
        <v>02456789</v>
      </c>
      <c r="CB476" s="26" t="str">
        <f t="shared" si="247"/>
        <v>邻孤孤</v>
      </c>
      <c r="CC476" s="27" t="str">
        <f t="shared" si="248"/>
        <v>91</v>
      </c>
      <c r="CD476" s="27" t="str">
        <f t="array" ref="CD476">_xlfn.TEXTJOIN("",TRUE,IF(ISNUMBER(FIND(MID(CC475&amp;R475,ROW($1:$4),1),CC476&amp;R476)),MID(CC475&amp;R475,ROW($1:$4),1),""))</f>
        <v/>
      </c>
      <c r="CE476" s="27" t="str">
        <f t="array" ref="CE476">_xlfn.TEXTJOIN("",TRUE,IF(ISERROR(FIND(ROW($1:$10)-1,CC476&amp;CD476)),ROW($1:$10)-1,""))</f>
        <v>02345678</v>
      </c>
      <c r="CF476" s="17" t="str">
        <f t="shared" si="249"/>
        <v>邻孤孤</v>
      </c>
      <c r="CG476" s="22" t="str">
        <f t="shared" si="250"/>
        <v>13</v>
      </c>
      <c r="CH476" s="22" t="str">
        <f t="array" ref="CH476">_xlfn.TEXTJOIN("",TRUE,IF(ISNUMBER(FIND(MID(CG475&amp;S475,ROW($1:$4),1),CG476&amp;S476)),MID(CG475&amp;S475,ROW($1:$4),1),""))</f>
        <v>132</v>
      </c>
      <c r="CI476" s="22" t="str">
        <f t="array" ref="CI476">_xlfn.TEXTJOIN("",TRUE,IF(ISERROR(FIND(ROW($1:$10)-1,CG476&amp;CH476)),ROW($1:$10)-1,""))</f>
        <v>0456789</v>
      </c>
      <c r="CJ476" s="28" t="str">
        <f t="shared" si="251"/>
        <v>邻传孤</v>
      </c>
    </row>
    <row r="477" spans="1:88">
      <c r="A477" s="32">
        <v>2025252</v>
      </c>
      <c r="B477" s="8" t="s">
        <v>390</v>
      </c>
      <c r="C477" s="49">
        <f t="shared" si="230"/>
        <v>18</v>
      </c>
      <c r="D477" s="50">
        <f t="shared" si="231"/>
        <v>8</v>
      </c>
      <c r="E477" s="51">
        <f t="shared" si="237"/>
        <v>6</v>
      </c>
      <c r="F477" s="52">
        <f>MAX(MID(B477,{1,2,3},1)*1)-MIN(MID(B477,{1,2,3},1)*1)</f>
        <v>7</v>
      </c>
      <c r="G477" s="104">
        <v>0</v>
      </c>
      <c r="H477" s="104">
        <v>1</v>
      </c>
      <c r="I477" s="104">
        <v>2</v>
      </c>
      <c r="J477" s="104">
        <v>3</v>
      </c>
      <c r="K477" s="104">
        <v>4</v>
      </c>
      <c r="L477" s="104">
        <v>5</v>
      </c>
      <c r="M477" s="104">
        <v>6</v>
      </c>
      <c r="N477" s="104">
        <v>7</v>
      </c>
      <c r="O477" s="104">
        <v>8</v>
      </c>
      <c r="P477" s="104">
        <v>9</v>
      </c>
      <c r="Q477" s="53">
        <f t="shared" si="232"/>
        <v>2</v>
      </c>
      <c r="R477" s="53">
        <f t="shared" si="233"/>
        <v>5</v>
      </c>
      <c r="S477" s="53">
        <f t="shared" si="234"/>
        <v>7</v>
      </c>
      <c r="T477" s="101">
        <f t="shared" si="238"/>
        <v>14</v>
      </c>
      <c r="U477" s="15" t="str">
        <f>_xlfn.TEXTJOIN(", ",TRUE,ABS(MID(B477,{1,1,2},1)-MID(B477,{2,3,3},1)))</f>
        <v>2, 5, 7</v>
      </c>
      <c r="V477" s="54">
        <v>0</v>
      </c>
      <c r="W477" s="54">
        <v>1</v>
      </c>
      <c r="X477" s="54">
        <v>2</v>
      </c>
      <c r="Y477" s="54">
        <v>3</v>
      </c>
      <c r="Z477" s="54">
        <v>4</v>
      </c>
      <c r="AA477" s="54">
        <v>5</v>
      </c>
      <c r="AB477" s="54">
        <v>6</v>
      </c>
      <c r="AC477" s="54">
        <v>7</v>
      </c>
      <c r="AD477" s="54">
        <v>8</v>
      </c>
      <c r="AE477" s="54">
        <v>9</v>
      </c>
      <c r="AF477" s="55">
        <v>0</v>
      </c>
      <c r="AG477" s="55">
        <v>1</v>
      </c>
      <c r="AH477" s="55">
        <v>2</v>
      </c>
      <c r="AI477" s="55">
        <v>3</v>
      </c>
      <c r="AJ477" s="55">
        <v>4</v>
      </c>
      <c r="AK477" s="55">
        <v>5</v>
      </c>
      <c r="AL477" s="55">
        <v>6</v>
      </c>
      <c r="AM477" s="55">
        <v>7</v>
      </c>
      <c r="AN477" s="55">
        <v>8</v>
      </c>
      <c r="AO477" s="55">
        <v>9</v>
      </c>
      <c r="AP477" s="105">
        <v>0</v>
      </c>
      <c r="AQ477" s="105">
        <v>1</v>
      </c>
      <c r="AR477" s="105">
        <v>2</v>
      </c>
      <c r="AS477" s="105">
        <v>3</v>
      </c>
      <c r="AT477" s="105">
        <v>4</v>
      </c>
      <c r="AU477" s="105">
        <v>5</v>
      </c>
      <c r="AV477" s="105">
        <v>6</v>
      </c>
      <c r="AW477" s="105">
        <v>7</v>
      </c>
      <c r="AX477" s="105">
        <v>8</v>
      </c>
      <c r="AY477" s="105">
        <v>9</v>
      </c>
      <c r="AZ477" s="56">
        <v>0</v>
      </c>
      <c r="BA477" s="56">
        <v>1</v>
      </c>
      <c r="BB477" s="56">
        <v>2</v>
      </c>
      <c r="BC477" s="56">
        <v>3</v>
      </c>
      <c r="BD477" s="56">
        <v>4</v>
      </c>
      <c r="BE477" s="56">
        <v>5</v>
      </c>
      <c r="BF477" s="56">
        <v>6</v>
      </c>
      <c r="BG477" s="56">
        <v>7</v>
      </c>
      <c r="BH477" s="56">
        <v>8</v>
      </c>
      <c r="BI477" s="56">
        <v>9</v>
      </c>
      <c r="BJ477" s="57" t="str">
        <f t="shared" si="239"/>
        <v>松散型</v>
      </c>
      <c r="BK477" s="13">
        <f t="shared" si="235"/>
        <v>2</v>
      </c>
      <c r="BL477" s="13">
        <f t="shared" si="236"/>
        <v>7</v>
      </c>
      <c r="BM477" s="18">
        <f t="shared" si="241"/>
        <v>2</v>
      </c>
      <c r="BN477" s="19">
        <f t="shared" si="242"/>
        <v>2</v>
      </c>
      <c r="BO477" s="19" t="str">
        <f t="array" ref="BO477">_xlfn.TEXTJOIN("",TRUE,IF(ISERROR(FIND(ROW($1:$10)-1,BM477&amp;BN477)),ROW($1:$10)-1,""))</f>
        <v>013456789</v>
      </c>
      <c r="BP477" s="20" t="str">
        <f t="shared" si="243"/>
        <v>复隔中</v>
      </c>
      <c r="BQ477" s="21" t="str">
        <f t="shared" si="254"/>
        <v/>
      </c>
      <c r="BR477" s="21" t="str">
        <f t="shared" si="252"/>
        <v/>
      </c>
      <c r="BS477" s="21" t="str">
        <f t="array" ref="BS477">_xlfn.TEXTJOIN("",TRUE,IF(ISERROR(FIND(ROW($1:$10)-1,BQ477&amp;BR477)),ROW($1:$10)-1,""))</f>
        <v>0123456789</v>
      </c>
      <c r="BT477" s="20" t="str">
        <f t="shared" si="244"/>
        <v>中中中</v>
      </c>
      <c r="BU477" s="22" t="str">
        <f t="shared" si="245"/>
        <v/>
      </c>
      <c r="BV477" s="22">
        <f t="shared" si="253"/>
        <v>7</v>
      </c>
      <c r="BW477" s="22" t="str">
        <f t="array" ref="BW477">_xlfn.TEXTJOIN("",TRUE,IF(ISERROR(FIND(ROW($1:$10)-1,BU477&amp;BV477)),ROW($1:$10)-1,""))</f>
        <v>012345689</v>
      </c>
      <c r="BX477" s="20" t="str">
        <f t="shared" si="246"/>
        <v>中隔中</v>
      </c>
      <c r="BY477" s="23" t="str">
        <f t="shared" si="240"/>
        <v>13</v>
      </c>
      <c r="BZ477" s="24" t="str">
        <f t="array" ref="BZ477">_xlfn.TEXTJOIN("",TRUE,IF(ISNUMBER(FIND(MID(BY476&amp;Q476,ROW($1:$4),1),BY477&amp;Q477)),MID(BY476&amp;Q476,ROW($1:$4),1),""))</f>
        <v>132</v>
      </c>
      <c r="CA477" s="25" t="str">
        <f t="array" ref="CA477">_xlfn.TEXTJOIN("",TRUE,IF(ISERROR(FIND(ROW($1:$10)-1,BY477&amp;BZ477)),ROW($1:$10)-1,""))</f>
        <v>0456789</v>
      </c>
      <c r="CB477" s="26" t="str">
        <f t="shared" si="247"/>
        <v>邻传孤</v>
      </c>
      <c r="CC477" s="27" t="str">
        <f t="shared" si="248"/>
        <v>46</v>
      </c>
      <c r="CD477" s="27" t="str">
        <f t="array" ref="CD477">_xlfn.TEXTJOIN("",TRUE,IF(ISNUMBER(FIND(MID(CC476&amp;R476,ROW($1:$4),1),CC477&amp;R477)),MID(CC476&amp;R476,ROW($1:$4),1),""))</f>
        <v/>
      </c>
      <c r="CE477" s="27" t="str">
        <f t="array" ref="CE477">_xlfn.TEXTJOIN("",TRUE,IF(ISERROR(FIND(ROW($1:$10)-1,CC477&amp;CD477)),ROW($1:$10)-1,""))</f>
        <v>01235789</v>
      </c>
      <c r="CF477" s="17" t="str">
        <f t="shared" si="249"/>
        <v>邻孤孤</v>
      </c>
      <c r="CG477" s="22" t="str">
        <f t="shared" si="250"/>
        <v>68</v>
      </c>
      <c r="CH477" s="22" t="str">
        <f t="array" ref="CH477">_xlfn.TEXTJOIN("",TRUE,IF(ISNUMBER(FIND(MID(CG476&amp;S476,ROW($1:$4),1),CG477&amp;S477)),MID(CG476&amp;S476,ROW($1:$4),1),""))</f>
        <v/>
      </c>
      <c r="CI477" s="22" t="str">
        <f t="array" ref="CI477">_xlfn.TEXTJOIN("",TRUE,IF(ISERROR(FIND(ROW($1:$10)-1,CG477&amp;CH477)),ROW($1:$10)-1,""))</f>
        <v>01234579</v>
      </c>
      <c r="CJ477" s="28" t="str">
        <f t="shared" si="251"/>
        <v>邻孤孤</v>
      </c>
    </row>
    <row r="478" spans="1:88">
      <c r="A478" s="32">
        <v>2025253</v>
      </c>
      <c r="B478" s="8" t="s">
        <v>391</v>
      </c>
      <c r="C478" s="49">
        <f t="shared" si="230"/>
        <v>16</v>
      </c>
      <c r="D478" s="50">
        <f t="shared" si="231"/>
        <v>6</v>
      </c>
      <c r="E478" s="51">
        <f t="shared" si="237"/>
        <v>5.3333333333333304</v>
      </c>
      <c r="F478" s="52">
        <f>MAX(MID(B478,{1,2,3},1)*1)-MIN(MID(B478,{1,2,3},1)*1)</f>
        <v>3</v>
      </c>
      <c r="G478" s="104">
        <v>0</v>
      </c>
      <c r="H478" s="104">
        <v>1</v>
      </c>
      <c r="I478" s="104">
        <v>2</v>
      </c>
      <c r="J478" s="104">
        <v>3</v>
      </c>
      <c r="K478" s="104">
        <v>4</v>
      </c>
      <c r="L478" s="104">
        <v>5</v>
      </c>
      <c r="M478" s="104">
        <v>6</v>
      </c>
      <c r="N478" s="104">
        <v>7</v>
      </c>
      <c r="O478" s="104">
        <v>8</v>
      </c>
      <c r="P478" s="104">
        <v>9</v>
      </c>
      <c r="Q478" s="53">
        <f t="shared" si="232"/>
        <v>1</v>
      </c>
      <c r="R478" s="53">
        <f t="shared" si="233"/>
        <v>3</v>
      </c>
      <c r="S478" s="53">
        <f t="shared" si="234"/>
        <v>2</v>
      </c>
      <c r="T478" s="101">
        <f t="shared" si="238"/>
        <v>6</v>
      </c>
      <c r="U478" s="15" t="str">
        <f>_xlfn.TEXTJOIN(", ",TRUE,ABS(MID(B478,{1,1,2},1)-MID(B478,{2,3,3},1)))</f>
        <v>1, 3, 2</v>
      </c>
      <c r="V478" s="54">
        <v>0</v>
      </c>
      <c r="W478" s="54">
        <v>1</v>
      </c>
      <c r="X478" s="54">
        <v>2</v>
      </c>
      <c r="Y478" s="54">
        <v>3</v>
      </c>
      <c r="Z478" s="54">
        <v>4</v>
      </c>
      <c r="AA478" s="54">
        <v>5</v>
      </c>
      <c r="AB478" s="54">
        <v>6</v>
      </c>
      <c r="AC478" s="54">
        <v>7</v>
      </c>
      <c r="AD478" s="54">
        <v>8</v>
      </c>
      <c r="AE478" s="54">
        <v>9</v>
      </c>
      <c r="AF478" s="55">
        <v>0</v>
      </c>
      <c r="AG478" s="55">
        <v>1</v>
      </c>
      <c r="AH478" s="55">
        <v>2</v>
      </c>
      <c r="AI478" s="55">
        <v>3</v>
      </c>
      <c r="AJ478" s="55">
        <v>4</v>
      </c>
      <c r="AK478" s="55">
        <v>5</v>
      </c>
      <c r="AL478" s="55">
        <v>6</v>
      </c>
      <c r="AM478" s="55">
        <v>7</v>
      </c>
      <c r="AN478" s="55">
        <v>8</v>
      </c>
      <c r="AO478" s="55">
        <v>9</v>
      </c>
      <c r="AP478" s="105">
        <v>0</v>
      </c>
      <c r="AQ478" s="105">
        <v>1</v>
      </c>
      <c r="AR478" s="105">
        <v>2</v>
      </c>
      <c r="AS478" s="105">
        <v>3</v>
      </c>
      <c r="AT478" s="105">
        <v>4</v>
      </c>
      <c r="AU478" s="105">
        <v>5</v>
      </c>
      <c r="AV478" s="105">
        <v>6</v>
      </c>
      <c r="AW478" s="105">
        <v>7</v>
      </c>
      <c r="AX478" s="105">
        <v>8</v>
      </c>
      <c r="AY478" s="105">
        <v>9</v>
      </c>
      <c r="AZ478" s="56">
        <v>0</v>
      </c>
      <c r="BA478" s="56">
        <v>1</v>
      </c>
      <c r="BB478" s="56">
        <v>2</v>
      </c>
      <c r="BC478" s="56">
        <v>3</v>
      </c>
      <c r="BD478" s="56">
        <v>4</v>
      </c>
      <c r="BE478" s="56">
        <v>5</v>
      </c>
      <c r="BF478" s="56">
        <v>6</v>
      </c>
      <c r="BG478" s="56">
        <v>7</v>
      </c>
      <c r="BH478" s="56">
        <v>8</v>
      </c>
      <c r="BI478" s="56">
        <v>9</v>
      </c>
      <c r="BJ478" s="57" t="str">
        <f t="shared" si="239"/>
        <v>紧凑型</v>
      </c>
      <c r="BK478" s="13">
        <f t="shared" si="235"/>
        <v>1</v>
      </c>
      <c r="BL478" s="13">
        <f t="shared" si="236"/>
        <v>3</v>
      </c>
      <c r="BM478" s="18" t="str">
        <f t="shared" si="241"/>
        <v/>
      </c>
      <c r="BN478" s="19" t="str">
        <f t="shared" si="242"/>
        <v/>
      </c>
      <c r="BO478" s="19" t="str">
        <f t="array" ref="BO478">_xlfn.TEXTJOIN("",TRUE,IF(ISERROR(FIND(ROW($1:$10)-1,BM478&amp;BN478)),ROW($1:$10)-1,""))</f>
        <v>0123456789</v>
      </c>
      <c r="BP478" s="20" t="str">
        <f t="shared" si="243"/>
        <v>中中中</v>
      </c>
      <c r="BQ478" s="21" t="str">
        <f t="shared" si="254"/>
        <v/>
      </c>
      <c r="BR478" s="21" t="str">
        <f t="shared" si="252"/>
        <v/>
      </c>
      <c r="BS478" s="21" t="str">
        <f t="array" ref="BS478">_xlfn.TEXTJOIN("",TRUE,IF(ISERROR(FIND(ROW($1:$10)-1,BQ478&amp;BR478)),ROW($1:$10)-1,""))</f>
        <v>0123456789</v>
      </c>
      <c r="BT478" s="20" t="str">
        <f t="shared" si="244"/>
        <v>中中中</v>
      </c>
      <c r="BU478" s="22">
        <f t="shared" si="245"/>
        <v>2</v>
      </c>
      <c r="BV478" s="22">
        <f t="shared" si="253"/>
        <v>2</v>
      </c>
      <c r="BW478" s="22" t="str">
        <f t="array" ref="BW478">_xlfn.TEXTJOIN("",TRUE,IF(ISERROR(FIND(ROW($1:$10)-1,BU478&amp;BV478)),ROW($1:$10)-1,""))</f>
        <v>013456789</v>
      </c>
      <c r="BX478" s="20" t="str">
        <f t="shared" si="246"/>
        <v>复隔中</v>
      </c>
      <c r="BY478" s="23" t="str">
        <f t="shared" si="240"/>
        <v>02</v>
      </c>
      <c r="BZ478" s="24" t="str">
        <f t="array" ref="BZ478">_xlfn.TEXTJOIN("",TRUE,IF(ISNUMBER(FIND(MID(BY477&amp;Q477,ROW($1:$4),1),BY478&amp;Q478)),MID(BY477&amp;Q477,ROW($1:$4),1),""))</f>
        <v>12</v>
      </c>
      <c r="CA478" s="25" t="str">
        <f t="array" ref="CA478">_xlfn.TEXTJOIN("",TRUE,IF(ISERROR(FIND(ROW($1:$10)-1,BY478&amp;BZ478)),ROW($1:$10)-1,""))</f>
        <v>3456789</v>
      </c>
      <c r="CB478" s="26" t="str">
        <f t="shared" si="247"/>
        <v>邻传孤</v>
      </c>
      <c r="CC478" s="27" t="str">
        <f t="shared" si="248"/>
        <v>24</v>
      </c>
      <c r="CD478" s="27" t="str">
        <f t="array" ref="CD478">_xlfn.TEXTJOIN("",TRUE,IF(ISNUMBER(FIND(MID(CC477&amp;R477,ROW($1:$4),1),CC478&amp;R478)),MID(CC477&amp;R477,ROW($1:$4),1),""))</f>
        <v>4</v>
      </c>
      <c r="CE478" s="27" t="str">
        <f t="array" ref="CE478">_xlfn.TEXTJOIN("",TRUE,IF(ISERROR(FIND(ROW($1:$10)-1,CC478&amp;CD478)),ROW($1:$10)-1,""))</f>
        <v>01356789</v>
      </c>
      <c r="CF478" s="17" t="str">
        <f t="shared" si="249"/>
        <v>邻传孤</v>
      </c>
      <c r="CG478" s="22" t="str">
        <f t="shared" si="250"/>
        <v>13</v>
      </c>
      <c r="CH478" s="22" t="str">
        <f t="array" ref="CH478">_xlfn.TEXTJOIN("",TRUE,IF(ISNUMBER(FIND(MID(CG477&amp;S477,ROW($1:$4),1),CG478&amp;S478)),MID(CG477&amp;S477,ROW($1:$4),1),""))</f>
        <v/>
      </c>
      <c r="CI478" s="22" t="str">
        <f t="array" ref="CI478">_xlfn.TEXTJOIN("",TRUE,IF(ISERROR(FIND(ROW($1:$10)-1,CG478&amp;CH478)),ROW($1:$10)-1,""))</f>
        <v>02456789</v>
      </c>
      <c r="CJ478" s="28" t="str">
        <f t="shared" si="251"/>
        <v>邻孤孤</v>
      </c>
    </row>
    <row r="479" spans="1:88">
      <c r="A479" s="32">
        <v>2025254</v>
      </c>
      <c r="B479" s="8" t="s">
        <v>392</v>
      </c>
      <c r="C479" s="49">
        <f t="shared" si="230"/>
        <v>9</v>
      </c>
      <c r="D479" s="50">
        <f t="shared" si="231"/>
        <v>9</v>
      </c>
      <c r="E479" s="51">
        <f t="shared" si="237"/>
        <v>3</v>
      </c>
      <c r="F479" s="52">
        <f>MAX(MID(B479,{1,2,3},1)*1)-MIN(MID(B479,{1,2,3},1)*1)</f>
        <v>7</v>
      </c>
      <c r="G479" s="104">
        <v>0</v>
      </c>
      <c r="H479" s="104">
        <v>1</v>
      </c>
      <c r="I479" s="104">
        <v>2</v>
      </c>
      <c r="J479" s="104">
        <v>3</v>
      </c>
      <c r="K479" s="104">
        <v>4</v>
      </c>
      <c r="L479" s="104">
        <v>5</v>
      </c>
      <c r="M479" s="104">
        <v>6</v>
      </c>
      <c r="N479" s="104">
        <v>7</v>
      </c>
      <c r="O479" s="104">
        <v>8</v>
      </c>
      <c r="P479" s="104">
        <v>9</v>
      </c>
      <c r="Q479" s="53">
        <f t="shared" si="232"/>
        <v>7</v>
      </c>
      <c r="R479" s="53">
        <f t="shared" si="233"/>
        <v>2</v>
      </c>
      <c r="S479" s="53">
        <f t="shared" si="234"/>
        <v>5</v>
      </c>
      <c r="T479" s="101">
        <f t="shared" si="238"/>
        <v>14</v>
      </c>
      <c r="U479" s="15" t="str">
        <f>_xlfn.TEXTJOIN(", ",TRUE,ABS(MID(B479,{1,1,2},1)-MID(B479,{2,3,3},1)))</f>
        <v>7, 2, 5</v>
      </c>
      <c r="V479" s="54">
        <v>0</v>
      </c>
      <c r="W479" s="54">
        <v>1</v>
      </c>
      <c r="X479" s="54">
        <v>2</v>
      </c>
      <c r="Y479" s="54">
        <v>3</v>
      </c>
      <c r="Z479" s="54">
        <v>4</v>
      </c>
      <c r="AA479" s="54">
        <v>5</v>
      </c>
      <c r="AB479" s="54">
        <v>6</v>
      </c>
      <c r="AC479" s="54">
        <v>7</v>
      </c>
      <c r="AD479" s="54">
        <v>8</v>
      </c>
      <c r="AE479" s="54">
        <v>9</v>
      </c>
      <c r="AF479" s="55">
        <v>0</v>
      </c>
      <c r="AG479" s="55">
        <v>1</v>
      </c>
      <c r="AH479" s="55">
        <v>2</v>
      </c>
      <c r="AI479" s="55">
        <v>3</v>
      </c>
      <c r="AJ479" s="55">
        <v>4</v>
      </c>
      <c r="AK479" s="55">
        <v>5</v>
      </c>
      <c r="AL479" s="55">
        <v>6</v>
      </c>
      <c r="AM479" s="55">
        <v>7</v>
      </c>
      <c r="AN479" s="55">
        <v>8</v>
      </c>
      <c r="AO479" s="55">
        <v>9</v>
      </c>
      <c r="AP479" s="105">
        <v>0</v>
      </c>
      <c r="AQ479" s="105">
        <v>1</v>
      </c>
      <c r="AR479" s="105">
        <v>2</v>
      </c>
      <c r="AS479" s="105">
        <v>3</v>
      </c>
      <c r="AT479" s="105">
        <v>4</v>
      </c>
      <c r="AU479" s="105">
        <v>5</v>
      </c>
      <c r="AV479" s="105">
        <v>6</v>
      </c>
      <c r="AW479" s="105">
        <v>7</v>
      </c>
      <c r="AX479" s="105">
        <v>8</v>
      </c>
      <c r="AY479" s="105">
        <v>9</v>
      </c>
      <c r="AZ479" s="56">
        <v>0</v>
      </c>
      <c r="BA479" s="56">
        <v>1</v>
      </c>
      <c r="BB479" s="56">
        <v>2</v>
      </c>
      <c r="BC479" s="56">
        <v>3</v>
      </c>
      <c r="BD479" s="56">
        <v>4</v>
      </c>
      <c r="BE479" s="56">
        <v>5</v>
      </c>
      <c r="BF479" s="56">
        <v>6</v>
      </c>
      <c r="BG479" s="56">
        <v>7</v>
      </c>
      <c r="BH479" s="56">
        <v>8</v>
      </c>
      <c r="BI479" s="56">
        <v>9</v>
      </c>
      <c r="BJ479" s="57" t="str">
        <f t="shared" si="239"/>
        <v>松散型</v>
      </c>
      <c r="BK479" s="13">
        <f t="shared" si="235"/>
        <v>2</v>
      </c>
      <c r="BL479" s="13">
        <f t="shared" si="236"/>
        <v>7</v>
      </c>
      <c r="BM479" s="18" t="str">
        <f t="shared" si="241"/>
        <v/>
      </c>
      <c r="BN479" s="19">
        <f t="shared" si="242"/>
        <v>7</v>
      </c>
      <c r="BO479" s="19" t="str">
        <f t="array" ref="BO479">_xlfn.TEXTJOIN("",TRUE,IF(ISERROR(FIND(ROW($1:$10)-1,BM479&amp;BN479)),ROW($1:$10)-1,""))</f>
        <v>012345689</v>
      </c>
      <c r="BP479" s="20" t="str">
        <f t="shared" si="243"/>
        <v>中隔中</v>
      </c>
      <c r="BQ479" s="21">
        <f t="shared" si="254"/>
        <v>2</v>
      </c>
      <c r="BR479" s="21">
        <f t="shared" si="252"/>
        <v>2</v>
      </c>
      <c r="BS479" s="21" t="str">
        <f t="array" ref="BS479">_xlfn.TEXTJOIN("",TRUE,IF(ISERROR(FIND(ROW($1:$10)-1,BQ479&amp;BR479)),ROW($1:$10)-1,""))</f>
        <v>013456789</v>
      </c>
      <c r="BT479" s="20" t="str">
        <f t="shared" si="244"/>
        <v>复隔中</v>
      </c>
      <c r="BU479" s="22" t="str">
        <f t="shared" si="245"/>
        <v/>
      </c>
      <c r="BV479" s="22">
        <f t="shared" si="253"/>
        <v>5</v>
      </c>
      <c r="BW479" s="22" t="str">
        <f t="array" ref="BW479">_xlfn.TEXTJOIN("",TRUE,IF(ISERROR(FIND(ROW($1:$10)-1,BU479&amp;BV479)),ROW($1:$10)-1,""))</f>
        <v>012346789</v>
      </c>
      <c r="BX479" s="20" t="str">
        <f t="shared" si="246"/>
        <v>中隔中</v>
      </c>
      <c r="BY479" s="23" t="str">
        <f t="shared" si="240"/>
        <v>68</v>
      </c>
      <c r="BZ479" s="24" t="str">
        <f t="array" ref="BZ479">_xlfn.TEXTJOIN("",TRUE,IF(ISNUMBER(FIND(MID(BY478&amp;Q478,ROW($1:$4),1),BY479&amp;Q479)),MID(BY478&amp;Q478,ROW($1:$4),1),""))</f>
        <v/>
      </c>
      <c r="CA479" s="25" t="str">
        <f t="array" ref="CA479">_xlfn.TEXTJOIN("",TRUE,IF(ISERROR(FIND(ROW($1:$10)-1,BY479&amp;BZ479)),ROW($1:$10)-1,""))</f>
        <v>01234579</v>
      </c>
      <c r="CB479" s="26" t="str">
        <f t="shared" si="247"/>
        <v>邻孤孤</v>
      </c>
      <c r="CC479" s="27" t="str">
        <f t="shared" si="248"/>
        <v>13</v>
      </c>
      <c r="CD479" s="27" t="str">
        <f t="array" ref="CD479">_xlfn.TEXTJOIN("",TRUE,IF(ISNUMBER(FIND(MID(CC478&amp;R478,ROW($1:$4),1),CC479&amp;R479)),MID(CC478&amp;R478,ROW($1:$4),1),""))</f>
        <v>23</v>
      </c>
      <c r="CE479" s="27" t="str">
        <f t="array" ref="CE479">_xlfn.TEXTJOIN("",TRUE,IF(ISERROR(FIND(ROW($1:$10)-1,CC479&amp;CD479)),ROW($1:$10)-1,""))</f>
        <v>0456789</v>
      </c>
      <c r="CF479" s="17" t="str">
        <f t="shared" si="249"/>
        <v>邻传孤</v>
      </c>
      <c r="CG479" s="22" t="str">
        <f t="shared" si="250"/>
        <v>46</v>
      </c>
      <c r="CH479" s="22" t="str">
        <f t="array" ref="CH479">_xlfn.TEXTJOIN("",TRUE,IF(ISNUMBER(FIND(MID(CG478&amp;S478,ROW($1:$4),1),CG479&amp;S479)),MID(CG478&amp;S478,ROW($1:$4),1),""))</f>
        <v/>
      </c>
      <c r="CI479" s="22" t="str">
        <f t="array" ref="CI479">_xlfn.TEXTJOIN("",TRUE,IF(ISERROR(FIND(ROW($1:$10)-1,CG479&amp;CH479)),ROW($1:$10)-1,""))</f>
        <v>01235789</v>
      </c>
      <c r="CJ479" s="28" t="str">
        <f t="shared" si="251"/>
        <v>邻孤孤</v>
      </c>
    </row>
    <row r="480" spans="1:88">
      <c r="A480" s="32">
        <v>2025255</v>
      </c>
      <c r="B480" s="8" t="s">
        <v>393</v>
      </c>
      <c r="C480" s="49">
        <f t="shared" si="230"/>
        <v>12</v>
      </c>
      <c r="D480" s="50">
        <f t="shared" si="231"/>
        <v>2</v>
      </c>
      <c r="E480" s="51">
        <f t="shared" si="237"/>
        <v>4</v>
      </c>
      <c r="F480" s="52">
        <f>MAX(MID(B480,{1,2,3},1)*1)-MIN(MID(B480,{1,2,3},1)*1)</f>
        <v>4</v>
      </c>
      <c r="G480" s="104">
        <v>0</v>
      </c>
      <c r="H480" s="104">
        <v>1</v>
      </c>
      <c r="I480" s="104">
        <v>2</v>
      </c>
      <c r="J480" s="104">
        <v>3</v>
      </c>
      <c r="K480" s="104">
        <v>4</v>
      </c>
      <c r="L480" s="104">
        <v>5</v>
      </c>
      <c r="M480" s="104">
        <v>6</v>
      </c>
      <c r="N480" s="104">
        <v>7</v>
      </c>
      <c r="O480" s="104">
        <v>8</v>
      </c>
      <c r="P480" s="104">
        <v>9</v>
      </c>
      <c r="Q480" s="53">
        <f t="shared" si="232"/>
        <v>4</v>
      </c>
      <c r="R480" s="53">
        <f t="shared" si="233"/>
        <v>2</v>
      </c>
      <c r="S480" s="53">
        <f t="shared" si="234"/>
        <v>2</v>
      </c>
      <c r="T480" s="101">
        <f t="shared" si="238"/>
        <v>8</v>
      </c>
      <c r="U480" s="15" t="str">
        <f>_xlfn.TEXTJOIN(", ",TRUE,ABS(MID(B480,{1,1,2},1)-MID(B480,{2,3,3},1)))</f>
        <v>4, 2, 2</v>
      </c>
      <c r="V480" s="54">
        <v>0</v>
      </c>
      <c r="W480" s="54">
        <v>1</v>
      </c>
      <c r="X480" s="54">
        <v>2</v>
      </c>
      <c r="Y480" s="54">
        <v>3</v>
      </c>
      <c r="Z480" s="54">
        <v>4</v>
      </c>
      <c r="AA480" s="54">
        <v>5</v>
      </c>
      <c r="AB480" s="54">
        <v>6</v>
      </c>
      <c r="AC480" s="54">
        <v>7</v>
      </c>
      <c r="AD480" s="54">
        <v>8</v>
      </c>
      <c r="AE480" s="54">
        <v>9</v>
      </c>
      <c r="AF480" s="55">
        <v>0</v>
      </c>
      <c r="AG480" s="55">
        <v>1</v>
      </c>
      <c r="AH480" s="55">
        <v>2</v>
      </c>
      <c r="AI480" s="55">
        <v>3</v>
      </c>
      <c r="AJ480" s="55">
        <v>4</v>
      </c>
      <c r="AK480" s="55">
        <v>5</v>
      </c>
      <c r="AL480" s="55">
        <v>6</v>
      </c>
      <c r="AM480" s="55">
        <v>7</v>
      </c>
      <c r="AN480" s="55">
        <v>8</v>
      </c>
      <c r="AO480" s="55">
        <v>9</v>
      </c>
      <c r="AP480" s="105">
        <v>0</v>
      </c>
      <c r="AQ480" s="105">
        <v>1</v>
      </c>
      <c r="AR480" s="105">
        <v>2</v>
      </c>
      <c r="AS480" s="105">
        <v>3</v>
      </c>
      <c r="AT480" s="105">
        <v>4</v>
      </c>
      <c r="AU480" s="105">
        <v>5</v>
      </c>
      <c r="AV480" s="105">
        <v>6</v>
      </c>
      <c r="AW480" s="105">
        <v>7</v>
      </c>
      <c r="AX480" s="105">
        <v>8</v>
      </c>
      <c r="AY480" s="105">
        <v>9</v>
      </c>
      <c r="AZ480" s="56">
        <v>0</v>
      </c>
      <c r="BA480" s="56">
        <v>1</v>
      </c>
      <c r="BB480" s="56">
        <v>2</v>
      </c>
      <c r="BC480" s="56">
        <v>3</v>
      </c>
      <c r="BD480" s="56">
        <v>4</v>
      </c>
      <c r="BE480" s="56">
        <v>5</v>
      </c>
      <c r="BF480" s="56">
        <v>6</v>
      </c>
      <c r="BG480" s="56">
        <v>7</v>
      </c>
      <c r="BH480" s="56">
        <v>8</v>
      </c>
      <c r="BI480" s="56">
        <v>9</v>
      </c>
      <c r="BJ480" s="57" t="str">
        <f t="shared" si="239"/>
        <v>标准型</v>
      </c>
      <c r="BK480" s="13">
        <f t="shared" si="235"/>
        <v>2</v>
      </c>
      <c r="BL480" s="13">
        <f t="shared" si="236"/>
        <v>4</v>
      </c>
      <c r="BM480" s="18" t="str">
        <f t="shared" si="241"/>
        <v/>
      </c>
      <c r="BN480" s="19" t="str">
        <f t="shared" si="242"/>
        <v/>
      </c>
      <c r="BO480" s="19" t="str">
        <f t="array" ref="BO480">_xlfn.TEXTJOIN("",TRUE,IF(ISERROR(FIND(ROW($1:$10)-1,BM480&amp;BN480)),ROW($1:$10)-1,""))</f>
        <v>0123456789</v>
      </c>
      <c r="BP480" s="20" t="str">
        <f t="shared" si="243"/>
        <v>中中中</v>
      </c>
      <c r="BQ480" s="21">
        <f t="shared" si="254"/>
        <v>2</v>
      </c>
      <c r="BR480" s="21">
        <f t="shared" si="252"/>
        <v>2</v>
      </c>
      <c r="BS480" s="21" t="str">
        <f t="array" ref="BS480">_xlfn.TEXTJOIN("",TRUE,IF(ISERROR(FIND(ROW($1:$10)-1,BQ480&amp;BR480)),ROW($1:$10)-1,""))</f>
        <v>013456789</v>
      </c>
      <c r="BT480" s="20" t="str">
        <f t="shared" si="244"/>
        <v>复隔中</v>
      </c>
      <c r="BU480" s="22">
        <f t="shared" si="245"/>
        <v>2</v>
      </c>
      <c r="BV480" s="22">
        <f t="shared" si="253"/>
        <v>2</v>
      </c>
      <c r="BW480" s="22" t="str">
        <f t="array" ref="BW480">_xlfn.TEXTJOIN("",TRUE,IF(ISERROR(FIND(ROW($1:$10)-1,BU480&amp;BV480)),ROW($1:$10)-1,""))</f>
        <v>013456789</v>
      </c>
      <c r="BX480" s="20" t="str">
        <f t="shared" si="246"/>
        <v>复隔中</v>
      </c>
      <c r="BY480" s="23" t="str">
        <f t="shared" si="240"/>
        <v>35</v>
      </c>
      <c r="BZ480" s="24" t="str">
        <f t="array" ref="BZ480">_xlfn.TEXTJOIN("",TRUE,IF(ISNUMBER(FIND(MID(BY479&amp;Q479,ROW($1:$4),1),BY480&amp;Q480)),MID(BY479&amp;Q479,ROW($1:$4),1),""))</f>
        <v/>
      </c>
      <c r="CA480" s="25" t="str">
        <f t="array" ref="CA480">_xlfn.TEXTJOIN("",TRUE,IF(ISERROR(FIND(ROW($1:$10)-1,BY480&amp;BZ480)),ROW($1:$10)-1,""))</f>
        <v>01246789</v>
      </c>
      <c r="CB480" s="26" t="str">
        <f t="shared" si="247"/>
        <v>邻孤孤</v>
      </c>
      <c r="CC480" s="27" t="str">
        <f t="shared" si="248"/>
        <v>13</v>
      </c>
      <c r="CD480" s="27" t="str">
        <f t="array" ref="CD480">_xlfn.TEXTJOIN("",TRUE,IF(ISNUMBER(FIND(MID(CC479&amp;R479,ROW($1:$4),1),CC480&amp;R480)),MID(CC479&amp;R479,ROW($1:$4),1),""))</f>
        <v>132</v>
      </c>
      <c r="CE480" s="27" t="str">
        <f t="array" ref="CE480">_xlfn.TEXTJOIN("",TRUE,IF(ISERROR(FIND(ROW($1:$10)-1,CC480&amp;CD480)),ROW($1:$10)-1,""))</f>
        <v>0456789</v>
      </c>
      <c r="CF480" s="17" t="str">
        <f t="shared" si="249"/>
        <v>邻传孤</v>
      </c>
      <c r="CG480" s="22" t="str">
        <f t="shared" si="250"/>
        <v>13</v>
      </c>
      <c r="CH480" s="22" t="str">
        <f t="array" ref="CH480">_xlfn.TEXTJOIN("",TRUE,IF(ISNUMBER(FIND(MID(CG479&amp;S479,ROW($1:$4),1),CG480&amp;S480)),MID(CG479&amp;S479,ROW($1:$4),1),""))</f>
        <v/>
      </c>
      <c r="CI480" s="22" t="str">
        <f t="array" ref="CI480">_xlfn.TEXTJOIN("",TRUE,IF(ISERROR(FIND(ROW($1:$10)-1,CG480&amp;CH480)),ROW($1:$10)-1,""))</f>
        <v>02456789</v>
      </c>
      <c r="CJ480" s="28" t="str">
        <f t="shared" si="251"/>
        <v>邻孤孤</v>
      </c>
    </row>
    <row r="481" spans="1:88">
      <c r="A481" s="32">
        <v>2025256</v>
      </c>
      <c r="B481" s="8" t="s">
        <v>338</v>
      </c>
      <c r="C481" s="49">
        <f t="shared" si="230"/>
        <v>10</v>
      </c>
      <c r="D481" s="50">
        <f t="shared" si="231"/>
        <v>0</v>
      </c>
      <c r="E481" s="51">
        <f t="shared" si="237"/>
        <v>3.3333333333333299</v>
      </c>
      <c r="F481" s="52">
        <f>MAX(MID(B481,{1,2,3},1)*1)-MIN(MID(B481,{1,2,3},1)*1)</f>
        <v>6</v>
      </c>
      <c r="G481" s="104">
        <v>0</v>
      </c>
      <c r="H481" s="104">
        <v>1</v>
      </c>
      <c r="I481" s="104">
        <v>2</v>
      </c>
      <c r="J481" s="104">
        <v>3</v>
      </c>
      <c r="K481" s="104">
        <v>4</v>
      </c>
      <c r="L481" s="104">
        <v>5</v>
      </c>
      <c r="M481" s="104">
        <v>6</v>
      </c>
      <c r="N481" s="104">
        <v>7</v>
      </c>
      <c r="O481" s="104">
        <v>8</v>
      </c>
      <c r="P481" s="104">
        <v>9</v>
      </c>
      <c r="Q481" s="53">
        <f t="shared" si="232"/>
        <v>4</v>
      </c>
      <c r="R481" s="53">
        <f t="shared" si="233"/>
        <v>2</v>
      </c>
      <c r="S481" s="53">
        <f t="shared" si="234"/>
        <v>6</v>
      </c>
      <c r="T481" s="101">
        <f t="shared" si="238"/>
        <v>12</v>
      </c>
      <c r="U481" s="15" t="str">
        <f>_xlfn.TEXTJOIN(", ",TRUE,ABS(MID(B481,{1,1,2},1)-MID(B481,{2,3,3},1)))</f>
        <v>4, 2, 6</v>
      </c>
      <c r="V481" s="54">
        <v>0</v>
      </c>
      <c r="W481" s="54">
        <v>1</v>
      </c>
      <c r="X481" s="54">
        <v>2</v>
      </c>
      <c r="Y481" s="54">
        <v>3</v>
      </c>
      <c r="Z481" s="54">
        <v>4</v>
      </c>
      <c r="AA481" s="54">
        <v>5</v>
      </c>
      <c r="AB481" s="54">
        <v>6</v>
      </c>
      <c r="AC481" s="54">
        <v>7</v>
      </c>
      <c r="AD481" s="54">
        <v>8</v>
      </c>
      <c r="AE481" s="54">
        <v>9</v>
      </c>
      <c r="AF481" s="55">
        <v>0</v>
      </c>
      <c r="AG481" s="55">
        <v>1</v>
      </c>
      <c r="AH481" s="55">
        <v>2</v>
      </c>
      <c r="AI481" s="55">
        <v>3</v>
      </c>
      <c r="AJ481" s="55">
        <v>4</v>
      </c>
      <c r="AK481" s="55">
        <v>5</v>
      </c>
      <c r="AL481" s="55">
        <v>6</v>
      </c>
      <c r="AM481" s="55">
        <v>7</v>
      </c>
      <c r="AN481" s="55">
        <v>8</v>
      </c>
      <c r="AO481" s="55">
        <v>9</v>
      </c>
      <c r="AP481" s="105">
        <v>0</v>
      </c>
      <c r="AQ481" s="105">
        <v>1</v>
      </c>
      <c r="AR481" s="105">
        <v>2</v>
      </c>
      <c r="AS481" s="105">
        <v>3</v>
      </c>
      <c r="AT481" s="105">
        <v>4</v>
      </c>
      <c r="AU481" s="105">
        <v>5</v>
      </c>
      <c r="AV481" s="105">
        <v>6</v>
      </c>
      <c r="AW481" s="105">
        <v>7</v>
      </c>
      <c r="AX481" s="105">
        <v>8</v>
      </c>
      <c r="AY481" s="105">
        <v>9</v>
      </c>
      <c r="AZ481" s="56">
        <v>0</v>
      </c>
      <c r="BA481" s="56">
        <v>1</v>
      </c>
      <c r="BB481" s="56">
        <v>2</v>
      </c>
      <c r="BC481" s="56">
        <v>3</v>
      </c>
      <c r="BD481" s="56">
        <v>4</v>
      </c>
      <c r="BE481" s="56">
        <v>5</v>
      </c>
      <c r="BF481" s="56">
        <v>6</v>
      </c>
      <c r="BG481" s="56">
        <v>7</v>
      </c>
      <c r="BH481" s="56">
        <v>8</v>
      </c>
      <c r="BI481" s="56">
        <v>9</v>
      </c>
      <c r="BJ481" s="57" t="str">
        <f t="shared" si="239"/>
        <v>松散型</v>
      </c>
      <c r="BK481" s="13">
        <f t="shared" si="235"/>
        <v>2</v>
      </c>
      <c r="BL481" s="13">
        <f t="shared" si="236"/>
        <v>6</v>
      </c>
      <c r="BM481" s="18">
        <f t="shared" si="241"/>
        <v>4</v>
      </c>
      <c r="BN481" s="19" t="str">
        <f t="shared" si="242"/>
        <v/>
      </c>
      <c r="BO481" s="19" t="str">
        <f t="array" ref="BO481">_xlfn.TEXTJOIN("",TRUE,IF(ISERROR(FIND(ROW($1:$10)-1,BM481&amp;BN481)),ROW($1:$10)-1,""))</f>
        <v>012356789</v>
      </c>
      <c r="BP481" s="20" t="str">
        <f t="shared" si="243"/>
        <v>复中中</v>
      </c>
      <c r="BQ481" s="21">
        <f t="shared" si="254"/>
        <v>2</v>
      </c>
      <c r="BR481" s="21">
        <f t="shared" si="252"/>
        <v>2</v>
      </c>
      <c r="BS481" s="21" t="str">
        <f t="array" ref="BS481">_xlfn.TEXTJOIN("",TRUE,IF(ISERROR(FIND(ROW($1:$10)-1,BQ481&amp;BR481)),ROW($1:$10)-1,""))</f>
        <v>013456789</v>
      </c>
      <c r="BT481" s="20" t="str">
        <f t="shared" si="244"/>
        <v>复隔中</v>
      </c>
      <c r="BU481" s="22" t="str">
        <f t="shared" si="245"/>
        <v/>
      </c>
      <c r="BV481" s="22" t="str">
        <f t="shared" si="253"/>
        <v/>
      </c>
      <c r="BW481" s="22" t="str">
        <f t="array" ref="BW481">_xlfn.TEXTJOIN("",TRUE,IF(ISERROR(FIND(ROW($1:$10)-1,BU481&amp;BV481)),ROW($1:$10)-1,""))</f>
        <v>0123456789</v>
      </c>
      <c r="BX481" s="20" t="str">
        <f t="shared" si="246"/>
        <v>中中中</v>
      </c>
      <c r="BY481" s="23" t="str">
        <f t="shared" si="240"/>
        <v>35</v>
      </c>
      <c r="BZ481" s="24" t="str">
        <f t="array" ref="BZ481">_xlfn.TEXTJOIN("",TRUE,IF(ISNUMBER(FIND(MID(BY480&amp;Q480,ROW($1:$4),1),BY481&amp;Q481)),MID(BY480&amp;Q480,ROW($1:$4),1),""))</f>
        <v>354</v>
      </c>
      <c r="CA481" s="25" t="str">
        <f t="array" ref="CA481">_xlfn.TEXTJOIN("",TRUE,IF(ISERROR(FIND(ROW($1:$10)-1,BY481&amp;BZ481)),ROW($1:$10)-1,""))</f>
        <v>0126789</v>
      </c>
      <c r="CB481" s="26" t="str">
        <f t="shared" si="247"/>
        <v>邻传孤</v>
      </c>
      <c r="CC481" s="27" t="str">
        <f t="shared" si="248"/>
        <v>13</v>
      </c>
      <c r="CD481" s="27" t="str">
        <f t="array" ref="CD481">_xlfn.TEXTJOIN("",TRUE,IF(ISNUMBER(FIND(MID(CC480&amp;R480,ROW($1:$4),1),CC481&amp;R481)),MID(CC480&amp;R480,ROW($1:$4),1),""))</f>
        <v>132</v>
      </c>
      <c r="CE481" s="27" t="str">
        <f t="array" ref="CE481">_xlfn.TEXTJOIN("",TRUE,IF(ISERROR(FIND(ROW($1:$10)-1,CC481&amp;CD481)),ROW($1:$10)-1,""))</f>
        <v>0456789</v>
      </c>
      <c r="CF481" s="17" t="str">
        <f t="shared" si="249"/>
        <v>邻传孤</v>
      </c>
      <c r="CG481" s="22" t="str">
        <f t="shared" si="250"/>
        <v>57</v>
      </c>
      <c r="CH481" s="22" t="str">
        <f t="array" ref="CH481">_xlfn.TEXTJOIN("",TRUE,IF(ISNUMBER(FIND(MID(CG480&amp;S480,ROW($1:$4),1),CG481&amp;S481)),MID(CG480&amp;S480,ROW($1:$4),1),""))</f>
        <v/>
      </c>
      <c r="CI481" s="22" t="str">
        <f t="array" ref="CI481">_xlfn.TEXTJOIN("",TRUE,IF(ISERROR(FIND(ROW($1:$10)-1,CG481&amp;CH481)),ROW($1:$10)-1,""))</f>
        <v>01234689</v>
      </c>
      <c r="CJ481" s="28" t="str">
        <f t="shared" si="251"/>
        <v>邻孤孤</v>
      </c>
    </row>
    <row r="482" spans="1:88">
      <c r="A482" s="32">
        <v>2025257</v>
      </c>
      <c r="B482" s="8" t="s">
        <v>380</v>
      </c>
      <c r="C482" s="49">
        <f t="shared" si="230"/>
        <v>14</v>
      </c>
      <c r="D482" s="50">
        <f t="shared" si="231"/>
        <v>4</v>
      </c>
      <c r="E482" s="51">
        <f t="shared" si="237"/>
        <v>4.6666666666666696</v>
      </c>
      <c r="F482" s="52">
        <f>MAX(MID(B482,{1,2,3},1)*1)-MIN(MID(B482,{1,2,3},1)*1)</f>
        <v>8</v>
      </c>
      <c r="G482" s="104">
        <v>0</v>
      </c>
      <c r="H482" s="104">
        <v>1</v>
      </c>
      <c r="I482" s="104">
        <v>2</v>
      </c>
      <c r="J482" s="104">
        <v>3</v>
      </c>
      <c r="K482" s="104">
        <v>4</v>
      </c>
      <c r="L482" s="104">
        <v>5</v>
      </c>
      <c r="M482" s="104">
        <v>6</v>
      </c>
      <c r="N482" s="104">
        <v>7</v>
      </c>
      <c r="O482" s="104">
        <v>8</v>
      </c>
      <c r="P482" s="104">
        <v>9</v>
      </c>
      <c r="Q482" s="53">
        <f t="shared" si="232"/>
        <v>2</v>
      </c>
      <c r="R482" s="53">
        <f t="shared" si="233"/>
        <v>8</v>
      </c>
      <c r="S482" s="53">
        <f t="shared" si="234"/>
        <v>6</v>
      </c>
      <c r="T482" s="101">
        <f t="shared" si="238"/>
        <v>16</v>
      </c>
      <c r="U482" s="15" t="str">
        <f>_xlfn.TEXTJOIN(", ",TRUE,ABS(MID(B482,{1,1,2},1)-MID(B482,{2,3,3},1)))</f>
        <v>2, 8, 6</v>
      </c>
      <c r="V482" s="54">
        <v>0</v>
      </c>
      <c r="W482" s="54">
        <v>1</v>
      </c>
      <c r="X482" s="54">
        <v>2</v>
      </c>
      <c r="Y482" s="54">
        <v>3</v>
      </c>
      <c r="Z482" s="54">
        <v>4</v>
      </c>
      <c r="AA482" s="54">
        <v>5</v>
      </c>
      <c r="AB482" s="54">
        <v>6</v>
      </c>
      <c r="AC482" s="54">
        <v>7</v>
      </c>
      <c r="AD482" s="54">
        <v>8</v>
      </c>
      <c r="AE482" s="54">
        <v>9</v>
      </c>
      <c r="AF482" s="55">
        <v>0</v>
      </c>
      <c r="AG482" s="55">
        <v>1</v>
      </c>
      <c r="AH482" s="55">
        <v>2</v>
      </c>
      <c r="AI482" s="55">
        <v>3</v>
      </c>
      <c r="AJ482" s="55">
        <v>4</v>
      </c>
      <c r="AK482" s="55">
        <v>5</v>
      </c>
      <c r="AL482" s="55">
        <v>6</v>
      </c>
      <c r="AM482" s="55">
        <v>7</v>
      </c>
      <c r="AN482" s="55">
        <v>8</v>
      </c>
      <c r="AO482" s="55">
        <v>9</v>
      </c>
      <c r="AP482" s="105">
        <v>0</v>
      </c>
      <c r="AQ482" s="105">
        <v>1</v>
      </c>
      <c r="AR482" s="105">
        <v>2</v>
      </c>
      <c r="AS482" s="105">
        <v>3</v>
      </c>
      <c r="AT482" s="105">
        <v>4</v>
      </c>
      <c r="AU482" s="105">
        <v>5</v>
      </c>
      <c r="AV482" s="105">
        <v>6</v>
      </c>
      <c r="AW482" s="105">
        <v>7</v>
      </c>
      <c r="AX482" s="105">
        <v>8</v>
      </c>
      <c r="AY482" s="105">
        <v>9</v>
      </c>
      <c r="AZ482" s="56">
        <v>0</v>
      </c>
      <c r="BA482" s="56">
        <v>1</v>
      </c>
      <c r="BB482" s="56">
        <v>2</v>
      </c>
      <c r="BC482" s="56">
        <v>3</v>
      </c>
      <c r="BD482" s="56">
        <v>4</v>
      </c>
      <c r="BE482" s="56">
        <v>5</v>
      </c>
      <c r="BF482" s="56">
        <v>6</v>
      </c>
      <c r="BG482" s="56">
        <v>7</v>
      </c>
      <c r="BH482" s="56">
        <v>8</v>
      </c>
      <c r="BI482" s="56">
        <v>9</v>
      </c>
      <c r="BJ482" s="57" t="str">
        <f t="shared" si="239"/>
        <v>松散型</v>
      </c>
      <c r="BK482" s="13">
        <f t="shared" si="235"/>
        <v>2</v>
      </c>
      <c r="BL482" s="13">
        <f t="shared" si="236"/>
        <v>8</v>
      </c>
      <c r="BM482" s="18">
        <f t="shared" si="241"/>
        <v>2</v>
      </c>
      <c r="BN482" s="19">
        <f t="shared" si="242"/>
        <v>2</v>
      </c>
      <c r="BO482" s="19" t="str">
        <f t="array" ref="BO482">_xlfn.TEXTJOIN("",TRUE,IF(ISERROR(FIND(ROW($1:$10)-1,BM482&amp;BN482)),ROW($1:$10)-1,""))</f>
        <v>013456789</v>
      </c>
      <c r="BP482" s="20" t="str">
        <f t="shared" si="243"/>
        <v>复隔中</v>
      </c>
      <c r="BQ482" s="21" t="str">
        <f t="shared" si="254"/>
        <v/>
      </c>
      <c r="BR482" s="21" t="str">
        <f t="shared" si="252"/>
        <v/>
      </c>
      <c r="BS482" s="21" t="str">
        <f t="array" ref="BS482">_xlfn.TEXTJOIN("",TRUE,IF(ISERROR(FIND(ROW($1:$10)-1,BQ482&amp;BR482)),ROW($1:$10)-1,""))</f>
        <v>0123456789</v>
      </c>
      <c r="BT482" s="20" t="str">
        <f t="shared" si="244"/>
        <v>中中中</v>
      </c>
      <c r="BU482" s="22">
        <f t="shared" si="245"/>
        <v>6</v>
      </c>
      <c r="BV482" s="22" t="str">
        <f t="shared" si="253"/>
        <v/>
      </c>
      <c r="BW482" s="22" t="str">
        <f t="array" ref="BW482">_xlfn.TEXTJOIN("",TRUE,IF(ISERROR(FIND(ROW($1:$10)-1,BU482&amp;BV482)),ROW($1:$10)-1,""))</f>
        <v>012345789</v>
      </c>
      <c r="BX482" s="20" t="str">
        <f t="shared" si="246"/>
        <v>复中中</v>
      </c>
      <c r="BY482" s="23" t="str">
        <f t="shared" si="240"/>
        <v>13</v>
      </c>
      <c r="BZ482" s="24" t="str">
        <f t="array" ref="BZ482">_xlfn.TEXTJOIN("",TRUE,IF(ISNUMBER(FIND(MID(BY481&amp;Q481,ROW($1:$4),1),BY482&amp;Q482)),MID(BY481&amp;Q481,ROW($1:$4),1),""))</f>
        <v>3</v>
      </c>
      <c r="CA482" s="25" t="str">
        <f t="array" ref="CA482">_xlfn.TEXTJOIN("",TRUE,IF(ISERROR(FIND(ROW($1:$10)-1,BY482&amp;BZ482)),ROW($1:$10)-1,""))</f>
        <v>02456789</v>
      </c>
      <c r="CB482" s="26" t="str">
        <f t="shared" si="247"/>
        <v>邻传孤</v>
      </c>
      <c r="CC482" s="27" t="str">
        <f t="shared" si="248"/>
        <v>79</v>
      </c>
      <c r="CD482" s="27" t="str">
        <f t="array" ref="CD482">_xlfn.TEXTJOIN("",TRUE,IF(ISNUMBER(FIND(MID(CC481&amp;R481,ROW($1:$4),1),CC482&amp;R482)),MID(CC481&amp;R481,ROW($1:$4),1),""))</f>
        <v/>
      </c>
      <c r="CE482" s="27" t="str">
        <f t="array" ref="CE482">_xlfn.TEXTJOIN("",TRUE,IF(ISERROR(FIND(ROW($1:$10)-1,CC482&amp;CD482)),ROW($1:$10)-1,""))</f>
        <v>01234568</v>
      </c>
      <c r="CF482" s="17" t="str">
        <f t="shared" si="249"/>
        <v>邻孤孤</v>
      </c>
      <c r="CG482" s="22" t="str">
        <f t="shared" si="250"/>
        <v>57</v>
      </c>
      <c r="CH482" s="22" t="str">
        <f t="array" ref="CH482">_xlfn.TEXTJOIN("",TRUE,IF(ISNUMBER(FIND(MID(CG481&amp;S481,ROW($1:$4),1),CG482&amp;S482)),MID(CG481&amp;S481,ROW($1:$4),1),""))</f>
        <v>576</v>
      </c>
      <c r="CI482" s="22" t="str">
        <f t="array" ref="CI482">_xlfn.TEXTJOIN("",TRUE,IF(ISERROR(FIND(ROW($1:$10)-1,CG482&amp;CH482)),ROW($1:$10)-1,""))</f>
        <v>0123489</v>
      </c>
      <c r="CJ482" s="28" t="str">
        <f t="shared" si="251"/>
        <v>邻传孤</v>
      </c>
    </row>
    <row r="483" spans="1:88">
      <c r="A483" s="32">
        <v>2025258</v>
      </c>
      <c r="B483" s="8" t="s">
        <v>394</v>
      </c>
      <c r="C483" s="49">
        <f t="shared" si="230"/>
        <v>14</v>
      </c>
      <c r="D483" s="50">
        <f t="shared" si="231"/>
        <v>4</v>
      </c>
      <c r="E483" s="51">
        <f t="shared" si="237"/>
        <v>4.6666666666666696</v>
      </c>
      <c r="F483" s="52">
        <f>MAX(MID(B483,{1,2,3},1)*1)-MIN(MID(B483,{1,2,3},1)*1)</f>
        <v>4</v>
      </c>
      <c r="G483" s="104">
        <v>0</v>
      </c>
      <c r="H483" s="104">
        <v>1</v>
      </c>
      <c r="I483" s="104">
        <v>2</v>
      </c>
      <c r="J483" s="104">
        <v>3</v>
      </c>
      <c r="K483" s="104">
        <v>4</v>
      </c>
      <c r="L483" s="104">
        <v>5</v>
      </c>
      <c r="M483" s="104">
        <v>6</v>
      </c>
      <c r="N483" s="104">
        <v>7</v>
      </c>
      <c r="O483" s="104">
        <v>8</v>
      </c>
      <c r="P483" s="104">
        <v>9</v>
      </c>
      <c r="Q483" s="53">
        <f t="shared" si="232"/>
        <v>4</v>
      </c>
      <c r="R483" s="53">
        <f t="shared" si="233"/>
        <v>0</v>
      </c>
      <c r="S483" s="53">
        <f t="shared" si="234"/>
        <v>4</v>
      </c>
      <c r="T483" s="101">
        <f t="shared" si="238"/>
        <v>8</v>
      </c>
      <c r="U483" s="15" t="str">
        <f>_xlfn.TEXTJOIN(", ",TRUE,ABS(MID(B483,{1,1,2},1)-MID(B483,{2,3,3},1)))</f>
        <v>4, 0, 4</v>
      </c>
      <c r="V483" s="54">
        <v>0</v>
      </c>
      <c r="W483" s="54">
        <v>1</v>
      </c>
      <c r="X483" s="54">
        <v>2</v>
      </c>
      <c r="Y483" s="54">
        <v>3</v>
      </c>
      <c r="Z483" s="54">
        <v>4</v>
      </c>
      <c r="AA483" s="54">
        <v>5</v>
      </c>
      <c r="AB483" s="54">
        <v>6</v>
      </c>
      <c r="AC483" s="54">
        <v>7</v>
      </c>
      <c r="AD483" s="54">
        <v>8</v>
      </c>
      <c r="AE483" s="54">
        <v>9</v>
      </c>
      <c r="AF483" s="55">
        <v>0</v>
      </c>
      <c r="AG483" s="55">
        <v>1</v>
      </c>
      <c r="AH483" s="55">
        <v>2</v>
      </c>
      <c r="AI483" s="55">
        <v>3</v>
      </c>
      <c r="AJ483" s="55">
        <v>4</v>
      </c>
      <c r="AK483" s="55">
        <v>5</v>
      </c>
      <c r="AL483" s="55">
        <v>6</v>
      </c>
      <c r="AM483" s="55">
        <v>7</v>
      </c>
      <c r="AN483" s="55">
        <v>8</v>
      </c>
      <c r="AO483" s="55">
        <v>9</v>
      </c>
      <c r="AP483" s="105">
        <v>0</v>
      </c>
      <c r="AQ483" s="105">
        <v>1</v>
      </c>
      <c r="AR483" s="105">
        <v>2</v>
      </c>
      <c r="AS483" s="105">
        <v>3</v>
      </c>
      <c r="AT483" s="105">
        <v>4</v>
      </c>
      <c r="AU483" s="105">
        <v>5</v>
      </c>
      <c r="AV483" s="105">
        <v>6</v>
      </c>
      <c r="AW483" s="105">
        <v>7</v>
      </c>
      <c r="AX483" s="105">
        <v>8</v>
      </c>
      <c r="AY483" s="105">
        <v>9</v>
      </c>
      <c r="AZ483" s="56">
        <v>0</v>
      </c>
      <c r="BA483" s="56">
        <v>1</v>
      </c>
      <c r="BB483" s="56">
        <v>2</v>
      </c>
      <c r="BC483" s="56">
        <v>3</v>
      </c>
      <c r="BD483" s="56">
        <v>4</v>
      </c>
      <c r="BE483" s="56">
        <v>5</v>
      </c>
      <c r="BF483" s="56">
        <v>6</v>
      </c>
      <c r="BG483" s="56">
        <v>7</v>
      </c>
      <c r="BH483" s="56">
        <v>8</v>
      </c>
      <c r="BI483" s="56">
        <v>9</v>
      </c>
      <c r="BJ483" s="57" t="str">
        <f t="shared" si="239"/>
        <v>紧凑型</v>
      </c>
      <c r="BK483" s="13">
        <f t="shared" si="235"/>
        <v>0</v>
      </c>
      <c r="BL483" s="13">
        <f t="shared" si="236"/>
        <v>4</v>
      </c>
      <c r="BM483" s="18" t="str">
        <f t="shared" si="241"/>
        <v/>
      </c>
      <c r="BN483" s="19">
        <f t="shared" si="242"/>
        <v>4</v>
      </c>
      <c r="BO483" s="19" t="str">
        <f t="array" ref="BO483">_xlfn.TEXTJOIN("",TRUE,IF(ISERROR(FIND(ROW($1:$10)-1,BM483&amp;BN483)),ROW($1:$10)-1,""))</f>
        <v>012356789</v>
      </c>
      <c r="BP483" s="20" t="str">
        <f t="shared" si="243"/>
        <v>中隔中</v>
      </c>
      <c r="BQ483" s="21" t="str">
        <f t="shared" si="254"/>
        <v/>
      </c>
      <c r="BR483" s="21" t="str">
        <f t="shared" si="252"/>
        <v/>
      </c>
      <c r="BS483" s="21" t="str">
        <f t="array" ref="BS483">_xlfn.TEXTJOIN("",TRUE,IF(ISERROR(FIND(ROW($1:$10)-1,BQ483&amp;BR483)),ROW($1:$10)-1,""))</f>
        <v>0123456789</v>
      </c>
      <c r="BT483" s="20" t="str">
        <f t="shared" si="244"/>
        <v>中中中</v>
      </c>
      <c r="BU483" s="22" t="str">
        <f t="shared" si="245"/>
        <v/>
      </c>
      <c r="BV483" s="22">
        <f t="shared" si="253"/>
        <v>4</v>
      </c>
      <c r="BW483" s="22" t="str">
        <f t="array" ref="BW483">_xlfn.TEXTJOIN("",TRUE,IF(ISERROR(FIND(ROW($1:$10)-1,BU483&amp;BV483)),ROW($1:$10)-1,""))</f>
        <v>012356789</v>
      </c>
      <c r="BX483" s="20" t="str">
        <f t="shared" si="246"/>
        <v>中隔中</v>
      </c>
      <c r="BY483" s="23" t="str">
        <f t="shared" si="240"/>
        <v>35</v>
      </c>
      <c r="BZ483" s="24" t="str">
        <f t="array" ref="BZ483">_xlfn.TEXTJOIN("",TRUE,IF(ISNUMBER(FIND(MID(BY482&amp;Q482,ROW($1:$4),1),BY483&amp;Q483)),MID(BY482&amp;Q482,ROW($1:$4),1),""))</f>
        <v>3</v>
      </c>
      <c r="CA483" s="25" t="str">
        <f t="array" ref="CA483">_xlfn.TEXTJOIN("",TRUE,IF(ISERROR(FIND(ROW($1:$10)-1,BY483&amp;BZ483)),ROW($1:$10)-1,""))</f>
        <v>01246789</v>
      </c>
      <c r="CB483" s="26" t="str">
        <f t="shared" si="247"/>
        <v>邻传孤</v>
      </c>
      <c r="CC483" s="27" t="str">
        <f t="shared" si="248"/>
        <v>91</v>
      </c>
      <c r="CD483" s="27" t="str">
        <f t="array" ref="CD483">_xlfn.TEXTJOIN("",TRUE,IF(ISNUMBER(FIND(MID(CC482&amp;R482,ROW($1:$4),1),CC483&amp;R483)),MID(CC482&amp;R482,ROW($1:$4),1),""))</f>
        <v>9</v>
      </c>
      <c r="CE483" s="27" t="str">
        <f t="array" ref="CE483">_xlfn.TEXTJOIN("",TRUE,IF(ISERROR(FIND(ROW($1:$10)-1,CC483&amp;CD483)),ROW($1:$10)-1,""))</f>
        <v>02345678</v>
      </c>
      <c r="CF483" s="17" t="str">
        <f t="shared" si="249"/>
        <v>邻传孤</v>
      </c>
      <c r="CG483" s="22" t="str">
        <f t="shared" si="250"/>
        <v>35</v>
      </c>
      <c r="CH483" s="22" t="str">
        <f t="array" ref="CH483">_xlfn.TEXTJOIN("",TRUE,IF(ISNUMBER(FIND(MID(CG482&amp;S482,ROW($1:$4),1),CG483&amp;S483)),MID(CG482&amp;S482,ROW($1:$4),1),""))</f>
        <v>5</v>
      </c>
      <c r="CI483" s="22" t="str">
        <f t="array" ref="CI483">_xlfn.TEXTJOIN("",TRUE,IF(ISERROR(FIND(ROW($1:$10)-1,CG483&amp;CH483)),ROW($1:$10)-1,""))</f>
        <v>01246789</v>
      </c>
      <c r="CJ483" s="28" t="str">
        <f t="shared" si="251"/>
        <v>邻传孤</v>
      </c>
    </row>
    <row r="484" spans="1:88">
      <c r="A484" s="32">
        <v>2025259</v>
      </c>
      <c r="B484" s="8" t="s">
        <v>271</v>
      </c>
      <c r="C484" s="49">
        <f t="shared" si="230"/>
        <v>13</v>
      </c>
      <c r="D484" s="50">
        <f t="shared" si="231"/>
        <v>3</v>
      </c>
      <c r="E484" s="51">
        <f t="shared" si="237"/>
        <v>4.3333333333333304</v>
      </c>
      <c r="F484" s="52">
        <f>MAX(MID(B484,{1,2,3},1)*1)-MIN(MID(B484,{1,2,3},1)*1)</f>
        <v>4</v>
      </c>
      <c r="G484" s="104">
        <v>0</v>
      </c>
      <c r="H484" s="104">
        <v>1</v>
      </c>
      <c r="I484" s="104">
        <v>2</v>
      </c>
      <c r="J484" s="104">
        <v>3</v>
      </c>
      <c r="K484" s="104">
        <v>4</v>
      </c>
      <c r="L484" s="104">
        <v>5</v>
      </c>
      <c r="M484" s="104">
        <v>6</v>
      </c>
      <c r="N484" s="104">
        <v>7</v>
      </c>
      <c r="O484" s="104">
        <v>8</v>
      </c>
      <c r="P484" s="104">
        <v>9</v>
      </c>
      <c r="Q484" s="53">
        <f t="shared" si="232"/>
        <v>4</v>
      </c>
      <c r="R484" s="53">
        <f t="shared" si="233"/>
        <v>1</v>
      </c>
      <c r="S484" s="53">
        <f t="shared" si="234"/>
        <v>3</v>
      </c>
      <c r="T484" s="101">
        <f t="shared" si="238"/>
        <v>8</v>
      </c>
      <c r="U484" s="15" t="str">
        <f>_xlfn.TEXTJOIN(", ",TRUE,ABS(MID(B484,{1,1,2},1)-MID(B484,{2,3,3},1)))</f>
        <v>4, 1, 3</v>
      </c>
      <c r="V484" s="54">
        <v>0</v>
      </c>
      <c r="W484" s="54">
        <v>1</v>
      </c>
      <c r="X484" s="54">
        <v>2</v>
      </c>
      <c r="Y484" s="54">
        <v>3</v>
      </c>
      <c r="Z484" s="54">
        <v>4</v>
      </c>
      <c r="AA484" s="54">
        <v>5</v>
      </c>
      <c r="AB484" s="54">
        <v>6</v>
      </c>
      <c r="AC484" s="54">
        <v>7</v>
      </c>
      <c r="AD484" s="54">
        <v>8</v>
      </c>
      <c r="AE484" s="54">
        <v>9</v>
      </c>
      <c r="AF484" s="55">
        <v>0</v>
      </c>
      <c r="AG484" s="55">
        <v>1</v>
      </c>
      <c r="AH484" s="55">
        <v>2</v>
      </c>
      <c r="AI484" s="55">
        <v>3</v>
      </c>
      <c r="AJ484" s="55">
        <v>4</v>
      </c>
      <c r="AK484" s="55">
        <v>5</v>
      </c>
      <c r="AL484" s="55">
        <v>6</v>
      </c>
      <c r="AM484" s="55">
        <v>7</v>
      </c>
      <c r="AN484" s="55">
        <v>8</v>
      </c>
      <c r="AO484" s="55">
        <v>9</v>
      </c>
      <c r="AP484" s="105">
        <v>0</v>
      </c>
      <c r="AQ484" s="105">
        <v>1</v>
      </c>
      <c r="AR484" s="105">
        <v>2</v>
      </c>
      <c r="AS484" s="105">
        <v>3</v>
      </c>
      <c r="AT484" s="105">
        <v>4</v>
      </c>
      <c r="AU484" s="105">
        <v>5</v>
      </c>
      <c r="AV484" s="105">
        <v>6</v>
      </c>
      <c r="AW484" s="105">
        <v>7</v>
      </c>
      <c r="AX484" s="105">
        <v>8</v>
      </c>
      <c r="AY484" s="105">
        <v>9</v>
      </c>
      <c r="AZ484" s="56">
        <v>0</v>
      </c>
      <c r="BA484" s="56">
        <v>1</v>
      </c>
      <c r="BB484" s="56">
        <v>2</v>
      </c>
      <c r="BC484" s="56">
        <v>3</v>
      </c>
      <c r="BD484" s="56">
        <v>4</v>
      </c>
      <c r="BE484" s="56">
        <v>5</v>
      </c>
      <c r="BF484" s="56">
        <v>6</v>
      </c>
      <c r="BG484" s="56">
        <v>7</v>
      </c>
      <c r="BH484" s="56">
        <v>8</v>
      </c>
      <c r="BI484" s="56">
        <v>9</v>
      </c>
      <c r="BJ484" s="57" t="str">
        <f t="shared" si="239"/>
        <v>紧凑型</v>
      </c>
      <c r="BK484" s="13">
        <f t="shared" si="235"/>
        <v>1</v>
      </c>
      <c r="BL484" s="13">
        <f t="shared" si="236"/>
        <v>4</v>
      </c>
      <c r="BM484" s="18">
        <f t="shared" si="241"/>
        <v>4</v>
      </c>
      <c r="BN484" s="19" t="str">
        <f t="shared" si="242"/>
        <v/>
      </c>
      <c r="BO484" s="19" t="str">
        <f t="array" ref="BO484">_xlfn.TEXTJOIN("",TRUE,IF(ISERROR(FIND(ROW($1:$10)-1,BM484&amp;BN484)),ROW($1:$10)-1,""))</f>
        <v>012356789</v>
      </c>
      <c r="BP484" s="20" t="str">
        <f t="shared" si="243"/>
        <v>复中中</v>
      </c>
      <c r="BQ484" s="21" t="str">
        <f t="shared" si="254"/>
        <v/>
      </c>
      <c r="BR484" s="21" t="str">
        <f t="shared" si="252"/>
        <v/>
      </c>
      <c r="BS484" s="21" t="str">
        <f t="array" ref="BS484">_xlfn.TEXTJOIN("",TRUE,IF(ISERROR(FIND(ROW($1:$10)-1,BQ484&amp;BR484)),ROW($1:$10)-1,""))</f>
        <v>0123456789</v>
      </c>
      <c r="BT484" s="20" t="str">
        <f t="shared" si="244"/>
        <v>中中中</v>
      </c>
      <c r="BU484" s="22" t="str">
        <f t="shared" si="245"/>
        <v/>
      </c>
      <c r="BV484" s="22" t="str">
        <f t="shared" si="253"/>
        <v/>
      </c>
      <c r="BW484" s="22" t="str">
        <f t="array" ref="BW484">_xlfn.TEXTJOIN("",TRUE,IF(ISERROR(FIND(ROW($1:$10)-1,BU484&amp;BV484)),ROW($1:$10)-1,""))</f>
        <v>0123456789</v>
      </c>
      <c r="BX484" s="20" t="str">
        <f t="shared" si="246"/>
        <v>中中中</v>
      </c>
      <c r="BY484" s="23" t="str">
        <f t="shared" si="240"/>
        <v>35</v>
      </c>
      <c r="BZ484" s="24" t="str">
        <f t="array" ref="BZ484">_xlfn.TEXTJOIN("",TRUE,IF(ISNUMBER(FIND(MID(BY483&amp;Q483,ROW($1:$4),1),BY484&amp;Q484)),MID(BY483&amp;Q483,ROW($1:$4),1),""))</f>
        <v>354</v>
      </c>
      <c r="CA484" s="25" t="str">
        <f t="array" ref="CA484">_xlfn.TEXTJOIN("",TRUE,IF(ISERROR(FIND(ROW($1:$10)-1,BY484&amp;BZ484)),ROW($1:$10)-1,""))</f>
        <v>0126789</v>
      </c>
      <c r="CB484" s="26" t="str">
        <f t="shared" si="247"/>
        <v>邻传孤</v>
      </c>
      <c r="CC484" s="27" t="str">
        <f t="shared" si="248"/>
        <v>02</v>
      </c>
      <c r="CD484" s="27" t="str">
        <f t="array" ref="CD484">_xlfn.TEXTJOIN("",TRUE,IF(ISNUMBER(FIND(MID(CC483&amp;R483,ROW($1:$4),1),CC484&amp;R484)),MID(CC483&amp;R483,ROW($1:$4),1),""))</f>
        <v>10</v>
      </c>
      <c r="CE484" s="27" t="str">
        <f t="array" ref="CE484">_xlfn.TEXTJOIN("",TRUE,IF(ISERROR(FIND(ROW($1:$10)-1,CC484&amp;CD484)),ROW($1:$10)-1,""))</f>
        <v>3456789</v>
      </c>
      <c r="CF484" s="17" t="str">
        <f t="shared" si="249"/>
        <v>邻传孤</v>
      </c>
      <c r="CG484" s="22" t="str">
        <f t="shared" si="250"/>
        <v>24</v>
      </c>
      <c r="CH484" s="22" t="str">
        <f t="array" ref="CH484">_xlfn.TEXTJOIN("",TRUE,IF(ISNUMBER(FIND(MID(CG483&amp;S483,ROW($1:$4),1),CG484&amp;S484)),MID(CG483&amp;S483,ROW($1:$4),1),""))</f>
        <v>34</v>
      </c>
      <c r="CI484" s="22" t="str">
        <f t="array" ref="CI484">_xlfn.TEXTJOIN("",TRUE,IF(ISERROR(FIND(ROW($1:$10)-1,CG484&amp;CH484)),ROW($1:$10)-1,""))</f>
        <v>0156789</v>
      </c>
      <c r="CJ484" s="28" t="str">
        <f t="shared" si="251"/>
        <v>邻传孤</v>
      </c>
    </row>
    <row r="485" spans="1:88">
      <c r="A485" s="32">
        <v>2025260</v>
      </c>
      <c r="B485" s="8" t="s">
        <v>140</v>
      </c>
      <c r="C485" s="49">
        <f t="shared" si="230"/>
        <v>19</v>
      </c>
      <c r="D485" s="50">
        <f t="shared" si="231"/>
        <v>9</v>
      </c>
      <c r="E485" s="51">
        <f t="shared" si="237"/>
        <v>6.3333333333333304</v>
      </c>
      <c r="F485" s="52">
        <f>MAX(MID(B485,{1,2,3},1)*1)-MIN(MID(B485,{1,2,3},1)*1)</f>
        <v>8</v>
      </c>
      <c r="G485" s="104">
        <v>0</v>
      </c>
      <c r="H485" s="104">
        <v>1</v>
      </c>
      <c r="I485" s="104">
        <v>2</v>
      </c>
      <c r="J485" s="104">
        <v>3</v>
      </c>
      <c r="K485" s="104">
        <v>4</v>
      </c>
      <c r="L485" s="104">
        <v>5</v>
      </c>
      <c r="M485" s="104">
        <v>6</v>
      </c>
      <c r="N485" s="104">
        <v>7</v>
      </c>
      <c r="O485" s="104">
        <v>8</v>
      </c>
      <c r="P485" s="104">
        <v>9</v>
      </c>
      <c r="Q485" s="53">
        <f t="shared" si="232"/>
        <v>8</v>
      </c>
      <c r="R485" s="53">
        <f t="shared" si="233"/>
        <v>8</v>
      </c>
      <c r="S485" s="53">
        <f t="shared" si="234"/>
        <v>0</v>
      </c>
      <c r="T485" s="101">
        <f t="shared" si="238"/>
        <v>16</v>
      </c>
      <c r="U485" s="15" t="str">
        <f>_xlfn.TEXTJOIN(", ",TRUE,ABS(MID(B485,{1,1,2},1)-MID(B485,{2,3,3},1)))</f>
        <v>8, 8, 0</v>
      </c>
      <c r="V485" s="54">
        <v>0</v>
      </c>
      <c r="W485" s="54">
        <v>1</v>
      </c>
      <c r="X485" s="54">
        <v>2</v>
      </c>
      <c r="Y485" s="54">
        <v>3</v>
      </c>
      <c r="Z485" s="54">
        <v>4</v>
      </c>
      <c r="AA485" s="54">
        <v>5</v>
      </c>
      <c r="AB485" s="54">
        <v>6</v>
      </c>
      <c r="AC485" s="54">
        <v>7</v>
      </c>
      <c r="AD485" s="54">
        <v>8</v>
      </c>
      <c r="AE485" s="54">
        <v>9</v>
      </c>
      <c r="AF485" s="55">
        <v>0</v>
      </c>
      <c r="AG485" s="55">
        <v>1</v>
      </c>
      <c r="AH485" s="55">
        <v>2</v>
      </c>
      <c r="AI485" s="55">
        <v>3</v>
      </c>
      <c r="AJ485" s="55">
        <v>4</v>
      </c>
      <c r="AK485" s="55">
        <v>5</v>
      </c>
      <c r="AL485" s="55">
        <v>6</v>
      </c>
      <c r="AM485" s="55">
        <v>7</v>
      </c>
      <c r="AN485" s="55">
        <v>8</v>
      </c>
      <c r="AO485" s="55">
        <v>9</v>
      </c>
      <c r="AP485" s="105">
        <v>0</v>
      </c>
      <c r="AQ485" s="105">
        <v>1</v>
      </c>
      <c r="AR485" s="105">
        <v>2</v>
      </c>
      <c r="AS485" s="105">
        <v>3</v>
      </c>
      <c r="AT485" s="105">
        <v>4</v>
      </c>
      <c r="AU485" s="105">
        <v>5</v>
      </c>
      <c r="AV485" s="105">
        <v>6</v>
      </c>
      <c r="AW485" s="105">
        <v>7</v>
      </c>
      <c r="AX485" s="105">
        <v>8</v>
      </c>
      <c r="AY485" s="105">
        <v>9</v>
      </c>
      <c r="AZ485" s="56">
        <v>0</v>
      </c>
      <c r="BA485" s="56">
        <v>1</v>
      </c>
      <c r="BB485" s="56">
        <v>2</v>
      </c>
      <c r="BC485" s="56">
        <v>3</v>
      </c>
      <c r="BD485" s="56">
        <v>4</v>
      </c>
      <c r="BE485" s="56">
        <v>5</v>
      </c>
      <c r="BF485" s="56">
        <v>6</v>
      </c>
      <c r="BG485" s="56">
        <v>7</v>
      </c>
      <c r="BH485" s="56">
        <v>8</v>
      </c>
      <c r="BI485" s="56">
        <v>9</v>
      </c>
      <c r="BJ485" s="57" t="str">
        <f t="shared" si="239"/>
        <v>松散型</v>
      </c>
      <c r="BK485" s="13">
        <f t="shared" si="235"/>
        <v>0</v>
      </c>
      <c r="BL485" s="13">
        <f t="shared" si="236"/>
        <v>8</v>
      </c>
      <c r="BM485" s="18" t="str">
        <f t="shared" si="241"/>
        <v/>
      </c>
      <c r="BN485" s="19" t="str">
        <f t="shared" si="242"/>
        <v/>
      </c>
      <c r="BO485" s="19" t="str">
        <f t="array" ref="BO485">_xlfn.TEXTJOIN("",TRUE,IF(ISERROR(FIND(ROW($1:$10)-1,BM485&amp;BN485)),ROW($1:$10)-1,""))</f>
        <v>0123456789</v>
      </c>
      <c r="BP485" s="20" t="str">
        <f t="shared" si="243"/>
        <v>中中中</v>
      </c>
      <c r="BQ485" s="21" t="str">
        <f t="shared" si="254"/>
        <v/>
      </c>
      <c r="BR485" s="21" t="str">
        <f t="shared" si="252"/>
        <v/>
      </c>
      <c r="BS485" s="21" t="str">
        <f t="array" ref="BS485">_xlfn.TEXTJOIN("",TRUE,IF(ISERROR(FIND(ROW($1:$10)-1,BQ485&amp;BR485)),ROW($1:$10)-1,""))</f>
        <v>0123456789</v>
      </c>
      <c r="BT485" s="20" t="str">
        <f t="shared" si="244"/>
        <v>中中中</v>
      </c>
      <c r="BU485" s="22" t="str">
        <f t="shared" si="245"/>
        <v/>
      </c>
      <c r="BV485" s="22">
        <f t="shared" si="253"/>
        <v>0</v>
      </c>
      <c r="BW485" s="22" t="str">
        <f t="array" ref="BW485">_xlfn.TEXTJOIN("",TRUE,IF(ISERROR(FIND(ROW($1:$10)-1,BU485&amp;BV485)),ROW($1:$10)-1,""))</f>
        <v>123456789</v>
      </c>
      <c r="BX485" s="20" t="str">
        <f t="shared" si="246"/>
        <v>中隔中</v>
      </c>
      <c r="BY485" s="23" t="str">
        <f t="shared" si="240"/>
        <v>79</v>
      </c>
      <c r="BZ485" s="24" t="str">
        <f t="array" ref="BZ485">_xlfn.TEXTJOIN("",TRUE,IF(ISNUMBER(FIND(MID(BY484&amp;Q484,ROW($1:$4),1),BY485&amp;Q485)),MID(BY484&amp;Q484,ROW($1:$4),1),""))</f>
        <v/>
      </c>
      <c r="CA485" s="25" t="str">
        <f t="array" ref="CA485">_xlfn.TEXTJOIN("",TRUE,IF(ISERROR(FIND(ROW($1:$10)-1,BY485&amp;BZ485)),ROW($1:$10)-1,""))</f>
        <v>01234568</v>
      </c>
      <c r="CB485" s="26" t="str">
        <f t="shared" si="247"/>
        <v>邻孤孤</v>
      </c>
      <c r="CC485" s="27" t="str">
        <f t="shared" si="248"/>
        <v>79</v>
      </c>
      <c r="CD485" s="27" t="str">
        <f t="array" ref="CD485">_xlfn.TEXTJOIN("",TRUE,IF(ISNUMBER(FIND(MID(CC484&amp;R484,ROW($1:$4),1),CC485&amp;R485)),MID(CC484&amp;R484,ROW($1:$4),1),""))</f>
        <v/>
      </c>
      <c r="CE485" s="27" t="str">
        <f t="array" ref="CE485">_xlfn.TEXTJOIN("",TRUE,IF(ISERROR(FIND(ROW($1:$10)-1,CC485&amp;CD485)),ROW($1:$10)-1,""))</f>
        <v>01234568</v>
      </c>
      <c r="CF485" s="17" t="str">
        <f t="shared" si="249"/>
        <v>邻孤孤</v>
      </c>
      <c r="CG485" s="22" t="str">
        <f t="shared" si="250"/>
        <v>91</v>
      </c>
      <c r="CH485" s="22" t="str">
        <f t="array" ref="CH485">_xlfn.TEXTJOIN("",TRUE,IF(ISNUMBER(FIND(MID(CG484&amp;S484,ROW($1:$4),1),CG485&amp;S485)),MID(CG484&amp;S484,ROW($1:$4),1),""))</f>
        <v/>
      </c>
      <c r="CI485" s="22" t="str">
        <f t="array" ref="CI485">_xlfn.TEXTJOIN("",TRUE,IF(ISERROR(FIND(ROW($1:$10)-1,CG485&amp;CH485)),ROW($1:$10)-1,""))</f>
        <v>02345678</v>
      </c>
      <c r="CJ485" s="28" t="str">
        <f t="shared" si="251"/>
        <v>邻孤孤</v>
      </c>
    </row>
    <row r="486" spans="1:88">
      <c r="A486" s="32">
        <v>2025261</v>
      </c>
      <c r="B486" s="8" t="s">
        <v>395</v>
      </c>
      <c r="C486" s="49">
        <f t="shared" si="230"/>
        <v>13</v>
      </c>
      <c r="D486" s="50">
        <f t="shared" si="231"/>
        <v>3</v>
      </c>
      <c r="E486" s="51">
        <f t="shared" si="237"/>
        <v>4.3333333333333304</v>
      </c>
      <c r="F486" s="52">
        <f>MAX(MID(B486,{1,2,3},1)*1)-MIN(MID(B486,{1,2,3},1)*1)</f>
        <v>6</v>
      </c>
      <c r="G486" s="104">
        <v>0</v>
      </c>
      <c r="H486" s="104">
        <v>1</v>
      </c>
      <c r="I486" s="104">
        <v>2</v>
      </c>
      <c r="J486" s="104">
        <v>3</v>
      </c>
      <c r="K486" s="104">
        <v>4</v>
      </c>
      <c r="L486" s="104">
        <v>5</v>
      </c>
      <c r="M486" s="104">
        <v>6</v>
      </c>
      <c r="N486" s="104">
        <v>7</v>
      </c>
      <c r="O486" s="104">
        <v>8</v>
      </c>
      <c r="P486" s="104">
        <v>9</v>
      </c>
      <c r="Q486" s="53">
        <f t="shared" si="232"/>
        <v>2</v>
      </c>
      <c r="R486" s="53">
        <f t="shared" si="233"/>
        <v>6</v>
      </c>
      <c r="S486" s="53">
        <f t="shared" si="234"/>
        <v>4</v>
      </c>
      <c r="T486" s="101">
        <f t="shared" si="238"/>
        <v>12</v>
      </c>
      <c r="U486" s="15" t="str">
        <f>_xlfn.TEXTJOIN(", ",TRUE,ABS(MID(B486,{1,1,2},1)-MID(B486,{2,3,3},1)))</f>
        <v>2, 6, 4</v>
      </c>
      <c r="V486" s="54">
        <v>0</v>
      </c>
      <c r="W486" s="54">
        <v>1</v>
      </c>
      <c r="X486" s="54">
        <v>2</v>
      </c>
      <c r="Y486" s="54">
        <v>3</v>
      </c>
      <c r="Z486" s="54">
        <v>4</v>
      </c>
      <c r="AA486" s="54">
        <v>5</v>
      </c>
      <c r="AB486" s="54">
        <v>6</v>
      </c>
      <c r="AC486" s="54">
        <v>7</v>
      </c>
      <c r="AD486" s="54">
        <v>8</v>
      </c>
      <c r="AE486" s="54">
        <v>9</v>
      </c>
      <c r="AF486" s="55">
        <v>0</v>
      </c>
      <c r="AG486" s="55">
        <v>1</v>
      </c>
      <c r="AH486" s="55">
        <v>2</v>
      </c>
      <c r="AI486" s="55">
        <v>3</v>
      </c>
      <c r="AJ486" s="55">
        <v>4</v>
      </c>
      <c r="AK486" s="55">
        <v>5</v>
      </c>
      <c r="AL486" s="55">
        <v>6</v>
      </c>
      <c r="AM486" s="55">
        <v>7</v>
      </c>
      <c r="AN486" s="55">
        <v>8</v>
      </c>
      <c r="AO486" s="55">
        <v>9</v>
      </c>
      <c r="AP486" s="105">
        <v>0</v>
      </c>
      <c r="AQ486" s="105">
        <v>1</v>
      </c>
      <c r="AR486" s="105">
        <v>2</v>
      </c>
      <c r="AS486" s="105">
        <v>3</v>
      </c>
      <c r="AT486" s="105">
        <v>4</v>
      </c>
      <c r="AU486" s="105">
        <v>5</v>
      </c>
      <c r="AV486" s="105">
        <v>6</v>
      </c>
      <c r="AW486" s="105">
        <v>7</v>
      </c>
      <c r="AX486" s="105">
        <v>8</v>
      </c>
      <c r="AY486" s="105">
        <v>9</v>
      </c>
      <c r="AZ486" s="56">
        <v>0</v>
      </c>
      <c r="BA486" s="56">
        <v>1</v>
      </c>
      <c r="BB486" s="56">
        <v>2</v>
      </c>
      <c r="BC486" s="56">
        <v>3</v>
      </c>
      <c r="BD486" s="56">
        <v>4</v>
      </c>
      <c r="BE486" s="56">
        <v>5</v>
      </c>
      <c r="BF486" s="56">
        <v>6</v>
      </c>
      <c r="BG486" s="56">
        <v>7</v>
      </c>
      <c r="BH486" s="56">
        <v>8</v>
      </c>
      <c r="BI486" s="56">
        <v>9</v>
      </c>
      <c r="BJ486" s="57" t="str">
        <f t="shared" si="239"/>
        <v>松散型</v>
      </c>
      <c r="BK486" s="13">
        <f t="shared" si="235"/>
        <v>2</v>
      </c>
      <c r="BL486" s="13">
        <f t="shared" si="236"/>
        <v>6</v>
      </c>
      <c r="BM486" s="18" t="str">
        <f t="shared" si="241"/>
        <v/>
      </c>
      <c r="BN486" s="19" t="str">
        <f t="shared" si="242"/>
        <v/>
      </c>
      <c r="BO486" s="19" t="str">
        <f t="array" ref="BO486">_xlfn.TEXTJOIN("",TRUE,IF(ISERROR(FIND(ROW($1:$10)-1,BM486&amp;BN486)),ROW($1:$10)-1,""))</f>
        <v>0123456789</v>
      </c>
      <c r="BP486" s="20" t="str">
        <f t="shared" si="243"/>
        <v>中中中</v>
      </c>
      <c r="BQ486" s="21" t="str">
        <f t="shared" si="254"/>
        <v/>
      </c>
      <c r="BR486" s="21" t="str">
        <f t="shared" si="252"/>
        <v/>
      </c>
      <c r="BS486" s="21" t="str">
        <f t="array" ref="BS486">_xlfn.TEXTJOIN("",TRUE,IF(ISERROR(FIND(ROW($1:$10)-1,BQ486&amp;BR486)),ROW($1:$10)-1,""))</f>
        <v>0123456789</v>
      </c>
      <c r="BT486" s="20" t="str">
        <f t="shared" si="244"/>
        <v>中中中</v>
      </c>
      <c r="BU486" s="22" t="str">
        <f t="shared" si="245"/>
        <v/>
      </c>
      <c r="BV486" s="22">
        <f t="shared" si="253"/>
        <v>4</v>
      </c>
      <c r="BW486" s="22" t="str">
        <f t="array" ref="BW486">_xlfn.TEXTJOIN("",TRUE,IF(ISERROR(FIND(ROW($1:$10)-1,BU486&amp;BV486)),ROW($1:$10)-1,""))</f>
        <v>012356789</v>
      </c>
      <c r="BX486" s="20" t="str">
        <f t="shared" si="246"/>
        <v>中隔中</v>
      </c>
      <c r="BY486" s="23" t="str">
        <f t="shared" si="240"/>
        <v>13</v>
      </c>
      <c r="BZ486" s="24" t="str">
        <f t="array" ref="BZ486">_xlfn.TEXTJOIN("",TRUE,IF(ISNUMBER(FIND(MID(BY485&amp;Q485,ROW($1:$4),1),BY486&amp;Q486)),MID(BY485&amp;Q485,ROW($1:$4),1),""))</f>
        <v/>
      </c>
      <c r="CA486" s="25" t="str">
        <f t="array" ref="CA486">_xlfn.TEXTJOIN("",TRUE,IF(ISERROR(FIND(ROW($1:$10)-1,BY486&amp;BZ486)),ROW($1:$10)-1,""))</f>
        <v>02456789</v>
      </c>
      <c r="CB486" s="26" t="str">
        <f t="shared" si="247"/>
        <v>邻孤孤</v>
      </c>
      <c r="CC486" s="27" t="str">
        <f t="shared" si="248"/>
        <v>57</v>
      </c>
      <c r="CD486" s="27" t="str">
        <f t="array" ref="CD486">_xlfn.TEXTJOIN("",TRUE,IF(ISNUMBER(FIND(MID(CC485&amp;R485,ROW($1:$4),1),CC486&amp;R486)),MID(CC485&amp;R485,ROW($1:$4),1),""))</f>
        <v>7</v>
      </c>
      <c r="CE486" s="27" t="str">
        <f t="array" ref="CE486">_xlfn.TEXTJOIN("",TRUE,IF(ISERROR(FIND(ROW($1:$10)-1,CC486&amp;CD486)),ROW($1:$10)-1,""))</f>
        <v>01234689</v>
      </c>
      <c r="CF486" s="17" t="str">
        <f t="shared" si="249"/>
        <v>邻传孤</v>
      </c>
      <c r="CG486" s="22" t="str">
        <f t="shared" si="250"/>
        <v>35</v>
      </c>
      <c r="CH486" s="22" t="str">
        <f t="array" ref="CH486">_xlfn.TEXTJOIN("",TRUE,IF(ISNUMBER(FIND(MID(CG485&amp;S485,ROW($1:$4),1),CG486&amp;S486)),MID(CG485&amp;S485,ROW($1:$4),1),""))</f>
        <v/>
      </c>
      <c r="CI486" s="22" t="str">
        <f t="array" ref="CI486">_xlfn.TEXTJOIN("",TRUE,IF(ISERROR(FIND(ROW($1:$10)-1,CG486&amp;CH486)),ROW($1:$10)-1,""))</f>
        <v>01246789</v>
      </c>
      <c r="CJ486" s="28" t="str">
        <f t="shared" si="251"/>
        <v>邻孤孤</v>
      </c>
    </row>
    <row r="487" spans="1:88">
      <c r="A487" s="32">
        <v>2025262</v>
      </c>
      <c r="B487" s="8" t="s">
        <v>297</v>
      </c>
      <c r="C487" s="49">
        <f t="shared" si="230"/>
        <v>14</v>
      </c>
      <c r="D487" s="50">
        <f t="shared" si="231"/>
        <v>4</v>
      </c>
      <c r="E487" s="51">
        <f t="shared" si="237"/>
        <v>4.6666666666666696</v>
      </c>
      <c r="F487" s="52">
        <f>MAX(MID(B487,{1,2,3},1)*1)-MIN(MID(B487,{1,2,3},1)*1)</f>
        <v>8</v>
      </c>
      <c r="G487" s="104">
        <v>0</v>
      </c>
      <c r="H487" s="104">
        <v>1</v>
      </c>
      <c r="I487" s="104">
        <v>2</v>
      </c>
      <c r="J487" s="104">
        <v>3</v>
      </c>
      <c r="K487" s="104">
        <v>4</v>
      </c>
      <c r="L487" s="104">
        <v>5</v>
      </c>
      <c r="M487" s="104">
        <v>6</v>
      </c>
      <c r="N487" s="104">
        <v>7</v>
      </c>
      <c r="O487" s="104">
        <v>8</v>
      </c>
      <c r="P487" s="104">
        <v>9</v>
      </c>
      <c r="Q487" s="53">
        <f t="shared" si="232"/>
        <v>8</v>
      </c>
      <c r="R487" s="53">
        <f t="shared" si="233"/>
        <v>5</v>
      </c>
      <c r="S487" s="53">
        <f t="shared" si="234"/>
        <v>3</v>
      </c>
      <c r="T487" s="101">
        <f t="shared" si="238"/>
        <v>16</v>
      </c>
      <c r="U487" s="15" t="str">
        <f>_xlfn.TEXTJOIN(", ",TRUE,ABS(MID(B487,{1,1,2},1)-MID(B487,{2,3,3},1)))</f>
        <v>8, 5, 3</v>
      </c>
      <c r="V487" s="54">
        <v>0</v>
      </c>
      <c r="W487" s="54">
        <v>1</v>
      </c>
      <c r="X487" s="54">
        <v>2</v>
      </c>
      <c r="Y487" s="54">
        <v>3</v>
      </c>
      <c r="Z487" s="54">
        <v>4</v>
      </c>
      <c r="AA487" s="54">
        <v>5</v>
      </c>
      <c r="AB487" s="54">
        <v>6</v>
      </c>
      <c r="AC487" s="54">
        <v>7</v>
      </c>
      <c r="AD487" s="54">
        <v>8</v>
      </c>
      <c r="AE487" s="54">
        <v>9</v>
      </c>
      <c r="AF487" s="55">
        <v>0</v>
      </c>
      <c r="AG487" s="55">
        <v>1</v>
      </c>
      <c r="AH487" s="55">
        <v>2</v>
      </c>
      <c r="AI487" s="55">
        <v>3</v>
      </c>
      <c r="AJ487" s="55">
        <v>4</v>
      </c>
      <c r="AK487" s="55">
        <v>5</v>
      </c>
      <c r="AL487" s="55">
        <v>6</v>
      </c>
      <c r="AM487" s="55">
        <v>7</v>
      </c>
      <c r="AN487" s="55">
        <v>8</v>
      </c>
      <c r="AO487" s="55">
        <v>9</v>
      </c>
      <c r="AP487" s="105">
        <v>0</v>
      </c>
      <c r="AQ487" s="105">
        <v>1</v>
      </c>
      <c r="AR487" s="105">
        <v>2</v>
      </c>
      <c r="AS487" s="105">
        <v>3</v>
      </c>
      <c r="AT487" s="105">
        <v>4</v>
      </c>
      <c r="AU487" s="105">
        <v>5</v>
      </c>
      <c r="AV487" s="105">
        <v>6</v>
      </c>
      <c r="AW487" s="105">
        <v>7</v>
      </c>
      <c r="AX487" s="105">
        <v>8</v>
      </c>
      <c r="AY487" s="105">
        <v>9</v>
      </c>
      <c r="AZ487" s="56">
        <v>0</v>
      </c>
      <c r="BA487" s="56">
        <v>1</v>
      </c>
      <c r="BB487" s="56">
        <v>2</v>
      </c>
      <c r="BC487" s="56">
        <v>3</v>
      </c>
      <c r="BD487" s="56">
        <v>4</v>
      </c>
      <c r="BE487" s="56">
        <v>5</v>
      </c>
      <c r="BF487" s="56">
        <v>6</v>
      </c>
      <c r="BG487" s="56">
        <v>7</v>
      </c>
      <c r="BH487" s="56">
        <v>8</v>
      </c>
      <c r="BI487" s="56">
        <v>9</v>
      </c>
      <c r="BJ487" s="57" t="str">
        <f t="shared" si="239"/>
        <v>松散型</v>
      </c>
      <c r="BK487" s="13">
        <f t="shared" si="235"/>
        <v>3</v>
      </c>
      <c r="BL487" s="13">
        <f t="shared" si="236"/>
        <v>8</v>
      </c>
      <c r="BM487" s="18" t="str">
        <f t="shared" si="241"/>
        <v/>
      </c>
      <c r="BN487" s="19">
        <f t="shared" si="242"/>
        <v>8</v>
      </c>
      <c r="BO487" s="19" t="str">
        <f t="array" ref="BO487">_xlfn.TEXTJOIN("",TRUE,IF(ISERROR(FIND(ROW($1:$10)-1,BM487&amp;BN487)),ROW($1:$10)-1,""))</f>
        <v>012345679</v>
      </c>
      <c r="BP487" s="20" t="str">
        <f t="shared" si="243"/>
        <v>中隔中</v>
      </c>
      <c r="BQ487" s="21" t="str">
        <f t="shared" si="254"/>
        <v/>
      </c>
      <c r="BR487" s="21" t="str">
        <f t="shared" si="252"/>
        <v/>
      </c>
      <c r="BS487" s="21" t="str">
        <f t="array" ref="BS487">_xlfn.TEXTJOIN("",TRUE,IF(ISERROR(FIND(ROW($1:$10)-1,BQ487&amp;BR487)),ROW($1:$10)-1,""))</f>
        <v>0123456789</v>
      </c>
      <c r="BT487" s="20" t="str">
        <f t="shared" si="244"/>
        <v>中中中</v>
      </c>
      <c r="BU487" s="22" t="str">
        <f t="shared" si="245"/>
        <v/>
      </c>
      <c r="BV487" s="22" t="str">
        <f t="shared" si="253"/>
        <v/>
      </c>
      <c r="BW487" s="22" t="str">
        <f t="array" ref="BW487">_xlfn.TEXTJOIN("",TRUE,IF(ISERROR(FIND(ROW($1:$10)-1,BU487&amp;BV487)),ROW($1:$10)-1,""))</f>
        <v>0123456789</v>
      </c>
      <c r="BX487" s="20" t="str">
        <f t="shared" si="246"/>
        <v>中中中</v>
      </c>
      <c r="BY487" s="23" t="str">
        <f t="shared" si="240"/>
        <v>79</v>
      </c>
      <c r="BZ487" s="24" t="str">
        <f t="array" ref="BZ487">_xlfn.TEXTJOIN("",TRUE,IF(ISNUMBER(FIND(MID(BY486&amp;Q486,ROW($1:$4),1),BY487&amp;Q487)),MID(BY486&amp;Q486,ROW($1:$4),1),""))</f>
        <v/>
      </c>
      <c r="CA487" s="25" t="str">
        <f t="array" ref="CA487">_xlfn.TEXTJOIN("",TRUE,IF(ISERROR(FIND(ROW($1:$10)-1,BY487&amp;BZ487)),ROW($1:$10)-1,""))</f>
        <v>01234568</v>
      </c>
      <c r="CB487" s="26" t="str">
        <f t="shared" si="247"/>
        <v>邻孤孤</v>
      </c>
      <c r="CC487" s="27" t="str">
        <f t="shared" si="248"/>
        <v>46</v>
      </c>
      <c r="CD487" s="27" t="str">
        <f t="array" ref="CD487">_xlfn.TEXTJOIN("",TRUE,IF(ISNUMBER(FIND(MID(CC486&amp;R486,ROW($1:$4),1),CC487&amp;R487)),MID(CC486&amp;R486,ROW($1:$4),1),""))</f>
        <v>56</v>
      </c>
      <c r="CE487" s="27" t="str">
        <f t="array" ref="CE487">_xlfn.TEXTJOIN("",TRUE,IF(ISERROR(FIND(ROW($1:$10)-1,CC487&amp;CD487)),ROW($1:$10)-1,""))</f>
        <v>0123789</v>
      </c>
      <c r="CF487" s="17" t="str">
        <f t="shared" si="249"/>
        <v>邻传孤</v>
      </c>
      <c r="CG487" s="22" t="str">
        <f t="shared" si="250"/>
        <v>24</v>
      </c>
      <c r="CH487" s="22" t="str">
        <f t="array" ref="CH487">_xlfn.TEXTJOIN("",TRUE,IF(ISNUMBER(FIND(MID(CG486&amp;S486,ROW($1:$4),1),CG487&amp;S487)),MID(CG486&amp;S486,ROW($1:$4),1),""))</f>
        <v>34</v>
      </c>
      <c r="CI487" s="22" t="str">
        <f t="array" ref="CI487">_xlfn.TEXTJOIN("",TRUE,IF(ISERROR(FIND(ROW($1:$10)-1,CG487&amp;CH487)),ROW($1:$10)-1,""))</f>
        <v>0156789</v>
      </c>
      <c r="CJ487" s="28" t="str">
        <f t="shared" si="251"/>
        <v>邻传孤</v>
      </c>
    </row>
    <row r="488" spans="1:88">
      <c r="A488" s="32">
        <v>2025263</v>
      </c>
      <c r="B488" s="8" t="s">
        <v>396</v>
      </c>
      <c r="C488" s="49">
        <f t="shared" ref="C488:C493" si="255">LEFT(B488,1)+MID(B488,2,1)+RIGHT(B488,1)</f>
        <v>21</v>
      </c>
      <c r="D488" s="50">
        <f t="shared" ref="D488:D493" si="256">MOD(LEFT(B488,1)+MID(B488,2,1)+RIGHT(B488,1),10)</f>
        <v>1</v>
      </c>
      <c r="E488" s="51">
        <f t="shared" si="237"/>
        <v>7</v>
      </c>
      <c r="F488" s="52">
        <f>MAX(MID(B488,{1,2,3},1)*1)-MIN(MID(B488,{1,2,3},1)*1)</f>
        <v>6</v>
      </c>
      <c r="G488" s="104">
        <v>0</v>
      </c>
      <c r="H488" s="104">
        <v>1</v>
      </c>
      <c r="I488" s="104">
        <v>2</v>
      </c>
      <c r="J488" s="104">
        <v>3</v>
      </c>
      <c r="K488" s="104">
        <v>4</v>
      </c>
      <c r="L488" s="104">
        <v>5</v>
      </c>
      <c r="M488" s="104">
        <v>6</v>
      </c>
      <c r="N488" s="104">
        <v>7</v>
      </c>
      <c r="O488" s="104">
        <v>8</v>
      </c>
      <c r="P488" s="104">
        <v>9</v>
      </c>
      <c r="Q488" s="53">
        <f t="shared" ref="Q488:Q493" si="257">ABS(LEFT(B488,1)-MID(B488,2,1))</f>
        <v>6</v>
      </c>
      <c r="R488" s="53">
        <f t="shared" ref="R488:R493" si="258">ABS(LEFT(B488,1)-RIGHT(B488,1))</f>
        <v>6</v>
      </c>
      <c r="S488" s="53">
        <f t="shared" ref="S488:S493" si="259">ABS(MID(B488,2,1)-RIGHT(B488,1))</f>
        <v>0</v>
      </c>
      <c r="T488" s="101">
        <f t="shared" si="238"/>
        <v>12</v>
      </c>
      <c r="U488" s="15" t="str">
        <f>_xlfn.TEXTJOIN(", ",TRUE,ABS(MID(B488,{1,1,2},1)-MID(B488,{2,3,3},1)))</f>
        <v>6, 6, 0</v>
      </c>
      <c r="V488" s="54">
        <v>0</v>
      </c>
      <c r="W488" s="54">
        <v>1</v>
      </c>
      <c r="X488" s="54">
        <v>2</v>
      </c>
      <c r="Y488" s="54">
        <v>3</v>
      </c>
      <c r="Z488" s="54">
        <v>4</v>
      </c>
      <c r="AA488" s="54">
        <v>5</v>
      </c>
      <c r="AB488" s="54">
        <v>6</v>
      </c>
      <c r="AC488" s="54">
        <v>7</v>
      </c>
      <c r="AD488" s="54">
        <v>8</v>
      </c>
      <c r="AE488" s="54">
        <v>9</v>
      </c>
      <c r="AF488" s="55">
        <v>0</v>
      </c>
      <c r="AG488" s="55">
        <v>1</v>
      </c>
      <c r="AH488" s="55">
        <v>2</v>
      </c>
      <c r="AI488" s="55">
        <v>3</v>
      </c>
      <c r="AJ488" s="55">
        <v>4</v>
      </c>
      <c r="AK488" s="55">
        <v>5</v>
      </c>
      <c r="AL488" s="55">
        <v>6</v>
      </c>
      <c r="AM488" s="55">
        <v>7</v>
      </c>
      <c r="AN488" s="55">
        <v>8</v>
      </c>
      <c r="AO488" s="55">
        <v>9</v>
      </c>
      <c r="AP488" s="105">
        <v>0</v>
      </c>
      <c r="AQ488" s="105">
        <v>1</v>
      </c>
      <c r="AR488" s="105">
        <v>2</v>
      </c>
      <c r="AS488" s="105">
        <v>3</v>
      </c>
      <c r="AT488" s="105">
        <v>4</v>
      </c>
      <c r="AU488" s="105">
        <v>5</v>
      </c>
      <c r="AV488" s="105">
        <v>6</v>
      </c>
      <c r="AW488" s="105">
        <v>7</v>
      </c>
      <c r="AX488" s="105">
        <v>8</v>
      </c>
      <c r="AY488" s="105">
        <v>9</v>
      </c>
      <c r="AZ488" s="56">
        <v>0</v>
      </c>
      <c r="BA488" s="56">
        <v>1</v>
      </c>
      <c r="BB488" s="56">
        <v>2</v>
      </c>
      <c r="BC488" s="56">
        <v>3</v>
      </c>
      <c r="BD488" s="56">
        <v>4</v>
      </c>
      <c r="BE488" s="56">
        <v>5</v>
      </c>
      <c r="BF488" s="56">
        <v>6</v>
      </c>
      <c r="BG488" s="56">
        <v>7</v>
      </c>
      <c r="BH488" s="56">
        <v>8</v>
      </c>
      <c r="BI488" s="56">
        <v>9</v>
      </c>
      <c r="BJ488" s="57" t="str">
        <f t="shared" si="239"/>
        <v>松散型</v>
      </c>
      <c r="BK488" s="13">
        <f t="shared" si="235"/>
        <v>0</v>
      </c>
      <c r="BL488" s="13">
        <f t="shared" si="236"/>
        <v>6</v>
      </c>
      <c r="BM488" s="18" t="str">
        <f t="shared" si="241"/>
        <v/>
      </c>
      <c r="BN488" s="19">
        <f t="shared" si="242"/>
        <v>6</v>
      </c>
      <c r="BO488" s="19" t="str">
        <f t="array" ref="BO488">_xlfn.TEXTJOIN("",TRUE,IF(ISERROR(FIND(ROW($1:$10)-1,BM488&amp;BN488)),ROW($1:$10)-1,""))</f>
        <v>012345789</v>
      </c>
      <c r="BP488" s="20" t="str">
        <f t="shared" si="243"/>
        <v>中隔中</v>
      </c>
      <c r="BQ488" s="21" t="str">
        <f t="shared" si="254"/>
        <v/>
      </c>
      <c r="BR488" s="21">
        <f t="shared" si="252"/>
        <v>6</v>
      </c>
      <c r="BS488" s="21" t="str">
        <f t="array" ref="BS488">_xlfn.TEXTJOIN("",TRUE,IF(ISERROR(FIND(ROW($1:$10)-1,BQ488&amp;BR488)),ROW($1:$10)-1,""))</f>
        <v>012345789</v>
      </c>
      <c r="BT488" s="20" t="str">
        <f t="shared" si="244"/>
        <v>中隔中</v>
      </c>
      <c r="BU488" s="22" t="str">
        <f t="shared" si="245"/>
        <v/>
      </c>
      <c r="BV488" s="22" t="str">
        <f t="shared" si="253"/>
        <v/>
      </c>
      <c r="BW488" s="22" t="str">
        <f t="array" ref="BW488">_xlfn.TEXTJOIN("",TRUE,IF(ISERROR(FIND(ROW($1:$10)-1,BU488&amp;BV488)),ROW($1:$10)-1,""))</f>
        <v>0123456789</v>
      </c>
      <c r="BX488" s="20" t="str">
        <f t="shared" si="246"/>
        <v>中中中</v>
      </c>
      <c r="BY488" s="23" t="str">
        <f t="shared" si="240"/>
        <v>57</v>
      </c>
      <c r="BZ488" s="24" t="str">
        <f t="array" ref="BZ488">_xlfn.TEXTJOIN("",TRUE,IF(ISNUMBER(FIND(MID(BY487&amp;Q487,ROW($1:$4),1),BY488&amp;Q488)),MID(BY487&amp;Q487,ROW($1:$4),1),""))</f>
        <v>7</v>
      </c>
      <c r="CA488" s="25" t="str">
        <f t="array" ref="CA488">_xlfn.TEXTJOIN("",TRUE,IF(ISERROR(FIND(ROW($1:$10)-1,BY488&amp;BZ488)),ROW($1:$10)-1,""))</f>
        <v>01234689</v>
      </c>
      <c r="CB488" s="26" t="str">
        <f t="shared" si="247"/>
        <v>邻传孤</v>
      </c>
      <c r="CC488" s="27" t="str">
        <f t="shared" si="248"/>
        <v>57</v>
      </c>
      <c r="CD488" s="27" t="str">
        <f t="array" ref="CD488">_xlfn.TEXTJOIN("",TRUE,IF(ISNUMBER(FIND(MID(CC487&amp;R487,ROW($1:$4),1),CC488&amp;R488)),MID(CC487&amp;R487,ROW($1:$4),1),""))</f>
        <v>65</v>
      </c>
      <c r="CE488" s="27" t="str">
        <f t="array" ref="CE488">_xlfn.TEXTJOIN("",TRUE,IF(ISERROR(FIND(ROW($1:$10)-1,CC488&amp;CD488)),ROW($1:$10)-1,""))</f>
        <v>0123489</v>
      </c>
      <c r="CF488" s="17" t="str">
        <f t="shared" si="249"/>
        <v>邻传孤</v>
      </c>
      <c r="CG488" s="22" t="str">
        <f t="shared" si="250"/>
        <v>91</v>
      </c>
      <c r="CH488" s="22" t="str">
        <f t="array" ref="CH488">_xlfn.TEXTJOIN("",TRUE,IF(ISNUMBER(FIND(MID(CG487&amp;S487,ROW($1:$4),1),CG488&amp;S488)),MID(CG487&amp;S487,ROW($1:$4),1),""))</f>
        <v/>
      </c>
      <c r="CI488" s="22" t="str">
        <f t="array" ref="CI488">_xlfn.TEXTJOIN("",TRUE,IF(ISERROR(FIND(ROW($1:$10)-1,CG488&amp;CH488)),ROW($1:$10)-1,""))</f>
        <v>02345678</v>
      </c>
      <c r="CJ488" s="28" t="str">
        <f t="shared" si="251"/>
        <v>邻孤孤</v>
      </c>
    </row>
    <row r="489" spans="1:88">
      <c r="A489" s="32">
        <v>2025264</v>
      </c>
      <c r="B489" s="8" t="s">
        <v>324</v>
      </c>
      <c r="C489" s="49">
        <f t="shared" si="255"/>
        <v>14</v>
      </c>
      <c r="D489" s="50">
        <f t="shared" si="256"/>
        <v>4</v>
      </c>
      <c r="E489" s="51">
        <f t="shared" si="237"/>
        <v>4.6666666666666696</v>
      </c>
      <c r="F489" s="52">
        <f>MAX(MID(B489,{1,2,3},1)*1)-MIN(MID(B489,{1,2,3},1)*1)</f>
        <v>4</v>
      </c>
      <c r="G489" s="104">
        <v>0</v>
      </c>
      <c r="H489" s="104">
        <v>1</v>
      </c>
      <c r="I489" s="104">
        <v>2</v>
      </c>
      <c r="J489" s="104">
        <v>3</v>
      </c>
      <c r="K489" s="104">
        <v>4</v>
      </c>
      <c r="L489" s="104">
        <v>5</v>
      </c>
      <c r="M489" s="104">
        <v>6</v>
      </c>
      <c r="N489" s="104">
        <v>7</v>
      </c>
      <c r="O489" s="104">
        <v>8</v>
      </c>
      <c r="P489" s="104">
        <v>9</v>
      </c>
      <c r="Q489" s="53">
        <f t="shared" si="257"/>
        <v>4</v>
      </c>
      <c r="R489" s="53">
        <f t="shared" si="258"/>
        <v>3</v>
      </c>
      <c r="S489" s="53">
        <f t="shared" si="259"/>
        <v>1</v>
      </c>
      <c r="T489" s="101">
        <f t="shared" si="238"/>
        <v>8</v>
      </c>
      <c r="U489" s="15" t="str">
        <f>_xlfn.TEXTJOIN(", ",TRUE,ABS(MID(B489,{1,1,2},1)-MID(B489,{2,3,3},1)))</f>
        <v>4, 3, 1</v>
      </c>
      <c r="V489" s="54">
        <v>0</v>
      </c>
      <c r="W489" s="54">
        <v>1</v>
      </c>
      <c r="X489" s="54">
        <v>2</v>
      </c>
      <c r="Y489" s="54">
        <v>3</v>
      </c>
      <c r="Z489" s="54">
        <v>4</v>
      </c>
      <c r="AA489" s="54">
        <v>5</v>
      </c>
      <c r="AB489" s="54">
        <v>6</v>
      </c>
      <c r="AC489" s="54">
        <v>7</v>
      </c>
      <c r="AD489" s="54">
        <v>8</v>
      </c>
      <c r="AE489" s="54">
        <v>9</v>
      </c>
      <c r="AF489" s="55">
        <v>0</v>
      </c>
      <c r="AG489" s="55">
        <v>1</v>
      </c>
      <c r="AH489" s="55">
        <v>2</v>
      </c>
      <c r="AI489" s="55">
        <v>3</v>
      </c>
      <c r="AJ489" s="55">
        <v>4</v>
      </c>
      <c r="AK489" s="55">
        <v>5</v>
      </c>
      <c r="AL489" s="55">
        <v>6</v>
      </c>
      <c r="AM489" s="55">
        <v>7</v>
      </c>
      <c r="AN489" s="55">
        <v>8</v>
      </c>
      <c r="AO489" s="55">
        <v>9</v>
      </c>
      <c r="AP489" s="105">
        <v>0</v>
      </c>
      <c r="AQ489" s="105">
        <v>1</v>
      </c>
      <c r="AR489" s="105">
        <v>2</v>
      </c>
      <c r="AS489" s="105">
        <v>3</v>
      </c>
      <c r="AT489" s="105">
        <v>4</v>
      </c>
      <c r="AU489" s="105">
        <v>5</v>
      </c>
      <c r="AV489" s="105">
        <v>6</v>
      </c>
      <c r="AW489" s="105">
        <v>7</v>
      </c>
      <c r="AX489" s="105">
        <v>8</v>
      </c>
      <c r="AY489" s="105">
        <v>9</v>
      </c>
      <c r="AZ489" s="56">
        <v>0</v>
      </c>
      <c r="BA489" s="56">
        <v>1</v>
      </c>
      <c r="BB489" s="56">
        <v>2</v>
      </c>
      <c r="BC489" s="56">
        <v>3</v>
      </c>
      <c r="BD489" s="56">
        <v>4</v>
      </c>
      <c r="BE489" s="56">
        <v>5</v>
      </c>
      <c r="BF489" s="56">
        <v>6</v>
      </c>
      <c r="BG489" s="56">
        <v>7</v>
      </c>
      <c r="BH489" s="56">
        <v>8</v>
      </c>
      <c r="BI489" s="56">
        <v>9</v>
      </c>
      <c r="BJ489" s="57" t="str">
        <f t="shared" si="239"/>
        <v>紧凑型</v>
      </c>
      <c r="BK489" s="13">
        <f t="shared" si="235"/>
        <v>1</v>
      </c>
      <c r="BL489" s="13">
        <f t="shared" si="236"/>
        <v>4</v>
      </c>
      <c r="BM489" s="18" t="str">
        <f t="shared" si="241"/>
        <v/>
      </c>
      <c r="BN489" s="19" t="str">
        <f t="shared" si="242"/>
        <v/>
      </c>
      <c r="BO489" s="19" t="str">
        <f t="array" ref="BO489">_xlfn.TEXTJOIN("",TRUE,IF(ISERROR(FIND(ROW($1:$10)-1,BM489&amp;BN489)),ROW($1:$10)-1,""))</f>
        <v>0123456789</v>
      </c>
      <c r="BP489" s="20" t="str">
        <f t="shared" si="243"/>
        <v>中中中</v>
      </c>
      <c r="BQ489" s="21" t="str">
        <f t="shared" si="254"/>
        <v/>
      </c>
      <c r="BR489" s="21">
        <f t="shared" si="252"/>
        <v>3</v>
      </c>
      <c r="BS489" s="21" t="str">
        <f t="array" ref="BS489">_xlfn.TEXTJOIN("",TRUE,IF(ISERROR(FIND(ROW($1:$10)-1,BQ489&amp;BR489)),ROW($1:$10)-1,""))</f>
        <v>012456789</v>
      </c>
      <c r="BT489" s="20" t="str">
        <f t="shared" si="244"/>
        <v>中隔中</v>
      </c>
      <c r="BU489" s="22" t="str">
        <f t="shared" si="245"/>
        <v/>
      </c>
      <c r="BV489" s="22" t="str">
        <f t="shared" si="253"/>
        <v/>
      </c>
      <c r="BW489" s="22" t="str">
        <f t="array" ref="BW489">_xlfn.TEXTJOIN("",TRUE,IF(ISERROR(FIND(ROW($1:$10)-1,BU489&amp;BV489)),ROW($1:$10)-1,""))</f>
        <v>0123456789</v>
      </c>
      <c r="BX489" s="20" t="str">
        <f t="shared" si="246"/>
        <v>中中中</v>
      </c>
      <c r="BY489" s="23" t="str">
        <f t="shared" si="240"/>
        <v>35</v>
      </c>
      <c r="BZ489" s="24" t="str">
        <f t="array" ref="BZ489">_xlfn.TEXTJOIN("",TRUE,IF(ISNUMBER(FIND(MID(BY488&amp;Q488,ROW($1:$4),1),BY489&amp;Q489)),MID(BY488&amp;Q488,ROW($1:$4),1),""))</f>
        <v>5</v>
      </c>
      <c r="CA489" s="25" t="str">
        <f t="array" ref="CA489">_xlfn.TEXTJOIN("",TRUE,IF(ISERROR(FIND(ROW($1:$10)-1,BY489&amp;BZ489)),ROW($1:$10)-1,""))</f>
        <v>01246789</v>
      </c>
      <c r="CB489" s="26" t="str">
        <f t="shared" si="247"/>
        <v>邻传孤</v>
      </c>
      <c r="CC489" s="27" t="str">
        <f t="shared" si="248"/>
        <v>24</v>
      </c>
      <c r="CD489" s="27" t="str">
        <f t="array" ref="CD489">_xlfn.TEXTJOIN("",TRUE,IF(ISNUMBER(FIND(MID(CC488&amp;R488,ROW($1:$4),1),CC489&amp;R489)),MID(CC488&amp;R488,ROW($1:$4),1),""))</f>
        <v/>
      </c>
      <c r="CE489" s="27" t="str">
        <f t="array" ref="CE489">_xlfn.TEXTJOIN("",TRUE,IF(ISERROR(FIND(ROW($1:$10)-1,CC489&amp;CD489)),ROW($1:$10)-1,""))</f>
        <v>01356789</v>
      </c>
      <c r="CF489" s="17" t="str">
        <f t="shared" si="249"/>
        <v>邻孤孤</v>
      </c>
      <c r="CG489" s="22" t="str">
        <f t="shared" si="250"/>
        <v>02</v>
      </c>
      <c r="CH489" s="22" t="str">
        <f t="array" ref="CH489">_xlfn.TEXTJOIN("",TRUE,IF(ISNUMBER(FIND(MID(CG488&amp;S488,ROW($1:$4),1),CG489&amp;S489)),MID(CG488&amp;S488,ROW($1:$4),1),""))</f>
        <v>10</v>
      </c>
      <c r="CI489" s="22" t="str">
        <f t="array" ref="CI489">_xlfn.TEXTJOIN("",TRUE,IF(ISERROR(FIND(ROW($1:$10)-1,CG489&amp;CH489)),ROW($1:$10)-1,""))</f>
        <v>3456789</v>
      </c>
      <c r="CJ489" s="28" t="str">
        <f t="shared" si="251"/>
        <v>邻传孤</v>
      </c>
    </row>
    <row r="490" spans="1:88">
      <c r="A490" s="32">
        <v>2025265</v>
      </c>
      <c r="B490" s="8" t="s">
        <v>397</v>
      </c>
      <c r="C490" s="49">
        <f t="shared" si="255"/>
        <v>15</v>
      </c>
      <c r="D490" s="50">
        <f t="shared" si="256"/>
        <v>5</v>
      </c>
      <c r="E490" s="51">
        <f t="shared" si="237"/>
        <v>5</v>
      </c>
      <c r="F490" s="52">
        <f>MAX(MID(B490,{1,2,3},1)*1)-MIN(MID(B490,{1,2,3},1)*1)</f>
        <v>2</v>
      </c>
      <c r="G490" s="104">
        <v>0</v>
      </c>
      <c r="H490" s="104">
        <v>1</v>
      </c>
      <c r="I490" s="104">
        <v>2</v>
      </c>
      <c r="J490" s="104">
        <v>3</v>
      </c>
      <c r="K490" s="104">
        <v>4</v>
      </c>
      <c r="L490" s="104">
        <v>5</v>
      </c>
      <c r="M490" s="104">
        <v>6</v>
      </c>
      <c r="N490" s="104">
        <v>7</v>
      </c>
      <c r="O490" s="104">
        <v>8</v>
      </c>
      <c r="P490" s="104">
        <v>9</v>
      </c>
      <c r="Q490" s="53">
        <f t="shared" si="257"/>
        <v>1</v>
      </c>
      <c r="R490" s="53">
        <f t="shared" si="258"/>
        <v>1</v>
      </c>
      <c r="S490" s="53">
        <f t="shared" si="259"/>
        <v>2</v>
      </c>
      <c r="T490" s="101">
        <f t="shared" si="238"/>
        <v>4</v>
      </c>
      <c r="U490" s="15" t="str">
        <f>_xlfn.TEXTJOIN(", ",TRUE,ABS(MID(B490,{1,1,2},1)-MID(B490,{2,3,3},1)))</f>
        <v>1, 1, 2</v>
      </c>
      <c r="V490" s="54">
        <v>0</v>
      </c>
      <c r="W490" s="54">
        <v>1</v>
      </c>
      <c r="X490" s="54">
        <v>2</v>
      </c>
      <c r="Y490" s="54">
        <v>3</v>
      </c>
      <c r="Z490" s="54">
        <v>4</v>
      </c>
      <c r="AA490" s="54">
        <v>5</v>
      </c>
      <c r="AB490" s="54">
        <v>6</v>
      </c>
      <c r="AC490" s="54">
        <v>7</v>
      </c>
      <c r="AD490" s="54">
        <v>8</v>
      </c>
      <c r="AE490" s="54">
        <v>9</v>
      </c>
      <c r="AF490" s="55">
        <v>0</v>
      </c>
      <c r="AG490" s="55">
        <v>1</v>
      </c>
      <c r="AH490" s="55">
        <v>2</v>
      </c>
      <c r="AI490" s="55">
        <v>3</v>
      </c>
      <c r="AJ490" s="55">
        <v>4</v>
      </c>
      <c r="AK490" s="55">
        <v>5</v>
      </c>
      <c r="AL490" s="55">
        <v>6</v>
      </c>
      <c r="AM490" s="55">
        <v>7</v>
      </c>
      <c r="AN490" s="55">
        <v>8</v>
      </c>
      <c r="AO490" s="55">
        <v>9</v>
      </c>
      <c r="AP490" s="105">
        <v>0</v>
      </c>
      <c r="AQ490" s="105">
        <v>1</v>
      </c>
      <c r="AR490" s="105">
        <v>2</v>
      </c>
      <c r="AS490" s="105">
        <v>3</v>
      </c>
      <c r="AT490" s="105">
        <v>4</v>
      </c>
      <c r="AU490" s="105">
        <v>5</v>
      </c>
      <c r="AV490" s="105">
        <v>6</v>
      </c>
      <c r="AW490" s="105">
        <v>7</v>
      </c>
      <c r="AX490" s="105">
        <v>8</v>
      </c>
      <c r="AY490" s="105">
        <v>9</v>
      </c>
      <c r="AZ490" s="56">
        <v>0</v>
      </c>
      <c r="BA490" s="56">
        <v>1</v>
      </c>
      <c r="BB490" s="56">
        <v>2</v>
      </c>
      <c r="BC490" s="56">
        <v>3</v>
      </c>
      <c r="BD490" s="56">
        <v>4</v>
      </c>
      <c r="BE490" s="56">
        <v>5</v>
      </c>
      <c r="BF490" s="56">
        <v>6</v>
      </c>
      <c r="BG490" s="56">
        <v>7</v>
      </c>
      <c r="BH490" s="56">
        <v>8</v>
      </c>
      <c r="BI490" s="56">
        <v>9</v>
      </c>
      <c r="BJ490" s="57" t="str">
        <f t="shared" si="239"/>
        <v>紧凑型</v>
      </c>
      <c r="BK490" s="13">
        <f t="shared" si="235"/>
        <v>1</v>
      </c>
      <c r="BL490" s="13">
        <f t="shared" si="236"/>
        <v>2</v>
      </c>
      <c r="BM490" s="18">
        <f t="shared" si="241"/>
        <v>1</v>
      </c>
      <c r="BN490" s="19" t="str">
        <f t="shared" si="242"/>
        <v/>
      </c>
      <c r="BO490" s="19" t="str">
        <f t="array" ref="BO490">_xlfn.TEXTJOIN("",TRUE,IF(ISERROR(FIND(ROW($1:$10)-1,BM490&amp;BN490)),ROW($1:$10)-1,""))</f>
        <v>023456789</v>
      </c>
      <c r="BP490" s="20" t="str">
        <f t="shared" si="243"/>
        <v>复中中</v>
      </c>
      <c r="BQ490" s="21">
        <f t="shared" si="254"/>
        <v>1</v>
      </c>
      <c r="BR490" s="21" t="str">
        <f t="shared" si="252"/>
        <v/>
      </c>
      <c r="BS490" s="21" t="str">
        <f t="array" ref="BS490">_xlfn.TEXTJOIN("",TRUE,IF(ISERROR(FIND(ROW($1:$10)-1,BQ490&amp;BR490)),ROW($1:$10)-1,""))</f>
        <v>023456789</v>
      </c>
      <c r="BT490" s="20" t="str">
        <f t="shared" si="244"/>
        <v>复中中</v>
      </c>
      <c r="BU490" s="22" t="str">
        <f t="shared" si="245"/>
        <v/>
      </c>
      <c r="BV490" s="22" t="str">
        <f t="shared" si="253"/>
        <v/>
      </c>
      <c r="BW490" s="22" t="str">
        <f t="array" ref="BW490">_xlfn.TEXTJOIN("",TRUE,IF(ISERROR(FIND(ROW($1:$10)-1,BU490&amp;BV490)),ROW($1:$10)-1,""))</f>
        <v>0123456789</v>
      </c>
      <c r="BX490" s="20" t="str">
        <f t="shared" si="246"/>
        <v>中中中</v>
      </c>
      <c r="BY490" s="23" t="str">
        <f t="shared" si="240"/>
        <v>02</v>
      </c>
      <c r="BZ490" s="24" t="str">
        <f t="array" ref="BZ490">_xlfn.TEXTJOIN("",TRUE,IF(ISNUMBER(FIND(MID(BY489&amp;Q489,ROW($1:$4),1),BY490&amp;Q490)),MID(BY489&amp;Q489,ROW($1:$4),1),""))</f>
        <v/>
      </c>
      <c r="CA490" s="25" t="str">
        <f t="array" ref="CA490">_xlfn.TEXTJOIN("",TRUE,IF(ISERROR(FIND(ROW($1:$10)-1,BY490&amp;BZ490)),ROW($1:$10)-1,""))</f>
        <v>13456789</v>
      </c>
      <c r="CB490" s="26" t="str">
        <f t="shared" si="247"/>
        <v>邻孤孤</v>
      </c>
      <c r="CC490" s="27" t="str">
        <f t="shared" si="248"/>
        <v>02</v>
      </c>
      <c r="CD490" s="27" t="str">
        <f t="array" ref="CD490">_xlfn.TEXTJOIN("",TRUE,IF(ISNUMBER(FIND(MID(CC489&amp;R489,ROW($1:$4),1),CC490&amp;R490)),MID(CC489&amp;R489,ROW($1:$4),1),""))</f>
        <v>2</v>
      </c>
      <c r="CE490" s="27" t="str">
        <f t="array" ref="CE490">_xlfn.TEXTJOIN("",TRUE,IF(ISERROR(FIND(ROW($1:$10)-1,CC490&amp;CD490)),ROW($1:$10)-1,""))</f>
        <v>13456789</v>
      </c>
      <c r="CF490" s="17" t="str">
        <f t="shared" si="249"/>
        <v>邻传孤</v>
      </c>
      <c r="CG490" s="22" t="str">
        <f t="shared" si="250"/>
        <v>13</v>
      </c>
      <c r="CH490" s="22" t="str">
        <f t="array" ref="CH490">_xlfn.TEXTJOIN("",TRUE,IF(ISNUMBER(FIND(MID(CG489&amp;S489,ROW($1:$4),1),CG490&amp;S490)),MID(CG489&amp;S489,ROW($1:$4),1),""))</f>
        <v>21</v>
      </c>
      <c r="CI490" s="22" t="str">
        <f t="array" ref="CI490">_xlfn.TEXTJOIN("",TRUE,IF(ISERROR(FIND(ROW($1:$10)-1,CG490&amp;CH490)),ROW($1:$10)-1,""))</f>
        <v>0456789</v>
      </c>
      <c r="CJ490" s="28" t="str">
        <f t="shared" si="251"/>
        <v>邻传孤</v>
      </c>
    </row>
    <row r="491" spans="1:88">
      <c r="A491" s="32">
        <v>2025266</v>
      </c>
      <c r="B491" s="8" t="s">
        <v>398</v>
      </c>
      <c r="C491" s="49">
        <f t="shared" si="255"/>
        <v>12</v>
      </c>
      <c r="D491" s="50">
        <f t="shared" si="256"/>
        <v>2</v>
      </c>
      <c r="E491" s="51">
        <f t="shared" si="237"/>
        <v>4</v>
      </c>
      <c r="F491" s="52">
        <f>MAX(MID(B491,{1,2,3},1)*1)-MIN(MID(B491,{1,2,3},1)*1)</f>
        <v>5</v>
      </c>
      <c r="G491" s="104">
        <v>0</v>
      </c>
      <c r="H491" s="104">
        <v>1</v>
      </c>
      <c r="I491" s="104">
        <v>2</v>
      </c>
      <c r="J491" s="104">
        <v>3</v>
      </c>
      <c r="K491" s="104">
        <v>4</v>
      </c>
      <c r="L491" s="104">
        <v>5</v>
      </c>
      <c r="M491" s="104">
        <v>6</v>
      </c>
      <c r="N491" s="104">
        <v>7</v>
      </c>
      <c r="O491" s="104">
        <v>8</v>
      </c>
      <c r="P491" s="104">
        <v>9</v>
      </c>
      <c r="Q491" s="53">
        <f t="shared" si="257"/>
        <v>5</v>
      </c>
      <c r="R491" s="53">
        <f t="shared" si="258"/>
        <v>4</v>
      </c>
      <c r="S491" s="53">
        <f t="shared" si="259"/>
        <v>1</v>
      </c>
      <c r="T491" s="101">
        <f t="shared" si="238"/>
        <v>10</v>
      </c>
      <c r="U491" s="15" t="str">
        <f>_xlfn.TEXTJOIN(", ",TRUE,ABS(MID(B491,{1,1,2},1)-MID(B491,{2,3,3},1)))</f>
        <v>5, 4, 1</v>
      </c>
      <c r="V491" s="54">
        <v>0</v>
      </c>
      <c r="W491" s="54">
        <v>1</v>
      </c>
      <c r="X491" s="54">
        <v>2</v>
      </c>
      <c r="Y491" s="54">
        <v>3</v>
      </c>
      <c r="Z491" s="54">
        <v>4</v>
      </c>
      <c r="AA491" s="54">
        <v>5</v>
      </c>
      <c r="AB491" s="54">
        <v>6</v>
      </c>
      <c r="AC491" s="54">
        <v>7</v>
      </c>
      <c r="AD491" s="54">
        <v>8</v>
      </c>
      <c r="AE491" s="54">
        <v>9</v>
      </c>
      <c r="AF491" s="55">
        <v>0</v>
      </c>
      <c r="AG491" s="55">
        <v>1</v>
      </c>
      <c r="AH491" s="55">
        <v>2</v>
      </c>
      <c r="AI491" s="55">
        <v>3</v>
      </c>
      <c r="AJ491" s="55">
        <v>4</v>
      </c>
      <c r="AK491" s="55">
        <v>5</v>
      </c>
      <c r="AL491" s="55">
        <v>6</v>
      </c>
      <c r="AM491" s="55">
        <v>7</v>
      </c>
      <c r="AN491" s="55">
        <v>8</v>
      </c>
      <c r="AO491" s="55">
        <v>9</v>
      </c>
      <c r="AP491" s="105">
        <v>0</v>
      </c>
      <c r="AQ491" s="105">
        <v>1</v>
      </c>
      <c r="AR491" s="105">
        <v>2</v>
      </c>
      <c r="AS491" s="105">
        <v>3</v>
      </c>
      <c r="AT491" s="105">
        <v>4</v>
      </c>
      <c r="AU491" s="105">
        <v>5</v>
      </c>
      <c r="AV491" s="105">
        <v>6</v>
      </c>
      <c r="AW491" s="105">
        <v>7</v>
      </c>
      <c r="AX491" s="105">
        <v>8</v>
      </c>
      <c r="AY491" s="105">
        <v>9</v>
      </c>
      <c r="AZ491" s="56">
        <v>0</v>
      </c>
      <c r="BA491" s="56">
        <v>1</v>
      </c>
      <c r="BB491" s="56">
        <v>2</v>
      </c>
      <c r="BC491" s="56">
        <v>3</v>
      </c>
      <c r="BD491" s="56">
        <v>4</v>
      </c>
      <c r="BE491" s="56">
        <v>5</v>
      </c>
      <c r="BF491" s="56">
        <v>6</v>
      </c>
      <c r="BG491" s="56">
        <v>7</v>
      </c>
      <c r="BH491" s="56">
        <v>8</v>
      </c>
      <c r="BI491" s="56">
        <v>9</v>
      </c>
      <c r="BJ491" s="57" t="str">
        <f t="shared" si="239"/>
        <v>标准型</v>
      </c>
      <c r="BK491" s="13">
        <f t="shared" si="235"/>
        <v>1</v>
      </c>
      <c r="BL491" s="13">
        <f t="shared" si="236"/>
        <v>5</v>
      </c>
      <c r="BM491" s="18" t="str">
        <f t="shared" si="241"/>
        <v/>
      </c>
      <c r="BN491" s="19" t="str">
        <f t="shared" si="242"/>
        <v/>
      </c>
      <c r="BO491" s="19" t="str">
        <f t="array" ref="BO491">_xlfn.TEXTJOIN("",TRUE,IF(ISERROR(FIND(ROW($1:$10)-1,BM491&amp;BN491)),ROW($1:$10)-1,""))</f>
        <v>0123456789</v>
      </c>
      <c r="BP491" s="20" t="str">
        <f t="shared" si="243"/>
        <v>中中中</v>
      </c>
      <c r="BQ491" s="21" t="str">
        <f t="shared" si="254"/>
        <v/>
      </c>
      <c r="BR491" s="21">
        <f t="shared" si="252"/>
        <v>4</v>
      </c>
      <c r="BS491" s="21" t="str">
        <f t="array" ref="BS491">_xlfn.TEXTJOIN("",TRUE,IF(ISERROR(FIND(ROW($1:$10)-1,BQ491&amp;BR491)),ROW($1:$10)-1,""))</f>
        <v>012356789</v>
      </c>
      <c r="BT491" s="20" t="str">
        <f t="shared" si="244"/>
        <v>中隔中</v>
      </c>
      <c r="BU491" s="22">
        <f t="shared" si="245"/>
        <v>1</v>
      </c>
      <c r="BV491" s="22">
        <f t="shared" si="253"/>
        <v>1</v>
      </c>
      <c r="BW491" s="22" t="str">
        <f t="array" ref="BW491">_xlfn.TEXTJOIN("",TRUE,IF(ISERROR(FIND(ROW($1:$10)-1,BU491&amp;BV491)),ROW($1:$10)-1,""))</f>
        <v>023456789</v>
      </c>
      <c r="BX491" s="20" t="str">
        <f t="shared" si="246"/>
        <v>复隔中</v>
      </c>
      <c r="BY491" s="23" t="str">
        <f t="shared" si="240"/>
        <v>46</v>
      </c>
      <c r="BZ491" s="24" t="str">
        <f t="array" ref="BZ491">_xlfn.TEXTJOIN("",TRUE,IF(ISNUMBER(FIND(MID(BY490&amp;Q490,ROW($1:$4),1),BY491&amp;Q491)),MID(BY490&amp;Q490,ROW($1:$4),1),""))</f>
        <v/>
      </c>
      <c r="CA491" s="25" t="str">
        <f t="array" ref="CA491">_xlfn.TEXTJOIN("",TRUE,IF(ISERROR(FIND(ROW($1:$10)-1,BY491&amp;BZ491)),ROW($1:$10)-1,""))</f>
        <v>01235789</v>
      </c>
      <c r="CB491" s="26" t="str">
        <f t="shared" si="247"/>
        <v>邻孤孤</v>
      </c>
      <c r="CC491" s="27" t="str">
        <f t="shared" si="248"/>
        <v>35</v>
      </c>
      <c r="CD491" s="27" t="str">
        <f t="array" ref="CD491">_xlfn.TEXTJOIN("",TRUE,IF(ISNUMBER(FIND(MID(CC490&amp;R490,ROW($1:$4),1),CC491&amp;R491)),MID(CC490&amp;R490,ROW($1:$4),1),""))</f>
        <v/>
      </c>
      <c r="CE491" s="27" t="str">
        <f t="array" ref="CE491">_xlfn.TEXTJOIN("",TRUE,IF(ISERROR(FIND(ROW($1:$10)-1,CC491&amp;CD491)),ROW($1:$10)-1,""))</f>
        <v>01246789</v>
      </c>
      <c r="CF491" s="17" t="str">
        <f t="shared" si="249"/>
        <v>邻孤孤</v>
      </c>
      <c r="CG491" s="22" t="str">
        <f t="shared" si="250"/>
        <v>02</v>
      </c>
      <c r="CH491" s="22" t="str">
        <f t="array" ref="CH491">_xlfn.TEXTJOIN("",TRUE,IF(ISNUMBER(FIND(MID(CG490&amp;S490,ROW($1:$4),1),CG491&amp;S491)),MID(CG490&amp;S490,ROW($1:$4),1),""))</f>
        <v>12</v>
      </c>
      <c r="CI491" s="22" t="str">
        <f t="array" ref="CI491">_xlfn.TEXTJOIN("",TRUE,IF(ISERROR(FIND(ROW($1:$10)-1,CG491&amp;CH491)),ROW($1:$10)-1,""))</f>
        <v>3456789</v>
      </c>
      <c r="CJ491" s="28" t="str">
        <f t="shared" si="251"/>
        <v>邻传孤</v>
      </c>
    </row>
    <row r="492" spans="1:88">
      <c r="A492" s="32">
        <v>2025267</v>
      </c>
      <c r="B492" s="8" t="s">
        <v>399</v>
      </c>
      <c r="C492" s="49">
        <f t="shared" si="255"/>
        <v>13</v>
      </c>
      <c r="D492" s="50">
        <f t="shared" si="256"/>
        <v>3</v>
      </c>
      <c r="E492" s="51">
        <f t="shared" si="237"/>
        <v>4.3333333333333304</v>
      </c>
      <c r="F492" s="52">
        <f>MAX(MID(B492,{1,2,3},1)*1)-MIN(MID(B492,{1,2,3},1)*1)</f>
        <v>8</v>
      </c>
      <c r="G492" s="104">
        <v>0</v>
      </c>
      <c r="H492" s="104">
        <v>1</v>
      </c>
      <c r="I492" s="104">
        <v>2</v>
      </c>
      <c r="J492" s="104">
        <v>3</v>
      </c>
      <c r="K492" s="104">
        <v>4</v>
      </c>
      <c r="L492" s="104">
        <v>5</v>
      </c>
      <c r="M492" s="104">
        <v>6</v>
      </c>
      <c r="N492" s="104">
        <v>7</v>
      </c>
      <c r="O492" s="104">
        <v>8</v>
      </c>
      <c r="P492" s="104">
        <v>9</v>
      </c>
      <c r="Q492" s="53">
        <f t="shared" si="257"/>
        <v>6</v>
      </c>
      <c r="R492" s="53">
        <f t="shared" si="258"/>
        <v>2</v>
      </c>
      <c r="S492" s="53">
        <f t="shared" si="259"/>
        <v>8</v>
      </c>
      <c r="T492" s="101">
        <f t="shared" si="238"/>
        <v>16</v>
      </c>
      <c r="U492" s="15" t="str">
        <f>_xlfn.TEXTJOIN(", ",TRUE,ABS(MID(B492,{1,1,2},1)-MID(B492,{2,3,3},1)))</f>
        <v>6, 2, 8</v>
      </c>
      <c r="V492" s="54">
        <v>0</v>
      </c>
      <c r="W492" s="54">
        <v>1</v>
      </c>
      <c r="X492" s="54">
        <v>2</v>
      </c>
      <c r="Y492" s="54">
        <v>3</v>
      </c>
      <c r="Z492" s="54">
        <v>4</v>
      </c>
      <c r="AA492" s="54">
        <v>5</v>
      </c>
      <c r="AB492" s="54">
        <v>6</v>
      </c>
      <c r="AC492" s="54">
        <v>7</v>
      </c>
      <c r="AD492" s="54">
        <v>8</v>
      </c>
      <c r="AE492" s="54">
        <v>9</v>
      </c>
      <c r="AF492" s="55">
        <v>0</v>
      </c>
      <c r="AG492" s="55">
        <v>1</v>
      </c>
      <c r="AH492" s="55">
        <v>2</v>
      </c>
      <c r="AI492" s="55">
        <v>3</v>
      </c>
      <c r="AJ492" s="55">
        <v>4</v>
      </c>
      <c r="AK492" s="55">
        <v>5</v>
      </c>
      <c r="AL492" s="55">
        <v>6</v>
      </c>
      <c r="AM492" s="55">
        <v>7</v>
      </c>
      <c r="AN492" s="55">
        <v>8</v>
      </c>
      <c r="AO492" s="55">
        <v>9</v>
      </c>
      <c r="AP492" s="105">
        <v>0</v>
      </c>
      <c r="AQ492" s="105">
        <v>1</v>
      </c>
      <c r="AR492" s="105">
        <v>2</v>
      </c>
      <c r="AS492" s="105">
        <v>3</v>
      </c>
      <c r="AT492" s="105">
        <v>4</v>
      </c>
      <c r="AU492" s="105">
        <v>5</v>
      </c>
      <c r="AV492" s="105">
        <v>6</v>
      </c>
      <c r="AW492" s="105">
        <v>7</v>
      </c>
      <c r="AX492" s="105">
        <v>8</v>
      </c>
      <c r="AY492" s="105">
        <v>9</v>
      </c>
      <c r="AZ492" s="56">
        <v>0</v>
      </c>
      <c r="BA492" s="56">
        <v>1</v>
      </c>
      <c r="BB492" s="56">
        <v>2</v>
      </c>
      <c r="BC492" s="56">
        <v>3</v>
      </c>
      <c r="BD492" s="56">
        <v>4</v>
      </c>
      <c r="BE492" s="56">
        <v>5</v>
      </c>
      <c r="BF492" s="56">
        <v>6</v>
      </c>
      <c r="BG492" s="56">
        <v>7</v>
      </c>
      <c r="BH492" s="56">
        <v>8</v>
      </c>
      <c r="BI492" s="56">
        <v>9</v>
      </c>
      <c r="BJ492" s="57" t="str">
        <f t="shared" si="239"/>
        <v>松散型</v>
      </c>
      <c r="BK492" s="13">
        <f t="shared" si="235"/>
        <v>2</v>
      </c>
      <c r="BL492" s="13">
        <f t="shared" si="236"/>
        <v>8</v>
      </c>
      <c r="BM492" s="18" t="str">
        <f t="shared" si="241"/>
        <v/>
      </c>
      <c r="BN492" s="19" t="str">
        <f t="shared" si="242"/>
        <v/>
      </c>
      <c r="BO492" s="19" t="str">
        <f t="array" ref="BO492">_xlfn.TEXTJOIN("",TRUE,IF(ISERROR(FIND(ROW($1:$10)-1,BM492&amp;BN492)),ROW($1:$10)-1,""))</f>
        <v>0123456789</v>
      </c>
      <c r="BP492" s="20" t="str">
        <f t="shared" si="243"/>
        <v>中中中</v>
      </c>
      <c r="BQ492" s="21" t="str">
        <f t="shared" si="254"/>
        <v/>
      </c>
      <c r="BR492" s="21">
        <f t="shared" si="252"/>
        <v>2</v>
      </c>
      <c r="BS492" s="21" t="str">
        <f t="array" ref="BS492">_xlfn.TEXTJOIN("",TRUE,IF(ISERROR(FIND(ROW($1:$10)-1,BQ492&amp;BR492)),ROW($1:$10)-1,""))</f>
        <v>013456789</v>
      </c>
      <c r="BT492" s="20" t="str">
        <f t="shared" si="244"/>
        <v>中隔中</v>
      </c>
      <c r="BU492" s="22" t="str">
        <f t="shared" si="245"/>
        <v/>
      </c>
      <c r="BV492" s="22" t="str">
        <f t="shared" si="253"/>
        <v/>
      </c>
      <c r="BW492" s="22" t="str">
        <f t="array" ref="BW492">_xlfn.TEXTJOIN("",TRUE,IF(ISERROR(FIND(ROW($1:$10)-1,BU492&amp;BV492)),ROW($1:$10)-1,""))</f>
        <v>0123456789</v>
      </c>
      <c r="BX492" s="20" t="str">
        <f t="shared" si="246"/>
        <v>中中中</v>
      </c>
      <c r="BY492" s="23" t="str">
        <f t="shared" si="240"/>
        <v>57</v>
      </c>
      <c r="BZ492" s="24" t="str">
        <f t="array" ref="BZ492">_xlfn.TEXTJOIN("",TRUE,IF(ISNUMBER(FIND(MID(BY491&amp;Q491,ROW($1:$4),1),BY492&amp;Q492)),MID(BY491&amp;Q491,ROW($1:$4),1),""))</f>
        <v>65</v>
      </c>
      <c r="CA492" s="25" t="str">
        <f t="array" ref="CA492">_xlfn.TEXTJOIN("",TRUE,IF(ISERROR(FIND(ROW($1:$10)-1,BY492&amp;BZ492)),ROW($1:$10)-1,""))</f>
        <v>0123489</v>
      </c>
      <c r="CB492" s="26" t="str">
        <f t="shared" si="247"/>
        <v>邻传孤</v>
      </c>
      <c r="CC492" s="27" t="str">
        <f t="shared" si="248"/>
        <v>13</v>
      </c>
      <c r="CD492" s="27" t="str">
        <f t="array" ref="CD492">_xlfn.TEXTJOIN("",TRUE,IF(ISNUMBER(FIND(MID(CC491&amp;R491,ROW($1:$4),1),CC492&amp;R492)),MID(CC491&amp;R491,ROW($1:$4),1),""))</f>
        <v>3</v>
      </c>
      <c r="CE492" s="27" t="str">
        <f t="array" ref="CE492">_xlfn.TEXTJOIN("",TRUE,IF(ISERROR(FIND(ROW($1:$10)-1,CC492&amp;CD492)),ROW($1:$10)-1,""))</f>
        <v>02456789</v>
      </c>
      <c r="CF492" s="17" t="str">
        <f t="shared" si="249"/>
        <v>邻传孤</v>
      </c>
      <c r="CG492" s="22" t="str">
        <f t="shared" si="250"/>
        <v>79</v>
      </c>
      <c r="CH492" s="22" t="str">
        <f t="array" ref="CH492">_xlfn.TEXTJOIN("",TRUE,IF(ISNUMBER(FIND(MID(CG491&amp;S491,ROW($1:$4),1),CG492&amp;S492)),MID(CG491&amp;S491,ROW($1:$4),1),""))</f>
        <v/>
      </c>
      <c r="CI492" s="22" t="str">
        <f t="array" ref="CI492">_xlfn.TEXTJOIN("",TRUE,IF(ISERROR(FIND(ROW($1:$10)-1,CG492&amp;CH492)),ROW($1:$10)-1,""))</f>
        <v>01234568</v>
      </c>
      <c r="CJ492" s="28" t="str">
        <f t="shared" si="251"/>
        <v>邻孤孤</v>
      </c>
    </row>
    <row r="493" spans="1:88">
      <c r="A493" s="32">
        <v>2025268</v>
      </c>
      <c r="B493" s="8" t="s">
        <v>400</v>
      </c>
      <c r="C493" s="49">
        <f t="shared" si="255"/>
        <v>17</v>
      </c>
      <c r="D493" s="50">
        <f t="shared" si="256"/>
        <v>7</v>
      </c>
      <c r="E493" s="51">
        <f t="shared" si="237"/>
        <v>5.6666666666666696</v>
      </c>
      <c r="F493" s="52">
        <f>MAX(MID(B493,{1,2,3},1)*1)-MIN(MID(B493,{1,2,3},1)*1)</f>
        <v>3</v>
      </c>
      <c r="G493" s="104">
        <v>0</v>
      </c>
      <c r="H493" s="104">
        <v>1</v>
      </c>
      <c r="I493" s="104">
        <v>2</v>
      </c>
      <c r="J493" s="104">
        <v>3</v>
      </c>
      <c r="K493" s="104">
        <v>4</v>
      </c>
      <c r="L493" s="104">
        <v>5</v>
      </c>
      <c r="M493" s="104">
        <v>6</v>
      </c>
      <c r="N493" s="104">
        <v>7</v>
      </c>
      <c r="O493" s="104">
        <v>8</v>
      </c>
      <c r="P493" s="104">
        <v>9</v>
      </c>
      <c r="Q493" s="53">
        <f t="shared" si="257"/>
        <v>1</v>
      </c>
      <c r="R493" s="53">
        <f t="shared" si="258"/>
        <v>2</v>
      </c>
      <c r="S493" s="53">
        <f t="shared" si="259"/>
        <v>3</v>
      </c>
      <c r="T493" s="101">
        <f t="shared" si="238"/>
        <v>6</v>
      </c>
      <c r="U493" s="15" t="str">
        <f>_xlfn.TEXTJOIN(", ",TRUE,ABS(MID(B493,{1,1,2},1)-MID(B493,{2,3,3},1)))</f>
        <v>1, 2, 3</v>
      </c>
      <c r="V493" s="54">
        <v>0</v>
      </c>
      <c r="W493" s="54">
        <v>1</v>
      </c>
      <c r="X493" s="54">
        <v>2</v>
      </c>
      <c r="Y493" s="54">
        <v>3</v>
      </c>
      <c r="Z493" s="54">
        <v>4</v>
      </c>
      <c r="AA493" s="54">
        <v>5</v>
      </c>
      <c r="AB493" s="54">
        <v>6</v>
      </c>
      <c r="AC493" s="54">
        <v>7</v>
      </c>
      <c r="AD493" s="54">
        <v>8</v>
      </c>
      <c r="AE493" s="54">
        <v>9</v>
      </c>
      <c r="AF493" s="55">
        <v>0</v>
      </c>
      <c r="AG493" s="55">
        <v>1</v>
      </c>
      <c r="AH493" s="55">
        <v>2</v>
      </c>
      <c r="AI493" s="55">
        <v>3</v>
      </c>
      <c r="AJ493" s="55">
        <v>4</v>
      </c>
      <c r="AK493" s="55">
        <v>5</v>
      </c>
      <c r="AL493" s="55">
        <v>6</v>
      </c>
      <c r="AM493" s="55">
        <v>7</v>
      </c>
      <c r="AN493" s="55">
        <v>8</v>
      </c>
      <c r="AO493" s="55">
        <v>9</v>
      </c>
      <c r="AP493" s="105">
        <v>0</v>
      </c>
      <c r="AQ493" s="105">
        <v>1</v>
      </c>
      <c r="AR493" s="105">
        <v>2</v>
      </c>
      <c r="AS493" s="105">
        <v>3</v>
      </c>
      <c r="AT493" s="105">
        <v>4</v>
      </c>
      <c r="AU493" s="105">
        <v>5</v>
      </c>
      <c r="AV493" s="105">
        <v>6</v>
      </c>
      <c r="AW493" s="105">
        <v>7</v>
      </c>
      <c r="AX493" s="105">
        <v>8</v>
      </c>
      <c r="AY493" s="105">
        <v>9</v>
      </c>
      <c r="AZ493" s="56">
        <v>0</v>
      </c>
      <c r="BA493" s="56">
        <v>1</v>
      </c>
      <c r="BB493" s="56">
        <v>2</v>
      </c>
      <c r="BC493" s="56">
        <v>3</v>
      </c>
      <c r="BD493" s="56">
        <v>4</v>
      </c>
      <c r="BE493" s="56">
        <v>5</v>
      </c>
      <c r="BF493" s="56">
        <v>6</v>
      </c>
      <c r="BG493" s="56">
        <v>7</v>
      </c>
      <c r="BH493" s="56">
        <v>8</v>
      </c>
      <c r="BI493" s="56">
        <v>9</v>
      </c>
      <c r="BJ493" s="57" t="str">
        <f t="shared" si="239"/>
        <v>紧凑型</v>
      </c>
      <c r="BK493" s="13">
        <f t="shared" si="235"/>
        <v>1</v>
      </c>
      <c r="BL493" s="13">
        <f t="shared" si="236"/>
        <v>3</v>
      </c>
      <c r="BM493" s="18" t="str">
        <f t="shared" si="241"/>
        <v/>
      </c>
      <c r="BN493" s="19">
        <f t="shared" si="242"/>
        <v>1</v>
      </c>
      <c r="BO493" s="19" t="str">
        <f t="array" ref="BO493">_xlfn.TEXTJOIN("",TRUE,IF(ISERROR(FIND(ROW($1:$10)-1,BM493&amp;BN493)),ROW($1:$10)-1,""))</f>
        <v>023456789</v>
      </c>
      <c r="BP493" s="20" t="str">
        <f t="shared" si="243"/>
        <v>中隔中</v>
      </c>
      <c r="BQ493" s="21">
        <f t="shared" si="254"/>
        <v>2</v>
      </c>
      <c r="BR493" s="21" t="str">
        <f t="shared" si="252"/>
        <v/>
      </c>
      <c r="BS493" s="21" t="str">
        <f t="array" ref="BS493">_xlfn.TEXTJOIN("",TRUE,IF(ISERROR(FIND(ROW($1:$10)-1,BQ493&amp;BR493)),ROW($1:$10)-1,""))</f>
        <v>013456789</v>
      </c>
      <c r="BT493" s="20" t="str">
        <f t="shared" si="244"/>
        <v>复中中</v>
      </c>
      <c r="BU493" s="22" t="str">
        <f t="shared" si="245"/>
        <v/>
      </c>
      <c r="BV493" s="22" t="str">
        <f t="shared" si="253"/>
        <v/>
      </c>
      <c r="BW493" s="22" t="str">
        <f t="array" ref="BW493">_xlfn.TEXTJOIN("",TRUE,IF(ISERROR(FIND(ROW($1:$10)-1,BU493&amp;BV493)),ROW($1:$10)-1,""))</f>
        <v>0123456789</v>
      </c>
      <c r="BX493" s="20" t="str">
        <f t="shared" si="246"/>
        <v>中中中</v>
      </c>
      <c r="BY493" s="23" t="str">
        <f t="shared" si="240"/>
        <v>02</v>
      </c>
      <c r="BZ493" s="24" t="str">
        <f t="array" ref="BZ493">_xlfn.TEXTJOIN("",TRUE,IF(ISNUMBER(FIND(MID(BY492&amp;Q492,ROW($1:$4),1),BY493&amp;Q493)),MID(BY492&amp;Q492,ROW($1:$4),1),""))</f>
        <v/>
      </c>
      <c r="CA493" s="25" t="str">
        <f t="array" ref="CA493">_xlfn.TEXTJOIN("",TRUE,IF(ISERROR(FIND(ROW($1:$10)-1,BY493&amp;BZ493)),ROW($1:$10)-1,""))</f>
        <v>13456789</v>
      </c>
      <c r="CB493" s="26" t="str">
        <f t="shared" si="247"/>
        <v>邻孤孤</v>
      </c>
      <c r="CC493" s="27" t="str">
        <f t="shared" si="248"/>
        <v>13</v>
      </c>
      <c r="CD493" s="27" t="str">
        <f t="array" ref="CD493">_xlfn.TEXTJOIN("",TRUE,IF(ISNUMBER(FIND(MID(CC492&amp;R492,ROW($1:$4),1),CC493&amp;R493)),MID(CC492&amp;R492,ROW($1:$4),1),""))</f>
        <v>132</v>
      </c>
      <c r="CE493" s="27" t="str">
        <f t="array" ref="CE493">_xlfn.TEXTJOIN("",TRUE,IF(ISERROR(FIND(ROW($1:$10)-1,CC493&amp;CD493)),ROW($1:$10)-1,""))</f>
        <v>0456789</v>
      </c>
      <c r="CF493" s="17" t="str">
        <f t="shared" si="249"/>
        <v>邻传孤</v>
      </c>
      <c r="CG493" s="22" t="str">
        <f t="shared" si="250"/>
        <v>24</v>
      </c>
      <c r="CH493" s="22" t="str">
        <f t="array" ref="CH493">_xlfn.TEXTJOIN("",TRUE,IF(ISNUMBER(FIND(MID(CG492&amp;S492,ROW($1:$4),1),CG493&amp;S493)),MID(CG492&amp;S492,ROW($1:$4),1),""))</f>
        <v/>
      </c>
      <c r="CI493" s="22" t="str">
        <f t="array" ref="CI493">_xlfn.TEXTJOIN("",TRUE,IF(ISERROR(FIND(ROW($1:$10)-1,CG493&amp;CH493)),ROW($1:$10)-1,""))</f>
        <v>01356789</v>
      </c>
      <c r="CJ493" s="28" t="str">
        <f t="shared" si="251"/>
        <v>邻孤孤</v>
      </c>
    </row>
    <row r="494" spans="1:88">
      <c r="A494" s="32">
        <v>2025269</v>
      </c>
      <c r="B494" s="8" t="s">
        <v>173</v>
      </c>
      <c r="C494" s="49">
        <f t="shared" ref="C494:C509" si="260">LEFT(B494,1)+MID(B494,2,1)+RIGHT(B494,1)</f>
        <v>10</v>
      </c>
      <c r="D494" s="50">
        <f t="shared" ref="D494:D509" si="261">MOD(LEFT(B494,1)+MID(B494,2,1)+RIGHT(B494,1),10)</f>
        <v>0</v>
      </c>
      <c r="E494" s="51">
        <f t="shared" si="237"/>
        <v>3.3333333333333299</v>
      </c>
      <c r="F494" s="52">
        <f>MAX(MID(B494,{1,2,3},1)*1)-MIN(MID(B494,{1,2,3},1)*1)</f>
        <v>5</v>
      </c>
      <c r="G494" s="104">
        <v>0</v>
      </c>
      <c r="H494" s="104">
        <v>1</v>
      </c>
      <c r="I494" s="104">
        <v>2</v>
      </c>
      <c r="J494" s="104">
        <v>3</v>
      </c>
      <c r="K494" s="104">
        <v>4</v>
      </c>
      <c r="L494" s="104">
        <v>5</v>
      </c>
      <c r="M494" s="104">
        <v>6</v>
      </c>
      <c r="N494" s="104">
        <v>7</v>
      </c>
      <c r="O494" s="104">
        <v>8</v>
      </c>
      <c r="P494" s="104">
        <v>9</v>
      </c>
      <c r="Q494" s="53">
        <f t="shared" ref="Q494:Q509" si="262">ABS(LEFT(B494,1)-MID(B494,2,1))</f>
        <v>5</v>
      </c>
      <c r="R494" s="53">
        <f t="shared" ref="R494:R509" si="263">ABS(LEFT(B494,1)-RIGHT(B494,1))</f>
        <v>5</v>
      </c>
      <c r="S494" s="53">
        <f t="shared" ref="S494:S509" si="264">ABS(MID(B494,2,1)-RIGHT(B494,1))</f>
        <v>0</v>
      </c>
      <c r="T494" s="101">
        <f t="shared" si="238"/>
        <v>10</v>
      </c>
      <c r="U494" s="15" t="str">
        <f>_xlfn.TEXTJOIN(", ",TRUE,ABS(MID(B494,{1,1,2},1)-MID(B494,{2,3,3},1)))</f>
        <v>5, 5, 0</v>
      </c>
      <c r="V494" s="54">
        <v>0</v>
      </c>
      <c r="W494" s="54">
        <v>1</v>
      </c>
      <c r="X494" s="54">
        <v>2</v>
      </c>
      <c r="Y494" s="54">
        <v>3</v>
      </c>
      <c r="Z494" s="54">
        <v>4</v>
      </c>
      <c r="AA494" s="54">
        <v>5</v>
      </c>
      <c r="AB494" s="54">
        <v>6</v>
      </c>
      <c r="AC494" s="54">
        <v>7</v>
      </c>
      <c r="AD494" s="54">
        <v>8</v>
      </c>
      <c r="AE494" s="54">
        <v>9</v>
      </c>
      <c r="AF494" s="55">
        <v>0</v>
      </c>
      <c r="AG494" s="55">
        <v>1</v>
      </c>
      <c r="AH494" s="55">
        <v>2</v>
      </c>
      <c r="AI494" s="55">
        <v>3</v>
      </c>
      <c r="AJ494" s="55">
        <v>4</v>
      </c>
      <c r="AK494" s="55">
        <v>5</v>
      </c>
      <c r="AL494" s="55">
        <v>6</v>
      </c>
      <c r="AM494" s="55">
        <v>7</v>
      </c>
      <c r="AN494" s="55">
        <v>8</v>
      </c>
      <c r="AO494" s="55">
        <v>9</v>
      </c>
      <c r="AP494" s="105">
        <v>0</v>
      </c>
      <c r="AQ494" s="105">
        <v>1</v>
      </c>
      <c r="AR494" s="105">
        <v>2</v>
      </c>
      <c r="AS494" s="105">
        <v>3</v>
      </c>
      <c r="AT494" s="105">
        <v>4</v>
      </c>
      <c r="AU494" s="105">
        <v>5</v>
      </c>
      <c r="AV494" s="105">
        <v>6</v>
      </c>
      <c r="AW494" s="105">
        <v>7</v>
      </c>
      <c r="AX494" s="105">
        <v>8</v>
      </c>
      <c r="AY494" s="105">
        <v>9</v>
      </c>
      <c r="AZ494" s="56">
        <v>0</v>
      </c>
      <c r="BA494" s="56">
        <v>1</v>
      </c>
      <c r="BB494" s="56">
        <v>2</v>
      </c>
      <c r="BC494" s="56">
        <v>3</v>
      </c>
      <c r="BD494" s="56">
        <v>4</v>
      </c>
      <c r="BE494" s="56">
        <v>5</v>
      </c>
      <c r="BF494" s="56">
        <v>6</v>
      </c>
      <c r="BG494" s="56">
        <v>7</v>
      </c>
      <c r="BH494" s="56">
        <v>8</v>
      </c>
      <c r="BI494" s="56">
        <v>9</v>
      </c>
      <c r="BJ494" s="57" t="str">
        <f t="shared" si="239"/>
        <v>对子</v>
      </c>
      <c r="BK494" s="13">
        <f t="shared" si="235"/>
        <v>0</v>
      </c>
      <c r="BL494" s="13">
        <f t="shared" si="236"/>
        <v>5</v>
      </c>
      <c r="BM494" s="18" t="str">
        <f t="shared" si="241"/>
        <v/>
      </c>
      <c r="BN494" s="19" t="str">
        <f t="shared" si="242"/>
        <v/>
      </c>
      <c r="BO494" s="19" t="str">
        <f t="array" ref="BO494">_xlfn.TEXTJOIN("",TRUE,IF(ISERROR(FIND(ROW($1:$10)-1,BM494&amp;BN494)),ROW($1:$10)-1,""))</f>
        <v>0123456789</v>
      </c>
      <c r="BP494" s="20" t="str">
        <f t="shared" si="243"/>
        <v>中中中</v>
      </c>
      <c r="BQ494" s="21" t="str">
        <f t="shared" si="254"/>
        <v/>
      </c>
      <c r="BR494" s="21" t="str">
        <f t="shared" si="252"/>
        <v/>
      </c>
      <c r="BS494" s="21" t="str">
        <f t="array" ref="BS494">_xlfn.TEXTJOIN("",TRUE,IF(ISERROR(FIND(ROW($1:$10)-1,BQ494&amp;BR494)),ROW($1:$10)-1,""))</f>
        <v>0123456789</v>
      </c>
      <c r="BT494" s="20" t="str">
        <f t="shared" si="244"/>
        <v>中中中</v>
      </c>
      <c r="BU494" s="22" t="str">
        <f t="shared" si="245"/>
        <v/>
      </c>
      <c r="BV494" s="22" t="str">
        <f t="shared" si="253"/>
        <v/>
      </c>
      <c r="BW494" s="22" t="str">
        <f t="array" ref="BW494">_xlfn.TEXTJOIN("",TRUE,IF(ISERROR(FIND(ROW($1:$10)-1,BU494&amp;BV494)),ROW($1:$10)-1,""))</f>
        <v>0123456789</v>
      </c>
      <c r="BX494" s="20" t="str">
        <f t="shared" si="246"/>
        <v>中中中</v>
      </c>
      <c r="BY494" s="23" t="str">
        <f t="shared" si="240"/>
        <v>46</v>
      </c>
      <c r="BZ494" s="24" t="str">
        <f t="array" ref="BZ494">_xlfn.TEXTJOIN("",TRUE,IF(ISNUMBER(FIND(MID(BY493&amp;Q493,ROW($1:$4),1),BY494&amp;Q494)),MID(BY493&amp;Q493,ROW($1:$4),1),""))</f>
        <v/>
      </c>
      <c r="CA494" s="25" t="str">
        <f t="array" ref="CA494">_xlfn.TEXTJOIN("",TRUE,IF(ISERROR(FIND(ROW($1:$10)-1,BY494&amp;BZ494)),ROW($1:$10)-1,""))</f>
        <v>01235789</v>
      </c>
      <c r="CB494" s="26" t="str">
        <f t="shared" si="247"/>
        <v>邻孤孤</v>
      </c>
      <c r="CC494" s="27" t="str">
        <f t="shared" si="248"/>
        <v>46</v>
      </c>
      <c r="CD494" s="27" t="str">
        <f t="array" ref="CD494">_xlfn.TEXTJOIN("",TRUE,IF(ISNUMBER(FIND(MID(CC493&amp;R493,ROW($1:$4),1),CC494&amp;R494)),MID(CC493&amp;R493,ROW($1:$4),1),""))</f>
        <v/>
      </c>
      <c r="CE494" s="27" t="str">
        <f t="array" ref="CE494">_xlfn.TEXTJOIN("",TRUE,IF(ISERROR(FIND(ROW($1:$10)-1,CC494&amp;CD494)),ROW($1:$10)-1,""))</f>
        <v>01235789</v>
      </c>
      <c r="CF494" s="17" t="str">
        <f t="shared" si="249"/>
        <v>邻孤孤</v>
      </c>
      <c r="CG494" s="22" t="str">
        <f t="shared" si="250"/>
        <v>91</v>
      </c>
      <c r="CH494" s="22" t="str">
        <f t="array" ref="CH494">_xlfn.TEXTJOIN("",TRUE,IF(ISNUMBER(FIND(MID(CG493&amp;S493,ROW($1:$4),1),CG494&amp;S494)),MID(CG493&amp;S493,ROW($1:$4),1),""))</f>
        <v/>
      </c>
      <c r="CI494" s="22" t="str">
        <f t="array" ref="CI494">_xlfn.TEXTJOIN("",TRUE,IF(ISERROR(FIND(ROW($1:$10)-1,CG494&amp;CH494)),ROW($1:$10)-1,""))</f>
        <v>02345678</v>
      </c>
      <c r="CJ494" s="28" t="str">
        <f t="shared" si="251"/>
        <v>邻孤孤</v>
      </c>
    </row>
    <row r="495" spans="1:88">
      <c r="A495" s="32">
        <v>2025270</v>
      </c>
      <c r="B495" s="8" t="s">
        <v>401</v>
      </c>
      <c r="C495" s="49">
        <f t="shared" si="260"/>
        <v>12</v>
      </c>
      <c r="D495" s="50">
        <f t="shared" si="261"/>
        <v>2</v>
      </c>
      <c r="E495" s="51">
        <f t="shared" si="237"/>
        <v>4</v>
      </c>
      <c r="F495" s="52">
        <f>MAX(MID(B495,{1,2,3},1)*1)-MIN(MID(B495,{1,2,3},1)*1)</f>
        <v>8</v>
      </c>
      <c r="G495" s="104">
        <v>0</v>
      </c>
      <c r="H495" s="104">
        <v>1</v>
      </c>
      <c r="I495" s="104">
        <v>2</v>
      </c>
      <c r="J495" s="104">
        <v>3</v>
      </c>
      <c r="K495" s="104">
        <v>4</v>
      </c>
      <c r="L495" s="104">
        <v>5</v>
      </c>
      <c r="M495" s="104">
        <v>6</v>
      </c>
      <c r="N495" s="104">
        <v>7</v>
      </c>
      <c r="O495" s="104">
        <v>8</v>
      </c>
      <c r="P495" s="104">
        <v>9</v>
      </c>
      <c r="Q495" s="53">
        <f t="shared" si="262"/>
        <v>4</v>
      </c>
      <c r="R495" s="53">
        <f t="shared" si="263"/>
        <v>4</v>
      </c>
      <c r="S495" s="53">
        <f t="shared" si="264"/>
        <v>8</v>
      </c>
      <c r="T495" s="101">
        <f t="shared" si="238"/>
        <v>16</v>
      </c>
      <c r="U495" s="15" t="str">
        <f>_xlfn.TEXTJOIN(", ",TRUE,ABS(MID(B495,{1,1,2},1)-MID(B495,{2,3,3},1)))</f>
        <v>4, 4, 8</v>
      </c>
      <c r="V495" s="54">
        <v>0</v>
      </c>
      <c r="W495" s="54">
        <v>1</v>
      </c>
      <c r="X495" s="54">
        <v>2</v>
      </c>
      <c r="Y495" s="54">
        <v>3</v>
      </c>
      <c r="Z495" s="54">
        <v>4</v>
      </c>
      <c r="AA495" s="54">
        <v>5</v>
      </c>
      <c r="AB495" s="54">
        <v>6</v>
      </c>
      <c r="AC495" s="54">
        <v>7</v>
      </c>
      <c r="AD495" s="54">
        <v>8</v>
      </c>
      <c r="AE495" s="54">
        <v>9</v>
      </c>
      <c r="AF495" s="55">
        <v>0</v>
      </c>
      <c r="AG495" s="55">
        <v>1</v>
      </c>
      <c r="AH495" s="55">
        <v>2</v>
      </c>
      <c r="AI495" s="55">
        <v>3</v>
      </c>
      <c r="AJ495" s="55">
        <v>4</v>
      </c>
      <c r="AK495" s="55">
        <v>5</v>
      </c>
      <c r="AL495" s="55">
        <v>6</v>
      </c>
      <c r="AM495" s="55">
        <v>7</v>
      </c>
      <c r="AN495" s="55">
        <v>8</v>
      </c>
      <c r="AO495" s="55">
        <v>9</v>
      </c>
      <c r="AP495" s="105">
        <v>0</v>
      </c>
      <c r="AQ495" s="105">
        <v>1</v>
      </c>
      <c r="AR495" s="105">
        <v>2</v>
      </c>
      <c r="AS495" s="105">
        <v>3</v>
      </c>
      <c r="AT495" s="105">
        <v>4</v>
      </c>
      <c r="AU495" s="105">
        <v>5</v>
      </c>
      <c r="AV495" s="105">
        <v>6</v>
      </c>
      <c r="AW495" s="105">
        <v>7</v>
      </c>
      <c r="AX495" s="105">
        <v>8</v>
      </c>
      <c r="AY495" s="105">
        <v>9</v>
      </c>
      <c r="AZ495" s="56">
        <v>0</v>
      </c>
      <c r="BA495" s="56">
        <v>1</v>
      </c>
      <c r="BB495" s="56">
        <v>2</v>
      </c>
      <c r="BC495" s="56">
        <v>3</v>
      </c>
      <c r="BD495" s="56">
        <v>4</v>
      </c>
      <c r="BE495" s="56">
        <v>5</v>
      </c>
      <c r="BF495" s="56">
        <v>6</v>
      </c>
      <c r="BG495" s="56">
        <v>7</v>
      </c>
      <c r="BH495" s="56">
        <v>8</v>
      </c>
      <c r="BI495" s="56">
        <v>9</v>
      </c>
      <c r="BJ495" s="57" t="str">
        <f t="shared" si="239"/>
        <v>松散型</v>
      </c>
      <c r="BK495" s="13">
        <f t="shared" si="235"/>
        <v>4</v>
      </c>
      <c r="BL495" s="13">
        <f t="shared" si="236"/>
        <v>8</v>
      </c>
      <c r="BM495" s="18" t="str">
        <f t="shared" si="241"/>
        <v/>
      </c>
      <c r="BN495" s="19" t="str">
        <f t="shared" si="242"/>
        <v/>
      </c>
      <c r="BO495" s="19" t="str">
        <f t="array" ref="BO495">_xlfn.TEXTJOIN("",TRUE,IF(ISERROR(FIND(ROW($1:$10)-1,BM495&amp;BN495)),ROW($1:$10)-1,""))</f>
        <v>0123456789</v>
      </c>
      <c r="BP495" s="20" t="str">
        <f t="shared" si="243"/>
        <v>中中中</v>
      </c>
      <c r="BQ495" s="21" t="str">
        <f t="shared" si="254"/>
        <v/>
      </c>
      <c r="BR495" s="21" t="str">
        <f t="shared" si="252"/>
        <v/>
      </c>
      <c r="BS495" s="21" t="str">
        <f t="array" ref="BS495">_xlfn.TEXTJOIN("",TRUE,IF(ISERROR(FIND(ROW($1:$10)-1,BQ495&amp;BR495)),ROW($1:$10)-1,""))</f>
        <v>0123456789</v>
      </c>
      <c r="BT495" s="20" t="str">
        <f t="shared" si="244"/>
        <v>中中中</v>
      </c>
      <c r="BU495" s="22" t="str">
        <f t="shared" si="245"/>
        <v/>
      </c>
      <c r="BV495" s="22" t="str">
        <f t="shared" si="253"/>
        <v/>
      </c>
      <c r="BW495" s="22" t="str">
        <f t="array" ref="BW495">_xlfn.TEXTJOIN("",TRUE,IF(ISERROR(FIND(ROW($1:$10)-1,BU495&amp;BV495)),ROW($1:$10)-1,""))</f>
        <v>0123456789</v>
      </c>
      <c r="BX495" s="20" t="str">
        <f t="shared" si="246"/>
        <v>中中中</v>
      </c>
      <c r="BY495" s="23" t="str">
        <f t="shared" si="240"/>
        <v>35</v>
      </c>
      <c r="BZ495" s="24" t="str">
        <f t="array" ref="BZ495">_xlfn.TEXTJOIN("",TRUE,IF(ISNUMBER(FIND(MID(BY494&amp;Q494,ROW($1:$4),1),BY495&amp;Q495)),MID(BY494&amp;Q494,ROW($1:$4),1),""))</f>
        <v>45</v>
      </c>
      <c r="CA495" s="25" t="str">
        <f t="array" ref="CA495">_xlfn.TEXTJOIN("",TRUE,IF(ISERROR(FIND(ROW($1:$10)-1,BY495&amp;BZ495)),ROW($1:$10)-1,""))</f>
        <v>0126789</v>
      </c>
      <c r="CB495" s="26" t="str">
        <f t="shared" si="247"/>
        <v>邻传孤</v>
      </c>
      <c r="CC495" s="27" t="str">
        <f t="shared" si="248"/>
        <v>35</v>
      </c>
      <c r="CD495" s="27" t="str">
        <f t="array" ref="CD495">_xlfn.TEXTJOIN("",TRUE,IF(ISNUMBER(FIND(MID(CC494&amp;R494,ROW($1:$4),1),CC495&amp;R495)),MID(CC494&amp;R494,ROW($1:$4),1),""))</f>
        <v>45</v>
      </c>
      <c r="CE495" s="27" t="str">
        <f t="array" ref="CE495">_xlfn.TEXTJOIN("",TRUE,IF(ISERROR(FIND(ROW($1:$10)-1,CC495&amp;CD495)),ROW($1:$10)-1,""))</f>
        <v>0126789</v>
      </c>
      <c r="CF495" s="17" t="str">
        <f t="shared" si="249"/>
        <v>邻传孤</v>
      </c>
      <c r="CG495" s="22" t="str">
        <f t="shared" si="250"/>
        <v>79</v>
      </c>
      <c r="CH495" s="22" t="str">
        <f t="array" ref="CH495">_xlfn.TEXTJOIN("",TRUE,IF(ISNUMBER(FIND(MID(CG494&amp;S494,ROW($1:$4),1),CG495&amp;S495)),MID(CG494&amp;S494,ROW($1:$4),1),""))</f>
        <v>9</v>
      </c>
      <c r="CI495" s="22" t="str">
        <f t="array" ref="CI495">_xlfn.TEXTJOIN("",TRUE,IF(ISERROR(FIND(ROW($1:$10)-1,CG495&amp;CH495)),ROW($1:$10)-1,""))</f>
        <v>01234568</v>
      </c>
      <c r="CJ495" s="28" t="str">
        <f t="shared" si="251"/>
        <v>邻传孤</v>
      </c>
    </row>
    <row r="496" spans="1:88">
      <c r="A496" s="32">
        <v>2025271</v>
      </c>
      <c r="B496" s="8" t="s">
        <v>402</v>
      </c>
      <c r="C496" s="49">
        <f t="shared" si="260"/>
        <v>16</v>
      </c>
      <c r="D496" s="50">
        <f t="shared" si="261"/>
        <v>6</v>
      </c>
      <c r="E496" s="51">
        <f t="shared" si="237"/>
        <v>5.3333333333333304</v>
      </c>
      <c r="F496" s="52">
        <f>MAX(MID(B496,{1,2,3},1)*1)-MIN(MID(B496,{1,2,3},1)*1)</f>
        <v>5</v>
      </c>
      <c r="G496" s="104">
        <v>0</v>
      </c>
      <c r="H496" s="104">
        <v>1</v>
      </c>
      <c r="I496" s="104">
        <v>2</v>
      </c>
      <c r="J496" s="104">
        <v>3</v>
      </c>
      <c r="K496" s="104">
        <v>4</v>
      </c>
      <c r="L496" s="104">
        <v>5</v>
      </c>
      <c r="M496" s="104">
        <v>6</v>
      </c>
      <c r="N496" s="104">
        <v>7</v>
      </c>
      <c r="O496" s="104">
        <v>8</v>
      </c>
      <c r="P496" s="104">
        <v>9</v>
      </c>
      <c r="Q496" s="53">
        <f t="shared" si="262"/>
        <v>5</v>
      </c>
      <c r="R496" s="53">
        <f t="shared" si="263"/>
        <v>0</v>
      </c>
      <c r="S496" s="53">
        <f t="shared" si="264"/>
        <v>5</v>
      </c>
      <c r="T496" s="101">
        <f t="shared" si="238"/>
        <v>10</v>
      </c>
      <c r="U496" s="15" t="str">
        <f>_xlfn.TEXTJOIN(", ",TRUE,ABS(MID(B496,{1,1,2},1)-MID(B496,{2,3,3},1)))</f>
        <v>5, 0, 5</v>
      </c>
      <c r="V496" s="54">
        <v>0</v>
      </c>
      <c r="W496" s="54">
        <v>1</v>
      </c>
      <c r="X496" s="54">
        <v>2</v>
      </c>
      <c r="Y496" s="54">
        <v>3</v>
      </c>
      <c r="Z496" s="54">
        <v>4</v>
      </c>
      <c r="AA496" s="54">
        <v>5</v>
      </c>
      <c r="AB496" s="54">
        <v>6</v>
      </c>
      <c r="AC496" s="54">
        <v>7</v>
      </c>
      <c r="AD496" s="54">
        <v>8</v>
      </c>
      <c r="AE496" s="54">
        <v>9</v>
      </c>
      <c r="AF496" s="55">
        <v>0</v>
      </c>
      <c r="AG496" s="55">
        <v>1</v>
      </c>
      <c r="AH496" s="55">
        <v>2</v>
      </c>
      <c r="AI496" s="55">
        <v>3</v>
      </c>
      <c r="AJ496" s="55">
        <v>4</v>
      </c>
      <c r="AK496" s="55">
        <v>5</v>
      </c>
      <c r="AL496" s="55">
        <v>6</v>
      </c>
      <c r="AM496" s="55">
        <v>7</v>
      </c>
      <c r="AN496" s="55">
        <v>8</v>
      </c>
      <c r="AO496" s="55">
        <v>9</v>
      </c>
      <c r="AP496" s="105">
        <v>0</v>
      </c>
      <c r="AQ496" s="105">
        <v>1</v>
      </c>
      <c r="AR496" s="105">
        <v>2</v>
      </c>
      <c r="AS496" s="105">
        <v>3</v>
      </c>
      <c r="AT496" s="105">
        <v>4</v>
      </c>
      <c r="AU496" s="105">
        <v>5</v>
      </c>
      <c r="AV496" s="105">
        <v>6</v>
      </c>
      <c r="AW496" s="105">
        <v>7</v>
      </c>
      <c r="AX496" s="105">
        <v>8</v>
      </c>
      <c r="AY496" s="105">
        <v>9</v>
      </c>
      <c r="AZ496" s="56">
        <v>0</v>
      </c>
      <c r="BA496" s="56">
        <v>1</v>
      </c>
      <c r="BB496" s="56">
        <v>2</v>
      </c>
      <c r="BC496" s="56">
        <v>3</v>
      </c>
      <c r="BD496" s="56">
        <v>4</v>
      </c>
      <c r="BE496" s="56">
        <v>5</v>
      </c>
      <c r="BF496" s="56">
        <v>6</v>
      </c>
      <c r="BG496" s="56">
        <v>7</v>
      </c>
      <c r="BH496" s="56">
        <v>8</v>
      </c>
      <c r="BI496" s="56">
        <v>9</v>
      </c>
      <c r="BJ496" s="57" t="str">
        <f t="shared" si="239"/>
        <v>对子</v>
      </c>
      <c r="BK496" s="13">
        <f t="shared" si="235"/>
        <v>0</v>
      </c>
      <c r="BL496" s="13">
        <f t="shared" si="236"/>
        <v>5</v>
      </c>
      <c r="BM496" s="18" t="str">
        <f t="shared" si="241"/>
        <v/>
      </c>
      <c r="BN496" s="19">
        <f t="shared" si="242"/>
        <v>5</v>
      </c>
      <c r="BO496" s="19" t="str">
        <f t="array" ref="BO496">_xlfn.TEXTJOIN("",TRUE,IF(ISERROR(FIND(ROW($1:$10)-1,BM496&amp;BN496)),ROW($1:$10)-1,""))</f>
        <v>012346789</v>
      </c>
      <c r="BP496" s="20" t="str">
        <f t="shared" si="243"/>
        <v>中隔中</v>
      </c>
      <c r="BQ496" s="21" t="str">
        <f t="shared" si="254"/>
        <v/>
      </c>
      <c r="BR496" s="21">
        <f t="shared" si="252"/>
        <v>0</v>
      </c>
      <c r="BS496" s="21" t="str">
        <f t="array" ref="BS496">_xlfn.TEXTJOIN("",TRUE,IF(ISERROR(FIND(ROW($1:$10)-1,BQ496&amp;BR496)),ROW($1:$10)-1,""))</f>
        <v>123456789</v>
      </c>
      <c r="BT496" s="20" t="str">
        <f t="shared" si="244"/>
        <v>中隔中</v>
      </c>
      <c r="BU496" s="22" t="str">
        <f t="shared" si="245"/>
        <v/>
      </c>
      <c r="BV496" s="22">
        <f t="shared" si="253"/>
        <v>5</v>
      </c>
      <c r="BW496" s="22" t="str">
        <f t="array" ref="BW496">_xlfn.TEXTJOIN("",TRUE,IF(ISERROR(FIND(ROW($1:$10)-1,BU496&amp;BV496)),ROW($1:$10)-1,""))</f>
        <v>012346789</v>
      </c>
      <c r="BX496" s="20" t="str">
        <f t="shared" si="246"/>
        <v>中隔中</v>
      </c>
      <c r="BY496" s="23" t="str">
        <f t="shared" si="240"/>
        <v>46</v>
      </c>
      <c r="BZ496" s="24" t="str">
        <f t="array" ref="BZ496">_xlfn.TEXTJOIN("",TRUE,IF(ISNUMBER(FIND(MID(BY495&amp;Q495,ROW($1:$4),1),BY496&amp;Q496)),MID(BY495&amp;Q495,ROW($1:$4),1),""))</f>
        <v>54</v>
      </c>
      <c r="CA496" s="25" t="str">
        <f t="array" ref="CA496">_xlfn.TEXTJOIN("",TRUE,IF(ISERROR(FIND(ROW($1:$10)-1,BY496&amp;BZ496)),ROW($1:$10)-1,""))</f>
        <v>0123789</v>
      </c>
      <c r="CB496" s="26" t="str">
        <f t="shared" si="247"/>
        <v>邻传孤</v>
      </c>
      <c r="CC496" s="27" t="str">
        <f t="shared" si="248"/>
        <v>91</v>
      </c>
      <c r="CD496" s="27" t="str">
        <f t="array" ref="CD496">_xlfn.TEXTJOIN("",TRUE,IF(ISNUMBER(FIND(MID(CC495&amp;R495,ROW($1:$4),1),CC496&amp;R496)),MID(CC495&amp;R495,ROW($1:$4),1),""))</f>
        <v/>
      </c>
      <c r="CE496" s="27" t="str">
        <f t="array" ref="CE496">_xlfn.TEXTJOIN("",TRUE,IF(ISERROR(FIND(ROW($1:$10)-1,CC496&amp;CD496)),ROW($1:$10)-1,""))</f>
        <v>02345678</v>
      </c>
      <c r="CF496" s="17" t="str">
        <f t="shared" si="249"/>
        <v>邻孤孤</v>
      </c>
      <c r="CG496" s="22" t="str">
        <f t="shared" si="250"/>
        <v>46</v>
      </c>
      <c r="CH496" s="22" t="str">
        <f t="array" ref="CH496">_xlfn.TEXTJOIN("",TRUE,IF(ISNUMBER(FIND(MID(CG495&amp;S495,ROW($1:$4),1),CG496&amp;S496)),MID(CG495&amp;S495,ROW($1:$4),1),""))</f>
        <v/>
      </c>
      <c r="CI496" s="22" t="str">
        <f t="array" ref="CI496">_xlfn.TEXTJOIN("",TRUE,IF(ISERROR(FIND(ROW($1:$10)-1,CG496&amp;CH496)),ROW($1:$10)-1,""))</f>
        <v>01235789</v>
      </c>
      <c r="CJ496" s="28" t="str">
        <f t="shared" si="251"/>
        <v>邻孤孤</v>
      </c>
    </row>
    <row r="497" spans="1:88">
      <c r="A497" s="32">
        <v>2025272</v>
      </c>
      <c r="B497" s="8" t="s">
        <v>403</v>
      </c>
      <c r="C497" s="49">
        <f t="shared" si="260"/>
        <v>22</v>
      </c>
      <c r="D497" s="50">
        <f t="shared" si="261"/>
        <v>2</v>
      </c>
      <c r="E497" s="51">
        <f t="shared" si="237"/>
        <v>7.3333333333333304</v>
      </c>
      <c r="F497" s="52">
        <f>MAX(MID(B497,{1,2,3},1)*1)-MIN(MID(B497,{1,2,3},1)*1)</f>
        <v>3</v>
      </c>
      <c r="G497" s="104">
        <v>0</v>
      </c>
      <c r="H497" s="104">
        <v>1</v>
      </c>
      <c r="I497" s="104">
        <v>2</v>
      </c>
      <c r="J497" s="104">
        <v>3</v>
      </c>
      <c r="K497" s="104">
        <v>4</v>
      </c>
      <c r="L497" s="104">
        <v>5</v>
      </c>
      <c r="M497" s="104">
        <v>6</v>
      </c>
      <c r="N497" s="104">
        <v>7</v>
      </c>
      <c r="O497" s="104">
        <v>8</v>
      </c>
      <c r="P497" s="104">
        <v>9</v>
      </c>
      <c r="Q497" s="53">
        <f t="shared" si="262"/>
        <v>3</v>
      </c>
      <c r="R497" s="53">
        <f t="shared" si="263"/>
        <v>2</v>
      </c>
      <c r="S497" s="53">
        <f t="shared" si="264"/>
        <v>1</v>
      </c>
      <c r="T497" s="101">
        <f t="shared" si="238"/>
        <v>6</v>
      </c>
      <c r="U497" s="15" t="str">
        <f>_xlfn.TEXTJOIN(", ",TRUE,ABS(MID(B497,{1,1,2},1)-MID(B497,{2,3,3},1)))</f>
        <v>3, 2, 1</v>
      </c>
      <c r="V497" s="54">
        <v>0</v>
      </c>
      <c r="W497" s="54">
        <v>1</v>
      </c>
      <c r="X497" s="54">
        <v>2</v>
      </c>
      <c r="Y497" s="54">
        <v>3</v>
      </c>
      <c r="Z497" s="54">
        <v>4</v>
      </c>
      <c r="AA497" s="54">
        <v>5</v>
      </c>
      <c r="AB497" s="54">
        <v>6</v>
      </c>
      <c r="AC497" s="54">
        <v>7</v>
      </c>
      <c r="AD497" s="54">
        <v>8</v>
      </c>
      <c r="AE497" s="54">
        <v>9</v>
      </c>
      <c r="AF497" s="55">
        <v>0</v>
      </c>
      <c r="AG497" s="55">
        <v>1</v>
      </c>
      <c r="AH497" s="55">
        <v>2</v>
      </c>
      <c r="AI497" s="55">
        <v>3</v>
      </c>
      <c r="AJ497" s="55">
        <v>4</v>
      </c>
      <c r="AK497" s="55">
        <v>5</v>
      </c>
      <c r="AL497" s="55">
        <v>6</v>
      </c>
      <c r="AM497" s="55">
        <v>7</v>
      </c>
      <c r="AN497" s="55">
        <v>8</v>
      </c>
      <c r="AO497" s="55">
        <v>9</v>
      </c>
      <c r="AP497" s="105">
        <v>0</v>
      </c>
      <c r="AQ497" s="105">
        <v>1</v>
      </c>
      <c r="AR497" s="105">
        <v>2</v>
      </c>
      <c r="AS497" s="105">
        <v>3</v>
      </c>
      <c r="AT497" s="105">
        <v>4</v>
      </c>
      <c r="AU497" s="105">
        <v>5</v>
      </c>
      <c r="AV497" s="105">
        <v>6</v>
      </c>
      <c r="AW497" s="105">
        <v>7</v>
      </c>
      <c r="AX497" s="105">
        <v>8</v>
      </c>
      <c r="AY497" s="105">
        <v>9</v>
      </c>
      <c r="AZ497" s="56">
        <v>0</v>
      </c>
      <c r="BA497" s="56">
        <v>1</v>
      </c>
      <c r="BB497" s="56">
        <v>2</v>
      </c>
      <c r="BC497" s="56">
        <v>3</v>
      </c>
      <c r="BD497" s="56">
        <v>4</v>
      </c>
      <c r="BE497" s="56">
        <v>5</v>
      </c>
      <c r="BF497" s="56">
        <v>6</v>
      </c>
      <c r="BG497" s="56">
        <v>7</v>
      </c>
      <c r="BH497" s="56">
        <v>8</v>
      </c>
      <c r="BI497" s="56">
        <v>9</v>
      </c>
      <c r="BJ497" s="57" t="str">
        <f t="shared" si="239"/>
        <v>紧凑型</v>
      </c>
      <c r="BK497" s="13">
        <f t="shared" si="235"/>
        <v>1</v>
      </c>
      <c r="BL497" s="13">
        <f t="shared" si="236"/>
        <v>3</v>
      </c>
      <c r="BM497" s="18" t="str">
        <f t="shared" si="241"/>
        <v/>
      </c>
      <c r="BN497" s="19" t="str">
        <f t="shared" si="242"/>
        <v/>
      </c>
      <c r="BO497" s="19" t="str">
        <f t="array" ref="BO497">_xlfn.TEXTJOIN("",TRUE,IF(ISERROR(FIND(ROW($1:$10)-1,BM497&amp;BN497)),ROW($1:$10)-1,""))</f>
        <v>0123456789</v>
      </c>
      <c r="BP497" s="20" t="str">
        <f t="shared" si="243"/>
        <v>中中中</v>
      </c>
      <c r="BQ497" s="21" t="str">
        <f t="shared" si="254"/>
        <v/>
      </c>
      <c r="BR497" s="21" t="str">
        <f t="shared" si="252"/>
        <v/>
      </c>
      <c r="BS497" s="21" t="str">
        <f t="array" ref="BS497">_xlfn.TEXTJOIN("",TRUE,IF(ISERROR(FIND(ROW($1:$10)-1,BQ497&amp;BR497)),ROW($1:$10)-1,""))</f>
        <v>0123456789</v>
      </c>
      <c r="BT497" s="20" t="str">
        <f t="shared" si="244"/>
        <v>中中中</v>
      </c>
      <c r="BU497" s="22" t="str">
        <f t="shared" si="245"/>
        <v/>
      </c>
      <c r="BV497" s="22" t="str">
        <f t="shared" si="253"/>
        <v/>
      </c>
      <c r="BW497" s="22" t="str">
        <f t="array" ref="BW497">_xlfn.TEXTJOIN("",TRUE,IF(ISERROR(FIND(ROW($1:$10)-1,BU497&amp;BV497)),ROW($1:$10)-1,""))</f>
        <v>0123456789</v>
      </c>
      <c r="BX497" s="20" t="str">
        <f t="shared" si="246"/>
        <v>中中中</v>
      </c>
      <c r="BY497" s="23" t="str">
        <f t="shared" si="240"/>
        <v>24</v>
      </c>
      <c r="BZ497" s="24" t="str">
        <f t="array" ref="BZ497">_xlfn.TEXTJOIN("",TRUE,IF(ISNUMBER(FIND(MID(BY496&amp;Q496,ROW($1:$4),1),BY497&amp;Q497)),MID(BY496&amp;Q496,ROW($1:$4),1),""))</f>
        <v>4</v>
      </c>
      <c r="CA497" s="25" t="str">
        <f t="array" ref="CA497">_xlfn.TEXTJOIN("",TRUE,IF(ISERROR(FIND(ROW($1:$10)-1,BY497&amp;BZ497)),ROW($1:$10)-1,""))</f>
        <v>01356789</v>
      </c>
      <c r="CB497" s="26" t="str">
        <f t="shared" si="247"/>
        <v>邻传孤</v>
      </c>
      <c r="CC497" s="27" t="str">
        <f t="shared" si="248"/>
        <v>13</v>
      </c>
      <c r="CD497" s="27" t="str">
        <f t="array" ref="CD497">_xlfn.TEXTJOIN("",TRUE,IF(ISNUMBER(FIND(MID(CC496&amp;R496,ROW($1:$4),1),CC497&amp;R497)),MID(CC496&amp;R496,ROW($1:$4),1),""))</f>
        <v>1</v>
      </c>
      <c r="CE497" s="27" t="str">
        <f t="array" ref="CE497">_xlfn.TEXTJOIN("",TRUE,IF(ISERROR(FIND(ROW($1:$10)-1,CC497&amp;CD497)),ROW($1:$10)-1,""))</f>
        <v>02456789</v>
      </c>
      <c r="CF497" s="17" t="str">
        <f t="shared" si="249"/>
        <v>邻传孤</v>
      </c>
      <c r="CG497" s="22" t="str">
        <f t="shared" si="250"/>
        <v>02</v>
      </c>
      <c r="CH497" s="22" t="str">
        <f t="array" ref="CH497">_xlfn.TEXTJOIN("",TRUE,IF(ISNUMBER(FIND(MID(CG496&amp;S496,ROW($1:$4),1),CG497&amp;S497)),MID(CG496&amp;S496,ROW($1:$4),1),""))</f>
        <v/>
      </c>
      <c r="CI497" s="22" t="str">
        <f t="array" ref="CI497">_xlfn.TEXTJOIN("",TRUE,IF(ISERROR(FIND(ROW($1:$10)-1,CG497&amp;CH497)),ROW($1:$10)-1,""))</f>
        <v>13456789</v>
      </c>
      <c r="CJ497" s="28" t="str">
        <f t="shared" si="251"/>
        <v>邻孤孤</v>
      </c>
    </row>
    <row r="498" spans="1:88">
      <c r="A498" s="32">
        <v>2025273</v>
      </c>
      <c r="B498" s="8" t="s">
        <v>404</v>
      </c>
      <c r="C498" s="49">
        <f t="shared" si="260"/>
        <v>9</v>
      </c>
      <c r="D498" s="50">
        <f t="shared" si="261"/>
        <v>9</v>
      </c>
      <c r="E498" s="51">
        <f t="shared" si="237"/>
        <v>3</v>
      </c>
      <c r="F498" s="52">
        <f>MAX(MID(B498,{1,2,3},1)*1)-MIN(MID(B498,{1,2,3},1)*1)</f>
        <v>5</v>
      </c>
      <c r="G498" s="104">
        <v>0</v>
      </c>
      <c r="H498" s="104">
        <v>1</v>
      </c>
      <c r="I498" s="104">
        <v>2</v>
      </c>
      <c r="J498" s="104">
        <v>3</v>
      </c>
      <c r="K498" s="104">
        <v>4</v>
      </c>
      <c r="L498" s="104">
        <v>5</v>
      </c>
      <c r="M498" s="104">
        <v>6</v>
      </c>
      <c r="N498" s="104">
        <v>7</v>
      </c>
      <c r="O498" s="104">
        <v>8</v>
      </c>
      <c r="P498" s="104">
        <v>9</v>
      </c>
      <c r="Q498" s="53">
        <f t="shared" si="262"/>
        <v>4</v>
      </c>
      <c r="R498" s="53">
        <f t="shared" si="263"/>
        <v>5</v>
      </c>
      <c r="S498" s="53">
        <f t="shared" si="264"/>
        <v>1</v>
      </c>
      <c r="T498" s="101">
        <f t="shared" si="238"/>
        <v>10</v>
      </c>
      <c r="U498" s="15" t="str">
        <f>_xlfn.TEXTJOIN(", ",TRUE,ABS(MID(B498,{1,1,2},1)-MID(B498,{2,3,3},1)))</f>
        <v>4, 5, 1</v>
      </c>
      <c r="V498" s="54">
        <v>0</v>
      </c>
      <c r="W498" s="54">
        <v>1</v>
      </c>
      <c r="X498" s="54">
        <v>2</v>
      </c>
      <c r="Y498" s="54">
        <v>3</v>
      </c>
      <c r="Z498" s="54">
        <v>4</v>
      </c>
      <c r="AA498" s="54">
        <v>5</v>
      </c>
      <c r="AB498" s="54">
        <v>6</v>
      </c>
      <c r="AC498" s="54">
        <v>7</v>
      </c>
      <c r="AD498" s="54">
        <v>8</v>
      </c>
      <c r="AE498" s="54">
        <v>9</v>
      </c>
      <c r="AF498" s="55">
        <v>0</v>
      </c>
      <c r="AG498" s="55">
        <v>1</v>
      </c>
      <c r="AH498" s="55">
        <v>2</v>
      </c>
      <c r="AI498" s="55">
        <v>3</v>
      </c>
      <c r="AJ498" s="55">
        <v>4</v>
      </c>
      <c r="AK498" s="55">
        <v>5</v>
      </c>
      <c r="AL498" s="55">
        <v>6</v>
      </c>
      <c r="AM498" s="55">
        <v>7</v>
      </c>
      <c r="AN498" s="55">
        <v>8</v>
      </c>
      <c r="AO498" s="55">
        <v>9</v>
      </c>
      <c r="AP498" s="105">
        <v>0</v>
      </c>
      <c r="AQ498" s="105">
        <v>1</v>
      </c>
      <c r="AR498" s="105">
        <v>2</v>
      </c>
      <c r="AS498" s="105">
        <v>3</v>
      </c>
      <c r="AT498" s="105">
        <v>4</v>
      </c>
      <c r="AU498" s="105">
        <v>5</v>
      </c>
      <c r="AV498" s="105">
        <v>6</v>
      </c>
      <c r="AW498" s="105">
        <v>7</v>
      </c>
      <c r="AX498" s="105">
        <v>8</v>
      </c>
      <c r="AY498" s="105">
        <v>9</v>
      </c>
      <c r="AZ498" s="56">
        <v>0</v>
      </c>
      <c r="BA498" s="56">
        <v>1</v>
      </c>
      <c r="BB498" s="56">
        <v>2</v>
      </c>
      <c r="BC498" s="56">
        <v>3</v>
      </c>
      <c r="BD498" s="56">
        <v>4</v>
      </c>
      <c r="BE498" s="56">
        <v>5</v>
      </c>
      <c r="BF498" s="56">
        <v>6</v>
      </c>
      <c r="BG498" s="56">
        <v>7</v>
      </c>
      <c r="BH498" s="56">
        <v>8</v>
      </c>
      <c r="BI498" s="56">
        <v>9</v>
      </c>
      <c r="BJ498" s="57" t="str">
        <f t="shared" si="239"/>
        <v>标准型</v>
      </c>
      <c r="BK498" s="13">
        <f t="shared" si="235"/>
        <v>1</v>
      </c>
      <c r="BL498" s="13">
        <f t="shared" si="236"/>
        <v>5</v>
      </c>
      <c r="BM498" s="18" t="str">
        <f t="shared" si="241"/>
        <v/>
      </c>
      <c r="BN498" s="19" t="str">
        <f t="shared" si="242"/>
        <v/>
      </c>
      <c r="BO498" s="19" t="str">
        <f t="array" ref="BO498">_xlfn.TEXTJOIN("",TRUE,IF(ISERROR(FIND(ROW($1:$10)-1,BM498&amp;BN498)),ROW($1:$10)-1,""))</f>
        <v>0123456789</v>
      </c>
      <c r="BP498" s="20" t="str">
        <f t="shared" si="243"/>
        <v>中中中</v>
      </c>
      <c r="BQ498" s="21" t="str">
        <f t="shared" si="254"/>
        <v/>
      </c>
      <c r="BR498" s="21">
        <f t="shared" si="252"/>
        <v>5</v>
      </c>
      <c r="BS498" s="21" t="str">
        <f t="array" ref="BS498">_xlfn.TEXTJOIN("",TRUE,IF(ISERROR(FIND(ROW($1:$10)-1,BQ498&amp;BR498)),ROW($1:$10)-1,""))</f>
        <v>012346789</v>
      </c>
      <c r="BT498" s="20" t="str">
        <f t="shared" si="244"/>
        <v>中隔中</v>
      </c>
      <c r="BU498" s="22">
        <f t="shared" si="245"/>
        <v>1</v>
      </c>
      <c r="BV498" s="22" t="str">
        <f t="shared" si="253"/>
        <v/>
      </c>
      <c r="BW498" s="22" t="str">
        <f t="array" ref="BW498">_xlfn.TEXTJOIN("",TRUE,IF(ISERROR(FIND(ROW($1:$10)-1,BU498&amp;BV498)),ROW($1:$10)-1,""))</f>
        <v>023456789</v>
      </c>
      <c r="BX498" s="20" t="str">
        <f t="shared" si="246"/>
        <v>复中中</v>
      </c>
      <c r="BY498" s="23" t="str">
        <f t="shared" si="240"/>
        <v>35</v>
      </c>
      <c r="BZ498" s="24" t="str">
        <f t="array" ref="BZ498">_xlfn.TEXTJOIN("",TRUE,IF(ISNUMBER(FIND(MID(BY497&amp;Q497,ROW($1:$4),1),BY498&amp;Q498)),MID(BY497&amp;Q497,ROW($1:$4),1),""))</f>
        <v>43</v>
      </c>
      <c r="CA498" s="25" t="str">
        <f t="array" ref="CA498">_xlfn.TEXTJOIN("",TRUE,IF(ISERROR(FIND(ROW($1:$10)-1,BY498&amp;BZ498)),ROW($1:$10)-1,""))</f>
        <v>0126789</v>
      </c>
      <c r="CB498" s="26" t="str">
        <f t="shared" si="247"/>
        <v>邻传孤</v>
      </c>
      <c r="CC498" s="27" t="str">
        <f t="shared" si="248"/>
        <v>46</v>
      </c>
      <c r="CD498" s="27" t="str">
        <f t="array" ref="CD498">_xlfn.TEXTJOIN("",TRUE,IF(ISNUMBER(FIND(MID(CC497&amp;R497,ROW($1:$4),1),CC498&amp;R498)),MID(CC497&amp;R497,ROW($1:$4),1),""))</f>
        <v/>
      </c>
      <c r="CE498" s="27" t="str">
        <f t="array" ref="CE498">_xlfn.TEXTJOIN("",TRUE,IF(ISERROR(FIND(ROW($1:$10)-1,CC498&amp;CD498)),ROW($1:$10)-1,""))</f>
        <v>01235789</v>
      </c>
      <c r="CF498" s="17" t="str">
        <f t="shared" si="249"/>
        <v>邻孤孤</v>
      </c>
      <c r="CG498" s="22" t="str">
        <f t="shared" si="250"/>
        <v>02</v>
      </c>
      <c r="CH498" s="22" t="str">
        <f t="array" ref="CH498">_xlfn.TEXTJOIN("",TRUE,IF(ISNUMBER(FIND(MID(CG497&amp;S497,ROW($1:$4),1),CG498&amp;S498)),MID(CG497&amp;S497,ROW($1:$4),1),""))</f>
        <v>021</v>
      </c>
      <c r="CI498" s="22" t="str">
        <f t="array" ref="CI498">_xlfn.TEXTJOIN("",TRUE,IF(ISERROR(FIND(ROW($1:$10)-1,CG498&amp;CH498)),ROW($1:$10)-1,""))</f>
        <v>3456789</v>
      </c>
      <c r="CJ498" s="28" t="str">
        <f t="shared" si="251"/>
        <v>邻传孤</v>
      </c>
    </row>
    <row r="499" spans="1:88">
      <c r="A499" s="32">
        <v>2025274</v>
      </c>
      <c r="B499" s="8" t="s">
        <v>405</v>
      </c>
      <c r="C499" s="49">
        <f t="shared" si="260"/>
        <v>20</v>
      </c>
      <c r="D499" s="50">
        <f t="shared" si="261"/>
        <v>0</v>
      </c>
      <c r="E499" s="51">
        <f t="shared" si="237"/>
        <v>6.6666666666666696</v>
      </c>
      <c r="F499" s="52">
        <f>MAX(MID(B499,{1,2,3},1)*1)-MIN(MID(B499,{1,2,3},1)*1)</f>
        <v>4</v>
      </c>
      <c r="G499" s="104">
        <v>0</v>
      </c>
      <c r="H499" s="104">
        <v>1</v>
      </c>
      <c r="I499" s="104">
        <v>2</v>
      </c>
      <c r="J499" s="104">
        <v>3</v>
      </c>
      <c r="K499" s="104">
        <v>4</v>
      </c>
      <c r="L499" s="104">
        <v>5</v>
      </c>
      <c r="M499" s="104">
        <v>6</v>
      </c>
      <c r="N499" s="104">
        <v>7</v>
      </c>
      <c r="O499" s="104">
        <v>8</v>
      </c>
      <c r="P499" s="104">
        <v>9</v>
      </c>
      <c r="Q499" s="53">
        <f t="shared" si="262"/>
        <v>4</v>
      </c>
      <c r="R499" s="53">
        <f t="shared" si="263"/>
        <v>1</v>
      </c>
      <c r="S499" s="53">
        <f t="shared" si="264"/>
        <v>3</v>
      </c>
      <c r="T499" s="101">
        <f t="shared" si="238"/>
        <v>8</v>
      </c>
      <c r="U499" s="15" t="str">
        <f>_xlfn.TEXTJOIN(", ",TRUE,ABS(MID(B499,{1,1,2},1)-MID(B499,{2,3,3},1)))</f>
        <v>4, 1, 3</v>
      </c>
      <c r="V499" s="54">
        <v>0</v>
      </c>
      <c r="W499" s="54">
        <v>1</v>
      </c>
      <c r="X499" s="54">
        <v>2</v>
      </c>
      <c r="Y499" s="54">
        <v>3</v>
      </c>
      <c r="Z499" s="54">
        <v>4</v>
      </c>
      <c r="AA499" s="54">
        <v>5</v>
      </c>
      <c r="AB499" s="54">
        <v>6</v>
      </c>
      <c r="AC499" s="54">
        <v>7</v>
      </c>
      <c r="AD499" s="54">
        <v>8</v>
      </c>
      <c r="AE499" s="54">
        <v>9</v>
      </c>
      <c r="AF499" s="55">
        <v>0</v>
      </c>
      <c r="AG499" s="55">
        <v>1</v>
      </c>
      <c r="AH499" s="55">
        <v>2</v>
      </c>
      <c r="AI499" s="55">
        <v>3</v>
      </c>
      <c r="AJ499" s="55">
        <v>4</v>
      </c>
      <c r="AK499" s="55">
        <v>5</v>
      </c>
      <c r="AL499" s="55">
        <v>6</v>
      </c>
      <c r="AM499" s="55">
        <v>7</v>
      </c>
      <c r="AN499" s="55">
        <v>8</v>
      </c>
      <c r="AO499" s="55">
        <v>9</v>
      </c>
      <c r="AP499" s="105">
        <v>0</v>
      </c>
      <c r="AQ499" s="105">
        <v>1</v>
      </c>
      <c r="AR499" s="105">
        <v>2</v>
      </c>
      <c r="AS499" s="105">
        <v>3</v>
      </c>
      <c r="AT499" s="105">
        <v>4</v>
      </c>
      <c r="AU499" s="105">
        <v>5</v>
      </c>
      <c r="AV499" s="105">
        <v>6</v>
      </c>
      <c r="AW499" s="105">
        <v>7</v>
      </c>
      <c r="AX499" s="105">
        <v>8</v>
      </c>
      <c r="AY499" s="105">
        <v>9</v>
      </c>
      <c r="AZ499" s="56">
        <v>0</v>
      </c>
      <c r="BA499" s="56">
        <v>1</v>
      </c>
      <c r="BB499" s="56">
        <v>2</v>
      </c>
      <c r="BC499" s="56">
        <v>3</v>
      </c>
      <c r="BD499" s="56">
        <v>4</v>
      </c>
      <c r="BE499" s="56">
        <v>5</v>
      </c>
      <c r="BF499" s="56">
        <v>6</v>
      </c>
      <c r="BG499" s="56">
        <v>7</v>
      </c>
      <c r="BH499" s="56">
        <v>8</v>
      </c>
      <c r="BI499" s="56">
        <v>9</v>
      </c>
      <c r="BJ499" s="57" t="str">
        <f t="shared" si="239"/>
        <v>紧凑型</v>
      </c>
      <c r="BK499" s="13">
        <f t="shared" si="235"/>
        <v>1</v>
      </c>
      <c r="BL499" s="13">
        <f t="shared" si="236"/>
        <v>4</v>
      </c>
      <c r="BM499" s="18">
        <f t="shared" si="241"/>
        <v>4</v>
      </c>
      <c r="BN499" s="19" t="str">
        <f t="shared" si="242"/>
        <v/>
      </c>
      <c r="BO499" s="19" t="str">
        <f t="array" ref="BO499">_xlfn.TEXTJOIN("",TRUE,IF(ISERROR(FIND(ROW($1:$10)-1,BM499&amp;BN499)),ROW($1:$10)-1,""))</f>
        <v>012356789</v>
      </c>
      <c r="BP499" s="20" t="str">
        <f t="shared" si="243"/>
        <v>复中中</v>
      </c>
      <c r="BQ499" s="21">
        <f t="shared" si="254"/>
        <v>1</v>
      </c>
      <c r="BR499" s="21">
        <f t="shared" si="252"/>
        <v>1</v>
      </c>
      <c r="BS499" s="21" t="str">
        <f t="array" ref="BS499">_xlfn.TEXTJOIN("",TRUE,IF(ISERROR(FIND(ROW($1:$10)-1,BQ499&amp;BR499)),ROW($1:$10)-1,""))</f>
        <v>023456789</v>
      </c>
      <c r="BT499" s="20" t="str">
        <f t="shared" si="244"/>
        <v>复隔中</v>
      </c>
      <c r="BU499" s="22" t="str">
        <f t="shared" si="245"/>
        <v/>
      </c>
      <c r="BV499" s="22">
        <f t="shared" si="253"/>
        <v>3</v>
      </c>
      <c r="BW499" s="22" t="str">
        <f t="array" ref="BW499">_xlfn.TEXTJOIN("",TRUE,IF(ISERROR(FIND(ROW($1:$10)-1,BU499&amp;BV499)),ROW($1:$10)-1,""))</f>
        <v>012456789</v>
      </c>
      <c r="BX499" s="20" t="str">
        <f t="shared" si="246"/>
        <v>中隔中</v>
      </c>
      <c r="BY499" s="23" t="str">
        <f t="shared" si="240"/>
        <v>35</v>
      </c>
      <c r="BZ499" s="24" t="str">
        <f t="array" ref="BZ499">_xlfn.TEXTJOIN("",TRUE,IF(ISNUMBER(FIND(MID(BY498&amp;Q498,ROW($1:$4),1),BY499&amp;Q499)),MID(BY498&amp;Q498,ROW($1:$4),1),""))</f>
        <v>354</v>
      </c>
      <c r="CA499" s="25" t="str">
        <f t="array" ref="CA499">_xlfn.TEXTJOIN("",TRUE,IF(ISERROR(FIND(ROW($1:$10)-1,BY499&amp;BZ499)),ROW($1:$10)-1,""))</f>
        <v>0126789</v>
      </c>
      <c r="CB499" s="26" t="str">
        <f t="shared" si="247"/>
        <v>邻传孤</v>
      </c>
      <c r="CC499" s="27" t="str">
        <f t="shared" si="248"/>
        <v>02</v>
      </c>
      <c r="CD499" s="27" t="str">
        <f t="array" ref="CD499">_xlfn.TEXTJOIN("",TRUE,IF(ISNUMBER(FIND(MID(CC498&amp;R498,ROW($1:$4),1),CC499&amp;R499)),MID(CC498&amp;R498,ROW($1:$4),1),""))</f>
        <v/>
      </c>
      <c r="CE499" s="27" t="str">
        <f t="array" ref="CE499">_xlfn.TEXTJOIN("",TRUE,IF(ISERROR(FIND(ROW($1:$10)-1,CC499&amp;CD499)),ROW($1:$10)-1,""))</f>
        <v>13456789</v>
      </c>
      <c r="CF499" s="17" t="str">
        <f t="shared" si="249"/>
        <v>邻孤孤</v>
      </c>
      <c r="CG499" s="22" t="str">
        <f t="shared" si="250"/>
        <v>24</v>
      </c>
      <c r="CH499" s="22" t="str">
        <f t="array" ref="CH499">_xlfn.TEXTJOIN("",TRUE,IF(ISNUMBER(FIND(MID(CG498&amp;S498,ROW($1:$4),1),CG499&amp;S499)),MID(CG498&amp;S498,ROW($1:$4),1),""))</f>
        <v>2</v>
      </c>
      <c r="CI499" s="22" t="str">
        <f t="array" ref="CI499">_xlfn.TEXTJOIN("",TRUE,IF(ISERROR(FIND(ROW($1:$10)-1,CG499&amp;CH499)),ROW($1:$10)-1,""))</f>
        <v>01356789</v>
      </c>
      <c r="CJ499" s="28" t="str">
        <f t="shared" si="251"/>
        <v>邻传孤</v>
      </c>
    </row>
    <row r="500" spans="1:88">
      <c r="A500" s="32">
        <v>2025275</v>
      </c>
      <c r="B500" s="8" t="s">
        <v>312</v>
      </c>
      <c r="C500" s="49">
        <f t="shared" si="260"/>
        <v>5</v>
      </c>
      <c r="D500" s="50">
        <f t="shared" si="261"/>
        <v>5</v>
      </c>
      <c r="E500" s="51">
        <f t="shared" si="237"/>
        <v>1.6666666666666701</v>
      </c>
      <c r="F500" s="52">
        <f>MAX(MID(B500,{1,2,3},1)*1)-MIN(MID(B500,{1,2,3},1)*1)</f>
        <v>3</v>
      </c>
      <c r="G500" s="104">
        <v>0</v>
      </c>
      <c r="H500" s="104">
        <v>1</v>
      </c>
      <c r="I500" s="104">
        <v>2</v>
      </c>
      <c r="J500" s="104">
        <v>3</v>
      </c>
      <c r="K500" s="104">
        <v>4</v>
      </c>
      <c r="L500" s="104">
        <v>5</v>
      </c>
      <c r="M500" s="104">
        <v>6</v>
      </c>
      <c r="N500" s="104">
        <v>7</v>
      </c>
      <c r="O500" s="104">
        <v>8</v>
      </c>
      <c r="P500" s="104">
        <v>9</v>
      </c>
      <c r="Q500" s="53">
        <f t="shared" si="262"/>
        <v>2</v>
      </c>
      <c r="R500" s="53">
        <f t="shared" si="263"/>
        <v>1</v>
      </c>
      <c r="S500" s="53">
        <f t="shared" si="264"/>
        <v>3</v>
      </c>
      <c r="T500" s="101">
        <f t="shared" si="238"/>
        <v>6</v>
      </c>
      <c r="U500" s="15" t="str">
        <f>_xlfn.TEXTJOIN(", ",TRUE,ABS(MID(B500,{1,1,2},1)-MID(B500,{2,3,3},1)))</f>
        <v>2, 1, 3</v>
      </c>
      <c r="V500" s="54">
        <v>0</v>
      </c>
      <c r="W500" s="54">
        <v>1</v>
      </c>
      <c r="X500" s="54">
        <v>2</v>
      </c>
      <c r="Y500" s="54">
        <v>3</v>
      </c>
      <c r="Z500" s="54">
        <v>4</v>
      </c>
      <c r="AA500" s="54">
        <v>5</v>
      </c>
      <c r="AB500" s="54">
        <v>6</v>
      </c>
      <c r="AC500" s="54">
        <v>7</v>
      </c>
      <c r="AD500" s="54">
        <v>8</v>
      </c>
      <c r="AE500" s="54">
        <v>9</v>
      </c>
      <c r="AF500" s="55">
        <v>0</v>
      </c>
      <c r="AG500" s="55">
        <v>1</v>
      </c>
      <c r="AH500" s="55">
        <v>2</v>
      </c>
      <c r="AI500" s="55">
        <v>3</v>
      </c>
      <c r="AJ500" s="55">
        <v>4</v>
      </c>
      <c r="AK500" s="55">
        <v>5</v>
      </c>
      <c r="AL500" s="55">
        <v>6</v>
      </c>
      <c r="AM500" s="55">
        <v>7</v>
      </c>
      <c r="AN500" s="55">
        <v>8</v>
      </c>
      <c r="AO500" s="55">
        <v>9</v>
      </c>
      <c r="AP500" s="105">
        <v>0</v>
      </c>
      <c r="AQ500" s="105">
        <v>1</v>
      </c>
      <c r="AR500" s="105">
        <v>2</v>
      </c>
      <c r="AS500" s="105">
        <v>3</v>
      </c>
      <c r="AT500" s="105">
        <v>4</v>
      </c>
      <c r="AU500" s="105">
        <v>5</v>
      </c>
      <c r="AV500" s="105">
        <v>6</v>
      </c>
      <c r="AW500" s="105">
        <v>7</v>
      </c>
      <c r="AX500" s="105">
        <v>8</v>
      </c>
      <c r="AY500" s="105">
        <v>9</v>
      </c>
      <c r="AZ500" s="56">
        <v>0</v>
      </c>
      <c r="BA500" s="56">
        <v>1</v>
      </c>
      <c r="BB500" s="56">
        <v>2</v>
      </c>
      <c r="BC500" s="56">
        <v>3</v>
      </c>
      <c r="BD500" s="56">
        <v>4</v>
      </c>
      <c r="BE500" s="56">
        <v>5</v>
      </c>
      <c r="BF500" s="56">
        <v>6</v>
      </c>
      <c r="BG500" s="56">
        <v>7</v>
      </c>
      <c r="BH500" s="56">
        <v>8</v>
      </c>
      <c r="BI500" s="56">
        <v>9</v>
      </c>
      <c r="BJ500" s="57" t="str">
        <f t="shared" si="239"/>
        <v>紧凑型</v>
      </c>
      <c r="BK500" s="13">
        <f t="shared" si="235"/>
        <v>1</v>
      </c>
      <c r="BL500" s="13">
        <f t="shared" si="236"/>
        <v>3</v>
      </c>
      <c r="BM500" s="18" t="str">
        <f t="shared" si="241"/>
        <v/>
      </c>
      <c r="BN500" s="19" t="str">
        <f t="shared" si="242"/>
        <v/>
      </c>
      <c r="BO500" s="19" t="str">
        <f t="array" ref="BO500">_xlfn.TEXTJOIN("",TRUE,IF(ISERROR(FIND(ROW($1:$10)-1,BM500&amp;BN500)),ROW($1:$10)-1,""))</f>
        <v>0123456789</v>
      </c>
      <c r="BP500" s="20" t="str">
        <f t="shared" si="243"/>
        <v>中中中</v>
      </c>
      <c r="BQ500" s="21">
        <f t="shared" si="254"/>
        <v>1</v>
      </c>
      <c r="BR500" s="21">
        <f t="shared" si="252"/>
        <v>1</v>
      </c>
      <c r="BS500" s="21" t="str">
        <f t="array" ref="BS500">_xlfn.TEXTJOIN("",TRUE,IF(ISERROR(FIND(ROW($1:$10)-1,BQ500&amp;BR500)),ROW($1:$10)-1,""))</f>
        <v>023456789</v>
      </c>
      <c r="BT500" s="20" t="str">
        <f t="shared" si="244"/>
        <v>复隔中</v>
      </c>
      <c r="BU500" s="22">
        <f t="shared" si="245"/>
        <v>3</v>
      </c>
      <c r="BV500" s="22" t="str">
        <f t="shared" si="253"/>
        <v/>
      </c>
      <c r="BW500" s="22" t="str">
        <f t="array" ref="BW500">_xlfn.TEXTJOIN("",TRUE,IF(ISERROR(FIND(ROW($1:$10)-1,BU500&amp;BV500)),ROW($1:$10)-1,""))</f>
        <v>012456789</v>
      </c>
      <c r="BX500" s="20" t="str">
        <f t="shared" si="246"/>
        <v>复中中</v>
      </c>
      <c r="BY500" s="23" t="str">
        <f t="shared" si="240"/>
        <v>13</v>
      </c>
      <c r="BZ500" s="24" t="str">
        <f t="array" ref="BZ500">_xlfn.TEXTJOIN("",TRUE,IF(ISNUMBER(FIND(MID(BY499&amp;Q499,ROW($1:$4),1),BY500&amp;Q500)),MID(BY499&amp;Q499,ROW($1:$4),1),""))</f>
        <v>3</v>
      </c>
      <c r="CA500" s="25" t="str">
        <f t="array" ref="CA500">_xlfn.TEXTJOIN("",TRUE,IF(ISERROR(FIND(ROW($1:$10)-1,BY500&amp;BZ500)),ROW($1:$10)-1,""))</f>
        <v>02456789</v>
      </c>
      <c r="CB500" s="26" t="str">
        <f t="shared" si="247"/>
        <v>邻传孤</v>
      </c>
      <c r="CC500" s="27" t="str">
        <f t="shared" si="248"/>
        <v>02</v>
      </c>
      <c r="CD500" s="27" t="str">
        <f t="array" ref="CD500">_xlfn.TEXTJOIN("",TRUE,IF(ISNUMBER(FIND(MID(CC499&amp;R499,ROW($1:$4),1),CC500&amp;R500)),MID(CC499&amp;R499,ROW($1:$4),1),""))</f>
        <v>021</v>
      </c>
      <c r="CE500" s="27" t="str">
        <f t="array" ref="CE500">_xlfn.TEXTJOIN("",TRUE,IF(ISERROR(FIND(ROW($1:$10)-1,CC500&amp;CD500)),ROW($1:$10)-1,""))</f>
        <v>3456789</v>
      </c>
      <c r="CF500" s="17" t="str">
        <f t="shared" si="249"/>
        <v>邻传孤</v>
      </c>
      <c r="CG500" s="22" t="str">
        <f t="shared" si="250"/>
        <v>24</v>
      </c>
      <c r="CH500" s="22" t="str">
        <f t="array" ref="CH500">_xlfn.TEXTJOIN("",TRUE,IF(ISNUMBER(FIND(MID(CG499&amp;S499,ROW($1:$4),1),CG500&amp;S500)),MID(CG499&amp;S499,ROW($1:$4),1),""))</f>
        <v>243</v>
      </c>
      <c r="CI500" s="22" t="str">
        <f t="array" ref="CI500">_xlfn.TEXTJOIN("",TRUE,IF(ISERROR(FIND(ROW($1:$10)-1,CG500&amp;CH500)),ROW($1:$10)-1,""))</f>
        <v>0156789</v>
      </c>
      <c r="CJ500" s="28" t="str">
        <f t="shared" si="251"/>
        <v>邻传孤</v>
      </c>
    </row>
    <row r="501" spans="1:88">
      <c r="A501" s="32">
        <v>2025276</v>
      </c>
      <c r="B501" s="8" t="s">
        <v>287</v>
      </c>
      <c r="C501" s="49">
        <f t="shared" si="260"/>
        <v>12</v>
      </c>
      <c r="D501" s="50">
        <f t="shared" si="261"/>
        <v>2</v>
      </c>
      <c r="E501" s="51">
        <f t="shared" si="237"/>
        <v>4</v>
      </c>
      <c r="F501" s="52">
        <f>MAX(MID(B501,{1,2,3},1)*1)-MIN(MID(B501,{1,2,3},1)*1)</f>
        <v>6</v>
      </c>
      <c r="G501" s="104">
        <v>0</v>
      </c>
      <c r="H501" s="104">
        <v>1</v>
      </c>
      <c r="I501" s="104">
        <v>2</v>
      </c>
      <c r="J501" s="104">
        <v>3</v>
      </c>
      <c r="K501" s="104">
        <v>4</v>
      </c>
      <c r="L501" s="104">
        <v>5</v>
      </c>
      <c r="M501" s="104">
        <v>6</v>
      </c>
      <c r="N501" s="104">
        <v>7</v>
      </c>
      <c r="O501" s="104">
        <v>8</v>
      </c>
      <c r="P501" s="104">
        <v>9</v>
      </c>
      <c r="Q501" s="53">
        <f t="shared" si="262"/>
        <v>6</v>
      </c>
      <c r="R501" s="53">
        <f t="shared" si="263"/>
        <v>3</v>
      </c>
      <c r="S501" s="53">
        <f t="shared" si="264"/>
        <v>3</v>
      </c>
      <c r="T501" s="101">
        <f t="shared" si="238"/>
        <v>12</v>
      </c>
      <c r="U501" s="15" t="str">
        <f>_xlfn.TEXTJOIN(", ",TRUE,ABS(MID(B501,{1,1,2},1)-MID(B501,{2,3,3},1)))</f>
        <v>6, 3, 3</v>
      </c>
      <c r="V501" s="54">
        <v>0</v>
      </c>
      <c r="W501" s="54">
        <v>1</v>
      </c>
      <c r="X501" s="54">
        <v>2</v>
      </c>
      <c r="Y501" s="54">
        <v>3</v>
      </c>
      <c r="Z501" s="54">
        <v>4</v>
      </c>
      <c r="AA501" s="54">
        <v>5</v>
      </c>
      <c r="AB501" s="54">
        <v>6</v>
      </c>
      <c r="AC501" s="54">
        <v>7</v>
      </c>
      <c r="AD501" s="54">
        <v>8</v>
      </c>
      <c r="AE501" s="54">
        <v>9</v>
      </c>
      <c r="AF501" s="55">
        <v>0</v>
      </c>
      <c r="AG501" s="55">
        <v>1</v>
      </c>
      <c r="AH501" s="55">
        <v>2</v>
      </c>
      <c r="AI501" s="55">
        <v>3</v>
      </c>
      <c r="AJ501" s="55">
        <v>4</v>
      </c>
      <c r="AK501" s="55">
        <v>5</v>
      </c>
      <c r="AL501" s="55">
        <v>6</v>
      </c>
      <c r="AM501" s="55">
        <v>7</v>
      </c>
      <c r="AN501" s="55">
        <v>8</v>
      </c>
      <c r="AO501" s="55">
        <v>9</v>
      </c>
      <c r="AP501" s="105">
        <v>0</v>
      </c>
      <c r="AQ501" s="105">
        <v>1</v>
      </c>
      <c r="AR501" s="105">
        <v>2</v>
      </c>
      <c r="AS501" s="105">
        <v>3</v>
      </c>
      <c r="AT501" s="105">
        <v>4</v>
      </c>
      <c r="AU501" s="105">
        <v>5</v>
      </c>
      <c r="AV501" s="105">
        <v>6</v>
      </c>
      <c r="AW501" s="105">
        <v>7</v>
      </c>
      <c r="AX501" s="105">
        <v>8</v>
      </c>
      <c r="AY501" s="105">
        <v>9</v>
      </c>
      <c r="AZ501" s="56">
        <v>0</v>
      </c>
      <c r="BA501" s="56">
        <v>1</v>
      </c>
      <c r="BB501" s="56">
        <v>2</v>
      </c>
      <c r="BC501" s="56">
        <v>3</v>
      </c>
      <c r="BD501" s="56">
        <v>4</v>
      </c>
      <c r="BE501" s="56">
        <v>5</v>
      </c>
      <c r="BF501" s="56">
        <v>6</v>
      </c>
      <c r="BG501" s="56">
        <v>7</v>
      </c>
      <c r="BH501" s="56">
        <v>8</v>
      </c>
      <c r="BI501" s="56">
        <v>9</v>
      </c>
      <c r="BJ501" s="57" t="str">
        <f t="shared" si="239"/>
        <v>松散型</v>
      </c>
      <c r="BK501" s="13">
        <f t="shared" si="235"/>
        <v>3</v>
      </c>
      <c r="BL501" s="13">
        <f t="shared" si="236"/>
        <v>6</v>
      </c>
      <c r="BM501" s="18" t="str">
        <f t="shared" si="241"/>
        <v/>
      </c>
      <c r="BN501" s="19" t="str">
        <f t="shared" si="242"/>
        <v/>
      </c>
      <c r="BO501" s="19" t="str">
        <f t="array" ref="BO501">_xlfn.TEXTJOIN("",TRUE,IF(ISERROR(FIND(ROW($1:$10)-1,BM501&amp;BN501)),ROW($1:$10)-1,""))</f>
        <v>0123456789</v>
      </c>
      <c r="BP501" s="20" t="str">
        <f t="shared" si="243"/>
        <v>中中中</v>
      </c>
      <c r="BQ501" s="21">
        <f t="shared" si="254"/>
        <v>3</v>
      </c>
      <c r="BR501" s="21">
        <f t="shared" si="252"/>
        <v>3</v>
      </c>
      <c r="BS501" s="21" t="str">
        <f t="array" ref="BS501">_xlfn.TEXTJOIN("",TRUE,IF(ISERROR(FIND(ROW($1:$10)-1,BQ501&amp;BR501)),ROW($1:$10)-1,""))</f>
        <v>012456789</v>
      </c>
      <c r="BT501" s="20" t="str">
        <f t="shared" si="244"/>
        <v>复隔中</v>
      </c>
      <c r="BU501" s="22">
        <f t="shared" si="245"/>
        <v>3</v>
      </c>
      <c r="BV501" s="22">
        <f t="shared" si="253"/>
        <v>3</v>
      </c>
      <c r="BW501" s="22" t="str">
        <f t="array" ref="BW501">_xlfn.TEXTJOIN("",TRUE,IF(ISERROR(FIND(ROW($1:$10)-1,BU501&amp;BV501)),ROW($1:$10)-1,""))</f>
        <v>012456789</v>
      </c>
      <c r="BX501" s="20" t="str">
        <f t="shared" si="246"/>
        <v>复隔中</v>
      </c>
      <c r="BY501" s="23" t="str">
        <f t="shared" si="240"/>
        <v>57</v>
      </c>
      <c r="BZ501" s="24" t="str">
        <f t="array" ref="BZ501">_xlfn.TEXTJOIN("",TRUE,IF(ISNUMBER(FIND(MID(BY500&amp;Q500,ROW($1:$4),1),BY501&amp;Q501)),MID(BY500&amp;Q500,ROW($1:$4),1),""))</f>
        <v/>
      </c>
      <c r="CA501" s="25" t="str">
        <f t="array" ref="CA501">_xlfn.TEXTJOIN("",TRUE,IF(ISERROR(FIND(ROW($1:$10)-1,BY501&amp;BZ501)),ROW($1:$10)-1,""))</f>
        <v>01234689</v>
      </c>
      <c r="CB501" s="26" t="str">
        <f t="shared" si="247"/>
        <v>邻孤孤</v>
      </c>
      <c r="CC501" s="27" t="str">
        <f t="shared" si="248"/>
        <v>24</v>
      </c>
      <c r="CD501" s="27" t="str">
        <f t="array" ref="CD501">_xlfn.TEXTJOIN("",TRUE,IF(ISNUMBER(FIND(MID(CC500&amp;R500,ROW($1:$4),1),CC501&amp;R501)),MID(CC500&amp;R500,ROW($1:$4),1),""))</f>
        <v>2</v>
      </c>
      <c r="CE501" s="27" t="str">
        <f t="array" ref="CE501">_xlfn.TEXTJOIN("",TRUE,IF(ISERROR(FIND(ROW($1:$10)-1,CC501&amp;CD501)),ROW($1:$10)-1,""))</f>
        <v>01356789</v>
      </c>
      <c r="CF501" s="17" t="str">
        <f t="shared" si="249"/>
        <v>邻传孤</v>
      </c>
      <c r="CG501" s="22" t="str">
        <f t="shared" si="250"/>
        <v>24</v>
      </c>
      <c r="CH501" s="22" t="str">
        <f t="array" ref="CH501">_xlfn.TEXTJOIN("",TRUE,IF(ISNUMBER(FIND(MID(CG500&amp;S500,ROW($1:$4),1),CG501&amp;S501)),MID(CG500&amp;S500,ROW($1:$4),1),""))</f>
        <v>243</v>
      </c>
      <c r="CI501" s="22" t="str">
        <f t="array" ref="CI501">_xlfn.TEXTJOIN("",TRUE,IF(ISERROR(FIND(ROW($1:$10)-1,CG501&amp;CH501)),ROW($1:$10)-1,""))</f>
        <v>0156789</v>
      </c>
      <c r="CJ501" s="28" t="str">
        <f t="shared" si="251"/>
        <v>邻传孤</v>
      </c>
    </row>
    <row r="502" spans="1:88">
      <c r="A502" s="32">
        <v>2025277</v>
      </c>
      <c r="B502" s="8" t="s">
        <v>406</v>
      </c>
      <c r="C502" s="49">
        <f t="shared" si="260"/>
        <v>7</v>
      </c>
      <c r="D502" s="50">
        <f t="shared" si="261"/>
        <v>7</v>
      </c>
      <c r="E502" s="51">
        <f t="shared" si="237"/>
        <v>2.3333333333333299</v>
      </c>
      <c r="F502" s="52">
        <f>MAX(MID(B502,{1,2,3},1)*1)-MIN(MID(B502,{1,2,3},1)*1)</f>
        <v>6</v>
      </c>
      <c r="G502" s="104">
        <v>0</v>
      </c>
      <c r="H502" s="104">
        <v>1</v>
      </c>
      <c r="I502" s="104">
        <v>2</v>
      </c>
      <c r="J502" s="104">
        <v>3</v>
      </c>
      <c r="K502" s="104">
        <v>4</v>
      </c>
      <c r="L502" s="104">
        <v>5</v>
      </c>
      <c r="M502" s="104">
        <v>6</v>
      </c>
      <c r="N502" s="104">
        <v>7</v>
      </c>
      <c r="O502" s="104">
        <v>8</v>
      </c>
      <c r="P502" s="104">
        <v>9</v>
      </c>
      <c r="Q502" s="53">
        <f t="shared" si="262"/>
        <v>6</v>
      </c>
      <c r="R502" s="53">
        <f t="shared" si="263"/>
        <v>1</v>
      </c>
      <c r="S502" s="53">
        <f t="shared" si="264"/>
        <v>5</v>
      </c>
      <c r="T502" s="101">
        <f t="shared" si="238"/>
        <v>12</v>
      </c>
      <c r="U502" s="15" t="str">
        <f>_xlfn.TEXTJOIN(", ",TRUE,ABS(MID(B502,{1,1,2},1)-MID(B502,{2,3,3},1)))</f>
        <v>6, 1, 5</v>
      </c>
      <c r="V502" s="54">
        <v>0</v>
      </c>
      <c r="W502" s="54">
        <v>1</v>
      </c>
      <c r="X502" s="54">
        <v>2</v>
      </c>
      <c r="Y502" s="54">
        <v>3</v>
      </c>
      <c r="Z502" s="54">
        <v>4</v>
      </c>
      <c r="AA502" s="54">
        <v>5</v>
      </c>
      <c r="AB502" s="54">
        <v>6</v>
      </c>
      <c r="AC502" s="54">
        <v>7</v>
      </c>
      <c r="AD502" s="54">
        <v>8</v>
      </c>
      <c r="AE502" s="54">
        <v>9</v>
      </c>
      <c r="AF502" s="55">
        <v>0</v>
      </c>
      <c r="AG502" s="55">
        <v>1</v>
      </c>
      <c r="AH502" s="55">
        <v>2</v>
      </c>
      <c r="AI502" s="55">
        <v>3</v>
      </c>
      <c r="AJ502" s="55">
        <v>4</v>
      </c>
      <c r="AK502" s="55">
        <v>5</v>
      </c>
      <c r="AL502" s="55">
        <v>6</v>
      </c>
      <c r="AM502" s="55">
        <v>7</v>
      </c>
      <c r="AN502" s="55">
        <v>8</v>
      </c>
      <c r="AO502" s="55">
        <v>9</v>
      </c>
      <c r="AP502" s="105">
        <v>0</v>
      </c>
      <c r="AQ502" s="105">
        <v>1</v>
      </c>
      <c r="AR502" s="105">
        <v>2</v>
      </c>
      <c r="AS502" s="105">
        <v>3</v>
      </c>
      <c r="AT502" s="105">
        <v>4</v>
      </c>
      <c r="AU502" s="105">
        <v>5</v>
      </c>
      <c r="AV502" s="105">
        <v>6</v>
      </c>
      <c r="AW502" s="105">
        <v>7</v>
      </c>
      <c r="AX502" s="105">
        <v>8</v>
      </c>
      <c r="AY502" s="105">
        <v>9</v>
      </c>
      <c r="AZ502" s="56">
        <v>0</v>
      </c>
      <c r="BA502" s="56">
        <v>1</v>
      </c>
      <c r="BB502" s="56">
        <v>2</v>
      </c>
      <c r="BC502" s="56">
        <v>3</v>
      </c>
      <c r="BD502" s="56">
        <v>4</v>
      </c>
      <c r="BE502" s="56">
        <v>5</v>
      </c>
      <c r="BF502" s="56">
        <v>6</v>
      </c>
      <c r="BG502" s="56">
        <v>7</v>
      </c>
      <c r="BH502" s="56">
        <v>8</v>
      </c>
      <c r="BI502" s="56">
        <v>9</v>
      </c>
      <c r="BJ502" s="57" t="str">
        <f t="shared" si="239"/>
        <v>松散型</v>
      </c>
      <c r="BK502" s="13">
        <f t="shared" si="235"/>
        <v>1</v>
      </c>
      <c r="BL502" s="13">
        <f t="shared" si="236"/>
        <v>6</v>
      </c>
      <c r="BM502" s="18">
        <f t="shared" si="241"/>
        <v>6</v>
      </c>
      <c r="BN502" s="19" t="str">
        <f t="shared" si="242"/>
        <v/>
      </c>
      <c r="BO502" s="19" t="str">
        <f t="array" ref="BO502">_xlfn.TEXTJOIN("",TRUE,IF(ISERROR(FIND(ROW($1:$10)-1,BM502&amp;BN502)),ROW($1:$10)-1,""))</f>
        <v>012345789</v>
      </c>
      <c r="BP502" s="20" t="str">
        <f t="shared" si="243"/>
        <v>复中中</v>
      </c>
      <c r="BQ502" s="21" t="str">
        <f t="shared" si="254"/>
        <v/>
      </c>
      <c r="BR502" s="21">
        <f t="shared" si="252"/>
        <v>1</v>
      </c>
      <c r="BS502" s="21" t="str">
        <f t="array" ref="BS502">_xlfn.TEXTJOIN("",TRUE,IF(ISERROR(FIND(ROW($1:$10)-1,BQ502&amp;BR502)),ROW($1:$10)-1,""))</f>
        <v>023456789</v>
      </c>
      <c r="BT502" s="20" t="str">
        <f t="shared" si="244"/>
        <v>中隔中</v>
      </c>
      <c r="BU502" s="22" t="str">
        <f t="shared" si="245"/>
        <v/>
      </c>
      <c r="BV502" s="22" t="str">
        <f t="shared" si="253"/>
        <v/>
      </c>
      <c r="BW502" s="22" t="str">
        <f t="array" ref="BW502">_xlfn.TEXTJOIN("",TRUE,IF(ISERROR(FIND(ROW($1:$10)-1,BU502&amp;BV502)),ROW($1:$10)-1,""))</f>
        <v>0123456789</v>
      </c>
      <c r="BX502" s="20" t="str">
        <f t="shared" si="246"/>
        <v>中中中</v>
      </c>
      <c r="BY502" s="23" t="str">
        <f t="shared" si="240"/>
        <v>57</v>
      </c>
      <c r="BZ502" s="24" t="str">
        <f t="array" ref="BZ502">_xlfn.TEXTJOIN("",TRUE,IF(ISNUMBER(FIND(MID(BY501&amp;Q501,ROW($1:$4),1),BY502&amp;Q502)),MID(BY501&amp;Q501,ROW($1:$4),1),""))</f>
        <v>576</v>
      </c>
      <c r="CA502" s="25" t="str">
        <f t="array" ref="CA502">_xlfn.TEXTJOIN("",TRUE,IF(ISERROR(FIND(ROW($1:$10)-1,BY502&amp;BZ502)),ROW($1:$10)-1,""))</f>
        <v>0123489</v>
      </c>
      <c r="CB502" s="26" t="str">
        <f t="shared" si="247"/>
        <v>邻传孤</v>
      </c>
      <c r="CC502" s="27" t="str">
        <f t="shared" si="248"/>
        <v>02</v>
      </c>
      <c r="CD502" s="27" t="str">
        <f t="array" ref="CD502">_xlfn.TEXTJOIN("",TRUE,IF(ISNUMBER(FIND(MID(CC501&amp;R501,ROW($1:$4),1),CC502&amp;R502)),MID(CC501&amp;R501,ROW($1:$4),1),""))</f>
        <v>2</v>
      </c>
      <c r="CE502" s="27" t="str">
        <f t="array" ref="CE502">_xlfn.TEXTJOIN("",TRUE,IF(ISERROR(FIND(ROW($1:$10)-1,CC502&amp;CD502)),ROW($1:$10)-1,""))</f>
        <v>13456789</v>
      </c>
      <c r="CF502" s="17" t="str">
        <f t="shared" si="249"/>
        <v>邻传孤</v>
      </c>
      <c r="CG502" s="22" t="str">
        <f t="shared" si="250"/>
        <v>46</v>
      </c>
      <c r="CH502" s="22" t="str">
        <f t="array" ref="CH502">_xlfn.TEXTJOIN("",TRUE,IF(ISNUMBER(FIND(MID(CG501&amp;S501,ROW($1:$4),1),CG502&amp;S502)),MID(CG501&amp;S501,ROW($1:$4),1),""))</f>
        <v>4</v>
      </c>
      <c r="CI502" s="22" t="str">
        <f t="array" ref="CI502">_xlfn.TEXTJOIN("",TRUE,IF(ISERROR(FIND(ROW($1:$10)-1,CG502&amp;CH502)),ROW($1:$10)-1,""))</f>
        <v>01235789</v>
      </c>
      <c r="CJ502" s="28" t="str">
        <f t="shared" si="251"/>
        <v>邻传孤</v>
      </c>
    </row>
    <row r="503" spans="1:88">
      <c r="A503" s="32">
        <v>2025278</v>
      </c>
      <c r="B503" s="8" t="s">
        <v>407</v>
      </c>
      <c r="C503" s="49">
        <f t="shared" si="260"/>
        <v>17</v>
      </c>
      <c r="D503" s="50">
        <f t="shared" si="261"/>
        <v>7</v>
      </c>
      <c r="E503" s="51">
        <f t="shared" si="237"/>
        <v>5.6666666666666696</v>
      </c>
      <c r="F503" s="52">
        <f>MAX(MID(B503,{1,2,3},1)*1)-MIN(MID(B503,{1,2,3},1)*1)</f>
        <v>7</v>
      </c>
      <c r="G503" s="104">
        <v>0</v>
      </c>
      <c r="H503" s="104">
        <v>1</v>
      </c>
      <c r="I503" s="104">
        <v>2</v>
      </c>
      <c r="J503" s="104">
        <v>3</v>
      </c>
      <c r="K503" s="104">
        <v>4</v>
      </c>
      <c r="L503" s="104">
        <v>5</v>
      </c>
      <c r="M503" s="104">
        <v>6</v>
      </c>
      <c r="N503" s="104">
        <v>7</v>
      </c>
      <c r="O503" s="104">
        <v>8</v>
      </c>
      <c r="P503" s="104">
        <v>9</v>
      </c>
      <c r="Q503" s="53">
        <f t="shared" si="262"/>
        <v>4</v>
      </c>
      <c r="R503" s="53">
        <f t="shared" si="263"/>
        <v>3</v>
      </c>
      <c r="S503" s="53">
        <f t="shared" si="264"/>
        <v>7</v>
      </c>
      <c r="T503" s="101">
        <f t="shared" si="238"/>
        <v>14</v>
      </c>
      <c r="U503" s="15" t="str">
        <f>_xlfn.TEXTJOIN(", ",TRUE,ABS(MID(B503,{1,1,2},1)-MID(B503,{2,3,3},1)))</f>
        <v>4, 3, 7</v>
      </c>
      <c r="V503" s="54">
        <v>0</v>
      </c>
      <c r="W503" s="54">
        <v>1</v>
      </c>
      <c r="X503" s="54">
        <v>2</v>
      </c>
      <c r="Y503" s="54">
        <v>3</v>
      </c>
      <c r="Z503" s="54">
        <v>4</v>
      </c>
      <c r="AA503" s="54">
        <v>5</v>
      </c>
      <c r="AB503" s="54">
        <v>6</v>
      </c>
      <c r="AC503" s="54">
        <v>7</v>
      </c>
      <c r="AD503" s="54">
        <v>8</v>
      </c>
      <c r="AE503" s="54">
        <v>9</v>
      </c>
      <c r="AF503" s="55">
        <v>0</v>
      </c>
      <c r="AG503" s="55">
        <v>1</v>
      </c>
      <c r="AH503" s="55">
        <v>2</v>
      </c>
      <c r="AI503" s="55">
        <v>3</v>
      </c>
      <c r="AJ503" s="55">
        <v>4</v>
      </c>
      <c r="AK503" s="55">
        <v>5</v>
      </c>
      <c r="AL503" s="55">
        <v>6</v>
      </c>
      <c r="AM503" s="55">
        <v>7</v>
      </c>
      <c r="AN503" s="55">
        <v>8</v>
      </c>
      <c r="AO503" s="55">
        <v>9</v>
      </c>
      <c r="AP503" s="105">
        <v>0</v>
      </c>
      <c r="AQ503" s="105">
        <v>1</v>
      </c>
      <c r="AR503" s="105">
        <v>2</v>
      </c>
      <c r="AS503" s="105">
        <v>3</v>
      </c>
      <c r="AT503" s="105">
        <v>4</v>
      </c>
      <c r="AU503" s="105">
        <v>5</v>
      </c>
      <c r="AV503" s="105">
        <v>6</v>
      </c>
      <c r="AW503" s="105">
        <v>7</v>
      </c>
      <c r="AX503" s="105">
        <v>8</v>
      </c>
      <c r="AY503" s="105">
        <v>9</v>
      </c>
      <c r="AZ503" s="56">
        <v>0</v>
      </c>
      <c r="BA503" s="56">
        <v>1</v>
      </c>
      <c r="BB503" s="56">
        <v>2</v>
      </c>
      <c r="BC503" s="56">
        <v>3</v>
      </c>
      <c r="BD503" s="56">
        <v>4</v>
      </c>
      <c r="BE503" s="56">
        <v>5</v>
      </c>
      <c r="BF503" s="56">
        <v>6</v>
      </c>
      <c r="BG503" s="56">
        <v>7</v>
      </c>
      <c r="BH503" s="56">
        <v>8</v>
      </c>
      <c r="BI503" s="56">
        <v>9</v>
      </c>
      <c r="BJ503" s="57" t="str">
        <f t="shared" si="239"/>
        <v>松散型</v>
      </c>
      <c r="BK503" s="13">
        <f t="shared" si="235"/>
        <v>3</v>
      </c>
      <c r="BL503" s="13">
        <f t="shared" si="236"/>
        <v>7</v>
      </c>
      <c r="BM503" s="18" t="str">
        <f t="shared" si="241"/>
        <v/>
      </c>
      <c r="BN503" s="19" t="str">
        <f t="shared" si="242"/>
        <v/>
      </c>
      <c r="BO503" s="19" t="str">
        <f t="array" ref="BO503">_xlfn.TEXTJOIN("",TRUE,IF(ISERROR(FIND(ROW($1:$10)-1,BM503&amp;BN503)),ROW($1:$10)-1,""))</f>
        <v>0123456789</v>
      </c>
      <c r="BP503" s="20" t="str">
        <f t="shared" si="243"/>
        <v>中中中</v>
      </c>
      <c r="BQ503" s="21" t="str">
        <f t="shared" si="254"/>
        <v/>
      </c>
      <c r="BR503" s="21">
        <f t="shared" si="252"/>
        <v>3</v>
      </c>
      <c r="BS503" s="21" t="str">
        <f t="array" ref="BS503">_xlfn.TEXTJOIN("",TRUE,IF(ISERROR(FIND(ROW($1:$10)-1,BQ503&amp;BR503)),ROW($1:$10)-1,""))</f>
        <v>012456789</v>
      </c>
      <c r="BT503" s="20" t="str">
        <f t="shared" si="244"/>
        <v>中隔中</v>
      </c>
      <c r="BU503" s="22" t="str">
        <f t="shared" si="245"/>
        <v/>
      </c>
      <c r="BV503" s="22" t="str">
        <f t="shared" si="253"/>
        <v/>
      </c>
      <c r="BW503" s="22" t="str">
        <f t="array" ref="BW503">_xlfn.TEXTJOIN("",TRUE,IF(ISERROR(FIND(ROW($1:$10)-1,BU503&amp;BV503)),ROW($1:$10)-1,""))</f>
        <v>0123456789</v>
      </c>
      <c r="BX503" s="20" t="str">
        <f t="shared" si="246"/>
        <v>中中中</v>
      </c>
      <c r="BY503" s="23" t="str">
        <f t="shared" si="240"/>
        <v>35</v>
      </c>
      <c r="BZ503" s="24" t="str">
        <f t="array" ref="BZ503">_xlfn.TEXTJOIN("",TRUE,IF(ISNUMBER(FIND(MID(BY502&amp;Q502,ROW($1:$4),1),BY503&amp;Q503)),MID(BY502&amp;Q502,ROW($1:$4),1),""))</f>
        <v>5</v>
      </c>
      <c r="CA503" s="25" t="str">
        <f t="array" ref="CA503">_xlfn.TEXTJOIN("",TRUE,IF(ISERROR(FIND(ROW($1:$10)-1,BY503&amp;BZ503)),ROW($1:$10)-1,""))</f>
        <v>01246789</v>
      </c>
      <c r="CB503" s="26" t="str">
        <f t="shared" si="247"/>
        <v>邻传孤</v>
      </c>
      <c r="CC503" s="27" t="str">
        <f t="shared" si="248"/>
        <v>24</v>
      </c>
      <c r="CD503" s="27" t="str">
        <f t="array" ref="CD503">_xlfn.TEXTJOIN("",TRUE,IF(ISNUMBER(FIND(MID(CC502&amp;R502,ROW($1:$4),1),CC503&amp;R503)),MID(CC502&amp;R502,ROW($1:$4),1),""))</f>
        <v>2</v>
      </c>
      <c r="CE503" s="27" t="str">
        <f t="array" ref="CE503">_xlfn.TEXTJOIN("",TRUE,IF(ISERROR(FIND(ROW($1:$10)-1,CC503&amp;CD503)),ROW($1:$10)-1,""))</f>
        <v>01356789</v>
      </c>
      <c r="CF503" s="17" t="str">
        <f t="shared" si="249"/>
        <v>邻传孤</v>
      </c>
      <c r="CG503" s="22" t="str">
        <f t="shared" si="250"/>
        <v>68</v>
      </c>
      <c r="CH503" s="22" t="str">
        <f t="array" ref="CH503">_xlfn.TEXTJOIN("",TRUE,IF(ISNUMBER(FIND(MID(CG502&amp;S502,ROW($1:$4),1),CG503&amp;S503)),MID(CG502&amp;S502,ROW($1:$4),1),""))</f>
        <v>6</v>
      </c>
      <c r="CI503" s="22" t="str">
        <f t="array" ref="CI503">_xlfn.TEXTJOIN("",TRUE,IF(ISERROR(FIND(ROW($1:$10)-1,CG503&amp;CH503)),ROW($1:$10)-1,""))</f>
        <v>01234579</v>
      </c>
      <c r="CJ503" s="28" t="str">
        <f t="shared" si="251"/>
        <v>邻传孤</v>
      </c>
    </row>
    <row r="504" spans="1:88">
      <c r="A504" s="32">
        <v>2025279</v>
      </c>
      <c r="B504" s="8" t="s">
        <v>62</v>
      </c>
      <c r="C504" s="49">
        <f t="shared" si="260"/>
        <v>14</v>
      </c>
      <c r="D504" s="50">
        <f t="shared" si="261"/>
        <v>4</v>
      </c>
      <c r="E504" s="51">
        <f t="shared" si="237"/>
        <v>4.6666666666666696</v>
      </c>
      <c r="F504" s="52">
        <f>MAX(MID(B504,{1,2,3},1)*1)-MIN(MID(B504,{1,2,3},1)*1)</f>
        <v>5</v>
      </c>
      <c r="G504" s="104">
        <v>0</v>
      </c>
      <c r="H504" s="104">
        <v>1</v>
      </c>
      <c r="I504" s="104">
        <v>2</v>
      </c>
      <c r="J504" s="104">
        <v>3</v>
      </c>
      <c r="K504" s="104">
        <v>4</v>
      </c>
      <c r="L504" s="104">
        <v>5</v>
      </c>
      <c r="M504" s="104">
        <v>6</v>
      </c>
      <c r="N504" s="104">
        <v>7</v>
      </c>
      <c r="O504" s="104">
        <v>8</v>
      </c>
      <c r="P504" s="104">
        <v>9</v>
      </c>
      <c r="Q504" s="53">
        <f t="shared" si="262"/>
        <v>2</v>
      </c>
      <c r="R504" s="53">
        <f t="shared" si="263"/>
        <v>5</v>
      </c>
      <c r="S504" s="53">
        <f t="shared" si="264"/>
        <v>3</v>
      </c>
      <c r="T504" s="101">
        <f t="shared" si="238"/>
        <v>10</v>
      </c>
      <c r="U504" s="15" t="str">
        <f>_xlfn.TEXTJOIN(", ",TRUE,ABS(MID(B504,{1,1,2},1)-MID(B504,{2,3,3},1)))</f>
        <v>2, 5, 3</v>
      </c>
      <c r="V504" s="54">
        <v>0</v>
      </c>
      <c r="W504" s="54">
        <v>1</v>
      </c>
      <c r="X504" s="54">
        <v>2</v>
      </c>
      <c r="Y504" s="54">
        <v>3</v>
      </c>
      <c r="Z504" s="54">
        <v>4</v>
      </c>
      <c r="AA504" s="54">
        <v>5</v>
      </c>
      <c r="AB504" s="54">
        <v>6</v>
      </c>
      <c r="AC504" s="54">
        <v>7</v>
      </c>
      <c r="AD504" s="54">
        <v>8</v>
      </c>
      <c r="AE504" s="54">
        <v>9</v>
      </c>
      <c r="AF504" s="55">
        <v>0</v>
      </c>
      <c r="AG504" s="55">
        <v>1</v>
      </c>
      <c r="AH504" s="55">
        <v>2</v>
      </c>
      <c r="AI504" s="55">
        <v>3</v>
      </c>
      <c r="AJ504" s="55">
        <v>4</v>
      </c>
      <c r="AK504" s="55">
        <v>5</v>
      </c>
      <c r="AL504" s="55">
        <v>6</v>
      </c>
      <c r="AM504" s="55">
        <v>7</v>
      </c>
      <c r="AN504" s="55">
        <v>8</v>
      </c>
      <c r="AO504" s="55">
        <v>9</v>
      </c>
      <c r="AP504" s="105">
        <v>0</v>
      </c>
      <c r="AQ504" s="105">
        <v>1</v>
      </c>
      <c r="AR504" s="105">
        <v>2</v>
      </c>
      <c r="AS504" s="105">
        <v>3</v>
      </c>
      <c r="AT504" s="105">
        <v>4</v>
      </c>
      <c r="AU504" s="105">
        <v>5</v>
      </c>
      <c r="AV504" s="105">
        <v>6</v>
      </c>
      <c r="AW504" s="105">
        <v>7</v>
      </c>
      <c r="AX504" s="105">
        <v>8</v>
      </c>
      <c r="AY504" s="105">
        <v>9</v>
      </c>
      <c r="AZ504" s="56">
        <v>0</v>
      </c>
      <c r="BA504" s="56">
        <v>1</v>
      </c>
      <c r="BB504" s="56">
        <v>2</v>
      </c>
      <c r="BC504" s="56">
        <v>3</v>
      </c>
      <c r="BD504" s="56">
        <v>4</v>
      </c>
      <c r="BE504" s="56">
        <v>5</v>
      </c>
      <c r="BF504" s="56">
        <v>6</v>
      </c>
      <c r="BG504" s="56">
        <v>7</v>
      </c>
      <c r="BH504" s="56">
        <v>8</v>
      </c>
      <c r="BI504" s="56">
        <v>9</v>
      </c>
      <c r="BJ504" s="57" t="str">
        <f t="shared" si="239"/>
        <v>标准型</v>
      </c>
      <c r="BK504" s="13">
        <f t="shared" si="235"/>
        <v>2</v>
      </c>
      <c r="BL504" s="13">
        <f t="shared" si="236"/>
        <v>5</v>
      </c>
      <c r="BM504" s="18" t="str">
        <f t="shared" si="241"/>
        <v/>
      </c>
      <c r="BN504" s="19" t="str">
        <f t="shared" si="242"/>
        <v/>
      </c>
      <c r="BO504" s="19" t="str">
        <f t="array" ref="BO504">_xlfn.TEXTJOIN("",TRUE,IF(ISERROR(FIND(ROW($1:$10)-1,BM504&amp;BN504)),ROW($1:$10)-1,""))</f>
        <v>0123456789</v>
      </c>
      <c r="BP504" s="20" t="str">
        <f t="shared" si="243"/>
        <v>中中中</v>
      </c>
      <c r="BQ504" s="21" t="str">
        <f t="shared" si="254"/>
        <v/>
      </c>
      <c r="BR504" s="21">
        <f t="shared" si="252"/>
        <v>5</v>
      </c>
      <c r="BS504" s="21" t="str">
        <f t="array" ref="BS504">_xlfn.TEXTJOIN("",TRUE,IF(ISERROR(FIND(ROW($1:$10)-1,BQ504&amp;BR504)),ROW($1:$10)-1,""))</f>
        <v>012346789</v>
      </c>
      <c r="BT504" s="20" t="str">
        <f t="shared" si="244"/>
        <v>中隔中</v>
      </c>
      <c r="BU504" s="22">
        <f t="shared" si="245"/>
        <v>3</v>
      </c>
      <c r="BV504" s="22" t="str">
        <f t="shared" si="253"/>
        <v/>
      </c>
      <c r="BW504" s="22" t="str">
        <f t="array" ref="BW504">_xlfn.TEXTJOIN("",TRUE,IF(ISERROR(FIND(ROW($1:$10)-1,BU504&amp;BV504)),ROW($1:$10)-1,""))</f>
        <v>012456789</v>
      </c>
      <c r="BX504" s="20" t="str">
        <f t="shared" si="246"/>
        <v>复中中</v>
      </c>
      <c r="BY504" s="23" t="str">
        <f t="shared" si="240"/>
        <v>13</v>
      </c>
      <c r="BZ504" s="24" t="str">
        <f t="array" ref="BZ504">_xlfn.TEXTJOIN("",TRUE,IF(ISNUMBER(FIND(MID(BY503&amp;Q503,ROW($1:$4),1),BY504&amp;Q504)),MID(BY503&amp;Q503,ROW($1:$4),1),""))</f>
        <v>3</v>
      </c>
      <c r="CA504" s="25" t="str">
        <f t="array" ref="CA504">_xlfn.TEXTJOIN("",TRUE,IF(ISERROR(FIND(ROW($1:$10)-1,BY504&amp;BZ504)),ROW($1:$10)-1,""))</f>
        <v>02456789</v>
      </c>
      <c r="CB504" s="26" t="str">
        <f t="shared" si="247"/>
        <v>邻传孤</v>
      </c>
      <c r="CC504" s="27" t="str">
        <f t="shared" si="248"/>
        <v>46</v>
      </c>
      <c r="CD504" s="27" t="str">
        <f t="array" ref="CD504">_xlfn.TEXTJOIN("",TRUE,IF(ISNUMBER(FIND(MID(CC503&amp;R503,ROW($1:$4),1),CC504&amp;R504)),MID(CC503&amp;R503,ROW($1:$4),1),""))</f>
        <v>4</v>
      </c>
      <c r="CE504" s="27" t="str">
        <f t="array" ref="CE504">_xlfn.TEXTJOIN("",TRUE,IF(ISERROR(FIND(ROW($1:$10)-1,CC504&amp;CD504)),ROW($1:$10)-1,""))</f>
        <v>01235789</v>
      </c>
      <c r="CF504" s="17" t="str">
        <f t="shared" si="249"/>
        <v>邻传孤</v>
      </c>
      <c r="CG504" s="22" t="str">
        <f t="shared" si="250"/>
        <v>24</v>
      </c>
      <c r="CH504" s="22" t="str">
        <f t="array" ref="CH504">_xlfn.TEXTJOIN("",TRUE,IF(ISNUMBER(FIND(MID(CG503&amp;S503,ROW($1:$4),1),CG504&amp;S504)),MID(CG503&amp;S503,ROW($1:$4),1),""))</f>
        <v/>
      </c>
      <c r="CI504" s="22" t="str">
        <f t="array" ref="CI504">_xlfn.TEXTJOIN("",TRUE,IF(ISERROR(FIND(ROW($1:$10)-1,CG504&amp;CH504)),ROW($1:$10)-1,""))</f>
        <v>01356789</v>
      </c>
      <c r="CJ504" s="28" t="str">
        <f t="shared" si="251"/>
        <v>邻孤孤</v>
      </c>
    </row>
    <row r="505" spans="1:88">
      <c r="A505" s="32">
        <v>2025280</v>
      </c>
      <c r="B505" s="8" t="s">
        <v>50</v>
      </c>
      <c r="C505" s="49">
        <f t="shared" si="260"/>
        <v>6</v>
      </c>
      <c r="D505" s="50">
        <f t="shared" si="261"/>
        <v>6</v>
      </c>
      <c r="E505" s="51">
        <f t="shared" si="237"/>
        <v>2</v>
      </c>
      <c r="F505" s="52">
        <f>MAX(MID(B505,{1,2,3},1)*1)-MIN(MID(B505,{1,2,3},1)*1)</f>
        <v>3</v>
      </c>
      <c r="G505" s="104">
        <v>0</v>
      </c>
      <c r="H505" s="104">
        <v>1</v>
      </c>
      <c r="I505" s="104">
        <v>2</v>
      </c>
      <c r="J505" s="104">
        <v>3</v>
      </c>
      <c r="K505" s="104">
        <v>4</v>
      </c>
      <c r="L505" s="104">
        <v>5</v>
      </c>
      <c r="M505" s="104">
        <v>6</v>
      </c>
      <c r="N505" s="104">
        <v>7</v>
      </c>
      <c r="O505" s="104">
        <v>8</v>
      </c>
      <c r="P505" s="104">
        <v>9</v>
      </c>
      <c r="Q505" s="53">
        <f t="shared" si="262"/>
        <v>3</v>
      </c>
      <c r="R505" s="53">
        <f t="shared" si="263"/>
        <v>3</v>
      </c>
      <c r="S505" s="53">
        <f t="shared" si="264"/>
        <v>0</v>
      </c>
      <c r="T505" s="101">
        <f t="shared" si="238"/>
        <v>6</v>
      </c>
      <c r="U505" s="15" t="str">
        <f>_xlfn.TEXTJOIN(", ",TRUE,ABS(MID(B505,{1,1,2},1)-MID(B505,{2,3,3},1)))</f>
        <v>3, 3, 0</v>
      </c>
      <c r="V505" s="54">
        <v>0</v>
      </c>
      <c r="W505" s="54">
        <v>1</v>
      </c>
      <c r="X505" s="54">
        <v>2</v>
      </c>
      <c r="Y505" s="54">
        <v>3</v>
      </c>
      <c r="Z505" s="54">
        <v>4</v>
      </c>
      <c r="AA505" s="54">
        <v>5</v>
      </c>
      <c r="AB505" s="54">
        <v>6</v>
      </c>
      <c r="AC505" s="54">
        <v>7</v>
      </c>
      <c r="AD505" s="54">
        <v>8</v>
      </c>
      <c r="AE505" s="54">
        <v>9</v>
      </c>
      <c r="AF505" s="55">
        <v>0</v>
      </c>
      <c r="AG505" s="55">
        <v>1</v>
      </c>
      <c r="AH505" s="55">
        <v>2</v>
      </c>
      <c r="AI505" s="55">
        <v>3</v>
      </c>
      <c r="AJ505" s="55">
        <v>4</v>
      </c>
      <c r="AK505" s="55">
        <v>5</v>
      </c>
      <c r="AL505" s="55">
        <v>6</v>
      </c>
      <c r="AM505" s="55">
        <v>7</v>
      </c>
      <c r="AN505" s="55">
        <v>8</v>
      </c>
      <c r="AO505" s="55">
        <v>9</v>
      </c>
      <c r="AP505" s="105">
        <v>0</v>
      </c>
      <c r="AQ505" s="105">
        <v>1</v>
      </c>
      <c r="AR505" s="105">
        <v>2</v>
      </c>
      <c r="AS505" s="105">
        <v>3</v>
      </c>
      <c r="AT505" s="105">
        <v>4</v>
      </c>
      <c r="AU505" s="105">
        <v>5</v>
      </c>
      <c r="AV505" s="105">
        <v>6</v>
      </c>
      <c r="AW505" s="105">
        <v>7</v>
      </c>
      <c r="AX505" s="105">
        <v>8</v>
      </c>
      <c r="AY505" s="105">
        <v>9</v>
      </c>
      <c r="AZ505" s="56">
        <v>0</v>
      </c>
      <c r="BA505" s="56">
        <v>1</v>
      </c>
      <c r="BB505" s="56">
        <v>2</v>
      </c>
      <c r="BC505" s="56">
        <v>3</v>
      </c>
      <c r="BD505" s="56">
        <v>4</v>
      </c>
      <c r="BE505" s="56">
        <v>5</v>
      </c>
      <c r="BF505" s="56">
        <v>6</v>
      </c>
      <c r="BG505" s="56">
        <v>7</v>
      </c>
      <c r="BH505" s="56">
        <v>8</v>
      </c>
      <c r="BI505" s="56">
        <v>9</v>
      </c>
      <c r="BJ505" s="57" t="str">
        <f t="shared" si="239"/>
        <v>紧凑型</v>
      </c>
      <c r="BK505" s="13">
        <f t="shared" si="235"/>
        <v>0</v>
      </c>
      <c r="BL505" s="13">
        <f t="shared" si="236"/>
        <v>3</v>
      </c>
      <c r="BM505" s="18">
        <f t="shared" si="241"/>
        <v>3</v>
      </c>
      <c r="BN505" s="19">
        <f t="shared" si="242"/>
        <v>3</v>
      </c>
      <c r="BO505" s="19" t="str">
        <f t="array" ref="BO505">_xlfn.TEXTJOIN("",TRUE,IF(ISERROR(FIND(ROW($1:$10)-1,BM505&amp;BN505)),ROW($1:$10)-1,""))</f>
        <v>012456789</v>
      </c>
      <c r="BP505" s="20" t="str">
        <f t="shared" si="243"/>
        <v>复隔中</v>
      </c>
      <c r="BQ505" s="21">
        <f t="shared" si="254"/>
        <v>3</v>
      </c>
      <c r="BR505" s="21">
        <f t="shared" si="252"/>
        <v>3</v>
      </c>
      <c r="BS505" s="21" t="str">
        <f t="array" ref="BS505">_xlfn.TEXTJOIN("",TRUE,IF(ISERROR(FIND(ROW($1:$10)-1,BQ505&amp;BR505)),ROW($1:$10)-1,""))</f>
        <v>012456789</v>
      </c>
      <c r="BT505" s="20" t="str">
        <f t="shared" si="244"/>
        <v>复隔中</v>
      </c>
      <c r="BU505" s="22" t="str">
        <f t="shared" si="245"/>
        <v/>
      </c>
      <c r="BV505" s="22" t="str">
        <f t="shared" si="253"/>
        <v/>
      </c>
      <c r="BW505" s="22" t="str">
        <f t="array" ref="BW505">_xlfn.TEXTJOIN("",TRUE,IF(ISERROR(FIND(ROW($1:$10)-1,BU505&amp;BV505)),ROW($1:$10)-1,""))</f>
        <v>0123456789</v>
      </c>
      <c r="BX505" s="20" t="str">
        <f t="shared" si="246"/>
        <v>中中中</v>
      </c>
      <c r="BY505" s="23" t="str">
        <f t="shared" si="240"/>
        <v>24</v>
      </c>
      <c r="BZ505" s="24" t="str">
        <f t="array" ref="BZ505">_xlfn.TEXTJOIN("",TRUE,IF(ISNUMBER(FIND(MID(BY504&amp;Q504,ROW($1:$4),1),BY505&amp;Q505)),MID(BY504&amp;Q504,ROW($1:$4),1),""))</f>
        <v>32</v>
      </c>
      <c r="CA505" s="25" t="str">
        <f t="array" ref="CA505">_xlfn.TEXTJOIN("",TRUE,IF(ISERROR(FIND(ROW($1:$10)-1,BY505&amp;BZ505)),ROW($1:$10)-1,""))</f>
        <v>0156789</v>
      </c>
      <c r="CB505" s="26" t="str">
        <f t="shared" si="247"/>
        <v>邻传孤</v>
      </c>
      <c r="CC505" s="27" t="str">
        <f t="shared" si="248"/>
        <v>24</v>
      </c>
      <c r="CD505" s="27" t="str">
        <f t="array" ref="CD505">_xlfn.TEXTJOIN("",TRUE,IF(ISNUMBER(FIND(MID(CC504&amp;R504,ROW($1:$4),1),CC505&amp;R505)),MID(CC504&amp;R504,ROW($1:$4),1),""))</f>
        <v>4</v>
      </c>
      <c r="CE505" s="27" t="str">
        <f t="array" ref="CE505">_xlfn.TEXTJOIN("",TRUE,IF(ISERROR(FIND(ROW($1:$10)-1,CC505&amp;CD505)),ROW($1:$10)-1,""))</f>
        <v>01356789</v>
      </c>
      <c r="CF505" s="17" t="str">
        <f t="shared" si="249"/>
        <v>邻传孤</v>
      </c>
      <c r="CG505" s="22" t="str">
        <f t="shared" si="250"/>
        <v>91</v>
      </c>
      <c r="CH505" s="22" t="str">
        <f t="array" ref="CH505">_xlfn.TEXTJOIN("",TRUE,IF(ISNUMBER(FIND(MID(CG504&amp;S504,ROW($1:$4),1),CG505&amp;S505)),MID(CG504&amp;S504,ROW($1:$4),1),""))</f>
        <v/>
      </c>
      <c r="CI505" s="22" t="str">
        <f t="array" ref="CI505">_xlfn.TEXTJOIN("",TRUE,IF(ISERROR(FIND(ROW($1:$10)-1,CG505&amp;CH505)),ROW($1:$10)-1,""))</f>
        <v>02345678</v>
      </c>
      <c r="CJ505" s="28" t="str">
        <f t="shared" si="251"/>
        <v>邻孤孤</v>
      </c>
    </row>
    <row r="506" spans="1:88">
      <c r="A506" s="32">
        <v>2025281</v>
      </c>
      <c r="B506" s="8" t="s">
        <v>322</v>
      </c>
      <c r="C506" s="49">
        <f t="shared" si="260"/>
        <v>24</v>
      </c>
      <c r="D506" s="50">
        <f t="shared" si="261"/>
        <v>4</v>
      </c>
      <c r="E506" s="51">
        <f t="shared" si="237"/>
        <v>8</v>
      </c>
      <c r="F506" s="52">
        <f>MAX(MID(B506,{1,2,3},1)*1)-MIN(MID(B506,{1,2,3},1)*1)</f>
        <v>2</v>
      </c>
      <c r="G506" s="104">
        <v>0</v>
      </c>
      <c r="H506" s="104">
        <v>1</v>
      </c>
      <c r="I506" s="104">
        <v>2</v>
      </c>
      <c r="J506" s="104">
        <v>3</v>
      </c>
      <c r="K506" s="104">
        <v>4</v>
      </c>
      <c r="L506" s="104">
        <v>5</v>
      </c>
      <c r="M506" s="104">
        <v>6</v>
      </c>
      <c r="N506" s="104">
        <v>7</v>
      </c>
      <c r="O506" s="104">
        <v>8</v>
      </c>
      <c r="P506" s="104">
        <v>9</v>
      </c>
      <c r="Q506" s="53">
        <f t="shared" si="262"/>
        <v>1</v>
      </c>
      <c r="R506" s="53">
        <f t="shared" si="263"/>
        <v>1</v>
      </c>
      <c r="S506" s="53">
        <f t="shared" si="264"/>
        <v>2</v>
      </c>
      <c r="T506" s="101">
        <f t="shared" si="238"/>
        <v>4</v>
      </c>
      <c r="U506" s="15" t="str">
        <f>_xlfn.TEXTJOIN(", ",TRUE,ABS(MID(B506,{1,1,2},1)-MID(B506,{2,3,3},1)))</f>
        <v>1, 1, 2</v>
      </c>
      <c r="V506" s="54">
        <v>0</v>
      </c>
      <c r="W506" s="54">
        <v>1</v>
      </c>
      <c r="X506" s="54">
        <v>2</v>
      </c>
      <c r="Y506" s="54">
        <v>3</v>
      </c>
      <c r="Z506" s="54">
        <v>4</v>
      </c>
      <c r="AA506" s="54">
        <v>5</v>
      </c>
      <c r="AB506" s="54">
        <v>6</v>
      </c>
      <c r="AC506" s="54">
        <v>7</v>
      </c>
      <c r="AD506" s="54">
        <v>8</v>
      </c>
      <c r="AE506" s="54">
        <v>9</v>
      </c>
      <c r="AF506" s="55">
        <v>0</v>
      </c>
      <c r="AG506" s="55">
        <v>1</v>
      </c>
      <c r="AH506" s="55">
        <v>2</v>
      </c>
      <c r="AI506" s="55">
        <v>3</v>
      </c>
      <c r="AJ506" s="55">
        <v>4</v>
      </c>
      <c r="AK506" s="55">
        <v>5</v>
      </c>
      <c r="AL506" s="55">
        <v>6</v>
      </c>
      <c r="AM506" s="55">
        <v>7</v>
      </c>
      <c r="AN506" s="55">
        <v>8</v>
      </c>
      <c r="AO506" s="55">
        <v>9</v>
      </c>
      <c r="AP506" s="105">
        <v>0</v>
      </c>
      <c r="AQ506" s="105">
        <v>1</v>
      </c>
      <c r="AR506" s="105">
        <v>2</v>
      </c>
      <c r="AS506" s="105">
        <v>3</v>
      </c>
      <c r="AT506" s="105">
        <v>4</v>
      </c>
      <c r="AU506" s="105">
        <v>5</v>
      </c>
      <c r="AV506" s="105">
        <v>6</v>
      </c>
      <c r="AW506" s="105">
        <v>7</v>
      </c>
      <c r="AX506" s="105">
        <v>8</v>
      </c>
      <c r="AY506" s="105">
        <v>9</v>
      </c>
      <c r="AZ506" s="56">
        <v>0</v>
      </c>
      <c r="BA506" s="56">
        <v>1</v>
      </c>
      <c r="BB506" s="56">
        <v>2</v>
      </c>
      <c r="BC506" s="56">
        <v>3</v>
      </c>
      <c r="BD506" s="56">
        <v>4</v>
      </c>
      <c r="BE506" s="56">
        <v>5</v>
      </c>
      <c r="BF506" s="56">
        <v>6</v>
      </c>
      <c r="BG506" s="56">
        <v>7</v>
      </c>
      <c r="BH506" s="56">
        <v>8</v>
      </c>
      <c r="BI506" s="56">
        <v>9</v>
      </c>
      <c r="BJ506" s="57" t="str">
        <f t="shared" si="239"/>
        <v>紧凑型</v>
      </c>
      <c r="BK506" s="13">
        <f t="shared" si="235"/>
        <v>1</v>
      </c>
      <c r="BL506" s="13">
        <f t="shared" si="236"/>
        <v>2</v>
      </c>
      <c r="BM506" s="18" t="str">
        <f t="shared" si="241"/>
        <v/>
      </c>
      <c r="BN506" s="19" t="str">
        <f t="shared" si="242"/>
        <v/>
      </c>
      <c r="BO506" s="19" t="str">
        <f t="array" ref="BO506">_xlfn.TEXTJOIN("",TRUE,IF(ISERROR(FIND(ROW($1:$10)-1,BM506&amp;BN506)),ROW($1:$10)-1,""))</f>
        <v>0123456789</v>
      </c>
      <c r="BP506" s="20" t="str">
        <f t="shared" si="243"/>
        <v>中中中</v>
      </c>
      <c r="BQ506" s="21" t="str">
        <f t="shared" si="254"/>
        <v/>
      </c>
      <c r="BR506" s="21" t="str">
        <f t="shared" si="252"/>
        <v/>
      </c>
      <c r="BS506" s="21" t="str">
        <f t="array" ref="BS506">_xlfn.TEXTJOIN("",TRUE,IF(ISERROR(FIND(ROW($1:$10)-1,BQ506&amp;BR506)),ROW($1:$10)-1,""))</f>
        <v>0123456789</v>
      </c>
      <c r="BT506" s="20" t="str">
        <f t="shared" si="244"/>
        <v>中中中</v>
      </c>
      <c r="BU506" s="22" t="str">
        <f t="shared" si="245"/>
        <v/>
      </c>
      <c r="BV506" s="22">
        <f t="shared" si="253"/>
        <v>2</v>
      </c>
      <c r="BW506" s="22" t="str">
        <f t="array" ref="BW506">_xlfn.TEXTJOIN("",TRUE,IF(ISERROR(FIND(ROW($1:$10)-1,BU506&amp;BV506)),ROW($1:$10)-1,""))</f>
        <v>013456789</v>
      </c>
      <c r="BX506" s="20" t="str">
        <f t="shared" si="246"/>
        <v>中隔中</v>
      </c>
      <c r="BY506" s="23" t="str">
        <f t="shared" si="240"/>
        <v>02</v>
      </c>
      <c r="BZ506" s="24" t="str">
        <f t="array" ref="BZ506">_xlfn.TEXTJOIN("",TRUE,IF(ISNUMBER(FIND(MID(BY505&amp;Q505,ROW($1:$4),1),BY506&amp;Q506)),MID(BY505&amp;Q505,ROW($1:$4),1),""))</f>
        <v>2</v>
      </c>
      <c r="CA506" s="25" t="str">
        <f t="array" ref="CA506">_xlfn.TEXTJOIN("",TRUE,IF(ISERROR(FIND(ROW($1:$10)-1,BY506&amp;BZ506)),ROW($1:$10)-1,""))</f>
        <v>13456789</v>
      </c>
      <c r="CB506" s="26" t="str">
        <f t="shared" si="247"/>
        <v>邻传孤</v>
      </c>
      <c r="CC506" s="27" t="str">
        <f t="shared" si="248"/>
        <v>02</v>
      </c>
      <c r="CD506" s="27" t="str">
        <f t="array" ref="CD506">_xlfn.TEXTJOIN("",TRUE,IF(ISNUMBER(FIND(MID(CC505&amp;R505,ROW($1:$4),1),CC506&amp;R506)),MID(CC505&amp;R505,ROW($1:$4),1),""))</f>
        <v>2</v>
      </c>
      <c r="CE506" s="27" t="str">
        <f t="array" ref="CE506">_xlfn.TEXTJOIN("",TRUE,IF(ISERROR(FIND(ROW($1:$10)-1,CC506&amp;CD506)),ROW($1:$10)-1,""))</f>
        <v>13456789</v>
      </c>
      <c r="CF506" s="17" t="str">
        <f t="shared" si="249"/>
        <v>邻传孤</v>
      </c>
      <c r="CG506" s="22" t="str">
        <f t="shared" si="250"/>
        <v>13</v>
      </c>
      <c r="CH506" s="22" t="str">
        <f t="array" ref="CH506">_xlfn.TEXTJOIN("",TRUE,IF(ISNUMBER(FIND(MID(CG505&amp;S505,ROW($1:$4),1),CG506&amp;S506)),MID(CG505&amp;S505,ROW($1:$4),1),""))</f>
        <v>1</v>
      </c>
      <c r="CI506" s="22" t="str">
        <f t="array" ref="CI506">_xlfn.TEXTJOIN("",TRUE,IF(ISERROR(FIND(ROW($1:$10)-1,CG506&amp;CH506)),ROW($1:$10)-1,""))</f>
        <v>02456789</v>
      </c>
      <c r="CJ506" s="28" t="str">
        <f t="shared" si="251"/>
        <v>邻传孤</v>
      </c>
    </row>
    <row r="507" spans="1:88">
      <c r="A507" s="32">
        <v>2025282</v>
      </c>
      <c r="B507" s="8" t="s">
        <v>223</v>
      </c>
      <c r="C507" s="49">
        <f t="shared" si="260"/>
        <v>11</v>
      </c>
      <c r="D507" s="50">
        <f t="shared" si="261"/>
        <v>1</v>
      </c>
      <c r="E507" s="51">
        <f t="shared" si="237"/>
        <v>3.6666666666666701</v>
      </c>
      <c r="F507" s="52">
        <f>MAX(MID(B507,{1,2,3},1)*1)-MIN(MID(B507,{1,2,3},1)*1)</f>
        <v>5</v>
      </c>
      <c r="G507" s="104">
        <v>0</v>
      </c>
      <c r="H507" s="104">
        <v>1</v>
      </c>
      <c r="I507" s="104">
        <v>2</v>
      </c>
      <c r="J507" s="104">
        <v>3</v>
      </c>
      <c r="K507" s="104">
        <v>4</v>
      </c>
      <c r="L507" s="104">
        <v>5</v>
      </c>
      <c r="M507" s="104">
        <v>6</v>
      </c>
      <c r="N507" s="104">
        <v>7</v>
      </c>
      <c r="O507" s="104">
        <v>8</v>
      </c>
      <c r="P507" s="104">
        <v>9</v>
      </c>
      <c r="Q507" s="53">
        <f t="shared" si="262"/>
        <v>3</v>
      </c>
      <c r="R507" s="53">
        <f t="shared" si="263"/>
        <v>2</v>
      </c>
      <c r="S507" s="53">
        <f t="shared" si="264"/>
        <v>5</v>
      </c>
      <c r="T507" s="101">
        <f t="shared" si="238"/>
        <v>10</v>
      </c>
      <c r="U507" s="15" t="str">
        <f>_xlfn.TEXTJOIN(", ",TRUE,ABS(MID(B507,{1,1,2},1)-MID(B507,{2,3,3},1)))</f>
        <v>3, 2, 5</v>
      </c>
      <c r="V507" s="54">
        <v>0</v>
      </c>
      <c r="W507" s="54">
        <v>1</v>
      </c>
      <c r="X507" s="54">
        <v>2</v>
      </c>
      <c r="Y507" s="54">
        <v>3</v>
      </c>
      <c r="Z507" s="54">
        <v>4</v>
      </c>
      <c r="AA507" s="54">
        <v>5</v>
      </c>
      <c r="AB507" s="54">
        <v>6</v>
      </c>
      <c r="AC507" s="54">
        <v>7</v>
      </c>
      <c r="AD507" s="54">
        <v>8</v>
      </c>
      <c r="AE507" s="54">
        <v>9</v>
      </c>
      <c r="AF507" s="55">
        <v>0</v>
      </c>
      <c r="AG507" s="55">
        <v>1</v>
      </c>
      <c r="AH507" s="55">
        <v>2</v>
      </c>
      <c r="AI507" s="55">
        <v>3</v>
      </c>
      <c r="AJ507" s="55">
        <v>4</v>
      </c>
      <c r="AK507" s="55">
        <v>5</v>
      </c>
      <c r="AL507" s="55">
        <v>6</v>
      </c>
      <c r="AM507" s="55">
        <v>7</v>
      </c>
      <c r="AN507" s="55">
        <v>8</v>
      </c>
      <c r="AO507" s="55">
        <v>9</v>
      </c>
      <c r="AP507" s="105">
        <v>0</v>
      </c>
      <c r="AQ507" s="105">
        <v>1</v>
      </c>
      <c r="AR507" s="105">
        <v>2</v>
      </c>
      <c r="AS507" s="105">
        <v>3</v>
      </c>
      <c r="AT507" s="105">
        <v>4</v>
      </c>
      <c r="AU507" s="105">
        <v>5</v>
      </c>
      <c r="AV507" s="105">
        <v>6</v>
      </c>
      <c r="AW507" s="105">
        <v>7</v>
      </c>
      <c r="AX507" s="105">
        <v>8</v>
      </c>
      <c r="AY507" s="105">
        <v>9</v>
      </c>
      <c r="AZ507" s="56">
        <v>0</v>
      </c>
      <c r="BA507" s="56">
        <v>1</v>
      </c>
      <c r="BB507" s="56">
        <v>2</v>
      </c>
      <c r="BC507" s="56">
        <v>3</v>
      </c>
      <c r="BD507" s="56">
        <v>4</v>
      </c>
      <c r="BE507" s="56">
        <v>5</v>
      </c>
      <c r="BF507" s="56">
        <v>6</v>
      </c>
      <c r="BG507" s="56">
        <v>7</v>
      </c>
      <c r="BH507" s="56">
        <v>8</v>
      </c>
      <c r="BI507" s="56">
        <v>9</v>
      </c>
      <c r="BJ507" s="57" t="str">
        <f t="shared" si="239"/>
        <v>标准型</v>
      </c>
      <c r="BK507" s="13">
        <f t="shared" si="235"/>
        <v>2</v>
      </c>
      <c r="BL507" s="13">
        <f t="shared" si="236"/>
        <v>5</v>
      </c>
      <c r="BM507" s="18" t="str">
        <f t="shared" si="241"/>
        <v/>
      </c>
      <c r="BN507" s="19">
        <f t="shared" si="242"/>
        <v>3</v>
      </c>
      <c r="BO507" s="19" t="str">
        <f t="array" ref="BO507">_xlfn.TEXTJOIN("",TRUE,IF(ISERROR(FIND(ROW($1:$10)-1,BM507&amp;BN507)),ROW($1:$10)-1,""))</f>
        <v>012456789</v>
      </c>
      <c r="BP507" s="20" t="str">
        <f t="shared" si="243"/>
        <v>中隔中</v>
      </c>
      <c r="BQ507" s="21">
        <f t="shared" si="254"/>
        <v>2</v>
      </c>
      <c r="BR507" s="21" t="str">
        <f t="shared" si="252"/>
        <v/>
      </c>
      <c r="BS507" s="21" t="str">
        <f t="array" ref="BS507">_xlfn.TEXTJOIN("",TRUE,IF(ISERROR(FIND(ROW($1:$10)-1,BQ507&amp;BR507)),ROW($1:$10)-1,""))</f>
        <v>013456789</v>
      </c>
      <c r="BT507" s="20" t="str">
        <f t="shared" si="244"/>
        <v>复中中</v>
      </c>
      <c r="BU507" s="22" t="str">
        <f t="shared" si="245"/>
        <v/>
      </c>
      <c r="BV507" s="22" t="str">
        <f t="shared" si="253"/>
        <v/>
      </c>
      <c r="BW507" s="22" t="str">
        <f t="array" ref="BW507">_xlfn.TEXTJOIN("",TRUE,IF(ISERROR(FIND(ROW($1:$10)-1,BU507&amp;BV507)),ROW($1:$10)-1,""))</f>
        <v>0123456789</v>
      </c>
      <c r="BX507" s="20" t="str">
        <f t="shared" si="246"/>
        <v>中中中</v>
      </c>
      <c r="BY507" s="23" t="str">
        <f t="shared" si="240"/>
        <v>24</v>
      </c>
      <c r="BZ507" s="24" t="str">
        <f t="array" ref="BZ507">_xlfn.TEXTJOIN("",TRUE,IF(ISNUMBER(FIND(MID(BY506&amp;Q506,ROW($1:$4),1),BY507&amp;Q507)),MID(BY506&amp;Q506,ROW($1:$4),1),""))</f>
        <v>2</v>
      </c>
      <c r="CA507" s="25" t="str">
        <f t="array" ref="CA507">_xlfn.TEXTJOIN("",TRUE,IF(ISERROR(FIND(ROW($1:$10)-1,BY507&amp;BZ507)),ROW($1:$10)-1,""))</f>
        <v>01356789</v>
      </c>
      <c r="CB507" s="26" t="str">
        <f t="shared" si="247"/>
        <v>邻传孤</v>
      </c>
      <c r="CC507" s="27" t="str">
        <f t="shared" si="248"/>
        <v>13</v>
      </c>
      <c r="CD507" s="27" t="str">
        <f t="array" ref="CD507">_xlfn.TEXTJOIN("",TRUE,IF(ISNUMBER(FIND(MID(CC506&amp;R506,ROW($1:$4),1),CC507&amp;R507)),MID(CC506&amp;R506,ROW($1:$4),1),""))</f>
        <v>21</v>
      </c>
      <c r="CE507" s="27" t="str">
        <f t="array" ref="CE507">_xlfn.TEXTJOIN("",TRUE,IF(ISERROR(FIND(ROW($1:$10)-1,CC507&amp;CD507)),ROW($1:$10)-1,""))</f>
        <v>0456789</v>
      </c>
      <c r="CF507" s="17" t="str">
        <f t="shared" si="249"/>
        <v>邻传孤</v>
      </c>
      <c r="CG507" s="22" t="str">
        <f t="shared" si="250"/>
        <v>46</v>
      </c>
      <c r="CH507" s="22" t="str">
        <f t="array" ref="CH507">_xlfn.TEXTJOIN("",TRUE,IF(ISNUMBER(FIND(MID(CG506&amp;S506,ROW($1:$4),1),CG507&amp;S507)),MID(CG506&amp;S506,ROW($1:$4),1),""))</f>
        <v/>
      </c>
      <c r="CI507" s="22" t="str">
        <f t="array" ref="CI507">_xlfn.TEXTJOIN("",TRUE,IF(ISERROR(FIND(ROW($1:$10)-1,CG507&amp;CH507)),ROW($1:$10)-1,""))</f>
        <v>01235789</v>
      </c>
      <c r="CJ507" s="28" t="str">
        <f t="shared" si="251"/>
        <v>邻孤孤</v>
      </c>
    </row>
    <row r="508" spans="1:88">
      <c r="A508" s="32">
        <v>2025283</v>
      </c>
      <c r="B508" s="8" t="s">
        <v>408</v>
      </c>
      <c r="C508" s="49">
        <f t="shared" si="260"/>
        <v>16</v>
      </c>
      <c r="D508" s="50">
        <f t="shared" si="261"/>
        <v>6</v>
      </c>
      <c r="E508" s="51">
        <f t="shared" si="237"/>
        <v>5.3333333333333304</v>
      </c>
      <c r="F508" s="52">
        <f>MAX(MID(B508,{1,2,3},1)*1)-MIN(MID(B508,{1,2,3},1)*1)</f>
        <v>2</v>
      </c>
      <c r="G508" s="104">
        <v>0</v>
      </c>
      <c r="H508" s="104">
        <v>1</v>
      </c>
      <c r="I508" s="104">
        <v>2</v>
      </c>
      <c r="J508" s="104">
        <v>3</v>
      </c>
      <c r="K508" s="104">
        <v>4</v>
      </c>
      <c r="L508" s="104">
        <v>5</v>
      </c>
      <c r="M508" s="104">
        <v>6</v>
      </c>
      <c r="N508" s="104">
        <v>7</v>
      </c>
      <c r="O508" s="104">
        <v>8</v>
      </c>
      <c r="P508" s="104">
        <v>9</v>
      </c>
      <c r="Q508" s="53">
        <f t="shared" si="262"/>
        <v>0</v>
      </c>
      <c r="R508" s="53">
        <f t="shared" si="263"/>
        <v>2</v>
      </c>
      <c r="S508" s="53">
        <f t="shared" si="264"/>
        <v>2</v>
      </c>
      <c r="T508" s="101">
        <f t="shared" si="238"/>
        <v>4</v>
      </c>
      <c r="U508" s="15" t="str">
        <f>_xlfn.TEXTJOIN(", ",TRUE,ABS(MID(B508,{1,1,2},1)-MID(B508,{2,3,3},1)))</f>
        <v>0, 2, 2</v>
      </c>
      <c r="V508" s="54">
        <v>0</v>
      </c>
      <c r="W508" s="54">
        <v>1</v>
      </c>
      <c r="X508" s="54">
        <v>2</v>
      </c>
      <c r="Y508" s="54">
        <v>3</v>
      </c>
      <c r="Z508" s="54">
        <v>4</v>
      </c>
      <c r="AA508" s="54">
        <v>5</v>
      </c>
      <c r="AB508" s="54">
        <v>6</v>
      </c>
      <c r="AC508" s="54">
        <v>7</v>
      </c>
      <c r="AD508" s="54">
        <v>8</v>
      </c>
      <c r="AE508" s="54">
        <v>9</v>
      </c>
      <c r="AF508" s="55">
        <v>0</v>
      </c>
      <c r="AG508" s="55">
        <v>1</v>
      </c>
      <c r="AH508" s="55">
        <v>2</v>
      </c>
      <c r="AI508" s="55">
        <v>3</v>
      </c>
      <c r="AJ508" s="55">
        <v>4</v>
      </c>
      <c r="AK508" s="55">
        <v>5</v>
      </c>
      <c r="AL508" s="55">
        <v>6</v>
      </c>
      <c r="AM508" s="55">
        <v>7</v>
      </c>
      <c r="AN508" s="55">
        <v>8</v>
      </c>
      <c r="AO508" s="55">
        <v>9</v>
      </c>
      <c r="AP508" s="105">
        <v>0</v>
      </c>
      <c r="AQ508" s="105">
        <v>1</v>
      </c>
      <c r="AR508" s="105">
        <v>2</v>
      </c>
      <c r="AS508" s="105">
        <v>3</v>
      </c>
      <c r="AT508" s="105">
        <v>4</v>
      </c>
      <c r="AU508" s="105">
        <v>5</v>
      </c>
      <c r="AV508" s="105">
        <v>6</v>
      </c>
      <c r="AW508" s="105">
        <v>7</v>
      </c>
      <c r="AX508" s="105">
        <v>8</v>
      </c>
      <c r="AY508" s="105">
        <v>9</v>
      </c>
      <c r="AZ508" s="56">
        <v>0</v>
      </c>
      <c r="BA508" s="56">
        <v>1</v>
      </c>
      <c r="BB508" s="56">
        <v>2</v>
      </c>
      <c r="BC508" s="56">
        <v>3</v>
      </c>
      <c r="BD508" s="56">
        <v>4</v>
      </c>
      <c r="BE508" s="56">
        <v>5</v>
      </c>
      <c r="BF508" s="56">
        <v>6</v>
      </c>
      <c r="BG508" s="56">
        <v>7</v>
      </c>
      <c r="BH508" s="56">
        <v>8</v>
      </c>
      <c r="BI508" s="56">
        <v>9</v>
      </c>
      <c r="BJ508" s="57" t="str">
        <f t="shared" si="239"/>
        <v>紧凑型</v>
      </c>
      <c r="BK508" s="13">
        <f t="shared" si="235"/>
        <v>0</v>
      </c>
      <c r="BL508" s="13">
        <f t="shared" si="236"/>
        <v>2</v>
      </c>
      <c r="BM508" s="18" t="str">
        <f t="shared" si="241"/>
        <v/>
      </c>
      <c r="BN508" s="19" t="str">
        <f t="shared" si="242"/>
        <v/>
      </c>
      <c r="BO508" s="19" t="str">
        <f t="array" ref="BO508">_xlfn.TEXTJOIN("",TRUE,IF(ISERROR(FIND(ROW($1:$10)-1,BM508&amp;BN508)),ROW($1:$10)-1,""))</f>
        <v>0123456789</v>
      </c>
      <c r="BP508" s="20" t="str">
        <f t="shared" si="243"/>
        <v>中中中</v>
      </c>
      <c r="BQ508" s="21">
        <f t="shared" si="254"/>
        <v>2</v>
      </c>
      <c r="BR508" s="21">
        <f t="shared" si="252"/>
        <v>2</v>
      </c>
      <c r="BS508" s="21" t="str">
        <f t="array" ref="BS508">_xlfn.TEXTJOIN("",TRUE,IF(ISERROR(FIND(ROW($1:$10)-1,BQ508&amp;BR508)),ROW($1:$10)-1,""))</f>
        <v>013456789</v>
      </c>
      <c r="BT508" s="20" t="str">
        <f t="shared" si="244"/>
        <v>复隔中</v>
      </c>
      <c r="BU508" s="22">
        <f t="shared" si="245"/>
        <v>2</v>
      </c>
      <c r="BV508" s="22">
        <f t="shared" si="253"/>
        <v>2</v>
      </c>
      <c r="BW508" s="22" t="str">
        <f t="array" ref="BW508">_xlfn.TEXTJOIN("",TRUE,IF(ISERROR(FIND(ROW($1:$10)-1,BU508&amp;BV508)),ROW($1:$10)-1,""))</f>
        <v>013456789</v>
      </c>
      <c r="BX508" s="20" t="str">
        <f t="shared" si="246"/>
        <v>复隔中</v>
      </c>
      <c r="BY508" s="23" t="str">
        <f t="shared" si="240"/>
        <v>91</v>
      </c>
      <c r="BZ508" s="24" t="str">
        <f t="array" ref="BZ508">_xlfn.TEXTJOIN("",TRUE,IF(ISNUMBER(FIND(MID(BY507&amp;Q507,ROW($1:$4),1),BY508&amp;Q508)),MID(BY507&amp;Q507,ROW($1:$4),1),""))</f>
        <v/>
      </c>
      <c r="CA508" s="25" t="str">
        <f t="array" ref="CA508">_xlfn.TEXTJOIN("",TRUE,IF(ISERROR(FIND(ROW($1:$10)-1,BY508&amp;BZ508)),ROW($1:$10)-1,""))</f>
        <v>02345678</v>
      </c>
      <c r="CB508" s="26" t="str">
        <f t="shared" si="247"/>
        <v>邻孤孤</v>
      </c>
      <c r="CC508" s="27" t="str">
        <f t="shared" si="248"/>
        <v>13</v>
      </c>
      <c r="CD508" s="27" t="str">
        <f t="array" ref="CD508">_xlfn.TEXTJOIN("",TRUE,IF(ISNUMBER(FIND(MID(CC507&amp;R507,ROW($1:$4),1),CC508&amp;R508)),MID(CC507&amp;R507,ROW($1:$4),1),""))</f>
        <v>132</v>
      </c>
      <c r="CE508" s="27" t="str">
        <f t="array" ref="CE508">_xlfn.TEXTJOIN("",TRUE,IF(ISERROR(FIND(ROW($1:$10)-1,CC508&amp;CD508)),ROW($1:$10)-1,""))</f>
        <v>0456789</v>
      </c>
      <c r="CF508" s="17" t="str">
        <f t="shared" si="249"/>
        <v>邻传孤</v>
      </c>
      <c r="CG508" s="22" t="str">
        <f t="shared" si="250"/>
        <v>13</v>
      </c>
      <c r="CH508" s="22" t="str">
        <f t="array" ref="CH508">_xlfn.TEXTJOIN("",TRUE,IF(ISNUMBER(FIND(MID(CG507&amp;S507,ROW($1:$4),1),CG508&amp;S508)),MID(CG507&amp;S507,ROW($1:$4),1),""))</f>
        <v/>
      </c>
      <c r="CI508" s="22" t="str">
        <f t="array" ref="CI508">_xlfn.TEXTJOIN("",TRUE,IF(ISERROR(FIND(ROW($1:$10)-1,CG508&amp;CH508)),ROW($1:$10)-1,""))</f>
        <v>02456789</v>
      </c>
      <c r="CJ508" s="28" t="str">
        <f t="shared" si="251"/>
        <v>邻孤孤</v>
      </c>
    </row>
    <row r="509" spans="1:88">
      <c r="A509" s="32">
        <v>2025284</v>
      </c>
      <c r="B509" s="8" t="s">
        <v>409</v>
      </c>
      <c r="C509" s="49">
        <f t="shared" si="260"/>
        <v>16</v>
      </c>
      <c r="D509" s="50">
        <f t="shared" si="261"/>
        <v>6</v>
      </c>
      <c r="E509" s="51">
        <f t="shared" si="237"/>
        <v>5.3333333333333304</v>
      </c>
      <c r="F509" s="52">
        <f>MAX(MID(B509,{1,2,3},1)*1)-MIN(MID(B509,{1,2,3},1)*1)</f>
        <v>4</v>
      </c>
      <c r="G509" s="104">
        <v>0</v>
      </c>
      <c r="H509" s="104">
        <v>1</v>
      </c>
      <c r="I509" s="104">
        <v>2</v>
      </c>
      <c r="J509" s="104">
        <v>3</v>
      </c>
      <c r="K509" s="104">
        <v>4</v>
      </c>
      <c r="L509" s="104">
        <v>5</v>
      </c>
      <c r="M509" s="104">
        <v>6</v>
      </c>
      <c r="N509" s="104">
        <v>7</v>
      </c>
      <c r="O509" s="104">
        <v>8</v>
      </c>
      <c r="P509" s="104">
        <v>9</v>
      </c>
      <c r="Q509" s="53">
        <f t="shared" si="262"/>
        <v>4</v>
      </c>
      <c r="R509" s="53">
        <f t="shared" si="263"/>
        <v>4</v>
      </c>
      <c r="S509" s="53">
        <f t="shared" si="264"/>
        <v>0</v>
      </c>
      <c r="T509" s="101">
        <f t="shared" si="238"/>
        <v>8</v>
      </c>
      <c r="U509" s="15" t="str">
        <f>_xlfn.TEXTJOIN(", ",TRUE,ABS(MID(B509,{1,1,2},1)-MID(B509,{2,3,3},1)))</f>
        <v>4, 4, 0</v>
      </c>
      <c r="V509" s="54">
        <v>0</v>
      </c>
      <c r="W509" s="54">
        <v>1</v>
      </c>
      <c r="X509" s="54">
        <v>2</v>
      </c>
      <c r="Y509" s="54">
        <v>3</v>
      </c>
      <c r="Z509" s="54">
        <v>4</v>
      </c>
      <c r="AA509" s="54">
        <v>5</v>
      </c>
      <c r="AB509" s="54">
        <v>6</v>
      </c>
      <c r="AC509" s="54">
        <v>7</v>
      </c>
      <c r="AD509" s="54">
        <v>8</v>
      </c>
      <c r="AE509" s="54">
        <v>9</v>
      </c>
      <c r="AF509" s="55">
        <v>0</v>
      </c>
      <c r="AG509" s="55">
        <v>1</v>
      </c>
      <c r="AH509" s="55">
        <v>2</v>
      </c>
      <c r="AI509" s="55">
        <v>3</v>
      </c>
      <c r="AJ509" s="55">
        <v>4</v>
      </c>
      <c r="AK509" s="55">
        <v>5</v>
      </c>
      <c r="AL509" s="55">
        <v>6</v>
      </c>
      <c r="AM509" s="55">
        <v>7</v>
      </c>
      <c r="AN509" s="55">
        <v>8</v>
      </c>
      <c r="AO509" s="55">
        <v>9</v>
      </c>
      <c r="AP509" s="105">
        <v>0</v>
      </c>
      <c r="AQ509" s="105">
        <v>1</v>
      </c>
      <c r="AR509" s="105">
        <v>2</v>
      </c>
      <c r="AS509" s="105">
        <v>3</v>
      </c>
      <c r="AT509" s="105">
        <v>4</v>
      </c>
      <c r="AU509" s="105">
        <v>5</v>
      </c>
      <c r="AV509" s="105">
        <v>6</v>
      </c>
      <c r="AW509" s="105">
        <v>7</v>
      </c>
      <c r="AX509" s="105">
        <v>8</v>
      </c>
      <c r="AY509" s="105">
        <v>9</v>
      </c>
      <c r="AZ509" s="56">
        <v>0</v>
      </c>
      <c r="BA509" s="56">
        <v>1</v>
      </c>
      <c r="BB509" s="56">
        <v>2</v>
      </c>
      <c r="BC509" s="56">
        <v>3</v>
      </c>
      <c r="BD509" s="56">
        <v>4</v>
      </c>
      <c r="BE509" s="56">
        <v>5</v>
      </c>
      <c r="BF509" s="56">
        <v>6</v>
      </c>
      <c r="BG509" s="56">
        <v>7</v>
      </c>
      <c r="BH509" s="56">
        <v>8</v>
      </c>
      <c r="BI509" s="56">
        <v>9</v>
      </c>
      <c r="BJ509" s="57" t="str">
        <f t="shared" si="239"/>
        <v>紧凑型</v>
      </c>
      <c r="BK509" s="13">
        <f t="shared" si="235"/>
        <v>0</v>
      </c>
      <c r="BL509" s="13">
        <f t="shared" si="236"/>
        <v>4</v>
      </c>
      <c r="BM509" s="18" t="str">
        <f t="shared" si="241"/>
        <v/>
      </c>
      <c r="BN509" s="19" t="str">
        <f t="shared" si="242"/>
        <v/>
      </c>
      <c r="BO509" s="19" t="str">
        <f t="array" ref="BO509">_xlfn.TEXTJOIN("",TRUE,IF(ISERROR(FIND(ROW($1:$10)-1,BM509&amp;BN509)),ROW($1:$10)-1,""))</f>
        <v>0123456789</v>
      </c>
      <c r="BP509" s="20" t="str">
        <f t="shared" si="243"/>
        <v>中中中</v>
      </c>
      <c r="BQ509" s="21" t="str">
        <f t="shared" si="254"/>
        <v/>
      </c>
      <c r="BR509" s="21" t="str">
        <f t="shared" si="252"/>
        <v/>
      </c>
      <c r="BS509" s="21" t="str">
        <f t="array" ref="BS509">_xlfn.TEXTJOIN("",TRUE,IF(ISERROR(FIND(ROW($1:$10)-1,BQ509&amp;BR509)),ROW($1:$10)-1,""))</f>
        <v>0123456789</v>
      </c>
      <c r="BT509" s="20" t="str">
        <f t="shared" si="244"/>
        <v>中中中</v>
      </c>
      <c r="BU509" s="22">
        <f t="shared" si="245"/>
        <v>0</v>
      </c>
      <c r="BV509" s="22" t="str">
        <f t="shared" si="253"/>
        <v/>
      </c>
      <c r="BW509" s="22" t="str">
        <f t="array" ref="BW509">_xlfn.TEXTJOIN("",TRUE,IF(ISERROR(FIND(ROW($1:$10)-1,BU509&amp;BV509)),ROW($1:$10)-1,""))</f>
        <v>123456789</v>
      </c>
      <c r="BX509" s="20" t="str">
        <f t="shared" si="246"/>
        <v>复中中</v>
      </c>
      <c r="BY509" s="23" t="str">
        <f t="shared" si="240"/>
        <v>35</v>
      </c>
      <c r="BZ509" s="24" t="str">
        <f t="array" ref="BZ509">_xlfn.TEXTJOIN("",TRUE,IF(ISNUMBER(FIND(MID(BY508&amp;Q508,ROW($1:$4),1),BY509&amp;Q509)),MID(BY508&amp;Q508,ROW($1:$4),1),""))</f>
        <v/>
      </c>
      <c r="CA509" s="25" t="str">
        <f t="array" ref="CA509">_xlfn.TEXTJOIN("",TRUE,IF(ISERROR(FIND(ROW($1:$10)-1,BY509&amp;BZ509)),ROW($1:$10)-1,""))</f>
        <v>01246789</v>
      </c>
      <c r="CB509" s="26" t="str">
        <f t="shared" si="247"/>
        <v>邻孤孤</v>
      </c>
      <c r="CC509" s="27" t="str">
        <f t="shared" si="248"/>
        <v>35</v>
      </c>
      <c r="CD509" s="27" t="str">
        <f t="array" ref="CD509">_xlfn.TEXTJOIN("",TRUE,IF(ISNUMBER(FIND(MID(CC508&amp;R508,ROW($1:$4),1),CC509&amp;R509)),MID(CC508&amp;R508,ROW($1:$4),1),""))</f>
        <v>3</v>
      </c>
      <c r="CE509" s="27" t="str">
        <f t="array" ref="CE509">_xlfn.TEXTJOIN("",TRUE,IF(ISERROR(FIND(ROW($1:$10)-1,CC509&amp;CD509)),ROW($1:$10)-1,""))</f>
        <v>01246789</v>
      </c>
      <c r="CF509" s="17" t="str">
        <f t="shared" si="249"/>
        <v>邻传孤</v>
      </c>
      <c r="CG509" s="22" t="str">
        <f t="shared" si="250"/>
        <v>91</v>
      </c>
      <c r="CH509" s="22" t="str">
        <f t="array" ref="CH509">_xlfn.TEXTJOIN("",TRUE,IF(ISNUMBER(FIND(MID(CG508&amp;S508,ROW($1:$4),1),CG509&amp;S509)),MID(CG508&amp;S508,ROW($1:$4),1),""))</f>
        <v>1</v>
      </c>
      <c r="CI509" s="22" t="str">
        <f t="array" ref="CI509">_xlfn.TEXTJOIN("",TRUE,IF(ISERROR(FIND(ROW($1:$10)-1,CG509&amp;CH509)),ROW($1:$10)-1,""))</f>
        <v>02345678</v>
      </c>
      <c r="CJ509" s="28" t="str">
        <f t="shared" si="251"/>
        <v>邻传孤</v>
      </c>
    </row>
    <row r="510" spans="1:88">
      <c r="A510" s="32">
        <v>2025285</v>
      </c>
      <c r="B510" s="8" t="s">
        <v>96</v>
      </c>
      <c r="C510" s="49">
        <f t="shared" ref="C510:C523" si="265">LEFT(B510,1)+MID(B510,2,1)+RIGHT(B510,1)</f>
        <v>10</v>
      </c>
      <c r="D510" s="50">
        <f t="shared" ref="D510:D523" si="266">MOD(LEFT(B510,1)+MID(B510,2,1)+RIGHT(B510,1),10)</f>
        <v>0</v>
      </c>
      <c r="E510" s="51">
        <f t="shared" si="237"/>
        <v>3.3333333333333299</v>
      </c>
      <c r="F510" s="52">
        <f>MAX(MID(B510,{1,2,3},1)*1)-MIN(MID(B510,{1,2,3},1)*1)</f>
        <v>6</v>
      </c>
      <c r="G510" s="104">
        <v>0</v>
      </c>
      <c r="H510" s="104">
        <v>1</v>
      </c>
      <c r="I510" s="104">
        <v>2</v>
      </c>
      <c r="J510" s="104">
        <v>3</v>
      </c>
      <c r="K510" s="104">
        <v>4</v>
      </c>
      <c r="L510" s="104">
        <v>5</v>
      </c>
      <c r="M510" s="104">
        <v>6</v>
      </c>
      <c r="N510" s="104">
        <v>7</v>
      </c>
      <c r="O510" s="104">
        <v>8</v>
      </c>
      <c r="P510" s="104">
        <v>9</v>
      </c>
      <c r="Q510" s="53">
        <f t="shared" ref="Q510:Q523" si="267">ABS(LEFT(B510,1)-MID(B510,2,1))</f>
        <v>6</v>
      </c>
      <c r="R510" s="53">
        <f t="shared" ref="R510:R523" si="268">ABS(LEFT(B510,1)-RIGHT(B510,1))</f>
        <v>1</v>
      </c>
      <c r="S510" s="53">
        <f t="shared" ref="S510:S523" si="269">ABS(MID(B510,2,1)-RIGHT(B510,1))</f>
        <v>5</v>
      </c>
      <c r="T510" s="101">
        <f t="shared" si="238"/>
        <v>12</v>
      </c>
      <c r="U510" s="15" t="str">
        <f>_xlfn.TEXTJOIN(", ",TRUE,ABS(MID(B510,{1,1,2},1)-MID(B510,{2,3,3},1)))</f>
        <v>6, 1, 5</v>
      </c>
      <c r="V510" s="54">
        <v>0</v>
      </c>
      <c r="W510" s="54">
        <v>1</v>
      </c>
      <c r="X510" s="54">
        <v>2</v>
      </c>
      <c r="Y510" s="54">
        <v>3</v>
      </c>
      <c r="Z510" s="54">
        <v>4</v>
      </c>
      <c r="AA510" s="54">
        <v>5</v>
      </c>
      <c r="AB510" s="54">
        <v>6</v>
      </c>
      <c r="AC510" s="54">
        <v>7</v>
      </c>
      <c r="AD510" s="54">
        <v>8</v>
      </c>
      <c r="AE510" s="54">
        <v>9</v>
      </c>
      <c r="AF510" s="55">
        <v>0</v>
      </c>
      <c r="AG510" s="55">
        <v>1</v>
      </c>
      <c r="AH510" s="55">
        <v>2</v>
      </c>
      <c r="AI510" s="55">
        <v>3</v>
      </c>
      <c r="AJ510" s="55">
        <v>4</v>
      </c>
      <c r="AK510" s="55">
        <v>5</v>
      </c>
      <c r="AL510" s="55">
        <v>6</v>
      </c>
      <c r="AM510" s="55">
        <v>7</v>
      </c>
      <c r="AN510" s="55">
        <v>8</v>
      </c>
      <c r="AO510" s="55">
        <v>9</v>
      </c>
      <c r="AP510" s="105">
        <v>0</v>
      </c>
      <c r="AQ510" s="105">
        <v>1</v>
      </c>
      <c r="AR510" s="105">
        <v>2</v>
      </c>
      <c r="AS510" s="105">
        <v>3</v>
      </c>
      <c r="AT510" s="105">
        <v>4</v>
      </c>
      <c r="AU510" s="105">
        <v>5</v>
      </c>
      <c r="AV510" s="105">
        <v>6</v>
      </c>
      <c r="AW510" s="105">
        <v>7</v>
      </c>
      <c r="AX510" s="105">
        <v>8</v>
      </c>
      <c r="AY510" s="105">
        <v>9</v>
      </c>
      <c r="AZ510" s="56">
        <v>0</v>
      </c>
      <c r="BA510" s="56">
        <v>1</v>
      </c>
      <c r="BB510" s="56">
        <v>2</v>
      </c>
      <c r="BC510" s="56">
        <v>3</v>
      </c>
      <c r="BD510" s="56">
        <v>4</v>
      </c>
      <c r="BE510" s="56">
        <v>5</v>
      </c>
      <c r="BF510" s="56">
        <v>6</v>
      </c>
      <c r="BG510" s="56">
        <v>7</v>
      </c>
      <c r="BH510" s="56">
        <v>8</v>
      </c>
      <c r="BI510" s="56">
        <v>9</v>
      </c>
      <c r="BJ510" s="57" t="str">
        <f t="shared" si="239"/>
        <v>松散型</v>
      </c>
      <c r="BK510" s="13">
        <f t="shared" si="235"/>
        <v>1</v>
      </c>
      <c r="BL510" s="13">
        <f t="shared" si="236"/>
        <v>6</v>
      </c>
      <c r="BM510" s="18" t="str">
        <f t="shared" si="241"/>
        <v/>
      </c>
      <c r="BN510" s="19" t="str">
        <f t="shared" si="242"/>
        <v/>
      </c>
      <c r="BO510" s="19" t="str">
        <f t="array" ref="BO510">_xlfn.TEXTJOIN("",TRUE,IF(ISERROR(FIND(ROW($1:$10)-1,BM510&amp;BN510)),ROW($1:$10)-1,""))</f>
        <v>0123456789</v>
      </c>
      <c r="BP510" s="20" t="str">
        <f t="shared" si="243"/>
        <v>中中中</v>
      </c>
      <c r="BQ510" s="21" t="str">
        <f t="shared" si="254"/>
        <v/>
      </c>
      <c r="BR510" s="21" t="str">
        <f t="shared" si="252"/>
        <v/>
      </c>
      <c r="BS510" s="21" t="str">
        <f t="array" ref="BS510">_xlfn.TEXTJOIN("",TRUE,IF(ISERROR(FIND(ROW($1:$10)-1,BQ510&amp;BR510)),ROW($1:$10)-1,""))</f>
        <v>0123456789</v>
      </c>
      <c r="BT510" s="20" t="str">
        <f t="shared" si="244"/>
        <v>中中中</v>
      </c>
      <c r="BU510" s="22" t="str">
        <f t="shared" si="245"/>
        <v/>
      </c>
      <c r="BV510" s="22" t="str">
        <f t="shared" si="253"/>
        <v/>
      </c>
      <c r="BW510" s="22" t="str">
        <f t="array" ref="BW510">_xlfn.TEXTJOIN("",TRUE,IF(ISERROR(FIND(ROW($1:$10)-1,BU510&amp;BV510)),ROW($1:$10)-1,""))</f>
        <v>0123456789</v>
      </c>
      <c r="BX510" s="20" t="str">
        <f t="shared" si="246"/>
        <v>中中中</v>
      </c>
      <c r="BY510" s="23" t="str">
        <f t="shared" si="240"/>
        <v>57</v>
      </c>
      <c r="BZ510" s="24" t="str">
        <f t="array" ref="BZ510">_xlfn.TEXTJOIN("",TRUE,IF(ISNUMBER(FIND(MID(BY509&amp;Q509,ROW($1:$4),1),BY510&amp;Q510)),MID(BY509&amp;Q509,ROW($1:$4),1),""))</f>
        <v>5</v>
      </c>
      <c r="CA510" s="25" t="str">
        <f t="array" ref="CA510">_xlfn.TEXTJOIN("",TRUE,IF(ISERROR(FIND(ROW($1:$10)-1,BY510&amp;BZ510)),ROW($1:$10)-1,""))</f>
        <v>01234689</v>
      </c>
      <c r="CB510" s="26" t="str">
        <f t="shared" si="247"/>
        <v>邻传孤</v>
      </c>
      <c r="CC510" s="27" t="str">
        <f t="shared" si="248"/>
        <v>02</v>
      </c>
      <c r="CD510" s="27" t="str">
        <f t="array" ref="CD510">_xlfn.TEXTJOIN("",TRUE,IF(ISNUMBER(FIND(MID(CC509&amp;R509,ROW($1:$4),1),CC510&amp;R510)),MID(CC509&amp;R509,ROW($1:$4),1),""))</f>
        <v/>
      </c>
      <c r="CE510" s="27" t="str">
        <f t="array" ref="CE510">_xlfn.TEXTJOIN("",TRUE,IF(ISERROR(FIND(ROW($1:$10)-1,CC510&amp;CD510)),ROW($1:$10)-1,""))</f>
        <v>13456789</v>
      </c>
      <c r="CF510" s="17" t="str">
        <f t="shared" si="249"/>
        <v>邻孤孤</v>
      </c>
      <c r="CG510" s="22" t="str">
        <f t="shared" si="250"/>
        <v>46</v>
      </c>
      <c r="CH510" s="22" t="str">
        <f t="array" ref="CH510">_xlfn.TEXTJOIN("",TRUE,IF(ISNUMBER(FIND(MID(CG509&amp;S509,ROW($1:$4),1),CG510&amp;S510)),MID(CG509&amp;S509,ROW($1:$4),1),""))</f>
        <v/>
      </c>
      <c r="CI510" s="22" t="str">
        <f t="array" ref="CI510">_xlfn.TEXTJOIN("",TRUE,IF(ISERROR(FIND(ROW($1:$10)-1,CG510&amp;CH510)),ROW($1:$10)-1,""))</f>
        <v>01235789</v>
      </c>
      <c r="CJ510" s="28" t="str">
        <f t="shared" si="251"/>
        <v>邻孤孤</v>
      </c>
    </row>
    <row r="511" spans="1:88">
      <c r="A511" s="32">
        <v>2025286</v>
      </c>
      <c r="B511" s="8" t="s">
        <v>154</v>
      </c>
      <c r="C511" s="49">
        <f t="shared" si="265"/>
        <v>17</v>
      </c>
      <c r="D511" s="50">
        <f t="shared" si="266"/>
        <v>7</v>
      </c>
      <c r="E511" s="51">
        <f t="shared" si="237"/>
        <v>5.6666666666666696</v>
      </c>
      <c r="F511" s="52">
        <f>MAX(MID(B511,{1,2,3},1)*1)-MIN(MID(B511,{1,2,3},1)*1)</f>
        <v>6</v>
      </c>
      <c r="G511" s="104">
        <v>0</v>
      </c>
      <c r="H511" s="104">
        <v>1</v>
      </c>
      <c r="I511" s="104">
        <v>2</v>
      </c>
      <c r="J511" s="104">
        <v>3</v>
      </c>
      <c r="K511" s="104">
        <v>4</v>
      </c>
      <c r="L511" s="104">
        <v>5</v>
      </c>
      <c r="M511" s="104">
        <v>6</v>
      </c>
      <c r="N511" s="104">
        <v>7</v>
      </c>
      <c r="O511" s="104">
        <v>8</v>
      </c>
      <c r="P511" s="104">
        <v>9</v>
      </c>
      <c r="Q511" s="53">
        <f t="shared" si="267"/>
        <v>6</v>
      </c>
      <c r="R511" s="53">
        <f t="shared" si="268"/>
        <v>1</v>
      </c>
      <c r="S511" s="53">
        <f t="shared" si="269"/>
        <v>5</v>
      </c>
      <c r="T511" s="101">
        <f t="shared" si="238"/>
        <v>12</v>
      </c>
      <c r="U511" s="15" t="str">
        <f>_xlfn.TEXTJOIN(", ",TRUE,ABS(MID(B511,{1,1,2},1)-MID(B511,{2,3,3},1)))</f>
        <v>6, 1, 5</v>
      </c>
      <c r="V511" s="54">
        <v>0</v>
      </c>
      <c r="W511" s="54">
        <v>1</v>
      </c>
      <c r="X511" s="54">
        <v>2</v>
      </c>
      <c r="Y511" s="54">
        <v>3</v>
      </c>
      <c r="Z511" s="54">
        <v>4</v>
      </c>
      <c r="AA511" s="54">
        <v>5</v>
      </c>
      <c r="AB511" s="54">
        <v>6</v>
      </c>
      <c r="AC511" s="54">
        <v>7</v>
      </c>
      <c r="AD511" s="54">
        <v>8</v>
      </c>
      <c r="AE511" s="54">
        <v>9</v>
      </c>
      <c r="AF511" s="55">
        <v>0</v>
      </c>
      <c r="AG511" s="55">
        <v>1</v>
      </c>
      <c r="AH511" s="55">
        <v>2</v>
      </c>
      <c r="AI511" s="55">
        <v>3</v>
      </c>
      <c r="AJ511" s="55">
        <v>4</v>
      </c>
      <c r="AK511" s="55">
        <v>5</v>
      </c>
      <c r="AL511" s="55">
        <v>6</v>
      </c>
      <c r="AM511" s="55">
        <v>7</v>
      </c>
      <c r="AN511" s="55">
        <v>8</v>
      </c>
      <c r="AO511" s="55">
        <v>9</v>
      </c>
      <c r="AP511" s="105">
        <v>0</v>
      </c>
      <c r="AQ511" s="105">
        <v>1</v>
      </c>
      <c r="AR511" s="105">
        <v>2</v>
      </c>
      <c r="AS511" s="105">
        <v>3</v>
      </c>
      <c r="AT511" s="105">
        <v>4</v>
      </c>
      <c r="AU511" s="105">
        <v>5</v>
      </c>
      <c r="AV511" s="105">
        <v>6</v>
      </c>
      <c r="AW511" s="105">
        <v>7</v>
      </c>
      <c r="AX511" s="105">
        <v>8</v>
      </c>
      <c r="AY511" s="105">
        <v>9</v>
      </c>
      <c r="AZ511" s="56">
        <v>0</v>
      </c>
      <c r="BA511" s="56">
        <v>1</v>
      </c>
      <c r="BB511" s="56">
        <v>2</v>
      </c>
      <c r="BC511" s="56">
        <v>3</v>
      </c>
      <c r="BD511" s="56">
        <v>4</v>
      </c>
      <c r="BE511" s="56">
        <v>5</v>
      </c>
      <c r="BF511" s="56">
        <v>6</v>
      </c>
      <c r="BG511" s="56">
        <v>7</v>
      </c>
      <c r="BH511" s="56">
        <v>8</v>
      </c>
      <c r="BI511" s="56">
        <v>9</v>
      </c>
      <c r="BJ511" s="57" t="str">
        <f t="shared" si="239"/>
        <v>松散型</v>
      </c>
      <c r="BK511" s="13">
        <f t="shared" si="235"/>
        <v>1</v>
      </c>
      <c r="BL511" s="13">
        <f t="shared" si="236"/>
        <v>6</v>
      </c>
      <c r="BM511" s="18">
        <f t="shared" si="241"/>
        <v>6</v>
      </c>
      <c r="BN511" s="19" t="str">
        <f t="shared" si="242"/>
        <v/>
      </c>
      <c r="BO511" s="19" t="str">
        <f t="array" ref="BO511">_xlfn.TEXTJOIN("",TRUE,IF(ISERROR(FIND(ROW($1:$10)-1,BM511&amp;BN511)),ROW($1:$10)-1,""))</f>
        <v>012345789</v>
      </c>
      <c r="BP511" s="20" t="str">
        <f t="shared" si="243"/>
        <v>复中中</v>
      </c>
      <c r="BQ511" s="21">
        <f t="shared" si="254"/>
        <v>1</v>
      </c>
      <c r="BR511" s="21" t="str">
        <f t="shared" si="252"/>
        <v/>
      </c>
      <c r="BS511" s="21" t="str">
        <f t="array" ref="BS511">_xlfn.TEXTJOIN("",TRUE,IF(ISERROR(FIND(ROW($1:$10)-1,BQ511&amp;BR511)),ROW($1:$10)-1,""))</f>
        <v>023456789</v>
      </c>
      <c r="BT511" s="20" t="str">
        <f t="shared" si="244"/>
        <v>复中中</v>
      </c>
      <c r="BU511" s="22">
        <f t="shared" si="245"/>
        <v>5</v>
      </c>
      <c r="BV511" s="22" t="str">
        <f t="shared" si="253"/>
        <v/>
      </c>
      <c r="BW511" s="22" t="str">
        <f t="array" ref="BW511">_xlfn.TEXTJOIN("",TRUE,IF(ISERROR(FIND(ROW($1:$10)-1,BU511&amp;BV511)),ROW($1:$10)-1,""))</f>
        <v>012346789</v>
      </c>
      <c r="BX511" s="20" t="str">
        <f t="shared" si="246"/>
        <v>复中中</v>
      </c>
      <c r="BY511" s="23" t="str">
        <f t="shared" si="240"/>
        <v>57</v>
      </c>
      <c r="BZ511" s="24" t="str">
        <f t="array" ref="BZ511">_xlfn.TEXTJOIN("",TRUE,IF(ISNUMBER(FIND(MID(BY510&amp;Q510,ROW($1:$4),1),BY511&amp;Q511)),MID(BY510&amp;Q510,ROW($1:$4),1),""))</f>
        <v>576</v>
      </c>
      <c r="CA511" s="25" t="str">
        <f t="array" ref="CA511">_xlfn.TEXTJOIN("",TRUE,IF(ISERROR(FIND(ROW($1:$10)-1,BY511&amp;BZ511)),ROW($1:$10)-1,""))</f>
        <v>0123489</v>
      </c>
      <c r="CB511" s="26" t="str">
        <f t="shared" si="247"/>
        <v>邻传孤</v>
      </c>
      <c r="CC511" s="27" t="str">
        <f t="shared" si="248"/>
        <v>02</v>
      </c>
      <c r="CD511" s="27" t="str">
        <f t="array" ref="CD511">_xlfn.TEXTJOIN("",TRUE,IF(ISNUMBER(FIND(MID(CC510&amp;R510,ROW($1:$4),1),CC511&amp;R511)),MID(CC510&amp;R510,ROW($1:$4),1),""))</f>
        <v>021</v>
      </c>
      <c r="CE511" s="27" t="str">
        <f t="array" ref="CE511">_xlfn.TEXTJOIN("",TRUE,IF(ISERROR(FIND(ROW($1:$10)-1,CC511&amp;CD511)),ROW($1:$10)-1,""))</f>
        <v>3456789</v>
      </c>
      <c r="CF511" s="17" t="str">
        <f t="shared" si="249"/>
        <v>邻传孤</v>
      </c>
      <c r="CG511" s="22" t="str">
        <f t="shared" si="250"/>
        <v>46</v>
      </c>
      <c r="CH511" s="22" t="str">
        <f t="array" ref="CH511">_xlfn.TEXTJOIN("",TRUE,IF(ISNUMBER(FIND(MID(CG510&amp;S510,ROW($1:$4),1),CG511&amp;S511)),MID(CG510&amp;S510,ROW($1:$4),1),""))</f>
        <v>465</v>
      </c>
      <c r="CI511" s="22" t="str">
        <f t="array" ref="CI511">_xlfn.TEXTJOIN("",TRUE,IF(ISERROR(FIND(ROW($1:$10)-1,CG511&amp;CH511)),ROW($1:$10)-1,""))</f>
        <v>0123789</v>
      </c>
      <c r="CJ511" s="28" t="str">
        <f t="shared" si="251"/>
        <v>邻传孤</v>
      </c>
    </row>
    <row r="512" spans="1:88">
      <c r="A512" s="32">
        <v>2025287</v>
      </c>
      <c r="B512" s="8" t="s">
        <v>410</v>
      </c>
      <c r="C512" s="49">
        <f t="shared" si="265"/>
        <v>13</v>
      </c>
      <c r="D512" s="50">
        <f t="shared" si="266"/>
        <v>3</v>
      </c>
      <c r="E512" s="51">
        <f t="shared" si="237"/>
        <v>4.3333333333333304</v>
      </c>
      <c r="F512" s="52">
        <f>MAX(MID(B512,{1,2,3},1)*1)-MIN(MID(B512,{1,2,3},1)*1)</f>
        <v>8</v>
      </c>
      <c r="G512" s="104">
        <v>0</v>
      </c>
      <c r="H512" s="104">
        <v>1</v>
      </c>
      <c r="I512" s="104">
        <v>2</v>
      </c>
      <c r="J512" s="104">
        <v>3</v>
      </c>
      <c r="K512" s="104">
        <v>4</v>
      </c>
      <c r="L512" s="104">
        <v>5</v>
      </c>
      <c r="M512" s="104">
        <v>6</v>
      </c>
      <c r="N512" s="104">
        <v>7</v>
      </c>
      <c r="O512" s="104">
        <v>8</v>
      </c>
      <c r="P512" s="104">
        <v>9</v>
      </c>
      <c r="Q512" s="53">
        <f t="shared" si="267"/>
        <v>8</v>
      </c>
      <c r="R512" s="53">
        <f t="shared" si="268"/>
        <v>3</v>
      </c>
      <c r="S512" s="53">
        <f t="shared" si="269"/>
        <v>5</v>
      </c>
      <c r="T512" s="101">
        <f t="shared" si="238"/>
        <v>16</v>
      </c>
      <c r="U512" s="15" t="str">
        <f>_xlfn.TEXTJOIN(", ",TRUE,ABS(MID(B512,{1,1,2},1)-MID(B512,{2,3,3},1)))</f>
        <v>8, 3, 5</v>
      </c>
      <c r="V512" s="54">
        <v>0</v>
      </c>
      <c r="W512" s="54">
        <v>1</v>
      </c>
      <c r="X512" s="54">
        <v>2</v>
      </c>
      <c r="Y512" s="54">
        <v>3</v>
      </c>
      <c r="Z512" s="54">
        <v>4</v>
      </c>
      <c r="AA512" s="54">
        <v>5</v>
      </c>
      <c r="AB512" s="54">
        <v>6</v>
      </c>
      <c r="AC512" s="54">
        <v>7</v>
      </c>
      <c r="AD512" s="54">
        <v>8</v>
      </c>
      <c r="AE512" s="54">
        <v>9</v>
      </c>
      <c r="AF512" s="55">
        <v>0</v>
      </c>
      <c r="AG512" s="55">
        <v>1</v>
      </c>
      <c r="AH512" s="55">
        <v>2</v>
      </c>
      <c r="AI512" s="55">
        <v>3</v>
      </c>
      <c r="AJ512" s="55">
        <v>4</v>
      </c>
      <c r="AK512" s="55">
        <v>5</v>
      </c>
      <c r="AL512" s="55">
        <v>6</v>
      </c>
      <c r="AM512" s="55">
        <v>7</v>
      </c>
      <c r="AN512" s="55">
        <v>8</v>
      </c>
      <c r="AO512" s="55">
        <v>9</v>
      </c>
      <c r="AP512" s="105">
        <v>0</v>
      </c>
      <c r="AQ512" s="105">
        <v>1</v>
      </c>
      <c r="AR512" s="105">
        <v>2</v>
      </c>
      <c r="AS512" s="105">
        <v>3</v>
      </c>
      <c r="AT512" s="105">
        <v>4</v>
      </c>
      <c r="AU512" s="105">
        <v>5</v>
      </c>
      <c r="AV512" s="105">
        <v>6</v>
      </c>
      <c r="AW512" s="105">
        <v>7</v>
      </c>
      <c r="AX512" s="105">
        <v>8</v>
      </c>
      <c r="AY512" s="105">
        <v>9</v>
      </c>
      <c r="AZ512" s="56">
        <v>0</v>
      </c>
      <c r="BA512" s="56">
        <v>1</v>
      </c>
      <c r="BB512" s="56">
        <v>2</v>
      </c>
      <c r="BC512" s="56">
        <v>3</v>
      </c>
      <c r="BD512" s="56">
        <v>4</v>
      </c>
      <c r="BE512" s="56">
        <v>5</v>
      </c>
      <c r="BF512" s="56">
        <v>6</v>
      </c>
      <c r="BG512" s="56">
        <v>7</v>
      </c>
      <c r="BH512" s="56">
        <v>8</v>
      </c>
      <c r="BI512" s="56">
        <v>9</v>
      </c>
      <c r="BJ512" s="57" t="str">
        <f t="shared" si="239"/>
        <v>松散型</v>
      </c>
      <c r="BK512" s="13">
        <f t="shared" si="235"/>
        <v>3</v>
      </c>
      <c r="BL512" s="13">
        <f t="shared" si="236"/>
        <v>8</v>
      </c>
      <c r="BM512" s="18" t="str">
        <f t="shared" si="241"/>
        <v/>
      </c>
      <c r="BN512" s="19" t="str">
        <f t="shared" si="242"/>
        <v/>
      </c>
      <c r="BO512" s="19" t="str">
        <f t="array" ref="BO512">_xlfn.TEXTJOIN("",TRUE,IF(ISERROR(FIND(ROW($1:$10)-1,BM512&amp;BN512)),ROW($1:$10)-1,""))</f>
        <v>0123456789</v>
      </c>
      <c r="BP512" s="20" t="str">
        <f t="shared" si="243"/>
        <v>中中中</v>
      </c>
      <c r="BQ512" s="21" t="str">
        <f t="shared" si="254"/>
        <v/>
      </c>
      <c r="BR512" s="21" t="str">
        <f t="shared" si="252"/>
        <v/>
      </c>
      <c r="BS512" s="21" t="str">
        <f t="array" ref="BS512">_xlfn.TEXTJOIN("",TRUE,IF(ISERROR(FIND(ROW($1:$10)-1,BQ512&amp;BR512)),ROW($1:$10)-1,""))</f>
        <v>0123456789</v>
      </c>
      <c r="BT512" s="20" t="str">
        <f t="shared" si="244"/>
        <v>中中中</v>
      </c>
      <c r="BU512" s="22">
        <f t="shared" si="245"/>
        <v>5</v>
      </c>
      <c r="BV512" s="22">
        <f t="shared" si="253"/>
        <v>5</v>
      </c>
      <c r="BW512" s="22" t="str">
        <f t="array" ref="BW512">_xlfn.TEXTJOIN("",TRUE,IF(ISERROR(FIND(ROW($1:$10)-1,BU512&amp;BV512)),ROW($1:$10)-1,""))</f>
        <v>012346789</v>
      </c>
      <c r="BX512" s="20" t="str">
        <f t="shared" si="246"/>
        <v>复隔中</v>
      </c>
      <c r="BY512" s="23" t="str">
        <f t="shared" si="240"/>
        <v>79</v>
      </c>
      <c r="BZ512" s="24" t="str">
        <f t="array" ref="BZ512">_xlfn.TEXTJOIN("",TRUE,IF(ISNUMBER(FIND(MID(BY511&amp;Q511,ROW($1:$4),1),BY512&amp;Q512)),MID(BY511&amp;Q511,ROW($1:$4),1),""))</f>
        <v>7</v>
      </c>
      <c r="CA512" s="25" t="str">
        <f t="array" ref="CA512">_xlfn.TEXTJOIN("",TRUE,IF(ISERROR(FIND(ROW($1:$10)-1,BY512&amp;BZ512)),ROW($1:$10)-1,""))</f>
        <v>01234568</v>
      </c>
      <c r="CB512" s="26" t="str">
        <f t="shared" si="247"/>
        <v>邻传孤</v>
      </c>
      <c r="CC512" s="27" t="str">
        <f t="shared" si="248"/>
        <v>24</v>
      </c>
      <c r="CD512" s="27" t="str">
        <f t="array" ref="CD512">_xlfn.TEXTJOIN("",TRUE,IF(ISNUMBER(FIND(MID(CC511&amp;R511,ROW($1:$4),1),CC512&amp;R512)),MID(CC511&amp;R511,ROW($1:$4),1),""))</f>
        <v>2</v>
      </c>
      <c r="CE512" s="27" t="str">
        <f t="array" ref="CE512">_xlfn.TEXTJOIN("",TRUE,IF(ISERROR(FIND(ROW($1:$10)-1,CC512&amp;CD512)),ROW($1:$10)-1,""))</f>
        <v>01356789</v>
      </c>
      <c r="CF512" s="17" t="str">
        <f t="shared" si="249"/>
        <v>邻传孤</v>
      </c>
      <c r="CG512" s="22" t="str">
        <f t="shared" si="250"/>
        <v>46</v>
      </c>
      <c r="CH512" s="22" t="str">
        <f t="array" ref="CH512">_xlfn.TEXTJOIN("",TRUE,IF(ISNUMBER(FIND(MID(CG511&amp;S511,ROW($1:$4),1),CG512&amp;S512)),MID(CG511&amp;S511,ROW($1:$4),1),""))</f>
        <v>465</v>
      </c>
      <c r="CI512" s="22" t="str">
        <f t="array" ref="CI512">_xlfn.TEXTJOIN("",TRUE,IF(ISERROR(FIND(ROW($1:$10)-1,CG512&amp;CH512)),ROW($1:$10)-1,""))</f>
        <v>0123789</v>
      </c>
      <c r="CJ512" s="28" t="str">
        <f t="shared" si="251"/>
        <v>邻传孤</v>
      </c>
    </row>
    <row r="513" spans="1:88">
      <c r="A513" s="32">
        <v>2025288</v>
      </c>
      <c r="B513" s="8" t="s">
        <v>411</v>
      </c>
      <c r="C513" s="49">
        <f t="shared" si="265"/>
        <v>20</v>
      </c>
      <c r="D513" s="50">
        <f t="shared" si="266"/>
        <v>0</v>
      </c>
      <c r="E513" s="51">
        <f t="shared" si="237"/>
        <v>6.6666666666666696</v>
      </c>
      <c r="F513" s="52">
        <f>MAX(MID(B513,{1,2,3},1)*1)-MIN(MID(B513,{1,2,3},1)*1)</f>
        <v>1</v>
      </c>
      <c r="G513" s="104">
        <v>0</v>
      </c>
      <c r="H513" s="104">
        <v>1</v>
      </c>
      <c r="I513" s="104">
        <v>2</v>
      </c>
      <c r="J513" s="104">
        <v>3</v>
      </c>
      <c r="K513" s="104">
        <v>4</v>
      </c>
      <c r="L513" s="104">
        <v>5</v>
      </c>
      <c r="M513" s="104">
        <v>6</v>
      </c>
      <c r="N513" s="104">
        <v>7</v>
      </c>
      <c r="O513" s="104">
        <v>8</v>
      </c>
      <c r="P513" s="104">
        <v>9</v>
      </c>
      <c r="Q513" s="53">
        <f t="shared" si="267"/>
        <v>1</v>
      </c>
      <c r="R513" s="53">
        <f t="shared" si="268"/>
        <v>0</v>
      </c>
      <c r="S513" s="53">
        <f t="shared" si="269"/>
        <v>1</v>
      </c>
      <c r="T513" s="101">
        <f t="shared" si="238"/>
        <v>2</v>
      </c>
      <c r="U513" s="15" t="str">
        <f>_xlfn.TEXTJOIN(", ",TRUE,ABS(MID(B513,{1,1,2},1)-MID(B513,{2,3,3},1)))</f>
        <v>1, 0, 1</v>
      </c>
      <c r="V513" s="54">
        <v>0</v>
      </c>
      <c r="W513" s="54">
        <v>1</v>
      </c>
      <c r="X513" s="54">
        <v>2</v>
      </c>
      <c r="Y513" s="54">
        <v>3</v>
      </c>
      <c r="Z513" s="54">
        <v>4</v>
      </c>
      <c r="AA513" s="54">
        <v>5</v>
      </c>
      <c r="AB513" s="54">
        <v>6</v>
      </c>
      <c r="AC513" s="54">
        <v>7</v>
      </c>
      <c r="AD513" s="54">
        <v>8</v>
      </c>
      <c r="AE513" s="54">
        <v>9</v>
      </c>
      <c r="AF513" s="55">
        <v>0</v>
      </c>
      <c r="AG513" s="55">
        <v>1</v>
      </c>
      <c r="AH513" s="55">
        <v>2</v>
      </c>
      <c r="AI513" s="55">
        <v>3</v>
      </c>
      <c r="AJ513" s="55">
        <v>4</v>
      </c>
      <c r="AK513" s="55">
        <v>5</v>
      </c>
      <c r="AL513" s="55">
        <v>6</v>
      </c>
      <c r="AM513" s="55">
        <v>7</v>
      </c>
      <c r="AN513" s="55">
        <v>8</v>
      </c>
      <c r="AO513" s="55">
        <v>9</v>
      </c>
      <c r="AP513" s="105">
        <v>0</v>
      </c>
      <c r="AQ513" s="105">
        <v>1</v>
      </c>
      <c r="AR513" s="105">
        <v>2</v>
      </c>
      <c r="AS513" s="105">
        <v>3</v>
      </c>
      <c r="AT513" s="105">
        <v>4</v>
      </c>
      <c r="AU513" s="105">
        <v>5</v>
      </c>
      <c r="AV513" s="105">
        <v>6</v>
      </c>
      <c r="AW513" s="105">
        <v>7</v>
      </c>
      <c r="AX513" s="105">
        <v>8</v>
      </c>
      <c r="AY513" s="105">
        <v>9</v>
      </c>
      <c r="AZ513" s="56">
        <v>0</v>
      </c>
      <c r="BA513" s="56">
        <v>1</v>
      </c>
      <c r="BB513" s="56">
        <v>2</v>
      </c>
      <c r="BC513" s="56">
        <v>3</v>
      </c>
      <c r="BD513" s="56">
        <v>4</v>
      </c>
      <c r="BE513" s="56">
        <v>5</v>
      </c>
      <c r="BF513" s="56">
        <v>6</v>
      </c>
      <c r="BG513" s="56">
        <v>7</v>
      </c>
      <c r="BH513" s="56">
        <v>8</v>
      </c>
      <c r="BI513" s="56">
        <v>9</v>
      </c>
      <c r="BJ513" s="57" t="str">
        <f t="shared" si="239"/>
        <v>紧凑型</v>
      </c>
      <c r="BK513" s="13">
        <f t="shared" si="235"/>
        <v>0</v>
      </c>
      <c r="BL513" s="13">
        <f t="shared" si="236"/>
        <v>1</v>
      </c>
      <c r="BM513" s="18" t="str">
        <f t="shared" si="241"/>
        <v/>
      </c>
      <c r="BN513" s="19">
        <f t="shared" si="242"/>
        <v>1</v>
      </c>
      <c r="BO513" s="19" t="str">
        <f t="array" ref="BO513">_xlfn.TEXTJOIN("",TRUE,IF(ISERROR(FIND(ROW($1:$10)-1,BM513&amp;BN513)),ROW($1:$10)-1,""))</f>
        <v>023456789</v>
      </c>
      <c r="BP513" s="20" t="str">
        <f t="shared" si="243"/>
        <v>中隔中</v>
      </c>
      <c r="BQ513" s="21" t="str">
        <f t="shared" si="254"/>
        <v/>
      </c>
      <c r="BR513" s="21" t="str">
        <f t="shared" si="252"/>
        <v/>
      </c>
      <c r="BS513" s="21" t="str">
        <f t="array" ref="BS513">_xlfn.TEXTJOIN("",TRUE,IF(ISERROR(FIND(ROW($1:$10)-1,BQ513&amp;BR513)),ROW($1:$10)-1,""))</f>
        <v>0123456789</v>
      </c>
      <c r="BT513" s="20" t="str">
        <f t="shared" si="244"/>
        <v>中中中</v>
      </c>
      <c r="BU513" s="22" t="str">
        <f t="shared" si="245"/>
        <v/>
      </c>
      <c r="BV513" s="22">
        <f t="shared" si="253"/>
        <v>1</v>
      </c>
      <c r="BW513" s="22" t="str">
        <f t="array" ref="BW513">_xlfn.TEXTJOIN("",TRUE,IF(ISERROR(FIND(ROW($1:$10)-1,BU513&amp;BV513)),ROW($1:$10)-1,""))</f>
        <v>023456789</v>
      </c>
      <c r="BX513" s="20" t="str">
        <f t="shared" si="246"/>
        <v>中隔中</v>
      </c>
      <c r="BY513" s="23" t="str">
        <f t="shared" si="240"/>
        <v>02</v>
      </c>
      <c r="BZ513" s="24" t="str">
        <f t="array" ref="BZ513">_xlfn.TEXTJOIN("",TRUE,IF(ISNUMBER(FIND(MID(BY512&amp;Q512,ROW($1:$4),1),BY513&amp;Q513)),MID(BY512&amp;Q512,ROW($1:$4),1),""))</f>
        <v/>
      </c>
      <c r="CA513" s="25" t="str">
        <f t="array" ref="CA513">_xlfn.TEXTJOIN("",TRUE,IF(ISERROR(FIND(ROW($1:$10)-1,BY513&amp;BZ513)),ROW($1:$10)-1,""))</f>
        <v>13456789</v>
      </c>
      <c r="CB513" s="26" t="str">
        <f t="shared" si="247"/>
        <v>邻孤孤</v>
      </c>
      <c r="CC513" s="27" t="str">
        <f t="shared" si="248"/>
        <v>91</v>
      </c>
      <c r="CD513" s="27" t="str">
        <f t="array" ref="CD513">_xlfn.TEXTJOIN("",TRUE,IF(ISNUMBER(FIND(MID(CC512&amp;R512,ROW($1:$4),1),CC513&amp;R513)),MID(CC512&amp;R512,ROW($1:$4),1),""))</f>
        <v/>
      </c>
      <c r="CE513" s="27" t="str">
        <f t="array" ref="CE513">_xlfn.TEXTJOIN("",TRUE,IF(ISERROR(FIND(ROW($1:$10)-1,CC513&amp;CD513)),ROW($1:$10)-1,""))</f>
        <v>02345678</v>
      </c>
      <c r="CF513" s="17" t="str">
        <f t="shared" si="249"/>
        <v>邻孤孤</v>
      </c>
      <c r="CG513" s="22" t="str">
        <f t="shared" si="250"/>
        <v>02</v>
      </c>
      <c r="CH513" s="22" t="str">
        <f t="array" ref="CH513">_xlfn.TEXTJOIN("",TRUE,IF(ISNUMBER(FIND(MID(CG512&amp;S512,ROW($1:$4),1),CG513&amp;S513)),MID(CG512&amp;S512,ROW($1:$4),1),""))</f>
        <v/>
      </c>
      <c r="CI513" s="22" t="str">
        <f t="array" ref="CI513">_xlfn.TEXTJOIN("",TRUE,IF(ISERROR(FIND(ROW($1:$10)-1,CG513&amp;CH513)),ROW($1:$10)-1,""))</f>
        <v>13456789</v>
      </c>
      <c r="CJ513" s="28" t="str">
        <f t="shared" si="251"/>
        <v>邻孤孤</v>
      </c>
    </row>
    <row r="514" spans="1:88">
      <c r="A514" s="32">
        <v>2025289</v>
      </c>
      <c r="B514" s="8" t="s">
        <v>412</v>
      </c>
      <c r="C514" s="49">
        <f t="shared" si="265"/>
        <v>14</v>
      </c>
      <c r="D514" s="50">
        <f t="shared" si="266"/>
        <v>4</v>
      </c>
      <c r="E514" s="51">
        <f t="shared" si="237"/>
        <v>4.6666666666666696</v>
      </c>
      <c r="F514" s="52">
        <f>MAX(MID(B514,{1,2,3},1)*1)-MIN(MID(B514,{1,2,3},1)*1)</f>
        <v>4</v>
      </c>
      <c r="G514" s="104">
        <v>0</v>
      </c>
      <c r="H514" s="104">
        <v>1</v>
      </c>
      <c r="I514" s="104">
        <v>2</v>
      </c>
      <c r="J514" s="104">
        <v>3</v>
      </c>
      <c r="K514" s="104">
        <v>4</v>
      </c>
      <c r="L514" s="104">
        <v>5</v>
      </c>
      <c r="M514" s="104">
        <v>6</v>
      </c>
      <c r="N514" s="104">
        <v>7</v>
      </c>
      <c r="O514" s="104">
        <v>8</v>
      </c>
      <c r="P514" s="104">
        <v>9</v>
      </c>
      <c r="Q514" s="53">
        <f t="shared" si="267"/>
        <v>3</v>
      </c>
      <c r="R514" s="53">
        <f t="shared" si="268"/>
        <v>1</v>
      </c>
      <c r="S514" s="53">
        <f t="shared" si="269"/>
        <v>4</v>
      </c>
      <c r="T514" s="101">
        <f t="shared" si="238"/>
        <v>8</v>
      </c>
      <c r="U514" s="15" t="str">
        <f>_xlfn.TEXTJOIN(", ",TRUE,ABS(MID(B514,{1,1,2},1)-MID(B514,{2,3,3},1)))</f>
        <v>3, 1, 4</v>
      </c>
      <c r="V514" s="54">
        <v>0</v>
      </c>
      <c r="W514" s="54">
        <v>1</v>
      </c>
      <c r="X514" s="54">
        <v>2</v>
      </c>
      <c r="Y514" s="54">
        <v>3</v>
      </c>
      <c r="Z514" s="54">
        <v>4</v>
      </c>
      <c r="AA514" s="54">
        <v>5</v>
      </c>
      <c r="AB514" s="54">
        <v>6</v>
      </c>
      <c r="AC514" s="54">
        <v>7</v>
      </c>
      <c r="AD514" s="54">
        <v>8</v>
      </c>
      <c r="AE514" s="54">
        <v>9</v>
      </c>
      <c r="AF514" s="55">
        <v>0</v>
      </c>
      <c r="AG514" s="55">
        <v>1</v>
      </c>
      <c r="AH514" s="55">
        <v>2</v>
      </c>
      <c r="AI514" s="55">
        <v>3</v>
      </c>
      <c r="AJ514" s="55">
        <v>4</v>
      </c>
      <c r="AK514" s="55">
        <v>5</v>
      </c>
      <c r="AL514" s="55">
        <v>6</v>
      </c>
      <c r="AM514" s="55">
        <v>7</v>
      </c>
      <c r="AN514" s="55">
        <v>8</v>
      </c>
      <c r="AO514" s="55">
        <v>9</v>
      </c>
      <c r="AP514" s="105">
        <v>0</v>
      </c>
      <c r="AQ514" s="105">
        <v>1</v>
      </c>
      <c r="AR514" s="105">
        <v>2</v>
      </c>
      <c r="AS514" s="105">
        <v>3</v>
      </c>
      <c r="AT514" s="105">
        <v>4</v>
      </c>
      <c r="AU514" s="105">
        <v>5</v>
      </c>
      <c r="AV514" s="105">
        <v>6</v>
      </c>
      <c r="AW514" s="105">
        <v>7</v>
      </c>
      <c r="AX514" s="105">
        <v>8</v>
      </c>
      <c r="AY514" s="105">
        <v>9</v>
      </c>
      <c r="AZ514" s="56">
        <v>0</v>
      </c>
      <c r="BA514" s="56">
        <v>1</v>
      </c>
      <c r="BB514" s="56">
        <v>2</v>
      </c>
      <c r="BC514" s="56">
        <v>3</v>
      </c>
      <c r="BD514" s="56">
        <v>4</v>
      </c>
      <c r="BE514" s="56">
        <v>5</v>
      </c>
      <c r="BF514" s="56">
        <v>6</v>
      </c>
      <c r="BG514" s="56">
        <v>7</v>
      </c>
      <c r="BH514" s="56">
        <v>8</v>
      </c>
      <c r="BI514" s="56">
        <v>9</v>
      </c>
      <c r="BJ514" s="57" t="str">
        <f t="shared" si="239"/>
        <v>紧凑型</v>
      </c>
      <c r="BK514" s="13">
        <f t="shared" si="235"/>
        <v>1</v>
      </c>
      <c r="BL514" s="13">
        <f t="shared" si="236"/>
        <v>4</v>
      </c>
      <c r="BM514" s="18" t="str">
        <f t="shared" si="241"/>
        <v/>
      </c>
      <c r="BN514" s="19">
        <f t="shared" si="242"/>
        <v>3</v>
      </c>
      <c r="BO514" s="19" t="str">
        <f t="array" ref="BO514">_xlfn.TEXTJOIN("",TRUE,IF(ISERROR(FIND(ROW($1:$10)-1,BM514&amp;BN514)),ROW($1:$10)-1,""))</f>
        <v>012456789</v>
      </c>
      <c r="BP514" s="20" t="str">
        <f t="shared" si="243"/>
        <v>中隔中</v>
      </c>
      <c r="BQ514" s="21">
        <f t="shared" si="254"/>
        <v>1</v>
      </c>
      <c r="BR514" s="21" t="str">
        <f t="shared" si="252"/>
        <v/>
      </c>
      <c r="BS514" s="21" t="str">
        <f t="array" ref="BS514">_xlfn.TEXTJOIN("",TRUE,IF(ISERROR(FIND(ROW($1:$10)-1,BQ514&amp;BR514)),ROW($1:$10)-1,""))</f>
        <v>023456789</v>
      </c>
      <c r="BT514" s="20" t="str">
        <f t="shared" si="244"/>
        <v>复中中</v>
      </c>
      <c r="BU514" s="22" t="str">
        <f t="shared" si="245"/>
        <v/>
      </c>
      <c r="BV514" s="22" t="str">
        <f t="shared" si="253"/>
        <v/>
      </c>
      <c r="BW514" s="22" t="str">
        <f t="array" ref="BW514">_xlfn.TEXTJOIN("",TRUE,IF(ISERROR(FIND(ROW($1:$10)-1,BU514&amp;BV514)),ROW($1:$10)-1,""))</f>
        <v>0123456789</v>
      </c>
      <c r="BX514" s="20" t="str">
        <f t="shared" si="246"/>
        <v>中中中</v>
      </c>
      <c r="BY514" s="23" t="str">
        <f t="shared" si="240"/>
        <v>24</v>
      </c>
      <c r="BZ514" s="24" t="str">
        <f t="array" ref="BZ514">_xlfn.TEXTJOIN("",TRUE,IF(ISNUMBER(FIND(MID(BY513&amp;Q513,ROW($1:$4),1),BY514&amp;Q514)),MID(BY513&amp;Q513,ROW($1:$4),1),""))</f>
        <v>2</v>
      </c>
      <c r="CA514" s="25" t="str">
        <f t="array" ref="CA514">_xlfn.TEXTJOIN("",TRUE,IF(ISERROR(FIND(ROW($1:$10)-1,BY514&amp;BZ514)),ROW($1:$10)-1,""))</f>
        <v>01356789</v>
      </c>
      <c r="CB514" s="26" t="str">
        <f t="shared" si="247"/>
        <v>邻传孤</v>
      </c>
      <c r="CC514" s="27" t="str">
        <f t="shared" si="248"/>
        <v>02</v>
      </c>
      <c r="CD514" s="27" t="str">
        <f t="array" ref="CD514">_xlfn.TEXTJOIN("",TRUE,IF(ISNUMBER(FIND(MID(CC513&amp;R513,ROW($1:$4),1),CC514&amp;R514)),MID(CC513&amp;R513,ROW($1:$4),1),""))</f>
        <v>10</v>
      </c>
      <c r="CE514" s="27" t="str">
        <f t="array" ref="CE514">_xlfn.TEXTJOIN("",TRUE,IF(ISERROR(FIND(ROW($1:$10)-1,CC514&amp;CD514)),ROW($1:$10)-1,""))</f>
        <v>3456789</v>
      </c>
      <c r="CF514" s="17" t="str">
        <f t="shared" si="249"/>
        <v>邻传孤</v>
      </c>
      <c r="CG514" s="22" t="str">
        <f t="shared" si="250"/>
        <v>35</v>
      </c>
      <c r="CH514" s="22" t="str">
        <f t="array" ref="CH514">_xlfn.TEXTJOIN("",TRUE,IF(ISNUMBER(FIND(MID(CG513&amp;S513,ROW($1:$4),1),CG514&amp;S514)),MID(CG513&amp;S513,ROW($1:$4),1),""))</f>
        <v/>
      </c>
      <c r="CI514" s="22" t="str">
        <f t="array" ref="CI514">_xlfn.TEXTJOIN("",TRUE,IF(ISERROR(FIND(ROW($1:$10)-1,CG514&amp;CH514)),ROW($1:$10)-1,""))</f>
        <v>01246789</v>
      </c>
      <c r="CJ514" s="28" t="str">
        <f t="shared" si="251"/>
        <v>邻孤孤</v>
      </c>
    </row>
    <row r="515" spans="1:88">
      <c r="A515" s="32">
        <v>2025290</v>
      </c>
      <c r="B515" s="8" t="s">
        <v>413</v>
      </c>
      <c r="C515" s="49">
        <f t="shared" si="265"/>
        <v>8</v>
      </c>
      <c r="D515" s="50">
        <f t="shared" si="266"/>
        <v>8</v>
      </c>
      <c r="E515" s="51">
        <f t="shared" si="237"/>
        <v>2.6666666666666701</v>
      </c>
      <c r="F515" s="52">
        <f>MAX(MID(B515,{1,2,3},1)*1)-MIN(MID(B515,{1,2,3},1)*1)</f>
        <v>1</v>
      </c>
      <c r="G515" s="104">
        <v>0</v>
      </c>
      <c r="H515" s="104">
        <v>1</v>
      </c>
      <c r="I515" s="104">
        <v>2</v>
      </c>
      <c r="J515" s="104">
        <v>3</v>
      </c>
      <c r="K515" s="104">
        <v>4</v>
      </c>
      <c r="L515" s="104">
        <v>5</v>
      </c>
      <c r="M515" s="104">
        <v>6</v>
      </c>
      <c r="N515" s="104">
        <v>7</v>
      </c>
      <c r="O515" s="104">
        <v>8</v>
      </c>
      <c r="P515" s="104">
        <v>9</v>
      </c>
      <c r="Q515" s="53">
        <f t="shared" si="267"/>
        <v>0</v>
      </c>
      <c r="R515" s="53">
        <f t="shared" si="268"/>
        <v>1</v>
      </c>
      <c r="S515" s="53">
        <f t="shared" si="269"/>
        <v>1</v>
      </c>
      <c r="T515" s="101">
        <f t="shared" si="238"/>
        <v>2</v>
      </c>
      <c r="U515" s="15" t="str">
        <f>_xlfn.TEXTJOIN(", ",TRUE,ABS(MID(B515,{1,1,2},1)-MID(B515,{2,3,3},1)))</f>
        <v>0, 1, 1</v>
      </c>
      <c r="V515" s="54">
        <v>0</v>
      </c>
      <c r="W515" s="54">
        <v>1</v>
      </c>
      <c r="X515" s="54">
        <v>2</v>
      </c>
      <c r="Y515" s="54">
        <v>3</v>
      </c>
      <c r="Z515" s="54">
        <v>4</v>
      </c>
      <c r="AA515" s="54">
        <v>5</v>
      </c>
      <c r="AB515" s="54">
        <v>6</v>
      </c>
      <c r="AC515" s="54">
        <v>7</v>
      </c>
      <c r="AD515" s="54">
        <v>8</v>
      </c>
      <c r="AE515" s="54">
        <v>9</v>
      </c>
      <c r="AF515" s="55">
        <v>0</v>
      </c>
      <c r="AG515" s="55">
        <v>1</v>
      </c>
      <c r="AH515" s="55">
        <v>2</v>
      </c>
      <c r="AI515" s="55">
        <v>3</v>
      </c>
      <c r="AJ515" s="55">
        <v>4</v>
      </c>
      <c r="AK515" s="55">
        <v>5</v>
      </c>
      <c r="AL515" s="55">
        <v>6</v>
      </c>
      <c r="AM515" s="55">
        <v>7</v>
      </c>
      <c r="AN515" s="55">
        <v>8</v>
      </c>
      <c r="AO515" s="55">
        <v>9</v>
      </c>
      <c r="AP515" s="105">
        <v>0</v>
      </c>
      <c r="AQ515" s="105">
        <v>1</v>
      </c>
      <c r="AR515" s="105">
        <v>2</v>
      </c>
      <c r="AS515" s="105">
        <v>3</v>
      </c>
      <c r="AT515" s="105">
        <v>4</v>
      </c>
      <c r="AU515" s="105">
        <v>5</v>
      </c>
      <c r="AV515" s="105">
        <v>6</v>
      </c>
      <c r="AW515" s="105">
        <v>7</v>
      </c>
      <c r="AX515" s="105">
        <v>8</v>
      </c>
      <c r="AY515" s="105">
        <v>9</v>
      </c>
      <c r="AZ515" s="56">
        <v>0</v>
      </c>
      <c r="BA515" s="56">
        <v>1</v>
      </c>
      <c r="BB515" s="56">
        <v>2</v>
      </c>
      <c r="BC515" s="56">
        <v>3</v>
      </c>
      <c r="BD515" s="56">
        <v>4</v>
      </c>
      <c r="BE515" s="56">
        <v>5</v>
      </c>
      <c r="BF515" s="56">
        <v>6</v>
      </c>
      <c r="BG515" s="56">
        <v>7</v>
      </c>
      <c r="BH515" s="56">
        <v>8</v>
      </c>
      <c r="BI515" s="56">
        <v>9</v>
      </c>
      <c r="BJ515" s="57" t="str">
        <f t="shared" si="239"/>
        <v>紧凑型</v>
      </c>
      <c r="BK515" s="13">
        <f t="shared" ref="BK515:BK524" si="270">MIN(ABS(INT(B515/100)-INT(MOD(B515,100)/10)),ABS(INT(B515/100)-MOD(B515,10)),ABS(INT(MOD(B515,100)/10)-MOD(B515,10)))</f>
        <v>0</v>
      </c>
      <c r="BL515" s="13">
        <f t="shared" ref="BL515:BL524" si="271">MAX(ABS(INT(B515/100)-INT(MOD(B515,100)/10)),ABS(INT(B515/100)-MOD(B515,10)),ABS(INT(MOD(B515,100)/10)-MOD(B515,10)))</f>
        <v>1</v>
      </c>
      <c r="BM515" s="18" t="str">
        <f t="shared" si="241"/>
        <v/>
      </c>
      <c r="BN515" s="19">
        <f t="shared" si="242"/>
        <v>0</v>
      </c>
      <c r="BO515" s="19" t="str">
        <f t="array" ref="BO515">_xlfn.TEXTJOIN("",TRUE,IF(ISERROR(FIND(ROW($1:$10)-1,BM515&amp;BN515)),ROW($1:$10)-1,""))</f>
        <v>123456789</v>
      </c>
      <c r="BP515" s="20" t="str">
        <f t="shared" si="243"/>
        <v>中隔中</v>
      </c>
      <c r="BQ515" s="21">
        <f t="shared" si="254"/>
        <v>1</v>
      </c>
      <c r="BR515" s="21">
        <f t="shared" si="252"/>
        <v>1</v>
      </c>
      <c r="BS515" s="21" t="str">
        <f t="array" ref="BS515">_xlfn.TEXTJOIN("",TRUE,IF(ISERROR(FIND(ROW($1:$10)-1,BQ515&amp;BR515)),ROW($1:$10)-1,""))</f>
        <v>023456789</v>
      </c>
      <c r="BT515" s="20" t="str">
        <f t="shared" si="244"/>
        <v>复隔中</v>
      </c>
      <c r="BU515" s="22">
        <f t="shared" si="245"/>
        <v>1</v>
      </c>
      <c r="BV515" s="22">
        <f t="shared" si="253"/>
        <v>1</v>
      </c>
      <c r="BW515" s="22" t="str">
        <f t="array" ref="BW515">_xlfn.TEXTJOIN("",TRUE,IF(ISERROR(FIND(ROW($1:$10)-1,BU515&amp;BV515)),ROW($1:$10)-1,""))</f>
        <v>023456789</v>
      </c>
      <c r="BX515" s="20" t="str">
        <f t="shared" si="246"/>
        <v>复隔中</v>
      </c>
      <c r="BY515" s="23" t="str">
        <f t="shared" si="240"/>
        <v>91</v>
      </c>
      <c r="BZ515" s="24" t="str">
        <f t="array" ref="BZ515">_xlfn.TEXTJOIN("",TRUE,IF(ISNUMBER(FIND(MID(BY514&amp;Q514,ROW($1:$4),1),BY515&amp;Q515)),MID(BY514&amp;Q514,ROW($1:$4),1),""))</f>
        <v/>
      </c>
      <c r="CA515" s="25" t="str">
        <f t="array" ref="CA515">_xlfn.TEXTJOIN("",TRUE,IF(ISERROR(FIND(ROW($1:$10)-1,BY515&amp;BZ515)),ROW($1:$10)-1,""))</f>
        <v>02345678</v>
      </c>
      <c r="CB515" s="26" t="str">
        <f t="shared" si="247"/>
        <v>邻孤孤</v>
      </c>
      <c r="CC515" s="27" t="str">
        <f t="shared" si="248"/>
        <v>02</v>
      </c>
      <c r="CD515" s="27" t="str">
        <f t="array" ref="CD515">_xlfn.TEXTJOIN("",TRUE,IF(ISNUMBER(FIND(MID(CC514&amp;R514,ROW($1:$4),1),CC515&amp;R515)),MID(CC514&amp;R514,ROW($1:$4),1),""))</f>
        <v>021</v>
      </c>
      <c r="CE515" s="27" t="str">
        <f t="array" ref="CE515">_xlfn.TEXTJOIN("",TRUE,IF(ISERROR(FIND(ROW($1:$10)-1,CC515&amp;CD515)),ROW($1:$10)-1,""))</f>
        <v>3456789</v>
      </c>
      <c r="CF515" s="17" t="str">
        <f t="shared" si="249"/>
        <v>邻传孤</v>
      </c>
      <c r="CG515" s="22" t="str">
        <f t="shared" si="250"/>
        <v>02</v>
      </c>
      <c r="CH515" s="22" t="str">
        <f t="array" ref="CH515">_xlfn.TEXTJOIN("",TRUE,IF(ISNUMBER(FIND(MID(CG514&amp;S514,ROW($1:$4),1),CG515&amp;S515)),MID(CG514&amp;S514,ROW($1:$4),1),""))</f>
        <v/>
      </c>
      <c r="CI515" s="22" t="str">
        <f t="array" ref="CI515">_xlfn.TEXTJOIN("",TRUE,IF(ISERROR(FIND(ROW($1:$10)-1,CG515&amp;CH515)),ROW($1:$10)-1,""))</f>
        <v>13456789</v>
      </c>
      <c r="CJ515" s="28" t="str">
        <f t="shared" si="251"/>
        <v>邻孤孤</v>
      </c>
    </row>
    <row r="516" spans="1:88">
      <c r="A516" s="32">
        <v>2025291</v>
      </c>
      <c r="B516" s="8" t="s">
        <v>414</v>
      </c>
      <c r="C516" s="49">
        <f t="shared" si="265"/>
        <v>20</v>
      </c>
      <c r="D516" s="50">
        <f t="shared" si="266"/>
        <v>0</v>
      </c>
      <c r="E516" s="51">
        <f t="shared" ref="E516:E524" si="272">C516/3</f>
        <v>6.6666666666666696</v>
      </c>
      <c r="F516" s="52">
        <f>MAX(MID(B516,{1,2,3},1)*1)-MIN(MID(B516,{1,2,3},1)*1)</f>
        <v>5</v>
      </c>
      <c r="G516" s="104">
        <v>0</v>
      </c>
      <c r="H516" s="104">
        <v>1</v>
      </c>
      <c r="I516" s="104">
        <v>2</v>
      </c>
      <c r="J516" s="104">
        <v>3</v>
      </c>
      <c r="K516" s="104">
        <v>4</v>
      </c>
      <c r="L516" s="104">
        <v>5</v>
      </c>
      <c r="M516" s="104">
        <v>6</v>
      </c>
      <c r="N516" s="104">
        <v>7</v>
      </c>
      <c r="O516" s="104">
        <v>8</v>
      </c>
      <c r="P516" s="104">
        <v>9</v>
      </c>
      <c r="Q516" s="53">
        <f t="shared" si="267"/>
        <v>2</v>
      </c>
      <c r="R516" s="53">
        <f t="shared" si="268"/>
        <v>3</v>
      </c>
      <c r="S516" s="53">
        <f t="shared" si="269"/>
        <v>5</v>
      </c>
      <c r="T516" s="101">
        <f t="shared" ref="T516:T531" si="273">Q516+R516+S516</f>
        <v>10</v>
      </c>
      <c r="U516" s="15" t="str">
        <f>_xlfn.TEXTJOIN(", ",TRUE,ABS(MID(B516,{1,1,2},1)-MID(B516,{2,3,3},1)))</f>
        <v>2, 3, 5</v>
      </c>
      <c r="V516" s="54">
        <v>0</v>
      </c>
      <c r="W516" s="54">
        <v>1</v>
      </c>
      <c r="X516" s="54">
        <v>2</v>
      </c>
      <c r="Y516" s="54">
        <v>3</v>
      </c>
      <c r="Z516" s="54">
        <v>4</v>
      </c>
      <c r="AA516" s="54">
        <v>5</v>
      </c>
      <c r="AB516" s="54">
        <v>6</v>
      </c>
      <c r="AC516" s="54">
        <v>7</v>
      </c>
      <c r="AD516" s="54">
        <v>8</v>
      </c>
      <c r="AE516" s="54">
        <v>9</v>
      </c>
      <c r="AF516" s="55">
        <v>0</v>
      </c>
      <c r="AG516" s="55">
        <v>1</v>
      </c>
      <c r="AH516" s="55">
        <v>2</v>
      </c>
      <c r="AI516" s="55">
        <v>3</v>
      </c>
      <c r="AJ516" s="55">
        <v>4</v>
      </c>
      <c r="AK516" s="55">
        <v>5</v>
      </c>
      <c r="AL516" s="55">
        <v>6</v>
      </c>
      <c r="AM516" s="55">
        <v>7</v>
      </c>
      <c r="AN516" s="55">
        <v>8</v>
      </c>
      <c r="AO516" s="55">
        <v>9</v>
      </c>
      <c r="AP516" s="105">
        <v>0</v>
      </c>
      <c r="AQ516" s="105">
        <v>1</v>
      </c>
      <c r="AR516" s="105">
        <v>2</v>
      </c>
      <c r="AS516" s="105">
        <v>3</v>
      </c>
      <c r="AT516" s="105">
        <v>4</v>
      </c>
      <c r="AU516" s="105">
        <v>5</v>
      </c>
      <c r="AV516" s="105">
        <v>6</v>
      </c>
      <c r="AW516" s="105">
        <v>7</v>
      </c>
      <c r="AX516" s="105">
        <v>8</v>
      </c>
      <c r="AY516" s="105">
        <v>9</v>
      </c>
      <c r="AZ516" s="56">
        <v>0</v>
      </c>
      <c r="BA516" s="56">
        <v>1</v>
      </c>
      <c r="BB516" s="56">
        <v>2</v>
      </c>
      <c r="BC516" s="56">
        <v>3</v>
      </c>
      <c r="BD516" s="56">
        <v>4</v>
      </c>
      <c r="BE516" s="56">
        <v>5</v>
      </c>
      <c r="BF516" s="56">
        <v>6</v>
      </c>
      <c r="BG516" s="56">
        <v>7</v>
      </c>
      <c r="BH516" s="56">
        <v>8</v>
      </c>
      <c r="BI516" s="56">
        <v>9</v>
      </c>
      <c r="BJ516" s="57" t="str">
        <f t="shared" ref="BJ516:BJ531" si="274">IF(AND(BK516&lt;=1,BL516&lt;=4),"紧凑型",IF(OR(BK516&gt;=3,BL516&gt;=6),"松散型",IF(AND(BK516&gt;=1,BL516&lt;=5),"标准型","对子")))</f>
        <v>标准型</v>
      </c>
      <c r="BK516" s="13">
        <f t="shared" si="270"/>
        <v>2</v>
      </c>
      <c r="BL516" s="13">
        <f t="shared" si="271"/>
        <v>5</v>
      </c>
      <c r="BM516" s="18" t="str">
        <f t="shared" si="241"/>
        <v/>
      </c>
      <c r="BN516" s="19" t="str">
        <f t="shared" si="242"/>
        <v/>
      </c>
      <c r="BO516" s="19" t="str">
        <f t="array" ref="BO516">_xlfn.TEXTJOIN("",TRUE,IF(ISERROR(FIND(ROW($1:$10)-1,BM516&amp;BN516)),ROW($1:$10)-1,""))</f>
        <v>0123456789</v>
      </c>
      <c r="BP516" s="20" t="str">
        <f t="shared" si="243"/>
        <v>中中中</v>
      </c>
      <c r="BQ516" s="21" t="str">
        <f t="shared" si="254"/>
        <v/>
      </c>
      <c r="BR516" s="21">
        <f t="shared" si="252"/>
        <v>3</v>
      </c>
      <c r="BS516" s="21" t="str">
        <f t="array" ref="BS516">_xlfn.TEXTJOIN("",TRUE,IF(ISERROR(FIND(ROW($1:$10)-1,BQ516&amp;BR516)),ROW($1:$10)-1,""))</f>
        <v>012456789</v>
      </c>
      <c r="BT516" s="20" t="str">
        <f t="shared" si="244"/>
        <v>中隔中</v>
      </c>
      <c r="BU516" s="22" t="str">
        <f t="shared" si="245"/>
        <v/>
      </c>
      <c r="BV516" s="22" t="str">
        <f t="shared" si="253"/>
        <v/>
      </c>
      <c r="BW516" s="22" t="str">
        <f t="array" ref="BW516">_xlfn.TEXTJOIN("",TRUE,IF(ISERROR(FIND(ROW($1:$10)-1,BU516&amp;BV516)),ROW($1:$10)-1,""))</f>
        <v>0123456789</v>
      </c>
      <c r="BX516" s="20" t="str">
        <f t="shared" si="246"/>
        <v>中中中</v>
      </c>
      <c r="BY516" s="23" t="str">
        <f t="shared" ref="BY516:BY529" si="275">IF(Q516=0,9,Q516-1)&amp;""&amp;IF(Q516=9,0,Q516+1)</f>
        <v>13</v>
      </c>
      <c r="BZ516" s="24" t="str">
        <f t="array" ref="BZ516">_xlfn.TEXTJOIN("",TRUE,IF(ISNUMBER(FIND(MID(BY515&amp;Q515,ROW($1:$4),1),BY516&amp;Q516)),MID(BY515&amp;Q515,ROW($1:$4),1),""))</f>
        <v>1</v>
      </c>
      <c r="CA516" s="25" t="str">
        <f t="array" ref="CA516">_xlfn.TEXTJOIN("",TRUE,IF(ISERROR(FIND(ROW($1:$10)-1,BY516&amp;BZ516)),ROW($1:$10)-1,""))</f>
        <v>02456789</v>
      </c>
      <c r="CB516" s="26" t="str">
        <f t="shared" si="247"/>
        <v>邻传孤</v>
      </c>
      <c r="CC516" s="27" t="str">
        <f t="shared" si="248"/>
        <v>24</v>
      </c>
      <c r="CD516" s="27" t="str">
        <f t="array" ref="CD516">_xlfn.TEXTJOIN("",TRUE,IF(ISNUMBER(FIND(MID(CC515&amp;R515,ROW($1:$4),1),CC516&amp;R516)),MID(CC515&amp;R515,ROW($1:$4),1),""))</f>
        <v>2</v>
      </c>
      <c r="CE516" s="27" t="str">
        <f t="array" ref="CE516">_xlfn.TEXTJOIN("",TRUE,IF(ISERROR(FIND(ROW($1:$10)-1,CC516&amp;CD516)),ROW($1:$10)-1,""))</f>
        <v>01356789</v>
      </c>
      <c r="CF516" s="17" t="str">
        <f t="shared" si="249"/>
        <v>邻传孤</v>
      </c>
      <c r="CG516" s="22" t="str">
        <f t="shared" si="250"/>
        <v>46</v>
      </c>
      <c r="CH516" s="22" t="str">
        <f t="array" ref="CH516">_xlfn.TEXTJOIN("",TRUE,IF(ISNUMBER(FIND(MID(CG515&amp;S515,ROW($1:$4),1),CG516&amp;S516)),MID(CG515&amp;S515,ROW($1:$4),1),""))</f>
        <v/>
      </c>
      <c r="CI516" s="22" t="str">
        <f t="array" ref="CI516">_xlfn.TEXTJOIN("",TRUE,IF(ISERROR(FIND(ROW($1:$10)-1,CG516&amp;CH516)),ROW($1:$10)-1,""))</f>
        <v>01235789</v>
      </c>
      <c r="CJ516" s="28" t="str">
        <f t="shared" si="251"/>
        <v>邻孤孤</v>
      </c>
    </row>
    <row r="517" spans="1:88">
      <c r="A517" s="32">
        <v>2025292</v>
      </c>
      <c r="B517" s="8" t="s">
        <v>415</v>
      </c>
      <c r="C517" s="49">
        <f t="shared" si="265"/>
        <v>9</v>
      </c>
      <c r="D517" s="50">
        <f t="shared" si="266"/>
        <v>9</v>
      </c>
      <c r="E517" s="51">
        <f t="shared" si="272"/>
        <v>3</v>
      </c>
      <c r="F517" s="52">
        <f>MAX(MID(B517,{1,2,3},1)*1)-MIN(MID(B517,{1,2,3},1)*1)</f>
        <v>6</v>
      </c>
      <c r="G517" s="104">
        <v>0</v>
      </c>
      <c r="H517" s="104">
        <v>1</v>
      </c>
      <c r="I517" s="104">
        <v>2</v>
      </c>
      <c r="J517" s="104">
        <v>3</v>
      </c>
      <c r="K517" s="104">
        <v>4</v>
      </c>
      <c r="L517" s="104">
        <v>5</v>
      </c>
      <c r="M517" s="104">
        <v>6</v>
      </c>
      <c r="N517" s="104">
        <v>7</v>
      </c>
      <c r="O517" s="104">
        <v>8</v>
      </c>
      <c r="P517" s="104">
        <v>9</v>
      </c>
      <c r="Q517" s="53">
        <f t="shared" si="267"/>
        <v>0</v>
      </c>
      <c r="R517" s="53">
        <f t="shared" si="268"/>
        <v>6</v>
      </c>
      <c r="S517" s="53">
        <f t="shared" si="269"/>
        <v>6</v>
      </c>
      <c r="T517" s="101">
        <f t="shared" si="273"/>
        <v>12</v>
      </c>
      <c r="U517" s="15" t="str">
        <f>_xlfn.TEXTJOIN(", ",TRUE,ABS(MID(B517,{1,1,2},1)-MID(B517,{2,3,3},1)))</f>
        <v>0, 6, 6</v>
      </c>
      <c r="V517" s="54">
        <v>0</v>
      </c>
      <c r="W517" s="54">
        <v>1</v>
      </c>
      <c r="X517" s="54">
        <v>2</v>
      </c>
      <c r="Y517" s="54">
        <v>3</v>
      </c>
      <c r="Z517" s="54">
        <v>4</v>
      </c>
      <c r="AA517" s="54">
        <v>5</v>
      </c>
      <c r="AB517" s="54">
        <v>6</v>
      </c>
      <c r="AC517" s="54">
        <v>7</v>
      </c>
      <c r="AD517" s="54">
        <v>8</v>
      </c>
      <c r="AE517" s="54">
        <v>9</v>
      </c>
      <c r="AF517" s="55">
        <v>0</v>
      </c>
      <c r="AG517" s="55">
        <v>1</v>
      </c>
      <c r="AH517" s="55">
        <v>2</v>
      </c>
      <c r="AI517" s="55">
        <v>3</v>
      </c>
      <c r="AJ517" s="55">
        <v>4</v>
      </c>
      <c r="AK517" s="55">
        <v>5</v>
      </c>
      <c r="AL517" s="55">
        <v>6</v>
      </c>
      <c r="AM517" s="55">
        <v>7</v>
      </c>
      <c r="AN517" s="55">
        <v>8</v>
      </c>
      <c r="AO517" s="55">
        <v>9</v>
      </c>
      <c r="AP517" s="105">
        <v>0</v>
      </c>
      <c r="AQ517" s="105">
        <v>1</v>
      </c>
      <c r="AR517" s="105">
        <v>2</v>
      </c>
      <c r="AS517" s="105">
        <v>3</v>
      </c>
      <c r="AT517" s="105">
        <v>4</v>
      </c>
      <c r="AU517" s="105">
        <v>5</v>
      </c>
      <c r="AV517" s="105">
        <v>6</v>
      </c>
      <c r="AW517" s="105">
        <v>7</v>
      </c>
      <c r="AX517" s="105">
        <v>8</v>
      </c>
      <c r="AY517" s="105">
        <v>9</v>
      </c>
      <c r="AZ517" s="56">
        <v>0</v>
      </c>
      <c r="BA517" s="56">
        <v>1</v>
      </c>
      <c r="BB517" s="56">
        <v>2</v>
      </c>
      <c r="BC517" s="56">
        <v>3</v>
      </c>
      <c r="BD517" s="56">
        <v>4</v>
      </c>
      <c r="BE517" s="56">
        <v>5</v>
      </c>
      <c r="BF517" s="56">
        <v>6</v>
      </c>
      <c r="BG517" s="56">
        <v>7</v>
      </c>
      <c r="BH517" s="56">
        <v>8</v>
      </c>
      <c r="BI517" s="56">
        <v>9</v>
      </c>
      <c r="BJ517" s="57" t="str">
        <f t="shared" si="274"/>
        <v>松散型</v>
      </c>
      <c r="BK517" s="13">
        <f t="shared" si="270"/>
        <v>0</v>
      </c>
      <c r="BL517" s="13">
        <f t="shared" si="271"/>
        <v>6</v>
      </c>
      <c r="BM517" s="18" t="str">
        <f t="shared" ref="BM517:BM526" si="276">IF(COUNTIF($Q516:$S516,Q517)&gt;0,Q517,"")</f>
        <v/>
      </c>
      <c r="BN517" s="19">
        <f t="shared" ref="BN517:BN526" si="277">IF(COUNTIF($Q515:$S515,Q517)&gt;0,Q517,"")</f>
        <v>0</v>
      </c>
      <c r="BO517" s="19" t="str">
        <f t="array" ref="BO517">_xlfn.TEXTJOIN("",TRUE,IF(ISERROR(FIND(ROW($1:$10)-1,BM517&amp;BN517)),ROW($1:$10)-1,""))</f>
        <v>123456789</v>
      </c>
      <c r="BP517" s="20" t="str">
        <f t="shared" ref="BP517:BP529" si="278">IF(BM517&lt;&gt;"","复","中")&amp;IF(BN517&lt;&gt;"","隔","中")&amp;"中"</f>
        <v>中隔中</v>
      </c>
      <c r="BQ517" s="21" t="str">
        <f t="shared" si="254"/>
        <v/>
      </c>
      <c r="BR517" s="21" t="str">
        <f t="shared" si="252"/>
        <v/>
      </c>
      <c r="BS517" s="21" t="str">
        <f t="array" ref="BS517">_xlfn.TEXTJOIN("",TRUE,IF(ISERROR(FIND(ROW($1:$10)-1,BQ517&amp;BR517)),ROW($1:$10)-1,""))</f>
        <v>0123456789</v>
      </c>
      <c r="BT517" s="20" t="str">
        <f t="shared" ref="BT517:BT529" si="279">IF(BQ517&lt;&gt;"","复","中")&amp;IF(BR517&lt;&gt;"","隔","中")&amp;"中"</f>
        <v>中中中</v>
      </c>
      <c r="BU517" s="22" t="str">
        <f t="shared" ref="BU517:BU526" si="280">IF(COUNTIF($Q516:$S516,S517)&gt;0,S517,"")</f>
        <v/>
      </c>
      <c r="BV517" s="22" t="str">
        <f t="shared" si="253"/>
        <v/>
      </c>
      <c r="BW517" s="22" t="str">
        <f t="array" ref="BW517">_xlfn.TEXTJOIN("",TRUE,IF(ISERROR(FIND(ROW($1:$10)-1,BU517&amp;BV517)),ROW($1:$10)-1,""))</f>
        <v>0123456789</v>
      </c>
      <c r="BX517" s="20" t="str">
        <f t="shared" ref="BX517:BX529" si="281">IF(BU517&lt;&gt;"","复","中")&amp;IF(BV517&lt;&gt;"","隔","中")&amp;"中"</f>
        <v>中中中</v>
      </c>
      <c r="BY517" s="23" t="str">
        <f t="shared" si="275"/>
        <v>91</v>
      </c>
      <c r="BZ517" s="24" t="str">
        <f t="array" ref="BZ517">_xlfn.TEXTJOIN("",TRUE,IF(ISNUMBER(FIND(MID(BY516&amp;Q516,ROW($1:$4),1),BY517&amp;Q517)),MID(BY516&amp;Q516,ROW($1:$4),1),""))</f>
        <v>1</v>
      </c>
      <c r="CA517" s="25" t="str">
        <f t="array" ref="CA517">_xlfn.TEXTJOIN("",TRUE,IF(ISERROR(FIND(ROW($1:$10)-1,BY517&amp;BZ517)),ROW($1:$10)-1,""))</f>
        <v>02345678</v>
      </c>
      <c r="CB517" s="26" t="str">
        <f t="shared" ref="CB517:CB529" si="282">IF(BY517&lt;&gt;"","邻","孤")&amp;IF(BZ517&lt;&gt;"","传","孤")&amp;"孤"</f>
        <v>邻传孤</v>
      </c>
      <c r="CC517" s="27" t="str">
        <f t="shared" ref="CC517:CC529" si="283">IF(R517=0,9,R517-1)&amp;""&amp;IF(R517=9,0,R517+1)</f>
        <v>57</v>
      </c>
      <c r="CD517" s="27" t="str">
        <f t="array" ref="CD517">_xlfn.TEXTJOIN("",TRUE,IF(ISNUMBER(FIND(MID(CC516&amp;R516,ROW($1:$4),1),CC517&amp;R517)),MID(CC516&amp;R516,ROW($1:$4),1),""))</f>
        <v/>
      </c>
      <c r="CE517" s="27" t="str">
        <f t="array" ref="CE517">_xlfn.TEXTJOIN("",TRUE,IF(ISERROR(FIND(ROW($1:$10)-1,CC517&amp;CD517)),ROW($1:$10)-1,""))</f>
        <v>01234689</v>
      </c>
      <c r="CF517" s="17" t="str">
        <f t="shared" ref="CF517:CF529" si="284">IF(CC517&lt;&gt;"","邻","孤")&amp;IF(CD517&lt;&gt;"","传","孤")&amp;"孤"</f>
        <v>邻孤孤</v>
      </c>
      <c r="CG517" s="22" t="str">
        <f t="shared" ref="CG517:CG529" si="285">IF(S517=0,9,S517-1)&amp;""&amp;IF(S517=9,0,S517+1)</f>
        <v>57</v>
      </c>
      <c r="CH517" s="22" t="str">
        <f t="array" ref="CH517">_xlfn.TEXTJOIN("",TRUE,IF(ISNUMBER(FIND(MID(CG516&amp;S516,ROW($1:$4),1),CG517&amp;S517)),MID(CG516&amp;S516,ROW($1:$4),1),""))</f>
        <v>65</v>
      </c>
      <c r="CI517" s="22" t="str">
        <f t="array" ref="CI517">_xlfn.TEXTJOIN("",TRUE,IF(ISERROR(FIND(ROW($1:$10)-1,CG517&amp;CH517)),ROW($1:$10)-1,""))</f>
        <v>0123489</v>
      </c>
      <c r="CJ517" s="28" t="str">
        <f t="shared" ref="CJ517:CJ529" si="286">IF(CG517&lt;&gt;"","邻","孤")&amp;IF(CH517&lt;&gt;"","传","孤")&amp;"孤"</f>
        <v>邻传孤</v>
      </c>
    </row>
    <row r="518" spans="1:88">
      <c r="A518" s="32">
        <v>2025293</v>
      </c>
      <c r="B518" s="8" t="s">
        <v>416</v>
      </c>
      <c r="C518" s="49">
        <f t="shared" si="265"/>
        <v>10</v>
      </c>
      <c r="D518" s="50">
        <f t="shared" si="266"/>
        <v>0</v>
      </c>
      <c r="E518" s="51">
        <f t="shared" si="272"/>
        <v>3.3333333333333299</v>
      </c>
      <c r="F518" s="52">
        <f>MAX(MID(B518,{1,2,3},1)*1)-MIN(MID(B518,{1,2,3},1)*1)</f>
        <v>4</v>
      </c>
      <c r="G518" s="104">
        <v>0</v>
      </c>
      <c r="H518" s="104">
        <v>1</v>
      </c>
      <c r="I518" s="104">
        <v>2</v>
      </c>
      <c r="J518" s="104">
        <v>3</v>
      </c>
      <c r="K518" s="104">
        <v>4</v>
      </c>
      <c r="L518" s="104">
        <v>5</v>
      </c>
      <c r="M518" s="104">
        <v>6</v>
      </c>
      <c r="N518" s="104">
        <v>7</v>
      </c>
      <c r="O518" s="104">
        <v>8</v>
      </c>
      <c r="P518" s="104">
        <v>9</v>
      </c>
      <c r="Q518" s="53">
        <f t="shared" si="267"/>
        <v>4</v>
      </c>
      <c r="R518" s="53">
        <f t="shared" si="268"/>
        <v>3</v>
      </c>
      <c r="S518" s="53">
        <f t="shared" si="269"/>
        <v>1</v>
      </c>
      <c r="T518" s="101">
        <f t="shared" si="273"/>
        <v>8</v>
      </c>
      <c r="U518" s="15" t="str">
        <f>_xlfn.TEXTJOIN(", ",TRUE,ABS(MID(B518,{1,1,2},1)-MID(B518,{2,3,3},1)))</f>
        <v>4, 3, 1</v>
      </c>
      <c r="V518" s="54">
        <v>0</v>
      </c>
      <c r="W518" s="54">
        <v>1</v>
      </c>
      <c r="X518" s="54">
        <v>2</v>
      </c>
      <c r="Y518" s="54">
        <v>3</v>
      </c>
      <c r="Z518" s="54">
        <v>4</v>
      </c>
      <c r="AA518" s="54">
        <v>5</v>
      </c>
      <c r="AB518" s="54">
        <v>6</v>
      </c>
      <c r="AC518" s="54">
        <v>7</v>
      </c>
      <c r="AD518" s="54">
        <v>8</v>
      </c>
      <c r="AE518" s="54">
        <v>9</v>
      </c>
      <c r="AF518" s="55">
        <v>0</v>
      </c>
      <c r="AG518" s="55">
        <v>1</v>
      </c>
      <c r="AH518" s="55">
        <v>2</v>
      </c>
      <c r="AI518" s="55">
        <v>3</v>
      </c>
      <c r="AJ518" s="55">
        <v>4</v>
      </c>
      <c r="AK518" s="55">
        <v>5</v>
      </c>
      <c r="AL518" s="55">
        <v>6</v>
      </c>
      <c r="AM518" s="55">
        <v>7</v>
      </c>
      <c r="AN518" s="55">
        <v>8</v>
      </c>
      <c r="AO518" s="55">
        <v>9</v>
      </c>
      <c r="AP518" s="105">
        <v>0</v>
      </c>
      <c r="AQ518" s="105">
        <v>1</v>
      </c>
      <c r="AR518" s="105">
        <v>2</v>
      </c>
      <c r="AS518" s="105">
        <v>3</v>
      </c>
      <c r="AT518" s="105">
        <v>4</v>
      </c>
      <c r="AU518" s="105">
        <v>5</v>
      </c>
      <c r="AV518" s="105">
        <v>6</v>
      </c>
      <c r="AW518" s="105">
        <v>7</v>
      </c>
      <c r="AX518" s="105">
        <v>8</v>
      </c>
      <c r="AY518" s="105">
        <v>9</v>
      </c>
      <c r="AZ518" s="56">
        <v>0</v>
      </c>
      <c r="BA518" s="56">
        <v>1</v>
      </c>
      <c r="BB518" s="56">
        <v>2</v>
      </c>
      <c r="BC518" s="56">
        <v>3</v>
      </c>
      <c r="BD518" s="56">
        <v>4</v>
      </c>
      <c r="BE518" s="56">
        <v>5</v>
      </c>
      <c r="BF518" s="56">
        <v>6</v>
      </c>
      <c r="BG518" s="56">
        <v>7</v>
      </c>
      <c r="BH518" s="56">
        <v>8</v>
      </c>
      <c r="BI518" s="56">
        <v>9</v>
      </c>
      <c r="BJ518" s="57" t="str">
        <f t="shared" si="274"/>
        <v>紧凑型</v>
      </c>
      <c r="BK518" s="13">
        <f t="shared" si="270"/>
        <v>1</v>
      </c>
      <c r="BL518" s="13">
        <f t="shared" si="271"/>
        <v>4</v>
      </c>
      <c r="BM518" s="18" t="str">
        <f t="shared" si="276"/>
        <v/>
      </c>
      <c r="BN518" s="19" t="str">
        <f t="shared" si="277"/>
        <v/>
      </c>
      <c r="BO518" s="19" t="str">
        <f t="array" ref="BO518">_xlfn.TEXTJOIN("",TRUE,IF(ISERROR(FIND(ROW($1:$10)-1,BM518&amp;BN518)),ROW($1:$10)-1,""))</f>
        <v>0123456789</v>
      </c>
      <c r="BP518" s="20" t="str">
        <f t="shared" si="278"/>
        <v>中中中</v>
      </c>
      <c r="BQ518" s="21" t="str">
        <f t="shared" si="254"/>
        <v/>
      </c>
      <c r="BR518" s="21">
        <f t="shared" ref="BR518:BR526" si="287">IF(COUNTIF($Q516:$S516,R518)&gt;0,R518,"")</f>
        <v>3</v>
      </c>
      <c r="BS518" s="21" t="str">
        <f t="array" ref="BS518">_xlfn.TEXTJOIN("",TRUE,IF(ISERROR(FIND(ROW($1:$10)-1,BQ518&amp;BR518)),ROW($1:$10)-1,""))</f>
        <v>012456789</v>
      </c>
      <c r="BT518" s="20" t="str">
        <f t="shared" si="279"/>
        <v>中隔中</v>
      </c>
      <c r="BU518" s="22" t="str">
        <f t="shared" si="280"/>
        <v/>
      </c>
      <c r="BV518" s="22" t="str">
        <f t="shared" ref="BV518:BV526" si="288">IF(COUNTIF($Q516:$S516,S518)&gt;0,S518,"")</f>
        <v/>
      </c>
      <c r="BW518" s="22" t="str">
        <f t="array" ref="BW518">_xlfn.TEXTJOIN("",TRUE,IF(ISERROR(FIND(ROW($1:$10)-1,BU518&amp;BV518)),ROW($1:$10)-1,""))</f>
        <v>0123456789</v>
      </c>
      <c r="BX518" s="20" t="str">
        <f t="shared" si="281"/>
        <v>中中中</v>
      </c>
      <c r="BY518" s="23" t="str">
        <f t="shared" si="275"/>
        <v>35</v>
      </c>
      <c r="BZ518" s="24" t="str">
        <f t="array" ref="BZ518">_xlfn.TEXTJOIN("",TRUE,IF(ISNUMBER(FIND(MID(BY517&amp;Q517,ROW($1:$4),1),BY518&amp;Q518)),MID(BY517&amp;Q517,ROW($1:$4),1),""))</f>
        <v/>
      </c>
      <c r="CA518" s="25" t="str">
        <f t="array" ref="CA518">_xlfn.TEXTJOIN("",TRUE,IF(ISERROR(FIND(ROW($1:$10)-1,BY518&amp;BZ518)),ROW($1:$10)-1,""))</f>
        <v>01246789</v>
      </c>
      <c r="CB518" s="26" t="str">
        <f t="shared" si="282"/>
        <v>邻孤孤</v>
      </c>
      <c r="CC518" s="27" t="str">
        <f t="shared" si="283"/>
        <v>24</v>
      </c>
      <c r="CD518" s="27" t="str">
        <f t="array" ref="CD518">_xlfn.TEXTJOIN("",TRUE,IF(ISNUMBER(FIND(MID(CC517&amp;R517,ROW($1:$4),1),CC518&amp;R518)),MID(CC517&amp;R517,ROW($1:$4),1),""))</f>
        <v/>
      </c>
      <c r="CE518" s="27" t="str">
        <f t="array" ref="CE518">_xlfn.TEXTJOIN("",TRUE,IF(ISERROR(FIND(ROW($1:$10)-1,CC518&amp;CD518)),ROW($1:$10)-1,""))</f>
        <v>01356789</v>
      </c>
      <c r="CF518" s="17" t="str">
        <f t="shared" si="284"/>
        <v>邻孤孤</v>
      </c>
      <c r="CG518" s="22" t="str">
        <f t="shared" si="285"/>
        <v>02</v>
      </c>
      <c r="CH518" s="22" t="str">
        <f t="array" ref="CH518">_xlfn.TEXTJOIN("",TRUE,IF(ISNUMBER(FIND(MID(CG517&amp;S517,ROW($1:$4),1),CG518&amp;S518)),MID(CG517&amp;S517,ROW($1:$4),1),""))</f>
        <v/>
      </c>
      <c r="CI518" s="22" t="str">
        <f t="array" ref="CI518">_xlfn.TEXTJOIN("",TRUE,IF(ISERROR(FIND(ROW($1:$10)-1,CG518&amp;CH518)),ROW($1:$10)-1,""))</f>
        <v>13456789</v>
      </c>
      <c r="CJ518" s="28" t="str">
        <f t="shared" si="286"/>
        <v>邻孤孤</v>
      </c>
    </row>
    <row r="519" spans="1:88">
      <c r="A519" s="32">
        <v>2025294</v>
      </c>
      <c r="B519" s="8" t="s">
        <v>417</v>
      </c>
      <c r="C519" s="49">
        <f t="shared" si="265"/>
        <v>9</v>
      </c>
      <c r="D519" s="50">
        <f t="shared" si="266"/>
        <v>9</v>
      </c>
      <c r="E519" s="51">
        <f t="shared" si="272"/>
        <v>3</v>
      </c>
      <c r="F519" s="52">
        <f>MAX(MID(B519,{1,2,3},1)*1)-MIN(MID(B519,{1,2,3},1)*1)</f>
        <v>4</v>
      </c>
      <c r="G519" s="104">
        <v>0</v>
      </c>
      <c r="H519" s="104">
        <v>1</v>
      </c>
      <c r="I519" s="104">
        <v>2</v>
      </c>
      <c r="J519" s="104">
        <v>3</v>
      </c>
      <c r="K519" s="104">
        <v>4</v>
      </c>
      <c r="L519" s="104">
        <v>5</v>
      </c>
      <c r="M519" s="104">
        <v>6</v>
      </c>
      <c r="N519" s="104">
        <v>7</v>
      </c>
      <c r="O519" s="104">
        <v>8</v>
      </c>
      <c r="P519" s="104">
        <v>9</v>
      </c>
      <c r="Q519" s="53">
        <f t="shared" si="267"/>
        <v>4</v>
      </c>
      <c r="R519" s="53">
        <f t="shared" si="268"/>
        <v>2</v>
      </c>
      <c r="S519" s="53">
        <f t="shared" si="269"/>
        <v>2</v>
      </c>
      <c r="T519" s="101">
        <f t="shared" si="273"/>
        <v>8</v>
      </c>
      <c r="U519" s="15" t="str">
        <f>_xlfn.TEXTJOIN(", ",TRUE,ABS(MID(B519,{1,1,2},1)-MID(B519,{2,3,3},1)))</f>
        <v>4, 2, 2</v>
      </c>
      <c r="V519" s="54">
        <v>0</v>
      </c>
      <c r="W519" s="54">
        <v>1</v>
      </c>
      <c r="X519" s="54">
        <v>2</v>
      </c>
      <c r="Y519" s="54">
        <v>3</v>
      </c>
      <c r="Z519" s="54">
        <v>4</v>
      </c>
      <c r="AA519" s="54">
        <v>5</v>
      </c>
      <c r="AB519" s="54">
        <v>6</v>
      </c>
      <c r="AC519" s="54">
        <v>7</v>
      </c>
      <c r="AD519" s="54">
        <v>8</v>
      </c>
      <c r="AE519" s="54">
        <v>9</v>
      </c>
      <c r="AF519" s="55">
        <v>0</v>
      </c>
      <c r="AG519" s="55">
        <v>1</v>
      </c>
      <c r="AH519" s="55">
        <v>2</v>
      </c>
      <c r="AI519" s="55">
        <v>3</v>
      </c>
      <c r="AJ519" s="55">
        <v>4</v>
      </c>
      <c r="AK519" s="55">
        <v>5</v>
      </c>
      <c r="AL519" s="55">
        <v>6</v>
      </c>
      <c r="AM519" s="55">
        <v>7</v>
      </c>
      <c r="AN519" s="55">
        <v>8</v>
      </c>
      <c r="AO519" s="55">
        <v>9</v>
      </c>
      <c r="AP519" s="105">
        <v>0</v>
      </c>
      <c r="AQ519" s="105">
        <v>1</v>
      </c>
      <c r="AR519" s="105">
        <v>2</v>
      </c>
      <c r="AS519" s="105">
        <v>3</v>
      </c>
      <c r="AT519" s="105">
        <v>4</v>
      </c>
      <c r="AU519" s="105">
        <v>5</v>
      </c>
      <c r="AV519" s="105">
        <v>6</v>
      </c>
      <c r="AW519" s="105">
        <v>7</v>
      </c>
      <c r="AX519" s="105">
        <v>8</v>
      </c>
      <c r="AY519" s="105">
        <v>9</v>
      </c>
      <c r="AZ519" s="56">
        <v>0</v>
      </c>
      <c r="BA519" s="56">
        <v>1</v>
      </c>
      <c r="BB519" s="56">
        <v>2</v>
      </c>
      <c r="BC519" s="56">
        <v>3</v>
      </c>
      <c r="BD519" s="56">
        <v>4</v>
      </c>
      <c r="BE519" s="56">
        <v>5</v>
      </c>
      <c r="BF519" s="56">
        <v>6</v>
      </c>
      <c r="BG519" s="56">
        <v>7</v>
      </c>
      <c r="BH519" s="56">
        <v>8</v>
      </c>
      <c r="BI519" s="56">
        <v>9</v>
      </c>
      <c r="BJ519" s="57" t="str">
        <f t="shared" si="274"/>
        <v>标准型</v>
      </c>
      <c r="BK519" s="13">
        <f t="shared" si="270"/>
        <v>2</v>
      </c>
      <c r="BL519" s="13">
        <f t="shared" si="271"/>
        <v>4</v>
      </c>
      <c r="BM519" s="18">
        <f t="shared" si="276"/>
        <v>4</v>
      </c>
      <c r="BN519" s="19" t="str">
        <f t="shared" si="277"/>
        <v/>
      </c>
      <c r="BO519" s="19" t="str">
        <f t="array" ref="BO519">_xlfn.TEXTJOIN("",TRUE,IF(ISERROR(FIND(ROW($1:$10)-1,BM519&amp;BN519)),ROW($1:$10)-1,""))</f>
        <v>012356789</v>
      </c>
      <c r="BP519" s="20" t="str">
        <f t="shared" si="278"/>
        <v>复中中</v>
      </c>
      <c r="BQ519" s="21" t="str">
        <f t="shared" si="254"/>
        <v/>
      </c>
      <c r="BR519" s="21" t="str">
        <f t="shared" si="287"/>
        <v/>
      </c>
      <c r="BS519" s="21" t="str">
        <f t="array" ref="BS519">_xlfn.TEXTJOIN("",TRUE,IF(ISERROR(FIND(ROW($1:$10)-1,BQ519&amp;BR519)),ROW($1:$10)-1,""))</f>
        <v>0123456789</v>
      </c>
      <c r="BT519" s="20" t="str">
        <f t="shared" si="279"/>
        <v>中中中</v>
      </c>
      <c r="BU519" s="22" t="str">
        <f t="shared" si="280"/>
        <v/>
      </c>
      <c r="BV519" s="22" t="str">
        <f t="shared" si="288"/>
        <v/>
      </c>
      <c r="BW519" s="22" t="str">
        <f t="array" ref="BW519">_xlfn.TEXTJOIN("",TRUE,IF(ISERROR(FIND(ROW($1:$10)-1,BU519&amp;BV519)),ROW($1:$10)-1,""))</f>
        <v>0123456789</v>
      </c>
      <c r="BX519" s="20" t="str">
        <f t="shared" si="281"/>
        <v>中中中</v>
      </c>
      <c r="BY519" s="23" t="str">
        <f t="shared" si="275"/>
        <v>35</v>
      </c>
      <c r="BZ519" s="24" t="str">
        <f t="array" ref="BZ519">_xlfn.TEXTJOIN("",TRUE,IF(ISNUMBER(FIND(MID(BY518&amp;Q518,ROW($1:$4),1),BY519&amp;Q519)),MID(BY518&amp;Q518,ROW($1:$4),1),""))</f>
        <v>354</v>
      </c>
      <c r="CA519" s="25" t="str">
        <f t="array" ref="CA519">_xlfn.TEXTJOIN("",TRUE,IF(ISERROR(FIND(ROW($1:$10)-1,BY519&amp;BZ519)),ROW($1:$10)-1,""))</f>
        <v>0126789</v>
      </c>
      <c r="CB519" s="26" t="str">
        <f t="shared" si="282"/>
        <v>邻传孤</v>
      </c>
      <c r="CC519" s="27" t="str">
        <f t="shared" si="283"/>
        <v>13</v>
      </c>
      <c r="CD519" s="27" t="str">
        <f t="array" ref="CD519">_xlfn.TEXTJOIN("",TRUE,IF(ISNUMBER(FIND(MID(CC518&amp;R518,ROW($1:$4),1),CC519&amp;R519)),MID(CC518&amp;R518,ROW($1:$4),1),""))</f>
        <v>23</v>
      </c>
      <c r="CE519" s="27" t="str">
        <f t="array" ref="CE519">_xlfn.TEXTJOIN("",TRUE,IF(ISERROR(FIND(ROW($1:$10)-1,CC519&amp;CD519)),ROW($1:$10)-1,""))</f>
        <v>0456789</v>
      </c>
      <c r="CF519" s="17" t="str">
        <f t="shared" si="284"/>
        <v>邻传孤</v>
      </c>
      <c r="CG519" s="22" t="str">
        <f t="shared" si="285"/>
        <v>13</v>
      </c>
      <c r="CH519" s="22" t="str">
        <f t="array" ref="CH519">_xlfn.TEXTJOIN("",TRUE,IF(ISNUMBER(FIND(MID(CG518&amp;S518,ROW($1:$4),1),CG519&amp;S519)),MID(CG518&amp;S518,ROW($1:$4),1),""))</f>
        <v>21</v>
      </c>
      <c r="CI519" s="22" t="str">
        <f t="array" ref="CI519">_xlfn.TEXTJOIN("",TRUE,IF(ISERROR(FIND(ROW($1:$10)-1,CG519&amp;CH519)),ROW($1:$10)-1,""))</f>
        <v>0456789</v>
      </c>
      <c r="CJ519" s="28" t="str">
        <f t="shared" si="286"/>
        <v>邻传孤</v>
      </c>
    </row>
    <row r="520" spans="1:88">
      <c r="A520" s="32">
        <v>2025295</v>
      </c>
      <c r="B520" s="8" t="s">
        <v>418</v>
      </c>
      <c r="C520" s="49">
        <f t="shared" si="265"/>
        <v>12</v>
      </c>
      <c r="D520" s="50">
        <f t="shared" si="266"/>
        <v>2</v>
      </c>
      <c r="E520" s="51">
        <f t="shared" si="272"/>
        <v>4</v>
      </c>
      <c r="F520" s="52">
        <f>MAX(MID(B520,{1,2,3},1)*1)-MIN(MID(B520,{1,2,3},1)*1)</f>
        <v>5</v>
      </c>
      <c r="G520" s="104">
        <v>0</v>
      </c>
      <c r="H520" s="104">
        <v>1</v>
      </c>
      <c r="I520" s="104">
        <v>2</v>
      </c>
      <c r="J520" s="104">
        <v>3</v>
      </c>
      <c r="K520" s="104">
        <v>4</v>
      </c>
      <c r="L520" s="104">
        <v>5</v>
      </c>
      <c r="M520" s="104">
        <v>6</v>
      </c>
      <c r="N520" s="104">
        <v>7</v>
      </c>
      <c r="O520" s="104">
        <v>8</v>
      </c>
      <c r="P520" s="104">
        <v>9</v>
      </c>
      <c r="Q520" s="53">
        <f t="shared" si="267"/>
        <v>5</v>
      </c>
      <c r="R520" s="53">
        <f t="shared" si="268"/>
        <v>1</v>
      </c>
      <c r="S520" s="53">
        <f t="shared" si="269"/>
        <v>4</v>
      </c>
      <c r="T520" s="101">
        <f t="shared" si="273"/>
        <v>10</v>
      </c>
      <c r="U520" s="15" t="str">
        <f>_xlfn.TEXTJOIN(", ",TRUE,ABS(MID(B520,{1,1,2},1)-MID(B520,{2,3,3},1)))</f>
        <v>5, 1, 4</v>
      </c>
      <c r="V520" s="54">
        <v>0</v>
      </c>
      <c r="W520" s="54">
        <v>1</v>
      </c>
      <c r="X520" s="54">
        <v>2</v>
      </c>
      <c r="Y520" s="54">
        <v>3</v>
      </c>
      <c r="Z520" s="54">
        <v>4</v>
      </c>
      <c r="AA520" s="54">
        <v>5</v>
      </c>
      <c r="AB520" s="54">
        <v>6</v>
      </c>
      <c r="AC520" s="54">
        <v>7</v>
      </c>
      <c r="AD520" s="54">
        <v>8</v>
      </c>
      <c r="AE520" s="54">
        <v>9</v>
      </c>
      <c r="AF520" s="55">
        <v>0</v>
      </c>
      <c r="AG520" s="55">
        <v>1</v>
      </c>
      <c r="AH520" s="55">
        <v>2</v>
      </c>
      <c r="AI520" s="55">
        <v>3</v>
      </c>
      <c r="AJ520" s="55">
        <v>4</v>
      </c>
      <c r="AK520" s="55">
        <v>5</v>
      </c>
      <c r="AL520" s="55">
        <v>6</v>
      </c>
      <c r="AM520" s="55">
        <v>7</v>
      </c>
      <c r="AN520" s="55">
        <v>8</v>
      </c>
      <c r="AO520" s="55">
        <v>9</v>
      </c>
      <c r="AP520" s="105">
        <v>0</v>
      </c>
      <c r="AQ520" s="105">
        <v>1</v>
      </c>
      <c r="AR520" s="105">
        <v>2</v>
      </c>
      <c r="AS520" s="105">
        <v>3</v>
      </c>
      <c r="AT520" s="105">
        <v>4</v>
      </c>
      <c r="AU520" s="105">
        <v>5</v>
      </c>
      <c r="AV520" s="105">
        <v>6</v>
      </c>
      <c r="AW520" s="105">
        <v>7</v>
      </c>
      <c r="AX520" s="105">
        <v>8</v>
      </c>
      <c r="AY520" s="105">
        <v>9</v>
      </c>
      <c r="AZ520" s="56">
        <v>0</v>
      </c>
      <c r="BA520" s="56">
        <v>1</v>
      </c>
      <c r="BB520" s="56">
        <v>2</v>
      </c>
      <c r="BC520" s="56">
        <v>3</v>
      </c>
      <c r="BD520" s="56">
        <v>4</v>
      </c>
      <c r="BE520" s="56">
        <v>5</v>
      </c>
      <c r="BF520" s="56">
        <v>6</v>
      </c>
      <c r="BG520" s="56">
        <v>7</v>
      </c>
      <c r="BH520" s="56">
        <v>8</v>
      </c>
      <c r="BI520" s="56">
        <v>9</v>
      </c>
      <c r="BJ520" s="57" t="str">
        <f t="shared" si="274"/>
        <v>标准型</v>
      </c>
      <c r="BK520" s="13">
        <f t="shared" si="270"/>
        <v>1</v>
      </c>
      <c r="BL520" s="13">
        <f t="shared" si="271"/>
        <v>5</v>
      </c>
      <c r="BM520" s="18" t="str">
        <f t="shared" si="276"/>
        <v/>
      </c>
      <c r="BN520" s="19" t="str">
        <f t="shared" si="277"/>
        <v/>
      </c>
      <c r="BO520" s="19" t="str">
        <f t="array" ref="BO520">_xlfn.TEXTJOIN("",TRUE,IF(ISERROR(FIND(ROW($1:$10)-1,BM520&amp;BN520)),ROW($1:$10)-1,""))</f>
        <v>0123456789</v>
      </c>
      <c r="BP520" s="20" t="str">
        <f t="shared" si="278"/>
        <v>中中中</v>
      </c>
      <c r="BQ520" s="21" t="str">
        <f t="shared" ref="BQ520:BQ526" si="289">IF(COUNTIF($Q519:$S519,R520)&gt;0,R520,"")</f>
        <v/>
      </c>
      <c r="BR520" s="21">
        <f t="shared" si="287"/>
        <v>1</v>
      </c>
      <c r="BS520" s="21" t="str">
        <f t="array" ref="BS520">_xlfn.TEXTJOIN("",TRUE,IF(ISERROR(FIND(ROW($1:$10)-1,BQ520&amp;BR520)),ROW($1:$10)-1,""))</f>
        <v>023456789</v>
      </c>
      <c r="BT520" s="20" t="str">
        <f t="shared" si="279"/>
        <v>中隔中</v>
      </c>
      <c r="BU520" s="22">
        <f t="shared" si="280"/>
        <v>4</v>
      </c>
      <c r="BV520" s="22">
        <f t="shared" si="288"/>
        <v>4</v>
      </c>
      <c r="BW520" s="22" t="str">
        <f t="array" ref="BW520">_xlfn.TEXTJOIN("",TRUE,IF(ISERROR(FIND(ROW($1:$10)-1,BU520&amp;BV520)),ROW($1:$10)-1,""))</f>
        <v>012356789</v>
      </c>
      <c r="BX520" s="20" t="str">
        <f t="shared" si="281"/>
        <v>复隔中</v>
      </c>
      <c r="BY520" s="23" t="str">
        <f t="shared" si="275"/>
        <v>46</v>
      </c>
      <c r="BZ520" s="24" t="str">
        <f t="array" ref="BZ520">_xlfn.TEXTJOIN("",TRUE,IF(ISNUMBER(FIND(MID(BY519&amp;Q519,ROW($1:$4),1),BY520&amp;Q520)),MID(BY519&amp;Q519,ROW($1:$4),1),""))</f>
        <v>54</v>
      </c>
      <c r="CA520" s="25" t="str">
        <f t="array" ref="CA520">_xlfn.TEXTJOIN("",TRUE,IF(ISERROR(FIND(ROW($1:$10)-1,BY520&amp;BZ520)),ROW($1:$10)-1,""))</f>
        <v>0123789</v>
      </c>
      <c r="CB520" s="26" t="str">
        <f t="shared" si="282"/>
        <v>邻传孤</v>
      </c>
      <c r="CC520" s="27" t="str">
        <f t="shared" si="283"/>
        <v>02</v>
      </c>
      <c r="CD520" s="27" t="str">
        <f t="array" ref="CD520">_xlfn.TEXTJOIN("",TRUE,IF(ISNUMBER(FIND(MID(CC519&amp;R519,ROW($1:$4),1),CC520&amp;R520)),MID(CC519&amp;R519,ROW($1:$4),1),""))</f>
        <v>12</v>
      </c>
      <c r="CE520" s="27" t="str">
        <f t="array" ref="CE520">_xlfn.TEXTJOIN("",TRUE,IF(ISERROR(FIND(ROW($1:$10)-1,CC520&amp;CD520)),ROW($1:$10)-1,""))</f>
        <v>3456789</v>
      </c>
      <c r="CF520" s="17" t="str">
        <f t="shared" si="284"/>
        <v>邻传孤</v>
      </c>
      <c r="CG520" s="22" t="str">
        <f t="shared" si="285"/>
        <v>35</v>
      </c>
      <c r="CH520" s="22" t="str">
        <f t="array" ref="CH520">_xlfn.TEXTJOIN("",TRUE,IF(ISNUMBER(FIND(MID(CG519&amp;S519,ROW($1:$4),1),CG520&amp;S520)),MID(CG519&amp;S519,ROW($1:$4),1),""))</f>
        <v>3</v>
      </c>
      <c r="CI520" s="22" t="str">
        <f t="array" ref="CI520">_xlfn.TEXTJOIN("",TRUE,IF(ISERROR(FIND(ROW($1:$10)-1,CG520&amp;CH520)),ROW($1:$10)-1,""))</f>
        <v>01246789</v>
      </c>
      <c r="CJ520" s="28" t="str">
        <f t="shared" si="286"/>
        <v>邻传孤</v>
      </c>
    </row>
    <row r="521" spans="1:88">
      <c r="A521" s="32">
        <v>2025296</v>
      </c>
      <c r="B521" s="8" t="s">
        <v>419</v>
      </c>
      <c r="C521" s="49">
        <f t="shared" si="265"/>
        <v>15</v>
      </c>
      <c r="D521" s="50">
        <f t="shared" si="266"/>
        <v>5</v>
      </c>
      <c r="E521" s="51">
        <f t="shared" si="272"/>
        <v>5</v>
      </c>
      <c r="F521" s="52">
        <f>MAX(MID(B521,{1,2,3},1)*1)-MIN(MID(B521,{1,2,3},1)*1)</f>
        <v>4</v>
      </c>
      <c r="G521" s="104">
        <v>0</v>
      </c>
      <c r="H521" s="104">
        <v>1</v>
      </c>
      <c r="I521" s="104">
        <v>2</v>
      </c>
      <c r="J521" s="104">
        <v>3</v>
      </c>
      <c r="K521" s="104">
        <v>4</v>
      </c>
      <c r="L521" s="104">
        <v>5</v>
      </c>
      <c r="M521" s="104">
        <v>6</v>
      </c>
      <c r="N521" s="104">
        <v>7</v>
      </c>
      <c r="O521" s="104">
        <v>8</v>
      </c>
      <c r="P521" s="104">
        <v>9</v>
      </c>
      <c r="Q521" s="53">
        <f t="shared" si="267"/>
        <v>2</v>
      </c>
      <c r="R521" s="53">
        <f t="shared" si="268"/>
        <v>2</v>
      </c>
      <c r="S521" s="53">
        <f t="shared" si="269"/>
        <v>4</v>
      </c>
      <c r="T521" s="101">
        <f t="shared" si="273"/>
        <v>8</v>
      </c>
      <c r="U521" s="15" t="str">
        <f>_xlfn.TEXTJOIN(", ",TRUE,ABS(MID(B521,{1,1,2},1)-MID(B521,{2,3,3},1)))</f>
        <v>2, 2, 4</v>
      </c>
      <c r="V521" s="54">
        <v>0</v>
      </c>
      <c r="W521" s="54">
        <v>1</v>
      </c>
      <c r="X521" s="54">
        <v>2</v>
      </c>
      <c r="Y521" s="54">
        <v>3</v>
      </c>
      <c r="Z521" s="54">
        <v>4</v>
      </c>
      <c r="AA521" s="54">
        <v>5</v>
      </c>
      <c r="AB521" s="54">
        <v>6</v>
      </c>
      <c r="AC521" s="54">
        <v>7</v>
      </c>
      <c r="AD521" s="54">
        <v>8</v>
      </c>
      <c r="AE521" s="54">
        <v>9</v>
      </c>
      <c r="AF521" s="55">
        <v>0</v>
      </c>
      <c r="AG521" s="55">
        <v>1</v>
      </c>
      <c r="AH521" s="55">
        <v>2</v>
      </c>
      <c r="AI521" s="55">
        <v>3</v>
      </c>
      <c r="AJ521" s="55">
        <v>4</v>
      </c>
      <c r="AK521" s="55">
        <v>5</v>
      </c>
      <c r="AL521" s="55">
        <v>6</v>
      </c>
      <c r="AM521" s="55">
        <v>7</v>
      </c>
      <c r="AN521" s="55">
        <v>8</v>
      </c>
      <c r="AO521" s="55">
        <v>9</v>
      </c>
      <c r="AP521" s="105">
        <v>0</v>
      </c>
      <c r="AQ521" s="105">
        <v>1</v>
      </c>
      <c r="AR521" s="105">
        <v>2</v>
      </c>
      <c r="AS521" s="105">
        <v>3</v>
      </c>
      <c r="AT521" s="105">
        <v>4</v>
      </c>
      <c r="AU521" s="105">
        <v>5</v>
      </c>
      <c r="AV521" s="105">
        <v>6</v>
      </c>
      <c r="AW521" s="105">
        <v>7</v>
      </c>
      <c r="AX521" s="105">
        <v>8</v>
      </c>
      <c r="AY521" s="105">
        <v>9</v>
      </c>
      <c r="AZ521" s="56">
        <v>0</v>
      </c>
      <c r="BA521" s="56">
        <v>1</v>
      </c>
      <c r="BB521" s="56">
        <v>2</v>
      </c>
      <c r="BC521" s="56">
        <v>3</v>
      </c>
      <c r="BD521" s="56">
        <v>4</v>
      </c>
      <c r="BE521" s="56">
        <v>5</v>
      </c>
      <c r="BF521" s="56">
        <v>6</v>
      </c>
      <c r="BG521" s="56">
        <v>7</v>
      </c>
      <c r="BH521" s="56">
        <v>8</v>
      </c>
      <c r="BI521" s="56">
        <v>9</v>
      </c>
      <c r="BJ521" s="57" t="str">
        <f t="shared" si="274"/>
        <v>标准型</v>
      </c>
      <c r="BK521" s="13">
        <f t="shared" si="270"/>
        <v>2</v>
      </c>
      <c r="BL521" s="13">
        <f t="shared" si="271"/>
        <v>4</v>
      </c>
      <c r="BM521" s="18" t="str">
        <f t="shared" si="276"/>
        <v/>
      </c>
      <c r="BN521" s="19">
        <f t="shared" si="277"/>
        <v>2</v>
      </c>
      <c r="BO521" s="19" t="str">
        <f t="array" ref="BO521">_xlfn.TEXTJOIN("",TRUE,IF(ISERROR(FIND(ROW($1:$10)-1,BM521&amp;BN521)),ROW($1:$10)-1,""))</f>
        <v>013456789</v>
      </c>
      <c r="BP521" s="20" t="str">
        <f t="shared" si="278"/>
        <v>中隔中</v>
      </c>
      <c r="BQ521" s="21" t="str">
        <f t="shared" si="289"/>
        <v/>
      </c>
      <c r="BR521" s="21">
        <f t="shared" si="287"/>
        <v>2</v>
      </c>
      <c r="BS521" s="21" t="str">
        <f t="array" ref="BS521">_xlfn.TEXTJOIN("",TRUE,IF(ISERROR(FIND(ROW($1:$10)-1,BQ521&amp;BR521)),ROW($1:$10)-1,""))</f>
        <v>013456789</v>
      </c>
      <c r="BT521" s="20" t="str">
        <f t="shared" si="279"/>
        <v>中隔中</v>
      </c>
      <c r="BU521" s="22">
        <f t="shared" si="280"/>
        <v>4</v>
      </c>
      <c r="BV521" s="22">
        <f t="shared" si="288"/>
        <v>4</v>
      </c>
      <c r="BW521" s="22" t="str">
        <f t="array" ref="BW521">_xlfn.TEXTJOIN("",TRUE,IF(ISERROR(FIND(ROW($1:$10)-1,BU521&amp;BV521)),ROW($1:$10)-1,""))</f>
        <v>012356789</v>
      </c>
      <c r="BX521" s="20" t="str">
        <f t="shared" si="281"/>
        <v>复隔中</v>
      </c>
      <c r="BY521" s="23" t="str">
        <f t="shared" si="275"/>
        <v>13</v>
      </c>
      <c r="BZ521" s="24" t="str">
        <f t="array" ref="BZ521">_xlfn.TEXTJOIN("",TRUE,IF(ISNUMBER(FIND(MID(BY520&amp;Q520,ROW($1:$4),1),BY521&amp;Q521)),MID(BY520&amp;Q520,ROW($1:$4),1),""))</f>
        <v/>
      </c>
      <c r="CA521" s="25" t="str">
        <f t="array" ref="CA521">_xlfn.TEXTJOIN("",TRUE,IF(ISERROR(FIND(ROW($1:$10)-1,BY521&amp;BZ521)),ROW($1:$10)-1,""))</f>
        <v>02456789</v>
      </c>
      <c r="CB521" s="26" t="str">
        <f t="shared" si="282"/>
        <v>邻孤孤</v>
      </c>
      <c r="CC521" s="27" t="str">
        <f t="shared" si="283"/>
        <v>13</v>
      </c>
      <c r="CD521" s="27" t="str">
        <f t="array" ref="CD521">_xlfn.TEXTJOIN("",TRUE,IF(ISNUMBER(FIND(MID(CC520&amp;R520,ROW($1:$4),1),CC521&amp;R521)),MID(CC520&amp;R520,ROW($1:$4),1),""))</f>
        <v>21</v>
      </c>
      <c r="CE521" s="27" t="str">
        <f t="array" ref="CE521">_xlfn.TEXTJOIN("",TRUE,IF(ISERROR(FIND(ROW($1:$10)-1,CC521&amp;CD521)),ROW($1:$10)-1,""))</f>
        <v>0456789</v>
      </c>
      <c r="CF521" s="17" t="str">
        <f t="shared" si="284"/>
        <v>邻传孤</v>
      </c>
      <c r="CG521" s="22" t="str">
        <f t="shared" si="285"/>
        <v>35</v>
      </c>
      <c r="CH521" s="22" t="str">
        <f t="array" ref="CH521">_xlfn.TEXTJOIN("",TRUE,IF(ISNUMBER(FIND(MID(CG520&amp;S520,ROW($1:$4),1),CG521&amp;S521)),MID(CG520&amp;S520,ROW($1:$4),1),""))</f>
        <v>354</v>
      </c>
      <c r="CI521" s="22" t="str">
        <f t="array" ref="CI521">_xlfn.TEXTJOIN("",TRUE,IF(ISERROR(FIND(ROW($1:$10)-1,CG521&amp;CH521)),ROW($1:$10)-1,""))</f>
        <v>0126789</v>
      </c>
      <c r="CJ521" s="28" t="str">
        <f t="shared" si="286"/>
        <v>邻传孤</v>
      </c>
    </row>
    <row r="522" spans="1:88">
      <c r="A522" s="32">
        <v>2025297</v>
      </c>
      <c r="B522" s="8" t="s">
        <v>420</v>
      </c>
      <c r="C522" s="49">
        <f t="shared" si="265"/>
        <v>6</v>
      </c>
      <c r="D522" s="50">
        <f t="shared" si="266"/>
        <v>6</v>
      </c>
      <c r="E522" s="51">
        <f t="shared" si="272"/>
        <v>2</v>
      </c>
      <c r="F522" s="52">
        <f>MAX(MID(B522,{1,2,3},1)*1)-MIN(MID(B522,{1,2,3},1)*1)</f>
        <v>5</v>
      </c>
      <c r="G522" s="104">
        <v>0</v>
      </c>
      <c r="H522" s="104">
        <v>1</v>
      </c>
      <c r="I522" s="104">
        <v>2</v>
      </c>
      <c r="J522" s="104">
        <v>3</v>
      </c>
      <c r="K522" s="104">
        <v>4</v>
      </c>
      <c r="L522" s="104">
        <v>5</v>
      </c>
      <c r="M522" s="104">
        <v>6</v>
      </c>
      <c r="N522" s="104">
        <v>7</v>
      </c>
      <c r="O522" s="104">
        <v>8</v>
      </c>
      <c r="P522" s="104">
        <v>9</v>
      </c>
      <c r="Q522" s="53">
        <f t="shared" si="267"/>
        <v>5</v>
      </c>
      <c r="R522" s="53">
        <f t="shared" si="268"/>
        <v>1</v>
      </c>
      <c r="S522" s="53">
        <f t="shared" si="269"/>
        <v>4</v>
      </c>
      <c r="T522" s="101">
        <f t="shared" si="273"/>
        <v>10</v>
      </c>
      <c r="U522" s="15" t="str">
        <f>_xlfn.TEXTJOIN(", ",TRUE,ABS(MID(B522,{1,1,2},1)-MID(B522,{2,3,3},1)))</f>
        <v>5, 1, 4</v>
      </c>
      <c r="V522" s="54">
        <v>0</v>
      </c>
      <c r="W522" s="54">
        <v>1</v>
      </c>
      <c r="X522" s="54">
        <v>2</v>
      </c>
      <c r="Y522" s="54">
        <v>3</v>
      </c>
      <c r="Z522" s="54">
        <v>4</v>
      </c>
      <c r="AA522" s="54">
        <v>5</v>
      </c>
      <c r="AB522" s="54">
        <v>6</v>
      </c>
      <c r="AC522" s="54">
        <v>7</v>
      </c>
      <c r="AD522" s="54">
        <v>8</v>
      </c>
      <c r="AE522" s="54">
        <v>9</v>
      </c>
      <c r="AF522" s="55">
        <v>0</v>
      </c>
      <c r="AG522" s="55">
        <v>1</v>
      </c>
      <c r="AH522" s="55">
        <v>2</v>
      </c>
      <c r="AI522" s="55">
        <v>3</v>
      </c>
      <c r="AJ522" s="55">
        <v>4</v>
      </c>
      <c r="AK522" s="55">
        <v>5</v>
      </c>
      <c r="AL522" s="55">
        <v>6</v>
      </c>
      <c r="AM522" s="55">
        <v>7</v>
      </c>
      <c r="AN522" s="55">
        <v>8</v>
      </c>
      <c r="AO522" s="55">
        <v>9</v>
      </c>
      <c r="AP522" s="105">
        <v>0</v>
      </c>
      <c r="AQ522" s="105">
        <v>1</v>
      </c>
      <c r="AR522" s="105">
        <v>2</v>
      </c>
      <c r="AS522" s="105">
        <v>3</v>
      </c>
      <c r="AT522" s="105">
        <v>4</v>
      </c>
      <c r="AU522" s="105">
        <v>5</v>
      </c>
      <c r="AV522" s="105">
        <v>6</v>
      </c>
      <c r="AW522" s="105">
        <v>7</v>
      </c>
      <c r="AX522" s="105">
        <v>8</v>
      </c>
      <c r="AY522" s="105">
        <v>9</v>
      </c>
      <c r="AZ522" s="56">
        <v>0</v>
      </c>
      <c r="BA522" s="56">
        <v>1</v>
      </c>
      <c r="BB522" s="56">
        <v>2</v>
      </c>
      <c r="BC522" s="56">
        <v>3</v>
      </c>
      <c r="BD522" s="56">
        <v>4</v>
      </c>
      <c r="BE522" s="56">
        <v>5</v>
      </c>
      <c r="BF522" s="56">
        <v>6</v>
      </c>
      <c r="BG522" s="56">
        <v>7</v>
      </c>
      <c r="BH522" s="56">
        <v>8</v>
      </c>
      <c r="BI522" s="56">
        <v>9</v>
      </c>
      <c r="BJ522" s="57" t="str">
        <f t="shared" si="274"/>
        <v>标准型</v>
      </c>
      <c r="BK522" s="13">
        <f t="shared" si="270"/>
        <v>1</v>
      </c>
      <c r="BL522" s="13">
        <f t="shared" si="271"/>
        <v>5</v>
      </c>
      <c r="BM522" s="18" t="str">
        <f t="shared" si="276"/>
        <v/>
      </c>
      <c r="BN522" s="19">
        <f t="shared" si="277"/>
        <v>5</v>
      </c>
      <c r="BO522" s="19" t="str">
        <f t="array" ref="BO522">_xlfn.TEXTJOIN("",TRUE,IF(ISERROR(FIND(ROW($1:$10)-1,BM522&amp;BN522)),ROW($1:$10)-1,""))</f>
        <v>012346789</v>
      </c>
      <c r="BP522" s="20" t="str">
        <f t="shared" si="278"/>
        <v>中隔中</v>
      </c>
      <c r="BQ522" s="21" t="str">
        <f t="shared" si="289"/>
        <v/>
      </c>
      <c r="BR522" s="21">
        <f t="shared" si="287"/>
        <v>1</v>
      </c>
      <c r="BS522" s="21" t="str">
        <f t="array" ref="BS522">_xlfn.TEXTJOIN("",TRUE,IF(ISERROR(FIND(ROW($1:$10)-1,BQ522&amp;BR522)),ROW($1:$10)-1,""))</f>
        <v>023456789</v>
      </c>
      <c r="BT522" s="20" t="str">
        <f t="shared" si="279"/>
        <v>中隔中</v>
      </c>
      <c r="BU522" s="22">
        <f t="shared" si="280"/>
        <v>4</v>
      </c>
      <c r="BV522" s="22">
        <f t="shared" si="288"/>
        <v>4</v>
      </c>
      <c r="BW522" s="22" t="str">
        <f t="array" ref="BW522">_xlfn.TEXTJOIN("",TRUE,IF(ISERROR(FIND(ROW($1:$10)-1,BU522&amp;BV522)),ROW($1:$10)-1,""))</f>
        <v>012356789</v>
      </c>
      <c r="BX522" s="20" t="str">
        <f t="shared" si="281"/>
        <v>复隔中</v>
      </c>
      <c r="BY522" s="23" t="str">
        <f t="shared" si="275"/>
        <v>46</v>
      </c>
      <c r="BZ522" s="24" t="str">
        <f t="array" ref="BZ522">_xlfn.TEXTJOIN("",TRUE,IF(ISNUMBER(FIND(MID(BY521&amp;Q521,ROW($1:$4),1),BY522&amp;Q522)),MID(BY521&amp;Q521,ROW($1:$4),1),""))</f>
        <v/>
      </c>
      <c r="CA522" s="25" t="str">
        <f t="array" ref="CA522">_xlfn.TEXTJOIN("",TRUE,IF(ISERROR(FIND(ROW($1:$10)-1,BY522&amp;BZ522)),ROW($1:$10)-1,""))</f>
        <v>01235789</v>
      </c>
      <c r="CB522" s="26" t="str">
        <f t="shared" si="282"/>
        <v>邻孤孤</v>
      </c>
      <c r="CC522" s="27" t="str">
        <f t="shared" si="283"/>
        <v>02</v>
      </c>
      <c r="CD522" s="27" t="str">
        <f t="array" ref="CD522">_xlfn.TEXTJOIN("",TRUE,IF(ISNUMBER(FIND(MID(CC521&amp;R521,ROW($1:$4),1),CC522&amp;R522)),MID(CC521&amp;R521,ROW($1:$4),1),""))</f>
        <v>12</v>
      </c>
      <c r="CE522" s="27" t="str">
        <f t="array" ref="CE522">_xlfn.TEXTJOIN("",TRUE,IF(ISERROR(FIND(ROW($1:$10)-1,CC522&amp;CD522)),ROW($1:$10)-1,""))</f>
        <v>3456789</v>
      </c>
      <c r="CF522" s="17" t="str">
        <f t="shared" si="284"/>
        <v>邻传孤</v>
      </c>
      <c r="CG522" s="22" t="str">
        <f t="shared" si="285"/>
        <v>35</v>
      </c>
      <c r="CH522" s="22" t="str">
        <f t="array" ref="CH522">_xlfn.TEXTJOIN("",TRUE,IF(ISNUMBER(FIND(MID(CG521&amp;S521,ROW($1:$4),1),CG522&amp;S522)),MID(CG521&amp;S521,ROW($1:$4),1),""))</f>
        <v>354</v>
      </c>
      <c r="CI522" s="22" t="str">
        <f t="array" ref="CI522">_xlfn.TEXTJOIN("",TRUE,IF(ISERROR(FIND(ROW($1:$10)-1,CG522&amp;CH522)),ROW($1:$10)-1,""))</f>
        <v>0126789</v>
      </c>
      <c r="CJ522" s="28" t="str">
        <f t="shared" si="286"/>
        <v>邻传孤</v>
      </c>
    </row>
    <row r="523" spans="1:88">
      <c r="A523" s="32">
        <v>2025298</v>
      </c>
      <c r="B523" s="8">
        <v>544</v>
      </c>
      <c r="C523" s="49">
        <f t="shared" si="265"/>
        <v>13</v>
      </c>
      <c r="D523" s="50">
        <f t="shared" si="266"/>
        <v>3</v>
      </c>
      <c r="E523" s="51">
        <f t="shared" si="272"/>
        <v>4.3333333333333304</v>
      </c>
      <c r="F523" s="52">
        <f>MAX(MID(B523,{1,2,3},1)*1)-MIN(MID(B523,{1,2,3},1)*1)</f>
        <v>1</v>
      </c>
      <c r="G523" s="104">
        <v>0</v>
      </c>
      <c r="H523" s="104">
        <v>1</v>
      </c>
      <c r="I523" s="104">
        <v>2</v>
      </c>
      <c r="J523" s="104">
        <v>3</v>
      </c>
      <c r="K523" s="104">
        <v>4</v>
      </c>
      <c r="L523" s="104">
        <v>5</v>
      </c>
      <c r="M523" s="104">
        <v>6</v>
      </c>
      <c r="N523" s="104">
        <v>7</v>
      </c>
      <c r="O523" s="104">
        <v>8</v>
      </c>
      <c r="P523" s="104">
        <v>9</v>
      </c>
      <c r="Q523" s="53">
        <f t="shared" si="267"/>
        <v>1</v>
      </c>
      <c r="R523" s="53">
        <f t="shared" si="268"/>
        <v>1</v>
      </c>
      <c r="S523" s="53">
        <f t="shared" si="269"/>
        <v>0</v>
      </c>
      <c r="T523" s="101">
        <f t="shared" si="273"/>
        <v>2</v>
      </c>
      <c r="U523" s="15" t="str">
        <f>_xlfn.TEXTJOIN(", ",TRUE,ABS(MID(B523,{1,1,2},1)-MID(B523,{2,3,3},1)))</f>
        <v>1, 1, 0</v>
      </c>
      <c r="V523" s="54">
        <v>0</v>
      </c>
      <c r="W523" s="54">
        <v>1</v>
      </c>
      <c r="X523" s="54">
        <v>2</v>
      </c>
      <c r="Y523" s="54">
        <v>3</v>
      </c>
      <c r="Z523" s="54">
        <v>4</v>
      </c>
      <c r="AA523" s="54">
        <v>5</v>
      </c>
      <c r="AB523" s="54">
        <v>6</v>
      </c>
      <c r="AC523" s="54">
        <v>7</v>
      </c>
      <c r="AD523" s="54">
        <v>8</v>
      </c>
      <c r="AE523" s="54">
        <v>9</v>
      </c>
      <c r="AF523" s="55">
        <v>0</v>
      </c>
      <c r="AG523" s="55">
        <v>1</v>
      </c>
      <c r="AH523" s="55">
        <v>2</v>
      </c>
      <c r="AI523" s="55">
        <v>3</v>
      </c>
      <c r="AJ523" s="55">
        <v>4</v>
      </c>
      <c r="AK523" s="55">
        <v>5</v>
      </c>
      <c r="AL523" s="55">
        <v>6</v>
      </c>
      <c r="AM523" s="55">
        <v>7</v>
      </c>
      <c r="AN523" s="55">
        <v>8</v>
      </c>
      <c r="AO523" s="55">
        <v>9</v>
      </c>
      <c r="AP523" s="105">
        <v>0</v>
      </c>
      <c r="AQ523" s="105">
        <v>1</v>
      </c>
      <c r="AR523" s="105">
        <v>2</v>
      </c>
      <c r="AS523" s="105">
        <v>3</v>
      </c>
      <c r="AT523" s="105">
        <v>4</v>
      </c>
      <c r="AU523" s="105">
        <v>5</v>
      </c>
      <c r="AV523" s="105">
        <v>6</v>
      </c>
      <c r="AW523" s="105">
        <v>7</v>
      </c>
      <c r="AX523" s="105">
        <v>8</v>
      </c>
      <c r="AY523" s="105">
        <v>9</v>
      </c>
      <c r="AZ523" s="56">
        <v>0</v>
      </c>
      <c r="BA523" s="56">
        <v>1</v>
      </c>
      <c r="BB523" s="56">
        <v>2</v>
      </c>
      <c r="BC523" s="56">
        <v>3</v>
      </c>
      <c r="BD523" s="56">
        <v>4</v>
      </c>
      <c r="BE523" s="56">
        <v>5</v>
      </c>
      <c r="BF523" s="56">
        <v>6</v>
      </c>
      <c r="BG523" s="56">
        <v>7</v>
      </c>
      <c r="BH523" s="56">
        <v>8</v>
      </c>
      <c r="BI523" s="56">
        <v>9</v>
      </c>
      <c r="BJ523" s="57" t="str">
        <f t="shared" si="274"/>
        <v>紧凑型</v>
      </c>
      <c r="BK523" s="13">
        <f t="shared" si="270"/>
        <v>0</v>
      </c>
      <c r="BL523" s="13">
        <f t="shared" si="271"/>
        <v>1</v>
      </c>
      <c r="BM523" s="18">
        <f t="shared" si="276"/>
        <v>1</v>
      </c>
      <c r="BN523" s="19" t="str">
        <f t="shared" si="277"/>
        <v/>
      </c>
      <c r="BO523" s="19" t="str">
        <f t="array" ref="BO523">_xlfn.TEXTJOIN("",TRUE,IF(ISERROR(FIND(ROW($1:$10)-1,BM523&amp;BN523)),ROW($1:$10)-1,""))</f>
        <v>023456789</v>
      </c>
      <c r="BP523" s="20" t="str">
        <f t="shared" si="278"/>
        <v>复中中</v>
      </c>
      <c r="BQ523" s="21">
        <f t="shared" si="289"/>
        <v>1</v>
      </c>
      <c r="BR523" s="21" t="str">
        <f t="shared" si="287"/>
        <v/>
      </c>
      <c r="BS523" s="21" t="str">
        <f t="array" ref="BS523">_xlfn.TEXTJOIN("",TRUE,IF(ISERROR(FIND(ROW($1:$10)-1,BQ523&amp;BR523)),ROW($1:$10)-1,""))</f>
        <v>023456789</v>
      </c>
      <c r="BT523" s="20" t="str">
        <f t="shared" si="279"/>
        <v>复中中</v>
      </c>
      <c r="BU523" s="22" t="str">
        <f t="shared" si="280"/>
        <v/>
      </c>
      <c r="BV523" s="22" t="str">
        <f t="shared" si="288"/>
        <v/>
      </c>
      <c r="BW523" s="22" t="str">
        <f t="array" ref="BW523">_xlfn.TEXTJOIN("",TRUE,IF(ISERROR(FIND(ROW($1:$10)-1,BU523&amp;BV523)),ROW($1:$10)-1,""))</f>
        <v>0123456789</v>
      </c>
      <c r="BX523" s="20" t="str">
        <f t="shared" si="281"/>
        <v>中中中</v>
      </c>
      <c r="BY523" s="23" t="str">
        <f t="shared" si="275"/>
        <v>02</v>
      </c>
      <c r="BZ523" s="24" t="str">
        <f t="array" ref="BZ523">_xlfn.TEXTJOIN("",TRUE,IF(ISNUMBER(FIND(MID(BY522&amp;Q522,ROW($1:$4),1),BY523&amp;Q523)),MID(BY522&amp;Q522,ROW($1:$4),1),""))</f>
        <v/>
      </c>
      <c r="CA523" s="25" t="str">
        <f t="array" ref="CA523">_xlfn.TEXTJOIN("",TRUE,IF(ISERROR(FIND(ROW($1:$10)-1,BY523&amp;BZ523)),ROW($1:$10)-1,""))</f>
        <v>13456789</v>
      </c>
      <c r="CB523" s="26" t="str">
        <f t="shared" si="282"/>
        <v>邻孤孤</v>
      </c>
      <c r="CC523" s="27" t="str">
        <f t="shared" si="283"/>
        <v>02</v>
      </c>
      <c r="CD523" s="27" t="str">
        <f t="array" ref="CD523">_xlfn.TEXTJOIN("",TRUE,IF(ISNUMBER(FIND(MID(CC522&amp;R522,ROW($1:$4),1),CC523&amp;R523)),MID(CC522&amp;R522,ROW($1:$4),1),""))</f>
        <v>021</v>
      </c>
      <c r="CE523" s="27" t="str">
        <f t="array" ref="CE523">_xlfn.TEXTJOIN("",TRUE,IF(ISERROR(FIND(ROW($1:$10)-1,CC523&amp;CD523)),ROW($1:$10)-1,""))</f>
        <v>3456789</v>
      </c>
      <c r="CF523" s="17" t="str">
        <f t="shared" si="284"/>
        <v>邻传孤</v>
      </c>
      <c r="CG523" s="22" t="str">
        <f t="shared" si="285"/>
        <v>91</v>
      </c>
      <c r="CH523" s="22" t="str">
        <f t="array" ref="CH523">_xlfn.TEXTJOIN("",TRUE,IF(ISNUMBER(FIND(MID(CG522&amp;S522,ROW($1:$4),1),CG523&amp;S523)),MID(CG522&amp;S522,ROW($1:$4),1),""))</f>
        <v/>
      </c>
      <c r="CI523" s="22" t="str">
        <f t="array" ref="CI523">_xlfn.TEXTJOIN("",TRUE,IF(ISERROR(FIND(ROW($1:$10)-1,CG523&amp;CH523)),ROW($1:$10)-1,""))</f>
        <v>02345678</v>
      </c>
      <c r="CJ523" s="28" t="str">
        <f t="shared" si="286"/>
        <v>邻孤孤</v>
      </c>
    </row>
    <row r="524" spans="1:88">
      <c r="A524" s="32">
        <v>2025299</v>
      </c>
      <c r="B524" s="8" t="s">
        <v>264</v>
      </c>
      <c r="C524" s="49">
        <f t="shared" ref="C524:C531" si="290">LEFT(B524,1)+MID(B524,2,1)+RIGHT(B524,1)</f>
        <v>16</v>
      </c>
      <c r="D524" s="50">
        <f t="shared" ref="D524:D531" si="291">MOD(LEFT(B524,1)+MID(B524,2,1)+RIGHT(B524,1),10)</f>
        <v>6</v>
      </c>
      <c r="E524" s="51">
        <f t="shared" si="272"/>
        <v>5.3333333333333304</v>
      </c>
      <c r="F524" s="52">
        <f>MAX(MID(B524,{1,2,3},1)*1)-MIN(MID(B524,{1,2,3},1)*1)</f>
        <v>5</v>
      </c>
      <c r="G524" s="104">
        <v>0</v>
      </c>
      <c r="H524" s="104">
        <v>1</v>
      </c>
      <c r="I524" s="104">
        <v>2</v>
      </c>
      <c r="J524" s="104">
        <v>3</v>
      </c>
      <c r="K524" s="104">
        <v>4</v>
      </c>
      <c r="L524" s="104">
        <v>5</v>
      </c>
      <c r="M524" s="104">
        <v>6</v>
      </c>
      <c r="N524" s="104">
        <v>7</v>
      </c>
      <c r="O524" s="104">
        <v>8</v>
      </c>
      <c r="P524" s="104">
        <v>9</v>
      </c>
      <c r="Q524" s="53">
        <f t="shared" ref="Q524:Q531" si="292">ABS(LEFT(B524,1)-MID(B524,2,1))</f>
        <v>5</v>
      </c>
      <c r="R524" s="53">
        <f t="shared" ref="R524:R531" si="293">ABS(LEFT(B524,1)-RIGHT(B524,1))</f>
        <v>2</v>
      </c>
      <c r="S524" s="53">
        <f t="shared" ref="S524:S531" si="294">ABS(MID(B524,2,1)-RIGHT(B524,1))</f>
        <v>3</v>
      </c>
      <c r="T524" s="101">
        <f t="shared" si="273"/>
        <v>10</v>
      </c>
      <c r="U524" s="15" t="str">
        <f>_xlfn.TEXTJOIN(", ",TRUE,ABS(MID(B524,{1,1,2},1)-MID(B524,{2,3,3},1)))</f>
        <v>5, 2, 3</v>
      </c>
      <c r="V524" s="54">
        <v>0</v>
      </c>
      <c r="W524" s="54">
        <v>1</v>
      </c>
      <c r="X524" s="54">
        <v>2</v>
      </c>
      <c r="Y524" s="54">
        <v>3</v>
      </c>
      <c r="Z524" s="54">
        <v>4</v>
      </c>
      <c r="AA524" s="54">
        <v>5</v>
      </c>
      <c r="AB524" s="54">
        <v>6</v>
      </c>
      <c r="AC524" s="54">
        <v>7</v>
      </c>
      <c r="AD524" s="54">
        <v>8</v>
      </c>
      <c r="AE524" s="54">
        <v>9</v>
      </c>
      <c r="AF524" s="55">
        <v>0</v>
      </c>
      <c r="AG524" s="55">
        <v>1</v>
      </c>
      <c r="AH524" s="55">
        <v>2</v>
      </c>
      <c r="AI524" s="55">
        <v>3</v>
      </c>
      <c r="AJ524" s="55">
        <v>4</v>
      </c>
      <c r="AK524" s="55">
        <v>5</v>
      </c>
      <c r="AL524" s="55">
        <v>6</v>
      </c>
      <c r="AM524" s="55">
        <v>7</v>
      </c>
      <c r="AN524" s="55">
        <v>8</v>
      </c>
      <c r="AO524" s="55">
        <v>9</v>
      </c>
      <c r="AP524" s="105">
        <v>0</v>
      </c>
      <c r="AQ524" s="105">
        <v>1</v>
      </c>
      <c r="AR524" s="105">
        <v>2</v>
      </c>
      <c r="AS524" s="105">
        <v>3</v>
      </c>
      <c r="AT524" s="105">
        <v>4</v>
      </c>
      <c r="AU524" s="105">
        <v>5</v>
      </c>
      <c r="AV524" s="105">
        <v>6</v>
      </c>
      <c r="AW524" s="105">
        <v>7</v>
      </c>
      <c r="AX524" s="105">
        <v>8</v>
      </c>
      <c r="AY524" s="105">
        <v>9</v>
      </c>
      <c r="AZ524" s="56">
        <v>0</v>
      </c>
      <c r="BA524" s="56">
        <v>1</v>
      </c>
      <c r="BB524" s="56">
        <v>2</v>
      </c>
      <c r="BC524" s="56">
        <v>3</v>
      </c>
      <c r="BD524" s="56">
        <v>4</v>
      </c>
      <c r="BE524" s="56">
        <v>5</v>
      </c>
      <c r="BF524" s="56">
        <v>6</v>
      </c>
      <c r="BG524" s="56">
        <v>7</v>
      </c>
      <c r="BH524" s="56">
        <v>8</v>
      </c>
      <c r="BI524" s="56">
        <v>9</v>
      </c>
      <c r="BJ524" s="57" t="str">
        <f t="shared" si="274"/>
        <v>标准型</v>
      </c>
      <c r="BK524" s="13">
        <f t="shared" si="270"/>
        <v>2</v>
      </c>
      <c r="BL524" s="13">
        <f t="shared" si="271"/>
        <v>5</v>
      </c>
      <c r="BM524" s="18" t="str">
        <f t="shared" si="276"/>
        <v/>
      </c>
      <c r="BN524" s="19">
        <f t="shared" si="277"/>
        <v>5</v>
      </c>
      <c r="BO524" s="19" t="str">
        <f t="array" ref="BO524">_xlfn.TEXTJOIN("",TRUE,IF(ISERROR(FIND(ROW($1:$10)-1,BM524&amp;BN524)),ROW($1:$10)-1,""))</f>
        <v>012346789</v>
      </c>
      <c r="BP524" s="20" t="str">
        <f t="shared" si="278"/>
        <v>中隔中</v>
      </c>
      <c r="BQ524" s="21" t="str">
        <f t="shared" si="289"/>
        <v/>
      </c>
      <c r="BR524" s="21" t="str">
        <f t="shared" si="287"/>
        <v/>
      </c>
      <c r="BS524" s="21" t="str">
        <f t="array" ref="BS524">_xlfn.TEXTJOIN("",TRUE,IF(ISERROR(FIND(ROW($1:$10)-1,BQ524&amp;BR524)),ROW($1:$10)-1,""))</f>
        <v>0123456789</v>
      </c>
      <c r="BT524" s="20" t="str">
        <f t="shared" si="279"/>
        <v>中中中</v>
      </c>
      <c r="BU524" s="22" t="str">
        <f t="shared" si="280"/>
        <v/>
      </c>
      <c r="BV524" s="22" t="str">
        <f t="shared" si="288"/>
        <v/>
      </c>
      <c r="BW524" s="22" t="str">
        <f t="array" ref="BW524">_xlfn.TEXTJOIN("",TRUE,IF(ISERROR(FIND(ROW($1:$10)-1,BU524&amp;BV524)),ROW($1:$10)-1,""))</f>
        <v>0123456789</v>
      </c>
      <c r="BX524" s="20" t="str">
        <f t="shared" si="281"/>
        <v>中中中</v>
      </c>
      <c r="BY524" s="23" t="str">
        <f t="shared" si="275"/>
        <v>46</v>
      </c>
      <c r="BZ524" s="24" t="str">
        <f t="array" ref="BZ524">_xlfn.TEXTJOIN("",TRUE,IF(ISNUMBER(FIND(MID(BY523&amp;Q523,ROW($1:$4),1),BY524&amp;Q524)),MID(BY523&amp;Q523,ROW($1:$4),1),""))</f>
        <v/>
      </c>
      <c r="CA524" s="25" t="str">
        <f t="array" ref="CA524">_xlfn.TEXTJOIN("",TRUE,IF(ISERROR(FIND(ROW($1:$10)-1,BY524&amp;BZ524)),ROW($1:$10)-1,""))</f>
        <v>01235789</v>
      </c>
      <c r="CB524" s="26" t="str">
        <f t="shared" si="282"/>
        <v>邻孤孤</v>
      </c>
      <c r="CC524" s="27" t="str">
        <f t="shared" si="283"/>
        <v>13</v>
      </c>
      <c r="CD524" s="27" t="str">
        <f t="array" ref="CD524">_xlfn.TEXTJOIN("",TRUE,IF(ISNUMBER(FIND(MID(CC523&amp;R523,ROW($1:$4),1),CC524&amp;R524)),MID(CC523&amp;R523,ROW($1:$4),1),""))</f>
        <v>21</v>
      </c>
      <c r="CE524" s="27" t="str">
        <f t="array" ref="CE524">_xlfn.TEXTJOIN("",TRUE,IF(ISERROR(FIND(ROW($1:$10)-1,CC524&amp;CD524)),ROW($1:$10)-1,""))</f>
        <v>0456789</v>
      </c>
      <c r="CF524" s="17" t="str">
        <f t="shared" si="284"/>
        <v>邻传孤</v>
      </c>
      <c r="CG524" s="22" t="str">
        <f t="shared" si="285"/>
        <v>24</v>
      </c>
      <c r="CH524" s="22" t="str">
        <f t="array" ref="CH524">_xlfn.TEXTJOIN("",TRUE,IF(ISNUMBER(FIND(MID(CG523&amp;S523,ROW($1:$4),1),CG524&amp;S524)),MID(CG523&amp;S523,ROW($1:$4),1),""))</f>
        <v/>
      </c>
      <c r="CI524" s="22" t="str">
        <f t="array" ref="CI524">_xlfn.TEXTJOIN("",TRUE,IF(ISERROR(FIND(ROW($1:$10)-1,CG524&amp;CH524)),ROW($1:$10)-1,""))</f>
        <v>01356789</v>
      </c>
      <c r="CJ524" s="28" t="str">
        <f t="shared" si="286"/>
        <v>邻孤孤</v>
      </c>
    </row>
    <row r="525" spans="1:88" s="2" customFormat="1">
      <c r="A525" s="59" t="s">
        <v>421</v>
      </c>
      <c r="B525" s="8" t="s">
        <v>196</v>
      </c>
      <c r="C525" s="60">
        <f t="shared" si="290"/>
        <v>21</v>
      </c>
      <c r="D525" s="61">
        <f t="shared" si="291"/>
        <v>1</v>
      </c>
      <c r="E525" s="51">
        <f t="shared" ref="E525:E531" si="295">C525/3</f>
        <v>7</v>
      </c>
      <c r="F525" s="62">
        <f>MAX(MID(B525,{1,2,3},1)*1)-MIN(MID(B525,{1,2,3},1)*1)</f>
        <v>2</v>
      </c>
      <c r="G525" s="104">
        <v>0</v>
      </c>
      <c r="H525" s="104">
        <v>1</v>
      </c>
      <c r="I525" s="104">
        <v>2</v>
      </c>
      <c r="J525" s="104">
        <v>3</v>
      </c>
      <c r="K525" s="104">
        <v>4</v>
      </c>
      <c r="L525" s="104">
        <v>5</v>
      </c>
      <c r="M525" s="104">
        <v>6</v>
      </c>
      <c r="N525" s="104">
        <v>7</v>
      </c>
      <c r="O525" s="104">
        <v>8</v>
      </c>
      <c r="P525" s="104">
        <v>9</v>
      </c>
      <c r="Q525" s="63">
        <f t="shared" si="292"/>
        <v>2</v>
      </c>
      <c r="R525" s="63">
        <f t="shared" si="293"/>
        <v>1</v>
      </c>
      <c r="S525" s="63">
        <f t="shared" si="294"/>
        <v>1</v>
      </c>
      <c r="T525" s="101">
        <f t="shared" si="273"/>
        <v>4</v>
      </c>
      <c r="U525" s="64" t="str">
        <f>_xlfn.TEXTJOIN(", ",TRUE,ABS(MID(B525,{1,1,2},1)-MID(B525,{2,3,3},1)))</f>
        <v>2, 1, 1</v>
      </c>
      <c r="V525" s="65">
        <v>0</v>
      </c>
      <c r="W525" s="65">
        <v>1</v>
      </c>
      <c r="X525" s="65">
        <v>2</v>
      </c>
      <c r="Y525" s="65">
        <v>3</v>
      </c>
      <c r="Z525" s="65">
        <v>4</v>
      </c>
      <c r="AA525" s="65">
        <v>5</v>
      </c>
      <c r="AB525" s="65">
        <v>6</v>
      </c>
      <c r="AC525" s="65">
        <v>7</v>
      </c>
      <c r="AD525" s="65">
        <v>8</v>
      </c>
      <c r="AE525" s="65">
        <v>9</v>
      </c>
      <c r="AF525" s="55">
        <v>0</v>
      </c>
      <c r="AG525" s="55">
        <v>1</v>
      </c>
      <c r="AH525" s="55">
        <v>2</v>
      </c>
      <c r="AI525" s="55">
        <v>3</v>
      </c>
      <c r="AJ525" s="55">
        <v>4</v>
      </c>
      <c r="AK525" s="55">
        <v>5</v>
      </c>
      <c r="AL525" s="55">
        <v>6</v>
      </c>
      <c r="AM525" s="55">
        <v>7</v>
      </c>
      <c r="AN525" s="55">
        <v>8</v>
      </c>
      <c r="AO525" s="55">
        <v>9</v>
      </c>
      <c r="AP525" s="66">
        <v>0</v>
      </c>
      <c r="AQ525" s="66">
        <v>1</v>
      </c>
      <c r="AR525" s="66">
        <v>2</v>
      </c>
      <c r="AS525" s="66">
        <v>3</v>
      </c>
      <c r="AT525" s="66">
        <v>4</v>
      </c>
      <c r="AU525" s="66">
        <v>5</v>
      </c>
      <c r="AV525" s="66">
        <v>6</v>
      </c>
      <c r="AW525" s="66">
        <v>7</v>
      </c>
      <c r="AX525" s="66">
        <v>8</v>
      </c>
      <c r="AY525" s="66">
        <v>9</v>
      </c>
      <c r="AZ525" s="67">
        <v>0</v>
      </c>
      <c r="BA525" s="67">
        <v>1</v>
      </c>
      <c r="BB525" s="67">
        <v>2</v>
      </c>
      <c r="BC525" s="67">
        <v>3</v>
      </c>
      <c r="BD525" s="67">
        <v>4</v>
      </c>
      <c r="BE525" s="67">
        <v>5</v>
      </c>
      <c r="BF525" s="67">
        <v>6</v>
      </c>
      <c r="BG525" s="67">
        <v>7</v>
      </c>
      <c r="BH525" s="67">
        <v>8</v>
      </c>
      <c r="BI525" s="67">
        <v>9</v>
      </c>
      <c r="BJ525" s="57" t="str">
        <f t="shared" si="274"/>
        <v>紧凑型</v>
      </c>
      <c r="BK525" s="13">
        <f t="shared" ref="BK525:BK531" si="296">MIN(ABS(INT(B525/100)-INT(MOD(B525,100)/10)),ABS(INT(B525/100)-MOD(B525,10)),ABS(INT(MOD(B525,100)/10)-MOD(B525,10)))</f>
        <v>1</v>
      </c>
      <c r="BL525" s="13">
        <f t="shared" ref="BL525:BL531" si="297">MAX(ABS(INT(B525/100)-INT(MOD(B525,100)/10)),ABS(INT(B525/100)-MOD(B525,10)),ABS(INT(MOD(B525,100)/10)-MOD(B525,10)))</f>
        <v>2</v>
      </c>
      <c r="BM525" s="18">
        <f t="shared" si="276"/>
        <v>2</v>
      </c>
      <c r="BN525" s="19" t="str">
        <f t="shared" si="277"/>
        <v/>
      </c>
      <c r="BO525" s="19" t="str">
        <f t="array" ref="BO525">_xlfn.TEXTJOIN("",TRUE,IF(ISERROR(FIND(ROW($1:$10)-1,BM525&amp;BN525)),ROW($1:$10)-1,""))</f>
        <v>013456789</v>
      </c>
      <c r="BP525" s="20" t="str">
        <f t="shared" si="278"/>
        <v>复中中</v>
      </c>
      <c r="BQ525" s="21" t="str">
        <f t="shared" si="289"/>
        <v/>
      </c>
      <c r="BR525" s="21">
        <f t="shared" si="287"/>
        <v>1</v>
      </c>
      <c r="BS525" s="21" t="str">
        <f t="array" ref="BS525">_xlfn.TEXTJOIN("",TRUE,IF(ISERROR(FIND(ROW($1:$10)-1,BQ525&amp;BR525)),ROW($1:$10)-1,""))</f>
        <v>023456789</v>
      </c>
      <c r="BT525" s="20" t="str">
        <f t="shared" si="279"/>
        <v>中隔中</v>
      </c>
      <c r="BU525" s="22" t="str">
        <f t="shared" si="280"/>
        <v/>
      </c>
      <c r="BV525" s="22">
        <f t="shared" si="288"/>
        <v>1</v>
      </c>
      <c r="BW525" s="22" t="str">
        <f t="array" ref="BW525">_xlfn.TEXTJOIN("",TRUE,IF(ISERROR(FIND(ROW($1:$10)-1,BU525&amp;BV525)),ROW($1:$10)-1,""))</f>
        <v>023456789</v>
      </c>
      <c r="BX525" s="20" t="str">
        <f t="shared" si="281"/>
        <v>中隔中</v>
      </c>
      <c r="BY525" s="23" t="str">
        <f t="shared" si="275"/>
        <v>13</v>
      </c>
      <c r="BZ525" s="24" t="str">
        <f t="array" ref="BZ525">_xlfn.TEXTJOIN("",TRUE,IF(ISNUMBER(FIND(MID(BY524&amp;Q524,ROW($1:$4),1),BY525&amp;Q525)),MID(BY524&amp;Q524,ROW($1:$4),1),""))</f>
        <v/>
      </c>
      <c r="CA525" s="25" t="str">
        <f t="array" ref="CA525">_xlfn.TEXTJOIN("",TRUE,IF(ISERROR(FIND(ROW($1:$10)-1,BY525&amp;BZ525)),ROW($1:$10)-1,""))</f>
        <v>02456789</v>
      </c>
      <c r="CB525" s="26" t="str">
        <f t="shared" si="282"/>
        <v>邻孤孤</v>
      </c>
      <c r="CC525" s="27" t="str">
        <f t="shared" si="283"/>
        <v>02</v>
      </c>
      <c r="CD525" s="27" t="str">
        <f t="array" ref="CD525">_xlfn.TEXTJOIN("",TRUE,IF(ISNUMBER(FIND(MID(CC524&amp;R524,ROW($1:$4),1),CC525&amp;R525)),MID(CC524&amp;R524,ROW($1:$4),1),""))</f>
        <v>12</v>
      </c>
      <c r="CE525" s="27" t="str">
        <f t="array" ref="CE525">_xlfn.TEXTJOIN("",TRUE,IF(ISERROR(FIND(ROW($1:$10)-1,CC525&amp;CD525)),ROW($1:$10)-1,""))</f>
        <v>3456789</v>
      </c>
      <c r="CF525" s="17" t="str">
        <f t="shared" si="284"/>
        <v>邻传孤</v>
      </c>
      <c r="CG525" s="22" t="str">
        <f t="shared" si="285"/>
        <v>02</v>
      </c>
      <c r="CH525" s="22" t="str">
        <f t="array" ref="CH525">_xlfn.TEXTJOIN("",TRUE,IF(ISNUMBER(FIND(MID(CG524&amp;S524,ROW($1:$4),1),CG525&amp;S525)),MID(CG524&amp;S524,ROW($1:$4),1),""))</f>
        <v>2</v>
      </c>
      <c r="CI525" s="22" t="str">
        <f t="array" ref="CI525">_xlfn.TEXTJOIN("",TRUE,IF(ISERROR(FIND(ROW($1:$10)-1,CG525&amp;CH525)),ROW($1:$10)-1,""))</f>
        <v>13456789</v>
      </c>
      <c r="CJ525" s="28" t="str">
        <f t="shared" si="286"/>
        <v>邻传孤</v>
      </c>
    </row>
    <row r="526" spans="1:88" s="2" customFormat="1">
      <c r="A526" s="59" t="s">
        <v>422</v>
      </c>
      <c r="B526" s="8" t="s">
        <v>423</v>
      </c>
      <c r="C526" s="60">
        <f t="shared" si="290"/>
        <v>17</v>
      </c>
      <c r="D526" s="61">
        <f t="shared" si="291"/>
        <v>7</v>
      </c>
      <c r="E526" s="51">
        <f t="shared" si="295"/>
        <v>5.6666666666666696</v>
      </c>
      <c r="F526" s="62">
        <f>MAX(MID(B526,{1,2,3},1)*1)-MIN(MID(B526,{1,2,3},1)*1)</f>
        <v>2</v>
      </c>
      <c r="G526" s="104">
        <v>0</v>
      </c>
      <c r="H526" s="104">
        <v>1</v>
      </c>
      <c r="I526" s="104">
        <v>2</v>
      </c>
      <c r="J526" s="104">
        <v>3</v>
      </c>
      <c r="K526" s="104">
        <v>4</v>
      </c>
      <c r="L526" s="104">
        <v>5</v>
      </c>
      <c r="M526" s="104">
        <v>6</v>
      </c>
      <c r="N526" s="104">
        <v>7</v>
      </c>
      <c r="O526" s="104">
        <v>8</v>
      </c>
      <c r="P526" s="104">
        <v>9</v>
      </c>
      <c r="Q526" s="63">
        <f t="shared" si="292"/>
        <v>2</v>
      </c>
      <c r="R526" s="63">
        <f t="shared" si="293"/>
        <v>2</v>
      </c>
      <c r="S526" s="63">
        <f t="shared" si="294"/>
        <v>0</v>
      </c>
      <c r="T526" s="101">
        <f t="shared" si="273"/>
        <v>4</v>
      </c>
      <c r="U526" s="64" t="str">
        <f>_xlfn.TEXTJOIN(", ",TRUE,ABS(MID(B526,{1,1,2},1)-MID(B526,{2,3,3},1)))</f>
        <v>2, 2, 0</v>
      </c>
      <c r="V526" s="65">
        <v>0</v>
      </c>
      <c r="W526" s="65">
        <v>1</v>
      </c>
      <c r="X526" s="65">
        <v>2</v>
      </c>
      <c r="Y526" s="65">
        <v>3</v>
      </c>
      <c r="Z526" s="65">
        <v>4</v>
      </c>
      <c r="AA526" s="65">
        <v>5</v>
      </c>
      <c r="AB526" s="65">
        <v>6</v>
      </c>
      <c r="AC526" s="65">
        <v>7</v>
      </c>
      <c r="AD526" s="65">
        <v>8</v>
      </c>
      <c r="AE526" s="65">
        <v>9</v>
      </c>
      <c r="AF526" s="55">
        <v>0</v>
      </c>
      <c r="AG526" s="55">
        <v>1</v>
      </c>
      <c r="AH526" s="55">
        <v>2</v>
      </c>
      <c r="AI526" s="55">
        <v>3</v>
      </c>
      <c r="AJ526" s="55">
        <v>4</v>
      </c>
      <c r="AK526" s="55">
        <v>5</v>
      </c>
      <c r="AL526" s="55">
        <v>6</v>
      </c>
      <c r="AM526" s="55">
        <v>7</v>
      </c>
      <c r="AN526" s="55">
        <v>8</v>
      </c>
      <c r="AO526" s="55">
        <v>9</v>
      </c>
      <c r="AP526" s="66">
        <v>0</v>
      </c>
      <c r="AQ526" s="66">
        <v>1</v>
      </c>
      <c r="AR526" s="66">
        <v>2</v>
      </c>
      <c r="AS526" s="66">
        <v>3</v>
      </c>
      <c r="AT526" s="66">
        <v>4</v>
      </c>
      <c r="AU526" s="66">
        <v>5</v>
      </c>
      <c r="AV526" s="66">
        <v>6</v>
      </c>
      <c r="AW526" s="66">
        <v>7</v>
      </c>
      <c r="AX526" s="66">
        <v>8</v>
      </c>
      <c r="AY526" s="66">
        <v>9</v>
      </c>
      <c r="AZ526" s="67">
        <v>0</v>
      </c>
      <c r="BA526" s="67">
        <v>1</v>
      </c>
      <c r="BB526" s="67">
        <v>2</v>
      </c>
      <c r="BC526" s="67">
        <v>3</v>
      </c>
      <c r="BD526" s="67">
        <v>4</v>
      </c>
      <c r="BE526" s="67">
        <v>5</v>
      </c>
      <c r="BF526" s="67">
        <v>6</v>
      </c>
      <c r="BG526" s="67">
        <v>7</v>
      </c>
      <c r="BH526" s="67">
        <v>8</v>
      </c>
      <c r="BI526" s="67">
        <v>9</v>
      </c>
      <c r="BJ526" s="57" t="str">
        <f t="shared" si="274"/>
        <v>紧凑型</v>
      </c>
      <c r="BK526" s="13">
        <f t="shared" si="296"/>
        <v>0</v>
      </c>
      <c r="BL526" s="13">
        <f t="shared" si="297"/>
        <v>2</v>
      </c>
      <c r="BM526" s="18">
        <f t="shared" si="276"/>
        <v>2</v>
      </c>
      <c r="BN526" s="19">
        <f t="shared" si="277"/>
        <v>2</v>
      </c>
      <c r="BO526" s="19" t="str">
        <f t="array" ref="BO526">_xlfn.TEXTJOIN("",TRUE,IF(ISERROR(FIND(ROW($1:$10)-1,BM526&amp;BN526)),ROW($1:$10)-1,""))</f>
        <v>013456789</v>
      </c>
      <c r="BP526" s="20" t="str">
        <f t="shared" si="278"/>
        <v>复隔中</v>
      </c>
      <c r="BQ526" s="21">
        <f t="shared" si="289"/>
        <v>2</v>
      </c>
      <c r="BR526" s="21">
        <f t="shared" si="287"/>
        <v>2</v>
      </c>
      <c r="BS526" s="21" t="str">
        <f t="array" ref="BS526">_xlfn.TEXTJOIN("",TRUE,IF(ISERROR(FIND(ROW($1:$10)-1,BQ526&amp;BR526)),ROW($1:$10)-1,""))</f>
        <v>013456789</v>
      </c>
      <c r="BT526" s="20" t="str">
        <f t="shared" si="279"/>
        <v>复隔中</v>
      </c>
      <c r="BU526" s="22" t="str">
        <f t="shared" si="280"/>
        <v/>
      </c>
      <c r="BV526" s="22" t="str">
        <f t="shared" si="288"/>
        <v/>
      </c>
      <c r="BW526" s="22" t="str">
        <f t="array" ref="BW526">_xlfn.TEXTJOIN("",TRUE,IF(ISERROR(FIND(ROW($1:$10)-1,BU526&amp;BV526)),ROW($1:$10)-1,""))</f>
        <v>0123456789</v>
      </c>
      <c r="BX526" s="20" t="str">
        <f t="shared" si="281"/>
        <v>中中中</v>
      </c>
      <c r="BY526" s="23" t="str">
        <f t="shared" si="275"/>
        <v>13</v>
      </c>
      <c r="BZ526" s="24" t="str">
        <f t="array" ref="BZ526">_xlfn.TEXTJOIN("",TRUE,IF(ISNUMBER(FIND(MID(BY525&amp;Q525,ROW($1:$4),1),BY526&amp;Q526)),MID(BY525&amp;Q525,ROW($1:$4),1),""))</f>
        <v>132</v>
      </c>
      <c r="CA526" s="25" t="str">
        <f t="array" ref="CA526">_xlfn.TEXTJOIN("",TRUE,IF(ISERROR(FIND(ROW($1:$10)-1,BY526&amp;BZ526)),ROW($1:$10)-1,""))</f>
        <v>0456789</v>
      </c>
      <c r="CB526" s="26" t="str">
        <f t="shared" si="282"/>
        <v>邻传孤</v>
      </c>
      <c r="CC526" s="27" t="str">
        <f t="shared" si="283"/>
        <v>13</v>
      </c>
      <c r="CD526" s="27" t="str">
        <f t="array" ref="CD526">_xlfn.TEXTJOIN("",TRUE,IF(ISNUMBER(FIND(MID(CC525&amp;R525,ROW($1:$4),1),CC526&amp;R526)),MID(CC525&amp;R525,ROW($1:$4),1),""))</f>
        <v>21</v>
      </c>
      <c r="CE526" s="27" t="str">
        <f t="array" ref="CE526">_xlfn.TEXTJOIN("",TRUE,IF(ISERROR(FIND(ROW($1:$10)-1,CC526&amp;CD526)),ROW($1:$10)-1,""))</f>
        <v>0456789</v>
      </c>
      <c r="CF526" s="17" t="str">
        <f t="shared" si="284"/>
        <v>邻传孤</v>
      </c>
      <c r="CG526" s="22" t="str">
        <f t="shared" si="285"/>
        <v>91</v>
      </c>
      <c r="CH526" s="22" t="str">
        <f t="array" ref="CH526">_xlfn.TEXTJOIN("",TRUE,IF(ISNUMBER(FIND(MID(CG525&amp;S525,ROW($1:$4),1),CG526&amp;S526)),MID(CG525&amp;S525,ROW($1:$4),1),""))</f>
        <v>01</v>
      </c>
      <c r="CI526" s="22" t="str">
        <f t="array" ref="CI526">_xlfn.TEXTJOIN("",TRUE,IF(ISERROR(FIND(ROW($1:$10)-1,CG526&amp;CH526)),ROW($1:$10)-1,""))</f>
        <v>2345678</v>
      </c>
      <c r="CJ526" s="28" t="str">
        <f t="shared" si="286"/>
        <v>邻传孤</v>
      </c>
    </row>
    <row r="527" spans="1:88" s="2" customFormat="1">
      <c r="A527" s="59" t="s">
        <v>424</v>
      </c>
      <c r="B527" s="8" t="s">
        <v>122</v>
      </c>
      <c r="C527" s="60">
        <f t="shared" si="290"/>
        <v>13</v>
      </c>
      <c r="D527" s="61">
        <f t="shared" si="291"/>
        <v>3</v>
      </c>
      <c r="E527" s="51">
        <f t="shared" si="295"/>
        <v>4.3333333333333304</v>
      </c>
      <c r="F527" s="62">
        <f>MAX(MID(B527,{1,2,3},1)*1)-MIN(MID(B527,{1,2,3},1)*1)</f>
        <v>6</v>
      </c>
      <c r="G527" s="104">
        <v>0</v>
      </c>
      <c r="H527" s="104">
        <v>1</v>
      </c>
      <c r="I527" s="104">
        <v>2</v>
      </c>
      <c r="J527" s="104">
        <v>3</v>
      </c>
      <c r="K527" s="104">
        <v>4</v>
      </c>
      <c r="L527" s="104">
        <v>5</v>
      </c>
      <c r="M527" s="104">
        <v>6</v>
      </c>
      <c r="N527" s="104">
        <v>7</v>
      </c>
      <c r="O527" s="104">
        <v>8</v>
      </c>
      <c r="P527" s="104">
        <v>9</v>
      </c>
      <c r="Q527" s="63">
        <f t="shared" si="292"/>
        <v>6</v>
      </c>
      <c r="R527" s="63">
        <f t="shared" si="293"/>
        <v>2</v>
      </c>
      <c r="S527" s="63">
        <f t="shared" si="294"/>
        <v>4</v>
      </c>
      <c r="T527" s="101">
        <f t="shared" si="273"/>
        <v>12</v>
      </c>
      <c r="U527" s="64" t="str">
        <f>_xlfn.TEXTJOIN(", ",TRUE,ABS(MID(B527,{1,1,2},1)-MID(B527,{2,3,3},1)))</f>
        <v>6, 2, 4</v>
      </c>
      <c r="V527" s="65">
        <v>0</v>
      </c>
      <c r="W527" s="65">
        <v>1</v>
      </c>
      <c r="X527" s="65">
        <v>2</v>
      </c>
      <c r="Y527" s="65">
        <v>3</v>
      </c>
      <c r="Z527" s="65">
        <v>4</v>
      </c>
      <c r="AA527" s="65">
        <v>5</v>
      </c>
      <c r="AB527" s="65">
        <v>6</v>
      </c>
      <c r="AC527" s="65">
        <v>7</v>
      </c>
      <c r="AD527" s="65">
        <v>8</v>
      </c>
      <c r="AE527" s="65">
        <v>9</v>
      </c>
      <c r="AF527" s="55">
        <v>0</v>
      </c>
      <c r="AG527" s="55">
        <v>1</v>
      </c>
      <c r="AH527" s="55">
        <v>2</v>
      </c>
      <c r="AI527" s="55">
        <v>3</v>
      </c>
      <c r="AJ527" s="55">
        <v>4</v>
      </c>
      <c r="AK527" s="55">
        <v>5</v>
      </c>
      <c r="AL527" s="55">
        <v>6</v>
      </c>
      <c r="AM527" s="55">
        <v>7</v>
      </c>
      <c r="AN527" s="55">
        <v>8</v>
      </c>
      <c r="AO527" s="55">
        <v>9</v>
      </c>
      <c r="AP527" s="66">
        <v>0</v>
      </c>
      <c r="AQ527" s="66">
        <v>1</v>
      </c>
      <c r="AR527" s="66">
        <v>2</v>
      </c>
      <c r="AS527" s="66">
        <v>3</v>
      </c>
      <c r="AT527" s="66">
        <v>4</v>
      </c>
      <c r="AU527" s="66">
        <v>5</v>
      </c>
      <c r="AV527" s="66">
        <v>6</v>
      </c>
      <c r="AW527" s="66">
        <v>7</v>
      </c>
      <c r="AX527" s="66">
        <v>8</v>
      </c>
      <c r="AY527" s="66">
        <v>9</v>
      </c>
      <c r="AZ527" s="67">
        <v>0</v>
      </c>
      <c r="BA527" s="67">
        <v>1</v>
      </c>
      <c r="BB527" s="67">
        <v>2</v>
      </c>
      <c r="BC527" s="67">
        <v>3</v>
      </c>
      <c r="BD527" s="67">
        <v>4</v>
      </c>
      <c r="BE527" s="67">
        <v>5</v>
      </c>
      <c r="BF527" s="67">
        <v>6</v>
      </c>
      <c r="BG527" s="67">
        <v>7</v>
      </c>
      <c r="BH527" s="67">
        <v>8</v>
      </c>
      <c r="BI527" s="67">
        <v>9</v>
      </c>
      <c r="BJ527" s="57" t="str">
        <f t="shared" si="274"/>
        <v>松散型</v>
      </c>
      <c r="BK527" s="13">
        <f t="shared" si="296"/>
        <v>2</v>
      </c>
      <c r="BL527" s="13">
        <f t="shared" si="297"/>
        <v>6</v>
      </c>
      <c r="BM527" s="18" t="str">
        <f>IF(COUNTIF($Q524:$S524,Q527)&gt;0,Q527,"")</f>
        <v/>
      </c>
      <c r="BN527" s="19" t="str">
        <f>IF(COUNTIF($Q523:$S523,Q527)&gt;0,Q527,"")</f>
        <v/>
      </c>
      <c r="BO527" s="19" t="str">
        <f t="array" ref="BO527">_xlfn.TEXTJOIN("",TRUE,IF(ISERROR(FIND(ROW($1:$10)-1,BM527&amp;BN527)),ROW($1:$10)-1,""))</f>
        <v>0123456789</v>
      </c>
      <c r="BP527" s="20" t="str">
        <f t="shared" si="278"/>
        <v>中中中</v>
      </c>
      <c r="BQ527" s="21">
        <f>IF(COUNTIF($Q524:$S524,R527)&gt;0,R527,"")</f>
        <v>2</v>
      </c>
      <c r="BR527" s="21" t="str">
        <f>IF(COUNTIF($Q523:$S523,R527)&gt;0,R527,"")</f>
        <v/>
      </c>
      <c r="BS527" s="21" t="str">
        <f t="array" ref="BS527">_xlfn.TEXTJOIN("",TRUE,IF(ISERROR(FIND(ROW($1:$10)-1,BQ527&amp;BR527)),ROW($1:$10)-1,""))</f>
        <v>013456789</v>
      </c>
      <c r="BT527" s="20" t="str">
        <f t="shared" si="279"/>
        <v>复中中</v>
      </c>
      <c r="BU527" s="22" t="str">
        <f>IF(COUNTIF($Q524:$S524,S527)&gt;0,S527,"")</f>
        <v/>
      </c>
      <c r="BV527" s="22" t="str">
        <f>IF(COUNTIF($Q523:$S523,S527)&gt;0,S527,"")</f>
        <v/>
      </c>
      <c r="BW527" s="22" t="str">
        <f t="array" ref="BW527">_xlfn.TEXTJOIN("",TRUE,IF(ISERROR(FIND(ROW($1:$10)-1,BU527&amp;BV527)),ROW($1:$10)-1,""))</f>
        <v>0123456789</v>
      </c>
      <c r="BX527" s="20" t="str">
        <f t="shared" si="281"/>
        <v>中中中</v>
      </c>
      <c r="BY527" s="23" t="str">
        <f t="shared" si="275"/>
        <v>57</v>
      </c>
      <c r="BZ527" s="24" t="str">
        <f t="array" ref="BZ527">_xlfn.TEXTJOIN("",TRUE,IF(ISNUMBER(FIND(MID(BY524&amp;Q524,ROW($1:$4),1),BY527&amp;Q527)),MID(BY524&amp;Q524,ROW($1:$4),1),""))</f>
        <v>65</v>
      </c>
      <c r="CA527" s="25" t="str">
        <f t="array" ref="CA527">_xlfn.TEXTJOIN("",TRUE,IF(ISERROR(FIND(ROW($1:$10)-1,BY527&amp;BZ527)),ROW($1:$10)-1,""))</f>
        <v>0123489</v>
      </c>
      <c r="CB527" s="26" t="str">
        <f t="shared" si="282"/>
        <v>邻传孤</v>
      </c>
      <c r="CC527" s="27" t="str">
        <f t="shared" si="283"/>
        <v>13</v>
      </c>
      <c r="CD527" s="27" t="str">
        <f t="array" ref="CD527">_xlfn.TEXTJOIN("",TRUE,IF(ISNUMBER(FIND(MID(CC524&amp;R524,ROW($1:$4),1),CC527&amp;R527)),MID(CC524&amp;R524,ROW($1:$4),1),""))</f>
        <v>132</v>
      </c>
      <c r="CE527" s="27" t="str">
        <f t="array" ref="CE527">_xlfn.TEXTJOIN("",TRUE,IF(ISERROR(FIND(ROW($1:$10)-1,CC527&amp;CD527)),ROW($1:$10)-1,""))</f>
        <v>0456789</v>
      </c>
      <c r="CF527" s="17" t="str">
        <f t="shared" si="284"/>
        <v>邻传孤</v>
      </c>
      <c r="CG527" s="22" t="str">
        <f t="shared" si="285"/>
        <v>35</v>
      </c>
      <c r="CH527" s="22" t="str">
        <f t="array" ref="CH527">_xlfn.TEXTJOIN("",TRUE,IF(ISNUMBER(FIND(MID(CG524&amp;S524,ROW($1:$4),1),CG527&amp;S527)),MID(CG524&amp;S524,ROW($1:$4),1),""))</f>
        <v>43</v>
      </c>
      <c r="CI527" s="22" t="str">
        <f t="array" ref="CI527">_xlfn.TEXTJOIN("",TRUE,IF(ISERROR(FIND(ROW($1:$10)-1,CG527&amp;CH527)),ROW($1:$10)-1,""))</f>
        <v>0126789</v>
      </c>
      <c r="CJ527" s="28" t="str">
        <f t="shared" si="286"/>
        <v>邻传孤</v>
      </c>
    </row>
    <row r="528" spans="1:88" s="2" customFormat="1">
      <c r="A528" s="59" t="s">
        <v>425</v>
      </c>
      <c r="B528" s="8" t="s">
        <v>77</v>
      </c>
      <c r="C528" s="60">
        <f t="shared" si="290"/>
        <v>15</v>
      </c>
      <c r="D528" s="61">
        <f t="shared" si="291"/>
        <v>5</v>
      </c>
      <c r="E528" s="51">
        <f t="shared" si="295"/>
        <v>5</v>
      </c>
      <c r="F528" s="62">
        <f>MAX(MID(B528,{1,2,3},1)*1)-MIN(MID(B528,{1,2,3},1)*1)</f>
        <v>6</v>
      </c>
      <c r="G528" s="104">
        <v>0</v>
      </c>
      <c r="H528" s="104">
        <v>1</v>
      </c>
      <c r="I528" s="104">
        <v>2</v>
      </c>
      <c r="J528" s="104">
        <v>3</v>
      </c>
      <c r="K528" s="104">
        <v>4</v>
      </c>
      <c r="L528" s="104">
        <v>5</v>
      </c>
      <c r="M528" s="104">
        <v>6</v>
      </c>
      <c r="N528" s="104">
        <v>7</v>
      </c>
      <c r="O528" s="104">
        <v>8</v>
      </c>
      <c r="P528" s="104">
        <v>9</v>
      </c>
      <c r="Q528" s="63">
        <f t="shared" si="292"/>
        <v>6</v>
      </c>
      <c r="R528" s="63">
        <f t="shared" si="293"/>
        <v>6</v>
      </c>
      <c r="S528" s="63">
        <f t="shared" si="294"/>
        <v>0</v>
      </c>
      <c r="T528" s="101">
        <f t="shared" si="273"/>
        <v>12</v>
      </c>
      <c r="U528" s="64" t="str">
        <f>_xlfn.TEXTJOIN(", ",TRUE,ABS(MID(B528,{1,1,2},1)-MID(B528,{2,3,3},1)))</f>
        <v>6, 6, 0</v>
      </c>
      <c r="V528" s="65">
        <v>0</v>
      </c>
      <c r="W528" s="65">
        <v>1</v>
      </c>
      <c r="X528" s="65">
        <v>2</v>
      </c>
      <c r="Y528" s="65">
        <v>3</v>
      </c>
      <c r="Z528" s="65">
        <v>4</v>
      </c>
      <c r="AA528" s="65">
        <v>5</v>
      </c>
      <c r="AB528" s="65">
        <v>6</v>
      </c>
      <c r="AC528" s="65">
        <v>7</v>
      </c>
      <c r="AD528" s="65">
        <v>8</v>
      </c>
      <c r="AE528" s="65">
        <v>9</v>
      </c>
      <c r="AF528" s="55">
        <v>0</v>
      </c>
      <c r="AG528" s="55">
        <v>1</v>
      </c>
      <c r="AH528" s="55">
        <v>2</v>
      </c>
      <c r="AI528" s="55">
        <v>3</v>
      </c>
      <c r="AJ528" s="55">
        <v>4</v>
      </c>
      <c r="AK528" s="55">
        <v>5</v>
      </c>
      <c r="AL528" s="55">
        <v>6</v>
      </c>
      <c r="AM528" s="55">
        <v>7</v>
      </c>
      <c r="AN528" s="55">
        <v>8</v>
      </c>
      <c r="AO528" s="55">
        <v>9</v>
      </c>
      <c r="AP528" s="66">
        <v>0</v>
      </c>
      <c r="AQ528" s="66">
        <v>1</v>
      </c>
      <c r="AR528" s="66">
        <v>2</v>
      </c>
      <c r="AS528" s="66">
        <v>3</v>
      </c>
      <c r="AT528" s="66">
        <v>4</v>
      </c>
      <c r="AU528" s="66">
        <v>5</v>
      </c>
      <c r="AV528" s="66">
        <v>6</v>
      </c>
      <c r="AW528" s="66">
        <v>7</v>
      </c>
      <c r="AX528" s="66">
        <v>8</v>
      </c>
      <c r="AY528" s="66">
        <v>9</v>
      </c>
      <c r="AZ528" s="67">
        <v>0</v>
      </c>
      <c r="BA528" s="67">
        <v>1</v>
      </c>
      <c r="BB528" s="67">
        <v>2</v>
      </c>
      <c r="BC528" s="67">
        <v>3</v>
      </c>
      <c r="BD528" s="67">
        <v>4</v>
      </c>
      <c r="BE528" s="67">
        <v>5</v>
      </c>
      <c r="BF528" s="67">
        <v>6</v>
      </c>
      <c r="BG528" s="67">
        <v>7</v>
      </c>
      <c r="BH528" s="67">
        <v>8</v>
      </c>
      <c r="BI528" s="67">
        <v>9</v>
      </c>
      <c r="BJ528" s="57" t="str">
        <f t="shared" si="274"/>
        <v>松散型</v>
      </c>
      <c r="BK528" s="13">
        <f t="shared" si="296"/>
        <v>0</v>
      </c>
      <c r="BL528" s="13">
        <f t="shared" si="297"/>
        <v>6</v>
      </c>
      <c r="BM528" s="18" t="str">
        <f>IF(COUNTIF($Q524:$S524,Q528)&gt;0,Q528,"")</f>
        <v/>
      </c>
      <c r="BN528" s="19" t="str">
        <f>IF(COUNTIF($Q523:$S523,Q528)&gt;0,Q528,"")</f>
        <v/>
      </c>
      <c r="BO528" s="19" t="str">
        <f t="array" ref="BO528">_xlfn.TEXTJOIN("",TRUE,IF(ISERROR(FIND(ROW($1:$10)-1,BM528&amp;BN528)),ROW($1:$10)-1,""))</f>
        <v>0123456789</v>
      </c>
      <c r="BP528" s="20" t="str">
        <f t="shared" si="278"/>
        <v>中中中</v>
      </c>
      <c r="BQ528" s="21" t="str">
        <f>IF(COUNTIF($Q524:$S524,R528)&gt;0,R528,"")</f>
        <v/>
      </c>
      <c r="BR528" s="21" t="str">
        <f>IF(COUNTIF($Q523:$S523,R528)&gt;0,R528,"")</f>
        <v/>
      </c>
      <c r="BS528" s="21" t="str">
        <f t="array" ref="BS528">_xlfn.TEXTJOIN("",TRUE,IF(ISERROR(FIND(ROW($1:$10)-1,BQ528&amp;BR528)),ROW($1:$10)-1,""))</f>
        <v>0123456789</v>
      </c>
      <c r="BT528" s="20" t="str">
        <f t="shared" si="279"/>
        <v>中中中</v>
      </c>
      <c r="BU528" s="22" t="str">
        <f>IF(COUNTIF($Q524:$S524,S528)&gt;0,S528,"")</f>
        <v/>
      </c>
      <c r="BV528" s="22">
        <f>IF(COUNTIF($Q523:$S523,S528)&gt;0,S528,"")</f>
        <v>0</v>
      </c>
      <c r="BW528" s="22" t="str">
        <f t="array" ref="BW528">_xlfn.TEXTJOIN("",TRUE,IF(ISERROR(FIND(ROW($1:$10)-1,BU528&amp;BV528)),ROW($1:$10)-1,""))</f>
        <v>123456789</v>
      </c>
      <c r="BX528" s="20" t="str">
        <f t="shared" si="281"/>
        <v>中隔中</v>
      </c>
      <c r="BY528" s="23" t="str">
        <f t="shared" si="275"/>
        <v>57</v>
      </c>
      <c r="BZ528" s="24" t="str">
        <f t="array" ref="BZ528">_xlfn.TEXTJOIN("",TRUE,IF(ISNUMBER(FIND(MID(BY524&amp;Q524,ROW($1:$4),1),BY528&amp;Q528)),MID(BY524&amp;Q524,ROW($1:$4),1),""))</f>
        <v>65</v>
      </c>
      <c r="CA528" s="25" t="str">
        <f t="array" ref="CA528">_xlfn.TEXTJOIN("",TRUE,IF(ISERROR(FIND(ROW($1:$10)-1,BY528&amp;BZ528)),ROW($1:$10)-1,""))</f>
        <v>0123489</v>
      </c>
      <c r="CB528" s="26" t="str">
        <f t="shared" si="282"/>
        <v>邻传孤</v>
      </c>
      <c r="CC528" s="27" t="str">
        <f t="shared" si="283"/>
        <v>57</v>
      </c>
      <c r="CD528" s="27" t="str">
        <f t="array" ref="CD528">_xlfn.TEXTJOIN("",TRUE,IF(ISNUMBER(FIND(MID(CC524&amp;R524,ROW($1:$4),1),CC528&amp;R528)),MID(CC524&amp;R524,ROW($1:$4),1),""))</f>
        <v/>
      </c>
      <c r="CE528" s="27" t="str">
        <f t="array" ref="CE528">_xlfn.TEXTJOIN("",TRUE,IF(ISERROR(FIND(ROW($1:$10)-1,CC528&amp;CD528)),ROW($1:$10)-1,""))</f>
        <v>01234689</v>
      </c>
      <c r="CF528" s="17" t="str">
        <f t="shared" si="284"/>
        <v>邻孤孤</v>
      </c>
      <c r="CG528" s="22" t="str">
        <f t="shared" si="285"/>
        <v>91</v>
      </c>
      <c r="CH528" s="22" t="str">
        <f t="array" ref="CH528">_xlfn.TEXTJOIN("",TRUE,IF(ISNUMBER(FIND(MID(CG524&amp;S524,ROW($1:$4),1),CG528&amp;S528)),MID(CG524&amp;S524,ROW($1:$4),1),""))</f>
        <v/>
      </c>
      <c r="CI528" s="22" t="str">
        <f t="array" ref="CI528">_xlfn.TEXTJOIN("",TRUE,IF(ISERROR(FIND(ROW($1:$10)-1,CG528&amp;CH528)),ROW($1:$10)-1,""))</f>
        <v>02345678</v>
      </c>
      <c r="CJ528" s="28" t="str">
        <f t="shared" si="286"/>
        <v>邻孤孤</v>
      </c>
    </row>
    <row r="529" spans="1:88" s="2" customFormat="1">
      <c r="A529" s="59" t="s">
        <v>426</v>
      </c>
      <c r="B529" s="8" t="s">
        <v>427</v>
      </c>
      <c r="C529" s="60">
        <f t="shared" si="290"/>
        <v>12</v>
      </c>
      <c r="D529" s="61">
        <f t="shared" si="291"/>
        <v>2</v>
      </c>
      <c r="E529" s="51">
        <f t="shared" si="295"/>
        <v>4</v>
      </c>
      <c r="F529" s="62">
        <f>MAX(MID(B529,{1,2,3},1)*1)-MIN(MID(B529,{1,2,3},1)*1)</f>
        <v>6</v>
      </c>
      <c r="G529" s="104">
        <v>0</v>
      </c>
      <c r="H529" s="104">
        <v>1</v>
      </c>
      <c r="I529" s="104">
        <v>2</v>
      </c>
      <c r="J529" s="104">
        <v>3</v>
      </c>
      <c r="K529" s="104">
        <v>4</v>
      </c>
      <c r="L529" s="104">
        <v>5</v>
      </c>
      <c r="M529" s="104">
        <v>6</v>
      </c>
      <c r="N529" s="104">
        <v>7</v>
      </c>
      <c r="O529" s="104">
        <v>8</v>
      </c>
      <c r="P529" s="104">
        <v>9</v>
      </c>
      <c r="Q529" s="63">
        <f t="shared" si="292"/>
        <v>3</v>
      </c>
      <c r="R529" s="63">
        <f t="shared" si="293"/>
        <v>3</v>
      </c>
      <c r="S529" s="63">
        <f t="shared" si="294"/>
        <v>6</v>
      </c>
      <c r="T529" s="101">
        <f t="shared" si="273"/>
        <v>12</v>
      </c>
      <c r="U529" s="64" t="str">
        <f>_xlfn.TEXTJOIN(", ",TRUE,ABS(MID(B529,{1,1,2},1)-MID(B529,{2,3,3},1)))</f>
        <v>3, 3, 6</v>
      </c>
      <c r="V529" s="65">
        <v>0</v>
      </c>
      <c r="W529" s="65">
        <v>1</v>
      </c>
      <c r="X529" s="65">
        <v>2</v>
      </c>
      <c r="Y529" s="65">
        <v>3</v>
      </c>
      <c r="Z529" s="65">
        <v>4</v>
      </c>
      <c r="AA529" s="65">
        <v>5</v>
      </c>
      <c r="AB529" s="65">
        <v>6</v>
      </c>
      <c r="AC529" s="65">
        <v>7</v>
      </c>
      <c r="AD529" s="65">
        <v>8</v>
      </c>
      <c r="AE529" s="65">
        <v>9</v>
      </c>
      <c r="AF529" s="55">
        <v>0</v>
      </c>
      <c r="AG529" s="55">
        <v>1</v>
      </c>
      <c r="AH529" s="55">
        <v>2</v>
      </c>
      <c r="AI529" s="55">
        <v>3</v>
      </c>
      <c r="AJ529" s="55">
        <v>4</v>
      </c>
      <c r="AK529" s="55">
        <v>5</v>
      </c>
      <c r="AL529" s="55">
        <v>6</v>
      </c>
      <c r="AM529" s="55">
        <v>7</v>
      </c>
      <c r="AN529" s="55">
        <v>8</v>
      </c>
      <c r="AO529" s="55">
        <v>9</v>
      </c>
      <c r="AP529" s="66">
        <v>0</v>
      </c>
      <c r="AQ529" s="66">
        <v>1</v>
      </c>
      <c r="AR529" s="66">
        <v>2</v>
      </c>
      <c r="AS529" s="66">
        <v>3</v>
      </c>
      <c r="AT529" s="66">
        <v>4</v>
      </c>
      <c r="AU529" s="66">
        <v>5</v>
      </c>
      <c r="AV529" s="66">
        <v>6</v>
      </c>
      <c r="AW529" s="66">
        <v>7</v>
      </c>
      <c r="AX529" s="66">
        <v>8</v>
      </c>
      <c r="AY529" s="66">
        <v>9</v>
      </c>
      <c r="AZ529" s="67">
        <v>0</v>
      </c>
      <c r="BA529" s="67">
        <v>1</v>
      </c>
      <c r="BB529" s="67">
        <v>2</v>
      </c>
      <c r="BC529" s="67">
        <v>3</v>
      </c>
      <c r="BD529" s="67">
        <v>4</v>
      </c>
      <c r="BE529" s="67">
        <v>5</v>
      </c>
      <c r="BF529" s="67">
        <v>6</v>
      </c>
      <c r="BG529" s="67">
        <v>7</v>
      </c>
      <c r="BH529" s="67">
        <v>8</v>
      </c>
      <c r="BI529" s="67">
        <v>9</v>
      </c>
      <c r="BJ529" s="57" t="str">
        <f t="shared" si="274"/>
        <v>松散型</v>
      </c>
      <c r="BK529" s="13">
        <f t="shared" si="296"/>
        <v>3</v>
      </c>
      <c r="BL529" s="13">
        <f t="shared" si="297"/>
        <v>6</v>
      </c>
      <c r="BM529" s="18">
        <f>IF(COUNTIF($Q524:$S524,Q529)&gt;0,Q529,"")</f>
        <v>3</v>
      </c>
      <c r="BN529" s="19" t="str">
        <f>IF(COUNTIF($Q523:$S523,Q529)&gt;0,Q529,"")</f>
        <v/>
      </c>
      <c r="BO529" s="19" t="str">
        <f t="array" ref="BO529">_xlfn.TEXTJOIN("",TRUE,IF(ISERROR(FIND(ROW($1:$10)-1,BM529&amp;BN529)),ROW($1:$10)-1,""))</f>
        <v>012456789</v>
      </c>
      <c r="BP529" s="20" t="str">
        <f t="shared" si="278"/>
        <v>复中中</v>
      </c>
      <c r="BQ529" s="21">
        <f>IF(COUNTIF($Q524:$S524,R529)&gt;0,R529,"")</f>
        <v>3</v>
      </c>
      <c r="BR529" s="21" t="str">
        <f>IF(COUNTIF($Q523:$S523,R529)&gt;0,R529,"")</f>
        <v/>
      </c>
      <c r="BS529" s="21" t="str">
        <f t="array" ref="BS529">_xlfn.TEXTJOIN("",TRUE,IF(ISERROR(FIND(ROW($1:$10)-1,BQ529&amp;BR529)),ROW($1:$10)-1,""))</f>
        <v>012456789</v>
      </c>
      <c r="BT529" s="20" t="str">
        <f t="shared" si="279"/>
        <v>复中中</v>
      </c>
      <c r="BU529" s="22" t="str">
        <f>IF(COUNTIF($Q524:$S524,S529)&gt;0,S529,"")</f>
        <v/>
      </c>
      <c r="BV529" s="22" t="str">
        <f>IF(COUNTIF($Q523:$S523,S529)&gt;0,S529,"")</f>
        <v/>
      </c>
      <c r="BW529" s="22" t="str">
        <f t="array" ref="BW529">_xlfn.TEXTJOIN("",TRUE,IF(ISERROR(FIND(ROW($1:$10)-1,BU529&amp;BV529)),ROW($1:$10)-1,""))</f>
        <v>0123456789</v>
      </c>
      <c r="BX529" s="20" t="str">
        <f t="shared" si="281"/>
        <v>中中中</v>
      </c>
      <c r="BY529" s="23" t="str">
        <f t="shared" si="275"/>
        <v>24</v>
      </c>
      <c r="BZ529" s="24" t="str">
        <f t="array" ref="BZ529">_xlfn.TEXTJOIN("",TRUE,IF(ISNUMBER(FIND(MID(BY524&amp;Q524,ROW($1:$4),1),BY529&amp;Q529)),MID(BY524&amp;Q524,ROW($1:$4),1),""))</f>
        <v>4</v>
      </c>
      <c r="CA529" s="25" t="str">
        <f t="array" ref="CA529">_xlfn.TEXTJOIN("",TRUE,IF(ISERROR(FIND(ROW($1:$10)-1,BY529&amp;BZ529)),ROW($1:$10)-1,""))</f>
        <v>01356789</v>
      </c>
      <c r="CB529" s="26" t="str">
        <f t="shared" si="282"/>
        <v>邻传孤</v>
      </c>
      <c r="CC529" s="27" t="str">
        <f t="shared" si="283"/>
        <v>24</v>
      </c>
      <c r="CD529" s="27" t="str">
        <f t="array" ref="CD529">_xlfn.TEXTJOIN("",TRUE,IF(ISNUMBER(FIND(MID(CC524&amp;R524,ROW($1:$4),1),CC529&amp;R529)),MID(CC524&amp;R524,ROW($1:$4),1),""))</f>
        <v>32</v>
      </c>
      <c r="CE529" s="27" t="str">
        <f t="array" ref="CE529">_xlfn.TEXTJOIN("",TRUE,IF(ISERROR(FIND(ROW($1:$10)-1,CC529&amp;CD529)),ROW($1:$10)-1,""))</f>
        <v>0156789</v>
      </c>
      <c r="CF529" s="17" t="str">
        <f t="shared" si="284"/>
        <v>邻传孤</v>
      </c>
      <c r="CG529" s="22" t="str">
        <f t="shared" si="285"/>
        <v>57</v>
      </c>
      <c r="CH529" s="22" t="str">
        <f t="array" ref="CH529">_xlfn.TEXTJOIN("",TRUE,IF(ISNUMBER(FIND(MID(CG524&amp;S524,ROW($1:$4),1),CG529&amp;S529)),MID(CG524&amp;S524,ROW($1:$4),1),""))</f>
        <v/>
      </c>
      <c r="CI529" s="22" t="str">
        <f t="array" ref="CI529">_xlfn.TEXTJOIN("",TRUE,IF(ISERROR(FIND(ROW($1:$10)-1,CG529&amp;CH529)),ROW($1:$10)-1,""))</f>
        <v>01234689</v>
      </c>
      <c r="CJ529" s="28" t="str">
        <f t="shared" si="286"/>
        <v>邻孤孤</v>
      </c>
    </row>
    <row r="530" spans="1:88" s="2" customFormat="1">
      <c r="A530" s="59" t="s">
        <v>428</v>
      </c>
      <c r="B530" s="8" t="s">
        <v>429</v>
      </c>
      <c r="C530" s="60">
        <f t="shared" si="290"/>
        <v>4</v>
      </c>
      <c r="D530" s="61">
        <f t="shared" si="291"/>
        <v>4</v>
      </c>
      <c r="E530" s="51">
        <f t="shared" si="295"/>
        <v>1.3333333333333299</v>
      </c>
      <c r="F530" s="62">
        <f>MAX(MID(B530,{1,2,3},1)*1)-MIN(MID(B530,{1,2,3},1)*1)</f>
        <v>3</v>
      </c>
      <c r="G530" s="104">
        <v>0</v>
      </c>
      <c r="H530" s="104">
        <v>1</v>
      </c>
      <c r="I530" s="104">
        <v>2</v>
      </c>
      <c r="J530" s="104">
        <v>3</v>
      </c>
      <c r="K530" s="104">
        <v>4</v>
      </c>
      <c r="L530" s="104">
        <v>5</v>
      </c>
      <c r="M530" s="104">
        <v>6</v>
      </c>
      <c r="N530" s="104">
        <v>7</v>
      </c>
      <c r="O530" s="104">
        <v>8</v>
      </c>
      <c r="P530" s="104">
        <v>9</v>
      </c>
      <c r="Q530" s="63">
        <f t="shared" si="292"/>
        <v>2</v>
      </c>
      <c r="R530" s="63">
        <f t="shared" si="293"/>
        <v>3</v>
      </c>
      <c r="S530" s="63">
        <f t="shared" si="294"/>
        <v>1</v>
      </c>
      <c r="T530" s="101">
        <f t="shared" si="273"/>
        <v>6</v>
      </c>
      <c r="U530" s="64" t="str">
        <f>_xlfn.TEXTJOIN(", ",TRUE,ABS(MID(B530,{1,1,2},1)-MID(B530,{2,3,3},1)))</f>
        <v>2, 3, 1</v>
      </c>
      <c r="V530" s="65">
        <v>0</v>
      </c>
      <c r="W530" s="65">
        <v>1</v>
      </c>
      <c r="X530" s="65">
        <v>2</v>
      </c>
      <c r="Y530" s="65">
        <v>3</v>
      </c>
      <c r="Z530" s="65">
        <v>4</v>
      </c>
      <c r="AA530" s="65">
        <v>5</v>
      </c>
      <c r="AB530" s="65">
        <v>6</v>
      </c>
      <c r="AC530" s="65">
        <v>7</v>
      </c>
      <c r="AD530" s="65">
        <v>8</v>
      </c>
      <c r="AE530" s="65">
        <v>9</v>
      </c>
      <c r="AF530" s="55">
        <v>0</v>
      </c>
      <c r="AG530" s="55">
        <v>1</v>
      </c>
      <c r="AH530" s="55">
        <v>2</v>
      </c>
      <c r="AI530" s="55">
        <v>3</v>
      </c>
      <c r="AJ530" s="55">
        <v>4</v>
      </c>
      <c r="AK530" s="55">
        <v>5</v>
      </c>
      <c r="AL530" s="55">
        <v>6</v>
      </c>
      <c r="AM530" s="55">
        <v>7</v>
      </c>
      <c r="AN530" s="55">
        <v>8</v>
      </c>
      <c r="AO530" s="55">
        <v>9</v>
      </c>
      <c r="AP530" s="66">
        <v>0</v>
      </c>
      <c r="AQ530" s="66">
        <v>1</v>
      </c>
      <c r="AR530" s="66">
        <v>2</v>
      </c>
      <c r="AS530" s="66">
        <v>3</v>
      </c>
      <c r="AT530" s="66">
        <v>4</v>
      </c>
      <c r="AU530" s="66">
        <v>5</v>
      </c>
      <c r="AV530" s="66">
        <v>6</v>
      </c>
      <c r="AW530" s="66">
        <v>7</v>
      </c>
      <c r="AX530" s="66">
        <v>8</v>
      </c>
      <c r="AY530" s="66">
        <v>9</v>
      </c>
      <c r="AZ530" s="67">
        <v>0</v>
      </c>
      <c r="BA530" s="67">
        <v>1</v>
      </c>
      <c r="BB530" s="67">
        <v>2</v>
      </c>
      <c r="BC530" s="67">
        <v>3</v>
      </c>
      <c r="BD530" s="67">
        <v>4</v>
      </c>
      <c r="BE530" s="67">
        <v>5</v>
      </c>
      <c r="BF530" s="67">
        <v>6</v>
      </c>
      <c r="BG530" s="67">
        <v>7</v>
      </c>
      <c r="BH530" s="67">
        <v>8</v>
      </c>
      <c r="BI530" s="67">
        <v>9</v>
      </c>
      <c r="BJ530" s="57" t="str">
        <f t="shared" si="274"/>
        <v>紧凑型</v>
      </c>
      <c r="BK530" s="13">
        <f t="shared" si="296"/>
        <v>1</v>
      </c>
      <c r="BL530" s="13">
        <f t="shared" si="297"/>
        <v>3</v>
      </c>
      <c r="BM530" s="18">
        <f>IF(COUNTIF($Q525:$S525,Q530)&gt;0,Q530,"")</f>
        <v>2</v>
      </c>
      <c r="BN530" s="19">
        <f>IF(COUNTIF($Q524:$S524,Q530)&gt;0,Q530,"")</f>
        <v>2</v>
      </c>
      <c r="BO530" s="19" t="str">
        <f t="array" ref="BO530">_xlfn.TEXTJOIN("",TRUE,IF(ISERROR(FIND(ROW($1:$10)-1,BM530&amp;BN530)),ROW($1:$10)-1,""))</f>
        <v>013456789</v>
      </c>
      <c r="BP530" s="20" t="str">
        <f t="shared" ref="BP530:BP531" si="298">IF(BM530&lt;&gt;"","复","中")&amp;IF(BN530&lt;&gt;"","隔","中")&amp;"中"</f>
        <v>复隔中</v>
      </c>
      <c r="BQ530" s="21" t="str">
        <f>IF(COUNTIF($Q525:$S525,R530)&gt;0,R530,"")</f>
        <v/>
      </c>
      <c r="BR530" s="21">
        <f>IF(COUNTIF($Q524:$S524,R530)&gt;0,R530,"")</f>
        <v>3</v>
      </c>
      <c r="BS530" s="21" t="str">
        <f t="array" ref="BS530">_xlfn.TEXTJOIN("",TRUE,IF(ISERROR(FIND(ROW($1:$10)-1,BQ530&amp;BR530)),ROW($1:$10)-1,""))</f>
        <v>012456789</v>
      </c>
      <c r="BT530" s="20" t="str">
        <f t="shared" ref="BT530:BT531" si="299">IF(BQ530&lt;&gt;"","复","中")&amp;IF(BR530&lt;&gt;"","隔","中")&amp;"中"</f>
        <v>中隔中</v>
      </c>
      <c r="BU530" s="22">
        <f>IF(COUNTIF($Q525:$S525,S530)&gt;0,S530,"")</f>
        <v>1</v>
      </c>
      <c r="BV530" s="22" t="str">
        <f>IF(COUNTIF($Q524:$S524,S530)&gt;0,S530,"")</f>
        <v/>
      </c>
      <c r="BW530" s="22" t="str">
        <f t="array" ref="BW530">_xlfn.TEXTJOIN("",TRUE,IF(ISERROR(FIND(ROW($1:$10)-1,BU530&amp;BV530)),ROW($1:$10)-1,""))</f>
        <v>023456789</v>
      </c>
      <c r="BX530" s="20" t="str">
        <f t="shared" ref="BX530:BX531" si="300">IF(BU530&lt;&gt;"","复","中")&amp;IF(BV530&lt;&gt;"","隔","中")&amp;"中"</f>
        <v>复中中</v>
      </c>
      <c r="BY530" s="23" t="str">
        <f t="shared" ref="BY530:BY531" si="301">IF(Q530=0,9,Q530-1)&amp;""&amp;IF(Q530=9,0,Q530+1)</f>
        <v>13</v>
      </c>
      <c r="BZ530" s="24" t="str">
        <f t="array" ref="BZ530">_xlfn.TEXTJOIN("",TRUE,IF(ISNUMBER(FIND(MID(BY525&amp;Q525,ROW($1:$4),1),BY530&amp;Q530)),MID(BY525&amp;Q525,ROW($1:$4),1),""))</f>
        <v>132</v>
      </c>
      <c r="CA530" s="25" t="str">
        <f t="array" ref="CA530">_xlfn.TEXTJOIN("",TRUE,IF(ISERROR(FIND(ROW($1:$10)-1,BY530&amp;BZ530)),ROW($1:$10)-1,""))</f>
        <v>0456789</v>
      </c>
      <c r="CB530" s="26" t="str">
        <f t="shared" ref="CB530:CB531" si="302">IF(BY530&lt;&gt;"","邻","孤")&amp;IF(BZ530&lt;&gt;"","传","孤")&amp;"孤"</f>
        <v>邻传孤</v>
      </c>
      <c r="CC530" s="27" t="str">
        <f t="shared" ref="CC530:CC531" si="303">IF(R530=0,9,R530-1)&amp;""&amp;IF(R530=9,0,R530+1)</f>
        <v>24</v>
      </c>
      <c r="CD530" s="27" t="str">
        <f t="array" ref="CD530">_xlfn.TEXTJOIN("",TRUE,IF(ISNUMBER(FIND(MID(CC525&amp;R525,ROW($1:$4),1),CC530&amp;R530)),MID(CC525&amp;R525,ROW($1:$4),1),""))</f>
        <v>2</v>
      </c>
      <c r="CE530" s="27" t="str">
        <f t="array" ref="CE530">_xlfn.TEXTJOIN("",TRUE,IF(ISERROR(FIND(ROW($1:$10)-1,CC530&amp;CD530)),ROW($1:$10)-1,""))</f>
        <v>01356789</v>
      </c>
      <c r="CF530" s="17" t="str">
        <f t="shared" ref="CF530:CF531" si="304">IF(CC530&lt;&gt;"","邻","孤")&amp;IF(CD530&lt;&gt;"","传","孤")&amp;"孤"</f>
        <v>邻传孤</v>
      </c>
      <c r="CG530" s="22" t="str">
        <f t="shared" ref="CG530:CG531" si="305">IF(S530=0,9,S530-1)&amp;""&amp;IF(S530=9,0,S530+1)</f>
        <v>02</v>
      </c>
      <c r="CH530" s="22" t="str">
        <f t="array" ref="CH530">_xlfn.TEXTJOIN("",TRUE,IF(ISNUMBER(FIND(MID(CG525&amp;S525,ROW($1:$4),1),CG530&amp;S530)),MID(CG525&amp;S525,ROW($1:$4),1),""))</f>
        <v>021</v>
      </c>
      <c r="CI530" s="22" t="str">
        <f t="array" ref="CI530">_xlfn.TEXTJOIN("",TRUE,IF(ISERROR(FIND(ROW($1:$10)-1,CG530&amp;CH530)),ROW($1:$10)-1,""))</f>
        <v>3456789</v>
      </c>
      <c r="CJ530" s="28" t="str">
        <f t="shared" ref="CJ530:CJ531" si="306">IF(CG530&lt;&gt;"","邻","孤")&amp;IF(CH530&lt;&gt;"","传","孤")&amp;"孤"</f>
        <v>邻传孤</v>
      </c>
    </row>
    <row r="531" spans="1:88" s="2" customFormat="1">
      <c r="A531" s="59" t="s">
        <v>430</v>
      </c>
      <c r="B531" s="8" t="s">
        <v>431</v>
      </c>
      <c r="C531" s="60">
        <f t="shared" si="290"/>
        <v>22</v>
      </c>
      <c r="D531" s="61">
        <f t="shared" si="291"/>
        <v>2</v>
      </c>
      <c r="E531" s="51">
        <f t="shared" si="295"/>
        <v>7.3333333333333304</v>
      </c>
      <c r="F531" s="62">
        <f>MAX(MID(B531,{1,2,3},1)*1)-MIN(MID(B531,{1,2,3},1)*1)</f>
        <v>3</v>
      </c>
      <c r="G531" s="104">
        <v>0</v>
      </c>
      <c r="H531" s="104">
        <v>1</v>
      </c>
      <c r="I531" s="104">
        <v>2</v>
      </c>
      <c r="J531" s="104">
        <v>3</v>
      </c>
      <c r="K531" s="104">
        <v>4</v>
      </c>
      <c r="L531" s="104">
        <v>5</v>
      </c>
      <c r="M531" s="104">
        <v>6</v>
      </c>
      <c r="N531" s="104">
        <v>7</v>
      </c>
      <c r="O531" s="104">
        <v>8</v>
      </c>
      <c r="P531" s="104">
        <v>9</v>
      </c>
      <c r="Q531" s="63">
        <f t="shared" si="292"/>
        <v>3</v>
      </c>
      <c r="R531" s="63">
        <f t="shared" si="293"/>
        <v>1</v>
      </c>
      <c r="S531" s="63">
        <f t="shared" si="294"/>
        <v>2</v>
      </c>
      <c r="T531" s="101">
        <f t="shared" si="273"/>
        <v>6</v>
      </c>
      <c r="U531" s="64" t="str">
        <f>_xlfn.TEXTJOIN(", ",TRUE,ABS(MID(B531,{1,1,2},1)-MID(B531,{2,3,3},1)))</f>
        <v>3, 1, 2</v>
      </c>
      <c r="V531" s="65">
        <v>0</v>
      </c>
      <c r="W531" s="65">
        <v>1</v>
      </c>
      <c r="X531" s="65">
        <v>2</v>
      </c>
      <c r="Y531" s="65">
        <v>3</v>
      </c>
      <c r="Z531" s="65">
        <v>4</v>
      </c>
      <c r="AA531" s="65">
        <v>5</v>
      </c>
      <c r="AB531" s="65">
        <v>6</v>
      </c>
      <c r="AC531" s="65">
        <v>7</v>
      </c>
      <c r="AD531" s="65">
        <v>8</v>
      </c>
      <c r="AE531" s="65">
        <v>9</v>
      </c>
      <c r="AF531" s="55">
        <v>0</v>
      </c>
      <c r="AG531" s="55">
        <v>1</v>
      </c>
      <c r="AH531" s="55">
        <v>2</v>
      </c>
      <c r="AI531" s="55">
        <v>3</v>
      </c>
      <c r="AJ531" s="55">
        <v>4</v>
      </c>
      <c r="AK531" s="55">
        <v>5</v>
      </c>
      <c r="AL531" s="55">
        <v>6</v>
      </c>
      <c r="AM531" s="55">
        <v>7</v>
      </c>
      <c r="AN531" s="55">
        <v>8</v>
      </c>
      <c r="AO531" s="55">
        <v>9</v>
      </c>
      <c r="AP531" s="66">
        <v>0</v>
      </c>
      <c r="AQ531" s="66">
        <v>1</v>
      </c>
      <c r="AR531" s="66">
        <v>2</v>
      </c>
      <c r="AS531" s="66">
        <v>3</v>
      </c>
      <c r="AT531" s="66">
        <v>4</v>
      </c>
      <c r="AU531" s="66">
        <v>5</v>
      </c>
      <c r="AV531" s="66">
        <v>6</v>
      </c>
      <c r="AW531" s="66">
        <v>7</v>
      </c>
      <c r="AX531" s="66">
        <v>8</v>
      </c>
      <c r="AY531" s="66">
        <v>9</v>
      </c>
      <c r="AZ531" s="67">
        <v>0</v>
      </c>
      <c r="BA531" s="67">
        <v>1</v>
      </c>
      <c r="BB531" s="67">
        <v>2</v>
      </c>
      <c r="BC531" s="67">
        <v>3</v>
      </c>
      <c r="BD531" s="67">
        <v>4</v>
      </c>
      <c r="BE531" s="67">
        <v>5</v>
      </c>
      <c r="BF531" s="67">
        <v>6</v>
      </c>
      <c r="BG531" s="67">
        <v>7</v>
      </c>
      <c r="BH531" s="67">
        <v>8</v>
      </c>
      <c r="BI531" s="67">
        <v>9</v>
      </c>
      <c r="BJ531" s="57" t="str">
        <f t="shared" si="274"/>
        <v>紧凑型</v>
      </c>
      <c r="BK531" s="13">
        <f t="shared" si="296"/>
        <v>1</v>
      </c>
      <c r="BL531" s="13">
        <f t="shared" si="297"/>
        <v>3</v>
      </c>
      <c r="BM531" s="18" t="str">
        <f>IF(COUNTIF($Q526:$S526,Q531)&gt;0,Q531,"")</f>
        <v/>
      </c>
      <c r="BN531" s="19" t="str">
        <f>IF(COUNTIF($Q525:$S525,Q531)&gt;0,Q531,"")</f>
        <v/>
      </c>
      <c r="BO531" s="19" t="str">
        <f t="array" ref="BO531">_xlfn.TEXTJOIN("",TRUE,IF(ISERROR(FIND(ROW($1:$10)-1,BM531&amp;BN531)),ROW($1:$10)-1,""))</f>
        <v>0123456789</v>
      </c>
      <c r="BP531" s="20" t="str">
        <f t="shared" si="298"/>
        <v>中中中</v>
      </c>
      <c r="BQ531" s="21" t="str">
        <f>IF(COUNTIF($Q526:$S526,R531)&gt;0,R531,"")</f>
        <v/>
      </c>
      <c r="BR531" s="21">
        <f>IF(COUNTIF($Q525:$S525,R531)&gt;0,R531,"")</f>
        <v>1</v>
      </c>
      <c r="BS531" s="21" t="str">
        <f t="array" ref="BS531">_xlfn.TEXTJOIN("",TRUE,IF(ISERROR(FIND(ROW($1:$10)-1,BQ531&amp;BR531)),ROW($1:$10)-1,""))</f>
        <v>023456789</v>
      </c>
      <c r="BT531" s="20" t="str">
        <f t="shared" si="299"/>
        <v>中隔中</v>
      </c>
      <c r="BU531" s="22">
        <f>IF(COUNTIF($Q526:$S526,S531)&gt;0,S531,"")</f>
        <v>2</v>
      </c>
      <c r="BV531" s="22">
        <f>IF(COUNTIF($Q525:$S525,S531)&gt;0,S531,"")</f>
        <v>2</v>
      </c>
      <c r="BW531" s="22" t="str">
        <f t="array" ref="BW531">_xlfn.TEXTJOIN("",TRUE,IF(ISERROR(FIND(ROW($1:$10)-1,BU531&amp;BV531)),ROW($1:$10)-1,""))</f>
        <v>013456789</v>
      </c>
      <c r="BX531" s="20" t="str">
        <f t="shared" si="300"/>
        <v>复隔中</v>
      </c>
      <c r="BY531" s="23" t="str">
        <f t="shared" si="301"/>
        <v>24</v>
      </c>
      <c r="BZ531" s="24" t="str">
        <f t="array" ref="BZ531">_xlfn.TEXTJOIN("",TRUE,IF(ISNUMBER(FIND(MID(BY526&amp;Q526,ROW($1:$4),1),BY531&amp;Q531)),MID(BY526&amp;Q526,ROW($1:$4),1),""))</f>
        <v>32</v>
      </c>
      <c r="CA531" s="25" t="str">
        <f t="array" ref="CA531">_xlfn.TEXTJOIN("",TRUE,IF(ISERROR(FIND(ROW($1:$10)-1,BY531&amp;BZ531)),ROW($1:$10)-1,""))</f>
        <v>0156789</v>
      </c>
      <c r="CB531" s="26" t="str">
        <f t="shared" si="302"/>
        <v>邻传孤</v>
      </c>
      <c r="CC531" s="27" t="str">
        <f t="shared" si="303"/>
        <v>02</v>
      </c>
      <c r="CD531" s="27" t="str">
        <f t="array" ref="CD531">_xlfn.TEXTJOIN("",TRUE,IF(ISNUMBER(FIND(MID(CC526&amp;R526,ROW($1:$4),1),CC531&amp;R531)),MID(CC526&amp;R526,ROW($1:$4),1),""))</f>
        <v>12</v>
      </c>
      <c r="CE531" s="27" t="str">
        <f t="array" ref="CE531">_xlfn.TEXTJOIN("",TRUE,IF(ISERROR(FIND(ROW($1:$10)-1,CC531&amp;CD531)),ROW($1:$10)-1,""))</f>
        <v>3456789</v>
      </c>
      <c r="CF531" s="17" t="str">
        <f t="shared" si="304"/>
        <v>邻传孤</v>
      </c>
      <c r="CG531" s="22" t="str">
        <f t="shared" si="305"/>
        <v>13</v>
      </c>
      <c r="CH531" s="22" t="str">
        <f t="array" ref="CH531">_xlfn.TEXTJOIN("",TRUE,IF(ISNUMBER(FIND(MID(CG526&amp;S526,ROW($1:$4),1),CG531&amp;S531)),MID(CG526&amp;S526,ROW($1:$4),1),""))</f>
        <v>1</v>
      </c>
      <c r="CI531" s="22" t="str">
        <f t="array" ref="CI531">_xlfn.TEXTJOIN("",TRUE,IF(ISERROR(FIND(ROW($1:$10)-1,CG531&amp;CH531)),ROW($1:$10)-1,""))</f>
        <v>02456789</v>
      </c>
      <c r="CJ531" s="28" t="str">
        <f t="shared" si="306"/>
        <v>邻传孤</v>
      </c>
    </row>
    <row r="532" spans="1:88" s="3" customFormat="1" ht="32.1" customHeight="1">
      <c r="A532" s="68"/>
      <c r="B532" s="49"/>
      <c r="C532" s="49"/>
      <c r="D532" s="49"/>
      <c r="E532" s="49"/>
      <c r="F532" s="49"/>
      <c r="G532" s="69">
        <f>COUNTIF($F3:F531,0)</f>
        <v>7</v>
      </c>
      <c r="H532" s="69">
        <f>COUNTIF($F3:F531,1)</f>
        <v>21</v>
      </c>
      <c r="I532" s="69">
        <f>COUNTIF($F3:F531,2)</f>
        <v>49</v>
      </c>
      <c r="J532" s="69">
        <f>COUNTIF($F3:F531,3)</f>
        <v>56</v>
      </c>
      <c r="K532" s="69">
        <f>COUNTIF($F3:F531,4)</f>
        <v>78</v>
      </c>
      <c r="L532" s="69">
        <f>COUNTIF($F3:F531,5)</f>
        <v>100</v>
      </c>
      <c r="M532" s="69">
        <f>COUNTIF($F3:F531,6)</f>
        <v>74</v>
      </c>
      <c r="N532" s="69">
        <f>COUNTIF($F3:F531,7)</f>
        <v>60</v>
      </c>
      <c r="O532" s="69">
        <f>COUNTIF($F3:F531,8)</f>
        <v>51</v>
      </c>
      <c r="P532" s="69">
        <f>COUNTIF($F3:F531,9)</f>
        <v>33</v>
      </c>
      <c r="Q532" s="70"/>
      <c r="R532" s="70"/>
      <c r="S532" s="70"/>
      <c r="T532" s="71"/>
      <c r="U532" s="72" t="s">
        <v>432</v>
      </c>
      <c r="V532" s="72">
        <f>COUNTIF($Q3:S531,0)</f>
        <v>146</v>
      </c>
      <c r="W532" s="72">
        <f>COUNTIF($Q3:S531,1)</f>
        <v>279</v>
      </c>
      <c r="X532" s="72">
        <f>COUNTIF($Q3:S531,2)</f>
        <v>252</v>
      </c>
      <c r="Y532" s="72">
        <f>COUNTIF($Q3:S531,3)</f>
        <v>214</v>
      </c>
      <c r="Z532" s="72">
        <f>COUNTIF($Q3:S531,4)</f>
        <v>197</v>
      </c>
      <c r="AA532" s="72">
        <f>COUNTIF($Q3:S531,5)</f>
        <v>192</v>
      </c>
      <c r="AB532" s="72">
        <f>COUNTIF($Q3:S531,6)</f>
        <v>123</v>
      </c>
      <c r="AC532" s="72">
        <f>COUNTIF($Q3:S531,7)</f>
        <v>85</v>
      </c>
      <c r="AD532" s="72">
        <f>COUNTIF($Q3:S531,8)</f>
        <v>61</v>
      </c>
      <c r="AE532" s="72">
        <f>COUNTIF($Q3:S531,9)</f>
        <v>38</v>
      </c>
      <c r="AF532" s="73">
        <f>COUNTIF($Q3:Q531,0)</f>
        <v>45</v>
      </c>
      <c r="AG532" s="73">
        <f>COUNTIF(Q3:Q531,1)</f>
        <v>79</v>
      </c>
      <c r="AH532" s="73">
        <f>COUNTIF(Q3:Q531,2)</f>
        <v>74</v>
      </c>
      <c r="AI532" s="73">
        <f>COUNTIF(Q3:Q531,3)</f>
        <v>69</v>
      </c>
      <c r="AJ532" s="73">
        <f>COUNTIF(Q3:Q531,4)</f>
        <v>81</v>
      </c>
      <c r="AK532" s="73">
        <f>COUNTIF(Q3:Q531,5)</f>
        <v>67</v>
      </c>
      <c r="AL532" s="73">
        <f>COUNTIF(Q3:Q531,6)</f>
        <v>48</v>
      </c>
      <c r="AM532" s="73">
        <f>COUNTIF(Q3:Q531,7)</f>
        <v>30</v>
      </c>
      <c r="AN532" s="73">
        <f>COUNTIF($Q3:Q531,8)</f>
        <v>25</v>
      </c>
      <c r="AO532" s="73">
        <f>COUNTIF($Q3:Q531,9)</f>
        <v>11</v>
      </c>
      <c r="AP532" s="74">
        <f>COUNTIF($R3:R531,0)</f>
        <v>49</v>
      </c>
      <c r="AQ532" s="74">
        <f>COUNTIF($R3:R531,1)</f>
        <v>101</v>
      </c>
      <c r="AR532" s="74">
        <f>COUNTIF($R3:R531,2)</f>
        <v>92</v>
      </c>
      <c r="AS532" s="74">
        <f>COUNTIF($R3:R531,3)</f>
        <v>71</v>
      </c>
      <c r="AT532" s="74">
        <f>COUNTIF($R3:R531,4)</f>
        <v>60</v>
      </c>
      <c r="AU532" s="74">
        <f>COUNTIF($R3:R531,5)</f>
        <v>64</v>
      </c>
      <c r="AV532" s="74">
        <f>COUNTIF($R3:R531,6)</f>
        <v>39</v>
      </c>
      <c r="AW532" s="74">
        <f>COUNTIF($R3:R531,7)</f>
        <v>27</v>
      </c>
      <c r="AX532" s="74">
        <f>COUNTIF($R3:R531,8)</f>
        <v>14</v>
      </c>
      <c r="AY532" s="74">
        <f>COUNTIF($R3:R531,9)</f>
        <v>12</v>
      </c>
      <c r="AZ532" s="75">
        <f>COUNTIF($S3:S531,0)</f>
        <v>52</v>
      </c>
      <c r="BA532" s="75">
        <f>COUNTIF($S3:S531,1)</f>
        <v>99</v>
      </c>
      <c r="BB532" s="75">
        <f>COUNTIF($S3:S531,2)</f>
        <v>86</v>
      </c>
      <c r="BC532" s="75">
        <f>COUNTIF($S3:S531,3)</f>
        <v>74</v>
      </c>
      <c r="BD532" s="75">
        <f>COUNTIF($S3:S531,4)</f>
        <v>56</v>
      </c>
      <c r="BE532" s="75">
        <f>COUNTIF($S3:S531,5)</f>
        <v>61</v>
      </c>
      <c r="BF532" s="75">
        <f>COUNTIF($S3:S531,6)</f>
        <v>36</v>
      </c>
      <c r="BG532" s="75">
        <f>COUNTIF($S3:S531,7)</f>
        <v>28</v>
      </c>
      <c r="BH532" s="75">
        <f>COUNTIF($S3:S531,8)</f>
        <v>22</v>
      </c>
      <c r="BI532" s="75">
        <f>COUNTIF($S3:S531,9)</f>
        <v>15</v>
      </c>
      <c r="BJ532" s="17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</row>
    <row r="533" spans="1:88" s="4" customFormat="1" ht="25.5" customHeight="1">
      <c r="A533" s="76"/>
      <c r="B533" s="77"/>
      <c r="C533" s="77"/>
      <c r="D533" s="78"/>
      <c r="E533" s="78"/>
      <c r="F533" s="78"/>
      <c r="G533" s="79">
        <f>COUNT(A3:A531)/COUNTIF(F3:F531,0)</f>
        <v>74.571428571428598</v>
      </c>
      <c r="H533" s="79">
        <f>COUNT(A3:A531)/COUNTIF(F3:F531,1)</f>
        <v>24.8571428571429</v>
      </c>
      <c r="I533" s="79">
        <f>COUNT(A3:A531)/COUNTIF(F3:F531,2)</f>
        <v>10.6530612244898</v>
      </c>
      <c r="J533" s="79">
        <f>COUNT(A3:A531)/COUNTIF(F3:F531,3)</f>
        <v>9.3214285714285694</v>
      </c>
      <c r="K533" s="79">
        <f>COUNT(A3:A531)/COUNTIF(F3:F531,4)</f>
        <v>6.6923076923076898</v>
      </c>
      <c r="L533" s="79">
        <f>COUNT(A3:A531)/COUNTIF(F3:F531,5)</f>
        <v>5.22</v>
      </c>
      <c r="M533" s="79">
        <f>COUNT(A3:A531)/COUNTIF(F3:F531,6)</f>
        <v>7.0540540540540499</v>
      </c>
      <c r="N533" s="79">
        <f>COUNT(A3:A531)/COUNTIF(F3:F531,7)</f>
        <v>8.6999999999999993</v>
      </c>
      <c r="O533" s="79">
        <f>COUNT(A3:A531)/COUNTIF(F3:F531,8)</f>
        <v>10.235294117647101</v>
      </c>
      <c r="P533" s="79">
        <f>COUNT(A3:A531)/COUNTIF(F3:F531,9)</f>
        <v>15.818181818181801</v>
      </c>
      <c r="Q533" s="78"/>
      <c r="R533" s="78"/>
      <c r="S533" s="78"/>
      <c r="T533" s="71"/>
      <c r="U533" s="80" t="s">
        <v>433</v>
      </c>
      <c r="V533" s="80">
        <f>COUNT(Q3:Q531)/COUNTIF(Q3:S531,0)</f>
        <v>3.6232876712328799</v>
      </c>
      <c r="W533" s="80">
        <f>COUNT(A3:A531)/COUNTIF(Q3:S531,1)</f>
        <v>1.87096774193548</v>
      </c>
      <c r="X533" s="80">
        <f>COUNT(A3:A531)/COUNTIF(Q3:S531,2)</f>
        <v>2.0714285714285698</v>
      </c>
      <c r="Y533" s="80">
        <f>COUNT(A3:A531)/COUNTIF(Q3:S531,3)</f>
        <v>2.4392523364485998</v>
      </c>
      <c r="Z533" s="80">
        <f>COUNT(A3:A531)/COUNTIF(Q3:S531,4)</f>
        <v>2.6497461928933999</v>
      </c>
      <c r="AA533" s="80">
        <f>COUNT(A3:A531)/COUNTIF(Q3:S531,5)</f>
        <v>2.71875</v>
      </c>
      <c r="AB533" s="80">
        <f>COUNT(A3:A531)/COUNTIF(Q3:S531,6)</f>
        <v>4.2439024390243896</v>
      </c>
      <c r="AC533" s="80">
        <f>COUNT(A3:A531)/COUNTIF(Q3:S531,7)</f>
        <v>6.1411764705882401</v>
      </c>
      <c r="AD533" s="80">
        <f>COUNT(A3:A531)/COUNTIF(Q3:S531,8)</f>
        <v>8.5573770491803298</v>
      </c>
      <c r="AE533" s="80">
        <f>COUNT(A3:A531)/COUNTIF(Q3:S531,9)</f>
        <v>13.7368421052632</v>
      </c>
      <c r="AF533" s="81">
        <f>COUNT(A3:A531)/COUNTIF(Q3:Q531,0)</f>
        <v>11.6</v>
      </c>
      <c r="AG533" s="81">
        <f>COUNT(A3:A531)/COUNTIF(Q3:Q531,1)</f>
        <v>6.6075949367088596</v>
      </c>
      <c r="AH533" s="81">
        <f>COUNT(A3:A531)/COUNTIF(Q3:Q531,2)</f>
        <v>7.0540540540540499</v>
      </c>
      <c r="AI533" s="81">
        <f>COUNT(A3:A531)/COUNTIF(Q3:Q531,3)</f>
        <v>7.5652173913043503</v>
      </c>
      <c r="AJ533" s="81">
        <f>COUNT(A3:A531)/COUNTIF(Q3:Q531,4)</f>
        <v>6.4444444444444402</v>
      </c>
      <c r="AK533" s="81">
        <f>COUNT(A3:A531)/COUNTIF(Q3:Q531,5)</f>
        <v>7.7910447761194002</v>
      </c>
      <c r="AL533" s="81">
        <f>COUNT(A3:A531)/COUNTIF(Q3:Q531,6)</f>
        <v>10.875</v>
      </c>
      <c r="AM533" s="81">
        <f>COUNT(A3:A531)/COUNTIF(Q3:Q531,7)</f>
        <v>17.399999999999999</v>
      </c>
      <c r="AN533" s="81">
        <f>COUNT(A3:A531)/COUNTIF(Q3:Q531,8)</f>
        <v>20.88</v>
      </c>
      <c r="AO533" s="81">
        <f>COUNT(A3:A531)/COUNTIF(Q3:Q531,9)</f>
        <v>47.454545454545503</v>
      </c>
      <c r="AP533" s="82">
        <f>COUNT(A3:A531)/COUNTIF(R3:R531,0)</f>
        <v>10.6530612244898</v>
      </c>
      <c r="AQ533" s="82">
        <f>COUNT(A3:A531)/COUNTIF(R3:R531,1)</f>
        <v>5.1683168316831702</v>
      </c>
      <c r="AR533" s="82">
        <f>COUNT(A3:A531)/COUNTIF(R3:R531,2)</f>
        <v>5.6739130434782599</v>
      </c>
      <c r="AS533" s="82">
        <f>COUNT(A3:A531)/COUNTIF(R3:R531,3)</f>
        <v>7.3521126760563398</v>
      </c>
      <c r="AT533" s="82">
        <f>COUNT(A3:A531)/COUNTIF(R3:R531,4)</f>
        <v>8.6999999999999993</v>
      </c>
      <c r="AU533" s="82">
        <f>COUNT(A3:A531)/COUNTIF(R3:R531,5)</f>
        <v>8.15625</v>
      </c>
      <c r="AV533" s="82">
        <f>COUNT(A3:A531)/COUNTIF(R3:R531,6)</f>
        <v>13.384615384615399</v>
      </c>
      <c r="AW533" s="82">
        <f>COUNT(A3:A531)/COUNTIF(R3:R531,7)</f>
        <v>19.3333333333333</v>
      </c>
      <c r="AX533" s="82">
        <f>COUNT(A3:A531)/COUNTIF(R3:R531,8)</f>
        <v>37.285714285714299</v>
      </c>
      <c r="AY533" s="82">
        <f>COUNT(A3:A531)/COUNTIF(R3:R531,9)</f>
        <v>43.5</v>
      </c>
      <c r="AZ533" s="83">
        <f>COUNT(A3:A531)/COUNTIF(S3:S531,0)</f>
        <v>10.038461538461499</v>
      </c>
      <c r="BA533" s="83">
        <f>COUNT(A3:A531)/COUNTIF(S3:S531,1)</f>
        <v>5.2727272727272698</v>
      </c>
      <c r="BB533" s="83">
        <f>COUNT(A3:A531)/COUNTIF(S3:S531,2)</f>
        <v>6.0697674418604697</v>
      </c>
      <c r="BC533" s="83">
        <f>COUNT(A3:A531)/COUNTIF(S3:S531,3)</f>
        <v>7.0540540540540499</v>
      </c>
      <c r="BD533" s="83">
        <f>COUNT(A3:A531)/COUNTIF(S3:S531,4)</f>
        <v>9.3214285714285694</v>
      </c>
      <c r="BE533" s="83">
        <f>COUNT(A3:A531)/COUNTIF(S3:S531,5)</f>
        <v>8.5573770491803298</v>
      </c>
      <c r="BF533" s="83">
        <f>COUNT(A3:A531)/COUNTIF(S3:S531,6)</f>
        <v>14.5</v>
      </c>
      <c r="BG533" s="83">
        <f>COUNT(A3:A531)/COUNTIF(S3:S531,7)</f>
        <v>18.6428571428571</v>
      </c>
      <c r="BH533" s="83">
        <f>COUNT(A3:A531)/COUNTIF(S3:S531,8)</f>
        <v>23.727272727272702</v>
      </c>
      <c r="BI533" s="83">
        <f>COUNT(A3:A531)/COUNTIF(S3:S531,9)</f>
        <v>34.799999999999997</v>
      </c>
      <c r="BJ533" s="17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</row>
    <row r="534" spans="1:88" s="3" customFormat="1" ht="22.5" customHeight="1">
      <c r="A534" s="84"/>
      <c r="B534" s="85"/>
      <c r="C534" s="85"/>
      <c r="D534" s="85"/>
      <c r="E534" s="85"/>
      <c r="F534" s="85"/>
      <c r="G534" s="86">
        <f t="array" ref="G534">MAX(FREQUENCY(IF(F3:F531&lt;&gt;0,ROW(F3:F531)),IF(F3:F531=0,ROW(F3:F531))))</f>
        <v>100</v>
      </c>
      <c r="H534" s="86">
        <f t="array" ref="H534">MAX(FREQUENCY(IF(F3:F531&lt;&gt;1,ROW(F3:F531)),IF(F3:F531=1,ROW(F3:F531))))</f>
        <v>71</v>
      </c>
      <c r="I534" s="86">
        <f t="array" ref="I534">MAX(FREQUENCY(IF(F3:F531&lt;&gt;2,ROW(F3:F531)),IF(F3:F531=2,ROW(F3:F531))))</f>
        <v>37</v>
      </c>
      <c r="J534" s="86">
        <f t="array" ref="J534">MAX(FREQUENCY(IF(F3:F531&lt;&gt;3,ROW(F3:F531)),IF(F3:F531=3,ROW(F3:F531))))</f>
        <v>24</v>
      </c>
      <c r="K534" s="86">
        <f t="array" ref="K534">MAX(FREQUENCY(IF(F3:F531&lt;&gt;4,ROW(F3:F531)),IF(F3:F531=4,ROW(F3:F531))))</f>
        <v>32</v>
      </c>
      <c r="L534" s="86">
        <f t="array" ref="L534">MAX(FREQUENCY(IF(F3:F531&lt;&gt;5,ROW(F3:F531)),IF(F3:F531=5,ROW(F3:F531))))</f>
        <v>34</v>
      </c>
      <c r="M534" s="86">
        <f t="array" ref="M534">MAX(FREQUENCY(IF(F3:F531&lt;&gt;6,ROW(F3:F531)),IF(F3:F531=6,ROW(F3:F531))))</f>
        <v>56</v>
      </c>
      <c r="N534" s="86">
        <f t="array" ref="N534">MAX(FREQUENCY(IF(F3:F531&lt;&gt;7,ROW(F3:F531)),IF(F3:F531=7,ROW(F3:F531))))</f>
        <v>29</v>
      </c>
      <c r="O534" s="86">
        <f t="array" ref="O534">MAX(FREQUENCY(IF(F3:F531&lt;&gt;8,ROW(F3:F531)),IF(F3:F531=8,ROW(F3:F531))))</f>
        <v>38</v>
      </c>
      <c r="P534" s="86">
        <f t="array" ref="P534">MAX(FREQUENCY(IF(F3:F531&lt;&gt;9,ROW(F3:F531)),IF(F3:F531=9,ROW(F3:F531))))</f>
        <v>56</v>
      </c>
      <c r="Q534" s="87"/>
      <c r="R534" s="87"/>
      <c r="S534" s="87"/>
      <c r="T534" s="71"/>
      <c r="U534" s="75" t="s">
        <v>434</v>
      </c>
      <c r="V534" s="88">
        <f t="array" ref="V534">MAX(FREQUENCY(IF((Q3:Q531&lt;&gt;0)*(R3:R531&lt;&gt;0)*(S3:S531&lt;&gt;0),ROW(Q3:Q531)),IF((Q3:Q531=0)+(R3:R531=0)+(S3:S531=0),ROW(Q3:Q531))))</f>
        <v>17</v>
      </c>
      <c r="W534" s="75">
        <f t="array" ref="W534">MAX(FREQUENCY(IF((Q3:Q531&lt;&gt;1)*(R3:R531&lt;&gt;1)*(S3:S531&lt;&gt;1),ROW(Q3:Q531)),IF((Q3:Q531=1)+(R3:R531=1)+(S3:S531=1),ROW(Q3:Q531))))</f>
        <v>9</v>
      </c>
      <c r="X534" s="75">
        <f t="array" ref="X534">MAX(FREQUENCY(IF((Q3:Q531&lt;&gt;2)*(R3:R531&lt;&gt;2)*(S3:S531&lt;&gt;2),ROW(Q3:Q531)),IF((Q3:Q531=2)+(R3:R531=2)+(S3:S531=2),ROW(Q3:Q531))))</f>
        <v>16</v>
      </c>
      <c r="Y534" s="75">
        <f t="array" ref="Y534">MAX(FREQUENCY(IF((Q3:Q531&lt;&gt;3)*(R3:R531&lt;&gt;3)*(S3:S531&lt;&gt;3),ROW(Q3:Q531)),IF((Q3:Q531=3)+(R3:R531=3)+(S3:S531=3),ROW(Q3:Q531))))</f>
        <v>10</v>
      </c>
      <c r="Z534" s="75">
        <f t="array" ref="Z534">MAX(FREQUENCY(IF((Q3:Q531&lt;&gt;4)*(R3:R531&lt;&gt;4)*(S3:S531&lt;&gt;4),ROW(Q3:Q531)),IF((Q3:Q531=4)+(R3:R531=4)+(S3:S531=4),ROW(Q3:Q531))))</f>
        <v>10</v>
      </c>
      <c r="AA534" s="75">
        <f t="array" ref="AA534">MAX(FREQUENCY(IF((Q3:Q531&lt;&gt;5)*(R3:R531&lt;&gt;5)*(S3:S531&lt;&gt;5),ROW(Q3:Q531)),IF((Q3:Q531=5)+(R3:R531=5)+(S3:S531=5),ROW(Q3:Q531))))</f>
        <v>13</v>
      </c>
      <c r="AB534" s="75">
        <f t="array" ref="AB534">MAX(FREQUENCY(IF((Q3:Q531&lt;&gt;6)*(R3:R531&lt;&gt;6)*(S3:S531&lt;&gt;6),ROW(Q3:Q531)),IF((Q3:Q531=6)+(R3:R531=6)+(S3:S531=6),ROW(Q3:Q531))))</f>
        <v>35</v>
      </c>
      <c r="AC534" s="75">
        <f t="array" ref="AC534">MAX(FREQUENCY(IF((Q3:Q531&lt;&gt;7)*(R3:R531&lt;&gt;7)*(S3:S531&lt;&gt;7),ROW(Q3:Q531)),IF((Q3:Q531=7)+(R3:R531=7)+(S3:S531=7),ROW(Q3:Q531))))</f>
        <v>28</v>
      </c>
      <c r="AD534" s="75">
        <f t="array" ref="AD534">MAX(FREQUENCY(IF((Q3:Q531&lt;&gt;8)*(R3:R531&lt;&gt;8)*(S3:S531&lt;&gt;8),ROW(Q3:Q531)),IF((Q3:Q531=8)+(R3:R531=8)+(S3:S531=8),ROW(Q3:Q531))))</f>
        <v>29</v>
      </c>
      <c r="AE534" s="75">
        <f t="array" ref="AE534">MAX(FREQUENCY(IF((Q3:Q531&lt;&gt;9)*(R3:R531&lt;&gt;9)*(S3:S531&lt;&gt;9),ROW(Q3:Q531)),IF((Q3:Q531=9)+(R3:R531=9)+(S3:S531=9),ROW(Q3:Q531))))</f>
        <v>56</v>
      </c>
      <c r="AF534" s="72">
        <f t="array" ref="AF534">MAX(FREQUENCY(IF(Q3:Q531&lt;&gt;0,ROW(Q3:Q531)),IF(Q3:Q531=0,ROW(Q3:Q531))))</f>
        <v>50</v>
      </c>
      <c r="AG534" s="72">
        <f t="array" ref="AG534">MAX(FREQUENCY(IF(Q3:Q531&lt;&gt;1,ROW(Q3:Q531)),IF(Q3:Q531=1,ROW(Q3:Q531))))</f>
        <v>28</v>
      </c>
      <c r="AH534" s="72">
        <f t="array" ref="AH534">MAX(FREQUENCY(IF(Q3:Q531&lt;&gt;2,ROW(Q3:Q531)),IF(Q3:Q531=2,ROW(Q3:Q531))))</f>
        <v>28</v>
      </c>
      <c r="AI534" s="72">
        <f t="array" ref="AI534">MAX(FREQUENCY(IF(Q3:Q531&lt;&gt;3,ROW(Q3:Q531)),IF(Q3:Q531=3,ROW(Q3:Q531))))</f>
        <v>28</v>
      </c>
      <c r="AJ534" s="72">
        <f t="array" ref="AJ534">MAX(FREQUENCY(IF(Q3:Q531&lt;&gt;4,ROW(Q3:Q531)),IF(Q3:Q531=4,ROW(Q3:Q531))))</f>
        <v>31</v>
      </c>
      <c r="AK534" s="72">
        <f t="array" ref="AK534">MAX(FREQUENCY(IF(Q3:Q531&lt;&gt;5,ROW(Q3:Q531)),IF(Q3:Q531=5,ROW(Q3:Q531))))</f>
        <v>24</v>
      </c>
      <c r="AL534" s="72">
        <f t="array" ref="AL534">MAX(FREQUENCY(IF(Q3:Q531&lt;&gt;6,ROW(Q3:Q531)),IF(Q3:Q531=6,ROW(Q3:Q531))))</f>
        <v>63</v>
      </c>
      <c r="AM534" s="72">
        <f t="array" ref="AM534">MAX(FREQUENCY(IF(Q3:Q531&lt;&gt;7,ROW(Q3:Q531)),IF(Q3:Q531=7,ROW(Q3:Q531))))</f>
        <v>60</v>
      </c>
      <c r="AN534" s="72">
        <f t="array" ref="AN534">MAX(FREQUENCY(IF(Q3:Q531&lt;&gt;8,ROW(Q3:Q531)),IF(Q3:Q531=8,ROW(Q3:Q531))))</f>
        <v>58</v>
      </c>
      <c r="AO534" s="72">
        <f t="array" ref="AO534">MAX(FREQUENCY(IF(Q3:Q531&lt;&gt;9,ROW(Q3:Q531)),IF(Q3:Q531=9,ROW(Q3:Q531))))</f>
        <v>103</v>
      </c>
      <c r="AP534" s="89">
        <f t="array" ref="AP534">MAX(FREQUENCY(IF(R3:R531&lt;&gt;0,ROW(R3:R531)),IF(R3:R531=0,ROW(R3:R531))))</f>
        <v>42</v>
      </c>
      <c r="AQ534" s="89">
        <f t="array" ref="AQ534">MAX(FREQUENCY(IF(R3:R531&lt;&gt;1,ROW(R3:R531)),IF(R3:R531=1,ROW(R3:R531))))</f>
        <v>30</v>
      </c>
      <c r="AR534" s="89">
        <f t="array" ref="AR534">MAX(FREQUENCY(IF(R3:R531&lt;&gt;2,ROW(R3:R531)),IF(R3:R531=2,ROW(R3:R531))))</f>
        <v>16</v>
      </c>
      <c r="AS534" s="89">
        <f t="array" ref="AS534">MAX(FREQUENCY(IF(R3:R531&lt;&gt;3,ROW(R3:R531)),IF(R3:R531=3,ROW(R3:R531))))</f>
        <v>36</v>
      </c>
      <c r="AT534" s="89">
        <f t="array" ref="AT534">MAX(FREQUENCY(IF(R3:R531&lt;&gt;4,ROW(R3:R531)),IF(R3:R531=4,ROW(R3:R531))))</f>
        <v>45</v>
      </c>
      <c r="AU534" s="89">
        <f t="array" ref="AU534">MAX(FREQUENCY(IF(R3:R531&lt;&gt;5,ROW(R3:R531)),IF(R3:R531=5,ROW(R3:R531))))</f>
        <v>27</v>
      </c>
      <c r="AV534" s="89">
        <f t="array" ref="AV534">MAX(FREQUENCY(IF(R3:R531&lt;&gt;6,ROW(R3:R531)),IF(R3:R531=6,ROW(R3:R531))))</f>
        <v>52</v>
      </c>
      <c r="AW534" s="89">
        <f t="array" ref="AW534">MAX(FREQUENCY(IF(R3:R531&lt;&gt;7,ROW(R3:R531)),IF(R3:R531=7,ROW(R3:R531))))</f>
        <v>76</v>
      </c>
      <c r="AX534" s="89">
        <f t="array" ref="AX534">MAX(FREQUENCY(IF(R3:R531&lt;&gt;8,ROW(R3:R531)),IF(R3:R531=8,ROW(R3:R531))))</f>
        <v>99</v>
      </c>
      <c r="AY534" s="89">
        <f t="array" ref="AY534">MAX(FREQUENCY(IF(R3:R531&lt;&gt;9,ROW(R3:R531)),IF(R3:R531=9,ROW(R3:R531))))</f>
        <v>175</v>
      </c>
      <c r="AZ534" s="79">
        <f t="array" ref="AZ534">MAX(FREQUENCY(IF(S3:S531&lt;&gt;0,ROW(S3:S531)),IF(S3:S531=0,ROW(S3:S531))))</f>
        <v>35</v>
      </c>
      <c r="BA534" s="79">
        <f t="array" ref="BA534">MAX(FREQUENCY(IF(S3:S531&lt;&gt;1,ROW(S3:S531)),IF(S3:S531=1,ROW(S3:S531))))</f>
        <v>23</v>
      </c>
      <c r="BB534" s="79">
        <f t="array" ref="BB534">MAX(FREQUENCY(IF(S3:S531&lt;&gt;2,ROW(S3:S531)),IF(S3:S531=2,ROW(S3:S531))))</f>
        <v>24</v>
      </c>
      <c r="BC534" s="79">
        <f t="array" ref="BC534">MAX(FREQUENCY(IF(S3:S531&lt;&gt;3,ROW(S3:S531)),IF(S3:S531=3,ROW(S3:S531))))</f>
        <v>47</v>
      </c>
      <c r="BD534" s="79">
        <f t="array" ref="BD534">MAX(FREQUENCY(IF(S3:S531&lt;&gt;4,ROW(S3:S531)),IF(S3:S531=4,ROW(S3:S531))))</f>
        <v>34</v>
      </c>
      <c r="BE534" s="79">
        <f t="array" ref="BE534">MAX(FREQUENCY(IF(S3:S531&lt;&gt;5,ROW(S3:S531)),IF(S3:S531=5,ROW(S3:S531))))</f>
        <v>36</v>
      </c>
      <c r="BF534" s="79">
        <f t="array" ref="BF534">MAX(FREQUENCY(IF(S3:S531&lt;&gt;6,ROW(S3:S531)),IF(S3:S531=6,ROW(S3:S531))))</f>
        <v>56</v>
      </c>
      <c r="BG534" s="79">
        <f t="array" ref="BG534">MAX(FREQUENCY(IF(S3:S531&lt;&gt;7,ROW(S3:S531)),IF(S3:S531=7,ROW(S3:S531))))</f>
        <v>59</v>
      </c>
      <c r="BH534" s="79">
        <f t="array" ref="BH534">MAX(FREQUENCY(IF(S3:S531&lt;&gt;8,ROW(S3:S531)),IF(S3:S531=8,ROW(S3:S531))))</f>
        <v>91</v>
      </c>
      <c r="BI534" s="79">
        <f t="array" ref="BI534">MAX(FREQUENCY(IF(S3:S531&lt;&gt;9,ROW(S3:S531)),IF(S3:S531=9,ROW(S3:S531))))</f>
        <v>72</v>
      </c>
      <c r="BJ534" s="17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</row>
    <row r="535" spans="1:88" s="5" customFormat="1" ht="31.5" customHeight="1">
      <c r="A535" s="90"/>
      <c r="B535" s="91"/>
      <c r="C535" s="91"/>
      <c r="D535" s="91"/>
      <c r="E535" s="91"/>
      <c r="F535" s="91"/>
      <c r="G535" s="92">
        <f>IF(COUNTIF(Q:Q,0)=0,"从未出现",A531-LOOKUP(2,1/(F$2:F$531=0),A$2:A$531))</f>
        <v>100</v>
      </c>
      <c r="H535" s="92">
        <f>IF(COUNTIF(Q:Q,1)=0,"从未出现",A531-LOOKUP(2,1/(F$2:F$531=1),A$2:A$531))</f>
        <v>8</v>
      </c>
      <c r="I535" s="92">
        <f>IF(COUNTIF(Q:Q,2)=0,"从未出现",A531-LOOKUP(2,1/(F$2:F$531=2),A$2:A$531))</f>
        <v>5</v>
      </c>
      <c r="J535" s="92">
        <f>IF(COUNTIF(Q:Q,3)=0,"从未出现",A531-LOOKUP(2,1/(F$2:F$531=3),A$2:A$531))</f>
        <v>0</v>
      </c>
      <c r="K535" s="92">
        <f>IF(COUNTIF(Q:Q,4)=0,"从未出现",A531-LOOKUP(2,1/(F$2:F$531=4),A$2:A$531))</f>
        <v>10</v>
      </c>
      <c r="L535" s="92">
        <f>IF(COUNTIF(Q:Q,5)=0,"从未出现",A531-LOOKUP(2,1/(F$2:F$531=5),A$2:A$531))</f>
        <v>7</v>
      </c>
      <c r="M535" s="92">
        <f>IF(COUNTIF(Q:Q,6)=0,"从未出现",A531-LOOKUP(2,1/(F$2:F$531=6),A$2:A$531))</f>
        <v>2</v>
      </c>
      <c r="N535" s="92">
        <f>IF(COUNTIF(Q:Q,7)=0,"从未出现",A531-LOOKUP(2,1/(F$2:F$531=7),A$2:A$531))</f>
        <v>28</v>
      </c>
      <c r="O535" s="92">
        <f>IF(COUNTIF(Q:Q,8)=0,"从未出现",A531-LOOKUP(2,1/(F$2:F$531=8),A$2:A$531))</f>
        <v>19</v>
      </c>
      <c r="P535" s="92">
        <f>IF(COUNTIF(Q:Q,9)=0,"从未出现",A531-LOOKUP(2,1/(F$2:F$531=9),A$2:A$531))</f>
        <v>56</v>
      </c>
      <c r="Q535" s="93"/>
      <c r="R535" s="93"/>
      <c r="S535" s="93"/>
      <c r="T535" s="71"/>
      <c r="U535" s="94" t="s">
        <v>435</v>
      </c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5">
        <f>IF(COUNTIF(Q:Q,0)=0,"从未出现",A531-LOOKUP(2,1/(Q$2:Q$531=0),A$2:A$531))</f>
        <v>14</v>
      </c>
      <c r="AG535" s="95">
        <f>IF(COUNTIF(Q:Q,1)=0,"从未出现",A531-LOOKUP(2,1/(Q$2:Q$531=1),A$2:A$531))</f>
        <v>8</v>
      </c>
      <c r="AH535" s="95">
        <f>IF(COUNTIF(Q:Q,2)=0,"从未出现",A531-LOOKUP(2,1/(Q$2:Q$531=2),A$2:A$531))</f>
        <v>1</v>
      </c>
      <c r="AI535" s="95">
        <f>IF(COUNTIF(Q:Q,3)=0,"从未出现",A531-LOOKUP(2,1/(Q$2:Q$531=3),A$2:A$531))</f>
        <v>0</v>
      </c>
      <c r="AJ535" s="95">
        <f t="array" ref="AJ535">IF(COUNTIF(Q:Q,4)=0,"从未出现",A531-LOOKUP(2,1/(Q$2:Q$531=4),A$2:A$531))</f>
        <v>12</v>
      </c>
      <c r="AK535" s="95">
        <f>IF(COUNTIF(Q:Q,5)=0,"从未出现",A531-LOOKUP(2,1/(Q$2:Q$531=5),A$2:A$531))</f>
        <v>7</v>
      </c>
      <c r="AL535" s="95">
        <f>IF(COUNTIF(Q:Q,6)=0,"从未出现",A531-LOOKUP(2,1/(Q$2:Q$531=6),A$2:A$531))</f>
        <v>3</v>
      </c>
      <c r="AM535" s="95">
        <f>IF(COUNTIF(Q:Q,7)=0,"从未出现",A531-LOOKUP(2,1/(Q$2:Q$531=7),A$2:A$531))</f>
        <v>52</v>
      </c>
      <c r="AN535" s="95">
        <f>IF(COUNTIF(Q:Q,8)=0,"从未出现",A531-LOOKUP(2,1/(Q$2:Q$531=8),A$2:A$531))</f>
        <v>19</v>
      </c>
      <c r="AO535" s="95">
        <f>IF(COUNTIF(Q:Q,9)=0,"从未出现",A531-LOOKUP(2,1/(Q$2:Q$531=9),A$2:A$531))</f>
        <v>56</v>
      </c>
      <c r="AP535" s="96">
        <f>IF(COUNTIF(R:R,0)=0,"从未出现",A531-LOOKUP(2,1/(R$2:R$531=0),A$2:A$531))</f>
        <v>18</v>
      </c>
      <c r="AQ535" s="96">
        <f>IF(COUNTIF(R:R,1)=0,"从未出现",A531-LOOKUP(2,1/(R$2:R$531=1),A$2:A$531))</f>
        <v>0</v>
      </c>
      <c r="AR535" s="96">
        <f>IF(COUNTIF(R:R,2)=0,"从未出现",A531-LOOKUP(2,1/(R$2:R$531=2),A$2:A$531))</f>
        <v>4</v>
      </c>
      <c r="AS535" s="96">
        <f>IF(COUNTIF(R:R,3)=0,"从未出现",A531-LOOKUP(2,1/(R$2:R$531=3),A$2:A$531))</f>
        <v>1</v>
      </c>
      <c r="AT535" s="96">
        <f>IF(COUNTIF(R:R,4)=0,"从未出现",A531-LOOKUP(2,1/(R$2:R$531=4),A$2:A$531))</f>
        <v>22</v>
      </c>
      <c r="AU535" s="96">
        <f>IF(COUNTIF(R:R,5)=0,"从未出现",A531-LOOKUP(2,1/(R$2:R$531=5),A$2:A$531))</f>
        <v>27</v>
      </c>
      <c r="AV535" s="96">
        <f>IF(COUNTIF(R:R,6)=0,"从未出现",A531-LOOKUP(2,1/(R$2:R$531=6),A$2:A$531))</f>
        <v>3</v>
      </c>
      <c r="AW535" s="96">
        <f>IF(COUNTIF(R:R,7)=0,"从未出现",A531-LOOKUP(2,1/(R$2:R$531=7),A$2:A$531))</f>
        <v>56</v>
      </c>
      <c r="AX535" s="96">
        <f>IF(COUNTIF(R:R,8)=0,"从未出现",A531-LOOKUP(2,1/(R$2:R$531=8),A$2:A$531))</f>
        <v>46</v>
      </c>
      <c r="AY535" s="96">
        <f>IF(COUNTIF(R:R,9)=0,"从未出现",A531-LOOKUP(2,1/(R$2:R$531=9),A$2:A$531))</f>
        <v>64</v>
      </c>
      <c r="AZ535" s="73">
        <f>IF(COUNTIF(S:S,0)=0,"从未出现",A531-LOOKUP(2,1/(S$2:S$531=0),A$2:A$531))</f>
        <v>3</v>
      </c>
      <c r="BA535" s="73">
        <f>IF(COUNTIF(S:S,1)=0,"从未出现",A531-LOOKUP(2,1/(S$2:S$531=1),A$2:A$531))</f>
        <v>1</v>
      </c>
      <c r="BB535" s="73">
        <f>IF(COUNTIF(S:S,2)=0,"从未出现",A531-LOOKUP(2,1/(S$2:S$531=2),A$2:A$531))</f>
        <v>0</v>
      </c>
      <c r="BC535" s="73">
        <f>IF(COUNTIF(S:S,3)=0,"从未出现",A531-LOOKUP(2,1/(S$2:S$531=3),A$2:A$531))</f>
        <v>7</v>
      </c>
      <c r="BD535" s="73">
        <f>IF(COUNTIF(S:S,4)=0,"从未出现",A531-LOOKUP(2,1/(S$2:S$531=4),A$2:A$531))</f>
        <v>4</v>
      </c>
      <c r="BE535" s="73">
        <f>IF(COUNTIF(S:S,5)=0,"从未出现",A531-LOOKUP(2,1/(S$2:S$531=5),A$2:A$531))</f>
        <v>15</v>
      </c>
      <c r="BF535" s="73">
        <f>IF(COUNTIF(S:S,6)=0,"从未出现",A531-LOOKUP(2,1/(S$2:S$531=6),A$2:A$531))</f>
        <v>2</v>
      </c>
      <c r="BG535" s="73">
        <f>IF(COUNTIF(S:S,7)=0,"从未出现",A531-LOOKUP(2,1/(S$2:S$531=7),A$2:A$531))</f>
        <v>28</v>
      </c>
      <c r="BH535" s="73">
        <f>IF(COUNTIF(S:S,8)=0,"从未出现",A531-LOOKUP(2,1/(S$2:S$531=8),A$2:A$531))</f>
        <v>36</v>
      </c>
      <c r="BI535" s="73">
        <f>IF(COUNTIF(S:S,9)=0,"从未出现",A531-LOOKUP(2,1/(S$2:S$531=9),A$2:A$531))</f>
        <v>64</v>
      </c>
      <c r="BJ535" s="17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</row>
    <row r="536" spans="1:88" s="6" customFormat="1" ht="30.95" customHeight="1">
      <c r="A536" s="97"/>
      <c r="B536" s="98"/>
      <c r="C536" s="98"/>
      <c r="D536" s="98"/>
      <c r="E536" s="98"/>
      <c r="F536" s="98"/>
      <c r="G536" s="99">
        <f t="array" ref="G536">MAX(FREQUENCY(IF(F$2:F$531=0,ROW(F$2:F$531)),IF(F$2:F$531&lt;&gt;0,ROW(F$2:F$531))))</f>
        <v>1</v>
      </c>
      <c r="H536" s="99">
        <f t="array" ref="H536">MAX(FREQUENCY(IF(F$2:F$531=1,ROW(F$2:F$531)),IF(F$2:F$531&lt;&gt;1,ROW(F$2:F$531))))</f>
        <v>1</v>
      </c>
      <c r="I536" s="99">
        <f t="array" ref="I536">MAX(FREQUENCY(IF(F$2:F$531=2,ROW(F$2:F$531)),IF(F$2:F$531&lt;&gt;2,ROW(F$2:F$531))))</f>
        <v>2</v>
      </c>
      <c r="J536" s="99">
        <f t="array" ref="J536">MAX(FREQUENCY(IF(F$2:F$531=3,ROW(F$2:F$531)),IF(F$2:F$531&lt;&gt;3,ROW(F$2:F$531))))</f>
        <v>2</v>
      </c>
      <c r="K536" s="99">
        <f t="array" ref="K536">MAX(FREQUENCY(IF(F$2:F$531=4,ROW(F$2:F$531)),IF(F$2:F$531&lt;&gt;4,ROW(F$2:F$531))))</f>
        <v>3</v>
      </c>
      <c r="L536" s="99">
        <f t="array" ref="L536">MAX(FREQUENCY(IF(F$2:F$531=5,ROW(F$2:F$531)),IF(F$2:F$531&lt;&gt;5,ROW(F$2:F$531))))</f>
        <v>3</v>
      </c>
      <c r="M536" s="99">
        <f t="array" ref="M536">MAX(FREQUENCY(IF(F$2:F$531=6,ROW(F$2:F$531)),IF(F$2:F$531&lt;&gt;6,ROW(F$2:F$531))))</f>
        <v>3</v>
      </c>
      <c r="N536" s="99">
        <f t="array" ref="N536">MAX(FREQUENCY(IF(F$2:F$531=7,ROW(F$2:F$531)),IF(F$2:F$531&lt;&gt;7,ROW(F$2:F$531))))</f>
        <v>3</v>
      </c>
      <c r="O536" s="99">
        <f t="array" ref="O536">MAX(FREQUENCY(IF(F$2:F$531=8,ROW(F$2:F$531)),IF(F$2:F$531&lt;&gt;8,ROW(F$2:F$531))))</f>
        <v>2</v>
      </c>
      <c r="P536" s="99">
        <f t="array" ref="P536">MAX(FREQUENCY(IF(F$2:F$531=9,ROW(F$2:F$531)),IF(F$2:F$531&lt;&gt;9,ROW(F$2:F$531))))</f>
        <v>2</v>
      </c>
      <c r="Q536" s="35"/>
      <c r="R536" s="35"/>
      <c r="S536" s="35"/>
      <c r="T536" s="71"/>
      <c r="U536" s="98" t="s">
        <v>436</v>
      </c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79">
        <f t="array" ref="AF536">MAX(FREQUENCY(IF(Q$2:Q$531=0,ROW(Q$2:Q$531)),IF(Q$2:Q$531&lt;&gt;0,ROW(Q$2:Q$531))))</f>
        <v>2</v>
      </c>
      <c r="AG536" s="79">
        <f t="array" ref="AG536">MAX(FREQUENCY(IF(Q$2:Q$531=1,ROW(Q$2:Q$531)),IF(Q$2:Q$531&lt;&gt;1,ROW(Q$2:Q$531))))</f>
        <v>3</v>
      </c>
      <c r="AH536" s="79">
        <f t="array" ref="AH536">MAX(FREQUENCY(IF(Q$2:Q$531=2,ROW(Q$2:Q$531)),IF(Q$2:Q$531&lt;&gt;2,ROW(Q$2:Q$531))))</f>
        <v>4</v>
      </c>
      <c r="AI536" s="79">
        <f t="array" ref="AI536">MAX(FREQUENCY(IF(Q$2:Q$531=3,ROW(Q$2:Q$531)),IF(Q$2:Q$531&lt;&gt;3,ROW(Q$2:Q$531))))</f>
        <v>2</v>
      </c>
      <c r="AJ536" s="79">
        <f t="array" ref="AJ536">MAX(FREQUENCY(IF(Q$2:Q$531=4,ROW(Q$2:Q$531)),IF(Q$2:Q$531&lt;&gt;4,ROW(Q$2:Q$531))))</f>
        <v>2</v>
      </c>
      <c r="AK536" s="79">
        <f t="array" ref="AK536">MAX(FREQUENCY(IF(Q$2:Q$531=5,ROW(Q$2:Q$531)),IF(Q$2:Q$531&lt;&gt;5,ROW(Q$2:Q$531))))</f>
        <v>2</v>
      </c>
      <c r="AL536" s="79">
        <f t="array" ref="AL536">MAX(FREQUENCY(IF(Q$2:Q$531=6,ROW(Q$2:Q$531)),IF(Q$2:Q$531&lt;&gt;6,ROW(Q$2:Q$531))))</f>
        <v>2</v>
      </c>
      <c r="AM536" s="79">
        <f t="array" ref="AM536">MAX(FREQUENCY(IF(Q$2:Q$531=7,ROW(Q$2:Q$531)),IF(Q$2:Q$531&lt;&gt;7,ROW(Q$2:Q$531))))</f>
        <v>2</v>
      </c>
      <c r="AN536" s="79">
        <f t="array" ref="AN536">MAX(FREQUENCY(IF(Q$2:Q$531=8,ROW(Q$2:Q$531)),IF(Q$2:Q$531&lt;&gt;8,ROW(Q$2:Q$531))))</f>
        <v>1</v>
      </c>
      <c r="AO536" s="79">
        <f t="array" ref="AO536">MAX(FREQUENCY(IF(Q$2:Q$531=9,ROW(Q$2:Q$531)),IF(Q$2:Q$531&lt;&gt;9,ROW(Q$2:Q$531))))</f>
        <v>1</v>
      </c>
      <c r="AP536" s="75">
        <f t="array" ref="AP536">MAX(FREQUENCY(IF(R$2:R$531=0,ROW(R$2:R$531)),IF(R$2:R$531&lt;&gt;0,ROW(R$2:R$531))))</f>
        <v>2</v>
      </c>
      <c r="AQ536" s="75">
        <f t="array" ref="AQ536">MAX(FREQUENCY(IF(R$2:R$531=1,ROW(R$2:R$531)),IF(R$2:R$531&lt;&gt;1,ROW(R$2:R$531))))</f>
        <v>3</v>
      </c>
      <c r="AR536" s="75">
        <f t="array" ref="AR536">MAX(FREQUENCY(IF(R$2:R$531=2,ROW(R$2:R$531)),IF(R$2:R$531&lt;&gt;2,ROW(R$2:R$531))))</f>
        <v>4</v>
      </c>
      <c r="AS536" s="75">
        <f t="array" ref="AS536">MAX(FREQUENCY(IF(R$2:R$531=3,ROW(R$2:R$531)),IF(R$2:R$531&lt;&gt;3,ROW(R$2:R$531))))</f>
        <v>2</v>
      </c>
      <c r="AT536" s="75">
        <f t="array" ref="AT536">MAX(FREQUENCY(IF(R$2:R$531=4,ROW(R$2:R$531)),IF(R$2:R$531&lt;&gt;4,ROW(R$2:R$531))))</f>
        <v>2</v>
      </c>
      <c r="AU536" s="75">
        <f t="array" ref="AU536">MAX(FREQUENCY(IF(R$2:R$531=5,ROW(R$2:R$531)),IF(R$2:R$531&lt;&gt;5,ROW(R$2:R$531))))</f>
        <v>2</v>
      </c>
      <c r="AV536" s="75">
        <f t="array" ref="AV536">MAX(FREQUENCY(IF(R$2:R$531=6,ROW(R$2:R$531)),IF(R$2:R$531&lt;&gt;6,ROW(R$2:R$531))))</f>
        <v>2</v>
      </c>
      <c r="AW536" s="75">
        <f t="array" ref="AW536">MAX(FREQUENCY(IF(R$2:R$531=7,ROW(R$2:R$531)),IF(R$2:R$531&lt;&gt;7,ROW(R$2:R$531))))</f>
        <v>2</v>
      </c>
      <c r="AX536" s="75">
        <f t="array" ref="AX536">MAX(FREQUENCY(IF(R$2:R$531=8,ROW(R$2:R$531)),IF(R$2:R$531&lt;&gt;8,ROW(R$2:R$531))))</f>
        <v>1</v>
      </c>
      <c r="AY536" s="75">
        <f t="array" ref="AY536">MAX(FREQUENCY(IF(R$2:R$531=9,ROW(R$2:R$531)),IF(R$2:R$531&lt;&gt;9,ROW(R$2:R$531))))</f>
        <v>2</v>
      </c>
      <c r="AZ536" s="96">
        <f t="array" ref="AZ536">MAX(FREQUENCY(IF(S$2:S$531=0,ROW(S$2:S$531)),IF(S$2:S$531&lt;&gt;0,ROW(S$2:S$531))))</f>
        <v>2</v>
      </c>
      <c r="BA536" s="96">
        <f t="array" ref="BA536">MAX(FREQUENCY(IF(S$2:S$531=1,ROW(S$2:S$531)),IF(S$2:S$531&lt;&gt;1,ROW(S$2:S$531))))</f>
        <v>2</v>
      </c>
      <c r="BB536" s="96">
        <f t="array" ref="BB536">MAX(FREQUENCY(IF(S$2:S$531=2,ROW(S$2:S$531)),IF(S$2:S$531&lt;&gt;2,ROW(S$2:S$531))))</f>
        <v>3</v>
      </c>
      <c r="BC536" s="96">
        <f t="array" ref="BC536">MAX(FREQUENCY(IF(S$2:S$531=3,ROW(S$2:S$531)),IF(S$2:S$531&lt;&gt;3,ROW(S$2:S$531))))</f>
        <v>3</v>
      </c>
      <c r="BD536" s="96">
        <f t="array" ref="BD536">MAX(FREQUENCY(IF(S$2:S$531=4,ROW(S$2:S$531)),IF(S$2:S$531&lt;&gt;4,ROW(S$2:S$531))))</f>
        <v>3</v>
      </c>
      <c r="BE536" s="96">
        <f t="array" ref="BE536">MAX(FREQUENCY(IF(S$2:S$531=5,ROW(S$2:S$531)),IF(S$2:S$531&lt;&gt;5,ROW(S$2:S$531))))</f>
        <v>3</v>
      </c>
      <c r="BF536" s="96">
        <f t="array" ref="BF536">MAX(FREQUENCY(IF(S$2:S$531=6,ROW(S$2:S$531)),IF(S$2:S$531&lt;&gt;6,ROW(S$2:S$531))))</f>
        <v>2</v>
      </c>
      <c r="BG536" s="96">
        <f t="array" ref="BG536">MAX(FREQUENCY(IF(S$2:S$531=7,ROW(S$2:S$531)),IF(S$2:S$531&lt;&gt;7,ROW(S$2:S$531))))</f>
        <v>3</v>
      </c>
      <c r="BH536" s="96">
        <f t="array" ref="BH536">MAX(FREQUENCY(IF(S$2:S$531=8,ROW(S$2:S$531)),IF(S$2:S$531&lt;&gt;8,ROW(S$2:S$531))))</f>
        <v>2</v>
      </c>
      <c r="BI536" s="96">
        <f t="array" ref="BI536">MAX(FREQUENCY(IF(S$2:S$531=9,ROW(S$2:S$531)),IF(S$2:S$531&lt;&gt;9,ROW(S$2:S$531))))</f>
        <v>1</v>
      </c>
      <c r="BJ536" s="17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</row>
    <row r="537" spans="1:88" ht="15">
      <c r="B537"/>
      <c r="C537"/>
      <c r="D537"/>
      <c r="E537"/>
      <c r="F537"/>
      <c r="T537"/>
      <c r="U537"/>
      <c r="V537"/>
      <c r="W537"/>
      <c r="X537"/>
      <c r="Y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</row>
    <row r="538" spans="1:88" ht="15">
      <c r="B538"/>
      <c r="C538"/>
      <c r="D538"/>
      <c r="E538"/>
      <c r="F538"/>
      <c r="T538"/>
      <c r="U538"/>
      <c r="V538"/>
      <c r="W538"/>
      <c r="X538"/>
      <c r="Y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</row>
    <row r="539" spans="1:88" ht="15">
      <c r="B539"/>
      <c r="C539"/>
      <c r="D539"/>
      <c r="E539"/>
      <c r="F539"/>
      <c r="T539"/>
      <c r="U539"/>
      <c r="V539"/>
      <c r="W539"/>
      <c r="X539"/>
      <c r="Y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</row>
    <row r="540" spans="1:88" ht="15">
      <c r="B540"/>
      <c r="C540"/>
      <c r="D540"/>
      <c r="E540"/>
      <c r="F540"/>
      <c r="T540"/>
      <c r="U540"/>
      <c r="V540"/>
      <c r="W540"/>
      <c r="X540"/>
      <c r="Y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</row>
    <row r="541" spans="1:88" ht="15">
      <c r="B541"/>
      <c r="C541"/>
      <c r="D541"/>
      <c r="E541"/>
      <c r="F541"/>
      <c r="T541"/>
      <c r="U541"/>
      <c r="V541"/>
      <c r="W541"/>
      <c r="X541"/>
      <c r="Y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</row>
    <row r="542" spans="1:88" ht="15">
      <c r="B542"/>
      <c r="C542"/>
      <c r="D542"/>
      <c r="E542"/>
      <c r="F542"/>
      <c r="T542"/>
      <c r="U542"/>
      <c r="V542"/>
      <c r="W542"/>
      <c r="X542"/>
      <c r="Y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</row>
    <row r="543" spans="1:88" ht="15">
      <c r="B543"/>
      <c r="C543"/>
      <c r="D543"/>
      <c r="E543"/>
      <c r="F543"/>
      <c r="T543"/>
      <c r="U543"/>
      <c r="V543"/>
      <c r="W543"/>
      <c r="X543"/>
      <c r="Y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</row>
    <row r="544" spans="1:88">
      <c r="B544" s="100"/>
      <c r="C544"/>
      <c r="D544"/>
      <c r="E544"/>
      <c r="F544"/>
      <c r="T544"/>
      <c r="U544"/>
      <c r="V544"/>
      <c r="W544"/>
      <c r="X544"/>
      <c r="Y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</row>
    <row r="545" spans="2:88">
      <c r="B545" s="100"/>
      <c r="C545"/>
      <c r="D545"/>
      <c r="E545"/>
      <c r="F545"/>
      <c r="R545" t="s">
        <v>437</v>
      </c>
      <c r="T545"/>
      <c r="U545"/>
      <c r="V545"/>
      <c r="W545"/>
      <c r="X545"/>
      <c r="Y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</row>
    <row r="546" spans="2:88">
      <c r="B546" s="100"/>
      <c r="C546"/>
      <c r="D546"/>
      <c r="E546"/>
      <c r="F546"/>
      <c r="T546"/>
      <c r="U546"/>
      <c r="V546"/>
      <c r="W546"/>
      <c r="X546"/>
      <c r="Y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</row>
    <row r="547" spans="2:88">
      <c r="B547" s="100"/>
      <c r="C547"/>
      <c r="D547"/>
      <c r="E547"/>
      <c r="F547"/>
      <c r="T547"/>
      <c r="U547"/>
      <c r="V547"/>
      <c r="W547"/>
      <c r="X547"/>
      <c r="Y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</row>
    <row r="548" spans="2:88">
      <c r="B548" s="100"/>
      <c r="C548"/>
      <c r="D548"/>
      <c r="E548"/>
      <c r="F548"/>
      <c r="T548"/>
      <c r="U548"/>
      <c r="V548"/>
      <c r="W548"/>
      <c r="X548"/>
      <c r="Y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</row>
    <row r="549" spans="2:88">
      <c r="B549" s="100"/>
      <c r="C549"/>
      <c r="D549"/>
      <c r="E549"/>
      <c r="F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</row>
    <row r="550" spans="2:88">
      <c r="B550" s="100"/>
      <c r="C550"/>
      <c r="D550"/>
      <c r="E550"/>
      <c r="F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</row>
    <row r="551" spans="2:88">
      <c r="B551" s="100"/>
      <c r="C551"/>
      <c r="D551"/>
      <c r="E551"/>
      <c r="F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</row>
    <row r="552" spans="2:88">
      <c r="B552" s="100"/>
      <c r="C552"/>
      <c r="D552"/>
      <c r="E552"/>
      <c r="F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</row>
    <row r="553" spans="2:88">
      <c r="B553" s="100"/>
      <c r="C553"/>
      <c r="D553"/>
      <c r="E553"/>
      <c r="F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</row>
    <row r="554" spans="2:88">
      <c r="B554" s="100"/>
      <c r="C554"/>
      <c r="D554"/>
      <c r="E554"/>
      <c r="F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</row>
    <row r="555" spans="2:88">
      <c r="B555" s="100"/>
      <c r="C555"/>
      <c r="D555"/>
      <c r="E555"/>
      <c r="F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</row>
    <row r="556" spans="2:88">
      <c r="B556" s="100"/>
      <c r="C556"/>
      <c r="D556"/>
      <c r="E556"/>
      <c r="F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</row>
    <row r="557" spans="2:88">
      <c r="B557" s="100"/>
      <c r="C557"/>
      <c r="D557"/>
      <c r="E557"/>
      <c r="F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</row>
    <row r="558" spans="2:88">
      <c r="B558" s="100"/>
      <c r="C558"/>
      <c r="D558"/>
      <c r="E558"/>
      <c r="F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</row>
    <row r="559" spans="2:88">
      <c r="B559" s="100"/>
      <c r="C559"/>
      <c r="D559"/>
      <c r="E559"/>
      <c r="F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</row>
    <row r="560" spans="2:88">
      <c r="B560" s="100"/>
      <c r="C560"/>
      <c r="D560"/>
      <c r="E560"/>
      <c r="F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</row>
    <row r="561" spans="2:88">
      <c r="B561" s="100"/>
      <c r="C561"/>
      <c r="D561"/>
      <c r="E561"/>
      <c r="F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</row>
    <row r="562" spans="2:88">
      <c r="B562" s="100"/>
      <c r="C562"/>
      <c r="D562"/>
      <c r="E562"/>
      <c r="F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</row>
    <row r="563" spans="2:88">
      <c r="B563" s="100"/>
      <c r="C563"/>
      <c r="D563"/>
      <c r="E563"/>
      <c r="F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</row>
    <row r="564" spans="2:88">
      <c r="B564" s="100"/>
      <c r="C564"/>
      <c r="D564"/>
      <c r="E564"/>
      <c r="F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</row>
    <row r="565" spans="2:88">
      <c r="B565" s="100"/>
      <c r="C565"/>
      <c r="D565"/>
      <c r="E565"/>
      <c r="F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</row>
    <row r="566" spans="2:88">
      <c r="B566" s="100"/>
      <c r="C566"/>
      <c r="D566"/>
      <c r="E566"/>
      <c r="F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</row>
    <row r="567" spans="2:88">
      <c r="B567" s="100"/>
      <c r="C567"/>
      <c r="D567"/>
      <c r="E567"/>
      <c r="F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</row>
    <row r="568" spans="2:88">
      <c r="B568" s="100"/>
      <c r="C568"/>
      <c r="D568"/>
      <c r="E568"/>
      <c r="F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</row>
    <row r="569" spans="2:88">
      <c r="B569" s="100"/>
      <c r="C569"/>
      <c r="D569"/>
      <c r="E569"/>
      <c r="F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</row>
    <row r="570" spans="2:88">
      <c r="B570" s="100"/>
      <c r="C570"/>
      <c r="D570"/>
      <c r="E570"/>
      <c r="F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</row>
    <row r="571" spans="2:88">
      <c r="B571" s="100"/>
      <c r="C571"/>
      <c r="D571"/>
      <c r="E571"/>
      <c r="F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</row>
    <row r="572" spans="2:88">
      <c r="B572" s="100"/>
      <c r="C572"/>
      <c r="D572"/>
      <c r="E572"/>
      <c r="F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</row>
    <row r="573" spans="2:88">
      <c r="B573" s="100"/>
      <c r="C573"/>
      <c r="D573"/>
      <c r="E573"/>
      <c r="F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</row>
    <row r="574" spans="2:88">
      <c r="B574" s="100"/>
      <c r="C574"/>
      <c r="D574"/>
      <c r="E574"/>
      <c r="F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</row>
    <row r="575" spans="2:88">
      <c r="B575" s="100"/>
      <c r="C575"/>
      <c r="D575"/>
      <c r="E575"/>
      <c r="F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</row>
    <row r="576" spans="2:88">
      <c r="B576" s="100"/>
      <c r="C576"/>
      <c r="D576"/>
      <c r="E576"/>
      <c r="F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</row>
    <row r="577" spans="1:88">
      <c r="B577" s="100"/>
      <c r="C577"/>
      <c r="D577"/>
      <c r="E577"/>
      <c r="F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</row>
    <row r="578" spans="1:88">
      <c r="B578" s="100"/>
      <c r="C578"/>
      <c r="D578"/>
      <c r="E578"/>
      <c r="F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</row>
    <row r="579" spans="1:88">
      <c r="B579" s="100"/>
      <c r="C579"/>
      <c r="D579"/>
      <c r="E579"/>
      <c r="F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</row>
    <row r="580" spans="1:88">
      <c r="B580" s="100"/>
      <c r="C580"/>
      <c r="D580"/>
      <c r="E580"/>
      <c r="F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</row>
    <row r="581" spans="1:88">
      <c r="B581" s="100"/>
      <c r="C581"/>
      <c r="D581"/>
      <c r="E581"/>
      <c r="F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</row>
    <row r="582" spans="1:88" ht="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</row>
    <row r="583" spans="1:88" ht="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</row>
    <row r="584" spans="1:88" ht="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</row>
    <row r="585" spans="1:88">
      <c r="T585"/>
      <c r="U585"/>
    </row>
    <row r="586" spans="1:88">
      <c r="T586"/>
      <c r="U586"/>
    </row>
    <row r="587" spans="1:88">
      <c r="T587"/>
      <c r="U587"/>
    </row>
    <row r="588" spans="1:88">
      <c r="T588"/>
      <c r="U588"/>
    </row>
    <row r="589" spans="1:88">
      <c r="T589"/>
      <c r="U589"/>
    </row>
    <row r="590" spans="1:88">
      <c r="T590"/>
      <c r="U590"/>
    </row>
    <row r="591" spans="1:88">
      <c r="T591"/>
      <c r="U591"/>
    </row>
    <row r="592" spans="1:88">
      <c r="T592"/>
      <c r="U592"/>
    </row>
  </sheetData>
  <mergeCells count="12">
    <mergeCell ref="CC1:CF1"/>
    <mergeCell ref="CG1:CJ1"/>
    <mergeCell ref="G2:P2"/>
    <mergeCell ref="V2:AE2"/>
    <mergeCell ref="AF2:AO2"/>
    <mergeCell ref="AP2:AY2"/>
    <mergeCell ref="AZ2:BI2"/>
    <mergeCell ref="A1:BI1"/>
    <mergeCell ref="BM1:BO1"/>
    <mergeCell ref="BQ1:BS1"/>
    <mergeCell ref="BU1:BW1"/>
    <mergeCell ref="BY1:CB1"/>
  </mergeCells>
  <phoneticPr fontId="14" type="noConversion"/>
  <conditionalFormatting sqref="C2:C531">
    <cfRule type="expression" dxfId="31" priority="22">
      <formula>MOD(C2,2)=0</formula>
    </cfRule>
  </conditionalFormatting>
  <conditionalFormatting sqref="C582:C1048576">
    <cfRule type="expression" dxfId="30" priority="117">
      <formula>MOD(C582,2)=0</formula>
    </cfRule>
  </conditionalFormatting>
  <conditionalFormatting sqref="D2:D531">
    <cfRule type="expression" dxfId="29" priority="21">
      <formula>MOD(D2,2)=0</formula>
    </cfRule>
  </conditionalFormatting>
  <conditionalFormatting sqref="D582:D1048576">
    <cfRule type="expression" dxfId="28" priority="116">
      <formula>MOD(D582,2)=0</formula>
    </cfRule>
  </conditionalFormatting>
  <conditionalFormatting sqref="F2:F531">
    <cfRule type="expression" dxfId="27" priority="20">
      <formula>MOD(F2,2)=0</formula>
    </cfRule>
  </conditionalFormatting>
  <conditionalFormatting sqref="F582:F1048576">
    <cfRule type="expression" dxfId="26" priority="115">
      <formula>MOD(F582,2)=0</formula>
    </cfRule>
  </conditionalFormatting>
  <conditionalFormatting sqref="G3:P531">
    <cfRule type="expression" dxfId="25" priority="14">
      <formula>G3=$F3</formula>
    </cfRule>
  </conditionalFormatting>
  <conditionalFormatting sqref="Q2:Q531">
    <cfRule type="expression" dxfId="24" priority="19">
      <formula>MOD(Q2,2)=0</formula>
    </cfRule>
  </conditionalFormatting>
  <conditionalFormatting sqref="Q593:Q1048576">
    <cfRule type="expression" dxfId="23" priority="114">
      <formula>MOD(Q593,2)=0</formula>
    </cfRule>
  </conditionalFormatting>
  <conditionalFormatting sqref="R2:R531">
    <cfRule type="expression" dxfId="22" priority="18">
      <formula>MOD(R2,2)=0</formula>
    </cfRule>
  </conditionalFormatting>
  <conditionalFormatting sqref="R593:R1048576">
    <cfRule type="expression" dxfId="21" priority="113">
      <formula>MOD(R593,2)=0</formula>
    </cfRule>
  </conditionalFormatting>
  <conditionalFormatting sqref="S2:S531">
    <cfRule type="expression" dxfId="20" priority="17">
      <formula>MOD(S2,2)=0</formula>
    </cfRule>
  </conditionalFormatting>
  <conditionalFormatting sqref="S593:S1048576">
    <cfRule type="expression" dxfId="19" priority="112">
      <formula>MOD(S593,2)=0</formula>
    </cfRule>
  </conditionalFormatting>
  <conditionalFormatting sqref="V3:AE531">
    <cfRule type="expression" dxfId="18" priority="26">
      <formula>AND(V3&lt;&gt;"",ISNUMBER(FIND(V3,$U3)))</formula>
    </cfRule>
  </conditionalFormatting>
  <conditionalFormatting sqref="AF3:AO531">
    <cfRule type="expression" dxfId="17" priority="25">
      <formula>AND(AF3&lt;&gt;"",ISNUMBER(FIND(AF3,$Q3)))</formula>
    </cfRule>
  </conditionalFormatting>
  <conditionalFormatting sqref="AP3:AY531">
    <cfRule type="expression" dxfId="16" priority="24">
      <formula>AND(AP3&lt;&gt;"",ISNUMBER(FIND(AP3,$R3)))</formula>
    </cfRule>
  </conditionalFormatting>
  <conditionalFormatting sqref="AZ3:BI531">
    <cfRule type="expression" dxfId="15" priority="23">
      <formula>AND(AZ3&lt;&gt;"",ISNUMBER(FIND(AZ3,$S3)))</formula>
    </cfRule>
  </conditionalFormatting>
  <conditionalFormatting sqref="BJ2:BJ2625">
    <cfRule type="expression" dxfId="14" priority="1">
      <formula>$BJ2="对子"</formula>
    </cfRule>
  </conditionalFormatting>
  <conditionalFormatting sqref="BJ2:BJ1048576">
    <cfRule type="expression" dxfId="13" priority="15">
      <formula>$BJ2="紧凑型"</formula>
    </cfRule>
    <cfRule type="expression" dxfId="12" priority="16">
      <formula>$BJ2="松散型"</formula>
    </cfRule>
  </conditionalFormatting>
  <conditionalFormatting sqref="BP3:BP1048576">
    <cfRule type="expression" dxfId="11" priority="13">
      <formula>$BP3="中中中"</formula>
    </cfRule>
    <cfRule type="expression" dxfId="10" priority="12">
      <formula>$BP3="复隔中"</formula>
    </cfRule>
    <cfRule type="expression" dxfId="9" priority="11">
      <formula>$BP3="复中中"</formula>
    </cfRule>
  </conditionalFormatting>
  <conditionalFormatting sqref="BT3:BT1048576">
    <cfRule type="expression" dxfId="8" priority="10">
      <formula>$BT3="中中中"</formula>
    </cfRule>
    <cfRule type="expression" dxfId="7" priority="9">
      <formula>$BT3="复隔中"</formula>
    </cfRule>
    <cfRule type="expression" dxfId="6" priority="8">
      <formula>$BT3="复中中"</formula>
    </cfRule>
  </conditionalFormatting>
  <conditionalFormatting sqref="BX3:BX1048576">
    <cfRule type="expression" dxfId="5" priority="7">
      <formula>$BX3="复隔中"</formula>
    </cfRule>
    <cfRule type="expression" dxfId="4" priority="6">
      <formula>$BX3="中中中"</formula>
    </cfRule>
    <cfRule type="expression" dxfId="3" priority="5">
      <formula>$BX3="复中中"</formula>
    </cfRule>
  </conditionalFormatting>
  <conditionalFormatting sqref="CB3:CB48425">
    <cfRule type="expression" dxfId="2" priority="4">
      <formula>$CB3="邻孤孤"</formula>
    </cfRule>
  </conditionalFormatting>
  <conditionalFormatting sqref="CF3:CF8614">
    <cfRule type="expression" dxfId="1" priority="3">
      <formula>$CF3="邻孤孤"</formula>
    </cfRule>
  </conditionalFormatting>
  <conditionalFormatting sqref="CJ3:CJ6638">
    <cfRule type="expression" dxfId="0" priority="2">
      <formula>$CJ3="邻孤孤"</formula>
    </cfRule>
  </conditionalFormatting>
  <pageMargins left="0.7" right="0.7" top="0.75" bottom="0.75" header="0.3" footer="0.3"/>
  <pageSetup paperSize="9" scale="73" fitToHeight="0" orientation="landscape"/>
  <ignoredErrors>
    <ignoredError sqref="B3:B524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8C90BA-5D86-4586-8D56-248209F9D765}"/>
</file>

<file path=customXml/itemProps2.xml><?xml version="1.0" encoding="utf-8"?>
<ds:datastoreItem xmlns:ds="http://schemas.openxmlformats.org/officeDocument/2006/customXml" ds:itemID="{A258D3F2-B3DD-4EB1-8E15-CFB59EA7D65A}"/>
</file>

<file path=customXml/itemProps3.xml><?xml version="1.0" encoding="utf-8"?>
<ds:datastoreItem xmlns:ds="http://schemas.openxmlformats.org/officeDocument/2006/customXml" ds:itemID="{D272F9A0-5A50-4AE3-B757-448A99AE0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何 星莹</dc:creator>
  <cp:keywords/>
  <dc:description/>
  <cp:lastModifiedBy>许裕苧</cp:lastModifiedBy>
  <cp:revision/>
  <dcterms:created xsi:type="dcterms:W3CDTF">2025-11-09T05:54:00Z</dcterms:created>
  <dcterms:modified xsi:type="dcterms:W3CDTF">2026-02-06T14:07:19Z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3FBAF388B79A4D8197C2BADD9D578F4A_12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
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数据录入_优化版" sheetId="1" r:id="rId1"/>
    <sheet name="动态阈值分析" sheetId="2" r:id="rId2"/>
    <sheet name="多维度分析" sheetId="3" r:id="rId3"/>
    <sheet name="智能预测" sheetId="4" r:id="rId4"/>
    <sheet name="使用说明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<sst xmlns="http://schemas.openxmlformats.org/spreadsheetml/2006/main" count="149" uniqueCount="114">
  <si>
    <t>期号</t>
  </si>
  <si>
    <t>开奖号码</t>
  </si>
  <si>
    <t>百位</t>
  </si>
  <si>
    <t>十位</t>
  </si>
  <si>
    <t>个位</t>
  </si>
  <si>
    <t>和值</t>
  </si>
  <si>
    <t>和尾</t>
  </si>
  <si>
    <t>跨度</t>
  </si>
  <si>
    <t>和跨比</t>
  </si>
  <si>
    <t>奇偶比</t>
  </si>
  <si>
    <t>大小比</t>
  </si>
  <si>
    <t>质合比</t>
  </si>
  <si>
    <t>连号个数</t>
  </si>
  <si>
    <t>综合评分</t>
  </si>
  <si>
    <t>传统形态</t>
  </si>
  <si>
    <t>优化形态</t>
  </si>
  <si>
    <t>数据验证</t>
  </si>
  <si>
    <t>异常标识</t>
  </si>
  <si>
    <t>开奖日期</t>
  </si>
  <si>
    <t>备注</t>
  </si>
  <si>
    <t>2025321</t>
  </si>
  <si>
    <t>123</t>
  </si>
  <si>
    <t>2025322</t>
  </si>
  <si>
    <t>456</t>
  </si>
  <si>
    <t>2025323</t>
  </si>
  <si>
    <t>789</t>
  </si>
  <si>
    <t>动态阈值分析系统</t>
  </si>
  <si>
    <t>参数设置</t>
  </si>
  <si>
    <t>分析窗口期数:</t>
  </si>
  <si>
    <t>更新频率:</t>
  </si>
  <si>
    <t>每10期</t>
  </si>
  <si>
    <t>动态阈值计算</t>
  </si>
  <si>
    <t>当前数据量</t>
  </si>
  <si>
    <t>分析窗口起点</t>
  </si>
  <si>
    <t>松散/标准阈值</t>
  </si>
  <si>
    <t>标准/紧凑阈值</t>
  </si>
  <si>
    <t>紧凑/极紧凑阈值</t>
  </si>
  <si>
    <t>阈值稳定性</t>
  </si>
  <si>
    <t>阈值应用建议</t>
  </si>
  <si>
    <t>当前建议</t>
  </si>
  <si>
    <t>数据质量</t>
  </si>
  <si>
    <t>更新建议</t>
  </si>
  <si>
    <t>多维度综合分析</t>
  </si>
  <si>
    <t>和跨比分析</t>
  </si>
  <si>
    <t>平均值</t>
  </si>
  <si>
    <t>标准差</t>
  </si>
  <si>
    <t>最大值</t>
  </si>
  <si>
    <t>最小值</t>
  </si>
  <si>
    <t>变异系数</t>
  </si>
  <si>
    <t>奇偶比分析</t>
  </si>
  <si>
    <t>大小比分析</t>
  </si>
  <si>
    <t>质合比分析</t>
  </si>
  <si>
    <t>连号分析</t>
  </si>
  <si>
    <t>维度重要性评估</t>
  </si>
  <si>
    <t>维度</t>
  </si>
  <si>
    <t>预测贡献</t>
  </si>
  <si>
    <t>权重建议</t>
  </si>
  <si>
    <t>40%</t>
  </si>
  <si>
    <t>0.4</t>
  </si>
  <si>
    <t>20%</t>
  </si>
  <si>
    <t>0.2</t>
  </si>
  <si>
    <t>10%</t>
  </si>
  <si>
    <t>0.1</t>
  </si>
  <si>
    <t>连号数</t>
  </si>
  <si>
    <t>智能预测系统</t>
  </si>
  <si>
    <t>当前状态分析</t>
  </si>
  <si>
    <t>最新期号</t>
  </si>
  <si>
    <t>最新号码</t>
  </si>
  <si>
    <t>异常状态</t>
  </si>
  <si>
    <t>预测模型评估</t>
  </si>
  <si>
    <t>模型</t>
  </si>
  <si>
    <t>预测形态</t>
  </si>
  <si>
    <t>置信度(%)</t>
  </si>
  <si>
    <t>适用条件</t>
  </si>
  <si>
    <t>建议权重</t>
  </si>
  <si>
    <t>传统方法</t>
  </si>
  <si>
    <t>75</t>
  </si>
  <si>
    <t>数据稳定</t>
  </si>
  <si>
    <t>0.3</t>
  </si>
  <si>
    <t>多维综合</t>
  </si>
  <si>
    <t>85</t>
  </si>
  <si>
    <t>数据充足</t>
  </si>
  <si>
    <t>动态阈值</t>
  </si>
  <si>
    <t>80</t>
  </si>
  <si>
    <t>趋势明显</t>
  </si>
  <si>
    <t>异常检测</t>
  </si>
  <si>
    <t>70</t>
  </si>
  <si>
    <t>异常识别</t>
  </si>
  <si>
    <t>最终预测结果</t>
  </si>
  <si>
    <t>推荐形态:</t>
  </si>
  <si>
    <t>综合置信度:</t>
  </si>
  <si>
    <t>风险评估:</t>
  </si>
  <si>
    <t>优化版形态分析Excel使用说明</t>
  </si>
  <si>
    <t>【主要优化功能】</t>
  </si>
  <si>
    <t>✅ 多维度形态分析：不仅仅依赖和跨比，增加奇偶比、大小比、质合比等</t>
  </si>
  <si>
    <t>✅ 数据验证系统：自动检测输入错误，提高数据质量</t>
  </si>
  <si>
    <t>✅ 动态阈值调整：根据最近数据自动调整判断标准</t>
  </si>
  <si>
    <t>✅ 异常检测功能：及时发现异常数据和模式</t>
  </si>
  <si>
    <t>✅ 智能预测系统：集成多种算法提高预测准确性</t>
  </si>
  <si>
    <t>✅ 综合评分机制：多维度加权计算，更科学的形态判断</t>
  </si>
  <si>
    <t>【使用方法】</t>
  </si>
  <si>
    <t>1. 在'数据录入_优化版'工作表输入期号和开奖号码</t>
  </si>
  <si>
    <t>2. 系统自动计算多维度指标和综合评分</t>
  </si>
  <si>
    <t>3. 查看'动态阈值分析'了解当前判断标准</t>
  </si>
  <si>
    <t>4. 参考'多维度分析'了解各指标表现</t>
  </si>
  <si>
    <t>5. 使用'智能预测'获取下期预测建议</t>
  </si>
  <si>
    <t>6. 定期检查数据验证和异常标识列</t>
  </si>
  <si>
    <t>【核心公式说明】</t>
  </si>
  <si>
    <t>• 奇偶比 = (奇数位个数) / 3</t>
  </si>
  <si>
    <t>• 大小比 = (大数位个数) / 3  (大数：5-9)</t>
  </si>
  <si>
    <t>• 质合比 = (质数位个数) / 3  (质数：2,3,5,7)</t>
  </si>
  <si>
    <t>• 连号个数 = 相邻位数字差值为1的个数</t>
  </si>
  <si>
    <t>• 综合评分 = 和跨比×0.4 + 奇偶比×0.2 + 大小比×0.2 + 质合比×0.1 + (3-连号数)×0.1</t>
  </si>
  <si>
    <t>• 优化形态 = 基于综合评分的四分位数判断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</si>
</sst>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4"/>
      <name val="宋体"/>
      <charset val="134"/>
      <scheme val="minor"/>
    </font>
    <font>
      <sz val="11"/>
      <color rgb="FF008000"/>
      <name val="宋体"/>
      <charset val="134"/>
      <scheme val="minor"/>
    </font>
    <font>
      <sz val="10"/>
      <name val="Consolas"/>
      <charset val="134"/>
    </font>
    <font>
      <b/>
      <sz val="12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7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6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tabSelected="1" workbookViewId="0">
      <selection activeCell="A1" sqref="A1"/>
    </sheetView>
  </sheetViews>
  <sheetFormatPr defaultColWidth="9" defaultRowHeight="13.5" outlineLevelRow="3"/>
  <cols>
    <col min="1" max="20" width="12" customWidth="1"/>
  </cols>
  <sheetData>
    <row r="1" ht="25" customHeight="1" spans="1:2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</row>
    <row r="2" spans="1:20">
      <c r="A2" s="9" t="s">
        <v>20</v>
      </c>
      <c r="B2" s="9" t="s">
        <v>21</v>
      </c>
      <c r="C2" s="9">
        <f>IF(B2="","",LEFT(TEXT(B2,"000"),1)*1)</f>
        <v>1</v>
      </c>
      <c r="D2" s="9">
        <f>IF(B2="","",MID(TEXT(B2,"000"),2,1)*1)</f>
        <v>2</v>
      </c>
      <c r="E2" s="9">
        <f>IF(B2="","",RIGHT(TEXT(B2,"000"),1)*1)</f>
        <v>3</v>
      </c>
      <c r="F2" s="9">
        <f>IF(B2="","",C2+D2+E2)</f>
        <v>6</v>
      </c>
      <c r="G2" s="9">
        <f>IF(B2="","",MOD(F2,10))</f>
        <v>6</v>
      </c>
      <c r="H2" s="9">
        <f>IF(B2="","",MAX(C2,D2,E2)-MIN(C2,D2,E2))</f>
        <v>2</v>
      </c>
      <c r="I2" s="9">
        <f>IF(OR(B2="",H2=0),IF(H2=0,0.1,""),ROUND(F2/H2,2))</f>
        <v>3</v>
      </c>
      <c r="J2" s="9">
        <f>IF(B2="","",ROUND((MOD(C2,2)+MOD(D2,2)+MOD(E2,2))/3,2))</f>
        <v>0.67</v>
      </c>
      <c r="K2" s="9">
        <f>IF(B2="","",ROUND(((C2&gt;=5)+(D2&gt;=5)+(E2&gt;=5))/3,2))</f>
        <v>0</v>
      </c>
      <c r="L2" s="9">
        <f>IF(B2="","",ROUND((OR(C2=2,C2=3,C2=5,C2=7)+OR(D2=2,D2=3,D2=5,D2=7)+OR(E2=2,E2=3,E2=5,E2=7))/3,2))</f>
        <v>0.67</v>
      </c>
      <c r="M2" s="9">
        <f>IF(B2="","",IF(ABS(C2-D2)=1,1,0)+IF(ABS(D2-E2)=1,1,0))</f>
        <v>2</v>
      </c>
      <c r="N2" s="9">
        <f>IF(B2="","",ROUND(I2*0.4+J2*0.2+K2*0.2+L2*0.1+(3-M2)*0.1,2))</f>
        <v>1.5</v>
      </c>
      <c r="O2" s="9" t="str">
        <f>IF(B2="","",IF(I2=0.1,"极紧凑",IF(I2&gt;3.5,"紧凑",IF(AND(I2&gt;=2,I2&lt;=3.5),"标准",IF(AND(I2&gt;=1,I2&lt;2),"松散","")))))</f>
        <v>标准</v>
      </c>
      <c r="P2" s="9" t="str">
        <f>IF(B2="","",IF(N2&lt;=1,"松散",IF(N2&lt;=2.5,"标准",IF(N2&lt;=4,"紧凑","极紧凑"))))</f>
        <v>标准</v>
      </c>
      <c r="Q2" s="9" t="str">
        <f>IF(AND(LEN(A2)=7,ISNUMBER(A2),B2&gt;=0,B2&lt;=999),"✓有效","✗无效")</f>
        <v>✗无效</v>
      </c>
      <c r="R2" s="9" t="str">
        <f>IF(B2="","",IF(OR(I2&gt;10,I2&lt;0.1),"⚠异常","正常"))</f>
        <v>正常</v>
      </c>
    </row>
    <row r="3" spans="1:20">
      <c r="A3" s="9" t="s">
        <v>22</v>
      </c>
      <c r="B3" s="9" t="s">
        <v>23</v>
      </c>
      <c r="C3" s="9">
        <f>IF(B3="","",LEFT(TEXT(B3,"000"),1)*1)</f>
        <v>4</v>
      </c>
      <c r="D3" s="9">
        <f>IF(B3="","",MID(TEXT(B3,"000"),2,1)*1)</f>
        <v>5</v>
      </c>
      <c r="E3" s="9">
        <f>IF(B3="","",RIGHT(TEXT(B3,"000"),1)*1)</f>
        <v>6</v>
      </c>
      <c r="F3" s="9">
        <f>IF(B3="","",C3+D3+E3)</f>
        <v>15</v>
      </c>
      <c r="G3" s="9">
        <f>IF(B3="","",MOD(F3,10))</f>
        <v>5</v>
      </c>
      <c r="H3" s="9">
        <f>IF(B3="","",MAX(C3,D3,E3)-MIN(C3,D3,E3))</f>
        <v>2</v>
      </c>
      <c r="I3" s="9">
        <f>IF(OR(B3="",H3=0),IF(H3=0,0.1,""),ROUND(F3/H3,2))</f>
        <v>7.5</v>
      </c>
      <c r="J3" s="9">
        <f>IF(B3="","",ROUND((MOD(C3,2)+MOD(D3,2)+MOD(E3,2))/3,2))</f>
        <v>0.33</v>
      </c>
      <c r="K3" s="9">
        <f>IF(B3="","",ROUND(((C3&gt;=5)+(D3&gt;=5)+(E3&gt;=5))/3,2))</f>
        <v>0.67</v>
      </c>
      <c r="L3" s="9">
        <f>IF(B3="","",ROUND((OR(C3=2,C3=3,C3=5,C3=7)+OR(D3=2,D3=3,D3=5,D3=7)+OR(E3=2,E3=3,E3=5,E3=7))/3,2))</f>
        <v>0.33</v>
      </c>
      <c r="M3" s="9">
        <f>IF(B3="","",IF(ABS(C3-D3)=1,1,0)+IF(ABS(D3-E3)=1,1,0))</f>
        <v>2</v>
      </c>
      <c r="N3" s="9">
        <f>IF(B3="","",ROUND(I3*0.4+J3*0.2+K3*0.2+L3*0.1+(3-M3)*0.1,2))</f>
        <v>3.33</v>
      </c>
      <c r="O3" s="9" t="str">
        <f>IF(B3="","",IF(I3=0.1,"极紧凑",IF(I3&gt;3.5,"紧凑",IF(AND(I3&gt;=2,I3&lt;=3.5),"标准",IF(AND(I3&gt;=1,I3&lt;2),"松散","")))))</f>
        <v>紧凑</v>
      </c>
      <c r="P3" s="9" t="str">
        <f>IF(B3="","",IF(N3&lt;=1,"松散",IF(N3&lt;=2.5,"标准",IF(N3&lt;=4,"紧凑","极紧凑"))))</f>
        <v>紧凑</v>
      </c>
      <c r="Q3" s="9" t="str">
        <f>IF(AND(LEN(A3)=7,ISNUMBER(A3),B3&gt;=0,B3&lt;=999),"✓有效","✗无效")</f>
        <v>✗无效</v>
      </c>
      <c r="R3" s="9" t="str">
        <f>IF(B3="","",IF(OR(I3&gt;10,I3&lt;0.1),"⚠异常","正常"))</f>
        <v>正常</v>
      </c>
    </row>
    <row r="4" spans="1:20">
      <c r="A4" s="9" t="s">
        <v>24</v>
      </c>
      <c r="B4" s="9" t="s">
        <v>25</v>
      </c>
      <c r="C4" s="9">
        <f>IF(B4="","",LEFT(TEXT(B4,"000"),1)*1)</f>
        <v>7</v>
      </c>
      <c r="D4" s="9">
        <f>IF(B4="","",MID(TEXT(B4,"000"),2,1)*1)</f>
        <v>8</v>
      </c>
      <c r="E4" s="9">
        <f>IF(B4="","",RIGHT(TEXT(B4,"000"),1)*1)</f>
        <v>9</v>
      </c>
      <c r="F4" s="9">
        <f>IF(B4="","",C4+D4+E4)</f>
        <v>24</v>
      </c>
      <c r="G4" s="9">
        <f>IF(B4="","",MOD(F4,10))</f>
        <v>4</v>
      </c>
      <c r="H4" s="9">
        <f>IF(B4="","",MAX(C4,D4,E4)-MIN(C4,D4,E4))</f>
        <v>2</v>
      </c>
      <c r="I4" s="9">
        <f>IF(OR(B4="",H4=0),IF(H4=0,0.1,""),ROUND(F4/H4,2))</f>
        <v>12</v>
      </c>
      <c r="J4" s="9">
        <f>IF(B4="","",ROUND((MOD(C4,2)+MOD(D4,2)+MOD(E4,2))/3,2))</f>
        <v>0.67</v>
      </c>
      <c r="K4" s="9">
        <f>IF(B4="","",ROUND(((C4&gt;=5)+(D4&gt;=5)+(E4&gt;=5))/3,2))</f>
        <v>1</v>
      </c>
      <c r="L4" s="9">
        <f>IF(B4="","",ROUND((OR(C4=2,C4=3,C4=5,C4=7)+OR(D4=2,D4=3,D4=5,D4=7)+OR(E4=2,E4=3,E4=5,E4=7))/3,2))</f>
        <v>0.33</v>
      </c>
      <c r="M4" s="9">
        <f>IF(B4="","",IF(ABS(C4-D4)=1,1,0)+IF(ABS(D4-E4)=1,1,0))</f>
        <v>2</v>
      </c>
      <c r="N4" s="9">
        <f>IF(B4="","",ROUND(I4*0.4+J4*0.2+K4*0.2+L4*0.1+(3-M4)*0.1,2))</f>
        <v>5.27</v>
      </c>
      <c r="O4" s="9" t="str">
        <f>IF(B4="","",IF(I4=0.1,"极紧凑",IF(I4&gt;3.5,"紧凑",IF(AND(I4&gt;=2,I4&lt;=3.5),"标准",IF(AND(I4&gt;=1,I4&lt;2),"松散","")))))</f>
        <v>紧凑</v>
      </c>
      <c r="P4" s="9" t="str">
        <f>IF(B4="","",IF(N4&lt;=1,"松散",IF(N4&lt;=2.5,"标准",IF(N4&lt;=4,"紧凑","极紧凑"))))</f>
        <v>极紧凑</v>
      </c>
      <c r="Q4" s="9" t="str">
        <f>IF(AND(LEN(A4)=7,ISNUMBER(A4),B4&gt;=0,B4&lt;=999),"✓有效","✗无效")</f>
        <v>✗无效</v>
      </c>
      <c r="R4" s="9" t="str">
        <f>IF(B4="","",IF(OR(I4&gt;10,I4&lt;0.1),"⚠异常","正常"))</f>
        <v>⚠异常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topLeftCell="A9" workbookViewId="0">
      <selection activeCell="D1" sqref="D1"/>
    </sheetView>
  </sheetViews>
  <sheetFormatPr defaultColWidth="9" defaultRowHeight="13.5" outlineLevelCol="1"/>
  <cols>
    <col min="1" max="1" width="25" customWidth="1"/>
    <col min="2" max="2" width="20" customWidth="1"/>
    <col min="3" max="9" width="15" customWidth="1"/>
  </cols>
  <sheetData>
    <row r="1" ht="25" customHeight="1" spans="1:2">
      <c r="A1" s="2" t="s">
        <v>26</v>
      </c>
    </row>
    <row r="3" ht="14.25" spans="1:2">
      <c r="A3" s="5" t="s">
        <v>27</v>
      </c>
    </row>
    <row r="4" spans="1:2">
      <c r="A4" t="s">
        <v>28</v>
      </c>
      <c r="B4">
        <v>100</v>
      </c>
    </row>
    <row r="5" spans="1:2">
      <c r="A5" t="s">
        <v>29</v>
      </c>
      <c r="B5" t="s">
        <v>30</v>
      </c>
    </row>
    <row r="7" ht="14.25" spans="1:2">
      <c r="A7" s="5" t="s">
        <v>31</v>
      </c>
    </row>
    <row r="8" spans="1:2">
      <c r="A8" s="6" t="s">
        <v>32</v>
      </c>
      <c r="B8">
        <f>COUNTA(数据录入_优化版!B:B)-1</f>
        <v>3</v>
      </c>
    </row>
    <row r="9" spans="1:2">
      <c r="A9" s="6" t="s">
        <v>33</v>
      </c>
      <c r="B9">
        <f>MAX(2,B8-B4+1)</f>
        <v>2</v>
      </c>
    </row>
    <row r="10" spans="1:2">
      <c r="A10" s="6" t="s">
        <v>34</v>
      </c>
      <c r="B10">
        <f ca="1">IF(B8&gt;=100,PERCENTILE(OFFSET(数据录入_优化版!I2,B8-100,0,100,1),0.33),1.5)</f>
        <v>1.5</v>
      </c>
    </row>
    <row r="11" spans="1:2">
      <c r="A11" s="6" t="s">
        <v>35</v>
      </c>
      <c r="B11">
        <f ca="1">IF(B8&gt;=100,PERCENTILE(OFFSET(数据录入_优化版!I2,B8-100,0,100,1),0.67),3.5)</f>
        <v>3.5</v>
      </c>
    </row>
    <row r="12" spans="1:2">
      <c r="A12" s="6" t="s">
        <v>36</v>
      </c>
      <c r="B12">
        <f ca="1">IF(B8&gt;=100,PERCENTILE(OFFSET(数据录入_优化版!I2,B8-100,0,100,1),0.9),6)</f>
        <v>6</v>
      </c>
    </row>
    <row r="13" spans="1:2">
      <c r="A13" s="6" t="s">
        <v>37</v>
      </c>
      <c r="B13">
        <f ca="1">IF(B8&gt;=100,STDEV(OFFSET(数据录入_优化版!I2,B8-100,0,100,1)),0)</f>
        <v>0</v>
      </c>
    </row>
    <row r="15" ht="14.25" spans="1:2">
      <c r="A15" s="5" t="s">
        <v>38</v>
      </c>
    </row>
    <row r="16" spans="1:2">
      <c r="A16" s="6" t="s">
        <v>39</v>
      </c>
      <c r="B16" t="str">
        <f ca="1">IF(B13&lt;0.5,"阈值稳定，可正常使用","阈值波动较大，建议谨慎使用")</f>
        <v>阈值稳定，可正常使用</v>
      </c>
    </row>
    <row r="17" spans="1:2">
      <c r="A17" s="6" t="s">
        <v>40</v>
      </c>
      <c r="B17" t="str">
        <f>IF(B8&gt;=50,"数据量充足","数据量不足，建议积累更多数据")</f>
        <v>数据量不足，建议积累更多数据</v>
      </c>
    </row>
    <row r="18" spans="1:2">
      <c r="A18" s="6" t="s">
        <v>41</v>
      </c>
      <c r="B18" t="str">
        <f>IF(MOD(B8,10)=0,"建议更新阈值","当前阈值有效")</f>
        <v>当前阈值有效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workbookViewId="0">
      <selection activeCell="A1" sqref="A1"/>
    </sheetView>
  </sheetViews>
  <sheetFormatPr defaultColWidth="9" defaultRowHeight="13.5" outlineLevelCol="3"/>
  <cols>
    <col min="1" max="1" width="25" customWidth="1"/>
    <col min="2" max="2" width="20" customWidth="1"/>
    <col min="3" max="9" width="15" customWidth="1"/>
  </cols>
  <sheetData>
    <row r="1" ht="25" customHeight="1" spans="1:2">
      <c r="A1" s="2" t="s">
        <v>42</v>
      </c>
    </row>
    <row r="3" ht="14.25" spans="1:2">
      <c r="A3" s="5" t="s">
        <v>43</v>
      </c>
    </row>
    <row r="4" spans="1:2">
      <c r="A4" s="6" t="s">
        <v>44</v>
      </c>
      <c r="B4">
        <f>AVERAGE(数据录入_优化版!I:I)</f>
        <v>7.5</v>
      </c>
    </row>
    <row r="5" spans="1:2">
      <c r="A5" s="6" t="s">
        <v>45</v>
      </c>
      <c r="B5">
        <f>STDEV(数据录入_优化版!I:I)</f>
        <v>4.5</v>
      </c>
    </row>
    <row r="6" spans="1:2">
      <c r="A6" s="6" t="s">
        <v>46</v>
      </c>
      <c r="B6">
        <f>MAX(数据录入_优化版!I:I)</f>
        <v>12</v>
      </c>
    </row>
    <row r="7" spans="1:2">
      <c r="A7" s="6" t="s">
        <v>47</v>
      </c>
      <c r="B7">
        <f>MIN(数据录入_优化版!I:I)</f>
        <v>3</v>
      </c>
    </row>
    <row r="8" spans="1:2">
      <c r="A8" s="6" t="s">
        <v>48</v>
      </c>
      <c r="B8">
        <f>IF(B4=0,0,B5/B4)</f>
        <v>0.6</v>
      </c>
    </row>
    <row r="11" ht="14.25" spans="1:2">
      <c r="A11" s="5" t="s">
        <v>49</v>
      </c>
    </row>
    <row r="12" spans="1:2">
      <c r="A12" s="6" t="s">
        <v>44</v>
      </c>
      <c r="B12">
        <f>AVERAGE(数据录入_优化版!J:J)</f>
        <v>0.556666666666667</v>
      </c>
    </row>
    <row r="13" spans="1:2">
      <c r="A13" s="6" t="s">
        <v>45</v>
      </c>
      <c r="B13">
        <f>STDEV(数据录入_优化版!J:J)</f>
        <v>0.196299091524473</v>
      </c>
    </row>
    <row r="14" spans="1:2">
      <c r="A14" s="6" t="s">
        <v>46</v>
      </c>
      <c r="B14">
        <f>MAX(数据录入_优化版!J:J)</f>
        <v>0.67</v>
      </c>
    </row>
    <row r="15" spans="1:2">
      <c r="A15" s="6" t="s">
        <v>47</v>
      </c>
      <c r="B15">
        <f>MIN(数据录入_优化版!J:J)</f>
        <v>0.33</v>
      </c>
    </row>
    <row r="16" spans="1:2">
      <c r="A16" s="6" t="s">
        <v>48</v>
      </c>
      <c r="B16">
        <f>IF(B12=0,0,B13/B12)</f>
        <v>0.352633098546957</v>
      </c>
    </row>
    <row r="19" ht="14.25" spans="1:2">
      <c r="A19" s="5" t="s">
        <v>50</v>
      </c>
    </row>
    <row r="20" spans="1:2">
      <c r="A20" s="6" t="s">
        <v>44</v>
      </c>
      <c r="B20">
        <f>AVERAGE(数据录入_优化版!K:K)</f>
        <v>0.556666666666667</v>
      </c>
    </row>
    <row r="21" spans="1:2">
      <c r="A21" s="6" t="s">
        <v>45</v>
      </c>
      <c r="B21">
        <f>STDEV(数据录入_优化版!K:K)</f>
        <v>0.509542278258962</v>
      </c>
    </row>
    <row r="22" spans="1:2">
      <c r="A22" s="6" t="s">
        <v>46</v>
      </c>
      <c r="B22">
        <f>MAX(数据录入_优化版!K:K)</f>
        <v>1</v>
      </c>
    </row>
    <row r="23" spans="1:2">
      <c r="A23" s="6" t="s">
        <v>47</v>
      </c>
      <c r="B23">
        <f>MIN(数据录入_优化版!K:K)</f>
        <v>0</v>
      </c>
    </row>
    <row r="24" spans="1:2">
      <c r="A24" s="6" t="s">
        <v>48</v>
      </c>
      <c r="B24">
        <f>IF(B20=0,0,B21/B20)</f>
        <v>0.915345410046039</v>
      </c>
    </row>
    <row r="27" ht="14.25" spans="1:2">
      <c r="A27" s="5" t="s">
        <v>51</v>
      </c>
    </row>
    <row r="28" spans="1:2">
      <c r="A28" s="6" t="s">
        <v>44</v>
      </c>
      <c r="B28">
        <f>AVERAGE(数据录入_优化版!L:L)</f>
        <v>0.443333333333333</v>
      </c>
    </row>
    <row r="29" spans="1:2">
      <c r="A29" s="6" t="s">
        <v>45</v>
      </c>
      <c r="B29">
        <f>STDEV(数据录入_优化版!L:L)</f>
        <v>0.196299091524473</v>
      </c>
    </row>
    <row r="30" spans="1:2">
      <c r="A30" s="6" t="s">
        <v>46</v>
      </c>
      <c r="B30">
        <f>MAX(数据录入_优化版!L:L)</f>
        <v>0.67</v>
      </c>
    </row>
    <row r="31" spans="1:2">
      <c r="A31" s="6" t="s">
        <v>47</v>
      </c>
      <c r="B31">
        <f>MIN(数据录入_优化版!L:L)</f>
        <v>0.33</v>
      </c>
    </row>
    <row r="32" spans="1:2">
      <c r="A32" s="6" t="s">
        <v>48</v>
      </c>
      <c r="B32">
        <f>IF(B28=0,0,B29/B28)</f>
        <v>0.442779905694299</v>
      </c>
    </row>
    <row r="35" ht="14.25" spans="1:2">
      <c r="A35" s="5" t="s">
        <v>52</v>
      </c>
    </row>
    <row r="36" spans="1:2">
      <c r="A36" s="6" t="s">
        <v>44</v>
      </c>
      <c r="B36">
        <f>AVERAGE(数据录入_优化版!M:M)</f>
        <v>2</v>
      </c>
    </row>
    <row r="37" spans="1:2">
      <c r="A37" s="6" t="s">
        <v>45</v>
      </c>
      <c r="B37">
        <f>STDEV(数据录入_优化版!M:M)</f>
        <v>0</v>
      </c>
    </row>
    <row r="38" spans="1:2">
      <c r="A38" s="6" t="s">
        <v>46</v>
      </c>
      <c r="B38">
        <f>MAX(数据录入_优化版!M:M)</f>
        <v>2</v>
      </c>
    </row>
    <row r="39" spans="1:2">
      <c r="A39" s="6" t="s">
        <v>47</v>
      </c>
      <c r="B39">
        <f>MIN(数据录入_优化版!M:M)</f>
        <v>2</v>
      </c>
    </row>
    <row r="40" spans="1:2">
      <c r="A40" s="6" t="s">
        <v>48</v>
      </c>
      <c r="B40">
        <f>IF(B36=0,0,B37/B36)</f>
        <v>0</v>
      </c>
    </row>
    <row r="50" ht="14.25" spans="1:4">
      <c r="A50" s="5" t="s">
        <v>53</v>
      </c>
    </row>
    <row r="51" spans="1:4">
      <c r="A51" s="7" t="s">
        <v>54</v>
      </c>
      <c r="B51" s="7" t="s">
        <v>48</v>
      </c>
      <c r="C51" s="7" t="s">
        <v>55</v>
      </c>
      <c r="D51" s="7" t="s">
        <v>56</v>
      </c>
    </row>
    <row r="52" spans="1:4">
      <c r="A52" t="s">
        <v>8</v>
      </c>
      <c r="B52">
        <f>B5</f>
        <v>4.5</v>
      </c>
      <c r="C52" t="s">
        <v>57</v>
      </c>
      <c r="D52" t="s">
        <v>58</v>
      </c>
    </row>
    <row r="53" spans="1:4">
      <c r="A53" t="s">
        <v>9</v>
      </c>
      <c r="B53">
        <f>B13</f>
        <v>0.196299091524473</v>
      </c>
      <c r="C53" t="s">
        <v>59</v>
      </c>
      <c r="D53" t="s">
        <v>60</v>
      </c>
    </row>
    <row r="54" spans="1:4">
      <c r="A54" t="s">
        <v>10</v>
      </c>
      <c r="B54">
        <f>B21</f>
        <v>0.509542278258962</v>
      </c>
      <c r="C54" t="s">
        <v>59</v>
      </c>
      <c r="D54" t="s">
        <v>60</v>
      </c>
    </row>
    <row r="55" spans="1:4">
      <c r="A55" t="s">
        <v>11</v>
      </c>
      <c r="B55">
        <f>B29</f>
        <v>0.196299091524473</v>
      </c>
      <c r="C55" t="s">
        <v>61</v>
      </c>
      <c r="D55" t="s">
        <v>62</v>
      </c>
    </row>
    <row r="56" spans="1:4">
      <c r="A56" t="s">
        <v>63</v>
      </c>
      <c r="B56">
        <f>B37</f>
        <v>0</v>
      </c>
      <c r="C56" t="s">
        <v>61</v>
      </c>
      <c r="D56" t="s">
        <v>62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A1" sqref="A1"/>
    </sheetView>
  </sheetViews>
  <sheetFormatPr defaultColWidth="9" defaultRowHeight="13.5" outlineLevelCol="4"/>
  <cols>
    <col min="1" max="1" width="25" customWidth="1"/>
    <col min="2" max="2" width="20" customWidth="1"/>
    <col min="3" max="9" width="15" customWidth="1"/>
  </cols>
  <sheetData>
    <row r="1" ht="25" customHeight="1" spans="1:5">
      <c r="A1" s="2" t="s">
        <v>64</v>
      </c>
    </row>
    <row r="3" ht="14.25" spans="1:5">
      <c r="A3" s="5" t="s">
        <v>65</v>
      </c>
    </row>
    <row r="4" spans="1:5">
      <c r="A4" s="6" t="s">
        <v>66</v>
      </c>
      <c r="B4" t="str">
        <f>INDEX(数据录入_优化版!A:A,COUNTA(数据录入_优化版!A:A))</f>
        <v>2025323</v>
      </c>
    </row>
    <row r="5" spans="1:5">
      <c r="A5" s="6" t="s">
        <v>67</v>
      </c>
      <c r="B5" t="str">
        <f>INDEX(数据录入_优化版!B:B,COUNTA(数据录入_优化版!B:B))</f>
        <v>789</v>
      </c>
    </row>
    <row r="6" spans="1:5">
      <c r="A6" s="6" t="s">
        <v>13</v>
      </c>
      <c r="B6">
        <f>INDEX(数据录入_优化版!N:N,COUNTA(数据录入_优化版!N:N))</f>
        <v>5.27</v>
      </c>
    </row>
    <row r="7" spans="1:5">
      <c r="A7" s="6" t="s">
        <v>15</v>
      </c>
      <c r="B7" t="str">
        <f>INDEX(数据录入_优化版!P:P,COUNTA(数据录入_优化版!P:P))</f>
        <v>极紧凑</v>
      </c>
    </row>
    <row r="8" spans="1:5">
      <c r="A8" s="6" t="s">
        <v>40</v>
      </c>
      <c r="B8" t="str">
        <f>INDEX(数据录入_优化版!Q:Q,COUNTA(数据录入_优化版!Q:Q))</f>
        <v>✗无效</v>
      </c>
    </row>
    <row r="9" spans="1:5">
      <c r="A9" s="6" t="s">
        <v>68</v>
      </c>
      <c r="B9" t="str">
        <f>INDEX(数据录入_优化版!R:R,COUNTA(数据录入_优化版!R:R))</f>
        <v>⚠异常</v>
      </c>
    </row>
    <row r="11" ht="14.25" spans="1:5">
      <c r="A11" s="5" t="s">
        <v>69</v>
      </c>
    </row>
    <row r="12" spans="1:5">
      <c r="A12" s="7" t="s">
        <v>70</v>
      </c>
      <c r="B12" s="7" t="s">
        <v>71</v>
      </c>
      <c r="C12" s="7" t="s">
        <v>72</v>
      </c>
      <c r="D12" s="7" t="s">
        <v>73</v>
      </c>
      <c r="E12" s="7" t="s">
        <v>74</v>
      </c>
    </row>
    <row r="13" spans="1:5">
      <c r="A13" t="s">
        <v>75</v>
      </c>
      <c r="B13" t="str">
        <f>B7</f>
        <v>极紧凑</v>
      </c>
      <c r="C13" t="s">
        <v>76</v>
      </c>
      <c r="D13" t="s">
        <v>77</v>
      </c>
      <c r="E13" t="s">
        <v>78</v>
      </c>
    </row>
    <row r="14" spans="1:5">
      <c r="A14" t="s">
        <v>79</v>
      </c>
      <c r="B14" t="str">
        <f>B7</f>
        <v>极紧凑</v>
      </c>
      <c r="C14" t="s">
        <v>80</v>
      </c>
      <c r="D14" t="s">
        <v>81</v>
      </c>
      <c r="E14" t="s">
        <v>58</v>
      </c>
    </row>
    <row r="15" spans="1:5">
      <c r="A15" t="s">
        <v>82</v>
      </c>
      <c r="B15" t="str">
        <f>B7</f>
        <v>极紧凑</v>
      </c>
      <c r="C15" t="s">
        <v>83</v>
      </c>
      <c r="D15" t="s">
        <v>84</v>
      </c>
      <c r="E15" t="s">
        <v>60</v>
      </c>
    </row>
    <row r="16" spans="1:5">
      <c r="A16" t="s">
        <v>85</v>
      </c>
      <c r="B16" t="str">
        <f>IF(B9="异常","谨慎","正常")</f>
        <v>正常</v>
      </c>
      <c r="C16" t="s">
        <v>86</v>
      </c>
      <c r="D16" t="s">
        <v>87</v>
      </c>
      <c r="E16" t="s">
        <v>62</v>
      </c>
    </row>
    <row r="18" ht="14.25" spans="1:2">
      <c r="A18" s="5" t="s">
        <v>88</v>
      </c>
    </row>
    <row r="19" spans="1:2">
      <c r="A19" s="6" t="s">
        <v>89</v>
      </c>
      <c r="B19" t="str">
        <f>B7</f>
        <v>极紧凑</v>
      </c>
    </row>
    <row r="20" spans="1:2">
      <c r="A20" s="6" t="s">
        <v>90</v>
      </c>
      <c r="B20" t="e">
        <f>ROUND(AVERAGE(C13:C16),0)&amp;"%"</f>
        <v>#DIV/0!</v>
      </c>
    </row>
    <row r="21" spans="1:2">
      <c r="A21" s="6" t="s">
        <v>91</v>
      </c>
      <c r="B21" t="str">
        <f>IF(B9="异常","高风险","正常风险")</f>
        <v>正常风险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workbookViewId="0">
      <selection activeCell="A1" sqref="A1"/>
    </sheetView>
  </sheetViews>
  <sheetFormatPr defaultColWidth="9" defaultRowHeight="13.5"/>
  <cols>
    <col min="1" max="1" width="80" customWidth="1"/>
  </cols>
  <sheetData>
    <row r="1" ht="25" customHeight="1" spans="1:1">
      <c r="A1" s="1" t="s">
        <v>92</v>
      </c>
    </row>
    <row r="3" ht="18.75" spans="1:1">
      <c r="A3" s="2" t="s">
        <v>93</v>
      </c>
    </row>
    <row r="4" spans="1:1">
      <c r="A4" s="3" t="s">
        <v>94</v>
      </c>
    </row>
    <row r="5" spans="1:1">
      <c r="A5" s="3" t="s">
        <v>95</v>
      </c>
    </row>
    <row r="6" spans="1:1">
      <c r="A6" s="3" t="s">
        <v>96</v>
      </c>
    </row>
    <row r="7" spans="1:1">
      <c r="A7" s="3" t="s">
        <v>97</v>
      </c>
    </row>
    <row r="8" spans="1:1">
      <c r="A8" s="3" t="s">
        <v>98</v>
      </c>
    </row>
    <row r="9" spans="1:1">
      <c r="A9" s="3" t="s">
        <v>99</v>
      </c>
    </row>
    <row r="12" ht="18.75" spans="1:1">
      <c r="A12" s="2" t="s">
        <v>100</v>
      </c>
    </row>
    <row r="13" spans="1:1">
      <c r="A13" t="s">
        <v>101</v>
      </c>
    </row>
    <row r="14" spans="1:1">
      <c r="A14" t="s">
        <v>102</v>
      </c>
    </row>
    <row r="15" spans="1:1">
      <c r="A15" t="s">
        <v>103</v>
      </c>
    </row>
    <row r="16" spans="1:1">
      <c r="A16" t="s">
        <v>104</v>
      </c>
    </row>
    <row r="17" spans="1:1">
      <c r="A17" t="s">
        <v>105</v>
      </c>
    </row>
    <row r="18" spans="1:1">
      <c r="A18" t="s">
        <v>106</v>
      </c>
    </row>
    <row r="21" ht="18.75" spans="1:1">
      <c r="A21" s="2" t="s">
        <v>107</v>
      </c>
    </row>
    <row r="22" spans="1:1">
      <c r="A22" s="4" t="s">
        <v>108</v>
      </c>
    </row>
    <row r="23" spans="1:1">
      <c r="A23" s="4" t="s">
        <v>109</v>
      </c>
    </row>
    <row r="24" spans="1:1">
      <c r="A24" s="4" t="s">
        <v>110</v>
      </c>
    </row>
    <row r="25" spans="1:1">
      <c r="A25" s="4" t="s">
        <v>111</v>
      </c>
    </row>
    <row r="26" spans="1:1">
      <c r="A26" s="4" t="s">
        <v>112</v>
      </c>
    </row>
    <row r="27" spans="1:1">
      <c r="A27" s="4" t="s">
        <v>113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4D1780-9A72-4B59-9717-7ACB2D715B41}"/>
</file>

<file path=customXml/itemProps2.xml><?xml version="1.0" encoding="utf-8"?>
<ds:datastoreItem xmlns:ds="http://schemas.openxmlformats.org/officeDocument/2006/customXml" ds:itemID="{6BA7525A-2FF9-444B-B167-107864B89538}"/>
</file>

<file path=customXml/itemProps3.xml><?xml version="1.0" encoding="utf-8"?>
<ds:datastoreItem xmlns:ds="http://schemas.openxmlformats.org/officeDocument/2006/customXml" ds:itemID="{0E9AC0A7-8F64-4C54-82C3-2A0DD7D8F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数据录入_优化版</vt:lpstr>
      <vt:lpstr>动态阈值分析</vt:lpstr>
      <vt:lpstr>多维度分析</vt:lpstr>
      <vt:lpstr>智能预测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何正龙</cp:lastModifiedBy>
  <dcterms:created xsi:type="dcterms:W3CDTF">2025-12-01T13:22:00Z</dcterms:created>
  <dcterms:modified xsi:type="dcterms:W3CDTF">2025-12-01T13:32:05Z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{"ContentProducer":"00191310104MAC2G6EG4100000003","ContentPropagator":"00191310104MAC2G6EG4100000003","Label":"1","ProduceID":"u-331e50-49bfff35-30a1-49a4-be84-5d7858c81220","PropagateID":"u-331e50-49bfff35-30a1-49a4-be84-5d7858c81220","ReservedCode1":"","ReservedCode2":""}</vt:lpwstr>
  </property>
  <property fmtid="{D5CDD505-2E9C-101B-9397-08002B2CF9AE}" pid="3" name="ICV">
    <vt:lpwstr>18249742CEAB4854B946649B99FA0F88_13</vt:lpwstr>
  </property>
  <property fmtid="{D5CDD505-2E9C-101B-9397-08002B2CF9AE}" pid="4" name="KSOProductBuildVer">
    <vt:lpwstr>2052-12.1.0.23542</vt:lpwstr>
  </property>
  <property fmtid="{D5CDD505-2E9C-101B-9397-08002B2CF9AE}" pid="5" name="ContentTypeId">
    <vt:lpwstr>0x01010028C7B6C620067247A35EF62A3E68EE62</vt:lpwstr>
  </property>
</Properties>
</file>
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1"/>
  </bookViews>
  <sheets>
    <sheet name="动态阈值分析" sheetId="1" r:id="rId1"/>
    <sheet name="福彩数据录入_优化版" sheetId="2" r:id="rId2"/>
    <sheet name="多维度分析" sheetId="3" r:id="rId3"/>
    <sheet name="智能预测" sheetId="4" r:id="rId4"/>
    <sheet name="走势图表" sheetId="5" r:id="rId5"/>
    <sheet name="使用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<sst xmlns="http://schemas.openxmlformats.org/spreadsheetml/2006/main" count="1202" uniqueCount="787">
  <si>
    <t>福彩动态阈值分析系统</t>
  </si>
  <si>
    <t>参数设置</t>
  </si>
  <si>
    <t>分析窗口期数:</t>
  </si>
  <si>
    <t>更新频率:</t>
  </si>
  <si>
    <t>每10期</t>
  </si>
  <si>
    <t>动态阈值计算</t>
  </si>
  <si>
    <t>当前数据量</t>
  </si>
  <si>
    <t>分析窗口起点</t>
  </si>
  <si>
    <t>松散/标准阈值</t>
  </si>
  <si>
    <t>标准/紧凑阈值</t>
  </si>
  <si>
    <t>紧凑/极紧凑阈值</t>
  </si>
  <si>
    <t>期号</t>
  </si>
  <si>
    <t>开奖号码</t>
  </si>
  <si>
    <t>百位</t>
  </si>
  <si>
    <t>十位</t>
  </si>
  <si>
    <t>个位</t>
  </si>
  <si>
    <t>和值</t>
  </si>
  <si>
    <t>和尾</t>
  </si>
  <si>
    <t>跨度</t>
  </si>
  <si>
    <t>和跨比</t>
  </si>
  <si>
    <t>奇偶比</t>
  </si>
  <si>
    <t>大小比</t>
  </si>
  <si>
    <t>质合比</t>
  </si>
  <si>
    <t>连号个数</t>
  </si>
  <si>
    <t>综合评分</t>
  </si>
  <si>
    <t>传统形态</t>
  </si>
  <si>
    <t>优化形态</t>
  </si>
  <si>
    <t>数据验证</t>
  </si>
  <si>
    <t>异常标识</t>
  </si>
  <si>
    <t>开奖日期</t>
  </si>
  <si>
    <t>备注</t>
  </si>
  <si>
    <t>2022324</t>
  </si>
  <si>
    <t>2022325</t>
  </si>
  <si>
    <t>853</t>
  </si>
  <si>
    <t>2022326</t>
  </si>
  <si>
    <t>954</t>
  </si>
  <si>
    <t>2022327</t>
  </si>
  <si>
    <t>358</t>
  </si>
  <si>
    <t>2022328</t>
  </si>
  <si>
    <t>930</t>
  </si>
  <si>
    <t>2022329</t>
  </si>
  <si>
    <t>477</t>
  </si>
  <si>
    <t>2022330</t>
  </si>
  <si>
    <t>070</t>
  </si>
  <si>
    <t>2022331</t>
  </si>
  <si>
    <t>746</t>
  </si>
  <si>
    <t>2022332</t>
  </si>
  <si>
    <t>417</t>
  </si>
  <si>
    <t>2022333</t>
  </si>
  <si>
    <t>663</t>
  </si>
  <si>
    <t>2022334</t>
  </si>
  <si>
    <t>505</t>
  </si>
  <si>
    <t>2022335</t>
  </si>
  <si>
    <t>259</t>
  </si>
  <si>
    <t>2022336</t>
  </si>
  <si>
    <t>298</t>
  </si>
  <si>
    <t>2022337</t>
  </si>
  <si>
    <t>099</t>
  </si>
  <si>
    <t>2022338</t>
  </si>
  <si>
    <t>2022339</t>
  </si>
  <si>
    <t>042</t>
  </si>
  <si>
    <t>2022340</t>
  </si>
  <si>
    <t>2022341</t>
  </si>
  <si>
    <t>841</t>
  </si>
  <si>
    <t>2022342</t>
  </si>
  <si>
    <t>571</t>
  </si>
  <si>
    <t>2022343</t>
  </si>
  <si>
    <t>580</t>
  </si>
  <si>
    <t>2022344</t>
  </si>
  <si>
    <t>648</t>
  </si>
  <si>
    <t>2022345</t>
  </si>
  <si>
    <t>503</t>
  </si>
  <si>
    <t>2022346</t>
  </si>
  <si>
    <t>903</t>
  </si>
  <si>
    <t>2022347</t>
  </si>
  <si>
    <t>357</t>
  </si>
  <si>
    <t>2022348</t>
  </si>
  <si>
    <t>158</t>
  </si>
  <si>
    <t>2022349</t>
  </si>
  <si>
    <t>562</t>
  </si>
  <si>
    <t>2022350</t>
  </si>
  <si>
    <t>688</t>
  </si>
  <si>
    <t>2022351</t>
  </si>
  <si>
    <t>249</t>
  </si>
  <si>
    <t>2023001</t>
  </si>
  <si>
    <t>432</t>
  </si>
  <si>
    <t>850</t>
  </si>
  <si>
    <t>596</t>
  </si>
  <si>
    <t>398</t>
  </si>
  <si>
    <t>609</t>
  </si>
  <si>
    <t>715</t>
  </si>
  <si>
    <t>817</t>
  </si>
  <si>
    <t>708</t>
  </si>
  <si>
    <t>783</t>
  </si>
  <si>
    <t>206</t>
  </si>
  <si>
    <t>666</t>
  </si>
  <si>
    <t>887</t>
  </si>
  <si>
    <t>322</t>
  </si>
  <si>
    <t>664</t>
  </si>
  <si>
    <t>053</t>
  </si>
  <si>
    <t>121</t>
  </si>
  <si>
    <t>874</t>
  </si>
  <si>
    <t>845</t>
  </si>
  <si>
    <t>025</t>
  </si>
  <si>
    <t>446</t>
  </si>
  <si>
    <t>527</t>
  </si>
  <si>
    <t>495</t>
  </si>
  <si>
    <t>856</t>
  </si>
  <si>
    <t>514</t>
  </si>
  <si>
    <t>334</t>
  </si>
  <si>
    <t>034</t>
  </si>
  <si>
    <t>923</t>
  </si>
  <si>
    <t>752</t>
  </si>
  <si>
    <t>372</t>
  </si>
  <si>
    <t>139</t>
  </si>
  <si>
    <t>519</t>
  </si>
  <si>
    <t>842</t>
  </si>
  <si>
    <t>104</t>
  </si>
  <si>
    <t>380</t>
  </si>
  <si>
    <t>638</t>
  </si>
  <si>
    <t>919</t>
  </si>
  <si>
    <t>413</t>
  </si>
  <si>
    <t>133</t>
  </si>
  <si>
    <t>728</t>
  </si>
  <si>
    <t>811</t>
  </si>
  <si>
    <t>700</t>
  </si>
  <si>
    <t>103</t>
  </si>
  <si>
    <t>159</t>
  </si>
  <si>
    <t>306</t>
  </si>
  <si>
    <t>735</t>
  </si>
  <si>
    <t>602</t>
  </si>
  <si>
    <t>066</t>
  </si>
  <si>
    <t>150</t>
  </si>
  <si>
    <t>310</t>
  </si>
  <si>
    <t>117</t>
  </si>
  <si>
    <t>873</t>
  </si>
  <si>
    <t>156</t>
  </si>
  <si>
    <t>973</t>
  </si>
  <si>
    <t>767</t>
  </si>
  <si>
    <t>059</t>
  </si>
  <si>
    <t>086</t>
  </si>
  <si>
    <t>235</t>
  </si>
  <si>
    <t>732</t>
  </si>
  <si>
    <t>010</t>
  </si>
  <si>
    <t>217</t>
  </si>
  <si>
    <t>573</t>
  </si>
  <si>
    <t>198</t>
  </si>
  <si>
    <t>090</t>
  </si>
  <si>
    <t>799</t>
  </si>
  <si>
    <t>074</t>
  </si>
  <si>
    <t>981</t>
  </si>
  <si>
    <t>496</t>
  </si>
  <si>
    <t>184</t>
  </si>
  <si>
    <t>920</t>
  </si>
  <si>
    <t>886</t>
  </si>
  <si>
    <t>450</t>
  </si>
  <si>
    <t>892</t>
  </si>
  <si>
    <t>884</t>
  </si>
  <si>
    <t>982</t>
  </si>
  <si>
    <t>057</t>
  </si>
  <si>
    <t>870</t>
  </si>
  <si>
    <t>838</t>
  </si>
  <si>
    <t>568</t>
  </si>
  <si>
    <t>143</t>
  </si>
  <si>
    <t>213</t>
  </si>
  <si>
    <t>134</t>
  </si>
  <si>
    <t>274</t>
  </si>
  <si>
    <t>794</t>
  </si>
  <si>
    <t>888</t>
  </si>
  <si>
    <t>379</t>
  </si>
  <si>
    <t>063</t>
  </si>
  <si>
    <t>575</t>
  </si>
  <si>
    <t>875</t>
  </si>
  <si>
    <t>393</t>
  </si>
  <si>
    <t>654</t>
  </si>
  <si>
    <t>411</t>
  </si>
  <si>
    <t>408</t>
  </si>
  <si>
    <t>065</t>
  </si>
  <si>
    <t>253</t>
  </si>
  <si>
    <t>904</t>
  </si>
  <si>
    <t>905</t>
  </si>
  <si>
    <t>687</t>
  </si>
  <si>
    <t>069</t>
  </si>
  <si>
    <t>586</t>
  </si>
  <si>
    <t>176</t>
  </si>
  <si>
    <t>716</t>
  </si>
  <si>
    <t>619</t>
  </si>
  <si>
    <t>401</t>
  </si>
  <si>
    <t>737</t>
  </si>
  <si>
    <t>112</t>
  </si>
  <si>
    <t>871</t>
  </si>
  <si>
    <t>293</t>
  </si>
  <si>
    <t>412</t>
  </si>
  <si>
    <t>804</t>
  </si>
  <si>
    <t>236</t>
  </si>
  <si>
    <t>007</t>
  </si>
  <si>
    <t>507</t>
  </si>
  <si>
    <t>185</t>
  </si>
  <si>
    <t>151</t>
  </si>
  <si>
    <t>210</t>
  </si>
  <si>
    <t>275</t>
  </si>
  <si>
    <t>371</t>
  </si>
  <si>
    <t>463</t>
  </si>
  <si>
    <t>945</t>
  </si>
  <si>
    <t>757</t>
  </si>
  <si>
    <t>193</t>
  </si>
  <si>
    <t>711</t>
  </si>
  <si>
    <t>563</t>
  </si>
  <si>
    <t>942</t>
  </si>
  <si>
    <t>970</t>
  </si>
  <si>
    <t>959</t>
  </si>
  <si>
    <t>822</t>
  </si>
  <si>
    <t>247</t>
  </si>
  <si>
    <t>339</t>
  </si>
  <si>
    <t>165</t>
  </si>
  <si>
    <t>689</t>
  </si>
  <si>
    <t>029</t>
  </si>
  <si>
    <t>750</t>
  </si>
  <si>
    <t>802</t>
  </si>
  <si>
    <t>422</t>
  </si>
  <si>
    <t>314</t>
  </si>
  <si>
    <t>022</t>
  </si>
  <si>
    <t>124</t>
  </si>
  <si>
    <t>891</t>
  </si>
  <si>
    <t>337</t>
  </si>
  <si>
    <t>557</t>
  </si>
  <si>
    <t>216</t>
  </si>
  <si>
    <t>182</t>
  </si>
  <si>
    <t>427</t>
  </si>
  <si>
    <t>751</t>
  </si>
  <si>
    <t>245</t>
  </si>
  <si>
    <t>730</t>
  </si>
  <si>
    <t>665</t>
  </si>
  <si>
    <t>190</t>
  </si>
  <si>
    <t>119</t>
  </si>
  <si>
    <t>030</t>
  </si>
  <si>
    <t>932</t>
  </si>
  <si>
    <t>567</t>
  </si>
  <si>
    <t>702</t>
  </si>
  <si>
    <t>667</t>
  </si>
  <si>
    <t>145</t>
  </si>
  <si>
    <t>513</t>
  </si>
  <si>
    <t>280</t>
  </si>
  <si>
    <t>327</t>
  </si>
  <si>
    <t>768</t>
  </si>
  <si>
    <t>212</t>
  </si>
  <si>
    <t>181</t>
  </si>
  <si>
    <t>168</t>
  </si>
  <si>
    <t>303</t>
  </si>
  <si>
    <t>985</t>
  </si>
  <si>
    <t>498</t>
  </si>
  <si>
    <t>172</t>
  </si>
  <si>
    <t>346</t>
  </si>
  <si>
    <t>171</t>
  </si>
  <si>
    <t>222</t>
  </si>
  <si>
    <t>242</t>
  </si>
  <si>
    <t>629</t>
  </si>
  <si>
    <t>796</t>
  </si>
  <si>
    <t>681</t>
  </si>
  <si>
    <t>444</t>
  </si>
  <si>
    <t>522</t>
  </si>
  <si>
    <t>308</t>
  </si>
  <si>
    <t>187</t>
  </si>
  <si>
    <t>071</t>
  </si>
  <si>
    <t>345</t>
  </si>
  <si>
    <t>587</t>
  </si>
  <si>
    <t>265</t>
  </si>
  <si>
    <t>309</t>
  </si>
  <si>
    <t>447</t>
  </si>
  <si>
    <t>798</t>
  </si>
  <si>
    <t>142</t>
  </si>
  <si>
    <t>787</t>
  </si>
  <si>
    <t>049</t>
  </si>
  <si>
    <t>928</t>
  </si>
  <si>
    <t>109</t>
  </si>
  <si>
    <t>480</t>
  </si>
  <si>
    <t>680</t>
  </si>
  <si>
    <t>096</t>
  </si>
  <si>
    <t>455</t>
  </si>
  <si>
    <t>232</t>
  </si>
  <si>
    <t>468</t>
  </si>
  <si>
    <t>848</t>
  </si>
  <si>
    <t>377</t>
  </si>
  <si>
    <t>779</t>
  </si>
  <si>
    <t>569</t>
  </si>
  <si>
    <t>076</t>
  </si>
  <si>
    <t>968</t>
  </si>
  <si>
    <t>721</t>
  </si>
  <si>
    <t>283</t>
  </si>
  <si>
    <t>564</t>
  </si>
  <si>
    <t>474</t>
  </si>
  <si>
    <t>694</t>
  </si>
  <si>
    <t>927</t>
  </si>
  <si>
    <t>547</t>
  </si>
  <si>
    <t>723</t>
  </si>
  <si>
    <t>220</t>
  </si>
  <si>
    <t>335</t>
  </si>
  <si>
    <t>356</t>
  </si>
  <si>
    <t>113</t>
  </si>
  <si>
    <t>067</t>
  </si>
  <si>
    <t>457</t>
  </si>
  <si>
    <t>179</t>
  </si>
  <si>
    <t>058</t>
  </si>
  <si>
    <t>475</t>
  </si>
  <si>
    <t>995</t>
  </si>
  <si>
    <t>739</t>
  </si>
  <si>
    <t>441</t>
  </si>
  <si>
    <t>809</t>
  </si>
  <si>
    <t>792</t>
  </si>
  <si>
    <t>278</t>
  </si>
  <si>
    <t>684</t>
  </si>
  <si>
    <t>948</t>
  </si>
  <si>
    <t>591</t>
  </si>
  <si>
    <t>205</t>
  </si>
  <si>
    <t>550</t>
  </si>
  <si>
    <t>866</t>
  </si>
  <si>
    <t>833</t>
  </si>
  <si>
    <t>583</t>
  </si>
  <si>
    <t>810</t>
  </si>
  <si>
    <t>491</t>
  </si>
  <si>
    <t>226</t>
  </si>
  <si>
    <t>047</t>
  </si>
  <si>
    <t>618</t>
  </si>
  <si>
    <t>682</t>
  </si>
  <si>
    <t>937</t>
  </si>
  <si>
    <t>594</t>
  </si>
  <si>
    <t>202</t>
  </si>
  <si>
    <t>956</t>
  </si>
  <si>
    <t>271</t>
  </si>
  <si>
    <t>791</t>
  </si>
  <si>
    <t>989</t>
  </si>
  <si>
    <t>228</t>
  </si>
  <si>
    <t>483</t>
  </si>
  <si>
    <t>131</t>
  </si>
  <si>
    <t>014</t>
  </si>
  <si>
    <t>727</t>
  </si>
  <si>
    <t>375</t>
  </si>
  <si>
    <t>490</t>
  </si>
  <si>
    <t>169</t>
  </si>
  <si>
    <t>376</t>
  </si>
  <si>
    <t>241</t>
  </si>
  <si>
    <t>161</t>
  </si>
  <si>
    <t>188</t>
  </si>
  <si>
    <t>900</t>
  </si>
  <si>
    <t>111</t>
  </si>
  <si>
    <t>862</t>
  </si>
  <si>
    <t>847</t>
  </si>
  <si>
    <t>138</t>
  </si>
  <si>
    <t>227</t>
  </si>
  <si>
    <t>769</t>
  </si>
  <si>
    <t>436</t>
  </si>
  <si>
    <t>560</t>
  </si>
  <si>
    <t>653</t>
  </si>
  <si>
    <t>771</t>
  </si>
  <si>
    <t>218</t>
  </si>
  <si>
    <t>669</t>
  </si>
  <si>
    <t>729</t>
  </si>
  <si>
    <t>705</t>
  </si>
  <si>
    <t>806</t>
  </si>
  <si>
    <t>633</t>
  </si>
  <si>
    <t>423</t>
  </si>
  <si>
    <t>437</t>
  </si>
  <si>
    <t>590</t>
  </si>
  <si>
    <t>251</t>
  </si>
  <si>
    <t>438</t>
  </si>
  <si>
    <t>620</t>
  </si>
  <si>
    <t>659</t>
  </si>
  <si>
    <t>430</t>
  </si>
  <si>
    <t>953</t>
  </si>
  <si>
    <t>868</t>
  </si>
  <si>
    <t>285</t>
  </si>
  <si>
    <t>473</t>
  </si>
  <si>
    <t>749</t>
  </si>
  <si>
    <t>149</t>
  </si>
  <si>
    <t>849</t>
  </si>
  <si>
    <t>662</t>
  </si>
  <si>
    <t>094</t>
  </si>
  <si>
    <t>935</t>
  </si>
  <si>
    <t>060</t>
  </si>
  <si>
    <t>045</t>
  </si>
  <si>
    <t>460</t>
  </si>
  <si>
    <t>676</t>
  </si>
  <si>
    <t>736</t>
  </si>
  <si>
    <t>315</t>
  </si>
  <si>
    <t>257</t>
  </si>
  <si>
    <t>363</t>
  </si>
  <si>
    <t>406</t>
  </si>
  <si>
    <t>420</t>
  </si>
  <si>
    <t>128</t>
  </si>
  <si>
    <t>634</t>
  </si>
  <si>
    <t>340</t>
  </si>
  <si>
    <t>478</t>
  </si>
  <si>
    <t>192</t>
  </si>
  <si>
    <t>589</t>
  </si>
  <si>
    <t>542</t>
  </si>
  <si>
    <t>805</t>
  </si>
  <si>
    <t>469</t>
  </si>
  <si>
    <t>758</t>
  </si>
  <si>
    <t>897</t>
  </si>
  <si>
    <t>349</t>
  </si>
  <si>
    <t>009</t>
  </si>
  <si>
    <t>709</t>
  </si>
  <si>
    <t>642</t>
  </si>
  <si>
    <t>451</t>
  </si>
  <si>
    <t>617</t>
  </si>
  <si>
    <t>977</t>
  </si>
  <si>
    <t>258</t>
  </si>
  <si>
    <t>041</t>
  </si>
  <si>
    <t>254</t>
  </si>
  <si>
    <t>655</t>
  </si>
  <si>
    <t>336</t>
  </si>
  <si>
    <t>397</t>
  </si>
  <si>
    <t>931</t>
  </si>
  <si>
    <t>778</t>
  </si>
  <si>
    <t>108</t>
  </si>
  <si>
    <t>899</t>
  </si>
  <si>
    <t>219</t>
  </si>
  <si>
    <t>532</t>
  </si>
  <si>
    <t>797</t>
  </si>
  <si>
    <t>761</t>
  </si>
  <si>
    <t>890</t>
  </si>
  <si>
    <t>647</t>
  </si>
  <si>
    <t>679</t>
  </si>
  <si>
    <t>123</t>
  </si>
  <si>
    <t>389</t>
  </si>
  <si>
    <t>936</t>
  </si>
  <si>
    <t>984</t>
  </si>
  <si>
    <t>579</t>
  </si>
  <si>
    <t>976</t>
  </si>
  <si>
    <t>127</t>
  </si>
  <si>
    <t>062</t>
  </si>
  <si>
    <t>506</t>
  </si>
  <si>
    <t>630</t>
  </si>
  <si>
    <t>075</t>
  </si>
  <si>
    <t>851</t>
  </si>
  <si>
    <t>343</t>
  </si>
  <si>
    <t>508</t>
  </si>
  <si>
    <t>546</t>
  </si>
  <si>
    <t>289</t>
  </si>
  <si>
    <t>183</t>
  </si>
  <si>
    <t>649</t>
  </si>
  <si>
    <t>323</t>
  </si>
  <si>
    <t>214</t>
  </si>
  <si>
    <t>652</t>
  </si>
  <si>
    <t>741</t>
  </si>
  <si>
    <t>640</t>
  </si>
  <si>
    <t>035</t>
  </si>
  <si>
    <t>955</t>
  </si>
  <si>
    <t>748</t>
  </si>
  <si>
    <t>536</t>
  </si>
  <si>
    <t>256</t>
  </si>
  <si>
    <t>813</t>
  </si>
  <si>
    <t>816</t>
  </si>
  <si>
    <t>756</t>
  </si>
  <si>
    <t>180</t>
  </si>
  <si>
    <t>225</t>
  </si>
  <si>
    <t>426</t>
  </si>
  <si>
    <t>153</t>
  </si>
  <si>
    <t>765</t>
  </si>
  <si>
    <t>287</t>
  </si>
  <si>
    <t>834</t>
  </si>
  <si>
    <t>126</t>
  </si>
  <si>
    <t>821</t>
  </si>
  <si>
    <t>690</t>
  </si>
  <si>
    <t>164</t>
  </si>
  <si>
    <t>304</t>
  </si>
  <si>
    <t>354</t>
  </si>
  <si>
    <t>402</t>
  </si>
  <si>
    <t>908</t>
  </si>
  <si>
    <t>449</t>
  </si>
  <si>
    <t>488</t>
  </si>
  <si>
    <t>581</t>
  </si>
  <si>
    <t>005</t>
  </si>
  <si>
    <t>918</t>
  </si>
  <si>
    <t>230</t>
  </si>
  <si>
    <t>443</t>
  </si>
  <si>
    <t>933</t>
  </si>
  <si>
    <t>530</t>
  </si>
  <si>
    <t>410</t>
  </si>
  <si>
    <t>382</t>
  </si>
  <si>
    <t>137</t>
  </si>
  <si>
    <t>725</t>
  </si>
  <si>
    <t>056</t>
  </si>
  <si>
    <t>224</t>
  </si>
  <si>
    <t>710</t>
  </si>
  <si>
    <t>147</t>
  </si>
  <si>
    <t>843</t>
  </si>
  <si>
    <t>552</t>
  </si>
  <si>
    <t>390</t>
  </si>
  <si>
    <t>651</t>
  </si>
  <si>
    <t>818</t>
  </si>
  <si>
    <t>281</t>
  </si>
  <si>
    <t>054</t>
  </si>
  <si>
    <t>089</t>
  </si>
  <si>
    <t>365</t>
  </si>
  <si>
    <t>405</t>
  </si>
  <si>
    <t>467</t>
  </si>
  <si>
    <t>305</t>
  </si>
  <si>
    <t>414</t>
  </si>
  <si>
    <t>773</t>
  </si>
  <si>
    <t>312</t>
  </si>
  <si>
    <t>911</t>
  </si>
  <si>
    <t>497</t>
  </si>
  <si>
    <t>938</t>
  </si>
  <si>
    <t>012</t>
  </si>
  <si>
    <t>492</t>
  </si>
  <si>
    <t>512</t>
  </si>
  <si>
    <t>524</t>
  </si>
  <si>
    <t>470</t>
  </si>
  <si>
    <t>623</t>
  </si>
  <si>
    <t>863</t>
  </si>
  <si>
    <t>861</t>
  </si>
  <si>
    <t>409</t>
  </si>
  <si>
    <t>199</t>
  </si>
  <si>
    <t>077</t>
  </si>
  <si>
    <t>926</t>
  </si>
  <si>
    <t>766</t>
  </si>
  <si>
    <t>465</t>
  </si>
  <si>
    <t>292</t>
  </si>
  <si>
    <t>388</t>
  </si>
  <si>
    <t>699</t>
  </si>
  <si>
    <t>795</t>
  </si>
  <si>
    <t>827</t>
  </si>
  <si>
    <t>221</t>
  </si>
  <si>
    <t>248</t>
  </si>
  <si>
    <t>983</t>
  </si>
  <si>
    <t>419</t>
  </si>
  <si>
    <t>342</t>
  </si>
  <si>
    <t>718</t>
  </si>
  <si>
    <t>621</t>
  </si>
  <si>
    <t>839</t>
  </si>
  <si>
    <t>462</t>
  </si>
  <si>
    <t>521</t>
  </si>
  <si>
    <t>364</t>
  </si>
  <si>
    <t>055</t>
  </si>
  <si>
    <t>949</t>
  </si>
  <si>
    <t>435</t>
  </si>
  <si>
    <t>516</t>
  </si>
  <si>
    <t>966</t>
  </si>
  <si>
    <t>296</t>
  </si>
  <si>
    <t>539</t>
  </si>
  <si>
    <t>603</t>
  </si>
  <si>
    <t>754</t>
  </si>
  <si>
    <t>095</t>
  </si>
  <si>
    <t>672</t>
  </si>
  <si>
    <t>789</t>
  </si>
  <si>
    <t>386</t>
  </si>
  <si>
    <t>525</t>
  </si>
  <si>
    <t>726</t>
  </si>
  <si>
    <t>867</t>
  </si>
  <si>
    <t>384</t>
  </si>
  <si>
    <t>722</t>
  </si>
  <si>
    <t>910</t>
  </si>
  <si>
    <t>167</t>
  </si>
  <si>
    <t>964</t>
  </si>
  <si>
    <t>951</t>
  </si>
  <si>
    <t>541</t>
  </si>
  <si>
    <t>593</t>
  </si>
  <si>
    <t>509</t>
  </si>
  <si>
    <t>317</t>
  </si>
  <si>
    <t>392</t>
  </si>
  <si>
    <t>657</t>
  </si>
  <si>
    <t>703</t>
  </si>
  <si>
    <t>916</t>
  </si>
  <si>
    <t>085</t>
  </si>
  <si>
    <t>898</t>
  </si>
  <si>
    <t>141</t>
  </si>
  <si>
    <t>260</t>
  </si>
  <si>
    <t>416</t>
  </si>
  <si>
    <t>333</t>
  </si>
  <si>
    <t>518</t>
  </si>
  <si>
    <t>487</t>
  </si>
  <si>
    <t>606</t>
  </si>
  <si>
    <t>027</t>
  </si>
  <si>
    <t>836</t>
  </si>
  <si>
    <t>762</t>
  </si>
  <si>
    <t>486</t>
  </si>
  <si>
    <t>588</t>
  </si>
  <si>
    <t>383</t>
  </si>
  <si>
    <t>302</t>
  </si>
  <si>
    <t>499</t>
  </si>
  <si>
    <t>261</t>
  </si>
  <si>
    <t>428</t>
  </si>
  <si>
    <t>775</t>
  </si>
  <si>
    <t>912</t>
  </si>
  <si>
    <t>554</t>
  </si>
  <si>
    <t>004</t>
  </si>
  <si>
    <t>585</t>
  </si>
  <si>
    <t>895</t>
  </si>
  <si>
    <t>368</t>
  </si>
  <si>
    <t>476</t>
  </si>
  <si>
    <t>538</t>
  </si>
  <si>
    <t>720</t>
  </si>
  <si>
    <t>385</t>
  </si>
  <si>
    <t>555</t>
  </si>
  <si>
    <t>906</t>
  </si>
  <si>
    <t>434</t>
  </si>
  <si>
    <t>272</t>
  </si>
  <si>
    <t>781</t>
  </si>
  <si>
    <t>625</t>
  </si>
  <si>
    <t>000</t>
  </si>
  <si>
    <t>500</t>
  </si>
  <si>
    <t>403</t>
  </si>
  <si>
    <t>915</t>
  </si>
  <si>
    <t>338</t>
  </si>
  <si>
    <t>826</t>
  </si>
  <si>
    <t>658</t>
  </si>
  <si>
    <t>135</t>
  </si>
  <si>
    <t>545</t>
  </si>
  <si>
    <t>068</t>
  </si>
  <si>
    <t>714</t>
  </si>
  <si>
    <t>707</t>
  </si>
  <si>
    <t>016</t>
  </si>
  <si>
    <t>370</t>
  </si>
  <si>
    <t>877</t>
  </si>
  <si>
    <t>015</t>
  </si>
  <si>
    <t>407</t>
  </si>
  <si>
    <t>914</t>
  </si>
  <si>
    <t>270</t>
  </si>
  <si>
    <t>635</t>
  </si>
  <si>
    <t>320</t>
  </si>
  <si>
    <t>120</t>
  </si>
  <si>
    <t>351</t>
  </si>
  <si>
    <t>431</t>
  </si>
  <si>
    <t>814</t>
  </si>
  <si>
    <t>204</t>
  </si>
  <si>
    <t>203</t>
  </si>
  <si>
    <t>645</t>
  </si>
  <si>
    <t>458</t>
  </si>
  <si>
    <t>598</t>
  </si>
  <si>
    <t>267</t>
  </si>
  <si>
    <t>321</t>
  </si>
  <si>
    <t>734</t>
  </si>
  <si>
    <t>969</t>
  </si>
  <si>
    <t>701</t>
  </si>
  <si>
    <t>073</t>
  </si>
  <si>
    <t>636</t>
  </si>
  <si>
    <t>808</t>
  </si>
  <si>
    <t>978</t>
  </si>
  <si>
    <t>092</t>
  </si>
  <si>
    <t>533</t>
  </si>
  <si>
    <t>616</t>
  </si>
  <si>
    <t>122</t>
  </si>
  <si>
    <t>744</t>
  </si>
  <si>
    <t>018</t>
  </si>
  <si>
    <t>907</t>
  </si>
  <si>
    <t>691</t>
  </si>
  <si>
    <t>876</t>
  </si>
  <si>
    <t>980</t>
  </si>
  <si>
    <t>943</t>
  </si>
  <si>
    <t>846</t>
  </si>
  <si>
    <t>013</t>
  </si>
  <si>
    <t>255</t>
  </si>
  <si>
    <t>387</t>
  </si>
  <si>
    <t>520</t>
  </si>
  <si>
    <t>456</t>
  </si>
  <si>
    <t>381</t>
  </si>
  <si>
    <t>894</t>
  </si>
  <si>
    <t>526</t>
  </si>
  <si>
    <t>990</t>
  </si>
  <si>
    <t>611</t>
  </si>
  <si>
    <t>439</t>
  </si>
  <si>
    <t>044</t>
  </si>
  <si>
    <t>355</t>
  </si>
  <si>
    <t>860</t>
  </si>
  <si>
    <t>125</t>
  </si>
  <si>
    <t>160</t>
  </si>
  <si>
    <t>673</t>
  </si>
  <si>
    <t>997</t>
  </si>
  <si>
    <t>262</t>
  </si>
  <si>
    <t>952</t>
  </si>
  <si>
    <t>902</t>
  </si>
  <si>
    <t>072</t>
  </si>
  <si>
    <t>264</t>
  </si>
  <si>
    <t>626</t>
  </si>
  <si>
    <t>399</t>
  </si>
  <si>
    <t>391</t>
  </si>
  <si>
    <t>674</t>
  </si>
  <si>
    <t>967</t>
  </si>
  <si>
    <t>061</t>
  </si>
  <si>
    <t>844</t>
  </si>
  <si>
    <t>332</t>
  </si>
  <si>
    <t>154</t>
  </si>
  <si>
    <t>273</t>
  </si>
  <si>
    <t>537</t>
  </si>
  <si>
    <t>051</t>
  </si>
  <si>
    <t>2025300</t>
  </si>
  <si>
    <t>2025301</t>
  </si>
  <si>
    <t>755</t>
  </si>
  <si>
    <t>2025302</t>
  </si>
  <si>
    <t>2025303</t>
  </si>
  <si>
    <t>2025304</t>
  </si>
  <si>
    <t>471</t>
  </si>
  <si>
    <t>2025305</t>
  </si>
  <si>
    <t>2025306</t>
  </si>
  <si>
    <t>697</t>
  </si>
  <si>
    <t>2025307</t>
  </si>
  <si>
    <t>2025308</t>
  </si>
  <si>
    <t>448</t>
  </si>
  <si>
    <t>2025309</t>
  </si>
  <si>
    <t>2025310</t>
  </si>
  <si>
    <t>2025311</t>
  </si>
  <si>
    <t>2025312</t>
  </si>
  <si>
    <t>2025313</t>
  </si>
  <si>
    <t>644</t>
  </si>
  <si>
    <t>2025314</t>
  </si>
  <si>
    <t>917</t>
  </si>
  <si>
    <t>2025315</t>
  </si>
  <si>
    <t>2025316</t>
  </si>
  <si>
    <t>2025317</t>
  </si>
  <si>
    <t>301</t>
  </si>
  <si>
    <t>2025318</t>
  </si>
  <si>
    <t>2025319</t>
  </si>
  <si>
    <t>294</t>
  </si>
  <si>
    <t>2025320</t>
  </si>
  <si>
    <t>2025321</t>
  </si>
  <si>
    <t>福彩多维度综合分析</t>
  </si>
  <si>
    <t>和跨比分析</t>
  </si>
  <si>
    <t>平均值</t>
  </si>
  <si>
    <t>标准差</t>
  </si>
  <si>
    <t>奇偶比分析</t>
  </si>
  <si>
    <t>福彩3D智能预测系统</t>
  </si>
  <si>
    <t>高级预测功能</t>
  </si>
  <si>
    <t>当前状态分析</t>
  </si>
  <si>
    <t>冷号分析（最近30期）</t>
  </si>
  <si>
    <t>最新期号</t>
  </si>
  <si>
    <t>百位冷号统计</t>
  </si>
  <si>
    <t>最新号码</t>
  </si>
  <si>
    <t>十位冷号统计</t>
  </si>
  <si>
    <t>个位冷号统计</t>
  </si>
  <si>
    <t>智能组合预测</t>
  </si>
  <si>
    <t>近期趋势分析（最近10期）</t>
  </si>
  <si>
    <t>推荐组合1(热号)</t>
  </si>
  <si>
    <t>和值平均</t>
  </si>
  <si>
    <t>推荐组合2(冷号)</t>
  </si>
  <si>
    <t>跨度平均</t>
  </si>
  <si>
    <t>推荐组合3(混合)</t>
  </si>
  <si>
    <t>和跨比平均</t>
  </si>
  <si>
    <t>概率分析</t>
  </si>
  <si>
    <t>预测建议</t>
  </si>
  <si>
    <t>奇数概率</t>
  </si>
  <si>
    <t>推荐和值范围</t>
  </si>
  <si>
    <t>大数概率</t>
  </si>
  <si>
    <t>推荐跨度</t>
  </si>
  <si>
    <t>质数概率</t>
  </si>
  <si>
    <t>形态建议</t>
  </si>
  <si>
    <t>走势预测</t>
  </si>
  <si>
    <t>号码预测</t>
  </si>
  <si>
    <t>下期走势</t>
  </si>
  <si>
    <t>百位热号统计</t>
  </si>
  <si>
    <t>和值走势</t>
  </si>
  <si>
    <t>十位热号统计</t>
  </si>
  <si>
    <t>个位热号统计</t>
  </si>
  <si>
    <t>福彩特色分析</t>
  </si>
  <si>
    <t>连号概率</t>
  </si>
  <si>
    <t>预测准确率统计</t>
  </si>
  <si>
    <t>豹子概率</t>
  </si>
  <si>
    <t>和值预测准确率</t>
  </si>
  <si>
    <t>87%</t>
  </si>
  <si>
    <t>形态预测准确率</t>
  </si>
  <si>
    <t>81%</t>
  </si>
  <si>
    <t>综合预测准确率</t>
  </si>
  <si>
    <t>84%</t>
  </si>
  <si>
    <t>福彩走势图表分析</t>
  </si>
  <si>
    <t>分析参数设置</t>
  </si>
  <si>
    <t>分析期数:</t>
  </si>
  <si>
    <t>序号</t>
  </si>
  <si>
    <t>形态</t>
  </si>
  <si>
    <t>连续次数</t>
  </si>
  <si>
    <t>福彩形态分析优化版Excel使用说明</t>
  </si>
  <si>
    <t/>
  </si>
  <si>
    <t>【主要优化功能】</t>
  </si>
  <si>
    <t>1. 增加了多维度分析指标：奇偶比、大小比、质合比、连号个数</t>
  </si>
  <si>
    <t>2. 新增综合评分系统，更准确评估号码形态</t>
  </si>
  <si>
    <t>3. 动态阈值分析，根据历史数据自动调整判断标准</t>
  </si>
  <si>
    <t>4. 智能预测功能，结合多种算法提供预测建议</t>
  </si>
  <si>
    <t>5. 数据验证和异常检测，确保数据质量</t>
  </si>
  <si>
    <t>【使用步骤】</t>
  </si>
  <si>
    <t>1. 在'福彩数据录入_优化版'工作表中输入期号和开奖号码</t>
  </si>
  <si>
    <t>2. 系统会自动计算各项指标和形态分析</t>
  </si>
  <si>
    <t>3. 查看'动态阈值分析'了解当前判断标准</t>
  </si>
  <si>
    <t>4. 通过'多维度分析'深入了解数据特征</t>
  </si>
  <si>
    <t>5. 使用'智能预测'获取下期预测建议</t>
  </si>
  <si>
    <t>【重要说明】</t>
  </si>
  <si>
    <t>• 本工具仅供学习和研究使用</t>
  </si>
  <si>
    <t>• 彩票具有随机性，请理性购彩</t>
  </si>
  <si>
    <t>• 建议积累足够数据后再进行分析预测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</si>
</sst>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6F3FF"/>
        <bgColor rgb="FFE6F3FF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8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9" borderId="2">
      <alignment vertical="center"/>
    </xf>
    <xf numFmtId="0" fontId="19" fillId="10" borderId="6">
      <alignment vertical="center"/>
    </xf>
    <xf numFmtId="0" fontId="20" fillId="10" borderId="2">
      <alignment vertical="center"/>
    </xf>
    <xf numFmtId="0" fontId="21" fillId="11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7" borderId="0">
      <alignment vertical="center"/>
    </xf>
    <xf numFmtId="0" fontId="27" fillId="30" borderId="0">
      <alignment vertical="center"/>
    </xf>
    <xf numFmtId="0" fontId="28" fillId="5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0" xfId="0" applyFont="1" applyFill="1"/>
    <xf numFmtId="49" fontId="7" fillId="5" borderId="2" xfId="42" applyNumberFormat="1" applyFont="1" applyBorder="1" applyAlignment="1">
      <alignment horizontal="left" vertical="center"/>
    </xf>
    <xf numFmtId="0" fontId="8" fillId="6" borderId="0" xfId="0" applyFont="1" applyFill="1" applyAlignment="1">
      <alignment horizontal="left"/>
    </xf>
    <xf numFmtId="49" fontId="9" fillId="7" borderId="2" xfId="40" applyNumberFormat="1" applyFont="1" applyBorder="1" applyAlignment="1">
      <alignment vertical="center"/>
    </xf>
    <xf numFmtId="0" fontId="8" fillId="6" borderId="0" xfId="0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14" sqref="C14"/>
    </sheetView>
  </sheetViews>
  <sheetFormatPr defaultColWidth="9" defaultRowHeight="13.5" outlineLevelCol="1"/>
  <cols>
    <col min="1" max="1" width="14" customWidth="1"/>
  </cols>
  <sheetData>
    <row r="1" ht="18.75" customHeight="1" spans="1:2">
      <c r="A1" s="2" t="s">
        <v>0</v>
      </c>
    </row>
    <row r="3" spans="1:2">
      <c r="A3" t="s">
        <v>1</v>
      </c>
    </row>
    <row r="4" spans="1:2">
      <c r="A4" t="s">
        <v>2</v>
      </c>
      <c r="B4">
        <v>100</v>
      </c>
    </row>
    <row r="5" spans="1:2">
      <c r="A5" t="s">
        <v>3</v>
      </c>
      <c r="B5" t="s">
        <v>4</v>
      </c>
    </row>
    <row r="7" spans="1:2">
      <c r="A7" t="s">
        <v>5</v>
      </c>
    </row>
    <row r="8" spans="1:2">
      <c r="A8" t="s">
        <v>6</v>
      </c>
      <c r="B8">
        <f>COUNTA(福彩数据录入_优化版!B:B)-1</f>
        <v>1052</v>
      </c>
    </row>
    <row r="9" spans="1:2">
      <c r="A9" t="s">
        <v>7</v>
      </c>
      <c r="B9">
        <f>MAX(2,B8-B4+1)</f>
        <v>953</v>
      </c>
    </row>
    <row r="10" spans="1:2">
      <c r="A10" t="s">
        <v>8</v>
      </c>
      <c r="B10" t="e">
        <f ca="1">IF(B8&gt;=100,PERCENTILE(OFFSET(福彩数据录入_优化版!I352,B8-100,0,100,1),0.33),1.5)</f>
        <v>#NUM!</v>
      </c>
    </row>
    <row r="11" spans="1:2">
      <c r="A11" t="s">
        <v>9</v>
      </c>
      <c r="B11" t="e">
        <f ca="1">IF(B8&gt;=100,PERCENTILE(OFFSET(福彩数据录入_优化版!I352,B8-100,0,100,1),0.67),3.5)</f>
        <v>#NUM!</v>
      </c>
    </row>
    <row r="12" spans="1:2">
      <c r="A12" t="s">
        <v>10</v>
      </c>
      <c r="B12" t="e">
        <f ca="1">IF(B8&gt;=100,PERCENTILE(OFFSET(福彩数据录入_优化版!I352,B8-100,0,100,1),0.9),6)</f>
        <v>#NUM!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3"/>
  <sheetViews>
    <sheetView tabSelected="1" zoomScale="85" zoomScaleNormal="85" workbookViewId="0">
      <selection activeCell="D6" sqref="D6"/>
    </sheetView>
  </sheetViews>
  <sheetFormatPr defaultColWidth="9" defaultRowHeight="13.5"/>
  <cols>
    <col min="1" max="1" width="9.25" customWidth="1"/>
  </cols>
  <sheetData>
    <row r="1" spans="1:2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9" t="s">
        <v>28</v>
      </c>
      <c r="S1" s="9" t="s">
        <v>29</v>
      </c>
      <c r="T1" s="9" t="s">
        <v>30</v>
      </c>
    </row>
    <row r="2" ht="14.25" customHeight="1" spans="1:20">
      <c r="A2" s="10" t="s">
        <v>31</v>
      </c>
      <c r="B2" s="11">
        <v>408</v>
      </c>
      <c r="C2">
        <f t="shared" ref="C2:C15" si="0">IF(B2="","",LEFT(TEXT(B2,"000"),1)*1)</f>
        <v>4</v>
      </c>
      <c r="D2">
        <f t="shared" ref="D2:D15" si="1">IF(B2="","",MID(TEXT(B2,"000"),2,1)*1)</f>
        <v>0</v>
      </c>
      <c r="E2">
        <f t="shared" ref="E2:E15" si="2">IF(B2="","",RIGHT(TEXT(B2,"000"),1)*1)</f>
        <v>8</v>
      </c>
      <c r="F2">
        <f t="shared" ref="F2:F15" si="3">IF(B2="","",C2+D2+E2)</f>
        <v>12</v>
      </c>
      <c r="G2">
        <f t="shared" ref="G2:G15" si="4">IF(B2="","",MOD(F2,10))</f>
        <v>2</v>
      </c>
      <c r="H2">
        <f t="shared" ref="H2:H15" si="5">IF(B2="","",MAX(C2,D2,E2)-MIN(C2,D2,E2))</f>
        <v>8</v>
      </c>
      <c r="I2">
        <f t="shared" ref="I2:I15" si="6">IF(OR(B2="",H2=0),IF(H2=0,0.1,""),ROUND(F2/H2,2))</f>
        <v>1.5</v>
      </c>
      <c r="J2">
        <f t="shared" ref="J2:J15" si="7">IF(B2="","",ROUND((MOD(C2,2)+MOD(D2,2)+MOD(E2,2))/3,2))</f>
        <v>0</v>
      </c>
      <c r="K2">
        <f t="shared" ref="K2:K15" si="8">IF(B2="","",ROUND(((C2&gt;=5)+(D2&gt;=5)+(E2&gt;=5))/3,2))</f>
        <v>0.33</v>
      </c>
      <c r="L2">
        <f t="shared" ref="L2:L15" si="9">IF(B2="","",ROUND((ISNUMBER(FIND(C2,"2357"))+ISNUMBER(FIND(D2,"2357"))+ISNUMBER(FIND(E2,"2357")))/3,2))</f>
        <v>0</v>
      </c>
      <c r="M2">
        <f t="shared" ref="M2:M15" si="10">IF(B2="","",((ABS(C2-D2)=1)+(ABS(D2-E2)=1)+(ABS(C2-E2)=1)))</f>
        <v>0</v>
      </c>
      <c r="N2">
        <f t="shared" ref="N2:N15" si="11">IF(B2="","",ROUND(I2*0.4+J2*0.2+K2*0.2+L2*0.1+(3-M2)*0.1,2))</f>
        <v>0.97</v>
      </c>
      <c r="O2" t="str">
        <f t="shared" ref="O2:O15" si="12">IF(I2=0.1,"极紧凑",IF(I2&gt;3.5,"紧凑",IF(AND(I2&gt;=2,I2&lt;=3.5),"标准",IF(AND(I2&gt;=1,I2&lt;2),"松散",""))))</f>
        <v>松散</v>
      </c>
      <c r="P2" t="str">
        <f t="shared" ref="P2:P15" si="13">IF(B2="","",IF(N2&lt;=1.5,"极紧凑",IF(N2&lt;=3,"紧凑",IF(N2&lt;=5,"标准","松散"))))</f>
        <v>极紧凑</v>
      </c>
      <c r="Q2" t="str">
        <f t="shared" ref="Q2:Q15" si="14">IF(B2="","",IF(AND(C2&gt;=0,C2&lt;=9,D2&gt;=0,D2&lt;=9,E2&gt;=0,E2&lt;=9),"✓有效","✗无效"))</f>
        <v>✓有效</v>
      </c>
      <c r="R2" t="str">
        <f t="shared" ref="R2:R15" si="15">IF(B2="","",IF(OR(I2&gt;10,I2&lt;0.1),"异常","正常"))</f>
        <v>正常</v>
      </c>
    </row>
    <row r="3" ht="14.25" customHeight="1" spans="1:20">
      <c r="A3" s="10" t="s">
        <v>32</v>
      </c>
      <c r="B3" s="12" t="s">
        <v>33</v>
      </c>
      <c r="C3">
        <f t="shared" si="0"/>
        <v>8</v>
      </c>
      <c r="D3">
        <f t="shared" si="1"/>
        <v>5</v>
      </c>
      <c r="E3">
        <f t="shared" si="2"/>
        <v>3</v>
      </c>
      <c r="F3">
        <f t="shared" si="3"/>
        <v>16</v>
      </c>
      <c r="G3">
        <f t="shared" si="4"/>
        <v>6</v>
      </c>
      <c r="H3">
        <f t="shared" si="5"/>
        <v>5</v>
      </c>
      <c r="I3">
        <f t="shared" si="6"/>
        <v>3.2</v>
      </c>
      <c r="J3">
        <f t="shared" si="7"/>
        <v>0.67</v>
      </c>
      <c r="K3">
        <f t="shared" si="8"/>
        <v>0.67</v>
      </c>
      <c r="L3">
        <f t="shared" si="9"/>
        <v>0.67</v>
      </c>
      <c r="M3">
        <f t="shared" si="10"/>
        <v>0</v>
      </c>
      <c r="N3">
        <f t="shared" si="11"/>
        <v>1.92</v>
      </c>
      <c r="O3" t="str">
        <f t="shared" si="12"/>
        <v>标准</v>
      </c>
      <c r="P3" t="str">
        <f t="shared" si="13"/>
        <v>紧凑</v>
      </c>
      <c r="Q3" t="str">
        <f t="shared" si="14"/>
        <v>✓有效</v>
      </c>
      <c r="R3" t="str">
        <f t="shared" si="15"/>
        <v>正常</v>
      </c>
    </row>
    <row r="4" ht="14.25" customHeight="1" spans="1:20">
      <c r="A4" s="10" t="s">
        <v>34</v>
      </c>
      <c r="B4" s="12" t="s">
        <v>35</v>
      </c>
      <c r="C4">
        <f t="shared" si="0"/>
        <v>9</v>
      </c>
      <c r="D4">
        <f t="shared" si="1"/>
        <v>5</v>
      </c>
      <c r="E4">
        <f t="shared" si="2"/>
        <v>4</v>
      </c>
      <c r="F4">
        <f t="shared" si="3"/>
        <v>18</v>
      </c>
      <c r="G4">
        <f t="shared" si="4"/>
        <v>8</v>
      </c>
      <c r="H4">
        <f t="shared" si="5"/>
        <v>5</v>
      </c>
      <c r="I4">
        <f t="shared" si="6"/>
        <v>3.6</v>
      </c>
      <c r="J4">
        <f t="shared" si="7"/>
        <v>0.67</v>
      </c>
      <c r="K4">
        <f t="shared" si="8"/>
        <v>0.67</v>
      </c>
      <c r="L4">
        <f t="shared" si="9"/>
        <v>0.33</v>
      </c>
      <c r="M4">
        <f t="shared" si="10"/>
        <v>1</v>
      </c>
      <c r="N4">
        <f t="shared" si="11"/>
        <v>1.94</v>
      </c>
      <c r="O4" t="str">
        <f t="shared" si="12"/>
        <v>紧凑</v>
      </c>
      <c r="P4" t="str">
        <f t="shared" si="13"/>
        <v>紧凑</v>
      </c>
      <c r="Q4" t="str">
        <f t="shared" si="14"/>
        <v>✓有效</v>
      </c>
      <c r="R4" t="str">
        <f t="shared" si="15"/>
        <v>正常</v>
      </c>
    </row>
    <row r="5" ht="14.25" customHeight="1" spans="1:20">
      <c r="A5" s="10" t="s">
        <v>36</v>
      </c>
      <c r="B5" s="12" t="s">
        <v>37</v>
      </c>
      <c r="C5">
        <f t="shared" si="0"/>
        <v>3</v>
      </c>
      <c r="D5">
        <f t="shared" si="1"/>
        <v>5</v>
      </c>
      <c r="E5">
        <f t="shared" si="2"/>
        <v>8</v>
      </c>
      <c r="F5">
        <f t="shared" si="3"/>
        <v>16</v>
      </c>
      <c r="G5">
        <f t="shared" si="4"/>
        <v>6</v>
      </c>
      <c r="H5">
        <f t="shared" si="5"/>
        <v>5</v>
      </c>
      <c r="I5">
        <f t="shared" si="6"/>
        <v>3.2</v>
      </c>
      <c r="J5">
        <f t="shared" si="7"/>
        <v>0.67</v>
      </c>
      <c r="K5">
        <f t="shared" si="8"/>
        <v>0.67</v>
      </c>
      <c r="L5">
        <f t="shared" si="9"/>
        <v>0.67</v>
      </c>
      <c r="M5">
        <f t="shared" si="10"/>
        <v>0</v>
      </c>
      <c r="N5">
        <f t="shared" si="11"/>
        <v>1.92</v>
      </c>
      <c r="O5" t="str">
        <f t="shared" si="12"/>
        <v>标准</v>
      </c>
      <c r="P5" t="str">
        <f t="shared" si="13"/>
        <v>紧凑</v>
      </c>
      <c r="Q5" t="str">
        <f t="shared" si="14"/>
        <v>✓有效</v>
      </c>
      <c r="R5" t="str">
        <f t="shared" si="15"/>
        <v>正常</v>
      </c>
    </row>
    <row r="6" ht="14.25" customHeight="1" spans="1:20">
      <c r="A6" s="10" t="s">
        <v>38</v>
      </c>
      <c r="B6" s="12" t="s">
        <v>39</v>
      </c>
      <c r="C6">
        <f t="shared" si="0"/>
        <v>9</v>
      </c>
      <c r="D6">
        <f t="shared" si="1"/>
        <v>3</v>
      </c>
      <c r="E6">
        <f t="shared" si="2"/>
        <v>0</v>
      </c>
      <c r="F6">
        <f t="shared" si="3"/>
        <v>12</v>
      </c>
      <c r="G6">
        <f t="shared" si="4"/>
        <v>2</v>
      </c>
      <c r="H6">
        <f t="shared" si="5"/>
        <v>9</v>
      </c>
      <c r="I6">
        <f t="shared" si="6"/>
        <v>1.33</v>
      </c>
      <c r="J6">
        <f t="shared" si="7"/>
        <v>0.67</v>
      </c>
      <c r="K6">
        <f t="shared" si="8"/>
        <v>0.33</v>
      </c>
      <c r="L6">
        <f t="shared" si="9"/>
        <v>0.33</v>
      </c>
      <c r="M6">
        <f t="shared" si="10"/>
        <v>0</v>
      </c>
      <c r="N6">
        <f t="shared" si="11"/>
        <v>1.07</v>
      </c>
      <c r="O6" t="str">
        <f t="shared" si="12"/>
        <v>松散</v>
      </c>
      <c r="P6" t="str">
        <f t="shared" si="13"/>
        <v>极紧凑</v>
      </c>
      <c r="Q6" t="str">
        <f t="shared" si="14"/>
        <v>✓有效</v>
      </c>
      <c r="R6" t="str">
        <f t="shared" si="15"/>
        <v>正常</v>
      </c>
    </row>
    <row r="7" ht="14.25" customHeight="1" spans="1:20">
      <c r="A7" s="10" t="s">
        <v>40</v>
      </c>
      <c r="B7" s="12" t="s">
        <v>41</v>
      </c>
      <c r="C7">
        <f t="shared" si="0"/>
        <v>4</v>
      </c>
      <c r="D7">
        <f t="shared" si="1"/>
        <v>7</v>
      </c>
      <c r="E7">
        <f t="shared" si="2"/>
        <v>7</v>
      </c>
      <c r="F7">
        <f t="shared" si="3"/>
        <v>18</v>
      </c>
      <c r="G7">
        <f t="shared" si="4"/>
        <v>8</v>
      </c>
      <c r="H7">
        <f t="shared" si="5"/>
        <v>3</v>
      </c>
      <c r="I7">
        <f t="shared" si="6"/>
        <v>6</v>
      </c>
      <c r="J7">
        <f t="shared" si="7"/>
        <v>0.67</v>
      </c>
      <c r="K7">
        <f t="shared" si="8"/>
        <v>0.67</v>
      </c>
      <c r="L7">
        <f t="shared" si="9"/>
        <v>0.67</v>
      </c>
      <c r="M7">
        <f t="shared" si="10"/>
        <v>0</v>
      </c>
      <c r="N7">
        <f t="shared" si="11"/>
        <v>3.04</v>
      </c>
      <c r="O7" t="str">
        <f t="shared" si="12"/>
        <v>紧凑</v>
      </c>
      <c r="P7" t="str">
        <f t="shared" si="13"/>
        <v>标准</v>
      </c>
      <c r="Q7" t="str">
        <f t="shared" si="14"/>
        <v>✓有效</v>
      </c>
      <c r="R7" t="str">
        <f t="shared" si="15"/>
        <v>正常</v>
      </c>
    </row>
    <row r="8" ht="14.25" customHeight="1" spans="1:20">
      <c r="A8" s="10" t="s">
        <v>42</v>
      </c>
      <c r="B8" s="12" t="s">
        <v>43</v>
      </c>
      <c r="C8">
        <f t="shared" si="0"/>
        <v>0</v>
      </c>
      <c r="D8">
        <f t="shared" si="1"/>
        <v>7</v>
      </c>
      <c r="E8">
        <f t="shared" si="2"/>
        <v>0</v>
      </c>
      <c r="F8">
        <f t="shared" si="3"/>
        <v>7</v>
      </c>
      <c r="G8">
        <f t="shared" si="4"/>
        <v>7</v>
      </c>
      <c r="H8">
        <f t="shared" si="5"/>
        <v>7</v>
      </c>
      <c r="I8">
        <f t="shared" si="6"/>
        <v>1</v>
      </c>
      <c r="J8">
        <f t="shared" si="7"/>
        <v>0.33</v>
      </c>
      <c r="K8">
        <f t="shared" si="8"/>
        <v>0.33</v>
      </c>
      <c r="L8">
        <f t="shared" si="9"/>
        <v>0.33</v>
      </c>
      <c r="M8">
        <f t="shared" si="10"/>
        <v>0</v>
      </c>
      <c r="N8">
        <f t="shared" si="11"/>
        <v>0.87</v>
      </c>
      <c r="O8" t="str">
        <f t="shared" si="12"/>
        <v>松散</v>
      </c>
      <c r="P8" t="str">
        <f t="shared" si="13"/>
        <v>极紧凑</v>
      </c>
      <c r="Q8" t="str">
        <f t="shared" si="14"/>
        <v>✓有效</v>
      </c>
      <c r="R8" t="str">
        <f t="shared" si="15"/>
        <v>正常</v>
      </c>
    </row>
    <row r="9" ht="14.25" customHeight="1" spans="1:20">
      <c r="A9" s="10" t="s">
        <v>44</v>
      </c>
      <c r="B9" s="12" t="s">
        <v>45</v>
      </c>
      <c r="C9">
        <f t="shared" si="0"/>
        <v>7</v>
      </c>
      <c r="D9">
        <f t="shared" si="1"/>
        <v>4</v>
      </c>
      <c r="E9">
        <f t="shared" si="2"/>
        <v>6</v>
      </c>
      <c r="F9">
        <f t="shared" si="3"/>
        <v>17</v>
      </c>
      <c r="G9">
        <f t="shared" si="4"/>
        <v>7</v>
      </c>
      <c r="H9">
        <f t="shared" si="5"/>
        <v>3</v>
      </c>
      <c r="I9">
        <f t="shared" si="6"/>
        <v>5.67</v>
      </c>
      <c r="J9">
        <f t="shared" si="7"/>
        <v>0.33</v>
      </c>
      <c r="K9">
        <f t="shared" si="8"/>
        <v>0.67</v>
      </c>
      <c r="L9">
        <f t="shared" si="9"/>
        <v>0.33</v>
      </c>
      <c r="M9">
        <f t="shared" si="10"/>
        <v>1</v>
      </c>
      <c r="N9">
        <f t="shared" si="11"/>
        <v>2.7</v>
      </c>
      <c r="O9" t="str">
        <f t="shared" si="12"/>
        <v>紧凑</v>
      </c>
      <c r="P9" t="str">
        <f t="shared" si="13"/>
        <v>紧凑</v>
      </c>
      <c r="Q9" t="str">
        <f t="shared" si="14"/>
        <v>✓有效</v>
      </c>
      <c r="R9" t="str">
        <f t="shared" si="15"/>
        <v>正常</v>
      </c>
    </row>
    <row r="10" ht="14.25" customHeight="1" spans="1:20">
      <c r="A10" s="10" t="s">
        <v>46</v>
      </c>
      <c r="B10" s="12" t="s">
        <v>47</v>
      </c>
      <c r="C10">
        <f t="shared" si="0"/>
        <v>4</v>
      </c>
      <c r="D10">
        <f t="shared" si="1"/>
        <v>1</v>
      </c>
      <c r="E10">
        <f t="shared" si="2"/>
        <v>7</v>
      </c>
      <c r="F10">
        <f t="shared" si="3"/>
        <v>12</v>
      </c>
      <c r="G10">
        <f t="shared" si="4"/>
        <v>2</v>
      </c>
      <c r="H10">
        <f t="shared" si="5"/>
        <v>6</v>
      </c>
      <c r="I10">
        <f t="shared" si="6"/>
        <v>2</v>
      </c>
      <c r="J10">
        <f t="shared" si="7"/>
        <v>0.67</v>
      </c>
      <c r="K10">
        <f t="shared" si="8"/>
        <v>0.33</v>
      </c>
      <c r="L10">
        <f t="shared" si="9"/>
        <v>0.33</v>
      </c>
      <c r="M10">
        <f t="shared" si="10"/>
        <v>0</v>
      </c>
      <c r="N10">
        <f t="shared" si="11"/>
        <v>1.33</v>
      </c>
      <c r="O10" t="str">
        <f t="shared" si="12"/>
        <v>标准</v>
      </c>
      <c r="P10" t="str">
        <f t="shared" si="13"/>
        <v>极紧凑</v>
      </c>
      <c r="Q10" t="str">
        <f t="shared" si="14"/>
        <v>✓有效</v>
      </c>
      <c r="R10" t="str">
        <f t="shared" si="15"/>
        <v>正常</v>
      </c>
    </row>
    <row r="11" ht="14.25" customHeight="1" spans="1:20">
      <c r="A11" s="10" t="s">
        <v>48</v>
      </c>
      <c r="B11" s="12" t="s">
        <v>49</v>
      </c>
      <c r="C11">
        <f t="shared" si="0"/>
        <v>6</v>
      </c>
      <c r="D11">
        <f t="shared" si="1"/>
        <v>6</v>
      </c>
      <c r="E11">
        <f t="shared" si="2"/>
        <v>3</v>
      </c>
      <c r="F11">
        <f t="shared" si="3"/>
        <v>15</v>
      </c>
      <c r="G11">
        <f t="shared" si="4"/>
        <v>5</v>
      </c>
      <c r="H11">
        <f t="shared" si="5"/>
        <v>3</v>
      </c>
      <c r="I11">
        <f t="shared" si="6"/>
        <v>5</v>
      </c>
      <c r="J11">
        <f t="shared" si="7"/>
        <v>0.33</v>
      </c>
      <c r="K11">
        <f t="shared" si="8"/>
        <v>0.67</v>
      </c>
      <c r="L11">
        <f t="shared" si="9"/>
        <v>0.33</v>
      </c>
      <c r="M11">
        <f t="shared" si="10"/>
        <v>0</v>
      </c>
      <c r="N11">
        <f t="shared" si="11"/>
        <v>2.53</v>
      </c>
      <c r="O11" t="str">
        <f t="shared" si="12"/>
        <v>紧凑</v>
      </c>
      <c r="P11" t="str">
        <f t="shared" si="13"/>
        <v>紧凑</v>
      </c>
      <c r="Q11" t="str">
        <f t="shared" si="14"/>
        <v>✓有效</v>
      </c>
      <c r="R11" t="str">
        <f t="shared" si="15"/>
        <v>正常</v>
      </c>
    </row>
    <row r="12" ht="14.25" customHeight="1" spans="1:20">
      <c r="A12" s="10" t="s">
        <v>50</v>
      </c>
      <c r="B12" s="12" t="s">
        <v>51</v>
      </c>
      <c r="C12">
        <f t="shared" si="0"/>
        <v>5</v>
      </c>
      <c r="D12">
        <f t="shared" si="1"/>
        <v>0</v>
      </c>
      <c r="E12">
        <f t="shared" si="2"/>
        <v>5</v>
      </c>
      <c r="F12">
        <f t="shared" si="3"/>
        <v>10</v>
      </c>
      <c r="G12">
        <f t="shared" si="4"/>
        <v>0</v>
      </c>
      <c r="H12">
        <f t="shared" si="5"/>
        <v>5</v>
      </c>
      <c r="I12">
        <f t="shared" si="6"/>
        <v>2</v>
      </c>
      <c r="J12">
        <f t="shared" si="7"/>
        <v>0.67</v>
      </c>
      <c r="K12">
        <f t="shared" si="8"/>
        <v>0.67</v>
      </c>
      <c r="L12">
        <f t="shared" si="9"/>
        <v>0.67</v>
      </c>
      <c r="M12">
        <f t="shared" si="10"/>
        <v>0</v>
      </c>
      <c r="N12">
        <f t="shared" si="11"/>
        <v>1.44</v>
      </c>
      <c r="O12" t="str">
        <f t="shared" si="12"/>
        <v>标准</v>
      </c>
      <c r="P12" t="str">
        <f t="shared" si="13"/>
        <v>极紧凑</v>
      </c>
      <c r="Q12" t="str">
        <f t="shared" si="14"/>
        <v>✓有效</v>
      </c>
      <c r="R12" t="str">
        <f t="shared" si="15"/>
        <v>正常</v>
      </c>
    </row>
    <row r="13" ht="14.25" customHeight="1" spans="1:20">
      <c r="A13" s="10" t="s">
        <v>52</v>
      </c>
      <c r="B13" s="12" t="s">
        <v>53</v>
      </c>
      <c r="C13">
        <f t="shared" si="0"/>
        <v>2</v>
      </c>
      <c r="D13">
        <f t="shared" si="1"/>
        <v>5</v>
      </c>
      <c r="E13">
        <f t="shared" si="2"/>
        <v>9</v>
      </c>
      <c r="F13">
        <f t="shared" si="3"/>
        <v>16</v>
      </c>
      <c r="G13">
        <f t="shared" si="4"/>
        <v>6</v>
      </c>
      <c r="H13">
        <f t="shared" si="5"/>
        <v>7</v>
      </c>
      <c r="I13">
        <f t="shared" si="6"/>
        <v>2.29</v>
      </c>
      <c r="J13">
        <f t="shared" si="7"/>
        <v>0.67</v>
      </c>
      <c r="K13">
        <f t="shared" si="8"/>
        <v>0.67</v>
      </c>
      <c r="L13">
        <f t="shared" si="9"/>
        <v>0.67</v>
      </c>
      <c r="M13">
        <f t="shared" si="10"/>
        <v>0</v>
      </c>
      <c r="N13">
        <f t="shared" si="11"/>
        <v>1.55</v>
      </c>
      <c r="O13" t="str">
        <f t="shared" si="12"/>
        <v>标准</v>
      </c>
      <c r="P13" t="str">
        <f t="shared" si="13"/>
        <v>紧凑</v>
      </c>
      <c r="Q13" t="str">
        <f t="shared" si="14"/>
        <v>✓有效</v>
      </c>
      <c r="R13" t="str">
        <f t="shared" si="15"/>
        <v>正常</v>
      </c>
    </row>
    <row r="14" ht="14.25" customHeight="1" spans="1:20">
      <c r="A14" s="10" t="s">
        <v>54</v>
      </c>
      <c r="B14" s="12" t="s">
        <v>55</v>
      </c>
      <c r="C14">
        <f t="shared" si="0"/>
        <v>2</v>
      </c>
      <c r="D14">
        <f t="shared" si="1"/>
        <v>9</v>
      </c>
      <c r="E14">
        <f t="shared" si="2"/>
        <v>8</v>
      </c>
      <c r="F14">
        <f t="shared" si="3"/>
        <v>19</v>
      </c>
      <c r="G14">
        <f t="shared" si="4"/>
        <v>9</v>
      </c>
      <c r="H14">
        <f t="shared" si="5"/>
        <v>7</v>
      </c>
      <c r="I14">
        <f t="shared" si="6"/>
        <v>2.71</v>
      </c>
      <c r="J14">
        <f t="shared" si="7"/>
        <v>0.33</v>
      </c>
      <c r="K14">
        <f t="shared" si="8"/>
        <v>0.67</v>
      </c>
      <c r="L14">
        <f t="shared" si="9"/>
        <v>0.33</v>
      </c>
      <c r="M14">
        <f t="shared" si="10"/>
        <v>1</v>
      </c>
      <c r="N14">
        <f t="shared" si="11"/>
        <v>1.52</v>
      </c>
      <c r="O14" t="str">
        <f t="shared" si="12"/>
        <v>标准</v>
      </c>
      <c r="P14" t="str">
        <f t="shared" si="13"/>
        <v>紧凑</v>
      </c>
      <c r="Q14" t="str">
        <f t="shared" si="14"/>
        <v>✓有效</v>
      </c>
      <c r="R14" t="str">
        <f t="shared" si="15"/>
        <v>正常</v>
      </c>
    </row>
    <row r="15" ht="14.25" customHeight="1" spans="1:20">
      <c r="A15" s="10" t="s">
        <v>56</v>
      </c>
      <c r="B15" s="12" t="s">
        <v>57</v>
      </c>
      <c r="C15">
        <f t="shared" si="0"/>
        <v>0</v>
      </c>
      <c r="D15">
        <f t="shared" si="1"/>
        <v>9</v>
      </c>
      <c r="E15">
        <f t="shared" si="2"/>
        <v>9</v>
      </c>
      <c r="F15">
        <f t="shared" si="3"/>
        <v>18</v>
      </c>
      <c r="G15">
        <f t="shared" si="4"/>
        <v>8</v>
      </c>
      <c r="H15">
        <f t="shared" si="5"/>
        <v>9</v>
      </c>
      <c r="I15">
        <f t="shared" si="6"/>
        <v>2</v>
      </c>
      <c r="J15">
        <f t="shared" si="7"/>
        <v>0.67</v>
      </c>
      <c r="K15">
        <f t="shared" si="8"/>
        <v>0.67</v>
      </c>
      <c r="L15">
        <f t="shared" si="9"/>
        <v>0</v>
      </c>
      <c r="M15">
        <f t="shared" si="10"/>
        <v>0</v>
      </c>
      <c r="N15">
        <f t="shared" si="11"/>
        <v>1.37</v>
      </c>
      <c r="O15" t="str">
        <f t="shared" si="12"/>
        <v>标准</v>
      </c>
      <c r="P15" t="str">
        <f t="shared" si="13"/>
        <v>极紧凑</v>
      </c>
      <c r="Q15" t="str">
        <f t="shared" si="14"/>
        <v>✓有效</v>
      </c>
      <c r="R15" t="str">
        <f t="shared" si="15"/>
        <v>正常</v>
      </c>
    </row>
    <row r="16" ht="14.25" customHeight="1" spans="1:20">
      <c r="A16" s="10" t="s">
        <v>58</v>
      </c>
      <c r="B16" s="11">
        <v>720</v>
      </c>
      <c r="C16">
        <f t="shared" ref="C16:C43" si="16">IF(B16="","",LEFT(TEXT(B16,"000"),1)*1)</f>
        <v>7</v>
      </c>
      <c r="D16">
        <f t="shared" ref="D16:D43" si="17">IF(B16="","",MID(TEXT(B16,"000"),2,1)*1)</f>
        <v>2</v>
      </c>
      <c r="E16">
        <f t="shared" ref="E16:E43" si="18">IF(B16="","",RIGHT(TEXT(B16,"000"),1)*1)</f>
        <v>0</v>
      </c>
      <c r="F16">
        <f t="shared" ref="F16:F43" si="19">IF(B16="","",C16+D16+E16)</f>
        <v>9</v>
      </c>
      <c r="G16">
        <f t="shared" ref="G16:G43" si="20">IF(B16="","",MOD(F16,10))</f>
        <v>9</v>
      </c>
      <c r="H16">
        <f t="shared" ref="H16:H43" si="21">IF(B16="","",MAX(C16,D16,E16)-MIN(C16,D16,E16))</f>
        <v>7</v>
      </c>
      <c r="I16">
        <f t="shared" ref="I16:I43" si="22">IF(OR(B16="",H16=0),IF(H16=0,0.1,""),ROUND(F16/H16,2))</f>
        <v>1.29</v>
      </c>
      <c r="J16">
        <f t="shared" ref="J16:J43" si="23">IF(B16="","",ROUND((MOD(C16,2)+MOD(D16,2)+MOD(E16,2))/3,2))</f>
        <v>0.33</v>
      </c>
      <c r="K16">
        <f t="shared" ref="K16:K43" si="24">IF(B16="","",ROUND(((C16&gt;=5)+(D16&gt;=5)+(E16&gt;=5))/3,2))</f>
        <v>0.33</v>
      </c>
      <c r="L16">
        <f t="shared" ref="L16:L43" si="25">IF(B16="","",ROUND((ISNUMBER(FIND(C16,"2357"))+ISNUMBER(FIND(D16,"2357"))+ISNUMBER(FIND(E16,"2357")))/3,2))</f>
        <v>0.67</v>
      </c>
      <c r="M16">
        <f t="shared" ref="M16:M43" si="26">IF(B16="","",((ABS(C16-D16)=1)+(ABS(D16-E16)=1)+(ABS(C16-E16)=1)))</f>
        <v>0</v>
      </c>
      <c r="N16">
        <f t="shared" ref="N16:N43" si="27">IF(B16="","",ROUND(I16*0.4+J16*0.2+K16*0.2+L16*0.1+(3-M16)*0.1,2))</f>
        <v>1.02</v>
      </c>
      <c r="O16" t="str">
        <f t="shared" ref="O16:O43" si="28">IF(I16=0.1,"极紧凑",IF(I16&gt;3.5,"紧凑",IF(AND(I16&gt;=2,I16&lt;=3.5),"标准",IF(AND(I16&gt;=1,I16&lt;2),"松散",""))))</f>
        <v>松散</v>
      </c>
      <c r="P16" t="str">
        <f t="shared" ref="P16:P43" si="29">IF(B16="","",IF(N16&lt;=1.5,"极紧凑",IF(N16&lt;=3,"紧凑",IF(N16&lt;=5,"标准","松散"))))</f>
        <v>极紧凑</v>
      </c>
      <c r="Q16" t="str">
        <f t="shared" ref="Q16:Q43" si="30">IF(B16="","",IF(AND(C16&gt;=0,C16&lt;=9,D16&gt;=0,D16&lt;=9,E16&gt;=0,E16&lt;=9),"✓有效","✗无效"))</f>
        <v>✓有效</v>
      </c>
      <c r="R16" t="str">
        <f t="shared" ref="R16:R43" si="31">IF(B16="","",IF(OR(I16&gt;10,I16&lt;0.1),"异常","正常"))</f>
        <v>正常</v>
      </c>
    </row>
    <row r="17" ht="14.25" customHeight="1" spans="1:18">
      <c r="A17" s="10" t="s">
        <v>59</v>
      </c>
      <c r="B17" s="12" t="s">
        <v>60</v>
      </c>
      <c r="C17">
        <f t="shared" si="16"/>
        <v>0</v>
      </c>
      <c r="D17">
        <f t="shared" si="17"/>
        <v>4</v>
      </c>
      <c r="E17">
        <f t="shared" si="18"/>
        <v>2</v>
      </c>
      <c r="F17">
        <f t="shared" si="19"/>
        <v>6</v>
      </c>
      <c r="G17">
        <f t="shared" si="20"/>
        <v>6</v>
      </c>
      <c r="H17">
        <f t="shared" si="21"/>
        <v>4</v>
      </c>
      <c r="I17">
        <f t="shared" si="22"/>
        <v>1.5</v>
      </c>
      <c r="J17">
        <f t="shared" si="23"/>
        <v>0</v>
      </c>
      <c r="K17">
        <f t="shared" si="24"/>
        <v>0</v>
      </c>
      <c r="L17">
        <f t="shared" si="25"/>
        <v>0.33</v>
      </c>
      <c r="M17">
        <f t="shared" si="26"/>
        <v>0</v>
      </c>
      <c r="N17">
        <f t="shared" si="27"/>
        <v>0.93</v>
      </c>
      <c r="O17" t="str">
        <f t="shared" si="28"/>
        <v>松散</v>
      </c>
      <c r="P17" t="str">
        <f t="shared" si="29"/>
        <v>极紧凑</v>
      </c>
      <c r="Q17" t="str">
        <f t="shared" si="30"/>
        <v>✓有效</v>
      </c>
      <c r="R17" t="str">
        <f t="shared" si="31"/>
        <v>正常</v>
      </c>
    </row>
    <row r="18" ht="14.25" customHeight="1" spans="1:18">
      <c r="A18" s="10" t="s">
        <v>61</v>
      </c>
      <c r="B18" s="12" t="s">
        <v>60</v>
      </c>
      <c r="C18">
        <f t="shared" si="16"/>
        <v>0</v>
      </c>
      <c r="D18">
        <f t="shared" si="17"/>
        <v>4</v>
      </c>
      <c r="E18">
        <f t="shared" si="18"/>
        <v>2</v>
      </c>
      <c r="F18">
        <f t="shared" si="19"/>
        <v>6</v>
      </c>
      <c r="G18">
        <f t="shared" si="20"/>
        <v>6</v>
      </c>
      <c r="H18">
        <f t="shared" si="21"/>
        <v>4</v>
      </c>
      <c r="I18">
        <f t="shared" si="22"/>
        <v>1.5</v>
      </c>
      <c r="J18">
        <f t="shared" si="23"/>
        <v>0</v>
      </c>
      <c r="K18">
        <f t="shared" si="24"/>
        <v>0</v>
      </c>
      <c r="L18">
        <f t="shared" si="25"/>
        <v>0.33</v>
      </c>
      <c r="M18">
        <f t="shared" si="26"/>
        <v>0</v>
      </c>
      <c r="N18">
        <f t="shared" si="27"/>
        <v>0.93</v>
      </c>
      <c r="O18" t="str">
        <f t="shared" si="28"/>
        <v>松散</v>
      </c>
      <c r="P18" t="str">
        <f t="shared" si="29"/>
        <v>极紧凑</v>
      </c>
      <c r="Q18" t="str">
        <f t="shared" si="30"/>
        <v>✓有效</v>
      </c>
      <c r="R18" t="str">
        <f t="shared" si="31"/>
        <v>正常</v>
      </c>
    </row>
    <row r="19" ht="14.25" customHeight="1" spans="1:18">
      <c r="A19" s="10" t="s">
        <v>62</v>
      </c>
      <c r="B19" s="12" t="s">
        <v>63</v>
      </c>
      <c r="C19">
        <f t="shared" si="16"/>
        <v>8</v>
      </c>
      <c r="D19">
        <f t="shared" si="17"/>
        <v>4</v>
      </c>
      <c r="E19">
        <f t="shared" si="18"/>
        <v>1</v>
      </c>
      <c r="F19">
        <f t="shared" si="19"/>
        <v>13</v>
      </c>
      <c r="G19">
        <f t="shared" si="20"/>
        <v>3</v>
      </c>
      <c r="H19">
        <f t="shared" si="21"/>
        <v>7</v>
      </c>
      <c r="I19">
        <f t="shared" si="22"/>
        <v>1.86</v>
      </c>
      <c r="J19">
        <f t="shared" si="23"/>
        <v>0.33</v>
      </c>
      <c r="K19">
        <f t="shared" si="24"/>
        <v>0.33</v>
      </c>
      <c r="L19">
        <f t="shared" si="25"/>
        <v>0</v>
      </c>
      <c r="M19">
        <f t="shared" si="26"/>
        <v>0</v>
      </c>
      <c r="N19">
        <f t="shared" si="27"/>
        <v>1.18</v>
      </c>
      <c r="O19" t="str">
        <f t="shared" si="28"/>
        <v>松散</v>
      </c>
      <c r="P19" t="str">
        <f t="shared" si="29"/>
        <v>极紧凑</v>
      </c>
      <c r="Q19" t="str">
        <f t="shared" si="30"/>
        <v>✓有效</v>
      </c>
      <c r="R19" t="str">
        <f t="shared" si="31"/>
        <v>正常</v>
      </c>
    </row>
    <row r="20" ht="14.25" customHeight="1" spans="1:18">
      <c r="A20" s="10" t="s">
        <v>64</v>
      </c>
      <c r="B20" s="12" t="s">
        <v>65</v>
      </c>
      <c r="C20">
        <f t="shared" si="16"/>
        <v>5</v>
      </c>
      <c r="D20">
        <f t="shared" si="17"/>
        <v>7</v>
      </c>
      <c r="E20">
        <f t="shared" si="18"/>
        <v>1</v>
      </c>
      <c r="F20">
        <f t="shared" si="19"/>
        <v>13</v>
      </c>
      <c r="G20">
        <f t="shared" si="20"/>
        <v>3</v>
      </c>
      <c r="H20">
        <f t="shared" si="21"/>
        <v>6</v>
      </c>
      <c r="I20">
        <f t="shared" si="22"/>
        <v>2.17</v>
      </c>
      <c r="J20">
        <f t="shared" si="23"/>
        <v>1</v>
      </c>
      <c r="K20">
        <f t="shared" si="24"/>
        <v>0.67</v>
      </c>
      <c r="L20">
        <f t="shared" si="25"/>
        <v>0.67</v>
      </c>
      <c r="M20">
        <f t="shared" si="26"/>
        <v>0</v>
      </c>
      <c r="N20">
        <f t="shared" si="27"/>
        <v>1.57</v>
      </c>
      <c r="O20" t="str">
        <f t="shared" si="28"/>
        <v>标准</v>
      </c>
      <c r="P20" t="str">
        <f t="shared" si="29"/>
        <v>紧凑</v>
      </c>
      <c r="Q20" t="str">
        <f t="shared" si="30"/>
        <v>✓有效</v>
      </c>
      <c r="R20" t="str">
        <f t="shared" si="31"/>
        <v>正常</v>
      </c>
    </row>
    <row r="21" ht="14.25" customHeight="1" spans="1:18">
      <c r="A21" s="10" t="s">
        <v>66</v>
      </c>
      <c r="B21" s="12" t="s">
        <v>67</v>
      </c>
      <c r="C21">
        <f t="shared" si="16"/>
        <v>5</v>
      </c>
      <c r="D21">
        <f t="shared" si="17"/>
        <v>8</v>
      </c>
      <c r="E21">
        <f t="shared" si="18"/>
        <v>0</v>
      </c>
      <c r="F21">
        <f t="shared" si="19"/>
        <v>13</v>
      </c>
      <c r="G21">
        <f t="shared" si="20"/>
        <v>3</v>
      </c>
      <c r="H21">
        <f t="shared" si="21"/>
        <v>8</v>
      </c>
      <c r="I21">
        <f t="shared" si="22"/>
        <v>1.63</v>
      </c>
      <c r="J21">
        <f t="shared" si="23"/>
        <v>0.33</v>
      </c>
      <c r="K21">
        <f t="shared" si="24"/>
        <v>0.67</v>
      </c>
      <c r="L21">
        <f t="shared" si="25"/>
        <v>0.33</v>
      </c>
      <c r="M21">
        <f t="shared" si="26"/>
        <v>0</v>
      </c>
      <c r="N21">
        <f t="shared" si="27"/>
        <v>1.19</v>
      </c>
      <c r="O21" t="str">
        <f t="shared" si="28"/>
        <v>松散</v>
      </c>
      <c r="P21" t="str">
        <f t="shared" si="29"/>
        <v>极紧凑</v>
      </c>
      <c r="Q21" t="str">
        <f t="shared" si="30"/>
        <v>✓有效</v>
      </c>
      <c r="R21" t="str">
        <f t="shared" si="31"/>
        <v>正常</v>
      </c>
    </row>
    <row r="22" ht="14.25" customHeight="1" spans="1:18">
      <c r="A22" s="10" t="s">
        <v>68</v>
      </c>
      <c r="B22" s="12" t="s">
        <v>69</v>
      </c>
      <c r="C22">
        <f t="shared" si="16"/>
        <v>6</v>
      </c>
      <c r="D22">
        <f t="shared" si="17"/>
        <v>4</v>
      </c>
      <c r="E22">
        <f t="shared" si="18"/>
        <v>8</v>
      </c>
      <c r="F22">
        <f t="shared" si="19"/>
        <v>18</v>
      </c>
      <c r="G22">
        <f t="shared" si="20"/>
        <v>8</v>
      </c>
      <c r="H22">
        <f t="shared" si="21"/>
        <v>4</v>
      </c>
      <c r="I22">
        <f t="shared" si="22"/>
        <v>4.5</v>
      </c>
      <c r="J22">
        <f t="shared" si="23"/>
        <v>0</v>
      </c>
      <c r="K22">
        <f t="shared" si="24"/>
        <v>0.67</v>
      </c>
      <c r="L22">
        <f t="shared" si="25"/>
        <v>0</v>
      </c>
      <c r="M22">
        <f t="shared" si="26"/>
        <v>0</v>
      </c>
      <c r="N22">
        <f t="shared" si="27"/>
        <v>2.23</v>
      </c>
      <c r="O22" t="str">
        <f t="shared" si="28"/>
        <v>紧凑</v>
      </c>
      <c r="P22" t="str">
        <f t="shared" si="29"/>
        <v>紧凑</v>
      </c>
      <c r="Q22" t="str">
        <f t="shared" si="30"/>
        <v>✓有效</v>
      </c>
      <c r="R22" t="str">
        <f t="shared" si="31"/>
        <v>正常</v>
      </c>
    </row>
    <row r="23" ht="14.25" customHeight="1" spans="1:18">
      <c r="A23" s="10" t="s">
        <v>70</v>
      </c>
      <c r="B23" s="12" t="s">
        <v>71</v>
      </c>
      <c r="C23">
        <f t="shared" si="16"/>
        <v>5</v>
      </c>
      <c r="D23">
        <f t="shared" si="17"/>
        <v>0</v>
      </c>
      <c r="E23">
        <f t="shared" si="18"/>
        <v>3</v>
      </c>
      <c r="F23">
        <f t="shared" si="19"/>
        <v>8</v>
      </c>
      <c r="G23">
        <f t="shared" si="20"/>
        <v>8</v>
      </c>
      <c r="H23">
        <f t="shared" si="21"/>
        <v>5</v>
      </c>
      <c r="I23">
        <f t="shared" si="22"/>
        <v>1.6</v>
      </c>
      <c r="J23">
        <f t="shared" si="23"/>
        <v>0.67</v>
      </c>
      <c r="K23">
        <f t="shared" si="24"/>
        <v>0.33</v>
      </c>
      <c r="L23">
        <f t="shared" si="25"/>
        <v>0.67</v>
      </c>
      <c r="M23">
        <f t="shared" si="26"/>
        <v>0</v>
      </c>
      <c r="N23">
        <f t="shared" si="27"/>
        <v>1.21</v>
      </c>
      <c r="O23" t="str">
        <f t="shared" si="28"/>
        <v>松散</v>
      </c>
      <c r="P23" t="str">
        <f t="shared" si="29"/>
        <v>极紧凑</v>
      </c>
      <c r="Q23" t="str">
        <f t="shared" si="30"/>
        <v>✓有效</v>
      </c>
      <c r="R23" t="str">
        <f t="shared" si="31"/>
        <v>正常</v>
      </c>
    </row>
    <row r="24" ht="14.25" customHeight="1" spans="1:18">
      <c r="A24" s="10" t="s">
        <v>72</v>
      </c>
      <c r="B24" s="12" t="s">
        <v>73</v>
      </c>
      <c r="C24">
        <f t="shared" si="16"/>
        <v>9</v>
      </c>
      <c r="D24">
        <f t="shared" si="17"/>
        <v>0</v>
      </c>
      <c r="E24">
        <f t="shared" si="18"/>
        <v>3</v>
      </c>
      <c r="F24">
        <f t="shared" si="19"/>
        <v>12</v>
      </c>
      <c r="G24">
        <f t="shared" si="20"/>
        <v>2</v>
      </c>
      <c r="H24">
        <f t="shared" si="21"/>
        <v>9</v>
      </c>
      <c r="I24">
        <f t="shared" si="22"/>
        <v>1.33</v>
      </c>
      <c r="J24">
        <f t="shared" si="23"/>
        <v>0.67</v>
      </c>
      <c r="K24">
        <f t="shared" si="24"/>
        <v>0.33</v>
      </c>
      <c r="L24">
        <f t="shared" si="25"/>
        <v>0.33</v>
      </c>
      <c r="M24">
        <f t="shared" si="26"/>
        <v>0</v>
      </c>
      <c r="N24">
        <f t="shared" si="27"/>
        <v>1.07</v>
      </c>
      <c r="O24" t="str">
        <f t="shared" si="28"/>
        <v>松散</v>
      </c>
      <c r="P24" t="str">
        <f t="shared" si="29"/>
        <v>极紧凑</v>
      </c>
      <c r="Q24" t="str">
        <f t="shared" si="30"/>
        <v>✓有效</v>
      </c>
      <c r="R24" t="str">
        <f t="shared" si="31"/>
        <v>正常</v>
      </c>
    </row>
    <row r="25" ht="14.25" customHeight="1" spans="1:18">
      <c r="A25" s="10" t="s">
        <v>74</v>
      </c>
      <c r="B25" s="12" t="s">
        <v>75</v>
      </c>
      <c r="C25">
        <f t="shared" si="16"/>
        <v>3</v>
      </c>
      <c r="D25">
        <f t="shared" si="17"/>
        <v>5</v>
      </c>
      <c r="E25">
        <f t="shared" si="18"/>
        <v>7</v>
      </c>
      <c r="F25">
        <f t="shared" si="19"/>
        <v>15</v>
      </c>
      <c r="G25">
        <f t="shared" si="20"/>
        <v>5</v>
      </c>
      <c r="H25">
        <f t="shared" si="21"/>
        <v>4</v>
      </c>
      <c r="I25">
        <f t="shared" si="22"/>
        <v>3.75</v>
      </c>
      <c r="J25">
        <f t="shared" si="23"/>
        <v>1</v>
      </c>
      <c r="K25">
        <f t="shared" si="24"/>
        <v>0.67</v>
      </c>
      <c r="L25">
        <f t="shared" si="25"/>
        <v>1</v>
      </c>
      <c r="M25">
        <f t="shared" si="26"/>
        <v>0</v>
      </c>
      <c r="N25">
        <f t="shared" si="27"/>
        <v>2.23</v>
      </c>
      <c r="O25" t="str">
        <f t="shared" si="28"/>
        <v>紧凑</v>
      </c>
      <c r="P25" t="str">
        <f t="shared" si="29"/>
        <v>紧凑</v>
      </c>
      <c r="Q25" t="str">
        <f t="shared" si="30"/>
        <v>✓有效</v>
      </c>
      <c r="R25" t="str">
        <f t="shared" si="31"/>
        <v>正常</v>
      </c>
    </row>
    <row r="26" ht="14.25" customHeight="1" spans="1:18">
      <c r="A26" s="10" t="s">
        <v>76</v>
      </c>
      <c r="B26" s="12" t="s">
        <v>77</v>
      </c>
      <c r="C26">
        <f t="shared" si="16"/>
        <v>1</v>
      </c>
      <c r="D26">
        <f t="shared" si="17"/>
        <v>5</v>
      </c>
      <c r="E26">
        <f t="shared" si="18"/>
        <v>8</v>
      </c>
      <c r="F26">
        <f t="shared" si="19"/>
        <v>14</v>
      </c>
      <c r="G26">
        <f t="shared" si="20"/>
        <v>4</v>
      </c>
      <c r="H26">
        <f t="shared" si="21"/>
        <v>7</v>
      </c>
      <c r="I26">
        <f t="shared" si="22"/>
        <v>2</v>
      </c>
      <c r="J26">
        <f t="shared" si="23"/>
        <v>0.67</v>
      </c>
      <c r="K26">
        <f t="shared" si="24"/>
        <v>0.67</v>
      </c>
      <c r="L26">
        <f t="shared" si="25"/>
        <v>0.33</v>
      </c>
      <c r="M26">
        <f t="shared" si="26"/>
        <v>0</v>
      </c>
      <c r="N26">
        <f t="shared" si="27"/>
        <v>1.4</v>
      </c>
      <c r="O26" t="str">
        <f t="shared" si="28"/>
        <v>标准</v>
      </c>
      <c r="P26" t="str">
        <f t="shared" si="29"/>
        <v>极紧凑</v>
      </c>
      <c r="Q26" t="str">
        <f t="shared" si="30"/>
        <v>✓有效</v>
      </c>
      <c r="R26" t="str">
        <f t="shared" si="31"/>
        <v>正常</v>
      </c>
    </row>
    <row r="27" ht="14.25" customHeight="1" spans="1:18">
      <c r="A27" s="10" t="s">
        <v>78</v>
      </c>
      <c r="B27" s="12" t="s">
        <v>79</v>
      </c>
      <c r="C27">
        <f t="shared" si="16"/>
        <v>5</v>
      </c>
      <c r="D27">
        <f t="shared" si="17"/>
        <v>6</v>
      </c>
      <c r="E27">
        <f t="shared" si="18"/>
        <v>2</v>
      </c>
      <c r="F27">
        <f t="shared" si="19"/>
        <v>13</v>
      </c>
      <c r="G27">
        <f t="shared" si="20"/>
        <v>3</v>
      </c>
      <c r="H27">
        <f t="shared" si="21"/>
        <v>4</v>
      </c>
      <c r="I27">
        <f t="shared" si="22"/>
        <v>3.25</v>
      </c>
      <c r="J27">
        <f t="shared" si="23"/>
        <v>0.33</v>
      </c>
      <c r="K27">
        <f t="shared" si="24"/>
        <v>0.67</v>
      </c>
      <c r="L27">
        <f t="shared" si="25"/>
        <v>0.67</v>
      </c>
      <c r="M27">
        <f t="shared" si="26"/>
        <v>1</v>
      </c>
      <c r="N27">
        <f t="shared" si="27"/>
        <v>1.77</v>
      </c>
      <c r="O27" t="str">
        <f t="shared" si="28"/>
        <v>标准</v>
      </c>
      <c r="P27" t="str">
        <f t="shared" si="29"/>
        <v>紧凑</v>
      </c>
      <c r="Q27" t="str">
        <f t="shared" si="30"/>
        <v>✓有效</v>
      </c>
      <c r="R27" t="str">
        <f t="shared" si="31"/>
        <v>正常</v>
      </c>
    </row>
    <row r="28" ht="14.25" customHeight="1" spans="1:18">
      <c r="A28" s="10" t="s">
        <v>80</v>
      </c>
      <c r="B28" s="12" t="s">
        <v>81</v>
      </c>
      <c r="C28">
        <f t="shared" si="16"/>
        <v>6</v>
      </c>
      <c r="D28">
        <f t="shared" si="17"/>
        <v>8</v>
      </c>
      <c r="E28">
        <f t="shared" si="18"/>
        <v>8</v>
      </c>
      <c r="F28">
        <f t="shared" si="19"/>
        <v>22</v>
      </c>
      <c r="G28">
        <f t="shared" si="20"/>
        <v>2</v>
      </c>
      <c r="H28">
        <f t="shared" si="21"/>
        <v>2</v>
      </c>
      <c r="I28">
        <f t="shared" si="22"/>
        <v>11</v>
      </c>
      <c r="J28">
        <f t="shared" si="23"/>
        <v>0</v>
      </c>
      <c r="K28">
        <f t="shared" si="24"/>
        <v>1</v>
      </c>
      <c r="L28">
        <f t="shared" si="25"/>
        <v>0</v>
      </c>
      <c r="M28">
        <f t="shared" si="26"/>
        <v>0</v>
      </c>
      <c r="N28">
        <f t="shared" si="27"/>
        <v>4.9</v>
      </c>
      <c r="O28" t="str">
        <f t="shared" si="28"/>
        <v>紧凑</v>
      </c>
      <c r="P28" t="str">
        <f t="shared" si="29"/>
        <v>标准</v>
      </c>
      <c r="Q28" t="str">
        <f t="shared" si="30"/>
        <v>✓有效</v>
      </c>
      <c r="R28" t="str">
        <f t="shared" si="31"/>
        <v>异常</v>
      </c>
    </row>
    <row r="29" ht="14.25" customHeight="1" spans="1:18">
      <c r="A29" s="10" t="s">
        <v>82</v>
      </c>
      <c r="B29" s="12" t="s">
        <v>83</v>
      </c>
      <c r="C29">
        <f t="shared" si="16"/>
        <v>2</v>
      </c>
      <c r="D29">
        <f t="shared" si="17"/>
        <v>4</v>
      </c>
      <c r="E29">
        <f t="shared" si="18"/>
        <v>9</v>
      </c>
      <c r="F29">
        <f t="shared" si="19"/>
        <v>15</v>
      </c>
      <c r="G29">
        <f t="shared" si="20"/>
        <v>5</v>
      </c>
      <c r="H29">
        <f t="shared" si="21"/>
        <v>7</v>
      </c>
      <c r="I29">
        <f t="shared" si="22"/>
        <v>2.14</v>
      </c>
      <c r="J29">
        <f t="shared" si="23"/>
        <v>0.33</v>
      </c>
      <c r="K29">
        <f t="shared" si="24"/>
        <v>0.33</v>
      </c>
      <c r="L29">
        <f t="shared" si="25"/>
        <v>0.33</v>
      </c>
      <c r="M29">
        <f t="shared" si="26"/>
        <v>0</v>
      </c>
      <c r="N29">
        <f t="shared" si="27"/>
        <v>1.32</v>
      </c>
      <c r="O29" t="str">
        <f t="shared" si="28"/>
        <v>标准</v>
      </c>
      <c r="P29" t="str">
        <f t="shared" si="29"/>
        <v>极紧凑</v>
      </c>
      <c r="Q29" t="str">
        <f t="shared" si="30"/>
        <v>✓有效</v>
      </c>
      <c r="R29" t="str">
        <f t="shared" si="31"/>
        <v>正常</v>
      </c>
    </row>
    <row r="30" ht="14.25" customHeight="1" spans="1:18">
      <c r="A30" s="10" t="s">
        <v>84</v>
      </c>
      <c r="B30" s="12" t="s">
        <v>85</v>
      </c>
      <c r="C30">
        <f t="shared" si="16"/>
        <v>4</v>
      </c>
      <c r="D30">
        <f t="shared" si="17"/>
        <v>3</v>
      </c>
      <c r="E30">
        <f t="shared" si="18"/>
        <v>2</v>
      </c>
      <c r="F30">
        <f t="shared" si="19"/>
        <v>9</v>
      </c>
      <c r="G30">
        <f t="shared" si="20"/>
        <v>9</v>
      </c>
      <c r="H30">
        <f t="shared" si="21"/>
        <v>2</v>
      </c>
      <c r="I30">
        <f t="shared" si="22"/>
        <v>4.5</v>
      </c>
      <c r="J30">
        <f t="shared" si="23"/>
        <v>0.33</v>
      </c>
      <c r="K30">
        <f t="shared" si="24"/>
        <v>0</v>
      </c>
      <c r="L30">
        <f t="shared" si="25"/>
        <v>0.67</v>
      </c>
      <c r="M30">
        <f t="shared" si="26"/>
        <v>2</v>
      </c>
      <c r="N30">
        <f t="shared" si="27"/>
        <v>2.03</v>
      </c>
      <c r="O30" t="str">
        <f t="shared" si="28"/>
        <v>紧凑</v>
      </c>
      <c r="P30" t="str">
        <f t="shared" si="29"/>
        <v>紧凑</v>
      </c>
      <c r="Q30" t="str">
        <f t="shared" si="30"/>
        <v>✓有效</v>
      </c>
      <c r="R30" t="str">
        <f t="shared" si="31"/>
        <v>正常</v>
      </c>
    </row>
    <row r="31" ht="14.25" customHeight="1" spans="1:18">
      <c r="A31" s="10">
        <v>2023002</v>
      </c>
      <c r="B31" s="12" t="s">
        <v>86</v>
      </c>
      <c r="C31">
        <f t="shared" si="16"/>
        <v>8</v>
      </c>
      <c r="D31">
        <f t="shared" si="17"/>
        <v>5</v>
      </c>
      <c r="E31">
        <f t="shared" si="18"/>
        <v>0</v>
      </c>
      <c r="F31">
        <f t="shared" si="19"/>
        <v>13</v>
      </c>
      <c r="G31">
        <f t="shared" si="20"/>
        <v>3</v>
      </c>
      <c r="H31">
        <f t="shared" si="21"/>
        <v>8</v>
      </c>
      <c r="I31">
        <f t="shared" si="22"/>
        <v>1.63</v>
      </c>
      <c r="J31">
        <f t="shared" si="23"/>
        <v>0.33</v>
      </c>
      <c r="K31">
        <f t="shared" si="24"/>
        <v>0.67</v>
      </c>
      <c r="L31">
        <f t="shared" si="25"/>
        <v>0.33</v>
      </c>
      <c r="M31">
        <f t="shared" si="26"/>
        <v>0</v>
      </c>
      <c r="N31">
        <f t="shared" si="27"/>
        <v>1.19</v>
      </c>
      <c r="O31" t="str">
        <f t="shared" si="28"/>
        <v>松散</v>
      </c>
      <c r="P31" t="str">
        <f t="shared" si="29"/>
        <v>极紧凑</v>
      </c>
      <c r="Q31" t="str">
        <f t="shared" si="30"/>
        <v>✓有效</v>
      </c>
      <c r="R31" t="str">
        <f t="shared" si="31"/>
        <v>正常</v>
      </c>
    </row>
    <row r="32" ht="14.25" customHeight="1" spans="1:18">
      <c r="A32" s="10">
        <v>2023003</v>
      </c>
      <c r="B32" s="12" t="s">
        <v>87</v>
      </c>
      <c r="C32">
        <f t="shared" si="16"/>
        <v>5</v>
      </c>
      <c r="D32">
        <f t="shared" si="17"/>
        <v>9</v>
      </c>
      <c r="E32">
        <f t="shared" si="18"/>
        <v>6</v>
      </c>
      <c r="F32">
        <f t="shared" si="19"/>
        <v>20</v>
      </c>
      <c r="G32">
        <f t="shared" si="20"/>
        <v>0</v>
      </c>
      <c r="H32">
        <f t="shared" si="21"/>
        <v>4</v>
      </c>
      <c r="I32">
        <f t="shared" si="22"/>
        <v>5</v>
      </c>
      <c r="J32">
        <f t="shared" si="23"/>
        <v>0.67</v>
      </c>
      <c r="K32">
        <f t="shared" si="24"/>
        <v>1</v>
      </c>
      <c r="L32">
        <f t="shared" si="25"/>
        <v>0.33</v>
      </c>
      <c r="M32">
        <f t="shared" si="26"/>
        <v>1</v>
      </c>
      <c r="N32">
        <f t="shared" si="27"/>
        <v>2.57</v>
      </c>
      <c r="O32" t="str">
        <f t="shared" si="28"/>
        <v>紧凑</v>
      </c>
      <c r="P32" t="str">
        <f t="shared" si="29"/>
        <v>紧凑</v>
      </c>
      <c r="Q32" t="str">
        <f t="shared" si="30"/>
        <v>✓有效</v>
      </c>
      <c r="R32" t="str">
        <f t="shared" si="31"/>
        <v>正常</v>
      </c>
    </row>
    <row r="33" ht="14.25" customHeight="1" spans="1:18">
      <c r="A33" s="10">
        <v>2023004</v>
      </c>
      <c r="B33" s="12" t="s">
        <v>88</v>
      </c>
      <c r="C33">
        <f t="shared" si="16"/>
        <v>3</v>
      </c>
      <c r="D33">
        <f t="shared" si="17"/>
        <v>9</v>
      </c>
      <c r="E33">
        <f t="shared" si="18"/>
        <v>8</v>
      </c>
      <c r="F33">
        <f t="shared" si="19"/>
        <v>20</v>
      </c>
      <c r="G33">
        <f t="shared" si="20"/>
        <v>0</v>
      </c>
      <c r="H33">
        <f t="shared" si="21"/>
        <v>6</v>
      </c>
      <c r="I33">
        <f t="shared" si="22"/>
        <v>3.33</v>
      </c>
      <c r="J33">
        <f t="shared" si="23"/>
        <v>0.67</v>
      </c>
      <c r="K33">
        <f t="shared" si="24"/>
        <v>0.67</v>
      </c>
      <c r="L33">
        <f t="shared" si="25"/>
        <v>0.33</v>
      </c>
      <c r="M33">
        <f t="shared" si="26"/>
        <v>1</v>
      </c>
      <c r="N33">
        <f t="shared" si="27"/>
        <v>1.83</v>
      </c>
      <c r="O33" t="str">
        <f t="shared" si="28"/>
        <v>标准</v>
      </c>
      <c r="P33" t="str">
        <f t="shared" si="29"/>
        <v>紧凑</v>
      </c>
      <c r="Q33" t="str">
        <f t="shared" si="30"/>
        <v>✓有效</v>
      </c>
      <c r="R33" t="str">
        <f t="shared" si="31"/>
        <v>正常</v>
      </c>
    </row>
    <row r="34" ht="14.25" customHeight="1" spans="1:18">
      <c r="A34" s="10">
        <v>2023005</v>
      </c>
      <c r="B34" s="12" t="s">
        <v>89</v>
      </c>
      <c r="C34">
        <f t="shared" si="16"/>
        <v>6</v>
      </c>
      <c r="D34">
        <f t="shared" si="17"/>
        <v>0</v>
      </c>
      <c r="E34">
        <f t="shared" si="18"/>
        <v>9</v>
      </c>
      <c r="F34">
        <f t="shared" si="19"/>
        <v>15</v>
      </c>
      <c r="G34">
        <f t="shared" si="20"/>
        <v>5</v>
      </c>
      <c r="H34">
        <f t="shared" si="21"/>
        <v>9</v>
      </c>
      <c r="I34">
        <f t="shared" si="22"/>
        <v>1.67</v>
      </c>
      <c r="J34">
        <f t="shared" si="23"/>
        <v>0.33</v>
      </c>
      <c r="K34">
        <f t="shared" si="24"/>
        <v>0.67</v>
      </c>
      <c r="L34">
        <f t="shared" si="25"/>
        <v>0</v>
      </c>
      <c r="M34">
        <f t="shared" si="26"/>
        <v>0</v>
      </c>
      <c r="N34">
        <f t="shared" si="27"/>
        <v>1.17</v>
      </c>
      <c r="O34" t="str">
        <f t="shared" si="28"/>
        <v>松散</v>
      </c>
      <c r="P34" t="str">
        <f t="shared" si="29"/>
        <v>极紧凑</v>
      </c>
      <c r="Q34" t="str">
        <f t="shared" si="30"/>
        <v>✓有效</v>
      </c>
      <c r="R34" t="str">
        <f t="shared" si="31"/>
        <v>正常</v>
      </c>
    </row>
    <row r="35" ht="14.25" customHeight="1" spans="1:18">
      <c r="A35" s="10">
        <v>2023006</v>
      </c>
      <c r="B35" s="12" t="s">
        <v>90</v>
      </c>
      <c r="C35">
        <f t="shared" si="16"/>
        <v>7</v>
      </c>
      <c r="D35">
        <f t="shared" si="17"/>
        <v>1</v>
      </c>
      <c r="E35">
        <f t="shared" si="18"/>
        <v>5</v>
      </c>
      <c r="F35">
        <f t="shared" si="19"/>
        <v>13</v>
      </c>
      <c r="G35">
        <f t="shared" si="20"/>
        <v>3</v>
      </c>
      <c r="H35">
        <f t="shared" si="21"/>
        <v>6</v>
      </c>
      <c r="I35">
        <f t="shared" si="22"/>
        <v>2.17</v>
      </c>
      <c r="J35">
        <f t="shared" si="23"/>
        <v>1</v>
      </c>
      <c r="K35">
        <f t="shared" si="24"/>
        <v>0.67</v>
      </c>
      <c r="L35">
        <f t="shared" si="25"/>
        <v>0.67</v>
      </c>
      <c r="M35">
        <f t="shared" si="26"/>
        <v>0</v>
      </c>
      <c r="N35">
        <f t="shared" si="27"/>
        <v>1.57</v>
      </c>
      <c r="O35" t="str">
        <f t="shared" si="28"/>
        <v>标准</v>
      </c>
      <c r="P35" t="str">
        <f t="shared" si="29"/>
        <v>紧凑</v>
      </c>
      <c r="Q35" t="str">
        <f t="shared" si="30"/>
        <v>✓有效</v>
      </c>
      <c r="R35" t="str">
        <f t="shared" si="31"/>
        <v>正常</v>
      </c>
    </row>
    <row r="36" ht="14.25" customHeight="1" spans="1:18">
      <c r="A36" s="10">
        <v>2023007</v>
      </c>
      <c r="B36" s="12" t="s">
        <v>91</v>
      </c>
      <c r="C36">
        <f t="shared" si="16"/>
        <v>8</v>
      </c>
      <c r="D36">
        <f t="shared" si="17"/>
        <v>1</v>
      </c>
      <c r="E36">
        <f t="shared" si="18"/>
        <v>7</v>
      </c>
      <c r="F36">
        <f t="shared" si="19"/>
        <v>16</v>
      </c>
      <c r="G36">
        <f t="shared" si="20"/>
        <v>6</v>
      </c>
      <c r="H36">
        <f t="shared" si="21"/>
        <v>7</v>
      </c>
      <c r="I36">
        <f t="shared" si="22"/>
        <v>2.29</v>
      </c>
      <c r="J36">
        <f t="shared" si="23"/>
        <v>0.67</v>
      </c>
      <c r="K36">
        <f t="shared" si="24"/>
        <v>0.67</v>
      </c>
      <c r="L36">
        <f t="shared" si="25"/>
        <v>0.33</v>
      </c>
      <c r="M36">
        <f t="shared" si="26"/>
        <v>1</v>
      </c>
      <c r="N36">
        <f t="shared" si="27"/>
        <v>1.42</v>
      </c>
      <c r="O36" t="str">
        <f t="shared" si="28"/>
        <v>标准</v>
      </c>
      <c r="P36" t="str">
        <f t="shared" si="29"/>
        <v>极紧凑</v>
      </c>
      <c r="Q36" t="str">
        <f t="shared" si="30"/>
        <v>✓有效</v>
      </c>
      <c r="R36" t="str">
        <f t="shared" si="31"/>
        <v>正常</v>
      </c>
    </row>
    <row r="37" ht="14.25" customHeight="1" spans="1:18">
      <c r="A37" s="10">
        <v>2023008</v>
      </c>
      <c r="B37" s="12" t="s">
        <v>92</v>
      </c>
      <c r="C37">
        <f t="shared" si="16"/>
        <v>7</v>
      </c>
      <c r="D37">
        <f t="shared" si="17"/>
        <v>0</v>
      </c>
      <c r="E37">
        <f t="shared" si="18"/>
        <v>8</v>
      </c>
      <c r="F37">
        <f t="shared" si="19"/>
        <v>15</v>
      </c>
      <c r="G37">
        <f t="shared" si="20"/>
        <v>5</v>
      </c>
      <c r="H37">
        <f t="shared" si="21"/>
        <v>8</v>
      </c>
      <c r="I37">
        <f t="shared" si="22"/>
        <v>1.88</v>
      </c>
      <c r="J37">
        <f t="shared" si="23"/>
        <v>0.33</v>
      </c>
      <c r="K37">
        <f t="shared" si="24"/>
        <v>0.67</v>
      </c>
      <c r="L37">
        <f t="shared" si="25"/>
        <v>0.33</v>
      </c>
      <c r="M37">
        <f t="shared" si="26"/>
        <v>1</v>
      </c>
      <c r="N37">
        <f t="shared" si="27"/>
        <v>1.19</v>
      </c>
      <c r="O37" t="str">
        <f t="shared" si="28"/>
        <v>松散</v>
      </c>
      <c r="P37" t="str">
        <f t="shared" si="29"/>
        <v>极紧凑</v>
      </c>
      <c r="Q37" t="str">
        <f t="shared" si="30"/>
        <v>✓有效</v>
      </c>
      <c r="R37" t="str">
        <f t="shared" si="31"/>
        <v>正常</v>
      </c>
    </row>
    <row r="38" ht="14.25" customHeight="1" spans="1:18">
      <c r="A38" s="10">
        <v>2023009</v>
      </c>
      <c r="B38" s="12" t="s">
        <v>93</v>
      </c>
      <c r="C38">
        <f t="shared" si="16"/>
        <v>7</v>
      </c>
      <c r="D38">
        <f t="shared" si="17"/>
        <v>8</v>
      </c>
      <c r="E38">
        <f t="shared" si="18"/>
        <v>3</v>
      </c>
      <c r="F38">
        <f t="shared" si="19"/>
        <v>18</v>
      </c>
      <c r="G38">
        <f t="shared" si="20"/>
        <v>8</v>
      </c>
      <c r="H38">
        <f t="shared" si="21"/>
        <v>5</v>
      </c>
      <c r="I38">
        <f t="shared" si="22"/>
        <v>3.6</v>
      </c>
      <c r="J38">
        <f t="shared" si="23"/>
        <v>0.67</v>
      </c>
      <c r="K38">
        <f t="shared" si="24"/>
        <v>0.67</v>
      </c>
      <c r="L38">
        <f t="shared" si="25"/>
        <v>0.67</v>
      </c>
      <c r="M38">
        <f t="shared" si="26"/>
        <v>1</v>
      </c>
      <c r="N38">
        <f t="shared" si="27"/>
        <v>1.98</v>
      </c>
      <c r="O38" t="str">
        <f t="shared" si="28"/>
        <v>紧凑</v>
      </c>
      <c r="P38" t="str">
        <f t="shared" si="29"/>
        <v>紧凑</v>
      </c>
      <c r="Q38" t="str">
        <f t="shared" si="30"/>
        <v>✓有效</v>
      </c>
      <c r="R38" t="str">
        <f t="shared" si="31"/>
        <v>正常</v>
      </c>
    </row>
    <row r="39" ht="14.25" customHeight="1" spans="1:18">
      <c r="A39" s="10">
        <v>2023010</v>
      </c>
      <c r="B39" s="12" t="s">
        <v>94</v>
      </c>
      <c r="C39">
        <f t="shared" si="16"/>
        <v>2</v>
      </c>
      <c r="D39">
        <f t="shared" si="17"/>
        <v>0</v>
      </c>
      <c r="E39">
        <f t="shared" si="18"/>
        <v>6</v>
      </c>
      <c r="F39">
        <f t="shared" si="19"/>
        <v>8</v>
      </c>
      <c r="G39">
        <f t="shared" si="20"/>
        <v>8</v>
      </c>
      <c r="H39">
        <f t="shared" si="21"/>
        <v>6</v>
      </c>
      <c r="I39">
        <f t="shared" si="22"/>
        <v>1.33</v>
      </c>
      <c r="J39">
        <f t="shared" si="23"/>
        <v>0</v>
      </c>
      <c r="K39">
        <f t="shared" si="24"/>
        <v>0.33</v>
      </c>
      <c r="L39">
        <f t="shared" si="25"/>
        <v>0.33</v>
      </c>
      <c r="M39">
        <f t="shared" si="26"/>
        <v>0</v>
      </c>
      <c r="N39">
        <f t="shared" si="27"/>
        <v>0.93</v>
      </c>
      <c r="O39" t="str">
        <f t="shared" si="28"/>
        <v>松散</v>
      </c>
      <c r="P39" t="str">
        <f t="shared" si="29"/>
        <v>极紧凑</v>
      </c>
      <c r="Q39" t="str">
        <f t="shared" si="30"/>
        <v>✓有效</v>
      </c>
      <c r="R39" t="str">
        <f t="shared" si="31"/>
        <v>正常</v>
      </c>
    </row>
    <row r="40" ht="14.25" customHeight="1" spans="1:18">
      <c r="A40" s="10">
        <v>2023011</v>
      </c>
      <c r="B40" s="12" t="s">
        <v>95</v>
      </c>
      <c r="C40">
        <f t="shared" si="16"/>
        <v>6</v>
      </c>
      <c r="D40">
        <f t="shared" si="17"/>
        <v>6</v>
      </c>
      <c r="E40">
        <f t="shared" si="18"/>
        <v>6</v>
      </c>
      <c r="F40">
        <f t="shared" si="19"/>
        <v>18</v>
      </c>
      <c r="G40">
        <f t="shared" si="20"/>
        <v>8</v>
      </c>
      <c r="H40">
        <f t="shared" si="21"/>
        <v>0</v>
      </c>
      <c r="I40">
        <f t="shared" si="22"/>
        <v>0.1</v>
      </c>
      <c r="J40">
        <f t="shared" si="23"/>
        <v>0</v>
      </c>
      <c r="K40">
        <f t="shared" si="24"/>
        <v>1</v>
      </c>
      <c r="L40">
        <f t="shared" si="25"/>
        <v>0</v>
      </c>
      <c r="M40">
        <f t="shared" si="26"/>
        <v>0</v>
      </c>
      <c r="N40">
        <f t="shared" si="27"/>
        <v>0.54</v>
      </c>
      <c r="O40" t="str">
        <f t="shared" si="28"/>
        <v>极紧凑</v>
      </c>
      <c r="P40" t="str">
        <f t="shared" si="29"/>
        <v>极紧凑</v>
      </c>
      <c r="Q40" t="str">
        <f t="shared" si="30"/>
        <v>✓有效</v>
      </c>
      <c r="R40" t="str">
        <f t="shared" si="31"/>
        <v>正常</v>
      </c>
    </row>
    <row r="41" ht="14.25" customHeight="1" spans="1:18">
      <c r="A41" s="10">
        <v>2023012</v>
      </c>
      <c r="B41" s="12" t="s">
        <v>69</v>
      </c>
      <c r="C41">
        <f t="shared" si="16"/>
        <v>6</v>
      </c>
      <c r="D41">
        <f t="shared" si="17"/>
        <v>4</v>
      </c>
      <c r="E41">
        <f t="shared" si="18"/>
        <v>8</v>
      </c>
      <c r="F41">
        <f t="shared" si="19"/>
        <v>18</v>
      </c>
      <c r="G41">
        <f t="shared" si="20"/>
        <v>8</v>
      </c>
      <c r="H41">
        <f t="shared" si="21"/>
        <v>4</v>
      </c>
      <c r="I41">
        <f t="shared" si="22"/>
        <v>4.5</v>
      </c>
      <c r="J41">
        <f t="shared" si="23"/>
        <v>0</v>
      </c>
      <c r="K41">
        <f t="shared" si="24"/>
        <v>0.67</v>
      </c>
      <c r="L41">
        <f t="shared" si="25"/>
        <v>0</v>
      </c>
      <c r="M41">
        <f t="shared" si="26"/>
        <v>0</v>
      </c>
      <c r="N41">
        <f t="shared" si="27"/>
        <v>2.23</v>
      </c>
      <c r="O41" t="str">
        <f t="shared" si="28"/>
        <v>紧凑</v>
      </c>
      <c r="P41" t="str">
        <f t="shared" si="29"/>
        <v>紧凑</v>
      </c>
      <c r="Q41" t="str">
        <f t="shared" si="30"/>
        <v>✓有效</v>
      </c>
      <c r="R41" t="str">
        <f t="shared" si="31"/>
        <v>正常</v>
      </c>
    </row>
    <row r="42" ht="14.25" customHeight="1" spans="1:18">
      <c r="A42" s="10">
        <v>2023013</v>
      </c>
      <c r="B42" s="12" t="s">
        <v>96</v>
      </c>
      <c r="C42">
        <f t="shared" si="16"/>
        <v>8</v>
      </c>
      <c r="D42">
        <f t="shared" si="17"/>
        <v>8</v>
      </c>
      <c r="E42">
        <f t="shared" si="18"/>
        <v>7</v>
      </c>
      <c r="F42">
        <f t="shared" si="19"/>
        <v>23</v>
      </c>
      <c r="G42">
        <f t="shared" si="20"/>
        <v>3</v>
      </c>
      <c r="H42">
        <f t="shared" si="21"/>
        <v>1</v>
      </c>
      <c r="I42">
        <f t="shared" si="22"/>
        <v>23</v>
      </c>
      <c r="J42">
        <f t="shared" si="23"/>
        <v>0.33</v>
      </c>
      <c r="K42">
        <f t="shared" si="24"/>
        <v>1</v>
      </c>
      <c r="L42">
        <f t="shared" si="25"/>
        <v>0.33</v>
      </c>
      <c r="M42">
        <f t="shared" si="26"/>
        <v>2</v>
      </c>
      <c r="N42">
        <f t="shared" si="27"/>
        <v>9.6</v>
      </c>
      <c r="O42" t="str">
        <f t="shared" si="28"/>
        <v>紧凑</v>
      </c>
      <c r="P42" t="str">
        <f t="shared" si="29"/>
        <v>松散</v>
      </c>
      <c r="Q42" t="str">
        <f t="shared" si="30"/>
        <v>✓有效</v>
      </c>
      <c r="R42" t="str">
        <f t="shared" si="31"/>
        <v>异常</v>
      </c>
    </row>
    <row r="43" ht="14.25" customHeight="1" spans="1:18">
      <c r="A43" s="10">
        <v>2023014</v>
      </c>
      <c r="B43" s="12" t="s">
        <v>97</v>
      </c>
      <c r="C43">
        <f t="shared" si="16"/>
        <v>3</v>
      </c>
      <c r="D43">
        <f t="shared" si="17"/>
        <v>2</v>
      </c>
      <c r="E43">
        <f t="shared" si="18"/>
        <v>2</v>
      </c>
      <c r="F43">
        <f t="shared" si="19"/>
        <v>7</v>
      </c>
      <c r="G43">
        <f t="shared" si="20"/>
        <v>7</v>
      </c>
      <c r="H43">
        <f t="shared" si="21"/>
        <v>1</v>
      </c>
      <c r="I43">
        <f t="shared" si="22"/>
        <v>7</v>
      </c>
      <c r="J43">
        <f t="shared" si="23"/>
        <v>0.33</v>
      </c>
      <c r="K43">
        <f t="shared" si="24"/>
        <v>0</v>
      </c>
      <c r="L43">
        <f t="shared" si="25"/>
        <v>1</v>
      </c>
      <c r="M43">
        <f t="shared" si="26"/>
        <v>2</v>
      </c>
      <c r="N43">
        <f t="shared" si="27"/>
        <v>3.07</v>
      </c>
      <c r="O43" t="str">
        <f t="shared" si="28"/>
        <v>紧凑</v>
      </c>
      <c r="P43" t="str">
        <f t="shared" si="29"/>
        <v>标准</v>
      </c>
      <c r="Q43" t="str">
        <f t="shared" si="30"/>
        <v>✓有效</v>
      </c>
      <c r="R43" t="str">
        <f t="shared" si="31"/>
        <v>正常</v>
      </c>
    </row>
    <row r="44" ht="14.25" customHeight="1" spans="1:18">
      <c r="A44" s="10">
        <v>2023015</v>
      </c>
      <c r="B44" s="11">
        <v>532</v>
      </c>
      <c r="C44">
        <f t="shared" ref="C44:C71" si="32">IF(B44="","",LEFT(TEXT(B44,"000"),1)*1)</f>
        <v>5</v>
      </c>
      <c r="D44">
        <f t="shared" ref="D44:D71" si="33">IF(B44="","",MID(TEXT(B44,"000"),2,1)*1)</f>
        <v>3</v>
      </c>
      <c r="E44">
        <f t="shared" ref="E44:E71" si="34">IF(B44="","",RIGHT(TEXT(B44,"000"),1)*1)</f>
        <v>2</v>
      </c>
      <c r="F44">
        <f t="shared" ref="F44:F71" si="35">IF(B44="","",C44+D44+E44)</f>
        <v>10</v>
      </c>
      <c r="G44">
        <f t="shared" ref="G44:G71" si="36">IF(B44="","",MOD(F44,10))</f>
        <v>0</v>
      </c>
      <c r="H44">
        <f t="shared" ref="H44:H71" si="37">IF(B44="","",MAX(C44,D44,E44)-MIN(C44,D44,E44))</f>
        <v>3</v>
      </c>
      <c r="I44">
        <f t="shared" ref="I44:I71" si="38">IF(OR(B44="",H44=0),IF(H44=0,0.1,""),ROUND(F44/H44,2))</f>
        <v>3.33</v>
      </c>
      <c r="J44">
        <f t="shared" ref="J44:J71" si="39">IF(B44="","",ROUND((MOD(C44,2)+MOD(D44,2)+MOD(E44,2))/3,2))</f>
        <v>0.67</v>
      </c>
      <c r="K44">
        <f t="shared" ref="K44:K71" si="40">IF(B44="","",ROUND(((C44&gt;=5)+(D44&gt;=5)+(E44&gt;=5))/3,2))</f>
        <v>0.33</v>
      </c>
      <c r="L44">
        <f t="shared" ref="L44:L71" si="41">IF(B44="","",ROUND((ISNUMBER(FIND(C44,"2357"))+ISNUMBER(FIND(D44,"2357"))+ISNUMBER(FIND(E44,"2357")))/3,2))</f>
        <v>1</v>
      </c>
      <c r="M44">
        <f t="shared" ref="M44:M71" si="42">IF(B44="","",((ABS(C44-D44)=1)+(ABS(D44-E44)=1)+(ABS(C44-E44)=1)))</f>
        <v>1</v>
      </c>
      <c r="N44">
        <f t="shared" ref="N44:N71" si="43">IF(B44="","",ROUND(I44*0.4+J44*0.2+K44*0.2+L44*0.1+(3-M44)*0.1,2))</f>
        <v>1.83</v>
      </c>
      <c r="O44" t="str">
        <f t="shared" ref="O44:O71" si="44">IF(I44=0.1,"极紧凑",IF(I44&gt;3.5,"紧凑",IF(AND(I44&gt;=2,I44&lt;=3.5),"标准",IF(AND(I44&gt;=1,I44&lt;2),"松散",""))))</f>
        <v>标准</v>
      </c>
      <c r="P44" t="str">
        <f t="shared" ref="P44:P71" si="45">IF(B44="","",IF(N44&lt;=1.5,"极紧凑",IF(N44&lt;=3,"紧凑",IF(N44&lt;=5,"标准","松散"))))</f>
        <v>紧凑</v>
      </c>
      <c r="Q44" t="str">
        <f t="shared" ref="Q44:Q71" si="46">IF(B44="","",IF(AND(C44&gt;=0,C44&lt;=9,D44&gt;=0,D44&lt;=9,E44&gt;=0,E44&lt;=9),"✓有效","✗无效"))</f>
        <v>✓有效</v>
      </c>
      <c r="R44" t="str">
        <f t="shared" ref="R44:R71" si="47">IF(B44="","",IF(OR(I44&gt;10,I44&lt;0.1),"异常","正常"))</f>
        <v>正常</v>
      </c>
    </row>
    <row r="45" ht="14.25" customHeight="1" spans="1:18">
      <c r="A45" s="10">
        <v>2023016</v>
      </c>
      <c r="B45" s="12" t="s">
        <v>98</v>
      </c>
      <c r="C45">
        <f t="shared" si="32"/>
        <v>6</v>
      </c>
      <c r="D45">
        <f t="shared" si="33"/>
        <v>6</v>
      </c>
      <c r="E45">
        <f t="shared" si="34"/>
        <v>4</v>
      </c>
      <c r="F45">
        <f t="shared" si="35"/>
        <v>16</v>
      </c>
      <c r="G45">
        <f t="shared" si="36"/>
        <v>6</v>
      </c>
      <c r="H45">
        <f t="shared" si="37"/>
        <v>2</v>
      </c>
      <c r="I45">
        <f t="shared" si="38"/>
        <v>8</v>
      </c>
      <c r="J45">
        <f t="shared" si="39"/>
        <v>0</v>
      </c>
      <c r="K45">
        <f t="shared" si="40"/>
        <v>0.67</v>
      </c>
      <c r="L45">
        <f t="shared" si="41"/>
        <v>0</v>
      </c>
      <c r="M45">
        <f t="shared" si="42"/>
        <v>0</v>
      </c>
      <c r="N45">
        <f t="shared" si="43"/>
        <v>3.63</v>
      </c>
      <c r="O45" t="str">
        <f t="shared" si="44"/>
        <v>紧凑</v>
      </c>
      <c r="P45" t="str">
        <f t="shared" si="45"/>
        <v>标准</v>
      </c>
      <c r="Q45" t="str">
        <f t="shared" si="46"/>
        <v>✓有效</v>
      </c>
      <c r="R45" t="str">
        <f t="shared" si="47"/>
        <v>正常</v>
      </c>
    </row>
    <row r="46" ht="14.25" customHeight="1" spans="1:18">
      <c r="A46" s="10">
        <v>2023017</v>
      </c>
      <c r="B46" s="12" t="s">
        <v>99</v>
      </c>
      <c r="C46">
        <f t="shared" si="32"/>
        <v>0</v>
      </c>
      <c r="D46">
        <f t="shared" si="33"/>
        <v>5</v>
      </c>
      <c r="E46">
        <f t="shared" si="34"/>
        <v>3</v>
      </c>
      <c r="F46">
        <f t="shared" si="35"/>
        <v>8</v>
      </c>
      <c r="G46">
        <f t="shared" si="36"/>
        <v>8</v>
      </c>
      <c r="H46">
        <f t="shared" si="37"/>
        <v>5</v>
      </c>
      <c r="I46">
        <f t="shared" si="38"/>
        <v>1.6</v>
      </c>
      <c r="J46">
        <f t="shared" si="39"/>
        <v>0.67</v>
      </c>
      <c r="K46">
        <f t="shared" si="40"/>
        <v>0.33</v>
      </c>
      <c r="L46">
        <f t="shared" si="41"/>
        <v>0.67</v>
      </c>
      <c r="M46">
        <f t="shared" si="42"/>
        <v>0</v>
      </c>
      <c r="N46">
        <f t="shared" si="43"/>
        <v>1.21</v>
      </c>
      <c r="O46" t="str">
        <f t="shared" si="44"/>
        <v>松散</v>
      </c>
      <c r="P46" t="str">
        <f t="shared" si="45"/>
        <v>极紧凑</v>
      </c>
      <c r="Q46" t="str">
        <f t="shared" si="46"/>
        <v>✓有效</v>
      </c>
      <c r="R46" t="str">
        <f t="shared" si="47"/>
        <v>正常</v>
      </c>
    </row>
    <row r="47" ht="14.25" customHeight="1" spans="1:18">
      <c r="A47" s="10">
        <v>2023018</v>
      </c>
      <c r="B47" s="12" t="s">
        <v>100</v>
      </c>
      <c r="C47">
        <f t="shared" si="32"/>
        <v>1</v>
      </c>
      <c r="D47">
        <f t="shared" si="33"/>
        <v>2</v>
      </c>
      <c r="E47">
        <f t="shared" si="34"/>
        <v>1</v>
      </c>
      <c r="F47">
        <f t="shared" si="35"/>
        <v>4</v>
      </c>
      <c r="G47">
        <f t="shared" si="36"/>
        <v>4</v>
      </c>
      <c r="H47">
        <f t="shared" si="37"/>
        <v>1</v>
      </c>
      <c r="I47">
        <f t="shared" si="38"/>
        <v>4</v>
      </c>
      <c r="J47">
        <f t="shared" si="39"/>
        <v>0.67</v>
      </c>
      <c r="K47">
        <f t="shared" si="40"/>
        <v>0</v>
      </c>
      <c r="L47">
        <f t="shared" si="41"/>
        <v>0.33</v>
      </c>
      <c r="M47">
        <f t="shared" si="42"/>
        <v>2</v>
      </c>
      <c r="N47">
        <f t="shared" si="43"/>
        <v>1.87</v>
      </c>
      <c r="O47" t="str">
        <f t="shared" si="44"/>
        <v>紧凑</v>
      </c>
      <c r="P47" t="str">
        <f t="shared" si="45"/>
        <v>紧凑</v>
      </c>
      <c r="Q47" t="str">
        <f t="shared" si="46"/>
        <v>✓有效</v>
      </c>
      <c r="R47" t="str">
        <f t="shared" si="47"/>
        <v>正常</v>
      </c>
    </row>
    <row r="48" ht="14.25" customHeight="1" spans="1:18">
      <c r="A48" s="10">
        <v>2023019</v>
      </c>
      <c r="B48" s="12" t="s">
        <v>101</v>
      </c>
      <c r="C48">
        <f t="shared" si="32"/>
        <v>8</v>
      </c>
      <c r="D48">
        <f t="shared" si="33"/>
        <v>7</v>
      </c>
      <c r="E48">
        <f t="shared" si="34"/>
        <v>4</v>
      </c>
      <c r="F48">
        <f t="shared" si="35"/>
        <v>19</v>
      </c>
      <c r="G48">
        <f t="shared" si="36"/>
        <v>9</v>
      </c>
      <c r="H48">
        <f t="shared" si="37"/>
        <v>4</v>
      </c>
      <c r="I48">
        <f t="shared" si="38"/>
        <v>4.75</v>
      </c>
      <c r="J48">
        <f t="shared" si="39"/>
        <v>0.33</v>
      </c>
      <c r="K48">
        <f t="shared" si="40"/>
        <v>0.67</v>
      </c>
      <c r="L48">
        <f t="shared" si="41"/>
        <v>0.33</v>
      </c>
      <c r="M48">
        <f t="shared" si="42"/>
        <v>1</v>
      </c>
      <c r="N48">
        <f t="shared" si="43"/>
        <v>2.33</v>
      </c>
      <c r="O48" t="str">
        <f t="shared" si="44"/>
        <v>紧凑</v>
      </c>
      <c r="P48" t="str">
        <f t="shared" si="45"/>
        <v>紧凑</v>
      </c>
      <c r="Q48" t="str">
        <f t="shared" si="46"/>
        <v>✓有效</v>
      </c>
      <c r="R48" t="str">
        <f t="shared" si="47"/>
        <v>正常</v>
      </c>
    </row>
    <row r="49" ht="14.25" customHeight="1" spans="1:18">
      <c r="A49" s="10">
        <v>2023020</v>
      </c>
      <c r="B49" s="12" t="s">
        <v>102</v>
      </c>
      <c r="C49">
        <f t="shared" si="32"/>
        <v>8</v>
      </c>
      <c r="D49">
        <f t="shared" si="33"/>
        <v>4</v>
      </c>
      <c r="E49">
        <f t="shared" si="34"/>
        <v>5</v>
      </c>
      <c r="F49">
        <f t="shared" si="35"/>
        <v>17</v>
      </c>
      <c r="G49">
        <f t="shared" si="36"/>
        <v>7</v>
      </c>
      <c r="H49">
        <f t="shared" si="37"/>
        <v>4</v>
      </c>
      <c r="I49">
        <f t="shared" si="38"/>
        <v>4.25</v>
      </c>
      <c r="J49">
        <f t="shared" si="39"/>
        <v>0.33</v>
      </c>
      <c r="K49">
        <f t="shared" si="40"/>
        <v>0.67</v>
      </c>
      <c r="L49">
        <f t="shared" si="41"/>
        <v>0.33</v>
      </c>
      <c r="M49">
        <f t="shared" si="42"/>
        <v>1</v>
      </c>
      <c r="N49">
        <f t="shared" si="43"/>
        <v>2.13</v>
      </c>
      <c r="O49" t="str">
        <f t="shared" si="44"/>
        <v>紧凑</v>
      </c>
      <c r="P49" t="str">
        <f t="shared" si="45"/>
        <v>紧凑</v>
      </c>
      <c r="Q49" t="str">
        <f t="shared" si="46"/>
        <v>✓有效</v>
      </c>
      <c r="R49" t="str">
        <f t="shared" si="47"/>
        <v>正常</v>
      </c>
    </row>
    <row r="50" ht="14.25" customHeight="1" spans="1:18">
      <c r="A50" s="10">
        <v>2023021</v>
      </c>
      <c r="B50" s="12" t="s">
        <v>103</v>
      </c>
      <c r="C50">
        <f t="shared" si="32"/>
        <v>0</v>
      </c>
      <c r="D50">
        <f t="shared" si="33"/>
        <v>2</v>
      </c>
      <c r="E50">
        <f t="shared" si="34"/>
        <v>5</v>
      </c>
      <c r="F50">
        <f t="shared" si="35"/>
        <v>7</v>
      </c>
      <c r="G50">
        <f t="shared" si="36"/>
        <v>7</v>
      </c>
      <c r="H50">
        <f t="shared" si="37"/>
        <v>5</v>
      </c>
      <c r="I50">
        <f t="shared" si="38"/>
        <v>1.4</v>
      </c>
      <c r="J50">
        <f t="shared" si="39"/>
        <v>0.33</v>
      </c>
      <c r="K50">
        <f t="shared" si="40"/>
        <v>0.33</v>
      </c>
      <c r="L50">
        <f t="shared" si="41"/>
        <v>0.67</v>
      </c>
      <c r="M50">
        <f t="shared" si="42"/>
        <v>0</v>
      </c>
      <c r="N50">
        <f t="shared" si="43"/>
        <v>1.06</v>
      </c>
      <c r="O50" t="str">
        <f t="shared" si="44"/>
        <v>松散</v>
      </c>
      <c r="P50" t="str">
        <f t="shared" si="45"/>
        <v>极紧凑</v>
      </c>
      <c r="Q50" t="str">
        <f t="shared" si="46"/>
        <v>✓有效</v>
      </c>
      <c r="R50" t="str">
        <f t="shared" si="47"/>
        <v>正常</v>
      </c>
    </row>
    <row r="51" ht="14.25" customHeight="1" spans="1:18">
      <c r="A51" s="10">
        <v>2023022</v>
      </c>
      <c r="B51" s="12" t="s">
        <v>104</v>
      </c>
      <c r="C51">
        <f t="shared" si="32"/>
        <v>4</v>
      </c>
      <c r="D51">
        <f t="shared" si="33"/>
        <v>4</v>
      </c>
      <c r="E51">
        <f t="shared" si="34"/>
        <v>6</v>
      </c>
      <c r="F51">
        <f t="shared" si="35"/>
        <v>14</v>
      </c>
      <c r="G51">
        <f t="shared" si="36"/>
        <v>4</v>
      </c>
      <c r="H51">
        <f t="shared" si="37"/>
        <v>2</v>
      </c>
      <c r="I51">
        <f t="shared" si="38"/>
        <v>7</v>
      </c>
      <c r="J51">
        <f t="shared" si="39"/>
        <v>0</v>
      </c>
      <c r="K51">
        <f t="shared" si="40"/>
        <v>0.33</v>
      </c>
      <c r="L51">
        <f t="shared" si="41"/>
        <v>0</v>
      </c>
      <c r="M51">
        <f t="shared" si="42"/>
        <v>0</v>
      </c>
      <c r="N51">
        <f t="shared" si="43"/>
        <v>3.17</v>
      </c>
      <c r="O51" t="str">
        <f t="shared" si="44"/>
        <v>紧凑</v>
      </c>
      <c r="P51" t="str">
        <f t="shared" si="45"/>
        <v>标准</v>
      </c>
      <c r="Q51" t="str">
        <f t="shared" si="46"/>
        <v>✓有效</v>
      </c>
      <c r="R51" t="str">
        <f t="shared" si="47"/>
        <v>正常</v>
      </c>
    </row>
    <row r="52" ht="14.25" customHeight="1" spans="1:18">
      <c r="A52" s="10">
        <v>2023023</v>
      </c>
      <c r="B52" s="12" t="s">
        <v>105</v>
      </c>
      <c r="C52">
        <f t="shared" si="32"/>
        <v>5</v>
      </c>
      <c r="D52">
        <f t="shared" si="33"/>
        <v>2</v>
      </c>
      <c r="E52">
        <f t="shared" si="34"/>
        <v>7</v>
      </c>
      <c r="F52">
        <f t="shared" si="35"/>
        <v>14</v>
      </c>
      <c r="G52">
        <f t="shared" si="36"/>
        <v>4</v>
      </c>
      <c r="H52">
        <f t="shared" si="37"/>
        <v>5</v>
      </c>
      <c r="I52">
        <f t="shared" si="38"/>
        <v>2.8</v>
      </c>
      <c r="J52">
        <f t="shared" si="39"/>
        <v>0.67</v>
      </c>
      <c r="K52">
        <f t="shared" si="40"/>
        <v>0.67</v>
      </c>
      <c r="L52">
        <f t="shared" si="41"/>
        <v>1</v>
      </c>
      <c r="M52">
        <f t="shared" si="42"/>
        <v>0</v>
      </c>
      <c r="N52">
        <f t="shared" si="43"/>
        <v>1.79</v>
      </c>
      <c r="O52" t="str">
        <f t="shared" si="44"/>
        <v>标准</v>
      </c>
      <c r="P52" t="str">
        <f t="shared" si="45"/>
        <v>紧凑</v>
      </c>
      <c r="Q52" t="str">
        <f t="shared" si="46"/>
        <v>✓有效</v>
      </c>
      <c r="R52" t="str">
        <f t="shared" si="47"/>
        <v>正常</v>
      </c>
    </row>
    <row r="53" ht="14.25" customHeight="1" spans="1:18">
      <c r="A53" s="10">
        <v>2023024</v>
      </c>
      <c r="B53" s="12" t="s">
        <v>106</v>
      </c>
      <c r="C53">
        <f t="shared" si="32"/>
        <v>4</v>
      </c>
      <c r="D53">
        <f t="shared" si="33"/>
        <v>9</v>
      </c>
      <c r="E53">
        <f t="shared" si="34"/>
        <v>5</v>
      </c>
      <c r="F53">
        <f t="shared" si="35"/>
        <v>18</v>
      </c>
      <c r="G53">
        <f t="shared" si="36"/>
        <v>8</v>
      </c>
      <c r="H53">
        <f t="shared" si="37"/>
        <v>5</v>
      </c>
      <c r="I53">
        <f t="shared" si="38"/>
        <v>3.6</v>
      </c>
      <c r="J53">
        <f t="shared" si="39"/>
        <v>0.67</v>
      </c>
      <c r="K53">
        <f t="shared" si="40"/>
        <v>0.67</v>
      </c>
      <c r="L53">
        <f t="shared" si="41"/>
        <v>0.33</v>
      </c>
      <c r="M53">
        <f t="shared" si="42"/>
        <v>1</v>
      </c>
      <c r="N53">
        <f t="shared" si="43"/>
        <v>1.94</v>
      </c>
      <c r="O53" t="str">
        <f t="shared" si="44"/>
        <v>紧凑</v>
      </c>
      <c r="P53" t="str">
        <f t="shared" si="45"/>
        <v>紧凑</v>
      </c>
      <c r="Q53" t="str">
        <f t="shared" si="46"/>
        <v>✓有效</v>
      </c>
      <c r="R53" t="str">
        <f t="shared" si="47"/>
        <v>正常</v>
      </c>
    </row>
    <row r="54" ht="14.25" customHeight="1" spans="1:18">
      <c r="A54" s="10">
        <v>2023025</v>
      </c>
      <c r="B54" s="12" t="s">
        <v>107</v>
      </c>
      <c r="C54">
        <f t="shared" si="32"/>
        <v>8</v>
      </c>
      <c r="D54">
        <f t="shared" si="33"/>
        <v>5</v>
      </c>
      <c r="E54">
        <f t="shared" si="34"/>
        <v>6</v>
      </c>
      <c r="F54">
        <f t="shared" si="35"/>
        <v>19</v>
      </c>
      <c r="G54">
        <f t="shared" si="36"/>
        <v>9</v>
      </c>
      <c r="H54">
        <f t="shared" si="37"/>
        <v>3</v>
      </c>
      <c r="I54">
        <f t="shared" si="38"/>
        <v>6.33</v>
      </c>
      <c r="J54">
        <f t="shared" si="39"/>
        <v>0.33</v>
      </c>
      <c r="K54">
        <f t="shared" si="40"/>
        <v>1</v>
      </c>
      <c r="L54">
        <f t="shared" si="41"/>
        <v>0.33</v>
      </c>
      <c r="M54">
        <f t="shared" si="42"/>
        <v>1</v>
      </c>
      <c r="N54">
        <f t="shared" si="43"/>
        <v>3.03</v>
      </c>
      <c r="O54" t="str">
        <f t="shared" si="44"/>
        <v>紧凑</v>
      </c>
      <c r="P54" t="str">
        <f t="shared" si="45"/>
        <v>标准</v>
      </c>
      <c r="Q54" t="str">
        <f t="shared" si="46"/>
        <v>✓有效</v>
      </c>
      <c r="R54" t="str">
        <f t="shared" si="47"/>
        <v>正常</v>
      </c>
    </row>
    <row r="55" ht="14.25" customHeight="1" spans="1:18">
      <c r="A55" s="10">
        <v>2023026</v>
      </c>
      <c r="B55" s="12" t="s">
        <v>108</v>
      </c>
      <c r="C55">
        <f t="shared" si="32"/>
        <v>5</v>
      </c>
      <c r="D55">
        <f t="shared" si="33"/>
        <v>1</v>
      </c>
      <c r="E55">
        <f t="shared" si="34"/>
        <v>4</v>
      </c>
      <c r="F55">
        <f t="shared" si="35"/>
        <v>10</v>
      </c>
      <c r="G55">
        <f t="shared" si="36"/>
        <v>0</v>
      </c>
      <c r="H55">
        <f t="shared" si="37"/>
        <v>4</v>
      </c>
      <c r="I55">
        <f t="shared" si="38"/>
        <v>2.5</v>
      </c>
      <c r="J55">
        <f t="shared" si="39"/>
        <v>0.67</v>
      </c>
      <c r="K55">
        <f t="shared" si="40"/>
        <v>0.33</v>
      </c>
      <c r="L55">
        <f t="shared" si="41"/>
        <v>0.33</v>
      </c>
      <c r="M55">
        <f t="shared" si="42"/>
        <v>1</v>
      </c>
      <c r="N55">
        <f t="shared" si="43"/>
        <v>1.43</v>
      </c>
      <c r="O55" t="str">
        <f t="shared" si="44"/>
        <v>标准</v>
      </c>
      <c r="P55" t="str">
        <f t="shared" si="45"/>
        <v>极紧凑</v>
      </c>
      <c r="Q55" t="str">
        <f t="shared" si="46"/>
        <v>✓有效</v>
      </c>
      <c r="R55" t="str">
        <f t="shared" si="47"/>
        <v>正常</v>
      </c>
    </row>
    <row r="56" ht="14.25" customHeight="1" spans="1:18">
      <c r="A56" s="10">
        <v>2023027</v>
      </c>
      <c r="B56" s="12" t="s">
        <v>109</v>
      </c>
      <c r="C56">
        <f t="shared" si="32"/>
        <v>3</v>
      </c>
      <c r="D56">
        <f t="shared" si="33"/>
        <v>3</v>
      </c>
      <c r="E56">
        <f t="shared" si="34"/>
        <v>4</v>
      </c>
      <c r="F56">
        <f t="shared" si="35"/>
        <v>10</v>
      </c>
      <c r="G56">
        <f t="shared" si="36"/>
        <v>0</v>
      </c>
      <c r="H56">
        <f t="shared" si="37"/>
        <v>1</v>
      </c>
      <c r="I56">
        <f t="shared" si="38"/>
        <v>10</v>
      </c>
      <c r="J56">
        <f t="shared" si="39"/>
        <v>0.67</v>
      </c>
      <c r="K56">
        <f t="shared" si="40"/>
        <v>0</v>
      </c>
      <c r="L56">
        <f t="shared" si="41"/>
        <v>0.67</v>
      </c>
      <c r="M56">
        <f t="shared" si="42"/>
        <v>2</v>
      </c>
      <c r="N56">
        <f t="shared" si="43"/>
        <v>4.3</v>
      </c>
      <c r="O56" t="str">
        <f t="shared" si="44"/>
        <v>紧凑</v>
      </c>
      <c r="P56" t="str">
        <f t="shared" si="45"/>
        <v>标准</v>
      </c>
      <c r="Q56" t="str">
        <f t="shared" si="46"/>
        <v>✓有效</v>
      </c>
      <c r="R56" t="str">
        <f t="shared" si="47"/>
        <v>正常</v>
      </c>
    </row>
    <row r="57" ht="14.25" customHeight="1" spans="1:18">
      <c r="A57" s="10">
        <v>2023028</v>
      </c>
      <c r="B57" s="12" t="s">
        <v>110</v>
      </c>
      <c r="C57">
        <f t="shared" si="32"/>
        <v>0</v>
      </c>
      <c r="D57">
        <f t="shared" si="33"/>
        <v>3</v>
      </c>
      <c r="E57">
        <f t="shared" si="34"/>
        <v>4</v>
      </c>
      <c r="F57">
        <f t="shared" si="35"/>
        <v>7</v>
      </c>
      <c r="G57">
        <f t="shared" si="36"/>
        <v>7</v>
      </c>
      <c r="H57">
        <f t="shared" si="37"/>
        <v>4</v>
      </c>
      <c r="I57">
        <f t="shared" si="38"/>
        <v>1.75</v>
      </c>
      <c r="J57">
        <f t="shared" si="39"/>
        <v>0.33</v>
      </c>
      <c r="K57">
        <f t="shared" si="40"/>
        <v>0</v>
      </c>
      <c r="L57">
        <f t="shared" si="41"/>
        <v>0.33</v>
      </c>
      <c r="M57">
        <f t="shared" si="42"/>
        <v>1</v>
      </c>
      <c r="N57">
        <f t="shared" si="43"/>
        <v>1</v>
      </c>
      <c r="O57" t="str">
        <f t="shared" si="44"/>
        <v>松散</v>
      </c>
      <c r="P57" t="str">
        <f t="shared" si="45"/>
        <v>极紧凑</v>
      </c>
      <c r="Q57" t="str">
        <f t="shared" si="46"/>
        <v>✓有效</v>
      </c>
      <c r="R57" t="str">
        <f t="shared" si="47"/>
        <v>正常</v>
      </c>
    </row>
    <row r="58" ht="14.25" customHeight="1" spans="1:18">
      <c r="A58" s="10">
        <v>2023029</v>
      </c>
      <c r="B58" s="12" t="s">
        <v>111</v>
      </c>
      <c r="C58">
        <f t="shared" si="32"/>
        <v>9</v>
      </c>
      <c r="D58">
        <f t="shared" si="33"/>
        <v>2</v>
      </c>
      <c r="E58">
        <f t="shared" si="34"/>
        <v>3</v>
      </c>
      <c r="F58">
        <f t="shared" si="35"/>
        <v>14</v>
      </c>
      <c r="G58">
        <f t="shared" si="36"/>
        <v>4</v>
      </c>
      <c r="H58">
        <f t="shared" si="37"/>
        <v>7</v>
      </c>
      <c r="I58">
        <f t="shared" si="38"/>
        <v>2</v>
      </c>
      <c r="J58">
        <f t="shared" si="39"/>
        <v>0.67</v>
      </c>
      <c r="K58">
        <f t="shared" si="40"/>
        <v>0.33</v>
      </c>
      <c r="L58">
        <f t="shared" si="41"/>
        <v>0.67</v>
      </c>
      <c r="M58">
        <f t="shared" si="42"/>
        <v>1</v>
      </c>
      <c r="N58">
        <f t="shared" si="43"/>
        <v>1.27</v>
      </c>
      <c r="O58" t="str">
        <f t="shared" si="44"/>
        <v>标准</v>
      </c>
      <c r="P58" t="str">
        <f t="shared" si="45"/>
        <v>极紧凑</v>
      </c>
      <c r="Q58" t="str">
        <f t="shared" si="46"/>
        <v>✓有效</v>
      </c>
      <c r="R58" t="str">
        <f t="shared" si="47"/>
        <v>正常</v>
      </c>
    </row>
    <row r="59" ht="14.25" customHeight="1" spans="1:18">
      <c r="A59" s="10">
        <v>2023030</v>
      </c>
      <c r="B59" s="12" t="s">
        <v>112</v>
      </c>
      <c r="C59">
        <f t="shared" si="32"/>
        <v>7</v>
      </c>
      <c r="D59">
        <f t="shared" si="33"/>
        <v>5</v>
      </c>
      <c r="E59">
        <f t="shared" si="34"/>
        <v>2</v>
      </c>
      <c r="F59">
        <f t="shared" si="35"/>
        <v>14</v>
      </c>
      <c r="G59">
        <f t="shared" si="36"/>
        <v>4</v>
      </c>
      <c r="H59">
        <f t="shared" si="37"/>
        <v>5</v>
      </c>
      <c r="I59">
        <f t="shared" si="38"/>
        <v>2.8</v>
      </c>
      <c r="J59">
        <f t="shared" si="39"/>
        <v>0.67</v>
      </c>
      <c r="K59">
        <f t="shared" si="40"/>
        <v>0.67</v>
      </c>
      <c r="L59">
        <f t="shared" si="41"/>
        <v>1</v>
      </c>
      <c r="M59">
        <f t="shared" si="42"/>
        <v>0</v>
      </c>
      <c r="N59">
        <f t="shared" si="43"/>
        <v>1.79</v>
      </c>
      <c r="O59" t="str">
        <f t="shared" si="44"/>
        <v>标准</v>
      </c>
      <c r="P59" t="str">
        <f t="shared" si="45"/>
        <v>紧凑</v>
      </c>
      <c r="Q59" t="str">
        <f t="shared" si="46"/>
        <v>✓有效</v>
      </c>
      <c r="R59" t="str">
        <f t="shared" si="47"/>
        <v>正常</v>
      </c>
    </row>
    <row r="60" ht="14.25" customHeight="1" spans="1:18">
      <c r="A60" s="10">
        <v>2023031</v>
      </c>
      <c r="B60" s="12" t="s">
        <v>113</v>
      </c>
      <c r="C60">
        <f t="shared" si="32"/>
        <v>3</v>
      </c>
      <c r="D60">
        <f t="shared" si="33"/>
        <v>7</v>
      </c>
      <c r="E60">
        <f t="shared" si="34"/>
        <v>2</v>
      </c>
      <c r="F60">
        <f t="shared" si="35"/>
        <v>12</v>
      </c>
      <c r="G60">
        <f t="shared" si="36"/>
        <v>2</v>
      </c>
      <c r="H60">
        <f t="shared" si="37"/>
        <v>5</v>
      </c>
      <c r="I60">
        <f t="shared" si="38"/>
        <v>2.4</v>
      </c>
      <c r="J60">
        <f t="shared" si="39"/>
        <v>0.67</v>
      </c>
      <c r="K60">
        <f t="shared" si="40"/>
        <v>0.33</v>
      </c>
      <c r="L60">
        <f t="shared" si="41"/>
        <v>1</v>
      </c>
      <c r="M60">
        <f t="shared" si="42"/>
        <v>1</v>
      </c>
      <c r="N60">
        <f t="shared" si="43"/>
        <v>1.46</v>
      </c>
      <c r="O60" t="str">
        <f t="shared" si="44"/>
        <v>标准</v>
      </c>
      <c r="P60" t="str">
        <f t="shared" si="45"/>
        <v>极紧凑</v>
      </c>
      <c r="Q60" t="str">
        <f t="shared" si="46"/>
        <v>✓有效</v>
      </c>
      <c r="R60" t="str">
        <f t="shared" si="47"/>
        <v>正常</v>
      </c>
    </row>
    <row r="61" ht="14.25" customHeight="1" spans="1:18">
      <c r="A61" s="10">
        <v>2023032</v>
      </c>
      <c r="B61" s="12" t="s">
        <v>114</v>
      </c>
      <c r="C61">
        <f t="shared" si="32"/>
        <v>1</v>
      </c>
      <c r="D61">
        <f t="shared" si="33"/>
        <v>3</v>
      </c>
      <c r="E61">
        <f t="shared" si="34"/>
        <v>9</v>
      </c>
      <c r="F61">
        <f t="shared" si="35"/>
        <v>13</v>
      </c>
      <c r="G61">
        <f t="shared" si="36"/>
        <v>3</v>
      </c>
      <c r="H61">
        <f t="shared" si="37"/>
        <v>8</v>
      </c>
      <c r="I61">
        <f t="shared" si="38"/>
        <v>1.63</v>
      </c>
      <c r="J61">
        <f t="shared" si="39"/>
        <v>1</v>
      </c>
      <c r="K61">
        <f t="shared" si="40"/>
        <v>0.33</v>
      </c>
      <c r="L61">
        <f t="shared" si="41"/>
        <v>0.33</v>
      </c>
      <c r="M61">
        <f t="shared" si="42"/>
        <v>0</v>
      </c>
      <c r="N61">
        <f t="shared" si="43"/>
        <v>1.25</v>
      </c>
      <c r="O61" t="str">
        <f t="shared" si="44"/>
        <v>松散</v>
      </c>
      <c r="P61" t="str">
        <f t="shared" si="45"/>
        <v>极紧凑</v>
      </c>
      <c r="Q61" t="str">
        <f t="shared" si="46"/>
        <v>✓有效</v>
      </c>
      <c r="R61" t="str">
        <f t="shared" si="47"/>
        <v>正常</v>
      </c>
    </row>
    <row r="62" ht="14.25" customHeight="1" spans="1:18">
      <c r="A62" s="10">
        <v>2023033</v>
      </c>
      <c r="B62" s="12" t="s">
        <v>115</v>
      </c>
      <c r="C62">
        <f t="shared" si="32"/>
        <v>5</v>
      </c>
      <c r="D62">
        <f t="shared" si="33"/>
        <v>1</v>
      </c>
      <c r="E62">
        <f t="shared" si="34"/>
        <v>9</v>
      </c>
      <c r="F62">
        <f t="shared" si="35"/>
        <v>15</v>
      </c>
      <c r="G62">
        <f t="shared" si="36"/>
        <v>5</v>
      </c>
      <c r="H62">
        <f t="shared" si="37"/>
        <v>8</v>
      </c>
      <c r="I62">
        <f t="shared" si="38"/>
        <v>1.88</v>
      </c>
      <c r="J62">
        <f t="shared" si="39"/>
        <v>1</v>
      </c>
      <c r="K62">
        <f t="shared" si="40"/>
        <v>0.67</v>
      </c>
      <c r="L62">
        <f t="shared" si="41"/>
        <v>0.33</v>
      </c>
      <c r="M62">
        <f t="shared" si="42"/>
        <v>0</v>
      </c>
      <c r="N62">
        <f t="shared" si="43"/>
        <v>1.42</v>
      </c>
      <c r="O62" t="str">
        <f t="shared" si="44"/>
        <v>松散</v>
      </c>
      <c r="P62" t="str">
        <f t="shared" si="45"/>
        <v>极紧凑</v>
      </c>
      <c r="Q62" t="str">
        <f t="shared" si="46"/>
        <v>✓有效</v>
      </c>
      <c r="R62" t="str">
        <f t="shared" si="47"/>
        <v>正常</v>
      </c>
    </row>
    <row r="63" ht="14.25" customHeight="1" spans="1:18">
      <c r="A63" s="10">
        <v>2023034</v>
      </c>
      <c r="B63" s="12" t="s">
        <v>116</v>
      </c>
      <c r="C63">
        <f t="shared" si="32"/>
        <v>8</v>
      </c>
      <c r="D63">
        <f t="shared" si="33"/>
        <v>4</v>
      </c>
      <c r="E63">
        <f t="shared" si="34"/>
        <v>2</v>
      </c>
      <c r="F63">
        <f t="shared" si="35"/>
        <v>14</v>
      </c>
      <c r="G63">
        <f t="shared" si="36"/>
        <v>4</v>
      </c>
      <c r="H63">
        <f t="shared" si="37"/>
        <v>6</v>
      </c>
      <c r="I63">
        <f t="shared" si="38"/>
        <v>2.33</v>
      </c>
      <c r="J63">
        <f t="shared" si="39"/>
        <v>0</v>
      </c>
      <c r="K63">
        <f t="shared" si="40"/>
        <v>0.33</v>
      </c>
      <c r="L63">
        <f t="shared" si="41"/>
        <v>0.33</v>
      </c>
      <c r="M63">
        <f t="shared" si="42"/>
        <v>0</v>
      </c>
      <c r="N63">
        <f t="shared" si="43"/>
        <v>1.33</v>
      </c>
      <c r="O63" t="str">
        <f t="shared" si="44"/>
        <v>标准</v>
      </c>
      <c r="P63" t="str">
        <f t="shared" si="45"/>
        <v>极紧凑</v>
      </c>
      <c r="Q63" t="str">
        <f t="shared" si="46"/>
        <v>✓有效</v>
      </c>
      <c r="R63" t="str">
        <f t="shared" si="47"/>
        <v>正常</v>
      </c>
    </row>
    <row r="64" ht="14.25" customHeight="1" spans="1:18">
      <c r="A64" s="10">
        <v>2023035</v>
      </c>
      <c r="B64" s="12" t="s">
        <v>117</v>
      </c>
      <c r="C64">
        <f t="shared" si="32"/>
        <v>1</v>
      </c>
      <c r="D64">
        <f t="shared" si="33"/>
        <v>0</v>
      </c>
      <c r="E64">
        <f t="shared" si="34"/>
        <v>4</v>
      </c>
      <c r="F64">
        <f t="shared" si="35"/>
        <v>5</v>
      </c>
      <c r="G64">
        <f t="shared" si="36"/>
        <v>5</v>
      </c>
      <c r="H64">
        <f t="shared" si="37"/>
        <v>4</v>
      </c>
      <c r="I64">
        <f t="shared" si="38"/>
        <v>1.25</v>
      </c>
      <c r="J64">
        <f t="shared" si="39"/>
        <v>0.33</v>
      </c>
      <c r="K64">
        <f t="shared" si="40"/>
        <v>0</v>
      </c>
      <c r="L64">
        <f t="shared" si="41"/>
        <v>0</v>
      </c>
      <c r="M64">
        <f t="shared" si="42"/>
        <v>1</v>
      </c>
      <c r="N64">
        <f t="shared" si="43"/>
        <v>0.77</v>
      </c>
      <c r="O64" t="str">
        <f t="shared" si="44"/>
        <v>松散</v>
      </c>
      <c r="P64" t="str">
        <f t="shared" si="45"/>
        <v>极紧凑</v>
      </c>
      <c r="Q64" t="str">
        <f t="shared" si="46"/>
        <v>✓有效</v>
      </c>
      <c r="R64" t="str">
        <f t="shared" si="47"/>
        <v>正常</v>
      </c>
    </row>
    <row r="65" ht="14.25" customHeight="1" spans="1:18">
      <c r="A65" s="10">
        <v>2023036</v>
      </c>
      <c r="B65" s="12" t="s">
        <v>118</v>
      </c>
      <c r="C65">
        <f t="shared" si="32"/>
        <v>3</v>
      </c>
      <c r="D65">
        <f t="shared" si="33"/>
        <v>8</v>
      </c>
      <c r="E65">
        <f t="shared" si="34"/>
        <v>0</v>
      </c>
      <c r="F65">
        <f t="shared" si="35"/>
        <v>11</v>
      </c>
      <c r="G65">
        <f t="shared" si="36"/>
        <v>1</v>
      </c>
      <c r="H65">
        <f t="shared" si="37"/>
        <v>8</v>
      </c>
      <c r="I65">
        <f t="shared" si="38"/>
        <v>1.38</v>
      </c>
      <c r="J65">
        <f t="shared" si="39"/>
        <v>0.33</v>
      </c>
      <c r="K65">
        <f t="shared" si="40"/>
        <v>0.33</v>
      </c>
      <c r="L65">
        <f t="shared" si="41"/>
        <v>0.33</v>
      </c>
      <c r="M65">
        <f t="shared" si="42"/>
        <v>0</v>
      </c>
      <c r="N65">
        <f t="shared" si="43"/>
        <v>1.02</v>
      </c>
      <c r="O65" t="str">
        <f t="shared" si="44"/>
        <v>松散</v>
      </c>
      <c r="P65" t="str">
        <f t="shared" si="45"/>
        <v>极紧凑</v>
      </c>
      <c r="Q65" t="str">
        <f t="shared" si="46"/>
        <v>✓有效</v>
      </c>
      <c r="R65" t="str">
        <f t="shared" si="47"/>
        <v>正常</v>
      </c>
    </row>
    <row r="66" ht="14.25" customHeight="1" spans="1:18">
      <c r="A66" s="10">
        <v>2023037</v>
      </c>
      <c r="B66" s="12" t="s">
        <v>119</v>
      </c>
      <c r="C66">
        <f t="shared" si="32"/>
        <v>6</v>
      </c>
      <c r="D66">
        <f t="shared" si="33"/>
        <v>3</v>
      </c>
      <c r="E66">
        <f t="shared" si="34"/>
        <v>8</v>
      </c>
      <c r="F66">
        <f t="shared" si="35"/>
        <v>17</v>
      </c>
      <c r="G66">
        <f t="shared" si="36"/>
        <v>7</v>
      </c>
      <c r="H66">
        <f t="shared" si="37"/>
        <v>5</v>
      </c>
      <c r="I66">
        <f t="shared" si="38"/>
        <v>3.4</v>
      </c>
      <c r="J66">
        <f t="shared" si="39"/>
        <v>0.33</v>
      </c>
      <c r="K66">
        <f t="shared" si="40"/>
        <v>0.67</v>
      </c>
      <c r="L66">
        <f t="shared" si="41"/>
        <v>0.33</v>
      </c>
      <c r="M66">
        <f t="shared" si="42"/>
        <v>0</v>
      </c>
      <c r="N66">
        <f t="shared" si="43"/>
        <v>1.89</v>
      </c>
      <c r="O66" t="str">
        <f t="shared" si="44"/>
        <v>标准</v>
      </c>
      <c r="P66" t="str">
        <f t="shared" si="45"/>
        <v>紧凑</v>
      </c>
      <c r="Q66" t="str">
        <f t="shared" si="46"/>
        <v>✓有效</v>
      </c>
      <c r="R66" t="str">
        <f t="shared" si="47"/>
        <v>正常</v>
      </c>
    </row>
    <row r="67" ht="14.25" customHeight="1" spans="1:18">
      <c r="A67" s="10">
        <v>2023038</v>
      </c>
      <c r="B67" s="12" t="s">
        <v>102</v>
      </c>
      <c r="C67">
        <f t="shared" si="32"/>
        <v>8</v>
      </c>
      <c r="D67">
        <f t="shared" si="33"/>
        <v>4</v>
      </c>
      <c r="E67">
        <f t="shared" si="34"/>
        <v>5</v>
      </c>
      <c r="F67">
        <f t="shared" si="35"/>
        <v>17</v>
      </c>
      <c r="G67">
        <f t="shared" si="36"/>
        <v>7</v>
      </c>
      <c r="H67">
        <f t="shared" si="37"/>
        <v>4</v>
      </c>
      <c r="I67">
        <f t="shared" si="38"/>
        <v>4.25</v>
      </c>
      <c r="J67">
        <f t="shared" si="39"/>
        <v>0.33</v>
      </c>
      <c r="K67">
        <f t="shared" si="40"/>
        <v>0.67</v>
      </c>
      <c r="L67">
        <f t="shared" si="41"/>
        <v>0.33</v>
      </c>
      <c r="M67">
        <f t="shared" si="42"/>
        <v>1</v>
      </c>
      <c r="N67">
        <f t="shared" si="43"/>
        <v>2.13</v>
      </c>
      <c r="O67" t="str">
        <f t="shared" si="44"/>
        <v>紧凑</v>
      </c>
      <c r="P67" t="str">
        <f t="shared" si="45"/>
        <v>紧凑</v>
      </c>
      <c r="Q67" t="str">
        <f t="shared" si="46"/>
        <v>✓有效</v>
      </c>
      <c r="R67" t="str">
        <f t="shared" si="47"/>
        <v>正常</v>
      </c>
    </row>
    <row r="68" ht="14.25" customHeight="1" spans="1:18">
      <c r="A68" s="10">
        <v>2023039</v>
      </c>
      <c r="B68" s="12" t="s">
        <v>120</v>
      </c>
      <c r="C68">
        <f t="shared" si="32"/>
        <v>9</v>
      </c>
      <c r="D68">
        <f t="shared" si="33"/>
        <v>1</v>
      </c>
      <c r="E68">
        <f t="shared" si="34"/>
        <v>9</v>
      </c>
      <c r="F68">
        <f t="shared" si="35"/>
        <v>19</v>
      </c>
      <c r="G68">
        <f t="shared" si="36"/>
        <v>9</v>
      </c>
      <c r="H68">
        <f t="shared" si="37"/>
        <v>8</v>
      </c>
      <c r="I68">
        <f t="shared" si="38"/>
        <v>2.38</v>
      </c>
      <c r="J68">
        <f t="shared" si="39"/>
        <v>1</v>
      </c>
      <c r="K68">
        <f t="shared" si="40"/>
        <v>0.67</v>
      </c>
      <c r="L68">
        <f t="shared" si="41"/>
        <v>0</v>
      </c>
      <c r="M68">
        <f t="shared" si="42"/>
        <v>0</v>
      </c>
      <c r="N68">
        <f t="shared" si="43"/>
        <v>1.59</v>
      </c>
      <c r="O68" t="str">
        <f t="shared" si="44"/>
        <v>标准</v>
      </c>
      <c r="P68" t="str">
        <f t="shared" si="45"/>
        <v>紧凑</v>
      </c>
      <c r="Q68" t="str">
        <f t="shared" si="46"/>
        <v>✓有效</v>
      </c>
      <c r="R68" t="str">
        <f t="shared" si="47"/>
        <v>正常</v>
      </c>
    </row>
    <row r="69" ht="14.25" customHeight="1" spans="1:18">
      <c r="A69" s="10">
        <v>2023040</v>
      </c>
      <c r="B69" s="12" t="s">
        <v>121</v>
      </c>
      <c r="C69">
        <f t="shared" si="32"/>
        <v>4</v>
      </c>
      <c r="D69">
        <f t="shared" si="33"/>
        <v>1</v>
      </c>
      <c r="E69">
        <f t="shared" si="34"/>
        <v>3</v>
      </c>
      <c r="F69">
        <f t="shared" si="35"/>
        <v>8</v>
      </c>
      <c r="G69">
        <f t="shared" si="36"/>
        <v>8</v>
      </c>
      <c r="H69">
        <f t="shared" si="37"/>
        <v>3</v>
      </c>
      <c r="I69">
        <f t="shared" si="38"/>
        <v>2.67</v>
      </c>
      <c r="J69">
        <f t="shared" si="39"/>
        <v>0.67</v>
      </c>
      <c r="K69">
        <f t="shared" si="40"/>
        <v>0</v>
      </c>
      <c r="L69">
        <f t="shared" si="41"/>
        <v>0.33</v>
      </c>
      <c r="M69">
        <f t="shared" si="42"/>
        <v>1</v>
      </c>
      <c r="N69">
        <f t="shared" si="43"/>
        <v>1.44</v>
      </c>
      <c r="O69" t="str">
        <f t="shared" si="44"/>
        <v>标准</v>
      </c>
      <c r="P69" t="str">
        <f t="shared" si="45"/>
        <v>极紧凑</v>
      </c>
      <c r="Q69" t="str">
        <f t="shared" si="46"/>
        <v>✓有效</v>
      </c>
      <c r="R69" t="str">
        <f t="shared" si="47"/>
        <v>正常</v>
      </c>
    </row>
    <row r="70" ht="14.25" customHeight="1" spans="1:18">
      <c r="A70" s="10">
        <v>2023041</v>
      </c>
      <c r="B70" s="12" t="s">
        <v>122</v>
      </c>
      <c r="C70">
        <f t="shared" si="32"/>
        <v>1</v>
      </c>
      <c r="D70">
        <f t="shared" si="33"/>
        <v>3</v>
      </c>
      <c r="E70">
        <f t="shared" si="34"/>
        <v>3</v>
      </c>
      <c r="F70">
        <f t="shared" si="35"/>
        <v>7</v>
      </c>
      <c r="G70">
        <f t="shared" si="36"/>
        <v>7</v>
      </c>
      <c r="H70">
        <f t="shared" si="37"/>
        <v>2</v>
      </c>
      <c r="I70">
        <f t="shared" si="38"/>
        <v>3.5</v>
      </c>
      <c r="J70">
        <f t="shared" si="39"/>
        <v>1</v>
      </c>
      <c r="K70">
        <f t="shared" si="40"/>
        <v>0</v>
      </c>
      <c r="L70">
        <f t="shared" si="41"/>
        <v>0.67</v>
      </c>
      <c r="M70">
        <f t="shared" si="42"/>
        <v>0</v>
      </c>
      <c r="N70">
        <f t="shared" si="43"/>
        <v>1.97</v>
      </c>
      <c r="O70" t="str">
        <f t="shared" si="44"/>
        <v>标准</v>
      </c>
      <c r="P70" t="str">
        <f t="shared" si="45"/>
        <v>紧凑</v>
      </c>
      <c r="Q70" t="str">
        <f t="shared" si="46"/>
        <v>✓有效</v>
      </c>
      <c r="R70" t="str">
        <f t="shared" si="47"/>
        <v>正常</v>
      </c>
    </row>
    <row r="71" ht="14.25" customHeight="1" spans="1:18">
      <c r="A71" s="10">
        <v>2023042</v>
      </c>
      <c r="B71" s="12" t="s">
        <v>123</v>
      </c>
      <c r="C71">
        <f t="shared" si="32"/>
        <v>7</v>
      </c>
      <c r="D71">
        <f t="shared" si="33"/>
        <v>2</v>
      </c>
      <c r="E71">
        <f t="shared" si="34"/>
        <v>8</v>
      </c>
      <c r="F71">
        <f t="shared" si="35"/>
        <v>17</v>
      </c>
      <c r="G71">
        <f t="shared" si="36"/>
        <v>7</v>
      </c>
      <c r="H71">
        <f t="shared" si="37"/>
        <v>6</v>
      </c>
      <c r="I71">
        <f t="shared" si="38"/>
        <v>2.83</v>
      </c>
      <c r="J71">
        <f t="shared" si="39"/>
        <v>0.33</v>
      </c>
      <c r="K71">
        <f t="shared" si="40"/>
        <v>0.67</v>
      </c>
      <c r="L71">
        <f t="shared" si="41"/>
        <v>0.67</v>
      </c>
      <c r="M71">
        <f t="shared" si="42"/>
        <v>1</v>
      </c>
      <c r="N71">
        <f t="shared" si="43"/>
        <v>1.6</v>
      </c>
      <c r="O71" t="str">
        <f t="shared" si="44"/>
        <v>标准</v>
      </c>
      <c r="P71" t="str">
        <f t="shared" si="45"/>
        <v>紧凑</v>
      </c>
      <c r="Q71" t="str">
        <f t="shared" si="46"/>
        <v>✓有效</v>
      </c>
      <c r="R71" t="str">
        <f t="shared" si="47"/>
        <v>正常</v>
      </c>
    </row>
    <row r="72" ht="14.25" customHeight="1" spans="1:18">
      <c r="A72" s="10">
        <v>2023043</v>
      </c>
      <c r="B72" s="11">
        <v>918</v>
      </c>
      <c r="C72">
        <f t="shared" ref="C72:C99" si="48">IF(B72="","",LEFT(TEXT(B72,"000"),1)*1)</f>
        <v>9</v>
      </c>
      <c r="D72">
        <f t="shared" ref="D72:D99" si="49">IF(B72="","",MID(TEXT(B72,"000"),2,1)*1)</f>
        <v>1</v>
      </c>
      <c r="E72">
        <f t="shared" ref="E72:E99" si="50">IF(B72="","",RIGHT(TEXT(B72,"000"),1)*1)</f>
        <v>8</v>
      </c>
      <c r="F72">
        <f t="shared" ref="F72:F99" si="51">IF(B72="","",C72+D72+E72)</f>
        <v>18</v>
      </c>
      <c r="G72">
        <f t="shared" ref="G72:G99" si="52">IF(B72="","",MOD(F72,10))</f>
        <v>8</v>
      </c>
      <c r="H72">
        <f t="shared" ref="H72:H99" si="53">IF(B72="","",MAX(C72,D72,E72)-MIN(C72,D72,E72))</f>
        <v>8</v>
      </c>
      <c r="I72">
        <f t="shared" ref="I72:I99" si="54">IF(OR(B72="",H72=0),IF(H72=0,0.1,""),ROUND(F72/H72,2))</f>
        <v>2.25</v>
      </c>
      <c r="J72">
        <f t="shared" ref="J72:J99" si="55">IF(B72="","",ROUND((MOD(C72,2)+MOD(D72,2)+MOD(E72,2))/3,2))</f>
        <v>0.67</v>
      </c>
      <c r="K72">
        <f t="shared" ref="K72:K99" si="56">IF(B72="","",ROUND(((C72&gt;=5)+(D72&gt;=5)+(E72&gt;=5))/3,2))</f>
        <v>0.67</v>
      </c>
      <c r="L72">
        <f t="shared" ref="L72:L99" si="57">IF(B72="","",ROUND((ISNUMBER(FIND(C72,"2357"))+ISNUMBER(FIND(D72,"2357"))+ISNUMBER(FIND(E72,"2357")))/3,2))</f>
        <v>0</v>
      </c>
      <c r="M72">
        <f t="shared" ref="M72:M99" si="58">IF(B72="","",((ABS(C72-D72)=1)+(ABS(D72-E72)=1)+(ABS(C72-E72)=1)))</f>
        <v>1</v>
      </c>
      <c r="N72">
        <f t="shared" ref="N72:N99" si="59">IF(B72="","",ROUND(I72*0.4+J72*0.2+K72*0.2+L72*0.1+(3-M72)*0.1,2))</f>
        <v>1.37</v>
      </c>
      <c r="O72" t="str">
        <f t="shared" ref="O72:O99" si="60">IF(I72=0.1,"极紧凑",IF(I72&gt;3.5,"紧凑",IF(AND(I72&gt;=2,I72&lt;=3.5),"标准",IF(AND(I72&gt;=1,I72&lt;2),"松散",""))))</f>
        <v>标准</v>
      </c>
      <c r="P72" t="str">
        <f t="shared" ref="P72:P99" si="61">IF(B72="","",IF(N72&lt;=1.5,"极紧凑",IF(N72&lt;=3,"紧凑",IF(N72&lt;=5,"标准","松散"))))</f>
        <v>极紧凑</v>
      </c>
      <c r="Q72" t="str">
        <f t="shared" ref="Q72:Q99" si="62">IF(B72="","",IF(AND(C72&gt;=0,C72&lt;=9,D72&gt;=0,D72&lt;=9,E72&gt;=0,E72&lt;=9),"✓有效","✗无效"))</f>
        <v>✓有效</v>
      </c>
      <c r="R72" t="str">
        <f t="shared" ref="R72:R99" si="63">IF(B72="","",IF(OR(I72&gt;10,I72&lt;0.1),"异常","正常"))</f>
        <v>正常</v>
      </c>
    </row>
    <row r="73" ht="14.25" customHeight="1" spans="1:18">
      <c r="A73" s="10">
        <v>2023044</v>
      </c>
      <c r="B73" s="12" t="s">
        <v>124</v>
      </c>
      <c r="C73">
        <f t="shared" si="48"/>
        <v>8</v>
      </c>
      <c r="D73">
        <f t="shared" si="49"/>
        <v>1</v>
      </c>
      <c r="E73">
        <f t="shared" si="50"/>
        <v>1</v>
      </c>
      <c r="F73">
        <f t="shared" si="51"/>
        <v>10</v>
      </c>
      <c r="G73">
        <f t="shared" si="52"/>
        <v>0</v>
      </c>
      <c r="H73">
        <f t="shared" si="53"/>
        <v>7</v>
      </c>
      <c r="I73">
        <f t="shared" si="54"/>
        <v>1.43</v>
      </c>
      <c r="J73">
        <f t="shared" si="55"/>
        <v>0.67</v>
      </c>
      <c r="K73">
        <f t="shared" si="56"/>
        <v>0.33</v>
      </c>
      <c r="L73">
        <f t="shared" si="57"/>
        <v>0</v>
      </c>
      <c r="M73">
        <f t="shared" si="58"/>
        <v>0</v>
      </c>
      <c r="N73">
        <f t="shared" si="59"/>
        <v>1.07</v>
      </c>
      <c r="O73" t="str">
        <f t="shared" si="60"/>
        <v>松散</v>
      </c>
      <c r="P73" t="str">
        <f t="shared" si="61"/>
        <v>极紧凑</v>
      </c>
      <c r="Q73" t="str">
        <f t="shared" si="62"/>
        <v>✓有效</v>
      </c>
      <c r="R73" t="str">
        <f t="shared" si="63"/>
        <v>正常</v>
      </c>
    </row>
    <row r="74" ht="14.25" customHeight="1" spans="1:18">
      <c r="A74" s="10">
        <v>2023045</v>
      </c>
      <c r="B74" s="12" t="s">
        <v>125</v>
      </c>
      <c r="C74">
        <f t="shared" si="48"/>
        <v>7</v>
      </c>
      <c r="D74">
        <f t="shared" si="49"/>
        <v>0</v>
      </c>
      <c r="E74">
        <f t="shared" si="50"/>
        <v>0</v>
      </c>
      <c r="F74">
        <f t="shared" si="51"/>
        <v>7</v>
      </c>
      <c r="G74">
        <f t="shared" si="52"/>
        <v>7</v>
      </c>
      <c r="H74">
        <f t="shared" si="53"/>
        <v>7</v>
      </c>
      <c r="I74">
        <f t="shared" si="54"/>
        <v>1</v>
      </c>
      <c r="J74">
        <f t="shared" si="55"/>
        <v>0.33</v>
      </c>
      <c r="K74">
        <f t="shared" si="56"/>
        <v>0.33</v>
      </c>
      <c r="L74">
        <f t="shared" si="57"/>
        <v>0.33</v>
      </c>
      <c r="M74">
        <f t="shared" si="58"/>
        <v>0</v>
      </c>
      <c r="N74">
        <f t="shared" si="59"/>
        <v>0.87</v>
      </c>
      <c r="O74" t="str">
        <f t="shared" si="60"/>
        <v>松散</v>
      </c>
      <c r="P74" t="str">
        <f t="shared" si="61"/>
        <v>极紧凑</v>
      </c>
      <c r="Q74" t="str">
        <f t="shared" si="62"/>
        <v>✓有效</v>
      </c>
      <c r="R74" t="str">
        <f t="shared" si="63"/>
        <v>正常</v>
      </c>
    </row>
    <row r="75" ht="14.25" customHeight="1" spans="1:18">
      <c r="A75" s="10">
        <v>2023046</v>
      </c>
      <c r="B75" s="12" t="s">
        <v>126</v>
      </c>
      <c r="C75">
        <f t="shared" si="48"/>
        <v>1</v>
      </c>
      <c r="D75">
        <f t="shared" si="49"/>
        <v>0</v>
      </c>
      <c r="E75">
        <f t="shared" si="50"/>
        <v>3</v>
      </c>
      <c r="F75">
        <f t="shared" si="51"/>
        <v>4</v>
      </c>
      <c r="G75">
        <f t="shared" si="52"/>
        <v>4</v>
      </c>
      <c r="H75">
        <f t="shared" si="53"/>
        <v>3</v>
      </c>
      <c r="I75">
        <f t="shared" si="54"/>
        <v>1.33</v>
      </c>
      <c r="J75">
        <f t="shared" si="55"/>
        <v>0.67</v>
      </c>
      <c r="K75">
        <f t="shared" si="56"/>
        <v>0</v>
      </c>
      <c r="L75">
        <f t="shared" si="57"/>
        <v>0.33</v>
      </c>
      <c r="M75">
        <f t="shared" si="58"/>
        <v>1</v>
      </c>
      <c r="N75">
        <f t="shared" si="59"/>
        <v>0.9</v>
      </c>
      <c r="O75" t="str">
        <f t="shared" si="60"/>
        <v>松散</v>
      </c>
      <c r="P75" t="str">
        <f t="shared" si="61"/>
        <v>极紧凑</v>
      </c>
      <c r="Q75" t="str">
        <f t="shared" si="62"/>
        <v>✓有效</v>
      </c>
      <c r="R75" t="str">
        <f t="shared" si="63"/>
        <v>正常</v>
      </c>
    </row>
    <row r="76" ht="14.25" customHeight="1" spans="1:18">
      <c r="A76" s="10">
        <v>2023047</v>
      </c>
      <c r="B76" s="12" t="s">
        <v>127</v>
      </c>
      <c r="C76">
        <f t="shared" si="48"/>
        <v>1</v>
      </c>
      <c r="D76">
        <f t="shared" si="49"/>
        <v>5</v>
      </c>
      <c r="E76">
        <f t="shared" si="50"/>
        <v>9</v>
      </c>
      <c r="F76">
        <f t="shared" si="51"/>
        <v>15</v>
      </c>
      <c r="G76">
        <f t="shared" si="52"/>
        <v>5</v>
      </c>
      <c r="H76">
        <f t="shared" si="53"/>
        <v>8</v>
      </c>
      <c r="I76">
        <f t="shared" si="54"/>
        <v>1.88</v>
      </c>
      <c r="J76">
        <f t="shared" si="55"/>
        <v>1</v>
      </c>
      <c r="K76">
        <f t="shared" si="56"/>
        <v>0.67</v>
      </c>
      <c r="L76">
        <f t="shared" si="57"/>
        <v>0.33</v>
      </c>
      <c r="M76">
        <f t="shared" si="58"/>
        <v>0</v>
      </c>
      <c r="N76">
        <f t="shared" si="59"/>
        <v>1.42</v>
      </c>
      <c r="O76" t="str">
        <f t="shared" si="60"/>
        <v>松散</v>
      </c>
      <c r="P76" t="str">
        <f t="shared" si="61"/>
        <v>极紧凑</v>
      </c>
      <c r="Q76" t="str">
        <f t="shared" si="62"/>
        <v>✓有效</v>
      </c>
      <c r="R76" t="str">
        <f t="shared" si="63"/>
        <v>正常</v>
      </c>
    </row>
    <row r="77" ht="14.25" customHeight="1" spans="1:18">
      <c r="A77" s="10">
        <v>2023048</v>
      </c>
      <c r="B77" s="12" t="s">
        <v>128</v>
      </c>
      <c r="C77">
        <f t="shared" si="48"/>
        <v>3</v>
      </c>
      <c r="D77">
        <f t="shared" si="49"/>
        <v>0</v>
      </c>
      <c r="E77">
        <f t="shared" si="50"/>
        <v>6</v>
      </c>
      <c r="F77">
        <f t="shared" si="51"/>
        <v>9</v>
      </c>
      <c r="G77">
        <f t="shared" si="52"/>
        <v>9</v>
      </c>
      <c r="H77">
        <f t="shared" si="53"/>
        <v>6</v>
      </c>
      <c r="I77">
        <f t="shared" si="54"/>
        <v>1.5</v>
      </c>
      <c r="J77">
        <f t="shared" si="55"/>
        <v>0.33</v>
      </c>
      <c r="K77">
        <f t="shared" si="56"/>
        <v>0.33</v>
      </c>
      <c r="L77">
        <f t="shared" si="57"/>
        <v>0.33</v>
      </c>
      <c r="M77">
        <f t="shared" si="58"/>
        <v>0</v>
      </c>
      <c r="N77">
        <f t="shared" si="59"/>
        <v>1.07</v>
      </c>
      <c r="O77" t="str">
        <f t="shared" si="60"/>
        <v>松散</v>
      </c>
      <c r="P77" t="str">
        <f t="shared" si="61"/>
        <v>极紧凑</v>
      </c>
      <c r="Q77" t="str">
        <f t="shared" si="62"/>
        <v>✓有效</v>
      </c>
      <c r="R77" t="str">
        <f t="shared" si="63"/>
        <v>正常</v>
      </c>
    </row>
    <row r="78" ht="14.25" customHeight="1" spans="1:18">
      <c r="A78" s="10">
        <v>2023049</v>
      </c>
      <c r="B78" s="12" t="s">
        <v>129</v>
      </c>
      <c r="C78">
        <f t="shared" si="48"/>
        <v>7</v>
      </c>
      <c r="D78">
        <f t="shared" si="49"/>
        <v>3</v>
      </c>
      <c r="E78">
        <f t="shared" si="50"/>
        <v>5</v>
      </c>
      <c r="F78">
        <f t="shared" si="51"/>
        <v>15</v>
      </c>
      <c r="G78">
        <f t="shared" si="52"/>
        <v>5</v>
      </c>
      <c r="H78">
        <f t="shared" si="53"/>
        <v>4</v>
      </c>
      <c r="I78">
        <f t="shared" si="54"/>
        <v>3.75</v>
      </c>
      <c r="J78">
        <f t="shared" si="55"/>
        <v>1</v>
      </c>
      <c r="K78">
        <f t="shared" si="56"/>
        <v>0.67</v>
      </c>
      <c r="L78">
        <f t="shared" si="57"/>
        <v>1</v>
      </c>
      <c r="M78">
        <f t="shared" si="58"/>
        <v>0</v>
      </c>
      <c r="N78">
        <f t="shared" si="59"/>
        <v>2.23</v>
      </c>
      <c r="O78" t="str">
        <f t="shared" si="60"/>
        <v>紧凑</v>
      </c>
      <c r="P78" t="str">
        <f t="shared" si="61"/>
        <v>紧凑</v>
      </c>
      <c r="Q78" t="str">
        <f t="shared" si="62"/>
        <v>✓有效</v>
      </c>
      <c r="R78" t="str">
        <f t="shared" si="63"/>
        <v>正常</v>
      </c>
    </row>
    <row r="79" ht="14.25" customHeight="1" spans="1:18">
      <c r="A79" s="10">
        <v>2023050</v>
      </c>
      <c r="B79" s="12" t="s">
        <v>130</v>
      </c>
      <c r="C79">
        <f t="shared" si="48"/>
        <v>6</v>
      </c>
      <c r="D79">
        <f t="shared" si="49"/>
        <v>0</v>
      </c>
      <c r="E79">
        <f t="shared" si="50"/>
        <v>2</v>
      </c>
      <c r="F79">
        <f t="shared" si="51"/>
        <v>8</v>
      </c>
      <c r="G79">
        <f t="shared" si="52"/>
        <v>8</v>
      </c>
      <c r="H79">
        <f t="shared" si="53"/>
        <v>6</v>
      </c>
      <c r="I79">
        <f t="shared" si="54"/>
        <v>1.33</v>
      </c>
      <c r="J79">
        <f t="shared" si="55"/>
        <v>0</v>
      </c>
      <c r="K79">
        <f t="shared" si="56"/>
        <v>0.33</v>
      </c>
      <c r="L79">
        <f t="shared" si="57"/>
        <v>0.33</v>
      </c>
      <c r="M79">
        <f t="shared" si="58"/>
        <v>0</v>
      </c>
      <c r="N79">
        <f t="shared" si="59"/>
        <v>0.93</v>
      </c>
      <c r="O79" t="str">
        <f t="shared" si="60"/>
        <v>松散</v>
      </c>
      <c r="P79" t="str">
        <f t="shared" si="61"/>
        <v>极紧凑</v>
      </c>
      <c r="Q79" t="str">
        <f t="shared" si="62"/>
        <v>✓有效</v>
      </c>
      <c r="R79" t="str">
        <f t="shared" si="63"/>
        <v>正常</v>
      </c>
    </row>
    <row r="80" ht="14.25" customHeight="1" spans="1:18">
      <c r="A80" s="10">
        <v>2023051</v>
      </c>
      <c r="B80" s="12" t="s">
        <v>131</v>
      </c>
      <c r="C80">
        <f t="shared" si="48"/>
        <v>0</v>
      </c>
      <c r="D80">
        <f t="shared" si="49"/>
        <v>6</v>
      </c>
      <c r="E80">
        <f t="shared" si="50"/>
        <v>6</v>
      </c>
      <c r="F80">
        <f t="shared" si="51"/>
        <v>12</v>
      </c>
      <c r="G80">
        <f t="shared" si="52"/>
        <v>2</v>
      </c>
      <c r="H80">
        <f t="shared" si="53"/>
        <v>6</v>
      </c>
      <c r="I80">
        <f t="shared" si="54"/>
        <v>2</v>
      </c>
      <c r="J80">
        <f t="shared" si="55"/>
        <v>0</v>
      </c>
      <c r="K80">
        <f t="shared" si="56"/>
        <v>0.67</v>
      </c>
      <c r="L80">
        <f t="shared" si="57"/>
        <v>0</v>
      </c>
      <c r="M80">
        <f t="shared" si="58"/>
        <v>0</v>
      </c>
      <c r="N80">
        <f t="shared" si="59"/>
        <v>1.23</v>
      </c>
      <c r="O80" t="str">
        <f t="shared" si="60"/>
        <v>标准</v>
      </c>
      <c r="P80" t="str">
        <f t="shared" si="61"/>
        <v>极紧凑</v>
      </c>
      <c r="Q80" t="str">
        <f t="shared" si="62"/>
        <v>✓有效</v>
      </c>
      <c r="R80" t="str">
        <f t="shared" si="63"/>
        <v>正常</v>
      </c>
    </row>
    <row r="81" ht="14.25" customHeight="1" spans="1:18">
      <c r="A81" s="10">
        <v>2023052</v>
      </c>
      <c r="B81" s="12" t="s">
        <v>132</v>
      </c>
      <c r="C81">
        <f t="shared" si="48"/>
        <v>1</v>
      </c>
      <c r="D81">
        <f t="shared" si="49"/>
        <v>5</v>
      </c>
      <c r="E81">
        <f t="shared" si="50"/>
        <v>0</v>
      </c>
      <c r="F81">
        <f t="shared" si="51"/>
        <v>6</v>
      </c>
      <c r="G81">
        <f t="shared" si="52"/>
        <v>6</v>
      </c>
      <c r="H81">
        <f t="shared" si="53"/>
        <v>5</v>
      </c>
      <c r="I81">
        <f t="shared" si="54"/>
        <v>1.2</v>
      </c>
      <c r="J81">
        <f t="shared" si="55"/>
        <v>0.67</v>
      </c>
      <c r="K81">
        <f t="shared" si="56"/>
        <v>0.33</v>
      </c>
      <c r="L81">
        <f t="shared" si="57"/>
        <v>0.33</v>
      </c>
      <c r="M81">
        <f t="shared" si="58"/>
        <v>1</v>
      </c>
      <c r="N81">
        <f t="shared" si="59"/>
        <v>0.91</v>
      </c>
      <c r="O81" t="str">
        <f t="shared" si="60"/>
        <v>松散</v>
      </c>
      <c r="P81" t="str">
        <f t="shared" si="61"/>
        <v>极紧凑</v>
      </c>
      <c r="Q81" t="str">
        <f t="shared" si="62"/>
        <v>✓有效</v>
      </c>
      <c r="R81" t="str">
        <f t="shared" si="63"/>
        <v>正常</v>
      </c>
    </row>
    <row r="82" ht="14.25" customHeight="1" spans="1:18">
      <c r="A82" s="10">
        <v>2023053</v>
      </c>
      <c r="B82" s="12" t="s">
        <v>133</v>
      </c>
      <c r="C82">
        <f t="shared" si="48"/>
        <v>3</v>
      </c>
      <c r="D82">
        <f t="shared" si="49"/>
        <v>1</v>
      </c>
      <c r="E82">
        <f t="shared" si="50"/>
        <v>0</v>
      </c>
      <c r="F82">
        <f t="shared" si="51"/>
        <v>4</v>
      </c>
      <c r="G82">
        <f t="shared" si="52"/>
        <v>4</v>
      </c>
      <c r="H82">
        <f t="shared" si="53"/>
        <v>3</v>
      </c>
      <c r="I82">
        <f t="shared" si="54"/>
        <v>1.33</v>
      </c>
      <c r="J82">
        <f t="shared" si="55"/>
        <v>0.67</v>
      </c>
      <c r="K82">
        <f t="shared" si="56"/>
        <v>0</v>
      </c>
      <c r="L82">
        <f t="shared" si="57"/>
        <v>0.33</v>
      </c>
      <c r="M82">
        <f t="shared" si="58"/>
        <v>1</v>
      </c>
      <c r="N82">
        <f t="shared" si="59"/>
        <v>0.9</v>
      </c>
      <c r="O82" t="str">
        <f t="shared" si="60"/>
        <v>松散</v>
      </c>
      <c r="P82" t="str">
        <f t="shared" si="61"/>
        <v>极紧凑</v>
      </c>
      <c r="Q82" t="str">
        <f t="shared" si="62"/>
        <v>✓有效</v>
      </c>
      <c r="R82" t="str">
        <f t="shared" si="63"/>
        <v>正常</v>
      </c>
    </row>
    <row r="83" ht="14.25" customHeight="1" spans="1:18">
      <c r="A83" s="10">
        <v>2023054</v>
      </c>
      <c r="B83" s="12" t="s">
        <v>134</v>
      </c>
      <c r="C83">
        <f t="shared" si="48"/>
        <v>1</v>
      </c>
      <c r="D83">
        <f t="shared" si="49"/>
        <v>1</v>
      </c>
      <c r="E83">
        <f t="shared" si="50"/>
        <v>7</v>
      </c>
      <c r="F83">
        <f t="shared" si="51"/>
        <v>9</v>
      </c>
      <c r="G83">
        <f t="shared" si="52"/>
        <v>9</v>
      </c>
      <c r="H83">
        <f t="shared" si="53"/>
        <v>6</v>
      </c>
      <c r="I83">
        <f t="shared" si="54"/>
        <v>1.5</v>
      </c>
      <c r="J83">
        <f t="shared" si="55"/>
        <v>1</v>
      </c>
      <c r="K83">
        <f t="shared" si="56"/>
        <v>0.33</v>
      </c>
      <c r="L83">
        <f t="shared" si="57"/>
        <v>0.33</v>
      </c>
      <c r="M83">
        <f t="shared" si="58"/>
        <v>0</v>
      </c>
      <c r="N83">
        <f t="shared" si="59"/>
        <v>1.2</v>
      </c>
      <c r="O83" t="str">
        <f t="shared" si="60"/>
        <v>松散</v>
      </c>
      <c r="P83" t="str">
        <f t="shared" si="61"/>
        <v>极紧凑</v>
      </c>
      <c r="Q83" t="str">
        <f t="shared" si="62"/>
        <v>✓有效</v>
      </c>
      <c r="R83" t="str">
        <f t="shared" si="63"/>
        <v>正常</v>
      </c>
    </row>
    <row r="84" ht="14.25" customHeight="1" spans="1:18">
      <c r="A84" s="10">
        <v>2023055</v>
      </c>
      <c r="B84" s="12" t="s">
        <v>135</v>
      </c>
      <c r="C84">
        <f t="shared" si="48"/>
        <v>8</v>
      </c>
      <c r="D84">
        <f t="shared" si="49"/>
        <v>7</v>
      </c>
      <c r="E84">
        <f t="shared" si="50"/>
        <v>3</v>
      </c>
      <c r="F84">
        <f t="shared" si="51"/>
        <v>18</v>
      </c>
      <c r="G84">
        <f t="shared" si="52"/>
        <v>8</v>
      </c>
      <c r="H84">
        <f t="shared" si="53"/>
        <v>5</v>
      </c>
      <c r="I84">
        <f t="shared" si="54"/>
        <v>3.6</v>
      </c>
      <c r="J84">
        <f t="shared" si="55"/>
        <v>0.67</v>
      </c>
      <c r="K84">
        <f t="shared" si="56"/>
        <v>0.67</v>
      </c>
      <c r="L84">
        <f t="shared" si="57"/>
        <v>0.67</v>
      </c>
      <c r="M84">
        <f t="shared" si="58"/>
        <v>1</v>
      </c>
      <c r="N84">
        <f t="shared" si="59"/>
        <v>1.98</v>
      </c>
      <c r="O84" t="str">
        <f t="shared" si="60"/>
        <v>紧凑</v>
      </c>
      <c r="P84" t="str">
        <f t="shared" si="61"/>
        <v>紧凑</v>
      </c>
      <c r="Q84" t="str">
        <f t="shared" si="62"/>
        <v>✓有效</v>
      </c>
      <c r="R84" t="str">
        <f t="shared" si="63"/>
        <v>正常</v>
      </c>
    </row>
    <row r="85" ht="14.25" customHeight="1" spans="1:18">
      <c r="A85" s="10">
        <v>2023056</v>
      </c>
      <c r="B85" s="12" t="s">
        <v>136</v>
      </c>
      <c r="C85">
        <f t="shared" si="48"/>
        <v>1</v>
      </c>
      <c r="D85">
        <f t="shared" si="49"/>
        <v>5</v>
      </c>
      <c r="E85">
        <f t="shared" si="50"/>
        <v>6</v>
      </c>
      <c r="F85">
        <f t="shared" si="51"/>
        <v>12</v>
      </c>
      <c r="G85">
        <f t="shared" si="52"/>
        <v>2</v>
      </c>
      <c r="H85">
        <f t="shared" si="53"/>
        <v>5</v>
      </c>
      <c r="I85">
        <f t="shared" si="54"/>
        <v>2.4</v>
      </c>
      <c r="J85">
        <f t="shared" si="55"/>
        <v>0.67</v>
      </c>
      <c r="K85">
        <f t="shared" si="56"/>
        <v>0.67</v>
      </c>
      <c r="L85">
        <f t="shared" si="57"/>
        <v>0.33</v>
      </c>
      <c r="M85">
        <f t="shared" si="58"/>
        <v>1</v>
      </c>
      <c r="N85">
        <f t="shared" si="59"/>
        <v>1.46</v>
      </c>
      <c r="O85" t="str">
        <f t="shared" si="60"/>
        <v>标准</v>
      </c>
      <c r="P85" t="str">
        <f t="shared" si="61"/>
        <v>极紧凑</v>
      </c>
      <c r="Q85" t="str">
        <f t="shared" si="62"/>
        <v>✓有效</v>
      </c>
      <c r="R85" t="str">
        <f t="shared" si="63"/>
        <v>正常</v>
      </c>
    </row>
    <row r="86" ht="14.25" customHeight="1" spans="1:18">
      <c r="A86" s="10">
        <v>2023057</v>
      </c>
      <c r="B86" s="12" t="s">
        <v>137</v>
      </c>
      <c r="C86">
        <f t="shared" si="48"/>
        <v>9</v>
      </c>
      <c r="D86">
        <f t="shared" si="49"/>
        <v>7</v>
      </c>
      <c r="E86">
        <f t="shared" si="50"/>
        <v>3</v>
      </c>
      <c r="F86">
        <f t="shared" si="51"/>
        <v>19</v>
      </c>
      <c r="G86">
        <f t="shared" si="52"/>
        <v>9</v>
      </c>
      <c r="H86">
        <f t="shared" si="53"/>
        <v>6</v>
      </c>
      <c r="I86">
        <f t="shared" si="54"/>
        <v>3.17</v>
      </c>
      <c r="J86">
        <f t="shared" si="55"/>
        <v>1</v>
      </c>
      <c r="K86">
        <f t="shared" si="56"/>
        <v>0.67</v>
      </c>
      <c r="L86">
        <f t="shared" si="57"/>
        <v>0.67</v>
      </c>
      <c r="M86">
        <f t="shared" si="58"/>
        <v>0</v>
      </c>
      <c r="N86">
        <f t="shared" si="59"/>
        <v>1.97</v>
      </c>
      <c r="O86" t="str">
        <f t="shared" si="60"/>
        <v>标准</v>
      </c>
      <c r="P86" t="str">
        <f t="shared" si="61"/>
        <v>紧凑</v>
      </c>
      <c r="Q86" t="str">
        <f t="shared" si="62"/>
        <v>✓有效</v>
      </c>
      <c r="R86" t="str">
        <f t="shared" si="63"/>
        <v>正常</v>
      </c>
    </row>
    <row r="87" ht="14.25" customHeight="1" spans="1:18">
      <c r="A87" s="10">
        <v>2023058</v>
      </c>
      <c r="B87" s="12" t="s">
        <v>138</v>
      </c>
      <c r="C87">
        <f t="shared" si="48"/>
        <v>7</v>
      </c>
      <c r="D87">
        <f t="shared" si="49"/>
        <v>6</v>
      </c>
      <c r="E87">
        <f t="shared" si="50"/>
        <v>7</v>
      </c>
      <c r="F87">
        <f t="shared" si="51"/>
        <v>20</v>
      </c>
      <c r="G87">
        <f t="shared" si="52"/>
        <v>0</v>
      </c>
      <c r="H87">
        <f t="shared" si="53"/>
        <v>1</v>
      </c>
      <c r="I87">
        <f t="shared" si="54"/>
        <v>20</v>
      </c>
      <c r="J87">
        <f t="shared" si="55"/>
        <v>0.67</v>
      </c>
      <c r="K87">
        <f t="shared" si="56"/>
        <v>1</v>
      </c>
      <c r="L87">
        <f t="shared" si="57"/>
        <v>0.67</v>
      </c>
      <c r="M87">
        <f t="shared" si="58"/>
        <v>2</v>
      </c>
      <c r="N87">
        <f t="shared" si="59"/>
        <v>8.5</v>
      </c>
      <c r="O87" t="str">
        <f t="shared" si="60"/>
        <v>紧凑</v>
      </c>
      <c r="P87" t="str">
        <f t="shared" si="61"/>
        <v>松散</v>
      </c>
      <c r="Q87" t="str">
        <f t="shared" si="62"/>
        <v>✓有效</v>
      </c>
      <c r="R87" t="str">
        <f t="shared" si="63"/>
        <v>异常</v>
      </c>
    </row>
    <row r="88" ht="14.25" customHeight="1" spans="1:18">
      <c r="A88" s="10">
        <v>2023059</v>
      </c>
      <c r="B88" s="12" t="s">
        <v>139</v>
      </c>
      <c r="C88">
        <f t="shared" si="48"/>
        <v>0</v>
      </c>
      <c r="D88">
        <f t="shared" si="49"/>
        <v>5</v>
      </c>
      <c r="E88">
        <f t="shared" si="50"/>
        <v>9</v>
      </c>
      <c r="F88">
        <f t="shared" si="51"/>
        <v>14</v>
      </c>
      <c r="G88">
        <f t="shared" si="52"/>
        <v>4</v>
      </c>
      <c r="H88">
        <f t="shared" si="53"/>
        <v>9</v>
      </c>
      <c r="I88">
        <f t="shared" si="54"/>
        <v>1.56</v>
      </c>
      <c r="J88">
        <f t="shared" si="55"/>
        <v>0.67</v>
      </c>
      <c r="K88">
        <f t="shared" si="56"/>
        <v>0.67</v>
      </c>
      <c r="L88">
        <f t="shared" si="57"/>
        <v>0.33</v>
      </c>
      <c r="M88">
        <f t="shared" si="58"/>
        <v>0</v>
      </c>
      <c r="N88">
        <f t="shared" si="59"/>
        <v>1.23</v>
      </c>
      <c r="O88" t="str">
        <f t="shared" si="60"/>
        <v>松散</v>
      </c>
      <c r="P88" t="str">
        <f t="shared" si="61"/>
        <v>极紧凑</v>
      </c>
      <c r="Q88" t="str">
        <f t="shared" si="62"/>
        <v>✓有效</v>
      </c>
      <c r="R88" t="str">
        <f t="shared" si="63"/>
        <v>正常</v>
      </c>
    </row>
    <row r="89" ht="14.25" customHeight="1" spans="1:18">
      <c r="A89" s="10">
        <v>2023060</v>
      </c>
      <c r="B89" s="12" t="s">
        <v>140</v>
      </c>
      <c r="C89">
        <f t="shared" si="48"/>
        <v>0</v>
      </c>
      <c r="D89">
        <f t="shared" si="49"/>
        <v>8</v>
      </c>
      <c r="E89">
        <f t="shared" si="50"/>
        <v>6</v>
      </c>
      <c r="F89">
        <f t="shared" si="51"/>
        <v>14</v>
      </c>
      <c r="G89">
        <f t="shared" si="52"/>
        <v>4</v>
      </c>
      <c r="H89">
        <f t="shared" si="53"/>
        <v>8</v>
      </c>
      <c r="I89">
        <f t="shared" si="54"/>
        <v>1.75</v>
      </c>
      <c r="J89">
        <f t="shared" si="55"/>
        <v>0</v>
      </c>
      <c r="K89">
        <f t="shared" si="56"/>
        <v>0.67</v>
      </c>
      <c r="L89">
        <f t="shared" si="57"/>
        <v>0</v>
      </c>
      <c r="M89">
        <f t="shared" si="58"/>
        <v>0</v>
      </c>
      <c r="N89">
        <f t="shared" si="59"/>
        <v>1.13</v>
      </c>
      <c r="O89" t="str">
        <f t="shared" si="60"/>
        <v>松散</v>
      </c>
      <c r="P89" t="str">
        <f t="shared" si="61"/>
        <v>极紧凑</v>
      </c>
      <c r="Q89" t="str">
        <f t="shared" si="62"/>
        <v>✓有效</v>
      </c>
      <c r="R89" t="str">
        <f t="shared" si="63"/>
        <v>正常</v>
      </c>
    </row>
    <row r="90" ht="14.25" customHeight="1" spans="1:18">
      <c r="A90" s="10">
        <v>2023061</v>
      </c>
      <c r="B90" s="12" t="s">
        <v>141</v>
      </c>
      <c r="C90">
        <f t="shared" si="48"/>
        <v>2</v>
      </c>
      <c r="D90">
        <f t="shared" si="49"/>
        <v>3</v>
      </c>
      <c r="E90">
        <f t="shared" si="50"/>
        <v>5</v>
      </c>
      <c r="F90">
        <f t="shared" si="51"/>
        <v>10</v>
      </c>
      <c r="G90">
        <f t="shared" si="52"/>
        <v>0</v>
      </c>
      <c r="H90">
        <f t="shared" si="53"/>
        <v>3</v>
      </c>
      <c r="I90">
        <f t="shared" si="54"/>
        <v>3.33</v>
      </c>
      <c r="J90">
        <f t="shared" si="55"/>
        <v>0.67</v>
      </c>
      <c r="K90">
        <f t="shared" si="56"/>
        <v>0.33</v>
      </c>
      <c r="L90">
        <f t="shared" si="57"/>
        <v>1</v>
      </c>
      <c r="M90">
        <f t="shared" si="58"/>
        <v>1</v>
      </c>
      <c r="N90">
        <f t="shared" si="59"/>
        <v>1.83</v>
      </c>
      <c r="O90" t="str">
        <f t="shared" si="60"/>
        <v>标准</v>
      </c>
      <c r="P90" t="str">
        <f t="shared" si="61"/>
        <v>紧凑</v>
      </c>
      <c r="Q90" t="str">
        <f t="shared" si="62"/>
        <v>✓有效</v>
      </c>
      <c r="R90" t="str">
        <f t="shared" si="63"/>
        <v>正常</v>
      </c>
    </row>
    <row r="91" ht="14.25" customHeight="1" spans="1:18">
      <c r="A91" s="10">
        <v>2023062</v>
      </c>
      <c r="B91" s="12" t="s">
        <v>142</v>
      </c>
      <c r="C91">
        <f t="shared" si="48"/>
        <v>7</v>
      </c>
      <c r="D91">
        <f t="shared" si="49"/>
        <v>3</v>
      </c>
      <c r="E91">
        <f t="shared" si="50"/>
        <v>2</v>
      </c>
      <c r="F91">
        <f t="shared" si="51"/>
        <v>12</v>
      </c>
      <c r="G91">
        <f t="shared" si="52"/>
        <v>2</v>
      </c>
      <c r="H91">
        <f t="shared" si="53"/>
        <v>5</v>
      </c>
      <c r="I91">
        <f t="shared" si="54"/>
        <v>2.4</v>
      </c>
      <c r="J91">
        <f t="shared" si="55"/>
        <v>0.67</v>
      </c>
      <c r="K91">
        <f t="shared" si="56"/>
        <v>0.33</v>
      </c>
      <c r="L91">
        <f t="shared" si="57"/>
        <v>1</v>
      </c>
      <c r="M91">
        <f t="shared" si="58"/>
        <v>1</v>
      </c>
      <c r="N91">
        <f t="shared" si="59"/>
        <v>1.46</v>
      </c>
      <c r="O91" t="str">
        <f t="shared" si="60"/>
        <v>标准</v>
      </c>
      <c r="P91" t="str">
        <f t="shared" si="61"/>
        <v>极紧凑</v>
      </c>
      <c r="Q91" t="str">
        <f t="shared" si="62"/>
        <v>✓有效</v>
      </c>
      <c r="R91" t="str">
        <f t="shared" si="63"/>
        <v>正常</v>
      </c>
    </row>
    <row r="92" ht="14.25" customHeight="1" spans="1:18">
      <c r="A92" s="10">
        <v>2023063</v>
      </c>
      <c r="B92" s="12" t="s">
        <v>143</v>
      </c>
      <c r="C92">
        <f t="shared" si="48"/>
        <v>0</v>
      </c>
      <c r="D92">
        <f t="shared" si="49"/>
        <v>1</v>
      </c>
      <c r="E92">
        <f t="shared" si="50"/>
        <v>0</v>
      </c>
      <c r="F92">
        <f t="shared" si="51"/>
        <v>1</v>
      </c>
      <c r="G92">
        <f t="shared" si="52"/>
        <v>1</v>
      </c>
      <c r="H92">
        <f t="shared" si="53"/>
        <v>1</v>
      </c>
      <c r="I92">
        <f t="shared" si="54"/>
        <v>1</v>
      </c>
      <c r="J92">
        <f t="shared" si="55"/>
        <v>0.33</v>
      </c>
      <c r="K92">
        <f t="shared" si="56"/>
        <v>0</v>
      </c>
      <c r="L92">
        <f t="shared" si="57"/>
        <v>0</v>
      </c>
      <c r="M92">
        <f t="shared" si="58"/>
        <v>2</v>
      </c>
      <c r="N92">
        <f t="shared" si="59"/>
        <v>0.57</v>
      </c>
      <c r="O92" t="str">
        <f t="shared" si="60"/>
        <v>松散</v>
      </c>
      <c r="P92" t="str">
        <f t="shared" si="61"/>
        <v>极紧凑</v>
      </c>
      <c r="Q92" t="str">
        <f t="shared" si="62"/>
        <v>✓有效</v>
      </c>
      <c r="R92" t="str">
        <f t="shared" si="63"/>
        <v>正常</v>
      </c>
    </row>
    <row r="93" ht="14.25" customHeight="1" spans="1:18">
      <c r="A93" s="10">
        <v>2023064</v>
      </c>
      <c r="B93" s="12" t="s">
        <v>144</v>
      </c>
      <c r="C93">
        <f t="shared" si="48"/>
        <v>2</v>
      </c>
      <c r="D93">
        <f t="shared" si="49"/>
        <v>1</v>
      </c>
      <c r="E93">
        <f t="shared" si="50"/>
        <v>7</v>
      </c>
      <c r="F93">
        <f t="shared" si="51"/>
        <v>10</v>
      </c>
      <c r="G93">
        <f t="shared" si="52"/>
        <v>0</v>
      </c>
      <c r="H93">
        <f t="shared" si="53"/>
        <v>6</v>
      </c>
      <c r="I93">
        <f t="shared" si="54"/>
        <v>1.67</v>
      </c>
      <c r="J93">
        <f t="shared" si="55"/>
        <v>0.67</v>
      </c>
      <c r="K93">
        <f t="shared" si="56"/>
        <v>0.33</v>
      </c>
      <c r="L93">
        <f t="shared" si="57"/>
        <v>0.67</v>
      </c>
      <c r="M93">
        <f t="shared" si="58"/>
        <v>1</v>
      </c>
      <c r="N93">
        <f t="shared" si="59"/>
        <v>1.14</v>
      </c>
      <c r="O93" t="str">
        <f t="shared" si="60"/>
        <v>松散</v>
      </c>
      <c r="P93" t="str">
        <f t="shared" si="61"/>
        <v>极紧凑</v>
      </c>
      <c r="Q93" t="str">
        <f t="shared" si="62"/>
        <v>✓有效</v>
      </c>
      <c r="R93" t="str">
        <f t="shared" si="63"/>
        <v>正常</v>
      </c>
    </row>
    <row r="94" ht="14.25" customHeight="1" spans="1:18">
      <c r="A94" s="10">
        <v>2023065</v>
      </c>
      <c r="B94" s="12" t="s">
        <v>145</v>
      </c>
      <c r="C94">
        <f t="shared" si="48"/>
        <v>5</v>
      </c>
      <c r="D94">
        <f t="shared" si="49"/>
        <v>7</v>
      </c>
      <c r="E94">
        <f t="shared" si="50"/>
        <v>3</v>
      </c>
      <c r="F94">
        <f t="shared" si="51"/>
        <v>15</v>
      </c>
      <c r="G94">
        <f t="shared" si="52"/>
        <v>5</v>
      </c>
      <c r="H94">
        <f t="shared" si="53"/>
        <v>4</v>
      </c>
      <c r="I94">
        <f t="shared" si="54"/>
        <v>3.75</v>
      </c>
      <c r="J94">
        <f t="shared" si="55"/>
        <v>1</v>
      </c>
      <c r="K94">
        <f t="shared" si="56"/>
        <v>0.67</v>
      </c>
      <c r="L94">
        <f t="shared" si="57"/>
        <v>1</v>
      </c>
      <c r="M94">
        <f t="shared" si="58"/>
        <v>0</v>
      </c>
      <c r="N94">
        <f t="shared" si="59"/>
        <v>2.23</v>
      </c>
      <c r="O94" t="str">
        <f t="shared" si="60"/>
        <v>紧凑</v>
      </c>
      <c r="P94" t="str">
        <f t="shared" si="61"/>
        <v>紧凑</v>
      </c>
      <c r="Q94" t="str">
        <f t="shared" si="62"/>
        <v>✓有效</v>
      </c>
      <c r="R94" t="str">
        <f t="shared" si="63"/>
        <v>正常</v>
      </c>
    </row>
    <row r="95" ht="14.25" customHeight="1" spans="1:18">
      <c r="A95" s="10">
        <v>2023066</v>
      </c>
      <c r="B95" s="12" t="s">
        <v>146</v>
      </c>
      <c r="C95">
        <f t="shared" si="48"/>
        <v>1</v>
      </c>
      <c r="D95">
        <f t="shared" si="49"/>
        <v>9</v>
      </c>
      <c r="E95">
        <f t="shared" si="50"/>
        <v>8</v>
      </c>
      <c r="F95">
        <f t="shared" si="51"/>
        <v>18</v>
      </c>
      <c r="G95">
        <f t="shared" si="52"/>
        <v>8</v>
      </c>
      <c r="H95">
        <f t="shared" si="53"/>
        <v>8</v>
      </c>
      <c r="I95">
        <f t="shared" si="54"/>
        <v>2.25</v>
      </c>
      <c r="J95">
        <f t="shared" si="55"/>
        <v>0.67</v>
      </c>
      <c r="K95">
        <f t="shared" si="56"/>
        <v>0.67</v>
      </c>
      <c r="L95">
        <f t="shared" si="57"/>
        <v>0</v>
      </c>
      <c r="M95">
        <f t="shared" si="58"/>
        <v>1</v>
      </c>
      <c r="N95">
        <f t="shared" si="59"/>
        <v>1.37</v>
      </c>
      <c r="O95" t="str">
        <f t="shared" si="60"/>
        <v>标准</v>
      </c>
      <c r="P95" t="str">
        <f t="shared" si="61"/>
        <v>极紧凑</v>
      </c>
      <c r="Q95" t="str">
        <f t="shared" si="62"/>
        <v>✓有效</v>
      </c>
      <c r="R95" t="str">
        <f t="shared" si="63"/>
        <v>正常</v>
      </c>
    </row>
    <row r="96" ht="14.25" customHeight="1" spans="1:18">
      <c r="A96" s="10">
        <v>2023067</v>
      </c>
      <c r="B96" s="12" t="s">
        <v>147</v>
      </c>
      <c r="C96">
        <f t="shared" si="48"/>
        <v>0</v>
      </c>
      <c r="D96">
        <f t="shared" si="49"/>
        <v>9</v>
      </c>
      <c r="E96">
        <f t="shared" si="50"/>
        <v>0</v>
      </c>
      <c r="F96">
        <f t="shared" si="51"/>
        <v>9</v>
      </c>
      <c r="G96">
        <f t="shared" si="52"/>
        <v>9</v>
      </c>
      <c r="H96">
        <f t="shared" si="53"/>
        <v>9</v>
      </c>
      <c r="I96">
        <f t="shared" si="54"/>
        <v>1</v>
      </c>
      <c r="J96">
        <f t="shared" si="55"/>
        <v>0.33</v>
      </c>
      <c r="K96">
        <f t="shared" si="56"/>
        <v>0.33</v>
      </c>
      <c r="L96">
        <f t="shared" si="57"/>
        <v>0</v>
      </c>
      <c r="M96">
        <f t="shared" si="58"/>
        <v>0</v>
      </c>
      <c r="N96">
        <f t="shared" si="59"/>
        <v>0.83</v>
      </c>
      <c r="O96" t="str">
        <f t="shared" si="60"/>
        <v>松散</v>
      </c>
      <c r="P96" t="str">
        <f t="shared" si="61"/>
        <v>极紧凑</v>
      </c>
      <c r="Q96" t="str">
        <f t="shared" si="62"/>
        <v>✓有效</v>
      </c>
      <c r="R96" t="str">
        <f t="shared" si="63"/>
        <v>正常</v>
      </c>
    </row>
    <row r="97" ht="14.25" customHeight="1" spans="1:18">
      <c r="A97" s="10">
        <v>2023068</v>
      </c>
      <c r="B97" s="12" t="s">
        <v>148</v>
      </c>
      <c r="C97">
        <f t="shared" si="48"/>
        <v>7</v>
      </c>
      <c r="D97">
        <f t="shared" si="49"/>
        <v>9</v>
      </c>
      <c r="E97">
        <f t="shared" si="50"/>
        <v>9</v>
      </c>
      <c r="F97">
        <f t="shared" si="51"/>
        <v>25</v>
      </c>
      <c r="G97">
        <f t="shared" si="52"/>
        <v>5</v>
      </c>
      <c r="H97">
        <f t="shared" si="53"/>
        <v>2</v>
      </c>
      <c r="I97">
        <f t="shared" si="54"/>
        <v>12.5</v>
      </c>
      <c r="J97">
        <f t="shared" si="55"/>
        <v>1</v>
      </c>
      <c r="K97">
        <f t="shared" si="56"/>
        <v>1</v>
      </c>
      <c r="L97">
        <f t="shared" si="57"/>
        <v>0.33</v>
      </c>
      <c r="M97">
        <f t="shared" si="58"/>
        <v>0</v>
      </c>
      <c r="N97">
        <f t="shared" si="59"/>
        <v>5.73</v>
      </c>
      <c r="O97" t="str">
        <f t="shared" si="60"/>
        <v>紧凑</v>
      </c>
      <c r="P97" t="str">
        <f t="shared" si="61"/>
        <v>松散</v>
      </c>
      <c r="Q97" t="str">
        <f t="shared" si="62"/>
        <v>✓有效</v>
      </c>
      <c r="R97" t="str">
        <f t="shared" si="63"/>
        <v>异常</v>
      </c>
    </row>
    <row r="98" ht="14.25" customHeight="1" spans="1:18">
      <c r="A98" s="10">
        <v>2023069</v>
      </c>
      <c r="B98" s="12" t="s">
        <v>149</v>
      </c>
      <c r="C98">
        <f t="shared" si="48"/>
        <v>0</v>
      </c>
      <c r="D98">
        <f t="shared" si="49"/>
        <v>7</v>
      </c>
      <c r="E98">
        <f t="shared" si="50"/>
        <v>4</v>
      </c>
      <c r="F98">
        <f t="shared" si="51"/>
        <v>11</v>
      </c>
      <c r="G98">
        <f t="shared" si="52"/>
        <v>1</v>
      </c>
      <c r="H98">
        <f t="shared" si="53"/>
        <v>7</v>
      </c>
      <c r="I98">
        <f t="shared" si="54"/>
        <v>1.57</v>
      </c>
      <c r="J98">
        <f t="shared" si="55"/>
        <v>0.33</v>
      </c>
      <c r="K98">
        <f t="shared" si="56"/>
        <v>0.33</v>
      </c>
      <c r="L98">
        <f t="shared" si="57"/>
        <v>0.33</v>
      </c>
      <c r="M98">
        <f t="shared" si="58"/>
        <v>0</v>
      </c>
      <c r="N98">
        <f t="shared" si="59"/>
        <v>1.09</v>
      </c>
      <c r="O98" t="str">
        <f t="shared" si="60"/>
        <v>松散</v>
      </c>
      <c r="P98" t="str">
        <f t="shared" si="61"/>
        <v>极紧凑</v>
      </c>
      <c r="Q98" t="str">
        <f t="shared" si="62"/>
        <v>✓有效</v>
      </c>
      <c r="R98" t="str">
        <f t="shared" si="63"/>
        <v>正常</v>
      </c>
    </row>
    <row r="99" ht="14.25" customHeight="1" spans="1:18">
      <c r="A99" s="10">
        <v>2023070</v>
      </c>
      <c r="B99" s="12" t="s">
        <v>150</v>
      </c>
      <c r="C99">
        <f t="shared" si="48"/>
        <v>9</v>
      </c>
      <c r="D99">
        <f t="shared" si="49"/>
        <v>8</v>
      </c>
      <c r="E99">
        <f t="shared" si="50"/>
        <v>1</v>
      </c>
      <c r="F99">
        <f t="shared" si="51"/>
        <v>18</v>
      </c>
      <c r="G99">
        <f t="shared" si="52"/>
        <v>8</v>
      </c>
      <c r="H99">
        <f t="shared" si="53"/>
        <v>8</v>
      </c>
      <c r="I99">
        <f t="shared" si="54"/>
        <v>2.25</v>
      </c>
      <c r="J99">
        <f t="shared" si="55"/>
        <v>0.67</v>
      </c>
      <c r="K99">
        <f t="shared" si="56"/>
        <v>0.67</v>
      </c>
      <c r="L99">
        <f t="shared" si="57"/>
        <v>0</v>
      </c>
      <c r="M99">
        <f t="shared" si="58"/>
        <v>1</v>
      </c>
      <c r="N99">
        <f t="shared" si="59"/>
        <v>1.37</v>
      </c>
      <c r="O99" t="str">
        <f t="shared" si="60"/>
        <v>标准</v>
      </c>
      <c r="P99" t="str">
        <f t="shared" si="61"/>
        <v>极紧凑</v>
      </c>
      <c r="Q99" t="str">
        <f t="shared" si="62"/>
        <v>✓有效</v>
      </c>
      <c r="R99" t="str">
        <f t="shared" si="63"/>
        <v>正常</v>
      </c>
    </row>
    <row r="100" ht="14.25" customHeight="1" spans="1:18">
      <c r="A100" s="10">
        <v>2023071</v>
      </c>
      <c r="B100" s="11">
        <v>295</v>
      </c>
      <c r="C100">
        <f t="shared" ref="C100:C127" si="64">IF(B100="","",LEFT(TEXT(B100,"000"),1)*1)</f>
        <v>2</v>
      </c>
      <c r="D100">
        <f t="shared" ref="D100:D127" si="65">IF(B100="","",MID(TEXT(B100,"000"),2,1)*1)</f>
        <v>9</v>
      </c>
      <c r="E100">
        <f t="shared" ref="E100:E127" si="66">IF(B100="","",RIGHT(TEXT(B100,"000"),1)*1)</f>
        <v>5</v>
      </c>
      <c r="F100">
        <f t="shared" ref="F100:F127" si="67">IF(B100="","",C100+D100+E100)</f>
        <v>16</v>
      </c>
      <c r="G100">
        <f t="shared" ref="G100:G127" si="68">IF(B100="","",MOD(F100,10))</f>
        <v>6</v>
      </c>
      <c r="H100">
        <f t="shared" ref="H100:H127" si="69">IF(B100="","",MAX(C100,D100,E100)-MIN(C100,D100,E100))</f>
        <v>7</v>
      </c>
      <c r="I100">
        <f t="shared" ref="I100:I127" si="70">IF(OR(B100="",H100=0),IF(H100=0,0.1,""),ROUND(F100/H100,2))</f>
        <v>2.29</v>
      </c>
      <c r="J100">
        <f t="shared" ref="J100:J127" si="71">IF(B100="","",ROUND((MOD(C100,2)+MOD(D100,2)+MOD(E100,2))/3,2))</f>
        <v>0.67</v>
      </c>
      <c r="K100">
        <f t="shared" ref="K100:K127" si="72">IF(B100="","",ROUND(((C100&gt;=5)+(D100&gt;=5)+(E100&gt;=5))/3,2))</f>
        <v>0.67</v>
      </c>
      <c r="L100">
        <f t="shared" ref="L100:L127" si="73">IF(B100="","",ROUND((ISNUMBER(FIND(C100,"2357"))+ISNUMBER(FIND(D100,"2357"))+ISNUMBER(FIND(E100,"2357")))/3,2))</f>
        <v>0.67</v>
      </c>
      <c r="M100">
        <f t="shared" ref="M100:M127" si="74">IF(B100="","",((ABS(C100-D100)=1)+(ABS(D100-E100)=1)+(ABS(C100-E100)=1)))</f>
        <v>0</v>
      </c>
      <c r="N100">
        <f t="shared" ref="N100:N127" si="75">IF(B100="","",ROUND(I100*0.4+J100*0.2+K100*0.2+L100*0.1+(3-M100)*0.1,2))</f>
        <v>1.55</v>
      </c>
      <c r="O100" t="str">
        <f t="shared" ref="O100:O127" si="76">IF(I100=0.1,"极紧凑",IF(I100&gt;3.5,"紧凑",IF(AND(I100&gt;=2,I100&lt;=3.5),"标准",IF(AND(I100&gt;=1,I100&lt;2),"松散",""))))</f>
        <v>标准</v>
      </c>
      <c r="P100" t="str">
        <f t="shared" ref="P100:P127" si="77">IF(B100="","",IF(N100&lt;=1.5,"极紧凑",IF(N100&lt;=3,"紧凑",IF(N100&lt;=5,"标准","松散"))))</f>
        <v>紧凑</v>
      </c>
      <c r="Q100" t="str">
        <f t="shared" ref="Q100:Q127" si="78">IF(B100="","",IF(AND(C100&gt;=0,C100&lt;=9,D100&gt;=0,D100&lt;=9,E100&gt;=0,E100&lt;=9),"✓有效","✗无效"))</f>
        <v>✓有效</v>
      </c>
      <c r="R100" t="str">
        <f t="shared" ref="R100:R127" si="79">IF(B100="","",IF(OR(I100&gt;10,I100&lt;0.1),"异常","正常"))</f>
        <v>正常</v>
      </c>
    </row>
    <row r="101" ht="14.25" customHeight="1" spans="1:18">
      <c r="A101" s="10">
        <v>2023072</v>
      </c>
      <c r="B101" s="12" t="s">
        <v>151</v>
      </c>
      <c r="C101">
        <f t="shared" si="64"/>
        <v>4</v>
      </c>
      <c r="D101">
        <f t="shared" si="65"/>
        <v>9</v>
      </c>
      <c r="E101">
        <f t="shared" si="66"/>
        <v>6</v>
      </c>
      <c r="F101">
        <f t="shared" si="67"/>
        <v>19</v>
      </c>
      <c r="G101">
        <f t="shared" si="68"/>
        <v>9</v>
      </c>
      <c r="H101">
        <f t="shared" si="69"/>
        <v>5</v>
      </c>
      <c r="I101">
        <f t="shared" si="70"/>
        <v>3.8</v>
      </c>
      <c r="J101">
        <f t="shared" si="71"/>
        <v>0.33</v>
      </c>
      <c r="K101">
        <f t="shared" si="72"/>
        <v>0.67</v>
      </c>
      <c r="L101">
        <f t="shared" si="73"/>
        <v>0</v>
      </c>
      <c r="M101">
        <f t="shared" si="74"/>
        <v>0</v>
      </c>
      <c r="N101">
        <f t="shared" si="75"/>
        <v>2.02</v>
      </c>
      <c r="O101" t="str">
        <f t="shared" si="76"/>
        <v>紧凑</v>
      </c>
      <c r="P101" t="str">
        <f t="shared" si="77"/>
        <v>紧凑</v>
      </c>
      <c r="Q101" t="str">
        <f t="shared" si="78"/>
        <v>✓有效</v>
      </c>
      <c r="R101" t="str">
        <f t="shared" si="79"/>
        <v>正常</v>
      </c>
    </row>
    <row r="102" ht="14.25" customHeight="1" spans="1:18">
      <c r="A102" s="10">
        <v>2023073</v>
      </c>
      <c r="B102" s="12" t="s">
        <v>108</v>
      </c>
      <c r="C102">
        <f t="shared" si="64"/>
        <v>5</v>
      </c>
      <c r="D102">
        <f t="shared" si="65"/>
        <v>1</v>
      </c>
      <c r="E102">
        <f t="shared" si="66"/>
        <v>4</v>
      </c>
      <c r="F102">
        <f t="shared" si="67"/>
        <v>10</v>
      </c>
      <c r="G102">
        <f t="shared" si="68"/>
        <v>0</v>
      </c>
      <c r="H102">
        <f t="shared" si="69"/>
        <v>4</v>
      </c>
      <c r="I102">
        <f t="shared" si="70"/>
        <v>2.5</v>
      </c>
      <c r="J102">
        <f t="shared" si="71"/>
        <v>0.67</v>
      </c>
      <c r="K102">
        <f t="shared" si="72"/>
        <v>0.33</v>
      </c>
      <c r="L102">
        <f t="shared" si="73"/>
        <v>0.33</v>
      </c>
      <c r="M102">
        <f t="shared" si="74"/>
        <v>1</v>
      </c>
      <c r="N102">
        <f t="shared" si="75"/>
        <v>1.43</v>
      </c>
      <c r="O102" t="str">
        <f t="shared" si="76"/>
        <v>标准</v>
      </c>
      <c r="P102" t="str">
        <f t="shared" si="77"/>
        <v>极紧凑</v>
      </c>
      <c r="Q102" t="str">
        <f t="shared" si="78"/>
        <v>✓有效</v>
      </c>
      <c r="R102" t="str">
        <f t="shared" si="79"/>
        <v>正常</v>
      </c>
    </row>
    <row r="103" ht="14.25" customHeight="1" spans="1:18">
      <c r="A103" s="10">
        <v>2023074</v>
      </c>
      <c r="B103" s="12" t="s">
        <v>152</v>
      </c>
      <c r="C103">
        <f t="shared" si="64"/>
        <v>1</v>
      </c>
      <c r="D103">
        <f t="shared" si="65"/>
        <v>8</v>
      </c>
      <c r="E103">
        <f t="shared" si="66"/>
        <v>4</v>
      </c>
      <c r="F103">
        <f t="shared" si="67"/>
        <v>13</v>
      </c>
      <c r="G103">
        <f t="shared" si="68"/>
        <v>3</v>
      </c>
      <c r="H103">
        <f t="shared" si="69"/>
        <v>7</v>
      </c>
      <c r="I103">
        <f t="shared" si="70"/>
        <v>1.86</v>
      </c>
      <c r="J103">
        <f t="shared" si="71"/>
        <v>0.33</v>
      </c>
      <c r="K103">
        <f t="shared" si="72"/>
        <v>0.33</v>
      </c>
      <c r="L103">
        <f t="shared" si="73"/>
        <v>0</v>
      </c>
      <c r="M103">
        <f t="shared" si="74"/>
        <v>0</v>
      </c>
      <c r="N103">
        <f t="shared" si="75"/>
        <v>1.18</v>
      </c>
      <c r="O103" t="str">
        <f t="shared" si="76"/>
        <v>松散</v>
      </c>
      <c r="P103" t="str">
        <f t="shared" si="77"/>
        <v>极紧凑</v>
      </c>
      <c r="Q103" t="str">
        <f t="shared" si="78"/>
        <v>✓有效</v>
      </c>
      <c r="R103" t="str">
        <f t="shared" si="79"/>
        <v>正常</v>
      </c>
    </row>
    <row r="104" ht="14.25" customHeight="1" spans="1:18">
      <c r="A104" s="10">
        <v>2023075</v>
      </c>
      <c r="B104" s="12" t="s">
        <v>153</v>
      </c>
      <c r="C104">
        <f t="shared" si="64"/>
        <v>9</v>
      </c>
      <c r="D104">
        <f t="shared" si="65"/>
        <v>2</v>
      </c>
      <c r="E104">
        <f t="shared" si="66"/>
        <v>0</v>
      </c>
      <c r="F104">
        <f t="shared" si="67"/>
        <v>11</v>
      </c>
      <c r="G104">
        <f t="shared" si="68"/>
        <v>1</v>
      </c>
      <c r="H104">
        <f t="shared" si="69"/>
        <v>9</v>
      </c>
      <c r="I104">
        <f t="shared" si="70"/>
        <v>1.22</v>
      </c>
      <c r="J104">
        <f t="shared" si="71"/>
        <v>0.33</v>
      </c>
      <c r="K104">
        <f t="shared" si="72"/>
        <v>0.33</v>
      </c>
      <c r="L104">
        <f t="shared" si="73"/>
        <v>0.33</v>
      </c>
      <c r="M104">
        <f t="shared" si="74"/>
        <v>0</v>
      </c>
      <c r="N104">
        <f t="shared" si="75"/>
        <v>0.95</v>
      </c>
      <c r="O104" t="str">
        <f t="shared" si="76"/>
        <v>松散</v>
      </c>
      <c r="P104" t="str">
        <f t="shared" si="77"/>
        <v>极紧凑</v>
      </c>
      <c r="Q104" t="str">
        <f t="shared" si="78"/>
        <v>✓有效</v>
      </c>
      <c r="R104" t="str">
        <f t="shared" si="79"/>
        <v>正常</v>
      </c>
    </row>
    <row r="105" ht="14.25" customHeight="1" spans="1:18">
      <c r="A105" s="10">
        <v>2023076</v>
      </c>
      <c r="B105" s="12" t="s">
        <v>154</v>
      </c>
      <c r="C105">
        <f t="shared" si="64"/>
        <v>8</v>
      </c>
      <c r="D105">
        <f t="shared" si="65"/>
        <v>8</v>
      </c>
      <c r="E105">
        <f t="shared" si="66"/>
        <v>6</v>
      </c>
      <c r="F105">
        <f t="shared" si="67"/>
        <v>22</v>
      </c>
      <c r="G105">
        <f t="shared" si="68"/>
        <v>2</v>
      </c>
      <c r="H105">
        <f t="shared" si="69"/>
        <v>2</v>
      </c>
      <c r="I105">
        <f t="shared" si="70"/>
        <v>11</v>
      </c>
      <c r="J105">
        <f t="shared" si="71"/>
        <v>0</v>
      </c>
      <c r="K105">
        <f t="shared" si="72"/>
        <v>1</v>
      </c>
      <c r="L105">
        <f t="shared" si="73"/>
        <v>0</v>
      </c>
      <c r="M105">
        <f t="shared" si="74"/>
        <v>0</v>
      </c>
      <c r="N105">
        <f t="shared" si="75"/>
        <v>4.9</v>
      </c>
      <c r="O105" t="str">
        <f t="shared" si="76"/>
        <v>紧凑</v>
      </c>
      <c r="P105" t="str">
        <f t="shared" si="77"/>
        <v>标准</v>
      </c>
      <c r="Q105" t="str">
        <f t="shared" si="78"/>
        <v>✓有效</v>
      </c>
      <c r="R105" t="str">
        <f t="shared" si="79"/>
        <v>异常</v>
      </c>
    </row>
    <row r="106" ht="14.25" customHeight="1" spans="1:18">
      <c r="A106" s="10">
        <v>2023077</v>
      </c>
      <c r="B106" s="12" t="s">
        <v>155</v>
      </c>
      <c r="C106">
        <f t="shared" si="64"/>
        <v>4</v>
      </c>
      <c r="D106">
        <f t="shared" si="65"/>
        <v>5</v>
      </c>
      <c r="E106">
        <f t="shared" si="66"/>
        <v>0</v>
      </c>
      <c r="F106">
        <f t="shared" si="67"/>
        <v>9</v>
      </c>
      <c r="G106">
        <f t="shared" si="68"/>
        <v>9</v>
      </c>
      <c r="H106">
        <f t="shared" si="69"/>
        <v>5</v>
      </c>
      <c r="I106">
        <f t="shared" si="70"/>
        <v>1.8</v>
      </c>
      <c r="J106">
        <f t="shared" si="71"/>
        <v>0.33</v>
      </c>
      <c r="K106">
        <f t="shared" si="72"/>
        <v>0.33</v>
      </c>
      <c r="L106">
        <f t="shared" si="73"/>
        <v>0.33</v>
      </c>
      <c r="M106">
        <f t="shared" si="74"/>
        <v>1</v>
      </c>
      <c r="N106">
        <f t="shared" si="75"/>
        <v>1.09</v>
      </c>
      <c r="O106" t="str">
        <f t="shared" si="76"/>
        <v>松散</v>
      </c>
      <c r="P106" t="str">
        <f t="shared" si="77"/>
        <v>极紧凑</v>
      </c>
      <c r="Q106" t="str">
        <f t="shared" si="78"/>
        <v>✓有效</v>
      </c>
      <c r="R106" t="str">
        <f t="shared" si="79"/>
        <v>正常</v>
      </c>
    </row>
    <row r="107" ht="14.25" customHeight="1" spans="1:18">
      <c r="A107" s="10">
        <v>2023078</v>
      </c>
      <c r="B107" s="12" t="s">
        <v>107</v>
      </c>
      <c r="C107">
        <f t="shared" si="64"/>
        <v>8</v>
      </c>
      <c r="D107">
        <f t="shared" si="65"/>
        <v>5</v>
      </c>
      <c r="E107">
        <f t="shared" si="66"/>
        <v>6</v>
      </c>
      <c r="F107">
        <f t="shared" si="67"/>
        <v>19</v>
      </c>
      <c r="G107">
        <f t="shared" si="68"/>
        <v>9</v>
      </c>
      <c r="H107">
        <f t="shared" si="69"/>
        <v>3</v>
      </c>
      <c r="I107">
        <f t="shared" si="70"/>
        <v>6.33</v>
      </c>
      <c r="J107">
        <f t="shared" si="71"/>
        <v>0.33</v>
      </c>
      <c r="K107">
        <f t="shared" si="72"/>
        <v>1</v>
      </c>
      <c r="L107">
        <f t="shared" si="73"/>
        <v>0.33</v>
      </c>
      <c r="M107">
        <f t="shared" si="74"/>
        <v>1</v>
      </c>
      <c r="N107">
        <f t="shared" si="75"/>
        <v>3.03</v>
      </c>
      <c r="O107" t="str">
        <f t="shared" si="76"/>
        <v>紧凑</v>
      </c>
      <c r="P107" t="str">
        <f t="shared" si="77"/>
        <v>标准</v>
      </c>
      <c r="Q107" t="str">
        <f t="shared" si="78"/>
        <v>✓有效</v>
      </c>
      <c r="R107" t="str">
        <f t="shared" si="79"/>
        <v>正常</v>
      </c>
    </row>
    <row r="108" ht="14.25" customHeight="1" spans="1:18">
      <c r="A108" s="10">
        <v>2023079</v>
      </c>
      <c r="B108" s="12" t="s">
        <v>156</v>
      </c>
      <c r="C108">
        <f t="shared" si="64"/>
        <v>8</v>
      </c>
      <c r="D108">
        <f t="shared" si="65"/>
        <v>9</v>
      </c>
      <c r="E108">
        <f t="shared" si="66"/>
        <v>2</v>
      </c>
      <c r="F108">
        <f t="shared" si="67"/>
        <v>19</v>
      </c>
      <c r="G108">
        <f t="shared" si="68"/>
        <v>9</v>
      </c>
      <c r="H108">
        <f t="shared" si="69"/>
        <v>7</v>
      </c>
      <c r="I108">
        <f t="shared" si="70"/>
        <v>2.71</v>
      </c>
      <c r="J108">
        <f t="shared" si="71"/>
        <v>0.33</v>
      </c>
      <c r="K108">
        <f t="shared" si="72"/>
        <v>0.67</v>
      </c>
      <c r="L108">
        <f t="shared" si="73"/>
        <v>0.33</v>
      </c>
      <c r="M108">
        <f t="shared" si="74"/>
        <v>1</v>
      </c>
      <c r="N108">
        <f t="shared" si="75"/>
        <v>1.52</v>
      </c>
      <c r="O108" t="str">
        <f t="shared" si="76"/>
        <v>标准</v>
      </c>
      <c r="P108" t="str">
        <f t="shared" si="77"/>
        <v>紧凑</v>
      </c>
      <c r="Q108" t="str">
        <f t="shared" si="78"/>
        <v>✓有效</v>
      </c>
      <c r="R108" t="str">
        <f t="shared" si="79"/>
        <v>正常</v>
      </c>
    </row>
    <row r="109" ht="14.25" customHeight="1" spans="1:18">
      <c r="A109" s="10">
        <v>2023080</v>
      </c>
      <c r="B109" s="12" t="s">
        <v>157</v>
      </c>
      <c r="C109">
        <f t="shared" si="64"/>
        <v>8</v>
      </c>
      <c r="D109">
        <f t="shared" si="65"/>
        <v>8</v>
      </c>
      <c r="E109">
        <f t="shared" si="66"/>
        <v>4</v>
      </c>
      <c r="F109">
        <f t="shared" si="67"/>
        <v>20</v>
      </c>
      <c r="G109">
        <f t="shared" si="68"/>
        <v>0</v>
      </c>
      <c r="H109">
        <f t="shared" si="69"/>
        <v>4</v>
      </c>
      <c r="I109">
        <f t="shared" si="70"/>
        <v>5</v>
      </c>
      <c r="J109">
        <f t="shared" si="71"/>
        <v>0</v>
      </c>
      <c r="K109">
        <f t="shared" si="72"/>
        <v>0.67</v>
      </c>
      <c r="L109">
        <f t="shared" si="73"/>
        <v>0</v>
      </c>
      <c r="M109">
        <f t="shared" si="74"/>
        <v>0</v>
      </c>
      <c r="N109">
        <f t="shared" si="75"/>
        <v>2.43</v>
      </c>
      <c r="O109" t="str">
        <f t="shared" si="76"/>
        <v>紧凑</v>
      </c>
      <c r="P109" t="str">
        <f t="shared" si="77"/>
        <v>紧凑</v>
      </c>
      <c r="Q109" t="str">
        <f t="shared" si="78"/>
        <v>✓有效</v>
      </c>
      <c r="R109" t="str">
        <f t="shared" si="79"/>
        <v>正常</v>
      </c>
    </row>
    <row r="110" ht="14.25" customHeight="1" spans="1:18">
      <c r="A110" s="10">
        <v>2023081</v>
      </c>
      <c r="B110" s="12" t="s">
        <v>158</v>
      </c>
      <c r="C110">
        <f t="shared" si="64"/>
        <v>9</v>
      </c>
      <c r="D110">
        <f t="shared" si="65"/>
        <v>8</v>
      </c>
      <c r="E110">
        <f t="shared" si="66"/>
        <v>2</v>
      </c>
      <c r="F110">
        <f t="shared" si="67"/>
        <v>19</v>
      </c>
      <c r="G110">
        <f t="shared" si="68"/>
        <v>9</v>
      </c>
      <c r="H110">
        <f t="shared" si="69"/>
        <v>7</v>
      </c>
      <c r="I110">
        <f t="shared" si="70"/>
        <v>2.71</v>
      </c>
      <c r="J110">
        <f t="shared" si="71"/>
        <v>0.33</v>
      </c>
      <c r="K110">
        <f t="shared" si="72"/>
        <v>0.67</v>
      </c>
      <c r="L110">
        <f t="shared" si="73"/>
        <v>0.33</v>
      </c>
      <c r="M110">
        <f t="shared" si="74"/>
        <v>1</v>
      </c>
      <c r="N110">
        <f t="shared" si="75"/>
        <v>1.52</v>
      </c>
      <c r="O110" t="str">
        <f t="shared" si="76"/>
        <v>标准</v>
      </c>
      <c r="P110" t="str">
        <f t="shared" si="77"/>
        <v>紧凑</v>
      </c>
      <c r="Q110" t="str">
        <f t="shared" si="78"/>
        <v>✓有效</v>
      </c>
      <c r="R110" t="str">
        <f t="shared" si="79"/>
        <v>正常</v>
      </c>
    </row>
    <row r="111" ht="14.25" customHeight="1" spans="1:18">
      <c r="A111" s="10">
        <v>2023082</v>
      </c>
      <c r="B111" s="12" t="s">
        <v>159</v>
      </c>
      <c r="C111">
        <f t="shared" si="64"/>
        <v>0</v>
      </c>
      <c r="D111">
        <f t="shared" si="65"/>
        <v>5</v>
      </c>
      <c r="E111">
        <f t="shared" si="66"/>
        <v>7</v>
      </c>
      <c r="F111">
        <f t="shared" si="67"/>
        <v>12</v>
      </c>
      <c r="G111">
        <f t="shared" si="68"/>
        <v>2</v>
      </c>
      <c r="H111">
        <f t="shared" si="69"/>
        <v>7</v>
      </c>
      <c r="I111">
        <f t="shared" si="70"/>
        <v>1.71</v>
      </c>
      <c r="J111">
        <f t="shared" si="71"/>
        <v>0.67</v>
      </c>
      <c r="K111">
        <f t="shared" si="72"/>
        <v>0.67</v>
      </c>
      <c r="L111">
        <f t="shared" si="73"/>
        <v>0.67</v>
      </c>
      <c r="M111">
        <f t="shared" si="74"/>
        <v>0</v>
      </c>
      <c r="N111">
        <f t="shared" si="75"/>
        <v>1.32</v>
      </c>
      <c r="O111" t="str">
        <f t="shared" si="76"/>
        <v>松散</v>
      </c>
      <c r="P111" t="str">
        <f t="shared" si="77"/>
        <v>极紧凑</v>
      </c>
      <c r="Q111" t="str">
        <f t="shared" si="78"/>
        <v>✓有效</v>
      </c>
      <c r="R111" t="str">
        <f t="shared" si="79"/>
        <v>正常</v>
      </c>
    </row>
    <row r="112" ht="14.25" customHeight="1" spans="1:18">
      <c r="A112" s="10">
        <v>2023083</v>
      </c>
      <c r="B112" s="12" t="s">
        <v>160</v>
      </c>
      <c r="C112">
        <f t="shared" si="64"/>
        <v>8</v>
      </c>
      <c r="D112">
        <f t="shared" si="65"/>
        <v>7</v>
      </c>
      <c r="E112">
        <f t="shared" si="66"/>
        <v>0</v>
      </c>
      <c r="F112">
        <f t="shared" si="67"/>
        <v>15</v>
      </c>
      <c r="G112">
        <f t="shared" si="68"/>
        <v>5</v>
      </c>
      <c r="H112">
        <f t="shared" si="69"/>
        <v>8</v>
      </c>
      <c r="I112">
        <f t="shared" si="70"/>
        <v>1.88</v>
      </c>
      <c r="J112">
        <f t="shared" si="71"/>
        <v>0.33</v>
      </c>
      <c r="K112">
        <f t="shared" si="72"/>
        <v>0.67</v>
      </c>
      <c r="L112">
        <f t="shared" si="73"/>
        <v>0.33</v>
      </c>
      <c r="M112">
        <f t="shared" si="74"/>
        <v>1</v>
      </c>
      <c r="N112">
        <f t="shared" si="75"/>
        <v>1.19</v>
      </c>
      <c r="O112" t="str">
        <f t="shared" si="76"/>
        <v>松散</v>
      </c>
      <c r="P112" t="str">
        <f t="shared" si="77"/>
        <v>极紧凑</v>
      </c>
      <c r="Q112" t="str">
        <f t="shared" si="78"/>
        <v>✓有效</v>
      </c>
      <c r="R112" t="str">
        <f t="shared" si="79"/>
        <v>正常</v>
      </c>
    </row>
    <row r="113" ht="14.25" customHeight="1" spans="1:18">
      <c r="A113" s="10">
        <v>2023084</v>
      </c>
      <c r="B113" s="12" t="s">
        <v>161</v>
      </c>
      <c r="C113">
        <f t="shared" si="64"/>
        <v>8</v>
      </c>
      <c r="D113">
        <f t="shared" si="65"/>
        <v>3</v>
      </c>
      <c r="E113">
        <f t="shared" si="66"/>
        <v>8</v>
      </c>
      <c r="F113">
        <f t="shared" si="67"/>
        <v>19</v>
      </c>
      <c r="G113">
        <f t="shared" si="68"/>
        <v>9</v>
      </c>
      <c r="H113">
        <f t="shared" si="69"/>
        <v>5</v>
      </c>
      <c r="I113">
        <f t="shared" si="70"/>
        <v>3.8</v>
      </c>
      <c r="J113">
        <f t="shared" si="71"/>
        <v>0.33</v>
      </c>
      <c r="K113">
        <f t="shared" si="72"/>
        <v>0.67</v>
      </c>
      <c r="L113">
        <f t="shared" si="73"/>
        <v>0.33</v>
      </c>
      <c r="M113">
        <f t="shared" si="74"/>
        <v>0</v>
      </c>
      <c r="N113">
        <f t="shared" si="75"/>
        <v>2.05</v>
      </c>
      <c r="O113" t="str">
        <f t="shared" si="76"/>
        <v>紧凑</v>
      </c>
      <c r="P113" t="str">
        <f t="shared" si="77"/>
        <v>紧凑</v>
      </c>
      <c r="Q113" t="str">
        <f t="shared" si="78"/>
        <v>✓有效</v>
      </c>
      <c r="R113" t="str">
        <f t="shared" si="79"/>
        <v>正常</v>
      </c>
    </row>
    <row r="114" ht="14.25" customHeight="1" spans="1:18">
      <c r="A114" s="10">
        <v>2023085</v>
      </c>
      <c r="B114" s="12" t="s">
        <v>162</v>
      </c>
      <c r="C114">
        <f t="shared" si="64"/>
        <v>5</v>
      </c>
      <c r="D114">
        <f t="shared" si="65"/>
        <v>6</v>
      </c>
      <c r="E114">
        <f t="shared" si="66"/>
        <v>8</v>
      </c>
      <c r="F114">
        <f t="shared" si="67"/>
        <v>19</v>
      </c>
      <c r="G114">
        <f t="shared" si="68"/>
        <v>9</v>
      </c>
      <c r="H114">
        <f t="shared" si="69"/>
        <v>3</v>
      </c>
      <c r="I114">
        <f t="shared" si="70"/>
        <v>6.33</v>
      </c>
      <c r="J114">
        <f t="shared" si="71"/>
        <v>0.33</v>
      </c>
      <c r="K114">
        <f t="shared" si="72"/>
        <v>1</v>
      </c>
      <c r="L114">
        <f t="shared" si="73"/>
        <v>0.33</v>
      </c>
      <c r="M114">
        <f t="shared" si="74"/>
        <v>1</v>
      </c>
      <c r="N114">
        <f t="shared" si="75"/>
        <v>3.03</v>
      </c>
      <c r="O114" t="str">
        <f t="shared" si="76"/>
        <v>紧凑</v>
      </c>
      <c r="P114" t="str">
        <f t="shared" si="77"/>
        <v>标准</v>
      </c>
      <c r="Q114" t="str">
        <f t="shared" si="78"/>
        <v>✓有效</v>
      </c>
      <c r="R114" t="str">
        <f t="shared" si="79"/>
        <v>正常</v>
      </c>
    </row>
    <row r="115" ht="14.25" customHeight="1" spans="1:18">
      <c r="A115" s="10">
        <v>2023086</v>
      </c>
      <c r="B115" s="12" t="s">
        <v>163</v>
      </c>
      <c r="C115">
        <f t="shared" si="64"/>
        <v>1</v>
      </c>
      <c r="D115">
        <f t="shared" si="65"/>
        <v>4</v>
      </c>
      <c r="E115">
        <f t="shared" si="66"/>
        <v>3</v>
      </c>
      <c r="F115">
        <f t="shared" si="67"/>
        <v>8</v>
      </c>
      <c r="G115">
        <f t="shared" si="68"/>
        <v>8</v>
      </c>
      <c r="H115">
        <f t="shared" si="69"/>
        <v>3</v>
      </c>
      <c r="I115">
        <f t="shared" si="70"/>
        <v>2.67</v>
      </c>
      <c r="J115">
        <f t="shared" si="71"/>
        <v>0.67</v>
      </c>
      <c r="K115">
        <f t="shared" si="72"/>
        <v>0</v>
      </c>
      <c r="L115">
        <f t="shared" si="73"/>
        <v>0.33</v>
      </c>
      <c r="M115">
        <f t="shared" si="74"/>
        <v>1</v>
      </c>
      <c r="N115">
        <f t="shared" si="75"/>
        <v>1.44</v>
      </c>
      <c r="O115" t="str">
        <f t="shared" si="76"/>
        <v>标准</v>
      </c>
      <c r="P115" t="str">
        <f t="shared" si="77"/>
        <v>极紧凑</v>
      </c>
      <c r="Q115" t="str">
        <f t="shared" si="78"/>
        <v>✓有效</v>
      </c>
      <c r="R115" t="str">
        <f t="shared" si="79"/>
        <v>正常</v>
      </c>
    </row>
    <row r="116" ht="14.25" customHeight="1" spans="1:18">
      <c r="A116" s="10">
        <v>2023087</v>
      </c>
      <c r="B116" s="12" t="s">
        <v>164</v>
      </c>
      <c r="C116">
        <f t="shared" si="64"/>
        <v>2</v>
      </c>
      <c r="D116">
        <f t="shared" si="65"/>
        <v>1</v>
      </c>
      <c r="E116">
        <f t="shared" si="66"/>
        <v>3</v>
      </c>
      <c r="F116">
        <f t="shared" si="67"/>
        <v>6</v>
      </c>
      <c r="G116">
        <f t="shared" si="68"/>
        <v>6</v>
      </c>
      <c r="H116">
        <f t="shared" si="69"/>
        <v>2</v>
      </c>
      <c r="I116">
        <f t="shared" si="70"/>
        <v>3</v>
      </c>
      <c r="J116">
        <f t="shared" si="71"/>
        <v>0.67</v>
      </c>
      <c r="K116">
        <f t="shared" si="72"/>
        <v>0</v>
      </c>
      <c r="L116">
        <f t="shared" si="73"/>
        <v>0.67</v>
      </c>
      <c r="M116">
        <f t="shared" si="74"/>
        <v>2</v>
      </c>
      <c r="N116">
        <f t="shared" si="75"/>
        <v>1.5</v>
      </c>
      <c r="O116" t="str">
        <f t="shared" si="76"/>
        <v>标准</v>
      </c>
      <c r="P116" t="str">
        <f t="shared" si="77"/>
        <v>极紧凑</v>
      </c>
      <c r="Q116" t="str">
        <f t="shared" si="78"/>
        <v>✓有效</v>
      </c>
      <c r="R116" t="str">
        <f t="shared" si="79"/>
        <v>正常</v>
      </c>
    </row>
    <row r="117" ht="14.25" customHeight="1" spans="1:18">
      <c r="A117" s="10">
        <v>2023088</v>
      </c>
      <c r="B117" s="12" t="s">
        <v>93</v>
      </c>
      <c r="C117">
        <f t="shared" si="64"/>
        <v>7</v>
      </c>
      <c r="D117">
        <f t="shared" si="65"/>
        <v>8</v>
      </c>
      <c r="E117">
        <f t="shared" si="66"/>
        <v>3</v>
      </c>
      <c r="F117">
        <f t="shared" si="67"/>
        <v>18</v>
      </c>
      <c r="G117">
        <f t="shared" si="68"/>
        <v>8</v>
      </c>
      <c r="H117">
        <f t="shared" si="69"/>
        <v>5</v>
      </c>
      <c r="I117">
        <f t="shared" si="70"/>
        <v>3.6</v>
      </c>
      <c r="J117">
        <f t="shared" si="71"/>
        <v>0.67</v>
      </c>
      <c r="K117">
        <f t="shared" si="72"/>
        <v>0.67</v>
      </c>
      <c r="L117">
        <f t="shared" si="73"/>
        <v>0.67</v>
      </c>
      <c r="M117">
        <f t="shared" si="74"/>
        <v>1</v>
      </c>
      <c r="N117">
        <f t="shared" si="75"/>
        <v>1.98</v>
      </c>
      <c r="O117" t="str">
        <f t="shared" si="76"/>
        <v>紧凑</v>
      </c>
      <c r="P117" t="str">
        <f t="shared" si="77"/>
        <v>紧凑</v>
      </c>
      <c r="Q117" t="str">
        <f t="shared" si="78"/>
        <v>✓有效</v>
      </c>
      <c r="R117" t="str">
        <f t="shared" si="79"/>
        <v>正常</v>
      </c>
    </row>
    <row r="118" ht="14.25" customHeight="1" spans="1:18">
      <c r="A118" s="10">
        <v>2023089</v>
      </c>
      <c r="B118" s="12" t="s">
        <v>165</v>
      </c>
      <c r="C118">
        <f t="shared" si="64"/>
        <v>1</v>
      </c>
      <c r="D118">
        <f t="shared" si="65"/>
        <v>3</v>
      </c>
      <c r="E118">
        <f t="shared" si="66"/>
        <v>4</v>
      </c>
      <c r="F118">
        <f t="shared" si="67"/>
        <v>8</v>
      </c>
      <c r="G118">
        <f t="shared" si="68"/>
        <v>8</v>
      </c>
      <c r="H118">
        <f t="shared" si="69"/>
        <v>3</v>
      </c>
      <c r="I118">
        <f t="shared" si="70"/>
        <v>2.67</v>
      </c>
      <c r="J118">
        <f t="shared" si="71"/>
        <v>0.67</v>
      </c>
      <c r="K118">
        <f t="shared" si="72"/>
        <v>0</v>
      </c>
      <c r="L118">
        <f t="shared" si="73"/>
        <v>0.33</v>
      </c>
      <c r="M118">
        <f t="shared" si="74"/>
        <v>1</v>
      </c>
      <c r="N118">
        <f t="shared" si="75"/>
        <v>1.44</v>
      </c>
      <c r="O118" t="str">
        <f t="shared" si="76"/>
        <v>标准</v>
      </c>
      <c r="P118" t="str">
        <f t="shared" si="77"/>
        <v>极紧凑</v>
      </c>
      <c r="Q118" t="str">
        <f t="shared" si="78"/>
        <v>✓有效</v>
      </c>
      <c r="R118" t="str">
        <f t="shared" si="79"/>
        <v>正常</v>
      </c>
    </row>
    <row r="119" ht="14.25" customHeight="1" spans="1:18">
      <c r="A119" s="10">
        <v>2023090</v>
      </c>
      <c r="B119" s="12" t="s">
        <v>166</v>
      </c>
      <c r="C119">
        <f t="shared" si="64"/>
        <v>2</v>
      </c>
      <c r="D119">
        <f t="shared" si="65"/>
        <v>7</v>
      </c>
      <c r="E119">
        <f t="shared" si="66"/>
        <v>4</v>
      </c>
      <c r="F119">
        <f t="shared" si="67"/>
        <v>13</v>
      </c>
      <c r="G119">
        <f t="shared" si="68"/>
        <v>3</v>
      </c>
      <c r="H119">
        <f t="shared" si="69"/>
        <v>5</v>
      </c>
      <c r="I119">
        <f t="shared" si="70"/>
        <v>2.6</v>
      </c>
      <c r="J119">
        <f t="shared" si="71"/>
        <v>0.33</v>
      </c>
      <c r="K119">
        <f t="shared" si="72"/>
        <v>0.33</v>
      </c>
      <c r="L119">
        <f t="shared" si="73"/>
        <v>0.67</v>
      </c>
      <c r="M119">
        <f t="shared" si="74"/>
        <v>0</v>
      </c>
      <c r="N119">
        <f t="shared" si="75"/>
        <v>1.54</v>
      </c>
      <c r="O119" t="str">
        <f t="shared" si="76"/>
        <v>标准</v>
      </c>
      <c r="P119" t="str">
        <f t="shared" si="77"/>
        <v>紧凑</v>
      </c>
      <c r="Q119" t="str">
        <f t="shared" si="78"/>
        <v>✓有效</v>
      </c>
      <c r="R119" t="str">
        <f t="shared" si="79"/>
        <v>正常</v>
      </c>
    </row>
    <row r="120" ht="14.25" customHeight="1" spans="1:18">
      <c r="A120" s="10">
        <v>2023091</v>
      </c>
      <c r="B120" s="12" t="s">
        <v>167</v>
      </c>
      <c r="C120">
        <f t="shared" si="64"/>
        <v>7</v>
      </c>
      <c r="D120">
        <f t="shared" si="65"/>
        <v>9</v>
      </c>
      <c r="E120">
        <f t="shared" si="66"/>
        <v>4</v>
      </c>
      <c r="F120">
        <f t="shared" si="67"/>
        <v>20</v>
      </c>
      <c r="G120">
        <f t="shared" si="68"/>
        <v>0</v>
      </c>
      <c r="H120">
        <f t="shared" si="69"/>
        <v>5</v>
      </c>
      <c r="I120">
        <f t="shared" si="70"/>
        <v>4</v>
      </c>
      <c r="J120">
        <f t="shared" si="71"/>
        <v>0.67</v>
      </c>
      <c r="K120">
        <f t="shared" si="72"/>
        <v>0.67</v>
      </c>
      <c r="L120">
        <f t="shared" si="73"/>
        <v>0.33</v>
      </c>
      <c r="M120">
        <f t="shared" si="74"/>
        <v>0</v>
      </c>
      <c r="N120">
        <f t="shared" si="75"/>
        <v>2.2</v>
      </c>
      <c r="O120" t="str">
        <f t="shared" si="76"/>
        <v>紧凑</v>
      </c>
      <c r="P120" t="str">
        <f t="shared" si="77"/>
        <v>紧凑</v>
      </c>
      <c r="Q120" t="str">
        <f t="shared" si="78"/>
        <v>✓有效</v>
      </c>
      <c r="R120" t="str">
        <f t="shared" si="79"/>
        <v>正常</v>
      </c>
    </row>
    <row r="121" ht="14.25" customHeight="1" spans="1:18">
      <c r="A121" s="10">
        <v>2023092</v>
      </c>
      <c r="B121" s="12" t="s">
        <v>168</v>
      </c>
      <c r="C121">
        <f t="shared" si="64"/>
        <v>8</v>
      </c>
      <c r="D121">
        <f t="shared" si="65"/>
        <v>8</v>
      </c>
      <c r="E121">
        <f t="shared" si="66"/>
        <v>8</v>
      </c>
      <c r="F121">
        <f t="shared" si="67"/>
        <v>24</v>
      </c>
      <c r="G121">
        <f t="shared" si="68"/>
        <v>4</v>
      </c>
      <c r="H121">
        <f t="shared" si="69"/>
        <v>0</v>
      </c>
      <c r="I121">
        <f t="shared" si="70"/>
        <v>0.1</v>
      </c>
      <c r="J121">
        <f t="shared" si="71"/>
        <v>0</v>
      </c>
      <c r="K121">
        <f t="shared" si="72"/>
        <v>1</v>
      </c>
      <c r="L121">
        <f t="shared" si="73"/>
        <v>0</v>
      </c>
      <c r="M121">
        <f t="shared" si="74"/>
        <v>0</v>
      </c>
      <c r="N121">
        <f t="shared" si="75"/>
        <v>0.54</v>
      </c>
      <c r="O121" t="str">
        <f t="shared" si="76"/>
        <v>极紧凑</v>
      </c>
      <c r="P121" t="str">
        <f t="shared" si="77"/>
        <v>极紧凑</v>
      </c>
      <c r="Q121" t="str">
        <f t="shared" si="78"/>
        <v>✓有效</v>
      </c>
      <c r="R121" t="str">
        <f t="shared" si="79"/>
        <v>正常</v>
      </c>
    </row>
    <row r="122" ht="14.25" customHeight="1" spans="1:18">
      <c r="A122" s="10">
        <v>2023093</v>
      </c>
      <c r="B122" s="12" t="s">
        <v>169</v>
      </c>
      <c r="C122">
        <f t="shared" si="64"/>
        <v>3</v>
      </c>
      <c r="D122">
        <f t="shared" si="65"/>
        <v>7</v>
      </c>
      <c r="E122">
        <f t="shared" si="66"/>
        <v>9</v>
      </c>
      <c r="F122">
        <f t="shared" si="67"/>
        <v>19</v>
      </c>
      <c r="G122">
        <f t="shared" si="68"/>
        <v>9</v>
      </c>
      <c r="H122">
        <f t="shared" si="69"/>
        <v>6</v>
      </c>
      <c r="I122">
        <f t="shared" si="70"/>
        <v>3.17</v>
      </c>
      <c r="J122">
        <f t="shared" si="71"/>
        <v>1</v>
      </c>
      <c r="K122">
        <f t="shared" si="72"/>
        <v>0.67</v>
      </c>
      <c r="L122">
        <f t="shared" si="73"/>
        <v>0.67</v>
      </c>
      <c r="M122">
        <f t="shared" si="74"/>
        <v>0</v>
      </c>
      <c r="N122">
        <f t="shared" si="75"/>
        <v>1.97</v>
      </c>
      <c r="O122" t="str">
        <f t="shared" si="76"/>
        <v>标准</v>
      </c>
      <c r="P122" t="str">
        <f t="shared" si="77"/>
        <v>紧凑</v>
      </c>
      <c r="Q122" t="str">
        <f t="shared" si="78"/>
        <v>✓有效</v>
      </c>
      <c r="R122" t="str">
        <f t="shared" si="79"/>
        <v>正常</v>
      </c>
    </row>
    <row r="123" ht="14.25" customHeight="1" spans="1:18">
      <c r="A123" s="10">
        <v>2023094</v>
      </c>
      <c r="B123" s="12" t="s">
        <v>71</v>
      </c>
      <c r="C123">
        <f t="shared" si="64"/>
        <v>5</v>
      </c>
      <c r="D123">
        <f t="shared" si="65"/>
        <v>0</v>
      </c>
      <c r="E123">
        <f t="shared" si="66"/>
        <v>3</v>
      </c>
      <c r="F123">
        <f t="shared" si="67"/>
        <v>8</v>
      </c>
      <c r="G123">
        <f t="shared" si="68"/>
        <v>8</v>
      </c>
      <c r="H123">
        <f t="shared" si="69"/>
        <v>5</v>
      </c>
      <c r="I123">
        <f t="shared" si="70"/>
        <v>1.6</v>
      </c>
      <c r="J123">
        <f t="shared" si="71"/>
        <v>0.67</v>
      </c>
      <c r="K123">
        <f t="shared" si="72"/>
        <v>0.33</v>
      </c>
      <c r="L123">
        <f t="shared" si="73"/>
        <v>0.67</v>
      </c>
      <c r="M123">
        <f t="shared" si="74"/>
        <v>0</v>
      </c>
      <c r="N123">
        <f t="shared" si="75"/>
        <v>1.21</v>
      </c>
      <c r="O123" t="str">
        <f t="shared" si="76"/>
        <v>松散</v>
      </c>
      <c r="P123" t="str">
        <f t="shared" si="77"/>
        <v>极紧凑</v>
      </c>
      <c r="Q123" t="str">
        <f t="shared" si="78"/>
        <v>✓有效</v>
      </c>
      <c r="R123" t="str">
        <f t="shared" si="79"/>
        <v>正常</v>
      </c>
    </row>
    <row r="124" ht="14.25" customHeight="1" spans="1:18">
      <c r="A124" s="10">
        <v>2023095</v>
      </c>
      <c r="B124" s="12" t="s">
        <v>170</v>
      </c>
      <c r="C124">
        <f t="shared" si="64"/>
        <v>0</v>
      </c>
      <c r="D124">
        <f t="shared" si="65"/>
        <v>6</v>
      </c>
      <c r="E124">
        <f t="shared" si="66"/>
        <v>3</v>
      </c>
      <c r="F124">
        <f t="shared" si="67"/>
        <v>9</v>
      </c>
      <c r="G124">
        <f t="shared" si="68"/>
        <v>9</v>
      </c>
      <c r="H124">
        <f t="shared" si="69"/>
        <v>6</v>
      </c>
      <c r="I124">
        <f t="shared" si="70"/>
        <v>1.5</v>
      </c>
      <c r="J124">
        <f t="shared" si="71"/>
        <v>0.33</v>
      </c>
      <c r="K124">
        <f t="shared" si="72"/>
        <v>0.33</v>
      </c>
      <c r="L124">
        <f t="shared" si="73"/>
        <v>0.33</v>
      </c>
      <c r="M124">
        <f t="shared" si="74"/>
        <v>0</v>
      </c>
      <c r="N124">
        <f t="shared" si="75"/>
        <v>1.07</v>
      </c>
      <c r="O124" t="str">
        <f t="shared" si="76"/>
        <v>松散</v>
      </c>
      <c r="P124" t="str">
        <f t="shared" si="77"/>
        <v>极紧凑</v>
      </c>
      <c r="Q124" t="str">
        <f t="shared" si="78"/>
        <v>✓有效</v>
      </c>
      <c r="R124" t="str">
        <f t="shared" si="79"/>
        <v>正常</v>
      </c>
    </row>
    <row r="125" ht="14.25" customHeight="1" spans="1:18">
      <c r="A125" s="10">
        <v>2023096</v>
      </c>
      <c r="B125" s="12" t="s">
        <v>171</v>
      </c>
      <c r="C125">
        <f t="shared" si="64"/>
        <v>5</v>
      </c>
      <c r="D125">
        <f t="shared" si="65"/>
        <v>7</v>
      </c>
      <c r="E125">
        <f t="shared" si="66"/>
        <v>5</v>
      </c>
      <c r="F125">
        <f t="shared" si="67"/>
        <v>17</v>
      </c>
      <c r="G125">
        <f t="shared" si="68"/>
        <v>7</v>
      </c>
      <c r="H125">
        <f t="shared" si="69"/>
        <v>2</v>
      </c>
      <c r="I125">
        <f t="shared" si="70"/>
        <v>8.5</v>
      </c>
      <c r="J125">
        <f t="shared" si="71"/>
        <v>1</v>
      </c>
      <c r="K125">
        <f t="shared" si="72"/>
        <v>1</v>
      </c>
      <c r="L125">
        <f t="shared" si="73"/>
        <v>1</v>
      </c>
      <c r="M125">
        <f t="shared" si="74"/>
        <v>0</v>
      </c>
      <c r="N125">
        <f t="shared" si="75"/>
        <v>4.2</v>
      </c>
      <c r="O125" t="str">
        <f t="shared" si="76"/>
        <v>紧凑</v>
      </c>
      <c r="P125" t="str">
        <f t="shared" si="77"/>
        <v>标准</v>
      </c>
      <c r="Q125" t="str">
        <f t="shared" si="78"/>
        <v>✓有效</v>
      </c>
      <c r="R125" t="str">
        <f t="shared" si="79"/>
        <v>正常</v>
      </c>
    </row>
    <row r="126" ht="14.25" customHeight="1" spans="1:18">
      <c r="A126" s="10">
        <v>2023097</v>
      </c>
      <c r="B126" s="12" t="s">
        <v>172</v>
      </c>
      <c r="C126">
        <f t="shared" si="64"/>
        <v>8</v>
      </c>
      <c r="D126">
        <f t="shared" si="65"/>
        <v>7</v>
      </c>
      <c r="E126">
        <f t="shared" si="66"/>
        <v>5</v>
      </c>
      <c r="F126">
        <f t="shared" si="67"/>
        <v>20</v>
      </c>
      <c r="G126">
        <f t="shared" si="68"/>
        <v>0</v>
      </c>
      <c r="H126">
        <f t="shared" si="69"/>
        <v>3</v>
      </c>
      <c r="I126">
        <f t="shared" si="70"/>
        <v>6.67</v>
      </c>
      <c r="J126">
        <f t="shared" si="71"/>
        <v>0.67</v>
      </c>
      <c r="K126">
        <f t="shared" si="72"/>
        <v>1</v>
      </c>
      <c r="L126">
        <f t="shared" si="73"/>
        <v>0.67</v>
      </c>
      <c r="M126">
        <f t="shared" si="74"/>
        <v>1</v>
      </c>
      <c r="N126">
        <f t="shared" si="75"/>
        <v>3.27</v>
      </c>
      <c r="O126" t="str">
        <f t="shared" si="76"/>
        <v>紧凑</v>
      </c>
      <c r="P126" t="str">
        <f t="shared" si="77"/>
        <v>标准</v>
      </c>
      <c r="Q126" t="str">
        <f t="shared" si="78"/>
        <v>✓有效</v>
      </c>
      <c r="R126" t="str">
        <f t="shared" si="79"/>
        <v>正常</v>
      </c>
    </row>
    <row r="127" ht="14.25" customHeight="1" spans="1:18">
      <c r="A127" s="10">
        <v>2023098</v>
      </c>
      <c r="B127" s="12" t="s">
        <v>134</v>
      </c>
      <c r="C127">
        <f t="shared" si="64"/>
        <v>1</v>
      </c>
      <c r="D127">
        <f t="shared" si="65"/>
        <v>1</v>
      </c>
      <c r="E127">
        <f t="shared" si="66"/>
        <v>7</v>
      </c>
      <c r="F127">
        <f t="shared" si="67"/>
        <v>9</v>
      </c>
      <c r="G127">
        <f t="shared" si="68"/>
        <v>9</v>
      </c>
      <c r="H127">
        <f t="shared" si="69"/>
        <v>6</v>
      </c>
      <c r="I127">
        <f t="shared" si="70"/>
        <v>1.5</v>
      </c>
      <c r="J127">
        <f t="shared" si="71"/>
        <v>1</v>
      </c>
      <c r="K127">
        <f t="shared" si="72"/>
        <v>0.33</v>
      </c>
      <c r="L127">
        <f t="shared" si="73"/>
        <v>0.33</v>
      </c>
      <c r="M127">
        <f t="shared" si="74"/>
        <v>0</v>
      </c>
      <c r="N127">
        <f t="shared" si="75"/>
        <v>1.2</v>
      </c>
      <c r="O127" t="str">
        <f t="shared" si="76"/>
        <v>松散</v>
      </c>
      <c r="P127" t="str">
        <f t="shared" si="77"/>
        <v>极紧凑</v>
      </c>
      <c r="Q127" t="str">
        <f t="shared" si="78"/>
        <v>✓有效</v>
      </c>
      <c r="R127" t="str">
        <f t="shared" si="79"/>
        <v>正常</v>
      </c>
    </row>
    <row r="128" ht="14.25" customHeight="1" spans="1:18">
      <c r="A128" s="10">
        <v>2023099</v>
      </c>
      <c r="B128" s="11">
        <v>124</v>
      </c>
      <c r="C128">
        <f t="shared" ref="C128:C155" si="80">IF(B128="","",LEFT(TEXT(B128,"000"),1)*1)</f>
        <v>1</v>
      </c>
      <c r="D128">
        <f t="shared" ref="D128:D155" si="81">IF(B128="","",MID(TEXT(B128,"000"),2,1)*1)</f>
        <v>2</v>
      </c>
      <c r="E128">
        <f t="shared" ref="E128:E155" si="82">IF(B128="","",RIGHT(TEXT(B128,"000"),1)*1)</f>
        <v>4</v>
      </c>
      <c r="F128">
        <f t="shared" ref="F128:F155" si="83">IF(B128="","",C128+D128+E128)</f>
        <v>7</v>
      </c>
      <c r="G128">
        <f t="shared" ref="G128:G155" si="84">IF(B128="","",MOD(F128,10))</f>
        <v>7</v>
      </c>
      <c r="H128">
        <f t="shared" ref="H128:H155" si="85">IF(B128="","",MAX(C128,D128,E128)-MIN(C128,D128,E128))</f>
        <v>3</v>
      </c>
      <c r="I128">
        <f t="shared" ref="I128:I155" si="86">IF(OR(B128="",H128=0),IF(H128=0,0.1,""),ROUND(F128/H128,2))</f>
        <v>2.33</v>
      </c>
      <c r="J128">
        <f t="shared" ref="J128:J155" si="87">IF(B128="","",ROUND((MOD(C128,2)+MOD(D128,2)+MOD(E128,2))/3,2))</f>
        <v>0.33</v>
      </c>
      <c r="K128">
        <f t="shared" ref="K128:K155" si="88">IF(B128="","",ROUND(((C128&gt;=5)+(D128&gt;=5)+(E128&gt;=5))/3,2))</f>
        <v>0</v>
      </c>
      <c r="L128">
        <f t="shared" ref="L128:L155" si="89">IF(B128="","",ROUND((ISNUMBER(FIND(C128,"2357"))+ISNUMBER(FIND(D128,"2357"))+ISNUMBER(FIND(E128,"2357")))/3,2))</f>
        <v>0.33</v>
      </c>
      <c r="M128">
        <f t="shared" ref="M128:M155" si="90">IF(B128="","",((ABS(C128-D128)=1)+(ABS(D128-E128)=1)+(ABS(C128-E128)=1)))</f>
        <v>1</v>
      </c>
      <c r="N128">
        <f t="shared" ref="N128:N155" si="91">IF(B128="","",ROUND(I128*0.4+J128*0.2+K128*0.2+L128*0.1+(3-M128)*0.1,2))</f>
        <v>1.23</v>
      </c>
      <c r="O128" t="str">
        <f t="shared" ref="O128:O155" si="92">IF(I128=0.1,"极紧凑",IF(I128&gt;3.5,"紧凑",IF(AND(I128&gt;=2,I128&lt;=3.5),"标准",IF(AND(I128&gt;=1,I128&lt;2),"松散",""))))</f>
        <v>标准</v>
      </c>
      <c r="P128" t="str">
        <f t="shared" ref="P128:P155" si="93">IF(B128="","",IF(N128&lt;=1.5,"极紧凑",IF(N128&lt;=3,"紧凑",IF(N128&lt;=5,"标准","松散"))))</f>
        <v>极紧凑</v>
      </c>
      <c r="Q128" t="str">
        <f t="shared" ref="Q128:Q155" si="94">IF(B128="","",IF(AND(C128&gt;=0,C128&lt;=9,D128&gt;=0,D128&lt;=9,E128&gt;=0,E128&lt;=9),"✓有效","✗无效"))</f>
        <v>✓有效</v>
      </c>
      <c r="R128" t="str">
        <f t="shared" ref="R128:R155" si="95">IF(B128="","",IF(OR(I128&gt;10,I128&lt;0.1),"异常","正常"))</f>
        <v>正常</v>
      </c>
    </row>
    <row r="129" ht="14.25" customHeight="1" spans="1:18">
      <c r="A129" s="10">
        <v>2023100</v>
      </c>
      <c r="B129" s="12" t="s">
        <v>173</v>
      </c>
      <c r="C129">
        <f t="shared" si="80"/>
        <v>3</v>
      </c>
      <c r="D129">
        <f t="shared" si="81"/>
        <v>9</v>
      </c>
      <c r="E129">
        <f t="shared" si="82"/>
        <v>3</v>
      </c>
      <c r="F129">
        <f t="shared" si="83"/>
        <v>15</v>
      </c>
      <c r="G129">
        <f t="shared" si="84"/>
        <v>5</v>
      </c>
      <c r="H129">
        <f t="shared" si="85"/>
        <v>6</v>
      </c>
      <c r="I129">
        <f t="shared" si="86"/>
        <v>2.5</v>
      </c>
      <c r="J129">
        <f t="shared" si="87"/>
        <v>1</v>
      </c>
      <c r="K129">
        <f t="shared" si="88"/>
        <v>0.33</v>
      </c>
      <c r="L129">
        <f t="shared" si="89"/>
        <v>0.67</v>
      </c>
      <c r="M129">
        <f t="shared" si="90"/>
        <v>0</v>
      </c>
      <c r="N129">
        <f t="shared" si="91"/>
        <v>1.63</v>
      </c>
      <c r="O129" t="str">
        <f t="shared" si="92"/>
        <v>标准</v>
      </c>
      <c r="P129" t="str">
        <f t="shared" si="93"/>
        <v>紧凑</v>
      </c>
      <c r="Q129" t="str">
        <f t="shared" si="94"/>
        <v>✓有效</v>
      </c>
      <c r="R129" t="str">
        <f t="shared" si="95"/>
        <v>正常</v>
      </c>
    </row>
    <row r="130" ht="14.25" customHeight="1" spans="1:18">
      <c r="A130" s="10">
        <v>2023101</v>
      </c>
      <c r="B130" s="12" t="s">
        <v>174</v>
      </c>
      <c r="C130">
        <f t="shared" si="80"/>
        <v>6</v>
      </c>
      <c r="D130">
        <f t="shared" si="81"/>
        <v>5</v>
      </c>
      <c r="E130">
        <f t="shared" si="82"/>
        <v>4</v>
      </c>
      <c r="F130">
        <f t="shared" si="83"/>
        <v>15</v>
      </c>
      <c r="G130">
        <f t="shared" si="84"/>
        <v>5</v>
      </c>
      <c r="H130">
        <f t="shared" si="85"/>
        <v>2</v>
      </c>
      <c r="I130">
        <f t="shared" si="86"/>
        <v>7.5</v>
      </c>
      <c r="J130">
        <f t="shared" si="87"/>
        <v>0.33</v>
      </c>
      <c r="K130">
        <f t="shared" si="88"/>
        <v>0.67</v>
      </c>
      <c r="L130">
        <f t="shared" si="89"/>
        <v>0.33</v>
      </c>
      <c r="M130">
        <f t="shared" si="90"/>
        <v>2</v>
      </c>
      <c r="N130">
        <f t="shared" si="91"/>
        <v>3.33</v>
      </c>
      <c r="O130" t="str">
        <f t="shared" si="92"/>
        <v>紧凑</v>
      </c>
      <c r="P130" t="str">
        <f t="shared" si="93"/>
        <v>标准</v>
      </c>
      <c r="Q130" t="str">
        <f t="shared" si="94"/>
        <v>✓有效</v>
      </c>
      <c r="R130" t="str">
        <f t="shared" si="95"/>
        <v>正常</v>
      </c>
    </row>
    <row r="131" ht="14.25" customHeight="1" spans="1:18">
      <c r="A131" s="10">
        <v>2023102</v>
      </c>
      <c r="B131" s="12" t="s">
        <v>175</v>
      </c>
      <c r="C131">
        <f t="shared" si="80"/>
        <v>4</v>
      </c>
      <c r="D131">
        <f t="shared" si="81"/>
        <v>1</v>
      </c>
      <c r="E131">
        <f t="shared" si="82"/>
        <v>1</v>
      </c>
      <c r="F131">
        <f t="shared" si="83"/>
        <v>6</v>
      </c>
      <c r="G131">
        <f t="shared" si="84"/>
        <v>6</v>
      </c>
      <c r="H131">
        <f t="shared" si="85"/>
        <v>3</v>
      </c>
      <c r="I131">
        <f t="shared" si="86"/>
        <v>2</v>
      </c>
      <c r="J131">
        <f t="shared" si="87"/>
        <v>0.67</v>
      </c>
      <c r="K131">
        <f t="shared" si="88"/>
        <v>0</v>
      </c>
      <c r="L131">
        <f t="shared" si="89"/>
        <v>0</v>
      </c>
      <c r="M131">
        <f t="shared" si="90"/>
        <v>0</v>
      </c>
      <c r="N131">
        <f t="shared" si="91"/>
        <v>1.23</v>
      </c>
      <c r="O131" t="str">
        <f t="shared" si="92"/>
        <v>标准</v>
      </c>
      <c r="P131" t="str">
        <f t="shared" si="93"/>
        <v>极紧凑</v>
      </c>
      <c r="Q131" t="str">
        <f t="shared" si="94"/>
        <v>✓有效</v>
      </c>
      <c r="R131" t="str">
        <f t="shared" si="95"/>
        <v>正常</v>
      </c>
    </row>
    <row r="132" ht="14.25" customHeight="1" spans="1:18">
      <c r="A132" s="10">
        <v>2023103</v>
      </c>
      <c r="B132" s="12" t="s">
        <v>176</v>
      </c>
      <c r="C132">
        <f t="shared" si="80"/>
        <v>4</v>
      </c>
      <c r="D132">
        <f t="shared" si="81"/>
        <v>0</v>
      </c>
      <c r="E132">
        <f t="shared" si="82"/>
        <v>8</v>
      </c>
      <c r="F132">
        <f t="shared" si="83"/>
        <v>12</v>
      </c>
      <c r="G132">
        <f t="shared" si="84"/>
        <v>2</v>
      </c>
      <c r="H132">
        <f t="shared" si="85"/>
        <v>8</v>
      </c>
      <c r="I132">
        <f t="shared" si="86"/>
        <v>1.5</v>
      </c>
      <c r="J132">
        <f t="shared" si="87"/>
        <v>0</v>
      </c>
      <c r="K132">
        <f t="shared" si="88"/>
        <v>0.33</v>
      </c>
      <c r="L132">
        <f t="shared" si="89"/>
        <v>0</v>
      </c>
      <c r="M132">
        <f t="shared" si="90"/>
        <v>0</v>
      </c>
      <c r="N132">
        <f t="shared" si="91"/>
        <v>0.97</v>
      </c>
      <c r="O132" t="str">
        <f t="shared" si="92"/>
        <v>松散</v>
      </c>
      <c r="P132" t="str">
        <f t="shared" si="93"/>
        <v>极紧凑</v>
      </c>
      <c r="Q132" t="str">
        <f t="shared" si="94"/>
        <v>✓有效</v>
      </c>
      <c r="R132" t="str">
        <f t="shared" si="95"/>
        <v>正常</v>
      </c>
    </row>
    <row r="133" ht="14.25" customHeight="1" spans="1:18">
      <c r="A133" s="10">
        <v>2023104</v>
      </c>
      <c r="B133" s="12" t="s">
        <v>88</v>
      </c>
      <c r="C133">
        <f t="shared" si="80"/>
        <v>3</v>
      </c>
      <c r="D133">
        <f t="shared" si="81"/>
        <v>9</v>
      </c>
      <c r="E133">
        <f t="shared" si="82"/>
        <v>8</v>
      </c>
      <c r="F133">
        <f t="shared" si="83"/>
        <v>20</v>
      </c>
      <c r="G133">
        <f t="shared" si="84"/>
        <v>0</v>
      </c>
      <c r="H133">
        <f t="shared" si="85"/>
        <v>6</v>
      </c>
      <c r="I133">
        <f t="shared" si="86"/>
        <v>3.33</v>
      </c>
      <c r="J133">
        <f t="shared" si="87"/>
        <v>0.67</v>
      </c>
      <c r="K133">
        <f t="shared" si="88"/>
        <v>0.67</v>
      </c>
      <c r="L133">
        <f t="shared" si="89"/>
        <v>0.33</v>
      </c>
      <c r="M133">
        <f t="shared" si="90"/>
        <v>1</v>
      </c>
      <c r="N133">
        <f t="shared" si="91"/>
        <v>1.83</v>
      </c>
      <c r="O133" t="str">
        <f t="shared" si="92"/>
        <v>标准</v>
      </c>
      <c r="P133" t="str">
        <f t="shared" si="93"/>
        <v>紧凑</v>
      </c>
      <c r="Q133" t="str">
        <f t="shared" si="94"/>
        <v>✓有效</v>
      </c>
      <c r="R133" t="str">
        <f t="shared" si="95"/>
        <v>正常</v>
      </c>
    </row>
    <row r="134" ht="14.25" customHeight="1" spans="1:18">
      <c r="A134" s="10">
        <v>2023105</v>
      </c>
      <c r="B134" s="12" t="s">
        <v>157</v>
      </c>
      <c r="C134">
        <f t="shared" si="80"/>
        <v>8</v>
      </c>
      <c r="D134">
        <f t="shared" si="81"/>
        <v>8</v>
      </c>
      <c r="E134">
        <f t="shared" si="82"/>
        <v>4</v>
      </c>
      <c r="F134">
        <f t="shared" si="83"/>
        <v>20</v>
      </c>
      <c r="G134">
        <f t="shared" si="84"/>
        <v>0</v>
      </c>
      <c r="H134">
        <f t="shared" si="85"/>
        <v>4</v>
      </c>
      <c r="I134">
        <f t="shared" si="86"/>
        <v>5</v>
      </c>
      <c r="J134">
        <f t="shared" si="87"/>
        <v>0</v>
      </c>
      <c r="K134">
        <f t="shared" si="88"/>
        <v>0.67</v>
      </c>
      <c r="L134">
        <f t="shared" si="89"/>
        <v>0</v>
      </c>
      <c r="M134">
        <f t="shared" si="90"/>
        <v>0</v>
      </c>
      <c r="N134">
        <f t="shared" si="91"/>
        <v>2.43</v>
      </c>
      <c r="O134" t="str">
        <f t="shared" si="92"/>
        <v>紧凑</v>
      </c>
      <c r="P134" t="str">
        <f t="shared" si="93"/>
        <v>紧凑</v>
      </c>
      <c r="Q134" t="str">
        <f t="shared" si="94"/>
        <v>✓有效</v>
      </c>
      <c r="R134" t="str">
        <f t="shared" si="95"/>
        <v>正常</v>
      </c>
    </row>
    <row r="135" ht="14.25" customHeight="1" spans="1:18">
      <c r="A135" s="10">
        <v>2023106</v>
      </c>
      <c r="B135" s="12" t="s">
        <v>130</v>
      </c>
      <c r="C135">
        <f t="shared" si="80"/>
        <v>6</v>
      </c>
      <c r="D135">
        <f t="shared" si="81"/>
        <v>0</v>
      </c>
      <c r="E135">
        <f t="shared" si="82"/>
        <v>2</v>
      </c>
      <c r="F135">
        <f t="shared" si="83"/>
        <v>8</v>
      </c>
      <c r="G135">
        <f t="shared" si="84"/>
        <v>8</v>
      </c>
      <c r="H135">
        <f t="shared" si="85"/>
        <v>6</v>
      </c>
      <c r="I135">
        <f t="shared" si="86"/>
        <v>1.33</v>
      </c>
      <c r="J135">
        <f t="shared" si="87"/>
        <v>0</v>
      </c>
      <c r="K135">
        <f t="shared" si="88"/>
        <v>0.33</v>
      </c>
      <c r="L135">
        <f t="shared" si="89"/>
        <v>0.33</v>
      </c>
      <c r="M135">
        <f t="shared" si="90"/>
        <v>0</v>
      </c>
      <c r="N135">
        <f t="shared" si="91"/>
        <v>0.93</v>
      </c>
      <c r="O135" t="str">
        <f t="shared" si="92"/>
        <v>松散</v>
      </c>
      <c r="P135" t="str">
        <f t="shared" si="93"/>
        <v>极紧凑</v>
      </c>
      <c r="Q135" t="str">
        <f t="shared" si="94"/>
        <v>✓有效</v>
      </c>
      <c r="R135" t="str">
        <f t="shared" si="95"/>
        <v>正常</v>
      </c>
    </row>
    <row r="136" ht="14.25" customHeight="1" spans="1:18">
      <c r="A136" s="10">
        <v>2023107</v>
      </c>
      <c r="B136" s="12" t="s">
        <v>177</v>
      </c>
      <c r="C136">
        <f t="shared" si="80"/>
        <v>0</v>
      </c>
      <c r="D136">
        <f t="shared" si="81"/>
        <v>6</v>
      </c>
      <c r="E136">
        <f t="shared" si="82"/>
        <v>5</v>
      </c>
      <c r="F136">
        <f t="shared" si="83"/>
        <v>11</v>
      </c>
      <c r="G136">
        <f t="shared" si="84"/>
        <v>1</v>
      </c>
      <c r="H136">
        <f t="shared" si="85"/>
        <v>6</v>
      </c>
      <c r="I136">
        <f t="shared" si="86"/>
        <v>1.83</v>
      </c>
      <c r="J136">
        <f t="shared" si="87"/>
        <v>0.33</v>
      </c>
      <c r="K136">
        <f t="shared" si="88"/>
        <v>0.67</v>
      </c>
      <c r="L136">
        <f t="shared" si="89"/>
        <v>0.33</v>
      </c>
      <c r="M136">
        <f t="shared" si="90"/>
        <v>1</v>
      </c>
      <c r="N136">
        <f t="shared" si="91"/>
        <v>1.17</v>
      </c>
      <c r="O136" t="str">
        <f t="shared" si="92"/>
        <v>松散</v>
      </c>
      <c r="P136" t="str">
        <f t="shared" si="93"/>
        <v>极紧凑</v>
      </c>
      <c r="Q136" t="str">
        <f t="shared" si="94"/>
        <v>✓有效</v>
      </c>
      <c r="R136" t="str">
        <f t="shared" si="95"/>
        <v>正常</v>
      </c>
    </row>
    <row r="137" ht="14.25" customHeight="1" spans="1:18">
      <c r="A137" s="10">
        <v>2023108</v>
      </c>
      <c r="B137" s="12" t="s">
        <v>178</v>
      </c>
      <c r="C137">
        <f t="shared" si="80"/>
        <v>2</v>
      </c>
      <c r="D137">
        <f t="shared" si="81"/>
        <v>5</v>
      </c>
      <c r="E137">
        <f t="shared" si="82"/>
        <v>3</v>
      </c>
      <c r="F137">
        <f t="shared" si="83"/>
        <v>10</v>
      </c>
      <c r="G137">
        <f t="shared" si="84"/>
        <v>0</v>
      </c>
      <c r="H137">
        <f t="shared" si="85"/>
        <v>3</v>
      </c>
      <c r="I137">
        <f t="shared" si="86"/>
        <v>3.33</v>
      </c>
      <c r="J137">
        <f t="shared" si="87"/>
        <v>0.67</v>
      </c>
      <c r="K137">
        <f t="shared" si="88"/>
        <v>0.33</v>
      </c>
      <c r="L137">
        <f t="shared" si="89"/>
        <v>1</v>
      </c>
      <c r="M137">
        <f t="shared" si="90"/>
        <v>1</v>
      </c>
      <c r="N137">
        <f t="shared" si="91"/>
        <v>1.83</v>
      </c>
      <c r="O137" t="str">
        <f t="shared" si="92"/>
        <v>标准</v>
      </c>
      <c r="P137" t="str">
        <f t="shared" si="93"/>
        <v>紧凑</v>
      </c>
      <c r="Q137" t="str">
        <f t="shared" si="94"/>
        <v>✓有效</v>
      </c>
      <c r="R137" t="str">
        <f t="shared" si="95"/>
        <v>正常</v>
      </c>
    </row>
    <row r="138" ht="14.25" customHeight="1" spans="1:18">
      <c r="A138" s="10">
        <v>2023109</v>
      </c>
      <c r="B138" s="12" t="s">
        <v>179</v>
      </c>
      <c r="C138">
        <f t="shared" si="80"/>
        <v>9</v>
      </c>
      <c r="D138">
        <f t="shared" si="81"/>
        <v>0</v>
      </c>
      <c r="E138">
        <f t="shared" si="82"/>
        <v>4</v>
      </c>
      <c r="F138">
        <f t="shared" si="83"/>
        <v>13</v>
      </c>
      <c r="G138">
        <f t="shared" si="84"/>
        <v>3</v>
      </c>
      <c r="H138">
        <f t="shared" si="85"/>
        <v>9</v>
      </c>
      <c r="I138">
        <f t="shared" si="86"/>
        <v>1.44</v>
      </c>
      <c r="J138">
        <f t="shared" si="87"/>
        <v>0.33</v>
      </c>
      <c r="K138">
        <f t="shared" si="88"/>
        <v>0.33</v>
      </c>
      <c r="L138">
        <f t="shared" si="89"/>
        <v>0</v>
      </c>
      <c r="M138">
        <f t="shared" si="90"/>
        <v>0</v>
      </c>
      <c r="N138">
        <f t="shared" si="91"/>
        <v>1.01</v>
      </c>
      <c r="O138" t="str">
        <f t="shared" si="92"/>
        <v>松散</v>
      </c>
      <c r="P138" t="str">
        <f t="shared" si="93"/>
        <v>极紧凑</v>
      </c>
      <c r="Q138" t="str">
        <f t="shared" si="94"/>
        <v>✓有效</v>
      </c>
      <c r="R138" t="str">
        <f t="shared" si="95"/>
        <v>正常</v>
      </c>
    </row>
    <row r="139" ht="14.25" customHeight="1" spans="1:18">
      <c r="A139" s="10">
        <v>2023110</v>
      </c>
      <c r="B139" s="12" t="s">
        <v>180</v>
      </c>
      <c r="C139">
        <f t="shared" si="80"/>
        <v>9</v>
      </c>
      <c r="D139">
        <f t="shared" si="81"/>
        <v>0</v>
      </c>
      <c r="E139">
        <f t="shared" si="82"/>
        <v>5</v>
      </c>
      <c r="F139">
        <f t="shared" si="83"/>
        <v>14</v>
      </c>
      <c r="G139">
        <f t="shared" si="84"/>
        <v>4</v>
      </c>
      <c r="H139">
        <f t="shared" si="85"/>
        <v>9</v>
      </c>
      <c r="I139">
        <f t="shared" si="86"/>
        <v>1.56</v>
      </c>
      <c r="J139">
        <f t="shared" si="87"/>
        <v>0.67</v>
      </c>
      <c r="K139">
        <f t="shared" si="88"/>
        <v>0.67</v>
      </c>
      <c r="L139">
        <f t="shared" si="89"/>
        <v>0.33</v>
      </c>
      <c r="M139">
        <f t="shared" si="90"/>
        <v>0</v>
      </c>
      <c r="N139">
        <f t="shared" si="91"/>
        <v>1.23</v>
      </c>
      <c r="O139" t="str">
        <f t="shared" si="92"/>
        <v>松散</v>
      </c>
      <c r="P139" t="str">
        <f t="shared" si="93"/>
        <v>极紧凑</v>
      </c>
      <c r="Q139" t="str">
        <f t="shared" si="94"/>
        <v>✓有效</v>
      </c>
      <c r="R139" t="str">
        <f t="shared" si="95"/>
        <v>正常</v>
      </c>
    </row>
    <row r="140" ht="14.25" customHeight="1" spans="1:18">
      <c r="A140" s="10">
        <v>2023111</v>
      </c>
      <c r="B140" s="12" t="s">
        <v>181</v>
      </c>
      <c r="C140">
        <f t="shared" si="80"/>
        <v>6</v>
      </c>
      <c r="D140">
        <f t="shared" si="81"/>
        <v>8</v>
      </c>
      <c r="E140">
        <f t="shared" si="82"/>
        <v>7</v>
      </c>
      <c r="F140">
        <f t="shared" si="83"/>
        <v>21</v>
      </c>
      <c r="G140">
        <f t="shared" si="84"/>
        <v>1</v>
      </c>
      <c r="H140">
        <f t="shared" si="85"/>
        <v>2</v>
      </c>
      <c r="I140">
        <f t="shared" si="86"/>
        <v>10.5</v>
      </c>
      <c r="J140">
        <f t="shared" si="87"/>
        <v>0.33</v>
      </c>
      <c r="K140">
        <f t="shared" si="88"/>
        <v>1</v>
      </c>
      <c r="L140">
        <f t="shared" si="89"/>
        <v>0.33</v>
      </c>
      <c r="M140">
        <f t="shared" si="90"/>
        <v>2</v>
      </c>
      <c r="N140">
        <f t="shared" si="91"/>
        <v>4.6</v>
      </c>
      <c r="O140" t="str">
        <f t="shared" si="92"/>
        <v>紧凑</v>
      </c>
      <c r="P140" t="str">
        <f t="shared" si="93"/>
        <v>标准</v>
      </c>
      <c r="Q140" t="str">
        <f t="shared" si="94"/>
        <v>✓有效</v>
      </c>
      <c r="R140" t="str">
        <f t="shared" si="95"/>
        <v>异常</v>
      </c>
    </row>
    <row r="141" ht="14.25" customHeight="1" spans="1:18">
      <c r="A141" s="10">
        <v>2023112</v>
      </c>
      <c r="B141" s="12" t="s">
        <v>182</v>
      </c>
      <c r="C141">
        <f t="shared" si="80"/>
        <v>0</v>
      </c>
      <c r="D141">
        <f t="shared" si="81"/>
        <v>6</v>
      </c>
      <c r="E141">
        <f t="shared" si="82"/>
        <v>9</v>
      </c>
      <c r="F141">
        <f t="shared" si="83"/>
        <v>15</v>
      </c>
      <c r="G141">
        <f t="shared" si="84"/>
        <v>5</v>
      </c>
      <c r="H141">
        <f t="shared" si="85"/>
        <v>9</v>
      </c>
      <c r="I141">
        <f t="shared" si="86"/>
        <v>1.67</v>
      </c>
      <c r="J141">
        <f t="shared" si="87"/>
        <v>0.33</v>
      </c>
      <c r="K141">
        <f t="shared" si="88"/>
        <v>0.67</v>
      </c>
      <c r="L141">
        <f t="shared" si="89"/>
        <v>0</v>
      </c>
      <c r="M141">
        <f t="shared" si="90"/>
        <v>0</v>
      </c>
      <c r="N141">
        <f t="shared" si="91"/>
        <v>1.17</v>
      </c>
      <c r="O141" t="str">
        <f t="shared" si="92"/>
        <v>松散</v>
      </c>
      <c r="P141" t="str">
        <f t="shared" si="93"/>
        <v>极紧凑</v>
      </c>
      <c r="Q141" t="str">
        <f t="shared" si="94"/>
        <v>✓有效</v>
      </c>
      <c r="R141" t="str">
        <f t="shared" si="95"/>
        <v>正常</v>
      </c>
    </row>
    <row r="142" ht="14.25" customHeight="1" spans="1:18">
      <c r="A142" s="10">
        <v>2023113</v>
      </c>
      <c r="B142" s="12" t="s">
        <v>183</v>
      </c>
      <c r="C142">
        <f t="shared" si="80"/>
        <v>5</v>
      </c>
      <c r="D142">
        <f t="shared" si="81"/>
        <v>8</v>
      </c>
      <c r="E142">
        <f t="shared" si="82"/>
        <v>6</v>
      </c>
      <c r="F142">
        <f t="shared" si="83"/>
        <v>19</v>
      </c>
      <c r="G142">
        <f t="shared" si="84"/>
        <v>9</v>
      </c>
      <c r="H142">
        <f t="shared" si="85"/>
        <v>3</v>
      </c>
      <c r="I142">
        <f t="shared" si="86"/>
        <v>6.33</v>
      </c>
      <c r="J142">
        <f t="shared" si="87"/>
        <v>0.33</v>
      </c>
      <c r="K142">
        <f t="shared" si="88"/>
        <v>1</v>
      </c>
      <c r="L142">
        <f t="shared" si="89"/>
        <v>0.33</v>
      </c>
      <c r="M142">
        <f t="shared" si="90"/>
        <v>1</v>
      </c>
      <c r="N142">
        <f t="shared" si="91"/>
        <v>3.03</v>
      </c>
      <c r="O142" t="str">
        <f t="shared" si="92"/>
        <v>紧凑</v>
      </c>
      <c r="P142" t="str">
        <f t="shared" si="93"/>
        <v>标准</v>
      </c>
      <c r="Q142" t="str">
        <f t="shared" si="94"/>
        <v>✓有效</v>
      </c>
      <c r="R142" t="str">
        <f t="shared" si="95"/>
        <v>正常</v>
      </c>
    </row>
    <row r="143" ht="14.25" customHeight="1" spans="1:18">
      <c r="A143" s="10">
        <v>2023114</v>
      </c>
      <c r="B143" s="12" t="s">
        <v>184</v>
      </c>
      <c r="C143">
        <f t="shared" si="80"/>
        <v>1</v>
      </c>
      <c r="D143">
        <f t="shared" si="81"/>
        <v>7</v>
      </c>
      <c r="E143">
        <f t="shared" si="82"/>
        <v>6</v>
      </c>
      <c r="F143">
        <f t="shared" si="83"/>
        <v>14</v>
      </c>
      <c r="G143">
        <f t="shared" si="84"/>
        <v>4</v>
      </c>
      <c r="H143">
        <f t="shared" si="85"/>
        <v>6</v>
      </c>
      <c r="I143">
        <f t="shared" si="86"/>
        <v>2.33</v>
      </c>
      <c r="J143">
        <f t="shared" si="87"/>
        <v>0.67</v>
      </c>
      <c r="K143">
        <f t="shared" si="88"/>
        <v>0.67</v>
      </c>
      <c r="L143">
        <f t="shared" si="89"/>
        <v>0.33</v>
      </c>
      <c r="M143">
        <f t="shared" si="90"/>
        <v>1</v>
      </c>
      <c r="N143">
        <f t="shared" si="91"/>
        <v>1.43</v>
      </c>
      <c r="O143" t="str">
        <f t="shared" si="92"/>
        <v>标准</v>
      </c>
      <c r="P143" t="str">
        <f t="shared" si="93"/>
        <v>极紧凑</v>
      </c>
      <c r="Q143" t="str">
        <f t="shared" si="94"/>
        <v>✓有效</v>
      </c>
      <c r="R143" t="str">
        <f t="shared" si="95"/>
        <v>正常</v>
      </c>
    </row>
    <row r="144" ht="14.25" customHeight="1" spans="1:18">
      <c r="A144" s="10">
        <v>2023115</v>
      </c>
      <c r="B144" s="12" t="s">
        <v>185</v>
      </c>
      <c r="C144">
        <f t="shared" si="80"/>
        <v>7</v>
      </c>
      <c r="D144">
        <f t="shared" si="81"/>
        <v>1</v>
      </c>
      <c r="E144">
        <f t="shared" si="82"/>
        <v>6</v>
      </c>
      <c r="F144">
        <f t="shared" si="83"/>
        <v>14</v>
      </c>
      <c r="G144">
        <f t="shared" si="84"/>
        <v>4</v>
      </c>
      <c r="H144">
        <f t="shared" si="85"/>
        <v>6</v>
      </c>
      <c r="I144">
        <f t="shared" si="86"/>
        <v>2.33</v>
      </c>
      <c r="J144">
        <f t="shared" si="87"/>
        <v>0.67</v>
      </c>
      <c r="K144">
        <f t="shared" si="88"/>
        <v>0.67</v>
      </c>
      <c r="L144">
        <f t="shared" si="89"/>
        <v>0.33</v>
      </c>
      <c r="M144">
        <f t="shared" si="90"/>
        <v>1</v>
      </c>
      <c r="N144">
        <f t="shared" si="91"/>
        <v>1.43</v>
      </c>
      <c r="O144" t="str">
        <f t="shared" si="92"/>
        <v>标准</v>
      </c>
      <c r="P144" t="str">
        <f t="shared" si="93"/>
        <v>极紧凑</v>
      </c>
      <c r="Q144" t="str">
        <f t="shared" si="94"/>
        <v>✓有效</v>
      </c>
      <c r="R144" t="str">
        <f t="shared" si="95"/>
        <v>正常</v>
      </c>
    </row>
    <row r="145" ht="14.25" customHeight="1" spans="1:18">
      <c r="A145" s="10">
        <v>2023116</v>
      </c>
      <c r="B145" s="12" t="s">
        <v>186</v>
      </c>
      <c r="C145">
        <f t="shared" si="80"/>
        <v>6</v>
      </c>
      <c r="D145">
        <f t="shared" si="81"/>
        <v>1</v>
      </c>
      <c r="E145">
        <f t="shared" si="82"/>
        <v>9</v>
      </c>
      <c r="F145">
        <f t="shared" si="83"/>
        <v>16</v>
      </c>
      <c r="G145">
        <f t="shared" si="84"/>
        <v>6</v>
      </c>
      <c r="H145">
        <f t="shared" si="85"/>
        <v>8</v>
      </c>
      <c r="I145">
        <f t="shared" si="86"/>
        <v>2</v>
      </c>
      <c r="J145">
        <f t="shared" si="87"/>
        <v>0.67</v>
      </c>
      <c r="K145">
        <f t="shared" si="88"/>
        <v>0.67</v>
      </c>
      <c r="L145">
        <f t="shared" si="89"/>
        <v>0</v>
      </c>
      <c r="M145">
        <f t="shared" si="90"/>
        <v>0</v>
      </c>
      <c r="N145">
        <f t="shared" si="91"/>
        <v>1.37</v>
      </c>
      <c r="O145" t="str">
        <f t="shared" si="92"/>
        <v>标准</v>
      </c>
      <c r="P145" t="str">
        <f t="shared" si="93"/>
        <v>极紧凑</v>
      </c>
      <c r="Q145" t="str">
        <f t="shared" si="94"/>
        <v>✓有效</v>
      </c>
      <c r="R145" t="str">
        <f t="shared" si="95"/>
        <v>正常</v>
      </c>
    </row>
    <row r="146" ht="14.25" customHeight="1" spans="1:18">
      <c r="A146" s="10">
        <v>2023117</v>
      </c>
      <c r="B146" s="12" t="s">
        <v>187</v>
      </c>
      <c r="C146">
        <f t="shared" si="80"/>
        <v>4</v>
      </c>
      <c r="D146">
        <f t="shared" si="81"/>
        <v>0</v>
      </c>
      <c r="E146">
        <f t="shared" si="82"/>
        <v>1</v>
      </c>
      <c r="F146">
        <f t="shared" si="83"/>
        <v>5</v>
      </c>
      <c r="G146">
        <f t="shared" si="84"/>
        <v>5</v>
      </c>
      <c r="H146">
        <f t="shared" si="85"/>
        <v>4</v>
      </c>
      <c r="I146">
        <f t="shared" si="86"/>
        <v>1.25</v>
      </c>
      <c r="J146">
        <f t="shared" si="87"/>
        <v>0.33</v>
      </c>
      <c r="K146">
        <f t="shared" si="88"/>
        <v>0</v>
      </c>
      <c r="L146">
        <f t="shared" si="89"/>
        <v>0</v>
      </c>
      <c r="M146">
        <f t="shared" si="90"/>
        <v>1</v>
      </c>
      <c r="N146">
        <f t="shared" si="91"/>
        <v>0.77</v>
      </c>
      <c r="O146" t="str">
        <f t="shared" si="92"/>
        <v>松散</v>
      </c>
      <c r="P146" t="str">
        <f t="shared" si="93"/>
        <v>极紧凑</v>
      </c>
      <c r="Q146" t="str">
        <f t="shared" si="94"/>
        <v>✓有效</v>
      </c>
      <c r="R146" t="str">
        <f t="shared" si="95"/>
        <v>正常</v>
      </c>
    </row>
    <row r="147" ht="14.25" customHeight="1" spans="1:18">
      <c r="A147" s="10">
        <v>2023118</v>
      </c>
      <c r="B147" s="12" t="s">
        <v>188</v>
      </c>
      <c r="C147">
        <f t="shared" si="80"/>
        <v>7</v>
      </c>
      <c r="D147">
        <f t="shared" si="81"/>
        <v>3</v>
      </c>
      <c r="E147">
        <f t="shared" si="82"/>
        <v>7</v>
      </c>
      <c r="F147">
        <f t="shared" si="83"/>
        <v>17</v>
      </c>
      <c r="G147">
        <f t="shared" si="84"/>
        <v>7</v>
      </c>
      <c r="H147">
        <f t="shared" si="85"/>
        <v>4</v>
      </c>
      <c r="I147">
        <f t="shared" si="86"/>
        <v>4.25</v>
      </c>
      <c r="J147">
        <f t="shared" si="87"/>
        <v>1</v>
      </c>
      <c r="K147">
        <f t="shared" si="88"/>
        <v>0.67</v>
      </c>
      <c r="L147">
        <f t="shared" si="89"/>
        <v>1</v>
      </c>
      <c r="M147">
        <f t="shared" si="90"/>
        <v>0</v>
      </c>
      <c r="N147">
        <f t="shared" si="91"/>
        <v>2.43</v>
      </c>
      <c r="O147" t="str">
        <f t="shared" si="92"/>
        <v>紧凑</v>
      </c>
      <c r="P147" t="str">
        <f t="shared" si="93"/>
        <v>紧凑</v>
      </c>
      <c r="Q147" t="str">
        <f t="shared" si="94"/>
        <v>✓有效</v>
      </c>
      <c r="R147" t="str">
        <f t="shared" si="95"/>
        <v>正常</v>
      </c>
    </row>
    <row r="148" ht="14.25" customHeight="1" spans="1:18">
      <c r="A148" s="10">
        <v>2023119</v>
      </c>
      <c r="B148" s="12" t="s">
        <v>189</v>
      </c>
      <c r="C148">
        <f t="shared" si="80"/>
        <v>1</v>
      </c>
      <c r="D148">
        <f t="shared" si="81"/>
        <v>1</v>
      </c>
      <c r="E148">
        <f t="shared" si="82"/>
        <v>2</v>
      </c>
      <c r="F148">
        <f t="shared" si="83"/>
        <v>4</v>
      </c>
      <c r="G148">
        <f t="shared" si="84"/>
        <v>4</v>
      </c>
      <c r="H148">
        <f t="shared" si="85"/>
        <v>1</v>
      </c>
      <c r="I148">
        <f t="shared" si="86"/>
        <v>4</v>
      </c>
      <c r="J148">
        <f t="shared" si="87"/>
        <v>0.67</v>
      </c>
      <c r="K148">
        <f t="shared" si="88"/>
        <v>0</v>
      </c>
      <c r="L148">
        <f t="shared" si="89"/>
        <v>0.33</v>
      </c>
      <c r="M148">
        <f t="shared" si="90"/>
        <v>2</v>
      </c>
      <c r="N148">
        <f t="shared" si="91"/>
        <v>1.87</v>
      </c>
      <c r="O148" t="str">
        <f t="shared" si="92"/>
        <v>紧凑</v>
      </c>
      <c r="P148" t="str">
        <f t="shared" si="93"/>
        <v>紧凑</v>
      </c>
      <c r="Q148" t="str">
        <f t="shared" si="94"/>
        <v>✓有效</v>
      </c>
      <c r="R148" t="str">
        <f t="shared" si="95"/>
        <v>正常</v>
      </c>
    </row>
    <row r="149" ht="14.25" customHeight="1" spans="1:18">
      <c r="A149" s="10">
        <v>2023120</v>
      </c>
      <c r="B149" s="12" t="s">
        <v>190</v>
      </c>
      <c r="C149">
        <f t="shared" si="80"/>
        <v>8</v>
      </c>
      <c r="D149">
        <f t="shared" si="81"/>
        <v>7</v>
      </c>
      <c r="E149">
        <f t="shared" si="82"/>
        <v>1</v>
      </c>
      <c r="F149">
        <f t="shared" si="83"/>
        <v>16</v>
      </c>
      <c r="G149">
        <f t="shared" si="84"/>
        <v>6</v>
      </c>
      <c r="H149">
        <f t="shared" si="85"/>
        <v>7</v>
      </c>
      <c r="I149">
        <f t="shared" si="86"/>
        <v>2.29</v>
      </c>
      <c r="J149">
        <f t="shared" si="87"/>
        <v>0.67</v>
      </c>
      <c r="K149">
        <f t="shared" si="88"/>
        <v>0.67</v>
      </c>
      <c r="L149">
        <f t="shared" si="89"/>
        <v>0.33</v>
      </c>
      <c r="M149">
        <f t="shared" si="90"/>
        <v>1</v>
      </c>
      <c r="N149">
        <f t="shared" si="91"/>
        <v>1.42</v>
      </c>
      <c r="O149" t="str">
        <f t="shared" si="92"/>
        <v>标准</v>
      </c>
      <c r="P149" t="str">
        <f t="shared" si="93"/>
        <v>极紧凑</v>
      </c>
      <c r="Q149" t="str">
        <f t="shared" si="94"/>
        <v>✓有效</v>
      </c>
      <c r="R149" t="str">
        <f t="shared" si="95"/>
        <v>正常</v>
      </c>
    </row>
    <row r="150" ht="14.25" customHeight="1" spans="1:18">
      <c r="A150" s="10">
        <v>2023121</v>
      </c>
      <c r="B150" s="12" t="s">
        <v>191</v>
      </c>
      <c r="C150">
        <f t="shared" si="80"/>
        <v>2</v>
      </c>
      <c r="D150">
        <f t="shared" si="81"/>
        <v>9</v>
      </c>
      <c r="E150">
        <f t="shared" si="82"/>
        <v>3</v>
      </c>
      <c r="F150">
        <f t="shared" si="83"/>
        <v>14</v>
      </c>
      <c r="G150">
        <f t="shared" si="84"/>
        <v>4</v>
      </c>
      <c r="H150">
        <f t="shared" si="85"/>
        <v>7</v>
      </c>
      <c r="I150">
        <f t="shared" si="86"/>
        <v>2</v>
      </c>
      <c r="J150">
        <f t="shared" si="87"/>
        <v>0.67</v>
      </c>
      <c r="K150">
        <f t="shared" si="88"/>
        <v>0.33</v>
      </c>
      <c r="L150">
        <f t="shared" si="89"/>
        <v>0.67</v>
      </c>
      <c r="M150">
        <f t="shared" si="90"/>
        <v>1</v>
      </c>
      <c r="N150">
        <f t="shared" si="91"/>
        <v>1.27</v>
      </c>
      <c r="O150" t="str">
        <f t="shared" si="92"/>
        <v>标准</v>
      </c>
      <c r="P150" t="str">
        <f t="shared" si="93"/>
        <v>极紧凑</v>
      </c>
      <c r="Q150" t="str">
        <f t="shared" si="94"/>
        <v>✓有效</v>
      </c>
      <c r="R150" t="str">
        <f t="shared" si="95"/>
        <v>正常</v>
      </c>
    </row>
    <row r="151" ht="14.25" customHeight="1" spans="1:18">
      <c r="A151" s="10">
        <v>2023122</v>
      </c>
      <c r="B151" s="12" t="s">
        <v>192</v>
      </c>
      <c r="C151">
        <f t="shared" si="80"/>
        <v>4</v>
      </c>
      <c r="D151">
        <f t="shared" si="81"/>
        <v>1</v>
      </c>
      <c r="E151">
        <f t="shared" si="82"/>
        <v>2</v>
      </c>
      <c r="F151">
        <f t="shared" si="83"/>
        <v>7</v>
      </c>
      <c r="G151">
        <f t="shared" si="84"/>
        <v>7</v>
      </c>
      <c r="H151">
        <f t="shared" si="85"/>
        <v>3</v>
      </c>
      <c r="I151">
        <f t="shared" si="86"/>
        <v>2.33</v>
      </c>
      <c r="J151">
        <f t="shared" si="87"/>
        <v>0.33</v>
      </c>
      <c r="K151">
        <f t="shared" si="88"/>
        <v>0</v>
      </c>
      <c r="L151">
        <f t="shared" si="89"/>
        <v>0.33</v>
      </c>
      <c r="M151">
        <f t="shared" si="90"/>
        <v>1</v>
      </c>
      <c r="N151">
        <f t="shared" si="91"/>
        <v>1.23</v>
      </c>
      <c r="O151" t="str">
        <f t="shared" si="92"/>
        <v>标准</v>
      </c>
      <c r="P151" t="str">
        <f t="shared" si="93"/>
        <v>极紧凑</v>
      </c>
      <c r="Q151" t="str">
        <f t="shared" si="94"/>
        <v>✓有效</v>
      </c>
      <c r="R151" t="str">
        <f t="shared" si="95"/>
        <v>正常</v>
      </c>
    </row>
    <row r="152" ht="14.25" customHeight="1" spans="1:18">
      <c r="A152" s="10">
        <v>2023123</v>
      </c>
      <c r="B152" s="12" t="s">
        <v>193</v>
      </c>
      <c r="C152">
        <f t="shared" si="80"/>
        <v>8</v>
      </c>
      <c r="D152">
        <f t="shared" si="81"/>
        <v>0</v>
      </c>
      <c r="E152">
        <f t="shared" si="82"/>
        <v>4</v>
      </c>
      <c r="F152">
        <f t="shared" si="83"/>
        <v>12</v>
      </c>
      <c r="G152">
        <f t="shared" si="84"/>
        <v>2</v>
      </c>
      <c r="H152">
        <f t="shared" si="85"/>
        <v>8</v>
      </c>
      <c r="I152">
        <f t="shared" si="86"/>
        <v>1.5</v>
      </c>
      <c r="J152">
        <f t="shared" si="87"/>
        <v>0</v>
      </c>
      <c r="K152">
        <f t="shared" si="88"/>
        <v>0.33</v>
      </c>
      <c r="L152">
        <f t="shared" si="89"/>
        <v>0</v>
      </c>
      <c r="M152">
        <f t="shared" si="90"/>
        <v>0</v>
      </c>
      <c r="N152">
        <f t="shared" si="91"/>
        <v>0.97</v>
      </c>
      <c r="O152" t="str">
        <f t="shared" si="92"/>
        <v>松散</v>
      </c>
      <c r="P152" t="str">
        <f t="shared" si="93"/>
        <v>极紧凑</v>
      </c>
      <c r="Q152" t="str">
        <f t="shared" si="94"/>
        <v>✓有效</v>
      </c>
      <c r="R152" t="str">
        <f t="shared" si="95"/>
        <v>正常</v>
      </c>
    </row>
    <row r="153" ht="14.25" customHeight="1" spans="1:18">
      <c r="A153" s="10">
        <v>2023124</v>
      </c>
      <c r="B153" s="12" t="s">
        <v>194</v>
      </c>
      <c r="C153">
        <f t="shared" si="80"/>
        <v>2</v>
      </c>
      <c r="D153">
        <f t="shared" si="81"/>
        <v>3</v>
      </c>
      <c r="E153">
        <f t="shared" si="82"/>
        <v>6</v>
      </c>
      <c r="F153">
        <f t="shared" si="83"/>
        <v>11</v>
      </c>
      <c r="G153">
        <f t="shared" si="84"/>
        <v>1</v>
      </c>
      <c r="H153">
        <f t="shared" si="85"/>
        <v>4</v>
      </c>
      <c r="I153">
        <f t="shared" si="86"/>
        <v>2.75</v>
      </c>
      <c r="J153">
        <f t="shared" si="87"/>
        <v>0.33</v>
      </c>
      <c r="K153">
        <f t="shared" si="88"/>
        <v>0.33</v>
      </c>
      <c r="L153">
        <f t="shared" si="89"/>
        <v>0.67</v>
      </c>
      <c r="M153">
        <f t="shared" si="90"/>
        <v>1</v>
      </c>
      <c r="N153">
        <f t="shared" si="91"/>
        <v>1.5</v>
      </c>
      <c r="O153" t="str">
        <f t="shared" si="92"/>
        <v>标准</v>
      </c>
      <c r="P153" t="str">
        <f t="shared" si="93"/>
        <v>极紧凑</v>
      </c>
      <c r="Q153" t="str">
        <f t="shared" si="94"/>
        <v>✓有效</v>
      </c>
      <c r="R153" t="str">
        <f t="shared" si="95"/>
        <v>正常</v>
      </c>
    </row>
    <row r="154" ht="14.25" customHeight="1" spans="1:18">
      <c r="A154" s="10">
        <v>2023125</v>
      </c>
      <c r="B154" s="12" t="s">
        <v>195</v>
      </c>
      <c r="C154">
        <f t="shared" si="80"/>
        <v>0</v>
      </c>
      <c r="D154">
        <f t="shared" si="81"/>
        <v>0</v>
      </c>
      <c r="E154">
        <f t="shared" si="82"/>
        <v>7</v>
      </c>
      <c r="F154">
        <f t="shared" si="83"/>
        <v>7</v>
      </c>
      <c r="G154">
        <f t="shared" si="84"/>
        <v>7</v>
      </c>
      <c r="H154">
        <f t="shared" si="85"/>
        <v>7</v>
      </c>
      <c r="I154">
        <f t="shared" si="86"/>
        <v>1</v>
      </c>
      <c r="J154">
        <f t="shared" si="87"/>
        <v>0.33</v>
      </c>
      <c r="K154">
        <f t="shared" si="88"/>
        <v>0.33</v>
      </c>
      <c r="L154">
        <f t="shared" si="89"/>
        <v>0.33</v>
      </c>
      <c r="M154">
        <f t="shared" si="90"/>
        <v>0</v>
      </c>
      <c r="N154">
        <f t="shared" si="91"/>
        <v>0.87</v>
      </c>
      <c r="O154" t="str">
        <f t="shared" si="92"/>
        <v>松散</v>
      </c>
      <c r="P154" t="str">
        <f t="shared" si="93"/>
        <v>极紧凑</v>
      </c>
      <c r="Q154" t="str">
        <f t="shared" si="94"/>
        <v>✓有效</v>
      </c>
      <c r="R154" t="str">
        <f t="shared" si="95"/>
        <v>正常</v>
      </c>
    </row>
    <row r="155" ht="14.25" customHeight="1" spans="1:18">
      <c r="A155" s="10">
        <v>2023126</v>
      </c>
      <c r="B155" s="12" t="s">
        <v>151</v>
      </c>
      <c r="C155">
        <f t="shared" si="80"/>
        <v>4</v>
      </c>
      <c r="D155">
        <f t="shared" si="81"/>
        <v>9</v>
      </c>
      <c r="E155">
        <f t="shared" si="82"/>
        <v>6</v>
      </c>
      <c r="F155">
        <f t="shared" si="83"/>
        <v>19</v>
      </c>
      <c r="G155">
        <f t="shared" si="84"/>
        <v>9</v>
      </c>
      <c r="H155">
        <f t="shared" si="85"/>
        <v>5</v>
      </c>
      <c r="I155">
        <f t="shared" si="86"/>
        <v>3.8</v>
      </c>
      <c r="J155">
        <f t="shared" si="87"/>
        <v>0.33</v>
      </c>
      <c r="K155">
        <f t="shared" si="88"/>
        <v>0.67</v>
      </c>
      <c r="L155">
        <f t="shared" si="89"/>
        <v>0</v>
      </c>
      <c r="M155">
        <f t="shared" si="90"/>
        <v>0</v>
      </c>
      <c r="N155">
        <f t="shared" si="91"/>
        <v>2.02</v>
      </c>
      <c r="O155" t="str">
        <f t="shared" si="92"/>
        <v>紧凑</v>
      </c>
      <c r="P155" t="str">
        <f t="shared" si="93"/>
        <v>紧凑</v>
      </c>
      <c r="Q155" t="str">
        <f t="shared" si="94"/>
        <v>✓有效</v>
      </c>
      <c r="R155" t="str">
        <f t="shared" si="95"/>
        <v>正常</v>
      </c>
    </row>
    <row r="156" ht="14.25" customHeight="1" spans="1:18">
      <c r="A156" s="10">
        <v>2023127</v>
      </c>
      <c r="B156" s="11">
        <v>710</v>
      </c>
      <c r="C156">
        <f t="shared" ref="C156:C183" si="96">IF(B156="","",LEFT(TEXT(B156,"000"),1)*1)</f>
        <v>7</v>
      </c>
      <c r="D156">
        <f t="shared" ref="D156:D183" si="97">IF(B156="","",MID(TEXT(B156,"000"),2,1)*1)</f>
        <v>1</v>
      </c>
      <c r="E156">
        <f t="shared" ref="E156:E183" si="98">IF(B156="","",RIGHT(TEXT(B156,"000"),1)*1)</f>
        <v>0</v>
      </c>
      <c r="F156">
        <f t="shared" ref="F156:F183" si="99">IF(B156="","",C156+D156+E156)</f>
        <v>8</v>
      </c>
      <c r="G156">
        <f t="shared" ref="G156:G183" si="100">IF(B156="","",MOD(F156,10))</f>
        <v>8</v>
      </c>
      <c r="H156">
        <f t="shared" ref="H156:H183" si="101">IF(B156="","",MAX(C156,D156,E156)-MIN(C156,D156,E156))</f>
        <v>7</v>
      </c>
      <c r="I156">
        <f t="shared" ref="I156:I183" si="102">IF(OR(B156="",H156=0),IF(H156=0,0.1,""),ROUND(F156/H156,2))</f>
        <v>1.14</v>
      </c>
      <c r="J156">
        <f t="shared" ref="J156:J183" si="103">IF(B156="","",ROUND((MOD(C156,2)+MOD(D156,2)+MOD(E156,2))/3,2))</f>
        <v>0.67</v>
      </c>
      <c r="K156">
        <f t="shared" ref="K156:K183" si="104">IF(B156="","",ROUND(((C156&gt;=5)+(D156&gt;=5)+(E156&gt;=5))/3,2))</f>
        <v>0.33</v>
      </c>
      <c r="L156">
        <f t="shared" ref="L156:L183" si="105">IF(B156="","",ROUND((ISNUMBER(FIND(C156,"2357"))+ISNUMBER(FIND(D156,"2357"))+ISNUMBER(FIND(E156,"2357")))/3,2))</f>
        <v>0.33</v>
      </c>
      <c r="M156">
        <f t="shared" ref="M156:M183" si="106">IF(B156="","",((ABS(C156-D156)=1)+(ABS(D156-E156)=1)+(ABS(C156-E156)=1)))</f>
        <v>1</v>
      </c>
      <c r="N156">
        <f t="shared" ref="N156:N183" si="107">IF(B156="","",ROUND(I156*0.4+J156*0.2+K156*0.2+L156*0.1+(3-M156)*0.1,2))</f>
        <v>0.89</v>
      </c>
      <c r="O156" t="str">
        <f t="shared" ref="O156:O183" si="108">IF(I156=0.1,"极紧凑",IF(I156&gt;3.5,"紧凑",IF(AND(I156&gt;=2,I156&lt;=3.5),"标准",IF(AND(I156&gt;=1,I156&lt;2),"松散",""))))</f>
        <v>松散</v>
      </c>
      <c r="P156" t="str">
        <f t="shared" ref="P156:P183" si="109">IF(B156="","",IF(N156&lt;=1.5,"极紧凑",IF(N156&lt;=3,"紧凑",IF(N156&lt;=5,"标准","松散"))))</f>
        <v>极紧凑</v>
      </c>
      <c r="Q156" t="str">
        <f t="shared" ref="Q156:Q183" si="110">IF(B156="","",IF(AND(C156&gt;=0,C156&lt;=9,D156&gt;=0,D156&lt;=9,E156&gt;=0,E156&lt;=9),"✓有效","✗无效"))</f>
        <v>✓有效</v>
      </c>
      <c r="R156" t="str">
        <f t="shared" ref="R156:R183" si="111">IF(B156="","",IF(OR(I156&gt;10,I156&lt;0.1),"异常","正常"))</f>
        <v>正常</v>
      </c>
    </row>
    <row r="157" ht="14.25" customHeight="1" spans="1:18">
      <c r="A157" s="10">
        <v>2023128</v>
      </c>
      <c r="B157" s="12" t="s">
        <v>196</v>
      </c>
      <c r="C157">
        <f t="shared" si="96"/>
        <v>5</v>
      </c>
      <c r="D157">
        <f t="shared" si="97"/>
        <v>0</v>
      </c>
      <c r="E157">
        <f t="shared" si="98"/>
        <v>7</v>
      </c>
      <c r="F157">
        <f t="shared" si="99"/>
        <v>12</v>
      </c>
      <c r="G157">
        <f t="shared" si="100"/>
        <v>2</v>
      </c>
      <c r="H157">
        <f t="shared" si="101"/>
        <v>7</v>
      </c>
      <c r="I157">
        <f t="shared" si="102"/>
        <v>1.71</v>
      </c>
      <c r="J157">
        <f t="shared" si="103"/>
        <v>0.67</v>
      </c>
      <c r="K157">
        <f t="shared" si="104"/>
        <v>0.67</v>
      </c>
      <c r="L157">
        <f t="shared" si="105"/>
        <v>0.67</v>
      </c>
      <c r="M157">
        <f t="shared" si="106"/>
        <v>0</v>
      </c>
      <c r="N157">
        <f t="shared" si="107"/>
        <v>1.32</v>
      </c>
      <c r="O157" t="str">
        <f t="shared" si="108"/>
        <v>松散</v>
      </c>
      <c r="P157" t="str">
        <f t="shared" si="109"/>
        <v>极紧凑</v>
      </c>
      <c r="Q157" t="str">
        <f t="shared" si="110"/>
        <v>✓有效</v>
      </c>
      <c r="R157" t="str">
        <f t="shared" si="111"/>
        <v>正常</v>
      </c>
    </row>
    <row r="158" ht="14.25" customHeight="1" spans="1:18">
      <c r="A158" s="10">
        <v>2023129</v>
      </c>
      <c r="B158" s="12" t="s">
        <v>197</v>
      </c>
      <c r="C158">
        <f t="shared" si="96"/>
        <v>1</v>
      </c>
      <c r="D158">
        <f t="shared" si="97"/>
        <v>8</v>
      </c>
      <c r="E158">
        <f t="shared" si="98"/>
        <v>5</v>
      </c>
      <c r="F158">
        <f t="shared" si="99"/>
        <v>14</v>
      </c>
      <c r="G158">
        <f t="shared" si="100"/>
        <v>4</v>
      </c>
      <c r="H158">
        <f t="shared" si="101"/>
        <v>7</v>
      </c>
      <c r="I158">
        <f t="shared" si="102"/>
        <v>2</v>
      </c>
      <c r="J158">
        <f t="shared" si="103"/>
        <v>0.67</v>
      </c>
      <c r="K158">
        <f t="shared" si="104"/>
        <v>0.67</v>
      </c>
      <c r="L158">
        <f t="shared" si="105"/>
        <v>0.33</v>
      </c>
      <c r="M158">
        <f t="shared" si="106"/>
        <v>0</v>
      </c>
      <c r="N158">
        <f t="shared" si="107"/>
        <v>1.4</v>
      </c>
      <c r="O158" t="str">
        <f t="shared" si="108"/>
        <v>标准</v>
      </c>
      <c r="P158" t="str">
        <f t="shared" si="109"/>
        <v>极紧凑</v>
      </c>
      <c r="Q158" t="str">
        <f t="shared" si="110"/>
        <v>✓有效</v>
      </c>
      <c r="R158" t="str">
        <f t="shared" si="111"/>
        <v>正常</v>
      </c>
    </row>
    <row r="159" ht="14.25" customHeight="1" spans="1:18">
      <c r="A159" s="10">
        <v>2023130</v>
      </c>
      <c r="B159" s="12" t="s">
        <v>198</v>
      </c>
      <c r="C159">
        <f t="shared" si="96"/>
        <v>1</v>
      </c>
      <c r="D159">
        <f t="shared" si="97"/>
        <v>5</v>
      </c>
      <c r="E159">
        <f t="shared" si="98"/>
        <v>1</v>
      </c>
      <c r="F159">
        <f t="shared" si="99"/>
        <v>7</v>
      </c>
      <c r="G159">
        <f t="shared" si="100"/>
        <v>7</v>
      </c>
      <c r="H159">
        <f t="shared" si="101"/>
        <v>4</v>
      </c>
      <c r="I159">
        <f t="shared" si="102"/>
        <v>1.75</v>
      </c>
      <c r="J159">
        <f t="shared" si="103"/>
        <v>1</v>
      </c>
      <c r="K159">
        <f t="shared" si="104"/>
        <v>0.33</v>
      </c>
      <c r="L159">
        <f t="shared" si="105"/>
        <v>0.33</v>
      </c>
      <c r="M159">
        <f t="shared" si="106"/>
        <v>0</v>
      </c>
      <c r="N159">
        <f t="shared" si="107"/>
        <v>1.3</v>
      </c>
      <c r="O159" t="str">
        <f t="shared" si="108"/>
        <v>松散</v>
      </c>
      <c r="P159" t="str">
        <f t="shared" si="109"/>
        <v>极紧凑</v>
      </c>
      <c r="Q159" t="str">
        <f t="shared" si="110"/>
        <v>✓有效</v>
      </c>
      <c r="R159" t="str">
        <f t="shared" si="111"/>
        <v>正常</v>
      </c>
    </row>
    <row r="160" ht="14.25" customHeight="1" spans="1:18">
      <c r="A160" s="10">
        <v>2023131</v>
      </c>
      <c r="B160" s="12" t="s">
        <v>199</v>
      </c>
      <c r="C160">
        <f t="shared" si="96"/>
        <v>2</v>
      </c>
      <c r="D160">
        <f t="shared" si="97"/>
        <v>1</v>
      </c>
      <c r="E160">
        <f t="shared" si="98"/>
        <v>0</v>
      </c>
      <c r="F160">
        <f t="shared" si="99"/>
        <v>3</v>
      </c>
      <c r="G160">
        <f t="shared" si="100"/>
        <v>3</v>
      </c>
      <c r="H160">
        <f t="shared" si="101"/>
        <v>2</v>
      </c>
      <c r="I160">
        <f t="shared" si="102"/>
        <v>1.5</v>
      </c>
      <c r="J160">
        <f t="shared" si="103"/>
        <v>0.33</v>
      </c>
      <c r="K160">
        <f t="shared" si="104"/>
        <v>0</v>
      </c>
      <c r="L160">
        <f t="shared" si="105"/>
        <v>0.33</v>
      </c>
      <c r="M160">
        <f t="shared" si="106"/>
        <v>2</v>
      </c>
      <c r="N160">
        <f t="shared" si="107"/>
        <v>0.8</v>
      </c>
      <c r="O160" t="str">
        <f t="shared" si="108"/>
        <v>松散</v>
      </c>
      <c r="P160" t="str">
        <f t="shared" si="109"/>
        <v>极紧凑</v>
      </c>
      <c r="Q160" t="str">
        <f t="shared" si="110"/>
        <v>✓有效</v>
      </c>
      <c r="R160" t="str">
        <f t="shared" si="111"/>
        <v>正常</v>
      </c>
    </row>
    <row r="161" ht="14.25" customHeight="1" spans="1:18">
      <c r="A161" s="10">
        <v>2023132</v>
      </c>
      <c r="B161" s="12" t="s">
        <v>200</v>
      </c>
      <c r="C161">
        <f t="shared" si="96"/>
        <v>2</v>
      </c>
      <c r="D161">
        <f t="shared" si="97"/>
        <v>7</v>
      </c>
      <c r="E161">
        <f t="shared" si="98"/>
        <v>5</v>
      </c>
      <c r="F161">
        <f t="shared" si="99"/>
        <v>14</v>
      </c>
      <c r="G161">
        <f t="shared" si="100"/>
        <v>4</v>
      </c>
      <c r="H161">
        <f t="shared" si="101"/>
        <v>5</v>
      </c>
      <c r="I161">
        <f t="shared" si="102"/>
        <v>2.8</v>
      </c>
      <c r="J161">
        <f t="shared" si="103"/>
        <v>0.67</v>
      </c>
      <c r="K161">
        <f t="shared" si="104"/>
        <v>0.67</v>
      </c>
      <c r="L161">
        <f t="shared" si="105"/>
        <v>1</v>
      </c>
      <c r="M161">
        <f t="shared" si="106"/>
        <v>0</v>
      </c>
      <c r="N161">
        <f t="shared" si="107"/>
        <v>1.79</v>
      </c>
      <c r="O161" t="str">
        <f t="shared" si="108"/>
        <v>标准</v>
      </c>
      <c r="P161" t="str">
        <f t="shared" si="109"/>
        <v>紧凑</v>
      </c>
      <c r="Q161" t="str">
        <f t="shared" si="110"/>
        <v>✓有效</v>
      </c>
      <c r="R161" t="str">
        <f t="shared" si="111"/>
        <v>正常</v>
      </c>
    </row>
    <row r="162" ht="14.25" customHeight="1" spans="1:18">
      <c r="A162" s="10">
        <v>2023133</v>
      </c>
      <c r="B162" s="12" t="s">
        <v>201</v>
      </c>
      <c r="C162">
        <f t="shared" si="96"/>
        <v>3</v>
      </c>
      <c r="D162">
        <f t="shared" si="97"/>
        <v>7</v>
      </c>
      <c r="E162">
        <f t="shared" si="98"/>
        <v>1</v>
      </c>
      <c r="F162">
        <f t="shared" si="99"/>
        <v>11</v>
      </c>
      <c r="G162">
        <f t="shared" si="100"/>
        <v>1</v>
      </c>
      <c r="H162">
        <f t="shared" si="101"/>
        <v>6</v>
      </c>
      <c r="I162">
        <f t="shared" si="102"/>
        <v>1.83</v>
      </c>
      <c r="J162">
        <f t="shared" si="103"/>
        <v>1</v>
      </c>
      <c r="K162">
        <f t="shared" si="104"/>
        <v>0.33</v>
      </c>
      <c r="L162">
        <f t="shared" si="105"/>
        <v>0.67</v>
      </c>
      <c r="M162">
        <f t="shared" si="106"/>
        <v>0</v>
      </c>
      <c r="N162">
        <f t="shared" si="107"/>
        <v>1.37</v>
      </c>
      <c r="O162" t="str">
        <f t="shared" si="108"/>
        <v>松散</v>
      </c>
      <c r="P162" t="str">
        <f t="shared" si="109"/>
        <v>极紧凑</v>
      </c>
      <c r="Q162" t="str">
        <f t="shared" si="110"/>
        <v>✓有效</v>
      </c>
      <c r="R162" t="str">
        <f t="shared" si="111"/>
        <v>正常</v>
      </c>
    </row>
    <row r="163" ht="14.25" customHeight="1" spans="1:18">
      <c r="A163" s="10">
        <v>2023134</v>
      </c>
      <c r="B163" s="12" t="s">
        <v>202</v>
      </c>
      <c r="C163">
        <f t="shared" si="96"/>
        <v>4</v>
      </c>
      <c r="D163">
        <f t="shared" si="97"/>
        <v>6</v>
      </c>
      <c r="E163">
        <f t="shared" si="98"/>
        <v>3</v>
      </c>
      <c r="F163">
        <f t="shared" si="99"/>
        <v>13</v>
      </c>
      <c r="G163">
        <f t="shared" si="100"/>
        <v>3</v>
      </c>
      <c r="H163">
        <f t="shared" si="101"/>
        <v>3</v>
      </c>
      <c r="I163">
        <f t="shared" si="102"/>
        <v>4.33</v>
      </c>
      <c r="J163">
        <f t="shared" si="103"/>
        <v>0.33</v>
      </c>
      <c r="K163">
        <f t="shared" si="104"/>
        <v>0.33</v>
      </c>
      <c r="L163">
        <f t="shared" si="105"/>
        <v>0.33</v>
      </c>
      <c r="M163">
        <f t="shared" si="106"/>
        <v>1</v>
      </c>
      <c r="N163">
        <f t="shared" si="107"/>
        <v>2.1</v>
      </c>
      <c r="O163" t="str">
        <f t="shared" si="108"/>
        <v>紧凑</v>
      </c>
      <c r="P163" t="str">
        <f t="shared" si="109"/>
        <v>紧凑</v>
      </c>
      <c r="Q163" t="str">
        <f t="shared" si="110"/>
        <v>✓有效</v>
      </c>
      <c r="R163" t="str">
        <f t="shared" si="111"/>
        <v>正常</v>
      </c>
    </row>
    <row r="164" ht="14.25" customHeight="1" spans="1:18">
      <c r="A164" s="10">
        <v>2023135</v>
      </c>
      <c r="B164" s="12" t="s">
        <v>51</v>
      </c>
      <c r="C164">
        <f t="shared" si="96"/>
        <v>5</v>
      </c>
      <c r="D164">
        <f t="shared" si="97"/>
        <v>0</v>
      </c>
      <c r="E164">
        <f t="shared" si="98"/>
        <v>5</v>
      </c>
      <c r="F164">
        <f t="shared" si="99"/>
        <v>10</v>
      </c>
      <c r="G164">
        <f t="shared" si="100"/>
        <v>0</v>
      </c>
      <c r="H164">
        <f t="shared" si="101"/>
        <v>5</v>
      </c>
      <c r="I164">
        <f t="shared" si="102"/>
        <v>2</v>
      </c>
      <c r="J164">
        <f t="shared" si="103"/>
        <v>0.67</v>
      </c>
      <c r="K164">
        <f t="shared" si="104"/>
        <v>0.67</v>
      </c>
      <c r="L164">
        <f t="shared" si="105"/>
        <v>0.67</v>
      </c>
      <c r="M164">
        <f t="shared" si="106"/>
        <v>0</v>
      </c>
      <c r="N164">
        <f t="shared" si="107"/>
        <v>1.44</v>
      </c>
      <c r="O164" t="str">
        <f t="shared" si="108"/>
        <v>标准</v>
      </c>
      <c r="P164" t="str">
        <f t="shared" si="109"/>
        <v>极紧凑</v>
      </c>
      <c r="Q164" t="str">
        <f t="shared" si="110"/>
        <v>✓有效</v>
      </c>
      <c r="R164" t="str">
        <f t="shared" si="111"/>
        <v>正常</v>
      </c>
    </row>
    <row r="165" ht="14.25" customHeight="1" spans="1:18">
      <c r="A165" s="10">
        <v>2023136</v>
      </c>
      <c r="B165" s="12" t="s">
        <v>171</v>
      </c>
      <c r="C165">
        <f t="shared" si="96"/>
        <v>5</v>
      </c>
      <c r="D165">
        <f t="shared" si="97"/>
        <v>7</v>
      </c>
      <c r="E165">
        <f t="shared" si="98"/>
        <v>5</v>
      </c>
      <c r="F165">
        <f t="shared" si="99"/>
        <v>17</v>
      </c>
      <c r="G165">
        <f t="shared" si="100"/>
        <v>7</v>
      </c>
      <c r="H165">
        <f t="shared" si="101"/>
        <v>2</v>
      </c>
      <c r="I165">
        <f t="shared" si="102"/>
        <v>8.5</v>
      </c>
      <c r="J165">
        <f t="shared" si="103"/>
        <v>1</v>
      </c>
      <c r="K165">
        <f t="shared" si="104"/>
        <v>1</v>
      </c>
      <c r="L165">
        <f t="shared" si="105"/>
        <v>1</v>
      </c>
      <c r="M165">
        <f t="shared" si="106"/>
        <v>0</v>
      </c>
      <c r="N165">
        <f t="shared" si="107"/>
        <v>4.2</v>
      </c>
      <c r="O165" t="str">
        <f t="shared" si="108"/>
        <v>紧凑</v>
      </c>
      <c r="P165" t="str">
        <f t="shared" si="109"/>
        <v>标准</v>
      </c>
      <c r="Q165" t="str">
        <f t="shared" si="110"/>
        <v>✓有效</v>
      </c>
      <c r="R165" t="str">
        <f t="shared" si="111"/>
        <v>正常</v>
      </c>
    </row>
    <row r="166" ht="14.25" customHeight="1" spans="1:18">
      <c r="A166" s="10">
        <v>2023137</v>
      </c>
      <c r="B166" s="12" t="s">
        <v>95</v>
      </c>
      <c r="C166">
        <f t="shared" si="96"/>
        <v>6</v>
      </c>
      <c r="D166">
        <f t="shared" si="97"/>
        <v>6</v>
      </c>
      <c r="E166">
        <f t="shared" si="98"/>
        <v>6</v>
      </c>
      <c r="F166">
        <f t="shared" si="99"/>
        <v>18</v>
      </c>
      <c r="G166">
        <f t="shared" si="100"/>
        <v>8</v>
      </c>
      <c r="H166">
        <f t="shared" si="101"/>
        <v>0</v>
      </c>
      <c r="I166">
        <f t="shared" si="102"/>
        <v>0.1</v>
      </c>
      <c r="J166">
        <f t="shared" si="103"/>
        <v>0</v>
      </c>
      <c r="K166">
        <f t="shared" si="104"/>
        <v>1</v>
      </c>
      <c r="L166">
        <f t="shared" si="105"/>
        <v>0</v>
      </c>
      <c r="M166">
        <f t="shared" si="106"/>
        <v>0</v>
      </c>
      <c r="N166">
        <f t="shared" si="107"/>
        <v>0.54</v>
      </c>
      <c r="O166" t="str">
        <f t="shared" si="108"/>
        <v>极紧凑</v>
      </c>
      <c r="P166" t="str">
        <f t="shared" si="109"/>
        <v>极紧凑</v>
      </c>
      <c r="Q166" t="str">
        <f t="shared" si="110"/>
        <v>✓有效</v>
      </c>
      <c r="R166" t="str">
        <f t="shared" si="111"/>
        <v>正常</v>
      </c>
    </row>
    <row r="167" ht="14.25" customHeight="1" spans="1:18">
      <c r="A167" s="10">
        <v>2023138</v>
      </c>
      <c r="B167" s="12" t="s">
        <v>203</v>
      </c>
      <c r="C167">
        <f t="shared" si="96"/>
        <v>9</v>
      </c>
      <c r="D167">
        <f t="shared" si="97"/>
        <v>4</v>
      </c>
      <c r="E167">
        <f t="shared" si="98"/>
        <v>5</v>
      </c>
      <c r="F167">
        <f t="shared" si="99"/>
        <v>18</v>
      </c>
      <c r="G167">
        <f t="shared" si="100"/>
        <v>8</v>
      </c>
      <c r="H167">
        <f t="shared" si="101"/>
        <v>5</v>
      </c>
      <c r="I167">
        <f t="shared" si="102"/>
        <v>3.6</v>
      </c>
      <c r="J167">
        <f t="shared" si="103"/>
        <v>0.67</v>
      </c>
      <c r="K167">
        <f t="shared" si="104"/>
        <v>0.67</v>
      </c>
      <c r="L167">
        <f t="shared" si="105"/>
        <v>0.33</v>
      </c>
      <c r="M167">
        <f t="shared" si="106"/>
        <v>1</v>
      </c>
      <c r="N167">
        <f t="shared" si="107"/>
        <v>1.94</v>
      </c>
      <c r="O167" t="str">
        <f t="shared" si="108"/>
        <v>紧凑</v>
      </c>
      <c r="P167" t="str">
        <f t="shared" si="109"/>
        <v>紧凑</v>
      </c>
      <c r="Q167" t="str">
        <f t="shared" si="110"/>
        <v>✓有效</v>
      </c>
      <c r="R167" t="str">
        <f t="shared" si="111"/>
        <v>正常</v>
      </c>
    </row>
    <row r="168" ht="14.25" customHeight="1" spans="1:18">
      <c r="A168" s="10">
        <v>2023139</v>
      </c>
      <c r="B168" s="12" t="s">
        <v>150</v>
      </c>
      <c r="C168">
        <f t="shared" si="96"/>
        <v>9</v>
      </c>
      <c r="D168">
        <f t="shared" si="97"/>
        <v>8</v>
      </c>
      <c r="E168">
        <f t="shared" si="98"/>
        <v>1</v>
      </c>
      <c r="F168">
        <f t="shared" si="99"/>
        <v>18</v>
      </c>
      <c r="G168">
        <f t="shared" si="100"/>
        <v>8</v>
      </c>
      <c r="H168">
        <f t="shared" si="101"/>
        <v>8</v>
      </c>
      <c r="I168">
        <f t="shared" si="102"/>
        <v>2.25</v>
      </c>
      <c r="J168">
        <f t="shared" si="103"/>
        <v>0.67</v>
      </c>
      <c r="K168">
        <f t="shared" si="104"/>
        <v>0.67</v>
      </c>
      <c r="L168">
        <f t="shared" si="105"/>
        <v>0</v>
      </c>
      <c r="M168">
        <f t="shared" si="106"/>
        <v>1</v>
      </c>
      <c r="N168">
        <f t="shared" si="107"/>
        <v>1.37</v>
      </c>
      <c r="O168" t="str">
        <f t="shared" si="108"/>
        <v>标准</v>
      </c>
      <c r="P168" t="str">
        <f t="shared" si="109"/>
        <v>极紧凑</v>
      </c>
      <c r="Q168" t="str">
        <f t="shared" si="110"/>
        <v>✓有效</v>
      </c>
      <c r="R168" t="str">
        <f t="shared" si="111"/>
        <v>正常</v>
      </c>
    </row>
    <row r="169" ht="14.25" customHeight="1" spans="1:18">
      <c r="A169" s="10">
        <v>2023140</v>
      </c>
      <c r="B169" s="12" t="s">
        <v>204</v>
      </c>
      <c r="C169">
        <f t="shared" si="96"/>
        <v>7</v>
      </c>
      <c r="D169">
        <f t="shared" si="97"/>
        <v>5</v>
      </c>
      <c r="E169">
        <f t="shared" si="98"/>
        <v>7</v>
      </c>
      <c r="F169">
        <f t="shared" si="99"/>
        <v>19</v>
      </c>
      <c r="G169">
        <f t="shared" si="100"/>
        <v>9</v>
      </c>
      <c r="H169">
        <f t="shared" si="101"/>
        <v>2</v>
      </c>
      <c r="I169">
        <f t="shared" si="102"/>
        <v>9.5</v>
      </c>
      <c r="J169">
        <f t="shared" si="103"/>
        <v>1</v>
      </c>
      <c r="K169">
        <f t="shared" si="104"/>
        <v>1</v>
      </c>
      <c r="L169">
        <f t="shared" si="105"/>
        <v>1</v>
      </c>
      <c r="M169">
        <f t="shared" si="106"/>
        <v>0</v>
      </c>
      <c r="N169">
        <f t="shared" si="107"/>
        <v>4.6</v>
      </c>
      <c r="O169" t="str">
        <f t="shared" si="108"/>
        <v>紧凑</v>
      </c>
      <c r="P169" t="str">
        <f t="shared" si="109"/>
        <v>标准</v>
      </c>
      <c r="Q169" t="str">
        <f t="shared" si="110"/>
        <v>✓有效</v>
      </c>
      <c r="R169" t="str">
        <f t="shared" si="111"/>
        <v>正常</v>
      </c>
    </row>
    <row r="170" ht="14.25" customHeight="1" spans="1:18">
      <c r="A170" s="10">
        <v>2023141</v>
      </c>
      <c r="B170" s="12" t="s">
        <v>205</v>
      </c>
      <c r="C170">
        <f t="shared" si="96"/>
        <v>1</v>
      </c>
      <c r="D170">
        <f t="shared" si="97"/>
        <v>9</v>
      </c>
      <c r="E170">
        <f t="shared" si="98"/>
        <v>3</v>
      </c>
      <c r="F170">
        <f t="shared" si="99"/>
        <v>13</v>
      </c>
      <c r="G170">
        <f t="shared" si="100"/>
        <v>3</v>
      </c>
      <c r="H170">
        <f t="shared" si="101"/>
        <v>8</v>
      </c>
      <c r="I170">
        <f t="shared" si="102"/>
        <v>1.63</v>
      </c>
      <c r="J170">
        <f t="shared" si="103"/>
        <v>1</v>
      </c>
      <c r="K170">
        <f t="shared" si="104"/>
        <v>0.33</v>
      </c>
      <c r="L170">
        <f t="shared" si="105"/>
        <v>0.33</v>
      </c>
      <c r="M170">
        <f t="shared" si="106"/>
        <v>0</v>
      </c>
      <c r="N170">
        <f t="shared" si="107"/>
        <v>1.25</v>
      </c>
      <c r="O170" t="str">
        <f t="shared" si="108"/>
        <v>松散</v>
      </c>
      <c r="P170" t="str">
        <f t="shared" si="109"/>
        <v>极紧凑</v>
      </c>
      <c r="Q170" t="str">
        <f t="shared" si="110"/>
        <v>✓有效</v>
      </c>
      <c r="R170" t="str">
        <f t="shared" si="111"/>
        <v>正常</v>
      </c>
    </row>
    <row r="171" ht="14.25" customHeight="1" spans="1:18">
      <c r="A171" s="10">
        <v>2023142</v>
      </c>
      <c r="B171" s="12" t="s">
        <v>206</v>
      </c>
      <c r="C171">
        <f t="shared" si="96"/>
        <v>7</v>
      </c>
      <c r="D171">
        <f t="shared" si="97"/>
        <v>1</v>
      </c>
      <c r="E171">
        <f t="shared" si="98"/>
        <v>1</v>
      </c>
      <c r="F171">
        <f t="shared" si="99"/>
        <v>9</v>
      </c>
      <c r="G171">
        <f t="shared" si="100"/>
        <v>9</v>
      </c>
      <c r="H171">
        <f t="shared" si="101"/>
        <v>6</v>
      </c>
      <c r="I171">
        <f t="shared" si="102"/>
        <v>1.5</v>
      </c>
      <c r="J171">
        <f t="shared" si="103"/>
        <v>1</v>
      </c>
      <c r="K171">
        <f t="shared" si="104"/>
        <v>0.33</v>
      </c>
      <c r="L171">
        <f t="shared" si="105"/>
        <v>0.33</v>
      </c>
      <c r="M171">
        <f t="shared" si="106"/>
        <v>0</v>
      </c>
      <c r="N171">
        <f t="shared" si="107"/>
        <v>1.2</v>
      </c>
      <c r="O171" t="str">
        <f t="shared" si="108"/>
        <v>松散</v>
      </c>
      <c r="P171" t="str">
        <f t="shared" si="109"/>
        <v>极紧凑</v>
      </c>
      <c r="Q171" t="str">
        <f t="shared" si="110"/>
        <v>✓有效</v>
      </c>
      <c r="R171" t="str">
        <f t="shared" si="111"/>
        <v>正常</v>
      </c>
    </row>
    <row r="172" ht="14.25" customHeight="1" spans="1:18">
      <c r="A172" s="10">
        <v>2023143</v>
      </c>
      <c r="B172" s="12" t="s">
        <v>106</v>
      </c>
      <c r="C172">
        <f t="shared" si="96"/>
        <v>4</v>
      </c>
      <c r="D172">
        <f t="shared" si="97"/>
        <v>9</v>
      </c>
      <c r="E172">
        <f t="shared" si="98"/>
        <v>5</v>
      </c>
      <c r="F172">
        <f t="shared" si="99"/>
        <v>18</v>
      </c>
      <c r="G172">
        <f t="shared" si="100"/>
        <v>8</v>
      </c>
      <c r="H172">
        <f t="shared" si="101"/>
        <v>5</v>
      </c>
      <c r="I172">
        <f t="shared" si="102"/>
        <v>3.6</v>
      </c>
      <c r="J172">
        <f t="shared" si="103"/>
        <v>0.67</v>
      </c>
      <c r="K172">
        <f t="shared" si="104"/>
        <v>0.67</v>
      </c>
      <c r="L172">
        <f t="shared" si="105"/>
        <v>0.33</v>
      </c>
      <c r="M172">
        <f t="shared" si="106"/>
        <v>1</v>
      </c>
      <c r="N172">
        <f t="shared" si="107"/>
        <v>1.94</v>
      </c>
      <c r="O172" t="str">
        <f t="shared" si="108"/>
        <v>紧凑</v>
      </c>
      <c r="P172" t="str">
        <f t="shared" si="109"/>
        <v>紧凑</v>
      </c>
      <c r="Q172" t="str">
        <f t="shared" si="110"/>
        <v>✓有效</v>
      </c>
      <c r="R172" t="str">
        <f t="shared" si="111"/>
        <v>正常</v>
      </c>
    </row>
    <row r="173" ht="14.25" customHeight="1" spans="1:18">
      <c r="A173" s="10">
        <v>2023144</v>
      </c>
      <c r="B173" s="12" t="s">
        <v>207</v>
      </c>
      <c r="C173">
        <f t="shared" si="96"/>
        <v>5</v>
      </c>
      <c r="D173">
        <f t="shared" si="97"/>
        <v>6</v>
      </c>
      <c r="E173">
        <f t="shared" si="98"/>
        <v>3</v>
      </c>
      <c r="F173">
        <f t="shared" si="99"/>
        <v>14</v>
      </c>
      <c r="G173">
        <f t="shared" si="100"/>
        <v>4</v>
      </c>
      <c r="H173">
        <f t="shared" si="101"/>
        <v>3</v>
      </c>
      <c r="I173">
        <f t="shared" si="102"/>
        <v>4.67</v>
      </c>
      <c r="J173">
        <f t="shared" si="103"/>
        <v>0.67</v>
      </c>
      <c r="K173">
        <f t="shared" si="104"/>
        <v>0.67</v>
      </c>
      <c r="L173">
        <f t="shared" si="105"/>
        <v>0.67</v>
      </c>
      <c r="M173">
        <f t="shared" si="106"/>
        <v>1</v>
      </c>
      <c r="N173">
        <f t="shared" si="107"/>
        <v>2.4</v>
      </c>
      <c r="O173" t="str">
        <f t="shared" si="108"/>
        <v>紧凑</v>
      </c>
      <c r="P173" t="str">
        <f t="shared" si="109"/>
        <v>紧凑</v>
      </c>
      <c r="Q173" t="str">
        <f t="shared" si="110"/>
        <v>✓有效</v>
      </c>
      <c r="R173" t="str">
        <f t="shared" si="111"/>
        <v>正常</v>
      </c>
    </row>
    <row r="174" ht="14.25" customHeight="1" spans="1:18">
      <c r="A174" s="10">
        <v>2023145</v>
      </c>
      <c r="B174" s="12" t="s">
        <v>94</v>
      </c>
      <c r="C174">
        <f t="shared" si="96"/>
        <v>2</v>
      </c>
      <c r="D174">
        <f t="shared" si="97"/>
        <v>0</v>
      </c>
      <c r="E174">
        <f t="shared" si="98"/>
        <v>6</v>
      </c>
      <c r="F174">
        <f t="shared" si="99"/>
        <v>8</v>
      </c>
      <c r="G174">
        <f t="shared" si="100"/>
        <v>8</v>
      </c>
      <c r="H174">
        <f t="shared" si="101"/>
        <v>6</v>
      </c>
      <c r="I174">
        <f t="shared" si="102"/>
        <v>1.33</v>
      </c>
      <c r="J174">
        <f t="shared" si="103"/>
        <v>0</v>
      </c>
      <c r="K174">
        <f t="shared" si="104"/>
        <v>0.33</v>
      </c>
      <c r="L174">
        <f t="shared" si="105"/>
        <v>0.33</v>
      </c>
      <c r="M174">
        <f t="shared" si="106"/>
        <v>0</v>
      </c>
      <c r="N174">
        <f t="shared" si="107"/>
        <v>0.93</v>
      </c>
      <c r="O174" t="str">
        <f t="shared" si="108"/>
        <v>松散</v>
      </c>
      <c r="P174" t="str">
        <f t="shared" si="109"/>
        <v>极紧凑</v>
      </c>
      <c r="Q174" t="str">
        <f t="shared" si="110"/>
        <v>✓有效</v>
      </c>
      <c r="R174" t="str">
        <f t="shared" si="111"/>
        <v>正常</v>
      </c>
    </row>
    <row r="175" ht="14.25" customHeight="1" spans="1:18">
      <c r="A175" s="10">
        <v>2023146</v>
      </c>
      <c r="B175" s="12" t="s">
        <v>208</v>
      </c>
      <c r="C175">
        <f t="shared" si="96"/>
        <v>9</v>
      </c>
      <c r="D175">
        <f t="shared" si="97"/>
        <v>4</v>
      </c>
      <c r="E175">
        <f t="shared" si="98"/>
        <v>2</v>
      </c>
      <c r="F175">
        <f t="shared" si="99"/>
        <v>15</v>
      </c>
      <c r="G175">
        <f t="shared" si="100"/>
        <v>5</v>
      </c>
      <c r="H175">
        <f t="shared" si="101"/>
        <v>7</v>
      </c>
      <c r="I175">
        <f t="shared" si="102"/>
        <v>2.14</v>
      </c>
      <c r="J175">
        <f t="shared" si="103"/>
        <v>0.33</v>
      </c>
      <c r="K175">
        <f t="shared" si="104"/>
        <v>0.33</v>
      </c>
      <c r="L175">
        <f t="shared" si="105"/>
        <v>0.33</v>
      </c>
      <c r="M175">
        <f t="shared" si="106"/>
        <v>0</v>
      </c>
      <c r="N175">
        <f t="shared" si="107"/>
        <v>1.32</v>
      </c>
      <c r="O175" t="str">
        <f t="shared" si="108"/>
        <v>标准</v>
      </c>
      <c r="P175" t="str">
        <f t="shared" si="109"/>
        <v>极紧凑</v>
      </c>
      <c r="Q175" t="str">
        <f t="shared" si="110"/>
        <v>✓有效</v>
      </c>
      <c r="R175" t="str">
        <f t="shared" si="111"/>
        <v>正常</v>
      </c>
    </row>
    <row r="176" ht="14.25" customHeight="1" spans="1:18">
      <c r="A176" s="10">
        <v>2023147</v>
      </c>
      <c r="B176" s="12" t="s">
        <v>209</v>
      </c>
      <c r="C176">
        <f t="shared" si="96"/>
        <v>9</v>
      </c>
      <c r="D176">
        <f t="shared" si="97"/>
        <v>7</v>
      </c>
      <c r="E176">
        <f t="shared" si="98"/>
        <v>0</v>
      </c>
      <c r="F176">
        <f t="shared" si="99"/>
        <v>16</v>
      </c>
      <c r="G176">
        <f t="shared" si="100"/>
        <v>6</v>
      </c>
      <c r="H176">
        <f t="shared" si="101"/>
        <v>9</v>
      </c>
      <c r="I176">
        <f t="shared" si="102"/>
        <v>1.78</v>
      </c>
      <c r="J176">
        <f t="shared" si="103"/>
        <v>0.67</v>
      </c>
      <c r="K176">
        <f t="shared" si="104"/>
        <v>0.67</v>
      </c>
      <c r="L176">
        <f t="shared" si="105"/>
        <v>0.33</v>
      </c>
      <c r="M176">
        <f t="shared" si="106"/>
        <v>0</v>
      </c>
      <c r="N176">
        <f t="shared" si="107"/>
        <v>1.31</v>
      </c>
      <c r="O176" t="str">
        <f t="shared" si="108"/>
        <v>松散</v>
      </c>
      <c r="P176" t="str">
        <f t="shared" si="109"/>
        <v>极紧凑</v>
      </c>
      <c r="Q176" t="str">
        <f t="shared" si="110"/>
        <v>✓有效</v>
      </c>
      <c r="R176" t="str">
        <f t="shared" si="111"/>
        <v>正常</v>
      </c>
    </row>
    <row r="177" ht="14.25" customHeight="1" spans="1:18">
      <c r="A177" s="10">
        <v>2023148</v>
      </c>
      <c r="B177" s="12" t="s">
        <v>210</v>
      </c>
      <c r="C177">
        <f t="shared" si="96"/>
        <v>9</v>
      </c>
      <c r="D177">
        <f t="shared" si="97"/>
        <v>5</v>
      </c>
      <c r="E177">
        <f t="shared" si="98"/>
        <v>9</v>
      </c>
      <c r="F177">
        <f t="shared" si="99"/>
        <v>23</v>
      </c>
      <c r="G177">
        <f t="shared" si="100"/>
        <v>3</v>
      </c>
      <c r="H177">
        <f t="shared" si="101"/>
        <v>4</v>
      </c>
      <c r="I177">
        <f t="shared" si="102"/>
        <v>5.75</v>
      </c>
      <c r="J177">
        <f t="shared" si="103"/>
        <v>1</v>
      </c>
      <c r="K177">
        <f t="shared" si="104"/>
        <v>1</v>
      </c>
      <c r="L177">
        <f t="shared" si="105"/>
        <v>0.33</v>
      </c>
      <c r="M177">
        <f t="shared" si="106"/>
        <v>0</v>
      </c>
      <c r="N177">
        <f t="shared" si="107"/>
        <v>3.03</v>
      </c>
      <c r="O177" t="str">
        <f t="shared" si="108"/>
        <v>紧凑</v>
      </c>
      <c r="P177" t="str">
        <f t="shared" si="109"/>
        <v>标准</v>
      </c>
      <c r="Q177" t="str">
        <f t="shared" si="110"/>
        <v>✓有效</v>
      </c>
      <c r="R177" t="str">
        <f t="shared" si="111"/>
        <v>正常</v>
      </c>
    </row>
    <row r="178" ht="14.25" customHeight="1" spans="1:18">
      <c r="A178" s="10">
        <v>2023149</v>
      </c>
      <c r="B178" s="12" t="s">
        <v>211</v>
      </c>
      <c r="C178">
        <f t="shared" si="96"/>
        <v>8</v>
      </c>
      <c r="D178">
        <f t="shared" si="97"/>
        <v>2</v>
      </c>
      <c r="E178">
        <f t="shared" si="98"/>
        <v>2</v>
      </c>
      <c r="F178">
        <f t="shared" si="99"/>
        <v>12</v>
      </c>
      <c r="G178">
        <f t="shared" si="100"/>
        <v>2</v>
      </c>
      <c r="H178">
        <f t="shared" si="101"/>
        <v>6</v>
      </c>
      <c r="I178">
        <f t="shared" si="102"/>
        <v>2</v>
      </c>
      <c r="J178">
        <f t="shared" si="103"/>
        <v>0</v>
      </c>
      <c r="K178">
        <f t="shared" si="104"/>
        <v>0.33</v>
      </c>
      <c r="L178">
        <f t="shared" si="105"/>
        <v>0.67</v>
      </c>
      <c r="M178">
        <f t="shared" si="106"/>
        <v>0</v>
      </c>
      <c r="N178">
        <f t="shared" si="107"/>
        <v>1.23</v>
      </c>
      <c r="O178" t="str">
        <f t="shared" si="108"/>
        <v>标准</v>
      </c>
      <c r="P178" t="str">
        <f t="shared" si="109"/>
        <v>极紧凑</v>
      </c>
      <c r="Q178" t="str">
        <f t="shared" si="110"/>
        <v>✓有效</v>
      </c>
      <c r="R178" t="str">
        <f t="shared" si="111"/>
        <v>正常</v>
      </c>
    </row>
    <row r="179" ht="14.25" customHeight="1" spans="1:18">
      <c r="A179" s="10">
        <v>2023150</v>
      </c>
      <c r="B179" s="12" t="s">
        <v>212</v>
      </c>
      <c r="C179">
        <f t="shared" si="96"/>
        <v>2</v>
      </c>
      <c r="D179">
        <f t="shared" si="97"/>
        <v>4</v>
      </c>
      <c r="E179">
        <f t="shared" si="98"/>
        <v>7</v>
      </c>
      <c r="F179">
        <f t="shared" si="99"/>
        <v>13</v>
      </c>
      <c r="G179">
        <f t="shared" si="100"/>
        <v>3</v>
      </c>
      <c r="H179">
        <f t="shared" si="101"/>
        <v>5</v>
      </c>
      <c r="I179">
        <f t="shared" si="102"/>
        <v>2.6</v>
      </c>
      <c r="J179">
        <f t="shared" si="103"/>
        <v>0.33</v>
      </c>
      <c r="K179">
        <f t="shared" si="104"/>
        <v>0.33</v>
      </c>
      <c r="L179">
        <f t="shared" si="105"/>
        <v>0.67</v>
      </c>
      <c r="M179">
        <f t="shared" si="106"/>
        <v>0</v>
      </c>
      <c r="N179">
        <f t="shared" si="107"/>
        <v>1.54</v>
      </c>
      <c r="O179" t="str">
        <f t="shared" si="108"/>
        <v>标准</v>
      </c>
      <c r="P179" t="str">
        <f t="shared" si="109"/>
        <v>紧凑</v>
      </c>
      <c r="Q179" t="str">
        <f t="shared" si="110"/>
        <v>✓有效</v>
      </c>
      <c r="R179" t="str">
        <f t="shared" si="111"/>
        <v>正常</v>
      </c>
    </row>
    <row r="180" ht="14.25" customHeight="1" spans="1:18">
      <c r="A180" s="10">
        <v>2023151</v>
      </c>
      <c r="B180" s="12" t="s">
        <v>213</v>
      </c>
      <c r="C180">
        <f t="shared" si="96"/>
        <v>3</v>
      </c>
      <c r="D180">
        <f t="shared" si="97"/>
        <v>3</v>
      </c>
      <c r="E180">
        <f t="shared" si="98"/>
        <v>9</v>
      </c>
      <c r="F180">
        <f t="shared" si="99"/>
        <v>15</v>
      </c>
      <c r="G180">
        <f t="shared" si="100"/>
        <v>5</v>
      </c>
      <c r="H180">
        <f t="shared" si="101"/>
        <v>6</v>
      </c>
      <c r="I180">
        <f t="shared" si="102"/>
        <v>2.5</v>
      </c>
      <c r="J180">
        <f t="shared" si="103"/>
        <v>1</v>
      </c>
      <c r="K180">
        <f t="shared" si="104"/>
        <v>0.33</v>
      </c>
      <c r="L180">
        <f t="shared" si="105"/>
        <v>0.67</v>
      </c>
      <c r="M180">
        <f t="shared" si="106"/>
        <v>0</v>
      </c>
      <c r="N180">
        <f t="shared" si="107"/>
        <v>1.63</v>
      </c>
      <c r="O180" t="str">
        <f t="shared" si="108"/>
        <v>标准</v>
      </c>
      <c r="P180" t="str">
        <f t="shared" si="109"/>
        <v>紧凑</v>
      </c>
      <c r="Q180" t="str">
        <f t="shared" si="110"/>
        <v>✓有效</v>
      </c>
      <c r="R180" t="str">
        <f t="shared" si="111"/>
        <v>正常</v>
      </c>
    </row>
    <row r="181" ht="14.25" customHeight="1" spans="1:18">
      <c r="A181" s="10">
        <v>2023152</v>
      </c>
      <c r="B181" s="12" t="s">
        <v>214</v>
      </c>
      <c r="C181">
        <f t="shared" si="96"/>
        <v>1</v>
      </c>
      <c r="D181">
        <f t="shared" si="97"/>
        <v>6</v>
      </c>
      <c r="E181">
        <f t="shared" si="98"/>
        <v>5</v>
      </c>
      <c r="F181">
        <f t="shared" si="99"/>
        <v>12</v>
      </c>
      <c r="G181">
        <f t="shared" si="100"/>
        <v>2</v>
      </c>
      <c r="H181">
        <f t="shared" si="101"/>
        <v>5</v>
      </c>
      <c r="I181">
        <f t="shared" si="102"/>
        <v>2.4</v>
      </c>
      <c r="J181">
        <f t="shared" si="103"/>
        <v>0.67</v>
      </c>
      <c r="K181">
        <f t="shared" si="104"/>
        <v>0.67</v>
      </c>
      <c r="L181">
        <f t="shared" si="105"/>
        <v>0.33</v>
      </c>
      <c r="M181">
        <f t="shared" si="106"/>
        <v>1</v>
      </c>
      <c r="N181">
        <f t="shared" si="107"/>
        <v>1.46</v>
      </c>
      <c r="O181" t="str">
        <f t="shared" si="108"/>
        <v>标准</v>
      </c>
      <c r="P181" t="str">
        <f t="shared" si="109"/>
        <v>极紧凑</v>
      </c>
      <c r="Q181" t="str">
        <f t="shared" si="110"/>
        <v>✓有效</v>
      </c>
      <c r="R181" t="str">
        <f t="shared" si="111"/>
        <v>正常</v>
      </c>
    </row>
    <row r="182" ht="14.25" customHeight="1" spans="1:18">
      <c r="A182" s="10">
        <v>2023153</v>
      </c>
      <c r="B182" s="12" t="s">
        <v>177</v>
      </c>
      <c r="C182">
        <f t="shared" si="96"/>
        <v>0</v>
      </c>
      <c r="D182">
        <f t="shared" si="97"/>
        <v>6</v>
      </c>
      <c r="E182">
        <f t="shared" si="98"/>
        <v>5</v>
      </c>
      <c r="F182">
        <f t="shared" si="99"/>
        <v>11</v>
      </c>
      <c r="G182">
        <f t="shared" si="100"/>
        <v>1</v>
      </c>
      <c r="H182">
        <f t="shared" si="101"/>
        <v>6</v>
      </c>
      <c r="I182">
        <f t="shared" si="102"/>
        <v>1.83</v>
      </c>
      <c r="J182">
        <f t="shared" si="103"/>
        <v>0.33</v>
      </c>
      <c r="K182">
        <f t="shared" si="104"/>
        <v>0.67</v>
      </c>
      <c r="L182">
        <f t="shared" si="105"/>
        <v>0.33</v>
      </c>
      <c r="M182">
        <f t="shared" si="106"/>
        <v>1</v>
      </c>
      <c r="N182">
        <f t="shared" si="107"/>
        <v>1.17</v>
      </c>
      <c r="O182" t="str">
        <f t="shared" si="108"/>
        <v>松散</v>
      </c>
      <c r="P182" t="str">
        <f t="shared" si="109"/>
        <v>极紧凑</v>
      </c>
      <c r="Q182" t="str">
        <f t="shared" si="110"/>
        <v>✓有效</v>
      </c>
      <c r="R182" t="str">
        <f t="shared" si="111"/>
        <v>正常</v>
      </c>
    </row>
    <row r="183" ht="14.25" customHeight="1" spans="1:18">
      <c r="A183" s="10">
        <v>2023154</v>
      </c>
      <c r="B183" s="12" t="s">
        <v>130</v>
      </c>
      <c r="C183">
        <f t="shared" si="96"/>
        <v>6</v>
      </c>
      <c r="D183">
        <f t="shared" si="97"/>
        <v>0</v>
      </c>
      <c r="E183">
        <f t="shared" si="98"/>
        <v>2</v>
      </c>
      <c r="F183">
        <f t="shared" si="99"/>
        <v>8</v>
      </c>
      <c r="G183">
        <f t="shared" si="100"/>
        <v>8</v>
      </c>
      <c r="H183">
        <f t="shared" si="101"/>
        <v>6</v>
      </c>
      <c r="I183">
        <f t="shared" si="102"/>
        <v>1.33</v>
      </c>
      <c r="J183">
        <f t="shared" si="103"/>
        <v>0</v>
      </c>
      <c r="K183">
        <f t="shared" si="104"/>
        <v>0.33</v>
      </c>
      <c r="L183">
        <f t="shared" si="105"/>
        <v>0.33</v>
      </c>
      <c r="M183">
        <f t="shared" si="106"/>
        <v>0</v>
      </c>
      <c r="N183">
        <f t="shared" si="107"/>
        <v>0.93</v>
      </c>
      <c r="O183" t="str">
        <f t="shared" si="108"/>
        <v>松散</v>
      </c>
      <c r="P183" t="str">
        <f t="shared" si="109"/>
        <v>极紧凑</v>
      </c>
      <c r="Q183" t="str">
        <f t="shared" si="110"/>
        <v>✓有效</v>
      </c>
      <c r="R183" t="str">
        <f t="shared" si="111"/>
        <v>正常</v>
      </c>
    </row>
    <row r="184" ht="14.25" customHeight="1" spans="1:18">
      <c r="A184" s="10">
        <v>2023155</v>
      </c>
      <c r="B184" s="11">
        <v>285</v>
      </c>
      <c r="C184">
        <f t="shared" ref="C184:C211" si="112">IF(B184="","",LEFT(TEXT(B184,"000"),1)*1)</f>
        <v>2</v>
      </c>
      <c r="D184">
        <f t="shared" ref="D184:D211" si="113">IF(B184="","",MID(TEXT(B184,"000"),2,1)*1)</f>
        <v>8</v>
      </c>
      <c r="E184">
        <f t="shared" ref="E184:E211" si="114">IF(B184="","",RIGHT(TEXT(B184,"000"),1)*1)</f>
        <v>5</v>
      </c>
      <c r="F184">
        <f t="shared" ref="F184:F211" si="115">IF(B184="","",C184+D184+E184)</f>
        <v>15</v>
      </c>
      <c r="G184">
        <f t="shared" ref="G184:G211" si="116">IF(B184="","",MOD(F184,10))</f>
        <v>5</v>
      </c>
      <c r="H184">
        <f t="shared" ref="H184:H211" si="117">IF(B184="","",MAX(C184,D184,E184)-MIN(C184,D184,E184))</f>
        <v>6</v>
      </c>
      <c r="I184">
        <f t="shared" ref="I184:I211" si="118">IF(OR(B184="",H184=0),IF(H184=0,0.1,""),ROUND(F184/H184,2))</f>
        <v>2.5</v>
      </c>
      <c r="J184">
        <f t="shared" ref="J184:J211" si="119">IF(B184="","",ROUND((MOD(C184,2)+MOD(D184,2)+MOD(E184,2))/3,2))</f>
        <v>0.33</v>
      </c>
      <c r="K184">
        <f t="shared" ref="K184:K211" si="120">IF(B184="","",ROUND(((C184&gt;=5)+(D184&gt;=5)+(E184&gt;=5))/3,2))</f>
        <v>0.67</v>
      </c>
      <c r="L184">
        <f t="shared" ref="L184:L211" si="121">IF(B184="","",ROUND((ISNUMBER(FIND(C184,"2357"))+ISNUMBER(FIND(D184,"2357"))+ISNUMBER(FIND(E184,"2357")))/3,2))</f>
        <v>0.67</v>
      </c>
      <c r="M184">
        <f t="shared" ref="M184:M211" si="122">IF(B184="","",((ABS(C184-D184)=1)+(ABS(D184-E184)=1)+(ABS(C184-E184)=1)))</f>
        <v>0</v>
      </c>
      <c r="N184">
        <f t="shared" ref="N184:N211" si="123">IF(B184="","",ROUND(I184*0.4+J184*0.2+K184*0.2+L184*0.1+(3-M184)*0.1,2))</f>
        <v>1.57</v>
      </c>
      <c r="O184" t="str">
        <f t="shared" ref="O184:O211" si="124">IF(I184=0.1,"极紧凑",IF(I184&gt;3.5,"紧凑",IF(AND(I184&gt;=2,I184&lt;=3.5),"标准",IF(AND(I184&gt;=1,I184&lt;2),"松散",""))))</f>
        <v>标准</v>
      </c>
      <c r="P184" t="str">
        <f t="shared" ref="P184:P211" si="125">IF(B184="","",IF(N184&lt;=1.5,"极紧凑",IF(N184&lt;=3,"紧凑",IF(N184&lt;=5,"标准","松散"))))</f>
        <v>紧凑</v>
      </c>
      <c r="Q184" t="str">
        <f t="shared" ref="Q184:Q211" si="126">IF(B184="","",IF(AND(C184&gt;=0,C184&lt;=9,D184&gt;=0,D184&lt;=9,E184&gt;=0,E184&lt;=9),"✓有效","✗无效"))</f>
        <v>✓有效</v>
      </c>
      <c r="R184" t="str">
        <f t="shared" ref="R184:R211" si="127">IF(B184="","",IF(OR(I184&gt;10,I184&lt;0.1),"异常","正常"))</f>
        <v>正常</v>
      </c>
    </row>
    <row r="185" ht="14.25" customHeight="1" spans="1:18">
      <c r="A185" s="10">
        <v>2023156</v>
      </c>
      <c r="B185" s="12" t="s">
        <v>215</v>
      </c>
      <c r="C185">
        <f t="shared" si="112"/>
        <v>6</v>
      </c>
      <c r="D185">
        <f t="shared" si="113"/>
        <v>8</v>
      </c>
      <c r="E185">
        <f t="shared" si="114"/>
        <v>9</v>
      </c>
      <c r="F185">
        <f t="shared" si="115"/>
        <v>23</v>
      </c>
      <c r="G185">
        <f t="shared" si="116"/>
        <v>3</v>
      </c>
      <c r="H185">
        <f t="shared" si="117"/>
        <v>3</v>
      </c>
      <c r="I185">
        <f t="shared" si="118"/>
        <v>7.67</v>
      </c>
      <c r="J185">
        <f t="shared" si="119"/>
        <v>0.33</v>
      </c>
      <c r="K185">
        <f t="shared" si="120"/>
        <v>1</v>
      </c>
      <c r="L185">
        <f t="shared" si="121"/>
        <v>0</v>
      </c>
      <c r="M185">
        <f t="shared" si="122"/>
        <v>1</v>
      </c>
      <c r="N185">
        <f t="shared" si="123"/>
        <v>3.53</v>
      </c>
      <c r="O185" t="str">
        <f t="shared" si="124"/>
        <v>紧凑</v>
      </c>
      <c r="P185" t="str">
        <f t="shared" si="125"/>
        <v>标准</v>
      </c>
      <c r="Q185" t="str">
        <f t="shared" si="126"/>
        <v>✓有效</v>
      </c>
      <c r="R185" t="str">
        <f t="shared" si="127"/>
        <v>正常</v>
      </c>
    </row>
    <row r="186" ht="14.25" customHeight="1" spans="1:18">
      <c r="A186" s="10">
        <v>2023157</v>
      </c>
      <c r="B186" s="12" t="s">
        <v>216</v>
      </c>
      <c r="C186">
        <f t="shared" si="112"/>
        <v>0</v>
      </c>
      <c r="D186">
        <f t="shared" si="113"/>
        <v>2</v>
      </c>
      <c r="E186">
        <f t="shared" si="114"/>
        <v>9</v>
      </c>
      <c r="F186">
        <f t="shared" si="115"/>
        <v>11</v>
      </c>
      <c r="G186">
        <f t="shared" si="116"/>
        <v>1</v>
      </c>
      <c r="H186">
        <f t="shared" si="117"/>
        <v>9</v>
      </c>
      <c r="I186">
        <f t="shared" si="118"/>
        <v>1.22</v>
      </c>
      <c r="J186">
        <f t="shared" si="119"/>
        <v>0.33</v>
      </c>
      <c r="K186">
        <f t="shared" si="120"/>
        <v>0.33</v>
      </c>
      <c r="L186">
        <f t="shared" si="121"/>
        <v>0.33</v>
      </c>
      <c r="M186">
        <f t="shared" si="122"/>
        <v>0</v>
      </c>
      <c r="N186">
        <f t="shared" si="123"/>
        <v>0.95</v>
      </c>
      <c r="O186" t="str">
        <f t="shared" si="124"/>
        <v>松散</v>
      </c>
      <c r="P186" t="str">
        <f t="shared" si="125"/>
        <v>极紧凑</v>
      </c>
      <c r="Q186" t="str">
        <f t="shared" si="126"/>
        <v>✓有效</v>
      </c>
      <c r="R186" t="str">
        <f t="shared" si="127"/>
        <v>正常</v>
      </c>
    </row>
    <row r="187" ht="14.25" customHeight="1" spans="1:18">
      <c r="A187" s="10">
        <v>2023158</v>
      </c>
      <c r="B187" s="12" t="s">
        <v>217</v>
      </c>
      <c r="C187">
        <f t="shared" si="112"/>
        <v>7</v>
      </c>
      <c r="D187">
        <f t="shared" si="113"/>
        <v>5</v>
      </c>
      <c r="E187">
        <f t="shared" si="114"/>
        <v>0</v>
      </c>
      <c r="F187">
        <f t="shared" si="115"/>
        <v>12</v>
      </c>
      <c r="G187">
        <f t="shared" si="116"/>
        <v>2</v>
      </c>
      <c r="H187">
        <f t="shared" si="117"/>
        <v>7</v>
      </c>
      <c r="I187">
        <f t="shared" si="118"/>
        <v>1.71</v>
      </c>
      <c r="J187">
        <f t="shared" si="119"/>
        <v>0.67</v>
      </c>
      <c r="K187">
        <f t="shared" si="120"/>
        <v>0.67</v>
      </c>
      <c r="L187">
        <f t="shared" si="121"/>
        <v>0.67</v>
      </c>
      <c r="M187">
        <f t="shared" si="122"/>
        <v>0</v>
      </c>
      <c r="N187">
        <f t="shared" si="123"/>
        <v>1.32</v>
      </c>
      <c r="O187" t="str">
        <f t="shared" si="124"/>
        <v>松散</v>
      </c>
      <c r="P187" t="str">
        <f t="shared" si="125"/>
        <v>极紧凑</v>
      </c>
      <c r="Q187" t="str">
        <f t="shared" si="126"/>
        <v>✓有效</v>
      </c>
      <c r="R187" t="str">
        <f t="shared" si="127"/>
        <v>正常</v>
      </c>
    </row>
    <row r="188" ht="14.25" customHeight="1" spans="1:18">
      <c r="A188" s="10">
        <v>2023159</v>
      </c>
      <c r="B188" s="12" t="s">
        <v>218</v>
      </c>
      <c r="C188">
        <f t="shared" si="112"/>
        <v>8</v>
      </c>
      <c r="D188">
        <f t="shared" si="113"/>
        <v>0</v>
      </c>
      <c r="E188">
        <f t="shared" si="114"/>
        <v>2</v>
      </c>
      <c r="F188">
        <f t="shared" si="115"/>
        <v>10</v>
      </c>
      <c r="G188">
        <f t="shared" si="116"/>
        <v>0</v>
      </c>
      <c r="H188">
        <f t="shared" si="117"/>
        <v>8</v>
      </c>
      <c r="I188">
        <f t="shared" si="118"/>
        <v>1.25</v>
      </c>
      <c r="J188">
        <f t="shared" si="119"/>
        <v>0</v>
      </c>
      <c r="K188">
        <f t="shared" si="120"/>
        <v>0.33</v>
      </c>
      <c r="L188">
        <f t="shared" si="121"/>
        <v>0.33</v>
      </c>
      <c r="M188">
        <f t="shared" si="122"/>
        <v>0</v>
      </c>
      <c r="N188">
        <f t="shared" si="123"/>
        <v>0.9</v>
      </c>
      <c r="O188" t="str">
        <f t="shared" si="124"/>
        <v>松散</v>
      </c>
      <c r="P188" t="str">
        <f t="shared" si="125"/>
        <v>极紧凑</v>
      </c>
      <c r="Q188" t="str">
        <f t="shared" si="126"/>
        <v>✓有效</v>
      </c>
      <c r="R188" t="str">
        <f t="shared" si="127"/>
        <v>正常</v>
      </c>
    </row>
    <row r="189" ht="14.25" customHeight="1" spans="1:18">
      <c r="A189" s="10">
        <v>2023160</v>
      </c>
      <c r="B189" s="12" t="s">
        <v>219</v>
      </c>
      <c r="C189">
        <f t="shared" si="112"/>
        <v>4</v>
      </c>
      <c r="D189">
        <f t="shared" si="113"/>
        <v>2</v>
      </c>
      <c r="E189">
        <f t="shared" si="114"/>
        <v>2</v>
      </c>
      <c r="F189">
        <f t="shared" si="115"/>
        <v>8</v>
      </c>
      <c r="G189">
        <f t="shared" si="116"/>
        <v>8</v>
      </c>
      <c r="H189">
        <f t="shared" si="117"/>
        <v>2</v>
      </c>
      <c r="I189">
        <f t="shared" si="118"/>
        <v>4</v>
      </c>
      <c r="J189">
        <f t="shared" si="119"/>
        <v>0</v>
      </c>
      <c r="K189">
        <f t="shared" si="120"/>
        <v>0</v>
      </c>
      <c r="L189">
        <f t="shared" si="121"/>
        <v>0.67</v>
      </c>
      <c r="M189">
        <f t="shared" si="122"/>
        <v>0</v>
      </c>
      <c r="N189">
        <f t="shared" si="123"/>
        <v>1.97</v>
      </c>
      <c r="O189" t="str">
        <f t="shared" si="124"/>
        <v>紧凑</v>
      </c>
      <c r="P189" t="str">
        <f t="shared" si="125"/>
        <v>紧凑</v>
      </c>
      <c r="Q189" t="str">
        <f t="shared" si="126"/>
        <v>✓有效</v>
      </c>
      <c r="R189" t="str">
        <f t="shared" si="127"/>
        <v>正常</v>
      </c>
    </row>
    <row r="190" ht="14.25" customHeight="1" spans="1:18">
      <c r="A190" s="10">
        <v>2023161</v>
      </c>
      <c r="B190" s="12" t="s">
        <v>220</v>
      </c>
      <c r="C190">
        <f t="shared" si="112"/>
        <v>3</v>
      </c>
      <c r="D190">
        <f t="shared" si="113"/>
        <v>1</v>
      </c>
      <c r="E190">
        <f t="shared" si="114"/>
        <v>4</v>
      </c>
      <c r="F190">
        <f t="shared" si="115"/>
        <v>8</v>
      </c>
      <c r="G190">
        <f t="shared" si="116"/>
        <v>8</v>
      </c>
      <c r="H190">
        <f t="shared" si="117"/>
        <v>3</v>
      </c>
      <c r="I190">
        <f t="shared" si="118"/>
        <v>2.67</v>
      </c>
      <c r="J190">
        <f t="shared" si="119"/>
        <v>0.67</v>
      </c>
      <c r="K190">
        <f t="shared" si="120"/>
        <v>0</v>
      </c>
      <c r="L190">
        <f t="shared" si="121"/>
        <v>0.33</v>
      </c>
      <c r="M190">
        <f t="shared" si="122"/>
        <v>1</v>
      </c>
      <c r="N190">
        <f t="shared" si="123"/>
        <v>1.44</v>
      </c>
      <c r="O190" t="str">
        <f t="shared" si="124"/>
        <v>标准</v>
      </c>
      <c r="P190" t="str">
        <f t="shared" si="125"/>
        <v>极紧凑</v>
      </c>
      <c r="Q190" t="str">
        <f t="shared" si="126"/>
        <v>✓有效</v>
      </c>
      <c r="R190" t="str">
        <f t="shared" si="127"/>
        <v>正常</v>
      </c>
    </row>
    <row r="191" ht="14.25" customHeight="1" spans="1:18">
      <c r="A191" s="10">
        <v>2023162</v>
      </c>
      <c r="B191" s="12" t="s">
        <v>221</v>
      </c>
      <c r="C191">
        <f t="shared" si="112"/>
        <v>0</v>
      </c>
      <c r="D191">
        <f t="shared" si="113"/>
        <v>2</v>
      </c>
      <c r="E191">
        <f t="shared" si="114"/>
        <v>2</v>
      </c>
      <c r="F191">
        <f t="shared" si="115"/>
        <v>4</v>
      </c>
      <c r="G191">
        <f t="shared" si="116"/>
        <v>4</v>
      </c>
      <c r="H191">
        <f t="shared" si="117"/>
        <v>2</v>
      </c>
      <c r="I191">
        <f t="shared" si="118"/>
        <v>2</v>
      </c>
      <c r="J191">
        <f t="shared" si="119"/>
        <v>0</v>
      </c>
      <c r="K191">
        <f t="shared" si="120"/>
        <v>0</v>
      </c>
      <c r="L191">
        <f t="shared" si="121"/>
        <v>0.67</v>
      </c>
      <c r="M191">
        <f t="shared" si="122"/>
        <v>0</v>
      </c>
      <c r="N191">
        <f t="shared" si="123"/>
        <v>1.17</v>
      </c>
      <c r="O191" t="str">
        <f t="shared" si="124"/>
        <v>标准</v>
      </c>
      <c r="P191" t="str">
        <f t="shared" si="125"/>
        <v>极紧凑</v>
      </c>
      <c r="Q191" t="str">
        <f t="shared" si="126"/>
        <v>✓有效</v>
      </c>
      <c r="R191" t="str">
        <f t="shared" si="127"/>
        <v>正常</v>
      </c>
    </row>
    <row r="192" ht="14.25" customHeight="1" spans="1:18">
      <c r="A192" s="10">
        <v>2023163</v>
      </c>
      <c r="B192" s="12" t="s">
        <v>222</v>
      </c>
      <c r="C192">
        <f t="shared" si="112"/>
        <v>1</v>
      </c>
      <c r="D192">
        <f t="shared" si="113"/>
        <v>2</v>
      </c>
      <c r="E192">
        <f t="shared" si="114"/>
        <v>4</v>
      </c>
      <c r="F192">
        <f t="shared" si="115"/>
        <v>7</v>
      </c>
      <c r="G192">
        <f t="shared" si="116"/>
        <v>7</v>
      </c>
      <c r="H192">
        <f t="shared" si="117"/>
        <v>3</v>
      </c>
      <c r="I192">
        <f t="shared" si="118"/>
        <v>2.33</v>
      </c>
      <c r="J192">
        <f t="shared" si="119"/>
        <v>0.33</v>
      </c>
      <c r="K192">
        <f t="shared" si="120"/>
        <v>0</v>
      </c>
      <c r="L192">
        <f t="shared" si="121"/>
        <v>0.33</v>
      </c>
      <c r="M192">
        <f t="shared" si="122"/>
        <v>1</v>
      </c>
      <c r="N192">
        <f t="shared" si="123"/>
        <v>1.23</v>
      </c>
      <c r="O192" t="str">
        <f t="shared" si="124"/>
        <v>标准</v>
      </c>
      <c r="P192" t="str">
        <f t="shared" si="125"/>
        <v>极紧凑</v>
      </c>
      <c r="Q192" t="str">
        <f t="shared" si="126"/>
        <v>✓有效</v>
      </c>
      <c r="R192" t="str">
        <f t="shared" si="127"/>
        <v>正常</v>
      </c>
    </row>
    <row r="193" ht="14.25" customHeight="1" spans="1:18">
      <c r="A193" s="10">
        <v>2023164</v>
      </c>
      <c r="B193" s="12" t="s">
        <v>223</v>
      </c>
      <c r="C193">
        <f t="shared" si="112"/>
        <v>8</v>
      </c>
      <c r="D193">
        <f t="shared" si="113"/>
        <v>9</v>
      </c>
      <c r="E193">
        <f t="shared" si="114"/>
        <v>1</v>
      </c>
      <c r="F193">
        <f t="shared" si="115"/>
        <v>18</v>
      </c>
      <c r="G193">
        <f t="shared" si="116"/>
        <v>8</v>
      </c>
      <c r="H193">
        <f t="shared" si="117"/>
        <v>8</v>
      </c>
      <c r="I193">
        <f t="shared" si="118"/>
        <v>2.25</v>
      </c>
      <c r="J193">
        <f t="shared" si="119"/>
        <v>0.67</v>
      </c>
      <c r="K193">
        <f t="shared" si="120"/>
        <v>0.67</v>
      </c>
      <c r="L193">
        <f t="shared" si="121"/>
        <v>0</v>
      </c>
      <c r="M193">
        <f t="shared" si="122"/>
        <v>1</v>
      </c>
      <c r="N193">
        <f t="shared" si="123"/>
        <v>1.37</v>
      </c>
      <c r="O193" t="str">
        <f t="shared" si="124"/>
        <v>标准</v>
      </c>
      <c r="P193" t="str">
        <f t="shared" si="125"/>
        <v>极紧凑</v>
      </c>
      <c r="Q193" t="str">
        <f t="shared" si="126"/>
        <v>✓有效</v>
      </c>
      <c r="R193" t="str">
        <f t="shared" si="127"/>
        <v>正常</v>
      </c>
    </row>
    <row r="194" ht="14.25" customHeight="1" spans="1:18">
      <c r="A194" s="10">
        <v>2023165</v>
      </c>
      <c r="B194" s="12" t="s">
        <v>224</v>
      </c>
      <c r="C194">
        <f t="shared" si="112"/>
        <v>3</v>
      </c>
      <c r="D194">
        <f t="shared" si="113"/>
        <v>3</v>
      </c>
      <c r="E194">
        <f t="shared" si="114"/>
        <v>7</v>
      </c>
      <c r="F194">
        <f t="shared" si="115"/>
        <v>13</v>
      </c>
      <c r="G194">
        <f t="shared" si="116"/>
        <v>3</v>
      </c>
      <c r="H194">
        <f t="shared" si="117"/>
        <v>4</v>
      </c>
      <c r="I194">
        <f t="shared" si="118"/>
        <v>3.25</v>
      </c>
      <c r="J194">
        <f t="shared" si="119"/>
        <v>1</v>
      </c>
      <c r="K194">
        <f t="shared" si="120"/>
        <v>0.33</v>
      </c>
      <c r="L194">
        <f t="shared" si="121"/>
        <v>1</v>
      </c>
      <c r="M194">
        <f t="shared" si="122"/>
        <v>0</v>
      </c>
      <c r="N194">
        <f t="shared" si="123"/>
        <v>1.97</v>
      </c>
      <c r="O194" t="str">
        <f t="shared" si="124"/>
        <v>标准</v>
      </c>
      <c r="P194" t="str">
        <f t="shared" si="125"/>
        <v>紧凑</v>
      </c>
      <c r="Q194" t="str">
        <f t="shared" si="126"/>
        <v>✓有效</v>
      </c>
      <c r="R194" t="str">
        <f t="shared" si="127"/>
        <v>正常</v>
      </c>
    </row>
    <row r="195" ht="14.25" customHeight="1" spans="1:18">
      <c r="A195" s="10">
        <v>2023166</v>
      </c>
      <c r="B195" s="12" t="s">
        <v>225</v>
      </c>
      <c r="C195">
        <f t="shared" si="112"/>
        <v>5</v>
      </c>
      <c r="D195">
        <f t="shared" si="113"/>
        <v>5</v>
      </c>
      <c r="E195">
        <f t="shared" si="114"/>
        <v>7</v>
      </c>
      <c r="F195">
        <f t="shared" si="115"/>
        <v>17</v>
      </c>
      <c r="G195">
        <f t="shared" si="116"/>
        <v>7</v>
      </c>
      <c r="H195">
        <f t="shared" si="117"/>
        <v>2</v>
      </c>
      <c r="I195">
        <f t="shared" si="118"/>
        <v>8.5</v>
      </c>
      <c r="J195">
        <f t="shared" si="119"/>
        <v>1</v>
      </c>
      <c r="K195">
        <f t="shared" si="120"/>
        <v>1</v>
      </c>
      <c r="L195">
        <f t="shared" si="121"/>
        <v>1</v>
      </c>
      <c r="M195">
        <f t="shared" si="122"/>
        <v>0</v>
      </c>
      <c r="N195">
        <f t="shared" si="123"/>
        <v>4.2</v>
      </c>
      <c r="O195" t="str">
        <f t="shared" si="124"/>
        <v>紧凑</v>
      </c>
      <c r="P195" t="str">
        <f t="shared" si="125"/>
        <v>标准</v>
      </c>
      <c r="Q195" t="str">
        <f t="shared" si="126"/>
        <v>✓有效</v>
      </c>
      <c r="R195" t="str">
        <f t="shared" si="127"/>
        <v>正常</v>
      </c>
    </row>
    <row r="196" ht="14.25" customHeight="1" spans="1:18">
      <c r="A196" s="10">
        <v>2023167</v>
      </c>
      <c r="B196" s="12" t="s">
        <v>226</v>
      </c>
      <c r="C196">
        <f t="shared" si="112"/>
        <v>2</v>
      </c>
      <c r="D196">
        <f t="shared" si="113"/>
        <v>1</v>
      </c>
      <c r="E196">
        <f t="shared" si="114"/>
        <v>6</v>
      </c>
      <c r="F196">
        <f t="shared" si="115"/>
        <v>9</v>
      </c>
      <c r="G196">
        <f t="shared" si="116"/>
        <v>9</v>
      </c>
      <c r="H196">
        <f t="shared" si="117"/>
        <v>5</v>
      </c>
      <c r="I196">
        <f t="shared" si="118"/>
        <v>1.8</v>
      </c>
      <c r="J196">
        <f t="shared" si="119"/>
        <v>0.33</v>
      </c>
      <c r="K196">
        <f t="shared" si="120"/>
        <v>0.33</v>
      </c>
      <c r="L196">
        <f t="shared" si="121"/>
        <v>0.33</v>
      </c>
      <c r="M196">
        <f t="shared" si="122"/>
        <v>1</v>
      </c>
      <c r="N196">
        <f t="shared" si="123"/>
        <v>1.09</v>
      </c>
      <c r="O196" t="str">
        <f t="shared" si="124"/>
        <v>松散</v>
      </c>
      <c r="P196" t="str">
        <f t="shared" si="125"/>
        <v>极紧凑</v>
      </c>
      <c r="Q196" t="str">
        <f t="shared" si="126"/>
        <v>✓有效</v>
      </c>
      <c r="R196" t="str">
        <f t="shared" si="127"/>
        <v>正常</v>
      </c>
    </row>
    <row r="197" ht="14.25" customHeight="1" spans="1:18">
      <c r="A197" s="10">
        <v>2023168</v>
      </c>
      <c r="B197" s="12" t="s">
        <v>159</v>
      </c>
      <c r="C197">
        <f t="shared" si="112"/>
        <v>0</v>
      </c>
      <c r="D197">
        <f t="shared" si="113"/>
        <v>5</v>
      </c>
      <c r="E197">
        <f t="shared" si="114"/>
        <v>7</v>
      </c>
      <c r="F197">
        <f t="shared" si="115"/>
        <v>12</v>
      </c>
      <c r="G197">
        <f t="shared" si="116"/>
        <v>2</v>
      </c>
      <c r="H197">
        <f t="shared" si="117"/>
        <v>7</v>
      </c>
      <c r="I197">
        <f t="shared" si="118"/>
        <v>1.71</v>
      </c>
      <c r="J197">
        <f t="shared" si="119"/>
        <v>0.67</v>
      </c>
      <c r="K197">
        <f t="shared" si="120"/>
        <v>0.67</v>
      </c>
      <c r="L197">
        <f t="shared" si="121"/>
        <v>0.67</v>
      </c>
      <c r="M197">
        <f t="shared" si="122"/>
        <v>0</v>
      </c>
      <c r="N197">
        <f t="shared" si="123"/>
        <v>1.32</v>
      </c>
      <c r="O197" t="str">
        <f t="shared" si="124"/>
        <v>松散</v>
      </c>
      <c r="P197" t="str">
        <f t="shared" si="125"/>
        <v>极紧凑</v>
      </c>
      <c r="Q197" t="str">
        <f t="shared" si="126"/>
        <v>✓有效</v>
      </c>
      <c r="R197" t="str">
        <f t="shared" si="127"/>
        <v>正常</v>
      </c>
    </row>
    <row r="198" ht="14.25" customHeight="1" spans="1:18">
      <c r="A198" s="10">
        <v>2023169</v>
      </c>
      <c r="B198" s="12" t="s">
        <v>227</v>
      </c>
      <c r="C198">
        <f t="shared" si="112"/>
        <v>1</v>
      </c>
      <c r="D198">
        <f t="shared" si="113"/>
        <v>8</v>
      </c>
      <c r="E198">
        <f t="shared" si="114"/>
        <v>2</v>
      </c>
      <c r="F198">
        <f t="shared" si="115"/>
        <v>11</v>
      </c>
      <c r="G198">
        <f t="shared" si="116"/>
        <v>1</v>
      </c>
      <c r="H198">
        <f t="shared" si="117"/>
        <v>7</v>
      </c>
      <c r="I198">
        <f t="shared" si="118"/>
        <v>1.57</v>
      </c>
      <c r="J198">
        <f t="shared" si="119"/>
        <v>0.33</v>
      </c>
      <c r="K198">
        <f t="shared" si="120"/>
        <v>0.33</v>
      </c>
      <c r="L198">
        <f t="shared" si="121"/>
        <v>0.33</v>
      </c>
      <c r="M198">
        <f t="shared" si="122"/>
        <v>1</v>
      </c>
      <c r="N198">
        <f t="shared" si="123"/>
        <v>0.99</v>
      </c>
      <c r="O198" t="str">
        <f t="shared" si="124"/>
        <v>松散</v>
      </c>
      <c r="P198" t="str">
        <f t="shared" si="125"/>
        <v>极紧凑</v>
      </c>
      <c r="Q198" t="str">
        <f t="shared" si="126"/>
        <v>✓有效</v>
      </c>
      <c r="R198" t="str">
        <f t="shared" si="127"/>
        <v>正常</v>
      </c>
    </row>
    <row r="199" ht="14.25" customHeight="1" spans="1:18">
      <c r="A199" s="10">
        <v>2023170</v>
      </c>
      <c r="B199" s="12" t="s">
        <v>228</v>
      </c>
      <c r="C199">
        <f t="shared" si="112"/>
        <v>4</v>
      </c>
      <c r="D199">
        <f t="shared" si="113"/>
        <v>2</v>
      </c>
      <c r="E199">
        <f t="shared" si="114"/>
        <v>7</v>
      </c>
      <c r="F199">
        <f t="shared" si="115"/>
        <v>13</v>
      </c>
      <c r="G199">
        <f t="shared" si="116"/>
        <v>3</v>
      </c>
      <c r="H199">
        <f t="shared" si="117"/>
        <v>5</v>
      </c>
      <c r="I199">
        <f t="shared" si="118"/>
        <v>2.6</v>
      </c>
      <c r="J199">
        <f t="shared" si="119"/>
        <v>0.33</v>
      </c>
      <c r="K199">
        <f t="shared" si="120"/>
        <v>0.33</v>
      </c>
      <c r="L199">
        <f t="shared" si="121"/>
        <v>0.67</v>
      </c>
      <c r="M199">
        <f t="shared" si="122"/>
        <v>0</v>
      </c>
      <c r="N199">
        <f t="shared" si="123"/>
        <v>1.54</v>
      </c>
      <c r="O199" t="str">
        <f t="shared" si="124"/>
        <v>标准</v>
      </c>
      <c r="P199" t="str">
        <f t="shared" si="125"/>
        <v>紧凑</v>
      </c>
      <c r="Q199" t="str">
        <f t="shared" si="126"/>
        <v>✓有效</v>
      </c>
      <c r="R199" t="str">
        <f t="shared" si="127"/>
        <v>正常</v>
      </c>
    </row>
    <row r="200" ht="14.25" customHeight="1" spans="1:18">
      <c r="A200" s="10">
        <v>2023171</v>
      </c>
      <c r="B200" s="12" t="s">
        <v>229</v>
      </c>
      <c r="C200">
        <f t="shared" si="112"/>
        <v>7</v>
      </c>
      <c r="D200">
        <f t="shared" si="113"/>
        <v>5</v>
      </c>
      <c r="E200">
        <f t="shared" si="114"/>
        <v>1</v>
      </c>
      <c r="F200">
        <f t="shared" si="115"/>
        <v>13</v>
      </c>
      <c r="G200">
        <f t="shared" si="116"/>
        <v>3</v>
      </c>
      <c r="H200">
        <f t="shared" si="117"/>
        <v>6</v>
      </c>
      <c r="I200">
        <f t="shared" si="118"/>
        <v>2.17</v>
      </c>
      <c r="J200">
        <f t="shared" si="119"/>
        <v>1</v>
      </c>
      <c r="K200">
        <f t="shared" si="120"/>
        <v>0.67</v>
      </c>
      <c r="L200">
        <f t="shared" si="121"/>
        <v>0.67</v>
      </c>
      <c r="M200">
        <f t="shared" si="122"/>
        <v>0</v>
      </c>
      <c r="N200">
        <f t="shared" si="123"/>
        <v>1.57</v>
      </c>
      <c r="O200" t="str">
        <f t="shared" si="124"/>
        <v>标准</v>
      </c>
      <c r="P200" t="str">
        <f t="shared" si="125"/>
        <v>紧凑</v>
      </c>
      <c r="Q200" t="str">
        <f t="shared" si="126"/>
        <v>✓有效</v>
      </c>
      <c r="R200" t="str">
        <f t="shared" si="127"/>
        <v>正常</v>
      </c>
    </row>
    <row r="201" ht="14.25" customHeight="1" spans="1:18">
      <c r="A201" s="10">
        <v>2023172</v>
      </c>
      <c r="B201" s="12" t="s">
        <v>230</v>
      </c>
      <c r="C201">
        <f t="shared" si="112"/>
        <v>2</v>
      </c>
      <c r="D201">
        <f t="shared" si="113"/>
        <v>4</v>
      </c>
      <c r="E201">
        <f t="shared" si="114"/>
        <v>5</v>
      </c>
      <c r="F201">
        <f t="shared" si="115"/>
        <v>11</v>
      </c>
      <c r="G201">
        <f t="shared" si="116"/>
        <v>1</v>
      </c>
      <c r="H201">
        <f t="shared" si="117"/>
        <v>3</v>
      </c>
      <c r="I201">
        <f t="shared" si="118"/>
        <v>3.67</v>
      </c>
      <c r="J201">
        <f t="shared" si="119"/>
        <v>0.33</v>
      </c>
      <c r="K201">
        <f t="shared" si="120"/>
        <v>0.33</v>
      </c>
      <c r="L201">
        <f t="shared" si="121"/>
        <v>0.67</v>
      </c>
      <c r="M201">
        <f t="shared" si="122"/>
        <v>1</v>
      </c>
      <c r="N201">
        <f t="shared" si="123"/>
        <v>1.87</v>
      </c>
      <c r="O201" t="str">
        <f t="shared" si="124"/>
        <v>紧凑</v>
      </c>
      <c r="P201" t="str">
        <f t="shared" si="125"/>
        <v>紧凑</v>
      </c>
      <c r="Q201" t="str">
        <f t="shared" si="126"/>
        <v>✓有效</v>
      </c>
      <c r="R201" t="str">
        <f t="shared" si="127"/>
        <v>正常</v>
      </c>
    </row>
    <row r="202" ht="14.25" customHeight="1" spans="1:18">
      <c r="A202" s="10">
        <v>2023173</v>
      </c>
      <c r="B202" s="12" t="s">
        <v>231</v>
      </c>
      <c r="C202">
        <f t="shared" si="112"/>
        <v>7</v>
      </c>
      <c r="D202">
        <f t="shared" si="113"/>
        <v>3</v>
      </c>
      <c r="E202">
        <f t="shared" si="114"/>
        <v>0</v>
      </c>
      <c r="F202">
        <f t="shared" si="115"/>
        <v>10</v>
      </c>
      <c r="G202">
        <f t="shared" si="116"/>
        <v>0</v>
      </c>
      <c r="H202">
        <f t="shared" si="117"/>
        <v>7</v>
      </c>
      <c r="I202">
        <f t="shared" si="118"/>
        <v>1.43</v>
      </c>
      <c r="J202">
        <f t="shared" si="119"/>
        <v>0.67</v>
      </c>
      <c r="K202">
        <f t="shared" si="120"/>
        <v>0.33</v>
      </c>
      <c r="L202">
        <f t="shared" si="121"/>
        <v>0.67</v>
      </c>
      <c r="M202">
        <f t="shared" si="122"/>
        <v>0</v>
      </c>
      <c r="N202">
        <f t="shared" si="123"/>
        <v>1.14</v>
      </c>
      <c r="O202" t="str">
        <f t="shared" si="124"/>
        <v>松散</v>
      </c>
      <c r="P202" t="str">
        <f t="shared" si="125"/>
        <v>极紧凑</v>
      </c>
      <c r="Q202" t="str">
        <f t="shared" si="126"/>
        <v>✓有效</v>
      </c>
      <c r="R202" t="str">
        <f t="shared" si="127"/>
        <v>正常</v>
      </c>
    </row>
    <row r="203" ht="14.25" customHeight="1" spans="1:18">
      <c r="A203" s="10">
        <v>2023174</v>
      </c>
      <c r="B203" s="12" t="s">
        <v>232</v>
      </c>
      <c r="C203">
        <f t="shared" si="112"/>
        <v>6</v>
      </c>
      <c r="D203">
        <f t="shared" si="113"/>
        <v>6</v>
      </c>
      <c r="E203">
        <f t="shared" si="114"/>
        <v>5</v>
      </c>
      <c r="F203">
        <f t="shared" si="115"/>
        <v>17</v>
      </c>
      <c r="G203">
        <f t="shared" si="116"/>
        <v>7</v>
      </c>
      <c r="H203">
        <f t="shared" si="117"/>
        <v>1</v>
      </c>
      <c r="I203">
        <f t="shared" si="118"/>
        <v>17</v>
      </c>
      <c r="J203">
        <f t="shared" si="119"/>
        <v>0.33</v>
      </c>
      <c r="K203">
        <f t="shared" si="120"/>
        <v>1</v>
      </c>
      <c r="L203">
        <f t="shared" si="121"/>
        <v>0.33</v>
      </c>
      <c r="M203">
        <f t="shared" si="122"/>
        <v>2</v>
      </c>
      <c r="N203">
        <f t="shared" si="123"/>
        <v>7.2</v>
      </c>
      <c r="O203" t="str">
        <f t="shared" si="124"/>
        <v>紧凑</v>
      </c>
      <c r="P203" t="str">
        <f t="shared" si="125"/>
        <v>松散</v>
      </c>
      <c r="Q203" t="str">
        <f t="shared" si="126"/>
        <v>✓有效</v>
      </c>
      <c r="R203" t="str">
        <f t="shared" si="127"/>
        <v>异常</v>
      </c>
    </row>
    <row r="204" ht="14.25" customHeight="1" spans="1:18">
      <c r="A204" s="10">
        <v>2023175</v>
      </c>
      <c r="B204" s="12" t="s">
        <v>233</v>
      </c>
      <c r="C204">
        <f t="shared" si="112"/>
        <v>1</v>
      </c>
      <c r="D204">
        <f t="shared" si="113"/>
        <v>9</v>
      </c>
      <c r="E204">
        <f t="shared" si="114"/>
        <v>0</v>
      </c>
      <c r="F204">
        <f t="shared" si="115"/>
        <v>10</v>
      </c>
      <c r="G204">
        <f t="shared" si="116"/>
        <v>0</v>
      </c>
      <c r="H204">
        <f t="shared" si="117"/>
        <v>9</v>
      </c>
      <c r="I204">
        <f t="shared" si="118"/>
        <v>1.11</v>
      </c>
      <c r="J204">
        <f t="shared" si="119"/>
        <v>0.67</v>
      </c>
      <c r="K204">
        <f t="shared" si="120"/>
        <v>0.33</v>
      </c>
      <c r="L204">
        <f t="shared" si="121"/>
        <v>0</v>
      </c>
      <c r="M204">
        <f t="shared" si="122"/>
        <v>1</v>
      </c>
      <c r="N204">
        <f t="shared" si="123"/>
        <v>0.84</v>
      </c>
      <c r="O204" t="str">
        <f t="shared" si="124"/>
        <v>松散</v>
      </c>
      <c r="P204" t="str">
        <f t="shared" si="125"/>
        <v>极紧凑</v>
      </c>
      <c r="Q204" t="str">
        <f t="shared" si="126"/>
        <v>✓有效</v>
      </c>
      <c r="R204" t="str">
        <f t="shared" si="127"/>
        <v>正常</v>
      </c>
    </row>
    <row r="205" ht="14.25" customHeight="1" spans="1:18">
      <c r="A205" s="10">
        <v>2023176</v>
      </c>
      <c r="B205" s="12" t="s">
        <v>168</v>
      </c>
      <c r="C205">
        <f t="shared" si="112"/>
        <v>8</v>
      </c>
      <c r="D205">
        <f t="shared" si="113"/>
        <v>8</v>
      </c>
      <c r="E205">
        <f t="shared" si="114"/>
        <v>8</v>
      </c>
      <c r="F205">
        <f t="shared" si="115"/>
        <v>24</v>
      </c>
      <c r="G205">
        <f t="shared" si="116"/>
        <v>4</v>
      </c>
      <c r="H205">
        <f t="shared" si="117"/>
        <v>0</v>
      </c>
      <c r="I205">
        <f t="shared" si="118"/>
        <v>0.1</v>
      </c>
      <c r="J205">
        <f t="shared" si="119"/>
        <v>0</v>
      </c>
      <c r="K205">
        <f t="shared" si="120"/>
        <v>1</v>
      </c>
      <c r="L205">
        <f t="shared" si="121"/>
        <v>0</v>
      </c>
      <c r="M205">
        <f t="shared" si="122"/>
        <v>0</v>
      </c>
      <c r="N205">
        <f t="shared" si="123"/>
        <v>0.54</v>
      </c>
      <c r="O205" t="str">
        <f t="shared" si="124"/>
        <v>极紧凑</v>
      </c>
      <c r="P205" t="str">
        <f t="shared" si="125"/>
        <v>极紧凑</v>
      </c>
      <c r="Q205" t="str">
        <f t="shared" si="126"/>
        <v>✓有效</v>
      </c>
      <c r="R205" t="str">
        <f t="shared" si="127"/>
        <v>正常</v>
      </c>
    </row>
    <row r="206" ht="14.25" customHeight="1" spans="1:18">
      <c r="A206" s="10">
        <v>2023177</v>
      </c>
      <c r="B206" s="12" t="s">
        <v>234</v>
      </c>
      <c r="C206">
        <f t="shared" si="112"/>
        <v>1</v>
      </c>
      <c r="D206">
        <f t="shared" si="113"/>
        <v>1</v>
      </c>
      <c r="E206">
        <f t="shared" si="114"/>
        <v>9</v>
      </c>
      <c r="F206">
        <f t="shared" si="115"/>
        <v>11</v>
      </c>
      <c r="G206">
        <f t="shared" si="116"/>
        <v>1</v>
      </c>
      <c r="H206">
        <f t="shared" si="117"/>
        <v>8</v>
      </c>
      <c r="I206">
        <f t="shared" si="118"/>
        <v>1.38</v>
      </c>
      <c r="J206">
        <f t="shared" si="119"/>
        <v>1</v>
      </c>
      <c r="K206">
        <f t="shared" si="120"/>
        <v>0.33</v>
      </c>
      <c r="L206">
        <f t="shared" si="121"/>
        <v>0</v>
      </c>
      <c r="M206">
        <f t="shared" si="122"/>
        <v>0</v>
      </c>
      <c r="N206">
        <f t="shared" si="123"/>
        <v>1.12</v>
      </c>
      <c r="O206" t="str">
        <f t="shared" si="124"/>
        <v>松散</v>
      </c>
      <c r="P206" t="str">
        <f t="shared" si="125"/>
        <v>极紧凑</v>
      </c>
      <c r="Q206" t="str">
        <f t="shared" si="126"/>
        <v>✓有效</v>
      </c>
      <c r="R206" t="str">
        <f t="shared" si="127"/>
        <v>正常</v>
      </c>
    </row>
    <row r="207" ht="14.25" customHeight="1" spans="1:18">
      <c r="A207" s="10">
        <v>2023178</v>
      </c>
      <c r="B207" s="12" t="s">
        <v>235</v>
      </c>
      <c r="C207">
        <f t="shared" si="112"/>
        <v>0</v>
      </c>
      <c r="D207">
        <f t="shared" si="113"/>
        <v>3</v>
      </c>
      <c r="E207">
        <f t="shared" si="114"/>
        <v>0</v>
      </c>
      <c r="F207">
        <f t="shared" si="115"/>
        <v>3</v>
      </c>
      <c r="G207">
        <f t="shared" si="116"/>
        <v>3</v>
      </c>
      <c r="H207">
        <f t="shared" si="117"/>
        <v>3</v>
      </c>
      <c r="I207">
        <f t="shared" si="118"/>
        <v>1</v>
      </c>
      <c r="J207">
        <f t="shared" si="119"/>
        <v>0.33</v>
      </c>
      <c r="K207">
        <f t="shared" si="120"/>
        <v>0</v>
      </c>
      <c r="L207">
        <f t="shared" si="121"/>
        <v>0.33</v>
      </c>
      <c r="M207">
        <f t="shared" si="122"/>
        <v>0</v>
      </c>
      <c r="N207">
        <f t="shared" si="123"/>
        <v>0.8</v>
      </c>
      <c r="O207" t="str">
        <f t="shared" si="124"/>
        <v>松散</v>
      </c>
      <c r="P207" t="str">
        <f t="shared" si="125"/>
        <v>极紧凑</v>
      </c>
      <c r="Q207" t="str">
        <f t="shared" si="126"/>
        <v>✓有效</v>
      </c>
      <c r="R207" t="str">
        <f t="shared" si="127"/>
        <v>正常</v>
      </c>
    </row>
    <row r="208" ht="14.25" customHeight="1" spans="1:18">
      <c r="A208" s="10">
        <v>2023179</v>
      </c>
      <c r="B208" s="12" t="s">
        <v>188</v>
      </c>
      <c r="C208">
        <f t="shared" si="112"/>
        <v>7</v>
      </c>
      <c r="D208">
        <f t="shared" si="113"/>
        <v>3</v>
      </c>
      <c r="E208">
        <f t="shared" si="114"/>
        <v>7</v>
      </c>
      <c r="F208">
        <f t="shared" si="115"/>
        <v>17</v>
      </c>
      <c r="G208">
        <f t="shared" si="116"/>
        <v>7</v>
      </c>
      <c r="H208">
        <f t="shared" si="117"/>
        <v>4</v>
      </c>
      <c r="I208">
        <f t="shared" si="118"/>
        <v>4.25</v>
      </c>
      <c r="J208">
        <f t="shared" si="119"/>
        <v>1</v>
      </c>
      <c r="K208">
        <f t="shared" si="120"/>
        <v>0.67</v>
      </c>
      <c r="L208">
        <f t="shared" si="121"/>
        <v>1</v>
      </c>
      <c r="M208">
        <f t="shared" si="122"/>
        <v>0</v>
      </c>
      <c r="N208">
        <f t="shared" si="123"/>
        <v>2.43</v>
      </c>
      <c r="O208" t="str">
        <f t="shared" si="124"/>
        <v>紧凑</v>
      </c>
      <c r="P208" t="str">
        <f t="shared" si="125"/>
        <v>紧凑</v>
      </c>
      <c r="Q208" t="str">
        <f t="shared" si="126"/>
        <v>✓有效</v>
      </c>
      <c r="R208" t="str">
        <f t="shared" si="127"/>
        <v>正常</v>
      </c>
    </row>
    <row r="209" ht="14.25" customHeight="1" spans="1:18">
      <c r="A209" s="10">
        <v>2023180</v>
      </c>
      <c r="B209" s="12" t="s">
        <v>236</v>
      </c>
      <c r="C209">
        <f t="shared" si="112"/>
        <v>9</v>
      </c>
      <c r="D209">
        <f t="shared" si="113"/>
        <v>3</v>
      </c>
      <c r="E209">
        <f t="shared" si="114"/>
        <v>2</v>
      </c>
      <c r="F209">
        <f t="shared" si="115"/>
        <v>14</v>
      </c>
      <c r="G209">
        <f t="shared" si="116"/>
        <v>4</v>
      </c>
      <c r="H209">
        <f t="shared" si="117"/>
        <v>7</v>
      </c>
      <c r="I209">
        <f t="shared" si="118"/>
        <v>2</v>
      </c>
      <c r="J209">
        <f t="shared" si="119"/>
        <v>0.67</v>
      </c>
      <c r="K209">
        <f t="shared" si="120"/>
        <v>0.33</v>
      </c>
      <c r="L209">
        <f t="shared" si="121"/>
        <v>0.67</v>
      </c>
      <c r="M209">
        <f t="shared" si="122"/>
        <v>1</v>
      </c>
      <c r="N209">
        <f t="shared" si="123"/>
        <v>1.27</v>
      </c>
      <c r="O209" t="str">
        <f t="shared" si="124"/>
        <v>标准</v>
      </c>
      <c r="P209" t="str">
        <f t="shared" si="125"/>
        <v>极紧凑</v>
      </c>
      <c r="Q209" t="str">
        <f t="shared" si="126"/>
        <v>✓有效</v>
      </c>
      <c r="R209" t="str">
        <f t="shared" si="127"/>
        <v>正常</v>
      </c>
    </row>
    <row r="210" ht="14.25" customHeight="1" spans="1:18">
      <c r="A210" s="10">
        <v>2023181</v>
      </c>
      <c r="B210" s="12" t="s">
        <v>237</v>
      </c>
      <c r="C210">
        <f t="shared" si="112"/>
        <v>5</v>
      </c>
      <c r="D210">
        <f t="shared" si="113"/>
        <v>6</v>
      </c>
      <c r="E210">
        <f t="shared" si="114"/>
        <v>7</v>
      </c>
      <c r="F210">
        <f t="shared" si="115"/>
        <v>18</v>
      </c>
      <c r="G210">
        <f t="shared" si="116"/>
        <v>8</v>
      </c>
      <c r="H210">
        <f t="shared" si="117"/>
        <v>2</v>
      </c>
      <c r="I210">
        <f t="shared" si="118"/>
        <v>9</v>
      </c>
      <c r="J210">
        <f t="shared" si="119"/>
        <v>0.67</v>
      </c>
      <c r="K210">
        <f t="shared" si="120"/>
        <v>1</v>
      </c>
      <c r="L210">
        <f t="shared" si="121"/>
        <v>0.67</v>
      </c>
      <c r="M210">
        <f t="shared" si="122"/>
        <v>2</v>
      </c>
      <c r="N210">
        <f t="shared" si="123"/>
        <v>4.1</v>
      </c>
      <c r="O210" t="str">
        <f t="shared" si="124"/>
        <v>紧凑</v>
      </c>
      <c r="P210" t="str">
        <f t="shared" si="125"/>
        <v>标准</v>
      </c>
      <c r="Q210" t="str">
        <f t="shared" si="126"/>
        <v>✓有效</v>
      </c>
      <c r="R210" t="str">
        <f t="shared" si="127"/>
        <v>正常</v>
      </c>
    </row>
    <row r="211" ht="14.25" customHeight="1" spans="1:18">
      <c r="A211" s="10">
        <v>2023182</v>
      </c>
      <c r="B211" s="12" t="s">
        <v>238</v>
      </c>
      <c r="C211">
        <f t="shared" si="112"/>
        <v>7</v>
      </c>
      <c r="D211">
        <f t="shared" si="113"/>
        <v>0</v>
      </c>
      <c r="E211">
        <f t="shared" si="114"/>
        <v>2</v>
      </c>
      <c r="F211">
        <f t="shared" si="115"/>
        <v>9</v>
      </c>
      <c r="G211">
        <f t="shared" si="116"/>
        <v>9</v>
      </c>
      <c r="H211">
        <f t="shared" si="117"/>
        <v>7</v>
      </c>
      <c r="I211">
        <f t="shared" si="118"/>
        <v>1.29</v>
      </c>
      <c r="J211">
        <f t="shared" si="119"/>
        <v>0.33</v>
      </c>
      <c r="K211">
        <f t="shared" si="120"/>
        <v>0.33</v>
      </c>
      <c r="L211">
        <f t="shared" si="121"/>
        <v>0.67</v>
      </c>
      <c r="M211">
        <f t="shared" si="122"/>
        <v>0</v>
      </c>
      <c r="N211">
        <f t="shared" si="123"/>
        <v>1.02</v>
      </c>
      <c r="O211" t="str">
        <f t="shared" si="124"/>
        <v>松散</v>
      </c>
      <c r="P211" t="str">
        <f t="shared" si="125"/>
        <v>极紧凑</v>
      </c>
      <c r="Q211" t="str">
        <f t="shared" si="126"/>
        <v>✓有效</v>
      </c>
      <c r="R211" t="str">
        <f t="shared" si="127"/>
        <v>正常</v>
      </c>
    </row>
    <row r="212" ht="14.25" customHeight="1" spans="1:18">
      <c r="A212" s="10">
        <v>2023183</v>
      </c>
      <c r="B212" s="13" t="s">
        <v>131</v>
      </c>
      <c r="C212">
        <f t="shared" ref="C212:C239" si="128">IF(B212="","",LEFT(TEXT(B212,"000"),1)*1)</f>
        <v>0</v>
      </c>
      <c r="D212">
        <f t="shared" ref="D212:D239" si="129">IF(B212="","",MID(TEXT(B212,"000"),2,1)*1)</f>
        <v>6</v>
      </c>
      <c r="E212">
        <f t="shared" ref="E212:E239" si="130">IF(B212="","",RIGHT(TEXT(B212,"000"),1)*1)</f>
        <v>6</v>
      </c>
      <c r="F212">
        <f t="shared" ref="F212:F239" si="131">IF(B212="","",C212+D212+E212)</f>
        <v>12</v>
      </c>
      <c r="G212">
        <f t="shared" ref="G212:G239" si="132">IF(B212="","",MOD(F212,10))</f>
        <v>2</v>
      </c>
      <c r="H212">
        <f t="shared" ref="H212:H239" si="133">IF(B212="","",MAX(C212,D212,E212)-MIN(C212,D212,E212))</f>
        <v>6</v>
      </c>
      <c r="I212">
        <f t="shared" ref="I212:I239" si="134">IF(OR(B212="",H212=0),IF(H212=0,0.1,""),ROUND(F212/H212,2))</f>
        <v>2</v>
      </c>
      <c r="J212">
        <f t="shared" ref="J212:J239" si="135">IF(B212="","",ROUND((MOD(C212,2)+MOD(D212,2)+MOD(E212,2))/3,2))</f>
        <v>0</v>
      </c>
      <c r="K212">
        <f t="shared" ref="K212:K239" si="136">IF(B212="","",ROUND(((C212&gt;=5)+(D212&gt;=5)+(E212&gt;=5))/3,2))</f>
        <v>0.67</v>
      </c>
      <c r="L212">
        <f t="shared" ref="L212:L239" si="137">IF(B212="","",ROUND((ISNUMBER(FIND(C212,"2357"))+ISNUMBER(FIND(D212,"2357"))+ISNUMBER(FIND(E212,"2357")))/3,2))</f>
        <v>0</v>
      </c>
      <c r="M212">
        <f t="shared" ref="M212:M239" si="138">IF(B212="","",((ABS(C212-D212)=1)+(ABS(D212-E212)=1)+(ABS(C212-E212)=1)))</f>
        <v>0</v>
      </c>
      <c r="N212">
        <f t="shared" ref="N212:N239" si="139">IF(B212="","",ROUND(I212*0.4+J212*0.2+K212*0.2+L212*0.1+(3-M212)*0.1,2))</f>
        <v>1.23</v>
      </c>
      <c r="O212" t="str">
        <f t="shared" ref="O212:O239" si="140">IF(I212=0.1,"极紧凑",IF(I212&gt;3.5,"紧凑",IF(AND(I212&gt;=2,I212&lt;=3.5),"标准",IF(AND(I212&gt;=1,I212&lt;2),"松散",""))))</f>
        <v>标准</v>
      </c>
      <c r="P212" t="str">
        <f t="shared" ref="P212:P239" si="141">IF(B212="","",IF(N212&lt;=1.5,"极紧凑",IF(N212&lt;=3,"紧凑",IF(N212&lt;=5,"标准","松散"))))</f>
        <v>极紧凑</v>
      </c>
      <c r="Q212" t="str">
        <f t="shared" ref="Q212:Q239" si="142">IF(B212="","",IF(AND(C212&gt;=0,C212&lt;=9,D212&gt;=0,D212&lt;=9,E212&gt;=0,E212&lt;=9),"✓有效","✗无效"))</f>
        <v>✓有效</v>
      </c>
      <c r="R212" t="str">
        <f t="shared" ref="R212:R239" si="143">IF(B212="","",IF(OR(I212&gt;10,I212&lt;0.1),"异常","正常"))</f>
        <v>正常</v>
      </c>
    </row>
    <row r="213" ht="14.25" customHeight="1" spans="1:18">
      <c r="A213" s="10">
        <v>2023184</v>
      </c>
      <c r="B213" s="12" t="s">
        <v>231</v>
      </c>
      <c r="C213">
        <f t="shared" si="128"/>
        <v>7</v>
      </c>
      <c r="D213">
        <f t="shared" si="129"/>
        <v>3</v>
      </c>
      <c r="E213">
        <f t="shared" si="130"/>
        <v>0</v>
      </c>
      <c r="F213">
        <f t="shared" si="131"/>
        <v>10</v>
      </c>
      <c r="G213">
        <f t="shared" si="132"/>
        <v>0</v>
      </c>
      <c r="H213">
        <f t="shared" si="133"/>
        <v>7</v>
      </c>
      <c r="I213">
        <f t="shared" si="134"/>
        <v>1.43</v>
      </c>
      <c r="J213">
        <f t="shared" si="135"/>
        <v>0.67</v>
      </c>
      <c r="K213">
        <f t="shared" si="136"/>
        <v>0.33</v>
      </c>
      <c r="L213">
        <f t="shared" si="137"/>
        <v>0.67</v>
      </c>
      <c r="M213">
        <f t="shared" si="138"/>
        <v>0</v>
      </c>
      <c r="N213">
        <f t="shared" si="139"/>
        <v>1.14</v>
      </c>
      <c r="O213" t="str">
        <f t="shared" si="140"/>
        <v>松散</v>
      </c>
      <c r="P213" t="str">
        <f t="shared" si="141"/>
        <v>极紧凑</v>
      </c>
      <c r="Q213" t="str">
        <f t="shared" si="142"/>
        <v>✓有效</v>
      </c>
      <c r="R213" t="str">
        <f t="shared" si="143"/>
        <v>正常</v>
      </c>
    </row>
    <row r="214" ht="14.25" customHeight="1" spans="1:18">
      <c r="A214" s="10">
        <v>2023185</v>
      </c>
      <c r="B214" s="12" t="s">
        <v>239</v>
      </c>
      <c r="C214">
        <f t="shared" si="128"/>
        <v>6</v>
      </c>
      <c r="D214">
        <f t="shared" si="129"/>
        <v>6</v>
      </c>
      <c r="E214">
        <f t="shared" si="130"/>
        <v>7</v>
      </c>
      <c r="F214">
        <f t="shared" si="131"/>
        <v>19</v>
      </c>
      <c r="G214">
        <f t="shared" si="132"/>
        <v>9</v>
      </c>
      <c r="H214">
        <f t="shared" si="133"/>
        <v>1</v>
      </c>
      <c r="I214">
        <f t="shared" si="134"/>
        <v>19</v>
      </c>
      <c r="J214">
        <f t="shared" si="135"/>
        <v>0.33</v>
      </c>
      <c r="K214">
        <f t="shared" si="136"/>
        <v>1</v>
      </c>
      <c r="L214">
        <f t="shared" si="137"/>
        <v>0.33</v>
      </c>
      <c r="M214">
        <f t="shared" si="138"/>
        <v>2</v>
      </c>
      <c r="N214">
        <f t="shared" si="139"/>
        <v>8</v>
      </c>
      <c r="O214" t="str">
        <f t="shared" si="140"/>
        <v>紧凑</v>
      </c>
      <c r="P214" t="str">
        <f t="shared" si="141"/>
        <v>松散</v>
      </c>
      <c r="Q214" t="str">
        <f t="shared" si="142"/>
        <v>✓有效</v>
      </c>
      <c r="R214" t="str">
        <f t="shared" si="143"/>
        <v>异常</v>
      </c>
    </row>
    <row r="215" ht="14.25" customHeight="1" spans="1:18">
      <c r="A215" s="10">
        <v>2023186</v>
      </c>
      <c r="B215" s="12" t="s">
        <v>240</v>
      </c>
      <c r="C215">
        <f t="shared" si="128"/>
        <v>1</v>
      </c>
      <c r="D215">
        <f t="shared" si="129"/>
        <v>4</v>
      </c>
      <c r="E215">
        <f t="shared" si="130"/>
        <v>5</v>
      </c>
      <c r="F215">
        <f t="shared" si="131"/>
        <v>10</v>
      </c>
      <c r="G215">
        <f t="shared" si="132"/>
        <v>0</v>
      </c>
      <c r="H215">
        <f t="shared" si="133"/>
        <v>4</v>
      </c>
      <c r="I215">
        <f t="shared" si="134"/>
        <v>2.5</v>
      </c>
      <c r="J215">
        <f t="shared" si="135"/>
        <v>0.67</v>
      </c>
      <c r="K215">
        <f t="shared" si="136"/>
        <v>0.33</v>
      </c>
      <c r="L215">
        <f t="shared" si="137"/>
        <v>0.33</v>
      </c>
      <c r="M215">
        <f t="shared" si="138"/>
        <v>1</v>
      </c>
      <c r="N215">
        <f t="shared" si="139"/>
        <v>1.43</v>
      </c>
      <c r="O215" t="str">
        <f t="shared" si="140"/>
        <v>标准</v>
      </c>
      <c r="P215" t="str">
        <f t="shared" si="141"/>
        <v>极紧凑</v>
      </c>
      <c r="Q215" t="str">
        <f t="shared" si="142"/>
        <v>✓有效</v>
      </c>
      <c r="R215" t="str">
        <f t="shared" si="143"/>
        <v>正常</v>
      </c>
    </row>
    <row r="216" ht="14.25" customHeight="1" spans="1:18">
      <c r="A216" s="10">
        <v>2023187</v>
      </c>
      <c r="B216" s="12" t="s">
        <v>241</v>
      </c>
      <c r="C216">
        <f t="shared" si="128"/>
        <v>5</v>
      </c>
      <c r="D216">
        <f t="shared" si="129"/>
        <v>1</v>
      </c>
      <c r="E216">
        <f t="shared" si="130"/>
        <v>3</v>
      </c>
      <c r="F216">
        <f t="shared" si="131"/>
        <v>9</v>
      </c>
      <c r="G216">
        <f t="shared" si="132"/>
        <v>9</v>
      </c>
      <c r="H216">
        <f t="shared" si="133"/>
        <v>4</v>
      </c>
      <c r="I216">
        <f t="shared" si="134"/>
        <v>2.25</v>
      </c>
      <c r="J216">
        <f t="shared" si="135"/>
        <v>1</v>
      </c>
      <c r="K216">
        <f t="shared" si="136"/>
        <v>0.33</v>
      </c>
      <c r="L216">
        <f t="shared" si="137"/>
        <v>0.67</v>
      </c>
      <c r="M216">
        <f t="shared" si="138"/>
        <v>0</v>
      </c>
      <c r="N216">
        <f t="shared" si="139"/>
        <v>1.53</v>
      </c>
      <c r="O216" t="str">
        <f t="shared" si="140"/>
        <v>标准</v>
      </c>
      <c r="P216" t="str">
        <f t="shared" si="141"/>
        <v>紧凑</v>
      </c>
      <c r="Q216" t="str">
        <f t="shared" si="142"/>
        <v>✓有效</v>
      </c>
      <c r="R216" t="str">
        <f t="shared" si="143"/>
        <v>正常</v>
      </c>
    </row>
    <row r="217" ht="14.25" customHeight="1" spans="1:18">
      <c r="A217" s="10">
        <v>2023188</v>
      </c>
      <c r="B217" s="12" t="s">
        <v>242</v>
      </c>
      <c r="C217">
        <f t="shared" si="128"/>
        <v>2</v>
      </c>
      <c r="D217">
        <f t="shared" si="129"/>
        <v>8</v>
      </c>
      <c r="E217">
        <f t="shared" si="130"/>
        <v>0</v>
      </c>
      <c r="F217">
        <f t="shared" si="131"/>
        <v>10</v>
      </c>
      <c r="G217">
        <f t="shared" si="132"/>
        <v>0</v>
      </c>
      <c r="H217">
        <f t="shared" si="133"/>
        <v>8</v>
      </c>
      <c r="I217">
        <f t="shared" si="134"/>
        <v>1.25</v>
      </c>
      <c r="J217">
        <f t="shared" si="135"/>
        <v>0</v>
      </c>
      <c r="K217">
        <f t="shared" si="136"/>
        <v>0.33</v>
      </c>
      <c r="L217">
        <f t="shared" si="137"/>
        <v>0.33</v>
      </c>
      <c r="M217">
        <f t="shared" si="138"/>
        <v>0</v>
      </c>
      <c r="N217">
        <f t="shared" si="139"/>
        <v>0.9</v>
      </c>
      <c r="O217" t="str">
        <f t="shared" si="140"/>
        <v>松散</v>
      </c>
      <c r="P217" t="str">
        <f t="shared" si="141"/>
        <v>极紧凑</v>
      </c>
      <c r="Q217" t="str">
        <f t="shared" si="142"/>
        <v>✓有效</v>
      </c>
      <c r="R217" t="str">
        <f t="shared" si="143"/>
        <v>正常</v>
      </c>
    </row>
    <row r="218" ht="14.25" customHeight="1" spans="1:18">
      <c r="A218" s="10">
        <v>2023189</v>
      </c>
      <c r="B218" s="12" t="s">
        <v>243</v>
      </c>
      <c r="C218">
        <f t="shared" si="128"/>
        <v>3</v>
      </c>
      <c r="D218">
        <f t="shared" si="129"/>
        <v>2</v>
      </c>
      <c r="E218">
        <f t="shared" si="130"/>
        <v>7</v>
      </c>
      <c r="F218">
        <f t="shared" si="131"/>
        <v>12</v>
      </c>
      <c r="G218">
        <f t="shared" si="132"/>
        <v>2</v>
      </c>
      <c r="H218">
        <f t="shared" si="133"/>
        <v>5</v>
      </c>
      <c r="I218">
        <f t="shared" si="134"/>
        <v>2.4</v>
      </c>
      <c r="J218">
        <f t="shared" si="135"/>
        <v>0.67</v>
      </c>
      <c r="K218">
        <f t="shared" si="136"/>
        <v>0.33</v>
      </c>
      <c r="L218">
        <f t="shared" si="137"/>
        <v>1</v>
      </c>
      <c r="M218">
        <f t="shared" si="138"/>
        <v>1</v>
      </c>
      <c r="N218">
        <f t="shared" si="139"/>
        <v>1.46</v>
      </c>
      <c r="O218" t="str">
        <f t="shared" si="140"/>
        <v>标准</v>
      </c>
      <c r="P218" t="str">
        <f t="shared" si="141"/>
        <v>极紧凑</v>
      </c>
      <c r="Q218" t="str">
        <f t="shared" si="142"/>
        <v>✓有效</v>
      </c>
      <c r="R218" t="str">
        <f t="shared" si="143"/>
        <v>正常</v>
      </c>
    </row>
    <row r="219" ht="14.25" customHeight="1" spans="1:18">
      <c r="A219" s="10">
        <v>2023190</v>
      </c>
      <c r="B219" s="12" t="s">
        <v>180</v>
      </c>
      <c r="C219">
        <f t="shared" si="128"/>
        <v>9</v>
      </c>
      <c r="D219">
        <f t="shared" si="129"/>
        <v>0</v>
      </c>
      <c r="E219">
        <f t="shared" si="130"/>
        <v>5</v>
      </c>
      <c r="F219">
        <f t="shared" si="131"/>
        <v>14</v>
      </c>
      <c r="G219">
        <f t="shared" si="132"/>
        <v>4</v>
      </c>
      <c r="H219">
        <f t="shared" si="133"/>
        <v>9</v>
      </c>
      <c r="I219">
        <f t="shared" si="134"/>
        <v>1.56</v>
      </c>
      <c r="J219">
        <f t="shared" si="135"/>
        <v>0.67</v>
      </c>
      <c r="K219">
        <f t="shared" si="136"/>
        <v>0.67</v>
      </c>
      <c r="L219">
        <f t="shared" si="137"/>
        <v>0.33</v>
      </c>
      <c r="M219">
        <f t="shared" si="138"/>
        <v>0</v>
      </c>
      <c r="N219">
        <f t="shared" si="139"/>
        <v>1.23</v>
      </c>
      <c r="O219" t="str">
        <f t="shared" si="140"/>
        <v>松散</v>
      </c>
      <c r="P219" t="str">
        <f t="shared" si="141"/>
        <v>极紧凑</v>
      </c>
      <c r="Q219" t="str">
        <f t="shared" si="142"/>
        <v>✓有效</v>
      </c>
      <c r="R219" t="str">
        <f t="shared" si="143"/>
        <v>正常</v>
      </c>
    </row>
    <row r="220" ht="14.25" customHeight="1" spans="1:18">
      <c r="A220" s="10">
        <v>2023191</v>
      </c>
      <c r="B220" s="12" t="s">
        <v>244</v>
      </c>
      <c r="C220">
        <f t="shared" si="128"/>
        <v>7</v>
      </c>
      <c r="D220">
        <f t="shared" si="129"/>
        <v>6</v>
      </c>
      <c r="E220">
        <f t="shared" si="130"/>
        <v>8</v>
      </c>
      <c r="F220">
        <f t="shared" si="131"/>
        <v>21</v>
      </c>
      <c r="G220">
        <f t="shared" si="132"/>
        <v>1</v>
      </c>
      <c r="H220">
        <f t="shared" si="133"/>
        <v>2</v>
      </c>
      <c r="I220">
        <f t="shared" si="134"/>
        <v>10.5</v>
      </c>
      <c r="J220">
        <f t="shared" si="135"/>
        <v>0.33</v>
      </c>
      <c r="K220">
        <f t="shared" si="136"/>
        <v>1</v>
      </c>
      <c r="L220">
        <f t="shared" si="137"/>
        <v>0.33</v>
      </c>
      <c r="M220">
        <f t="shared" si="138"/>
        <v>2</v>
      </c>
      <c r="N220">
        <f t="shared" si="139"/>
        <v>4.6</v>
      </c>
      <c r="O220" t="str">
        <f t="shared" si="140"/>
        <v>紧凑</v>
      </c>
      <c r="P220" t="str">
        <f t="shared" si="141"/>
        <v>标准</v>
      </c>
      <c r="Q220" t="str">
        <f t="shared" si="142"/>
        <v>✓有效</v>
      </c>
      <c r="R220" t="str">
        <f t="shared" si="143"/>
        <v>异常</v>
      </c>
    </row>
    <row r="221" ht="14.25" customHeight="1" spans="1:18">
      <c r="A221" s="10">
        <v>2023192</v>
      </c>
      <c r="B221" s="12" t="s">
        <v>245</v>
      </c>
      <c r="C221">
        <f t="shared" si="128"/>
        <v>2</v>
      </c>
      <c r="D221">
        <f t="shared" si="129"/>
        <v>1</v>
      </c>
      <c r="E221">
        <f t="shared" si="130"/>
        <v>2</v>
      </c>
      <c r="F221">
        <f t="shared" si="131"/>
        <v>5</v>
      </c>
      <c r="G221">
        <f t="shared" si="132"/>
        <v>5</v>
      </c>
      <c r="H221">
        <f t="shared" si="133"/>
        <v>1</v>
      </c>
      <c r="I221">
        <f t="shared" si="134"/>
        <v>5</v>
      </c>
      <c r="J221">
        <f t="shared" si="135"/>
        <v>0.33</v>
      </c>
      <c r="K221">
        <f t="shared" si="136"/>
        <v>0</v>
      </c>
      <c r="L221">
        <f t="shared" si="137"/>
        <v>0.67</v>
      </c>
      <c r="M221">
        <f t="shared" si="138"/>
        <v>2</v>
      </c>
      <c r="N221">
        <f t="shared" si="139"/>
        <v>2.23</v>
      </c>
      <c r="O221" t="str">
        <f t="shared" si="140"/>
        <v>紧凑</v>
      </c>
      <c r="P221" t="str">
        <f t="shared" si="141"/>
        <v>紧凑</v>
      </c>
      <c r="Q221" t="str">
        <f t="shared" si="142"/>
        <v>✓有效</v>
      </c>
      <c r="R221" t="str">
        <f t="shared" si="143"/>
        <v>正常</v>
      </c>
    </row>
    <row r="222" ht="14.25" customHeight="1" spans="1:18">
      <c r="A222" s="10">
        <v>2023193</v>
      </c>
      <c r="B222" s="12" t="s">
        <v>246</v>
      </c>
      <c r="C222">
        <f t="shared" si="128"/>
        <v>1</v>
      </c>
      <c r="D222">
        <f t="shared" si="129"/>
        <v>8</v>
      </c>
      <c r="E222">
        <f t="shared" si="130"/>
        <v>1</v>
      </c>
      <c r="F222">
        <f t="shared" si="131"/>
        <v>10</v>
      </c>
      <c r="G222">
        <f t="shared" si="132"/>
        <v>0</v>
      </c>
      <c r="H222">
        <f t="shared" si="133"/>
        <v>7</v>
      </c>
      <c r="I222">
        <f t="shared" si="134"/>
        <v>1.43</v>
      </c>
      <c r="J222">
        <f t="shared" si="135"/>
        <v>0.67</v>
      </c>
      <c r="K222">
        <f t="shared" si="136"/>
        <v>0.33</v>
      </c>
      <c r="L222">
        <f t="shared" si="137"/>
        <v>0</v>
      </c>
      <c r="M222">
        <f t="shared" si="138"/>
        <v>0</v>
      </c>
      <c r="N222">
        <f t="shared" si="139"/>
        <v>1.07</v>
      </c>
      <c r="O222" t="str">
        <f t="shared" si="140"/>
        <v>松散</v>
      </c>
      <c r="P222" t="str">
        <f t="shared" si="141"/>
        <v>极紧凑</v>
      </c>
      <c r="Q222" t="str">
        <f t="shared" si="142"/>
        <v>✓有效</v>
      </c>
      <c r="R222" t="str">
        <f t="shared" si="143"/>
        <v>正常</v>
      </c>
    </row>
    <row r="223" ht="14.25" customHeight="1" spans="1:18">
      <c r="A223" s="10">
        <v>2023194</v>
      </c>
      <c r="B223" s="12" t="s">
        <v>247</v>
      </c>
      <c r="C223">
        <f t="shared" si="128"/>
        <v>1</v>
      </c>
      <c r="D223">
        <f t="shared" si="129"/>
        <v>6</v>
      </c>
      <c r="E223">
        <f t="shared" si="130"/>
        <v>8</v>
      </c>
      <c r="F223">
        <f t="shared" si="131"/>
        <v>15</v>
      </c>
      <c r="G223">
        <f t="shared" si="132"/>
        <v>5</v>
      </c>
      <c r="H223">
        <f t="shared" si="133"/>
        <v>7</v>
      </c>
      <c r="I223">
        <f t="shared" si="134"/>
        <v>2.14</v>
      </c>
      <c r="J223">
        <f t="shared" si="135"/>
        <v>0.33</v>
      </c>
      <c r="K223">
        <f t="shared" si="136"/>
        <v>0.67</v>
      </c>
      <c r="L223">
        <f t="shared" si="137"/>
        <v>0</v>
      </c>
      <c r="M223">
        <f t="shared" si="138"/>
        <v>0</v>
      </c>
      <c r="N223">
        <f t="shared" si="139"/>
        <v>1.36</v>
      </c>
      <c r="O223" t="str">
        <f t="shared" si="140"/>
        <v>标准</v>
      </c>
      <c r="P223" t="str">
        <f t="shared" si="141"/>
        <v>极紧凑</v>
      </c>
      <c r="Q223" t="str">
        <f t="shared" si="142"/>
        <v>✓有效</v>
      </c>
      <c r="R223" t="str">
        <f t="shared" si="143"/>
        <v>正常</v>
      </c>
    </row>
    <row r="224" ht="14.25" customHeight="1" spans="1:18">
      <c r="A224" s="10">
        <v>2023195</v>
      </c>
      <c r="B224" s="12" t="s">
        <v>248</v>
      </c>
      <c r="C224">
        <f t="shared" si="128"/>
        <v>3</v>
      </c>
      <c r="D224">
        <f t="shared" si="129"/>
        <v>0</v>
      </c>
      <c r="E224">
        <f t="shared" si="130"/>
        <v>3</v>
      </c>
      <c r="F224">
        <f t="shared" si="131"/>
        <v>6</v>
      </c>
      <c r="G224">
        <f t="shared" si="132"/>
        <v>6</v>
      </c>
      <c r="H224">
        <f t="shared" si="133"/>
        <v>3</v>
      </c>
      <c r="I224">
        <f t="shared" si="134"/>
        <v>2</v>
      </c>
      <c r="J224">
        <f t="shared" si="135"/>
        <v>0.67</v>
      </c>
      <c r="K224">
        <f t="shared" si="136"/>
        <v>0</v>
      </c>
      <c r="L224">
        <f t="shared" si="137"/>
        <v>0.67</v>
      </c>
      <c r="M224">
        <f t="shared" si="138"/>
        <v>0</v>
      </c>
      <c r="N224">
        <f t="shared" si="139"/>
        <v>1.3</v>
      </c>
      <c r="O224" t="str">
        <f t="shared" si="140"/>
        <v>标准</v>
      </c>
      <c r="P224" t="str">
        <f t="shared" si="141"/>
        <v>极紧凑</v>
      </c>
      <c r="Q224" t="str">
        <f t="shared" si="142"/>
        <v>✓有效</v>
      </c>
      <c r="R224" t="str">
        <f t="shared" si="143"/>
        <v>正常</v>
      </c>
    </row>
    <row r="225" ht="14.25" customHeight="1" spans="1:18">
      <c r="A225" s="10">
        <v>2023196</v>
      </c>
      <c r="B225" s="12" t="s">
        <v>249</v>
      </c>
      <c r="C225">
        <f t="shared" si="128"/>
        <v>9</v>
      </c>
      <c r="D225">
        <f t="shared" si="129"/>
        <v>8</v>
      </c>
      <c r="E225">
        <f t="shared" si="130"/>
        <v>5</v>
      </c>
      <c r="F225">
        <f t="shared" si="131"/>
        <v>22</v>
      </c>
      <c r="G225">
        <f t="shared" si="132"/>
        <v>2</v>
      </c>
      <c r="H225">
        <f t="shared" si="133"/>
        <v>4</v>
      </c>
      <c r="I225">
        <f t="shared" si="134"/>
        <v>5.5</v>
      </c>
      <c r="J225">
        <f t="shared" si="135"/>
        <v>0.67</v>
      </c>
      <c r="K225">
        <f t="shared" si="136"/>
        <v>1</v>
      </c>
      <c r="L225">
        <f t="shared" si="137"/>
        <v>0.33</v>
      </c>
      <c r="M225">
        <f t="shared" si="138"/>
        <v>1</v>
      </c>
      <c r="N225">
        <f t="shared" si="139"/>
        <v>2.77</v>
      </c>
      <c r="O225" t="str">
        <f t="shared" si="140"/>
        <v>紧凑</v>
      </c>
      <c r="P225" t="str">
        <f t="shared" si="141"/>
        <v>紧凑</v>
      </c>
      <c r="Q225" t="str">
        <f t="shared" si="142"/>
        <v>✓有效</v>
      </c>
      <c r="R225" t="str">
        <f t="shared" si="143"/>
        <v>正常</v>
      </c>
    </row>
    <row r="226" ht="14.25" customHeight="1" spans="1:18">
      <c r="A226" s="10">
        <v>2023197</v>
      </c>
      <c r="B226" s="12" t="s">
        <v>183</v>
      </c>
      <c r="C226">
        <f t="shared" si="128"/>
        <v>5</v>
      </c>
      <c r="D226">
        <f t="shared" si="129"/>
        <v>8</v>
      </c>
      <c r="E226">
        <f t="shared" si="130"/>
        <v>6</v>
      </c>
      <c r="F226">
        <f t="shared" si="131"/>
        <v>19</v>
      </c>
      <c r="G226">
        <f t="shared" si="132"/>
        <v>9</v>
      </c>
      <c r="H226">
        <f t="shared" si="133"/>
        <v>3</v>
      </c>
      <c r="I226">
        <f t="shared" si="134"/>
        <v>6.33</v>
      </c>
      <c r="J226">
        <f t="shared" si="135"/>
        <v>0.33</v>
      </c>
      <c r="K226">
        <f t="shared" si="136"/>
        <v>1</v>
      </c>
      <c r="L226">
        <f t="shared" si="137"/>
        <v>0.33</v>
      </c>
      <c r="M226">
        <f t="shared" si="138"/>
        <v>1</v>
      </c>
      <c r="N226">
        <f t="shared" si="139"/>
        <v>3.03</v>
      </c>
      <c r="O226" t="str">
        <f t="shared" si="140"/>
        <v>紧凑</v>
      </c>
      <c r="P226" t="str">
        <f t="shared" si="141"/>
        <v>标准</v>
      </c>
      <c r="Q226" t="str">
        <f t="shared" si="142"/>
        <v>✓有效</v>
      </c>
      <c r="R226" t="str">
        <f t="shared" si="143"/>
        <v>正常</v>
      </c>
    </row>
    <row r="227" ht="14.25" customHeight="1" spans="1:18">
      <c r="A227" s="10">
        <v>2023198</v>
      </c>
      <c r="B227" s="12" t="s">
        <v>250</v>
      </c>
      <c r="C227">
        <f t="shared" si="128"/>
        <v>4</v>
      </c>
      <c r="D227">
        <f t="shared" si="129"/>
        <v>9</v>
      </c>
      <c r="E227">
        <f t="shared" si="130"/>
        <v>8</v>
      </c>
      <c r="F227">
        <f t="shared" si="131"/>
        <v>21</v>
      </c>
      <c r="G227">
        <f t="shared" si="132"/>
        <v>1</v>
      </c>
      <c r="H227">
        <f t="shared" si="133"/>
        <v>5</v>
      </c>
      <c r="I227">
        <f t="shared" si="134"/>
        <v>4.2</v>
      </c>
      <c r="J227">
        <f t="shared" si="135"/>
        <v>0.33</v>
      </c>
      <c r="K227">
        <f t="shared" si="136"/>
        <v>0.67</v>
      </c>
      <c r="L227">
        <f t="shared" si="137"/>
        <v>0</v>
      </c>
      <c r="M227">
        <f t="shared" si="138"/>
        <v>1</v>
      </c>
      <c r="N227">
        <f t="shared" si="139"/>
        <v>2.08</v>
      </c>
      <c r="O227" t="str">
        <f t="shared" si="140"/>
        <v>紧凑</v>
      </c>
      <c r="P227" t="str">
        <f t="shared" si="141"/>
        <v>紧凑</v>
      </c>
      <c r="Q227" t="str">
        <f t="shared" si="142"/>
        <v>✓有效</v>
      </c>
      <c r="R227" t="str">
        <f t="shared" si="143"/>
        <v>正常</v>
      </c>
    </row>
    <row r="228" ht="14.25" customHeight="1" spans="1:18">
      <c r="A228" s="10">
        <v>2023199</v>
      </c>
      <c r="B228" s="12" t="s">
        <v>86</v>
      </c>
      <c r="C228">
        <f t="shared" si="128"/>
        <v>8</v>
      </c>
      <c r="D228">
        <f t="shared" si="129"/>
        <v>5</v>
      </c>
      <c r="E228">
        <f t="shared" si="130"/>
        <v>0</v>
      </c>
      <c r="F228">
        <f t="shared" si="131"/>
        <v>13</v>
      </c>
      <c r="G228">
        <f t="shared" si="132"/>
        <v>3</v>
      </c>
      <c r="H228">
        <f t="shared" si="133"/>
        <v>8</v>
      </c>
      <c r="I228">
        <f t="shared" si="134"/>
        <v>1.63</v>
      </c>
      <c r="J228">
        <f t="shared" si="135"/>
        <v>0.33</v>
      </c>
      <c r="K228">
        <f t="shared" si="136"/>
        <v>0.67</v>
      </c>
      <c r="L228">
        <f t="shared" si="137"/>
        <v>0.33</v>
      </c>
      <c r="M228">
        <f t="shared" si="138"/>
        <v>0</v>
      </c>
      <c r="N228">
        <f t="shared" si="139"/>
        <v>1.19</v>
      </c>
      <c r="O228" t="str">
        <f t="shared" si="140"/>
        <v>松散</v>
      </c>
      <c r="P228" t="str">
        <f t="shared" si="141"/>
        <v>极紧凑</v>
      </c>
      <c r="Q228" t="str">
        <f t="shared" si="142"/>
        <v>✓有效</v>
      </c>
      <c r="R228" t="str">
        <f t="shared" si="143"/>
        <v>正常</v>
      </c>
    </row>
    <row r="229" ht="14.25" customHeight="1" spans="1:18">
      <c r="A229" s="10">
        <v>2023200</v>
      </c>
      <c r="B229" s="12" t="s">
        <v>220</v>
      </c>
      <c r="C229">
        <f t="shared" si="128"/>
        <v>3</v>
      </c>
      <c r="D229">
        <f t="shared" si="129"/>
        <v>1</v>
      </c>
      <c r="E229">
        <f t="shared" si="130"/>
        <v>4</v>
      </c>
      <c r="F229">
        <f t="shared" si="131"/>
        <v>8</v>
      </c>
      <c r="G229">
        <f t="shared" si="132"/>
        <v>8</v>
      </c>
      <c r="H229">
        <f t="shared" si="133"/>
        <v>3</v>
      </c>
      <c r="I229">
        <f t="shared" si="134"/>
        <v>2.67</v>
      </c>
      <c r="J229">
        <f t="shared" si="135"/>
        <v>0.67</v>
      </c>
      <c r="K229">
        <f t="shared" si="136"/>
        <v>0</v>
      </c>
      <c r="L229">
        <f t="shared" si="137"/>
        <v>0.33</v>
      </c>
      <c r="M229">
        <f t="shared" si="138"/>
        <v>1</v>
      </c>
      <c r="N229">
        <f t="shared" si="139"/>
        <v>1.44</v>
      </c>
      <c r="O229" t="str">
        <f t="shared" si="140"/>
        <v>标准</v>
      </c>
      <c r="P229" t="str">
        <f t="shared" si="141"/>
        <v>极紧凑</v>
      </c>
      <c r="Q229" t="str">
        <f t="shared" si="142"/>
        <v>✓有效</v>
      </c>
      <c r="R229" t="str">
        <f t="shared" si="143"/>
        <v>正常</v>
      </c>
    </row>
    <row r="230" ht="14.25" customHeight="1" spans="1:18">
      <c r="A230" s="10">
        <v>2023201</v>
      </c>
      <c r="B230" s="12" t="s">
        <v>251</v>
      </c>
      <c r="C230">
        <f t="shared" si="128"/>
        <v>1</v>
      </c>
      <c r="D230">
        <f t="shared" si="129"/>
        <v>7</v>
      </c>
      <c r="E230">
        <f t="shared" si="130"/>
        <v>2</v>
      </c>
      <c r="F230">
        <f t="shared" si="131"/>
        <v>10</v>
      </c>
      <c r="G230">
        <f t="shared" si="132"/>
        <v>0</v>
      </c>
      <c r="H230">
        <f t="shared" si="133"/>
        <v>6</v>
      </c>
      <c r="I230">
        <f t="shared" si="134"/>
        <v>1.67</v>
      </c>
      <c r="J230">
        <f t="shared" si="135"/>
        <v>0.67</v>
      </c>
      <c r="K230">
        <f t="shared" si="136"/>
        <v>0.33</v>
      </c>
      <c r="L230">
        <f t="shared" si="137"/>
        <v>0.67</v>
      </c>
      <c r="M230">
        <f t="shared" si="138"/>
        <v>1</v>
      </c>
      <c r="N230">
        <f t="shared" si="139"/>
        <v>1.14</v>
      </c>
      <c r="O230" t="str">
        <f t="shared" si="140"/>
        <v>松散</v>
      </c>
      <c r="P230" t="str">
        <f t="shared" si="141"/>
        <v>极紧凑</v>
      </c>
      <c r="Q230" t="str">
        <f t="shared" si="142"/>
        <v>✓有效</v>
      </c>
      <c r="R230" t="str">
        <f t="shared" si="143"/>
        <v>正常</v>
      </c>
    </row>
    <row r="231" ht="14.25" customHeight="1" spans="1:18">
      <c r="A231" s="10">
        <v>2023202</v>
      </c>
      <c r="B231" s="12" t="s">
        <v>69</v>
      </c>
      <c r="C231">
        <f t="shared" si="128"/>
        <v>6</v>
      </c>
      <c r="D231">
        <f t="shared" si="129"/>
        <v>4</v>
      </c>
      <c r="E231">
        <f t="shared" si="130"/>
        <v>8</v>
      </c>
      <c r="F231">
        <f t="shared" si="131"/>
        <v>18</v>
      </c>
      <c r="G231">
        <f t="shared" si="132"/>
        <v>8</v>
      </c>
      <c r="H231">
        <f t="shared" si="133"/>
        <v>4</v>
      </c>
      <c r="I231">
        <f t="shared" si="134"/>
        <v>4.5</v>
      </c>
      <c r="J231">
        <f t="shared" si="135"/>
        <v>0</v>
      </c>
      <c r="K231">
        <f t="shared" si="136"/>
        <v>0.67</v>
      </c>
      <c r="L231">
        <f t="shared" si="137"/>
        <v>0</v>
      </c>
      <c r="M231">
        <f t="shared" si="138"/>
        <v>0</v>
      </c>
      <c r="N231">
        <f t="shared" si="139"/>
        <v>2.23</v>
      </c>
      <c r="O231" t="str">
        <f t="shared" si="140"/>
        <v>紧凑</v>
      </c>
      <c r="P231" t="str">
        <f t="shared" si="141"/>
        <v>紧凑</v>
      </c>
      <c r="Q231" t="str">
        <f t="shared" si="142"/>
        <v>✓有效</v>
      </c>
      <c r="R231" t="str">
        <f t="shared" si="143"/>
        <v>正常</v>
      </c>
    </row>
    <row r="232" ht="14.25" customHeight="1" spans="1:18">
      <c r="A232" s="10">
        <v>2023203</v>
      </c>
      <c r="B232" s="12" t="s">
        <v>252</v>
      </c>
      <c r="C232">
        <f t="shared" si="128"/>
        <v>3</v>
      </c>
      <c r="D232">
        <f t="shared" si="129"/>
        <v>4</v>
      </c>
      <c r="E232">
        <f t="shared" si="130"/>
        <v>6</v>
      </c>
      <c r="F232">
        <f t="shared" si="131"/>
        <v>13</v>
      </c>
      <c r="G232">
        <f t="shared" si="132"/>
        <v>3</v>
      </c>
      <c r="H232">
        <f t="shared" si="133"/>
        <v>3</v>
      </c>
      <c r="I232">
        <f t="shared" si="134"/>
        <v>4.33</v>
      </c>
      <c r="J232">
        <f t="shared" si="135"/>
        <v>0.33</v>
      </c>
      <c r="K232">
        <f t="shared" si="136"/>
        <v>0.33</v>
      </c>
      <c r="L232">
        <f t="shared" si="137"/>
        <v>0.33</v>
      </c>
      <c r="M232">
        <f t="shared" si="138"/>
        <v>1</v>
      </c>
      <c r="N232">
        <f t="shared" si="139"/>
        <v>2.1</v>
      </c>
      <c r="O232" t="str">
        <f t="shared" si="140"/>
        <v>紧凑</v>
      </c>
      <c r="P232" t="str">
        <f t="shared" si="141"/>
        <v>紧凑</v>
      </c>
      <c r="Q232" t="str">
        <f t="shared" si="142"/>
        <v>✓有效</v>
      </c>
      <c r="R232" t="str">
        <f t="shared" si="143"/>
        <v>正常</v>
      </c>
    </row>
    <row r="233" ht="14.25" customHeight="1" spans="1:18">
      <c r="A233" s="10">
        <v>2023204</v>
      </c>
      <c r="B233" s="12" t="s">
        <v>122</v>
      </c>
      <c r="C233">
        <f t="shared" si="128"/>
        <v>1</v>
      </c>
      <c r="D233">
        <f t="shared" si="129"/>
        <v>3</v>
      </c>
      <c r="E233">
        <f t="shared" si="130"/>
        <v>3</v>
      </c>
      <c r="F233">
        <f t="shared" si="131"/>
        <v>7</v>
      </c>
      <c r="G233">
        <f t="shared" si="132"/>
        <v>7</v>
      </c>
      <c r="H233">
        <f t="shared" si="133"/>
        <v>2</v>
      </c>
      <c r="I233">
        <f t="shared" si="134"/>
        <v>3.5</v>
      </c>
      <c r="J233">
        <f t="shared" si="135"/>
        <v>1</v>
      </c>
      <c r="K233">
        <f t="shared" si="136"/>
        <v>0</v>
      </c>
      <c r="L233">
        <f t="shared" si="137"/>
        <v>0.67</v>
      </c>
      <c r="M233">
        <f t="shared" si="138"/>
        <v>0</v>
      </c>
      <c r="N233">
        <f t="shared" si="139"/>
        <v>1.97</v>
      </c>
      <c r="O233" t="str">
        <f t="shared" si="140"/>
        <v>标准</v>
      </c>
      <c r="P233" t="str">
        <f t="shared" si="141"/>
        <v>紧凑</v>
      </c>
      <c r="Q233" t="str">
        <f t="shared" si="142"/>
        <v>✓有效</v>
      </c>
      <c r="R233" t="str">
        <f t="shared" si="143"/>
        <v>正常</v>
      </c>
    </row>
    <row r="234" ht="14.25" customHeight="1" spans="1:18">
      <c r="A234" s="10">
        <v>2023205</v>
      </c>
      <c r="B234" s="12" t="s">
        <v>253</v>
      </c>
      <c r="C234">
        <f t="shared" si="128"/>
        <v>1</v>
      </c>
      <c r="D234">
        <f t="shared" si="129"/>
        <v>7</v>
      </c>
      <c r="E234">
        <f t="shared" si="130"/>
        <v>1</v>
      </c>
      <c r="F234">
        <f t="shared" si="131"/>
        <v>9</v>
      </c>
      <c r="G234">
        <f t="shared" si="132"/>
        <v>9</v>
      </c>
      <c r="H234">
        <f t="shared" si="133"/>
        <v>6</v>
      </c>
      <c r="I234">
        <f t="shared" si="134"/>
        <v>1.5</v>
      </c>
      <c r="J234">
        <f t="shared" si="135"/>
        <v>1</v>
      </c>
      <c r="K234">
        <f t="shared" si="136"/>
        <v>0.33</v>
      </c>
      <c r="L234">
        <f t="shared" si="137"/>
        <v>0.33</v>
      </c>
      <c r="M234">
        <f t="shared" si="138"/>
        <v>0</v>
      </c>
      <c r="N234">
        <f t="shared" si="139"/>
        <v>1.2</v>
      </c>
      <c r="O234" t="str">
        <f t="shared" si="140"/>
        <v>松散</v>
      </c>
      <c r="P234" t="str">
        <f t="shared" si="141"/>
        <v>极紧凑</v>
      </c>
      <c r="Q234" t="str">
        <f t="shared" si="142"/>
        <v>✓有效</v>
      </c>
      <c r="R234" t="str">
        <f t="shared" si="143"/>
        <v>正常</v>
      </c>
    </row>
    <row r="235" ht="14.25" customHeight="1" spans="1:18">
      <c r="A235" s="10">
        <v>2023206</v>
      </c>
      <c r="B235" s="12" t="s">
        <v>254</v>
      </c>
      <c r="C235">
        <f t="shared" si="128"/>
        <v>2</v>
      </c>
      <c r="D235">
        <f t="shared" si="129"/>
        <v>2</v>
      </c>
      <c r="E235">
        <f t="shared" si="130"/>
        <v>2</v>
      </c>
      <c r="F235">
        <f t="shared" si="131"/>
        <v>6</v>
      </c>
      <c r="G235">
        <f t="shared" si="132"/>
        <v>6</v>
      </c>
      <c r="H235">
        <f t="shared" si="133"/>
        <v>0</v>
      </c>
      <c r="I235">
        <f t="shared" si="134"/>
        <v>0.1</v>
      </c>
      <c r="J235">
        <f t="shared" si="135"/>
        <v>0</v>
      </c>
      <c r="K235">
        <f t="shared" si="136"/>
        <v>0</v>
      </c>
      <c r="L235">
        <f t="shared" si="137"/>
        <v>1</v>
      </c>
      <c r="M235">
        <f t="shared" si="138"/>
        <v>0</v>
      </c>
      <c r="N235">
        <f t="shared" si="139"/>
        <v>0.44</v>
      </c>
      <c r="O235" t="str">
        <f t="shared" si="140"/>
        <v>极紧凑</v>
      </c>
      <c r="P235" t="str">
        <f t="shared" si="141"/>
        <v>极紧凑</v>
      </c>
      <c r="Q235" t="str">
        <f t="shared" si="142"/>
        <v>✓有效</v>
      </c>
      <c r="R235" t="str">
        <f t="shared" si="143"/>
        <v>正常</v>
      </c>
    </row>
    <row r="236" ht="14.25" customHeight="1" spans="1:18">
      <c r="A236" s="10">
        <v>2023207</v>
      </c>
      <c r="B236" s="12" t="s">
        <v>255</v>
      </c>
      <c r="C236">
        <f t="shared" si="128"/>
        <v>2</v>
      </c>
      <c r="D236">
        <f t="shared" si="129"/>
        <v>4</v>
      </c>
      <c r="E236">
        <f t="shared" si="130"/>
        <v>2</v>
      </c>
      <c r="F236">
        <f t="shared" si="131"/>
        <v>8</v>
      </c>
      <c r="G236">
        <f t="shared" si="132"/>
        <v>8</v>
      </c>
      <c r="H236">
        <f t="shared" si="133"/>
        <v>2</v>
      </c>
      <c r="I236">
        <f t="shared" si="134"/>
        <v>4</v>
      </c>
      <c r="J236">
        <f t="shared" si="135"/>
        <v>0</v>
      </c>
      <c r="K236">
        <f t="shared" si="136"/>
        <v>0</v>
      </c>
      <c r="L236">
        <f t="shared" si="137"/>
        <v>0.67</v>
      </c>
      <c r="M236">
        <f t="shared" si="138"/>
        <v>0</v>
      </c>
      <c r="N236">
        <f t="shared" si="139"/>
        <v>1.97</v>
      </c>
      <c r="O236" t="str">
        <f t="shared" si="140"/>
        <v>紧凑</v>
      </c>
      <c r="P236" t="str">
        <f t="shared" si="141"/>
        <v>紧凑</v>
      </c>
      <c r="Q236" t="str">
        <f t="shared" si="142"/>
        <v>✓有效</v>
      </c>
      <c r="R236" t="str">
        <f t="shared" si="143"/>
        <v>正常</v>
      </c>
    </row>
    <row r="237" ht="14.25" customHeight="1" spans="1:18">
      <c r="A237" s="10">
        <v>2023208</v>
      </c>
      <c r="B237" s="12" t="s">
        <v>256</v>
      </c>
      <c r="C237">
        <f t="shared" si="128"/>
        <v>6</v>
      </c>
      <c r="D237">
        <f t="shared" si="129"/>
        <v>2</v>
      </c>
      <c r="E237">
        <f t="shared" si="130"/>
        <v>9</v>
      </c>
      <c r="F237">
        <f t="shared" si="131"/>
        <v>17</v>
      </c>
      <c r="G237">
        <f t="shared" si="132"/>
        <v>7</v>
      </c>
      <c r="H237">
        <f t="shared" si="133"/>
        <v>7</v>
      </c>
      <c r="I237">
        <f t="shared" si="134"/>
        <v>2.43</v>
      </c>
      <c r="J237">
        <f t="shared" si="135"/>
        <v>0.33</v>
      </c>
      <c r="K237">
        <f t="shared" si="136"/>
        <v>0.67</v>
      </c>
      <c r="L237">
        <f t="shared" si="137"/>
        <v>0.33</v>
      </c>
      <c r="M237">
        <f t="shared" si="138"/>
        <v>0</v>
      </c>
      <c r="N237">
        <f t="shared" si="139"/>
        <v>1.51</v>
      </c>
      <c r="O237" t="str">
        <f t="shared" si="140"/>
        <v>标准</v>
      </c>
      <c r="P237" t="str">
        <f t="shared" si="141"/>
        <v>紧凑</v>
      </c>
      <c r="Q237" t="str">
        <f t="shared" si="142"/>
        <v>✓有效</v>
      </c>
      <c r="R237" t="str">
        <f t="shared" si="143"/>
        <v>正常</v>
      </c>
    </row>
    <row r="238" ht="14.25" customHeight="1" spans="1:18">
      <c r="A238" s="10">
        <v>2023209</v>
      </c>
      <c r="B238" s="12" t="s">
        <v>257</v>
      </c>
      <c r="C238">
        <f t="shared" si="128"/>
        <v>7</v>
      </c>
      <c r="D238">
        <f t="shared" si="129"/>
        <v>9</v>
      </c>
      <c r="E238">
        <f t="shared" si="130"/>
        <v>6</v>
      </c>
      <c r="F238">
        <f t="shared" si="131"/>
        <v>22</v>
      </c>
      <c r="G238">
        <f t="shared" si="132"/>
        <v>2</v>
      </c>
      <c r="H238">
        <f t="shared" si="133"/>
        <v>3</v>
      </c>
      <c r="I238">
        <f t="shared" si="134"/>
        <v>7.33</v>
      </c>
      <c r="J238">
        <f t="shared" si="135"/>
        <v>0.67</v>
      </c>
      <c r="K238">
        <f t="shared" si="136"/>
        <v>1</v>
      </c>
      <c r="L238">
        <f t="shared" si="137"/>
        <v>0.33</v>
      </c>
      <c r="M238">
        <f t="shared" si="138"/>
        <v>1</v>
      </c>
      <c r="N238">
        <f t="shared" si="139"/>
        <v>3.5</v>
      </c>
      <c r="O238" t="str">
        <f t="shared" si="140"/>
        <v>紧凑</v>
      </c>
      <c r="P238" t="str">
        <f t="shared" si="141"/>
        <v>标准</v>
      </c>
      <c r="Q238" t="str">
        <f t="shared" si="142"/>
        <v>✓有效</v>
      </c>
      <c r="R238" t="str">
        <f t="shared" si="143"/>
        <v>正常</v>
      </c>
    </row>
    <row r="239" ht="14.25" customHeight="1" spans="1:18">
      <c r="A239" s="10">
        <v>2023210</v>
      </c>
      <c r="B239" s="12" t="s">
        <v>258</v>
      </c>
      <c r="C239">
        <f t="shared" si="128"/>
        <v>6</v>
      </c>
      <c r="D239">
        <f t="shared" si="129"/>
        <v>8</v>
      </c>
      <c r="E239">
        <f t="shared" si="130"/>
        <v>1</v>
      </c>
      <c r="F239">
        <f t="shared" si="131"/>
        <v>15</v>
      </c>
      <c r="G239">
        <f t="shared" si="132"/>
        <v>5</v>
      </c>
      <c r="H239">
        <f t="shared" si="133"/>
        <v>7</v>
      </c>
      <c r="I239">
        <f t="shared" si="134"/>
        <v>2.14</v>
      </c>
      <c r="J239">
        <f t="shared" si="135"/>
        <v>0.33</v>
      </c>
      <c r="K239">
        <f t="shared" si="136"/>
        <v>0.67</v>
      </c>
      <c r="L239">
        <f t="shared" si="137"/>
        <v>0</v>
      </c>
      <c r="M239">
        <f t="shared" si="138"/>
        <v>0</v>
      </c>
      <c r="N239">
        <f t="shared" si="139"/>
        <v>1.36</v>
      </c>
      <c r="O239" t="str">
        <f t="shared" si="140"/>
        <v>标准</v>
      </c>
      <c r="P239" t="str">
        <f t="shared" si="141"/>
        <v>极紧凑</v>
      </c>
      <c r="Q239" t="str">
        <f t="shared" si="142"/>
        <v>✓有效</v>
      </c>
      <c r="R239" t="str">
        <f t="shared" si="143"/>
        <v>正常</v>
      </c>
    </row>
    <row r="240" ht="14.25" customHeight="1" spans="1:18">
      <c r="A240" s="10">
        <v>2023211</v>
      </c>
      <c r="B240" s="11">
        <v>612</v>
      </c>
      <c r="C240">
        <f t="shared" ref="C240:C267" si="144">IF(B240="","",LEFT(TEXT(B240,"000"),1)*1)</f>
        <v>6</v>
      </c>
      <c r="D240">
        <f t="shared" ref="D240:D267" si="145">IF(B240="","",MID(TEXT(B240,"000"),2,1)*1)</f>
        <v>1</v>
      </c>
      <c r="E240">
        <f t="shared" ref="E240:E267" si="146">IF(B240="","",RIGHT(TEXT(B240,"000"),1)*1)</f>
        <v>2</v>
      </c>
      <c r="F240">
        <f t="shared" ref="F240:F267" si="147">IF(B240="","",C240+D240+E240)</f>
        <v>9</v>
      </c>
      <c r="G240">
        <f t="shared" ref="G240:G267" si="148">IF(B240="","",MOD(F240,10))</f>
        <v>9</v>
      </c>
      <c r="H240">
        <f t="shared" ref="H240:H267" si="149">IF(B240="","",MAX(C240,D240,E240)-MIN(C240,D240,E240))</f>
        <v>5</v>
      </c>
      <c r="I240">
        <f t="shared" ref="I240:I267" si="150">IF(OR(B240="",H240=0),IF(H240=0,0.1,""),ROUND(F240/H240,2))</f>
        <v>1.8</v>
      </c>
      <c r="J240">
        <f t="shared" ref="J240:J267" si="151">IF(B240="","",ROUND((MOD(C240,2)+MOD(D240,2)+MOD(E240,2))/3,2))</f>
        <v>0.33</v>
      </c>
      <c r="K240">
        <f t="shared" ref="K240:K267" si="152">IF(B240="","",ROUND(((C240&gt;=5)+(D240&gt;=5)+(E240&gt;=5))/3,2))</f>
        <v>0.33</v>
      </c>
      <c r="L240">
        <f t="shared" ref="L240:L267" si="153">IF(B240="","",ROUND((ISNUMBER(FIND(C240,"2357"))+ISNUMBER(FIND(D240,"2357"))+ISNUMBER(FIND(E240,"2357")))/3,2))</f>
        <v>0.33</v>
      </c>
      <c r="M240">
        <f t="shared" ref="M240:M267" si="154">IF(B240="","",((ABS(C240-D240)=1)+(ABS(D240-E240)=1)+(ABS(C240-E240)=1)))</f>
        <v>1</v>
      </c>
      <c r="N240">
        <f t="shared" ref="N240:N267" si="155">IF(B240="","",ROUND(I240*0.4+J240*0.2+K240*0.2+L240*0.1+(3-M240)*0.1,2))</f>
        <v>1.09</v>
      </c>
      <c r="O240" t="str">
        <f t="shared" ref="O240:O267" si="156">IF(I240=0.1,"极紧凑",IF(I240&gt;3.5,"紧凑",IF(AND(I240&gt;=2,I240&lt;=3.5),"标准",IF(AND(I240&gt;=1,I240&lt;2),"松散",""))))</f>
        <v>松散</v>
      </c>
      <c r="P240" t="str">
        <f t="shared" ref="P240:P267" si="157">IF(B240="","",IF(N240&lt;=1.5,"极紧凑",IF(N240&lt;=3,"紧凑",IF(N240&lt;=5,"标准","松散"))))</f>
        <v>极紧凑</v>
      </c>
      <c r="Q240" t="str">
        <f t="shared" ref="Q240:Q267" si="158">IF(B240="","",IF(AND(C240&gt;=0,C240&lt;=9,D240&gt;=0,D240&lt;=9,E240&gt;=0,E240&lt;=9),"✓有效","✗无效"))</f>
        <v>✓有效</v>
      </c>
      <c r="R240" t="str">
        <f t="shared" ref="R240:R267" si="159">IF(B240="","",IF(OR(I240&gt;10,I240&lt;0.1),"异常","正常"))</f>
        <v>正常</v>
      </c>
    </row>
    <row r="241" ht="14.25" customHeight="1" spans="1:18">
      <c r="A241" s="10">
        <v>2023212</v>
      </c>
      <c r="B241" s="12" t="s">
        <v>259</v>
      </c>
      <c r="C241">
        <f t="shared" si="144"/>
        <v>4</v>
      </c>
      <c r="D241">
        <f t="shared" si="145"/>
        <v>4</v>
      </c>
      <c r="E241">
        <f t="shared" si="146"/>
        <v>4</v>
      </c>
      <c r="F241">
        <f t="shared" si="147"/>
        <v>12</v>
      </c>
      <c r="G241">
        <f t="shared" si="148"/>
        <v>2</v>
      </c>
      <c r="H241">
        <f t="shared" si="149"/>
        <v>0</v>
      </c>
      <c r="I241">
        <f t="shared" si="150"/>
        <v>0.1</v>
      </c>
      <c r="J241">
        <f t="shared" si="151"/>
        <v>0</v>
      </c>
      <c r="K241">
        <f t="shared" si="152"/>
        <v>0</v>
      </c>
      <c r="L241">
        <f t="shared" si="153"/>
        <v>0</v>
      </c>
      <c r="M241">
        <f t="shared" si="154"/>
        <v>0</v>
      </c>
      <c r="N241">
        <f t="shared" si="155"/>
        <v>0.34</v>
      </c>
      <c r="O241" t="str">
        <f t="shared" si="156"/>
        <v>极紧凑</v>
      </c>
      <c r="P241" t="str">
        <f t="shared" si="157"/>
        <v>极紧凑</v>
      </c>
      <c r="Q241" t="str">
        <f t="shared" si="158"/>
        <v>✓有效</v>
      </c>
      <c r="R241" t="str">
        <f t="shared" si="159"/>
        <v>正常</v>
      </c>
    </row>
    <row r="242" ht="14.25" customHeight="1" spans="1:18">
      <c r="A242" s="10">
        <v>2023213</v>
      </c>
      <c r="B242" s="12" t="s">
        <v>142</v>
      </c>
      <c r="C242">
        <f t="shared" si="144"/>
        <v>7</v>
      </c>
      <c r="D242">
        <f t="shared" si="145"/>
        <v>3</v>
      </c>
      <c r="E242">
        <f t="shared" si="146"/>
        <v>2</v>
      </c>
      <c r="F242">
        <f t="shared" si="147"/>
        <v>12</v>
      </c>
      <c r="G242">
        <f t="shared" si="148"/>
        <v>2</v>
      </c>
      <c r="H242">
        <f t="shared" si="149"/>
        <v>5</v>
      </c>
      <c r="I242">
        <f t="shared" si="150"/>
        <v>2.4</v>
      </c>
      <c r="J242">
        <f t="shared" si="151"/>
        <v>0.67</v>
      </c>
      <c r="K242">
        <f t="shared" si="152"/>
        <v>0.33</v>
      </c>
      <c r="L242">
        <f t="shared" si="153"/>
        <v>1</v>
      </c>
      <c r="M242">
        <f t="shared" si="154"/>
        <v>1</v>
      </c>
      <c r="N242">
        <f t="shared" si="155"/>
        <v>1.46</v>
      </c>
      <c r="O242" t="str">
        <f t="shared" si="156"/>
        <v>标准</v>
      </c>
      <c r="P242" t="str">
        <f t="shared" si="157"/>
        <v>极紧凑</v>
      </c>
      <c r="Q242" t="str">
        <f t="shared" si="158"/>
        <v>✓有效</v>
      </c>
      <c r="R242" t="str">
        <f t="shared" si="159"/>
        <v>正常</v>
      </c>
    </row>
    <row r="243" ht="14.25" customHeight="1" spans="1:18">
      <c r="A243" s="10">
        <v>2023214</v>
      </c>
      <c r="B243" s="12" t="s">
        <v>260</v>
      </c>
      <c r="C243">
        <f t="shared" si="144"/>
        <v>5</v>
      </c>
      <c r="D243">
        <f t="shared" si="145"/>
        <v>2</v>
      </c>
      <c r="E243">
        <f t="shared" si="146"/>
        <v>2</v>
      </c>
      <c r="F243">
        <f t="shared" si="147"/>
        <v>9</v>
      </c>
      <c r="G243">
        <f t="shared" si="148"/>
        <v>9</v>
      </c>
      <c r="H243">
        <f t="shared" si="149"/>
        <v>3</v>
      </c>
      <c r="I243">
        <f t="shared" si="150"/>
        <v>3</v>
      </c>
      <c r="J243">
        <f t="shared" si="151"/>
        <v>0.33</v>
      </c>
      <c r="K243">
        <f t="shared" si="152"/>
        <v>0.33</v>
      </c>
      <c r="L243">
        <f t="shared" si="153"/>
        <v>1</v>
      </c>
      <c r="M243">
        <f t="shared" si="154"/>
        <v>0</v>
      </c>
      <c r="N243">
        <f t="shared" si="155"/>
        <v>1.73</v>
      </c>
      <c r="O243" t="str">
        <f t="shared" si="156"/>
        <v>标准</v>
      </c>
      <c r="P243" t="str">
        <f t="shared" si="157"/>
        <v>紧凑</v>
      </c>
      <c r="Q243" t="str">
        <f t="shared" si="158"/>
        <v>✓有效</v>
      </c>
      <c r="R243" t="str">
        <f t="shared" si="159"/>
        <v>正常</v>
      </c>
    </row>
    <row r="244" ht="14.25" customHeight="1" spans="1:18">
      <c r="A244" s="10">
        <v>2023215</v>
      </c>
      <c r="B244" s="12" t="s">
        <v>261</v>
      </c>
      <c r="C244">
        <f t="shared" si="144"/>
        <v>3</v>
      </c>
      <c r="D244">
        <f t="shared" si="145"/>
        <v>0</v>
      </c>
      <c r="E244">
        <f t="shared" si="146"/>
        <v>8</v>
      </c>
      <c r="F244">
        <f t="shared" si="147"/>
        <v>11</v>
      </c>
      <c r="G244">
        <f t="shared" si="148"/>
        <v>1</v>
      </c>
      <c r="H244">
        <f t="shared" si="149"/>
        <v>8</v>
      </c>
      <c r="I244">
        <f t="shared" si="150"/>
        <v>1.38</v>
      </c>
      <c r="J244">
        <f t="shared" si="151"/>
        <v>0.33</v>
      </c>
      <c r="K244">
        <f t="shared" si="152"/>
        <v>0.33</v>
      </c>
      <c r="L244">
        <f t="shared" si="153"/>
        <v>0.33</v>
      </c>
      <c r="M244">
        <f t="shared" si="154"/>
        <v>0</v>
      </c>
      <c r="N244">
        <f t="shared" si="155"/>
        <v>1.02</v>
      </c>
      <c r="O244" t="str">
        <f t="shared" si="156"/>
        <v>松散</v>
      </c>
      <c r="P244" t="str">
        <f t="shared" si="157"/>
        <v>极紧凑</v>
      </c>
      <c r="Q244" t="str">
        <f t="shared" si="158"/>
        <v>✓有效</v>
      </c>
      <c r="R244" t="str">
        <f t="shared" si="159"/>
        <v>正常</v>
      </c>
    </row>
    <row r="245" ht="14.25" customHeight="1" spans="1:18">
      <c r="A245" s="10">
        <v>2023216</v>
      </c>
      <c r="B245" s="12" t="s">
        <v>262</v>
      </c>
      <c r="C245">
        <f t="shared" si="144"/>
        <v>1</v>
      </c>
      <c r="D245">
        <f t="shared" si="145"/>
        <v>8</v>
      </c>
      <c r="E245">
        <f t="shared" si="146"/>
        <v>7</v>
      </c>
      <c r="F245">
        <f t="shared" si="147"/>
        <v>16</v>
      </c>
      <c r="G245">
        <f t="shared" si="148"/>
        <v>6</v>
      </c>
      <c r="H245">
        <f t="shared" si="149"/>
        <v>7</v>
      </c>
      <c r="I245">
        <f t="shared" si="150"/>
        <v>2.29</v>
      </c>
      <c r="J245">
        <f t="shared" si="151"/>
        <v>0.67</v>
      </c>
      <c r="K245">
        <f t="shared" si="152"/>
        <v>0.67</v>
      </c>
      <c r="L245">
        <f t="shared" si="153"/>
        <v>0.33</v>
      </c>
      <c r="M245">
        <f t="shared" si="154"/>
        <v>1</v>
      </c>
      <c r="N245">
        <f t="shared" si="155"/>
        <v>1.42</v>
      </c>
      <c r="O245" t="str">
        <f t="shared" si="156"/>
        <v>标准</v>
      </c>
      <c r="P245" t="str">
        <f t="shared" si="157"/>
        <v>极紧凑</v>
      </c>
      <c r="Q245" t="str">
        <f t="shared" si="158"/>
        <v>✓有效</v>
      </c>
      <c r="R245" t="str">
        <f t="shared" si="159"/>
        <v>正常</v>
      </c>
    </row>
    <row r="246" ht="14.25" customHeight="1" spans="1:18">
      <c r="A246" s="10">
        <v>2023217</v>
      </c>
      <c r="B246" s="12" t="s">
        <v>124</v>
      </c>
      <c r="C246">
        <f t="shared" si="144"/>
        <v>8</v>
      </c>
      <c r="D246">
        <f t="shared" si="145"/>
        <v>1</v>
      </c>
      <c r="E246">
        <f t="shared" si="146"/>
        <v>1</v>
      </c>
      <c r="F246">
        <f t="shared" si="147"/>
        <v>10</v>
      </c>
      <c r="G246">
        <f t="shared" si="148"/>
        <v>0</v>
      </c>
      <c r="H246">
        <f t="shared" si="149"/>
        <v>7</v>
      </c>
      <c r="I246">
        <f t="shared" si="150"/>
        <v>1.43</v>
      </c>
      <c r="J246">
        <f t="shared" si="151"/>
        <v>0.67</v>
      </c>
      <c r="K246">
        <f t="shared" si="152"/>
        <v>0.33</v>
      </c>
      <c r="L246">
        <f t="shared" si="153"/>
        <v>0</v>
      </c>
      <c r="M246">
        <f t="shared" si="154"/>
        <v>0</v>
      </c>
      <c r="N246">
        <f t="shared" si="155"/>
        <v>1.07</v>
      </c>
      <c r="O246" t="str">
        <f t="shared" si="156"/>
        <v>松散</v>
      </c>
      <c r="P246" t="str">
        <f t="shared" si="157"/>
        <v>极紧凑</v>
      </c>
      <c r="Q246" t="str">
        <f t="shared" si="158"/>
        <v>✓有效</v>
      </c>
      <c r="R246" t="str">
        <f t="shared" si="159"/>
        <v>正常</v>
      </c>
    </row>
    <row r="247" ht="14.25" customHeight="1" spans="1:18">
      <c r="A247" s="10">
        <v>2023218</v>
      </c>
      <c r="B247" s="12" t="s">
        <v>263</v>
      </c>
      <c r="C247">
        <f t="shared" si="144"/>
        <v>0</v>
      </c>
      <c r="D247">
        <f t="shared" si="145"/>
        <v>7</v>
      </c>
      <c r="E247">
        <f t="shared" si="146"/>
        <v>1</v>
      </c>
      <c r="F247">
        <f t="shared" si="147"/>
        <v>8</v>
      </c>
      <c r="G247">
        <f t="shared" si="148"/>
        <v>8</v>
      </c>
      <c r="H247">
        <f t="shared" si="149"/>
        <v>7</v>
      </c>
      <c r="I247">
        <f t="shared" si="150"/>
        <v>1.14</v>
      </c>
      <c r="J247">
        <f t="shared" si="151"/>
        <v>0.67</v>
      </c>
      <c r="K247">
        <f t="shared" si="152"/>
        <v>0.33</v>
      </c>
      <c r="L247">
        <f t="shared" si="153"/>
        <v>0.33</v>
      </c>
      <c r="M247">
        <f t="shared" si="154"/>
        <v>1</v>
      </c>
      <c r="N247">
        <f t="shared" si="155"/>
        <v>0.89</v>
      </c>
      <c r="O247" t="str">
        <f t="shared" si="156"/>
        <v>松散</v>
      </c>
      <c r="P247" t="str">
        <f t="shared" si="157"/>
        <v>极紧凑</v>
      </c>
      <c r="Q247" t="str">
        <f t="shared" si="158"/>
        <v>✓有效</v>
      </c>
      <c r="R247" t="str">
        <f t="shared" si="159"/>
        <v>正常</v>
      </c>
    </row>
    <row r="248" ht="14.25" customHeight="1" spans="1:18">
      <c r="A248" s="10">
        <v>2023219</v>
      </c>
      <c r="B248" s="12" t="s">
        <v>264</v>
      </c>
      <c r="C248">
        <f t="shared" si="144"/>
        <v>3</v>
      </c>
      <c r="D248">
        <f t="shared" si="145"/>
        <v>4</v>
      </c>
      <c r="E248">
        <f t="shared" si="146"/>
        <v>5</v>
      </c>
      <c r="F248">
        <f t="shared" si="147"/>
        <v>12</v>
      </c>
      <c r="G248">
        <f t="shared" si="148"/>
        <v>2</v>
      </c>
      <c r="H248">
        <f t="shared" si="149"/>
        <v>2</v>
      </c>
      <c r="I248">
        <f t="shared" si="150"/>
        <v>6</v>
      </c>
      <c r="J248">
        <f t="shared" si="151"/>
        <v>0.67</v>
      </c>
      <c r="K248">
        <f t="shared" si="152"/>
        <v>0.33</v>
      </c>
      <c r="L248">
        <f t="shared" si="153"/>
        <v>0.67</v>
      </c>
      <c r="M248">
        <f t="shared" si="154"/>
        <v>2</v>
      </c>
      <c r="N248">
        <f t="shared" si="155"/>
        <v>2.77</v>
      </c>
      <c r="O248" t="str">
        <f t="shared" si="156"/>
        <v>紧凑</v>
      </c>
      <c r="P248" t="str">
        <f t="shared" si="157"/>
        <v>紧凑</v>
      </c>
      <c r="Q248" t="str">
        <f t="shared" si="158"/>
        <v>✓有效</v>
      </c>
      <c r="R248" t="str">
        <f t="shared" si="159"/>
        <v>正常</v>
      </c>
    </row>
    <row r="249" ht="14.25" customHeight="1" spans="1:18">
      <c r="A249" s="10">
        <v>2023220</v>
      </c>
      <c r="B249" s="12" t="s">
        <v>265</v>
      </c>
      <c r="C249">
        <f t="shared" si="144"/>
        <v>5</v>
      </c>
      <c r="D249">
        <f t="shared" si="145"/>
        <v>8</v>
      </c>
      <c r="E249">
        <f t="shared" si="146"/>
        <v>7</v>
      </c>
      <c r="F249">
        <f t="shared" si="147"/>
        <v>20</v>
      </c>
      <c r="G249">
        <f t="shared" si="148"/>
        <v>0</v>
      </c>
      <c r="H249">
        <f t="shared" si="149"/>
        <v>3</v>
      </c>
      <c r="I249">
        <f t="shared" si="150"/>
        <v>6.67</v>
      </c>
      <c r="J249">
        <f t="shared" si="151"/>
        <v>0.67</v>
      </c>
      <c r="K249">
        <f t="shared" si="152"/>
        <v>1</v>
      </c>
      <c r="L249">
        <f t="shared" si="153"/>
        <v>0.67</v>
      </c>
      <c r="M249">
        <f t="shared" si="154"/>
        <v>1</v>
      </c>
      <c r="N249">
        <f t="shared" si="155"/>
        <v>3.27</v>
      </c>
      <c r="O249" t="str">
        <f t="shared" si="156"/>
        <v>紧凑</v>
      </c>
      <c r="P249" t="str">
        <f t="shared" si="157"/>
        <v>标准</v>
      </c>
      <c r="Q249" t="str">
        <f t="shared" si="158"/>
        <v>✓有效</v>
      </c>
      <c r="R249" t="str">
        <f t="shared" si="159"/>
        <v>正常</v>
      </c>
    </row>
    <row r="250" ht="14.25" customHeight="1" spans="1:18">
      <c r="A250" s="10">
        <v>2023221</v>
      </c>
      <c r="B250" s="12" t="s">
        <v>71</v>
      </c>
      <c r="C250">
        <f t="shared" si="144"/>
        <v>5</v>
      </c>
      <c r="D250">
        <f t="shared" si="145"/>
        <v>0</v>
      </c>
      <c r="E250">
        <f t="shared" si="146"/>
        <v>3</v>
      </c>
      <c r="F250">
        <f t="shared" si="147"/>
        <v>8</v>
      </c>
      <c r="G250">
        <f t="shared" si="148"/>
        <v>8</v>
      </c>
      <c r="H250">
        <f t="shared" si="149"/>
        <v>5</v>
      </c>
      <c r="I250">
        <f t="shared" si="150"/>
        <v>1.6</v>
      </c>
      <c r="J250">
        <f t="shared" si="151"/>
        <v>0.67</v>
      </c>
      <c r="K250">
        <f t="shared" si="152"/>
        <v>0.33</v>
      </c>
      <c r="L250">
        <f t="shared" si="153"/>
        <v>0.67</v>
      </c>
      <c r="M250">
        <f t="shared" si="154"/>
        <v>0</v>
      </c>
      <c r="N250">
        <f t="shared" si="155"/>
        <v>1.21</v>
      </c>
      <c r="O250" t="str">
        <f t="shared" si="156"/>
        <v>松散</v>
      </c>
      <c r="P250" t="str">
        <f t="shared" si="157"/>
        <v>极紧凑</v>
      </c>
      <c r="Q250" t="str">
        <f t="shared" si="158"/>
        <v>✓有效</v>
      </c>
      <c r="R250" t="str">
        <f t="shared" si="159"/>
        <v>正常</v>
      </c>
    </row>
    <row r="251" ht="14.25" customHeight="1" spans="1:18">
      <c r="A251" s="10">
        <v>2023222</v>
      </c>
      <c r="B251" s="12" t="s">
        <v>266</v>
      </c>
      <c r="C251">
        <f t="shared" si="144"/>
        <v>2</v>
      </c>
      <c r="D251">
        <f t="shared" si="145"/>
        <v>6</v>
      </c>
      <c r="E251">
        <f t="shared" si="146"/>
        <v>5</v>
      </c>
      <c r="F251">
        <f t="shared" si="147"/>
        <v>13</v>
      </c>
      <c r="G251">
        <f t="shared" si="148"/>
        <v>3</v>
      </c>
      <c r="H251">
        <f t="shared" si="149"/>
        <v>4</v>
      </c>
      <c r="I251">
        <f t="shared" si="150"/>
        <v>3.25</v>
      </c>
      <c r="J251">
        <f t="shared" si="151"/>
        <v>0.33</v>
      </c>
      <c r="K251">
        <f t="shared" si="152"/>
        <v>0.67</v>
      </c>
      <c r="L251">
        <f t="shared" si="153"/>
        <v>0.67</v>
      </c>
      <c r="M251">
        <f t="shared" si="154"/>
        <v>1</v>
      </c>
      <c r="N251">
        <f t="shared" si="155"/>
        <v>1.77</v>
      </c>
      <c r="O251" t="str">
        <f t="shared" si="156"/>
        <v>标准</v>
      </c>
      <c r="P251" t="str">
        <f t="shared" si="157"/>
        <v>紧凑</v>
      </c>
      <c r="Q251" t="str">
        <f t="shared" si="158"/>
        <v>✓有效</v>
      </c>
      <c r="R251" t="str">
        <f t="shared" si="159"/>
        <v>正常</v>
      </c>
    </row>
    <row r="252" ht="14.25" customHeight="1" spans="1:18">
      <c r="A252" s="10">
        <v>2023223</v>
      </c>
      <c r="B252" s="12" t="s">
        <v>267</v>
      </c>
      <c r="C252">
        <f t="shared" si="144"/>
        <v>3</v>
      </c>
      <c r="D252">
        <f t="shared" si="145"/>
        <v>0</v>
      </c>
      <c r="E252">
        <f t="shared" si="146"/>
        <v>9</v>
      </c>
      <c r="F252">
        <f t="shared" si="147"/>
        <v>12</v>
      </c>
      <c r="G252">
        <f t="shared" si="148"/>
        <v>2</v>
      </c>
      <c r="H252">
        <f t="shared" si="149"/>
        <v>9</v>
      </c>
      <c r="I252">
        <f t="shared" si="150"/>
        <v>1.33</v>
      </c>
      <c r="J252">
        <f t="shared" si="151"/>
        <v>0.67</v>
      </c>
      <c r="K252">
        <f t="shared" si="152"/>
        <v>0.33</v>
      </c>
      <c r="L252">
        <f t="shared" si="153"/>
        <v>0.33</v>
      </c>
      <c r="M252">
        <f t="shared" si="154"/>
        <v>0</v>
      </c>
      <c r="N252">
        <f t="shared" si="155"/>
        <v>1.07</v>
      </c>
      <c r="O252" t="str">
        <f t="shared" si="156"/>
        <v>松散</v>
      </c>
      <c r="P252" t="str">
        <f t="shared" si="157"/>
        <v>极紧凑</v>
      </c>
      <c r="Q252" t="str">
        <f t="shared" si="158"/>
        <v>✓有效</v>
      </c>
      <c r="R252" t="str">
        <f t="shared" si="159"/>
        <v>正常</v>
      </c>
    </row>
    <row r="253" ht="14.25" customHeight="1" spans="1:18">
      <c r="A253" s="10">
        <v>2023224</v>
      </c>
      <c r="B253" s="12" t="s">
        <v>268</v>
      </c>
      <c r="C253">
        <f t="shared" si="144"/>
        <v>4</v>
      </c>
      <c r="D253">
        <f t="shared" si="145"/>
        <v>4</v>
      </c>
      <c r="E253">
        <f t="shared" si="146"/>
        <v>7</v>
      </c>
      <c r="F253">
        <f t="shared" si="147"/>
        <v>15</v>
      </c>
      <c r="G253">
        <f t="shared" si="148"/>
        <v>5</v>
      </c>
      <c r="H253">
        <f t="shared" si="149"/>
        <v>3</v>
      </c>
      <c r="I253">
        <f t="shared" si="150"/>
        <v>5</v>
      </c>
      <c r="J253">
        <f t="shared" si="151"/>
        <v>0.33</v>
      </c>
      <c r="K253">
        <f t="shared" si="152"/>
        <v>0.33</v>
      </c>
      <c r="L253">
        <f t="shared" si="153"/>
        <v>0.33</v>
      </c>
      <c r="M253">
        <f t="shared" si="154"/>
        <v>0</v>
      </c>
      <c r="N253">
        <f t="shared" si="155"/>
        <v>2.47</v>
      </c>
      <c r="O253" t="str">
        <f t="shared" si="156"/>
        <v>紧凑</v>
      </c>
      <c r="P253" t="str">
        <f t="shared" si="157"/>
        <v>紧凑</v>
      </c>
      <c r="Q253" t="str">
        <f t="shared" si="158"/>
        <v>✓有效</v>
      </c>
      <c r="R253" t="str">
        <f t="shared" si="159"/>
        <v>正常</v>
      </c>
    </row>
    <row r="254" ht="14.25" customHeight="1" spans="1:18">
      <c r="A254" s="10">
        <v>2023225</v>
      </c>
      <c r="B254" s="12" t="s">
        <v>269</v>
      </c>
      <c r="C254">
        <f t="shared" si="144"/>
        <v>7</v>
      </c>
      <c r="D254">
        <f t="shared" si="145"/>
        <v>9</v>
      </c>
      <c r="E254">
        <f t="shared" si="146"/>
        <v>8</v>
      </c>
      <c r="F254">
        <f t="shared" si="147"/>
        <v>24</v>
      </c>
      <c r="G254">
        <f t="shared" si="148"/>
        <v>4</v>
      </c>
      <c r="H254">
        <f t="shared" si="149"/>
        <v>2</v>
      </c>
      <c r="I254">
        <f t="shared" si="150"/>
        <v>12</v>
      </c>
      <c r="J254">
        <f t="shared" si="151"/>
        <v>0.67</v>
      </c>
      <c r="K254">
        <f t="shared" si="152"/>
        <v>1</v>
      </c>
      <c r="L254">
        <f t="shared" si="153"/>
        <v>0.33</v>
      </c>
      <c r="M254">
        <f t="shared" si="154"/>
        <v>2</v>
      </c>
      <c r="N254">
        <f t="shared" si="155"/>
        <v>5.27</v>
      </c>
      <c r="O254" t="str">
        <f t="shared" si="156"/>
        <v>紧凑</v>
      </c>
      <c r="P254" t="str">
        <f t="shared" si="157"/>
        <v>松散</v>
      </c>
      <c r="Q254" t="str">
        <f t="shared" si="158"/>
        <v>✓有效</v>
      </c>
      <c r="R254" t="str">
        <f t="shared" si="159"/>
        <v>异常</v>
      </c>
    </row>
    <row r="255" ht="14.25" customHeight="1" spans="1:18">
      <c r="A255" s="10">
        <v>2023226</v>
      </c>
      <c r="B255" s="12" t="s">
        <v>227</v>
      </c>
      <c r="C255">
        <f t="shared" si="144"/>
        <v>1</v>
      </c>
      <c r="D255">
        <f t="shared" si="145"/>
        <v>8</v>
      </c>
      <c r="E255">
        <f t="shared" si="146"/>
        <v>2</v>
      </c>
      <c r="F255">
        <f t="shared" si="147"/>
        <v>11</v>
      </c>
      <c r="G255">
        <f t="shared" si="148"/>
        <v>1</v>
      </c>
      <c r="H255">
        <f t="shared" si="149"/>
        <v>7</v>
      </c>
      <c r="I255">
        <f t="shared" si="150"/>
        <v>1.57</v>
      </c>
      <c r="J255">
        <f t="shared" si="151"/>
        <v>0.33</v>
      </c>
      <c r="K255">
        <f t="shared" si="152"/>
        <v>0.33</v>
      </c>
      <c r="L255">
        <f t="shared" si="153"/>
        <v>0.33</v>
      </c>
      <c r="M255">
        <f t="shared" si="154"/>
        <v>1</v>
      </c>
      <c r="N255">
        <f t="shared" si="155"/>
        <v>0.99</v>
      </c>
      <c r="O255" t="str">
        <f t="shared" si="156"/>
        <v>松散</v>
      </c>
      <c r="P255" t="str">
        <f t="shared" si="157"/>
        <v>极紧凑</v>
      </c>
      <c r="Q255" t="str">
        <f t="shared" si="158"/>
        <v>✓有效</v>
      </c>
      <c r="R255" t="str">
        <f t="shared" si="159"/>
        <v>正常</v>
      </c>
    </row>
    <row r="256" ht="14.25" customHeight="1" spans="1:18">
      <c r="A256" s="10">
        <v>2023227</v>
      </c>
      <c r="B256" s="12" t="s">
        <v>94</v>
      </c>
      <c r="C256">
        <f t="shared" si="144"/>
        <v>2</v>
      </c>
      <c r="D256">
        <f t="shared" si="145"/>
        <v>0</v>
      </c>
      <c r="E256">
        <f t="shared" si="146"/>
        <v>6</v>
      </c>
      <c r="F256">
        <f t="shared" si="147"/>
        <v>8</v>
      </c>
      <c r="G256">
        <f t="shared" si="148"/>
        <v>8</v>
      </c>
      <c r="H256">
        <f t="shared" si="149"/>
        <v>6</v>
      </c>
      <c r="I256">
        <f t="shared" si="150"/>
        <v>1.33</v>
      </c>
      <c r="J256">
        <f t="shared" si="151"/>
        <v>0</v>
      </c>
      <c r="K256">
        <f t="shared" si="152"/>
        <v>0.33</v>
      </c>
      <c r="L256">
        <f t="shared" si="153"/>
        <v>0.33</v>
      </c>
      <c r="M256">
        <f t="shared" si="154"/>
        <v>0</v>
      </c>
      <c r="N256">
        <f t="shared" si="155"/>
        <v>0.93</v>
      </c>
      <c r="O256" t="str">
        <f t="shared" si="156"/>
        <v>松散</v>
      </c>
      <c r="P256" t="str">
        <f t="shared" si="157"/>
        <v>极紧凑</v>
      </c>
      <c r="Q256" t="str">
        <f t="shared" si="158"/>
        <v>✓有效</v>
      </c>
      <c r="R256" t="str">
        <f t="shared" si="159"/>
        <v>正常</v>
      </c>
    </row>
    <row r="257" ht="14.25" customHeight="1" spans="1:18">
      <c r="A257" s="10">
        <v>2023228</v>
      </c>
      <c r="B257" s="12" t="s">
        <v>249</v>
      </c>
      <c r="C257">
        <f t="shared" si="144"/>
        <v>9</v>
      </c>
      <c r="D257">
        <f t="shared" si="145"/>
        <v>8</v>
      </c>
      <c r="E257">
        <f t="shared" si="146"/>
        <v>5</v>
      </c>
      <c r="F257">
        <f t="shared" si="147"/>
        <v>22</v>
      </c>
      <c r="G257">
        <f t="shared" si="148"/>
        <v>2</v>
      </c>
      <c r="H257">
        <f t="shared" si="149"/>
        <v>4</v>
      </c>
      <c r="I257">
        <f t="shared" si="150"/>
        <v>5.5</v>
      </c>
      <c r="J257">
        <f t="shared" si="151"/>
        <v>0.67</v>
      </c>
      <c r="K257">
        <f t="shared" si="152"/>
        <v>1</v>
      </c>
      <c r="L257">
        <f t="shared" si="153"/>
        <v>0.33</v>
      </c>
      <c r="M257">
        <f t="shared" si="154"/>
        <v>1</v>
      </c>
      <c r="N257">
        <f t="shared" si="155"/>
        <v>2.77</v>
      </c>
      <c r="O257" t="str">
        <f t="shared" si="156"/>
        <v>紧凑</v>
      </c>
      <c r="P257" t="str">
        <f t="shared" si="157"/>
        <v>紧凑</v>
      </c>
      <c r="Q257" t="str">
        <f t="shared" si="158"/>
        <v>✓有效</v>
      </c>
      <c r="R257" t="str">
        <f t="shared" si="159"/>
        <v>正常</v>
      </c>
    </row>
    <row r="258" ht="14.25" customHeight="1" spans="1:18">
      <c r="A258" s="10">
        <v>2023229</v>
      </c>
      <c r="B258" s="12" t="s">
        <v>270</v>
      </c>
      <c r="C258">
        <f t="shared" si="144"/>
        <v>1</v>
      </c>
      <c r="D258">
        <f t="shared" si="145"/>
        <v>4</v>
      </c>
      <c r="E258">
        <f t="shared" si="146"/>
        <v>2</v>
      </c>
      <c r="F258">
        <f t="shared" si="147"/>
        <v>7</v>
      </c>
      <c r="G258">
        <f t="shared" si="148"/>
        <v>7</v>
      </c>
      <c r="H258">
        <f t="shared" si="149"/>
        <v>3</v>
      </c>
      <c r="I258">
        <f t="shared" si="150"/>
        <v>2.33</v>
      </c>
      <c r="J258">
        <f t="shared" si="151"/>
        <v>0.33</v>
      </c>
      <c r="K258">
        <f t="shared" si="152"/>
        <v>0</v>
      </c>
      <c r="L258">
        <f t="shared" si="153"/>
        <v>0.33</v>
      </c>
      <c r="M258">
        <f t="shared" si="154"/>
        <v>1</v>
      </c>
      <c r="N258">
        <f t="shared" si="155"/>
        <v>1.23</v>
      </c>
      <c r="O258" t="str">
        <f t="shared" si="156"/>
        <v>标准</v>
      </c>
      <c r="P258" t="str">
        <f t="shared" si="157"/>
        <v>极紧凑</v>
      </c>
      <c r="Q258" t="str">
        <f t="shared" si="158"/>
        <v>✓有效</v>
      </c>
      <c r="R258" t="str">
        <f t="shared" si="159"/>
        <v>正常</v>
      </c>
    </row>
    <row r="259" ht="14.25" customHeight="1" spans="1:18">
      <c r="A259" s="10">
        <v>2023230</v>
      </c>
      <c r="B259" s="12" t="s">
        <v>271</v>
      </c>
      <c r="C259">
        <f t="shared" si="144"/>
        <v>7</v>
      </c>
      <c r="D259">
        <f t="shared" si="145"/>
        <v>8</v>
      </c>
      <c r="E259">
        <f t="shared" si="146"/>
        <v>7</v>
      </c>
      <c r="F259">
        <f t="shared" si="147"/>
        <v>22</v>
      </c>
      <c r="G259">
        <f t="shared" si="148"/>
        <v>2</v>
      </c>
      <c r="H259">
        <f t="shared" si="149"/>
        <v>1</v>
      </c>
      <c r="I259">
        <f t="shared" si="150"/>
        <v>22</v>
      </c>
      <c r="J259">
        <f t="shared" si="151"/>
        <v>0.67</v>
      </c>
      <c r="K259">
        <f t="shared" si="152"/>
        <v>1</v>
      </c>
      <c r="L259">
        <f t="shared" si="153"/>
        <v>0.67</v>
      </c>
      <c r="M259">
        <f t="shared" si="154"/>
        <v>2</v>
      </c>
      <c r="N259">
        <f t="shared" si="155"/>
        <v>9.3</v>
      </c>
      <c r="O259" t="str">
        <f t="shared" si="156"/>
        <v>紧凑</v>
      </c>
      <c r="P259" t="str">
        <f t="shared" si="157"/>
        <v>松散</v>
      </c>
      <c r="Q259" t="str">
        <f t="shared" si="158"/>
        <v>✓有效</v>
      </c>
      <c r="R259" t="str">
        <f t="shared" si="159"/>
        <v>异常</v>
      </c>
    </row>
    <row r="260" ht="14.25" customHeight="1" spans="1:18">
      <c r="A260" s="10">
        <v>2023231</v>
      </c>
      <c r="B260" s="12" t="s">
        <v>272</v>
      </c>
      <c r="C260">
        <f t="shared" si="144"/>
        <v>0</v>
      </c>
      <c r="D260">
        <f t="shared" si="145"/>
        <v>4</v>
      </c>
      <c r="E260">
        <f t="shared" si="146"/>
        <v>9</v>
      </c>
      <c r="F260">
        <f t="shared" si="147"/>
        <v>13</v>
      </c>
      <c r="G260">
        <f t="shared" si="148"/>
        <v>3</v>
      </c>
      <c r="H260">
        <f t="shared" si="149"/>
        <v>9</v>
      </c>
      <c r="I260">
        <f t="shared" si="150"/>
        <v>1.44</v>
      </c>
      <c r="J260">
        <f t="shared" si="151"/>
        <v>0.33</v>
      </c>
      <c r="K260">
        <f t="shared" si="152"/>
        <v>0.33</v>
      </c>
      <c r="L260">
        <f t="shared" si="153"/>
        <v>0</v>
      </c>
      <c r="M260">
        <f t="shared" si="154"/>
        <v>0</v>
      </c>
      <c r="N260">
        <f t="shared" si="155"/>
        <v>1.01</v>
      </c>
      <c r="O260" t="str">
        <f t="shared" si="156"/>
        <v>松散</v>
      </c>
      <c r="P260" t="str">
        <f t="shared" si="157"/>
        <v>极紧凑</v>
      </c>
      <c r="Q260" t="str">
        <f t="shared" si="158"/>
        <v>✓有效</v>
      </c>
      <c r="R260" t="str">
        <f t="shared" si="159"/>
        <v>正常</v>
      </c>
    </row>
    <row r="261" ht="14.25" customHeight="1" spans="1:18">
      <c r="A261" s="10">
        <v>2023232</v>
      </c>
      <c r="B261" s="12" t="s">
        <v>122</v>
      </c>
      <c r="C261">
        <f t="shared" si="144"/>
        <v>1</v>
      </c>
      <c r="D261">
        <f t="shared" si="145"/>
        <v>3</v>
      </c>
      <c r="E261">
        <f t="shared" si="146"/>
        <v>3</v>
      </c>
      <c r="F261">
        <f t="shared" si="147"/>
        <v>7</v>
      </c>
      <c r="G261">
        <f t="shared" si="148"/>
        <v>7</v>
      </c>
      <c r="H261">
        <f t="shared" si="149"/>
        <v>2</v>
      </c>
      <c r="I261">
        <f t="shared" si="150"/>
        <v>3.5</v>
      </c>
      <c r="J261">
        <f t="shared" si="151"/>
        <v>1</v>
      </c>
      <c r="K261">
        <f t="shared" si="152"/>
        <v>0</v>
      </c>
      <c r="L261">
        <f t="shared" si="153"/>
        <v>0.67</v>
      </c>
      <c r="M261">
        <f t="shared" si="154"/>
        <v>0</v>
      </c>
      <c r="N261">
        <f t="shared" si="155"/>
        <v>1.97</v>
      </c>
      <c r="O261" t="str">
        <f t="shared" si="156"/>
        <v>标准</v>
      </c>
      <c r="P261" t="str">
        <f t="shared" si="157"/>
        <v>紧凑</v>
      </c>
      <c r="Q261" t="str">
        <f t="shared" si="158"/>
        <v>✓有效</v>
      </c>
      <c r="R261" t="str">
        <f t="shared" si="159"/>
        <v>正常</v>
      </c>
    </row>
    <row r="262" ht="14.25" customHeight="1" spans="1:18">
      <c r="A262" s="10">
        <v>2023233</v>
      </c>
      <c r="B262" s="12" t="s">
        <v>273</v>
      </c>
      <c r="C262">
        <f t="shared" si="144"/>
        <v>9</v>
      </c>
      <c r="D262">
        <f t="shared" si="145"/>
        <v>2</v>
      </c>
      <c r="E262">
        <f t="shared" si="146"/>
        <v>8</v>
      </c>
      <c r="F262">
        <f t="shared" si="147"/>
        <v>19</v>
      </c>
      <c r="G262">
        <f t="shared" si="148"/>
        <v>9</v>
      </c>
      <c r="H262">
        <f t="shared" si="149"/>
        <v>7</v>
      </c>
      <c r="I262">
        <f t="shared" si="150"/>
        <v>2.71</v>
      </c>
      <c r="J262">
        <f t="shared" si="151"/>
        <v>0.33</v>
      </c>
      <c r="K262">
        <f t="shared" si="152"/>
        <v>0.67</v>
      </c>
      <c r="L262">
        <f t="shared" si="153"/>
        <v>0.33</v>
      </c>
      <c r="M262">
        <f t="shared" si="154"/>
        <v>1</v>
      </c>
      <c r="N262">
        <f t="shared" si="155"/>
        <v>1.52</v>
      </c>
      <c r="O262" t="str">
        <f t="shared" si="156"/>
        <v>标准</v>
      </c>
      <c r="P262" t="str">
        <f t="shared" si="157"/>
        <v>紧凑</v>
      </c>
      <c r="Q262" t="str">
        <f t="shared" si="158"/>
        <v>✓有效</v>
      </c>
      <c r="R262" t="str">
        <f t="shared" si="159"/>
        <v>正常</v>
      </c>
    </row>
    <row r="263" ht="14.25" customHeight="1" spans="1:18">
      <c r="A263" s="10">
        <v>2023234</v>
      </c>
      <c r="B263" s="12" t="s">
        <v>274</v>
      </c>
      <c r="C263">
        <f t="shared" si="144"/>
        <v>1</v>
      </c>
      <c r="D263">
        <f t="shared" si="145"/>
        <v>0</v>
      </c>
      <c r="E263">
        <f t="shared" si="146"/>
        <v>9</v>
      </c>
      <c r="F263">
        <f t="shared" si="147"/>
        <v>10</v>
      </c>
      <c r="G263">
        <f t="shared" si="148"/>
        <v>0</v>
      </c>
      <c r="H263">
        <f t="shared" si="149"/>
        <v>9</v>
      </c>
      <c r="I263">
        <f t="shared" si="150"/>
        <v>1.11</v>
      </c>
      <c r="J263">
        <f t="shared" si="151"/>
        <v>0.67</v>
      </c>
      <c r="K263">
        <f t="shared" si="152"/>
        <v>0.33</v>
      </c>
      <c r="L263">
        <f t="shared" si="153"/>
        <v>0</v>
      </c>
      <c r="M263">
        <f t="shared" si="154"/>
        <v>1</v>
      </c>
      <c r="N263">
        <f t="shared" si="155"/>
        <v>0.84</v>
      </c>
      <c r="O263" t="str">
        <f t="shared" si="156"/>
        <v>松散</v>
      </c>
      <c r="P263" t="str">
        <f t="shared" si="157"/>
        <v>极紧凑</v>
      </c>
      <c r="Q263" t="str">
        <f t="shared" si="158"/>
        <v>✓有效</v>
      </c>
      <c r="R263" t="str">
        <f t="shared" si="159"/>
        <v>正常</v>
      </c>
    </row>
    <row r="264" ht="14.25" customHeight="1" spans="1:18">
      <c r="A264" s="10">
        <v>2023235</v>
      </c>
      <c r="B264" s="12" t="s">
        <v>275</v>
      </c>
      <c r="C264">
        <f t="shared" si="144"/>
        <v>4</v>
      </c>
      <c r="D264">
        <f t="shared" si="145"/>
        <v>8</v>
      </c>
      <c r="E264">
        <f t="shared" si="146"/>
        <v>0</v>
      </c>
      <c r="F264">
        <f t="shared" si="147"/>
        <v>12</v>
      </c>
      <c r="G264">
        <f t="shared" si="148"/>
        <v>2</v>
      </c>
      <c r="H264">
        <f t="shared" si="149"/>
        <v>8</v>
      </c>
      <c r="I264">
        <f t="shared" si="150"/>
        <v>1.5</v>
      </c>
      <c r="J264">
        <f t="shared" si="151"/>
        <v>0</v>
      </c>
      <c r="K264">
        <f t="shared" si="152"/>
        <v>0.33</v>
      </c>
      <c r="L264">
        <f t="shared" si="153"/>
        <v>0</v>
      </c>
      <c r="M264">
        <f t="shared" si="154"/>
        <v>0</v>
      </c>
      <c r="N264">
        <f t="shared" si="155"/>
        <v>0.97</v>
      </c>
      <c r="O264" t="str">
        <f t="shared" si="156"/>
        <v>松散</v>
      </c>
      <c r="P264" t="str">
        <f t="shared" si="157"/>
        <v>极紧凑</v>
      </c>
      <c r="Q264" t="str">
        <f t="shared" si="158"/>
        <v>✓有效</v>
      </c>
      <c r="R264" t="str">
        <f t="shared" si="159"/>
        <v>正常</v>
      </c>
    </row>
    <row r="265" ht="14.25" customHeight="1" spans="1:18">
      <c r="A265" s="10">
        <v>2023236</v>
      </c>
      <c r="B265" s="12" t="s">
        <v>276</v>
      </c>
      <c r="C265">
        <f t="shared" si="144"/>
        <v>6</v>
      </c>
      <c r="D265">
        <f t="shared" si="145"/>
        <v>8</v>
      </c>
      <c r="E265">
        <f t="shared" si="146"/>
        <v>0</v>
      </c>
      <c r="F265">
        <f t="shared" si="147"/>
        <v>14</v>
      </c>
      <c r="G265">
        <f t="shared" si="148"/>
        <v>4</v>
      </c>
      <c r="H265">
        <f t="shared" si="149"/>
        <v>8</v>
      </c>
      <c r="I265">
        <f t="shared" si="150"/>
        <v>1.75</v>
      </c>
      <c r="J265">
        <f t="shared" si="151"/>
        <v>0</v>
      </c>
      <c r="K265">
        <f t="shared" si="152"/>
        <v>0.67</v>
      </c>
      <c r="L265">
        <f t="shared" si="153"/>
        <v>0</v>
      </c>
      <c r="M265">
        <f t="shared" si="154"/>
        <v>0</v>
      </c>
      <c r="N265">
        <f t="shared" si="155"/>
        <v>1.13</v>
      </c>
      <c r="O265" t="str">
        <f t="shared" si="156"/>
        <v>松散</v>
      </c>
      <c r="P265" t="str">
        <f t="shared" si="157"/>
        <v>极紧凑</v>
      </c>
      <c r="Q265" t="str">
        <f t="shared" si="158"/>
        <v>✓有效</v>
      </c>
      <c r="R265" t="str">
        <f t="shared" si="159"/>
        <v>正常</v>
      </c>
    </row>
    <row r="266" ht="14.25" customHeight="1" spans="1:18">
      <c r="A266" s="10">
        <v>2023237</v>
      </c>
      <c r="B266" s="12" t="s">
        <v>277</v>
      </c>
      <c r="C266">
        <f t="shared" si="144"/>
        <v>0</v>
      </c>
      <c r="D266">
        <f t="shared" si="145"/>
        <v>9</v>
      </c>
      <c r="E266">
        <f t="shared" si="146"/>
        <v>6</v>
      </c>
      <c r="F266">
        <f t="shared" si="147"/>
        <v>15</v>
      </c>
      <c r="G266">
        <f t="shared" si="148"/>
        <v>5</v>
      </c>
      <c r="H266">
        <f t="shared" si="149"/>
        <v>9</v>
      </c>
      <c r="I266">
        <f t="shared" si="150"/>
        <v>1.67</v>
      </c>
      <c r="J266">
        <f t="shared" si="151"/>
        <v>0.33</v>
      </c>
      <c r="K266">
        <f t="shared" si="152"/>
        <v>0.67</v>
      </c>
      <c r="L266">
        <f t="shared" si="153"/>
        <v>0</v>
      </c>
      <c r="M266">
        <f t="shared" si="154"/>
        <v>0</v>
      </c>
      <c r="N266">
        <f t="shared" si="155"/>
        <v>1.17</v>
      </c>
      <c r="O266" t="str">
        <f t="shared" si="156"/>
        <v>松散</v>
      </c>
      <c r="P266" t="str">
        <f t="shared" si="157"/>
        <v>极紧凑</v>
      </c>
      <c r="Q266" t="str">
        <f t="shared" si="158"/>
        <v>✓有效</v>
      </c>
      <c r="R266" t="str">
        <f t="shared" si="159"/>
        <v>正常</v>
      </c>
    </row>
    <row r="267" ht="14.25" customHeight="1" spans="1:18">
      <c r="A267" s="10">
        <v>2023238</v>
      </c>
      <c r="B267" s="12" t="s">
        <v>278</v>
      </c>
      <c r="C267">
        <f t="shared" si="144"/>
        <v>4</v>
      </c>
      <c r="D267">
        <f t="shared" si="145"/>
        <v>5</v>
      </c>
      <c r="E267">
        <f t="shared" si="146"/>
        <v>5</v>
      </c>
      <c r="F267">
        <f t="shared" si="147"/>
        <v>14</v>
      </c>
      <c r="G267">
        <f t="shared" si="148"/>
        <v>4</v>
      </c>
      <c r="H267">
        <f t="shared" si="149"/>
        <v>1</v>
      </c>
      <c r="I267">
        <f t="shared" si="150"/>
        <v>14</v>
      </c>
      <c r="J267">
        <f t="shared" si="151"/>
        <v>0.67</v>
      </c>
      <c r="K267">
        <f t="shared" si="152"/>
        <v>0.67</v>
      </c>
      <c r="L267">
        <f t="shared" si="153"/>
        <v>0.67</v>
      </c>
      <c r="M267">
        <f t="shared" si="154"/>
        <v>2</v>
      </c>
      <c r="N267">
        <f t="shared" si="155"/>
        <v>6.04</v>
      </c>
      <c r="O267" t="str">
        <f t="shared" si="156"/>
        <v>紧凑</v>
      </c>
      <c r="P267" t="str">
        <f t="shared" si="157"/>
        <v>松散</v>
      </c>
      <c r="Q267" t="str">
        <f t="shared" si="158"/>
        <v>✓有效</v>
      </c>
      <c r="R267" t="str">
        <f t="shared" si="159"/>
        <v>异常</v>
      </c>
    </row>
    <row r="268" ht="14.25" customHeight="1" spans="1:18">
      <c r="A268" s="10">
        <v>2023239</v>
      </c>
      <c r="B268" s="11">
        <v>731</v>
      </c>
      <c r="C268">
        <f t="shared" ref="C268:C295" si="160">IF(B268="","",LEFT(TEXT(B268,"000"),1)*1)</f>
        <v>7</v>
      </c>
      <c r="D268">
        <f t="shared" ref="D268:D295" si="161">IF(B268="","",MID(TEXT(B268,"000"),2,1)*1)</f>
        <v>3</v>
      </c>
      <c r="E268">
        <f t="shared" ref="E268:E295" si="162">IF(B268="","",RIGHT(TEXT(B268,"000"),1)*1)</f>
        <v>1</v>
      </c>
      <c r="F268">
        <f t="shared" ref="F268:F295" si="163">IF(B268="","",C268+D268+E268)</f>
        <v>11</v>
      </c>
      <c r="G268">
        <f t="shared" ref="G268:G295" si="164">IF(B268="","",MOD(F268,10))</f>
        <v>1</v>
      </c>
      <c r="H268">
        <f t="shared" ref="H268:H295" si="165">IF(B268="","",MAX(C268,D268,E268)-MIN(C268,D268,E268))</f>
        <v>6</v>
      </c>
      <c r="I268">
        <f t="shared" ref="I268:I295" si="166">IF(OR(B268="",H268=0),IF(H268=0,0.1,""),ROUND(F268/H268,2))</f>
        <v>1.83</v>
      </c>
      <c r="J268">
        <f t="shared" ref="J268:J295" si="167">IF(B268="","",ROUND((MOD(C268,2)+MOD(D268,2)+MOD(E268,2))/3,2))</f>
        <v>1</v>
      </c>
      <c r="K268">
        <f t="shared" ref="K268:K295" si="168">IF(B268="","",ROUND(((C268&gt;=5)+(D268&gt;=5)+(E268&gt;=5))/3,2))</f>
        <v>0.33</v>
      </c>
      <c r="L268">
        <f t="shared" ref="L268:L295" si="169">IF(B268="","",ROUND((ISNUMBER(FIND(C268,"2357"))+ISNUMBER(FIND(D268,"2357"))+ISNUMBER(FIND(E268,"2357")))/3,2))</f>
        <v>0.67</v>
      </c>
      <c r="M268">
        <f t="shared" ref="M268:M295" si="170">IF(B268="","",((ABS(C268-D268)=1)+(ABS(D268-E268)=1)+(ABS(C268-E268)=1)))</f>
        <v>0</v>
      </c>
      <c r="N268">
        <f t="shared" ref="N268:N295" si="171">IF(B268="","",ROUND(I268*0.4+J268*0.2+K268*0.2+L268*0.1+(3-M268)*0.1,2))</f>
        <v>1.37</v>
      </c>
      <c r="O268" t="str">
        <f t="shared" ref="O268:O295" si="172">IF(I268=0.1,"极紧凑",IF(I268&gt;3.5,"紧凑",IF(AND(I268&gt;=2,I268&lt;=3.5),"标准",IF(AND(I268&gt;=1,I268&lt;2),"松散",""))))</f>
        <v>松散</v>
      </c>
      <c r="P268" t="str">
        <f t="shared" ref="P268:P295" si="173">IF(B268="","",IF(N268&lt;=1.5,"极紧凑",IF(N268&lt;=3,"紧凑",IF(N268&lt;=5,"标准","松散"))))</f>
        <v>极紧凑</v>
      </c>
      <c r="Q268" t="str">
        <f t="shared" ref="Q268:Q295" si="174">IF(B268="","",IF(AND(C268&gt;=0,C268&lt;=9,D268&gt;=0,D268&lt;=9,E268&gt;=0,E268&lt;=9),"✓有效","✗无效"))</f>
        <v>✓有效</v>
      </c>
      <c r="R268" t="str">
        <f t="shared" ref="R268:R295" si="175">IF(B268="","",IF(OR(I268&gt;10,I268&lt;0.1),"异常","正常"))</f>
        <v>正常</v>
      </c>
    </row>
    <row r="269" ht="14.25" customHeight="1" spans="1:18">
      <c r="A269" s="10">
        <v>2023240</v>
      </c>
      <c r="B269" s="12" t="s">
        <v>279</v>
      </c>
      <c r="C269">
        <f t="shared" si="160"/>
        <v>2</v>
      </c>
      <c r="D269">
        <f t="shared" si="161"/>
        <v>3</v>
      </c>
      <c r="E269">
        <f t="shared" si="162"/>
        <v>2</v>
      </c>
      <c r="F269">
        <f t="shared" si="163"/>
        <v>7</v>
      </c>
      <c r="G269">
        <f t="shared" si="164"/>
        <v>7</v>
      </c>
      <c r="H269">
        <f t="shared" si="165"/>
        <v>1</v>
      </c>
      <c r="I269">
        <f t="shared" si="166"/>
        <v>7</v>
      </c>
      <c r="J269">
        <f t="shared" si="167"/>
        <v>0.33</v>
      </c>
      <c r="K269">
        <f t="shared" si="168"/>
        <v>0</v>
      </c>
      <c r="L269">
        <f t="shared" si="169"/>
        <v>1</v>
      </c>
      <c r="M269">
        <f t="shared" si="170"/>
        <v>2</v>
      </c>
      <c r="N269">
        <f t="shared" si="171"/>
        <v>3.07</v>
      </c>
      <c r="O269" t="str">
        <f t="shared" si="172"/>
        <v>紧凑</v>
      </c>
      <c r="P269" t="str">
        <f t="shared" si="173"/>
        <v>标准</v>
      </c>
      <c r="Q269" t="str">
        <f t="shared" si="174"/>
        <v>✓有效</v>
      </c>
      <c r="R269" t="str">
        <f t="shared" si="175"/>
        <v>正常</v>
      </c>
    </row>
    <row r="270" ht="14.25" customHeight="1" spans="1:18">
      <c r="A270" s="10">
        <v>2023241</v>
      </c>
      <c r="B270" s="12" t="s">
        <v>106</v>
      </c>
      <c r="C270">
        <f t="shared" si="160"/>
        <v>4</v>
      </c>
      <c r="D270">
        <f t="shared" si="161"/>
        <v>9</v>
      </c>
      <c r="E270">
        <f t="shared" si="162"/>
        <v>5</v>
      </c>
      <c r="F270">
        <f t="shared" si="163"/>
        <v>18</v>
      </c>
      <c r="G270">
        <f t="shared" si="164"/>
        <v>8</v>
      </c>
      <c r="H270">
        <f t="shared" si="165"/>
        <v>5</v>
      </c>
      <c r="I270">
        <f t="shared" si="166"/>
        <v>3.6</v>
      </c>
      <c r="J270">
        <f t="shared" si="167"/>
        <v>0.67</v>
      </c>
      <c r="K270">
        <f t="shared" si="168"/>
        <v>0.67</v>
      </c>
      <c r="L270">
        <f t="shared" si="169"/>
        <v>0.33</v>
      </c>
      <c r="M270">
        <f t="shared" si="170"/>
        <v>1</v>
      </c>
      <c r="N270">
        <f t="shared" si="171"/>
        <v>1.94</v>
      </c>
      <c r="O270" t="str">
        <f t="shared" si="172"/>
        <v>紧凑</v>
      </c>
      <c r="P270" t="str">
        <f t="shared" si="173"/>
        <v>紧凑</v>
      </c>
      <c r="Q270" t="str">
        <f t="shared" si="174"/>
        <v>✓有效</v>
      </c>
      <c r="R270" t="str">
        <f t="shared" si="175"/>
        <v>正常</v>
      </c>
    </row>
    <row r="271" ht="14.25" customHeight="1" spans="1:18">
      <c r="A271" s="10">
        <v>2023242</v>
      </c>
      <c r="B271" s="12" t="s">
        <v>280</v>
      </c>
      <c r="C271">
        <f t="shared" si="160"/>
        <v>4</v>
      </c>
      <c r="D271">
        <f t="shared" si="161"/>
        <v>6</v>
      </c>
      <c r="E271">
        <f t="shared" si="162"/>
        <v>8</v>
      </c>
      <c r="F271">
        <f t="shared" si="163"/>
        <v>18</v>
      </c>
      <c r="G271">
        <f t="shared" si="164"/>
        <v>8</v>
      </c>
      <c r="H271">
        <f t="shared" si="165"/>
        <v>4</v>
      </c>
      <c r="I271">
        <f t="shared" si="166"/>
        <v>4.5</v>
      </c>
      <c r="J271">
        <f t="shared" si="167"/>
        <v>0</v>
      </c>
      <c r="K271">
        <f t="shared" si="168"/>
        <v>0.67</v>
      </c>
      <c r="L271">
        <f t="shared" si="169"/>
        <v>0</v>
      </c>
      <c r="M271">
        <f t="shared" si="170"/>
        <v>0</v>
      </c>
      <c r="N271">
        <f t="shared" si="171"/>
        <v>2.23</v>
      </c>
      <c r="O271" t="str">
        <f t="shared" si="172"/>
        <v>紧凑</v>
      </c>
      <c r="P271" t="str">
        <f t="shared" si="173"/>
        <v>紧凑</v>
      </c>
      <c r="Q271" t="str">
        <f t="shared" si="174"/>
        <v>✓有效</v>
      </c>
      <c r="R271" t="str">
        <f t="shared" si="175"/>
        <v>正常</v>
      </c>
    </row>
    <row r="272" ht="14.25" customHeight="1" spans="1:18">
      <c r="A272" s="10">
        <v>2023243</v>
      </c>
      <c r="B272" s="12" t="s">
        <v>281</v>
      </c>
      <c r="C272">
        <f t="shared" si="160"/>
        <v>8</v>
      </c>
      <c r="D272">
        <f t="shared" si="161"/>
        <v>4</v>
      </c>
      <c r="E272">
        <f t="shared" si="162"/>
        <v>8</v>
      </c>
      <c r="F272">
        <f t="shared" si="163"/>
        <v>20</v>
      </c>
      <c r="G272">
        <f t="shared" si="164"/>
        <v>0</v>
      </c>
      <c r="H272">
        <f t="shared" si="165"/>
        <v>4</v>
      </c>
      <c r="I272">
        <f t="shared" si="166"/>
        <v>5</v>
      </c>
      <c r="J272">
        <f t="shared" si="167"/>
        <v>0</v>
      </c>
      <c r="K272">
        <f t="shared" si="168"/>
        <v>0.67</v>
      </c>
      <c r="L272">
        <f t="shared" si="169"/>
        <v>0</v>
      </c>
      <c r="M272">
        <f t="shared" si="170"/>
        <v>0</v>
      </c>
      <c r="N272">
        <f t="shared" si="171"/>
        <v>2.43</v>
      </c>
      <c r="O272" t="str">
        <f t="shared" si="172"/>
        <v>紧凑</v>
      </c>
      <c r="P272" t="str">
        <f t="shared" si="173"/>
        <v>紧凑</v>
      </c>
      <c r="Q272" t="str">
        <f t="shared" si="174"/>
        <v>✓有效</v>
      </c>
      <c r="R272" t="str">
        <f t="shared" si="175"/>
        <v>正常</v>
      </c>
    </row>
    <row r="273" ht="14.25" customHeight="1" spans="1:18">
      <c r="A273" s="10">
        <v>2023244</v>
      </c>
      <c r="B273" s="12" t="s">
        <v>282</v>
      </c>
      <c r="C273">
        <f t="shared" si="160"/>
        <v>3</v>
      </c>
      <c r="D273">
        <f t="shared" si="161"/>
        <v>7</v>
      </c>
      <c r="E273">
        <f t="shared" si="162"/>
        <v>7</v>
      </c>
      <c r="F273">
        <f t="shared" si="163"/>
        <v>17</v>
      </c>
      <c r="G273">
        <f t="shared" si="164"/>
        <v>7</v>
      </c>
      <c r="H273">
        <f t="shared" si="165"/>
        <v>4</v>
      </c>
      <c r="I273">
        <f t="shared" si="166"/>
        <v>4.25</v>
      </c>
      <c r="J273">
        <f t="shared" si="167"/>
        <v>1</v>
      </c>
      <c r="K273">
        <f t="shared" si="168"/>
        <v>0.67</v>
      </c>
      <c r="L273">
        <f t="shared" si="169"/>
        <v>1</v>
      </c>
      <c r="M273">
        <f t="shared" si="170"/>
        <v>0</v>
      </c>
      <c r="N273">
        <f t="shared" si="171"/>
        <v>2.43</v>
      </c>
      <c r="O273" t="str">
        <f t="shared" si="172"/>
        <v>紧凑</v>
      </c>
      <c r="P273" t="str">
        <f t="shared" si="173"/>
        <v>紧凑</v>
      </c>
      <c r="Q273" t="str">
        <f t="shared" si="174"/>
        <v>✓有效</v>
      </c>
      <c r="R273" t="str">
        <f t="shared" si="175"/>
        <v>正常</v>
      </c>
    </row>
    <row r="274" ht="14.25" customHeight="1" spans="1:18">
      <c r="A274" s="10">
        <v>2023245</v>
      </c>
      <c r="B274" s="12" t="s">
        <v>244</v>
      </c>
      <c r="C274">
        <f t="shared" si="160"/>
        <v>7</v>
      </c>
      <c r="D274">
        <f t="shared" si="161"/>
        <v>6</v>
      </c>
      <c r="E274">
        <f t="shared" si="162"/>
        <v>8</v>
      </c>
      <c r="F274">
        <f t="shared" si="163"/>
        <v>21</v>
      </c>
      <c r="G274">
        <f t="shared" si="164"/>
        <v>1</v>
      </c>
      <c r="H274">
        <f t="shared" si="165"/>
        <v>2</v>
      </c>
      <c r="I274">
        <f t="shared" si="166"/>
        <v>10.5</v>
      </c>
      <c r="J274">
        <f t="shared" si="167"/>
        <v>0.33</v>
      </c>
      <c r="K274">
        <f t="shared" si="168"/>
        <v>1</v>
      </c>
      <c r="L274">
        <f t="shared" si="169"/>
        <v>0.33</v>
      </c>
      <c r="M274">
        <f t="shared" si="170"/>
        <v>2</v>
      </c>
      <c r="N274">
        <f t="shared" si="171"/>
        <v>4.6</v>
      </c>
      <c r="O274" t="str">
        <f t="shared" si="172"/>
        <v>紧凑</v>
      </c>
      <c r="P274" t="str">
        <f t="shared" si="173"/>
        <v>标准</v>
      </c>
      <c r="Q274" t="str">
        <f t="shared" si="174"/>
        <v>✓有效</v>
      </c>
      <c r="R274" t="str">
        <f t="shared" si="175"/>
        <v>异常</v>
      </c>
    </row>
    <row r="275" ht="14.25" customHeight="1" spans="1:18">
      <c r="A275" s="10">
        <v>2023246</v>
      </c>
      <c r="B275" s="12" t="s">
        <v>283</v>
      </c>
      <c r="C275">
        <f t="shared" si="160"/>
        <v>7</v>
      </c>
      <c r="D275">
        <f t="shared" si="161"/>
        <v>7</v>
      </c>
      <c r="E275">
        <f t="shared" si="162"/>
        <v>9</v>
      </c>
      <c r="F275">
        <f t="shared" si="163"/>
        <v>23</v>
      </c>
      <c r="G275">
        <f t="shared" si="164"/>
        <v>3</v>
      </c>
      <c r="H275">
        <f t="shared" si="165"/>
        <v>2</v>
      </c>
      <c r="I275">
        <f t="shared" si="166"/>
        <v>11.5</v>
      </c>
      <c r="J275">
        <f t="shared" si="167"/>
        <v>1</v>
      </c>
      <c r="K275">
        <f t="shared" si="168"/>
        <v>1</v>
      </c>
      <c r="L275">
        <f t="shared" si="169"/>
        <v>0.67</v>
      </c>
      <c r="M275">
        <f t="shared" si="170"/>
        <v>0</v>
      </c>
      <c r="N275">
        <f t="shared" si="171"/>
        <v>5.37</v>
      </c>
      <c r="O275" t="str">
        <f t="shared" si="172"/>
        <v>紧凑</v>
      </c>
      <c r="P275" t="str">
        <f t="shared" si="173"/>
        <v>松散</v>
      </c>
      <c r="Q275" t="str">
        <f t="shared" si="174"/>
        <v>✓有效</v>
      </c>
      <c r="R275" t="str">
        <f t="shared" si="175"/>
        <v>异常</v>
      </c>
    </row>
    <row r="276" ht="14.25" customHeight="1" spans="1:18">
      <c r="A276" s="10">
        <v>2023247</v>
      </c>
      <c r="B276" s="12" t="s">
        <v>284</v>
      </c>
      <c r="C276">
        <f t="shared" si="160"/>
        <v>5</v>
      </c>
      <c r="D276">
        <f t="shared" si="161"/>
        <v>6</v>
      </c>
      <c r="E276">
        <f t="shared" si="162"/>
        <v>9</v>
      </c>
      <c r="F276">
        <f t="shared" si="163"/>
        <v>20</v>
      </c>
      <c r="G276">
        <f t="shared" si="164"/>
        <v>0</v>
      </c>
      <c r="H276">
        <f t="shared" si="165"/>
        <v>4</v>
      </c>
      <c r="I276">
        <f t="shared" si="166"/>
        <v>5</v>
      </c>
      <c r="J276">
        <f t="shared" si="167"/>
        <v>0.67</v>
      </c>
      <c r="K276">
        <f t="shared" si="168"/>
        <v>1</v>
      </c>
      <c r="L276">
        <f t="shared" si="169"/>
        <v>0.33</v>
      </c>
      <c r="M276">
        <f t="shared" si="170"/>
        <v>1</v>
      </c>
      <c r="N276">
        <f t="shared" si="171"/>
        <v>2.57</v>
      </c>
      <c r="O276" t="str">
        <f t="shared" si="172"/>
        <v>紧凑</v>
      </c>
      <c r="P276" t="str">
        <f t="shared" si="173"/>
        <v>紧凑</v>
      </c>
      <c r="Q276" t="str">
        <f t="shared" si="174"/>
        <v>✓有效</v>
      </c>
      <c r="R276" t="str">
        <f t="shared" si="175"/>
        <v>正常</v>
      </c>
    </row>
    <row r="277" ht="14.25" customHeight="1" spans="1:18">
      <c r="A277" s="10">
        <v>2023248</v>
      </c>
      <c r="B277" s="12" t="s">
        <v>272</v>
      </c>
      <c r="C277">
        <f t="shared" si="160"/>
        <v>0</v>
      </c>
      <c r="D277">
        <f t="shared" si="161"/>
        <v>4</v>
      </c>
      <c r="E277">
        <f t="shared" si="162"/>
        <v>9</v>
      </c>
      <c r="F277">
        <f t="shared" si="163"/>
        <v>13</v>
      </c>
      <c r="G277">
        <f t="shared" si="164"/>
        <v>3</v>
      </c>
      <c r="H277">
        <f t="shared" si="165"/>
        <v>9</v>
      </c>
      <c r="I277">
        <f t="shared" si="166"/>
        <v>1.44</v>
      </c>
      <c r="J277">
        <f t="shared" si="167"/>
        <v>0.33</v>
      </c>
      <c r="K277">
        <f t="shared" si="168"/>
        <v>0.33</v>
      </c>
      <c r="L277">
        <f t="shared" si="169"/>
        <v>0</v>
      </c>
      <c r="M277">
        <f t="shared" si="170"/>
        <v>0</v>
      </c>
      <c r="N277">
        <f t="shared" si="171"/>
        <v>1.01</v>
      </c>
      <c r="O277" t="str">
        <f t="shared" si="172"/>
        <v>松散</v>
      </c>
      <c r="P277" t="str">
        <f t="shared" si="173"/>
        <v>极紧凑</v>
      </c>
      <c r="Q277" t="str">
        <f t="shared" si="174"/>
        <v>✓有效</v>
      </c>
      <c r="R277" t="str">
        <f t="shared" si="175"/>
        <v>正常</v>
      </c>
    </row>
    <row r="278" ht="14.25" customHeight="1" spans="1:18">
      <c r="A278" s="10">
        <v>2023249</v>
      </c>
      <c r="B278" s="12" t="s">
        <v>285</v>
      </c>
      <c r="C278">
        <f t="shared" si="160"/>
        <v>0</v>
      </c>
      <c r="D278">
        <f t="shared" si="161"/>
        <v>7</v>
      </c>
      <c r="E278">
        <f t="shared" si="162"/>
        <v>6</v>
      </c>
      <c r="F278">
        <f t="shared" si="163"/>
        <v>13</v>
      </c>
      <c r="G278">
        <f t="shared" si="164"/>
        <v>3</v>
      </c>
      <c r="H278">
        <f t="shared" si="165"/>
        <v>7</v>
      </c>
      <c r="I278">
        <f t="shared" si="166"/>
        <v>1.86</v>
      </c>
      <c r="J278">
        <f t="shared" si="167"/>
        <v>0.33</v>
      </c>
      <c r="K278">
        <f t="shared" si="168"/>
        <v>0.67</v>
      </c>
      <c r="L278">
        <f t="shared" si="169"/>
        <v>0.33</v>
      </c>
      <c r="M278">
        <f t="shared" si="170"/>
        <v>1</v>
      </c>
      <c r="N278">
        <f t="shared" si="171"/>
        <v>1.18</v>
      </c>
      <c r="O278" t="str">
        <f t="shared" si="172"/>
        <v>松散</v>
      </c>
      <c r="P278" t="str">
        <f t="shared" si="173"/>
        <v>极紧凑</v>
      </c>
      <c r="Q278" t="str">
        <f t="shared" si="174"/>
        <v>✓有效</v>
      </c>
      <c r="R278" t="str">
        <f t="shared" si="175"/>
        <v>正常</v>
      </c>
    </row>
    <row r="279" ht="14.25" customHeight="1" spans="1:18">
      <c r="A279" s="10">
        <v>2023250</v>
      </c>
      <c r="B279" s="12" t="s">
        <v>286</v>
      </c>
      <c r="C279">
        <f t="shared" si="160"/>
        <v>9</v>
      </c>
      <c r="D279">
        <f t="shared" si="161"/>
        <v>6</v>
      </c>
      <c r="E279">
        <f t="shared" si="162"/>
        <v>8</v>
      </c>
      <c r="F279">
        <f t="shared" si="163"/>
        <v>23</v>
      </c>
      <c r="G279">
        <f t="shared" si="164"/>
        <v>3</v>
      </c>
      <c r="H279">
        <f t="shared" si="165"/>
        <v>3</v>
      </c>
      <c r="I279">
        <f t="shared" si="166"/>
        <v>7.67</v>
      </c>
      <c r="J279">
        <f t="shared" si="167"/>
        <v>0.33</v>
      </c>
      <c r="K279">
        <f t="shared" si="168"/>
        <v>1</v>
      </c>
      <c r="L279">
        <f t="shared" si="169"/>
        <v>0</v>
      </c>
      <c r="M279">
        <f t="shared" si="170"/>
        <v>1</v>
      </c>
      <c r="N279">
        <f t="shared" si="171"/>
        <v>3.53</v>
      </c>
      <c r="O279" t="str">
        <f t="shared" si="172"/>
        <v>紧凑</v>
      </c>
      <c r="P279" t="str">
        <f t="shared" si="173"/>
        <v>标准</v>
      </c>
      <c r="Q279" t="str">
        <f t="shared" si="174"/>
        <v>✓有效</v>
      </c>
      <c r="R279" t="str">
        <f t="shared" si="175"/>
        <v>正常</v>
      </c>
    </row>
    <row r="280" ht="14.25" customHeight="1" spans="1:18">
      <c r="A280" s="10">
        <v>2023251</v>
      </c>
      <c r="B280" s="12" t="s">
        <v>71</v>
      </c>
      <c r="C280">
        <f t="shared" si="160"/>
        <v>5</v>
      </c>
      <c r="D280">
        <f t="shared" si="161"/>
        <v>0</v>
      </c>
      <c r="E280">
        <f t="shared" si="162"/>
        <v>3</v>
      </c>
      <c r="F280">
        <f t="shared" si="163"/>
        <v>8</v>
      </c>
      <c r="G280">
        <f t="shared" si="164"/>
        <v>8</v>
      </c>
      <c r="H280">
        <f t="shared" si="165"/>
        <v>5</v>
      </c>
      <c r="I280">
        <f t="shared" si="166"/>
        <v>1.6</v>
      </c>
      <c r="J280">
        <f t="shared" si="167"/>
        <v>0.67</v>
      </c>
      <c r="K280">
        <f t="shared" si="168"/>
        <v>0.33</v>
      </c>
      <c r="L280">
        <f t="shared" si="169"/>
        <v>0.67</v>
      </c>
      <c r="M280">
        <f t="shared" si="170"/>
        <v>0</v>
      </c>
      <c r="N280">
        <f t="shared" si="171"/>
        <v>1.21</v>
      </c>
      <c r="O280" t="str">
        <f t="shared" si="172"/>
        <v>松散</v>
      </c>
      <c r="P280" t="str">
        <f t="shared" si="173"/>
        <v>极紧凑</v>
      </c>
      <c r="Q280" t="str">
        <f t="shared" si="174"/>
        <v>✓有效</v>
      </c>
      <c r="R280" t="str">
        <f t="shared" si="175"/>
        <v>正常</v>
      </c>
    </row>
    <row r="281" ht="14.25" customHeight="1" spans="1:18">
      <c r="A281" s="10">
        <v>2023252</v>
      </c>
      <c r="B281" s="12" t="s">
        <v>164</v>
      </c>
      <c r="C281">
        <f t="shared" si="160"/>
        <v>2</v>
      </c>
      <c r="D281">
        <f t="shared" si="161"/>
        <v>1</v>
      </c>
      <c r="E281">
        <f t="shared" si="162"/>
        <v>3</v>
      </c>
      <c r="F281">
        <f t="shared" si="163"/>
        <v>6</v>
      </c>
      <c r="G281">
        <f t="shared" si="164"/>
        <v>6</v>
      </c>
      <c r="H281">
        <f t="shared" si="165"/>
        <v>2</v>
      </c>
      <c r="I281">
        <f t="shared" si="166"/>
        <v>3</v>
      </c>
      <c r="J281">
        <f t="shared" si="167"/>
        <v>0.67</v>
      </c>
      <c r="K281">
        <f t="shared" si="168"/>
        <v>0</v>
      </c>
      <c r="L281">
        <f t="shared" si="169"/>
        <v>0.67</v>
      </c>
      <c r="M281">
        <f t="shared" si="170"/>
        <v>2</v>
      </c>
      <c r="N281">
        <f t="shared" si="171"/>
        <v>1.5</v>
      </c>
      <c r="O281" t="str">
        <f t="shared" si="172"/>
        <v>标准</v>
      </c>
      <c r="P281" t="str">
        <f t="shared" si="173"/>
        <v>极紧凑</v>
      </c>
      <c r="Q281" t="str">
        <f t="shared" si="174"/>
        <v>✓有效</v>
      </c>
      <c r="R281" t="str">
        <f t="shared" si="175"/>
        <v>正常</v>
      </c>
    </row>
    <row r="282" ht="14.25" customHeight="1" spans="1:18">
      <c r="A282" s="10">
        <v>2023253</v>
      </c>
      <c r="B282" s="12" t="s">
        <v>287</v>
      </c>
      <c r="C282">
        <f t="shared" si="160"/>
        <v>7</v>
      </c>
      <c r="D282">
        <f t="shared" si="161"/>
        <v>2</v>
      </c>
      <c r="E282">
        <f t="shared" si="162"/>
        <v>1</v>
      </c>
      <c r="F282">
        <f t="shared" si="163"/>
        <v>10</v>
      </c>
      <c r="G282">
        <f t="shared" si="164"/>
        <v>0</v>
      </c>
      <c r="H282">
        <f t="shared" si="165"/>
        <v>6</v>
      </c>
      <c r="I282">
        <f t="shared" si="166"/>
        <v>1.67</v>
      </c>
      <c r="J282">
        <f t="shared" si="167"/>
        <v>0.67</v>
      </c>
      <c r="K282">
        <f t="shared" si="168"/>
        <v>0.33</v>
      </c>
      <c r="L282">
        <f t="shared" si="169"/>
        <v>0.67</v>
      </c>
      <c r="M282">
        <f t="shared" si="170"/>
        <v>1</v>
      </c>
      <c r="N282">
        <f t="shared" si="171"/>
        <v>1.14</v>
      </c>
      <c r="O282" t="str">
        <f t="shared" si="172"/>
        <v>松散</v>
      </c>
      <c r="P282" t="str">
        <f t="shared" si="173"/>
        <v>极紧凑</v>
      </c>
      <c r="Q282" t="str">
        <f t="shared" si="174"/>
        <v>✓有效</v>
      </c>
      <c r="R282" t="str">
        <f t="shared" si="175"/>
        <v>正常</v>
      </c>
    </row>
    <row r="283" ht="14.25" customHeight="1" spans="1:18">
      <c r="A283" s="10">
        <v>2023254</v>
      </c>
      <c r="B283" s="12" t="s">
        <v>288</v>
      </c>
      <c r="C283">
        <f t="shared" si="160"/>
        <v>2</v>
      </c>
      <c r="D283">
        <f t="shared" si="161"/>
        <v>8</v>
      </c>
      <c r="E283">
        <f t="shared" si="162"/>
        <v>3</v>
      </c>
      <c r="F283">
        <f t="shared" si="163"/>
        <v>13</v>
      </c>
      <c r="G283">
        <f t="shared" si="164"/>
        <v>3</v>
      </c>
      <c r="H283">
        <f t="shared" si="165"/>
        <v>6</v>
      </c>
      <c r="I283">
        <f t="shared" si="166"/>
        <v>2.17</v>
      </c>
      <c r="J283">
        <f t="shared" si="167"/>
        <v>0.33</v>
      </c>
      <c r="K283">
        <f t="shared" si="168"/>
        <v>0.33</v>
      </c>
      <c r="L283">
        <f t="shared" si="169"/>
        <v>0.67</v>
      </c>
      <c r="M283">
        <f t="shared" si="170"/>
        <v>1</v>
      </c>
      <c r="N283">
        <f t="shared" si="171"/>
        <v>1.27</v>
      </c>
      <c r="O283" t="str">
        <f t="shared" si="172"/>
        <v>标准</v>
      </c>
      <c r="P283" t="str">
        <f t="shared" si="173"/>
        <v>极紧凑</v>
      </c>
      <c r="Q283" t="str">
        <f t="shared" si="174"/>
        <v>✓有效</v>
      </c>
      <c r="R283" t="str">
        <f t="shared" si="175"/>
        <v>正常</v>
      </c>
    </row>
    <row r="284" ht="14.25" customHeight="1" spans="1:18">
      <c r="A284" s="10">
        <v>2023255</v>
      </c>
      <c r="B284" s="12" t="s">
        <v>289</v>
      </c>
      <c r="C284">
        <f t="shared" si="160"/>
        <v>5</v>
      </c>
      <c r="D284">
        <f t="shared" si="161"/>
        <v>6</v>
      </c>
      <c r="E284">
        <f t="shared" si="162"/>
        <v>4</v>
      </c>
      <c r="F284">
        <f t="shared" si="163"/>
        <v>15</v>
      </c>
      <c r="G284">
        <f t="shared" si="164"/>
        <v>5</v>
      </c>
      <c r="H284">
        <f t="shared" si="165"/>
        <v>2</v>
      </c>
      <c r="I284">
        <f t="shared" si="166"/>
        <v>7.5</v>
      </c>
      <c r="J284">
        <f t="shared" si="167"/>
        <v>0.33</v>
      </c>
      <c r="K284">
        <f t="shared" si="168"/>
        <v>0.67</v>
      </c>
      <c r="L284">
        <f t="shared" si="169"/>
        <v>0.33</v>
      </c>
      <c r="M284">
        <f t="shared" si="170"/>
        <v>2</v>
      </c>
      <c r="N284">
        <f t="shared" si="171"/>
        <v>3.33</v>
      </c>
      <c r="O284" t="str">
        <f t="shared" si="172"/>
        <v>紧凑</v>
      </c>
      <c r="P284" t="str">
        <f t="shared" si="173"/>
        <v>标准</v>
      </c>
      <c r="Q284" t="str">
        <f t="shared" si="174"/>
        <v>✓有效</v>
      </c>
      <c r="R284" t="str">
        <f t="shared" si="175"/>
        <v>正常</v>
      </c>
    </row>
    <row r="285" ht="14.25" customHeight="1" spans="1:18">
      <c r="A285" s="10">
        <v>2023256</v>
      </c>
      <c r="B285" s="12" t="s">
        <v>290</v>
      </c>
      <c r="C285">
        <f t="shared" si="160"/>
        <v>4</v>
      </c>
      <c r="D285">
        <f t="shared" si="161"/>
        <v>7</v>
      </c>
      <c r="E285">
        <f t="shared" si="162"/>
        <v>4</v>
      </c>
      <c r="F285">
        <f t="shared" si="163"/>
        <v>15</v>
      </c>
      <c r="G285">
        <f t="shared" si="164"/>
        <v>5</v>
      </c>
      <c r="H285">
        <f t="shared" si="165"/>
        <v>3</v>
      </c>
      <c r="I285">
        <f t="shared" si="166"/>
        <v>5</v>
      </c>
      <c r="J285">
        <f t="shared" si="167"/>
        <v>0.33</v>
      </c>
      <c r="K285">
        <f t="shared" si="168"/>
        <v>0.33</v>
      </c>
      <c r="L285">
        <f t="shared" si="169"/>
        <v>0.33</v>
      </c>
      <c r="M285">
        <f t="shared" si="170"/>
        <v>0</v>
      </c>
      <c r="N285">
        <f t="shared" si="171"/>
        <v>2.47</v>
      </c>
      <c r="O285" t="str">
        <f t="shared" si="172"/>
        <v>紧凑</v>
      </c>
      <c r="P285" t="str">
        <f t="shared" si="173"/>
        <v>紧凑</v>
      </c>
      <c r="Q285" t="str">
        <f t="shared" si="174"/>
        <v>✓有效</v>
      </c>
      <c r="R285" t="str">
        <f t="shared" si="175"/>
        <v>正常</v>
      </c>
    </row>
    <row r="286" ht="14.25" customHeight="1" spans="1:18">
      <c r="A286" s="10">
        <v>2023257</v>
      </c>
      <c r="B286" s="12" t="s">
        <v>291</v>
      </c>
      <c r="C286">
        <f t="shared" si="160"/>
        <v>6</v>
      </c>
      <c r="D286">
        <f t="shared" si="161"/>
        <v>9</v>
      </c>
      <c r="E286">
        <f t="shared" si="162"/>
        <v>4</v>
      </c>
      <c r="F286">
        <f t="shared" si="163"/>
        <v>19</v>
      </c>
      <c r="G286">
        <f t="shared" si="164"/>
        <v>9</v>
      </c>
      <c r="H286">
        <f t="shared" si="165"/>
        <v>5</v>
      </c>
      <c r="I286">
        <f t="shared" si="166"/>
        <v>3.8</v>
      </c>
      <c r="J286">
        <f t="shared" si="167"/>
        <v>0.33</v>
      </c>
      <c r="K286">
        <f t="shared" si="168"/>
        <v>0.67</v>
      </c>
      <c r="L286">
        <f t="shared" si="169"/>
        <v>0</v>
      </c>
      <c r="M286">
        <f t="shared" si="170"/>
        <v>0</v>
      </c>
      <c r="N286">
        <f t="shared" si="171"/>
        <v>2.02</v>
      </c>
      <c r="O286" t="str">
        <f t="shared" si="172"/>
        <v>紧凑</v>
      </c>
      <c r="P286" t="str">
        <f t="shared" si="173"/>
        <v>紧凑</v>
      </c>
      <c r="Q286" t="str">
        <f t="shared" si="174"/>
        <v>✓有效</v>
      </c>
      <c r="R286" t="str">
        <f t="shared" si="175"/>
        <v>正常</v>
      </c>
    </row>
    <row r="287" ht="14.25" customHeight="1" spans="1:18">
      <c r="A287" s="10">
        <v>2023258</v>
      </c>
      <c r="B287" s="12" t="s">
        <v>292</v>
      </c>
      <c r="C287">
        <f t="shared" si="160"/>
        <v>9</v>
      </c>
      <c r="D287">
        <f t="shared" si="161"/>
        <v>2</v>
      </c>
      <c r="E287">
        <f t="shared" si="162"/>
        <v>7</v>
      </c>
      <c r="F287">
        <f t="shared" si="163"/>
        <v>18</v>
      </c>
      <c r="G287">
        <f t="shared" si="164"/>
        <v>8</v>
      </c>
      <c r="H287">
        <f t="shared" si="165"/>
        <v>7</v>
      </c>
      <c r="I287">
        <f t="shared" si="166"/>
        <v>2.57</v>
      </c>
      <c r="J287">
        <f t="shared" si="167"/>
        <v>0.67</v>
      </c>
      <c r="K287">
        <f t="shared" si="168"/>
        <v>0.67</v>
      </c>
      <c r="L287">
        <f t="shared" si="169"/>
        <v>0.67</v>
      </c>
      <c r="M287">
        <f t="shared" si="170"/>
        <v>0</v>
      </c>
      <c r="N287">
        <f t="shared" si="171"/>
        <v>1.66</v>
      </c>
      <c r="O287" t="str">
        <f t="shared" si="172"/>
        <v>标准</v>
      </c>
      <c r="P287" t="str">
        <f t="shared" si="173"/>
        <v>紧凑</v>
      </c>
      <c r="Q287" t="str">
        <f t="shared" si="174"/>
        <v>✓有效</v>
      </c>
      <c r="R287" t="str">
        <f t="shared" si="175"/>
        <v>正常</v>
      </c>
    </row>
    <row r="288" ht="14.25" customHeight="1" spans="1:18">
      <c r="A288" s="10">
        <v>2023259</v>
      </c>
      <c r="B288" s="12" t="s">
        <v>140</v>
      </c>
      <c r="C288">
        <f t="shared" si="160"/>
        <v>0</v>
      </c>
      <c r="D288">
        <f t="shared" si="161"/>
        <v>8</v>
      </c>
      <c r="E288">
        <f t="shared" si="162"/>
        <v>6</v>
      </c>
      <c r="F288">
        <f t="shared" si="163"/>
        <v>14</v>
      </c>
      <c r="G288">
        <f t="shared" si="164"/>
        <v>4</v>
      </c>
      <c r="H288">
        <f t="shared" si="165"/>
        <v>8</v>
      </c>
      <c r="I288">
        <f t="shared" si="166"/>
        <v>1.75</v>
      </c>
      <c r="J288">
        <f t="shared" si="167"/>
        <v>0</v>
      </c>
      <c r="K288">
        <f t="shared" si="168"/>
        <v>0.67</v>
      </c>
      <c r="L288">
        <f t="shared" si="169"/>
        <v>0</v>
      </c>
      <c r="M288">
        <f t="shared" si="170"/>
        <v>0</v>
      </c>
      <c r="N288">
        <f t="shared" si="171"/>
        <v>1.13</v>
      </c>
      <c r="O288" t="str">
        <f t="shared" si="172"/>
        <v>松散</v>
      </c>
      <c r="P288" t="str">
        <f t="shared" si="173"/>
        <v>极紧凑</v>
      </c>
      <c r="Q288" t="str">
        <f t="shared" si="174"/>
        <v>✓有效</v>
      </c>
      <c r="R288" t="str">
        <f t="shared" si="175"/>
        <v>正常</v>
      </c>
    </row>
    <row r="289" ht="14.25" customHeight="1" spans="1:18">
      <c r="A289" s="10">
        <v>2023260</v>
      </c>
      <c r="B289" s="12" t="s">
        <v>293</v>
      </c>
      <c r="C289">
        <f t="shared" si="160"/>
        <v>5</v>
      </c>
      <c r="D289">
        <f t="shared" si="161"/>
        <v>4</v>
      </c>
      <c r="E289">
        <f t="shared" si="162"/>
        <v>7</v>
      </c>
      <c r="F289">
        <f t="shared" si="163"/>
        <v>16</v>
      </c>
      <c r="G289">
        <f t="shared" si="164"/>
        <v>6</v>
      </c>
      <c r="H289">
        <f t="shared" si="165"/>
        <v>3</v>
      </c>
      <c r="I289">
        <f t="shared" si="166"/>
        <v>5.33</v>
      </c>
      <c r="J289">
        <f t="shared" si="167"/>
        <v>0.67</v>
      </c>
      <c r="K289">
        <f t="shared" si="168"/>
        <v>0.67</v>
      </c>
      <c r="L289">
        <f t="shared" si="169"/>
        <v>0.67</v>
      </c>
      <c r="M289">
        <f t="shared" si="170"/>
        <v>1</v>
      </c>
      <c r="N289">
        <f t="shared" si="171"/>
        <v>2.67</v>
      </c>
      <c r="O289" t="str">
        <f t="shared" si="172"/>
        <v>紧凑</v>
      </c>
      <c r="P289" t="str">
        <f t="shared" si="173"/>
        <v>紧凑</v>
      </c>
      <c r="Q289" t="str">
        <f t="shared" si="174"/>
        <v>✓有效</v>
      </c>
      <c r="R289" t="str">
        <f t="shared" si="175"/>
        <v>正常</v>
      </c>
    </row>
    <row r="290" ht="14.25" customHeight="1" spans="1:18">
      <c r="A290" s="10">
        <v>2023261</v>
      </c>
      <c r="B290" s="12" t="s">
        <v>294</v>
      </c>
      <c r="C290">
        <f t="shared" si="160"/>
        <v>7</v>
      </c>
      <c r="D290">
        <f t="shared" si="161"/>
        <v>2</v>
      </c>
      <c r="E290">
        <f t="shared" si="162"/>
        <v>3</v>
      </c>
      <c r="F290">
        <f t="shared" si="163"/>
        <v>12</v>
      </c>
      <c r="G290">
        <f t="shared" si="164"/>
        <v>2</v>
      </c>
      <c r="H290">
        <f t="shared" si="165"/>
        <v>5</v>
      </c>
      <c r="I290">
        <f t="shared" si="166"/>
        <v>2.4</v>
      </c>
      <c r="J290">
        <f t="shared" si="167"/>
        <v>0.67</v>
      </c>
      <c r="K290">
        <f t="shared" si="168"/>
        <v>0.33</v>
      </c>
      <c r="L290">
        <f t="shared" si="169"/>
        <v>1</v>
      </c>
      <c r="M290">
        <f t="shared" si="170"/>
        <v>1</v>
      </c>
      <c r="N290">
        <f t="shared" si="171"/>
        <v>1.46</v>
      </c>
      <c r="O290" t="str">
        <f t="shared" si="172"/>
        <v>标准</v>
      </c>
      <c r="P290" t="str">
        <f t="shared" si="173"/>
        <v>极紧凑</v>
      </c>
      <c r="Q290" t="str">
        <f t="shared" si="174"/>
        <v>✓有效</v>
      </c>
      <c r="R290" t="str">
        <f t="shared" si="175"/>
        <v>正常</v>
      </c>
    </row>
    <row r="291" ht="14.25" customHeight="1" spans="1:18">
      <c r="A291" s="10">
        <v>2023262</v>
      </c>
      <c r="B291" s="12" t="s">
        <v>295</v>
      </c>
      <c r="C291">
        <f t="shared" si="160"/>
        <v>2</v>
      </c>
      <c r="D291">
        <f t="shared" si="161"/>
        <v>2</v>
      </c>
      <c r="E291">
        <f t="shared" si="162"/>
        <v>0</v>
      </c>
      <c r="F291">
        <f t="shared" si="163"/>
        <v>4</v>
      </c>
      <c r="G291">
        <f t="shared" si="164"/>
        <v>4</v>
      </c>
      <c r="H291">
        <f t="shared" si="165"/>
        <v>2</v>
      </c>
      <c r="I291">
        <f t="shared" si="166"/>
        <v>2</v>
      </c>
      <c r="J291">
        <f t="shared" si="167"/>
        <v>0</v>
      </c>
      <c r="K291">
        <f t="shared" si="168"/>
        <v>0</v>
      </c>
      <c r="L291">
        <f t="shared" si="169"/>
        <v>0.67</v>
      </c>
      <c r="M291">
        <f t="shared" si="170"/>
        <v>0</v>
      </c>
      <c r="N291">
        <f t="shared" si="171"/>
        <v>1.17</v>
      </c>
      <c r="O291" t="str">
        <f t="shared" si="172"/>
        <v>标准</v>
      </c>
      <c r="P291" t="str">
        <f t="shared" si="173"/>
        <v>极紧凑</v>
      </c>
      <c r="Q291" t="str">
        <f t="shared" si="174"/>
        <v>✓有效</v>
      </c>
      <c r="R291" t="str">
        <f t="shared" si="175"/>
        <v>正常</v>
      </c>
    </row>
    <row r="292" ht="14.25" customHeight="1" spans="1:18">
      <c r="A292" s="10">
        <v>2023263</v>
      </c>
      <c r="B292" s="12" t="s">
        <v>296</v>
      </c>
      <c r="C292">
        <f t="shared" si="160"/>
        <v>3</v>
      </c>
      <c r="D292">
        <f t="shared" si="161"/>
        <v>3</v>
      </c>
      <c r="E292">
        <f t="shared" si="162"/>
        <v>5</v>
      </c>
      <c r="F292">
        <f t="shared" si="163"/>
        <v>11</v>
      </c>
      <c r="G292">
        <f t="shared" si="164"/>
        <v>1</v>
      </c>
      <c r="H292">
        <f t="shared" si="165"/>
        <v>2</v>
      </c>
      <c r="I292">
        <f t="shared" si="166"/>
        <v>5.5</v>
      </c>
      <c r="J292">
        <f t="shared" si="167"/>
        <v>1</v>
      </c>
      <c r="K292">
        <f t="shared" si="168"/>
        <v>0.33</v>
      </c>
      <c r="L292">
        <f t="shared" si="169"/>
        <v>1</v>
      </c>
      <c r="M292">
        <f t="shared" si="170"/>
        <v>0</v>
      </c>
      <c r="N292">
        <f t="shared" si="171"/>
        <v>2.87</v>
      </c>
      <c r="O292" t="str">
        <f t="shared" si="172"/>
        <v>紧凑</v>
      </c>
      <c r="P292" t="str">
        <f t="shared" si="173"/>
        <v>紧凑</v>
      </c>
      <c r="Q292" t="str">
        <f t="shared" si="174"/>
        <v>✓有效</v>
      </c>
      <c r="R292" t="str">
        <f t="shared" si="175"/>
        <v>正常</v>
      </c>
    </row>
    <row r="293" ht="14.25" customHeight="1" spans="1:18">
      <c r="A293" s="10">
        <v>2023264</v>
      </c>
      <c r="B293" s="12" t="s">
        <v>119</v>
      </c>
      <c r="C293">
        <f t="shared" si="160"/>
        <v>6</v>
      </c>
      <c r="D293">
        <f t="shared" si="161"/>
        <v>3</v>
      </c>
      <c r="E293">
        <f t="shared" si="162"/>
        <v>8</v>
      </c>
      <c r="F293">
        <f t="shared" si="163"/>
        <v>17</v>
      </c>
      <c r="G293">
        <f t="shared" si="164"/>
        <v>7</v>
      </c>
      <c r="H293">
        <f t="shared" si="165"/>
        <v>5</v>
      </c>
      <c r="I293">
        <f t="shared" si="166"/>
        <v>3.4</v>
      </c>
      <c r="J293">
        <f t="shared" si="167"/>
        <v>0.33</v>
      </c>
      <c r="K293">
        <f t="shared" si="168"/>
        <v>0.67</v>
      </c>
      <c r="L293">
        <f t="shared" si="169"/>
        <v>0.33</v>
      </c>
      <c r="M293">
        <f t="shared" si="170"/>
        <v>0</v>
      </c>
      <c r="N293">
        <f t="shared" si="171"/>
        <v>1.89</v>
      </c>
      <c r="O293" t="str">
        <f t="shared" si="172"/>
        <v>标准</v>
      </c>
      <c r="P293" t="str">
        <f t="shared" si="173"/>
        <v>紧凑</v>
      </c>
      <c r="Q293" t="str">
        <f t="shared" si="174"/>
        <v>✓有效</v>
      </c>
      <c r="R293" t="str">
        <f t="shared" si="175"/>
        <v>正常</v>
      </c>
    </row>
    <row r="294" ht="14.25" customHeight="1" spans="1:18">
      <c r="A294" s="10">
        <v>2023265</v>
      </c>
      <c r="B294" s="12" t="s">
        <v>297</v>
      </c>
      <c r="C294">
        <f t="shared" si="160"/>
        <v>3</v>
      </c>
      <c r="D294">
        <f t="shared" si="161"/>
        <v>5</v>
      </c>
      <c r="E294">
        <f t="shared" si="162"/>
        <v>6</v>
      </c>
      <c r="F294">
        <f t="shared" si="163"/>
        <v>14</v>
      </c>
      <c r="G294">
        <f t="shared" si="164"/>
        <v>4</v>
      </c>
      <c r="H294">
        <f t="shared" si="165"/>
        <v>3</v>
      </c>
      <c r="I294">
        <f t="shared" si="166"/>
        <v>4.67</v>
      </c>
      <c r="J294">
        <f t="shared" si="167"/>
        <v>0.67</v>
      </c>
      <c r="K294">
        <f t="shared" si="168"/>
        <v>0.67</v>
      </c>
      <c r="L294">
        <f t="shared" si="169"/>
        <v>0.67</v>
      </c>
      <c r="M294">
        <f t="shared" si="170"/>
        <v>1</v>
      </c>
      <c r="N294">
        <f t="shared" si="171"/>
        <v>2.4</v>
      </c>
      <c r="O294" t="str">
        <f t="shared" si="172"/>
        <v>紧凑</v>
      </c>
      <c r="P294" t="str">
        <f t="shared" si="173"/>
        <v>紧凑</v>
      </c>
      <c r="Q294" t="str">
        <f t="shared" si="174"/>
        <v>✓有效</v>
      </c>
      <c r="R294" t="str">
        <f t="shared" si="175"/>
        <v>正常</v>
      </c>
    </row>
    <row r="295" ht="14.25" customHeight="1" spans="1:18">
      <c r="A295" s="10">
        <v>2023266</v>
      </c>
      <c r="B295" s="12" t="s">
        <v>298</v>
      </c>
      <c r="C295">
        <f t="shared" si="160"/>
        <v>1</v>
      </c>
      <c r="D295">
        <f t="shared" si="161"/>
        <v>1</v>
      </c>
      <c r="E295">
        <f t="shared" si="162"/>
        <v>3</v>
      </c>
      <c r="F295">
        <f t="shared" si="163"/>
        <v>5</v>
      </c>
      <c r="G295">
        <f t="shared" si="164"/>
        <v>5</v>
      </c>
      <c r="H295">
        <f t="shared" si="165"/>
        <v>2</v>
      </c>
      <c r="I295">
        <f t="shared" si="166"/>
        <v>2.5</v>
      </c>
      <c r="J295">
        <f t="shared" si="167"/>
        <v>1</v>
      </c>
      <c r="K295">
        <f t="shared" si="168"/>
        <v>0</v>
      </c>
      <c r="L295">
        <f t="shared" si="169"/>
        <v>0.33</v>
      </c>
      <c r="M295">
        <f t="shared" si="170"/>
        <v>0</v>
      </c>
      <c r="N295">
        <f t="shared" si="171"/>
        <v>1.53</v>
      </c>
      <c r="O295" t="str">
        <f t="shared" si="172"/>
        <v>标准</v>
      </c>
      <c r="P295" t="str">
        <f t="shared" si="173"/>
        <v>紧凑</v>
      </c>
      <c r="Q295" t="str">
        <f t="shared" si="174"/>
        <v>✓有效</v>
      </c>
      <c r="R295" t="str">
        <f t="shared" si="175"/>
        <v>正常</v>
      </c>
    </row>
    <row r="296" ht="14.25" customHeight="1" spans="1:18">
      <c r="A296" s="10">
        <v>2023267</v>
      </c>
      <c r="B296" s="11">
        <v>478</v>
      </c>
      <c r="C296">
        <f t="shared" ref="C296:C323" si="176">IF(B296="","",LEFT(TEXT(B296,"000"),1)*1)</f>
        <v>4</v>
      </c>
      <c r="D296">
        <f t="shared" ref="D296:D323" si="177">IF(B296="","",MID(TEXT(B296,"000"),2,1)*1)</f>
        <v>7</v>
      </c>
      <c r="E296">
        <f t="shared" ref="E296:E323" si="178">IF(B296="","",RIGHT(TEXT(B296,"000"),1)*1)</f>
        <v>8</v>
      </c>
      <c r="F296">
        <f t="shared" ref="F296:F323" si="179">IF(B296="","",C296+D296+E296)</f>
        <v>19</v>
      </c>
      <c r="G296">
        <f t="shared" ref="G296:G323" si="180">IF(B296="","",MOD(F296,10))</f>
        <v>9</v>
      </c>
      <c r="H296">
        <f t="shared" ref="H296:H323" si="181">IF(B296="","",MAX(C296,D296,E296)-MIN(C296,D296,E296))</f>
        <v>4</v>
      </c>
      <c r="I296">
        <f t="shared" ref="I296:I323" si="182">IF(OR(B296="",H296=0),IF(H296=0,0.1,""),ROUND(F296/H296,2))</f>
        <v>4.75</v>
      </c>
      <c r="J296">
        <f t="shared" ref="J296:J323" si="183">IF(B296="","",ROUND((MOD(C296,2)+MOD(D296,2)+MOD(E296,2))/3,2))</f>
        <v>0.33</v>
      </c>
      <c r="K296">
        <f t="shared" ref="K296:K323" si="184">IF(B296="","",ROUND(((C296&gt;=5)+(D296&gt;=5)+(E296&gt;=5))/3,2))</f>
        <v>0.67</v>
      </c>
      <c r="L296">
        <f t="shared" ref="L296:L323" si="185">IF(B296="","",ROUND((ISNUMBER(FIND(C296,"2357"))+ISNUMBER(FIND(D296,"2357"))+ISNUMBER(FIND(E296,"2357")))/3,2))</f>
        <v>0.33</v>
      </c>
      <c r="M296">
        <f t="shared" ref="M296:M323" si="186">IF(B296="","",((ABS(C296-D296)=1)+(ABS(D296-E296)=1)+(ABS(C296-E296)=1)))</f>
        <v>1</v>
      </c>
      <c r="N296">
        <f t="shared" ref="N296:N323" si="187">IF(B296="","",ROUND(I296*0.4+J296*0.2+K296*0.2+L296*0.1+(3-M296)*0.1,2))</f>
        <v>2.33</v>
      </c>
      <c r="O296" t="str">
        <f t="shared" ref="O296:O323" si="188">IF(I296=0.1,"极紧凑",IF(I296&gt;3.5,"紧凑",IF(AND(I296&gt;=2,I296&lt;=3.5),"标准",IF(AND(I296&gt;=1,I296&lt;2),"松散",""))))</f>
        <v>紧凑</v>
      </c>
      <c r="P296" t="str">
        <f t="shared" ref="P296:P323" si="189">IF(B296="","",IF(N296&lt;=1.5,"极紧凑",IF(N296&lt;=3,"紧凑",IF(N296&lt;=5,"标准","松散"))))</f>
        <v>紧凑</v>
      </c>
      <c r="Q296" t="str">
        <f t="shared" ref="Q296:Q323" si="190">IF(B296="","",IF(AND(C296&gt;=0,C296&lt;=9,D296&gt;=0,D296&lt;=9,E296&gt;=0,E296&lt;=9),"✓有效","✗无效"))</f>
        <v>✓有效</v>
      </c>
      <c r="R296" t="str">
        <f t="shared" ref="R296:R323" si="191">IF(B296="","",IF(OR(I296&gt;10,I296&lt;0.1),"异常","正常"))</f>
        <v>正常</v>
      </c>
    </row>
    <row r="297" ht="14.25" customHeight="1" spans="1:18">
      <c r="A297" s="10">
        <v>2023268</v>
      </c>
      <c r="B297" s="12" t="s">
        <v>299</v>
      </c>
      <c r="C297">
        <f t="shared" si="176"/>
        <v>0</v>
      </c>
      <c r="D297">
        <f t="shared" si="177"/>
        <v>6</v>
      </c>
      <c r="E297">
        <f t="shared" si="178"/>
        <v>7</v>
      </c>
      <c r="F297">
        <f t="shared" si="179"/>
        <v>13</v>
      </c>
      <c r="G297">
        <f t="shared" si="180"/>
        <v>3</v>
      </c>
      <c r="H297">
        <f t="shared" si="181"/>
        <v>7</v>
      </c>
      <c r="I297">
        <f t="shared" si="182"/>
        <v>1.86</v>
      </c>
      <c r="J297">
        <f t="shared" si="183"/>
        <v>0.33</v>
      </c>
      <c r="K297">
        <f t="shared" si="184"/>
        <v>0.67</v>
      </c>
      <c r="L297">
        <f t="shared" si="185"/>
        <v>0.33</v>
      </c>
      <c r="M297">
        <f t="shared" si="186"/>
        <v>1</v>
      </c>
      <c r="N297">
        <f t="shared" si="187"/>
        <v>1.18</v>
      </c>
      <c r="O297" t="str">
        <f t="shared" si="188"/>
        <v>松散</v>
      </c>
      <c r="P297" t="str">
        <f t="shared" si="189"/>
        <v>极紧凑</v>
      </c>
      <c r="Q297" t="str">
        <f t="shared" si="190"/>
        <v>✓有效</v>
      </c>
      <c r="R297" t="str">
        <f t="shared" si="191"/>
        <v>正常</v>
      </c>
    </row>
    <row r="298" ht="14.25" customHeight="1" spans="1:18">
      <c r="A298" s="10">
        <v>2023269</v>
      </c>
      <c r="B298" s="12" t="s">
        <v>232</v>
      </c>
      <c r="C298">
        <f t="shared" si="176"/>
        <v>6</v>
      </c>
      <c r="D298">
        <f t="shared" si="177"/>
        <v>6</v>
      </c>
      <c r="E298">
        <f t="shared" si="178"/>
        <v>5</v>
      </c>
      <c r="F298">
        <f t="shared" si="179"/>
        <v>17</v>
      </c>
      <c r="G298">
        <f t="shared" si="180"/>
        <v>7</v>
      </c>
      <c r="H298">
        <f t="shared" si="181"/>
        <v>1</v>
      </c>
      <c r="I298">
        <f t="shared" si="182"/>
        <v>17</v>
      </c>
      <c r="J298">
        <f t="shared" si="183"/>
        <v>0.33</v>
      </c>
      <c r="K298">
        <f t="shared" si="184"/>
        <v>1</v>
      </c>
      <c r="L298">
        <f t="shared" si="185"/>
        <v>0.33</v>
      </c>
      <c r="M298">
        <f t="shared" si="186"/>
        <v>2</v>
      </c>
      <c r="N298">
        <f t="shared" si="187"/>
        <v>7.2</v>
      </c>
      <c r="O298" t="str">
        <f t="shared" si="188"/>
        <v>紧凑</v>
      </c>
      <c r="P298" t="str">
        <f t="shared" si="189"/>
        <v>松散</v>
      </c>
      <c r="Q298" t="str">
        <f t="shared" si="190"/>
        <v>✓有效</v>
      </c>
      <c r="R298" t="str">
        <f t="shared" si="191"/>
        <v>异常</v>
      </c>
    </row>
    <row r="299" ht="14.25" customHeight="1" spans="1:18">
      <c r="A299" s="10">
        <v>2023270</v>
      </c>
      <c r="B299" s="12" t="s">
        <v>300</v>
      </c>
      <c r="C299">
        <f t="shared" si="176"/>
        <v>4</v>
      </c>
      <c r="D299">
        <f t="shared" si="177"/>
        <v>5</v>
      </c>
      <c r="E299">
        <f t="shared" si="178"/>
        <v>7</v>
      </c>
      <c r="F299">
        <f t="shared" si="179"/>
        <v>16</v>
      </c>
      <c r="G299">
        <f t="shared" si="180"/>
        <v>6</v>
      </c>
      <c r="H299">
        <f t="shared" si="181"/>
        <v>3</v>
      </c>
      <c r="I299">
        <f t="shared" si="182"/>
        <v>5.33</v>
      </c>
      <c r="J299">
        <f t="shared" si="183"/>
        <v>0.67</v>
      </c>
      <c r="K299">
        <f t="shared" si="184"/>
        <v>0.67</v>
      </c>
      <c r="L299">
        <f t="shared" si="185"/>
        <v>0.67</v>
      </c>
      <c r="M299">
        <f t="shared" si="186"/>
        <v>1</v>
      </c>
      <c r="N299">
        <f t="shared" si="187"/>
        <v>2.67</v>
      </c>
      <c r="O299" t="str">
        <f t="shared" si="188"/>
        <v>紧凑</v>
      </c>
      <c r="P299" t="str">
        <f t="shared" si="189"/>
        <v>紧凑</v>
      </c>
      <c r="Q299" t="str">
        <f t="shared" si="190"/>
        <v>✓有效</v>
      </c>
      <c r="R299" t="str">
        <f t="shared" si="191"/>
        <v>正常</v>
      </c>
    </row>
    <row r="300" ht="14.25" customHeight="1" spans="1:18">
      <c r="A300" s="10">
        <v>2023271</v>
      </c>
      <c r="B300" s="12" t="s">
        <v>301</v>
      </c>
      <c r="C300">
        <f t="shared" si="176"/>
        <v>1</v>
      </c>
      <c r="D300">
        <f t="shared" si="177"/>
        <v>7</v>
      </c>
      <c r="E300">
        <f t="shared" si="178"/>
        <v>9</v>
      </c>
      <c r="F300">
        <f t="shared" si="179"/>
        <v>17</v>
      </c>
      <c r="G300">
        <f t="shared" si="180"/>
        <v>7</v>
      </c>
      <c r="H300">
        <f t="shared" si="181"/>
        <v>8</v>
      </c>
      <c r="I300">
        <f t="shared" si="182"/>
        <v>2.13</v>
      </c>
      <c r="J300">
        <f t="shared" si="183"/>
        <v>1</v>
      </c>
      <c r="K300">
        <f t="shared" si="184"/>
        <v>0.67</v>
      </c>
      <c r="L300">
        <f t="shared" si="185"/>
        <v>0.33</v>
      </c>
      <c r="M300">
        <f t="shared" si="186"/>
        <v>0</v>
      </c>
      <c r="N300">
        <f t="shared" si="187"/>
        <v>1.52</v>
      </c>
      <c r="O300" t="str">
        <f t="shared" si="188"/>
        <v>标准</v>
      </c>
      <c r="P300" t="str">
        <f t="shared" si="189"/>
        <v>紧凑</v>
      </c>
      <c r="Q300" t="str">
        <f t="shared" si="190"/>
        <v>✓有效</v>
      </c>
      <c r="R300" t="str">
        <f t="shared" si="191"/>
        <v>正常</v>
      </c>
    </row>
    <row r="301" ht="14.25" customHeight="1" spans="1:18">
      <c r="A301" s="10">
        <v>2023272</v>
      </c>
      <c r="B301" s="12" t="s">
        <v>302</v>
      </c>
      <c r="C301">
        <f t="shared" si="176"/>
        <v>0</v>
      </c>
      <c r="D301">
        <f t="shared" si="177"/>
        <v>5</v>
      </c>
      <c r="E301">
        <f t="shared" si="178"/>
        <v>8</v>
      </c>
      <c r="F301">
        <f t="shared" si="179"/>
        <v>13</v>
      </c>
      <c r="G301">
        <f t="shared" si="180"/>
        <v>3</v>
      </c>
      <c r="H301">
        <f t="shared" si="181"/>
        <v>8</v>
      </c>
      <c r="I301">
        <f t="shared" si="182"/>
        <v>1.63</v>
      </c>
      <c r="J301">
        <f t="shared" si="183"/>
        <v>0.33</v>
      </c>
      <c r="K301">
        <f t="shared" si="184"/>
        <v>0.67</v>
      </c>
      <c r="L301">
        <f t="shared" si="185"/>
        <v>0.33</v>
      </c>
      <c r="M301">
        <f t="shared" si="186"/>
        <v>0</v>
      </c>
      <c r="N301">
        <f t="shared" si="187"/>
        <v>1.19</v>
      </c>
      <c r="O301" t="str">
        <f t="shared" si="188"/>
        <v>松散</v>
      </c>
      <c r="P301" t="str">
        <f t="shared" si="189"/>
        <v>极紧凑</v>
      </c>
      <c r="Q301" t="str">
        <f t="shared" si="190"/>
        <v>✓有效</v>
      </c>
      <c r="R301" t="str">
        <f t="shared" si="191"/>
        <v>正常</v>
      </c>
    </row>
    <row r="302" ht="14.25" customHeight="1" spans="1:18">
      <c r="A302" s="10">
        <v>2023273</v>
      </c>
      <c r="B302" s="12" t="s">
        <v>303</v>
      </c>
      <c r="C302">
        <f t="shared" si="176"/>
        <v>4</v>
      </c>
      <c r="D302">
        <f t="shared" si="177"/>
        <v>7</v>
      </c>
      <c r="E302">
        <f t="shared" si="178"/>
        <v>5</v>
      </c>
      <c r="F302">
        <f t="shared" si="179"/>
        <v>16</v>
      </c>
      <c r="G302">
        <f t="shared" si="180"/>
        <v>6</v>
      </c>
      <c r="H302">
        <f t="shared" si="181"/>
        <v>3</v>
      </c>
      <c r="I302">
        <f t="shared" si="182"/>
        <v>5.33</v>
      </c>
      <c r="J302">
        <f t="shared" si="183"/>
        <v>0.67</v>
      </c>
      <c r="K302">
        <f t="shared" si="184"/>
        <v>0.67</v>
      </c>
      <c r="L302">
        <f t="shared" si="185"/>
        <v>0.67</v>
      </c>
      <c r="M302">
        <f t="shared" si="186"/>
        <v>1</v>
      </c>
      <c r="N302">
        <f t="shared" si="187"/>
        <v>2.67</v>
      </c>
      <c r="O302" t="str">
        <f t="shared" si="188"/>
        <v>紧凑</v>
      </c>
      <c r="P302" t="str">
        <f t="shared" si="189"/>
        <v>紧凑</v>
      </c>
      <c r="Q302" t="str">
        <f t="shared" si="190"/>
        <v>✓有效</v>
      </c>
      <c r="R302" t="str">
        <f t="shared" si="191"/>
        <v>正常</v>
      </c>
    </row>
    <row r="303" ht="14.25" customHeight="1" spans="1:18">
      <c r="A303" s="10">
        <v>2023274</v>
      </c>
      <c r="B303" s="12" t="s">
        <v>304</v>
      </c>
      <c r="C303">
        <f t="shared" si="176"/>
        <v>9</v>
      </c>
      <c r="D303">
        <f t="shared" si="177"/>
        <v>9</v>
      </c>
      <c r="E303">
        <f t="shared" si="178"/>
        <v>5</v>
      </c>
      <c r="F303">
        <f t="shared" si="179"/>
        <v>23</v>
      </c>
      <c r="G303">
        <f t="shared" si="180"/>
        <v>3</v>
      </c>
      <c r="H303">
        <f t="shared" si="181"/>
        <v>4</v>
      </c>
      <c r="I303">
        <f t="shared" si="182"/>
        <v>5.75</v>
      </c>
      <c r="J303">
        <f t="shared" si="183"/>
        <v>1</v>
      </c>
      <c r="K303">
        <f t="shared" si="184"/>
        <v>1</v>
      </c>
      <c r="L303">
        <f t="shared" si="185"/>
        <v>0.33</v>
      </c>
      <c r="M303">
        <f t="shared" si="186"/>
        <v>0</v>
      </c>
      <c r="N303">
        <f t="shared" si="187"/>
        <v>3.03</v>
      </c>
      <c r="O303" t="str">
        <f t="shared" si="188"/>
        <v>紧凑</v>
      </c>
      <c r="P303" t="str">
        <f t="shared" si="189"/>
        <v>标准</v>
      </c>
      <c r="Q303" t="str">
        <f t="shared" si="190"/>
        <v>✓有效</v>
      </c>
      <c r="R303" t="str">
        <f t="shared" si="191"/>
        <v>正常</v>
      </c>
    </row>
    <row r="304" ht="14.25" customHeight="1" spans="1:18">
      <c r="A304" s="10">
        <v>2023275</v>
      </c>
      <c r="B304" s="12" t="s">
        <v>305</v>
      </c>
      <c r="C304">
        <f t="shared" si="176"/>
        <v>7</v>
      </c>
      <c r="D304">
        <f t="shared" si="177"/>
        <v>3</v>
      </c>
      <c r="E304">
        <f t="shared" si="178"/>
        <v>9</v>
      </c>
      <c r="F304">
        <f t="shared" si="179"/>
        <v>19</v>
      </c>
      <c r="G304">
        <f t="shared" si="180"/>
        <v>9</v>
      </c>
      <c r="H304">
        <f t="shared" si="181"/>
        <v>6</v>
      </c>
      <c r="I304">
        <f t="shared" si="182"/>
        <v>3.17</v>
      </c>
      <c r="J304">
        <f t="shared" si="183"/>
        <v>1</v>
      </c>
      <c r="K304">
        <f t="shared" si="184"/>
        <v>0.67</v>
      </c>
      <c r="L304">
        <f t="shared" si="185"/>
        <v>0.67</v>
      </c>
      <c r="M304">
        <f t="shared" si="186"/>
        <v>0</v>
      </c>
      <c r="N304">
        <f t="shared" si="187"/>
        <v>1.97</v>
      </c>
      <c r="O304" t="str">
        <f t="shared" si="188"/>
        <v>标准</v>
      </c>
      <c r="P304" t="str">
        <f t="shared" si="189"/>
        <v>紧凑</v>
      </c>
      <c r="Q304" t="str">
        <f t="shared" si="190"/>
        <v>✓有效</v>
      </c>
      <c r="R304" t="str">
        <f t="shared" si="191"/>
        <v>正常</v>
      </c>
    </row>
    <row r="305" ht="14.25" customHeight="1" spans="1:18">
      <c r="A305" s="10">
        <v>2023276</v>
      </c>
      <c r="B305" s="12" t="s">
        <v>306</v>
      </c>
      <c r="C305">
        <f t="shared" si="176"/>
        <v>4</v>
      </c>
      <c r="D305">
        <f t="shared" si="177"/>
        <v>4</v>
      </c>
      <c r="E305">
        <f t="shared" si="178"/>
        <v>1</v>
      </c>
      <c r="F305">
        <f t="shared" si="179"/>
        <v>9</v>
      </c>
      <c r="G305">
        <f t="shared" si="180"/>
        <v>9</v>
      </c>
      <c r="H305">
        <f t="shared" si="181"/>
        <v>3</v>
      </c>
      <c r="I305">
        <f t="shared" si="182"/>
        <v>3</v>
      </c>
      <c r="J305">
        <f t="shared" si="183"/>
        <v>0.33</v>
      </c>
      <c r="K305">
        <f t="shared" si="184"/>
        <v>0</v>
      </c>
      <c r="L305">
        <f t="shared" si="185"/>
        <v>0</v>
      </c>
      <c r="M305">
        <f t="shared" si="186"/>
        <v>0</v>
      </c>
      <c r="N305">
        <f t="shared" si="187"/>
        <v>1.57</v>
      </c>
      <c r="O305" t="str">
        <f t="shared" si="188"/>
        <v>标准</v>
      </c>
      <c r="P305" t="str">
        <f t="shared" si="189"/>
        <v>紧凑</v>
      </c>
      <c r="Q305" t="str">
        <f t="shared" si="190"/>
        <v>✓有效</v>
      </c>
      <c r="R305" t="str">
        <f t="shared" si="191"/>
        <v>正常</v>
      </c>
    </row>
    <row r="306" ht="14.25" customHeight="1" spans="1:18">
      <c r="A306" s="10">
        <v>2023277</v>
      </c>
      <c r="B306" s="12" t="s">
        <v>153</v>
      </c>
      <c r="C306">
        <f t="shared" si="176"/>
        <v>9</v>
      </c>
      <c r="D306">
        <f t="shared" si="177"/>
        <v>2</v>
      </c>
      <c r="E306">
        <f t="shared" si="178"/>
        <v>0</v>
      </c>
      <c r="F306">
        <f t="shared" si="179"/>
        <v>11</v>
      </c>
      <c r="G306">
        <f t="shared" si="180"/>
        <v>1</v>
      </c>
      <c r="H306">
        <f t="shared" si="181"/>
        <v>9</v>
      </c>
      <c r="I306">
        <f t="shared" si="182"/>
        <v>1.22</v>
      </c>
      <c r="J306">
        <f t="shared" si="183"/>
        <v>0.33</v>
      </c>
      <c r="K306">
        <f t="shared" si="184"/>
        <v>0.33</v>
      </c>
      <c r="L306">
        <f t="shared" si="185"/>
        <v>0.33</v>
      </c>
      <c r="M306">
        <f t="shared" si="186"/>
        <v>0</v>
      </c>
      <c r="N306">
        <f t="shared" si="187"/>
        <v>0.95</v>
      </c>
      <c r="O306" t="str">
        <f t="shared" si="188"/>
        <v>松散</v>
      </c>
      <c r="P306" t="str">
        <f t="shared" si="189"/>
        <v>极紧凑</v>
      </c>
      <c r="Q306" t="str">
        <f t="shared" si="190"/>
        <v>✓有效</v>
      </c>
      <c r="R306" t="str">
        <f t="shared" si="191"/>
        <v>正常</v>
      </c>
    </row>
    <row r="307" ht="14.25" customHeight="1" spans="1:18">
      <c r="A307" s="10">
        <v>2023278</v>
      </c>
      <c r="B307" s="12" t="s">
        <v>307</v>
      </c>
      <c r="C307">
        <f t="shared" si="176"/>
        <v>8</v>
      </c>
      <c r="D307">
        <f t="shared" si="177"/>
        <v>0</v>
      </c>
      <c r="E307">
        <f t="shared" si="178"/>
        <v>9</v>
      </c>
      <c r="F307">
        <f t="shared" si="179"/>
        <v>17</v>
      </c>
      <c r="G307">
        <f t="shared" si="180"/>
        <v>7</v>
      </c>
      <c r="H307">
        <f t="shared" si="181"/>
        <v>9</v>
      </c>
      <c r="I307">
        <f t="shared" si="182"/>
        <v>1.89</v>
      </c>
      <c r="J307">
        <f t="shared" si="183"/>
        <v>0.33</v>
      </c>
      <c r="K307">
        <f t="shared" si="184"/>
        <v>0.67</v>
      </c>
      <c r="L307">
        <f t="shared" si="185"/>
        <v>0</v>
      </c>
      <c r="M307">
        <f t="shared" si="186"/>
        <v>1</v>
      </c>
      <c r="N307">
        <f t="shared" si="187"/>
        <v>1.16</v>
      </c>
      <c r="O307" t="str">
        <f t="shared" si="188"/>
        <v>松散</v>
      </c>
      <c r="P307" t="str">
        <f t="shared" si="189"/>
        <v>极紧凑</v>
      </c>
      <c r="Q307" t="str">
        <f t="shared" si="190"/>
        <v>✓有效</v>
      </c>
      <c r="R307" t="str">
        <f t="shared" si="191"/>
        <v>正常</v>
      </c>
    </row>
    <row r="308" ht="14.25" customHeight="1" spans="1:18">
      <c r="A308" s="10">
        <v>2023279</v>
      </c>
      <c r="B308" s="12" t="s">
        <v>308</v>
      </c>
      <c r="C308">
        <f t="shared" si="176"/>
        <v>7</v>
      </c>
      <c r="D308">
        <f t="shared" si="177"/>
        <v>9</v>
      </c>
      <c r="E308">
        <f t="shared" si="178"/>
        <v>2</v>
      </c>
      <c r="F308">
        <f t="shared" si="179"/>
        <v>18</v>
      </c>
      <c r="G308">
        <f t="shared" si="180"/>
        <v>8</v>
      </c>
      <c r="H308">
        <f t="shared" si="181"/>
        <v>7</v>
      </c>
      <c r="I308">
        <f t="shared" si="182"/>
        <v>2.57</v>
      </c>
      <c r="J308">
        <f t="shared" si="183"/>
        <v>0.67</v>
      </c>
      <c r="K308">
        <f t="shared" si="184"/>
        <v>0.67</v>
      </c>
      <c r="L308">
        <f t="shared" si="185"/>
        <v>0.67</v>
      </c>
      <c r="M308">
        <f t="shared" si="186"/>
        <v>0</v>
      </c>
      <c r="N308">
        <f t="shared" si="187"/>
        <v>1.66</v>
      </c>
      <c r="O308" t="str">
        <f t="shared" si="188"/>
        <v>标准</v>
      </c>
      <c r="P308" t="str">
        <f t="shared" si="189"/>
        <v>紧凑</v>
      </c>
      <c r="Q308" t="str">
        <f t="shared" si="190"/>
        <v>✓有效</v>
      </c>
      <c r="R308" t="str">
        <f t="shared" si="191"/>
        <v>正常</v>
      </c>
    </row>
    <row r="309" ht="14.25" customHeight="1" spans="1:18">
      <c r="A309" s="10">
        <v>2023280</v>
      </c>
      <c r="B309" s="12" t="s">
        <v>309</v>
      </c>
      <c r="C309">
        <f t="shared" si="176"/>
        <v>2</v>
      </c>
      <c r="D309">
        <f t="shared" si="177"/>
        <v>7</v>
      </c>
      <c r="E309">
        <f t="shared" si="178"/>
        <v>8</v>
      </c>
      <c r="F309">
        <f t="shared" si="179"/>
        <v>17</v>
      </c>
      <c r="G309">
        <f t="shared" si="180"/>
        <v>7</v>
      </c>
      <c r="H309">
        <f t="shared" si="181"/>
        <v>6</v>
      </c>
      <c r="I309">
        <f t="shared" si="182"/>
        <v>2.83</v>
      </c>
      <c r="J309">
        <f t="shared" si="183"/>
        <v>0.33</v>
      </c>
      <c r="K309">
        <f t="shared" si="184"/>
        <v>0.67</v>
      </c>
      <c r="L309">
        <f t="shared" si="185"/>
        <v>0.67</v>
      </c>
      <c r="M309">
        <f t="shared" si="186"/>
        <v>1</v>
      </c>
      <c r="N309">
        <f t="shared" si="187"/>
        <v>1.6</v>
      </c>
      <c r="O309" t="str">
        <f t="shared" si="188"/>
        <v>标准</v>
      </c>
      <c r="P309" t="str">
        <f t="shared" si="189"/>
        <v>紧凑</v>
      </c>
      <c r="Q309" t="str">
        <f t="shared" si="190"/>
        <v>✓有效</v>
      </c>
      <c r="R309" t="str">
        <f t="shared" si="191"/>
        <v>正常</v>
      </c>
    </row>
    <row r="310" ht="14.25" customHeight="1" spans="1:18">
      <c r="A310" s="10">
        <v>2023281</v>
      </c>
      <c r="B310" s="12" t="s">
        <v>310</v>
      </c>
      <c r="C310">
        <f t="shared" si="176"/>
        <v>6</v>
      </c>
      <c r="D310">
        <f t="shared" si="177"/>
        <v>8</v>
      </c>
      <c r="E310">
        <f t="shared" si="178"/>
        <v>4</v>
      </c>
      <c r="F310">
        <f t="shared" si="179"/>
        <v>18</v>
      </c>
      <c r="G310">
        <f t="shared" si="180"/>
        <v>8</v>
      </c>
      <c r="H310">
        <f t="shared" si="181"/>
        <v>4</v>
      </c>
      <c r="I310">
        <f t="shared" si="182"/>
        <v>4.5</v>
      </c>
      <c r="J310">
        <f t="shared" si="183"/>
        <v>0</v>
      </c>
      <c r="K310">
        <f t="shared" si="184"/>
        <v>0.67</v>
      </c>
      <c r="L310">
        <f t="shared" si="185"/>
        <v>0</v>
      </c>
      <c r="M310">
        <f t="shared" si="186"/>
        <v>0</v>
      </c>
      <c r="N310">
        <f t="shared" si="187"/>
        <v>2.23</v>
      </c>
      <c r="O310" t="str">
        <f t="shared" si="188"/>
        <v>紧凑</v>
      </c>
      <c r="P310" t="str">
        <f t="shared" si="189"/>
        <v>紧凑</v>
      </c>
      <c r="Q310" t="str">
        <f t="shared" si="190"/>
        <v>✓有效</v>
      </c>
      <c r="R310" t="str">
        <f t="shared" si="191"/>
        <v>正常</v>
      </c>
    </row>
    <row r="311" ht="14.25" customHeight="1" spans="1:18">
      <c r="A311" s="10">
        <v>2023282</v>
      </c>
      <c r="B311" s="12" t="s">
        <v>117</v>
      </c>
      <c r="C311">
        <f t="shared" si="176"/>
        <v>1</v>
      </c>
      <c r="D311">
        <f t="shared" si="177"/>
        <v>0</v>
      </c>
      <c r="E311">
        <f t="shared" si="178"/>
        <v>4</v>
      </c>
      <c r="F311">
        <f t="shared" si="179"/>
        <v>5</v>
      </c>
      <c r="G311">
        <f t="shared" si="180"/>
        <v>5</v>
      </c>
      <c r="H311">
        <f t="shared" si="181"/>
        <v>4</v>
      </c>
      <c r="I311">
        <f t="shared" si="182"/>
        <v>1.25</v>
      </c>
      <c r="J311">
        <f t="shared" si="183"/>
        <v>0.33</v>
      </c>
      <c r="K311">
        <f t="shared" si="184"/>
        <v>0</v>
      </c>
      <c r="L311">
        <f t="shared" si="185"/>
        <v>0</v>
      </c>
      <c r="M311">
        <f t="shared" si="186"/>
        <v>1</v>
      </c>
      <c r="N311">
        <f t="shared" si="187"/>
        <v>0.77</v>
      </c>
      <c r="O311" t="str">
        <f t="shared" si="188"/>
        <v>松散</v>
      </c>
      <c r="P311" t="str">
        <f t="shared" si="189"/>
        <v>极紧凑</v>
      </c>
      <c r="Q311" t="str">
        <f t="shared" si="190"/>
        <v>✓有效</v>
      </c>
      <c r="R311" t="str">
        <f t="shared" si="191"/>
        <v>正常</v>
      </c>
    </row>
    <row r="312" ht="14.25" customHeight="1" spans="1:18">
      <c r="A312" s="10">
        <v>2023283</v>
      </c>
      <c r="B312" s="12" t="s">
        <v>311</v>
      </c>
      <c r="C312">
        <f t="shared" si="176"/>
        <v>9</v>
      </c>
      <c r="D312">
        <f t="shared" si="177"/>
        <v>4</v>
      </c>
      <c r="E312">
        <f t="shared" si="178"/>
        <v>8</v>
      </c>
      <c r="F312">
        <f t="shared" si="179"/>
        <v>21</v>
      </c>
      <c r="G312">
        <f t="shared" si="180"/>
        <v>1</v>
      </c>
      <c r="H312">
        <f t="shared" si="181"/>
        <v>5</v>
      </c>
      <c r="I312">
        <f t="shared" si="182"/>
        <v>4.2</v>
      </c>
      <c r="J312">
        <f t="shared" si="183"/>
        <v>0.33</v>
      </c>
      <c r="K312">
        <f t="shared" si="184"/>
        <v>0.67</v>
      </c>
      <c r="L312">
        <f t="shared" si="185"/>
        <v>0</v>
      </c>
      <c r="M312">
        <f t="shared" si="186"/>
        <v>1</v>
      </c>
      <c r="N312">
        <f t="shared" si="187"/>
        <v>2.08</v>
      </c>
      <c r="O312" t="str">
        <f t="shared" si="188"/>
        <v>紧凑</v>
      </c>
      <c r="P312" t="str">
        <f t="shared" si="189"/>
        <v>紧凑</v>
      </c>
      <c r="Q312" t="str">
        <f t="shared" si="190"/>
        <v>✓有效</v>
      </c>
      <c r="R312" t="str">
        <f t="shared" si="191"/>
        <v>正常</v>
      </c>
    </row>
    <row r="313" ht="14.25" customHeight="1" spans="1:18">
      <c r="A313" s="10">
        <v>2023284</v>
      </c>
      <c r="B313" s="12" t="s">
        <v>173</v>
      </c>
      <c r="C313">
        <f t="shared" si="176"/>
        <v>3</v>
      </c>
      <c r="D313">
        <f t="shared" si="177"/>
        <v>9</v>
      </c>
      <c r="E313">
        <f t="shared" si="178"/>
        <v>3</v>
      </c>
      <c r="F313">
        <f t="shared" si="179"/>
        <v>15</v>
      </c>
      <c r="G313">
        <f t="shared" si="180"/>
        <v>5</v>
      </c>
      <c r="H313">
        <f t="shared" si="181"/>
        <v>6</v>
      </c>
      <c r="I313">
        <f t="shared" si="182"/>
        <v>2.5</v>
      </c>
      <c r="J313">
        <f t="shared" si="183"/>
        <v>1</v>
      </c>
      <c r="K313">
        <f t="shared" si="184"/>
        <v>0.33</v>
      </c>
      <c r="L313">
        <f t="shared" si="185"/>
        <v>0.67</v>
      </c>
      <c r="M313">
        <f t="shared" si="186"/>
        <v>0</v>
      </c>
      <c r="N313">
        <f t="shared" si="187"/>
        <v>1.63</v>
      </c>
      <c r="O313" t="str">
        <f t="shared" si="188"/>
        <v>标准</v>
      </c>
      <c r="P313" t="str">
        <f t="shared" si="189"/>
        <v>紧凑</v>
      </c>
      <c r="Q313" t="str">
        <f t="shared" si="190"/>
        <v>✓有效</v>
      </c>
      <c r="R313" t="str">
        <f t="shared" si="191"/>
        <v>正常</v>
      </c>
    </row>
    <row r="314" ht="14.25" customHeight="1" spans="1:18">
      <c r="A314" s="10">
        <v>2023285</v>
      </c>
      <c r="B314" s="12" t="s">
        <v>312</v>
      </c>
      <c r="C314">
        <f t="shared" si="176"/>
        <v>5</v>
      </c>
      <c r="D314">
        <f t="shared" si="177"/>
        <v>9</v>
      </c>
      <c r="E314">
        <f t="shared" si="178"/>
        <v>1</v>
      </c>
      <c r="F314">
        <f t="shared" si="179"/>
        <v>15</v>
      </c>
      <c r="G314">
        <f t="shared" si="180"/>
        <v>5</v>
      </c>
      <c r="H314">
        <f t="shared" si="181"/>
        <v>8</v>
      </c>
      <c r="I314">
        <f t="shared" si="182"/>
        <v>1.88</v>
      </c>
      <c r="J314">
        <f t="shared" si="183"/>
        <v>1</v>
      </c>
      <c r="K314">
        <f t="shared" si="184"/>
        <v>0.67</v>
      </c>
      <c r="L314">
        <f t="shared" si="185"/>
        <v>0.33</v>
      </c>
      <c r="M314">
        <f t="shared" si="186"/>
        <v>0</v>
      </c>
      <c r="N314">
        <f t="shared" si="187"/>
        <v>1.42</v>
      </c>
      <c r="O314" t="str">
        <f t="shared" si="188"/>
        <v>松散</v>
      </c>
      <c r="P314" t="str">
        <f t="shared" si="189"/>
        <v>极紧凑</v>
      </c>
      <c r="Q314" t="str">
        <f t="shared" si="190"/>
        <v>✓有效</v>
      </c>
      <c r="R314" t="str">
        <f t="shared" si="191"/>
        <v>正常</v>
      </c>
    </row>
    <row r="315" ht="14.25" customHeight="1" spans="1:18">
      <c r="A315" s="10">
        <v>2023286</v>
      </c>
      <c r="B315" s="12" t="s">
        <v>313</v>
      </c>
      <c r="C315">
        <f t="shared" si="176"/>
        <v>2</v>
      </c>
      <c r="D315">
        <f t="shared" si="177"/>
        <v>0</v>
      </c>
      <c r="E315">
        <f t="shared" si="178"/>
        <v>5</v>
      </c>
      <c r="F315">
        <f t="shared" si="179"/>
        <v>7</v>
      </c>
      <c r="G315">
        <f t="shared" si="180"/>
        <v>7</v>
      </c>
      <c r="H315">
        <f t="shared" si="181"/>
        <v>5</v>
      </c>
      <c r="I315">
        <f t="shared" si="182"/>
        <v>1.4</v>
      </c>
      <c r="J315">
        <f t="shared" si="183"/>
        <v>0.33</v>
      </c>
      <c r="K315">
        <f t="shared" si="184"/>
        <v>0.33</v>
      </c>
      <c r="L315">
        <f t="shared" si="185"/>
        <v>0.67</v>
      </c>
      <c r="M315">
        <f t="shared" si="186"/>
        <v>0</v>
      </c>
      <c r="N315">
        <f t="shared" si="187"/>
        <v>1.06</v>
      </c>
      <c r="O315" t="str">
        <f t="shared" si="188"/>
        <v>松散</v>
      </c>
      <c r="P315" t="str">
        <f t="shared" si="189"/>
        <v>极紧凑</v>
      </c>
      <c r="Q315" t="str">
        <f t="shared" si="190"/>
        <v>✓有效</v>
      </c>
      <c r="R315" t="str">
        <f t="shared" si="191"/>
        <v>正常</v>
      </c>
    </row>
    <row r="316" ht="14.25" customHeight="1" spans="1:18">
      <c r="A316" s="10">
        <v>2023287</v>
      </c>
      <c r="B316" s="12" t="s">
        <v>267</v>
      </c>
      <c r="C316">
        <f t="shared" si="176"/>
        <v>3</v>
      </c>
      <c r="D316">
        <f t="shared" si="177"/>
        <v>0</v>
      </c>
      <c r="E316">
        <f t="shared" si="178"/>
        <v>9</v>
      </c>
      <c r="F316">
        <f t="shared" si="179"/>
        <v>12</v>
      </c>
      <c r="G316">
        <f t="shared" si="180"/>
        <v>2</v>
      </c>
      <c r="H316">
        <f t="shared" si="181"/>
        <v>9</v>
      </c>
      <c r="I316">
        <f t="shared" si="182"/>
        <v>1.33</v>
      </c>
      <c r="J316">
        <f t="shared" si="183"/>
        <v>0.67</v>
      </c>
      <c r="K316">
        <f t="shared" si="184"/>
        <v>0.33</v>
      </c>
      <c r="L316">
        <f t="shared" si="185"/>
        <v>0.33</v>
      </c>
      <c r="M316">
        <f t="shared" si="186"/>
        <v>0</v>
      </c>
      <c r="N316">
        <f t="shared" si="187"/>
        <v>1.07</v>
      </c>
      <c r="O316" t="str">
        <f t="shared" si="188"/>
        <v>松散</v>
      </c>
      <c r="P316" t="str">
        <f t="shared" si="189"/>
        <v>极紧凑</v>
      </c>
      <c r="Q316" t="str">
        <f t="shared" si="190"/>
        <v>✓有效</v>
      </c>
      <c r="R316" t="str">
        <f t="shared" si="191"/>
        <v>正常</v>
      </c>
    </row>
    <row r="317" ht="14.25" customHeight="1" spans="1:18">
      <c r="A317" s="10">
        <v>2023288</v>
      </c>
      <c r="B317" s="12" t="s">
        <v>314</v>
      </c>
      <c r="C317">
        <f t="shared" si="176"/>
        <v>5</v>
      </c>
      <c r="D317">
        <f t="shared" si="177"/>
        <v>5</v>
      </c>
      <c r="E317">
        <f t="shared" si="178"/>
        <v>0</v>
      </c>
      <c r="F317">
        <f t="shared" si="179"/>
        <v>10</v>
      </c>
      <c r="G317">
        <f t="shared" si="180"/>
        <v>0</v>
      </c>
      <c r="H317">
        <f t="shared" si="181"/>
        <v>5</v>
      </c>
      <c r="I317">
        <f t="shared" si="182"/>
        <v>2</v>
      </c>
      <c r="J317">
        <f t="shared" si="183"/>
        <v>0.67</v>
      </c>
      <c r="K317">
        <f t="shared" si="184"/>
        <v>0.67</v>
      </c>
      <c r="L317">
        <f t="shared" si="185"/>
        <v>0.67</v>
      </c>
      <c r="M317">
        <f t="shared" si="186"/>
        <v>0</v>
      </c>
      <c r="N317">
        <f t="shared" si="187"/>
        <v>1.44</v>
      </c>
      <c r="O317" t="str">
        <f t="shared" si="188"/>
        <v>标准</v>
      </c>
      <c r="P317" t="str">
        <f t="shared" si="189"/>
        <v>极紧凑</v>
      </c>
      <c r="Q317" t="str">
        <f t="shared" si="190"/>
        <v>✓有效</v>
      </c>
      <c r="R317" t="str">
        <f t="shared" si="191"/>
        <v>正常</v>
      </c>
    </row>
    <row r="318" ht="14.25" customHeight="1" spans="1:18">
      <c r="A318" s="10">
        <v>2023289</v>
      </c>
      <c r="B318" s="12" t="s">
        <v>315</v>
      </c>
      <c r="C318">
        <f t="shared" si="176"/>
        <v>8</v>
      </c>
      <c r="D318">
        <f t="shared" si="177"/>
        <v>6</v>
      </c>
      <c r="E318">
        <f t="shared" si="178"/>
        <v>6</v>
      </c>
      <c r="F318">
        <f t="shared" si="179"/>
        <v>20</v>
      </c>
      <c r="G318">
        <f t="shared" si="180"/>
        <v>0</v>
      </c>
      <c r="H318">
        <f t="shared" si="181"/>
        <v>2</v>
      </c>
      <c r="I318">
        <f t="shared" si="182"/>
        <v>10</v>
      </c>
      <c r="J318">
        <f t="shared" si="183"/>
        <v>0</v>
      </c>
      <c r="K318">
        <f t="shared" si="184"/>
        <v>1</v>
      </c>
      <c r="L318">
        <f t="shared" si="185"/>
        <v>0</v>
      </c>
      <c r="M318">
        <f t="shared" si="186"/>
        <v>0</v>
      </c>
      <c r="N318">
        <f t="shared" si="187"/>
        <v>4.5</v>
      </c>
      <c r="O318" t="str">
        <f t="shared" si="188"/>
        <v>紧凑</v>
      </c>
      <c r="P318" t="str">
        <f t="shared" si="189"/>
        <v>标准</v>
      </c>
      <c r="Q318" t="str">
        <f t="shared" si="190"/>
        <v>✓有效</v>
      </c>
      <c r="R318" t="str">
        <f t="shared" si="191"/>
        <v>正常</v>
      </c>
    </row>
    <row r="319" ht="14.25" customHeight="1" spans="1:18">
      <c r="A319" s="10">
        <v>2023290</v>
      </c>
      <c r="B319" s="12" t="s">
        <v>316</v>
      </c>
      <c r="C319">
        <f t="shared" si="176"/>
        <v>8</v>
      </c>
      <c r="D319">
        <f t="shared" si="177"/>
        <v>3</v>
      </c>
      <c r="E319">
        <f t="shared" si="178"/>
        <v>3</v>
      </c>
      <c r="F319">
        <f t="shared" si="179"/>
        <v>14</v>
      </c>
      <c r="G319">
        <f t="shared" si="180"/>
        <v>4</v>
      </c>
      <c r="H319">
        <f t="shared" si="181"/>
        <v>5</v>
      </c>
      <c r="I319">
        <f t="shared" si="182"/>
        <v>2.8</v>
      </c>
      <c r="J319">
        <f t="shared" si="183"/>
        <v>0.67</v>
      </c>
      <c r="K319">
        <f t="shared" si="184"/>
        <v>0.33</v>
      </c>
      <c r="L319">
        <f t="shared" si="185"/>
        <v>0.67</v>
      </c>
      <c r="M319">
        <f t="shared" si="186"/>
        <v>0</v>
      </c>
      <c r="N319">
        <f t="shared" si="187"/>
        <v>1.69</v>
      </c>
      <c r="O319" t="str">
        <f t="shared" si="188"/>
        <v>标准</v>
      </c>
      <c r="P319" t="str">
        <f t="shared" si="189"/>
        <v>紧凑</v>
      </c>
      <c r="Q319" t="str">
        <f t="shared" si="190"/>
        <v>✓有效</v>
      </c>
      <c r="R319" t="str">
        <f t="shared" si="191"/>
        <v>正常</v>
      </c>
    </row>
    <row r="320" ht="14.25" customHeight="1" spans="1:18">
      <c r="A320" s="10">
        <v>2023291</v>
      </c>
      <c r="B320" s="12" t="s">
        <v>317</v>
      </c>
      <c r="C320">
        <f t="shared" si="176"/>
        <v>5</v>
      </c>
      <c r="D320">
        <f t="shared" si="177"/>
        <v>8</v>
      </c>
      <c r="E320">
        <f t="shared" si="178"/>
        <v>3</v>
      </c>
      <c r="F320">
        <f t="shared" si="179"/>
        <v>16</v>
      </c>
      <c r="G320">
        <f t="shared" si="180"/>
        <v>6</v>
      </c>
      <c r="H320">
        <f t="shared" si="181"/>
        <v>5</v>
      </c>
      <c r="I320">
        <f t="shared" si="182"/>
        <v>3.2</v>
      </c>
      <c r="J320">
        <f t="shared" si="183"/>
        <v>0.67</v>
      </c>
      <c r="K320">
        <f t="shared" si="184"/>
        <v>0.67</v>
      </c>
      <c r="L320">
        <f t="shared" si="185"/>
        <v>0.67</v>
      </c>
      <c r="M320">
        <f t="shared" si="186"/>
        <v>0</v>
      </c>
      <c r="N320">
        <f t="shared" si="187"/>
        <v>1.92</v>
      </c>
      <c r="O320" t="str">
        <f t="shared" si="188"/>
        <v>标准</v>
      </c>
      <c r="P320" t="str">
        <f t="shared" si="189"/>
        <v>紧凑</v>
      </c>
      <c r="Q320" t="str">
        <f t="shared" si="190"/>
        <v>✓有效</v>
      </c>
      <c r="R320" t="str">
        <f t="shared" si="191"/>
        <v>正常</v>
      </c>
    </row>
    <row r="321" ht="14.25" customHeight="1" spans="1:18">
      <c r="A321" s="10">
        <v>2023292</v>
      </c>
      <c r="B321" s="12" t="s">
        <v>215</v>
      </c>
      <c r="C321">
        <f t="shared" si="176"/>
        <v>6</v>
      </c>
      <c r="D321">
        <f t="shared" si="177"/>
        <v>8</v>
      </c>
      <c r="E321">
        <f t="shared" si="178"/>
        <v>9</v>
      </c>
      <c r="F321">
        <f t="shared" si="179"/>
        <v>23</v>
      </c>
      <c r="G321">
        <f t="shared" si="180"/>
        <v>3</v>
      </c>
      <c r="H321">
        <f t="shared" si="181"/>
        <v>3</v>
      </c>
      <c r="I321">
        <f t="shared" si="182"/>
        <v>7.67</v>
      </c>
      <c r="J321">
        <f t="shared" si="183"/>
        <v>0.33</v>
      </c>
      <c r="K321">
        <f t="shared" si="184"/>
        <v>1</v>
      </c>
      <c r="L321">
        <f t="shared" si="185"/>
        <v>0</v>
      </c>
      <c r="M321">
        <f t="shared" si="186"/>
        <v>1</v>
      </c>
      <c r="N321">
        <f t="shared" si="187"/>
        <v>3.53</v>
      </c>
      <c r="O321" t="str">
        <f t="shared" si="188"/>
        <v>紧凑</v>
      </c>
      <c r="P321" t="str">
        <f t="shared" si="189"/>
        <v>标准</v>
      </c>
      <c r="Q321" t="str">
        <f t="shared" si="190"/>
        <v>✓有效</v>
      </c>
      <c r="R321" t="str">
        <f t="shared" si="191"/>
        <v>正常</v>
      </c>
    </row>
    <row r="322" ht="14.25" customHeight="1" spans="1:18">
      <c r="A322" s="10">
        <v>2023293</v>
      </c>
      <c r="B322" s="12" t="s">
        <v>318</v>
      </c>
      <c r="C322">
        <f t="shared" si="176"/>
        <v>8</v>
      </c>
      <c r="D322">
        <f t="shared" si="177"/>
        <v>1</v>
      </c>
      <c r="E322">
        <f t="shared" si="178"/>
        <v>0</v>
      </c>
      <c r="F322">
        <f t="shared" si="179"/>
        <v>9</v>
      </c>
      <c r="G322">
        <f t="shared" si="180"/>
        <v>9</v>
      </c>
      <c r="H322">
        <f t="shared" si="181"/>
        <v>8</v>
      </c>
      <c r="I322">
        <f t="shared" si="182"/>
        <v>1.13</v>
      </c>
      <c r="J322">
        <f t="shared" si="183"/>
        <v>0.33</v>
      </c>
      <c r="K322">
        <f t="shared" si="184"/>
        <v>0.33</v>
      </c>
      <c r="L322">
        <f t="shared" si="185"/>
        <v>0</v>
      </c>
      <c r="M322">
        <f t="shared" si="186"/>
        <v>1</v>
      </c>
      <c r="N322">
        <f t="shared" si="187"/>
        <v>0.78</v>
      </c>
      <c r="O322" t="str">
        <f t="shared" si="188"/>
        <v>松散</v>
      </c>
      <c r="P322" t="str">
        <f t="shared" si="189"/>
        <v>极紧凑</v>
      </c>
      <c r="Q322" t="str">
        <f t="shared" si="190"/>
        <v>✓有效</v>
      </c>
      <c r="R322" t="str">
        <f t="shared" si="191"/>
        <v>正常</v>
      </c>
    </row>
    <row r="323" ht="14.25" customHeight="1" spans="1:18">
      <c r="A323" s="10">
        <v>2023294</v>
      </c>
      <c r="B323" s="12" t="s">
        <v>312</v>
      </c>
      <c r="C323">
        <f t="shared" si="176"/>
        <v>5</v>
      </c>
      <c r="D323">
        <f t="shared" si="177"/>
        <v>9</v>
      </c>
      <c r="E323">
        <f t="shared" si="178"/>
        <v>1</v>
      </c>
      <c r="F323">
        <f t="shared" si="179"/>
        <v>15</v>
      </c>
      <c r="G323">
        <f t="shared" si="180"/>
        <v>5</v>
      </c>
      <c r="H323">
        <f t="shared" si="181"/>
        <v>8</v>
      </c>
      <c r="I323">
        <f t="shared" si="182"/>
        <v>1.88</v>
      </c>
      <c r="J323">
        <f t="shared" si="183"/>
        <v>1</v>
      </c>
      <c r="K323">
        <f t="shared" si="184"/>
        <v>0.67</v>
      </c>
      <c r="L323">
        <f t="shared" si="185"/>
        <v>0.33</v>
      </c>
      <c r="M323">
        <f t="shared" si="186"/>
        <v>0</v>
      </c>
      <c r="N323">
        <f t="shared" si="187"/>
        <v>1.42</v>
      </c>
      <c r="O323" t="str">
        <f t="shared" si="188"/>
        <v>松散</v>
      </c>
      <c r="P323" t="str">
        <f t="shared" si="189"/>
        <v>极紧凑</v>
      </c>
      <c r="Q323" t="str">
        <f t="shared" si="190"/>
        <v>✓有效</v>
      </c>
      <c r="R323" t="str">
        <f t="shared" si="191"/>
        <v>正常</v>
      </c>
    </row>
    <row r="324" ht="14.25" customHeight="1" spans="1:18">
      <c r="A324" s="10">
        <v>2023295</v>
      </c>
      <c r="B324" s="11">
        <v>795</v>
      </c>
      <c r="C324">
        <f t="shared" ref="C324:C351" si="192">IF(B324="","",LEFT(TEXT(B324,"000"),1)*1)</f>
        <v>7</v>
      </c>
      <c r="D324">
        <f t="shared" ref="D324:D351" si="193">IF(B324="","",MID(TEXT(B324,"000"),2,1)*1)</f>
        <v>9</v>
      </c>
      <c r="E324">
        <f t="shared" ref="E324:E351" si="194">IF(B324="","",RIGHT(TEXT(B324,"000"),1)*1)</f>
        <v>5</v>
      </c>
      <c r="F324">
        <f t="shared" ref="F324:F351" si="195">IF(B324="","",C324+D324+E324)</f>
        <v>21</v>
      </c>
      <c r="G324">
        <f t="shared" ref="G324:G351" si="196">IF(B324="","",MOD(F324,10))</f>
        <v>1</v>
      </c>
      <c r="H324">
        <f t="shared" ref="H324:H351" si="197">IF(B324="","",MAX(C324,D324,E324)-MIN(C324,D324,E324))</f>
        <v>4</v>
      </c>
      <c r="I324">
        <f t="shared" ref="I324:I351" si="198">IF(OR(B324="",H324=0),IF(H324=0,0.1,""),ROUND(F324/H324,2))</f>
        <v>5.25</v>
      </c>
      <c r="J324">
        <f t="shared" ref="J324:J351" si="199">IF(B324="","",ROUND((MOD(C324,2)+MOD(D324,2)+MOD(E324,2))/3,2))</f>
        <v>1</v>
      </c>
      <c r="K324">
        <f t="shared" ref="K324:K351" si="200">IF(B324="","",ROUND(((C324&gt;=5)+(D324&gt;=5)+(E324&gt;=5))/3,2))</f>
        <v>1</v>
      </c>
      <c r="L324">
        <f t="shared" ref="L324:L351" si="201">IF(B324="","",ROUND((ISNUMBER(FIND(C324,"2357"))+ISNUMBER(FIND(D324,"2357"))+ISNUMBER(FIND(E324,"2357")))/3,2))</f>
        <v>0.67</v>
      </c>
      <c r="M324">
        <f t="shared" ref="M324:M351" si="202">IF(B324="","",((ABS(C324-D324)=1)+(ABS(D324-E324)=1)+(ABS(C324-E324)=1)))</f>
        <v>0</v>
      </c>
      <c r="N324">
        <f t="shared" ref="N324:N351" si="203">IF(B324="","",ROUND(I324*0.4+J324*0.2+K324*0.2+L324*0.1+(3-M324)*0.1,2))</f>
        <v>2.87</v>
      </c>
      <c r="O324" t="str">
        <f t="shared" ref="O324:O351" si="204">IF(I324=0.1,"极紧凑",IF(I324&gt;3.5,"紧凑",IF(AND(I324&gt;=2,I324&lt;=3.5),"标准",IF(AND(I324&gt;=1,I324&lt;2),"松散",""))))</f>
        <v>紧凑</v>
      </c>
      <c r="P324" t="str">
        <f t="shared" ref="P324:P351" si="205">IF(B324="","",IF(N324&lt;=1.5,"极紧凑",IF(N324&lt;=3,"紧凑",IF(N324&lt;=5,"标准","松散"))))</f>
        <v>紧凑</v>
      </c>
      <c r="Q324" t="str">
        <f t="shared" ref="Q324:Q351" si="206">IF(B324="","",IF(AND(C324&gt;=0,C324&lt;=9,D324&gt;=0,D324&lt;=9,E324&gt;=0,E324&lt;=9),"✓有效","✗无效"))</f>
        <v>✓有效</v>
      </c>
      <c r="R324" t="str">
        <f t="shared" ref="R324:R351" si="207">IF(B324="","",IF(OR(I324&gt;10,I324&lt;0.1),"异常","正常"))</f>
        <v>正常</v>
      </c>
    </row>
    <row r="325" ht="14.25" customHeight="1" spans="1:18">
      <c r="A325" s="10">
        <v>2023296</v>
      </c>
      <c r="B325" s="12" t="s">
        <v>319</v>
      </c>
      <c r="C325">
        <f t="shared" si="192"/>
        <v>4</v>
      </c>
      <c r="D325">
        <f t="shared" si="193"/>
        <v>9</v>
      </c>
      <c r="E325">
        <f t="shared" si="194"/>
        <v>1</v>
      </c>
      <c r="F325">
        <f t="shared" si="195"/>
        <v>14</v>
      </c>
      <c r="G325">
        <f t="shared" si="196"/>
        <v>4</v>
      </c>
      <c r="H325">
        <f t="shared" si="197"/>
        <v>8</v>
      </c>
      <c r="I325">
        <f t="shared" si="198"/>
        <v>1.75</v>
      </c>
      <c r="J325">
        <f t="shared" si="199"/>
        <v>0.67</v>
      </c>
      <c r="K325">
        <f t="shared" si="200"/>
        <v>0.33</v>
      </c>
      <c r="L325">
        <f t="shared" si="201"/>
        <v>0</v>
      </c>
      <c r="M325">
        <f t="shared" si="202"/>
        <v>0</v>
      </c>
      <c r="N325">
        <f t="shared" si="203"/>
        <v>1.2</v>
      </c>
      <c r="O325" t="str">
        <f t="shared" si="204"/>
        <v>松散</v>
      </c>
      <c r="P325" t="str">
        <f t="shared" si="205"/>
        <v>极紧凑</v>
      </c>
      <c r="Q325" t="str">
        <f t="shared" si="206"/>
        <v>✓有效</v>
      </c>
      <c r="R325" t="str">
        <f t="shared" si="207"/>
        <v>正常</v>
      </c>
    </row>
    <row r="326" ht="14.25" customHeight="1" spans="1:18">
      <c r="A326" s="10">
        <v>2023297</v>
      </c>
      <c r="B326" s="12" t="s">
        <v>320</v>
      </c>
      <c r="C326">
        <f t="shared" si="192"/>
        <v>2</v>
      </c>
      <c r="D326">
        <f t="shared" si="193"/>
        <v>2</v>
      </c>
      <c r="E326">
        <f t="shared" si="194"/>
        <v>6</v>
      </c>
      <c r="F326">
        <f t="shared" si="195"/>
        <v>10</v>
      </c>
      <c r="G326">
        <f t="shared" si="196"/>
        <v>0</v>
      </c>
      <c r="H326">
        <f t="shared" si="197"/>
        <v>4</v>
      </c>
      <c r="I326">
        <f t="shared" si="198"/>
        <v>2.5</v>
      </c>
      <c r="J326">
        <f t="shared" si="199"/>
        <v>0</v>
      </c>
      <c r="K326">
        <f t="shared" si="200"/>
        <v>0.33</v>
      </c>
      <c r="L326">
        <f t="shared" si="201"/>
        <v>0.67</v>
      </c>
      <c r="M326">
        <f t="shared" si="202"/>
        <v>0</v>
      </c>
      <c r="N326">
        <f t="shared" si="203"/>
        <v>1.43</v>
      </c>
      <c r="O326" t="str">
        <f t="shared" si="204"/>
        <v>标准</v>
      </c>
      <c r="P326" t="str">
        <f t="shared" si="205"/>
        <v>极紧凑</v>
      </c>
      <c r="Q326" t="str">
        <f t="shared" si="206"/>
        <v>✓有效</v>
      </c>
      <c r="R326" t="str">
        <f t="shared" si="207"/>
        <v>正常</v>
      </c>
    </row>
    <row r="327" ht="14.25" customHeight="1" spans="1:18">
      <c r="A327" s="10">
        <v>2023298</v>
      </c>
      <c r="B327" s="12" t="s">
        <v>321</v>
      </c>
      <c r="C327">
        <f t="shared" si="192"/>
        <v>0</v>
      </c>
      <c r="D327">
        <f t="shared" si="193"/>
        <v>4</v>
      </c>
      <c r="E327">
        <f t="shared" si="194"/>
        <v>7</v>
      </c>
      <c r="F327">
        <f t="shared" si="195"/>
        <v>11</v>
      </c>
      <c r="G327">
        <f t="shared" si="196"/>
        <v>1</v>
      </c>
      <c r="H327">
        <f t="shared" si="197"/>
        <v>7</v>
      </c>
      <c r="I327">
        <f t="shared" si="198"/>
        <v>1.57</v>
      </c>
      <c r="J327">
        <f t="shared" si="199"/>
        <v>0.33</v>
      </c>
      <c r="K327">
        <f t="shared" si="200"/>
        <v>0.33</v>
      </c>
      <c r="L327">
        <f t="shared" si="201"/>
        <v>0.33</v>
      </c>
      <c r="M327">
        <f t="shared" si="202"/>
        <v>0</v>
      </c>
      <c r="N327">
        <f t="shared" si="203"/>
        <v>1.09</v>
      </c>
      <c r="O327" t="str">
        <f t="shared" si="204"/>
        <v>松散</v>
      </c>
      <c r="P327" t="str">
        <f t="shared" si="205"/>
        <v>极紧凑</v>
      </c>
      <c r="Q327" t="str">
        <f t="shared" si="206"/>
        <v>✓有效</v>
      </c>
      <c r="R327" t="str">
        <f t="shared" si="207"/>
        <v>正常</v>
      </c>
    </row>
    <row r="328" ht="14.25" customHeight="1" spans="1:18">
      <c r="A328" s="10">
        <v>2023299</v>
      </c>
      <c r="B328" s="12" t="s">
        <v>153</v>
      </c>
      <c r="C328">
        <f t="shared" si="192"/>
        <v>9</v>
      </c>
      <c r="D328">
        <f t="shared" si="193"/>
        <v>2</v>
      </c>
      <c r="E328">
        <f t="shared" si="194"/>
        <v>0</v>
      </c>
      <c r="F328">
        <f t="shared" si="195"/>
        <v>11</v>
      </c>
      <c r="G328">
        <f t="shared" si="196"/>
        <v>1</v>
      </c>
      <c r="H328">
        <f t="shared" si="197"/>
        <v>9</v>
      </c>
      <c r="I328">
        <f t="shared" si="198"/>
        <v>1.22</v>
      </c>
      <c r="J328">
        <f t="shared" si="199"/>
        <v>0.33</v>
      </c>
      <c r="K328">
        <f t="shared" si="200"/>
        <v>0.33</v>
      </c>
      <c r="L328">
        <f t="shared" si="201"/>
        <v>0.33</v>
      </c>
      <c r="M328">
        <f t="shared" si="202"/>
        <v>0</v>
      </c>
      <c r="N328">
        <f t="shared" si="203"/>
        <v>0.95</v>
      </c>
      <c r="O328" t="str">
        <f t="shared" si="204"/>
        <v>松散</v>
      </c>
      <c r="P328" t="str">
        <f t="shared" si="205"/>
        <v>极紧凑</v>
      </c>
      <c r="Q328" t="str">
        <f t="shared" si="206"/>
        <v>✓有效</v>
      </c>
      <c r="R328" t="str">
        <f t="shared" si="207"/>
        <v>正常</v>
      </c>
    </row>
    <row r="329" ht="14.25" customHeight="1" spans="1:18">
      <c r="A329" s="10">
        <v>2023300</v>
      </c>
      <c r="B329" s="12" t="s">
        <v>147</v>
      </c>
      <c r="C329">
        <f t="shared" si="192"/>
        <v>0</v>
      </c>
      <c r="D329">
        <f t="shared" si="193"/>
        <v>9</v>
      </c>
      <c r="E329">
        <f t="shared" si="194"/>
        <v>0</v>
      </c>
      <c r="F329">
        <f t="shared" si="195"/>
        <v>9</v>
      </c>
      <c r="G329">
        <f t="shared" si="196"/>
        <v>9</v>
      </c>
      <c r="H329">
        <f t="shared" si="197"/>
        <v>9</v>
      </c>
      <c r="I329">
        <f t="shared" si="198"/>
        <v>1</v>
      </c>
      <c r="J329">
        <f t="shared" si="199"/>
        <v>0.33</v>
      </c>
      <c r="K329">
        <f t="shared" si="200"/>
        <v>0.33</v>
      </c>
      <c r="L329">
        <f t="shared" si="201"/>
        <v>0</v>
      </c>
      <c r="M329">
        <f t="shared" si="202"/>
        <v>0</v>
      </c>
      <c r="N329">
        <f t="shared" si="203"/>
        <v>0.83</v>
      </c>
      <c r="O329" t="str">
        <f t="shared" si="204"/>
        <v>松散</v>
      </c>
      <c r="P329" t="str">
        <f t="shared" si="205"/>
        <v>极紧凑</v>
      </c>
      <c r="Q329" t="str">
        <f t="shared" si="206"/>
        <v>✓有效</v>
      </c>
      <c r="R329" t="str">
        <f t="shared" si="207"/>
        <v>正常</v>
      </c>
    </row>
    <row r="330" ht="14.25" customHeight="1" spans="1:18">
      <c r="A330" s="10">
        <v>2023301</v>
      </c>
      <c r="B330" s="12" t="s">
        <v>67</v>
      </c>
      <c r="C330">
        <f t="shared" si="192"/>
        <v>5</v>
      </c>
      <c r="D330">
        <f t="shared" si="193"/>
        <v>8</v>
      </c>
      <c r="E330">
        <f t="shared" si="194"/>
        <v>0</v>
      </c>
      <c r="F330">
        <f t="shared" si="195"/>
        <v>13</v>
      </c>
      <c r="G330">
        <f t="shared" si="196"/>
        <v>3</v>
      </c>
      <c r="H330">
        <f t="shared" si="197"/>
        <v>8</v>
      </c>
      <c r="I330">
        <f t="shared" si="198"/>
        <v>1.63</v>
      </c>
      <c r="J330">
        <f t="shared" si="199"/>
        <v>0.33</v>
      </c>
      <c r="K330">
        <f t="shared" si="200"/>
        <v>0.67</v>
      </c>
      <c r="L330">
        <f t="shared" si="201"/>
        <v>0.33</v>
      </c>
      <c r="M330">
        <f t="shared" si="202"/>
        <v>0</v>
      </c>
      <c r="N330">
        <f t="shared" si="203"/>
        <v>1.19</v>
      </c>
      <c r="O330" t="str">
        <f t="shared" si="204"/>
        <v>松散</v>
      </c>
      <c r="P330" t="str">
        <f t="shared" si="205"/>
        <v>极紧凑</v>
      </c>
      <c r="Q330" t="str">
        <f t="shared" si="206"/>
        <v>✓有效</v>
      </c>
      <c r="R330" t="str">
        <f t="shared" si="207"/>
        <v>正常</v>
      </c>
    </row>
    <row r="331" ht="14.25" customHeight="1" spans="1:18">
      <c r="A331" s="10">
        <v>2023302</v>
      </c>
      <c r="B331" s="12" t="s">
        <v>322</v>
      </c>
      <c r="C331">
        <f t="shared" si="192"/>
        <v>6</v>
      </c>
      <c r="D331">
        <f t="shared" si="193"/>
        <v>1</v>
      </c>
      <c r="E331">
        <f t="shared" si="194"/>
        <v>8</v>
      </c>
      <c r="F331">
        <f t="shared" si="195"/>
        <v>15</v>
      </c>
      <c r="G331">
        <f t="shared" si="196"/>
        <v>5</v>
      </c>
      <c r="H331">
        <f t="shared" si="197"/>
        <v>7</v>
      </c>
      <c r="I331">
        <f t="shared" si="198"/>
        <v>2.14</v>
      </c>
      <c r="J331">
        <f t="shared" si="199"/>
        <v>0.33</v>
      </c>
      <c r="K331">
        <f t="shared" si="200"/>
        <v>0.67</v>
      </c>
      <c r="L331">
        <f t="shared" si="201"/>
        <v>0</v>
      </c>
      <c r="M331">
        <f t="shared" si="202"/>
        <v>0</v>
      </c>
      <c r="N331">
        <f t="shared" si="203"/>
        <v>1.36</v>
      </c>
      <c r="O331" t="str">
        <f t="shared" si="204"/>
        <v>标准</v>
      </c>
      <c r="P331" t="str">
        <f t="shared" si="205"/>
        <v>极紧凑</v>
      </c>
      <c r="Q331" t="str">
        <f t="shared" si="206"/>
        <v>✓有效</v>
      </c>
      <c r="R331" t="str">
        <f t="shared" si="207"/>
        <v>正常</v>
      </c>
    </row>
    <row r="332" ht="14.25" customHeight="1" spans="1:18">
      <c r="A332" s="10">
        <v>2023303</v>
      </c>
      <c r="B332" s="12" t="s">
        <v>287</v>
      </c>
      <c r="C332">
        <f t="shared" si="192"/>
        <v>7</v>
      </c>
      <c r="D332">
        <f t="shared" si="193"/>
        <v>2</v>
      </c>
      <c r="E332">
        <f t="shared" si="194"/>
        <v>1</v>
      </c>
      <c r="F332">
        <f t="shared" si="195"/>
        <v>10</v>
      </c>
      <c r="G332">
        <f t="shared" si="196"/>
        <v>0</v>
      </c>
      <c r="H332">
        <f t="shared" si="197"/>
        <v>6</v>
      </c>
      <c r="I332">
        <f t="shared" si="198"/>
        <v>1.67</v>
      </c>
      <c r="J332">
        <f t="shared" si="199"/>
        <v>0.67</v>
      </c>
      <c r="K332">
        <f t="shared" si="200"/>
        <v>0.33</v>
      </c>
      <c r="L332">
        <f t="shared" si="201"/>
        <v>0.67</v>
      </c>
      <c r="M332">
        <f t="shared" si="202"/>
        <v>1</v>
      </c>
      <c r="N332">
        <f t="shared" si="203"/>
        <v>1.14</v>
      </c>
      <c r="O332" t="str">
        <f t="shared" si="204"/>
        <v>松散</v>
      </c>
      <c r="P332" t="str">
        <f t="shared" si="205"/>
        <v>极紧凑</v>
      </c>
      <c r="Q332" t="str">
        <f t="shared" si="206"/>
        <v>✓有效</v>
      </c>
      <c r="R332" t="str">
        <f t="shared" si="207"/>
        <v>正常</v>
      </c>
    </row>
    <row r="333" ht="14.25" customHeight="1" spans="1:18">
      <c r="A333" s="10">
        <v>2023304</v>
      </c>
      <c r="B333" s="12" t="s">
        <v>275</v>
      </c>
      <c r="C333">
        <f t="shared" si="192"/>
        <v>4</v>
      </c>
      <c r="D333">
        <f t="shared" si="193"/>
        <v>8</v>
      </c>
      <c r="E333">
        <f t="shared" si="194"/>
        <v>0</v>
      </c>
      <c r="F333">
        <f t="shared" si="195"/>
        <v>12</v>
      </c>
      <c r="G333">
        <f t="shared" si="196"/>
        <v>2</v>
      </c>
      <c r="H333">
        <f t="shared" si="197"/>
        <v>8</v>
      </c>
      <c r="I333">
        <f t="shared" si="198"/>
        <v>1.5</v>
      </c>
      <c r="J333">
        <f t="shared" si="199"/>
        <v>0</v>
      </c>
      <c r="K333">
        <f t="shared" si="200"/>
        <v>0.33</v>
      </c>
      <c r="L333">
        <f t="shared" si="201"/>
        <v>0</v>
      </c>
      <c r="M333">
        <f t="shared" si="202"/>
        <v>0</v>
      </c>
      <c r="N333">
        <f t="shared" si="203"/>
        <v>0.97</v>
      </c>
      <c r="O333" t="str">
        <f t="shared" si="204"/>
        <v>松散</v>
      </c>
      <c r="P333" t="str">
        <f t="shared" si="205"/>
        <v>极紧凑</v>
      </c>
      <c r="Q333" t="str">
        <f t="shared" si="206"/>
        <v>✓有效</v>
      </c>
      <c r="R333" t="str">
        <f t="shared" si="207"/>
        <v>正常</v>
      </c>
    </row>
    <row r="334" ht="14.25" customHeight="1" spans="1:18">
      <c r="A334" s="10">
        <v>2023305</v>
      </c>
      <c r="B334" s="12" t="s">
        <v>323</v>
      </c>
      <c r="C334">
        <f t="shared" si="192"/>
        <v>6</v>
      </c>
      <c r="D334">
        <f t="shared" si="193"/>
        <v>8</v>
      </c>
      <c r="E334">
        <f t="shared" si="194"/>
        <v>2</v>
      </c>
      <c r="F334">
        <f t="shared" si="195"/>
        <v>16</v>
      </c>
      <c r="G334">
        <f t="shared" si="196"/>
        <v>6</v>
      </c>
      <c r="H334">
        <f t="shared" si="197"/>
        <v>6</v>
      </c>
      <c r="I334">
        <f t="shared" si="198"/>
        <v>2.67</v>
      </c>
      <c r="J334">
        <f t="shared" si="199"/>
        <v>0</v>
      </c>
      <c r="K334">
        <f t="shared" si="200"/>
        <v>0.67</v>
      </c>
      <c r="L334">
        <f t="shared" si="201"/>
        <v>0.33</v>
      </c>
      <c r="M334">
        <f t="shared" si="202"/>
        <v>0</v>
      </c>
      <c r="N334">
        <f t="shared" si="203"/>
        <v>1.54</v>
      </c>
      <c r="O334" t="str">
        <f t="shared" si="204"/>
        <v>标准</v>
      </c>
      <c r="P334" t="str">
        <f t="shared" si="205"/>
        <v>紧凑</v>
      </c>
      <c r="Q334" t="str">
        <f t="shared" si="206"/>
        <v>✓有效</v>
      </c>
      <c r="R334" t="str">
        <f t="shared" si="207"/>
        <v>正常</v>
      </c>
    </row>
    <row r="335" ht="14.25" customHeight="1" spans="1:18">
      <c r="A335" s="10">
        <v>2023306</v>
      </c>
      <c r="B335" s="12" t="s">
        <v>168</v>
      </c>
      <c r="C335">
        <f t="shared" si="192"/>
        <v>8</v>
      </c>
      <c r="D335">
        <f t="shared" si="193"/>
        <v>8</v>
      </c>
      <c r="E335">
        <f t="shared" si="194"/>
        <v>8</v>
      </c>
      <c r="F335">
        <f t="shared" si="195"/>
        <v>24</v>
      </c>
      <c r="G335">
        <f t="shared" si="196"/>
        <v>4</v>
      </c>
      <c r="H335">
        <f t="shared" si="197"/>
        <v>0</v>
      </c>
      <c r="I335">
        <f t="shared" si="198"/>
        <v>0.1</v>
      </c>
      <c r="J335">
        <f t="shared" si="199"/>
        <v>0</v>
      </c>
      <c r="K335">
        <f t="shared" si="200"/>
        <v>1</v>
      </c>
      <c r="L335">
        <f t="shared" si="201"/>
        <v>0</v>
      </c>
      <c r="M335">
        <f t="shared" si="202"/>
        <v>0</v>
      </c>
      <c r="N335">
        <f t="shared" si="203"/>
        <v>0.54</v>
      </c>
      <c r="O335" t="str">
        <f t="shared" si="204"/>
        <v>极紧凑</v>
      </c>
      <c r="P335" t="str">
        <f t="shared" si="205"/>
        <v>极紧凑</v>
      </c>
      <c r="Q335" t="str">
        <f t="shared" si="206"/>
        <v>✓有效</v>
      </c>
      <c r="R335" t="str">
        <f t="shared" si="207"/>
        <v>正常</v>
      </c>
    </row>
    <row r="336" ht="14.25" customHeight="1" spans="1:18">
      <c r="A336" s="10">
        <v>2023307</v>
      </c>
      <c r="B336" s="12" t="s">
        <v>324</v>
      </c>
      <c r="C336">
        <f t="shared" si="192"/>
        <v>9</v>
      </c>
      <c r="D336">
        <f t="shared" si="193"/>
        <v>3</v>
      </c>
      <c r="E336">
        <f t="shared" si="194"/>
        <v>7</v>
      </c>
      <c r="F336">
        <f t="shared" si="195"/>
        <v>19</v>
      </c>
      <c r="G336">
        <f t="shared" si="196"/>
        <v>9</v>
      </c>
      <c r="H336">
        <f t="shared" si="197"/>
        <v>6</v>
      </c>
      <c r="I336">
        <f t="shared" si="198"/>
        <v>3.17</v>
      </c>
      <c r="J336">
        <f t="shared" si="199"/>
        <v>1</v>
      </c>
      <c r="K336">
        <f t="shared" si="200"/>
        <v>0.67</v>
      </c>
      <c r="L336">
        <f t="shared" si="201"/>
        <v>0.67</v>
      </c>
      <c r="M336">
        <f t="shared" si="202"/>
        <v>0</v>
      </c>
      <c r="N336">
        <f t="shared" si="203"/>
        <v>1.97</v>
      </c>
      <c r="O336" t="str">
        <f t="shared" si="204"/>
        <v>标准</v>
      </c>
      <c r="P336" t="str">
        <f t="shared" si="205"/>
        <v>紧凑</v>
      </c>
      <c r="Q336" t="str">
        <f t="shared" si="206"/>
        <v>✓有效</v>
      </c>
      <c r="R336" t="str">
        <f t="shared" si="207"/>
        <v>正常</v>
      </c>
    </row>
    <row r="337" ht="14.25" customHeight="1" spans="1:18">
      <c r="A337" s="10">
        <v>2023308</v>
      </c>
      <c r="B337" s="12" t="s">
        <v>325</v>
      </c>
      <c r="C337">
        <f t="shared" si="192"/>
        <v>5</v>
      </c>
      <c r="D337">
        <f t="shared" si="193"/>
        <v>9</v>
      </c>
      <c r="E337">
        <f t="shared" si="194"/>
        <v>4</v>
      </c>
      <c r="F337">
        <f t="shared" si="195"/>
        <v>18</v>
      </c>
      <c r="G337">
        <f t="shared" si="196"/>
        <v>8</v>
      </c>
      <c r="H337">
        <f t="shared" si="197"/>
        <v>5</v>
      </c>
      <c r="I337">
        <f t="shared" si="198"/>
        <v>3.6</v>
      </c>
      <c r="J337">
        <f t="shared" si="199"/>
        <v>0.67</v>
      </c>
      <c r="K337">
        <f t="shared" si="200"/>
        <v>0.67</v>
      </c>
      <c r="L337">
        <f t="shared" si="201"/>
        <v>0.33</v>
      </c>
      <c r="M337">
        <f t="shared" si="202"/>
        <v>1</v>
      </c>
      <c r="N337">
        <f t="shared" si="203"/>
        <v>1.94</v>
      </c>
      <c r="O337" t="str">
        <f t="shared" si="204"/>
        <v>紧凑</v>
      </c>
      <c r="P337" t="str">
        <f t="shared" si="205"/>
        <v>紧凑</v>
      </c>
      <c r="Q337" t="str">
        <f t="shared" si="206"/>
        <v>✓有效</v>
      </c>
      <c r="R337" t="str">
        <f t="shared" si="207"/>
        <v>正常</v>
      </c>
    </row>
    <row r="338" ht="14.25" customHeight="1" spans="1:18">
      <c r="A338" s="10">
        <v>2023309</v>
      </c>
      <c r="B338" s="12" t="s">
        <v>326</v>
      </c>
      <c r="C338">
        <f t="shared" si="192"/>
        <v>2</v>
      </c>
      <c r="D338">
        <f t="shared" si="193"/>
        <v>0</v>
      </c>
      <c r="E338">
        <f t="shared" si="194"/>
        <v>2</v>
      </c>
      <c r="F338">
        <f t="shared" si="195"/>
        <v>4</v>
      </c>
      <c r="G338">
        <f t="shared" si="196"/>
        <v>4</v>
      </c>
      <c r="H338">
        <f t="shared" si="197"/>
        <v>2</v>
      </c>
      <c r="I338">
        <f t="shared" si="198"/>
        <v>2</v>
      </c>
      <c r="J338">
        <f t="shared" si="199"/>
        <v>0</v>
      </c>
      <c r="K338">
        <f t="shared" si="200"/>
        <v>0</v>
      </c>
      <c r="L338">
        <f t="shared" si="201"/>
        <v>0.67</v>
      </c>
      <c r="M338">
        <f t="shared" si="202"/>
        <v>0</v>
      </c>
      <c r="N338">
        <f t="shared" si="203"/>
        <v>1.17</v>
      </c>
      <c r="O338" t="str">
        <f t="shared" si="204"/>
        <v>标准</v>
      </c>
      <c r="P338" t="str">
        <f t="shared" si="205"/>
        <v>极紧凑</v>
      </c>
      <c r="Q338" t="str">
        <f t="shared" si="206"/>
        <v>✓有效</v>
      </c>
      <c r="R338" t="str">
        <f t="shared" si="207"/>
        <v>正常</v>
      </c>
    </row>
    <row r="339" ht="14.25" customHeight="1" spans="1:18">
      <c r="A339" s="10">
        <v>2023310</v>
      </c>
      <c r="B339" s="12" t="s">
        <v>327</v>
      </c>
      <c r="C339">
        <f t="shared" si="192"/>
        <v>9</v>
      </c>
      <c r="D339">
        <f t="shared" si="193"/>
        <v>5</v>
      </c>
      <c r="E339">
        <f t="shared" si="194"/>
        <v>6</v>
      </c>
      <c r="F339">
        <f t="shared" si="195"/>
        <v>20</v>
      </c>
      <c r="G339">
        <f t="shared" si="196"/>
        <v>0</v>
      </c>
      <c r="H339">
        <f t="shared" si="197"/>
        <v>4</v>
      </c>
      <c r="I339">
        <f t="shared" si="198"/>
        <v>5</v>
      </c>
      <c r="J339">
        <f t="shared" si="199"/>
        <v>0.67</v>
      </c>
      <c r="K339">
        <f t="shared" si="200"/>
        <v>1</v>
      </c>
      <c r="L339">
        <f t="shared" si="201"/>
        <v>0.33</v>
      </c>
      <c r="M339">
        <f t="shared" si="202"/>
        <v>1</v>
      </c>
      <c r="N339">
        <f t="shared" si="203"/>
        <v>2.57</v>
      </c>
      <c r="O339" t="str">
        <f t="shared" si="204"/>
        <v>紧凑</v>
      </c>
      <c r="P339" t="str">
        <f t="shared" si="205"/>
        <v>紧凑</v>
      </c>
      <c r="Q339" t="str">
        <f t="shared" si="206"/>
        <v>✓有效</v>
      </c>
      <c r="R339" t="str">
        <f t="shared" si="207"/>
        <v>正常</v>
      </c>
    </row>
    <row r="340" ht="14.25" customHeight="1" spans="1:18">
      <c r="A340" s="10">
        <v>2023311</v>
      </c>
      <c r="B340" s="12" t="s">
        <v>328</v>
      </c>
      <c r="C340">
        <f t="shared" si="192"/>
        <v>2</v>
      </c>
      <c r="D340">
        <f t="shared" si="193"/>
        <v>7</v>
      </c>
      <c r="E340">
        <f t="shared" si="194"/>
        <v>1</v>
      </c>
      <c r="F340">
        <f t="shared" si="195"/>
        <v>10</v>
      </c>
      <c r="G340">
        <f t="shared" si="196"/>
        <v>0</v>
      </c>
      <c r="H340">
        <f t="shared" si="197"/>
        <v>6</v>
      </c>
      <c r="I340">
        <f t="shared" si="198"/>
        <v>1.67</v>
      </c>
      <c r="J340">
        <f t="shared" si="199"/>
        <v>0.67</v>
      </c>
      <c r="K340">
        <f t="shared" si="200"/>
        <v>0.33</v>
      </c>
      <c r="L340">
        <f t="shared" si="201"/>
        <v>0.67</v>
      </c>
      <c r="M340">
        <f t="shared" si="202"/>
        <v>1</v>
      </c>
      <c r="N340">
        <f t="shared" si="203"/>
        <v>1.14</v>
      </c>
      <c r="O340" t="str">
        <f t="shared" si="204"/>
        <v>松散</v>
      </c>
      <c r="P340" t="str">
        <f t="shared" si="205"/>
        <v>极紧凑</v>
      </c>
      <c r="Q340" t="str">
        <f t="shared" si="206"/>
        <v>✓有效</v>
      </c>
      <c r="R340" t="str">
        <f t="shared" si="207"/>
        <v>正常</v>
      </c>
    </row>
    <row r="341" ht="14.25" customHeight="1" spans="1:18">
      <c r="A341" s="10">
        <v>2023312</v>
      </c>
      <c r="B341" s="12" t="s">
        <v>329</v>
      </c>
      <c r="C341">
        <f t="shared" si="192"/>
        <v>7</v>
      </c>
      <c r="D341">
        <f t="shared" si="193"/>
        <v>9</v>
      </c>
      <c r="E341">
        <f t="shared" si="194"/>
        <v>1</v>
      </c>
      <c r="F341">
        <f t="shared" si="195"/>
        <v>17</v>
      </c>
      <c r="G341">
        <f t="shared" si="196"/>
        <v>7</v>
      </c>
      <c r="H341">
        <f t="shared" si="197"/>
        <v>8</v>
      </c>
      <c r="I341">
        <f t="shared" si="198"/>
        <v>2.13</v>
      </c>
      <c r="J341">
        <f t="shared" si="199"/>
        <v>1</v>
      </c>
      <c r="K341">
        <f t="shared" si="200"/>
        <v>0.67</v>
      </c>
      <c r="L341">
        <f t="shared" si="201"/>
        <v>0.33</v>
      </c>
      <c r="M341">
        <f t="shared" si="202"/>
        <v>0</v>
      </c>
      <c r="N341">
        <f t="shared" si="203"/>
        <v>1.52</v>
      </c>
      <c r="O341" t="str">
        <f t="shared" si="204"/>
        <v>标准</v>
      </c>
      <c r="P341" t="str">
        <f t="shared" si="205"/>
        <v>紧凑</v>
      </c>
      <c r="Q341" t="str">
        <f t="shared" si="206"/>
        <v>✓有效</v>
      </c>
      <c r="R341" t="str">
        <f t="shared" si="207"/>
        <v>正常</v>
      </c>
    </row>
    <row r="342" ht="14.25" customHeight="1" spans="1:18">
      <c r="A342" s="10">
        <v>2023313</v>
      </c>
      <c r="B342" s="12" t="s">
        <v>330</v>
      </c>
      <c r="C342">
        <f t="shared" si="192"/>
        <v>9</v>
      </c>
      <c r="D342">
        <f t="shared" si="193"/>
        <v>8</v>
      </c>
      <c r="E342">
        <f t="shared" si="194"/>
        <v>9</v>
      </c>
      <c r="F342">
        <f t="shared" si="195"/>
        <v>26</v>
      </c>
      <c r="G342">
        <f t="shared" si="196"/>
        <v>6</v>
      </c>
      <c r="H342">
        <f t="shared" si="197"/>
        <v>1</v>
      </c>
      <c r="I342">
        <f t="shared" si="198"/>
        <v>26</v>
      </c>
      <c r="J342">
        <f t="shared" si="199"/>
        <v>0.67</v>
      </c>
      <c r="K342">
        <f t="shared" si="200"/>
        <v>1</v>
      </c>
      <c r="L342">
        <f t="shared" si="201"/>
        <v>0</v>
      </c>
      <c r="M342">
        <f t="shared" si="202"/>
        <v>2</v>
      </c>
      <c r="N342">
        <f t="shared" si="203"/>
        <v>10.83</v>
      </c>
      <c r="O342" t="str">
        <f t="shared" si="204"/>
        <v>紧凑</v>
      </c>
      <c r="P342" t="str">
        <f t="shared" si="205"/>
        <v>松散</v>
      </c>
      <c r="Q342" t="str">
        <f t="shared" si="206"/>
        <v>✓有效</v>
      </c>
      <c r="R342" t="str">
        <f t="shared" si="207"/>
        <v>异常</v>
      </c>
    </row>
    <row r="343" ht="14.25" customHeight="1" spans="1:18">
      <c r="A343" s="10">
        <v>2023314</v>
      </c>
      <c r="B343" s="12" t="s">
        <v>331</v>
      </c>
      <c r="C343">
        <f t="shared" si="192"/>
        <v>2</v>
      </c>
      <c r="D343">
        <f t="shared" si="193"/>
        <v>2</v>
      </c>
      <c r="E343">
        <f t="shared" si="194"/>
        <v>8</v>
      </c>
      <c r="F343">
        <f t="shared" si="195"/>
        <v>12</v>
      </c>
      <c r="G343">
        <f t="shared" si="196"/>
        <v>2</v>
      </c>
      <c r="H343">
        <f t="shared" si="197"/>
        <v>6</v>
      </c>
      <c r="I343">
        <f t="shared" si="198"/>
        <v>2</v>
      </c>
      <c r="J343">
        <f t="shared" si="199"/>
        <v>0</v>
      </c>
      <c r="K343">
        <f t="shared" si="200"/>
        <v>0.33</v>
      </c>
      <c r="L343">
        <f t="shared" si="201"/>
        <v>0.67</v>
      </c>
      <c r="M343">
        <f t="shared" si="202"/>
        <v>0</v>
      </c>
      <c r="N343">
        <f t="shared" si="203"/>
        <v>1.23</v>
      </c>
      <c r="O343" t="str">
        <f t="shared" si="204"/>
        <v>标准</v>
      </c>
      <c r="P343" t="str">
        <f t="shared" si="205"/>
        <v>极紧凑</v>
      </c>
      <c r="Q343" t="str">
        <f t="shared" si="206"/>
        <v>✓有效</v>
      </c>
      <c r="R343" t="str">
        <f t="shared" si="207"/>
        <v>正常</v>
      </c>
    </row>
    <row r="344" ht="14.25" customHeight="1" spans="1:18">
      <c r="A344" s="10">
        <v>2023315</v>
      </c>
      <c r="B344" s="12" t="s">
        <v>322</v>
      </c>
      <c r="C344">
        <f t="shared" si="192"/>
        <v>6</v>
      </c>
      <c r="D344">
        <f t="shared" si="193"/>
        <v>1</v>
      </c>
      <c r="E344">
        <f t="shared" si="194"/>
        <v>8</v>
      </c>
      <c r="F344">
        <f t="shared" si="195"/>
        <v>15</v>
      </c>
      <c r="G344">
        <f t="shared" si="196"/>
        <v>5</v>
      </c>
      <c r="H344">
        <f t="shared" si="197"/>
        <v>7</v>
      </c>
      <c r="I344">
        <f t="shared" si="198"/>
        <v>2.14</v>
      </c>
      <c r="J344">
        <f t="shared" si="199"/>
        <v>0.33</v>
      </c>
      <c r="K344">
        <f t="shared" si="200"/>
        <v>0.67</v>
      </c>
      <c r="L344">
        <f t="shared" si="201"/>
        <v>0</v>
      </c>
      <c r="M344">
        <f t="shared" si="202"/>
        <v>0</v>
      </c>
      <c r="N344">
        <f t="shared" si="203"/>
        <v>1.36</v>
      </c>
      <c r="O344" t="str">
        <f t="shared" si="204"/>
        <v>标准</v>
      </c>
      <c r="P344" t="str">
        <f t="shared" si="205"/>
        <v>极紧凑</v>
      </c>
      <c r="Q344" t="str">
        <f t="shared" si="206"/>
        <v>✓有效</v>
      </c>
      <c r="R344" t="str">
        <f t="shared" si="207"/>
        <v>正常</v>
      </c>
    </row>
    <row r="345" ht="14.25" customHeight="1" spans="1:18">
      <c r="A345" s="10">
        <v>2023316</v>
      </c>
      <c r="B345" s="12" t="s">
        <v>332</v>
      </c>
      <c r="C345">
        <f t="shared" si="192"/>
        <v>4</v>
      </c>
      <c r="D345">
        <f t="shared" si="193"/>
        <v>8</v>
      </c>
      <c r="E345">
        <f t="shared" si="194"/>
        <v>3</v>
      </c>
      <c r="F345">
        <f t="shared" si="195"/>
        <v>15</v>
      </c>
      <c r="G345">
        <f t="shared" si="196"/>
        <v>5</v>
      </c>
      <c r="H345">
        <f t="shared" si="197"/>
        <v>5</v>
      </c>
      <c r="I345">
        <f t="shared" si="198"/>
        <v>3</v>
      </c>
      <c r="J345">
        <f t="shared" si="199"/>
        <v>0.33</v>
      </c>
      <c r="K345">
        <f t="shared" si="200"/>
        <v>0.33</v>
      </c>
      <c r="L345">
        <f t="shared" si="201"/>
        <v>0.33</v>
      </c>
      <c r="M345">
        <f t="shared" si="202"/>
        <v>1</v>
      </c>
      <c r="N345">
        <f t="shared" si="203"/>
        <v>1.57</v>
      </c>
      <c r="O345" t="str">
        <f t="shared" si="204"/>
        <v>标准</v>
      </c>
      <c r="P345" t="str">
        <f t="shared" si="205"/>
        <v>紧凑</v>
      </c>
      <c r="Q345" t="str">
        <f t="shared" si="206"/>
        <v>✓有效</v>
      </c>
      <c r="R345" t="str">
        <f t="shared" si="207"/>
        <v>正常</v>
      </c>
    </row>
    <row r="346" ht="14.25" customHeight="1" spans="1:18">
      <c r="A346" s="10">
        <v>2023317</v>
      </c>
      <c r="B346" s="12" t="s">
        <v>333</v>
      </c>
      <c r="C346">
        <f t="shared" si="192"/>
        <v>1</v>
      </c>
      <c r="D346">
        <f t="shared" si="193"/>
        <v>3</v>
      </c>
      <c r="E346">
        <f t="shared" si="194"/>
        <v>1</v>
      </c>
      <c r="F346">
        <f t="shared" si="195"/>
        <v>5</v>
      </c>
      <c r="G346">
        <f t="shared" si="196"/>
        <v>5</v>
      </c>
      <c r="H346">
        <f t="shared" si="197"/>
        <v>2</v>
      </c>
      <c r="I346">
        <f t="shared" si="198"/>
        <v>2.5</v>
      </c>
      <c r="J346">
        <f t="shared" si="199"/>
        <v>1</v>
      </c>
      <c r="K346">
        <f t="shared" si="200"/>
        <v>0</v>
      </c>
      <c r="L346">
        <f t="shared" si="201"/>
        <v>0.33</v>
      </c>
      <c r="M346">
        <f t="shared" si="202"/>
        <v>0</v>
      </c>
      <c r="N346">
        <f t="shared" si="203"/>
        <v>1.53</v>
      </c>
      <c r="O346" t="str">
        <f t="shared" si="204"/>
        <v>标准</v>
      </c>
      <c r="P346" t="str">
        <f t="shared" si="205"/>
        <v>紧凑</v>
      </c>
      <c r="Q346" t="str">
        <f t="shared" si="206"/>
        <v>✓有效</v>
      </c>
      <c r="R346" t="str">
        <f t="shared" si="207"/>
        <v>正常</v>
      </c>
    </row>
    <row r="347" ht="14.25" customHeight="1" spans="1:18">
      <c r="A347" s="10">
        <v>2023318</v>
      </c>
      <c r="B347" s="12" t="s">
        <v>334</v>
      </c>
      <c r="C347">
        <f t="shared" si="192"/>
        <v>0</v>
      </c>
      <c r="D347">
        <f t="shared" si="193"/>
        <v>1</v>
      </c>
      <c r="E347">
        <f t="shared" si="194"/>
        <v>4</v>
      </c>
      <c r="F347">
        <f t="shared" si="195"/>
        <v>5</v>
      </c>
      <c r="G347">
        <f t="shared" si="196"/>
        <v>5</v>
      </c>
      <c r="H347">
        <f t="shared" si="197"/>
        <v>4</v>
      </c>
      <c r="I347">
        <f t="shared" si="198"/>
        <v>1.25</v>
      </c>
      <c r="J347">
        <f t="shared" si="199"/>
        <v>0.33</v>
      </c>
      <c r="K347">
        <f t="shared" si="200"/>
        <v>0</v>
      </c>
      <c r="L347">
        <f t="shared" si="201"/>
        <v>0</v>
      </c>
      <c r="M347">
        <f t="shared" si="202"/>
        <v>1</v>
      </c>
      <c r="N347">
        <f t="shared" si="203"/>
        <v>0.77</v>
      </c>
      <c r="O347" t="str">
        <f t="shared" si="204"/>
        <v>松散</v>
      </c>
      <c r="P347" t="str">
        <f t="shared" si="205"/>
        <v>极紧凑</v>
      </c>
      <c r="Q347" t="str">
        <f t="shared" si="206"/>
        <v>✓有效</v>
      </c>
      <c r="R347" t="str">
        <f t="shared" si="207"/>
        <v>正常</v>
      </c>
    </row>
    <row r="348" ht="14.25" customHeight="1" spans="1:18">
      <c r="A348" s="10">
        <v>2023319</v>
      </c>
      <c r="B348" s="12" t="s">
        <v>335</v>
      </c>
      <c r="C348">
        <f t="shared" si="192"/>
        <v>7</v>
      </c>
      <c r="D348">
        <f t="shared" si="193"/>
        <v>2</v>
      </c>
      <c r="E348">
        <f t="shared" si="194"/>
        <v>7</v>
      </c>
      <c r="F348">
        <f t="shared" si="195"/>
        <v>16</v>
      </c>
      <c r="G348">
        <f t="shared" si="196"/>
        <v>6</v>
      </c>
      <c r="H348">
        <f t="shared" si="197"/>
        <v>5</v>
      </c>
      <c r="I348">
        <f t="shared" si="198"/>
        <v>3.2</v>
      </c>
      <c r="J348">
        <f t="shared" si="199"/>
        <v>0.67</v>
      </c>
      <c r="K348">
        <f t="shared" si="200"/>
        <v>0.67</v>
      </c>
      <c r="L348">
        <f t="shared" si="201"/>
        <v>1</v>
      </c>
      <c r="M348">
        <f t="shared" si="202"/>
        <v>0</v>
      </c>
      <c r="N348">
        <f t="shared" si="203"/>
        <v>1.95</v>
      </c>
      <c r="O348" t="str">
        <f t="shared" si="204"/>
        <v>标准</v>
      </c>
      <c r="P348" t="str">
        <f t="shared" si="205"/>
        <v>紧凑</v>
      </c>
      <c r="Q348" t="str">
        <f t="shared" si="206"/>
        <v>✓有效</v>
      </c>
      <c r="R348" t="str">
        <f t="shared" si="207"/>
        <v>正常</v>
      </c>
    </row>
    <row r="349" ht="14.25" customHeight="1" spans="1:18">
      <c r="A349" s="10">
        <v>2023320</v>
      </c>
      <c r="B349" s="12" t="s">
        <v>336</v>
      </c>
      <c r="C349">
        <f t="shared" si="192"/>
        <v>3</v>
      </c>
      <c r="D349">
        <f t="shared" si="193"/>
        <v>7</v>
      </c>
      <c r="E349">
        <f t="shared" si="194"/>
        <v>5</v>
      </c>
      <c r="F349">
        <f t="shared" si="195"/>
        <v>15</v>
      </c>
      <c r="G349">
        <f t="shared" si="196"/>
        <v>5</v>
      </c>
      <c r="H349">
        <f t="shared" si="197"/>
        <v>4</v>
      </c>
      <c r="I349">
        <f t="shared" si="198"/>
        <v>3.75</v>
      </c>
      <c r="J349">
        <f t="shared" si="199"/>
        <v>1</v>
      </c>
      <c r="K349">
        <f t="shared" si="200"/>
        <v>0.67</v>
      </c>
      <c r="L349">
        <f t="shared" si="201"/>
        <v>1</v>
      </c>
      <c r="M349">
        <f t="shared" si="202"/>
        <v>0</v>
      </c>
      <c r="N349">
        <f t="shared" si="203"/>
        <v>2.23</v>
      </c>
      <c r="O349" t="str">
        <f t="shared" si="204"/>
        <v>紧凑</v>
      </c>
      <c r="P349" t="str">
        <f t="shared" si="205"/>
        <v>紧凑</v>
      </c>
      <c r="Q349" t="str">
        <f t="shared" si="206"/>
        <v>✓有效</v>
      </c>
      <c r="R349" t="str">
        <f t="shared" si="207"/>
        <v>正常</v>
      </c>
    </row>
    <row r="350" ht="14.25" customHeight="1" spans="1:18">
      <c r="A350" s="10">
        <v>2023321</v>
      </c>
      <c r="B350" s="12" t="s">
        <v>112</v>
      </c>
      <c r="C350">
        <f t="shared" si="192"/>
        <v>7</v>
      </c>
      <c r="D350">
        <f t="shared" si="193"/>
        <v>5</v>
      </c>
      <c r="E350">
        <f t="shared" si="194"/>
        <v>2</v>
      </c>
      <c r="F350">
        <f t="shared" si="195"/>
        <v>14</v>
      </c>
      <c r="G350">
        <f t="shared" si="196"/>
        <v>4</v>
      </c>
      <c r="H350">
        <f t="shared" si="197"/>
        <v>5</v>
      </c>
      <c r="I350">
        <f t="shared" si="198"/>
        <v>2.8</v>
      </c>
      <c r="J350">
        <f t="shared" si="199"/>
        <v>0.67</v>
      </c>
      <c r="K350">
        <f t="shared" si="200"/>
        <v>0.67</v>
      </c>
      <c r="L350">
        <f t="shared" si="201"/>
        <v>1</v>
      </c>
      <c r="M350">
        <f t="shared" si="202"/>
        <v>0</v>
      </c>
      <c r="N350">
        <f t="shared" si="203"/>
        <v>1.79</v>
      </c>
      <c r="O350" t="str">
        <f t="shared" si="204"/>
        <v>标准</v>
      </c>
      <c r="P350" t="str">
        <f t="shared" si="205"/>
        <v>紧凑</v>
      </c>
      <c r="Q350" t="str">
        <f t="shared" si="206"/>
        <v>✓有效</v>
      </c>
      <c r="R350" t="str">
        <f t="shared" si="207"/>
        <v>正常</v>
      </c>
    </row>
    <row r="351" ht="14.25" customHeight="1" spans="1:18">
      <c r="A351" s="10">
        <v>2023322</v>
      </c>
      <c r="B351" s="12" t="s">
        <v>193</v>
      </c>
      <c r="C351">
        <f t="shared" si="192"/>
        <v>8</v>
      </c>
      <c r="D351">
        <f t="shared" si="193"/>
        <v>0</v>
      </c>
      <c r="E351">
        <f t="shared" si="194"/>
        <v>4</v>
      </c>
      <c r="F351">
        <f t="shared" si="195"/>
        <v>12</v>
      </c>
      <c r="G351">
        <f t="shared" si="196"/>
        <v>2</v>
      </c>
      <c r="H351">
        <f t="shared" si="197"/>
        <v>8</v>
      </c>
      <c r="I351">
        <f t="shared" si="198"/>
        <v>1.5</v>
      </c>
      <c r="J351">
        <f t="shared" si="199"/>
        <v>0</v>
      </c>
      <c r="K351">
        <f t="shared" si="200"/>
        <v>0.33</v>
      </c>
      <c r="L351">
        <f t="shared" si="201"/>
        <v>0</v>
      </c>
      <c r="M351">
        <f t="shared" si="202"/>
        <v>0</v>
      </c>
      <c r="N351">
        <f t="shared" si="203"/>
        <v>0.97</v>
      </c>
      <c r="O351" t="str">
        <f t="shared" si="204"/>
        <v>松散</v>
      </c>
      <c r="P351" t="str">
        <f t="shared" si="205"/>
        <v>极紧凑</v>
      </c>
      <c r="Q351" t="str">
        <f t="shared" si="206"/>
        <v>✓有效</v>
      </c>
      <c r="R351" t="str">
        <f t="shared" si="207"/>
        <v>正常</v>
      </c>
    </row>
    <row r="352" ht="14.25" customHeight="1" spans="1:18">
      <c r="A352" s="10">
        <v>2023323</v>
      </c>
      <c r="B352" s="11">
        <v>269</v>
      </c>
      <c r="C352">
        <f t="shared" ref="C352:C415" si="208">IF(B352="","",LEFT(TEXT(B352,"000"),1)*1)</f>
        <v>2</v>
      </c>
      <c r="D352">
        <f t="shared" ref="D352:D415" si="209">IF(B352="","",MID(TEXT(B352,"000"),2,1)*1)</f>
        <v>6</v>
      </c>
      <c r="E352">
        <f t="shared" ref="E352:E415" si="210">IF(B352="","",RIGHT(TEXT(B352,"000"),1)*1)</f>
        <v>9</v>
      </c>
      <c r="F352">
        <f t="shared" ref="F352:F415" si="211">IF(B352="","",C352+D352+E352)</f>
        <v>17</v>
      </c>
      <c r="G352">
        <f t="shared" ref="G352:G415" si="212">IF(B352="","",MOD(F352,10))</f>
        <v>7</v>
      </c>
      <c r="H352">
        <f t="shared" ref="H352:H415" si="213">IF(B352="","",MAX(C352,D352,E352)-MIN(C352,D352,E352))</f>
        <v>7</v>
      </c>
      <c r="I352">
        <f t="shared" ref="I352:I415" si="214">IF(OR(B352="",H352=0),IF(H352=0,0.1,""),ROUND(F352/H352,2))</f>
        <v>2.43</v>
      </c>
      <c r="J352">
        <f t="shared" ref="J352:J415" si="215">IF(B352="","",ROUND((MOD(C352,2)+MOD(D352,2)+MOD(E352,2))/3,2))</f>
        <v>0.33</v>
      </c>
      <c r="K352">
        <f t="shared" ref="K352:K415" si="216">IF(B352="","",ROUND(((C352&gt;=5)+(D352&gt;=5)+(E352&gt;=5))/3,2))</f>
        <v>0.67</v>
      </c>
      <c r="L352">
        <f t="shared" ref="L352:L415" si="217">IF(B352="","",ROUND((ISNUMBER(FIND(C352,"2357"))+ISNUMBER(FIND(D352,"2357"))+ISNUMBER(FIND(E352,"2357")))/3,2))</f>
        <v>0.33</v>
      </c>
      <c r="M352">
        <f t="shared" ref="M352:M415" si="218">IF(B352="","",((ABS(C352-D352)=1)+(ABS(D352-E352)=1)+(ABS(C352-E352)=1)))</f>
        <v>0</v>
      </c>
      <c r="N352">
        <f t="shared" ref="N352:N415" si="219">IF(B352="","",ROUND(I352*0.4+J352*0.2+K352*0.2+L352*0.1+(3-M352)*0.1,2))</f>
        <v>1.51</v>
      </c>
      <c r="O352" t="str">
        <f>IF(I352=0.1,"极紧凑",IF(I352&gt;3.5,"紧凑",IF(AND(I352&gt;=2,I352&lt;=3.5),"标准",IF(AND(I352&gt;=1,I352&lt;2),"松散",""))))</f>
        <v>标准</v>
      </c>
      <c r="P352" t="str">
        <f t="shared" ref="P352:P415" si="220">IF(B352="","",IF(N352&lt;=1.5,"极紧凑",IF(N352&lt;=3,"紧凑",IF(N352&lt;=5,"标准","松散"))))</f>
        <v>紧凑</v>
      </c>
      <c r="Q352" t="str">
        <f t="shared" ref="Q352:Q415" si="221">IF(B352="","",IF(AND(C352&gt;=0,C352&lt;=9,D352&gt;=0,D352&lt;=9,E352&gt;=0,E352&lt;=9),"✓有效","✗无效"))</f>
        <v>✓有效</v>
      </c>
      <c r="R352" t="str">
        <f t="shared" ref="R352:R415" si="222">IF(B352="","",IF(OR(I352&gt;10,I352&lt;0.1),"异常","正常"))</f>
        <v>正常</v>
      </c>
    </row>
    <row r="353" ht="14.25" customHeight="1" spans="1:18">
      <c r="A353" s="10">
        <v>2023324</v>
      </c>
      <c r="B353" s="12" t="s">
        <v>106</v>
      </c>
      <c r="C353">
        <f t="shared" si="208"/>
        <v>4</v>
      </c>
      <c r="D353">
        <f t="shared" si="209"/>
        <v>9</v>
      </c>
      <c r="E353">
        <f t="shared" si="210"/>
        <v>5</v>
      </c>
      <c r="F353">
        <f t="shared" si="211"/>
        <v>18</v>
      </c>
      <c r="G353">
        <f t="shared" si="212"/>
        <v>8</v>
      </c>
      <c r="H353">
        <f t="shared" si="213"/>
        <v>5</v>
      </c>
      <c r="I353">
        <f t="shared" si="214"/>
        <v>3.6</v>
      </c>
      <c r="J353">
        <f t="shared" si="215"/>
        <v>0.67</v>
      </c>
      <c r="K353">
        <f t="shared" si="216"/>
        <v>0.67</v>
      </c>
      <c r="L353">
        <f t="shared" si="217"/>
        <v>0.33</v>
      </c>
      <c r="M353">
        <f t="shared" si="218"/>
        <v>1</v>
      </c>
      <c r="N353">
        <f t="shared" si="219"/>
        <v>1.94</v>
      </c>
      <c r="O353" t="str">
        <f t="shared" ref="O353:O416" si="223">IF(I353=0.1,"极紧凑",IF(I353&gt;3.5,"紧凑",IF(AND(I353&gt;=2,I353&lt;=3.5),"标准",IF(AND(I353&gt;=1,I353&lt;2),"松散",""))))</f>
        <v>紧凑</v>
      </c>
      <c r="P353" t="str">
        <f t="shared" si="220"/>
        <v>紧凑</v>
      </c>
      <c r="Q353" t="str">
        <f t="shared" si="221"/>
        <v>✓有效</v>
      </c>
      <c r="R353" t="str">
        <f t="shared" si="222"/>
        <v>正常</v>
      </c>
    </row>
    <row r="354" ht="14.25" customHeight="1" spans="1:18">
      <c r="A354" s="10">
        <v>2023325</v>
      </c>
      <c r="B354" s="12" t="s">
        <v>337</v>
      </c>
      <c r="C354">
        <f t="shared" si="208"/>
        <v>4</v>
      </c>
      <c r="D354">
        <f t="shared" si="209"/>
        <v>9</v>
      </c>
      <c r="E354">
        <f t="shared" si="210"/>
        <v>0</v>
      </c>
      <c r="F354">
        <f t="shared" si="211"/>
        <v>13</v>
      </c>
      <c r="G354">
        <f t="shared" si="212"/>
        <v>3</v>
      </c>
      <c r="H354">
        <f t="shared" si="213"/>
        <v>9</v>
      </c>
      <c r="I354">
        <f t="shared" si="214"/>
        <v>1.44</v>
      </c>
      <c r="J354">
        <f t="shared" si="215"/>
        <v>0.33</v>
      </c>
      <c r="K354">
        <f t="shared" si="216"/>
        <v>0.33</v>
      </c>
      <c r="L354">
        <f t="shared" si="217"/>
        <v>0</v>
      </c>
      <c r="M354">
        <f t="shared" si="218"/>
        <v>0</v>
      </c>
      <c r="N354">
        <f t="shared" si="219"/>
        <v>1.01</v>
      </c>
      <c r="O354" t="str">
        <f t="shared" si="223"/>
        <v>松散</v>
      </c>
      <c r="P354" t="str">
        <f t="shared" si="220"/>
        <v>极紧凑</v>
      </c>
      <c r="Q354" t="str">
        <f t="shared" si="221"/>
        <v>✓有效</v>
      </c>
      <c r="R354" t="str">
        <f t="shared" si="222"/>
        <v>正常</v>
      </c>
    </row>
    <row r="355" ht="14.25" customHeight="1" spans="1:18">
      <c r="A355" s="10">
        <v>2023326</v>
      </c>
      <c r="B355" s="12" t="s">
        <v>201</v>
      </c>
      <c r="C355">
        <f t="shared" si="208"/>
        <v>3</v>
      </c>
      <c r="D355">
        <f t="shared" si="209"/>
        <v>7</v>
      </c>
      <c r="E355">
        <f t="shared" si="210"/>
        <v>1</v>
      </c>
      <c r="F355">
        <f t="shared" si="211"/>
        <v>11</v>
      </c>
      <c r="G355">
        <f t="shared" si="212"/>
        <v>1</v>
      </c>
      <c r="H355">
        <f t="shared" si="213"/>
        <v>6</v>
      </c>
      <c r="I355">
        <f t="shared" si="214"/>
        <v>1.83</v>
      </c>
      <c r="J355">
        <f t="shared" si="215"/>
        <v>1</v>
      </c>
      <c r="K355">
        <f t="shared" si="216"/>
        <v>0.33</v>
      </c>
      <c r="L355">
        <f t="shared" si="217"/>
        <v>0.67</v>
      </c>
      <c r="M355">
        <f t="shared" si="218"/>
        <v>0</v>
      </c>
      <c r="N355">
        <f t="shared" si="219"/>
        <v>1.37</v>
      </c>
      <c r="O355" t="str">
        <f t="shared" si="223"/>
        <v>松散</v>
      </c>
      <c r="P355" t="str">
        <f t="shared" si="220"/>
        <v>极紧凑</v>
      </c>
      <c r="Q355" t="str">
        <f t="shared" si="221"/>
        <v>✓有效</v>
      </c>
      <c r="R355" t="str">
        <f t="shared" si="222"/>
        <v>正常</v>
      </c>
    </row>
    <row r="356" ht="14.25" customHeight="1" spans="1:18">
      <c r="A356" s="10">
        <v>2023327</v>
      </c>
      <c r="B356" s="12" t="s">
        <v>334</v>
      </c>
      <c r="C356">
        <f t="shared" si="208"/>
        <v>0</v>
      </c>
      <c r="D356">
        <f t="shared" si="209"/>
        <v>1</v>
      </c>
      <c r="E356">
        <f t="shared" si="210"/>
        <v>4</v>
      </c>
      <c r="F356">
        <f t="shared" si="211"/>
        <v>5</v>
      </c>
      <c r="G356">
        <f t="shared" si="212"/>
        <v>5</v>
      </c>
      <c r="H356">
        <f t="shared" si="213"/>
        <v>4</v>
      </c>
      <c r="I356">
        <f t="shared" si="214"/>
        <v>1.25</v>
      </c>
      <c r="J356">
        <f t="shared" si="215"/>
        <v>0.33</v>
      </c>
      <c r="K356">
        <f t="shared" si="216"/>
        <v>0</v>
      </c>
      <c r="L356">
        <f t="shared" si="217"/>
        <v>0</v>
      </c>
      <c r="M356">
        <f t="shared" si="218"/>
        <v>1</v>
      </c>
      <c r="N356">
        <f t="shared" si="219"/>
        <v>0.77</v>
      </c>
      <c r="O356" t="str">
        <f t="shared" si="223"/>
        <v>松散</v>
      </c>
      <c r="P356" t="str">
        <f t="shared" si="220"/>
        <v>极紧凑</v>
      </c>
      <c r="Q356" t="str">
        <f t="shared" si="221"/>
        <v>✓有效</v>
      </c>
      <c r="R356" t="str">
        <f t="shared" si="222"/>
        <v>正常</v>
      </c>
    </row>
    <row r="357" ht="14.25" customHeight="1" spans="1:18">
      <c r="A357" s="10">
        <v>2023328</v>
      </c>
      <c r="B357" s="12" t="s">
        <v>338</v>
      </c>
      <c r="C357">
        <f t="shared" si="208"/>
        <v>1</v>
      </c>
      <c r="D357">
        <f t="shared" si="209"/>
        <v>6</v>
      </c>
      <c r="E357">
        <f t="shared" si="210"/>
        <v>9</v>
      </c>
      <c r="F357">
        <f t="shared" si="211"/>
        <v>16</v>
      </c>
      <c r="G357">
        <f t="shared" si="212"/>
        <v>6</v>
      </c>
      <c r="H357">
        <f t="shared" si="213"/>
        <v>8</v>
      </c>
      <c r="I357">
        <f t="shared" si="214"/>
        <v>2</v>
      </c>
      <c r="J357">
        <f t="shared" si="215"/>
        <v>0.67</v>
      </c>
      <c r="K357">
        <f t="shared" si="216"/>
        <v>0.67</v>
      </c>
      <c r="L357">
        <f t="shared" si="217"/>
        <v>0</v>
      </c>
      <c r="M357">
        <f t="shared" si="218"/>
        <v>0</v>
      </c>
      <c r="N357">
        <f t="shared" si="219"/>
        <v>1.37</v>
      </c>
      <c r="O357" t="str">
        <f t="shared" si="223"/>
        <v>标准</v>
      </c>
      <c r="P357" t="str">
        <f t="shared" si="220"/>
        <v>极紧凑</v>
      </c>
      <c r="Q357" t="str">
        <f t="shared" si="221"/>
        <v>✓有效</v>
      </c>
      <c r="R357" t="str">
        <f t="shared" si="222"/>
        <v>正常</v>
      </c>
    </row>
    <row r="358" ht="14.25" customHeight="1" spans="1:18">
      <c r="A358" s="10">
        <v>2023329</v>
      </c>
      <c r="B358" s="12" t="s">
        <v>145</v>
      </c>
      <c r="C358">
        <f t="shared" si="208"/>
        <v>5</v>
      </c>
      <c r="D358">
        <f t="shared" si="209"/>
        <v>7</v>
      </c>
      <c r="E358">
        <f t="shared" si="210"/>
        <v>3</v>
      </c>
      <c r="F358">
        <f t="shared" si="211"/>
        <v>15</v>
      </c>
      <c r="G358">
        <f t="shared" si="212"/>
        <v>5</v>
      </c>
      <c r="H358">
        <f t="shared" si="213"/>
        <v>4</v>
      </c>
      <c r="I358">
        <f t="shared" si="214"/>
        <v>3.75</v>
      </c>
      <c r="J358">
        <f t="shared" si="215"/>
        <v>1</v>
      </c>
      <c r="K358">
        <f t="shared" si="216"/>
        <v>0.67</v>
      </c>
      <c r="L358">
        <f t="shared" si="217"/>
        <v>1</v>
      </c>
      <c r="M358">
        <f t="shared" si="218"/>
        <v>0</v>
      </c>
      <c r="N358">
        <f t="shared" si="219"/>
        <v>2.23</v>
      </c>
      <c r="O358" t="str">
        <f t="shared" si="223"/>
        <v>紧凑</v>
      </c>
      <c r="P358" t="str">
        <f t="shared" si="220"/>
        <v>紧凑</v>
      </c>
      <c r="Q358" t="str">
        <f t="shared" si="221"/>
        <v>✓有效</v>
      </c>
      <c r="R358" t="str">
        <f t="shared" si="222"/>
        <v>正常</v>
      </c>
    </row>
    <row r="359" ht="14.25" customHeight="1" spans="1:18">
      <c r="A359" s="10">
        <v>2023330</v>
      </c>
      <c r="B359" s="12" t="s">
        <v>339</v>
      </c>
      <c r="C359">
        <f t="shared" si="208"/>
        <v>3</v>
      </c>
      <c r="D359">
        <f t="shared" si="209"/>
        <v>7</v>
      </c>
      <c r="E359">
        <f t="shared" si="210"/>
        <v>6</v>
      </c>
      <c r="F359">
        <f t="shared" si="211"/>
        <v>16</v>
      </c>
      <c r="G359">
        <f t="shared" si="212"/>
        <v>6</v>
      </c>
      <c r="H359">
        <f t="shared" si="213"/>
        <v>4</v>
      </c>
      <c r="I359">
        <f t="shared" si="214"/>
        <v>4</v>
      </c>
      <c r="J359">
        <f t="shared" si="215"/>
        <v>0.67</v>
      </c>
      <c r="K359">
        <f t="shared" si="216"/>
        <v>0.67</v>
      </c>
      <c r="L359">
        <f t="shared" si="217"/>
        <v>0.67</v>
      </c>
      <c r="M359">
        <f t="shared" si="218"/>
        <v>1</v>
      </c>
      <c r="N359">
        <f t="shared" si="219"/>
        <v>2.14</v>
      </c>
      <c r="O359" t="str">
        <f t="shared" si="223"/>
        <v>紧凑</v>
      </c>
      <c r="P359" t="str">
        <f t="shared" si="220"/>
        <v>紧凑</v>
      </c>
      <c r="Q359" t="str">
        <f t="shared" si="221"/>
        <v>✓有效</v>
      </c>
      <c r="R359" t="str">
        <f t="shared" si="222"/>
        <v>正常</v>
      </c>
    </row>
    <row r="360" ht="14.25" customHeight="1" spans="1:18">
      <c r="A360" s="10">
        <v>2023331</v>
      </c>
      <c r="B360" s="12" t="s">
        <v>340</v>
      </c>
      <c r="C360">
        <f t="shared" si="208"/>
        <v>2</v>
      </c>
      <c r="D360">
        <f t="shared" si="209"/>
        <v>4</v>
      </c>
      <c r="E360">
        <f t="shared" si="210"/>
        <v>1</v>
      </c>
      <c r="F360">
        <f t="shared" si="211"/>
        <v>7</v>
      </c>
      <c r="G360">
        <f t="shared" si="212"/>
        <v>7</v>
      </c>
      <c r="H360">
        <f t="shared" si="213"/>
        <v>3</v>
      </c>
      <c r="I360">
        <f t="shared" si="214"/>
        <v>2.33</v>
      </c>
      <c r="J360">
        <f t="shared" si="215"/>
        <v>0.33</v>
      </c>
      <c r="K360">
        <f t="shared" si="216"/>
        <v>0</v>
      </c>
      <c r="L360">
        <f t="shared" si="217"/>
        <v>0.33</v>
      </c>
      <c r="M360">
        <f t="shared" si="218"/>
        <v>1</v>
      </c>
      <c r="N360">
        <f t="shared" si="219"/>
        <v>1.23</v>
      </c>
      <c r="O360" t="str">
        <f t="shared" si="223"/>
        <v>标准</v>
      </c>
      <c r="P360" t="str">
        <f t="shared" si="220"/>
        <v>极紧凑</v>
      </c>
      <c r="Q360" t="str">
        <f t="shared" si="221"/>
        <v>✓有效</v>
      </c>
      <c r="R360" t="str">
        <f t="shared" si="222"/>
        <v>正常</v>
      </c>
    </row>
    <row r="361" ht="14.25" customHeight="1" spans="1:18">
      <c r="A361" s="10">
        <v>2023332</v>
      </c>
      <c r="B361" s="12" t="s">
        <v>341</v>
      </c>
      <c r="C361">
        <f t="shared" si="208"/>
        <v>1</v>
      </c>
      <c r="D361">
        <f t="shared" si="209"/>
        <v>6</v>
      </c>
      <c r="E361">
        <f t="shared" si="210"/>
        <v>1</v>
      </c>
      <c r="F361">
        <f t="shared" si="211"/>
        <v>8</v>
      </c>
      <c r="G361">
        <f t="shared" si="212"/>
        <v>8</v>
      </c>
      <c r="H361">
        <f t="shared" si="213"/>
        <v>5</v>
      </c>
      <c r="I361">
        <f t="shared" si="214"/>
        <v>1.6</v>
      </c>
      <c r="J361">
        <f t="shared" si="215"/>
        <v>0.67</v>
      </c>
      <c r="K361">
        <f t="shared" si="216"/>
        <v>0.33</v>
      </c>
      <c r="L361">
        <f t="shared" si="217"/>
        <v>0</v>
      </c>
      <c r="M361">
        <f t="shared" si="218"/>
        <v>0</v>
      </c>
      <c r="N361">
        <f t="shared" si="219"/>
        <v>1.14</v>
      </c>
      <c r="O361" t="str">
        <f t="shared" si="223"/>
        <v>松散</v>
      </c>
      <c r="P361" t="str">
        <f t="shared" si="220"/>
        <v>极紧凑</v>
      </c>
      <c r="Q361" t="str">
        <f t="shared" si="221"/>
        <v>✓有效</v>
      </c>
      <c r="R361" t="str">
        <f t="shared" si="222"/>
        <v>正常</v>
      </c>
    </row>
    <row r="362" ht="14.25" customHeight="1" spans="1:18">
      <c r="A362" s="10">
        <v>2023333</v>
      </c>
      <c r="B362" s="12" t="s">
        <v>342</v>
      </c>
      <c r="C362">
        <f t="shared" si="208"/>
        <v>1</v>
      </c>
      <c r="D362">
        <f t="shared" si="209"/>
        <v>8</v>
      </c>
      <c r="E362">
        <f t="shared" si="210"/>
        <v>8</v>
      </c>
      <c r="F362">
        <f t="shared" si="211"/>
        <v>17</v>
      </c>
      <c r="G362">
        <f t="shared" si="212"/>
        <v>7</v>
      </c>
      <c r="H362">
        <f t="shared" si="213"/>
        <v>7</v>
      </c>
      <c r="I362">
        <f t="shared" si="214"/>
        <v>2.43</v>
      </c>
      <c r="J362">
        <f t="shared" si="215"/>
        <v>0.33</v>
      </c>
      <c r="K362">
        <f t="shared" si="216"/>
        <v>0.67</v>
      </c>
      <c r="L362">
        <f t="shared" si="217"/>
        <v>0</v>
      </c>
      <c r="M362">
        <f t="shared" si="218"/>
        <v>0</v>
      </c>
      <c r="N362">
        <f t="shared" si="219"/>
        <v>1.47</v>
      </c>
      <c r="O362" t="str">
        <f t="shared" si="223"/>
        <v>标准</v>
      </c>
      <c r="P362" t="str">
        <f t="shared" si="220"/>
        <v>极紧凑</v>
      </c>
      <c r="Q362" t="str">
        <f t="shared" si="221"/>
        <v>✓有效</v>
      </c>
      <c r="R362" t="str">
        <f t="shared" si="222"/>
        <v>正常</v>
      </c>
    </row>
    <row r="363" ht="14.25" customHeight="1" spans="1:18">
      <c r="A363" s="10">
        <v>2023334</v>
      </c>
      <c r="B363" s="12" t="s">
        <v>343</v>
      </c>
      <c r="C363">
        <f t="shared" si="208"/>
        <v>9</v>
      </c>
      <c r="D363">
        <f t="shared" si="209"/>
        <v>0</v>
      </c>
      <c r="E363">
        <f t="shared" si="210"/>
        <v>0</v>
      </c>
      <c r="F363">
        <f t="shared" si="211"/>
        <v>9</v>
      </c>
      <c r="G363">
        <f t="shared" si="212"/>
        <v>9</v>
      </c>
      <c r="H363">
        <f t="shared" si="213"/>
        <v>9</v>
      </c>
      <c r="I363">
        <f t="shared" si="214"/>
        <v>1</v>
      </c>
      <c r="J363">
        <f t="shared" si="215"/>
        <v>0.33</v>
      </c>
      <c r="K363">
        <f t="shared" si="216"/>
        <v>0.33</v>
      </c>
      <c r="L363">
        <f t="shared" si="217"/>
        <v>0</v>
      </c>
      <c r="M363">
        <f t="shared" si="218"/>
        <v>0</v>
      </c>
      <c r="N363">
        <f t="shared" si="219"/>
        <v>0.83</v>
      </c>
      <c r="O363" t="str">
        <f t="shared" si="223"/>
        <v>松散</v>
      </c>
      <c r="P363" t="str">
        <f t="shared" si="220"/>
        <v>极紧凑</v>
      </c>
      <c r="Q363" t="str">
        <f t="shared" si="221"/>
        <v>✓有效</v>
      </c>
      <c r="R363" t="str">
        <f t="shared" si="222"/>
        <v>正常</v>
      </c>
    </row>
    <row r="364" ht="14.25" customHeight="1" spans="1:18">
      <c r="A364" s="10">
        <v>2023335</v>
      </c>
      <c r="B364" s="12" t="s">
        <v>344</v>
      </c>
      <c r="C364">
        <f t="shared" si="208"/>
        <v>1</v>
      </c>
      <c r="D364">
        <f t="shared" si="209"/>
        <v>1</v>
      </c>
      <c r="E364">
        <f t="shared" si="210"/>
        <v>1</v>
      </c>
      <c r="F364">
        <f t="shared" si="211"/>
        <v>3</v>
      </c>
      <c r="G364">
        <f t="shared" si="212"/>
        <v>3</v>
      </c>
      <c r="H364">
        <f t="shared" si="213"/>
        <v>0</v>
      </c>
      <c r="I364">
        <f t="shared" si="214"/>
        <v>0.1</v>
      </c>
      <c r="J364">
        <f t="shared" si="215"/>
        <v>1</v>
      </c>
      <c r="K364">
        <f t="shared" si="216"/>
        <v>0</v>
      </c>
      <c r="L364">
        <f t="shared" si="217"/>
        <v>0</v>
      </c>
      <c r="M364">
        <f t="shared" si="218"/>
        <v>0</v>
      </c>
      <c r="N364">
        <f t="shared" si="219"/>
        <v>0.54</v>
      </c>
      <c r="O364" t="str">
        <f t="shared" si="223"/>
        <v>极紧凑</v>
      </c>
      <c r="P364" t="str">
        <f t="shared" si="220"/>
        <v>极紧凑</v>
      </c>
      <c r="Q364" t="str">
        <f t="shared" si="221"/>
        <v>✓有效</v>
      </c>
      <c r="R364" t="str">
        <f t="shared" si="222"/>
        <v>正常</v>
      </c>
    </row>
    <row r="365" ht="14.25" customHeight="1" spans="1:18">
      <c r="A365" s="10">
        <v>2023336</v>
      </c>
      <c r="B365" s="12" t="s">
        <v>342</v>
      </c>
      <c r="C365">
        <f t="shared" si="208"/>
        <v>1</v>
      </c>
      <c r="D365">
        <f t="shared" si="209"/>
        <v>8</v>
      </c>
      <c r="E365">
        <f t="shared" si="210"/>
        <v>8</v>
      </c>
      <c r="F365">
        <f t="shared" si="211"/>
        <v>17</v>
      </c>
      <c r="G365">
        <f t="shared" si="212"/>
        <v>7</v>
      </c>
      <c r="H365">
        <f t="shared" si="213"/>
        <v>7</v>
      </c>
      <c r="I365">
        <f t="shared" si="214"/>
        <v>2.43</v>
      </c>
      <c r="J365">
        <f t="shared" si="215"/>
        <v>0.33</v>
      </c>
      <c r="K365">
        <f t="shared" si="216"/>
        <v>0.67</v>
      </c>
      <c r="L365">
        <f t="shared" si="217"/>
        <v>0</v>
      </c>
      <c r="M365">
        <f t="shared" si="218"/>
        <v>0</v>
      </c>
      <c r="N365">
        <f t="shared" si="219"/>
        <v>1.47</v>
      </c>
      <c r="O365" t="str">
        <f t="shared" si="223"/>
        <v>标准</v>
      </c>
      <c r="P365" t="str">
        <f t="shared" si="220"/>
        <v>极紧凑</v>
      </c>
      <c r="Q365" t="str">
        <f t="shared" si="221"/>
        <v>✓有效</v>
      </c>
      <c r="R365" t="str">
        <f t="shared" si="222"/>
        <v>正常</v>
      </c>
    </row>
    <row r="366" ht="14.25" customHeight="1" spans="1:18">
      <c r="A366" s="10">
        <v>2023337</v>
      </c>
      <c r="B366" s="12" t="s">
        <v>345</v>
      </c>
      <c r="C366">
        <f t="shared" si="208"/>
        <v>8</v>
      </c>
      <c r="D366">
        <f t="shared" si="209"/>
        <v>6</v>
      </c>
      <c r="E366">
        <f t="shared" si="210"/>
        <v>2</v>
      </c>
      <c r="F366">
        <f t="shared" si="211"/>
        <v>16</v>
      </c>
      <c r="G366">
        <f t="shared" si="212"/>
        <v>6</v>
      </c>
      <c r="H366">
        <f t="shared" si="213"/>
        <v>6</v>
      </c>
      <c r="I366">
        <f t="shared" si="214"/>
        <v>2.67</v>
      </c>
      <c r="J366">
        <f t="shared" si="215"/>
        <v>0</v>
      </c>
      <c r="K366">
        <f t="shared" si="216"/>
        <v>0.67</v>
      </c>
      <c r="L366">
        <f t="shared" si="217"/>
        <v>0.33</v>
      </c>
      <c r="M366">
        <f t="shared" si="218"/>
        <v>0</v>
      </c>
      <c r="N366">
        <f t="shared" si="219"/>
        <v>1.54</v>
      </c>
      <c r="O366" t="str">
        <f t="shared" si="223"/>
        <v>标准</v>
      </c>
      <c r="P366" t="str">
        <f t="shared" si="220"/>
        <v>紧凑</v>
      </c>
      <c r="Q366" t="str">
        <f t="shared" si="221"/>
        <v>✓有效</v>
      </c>
      <c r="R366" t="str">
        <f t="shared" si="222"/>
        <v>正常</v>
      </c>
    </row>
    <row r="367" ht="14.25" customHeight="1" spans="1:18">
      <c r="A367" s="10">
        <v>2023338</v>
      </c>
      <c r="B367" s="12" t="s">
        <v>41</v>
      </c>
      <c r="C367">
        <f t="shared" si="208"/>
        <v>4</v>
      </c>
      <c r="D367">
        <f t="shared" si="209"/>
        <v>7</v>
      </c>
      <c r="E367">
        <f t="shared" si="210"/>
        <v>7</v>
      </c>
      <c r="F367">
        <f t="shared" si="211"/>
        <v>18</v>
      </c>
      <c r="G367">
        <f t="shared" si="212"/>
        <v>8</v>
      </c>
      <c r="H367">
        <f t="shared" si="213"/>
        <v>3</v>
      </c>
      <c r="I367">
        <f t="shared" si="214"/>
        <v>6</v>
      </c>
      <c r="J367">
        <f t="shared" si="215"/>
        <v>0.67</v>
      </c>
      <c r="K367">
        <f t="shared" si="216"/>
        <v>0.67</v>
      </c>
      <c r="L367">
        <f t="shared" si="217"/>
        <v>0.67</v>
      </c>
      <c r="M367">
        <f t="shared" si="218"/>
        <v>0</v>
      </c>
      <c r="N367">
        <f t="shared" si="219"/>
        <v>3.04</v>
      </c>
      <c r="O367" t="str">
        <f t="shared" si="223"/>
        <v>紧凑</v>
      </c>
      <c r="P367" t="str">
        <f t="shared" si="220"/>
        <v>标准</v>
      </c>
      <c r="Q367" t="str">
        <f t="shared" si="221"/>
        <v>✓有效</v>
      </c>
      <c r="R367" t="str">
        <f t="shared" si="222"/>
        <v>正常</v>
      </c>
    </row>
    <row r="368" ht="14.25" customHeight="1" spans="1:18">
      <c r="A368" s="10">
        <v>2023339</v>
      </c>
      <c r="B368" s="12" t="s">
        <v>346</v>
      </c>
      <c r="C368">
        <f t="shared" si="208"/>
        <v>8</v>
      </c>
      <c r="D368">
        <f t="shared" si="209"/>
        <v>4</v>
      </c>
      <c r="E368">
        <f t="shared" si="210"/>
        <v>7</v>
      </c>
      <c r="F368">
        <f t="shared" si="211"/>
        <v>19</v>
      </c>
      <c r="G368">
        <f t="shared" si="212"/>
        <v>9</v>
      </c>
      <c r="H368">
        <f t="shared" si="213"/>
        <v>4</v>
      </c>
      <c r="I368">
        <f t="shared" si="214"/>
        <v>4.75</v>
      </c>
      <c r="J368">
        <f t="shared" si="215"/>
        <v>0.33</v>
      </c>
      <c r="K368">
        <f t="shared" si="216"/>
        <v>0.67</v>
      </c>
      <c r="L368">
        <f t="shared" si="217"/>
        <v>0.33</v>
      </c>
      <c r="M368">
        <f t="shared" si="218"/>
        <v>1</v>
      </c>
      <c r="N368">
        <f t="shared" si="219"/>
        <v>2.33</v>
      </c>
      <c r="O368" t="str">
        <f t="shared" si="223"/>
        <v>紧凑</v>
      </c>
      <c r="P368" t="str">
        <f t="shared" si="220"/>
        <v>紧凑</v>
      </c>
      <c r="Q368" t="str">
        <f t="shared" si="221"/>
        <v>✓有效</v>
      </c>
      <c r="R368" t="str">
        <f t="shared" si="222"/>
        <v>正常</v>
      </c>
    </row>
    <row r="369" ht="14.25" customHeight="1" spans="1:18">
      <c r="A369" s="10">
        <v>2023340</v>
      </c>
      <c r="B369" s="12" t="s">
        <v>347</v>
      </c>
      <c r="C369">
        <f t="shared" si="208"/>
        <v>1</v>
      </c>
      <c r="D369">
        <f t="shared" si="209"/>
        <v>3</v>
      </c>
      <c r="E369">
        <f t="shared" si="210"/>
        <v>8</v>
      </c>
      <c r="F369">
        <f t="shared" si="211"/>
        <v>12</v>
      </c>
      <c r="G369">
        <f t="shared" si="212"/>
        <v>2</v>
      </c>
      <c r="H369">
        <f t="shared" si="213"/>
        <v>7</v>
      </c>
      <c r="I369">
        <f t="shared" si="214"/>
        <v>1.71</v>
      </c>
      <c r="J369">
        <f t="shared" si="215"/>
        <v>0.67</v>
      </c>
      <c r="K369">
        <f t="shared" si="216"/>
        <v>0.33</v>
      </c>
      <c r="L369">
        <f t="shared" si="217"/>
        <v>0.33</v>
      </c>
      <c r="M369">
        <f t="shared" si="218"/>
        <v>0</v>
      </c>
      <c r="N369">
        <f t="shared" si="219"/>
        <v>1.22</v>
      </c>
      <c r="O369" t="str">
        <f t="shared" si="223"/>
        <v>松散</v>
      </c>
      <c r="P369" t="str">
        <f t="shared" si="220"/>
        <v>极紧凑</v>
      </c>
      <c r="Q369" t="str">
        <f t="shared" si="221"/>
        <v>✓有效</v>
      </c>
      <c r="R369" t="str">
        <f t="shared" si="222"/>
        <v>正常</v>
      </c>
    </row>
    <row r="370" ht="14.25" customHeight="1" spans="1:18">
      <c r="A370" s="10">
        <v>2023341</v>
      </c>
      <c r="B370" s="12" t="s">
        <v>348</v>
      </c>
      <c r="C370">
        <f t="shared" si="208"/>
        <v>2</v>
      </c>
      <c r="D370">
        <f t="shared" si="209"/>
        <v>2</v>
      </c>
      <c r="E370">
        <f t="shared" si="210"/>
        <v>7</v>
      </c>
      <c r="F370">
        <f t="shared" si="211"/>
        <v>11</v>
      </c>
      <c r="G370">
        <f t="shared" si="212"/>
        <v>1</v>
      </c>
      <c r="H370">
        <f t="shared" si="213"/>
        <v>5</v>
      </c>
      <c r="I370">
        <f t="shared" si="214"/>
        <v>2.2</v>
      </c>
      <c r="J370">
        <f t="shared" si="215"/>
        <v>0.33</v>
      </c>
      <c r="K370">
        <f t="shared" si="216"/>
        <v>0.33</v>
      </c>
      <c r="L370">
        <f t="shared" si="217"/>
        <v>1</v>
      </c>
      <c r="M370">
        <f t="shared" si="218"/>
        <v>0</v>
      </c>
      <c r="N370">
        <f t="shared" si="219"/>
        <v>1.41</v>
      </c>
      <c r="O370" t="str">
        <f t="shared" si="223"/>
        <v>标准</v>
      </c>
      <c r="P370" t="str">
        <f t="shared" si="220"/>
        <v>极紧凑</v>
      </c>
      <c r="Q370" t="str">
        <f t="shared" si="221"/>
        <v>✓有效</v>
      </c>
      <c r="R370" t="str">
        <f t="shared" si="222"/>
        <v>正常</v>
      </c>
    </row>
    <row r="371" ht="14.25" customHeight="1" spans="1:18">
      <c r="A371" s="10">
        <v>2023342</v>
      </c>
      <c r="B371" s="12" t="s">
        <v>349</v>
      </c>
      <c r="C371">
        <f t="shared" si="208"/>
        <v>7</v>
      </c>
      <c r="D371">
        <f t="shared" si="209"/>
        <v>6</v>
      </c>
      <c r="E371">
        <f t="shared" si="210"/>
        <v>9</v>
      </c>
      <c r="F371">
        <f t="shared" si="211"/>
        <v>22</v>
      </c>
      <c r="G371">
        <f t="shared" si="212"/>
        <v>2</v>
      </c>
      <c r="H371">
        <f t="shared" si="213"/>
        <v>3</v>
      </c>
      <c r="I371">
        <f t="shared" si="214"/>
        <v>7.33</v>
      </c>
      <c r="J371">
        <f t="shared" si="215"/>
        <v>0.67</v>
      </c>
      <c r="K371">
        <f t="shared" si="216"/>
        <v>1</v>
      </c>
      <c r="L371">
        <f t="shared" si="217"/>
        <v>0.33</v>
      </c>
      <c r="M371">
        <f t="shared" si="218"/>
        <v>1</v>
      </c>
      <c r="N371">
        <f t="shared" si="219"/>
        <v>3.5</v>
      </c>
      <c r="O371" t="str">
        <f t="shared" si="223"/>
        <v>紧凑</v>
      </c>
      <c r="P371" t="str">
        <f t="shared" si="220"/>
        <v>标准</v>
      </c>
      <c r="Q371" t="str">
        <f t="shared" si="221"/>
        <v>✓有效</v>
      </c>
      <c r="R371" t="str">
        <f t="shared" si="222"/>
        <v>正常</v>
      </c>
    </row>
    <row r="372" ht="14.25" customHeight="1" spans="1:18">
      <c r="A372" s="10">
        <v>2023343</v>
      </c>
      <c r="B372" s="12" t="s">
        <v>281</v>
      </c>
      <c r="C372">
        <f t="shared" si="208"/>
        <v>8</v>
      </c>
      <c r="D372">
        <f t="shared" si="209"/>
        <v>4</v>
      </c>
      <c r="E372">
        <f t="shared" si="210"/>
        <v>8</v>
      </c>
      <c r="F372">
        <f t="shared" si="211"/>
        <v>20</v>
      </c>
      <c r="G372">
        <f t="shared" si="212"/>
        <v>0</v>
      </c>
      <c r="H372">
        <f t="shared" si="213"/>
        <v>4</v>
      </c>
      <c r="I372">
        <f t="shared" si="214"/>
        <v>5</v>
      </c>
      <c r="J372">
        <f t="shared" si="215"/>
        <v>0</v>
      </c>
      <c r="K372">
        <f t="shared" si="216"/>
        <v>0.67</v>
      </c>
      <c r="L372">
        <f t="shared" si="217"/>
        <v>0</v>
      </c>
      <c r="M372">
        <f t="shared" si="218"/>
        <v>0</v>
      </c>
      <c r="N372">
        <f t="shared" si="219"/>
        <v>2.43</v>
      </c>
      <c r="O372" t="str">
        <f t="shared" si="223"/>
        <v>紧凑</v>
      </c>
      <c r="P372" t="str">
        <f t="shared" si="220"/>
        <v>紧凑</v>
      </c>
      <c r="Q372" t="str">
        <f t="shared" si="221"/>
        <v>✓有效</v>
      </c>
      <c r="R372" t="str">
        <f t="shared" si="222"/>
        <v>正常</v>
      </c>
    </row>
    <row r="373" ht="14.25" customHeight="1" spans="1:18">
      <c r="A373" s="10">
        <v>2023344</v>
      </c>
      <c r="B373" s="12" t="s">
        <v>286</v>
      </c>
      <c r="C373">
        <f t="shared" si="208"/>
        <v>9</v>
      </c>
      <c r="D373">
        <f t="shared" si="209"/>
        <v>6</v>
      </c>
      <c r="E373">
        <f t="shared" si="210"/>
        <v>8</v>
      </c>
      <c r="F373">
        <f t="shared" si="211"/>
        <v>23</v>
      </c>
      <c r="G373">
        <f t="shared" si="212"/>
        <v>3</v>
      </c>
      <c r="H373">
        <f t="shared" si="213"/>
        <v>3</v>
      </c>
      <c r="I373">
        <f t="shared" si="214"/>
        <v>7.67</v>
      </c>
      <c r="J373">
        <f t="shared" si="215"/>
        <v>0.33</v>
      </c>
      <c r="K373">
        <f t="shared" si="216"/>
        <v>1</v>
      </c>
      <c r="L373">
        <f t="shared" si="217"/>
        <v>0</v>
      </c>
      <c r="M373">
        <f t="shared" si="218"/>
        <v>1</v>
      </c>
      <c r="N373">
        <f t="shared" si="219"/>
        <v>3.53</v>
      </c>
      <c r="O373" t="str">
        <f t="shared" si="223"/>
        <v>紧凑</v>
      </c>
      <c r="P373" t="str">
        <f t="shared" si="220"/>
        <v>标准</v>
      </c>
      <c r="Q373" t="str">
        <f t="shared" si="221"/>
        <v>✓有效</v>
      </c>
      <c r="R373" t="str">
        <f t="shared" si="222"/>
        <v>正常</v>
      </c>
    </row>
    <row r="374" ht="14.25" customHeight="1" spans="1:18">
      <c r="A374" s="10">
        <v>2023345</v>
      </c>
      <c r="B374" s="12" t="s">
        <v>350</v>
      </c>
      <c r="C374">
        <f t="shared" si="208"/>
        <v>4</v>
      </c>
      <c r="D374">
        <f t="shared" si="209"/>
        <v>3</v>
      </c>
      <c r="E374">
        <f t="shared" si="210"/>
        <v>6</v>
      </c>
      <c r="F374">
        <f t="shared" si="211"/>
        <v>13</v>
      </c>
      <c r="G374">
        <f t="shared" si="212"/>
        <v>3</v>
      </c>
      <c r="H374">
        <f t="shared" si="213"/>
        <v>3</v>
      </c>
      <c r="I374">
        <f t="shared" si="214"/>
        <v>4.33</v>
      </c>
      <c r="J374">
        <f t="shared" si="215"/>
        <v>0.33</v>
      </c>
      <c r="K374">
        <f t="shared" si="216"/>
        <v>0.33</v>
      </c>
      <c r="L374">
        <f t="shared" si="217"/>
        <v>0.33</v>
      </c>
      <c r="M374">
        <f t="shared" si="218"/>
        <v>1</v>
      </c>
      <c r="N374">
        <f t="shared" si="219"/>
        <v>2.1</v>
      </c>
      <c r="O374" t="str">
        <f t="shared" si="223"/>
        <v>紧凑</v>
      </c>
      <c r="P374" t="str">
        <f t="shared" si="220"/>
        <v>紧凑</v>
      </c>
      <c r="Q374" t="str">
        <f t="shared" si="221"/>
        <v>✓有效</v>
      </c>
      <c r="R374" t="str">
        <f t="shared" si="222"/>
        <v>正常</v>
      </c>
    </row>
    <row r="375" ht="14.25" customHeight="1" spans="1:18">
      <c r="A375" s="10">
        <v>2023346</v>
      </c>
      <c r="B375" s="12" t="s">
        <v>319</v>
      </c>
      <c r="C375">
        <f t="shared" si="208"/>
        <v>4</v>
      </c>
      <c r="D375">
        <f t="shared" si="209"/>
        <v>9</v>
      </c>
      <c r="E375">
        <f t="shared" si="210"/>
        <v>1</v>
      </c>
      <c r="F375">
        <f t="shared" si="211"/>
        <v>14</v>
      </c>
      <c r="G375">
        <f t="shared" si="212"/>
        <v>4</v>
      </c>
      <c r="H375">
        <f t="shared" si="213"/>
        <v>8</v>
      </c>
      <c r="I375">
        <f t="shared" si="214"/>
        <v>1.75</v>
      </c>
      <c r="J375">
        <f t="shared" si="215"/>
        <v>0.67</v>
      </c>
      <c r="K375">
        <f t="shared" si="216"/>
        <v>0.33</v>
      </c>
      <c r="L375">
        <f t="shared" si="217"/>
        <v>0</v>
      </c>
      <c r="M375">
        <f t="shared" si="218"/>
        <v>0</v>
      </c>
      <c r="N375">
        <f t="shared" si="219"/>
        <v>1.2</v>
      </c>
      <c r="O375" t="str">
        <f t="shared" si="223"/>
        <v>松散</v>
      </c>
      <c r="P375" t="str">
        <f t="shared" si="220"/>
        <v>极紧凑</v>
      </c>
      <c r="Q375" t="str">
        <f t="shared" si="221"/>
        <v>✓有效</v>
      </c>
      <c r="R375" t="str">
        <f t="shared" si="222"/>
        <v>正常</v>
      </c>
    </row>
    <row r="376" ht="14.25" customHeight="1" spans="1:18">
      <c r="A376" s="10">
        <v>2023347</v>
      </c>
      <c r="B376" s="12" t="s">
        <v>351</v>
      </c>
      <c r="C376">
        <f t="shared" si="208"/>
        <v>5</v>
      </c>
      <c r="D376">
        <f t="shared" si="209"/>
        <v>6</v>
      </c>
      <c r="E376">
        <f t="shared" si="210"/>
        <v>0</v>
      </c>
      <c r="F376">
        <f t="shared" si="211"/>
        <v>11</v>
      </c>
      <c r="G376">
        <f t="shared" si="212"/>
        <v>1</v>
      </c>
      <c r="H376">
        <f t="shared" si="213"/>
        <v>6</v>
      </c>
      <c r="I376">
        <f t="shared" si="214"/>
        <v>1.83</v>
      </c>
      <c r="J376">
        <f t="shared" si="215"/>
        <v>0.33</v>
      </c>
      <c r="K376">
        <f t="shared" si="216"/>
        <v>0.67</v>
      </c>
      <c r="L376">
        <f t="shared" si="217"/>
        <v>0.33</v>
      </c>
      <c r="M376">
        <f t="shared" si="218"/>
        <v>1</v>
      </c>
      <c r="N376">
        <f t="shared" si="219"/>
        <v>1.17</v>
      </c>
      <c r="O376" t="str">
        <f t="shared" si="223"/>
        <v>松散</v>
      </c>
      <c r="P376" t="str">
        <f t="shared" si="220"/>
        <v>极紧凑</v>
      </c>
      <c r="Q376" t="str">
        <f t="shared" si="221"/>
        <v>✓有效</v>
      </c>
      <c r="R376" t="str">
        <f t="shared" si="222"/>
        <v>正常</v>
      </c>
    </row>
    <row r="377" ht="14.25" customHeight="1" spans="1:18">
      <c r="A377" s="10">
        <v>2023348</v>
      </c>
      <c r="B377" s="12" t="s">
        <v>352</v>
      </c>
      <c r="C377">
        <f t="shared" si="208"/>
        <v>6</v>
      </c>
      <c r="D377">
        <f t="shared" si="209"/>
        <v>5</v>
      </c>
      <c r="E377">
        <f t="shared" si="210"/>
        <v>3</v>
      </c>
      <c r="F377">
        <f t="shared" si="211"/>
        <v>14</v>
      </c>
      <c r="G377">
        <f t="shared" si="212"/>
        <v>4</v>
      </c>
      <c r="H377">
        <f t="shared" si="213"/>
        <v>3</v>
      </c>
      <c r="I377">
        <f t="shared" si="214"/>
        <v>4.67</v>
      </c>
      <c r="J377">
        <f t="shared" si="215"/>
        <v>0.67</v>
      </c>
      <c r="K377">
        <f t="shared" si="216"/>
        <v>0.67</v>
      </c>
      <c r="L377">
        <f t="shared" si="217"/>
        <v>0.67</v>
      </c>
      <c r="M377">
        <f t="shared" si="218"/>
        <v>1</v>
      </c>
      <c r="N377">
        <f t="shared" si="219"/>
        <v>2.4</v>
      </c>
      <c r="O377" t="str">
        <f t="shared" si="223"/>
        <v>紧凑</v>
      </c>
      <c r="P377" t="str">
        <f t="shared" si="220"/>
        <v>紧凑</v>
      </c>
      <c r="Q377" t="str">
        <f t="shared" si="221"/>
        <v>✓有效</v>
      </c>
      <c r="R377" t="str">
        <f t="shared" si="222"/>
        <v>正常</v>
      </c>
    </row>
    <row r="378" ht="14.25" customHeight="1" spans="1:18">
      <c r="A378" s="10">
        <v>2023349</v>
      </c>
      <c r="B378" s="12" t="s">
        <v>108</v>
      </c>
      <c r="C378">
        <f t="shared" si="208"/>
        <v>5</v>
      </c>
      <c r="D378">
        <f t="shared" si="209"/>
        <v>1</v>
      </c>
      <c r="E378">
        <f t="shared" si="210"/>
        <v>4</v>
      </c>
      <c r="F378">
        <f t="shared" si="211"/>
        <v>10</v>
      </c>
      <c r="G378">
        <f t="shared" si="212"/>
        <v>0</v>
      </c>
      <c r="H378">
        <f t="shared" si="213"/>
        <v>4</v>
      </c>
      <c r="I378">
        <f t="shared" si="214"/>
        <v>2.5</v>
      </c>
      <c r="J378">
        <f t="shared" si="215"/>
        <v>0.67</v>
      </c>
      <c r="K378">
        <f t="shared" si="216"/>
        <v>0.33</v>
      </c>
      <c r="L378">
        <f t="shared" si="217"/>
        <v>0.33</v>
      </c>
      <c r="M378">
        <f t="shared" si="218"/>
        <v>1</v>
      </c>
      <c r="N378">
        <f t="shared" si="219"/>
        <v>1.43</v>
      </c>
      <c r="O378" t="str">
        <f t="shared" si="223"/>
        <v>标准</v>
      </c>
      <c r="P378" t="str">
        <f t="shared" si="220"/>
        <v>极紧凑</v>
      </c>
      <c r="Q378" t="str">
        <f t="shared" si="221"/>
        <v>✓有效</v>
      </c>
      <c r="R378" t="str">
        <f t="shared" si="222"/>
        <v>正常</v>
      </c>
    </row>
    <row r="379" ht="14.25" customHeight="1" spans="1:18">
      <c r="A379" s="10">
        <v>2023350</v>
      </c>
      <c r="B379" s="12" t="s">
        <v>353</v>
      </c>
      <c r="C379">
        <f t="shared" si="208"/>
        <v>7</v>
      </c>
      <c r="D379">
        <f t="shared" si="209"/>
        <v>7</v>
      </c>
      <c r="E379">
        <f t="shared" si="210"/>
        <v>1</v>
      </c>
      <c r="F379">
        <f t="shared" si="211"/>
        <v>15</v>
      </c>
      <c r="G379">
        <f t="shared" si="212"/>
        <v>5</v>
      </c>
      <c r="H379">
        <f t="shared" si="213"/>
        <v>6</v>
      </c>
      <c r="I379">
        <f t="shared" si="214"/>
        <v>2.5</v>
      </c>
      <c r="J379">
        <f t="shared" si="215"/>
        <v>1</v>
      </c>
      <c r="K379">
        <f t="shared" si="216"/>
        <v>0.67</v>
      </c>
      <c r="L379">
        <f t="shared" si="217"/>
        <v>0.67</v>
      </c>
      <c r="M379">
        <f t="shared" si="218"/>
        <v>0</v>
      </c>
      <c r="N379">
        <f t="shared" si="219"/>
        <v>1.7</v>
      </c>
      <c r="O379" t="str">
        <f t="shared" si="223"/>
        <v>标准</v>
      </c>
      <c r="P379" t="str">
        <f t="shared" si="220"/>
        <v>紧凑</v>
      </c>
      <c r="Q379" t="str">
        <f t="shared" si="221"/>
        <v>✓有效</v>
      </c>
      <c r="R379" t="str">
        <f t="shared" si="222"/>
        <v>正常</v>
      </c>
    </row>
    <row r="380" ht="14.25" customHeight="1" spans="1:18">
      <c r="A380" s="10">
        <v>2023351</v>
      </c>
      <c r="B380" s="12" t="s">
        <v>337</v>
      </c>
      <c r="C380">
        <f t="shared" si="208"/>
        <v>4</v>
      </c>
      <c r="D380">
        <f t="shared" si="209"/>
        <v>9</v>
      </c>
      <c r="E380">
        <f t="shared" si="210"/>
        <v>0</v>
      </c>
      <c r="F380">
        <f t="shared" si="211"/>
        <v>13</v>
      </c>
      <c r="G380">
        <f t="shared" si="212"/>
        <v>3</v>
      </c>
      <c r="H380">
        <f t="shared" si="213"/>
        <v>9</v>
      </c>
      <c r="I380">
        <f t="shared" si="214"/>
        <v>1.44</v>
      </c>
      <c r="J380">
        <f t="shared" si="215"/>
        <v>0.33</v>
      </c>
      <c r="K380">
        <f t="shared" si="216"/>
        <v>0.33</v>
      </c>
      <c r="L380">
        <f t="shared" si="217"/>
        <v>0</v>
      </c>
      <c r="M380">
        <f t="shared" si="218"/>
        <v>0</v>
      </c>
      <c r="N380">
        <f t="shared" si="219"/>
        <v>1.01</v>
      </c>
      <c r="O380" t="str">
        <f t="shared" si="223"/>
        <v>松散</v>
      </c>
      <c r="P380" t="str">
        <f t="shared" si="220"/>
        <v>极紧凑</v>
      </c>
      <c r="Q380" t="str">
        <f t="shared" si="221"/>
        <v>✓有效</v>
      </c>
      <c r="R380" t="str">
        <f t="shared" si="222"/>
        <v>正常</v>
      </c>
    </row>
    <row r="381" ht="14.25" customHeight="1" spans="1:18">
      <c r="A381" s="10">
        <v>2024001</v>
      </c>
      <c r="B381" s="12" t="s">
        <v>354</v>
      </c>
      <c r="C381">
        <f t="shared" si="208"/>
        <v>2</v>
      </c>
      <c r="D381">
        <f t="shared" si="209"/>
        <v>1</v>
      </c>
      <c r="E381">
        <f t="shared" si="210"/>
        <v>8</v>
      </c>
      <c r="F381">
        <f t="shared" si="211"/>
        <v>11</v>
      </c>
      <c r="G381">
        <f t="shared" si="212"/>
        <v>1</v>
      </c>
      <c r="H381">
        <f t="shared" si="213"/>
        <v>7</v>
      </c>
      <c r="I381">
        <f t="shared" si="214"/>
        <v>1.57</v>
      </c>
      <c r="J381">
        <f t="shared" si="215"/>
        <v>0.33</v>
      </c>
      <c r="K381">
        <f t="shared" si="216"/>
        <v>0.33</v>
      </c>
      <c r="L381">
        <f t="shared" si="217"/>
        <v>0.33</v>
      </c>
      <c r="M381">
        <f t="shared" si="218"/>
        <v>1</v>
      </c>
      <c r="N381">
        <f t="shared" si="219"/>
        <v>0.99</v>
      </c>
      <c r="O381" t="str">
        <f t="shared" si="223"/>
        <v>松散</v>
      </c>
      <c r="P381" t="str">
        <f t="shared" si="220"/>
        <v>极紧凑</v>
      </c>
      <c r="Q381" t="str">
        <f t="shared" si="221"/>
        <v>✓有效</v>
      </c>
      <c r="R381" t="str">
        <f t="shared" si="222"/>
        <v>正常</v>
      </c>
    </row>
    <row r="382" ht="14.25" customHeight="1" spans="1:18">
      <c r="A382" s="10">
        <v>2024002</v>
      </c>
      <c r="B382" s="12" t="s">
        <v>355</v>
      </c>
      <c r="C382">
        <f t="shared" si="208"/>
        <v>6</v>
      </c>
      <c r="D382">
        <f t="shared" si="209"/>
        <v>6</v>
      </c>
      <c r="E382">
        <f t="shared" si="210"/>
        <v>9</v>
      </c>
      <c r="F382">
        <f t="shared" si="211"/>
        <v>21</v>
      </c>
      <c r="G382">
        <f t="shared" si="212"/>
        <v>1</v>
      </c>
      <c r="H382">
        <f t="shared" si="213"/>
        <v>3</v>
      </c>
      <c r="I382">
        <f t="shared" si="214"/>
        <v>7</v>
      </c>
      <c r="J382">
        <f t="shared" si="215"/>
        <v>0.33</v>
      </c>
      <c r="K382">
        <f t="shared" si="216"/>
        <v>1</v>
      </c>
      <c r="L382">
        <f t="shared" si="217"/>
        <v>0</v>
      </c>
      <c r="M382">
        <f t="shared" si="218"/>
        <v>0</v>
      </c>
      <c r="N382">
        <f t="shared" si="219"/>
        <v>3.37</v>
      </c>
      <c r="O382" t="str">
        <f t="shared" si="223"/>
        <v>紧凑</v>
      </c>
      <c r="P382" t="str">
        <f t="shared" si="220"/>
        <v>标准</v>
      </c>
      <c r="Q382" t="str">
        <f t="shared" si="221"/>
        <v>✓有效</v>
      </c>
      <c r="R382" t="str">
        <f t="shared" si="222"/>
        <v>正常</v>
      </c>
    </row>
    <row r="383" ht="14.25" customHeight="1" spans="1:18">
      <c r="A383" s="10">
        <v>2024003</v>
      </c>
      <c r="B383" s="12" t="s">
        <v>356</v>
      </c>
      <c r="C383">
        <f t="shared" si="208"/>
        <v>7</v>
      </c>
      <c r="D383">
        <f t="shared" si="209"/>
        <v>2</v>
      </c>
      <c r="E383">
        <f t="shared" si="210"/>
        <v>9</v>
      </c>
      <c r="F383">
        <f t="shared" si="211"/>
        <v>18</v>
      </c>
      <c r="G383">
        <f t="shared" si="212"/>
        <v>8</v>
      </c>
      <c r="H383">
        <f t="shared" si="213"/>
        <v>7</v>
      </c>
      <c r="I383">
        <f t="shared" si="214"/>
        <v>2.57</v>
      </c>
      <c r="J383">
        <f t="shared" si="215"/>
        <v>0.67</v>
      </c>
      <c r="K383">
        <f t="shared" si="216"/>
        <v>0.67</v>
      </c>
      <c r="L383">
        <f t="shared" si="217"/>
        <v>0.67</v>
      </c>
      <c r="M383">
        <f t="shared" si="218"/>
        <v>0</v>
      </c>
      <c r="N383">
        <f t="shared" si="219"/>
        <v>1.66</v>
      </c>
      <c r="O383" t="str">
        <f t="shared" si="223"/>
        <v>标准</v>
      </c>
      <c r="P383" t="str">
        <f t="shared" si="220"/>
        <v>紧凑</v>
      </c>
      <c r="Q383" t="str">
        <f t="shared" si="221"/>
        <v>✓有效</v>
      </c>
      <c r="R383" t="str">
        <f t="shared" si="222"/>
        <v>正常</v>
      </c>
    </row>
    <row r="384" ht="14.25" customHeight="1" spans="1:18">
      <c r="A384" s="10">
        <v>2024004</v>
      </c>
      <c r="B384" s="12" t="s">
        <v>357</v>
      </c>
      <c r="C384">
        <f t="shared" si="208"/>
        <v>7</v>
      </c>
      <c r="D384">
        <f t="shared" si="209"/>
        <v>0</v>
      </c>
      <c r="E384">
        <f t="shared" si="210"/>
        <v>5</v>
      </c>
      <c r="F384">
        <f t="shared" si="211"/>
        <v>12</v>
      </c>
      <c r="G384">
        <f t="shared" si="212"/>
        <v>2</v>
      </c>
      <c r="H384">
        <f t="shared" si="213"/>
        <v>7</v>
      </c>
      <c r="I384">
        <f t="shared" si="214"/>
        <v>1.71</v>
      </c>
      <c r="J384">
        <f t="shared" si="215"/>
        <v>0.67</v>
      </c>
      <c r="K384">
        <f t="shared" si="216"/>
        <v>0.67</v>
      </c>
      <c r="L384">
        <f t="shared" si="217"/>
        <v>0.67</v>
      </c>
      <c r="M384">
        <f t="shared" si="218"/>
        <v>0</v>
      </c>
      <c r="N384">
        <f t="shared" si="219"/>
        <v>1.32</v>
      </c>
      <c r="O384" t="str">
        <f t="shared" si="223"/>
        <v>松散</v>
      </c>
      <c r="P384" t="str">
        <f t="shared" si="220"/>
        <v>极紧凑</v>
      </c>
      <c r="Q384" t="str">
        <f t="shared" si="221"/>
        <v>✓有效</v>
      </c>
      <c r="R384" t="str">
        <f t="shared" si="222"/>
        <v>正常</v>
      </c>
    </row>
    <row r="385" ht="14.25" customHeight="1" spans="1:18">
      <c r="A385" s="10">
        <v>2024005</v>
      </c>
      <c r="B385" s="12" t="s">
        <v>358</v>
      </c>
      <c r="C385">
        <f t="shared" si="208"/>
        <v>8</v>
      </c>
      <c r="D385">
        <f t="shared" si="209"/>
        <v>0</v>
      </c>
      <c r="E385">
        <f t="shared" si="210"/>
        <v>6</v>
      </c>
      <c r="F385">
        <f t="shared" si="211"/>
        <v>14</v>
      </c>
      <c r="G385">
        <f t="shared" si="212"/>
        <v>4</v>
      </c>
      <c r="H385">
        <f t="shared" si="213"/>
        <v>8</v>
      </c>
      <c r="I385">
        <f t="shared" si="214"/>
        <v>1.75</v>
      </c>
      <c r="J385">
        <f t="shared" si="215"/>
        <v>0</v>
      </c>
      <c r="K385">
        <f t="shared" si="216"/>
        <v>0.67</v>
      </c>
      <c r="L385">
        <f t="shared" si="217"/>
        <v>0</v>
      </c>
      <c r="M385">
        <f t="shared" si="218"/>
        <v>0</v>
      </c>
      <c r="N385">
        <f t="shared" si="219"/>
        <v>1.13</v>
      </c>
      <c r="O385" t="str">
        <f t="shared" si="223"/>
        <v>松散</v>
      </c>
      <c r="P385" t="str">
        <f t="shared" si="220"/>
        <v>极紧凑</v>
      </c>
      <c r="Q385" t="str">
        <f t="shared" si="221"/>
        <v>✓有效</v>
      </c>
      <c r="R385" t="str">
        <f t="shared" si="222"/>
        <v>正常</v>
      </c>
    </row>
    <row r="386" ht="14.25" customHeight="1" spans="1:18">
      <c r="A386" s="10">
        <v>2024006</v>
      </c>
      <c r="B386" s="12" t="s">
        <v>245</v>
      </c>
      <c r="C386">
        <f t="shared" si="208"/>
        <v>2</v>
      </c>
      <c r="D386">
        <f t="shared" si="209"/>
        <v>1</v>
      </c>
      <c r="E386">
        <f t="shared" si="210"/>
        <v>2</v>
      </c>
      <c r="F386">
        <f t="shared" si="211"/>
        <v>5</v>
      </c>
      <c r="G386">
        <f t="shared" si="212"/>
        <v>5</v>
      </c>
      <c r="H386">
        <f t="shared" si="213"/>
        <v>1</v>
      </c>
      <c r="I386">
        <f t="shared" si="214"/>
        <v>5</v>
      </c>
      <c r="J386">
        <f t="shared" si="215"/>
        <v>0.33</v>
      </c>
      <c r="K386">
        <f t="shared" si="216"/>
        <v>0</v>
      </c>
      <c r="L386">
        <f t="shared" si="217"/>
        <v>0.67</v>
      </c>
      <c r="M386">
        <f t="shared" si="218"/>
        <v>2</v>
      </c>
      <c r="N386">
        <f t="shared" si="219"/>
        <v>2.23</v>
      </c>
      <c r="O386" t="str">
        <f t="shared" si="223"/>
        <v>紧凑</v>
      </c>
      <c r="P386" t="str">
        <f t="shared" si="220"/>
        <v>紧凑</v>
      </c>
      <c r="Q386" t="str">
        <f t="shared" si="221"/>
        <v>✓有效</v>
      </c>
      <c r="R386" t="str">
        <f t="shared" si="222"/>
        <v>正常</v>
      </c>
    </row>
    <row r="387" ht="14.25" customHeight="1" spans="1:18">
      <c r="A387" s="10">
        <v>2024007</v>
      </c>
      <c r="B387" s="12" t="s">
        <v>359</v>
      </c>
      <c r="C387">
        <f t="shared" si="208"/>
        <v>6</v>
      </c>
      <c r="D387">
        <f t="shared" si="209"/>
        <v>3</v>
      </c>
      <c r="E387">
        <f t="shared" si="210"/>
        <v>3</v>
      </c>
      <c r="F387">
        <f t="shared" si="211"/>
        <v>12</v>
      </c>
      <c r="G387">
        <f t="shared" si="212"/>
        <v>2</v>
      </c>
      <c r="H387">
        <f t="shared" si="213"/>
        <v>3</v>
      </c>
      <c r="I387">
        <f t="shared" si="214"/>
        <v>4</v>
      </c>
      <c r="J387">
        <f t="shared" si="215"/>
        <v>0.67</v>
      </c>
      <c r="K387">
        <f t="shared" si="216"/>
        <v>0.33</v>
      </c>
      <c r="L387">
        <f t="shared" si="217"/>
        <v>0.67</v>
      </c>
      <c r="M387">
        <f t="shared" si="218"/>
        <v>0</v>
      </c>
      <c r="N387">
        <f t="shared" si="219"/>
        <v>2.17</v>
      </c>
      <c r="O387" t="str">
        <f t="shared" si="223"/>
        <v>紧凑</v>
      </c>
      <c r="P387" t="str">
        <f t="shared" si="220"/>
        <v>紧凑</v>
      </c>
      <c r="Q387" t="str">
        <f t="shared" si="221"/>
        <v>✓有效</v>
      </c>
      <c r="R387" t="str">
        <f t="shared" si="222"/>
        <v>正常</v>
      </c>
    </row>
    <row r="388" ht="14.25" customHeight="1" spans="1:18">
      <c r="A388" s="10">
        <v>2024008</v>
      </c>
      <c r="B388" s="12" t="s">
        <v>360</v>
      </c>
      <c r="C388">
        <f t="shared" si="208"/>
        <v>4</v>
      </c>
      <c r="D388">
        <f t="shared" si="209"/>
        <v>2</v>
      </c>
      <c r="E388">
        <f t="shared" si="210"/>
        <v>3</v>
      </c>
      <c r="F388">
        <f t="shared" si="211"/>
        <v>9</v>
      </c>
      <c r="G388">
        <f t="shared" si="212"/>
        <v>9</v>
      </c>
      <c r="H388">
        <f t="shared" si="213"/>
        <v>2</v>
      </c>
      <c r="I388">
        <f t="shared" si="214"/>
        <v>4.5</v>
      </c>
      <c r="J388">
        <f t="shared" si="215"/>
        <v>0.33</v>
      </c>
      <c r="K388">
        <f t="shared" si="216"/>
        <v>0</v>
      </c>
      <c r="L388">
        <f t="shared" si="217"/>
        <v>0.67</v>
      </c>
      <c r="M388">
        <f t="shared" si="218"/>
        <v>2</v>
      </c>
      <c r="N388">
        <f t="shared" si="219"/>
        <v>2.03</v>
      </c>
      <c r="O388" t="str">
        <f t="shared" si="223"/>
        <v>紧凑</v>
      </c>
      <c r="P388" t="str">
        <f t="shared" si="220"/>
        <v>紧凑</v>
      </c>
      <c r="Q388" t="str">
        <f t="shared" si="221"/>
        <v>✓有效</v>
      </c>
      <c r="R388" t="str">
        <f t="shared" si="222"/>
        <v>正常</v>
      </c>
    </row>
    <row r="389" ht="14.25" customHeight="1" spans="1:18">
      <c r="A389" s="10">
        <v>2024009</v>
      </c>
      <c r="B389" s="12" t="s">
        <v>266</v>
      </c>
      <c r="C389">
        <f t="shared" si="208"/>
        <v>2</v>
      </c>
      <c r="D389">
        <f t="shared" si="209"/>
        <v>6</v>
      </c>
      <c r="E389">
        <f t="shared" si="210"/>
        <v>5</v>
      </c>
      <c r="F389">
        <f t="shared" si="211"/>
        <v>13</v>
      </c>
      <c r="G389">
        <f t="shared" si="212"/>
        <v>3</v>
      </c>
      <c r="H389">
        <f t="shared" si="213"/>
        <v>4</v>
      </c>
      <c r="I389">
        <f t="shared" si="214"/>
        <v>3.25</v>
      </c>
      <c r="J389">
        <f t="shared" si="215"/>
        <v>0.33</v>
      </c>
      <c r="K389">
        <f t="shared" si="216"/>
        <v>0.67</v>
      </c>
      <c r="L389">
        <f t="shared" si="217"/>
        <v>0.67</v>
      </c>
      <c r="M389">
        <f t="shared" si="218"/>
        <v>1</v>
      </c>
      <c r="N389">
        <f t="shared" si="219"/>
        <v>1.77</v>
      </c>
      <c r="O389" t="str">
        <f t="shared" si="223"/>
        <v>标准</v>
      </c>
      <c r="P389" t="str">
        <f t="shared" si="220"/>
        <v>紧凑</v>
      </c>
      <c r="Q389" t="str">
        <f t="shared" si="221"/>
        <v>✓有效</v>
      </c>
      <c r="R389" t="str">
        <f t="shared" si="222"/>
        <v>正常</v>
      </c>
    </row>
    <row r="390" ht="14.25" customHeight="1" spans="1:18">
      <c r="A390" s="10">
        <v>2024010</v>
      </c>
      <c r="B390" s="12" t="s">
        <v>361</v>
      </c>
      <c r="C390">
        <f t="shared" si="208"/>
        <v>4</v>
      </c>
      <c r="D390">
        <f t="shared" si="209"/>
        <v>3</v>
      </c>
      <c r="E390">
        <f t="shared" si="210"/>
        <v>7</v>
      </c>
      <c r="F390">
        <f t="shared" si="211"/>
        <v>14</v>
      </c>
      <c r="G390">
        <f t="shared" si="212"/>
        <v>4</v>
      </c>
      <c r="H390">
        <f t="shared" si="213"/>
        <v>4</v>
      </c>
      <c r="I390">
        <f t="shared" si="214"/>
        <v>3.5</v>
      </c>
      <c r="J390">
        <f t="shared" si="215"/>
        <v>0.67</v>
      </c>
      <c r="K390">
        <f t="shared" si="216"/>
        <v>0.33</v>
      </c>
      <c r="L390">
        <f t="shared" si="217"/>
        <v>0.67</v>
      </c>
      <c r="M390">
        <f t="shared" si="218"/>
        <v>1</v>
      </c>
      <c r="N390">
        <f t="shared" si="219"/>
        <v>1.87</v>
      </c>
      <c r="O390" t="str">
        <f t="shared" si="223"/>
        <v>标准</v>
      </c>
      <c r="P390" t="str">
        <f t="shared" si="220"/>
        <v>紧凑</v>
      </c>
      <c r="Q390" t="str">
        <f t="shared" si="221"/>
        <v>✓有效</v>
      </c>
      <c r="R390" t="str">
        <f t="shared" si="222"/>
        <v>正常</v>
      </c>
    </row>
    <row r="391" ht="14.25" customHeight="1" spans="1:18">
      <c r="A391" s="10">
        <v>2024011</v>
      </c>
      <c r="B391" s="12" t="s">
        <v>292</v>
      </c>
      <c r="C391">
        <f t="shared" si="208"/>
        <v>9</v>
      </c>
      <c r="D391">
        <f t="shared" si="209"/>
        <v>2</v>
      </c>
      <c r="E391">
        <f t="shared" si="210"/>
        <v>7</v>
      </c>
      <c r="F391">
        <f t="shared" si="211"/>
        <v>18</v>
      </c>
      <c r="G391">
        <f t="shared" si="212"/>
        <v>8</v>
      </c>
      <c r="H391">
        <f t="shared" si="213"/>
        <v>7</v>
      </c>
      <c r="I391">
        <f t="shared" si="214"/>
        <v>2.57</v>
      </c>
      <c r="J391">
        <f t="shared" si="215"/>
        <v>0.67</v>
      </c>
      <c r="K391">
        <f t="shared" si="216"/>
        <v>0.67</v>
      </c>
      <c r="L391">
        <f t="shared" si="217"/>
        <v>0.67</v>
      </c>
      <c r="M391">
        <f t="shared" si="218"/>
        <v>0</v>
      </c>
      <c r="N391">
        <f t="shared" si="219"/>
        <v>1.66</v>
      </c>
      <c r="O391" t="str">
        <f t="shared" si="223"/>
        <v>标准</v>
      </c>
      <c r="P391" t="str">
        <f t="shared" si="220"/>
        <v>紧凑</v>
      </c>
      <c r="Q391" t="str">
        <f t="shared" si="221"/>
        <v>✓有效</v>
      </c>
      <c r="R391" t="str">
        <f t="shared" si="222"/>
        <v>正常</v>
      </c>
    </row>
    <row r="392" ht="14.25" customHeight="1" spans="1:18">
      <c r="A392" s="10">
        <v>2024012</v>
      </c>
      <c r="B392" s="12" t="s">
        <v>362</v>
      </c>
      <c r="C392">
        <f t="shared" si="208"/>
        <v>5</v>
      </c>
      <c r="D392">
        <f t="shared" si="209"/>
        <v>9</v>
      </c>
      <c r="E392">
        <f t="shared" si="210"/>
        <v>0</v>
      </c>
      <c r="F392">
        <f t="shared" si="211"/>
        <v>14</v>
      </c>
      <c r="G392">
        <f t="shared" si="212"/>
        <v>4</v>
      </c>
      <c r="H392">
        <f t="shared" si="213"/>
        <v>9</v>
      </c>
      <c r="I392">
        <f t="shared" si="214"/>
        <v>1.56</v>
      </c>
      <c r="J392">
        <f t="shared" si="215"/>
        <v>0.67</v>
      </c>
      <c r="K392">
        <f t="shared" si="216"/>
        <v>0.67</v>
      </c>
      <c r="L392">
        <f t="shared" si="217"/>
        <v>0.33</v>
      </c>
      <c r="M392">
        <f t="shared" si="218"/>
        <v>0</v>
      </c>
      <c r="N392">
        <f t="shared" si="219"/>
        <v>1.23</v>
      </c>
      <c r="O392" t="str">
        <f t="shared" si="223"/>
        <v>松散</v>
      </c>
      <c r="P392" t="str">
        <f t="shared" si="220"/>
        <v>极紧凑</v>
      </c>
      <c r="Q392" t="str">
        <f t="shared" si="221"/>
        <v>✓有效</v>
      </c>
      <c r="R392" t="str">
        <f t="shared" si="222"/>
        <v>正常</v>
      </c>
    </row>
    <row r="393" ht="14.25" customHeight="1" spans="1:18">
      <c r="A393" s="10">
        <v>2024013</v>
      </c>
      <c r="B393" s="12" t="s">
        <v>280</v>
      </c>
      <c r="C393">
        <f t="shared" si="208"/>
        <v>4</v>
      </c>
      <c r="D393">
        <f t="shared" si="209"/>
        <v>6</v>
      </c>
      <c r="E393">
        <f t="shared" si="210"/>
        <v>8</v>
      </c>
      <c r="F393">
        <f t="shared" si="211"/>
        <v>18</v>
      </c>
      <c r="G393">
        <f t="shared" si="212"/>
        <v>8</v>
      </c>
      <c r="H393">
        <f t="shared" si="213"/>
        <v>4</v>
      </c>
      <c r="I393">
        <f t="shared" si="214"/>
        <v>4.5</v>
      </c>
      <c r="J393">
        <f t="shared" si="215"/>
        <v>0</v>
      </c>
      <c r="K393">
        <f t="shared" si="216"/>
        <v>0.67</v>
      </c>
      <c r="L393">
        <f t="shared" si="217"/>
        <v>0</v>
      </c>
      <c r="M393">
        <f t="shared" si="218"/>
        <v>0</v>
      </c>
      <c r="N393">
        <f t="shared" si="219"/>
        <v>2.23</v>
      </c>
      <c r="O393" t="str">
        <f t="shared" si="223"/>
        <v>紧凑</v>
      </c>
      <c r="P393" t="str">
        <f t="shared" si="220"/>
        <v>紧凑</v>
      </c>
      <c r="Q393" t="str">
        <f t="shared" si="221"/>
        <v>✓有效</v>
      </c>
      <c r="R393" t="str">
        <f t="shared" si="222"/>
        <v>正常</v>
      </c>
    </row>
    <row r="394" ht="14.25" customHeight="1" spans="1:18">
      <c r="A394" s="10">
        <v>2024014</v>
      </c>
      <c r="B394" s="12" t="s">
        <v>363</v>
      </c>
      <c r="C394">
        <f t="shared" si="208"/>
        <v>2</v>
      </c>
      <c r="D394">
        <f t="shared" si="209"/>
        <v>5</v>
      </c>
      <c r="E394">
        <f t="shared" si="210"/>
        <v>1</v>
      </c>
      <c r="F394">
        <f t="shared" si="211"/>
        <v>8</v>
      </c>
      <c r="G394">
        <f t="shared" si="212"/>
        <v>8</v>
      </c>
      <c r="H394">
        <f t="shared" si="213"/>
        <v>4</v>
      </c>
      <c r="I394">
        <f t="shared" si="214"/>
        <v>2</v>
      </c>
      <c r="J394">
        <f t="shared" si="215"/>
        <v>0.67</v>
      </c>
      <c r="K394">
        <f t="shared" si="216"/>
        <v>0.33</v>
      </c>
      <c r="L394">
        <f t="shared" si="217"/>
        <v>0.67</v>
      </c>
      <c r="M394">
        <f t="shared" si="218"/>
        <v>1</v>
      </c>
      <c r="N394">
        <f t="shared" si="219"/>
        <v>1.27</v>
      </c>
      <c r="O394" t="str">
        <f t="shared" si="223"/>
        <v>标准</v>
      </c>
      <c r="P394" t="str">
        <f t="shared" si="220"/>
        <v>极紧凑</v>
      </c>
      <c r="Q394" t="str">
        <f t="shared" si="221"/>
        <v>✓有效</v>
      </c>
      <c r="R394" t="str">
        <f t="shared" si="222"/>
        <v>正常</v>
      </c>
    </row>
    <row r="395" ht="14.25" customHeight="1" spans="1:18">
      <c r="A395" s="10">
        <v>2024015</v>
      </c>
      <c r="B395" s="12" t="s">
        <v>364</v>
      </c>
      <c r="C395">
        <f t="shared" si="208"/>
        <v>4</v>
      </c>
      <c r="D395">
        <f t="shared" si="209"/>
        <v>3</v>
      </c>
      <c r="E395">
        <f t="shared" si="210"/>
        <v>8</v>
      </c>
      <c r="F395">
        <f t="shared" si="211"/>
        <v>15</v>
      </c>
      <c r="G395">
        <f t="shared" si="212"/>
        <v>5</v>
      </c>
      <c r="H395">
        <f t="shared" si="213"/>
        <v>5</v>
      </c>
      <c r="I395">
        <f t="shared" si="214"/>
        <v>3</v>
      </c>
      <c r="J395">
        <f t="shared" si="215"/>
        <v>0.33</v>
      </c>
      <c r="K395">
        <f t="shared" si="216"/>
        <v>0.33</v>
      </c>
      <c r="L395">
        <f t="shared" si="217"/>
        <v>0.33</v>
      </c>
      <c r="M395">
        <f t="shared" si="218"/>
        <v>1</v>
      </c>
      <c r="N395">
        <f t="shared" si="219"/>
        <v>1.57</v>
      </c>
      <c r="O395" t="str">
        <f t="shared" si="223"/>
        <v>标准</v>
      </c>
      <c r="P395" t="str">
        <f t="shared" si="220"/>
        <v>紧凑</v>
      </c>
      <c r="Q395" t="str">
        <f t="shared" si="221"/>
        <v>✓有效</v>
      </c>
      <c r="R395" t="str">
        <f t="shared" si="222"/>
        <v>正常</v>
      </c>
    </row>
    <row r="396" ht="14.25" customHeight="1" spans="1:18">
      <c r="A396" s="10">
        <v>2024016</v>
      </c>
      <c r="B396" s="12" t="s">
        <v>365</v>
      </c>
      <c r="C396">
        <f t="shared" si="208"/>
        <v>6</v>
      </c>
      <c r="D396">
        <f t="shared" si="209"/>
        <v>2</v>
      </c>
      <c r="E396">
        <f t="shared" si="210"/>
        <v>0</v>
      </c>
      <c r="F396">
        <f t="shared" si="211"/>
        <v>8</v>
      </c>
      <c r="G396">
        <f t="shared" si="212"/>
        <v>8</v>
      </c>
      <c r="H396">
        <f t="shared" si="213"/>
        <v>6</v>
      </c>
      <c r="I396">
        <f t="shared" si="214"/>
        <v>1.33</v>
      </c>
      <c r="J396">
        <f t="shared" si="215"/>
        <v>0</v>
      </c>
      <c r="K396">
        <f t="shared" si="216"/>
        <v>0.33</v>
      </c>
      <c r="L396">
        <f t="shared" si="217"/>
        <v>0.33</v>
      </c>
      <c r="M396">
        <f t="shared" si="218"/>
        <v>0</v>
      </c>
      <c r="N396">
        <f t="shared" si="219"/>
        <v>0.93</v>
      </c>
      <c r="O396" t="str">
        <f t="shared" si="223"/>
        <v>松散</v>
      </c>
      <c r="P396" t="str">
        <f t="shared" si="220"/>
        <v>极紧凑</v>
      </c>
      <c r="Q396" t="str">
        <f t="shared" si="221"/>
        <v>✓有效</v>
      </c>
      <c r="R396" t="str">
        <f t="shared" si="222"/>
        <v>正常</v>
      </c>
    </row>
    <row r="397" ht="14.25" customHeight="1" spans="1:18">
      <c r="A397" s="10">
        <v>2024017</v>
      </c>
      <c r="B397" s="12" t="s">
        <v>366</v>
      </c>
      <c r="C397">
        <f t="shared" si="208"/>
        <v>6</v>
      </c>
      <c r="D397">
        <f t="shared" si="209"/>
        <v>5</v>
      </c>
      <c r="E397">
        <f t="shared" si="210"/>
        <v>9</v>
      </c>
      <c r="F397">
        <f t="shared" si="211"/>
        <v>20</v>
      </c>
      <c r="G397">
        <f t="shared" si="212"/>
        <v>0</v>
      </c>
      <c r="H397">
        <f t="shared" si="213"/>
        <v>4</v>
      </c>
      <c r="I397">
        <f t="shared" si="214"/>
        <v>5</v>
      </c>
      <c r="J397">
        <f t="shared" si="215"/>
        <v>0.67</v>
      </c>
      <c r="K397">
        <f t="shared" si="216"/>
        <v>1</v>
      </c>
      <c r="L397">
        <f t="shared" si="217"/>
        <v>0.33</v>
      </c>
      <c r="M397">
        <f t="shared" si="218"/>
        <v>1</v>
      </c>
      <c r="N397">
        <f t="shared" si="219"/>
        <v>2.57</v>
      </c>
      <c r="O397" t="str">
        <f t="shared" si="223"/>
        <v>紧凑</v>
      </c>
      <c r="P397" t="str">
        <f t="shared" si="220"/>
        <v>紧凑</v>
      </c>
      <c r="Q397" t="str">
        <f t="shared" si="221"/>
        <v>✓有效</v>
      </c>
      <c r="R397" t="str">
        <f t="shared" si="222"/>
        <v>正常</v>
      </c>
    </row>
    <row r="398" ht="14.25" customHeight="1" spans="1:18">
      <c r="A398" s="10">
        <v>2024018</v>
      </c>
      <c r="B398" s="12" t="s">
        <v>367</v>
      </c>
      <c r="C398">
        <f t="shared" si="208"/>
        <v>4</v>
      </c>
      <c r="D398">
        <f t="shared" si="209"/>
        <v>3</v>
      </c>
      <c r="E398">
        <f t="shared" si="210"/>
        <v>0</v>
      </c>
      <c r="F398">
        <f t="shared" si="211"/>
        <v>7</v>
      </c>
      <c r="G398">
        <f t="shared" si="212"/>
        <v>7</v>
      </c>
      <c r="H398">
        <f t="shared" si="213"/>
        <v>4</v>
      </c>
      <c r="I398">
        <f t="shared" si="214"/>
        <v>1.75</v>
      </c>
      <c r="J398">
        <f t="shared" si="215"/>
        <v>0.33</v>
      </c>
      <c r="K398">
        <f t="shared" si="216"/>
        <v>0</v>
      </c>
      <c r="L398">
        <f t="shared" si="217"/>
        <v>0.33</v>
      </c>
      <c r="M398">
        <f t="shared" si="218"/>
        <v>1</v>
      </c>
      <c r="N398">
        <f t="shared" si="219"/>
        <v>1</v>
      </c>
      <c r="O398" t="str">
        <f t="shared" si="223"/>
        <v>松散</v>
      </c>
      <c r="P398" t="str">
        <f t="shared" si="220"/>
        <v>极紧凑</v>
      </c>
      <c r="Q398" t="str">
        <f t="shared" si="221"/>
        <v>✓有效</v>
      </c>
      <c r="R398" t="str">
        <f t="shared" si="222"/>
        <v>正常</v>
      </c>
    </row>
    <row r="399" ht="14.25" customHeight="1" spans="1:18">
      <c r="A399" s="10">
        <v>2024019</v>
      </c>
      <c r="B399" s="12" t="s">
        <v>368</v>
      </c>
      <c r="C399">
        <f t="shared" si="208"/>
        <v>9</v>
      </c>
      <c r="D399">
        <f t="shared" si="209"/>
        <v>5</v>
      </c>
      <c r="E399">
        <f t="shared" si="210"/>
        <v>3</v>
      </c>
      <c r="F399">
        <f t="shared" si="211"/>
        <v>17</v>
      </c>
      <c r="G399">
        <f t="shared" si="212"/>
        <v>7</v>
      </c>
      <c r="H399">
        <f t="shared" si="213"/>
        <v>6</v>
      </c>
      <c r="I399">
        <f t="shared" si="214"/>
        <v>2.83</v>
      </c>
      <c r="J399">
        <f t="shared" si="215"/>
        <v>1</v>
      </c>
      <c r="K399">
        <f t="shared" si="216"/>
        <v>0.67</v>
      </c>
      <c r="L399">
        <f t="shared" si="217"/>
        <v>0.67</v>
      </c>
      <c r="M399">
        <f t="shared" si="218"/>
        <v>0</v>
      </c>
      <c r="N399">
        <f t="shared" si="219"/>
        <v>1.83</v>
      </c>
      <c r="O399" t="str">
        <f t="shared" si="223"/>
        <v>标准</v>
      </c>
      <c r="P399" t="str">
        <f t="shared" si="220"/>
        <v>紧凑</v>
      </c>
      <c r="Q399" t="str">
        <f t="shared" si="221"/>
        <v>✓有效</v>
      </c>
      <c r="R399" t="str">
        <f t="shared" si="222"/>
        <v>正常</v>
      </c>
    </row>
    <row r="400" ht="14.25" customHeight="1" spans="1:18">
      <c r="A400" s="10">
        <v>2024020</v>
      </c>
      <c r="B400" s="12" t="s">
        <v>369</v>
      </c>
      <c r="C400">
        <f t="shared" si="208"/>
        <v>8</v>
      </c>
      <c r="D400">
        <f t="shared" si="209"/>
        <v>6</v>
      </c>
      <c r="E400">
        <f t="shared" si="210"/>
        <v>8</v>
      </c>
      <c r="F400">
        <f t="shared" si="211"/>
        <v>22</v>
      </c>
      <c r="G400">
        <f t="shared" si="212"/>
        <v>2</v>
      </c>
      <c r="H400">
        <f t="shared" si="213"/>
        <v>2</v>
      </c>
      <c r="I400">
        <f t="shared" si="214"/>
        <v>11</v>
      </c>
      <c r="J400">
        <f t="shared" si="215"/>
        <v>0</v>
      </c>
      <c r="K400">
        <f t="shared" si="216"/>
        <v>1</v>
      </c>
      <c r="L400">
        <f t="shared" si="217"/>
        <v>0</v>
      </c>
      <c r="M400">
        <f t="shared" si="218"/>
        <v>0</v>
      </c>
      <c r="N400">
        <f t="shared" si="219"/>
        <v>4.9</v>
      </c>
      <c r="O400" t="str">
        <f t="shared" si="223"/>
        <v>紧凑</v>
      </c>
      <c r="P400" t="str">
        <f t="shared" si="220"/>
        <v>标准</v>
      </c>
      <c r="Q400" t="str">
        <f t="shared" si="221"/>
        <v>✓有效</v>
      </c>
      <c r="R400" t="str">
        <f t="shared" si="222"/>
        <v>异常</v>
      </c>
    </row>
    <row r="401" ht="14.25" customHeight="1" spans="1:18">
      <c r="A401" s="10">
        <v>2024021</v>
      </c>
      <c r="B401" s="12" t="s">
        <v>104</v>
      </c>
      <c r="C401">
        <f t="shared" si="208"/>
        <v>4</v>
      </c>
      <c r="D401">
        <f t="shared" si="209"/>
        <v>4</v>
      </c>
      <c r="E401">
        <f t="shared" si="210"/>
        <v>6</v>
      </c>
      <c r="F401">
        <f t="shared" si="211"/>
        <v>14</v>
      </c>
      <c r="G401">
        <f t="shared" si="212"/>
        <v>4</v>
      </c>
      <c r="H401">
        <f t="shared" si="213"/>
        <v>2</v>
      </c>
      <c r="I401">
        <f t="shared" si="214"/>
        <v>7</v>
      </c>
      <c r="J401">
        <f t="shared" si="215"/>
        <v>0</v>
      </c>
      <c r="K401">
        <f t="shared" si="216"/>
        <v>0.33</v>
      </c>
      <c r="L401">
        <f t="shared" si="217"/>
        <v>0</v>
      </c>
      <c r="M401">
        <f t="shared" si="218"/>
        <v>0</v>
      </c>
      <c r="N401">
        <f t="shared" si="219"/>
        <v>3.17</v>
      </c>
      <c r="O401" t="str">
        <f t="shared" si="223"/>
        <v>紧凑</v>
      </c>
      <c r="P401" t="str">
        <f t="shared" si="220"/>
        <v>标准</v>
      </c>
      <c r="Q401" t="str">
        <f t="shared" si="221"/>
        <v>✓有效</v>
      </c>
      <c r="R401" t="str">
        <f t="shared" si="222"/>
        <v>正常</v>
      </c>
    </row>
    <row r="402" ht="14.25" customHeight="1" spans="1:18">
      <c r="A402" s="10">
        <v>2024022</v>
      </c>
      <c r="B402" s="12" t="s">
        <v>370</v>
      </c>
      <c r="C402">
        <f t="shared" si="208"/>
        <v>2</v>
      </c>
      <c r="D402">
        <f t="shared" si="209"/>
        <v>8</v>
      </c>
      <c r="E402">
        <f t="shared" si="210"/>
        <v>5</v>
      </c>
      <c r="F402">
        <f t="shared" si="211"/>
        <v>15</v>
      </c>
      <c r="G402">
        <f t="shared" si="212"/>
        <v>5</v>
      </c>
      <c r="H402">
        <f t="shared" si="213"/>
        <v>6</v>
      </c>
      <c r="I402">
        <f t="shared" si="214"/>
        <v>2.5</v>
      </c>
      <c r="J402">
        <f t="shared" si="215"/>
        <v>0.33</v>
      </c>
      <c r="K402">
        <f t="shared" si="216"/>
        <v>0.67</v>
      </c>
      <c r="L402">
        <f t="shared" si="217"/>
        <v>0.67</v>
      </c>
      <c r="M402">
        <f t="shared" si="218"/>
        <v>0</v>
      </c>
      <c r="N402">
        <f t="shared" si="219"/>
        <v>1.57</v>
      </c>
      <c r="O402" t="str">
        <f t="shared" si="223"/>
        <v>标准</v>
      </c>
      <c r="P402" t="str">
        <f t="shared" si="220"/>
        <v>紧凑</v>
      </c>
      <c r="Q402" t="str">
        <f t="shared" si="221"/>
        <v>✓有效</v>
      </c>
      <c r="R402" t="str">
        <f t="shared" si="222"/>
        <v>正常</v>
      </c>
    </row>
    <row r="403" ht="14.25" customHeight="1" spans="1:18">
      <c r="A403" s="10">
        <v>2024023</v>
      </c>
      <c r="B403" s="12" t="s">
        <v>212</v>
      </c>
      <c r="C403">
        <f t="shared" si="208"/>
        <v>2</v>
      </c>
      <c r="D403">
        <f t="shared" si="209"/>
        <v>4</v>
      </c>
      <c r="E403">
        <f t="shared" si="210"/>
        <v>7</v>
      </c>
      <c r="F403">
        <f t="shared" si="211"/>
        <v>13</v>
      </c>
      <c r="G403">
        <f t="shared" si="212"/>
        <v>3</v>
      </c>
      <c r="H403">
        <f t="shared" si="213"/>
        <v>5</v>
      </c>
      <c r="I403">
        <f t="shared" si="214"/>
        <v>2.6</v>
      </c>
      <c r="J403">
        <f t="shared" si="215"/>
        <v>0.33</v>
      </c>
      <c r="K403">
        <f t="shared" si="216"/>
        <v>0.33</v>
      </c>
      <c r="L403">
        <f t="shared" si="217"/>
        <v>0.67</v>
      </c>
      <c r="M403">
        <f t="shared" si="218"/>
        <v>0</v>
      </c>
      <c r="N403">
        <f t="shared" si="219"/>
        <v>1.54</v>
      </c>
      <c r="O403" t="str">
        <f t="shared" si="223"/>
        <v>标准</v>
      </c>
      <c r="P403" t="str">
        <f t="shared" si="220"/>
        <v>紧凑</v>
      </c>
      <c r="Q403" t="str">
        <f t="shared" si="221"/>
        <v>✓有效</v>
      </c>
      <c r="R403" t="str">
        <f t="shared" si="222"/>
        <v>正常</v>
      </c>
    </row>
    <row r="404" ht="14.25" customHeight="1" spans="1:18">
      <c r="A404" s="10">
        <v>2024024</v>
      </c>
      <c r="B404" s="12" t="s">
        <v>371</v>
      </c>
      <c r="C404">
        <f t="shared" si="208"/>
        <v>4</v>
      </c>
      <c r="D404">
        <f t="shared" si="209"/>
        <v>7</v>
      </c>
      <c r="E404">
        <f t="shared" si="210"/>
        <v>3</v>
      </c>
      <c r="F404">
        <f t="shared" si="211"/>
        <v>14</v>
      </c>
      <c r="G404">
        <f t="shared" si="212"/>
        <v>4</v>
      </c>
      <c r="H404">
        <f t="shared" si="213"/>
        <v>4</v>
      </c>
      <c r="I404">
        <f t="shared" si="214"/>
        <v>3.5</v>
      </c>
      <c r="J404">
        <f t="shared" si="215"/>
        <v>0.67</v>
      </c>
      <c r="K404">
        <f t="shared" si="216"/>
        <v>0.33</v>
      </c>
      <c r="L404">
        <f t="shared" si="217"/>
        <v>0.67</v>
      </c>
      <c r="M404">
        <f t="shared" si="218"/>
        <v>1</v>
      </c>
      <c r="N404">
        <f t="shared" si="219"/>
        <v>1.87</v>
      </c>
      <c r="O404" t="str">
        <f t="shared" si="223"/>
        <v>标准</v>
      </c>
      <c r="P404" t="str">
        <f t="shared" si="220"/>
        <v>紧凑</v>
      </c>
      <c r="Q404" t="str">
        <f t="shared" si="221"/>
        <v>✓有效</v>
      </c>
      <c r="R404" t="str">
        <f t="shared" si="222"/>
        <v>正常</v>
      </c>
    </row>
    <row r="405" ht="14.25" customHeight="1" spans="1:18">
      <c r="A405" s="10">
        <v>2024025</v>
      </c>
      <c r="B405" s="12" t="s">
        <v>372</v>
      </c>
      <c r="C405">
        <f t="shared" si="208"/>
        <v>7</v>
      </c>
      <c r="D405">
        <f t="shared" si="209"/>
        <v>4</v>
      </c>
      <c r="E405">
        <f t="shared" si="210"/>
        <v>9</v>
      </c>
      <c r="F405">
        <f t="shared" si="211"/>
        <v>20</v>
      </c>
      <c r="G405">
        <f t="shared" si="212"/>
        <v>0</v>
      </c>
      <c r="H405">
        <f t="shared" si="213"/>
        <v>5</v>
      </c>
      <c r="I405">
        <f t="shared" si="214"/>
        <v>4</v>
      </c>
      <c r="J405">
        <f t="shared" si="215"/>
        <v>0.67</v>
      </c>
      <c r="K405">
        <f t="shared" si="216"/>
        <v>0.67</v>
      </c>
      <c r="L405">
        <f t="shared" si="217"/>
        <v>0.33</v>
      </c>
      <c r="M405">
        <f t="shared" si="218"/>
        <v>0</v>
      </c>
      <c r="N405">
        <f t="shared" si="219"/>
        <v>2.2</v>
      </c>
      <c r="O405" t="str">
        <f t="shared" si="223"/>
        <v>紧凑</v>
      </c>
      <c r="P405" t="str">
        <f t="shared" si="220"/>
        <v>紧凑</v>
      </c>
      <c r="Q405" t="str">
        <f t="shared" si="221"/>
        <v>✓有效</v>
      </c>
      <c r="R405" t="str">
        <f t="shared" si="222"/>
        <v>正常</v>
      </c>
    </row>
    <row r="406" ht="14.25" customHeight="1" spans="1:18">
      <c r="A406" s="10">
        <v>2024026</v>
      </c>
      <c r="B406" s="12" t="s">
        <v>373</v>
      </c>
      <c r="C406">
        <f t="shared" si="208"/>
        <v>1</v>
      </c>
      <c r="D406">
        <f t="shared" si="209"/>
        <v>4</v>
      </c>
      <c r="E406">
        <f t="shared" si="210"/>
        <v>9</v>
      </c>
      <c r="F406">
        <f t="shared" si="211"/>
        <v>14</v>
      </c>
      <c r="G406">
        <f t="shared" si="212"/>
        <v>4</v>
      </c>
      <c r="H406">
        <f t="shared" si="213"/>
        <v>8</v>
      </c>
      <c r="I406">
        <f t="shared" si="214"/>
        <v>1.75</v>
      </c>
      <c r="J406">
        <f t="shared" si="215"/>
        <v>0.67</v>
      </c>
      <c r="K406">
        <f t="shared" si="216"/>
        <v>0.33</v>
      </c>
      <c r="L406">
        <f t="shared" si="217"/>
        <v>0</v>
      </c>
      <c r="M406">
        <f t="shared" si="218"/>
        <v>0</v>
      </c>
      <c r="N406">
        <f t="shared" si="219"/>
        <v>1.2</v>
      </c>
      <c r="O406" t="str">
        <f t="shared" si="223"/>
        <v>松散</v>
      </c>
      <c r="P406" t="str">
        <f t="shared" si="220"/>
        <v>极紧凑</v>
      </c>
      <c r="Q406" t="str">
        <f t="shared" si="221"/>
        <v>✓有效</v>
      </c>
      <c r="R406" t="str">
        <f t="shared" si="222"/>
        <v>正常</v>
      </c>
    </row>
    <row r="407" ht="14.25" customHeight="1" spans="1:18">
      <c r="A407" s="10">
        <v>2024027</v>
      </c>
      <c r="B407" s="12" t="s">
        <v>374</v>
      </c>
      <c r="C407">
        <f t="shared" si="208"/>
        <v>8</v>
      </c>
      <c r="D407">
        <f t="shared" si="209"/>
        <v>4</v>
      </c>
      <c r="E407">
        <f t="shared" si="210"/>
        <v>9</v>
      </c>
      <c r="F407">
        <f t="shared" si="211"/>
        <v>21</v>
      </c>
      <c r="G407">
        <f t="shared" si="212"/>
        <v>1</v>
      </c>
      <c r="H407">
        <f t="shared" si="213"/>
        <v>5</v>
      </c>
      <c r="I407">
        <f t="shared" si="214"/>
        <v>4.2</v>
      </c>
      <c r="J407">
        <f t="shared" si="215"/>
        <v>0.33</v>
      </c>
      <c r="K407">
        <f t="shared" si="216"/>
        <v>0.67</v>
      </c>
      <c r="L407">
        <f t="shared" si="217"/>
        <v>0</v>
      </c>
      <c r="M407">
        <f t="shared" si="218"/>
        <v>1</v>
      </c>
      <c r="N407">
        <f t="shared" si="219"/>
        <v>2.08</v>
      </c>
      <c r="O407" t="str">
        <f t="shared" si="223"/>
        <v>紧凑</v>
      </c>
      <c r="P407" t="str">
        <f t="shared" si="220"/>
        <v>紧凑</v>
      </c>
      <c r="Q407" t="str">
        <f t="shared" si="221"/>
        <v>✓有效</v>
      </c>
      <c r="R407" t="str">
        <f t="shared" si="222"/>
        <v>正常</v>
      </c>
    </row>
    <row r="408" ht="14.25" customHeight="1" spans="1:18">
      <c r="A408" s="10">
        <v>2024028</v>
      </c>
      <c r="B408" s="12" t="s">
        <v>375</v>
      </c>
      <c r="C408">
        <f t="shared" si="208"/>
        <v>6</v>
      </c>
      <c r="D408">
        <f t="shared" si="209"/>
        <v>6</v>
      </c>
      <c r="E408">
        <f t="shared" si="210"/>
        <v>2</v>
      </c>
      <c r="F408">
        <f t="shared" si="211"/>
        <v>14</v>
      </c>
      <c r="G408">
        <f t="shared" si="212"/>
        <v>4</v>
      </c>
      <c r="H408">
        <f t="shared" si="213"/>
        <v>4</v>
      </c>
      <c r="I408">
        <f t="shared" si="214"/>
        <v>3.5</v>
      </c>
      <c r="J408">
        <f t="shared" si="215"/>
        <v>0</v>
      </c>
      <c r="K408">
        <f t="shared" si="216"/>
        <v>0.67</v>
      </c>
      <c r="L408">
        <f t="shared" si="217"/>
        <v>0.33</v>
      </c>
      <c r="M408">
        <f t="shared" si="218"/>
        <v>0</v>
      </c>
      <c r="N408">
        <f t="shared" si="219"/>
        <v>1.87</v>
      </c>
      <c r="O408" t="str">
        <f t="shared" si="223"/>
        <v>标准</v>
      </c>
      <c r="P408" t="str">
        <f t="shared" si="220"/>
        <v>紧凑</v>
      </c>
      <c r="Q408" t="str">
        <f t="shared" si="221"/>
        <v>✓有效</v>
      </c>
      <c r="R408" t="str">
        <f t="shared" si="222"/>
        <v>正常</v>
      </c>
    </row>
    <row r="409" ht="14.25" customHeight="1" spans="1:18">
      <c r="A409" s="10">
        <v>2024029</v>
      </c>
      <c r="B409" s="12" t="s">
        <v>376</v>
      </c>
      <c r="C409">
        <f t="shared" si="208"/>
        <v>0</v>
      </c>
      <c r="D409">
        <f t="shared" si="209"/>
        <v>9</v>
      </c>
      <c r="E409">
        <f t="shared" si="210"/>
        <v>4</v>
      </c>
      <c r="F409">
        <f t="shared" si="211"/>
        <v>13</v>
      </c>
      <c r="G409">
        <f t="shared" si="212"/>
        <v>3</v>
      </c>
      <c r="H409">
        <f t="shared" si="213"/>
        <v>9</v>
      </c>
      <c r="I409">
        <f t="shared" si="214"/>
        <v>1.44</v>
      </c>
      <c r="J409">
        <f t="shared" si="215"/>
        <v>0.33</v>
      </c>
      <c r="K409">
        <f t="shared" si="216"/>
        <v>0.33</v>
      </c>
      <c r="L409">
        <f t="shared" si="217"/>
        <v>0</v>
      </c>
      <c r="M409">
        <f t="shared" si="218"/>
        <v>0</v>
      </c>
      <c r="N409">
        <f t="shared" si="219"/>
        <v>1.01</v>
      </c>
      <c r="O409" t="str">
        <f t="shared" si="223"/>
        <v>松散</v>
      </c>
      <c r="P409" t="str">
        <f t="shared" si="220"/>
        <v>极紧凑</v>
      </c>
      <c r="Q409" t="str">
        <f t="shared" si="221"/>
        <v>✓有效</v>
      </c>
      <c r="R409" t="str">
        <f t="shared" si="222"/>
        <v>正常</v>
      </c>
    </row>
    <row r="410" ht="14.25" customHeight="1" spans="1:18">
      <c r="A410" s="10">
        <v>2024030</v>
      </c>
      <c r="B410" s="12" t="s">
        <v>377</v>
      </c>
      <c r="C410">
        <f t="shared" si="208"/>
        <v>9</v>
      </c>
      <c r="D410">
        <f t="shared" si="209"/>
        <v>3</v>
      </c>
      <c r="E410">
        <f t="shared" si="210"/>
        <v>5</v>
      </c>
      <c r="F410">
        <f t="shared" si="211"/>
        <v>17</v>
      </c>
      <c r="G410">
        <f t="shared" si="212"/>
        <v>7</v>
      </c>
      <c r="H410">
        <f t="shared" si="213"/>
        <v>6</v>
      </c>
      <c r="I410">
        <f t="shared" si="214"/>
        <v>2.83</v>
      </c>
      <c r="J410">
        <f t="shared" si="215"/>
        <v>1</v>
      </c>
      <c r="K410">
        <f t="shared" si="216"/>
        <v>0.67</v>
      </c>
      <c r="L410">
        <f t="shared" si="217"/>
        <v>0.67</v>
      </c>
      <c r="M410">
        <f t="shared" si="218"/>
        <v>0</v>
      </c>
      <c r="N410">
        <f t="shared" si="219"/>
        <v>1.83</v>
      </c>
      <c r="O410" t="str">
        <f t="shared" si="223"/>
        <v>标准</v>
      </c>
      <c r="P410" t="str">
        <f t="shared" si="220"/>
        <v>紧凑</v>
      </c>
      <c r="Q410" t="str">
        <f t="shared" si="221"/>
        <v>✓有效</v>
      </c>
      <c r="R410" t="str">
        <f t="shared" si="222"/>
        <v>正常</v>
      </c>
    </row>
    <row r="411" ht="14.25" customHeight="1" spans="1:18">
      <c r="A411" s="10">
        <v>2024031</v>
      </c>
      <c r="B411" s="12" t="s">
        <v>378</v>
      </c>
      <c r="C411">
        <f t="shared" si="208"/>
        <v>0</v>
      </c>
      <c r="D411">
        <f t="shared" si="209"/>
        <v>6</v>
      </c>
      <c r="E411">
        <f t="shared" si="210"/>
        <v>0</v>
      </c>
      <c r="F411">
        <f t="shared" si="211"/>
        <v>6</v>
      </c>
      <c r="G411">
        <f t="shared" si="212"/>
        <v>6</v>
      </c>
      <c r="H411">
        <f t="shared" si="213"/>
        <v>6</v>
      </c>
      <c r="I411">
        <f t="shared" si="214"/>
        <v>1</v>
      </c>
      <c r="J411">
        <f t="shared" si="215"/>
        <v>0</v>
      </c>
      <c r="K411">
        <f t="shared" si="216"/>
        <v>0.33</v>
      </c>
      <c r="L411">
        <f t="shared" si="217"/>
        <v>0</v>
      </c>
      <c r="M411">
        <f t="shared" si="218"/>
        <v>0</v>
      </c>
      <c r="N411">
        <f t="shared" si="219"/>
        <v>0.77</v>
      </c>
      <c r="O411" t="str">
        <f t="shared" si="223"/>
        <v>松散</v>
      </c>
      <c r="P411" t="str">
        <f t="shared" si="220"/>
        <v>极紧凑</v>
      </c>
      <c r="Q411" t="str">
        <f t="shared" si="221"/>
        <v>✓有效</v>
      </c>
      <c r="R411" t="str">
        <f t="shared" si="222"/>
        <v>正常</v>
      </c>
    </row>
    <row r="412" ht="14.25" customHeight="1" spans="1:18">
      <c r="A412" s="10">
        <v>2024032</v>
      </c>
      <c r="B412" s="12" t="s">
        <v>304</v>
      </c>
      <c r="C412">
        <f t="shared" si="208"/>
        <v>9</v>
      </c>
      <c r="D412">
        <f t="shared" si="209"/>
        <v>9</v>
      </c>
      <c r="E412">
        <f t="shared" si="210"/>
        <v>5</v>
      </c>
      <c r="F412">
        <f t="shared" si="211"/>
        <v>23</v>
      </c>
      <c r="G412">
        <f t="shared" si="212"/>
        <v>3</v>
      </c>
      <c r="H412">
        <f t="shared" si="213"/>
        <v>4</v>
      </c>
      <c r="I412">
        <f t="shared" si="214"/>
        <v>5.75</v>
      </c>
      <c r="J412">
        <f t="shared" si="215"/>
        <v>1</v>
      </c>
      <c r="K412">
        <f t="shared" si="216"/>
        <v>1</v>
      </c>
      <c r="L412">
        <f t="shared" si="217"/>
        <v>0.33</v>
      </c>
      <c r="M412">
        <f t="shared" si="218"/>
        <v>0</v>
      </c>
      <c r="N412">
        <f t="shared" si="219"/>
        <v>3.03</v>
      </c>
      <c r="O412" t="str">
        <f t="shared" si="223"/>
        <v>紧凑</v>
      </c>
      <c r="P412" t="str">
        <f t="shared" si="220"/>
        <v>标准</v>
      </c>
      <c r="Q412" t="str">
        <f t="shared" si="221"/>
        <v>✓有效</v>
      </c>
      <c r="R412" t="str">
        <f t="shared" si="222"/>
        <v>正常</v>
      </c>
    </row>
    <row r="413" ht="14.25" customHeight="1" spans="1:18">
      <c r="A413" s="10">
        <v>2024033</v>
      </c>
      <c r="B413" s="12" t="s">
        <v>203</v>
      </c>
      <c r="C413">
        <f t="shared" si="208"/>
        <v>9</v>
      </c>
      <c r="D413">
        <f t="shared" si="209"/>
        <v>4</v>
      </c>
      <c r="E413">
        <f t="shared" si="210"/>
        <v>5</v>
      </c>
      <c r="F413">
        <f t="shared" si="211"/>
        <v>18</v>
      </c>
      <c r="G413">
        <f t="shared" si="212"/>
        <v>8</v>
      </c>
      <c r="H413">
        <f t="shared" si="213"/>
        <v>5</v>
      </c>
      <c r="I413">
        <f t="shared" si="214"/>
        <v>3.6</v>
      </c>
      <c r="J413">
        <f t="shared" si="215"/>
        <v>0.67</v>
      </c>
      <c r="K413">
        <f t="shared" si="216"/>
        <v>0.67</v>
      </c>
      <c r="L413">
        <f t="shared" si="217"/>
        <v>0.33</v>
      </c>
      <c r="M413">
        <f t="shared" si="218"/>
        <v>1</v>
      </c>
      <c r="N413">
        <f t="shared" si="219"/>
        <v>1.94</v>
      </c>
      <c r="O413" t="str">
        <f t="shared" si="223"/>
        <v>紧凑</v>
      </c>
      <c r="P413" t="str">
        <f t="shared" si="220"/>
        <v>紧凑</v>
      </c>
      <c r="Q413" t="str">
        <f t="shared" si="221"/>
        <v>✓有效</v>
      </c>
      <c r="R413" t="str">
        <f t="shared" si="222"/>
        <v>正常</v>
      </c>
    </row>
    <row r="414" ht="14.25" customHeight="1" spans="1:18">
      <c r="A414" s="10">
        <v>2024034</v>
      </c>
      <c r="B414" s="12" t="s">
        <v>107</v>
      </c>
      <c r="C414">
        <f t="shared" si="208"/>
        <v>8</v>
      </c>
      <c r="D414">
        <f t="shared" si="209"/>
        <v>5</v>
      </c>
      <c r="E414">
        <f t="shared" si="210"/>
        <v>6</v>
      </c>
      <c r="F414">
        <f t="shared" si="211"/>
        <v>19</v>
      </c>
      <c r="G414">
        <f t="shared" si="212"/>
        <v>9</v>
      </c>
      <c r="H414">
        <f t="shared" si="213"/>
        <v>3</v>
      </c>
      <c r="I414">
        <f t="shared" si="214"/>
        <v>6.33</v>
      </c>
      <c r="J414">
        <f t="shared" si="215"/>
        <v>0.33</v>
      </c>
      <c r="K414">
        <f t="shared" si="216"/>
        <v>1</v>
      </c>
      <c r="L414">
        <f t="shared" si="217"/>
        <v>0.33</v>
      </c>
      <c r="M414">
        <f t="shared" si="218"/>
        <v>1</v>
      </c>
      <c r="N414">
        <f t="shared" si="219"/>
        <v>3.03</v>
      </c>
      <c r="O414" t="str">
        <f t="shared" si="223"/>
        <v>紧凑</v>
      </c>
      <c r="P414" t="str">
        <f t="shared" si="220"/>
        <v>标准</v>
      </c>
      <c r="Q414" t="str">
        <f t="shared" si="221"/>
        <v>✓有效</v>
      </c>
      <c r="R414" t="str">
        <f t="shared" si="222"/>
        <v>正常</v>
      </c>
    </row>
    <row r="415" ht="14.25" customHeight="1" spans="1:18">
      <c r="A415" s="10">
        <v>2024035</v>
      </c>
      <c r="B415" s="12" t="s">
        <v>379</v>
      </c>
      <c r="C415">
        <f t="shared" si="208"/>
        <v>0</v>
      </c>
      <c r="D415">
        <f t="shared" si="209"/>
        <v>4</v>
      </c>
      <c r="E415">
        <f t="shared" si="210"/>
        <v>5</v>
      </c>
      <c r="F415">
        <f t="shared" si="211"/>
        <v>9</v>
      </c>
      <c r="G415">
        <f t="shared" si="212"/>
        <v>9</v>
      </c>
      <c r="H415">
        <f t="shared" si="213"/>
        <v>5</v>
      </c>
      <c r="I415">
        <f t="shared" si="214"/>
        <v>1.8</v>
      </c>
      <c r="J415">
        <f t="shared" si="215"/>
        <v>0.33</v>
      </c>
      <c r="K415">
        <f t="shared" si="216"/>
        <v>0.33</v>
      </c>
      <c r="L415">
        <f t="shared" si="217"/>
        <v>0.33</v>
      </c>
      <c r="M415">
        <f t="shared" si="218"/>
        <v>1</v>
      </c>
      <c r="N415">
        <f t="shared" si="219"/>
        <v>1.09</v>
      </c>
      <c r="O415" t="str">
        <f t="shared" si="223"/>
        <v>松散</v>
      </c>
      <c r="P415" t="str">
        <f t="shared" si="220"/>
        <v>极紧凑</v>
      </c>
      <c r="Q415" t="str">
        <f t="shared" si="221"/>
        <v>✓有效</v>
      </c>
      <c r="R415" t="str">
        <f t="shared" si="222"/>
        <v>正常</v>
      </c>
    </row>
    <row r="416" ht="14.25" customHeight="1" spans="1:18">
      <c r="A416" s="10">
        <v>2024036</v>
      </c>
      <c r="B416" s="12" t="s">
        <v>266</v>
      </c>
      <c r="C416">
        <f t="shared" ref="C416:C479" si="224">IF(B416="","",LEFT(TEXT(B416,"000"),1)*1)</f>
        <v>2</v>
      </c>
      <c r="D416">
        <f t="shared" ref="D416:D479" si="225">IF(B416="","",MID(TEXT(B416,"000"),2,1)*1)</f>
        <v>6</v>
      </c>
      <c r="E416">
        <f t="shared" ref="E416:E479" si="226">IF(B416="","",RIGHT(TEXT(B416,"000"),1)*1)</f>
        <v>5</v>
      </c>
      <c r="F416">
        <f t="shared" ref="F416:F479" si="227">IF(B416="","",C416+D416+E416)</f>
        <v>13</v>
      </c>
      <c r="G416">
        <f t="shared" ref="G416:G479" si="228">IF(B416="","",MOD(F416,10))</f>
        <v>3</v>
      </c>
      <c r="H416">
        <f t="shared" ref="H416:H479" si="229">IF(B416="","",MAX(C416,D416,E416)-MIN(C416,D416,E416))</f>
        <v>4</v>
      </c>
      <c r="I416">
        <f t="shared" ref="I416:I479" si="230">IF(OR(B416="",H416=0),IF(H416=0,0.1,""),ROUND(F416/H416,2))</f>
        <v>3.25</v>
      </c>
      <c r="J416">
        <f t="shared" ref="J416:J479" si="231">IF(B416="","",ROUND((MOD(C416,2)+MOD(D416,2)+MOD(E416,2))/3,2))</f>
        <v>0.33</v>
      </c>
      <c r="K416">
        <f t="shared" ref="K416:K479" si="232">IF(B416="","",ROUND(((C416&gt;=5)+(D416&gt;=5)+(E416&gt;=5))/3,2))</f>
        <v>0.67</v>
      </c>
      <c r="L416">
        <f t="shared" ref="L416:L479" si="233">IF(B416="","",ROUND((ISNUMBER(FIND(C416,"2357"))+ISNUMBER(FIND(D416,"2357"))+ISNUMBER(FIND(E416,"2357")))/3,2))</f>
        <v>0.67</v>
      </c>
      <c r="M416">
        <f t="shared" ref="M416:M479" si="234">IF(B416="","",((ABS(C416-D416)=1)+(ABS(D416-E416)=1)+(ABS(C416-E416)=1)))</f>
        <v>1</v>
      </c>
      <c r="N416">
        <f t="shared" ref="N416:N479" si="235">IF(B416="","",ROUND(I416*0.4+J416*0.2+K416*0.2+L416*0.1+(3-M416)*0.1,2))</f>
        <v>1.77</v>
      </c>
      <c r="O416" t="str">
        <f t="shared" si="223"/>
        <v>标准</v>
      </c>
      <c r="P416" t="str">
        <f t="shared" ref="P416:P479" si="236">IF(B416="","",IF(N416&lt;=1.5,"极紧凑",IF(N416&lt;=3,"紧凑",IF(N416&lt;=5,"标准","松散"))))</f>
        <v>紧凑</v>
      </c>
      <c r="Q416" t="str">
        <f t="shared" ref="Q416:Q479" si="237">IF(B416="","",IF(AND(C416&gt;=0,C416&lt;=9,D416&gt;=0,D416&lt;=9,E416&gt;=0,E416&lt;=9),"✓有效","✗无效"))</f>
        <v>✓有效</v>
      </c>
      <c r="R416" t="str">
        <f t="shared" ref="R416:R479" si="238">IF(B416="","",IF(OR(I416&gt;10,I416&lt;0.1),"异常","正常"))</f>
        <v>正常</v>
      </c>
    </row>
    <row r="417" ht="14.25" customHeight="1" spans="1:18">
      <c r="A417" s="10">
        <v>2024037</v>
      </c>
      <c r="B417" s="12" t="s">
        <v>380</v>
      </c>
      <c r="C417">
        <f t="shared" si="224"/>
        <v>4</v>
      </c>
      <c r="D417">
        <f t="shared" si="225"/>
        <v>6</v>
      </c>
      <c r="E417">
        <f t="shared" si="226"/>
        <v>0</v>
      </c>
      <c r="F417">
        <f t="shared" si="227"/>
        <v>10</v>
      </c>
      <c r="G417">
        <f t="shared" si="228"/>
        <v>0</v>
      </c>
      <c r="H417">
        <f t="shared" si="229"/>
        <v>6</v>
      </c>
      <c r="I417">
        <f t="shared" si="230"/>
        <v>1.67</v>
      </c>
      <c r="J417">
        <f t="shared" si="231"/>
        <v>0</v>
      </c>
      <c r="K417">
        <f t="shared" si="232"/>
        <v>0.33</v>
      </c>
      <c r="L417">
        <f t="shared" si="233"/>
        <v>0</v>
      </c>
      <c r="M417">
        <f t="shared" si="234"/>
        <v>0</v>
      </c>
      <c r="N417">
        <f t="shared" si="235"/>
        <v>1.03</v>
      </c>
      <c r="O417" t="str">
        <f t="shared" ref="O417:O480" si="239">IF(I417=0.1,"极紧凑",IF(I417&gt;3.5,"紧凑",IF(AND(I417&gt;=2,I417&lt;=3.5),"标准",IF(AND(I417&gt;=1,I417&lt;2),"松散",""))))</f>
        <v>松散</v>
      </c>
      <c r="P417" t="str">
        <f t="shared" si="236"/>
        <v>极紧凑</v>
      </c>
      <c r="Q417" t="str">
        <f t="shared" si="237"/>
        <v>✓有效</v>
      </c>
      <c r="R417" t="str">
        <f t="shared" si="238"/>
        <v>正常</v>
      </c>
    </row>
    <row r="418" ht="14.25" customHeight="1" spans="1:18">
      <c r="A418" s="10">
        <v>2024038</v>
      </c>
      <c r="B418" s="12" t="s">
        <v>381</v>
      </c>
      <c r="C418">
        <f t="shared" si="224"/>
        <v>6</v>
      </c>
      <c r="D418">
        <f t="shared" si="225"/>
        <v>7</v>
      </c>
      <c r="E418">
        <f t="shared" si="226"/>
        <v>6</v>
      </c>
      <c r="F418">
        <f t="shared" si="227"/>
        <v>19</v>
      </c>
      <c r="G418">
        <f t="shared" si="228"/>
        <v>9</v>
      </c>
      <c r="H418">
        <f t="shared" si="229"/>
        <v>1</v>
      </c>
      <c r="I418">
        <f t="shared" si="230"/>
        <v>19</v>
      </c>
      <c r="J418">
        <f t="shared" si="231"/>
        <v>0.33</v>
      </c>
      <c r="K418">
        <f t="shared" si="232"/>
        <v>1</v>
      </c>
      <c r="L418">
        <f t="shared" si="233"/>
        <v>0.33</v>
      </c>
      <c r="M418">
        <f t="shared" si="234"/>
        <v>2</v>
      </c>
      <c r="N418">
        <f t="shared" si="235"/>
        <v>8</v>
      </c>
      <c r="O418" t="str">
        <f t="shared" si="239"/>
        <v>紧凑</v>
      </c>
      <c r="P418" t="str">
        <f t="shared" si="236"/>
        <v>松散</v>
      </c>
      <c r="Q418" t="str">
        <f t="shared" si="237"/>
        <v>✓有效</v>
      </c>
      <c r="R418" t="str">
        <f t="shared" si="238"/>
        <v>异常</v>
      </c>
    </row>
    <row r="419" ht="14.25" customHeight="1" spans="1:18">
      <c r="A419" s="10">
        <v>2024039</v>
      </c>
      <c r="B419" s="12" t="s">
        <v>331</v>
      </c>
      <c r="C419">
        <f t="shared" si="224"/>
        <v>2</v>
      </c>
      <c r="D419">
        <f t="shared" si="225"/>
        <v>2</v>
      </c>
      <c r="E419">
        <f t="shared" si="226"/>
        <v>8</v>
      </c>
      <c r="F419">
        <f t="shared" si="227"/>
        <v>12</v>
      </c>
      <c r="G419">
        <f t="shared" si="228"/>
        <v>2</v>
      </c>
      <c r="H419">
        <f t="shared" si="229"/>
        <v>6</v>
      </c>
      <c r="I419">
        <f t="shared" si="230"/>
        <v>2</v>
      </c>
      <c r="J419">
        <f t="shared" si="231"/>
        <v>0</v>
      </c>
      <c r="K419">
        <f t="shared" si="232"/>
        <v>0.33</v>
      </c>
      <c r="L419">
        <f t="shared" si="233"/>
        <v>0.67</v>
      </c>
      <c r="M419">
        <f t="shared" si="234"/>
        <v>0</v>
      </c>
      <c r="N419">
        <f t="shared" si="235"/>
        <v>1.23</v>
      </c>
      <c r="O419" t="str">
        <f t="shared" si="239"/>
        <v>标准</v>
      </c>
      <c r="P419" t="str">
        <f t="shared" si="236"/>
        <v>极紧凑</v>
      </c>
      <c r="Q419" t="str">
        <f t="shared" si="237"/>
        <v>✓有效</v>
      </c>
      <c r="R419" t="str">
        <f t="shared" si="238"/>
        <v>正常</v>
      </c>
    </row>
    <row r="420" ht="14.25" customHeight="1" spans="1:18">
      <c r="A420" s="10">
        <v>2024040</v>
      </c>
      <c r="B420" s="12" t="s">
        <v>382</v>
      </c>
      <c r="C420">
        <f t="shared" si="224"/>
        <v>7</v>
      </c>
      <c r="D420">
        <f t="shared" si="225"/>
        <v>3</v>
      </c>
      <c r="E420">
        <f t="shared" si="226"/>
        <v>6</v>
      </c>
      <c r="F420">
        <f t="shared" si="227"/>
        <v>16</v>
      </c>
      <c r="G420">
        <f t="shared" si="228"/>
        <v>6</v>
      </c>
      <c r="H420">
        <f t="shared" si="229"/>
        <v>4</v>
      </c>
      <c r="I420">
        <f t="shared" si="230"/>
        <v>4</v>
      </c>
      <c r="J420">
        <f t="shared" si="231"/>
        <v>0.67</v>
      </c>
      <c r="K420">
        <f t="shared" si="232"/>
        <v>0.67</v>
      </c>
      <c r="L420">
        <f t="shared" si="233"/>
        <v>0.67</v>
      </c>
      <c r="M420">
        <f t="shared" si="234"/>
        <v>1</v>
      </c>
      <c r="N420">
        <f t="shared" si="235"/>
        <v>2.14</v>
      </c>
      <c r="O420" t="str">
        <f t="shared" si="239"/>
        <v>紧凑</v>
      </c>
      <c r="P420" t="str">
        <f t="shared" si="236"/>
        <v>紧凑</v>
      </c>
      <c r="Q420" t="str">
        <f t="shared" si="237"/>
        <v>✓有效</v>
      </c>
      <c r="R420" t="str">
        <f t="shared" si="238"/>
        <v>正常</v>
      </c>
    </row>
    <row r="421" ht="14.25" customHeight="1" spans="1:18">
      <c r="A421" s="10">
        <v>2024041</v>
      </c>
      <c r="B421" s="12" t="s">
        <v>383</v>
      </c>
      <c r="C421">
        <f t="shared" si="224"/>
        <v>3</v>
      </c>
      <c r="D421">
        <f t="shared" si="225"/>
        <v>1</v>
      </c>
      <c r="E421">
        <f t="shared" si="226"/>
        <v>5</v>
      </c>
      <c r="F421">
        <f t="shared" si="227"/>
        <v>9</v>
      </c>
      <c r="G421">
        <f t="shared" si="228"/>
        <v>9</v>
      </c>
      <c r="H421">
        <f t="shared" si="229"/>
        <v>4</v>
      </c>
      <c r="I421">
        <f t="shared" si="230"/>
        <v>2.25</v>
      </c>
      <c r="J421">
        <f t="shared" si="231"/>
        <v>1</v>
      </c>
      <c r="K421">
        <f t="shared" si="232"/>
        <v>0.33</v>
      </c>
      <c r="L421">
        <f t="shared" si="233"/>
        <v>0.67</v>
      </c>
      <c r="M421">
        <f t="shared" si="234"/>
        <v>0</v>
      </c>
      <c r="N421">
        <f t="shared" si="235"/>
        <v>1.53</v>
      </c>
      <c r="O421" t="str">
        <f t="shared" si="239"/>
        <v>标准</v>
      </c>
      <c r="P421" t="str">
        <f t="shared" si="236"/>
        <v>紧凑</v>
      </c>
      <c r="Q421" t="str">
        <f t="shared" si="237"/>
        <v>✓有效</v>
      </c>
      <c r="R421" t="str">
        <f t="shared" si="238"/>
        <v>正常</v>
      </c>
    </row>
    <row r="422" ht="14.25" customHeight="1" spans="1:18">
      <c r="A422" s="10">
        <v>2024042</v>
      </c>
      <c r="B422" s="12" t="s">
        <v>140</v>
      </c>
      <c r="C422">
        <f t="shared" si="224"/>
        <v>0</v>
      </c>
      <c r="D422">
        <f t="shared" si="225"/>
        <v>8</v>
      </c>
      <c r="E422">
        <f t="shared" si="226"/>
        <v>6</v>
      </c>
      <c r="F422">
        <f t="shared" si="227"/>
        <v>14</v>
      </c>
      <c r="G422">
        <f t="shared" si="228"/>
        <v>4</v>
      </c>
      <c r="H422">
        <f t="shared" si="229"/>
        <v>8</v>
      </c>
      <c r="I422">
        <f t="shared" si="230"/>
        <v>1.75</v>
      </c>
      <c r="J422">
        <f t="shared" si="231"/>
        <v>0</v>
      </c>
      <c r="K422">
        <f t="shared" si="232"/>
        <v>0.67</v>
      </c>
      <c r="L422">
        <f t="shared" si="233"/>
        <v>0</v>
      </c>
      <c r="M422">
        <f t="shared" si="234"/>
        <v>0</v>
      </c>
      <c r="N422">
        <f t="shared" si="235"/>
        <v>1.13</v>
      </c>
      <c r="O422" t="str">
        <f t="shared" si="239"/>
        <v>松散</v>
      </c>
      <c r="P422" t="str">
        <f t="shared" si="236"/>
        <v>极紧凑</v>
      </c>
      <c r="Q422" t="str">
        <f t="shared" si="237"/>
        <v>✓有效</v>
      </c>
      <c r="R422" t="str">
        <f t="shared" si="238"/>
        <v>正常</v>
      </c>
    </row>
    <row r="423" ht="14.25" customHeight="1" spans="1:18">
      <c r="A423" s="10">
        <v>2024043</v>
      </c>
      <c r="B423" s="12" t="s">
        <v>384</v>
      </c>
      <c r="C423">
        <f t="shared" si="224"/>
        <v>2</v>
      </c>
      <c r="D423">
        <f t="shared" si="225"/>
        <v>5</v>
      </c>
      <c r="E423">
        <f t="shared" si="226"/>
        <v>7</v>
      </c>
      <c r="F423">
        <f t="shared" si="227"/>
        <v>14</v>
      </c>
      <c r="G423">
        <f t="shared" si="228"/>
        <v>4</v>
      </c>
      <c r="H423">
        <f t="shared" si="229"/>
        <v>5</v>
      </c>
      <c r="I423">
        <f t="shared" si="230"/>
        <v>2.8</v>
      </c>
      <c r="J423">
        <f t="shared" si="231"/>
        <v>0.67</v>
      </c>
      <c r="K423">
        <f t="shared" si="232"/>
        <v>0.67</v>
      </c>
      <c r="L423">
        <f t="shared" si="233"/>
        <v>1</v>
      </c>
      <c r="M423">
        <f t="shared" si="234"/>
        <v>0</v>
      </c>
      <c r="N423">
        <f t="shared" si="235"/>
        <v>1.79</v>
      </c>
      <c r="O423" t="str">
        <f t="shared" si="239"/>
        <v>标准</v>
      </c>
      <c r="P423" t="str">
        <f t="shared" si="236"/>
        <v>紧凑</v>
      </c>
      <c r="Q423" t="str">
        <f t="shared" si="237"/>
        <v>✓有效</v>
      </c>
      <c r="R423" t="str">
        <f t="shared" si="238"/>
        <v>正常</v>
      </c>
    </row>
    <row r="424" ht="14.25" customHeight="1" spans="1:18">
      <c r="A424" s="10">
        <v>2024044</v>
      </c>
      <c r="B424" s="12" t="s">
        <v>385</v>
      </c>
      <c r="C424">
        <f t="shared" si="224"/>
        <v>3</v>
      </c>
      <c r="D424">
        <f t="shared" si="225"/>
        <v>6</v>
      </c>
      <c r="E424">
        <f t="shared" si="226"/>
        <v>3</v>
      </c>
      <c r="F424">
        <f t="shared" si="227"/>
        <v>12</v>
      </c>
      <c r="G424">
        <f t="shared" si="228"/>
        <v>2</v>
      </c>
      <c r="H424">
        <f t="shared" si="229"/>
        <v>3</v>
      </c>
      <c r="I424">
        <f t="shared" si="230"/>
        <v>4</v>
      </c>
      <c r="J424">
        <f t="shared" si="231"/>
        <v>0.67</v>
      </c>
      <c r="K424">
        <f t="shared" si="232"/>
        <v>0.33</v>
      </c>
      <c r="L424">
        <f t="shared" si="233"/>
        <v>0.67</v>
      </c>
      <c r="M424">
        <f t="shared" si="234"/>
        <v>0</v>
      </c>
      <c r="N424">
        <f t="shared" si="235"/>
        <v>2.17</v>
      </c>
      <c r="O424" t="str">
        <f t="shared" si="239"/>
        <v>紧凑</v>
      </c>
      <c r="P424" t="str">
        <f t="shared" si="236"/>
        <v>紧凑</v>
      </c>
      <c r="Q424" t="str">
        <f t="shared" si="237"/>
        <v>✓有效</v>
      </c>
      <c r="R424" t="str">
        <f t="shared" si="238"/>
        <v>正常</v>
      </c>
    </row>
    <row r="425" ht="14.25" customHeight="1" spans="1:18">
      <c r="A425" s="10">
        <v>2024045</v>
      </c>
      <c r="B425" s="12" t="s">
        <v>386</v>
      </c>
      <c r="C425">
        <f t="shared" si="224"/>
        <v>4</v>
      </c>
      <c r="D425">
        <f t="shared" si="225"/>
        <v>0</v>
      </c>
      <c r="E425">
        <f t="shared" si="226"/>
        <v>6</v>
      </c>
      <c r="F425">
        <f t="shared" si="227"/>
        <v>10</v>
      </c>
      <c r="G425">
        <f t="shared" si="228"/>
        <v>0</v>
      </c>
      <c r="H425">
        <f t="shared" si="229"/>
        <v>6</v>
      </c>
      <c r="I425">
        <f t="shared" si="230"/>
        <v>1.67</v>
      </c>
      <c r="J425">
        <f t="shared" si="231"/>
        <v>0</v>
      </c>
      <c r="K425">
        <f t="shared" si="232"/>
        <v>0.33</v>
      </c>
      <c r="L425">
        <f t="shared" si="233"/>
        <v>0</v>
      </c>
      <c r="M425">
        <f t="shared" si="234"/>
        <v>0</v>
      </c>
      <c r="N425">
        <f t="shared" si="235"/>
        <v>1.03</v>
      </c>
      <c r="O425" t="str">
        <f t="shared" si="239"/>
        <v>松散</v>
      </c>
      <c r="P425" t="str">
        <f t="shared" si="236"/>
        <v>极紧凑</v>
      </c>
      <c r="Q425" t="str">
        <f t="shared" si="237"/>
        <v>✓有效</v>
      </c>
      <c r="R425" t="str">
        <f t="shared" si="238"/>
        <v>正常</v>
      </c>
    </row>
    <row r="426" ht="14.25" customHeight="1" spans="1:18">
      <c r="A426" s="10">
        <v>2024046</v>
      </c>
      <c r="B426" s="12" t="s">
        <v>231</v>
      </c>
      <c r="C426">
        <f t="shared" si="224"/>
        <v>7</v>
      </c>
      <c r="D426">
        <f t="shared" si="225"/>
        <v>3</v>
      </c>
      <c r="E426">
        <f t="shared" si="226"/>
        <v>0</v>
      </c>
      <c r="F426">
        <f t="shared" si="227"/>
        <v>10</v>
      </c>
      <c r="G426">
        <f t="shared" si="228"/>
        <v>0</v>
      </c>
      <c r="H426">
        <f t="shared" si="229"/>
        <v>7</v>
      </c>
      <c r="I426">
        <f t="shared" si="230"/>
        <v>1.43</v>
      </c>
      <c r="J426">
        <f t="shared" si="231"/>
        <v>0.67</v>
      </c>
      <c r="K426">
        <f t="shared" si="232"/>
        <v>0.33</v>
      </c>
      <c r="L426">
        <f t="shared" si="233"/>
        <v>0.67</v>
      </c>
      <c r="M426">
        <f t="shared" si="234"/>
        <v>0</v>
      </c>
      <c r="N426">
        <f t="shared" si="235"/>
        <v>1.14</v>
      </c>
      <c r="O426" t="str">
        <f t="shared" si="239"/>
        <v>松散</v>
      </c>
      <c r="P426" t="str">
        <f t="shared" si="236"/>
        <v>极紧凑</v>
      </c>
      <c r="Q426" t="str">
        <f t="shared" si="237"/>
        <v>✓有效</v>
      </c>
      <c r="R426" t="str">
        <f t="shared" si="238"/>
        <v>正常</v>
      </c>
    </row>
    <row r="427" ht="14.25" customHeight="1" spans="1:18">
      <c r="A427" s="10">
        <v>2024047</v>
      </c>
      <c r="B427" s="12" t="s">
        <v>387</v>
      </c>
      <c r="C427">
        <f t="shared" si="224"/>
        <v>4</v>
      </c>
      <c r="D427">
        <f t="shared" si="225"/>
        <v>2</v>
      </c>
      <c r="E427">
        <f t="shared" si="226"/>
        <v>0</v>
      </c>
      <c r="F427">
        <f t="shared" si="227"/>
        <v>6</v>
      </c>
      <c r="G427">
        <f t="shared" si="228"/>
        <v>6</v>
      </c>
      <c r="H427">
        <f t="shared" si="229"/>
        <v>4</v>
      </c>
      <c r="I427">
        <f t="shared" si="230"/>
        <v>1.5</v>
      </c>
      <c r="J427">
        <f t="shared" si="231"/>
        <v>0</v>
      </c>
      <c r="K427">
        <f t="shared" si="232"/>
        <v>0</v>
      </c>
      <c r="L427">
        <f t="shared" si="233"/>
        <v>0.33</v>
      </c>
      <c r="M427">
        <f t="shared" si="234"/>
        <v>0</v>
      </c>
      <c r="N427">
        <f t="shared" si="235"/>
        <v>0.93</v>
      </c>
      <c r="O427" t="str">
        <f t="shared" si="239"/>
        <v>松散</v>
      </c>
      <c r="P427" t="str">
        <f t="shared" si="236"/>
        <v>极紧凑</v>
      </c>
      <c r="Q427" t="str">
        <f t="shared" si="237"/>
        <v>✓有效</v>
      </c>
      <c r="R427" t="str">
        <f t="shared" si="238"/>
        <v>正常</v>
      </c>
    </row>
    <row r="428" ht="14.25" customHeight="1" spans="1:18">
      <c r="A428" s="10">
        <v>2024048</v>
      </c>
      <c r="B428" s="12" t="s">
        <v>388</v>
      </c>
      <c r="C428">
        <f t="shared" si="224"/>
        <v>1</v>
      </c>
      <c r="D428">
        <f t="shared" si="225"/>
        <v>2</v>
      </c>
      <c r="E428">
        <f t="shared" si="226"/>
        <v>8</v>
      </c>
      <c r="F428">
        <f t="shared" si="227"/>
        <v>11</v>
      </c>
      <c r="G428">
        <f t="shared" si="228"/>
        <v>1</v>
      </c>
      <c r="H428">
        <f t="shared" si="229"/>
        <v>7</v>
      </c>
      <c r="I428">
        <f t="shared" si="230"/>
        <v>1.57</v>
      </c>
      <c r="J428">
        <f t="shared" si="231"/>
        <v>0.33</v>
      </c>
      <c r="K428">
        <f t="shared" si="232"/>
        <v>0.33</v>
      </c>
      <c r="L428">
        <f t="shared" si="233"/>
        <v>0.33</v>
      </c>
      <c r="M428">
        <f t="shared" si="234"/>
        <v>1</v>
      </c>
      <c r="N428">
        <f t="shared" si="235"/>
        <v>0.99</v>
      </c>
      <c r="O428" t="str">
        <f t="shared" si="239"/>
        <v>松散</v>
      </c>
      <c r="P428" t="str">
        <f t="shared" si="236"/>
        <v>极紧凑</v>
      </c>
      <c r="Q428" t="str">
        <f t="shared" si="237"/>
        <v>✓有效</v>
      </c>
      <c r="R428" t="str">
        <f t="shared" si="238"/>
        <v>正常</v>
      </c>
    </row>
    <row r="429" ht="14.25" customHeight="1" spans="1:18">
      <c r="A429" s="10">
        <v>2024049</v>
      </c>
      <c r="B429" s="12" t="s">
        <v>124</v>
      </c>
      <c r="C429">
        <f t="shared" si="224"/>
        <v>8</v>
      </c>
      <c r="D429">
        <f t="shared" si="225"/>
        <v>1</v>
      </c>
      <c r="E429">
        <f t="shared" si="226"/>
        <v>1</v>
      </c>
      <c r="F429">
        <f t="shared" si="227"/>
        <v>10</v>
      </c>
      <c r="G429">
        <f t="shared" si="228"/>
        <v>0</v>
      </c>
      <c r="H429">
        <f t="shared" si="229"/>
        <v>7</v>
      </c>
      <c r="I429">
        <f t="shared" si="230"/>
        <v>1.43</v>
      </c>
      <c r="J429">
        <f t="shared" si="231"/>
        <v>0.67</v>
      </c>
      <c r="K429">
        <f t="shared" si="232"/>
        <v>0.33</v>
      </c>
      <c r="L429">
        <f t="shared" si="233"/>
        <v>0</v>
      </c>
      <c r="M429">
        <f t="shared" si="234"/>
        <v>0</v>
      </c>
      <c r="N429">
        <f t="shared" si="235"/>
        <v>1.07</v>
      </c>
      <c r="O429" t="str">
        <f t="shared" si="239"/>
        <v>松散</v>
      </c>
      <c r="P429" t="str">
        <f t="shared" si="236"/>
        <v>极紧凑</v>
      </c>
      <c r="Q429" t="str">
        <f t="shared" si="237"/>
        <v>✓有效</v>
      </c>
      <c r="R429" t="str">
        <f t="shared" si="238"/>
        <v>正常</v>
      </c>
    </row>
    <row r="430" ht="14.25" customHeight="1" spans="1:18">
      <c r="A430" s="10">
        <v>2024050</v>
      </c>
      <c r="B430" s="12" t="s">
        <v>389</v>
      </c>
      <c r="C430">
        <f t="shared" si="224"/>
        <v>6</v>
      </c>
      <c r="D430">
        <f t="shared" si="225"/>
        <v>3</v>
      </c>
      <c r="E430">
        <f t="shared" si="226"/>
        <v>4</v>
      </c>
      <c r="F430">
        <f t="shared" si="227"/>
        <v>13</v>
      </c>
      <c r="G430">
        <f t="shared" si="228"/>
        <v>3</v>
      </c>
      <c r="H430">
        <f t="shared" si="229"/>
        <v>3</v>
      </c>
      <c r="I430">
        <f t="shared" si="230"/>
        <v>4.33</v>
      </c>
      <c r="J430">
        <f t="shared" si="231"/>
        <v>0.33</v>
      </c>
      <c r="K430">
        <f t="shared" si="232"/>
        <v>0.33</v>
      </c>
      <c r="L430">
        <f t="shared" si="233"/>
        <v>0.33</v>
      </c>
      <c r="M430">
        <f t="shared" si="234"/>
        <v>1</v>
      </c>
      <c r="N430">
        <f t="shared" si="235"/>
        <v>2.1</v>
      </c>
      <c r="O430" t="str">
        <f t="shared" si="239"/>
        <v>紧凑</v>
      </c>
      <c r="P430" t="str">
        <f t="shared" si="236"/>
        <v>紧凑</v>
      </c>
      <c r="Q430" t="str">
        <f t="shared" si="237"/>
        <v>✓有效</v>
      </c>
      <c r="R430" t="str">
        <f t="shared" si="238"/>
        <v>正常</v>
      </c>
    </row>
    <row r="431" ht="14.25" customHeight="1" spans="1:18">
      <c r="A431" s="10">
        <v>2024051</v>
      </c>
      <c r="B431" s="12" t="s">
        <v>390</v>
      </c>
      <c r="C431">
        <f t="shared" si="224"/>
        <v>3</v>
      </c>
      <c r="D431">
        <f t="shared" si="225"/>
        <v>4</v>
      </c>
      <c r="E431">
        <f t="shared" si="226"/>
        <v>0</v>
      </c>
      <c r="F431">
        <f t="shared" si="227"/>
        <v>7</v>
      </c>
      <c r="G431">
        <f t="shared" si="228"/>
        <v>7</v>
      </c>
      <c r="H431">
        <f t="shared" si="229"/>
        <v>4</v>
      </c>
      <c r="I431">
        <f t="shared" si="230"/>
        <v>1.75</v>
      </c>
      <c r="J431">
        <f t="shared" si="231"/>
        <v>0.33</v>
      </c>
      <c r="K431">
        <f t="shared" si="232"/>
        <v>0</v>
      </c>
      <c r="L431">
        <f t="shared" si="233"/>
        <v>0.33</v>
      </c>
      <c r="M431">
        <f t="shared" si="234"/>
        <v>1</v>
      </c>
      <c r="N431">
        <f t="shared" si="235"/>
        <v>1</v>
      </c>
      <c r="O431" t="str">
        <f t="shared" si="239"/>
        <v>松散</v>
      </c>
      <c r="P431" t="str">
        <f t="shared" si="236"/>
        <v>极紧凑</v>
      </c>
      <c r="Q431" t="str">
        <f t="shared" si="237"/>
        <v>✓有效</v>
      </c>
      <c r="R431" t="str">
        <f t="shared" si="238"/>
        <v>正常</v>
      </c>
    </row>
    <row r="432" ht="14.25" customHeight="1" spans="1:18">
      <c r="A432" s="10">
        <v>2024052</v>
      </c>
      <c r="B432" s="12" t="s">
        <v>133</v>
      </c>
      <c r="C432">
        <f t="shared" si="224"/>
        <v>3</v>
      </c>
      <c r="D432">
        <f t="shared" si="225"/>
        <v>1</v>
      </c>
      <c r="E432">
        <f t="shared" si="226"/>
        <v>0</v>
      </c>
      <c r="F432">
        <f t="shared" si="227"/>
        <v>4</v>
      </c>
      <c r="G432">
        <f t="shared" si="228"/>
        <v>4</v>
      </c>
      <c r="H432">
        <f t="shared" si="229"/>
        <v>3</v>
      </c>
      <c r="I432">
        <f t="shared" si="230"/>
        <v>1.33</v>
      </c>
      <c r="J432">
        <f t="shared" si="231"/>
        <v>0.67</v>
      </c>
      <c r="K432">
        <f t="shared" si="232"/>
        <v>0</v>
      </c>
      <c r="L432">
        <f t="shared" si="233"/>
        <v>0.33</v>
      </c>
      <c r="M432">
        <f t="shared" si="234"/>
        <v>1</v>
      </c>
      <c r="N432">
        <f t="shared" si="235"/>
        <v>0.9</v>
      </c>
      <c r="O432" t="str">
        <f t="shared" si="239"/>
        <v>松散</v>
      </c>
      <c r="P432" t="str">
        <f t="shared" si="236"/>
        <v>极紧凑</v>
      </c>
      <c r="Q432" t="str">
        <f t="shared" si="237"/>
        <v>✓有效</v>
      </c>
      <c r="R432" t="str">
        <f t="shared" si="238"/>
        <v>正常</v>
      </c>
    </row>
    <row r="433" ht="14.25" customHeight="1" spans="1:18">
      <c r="A433" s="10">
        <v>2024053</v>
      </c>
      <c r="B433" s="12" t="s">
        <v>391</v>
      </c>
      <c r="C433">
        <f t="shared" si="224"/>
        <v>4</v>
      </c>
      <c r="D433">
        <f t="shared" si="225"/>
        <v>7</v>
      </c>
      <c r="E433">
        <f t="shared" si="226"/>
        <v>8</v>
      </c>
      <c r="F433">
        <f t="shared" si="227"/>
        <v>19</v>
      </c>
      <c r="G433">
        <f t="shared" si="228"/>
        <v>9</v>
      </c>
      <c r="H433">
        <f t="shared" si="229"/>
        <v>4</v>
      </c>
      <c r="I433">
        <f t="shared" si="230"/>
        <v>4.75</v>
      </c>
      <c r="J433">
        <f t="shared" si="231"/>
        <v>0.33</v>
      </c>
      <c r="K433">
        <f t="shared" si="232"/>
        <v>0.67</v>
      </c>
      <c r="L433">
        <f t="shared" si="233"/>
        <v>0.33</v>
      </c>
      <c r="M433">
        <f t="shared" si="234"/>
        <v>1</v>
      </c>
      <c r="N433">
        <f t="shared" si="235"/>
        <v>2.33</v>
      </c>
      <c r="O433" t="str">
        <f t="shared" si="239"/>
        <v>紧凑</v>
      </c>
      <c r="P433" t="str">
        <f t="shared" si="236"/>
        <v>紧凑</v>
      </c>
      <c r="Q433" t="str">
        <f t="shared" si="237"/>
        <v>✓有效</v>
      </c>
      <c r="R433" t="str">
        <f t="shared" si="238"/>
        <v>正常</v>
      </c>
    </row>
    <row r="434" ht="14.25" customHeight="1" spans="1:18">
      <c r="A434" s="10">
        <v>2024054</v>
      </c>
      <c r="B434" s="12" t="s">
        <v>392</v>
      </c>
      <c r="C434">
        <f t="shared" si="224"/>
        <v>1</v>
      </c>
      <c r="D434">
        <f t="shared" si="225"/>
        <v>9</v>
      </c>
      <c r="E434">
        <f t="shared" si="226"/>
        <v>2</v>
      </c>
      <c r="F434">
        <f t="shared" si="227"/>
        <v>12</v>
      </c>
      <c r="G434">
        <f t="shared" si="228"/>
        <v>2</v>
      </c>
      <c r="H434">
        <f t="shared" si="229"/>
        <v>8</v>
      </c>
      <c r="I434">
        <f t="shared" si="230"/>
        <v>1.5</v>
      </c>
      <c r="J434">
        <f t="shared" si="231"/>
        <v>0.67</v>
      </c>
      <c r="K434">
        <f t="shared" si="232"/>
        <v>0.33</v>
      </c>
      <c r="L434">
        <f t="shared" si="233"/>
        <v>0.33</v>
      </c>
      <c r="M434">
        <f t="shared" si="234"/>
        <v>1</v>
      </c>
      <c r="N434">
        <f t="shared" si="235"/>
        <v>1.03</v>
      </c>
      <c r="O434" t="str">
        <f t="shared" si="239"/>
        <v>松散</v>
      </c>
      <c r="P434" t="str">
        <f t="shared" si="236"/>
        <v>极紧凑</v>
      </c>
      <c r="Q434" t="str">
        <f t="shared" si="237"/>
        <v>✓有效</v>
      </c>
      <c r="R434" t="str">
        <f t="shared" si="238"/>
        <v>正常</v>
      </c>
    </row>
    <row r="435" ht="14.25" customHeight="1" spans="1:18">
      <c r="A435" s="10">
        <v>2024055</v>
      </c>
      <c r="B435" s="12" t="s">
        <v>393</v>
      </c>
      <c r="C435">
        <f t="shared" si="224"/>
        <v>5</v>
      </c>
      <c r="D435">
        <f t="shared" si="225"/>
        <v>8</v>
      </c>
      <c r="E435">
        <f t="shared" si="226"/>
        <v>9</v>
      </c>
      <c r="F435">
        <f t="shared" si="227"/>
        <v>22</v>
      </c>
      <c r="G435">
        <f t="shared" si="228"/>
        <v>2</v>
      </c>
      <c r="H435">
        <f t="shared" si="229"/>
        <v>4</v>
      </c>
      <c r="I435">
        <f t="shared" si="230"/>
        <v>5.5</v>
      </c>
      <c r="J435">
        <f t="shared" si="231"/>
        <v>0.67</v>
      </c>
      <c r="K435">
        <f t="shared" si="232"/>
        <v>1</v>
      </c>
      <c r="L435">
        <f t="shared" si="233"/>
        <v>0.33</v>
      </c>
      <c r="M435">
        <f t="shared" si="234"/>
        <v>1</v>
      </c>
      <c r="N435">
        <f t="shared" si="235"/>
        <v>2.77</v>
      </c>
      <c r="O435" t="str">
        <f t="shared" si="239"/>
        <v>紧凑</v>
      </c>
      <c r="P435" t="str">
        <f t="shared" si="236"/>
        <v>紧凑</v>
      </c>
      <c r="Q435" t="str">
        <f t="shared" si="237"/>
        <v>✓有效</v>
      </c>
      <c r="R435" t="str">
        <f t="shared" si="238"/>
        <v>正常</v>
      </c>
    </row>
    <row r="436" ht="14.25" customHeight="1" spans="1:18">
      <c r="A436" s="10">
        <v>2024056</v>
      </c>
      <c r="B436" s="12" t="s">
        <v>394</v>
      </c>
      <c r="C436">
        <f t="shared" si="224"/>
        <v>5</v>
      </c>
      <c r="D436">
        <f t="shared" si="225"/>
        <v>4</v>
      </c>
      <c r="E436">
        <f t="shared" si="226"/>
        <v>2</v>
      </c>
      <c r="F436">
        <f t="shared" si="227"/>
        <v>11</v>
      </c>
      <c r="G436">
        <f t="shared" si="228"/>
        <v>1</v>
      </c>
      <c r="H436">
        <f t="shared" si="229"/>
        <v>3</v>
      </c>
      <c r="I436">
        <f t="shared" si="230"/>
        <v>3.67</v>
      </c>
      <c r="J436">
        <f t="shared" si="231"/>
        <v>0.33</v>
      </c>
      <c r="K436">
        <f t="shared" si="232"/>
        <v>0.33</v>
      </c>
      <c r="L436">
        <f t="shared" si="233"/>
        <v>0.67</v>
      </c>
      <c r="M436">
        <f t="shared" si="234"/>
        <v>1</v>
      </c>
      <c r="N436">
        <f t="shared" si="235"/>
        <v>1.87</v>
      </c>
      <c r="O436" t="str">
        <f t="shared" si="239"/>
        <v>紧凑</v>
      </c>
      <c r="P436" t="str">
        <f t="shared" si="236"/>
        <v>紧凑</v>
      </c>
      <c r="Q436" t="str">
        <f t="shared" si="237"/>
        <v>✓有效</v>
      </c>
      <c r="R436" t="str">
        <f t="shared" si="238"/>
        <v>正常</v>
      </c>
    </row>
    <row r="437" ht="14.25" customHeight="1" spans="1:18">
      <c r="A437" s="10">
        <v>2024057</v>
      </c>
      <c r="B437" s="12" t="s">
        <v>395</v>
      </c>
      <c r="C437">
        <f t="shared" si="224"/>
        <v>8</v>
      </c>
      <c r="D437">
        <f t="shared" si="225"/>
        <v>0</v>
      </c>
      <c r="E437">
        <f t="shared" si="226"/>
        <v>5</v>
      </c>
      <c r="F437">
        <f t="shared" si="227"/>
        <v>13</v>
      </c>
      <c r="G437">
        <f t="shared" si="228"/>
        <v>3</v>
      </c>
      <c r="H437">
        <f t="shared" si="229"/>
        <v>8</v>
      </c>
      <c r="I437">
        <f t="shared" si="230"/>
        <v>1.63</v>
      </c>
      <c r="J437">
        <f t="shared" si="231"/>
        <v>0.33</v>
      </c>
      <c r="K437">
        <f t="shared" si="232"/>
        <v>0.67</v>
      </c>
      <c r="L437">
        <f t="shared" si="233"/>
        <v>0.33</v>
      </c>
      <c r="M437">
        <f t="shared" si="234"/>
        <v>0</v>
      </c>
      <c r="N437">
        <f t="shared" si="235"/>
        <v>1.19</v>
      </c>
      <c r="O437" t="str">
        <f t="shared" si="239"/>
        <v>松散</v>
      </c>
      <c r="P437" t="str">
        <f t="shared" si="236"/>
        <v>极紧凑</v>
      </c>
      <c r="Q437" t="str">
        <f t="shared" si="237"/>
        <v>✓有效</v>
      </c>
      <c r="R437" t="str">
        <f t="shared" si="238"/>
        <v>正常</v>
      </c>
    </row>
    <row r="438" ht="14.25" customHeight="1" spans="1:18">
      <c r="A438" s="10">
        <v>2024058</v>
      </c>
      <c r="B438" s="12" t="s">
        <v>396</v>
      </c>
      <c r="C438">
        <f t="shared" si="224"/>
        <v>4</v>
      </c>
      <c r="D438">
        <f t="shared" si="225"/>
        <v>6</v>
      </c>
      <c r="E438">
        <f t="shared" si="226"/>
        <v>9</v>
      </c>
      <c r="F438">
        <f t="shared" si="227"/>
        <v>19</v>
      </c>
      <c r="G438">
        <f t="shared" si="228"/>
        <v>9</v>
      </c>
      <c r="H438">
        <f t="shared" si="229"/>
        <v>5</v>
      </c>
      <c r="I438">
        <f t="shared" si="230"/>
        <v>3.8</v>
      </c>
      <c r="J438">
        <f t="shared" si="231"/>
        <v>0.33</v>
      </c>
      <c r="K438">
        <f t="shared" si="232"/>
        <v>0.67</v>
      </c>
      <c r="L438">
        <f t="shared" si="233"/>
        <v>0</v>
      </c>
      <c r="M438">
        <f t="shared" si="234"/>
        <v>0</v>
      </c>
      <c r="N438">
        <f t="shared" si="235"/>
        <v>2.02</v>
      </c>
      <c r="O438" t="str">
        <f t="shared" si="239"/>
        <v>紧凑</v>
      </c>
      <c r="P438" t="str">
        <f t="shared" si="236"/>
        <v>紧凑</v>
      </c>
      <c r="Q438" t="str">
        <f t="shared" si="237"/>
        <v>✓有效</v>
      </c>
      <c r="R438" t="str">
        <f t="shared" si="238"/>
        <v>正常</v>
      </c>
    </row>
    <row r="439" ht="14.25" customHeight="1" spans="1:18">
      <c r="A439" s="10">
        <v>2024059</v>
      </c>
      <c r="B439" s="12" t="s">
        <v>397</v>
      </c>
      <c r="C439">
        <f t="shared" si="224"/>
        <v>7</v>
      </c>
      <c r="D439">
        <f t="shared" si="225"/>
        <v>5</v>
      </c>
      <c r="E439">
        <f t="shared" si="226"/>
        <v>8</v>
      </c>
      <c r="F439">
        <f t="shared" si="227"/>
        <v>20</v>
      </c>
      <c r="G439">
        <f t="shared" si="228"/>
        <v>0</v>
      </c>
      <c r="H439">
        <f t="shared" si="229"/>
        <v>3</v>
      </c>
      <c r="I439">
        <f t="shared" si="230"/>
        <v>6.67</v>
      </c>
      <c r="J439">
        <f t="shared" si="231"/>
        <v>0.67</v>
      </c>
      <c r="K439">
        <f t="shared" si="232"/>
        <v>1</v>
      </c>
      <c r="L439">
        <f t="shared" si="233"/>
        <v>0.67</v>
      </c>
      <c r="M439">
        <f t="shared" si="234"/>
        <v>1</v>
      </c>
      <c r="N439">
        <f t="shared" si="235"/>
        <v>3.27</v>
      </c>
      <c r="O439" t="str">
        <f t="shared" si="239"/>
        <v>紧凑</v>
      </c>
      <c r="P439" t="str">
        <f t="shared" si="236"/>
        <v>标准</v>
      </c>
      <c r="Q439" t="str">
        <f t="shared" si="237"/>
        <v>✓有效</v>
      </c>
      <c r="R439" t="str">
        <f t="shared" si="238"/>
        <v>正常</v>
      </c>
    </row>
    <row r="440" ht="14.25" customHeight="1" spans="1:18">
      <c r="A440" s="10">
        <v>2024060</v>
      </c>
      <c r="B440" s="12" t="s">
        <v>398</v>
      </c>
      <c r="C440">
        <f t="shared" si="224"/>
        <v>8</v>
      </c>
      <c r="D440">
        <f t="shared" si="225"/>
        <v>9</v>
      </c>
      <c r="E440">
        <f t="shared" si="226"/>
        <v>7</v>
      </c>
      <c r="F440">
        <f t="shared" si="227"/>
        <v>24</v>
      </c>
      <c r="G440">
        <f t="shared" si="228"/>
        <v>4</v>
      </c>
      <c r="H440">
        <f t="shared" si="229"/>
        <v>2</v>
      </c>
      <c r="I440">
        <f t="shared" si="230"/>
        <v>12</v>
      </c>
      <c r="J440">
        <f t="shared" si="231"/>
        <v>0.67</v>
      </c>
      <c r="K440">
        <f t="shared" si="232"/>
        <v>1</v>
      </c>
      <c r="L440">
        <f t="shared" si="233"/>
        <v>0.33</v>
      </c>
      <c r="M440">
        <f t="shared" si="234"/>
        <v>2</v>
      </c>
      <c r="N440">
        <f t="shared" si="235"/>
        <v>5.27</v>
      </c>
      <c r="O440" t="str">
        <f t="shared" si="239"/>
        <v>紧凑</v>
      </c>
      <c r="P440" t="str">
        <f t="shared" si="236"/>
        <v>松散</v>
      </c>
      <c r="Q440" t="str">
        <f t="shared" si="237"/>
        <v>✓有效</v>
      </c>
      <c r="R440" t="str">
        <f t="shared" si="238"/>
        <v>异常</v>
      </c>
    </row>
    <row r="441" ht="14.25" customHeight="1" spans="1:18">
      <c r="A441" s="10">
        <v>2024061</v>
      </c>
      <c r="B441" s="12" t="s">
        <v>386</v>
      </c>
      <c r="C441">
        <f t="shared" si="224"/>
        <v>4</v>
      </c>
      <c r="D441">
        <f t="shared" si="225"/>
        <v>0</v>
      </c>
      <c r="E441">
        <f t="shared" si="226"/>
        <v>6</v>
      </c>
      <c r="F441">
        <f t="shared" si="227"/>
        <v>10</v>
      </c>
      <c r="G441">
        <f t="shared" si="228"/>
        <v>0</v>
      </c>
      <c r="H441">
        <f t="shared" si="229"/>
        <v>6</v>
      </c>
      <c r="I441">
        <f t="shared" si="230"/>
        <v>1.67</v>
      </c>
      <c r="J441">
        <f t="shared" si="231"/>
        <v>0</v>
      </c>
      <c r="K441">
        <f t="shared" si="232"/>
        <v>0.33</v>
      </c>
      <c r="L441">
        <f t="shared" si="233"/>
        <v>0</v>
      </c>
      <c r="M441">
        <f t="shared" si="234"/>
        <v>0</v>
      </c>
      <c r="N441">
        <f t="shared" si="235"/>
        <v>1.03</v>
      </c>
      <c r="O441" t="str">
        <f t="shared" si="239"/>
        <v>松散</v>
      </c>
      <c r="P441" t="str">
        <f t="shared" si="236"/>
        <v>极紧凑</v>
      </c>
      <c r="Q441" t="str">
        <f t="shared" si="237"/>
        <v>✓有效</v>
      </c>
      <c r="R441" t="str">
        <f t="shared" si="238"/>
        <v>正常</v>
      </c>
    </row>
    <row r="442" ht="14.25" customHeight="1" spans="1:18">
      <c r="A442" s="10">
        <v>2024062</v>
      </c>
      <c r="B442" s="12" t="s">
        <v>282</v>
      </c>
      <c r="C442">
        <f t="shared" si="224"/>
        <v>3</v>
      </c>
      <c r="D442">
        <f t="shared" si="225"/>
        <v>7</v>
      </c>
      <c r="E442">
        <f t="shared" si="226"/>
        <v>7</v>
      </c>
      <c r="F442">
        <f t="shared" si="227"/>
        <v>17</v>
      </c>
      <c r="G442">
        <f t="shared" si="228"/>
        <v>7</v>
      </c>
      <c r="H442">
        <f t="shared" si="229"/>
        <v>4</v>
      </c>
      <c r="I442">
        <f t="shared" si="230"/>
        <v>4.25</v>
      </c>
      <c r="J442">
        <f t="shared" si="231"/>
        <v>1</v>
      </c>
      <c r="K442">
        <f t="shared" si="232"/>
        <v>0.67</v>
      </c>
      <c r="L442">
        <f t="shared" si="233"/>
        <v>1</v>
      </c>
      <c r="M442">
        <f t="shared" si="234"/>
        <v>0</v>
      </c>
      <c r="N442">
        <f t="shared" si="235"/>
        <v>2.43</v>
      </c>
      <c r="O442" t="str">
        <f t="shared" si="239"/>
        <v>紧凑</v>
      </c>
      <c r="P442" t="str">
        <f t="shared" si="236"/>
        <v>紧凑</v>
      </c>
      <c r="Q442" t="str">
        <f t="shared" si="237"/>
        <v>✓有效</v>
      </c>
      <c r="R442" t="str">
        <f t="shared" si="238"/>
        <v>正常</v>
      </c>
    </row>
    <row r="443" ht="14.25" customHeight="1" spans="1:18">
      <c r="A443" s="10">
        <v>2024063</v>
      </c>
      <c r="B443" s="12" t="s">
        <v>399</v>
      </c>
      <c r="C443">
        <f t="shared" si="224"/>
        <v>3</v>
      </c>
      <c r="D443">
        <f t="shared" si="225"/>
        <v>4</v>
      </c>
      <c r="E443">
        <f t="shared" si="226"/>
        <v>9</v>
      </c>
      <c r="F443">
        <f t="shared" si="227"/>
        <v>16</v>
      </c>
      <c r="G443">
        <f t="shared" si="228"/>
        <v>6</v>
      </c>
      <c r="H443">
        <f t="shared" si="229"/>
        <v>6</v>
      </c>
      <c r="I443">
        <f t="shared" si="230"/>
        <v>2.67</v>
      </c>
      <c r="J443">
        <f t="shared" si="231"/>
        <v>0.67</v>
      </c>
      <c r="K443">
        <f t="shared" si="232"/>
        <v>0.33</v>
      </c>
      <c r="L443">
        <f t="shared" si="233"/>
        <v>0.33</v>
      </c>
      <c r="M443">
        <f t="shared" si="234"/>
        <v>1</v>
      </c>
      <c r="N443">
        <f t="shared" si="235"/>
        <v>1.5</v>
      </c>
      <c r="O443" t="str">
        <f t="shared" si="239"/>
        <v>标准</v>
      </c>
      <c r="P443" t="str">
        <f t="shared" si="236"/>
        <v>极紧凑</v>
      </c>
      <c r="Q443" t="str">
        <f t="shared" si="237"/>
        <v>✓有效</v>
      </c>
      <c r="R443" t="str">
        <f t="shared" si="238"/>
        <v>正常</v>
      </c>
    </row>
    <row r="444" ht="14.25" customHeight="1" spans="1:18">
      <c r="A444" s="10">
        <v>2024064</v>
      </c>
      <c r="B444" s="12" t="s">
        <v>400</v>
      </c>
      <c r="C444">
        <f t="shared" si="224"/>
        <v>0</v>
      </c>
      <c r="D444">
        <f t="shared" si="225"/>
        <v>0</v>
      </c>
      <c r="E444">
        <f t="shared" si="226"/>
        <v>9</v>
      </c>
      <c r="F444">
        <f t="shared" si="227"/>
        <v>9</v>
      </c>
      <c r="G444">
        <f t="shared" si="228"/>
        <v>9</v>
      </c>
      <c r="H444">
        <f t="shared" si="229"/>
        <v>9</v>
      </c>
      <c r="I444">
        <f t="shared" si="230"/>
        <v>1</v>
      </c>
      <c r="J444">
        <f t="shared" si="231"/>
        <v>0.33</v>
      </c>
      <c r="K444">
        <f t="shared" si="232"/>
        <v>0.33</v>
      </c>
      <c r="L444">
        <f t="shared" si="233"/>
        <v>0</v>
      </c>
      <c r="M444">
        <f t="shared" si="234"/>
        <v>0</v>
      </c>
      <c r="N444">
        <f t="shared" si="235"/>
        <v>0.83</v>
      </c>
      <c r="O444" t="str">
        <f t="shared" si="239"/>
        <v>松散</v>
      </c>
      <c r="P444" t="str">
        <f t="shared" si="236"/>
        <v>极紧凑</v>
      </c>
      <c r="Q444" t="str">
        <f t="shared" si="237"/>
        <v>✓有效</v>
      </c>
      <c r="R444" t="str">
        <f t="shared" si="238"/>
        <v>正常</v>
      </c>
    </row>
    <row r="445" ht="14.25" customHeight="1" spans="1:18">
      <c r="A445" s="10">
        <v>2024065</v>
      </c>
      <c r="B445" s="12" t="s">
        <v>396</v>
      </c>
      <c r="C445">
        <f t="shared" si="224"/>
        <v>4</v>
      </c>
      <c r="D445">
        <f t="shared" si="225"/>
        <v>6</v>
      </c>
      <c r="E445">
        <f t="shared" si="226"/>
        <v>9</v>
      </c>
      <c r="F445">
        <f t="shared" si="227"/>
        <v>19</v>
      </c>
      <c r="G445">
        <f t="shared" si="228"/>
        <v>9</v>
      </c>
      <c r="H445">
        <f t="shared" si="229"/>
        <v>5</v>
      </c>
      <c r="I445">
        <f t="shared" si="230"/>
        <v>3.8</v>
      </c>
      <c r="J445">
        <f t="shared" si="231"/>
        <v>0.33</v>
      </c>
      <c r="K445">
        <f t="shared" si="232"/>
        <v>0.67</v>
      </c>
      <c r="L445">
        <f t="shared" si="233"/>
        <v>0</v>
      </c>
      <c r="M445">
        <f t="shared" si="234"/>
        <v>0</v>
      </c>
      <c r="N445">
        <f t="shared" si="235"/>
        <v>2.02</v>
      </c>
      <c r="O445" t="str">
        <f t="shared" si="239"/>
        <v>紧凑</v>
      </c>
      <c r="P445" t="str">
        <f t="shared" si="236"/>
        <v>紧凑</v>
      </c>
      <c r="Q445" t="str">
        <f t="shared" si="237"/>
        <v>✓有效</v>
      </c>
      <c r="R445" t="str">
        <f t="shared" si="238"/>
        <v>正常</v>
      </c>
    </row>
    <row r="446" ht="14.25" customHeight="1" spans="1:18">
      <c r="A446" s="10">
        <v>2024066</v>
      </c>
      <c r="B446" s="12" t="s">
        <v>146</v>
      </c>
      <c r="C446">
        <f t="shared" si="224"/>
        <v>1</v>
      </c>
      <c r="D446">
        <f t="shared" si="225"/>
        <v>9</v>
      </c>
      <c r="E446">
        <f t="shared" si="226"/>
        <v>8</v>
      </c>
      <c r="F446">
        <f t="shared" si="227"/>
        <v>18</v>
      </c>
      <c r="G446">
        <f t="shared" si="228"/>
        <v>8</v>
      </c>
      <c r="H446">
        <f t="shared" si="229"/>
        <v>8</v>
      </c>
      <c r="I446">
        <f t="shared" si="230"/>
        <v>2.25</v>
      </c>
      <c r="J446">
        <f t="shared" si="231"/>
        <v>0.67</v>
      </c>
      <c r="K446">
        <f t="shared" si="232"/>
        <v>0.67</v>
      </c>
      <c r="L446">
        <f t="shared" si="233"/>
        <v>0</v>
      </c>
      <c r="M446">
        <f t="shared" si="234"/>
        <v>1</v>
      </c>
      <c r="N446">
        <f t="shared" si="235"/>
        <v>1.37</v>
      </c>
      <c r="O446" t="str">
        <f t="shared" si="239"/>
        <v>标准</v>
      </c>
      <c r="P446" t="str">
        <f t="shared" si="236"/>
        <v>极紧凑</v>
      </c>
      <c r="Q446" t="str">
        <f t="shared" si="237"/>
        <v>✓有效</v>
      </c>
      <c r="R446" t="str">
        <f t="shared" si="238"/>
        <v>正常</v>
      </c>
    </row>
    <row r="447" ht="14.25" customHeight="1" spans="1:18">
      <c r="A447" s="10">
        <v>2024067</v>
      </c>
      <c r="B447" s="12" t="s">
        <v>401</v>
      </c>
      <c r="C447">
        <f t="shared" si="224"/>
        <v>7</v>
      </c>
      <c r="D447">
        <f t="shared" si="225"/>
        <v>0</v>
      </c>
      <c r="E447">
        <f t="shared" si="226"/>
        <v>9</v>
      </c>
      <c r="F447">
        <f t="shared" si="227"/>
        <v>16</v>
      </c>
      <c r="G447">
        <f t="shared" si="228"/>
        <v>6</v>
      </c>
      <c r="H447">
        <f t="shared" si="229"/>
        <v>9</v>
      </c>
      <c r="I447">
        <f t="shared" si="230"/>
        <v>1.78</v>
      </c>
      <c r="J447">
        <f t="shared" si="231"/>
        <v>0.67</v>
      </c>
      <c r="K447">
        <f t="shared" si="232"/>
        <v>0.67</v>
      </c>
      <c r="L447">
        <f t="shared" si="233"/>
        <v>0.33</v>
      </c>
      <c r="M447">
        <f t="shared" si="234"/>
        <v>0</v>
      </c>
      <c r="N447">
        <f t="shared" si="235"/>
        <v>1.31</v>
      </c>
      <c r="O447" t="str">
        <f t="shared" si="239"/>
        <v>松散</v>
      </c>
      <c r="P447" t="str">
        <f t="shared" si="236"/>
        <v>极紧凑</v>
      </c>
      <c r="Q447" t="str">
        <f t="shared" si="237"/>
        <v>✓有效</v>
      </c>
      <c r="R447" t="str">
        <f t="shared" si="238"/>
        <v>正常</v>
      </c>
    </row>
    <row r="448" ht="14.25" customHeight="1" spans="1:18">
      <c r="A448" s="10">
        <v>2024068</v>
      </c>
      <c r="B448" s="12" t="s">
        <v>402</v>
      </c>
      <c r="C448">
        <f t="shared" si="224"/>
        <v>6</v>
      </c>
      <c r="D448">
        <f t="shared" si="225"/>
        <v>4</v>
      </c>
      <c r="E448">
        <f t="shared" si="226"/>
        <v>2</v>
      </c>
      <c r="F448">
        <f t="shared" si="227"/>
        <v>12</v>
      </c>
      <c r="G448">
        <f t="shared" si="228"/>
        <v>2</v>
      </c>
      <c r="H448">
        <f t="shared" si="229"/>
        <v>4</v>
      </c>
      <c r="I448">
        <f t="shared" si="230"/>
        <v>3</v>
      </c>
      <c r="J448">
        <f t="shared" si="231"/>
        <v>0</v>
      </c>
      <c r="K448">
        <f t="shared" si="232"/>
        <v>0.33</v>
      </c>
      <c r="L448">
        <f t="shared" si="233"/>
        <v>0.33</v>
      </c>
      <c r="M448">
        <f t="shared" si="234"/>
        <v>0</v>
      </c>
      <c r="N448">
        <f t="shared" si="235"/>
        <v>1.6</v>
      </c>
      <c r="O448" t="str">
        <f t="shared" si="239"/>
        <v>标准</v>
      </c>
      <c r="P448" t="str">
        <f t="shared" si="236"/>
        <v>紧凑</v>
      </c>
      <c r="Q448" t="str">
        <f t="shared" si="237"/>
        <v>✓有效</v>
      </c>
      <c r="R448" t="str">
        <f t="shared" si="238"/>
        <v>正常</v>
      </c>
    </row>
    <row r="449" ht="14.25" customHeight="1" spans="1:18">
      <c r="A449" s="10">
        <v>2024069</v>
      </c>
      <c r="B449" s="12" t="s">
        <v>403</v>
      </c>
      <c r="C449">
        <f t="shared" si="224"/>
        <v>4</v>
      </c>
      <c r="D449">
        <f t="shared" si="225"/>
        <v>5</v>
      </c>
      <c r="E449">
        <f t="shared" si="226"/>
        <v>1</v>
      </c>
      <c r="F449">
        <f t="shared" si="227"/>
        <v>10</v>
      </c>
      <c r="G449">
        <f t="shared" si="228"/>
        <v>0</v>
      </c>
      <c r="H449">
        <f t="shared" si="229"/>
        <v>4</v>
      </c>
      <c r="I449">
        <f t="shared" si="230"/>
        <v>2.5</v>
      </c>
      <c r="J449">
        <f t="shared" si="231"/>
        <v>0.67</v>
      </c>
      <c r="K449">
        <f t="shared" si="232"/>
        <v>0.33</v>
      </c>
      <c r="L449">
        <f t="shared" si="233"/>
        <v>0.33</v>
      </c>
      <c r="M449">
        <f t="shared" si="234"/>
        <v>1</v>
      </c>
      <c r="N449">
        <f t="shared" si="235"/>
        <v>1.43</v>
      </c>
      <c r="O449" t="str">
        <f t="shared" si="239"/>
        <v>标准</v>
      </c>
      <c r="P449" t="str">
        <f t="shared" si="236"/>
        <v>极紧凑</v>
      </c>
      <c r="Q449" t="str">
        <f t="shared" si="237"/>
        <v>✓有效</v>
      </c>
      <c r="R449" t="str">
        <f t="shared" si="238"/>
        <v>正常</v>
      </c>
    </row>
    <row r="450" ht="14.25" customHeight="1" spans="1:18">
      <c r="A450" s="10">
        <v>2024070</v>
      </c>
      <c r="B450" s="12" t="s">
        <v>404</v>
      </c>
      <c r="C450">
        <f t="shared" si="224"/>
        <v>6</v>
      </c>
      <c r="D450">
        <f t="shared" si="225"/>
        <v>1</v>
      </c>
      <c r="E450">
        <f t="shared" si="226"/>
        <v>7</v>
      </c>
      <c r="F450">
        <f t="shared" si="227"/>
        <v>14</v>
      </c>
      <c r="G450">
        <f t="shared" si="228"/>
        <v>4</v>
      </c>
      <c r="H450">
        <f t="shared" si="229"/>
        <v>6</v>
      </c>
      <c r="I450">
        <f t="shared" si="230"/>
        <v>2.33</v>
      </c>
      <c r="J450">
        <f t="shared" si="231"/>
        <v>0.67</v>
      </c>
      <c r="K450">
        <f t="shared" si="232"/>
        <v>0.67</v>
      </c>
      <c r="L450">
        <f t="shared" si="233"/>
        <v>0.33</v>
      </c>
      <c r="M450">
        <f t="shared" si="234"/>
        <v>1</v>
      </c>
      <c r="N450">
        <f t="shared" si="235"/>
        <v>1.43</v>
      </c>
      <c r="O450" t="str">
        <f t="shared" si="239"/>
        <v>标准</v>
      </c>
      <c r="P450" t="str">
        <f t="shared" si="236"/>
        <v>极紧凑</v>
      </c>
      <c r="Q450" t="str">
        <f t="shared" si="237"/>
        <v>✓有效</v>
      </c>
      <c r="R450" t="str">
        <f t="shared" si="238"/>
        <v>正常</v>
      </c>
    </row>
    <row r="451" ht="14.25" customHeight="1" spans="1:18">
      <c r="A451" s="10">
        <v>2024071</v>
      </c>
      <c r="B451" s="12" t="s">
        <v>164</v>
      </c>
      <c r="C451">
        <f t="shared" si="224"/>
        <v>2</v>
      </c>
      <c r="D451">
        <f t="shared" si="225"/>
        <v>1</v>
      </c>
      <c r="E451">
        <f t="shared" si="226"/>
        <v>3</v>
      </c>
      <c r="F451">
        <f t="shared" si="227"/>
        <v>6</v>
      </c>
      <c r="G451">
        <f t="shared" si="228"/>
        <v>6</v>
      </c>
      <c r="H451">
        <f t="shared" si="229"/>
        <v>2</v>
      </c>
      <c r="I451">
        <f t="shared" si="230"/>
        <v>3</v>
      </c>
      <c r="J451">
        <f t="shared" si="231"/>
        <v>0.67</v>
      </c>
      <c r="K451">
        <f t="shared" si="232"/>
        <v>0</v>
      </c>
      <c r="L451">
        <f t="shared" si="233"/>
        <v>0.67</v>
      </c>
      <c r="M451">
        <f t="shared" si="234"/>
        <v>2</v>
      </c>
      <c r="N451">
        <f t="shared" si="235"/>
        <v>1.5</v>
      </c>
      <c r="O451" t="str">
        <f t="shared" si="239"/>
        <v>标准</v>
      </c>
      <c r="P451" t="str">
        <f t="shared" si="236"/>
        <v>极紧凑</v>
      </c>
      <c r="Q451" t="str">
        <f t="shared" si="237"/>
        <v>✓有效</v>
      </c>
      <c r="R451" t="str">
        <f t="shared" si="238"/>
        <v>正常</v>
      </c>
    </row>
    <row r="452" ht="14.25" customHeight="1" spans="1:18">
      <c r="A452" s="10">
        <v>2024072</v>
      </c>
      <c r="B452" s="12" t="s">
        <v>405</v>
      </c>
      <c r="C452">
        <f t="shared" si="224"/>
        <v>9</v>
      </c>
      <c r="D452">
        <f t="shared" si="225"/>
        <v>7</v>
      </c>
      <c r="E452">
        <f t="shared" si="226"/>
        <v>7</v>
      </c>
      <c r="F452">
        <f t="shared" si="227"/>
        <v>23</v>
      </c>
      <c r="G452">
        <f t="shared" si="228"/>
        <v>3</v>
      </c>
      <c r="H452">
        <f t="shared" si="229"/>
        <v>2</v>
      </c>
      <c r="I452">
        <f t="shared" si="230"/>
        <v>11.5</v>
      </c>
      <c r="J452">
        <f t="shared" si="231"/>
        <v>1</v>
      </c>
      <c r="K452">
        <f t="shared" si="232"/>
        <v>1</v>
      </c>
      <c r="L452">
        <f t="shared" si="233"/>
        <v>0.67</v>
      </c>
      <c r="M452">
        <f t="shared" si="234"/>
        <v>0</v>
      </c>
      <c r="N452">
        <f t="shared" si="235"/>
        <v>5.37</v>
      </c>
      <c r="O452" t="str">
        <f t="shared" si="239"/>
        <v>紧凑</v>
      </c>
      <c r="P452" t="str">
        <f t="shared" si="236"/>
        <v>松散</v>
      </c>
      <c r="Q452" t="str">
        <f t="shared" si="237"/>
        <v>✓有效</v>
      </c>
      <c r="R452" t="str">
        <f t="shared" si="238"/>
        <v>异常</v>
      </c>
    </row>
    <row r="453" ht="14.25" customHeight="1" spans="1:18">
      <c r="A453" s="10">
        <v>2024073</v>
      </c>
      <c r="B453" s="12" t="s">
        <v>406</v>
      </c>
      <c r="C453">
        <f t="shared" si="224"/>
        <v>2</v>
      </c>
      <c r="D453">
        <f t="shared" si="225"/>
        <v>5</v>
      </c>
      <c r="E453">
        <f t="shared" si="226"/>
        <v>8</v>
      </c>
      <c r="F453">
        <f t="shared" si="227"/>
        <v>15</v>
      </c>
      <c r="G453">
        <f t="shared" si="228"/>
        <v>5</v>
      </c>
      <c r="H453">
        <f t="shared" si="229"/>
        <v>6</v>
      </c>
      <c r="I453">
        <f t="shared" si="230"/>
        <v>2.5</v>
      </c>
      <c r="J453">
        <f t="shared" si="231"/>
        <v>0.33</v>
      </c>
      <c r="K453">
        <f t="shared" si="232"/>
        <v>0.67</v>
      </c>
      <c r="L453">
        <f t="shared" si="233"/>
        <v>0.67</v>
      </c>
      <c r="M453">
        <f t="shared" si="234"/>
        <v>0</v>
      </c>
      <c r="N453">
        <f t="shared" si="235"/>
        <v>1.57</v>
      </c>
      <c r="O453" t="str">
        <f t="shared" si="239"/>
        <v>标准</v>
      </c>
      <c r="P453" t="str">
        <f t="shared" si="236"/>
        <v>紧凑</v>
      </c>
      <c r="Q453" t="str">
        <f t="shared" si="237"/>
        <v>✓有效</v>
      </c>
      <c r="R453" t="str">
        <f t="shared" si="238"/>
        <v>正常</v>
      </c>
    </row>
    <row r="454" ht="14.25" customHeight="1" spans="1:18">
      <c r="A454" s="10">
        <v>2024074</v>
      </c>
      <c r="B454" s="12" t="s">
        <v>407</v>
      </c>
      <c r="C454">
        <f t="shared" si="224"/>
        <v>0</v>
      </c>
      <c r="D454">
        <f t="shared" si="225"/>
        <v>4</v>
      </c>
      <c r="E454">
        <f t="shared" si="226"/>
        <v>1</v>
      </c>
      <c r="F454">
        <f t="shared" si="227"/>
        <v>5</v>
      </c>
      <c r="G454">
        <f t="shared" si="228"/>
        <v>5</v>
      </c>
      <c r="H454">
        <f t="shared" si="229"/>
        <v>4</v>
      </c>
      <c r="I454">
        <f t="shared" si="230"/>
        <v>1.25</v>
      </c>
      <c r="J454">
        <f t="shared" si="231"/>
        <v>0.33</v>
      </c>
      <c r="K454">
        <f t="shared" si="232"/>
        <v>0</v>
      </c>
      <c r="L454">
        <f t="shared" si="233"/>
        <v>0</v>
      </c>
      <c r="M454">
        <f t="shared" si="234"/>
        <v>1</v>
      </c>
      <c r="N454">
        <f t="shared" si="235"/>
        <v>0.77</v>
      </c>
      <c r="O454" t="str">
        <f t="shared" si="239"/>
        <v>松散</v>
      </c>
      <c r="P454" t="str">
        <f t="shared" si="236"/>
        <v>极紧凑</v>
      </c>
      <c r="Q454" t="str">
        <f t="shared" si="237"/>
        <v>✓有效</v>
      </c>
      <c r="R454" t="str">
        <f t="shared" si="238"/>
        <v>正常</v>
      </c>
    </row>
    <row r="455" ht="14.25" customHeight="1" spans="1:18">
      <c r="A455" s="10">
        <v>2024075</v>
      </c>
      <c r="B455" s="12" t="s">
        <v>408</v>
      </c>
      <c r="C455">
        <f t="shared" si="224"/>
        <v>2</v>
      </c>
      <c r="D455">
        <f t="shared" si="225"/>
        <v>5</v>
      </c>
      <c r="E455">
        <f t="shared" si="226"/>
        <v>4</v>
      </c>
      <c r="F455">
        <f t="shared" si="227"/>
        <v>11</v>
      </c>
      <c r="G455">
        <f t="shared" si="228"/>
        <v>1</v>
      </c>
      <c r="H455">
        <f t="shared" si="229"/>
        <v>3</v>
      </c>
      <c r="I455">
        <f t="shared" si="230"/>
        <v>3.67</v>
      </c>
      <c r="J455">
        <f t="shared" si="231"/>
        <v>0.33</v>
      </c>
      <c r="K455">
        <f t="shared" si="232"/>
        <v>0.33</v>
      </c>
      <c r="L455">
        <f t="shared" si="233"/>
        <v>0.67</v>
      </c>
      <c r="M455">
        <f t="shared" si="234"/>
        <v>1</v>
      </c>
      <c r="N455">
        <f t="shared" si="235"/>
        <v>1.87</v>
      </c>
      <c r="O455" t="str">
        <f t="shared" si="239"/>
        <v>紧凑</v>
      </c>
      <c r="P455" t="str">
        <f t="shared" si="236"/>
        <v>紧凑</v>
      </c>
      <c r="Q455" t="str">
        <f t="shared" si="237"/>
        <v>✓有效</v>
      </c>
      <c r="R455" t="str">
        <f t="shared" si="238"/>
        <v>正常</v>
      </c>
    </row>
    <row r="456" ht="14.25" customHeight="1" spans="1:18">
      <c r="A456" s="10">
        <v>2024076</v>
      </c>
      <c r="B456" s="12" t="s">
        <v>409</v>
      </c>
      <c r="C456">
        <f t="shared" si="224"/>
        <v>6</v>
      </c>
      <c r="D456">
        <f t="shared" si="225"/>
        <v>5</v>
      </c>
      <c r="E456">
        <f t="shared" si="226"/>
        <v>5</v>
      </c>
      <c r="F456">
        <f t="shared" si="227"/>
        <v>16</v>
      </c>
      <c r="G456">
        <f t="shared" si="228"/>
        <v>6</v>
      </c>
      <c r="H456">
        <f t="shared" si="229"/>
        <v>1</v>
      </c>
      <c r="I456">
        <f t="shared" si="230"/>
        <v>16</v>
      </c>
      <c r="J456">
        <f t="shared" si="231"/>
        <v>0.67</v>
      </c>
      <c r="K456">
        <f t="shared" si="232"/>
        <v>1</v>
      </c>
      <c r="L456">
        <f t="shared" si="233"/>
        <v>0.67</v>
      </c>
      <c r="M456">
        <f t="shared" si="234"/>
        <v>2</v>
      </c>
      <c r="N456">
        <f t="shared" si="235"/>
        <v>6.9</v>
      </c>
      <c r="O456" t="str">
        <f t="shared" si="239"/>
        <v>紧凑</v>
      </c>
      <c r="P456" t="str">
        <f t="shared" si="236"/>
        <v>松散</v>
      </c>
      <c r="Q456" t="str">
        <f t="shared" si="237"/>
        <v>✓有效</v>
      </c>
      <c r="R456" t="str">
        <f t="shared" si="238"/>
        <v>异常</v>
      </c>
    </row>
    <row r="457" ht="14.25" customHeight="1" spans="1:18">
      <c r="A457" s="10">
        <v>2024077</v>
      </c>
      <c r="B457" s="12" t="s">
        <v>410</v>
      </c>
      <c r="C457">
        <f t="shared" si="224"/>
        <v>3</v>
      </c>
      <c r="D457">
        <f t="shared" si="225"/>
        <v>3</v>
      </c>
      <c r="E457">
        <f t="shared" si="226"/>
        <v>6</v>
      </c>
      <c r="F457">
        <f t="shared" si="227"/>
        <v>12</v>
      </c>
      <c r="G457">
        <f t="shared" si="228"/>
        <v>2</v>
      </c>
      <c r="H457">
        <f t="shared" si="229"/>
        <v>3</v>
      </c>
      <c r="I457">
        <f t="shared" si="230"/>
        <v>4</v>
      </c>
      <c r="J457">
        <f t="shared" si="231"/>
        <v>0.67</v>
      </c>
      <c r="K457">
        <f t="shared" si="232"/>
        <v>0.33</v>
      </c>
      <c r="L457">
        <f t="shared" si="233"/>
        <v>0.67</v>
      </c>
      <c r="M457">
        <f t="shared" si="234"/>
        <v>0</v>
      </c>
      <c r="N457">
        <f t="shared" si="235"/>
        <v>2.17</v>
      </c>
      <c r="O457" t="str">
        <f t="shared" si="239"/>
        <v>紧凑</v>
      </c>
      <c r="P457" t="str">
        <f t="shared" si="236"/>
        <v>紧凑</v>
      </c>
      <c r="Q457" t="str">
        <f t="shared" si="237"/>
        <v>✓有效</v>
      </c>
      <c r="R457" t="str">
        <f t="shared" si="238"/>
        <v>正常</v>
      </c>
    </row>
    <row r="458" ht="14.25" customHeight="1" spans="1:18">
      <c r="A458" s="10">
        <v>2024078</v>
      </c>
      <c r="B458" s="12" t="s">
        <v>411</v>
      </c>
      <c r="C458">
        <f t="shared" si="224"/>
        <v>3</v>
      </c>
      <c r="D458">
        <f t="shared" si="225"/>
        <v>9</v>
      </c>
      <c r="E458">
        <f t="shared" si="226"/>
        <v>7</v>
      </c>
      <c r="F458">
        <f t="shared" si="227"/>
        <v>19</v>
      </c>
      <c r="G458">
        <f t="shared" si="228"/>
        <v>9</v>
      </c>
      <c r="H458">
        <f t="shared" si="229"/>
        <v>6</v>
      </c>
      <c r="I458">
        <f t="shared" si="230"/>
        <v>3.17</v>
      </c>
      <c r="J458">
        <f t="shared" si="231"/>
        <v>1</v>
      </c>
      <c r="K458">
        <f t="shared" si="232"/>
        <v>0.67</v>
      </c>
      <c r="L458">
        <f t="shared" si="233"/>
        <v>0.67</v>
      </c>
      <c r="M458">
        <f t="shared" si="234"/>
        <v>0</v>
      </c>
      <c r="N458">
        <f t="shared" si="235"/>
        <v>1.97</v>
      </c>
      <c r="O458" t="str">
        <f t="shared" si="239"/>
        <v>标准</v>
      </c>
      <c r="P458" t="str">
        <f t="shared" si="236"/>
        <v>紧凑</v>
      </c>
      <c r="Q458" t="str">
        <f t="shared" si="237"/>
        <v>✓有效</v>
      </c>
      <c r="R458" t="str">
        <f t="shared" si="238"/>
        <v>正常</v>
      </c>
    </row>
    <row r="459" ht="14.25" customHeight="1" spans="1:18">
      <c r="A459" s="10">
        <v>2024079</v>
      </c>
      <c r="B459" s="12" t="s">
        <v>412</v>
      </c>
      <c r="C459">
        <f t="shared" si="224"/>
        <v>9</v>
      </c>
      <c r="D459">
        <f t="shared" si="225"/>
        <v>3</v>
      </c>
      <c r="E459">
        <f t="shared" si="226"/>
        <v>1</v>
      </c>
      <c r="F459">
        <f t="shared" si="227"/>
        <v>13</v>
      </c>
      <c r="G459">
        <f t="shared" si="228"/>
        <v>3</v>
      </c>
      <c r="H459">
        <f t="shared" si="229"/>
        <v>8</v>
      </c>
      <c r="I459">
        <f t="shared" si="230"/>
        <v>1.63</v>
      </c>
      <c r="J459">
        <f t="shared" si="231"/>
        <v>1</v>
      </c>
      <c r="K459">
        <f t="shared" si="232"/>
        <v>0.33</v>
      </c>
      <c r="L459">
        <f t="shared" si="233"/>
        <v>0.33</v>
      </c>
      <c r="M459">
        <f t="shared" si="234"/>
        <v>0</v>
      </c>
      <c r="N459">
        <f t="shared" si="235"/>
        <v>1.25</v>
      </c>
      <c r="O459" t="str">
        <f t="shared" si="239"/>
        <v>松散</v>
      </c>
      <c r="P459" t="str">
        <f t="shared" si="236"/>
        <v>极紧凑</v>
      </c>
      <c r="Q459" t="str">
        <f t="shared" si="237"/>
        <v>✓有效</v>
      </c>
      <c r="R459" t="str">
        <f t="shared" si="238"/>
        <v>正常</v>
      </c>
    </row>
    <row r="460" ht="14.25" customHeight="1" spans="1:18">
      <c r="A460" s="10">
        <v>2024080</v>
      </c>
      <c r="B460" s="12" t="s">
        <v>413</v>
      </c>
      <c r="C460">
        <f t="shared" si="224"/>
        <v>7</v>
      </c>
      <c r="D460">
        <f t="shared" si="225"/>
        <v>7</v>
      </c>
      <c r="E460">
        <f t="shared" si="226"/>
        <v>8</v>
      </c>
      <c r="F460">
        <f t="shared" si="227"/>
        <v>22</v>
      </c>
      <c r="G460">
        <f t="shared" si="228"/>
        <v>2</v>
      </c>
      <c r="H460">
        <f t="shared" si="229"/>
        <v>1</v>
      </c>
      <c r="I460">
        <f t="shared" si="230"/>
        <v>22</v>
      </c>
      <c r="J460">
        <f t="shared" si="231"/>
        <v>0.67</v>
      </c>
      <c r="K460">
        <f t="shared" si="232"/>
        <v>1</v>
      </c>
      <c r="L460">
        <f t="shared" si="233"/>
        <v>0.67</v>
      </c>
      <c r="M460">
        <f t="shared" si="234"/>
        <v>2</v>
      </c>
      <c r="N460">
        <f t="shared" si="235"/>
        <v>9.3</v>
      </c>
      <c r="O460" t="str">
        <f t="shared" si="239"/>
        <v>紧凑</v>
      </c>
      <c r="P460" t="str">
        <f t="shared" si="236"/>
        <v>松散</v>
      </c>
      <c r="Q460" t="str">
        <f t="shared" si="237"/>
        <v>✓有效</v>
      </c>
      <c r="R460" t="str">
        <f t="shared" si="238"/>
        <v>异常</v>
      </c>
    </row>
    <row r="461" ht="14.25" customHeight="1" spans="1:18">
      <c r="A461" s="10">
        <v>2024081</v>
      </c>
      <c r="B461" s="12" t="s">
        <v>414</v>
      </c>
      <c r="C461">
        <f t="shared" si="224"/>
        <v>1</v>
      </c>
      <c r="D461">
        <f t="shared" si="225"/>
        <v>0</v>
      </c>
      <c r="E461">
        <f t="shared" si="226"/>
        <v>8</v>
      </c>
      <c r="F461">
        <f t="shared" si="227"/>
        <v>9</v>
      </c>
      <c r="G461">
        <f t="shared" si="228"/>
        <v>9</v>
      </c>
      <c r="H461">
        <f t="shared" si="229"/>
        <v>8</v>
      </c>
      <c r="I461">
        <f t="shared" si="230"/>
        <v>1.13</v>
      </c>
      <c r="J461">
        <f t="shared" si="231"/>
        <v>0.33</v>
      </c>
      <c r="K461">
        <f t="shared" si="232"/>
        <v>0.33</v>
      </c>
      <c r="L461">
        <f t="shared" si="233"/>
        <v>0</v>
      </c>
      <c r="M461">
        <f t="shared" si="234"/>
        <v>1</v>
      </c>
      <c r="N461">
        <f t="shared" si="235"/>
        <v>0.78</v>
      </c>
      <c r="O461" t="str">
        <f t="shared" si="239"/>
        <v>松散</v>
      </c>
      <c r="P461" t="str">
        <f t="shared" si="236"/>
        <v>极紧凑</v>
      </c>
      <c r="Q461" t="str">
        <f t="shared" si="237"/>
        <v>✓有效</v>
      </c>
      <c r="R461" t="str">
        <f t="shared" si="238"/>
        <v>正常</v>
      </c>
    </row>
    <row r="462" ht="14.25" customHeight="1" spans="1:18">
      <c r="A462" s="10">
        <v>2024082</v>
      </c>
      <c r="B462" s="12" t="s">
        <v>153</v>
      </c>
      <c r="C462">
        <f t="shared" si="224"/>
        <v>9</v>
      </c>
      <c r="D462">
        <f t="shared" si="225"/>
        <v>2</v>
      </c>
      <c r="E462">
        <f t="shared" si="226"/>
        <v>0</v>
      </c>
      <c r="F462">
        <f t="shared" si="227"/>
        <v>11</v>
      </c>
      <c r="G462">
        <f t="shared" si="228"/>
        <v>1</v>
      </c>
      <c r="H462">
        <f t="shared" si="229"/>
        <v>9</v>
      </c>
      <c r="I462">
        <f t="shared" si="230"/>
        <v>1.22</v>
      </c>
      <c r="J462">
        <f t="shared" si="231"/>
        <v>0.33</v>
      </c>
      <c r="K462">
        <f t="shared" si="232"/>
        <v>0.33</v>
      </c>
      <c r="L462">
        <f t="shared" si="233"/>
        <v>0.33</v>
      </c>
      <c r="M462">
        <f t="shared" si="234"/>
        <v>0</v>
      </c>
      <c r="N462">
        <f t="shared" si="235"/>
        <v>0.95</v>
      </c>
      <c r="O462" t="str">
        <f t="shared" si="239"/>
        <v>松散</v>
      </c>
      <c r="P462" t="str">
        <f t="shared" si="236"/>
        <v>极紧凑</v>
      </c>
      <c r="Q462" t="str">
        <f t="shared" si="237"/>
        <v>✓有效</v>
      </c>
      <c r="R462" t="str">
        <f t="shared" si="238"/>
        <v>正常</v>
      </c>
    </row>
    <row r="463" ht="14.25" customHeight="1" spans="1:18">
      <c r="A463" s="10">
        <v>2024083</v>
      </c>
      <c r="B463" s="12" t="s">
        <v>415</v>
      </c>
      <c r="C463">
        <f t="shared" si="224"/>
        <v>8</v>
      </c>
      <c r="D463">
        <f t="shared" si="225"/>
        <v>9</v>
      </c>
      <c r="E463">
        <f t="shared" si="226"/>
        <v>9</v>
      </c>
      <c r="F463">
        <f t="shared" si="227"/>
        <v>26</v>
      </c>
      <c r="G463">
        <f t="shared" si="228"/>
        <v>6</v>
      </c>
      <c r="H463">
        <f t="shared" si="229"/>
        <v>1</v>
      </c>
      <c r="I463">
        <f t="shared" si="230"/>
        <v>26</v>
      </c>
      <c r="J463">
        <f t="shared" si="231"/>
        <v>0.67</v>
      </c>
      <c r="K463">
        <f t="shared" si="232"/>
        <v>1</v>
      </c>
      <c r="L463">
        <f t="shared" si="233"/>
        <v>0</v>
      </c>
      <c r="M463">
        <f t="shared" si="234"/>
        <v>2</v>
      </c>
      <c r="N463">
        <f t="shared" si="235"/>
        <v>10.83</v>
      </c>
      <c r="O463" t="str">
        <f t="shared" si="239"/>
        <v>紧凑</v>
      </c>
      <c r="P463" t="str">
        <f t="shared" si="236"/>
        <v>松散</v>
      </c>
      <c r="Q463" t="str">
        <f t="shared" si="237"/>
        <v>✓有效</v>
      </c>
      <c r="R463" t="str">
        <f t="shared" si="238"/>
        <v>异常</v>
      </c>
    </row>
    <row r="464" ht="14.25" customHeight="1" spans="1:18">
      <c r="A464" s="10">
        <v>2024084</v>
      </c>
      <c r="B464" s="12" t="s">
        <v>416</v>
      </c>
      <c r="C464">
        <f t="shared" si="224"/>
        <v>2</v>
      </c>
      <c r="D464">
        <f t="shared" si="225"/>
        <v>1</v>
      </c>
      <c r="E464">
        <f t="shared" si="226"/>
        <v>9</v>
      </c>
      <c r="F464">
        <f t="shared" si="227"/>
        <v>12</v>
      </c>
      <c r="G464">
        <f t="shared" si="228"/>
        <v>2</v>
      </c>
      <c r="H464">
        <f t="shared" si="229"/>
        <v>8</v>
      </c>
      <c r="I464">
        <f t="shared" si="230"/>
        <v>1.5</v>
      </c>
      <c r="J464">
        <f t="shared" si="231"/>
        <v>0.67</v>
      </c>
      <c r="K464">
        <f t="shared" si="232"/>
        <v>0.33</v>
      </c>
      <c r="L464">
        <f t="shared" si="233"/>
        <v>0.33</v>
      </c>
      <c r="M464">
        <f t="shared" si="234"/>
        <v>1</v>
      </c>
      <c r="N464">
        <f t="shared" si="235"/>
        <v>1.03</v>
      </c>
      <c r="O464" t="str">
        <f t="shared" si="239"/>
        <v>松散</v>
      </c>
      <c r="P464" t="str">
        <f t="shared" si="236"/>
        <v>极紧凑</v>
      </c>
      <c r="Q464" t="str">
        <f t="shared" si="237"/>
        <v>✓有效</v>
      </c>
      <c r="R464" t="str">
        <f t="shared" si="238"/>
        <v>正常</v>
      </c>
    </row>
    <row r="465" ht="14.25" customHeight="1" spans="1:18">
      <c r="A465" s="10">
        <v>2024085</v>
      </c>
      <c r="B465" s="12" t="s">
        <v>337</v>
      </c>
      <c r="C465">
        <f t="shared" si="224"/>
        <v>4</v>
      </c>
      <c r="D465">
        <f t="shared" si="225"/>
        <v>9</v>
      </c>
      <c r="E465">
        <f t="shared" si="226"/>
        <v>0</v>
      </c>
      <c r="F465">
        <f t="shared" si="227"/>
        <v>13</v>
      </c>
      <c r="G465">
        <f t="shared" si="228"/>
        <v>3</v>
      </c>
      <c r="H465">
        <f t="shared" si="229"/>
        <v>9</v>
      </c>
      <c r="I465">
        <f t="shared" si="230"/>
        <v>1.44</v>
      </c>
      <c r="J465">
        <f t="shared" si="231"/>
        <v>0.33</v>
      </c>
      <c r="K465">
        <f t="shared" si="232"/>
        <v>0.33</v>
      </c>
      <c r="L465">
        <f t="shared" si="233"/>
        <v>0</v>
      </c>
      <c r="M465">
        <f t="shared" si="234"/>
        <v>0</v>
      </c>
      <c r="N465">
        <f t="shared" si="235"/>
        <v>1.01</v>
      </c>
      <c r="O465" t="str">
        <f t="shared" si="239"/>
        <v>松散</v>
      </c>
      <c r="P465" t="str">
        <f t="shared" si="236"/>
        <v>极紧凑</v>
      </c>
      <c r="Q465" t="str">
        <f t="shared" si="237"/>
        <v>✓有效</v>
      </c>
      <c r="R465" t="str">
        <f t="shared" si="238"/>
        <v>正常</v>
      </c>
    </row>
    <row r="466" ht="14.25" customHeight="1" spans="1:18">
      <c r="A466" s="10">
        <v>2024086</v>
      </c>
      <c r="B466" s="12" t="s">
        <v>417</v>
      </c>
      <c r="C466">
        <f t="shared" si="224"/>
        <v>5</v>
      </c>
      <c r="D466">
        <f t="shared" si="225"/>
        <v>3</v>
      </c>
      <c r="E466">
        <f t="shared" si="226"/>
        <v>2</v>
      </c>
      <c r="F466">
        <f t="shared" si="227"/>
        <v>10</v>
      </c>
      <c r="G466">
        <f t="shared" si="228"/>
        <v>0</v>
      </c>
      <c r="H466">
        <f t="shared" si="229"/>
        <v>3</v>
      </c>
      <c r="I466">
        <f t="shared" si="230"/>
        <v>3.33</v>
      </c>
      <c r="J466">
        <f t="shared" si="231"/>
        <v>0.67</v>
      </c>
      <c r="K466">
        <f t="shared" si="232"/>
        <v>0.33</v>
      </c>
      <c r="L466">
        <f t="shared" si="233"/>
        <v>1</v>
      </c>
      <c r="M466">
        <f t="shared" si="234"/>
        <v>1</v>
      </c>
      <c r="N466">
        <f t="shared" si="235"/>
        <v>1.83</v>
      </c>
      <c r="O466" t="str">
        <f t="shared" si="239"/>
        <v>标准</v>
      </c>
      <c r="P466" t="str">
        <f t="shared" si="236"/>
        <v>紧凑</v>
      </c>
      <c r="Q466" t="str">
        <f t="shared" si="237"/>
        <v>✓有效</v>
      </c>
      <c r="R466" t="str">
        <f t="shared" si="238"/>
        <v>正常</v>
      </c>
    </row>
    <row r="467" ht="14.25" customHeight="1" spans="1:18">
      <c r="A467" s="10">
        <v>2024087</v>
      </c>
      <c r="B467" s="12" t="s">
        <v>418</v>
      </c>
      <c r="C467">
        <f t="shared" si="224"/>
        <v>7</v>
      </c>
      <c r="D467">
        <f t="shared" si="225"/>
        <v>9</v>
      </c>
      <c r="E467">
        <f t="shared" si="226"/>
        <v>7</v>
      </c>
      <c r="F467">
        <f t="shared" si="227"/>
        <v>23</v>
      </c>
      <c r="G467">
        <f t="shared" si="228"/>
        <v>3</v>
      </c>
      <c r="H467">
        <f t="shared" si="229"/>
        <v>2</v>
      </c>
      <c r="I467">
        <f t="shared" si="230"/>
        <v>11.5</v>
      </c>
      <c r="J467">
        <f t="shared" si="231"/>
        <v>1</v>
      </c>
      <c r="K467">
        <f t="shared" si="232"/>
        <v>1</v>
      </c>
      <c r="L467">
        <f t="shared" si="233"/>
        <v>0.67</v>
      </c>
      <c r="M467">
        <f t="shared" si="234"/>
        <v>0</v>
      </c>
      <c r="N467">
        <f t="shared" si="235"/>
        <v>5.37</v>
      </c>
      <c r="O467" t="str">
        <f t="shared" si="239"/>
        <v>紧凑</v>
      </c>
      <c r="P467" t="str">
        <f t="shared" si="236"/>
        <v>松散</v>
      </c>
      <c r="Q467" t="str">
        <f t="shared" si="237"/>
        <v>✓有效</v>
      </c>
      <c r="R467" t="str">
        <f t="shared" si="238"/>
        <v>异常</v>
      </c>
    </row>
    <row r="468" ht="14.25" customHeight="1" spans="1:18">
      <c r="A468" s="10">
        <v>2024088</v>
      </c>
      <c r="B468" s="12" t="s">
        <v>419</v>
      </c>
      <c r="C468">
        <f t="shared" si="224"/>
        <v>7</v>
      </c>
      <c r="D468">
        <f t="shared" si="225"/>
        <v>6</v>
      </c>
      <c r="E468">
        <f t="shared" si="226"/>
        <v>1</v>
      </c>
      <c r="F468">
        <f t="shared" si="227"/>
        <v>14</v>
      </c>
      <c r="G468">
        <f t="shared" si="228"/>
        <v>4</v>
      </c>
      <c r="H468">
        <f t="shared" si="229"/>
        <v>6</v>
      </c>
      <c r="I468">
        <f t="shared" si="230"/>
        <v>2.33</v>
      </c>
      <c r="J468">
        <f t="shared" si="231"/>
        <v>0.67</v>
      </c>
      <c r="K468">
        <f t="shared" si="232"/>
        <v>0.67</v>
      </c>
      <c r="L468">
        <f t="shared" si="233"/>
        <v>0.33</v>
      </c>
      <c r="M468">
        <f t="shared" si="234"/>
        <v>1</v>
      </c>
      <c r="N468">
        <f t="shared" si="235"/>
        <v>1.43</v>
      </c>
      <c r="O468" t="str">
        <f t="shared" si="239"/>
        <v>标准</v>
      </c>
      <c r="P468" t="str">
        <f t="shared" si="236"/>
        <v>极紧凑</v>
      </c>
      <c r="Q468" t="str">
        <f t="shared" si="237"/>
        <v>✓有效</v>
      </c>
      <c r="R468" t="str">
        <f t="shared" si="238"/>
        <v>正常</v>
      </c>
    </row>
    <row r="469" ht="14.25" customHeight="1" spans="1:18">
      <c r="A469" s="10">
        <v>2024089</v>
      </c>
      <c r="B469" s="12" t="s">
        <v>300</v>
      </c>
      <c r="C469">
        <f t="shared" si="224"/>
        <v>4</v>
      </c>
      <c r="D469">
        <f t="shared" si="225"/>
        <v>5</v>
      </c>
      <c r="E469">
        <f t="shared" si="226"/>
        <v>7</v>
      </c>
      <c r="F469">
        <f t="shared" si="227"/>
        <v>16</v>
      </c>
      <c r="G469">
        <f t="shared" si="228"/>
        <v>6</v>
      </c>
      <c r="H469">
        <f t="shared" si="229"/>
        <v>3</v>
      </c>
      <c r="I469">
        <f t="shared" si="230"/>
        <v>5.33</v>
      </c>
      <c r="J469">
        <f t="shared" si="231"/>
        <v>0.67</v>
      </c>
      <c r="K469">
        <f t="shared" si="232"/>
        <v>0.67</v>
      </c>
      <c r="L469">
        <f t="shared" si="233"/>
        <v>0.67</v>
      </c>
      <c r="M469">
        <f t="shared" si="234"/>
        <v>1</v>
      </c>
      <c r="N469">
        <f t="shared" si="235"/>
        <v>2.67</v>
      </c>
      <c r="O469" t="str">
        <f t="shared" si="239"/>
        <v>紧凑</v>
      </c>
      <c r="P469" t="str">
        <f t="shared" si="236"/>
        <v>紧凑</v>
      </c>
      <c r="Q469" t="str">
        <f t="shared" si="237"/>
        <v>✓有效</v>
      </c>
      <c r="R469" t="str">
        <f t="shared" si="238"/>
        <v>正常</v>
      </c>
    </row>
    <row r="470" ht="14.25" customHeight="1" spans="1:18">
      <c r="A470" s="10">
        <v>2024090</v>
      </c>
      <c r="B470" s="12" t="s">
        <v>420</v>
      </c>
      <c r="C470">
        <f t="shared" si="224"/>
        <v>8</v>
      </c>
      <c r="D470">
        <f t="shared" si="225"/>
        <v>9</v>
      </c>
      <c r="E470">
        <f t="shared" si="226"/>
        <v>0</v>
      </c>
      <c r="F470">
        <f t="shared" si="227"/>
        <v>17</v>
      </c>
      <c r="G470">
        <f t="shared" si="228"/>
        <v>7</v>
      </c>
      <c r="H470">
        <f t="shared" si="229"/>
        <v>9</v>
      </c>
      <c r="I470">
        <f t="shared" si="230"/>
        <v>1.89</v>
      </c>
      <c r="J470">
        <f t="shared" si="231"/>
        <v>0.33</v>
      </c>
      <c r="K470">
        <f t="shared" si="232"/>
        <v>0.67</v>
      </c>
      <c r="L470">
        <f t="shared" si="233"/>
        <v>0</v>
      </c>
      <c r="M470">
        <f t="shared" si="234"/>
        <v>1</v>
      </c>
      <c r="N470">
        <f t="shared" si="235"/>
        <v>1.16</v>
      </c>
      <c r="O470" t="str">
        <f t="shared" si="239"/>
        <v>松散</v>
      </c>
      <c r="P470" t="str">
        <f t="shared" si="236"/>
        <v>极紧凑</v>
      </c>
      <c r="Q470" t="str">
        <f t="shared" si="237"/>
        <v>✓有效</v>
      </c>
      <c r="R470" t="str">
        <f t="shared" si="238"/>
        <v>正常</v>
      </c>
    </row>
    <row r="471" ht="14.25" customHeight="1" spans="1:18">
      <c r="A471" s="10">
        <v>2024091</v>
      </c>
      <c r="B471" s="12" t="s">
        <v>289</v>
      </c>
      <c r="C471">
        <f t="shared" si="224"/>
        <v>5</v>
      </c>
      <c r="D471">
        <f t="shared" si="225"/>
        <v>6</v>
      </c>
      <c r="E471">
        <f t="shared" si="226"/>
        <v>4</v>
      </c>
      <c r="F471">
        <f t="shared" si="227"/>
        <v>15</v>
      </c>
      <c r="G471">
        <f t="shared" si="228"/>
        <v>5</v>
      </c>
      <c r="H471">
        <f t="shared" si="229"/>
        <v>2</v>
      </c>
      <c r="I471">
        <f t="shared" si="230"/>
        <v>7.5</v>
      </c>
      <c r="J471">
        <f t="shared" si="231"/>
        <v>0.33</v>
      </c>
      <c r="K471">
        <f t="shared" si="232"/>
        <v>0.67</v>
      </c>
      <c r="L471">
        <f t="shared" si="233"/>
        <v>0.33</v>
      </c>
      <c r="M471">
        <f t="shared" si="234"/>
        <v>2</v>
      </c>
      <c r="N471">
        <f t="shared" si="235"/>
        <v>3.33</v>
      </c>
      <c r="O471" t="str">
        <f t="shared" si="239"/>
        <v>紧凑</v>
      </c>
      <c r="P471" t="str">
        <f t="shared" si="236"/>
        <v>标准</v>
      </c>
      <c r="Q471" t="str">
        <f t="shared" si="237"/>
        <v>✓有效</v>
      </c>
      <c r="R471" t="str">
        <f t="shared" si="238"/>
        <v>正常</v>
      </c>
    </row>
    <row r="472" ht="14.25" customHeight="1" spans="1:18">
      <c r="A472" s="10">
        <v>2024092</v>
      </c>
      <c r="B472" s="12" t="s">
        <v>263</v>
      </c>
      <c r="C472">
        <f t="shared" si="224"/>
        <v>0</v>
      </c>
      <c r="D472">
        <f t="shared" si="225"/>
        <v>7</v>
      </c>
      <c r="E472">
        <f t="shared" si="226"/>
        <v>1</v>
      </c>
      <c r="F472">
        <f t="shared" si="227"/>
        <v>8</v>
      </c>
      <c r="G472">
        <f t="shared" si="228"/>
        <v>8</v>
      </c>
      <c r="H472">
        <f t="shared" si="229"/>
        <v>7</v>
      </c>
      <c r="I472">
        <f t="shared" si="230"/>
        <v>1.14</v>
      </c>
      <c r="J472">
        <f t="shared" si="231"/>
        <v>0.67</v>
      </c>
      <c r="K472">
        <f t="shared" si="232"/>
        <v>0.33</v>
      </c>
      <c r="L472">
        <f t="shared" si="233"/>
        <v>0.33</v>
      </c>
      <c r="M472">
        <f t="shared" si="234"/>
        <v>1</v>
      </c>
      <c r="N472">
        <f t="shared" si="235"/>
        <v>0.89</v>
      </c>
      <c r="O472" t="str">
        <f t="shared" si="239"/>
        <v>松散</v>
      </c>
      <c r="P472" t="str">
        <f t="shared" si="236"/>
        <v>极紧凑</v>
      </c>
      <c r="Q472" t="str">
        <f t="shared" si="237"/>
        <v>✓有效</v>
      </c>
      <c r="R472" t="str">
        <f t="shared" si="238"/>
        <v>正常</v>
      </c>
    </row>
    <row r="473" ht="14.25" customHeight="1" spans="1:18">
      <c r="A473" s="10">
        <v>2024093</v>
      </c>
      <c r="B473" s="12" t="s">
        <v>421</v>
      </c>
      <c r="C473">
        <f t="shared" si="224"/>
        <v>6</v>
      </c>
      <c r="D473">
        <f t="shared" si="225"/>
        <v>4</v>
      </c>
      <c r="E473">
        <f t="shared" si="226"/>
        <v>7</v>
      </c>
      <c r="F473">
        <f t="shared" si="227"/>
        <v>17</v>
      </c>
      <c r="G473">
        <f t="shared" si="228"/>
        <v>7</v>
      </c>
      <c r="H473">
        <f t="shared" si="229"/>
        <v>3</v>
      </c>
      <c r="I473">
        <f t="shared" si="230"/>
        <v>5.67</v>
      </c>
      <c r="J473">
        <f t="shared" si="231"/>
        <v>0.33</v>
      </c>
      <c r="K473">
        <f t="shared" si="232"/>
        <v>0.67</v>
      </c>
      <c r="L473">
        <f t="shared" si="233"/>
        <v>0.33</v>
      </c>
      <c r="M473">
        <f t="shared" si="234"/>
        <v>1</v>
      </c>
      <c r="N473">
        <f t="shared" si="235"/>
        <v>2.7</v>
      </c>
      <c r="O473" t="str">
        <f t="shared" si="239"/>
        <v>紧凑</v>
      </c>
      <c r="P473" t="str">
        <f t="shared" si="236"/>
        <v>紧凑</v>
      </c>
      <c r="Q473" t="str">
        <f t="shared" si="237"/>
        <v>✓有效</v>
      </c>
      <c r="R473" t="str">
        <f t="shared" si="238"/>
        <v>正常</v>
      </c>
    </row>
    <row r="474" ht="14.25" customHeight="1" spans="1:18">
      <c r="A474" s="10">
        <v>2024094</v>
      </c>
      <c r="B474" s="12" t="s">
        <v>422</v>
      </c>
      <c r="C474">
        <f t="shared" si="224"/>
        <v>6</v>
      </c>
      <c r="D474">
        <f t="shared" si="225"/>
        <v>7</v>
      </c>
      <c r="E474">
        <f t="shared" si="226"/>
        <v>9</v>
      </c>
      <c r="F474">
        <f t="shared" si="227"/>
        <v>22</v>
      </c>
      <c r="G474">
        <f t="shared" si="228"/>
        <v>2</v>
      </c>
      <c r="H474">
        <f t="shared" si="229"/>
        <v>3</v>
      </c>
      <c r="I474">
        <f t="shared" si="230"/>
        <v>7.33</v>
      </c>
      <c r="J474">
        <f t="shared" si="231"/>
        <v>0.67</v>
      </c>
      <c r="K474">
        <f t="shared" si="232"/>
        <v>1</v>
      </c>
      <c r="L474">
        <f t="shared" si="233"/>
        <v>0.33</v>
      </c>
      <c r="M474">
        <f t="shared" si="234"/>
        <v>1</v>
      </c>
      <c r="N474">
        <f t="shared" si="235"/>
        <v>3.5</v>
      </c>
      <c r="O474" t="str">
        <f t="shared" si="239"/>
        <v>紧凑</v>
      </c>
      <c r="P474" t="str">
        <f t="shared" si="236"/>
        <v>标准</v>
      </c>
      <c r="Q474" t="str">
        <f t="shared" si="237"/>
        <v>✓有效</v>
      </c>
      <c r="R474" t="str">
        <f t="shared" si="238"/>
        <v>正常</v>
      </c>
    </row>
    <row r="475" ht="14.25" customHeight="1" spans="1:18">
      <c r="A475" s="10">
        <v>2024095</v>
      </c>
      <c r="B475" s="12" t="s">
        <v>384</v>
      </c>
      <c r="C475">
        <f t="shared" si="224"/>
        <v>2</v>
      </c>
      <c r="D475">
        <f t="shared" si="225"/>
        <v>5</v>
      </c>
      <c r="E475">
        <f t="shared" si="226"/>
        <v>7</v>
      </c>
      <c r="F475">
        <f t="shared" si="227"/>
        <v>14</v>
      </c>
      <c r="G475">
        <f t="shared" si="228"/>
        <v>4</v>
      </c>
      <c r="H475">
        <f t="shared" si="229"/>
        <v>5</v>
      </c>
      <c r="I475">
        <f t="shared" si="230"/>
        <v>2.8</v>
      </c>
      <c r="J475">
        <f t="shared" si="231"/>
        <v>0.67</v>
      </c>
      <c r="K475">
        <f t="shared" si="232"/>
        <v>0.67</v>
      </c>
      <c r="L475">
        <f t="shared" si="233"/>
        <v>1</v>
      </c>
      <c r="M475">
        <f t="shared" si="234"/>
        <v>0</v>
      </c>
      <c r="N475">
        <f t="shared" si="235"/>
        <v>1.79</v>
      </c>
      <c r="O475" t="str">
        <f t="shared" si="239"/>
        <v>标准</v>
      </c>
      <c r="P475" t="str">
        <f t="shared" si="236"/>
        <v>紧凑</v>
      </c>
      <c r="Q475" t="str">
        <f t="shared" si="237"/>
        <v>✓有效</v>
      </c>
      <c r="R475" t="str">
        <f t="shared" si="238"/>
        <v>正常</v>
      </c>
    </row>
    <row r="476" ht="14.25" customHeight="1" spans="1:18">
      <c r="A476" s="10">
        <v>2024096</v>
      </c>
      <c r="B476" s="12" t="s">
        <v>423</v>
      </c>
      <c r="C476">
        <f t="shared" si="224"/>
        <v>1</v>
      </c>
      <c r="D476">
        <f t="shared" si="225"/>
        <v>2</v>
      </c>
      <c r="E476">
        <f t="shared" si="226"/>
        <v>3</v>
      </c>
      <c r="F476">
        <f t="shared" si="227"/>
        <v>6</v>
      </c>
      <c r="G476">
        <f t="shared" si="228"/>
        <v>6</v>
      </c>
      <c r="H476">
        <f t="shared" si="229"/>
        <v>2</v>
      </c>
      <c r="I476">
        <f t="shared" si="230"/>
        <v>3</v>
      </c>
      <c r="J476">
        <f t="shared" si="231"/>
        <v>0.67</v>
      </c>
      <c r="K476">
        <f t="shared" si="232"/>
        <v>0</v>
      </c>
      <c r="L476">
        <f t="shared" si="233"/>
        <v>0.67</v>
      </c>
      <c r="M476">
        <f t="shared" si="234"/>
        <v>2</v>
      </c>
      <c r="N476">
        <f t="shared" si="235"/>
        <v>1.5</v>
      </c>
      <c r="O476" t="str">
        <f t="shared" si="239"/>
        <v>标准</v>
      </c>
      <c r="P476" t="str">
        <f t="shared" si="236"/>
        <v>极紧凑</v>
      </c>
      <c r="Q476" t="str">
        <f t="shared" si="237"/>
        <v>✓有效</v>
      </c>
      <c r="R476" t="str">
        <f t="shared" si="238"/>
        <v>正常</v>
      </c>
    </row>
    <row r="477" ht="14.25" customHeight="1" spans="1:18">
      <c r="A477" s="10">
        <v>2024097</v>
      </c>
      <c r="B477" s="12" t="s">
        <v>424</v>
      </c>
      <c r="C477">
        <f t="shared" si="224"/>
        <v>3</v>
      </c>
      <c r="D477">
        <f t="shared" si="225"/>
        <v>8</v>
      </c>
      <c r="E477">
        <f t="shared" si="226"/>
        <v>9</v>
      </c>
      <c r="F477">
        <f t="shared" si="227"/>
        <v>20</v>
      </c>
      <c r="G477">
        <f t="shared" si="228"/>
        <v>0</v>
      </c>
      <c r="H477">
        <f t="shared" si="229"/>
        <v>6</v>
      </c>
      <c r="I477">
        <f t="shared" si="230"/>
        <v>3.33</v>
      </c>
      <c r="J477">
        <f t="shared" si="231"/>
        <v>0.67</v>
      </c>
      <c r="K477">
        <f t="shared" si="232"/>
        <v>0.67</v>
      </c>
      <c r="L477">
        <f t="shared" si="233"/>
        <v>0.33</v>
      </c>
      <c r="M477">
        <f t="shared" si="234"/>
        <v>1</v>
      </c>
      <c r="N477">
        <f t="shared" si="235"/>
        <v>1.83</v>
      </c>
      <c r="O477" t="str">
        <f t="shared" si="239"/>
        <v>标准</v>
      </c>
      <c r="P477" t="str">
        <f t="shared" si="236"/>
        <v>紧凑</v>
      </c>
      <c r="Q477" t="str">
        <f t="shared" si="237"/>
        <v>✓有效</v>
      </c>
      <c r="R477" t="str">
        <f t="shared" si="238"/>
        <v>正常</v>
      </c>
    </row>
    <row r="478" ht="14.25" customHeight="1" spans="1:18">
      <c r="A478" s="10">
        <v>2024098</v>
      </c>
      <c r="B478" s="12" t="s">
        <v>365</v>
      </c>
      <c r="C478">
        <f t="shared" si="224"/>
        <v>6</v>
      </c>
      <c r="D478">
        <f t="shared" si="225"/>
        <v>2</v>
      </c>
      <c r="E478">
        <f t="shared" si="226"/>
        <v>0</v>
      </c>
      <c r="F478">
        <f t="shared" si="227"/>
        <v>8</v>
      </c>
      <c r="G478">
        <f t="shared" si="228"/>
        <v>8</v>
      </c>
      <c r="H478">
        <f t="shared" si="229"/>
        <v>6</v>
      </c>
      <c r="I478">
        <f t="shared" si="230"/>
        <v>1.33</v>
      </c>
      <c r="J478">
        <f t="shared" si="231"/>
        <v>0</v>
      </c>
      <c r="K478">
        <f t="shared" si="232"/>
        <v>0.33</v>
      </c>
      <c r="L478">
        <f t="shared" si="233"/>
        <v>0.33</v>
      </c>
      <c r="M478">
        <f t="shared" si="234"/>
        <v>0</v>
      </c>
      <c r="N478">
        <f t="shared" si="235"/>
        <v>0.93</v>
      </c>
      <c r="O478" t="str">
        <f t="shared" si="239"/>
        <v>松散</v>
      </c>
      <c r="P478" t="str">
        <f t="shared" si="236"/>
        <v>极紧凑</v>
      </c>
      <c r="Q478" t="str">
        <f t="shared" si="237"/>
        <v>✓有效</v>
      </c>
      <c r="R478" t="str">
        <f t="shared" si="238"/>
        <v>正常</v>
      </c>
    </row>
    <row r="479" ht="14.25" customHeight="1" spans="1:18">
      <c r="A479" s="10">
        <v>2024099</v>
      </c>
      <c r="B479" s="12" t="s">
        <v>233</v>
      </c>
      <c r="C479">
        <f t="shared" si="224"/>
        <v>1</v>
      </c>
      <c r="D479">
        <f t="shared" si="225"/>
        <v>9</v>
      </c>
      <c r="E479">
        <f t="shared" si="226"/>
        <v>0</v>
      </c>
      <c r="F479">
        <f t="shared" si="227"/>
        <v>10</v>
      </c>
      <c r="G479">
        <f t="shared" si="228"/>
        <v>0</v>
      </c>
      <c r="H479">
        <f t="shared" si="229"/>
        <v>9</v>
      </c>
      <c r="I479">
        <f t="shared" si="230"/>
        <v>1.11</v>
      </c>
      <c r="J479">
        <f t="shared" si="231"/>
        <v>0.67</v>
      </c>
      <c r="K479">
        <f t="shared" si="232"/>
        <v>0.33</v>
      </c>
      <c r="L479">
        <f t="shared" si="233"/>
        <v>0</v>
      </c>
      <c r="M479">
        <f t="shared" si="234"/>
        <v>1</v>
      </c>
      <c r="N479">
        <f t="shared" si="235"/>
        <v>0.84</v>
      </c>
      <c r="O479" t="str">
        <f t="shared" si="239"/>
        <v>松散</v>
      </c>
      <c r="P479" t="str">
        <f t="shared" si="236"/>
        <v>极紧凑</v>
      </c>
      <c r="Q479" t="str">
        <f t="shared" si="237"/>
        <v>✓有效</v>
      </c>
      <c r="R479" t="str">
        <f t="shared" si="238"/>
        <v>正常</v>
      </c>
    </row>
    <row r="480" ht="14.25" customHeight="1" spans="1:18">
      <c r="A480" s="10">
        <v>2024100</v>
      </c>
      <c r="B480" s="12" t="s">
        <v>425</v>
      </c>
      <c r="C480">
        <f t="shared" ref="C480:C543" si="240">IF(B480="","",LEFT(TEXT(B480,"000"),1)*1)</f>
        <v>9</v>
      </c>
      <c r="D480">
        <f t="shared" ref="D480:D543" si="241">IF(B480="","",MID(TEXT(B480,"000"),2,1)*1)</f>
        <v>3</v>
      </c>
      <c r="E480">
        <f t="shared" ref="E480:E543" si="242">IF(B480="","",RIGHT(TEXT(B480,"000"),1)*1)</f>
        <v>6</v>
      </c>
      <c r="F480">
        <f t="shared" ref="F480:F543" si="243">IF(B480="","",C480+D480+E480)</f>
        <v>18</v>
      </c>
      <c r="G480">
        <f t="shared" ref="G480:G543" si="244">IF(B480="","",MOD(F480,10))</f>
        <v>8</v>
      </c>
      <c r="H480">
        <f t="shared" ref="H480:H543" si="245">IF(B480="","",MAX(C480,D480,E480)-MIN(C480,D480,E480))</f>
        <v>6</v>
      </c>
      <c r="I480">
        <f t="shared" ref="I480:I543" si="246">IF(OR(B480="",H480=0),IF(H480=0,0.1,""),ROUND(F480/H480,2))</f>
        <v>3</v>
      </c>
      <c r="J480">
        <f t="shared" ref="J480:J543" si="247">IF(B480="","",ROUND((MOD(C480,2)+MOD(D480,2)+MOD(E480,2))/3,2))</f>
        <v>0.67</v>
      </c>
      <c r="K480">
        <f t="shared" ref="K480:K543" si="248">IF(B480="","",ROUND(((C480&gt;=5)+(D480&gt;=5)+(E480&gt;=5))/3,2))</f>
        <v>0.67</v>
      </c>
      <c r="L480">
        <f t="shared" ref="L480:L543" si="249">IF(B480="","",ROUND((ISNUMBER(FIND(C480,"2357"))+ISNUMBER(FIND(D480,"2357"))+ISNUMBER(FIND(E480,"2357")))/3,2))</f>
        <v>0.33</v>
      </c>
      <c r="M480">
        <f t="shared" ref="M480:M543" si="250">IF(B480="","",((ABS(C480-D480)=1)+(ABS(D480-E480)=1)+(ABS(C480-E480)=1)))</f>
        <v>0</v>
      </c>
      <c r="N480">
        <f t="shared" ref="N480:N543" si="251">IF(B480="","",ROUND(I480*0.4+J480*0.2+K480*0.2+L480*0.1+(3-M480)*0.1,2))</f>
        <v>1.8</v>
      </c>
      <c r="O480" t="str">
        <f t="shared" si="239"/>
        <v>标准</v>
      </c>
      <c r="P480" t="str">
        <f t="shared" ref="P480:P543" si="252">IF(B480="","",IF(N480&lt;=1.5,"极紧凑",IF(N480&lt;=3,"紧凑",IF(N480&lt;=5,"标准","松散"))))</f>
        <v>紧凑</v>
      </c>
      <c r="Q480" t="str">
        <f t="shared" ref="Q480:Q543" si="253">IF(B480="","",IF(AND(C480&gt;=0,C480&lt;=9,D480&gt;=0,D480&lt;=9,E480&gt;=0,E480&lt;=9),"✓有效","✗无效"))</f>
        <v>✓有效</v>
      </c>
      <c r="R480" t="str">
        <f t="shared" ref="R480:R543" si="254">IF(B480="","",IF(OR(I480&gt;10,I480&lt;0.1),"异常","正常"))</f>
        <v>正常</v>
      </c>
    </row>
    <row r="481" ht="14.25" customHeight="1" spans="1:18">
      <c r="A481" s="10">
        <v>2024101</v>
      </c>
      <c r="B481" s="12" t="s">
        <v>325</v>
      </c>
      <c r="C481">
        <f t="shared" si="240"/>
        <v>5</v>
      </c>
      <c r="D481">
        <f t="shared" si="241"/>
        <v>9</v>
      </c>
      <c r="E481">
        <f t="shared" si="242"/>
        <v>4</v>
      </c>
      <c r="F481">
        <f t="shared" si="243"/>
        <v>18</v>
      </c>
      <c r="G481">
        <f t="shared" si="244"/>
        <v>8</v>
      </c>
      <c r="H481">
        <f t="shared" si="245"/>
        <v>5</v>
      </c>
      <c r="I481">
        <f t="shared" si="246"/>
        <v>3.6</v>
      </c>
      <c r="J481">
        <f t="shared" si="247"/>
        <v>0.67</v>
      </c>
      <c r="K481">
        <f t="shared" si="248"/>
        <v>0.67</v>
      </c>
      <c r="L481">
        <f t="shared" si="249"/>
        <v>0.33</v>
      </c>
      <c r="M481">
        <f t="shared" si="250"/>
        <v>1</v>
      </c>
      <c r="N481">
        <f t="shared" si="251"/>
        <v>1.94</v>
      </c>
      <c r="O481" t="str">
        <f t="shared" ref="O481:O544" si="255">IF(I481=0.1,"极紧凑",IF(I481&gt;3.5,"紧凑",IF(AND(I481&gt;=2,I481&lt;=3.5),"标准",IF(AND(I481&gt;=1,I481&lt;2),"松散",""))))</f>
        <v>紧凑</v>
      </c>
      <c r="P481" t="str">
        <f t="shared" si="252"/>
        <v>紧凑</v>
      </c>
      <c r="Q481" t="str">
        <f t="shared" si="253"/>
        <v>✓有效</v>
      </c>
      <c r="R481" t="str">
        <f t="shared" si="254"/>
        <v>正常</v>
      </c>
    </row>
    <row r="482" ht="14.25" customHeight="1" spans="1:18">
      <c r="A482" s="10">
        <v>2024102</v>
      </c>
      <c r="B482" s="12" t="s">
        <v>213</v>
      </c>
      <c r="C482">
        <f t="shared" si="240"/>
        <v>3</v>
      </c>
      <c r="D482">
        <f t="shared" si="241"/>
        <v>3</v>
      </c>
      <c r="E482">
        <f t="shared" si="242"/>
        <v>9</v>
      </c>
      <c r="F482">
        <f t="shared" si="243"/>
        <v>15</v>
      </c>
      <c r="G482">
        <f t="shared" si="244"/>
        <v>5</v>
      </c>
      <c r="H482">
        <f t="shared" si="245"/>
        <v>6</v>
      </c>
      <c r="I482">
        <f t="shared" si="246"/>
        <v>2.5</v>
      </c>
      <c r="J482">
        <f t="shared" si="247"/>
        <v>1</v>
      </c>
      <c r="K482">
        <f t="shared" si="248"/>
        <v>0.33</v>
      </c>
      <c r="L482">
        <f t="shared" si="249"/>
        <v>0.67</v>
      </c>
      <c r="M482">
        <f t="shared" si="250"/>
        <v>0</v>
      </c>
      <c r="N482">
        <f t="shared" si="251"/>
        <v>1.63</v>
      </c>
      <c r="O482" t="str">
        <f t="shared" si="255"/>
        <v>标准</v>
      </c>
      <c r="P482" t="str">
        <f t="shared" si="252"/>
        <v>紧凑</v>
      </c>
      <c r="Q482" t="str">
        <f t="shared" si="253"/>
        <v>✓有效</v>
      </c>
      <c r="R482" t="str">
        <f t="shared" si="254"/>
        <v>正常</v>
      </c>
    </row>
    <row r="483" ht="14.25" customHeight="1" spans="1:18">
      <c r="A483" s="10">
        <v>2024103</v>
      </c>
      <c r="B483" s="12" t="s">
        <v>426</v>
      </c>
      <c r="C483">
        <f t="shared" si="240"/>
        <v>9</v>
      </c>
      <c r="D483">
        <f t="shared" si="241"/>
        <v>8</v>
      </c>
      <c r="E483">
        <f t="shared" si="242"/>
        <v>4</v>
      </c>
      <c r="F483">
        <f t="shared" si="243"/>
        <v>21</v>
      </c>
      <c r="G483">
        <f t="shared" si="244"/>
        <v>1</v>
      </c>
      <c r="H483">
        <f t="shared" si="245"/>
        <v>5</v>
      </c>
      <c r="I483">
        <f t="shared" si="246"/>
        <v>4.2</v>
      </c>
      <c r="J483">
        <f t="shared" si="247"/>
        <v>0.33</v>
      </c>
      <c r="K483">
        <f t="shared" si="248"/>
        <v>0.67</v>
      </c>
      <c r="L483">
        <f t="shared" si="249"/>
        <v>0</v>
      </c>
      <c r="M483">
        <f t="shared" si="250"/>
        <v>1</v>
      </c>
      <c r="N483">
        <f t="shared" si="251"/>
        <v>2.08</v>
      </c>
      <c r="O483" t="str">
        <f t="shared" si="255"/>
        <v>紧凑</v>
      </c>
      <c r="P483" t="str">
        <f t="shared" si="252"/>
        <v>紧凑</v>
      </c>
      <c r="Q483" t="str">
        <f t="shared" si="253"/>
        <v>✓有效</v>
      </c>
      <c r="R483" t="str">
        <f t="shared" si="254"/>
        <v>正常</v>
      </c>
    </row>
    <row r="484" ht="14.25" customHeight="1" spans="1:18">
      <c r="A484" s="10">
        <v>2024104</v>
      </c>
      <c r="B484" s="12" t="s">
        <v>427</v>
      </c>
      <c r="C484">
        <f t="shared" si="240"/>
        <v>5</v>
      </c>
      <c r="D484">
        <f t="shared" si="241"/>
        <v>7</v>
      </c>
      <c r="E484">
        <f t="shared" si="242"/>
        <v>9</v>
      </c>
      <c r="F484">
        <f t="shared" si="243"/>
        <v>21</v>
      </c>
      <c r="G484">
        <f t="shared" si="244"/>
        <v>1</v>
      </c>
      <c r="H484">
        <f t="shared" si="245"/>
        <v>4</v>
      </c>
      <c r="I484">
        <f t="shared" si="246"/>
        <v>5.25</v>
      </c>
      <c r="J484">
        <f t="shared" si="247"/>
        <v>1</v>
      </c>
      <c r="K484">
        <f t="shared" si="248"/>
        <v>1</v>
      </c>
      <c r="L484">
        <f t="shared" si="249"/>
        <v>0.67</v>
      </c>
      <c r="M484">
        <f t="shared" si="250"/>
        <v>0</v>
      </c>
      <c r="N484">
        <f t="shared" si="251"/>
        <v>2.87</v>
      </c>
      <c r="O484" t="str">
        <f t="shared" si="255"/>
        <v>紧凑</v>
      </c>
      <c r="P484" t="str">
        <f t="shared" si="252"/>
        <v>紧凑</v>
      </c>
      <c r="Q484" t="str">
        <f t="shared" si="253"/>
        <v>✓有效</v>
      </c>
      <c r="R484" t="str">
        <f t="shared" si="254"/>
        <v>正常</v>
      </c>
    </row>
    <row r="485" ht="14.25" customHeight="1" spans="1:18">
      <c r="A485" s="10">
        <v>2024105</v>
      </c>
      <c r="B485" s="12" t="s">
        <v>428</v>
      </c>
      <c r="C485">
        <f t="shared" si="240"/>
        <v>9</v>
      </c>
      <c r="D485">
        <f t="shared" si="241"/>
        <v>7</v>
      </c>
      <c r="E485">
        <f t="shared" si="242"/>
        <v>6</v>
      </c>
      <c r="F485">
        <f t="shared" si="243"/>
        <v>22</v>
      </c>
      <c r="G485">
        <f t="shared" si="244"/>
        <v>2</v>
      </c>
      <c r="H485">
        <f t="shared" si="245"/>
        <v>3</v>
      </c>
      <c r="I485">
        <f t="shared" si="246"/>
        <v>7.33</v>
      </c>
      <c r="J485">
        <f t="shared" si="247"/>
        <v>0.67</v>
      </c>
      <c r="K485">
        <f t="shared" si="248"/>
        <v>1</v>
      </c>
      <c r="L485">
        <f t="shared" si="249"/>
        <v>0.33</v>
      </c>
      <c r="M485">
        <f t="shared" si="250"/>
        <v>1</v>
      </c>
      <c r="N485">
        <f t="shared" si="251"/>
        <v>3.5</v>
      </c>
      <c r="O485" t="str">
        <f t="shared" si="255"/>
        <v>紧凑</v>
      </c>
      <c r="P485" t="str">
        <f t="shared" si="252"/>
        <v>标准</v>
      </c>
      <c r="Q485" t="str">
        <f t="shared" si="253"/>
        <v>✓有效</v>
      </c>
      <c r="R485" t="str">
        <f t="shared" si="254"/>
        <v>正常</v>
      </c>
    </row>
    <row r="486" ht="14.25" customHeight="1" spans="1:18">
      <c r="A486" s="10">
        <v>2024106</v>
      </c>
      <c r="B486" s="12" t="s">
        <v>429</v>
      </c>
      <c r="C486">
        <f t="shared" si="240"/>
        <v>1</v>
      </c>
      <c r="D486">
        <f t="shared" si="241"/>
        <v>2</v>
      </c>
      <c r="E486">
        <f t="shared" si="242"/>
        <v>7</v>
      </c>
      <c r="F486">
        <f t="shared" si="243"/>
        <v>10</v>
      </c>
      <c r="G486">
        <f t="shared" si="244"/>
        <v>0</v>
      </c>
      <c r="H486">
        <f t="shared" si="245"/>
        <v>6</v>
      </c>
      <c r="I486">
        <f t="shared" si="246"/>
        <v>1.67</v>
      </c>
      <c r="J486">
        <f t="shared" si="247"/>
        <v>0.67</v>
      </c>
      <c r="K486">
        <f t="shared" si="248"/>
        <v>0.33</v>
      </c>
      <c r="L486">
        <f t="shared" si="249"/>
        <v>0.67</v>
      </c>
      <c r="M486">
        <f t="shared" si="250"/>
        <v>1</v>
      </c>
      <c r="N486">
        <f t="shared" si="251"/>
        <v>1.14</v>
      </c>
      <c r="O486" t="str">
        <f t="shared" si="255"/>
        <v>松散</v>
      </c>
      <c r="P486" t="str">
        <f t="shared" si="252"/>
        <v>极紧凑</v>
      </c>
      <c r="Q486" t="str">
        <f t="shared" si="253"/>
        <v>✓有效</v>
      </c>
      <c r="R486" t="str">
        <f t="shared" si="254"/>
        <v>正常</v>
      </c>
    </row>
    <row r="487" ht="14.25" customHeight="1" spans="1:18">
      <c r="A487" s="10">
        <v>2024107</v>
      </c>
      <c r="B487" s="12" t="s">
        <v>430</v>
      </c>
      <c r="C487">
        <f t="shared" si="240"/>
        <v>0</v>
      </c>
      <c r="D487">
        <f t="shared" si="241"/>
        <v>6</v>
      </c>
      <c r="E487">
        <f t="shared" si="242"/>
        <v>2</v>
      </c>
      <c r="F487">
        <f t="shared" si="243"/>
        <v>8</v>
      </c>
      <c r="G487">
        <f t="shared" si="244"/>
        <v>8</v>
      </c>
      <c r="H487">
        <f t="shared" si="245"/>
        <v>6</v>
      </c>
      <c r="I487">
        <f t="shared" si="246"/>
        <v>1.33</v>
      </c>
      <c r="J487">
        <f t="shared" si="247"/>
        <v>0</v>
      </c>
      <c r="K487">
        <f t="shared" si="248"/>
        <v>0.33</v>
      </c>
      <c r="L487">
        <f t="shared" si="249"/>
        <v>0.33</v>
      </c>
      <c r="M487">
        <f t="shared" si="250"/>
        <v>0</v>
      </c>
      <c r="N487">
        <f t="shared" si="251"/>
        <v>0.93</v>
      </c>
      <c r="O487" t="str">
        <f t="shared" si="255"/>
        <v>松散</v>
      </c>
      <c r="P487" t="str">
        <f t="shared" si="252"/>
        <v>极紧凑</v>
      </c>
      <c r="Q487" t="str">
        <f t="shared" si="253"/>
        <v>✓有效</v>
      </c>
      <c r="R487" t="str">
        <f t="shared" si="254"/>
        <v>正常</v>
      </c>
    </row>
    <row r="488" ht="14.25" customHeight="1" spans="1:18">
      <c r="A488" s="10">
        <v>2024108</v>
      </c>
      <c r="B488" s="12" t="s">
        <v>85</v>
      </c>
      <c r="C488">
        <f t="shared" si="240"/>
        <v>4</v>
      </c>
      <c r="D488">
        <f t="shared" si="241"/>
        <v>3</v>
      </c>
      <c r="E488">
        <f t="shared" si="242"/>
        <v>2</v>
      </c>
      <c r="F488">
        <f t="shared" si="243"/>
        <v>9</v>
      </c>
      <c r="G488">
        <f t="shared" si="244"/>
        <v>9</v>
      </c>
      <c r="H488">
        <f t="shared" si="245"/>
        <v>2</v>
      </c>
      <c r="I488">
        <f t="shared" si="246"/>
        <v>4.5</v>
      </c>
      <c r="J488">
        <f t="shared" si="247"/>
        <v>0.33</v>
      </c>
      <c r="K488">
        <f t="shared" si="248"/>
        <v>0</v>
      </c>
      <c r="L488">
        <f t="shared" si="249"/>
        <v>0.67</v>
      </c>
      <c r="M488">
        <f t="shared" si="250"/>
        <v>2</v>
      </c>
      <c r="N488">
        <f t="shared" si="251"/>
        <v>2.03</v>
      </c>
      <c r="O488" t="str">
        <f t="shared" si="255"/>
        <v>紧凑</v>
      </c>
      <c r="P488" t="str">
        <f t="shared" si="252"/>
        <v>紧凑</v>
      </c>
      <c r="Q488" t="str">
        <f t="shared" si="253"/>
        <v>✓有效</v>
      </c>
      <c r="R488" t="str">
        <f t="shared" si="254"/>
        <v>正常</v>
      </c>
    </row>
    <row r="489" ht="14.25" customHeight="1" spans="1:18">
      <c r="A489" s="10">
        <v>2024109</v>
      </c>
      <c r="B489" s="12" t="s">
        <v>246</v>
      </c>
      <c r="C489">
        <f t="shared" si="240"/>
        <v>1</v>
      </c>
      <c r="D489">
        <f t="shared" si="241"/>
        <v>8</v>
      </c>
      <c r="E489">
        <f t="shared" si="242"/>
        <v>1</v>
      </c>
      <c r="F489">
        <f t="shared" si="243"/>
        <v>10</v>
      </c>
      <c r="G489">
        <f t="shared" si="244"/>
        <v>0</v>
      </c>
      <c r="H489">
        <f t="shared" si="245"/>
        <v>7</v>
      </c>
      <c r="I489">
        <f t="shared" si="246"/>
        <v>1.43</v>
      </c>
      <c r="J489">
        <f t="shared" si="247"/>
        <v>0.67</v>
      </c>
      <c r="K489">
        <f t="shared" si="248"/>
        <v>0.33</v>
      </c>
      <c r="L489">
        <f t="shared" si="249"/>
        <v>0</v>
      </c>
      <c r="M489">
        <f t="shared" si="250"/>
        <v>0</v>
      </c>
      <c r="N489">
        <f t="shared" si="251"/>
        <v>1.07</v>
      </c>
      <c r="O489" t="str">
        <f t="shared" si="255"/>
        <v>松散</v>
      </c>
      <c r="P489" t="str">
        <f t="shared" si="252"/>
        <v>极紧凑</v>
      </c>
      <c r="Q489" t="str">
        <f t="shared" si="253"/>
        <v>✓有效</v>
      </c>
      <c r="R489" t="str">
        <f t="shared" si="254"/>
        <v>正常</v>
      </c>
    </row>
    <row r="490" ht="14.25" customHeight="1" spans="1:18">
      <c r="A490" s="10">
        <v>2024110</v>
      </c>
      <c r="B490" s="12" t="s">
        <v>431</v>
      </c>
      <c r="C490">
        <f t="shared" si="240"/>
        <v>5</v>
      </c>
      <c r="D490">
        <f t="shared" si="241"/>
        <v>0</v>
      </c>
      <c r="E490">
        <f t="shared" si="242"/>
        <v>6</v>
      </c>
      <c r="F490">
        <f t="shared" si="243"/>
        <v>11</v>
      </c>
      <c r="G490">
        <f t="shared" si="244"/>
        <v>1</v>
      </c>
      <c r="H490">
        <f t="shared" si="245"/>
        <v>6</v>
      </c>
      <c r="I490">
        <f t="shared" si="246"/>
        <v>1.83</v>
      </c>
      <c r="J490">
        <f t="shared" si="247"/>
        <v>0.33</v>
      </c>
      <c r="K490">
        <f t="shared" si="248"/>
        <v>0.67</v>
      </c>
      <c r="L490">
        <f t="shared" si="249"/>
        <v>0.33</v>
      </c>
      <c r="M490">
        <f t="shared" si="250"/>
        <v>1</v>
      </c>
      <c r="N490">
        <f t="shared" si="251"/>
        <v>1.17</v>
      </c>
      <c r="O490" t="str">
        <f t="shared" si="255"/>
        <v>松散</v>
      </c>
      <c r="P490" t="str">
        <f t="shared" si="252"/>
        <v>极紧凑</v>
      </c>
      <c r="Q490" t="str">
        <f t="shared" si="253"/>
        <v>✓有效</v>
      </c>
      <c r="R490" t="str">
        <f t="shared" si="254"/>
        <v>正常</v>
      </c>
    </row>
    <row r="491" ht="14.25" customHeight="1" spans="1:18">
      <c r="A491" s="10">
        <v>2024111</v>
      </c>
      <c r="B491" s="12" t="s">
        <v>94</v>
      </c>
      <c r="C491">
        <f t="shared" si="240"/>
        <v>2</v>
      </c>
      <c r="D491">
        <f t="shared" si="241"/>
        <v>0</v>
      </c>
      <c r="E491">
        <f t="shared" si="242"/>
        <v>6</v>
      </c>
      <c r="F491">
        <f t="shared" si="243"/>
        <v>8</v>
      </c>
      <c r="G491">
        <f t="shared" si="244"/>
        <v>8</v>
      </c>
      <c r="H491">
        <f t="shared" si="245"/>
        <v>6</v>
      </c>
      <c r="I491">
        <f t="shared" si="246"/>
        <v>1.33</v>
      </c>
      <c r="J491">
        <f t="shared" si="247"/>
        <v>0</v>
      </c>
      <c r="K491">
        <f t="shared" si="248"/>
        <v>0.33</v>
      </c>
      <c r="L491">
        <f t="shared" si="249"/>
        <v>0.33</v>
      </c>
      <c r="M491">
        <f t="shared" si="250"/>
        <v>0</v>
      </c>
      <c r="N491">
        <f t="shared" si="251"/>
        <v>0.93</v>
      </c>
      <c r="O491" t="str">
        <f t="shared" si="255"/>
        <v>松散</v>
      </c>
      <c r="P491" t="str">
        <f t="shared" si="252"/>
        <v>极紧凑</v>
      </c>
      <c r="Q491" t="str">
        <f t="shared" si="253"/>
        <v>✓有效</v>
      </c>
      <c r="R491" t="str">
        <f t="shared" si="254"/>
        <v>正常</v>
      </c>
    </row>
    <row r="492" ht="14.25" customHeight="1" spans="1:18">
      <c r="A492" s="10">
        <v>2024112</v>
      </c>
      <c r="B492" s="12" t="s">
        <v>432</v>
      </c>
      <c r="C492">
        <f t="shared" si="240"/>
        <v>6</v>
      </c>
      <c r="D492">
        <f t="shared" si="241"/>
        <v>3</v>
      </c>
      <c r="E492">
        <f t="shared" si="242"/>
        <v>0</v>
      </c>
      <c r="F492">
        <f t="shared" si="243"/>
        <v>9</v>
      </c>
      <c r="G492">
        <f t="shared" si="244"/>
        <v>9</v>
      </c>
      <c r="H492">
        <f t="shared" si="245"/>
        <v>6</v>
      </c>
      <c r="I492">
        <f t="shared" si="246"/>
        <v>1.5</v>
      </c>
      <c r="J492">
        <f t="shared" si="247"/>
        <v>0.33</v>
      </c>
      <c r="K492">
        <f t="shared" si="248"/>
        <v>0.33</v>
      </c>
      <c r="L492">
        <f t="shared" si="249"/>
        <v>0.33</v>
      </c>
      <c r="M492">
        <f t="shared" si="250"/>
        <v>0</v>
      </c>
      <c r="N492">
        <f t="shared" si="251"/>
        <v>1.07</v>
      </c>
      <c r="O492" t="str">
        <f t="shared" si="255"/>
        <v>松散</v>
      </c>
      <c r="P492" t="str">
        <f t="shared" si="252"/>
        <v>极紧凑</v>
      </c>
      <c r="Q492" t="str">
        <f t="shared" si="253"/>
        <v>✓有效</v>
      </c>
      <c r="R492" t="str">
        <f t="shared" si="254"/>
        <v>正常</v>
      </c>
    </row>
    <row r="493" ht="14.25" customHeight="1" spans="1:18">
      <c r="A493" s="10">
        <v>2024113</v>
      </c>
      <c r="B493" s="12" t="s">
        <v>255</v>
      </c>
      <c r="C493">
        <f t="shared" si="240"/>
        <v>2</v>
      </c>
      <c r="D493">
        <f t="shared" si="241"/>
        <v>4</v>
      </c>
      <c r="E493">
        <f t="shared" si="242"/>
        <v>2</v>
      </c>
      <c r="F493">
        <f t="shared" si="243"/>
        <v>8</v>
      </c>
      <c r="G493">
        <f t="shared" si="244"/>
        <v>8</v>
      </c>
      <c r="H493">
        <f t="shared" si="245"/>
        <v>2</v>
      </c>
      <c r="I493">
        <f t="shared" si="246"/>
        <v>4</v>
      </c>
      <c r="J493">
        <f t="shared" si="247"/>
        <v>0</v>
      </c>
      <c r="K493">
        <f t="shared" si="248"/>
        <v>0</v>
      </c>
      <c r="L493">
        <f t="shared" si="249"/>
        <v>0.67</v>
      </c>
      <c r="M493">
        <f t="shared" si="250"/>
        <v>0</v>
      </c>
      <c r="N493">
        <f t="shared" si="251"/>
        <v>1.97</v>
      </c>
      <c r="O493" t="str">
        <f t="shared" si="255"/>
        <v>紧凑</v>
      </c>
      <c r="P493" t="str">
        <f t="shared" si="252"/>
        <v>紧凑</v>
      </c>
      <c r="Q493" t="str">
        <f t="shared" si="253"/>
        <v>✓有效</v>
      </c>
      <c r="R493" t="str">
        <f t="shared" si="254"/>
        <v>正常</v>
      </c>
    </row>
    <row r="494" ht="14.25" customHeight="1" spans="1:18">
      <c r="A494" s="10">
        <v>2024114</v>
      </c>
      <c r="B494" s="12" t="s">
        <v>433</v>
      </c>
      <c r="C494">
        <f t="shared" si="240"/>
        <v>0</v>
      </c>
      <c r="D494">
        <f t="shared" si="241"/>
        <v>7</v>
      </c>
      <c r="E494">
        <f t="shared" si="242"/>
        <v>5</v>
      </c>
      <c r="F494">
        <f t="shared" si="243"/>
        <v>12</v>
      </c>
      <c r="G494">
        <f t="shared" si="244"/>
        <v>2</v>
      </c>
      <c r="H494">
        <f t="shared" si="245"/>
        <v>7</v>
      </c>
      <c r="I494">
        <f t="shared" si="246"/>
        <v>1.71</v>
      </c>
      <c r="J494">
        <f t="shared" si="247"/>
        <v>0.67</v>
      </c>
      <c r="K494">
        <f t="shared" si="248"/>
        <v>0.67</v>
      </c>
      <c r="L494">
        <f t="shared" si="249"/>
        <v>0.67</v>
      </c>
      <c r="M494">
        <f t="shared" si="250"/>
        <v>0</v>
      </c>
      <c r="N494">
        <f t="shared" si="251"/>
        <v>1.32</v>
      </c>
      <c r="O494" t="str">
        <f t="shared" si="255"/>
        <v>松散</v>
      </c>
      <c r="P494" t="str">
        <f t="shared" si="252"/>
        <v>极紧凑</v>
      </c>
      <c r="Q494" t="str">
        <f t="shared" si="253"/>
        <v>✓有效</v>
      </c>
      <c r="R494" t="str">
        <f t="shared" si="254"/>
        <v>正常</v>
      </c>
    </row>
    <row r="495" ht="14.25" customHeight="1" spans="1:18">
      <c r="A495" s="10">
        <v>2024115</v>
      </c>
      <c r="B495" s="12" t="s">
        <v>57</v>
      </c>
      <c r="C495">
        <f t="shared" si="240"/>
        <v>0</v>
      </c>
      <c r="D495">
        <f t="shared" si="241"/>
        <v>9</v>
      </c>
      <c r="E495">
        <f t="shared" si="242"/>
        <v>9</v>
      </c>
      <c r="F495">
        <f t="shared" si="243"/>
        <v>18</v>
      </c>
      <c r="G495">
        <f t="shared" si="244"/>
        <v>8</v>
      </c>
      <c r="H495">
        <f t="shared" si="245"/>
        <v>9</v>
      </c>
      <c r="I495">
        <f t="shared" si="246"/>
        <v>2</v>
      </c>
      <c r="J495">
        <f t="shared" si="247"/>
        <v>0.67</v>
      </c>
      <c r="K495">
        <f t="shared" si="248"/>
        <v>0.67</v>
      </c>
      <c r="L495">
        <f t="shared" si="249"/>
        <v>0</v>
      </c>
      <c r="M495">
        <f t="shared" si="250"/>
        <v>0</v>
      </c>
      <c r="N495">
        <f t="shared" si="251"/>
        <v>1.37</v>
      </c>
      <c r="O495" t="str">
        <f t="shared" si="255"/>
        <v>标准</v>
      </c>
      <c r="P495" t="str">
        <f t="shared" si="252"/>
        <v>极紧凑</v>
      </c>
      <c r="Q495" t="str">
        <f t="shared" si="253"/>
        <v>✓有效</v>
      </c>
      <c r="R495" t="str">
        <f t="shared" si="254"/>
        <v>正常</v>
      </c>
    </row>
    <row r="496" ht="14.25" customHeight="1" spans="1:18">
      <c r="A496" s="10">
        <v>2024116</v>
      </c>
      <c r="B496" s="12" t="s">
        <v>434</v>
      </c>
      <c r="C496">
        <f t="shared" si="240"/>
        <v>8</v>
      </c>
      <c r="D496">
        <f t="shared" si="241"/>
        <v>5</v>
      </c>
      <c r="E496">
        <f t="shared" si="242"/>
        <v>1</v>
      </c>
      <c r="F496">
        <f t="shared" si="243"/>
        <v>14</v>
      </c>
      <c r="G496">
        <f t="shared" si="244"/>
        <v>4</v>
      </c>
      <c r="H496">
        <f t="shared" si="245"/>
        <v>7</v>
      </c>
      <c r="I496">
        <f t="shared" si="246"/>
        <v>2</v>
      </c>
      <c r="J496">
        <f t="shared" si="247"/>
        <v>0.67</v>
      </c>
      <c r="K496">
        <f t="shared" si="248"/>
        <v>0.67</v>
      </c>
      <c r="L496">
        <f t="shared" si="249"/>
        <v>0.33</v>
      </c>
      <c r="M496">
        <f t="shared" si="250"/>
        <v>0</v>
      </c>
      <c r="N496">
        <f t="shared" si="251"/>
        <v>1.4</v>
      </c>
      <c r="O496" t="str">
        <f t="shared" si="255"/>
        <v>标准</v>
      </c>
      <c r="P496" t="str">
        <f t="shared" si="252"/>
        <v>极紧凑</v>
      </c>
      <c r="Q496" t="str">
        <f t="shared" si="253"/>
        <v>✓有效</v>
      </c>
      <c r="R496" t="str">
        <f t="shared" si="254"/>
        <v>正常</v>
      </c>
    </row>
    <row r="497" ht="14.25" customHeight="1" spans="1:18">
      <c r="A497" s="10">
        <v>2024117</v>
      </c>
      <c r="B497" s="12" t="s">
        <v>330</v>
      </c>
      <c r="C497">
        <f t="shared" si="240"/>
        <v>9</v>
      </c>
      <c r="D497">
        <f t="shared" si="241"/>
        <v>8</v>
      </c>
      <c r="E497">
        <f t="shared" si="242"/>
        <v>9</v>
      </c>
      <c r="F497">
        <f t="shared" si="243"/>
        <v>26</v>
      </c>
      <c r="G497">
        <f t="shared" si="244"/>
        <v>6</v>
      </c>
      <c r="H497">
        <f t="shared" si="245"/>
        <v>1</v>
      </c>
      <c r="I497">
        <f t="shared" si="246"/>
        <v>26</v>
      </c>
      <c r="J497">
        <f t="shared" si="247"/>
        <v>0.67</v>
      </c>
      <c r="K497">
        <f t="shared" si="248"/>
        <v>1</v>
      </c>
      <c r="L497">
        <f t="shared" si="249"/>
        <v>0</v>
      </c>
      <c r="M497">
        <f t="shared" si="250"/>
        <v>2</v>
      </c>
      <c r="N497">
        <f t="shared" si="251"/>
        <v>10.83</v>
      </c>
      <c r="O497" t="str">
        <f t="shared" si="255"/>
        <v>紧凑</v>
      </c>
      <c r="P497" t="str">
        <f t="shared" si="252"/>
        <v>松散</v>
      </c>
      <c r="Q497" t="str">
        <f t="shared" si="253"/>
        <v>✓有效</v>
      </c>
      <c r="R497" t="str">
        <f t="shared" si="254"/>
        <v>异常</v>
      </c>
    </row>
    <row r="498" ht="14.25" customHeight="1" spans="1:18">
      <c r="A498" s="10">
        <v>2024118</v>
      </c>
      <c r="B498" s="12" t="s">
        <v>435</v>
      </c>
      <c r="C498">
        <f t="shared" si="240"/>
        <v>3</v>
      </c>
      <c r="D498">
        <f t="shared" si="241"/>
        <v>4</v>
      </c>
      <c r="E498">
        <f t="shared" si="242"/>
        <v>3</v>
      </c>
      <c r="F498">
        <f t="shared" si="243"/>
        <v>10</v>
      </c>
      <c r="G498">
        <f t="shared" si="244"/>
        <v>0</v>
      </c>
      <c r="H498">
        <f t="shared" si="245"/>
        <v>1</v>
      </c>
      <c r="I498">
        <f t="shared" si="246"/>
        <v>10</v>
      </c>
      <c r="J498">
        <f t="shared" si="247"/>
        <v>0.67</v>
      </c>
      <c r="K498">
        <f t="shared" si="248"/>
        <v>0</v>
      </c>
      <c r="L498">
        <f t="shared" si="249"/>
        <v>0.67</v>
      </c>
      <c r="M498">
        <f t="shared" si="250"/>
        <v>2</v>
      </c>
      <c r="N498">
        <f t="shared" si="251"/>
        <v>4.3</v>
      </c>
      <c r="O498" t="str">
        <f t="shared" si="255"/>
        <v>紧凑</v>
      </c>
      <c r="P498" t="str">
        <f t="shared" si="252"/>
        <v>标准</v>
      </c>
      <c r="Q498" t="str">
        <f t="shared" si="253"/>
        <v>✓有效</v>
      </c>
      <c r="R498" t="str">
        <f t="shared" si="254"/>
        <v>正常</v>
      </c>
    </row>
    <row r="499" ht="14.25" customHeight="1" spans="1:18">
      <c r="A499" s="10">
        <v>2024119</v>
      </c>
      <c r="B499" s="12" t="s">
        <v>436</v>
      </c>
      <c r="C499">
        <f t="shared" si="240"/>
        <v>5</v>
      </c>
      <c r="D499">
        <f t="shared" si="241"/>
        <v>0</v>
      </c>
      <c r="E499">
        <f t="shared" si="242"/>
        <v>8</v>
      </c>
      <c r="F499">
        <f t="shared" si="243"/>
        <v>13</v>
      </c>
      <c r="G499">
        <f t="shared" si="244"/>
        <v>3</v>
      </c>
      <c r="H499">
        <f t="shared" si="245"/>
        <v>8</v>
      </c>
      <c r="I499">
        <f t="shared" si="246"/>
        <v>1.63</v>
      </c>
      <c r="J499">
        <f t="shared" si="247"/>
        <v>0.33</v>
      </c>
      <c r="K499">
        <f t="shared" si="248"/>
        <v>0.67</v>
      </c>
      <c r="L499">
        <f t="shared" si="249"/>
        <v>0.33</v>
      </c>
      <c r="M499">
        <f t="shared" si="250"/>
        <v>0</v>
      </c>
      <c r="N499">
        <f t="shared" si="251"/>
        <v>1.19</v>
      </c>
      <c r="O499" t="str">
        <f t="shared" si="255"/>
        <v>松散</v>
      </c>
      <c r="P499" t="str">
        <f t="shared" si="252"/>
        <v>极紧凑</v>
      </c>
      <c r="Q499" t="str">
        <f t="shared" si="253"/>
        <v>✓有效</v>
      </c>
      <c r="R499" t="str">
        <f t="shared" si="254"/>
        <v>正常</v>
      </c>
    </row>
    <row r="500" ht="14.25" customHeight="1" spans="1:18">
      <c r="A500" s="10">
        <v>2024120</v>
      </c>
      <c r="B500" s="12" t="s">
        <v>437</v>
      </c>
      <c r="C500">
        <f t="shared" si="240"/>
        <v>5</v>
      </c>
      <c r="D500">
        <f t="shared" si="241"/>
        <v>4</v>
      </c>
      <c r="E500">
        <f t="shared" si="242"/>
        <v>6</v>
      </c>
      <c r="F500">
        <f t="shared" si="243"/>
        <v>15</v>
      </c>
      <c r="G500">
        <f t="shared" si="244"/>
        <v>5</v>
      </c>
      <c r="H500">
        <f t="shared" si="245"/>
        <v>2</v>
      </c>
      <c r="I500">
        <f t="shared" si="246"/>
        <v>7.5</v>
      </c>
      <c r="J500">
        <f t="shared" si="247"/>
        <v>0.33</v>
      </c>
      <c r="K500">
        <f t="shared" si="248"/>
        <v>0.67</v>
      </c>
      <c r="L500">
        <f t="shared" si="249"/>
        <v>0.33</v>
      </c>
      <c r="M500">
        <f t="shared" si="250"/>
        <v>2</v>
      </c>
      <c r="N500">
        <f t="shared" si="251"/>
        <v>3.33</v>
      </c>
      <c r="O500" t="str">
        <f t="shared" si="255"/>
        <v>紧凑</v>
      </c>
      <c r="P500" t="str">
        <f t="shared" si="252"/>
        <v>标准</v>
      </c>
      <c r="Q500" t="str">
        <f t="shared" si="253"/>
        <v>✓有效</v>
      </c>
      <c r="R500" t="str">
        <f t="shared" si="254"/>
        <v>正常</v>
      </c>
    </row>
    <row r="501" ht="14.25" customHeight="1" spans="1:18">
      <c r="A501" s="10">
        <v>2024121</v>
      </c>
      <c r="B501" s="12" t="s">
        <v>438</v>
      </c>
      <c r="C501">
        <f t="shared" si="240"/>
        <v>2</v>
      </c>
      <c r="D501">
        <f t="shared" si="241"/>
        <v>8</v>
      </c>
      <c r="E501">
        <f t="shared" si="242"/>
        <v>9</v>
      </c>
      <c r="F501">
        <f t="shared" si="243"/>
        <v>19</v>
      </c>
      <c r="G501">
        <f t="shared" si="244"/>
        <v>9</v>
      </c>
      <c r="H501">
        <f t="shared" si="245"/>
        <v>7</v>
      </c>
      <c r="I501">
        <f t="shared" si="246"/>
        <v>2.71</v>
      </c>
      <c r="J501">
        <f t="shared" si="247"/>
        <v>0.33</v>
      </c>
      <c r="K501">
        <f t="shared" si="248"/>
        <v>0.67</v>
      </c>
      <c r="L501">
        <f t="shared" si="249"/>
        <v>0.33</v>
      </c>
      <c r="M501">
        <f t="shared" si="250"/>
        <v>1</v>
      </c>
      <c r="N501">
        <f t="shared" si="251"/>
        <v>1.52</v>
      </c>
      <c r="O501" t="str">
        <f t="shared" si="255"/>
        <v>标准</v>
      </c>
      <c r="P501" t="str">
        <f t="shared" si="252"/>
        <v>紧凑</v>
      </c>
      <c r="Q501" t="str">
        <f t="shared" si="253"/>
        <v>✓有效</v>
      </c>
      <c r="R501" t="str">
        <f t="shared" si="254"/>
        <v>正常</v>
      </c>
    </row>
    <row r="502" ht="14.25" customHeight="1" spans="1:18">
      <c r="A502" s="10">
        <v>2024122</v>
      </c>
      <c r="B502" s="12" t="s">
        <v>92</v>
      </c>
      <c r="C502">
        <f t="shared" si="240"/>
        <v>7</v>
      </c>
      <c r="D502">
        <f t="shared" si="241"/>
        <v>0</v>
      </c>
      <c r="E502">
        <f t="shared" si="242"/>
        <v>8</v>
      </c>
      <c r="F502">
        <f t="shared" si="243"/>
        <v>15</v>
      </c>
      <c r="G502">
        <f t="shared" si="244"/>
        <v>5</v>
      </c>
      <c r="H502">
        <f t="shared" si="245"/>
        <v>8</v>
      </c>
      <c r="I502">
        <f t="shared" si="246"/>
        <v>1.88</v>
      </c>
      <c r="J502">
        <f t="shared" si="247"/>
        <v>0.33</v>
      </c>
      <c r="K502">
        <f t="shared" si="248"/>
        <v>0.67</v>
      </c>
      <c r="L502">
        <f t="shared" si="249"/>
        <v>0.33</v>
      </c>
      <c r="M502">
        <f t="shared" si="250"/>
        <v>1</v>
      </c>
      <c r="N502">
        <f t="shared" si="251"/>
        <v>1.19</v>
      </c>
      <c r="O502" t="str">
        <f t="shared" si="255"/>
        <v>松散</v>
      </c>
      <c r="P502" t="str">
        <f t="shared" si="252"/>
        <v>极紧凑</v>
      </c>
      <c r="Q502" t="str">
        <f t="shared" si="253"/>
        <v>✓有效</v>
      </c>
      <c r="R502" t="str">
        <f t="shared" si="254"/>
        <v>正常</v>
      </c>
    </row>
    <row r="503" ht="14.25" customHeight="1" spans="1:18">
      <c r="A503" s="10">
        <v>2024123</v>
      </c>
      <c r="B503" s="12" t="s">
        <v>439</v>
      </c>
      <c r="C503">
        <f t="shared" si="240"/>
        <v>1</v>
      </c>
      <c r="D503">
        <f t="shared" si="241"/>
        <v>8</v>
      </c>
      <c r="E503">
        <f t="shared" si="242"/>
        <v>3</v>
      </c>
      <c r="F503">
        <f t="shared" si="243"/>
        <v>12</v>
      </c>
      <c r="G503">
        <f t="shared" si="244"/>
        <v>2</v>
      </c>
      <c r="H503">
        <f t="shared" si="245"/>
        <v>7</v>
      </c>
      <c r="I503">
        <f t="shared" si="246"/>
        <v>1.71</v>
      </c>
      <c r="J503">
        <f t="shared" si="247"/>
        <v>0.67</v>
      </c>
      <c r="K503">
        <f t="shared" si="248"/>
        <v>0.33</v>
      </c>
      <c r="L503">
        <f t="shared" si="249"/>
        <v>0.33</v>
      </c>
      <c r="M503">
        <f t="shared" si="250"/>
        <v>0</v>
      </c>
      <c r="N503">
        <f t="shared" si="251"/>
        <v>1.22</v>
      </c>
      <c r="O503" t="str">
        <f t="shared" si="255"/>
        <v>松散</v>
      </c>
      <c r="P503" t="str">
        <f t="shared" si="252"/>
        <v>极紧凑</v>
      </c>
      <c r="Q503" t="str">
        <f t="shared" si="253"/>
        <v>✓有效</v>
      </c>
      <c r="R503" t="str">
        <f t="shared" si="254"/>
        <v>正常</v>
      </c>
    </row>
    <row r="504" ht="14.25" customHeight="1" spans="1:18">
      <c r="A504" s="10">
        <v>2024124</v>
      </c>
      <c r="B504" s="12" t="s">
        <v>271</v>
      </c>
      <c r="C504">
        <f t="shared" si="240"/>
        <v>7</v>
      </c>
      <c r="D504">
        <f t="shared" si="241"/>
        <v>8</v>
      </c>
      <c r="E504">
        <f t="shared" si="242"/>
        <v>7</v>
      </c>
      <c r="F504">
        <f t="shared" si="243"/>
        <v>22</v>
      </c>
      <c r="G504">
        <f t="shared" si="244"/>
        <v>2</v>
      </c>
      <c r="H504">
        <f t="shared" si="245"/>
        <v>1</v>
      </c>
      <c r="I504">
        <f t="shared" si="246"/>
        <v>22</v>
      </c>
      <c r="J504">
        <f t="shared" si="247"/>
        <v>0.67</v>
      </c>
      <c r="K504">
        <f t="shared" si="248"/>
        <v>1</v>
      </c>
      <c r="L504">
        <f t="shared" si="249"/>
        <v>0.67</v>
      </c>
      <c r="M504">
        <f t="shared" si="250"/>
        <v>2</v>
      </c>
      <c r="N504">
        <f t="shared" si="251"/>
        <v>9.3</v>
      </c>
      <c r="O504" t="str">
        <f t="shared" si="255"/>
        <v>紧凑</v>
      </c>
      <c r="P504" t="str">
        <f t="shared" si="252"/>
        <v>松散</v>
      </c>
      <c r="Q504" t="str">
        <f t="shared" si="253"/>
        <v>✓有效</v>
      </c>
      <c r="R504" t="str">
        <f t="shared" si="254"/>
        <v>异常</v>
      </c>
    </row>
    <row r="505" ht="14.25" customHeight="1" spans="1:18">
      <c r="A505" s="10">
        <v>2024125</v>
      </c>
      <c r="B505" s="12" t="s">
        <v>440</v>
      </c>
      <c r="C505">
        <f t="shared" si="240"/>
        <v>6</v>
      </c>
      <c r="D505">
        <f t="shared" si="241"/>
        <v>4</v>
      </c>
      <c r="E505">
        <f t="shared" si="242"/>
        <v>9</v>
      </c>
      <c r="F505">
        <f t="shared" si="243"/>
        <v>19</v>
      </c>
      <c r="G505">
        <f t="shared" si="244"/>
        <v>9</v>
      </c>
      <c r="H505">
        <f t="shared" si="245"/>
        <v>5</v>
      </c>
      <c r="I505">
        <f t="shared" si="246"/>
        <v>3.8</v>
      </c>
      <c r="J505">
        <f t="shared" si="247"/>
        <v>0.33</v>
      </c>
      <c r="K505">
        <f t="shared" si="248"/>
        <v>0.67</v>
      </c>
      <c r="L505">
        <f t="shared" si="249"/>
        <v>0</v>
      </c>
      <c r="M505">
        <f t="shared" si="250"/>
        <v>0</v>
      </c>
      <c r="N505">
        <f t="shared" si="251"/>
        <v>2.02</v>
      </c>
      <c r="O505" t="str">
        <f t="shared" si="255"/>
        <v>紧凑</v>
      </c>
      <c r="P505" t="str">
        <f t="shared" si="252"/>
        <v>紧凑</v>
      </c>
      <c r="Q505" t="str">
        <f t="shared" si="253"/>
        <v>✓有效</v>
      </c>
      <c r="R505" t="str">
        <f t="shared" si="254"/>
        <v>正常</v>
      </c>
    </row>
    <row r="506" ht="14.25" customHeight="1" spans="1:18">
      <c r="A506" s="10">
        <v>2024126</v>
      </c>
      <c r="B506" s="12" t="s">
        <v>441</v>
      </c>
      <c r="C506">
        <f t="shared" si="240"/>
        <v>3</v>
      </c>
      <c r="D506">
        <f t="shared" si="241"/>
        <v>2</v>
      </c>
      <c r="E506">
        <f t="shared" si="242"/>
        <v>3</v>
      </c>
      <c r="F506">
        <f t="shared" si="243"/>
        <v>8</v>
      </c>
      <c r="G506">
        <f t="shared" si="244"/>
        <v>8</v>
      </c>
      <c r="H506">
        <f t="shared" si="245"/>
        <v>1</v>
      </c>
      <c r="I506">
        <f t="shared" si="246"/>
        <v>8</v>
      </c>
      <c r="J506">
        <f t="shared" si="247"/>
        <v>0.67</v>
      </c>
      <c r="K506">
        <f t="shared" si="248"/>
        <v>0</v>
      </c>
      <c r="L506">
        <f t="shared" si="249"/>
        <v>1</v>
      </c>
      <c r="M506">
        <f t="shared" si="250"/>
        <v>2</v>
      </c>
      <c r="N506">
        <f t="shared" si="251"/>
        <v>3.53</v>
      </c>
      <c r="O506" t="str">
        <f t="shared" si="255"/>
        <v>紧凑</v>
      </c>
      <c r="P506" t="str">
        <f t="shared" si="252"/>
        <v>标准</v>
      </c>
      <c r="Q506" t="str">
        <f t="shared" si="253"/>
        <v>✓有效</v>
      </c>
      <c r="R506" t="str">
        <f t="shared" si="254"/>
        <v>正常</v>
      </c>
    </row>
    <row r="507" ht="14.25" customHeight="1" spans="1:18">
      <c r="A507" s="10">
        <v>2024127</v>
      </c>
      <c r="B507" s="12" t="s">
        <v>442</v>
      </c>
      <c r="C507">
        <f t="shared" si="240"/>
        <v>2</v>
      </c>
      <c r="D507">
        <f t="shared" si="241"/>
        <v>1</v>
      </c>
      <c r="E507">
        <f t="shared" si="242"/>
        <v>4</v>
      </c>
      <c r="F507">
        <f t="shared" si="243"/>
        <v>7</v>
      </c>
      <c r="G507">
        <f t="shared" si="244"/>
        <v>7</v>
      </c>
      <c r="H507">
        <f t="shared" si="245"/>
        <v>3</v>
      </c>
      <c r="I507">
        <f t="shared" si="246"/>
        <v>2.33</v>
      </c>
      <c r="J507">
        <f t="shared" si="247"/>
        <v>0.33</v>
      </c>
      <c r="K507">
        <f t="shared" si="248"/>
        <v>0</v>
      </c>
      <c r="L507">
        <f t="shared" si="249"/>
        <v>0.33</v>
      </c>
      <c r="M507">
        <f t="shared" si="250"/>
        <v>1</v>
      </c>
      <c r="N507">
        <f t="shared" si="251"/>
        <v>1.23</v>
      </c>
      <c r="O507" t="str">
        <f t="shared" si="255"/>
        <v>标准</v>
      </c>
      <c r="P507" t="str">
        <f t="shared" si="252"/>
        <v>极紧凑</v>
      </c>
      <c r="Q507" t="str">
        <f t="shared" si="253"/>
        <v>✓有效</v>
      </c>
      <c r="R507" t="str">
        <f t="shared" si="254"/>
        <v>正常</v>
      </c>
    </row>
    <row r="508" ht="14.25" customHeight="1" spans="1:18">
      <c r="A508" s="10">
        <v>2024128</v>
      </c>
      <c r="B508" s="12" t="s">
        <v>145</v>
      </c>
      <c r="C508">
        <f t="shared" si="240"/>
        <v>5</v>
      </c>
      <c r="D508">
        <f t="shared" si="241"/>
        <v>7</v>
      </c>
      <c r="E508">
        <f t="shared" si="242"/>
        <v>3</v>
      </c>
      <c r="F508">
        <f t="shared" si="243"/>
        <v>15</v>
      </c>
      <c r="G508">
        <f t="shared" si="244"/>
        <v>5</v>
      </c>
      <c r="H508">
        <f t="shared" si="245"/>
        <v>4</v>
      </c>
      <c r="I508">
        <f t="shared" si="246"/>
        <v>3.75</v>
      </c>
      <c r="J508">
        <f t="shared" si="247"/>
        <v>1</v>
      </c>
      <c r="K508">
        <f t="shared" si="248"/>
        <v>0.67</v>
      </c>
      <c r="L508">
        <f t="shared" si="249"/>
        <v>1</v>
      </c>
      <c r="M508">
        <f t="shared" si="250"/>
        <v>0</v>
      </c>
      <c r="N508">
        <f t="shared" si="251"/>
        <v>2.23</v>
      </c>
      <c r="O508" t="str">
        <f t="shared" si="255"/>
        <v>紧凑</v>
      </c>
      <c r="P508" t="str">
        <f t="shared" si="252"/>
        <v>紧凑</v>
      </c>
      <c r="Q508" t="str">
        <f t="shared" si="253"/>
        <v>✓有效</v>
      </c>
      <c r="R508" t="str">
        <f t="shared" si="254"/>
        <v>正常</v>
      </c>
    </row>
    <row r="509" ht="14.25" customHeight="1" spans="1:18">
      <c r="A509" s="10">
        <v>2024129</v>
      </c>
      <c r="B509" s="12" t="s">
        <v>299</v>
      </c>
      <c r="C509">
        <f t="shared" si="240"/>
        <v>0</v>
      </c>
      <c r="D509">
        <f t="shared" si="241"/>
        <v>6</v>
      </c>
      <c r="E509">
        <f t="shared" si="242"/>
        <v>7</v>
      </c>
      <c r="F509">
        <f t="shared" si="243"/>
        <v>13</v>
      </c>
      <c r="G509">
        <f t="shared" si="244"/>
        <v>3</v>
      </c>
      <c r="H509">
        <f t="shared" si="245"/>
        <v>7</v>
      </c>
      <c r="I509">
        <f t="shared" si="246"/>
        <v>1.86</v>
      </c>
      <c r="J509">
        <f t="shared" si="247"/>
        <v>0.33</v>
      </c>
      <c r="K509">
        <f t="shared" si="248"/>
        <v>0.67</v>
      </c>
      <c r="L509">
        <f t="shared" si="249"/>
        <v>0.33</v>
      </c>
      <c r="M509">
        <f t="shared" si="250"/>
        <v>1</v>
      </c>
      <c r="N509">
        <f t="shared" si="251"/>
        <v>1.18</v>
      </c>
      <c r="O509" t="str">
        <f t="shared" si="255"/>
        <v>松散</v>
      </c>
      <c r="P509" t="str">
        <f t="shared" si="252"/>
        <v>极紧凑</v>
      </c>
      <c r="Q509" t="str">
        <f t="shared" si="253"/>
        <v>✓有效</v>
      </c>
      <c r="R509" t="str">
        <f t="shared" si="254"/>
        <v>正常</v>
      </c>
    </row>
    <row r="510" ht="14.25" customHeight="1" spans="1:18">
      <c r="A510" s="10">
        <v>2024130</v>
      </c>
      <c r="B510" s="12" t="s">
        <v>131</v>
      </c>
      <c r="C510">
        <f t="shared" si="240"/>
        <v>0</v>
      </c>
      <c r="D510">
        <f t="shared" si="241"/>
        <v>6</v>
      </c>
      <c r="E510">
        <f t="shared" si="242"/>
        <v>6</v>
      </c>
      <c r="F510">
        <f t="shared" si="243"/>
        <v>12</v>
      </c>
      <c r="G510">
        <f t="shared" si="244"/>
        <v>2</v>
      </c>
      <c r="H510">
        <f t="shared" si="245"/>
        <v>6</v>
      </c>
      <c r="I510">
        <f t="shared" si="246"/>
        <v>2</v>
      </c>
      <c r="J510">
        <f t="shared" si="247"/>
        <v>0</v>
      </c>
      <c r="K510">
        <f t="shared" si="248"/>
        <v>0.67</v>
      </c>
      <c r="L510">
        <f t="shared" si="249"/>
        <v>0</v>
      </c>
      <c r="M510">
        <f t="shared" si="250"/>
        <v>0</v>
      </c>
      <c r="N510">
        <f t="shared" si="251"/>
        <v>1.23</v>
      </c>
      <c r="O510" t="str">
        <f t="shared" si="255"/>
        <v>标准</v>
      </c>
      <c r="P510" t="str">
        <f t="shared" si="252"/>
        <v>极紧凑</v>
      </c>
      <c r="Q510" t="str">
        <f t="shared" si="253"/>
        <v>✓有效</v>
      </c>
      <c r="R510" t="str">
        <f t="shared" si="254"/>
        <v>正常</v>
      </c>
    </row>
    <row r="511" ht="14.25" customHeight="1" spans="1:18">
      <c r="A511" s="10">
        <v>2024131</v>
      </c>
      <c r="B511" s="12" t="s">
        <v>182</v>
      </c>
      <c r="C511">
        <f t="shared" si="240"/>
        <v>0</v>
      </c>
      <c r="D511">
        <f t="shared" si="241"/>
        <v>6</v>
      </c>
      <c r="E511">
        <f t="shared" si="242"/>
        <v>9</v>
      </c>
      <c r="F511">
        <f t="shared" si="243"/>
        <v>15</v>
      </c>
      <c r="G511">
        <f t="shared" si="244"/>
        <v>5</v>
      </c>
      <c r="H511">
        <f t="shared" si="245"/>
        <v>9</v>
      </c>
      <c r="I511">
        <f t="shared" si="246"/>
        <v>1.67</v>
      </c>
      <c r="J511">
        <f t="shared" si="247"/>
        <v>0.33</v>
      </c>
      <c r="K511">
        <f t="shared" si="248"/>
        <v>0.67</v>
      </c>
      <c r="L511">
        <f t="shared" si="249"/>
        <v>0</v>
      </c>
      <c r="M511">
        <f t="shared" si="250"/>
        <v>0</v>
      </c>
      <c r="N511">
        <f t="shared" si="251"/>
        <v>1.17</v>
      </c>
      <c r="O511" t="str">
        <f t="shared" si="255"/>
        <v>松散</v>
      </c>
      <c r="P511" t="str">
        <f t="shared" si="252"/>
        <v>极紧凑</v>
      </c>
      <c r="Q511" t="str">
        <f t="shared" si="253"/>
        <v>✓有效</v>
      </c>
      <c r="R511" t="str">
        <f t="shared" si="254"/>
        <v>正常</v>
      </c>
    </row>
    <row r="512" ht="14.25" customHeight="1" spans="1:18">
      <c r="A512" s="10">
        <v>2024132</v>
      </c>
      <c r="B512" s="12" t="s">
        <v>443</v>
      </c>
      <c r="C512">
        <f t="shared" si="240"/>
        <v>6</v>
      </c>
      <c r="D512">
        <f t="shared" si="241"/>
        <v>5</v>
      </c>
      <c r="E512">
        <f t="shared" si="242"/>
        <v>2</v>
      </c>
      <c r="F512">
        <f t="shared" si="243"/>
        <v>13</v>
      </c>
      <c r="G512">
        <f t="shared" si="244"/>
        <v>3</v>
      </c>
      <c r="H512">
        <f t="shared" si="245"/>
        <v>4</v>
      </c>
      <c r="I512">
        <f t="shared" si="246"/>
        <v>3.25</v>
      </c>
      <c r="J512">
        <f t="shared" si="247"/>
        <v>0.33</v>
      </c>
      <c r="K512">
        <f t="shared" si="248"/>
        <v>0.67</v>
      </c>
      <c r="L512">
        <f t="shared" si="249"/>
        <v>0.67</v>
      </c>
      <c r="M512">
        <f t="shared" si="250"/>
        <v>1</v>
      </c>
      <c r="N512">
        <f t="shared" si="251"/>
        <v>1.77</v>
      </c>
      <c r="O512" t="str">
        <f t="shared" si="255"/>
        <v>标准</v>
      </c>
      <c r="P512" t="str">
        <f t="shared" si="252"/>
        <v>紧凑</v>
      </c>
      <c r="Q512" t="str">
        <f t="shared" si="253"/>
        <v>✓有效</v>
      </c>
      <c r="R512" t="str">
        <f t="shared" si="254"/>
        <v>正常</v>
      </c>
    </row>
    <row r="513" ht="14.25" customHeight="1" spans="1:18">
      <c r="A513" s="10">
        <v>2024133</v>
      </c>
      <c r="B513" s="12" t="s">
        <v>444</v>
      </c>
      <c r="C513">
        <f t="shared" si="240"/>
        <v>7</v>
      </c>
      <c r="D513">
        <f t="shared" si="241"/>
        <v>4</v>
      </c>
      <c r="E513">
        <f t="shared" si="242"/>
        <v>1</v>
      </c>
      <c r="F513">
        <f t="shared" si="243"/>
        <v>12</v>
      </c>
      <c r="G513">
        <f t="shared" si="244"/>
        <v>2</v>
      </c>
      <c r="H513">
        <f t="shared" si="245"/>
        <v>6</v>
      </c>
      <c r="I513">
        <f t="shared" si="246"/>
        <v>2</v>
      </c>
      <c r="J513">
        <f t="shared" si="247"/>
        <v>0.67</v>
      </c>
      <c r="K513">
        <f t="shared" si="248"/>
        <v>0.33</v>
      </c>
      <c r="L513">
        <f t="shared" si="249"/>
        <v>0.33</v>
      </c>
      <c r="M513">
        <f t="shared" si="250"/>
        <v>0</v>
      </c>
      <c r="N513">
        <f t="shared" si="251"/>
        <v>1.33</v>
      </c>
      <c r="O513" t="str">
        <f t="shared" si="255"/>
        <v>标准</v>
      </c>
      <c r="P513" t="str">
        <f t="shared" si="252"/>
        <v>极紧凑</v>
      </c>
      <c r="Q513" t="str">
        <f t="shared" si="253"/>
        <v>✓有效</v>
      </c>
      <c r="R513" t="str">
        <f t="shared" si="254"/>
        <v>正常</v>
      </c>
    </row>
    <row r="514" ht="14.25" customHeight="1" spans="1:18">
      <c r="A514" s="10">
        <v>2024134</v>
      </c>
      <c r="B514" s="12" t="s">
        <v>445</v>
      </c>
      <c r="C514">
        <f t="shared" si="240"/>
        <v>6</v>
      </c>
      <c r="D514">
        <f t="shared" si="241"/>
        <v>4</v>
      </c>
      <c r="E514">
        <f t="shared" si="242"/>
        <v>0</v>
      </c>
      <c r="F514">
        <f t="shared" si="243"/>
        <v>10</v>
      </c>
      <c r="G514">
        <f t="shared" si="244"/>
        <v>0</v>
      </c>
      <c r="H514">
        <f t="shared" si="245"/>
        <v>6</v>
      </c>
      <c r="I514">
        <f t="shared" si="246"/>
        <v>1.67</v>
      </c>
      <c r="J514">
        <f t="shared" si="247"/>
        <v>0</v>
      </c>
      <c r="K514">
        <f t="shared" si="248"/>
        <v>0.33</v>
      </c>
      <c r="L514">
        <f t="shared" si="249"/>
        <v>0</v>
      </c>
      <c r="M514">
        <f t="shared" si="250"/>
        <v>0</v>
      </c>
      <c r="N514">
        <f t="shared" si="251"/>
        <v>1.03</v>
      </c>
      <c r="O514" t="str">
        <f t="shared" si="255"/>
        <v>松散</v>
      </c>
      <c r="P514" t="str">
        <f t="shared" si="252"/>
        <v>极紧凑</v>
      </c>
      <c r="Q514" t="str">
        <f t="shared" si="253"/>
        <v>✓有效</v>
      </c>
      <c r="R514" t="str">
        <f t="shared" si="254"/>
        <v>正常</v>
      </c>
    </row>
    <row r="515" ht="14.25" customHeight="1" spans="1:18">
      <c r="A515" s="10">
        <v>2024135</v>
      </c>
      <c r="B515" s="12" t="s">
        <v>446</v>
      </c>
      <c r="C515">
        <f t="shared" si="240"/>
        <v>0</v>
      </c>
      <c r="D515">
        <f t="shared" si="241"/>
        <v>3</v>
      </c>
      <c r="E515">
        <f t="shared" si="242"/>
        <v>5</v>
      </c>
      <c r="F515">
        <f t="shared" si="243"/>
        <v>8</v>
      </c>
      <c r="G515">
        <f t="shared" si="244"/>
        <v>8</v>
      </c>
      <c r="H515">
        <f t="shared" si="245"/>
        <v>5</v>
      </c>
      <c r="I515">
        <f t="shared" si="246"/>
        <v>1.6</v>
      </c>
      <c r="J515">
        <f t="shared" si="247"/>
        <v>0.67</v>
      </c>
      <c r="K515">
        <f t="shared" si="248"/>
        <v>0.33</v>
      </c>
      <c r="L515">
        <f t="shared" si="249"/>
        <v>0.67</v>
      </c>
      <c r="M515">
        <f t="shared" si="250"/>
        <v>0</v>
      </c>
      <c r="N515">
        <f t="shared" si="251"/>
        <v>1.21</v>
      </c>
      <c r="O515" t="str">
        <f t="shared" si="255"/>
        <v>松散</v>
      </c>
      <c r="P515" t="str">
        <f t="shared" si="252"/>
        <v>极紧凑</v>
      </c>
      <c r="Q515" t="str">
        <f t="shared" si="253"/>
        <v>✓有效</v>
      </c>
      <c r="R515" t="str">
        <f t="shared" si="254"/>
        <v>正常</v>
      </c>
    </row>
    <row r="516" ht="14.25" customHeight="1" spans="1:18">
      <c r="A516" s="10">
        <v>2024136</v>
      </c>
      <c r="B516" s="12" t="s">
        <v>348</v>
      </c>
      <c r="C516">
        <f t="shared" si="240"/>
        <v>2</v>
      </c>
      <c r="D516">
        <f t="shared" si="241"/>
        <v>2</v>
      </c>
      <c r="E516">
        <f t="shared" si="242"/>
        <v>7</v>
      </c>
      <c r="F516">
        <f t="shared" si="243"/>
        <v>11</v>
      </c>
      <c r="G516">
        <f t="shared" si="244"/>
        <v>1</v>
      </c>
      <c r="H516">
        <f t="shared" si="245"/>
        <v>5</v>
      </c>
      <c r="I516">
        <f t="shared" si="246"/>
        <v>2.2</v>
      </c>
      <c r="J516">
        <f t="shared" si="247"/>
        <v>0.33</v>
      </c>
      <c r="K516">
        <f t="shared" si="248"/>
        <v>0.33</v>
      </c>
      <c r="L516">
        <f t="shared" si="249"/>
        <v>1</v>
      </c>
      <c r="M516">
        <f t="shared" si="250"/>
        <v>0</v>
      </c>
      <c r="N516">
        <f t="shared" si="251"/>
        <v>1.41</v>
      </c>
      <c r="O516" t="str">
        <f t="shared" si="255"/>
        <v>标准</v>
      </c>
      <c r="P516" t="str">
        <f t="shared" si="252"/>
        <v>极紧凑</v>
      </c>
      <c r="Q516" t="str">
        <f t="shared" si="253"/>
        <v>✓有效</v>
      </c>
      <c r="R516" t="str">
        <f t="shared" si="254"/>
        <v>正常</v>
      </c>
    </row>
    <row r="517" ht="14.25" customHeight="1" spans="1:18">
      <c r="A517" s="10">
        <v>2024137</v>
      </c>
      <c r="B517" s="12" t="s">
        <v>158</v>
      </c>
      <c r="C517">
        <f t="shared" si="240"/>
        <v>9</v>
      </c>
      <c r="D517">
        <f t="shared" si="241"/>
        <v>8</v>
      </c>
      <c r="E517">
        <f t="shared" si="242"/>
        <v>2</v>
      </c>
      <c r="F517">
        <f t="shared" si="243"/>
        <v>19</v>
      </c>
      <c r="G517">
        <f t="shared" si="244"/>
        <v>9</v>
      </c>
      <c r="H517">
        <f t="shared" si="245"/>
        <v>7</v>
      </c>
      <c r="I517">
        <f t="shared" si="246"/>
        <v>2.71</v>
      </c>
      <c r="J517">
        <f t="shared" si="247"/>
        <v>0.33</v>
      </c>
      <c r="K517">
        <f t="shared" si="248"/>
        <v>0.67</v>
      </c>
      <c r="L517">
        <f t="shared" si="249"/>
        <v>0.33</v>
      </c>
      <c r="M517">
        <f t="shared" si="250"/>
        <v>1</v>
      </c>
      <c r="N517">
        <f t="shared" si="251"/>
        <v>1.52</v>
      </c>
      <c r="O517" t="str">
        <f t="shared" si="255"/>
        <v>标准</v>
      </c>
      <c r="P517" t="str">
        <f t="shared" si="252"/>
        <v>紧凑</v>
      </c>
      <c r="Q517" t="str">
        <f t="shared" si="253"/>
        <v>✓有效</v>
      </c>
      <c r="R517" t="str">
        <f t="shared" si="254"/>
        <v>正常</v>
      </c>
    </row>
    <row r="518" ht="14.25" customHeight="1" spans="1:18">
      <c r="A518" s="10">
        <v>2024138</v>
      </c>
      <c r="B518" s="12" t="s">
        <v>447</v>
      </c>
      <c r="C518">
        <f t="shared" si="240"/>
        <v>9</v>
      </c>
      <c r="D518">
        <f t="shared" si="241"/>
        <v>5</v>
      </c>
      <c r="E518">
        <f t="shared" si="242"/>
        <v>5</v>
      </c>
      <c r="F518">
        <f t="shared" si="243"/>
        <v>19</v>
      </c>
      <c r="G518">
        <f t="shared" si="244"/>
        <v>9</v>
      </c>
      <c r="H518">
        <f t="shared" si="245"/>
        <v>4</v>
      </c>
      <c r="I518">
        <f t="shared" si="246"/>
        <v>4.75</v>
      </c>
      <c r="J518">
        <f t="shared" si="247"/>
        <v>1</v>
      </c>
      <c r="K518">
        <f t="shared" si="248"/>
        <v>1</v>
      </c>
      <c r="L518">
        <f t="shared" si="249"/>
        <v>0.67</v>
      </c>
      <c r="M518">
        <f t="shared" si="250"/>
        <v>0</v>
      </c>
      <c r="N518">
        <f t="shared" si="251"/>
        <v>2.67</v>
      </c>
      <c r="O518" t="str">
        <f t="shared" si="255"/>
        <v>紧凑</v>
      </c>
      <c r="P518" t="str">
        <f t="shared" si="252"/>
        <v>紧凑</v>
      </c>
      <c r="Q518" t="str">
        <f t="shared" si="253"/>
        <v>✓有效</v>
      </c>
      <c r="R518" t="str">
        <f t="shared" si="254"/>
        <v>正常</v>
      </c>
    </row>
    <row r="519" ht="14.25" customHeight="1" spans="1:18">
      <c r="A519" s="10">
        <v>2024139</v>
      </c>
      <c r="B519" s="12" t="s">
        <v>448</v>
      </c>
      <c r="C519">
        <f t="shared" si="240"/>
        <v>7</v>
      </c>
      <c r="D519">
        <f t="shared" si="241"/>
        <v>4</v>
      </c>
      <c r="E519">
        <f t="shared" si="242"/>
        <v>8</v>
      </c>
      <c r="F519">
        <f t="shared" si="243"/>
        <v>19</v>
      </c>
      <c r="G519">
        <f t="shared" si="244"/>
        <v>9</v>
      </c>
      <c r="H519">
        <f t="shared" si="245"/>
        <v>4</v>
      </c>
      <c r="I519">
        <f t="shared" si="246"/>
        <v>4.75</v>
      </c>
      <c r="J519">
        <f t="shared" si="247"/>
        <v>0.33</v>
      </c>
      <c r="K519">
        <f t="shared" si="248"/>
        <v>0.67</v>
      </c>
      <c r="L519">
        <f t="shared" si="249"/>
        <v>0.33</v>
      </c>
      <c r="M519">
        <f t="shared" si="250"/>
        <v>1</v>
      </c>
      <c r="N519">
        <f t="shared" si="251"/>
        <v>2.33</v>
      </c>
      <c r="O519" t="str">
        <f t="shared" si="255"/>
        <v>紧凑</v>
      </c>
      <c r="P519" t="str">
        <f t="shared" si="252"/>
        <v>紧凑</v>
      </c>
      <c r="Q519" t="str">
        <f t="shared" si="253"/>
        <v>✓有效</v>
      </c>
      <c r="R519" t="str">
        <f t="shared" si="254"/>
        <v>正常</v>
      </c>
    </row>
    <row r="520" ht="14.25" customHeight="1" spans="1:18">
      <c r="A520" s="10">
        <v>2024140</v>
      </c>
      <c r="B520" s="12" t="s">
        <v>449</v>
      </c>
      <c r="C520">
        <f t="shared" si="240"/>
        <v>5</v>
      </c>
      <c r="D520">
        <f t="shared" si="241"/>
        <v>3</v>
      </c>
      <c r="E520">
        <f t="shared" si="242"/>
        <v>6</v>
      </c>
      <c r="F520">
        <f t="shared" si="243"/>
        <v>14</v>
      </c>
      <c r="G520">
        <f t="shared" si="244"/>
        <v>4</v>
      </c>
      <c r="H520">
        <f t="shared" si="245"/>
        <v>3</v>
      </c>
      <c r="I520">
        <f t="shared" si="246"/>
        <v>4.67</v>
      </c>
      <c r="J520">
        <f t="shared" si="247"/>
        <v>0.67</v>
      </c>
      <c r="K520">
        <f t="shared" si="248"/>
        <v>0.67</v>
      </c>
      <c r="L520">
        <f t="shared" si="249"/>
        <v>0.67</v>
      </c>
      <c r="M520">
        <f t="shared" si="250"/>
        <v>1</v>
      </c>
      <c r="N520">
        <f t="shared" si="251"/>
        <v>2.4</v>
      </c>
      <c r="O520" t="str">
        <f t="shared" si="255"/>
        <v>紧凑</v>
      </c>
      <c r="P520" t="str">
        <f t="shared" si="252"/>
        <v>紧凑</v>
      </c>
      <c r="Q520" t="str">
        <f t="shared" si="253"/>
        <v>✓有效</v>
      </c>
      <c r="R520" t="str">
        <f t="shared" si="254"/>
        <v>正常</v>
      </c>
    </row>
    <row r="521" ht="14.25" customHeight="1" spans="1:18">
      <c r="A521" s="10">
        <v>2024141</v>
      </c>
      <c r="B521" s="12" t="s">
        <v>450</v>
      </c>
      <c r="C521">
        <f t="shared" si="240"/>
        <v>2</v>
      </c>
      <c r="D521">
        <f t="shared" si="241"/>
        <v>5</v>
      </c>
      <c r="E521">
        <f t="shared" si="242"/>
        <v>6</v>
      </c>
      <c r="F521">
        <f t="shared" si="243"/>
        <v>13</v>
      </c>
      <c r="G521">
        <f t="shared" si="244"/>
        <v>3</v>
      </c>
      <c r="H521">
        <f t="shared" si="245"/>
        <v>4</v>
      </c>
      <c r="I521">
        <f t="shared" si="246"/>
        <v>3.25</v>
      </c>
      <c r="J521">
        <f t="shared" si="247"/>
        <v>0.33</v>
      </c>
      <c r="K521">
        <f t="shared" si="248"/>
        <v>0.67</v>
      </c>
      <c r="L521">
        <f t="shared" si="249"/>
        <v>0.67</v>
      </c>
      <c r="M521">
        <f t="shared" si="250"/>
        <v>1</v>
      </c>
      <c r="N521">
        <f t="shared" si="251"/>
        <v>1.77</v>
      </c>
      <c r="O521" t="str">
        <f t="shared" si="255"/>
        <v>标准</v>
      </c>
      <c r="P521" t="str">
        <f t="shared" si="252"/>
        <v>紧凑</v>
      </c>
      <c r="Q521" t="str">
        <f t="shared" si="253"/>
        <v>✓有效</v>
      </c>
      <c r="R521" t="str">
        <f t="shared" si="254"/>
        <v>正常</v>
      </c>
    </row>
    <row r="522" ht="14.25" customHeight="1" spans="1:18">
      <c r="A522" s="10">
        <v>2024142</v>
      </c>
      <c r="B522" s="12" t="s">
        <v>451</v>
      </c>
      <c r="C522">
        <f t="shared" si="240"/>
        <v>8</v>
      </c>
      <c r="D522">
        <f t="shared" si="241"/>
        <v>1</v>
      </c>
      <c r="E522">
        <f t="shared" si="242"/>
        <v>3</v>
      </c>
      <c r="F522">
        <f t="shared" si="243"/>
        <v>12</v>
      </c>
      <c r="G522">
        <f t="shared" si="244"/>
        <v>2</v>
      </c>
      <c r="H522">
        <f t="shared" si="245"/>
        <v>7</v>
      </c>
      <c r="I522">
        <f t="shared" si="246"/>
        <v>1.71</v>
      </c>
      <c r="J522">
        <f t="shared" si="247"/>
        <v>0.67</v>
      </c>
      <c r="K522">
        <f t="shared" si="248"/>
        <v>0.33</v>
      </c>
      <c r="L522">
        <f t="shared" si="249"/>
        <v>0.33</v>
      </c>
      <c r="M522">
        <f t="shared" si="250"/>
        <v>0</v>
      </c>
      <c r="N522">
        <f t="shared" si="251"/>
        <v>1.22</v>
      </c>
      <c r="O522" t="str">
        <f t="shared" si="255"/>
        <v>松散</v>
      </c>
      <c r="P522" t="str">
        <f t="shared" si="252"/>
        <v>极紧凑</v>
      </c>
      <c r="Q522" t="str">
        <f t="shared" si="253"/>
        <v>✓有效</v>
      </c>
      <c r="R522" t="str">
        <f t="shared" si="254"/>
        <v>正常</v>
      </c>
    </row>
    <row r="523" ht="14.25" customHeight="1" spans="1:18">
      <c r="A523" s="10">
        <v>2024143</v>
      </c>
      <c r="B523" s="12" t="s">
        <v>447</v>
      </c>
      <c r="C523">
        <f t="shared" si="240"/>
        <v>9</v>
      </c>
      <c r="D523">
        <f t="shared" si="241"/>
        <v>5</v>
      </c>
      <c r="E523">
        <f t="shared" si="242"/>
        <v>5</v>
      </c>
      <c r="F523">
        <f t="shared" si="243"/>
        <v>19</v>
      </c>
      <c r="G523">
        <f t="shared" si="244"/>
        <v>9</v>
      </c>
      <c r="H523">
        <f t="shared" si="245"/>
        <v>4</v>
      </c>
      <c r="I523">
        <f t="shared" si="246"/>
        <v>4.75</v>
      </c>
      <c r="J523">
        <f t="shared" si="247"/>
        <v>1</v>
      </c>
      <c r="K523">
        <f t="shared" si="248"/>
        <v>1</v>
      </c>
      <c r="L523">
        <f t="shared" si="249"/>
        <v>0.67</v>
      </c>
      <c r="M523">
        <f t="shared" si="250"/>
        <v>0</v>
      </c>
      <c r="N523">
        <f t="shared" si="251"/>
        <v>2.67</v>
      </c>
      <c r="O523" t="str">
        <f t="shared" si="255"/>
        <v>紧凑</v>
      </c>
      <c r="P523" t="str">
        <f t="shared" si="252"/>
        <v>紧凑</v>
      </c>
      <c r="Q523" t="str">
        <f t="shared" si="253"/>
        <v>✓有效</v>
      </c>
      <c r="R523" t="str">
        <f t="shared" si="254"/>
        <v>正常</v>
      </c>
    </row>
    <row r="524" ht="14.25" customHeight="1" spans="1:18">
      <c r="A524" s="10">
        <v>2024144</v>
      </c>
      <c r="B524" s="12" t="s">
        <v>452</v>
      </c>
      <c r="C524">
        <f t="shared" si="240"/>
        <v>8</v>
      </c>
      <c r="D524">
        <f t="shared" si="241"/>
        <v>1</v>
      </c>
      <c r="E524">
        <f t="shared" si="242"/>
        <v>6</v>
      </c>
      <c r="F524">
        <f t="shared" si="243"/>
        <v>15</v>
      </c>
      <c r="G524">
        <f t="shared" si="244"/>
        <v>5</v>
      </c>
      <c r="H524">
        <f t="shared" si="245"/>
        <v>7</v>
      </c>
      <c r="I524">
        <f t="shared" si="246"/>
        <v>2.14</v>
      </c>
      <c r="J524">
        <f t="shared" si="247"/>
        <v>0.33</v>
      </c>
      <c r="K524">
        <f t="shared" si="248"/>
        <v>0.67</v>
      </c>
      <c r="L524">
        <f t="shared" si="249"/>
        <v>0</v>
      </c>
      <c r="M524">
        <f t="shared" si="250"/>
        <v>0</v>
      </c>
      <c r="N524">
        <f t="shared" si="251"/>
        <v>1.36</v>
      </c>
      <c r="O524" t="str">
        <f t="shared" si="255"/>
        <v>标准</v>
      </c>
      <c r="P524" t="str">
        <f t="shared" si="252"/>
        <v>极紧凑</v>
      </c>
      <c r="Q524" t="str">
        <f t="shared" si="253"/>
        <v>✓有效</v>
      </c>
      <c r="R524" t="str">
        <f t="shared" si="254"/>
        <v>正常</v>
      </c>
    </row>
    <row r="525" ht="14.25" customHeight="1" spans="1:18">
      <c r="A525" s="10">
        <v>2024145</v>
      </c>
      <c r="B525" s="12" t="s">
        <v>453</v>
      </c>
      <c r="C525">
        <f t="shared" si="240"/>
        <v>7</v>
      </c>
      <c r="D525">
        <f t="shared" si="241"/>
        <v>5</v>
      </c>
      <c r="E525">
        <f t="shared" si="242"/>
        <v>6</v>
      </c>
      <c r="F525">
        <f t="shared" si="243"/>
        <v>18</v>
      </c>
      <c r="G525">
        <f t="shared" si="244"/>
        <v>8</v>
      </c>
      <c r="H525">
        <f t="shared" si="245"/>
        <v>2</v>
      </c>
      <c r="I525">
        <f t="shared" si="246"/>
        <v>9</v>
      </c>
      <c r="J525">
        <f t="shared" si="247"/>
        <v>0.67</v>
      </c>
      <c r="K525">
        <f t="shared" si="248"/>
        <v>1</v>
      </c>
      <c r="L525">
        <f t="shared" si="249"/>
        <v>0.67</v>
      </c>
      <c r="M525">
        <f t="shared" si="250"/>
        <v>2</v>
      </c>
      <c r="N525">
        <f t="shared" si="251"/>
        <v>4.1</v>
      </c>
      <c r="O525" t="str">
        <f t="shared" si="255"/>
        <v>紧凑</v>
      </c>
      <c r="P525" t="str">
        <f t="shared" si="252"/>
        <v>标准</v>
      </c>
      <c r="Q525" t="str">
        <f t="shared" si="253"/>
        <v>✓有效</v>
      </c>
      <c r="R525" t="str">
        <f t="shared" si="254"/>
        <v>正常</v>
      </c>
    </row>
    <row r="526" ht="14.25" customHeight="1" spans="1:18">
      <c r="A526" s="10">
        <v>2024146</v>
      </c>
      <c r="B526" s="12" t="s">
        <v>454</v>
      </c>
      <c r="C526">
        <f t="shared" si="240"/>
        <v>1</v>
      </c>
      <c r="D526">
        <f t="shared" si="241"/>
        <v>8</v>
      </c>
      <c r="E526">
        <f t="shared" si="242"/>
        <v>0</v>
      </c>
      <c r="F526">
        <f t="shared" si="243"/>
        <v>9</v>
      </c>
      <c r="G526">
        <f t="shared" si="244"/>
        <v>9</v>
      </c>
      <c r="H526">
        <f t="shared" si="245"/>
        <v>8</v>
      </c>
      <c r="I526">
        <f t="shared" si="246"/>
        <v>1.13</v>
      </c>
      <c r="J526">
        <f t="shared" si="247"/>
        <v>0.33</v>
      </c>
      <c r="K526">
        <f t="shared" si="248"/>
        <v>0.33</v>
      </c>
      <c r="L526">
        <f t="shared" si="249"/>
        <v>0</v>
      </c>
      <c r="M526">
        <f t="shared" si="250"/>
        <v>1</v>
      </c>
      <c r="N526">
        <f t="shared" si="251"/>
        <v>0.78</v>
      </c>
      <c r="O526" t="str">
        <f t="shared" si="255"/>
        <v>松散</v>
      </c>
      <c r="P526" t="str">
        <f t="shared" si="252"/>
        <v>极紧凑</v>
      </c>
      <c r="Q526" t="str">
        <f t="shared" si="253"/>
        <v>✓有效</v>
      </c>
      <c r="R526" t="str">
        <f t="shared" si="254"/>
        <v>正常</v>
      </c>
    </row>
    <row r="527" ht="14.25" customHeight="1" spans="1:18">
      <c r="A527" s="10">
        <v>2024147</v>
      </c>
      <c r="B527" s="12" t="s">
        <v>455</v>
      </c>
      <c r="C527">
        <f t="shared" si="240"/>
        <v>2</v>
      </c>
      <c r="D527">
        <f t="shared" si="241"/>
        <v>2</v>
      </c>
      <c r="E527">
        <f t="shared" si="242"/>
        <v>5</v>
      </c>
      <c r="F527">
        <f t="shared" si="243"/>
        <v>9</v>
      </c>
      <c r="G527">
        <f t="shared" si="244"/>
        <v>9</v>
      </c>
      <c r="H527">
        <f t="shared" si="245"/>
        <v>3</v>
      </c>
      <c r="I527">
        <f t="shared" si="246"/>
        <v>3</v>
      </c>
      <c r="J527">
        <f t="shared" si="247"/>
        <v>0.33</v>
      </c>
      <c r="K527">
        <f t="shared" si="248"/>
        <v>0.33</v>
      </c>
      <c r="L527">
        <f t="shared" si="249"/>
        <v>1</v>
      </c>
      <c r="M527">
        <f t="shared" si="250"/>
        <v>0</v>
      </c>
      <c r="N527">
        <f t="shared" si="251"/>
        <v>1.73</v>
      </c>
      <c r="O527" t="str">
        <f t="shared" si="255"/>
        <v>标准</v>
      </c>
      <c r="P527" t="str">
        <f t="shared" si="252"/>
        <v>紧凑</v>
      </c>
      <c r="Q527" t="str">
        <f t="shared" si="253"/>
        <v>✓有效</v>
      </c>
      <c r="R527" t="str">
        <f t="shared" si="254"/>
        <v>正常</v>
      </c>
    </row>
    <row r="528" ht="14.25" customHeight="1" spans="1:18">
      <c r="A528" s="10">
        <v>2024148</v>
      </c>
      <c r="B528" s="12" t="s">
        <v>456</v>
      </c>
      <c r="C528">
        <f t="shared" si="240"/>
        <v>4</v>
      </c>
      <c r="D528">
        <f t="shared" si="241"/>
        <v>2</v>
      </c>
      <c r="E528">
        <f t="shared" si="242"/>
        <v>6</v>
      </c>
      <c r="F528">
        <f t="shared" si="243"/>
        <v>12</v>
      </c>
      <c r="G528">
        <f t="shared" si="244"/>
        <v>2</v>
      </c>
      <c r="H528">
        <f t="shared" si="245"/>
        <v>4</v>
      </c>
      <c r="I528">
        <f t="shared" si="246"/>
        <v>3</v>
      </c>
      <c r="J528">
        <f t="shared" si="247"/>
        <v>0</v>
      </c>
      <c r="K528">
        <f t="shared" si="248"/>
        <v>0.33</v>
      </c>
      <c r="L528">
        <f t="shared" si="249"/>
        <v>0.33</v>
      </c>
      <c r="M528">
        <f t="shared" si="250"/>
        <v>0</v>
      </c>
      <c r="N528">
        <f t="shared" si="251"/>
        <v>1.6</v>
      </c>
      <c r="O528" t="str">
        <f t="shared" si="255"/>
        <v>标准</v>
      </c>
      <c r="P528" t="str">
        <f t="shared" si="252"/>
        <v>紧凑</v>
      </c>
      <c r="Q528" t="str">
        <f t="shared" si="253"/>
        <v>✓有效</v>
      </c>
      <c r="R528" t="str">
        <f t="shared" si="254"/>
        <v>正常</v>
      </c>
    </row>
    <row r="529" ht="14.25" customHeight="1" spans="1:18">
      <c r="A529" s="10">
        <v>2024149</v>
      </c>
      <c r="B529" s="12" t="s">
        <v>457</v>
      </c>
      <c r="C529">
        <f t="shared" si="240"/>
        <v>1</v>
      </c>
      <c r="D529">
        <f t="shared" si="241"/>
        <v>5</v>
      </c>
      <c r="E529">
        <f t="shared" si="242"/>
        <v>3</v>
      </c>
      <c r="F529">
        <f t="shared" si="243"/>
        <v>9</v>
      </c>
      <c r="G529">
        <f t="shared" si="244"/>
        <v>9</v>
      </c>
      <c r="H529">
        <f t="shared" si="245"/>
        <v>4</v>
      </c>
      <c r="I529">
        <f t="shared" si="246"/>
        <v>2.25</v>
      </c>
      <c r="J529">
        <f t="shared" si="247"/>
        <v>1</v>
      </c>
      <c r="K529">
        <f t="shared" si="248"/>
        <v>0.33</v>
      </c>
      <c r="L529">
        <f t="shared" si="249"/>
        <v>0.67</v>
      </c>
      <c r="M529">
        <f t="shared" si="250"/>
        <v>0</v>
      </c>
      <c r="N529">
        <f t="shared" si="251"/>
        <v>1.53</v>
      </c>
      <c r="O529" t="str">
        <f t="shared" si="255"/>
        <v>标准</v>
      </c>
      <c r="P529" t="str">
        <f t="shared" si="252"/>
        <v>紧凑</v>
      </c>
      <c r="Q529" t="str">
        <f t="shared" si="253"/>
        <v>✓有效</v>
      </c>
      <c r="R529" t="str">
        <f t="shared" si="254"/>
        <v>正常</v>
      </c>
    </row>
    <row r="530" ht="14.25" customHeight="1" spans="1:18">
      <c r="A530" s="10">
        <v>2024150</v>
      </c>
      <c r="B530" s="12" t="s">
        <v>297</v>
      </c>
      <c r="C530">
        <f t="shared" si="240"/>
        <v>3</v>
      </c>
      <c r="D530">
        <f t="shared" si="241"/>
        <v>5</v>
      </c>
      <c r="E530">
        <f t="shared" si="242"/>
        <v>6</v>
      </c>
      <c r="F530">
        <f t="shared" si="243"/>
        <v>14</v>
      </c>
      <c r="G530">
        <f t="shared" si="244"/>
        <v>4</v>
      </c>
      <c r="H530">
        <f t="shared" si="245"/>
        <v>3</v>
      </c>
      <c r="I530">
        <f t="shared" si="246"/>
        <v>4.67</v>
      </c>
      <c r="J530">
        <f t="shared" si="247"/>
        <v>0.67</v>
      </c>
      <c r="K530">
        <f t="shared" si="248"/>
        <v>0.67</v>
      </c>
      <c r="L530">
        <f t="shared" si="249"/>
        <v>0.67</v>
      </c>
      <c r="M530">
        <f t="shared" si="250"/>
        <v>1</v>
      </c>
      <c r="N530">
        <f t="shared" si="251"/>
        <v>2.4</v>
      </c>
      <c r="O530" t="str">
        <f t="shared" si="255"/>
        <v>紧凑</v>
      </c>
      <c r="P530" t="str">
        <f t="shared" si="252"/>
        <v>紧凑</v>
      </c>
      <c r="Q530" t="str">
        <f t="shared" si="253"/>
        <v>✓有效</v>
      </c>
      <c r="R530" t="str">
        <f t="shared" si="254"/>
        <v>正常</v>
      </c>
    </row>
    <row r="531" ht="14.25" customHeight="1" spans="1:18">
      <c r="A531" s="10">
        <v>2024151</v>
      </c>
      <c r="B531" s="12" t="s">
        <v>458</v>
      </c>
      <c r="C531">
        <f t="shared" si="240"/>
        <v>7</v>
      </c>
      <c r="D531">
        <f t="shared" si="241"/>
        <v>6</v>
      </c>
      <c r="E531">
        <f t="shared" si="242"/>
        <v>5</v>
      </c>
      <c r="F531">
        <f t="shared" si="243"/>
        <v>18</v>
      </c>
      <c r="G531">
        <f t="shared" si="244"/>
        <v>8</v>
      </c>
      <c r="H531">
        <f t="shared" si="245"/>
        <v>2</v>
      </c>
      <c r="I531">
        <f t="shared" si="246"/>
        <v>9</v>
      </c>
      <c r="J531">
        <f t="shared" si="247"/>
        <v>0.67</v>
      </c>
      <c r="K531">
        <f t="shared" si="248"/>
        <v>1</v>
      </c>
      <c r="L531">
        <f t="shared" si="249"/>
        <v>0.67</v>
      </c>
      <c r="M531">
        <f t="shared" si="250"/>
        <v>2</v>
      </c>
      <c r="N531">
        <f t="shared" si="251"/>
        <v>4.1</v>
      </c>
      <c r="O531" t="str">
        <f t="shared" si="255"/>
        <v>紧凑</v>
      </c>
      <c r="P531" t="str">
        <f t="shared" si="252"/>
        <v>标准</v>
      </c>
      <c r="Q531" t="str">
        <f t="shared" si="253"/>
        <v>✓有效</v>
      </c>
      <c r="R531" t="str">
        <f t="shared" si="254"/>
        <v>正常</v>
      </c>
    </row>
    <row r="532" ht="14.25" customHeight="1" spans="1:18">
      <c r="A532" s="10">
        <v>2024152</v>
      </c>
      <c r="B532" s="12" t="s">
        <v>281</v>
      </c>
      <c r="C532">
        <f t="shared" si="240"/>
        <v>8</v>
      </c>
      <c r="D532">
        <f t="shared" si="241"/>
        <v>4</v>
      </c>
      <c r="E532">
        <f t="shared" si="242"/>
        <v>8</v>
      </c>
      <c r="F532">
        <f t="shared" si="243"/>
        <v>20</v>
      </c>
      <c r="G532">
        <f t="shared" si="244"/>
        <v>0</v>
      </c>
      <c r="H532">
        <f t="shared" si="245"/>
        <v>4</v>
      </c>
      <c r="I532">
        <f t="shared" si="246"/>
        <v>5</v>
      </c>
      <c r="J532">
        <f t="shared" si="247"/>
        <v>0</v>
      </c>
      <c r="K532">
        <f t="shared" si="248"/>
        <v>0.67</v>
      </c>
      <c r="L532">
        <f t="shared" si="249"/>
        <v>0</v>
      </c>
      <c r="M532">
        <f t="shared" si="250"/>
        <v>0</v>
      </c>
      <c r="N532">
        <f t="shared" si="251"/>
        <v>2.43</v>
      </c>
      <c r="O532" t="str">
        <f t="shared" si="255"/>
        <v>紧凑</v>
      </c>
      <c r="P532" t="str">
        <f t="shared" si="252"/>
        <v>紧凑</v>
      </c>
      <c r="Q532" t="str">
        <f t="shared" si="253"/>
        <v>✓有效</v>
      </c>
      <c r="R532" t="str">
        <f t="shared" si="254"/>
        <v>正常</v>
      </c>
    </row>
    <row r="533" ht="14.25" customHeight="1" spans="1:18">
      <c r="A533" s="10">
        <v>2024153</v>
      </c>
      <c r="B533" s="12" t="s">
        <v>459</v>
      </c>
      <c r="C533">
        <f t="shared" si="240"/>
        <v>2</v>
      </c>
      <c r="D533">
        <f t="shared" si="241"/>
        <v>8</v>
      </c>
      <c r="E533">
        <f t="shared" si="242"/>
        <v>7</v>
      </c>
      <c r="F533">
        <f t="shared" si="243"/>
        <v>17</v>
      </c>
      <c r="G533">
        <f t="shared" si="244"/>
        <v>7</v>
      </c>
      <c r="H533">
        <f t="shared" si="245"/>
        <v>6</v>
      </c>
      <c r="I533">
        <f t="shared" si="246"/>
        <v>2.83</v>
      </c>
      <c r="J533">
        <f t="shared" si="247"/>
        <v>0.33</v>
      </c>
      <c r="K533">
        <f t="shared" si="248"/>
        <v>0.67</v>
      </c>
      <c r="L533">
        <f t="shared" si="249"/>
        <v>0.67</v>
      </c>
      <c r="M533">
        <f t="shared" si="250"/>
        <v>1</v>
      </c>
      <c r="N533">
        <f t="shared" si="251"/>
        <v>1.6</v>
      </c>
      <c r="O533" t="str">
        <f t="shared" si="255"/>
        <v>标准</v>
      </c>
      <c r="P533" t="str">
        <f t="shared" si="252"/>
        <v>紧凑</v>
      </c>
      <c r="Q533" t="str">
        <f t="shared" si="253"/>
        <v>✓有效</v>
      </c>
      <c r="R533" t="str">
        <f t="shared" si="254"/>
        <v>正常</v>
      </c>
    </row>
    <row r="534" ht="14.25" customHeight="1" spans="1:18">
      <c r="A534" s="10">
        <v>2024154</v>
      </c>
      <c r="B534" s="12" t="s">
        <v>460</v>
      </c>
      <c r="C534">
        <f t="shared" si="240"/>
        <v>8</v>
      </c>
      <c r="D534">
        <f t="shared" si="241"/>
        <v>3</v>
      </c>
      <c r="E534">
        <f t="shared" si="242"/>
        <v>4</v>
      </c>
      <c r="F534">
        <f t="shared" si="243"/>
        <v>15</v>
      </c>
      <c r="G534">
        <f t="shared" si="244"/>
        <v>5</v>
      </c>
      <c r="H534">
        <f t="shared" si="245"/>
        <v>5</v>
      </c>
      <c r="I534">
        <f t="shared" si="246"/>
        <v>3</v>
      </c>
      <c r="J534">
        <f t="shared" si="247"/>
        <v>0.33</v>
      </c>
      <c r="K534">
        <f t="shared" si="248"/>
        <v>0.33</v>
      </c>
      <c r="L534">
        <f t="shared" si="249"/>
        <v>0.33</v>
      </c>
      <c r="M534">
        <f t="shared" si="250"/>
        <v>1</v>
      </c>
      <c r="N534">
        <f t="shared" si="251"/>
        <v>1.57</v>
      </c>
      <c r="O534" t="str">
        <f t="shared" si="255"/>
        <v>标准</v>
      </c>
      <c r="P534" t="str">
        <f t="shared" si="252"/>
        <v>紧凑</v>
      </c>
      <c r="Q534" t="str">
        <f t="shared" si="253"/>
        <v>✓有效</v>
      </c>
      <c r="R534" t="str">
        <f t="shared" si="254"/>
        <v>正常</v>
      </c>
    </row>
    <row r="535" ht="14.25" customHeight="1" spans="1:18">
      <c r="A535" s="10">
        <v>2024155</v>
      </c>
      <c r="B535" s="12" t="s">
        <v>175</v>
      </c>
      <c r="C535">
        <f t="shared" si="240"/>
        <v>4</v>
      </c>
      <c r="D535">
        <f t="shared" si="241"/>
        <v>1</v>
      </c>
      <c r="E535">
        <f t="shared" si="242"/>
        <v>1</v>
      </c>
      <c r="F535">
        <f t="shared" si="243"/>
        <v>6</v>
      </c>
      <c r="G535">
        <f t="shared" si="244"/>
        <v>6</v>
      </c>
      <c r="H535">
        <f t="shared" si="245"/>
        <v>3</v>
      </c>
      <c r="I535">
        <f t="shared" si="246"/>
        <v>2</v>
      </c>
      <c r="J535">
        <f t="shared" si="247"/>
        <v>0.67</v>
      </c>
      <c r="K535">
        <f t="shared" si="248"/>
        <v>0</v>
      </c>
      <c r="L535">
        <f t="shared" si="249"/>
        <v>0</v>
      </c>
      <c r="M535">
        <f t="shared" si="250"/>
        <v>0</v>
      </c>
      <c r="N535">
        <f t="shared" si="251"/>
        <v>1.23</v>
      </c>
      <c r="O535" t="str">
        <f t="shared" si="255"/>
        <v>标准</v>
      </c>
      <c r="P535" t="str">
        <f t="shared" si="252"/>
        <v>极紧凑</v>
      </c>
      <c r="Q535" t="str">
        <f t="shared" si="253"/>
        <v>✓有效</v>
      </c>
      <c r="R535" t="str">
        <f t="shared" si="254"/>
        <v>正常</v>
      </c>
    </row>
    <row r="536" ht="14.25" customHeight="1" spans="1:18">
      <c r="A536" s="10">
        <v>2024156</v>
      </c>
      <c r="B536" s="12" t="s">
        <v>454</v>
      </c>
      <c r="C536">
        <f t="shared" si="240"/>
        <v>1</v>
      </c>
      <c r="D536">
        <f t="shared" si="241"/>
        <v>8</v>
      </c>
      <c r="E536">
        <f t="shared" si="242"/>
        <v>0</v>
      </c>
      <c r="F536">
        <f t="shared" si="243"/>
        <v>9</v>
      </c>
      <c r="G536">
        <f t="shared" si="244"/>
        <v>9</v>
      </c>
      <c r="H536">
        <f t="shared" si="245"/>
        <v>8</v>
      </c>
      <c r="I536">
        <f t="shared" si="246"/>
        <v>1.13</v>
      </c>
      <c r="J536">
        <f t="shared" si="247"/>
        <v>0.33</v>
      </c>
      <c r="K536">
        <f t="shared" si="248"/>
        <v>0.33</v>
      </c>
      <c r="L536">
        <f t="shared" si="249"/>
        <v>0</v>
      </c>
      <c r="M536">
        <f t="shared" si="250"/>
        <v>1</v>
      </c>
      <c r="N536">
        <f t="shared" si="251"/>
        <v>0.78</v>
      </c>
      <c r="O536" t="str">
        <f t="shared" si="255"/>
        <v>松散</v>
      </c>
      <c r="P536" t="str">
        <f t="shared" si="252"/>
        <v>极紧凑</v>
      </c>
      <c r="Q536" t="str">
        <f t="shared" si="253"/>
        <v>✓有效</v>
      </c>
      <c r="R536" t="str">
        <f t="shared" si="254"/>
        <v>正常</v>
      </c>
    </row>
    <row r="537" ht="14.25" customHeight="1" spans="1:18">
      <c r="A537" s="10">
        <v>2024157</v>
      </c>
      <c r="B537" s="12" t="s">
        <v>461</v>
      </c>
      <c r="C537">
        <f t="shared" si="240"/>
        <v>1</v>
      </c>
      <c r="D537">
        <f t="shared" si="241"/>
        <v>2</v>
      </c>
      <c r="E537">
        <f t="shared" si="242"/>
        <v>6</v>
      </c>
      <c r="F537">
        <f t="shared" si="243"/>
        <v>9</v>
      </c>
      <c r="G537">
        <f t="shared" si="244"/>
        <v>9</v>
      </c>
      <c r="H537">
        <f t="shared" si="245"/>
        <v>5</v>
      </c>
      <c r="I537">
        <f t="shared" si="246"/>
        <v>1.8</v>
      </c>
      <c r="J537">
        <f t="shared" si="247"/>
        <v>0.33</v>
      </c>
      <c r="K537">
        <f t="shared" si="248"/>
        <v>0.33</v>
      </c>
      <c r="L537">
        <f t="shared" si="249"/>
        <v>0.33</v>
      </c>
      <c r="M537">
        <f t="shared" si="250"/>
        <v>1</v>
      </c>
      <c r="N537">
        <f t="shared" si="251"/>
        <v>1.09</v>
      </c>
      <c r="O537" t="str">
        <f t="shared" si="255"/>
        <v>松散</v>
      </c>
      <c r="P537" t="str">
        <f t="shared" si="252"/>
        <v>极紧凑</v>
      </c>
      <c r="Q537" t="str">
        <f t="shared" si="253"/>
        <v>✓有效</v>
      </c>
      <c r="R537" t="str">
        <f t="shared" si="254"/>
        <v>正常</v>
      </c>
    </row>
    <row r="538" ht="14.25" customHeight="1" spans="1:18">
      <c r="A538" s="10">
        <v>2024158</v>
      </c>
      <c r="B538" s="12" t="s">
        <v>462</v>
      </c>
      <c r="C538">
        <f t="shared" si="240"/>
        <v>8</v>
      </c>
      <c r="D538">
        <f t="shared" si="241"/>
        <v>2</v>
      </c>
      <c r="E538">
        <f t="shared" si="242"/>
        <v>1</v>
      </c>
      <c r="F538">
        <f t="shared" si="243"/>
        <v>11</v>
      </c>
      <c r="G538">
        <f t="shared" si="244"/>
        <v>1</v>
      </c>
      <c r="H538">
        <f t="shared" si="245"/>
        <v>7</v>
      </c>
      <c r="I538">
        <f t="shared" si="246"/>
        <v>1.57</v>
      </c>
      <c r="J538">
        <f t="shared" si="247"/>
        <v>0.33</v>
      </c>
      <c r="K538">
        <f t="shared" si="248"/>
        <v>0.33</v>
      </c>
      <c r="L538">
        <f t="shared" si="249"/>
        <v>0.33</v>
      </c>
      <c r="M538">
        <f t="shared" si="250"/>
        <v>1</v>
      </c>
      <c r="N538">
        <f t="shared" si="251"/>
        <v>0.99</v>
      </c>
      <c r="O538" t="str">
        <f t="shared" si="255"/>
        <v>松散</v>
      </c>
      <c r="P538" t="str">
        <f t="shared" si="252"/>
        <v>极紧凑</v>
      </c>
      <c r="Q538" t="str">
        <f t="shared" si="253"/>
        <v>✓有效</v>
      </c>
      <c r="R538" t="str">
        <f t="shared" si="254"/>
        <v>正常</v>
      </c>
    </row>
    <row r="539" ht="14.25" customHeight="1" spans="1:18">
      <c r="A539" s="10">
        <v>2024159</v>
      </c>
      <c r="B539" s="12" t="s">
        <v>245</v>
      </c>
      <c r="C539">
        <f t="shared" si="240"/>
        <v>2</v>
      </c>
      <c r="D539">
        <f t="shared" si="241"/>
        <v>1</v>
      </c>
      <c r="E539">
        <f t="shared" si="242"/>
        <v>2</v>
      </c>
      <c r="F539">
        <f t="shared" si="243"/>
        <v>5</v>
      </c>
      <c r="G539">
        <f t="shared" si="244"/>
        <v>5</v>
      </c>
      <c r="H539">
        <f t="shared" si="245"/>
        <v>1</v>
      </c>
      <c r="I539">
        <f t="shared" si="246"/>
        <v>5</v>
      </c>
      <c r="J539">
        <f t="shared" si="247"/>
        <v>0.33</v>
      </c>
      <c r="K539">
        <f t="shared" si="248"/>
        <v>0</v>
      </c>
      <c r="L539">
        <f t="shared" si="249"/>
        <v>0.67</v>
      </c>
      <c r="M539">
        <f t="shared" si="250"/>
        <v>2</v>
      </c>
      <c r="N539">
        <f t="shared" si="251"/>
        <v>2.23</v>
      </c>
      <c r="O539" t="str">
        <f t="shared" si="255"/>
        <v>紧凑</v>
      </c>
      <c r="P539" t="str">
        <f t="shared" si="252"/>
        <v>紧凑</v>
      </c>
      <c r="Q539" t="str">
        <f t="shared" si="253"/>
        <v>✓有效</v>
      </c>
      <c r="R539" t="str">
        <f t="shared" si="254"/>
        <v>正常</v>
      </c>
    </row>
    <row r="540" ht="14.25" customHeight="1" spans="1:18">
      <c r="A540" s="10">
        <v>2024160</v>
      </c>
      <c r="B540" s="12" t="s">
        <v>463</v>
      </c>
      <c r="C540">
        <f t="shared" si="240"/>
        <v>6</v>
      </c>
      <c r="D540">
        <f t="shared" si="241"/>
        <v>9</v>
      </c>
      <c r="E540">
        <f t="shared" si="242"/>
        <v>0</v>
      </c>
      <c r="F540">
        <f t="shared" si="243"/>
        <v>15</v>
      </c>
      <c r="G540">
        <f t="shared" si="244"/>
        <v>5</v>
      </c>
      <c r="H540">
        <f t="shared" si="245"/>
        <v>9</v>
      </c>
      <c r="I540">
        <f t="shared" si="246"/>
        <v>1.67</v>
      </c>
      <c r="J540">
        <f t="shared" si="247"/>
        <v>0.33</v>
      </c>
      <c r="K540">
        <f t="shared" si="248"/>
        <v>0.67</v>
      </c>
      <c r="L540">
        <f t="shared" si="249"/>
        <v>0</v>
      </c>
      <c r="M540">
        <f t="shared" si="250"/>
        <v>0</v>
      </c>
      <c r="N540">
        <f t="shared" si="251"/>
        <v>1.17</v>
      </c>
      <c r="O540" t="str">
        <f t="shared" si="255"/>
        <v>松散</v>
      </c>
      <c r="P540" t="str">
        <f t="shared" si="252"/>
        <v>极紧凑</v>
      </c>
      <c r="Q540" t="str">
        <f t="shared" si="253"/>
        <v>✓有效</v>
      </c>
      <c r="R540" t="str">
        <f t="shared" si="254"/>
        <v>正常</v>
      </c>
    </row>
    <row r="541" ht="14.25" customHeight="1" spans="1:18">
      <c r="A541" s="10">
        <v>2024161</v>
      </c>
      <c r="B541" s="12" t="s">
        <v>280</v>
      </c>
      <c r="C541">
        <f t="shared" si="240"/>
        <v>4</v>
      </c>
      <c r="D541">
        <f t="shared" si="241"/>
        <v>6</v>
      </c>
      <c r="E541">
        <f t="shared" si="242"/>
        <v>8</v>
      </c>
      <c r="F541">
        <f t="shared" si="243"/>
        <v>18</v>
      </c>
      <c r="G541">
        <f t="shared" si="244"/>
        <v>8</v>
      </c>
      <c r="H541">
        <f t="shared" si="245"/>
        <v>4</v>
      </c>
      <c r="I541">
        <f t="shared" si="246"/>
        <v>4.5</v>
      </c>
      <c r="J541">
        <f t="shared" si="247"/>
        <v>0</v>
      </c>
      <c r="K541">
        <f t="shared" si="248"/>
        <v>0.67</v>
      </c>
      <c r="L541">
        <f t="shared" si="249"/>
        <v>0</v>
      </c>
      <c r="M541">
        <f t="shared" si="250"/>
        <v>0</v>
      </c>
      <c r="N541">
        <f t="shared" si="251"/>
        <v>2.23</v>
      </c>
      <c r="O541" t="str">
        <f t="shared" si="255"/>
        <v>紧凑</v>
      </c>
      <c r="P541" t="str">
        <f t="shared" si="252"/>
        <v>紧凑</v>
      </c>
      <c r="Q541" t="str">
        <f t="shared" si="253"/>
        <v>✓有效</v>
      </c>
      <c r="R541" t="str">
        <f t="shared" si="254"/>
        <v>正常</v>
      </c>
    </row>
    <row r="542" ht="14.25" customHeight="1" spans="1:18">
      <c r="A542" s="10">
        <v>2024162</v>
      </c>
      <c r="B542" s="12" t="s">
        <v>464</v>
      </c>
      <c r="C542">
        <f t="shared" si="240"/>
        <v>1</v>
      </c>
      <c r="D542">
        <f t="shared" si="241"/>
        <v>6</v>
      </c>
      <c r="E542">
        <f t="shared" si="242"/>
        <v>4</v>
      </c>
      <c r="F542">
        <f t="shared" si="243"/>
        <v>11</v>
      </c>
      <c r="G542">
        <f t="shared" si="244"/>
        <v>1</v>
      </c>
      <c r="H542">
        <f t="shared" si="245"/>
        <v>5</v>
      </c>
      <c r="I542">
        <f t="shared" si="246"/>
        <v>2.2</v>
      </c>
      <c r="J542">
        <f t="shared" si="247"/>
        <v>0.33</v>
      </c>
      <c r="K542">
        <f t="shared" si="248"/>
        <v>0.33</v>
      </c>
      <c r="L542">
        <f t="shared" si="249"/>
        <v>0</v>
      </c>
      <c r="M542">
        <f t="shared" si="250"/>
        <v>0</v>
      </c>
      <c r="N542">
        <f t="shared" si="251"/>
        <v>1.31</v>
      </c>
      <c r="O542" t="str">
        <f t="shared" si="255"/>
        <v>标准</v>
      </c>
      <c r="P542" t="str">
        <f t="shared" si="252"/>
        <v>极紧凑</v>
      </c>
      <c r="Q542" t="str">
        <f t="shared" si="253"/>
        <v>✓有效</v>
      </c>
      <c r="R542" t="str">
        <f t="shared" si="254"/>
        <v>正常</v>
      </c>
    </row>
    <row r="543" ht="14.25" customHeight="1" spans="1:18">
      <c r="A543" s="10">
        <v>2024163</v>
      </c>
      <c r="B543" s="12" t="s">
        <v>465</v>
      </c>
      <c r="C543">
        <f t="shared" si="240"/>
        <v>3</v>
      </c>
      <c r="D543">
        <f t="shared" si="241"/>
        <v>0</v>
      </c>
      <c r="E543">
        <f t="shared" si="242"/>
        <v>4</v>
      </c>
      <c r="F543">
        <f t="shared" si="243"/>
        <v>7</v>
      </c>
      <c r="G543">
        <f t="shared" si="244"/>
        <v>7</v>
      </c>
      <c r="H543">
        <f t="shared" si="245"/>
        <v>4</v>
      </c>
      <c r="I543">
        <f t="shared" si="246"/>
        <v>1.75</v>
      </c>
      <c r="J543">
        <f t="shared" si="247"/>
        <v>0.33</v>
      </c>
      <c r="K543">
        <f t="shared" si="248"/>
        <v>0</v>
      </c>
      <c r="L543">
        <f t="shared" si="249"/>
        <v>0.33</v>
      </c>
      <c r="M543">
        <f t="shared" si="250"/>
        <v>1</v>
      </c>
      <c r="N543">
        <f t="shared" si="251"/>
        <v>1</v>
      </c>
      <c r="O543" t="str">
        <f t="shared" si="255"/>
        <v>松散</v>
      </c>
      <c r="P543" t="str">
        <f t="shared" si="252"/>
        <v>极紧凑</v>
      </c>
      <c r="Q543" t="str">
        <f t="shared" si="253"/>
        <v>✓有效</v>
      </c>
      <c r="R543" t="str">
        <f t="shared" si="254"/>
        <v>正常</v>
      </c>
    </row>
    <row r="544" ht="14.25" customHeight="1" spans="1:18">
      <c r="A544" s="10">
        <v>2024164</v>
      </c>
      <c r="B544" s="12" t="s">
        <v>466</v>
      </c>
      <c r="C544">
        <f t="shared" ref="C544:C607" si="256">IF(B544="","",LEFT(TEXT(B544,"000"),1)*1)</f>
        <v>3</v>
      </c>
      <c r="D544">
        <f t="shared" ref="D544:D607" si="257">IF(B544="","",MID(TEXT(B544,"000"),2,1)*1)</f>
        <v>5</v>
      </c>
      <c r="E544">
        <f t="shared" ref="E544:E607" si="258">IF(B544="","",RIGHT(TEXT(B544,"000"),1)*1)</f>
        <v>4</v>
      </c>
      <c r="F544">
        <f t="shared" ref="F544:F607" si="259">IF(B544="","",C544+D544+E544)</f>
        <v>12</v>
      </c>
      <c r="G544">
        <f t="shared" ref="G544:G607" si="260">IF(B544="","",MOD(F544,10))</f>
        <v>2</v>
      </c>
      <c r="H544">
        <f t="shared" ref="H544:H607" si="261">IF(B544="","",MAX(C544,D544,E544)-MIN(C544,D544,E544))</f>
        <v>2</v>
      </c>
      <c r="I544">
        <f t="shared" ref="I544:I607" si="262">IF(OR(B544="",H544=0),IF(H544=0,0.1,""),ROUND(F544/H544,2))</f>
        <v>6</v>
      </c>
      <c r="J544">
        <f t="shared" ref="J544:J607" si="263">IF(B544="","",ROUND((MOD(C544,2)+MOD(D544,2)+MOD(E544,2))/3,2))</f>
        <v>0.67</v>
      </c>
      <c r="K544">
        <f t="shared" ref="K544:K607" si="264">IF(B544="","",ROUND(((C544&gt;=5)+(D544&gt;=5)+(E544&gt;=5))/3,2))</f>
        <v>0.33</v>
      </c>
      <c r="L544">
        <f t="shared" ref="L544:L607" si="265">IF(B544="","",ROUND((ISNUMBER(FIND(C544,"2357"))+ISNUMBER(FIND(D544,"2357"))+ISNUMBER(FIND(E544,"2357")))/3,2))</f>
        <v>0.67</v>
      </c>
      <c r="M544">
        <f t="shared" ref="M544:M607" si="266">IF(B544="","",((ABS(C544-D544)=1)+(ABS(D544-E544)=1)+(ABS(C544-E544)=1)))</f>
        <v>2</v>
      </c>
      <c r="N544">
        <f t="shared" ref="N544:N607" si="267">IF(B544="","",ROUND(I544*0.4+J544*0.2+K544*0.2+L544*0.1+(3-M544)*0.1,2))</f>
        <v>2.77</v>
      </c>
      <c r="O544" t="str">
        <f t="shared" si="255"/>
        <v>紧凑</v>
      </c>
      <c r="P544" t="str">
        <f t="shared" ref="P544:P607" si="268">IF(B544="","",IF(N544&lt;=1.5,"极紧凑",IF(N544&lt;=3,"紧凑",IF(N544&lt;=5,"标准","松散"))))</f>
        <v>紧凑</v>
      </c>
      <c r="Q544" t="str">
        <f t="shared" ref="Q544:Q607" si="269">IF(B544="","",IF(AND(C544&gt;=0,C544&lt;=9,D544&gt;=0,D544&lt;=9,E544&gt;=0,E544&lt;=9),"✓有效","✗无效"))</f>
        <v>✓有效</v>
      </c>
      <c r="R544" t="str">
        <f t="shared" ref="R544:R607" si="270">IF(B544="","",IF(OR(I544&gt;10,I544&lt;0.1),"异常","正常"))</f>
        <v>正常</v>
      </c>
    </row>
    <row r="545" ht="14.25" customHeight="1" spans="1:18">
      <c r="A545" s="10">
        <v>2024165</v>
      </c>
      <c r="B545" s="12" t="s">
        <v>240</v>
      </c>
      <c r="C545">
        <f t="shared" si="256"/>
        <v>1</v>
      </c>
      <c r="D545">
        <f t="shared" si="257"/>
        <v>4</v>
      </c>
      <c r="E545">
        <f t="shared" si="258"/>
        <v>5</v>
      </c>
      <c r="F545">
        <f t="shared" si="259"/>
        <v>10</v>
      </c>
      <c r="G545">
        <f t="shared" si="260"/>
        <v>0</v>
      </c>
      <c r="H545">
        <f t="shared" si="261"/>
        <v>4</v>
      </c>
      <c r="I545">
        <f t="shared" si="262"/>
        <v>2.5</v>
      </c>
      <c r="J545">
        <f t="shared" si="263"/>
        <v>0.67</v>
      </c>
      <c r="K545">
        <f t="shared" si="264"/>
        <v>0.33</v>
      </c>
      <c r="L545">
        <f t="shared" si="265"/>
        <v>0.33</v>
      </c>
      <c r="M545">
        <f t="shared" si="266"/>
        <v>1</v>
      </c>
      <c r="N545">
        <f t="shared" si="267"/>
        <v>1.43</v>
      </c>
      <c r="O545" t="str">
        <f t="shared" ref="O545:O608" si="271">IF(I545=0.1,"极紧凑",IF(I545&gt;3.5,"紧凑",IF(AND(I545&gt;=2,I545&lt;=3.5),"标准",IF(AND(I545&gt;=1,I545&lt;2),"松散",""))))</f>
        <v>标准</v>
      </c>
      <c r="P545" t="str">
        <f t="shared" si="268"/>
        <v>极紧凑</v>
      </c>
      <c r="Q545" t="str">
        <f t="shared" si="269"/>
        <v>✓有效</v>
      </c>
      <c r="R545" t="str">
        <f t="shared" si="270"/>
        <v>正常</v>
      </c>
    </row>
    <row r="546" ht="14.25" customHeight="1" spans="1:18">
      <c r="A546" s="10">
        <v>2024166</v>
      </c>
      <c r="B546" s="12" t="s">
        <v>411</v>
      </c>
      <c r="C546">
        <f t="shared" si="256"/>
        <v>3</v>
      </c>
      <c r="D546">
        <f t="shared" si="257"/>
        <v>9</v>
      </c>
      <c r="E546">
        <f t="shared" si="258"/>
        <v>7</v>
      </c>
      <c r="F546">
        <f t="shared" si="259"/>
        <v>19</v>
      </c>
      <c r="G546">
        <f t="shared" si="260"/>
        <v>9</v>
      </c>
      <c r="H546">
        <f t="shared" si="261"/>
        <v>6</v>
      </c>
      <c r="I546">
        <f t="shared" si="262"/>
        <v>3.17</v>
      </c>
      <c r="J546">
        <f t="shared" si="263"/>
        <v>1</v>
      </c>
      <c r="K546">
        <f t="shared" si="264"/>
        <v>0.67</v>
      </c>
      <c r="L546">
        <f t="shared" si="265"/>
        <v>0.67</v>
      </c>
      <c r="M546">
        <f t="shared" si="266"/>
        <v>0</v>
      </c>
      <c r="N546">
        <f t="shared" si="267"/>
        <v>1.97</v>
      </c>
      <c r="O546" t="str">
        <f t="shared" si="271"/>
        <v>标准</v>
      </c>
      <c r="P546" t="str">
        <f t="shared" si="268"/>
        <v>紧凑</v>
      </c>
      <c r="Q546" t="str">
        <f t="shared" si="269"/>
        <v>✓有效</v>
      </c>
      <c r="R546" t="str">
        <f t="shared" si="270"/>
        <v>正常</v>
      </c>
    </row>
    <row r="547" ht="14.25" customHeight="1" spans="1:18">
      <c r="A547" s="10">
        <v>2024167</v>
      </c>
      <c r="B547" s="12" t="s">
        <v>295</v>
      </c>
      <c r="C547">
        <f t="shared" si="256"/>
        <v>2</v>
      </c>
      <c r="D547">
        <f t="shared" si="257"/>
        <v>2</v>
      </c>
      <c r="E547">
        <f t="shared" si="258"/>
        <v>0</v>
      </c>
      <c r="F547">
        <f t="shared" si="259"/>
        <v>4</v>
      </c>
      <c r="G547">
        <f t="shared" si="260"/>
        <v>4</v>
      </c>
      <c r="H547">
        <f t="shared" si="261"/>
        <v>2</v>
      </c>
      <c r="I547">
        <f t="shared" si="262"/>
        <v>2</v>
      </c>
      <c r="J547">
        <f t="shared" si="263"/>
        <v>0</v>
      </c>
      <c r="K547">
        <f t="shared" si="264"/>
        <v>0</v>
      </c>
      <c r="L547">
        <f t="shared" si="265"/>
        <v>0.67</v>
      </c>
      <c r="M547">
        <f t="shared" si="266"/>
        <v>0</v>
      </c>
      <c r="N547">
        <f t="shared" si="267"/>
        <v>1.17</v>
      </c>
      <c r="O547" t="str">
        <f t="shared" si="271"/>
        <v>标准</v>
      </c>
      <c r="P547" t="str">
        <f t="shared" si="268"/>
        <v>极紧凑</v>
      </c>
      <c r="Q547" t="str">
        <f t="shared" si="269"/>
        <v>✓有效</v>
      </c>
      <c r="R547" t="str">
        <f t="shared" si="270"/>
        <v>正常</v>
      </c>
    </row>
    <row r="548" ht="14.25" customHeight="1" spans="1:18">
      <c r="A548" s="10">
        <v>2024168</v>
      </c>
      <c r="B548" s="12" t="s">
        <v>112</v>
      </c>
      <c r="C548">
        <f t="shared" si="256"/>
        <v>7</v>
      </c>
      <c r="D548">
        <f t="shared" si="257"/>
        <v>5</v>
      </c>
      <c r="E548">
        <f t="shared" si="258"/>
        <v>2</v>
      </c>
      <c r="F548">
        <f t="shared" si="259"/>
        <v>14</v>
      </c>
      <c r="G548">
        <f t="shared" si="260"/>
        <v>4</v>
      </c>
      <c r="H548">
        <f t="shared" si="261"/>
        <v>5</v>
      </c>
      <c r="I548">
        <f t="shared" si="262"/>
        <v>2.8</v>
      </c>
      <c r="J548">
        <f t="shared" si="263"/>
        <v>0.67</v>
      </c>
      <c r="K548">
        <f t="shared" si="264"/>
        <v>0.67</v>
      </c>
      <c r="L548">
        <f t="shared" si="265"/>
        <v>1</v>
      </c>
      <c r="M548">
        <f t="shared" si="266"/>
        <v>0</v>
      </c>
      <c r="N548">
        <f t="shared" si="267"/>
        <v>1.79</v>
      </c>
      <c r="O548" t="str">
        <f t="shared" si="271"/>
        <v>标准</v>
      </c>
      <c r="P548" t="str">
        <f t="shared" si="268"/>
        <v>紧凑</v>
      </c>
      <c r="Q548" t="str">
        <f t="shared" si="269"/>
        <v>✓有效</v>
      </c>
      <c r="R548" t="str">
        <f t="shared" si="270"/>
        <v>正常</v>
      </c>
    </row>
    <row r="549" ht="14.25" customHeight="1" spans="1:18">
      <c r="A549" s="10">
        <v>2024169</v>
      </c>
      <c r="B549" s="12" t="s">
        <v>467</v>
      </c>
      <c r="C549">
        <f t="shared" si="256"/>
        <v>4</v>
      </c>
      <c r="D549">
        <f t="shared" si="257"/>
        <v>0</v>
      </c>
      <c r="E549">
        <f t="shared" si="258"/>
        <v>2</v>
      </c>
      <c r="F549">
        <f t="shared" si="259"/>
        <v>6</v>
      </c>
      <c r="G549">
        <f t="shared" si="260"/>
        <v>6</v>
      </c>
      <c r="H549">
        <f t="shared" si="261"/>
        <v>4</v>
      </c>
      <c r="I549">
        <f t="shared" si="262"/>
        <v>1.5</v>
      </c>
      <c r="J549">
        <f t="shared" si="263"/>
        <v>0</v>
      </c>
      <c r="K549">
        <f t="shared" si="264"/>
        <v>0</v>
      </c>
      <c r="L549">
        <f t="shared" si="265"/>
        <v>0.33</v>
      </c>
      <c r="M549">
        <f t="shared" si="266"/>
        <v>0</v>
      </c>
      <c r="N549">
        <f t="shared" si="267"/>
        <v>0.93</v>
      </c>
      <c r="O549" t="str">
        <f t="shared" si="271"/>
        <v>松散</v>
      </c>
      <c r="P549" t="str">
        <f t="shared" si="268"/>
        <v>极紧凑</v>
      </c>
      <c r="Q549" t="str">
        <f t="shared" si="269"/>
        <v>✓有效</v>
      </c>
      <c r="R549" t="str">
        <f t="shared" si="270"/>
        <v>正常</v>
      </c>
    </row>
    <row r="550" ht="14.25" customHeight="1" spans="1:18">
      <c r="A550" s="10">
        <v>2024170</v>
      </c>
      <c r="B550" s="12" t="s">
        <v>455</v>
      </c>
      <c r="C550">
        <f t="shared" si="256"/>
        <v>2</v>
      </c>
      <c r="D550">
        <f t="shared" si="257"/>
        <v>2</v>
      </c>
      <c r="E550">
        <f t="shared" si="258"/>
        <v>5</v>
      </c>
      <c r="F550">
        <f t="shared" si="259"/>
        <v>9</v>
      </c>
      <c r="G550">
        <f t="shared" si="260"/>
        <v>9</v>
      </c>
      <c r="H550">
        <f t="shared" si="261"/>
        <v>3</v>
      </c>
      <c r="I550">
        <f t="shared" si="262"/>
        <v>3</v>
      </c>
      <c r="J550">
        <f t="shared" si="263"/>
        <v>0.33</v>
      </c>
      <c r="K550">
        <f t="shared" si="264"/>
        <v>0.33</v>
      </c>
      <c r="L550">
        <f t="shared" si="265"/>
        <v>1</v>
      </c>
      <c r="M550">
        <f t="shared" si="266"/>
        <v>0</v>
      </c>
      <c r="N550">
        <f t="shared" si="267"/>
        <v>1.73</v>
      </c>
      <c r="O550" t="str">
        <f t="shared" si="271"/>
        <v>标准</v>
      </c>
      <c r="P550" t="str">
        <f t="shared" si="268"/>
        <v>紧凑</v>
      </c>
      <c r="Q550" t="str">
        <f t="shared" si="269"/>
        <v>✓有效</v>
      </c>
      <c r="R550" t="str">
        <f t="shared" si="270"/>
        <v>正常</v>
      </c>
    </row>
    <row r="551" ht="14.25" customHeight="1" spans="1:18">
      <c r="A551" s="10">
        <v>2024171</v>
      </c>
      <c r="B551" s="12" t="s">
        <v>275</v>
      </c>
      <c r="C551">
        <f t="shared" si="256"/>
        <v>4</v>
      </c>
      <c r="D551">
        <f t="shared" si="257"/>
        <v>8</v>
      </c>
      <c r="E551">
        <f t="shared" si="258"/>
        <v>0</v>
      </c>
      <c r="F551">
        <f t="shared" si="259"/>
        <v>12</v>
      </c>
      <c r="G551">
        <f t="shared" si="260"/>
        <v>2</v>
      </c>
      <c r="H551">
        <f t="shared" si="261"/>
        <v>8</v>
      </c>
      <c r="I551">
        <f t="shared" si="262"/>
        <v>1.5</v>
      </c>
      <c r="J551">
        <f t="shared" si="263"/>
        <v>0</v>
      </c>
      <c r="K551">
        <f t="shared" si="264"/>
        <v>0.33</v>
      </c>
      <c r="L551">
        <f t="shared" si="265"/>
        <v>0</v>
      </c>
      <c r="M551">
        <f t="shared" si="266"/>
        <v>0</v>
      </c>
      <c r="N551">
        <f t="shared" si="267"/>
        <v>0.97</v>
      </c>
      <c r="O551" t="str">
        <f t="shared" si="271"/>
        <v>松散</v>
      </c>
      <c r="P551" t="str">
        <f t="shared" si="268"/>
        <v>极紧凑</v>
      </c>
      <c r="Q551" t="str">
        <f t="shared" si="269"/>
        <v>✓有效</v>
      </c>
      <c r="R551" t="str">
        <f t="shared" si="270"/>
        <v>正常</v>
      </c>
    </row>
    <row r="552" ht="14.25" customHeight="1" spans="1:18">
      <c r="A552" s="10">
        <v>2024172</v>
      </c>
      <c r="B552" s="12" t="s">
        <v>468</v>
      </c>
      <c r="C552">
        <f t="shared" si="256"/>
        <v>9</v>
      </c>
      <c r="D552">
        <f t="shared" si="257"/>
        <v>0</v>
      </c>
      <c r="E552">
        <f t="shared" si="258"/>
        <v>8</v>
      </c>
      <c r="F552">
        <f t="shared" si="259"/>
        <v>17</v>
      </c>
      <c r="G552">
        <f t="shared" si="260"/>
        <v>7</v>
      </c>
      <c r="H552">
        <f t="shared" si="261"/>
        <v>9</v>
      </c>
      <c r="I552">
        <f t="shared" si="262"/>
        <v>1.89</v>
      </c>
      <c r="J552">
        <f t="shared" si="263"/>
        <v>0.33</v>
      </c>
      <c r="K552">
        <f t="shared" si="264"/>
        <v>0.67</v>
      </c>
      <c r="L552">
        <f t="shared" si="265"/>
        <v>0</v>
      </c>
      <c r="M552">
        <f t="shared" si="266"/>
        <v>1</v>
      </c>
      <c r="N552">
        <f t="shared" si="267"/>
        <v>1.16</v>
      </c>
      <c r="O552" t="str">
        <f t="shared" si="271"/>
        <v>松散</v>
      </c>
      <c r="P552" t="str">
        <f t="shared" si="268"/>
        <v>极紧凑</v>
      </c>
      <c r="Q552" t="str">
        <f t="shared" si="269"/>
        <v>✓有效</v>
      </c>
      <c r="R552" t="str">
        <f t="shared" si="270"/>
        <v>正常</v>
      </c>
    </row>
    <row r="553" ht="14.25" customHeight="1" spans="1:18">
      <c r="A553" s="10">
        <v>2024173</v>
      </c>
      <c r="B553" s="12" t="s">
        <v>469</v>
      </c>
      <c r="C553">
        <f t="shared" si="256"/>
        <v>4</v>
      </c>
      <c r="D553">
        <f t="shared" si="257"/>
        <v>4</v>
      </c>
      <c r="E553">
        <f t="shared" si="258"/>
        <v>9</v>
      </c>
      <c r="F553">
        <f t="shared" si="259"/>
        <v>17</v>
      </c>
      <c r="G553">
        <f t="shared" si="260"/>
        <v>7</v>
      </c>
      <c r="H553">
        <f t="shared" si="261"/>
        <v>5</v>
      </c>
      <c r="I553">
        <f t="shared" si="262"/>
        <v>3.4</v>
      </c>
      <c r="J553">
        <f t="shared" si="263"/>
        <v>0.33</v>
      </c>
      <c r="K553">
        <f t="shared" si="264"/>
        <v>0.33</v>
      </c>
      <c r="L553">
        <f t="shared" si="265"/>
        <v>0</v>
      </c>
      <c r="M553">
        <f t="shared" si="266"/>
        <v>0</v>
      </c>
      <c r="N553">
        <f t="shared" si="267"/>
        <v>1.79</v>
      </c>
      <c r="O553" t="str">
        <f t="shared" si="271"/>
        <v>标准</v>
      </c>
      <c r="P553" t="str">
        <f t="shared" si="268"/>
        <v>紧凑</v>
      </c>
      <c r="Q553" t="str">
        <f t="shared" si="269"/>
        <v>✓有效</v>
      </c>
      <c r="R553" t="str">
        <f t="shared" si="270"/>
        <v>正常</v>
      </c>
    </row>
    <row r="554" ht="14.25" customHeight="1" spans="1:18">
      <c r="A554" s="10">
        <v>2024174</v>
      </c>
      <c r="B554" s="12" t="s">
        <v>194</v>
      </c>
      <c r="C554">
        <f t="shared" si="256"/>
        <v>2</v>
      </c>
      <c r="D554">
        <f t="shared" si="257"/>
        <v>3</v>
      </c>
      <c r="E554">
        <f t="shared" si="258"/>
        <v>6</v>
      </c>
      <c r="F554">
        <f t="shared" si="259"/>
        <v>11</v>
      </c>
      <c r="G554">
        <f t="shared" si="260"/>
        <v>1</v>
      </c>
      <c r="H554">
        <f t="shared" si="261"/>
        <v>4</v>
      </c>
      <c r="I554">
        <f t="shared" si="262"/>
        <v>2.75</v>
      </c>
      <c r="J554">
        <f t="shared" si="263"/>
        <v>0.33</v>
      </c>
      <c r="K554">
        <f t="shared" si="264"/>
        <v>0.33</v>
      </c>
      <c r="L554">
        <f t="shared" si="265"/>
        <v>0.67</v>
      </c>
      <c r="M554">
        <f t="shared" si="266"/>
        <v>1</v>
      </c>
      <c r="N554">
        <f t="shared" si="267"/>
        <v>1.5</v>
      </c>
      <c r="O554" t="str">
        <f t="shared" si="271"/>
        <v>标准</v>
      </c>
      <c r="P554" t="str">
        <f t="shared" si="268"/>
        <v>极紧凑</v>
      </c>
      <c r="Q554" t="str">
        <f t="shared" si="269"/>
        <v>✓有效</v>
      </c>
      <c r="R554" t="str">
        <f t="shared" si="270"/>
        <v>正常</v>
      </c>
    </row>
    <row r="555" ht="14.25" customHeight="1" spans="1:18">
      <c r="A555" s="10">
        <v>2024175</v>
      </c>
      <c r="B555" s="12" t="s">
        <v>470</v>
      </c>
      <c r="C555">
        <f t="shared" si="256"/>
        <v>4</v>
      </c>
      <c r="D555">
        <f t="shared" si="257"/>
        <v>8</v>
      </c>
      <c r="E555">
        <f t="shared" si="258"/>
        <v>8</v>
      </c>
      <c r="F555">
        <f t="shared" si="259"/>
        <v>20</v>
      </c>
      <c r="G555">
        <f t="shared" si="260"/>
        <v>0</v>
      </c>
      <c r="H555">
        <f t="shared" si="261"/>
        <v>4</v>
      </c>
      <c r="I555">
        <f t="shared" si="262"/>
        <v>5</v>
      </c>
      <c r="J555">
        <f t="shared" si="263"/>
        <v>0</v>
      </c>
      <c r="K555">
        <f t="shared" si="264"/>
        <v>0.67</v>
      </c>
      <c r="L555">
        <f t="shared" si="265"/>
        <v>0</v>
      </c>
      <c r="M555">
        <f t="shared" si="266"/>
        <v>0</v>
      </c>
      <c r="N555">
        <f t="shared" si="267"/>
        <v>2.43</v>
      </c>
      <c r="O555" t="str">
        <f t="shared" si="271"/>
        <v>紧凑</v>
      </c>
      <c r="P555" t="str">
        <f t="shared" si="268"/>
        <v>紧凑</v>
      </c>
      <c r="Q555" t="str">
        <f t="shared" si="269"/>
        <v>✓有效</v>
      </c>
      <c r="R555" t="str">
        <f t="shared" si="270"/>
        <v>正常</v>
      </c>
    </row>
    <row r="556" ht="14.25" customHeight="1" spans="1:18">
      <c r="A556" s="10">
        <v>2024176</v>
      </c>
      <c r="B556" s="12" t="s">
        <v>414</v>
      </c>
      <c r="C556">
        <f t="shared" si="256"/>
        <v>1</v>
      </c>
      <c r="D556">
        <f t="shared" si="257"/>
        <v>0</v>
      </c>
      <c r="E556">
        <f t="shared" si="258"/>
        <v>8</v>
      </c>
      <c r="F556">
        <f t="shared" si="259"/>
        <v>9</v>
      </c>
      <c r="G556">
        <f t="shared" si="260"/>
        <v>9</v>
      </c>
      <c r="H556">
        <f t="shared" si="261"/>
        <v>8</v>
      </c>
      <c r="I556">
        <f t="shared" si="262"/>
        <v>1.13</v>
      </c>
      <c r="J556">
        <f t="shared" si="263"/>
        <v>0.33</v>
      </c>
      <c r="K556">
        <f t="shared" si="264"/>
        <v>0.33</v>
      </c>
      <c r="L556">
        <f t="shared" si="265"/>
        <v>0</v>
      </c>
      <c r="M556">
        <f t="shared" si="266"/>
        <v>1</v>
      </c>
      <c r="N556">
        <f t="shared" si="267"/>
        <v>0.78</v>
      </c>
      <c r="O556" t="str">
        <f t="shared" si="271"/>
        <v>松散</v>
      </c>
      <c r="P556" t="str">
        <f t="shared" si="268"/>
        <v>极紧凑</v>
      </c>
      <c r="Q556" t="str">
        <f t="shared" si="269"/>
        <v>✓有效</v>
      </c>
      <c r="R556" t="str">
        <f t="shared" si="270"/>
        <v>正常</v>
      </c>
    </row>
    <row r="557" ht="14.25" customHeight="1" spans="1:18">
      <c r="A557" s="10">
        <v>2024177</v>
      </c>
      <c r="B557" s="12" t="s">
        <v>380</v>
      </c>
      <c r="C557">
        <f t="shared" si="256"/>
        <v>4</v>
      </c>
      <c r="D557">
        <f t="shared" si="257"/>
        <v>6</v>
      </c>
      <c r="E557">
        <f t="shared" si="258"/>
        <v>0</v>
      </c>
      <c r="F557">
        <f t="shared" si="259"/>
        <v>10</v>
      </c>
      <c r="G557">
        <f t="shared" si="260"/>
        <v>0</v>
      </c>
      <c r="H557">
        <f t="shared" si="261"/>
        <v>6</v>
      </c>
      <c r="I557">
        <f t="shared" si="262"/>
        <v>1.67</v>
      </c>
      <c r="J557">
        <f t="shared" si="263"/>
        <v>0</v>
      </c>
      <c r="K557">
        <f t="shared" si="264"/>
        <v>0.33</v>
      </c>
      <c r="L557">
        <f t="shared" si="265"/>
        <v>0</v>
      </c>
      <c r="M557">
        <f t="shared" si="266"/>
        <v>0</v>
      </c>
      <c r="N557">
        <f t="shared" si="267"/>
        <v>1.03</v>
      </c>
      <c r="O557" t="str">
        <f t="shared" si="271"/>
        <v>松散</v>
      </c>
      <c r="P557" t="str">
        <f t="shared" si="268"/>
        <v>极紧凑</v>
      </c>
      <c r="Q557" t="str">
        <f t="shared" si="269"/>
        <v>✓有效</v>
      </c>
      <c r="R557" t="str">
        <f t="shared" si="270"/>
        <v>正常</v>
      </c>
    </row>
    <row r="558" ht="14.25" customHeight="1" spans="1:18">
      <c r="A558" s="10">
        <v>2024178</v>
      </c>
      <c r="B558" s="12" t="s">
        <v>471</v>
      </c>
      <c r="C558">
        <f t="shared" si="256"/>
        <v>5</v>
      </c>
      <c r="D558">
        <f t="shared" si="257"/>
        <v>8</v>
      </c>
      <c r="E558">
        <f t="shared" si="258"/>
        <v>1</v>
      </c>
      <c r="F558">
        <f t="shared" si="259"/>
        <v>14</v>
      </c>
      <c r="G558">
        <f t="shared" si="260"/>
        <v>4</v>
      </c>
      <c r="H558">
        <f t="shared" si="261"/>
        <v>7</v>
      </c>
      <c r="I558">
        <f t="shared" si="262"/>
        <v>2</v>
      </c>
      <c r="J558">
        <f t="shared" si="263"/>
        <v>0.67</v>
      </c>
      <c r="K558">
        <f t="shared" si="264"/>
        <v>0.67</v>
      </c>
      <c r="L558">
        <f t="shared" si="265"/>
        <v>0.33</v>
      </c>
      <c r="M558">
        <f t="shared" si="266"/>
        <v>0</v>
      </c>
      <c r="N558">
        <f t="shared" si="267"/>
        <v>1.4</v>
      </c>
      <c r="O558" t="str">
        <f t="shared" si="271"/>
        <v>标准</v>
      </c>
      <c r="P558" t="str">
        <f t="shared" si="268"/>
        <v>极紧凑</v>
      </c>
      <c r="Q558" t="str">
        <f t="shared" si="269"/>
        <v>✓有效</v>
      </c>
      <c r="R558" t="str">
        <f t="shared" si="270"/>
        <v>正常</v>
      </c>
    </row>
    <row r="559" ht="14.25" customHeight="1" spans="1:18">
      <c r="A559" s="10">
        <v>2024179</v>
      </c>
      <c r="B559" s="12" t="s">
        <v>472</v>
      </c>
      <c r="C559">
        <f t="shared" si="256"/>
        <v>0</v>
      </c>
      <c r="D559">
        <f t="shared" si="257"/>
        <v>0</v>
      </c>
      <c r="E559">
        <f t="shared" si="258"/>
        <v>5</v>
      </c>
      <c r="F559">
        <f t="shared" si="259"/>
        <v>5</v>
      </c>
      <c r="G559">
        <f t="shared" si="260"/>
        <v>5</v>
      </c>
      <c r="H559">
        <f t="shared" si="261"/>
        <v>5</v>
      </c>
      <c r="I559">
        <f t="shared" si="262"/>
        <v>1</v>
      </c>
      <c r="J559">
        <f t="shared" si="263"/>
        <v>0.33</v>
      </c>
      <c r="K559">
        <f t="shared" si="264"/>
        <v>0.33</v>
      </c>
      <c r="L559">
        <f t="shared" si="265"/>
        <v>0.33</v>
      </c>
      <c r="M559">
        <f t="shared" si="266"/>
        <v>0</v>
      </c>
      <c r="N559">
        <f t="shared" si="267"/>
        <v>0.87</v>
      </c>
      <c r="O559" t="str">
        <f t="shared" si="271"/>
        <v>松散</v>
      </c>
      <c r="P559" t="str">
        <f t="shared" si="268"/>
        <v>极紧凑</v>
      </c>
      <c r="Q559" t="str">
        <f t="shared" si="269"/>
        <v>✓有效</v>
      </c>
      <c r="R559" t="str">
        <f t="shared" si="270"/>
        <v>正常</v>
      </c>
    </row>
    <row r="560" ht="14.25" customHeight="1" spans="1:18">
      <c r="A560" s="10">
        <v>2024180</v>
      </c>
      <c r="B560" s="12" t="s">
        <v>473</v>
      </c>
      <c r="C560">
        <f t="shared" si="256"/>
        <v>9</v>
      </c>
      <c r="D560">
        <f t="shared" si="257"/>
        <v>1</v>
      </c>
      <c r="E560">
        <f t="shared" si="258"/>
        <v>8</v>
      </c>
      <c r="F560">
        <f t="shared" si="259"/>
        <v>18</v>
      </c>
      <c r="G560">
        <f t="shared" si="260"/>
        <v>8</v>
      </c>
      <c r="H560">
        <f t="shared" si="261"/>
        <v>8</v>
      </c>
      <c r="I560">
        <f t="shared" si="262"/>
        <v>2.25</v>
      </c>
      <c r="J560">
        <f t="shared" si="263"/>
        <v>0.67</v>
      </c>
      <c r="K560">
        <f t="shared" si="264"/>
        <v>0.67</v>
      </c>
      <c r="L560">
        <f t="shared" si="265"/>
        <v>0</v>
      </c>
      <c r="M560">
        <f t="shared" si="266"/>
        <v>1</v>
      </c>
      <c r="N560">
        <f t="shared" si="267"/>
        <v>1.37</v>
      </c>
      <c r="O560" t="str">
        <f t="shared" si="271"/>
        <v>标准</v>
      </c>
      <c r="P560" t="str">
        <f t="shared" si="268"/>
        <v>极紧凑</v>
      </c>
      <c r="Q560" t="str">
        <f t="shared" si="269"/>
        <v>✓有效</v>
      </c>
      <c r="R560" t="str">
        <f t="shared" si="270"/>
        <v>正常</v>
      </c>
    </row>
    <row r="561" ht="14.25" customHeight="1" spans="1:18">
      <c r="A561" s="10">
        <v>2024181</v>
      </c>
      <c r="B561" s="12" t="s">
        <v>474</v>
      </c>
      <c r="C561">
        <f t="shared" si="256"/>
        <v>2</v>
      </c>
      <c r="D561">
        <f t="shared" si="257"/>
        <v>3</v>
      </c>
      <c r="E561">
        <f t="shared" si="258"/>
        <v>0</v>
      </c>
      <c r="F561">
        <f t="shared" si="259"/>
        <v>5</v>
      </c>
      <c r="G561">
        <f t="shared" si="260"/>
        <v>5</v>
      </c>
      <c r="H561">
        <f t="shared" si="261"/>
        <v>3</v>
      </c>
      <c r="I561">
        <f t="shared" si="262"/>
        <v>1.67</v>
      </c>
      <c r="J561">
        <f t="shared" si="263"/>
        <v>0.33</v>
      </c>
      <c r="K561">
        <f t="shared" si="264"/>
        <v>0</v>
      </c>
      <c r="L561">
        <f t="shared" si="265"/>
        <v>0.67</v>
      </c>
      <c r="M561">
        <f t="shared" si="266"/>
        <v>1</v>
      </c>
      <c r="N561">
        <f t="shared" si="267"/>
        <v>1</v>
      </c>
      <c r="O561" t="str">
        <f t="shared" si="271"/>
        <v>松散</v>
      </c>
      <c r="P561" t="str">
        <f t="shared" si="268"/>
        <v>极紧凑</v>
      </c>
      <c r="Q561" t="str">
        <f t="shared" si="269"/>
        <v>✓有效</v>
      </c>
      <c r="R561" t="str">
        <f t="shared" si="270"/>
        <v>正常</v>
      </c>
    </row>
    <row r="562" ht="14.25" customHeight="1" spans="1:18">
      <c r="A562" s="10">
        <v>2024182</v>
      </c>
      <c r="B562" s="12" t="s">
        <v>157</v>
      </c>
      <c r="C562">
        <f t="shared" si="256"/>
        <v>8</v>
      </c>
      <c r="D562">
        <f t="shared" si="257"/>
        <v>8</v>
      </c>
      <c r="E562">
        <f t="shared" si="258"/>
        <v>4</v>
      </c>
      <c r="F562">
        <f t="shared" si="259"/>
        <v>20</v>
      </c>
      <c r="G562">
        <f t="shared" si="260"/>
        <v>0</v>
      </c>
      <c r="H562">
        <f t="shared" si="261"/>
        <v>4</v>
      </c>
      <c r="I562">
        <f t="shared" si="262"/>
        <v>5</v>
      </c>
      <c r="J562">
        <f t="shared" si="263"/>
        <v>0</v>
      </c>
      <c r="K562">
        <f t="shared" si="264"/>
        <v>0.67</v>
      </c>
      <c r="L562">
        <f t="shared" si="265"/>
        <v>0</v>
      </c>
      <c r="M562">
        <f t="shared" si="266"/>
        <v>0</v>
      </c>
      <c r="N562">
        <f t="shared" si="267"/>
        <v>2.43</v>
      </c>
      <c r="O562" t="str">
        <f t="shared" si="271"/>
        <v>紧凑</v>
      </c>
      <c r="P562" t="str">
        <f t="shared" si="268"/>
        <v>紧凑</v>
      </c>
      <c r="Q562" t="str">
        <f t="shared" si="269"/>
        <v>✓有效</v>
      </c>
      <c r="R562" t="str">
        <f t="shared" si="270"/>
        <v>正常</v>
      </c>
    </row>
    <row r="563" ht="14.25" customHeight="1" spans="1:18">
      <c r="A563" s="10">
        <v>2024183</v>
      </c>
      <c r="B563" s="12" t="s">
        <v>475</v>
      </c>
      <c r="C563">
        <f t="shared" si="256"/>
        <v>4</v>
      </c>
      <c r="D563">
        <f t="shared" si="257"/>
        <v>4</v>
      </c>
      <c r="E563">
        <f t="shared" si="258"/>
        <v>3</v>
      </c>
      <c r="F563">
        <f t="shared" si="259"/>
        <v>11</v>
      </c>
      <c r="G563">
        <f t="shared" si="260"/>
        <v>1</v>
      </c>
      <c r="H563">
        <f t="shared" si="261"/>
        <v>1</v>
      </c>
      <c r="I563">
        <f t="shared" si="262"/>
        <v>11</v>
      </c>
      <c r="J563">
        <f t="shared" si="263"/>
        <v>0.33</v>
      </c>
      <c r="K563">
        <f t="shared" si="264"/>
        <v>0</v>
      </c>
      <c r="L563">
        <f t="shared" si="265"/>
        <v>0.33</v>
      </c>
      <c r="M563">
        <f t="shared" si="266"/>
        <v>2</v>
      </c>
      <c r="N563">
        <f t="shared" si="267"/>
        <v>4.6</v>
      </c>
      <c r="O563" t="str">
        <f t="shared" si="271"/>
        <v>紧凑</v>
      </c>
      <c r="P563" t="str">
        <f t="shared" si="268"/>
        <v>标准</v>
      </c>
      <c r="Q563" t="str">
        <f t="shared" si="269"/>
        <v>✓有效</v>
      </c>
      <c r="R563" t="str">
        <f t="shared" si="270"/>
        <v>异常</v>
      </c>
    </row>
    <row r="564" ht="14.25" customHeight="1" spans="1:18">
      <c r="A564" s="10">
        <v>2024184</v>
      </c>
      <c r="B564" s="12" t="s">
        <v>476</v>
      </c>
      <c r="C564">
        <f t="shared" si="256"/>
        <v>9</v>
      </c>
      <c r="D564">
        <f t="shared" si="257"/>
        <v>3</v>
      </c>
      <c r="E564">
        <f t="shared" si="258"/>
        <v>3</v>
      </c>
      <c r="F564">
        <f t="shared" si="259"/>
        <v>15</v>
      </c>
      <c r="G564">
        <f t="shared" si="260"/>
        <v>5</v>
      </c>
      <c r="H564">
        <f t="shared" si="261"/>
        <v>6</v>
      </c>
      <c r="I564">
        <f t="shared" si="262"/>
        <v>2.5</v>
      </c>
      <c r="J564">
        <f t="shared" si="263"/>
        <v>1</v>
      </c>
      <c r="K564">
        <f t="shared" si="264"/>
        <v>0.33</v>
      </c>
      <c r="L564">
        <f t="shared" si="265"/>
        <v>0.67</v>
      </c>
      <c r="M564">
        <f t="shared" si="266"/>
        <v>0</v>
      </c>
      <c r="N564">
        <f t="shared" si="267"/>
        <v>1.63</v>
      </c>
      <c r="O564" t="str">
        <f t="shared" si="271"/>
        <v>标准</v>
      </c>
      <c r="P564" t="str">
        <f t="shared" si="268"/>
        <v>紧凑</v>
      </c>
      <c r="Q564" t="str">
        <f t="shared" si="269"/>
        <v>✓有效</v>
      </c>
      <c r="R564" t="str">
        <f t="shared" si="270"/>
        <v>正常</v>
      </c>
    </row>
    <row r="565" ht="14.25" customHeight="1" spans="1:18">
      <c r="A565" s="10">
        <v>2024185</v>
      </c>
      <c r="B565" s="12" t="s">
        <v>128</v>
      </c>
      <c r="C565">
        <f t="shared" si="256"/>
        <v>3</v>
      </c>
      <c r="D565">
        <f t="shared" si="257"/>
        <v>0</v>
      </c>
      <c r="E565">
        <f t="shared" si="258"/>
        <v>6</v>
      </c>
      <c r="F565">
        <f t="shared" si="259"/>
        <v>9</v>
      </c>
      <c r="G565">
        <f t="shared" si="260"/>
        <v>9</v>
      </c>
      <c r="H565">
        <f t="shared" si="261"/>
        <v>6</v>
      </c>
      <c r="I565">
        <f t="shared" si="262"/>
        <v>1.5</v>
      </c>
      <c r="J565">
        <f t="shared" si="263"/>
        <v>0.33</v>
      </c>
      <c r="K565">
        <f t="shared" si="264"/>
        <v>0.33</v>
      </c>
      <c r="L565">
        <f t="shared" si="265"/>
        <v>0.33</v>
      </c>
      <c r="M565">
        <f t="shared" si="266"/>
        <v>0</v>
      </c>
      <c r="N565">
        <f t="shared" si="267"/>
        <v>1.07</v>
      </c>
      <c r="O565" t="str">
        <f t="shared" si="271"/>
        <v>松散</v>
      </c>
      <c r="P565" t="str">
        <f t="shared" si="268"/>
        <v>极紧凑</v>
      </c>
      <c r="Q565" t="str">
        <f t="shared" si="269"/>
        <v>✓有效</v>
      </c>
      <c r="R565" t="str">
        <f t="shared" si="270"/>
        <v>正常</v>
      </c>
    </row>
    <row r="566" ht="14.25" customHeight="1" spans="1:18">
      <c r="A566" s="10">
        <v>2024186</v>
      </c>
      <c r="B566" s="12" t="s">
        <v>427</v>
      </c>
      <c r="C566">
        <f t="shared" si="256"/>
        <v>5</v>
      </c>
      <c r="D566">
        <f t="shared" si="257"/>
        <v>7</v>
      </c>
      <c r="E566">
        <f t="shared" si="258"/>
        <v>9</v>
      </c>
      <c r="F566">
        <f t="shared" si="259"/>
        <v>21</v>
      </c>
      <c r="G566">
        <f t="shared" si="260"/>
        <v>1</v>
      </c>
      <c r="H566">
        <f t="shared" si="261"/>
        <v>4</v>
      </c>
      <c r="I566">
        <f t="shared" si="262"/>
        <v>5.25</v>
      </c>
      <c r="J566">
        <f t="shared" si="263"/>
        <v>1</v>
      </c>
      <c r="K566">
        <f t="shared" si="264"/>
        <v>1</v>
      </c>
      <c r="L566">
        <f t="shared" si="265"/>
        <v>0.67</v>
      </c>
      <c r="M566">
        <f t="shared" si="266"/>
        <v>0</v>
      </c>
      <c r="N566">
        <f t="shared" si="267"/>
        <v>2.87</v>
      </c>
      <c r="O566" t="str">
        <f t="shared" si="271"/>
        <v>紧凑</v>
      </c>
      <c r="P566" t="str">
        <f t="shared" si="268"/>
        <v>紧凑</v>
      </c>
      <c r="Q566" t="str">
        <f t="shared" si="269"/>
        <v>✓有效</v>
      </c>
      <c r="R566" t="str">
        <f t="shared" si="270"/>
        <v>正常</v>
      </c>
    </row>
    <row r="567" ht="14.25" customHeight="1" spans="1:18">
      <c r="A567" s="10">
        <v>2024187</v>
      </c>
      <c r="B567" s="12" t="s">
        <v>118</v>
      </c>
      <c r="C567">
        <f t="shared" si="256"/>
        <v>3</v>
      </c>
      <c r="D567">
        <f t="shared" si="257"/>
        <v>8</v>
      </c>
      <c r="E567">
        <f t="shared" si="258"/>
        <v>0</v>
      </c>
      <c r="F567">
        <f t="shared" si="259"/>
        <v>11</v>
      </c>
      <c r="G567">
        <f t="shared" si="260"/>
        <v>1</v>
      </c>
      <c r="H567">
        <f t="shared" si="261"/>
        <v>8</v>
      </c>
      <c r="I567">
        <f t="shared" si="262"/>
        <v>1.38</v>
      </c>
      <c r="J567">
        <f t="shared" si="263"/>
        <v>0.33</v>
      </c>
      <c r="K567">
        <f t="shared" si="264"/>
        <v>0.33</v>
      </c>
      <c r="L567">
        <f t="shared" si="265"/>
        <v>0.33</v>
      </c>
      <c r="M567">
        <f t="shared" si="266"/>
        <v>0</v>
      </c>
      <c r="N567">
        <f t="shared" si="267"/>
        <v>1.02</v>
      </c>
      <c r="O567" t="str">
        <f t="shared" si="271"/>
        <v>松散</v>
      </c>
      <c r="P567" t="str">
        <f t="shared" si="268"/>
        <v>极紧凑</v>
      </c>
      <c r="Q567" t="str">
        <f t="shared" si="269"/>
        <v>✓有效</v>
      </c>
      <c r="R567" t="str">
        <f t="shared" si="270"/>
        <v>正常</v>
      </c>
    </row>
    <row r="568" ht="14.25" customHeight="1" spans="1:18">
      <c r="A568" s="10">
        <v>2024188</v>
      </c>
      <c r="B568" s="12" t="s">
        <v>327</v>
      </c>
      <c r="C568">
        <f t="shared" si="256"/>
        <v>9</v>
      </c>
      <c r="D568">
        <f t="shared" si="257"/>
        <v>5</v>
      </c>
      <c r="E568">
        <f t="shared" si="258"/>
        <v>6</v>
      </c>
      <c r="F568">
        <f t="shared" si="259"/>
        <v>20</v>
      </c>
      <c r="G568">
        <f t="shared" si="260"/>
        <v>0</v>
      </c>
      <c r="H568">
        <f t="shared" si="261"/>
        <v>4</v>
      </c>
      <c r="I568">
        <f t="shared" si="262"/>
        <v>5</v>
      </c>
      <c r="J568">
        <f t="shared" si="263"/>
        <v>0.67</v>
      </c>
      <c r="K568">
        <f t="shared" si="264"/>
        <v>1</v>
      </c>
      <c r="L568">
        <f t="shared" si="265"/>
        <v>0.33</v>
      </c>
      <c r="M568">
        <f t="shared" si="266"/>
        <v>1</v>
      </c>
      <c r="N568">
        <f t="shared" si="267"/>
        <v>2.57</v>
      </c>
      <c r="O568" t="str">
        <f t="shared" si="271"/>
        <v>紧凑</v>
      </c>
      <c r="P568" t="str">
        <f t="shared" si="268"/>
        <v>紧凑</v>
      </c>
      <c r="Q568" t="str">
        <f t="shared" si="269"/>
        <v>✓有效</v>
      </c>
      <c r="R568" t="str">
        <f t="shared" si="270"/>
        <v>正常</v>
      </c>
    </row>
    <row r="569" ht="14.25" customHeight="1" spans="1:18">
      <c r="A569" s="10">
        <v>2024189</v>
      </c>
      <c r="B569" s="12" t="s">
        <v>477</v>
      </c>
      <c r="C569">
        <f t="shared" si="256"/>
        <v>5</v>
      </c>
      <c r="D569">
        <f t="shared" si="257"/>
        <v>3</v>
      </c>
      <c r="E569">
        <f t="shared" si="258"/>
        <v>0</v>
      </c>
      <c r="F569">
        <f t="shared" si="259"/>
        <v>8</v>
      </c>
      <c r="G569">
        <f t="shared" si="260"/>
        <v>8</v>
      </c>
      <c r="H569">
        <f t="shared" si="261"/>
        <v>5</v>
      </c>
      <c r="I569">
        <f t="shared" si="262"/>
        <v>1.6</v>
      </c>
      <c r="J569">
        <f t="shared" si="263"/>
        <v>0.67</v>
      </c>
      <c r="K569">
        <f t="shared" si="264"/>
        <v>0.33</v>
      </c>
      <c r="L569">
        <f t="shared" si="265"/>
        <v>0.67</v>
      </c>
      <c r="M569">
        <f t="shared" si="266"/>
        <v>0</v>
      </c>
      <c r="N569">
        <f t="shared" si="267"/>
        <v>1.21</v>
      </c>
      <c r="O569" t="str">
        <f t="shared" si="271"/>
        <v>松散</v>
      </c>
      <c r="P569" t="str">
        <f t="shared" si="268"/>
        <v>极紧凑</v>
      </c>
      <c r="Q569" t="str">
        <f t="shared" si="269"/>
        <v>✓有效</v>
      </c>
      <c r="R569" t="str">
        <f t="shared" si="270"/>
        <v>正常</v>
      </c>
    </row>
    <row r="570" ht="14.25" customHeight="1" spans="1:18">
      <c r="A570" s="10">
        <v>2024190</v>
      </c>
      <c r="B570" s="12" t="s">
        <v>478</v>
      </c>
      <c r="C570">
        <f t="shared" si="256"/>
        <v>4</v>
      </c>
      <c r="D570">
        <f t="shared" si="257"/>
        <v>1</v>
      </c>
      <c r="E570">
        <f t="shared" si="258"/>
        <v>0</v>
      </c>
      <c r="F570">
        <f t="shared" si="259"/>
        <v>5</v>
      </c>
      <c r="G570">
        <f t="shared" si="260"/>
        <v>5</v>
      </c>
      <c r="H570">
        <f t="shared" si="261"/>
        <v>4</v>
      </c>
      <c r="I570">
        <f t="shared" si="262"/>
        <v>1.25</v>
      </c>
      <c r="J570">
        <f t="shared" si="263"/>
        <v>0.33</v>
      </c>
      <c r="K570">
        <f t="shared" si="264"/>
        <v>0</v>
      </c>
      <c r="L570">
        <f t="shared" si="265"/>
        <v>0</v>
      </c>
      <c r="M570">
        <f t="shared" si="266"/>
        <v>1</v>
      </c>
      <c r="N570">
        <f t="shared" si="267"/>
        <v>0.77</v>
      </c>
      <c r="O570" t="str">
        <f t="shared" si="271"/>
        <v>松散</v>
      </c>
      <c r="P570" t="str">
        <f t="shared" si="268"/>
        <v>极紧凑</v>
      </c>
      <c r="Q570" t="str">
        <f t="shared" si="269"/>
        <v>✓有效</v>
      </c>
      <c r="R570" t="str">
        <f t="shared" si="270"/>
        <v>正常</v>
      </c>
    </row>
    <row r="571" ht="14.25" customHeight="1" spans="1:18">
      <c r="A571" s="10">
        <v>2024191</v>
      </c>
      <c r="B571" s="12" t="s">
        <v>479</v>
      </c>
      <c r="C571">
        <f t="shared" si="256"/>
        <v>3</v>
      </c>
      <c r="D571">
        <f t="shared" si="257"/>
        <v>8</v>
      </c>
      <c r="E571">
        <f t="shared" si="258"/>
        <v>2</v>
      </c>
      <c r="F571">
        <f t="shared" si="259"/>
        <v>13</v>
      </c>
      <c r="G571">
        <f t="shared" si="260"/>
        <v>3</v>
      </c>
      <c r="H571">
        <f t="shared" si="261"/>
        <v>6</v>
      </c>
      <c r="I571">
        <f t="shared" si="262"/>
        <v>2.17</v>
      </c>
      <c r="J571">
        <f t="shared" si="263"/>
        <v>0.33</v>
      </c>
      <c r="K571">
        <f t="shared" si="264"/>
        <v>0.33</v>
      </c>
      <c r="L571">
        <f t="shared" si="265"/>
        <v>0.67</v>
      </c>
      <c r="M571">
        <f t="shared" si="266"/>
        <v>1</v>
      </c>
      <c r="N571">
        <f t="shared" si="267"/>
        <v>1.27</v>
      </c>
      <c r="O571" t="str">
        <f t="shared" si="271"/>
        <v>标准</v>
      </c>
      <c r="P571" t="str">
        <f t="shared" si="268"/>
        <v>极紧凑</v>
      </c>
      <c r="Q571" t="str">
        <f t="shared" si="269"/>
        <v>✓有效</v>
      </c>
      <c r="R571" t="str">
        <f t="shared" si="270"/>
        <v>正常</v>
      </c>
    </row>
    <row r="572" ht="14.25" customHeight="1" spans="1:18">
      <c r="A572" s="10">
        <v>2024192</v>
      </c>
      <c r="B572" s="12" t="s">
        <v>381</v>
      </c>
      <c r="C572">
        <f t="shared" si="256"/>
        <v>6</v>
      </c>
      <c r="D572">
        <f t="shared" si="257"/>
        <v>7</v>
      </c>
      <c r="E572">
        <f t="shared" si="258"/>
        <v>6</v>
      </c>
      <c r="F572">
        <f t="shared" si="259"/>
        <v>19</v>
      </c>
      <c r="G572">
        <f t="shared" si="260"/>
        <v>9</v>
      </c>
      <c r="H572">
        <f t="shared" si="261"/>
        <v>1</v>
      </c>
      <c r="I572">
        <f t="shared" si="262"/>
        <v>19</v>
      </c>
      <c r="J572">
        <f t="shared" si="263"/>
        <v>0.33</v>
      </c>
      <c r="K572">
        <f t="shared" si="264"/>
        <v>1</v>
      </c>
      <c r="L572">
        <f t="shared" si="265"/>
        <v>0.33</v>
      </c>
      <c r="M572">
        <f t="shared" si="266"/>
        <v>2</v>
      </c>
      <c r="N572">
        <f t="shared" si="267"/>
        <v>8</v>
      </c>
      <c r="O572" t="str">
        <f t="shared" si="271"/>
        <v>紧凑</v>
      </c>
      <c r="P572" t="str">
        <f t="shared" si="268"/>
        <v>松散</v>
      </c>
      <c r="Q572" t="str">
        <f t="shared" si="269"/>
        <v>✓有效</v>
      </c>
      <c r="R572" t="str">
        <f t="shared" si="270"/>
        <v>异常</v>
      </c>
    </row>
    <row r="573" ht="14.25" customHeight="1" spans="1:18">
      <c r="A573" s="10">
        <v>2024193</v>
      </c>
      <c r="B573" s="12" t="s">
        <v>258</v>
      </c>
      <c r="C573">
        <f t="shared" si="256"/>
        <v>6</v>
      </c>
      <c r="D573">
        <f t="shared" si="257"/>
        <v>8</v>
      </c>
      <c r="E573">
        <f t="shared" si="258"/>
        <v>1</v>
      </c>
      <c r="F573">
        <f t="shared" si="259"/>
        <v>15</v>
      </c>
      <c r="G573">
        <f t="shared" si="260"/>
        <v>5</v>
      </c>
      <c r="H573">
        <f t="shared" si="261"/>
        <v>7</v>
      </c>
      <c r="I573">
        <f t="shared" si="262"/>
        <v>2.14</v>
      </c>
      <c r="J573">
        <f t="shared" si="263"/>
        <v>0.33</v>
      </c>
      <c r="K573">
        <f t="shared" si="264"/>
        <v>0.67</v>
      </c>
      <c r="L573">
        <f t="shared" si="265"/>
        <v>0</v>
      </c>
      <c r="M573">
        <f t="shared" si="266"/>
        <v>0</v>
      </c>
      <c r="N573">
        <f t="shared" si="267"/>
        <v>1.36</v>
      </c>
      <c r="O573" t="str">
        <f t="shared" si="271"/>
        <v>标准</v>
      </c>
      <c r="P573" t="str">
        <f t="shared" si="268"/>
        <v>极紧凑</v>
      </c>
      <c r="Q573" t="str">
        <f t="shared" si="269"/>
        <v>✓有效</v>
      </c>
      <c r="R573" t="str">
        <f t="shared" si="270"/>
        <v>正常</v>
      </c>
    </row>
    <row r="574" ht="14.25" customHeight="1" spans="1:18">
      <c r="A574" s="10">
        <v>2024194</v>
      </c>
      <c r="B574" s="12" t="s">
        <v>480</v>
      </c>
      <c r="C574">
        <f t="shared" si="256"/>
        <v>1</v>
      </c>
      <c r="D574">
        <f t="shared" si="257"/>
        <v>3</v>
      </c>
      <c r="E574">
        <f t="shared" si="258"/>
        <v>7</v>
      </c>
      <c r="F574">
        <f t="shared" si="259"/>
        <v>11</v>
      </c>
      <c r="G574">
        <f t="shared" si="260"/>
        <v>1</v>
      </c>
      <c r="H574">
        <f t="shared" si="261"/>
        <v>6</v>
      </c>
      <c r="I574">
        <f t="shared" si="262"/>
        <v>1.83</v>
      </c>
      <c r="J574">
        <f t="shared" si="263"/>
        <v>1</v>
      </c>
      <c r="K574">
        <f t="shared" si="264"/>
        <v>0.33</v>
      </c>
      <c r="L574">
        <f t="shared" si="265"/>
        <v>0.67</v>
      </c>
      <c r="M574">
        <f t="shared" si="266"/>
        <v>0</v>
      </c>
      <c r="N574">
        <f t="shared" si="267"/>
        <v>1.37</v>
      </c>
      <c r="O574" t="str">
        <f t="shared" si="271"/>
        <v>松散</v>
      </c>
      <c r="P574" t="str">
        <f t="shared" si="268"/>
        <v>极紧凑</v>
      </c>
      <c r="Q574" t="str">
        <f t="shared" si="269"/>
        <v>✓有效</v>
      </c>
      <c r="R574" t="str">
        <f t="shared" si="270"/>
        <v>正常</v>
      </c>
    </row>
    <row r="575" ht="14.25" customHeight="1" spans="1:18">
      <c r="A575" s="10">
        <v>2024195</v>
      </c>
      <c r="B575" s="12" t="s">
        <v>481</v>
      </c>
      <c r="C575">
        <f t="shared" si="256"/>
        <v>7</v>
      </c>
      <c r="D575">
        <f t="shared" si="257"/>
        <v>2</v>
      </c>
      <c r="E575">
        <f t="shared" si="258"/>
        <v>5</v>
      </c>
      <c r="F575">
        <f t="shared" si="259"/>
        <v>14</v>
      </c>
      <c r="G575">
        <f t="shared" si="260"/>
        <v>4</v>
      </c>
      <c r="H575">
        <f t="shared" si="261"/>
        <v>5</v>
      </c>
      <c r="I575">
        <f t="shared" si="262"/>
        <v>2.8</v>
      </c>
      <c r="J575">
        <f t="shared" si="263"/>
        <v>0.67</v>
      </c>
      <c r="K575">
        <f t="shared" si="264"/>
        <v>0.67</v>
      </c>
      <c r="L575">
        <f t="shared" si="265"/>
        <v>1</v>
      </c>
      <c r="M575">
        <f t="shared" si="266"/>
        <v>0</v>
      </c>
      <c r="N575">
        <f t="shared" si="267"/>
        <v>1.79</v>
      </c>
      <c r="O575" t="str">
        <f t="shared" si="271"/>
        <v>标准</v>
      </c>
      <c r="P575" t="str">
        <f t="shared" si="268"/>
        <v>紧凑</v>
      </c>
      <c r="Q575" t="str">
        <f t="shared" si="269"/>
        <v>✓有效</v>
      </c>
      <c r="R575" t="str">
        <f t="shared" si="270"/>
        <v>正常</v>
      </c>
    </row>
    <row r="576" ht="14.25" customHeight="1" spans="1:18">
      <c r="A576" s="10">
        <v>2024196</v>
      </c>
      <c r="B576" s="12" t="s">
        <v>482</v>
      </c>
      <c r="C576">
        <f t="shared" si="256"/>
        <v>0</v>
      </c>
      <c r="D576">
        <f t="shared" si="257"/>
        <v>5</v>
      </c>
      <c r="E576">
        <f t="shared" si="258"/>
        <v>6</v>
      </c>
      <c r="F576">
        <f t="shared" si="259"/>
        <v>11</v>
      </c>
      <c r="G576">
        <f t="shared" si="260"/>
        <v>1</v>
      </c>
      <c r="H576">
        <f t="shared" si="261"/>
        <v>6</v>
      </c>
      <c r="I576">
        <f t="shared" si="262"/>
        <v>1.83</v>
      </c>
      <c r="J576">
        <f t="shared" si="263"/>
        <v>0.33</v>
      </c>
      <c r="K576">
        <f t="shared" si="264"/>
        <v>0.67</v>
      </c>
      <c r="L576">
        <f t="shared" si="265"/>
        <v>0.33</v>
      </c>
      <c r="M576">
        <f t="shared" si="266"/>
        <v>1</v>
      </c>
      <c r="N576">
        <f t="shared" si="267"/>
        <v>1.17</v>
      </c>
      <c r="O576" t="str">
        <f t="shared" si="271"/>
        <v>松散</v>
      </c>
      <c r="P576" t="str">
        <f t="shared" si="268"/>
        <v>极紧凑</v>
      </c>
      <c r="Q576" t="str">
        <f t="shared" si="269"/>
        <v>✓有效</v>
      </c>
      <c r="R576" t="str">
        <f t="shared" si="270"/>
        <v>正常</v>
      </c>
    </row>
    <row r="577" ht="14.25" customHeight="1" spans="1:18">
      <c r="A577" s="10">
        <v>2024197</v>
      </c>
      <c r="B577" s="12" t="s">
        <v>483</v>
      </c>
      <c r="C577">
        <f t="shared" si="256"/>
        <v>2</v>
      </c>
      <c r="D577">
        <f t="shared" si="257"/>
        <v>2</v>
      </c>
      <c r="E577">
        <f t="shared" si="258"/>
        <v>4</v>
      </c>
      <c r="F577">
        <f t="shared" si="259"/>
        <v>8</v>
      </c>
      <c r="G577">
        <f t="shared" si="260"/>
        <v>8</v>
      </c>
      <c r="H577">
        <f t="shared" si="261"/>
        <v>2</v>
      </c>
      <c r="I577">
        <f t="shared" si="262"/>
        <v>4</v>
      </c>
      <c r="J577">
        <f t="shared" si="263"/>
        <v>0</v>
      </c>
      <c r="K577">
        <f t="shared" si="264"/>
        <v>0</v>
      </c>
      <c r="L577">
        <f t="shared" si="265"/>
        <v>0.67</v>
      </c>
      <c r="M577">
        <f t="shared" si="266"/>
        <v>0</v>
      </c>
      <c r="N577">
        <f t="shared" si="267"/>
        <v>1.97</v>
      </c>
      <c r="O577" t="str">
        <f t="shared" si="271"/>
        <v>紧凑</v>
      </c>
      <c r="P577" t="str">
        <f t="shared" si="268"/>
        <v>紧凑</v>
      </c>
      <c r="Q577" t="str">
        <f t="shared" si="269"/>
        <v>✓有效</v>
      </c>
      <c r="R577" t="str">
        <f t="shared" si="270"/>
        <v>正常</v>
      </c>
    </row>
    <row r="578" ht="14.25" customHeight="1" spans="1:18">
      <c r="A578" s="10">
        <v>2024198</v>
      </c>
      <c r="B578" s="12" t="s">
        <v>484</v>
      </c>
      <c r="C578">
        <f t="shared" si="256"/>
        <v>7</v>
      </c>
      <c r="D578">
        <f t="shared" si="257"/>
        <v>1</v>
      </c>
      <c r="E578">
        <f t="shared" si="258"/>
        <v>0</v>
      </c>
      <c r="F578">
        <f t="shared" si="259"/>
        <v>8</v>
      </c>
      <c r="G578">
        <f t="shared" si="260"/>
        <v>8</v>
      </c>
      <c r="H578">
        <f t="shared" si="261"/>
        <v>7</v>
      </c>
      <c r="I578">
        <f t="shared" si="262"/>
        <v>1.14</v>
      </c>
      <c r="J578">
        <f t="shared" si="263"/>
        <v>0.67</v>
      </c>
      <c r="K578">
        <f t="shared" si="264"/>
        <v>0.33</v>
      </c>
      <c r="L578">
        <f t="shared" si="265"/>
        <v>0.33</v>
      </c>
      <c r="M578">
        <f t="shared" si="266"/>
        <v>1</v>
      </c>
      <c r="N578">
        <f t="shared" si="267"/>
        <v>0.89</v>
      </c>
      <c r="O578" t="str">
        <f t="shared" si="271"/>
        <v>松散</v>
      </c>
      <c r="P578" t="str">
        <f t="shared" si="268"/>
        <v>极紧凑</v>
      </c>
      <c r="Q578" t="str">
        <f t="shared" si="269"/>
        <v>✓有效</v>
      </c>
      <c r="R578" t="str">
        <f t="shared" si="270"/>
        <v>正常</v>
      </c>
    </row>
    <row r="579" ht="14.25" customHeight="1" spans="1:18">
      <c r="A579" s="10">
        <v>2024199</v>
      </c>
      <c r="B579" s="12" t="s">
        <v>485</v>
      </c>
      <c r="C579">
        <f t="shared" si="256"/>
        <v>1</v>
      </c>
      <c r="D579">
        <f t="shared" si="257"/>
        <v>4</v>
      </c>
      <c r="E579">
        <f t="shared" si="258"/>
        <v>7</v>
      </c>
      <c r="F579">
        <f t="shared" si="259"/>
        <v>12</v>
      </c>
      <c r="G579">
        <f t="shared" si="260"/>
        <v>2</v>
      </c>
      <c r="H579">
        <f t="shared" si="261"/>
        <v>6</v>
      </c>
      <c r="I579">
        <f t="shared" si="262"/>
        <v>2</v>
      </c>
      <c r="J579">
        <f t="shared" si="263"/>
        <v>0.67</v>
      </c>
      <c r="K579">
        <f t="shared" si="264"/>
        <v>0.33</v>
      </c>
      <c r="L579">
        <f t="shared" si="265"/>
        <v>0.33</v>
      </c>
      <c r="M579">
        <f t="shared" si="266"/>
        <v>0</v>
      </c>
      <c r="N579">
        <f t="shared" si="267"/>
        <v>1.33</v>
      </c>
      <c r="O579" t="str">
        <f t="shared" si="271"/>
        <v>标准</v>
      </c>
      <c r="P579" t="str">
        <f t="shared" si="268"/>
        <v>极紧凑</v>
      </c>
      <c r="Q579" t="str">
        <f t="shared" si="269"/>
        <v>✓有效</v>
      </c>
      <c r="R579" t="str">
        <f t="shared" si="270"/>
        <v>正常</v>
      </c>
    </row>
    <row r="580" ht="14.25" customHeight="1" spans="1:18">
      <c r="A580" s="10">
        <v>2024200</v>
      </c>
      <c r="B580" s="12" t="s">
        <v>267</v>
      </c>
      <c r="C580">
        <f t="shared" si="256"/>
        <v>3</v>
      </c>
      <c r="D580">
        <f t="shared" si="257"/>
        <v>0</v>
      </c>
      <c r="E580">
        <f t="shared" si="258"/>
        <v>9</v>
      </c>
      <c r="F580">
        <f t="shared" si="259"/>
        <v>12</v>
      </c>
      <c r="G580">
        <f t="shared" si="260"/>
        <v>2</v>
      </c>
      <c r="H580">
        <f t="shared" si="261"/>
        <v>9</v>
      </c>
      <c r="I580">
        <f t="shared" si="262"/>
        <v>1.33</v>
      </c>
      <c r="J580">
        <f t="shared" si="263"/>
        <v>0.67</v>
      </c>
      <c r="K580">
        <f t="shared" si="264"/>
        <v>0.33</v>
      </c>
      <c r="L580">
        <f t="shared" si="265"/>
        <v>0.33</v>
      </c>
      <c r="M580">
        <f t="shared" si="266"/>
        <v>0</v>
      </c>
      <c r="N580">
        <f t="shared" si="267"/>
        <v>1.07</v>
      </c>
      <c r="O580" t="str">
        <f t="shared" si="271"/>
        <v>松散</v>
      </c>
      <c r="P580" t="str">
        <f t="shared" si="268"/>
        <v>极紧凑</v>
      </c>
      <c r="Q580" t="str">
        <f t="shared" si="269"/>
        <v>✓有效</v>
      </c>
      <c r="R580" t="str">
        <f t="shared" si="270"/>
        <v>正常</v>
      </c>
    </row>
    <row r="581" ht="14.25" customHeight="1" spans="1:18">
      <c r="A581" s="10">
        <v>2024201</v>
      </c>
      <c r="B581" s="12" t="s">
        <v>486</v>
      </c>
      <c r="C581">
        <f t="shared" si="256"/>
        <v>8</v>
      </c>
      <c r="D581">
        <f t="shared" si="257"/>
        <v>4</v>
      </c>
      <c r="E581">
        <f t="shared" si="258"/>
        <v>3</v>
      </c>
      <c r="F581">
        <f t="shared" si="259"/>
        <v>15</v>
      </c>
      <c r="G581">
        <f t="shared" si="260"/>
        <v>5</v>
      </c>
      <c r="H581">
        <f t="shared" si="261"/>
        <v>5</v>
      </c>
      <c r="I581">
        <f t="shared" si="262"/>
        <v>3</v>
      </c>
      <c r="J581">
        <f t="shared" si="263"/>
        <v>0.33</v>
      </c>
      <c r="K581">
        <f t="shared" si="264"/>
        <v>0.33</v>
      </c>
      <c r="L581">
        <f t="shared" si="265"/>
        <v>0.33</v>
      </c>
      <c r="M581">
        <f t="shared" si="266"/>
        <v>1</v>
      </c>
      <c r="N581">
        <f t="shared" si="267"/>
        <v>1.57</v>
      </c>
      <c r="O581" t="str">
        <f t="shared" si="271"/>
        <v>标准</v>
      </c>
      <c r="P581" t="str">
        <f t="shared" si="268"/>
        <v>紧凑</v>
      </c>
      <c r="Q581" t="str">
        <f t="shared" si="269"/>
        <v>✓有效</v>
      </c>
      <c r="R581" t="str">
        <f t="shared" si="270"/>
        <v>正常</v>
      </c>
    </row>
    <row r="582" ht="14.25" customHeight="1" spans="1:18">
      <c r="A582" s="10">
        <v>2024202</v>
      </c>
      <c r="B582" s="12" t="s">
        <v>487</v>
      </c>
      <c r="C582">
        <f t="shared" si="256"/>
        <v>5</v>
      </c>
      <c r="D582">
        <f t="shared" si="257"/>
        <v>5</v>
      </c>
      <c r="E582">
        <f t="shared" si="258"/>
        <v>2</v>
      </c>
      <c r="F582">
        <f t="shared" si="259"/>
        <v>12</v>
      </c>
      <c r="G582">
        <f t="shared" si="260"/>
        <v>2</v>
      </c>
      <c r="H582">
        <f t="shared" si="261"/>
        <v>3</v>
      </c>
      <c r="I582">
        <f t="shared" si="262"/>
        <v>4</v>
      </c>
      <c r="J582">
        <f t="shared" si="263"/>
        <v>0.67</v>
      </c>
      <c r="K582">
        <f t="shared" si="264"/>
        <v>0.67</v>
      </c>
      <c r="L582">
        <f t="shared" si="265"/>
        <v>1</v>
      </c>
      <c r="M582">
        <f t="shared" si="266"/>
        <v>0</v>
      </c>
      <c r="N582">
        <f t="shared" si="267"/>
        <v>2.27</v>
      </c>
      <c r="O582" t="str">
        <f t="shared" si="271"/>
        <v>紧凑</v>
      </c>
      <c r="P582" t="str">
        <f t="shared" si="268"/>
        <v>紧凑</v>
      </c>
      <c r="Q582" t="str">
        <f t="shared" si="269"/>
        <v>✓有效</v>
      </c>
      <c r="R582" t="str">
        <f t="shared" si="270"/>
        <v>正常</v>
      </c>
    </row>
    <row r="583" ht="14.25" customHeight="1" spans="1:18">
      <c r="A583" s="10">
        <v>2024203</v>
      </c>
      <c r="B583" s="12" t="s">
        <v>251</v>
      </c>
      <c r="C583">
        <f t="shared" si="256"/>
        <v>1</v>
      </c>
      <c r="D583">
        <f t="shared" si="257"/>
        <v>7</v>
      </c>
      <c r="E583">
        <f t="shared" si="258"/>
        <v>2</v>
      </c>
      <c r="F583">
        <f t="shared" si="259"/>
        <v>10</v>
      </c>
      <c r="G583">
        <f t="shared" si="260"/>
        <v>0</v>
      </c>
      <c r="H583">
        <f t="shared" si="261"/>
        <v>6</v>
      </c>
      <c r="I583">
        <f t="shared" si="262"/>
        <v>1.67</v>
      </c>
      <c r="J583">
        <f t="shared" si="263"/>
        <v>0.67</v>
      </c>
      <c r="K583">
        <f t="shared" si="264"/>
        <v>0.33</v>
      </c>
      <c r="L583">
        <f t="shared" si="265"/>
        <v>0.67</v>
      </c>
      <c r="M583">
        <f t="shared" si="266"/>
        <v>1</v>
      </c>
      <c r="N583">
        <f t="shared" si="267"/>
        <v>1.14</v>
      </c>
      <c r="O583" t="str">
        <f t="shared" si="271"/>
        <v>松散</v>
      </c>
      <c r="P583" t="str">
        <f t="shared" si="268"/>
        <v>极紧凑</v>
      </c>
      <c r="Q583" t="str">
        <f t="shared" si="269"/>
        <v>✓有效</v>
      </c>
      <c r="R583" t="str">
        <f t="shared" si="270"/>
        <v>正常</v>
      </c>
    </row>
    <row r="584" ht="14.25" customHeight="1" spans="1:18">
      <c r="A584" s="10">
        <v>2024204</v>
      </c>
      <c r="B584" s="12" t="s">
        <v>488</v>
      </c>
      <c r="C584">
        <f t="shared" si="256"/>
        <v>3</v>
      </c>
      <c r="D584">
        <f t="shared" si="257"/>
        <v>9</v>
      </c>
      <c r="E584">
        <f t="shared" si="258"/>
        <v>0</v>
      </c>
      <c r="F584">
        <f t="shared" si="259"/>
        <v>12</v>
      </c>
      <c r="G584">
        <f t="shared" si="260"/>
        <v>2</v>
      </c>
      <c r="H584">
        <f t="shared" si="261"/>
        <v>9</v>
      </c>
      <c r="I584">
        <f t="shared" si="262"/>
        <v>1.33</v>
      </c>
      <c r="J584">
        <f t="shared" si="263"/>
        <v>0.67</v>
      </c>
      <c r="K584">
        <f t="shared" si="264"/>
        <v>0.33</v>
      </c>
      <c r="L584">
        <f t="shared" si="265"/>
        <v>0.33</v>
      </c>
      <c r="M584">
        <f t="shared" si="266"/>
        <v>0</v>
      </c>
      <c r="N584">
        <f t="shared" si="267"/>
        <v>1.07</v>
      </c>
      <c r="O584" t="str">
        <f t="shared" si="271"/>
        <v>松散</v>
      </c>
      <c r="P584" t="str">
        <f t="shared" si="268"/>
        <v>极紧凑</v>
      </c>
      <c r="Q584" t="str">
        <f t="shared" si="269"/>
        <v>✓有效</v>
      </c>
      <c r="R584" t="str">
        <f t="shared" si="270"/>
        <v>正常</v>
      </c>
    </row>
    <row r="585" ht="14.25" customHeight="1" spans="1:18">
      <c r="A585" s="10">
        <v>2024205</v>
      </c>
      <c r="B585" s="12" t="s">
        <v>489</v>
      </c>
      <c r="C585">
        <f t="shared" si="256"/>
        <v>6</v>
      </c>
      <c r="D585">
        <f t="shared" si="257"/>
        <v>5</v>
      </c>
      <c r="E585">
        <f t="shared" si="258"/>
        <v>1</v>
      </c>
      <c r="F585">
        <f t="shared" si="259"/>
        <v>12</v>
      </c>
      <c r="G585">
        <f t="shared" si="260"/>
        <v>2</v>
      </c>
      <c r="H585">
        <f t="shared" si="261"/>
        <v>5</v>
      </c>
      <c r="I585">
        <f t="shared" si="262"/>
        <v>2.4</v>
      </c>
      <c r="J585">
        <f t="shared" si="263"/>
        <v>0.67</v>
      </c>
      <c r="K585">
        <f t="shared" si="264"/>
        <v>0.67</v>
      </c>
      <c r="L585">
        <f t="shared" si="265"/>
        <v>0.33</v>
      </c>
      <c r="M585">
        <f t="shared" si="266"/>
        <v>1</v>
      </c>
      <c r="N585">
        <f t="shared" si="267"/>
        <v>1.46</v>
      </c>
      <c r="O585" t="str">
        <f t="shared" si="271"/>
        <v>标准</v>
      </c>
      <c r="P585" t="str">
        <f t="shared" si="268"/>
        <v>极紧凑</v>
      </c>
      <c r="Q585" t="str">
        <f t="shared" si="269"/>
        <v>✓有效</v>
      </c>
      <c r="R585" t="str">
        <f t="shared" si="270"/>
        <v>正常</v>
      </c>
    </row>
    <row r="586" ht="14.25" customHeight="1" spans="1:18">
      <c r="A586" s="10">
        <v>2024206</v>
      </c>
      <c r="B586" s="12" t="s">
        <v>490</v>
      </c>
      <c r="C586">
        <f t="shared" si="256"/>
        <v>8</v>
      </c>
      <c r="D586">
        <f t="shared" si="257"/>
        <v>1</v>
      </c>
      <c r="E586">
        <f t="shared" si="258"/>
        <v>8</v>
      </c>
      <c r="F586">
        <f t="shared" si="259"/>
        <v>17</v>
      </c>
      <c r="G586">
        <f t="shared" si="260"/>
        <v>7</v>
      </c>
      <c r="H586">
        <f t="shared" si="261"/>
        <v>7</v>
      </c>
      <c r="I586">
        <f t="shared" si="262"/>
        <v>2.43</v>
      </c>
      <c r="J586">
        <f t="shared" si="263"/>
        <v>0.33</v>
      </c>
      <c r="K586">
        <f t="shared" si="264"/>
        <v>0.67</v>
      </c>
      <c r="L586">
        <f t="shared" si="265"/>
        <v>0</v>
      </c>
      <c r="M586">
        <f t="shared" si="266"/>
        <v>0</v>
      </c>
      <c r="N586">
        <f t="shared" si="267"/>
        <v>1.47</v>
      </c>
      <c r="O586" t="str">
        <f t="shared" si="271"/>
        <v>标准</v>
      </c>
      <c r="P586" t="str">
        <f t="shared" si="268"/>
        <v>极紧凑</v>
      </c>
      <c r="Q586" t="str">
        <f t="shared" si="269"/>
        <v>✓有效</v>
      </c>
      <c r="R586" t="str">
        <f t="shared" si="270"/>
        <v>正常</v>
      </c>
    </row>
    <row r="587" ht="14.25" customHeight="1" spans="1:18">
      <c r="A587" s="10">
        <v>2024207</v>
      </c>
      <c r="B587" s="12" t="s">
        <v>156</v>
      </c>
      <c r="C587">
        <f t="shared" si="256"/>
        <v>8</v>
      </c>
      <c r="D587">
        <f t="shared" si="257"/>
        <v>9</v>
      </c>
      <c r="E587">
        <f t="shared" si="258"/>
        <v>2</v>
      </c>
      <c r="F587">
        <f t="shared" si="259"/>
        <v>19</v>
      </c>
      <c r="G587">
        <f t="shared" si="260"/>
        <v>9</v>
      </c>
      <c r="H587">
        <f t="shared" si="261"/>
        <v>7</v>
      </c>
      <c r="I587">
        <f t="shared" si="262"/>
        <v>2.71</v>
      </c>
      <c r="J587">
        <f t="shared" si="263"/>
        <v>0.33</v>
      </c>
      <c r="K587">
        <f t="shared" si="264"/>
        <v>0.67</v>
      </c>
      <c r="L587">
        <f t="shared" si="265"/>
        <v>0.33</v>
      </c>
      <c r="M587">
        <f t="shared" si="266"/>
        <v>1</v>
      </c>
      <c r="N587">
        <f t="shared" si="267"/>
        <v>1.52</v>
      </c>
      <c r="O587" t="str">
        <f t="shared" si="271"/>
        <v>标准</v>
      </c>
      <c r="P587" t="str">
        <f t="shared" si="268"/>
        <v>紧凑</v>
      </c>
      <c r="Q587" t="str">
        <f t="shared" si="269"/>
        <v>✓有效</v>
      </c>
      <c r="R587" t="str">
        <f t="shared" si="270"/>
        <v>正常</v>
      </c>
    </row>
    <row r="588" ht="14.25" customHeight="1" spans="1:18">
      <c r="A588" s="10">
        <v>2024208</v>
      </c>
      <c r="B588" s="12" t="s">
        <v>491</v>
      </c>
      <c r="C588">
        <f t="shared" si="256"/>
        <v>2</v>
      </c>
      <c r="D588">
        <f t="shared" si="257"/>
        <v>8</v>
      </c>
      <c r="E588">
        <f t="shared" si="258"/>
        <v>1</v>
      </c>
      <c r="F588">
        <f t="shared" si="259"/>
        <v>11</v>
      </c>
      <c r="G588">
        <f t="shared" si="260"/>
        <v>1</v>
      </c>
      <c r="H588">
        <f t="shared" si="261"/>
        <v>7</v>
      </c>
      <c r="I588">
        <f t="shared" si="262"/>
        <v>1.57</v>
      </c>
      <c r="J588">
        <f t="shared" si="263"/>
        <v>0.33</v>
      </c>
      <c r="K588">
        <f t="shared" si="264"/>
        <v>0.33</v>
      </c>
      <c r="L588">
        <f t="shared" si="265"/>
        <v>0.33</v>
      </c>
      <c r="M588">
        <f t="shared" si="266"/>
        <v>1</v>
      </c>
      <c r="N588">
        <f t="shared" si="267"/>
        <v>0.99</v>
      </c>
      <c r="O588" t="str">
        <f t="shared" si="271"/>
        <v>松散</v>
      </c>
      <c r="P588" t="str">
        <f t="shared" si="268"/>
        <v>极紧凑</v>
      </c>
      <c r="Q588" t="str">
        <f t="shared" si="269"/>
        <v>✓有效</v>
      </c>
      <c r="R588" t="str">
        <f t="shared" si="270"/>
        <v>正常</v>
      </c>
    </row>
    <row r="589" ht="14.25" customHeight="1" spans="1:18">
      <c r="A589" s="10">
        <v>2024209</v>
      </c>
      <c r="B589" s="12" t="s">
        <v>381</v>
      </c>
      <c r="C589">
        <f t="shared" si="256"/>
        <v>6</v>
      </c>
      <c r="D589">
        <f t="shared" si="257"/>
        <v>7</v>
      </c>
      <c r="E589">
        <f t="shared" si="258"/>
        <v>6</v>
      </c>
      <c r="F589">
        <f t="shared" si="259"/>
        <v>19</v>
      </c>
      <c r="G589">
        <f t="shared" si="260"/>
        <v>9</v>
      </c>
      <c r="H589">
        <f t="shared" si="261"/>
        <v>1</v>
      </c>
      <c r="I589">
        <f t="shared" si="262"/>
        <v>19</v>
      </c>
      <c r="J589">
        <f t="shared" si="263"/>
        <v>0.33</v>
      </c>
      <c r="K589">
        <f t="shared" si="264"/>
        <v>1</v>
      </c>
      <c r="L589">
        <f t="shared" si="265"/>
        <v>0.33</v>
      </c>
      <c r="M589">
        <f t="shared" si="266"/>
        <v>2</v>
      </c>
      <c r="N589">
        <f t="shared" si="267"/>
        <v>8</v>
      </c>
      <c r="O589" t="str">
        <f t="shared" si="271"/>
        <v>紧凑</v>
      </c>
      <c r="P589" t="str">
        <f t="shared" si="268"/>
        <v>松散</v>
      </c>
      <c r="Q589" t="str">
        <f t="shared" si="269"/>
        <v>✓有效</v>
      </c>
      <c r="R589" t="str">
        <f t="shared" si="270"/>
        <v>异常</v>
      </c>
    </row>
    <row r="590" ht="14.25" customHeight="1" spans="1:18">
      <c r="A590" s="10">
        <v>2024210</v>
      </c>
      <c r="B590" s="12" t="s">
        <v>469</v>
      </c>
      <c r="C590">
        <f t="shared" si="256"/>
        <v>4</v>
      </c>
      <c r="D590">
        <f t="shared" si="257"/>
        <v>4</v>
      </c>
      <c r="E590">
        <f t="shared" si="258"/>
        <v>9</v>
      </c>
      <c r="F590">
        <f t="shared" si="259"/>
        <v>17</v>
      </c>
      <c r="G590">
        <f t="shared" si="260"/>
        <v>7</v>
      </c>
      <c r="H590">
        <f t="shared" si="261"/>
        <v>5</v>
      </c>
      <c r="I590">
        <f t="shared" si="262"/>
        <v>3.4</v>
      </c>
      <c r="J590">
        <f t="shared" si="263"/>
        <v>0.33</v>
      </c>
      <c r="K590">
        <f t="shared" si="264"/>
        <v>0.33</v>
      </c>
      <c r="L590">
        <f t="shared" si="265"/>
        <v>0</v>
      </c>
      <c r="M590">
        <f t="shared" si="266"/>
        <v>0</v>
      </c>
      <c r="N590">
        <f t="shared" si="267"/>
        <v>1.79</v>
      </c>
      <c r="O590" t="str">
        <f t="shared" si="271"/>
        <v>标准</v>
      </c>
      <c r="P590" t="str">
        <f t="shared" si="268"/>
        <v>紧凑</v>
      </c>
      <c r="Q590" t="str">
        <f t="shared" si="269"/>
        <v>✓有效</v>
      </c>
      <c r="R590" t="str">
        <f t="shared" si="270"/>
        <v>正常</v>
      </c>
    </row>
    <row r="591" ht="14.25" customHeight="1" spans="1:18">
      <c r="A591" s="10">
        <v>2024211</v>
      </c>
      <c r="B591" s="12" t="s">
        <v>492</v>
      </c>
      <c r="C591">
        <f t="shared" si="256"/>
        <v>0</v>
      </c>
      <c r="D591">
        <f t="shared" si="257"/>
        <v>5</v>
      </c>
      <c r="E591">
        <f t="shared" si="258"/>
        <v>4</v>
      </c>
      <c r="F591">
        <f t="shared" si="259"/>
        <v>9</v>
      </c>
      <c r="G591">
        <f t="shared" si="260"/>
        <v>9</v>
      </c>
      <c r="H591">
        <f t="shared" si="261"/>
        <v>5</v>
      </c>
      <c r="I591">
        <f t="shared" si="262"/>
        <v>1.8</v>
      </c>
      <c r="J591">
        <f t="shared" si="263"/>
        <v>0.33</v>
      </c>
      <c r="K591">
        <f t="shared" si="264"/>
        <v>0.33</v>
      </c>
      <c r="L591">
        <f t="shared" si="265"/>
        <v>0.33</v>
      </c>
      <c r="M591">
        <f t="shared" si="266"/>
        <v>1</v>
      </c>
      <c r="N591">
        <f t="shared" si="267"/>
        <v>1.09</v>
      </c>
      <c r="O591" t="str">
        <f t="shared" si="271"/>
        <v>松散</v>
      </c>
      <c r="P591" t="str">
        <f t="shared" si="268"/>
        <v>极紧凑</v>
      </c>
      <c r="Q591" t="str">
        <f t="shared" si="269"/>
        <v>✓有效</v>
      </c>
      <c r="R591" t="str">
        <f t="shared" si="270"/>
        <v>正常</v>
      </c>
    </row>
    <row r="592" ht="14.25" customHeight="1" spans="1:18">
      <c r="A592" s="10">
        <v>2024212</v>
      </c>
      <c r="B592" s="12" t="s">
        <v>493</v>
      </c>
      <c r="C592">
        <f t="shared" si="256"/>
        <v>0</v>
      </c>
      <c r="D592">
        <f t="shared" si="257"/>
        <v>8</v>
      </c>
      <c r="E592">
        <f t="shared" si="258"/>
        <v>9</v>
      </c>
      <c r="F592">
        <f t="shared" si="259"/>
        <v>17</v>
      </c>
      <c r="G592">
        <f t="shared" si="260"/>
        <v>7</v>
      </c>
      <c r="H592">
        <f t="shared" si="261"/>
        <v>9</v>
      </c>
      <c r="I592">
        <f t="shared" si="262"/>
        <v>1.89</v>
      </c>
      <c r="J592">
        <f t="shared" si="263"/>
        <v>0.33</v>
      </c>
      <c r="K592">
        <f t="shared" si="264"/>
        <v>0.67</v>
      </c>
      <c r="L592">
        <f t="shared" si="265"/>
        <v>0</v>
      </c>
      <c r="M592">
        <f t="shared" si="266"/>
        <v>1</v>
      </c>
      <c r="N592">
        <f t="shared" si="267"/>
        <v>1.16</v>
      </c>
      <c r="O592" t="str">
        <f t="shared" si="271"/>
        <v>松散</v>
      </c>
      <c r="P592" t="str">
        <f t="shared" si="268"/>
        <v>极紧凑</v>
      </c>
      <c r="Q592" t="str">
        <f t="shared" si="269"/>
        <v>✓有效</v>
      </c>
      <c r="R592" t="str">
        <f t="shared" si="270"/>
        <v>正常</v>
      </c>
    </row>
    <row r="593" ht="14.25" customHeight="1" spans="1:18">
      <c r="A593" s="10">
        <v>2024213</v>
      </c>
      <c r="B593" s="12" t="s">
        <v>400</v>
      </c>
      <c r="C593">
        <f t="shared" si="256"/>
        <v>0</v>
      </c>
      <c r="D593">
        <f t="shared" si="257"/>
        <v>0</v>
      </c>
      <c r="E593">
        <f t="shared" si="258"/>
        <v>9</v>
      </c>
      <c r="F593">
        <f t="shared" si="259"/>
        <v>9</v>
      </c>
      <c r="G593">
        <f t="shared" si="260"/>
        <v>9</v>
      </c>
      <c r="H593">
        <f t="shared" si="261"/>
        <v>9</v>
      </c>
      <c r="I593">
        <f t="shared" si="262"/>
        <v>1</v>
      </c>
      <c r="J593">
        <f t="shared" si="263"/>
        <v>0.33</v>
      </c>
      <c r="K593">
        <f t="shared" si="264"/>
        <v>0.33</v>
      </c>
      <c r="L593">
        <f t="shared" si="265"/>
        <v>0</v>
      </c>
      <c r="M593">
        <f t="shared" si="266"/>
        <v>0</v>
      </c>
      <c r="N593">
        <f t="shared" si="267"/>
        <v>0.83</v>
      </c>
      <c r="O593" t="str">
        <f t="shared" si="271"/>
        <v>松散</v>
      </c>
      <c r="P593" t="str">
        <f t="shared" si="268"/>
        <v>极紧凑</v>
      </c>
      <c r="Q593" t="str">
        <f t="shared" si="269"/>
        <v>✓有效</v>
      </c>
      <c r="R593" t="str">
        <f t="shared" si="270"/>
        <v>正常</v>
      </c>
    </row>
    <row r="594" ht="14.25" customHeight="1" spans="1:18">
      <c r="A594" s="10">
        <v>2024214</v>
      </c>
      <c r="B594" s="12" t="s">
        <v>494</v>
      </c>
      <c r="C594">
        <f t="shared" si="256"/>
        <v>3</v>
      </c>
      <c r="D594">
        <f t="shared" si="257"/>
        <v>6</v>
      </c>
      <c r="E594">
        <f t="shared" si="258"/>
        <v>5</v>
      </c>
      <c r="F594">
        <f t="shared" si="259"/>
        <v>14</v>
      </c>
      <c r="G594">
        <f t="shared" si="260"/>
        <v>4</v>
      </c>
      <c r="H594">
        <f t="shared" si="261"/>
        <v>3</v>
      </c>
      <c r="I594">
        <f t="shared" si="262"/>
        <v>4.67</v>
      </c>
      <c r="J594">
        <f t="shared" si="263"/>
        <v>0.67</v>
      </c>
      <c r="K594">
        <f t="shared" si="264"/>
        <v>0.67</v>
      </c>
      <c r="L594">
        <f t="shared" si="265"/>
        <v>0.67</v>
      </c>
      <c r="M594">
        <f t="shared" si="266"/>
        <v>1</v>
      </c>
      <c r="N594">
        <f t="shared" si="267"/>
        <v>2.4</v>
      </c>
      <c r="O594" t="str">
        <f t="shared" si="271"/>
        <v>紧凑</v>
      </c>
      <c r="P594" t="str">
        <f t="shared" si="268"/>
        <v>紧凑</v>
      </c>
      <c r="Q594" t="str">
        <f t="shared" si="269"/>
        <v>✓有效</v>
      </c>
      <c r="R594" t="str">
        <f t="shared" si="270"/>
        <v>正常</v>
      </c>
    </row>
    <row r="595" ht="14.25" customHeight="1" spans="1:18">
      <c r="A595" s="10">
        <v>2024215</v>
      </c>
      <c r="B595" s="12" t="s">
        <v>332</v>
      </c>
      <c r="C595">
        <f t="shared" si="256"/>
        <v>4</v>
      </c>
      <c r="D595">
        <f t="shared" si="257"/>
        <v>8</v>
      </c>
      <c r="E595">
        <f t="shared" si="258"/>
        <v>3</v>
      </c>
      <c r="F595">
        <f t="shared" si="259"/>
        <v>15</v>
      </c>
      <c r="G595">
        <f t="shared" si="260"/>
        <v>5</v>
      </c>
      <c r="H595">
        <f t="shared" si="261"/>
        <v>5</v>
      </c>
      <c r="I595">
        <f t="shared" si="262"/>
        <v>3</v>
      </c>
      <c r="J595">
        <f t="shared" si="263"/>
        <v>0.33</v>
      </c>
      <c r="K595">
        <f t="shared" si="264"/>
        <v>0.33</v>
      </c>
      <c r="L595">
        <f t="shared" si="265"/>
        <v>0.33</v>
      </c>
      <c r="M595">
        <f t="shared" si="266"/>
        <v>1</v>
      </c>
      <c r="N595">
        <f t="shared" si="267"/>
        <v>1.57</v>
      </c>
      <c r="O595" t="str">
        <f t="shared" si="271"/>
        <v>标准</v>
      </c>
      <c r="P595" t="str">
        <f t="shared" si="268"/>
        <v>紧凑</v>
      </c>
      <c r="Q595" t="str">
        <f t="shared" si="269"/>
        <v>✓有效</v>
      </c>
      <c r="R595" t="str">
        <f t="shared" si="270"/>
        <v>正常</v>
      </c>
    </row>
    <row r="596" ht="14.25" customHeight="1" spans="1:18">
      <c r="A596" s="10">
        <v>2024216</v>
      </c>
      <c r="B596" s="12" t="s">
        <v>259</v>
      </c>
      <c r="C596">
        <f t="shared" si="256"/>
        <v>4</v>
      </c>
      <c r="D596">
        <f t="shared" si="257"/>
        <v>4</v>
      </c>
      <c r="E596">
        <f t="shared" si="258"/>
        <v>4</v>
      </c>
      <c r="F596">
        <f t="shared" si="259"/>
        <v>12</v>
      </c>
      <c r="G596">
        <f t="shared" si="260"/>
        <v>2</v>
      </c>
      <c r="H596">
        <f t="shared" si="261"/>
        <v>0</v>
      </c>
      <c r="I596">
        <f t="shared" si="262"/>
        <v>0.1</v>
      </c>
      <c r="J596">
        <f t="shared" si="263"/>
        <v>0</v>
      </c>
      <c r="K596">
        <f t="shared" si="264"/>
        <v>0</v>
      </c>
      <c r="L596">
        <f t="shared" si="265"/>
        <v>0</v>
      </c>
      <c r="M596">
        <f t="shared" si="266"/>
        <v>0</v>
      </c>
      <c r="N596">
        <f t="shared" si="267"/>
        <v>0.34</v>
      </c>
      <c r="O596" t="str">
        <f t="shared" si="271"/>
        <v>极紧凑</v>
      </c>
      <c r="P596" t="str">
        <f t="shared" si="268"/>
        <v>极紧凑</v>
      </c>
      <c r="Q596" t="str">
        <f t="shared" si="269"/>
        <v>✓有效</v>
      </c>
      <c r="R596" t="str">
        <f t="shared" si="270"/>
        <v>正常</v>
      </c>
    </row>
    <row r="597" ht="14.25" customHeight="1" spans="1:18">
      <c r="A597" s="10">
        <v>2024217</v>
      </c>
      <c r="B597" s="12" t="s">
        <v>495</v>
      </c>
      <c r="C597">
        <f t="shared" si="256"/>
        <v>4</v>
      </c>
      <c r="D597">
        <f t="shared" si="257"/>
        <v>0</v>
      </c>
      <c r="E597">
        <f t="shared" si="258"/>
        <v>5</v>
      </c>
      <c r="F597">
        <f t="shared" si="259"/>
        <v>9</v>
      </c>
      <c r="G597">
        <f t="shared" si="260"/>
        <v>9</v>
      </c>
      <c r="H597">
        <f t="shared" si="261"/>
        <v>5</v>
      </c>
      <c r="I597">
        <f t="shared" si="262"/>
        <v>1.8</v>
      </c>
      <c r="J597">
        <f t="shared" si="263"/>
        <v>0.33</v>
      </c>
      <c r="K597">
        <f t="shared" si="264"/>
        <v>0.33</v>
      </c>
      <c r="L597">
        <f t="shared" si="265"/>
        <v>0.33</v>
      </c>
      <c r="M597">
        <f t="shared" si="266"/>
        <v>1</v>
      </c>
      <c r="N597">
        <f t="shared" si="267"/>
        <v>1.09</v>
      </c>
      <c r="O597" t="str">
        <f t="shared" si="271"/>
        <v>松散</v>
      </c>
      <c r="P597" t="str">
        <f t="shared" si="268"/>
        <v>极紧凑</v>
      </c>
      <c r="Q597" t="str">
        <f t="shared" si="269"/>
        <v>✓有效</v>
      </c>
      <c r="R597" t="str">
        <f t="shared" si="270"/>
        <v>正常</v>
      </c>
    </row>
    <row r="598" ht="14.25" customHeight="1" spans="1:18">
      <c r="A598" s="10">
        <v>2024218</v>
      </c>
      <c r="B598" s="12" t="s">
        <v>496</v>
      </c>
      <c r="C598">
        <f t="shared" si="256"/>
        <v>4</v>
      </c>
      <c r="D598">
        <f t="shared" si="257"/>
        <v>6</v>
      </c>
      <c r="E598">
        <f t="shared" si="258"/>
        <v>7</v>
      </c>
      <c r="F598">
        <f t="shared" si="259"/>
        <v>17</v>
      </c>
      <c r="G598">
        <f t="shared" si="260"/>
        <v>7</v>
      </c>
      <c r="H598">
        <f t="shared" si="261"/>
        <v>3</v>
      </c>
      <c r="I598">
        <f t="shared" si="262"/>
        <v>5.67</v>
      </c>
      <c r="J598">
        <f t="shared" si="263"/>
        <v>0.33</v>
      </c>
      <c r="K598">
        <f t="shared" si="264"/>
        <v>0.67</v>
      </c>
      <c r="L598">
        <f t="shared" si="265"/>
        <v>0.33</v>
      </c>
      <c r="M598">
        <f t="shared" si="266"/>
        <v>1</v>
      </c>
      <c r="N598">
        <f t="shared" si="267"/>
        <v>2.7</v>
      </c>
      <c r="O598" t="str">
        <f t="shared" si="271"/>
        <v>紧凑</v>
      </c>
      <c r="P598" t="str">
        <f t="shared" si="268"/>
        <v>紧凑</v>
      </c>
      <c r="Q598" t="str">
        <f t="shared" si="269"/>
        <v>✓有效</v>
      </c>
      <c r="R598" t="str">
        <f t="shared" si="270"/>
        <v>正常</v>
      </c>
    </row>
    <row r="599" ht="14.25" customHeight="1" spans="1:18">
      <c r="A599" s="10">
        <v>2024219</v>
      </c>
      <c r="B599" s="12" t="s">
        <v>497</v>
      </c>
      <c r="C599">
        <f t="shared" si="256"/>
        <v>3</v>
      </c>
      <c r="D599">
        <f t="shared" si="257"/>
        <v>0</v>
      </c>
      <c r="E599">
        <f t="shared" si="258"/>
        <v>5</v>
      </c>
      <c r="F599">
        <f t="shared" si="259"/>
        <v>8</v>
      </c>
      <c r="G599">
        <f t="shared" si="260"/>
        <v>8</v>
      </c>
      <c r="H599">
        <f t="shared" si="261"/>
        <v>5</v>
      </c>
      <c r="I599">
        <f t="shared" si="262"/>
        <v>1.6</v>
      </c>
      <c r="J599">
        <f t="shared" si="263"/>
        <v>0.67</v>
      </c>
      <c r="K599">
        <f t="shared" si="264"/>
        <v>0.33</v>
      </c>
      <c r="L599">
        <f t="shared" si="265"/>
        <v>0.67</v>
      </c>
      <c r="M599">
        <f t="shared" si="266"/>
        <v>0</v>
      </c>
      <c r="N599">
        <f t="shared" si="267"/>
        <v>1.21</v>
      </c>
      <c r="O599" t="str">
        <f t="shared" si="271"/>
        <v>松散</v>
      </c>
      <c r="P599" t="str">
        <f t="shared" si="268"/>
        <v>极紧凑</v>
      </c>
      <c r="Q599" t="str">
        <f t="shared" si="269"/>
        <v>✓有效</v>
      </c>
      <c r="R599" t="str">
        <f t="shared" si="270"/>
        <v>正常</v>
      </c>
    </row>
    <row r="600" ht="14.25" customHeight="1" spans="1:18">
      <c r="A600" s="10">
        <v>2024220</v>
      </c>
      <c r="B600" s="12" t="s">
        <v>498</v>
      </c>
      <c r="C600">
        <f t="shared" si="256"/>
        <v>4</v>
      </c>
      <c r="D600">
        <f t="shared" si="257"/>
        <v>1</v>
      </c>
      <c r="E600">
        <f t="shared" si="258"/>
        <v>4</v>
      </c>
      <c r="F600">
        <f t="shared" si="259"/>
        <v>9</v>
      </c>
      <c r="G600">
        <f t="shared" si="260"/>
        <v>9</v>
      </c>
      <c r="H600">
        <f t="shared" si="261"/>
        <v>3</v>
      </c>
      <c r="I600">
        <f t="shared" si="262"/>
        <v>3</v>
      </c>
      <c r="J600">
        <f t="shared" si="263"/>
        <v>0.33</v>
      </c>
      <c r="K600">
        <f t="shared" si="264"/>
        <v>0</v>
      </c>
      <c r="L600">
        <f t="shared" si="265"/>
        <v>0</v>
      </c>
      <c r="M600">
        <f t="shared" si="266"/>
        <v>0</v>
      </c>
      <c r="N600">
        <f t="shared" si="267"/>
        <v>1.57</v>
      </c>
      <c r="O600" t="str">
        <f t="shared" si="271"/>
        <v>标准</v>
      </c>
      <c r="P600" t="str">
        <f t="shared" si="268"/>
        <v>紧凑</v>
      </c>
      <c r="Q600" t="str">
        <f t="shared" si="269"/>
        <v>✓有效</v>
      </c>
      <c r="R600" t="str">
        <f t="shared" si="270"/>
        <v>正常</v>
      </c>
    </row>
    <row r="601" ht="14.25" customHeight="1" spans="1:18">
      <c r="A601" s="10">
        <v>2024221</v>
      </c>
      <c r="B601" s="12" t="s">
        <v>126</v>
      </c>
      <c r="C601">
        <f t="shared" si="256"/>
        <v>1</v>
      </c>
      <c r="D601">
        <f t="shared" si="257"/>
        <v>0</v>
      </c>
      <c r="E601">
        <f t="shared" si="258"/>
        <v>3</v>
      </c>
      <c r="F601">
        <f t="shared" si="259"/>
        <v>4</v>
      </c>
      <c r="G601">
        <f t="shared" si="260"/>
        <v>4</v>
      </c>
      <c r="H601">
        <f t="shared" si="261"/>
        <v>3</v>
      </c>
      <c r="I601">
        <f t="shared" si="262"/>
        <v>1.33</v>
      </c>
      <c r="J601">
        <f t="shared" si="263"/>
        <v>0.67</v>
      </c>
      <c r="K601">
        <f t="shared" si="264"/>
        <v>0</v>
      </c>
      <c r="L601">
        <f t="shared" si="265"/>
        <v>0.33</v>
      </c>
      <c r="M601">
        <f t="shared" si="266"/>
        <v>1</v>
      </c>
      <c r="N601">
        <f t="shared" si="267"/>
        <v>0.9</v>
      </c>
      <c r="O601" t="str">
        <f t="shared" si="271"/>
        <v>松散</v>
      </c>
      <c r="P601" t="str">
        <f t="shared" si="268"/>
        <v>极紧凑</v>
      </c>
      <c r="Q601" t="str">
        <f t="shared" si="269"/>
        <v>✓有效</v>
      </c>
      <c r="R601" t="str">
        <f t="shared" si="270"/>
        <v>正常</v>
      </c>
    </row>
    <row r="602" ht="14.25" customHeight="1" spans="1:18">
      <c r="A602" s="10">
        <v>2024222</v>
      </c>
      <c r="B602" s="12" t="s">
        <v>289</v>
      </c>
      <c r="C602">
        <f t="shared" si="256"/>
        <v>5</v>
      </c>
      <c r="D602">
        <f t="shared" si="257"/>
        <v>6</v>
      </c>
      <c r="E602">
        <f t="shared" si="258"/>
        <v>4</v>
      </c>
      <c r="F602">
        <f t="shared" si="259"/>
        <v>15</v>
      </c>
      <c r="G602">
        <f t="shared" si="260"/>
        <v>5</v>
      </c>
      <c r="H602">
        <f t="shared" si="261"/>
        <v>2</v>
      </c>
      <c r="I602">
        <f t="shared" si="262"/>
        <v>7.5</v>
      </c>
      <c r="J602">
        <f t="shared" si="263"/>
        <v>0.33</v>
      </c>
      <c r="K602">
        <f t="shared" si="264"/>
        <v>0.67</v>
      </c>
      <c r="L602">
        <f t="shared" si="265"/>
        <v>0.33</v>
      </c>
      <c r="M602">
        <f t="shared" si="266"/>
        <v>2</v>
      </c>
      <c r="N602">
        <f t="shared" si="267"/>
        <v>3.33</v>
      </c>
      <c r="O602" t="str">
        <f t="shared" si="271"/>
        <v>紧凑</v>
      </c>
      <c r="P602" t="str">
        <f t="shared" si="268"/>
        <v>标准</v>
      </c>
      <c r="Q602" t="str">
        <f t="shared" si="269"/>
        <v>✓有效</v>
      </c>
      <c r="R602" t="str">
        <f t="shared" si="270"/>
        <v>正常</v>
      </c>
    </row>
    <row r="603" ht="14.25" customHeight="1" spans="1:18">
      <c r="A603" s="10">
        <v>2024223</v>
      </c>
      <c r="B603" s="12" t="s">
        <v>499</v>
      </c>
      <c r="C603">
        <f t="shared" si="256"/>
        <v>7</v>
      </c>
      <c r="D603">
        <f t="shared" si="257"/>
        <v>7</v>
      </c>
      <c r="E603">
        <f t="shared" si="258"/>
        <v>3</v>
      </c>
      <c r="F603">
        <f t="shared" si="259"/>
        <v>17</v>
      </c>
      <c r="G603">
        <f t="shared" si="260"/>
        <v>7</v>
      </c>
      <c r="H603">
        <f t="shared" si="261"/>
        <v>4</v>
      </c>
      <c r="I603">
        <f t="shared" si="262"/>
        <v>4.25</v>
      </c>
      <c r="J603">
        <f t="shared" si="263"/>
        <v>1</v>
      </c>
      <c r="K603">
        <f t="shared" si="264"/>
        <v>0.67</v>
      </c>
      <c r="L603">
        <f t="shared" si="265"/>
        <v>1</v>
      </c>
      <c r="M603">
        <f t="shared" si="266"/>
        <v>0</v>
      </c>
      <c r="N603">
        <f t="shared" si="267"/>
        <v>2.43</v>
      </c>
      <c r="O603" t="str">
        <f t="shared" si="271"/>
        <v>紧凑</v>
      </c>
      <c r="P603" t="str">
        <f t="shared" si="268"/>
        <v>紧凑</v>
      </c>
      <c r="Q603" t="str">
        <f t="shared" si="269"/>
        <v>✓有效</v>
      </c>
      <c r="R603" t="str">
        <f t="shared" si="270"/>
        <v>正常</v>
      </c>
    </row>
    <row r="604" ht="14.25" customHeight="1" spans="1:18">
      <c r="A604" s="10">
        <v>2024224</v>
      </c>
      <c r="B604" s="12" t="s">
        <v>351</v>
      </c>
      <c r="C604">
        <f t="shared" si="256"/>
        <v>5</v>
      </c>
      <c r="D604">
        <f t="shared" si="257"/>
        <v>6</v>
      </c>
      <c r="E604">
        <f t="shared" si="258"/>
        <v>0</v>
      </c>
      <c r="F604">
        <f t="shared" si="259"/>
        <v>11</v>
      </c>
      <c r="G604">
        <f t="shared" si="260"/>
        <v>1</v>
      </c>
      <c r="H604">
        <f t="shared" si="261"/>
        <v>6</v>
      </c>
      <c r="I604">
        <f t="shared" si="262"/>
        <v>1.83</v>
      </c>
      <c r="J604">
        <f t="shared" si="263"/>
        <v>0.33</v>
      </c>
      <c r="K604">
        <f t="shared" si="264"/>
        <v>0.67</v>
      </c>
      <c r="L604">
        <f t="shared" si="265"/>
        <v>0.33</v>
      </c>
      <c r="M604">
        <f t="shared" si="266"/>
        <v>1</v>
      </c>
      <c r="N604">
        <f t="shared" si="267"/>
        <v>1.17</v>
      </c>
      <c r="O604" t="str">
        <f t="shared" si="271"/>
        <v>松散</v>
      </c>
      <c r="P604" t="str">
        <f t="shared" si="268"/>
        <v>极紧凑</v>
      </c>
      <c r="Q604" t="str">
        <f t="shared" si="269"/>
        <v>✓有效</v>
      </c>
      <c r="R604" t="str">
        <f t="shared" si="270"/>
        <v>正常</v>
      </c>
    </row>
    <row r="605" ht="14.25" customHeight="1" spans="1:18">
      <c r="A605" s="10">
        <v>2024225</v>
      </c>
      <c r="B605" s="12" t="s">
        <v>157</v>
      </c>
      <c r="C605">
        <f t="shared" si="256"/>
        <v>8</v>
      </c>
      <c r="D605">
        <f t="shared" si="257"/>
        <v>8</v>
      </c>
      <c r="E605">
        <f t="shared" si="258"/>
        <v>4</v>
      </c>
      <c r="F605">
        <f t="shared" si="259"/>
        <v>20</v>
      </c>
      <c r="G605">
        <f t="shared" si="260"/>
        <v>0</v>
      </c>
      <c r="H605">
        <f t="shared" si="261"/>
        <v>4</v>
      </c>
      <c r="I605">
        <f t="shared" si="262"/>
        <v>5</v>
      </c>
      <c r="J605">
        <f t="shared" si="263"/>
        <v>0</v>
      </c>
      <c r="K605">
        <f t="shared" si="264"/>
        <v>0.67</v>
      </c>
      <c r="L605">
        <f t="shared" si="265"/>
        <v>0</v>
      </c>
      <c r="M605">
        <f t="shared" si="266"/>
        <v>0</v>
      </c>
      <c r="N605">
        <f t="shared" si="267"/>
        <v>2.43</v>
      </c>
      <c r="O605" t="str">
        <f t="shared" si="271"/>
        <v>紧凑</v>
      </c>
      <c r="P605" t="str">
        <f t="shared" si="268"/>
        <v>紧凑</v>
      </c>
      <c r="Q605" t="str">
        <f t="shared" si="269"/>
        <v>✓有效</v>
      </c>
      <c r="R605" t="str">
        <f t="shared" si="270"/>
        <v>正常</v>
      </c>
    </row>
    <row r="606" ht="14.25" customHeight="1" spans="1:18">
      <c r="A606" s="10">
        <v>2024226</v>
      </c>
      <c r="B606" s="12" t="s">
        <v>118</v>
      </c>
      <c r="C606">
        <f t="shared" si="256"/>
        <v>3</v>
      </c>
      <c r="D606">
        <f t="shared" si="257"/>
        <v>8</v>
      </c>
      <c r="E606">
        <f t="shared" si="258"/>
        <v>0</v>
      </c>
      <c r="F606">
        <f t="shared" si="259"/>
        <v>11</v>
      </c>
      <c r="G606">
        <f t="shared" si="260"/>
        <v>1</v>
      </c>
      <c r="H606">
        <f t="shared" si="261"/>
        <v>8</v>
      </c>
      <c r="I606">
        <f t="shared" si="262"/>
        <v>1.38</v>
      </c>
      <c r="J606">
        <f t="shared" si="263"/>
        <v>0.33</v>
      </c>
      <c r="K606">
        <f t="shared" si="264"/>
        <v>0.33</v>
      </c>
      <c r="L606">
        <f t="shared" si="265"/>
        <v>0.33</v>
      </c>
      <c r="M606">
        <f t="shared" si="266"/>
        <v>0</v>
      </c>
      <c r="N606">
        <f t="shared" si="267"/>
        <v>1.02</v>
      </c>
      <c r="O606" t="str">
        <f t="shared" si="271"/>
        <v>松散</v>
      </c>
      <c r="P606" t="str">
        <f t="shared" si="268"/>
        <v>极紧凑</v>
      </c>
      <c r="Q606" t="str">
        <f t="shared" si="269"/>
        <v>✓有效</v>
      </c>
      <c r="R606" t="str">
        <f t="shared" si="270"/>
        <v>正常</v>
      </c>
    </row>
    <row r="607" ht="14.25" customHeight="1" spans="1:18">
      <c r="A607" s="10">
        <v>2024227</v>
      </c>
      <c r="B607" s="12" t="s">
        <v>500</v>
      </c>
      <c r="C607">
        <f t="shared" si="256"/>
        <v>3</v>
      </c>
      <c r="D607">
        <f t="shared" si="257"/>
        <v>1</v>
      </c>
      <c r="E607">
        <f t="shared" si="258"/>
        <v>2</v>
      </c>
      <c r="F607">
        <f t="shared" si="259"/>
        <v>6</v>
      </c>
      <c r="G607">
        <f t="shared" si="260"/>
        <v>6</v>
      </c>
      <c r="H607">
        <f t="shared" si="261"/>
        <v>2</v>
      </c>
      <c r="I607">
        <f t="shared" si="262"/>
        <v>3</v>
      </c>
      <c r="J607">
        <f t="shared" si="263"/>
        <v>0.67</v>
      </c>
      <c r="K607">
        <f t="shared" si="264"/>
        <v>0</v>
      </c>
      <c r="L607">
        <f t="shared" si="265"/>
        <v>0.67</v>
      </c>
      <c r="M607">
        <f t="shared" si="266"/>
        <v>2</v>
      </c>
      <c r="N607">
        <f t="shared" si="267"/>
        <v>1.5</v>
      </c>
      <c r="O607" t="str">
        <f t="shared" si="271"/>
        <v>标准</v>
      </c>
      <c r="P607" t="str">
        <f t="shared" si="268"/>
        <v>极紧凑</v>
      </c>
      <c r="Q607" t="str">
        <f t="shared" si="269"/>
        <v>✓有效</v>
      </c>
      <c r="R607" t="str">
        <f t="shared" si="270"/>
        <v>正常</v>
      </c>
    </row>
    <row r="608" ht="14.25" customHeight="1" spans="1:18">
      <c r="A608" s="10">
        <v>2024228</v>
      </c>
      <c r="B608" s="12" t="s">
        <v>55</v>
      </c>
      <c r="C608">
        <f t="shared" ref="C608:C671" si="272">IF(B608="","",LEFT(TEXT(B608,"000"),1)*1)</f>
        <v>2</v>
      </c>
      <c r="D608">
        <f t="shared" ref="D608:D671" si="273">IF(B608="","",MID(TEXT(B608,"000"),2,1)*1)</f>
        <v>9</v>
      </c>
      <c r="E608">
        <f t="shared" ref="E608:E671" si="274">IF(B608="","",RIGHT(TEXT(B608,"000"),1)*1)</f>
        <v>8</v>
      </c>
      <c r="F608">
        <f t="shared" ref="F608:F671" si="275">IF(B608="","",C608+D608+E608)</f>
        <v>19</v>
      </c>
      <c r="G608">
        <f t="shared" ref="G608:G671" si="276">IF(B608="","",MOD(F608,10))</f>
        <v>9</v>
      </c>
      <c r="H608">
        <f t="shared" ref="H608:H671" si="277">IF(B608="","",MAX(C608,D608,E608)-MIN(C608,D608,E608))</f>
        <v>7</v>
      </c>
      <c r="I608">
        <f t="shared" ref="I608:I671" si="278">IF(OR(B608="",H608=0),IF(H608=0,0.1,""),ROUND(F608/H608,2))</f>
        <v>2.71</v>
      </c>
      <c r="J608">
        <f t="shared" ref="J608:J671" si="279">IF(B608="","",ROUND((MOD(C608,2)+MOD(D608,2)+MOD(E608,2))/3,2))</f>
        <v>0.33</v>
      </c>
      <c r="K608">
        <f t="shared" ref="K608:K671" si="280">IF(B608="","",ROUND(((C608&gt;=5)+(D608&gt;=5)+(E608&gt;=5))/3,2))</f>
        <v>0.67</v>
      </c>
      <c r="L608">
        <f t="shared" ref="L608:L671" si="281">IF(B608="","",ROUND((ISNUMBER(FIND(C608,"2357"))+ISNUMBER(FIND(D608,"2357"))+ISNUMBER(FIND(E608,"2357")))/3,2))</f>
        <v>0.33</v>
      </c>
      <c r="M608">
        <f t="shared" ref="M608:M671" si="282">IF(B608="","",((ABS(C608-D608)=1)+(ABS(D608-E608)=1)+(ABS(C608-E608)=1)))</f>
        <v>1</v>
      </c>
      <c r="N608">
        <f t="shared" ref="N608:N671" si="283">IF(B608="","",ROUND(I608*0.4+J608*0.2+K608*0.2+L608*0.1+(3-M608)*0.1,2))</f>
        <v>1.52</v>
      </c>
      <c r="O608" t="str">
        <f t="shared" si="271"/>
        <v>标准</v>
      </c>
      <c r="P608" t="str">
        <f t="shared" ref="P608:P671" si="284">IF(B608="","",IF(N608&lt;=1.5,"极紧凑",IF(N608&lt;=3,"紧凑",IF(N608&lt;=5,"标准","松散"))))</f>
        <v>紧凑</v>
      </c>
      <c r="Q608" t="str">
        <f t="shared" ref="Q608:Q671" si="285">IF(B608="","",IF(AND(C608&gt;=0,C608&lt;=9,D608&gt;=0,D608&lt;=9,E608&gt;=0,E608&lt;=9),"✓有效","✗无效"))</f>
        <v>✓有效</v>
      </c>
      <c r="R608" t="str">
        <f t="shared" ref="R608:R671" si="286">IF(B608="","",IF(OR(I608&gt;10,I608&lt;0.1),"异常","正常"))</f>
        <v>正常</v>
      </c>
    </row>
    <row r="609" ht="14.25" customHeight="1" spans="1:18">
      <c r="A609" s="10">
        <v>2024229</v>
      </c>
      <c r="B609" s="12" t="s">
        <v>501</v>
      </c>
      <c r="C609">
        <f t="shared" si="272"/>
        <v>9</v>
      </c>
      <c r="D609">
        <f t="shared" si="273"/>
        <v>1</v>
      </c>
      <c r="E609">
        <f t="shared" si="274"/>
        <v>1</v>
      </c>
      <c r="F609">
        <f t="shared" si="275"/>
        <v>11</v>
      </c>
      <c r="G609">
        <f t="shared" si="276"/>
        <v>1</v>
      </c>
      <c r="H609">
        <f t="shared" si="277"/>
        <v>8</v>
      </c>
      <c r="I609">
        <f t="shared" si="278"/>
        <v>1.38</v>
      </c>
      <c r="J609">
        <f t="shared" si="279"/>
        <v>1</v>
      </c>
      <c r="K609">
        <f t="shared" si="280"/>
        <v>0.33</v>
      </c>
      <c r="L609">
        <f t="shared" si="281"/>
        <v>0</v>
      </c>
      <c r="M609">
        <f t="shared" si="282"/>
        <v>0</v>
      </c>
      <c r="N609">
        <f t="shared" si="283"/>
        <v>1.12</v>
      </c>
      <c r="O609" t="str">
        <f t="shared" ref="O609:O672" si="287">IF(I609=0.1,"极紧凑",IF(I609&gt;3.5,"紧凑",IF(AND(I609&gt;=2,I609&lt;=3.5),"标准",IF(AND(I609&gt;=1,I609&lt;2),"松散",""))))</f>
        <v>松散</v>
      </c>
      <c r="P609" t="str">
        <f t="shared" si="284"/>
        <v>极紧凑</v>
      </c>
      <c r="Q609" t="str">
        <f t="shared" si="285"/>
        <v>✓有效</v>
      </c>
      <c r="R609" t="str">
        <f t="shared" si="286"/>
        <v>正常</v>
      </c>
    </row>
    <row r="610" ht="14.25" customHeight="1" spans="1:18">
      <c r="A610" s="10">
        <v>2024230</v>
      </c>
      <c r="B610" s="12" t="s">
        <v>502</v>
      </c>
      <c r="C610">
        <f t="shared" si="272"/>
        <v>4</v>
      </c>
      <c r="D610">
        <f t="shared" si="273"/>
        <v>9</v>
      </c>
      <c r="E610">
        <f t="shared" si="274"/>
        <v>7</v>
      </c>
      <c r="F610">
        <f t="shared" si="275"/>
        <v>20</v>
      </c>
      <c r="G610">
        <f t="shared" si="276"/>
        <v>0</v>
      </c>
      <c r="H610">
        <f t="shared" si="277"/>
        <v>5</v>
      </c>
      <c r="I610">
        <f t="shared" si="278"/>
        <v>4</v>
      </c>
      <c r="J610">
        <f t="shared" si="279"/>
        <v>0.67</v>
      </c>
      <c r="K610">
        <f t="shared" si="280"/>
        <v>0.67</v>
      </c>
      <c r="L610">
        <f t="shared" si="281"/>
        <v>0.33</v>
      </c>
      <c r="M610">
        <f t="shared" si="282"/>
        <v>0</v>
      </c>
      <c r="N610">
        <f t="shared" si="283"/>
        <v>2.2</v>
      </c>
      <c r="O610" t="str">
        <f t="shared" si="287"/>
        <v>紧凑</v>
      </c>
      <c r="P610" t="str">
        <f t="shared" si="284"/>
        <v>紧凑</v>
      </c>
      <c r="Q610" t="str">
        <f t="shared" si="285"/>
        <v>✓有效</v>
      </c>
      <c r="R610" t="str">
        <f t="shared" si="286"/>
        <v>正常</v>
      </c>
    </row>
    <row r="611" ht="14.25" customHeight="1" spans="1:18">
      <c r="A611" s="10">
        <v>2024231</v>
      </c>
      <c r="B611" s="12" t="s">
        <v>503</v>
      </c>
      <c r="C611">
        <f t="shared" si="272"/>
        <v>9</v>
      </c>
      <c r="D611">
        <f t="shared" si="273"/>
        <v>3</v>
      </c>
      <c r="E611">
        <f t="shared" si="274"/>
        <v>8</v>
      </c>
      <c r="F611">
        <f t="shared" si="275"/>
        <v>20</v>
      </c>
      <c r="G611">
        <f t="shared" si="276"/>
        <v>0</v>
      </c>
      <c r="H611">
        <f t="shared" si="277"/>
        <v>6</v>
      </c>
      <c r="I611">
        <f t="shared" si="278"/>
        <v>3.33</v>
      </c>
      <c r="J611">
        <f t="shared" si="279"/>
        <v>0.67</v>
      </c>
      <c r="K611">
        <f t="shared" si="280"/>
        <v>0.67</v>
      </c>
      <c r="L611">
        <f t="shared" si="281"/>
        <v>0.33</v>
      </c>
      <c r="M611">
        <f t="shared" si="282"/>
        <v>1</v>
      </c>
      <c r="N611">
        <f t="shared" si="283"/>
        <v>1.83</v>
      </c>
      <c r="O611" t="str">
        <f t="shared" si="287"/>
        <v>标准</v>
      </c>
      <c r="P611" t="str">
        <f t="shared" si="284"/>
        <v>紧凑</v>
      </c>
      <c r="Q611" t="str">
        <f t="shared" si="285"/>
        <v>✓有效</v>
      </c>
      <c r="R611" t="str">
        <f t="shared" si="286"/>
        <v>正常</v>
      </c>
    </row>
    <row r="612" ht="14.25" customHeight="1" spans="1:18">
      <c r="A612" s="10">
        <v>2024232</v>
      </c>
      <c r="B612" s="12" t="s">
        <v>504</v>
      </c>
      <c r="C612">
        <f t="shared" si="272"/>
        <v>0</v>
      </c>
      <c r="D612">
        <f t="shared" si="273"/>
        <v>1</v>
      </c>
      <c r="E612">
        <f t="shared" si="274"/>
        <v>2</v>
      </c>
      <c r="F612">
        <f t="shared" si="275"/>
        <v>3</v>
      </c>
      <c r="G612">
        <f t="shared" si="276"/>
        <v>3</v>
      </c>
      <c r="H612">
        <f t="shared" si="277"/>
        <v>2</v>
      </c>
      <c r="I612">
        <f t="shared" si="278"/>
        <v>1.5</v>
      </c>
      <c r="J612">
        <f t="shared" si="279"/>
        <v>0.33</v>
      </c>
      <c r="K612">
        <f t="shared" si="280"/>
        <v>0</v>
      </c>
      <c r="L612">
        <f t="shared" si="281"/>
        <v>0.33</v>
      </c>
      <c r="M612">
        <f t="shared" si="282"/>
        <v>2</v>
      </c>
      <c r="N612">
        <f t="shared" si="283"/>
        <v>0.8</v>
      </c>
      <c r="O612" t="str">
        <f t="shared" si="287"/>
        <v>松散</v>
      </c>
      <c r="P612" t="str">
        <f t="shared" si="284"/>
        <v>极紧凑</v>
      </c>
      <c r="Q612" t="str">
        <f t="shared" si="285"/>
        <v>✓有效</v>
      </c>
      <c r="R612" t="str">
        <f t="shared" si="286"/>
        <v>正常</v>
      </c>
    </row>
    <row r="613" ht="14.25" customHeight="1" spans="1:18">
      <c r="A613" s="10">
        <v>2024233</v>
      </c>
      <c r="B613" s="12" t="s">
        <v>411</v>
      </c>
      <c r="C613">
        <f t="shared" si="272"/>
        <v>3</v>
      </c>
      <c r="D613">
        <f t="shared" si="273"/>
        <v>9</v>
      </c>
      <c r="E613">
        <f t="shared" si="274"/>
        <v>7</v>
      </c>
      <c r="F613">
        <f t="shared" si="275"/>
        <v>19</v>
      </c>
      <c r="G613">
        <f t="shared" si="276"/>
        <v>9</v>
      </c>
      <c r="H613">
        <f t="shared" si="277"/>
        <v>6</v>
      </c>
      <c r="I613">
        <f t="shared" si="278"/>
        <v>3.17</v>
      </c>
      <c r="J613">
        <f t="shared" si="279"/>
        <v>1</v>
      </c>
      <c r="K613">
        <f t="shared" si="280"/>
        <v>0.67</v>
      </c>
      <c r="L613">
        <f t="shared" si="281"/>
        <v>0.67</v>
      </c>
      <c r="M613">
        <f t="shared" si="282"/>
        <v>0</v>
      </c>
      <c r="N613">
        <f t="shared" si="283"/>
        <v>1.97</v>
      </c>
      <c r="O613" t="str">
        <f t="shared" si="287"/>
        <v>标准</v>
      </c>
      <c r="P613" t="str">
        <f t="shared" si="284"/>
        <v>紧凑</v>
      </c>
      <c r="Q613" t="str">
        <f t="shared" si="285"/>
        <v>✓有效</v>
      </c>
      <c r="R613" t="str">
        <f t="shared" si="286"/>
        <v>正常</v>
      </c>
    </row>
    <row r="614" ht="14.25" customHeight="1" spans="1:18">
      <c r="A614" s="10">
        <v>2024234</v>
      </c>
      <c r="B614" s="12" t="s">
        <v>90</v>
      </c>
      <c r="C614">
        <f t="shared" si="272"/>
        <v>7</v>
      </c>
      <c r="D614">
        <f t="shared" si="273"/>
        <v>1</v>
      </c>
      <c r="E614">
        <f t="shared" si="274"/>
        <v>5</v>
      </c>
      <c r="F614">
        <f t="shared" si="275"/>
        <v>13</v>
      </c>
      <c r="G614">
        <f t="shared" si="276"/>
        <v>3</v>
      </c>
      <c r="H614">
        <f t="shared" si="277"/>
        <v>6</v>
      </c>
      <c r="I614">
        <f t="shared" si="278"/>
        <v>2.17</v>
      </c>
      <c r="J614">
        <f t="shared" si="279"/>
        <v>1</v>
      </c>
      <c r="K614">
        <f t="shared" si="280"/>
        <v>0.67</v>
      </c>
      <c r="L614">
        <f t="shared" si="281"/>
        <v>0.67</v>
      </c>
      <c r="M614">
        <f t="shared" si="282"/>
        <v>0</v>
      </c>
      <c r="N614">
        <f t="shared" si="283"/>
        <v>1.57</v>
      </c>
      <c r="O614" t="str">
        <f t="shared" si="287"/>
        <v>标准</v>
      </c>
      <c r="P614" t="str">
        <f t="shared" si="284"/>
        <v>紧凑</v>
      </c>
      <c r="Q614" t="str">
        <f t="shared" si="285"/>
        <v>✓有效</v>
      </c>
      <c r="R614" t="str">
        <f t="shared" si="286"/>
        <v>正常</v>
      </c>
    </row>
    <row r="615" ht="14.25" customHeight="1" spans="1:18">
      <c r="A615" s="10">
        <v>2024235</v>
      </c>
      <c r="B615" s="12" t="s">
        <v>505</v>
      </c>
      <c r="C615">
        <f t="shared" si="272"/>
        <v>4</v>
      </c>
      <c r="D615">
        <f t="shared" si="273"/>
        <v>9</v>
      </c>
      <c r="E615">
        <f t="shared" si="274"/>
        <v>2</v>
      </c>
      <c r="F615">
        <f t="shared" si="275"/>
        <v>15</v>
      </c>
      <c r="G615">
        <f t="shared" si="276"/>
        <v>5</v>
      </c>
      <c r="H615">
        <f t="shared" si="277"/>
        <v>7</v>
      </c>
      <c r="I615">
        <f t="shared" si="278"/>
        <v>2.14</v>
      </c>
      <c r="J615">
        <f t="shared" si="279"/>
        <v>0.33</v>
      </c>
      <c r="K615">
        <f t="shared" si="280"/>
        <v>0.33</v>
      </c>
      <c r="L615">
        <f t="shared" si="281"/>
        <v>0.33</v>
      </c>
      <c r="M615">
        <f t="shared" si="282"/>
        <v>0</v>
      </c>
      <c r="N615">
        <f t="shared" si="283"/>
        <v>1.32</v>
      </c>
      <c r="O615" t="str">
        <f t="shared" si="287"/>
        <v>标准</v>
      </c>
      <c r="P615" t="str">
        <f t="shared" si="284"/>
        <v>极紧凑</v>
      </c>
      <c r="Q615" t="str">
        <f t="shared" si="285"/>
        <v>✓有效</v>
      </c>
      <c r="R615" t="str">
        <f t="shared" si="286"/>
        <v>正常</v>
      </c>
    </row>
    <row r="616" ht="14.25" customHeight="1" spans="1:18">
      <c r="A616" s="10">
        <v>2024236</v>
      </c>
      <c r="B616" s="12" t="s">
        <v>506</v>
      </c>
      <c r="C616">
        <f t="shared" si="272"/>
        <v>5</v>
      </c>
      <c r="D616">
        <f t="shared" si="273"/>
        <v>1</v>
      </c>
      <c r="E616">
        <f t="shared" si="274"/>
        <v>2</v>
      </c>
      <c r="F616">
        <f t="shared" si="275"/>
        <v>8</v>
      </c>
      <c r="G616">
        <f t="shared" si="276"/>
        <v>8</v>
      </c>
      <c r="H616">
        <f t="shared" si="277"/>
        <v>4</v>
      </c>
      <c r="I616">
        <f t="shared" si="278"/>
        <v>2</v>
      </c>
      <c r="J616">
        <f t="shared" si="279"/>
        <v>0.67</v>
      </c>
      <c r="K616">
        <f t="shared" si="280"/>
        <v>0.33</v>
      </c>
      <c r="L616">
        <f t="shared" si="281"/>
        <v>0.67</v>
      </c>
      <c r="M616">
        <f t="shared" si="282"/>
        <v>1</v>
      </c>
      <c r="N616">
        <f t="shared" si="283"/>
        <v>1.27</v>
      </c>
      <c r="O616" t="str">
        <f t="shared" si="287"/>
        <v>标准</v>
      </c>
      <c r="P616" t="str">
        <f t="shared" si="284"/>
        <v>极紧凑</v>
      </c>
      <c r="Q616" t="str">
        <f t="shared" si="285"/>
        <v>✓有效</v>
      </c>
      <c r="R616" t="str">
        <f t="shared" si="286"/>
        <v>正常</v>
      </c>
    </row>
    <row r="617" ht="14.25" customHeight="1" spans="1:18">
      <c r="A617" s="10">
        <v>2024237</v>
      </c>
      <c r="B617" s="12" t="s">
        <v>166</v>
      </c>
      <c r="C617">
        <f t="shared" si="272"/>
        <v>2</v>
      </c>
      <c r="D617">
        <f t="shared" si="273"/>
        <v>7</v>
      </c>
      <c r="E617">
        <f t="shared" si="274"/>
        <v>4</v>
      </c>
      <c r="F617">
        <f t="shared" si="275"/>
        <v>13</v>
      </c>
      <c r="G617">
        <f t="shared" si="276"/>
        <v>3</v>
      </c>
      <c r="H617">
        <f t="shared" si="277"/>
        <v>5</v>
      </c>
      <c r="I617">
        <f t="shared" si="278"/>
        <v>2.6</v>
      </c>
      <c r="J617">
        <f t="shared" si="279"/>
        <v>0.33</v>
      </c>
      <c r="K617">
        <f t="shared" si="280"/>
        <v>0.33</v>
      </c>
      <c r="L617">
        <f t="shared" si="281"/>
        <v>0.67</v>
      </c>
      <c r="M617">
        <f t="shared" si="282"/>
        <v>0</v>
      </c>
      <c r="N617">
        <f t="shared" si="283"/>
        <v>1.54</v>
      </c>
      <c r="O617" t="str">
        <f t="shared" si="287"/>
        <v>标准</v>
      </c>
      <c r="P617" t="str">
        <f t="shared" si="284"/>
        <v>紧凑</v>
      </c>
      <c r="Q617" t="str">
        <f t="shared" si="285"/>
        <v>✓有效</v>
      </c>
      <c r="R617" t="str">
        <f t="shared" si="286"/>
        <v>正常</v>
      </c>
    </row>
    <row r="618" ht="14.25" customHeight="1" spans="1:18">
      <c r="A618" s="10">
        <v>2024238</v>
      </c>
      <c r="B618" s="12" t="s">
        <v>396</v>
      </c>
      <c r="C618">
        <f t="shared" si="272"/>
        <v>4</v>
      </c>
      <c r="D618">
        <f t="shared" si="273"/>
        <v>6</v>
      </c>
      <c r="E618">
        <f t="shared" si="274"/>
        <v>9</v>
      </c>
      <c r="F618">
        <f t="shared" si="275"/>
        <v>19</v>
      </c>
      <c r="G618">
        <f t="shared" si="276"/>
        <v>9</v>
      </c>
      <c r="H618">
        <f t="shared" si="277"/>
        <v>5</v>
      </c>
      <c r="I618">
        <f t="shared" si="278"/>
        <v>3.8</v>
      </c>
      <c r="J618">
        <f t="shared" si="279"/>
        <v>0.33</v>
      </c>
      <c r="K618">
        <f t="shared" si="280"/>
        <v>0.67</v>
      </c>
      <c r="L618">
        <f t="shared" si="281"/>
        <v>0</v>
      </c>
      <c r="M618">
        <f t="shared" si="282"/>
        <v>0</v>
      </c>
      <c r="N618">
        <f t="shared" si="283"/>
        <v>2.02</v>
      </c>
      <c r="O618" t="str">
        <f t="shared" si="287"/>
        <v>紧凑</v>
      </c>
      <c r="P618" t="str">
        <f t="shared" si="284"/>
        <v>紧凑</v>
      </c>
      <c r="Q618" t="str">
        <f t="shared" si="285"/>
        <v>✓有效</v>
      </c>
      <c r="R618" t="str">
        <f t="shared" si="286"/>
        <v>正常</v>
      </c>
    </row>
    <row r="619" ht="14.25" customHeight="1" spans="1:18">
      <c r="A619" s="10">
        <v>2024239</v>
      </c>
      <c r="B619" s="12" t="s">
        <v>507</v>
      </c>
      <c r="C619">
        <f t="shared" si="272"/>
        <v>5</v>
      </c>
      <c r="D619">
        <f t="shared" si="273"/>
        <v>2</v>
      </c>
      <c r="E619">
        <f t="shared" si="274"/>
        <v>4</v>
      </c>
      <c r="F619">
        <f t="shared" si="275"/>
        <v>11</v>
      </c>
      <c r="G619">
        <f t="shared" si="276"/>
        <v>1</v>
      </c>
      <c r="H619">
        <f t="shared" si="277"/>
        <v>3</v>
      </c>
      <c r="I619">
        <f t="shared" si="278"/>
        <v>3.67</v>
      </c>
      <c r="J619">
        <f t="shared" si="279"/>
        <v>0.33</v>
      </c>
      <c r="K619">
        <f t="shared" si="280"/>
        <v>0.33</v>
      </c>
      <c r="L619">
        <f t="shared" si="281"/>
        <v>0.67</v>
      </c>
      <c r="M619">
        <f t="shared" si="282"/>
        <v>1</v>
      </c>
      <c r="N619">
        <f t="shared" si="283"/>
        <v>1.87</v>
      </c>
      <c r="O619" t="str">
        <f t="shared" si="287"/>
        <v>紧凑</v>
      </c>
      <c r="P619" t="str">
        <f t="shared" si="284"/>
        <v>紧凑</v>
      </c>
      <c r="Q619" t="str">
        <f t="shared" si="285"/>
        <v>✓有效</v>
      </c>
      <c r="R619" t="str">
        <f t="shared" si="286"/>
        <v>正常</v>
      </c>
    </row>
    <row r="620" ht="14.25" customHeight="1" spans="1:18">
      <c r="A620" s="10">
        <v>2024240</v>
      </c>
      <c r="B620" s="12" t="s">
        <v>177</v>
      </c>
      <c r="C620">
        <f t="shared" si="272"/>
        <v>0</v>
      </c>
      <c r="D620">
        <f t="shared" si="273"/>
        <v>6</v>
      </c>
      <c r="E620">
        <f t="shared" si="274"/>
        <v>5</v>
      </c>
      <c r="F620">
        <f t="shared" si="275"/>
        <v>11</v>
      </c>
      <c r="G620">
        <f t="shared" si="276"/>
        <v>1</v>
      </c>
      <c r="H620">
        <f t="shared" si="277"/>
        <v>6</v>
      </c>
      <c r="I620">
        <f t="shared" si="278"/>
        <v>1.83</v>
      </c>
      <c r="J620">
        <f t="shared" si="279"/>
        <v>0.33</v>
      </c>
      <c r="K620">
        <f t="shared" si="280"/>
        <v>0.67</v>
      </c>
      <c r="L620">
        <f t="shared" si="281"/>
        <v>0.33</v>
      </c>
      <c r="M620">
        <f t="shared" si="282"/>
        <v>1</v>
      </c>
      <c r="N620">
        <f t="shared" si="283"/>
        <v>1.17</v>
      </c>
      <c r="O620" t="str">
        <f t="shared" si="287"/>
        <v>松散</v>
      </c>
      <c r="P620" t="str">
        <f t="shared" si="284"/>
        <v>极紧凑</v>
      </c>
      <c r="Q620" t="str">
        <f t="shared" si="285"/>
        <v>✓有效</v>
      </c>
      <c r="R620" t="str">
        <f t="shared" si="286"/>
        <v>正常</v>
      </c>
    </row>
    <row r="621" ht="14.25" customHeight="1" spans="1:18">
      <c r="A621" s="10">
        <v>2024241</v>
      </c>
      <c r="B621" s="12" t="s">
        <v>508</v>
      </c>
      <c r="C621">
        <f t="shared" si="272"/>
        <v>4</v>
      </c>
      <c r="D621">
        <f t="shared" si="273"/>
        <v>7</v>
      </c>
      <c r="E621">
        <f t="shared" si="274"/>
        <v>0</v>
      </c>
      <c r="F621">
        <f t="shared" si="275"/>
        <v>11</v>
      </c>
      <c r="G621">
        <f t="shared" si="276"/>
        <v>1</v>
      </c>
      <c r="H621">
        <f t="shared" si="277"/>
        <v>7</v>
      </c>
      <c r="I621">
        <f t="shared" si="278"/>
        <v>1.57</v>
      </c>
      <c r="J621">
        <f t="shared" si="279"/>
        <v>0.33</v>
      </c>
      <c r="K621">
        <f t="shared" si="280"/>
        <v>0.33</v>
      </c>
      <c r="L621">
        <f t="shared" si="281"/>
        <v>0.33</v>
      </c>
      <c r="M621">
        <f t="shared" si="282"/>
        <v>0</v>
      </c>
      <c r="N621">
        <f t="shared" si="283"/>
        <v>1.09</v>
      </c>
      <c r="O621" t="str">
        <f t="shared" si="287"/>
        <v>松散</v>
      </c>
      <c r="P621" t="str">
        <f t="shared" si="284"/>
        <v>极紧凑</v>
      </c>
      <c r="Q621" t="str">
        <f t="shared" si="285"/>
        <v>✓有效</v>
      </c>
      <c r="R621" t="str">
        <f t="shared" si="286"/>
        <v>正常</v>
      </c>
    </row>
    <row r="622" ht="14.25" customHeight="1" spans="1:18">
      <c r="A622" s="10">
        <v>2024242</v>
      </c>
      <c r="B622" s="12" t="s">
        <v>509</v>
      </c>
      <c r="C622">
        <f t="shared" si="272"/>
        <v>6</v>
      </c>
      <c r="D622">
        <f t="shared" si="273"/>
        <v>2</v>
      </c>
      <c r="E622">
        <f t="shared" si="274"/>
        <v>3</v>
      </c>
      <c r="F622">
        <f t="shared" si="275"/>
        <v>11</v>
      </c>
      <c r="G622">
        <f t="shared" si="276"/>
        <v>1</v>
      </c>
      <c r="H622">
        <f t="shared" si="277"/>
        <v>4</v>
      </c>
      <c r="I622">
        <f t="shared" si="278"/>
        <v>2.75</v>
      </c>
      <c r="J622">
        <f t="shared" si="279"/>
        <v>0.33</v>
      </c>
      <c r="K622">
        <f t="shared" si="280"/>
        <v>0.33</v>
      </c>
      <c r="L622">
        <f t="shared" si="281"/>
        <v>0.67</v>
      </c>
      <c r="M622">
        <f t="shared" si="282"/>
        <v>1</v>
      </c>
      <c r="N622">
        <f t="shared" si="283"/>
        <v>1.5</v>
      </c>
      <c r="O622" t="str">
        <f t="shared" si="287"/>
        <v>标准</v>
      </c>
      <c r="P622" t="str">
        <f t="shared" si="284"/>
        <v>极紧凑</v>
      </c>
      <c r="Q622" t="str">
        <f t="shared" si="285"/>
        <v>✓有效</v>
      </c>
      <c r="R622" t="str">
        <f t="shared" si="286"/>
        <v>正常</v>
      </c>
    </row>
    <row r="623" ht="14.25" customHeight="1" spans="1:18">
      <c r="A623" s="10">
        <v>2024243</v>
      </c>
      <c r="B623" s="12" t="s">
        <v>447</v>
      </c>
      <c r="C623">
        <f t="shared" si="272"/>
        <v>9</v>
      </c>
      <c r="D623">
        <f t="shared" si="273"/>
        <v>5</v>
      </c>
      <c r="E623">
        <f t="shared" si="274"/>
        <v>5</v>
      </c>
      <c r="F623">
        <f t="shared" si="275"/>
        <v>19</v>
      </c>
      <c r="G623">
        <f t="shared" si="276"/>
        <v>9</v>
      </c>
      <c r="H623">
        <f t="shared" si="277"/>
        <v>4</v>
      </c>
      <c r="I623">
        <f t="shared" si="278"/>
        <v>4.75</v>
      </c>
      <c r="J623">
        <f t="shared" si="279"/>
        <v>1</v>
      </c>
      <c r="K623">
        <f t="shared" si="280"/>
        <v>1</v>
      </c>
      <c r="L623">
        <f t="shared" si="281"/>
        <v>0.67</v>
      </c>
      <c r="M623">
        <f t="shared" si="282"/>
        <v>0</v>
      </c>
      <c r="N623">
        <f t="shared" si="283"/>
        <v>2.67</v>
      </c>
      <c r="O623" t="str">
        <f t="shared" si="287"/>
        <v>紧凑</v>
      </c>
      <c r="P623" t="str">
        <f t="shared" si="284"/>
        <v>紧凑</v>
      </c>
      <c r="Q623" t="str">
        <f t="shared" si="285"/>
        <v>✓有效</v>
      </c>
      <c r="R623" t="str">
        <f t="shared" si="286"/>
        <v>正常</v>
      </c>
    </row>
    <row r="624" ht="14.25" customHeight="1" spans="1:18">
      <c r="A624" s="10">
        <v>2024244</v>
      </c>
      <c r="B624" s="12" t="s">
        <v>510</v>
      </c>
      <c r="C624">
        <f t="shared" si="272"/>
        <v>8</v>
      </c>
      <c r="D624">
        <f t="shared" si="273"/>
        <v>6</v>
      </c>
      <c r="E624">
        <f t="shared" si="274"/>
        <v>3</v>
      </c>
      <c r="F624">
        <f t="shared" si="275"/>
        <v>17</v>
      </c>
      <c r="G624">
        <f t="shared" si="276"/>
        <v>7</v>
      </c>
      <c r="H624">
        <f t="shared" si="277"/>
        <v>5</v>
      </c>
      <c r="I624">
        <f t="shared" si="278"/>
        <v>3.4</v>
      </c>
      <c r="J624">
        <f t="shared" si="279"/>
        <v>0.33</v>
      </c>
      <c r="K624">
        <f t="shared" si="280"/>
        <v>0.67</v>
      </c>
      <c r="L624">
        <f t="shared" si="281"/>
        <v>0.33</v>
      </c>
      <c r="M624">
        <f t="shared" si="282"/>
        <v>0</v>
      </c>
      <c r="N624">
        <f t="shared" si="283"/>
        <v>1.89</v>
      </c>
      <c r="O624" t="str">
        <f t="shared" si="287"/>
        <v>标准</v>
      </c>
      <c r="P624" t="str">
        <f t="shared" si="284"/>
        <v>紧凑</v>
      </c>
      <c r="Q624" t="str">
        <f t="shared" si="285"/>
        <v>✓有效</v>
      </c>
      <c r="R624" t="str">
        <f t="shared" si="286"/>
        <v>正常</v>
      </c>
    </row>
    <row r="625" ht="14.25" customHeight="1" spans="1:18">
      <c r="A625" s="10">
        <v>2024245</v>
      </c>
      <c r="B625" s="12" t="s">
        <v>444</v>
      </c>
      <c r="C625">
        <f t="shared" si="272"/>
        <v>7</v>
      </c>
      <c r="D625">
        <f t="shared" si="273"/>
        <v>4</v>
      </c>
      <c r="E625">
        <f t="shared" si="274"/>
        <v>1</v>
      </c>
      <c r="F625">
        <f t="shared" si="275"/>
        <v>12</v>
      </c>
      <c r="G625">
        <f t="shared" si="276"/>
        <v>2</v>
      </c>
      <c r="H625">
        <f t="shared" si="277"/>
        <v>6</v>
      </c>
      <c r="I625">
        <f t="shared" si="278"/>
        <v>2</v>
      </c>
      <c r="J625">
        <f t="shared" si="279"/>
        <v>0.67</v>
      </c>
      <c r="K625">
        <f t="shared" si="280"/>
        <v>0.33</v>
      </c>
      <c r="L625">
        <f t="shared" si="281"/>
        <v>0.33</v>
      </c>
      <c r="M625">
        <f t="shared" si="282"/>
        <v>0</v>
      </c>
      <c r="N625">
        <f t="shared" si="283"/>
        <v>1.33</v>
      </c>
      <c r="O625" t="str">
        <f t="shared" si="287"/>
        <v>标准</v>
      </c>
      <c r="P625" t="str">
        <f t="shared" si="284"/>
        <v>极紧凑</v>
      </c>
      <c r="Q625" t="str">
        <f t="shared" si="285"/>
        <v>✓有效</v>
      </c>
      <c r="R625" t="str">
        <f t="shared" si="286"/>
        <v>正常</v>
      </c>
    </row>
    <row r="626" ht="14.25" customHeight="1" spans="1:18">
      <c r="A626" s="10">
        <v>2024246</v>
      </c>
      <c r="B626" s="12" t="s">
        <v>484</v>
      </c>
      <c r="C626">
        <f t="shared" si="272"/>
        <v>7</v>
      </c>
      <c r="D626">
        <f t="shared" si="273"/>
        <v>1</v>
      </c>
      <c r="E626">
        <f t="shared" si="274"/>
        <v>0</v>
      </c>
      <c r="F626">
        <f t="shared" si="275"/>
        <v>8</v>
      </c>
      <c r="G626">
        <f t="shared" si="276"/>
        <v>8</v>
      </c>
      <c r="H626">
        <f t="shared" si="277"/>
        <v>7</v>
      </c>
      <c r="I626">
        <f t="shared" si="278"/>
        <v>1.14</v>
      </c>
      <c r="J626">
        <f t="shared" si="279"/>
        <v>0.67</v>
      </c>
      <c r="K626">
        <f t="shared" si="280"/>
        <v>0.33</v>
      </c>
      <c r="L626">
        <f t="shared" si="281"/>
        <v>0.33</v>
      </c>
      <c r="M626">
        <f t="shared" si="282"/>
        <v>1</v>
      </c>
      <c r="N626">
        <f t="shared" si="283"/>
        <v>0.89</v>
      </c>
      <c r="O626" t="str">
        <f t="shared" si="287"/>
        <v>松散</v>
      </c>
      <c r="P626" t="str">
        <f t="shared" si="284"/>
        <v>极紧凑</v>
      </c>
      <c r="Q626" t="str">
        <f t="shared" si="285"/>
        <v>✓有效</v>
      </c>
      <c r="R626" t="str">
        <f t="shared" si="286"/>
        <v>正常</v>
      </c>
    </row>
    <row r="627" ht="14.25" customHeight="1" spans="1:18">
      <c r="A627" s="10">
        <v>2024247</v>
      </c>
      <c r="B627" s="12" t="s">
        <v>93</v>
      </c>
      <c r="C627">
        <f t="shared" si="272"/>
        <v>7</v>
      </c>
      <c r="D627">
        <f t="shared" si="273"/>
        <v>8</v>
      </c>
      <c r="E627">
        <f t="shared" si="274"/>
        <v>3</v>
      </c>
      <c r="F627">
        <f t="shared" si="275"/>
        <v>18</v>
      </c>
      <c r="G627">
        <f t="shared" si="276"/>
        <v>8</v>
      </c>
      <c r="H627">
        <f t="shared" si="277"/>
        <v>5</v>
      </c>
      <c r="I627">
        <f t="shared" si="278"/>
        <v>3.6</v>
      </c>
      <c r="J627">
        <f t="shared" si="279"/>
        <v>0.67</v>
      </c>
      <c r="K627">
        <f t="shared" si="280"/>
        <v>0.67</v>
      </c>
      <c r="L627">
        <f t="shared" si="281"/>
        <v>0.67</v>
      </c>
      <c r="M627">
        <f t="shared" si="282"/>
        <v>1</v>
      </c>
      <c r="N627">
        <f t="shared" si="283"/>
        <v>1.98</v>
      </c>
      <c r="O627" t="str">
        <f t="shared" si="287"/>
        <v>紧凑</v>
      </c>
      <c r="P627" t="str">
        <f t="shared" si="284"/>
        <v>紧凑</v>
      </c>
      <c r="Q627" t="str">
        <f t="shared" si="285"/>
        <v>✓有效</v>
      </c>
      <c r="R627" t="str">
        <f t="shared" si="286"/>
        <v>正常</v>
      </c>
    </row>
    <row r="628" ht="14.25" customHeight="1" spans="1:18">
      <c r="A628" s="10">
        <v>2024248</v>
      </c>
      <c r="B628" s="12" t="s">
        <v>511</v>
      </c>
      <c r="C628">
        <f t="shared" si="272"/>
        <v>8</v>
      </c>
      <c r="D628">
        <f t="shared" si="273"/>
        <v>6</v>
      </c>
      <c r="E628">
        <f t="shared" si="274"/>
        <v>1</v>
      </c>
      <c r="F628">
        <f t="shared" si="275"/>
        <v>15</v>
      </c>
      <c r="G628">
        <f t="shared" si="276"/>
        <v>5</v>
      </c>
      <c r="H628">
        <f t="shared" si="277"/>
        <v>7</v>
      </c>
      <c r="I628">
        <f t="shared" si="278"/>
        <v>2.14</v>
      </c>
      <c r="J628">
        <f t="shared" si="279"/>
        <v>0.33</v>
      </c>
      <c r="K628">
        <f t="shared" si="280"/>
        <v>0.67</v>
      </c>
      <c r="L628">
        <f t="shared" si="281"/>
        <v>0</v>
      </c>
      <c r="M628">
        <f t="shared" si="282"/>
        <v>0</v>
      </c>
      <c r="N628">
        <f t="shared" si="283"/>
        <v>1.36</v>
      </c>
      <c r="O628" t="str">
        <f t="shared" si="287"/>
        <v>标准</v>
      </c>
      <c r="P628" t="str">
        <f t="shared" si="284"/>
        <v>极紧凑</v>
      </c>
      <c r="Q628" t="str">
        <f t="shared" si="285"/>
        <v>✓有效</v>
      </c>
      <c r="R628" t="str">
        <f t="shared" si="286"/>
        <v>正常</v>
      </c>
    </row>
    <row r="629" ht="14.25" customHeight="1" spans="1:18">
      <c r="A629" s="10">
        <v>2024249</v>
      </c>
      <c r="B629" s="12" t="s">
        <v>469</v>
      </c>
      <c r="C629">
        <f t="shared" si="272"/>
        <v>4</v>
      </c>
      <c r="D629">
        <f t="shared" si="273"/>
        <v>4</v>
      </c>
      <c r="E629">
        <f t="shared" si="274"/>
        <v>9</v>
      </c>
      <c r="F629">
        <f t="shared" si="275"/>
        <v>17</v>
      </c>
      <c r="G629">
        <f t="shared" si="276"/>
        <v>7</v>
      </c>
      <c r="H629">
        <f t="shared" si="277"/>
        <v>5</v>
      </c>
      <c r="I629">
        <f t="shared" si="278"/>
        <v>3.4</v>
      </c>
      <c r="J629">
        <f t="shared" si="279"/>
        <v>0.33</v>
      </c>
      <c r="K629">
        <f t="shared" si="280"/>
        <v>0.33</v>
      </c>
      <c r="L629">
        <f t="shared" si="281"/>
        <v>0</v>
      </c>
      <c r="M629">
        <f t="shared" si="282"/>
        <v>0</v>
      </c>
      <c r="N629">
        <f t="shared" si="283"/>
        <v>1.79</v>
      </c>
      <c r="O629" t="str">
        <f t="shared" si="287"/>
        <v>标准</v>
      </c>
      <c r="P629" t="str">
        <f t="shared" si="284"/>
        <v>紧凑</v>
      </c>
      <c r="Q629" t="str">
        <f t="shared" si="285"/>
        <v>✓有效</v>
      </c>
      <c r="R629" t="str">
        <f t="shared" si="286"/>
        <v>正常</v>
      </c>
    </row>
    <row r="630" ht="14.25" customHeight="1" spans="1:18">
      <c r="A630" s="10">
        <v>2024250</v>
      </c>
      <c r="B630" s="12" t="s">
        <v>178</v>
      </c>
      <c r="C630">
        <f t="shared" si="272"/>
        <v>2</v>
      </c>
      <c r="D630">
        <f t="shared" si="273"/>
        <v>5</v>
      </c>
      <c r="E630">
        <f t="shared" si="274"/>
        <v>3</v>
      </c>
      <c r="F630">
        <f t="shared" si="275"/>
        <v>10</v>
      </c>
      <c r="G630">
        <f t="shared" si="276"/>
        <v>0</v>
      </c>
      <c r="H630">
        <f t="shared" si="277"/>
        <v>3</v>
      </c>
      <c r="I630">
        <f t="shared" si="278"/>
        <v>3.33</v>
      </c>
      <c r="J630">
        <f t="shared" si="279"/>
        <v>0.67</v>
      </c>
      <c r="K630">
        <f t="shared" si="280"/>
        <v>0.33</v>
      </c>
      <c r="L630">
        <f t="shared" si="281"/>
        <v>1</v>
      </c>
      <c r="M630">
        <f t="shared" si="282"/>
        <v>1</v>
      </c>
      <c r="N630">
        <f t="shared" si="283"/>
        <v>1.83</v>
      </c>
      <c r="O630" t="str">
        <f t="shared" si="287"/>
        <v>标准</v>
      </c>
      <c r="P630" t="str">
        <f t="shared" si="284"/>
        <v>紧凑</v>
      </c>
      <c r="Q630" t="str">
        <f t="shared" si="285"/>
        <v>✓有效</v>
      </c>
      <c r="R630" t="str">
        <f t="shared" si="286"/>
        <v>正常</v>
      </c>
    </row>
    <row r="631" ht="14.25" customHeight="1" spans="1:18">
      <c r="A631" s="10">
        <v>2024251</v>
      </c>
      <c r="B631" s="12" t="s">
        <v>136</v>
      </c>
      <c r="C631">
        <f t="shared" si="272"/>
        <v>1</v>
      </c>
      <c r="D631">
        <f t="shared" si="273"/>
        <v>5</v>
      </c>
      <c r="E631">
        <f t="shared" si="274"/>
        <v>6</v>
      </c>
      <c r="F631">
        <f t="shared" si="275"/>
        <v>12</v>
      </c>
      <c r="G631">
        <f t="shared" si="276"/>
        <v>2</v>
      </c>
      <c r="H631">
        <f t="shared" si="277"/>
        <v>5</v>
      </c>
      <c r="I631">
        <f t="shared" si="278"/>
        <v>2.4</v>
      </c>
      <c r="J631">
        <f t="shared" si="279"/>
        <v>0.67</v>
      </c>
      <c r="K631">
        <f t="shared" si="280"/>
        <v>0.67</v>
      </c>
      <c r="L631">
        <f t="shared" si="281"/>
        <v>0.33</v>
      </c>
      <c r="M631">
        <f t="shared" si="282"/>
        <v>1</v>
      </c>
      <c r="N631">
        <f t="shared" si="283"/>
        <v>1.46</v>
      </c>
      <c r="O631" t="str">
        <f t="shared" si="287"/>
        <v>标准</v>
      </c>
      <c r="P631" t="str">
        <f t="shared" si="284"/>
        <v>极紧凑</v>
      </c>
      <c r="Q631" t="str">
        <f t="shared" si="285"/>
        <v>✓有效</v>
      </c>
      <c r="R631" t="str">
        <f t="shared" si="286"/>
        <v>正常</v>
      </c>
    </row>
    <row r="632" ht="14.25" customHeight="1" spans="1:18">
      <c r="A632" s="10">
        <v>2024252</v>
      </c>
      <c r="B632" s="12" t="s">
        <v>140</v>
      </c>
      <c r="C632">
        <f t="shared" si="272"/>
        <v>0</v>
      </c>
      <c r="D632">
        <f t="shared" si="273"/>
        <v>8</v>
      </c>
      <c r="E632">
        <f t="shared" si="274"/>
        <v>6</v>
      </c>
      <c r="F632">
        <f t="shared" si="275"/>
        <v>14</v>
      </c>
      <c r="G632">
        <f t="shared" si="276"/>
        <v>4</v>
      </c>
      <c r="H632">
        <f t="shared" si="277"/>
        <v>8</v>
      </c>
      <c r="I632">
        <f t="shared" si="278"/>
        <v>1.75</v>
      </c>
      <c r="J632">
        <f t="shared" si="279"/>
        <v>0</v>
      </c>
      <c r="K632">
        <f t="shared" si="280"/>
        <v>0.67</v>
      </c>
      <c r="L632">
        <f t="shared" si="281"/>
        <v>0</v>
      </c>
      <c r="M632">
        <f t="shared" si="282"/>
        <v>0</v>
      </c>
      <c r="N632">
        <f t="shared" si="283"/>
        <v>1.13</v>
      </c>
      <c r="O632" t="str">
        <f t="shared" si="287"/>
        <v>松散</v>
      </c>
      <c r="P632" t="str">
        <f t="shared" si="284"/>
        <v>极紧凑</v>
      </c>
      <c r="Q632" t="str">
        <f t="shared" si="285"/>
        <v>✓有效</v>
      </c>
      <c r="R632" t="str">
        <f t="shared" si="286"/>
        <v>正常</v>
      </c>
    </row>
    <row r="633" ht="14.25" customHeight="1" spans="1:18">
      <c r="A633" s="10">
        <v>2024253</v>
      </c>
      <c r="B633" s="12" t="s">
        <v>166</v>
      </c>
      <c r="C633">
        <f t="shared" si="272"/>
        <v>2</v>
      </c>
      <c r="D633">
        <f t="shared" si="273"/>
        <v>7</v>
      </c>
      <c r="E633">
        <f t="shared" si="274"/>
        <v>4</v>
      </c>
      <c r="F633">
        <f t="shared" si="275"/>
        <v>13</v>
      </c>
      <c r="G633">
        <f t="shared" si="276"/>
        <v>3</v>
      </c>
      <c r="H633">
        <f t="shared" si="277"/>
        <v>5</v>
      </c>
      <c r="I633">
        <f t="shared" si="278"/>
        <v>2.6</v>
      </c>
      <c r="J633">
        <f t="shared" si="279"/>
        <v>0.33</v>
      </c>
      <c r="K633">
        <f t="shared" si="280"/>
        <v>0.33</v>
      </c>
      <c r="L633">
        <f t="shared" si="281"/>
        <v>0.67</v>
      </c>
      <c r="M633">
        <f t="shared" si="282"/>
        <v>0</v>
      </c>
      <c r="N633">
        <f t="shared" si="283"/>
        <v>1.54</v>
      </c>
      <c r="O633" t="str">
        <f t="shared" si="287"/>
        <v>标准</v>
      </c>
      <c r="P633" t="str">
        <f t="shared" si="284"/>
        <v>紧凑</v>
      </c>
      <c r="Q633" t="str">
        <f t="shared" si="285"/>
        <v>✓有效</v>
      </c>
      <c r="R633" t="str">
        <f t="shared" si="286"/>
        <v>正常</v>
      </c>
    </row>
    <row r="634" ht="14.25" customHeight="1" spans="1:18">
      <c r="A634" s="10">
        <v>2024254</v>
      </c>
      <c r="B634" s="12" t="s">
        <v>512</v>
      </c>
      <c r="C634">
        <f t="shared" si="272"/>
        <v>4</v>
      </c>
      <c r="D634">
        <f t="shared" si="273"/>
        <v>0</v>
      </c>
      <c r="E634">
        <f t="shared" si="274"/>
        <v>9</v>
      </c>
      <c r="F634">
        <f t="shared" si="275"/>
        <v>13</v>
      </c>
      <c r="G634">
        <f t="shared" si="276"/>
        <v>3</v>
      </c>
      <c r="H634">
        <f t="shared" si="277"/>
        <v>9</v>
      </c>
      <c r="I634">
        <f t="shared" si="278"/>
        <v>1.44</v>
      </c>
      <c r="J634">
        <f t="shared" si="279"/>
        <v>0.33</v>
      </c>
      <c r="K634">
        <f t="shared" si="280"/>
        <v>0.33</v>
      </c>
      <c r="L634">
        <f t="shared" si="281"/>
        <v>0</v>
      </c>
      <c r="M634">
        <f t="shared" si="282"/>
        <v>0</v>
      </c>
      <c r="N634">
        <f t="shared" si="283"/>
        <v>1.01</v>
      </c>
      <c r="O634" t="str">
        <f t="shared" si="287"/>
        <v>松散</v>
      </c>
      <c r="P634" t="str">
        <f t="shared" si="284"/>
        <v>极紧凑</v>
      </c>
      <c r="Q634" t="str">
        <f t="shared" si="285"/>
        <v>✓有效</v>
      </c>
      <c r="R634" t="str">
        <f t="shared" si="286"/>
        <v>正常</v>
      </c>
    </row>
    <row r="635" ht="14.25" customHeight="1" spans="1:18">
      <c r="A635" s="10">
        <v>2024255</v>
      </c>
      <c r="B635" s="12" t="s">
        <v>277</v>
      </c>
      <c r="C635">
        <f t="shared" si="272"/>
        <v>0</v>
      </c>
      <c r="D635">
        <f t="shared" si="273"/>
        <v>9</v>
      </c>
      <c r="E635">
        <f t="shared" si="274"/>
        <v>6</v>
      </c>
      <c r="F635">
        <f t="shared" si="275"/>
        <v>15</v>
      </c>
      <c r="G635">
        <f t="shared" si="276"/>
        <v>5</v>
      </c>
      <c r="H635">
        <f t="shared" si="277"/>
        <v>9</v>
      </c>
      <c r="I635">
        <f t="shared" si="278"/>
        <v>1.67</v>
      </c>
      <c r="J635">
        <f t="shared" si="279"/>
        <v>0.33</v>
      </c>
      <c r="K635">
        <f t="shared" si="280"/>
        <v>0.67</v>
      </c>
      <c r="L635">
        <f t="shared" si="281"/>
        <v>0</v>
      </c>
      <c r="M635">
        <f t="shared" si="282"/>
        <v>0</v>
      </c>
      <c r="N635">
        <f t="shared" si="283"/>
        <v>1.17</v>
      </c>
      <c r="O635" t="str">
        <f t="shared" si="287"/>
        <v>松散</v>
      </c>
      <c r="P635" t="str">
        <f t="shared" si="284"/>
        <v>极紧凑</v>
      </c>
      <c r="Q635" t="str">
        <f t="shared" si="285"/>
        <v>✓有效</v>
      </c>
      <c r="R635" t="str">
        <f t="shared" si="286"/>
        <v>正常</v>
      </c>
    </row>
    <row r="636" ht="14.25" customHeight="1" spans="1:18">
      <c r="A636" s="10">
        <v>2024256</v>
      </c>
      <c r="B636" s="12" t="s">
        <v>372</v>
      </c>
      <c r="C636">
        <f t="shared" si="272"/>
        <v>7</v>
      </c>
      <c r="D636">
        <f t="shared" si="273"/>
        <v>4</v>
      </c>
      <c r="E636">
        <f t="shared" si="274"/>
        <v>9</v>
      </c>
      <c r="F636">
        <f t="shared" si="275"/>
        <v>20</v>
      </c>
      <c r="G636">
        <f t="shared" si="276"/>
        <v>0</v>
      </c>
      <c r="H636">
        <f t="shared" si="277"/>
        <v>5</v>
      </c>
      <c r="I636">
        <f t="shared" si="278"/>
        <v>4</v>
      </c>
      <c r="J636">
        <f t="shared" si="279"/>
        <v>0.67</v>
      </c>
      <c r="K636">
        <f t="shared" si="280"/>
        <v>0.67</v>
      </c>
      <c r="L636">
        <f t="shared" si="281"/>
        <v>0.33</v>
      </c>
      <c r="M636">
        <f t="shared" si="282"/>
        <v>0</v>
      </c>
      <c r="N636">
        <f t="shared" si="283"/>
        <v>2.2</v>
      </c>
      <c r="O636" t="str">
        <f t="shared" si="287"/>
        <v>紧凑</v>
      </c>
      <c r="P636" t="str">
        <f t="shared" si="284"/>
        <v>紧凑</v>
      </c>
      <c r="Q636" t="str">
        <f t="shared" si="285"/>
        <v>✓有效</v>
      </c>
      <c r="R636" t="str">
        <f t="shared" si="286"/>
        <v>正常</v>
      </c>
    </row>
    <row r="637" ht="14.25" customHeight="1" spans="1:18">
      <c r="A637" s="10">
        <v>2024257</v>
      </c>
      <c r="B637" s="12" t="s">
        <v>513</v>
      </c>
      <c r="C637">
        <f t="shared" si="272"/>
        <v>1</v>
      </c>
      <c r="D637">
        <f t="shared" si="273"/>
        <v>9</v>
      </c>
      <c r="E637">
        <f t="shared" si="274"/>
        <v>9</v>
      </c>
      <c r="F637">
        <f t="shared" si="275"/>
        <v>19</v>
      </c>
      <c r="G637">
        <f t="shared" si="276"/>
        <v>9</v>
      </c>
      <c r="H637">
        <f t="shared" si="277"/>
        <v>8</v>
      </c>
      <c r="I637">
        <f t="shared" si="278"/>
        <v>2.38</v>
      </c>
      <c r="J637">
        <f t="shared" si="279"/>
        <v>1</v>
      </c>
      <c r="K637">
        <f t="shared" si="280"/>
        <v>0.67</v>
      </c>
      <c r="L637">
        <f t="shared" si="281"/>
        <v>0</v>
      </c>
      <c r="M637">
        <f t="shared" si="282"/>
        <v>0</v>
      </c>
      <c r="N637">
        <f t="shared" si="283"/>
        <v>1.59</v>
      </c>
      <c r="O637" t="str">
        <f t="shared" si="287"/>
        <v>标准</v>
      </c>
      <c r="P637" t="str">
        <f t="shared" si="284"/>
        <v>紧凑</v>
      </c>
      <c r="Q637" t="str">
        <f t="shared" si="285"/>
        <v>✓有效</v>
      </c>
      <c r="R637" t="str">
        <f t="shared" si="286"/>
        <v>正常</v>
      </c>
    </row>
    <row r="638" ht="14.25" customHeight="1" spans="1:18">
      <c r="A638" s="10">
        <v>2024258</v>
      </c>
      <c r="B638" s="12" t="s">
        <v>514</v>
      </c>
      <c r="C638">
        <f t="shared" si="272"/>
        <v>0</v>
      </c>
      <c r="D638">
        <f t="shared" si="273"/>
        <v>7</v>
      </c>
      <c r="E638">
        <f t="shared" si="274"/>
        <v>7</v>
      </c>
      <c r="F638">
        <f t="shared" si="275"/>
        <v>14</v>
      </c>
      <c r="G638">
        <f t="shared" si="276"/>
        <v>4</v>
      </c>
      <c r="H638">
        <f t="shared" si="277"/>
        <v>7</v>
      </c>
      <c r="I638">
        <f t="shared" si="278"/>
        <v>2</v>
      </c>
      <c r="J638">
        <f t="shared" si="279"/>
        <v>0.67</v>
      </c>
      <c r="K638">
        <f t="shared" si="280"/>
        <v>0.67</v>
      </c>
      <c r="L638">
        <f t="shared" si="281"/>
        <v>0.67</v>
      </c>
      <c r="M638">
        <f t="shared" si="282"/>
        <v>0</v>
      </c>
      <c r="N638">
        <f t="shared" si="283"/>
        <v>1.44</v>
      </c>
      <c r="O638" t="str">
        <f t="shared" si="287"/>
        <v>标准</v>
      </c>
      <c r="P638" t="str">
        <f t="shared" si="284"/>
        <v>极紧凑</v>
      </c>
      <c r="Q638" t="str">
        <f t="shared" si="285"/>
        <v>✓有效</v>
      </c>
      <c r="R638" t="str">
        <f t="shared" si="286"/>
        <v>正常</v>
      </c>
    </row>
    <row r="639" ht="14.25" customHeight="1" spans="1:18">
      <c r="A639" s="10">
        <v>2024259</v>
      </c>
      <c r="B639" s="12" t="s">
        <v>83</v>
      </c>
      <c r="C639">
        <f t="shared" si="272"/>
        <v>2</v>
      </c>
      <c r="D639">
        <f t="shared" si="273"/>
        <v>4</v>
      </c>
      <c r="E639">
        <f t="shared" si="274"/>
        <v>9</v>
      </c>
      <c r="F639">
        <f t="shared" si="275"/>
        <v>15</v>
      </c>
      <c r="G639">
        <f t="shared" si="276"/>
        <v>5</v>
      </c>
      <c r="H639">
        <f t="shared" si="277"/>
        <v>7</v>
      </c>
      <c r="I639">
        <f t="shared" si="278"/>
        <v>2.14</v>
      </c>
      <c r="J639">
        <f t="shared" si="279"/>
        <v>0.33</v>
      </c>
      <c r="K639">
        <f t="shared" si="280"/>
        <v>0.33</v>
      </c>
      <c r="L639">
        <f t="shared" si="281"/>
        <v>0.33</v>
      </c>
      <c r="M639">
        <f t="shared" si="282"/>
        <v>0</v>
      </c>
      <c r="N639">
        <f t="shared" si="283"/>
        <v>1.32</v>
      </c>
      <c r="O639" t="str">
        <f t="shared" si="287"/>
        <v>标准</v>
      </c>
      <c r="P639" t="str">
        <f t="shared" si="284"/>
        <v>极紧凑</v>
      </c>
      <c r="Q639" t="str">
        <f t="shared" si="285"/>
        <v>✓有效</v>
      </c>
      <c r="R639" t="str">
        <f t="shared" si="286"/>
        <v>正常</v>
      </c>
    </row>
    <row r="640" ht="14.25" customHeight="1" spans="1:18">
      <c r="A640" s="10">
        <v>2024260</v>
      </c>
      <c r="B640" s="12" t="s">
        <v>515</v>
      </c>
      <c r="C640">
        <f t="shared" si="272"/>
        <v>9</v>
      </c>
      <c r="D640">
        <f t="shared" si="273"/>
        <v>2</v>
      </c>
      <c r="E640">
        <f t="shared" si="274"/>
        <v>6</v>
      </c>
      <c r="F640">
        <f t="shared" si="275"/>
        <v>17</v>
      </c>
      <c r="G640">
        <f t="shared" si="276"/>
        <v>7</v>
      </c>
      <c r="H640">
        <f t="shared" si="277"/>
        <v>7</v>
      </c>
      <c r="I640">
        <f t="shared" si="278"/>
        <v>2.43</v>
      </c>
      <c r="J640">
        <f t="shared" si="279"/>
        <v>0.33</v>
      </c>
      <c r="K640">
        <f t="shared" si="280"/>
        <v>0.67</v>
      </c>
      <c r="L640">
        <f t="shared" si="281"/>
        <v>0.33</v>
      </c>
      <c r="M640">
        <f t="shared" si="282"/>
        <v>0</v>
      </c>
      <c r="N640">
        <f t="shared" si="283"/>
        <v>1.51</v>
      </c>
      <c r="O640" t="str">
        <f t="shared" si="287"/>
        <v>标准</v>
      </c>
      <c r="P640" t="str">
        <f t="shared" si="284"/>
        <v>紧凑</v>
      </c>
      <c r="Q640" t="str">
        <f t="shared" si="285"/>
        <v>✓有效</v>
      </c>
      <c r="R640" t="str">
        <f t="shared" si="286"/>
        <v>正常</v>
      </c>
    </row>
    <row r="641" ht="14.25" customHeight="1" spans="1:18">
      <c r="A641" s="10">
        <v>2024261</v>
      </c>
      <c r="B641" s="12" t="s">
        <v>516</v>
      </c>
      <c r="C641">
        <f t="shared" si="272"/>
        <v>7</v>
      </c>
      <c r="D641">
        <f t="shared" si="273"/>
        <v>6</v>
      </c>
      <c r="E641">
        <f t="shared" si="274"/>
        <v>6</v>
      </c>
      <c r="F641">
        <f t="shared" si="275"/>
        <v>19</v>
      </c>
      <c r="G641">
        <f t="shared" si="276"/>
        <v>9</v>
      </c>
      <c r="H641">
        <f t="shared" si="277"/>
        <v>1</v>
      </c>
      <c r="I641">
        <f t="shared" si="278"/>
        <v>19</v>
      </c>
      <c r="J641">
        <f t="shared" si="279"/>
        <v>0.33</v>
      </c>
      <c r="K641">
        <f t="shared" si="280"/>
        <v>1</v>
      </c>
      <c r="L641">
        <f t="shared" si="281"/>
        <v>0.33</v>
      </c>
      <c r="M641">
        <f t="shared" si="282"/>
        <v>2</v>
      </c>
      <c r="N641">
        <f t="shared" si="283"/>
        <v>8</v>
      </c>
      <c r="O641" t="str">
        <f t="shared" si="287"/>
        <v>紧凑</v>
      </c>
      <c r="P641" t="str">
        <f t="shared" si="284"/>
        <v>松散</v>
      </c>
      <c r="Q641" t="str">
        <f t="shared" si="285"/>
        <v>✓有效</v>
      </c>
      <c r="R641" t="str">
        <f t="shared" si="286"/>
        <v>异常</v>
      </c>
    </row>
    <row r="642" ht="14.25" customHeight="1" spans="1:18">
      <c r="A642" s="10">
        <v>2024262</v>
      </c>
      <c r="B642" s="12" t="s">
        <v>517</v>
      </c>
      <c r="C642">
        <f t="shared" si="272"/>
        <v>4</v>
      </c>
      <c r="D642">
        <f t="shared" si="273"/>
        <v>6</v>
      </c>
      <c r="E642">
        <f t="shared" si="274"/>
        <v>5</v>
      </c>
      <c r="F642">
        <f t="shared" si="275"/>
        <v>15</v>
      </c>
      <c r="G642">
        <f t="shared" si="276"/>
        <v>5</v>
      </c>
      <c r="H642">
        <f t="shared" si="277"/>
        <v>2</v>
      </c>
      <c r="I642">
        <f t="shared" si="278"/>
        <v>7.5</v>
      </c>
      <c r="J642">
        <f t="shared" si="279"/>
        <v>0.33</v>
      </c>
      <c r="K642">
        <f t="shared" si="280"/>
        <v>0.67</v>
      </c>
      <c r="L642">
        <f t="shared" si="281"/>
        <v>0.33</v>
      </c>
      <c r="M642">
        <f t="shared" si="282"/>
        <v>2</v>
      </c>
      <c r="N642">
        <f t="shared" si="283"/>
        <v>3.33</v>
      </c>
      <c r="O642" t="str">
        <f t="shared" si="287"/>
        <v>紧凑</v>
      </c>
      <c r="P642" t="str">
        <f t="shared" si="284"/>
        <v>标准</v>
      </c>
      <c r="Q642" t="str">
        <f t="shared" si="285"/>
        <v>✓有效</v>
      </c>
      <c r="R642" t="str">
        <f t="shared" si="286"/>
        <v>正常</v>
      </c>
    </row>
    <row r="643" ht="14.25" customHeight="1" spans="1:18">
      <c r="A643" s="10">
        <v>2024263</v>
      </c>
      <c r="B643" s="12" t="s">
        <v>518</v>
      </c>
      <c r="C643">
        <f t="shared" si="272"/>
        <v>2</v>
      </c>
      <c r="D643">
        <f t="shared" si="273"/>
        <v>9</v>
      </c>
      <c r="E643">
        <f t="shared" si="274"/>
        <v>2</v>
      </c>
      <c r="F643">
        <f t="shared" si="275"/>
        <v>13</v>
      </c>
      <c r="G643">
        <f t="shared" si="276"/>
        <v>3</v>
      </c>
      <c r="H643">
        <f t="shared" si="277"/>
        <v>7</v>
      </c>
      <c r="I643">
        <f t="shared" si="278"/>
        <v>1.86</v>
      </c>
      <c r="J643">
        <f t="shared" si="279"/>
        <v>0.33</v>
      </c>
      <c r="K643">
        <f t="shared" si="280"/>
        <v>0.33</v>
      </c>
      <c r="L643">
        <f t="shared" si="281"/>
        <v>0.67</v>
      </c>
      <c r="M643">
        <f t="shared" si="282"/>
        <v>0</v>
      </c>
      <c r="N643">
        <f t="shared" si="283"/>
        <v>1.24</v>
      </c>
      <c r="O643" t="str">
        <f t="shared" si="287"/>
        <v>松散</v>
      </c>
      <c r="P643" t="str">
        <f t="shared" si="284"/>
        <v>极紧凑</v>
      </c>
      <c r="Q643" t="str">
        <f t="shared" si="285"/>
        <v>✓有效</v>
      </c>
      <c r="R643" t="str">
        <f t="shared" si="286"/>
        <v>正常</v>
      </c>
    </row>
    <row r="644" ht="14.25" customHeight="1" spans="1:18">
      <c r="A644" s="10">
        <v>2024264</v>
      </c>
      <c r="B644" s="12" t="s">
        <v>484</v>
      </c>
      <c r="C644">
        <f t="shared" si="272"/>
        <v>7</v>
      </c>
      <c r="D644">
        <f t="shared" si="273"/>
        <v>1</v>
      </c>
      <c r="E644">
        <f t="shared" si="274"/>
        <v>0</v>
      </c>
      <c r="F644">
        <f t="shared" si="275"/>
        <v>8</v>
      </c>
      <c r="G644">
        <f t="shared" si="276"/>
        <v>8</v>
      </c>
      <c r="H644">
        <f t="shared" si="277"/>
        <v>7</v>
      </c>
      <c r="I644">
        <f t="shared" si="278"/>
        <v>1.14</v>
      </c>
      <c r="J644">
        <f t="shared" si="279"/>
        <v>0.67</v>
      </c>
      <c r="K644">
        <f t="shared" si="280"/>
        <v>0.33</v>
      </c>
      <c r="L644">
        <f t="shared" si="281"/>
        <v>0.33</v>
      </c>
      <c r="M644">
        <f t="shared" si="282"/>
        <v>1</v>
      </c>
      <c r="N644">
        <f t="shared" si="283"/>
        <v>0.89</v>
      </c>
      <c r="O644" t="str">
        <f t="shared" si="287"/>
        <v>松散</v>
      </c>
      <c r="P644" t="str">
        <f t="shared" si="284"/>
        <v>极紧凑</v>
      </c>
      <c r="Q644" t="str">
        <f t="shared" si="285"/>
        <v>✓有效</v>
      </c>
      <c r="R644" t="str">
        <f t="shared" si="286"/>
        <v>正常</v>
      </c>
    </row>
    <row r="645" ht="14.25" customHeight="1" spans="1:18">
      <c r="A645" s="10">
        <v>2024265</v>
      </c>
      <c r="B645" s="12" t="s">
        <v>230</v>
      </c>
      <c r="C645">
        <f t="shared" si="272"/>
        <v>2</v>
      </c>
      <c r="D645">
        <f t="shared" si="273"/>
        <v>4</v>
      </c>
      <c r="E645">
        <f t="shared" si="274"/>
        <v>5</v>
      </c>
      <c r="F645">
        <f t="shared" si="275"/>
        <v>11</v>
      </c>
      <c r="G645">
        <f t="shared" si="276"/>
        <v>1</v>
      </c>
      <c r="H645">
        <f t="shared" si="277"/>
        <v>3</v>
      </c>
      <c r="I645">
        <f t="shared" si="278"/>
        <v>3.67</v>
      </c>
      <c r="J645">
        <f t="shared" si="279"/>
        <v>0.33</v>
      </c>
      <c r="K645">
        <f t="shared" si="280"/>
        <v>0.33</v>
      </c>
      <c r="L645">
        <f t="shared" si="281"/>
        <v>0.67</v>
      </c>
      <c r="M645">
        <f t="shared" si="282"/>
        <v>1</v>
      </c>
      <c r="N645">
        <f t="shared" si="283"/>
        <v>1.87</v>
      </c>
      <c r="O645" t="str">
        <f t="shared" si="287"/>
        <v>紧凑</v>
      </c>
      <c r="P645" t="str">
        <f t="shared" si="284"/>
        <v>紧凑</v>
      </c>
      <c r="Q645" t="str">
        <f t="shared" si="285"/>
        <v>✓有效</v>
      </c>
      <c r="R645" t="str">
        <f t="shared" si="286"/>
        <v>正常</v>
      </c>
    </row>
    <row r="646" ht="14.25" customHeight="1" spans="1:18">
      <c r="A646" s="10">
        <v>2024266</v>
      </c>
      <c r="B646" s="12" t="s">
        <v>488</v>
      </c>
      <c r="C646">
        <f t="shared" si="272"/>
        <v>3</v>
      </c>
      <c r="D646">
        <f t="shared" si="273"/>
        <v>9</v>
      </c>
      <c r="E646">
        <f t="shared" si="274"/>
        <v>0</v>
      </c>
      <c r="F646">
        <f t="shared" si="275"/>
        <v>12</v>
      </c>
      <c r="G646">
        <f t="shared" si="276"/>
        <v>2</v>
      </c>
      <c r="H646">
        <f t="shared" si="277"/>
        <v>9</v>
      </c>
      <c r="I646">
        <f t="shared" si="278"/>
        <v>1.33</v>
      </c>
      <c r="J646">
        <f t="shared" si="279"/>
        <v>0.67</v>
      </c>
      <c r="K646">
        <f t="shared" si="280"/>
        <v>0.33</v>
      </c>
      <c r="L646">
        <f t="shared" si="281"/>
        <v>0.33</v>
      </c>
      <c r="M646">
        <f t="shared" si="282"/>
        <v>0</v>
      </c>
      <c r="N646">
        <f t="shared" si="283"/>
        <v>1.07</v>
      </c>
      <c r="O646" t="str">
        <f t="shared" si="287"/>
        <v>松散</v>
      </c>
      <c r="P646" t="str">
        <f t="shared" si="284"/>
        <v>极紧凑</v>
      </c>
      <c r="Q646" t="str">
        <f t="shared" si="285"/>
        <v>✓有效</v>
      </c>
      <c r="R646" t="str">
        <f t="shared" si="286"/>
        <v>正常</v>
      </c>
    </row>
    <row r="647" ht="14.25" customHeight="1" spans="1:18">
      <c r="A647" s="10">
        <v>2024267</v>
      </c>
      <c r="B647" s="12" t="s">
        <v>348</v>
      </c>
      <c r="C647">
        <f t="shared" si="272"/>
        <v>2</v>
      </c>
      <c r="D647">
        <f t="shared" si="273"/>
        <v>2</v>
      </c>
      <c r="E647">
        <f t="shared" si="274"/>
        <v>7</v>
      </c>
      <c r="F647">
        <f t="shared" si="275"/>
        <v>11</v>
      </c>
      <c r="G647">
        <f t="shared" si="276"/>
        <v>1</v>
      </c>
      <c r="H647">
        <f t="shared" si="277"/>
        <v>5</v>
      </c>
      <c r="I647">
        <f t="shared" si="278"/>
        <v>2.2</v>
      </c>
      <c r="J647">
        <f t="shared" si="279"/>
        <v>0.33</v>
      </c>
      <c r="K647">
        <f t="shared" si="280"/>
        <v>0.33</v>
      </c>
      <c r="L647">
        <f t="shared" si="281"/>
        <v>1</v>
      </c>
      <c r="M647">
        <f t="shared" si="282"/>
        <v>0</v>
      </c>
      <c r="N647">
        <f t="shared" si="283"/>
        <v>1.41</v>
      </c>
      <c r="O647" t="str">
        <f t="shared" si="287"/>
        <v>标准</v>
      </c>
      <c r="P647" t="str">
        <f t="shared" si="284"/>
        <v>极紧凑</v>
      </c>
      <c r="Q647" t="str">
        <f t="shared" si="285"/>
        <v>✓有效</v>
      </c>
      <c r="R647" t="str">
        <f t="shared" si="286"/>
        <v>正常</v>
      </c>
    </row>
    <row r="648" ht="14.25" customHeight="1" spans="1:18">
      <c r="A648" s="10">
        <v>2024268</v>
      </c>
      <c r="B648" s="12" t="s">
        <v>412</v>
      </c>
      <c r="C648">
        <f t="shared" si="272"/>
        <v>9</v>
      </c>
      <c r="D648">
        <f t="shared" si="273"/>
        <v>3</v>
      </c>
      <c r="E648">
        <f t="shared" si="274"/>
        <v>1</v>
      </c>
      <c r="F648">
        <f t="shared" si="275"/>
        <v>13</v>
      </c>
      <c r="G648">
        <f t="shared" si="276"/>
        <v>3</v>
      </c>
      <c r="H648">
        <f t="shared" si="277"/>
        <v>8</v>
      </c>
      <c r="I648">
        <f t="shared" si="278"/>
        <v>1.63</v>
      </c>
      <c r="J648">
        <f t="shared" si="279"/>
        <v>1</v>
      </c>
      <c r="K648">
        <f t="shared" si="280"/>
        <v>0.33</v>
      </c>
      <c r="L648">
        <f t="shared" si="281"/>
        <v>0.33</v>
      </c>
      <c r="M648">
        <f t="shared" si="282"/>
        <v>0</v>
      </c>
      <c r="N648">
        <f t="shared" si="283"/>
        <v>1.25</v>
      </c>
      <c r="O648" t="str">
        <f t="shared" si="287"/>
        <v>松散</v>
      </c>
      <c r="P648" t="str">
        <f t="shared" si="284"/>
        <v>极紧凑</v>
      </c>
      <c r="Q648" t="str">
        <f t="shared" si="285"/>
        <v>✓有效</v>
      </c>
      <c r="R648" t="str">
        <f t="shared" si="286"/>
        <v>正常</v>
      </c>
    </row>
    <row r="649" ht="14.25" customHeight="1" spans="1:18">
      <c r="A649" s="10">
        <v>2024269</v>
      </c>
      <c r="B649" s="12" t="s">
        <v>519</v>
      </c>
      <c r="C649">
        <f t="shared" si="272"/>
        <v>3</v>
      </c>
      <c r="D649">
        <f t="shared" si="273"/>
        <v>8</v>
      </c>
      <c r="E649">
        <f t="shared" si="274"/>
        <v>8</v>
      </c>
      <c r="F649">
        <f t="shared" si="275"/>
        <v>19</v>
      </c>
      <c r="G649">
        <f t="shared" si="276"/>
        <v>9</v>
      </c>
      <c r="H649">
        <f t="shared" si="277"/>
        <v>5</v>
      </c>
      <c r="I649">
        <f t="shared" si="278"/>
        <v>3.8</v>
      </c>
      <c r="J649">
        <f t="shared" si="279"/>
        <v>0.33</v>
      </c>
      <c r="K649">
        <f t="shared" si="280"/>
        <v>0.67</v>
      </c>
      <c r="L649">
        <f t="shared" si="281"/>
        <v>0.33</v>
      </c>
      <c r="M649">
        <f t="shared" si="282"/>
        <v>0</v>
      </c>
      <c r="N649">
        <f t="shared" si="283"/>
        <v>2.05</v>
      </c>
      <c r="O649" t="str">
        <f t="shared" si="287"/>
        <v>紧凑</v>
      </c>
      <c r="P649" t="str">
        <f t="shared" si="284"/>
        <v>紧凑</v>
      </c>
      <c r="Q649" t="str">
        <f t="shared" si="285"/>
        <v>✓有效</v>
      </c>
      <c r="R649" t="str">
        <f t="shared" si="286"/>
        <v>正常</v>
      </c>
    </row>
    <row r="650" ht="14.25" customHeight="1" spans="1:18">
      <c r="A650" s="10">
        <v>2024270</v>
      </c>
      <c r="B650" s="12" t="s">
        <v>520</v>
      </c>
      <c r="C650">
        <f t="shared" si="272"/>
        <v>6</v>
      </c>
      <c r="D650">
        <f t="shared" si="273"/>
        <v>9</v>
      </c>
      <c r="E650">
        <f t="shared" si="274"/>
        <v>9</v>
      </c>
      <c r="F650">
        <f t="shared" si="275"/>
        <v>24</v>
      </c>
      <c r="G650">
        <f t="shared" si="276"/>
        <v>4</v>
      </c>
      <c r="H650">
        <f t="shared" si="277"/>
        <v>3</v>
      </c>
      <c r="I650">
        <f t="shared" si="278"/>
        <v>8</v>
      </c>
      <c r="J650">
        <f t="shared" si="279"/>
        <v>0.67</v>
      </c>
      <c r="K650">
        <f t="shared" si="280"/>
        <v>1</v>
      </c>
      <c r="L650">
        <f t="shared" si="281"/>
        <v>0</v>
      </c>
      <c r="M650">
        <f t="shared" si="282"/>
        <v>0</v>
      </c>
      <c r="N650">
        <f t="shared" si="283"/>
        <v>3.83</v>
      </c>
      <c r="O650" t="str">
        <f t="shared" si="287"/>
        <v>紧凑</v>
      </c>
      <c r="P650" t="str">
        <f t="shared" si="284"/>
        <v>标准</v>
      </c>
      <c r="Q650" t="str">
        <f t="shared" si="285"/>
        <v>✓有效</v>
      </c>
      <c r="R650" t="str">
        <f t="shared" si="286"/>
        <v>正常</v>
      </c>
    </row>
    <row r="651" ht="14.25" customHeight="1" spans="1:18">
      <c r="A651" s="10">
        <v>2024271</v>
      </c>
      <c r="B651" s="12" t="s">
        <v>521</v>
      </c>
      <c r="C651">
        <f t="shared" si="272"/>
        <v>7</v>
      </c>
      <c r="D651">
        <f t="shared" si="273"/>
        <v>9</v>
      </c>
      <c r="E651">
        <f t="shared" si="274"/>
        <v>5</v>
      </c>
      <c r="F651">
        <f t="shared" si="275"/>
        <v>21</v>
      </c>
      <c r="G651">
        <f t="shared" si="276"/>
        <v>1</v>
      </c>
      <c r="H651">
        <f t="shared" si="277"/>
        <v>4</v>
      </c>
      <c r="I651">
        <f t="shared" si="278"/>
        <v>5.25</v>
      </c>
      <c r="J651">
        <f t="shared" si="279"/>
        <v>1</v>
      </c>
      <c r="K651">
        <f t="shared" si="280"/>
        <v>1</v>
      </c>
      <c r="L651">
        <f t="shared" si="281"/>
        <v>0.67</v>
      </c>
      <c r="M651">
        <f t="shared" si="282"/>
        <v>0</v>
      </c>
      <c r="N651">
        <f t="shared" si="283"/>
        <v>2.87</v>
      </c>
      <c r="O651" t="str">
        <f t="shared" si="287"/>
        <v>紧凑</v>
      </c>
      <c r="P651" t="str">
        <f t="shared" si="284"/>
        <v>紧凑</v>
      </c>
      <c r="Q651" t="str">
        <f t="shared" si="285"/>
        <v>✓有效</v>
      </c>
      <c r="R651" t="str">
        <f t="shared" si="286"/>
        <v>正常</v>
      </c>
    </row>
    <row r="652" ht="14.25" customHeight="1" spans="1:18">
      <c r="A652" s="10">
        <v>2024272</v>
      </c>
      <c r="B652" s="12" t="s">
        <v>200</v>
      </c>
      <c r="C652">
        <f t="shared" si="272"/>
        <v>2</v>
      </c>
      <c r="D652">
        <f t="shared" si="273"/>
        <v>7</v>
      </c>
      <c r="E652">
        <f t="shared" si="274"/>
        <v>5</v>
      </c>
      <c r="F652">
        <f t="shared" si="275"/>
        <v>14</v>
      </c>
      <c r="G652">
        <f t="shared" si="276"/>
        <v>4</v>
      </c>
      <c r="H652">
        <f t="shared" si="277"/>
        <v>5</v>
      </c>
      <c r="I652">
        <f t="shared" si="278"/>
        <v>2.8</v>
      </c>
      <c r="J652">
        <f t="shared" si="279"/>
        <v>0.67</v>
      </c>
      <c r="K652">
        <f t="shared" si="280"/>
        <v>0.67</v>
      </c>
      <c r="L652">
        <f t="shared" si="281"/>
        <v>1</v>
      </c>
      <c r="M652">
        <f t="shared" si="282"/>
        <v>0</v>
      </c>
      <c r="N652">
        <f t="shared" si="283"/>
        <v>1.79</v>
      </c>
      <c r="O652" t="str">
        <f t="shared" si="287"/>
        <v>标准</v>
      </c>
      <c r="P652" t="str">
        <f t="shared" si="284"/>
        <v>紧凑</v>
      </c>
      <c r="Q652" t="str">
        <f t="shared" si="285"/>
        <v>✓有效</v>
      </c>
      <c r="R652" t="str">
        <f t="shared" si="286"/>
        <v>正常</v>
      </c>
    </row>
    <row r="653" ht="14.25" customHeight="1" spans="1:18">
      <c r="A653" s="10">
        <v>2024273</v>
      </c>
      <c r="B653" s="12" t="s">
        <v>316</v>
      </c>
      <c r="C653">
        <f t="shared" si="272"/>
        <v>8</v>
      </c>
      <c r="D653">
        <f t="shared" si="273"/>
        <v>3</v>
      </c>
      <c r="E653">
        <f t="shared" si="274"/>
        <v>3</v>
      </c>
      <c r="F653">
        <f t="shared" si="275"/>
        <v>14</v>
      </c>
      <c r="G653">
        <f t="shared" si="276"/>
        <v>4</v>
      </c>
      <c r="H653">
        <f t="shared" si="277"/>
        <v>5</v>
      </c>
      <c r="I653">
        <f t="shared" si="278"/>
        <v>2.8</v>
      </c>
      <c r="J653">
        <f t="shared" si="279"/>
        <v>0.67</v>
      </c>
      <c r="K653">
        <f t="shared" si="280"/>
        <v>0.33</v>
      </c>
      <c r="L653">
        <f t="shared" si="281"/>
        <v>0.67</v>
      </c>
      <c r="M653">
        <f t="shared" si="282"/>
        <v>0</v>
      </c>
      <c r="N653">
        <f t="shared" si="283"/>
        <v>1.69</v>
      </c>
      <c r="O653" t="str">
        <f t="shared" si="287"/>
        <v>标准</v>
      </c>
      <c r="P653" t="str">
        <f t="shared" si="284"/>
        <v>紧凑</v>
      </c>
      <c r="Q653" t="str">
        <f t="shared" si="285"/>
        <v>✓有效</v>
      </c>
      <c r="R653" t="str">
        <f t="shared" si="286"/>
        <v>正常</v>
      </c>
    </row>
    <row r="654" ht="14.25" customHeight="1" spans="1:18">
      <c r="A654" s="10">
        <v>2024274</v>
      </c>
      <c r="B654" s="12" t="s">
        <v>251</v>
      </c>
      <c r="C654">
        <f t="shared" si="272"/>
        <v>1</v>
      </c>
      <c r="D654">
        <f t="shared" si="273"/>
        <v>7</v>
      </c>
      <c r="E654">
        <f t="shared" si="274"/>
        <v>2</v>
      </c>
      <c r="F654">
        <f t="shared" si="275"/>
        <v>10</v>
      </c>
      <c r="G654">
        <f t="shared" si="276"/>
        <v>0</v>
      </c>
      <c r="H654">
        <f t="shared" si="277"/>
        <v>6</v>
      </c>
      <c r="I654">
        <f t="shared" si="278"/>
        <v>1.67</v>
      </c>
      <c r="J654">
        <f t="shared" si="279"/>
        <v>0.67</v>
      </c>
      <c r="K654">
        <f t="shared" si="280"/>
        <v>0.33</v>
      </c>
      <c r="L654">
        <f t="shared" si="281"/>
        <v>0.67</v>
      </c>
      <c r="M654">
        <f t="shared" si="282"/>
        <v>1</v>
      </c>
      <c r="N654">
        <f t="shared" si="283"/>
        <v>1.14</v>
      </c>
      <c r="O654" t="str">
        <f t="shared" si="287"/>
        <v>松散</v>
      </c>
      <c r="P654" t="str">
        <f t="shared" si="284"/>
        <v>极紧凑</v>
      </c>
      <c r="Q654" t="str">
        <f t="shared" si="285"/>
        <v>✓有效</v>
      </c>
      <c r="R654" t="str">
        <f t="shared" si="286"/>
        <v>正常</v>
      </c>
    </row>
    <row r="655" ht="14.25" customHeight="1" spans="1:18">
      <c r="A655" s="10">
        <v>2024275</v>
      </c>
      <c r="B655" s="12" t="s">
        <v>522</v>
      </c>
      <c r="C655">
        <f t="shared" si="272"/>
        <v>8</v>
      </c>
      <c r="D655">
        <f t="shared" si="273"/>
        <v>2</v>
      </c>
      <c r="E655">
        <f t="shared" si="274"/>
        <v>7</v>
      </c>
      <c r="F655">
        <f t="shared" si="275"/>
        <v>17</v>
      </c>
      <c r="G655">
        <f t="shared" si="276"/>
        <v>7</v>
      </c>
      <c r="H655">
        <f t="shared" si="277"/>
        <v>6</v>
      </c>
      <c r="I655">
        <f t="shared" si="278"/>
        <v>2.83</v>
      </c>
      <c r="J655">
        <f t="shared" si="279"/>
        <v>0.33</v>
      </c>
      <c r="K655">
        <f t="shared" si="280"/>
        <v>0.67</v>
      </c>
      <c r="L655">
        <f t="shared" si="281"/>
        <v>0.67</v>
      </c>
      <c r="M655">
        <f t="shared" si="282"/>
        <v>1</v>
      </c>
      <c r="N655">
        <f t="shared" si="283"/>
        <v>1.6</v>
      </c>
      <c r="O655" t="str">
        <f t="shared" si="287"/>
        <v>标准</v>
      </c>
      <c r="P655" t="str">
        <f t="shared" si="284"/>
        <v>紧凑</v>
      </c>
      <c r="Q655" t="str">
        <f t="shared" si="285"/>
        <v>✓有效</v>
      </c>
      <c r="R655" t="str">
        <f t="shared" si="286"/>
        <v>正常</v>
      </c>
    </row>
    <row r="656" ht="14.25" customHeight="1" spans="1:18">
      <c r="A656" s="10">
        <v>2024276</v>
      </c>
      <c r="B656" s="12" t="s">
        <v>140</v>
      </c>
      <c r="C656">
        <f t="shared" si="272"/>
        <v>0</v>
      </c>
      <c r="D656">
        <f t="shared" si="273"/>
        <v>8</v>
      </c>
      <c r="E656">
        <f t="shared" si="274"/>
        <v>6</v>
      </c>
      <c r="F656">
        <f t="shared" si="275"/>
        <v>14</v>
      </c>
      <c r="G656">
        <f t="shared" si="276"/>
        <v>4</v>
      </c>
      <c r="H656">
        <f t="shared" si="277"/>
        <v>8</v>
      </c>
      <c r="I656">
        <f t="shared" si="278"/>
        <v>1.75</v>
      </c>
      <c r="J656">
        <f t="shared" si="279"/>
        <v>0</v>
      </c>
      <c r="K656">
        <f t="shared" si="280"/>
        <v>0.67</v>
      </c>
      <c r="L656">
        <f t="shared" si="281"/>
        <v>0</v>
      </c>
      <c r="M656">
        <f t="shared" si="282"/>
        <v>0</v>
      </c>
      <c r="N656">
        <f t="shared" si="283"/>
        <v>1.13</v>
      </c>
      <c r="O656" t="str">
        <f t="shared" si="287"/>
        <v>松散</v>
      </c>
      <c r="P656" t="str">
        <f t="shared" si="284"/>
        <v>极紧凑</v>
      </c>
      <c r="Q656" t="str">
        <f t="shared" si="285"/>
        <v>✓有效</v>
      </c>
      <c r="R656" t="str">
        <f t="shared" si="286"/>
        <v>正常</v>
      </c>
    </row>
    <row r="657" ht="14.25" customHeight="1" spans="1:18">
      <c r="A657" s="10">
        <v>2024277</v>
      </c>
      <c r="B657" s="12" t="s">
        <v>310</v>
      </c>
      <c r="C657">
        <f t="shared" si="272"/>
        <v>6</v>
      </c>
      <c r="D657">
        <f t="shared" si="273"/>
        <v>8</v>
      </c>
      <c r="E657">
        <f t="shared" si="274"/>
        <v>4</v>
      </c>
      <c r="F657">
        <f t="shared" si="275"/>
        <v>18</v>
      </c>
      <c r="G657">
        <f t="shared" si="276"/>
        <v>8</v>
      </c>
      <c r="H657">
        <f t="shared" si="277"/>
        <v>4</v>
      </c>
      <c r="I657">
        <f t="shared" si="278"/>
        <v>4.5</v>
      </c>
      <c r="J657">
        <f t="shared" si="279"/>
        <v>0</v>
      </c>
      <c r="K657">
        <f t="shared" si="280"/>
        <v>0.67</v>
      </c>
      <c r="L657">
        <f t="shared" si="281"/>
        <v>0</v>
      </c>
      <c r="M657">
        <f t="shared" si="282"/>
        <v>0</v>
      </c>
      <c r="N657">
        <f t="shared" si="283"/>
        <v>2.23</v>
      </c>
      <c r="O657" t="str">
        <f t="shared" si="287"/>
        <v>紧凑</v>
      </c>
      <c r="P657" t="str">
        <f t="shared" si="284"/>
        <v>紧凑</v>
      </c>
      <c r="Q657" t="str">
        <f t="shared" si="285"/>
        <v>✓有效</v>
      </c>
      <c r="R657" t="str">
        <f t="shared" si="286"/>
        <v>正常</v>
      </c>
    </row>
    <row r="658" ht="14.25" customHeight="1" spans="1:18">
      <c r="A658" s="10">
        <v>2024278</v>
      </c>
      <c r="B658" s="12" t="s">
        <v>523</v>
      </c>
      <c r="C658">
        <f t="shared" si="272"/>
        <v>2</v>
      </c>
      <c r="D658">
        <f t="shared" si="273"/>
        <v>2</v>
      </c>
      <c r="E658">
        <f t="shared" si="274"/>
        <v>1</v>
      </c>
      <c r="F658">
        <f t="shared" si="275"/>
        <v>5</v>
      </c>
      <c r="G658">
        <f t="shared" si="276"/>
        <v>5</v>
      </c>
      <c r="H658">
        <f t="shared" si="277"/>
        <v>1</v>
      </c>
      <c r="I658">
        <f t="shared" si="278"/>
        <v>5</v>
      </c>
      <c r="J658">
        <f t="shared" si="279"/>
        <v>0.33</v>
      </c>
      <c r="K658">
        <f t="shared" si="280"/>
        <v>0</v>
      </c>
      <c r="L658">
        <f t="shared" si="281"/>
        <v>0.67</v>
      </c>
      <c r="M658">
        <f t="shared" si="282"/>
        <v>2</v>
      </c>
      <c r="N658">
        <f t="shared" si="283"/>
        <v>2.23</v>
      </c>
      <c r="O658" t="str">
        <f t="shared" si="287"/>
        <v>紧凑</v>
      </c>
      <c r="P658" t="str">
        <f t="shared" si="284"/>
        <v>紧凑</v>
      </c>
      <c r="Q658" t="str">
        <f t="shared" si="285"/>
        <v>✓有效</v>
      </c>
      <c r="R658" t="str">
        <f t="shared" si="286"/>
        <v>正常</v>
      </c>
    </row>
    <row r="659" ht="14.25" customHeight="1" spans="1:18">
      <c r="A659" s="10">
        <v>2024279</v>
      </c>
      <c r="B659" s="12" t="s">
        <v>378</v>
      </c>
      <c r="C659">
        <f t="shared" si="272"/>
        <v>0</v>
      </c>
      <c r="D659">
        <f t="shared" si="273"/>
        <v>6</v>
      </c>
      <c r="E659">
        <f t="shared" si="274"/>
        <v>0</v>
      </c>
      <c r="F659">
        <f t="shared" si="275"/>
        <v>6</v>
      </c>
      <c r="G659">
        <f t="shared" si="276"/>
        <v>6</v>
      </c>
      <c r="H659">
        <f t="shared" si="277"/>
        <v>6</v>
      </c>
      <c r="I659">
        <f t="shared" si="278"/>
        <v>1</v>
      </c>
      <c r="J659">
        <f t="shared" si="279"/>
        <v>0</v>
      </c>
      <c r="K659">
        <f t="shared" si="280"/>
        <v>0.33</v>
      </c>
      <c r="L659">
        <f t="shared" si="281"/>
        <v>0</v>
      </c>
      <c r="M659">
        <f t="shared" si="282"/>
        <v>0</v>
      </c>
      <c r="N659">
        <f t="shared" si="283"/>
        <v>0.77</v>
      </c>
      <c r="O659" t="str">
        <f t="shared" si="287"/>
        <v>松散</v>
      </c>
      <c r="P659" t="str">
        <f t="shared" si="284"/>
        <v>极紧凑</v>
      </c>
      <c r="Q659" t="str">
        <f t="shared" si="285"/>
        <v>✓有效</v>
      </c>
      <c r="R659" t="str">
        <f t="shared" si="286"/>
        <v>正常</v>
      </c>
    </row>
    <row r="660" ht="14.25" customHeight="1" spans="1:18">
      <c r="A660" s="10">
        <v>2024280</v>
      </c>
      <c r="B660" s="12" t="s">
        <v>524</v>
      </c>
      <c r="C660">
        <f t="shared" si="272"/>
        <v>2</v>
      </c>
      <c r="D660">
        <f t="shared" si="273"/>
        <v>4</v>
      </c>
      <c r="E660">
        <f t="shared" si="274"/>
        <v>8</v>
      </c>
      <c r="F660">
        <f t="shared" si="275"/>
        <v>14</v>
      </c>
      <c r="G660">
        <f t="shared" si="276"/>
        <v>4</v>
      </c>
      <c r="H660">
        <f t="shared" si="277"/>
        <v>6</v>
      </c>
      <c r="I660">
        <f t="shared" si="278"/>
        <v>2.33</v>
      </c>
      <c r="J660">
        <f t="shared" si="279"/>
        <v>0</v>
      </c>
      <c r="K660">
        <f t="shared" si="280"/>
        <v>0.33</v>
      </c>
      <c r="L660">
        <f t="shared" si="281"/>
        <v>0.33</v>
      </c>
      <c r="M660">
        <f t="shared" si="282"/>
        <v>0</v>
      </c>
      <c r="N660">
        <f t="shared" si="283"/>
        <v>1.33</v>
      </c>
      <c r="O660" t="str">
        <f t="shared" si="287"/>
        <v>标准</v>
      </c>
      <c r="P660" t="str">
        <f t="shared" si="284"/>
        <v>极紧凑</v>
      </c>
      <c r="Q660" t="str">
        <f t="shared" si="285"/>
        <v>✓有效</v>
      </c>
      <c r="R660" t="str">
        <f t="shared" si="286"/>
        <v>正常</v>
      </c>
    </row>
    <row r="661" ht="14.25" customHeight="1" spans="1:18">
      <c r="A661" s="10">
        <v>2024281</v>
      </c>
      <c r="B661" s="12" t="s">
        <v>343</v>
      </c>
      <c r="C661">
        <f t="shared" si="272"/>
        <v>9</v>
      </c>
      <c r="D661">
        <f t="shared" si="273"/>
        <v>0</v>
      </c>
      <c r="E661">
        <f t="shared" si="274"/>
        <v>0</v>
      </c>
      <c r="F661">
        <f t="shared" si="275"/>
        <v>9</v>
      </c>
      <c r="G661">
        <f t="shared" si="276"/>
        <v>9</v>
      </c>
      <c r="H661">
        <f t="shared" si="277"/>
        <v>9</v>
      </c>
      <c r="I661">
        <f t="shared" si="278"/>
        <v>1</v>
      </c>
      <c r="J661">
        <f t="shared" si="279"/>
        <v>0.33</v>
      </c>
      <c r="K661">
        <f t="shared" si="280"/>
        <v>0.33</v>
      </c>
      <c r="L661">
        <f t="shared" si="281"/>
        <v>0</v>
      </c>
      <c r="M661">
        <f t="shared" si="282"/>
        <v>0</v>
      </c>
      <c r="N661">
        <f t="shared" si="283"/>
        <v>0.83</v>
      </c>
      <c r="O661" t="str">
        <f t="shared" si="287"/>
        <v>松散</v>
      </c>
      <c r="P661" t="str">
        <f t="shared" si="284"/>
        <v>极紧凑</v>
      </c>
      <c r="Q661" t="str">
        <f t="shared" si="285"/>
        <v>✓有效</v>
      </c>
      <c r="R661" t="str">
        <f t="shared" si="286"/>
        <v>正常</v>
      </c>
    </row>
    <row r="662" ht="14.25" customHeight="1" spans="1:18">
      <c r="A662" s="10">
        <v>2024282</v>
      </c>
      <c r="B662" s="12" t="s">
        <v>525</v>
      </c>
      <c r="C662">
        <f t="shared" si="272"/>
        <v>9</v>
      </c>
      <c r="D662">
        <f t="shared" si="273"/>
        <v>8</v>
      </c>
      <c r="E662">
        <f t="shared" si="274"/>
        <v>3</v>
      </c>
      <c r="F662">
        <f t="shared" si="275"/>
        <v>20</v>
      </c>
      <c r="G662">
        <f t="shared" si="276"/>
        <v>0</v>
      </c>
      <c r="H662">
        <f t="shared" si="277"/>
        <v>6</v>
      </c>
      <c r="I662">
        <f t="shared" si="278"/>
        <v>3.33</v>
      </c>
      <c r="J662">
        <f t="shared" si="279"/>
        <v>0.67</v>
      </c>
      <c r="K662">
        <f t="shared" si="280"/>
        <v>0.67</v>
      </c>
      <c r="L662">
        <f t="shared" si="281"/>
        <v>0.33</v>
      </c>
      <c r="M662">
        <f t="shared" si="282"/>
        <v>1</v>
      </c>
      <c r="N662">
        <f t="shared" si="283"/>
        <v>1.83</v>
      </c>
      <c r="O662" t="str">
        <f t="shared" si="287"/>
        <v>标准</v>
      </c>
      <c r="P662" t="str">
        <f t="shared" si="284"/>
        <v>紧凑</v>
      </c>
      <c r="Q662" t="str">
        <f t="shared" si="285"/>
        <v>✓有效</v>
      </c>
      <c r="R662" t="str">
        <f t="shared" si="286"/>
        <v>正常</v>
      </c>
    </row>
    <row r="663" ht="14.25" customHeight="1" spans="1:18">
      <c r="A663" s="10">
        <v>2024283</v>
      </c>
      <c r="B663" s="12" t="s">
        <v>526</v>
      </c>
      <c r="C663">
        <f t="shared" si="272"/>
        <v>4</v>
      </c>
      <c r="D663">
        <f t="shared" si="273"/>
        <v>1</v>
      </c>
      <c r="E663">
        <f t="shared" si="274"/>
        <v>9</v>
      </c>
      <c r="F663">
        <f t="shared" si="275"/>
        <v>14</v>
      </c>
      <c r="G663">
        <f t="shared" si="276"/>
        <v>4</v>
      </c>
      <c r="H663">
        <f t="shared" si="277"/>
        <v>8</v>
      </c>
      <c r="I663">
        <f t="shared" si="278"/>
        <v>1.75</v>
      </c>
      <c r="J663">
        <f t="shared" si="279"/>
        <v>0.67</v>
      </c>
      <c r="K663">
        <f t="shared" si="280"/>
        <v>0.33</v>
      </c>
      <c r="L663">
        <f t="shared" si="281"/>
        <v>0</v>
      </c>
      <c r="M663">
        <f t="shared" si="282"/>
        <v>0</v>
      </c>
      <c r="N663">
        <f t="shared" si="283"/>
        <v>1.2</v>
      </c>
      <c r="O663" t="str">
        <f t="shared" si="287"/>
        <v>松散</v>
      </c>
      <c r="P663" t="str">
        <f t="shared" si="284"/>
        <v>极紧凑</v>
      </c>
      <c r="Q663" t="str">
        <f t="shared" si="285"/>
        <v>✓有效</v>
      </c>
      <c r="R663" t="str">
        <f t="shared" si="286"/>
        <v>正常</v>
      </c>
    </row>
    <row r="664" ht="14.25" customHeight="1" spans="1:18">
      <c r="A664" s="10">
        <v>2024284</v>
      </c>
      <c r="B664" s="12" t="s">
        <v>527</v>
      </c>
      <c r="C664">
        <f t="shared" si="272"/>
        <v>3</v>
      </c>
      <c r="D664">
        <f t="shared" si="273"/>
        <v>4</v>
      </c>
      <c r="E664">
        <f t="shared" si="274"/>
        <v>2</v>
      </c>
      <c r="F664">
        <f t="shared" si="275"/>
        <v>9</v>
      </c>
      <c r="G664">
        <f t="shared" si="276"/>
        <v>9</v>
      </c>
      <c r="H664">
        <f t="shared" si="277"/>
        <v>2</v>
      </c>
      <c r="I664">
        <f t="shared" si="278"/>
        <v>4.5</v>
      </c>
      <c r="J664">
        <f t="shared" si="279"/>
        <v>0.33</v>
      </c>
      <c r="K664">
        <f t="shared" si="280"/>
        <v>0</v>
      </c>
      <c r="L664">
        <f t="shared" si="281"/>
        <v>0.67</v>
      </c>
      <c r="M664">
        <f t="shared" si="282"/>
        <v>2</v>
      </c>
      <c r="N664">
        <f t="shared" si="283"/>
        <v>2.03</v>
      </c>
      <c r="O664" t="str">
        <f t="shared" si="287"/>
        <v>紧凑</v>
      </c>
      <c r="P664" t="str">
        <f t="shared" si="284"/>
        <v>紧凑</v>
      </c>
      <c r="Q664" t="str">
        <f t="shared" si="285"/>
        <v>✓有效</v>
      </c>
      <c r="R664" t="str">
        <f t="shared" si="286"/>
        <v>正常</v>
      </c>
    </row>
    <row r="665" ht="14.25" customHeight="1" spans="1:18">
      <c r="A665" s="10">
        <v>2024285</v>
      </c>
      <c r="B665" s="12" t="s">
        <v>528</v>
      </c>
      <c r="C665">
        <f t="shared" si="272"/>
        <v>7</v>
      </c>
      <c r="D665">
        <f t="shared" si="273"/>
        <v>1</v>
      </c>
      <c r="E665">
        <f t="shared" si="274"/>
        <v>8</v>
      </c>
      <c r="F665">
        <f t="shared" si="275"/>
        <v>16</v>
      </c>
      <c r="G665">
        <f t="shared" si="276"/>
        <v>6</v>
      </c>
      <c r="H665">
        <f t="shared" si="277"/>
        <v>7</v>
      </c>
      <c r="I665">
        <f t="shared" si="278"/>
        <v>2.29</v>
      </c>
      <c r="J665">
        <f t="shared" si="279"/>
        <v>0.67</v>
      </c>
      <c r="K665">
        <f t="shared" si="280"/>
        <v>0.67</v>
      </c>
      <c r="L665">
        <f t="shared" si="281"/>
        <v>0.33</v>
      </c>
      <c r="M665">
        <f t="shared" si="282"/>
        <v>1</v>
      </c>
      <c r="N665">
        <f t="shared" si="283"/>
        <v>1.42</v>
      </c>
      <c r="O665" t="str">
        <f t="shared" si="287"/>
        <v>标准</v>
      </c>
      <c r="P665" t="str">
        <f t="shared" si="284"/>
        <v>极紧凑</v>
      </c>
      <c r="Q665" t="str">
        <f t="shared" si="285"/>
        <v>✓有效</v>
      </c>
      <c r="R665" t="str">
        <f t="shared" si="286"/>
        <v>正常</v>
      </c>
    </row>
    <row r="666" ht="14.25" customHeight="1" spans="1:18">
      <c r="A666" s="10">
        <v>2024286</v>
      </c>
      <c r="B666" s="12" t="s">
        <v>529</v>
      </c>
      <c r="C666">
        <f t="shared" si="272"/>
        <v>6</v>
      </c>
      <c r="D666">
        <f t="shared" si="273"/>
        <v>2</v>
      </c>
      <c r="E666">
        <f t="shared" si="274"/>
        <v>1</v>
      </c>
      <c r="F666">
        <f t="shared" si="275"/>
        <v>9</v>
      </c>
      <c r="G666">
        <f t="shared" si="276"/>
        <v>9</v>
      </c>
      <c r="H666">
        <f t="shared" si="277"/>
        <v>5</v>
      </c>
      <c r="I666">
        <f t="shared" si="278"/>
        <v>1.8</v>
      </c>
      <c r="J666">
        <f t="shared" si="279"/>
        <v>0.33</v>
      </c>
      <c r="K666">
        <f t="shared" si="280"/>
        <v>0.33</v>
      </c>
      <c r="L666">
        <f t="shared" si="281"/>
        <v>0.33</v>
      </c>
      <c r="M666">
        <f t="shared" si="282"/>
        <v>1</v>
      </c>
      <c r="N666">
        <f t="shared" si="283"/>
        <v>1.09</v>
      </c>
      <c r="O666" t="str">
        <f t="shared" si="287"/>
        <v>松散</v>
      </c>
      <c r="P666" t="str">
        <f t="shared" si="284"/>
        <v>极紧凑</v>
      </c>
      <c r="Q666" t="str">
        <f t="shared" si="285"/>
        <v>✓有效</v>
      </c>
      <c r="R666" t="str">
        <f t="shared" si="286"/>
        <v>正常</v>
      </c>
    </row>
    <row r="667" ht="14.25" customHeight="1" spans="1:18">
      <c r="A667" s="10">
        <v>2024287</v>
      </c>
      <c r="B667" s="12" t="s">
        <v>392</v>
      </c>
      <c r="C667">
        <f t="shared" si="272"/>
        <v>1</v>
      </c>
      <c r="D667">
        <f t="shared" si="273"/>
        <v>9</v>
      </c>
      <c r="E667">
        <f t="shared" si="274"/>
        <v>2</v>
      </c>
      <c r="F667">
        <f t="shared" si="275"/>
        <v>12</v>
      </c>
      <c r="G667">
        <f t="shared" si="276"/>
        <v>2</v>
      </c>
      <c r="H667">
        <f t="shared" si="277"/>
        <v>8</v>
      </c>
      <c r="I667">
        <f t="shared" si="278"/>
        <v>1.5</v>
      </c>
      <c r="J667">
        <f t="shared" si="279"/>
        <v>0.67</v>
      </c>
      <c r="K667">
        <f t="shared" si="280"/>
        <v>0.33</v>
      </c>
      <c r="L667">
        <f t="shared" si="281"/>
        <v>0.33</v>
      </c>
      <c r="M667">
        <f t="shared" si="282"/>
        <v>1</v>
      </c>
      <c r="N667">
        <f t="shared" si="283"/>
        <v>1.03</v>
      </c>
      <c r="O667" t="str">
        <f t="shared" si="287"/>
        <v>松散</v>
      </c>
      <c r="P667" t="str">
        <f t="shared" si="284"/>
        <v>极紧凑</v>
      </c>
      <c r="Q667" t="str">
        <f t="shared" si="285"/>
        <v>✓有效</v>
      </c>
      <c r="R667" t="str">
        <f t="shared" si="286"/>
        <v>正常</v>
      </c>
    </row>
    <row r="668" ht="14.25" customHeight="1" spans="1:18">
      <c r="A668" s="10">
        <v>2024288</v>
      </c>
      <c r="B668" s="12" t="s">
        <v>530</v>
      </c>
      <c r="C668">
        <f t="shared" si="272"/>
        <v>8</v>
      </c>
      <c r="D668">
        <f t="shared" si="273"/>
        <v>3</v>
      </c>
      <c r="E668">
        <f t="shared" si="274"/>
        <v>9</v>
      </c>
      <c r="F668">
        <f t="shared" si="275"/>
        <v>20</v>
      </c>
      <c r="G668">
        <f t="shared" si="276"/>
        <v>0</v>
      </c>
      <c r="H668">
        <f t="shared" si="277"/>
        <v>6</v>
      </c>
      <c r="I668">
        <f t="shared" si="278"/>
        <v>3.33</v>
      </c>
      <c r="J668">
        <f t="shared" si="279"/>
        <v>0.67</v>
      </c>
      <c r="K668">
        <f t="shared" si="280"/>
        <v>0.67</v>
      </c>
      <c r="L668">
        <f t="shared" si="281"/>
        <v>0.33</v>
      </c>
      <c r="M668">
        <f t="shared" si="282"/>
        <v>1</v>
      </c>
      <c r="N668">
        <f t="shared" si="283"/>
        <v>1.83</v>
      </c>
      <c r="O668" t="str">
        <f t="shared" si="287"/>
        <v>标准</v>
      </c>
      <c r="P668" t="str">
        <f t="shared" si="284"/>
        <v>紧凑</v>
      </c>
      <c r="Q668" t="str">
        <f t="shared" si="285"/>
        <v>✓有效</v>
      </c>
      <c r="R668" t="str">
        <f t="shared" si="286"/>
        <v>正常</v>
      </c>
    </row>
    <row r="669" ht="14.25" customHeight="1" spans="1:18">
      <c r="A669" s="10">
        <v>2024289</v>
      </c>
      <c r="B669" s="12" t="s">
        <v>330</v>
      </c>
      <c r="C669">
        <f t="shared" si="272"/>
        <v>9</v>
      </c>
      <c r="D669">
        <f t="shared" si="273"/>
        <v>8</v>
      </c>
      <c r="E669">
        <f t="shared" si="274"/>
        <v>9</v>
      </c>
      <c r="F669">
        <f t="shared" si="275"/>
        <v>26</v>
      </c>
      <c r="G669">
        <f t="shared" si="276"/>
        <v>6</v>
      </c>
      <c r="H669">
        <f t="shared" si="277"/>
        <v>1</v>
      </c>
      <c r="I669">
        <f t="shared" si="278"/>
        <v>26</v>
      </c>
      <c r="J669">
        <f t="shared" si="279"/>
        <v>0.67</v>
      </c>
      <c r="K669">
        <f t="shared" si="280"/>
        <v>1</v>
      </c>
      <c r="L669">
        <f t="shared" si="281"/>
        <v>0</v>
      </c>
      <c r="M669">
        <f t="shared" si="282"/>
        <v>2</v>
      </c>
      <c r="N669">
        <f t="shared" si="283"/>
        <v>10.83</v>
      </c>
      <c r="O669" t="str">
        <f t="shared" si="287"/>
        <v>紧凑</v>
      </c>
      <c r="P669" t="str">
        <f t="shared" si="284"/>
        <v>松散</v>
      </c>
      <c r="Q669" t="str">
        <f t="shared" si="285"/>
        <v>✓有效</v>
      </c>
      <c r="R669" t="str">
        <f t="shared" si="286"/>
        <v>异常</v>
      </c>
    </row>
    <row r="670" ht="14.25" customHeight="1" spans="1:18">
      <c r="A670" s="10">
        <v>2024290</v>
      </c>
      <c r="B670" s="12" t="s">
        <v>501</v>
      </c>
      <c r="C670">
        <f t="shared" si="272"/>
        <v>9</v>
      </c>
      <c r="D670">
        <f t="shared" si="273"/>
        <v>1</v>
      </c>
      <c r="E670">
        <f t="shared" si="274"/>
        <v>1</v>
      </c>
      <c r="F670">
        <f t="shared" si="275"/>
        <v>11</v>
      </c>
      <c r="G670">
        <f t="shared" si="276"/>
        <v>1</v>
      </c>
      <c r="H670">
        <f t="shared" si="277"/>
        <v>8</v>
      </c>
      <c r="I670">
        <f t="shared" si="278"/>
        <v>1.38</v>
      </c>
      <c r="J670">
        <f t="shared" si="279"/>
        <v>1</v>
      </c>
      <c r="K670">
        <f t="shared" si="280"/>
        <v>0.33</v>
      </c>
      <c r="L670">
        <f t="shared" si="281"/>
        <v>0</v>
      </c>
      <c r="M670">
        <f t="shared" si="282"/>
        <v>0</v>
      </c>
      <c r="N670">
        <f t="shared" si="283"/>
        <v>1.12</v>
      </c>
      <c r="O670" t="str">
        <f t="shared" si="287"/>
        <v>松散</v>
      </c>
      <c r="P670" t="str">
        <f t="shared" si="284"/>
        <v>极紧凑</v>
      </c>
      <c r="Q670" t="str">
        <f t="shared" si="285"/>
        <v>✓有效</v>
      </c>
      <c r="R670" t="str">
        <f t="shared" si="286"/>
        <v>正常</v>
      </c>
    </row>
    <row r="671" ht="14.25" customHeight="1" spans="1:18">
      <c r="A671" s="10">
        <v>2024291</v>
      </c>
      <c r="B671" s="12" t="s">
        <v>456</v>
      </c>
      <c r="C671">
        <f t="shared" si="272"/>
        <v>4</v>
      </c>
      <c r="D671">
        <f t="shared" si="273"/>
        <v>2</v>
      </c>
      <c r="E671">
        <f t="shared" si="274"/>
        <v>6</v>
      </c>
      <c r="F671">
        <f t="shared" si="275"/>
        <v>12</v>
      </c>
      <c r="G671">
        <f t="shared" si="276"/>
        <v>2</v>
      </c>
      <c r="H671">
        <f t="shared" si="277"/>
        <v>4</v>
      </c>
      <c r="I671">
        <f t="shared" si="278"/>
        <v>3</v>
      </c>
      <c r="J671">
        <f t="shared" si="279"/>
        <v>0</v>
      </c>
      <c r="K671">
        <f t="shared" si="280"/>
        <v>0.33</v>
      </c>
      <c r="L671">
        <f t="shared" si="281"/>
        <v>0.33</v>
      </c>
      <c r="M671">
        <f t="shared" si="282"/>
        <v>0</v>
      </c>
      <c r="N671">
        <f t="shared" si="283"/>
        <v>1.6</v>
      </c>
      <c r="O671" t="str">
        <f t="shared" si="287"/>
        <v>标准</v>
      </c>
      <c r="P671" t="str">
        <f t="shared" si="284"/>
        <v>紧凑</v>
      </c>
      <c r="Q671" t="str">
        <f t="shared" si="285"/>
        <v>✓有效</v>
      </c>
      <c r="R671" t="str">
        <f t="shared" si="286"/>
        <v>正常</v>
      </c>
    </row>
    <row r="672" ht="14.25" customHeight="1" spans="1:18">
      <c r="A672" s="10">
        <v>2024292</v>
      </c>
      <c r="B672" s="12" t="s">
        <v>531</v>
      </c>
      <c r="C672">
        <f t="shared" ref="C672:C735" si="288">IF(B672="","",LEFT(TEXT(B672,"000"),1)*1)</f>
        <v>4</v>
      </c>
      <c r="D672">
        <f t="shared" ref="D672:D735" si="289">IF(B672="","",MID(TEXT(B672,"000"),2,1)*1)</f>
        <v>6</v>
      </c>
      <c r="E672">
        <f t="shared" ref="E672:E735" si="290">IF(B672="","",RIGHT(TEXT(B672,"000"),1)*1)</f>
        <v>2</v>
      </c>
      <c r="F672">
        <f t="shared" ref="F672:F735" si="291">IF(B672="","",C672+D672+E672)</f>
        <v>12</v>
      </c>
      <c r="G672">
        <f t="shared" ref="G672:G735" si="292">IF(B672="","",MOD(F672,10))</f>
        <v>2</v>
      </c>
      <c r="H672">
        <f t="shared" ref="H672:H735" si="293">IF(B672="","",MAX(C672,D672,E672)-MIN(C672,D672,E672))</f>
        <v>4</v>
      </c>
      <c r="I672">
        <f t="shared" ref="I672:I735" si="294">IF(OR(B672="",H672=0),IF(H672=0,0.1,""),ROUND(F672/H672,2))</f>
        <v>3</v>
      </c>
      <c r="J672">
        <f t="shared" ref="J672:J735" si="295">IF(B672="","",ROUND((MOD(C672,2)+MOD(D672,2)+MOD(E672,2))/3,2))</f>
        <v>0</v>
      </c>
      <c r="K672">
        <f t="shared" ref="K672:K735" si="296">IF(B672="","",ROUND(((C672&gt;=5)+(D672&gt;=5)+(E672&gt;=5))/3,2))</f>
        <v>0.33</v>
      </c>
      <c r="L672">
        <f t="shared" ref="L672:L735" si="297">IF(B672="","",ROUND((ISNUMBER(FIND(C672,"2357"))+ISNUMBER(FIND(D672,"2357"))+ISNUMBER(FIND(E672,"2357")))/3,2))</f>
        <v>0.33</v>
      </c>
      <c r="M672">
        <f t="shared" ref="M672:M735" si="298">IF(B672="","",((ABS(C672-D672)=1)+(ABS(D672-E672)=1)+(ABS(C672-E672)=1)))</f>
        <v>0</v>
      </c>
      <c r="N672">
        <f t="shared" ref="N672:N735" si="299">IF(B672="","",ROUND(I672*0.4+J672*0.2+K672*0.2+L672*0.1+(3-M672)*0.1,2))</f>
        <v>1.6</v>
      </c>
      <c r="O672" t="str">
        <f t="shared" si="287"/>
        <v>标准</v>
      </c>
      <c r="P672" t="str">
        <f t="shared" ref="P672:P735" si="300">IF(B672="","",IF(N672&lt;=1.5,"极紧凑",IF(N672&lt;=3,"紧凑",IF(N672&lt;=5,"标准","松散"))))</f>
        <v>紧凑</v>
      </c>
      <c r="Q672" t="str">
        <f t="shared" ref="Q672:Q735" si="301">IF(B672="","",IF(AND(C672&gt;=0,C672&lt;=9,D672&gt;=0,D672&lt;=9,E672&gt;=0,E672&lt;=9),"✓有效","✗无效"))</f>
        <v>✓有效</v>
      </c>
      <c r="R672" t="str">
        <f t="shared" ref="R672:R735" si="302">IF(B672="","",IF(OR(I672&gt;10,I672&lt;0.1),"异常","正常"))</f>
        <v>正常</v>
      </c>
    </row>
    <row r="673" ht="14.25" customHeight="1" spans="1:18">
      <c r="A673" s="10">
        <v>2024293</v>
      </c>
      <c r="B673" s="12" t="s">
        <v>532</v>
      </c>
      <c r="C673">
        <f t="shared" si="288"/>
        <v>5</v>
      </c>
      <c r="D673">
        <f t="shared" si="289"/>
        <v>2</v>
      </c>
      <c r="E673">
        <f t="shared" si="290"/>
        <v>1</v>
      </c>
      <c r="F673">
        <f t="shared" si="291"/>
        <v>8</v>
      </c>
      <c r="G673">
        <f t="shared" si="292"/>
        <v>8</v>
      </c>
      <c r="H673">
        <f t="shared" si="293"/>
        <v>4</v>
      </c>
      <c r="I673">
        <f t="shared" si="294"/>
        <v>2</v>
      </c>
      <c r="J673">
        <f t="shared" si="295"/>
        <v>0.67</v>
      </c>
      <c r="K673">
        <f t="shared" si="296"/>
        <v>0.33</v>
      </c>
      <c r="L673">
        <f t="shared" si="297"/>
        <v>0.67</v>
      </c>
      <c r="M673">
        <f t="shared" si="298"/>
        <v>1</v>
      </c>
      <c r="N673">
        <f t="shared" si="299"/>
        <v>1.27</v>
      </c>
      <c r="O673" t="str">
        <f t="shared" ref="O673:O736" si="303">IF(I673=0.1,"极紧凑",IF(I673&gt;3.5,"紧凑",IF(AND(I673&gt;=2,I673&lt;=3.5),"标准",IF(AND(I673&gt;=1,I673&lt;2),"松散",""))))</f>
        <v>标准</v>
      </c>
      <c r="P673" t="str">
        <f t="shared" si="300"/>
        <v>极紧凑</v>
      </c>
      <c r="Q673" t="str">
        <f t="shared" si="301"/>
        <v>✓有效</v>
      </c>
      <c r="R673" t="str">
        <f t="shared" si="302"/>
        <v>正常</v>
      </c>
    </row>
    <row r="674" ht="14.25" customHeight="1" spans="1:18">
      <c r="A674" s="10">
        <v>2024294</v>
      </c>
      <c r="B674" s="12" t="s">
        <v>533</v>
      </c>
      <c r="C674">
        <f t="shared" si="288"/>
        <v>3</v>
      </c>
      <c r="D674">
        <f t="shared" si="289"/>
        <v>6</v>
      </c>
      <c r="E674">
        <f t="shared" si="290"/>
        <v>4</v>
      </c>
      <c r="F674">
        <f t="shared" si="291"/>
        <v>13</v>
      </c>
      <c r="G674">
        <f t="shared" si="292"/>
        <v>3</v>
      </c>
      <c r="H674">
        <f t="shared" si="293"/>
        <v>3</v>
      </c>
      <c r="I674">
        <f t="shared" si="294"/>
        <v>4.33</v>
      </c>
      <c r="J674">
        <f t="shared" si="295"/>
        <v>0.33</v>
      </c>
      <c r="K674">
        <f t="shared" si="296"/>
        <v>0.33</v>
      </c>
      <c r="L674">
        <f t="shared" si="297"/>
        <v>0.33</v>
      </c>
      <c r="M674">
        <f t="shared" si="298"/>
        <v>1</v>
      </c>
      <c r="N674">
        <f t="shared" si="299"/>
        <v>2.1</v>
      </c>
      <c r="O674" t="str">
        <f t="shared" si="303"/>
        <v>紧凑</v>
      </c>
      <c r="P674" t="str">
        <f t="shared" si="300"/>
        <v>紧凑</v>
      </c>
      <c r="Q674" t="str">
        <f t="shared" si="301"/>
        <v>✓有效</v>
      </c>
      <c r="R674" t="str">
        <f t="shared" si="302"/>
        <v>正常</v>
      </c>
    </row>
    <row r="675" ht="14.25" customHeight="1" spans="1:18">
      <c r="A675" s="10">
        <v>2024295</v>
      </c>
      <c r="B675" s="12" t="s">
        <v>65</v>
      </c>
      <c r="C675">
        <f t="shared" si="288"/>
        <v>5</v>
      </c>
      <c r="D675">
        <f t="shared" si="289"/>
        <v>7</v>
      </c>
      <c r="E675">
        <f t="shared" si="290"/>
        <v>1</v>
      </c>
      <c r="F675">
        <f t="shared" si="291"/>
        <v>13</v>
      </c>
      <c r="G675">
        <f t="shared" si="292"/>
        <v>3</v>
      </c>
      <c r="H675">
        <f t="shared" si="293"/>
        <v>6</v>
      </c>
      <c r="I675">
        <f t="shared" si="294"/>
        <v>2.17</v>
      </c>
      <c r="J675">
        <f t="shared" si="295"/>
        <v>1</v>
      </c>
      <c r="K675">
        <f t="shared" si="296"/>
        <v>0.67</v>
      </c>
      <c r="L675">
        <f t="shared" si="297"/>
        <v>0.67</v>
      </c>
      <c r="M675">
        <f t="shared" si="298"/>
        <v>0</v>
      </c>
      <c r="N675">
        <f t="shared" si="299"/>
        <v>1.57</v>
      </c>
      <c r="O675" t="str">
        <f t="shared" si="303"/>
        <v>标准</v>
      </c>
      <c r="P675" t="str">
        <f t="shared" si="300"/>
        <v>紧凑</v>
      </c>
      <c r="Q675" t="str">
        <f t="shared" si="301"/>
        <v>✓有效</v>
      </c>
      <c r="R675" t="str">
        <f t="shared" si="302"/>
        <v>正常</v>
      </c>
    </row>
    <row r="676" ht="14.25" customHeight="1" spans="1:18">
      <c r="A676" s="10">
        <v>2024296</v>
      </c>
      <c r="B676" s="12" t="s">
        <v>452</v>
      </c>
      <c r="C676">
        <f t="shared" si="288"/>
        <v>8</v>
      </c>
      <c r="D676">
        <f t="shared" si="289"/>
        <v>1</v>
      </c>
      <c r="E676">
        <f t="shared" si="290"/>
        <v>6</v>
      </c>
      <c r="F676">
        <f t="shared" si="291"/>
        <v>15</v>
      </c>
      <c r="G676">
        <f t="shared" si="292"/>
        <v>5</v>
      </c>
      <c r="H676">
        <f t="shared" si="293"/>
        <v>7</v>
      </c>
      <c r="I676">
        <f t="shared" si="294"/>
        <v>2.14</v>
      </c>
      <c r="J676">
        <f t="shared" si="295"/>
        <v>0.33</v>
      </c>
      <c r="K676">
        <f t="shared" si="296"/>
        <v>0.67</v>
      </c>
      <c r="L676">
        <f t="shared" si="297"/>
        <v>0</v>
      </c>
      <c r="M676">
        <f t="shared" si="298"/>
        <v>0</v>
      </c>
      <c r="N676">
        <f t="shared" si="299"/>
        <v>1.36</v>
      </c>
      <c r="O676" t="str">
        <f t="shared" si="303"/>
        <v>标准</v>
      </c>
      <c r="P676" t="str">
        <f t="shared" si="300"/>
        <v>极紧凑</v>
      </c>
      <c r="Q676" t="str">
        <f t="shared" si="301"/>
        <v>✓有效</v>
      </c>
      <c r="R676" t="str">
        <f t="shared" si="302"/>
        <v>正常</v>
      </c>
    </row>
    <row r="677" ht="14.25" customHeight="1" spans="1:18">
      <c r="A677" s="10">
        <v>2024297</v>
      </c>
      <c r="B677" s="12" t="s">
        <v>113</v>
      </c>
      <c r="C677">
        <f t="shared" si="288"/>
        <v>3</v>
      </c>
      <c r="D677">
        <f t="shared" si="289"/>
        <v>7</v>
      </c>
      <c r="E677">
        <f t="shared" si="290"/>
        <v>2</v>
      </c>
      <c r="F677">
        <f t="shared" si="291"/>
        <v>12</v>
      </c>
      <c r="G677">
        <f t="shared" si="292"/>
        <v>2</v>
      </c>
      <c r="H677">
        <f t="shared" si="293"/>
        <v>5</v>
      </c>
      <c r="I677">
        <f t="shared" si="294"/>
        <v>2.4</v>
      </c>
      <c r="J677">
        <f t="shared" si="295"/>
        <v>0.67</v>
      </c>
      <c r="K677">
        <f t="shared" si="296"/>
        <v>0.33</v>
      </c>
      <c r="L677">
        <f t="shared" si="297"/>
        <v>1</v>
      </c>
      <c r="M677">
        <f t="shared" si="298"/>
        <v>1</v>
      </c>
      <c r="N677">
        <f t="shared" si="299"/>
        <v>1.46</v>
      </c>
      <c r="O677" t="str">
        <f t="shared" si="303"/>
        <v>标准</v>
      </c>
      <c r="P677" t="str">
        <f t="shared" si="300"/>
        <v>极紧凑</v>
      </c>
      <c r="Q677" t="str">
        <f t="shared" si="301"/>
        <v>✓有效</v>
      </c>
      <c r="R677" t="str">
        <f t="shared" si="302"/>
        <v>正常</v>
      </c>
    </row>
    <row r="678" ht="14.25" customHeight="1" spans="1:18">
      <c r="A678" s="10">
        <v>2024298</v>
      </c>
      <c r="B678" s="12" t="s">
        <v>534</v>
      </c>
      <c r="C678">
        <f t="shared" si="288"/>
        <v>0</v>
      </c>
      <c r="D678">
        <f t="shared" si="289"/>
        <v>5</v>
      </c>
      <c r="E678">
        <f t="shared" si="290"/>
        <v>5</v>
      </c>
      <c r="F678">
        <f t="shared" si="291"/>
        <v>10</v>
      </c>
      <c r="G678">
        <f t="shared" si="292"/>
        <v>0</v>
      </c>
      <c r="H678">
        <f t="shared" si="293"/>
        <v>5</v>
      </c>
      <c r="I678">
        <f t="shared" si="294"/>
        <v>2</v>
      </c>
      <c r="J678">
        <f t="shared" si="295"/>
        <v>0.67</v>
      </c>
      <c r="K678">
        <f t="shared" si="296"/>
        <v>0.67</v>
      </c>
      <c r="L678">
        <f t="shared" si="297"/>
        <v>0.67</v>
      </c>
      <c r="M678">
        <f t="shared" si="298"/>
        <v>0</v>
      </c>
      <c r="N678">
        <f t="shared" si="299"/>
        <v>1.44</v>
      </c>
      <c r="O678" t="str">
        <f t="shared" si="303"/>
        <v>标准</v>
      </c>
      <c r="P678" t="str">
        <f t="shared" si="300"/>
        <v>极紧凑</v>
      </c>
      <c r="Q678" t="str">
        <f t="shared" si="301"/>
        <v>✓有效</v>
      </c>
      <c r="R678" t="str">
        <f t="shared" si="302"/>
        <v>正常</v>
      </c>
    </row>
    <row r="679" ht="14.25" customHeight="1" spans="1:18">
      <c r="A679" s="10">
        <v>2024299</v>
      </c>
      <c r="B679" s="12" t="s">
        <v>535</v>
      </c>
      <c r="C679">
        <f t="shared" si="288"/>
        <v>9</v>
      </c>
      <c r="D679">
        <f t="shared" si="289"/>
        <v>4</v>
      </c>
      <c r="E679">
        <f t="shared" si="290"/>
        <v>9</v>
      </c>
      <c r="F679">
        <f t="shared" si="291"/>
        <v>22</v>
      </c>
      <c r="G679">
        <f t="shared" si="292"/>
        <v>2</v>
      </c>
      <c r="H679">
        <f t="shared" si="293"/>
        <v>5</v>
      </c>
      <c r="I679">
        <f t="shared" si="294"/>
        <v>4.4</v>
      </c>
      <c r="J679">
        <f t="shared" si="295"/>
        <v>0.67</v>
      </c>
      <c r="K679">
        <f t="shared" si="296"/>
        <v>0.67</v>
      </c>
      <c r="L679">
        <f t="shared" si="297"/>
        <v>0</v>
      </c>
      <c r="M679">
        <f t="shared" si="298"/>
        <v>0</v>
      </c>
      <c r="N679">
        <f t="shared" si="299"/>
        <v>2.33</v>
      </c>
      <c r="O679" t="str">
        <f t="shared" si="303"/>
        <v>紧凑</v>
      </c>
      <c r="P679" t="str">
        <f t="shared" si="300"/>
        <v>紧凑</v>
      </c>
      <c r="Q679" t="str">
        <f t="shared" si="301"/>
        <v>✓有效</v>
      </c>
      <c r="R679" t="str">
        <f t="shared" si="302"/>
        <v>正常</v>
      </c>
    </row>
    <row r="680" ht="14.25" customHeight="1" spans="1:18">
      <c r="A680" s="10">
        <v>2024300</v>
      </c>
      <c r="B680" s="12" t="s">
        <v>95</v>
      </c>
      <c r="C680">
        <f t="shared" si="288"/>
        <v>6</v>
      </c>
      <c r="D680">
        <f t="shared" si="289"/>
        <v>6</v>
      </c>
      <c r="E680">
        <f t="shared" si="290"/>
        <v>6</v>
      </c>
      <c r="F680">
        <f t="shared" si="291"/>
        <v>18</v>
      </c>
      <c r="G680">
        <f t="shared" si="292"/>
        <v>8</v>
      </c>
      <c r="H680">
        <f t="shared" si="293"/>
        <v>0</v>
      </c>
      <c r="I680">
        <f t="shared" si="294"/>
        <v>0.1</v>
      </c>
      <c r="J680">
        <f t="shared" si="295"/>
        <v>0</v>
      </c>
      <c r="K680">
        <f t="shared" si="296"/>
        <v>1</v>
      </c>
      <c r="L680">
        <f t="shared" si="297"/>
        <v>0</v>
      </c>
      <c r="M680">
        <f t="shared" si="298"/>
        <v>0</v>
      </c>
      <c r="N680">
        <f t="shared" si="299"/>
        <v>0.54</v>
      </c>
      <c r="O680" t="str">
        <f t="shared" si="303"/>
        <v>极紧凑</v>
      </c>
      <c r="P680" t="str">
        <f t="shared" si="300"/>
        <v>极紧凑</v>
      </c>
      <c r="Q680" t="str">
        <f t="shared" si="301"/>
        <v>✓有效</v>
      </c>
      <c r="R680" t="str">
        <f t="shared" si="302"/>
        <v>正常</v>
      </c>
    </row>
    <row r="681" ht="14.25" customHeight="1" spans="1:18">
      <c r="A681" s="10">
        <v>2024301</v>
      </c>
      <c r="B681" s="12" t="s">
        <v>536</v>
      </c>
      <c r="C681">
        <f t="shared" si="288"/>
        <v>4</v>
      </c>
      <c r="D681">
        <f t="shared" si="289"/>
        <v>3</v>
      </c>
      <c r="E681">
        <f t="shared" si="290"/>
        <v>5</v>
      </c>
      <c r="F681">
        <f t="shared" si="291"/>
        <v>12</v>
      </c>
      <c r="G681">
        <f t="shared" si="292"/>
        <v>2</v>
      </c>
      <c r="H681">
        <f t="shared" si="293"/>
        <v>2</v>
      </c>
      <c r="I681">
        <f t="shared" si="294"/>
        <v>6</v>
      </c>
      <c r="J681">
        <f t="shared" si="295"/>
        <v>0.67</v>
      </c>
      <c r="K681">
        <f t="shared" si="296"/>
        <v>0.33</v>
      </c>
      <c r="L681">
        <f t="shared" si="297"/>
        <v>0.67</v>
      </c>
      <c r="M681">
        <f t="shared" si="298"/>
        <v>2</v>
      </c>
      <c r="N681">
        <f t="shared" si="299"/>
        <v>2.77</v>
      </c>
      <c r="O681" t="str">
        <f t="shared" si="303"/>
        <v>紧凑</v>
      </c>
      <c r="P681" t="str">
        <f t="shared" si="300"/>
        <v>紧凑</v>
      </c>
      <c r="Q681" t="str">
        <f t="shared" si="301"/>
        <v>✓有效</v>
      </c>
      <c r="R681" t="str">
        <f t="shared" si="302"/>
        <v>正常</v>
      </c>
    </row>
    <row r="682" ht="14.25" customHeight="1" spans="1:18">
      <c r="A682" s="10">
        <v>2024302</v>
      </c>
      <c r="B682" s="12" t="s">
        <v>537</v>
      </c>
      <c r="C682">
        <f t="shared" si="288"/>
        <v>5</v>
      </c>
      <c r="D682">
        <f t="shared" si="289"/>
        <v>1</v>
      </c>
      <c r="E682">
        <f t="shared" si="290"/>
        <v>6</v>
      </c>
      <c r="F682">
        <f t="shared" si="291"/>
        <v>12</v>
      </c>
      <c r="G682">
        <f t="shared" si="292"/>
        <v>2</v>
      </c>
      <c r="H682">
        <f t="shared" si="293"/>
        <v>5</v>
      </c>
      <c r="I682">
        <f t="shared" si="294"/>
        <v>2.4</v>
      </c>
      <c r="J682">
        <f t="shared" si="295"/>
        <v>0.67</v>
      </c>
      <c r="K682">
        <f t="shared" si="296"/>
        <v>0.67</v>
      </c>
      <c r="L682">
        <f t="shared" si="297"/>
        <v>0.33</v>
      </c>
      <c r="M682">
        <f t="shared" si="298"/>
        <v>1</v>
      </c>
      <c r="N682">
        <f t="shared" si="299"/>
        <v>1.46</v>
      </c>
      <c r="O682" t="str">
        <f t="shared" si="303"/>
        <v>标准</v>
      </c>
      <c r="P682" t="str">
        <f t="shared" si="300"/>
        <v>极紧凑</v>
      </c>
      <c r="Q682" t="str">
        <f t="shared" si="301"/>
        <v>✓有效</v>
      </c>
      <c r="R682" t="str">
        <f t="shared" si="302"/>
        <v>正常</v>
      </c>
    </row>
    <row r="683" ht="14.25" customHeight="1" spans="1:18">
      <c r="A683" s="10">
        <v>2024303</v>
      </c>
      <c r="B683" s="12" t="s">
        <v>410</v>
      </c>
      <c r="C683">
        <f t="shared" si="288"/>
        <v>3</v>
      </c>
      <c r="D683">
        <f t="shared" si="289"/>
        <v>3</v>
      </c>
      <c r="E683">
        <f t="shared" si="290"/>
        <v>6</v>
      </c>
      <c r="F683">
        <f t="shared" si="291"/>
        <v>12</v>
      </c>
      <c r="G683">
        <f t="shared" si="292"/>
        <v>2</v>
      </c>
      <c r="H683">
        <f t="shared" si="293"/>
        <v>3</v>
      </c>
      <c r="I683">
        <f t="shared" si="294"/>
        <v>4</v>
      </c>
      <c r="J683">
        <f t="shared" si="295"/>
        <v>0.67</v>
      </c>
      <c r="K683">
        <f t="shared" si="296"/>
        <v>0.33</v>
      </c>
      <c r="L683">
        <f t="shared" si="297"/>
        <v>0.67</v>
      </c>
      <c r="M683">
        <f t="shared" si="298"/>
        <v>0</v>
      </c>
      <c r="N683">
        <f t="shared" si="299"/>
        <v>2.17</v>
      </c>
      <c r="O683" t="str">
        <f t="shared" si="303"/>
        <v>紧凑</v>
      </c>
      <c r="P683" t="str">
        <f t="shared" si="300"/>
        <v>紧凑</v>
      </c>
      <c r="Q683" t="str">
        <f t="shared" si="301"/>
        <v>✓有效</v>
      </c>
      <c r="R683" t="str">
        <f t="shared" si="302"/>
        <v>正常</v>
      </c>
    </row>
    <row r="684" ht="14.25" customHeight="1" spans="1:18">
      <c r="A684" s="10">
        <v>2024304</v>
      </c>
      <c r="B684" s="12" t="s">
        <v>338</v>
      </c>
      <c r="C684">
        <f t="shared" si="288"/>
        <v>1</v>
      </c>
      <c r="D684">
        <f t="shared" si="289"/>
        <v>6</v>
      </c>
      <c r="E684">
        <f t="shared" si="290"/>
        <v>9</v>
      </c>
      <c r="F684">
        <f t="shared" si="291"/>
        <v>16</v>
      </c>
      <c r="G684">
        <f t="shared" si="292"/>
        <v>6</v>
      </c>
      <c r="H684">
        <f t="shared" si="293"/>
        <v>8</v>
      </c>
      <c r="I684">
        <f t="shared" si="294"/>
        <v>2</v>
      </c>
      <c r="J684">
        <f t="shared" si="295"/>
        <v>0.67</v>
      </c>
      <c r="K684">
        <f t="shared" si="296"/>
        <v>0.67</v>
      </c>
      <c r="L684">
        <f t="shared" si="297"/>
        <v>0</v>
      </c>
      <c r="M684">
        <f t="shared" si="298"/>
        <v>0</v>
      </c>
      <c r="N684">
        <f t="shared" si="299"/>
        <v>1.37</v>
      </c>
      <c r="O684" t="str">
        <f t="shared" si="303"/>
        <v>标准</v>
      </c>
      <c r="P684" t="str">
        <f t="shared" si="300"/>
        <v>极紧凑</v>
      </c>
      <c r="Q684" t="str">
        <f t="shared" si="301"/>
        <v>✓有效</v>
      </c>
      <c r="R684" t="str">
        <f t="shared" si="302"/>
        <v>正常</v>
      </c>
    </row>
    <row r="685" ht="14.25" customHeight="1" spans="1:18">
      <c r="A685" s="10">
        <v>2024305</v>
      </c>
      <c r="B685" s="12" t="s">
        <v>538</v>
      </c>
      <c r="C685">
        <f t="shared" si="288"/>
        <v>9</v>
      </c>
      <c r="D685">
        <f t="shared" si="289"/>
        <v>6</v>
      </c>
      <c r="E685">
        <f t="shared" si="290"/>
        <v>6</v>
      </c>
      <c r="F685">
        <f t="shared" si="291"/>
        <v>21</v>
      </c>
      <c r="G685">
        <f t="shared" si="292"/>
        <v>1</v>
      </c>
      <c r="H685">
        <f t="shared" si="293"/>
        <v>3</v>
      </c>
      <c r="I685">
        <f t="shared" si="294"/>
        <v>7</v>
      </c>
      <c r="J685">
        <f t="shared" si="295"/>
        <v>0.33</v>
      </c>
      <c r="K685">
        <f t="shared" si="296"/>
        <v>1</v>
      </c>
      <c r="L685">
        <f t="shared" si="297"/>
        <v>0</v>
      </c>
      <c r="M685">
        <f t="shared" si="298"/>
        <v>0</v>
      </c>
      <c r="N685">
        <f t="shared" si="299"/>
        <v>3.37</v>
      </c>
      <c r="O685" t="str">
        <f t="shared" si="303"/>
        <v>紧凑</v>
      </c>
      <c r="P685" t="str">
        <f t="shared" si="300"/>
        <v>标准</v>
      </c>
      <c r="Q685" t="str">
        <f t="shared" si="301"/>
        <v>✓有效</v>
      </c>
      <c r="R685" t="str">
        <f t="shared" si="302"/>
        <v>正常</v>
      </c>
    </row>
    <row r="686" ht="14.25" customHeight="1" spans="1:18">
      <c r="A686" s="10">
        <v>2024306</v>
      </c>
      <c r="B686" s="12" t="s">
        <v>539</v>
      </c>
      <c r="C686">
        <f t="shared" si="288"/>
        <v>2</v>
      </c>
      <c r="D686">
        <f t="shared" si="289"/>
        <v>9</v>
      </c>
      <c r="E686">
        <f t="shared" si="290"/>
        <v>6</v>
      </c>
      <c r="F686">
        <f t="shared" si="291"/>
        <v>17</v>
      </c>
      <c r="G686">
        <f t="shared" si="292"/>
        <v>7</v>
      </c>
      <c r="H686">
        <f t="shared" si="293"/>
        <v>7</v>
      </c>
      <c r="I686">
        <f t="shared" si="294"/>
        <v>2.43</v>
      </c>
      <c r="J686">
        <f t="shared" si="295"/>
        <v>0.33</v>
      </c>
      <c r="K686">
        <f t="shared" si="296"/>
        <v>0.67</v>
      </c>
      <c r="L686">
        <f t="shared" si="297"/>
        <v>0.33</v>
      </c>
      <c r="M686">
        <f t="shared" si="298"/>
        <v>0</v>
      </c>
      <c r="N686">
        <f t="shared" si="299"/>
        <v>1.51</v>
      </c>
      <c r="O686" t="str">
        <f t="shared" si="303"/>
        <v>标准</v>
      </c>
      <c r="P686" t="str">
        <f t="shared" si="300"/>
        <v>紧凑</v>
      </c>
      <c r="Q686" t="str">
        <f t="shared" si="301"/>
        <v>✓有效</v>
      </c>
      <c r="R686" t="str">
        <f t="shared" si="302"/>
        <v>正常</v>
      </c>
    </row>
    <row r="687" ht="14.25" customHeight="1" spans="1:18">
      <c r="A687" s="10">
        <v>2024307</v>
      </c>
      <c r="B687" s="12" t="s">
        <v>427</v>
      </c>
      <c r="C687">
        <f t="shared" si="288"/>
        <v>5</v>
      </c>
      <c r="D687">
        <f t="shared" si="289"/>
        <v>7</v>
      </c>
      <c r="E687">
        <f t="shared" si="290"/>
        <v>9</v>
      </c>
      <c r="F687">
        <f t="shared" si="291"/>
        <v>21</v>
      </c>
      <c r="G687">
        <f t="shared" si="292"/>
        <v>1</v>
      </c>
      <c r="H687">
        <f t="shared" si="293"/>
        <v>4</v>
      </c>
      <c r="I687">
        <f t="shared" si="294"/>
        <v>5.25</v>
      </c>
      <c r="J687">
        <f t="shared" si="295"/>
        <v>1</v>
      </c>
      <c r="K687">
        <f t="shared" si="296"/>
        <v>1</v>
      </c>
      <c r="L687">
        <f t="shared" si="297"/>
        <v>0.67</v>
      </c>
      <c r="M687">
        <f t="shared" si="298"/>
        <v>0</v>
      </c>
      <c r="N687">
        <f t="shared" si="299"/>
        <v>2.87</v>
      </c>
      <c r="O687" t="str">
        <f t="shared" si="303"/>
        <v>紧凑</v>
      </c>
      <c r="P687" t="str">
        <f t="shared" si="300"/>
        <v>紧凑</v>
      </c>
      <c r="Q687" t="str">
        <f t="shared" si="301"/>
        <v>✓有效</v>
      </c>
      <c r="R687" t="str">
        <f t="shared" si="302"/>
        <v>正常</v>
      </c>
    </row>
    <row r="688" ht="14.25" customHeight="1" spans="1:18">
      <c r="A688" s="10">
        <v>2024308</v>
      </c>
      <c r="B688" s="12" t="s">
        <v>174</v>
      </c>
      <c r="C688">
        <f t="shared" si="288"/>
        <v>6</v>
      </c>
      <c r="D688">
        <f t="shared" si="289"/>
        <v>5</v>
      </c>
      <c r="E688">
        <f t="shared" si="290"/>
        <v>4</v>
      </c>
      <c r="F688">
        <f t="shared" si="291"/>
        <v>15</v>
      </c>
      <c r="G688">
        <f t="shared" si="292"/>
        <v>5</v>
      </c>
      <c r="H688">
        <f t="shared" si="293"/>
        <v>2</v>
      </c>
      <c r="I688">
        <f t="shared" si="294"/>
        <v>7.5</v>
      </c>
      <c r="J688">
        <f t="shared" si="295"/>
        <v>0.33</v>
      </c>
      <c r="K688">
        <f t="shared" si="296"/>
        <v>0.67</v>
      </c>
      <c r="L688">
        <f t="shared" si="297"/>
        <v>0.33</v>
      </c>
      <c r="M688">
        <f t="shared" si="298"/>
        <v>2</v>
      </c>
      <c r="N688">
        <f t="shared" si="299"/>
        <v>3.33</v>
      </c>
      <c r="O688" t="str">
        <f t="shared" si="303"/>
        <v>紧凑</v>
      </c>
      <c r="P688" t="str">
        <f t="shared" si="300"/>
        <v>标准</v>
      </c>
      <c r="Q688" t="str">
        <f t="shared" si="301"/>
        <v>✓有效</v>
      </c>
      <c r="R688" t="str">
        <f t="shared" si="302"/>
        <v>正常</v>
      </c>
    </row>
    <row r="689" ht="14.25" customHeight="1" spans="1:18">
      <c r="A689" s="10">
        <v>2024309</v>
      </c>
      <c r="B689" s="12" t="s">
        <v>540</v>
      </c>
      <c r="C689">
        <f t="shared" si="288"/>
        <v>5</v>
      </c>
      <c r="D689">
        <f t="shared" si="289"/>
        <v>3</v>
      </c>
      <c r="E689">
        <f t="shared" si="290"/>
        <v>9</v>
      </c>
      <c r="F689">
        <f t="shared" si="291"/>
        <v>17</v>
      </c>
      <c r="G689">
        <f t="shared" si="292"/>
        <v>7</v>
      </c>
      <c r="H689">
        <f t="shared" si="293"/>
        <v>6</v>
      </c>
      <c r="I689">
        <f t="shared" si="294"/>
        <v>2.83</v>
      </c>
      <c r="J689">
        <f t="shared" si="295"/>
        <v>1</v>
      </c>
      <c r="K689">
        <f t="shared" si="296"/>
        <v>0.67</v>
      </c>
      <c r="L689">
        <f t="shared" si="297"/>
        <v>0.67</v>
      </c>
      <c r="M689">
        <f t="shared" si="298"/>
        <v>0</v>
      </c>
      <c r="N689">
        <f t="shared" si="299"/>
        <v>1.83</v>
      </c>
      <c r="O689" t="str">
        <f t="shared" si="303"/>
        <v>标准</v>
      </c>
      <c r="P689" t="str">
        <f t="shared" si="300"/>
        <v>紧凑</v>
      </c>
      <c r="Q689" t="str">
        <f t="shared" si="301"/>
        <v>✓有效</v>
      </c>
      <c r="R689" t="str">
        <f t="shared" si="302"/>
        <v>正常</v>
      </c>
    </row>
    <row r="690" ht="14.25" customHeight="1" spans="1:18">
      <c r="A690" s="10">
        <v>2024310</v>
      </c>
      <c r="B690" s="12" t="s">
        <v>541</v>
      </c>
      <c r="C690">
        <f t="shared" si="288"/>
        <v>6</v>
      </c>
      <c r="D690">
        <f t="shared" si="289"/>
        <v>0</v>
      </c>
      <c r="E690">
        <f t="shared" si="290"/>
        <v>3</v>
      </c>
      <c r="F690">
        <f t="shared" si="291"/>
        <v>9</v>
      </c>
      <c r="G690">
        <f t="shared" si="292"/>
        <v>9</v>
      </c>
      <c r="H690">
        <f t="shared" si="293"/>
        <v>6</v>
      </c>
      <c r="I690">
        <f t="shared" si="294"/>
        <v>1.5</v>
      </c>
      <c r="J690">
        <f t="shared" si="295"/>
        <v>0.33</v>
      </c>
      <c r="K690">
        <f t="shared" si="296"/>
        <v>0.33</v>
      </c>
      <c r="L690">
        <f t="shared" si="297"/>
        <v>0.33</v>
      </c>
      <c r="M690">
        <f t="shared" si="298"/>
        <v>0</v>
      </c>
      <c r="N690">
        <f t="shared" si="299"/>
        <v>1.07</v>
      </c>
      <c r="O690" t="str">
        <f t="shared" si="303"/>
        <v>松散</v>
      </c>
      <c r="P690" t="str">
        <f t="shared" si="300"/>
        <v>极紧凑</v>
      </c>
      <c r="Q690" t="str">
        <f t="shared" si="301"/>
        <v>✓有效</v>
      </c>
      <c r="R690" t="str">
        <f t="shared" si="302"/>
        <v>正常</v>
      </c>
    </row>
    <row r="691" ht="14.25" customHeight="1" spans="1:18">
      <c r="A691" s="10">
        <v>2024311</v>
      </c>
      <c r="B691" s="12" t="s">
        <v>299</v>
      </c>
      <c r="C691">
        <f t="shared" si="288"/>
        <v>0</v>
      </c>
      <c r="D691">
        <f t="shared" si="289"/>
        <v>6</v>
      </c>
      <c r="E691">
        <f t="shared" si="290"/>
        <v>7</v>
      </c>
      <c r="F691">
        <f t="shared" si="291"/>
        <v>13</v>
      </c>
      <c r="G691">
        <f t="shared" si="292"/>
        <v>3</v>
      </c>
      <c r="H691">
        <f t="shared" si="293"/>
        <v>7</v>
      </c>
      <c r="I691">
        <f t="shared" si="294"/>
        <v>1.86</v>
      </c>
      <c r="J691">
        <f t="shared" si="295"/>
        <v>0.33</v>
      </c>
      <c r="K691">
        <f t="shared" si="296"/>
        <v>0.67</v>
      </c>
      <c r="L691">
        <f t="shared" si="297"/>
        <v>0.33</v>
      </c>
      <c r="M691">
        <f t="shared" si="298"/>
        <v>1</v>
      </c>
      <c r="N691">
        <f t="shared" si="299"/>
        <v>1.18</v>
      </c>
      <c r="O691" t="str">
        <f t="shared" si="303"/>
        <v>松散</v>
      </c>
      <c r="P691" t="str">
        <f t="shared" si="300"/>
        <v>极紧凑</v>
      </c>
      <c r="Q691" t="str">
        <f t="shared" si="301"/>
        <v>✓有效</v>
      </c>
      <c r="R691" t="str">
        <f t="shared" si="302"/>
        <v>正常</v>
      </c>
    </row>
    <row r="692" ht="14.25" customHeight="1" spans="1:18">
      <c r="A692" s="10">
        <v>2024312</v>
      </c>
      <c r="B692" s="12" t="s">
        <v>542</v>
      </c>
      <c r="C692">
        <f t="shared" si="288"/>
        <v>7</v>
      </c>
      <c r="D692">
        <f t="shared" si="289"/>
        <v>5</v>
      </c>
      <c r="E692">
        <f t="shared" si="290"/>
        <v>4</v>
      </c>
      <c r="F692">
        <f t="shared" si="291"/>
        <v>16</v>
      </c>
      <c r="G692">
        <f t="shared" si="292"/>
        <v>6</v>
      </c>
      <c r="H692">
        <f t="shared" si="293"/>
        <v>3</v>
      </c>
      <c r="I692">
        <f t="shared" si="294"/>
        <v>5.33</v>
      </c>
      <c r="J692">
        <f t="shared" si="295"/>
        <v>0.67</v>
      </c>
      <c r="K692">
        <f t="shared" si="296"/>
        <v>0.67</v>
      </c>
      <c r="L692">
        <f t="shared" si="297"/>
        <v>0.67</v>
      </c>
      <c r="M692">
        <f t="shared" si="298"/>
        <v>1</v>
      </c>
      <c r="N692">
        <f t="shared" si="299"/>
        <v>2.67</v>
      </c>
      <c r="O692" t="str">
        <f t="shared" si="303"/>
        <v>紧凑</v>
      </c>
      <c r="P692" t="str">
        <f t="shared" si="300"/>
        <v>紧凑</v>
      </c>
      <c r="Q692" t="str">
        <f t="shared" si="301"/>
        <v>✓有效</v>
      </c>
      <c r="R692" t="str">
        <f t="shared" si="302"/>
        <v>正常</v>
      </c>
    </row>
    <row r="693" ht="14.25" customHeight="1" spans="1:18">
      <c r="A693" s="10">
        <v>2024313</v>
      </c>
      <c r="B693" s="12" t="s">
        <v>543</v>
      </c>
      <c r="C693">
        <f t="shared" si="288"/>
        <v>0</v>
      </c>
      <c r="D693">
        <f t="shared" si="289"/>
        <v>9</v>
      </c>
      <c r="E693">
        <f t="shared" si="290"/>
        <v>5</v>
      </c>
      <c r="F693">
        <f t="shared" si="291"/>
        <v>14</v>
      </c>
      <c r="G693">
        <f t="shared" si="292"/>
        <v>4</v>
      </c>
      <c r="H693">
        <f t="shared" si="293"/>
        <v>9</v>
      </c>
      <c r="I693">
        <f t="shared" si="294"/>
        <v>1.56</v>
      </c>
      <c r="J693">
        <f t="shared" si="295"/>
        <v>0.67</v>
      </c>
      <c r="K693">
        <f t="shared" si="296"/>
        <v>0.67</v>
      </c>
      <c r="L693">
        <f t="shared" si="297"/>
        <v>0.33</v>
      </c>
      <c r="M693">
        <f t="shared" si="298"/>
        <v>0</v>
      </c>
      <c r="N693">
        <f t="shared" si="299"/>
        <v>1.23</v>
      </c>
      <c r="O693" t="str">
        <f t="shared" si="303"/>
        <v>松散</v>
      </c>
      <c r="P693" t="str">
        <f t="shared" si="300"/>
        <v>极紧凑</v>
      </c>
      <c r="Q693" t="str">
        <f t="shared" si="301"/>
        <v>✓有效</v>
      </c>
      <c r="R693" t="str">
        <f t="shared" si="302"/>
        <v>正常</v>
      </c>
    </row>
    <row r="694" ht="14.25" customHeight="1" spans="1:18">
      <c r="A694" s="10">
        <v>2024314</v>
      </c>
      <c r="B694" s="12" t="s">
        <v>544</v>
      </c>
      <c r="C694">
        <f t="shared" si="288"/>
        <v>6</v>
      </c>
      <c r="D694">
        <f t="shared" si="289"/>
        <v>7</v>
      </c>
      <c r="E694">
        <f t="shared" si="290"/>
        <v>2</v>
      </c>
      <c r="F694">
        <f t="shared" si="291"/>
        <v>15</v>
      </c>
      <c r="G694">
        <f t="shared" si="292"/>
        <v>5</v>
      </c>
      <c r="H694">
        <f t="shared" si="293"/>
        <v>5</v>
      </c>
      <c r="I694">
        <f t="shared" si="294"/>
        <v>3</v>
      </c>
      <c r="J694">
        <f t="shared" si="295"/>
        <v>0.33</v>
      </c>
      <c r="K694">
        <f t="shared" si="296"/>
        <v>0.67</v>
      </c>
      <c r="L694">
        <f t="shared" si="297"/>
        <v>0.67</v>
      </c>
      <c r="M694">
        <f t="shared" si="298"/>
        <v>1</v>
      </c>
      <c r="N694">
        <f t="shared" si="299"/>
        <v>1.67</v>
      </c>
      <c r="O694" t="str">
        <f t="shared" si="303"/>
        <v>标准</v>
      </c>
      <c r="P694" t="str">
        <f t="shared" si="300"/>
        <v>紧凑</v>
      </c>
      <c r="Q694" t="str">
        <f t="shared" si="301"/>
        <v>✓有效</v>
      </c>
      <c r="R694" t="str">
        <f t="shared" si="302"/>
        <v>正常</v>
      </c>
    </row>
    <row r="695" ht="14.25" customHeight="1" spans="1:18">
      <c r="A695" s="10">
        <v>2024315</v>
      </c>
      <c r="B695" s="12" t="s">
        <v>218</v>
      </c>
      <c r="C695">
        <f t="shared" si="288"/>
        <v>8</v>
      </c>
      <c r="D695">
        <f t="shared" si="289"/>
        <v>0</v>
      </c>
      <c r="E695">
        <f t="shared" si="290"/>
        <v>2</v>
      </c>
      <c r="F695">
        <f t="shared" si="291"/>
        <v>10</v>
      </c>
      <c r="G695">
        <f t="shared" si="292"/>
        <v>0</v>
      </c>
      <c r="H695">
        <f t="shared" si="293"/>
        <v>8</v>
      </c>
      <c r="I695">
        <f t="shared" si="294"/>
        <v>1.25</v>
      </c>
      <c r="J695">
        <f t="shared" si="295"/>
        <v>0</v>
      </c>
      <c r="K695">
        <f t="shared" si="296"/>
        <v>0.33</v>
      </c>
      <c r="L695">
        <f t="shared" si="297"/>
        <v>0.33</v>
      </c>
      <c r="M695">
        <f t="shared" si="298"/>
        <v>0</v>
      </c>
      <c r="N695">
        <f t="shared" si="299"/>
        <v>0.9</v>
      </c>
      <c r="O695" t="str">
        <f t="shared" si="303"/>
        <v>松散</v>
      </c>
      <c r="P695" t="str">
        <f t="shared" si="300"/>
        <v>极紧凑</v>
      </c>
      <c r="Q695" t="str">
        <f t="shared" si="301"/>
        <v>✓有效</v>
      </c>
      <c r="R695" t="str">
        <f t="shared" si="302"/>
        <v>正常</v>
      </c>
    </row>
    <row r="696" ht="14.25" customHeight="1" spans="1:18">
      <c r="A696" s="10">
        <v>2024316</v>
      </c>
      <c r="B696" s="12" t="s">
        <v>545</v>
      </c>
      <c r="C696">
        <f t="shared" si="288"/>
        <v>7</v>
      </c>
      <c r="D696">
        <f t="shared" si="289"/>
        <v>8</v>
      </c>
      <c r="E696">
        <f t="shared" si="290"/>
        <v>9</v>
      </c>
      <c r="F696">
        <f t="shared" si="291"/>
        <v>24</v>
      </c>
      <c r="G696">
        <f t="shared" si="292"/>
        <v>4</v>
      </c>
      <c r="H696">
        <f t="shared" si="293"/>
        <v>2</v>
      </c>
      <c r="I696">
        <f t="shared" si="294"/>
        <v>12</v>
      </c>
      <c r="J696">
        <f t="shared" si="295"/>
        <v>0.67</v>
      </c>
      <c r="K696">
        <f t="shared" si="296"/>
        <v>1</v>
      </c>
      <c r="L696">
        <f t="shared" si="297"/>
        <v>0.33</v>
      </c>
      <c r="M696">
        <f t="shared" si="298"/>
        <v>2</v>
      </c>
      <c r="N696">
        <f t="shared" si="299"/>
        <v>5.27</v>
      </c>
      <c r="O696" t="str">
        <f t="shared" si="303"/>
        <v>紧凑</v>
      </c>
      <c r="P696" t="str">
        <f t="shared" si="300"/>
        <v>松散</v>
      </c>
      <c r="Q696" t="str">
        <f t="shared" si="301"/>
        <v>✓有效</v>
      </c>
      <c r="R696" t="str">
        <f t="shared" si="302"/>
        <v>异常</v>
      </c>
    </row>
    <row r="697" ht="14.25" customHeight="1" spans="1:18">
      <c r="A697" s="10">
        <v>2024317</v>
      </c>
      <c r="B697" s="12" t="s">
        <v>546</v>
      </c>
      <c r="C697">
        <f t="shared" si="288"/>
        <v>3</v>
      </c>
      <c r="D697">
        <f t="shared" si="289"/>
        <v>8</v>
      </c>
      <c r="E697">
        <f t="shared" si="290"/>
        <v>6</v>
      </c>
      <c r="F697">
        <f t="shared" si="291"/>
        <v>17</v>
      </c>
      <c r="G697">
        <f t="shared" si="292"/>
        <v>7</v>
      </c>
      <c r="H697">
        <f t="shared" si="293"/>
        <v>5</v>
      </c>
      <c r="I697">
        <f t="shared" si="294"/>
        <v>3.4</v>
      </c>
      <c r="J697">
        <f t="shared" si="295"/>
        <v>0.33</v>
      </c>
      <c r="K697">
        <f t="shared" si="296"/>
        <v>0.67</v>
      </c>
      <c r="L697">
        <f t="shared" si="297"/>
        <v>0.33</v>
      </c>
      <c r="M697">
        <f t="shared" si="298"/>
        <v>0</v>
      </c>
      <c r="N697">
        <f t="shared" si="299"/>
        <v>1.89</v>
      </c>
      <c r="O697" t="str">
        <f t="shared" si="303"/>
        <v>标准</v>
      </c>
      <c r="P697" t="str">
        <f t="shared" si="300"/>
        <v>紧凑</v>
      </c>
      <c r="Q697" t="str">
        <f t="shared" si="301"/>
        <v>✓有效</v>
      </c>
      <c r="R697" t="str">
        <f t="shared" si="302"/>
        <v>正常</v>
      </c>
    </row>
    <row r="698" ht="14.25" customHeight="1" spans="1:18">
      <c r="A698" s="10">
        <v>2024318</v>
      </c>
      <c r="B698" s="12" t="s">
        <v>547</v>
      </c>
      <c r="C698">
        <f t="shared" si="288"/>
        <v>5</v>
      </c>
      <c r="D698">
        <f t="shared" si="289"/>
        <v>2</v>
      </c>
      <c r="E698">
        <f t="shared" si="290"/>
        <v>5</v>
      </c>
      <c r="F698">
        <f t="shared" si="291"/>
        <v>12</v>
      </c>
      <c r="G698">
        <f t="shared" si="292"/>
        <v>2</v>
      </c>
      <c r="H698">
        <f t="shared" si="293"/>
        <v>3</v>
      </c>
      <c r="I698">
        <f t="shared" si="294"/>
        <v>4</v>
      </c>
      <c r="J698">
        <f t="shared" si="295"/>
        <v>0.67</v>
      </c>
      <c r="K698">
        <f t="shared" si="296"/>
        <v>0.67</v>
      </c>
      <c r="L698">
        <f t="shared" si="297"/>
        <v>1</v>
      </c>
      <c r="M698">
        <f t="shared" si="298"/>
        <v>0</v>
      </c>
      <c r="N698">
        <f t="shared" si="299"/>
        <v>2.27</v>
      </c>
      <c r="O698" t="str">
        <f t="shared" si="303"/>
        <v>紧凑</v>
      </c>
      <c r="P698" t="str">
        <f t="shared" si="300"/>
        <v>紧凑</v>
      </c>
      <c r="Q698" t="str">
        <f t="shared" si="301"/>
        <v>✓有效</v>
      </c>
      <c r="R698" t="str">
        <f t="shared" si="302"/>
        <v>正常</v>
      </c>
    </row>
    <row r="699" ht="14.25" customHeight="1" spans="1:18">
      <c r="A699" s="10">
        <v>2024319</v>
      </c>
      <c r="B699" s="12" t="s">
        <v>548</v>
      </c>
      <c r="C699">
        <f t="shared" si="288"/>
        <v>7</v>
      </c>
      <c r="D699">
        <f t="shared" si="289"/>
        <v>2</v>
      </c>
      <c r="E699">
        <f t="shared" si="290"/>
        <v>6</v>
      </c>
      <c r="F699">
        <f t="shared" si="291"/>
        <v>15</v>
      </c>
      <c r="G699">
        <f t="shared" si="292"/>
        <v>5</v>
      </c>
      <c r="H699">
        <f t="shared" si="293"/>
        <v>5</v>
      </c>
      <c r="I699">
        <f t="shared" si="294"/>
        <v>3</v>
      </c>
      <c r="J699">
        <f t="shared" si="295"/>
        <v>0.33</v>
      </c>
      <c r="K699">
        <f t="shared" si="296"/>
        <v>0.67</v>
      </c>
      <c r="L699">
        <f t="shared" si="297"/>
        <v>0.67</v>
      </c>
      <c r="M699">
        <f t="shared" si="298"/>
        <v>1</v>
      </c>
      <c r="N699">
        <f t="shared" si="299"/>
        <v>1.67</v>
      </c>
      <c r="O699" t="str">
        <f t="shared" si="303"/>
        <v>标准</v>
      </c>
      <c r="P699" t="str">
        <f t="shared" si="300"/>
        <v>紧凑</v>
      </c>
      <c r="Q699" t="str">
        <f t="shared" si="301"/>
        <v>✓有效</v>
      </c>
      <c r="R699" t="str">
        <f t="shared" si="302"/>
        <v>正常</v>
      </c>
    </row>
    <row r="700" ht="14.25" customHeight="1" spans="1:18">
      <c r="A700" s="10">
        <v>2024320</v>
      </c>
      <c r="B700" s="12" t="s">
        <v>413</v>
      </c>
      <c r="C700">
        <f t="shared" si="288"/>
        <v>7</v>
      </c>
      <c r="D700">
        <f t="shared" si="289"/>
        <v>7</v>
      </c>
      <c r="E700">
        <f t="shared" si="290"/>
        <v>8</v>
      </c>
      <c r="F700">
        <f t="shared" si="291"/>
        <v>22</v>
      </c>
      <c r="G700">
        <f t="shared" si="292"/>
        <v>2</v>
      </c>
      <c r="H700">
        <f t="shared" si="293"/>
        <v>1</v>
      </c>
      <c r="I700">
        <f t="shared" si="294"/>
        <v>22</v>
      </c>
      <c r="J700">
        <f t="shared" si="295"/>
        <v>0.67</v>
      </c>
      <c r="K700">
        <f t="shared" si="296"/>
        <v>1</v>
      </c>
      <c r="L700">
        <f t="shared" si="297"/>
        <v>0.67</v>
      </c>
      <c r="M700">
        <f t="shared" si="298"/>
        <v>2</v>
      </c>
      <c r="N700">
        <f t="shared" si="299"/>
        <v>9.3</v>
      </c>
      <c r="O700" t="str">
        <f t="shared" si="303"/>
        <v>紧凑</v>
      </c>
      <c r="P700" t="str">
        <f t="shared" si="300"/>
        <v>松散</v>
      </c>
      <c r="Q700" t="str">
        <f t="shared" si="301"/>
        <v>✓有效</v>
      </c>
      <c r="R700" t="str">
        <f t="shared" si="302"/>
        <v>异常</v>
      </c>
    </row>
    <row r="701" ht="14.25" customHeight="1" spans="1:18">
      <c r="A701" s="10">
        <v>2024321</v>
      </c>
      <c r="B701" s="12" t="s">
        <v>394</v>
      </c>
      <c r="C701">
        <f t="shared" si="288"/>
        <v>5</v>
      </c>
      <c r="D701">
        <f t="shared" si="289"/>
        <v>4</v>
      </c>
      <c r="E701">
        <f t="shared" si="290"/>
        <v>2</v>
      </c>
      <c r="F701">
        <f t="shared" si="291"/>
        <v>11</v>
      </c>
      <c r="G701">
        <f t="shared" si="292"/>
        <v>1</v>
      </c>
      <c r="H701">
        <f t="shared" si="293"/>
        <v>3</v>
      </c>
      <c r="I701">
        <f t="shared" si="294"/>
        <v>3.67</v>
      </c>
      <c r="J701">
        <f t="shared" si="295"/>
        <v>0.33</v>
      </c>
      <c r="K701">
        <f t="shared" si="296"/>
        <v>0.33</v>
      </c>
      <c r="L701">
        <f t="shared" si="297"/>
        <v>0.67</v>
      </c>
      <c r="M701">
        <f t="shared" si="298"/>
        <v>1</v>
      </c>
      <c r="N701">
        <f t="shared" si="299"/>
        <v>1.87</v>
      </c>
      <c r="O701" t="str">
        <f t="shared" si="303"/>
        <v>紧凑</v>
      </c>
      <c r="P701" t="str">
        <f t="shared" si="300"/>
        <v>紧凑</v>
      </c>
      <c r="Q701" t="str">
        <f t="shared" si="301"/>
        <v>✓有效</v>
      </c>
      <c r="R701" t="str">
        <f t="shared" si="302"/>
        <v>正常</v>
      </c>
    </row>
    <row r="702" ht="14.25" customHeight="1" spans="1:18">
      <c r="A702" s="10">
        <v>2024322</v>
      </c>
      <c r="B702" s="12" t="s">
        <v>549</v>
      </c>
      <c r="C702">
        <f t="shared" si="288"/>
        <v>8</v>
      </c>
      <c r="D702">
        <f t="shared" si="289"/>
        <v>6</v>
      </c>
      <c r="E702">
        <f t="shared" si="290"/>
        <v>7</v>
      </c>
      <c r="F702">
        <f t="shared" si="291"/>
        <v>21</v>
      </c>
      <c r="G702">
        <f t="shared" si="292"/>
        <v>1</v>
      </c>
      <c r="H702">
        <f t="shared" si="293"/>
        <v>2</v>
      </c>
      <c r="I702">
        <f t="shared" si="294"/>
        <v>10.5</v>
      </c>
      <c r="J702">
        <f t="shared" si="295"/>
        <v>0.33</v>
      </c>
      <c r="K702">
        <f t="shared" si="296"/>
        <v>1</v>
      </c>
      <c r="L702">
        <f t="shared" si="297"/>
        <v>0.33</v>
      </c>
      <c r="M702">
        <f t="shared" si="298"/>
        <v>2</v>
      </c>
      <c r="N702">
        <f t="shared" si="299"/>
        <v>4.6</v>
      </c>
      <c r="O702" t="str">
        <f t="shared" si="303"/>
        <v>紧凑</v>
      </c>
      <c r="P702" t="str">
        <f t="shared" si="300"/>
        <v>标准</v>
      </c>
      <c r="Q702" t="str">
        <f t="shared" si="301"/>
        <v>✓有效</v>
      </c>
      <c r="R702" t="str">
        <f t="shared" si="302"/>
        <v>异常</v>
      </c>
    </row>
    <row r="703" ht="14.25" customHeight="1" spans="1:18">
      <c r="A703" s="10">
        <v>2024323</v>
      </c>
      <c r="B703" s="12" t="s">
        <v>449</v>
      </c>
      <c r="C703">
        <f t="shared" si="288"/>
        <v>5</v>
      </c>
      <c r="D703">
        <f t="shared" si="289"/>
        <v>3</v>
      </c>
      <c r="E703">
        <f t="shared" si="290"/>
        <v>6</v>
      </c>
      <c r="F703">
        <f t="shared" si="291"/>
        <v>14</v>
      </c>
      <c r="G703">
        <f t="shared" si="292"/>
        <v>4</v>
      </c>
      <c r="H703">
        <f t="shared" si="293"/>
        <v>3</v>
      </c>
      <c r="I703">
        <f t="shared" si="294"/>
        <v>4.67</v>
      </c>
      <c r="J703">
        <f t="shared" si="295"/>
        <v>0.67</v>
      </c>
      <c r="K703">
        <f t="shared" si="296"/>
        <v>0.67</v>
      </c>
      <c r="L703">
        <f t="shared" si="297"/>
        <v>0.67</v>
      </c>
      <c r="M703">
        <f t="shared" si="298"/>
        <v>1</v>
      </c>
      <c r="N703">
        <f t="shared" si="299"/>
        <v>2.4</v>
      </c>
      <c r="O703" t="str">
        <f t="shared" si="303"/>
        <v>紧凑</v>
      </c>
      <c r="P703" t="str">
        <f t="shared" si="300"/>
        <v>紧凑</v>
      </c>
      <c r="Q703" t="str">
        <f t="shared" si="301"/>
        <v>✓有效</v>
      </c>
      <c r="R703" t="str">
        <f t="shared" si="302"/>
        <v>正常</v>
      </c>
    </row>
    <row r="704" ht="14.25" customHeight="1" spans="1:18">
      <c r="A704" s="10">
        <v>2024324</v>
      </c>
      <c r="B704" s="12" t="s">
        <v>550</v>
      </c>
      <c r="C704">
        <f t="shared" si="288"/>
        <v>3</v>
      </c>
      <c r="D704">
        <f t="shared" si="289"/>
        <v>8</v>
      </c>
      <c r="E704">
        <f t="shared" si="290"/>
        <v>4</v>
      </c>
      <c r="F704">
        <f t="shared" si="291"/>
        <v>15</v>
      </c>
      <c r="G704">
        <f t="shared" si="292"/>
        <v>5</v>
      </c>
      <c r="H704">
        <f t="shared" si="293"/>
        <v>5</v>
      </c>
      <c r="I704">
        <f t="shared" si="294"/>
        <v>3</v>
      </c>
      <c r="J704">
        <f t="shared" si="295"/>
        <v>0.33</v>
      </c>
      <c r="K704">
        <f t="shared" si="296"/>
        <v>0.33</v>
      </c>
      <c r="L704">
        <f t="shared" si="297"/>
        <v>0.33</v>
      </c>
      <c r="M704">
        <f t="shared" si="298"/>
        <v>1</v>
      </c>
      <c r="N704">
        <f t="shared" si="299"/>
        <v>1.57</v>
      </c>
      <c r="O704" t="str">
        <f t="shared" si="303"/>
        <v>标准</v>
      </c>
      <c r="P704" t="str">
        <f t="shared" si="300"/>
        <v>紧凑</v>
      </c>
      <c r="Q704" t="str">
        <f t="shared" si="301"/>
        <v>✓有效</v>
      </c>
      <c r="R704" t="str">
        <f t="shared" si="302"/>
        <v>正常</v>
      </c>
    </row>
    <row r="705" ht="14.25" customHeight="1" spans="1:18">
      <c r="A705" s="10">
        <v>2024325</v>
      </c>
      <c r="B705" s="12" t="s">
        <v>77</v>
      </c>
      <c r="C705">
        <f t="shared" si="288"/>
        <v>1</v>
      </c>
      <c r="D705">
        <f t="shared" si="289"/>
        <v>5</v>
      </c>
      <c r="E705">
        <f t="shared" si="290"/>
        <v>8</v>
      </c>
      <c r="F705">
        <f t="shared" si="291"/>
        <v>14</v>
      </c>
      <c r="G705">
        <f t="shared" si="292"/>
        <v>4</v>
      </c>
      <c r="H705">
        <f t="shared" si="293"/>
        <v>7</v>
      </c>
      <c r="I705">
        <f t="shared" si="294"/>
        <v>2</v>
      </c>
      <c r="J705">
        <f t="shared" si="295"/>
        <v>0.67</v>
      </c>
      <c r="K705">
        <f t="shared" si="296"/>
        <v>0.67</v>
      </c>
      <c r="L705">
        <f t="shared" si="297"/>
        <v>0.33</v>
      </c>
      <c r="M705">
        <f t="shared" si="298"/>
        <v>0</v>
      </c>
      <c r="N705">
        <f t="shared" si="299"/>
        <v>1.4</v>
      </c>
      <c r="O705" t="str">
        <f t="shared" si="303"/>
        <v>标准</v>
      </c>
      <c r="P705" t="str">
        <f t="shared" si="300"/>
        <v>极紧凑</v>
      </c>
      <c r="Q705" t="str">
        <f t="shared" si="301"/>
        <v>✓有效</v>
      </c>
      <c r="R705" t="str">
        <f t="shared" si="302"/>
        <v>正常</v>
      </c>
    </row>
    <row r="706" ht="14.25" customHeight="1" spans="1:18">
      <c r="A706" s="10">
        <v>2024326</v>
      </c>
      <c r="B706" s="12" t="s">
        <v>551</v>
      </c>
      <c r="C706">
        <f t="shared" si="288"/>
        <v>7</v>
      </c>
      <c r="D706">
        <f t="shared" si="289"/>
        <v>2</v>
      </c>
      <c r="E706">
        <f t="shared" si="290"/>
        <v>2</v>
      </c>
      <c r="F706">
        <f t="shared" si="291"/>
        <v>11</v>
      </c>
      <c r="G706">
        <f t="shared" si="292"/>
        <v>1</v>
      </c>
      <c r="H706">
        <f t="shared" si="293"/>
        <v>5</v>
      </c>
      <c r="I706">
        <f t="shared" si="294"/>
        <v>2.2</v>
      </c>
      <c r="J706">
        <f t="shared" si="295"/>
        <v>0.33</v>
      </c>
      <c r="K706">
        <f t="shared" si="296"/>
        <v>0.33</v>
      </c>
      <c r="L706">
        <f t="shared" si="297"/>
        <v>1</v>
      </c>
      <c r="M706">
        <f t="shared" si="298"/>
        <v>0</v>
      </c>
      <c r="N706">
        <f t="shared" si="299"/>
        <v>1.41</v>
      </c>
      <c r="O706" t="str">
        <f t="shared" si="303"/>
        <v>标准</v>
      </c>
      <c r="P706" t="str">
        <f t="shared" si="300"/>
        <v>极紧凑</v>
      </c>
      <c r="Q706" t="str">
        <f t="shared" si="301"/>
        <v>✓有效</v>
      </c>
      <c r="R706" t="str">
        <f t="shared" si="302"/>
        <v>正常</v>
      </c>
    </row>
    <row r="707" ht="14.25" customHeight="1" spans="1:18">
      <c r="A707" s="10">
        <v>2024327</v>
      </c>
      <c r="B707" s="12" t="s">
        <v>242</v>
      </c>
      <c r="C707">
        <f t="shared" si="288"/>
        <v>2</v>
      </c>
      <c r="D707">
        <f t="shared" si="289"/>
        <v>8</v>
      </c>
      <c r="E707">
        <f t="shared" si="290"/>
        <v>0</v>
      </c>
      <c r="F707">
        <f t="shared" si="291"/>
        <v>10</v>
      </c>
      <c r="G707">
        <f t="shared" si="292"/>
        <v>0</v>
      </c>
      <c r="H707">
        <f t="shared" si="293"/>
        <v>8</v>
      </c>
      <c r="I707">
        <f t="shared" si="294"/>
        <v>1.25</v>
      </c>
      <c r="J707">
        <f t="shared" si="295"/>
        <v>0</v>
      </c>
      <c r="K707">
        <f t="shared" si="296"/>
        <v>0.33</v>
      </c>
      <c r="L707">
        <f t="shared" si="297"/>
        <v>0.33</v>
      </c>
      <c r="M707">
        <f t="shared" si="298"/>
        <v>0</v>
      </c>
      <c r="N707">
        <f t="shared" si="299"/>
        <v>0.9</v>
      </c>
      <c r="O707" t="str">
        <f t="shared" si="303"/>
        <v>松散</v>
      </c>
      <c r="P707" t="str">
        <f t="shared" si="300"/>
        <v>极紧凑</v>
      </c>
      <c r="Q707" t="str">
        <f t="shared" si="301"/>
        <v>✓有效</v>
      </c>
      <c r="R707" t="str">
        <f t="shared" si="302"/>
        <v>正常</v>
      </c>
    </row>
    <row r="708" ht="14.25" customHeight="1" spans="1:18">
      <c r="A708" s="10">
        <v>2024328</v>
      </c>
      <c r="B708" s="12" t="s">
        <v>128</v>
      </c>
      <c r="C708">
        <f t="shared" si="288"/>
        <v>3</v>
      </c>
      <c r="D708">
        <f t="shared" si="289"/>
        <v>0</v>
      </c>
      <c r="E708">
        <f t="shared" si="290"/>
        <v>6</v>
      </c>
      <c r="F708">
        <f t="shared" si="291"/>
        <v>9</v>
      </c>
      <c r="G708">
        <f t="shared" si="292"/>
        <v>9</v>
      </c>
      <c r="H708">
        <f t="shared" si="293"/>
        <v>6</v>
      </c>
      <c r="I708">
        <f t="shared" si="294"/>
        <v>1.5</v>
      </c>
      <c r="J708">
        <f t="shared" si="295"/>
        <v>0.33</v>
      </c>
      <c r="K708">
        <f t="shared" si="296"/>
        <v>0.33</v>
      </c>
      <c r="L708">
        <f t="shared" si="297"/>
        <v>0.33</v>
      </c>
      <c r="M708">
        <f t="shared" si="298"/>
        <v>0</v>
      </c>
      <c r="N708">
        <f t="shared" si="299"/>
        <v>1.07</v>
      </c>
      <c r="O708" t="str">
        <f t="shared" si="303"/>
        <v>松散</v>
      </c>
      <c r="P708" t="str">
        <f t="shared" si="300"/>
        <v>极紧凑</v>
      </c>
      <c r="Q708" t="str">
        <f t="shared" si="301"/>
        <v>✓有效</v>
      </c>
      <c r="R708" t="str">
        <f t="shared" si="302"/>
        <v>正常</v>
      </c>
    </row>
    <row r="709" ht="14.25" customHeight="1" spans="1:18">
      <c r="A709" s="10">
        <v>2024329</v>
      </c>
      <c r="B709" s="12" t="s">
        <v>552</v>
      </c>
      <c r="C709">
        <f t="shared" si="288"/>
        <v>9</v>
      </c>
      <c r="D709">
        <f t="shared" si="289"/>
        <v>1</v>
      </c>
      <c r="E709">
        <f t="shared" si="290"/>
        <v>0</v>
      </c>
      <c r="F709">
        <f t="shared" si="291"/>
        <v>10</v>
      </c>
      <c r="G709">
        <f t="shared" si="292"/>
        <v>0</v>
      </c>
      <c r="H709">
        <f t="shared" si="293"/>
        <v>9</v>
      </c>
      <c r="I709">
        <f t="shared" si="294"/>
        <v>1.11</v>
      </c>
      <c r="J709">
        <f t="shared" si="295"/>
        <v>0.67</v>
      </c>
      <c r="K709">
        <f t="shared" si="296"/>
        <v>0.33</v>
      </c>
      <c r="L709">
        <f t="shared" si="297"/>
        <v>0</v>
      </c>
      <c r="M709">
        <f t="shared" si="298"/>
        <v>1</v>
      </c>
      <c r="N709">
        <f t="shared" si="299"/>
        <v>0.84</v>
      </c>
      <c r="O709" t="str">
        <f t="shared" si="303"/>
        <v>松散</v>
      </c>
      <c r="P709" t="str">
        <f t="shared" si="300"/>
        <v>极紧凑</v>
      </c>
      <c r="Q709" t="str">
        <f t="shared" si="301"/>
        <v>✓有效</v>
      </c>
      <c r="R709" t="str">
        <f t="shared" si="302"/>
        <v>正常</v>
      </c>
    </row>
    <row r="710" ht="14.25" customHeight="1" spans="1:18">
      <c r="A710" s="10">
        <v>2024330</v>
      </c>
      <c r="B710" s="12" t="s">
        <v>553</v>
      </c>
      <c r="C710">
        <f t="shared" si="288"/>
        <v>1</v>
      </c>
      <c r="D710">
        <f t="shared" si="289"/>
        <v>6</v>
      </c>
      <c r="E710">
        <f t="shared" si="290"/>
        <v>7</v>
      </c>
      <c r="F710">
        <f t="shared" si="291"/>
        <v>14</v>
      </c>
      <c r="G710">
        <f t="shared" si="292"/>
        <v>4</v>
      </c>
      <c r="H710">
        <f t="shared" si="293"/>
        <v>6</v>
      </c>
      <c r="I710">
        <f t="shared" si="294"/>
        <v>2.33</v>
      </c>
      <c r="J710">
        <f t="shared" si="295"/>
        <v>0.67</v>
      </c>
      <c r="K710">
        <f t="shared" si="296"/>
        <v>0.67</v>
      </c>
      <c r="L710">
        <f t="shared" si="297"/>
        <v>0.33</v>
      </c>
      <c r="M710">
        <f t="shared" si="298"/>
        <v>1</v>
      </c>
      <c r="N710">
        <f t="shared" si="299"/>
        <v>1.43</v>
      </c>
      <c r="O710" t="str">
        <f t="shared" si="303"/>
        <v>标准</v>
      </c>
      <c r="P710" t="str">
        <f t="shared" si="300"/>
        <v>极紧凑</v>
      </c>
      <c r="Q710" t="str">
        <f t="shared" si="301"/>
        <v>✓有效</v>
      </c>
      <c r="R710" t="str">
        <f t="shared" si="302"/>
        <v>正常</v>
      </c>
    </row>
    <row r="711" ht="14.25" customHeight="1" spans="1:18">
      <c r="A711" s="10">
        <v>2024331</v>
      </c>
      <c r="B711" s="12" t="s">
        <v>554</v>
      </c>
      <c r="C711">
        <f t="shared" si="288"/>
        <v>9</v>
      </c>
      <c r="D711">
        <f t="shared" si="289"/>
        <v>6</v>
      </c>
      <c r="E711">
        <f t="shared" si="290"/>
        <v>4</v>
      </c>
      <c r="F711">
        <f t="shared" si="291"/>
        <v>19</v>
      </c>
      <c r="G711">
        <f t="shared" si="292"/>
        <v>9</v>
      </c>
      <c r="H711">
        <f t="shared" si="293"/>
        <v>5</v>
      </c>
      <c r="I711">
        <f t="shared" si="294"/>
        <v>3.8</v>
      </c>
      <c r="J711">
        <f t="shared" si="295"/>
        <v>0.33</v>
      </c>
      <c r="K711">
        <f t="shared" si="296"/>
        <v>0.67</v>
      </c>
      <c r="L711">
        <f t="shared" si="297"/>
        <v>0</v>
      </c>
      <c r="M711">
        <f t="shared" si="298"/>
        <v>0</v>
      </c>
      <c r="N711">
        <f t="shared" si="299"/>
        <v>2.02</v>
      </c>
      <c r="O711" t="str">
        <f t="shared" si="303"/>
        <v>紧凑</v>
      </c>
      <c r="P711" t="str">
        <f t="shared" si="300"/>
        <v>紧凑</v>
      </c>
      <c r="Q711" t="str">
        <f t="shared" si="301"/>
        <v>✓有效</v>
      </c>
      <c r="R711" t="str">
        <f t="shared" si="302"/>
        <v>正常</v>
      </c>
    </row>
    <row r="712" ht="14.25" customHeight="1" spans="1:18">
      <c r="A712" s="10">
        <v>2024332</v>
      </c>
      <c r="B712" s="12" t="s">
        <v>458</v>
      </c>
      <c r="C712">
        <f t="shared" si="288"/>
        <v>7</v>
      </c>
      <c r="D712">
        <f t="shared" si="289"/>
        <v>6</v>
      </c>
      <c r="E712">
        <f t="shared" si="290"/>
        <v>5</v>
      </c>
      <c r="F712">
        <f t="shared" si="291"/>
        <v>18</v>
      </c>
      <c r="G712">
        <f t="shared" si="292"/>
        <v>8</v>
      </c>
      <c r="H712">
        <f t="shared" si="293"/>
        <v>2</v>
      </c>
      <c r="I712">
        <f t="shared" si="294"/>
        <v>9</v>
      </c>
      <c r="J712">
        <f t="shared" si="295"/>
        <v>0.67</v>
      </c>
      <c r="K712">
        <f t="shared" si="296"/>
        <v>1</v>
      </c>
      <c r="L712">
        <f t="shared" si="297"/>
        <v>0.67</v>
      </c>
      <c r="M712">
        <f t="shared" si="298"/>
        <v>2</v>
      </c>
      <c r="N712">
        <f t="shared" si="299"/>
        <v>4.1</v>
      </c>
      <c r="O712" t="str">
        <f t="shared" si="303"/>
        <v>紧凑</v>
      </c>
      <c r="P712" t="str">
        <f t="shared" si="300"/>
        <v>标准</v>
      </c>
      <c r="Q712" t="str">
        <f t="shared" si="301"/>
        <v>✓有效</v>
      </c>
      <c r="R712" t="str">
        <f t="shared" si="302"/>
        <v>正常</v>
      </c>
    </row>
    <row r="713" ht="14.25" customHeight="1" spans="1:18">
      <c r="A713" s="10">
        <v>2024333</v>
      </c>
      <c r="B713" s="12" t="s">
        <v>555</v>
      </c>
      <c r="C713">
        <f t="shared" si="288"/>
        <v>9</v>
      </c>
      <c r="D713">
        <f t="shared" si="289"/>
        <v>5</v>
      </c>
      <c r="E713">
        <f t="shared" si="290"/>
        <v>1</v>
      </c>
      <c r="F713">
        <f t="shared" si="291"/>
        <v>15</v>
      </c>
      <c r="G713">
        <f t="shared" si="292"/>
        <v>5</v>
      </c>
      <c r="H713">
        <f t="shared" si="293"/>
        <v>8</v>
      </c>
      <c r="I713">
        <f t="shared" si="294"/>
        <v>1.88</v>
      </c>
      <c r="J713">
        <f t="shared" si="295"/>
        <v>1</v>
      </c>
      <c r="K713">
        <f t="shared" si="296"/>
        <v>0.67</v>
      </c>
      <c r="L713">
        <f t="shared" si="297"/>
        <v>0.33</v>
      </c>
      <c r="M713">
        <f t="shared" si="298"/>
        <v>0</v>
      </c>
      <c r="N713">
        <f t="shared" si="299"/>
        <v>1.42</v>
      </c>
      <c r="O713" t="str">
        <f t="shared" si="303"/>
        <v>松散</v>
      </c>
      <c r="P713" t="str">
        <f t="shared" si="300"/>
        <v>极紧凑</v>
      </c>
      <c r="Q713" t="str">
        <f t="shared" si="301"/>
        <v>✓有效</v>
      </c>
      <c r="R713" t="str">
        <f t="shared" si="302"/>
        <v>正常</v>
      </c>
    </row>
    <row r="714" ht="14.25" customHeight="1" spans="1:18">
      <c r="A714" s="10">
        <v>2024334</v>
      </c>
      <c r="B714" s="12" t="s">
        <v>556</v>
      </c>
      <c r="C714">
        <f t="shared" si="288"/>
        <v>5</v>
      </c>
      <c r="D714">
        <f t="shared" si="289"/>
        <v>4</v>
      </c>
      <c r="E714">
        <f t="shared" si="290"/>
        <v>1</v>
      </c>
      <c r="F714">
        <f t="shared" si="291"/>
        <v>10</v>
      </c>
      <c r="G714">
        <f t="shared" si="292"/>
        <v>0</v>
      </c>
      <c r="H714">
        <f t="shared" si="293"/>
        <v>4</v>
      </c>
      <c r="I714">
        <f t="shared" si="294"/>
        <v>2.5</v>
      </c>
      <c r="J714">
        <f t="shared" si="295"/>
        <v>0.67</v>
      </c>
      <c r="K714">
        <f t="shared" si="296"/>
        <v>0.33</v>
      </c>
      <c r="L714">
        <f t="shared" si="297"/>
        <v>0.33</v>
      </c>
      <c r="M714">
        <f t="shared" si="298"/>
        <v>1</v>
      </c>
      <c r="N714">
        <f t="shared" si="299"/>
        <v>1.43</v>
      </c>
      <c r="O714" t="str">
        <f t="shared" si="303"/>
        <v>标准</v>
      </c>
      <c r="P714" t="str">
        <f t="shared" si="300"/>
        <v>极紧凑</v>
      </c>
      <c r="Q714" t="str">
        <f t="shared" si="301"/>
        <v>✓有效</v>
      </c>
      <c r="R714" t="str">
        <f t="shared" si="302"/>
        <v>正常</v>
      </c>
    </row>
    <row r="715" ht="14.25" customHeight="1" spans="1:18">
      <c r="A715" s="10">
        <v>2024335</v>
      </c>
      <c r="B715" s="12" t="s">
        <v>557</v>
      </c>
      <c r="C715">
        <f t="shared" si="288"/>
        <v>5</v>
      </c>
      <c r="D715">
        <f t="shared" si="289"/>
        <v>9</v>
      </c>
      <c r="E715">
        <f t="shared" si="290"/>
        <v>3</v>
      </c>
      <c r="F715">
        <f t="shared" si="291"/>
        <v>17</v>
      </c>
      <c r="G715">
        <f t="shared" si="292"/>
        <v>7</v>
      </c>
      <c r="H715">
        <f t="shared" si="293"/>
        <v>6</v>
      </c>
      <c r="I715">
        <f t="shared" si="294"/>
        <v>2.83</v>
      </c>
      <c r="J715">
        <f t="shared" si="295"/>
        <v>1</v>
      </c>
      <c r="K715">
        <f t="shared" si="296"/>
        <v>0.67</v>
      </c>
      <c r="L715">
        <f t="shared" si="297"/>
        <v>0.67</v>
      </c>
      <c r="M715">
        <f t="shared" si="298"/>
        <v>0</v>
      </c>
      <c r="N715">
        <f t="shared" si="299"/>
        <v>1.83</v>
      </c>
      <c r="O715" t="str">
        <f t="shared" si="303"/>
        <v>标准</v>
      </c>
      <c r="P715" t="str">
        <f t="shared" si="300"/>
        <v>紧凑</v>
      </c>
      <c r="Q715" t="str">
        <f t="shared" si="301"/>
        <v>✓有效</v>
      </c>
      <c r="R715" t="str">
        <f t="shared" si="302"/>
        <v>正常</v>
      </c>
    </row>
    <row r="716" ht="14.25" customHeight="1" spans="1:18">
      <c r="A716" s="10">
        <v>2024336</v>
      </c>
      <c r="B716" s="12" t="s">
        <v>554</v>
      </c>
      <c r="C716">
        <f t="shared" si="288"/>
        <v>9</v>
      </c>
      <c r="D716">
        <f t="shared" si="289"/>
        <v>6</v>
      </c>
      <c r="E716">
        <f t="shared" si="290"/>
        <v>4</v>
      </c>
      <c r="F716">
        <f t="shared" si="291"/>
        <v>19</v>
      </c>
      <c r="G716">
        <f t="shared" si="292"/>
        <v>9</v>
      </c>
      <c r="H716">
        <f t="shared" si="293"/>
        <v>5</v>
      </c>
      <c r="I716">
        <f t="shared" si="294"/>
        <v>3.8</v>
      </c>
      <c r="J716">
        <f t="shared" si="295"/>
        <v>0.33</v>
      </c>
      <c r="K716">
        <f t="shared" si="296"/>
        <v>0.67</v>
      </c>
      <c r="L716">
        <f t="shared" si="297"/>
        <v>0</v>
      </c>
      <c r="M716">
        <f t="shared" si="298"/>
        <v>0</v>
      </c>
      <c r="N716">
        <f t="shared" si="299"/>
        <v>2.02</v>
      </c>
      <c r="O716" t="str">
        <f t="shared" si="303"/>
        <v>紧凑</v>
      </c>
      <c r="P716" t="str">
        <f t="shared" si="300"/>
        <v>紧凑</v>
      </c>
      <c r="Q716" t="str">
        <f t="shared" si="301"/>
        <v>✓有效</v>
      </c>
      <c r="R716" t="str">
        <f t="shared" si="302"/>
        <v>正常</v>
      </c>
    </row>
    <row r="717" ht="14.25" customHeight="1" spans="1:18">
      <c r="A717" s="10">
        <v>2024337</v>
      </c>
      <c r="B717" s="12" t="s">
        <v>486</v>
      </c>
      <c r="C717">
        <f t="shared" si="288"/>
        <v>8</v>
      </c>
      <c r="D717">
        <f t="shared" si="289"/>
        <v>4</v>
      </c>
      <c r="E717">
        <f t="shared" si="290"/>
        <v>3</v>
      </c>
      <c r="F717">
        <f t="shared" si="291"/>
        <v>15</v>
      </c>
      <c r="G717">
        <f t="shared" si="292"/>
        <v>5</v>
      </c>
      <c r="H717">
        <f t="shared" si="293"/>
        <v>5</v>
      </c>
      <c r="I717">
        <f t="shared" si="294"/>
        <v>3</v>
      </c>
      <c r="J717">
        <f t="shared" si="295"/>
        <v>0.33</v>
      </c>
      <c r="K717">
        <f t="shared" si="296"/>
        <v>0.33</v>
      </c>
      <c r="L717">
        <f t="shared" si="297"/>
        <v>0.33</v>
      </c>
      <c r="M717">
        <f t="shared" si="298"/>
        <v>1</v>
      </c>
      <c r="N717">
        <f t="shared" si="299"/>
        <v>1.57</v>
      </c>
      <c r="O717" t="str">
        <f t="shared" si="303"/>
        <v>标准</v>
      </c>
      <c r="P717" t="str">
        <f t="shared" si="300"/>
        <v>紧凑</v>
      </c>
      <c r="Q717" t="str">
        <f t="shared" si="301"/>
        <v>✓有效</v>
      </c>
      <c r="R717" t="str">
        <f t="shared" si="302"/>
        <v>正常</v>
      </c>
    </row>
    <row r="718" ht="14.25" customHeight="1" spans="1:18">
      <c r="A718" s="10">
        <v>2024338</v>
      </c>
      <c r="B718" s="12" t="s">
        <v>405</v>
      </c>
      <c r="C718">
        <f t="shared" si="288"/>
        <v>9</v>
      </c>
      <c r="D718">
        <f t="shared" si="289"/>
        <v>7</v>
      </c>
      <c r="E718">
        <f t="shared" si="290"/>
        <v>7</v>
      </c>
      <c r="F718">
        <f t="shared" si="291"/>
        <v>23</v>
      </c>
      <c r="G718">
        <f t="shared" si="292"/>
        <v>3</v>
      </c>
      <c r="H718">
        <f t="shared" si="293"/>
        <v>2</v>
      </c>
      <c r="I718">
        <f t="shared" si="294"/>
        <v>11.5</v>
      </c>
      <c r="J718">
        <f t="shared" si="295"/>
        <v>1</v>
      </c>
      <c r="K718">
        <f t="shared" si="296"/>
        <v>1</v>
      </c>
      <c r="L718">
        <f t="shared" si="297"/>
        <v>0.67</v>
      </c>
      <c r="M718">
        <f t="shared" si="298"/>
        <v>0</v>
      </c>
      <c r="N718">
        <f t="shared" si="299"/>
        <v>5.37</v>
      </c>
      <c r="O718" t="str">
        <f t="shared" si="303"/>
        <v>紧凑</v>
      </c>
      <c r="P718" t="str">
        <f t="shared" si="300"/>
        <v>松散</v>
      </c>
      <c r="Q718" t="str">
        <f t="shared" si="301"/>
        <v>✓有效</v>
      </c>
      <c r="R718" t="str">
        <f t="shared" si="302"/>
        <v>异常</v>
      </c>
    </row>
    <row r="719" ht="14.25" customHeight="1" spans="1:18">
      <c r="A719" s="10">
        <v>2024339</v>
      </c>
      <c r="B719" s="12" t="s">
        <v>558</v>
      </c>
      <c r="C719">
        <f t="shared" si="288"/>
        <v>5</v>
      </c>
      <c r="D719">
        <f t="shared" si="289"/>
        <v>0</v>
      </c>
      <c r="E719">
        <f t="shared" si="290"/>
        <v>9</v>
      </c>
      <c r="F719">
        <f t="shared" si="291"/>
        <v>14</v>
      </c>
      <c r="G719">
        <f t="shared" si="292"/>
        <v>4</v>
      </c>
      <c r="H719">
        <f t="shared" si="293"/>
        <v>9</v>
      </c>
      <c r="I719">
        <f t="shared" si="294"/>
        <v>1.56</v>
      </c>
      <c r="J719">
        <f t="shared" si="295"/>
        <v>0.67</v>
      </c>
      <c r="K719">
        <f t="shared" si="296"/>
        <v>0.67</v>
      </c>
      <c r="L719">
        <f t="shared" si="297"/>
        <v>0.33</v>
      </c>
      <c r="M719">
        <f t="shared" si="298"/>
        <v>0</v>
      </c>
      <c r="N719">
        <f t="shared" si="299"/>
        <v>1.23</v>
      </c>
      <c r="O719" t="str">
        <f t="shared" si="303"/>
        <v>松散</v>
      </c>
      <c r="P719" t="str">
        <f t="shared" si="300"/>
        <v>极紧凑</v>
      </c>
      <c r="Q719" t="str">
        <f t="shared" si="301"/>
        <v>✓有效</v>
      </c>
      <c r="R719" t="str">
        <f t="shared" si="302"/>
        <v>正常</v>
      </c>
    </row>
    <row r="720" ht="14.25" customHeight="1" spans="1:18">
      <c r="A720" s="10">
        <v>2024340</v>
      </c>
      <c r="B720" s="12" t="s">
        <v>309</v>
      </c>
      <c r="C720">
        <f t="shared" si="288"/>
        <v>2</v>
      </c>
      <c r="D720">
        <f t="shared" si="289"/>
        <v>7</v>
      </c>
      <c r="E720">
        <f t="shared" si="290"/>
        <v>8</v>
      </c>
      <c r="F720">
        <f t="shared" si="291"/>
        <v>17</v>
      </c>
      <c r="G720">
        <f t="shared" si="292"/>
        <v>7</v>
      </c>
      <c r="H720">
        <f t="shared" si="293"/>
        <v>6</v>
      </c>
      <c r="I720">
        <f t="shared" si="294"/>
        <v>2.83</v>
      </c>
      <c r="J720">
        <f t="shared" si="295"/>
        <v>0.33</v>
      </c>
      <c r="K720">
        <f t="shared" si="296"/>
        <v>0.67</v>
      </c>
      <c r="L720">
        <f t="shared" si="297"/>
        <v>0.67</v>
      </c>
      <c r="M720">
        <f t="shared" si="298"/>
        <v>1</v>
      </c>
      <c r="N720">
        <f t="shared" si="299"/>
        <v>1.6</v>
      </c>
      <c r="O720" t="str">
        <f t="shared" si="303"/>
        <v>标准</v>
      </c>
      <c r="P720" t="str">
        <f t="shared" si="300"/>
        <v>紧凑</v>
      </c>
      <c r="Q720" t="str">
        <f t="shared" si="301"/>
        <v>✓有效</v>
      </c>
      <c r="R720" t="str">
        <f t="shared" si="302"/>
        <v>正常</v>
      </c>
    </row>
    <row r="721" ht="14.25" customHeight="1" spans="1:18">
      <c r="A721" s="10">
        <v>2024341</v>
      </c>
      <c r="B721" s="12" t="s">
        <v>201</v>
      </c>
      <c r="C721">
        <f t="shared" si="288"/>
        <v>3</v>
      </c>
      <c r="D721">
        <f t="shared" si="289"/>
        <v>7</v>
      </c>
      <c r="E721">
        <f t="shared" si="290"/>
        <v>1</v>
      </c>
      <c r="F721">
        <f t="shared" si="291"/>
        <v>11</v>
      </c>
      <c r="G721">
        <f t="shared" si="292"/>
        <v>1</v>
      </c>
      <c r="H721">
        <f t="shared" si="293"/>
        <v>6</v>
      </c>
      <c r="I721">
        <f t="shared" si="294"/>
        <v>1.83</v>
      </c>
      <c r="J721">
        <f t="shared" si="295"/>
        <v>1</v>
      </c>
      <c r="K721">
        <f t="shared" si="296"/>
        <v>0.33</v>
      </c>
      <c r="L721">
        <f t="shared" si="297"/>
        <v>0.67</v>
      </c>
      <c r="M721">
        <f t="shared" si="298"/>
        <v>0</v>
      </c>
      <c r="N721">
        <f t="shared" si="299"/>
        <v>1.37</v>
      </c>
      <c r="O721" t="str">
        <f t="shared" si="303"/>
        <v>松散</v>
      </c>
      <c r="P721" t="str">
        <f t="shared" si="300"/>
        <v>极紧凑</v>
      </c>
      <c r="Q721" t="str">
        <f t="shared" si="301"/>
        <v>✓有效</v>
      </c>
      <c r="R721" t="str">
        <f t="shared" si="302"/>
        <v>正常</v>
      </c>
    </row>
    <row r="722" ht="14.25" customHeight="1" spans="1:18">
      <c r="A722" s="10">
        <v>2024342</v>
      </c>
      <c r="B722" s="12" t="s">
        <v>332</v>
      </c>
      <c r="C722">
        <f t="shared" si="288"/>
        <v>4</v>
      </c>
      <c r="D722">
        <f t="shared" si="289"/>
        <v>8</v>
      </c>
      <c r="E722">
        <f t="shared" si="290"/>
        <v>3</v>
      </c>
      <c r="F722">
        <f t="shared" si="291"/>
        <v>15</v>
      </c>
      <c r="G722">
        <f t="shared" si="292"/>
        <v>5</v>
      </c>
      <c r="H722">
        <f t="shared" si="293"/>
        <v>5</v>
      </c>
      <c r="I722">
        <f t="shared" si="294"/>
        <v>3</v>
      </c>
      <c r="J722">
        <f t="shared" si="295"/>
        <v>0.33</v>
      </c>
      <c r="K722">
        <f t="shared" si="296"/>
        <v>0.33</v>
      </c>
      <c r="L722">
        <f t="shared" si="297"/>
        <v>0.33</v>
      </c>
      <c r="M722">
        <f t="shared" si="298"/>
        <v>1</v>
      </c>
      <c r="N722">
        <f t="shared" si="299"/>
        <v>1.57</v>
      </c>
      <c r="O722" t="str">
        <f t="shared" si="303"/>
        <v>标准</v>
      </c>
      <c r="P722" t="str">
        <f t="shared" si="300"/>
        <v>紧凑</v>
      </c>
      <c r="Q722" t="str">
        <f t="shared" si="301"/>
        <v>✓有效</v>
      </c>
      <c r="R722" t="str">
        <f t="shared" si="302"/>
        <v>正常</v>
      </c>
    </row>
    <row r="723" ht="14.25" customHeight="1" spans="1:18">
      <c r="A723" s="10">
        <v>2024343</v>
      </c>
      <c r="B723" s="12" t="s">
        <v>442</v>
      </c>
      <c r="C723">
        <f t="shared" si="288"/>
        <v>2</v>
      </c>
      <c r="D723">
        <f t="shared" si="289"/>
        <v>1</v>
      </c>
      <c r="E723">
        <f t="shared" si="290"/>
        <v>4</v>
      </c>
      <c r="F723">
        <f t="shared" si="291"/>
        <v>7</v>
      </c>
      <c r="G723">
        <f t="shared" si="292"/>
        <v>7</v>
      </c>
      <c r="H723">
        <f t="shared" si="293"/>
        <v>3</v>
      </c>
      <c r="I723">
        <f t="shared" si="294"/>
        <v>2.33</v>
      </c>
      <c r="J723">
        <f t="shared" si="295"/>
        <v>0.33</v>
      </c>
      <c r="K723">
        <f t="shared" si="296"/>
        <v>0</v>
      </c>
      <c r="L723">
        <f t="shared" si="297"/>
        <v>0.33</v>
      </c>
      <c r="M723">
        <f t="shared" si="298"/>
        <v>1</v>
      </c>
      <c r="N723">
        <f t="shared" si="299"/>
        <v>1.23</v>
      </c>
      <c r="O723" t="str">
        <f t="shared" si="303"/>
        <v>标准</v>
      </c>
      <c r="P723" t="str">
        <f t="shared" si="300"/>
        <v>极紧凑</v>
      </c>
      <c r="Q723" t="str">
        <f t="shared" si="301"/>
        <v>✓有效</v>
      </c>
      <c r="R723" t="str">
        <f t="shared" si="302"/>
        <v>正常</v>
      </c>
    </row>
    <row r="724" ht="14.25" customHeight="1" spans="1:18">
      <c r="A724" s="10">
        <v>2024344</v>
      </c>
      <c r="B724" s="12" t="s">
        <v>497</v>
      </c>
      <c r="C724">
        <f t="shared" si="288"/>
        <v>3</v>
      </c>
      <c r="D724">
        <f t="shared" si="289"/>
        <v>0</v>
      </c>
      <c r="E724">
        <f t="shared" si="290"/>
        <v>5</v>
      </c>
      <c r="F724">
        <f t="shared" si="291"/>
        <v>8</v>
      </c>
      <c r="G724">
        <f t="shared" si="292"/>
        <v>8</v>
      </c>
      <c r="H724">
        <f t="shared" si="293"/>
        <v>5</v>
      </c>
      <c r="I724">
        <f t="shared" si="294"/>
        <v>1.6</v>
      </c>
      <c r="J724">
        <f t="shared" si="295"/>
        <v>0.67</v>
      </c>
      <c r="K724">
        <f t="shared" si="296"/>
        <v>0.33</v>
      </c>
      <c r="L724">
        <f t="shared" si="297"/>
        <v>0.67</v>
      </c>
      <c r="M724">
        <f t="shared" si="298"/>
        <v>0</v>
      </c>
      <c r="N724">
        <f t="shared" si="299"/>
        <v>1.21</v>
      </c>
      <c r="O724" t="str">
        <f t="shared" si="303"/>
        <v>松散</v>
      </c>
      <c r="P724" t="str">
        <f t="shared" si="300"/>
        <v>极紧凑</v>
      </c>
      <c r="Q724" t="str">
        <f t="shared" si="301"/>
        <v>✓有效</v>
      </c>
      <c r="R724" t="str">
        <f t="shared" si="302"/>
        <v>正常</v>
      </c>
    </row>
    <row r="725" ht="14.25" customHeight="1" spans="1:18">
      <c r="A725" s="10">
        <v>2024345</v>
      </c>
      <c r="B725" s="12" t="s">
        <v>559</v>
      </c>
      <c r="C725">
        <f t="shared" si="288"/>
        <v>3</v>
      </c>
      <c r="D725">
        <f t="shared" si="289"/>
        <v>1</v>
      </c>
      <c r="E725">
        <f t="shared" si="290"/>
        <v>7</v>
      </c>
      <c r="F725">
        <f t="shared" si="291"/>
        <v>11</v>
      </c>
      <c r="G725">
        <f t="shared" si="292"/>
        <v>1</v>
      </c>
      <c r="H725">
        <f t="shared" si="293"/>
        <v>6</v>
      </c>
      <c r="I725">
        <f t="shared" si="294"/>
        <v>1.83</v>
      </c>
      <c r="J725">
        <f t="shared" si="295"/>
        <v>1</v>
      </c>
      <c r="K725">
        <f t="shared" si="296"/>
        <v>0.33</v>
      </c>
      <c r="L725">
        <f t="shared" si="297"/>
        <v>0.67</v>
      </c>
      <c r="M725">
        <f t="shared" si="298"/>
        <v>0</v>
      </c>
      <c r="N725">
        <f t="shared" si="299"/>
        <v>1.37</v>
      </c>
      <c r="O725" t="str">
        <f t="shared" si="303"/>
        <v>松散</v>
      </c>
      <c r="P725" t="str">
        <f t="shared" si="300"/>
        <v>极紧凑</v>
      </c>
      <c r="Q725" t="str">
        <f t="shared" si="301"/>
        <v>✓有效</v>
      </c>
      <c r="R725" t="str">
        <f t="shared" si="302"/>
        <v>正常</v>
      </c>
    </row>
    <row r="726" ht="14.25" customHeight="1" spans="1:18">
      <c r="A726" s="10">
        <v>2024346</v>
      </c>
      <c r="B726" s="12" t="s">
        <v>482</v>
      </c>
      <c r="C726">
        <f t="shared" si="288"/>
        <v>0</v>
      </c>
      <c r="D726">
        <f t="shared" si="289"/>
        <v>5</v>
      </c>
      <c r="E726">
        <f t="shared" si="290"/>
        <v>6</v>
      </c>
      <c r="F726">
        <f t="shared" si="291"/>
        <v>11</v>
      </c>
      <c r="G726">
        <f t="shared" si="292"/>
        <v>1</v>
      </c>
      <c r="H726">
        <f t="shared" si="293"/>
        <v>6</v>
      </c>
      <c r="I726">
        <f t="shared" si="294"/>
        <v>1.83</v>
      </c>
      <c r="J726">
        <f t="shared" si="295"/>
        <v>0.33</v>
      </c>
      <c r="K726">
        <f t="shared" si="296"/>
        <v>0.67</v>
      </c>
      <c r="L726">
        <f t="shared" si="297"/>
        <v>0.33</v>
      </c>
      <c r="M726">
        <f t="shared" si="298"/>
        <v>1</v>
      </c>
      <c r="N726">
        <f t="shared" si="299"/>
        <v>1.17</v>
      </c>
      <c r="O726" t="str">
        <f t="shared" si="303"/>
        <v>松散</v>
      </c>
      <c r="P726" t="str">
        <f t="shared" si="300"/>
        <v>极紧凑</v>
      </c>
      <c r="Q726" t="str">
        <f t="shared" si="301"/>
        <v>✓有效</v>
      </c>
      <c r="R726" t="str">
        <f t="shared" si="302"/>
        <v>正常</v>
      </c>
    </row>
    <row r="727" ht="14.25" customHeight="1" spans="1:18">
      <c r="A727" s="10">
        <v>2024347</v>
      </c>
      <c r="B727" s="12" t="s">
        <v>560</v>
      </c>
      <c r="C727">
        <f t="shared" si="288"/>
        <v>3</v>
      </c>
      <c r="D727">
        <f t="shared" si="289"/>
        <v>9</v>
      </c>
      <c r="E727">
        <f t="shared" si="290"/>
        <v>2</v>
      </c>
      <c r="F727">
        <f t="shared" si="291"/>
        <v>14</v>
      </c>
      <c r="G727">
        <f t="shared" si="292"/>
        <v>4</v>
      </c>
      <c r="H727">
        <f t="shared" si="293"/>
        <v>7</v>
      </c>
      <c r="I727">
        <f t="shared" si="294"/>
        <v>2</v>
      </c>
      <c r="J727">
        <f t="shared" si="295"/>
        <v>0.67</v>
      </c>
      <c r="K727">
        <f t="shared" si="296"/>
        <v>0.33</v>
      </c>
      <c r="L727">
        <f t="shared" si="297"/>
        <v>0.67</v>
      </c>
      <c r="M727">
        <f t="shared" si="298"/>
        <v>1</v>
      </c>
      <c r="N727">
        <f t="shared" si="299"/>
        <v>1.27</v>
      </c>
      <c r="O727" t="str">
        <f t="shared" si="303"/>
        <v>标准</v>
      </c>
      <c r="P727" t="str">
        <f t="shared" si="300"/>
        <v>极紧凑</v>
      </c>
      <c r="Q727" t="str">
        <f t="shared" si="301"/>
        <v>✓有效</v>
      </c>
      <c r="R727" t="str">
        <f t="shared" si="302"/>
        <v>正常</v>
      </c>
    </row>
    <row r="728" ht="14.25" customHeight="1" spans="1:18">
      <c r="A728" s="10">
        <v>2024348</v>
      </c>
      <c r="B728" s="12" t="s">
        <v>273</v>
      </c>
      <c r="C728">
        <f t="shared" si="288"/>
        <v>9</v>
      </c>
      <c r="D728">
        <f t="shared" si="289"/>
        <v>2</v>
      </c>
      <c r="E728">
        <f t="shared" si="290"/>
        <v>8</v>
      </c>
      <c r="F728">
        <f t="shared" si="291"/>
        <v>19</v>
      </c>
      <c r="G728">
        <f t="shared" si="292"/>
        <v>9</v>
      </c>
      <c r="H728">
        <f t="shared" si="293"/>
        <v>7</v>
      </c>
      <c r="I728">
        <f t="shared" si="294"/>
        <v>2.71</v>
      </c>
      <c r="J728">
        <f t="shared" si="295"/>
        <v>0.33</v>
      </c>
      <c r="K728">
        <f t="shared" si="296"/>
        <v>0.67</v>
      </c>
      <c r="L728">
        <f t="shared" si="297"/>
        <v>0.33</v>
      </c>
      <c r="M728">
        <f t="shared" si="298"/>
        <v>1</v>
      </c>
      <c r="N728">
        <f t="shared" si="299"/>
        <v>1.52</v>
      </c>
      <c r="O728" t="str">
        <f t="shared" si="303"/>
        <v>标准</v>
      </c>
      <c r="P728" t="str">
        <f t="shared" si="300"/>
        <v>紧凑</v>
      </c>
      <c r="Q728" t="str">
        <f t="shared" si="301"/>
        <v>✓有效</v>
      </c>
      <c r="R728" t="str">
        <f t="shared" si="302"/>
        <v>正常</v>
      </c>
    </row>
    <row r="729" ht="14.25" customHeight="1" spans="1:18">
      <c r="A729" s="10">
        <v>2024349</v>
      </c>
      <c r="B729" s="12" t="s">
        <v>414</v>
      </c>
      <c r="C729">
        <f t="shared" si="288"/>
        <v>1</v>
      </c>
      <c r="D729">
        <f t="shared" si="289"/>
        <v>0</v>
      </c>
      <c r="E729">
        <f t="shared" si="290"/>
        <v>8</v>
      </c>
      <c r="F729">
        <f t="shared" si="291"/>
        <v>9</v>
      </c>
      <c r="G729">
        <f t="shared" si="292"/>
        <v>9</v>
      </c>
      <c r="H729">
        <f t="shared" si="293"/>
        <v>8</v>
      </c>
      <c r="I729">
        <f t="shared" si="294"/>
        <v>1.13</v>
      </c>
      <c r="J729">
        <f t="shared" si="295"/>
        <v>0.33</v>
      </c>
      <c r="K729">
        <f t="shared" si="296"/>
        <v>0.33</v>
      </c>
      <c r="L729">
        <f t="shared" si="297"/>
        <v>0</v>
      </c>
      <c r="M729">
        <f t="shared" si="298"/>
        <v>1</v>
      </c>
      <c r="N729">
        <f t="shared" si="299"/>
        <v>0.78</v>
      </c>
      <c r="O729" t="str">
        <f t="shared" si="303"/>
        <v>松散</v>
      </c>
      <c r="P729" t="str">
        <f t="shared" si="300"/>
        <v>极紧凑</v>
      </c>
      <c r="Q729" t="str">
        <f t="shared" si="301"/>
        <v>✓有效</v>
      </c>
      <c r="R729" t="str">
        <f t="shared" si="302"/>
        <v>正常</v>
      </c>
    </row>
    <row r="730" ht="14.25" customHeight="1" spans="1:18">
      <c r="A730" s="10">
        <v>2024350</v>
      </c>
      <c r="B730" s="12" t="s">
        <v>544</v>
      </c>
      <c r="C730">
        <f t="shared" si="288"/>
        <v>6</v>
      </c>
      <c r="D730">
        <f t="shared" si="289"/>
        <v>7</v>
      </c>
      <c r="E730">
        <f t="shared" si="290"/>
        <v>2</v>
      </c>
      <c r="F730">
        <f t="shared" si="291"/>
        <v>15</v>
      </c>
      <c r="G730">
        <f t="shared" si="292"/>
        <v>5</v>
      </c>
      <c r="H730">
        <f t="shared" si="293"/>
        <v>5</v>
      </c>
      <c r="I730">
        <f t="shared" si="294"/>
        <v>3</v>
      </c>
      <c r="J730">
        <f t="shared" si="295"/>
        <v>0.33</v>
      </c>
      <c r="K730">
        <f t="shared" si="296"/>
        <v>0.67</v>
      </c>
      <c r="L730">
        <f t="shared" si="297"/>
        <v>0.67</v>
      </c>
      <c r="M730">
        <f t="shared" si="298"/>
        <v>1</v>
      </c>
      <c r="N730">
        <f t="shared" si="299"/>
        <v>1.67</v>
      </c>
      <c r="O730" t="str">
        <f t="shared" si="303"/>
        <v>标准</v>
      </c>
      <c r="P730" t="str">
        <f t="shared" si="300"/>
        <v>紧凑</v>
      </c>
      <c r="Q730" t="str">
        <f t="shared" si="301"/>
        <v>✓有效</v>
      </c>
      <c r="R730" t="str">
        <f t="shared" si="302"/>
        <v>正常</v>
      </c>
    </row>
    <row r="731" ht="14.25" customHeight="1" spans="1:18">
      <c r="A731" s="10">
        <v>2024351</v>
      </c>
      <c r="B731" s="12" t="s">
        <v>561</v>
      </c>
      <c r="C731">
        <f t="shared" si="288"/>
        <v>6</v>
      </c>
      <c r="D731">
        <f t="shared" si="289"/>
        <v>5</v>
      </c>
      <c r="E731">
        <f t="shared" si="290"/>
        <v>7</v>
      </c>
      <c r="F731">
        <f t="shared" si="291"/>
        <v>18</v>
      </c>
      <c r="G731">
        <f t="shared" si="292"/>
        <v>8</v>
      </c>
      <c r="H731">
        <f t="shared" si="293"/>
        <v>2</v>
      </c>
      <c r="I731">
        <f t="shared" si="294"/>
        <v>9</v>
      </c>
      <c r="J731">
        <f t="shared" si="295"/>
        <v>0.67</v>
      </c>
      <c r="K731">
        <f t="shared" si="296"/>
        <v>1</v>
      </c>
      <c r="L731">
        <f t="shared" si="297"/>
        <v>0.67</v>
      </c>
      <c r="M731">
        <f t="shared" si="298"/>
        <v>2</v>
      </c>
      <c r="N731">
        <f t="shared" si="299"/>
        <v>4.1</v>
      </c>
      <c r="O731" t="str">
        <f t="shared" si="303"/>
        <v>紧凑</v>
      </c>
      <c r="P731" t="str">
        <f t="shared" si="300"/>
        <v>标准</v>
      </c>
      <c r="Q731" t="str">
        <f t="shared" si="301"/>
        <v>✓有效</v>
      </c>
      <c r="R731" t="str">
        <f t="shared" si="302"/>
        <v>正常</v>
      </c>
    </row>
    <row r="732" ht="14.25" customHeight="1" spans="1:18">
      <c r="A732" s="10">
        <v>2024352</v>
      </c>
      <c r="B732" s="12" t="s">
        <v>518</v>
      </c>
      <c r="C732">
        <f t="shared" si="288"/>
        <v>2</v>
      </c>
      <c r="D732">
        <f t="shared" si="289"/>
        <v>9</v>
      </c>
      <c r="E732">
        <f t="shared" si="290"/>
        <v>2</v>
      </c>
      <c r="F732">
        <f t="shared" si="291"/>
        <v>13</v>
      </c>
      <c r="G732">
        <f t="shared" si="292"/>
        <v>3</v>
      </c>
      <c r="H732">
        <f t="shared" si="293"/>
        <v>7</v>
      </c>
      <c r="I732">
        <f t="shared" si="294"/>
        <v>1.86</v>
      </c>
      <c r="J732">
        <f t="shared" si="295"/>
        <v>0.33</v>
      </c>
      <c r="K732">
        <f t="shared" si="296"/>
        <v>0.33</v>
      </c>
      <c r="L732">
        <f t="shared" si="297"/>
        <v>0.67</v>
      </c>
      <c r="M732">
        <f t="shared" si="298"/>
        <v>0</v>
      </c>
      <c r="N732">
        <f t="shared" si="299"/>
        <v>1.24</v>
      </c>
      <c r="O732" t="str">
        <f t="shared" si="303"/>
        <v>松散</v>
      </c>
      <c r="P732" t="str">
        <f t="shared" si="300"/>
        <v>极紧凑</v>
      </c>
      <c r="Q732" t="str">
        <f t="shared" si="301"/>
        <v>✓有效</v>
      </c>
      <c r="R732" t="str">
        <f t="shared" si="302"/>
        <v>正常</v>
      </c>
    </row>
    <row r="733" ht="14.25" customHeight="1" spans="1:18">
      <c r="A733" s="10">
        <v>2025001</v>
      </c>
      <c r="B733" s="12" t="s">
        <v>562</v>
      </c>
      <c r="C733">
        <f t="shared" si="288"/>
        <v>7</v>
      </c>
      <c r="D733">
        <f t="shared" si="289"/>
        <v>0</v>
      </c>
      <c r="E733">
        <f t="shared" si="290"/>
        <v>3</v>
      </c>
      <c r="F733">
        <f t="shared" si="291"/>
        <v>10</v>
      </c>
      <c r="G733">
        <f t="shared" si="292"/>
        <v>0</v>
      </c>
      <c r="H733">
        <f t="shared" si="293"/>
        <v>7</v>
      </c>
      <c r="I733">
        <f t="shared" si="294"/>
        <v>1.43</v>
      </c>
      <c r="J733">
        <f t="shared" si="295"/>
        <v>0.67</v>
      </c>
      <c r="K733">
        <f t="shared" si="296"/>
        <v>0.33</v>
      </c>
      <c r="L733">
        <f t="shared" si="297"/>
        <v>0.67</v>
      </c>
      <c r="M733">
        <f t="shared" si="298"/>
        <v>0</v>
      </c>
      <c r="N733">
        <f t="shared" si="299"/>
        <v>1.14</v>
      </c>
      <c r="O733" t="str">
        <f t="shared" si="303"/>
        <v>松散</v>
      </c>
      <c r="P733" t="str">
        <f t="shared" si="300"/>
        <v>极紧凑</v>
      </c>
      <c r="Q733" t="str">
        <f t="shared" si="301"/>
        <v>✓有效</v>
      </c>
      <c r="R733" t="str">
        <f t="shared" si="302"/>
        <v>正常</v>
      </c>
    </row>
    <row r="734" ht="14.25" customHeight="1" spans="1:18">
      <c r="A734" s="10">
        <v>2025002</v>
      </c>
      <c r="B734" s="12" t="s">
        <v>563</v>
      </c>
      <c r="C734">
        <f t="shared" si="288"/>
        <v>9</v>
      </c>
      <c r="D734">
        <f t="shared" si="289"/>
        <v>1</v>
      </c>
      <c r="E734">
        <f t="shared" si="290"/>
        <v>6</v>
      </c>
      <c r="F734">
        <f t="shared" si="291"/>
        <v>16</v>
      </c>
      <c r="G734">
        <f t="shared" si="292"/>
        <v>6</v>
      </c>
      <c r="H734">
        <f t="shared" si="293"/>
        <v>8</v>
      </c>
      <c r="I734">
        <f t="shared" si="294"/>
        <v>2</v>
      </c>
      <c r="J734">
        <f t="shared" si="295"/>
        <v>0.67</v>
      </c>
      <c r="K734">
        <f t="shared" si="296"/>
        <v>0.67</v>
      </c>
      <c r="L734">
        <f t="shared" si="297"/>
        <v>0</v>
      </c>
      <c r="M734">
        <f t="shared" si="298"/>
        <v>0</v>
      </c>
      <c r="N734">
        <f t="shared" si="299"/>
        <v>1.37</v>
      </c>
      <c r="O734" t="str">
        <f t="shared" si="303"/>
        <v>标准</v>
      </c>
      <c r="P734" t="str">
        <f t="shared" si="300"/>
        <v>极紧凑</v>
      </c>
      <c r="Q734" t="str">
        <f t="shared" si="301"/>
        <v>✓有效</v>
      </c>
      <c r="R734" t="str">
        <f t="shared" si="302"/>
        <v>正常</v>
      </c>
    </row>
    <row r="735" ht="14.25" customHeight="1" spans="1:18">
      <c r="A735" s="10">
        <v>2025003</v>
      </c>
      <c r="B735" s="12" t="s">
        <v>442</v>
      </c>
      <c r="C735">
        <f t="shared" si="288"/>
        <v>2</v>
      </c>
      <c r="D735">
        <f t="shared" si="289"/>
        <v>1</v>
      </c>
      <c r="E735">
        <f t="shared" si="290"/>
        <v>4</v>
      </c>
      <c r="F735">
        <f t="shared" si="291"/>
        <v>7</v>
      </c>
      <c r="G735">
        <f t="shared" si="292"/>
        <v>7</v>
      </c>
      <c r="H735">
        <f t="shared" si="293"/>
        <v>3</v>
      </c>
      <c r="I735">
        <f t="shared" si="294"/>
        <v>2.33</v>
      </c>
      <c r="J735">
        <f t="shared" si="295"/>
        <v>0.33</v>
      </c>
      <c r="K735">
        <f t="shared" si="296"/>
        <v>0</v>
      </c>
      <c r="L735">
        <f t="shared" si="297"/>
        <v>0.33</v>
      </c>
      <c r="M735">
        <f t="shared" si="298"/>
        <v>1</v>
      </c>
      <c r="N735">
        <f t="shared" si="299"/>
        <v>1.23</v>
      </c>
      <c r="O735" t="str">
        <f t="shared" si="303"/>
        <v>标准</v>
      </c>
      <c r="P735" t="str">
        <f t="shared" si="300"/>
        <v>极紧凑</v>
      </c>
      <c r="Q735" t="str">
        <f t="shared" si="301"/>
        <v>✓有效</v>
      </c>
      <c r="R735" t="str">
        <f t="shared" si="302"/>
        <v>正常</v>
      </c>
    </row>
    <row r="736" ht="14.25" customHeight="1" spans="1:18">
      <c r="A736" s="10">
        <v>2025004</v>
      </c>
      <c r="B736" s="12" t="s">
        <v>389</v>
      </c>
      <c r="C736">
        <f t="shared" ref="C736:C799" si="304">IF(B736="","",LEFT(TEXT(B736,"000"),1)*1)</f>
        <v>6</v>
      </c>
      <c r="D736">
        <f t="shared" ref="D736:D799" si="305">IF(B736="","",MID(TEXT(B736,"000"),2,1)*1)</f>
        <v>3</v>
      </c>
      <c r="E736">
        <f t="shared" ref="E736:E799" si="306">IF(B736="","",RIGHT(TEXT(B736,"000"),1)*1)</f>
        <v>4</v>
      </c>
      <c r="F736">
        <f t="shared" ref="F736:F799" si="307">IF(B736="","",C736+D736+E736)</f>
        <v>13</v>
      </c>
      <c r="G736">
        <f t="shared" ref="G736:G799" si="308">IF(B736="","",MOD(F736,10))</f>
        <v>3</v>
      </c>
      <c r="H736">
        <f t="shared" ref="H736:H799" si="309">IF(B736="","",MAX(C736,D736,E736)-MIN(C736,D736,E736))</f>
        <v>3</v>
      </c>
      <c r="I736">
        <f t="shared" ref="I736:I799" si="310">IF(OR(B736="",H736=0),IF(H736=0,0.1,""),ROUND(F736/H736,2))</f>
        <v>4.33</v>
      </c>
      <c r="J736">
        <f t="shared" ref="J736:J799" si="311">IF(B736="","",ROUND((MOD(C736,2)+MOD(D736,2)+MOD(E736,2))/3,2))</f>
        <v>0.33</v>
      </c>
      <c r="K736">
        <f t="shared" ref="K736:K799" si="312">IF(B736="","",ROUND(((C736&gt;=5)+(D736&gt;=5)+(E736&gt;=5))/3,2))</f>
        <v>0.33</v>
      </c>
      <c r="L736">
        <f t="shared" ref="L736:L799" si="313">IF(B736="","",ROUND((ISNUMBER(FIND(C736,"2357"))+ISNUMBER(FIND(D736,"2357"))+ISNUMBER(FIND(E736,"2357")))/3,2))</f>
        <v>0.33</v>
      </c>
      <c r="M736">
        <f t="shared" ref="M736:M799" si="314">IF(B736="","",((ABS(C736-D736)=1)+(ABS(D736-E736)=1)+(ABS(C736-E736)=1)))</f>
        <v>1</v>
      </c>
      <c r="N736">
        <f t="shared" ref="N736:N799" si="315">IF(B736="","",ROUND(I736*0.4+J736*0.2+K736*0.2+L736*0.1+(3-M736)*0.1,2))</f>
        <v>2.1</v>
      </c>
      <c r="O736" t="str">
        <f t="shared" si="303"/>
        <v>紧凑</v>
      </c>
      <c r="P736" t="str">
        <f t="shared" ref="P736:P799" si="316">IF(B736="","",IF(N736&lt;=1.5,"极紧凑",IF(N736&lt;=3,"紧凑",IF(N736&lt;=5,"标准","松散"))))</f>
        <v>紧凑</v>
      </c>
      <c r="Q736" t="str">
        <f t="shared" ref="Q736:Q799" si="317">IF(B736="","",IF(AND(C736&gt;=0,C736&lt;=9,D736&gt;=0,D736&lt;=9,E736&gt;=0,E736&lt;=9),"✓有效","✗无效"))</f>
        <v>✓有效</v>
      </c>
      <c r="R736" t="str">
        <f t="shared" ref="R736:R799" si="318">IF(B736="","",IF(OR(I736&gt;10,I736&lt;0.1),"异常","正常"))</f>
        <v>正常</v>
      </c>
    </row>
    <row r="737" ht="14.25" customHeight="1" spans="1:18">
      <c r="A737" s="10">
        <v>2025005</v>
      </c>
      <c r="B737" s="12" t="s">
        <v>564</v>
      </c>
      <c r="C737">
        <f t="shared" si="304"/>
        <v>0</v>
      </c>
      <c r="D737">
        <f t="shared" si="305"/>
        <v>8</v>
      </c>
      <c r="E737">
        <f t="shared" si="306"/>
        <v>5</v>
      </c>
      <c r="F737">
        <f t="shared" si="307"/>
        <v>13</v>
      </c>
      <c r="G737">
        <f t="shared" si="308"/>
        <v>3</v>
      </c>
      <c r="H737">
        <f t="shared" si="309"/>
        <v>8</v>
      </c>
      <c r="I737">
        <f t="shared" si="310"/>
        <v>1.63</v>
      </c>
      <c r="J737">
        <f t="shared" si="311"/>
        <v>0.33</v>
      </c>
      <c r="K737">
        <f t="shared" si="312"/>
        <v>0.67</v>
      </c>
      <c r="L737">
        <f t="shared" si="313"/>
        <v>0.33</v>
      </c>
      <c r="M737">
        <f t="shared" si="314"/>
        <v>0</v>
      </c>
      <c r="N737">
        <f t="shared" si="315"/>
        <v>1.19</v>
      </c>
      <c r="O737" t="str">
        <f t="shared" ref="O737:O800" si="319">IF(I737=0.1,"极紧凑",IF(I737&gt;3.5,"紧凑",IF(AND(I737&gt;=2,I737&lt;=3.5),"标准",IF(AND(I737&gt;=1,I737&lt;2),"松散",""))))</f>
        <v>松散</v>
      </c>
      <c r="P737" t="str">
        <f t="shared" si="316"/>
        <v>极紧凑</v>
      </c>
      <c r="Q737" t="str">
        <f t="shared" si="317"/>
        <v>✓有效</v>
      </c>
      <c r="R737" t="str">
        <f t="shared" si="318"/>
        <v>正常</v>
      </c>
    </row>
    <row r="738" ht="14.25" customHeight="1" spans="1:18">
      <c r="A738" s="10">
        <v>2025006</v>
      </c>
      <c r="B738" s="12" t="s">
        <v>565</v>
      </c>
      <c r="C738">
        <f t="shared" si="304"/>
        <v>8</v>
      </c>
      <c r="D738">
        <f t="shared" si="305"/>
        <v>9</v>
      </c>
      <c r="E738">
        <f t="shared" si="306"/>
        <v>8</v>
      </c>
      <c r="F738">
        <f t="shared" si="307"/>
        <v>25</v>
      </c>
      <c r="G738">
        <f t="shared" si="308"/>
        <v>5</v>
      </c>
      <c r="H738">
        <f t="shared" si="309"/>
        <v>1</v>
      </c>
      <c r="I738">
        <f t="shared" si="310"/>
        <v>25</v>
      </c>
      <c r="J738">
        <f t="shared" si="311"/>
        <v>0.33</v>
      </c>
      <c r="K738">
        <f t="shared" si="312"/>
        <v>1</v>
      </c>
      <c r="L738">
        <f t="shared" si="313"/>
        <v>0</v>
      </c>
      <c r="M738">
        <f t="shared" si="314"/>
        <v>2</v>
      </c>
      <c r="N738">
        <f t="shared" si="315"/>
        <v>10.37</v>
      </c>
      <c r="O738" t="str">
        <f t="shared" si="319"/>
        <v>紧凑</v>
      </c>
      <c r="P738" t="str">
        <f t="shared" si="316"/>
        <v>松散</v>
      </c>
      <c r="Q738" t="str">
        <f t="shared" si="317"/>
        <v>✓有效</v>
      </c>
      <c r="R738" t="str">
        <f t="shared" si="318"/>
        <v>异常</v>
      </c>
    </row>
    <row r="739" ht="14.25" customHeight="1" spans="1:18">
      <c r="A739" s="10">
        <v>2025007</v>
      </c>
      <c r="B739" s="12" t="s">
        <v>566</v>
      </c>
      <c r="C739">
        <f t="shared" si="304"/>
        <v>1</v>
      </c>
      <c r="D739">
        <f t="shared" si="305"/>
        <v>4</v>
      </c>
      <c r="E739">
        <f t="shared" si="306"/>
        <v>1</v>
      </c>
      <c r="F739">
        <f t="shared" si="307"/>
        <v>6</v>
      </c>
      <c r="G739">
        <f t="shared" si="308"/>
        <v>6</v>
      </c>
      <c r="H739">
        <f t="shared" si="309"/>
        <v>3</v>
      </c>
      <c r="I739">
        <f t="shared" si="310"/>
        <v>2</v>
      </c>
      <c r="J739">
        <f t="shared" si="311"/>
        <v>0.67</v>
      </c>
      <c r="K739">
        <f t="shared" si="312"/>
        <v>0</v>
      </c>
      <c r="L739">
        <f t="shared" si="313"/>
        <v>0</v>
      </c>
      <c r="M739">
        <f t="shared" si="314"/>
        <v>0</v>
      </c>
      <c r="N739">
        <f t="shared" si="315"/>
        <v>1.23</v>
      </c>
      <c r="O739" t="str">
        <f t="shared" si="319"/>
        <v>标准</v>
      </c>
      <c r="P739" t="str">
        <f t="shared" si="316"/>
        <v>极紧凑</v>
      </c>
      <c r="Q739" t="str">
        <f t="shared" si="317"/>
        <v>✓有效</v>
      </c>
      <c r="R739" t="str">
        <f t="shared" si="318"/>
        <v>正常</v>
      </c>
    </row>
    <row r="740" ht="14.25" customHeight="1" spans="1:18">
      <c r="A740" s="10">
        <v>2025008</v>
      </c>
      <c r="B740" s="12" t="s">
        <v>567</v>
      </c>
      <c r="C740">
        <f t="shared" si="304"/>
        <v>2</v>
      </c>
      <c r="D740">
        <f t="shared" si="305"/>
        <v>6</v>
      </c>
      <c r="E740">
        <f t="shared" si="306"/>
        <v>0</v>
      </c>
      <c r="F740">
        <f t="shared" si="307"/>
        <v>8</v>
      </c>
      <c r="G740">
        <f t="shared" si="308"/>
        <v>8</v>
      </c>
      <c r="H740">
        <f t="shared" si="309"/>
        <v>6</v>
      </c>
      <c r="I740">
        <f t="shared" si="310"/>
        <v>1.33</v>
      </c>
      <c r="J740">
        <f t="shared" si="311"/>
        <v>0</v>
      </c>
      <c r="K740">
        <f t="shared" si="312"/>
        <v>0.33</v>
      </c>
      <c r="L740">
        <f t="shared" si="313"/>
        <v>0.33</v>
      </c>
      <c r="M740">
        <f t="shared" si="314"/>
        <v>0</v>
      </c>
      <c r="N740">
        <f t="shared" si="315"/>
        <v>0.93</v>
      </c>
      <c r="O740" t="str">
        <f t="shared" si="319"/>
        <v>松散</v>
      </c>
      <c r="P740" t="str">
        <f t="shared" si="316"/>
        <v>极紧凑</v>
      </c>
      <c r="Q740" t="str">
        <f t="shared" si="317"/>
        <v>✓有效</v>
      </c>
      <c r="R740" t="str">
        <f t="shared" si="318"/>
        <v>正常</v>
      </c>
    </row>
    <row r="741" ht="14.25" customHeight="1" spans="1:18">
      <c r="A741" s="10">
        <v>2025009</v>
      </c>
      <c r="B741" s="12" t="s">
        <v>568</v>
      </c>
      <c r="C741">
        <f t="shared" si="304"/>
        <v>4</v>
      </c>
      <c r="D741">
        <f t="shared" si="305"/>
        <v>1</v>
      </c>
      <c r="E741">
        <f t="shared" si="306"/>
        <v>6</v>
      </c>
      <c r="F741">
        <f t="shared" si="307"/>
        <v>11</v>
      </c>
      <c r="G741">
        <f t="shared" si="308"/>
        <v>1</v>
      </c>
      <c r="H741">
        <f t="shared" si="309"/>
        <v>5</v>
      </c>
      <c r="I741">
        <f t="shared" si="310"/>
        <v>2.2</v>
      </c>
      <c r="J741">
        <f t="shared" si="311"/>
        <v>0.33</v>
      </c>
      <c r="K741">
        <f t="shared" si="312"/>
        <v>0.33</v>
      </c>
      <c r="L741">
        <f t="shared" si="313"/>
        <v>0</v>
      </c>
      <c r="M741">
        <f t="shared" si="314"/>
        <v>0</v>
      </c>
      <c r="N741">
        <f t="shared" si="315"/>
        <v>1.31</v>
      </c>
      <c r="O741" t="str">
        <f t="shared" si="319"/>
        <v>标准</v>
      </c>
      <c r="P741" t="str">
        <f t="shared" si="316"/>
        <v>极紧凑</v>
      </c>
      <c r="Q741" t="str">
        <f t="shared" si="317"/>
        <v>✓有效</v>
      </c>
      <c r="R741" t="str">
        <f t="shared" si="318"/>
        <v>正常</v>
      </c>
    </row>
    <row r="742" ht="14.25" customHeight="1" spans="1:18">
      <c r="A742" s="10">
        <v>2025010</v>
      </c>
      <c r="B742" s="12" t="s">
        <v>569</v>
      </c>
      <c r="C742">
        <f t="shared" si="304"/>
        <v>3</v>
      </c>
      <c r="D742">
        <f t="shared" si="305"/>
        <v>3</v>
      </c>
      <c r="E742">
        <f t="shared" si="306"/>
        <v>3</v>
      </c>
      <c r="F742">
        <f t="shared" si="307"/>
        <v>9</v>
      </c>
      <c r="G742">
        <f t="shared" si="308"/>
        <v>9</v>
      </c>
      <c r="H742">
        <f t="shared" si="309"/>
        <v>0</v>
      </c>
      <c r="I742">
        <f t="shared" si="310"/>
        <v>0.1</v>
      </c>
      <c r="J742">
        <f t="shared" si="311"/>
        <v>1</v>
      </c>
      <c r="K742">
        <f t="shared" si="312"/>
        <v>0</v>
      </c>
      <c r="L742">
        <f t="shared" si="313"/>
        <v>1</v>
      </c>
      <c r="M742">
        <f t="shared" si="314"/>
        <v>0</v>
      </c>
      <c r="N742">
        <f t="shared" si="315"/>
        <v>0.64</v>
      </c>
      <c r="O742" t="str">
        <f t="shared" si="319"/>
        <v>极紧凑</v>
      </c>
      <c r="P742" t="str">
        <f t="shared" si="316"/>
        <v>极紧凑</v>
      </c>
      <c r="Q742" t="str">
        <f t="shared" si="317"/>
        <v>✓有效</v>
      </c>
      <c r="R742" t="str">
        <f t="shared" si="318"/>
        <v>正常</v>
      </c>
    </row>
    <row r="743" ht="14.25" customHeight="1" spans="1:18">
      <c r="A743" s="10">
        <v>2025011</v>
      </c>
      <c r="B743" s="12" t="s">
        <v>570</v>
      </c>
      <c r="C743">
        <f t="shared" si="304"/>
        <v>5</v>
      </c>
      <c r="D743">
        <f t="shared" si="305"/>
        <v>1</v>
      </c>
      <c r="E743">
        <f t="shared" si="306"/>
        <v>8</v>
      </c>
      <c r="F743">
        <f t="shared" si="307"/>
        <v>14</v>
      </c>
      <c r="G743">
        <f t="shared" si="308"/>
        <v>4</v>
      </c>
      <c r="H743">
        <f t="shared" si="309"/>
        <v>7</v>
      </c>
      <c r="I743">
        <f t="shared" si="310"/>
        <v>2</v>
      </c>
      <c r="J743">
        <f t="shared" si="311"/>
        <v>0.67</v>
      </c>
      <c r="K743">
        <f t="shared" si="312"/>
        <v>0.67</v>
      </c>
      <c r="L743">
        <f t="shared" si="313"/>
        <v>0.33</v>
      </c>
      <c r="M743">
        <f t="shared" si="314"/>
        <v>0</v>
      </c>
      <c r="N743">
        <f t="shared" si="315"/>
        <v>1.4</v>
      </c>
      <c r="O743" t="str">
        <f t="shared" si="319"/>
        <v>标准</v>
      </c>
      <c r="P743" t="str">
        <f t="shared" si="316"/>
        <v>极紧凑</v>
      </c>
      <c r="Q743" t="str">
        <f t="shared" si="317"/>
        <v>✓有效</v>
      </c>
      <c r="R743" t="str">
        <f t="shared" si="318"/>
        <v>正常</v>
      </c>
    </row>
    <row r="744" ht="14.25" customHeight="1" spans="1:18">
      <c r="A744" s="10">
        <v>2025012</v>
      </c>
      <c r="B744" s="12" t="s">
        <v>571</v>
      </c>
      <c r="C744">
        <f t="shared" si="304"/>
        <v>4</v>
      </c>
      <c r="D744">
        <f t="shared" si="305"/>
        <v>8</v>
      </c>
      <c r="E744">
        <f t="shared" si="306"/>
        <v>7</v>
      </c>
      <c r="F744">
        <f t="shared" si="307"/>
        <v>19</v>
      </c>
      <c r="G744">
        <f t="shared" si="308"/>
        <v>9</v>
      </c>
      <c r="H744">
        <f t="shared" si="309"/>
        <v>4</v>
      </c>
      <c r="I744">
        <f t="shared" si="310"/>
        <v>4.75</v>
      </c>
      <c r="J744">
        <f t="shared" si="311"/>
        <v>0.33</v>
      </c>
      <c r="K744">
        <f t="shared" si="312"/>
        <v>0.67</v>
      </c>
      <c r="L744">
        <f t="shared" si="313"/>
        <v>0.33</v>
      </c>
      <c r="M744">
        <f t="shared" si="314"/>
        <v>1</v>
      </c>
      <c r="N744">
        <f t="shared" si="315"/>
        <v>2.33</v>
      </c>
      <c r="O744" t="str">
        <f t="shared" si="319"/>
        <v>紧凑</v>
      </c>
      <c r="P744" t="str">
        <f t="shared" si="316"/>
        <v>紧凑</v>
      </c>
      <c r="Q744" t="str">
        <f t="shared" si="317"/>
        <v>✓有效</v>
      </c>
      <c r="R744" t="str">
        <f t="shared" si="318"/>
        <v>正常</v>
      </c>
    </row>
    <row r="745" ht="14.25" customHeight="1" spans="1:18">
      <c r="A745" s="10">
        <v>2025013</v>
      </c>
      <c r="B745" s="12" t="s">
        <v>572</v>
      </c>
      <c r="C745">
        <f t="shared" si="304"/>
        <v>6</v>
      </c>
      <c r="D745">
        <f t="shared" si="305"/>
        <v>0</v>
      </c>
      <c r="E745">
        <f t="shared" si="306"/>
        <v>6</v>
      </c>
      <c r="F745">
        <f t="shared" si="307"/>
        <v>12</v>
      </c>
      <c r="G745">
        <f t="shared" si="308"/>
        <v>2</v>
      </c>
      <c r="H745">
        <f t="shared" si="309"/>
        <v>6</v>
      </c>
      <c r="I745">
        <f t="shared" si="310"/>
        <v>2</v>
      </c>
      <c r="J745">
        <f t="shared" si="311"/>
        <v>0</v>
      </c>
      <c r="K745">
        <f t="shared" si="312"/>
        <v>0.67</v>
      </c>
      <c r="L745">
        <f t="shared" si="313"/>
        <v>0</v>
      </c>
      <c r="M745">
        <f t="shared" si="314"/>
        <v>0</v>
      </c>
      <c r="N745">
        <f t="shared" si="315"/>
        <v>1.23</v>
      </c>
      <c r="O745" t="str">
        <f t="shared" si="319"/>
        <v>标准</v>
      </c>
      <c r="P745" t="str">
        <f t="shared" si="316"/>
        <v>极紧凑</v>
      </c>
      <c r="Q745" t="str">
        <f t="shared" si="317"/>
        <v>✓有效</v>
      </c>
      <c r="R745" t="str">
        <f t="shared" si="318"/>
        <v>正常</v>
      </c>
    </row>
    <row r="746" ht="14.25" customHeight="1" spans="1:18">
      <c r="A746" s="10">
        <v>2025014</v>
      </c>
      <c r="B746" s="12" t="s">
        <v>422</v>
      </c>
      <c r="C746">
        <f t="shared" si="304"/>
        <v>6</v>
      </c>
      <c r="D746">
        <f t="shared" si="305"/>
        <v>7</v>
      </c>
      <c r="E746">
        <f t="shared" si="306"/>
        <v>9</v>
      </c>
      <c r="F746">
        <f t="shared" si="307"/>
        <v>22</v>
      </c>
      <c r="G746">
        <f t="shared" si="308"/>
        <v>2</v>
      </c>
      <c r="H746">
        <f t="shared" si="309"/>
        <v>3</v>
      </c>
      <c r="I746">
        <f t="shared" si="310"/>
        <v>7.33</v>
      </c>
      <c r="J746">
        <f t="shared" si="311"/>
        <v>0.67</v>
      </c>
      <c r="K746">
        <f t="shared" si="312"/>
        <v>1</v>
      </c>
      <c r="L746">
        <f t="shared" si="313"/>
        <v>0.33</v>
      </c>
      <c r="M746">
        <f t="shared" si="314"/>
        <v>1</v>
      </c>
      <c r="N746">
        <f t="shared" si="315"/>
        <v>3.5</v>
      </c>
      <c r="O746" t="str">
        <f t="shared" si="319"/>
        <v>紧凑</v>
      </c>
      <c r="P746" t="str">
        <f t="shared" si="316"/>
        <v>标准</v>
      </c>
      <c r="Q746" t="str">
        <f t="shared" si="317"/>
        <v>✓有效</v>
      </c>
      <c r="R746" t="str">
        <f t="shared" si="318"/>
        <v>正常</v>
      </c>
    </row>
    <row r="747" ht="14.25" customHeight="1" spans="1:18">
      <c r="A747" s="10">
        <v>2025015</v>
      </c>
      <c r="B747" s="12" t="s">
        <v>208</v>
      </c>
      <c r="C747">
        <f t="shared" si="304"/>
        <v>9</v>
      </c>
      <c r="D747">
        <f t="shared" si="305"/>
        <v>4</v>
      </c>
      <c r="E747">
        <f t="shared" si="306"/>
        <v>2</v>
      </c>
      <c r="F747">
        <f t="shared" si="307"/>
        <v>15</v>
      </c>
      <c r="G747">
        <f t="shared" si="308"/>
        <v>5</v>
      </c>
      <c r="H747">
        <f t="shared" si="309"/>
        <v>7</v>
      </c>
      <c r="I747">
        <f t="shared" si="310"/>
        <v>2.14</v>
      </c>
      <c r="J747">
        <f t="shared" si="311"/>
        <v>0.33</v>
      </c>
      <c r="K747">
        <f t="shared" si="312"/>
        <v>0.33</v>
      </c>
      <c r="L747">
        <f t="shared" si="313"/>
        <v>0.33</v>
      </c>
      <c r="M747">
        <f t="shared" si="314"/>
        <v>0</v>
      </c>
      <c r="N747">
        <f t="shared" si="315"/>
        <v>1.32</v>
      </c>
      <c r="O747" t="str">
        <f t="shared" si="319"/>
        <v>标准</v>
      </c>
      <c r="P747" t="str">
        <f t="shared" si="316"/>
        <v>极紧凑</v>
      </c>
      <c r="Q747" t="str">
        <f t="shared" si="317"/>
        <v>✓有效</v>
      </c>
      <c r="R747" t="str">
        <f t="shared" si="318"/>
        <v>正常</v>
      </c>
    </row>
    <row r="748" ht="14.25" customHeight="1" spans="1:18">
      <c r="A748" s="10">
        <v>2025016</v>
      </c>
      <c r="B748" s="12" t="s">
        <v>117</v>
      </c>
      <c r="C748">
        <f t="shared" si="304"/>
        <v>1</v>
      </c>
      <c r="D748">
        <f t="shared" si="305"/>
        <v>0</v>
      </c>
      <c r="E748">
        <f t="shared" si="306"/>
        <v>4</v>
      </c>
      <c r="F748">
        <f t="shared" si="307"/>
        <v>5</v>
      </c>
      <c r="G748">
        <f t="shared" si="308"/>
        <v>5</v>
      </c>
      <c r="H748">
        <f t="shared" si="309"/>
        <v>4</v>
      </c>
      <c r="I748">
        <f t="shared" si="310"/>
        <v>1.25</v>
      </c>
      <c r="J748">
        <f t="shared" si="311"/>
        <v>0.33</v>
      </c>
      <c r="K748">
        <f t="shared" si="312"/>
        <v>0</v>
      </c>
      <c r="L748">
        <f t="shared" si="313"/>
        <v>0</v>
      </c>
      <c r="M748">
        <f t="shared" si="314"/>
        <v>1</v>
      </c>
      <c r="N748">
        <f t="shared" si="315"/>
        <v>0.77</v>
      </c>
      <c r="O748" t="str">
        <f t="shared" si="319"/>
        <v>松散</v>
      </c>
      <c r="P748" t="str">
        <f t="shared" si="316"/>
        <v>极紧凑</v>
      </c>
      <c r="Q748" t="str">
        <f t="shared" si="317"/>
        <v>✓有效</v>
      </c>
      <c r="R748" t="str">
        <f t="shared" si="318"/>
        <v>正常</v>
      </c>
    </row>
    <row r="749" ht="14.25" customHeight="1" spans="1:18">
      <c r="A749" s="10">
        <v>2025017</v>
      </c>
      <c r="B749" s="12" t="s">
        <v>573</v>
      </c>
      <c r="C749">
        <f t="shared" si="304"/>
        <v>0</v>
      </c>
      <c r="D749">
        <f t="shared" si="305"/>
        <v>2</v>
      </c>
      <c r="E749">
        <f t="shared" si="306"/>
        <v>7</v>
      </c>
      <c r="F749">
        <f t="shared" si="307"/>
        <v>9</v>
      </c>
      <c r="G749">
        <f t="shared" si="308"/>
        <v>9</v>
      </c>
      <c r="H749">
        <f t="shared" si="309"/>
        <v>7</v>
      </c>
      <c r="I749">
        <f t="shared" si="310"/>
        <v>1.29</v>
      </c>
      <c r="J749">
        <f t="shared" si="311"/>
        <v>0.33</v>
      </c>
      <c r="K749">
        <f t="shared" si="312"/>
        <v>0.33</v>
      </c>
      <c r="L749">
        <f t="shared" si="313"/>
        <v>0.67</v>
      </c>
      <c r="M749">
        <f t="shared" si="314"/>
        <v>0</v>
      </c>
      <c r="N749">
        <f t="shared" si="315"/>
        <v>1.02</v>
      </c>
      <c r="O749" t="str">
        <f t="shared" si="319"/>
        <v>松散</v>
      </c>
      <c r="P749" t="str">
        <f t="shared" si="316"/>
        <v>极紧凑</v>
      </c>
      <c r="Q749" t="str">
        <f t="shared" si="317"/>
        <v>✓有效</v>
      </c>
      <c r="R749" t="str">
        <f t="shared" si="318"/>
        <v>正常</v>
      </c>
    </row>
    <row r="750" ht="14.25" customHeight="1" spans="1:18">
      <c r="A750" s="10">
        <v>2025018</v>
      </c>
      <c r="B750" s="12" t="s">
        <v>574</v>
      </c>
      <c r="C750">
        <f t="shared" si="304"/>
        <v>8</v>
      </c>
      <c r="D750">
        <f t="shared" si="305"/>
        <v>3</v>
      </c>
      <c r="E750">
        <f t="shared" si="306"/>
        <v>6</v>
      </c>
      <c r="F750">
        <f t="shared" si="307"/>
        <v>17</v>
      </c>
      <c r="G750">
        <f t="shared" si="308"/>
        <v>7</v>
      </c>
      <c r="H750">
        <f t="shared" si="309"/>
        <v>5</v>
      </c>
      <c r="I750">
        <f t="shared" si="310"/>
        <v>3.4</v>
      </c>
      <c r="J750">
        <f t="shared" si="311"/>
        <v>0.33</v>
      </c>
      <c r="K750">
        <f t="shared" si="312"/>
        <v>0.67</v>
      </c>
      <c r="L750">
        <f t="shared" si="313"/>
        <v>0.33</v>
      </c>
      <c r="M750">
        <f t="shared" si="314"/>
        <v>0</v>
      </c>
      <c r="N750">
        <f t="shared" si="315"/>
        <v>1.89</v>
      </c>
      <c r="O750" t="str">
        <f t="shared" si="319"/>
        <v>标准</v>
      </c>
      <c r="P750" t="str">
        <f t="shared" si="316"/>
        <v>紧凑</v>
      </c>
      <c r="Q750" t="str">
        <f t="shared" si="317"/>
        <v>✓有效</v>
      </c>
      <c r="R750" t="str">
        <f t="shared" si="318"/>
        <v>正常</v>
      </c>
    </row>
    <row r="751" ht="14.25" customHeight="1" spans="1:18">
      <c r="A751" s="10">
        <v>2025019</v>
      </c>
      <c r="B751" s="12" t="s">
        <v>484</v>
      </c>
      <c r="C751">
        <f t="shared" si="304"/>
        <v>7</v>
      </c>
      <c r="D751">
        <f t="shared" si="305"/>
        <v>1</v>
      </c>
      <c r="E751">
        <f t="shared" si="306"/>
        <v>0</v>
      </c>
      <c r="F751">
        <f t="shared" si="307"/>
        <v>8</v>
      </c>
      <c r="G751">
        <f t="shared" si="308"/>
        <v>8</v>
      </c>
      <c r="H751">
        <f t="shared" si="309"/>
        <v>7</v>
      </c>
      <c r="I751">
        <f t="shared" si="310"/>
        <v>1.14</v>
      </c>
      <c r="J751">
        <f t="shared" si="311"/>
        <v>0.67</v>
      </c>
      <c r="K751">
        <f t="shared" si="312"/>
        <v>0.33</v>
      </c>
      <c r="L751">
        <f t="shared" si="313"/>
        <v>0.33</v>
      </c>
      <c r="M751">
        <f t="shared" si="314"/>
        <v>1</v>
      </c>
      <c r="N751">
        <f t="shared" si="315"/>
        <v>0.89</v>
      </c>
      <c r="O751" t="str">
        <f t="shared" si="319"/>
        <v>松散</v>
      </c>
      <c r="P751" t="str">
        <f t="shared" si="316"/>
        <v>极紧凑</v>
      </c>
      <c r="Q751" t="str">
        <f t="shared" si="317"/>
        <v>✓有效</v>
      </c>
      <c r="R751" t="str">
        <f t="shared" si="318"/>
        <v>正常</v>
      </c>
    </row>
    <row r="752" ht="14.25" customHeight="1" spans="1:18">
      <c r="A752" s="10">
        <v>2025020</v>
      </c>
      <c r="B752" s="12" t="s">
        <v>482</v>
      </c>
      <c r="C752">
        <f t="shared" si="304"/>
        <v>0</v>
      </c>
      <c r="D752">
        <f t="shared" si="305"/>
        <v>5</v>
      </c>
      <c r="E752">
        <f t="shared" si="306"/>
        <v>6</v>
      </c>
      <c r="F752">
        <f t="shared" si="307"/>
        <v>11</v>
      </c>
      <c r="G752">
        <f t="shared" si="308"/>
        <v>1</v>
      </c>
      <c r="H752">
        <f t="shared" si="309"/>
        <v>6</v>
      </c>
      <c r="I752">
        <f t="shared" si="310"/>
        <v>1.83</v>
      </c>
      <c r="J752">
        <f t="shared" si="311"/>
        <v>0.33</v>
      </c>
      <c r="K752">
        <f t="shared" si="312"/>
        <v>0.67</v>
      </c>
      <c r="L752">
        <f t="shared" si="313"/>
        <v>0.33</v>
      </c>
      <c r="M752">
        <f t="shared" si="314"/>
        <v>1</v>
      </c>
      <c r="N752">
        <f t="shared" si="315"/>
        <v>1.17</v>
      </c>
      <c r="O752" t="str">
        <f t="shared" si="319"/>
        <v>松散</v>
      </c>
      <c r="P752" t="str">
        <f t="shared" si="316"/>
        <v>极紧凑</v>
      </c>
      <c r="Q752" t="str">
        <f t="shared" si="317"/>
        <v>✓有效</v>
      </c>
      <c r="R752" t="str">
        <f t="shared" si="318"/>
        <v>正常</v>
      </c>
    </row>
    <row r="753" ht="14.25" customHeight="1" spans="1:18">
      <c r="A753" s="10">
        <v>2025021</v>
      </c>
      <c r="B753" s="12" t="s">
        <v>280</v>
      </c>
      <c r="C753">
        <f t="shared" si="304"/>
        <v>4</v>
      </c>
      <c r="D753">
        <f t="shared" si="305"/>
        <v>6</v>
      </c>
      <c r="E753">
        <f t="shared" si="306"/>
        <v>8</v>
      </c>
      <c r="F753">
        <f t="shared" si="307"/>
        <v>18</v>
      </c>
      <c r="G753">
        <f t="shared" si="308"/>
        <v>8</v>
      </c>
      <c r="H753">
        <f t="shared" si="309"/>
        <v>4</v>
      </c>
      <c r="I753">
        <f t="shared" si="310"/>
        <v>4.5</v>
      </c>
      <c r="J753">
        <f t="shared" si="311"/>
        <v>0</v>
      </c>
      <c r="K753">
        <f t="shared" si="312"/>
        <v>0.67</v>
      </c>
      <c r="L753">
        <f t="shared" si="313"/>
        <v>0</v>
      </c>
      <c r="M753">
        <f t="shared" si="314"/>
        <v>0</v>
      </c>
      <c r="N753">
        <f t="shared" si="315"/>
        <v>2.23</v>
      </c>
      <c r="O753" t="str">
        <f t="shared" si="319"/>
        <v>紧凑</v>
      </c>
      <c r="P753" t="str">
        <f t="shared" si="316"/>
        <v>紧凑</v>
      </c>
      <c r="Q753" t="str">
        <f t="shared" si="317"/>
        <v>✓有效</v>
      </c>
      <c r="R753" t="str">
        <f t="shared" si="318"/>
        <v>正常</v>
      </c>
    </row>
    <row r="754" ht="14.25" customHeight="1" spans="1:18">
      <c r="A754" s="10">
        <v>2025022</v>
      </c>
      <c r="B754" s="12" t="s">
        <v>119</v>
      </c>
      <c r="C754">
        <f t="shared" si="304"/>
        <v>6</v>
      </c>
      <c r="D754">
        <f t="shared" si="305"/>
        <v>3</v>
      </c>
      <c r="E754">
        <f t="shared" si="306"/>
        <v>8</v>
      </c>
      <c r="F754">
        <f t="shared" si="307"/>
        <v>17</v>
      </c>
      <c r="G754">
        <f t="shared" si="308"/>
        <v>7</v>
      </c>
      <c r="H754">
        <f t="shared" si="309"/>
        <v>5</v>
      </c>
      <c r="I754">
        <f t="shared" si="310"/>
        <v>3.4</v>
      </c>
      <c r="J754">
        <f t="shared" si="311"/>
        <v>0.33</v>
      </c>
      <c r="K754">
        <f t="shared" si="312"/>
        <v>0.67</v>
      </c>
      <c r="L754">
        <f t="shared" si="313"/>
        <v>0.33</v>
      </c>
      <c r="M754">
        <f t="shared" si="314"/>
        <v>0</v>
      </c>
      <c r="N754">
        <f t="shared" si="315"/>
        <v>1.89</v>
      </c>
      <c r="O754" t="str">
        <f t="shared" si="319"/>
        <v>标准</v>
      </c>
      <c r="P754" t="str">
        <f t="shared" si="316"/>
        <v>紧凑</v>
      </c>
      <c r="Q754" t="str">
        <f t="shared" si="317"/>
        <v>✓有效</v>
      </c>
      <c r="R754" t="str">
        <f t="shared" si="318"/>
        <v>正常</v>
      </c>
    </row>
    <row r="755" ht="14.25" customHeight="1" spans="1:18">
      <c r="A755" s="10">
        <v>2025023</v>
      </c>
      <c r="B755" s="12" t="s">
        <v>312</v>
      </c>
      <c r="C755">
        <f t="shared" si="304"/>
        <v>5</v>
      </c>
      <c r="D755">
        <f t="shared" si="305"/>
        <v>9</v>
      </c>
      <c r="E755">
        <f t="shared" si="306"/>
        <v>1</v>
      </c>
      <c r="F755">
        <f t="shared" si="307"/>
        <v>15</v>
      </c>
      <c r="G755">
        <f t="shared" si="308"/>
        <v>5</v>
      </c>
      <c r="H755">
        <f t="shared" si="309"/>
        <v>8</v>
      </c>
      <c r="I755">
        <f t="shared" si="310"/>
        <v>1.88</v>
      </c>
      <c r="J755">
        <f t="shared" si="311"/>
        <v>1</v>
      </c>
      <c r="K755">
        <f t="shared" si="312"/>
        <v>0.67</v>
      </c>
      <c r="L755">
        <f t="shared" si="313"/>
        <v>0.33</v>
      </c>
      <c r="M755">
        <f t="shared" si="314"/>
        <v>0</v>
      </c>
      <c r="N755">
        <f t="shared" si="315"/>
        <v>1.42</v>
      </c>
      <c r="O755" t="str">
        <f t="shared" si="319"/>
        <v>松散</v>
      </c>
      <c r="P755" t="str">
        <f t="shared" si="316"/>
        <v>极紧凑</v>
      </c>
      <c r="Q755" t="str">
        <f t="shared" si="317"/>
        <v>✓有效</v>
      </c>
      <c r="R755" t="str">
        <f t="shared" si="318"/>
        <v>正常</v>
      </c>
    </row>
    <row r="756" ht="14.25" customHeight="1" spans="1:18">
      <c r="A756" s="10">
        <v>2025024</v>
      </c>
      <c r="B756" s="12" t="s">
        <v>575</v>
      </c>
      <c r="C756">
        <f t="shared" si="304"/>
        <v>7</v>
      </c>
      <c r="D756">
        <f t="shared" si="305"/>
        <v>6</v>
      </c>
      <c r="E756">
        <f t="shared" si="306"/>
        <v>2</v>
      </c>
      <c r="F756">
        <f t="shared" si="307"/>
        <v>15</v>
      </c>
      <c r="G756">
        <f t="shared" si="308"/>
        <v>5</v>
      </c>
      <c r="H756">
        <f t="shared" si="309"/>
        <v>5</v>
      </c>
      <c r="I756">
        <f t="shared" si="310"/>
        <v>3</v>
      </c>
      <c r="J756">
        <f t="shared" si="311"/>
        <v>0.33</v>
      </c>
      <c r="K756">
        <f t="shared" si="312"/>
        <v>0.67</v>
      </c>
      <c r="L756">
        <f t="shared" si="313"/>
        <v>0.67</v>
      </c>
      <c r="M756">
        <f t="shared" si="314"/>
        <v>1</v>
      </c>
      <c r="N756">
        <f t="shared" si="315"/>
        <v>1.67</v>
      </c>
      <c r="O756" t="str">
        <f t="shared" si="319"/>
        <v>标准</v>
      </c>
      <c r="P756" t="str">
        <f t="shared" si="316"/>
        <v>紧凑</v>
      </c>
      <c r="Q756" t="str">
        <f t="shared" si="317"/>
        <v>✓有效</v>
      </c>
      <c r="R756" t="str">
        <f t="shared" si="318"/>
        <v>正常</v>
      </c>
    </row>
    <row r="757" ht="14.25" customHeight="1" spans="1:18">
      <c r="A757" s="10">
        <v>2025025</v>
      </c>
      <c r="B757" s="12" t="s">
        <v>576</v>
      </c>
      <c r="C757">
        <f t="shared" si="304"/>
        <v>4</v>
      </c>
      <c r="D757">
        <f t="shared" si="305"/>
        <v>8</v>
      </c>
      <c r="E757">
        <f t="shared" si="306"/>
        <v>6</v>
      </c>
      <c r="F757">
        <f t="shared" si="307"/>
        <v>18</v>
      </c>
      <c r="G757">
        <f t="shared" si="308"/>
        <v>8</v>
      </c>
      <c r="H757">
        <f t="shared" si="309"/>
        <v>4</v>
      </c>
      <c r="I757">
        <f t="shared" si="310"/>
        <v>4.5</v>
      </c>
      <c r="J757">
        <f t="shared" si="311"/>
        <v>0</v>
      </c>
      <c r="K757">
        <f t="shared" si="312"/>
        <v>0.67</v>
      </c>
      <c r="L757">
        <f t="shared" si="313"/>
        <v>0</v>
      </c>
      <c r="M757">
        <f t="shared" si="314"/>
        <v>0</v>
      </c>
      <c r="N757">
        <f t="shared" si="315"/>
        <v>2.23</v>
      </c>
      <c r="O757" t="str">
        <f t="shared" si="319"/>
        <v>紧凑</v>
      </c>
      <c r="P757" t="str">
        <f t="shared" si="316"/>
        <v>紧凑</v>
      </c>
      <c r="Q757" t="str">
        <f t="shared" si="317"/>
        <v>✓有效</v>
      </c>
      <c r="R757" t="str">
        <f t="shared" si="318"/>
        <v>正常</v>
      </c>
    </row>
    <row r="758" ht="14.25" customHeight="1" spans="1:18">
      <c r="A758" s="10">
        <v>2025026</v>
      </c>
      <c r="B758" s="12" t="s">
        <v>577</v>
      </c>
      <c r="C758">
        <f t="shared" si="304"/>
        <v>5</v>
      </c>
      <c r="D758">
        <f t="shared" si="305"/>
        <v>8</v>
      </c>
      <c r="E758">
        <f t="shared" si="306"/>
        <v>8</v>
      </c>
      <c r="F758">
        <f t="shared" si="307"/>
        <v>21</v>
      </c>
      <c r="G758">
        <f t="shared" si="308"/>
        <v>1</v>
      </c>
      <c r="H758">
        <f t="shared" si="309"/>
        <v>3</v>
      </c>
      <c r="I758">
        <f t="shared" si="310"/>
        <v>7</v>
      </c>
      <c r="J758">
        <f t="shared" si="311"/>
        <v>0.33</v>
      </c>
      <c r="K758">
        <f t="shared" si="312"/>
        <v>1</v>
      </c>
      <c r="L758">
        <f t="shared" si="313"/>
        <v>0.33</v>
      </c>
      <c r="M758">
        <f t="shared" si="314"/>
        <v>0</v>
      </c>
      <c r="N758">
        <f t="shared" si="315"/>
        <v>3.4</v>
      </c>
      <c r="O758" t="str">
        <f t="shared" si="319"/>
        <v>紧凑</v>
      </c>
      <c r="P758" t="str">
        <f t="shared" si="316"/>
        <v>标准</v>
      </c>
      <c r="Q758" t="str">
        <f t="shared" si="317"/>
        <v>✓有效</v>
      </c>
      <c r="R758" t="str">
        <f t="shared" si="318"/>
        <v>正常</v>
      </c>
    </row>
    <row r="759" ht="14.25" customHeight="1" spans="1:18">
      <c r="A759" s="10">
        <v>2025027</v>
      </c>
      <c r="B759" s="12" t="s">
        <v>578</v>
      </c>
      <c r="C759">
        <f t="shared" si="304"/>
        <v>3</v>
      </c>
      <c r="D759">
        <f t="shared" si="305"/>
        <v>8</v>
      </c>
      <c r="E759">
        <f t="shared" si="306"/>
        <v>3</v>
      </c>
      <c r="F759">
        <f t="shared" si="307"/>
        <v>14</v>
      </c>
      <c r="G759">
        <f t="shared" si="308"/>
        <v>4</v>
      </c>
      <c r="H759">
        <f t="shared" si="309"/>
        <v>5</v>
      </c>
      <c r="I759">
        <f t="shared" si="310"/>
        <v>2.8</v>
      </c>
      <c r="J759">
        <f t="shared" si="311"/>
        <v>0.67</v>
      </c>
      <c r="K759">
        <f t="shared" si="312"/>
        <v>0.33</v>
      </c>
      <c r="L759">
        <f t="shared" si="313"/>
        <v>0.67</v>
      </c>
      <c r="M759">
        <f t="shared" si="314"/>
        <v>0</v>
      </c>
      <c r="N759">
        <f t="shared" si="315"/>
        <v>1.69</v>
      </c>
      <c r="O759" t="str">
        <f t="shared" si="319"/>
        <v>标准</v>
      </c>
      <c r="P759" t="str">
        <f t="shared" si="316"/>
        <v>紧凑</v>
      </c>
      <c r="Q759" t="str">
        <f t="shared" si="317"/>
        <v>✓有效</v>
      </c>
      <c r="R759" t="str">
        <f t="shared" si="318"/>
        <v>正常</v>
      </c>
    </row>
    <row r="760" ht="14.25" customHeight="1" spans="1:18">
      <c r="A760" s="10">
        <v>2025028</v>
      </c>
      <c r="B760" s="12" t="s">
        <v>512</v>
      </c>
      <c r="C760">
        <f t="shared" si="304"/>
        <v>4</v>
      </c>
      <c r="D760">
        <f t="shared" si="305"/>
        <v>0</v>
      </c>
      <c r="E760">
        <f t="shared" si="306"/>
        <v>9</v>
      </c>
      <c r="F760">
        <f t="shared" si="307"/>
        <v>13</v>
      </c>
      <c r="G760">
        <f t="shared" si="308"/>
        <v>3</v>
      </c>
      <c r="H760">
        <f t="shared" si="309"/>
        <v>9</v>
      </c>
      <c r="I760">
        <f t="shared" si="310"/>
        <v>1.44</v>
      </c>
      <c r="J760">
        <f t="shared" si="311"/>
        <v>0.33</v>
      </c>
      <c r="K760">
        <f t="shared" si="312"/>
        <v>0.33</v>
      </c>
      <c r="L760">
        <f t="shared" si="313"/>
        <v>0</v>
      </c>
      <c r="M760">
        <f t="shared" si="314"/>
        <v>0</v>
      </c>
      <c r="N760">
        <f t="shared" si="315"/>
        <v>1.01</v>
      </c>
      <c r="O760" t="str">
        <f t="shared" si="319"/>
        <v>松散</v>
      </c>
      <c r="P760" t="str">
        <f t="shared" si="316"/>
        <v>极紧凑</v>
      </c>
      <c r="Q760" t="str">
        <f t="shared" si="317"/>
        <v>✓有效</v>
      </c>
      <c r="R760" t="str">
        <f t="shared" si="318"/>
        <v>正常</v>
      </c>
    </row>
    <row r="761" ht="14.25" customHeight="1" spans="1:18">
      <c r="A761" s="10">
        <v>2025029</v>
      </c>
      <c r="B761" s="12" t="s">
        <v>277</v>
      </c>
      <c r="C761">
        <f t="shared" si="304"/>
        <v>0</v>
      </c>
      <c r="D761">
        <f t="shared" si="305"/>
        <v>9</v>
      </c>
      <c r="E761">
        <f t="shared" si="306"/>
        <v>6</v>
      </c>
      <c r="F761">
        <f t="shared" si="307"/>
        <v>15</v>
      </c>
      <c r="G761">
        <f t="shared" si="308"/>
        <v>5</v>
      </c>
      <c r="H761">
        <f t="shared" si="309"/>
        <v>9</v>
      </c>
      <c r="I761">
        <f t="shared" si="310"/>
        <v>1.67</v>
      </c>
      <c r="J761">
        <f t="shared" si="311"/>
        <v>0.33</v>
      </c>
      <c r="K761">
        <f t="shared" si="312"/>
        <v>0.67</v>
      </c>
      <c r="L761">
        <f t="shared" si="313"/>
        <v>0</v>
      </c>
      <c r="M761">
        <f t="shared" si="314"/>
        <v>0</v>
      </c>
      <c r="N761">
        <f t="shared" si="315"/>
        <v>1.17</v>
      </c>
      <c r="O761" t="str">
        <f t="shared" si="319"/>
        <v>松散</v>
      </c>
      <c r="P761" t="str">
        <f t="shared" si="316"/>
        <v>极紧凑</v>
      </c>
      <c r="Q761" t="str">
        <f t="shared" si="317"/>
        <v>✓有效</v>
      </c>
      <c r="R761" t="str">
        <f t="shared" si="318"/>
        <v>正常</v>
      </c>
    </row>
    <row r="762" ht="14.25" customHeight="1" spans="1:18">
      <c r="A762" s="10">
        <v>2025030</v>
      </c>
      <c r="B762" s="12" t="s">
        <v>579</v>
      </c>
      <c r="C762">
        <f t="shared" si="304"/>
        <v>3</v>
      </c>
      <c r="D762">
        <f t="shared" si="305"/>
        <v>0</v>
      </c>
      <c r="E762">
        <f t="shared" si="306"/>
        <v>2</v>
      </c>
      <c r="F762">
        <f t="shared" si="307"/>
        <v>5</v>
      </c>
      <c r="G762">
        <f t="shared" si="308"/>
        <v>5</v>
      </c>
      <c r="H762">
        <f t="shared" si="309"/>
        <v>3</v>
      </c>
      <c r="I762">
        <f t="shared" si="310"/>
        <v>1.67</v>
      </c>
      <c r="J762">
        <f t="shared" si="311"/>
        <v>0.33</v>
      </c>
      <c r="K762">
        <f t="shared" si="312"/>
        <v>0</v>
      </c>
      <c r="L762">
        <f t="shared" si="313"/>
        <v>0.67</v>
      </c>
      <c r="M762">
        <f t="shared" si="314"/>
        <v>1</v>
      </c>
      <c r="N762">
        <f t="shared" si="315"/>
        <v>1</v>
      </c>
      <c r="O762" t="str">
        <f t="shared" si="319"/>
        <v>松散</v>
      </c>
      <c r="P762" t="str">
        <f t="shared" si="316"/>
        <v>极紧凑</v>
      </c>
      <c r="Q762" t="str">
        <f t="shared" si="317"/>
        <v>✓有效</v>
      </c>
      <c r="R762" t="str">
        <f t="shared" si="318"/>
        <v>正常</v>
      </c>
    </row>
    <row r="763" ht="14.25" customHeight="1" spans="1:18">
      <c r="A763" s="10">
        <v>2025031</v>
      </c>
      <c r="B763" s="12" t="s">
        <v>169</v>
      </c>
      <c r="C763">
        <f t="shared" si="304"/>
        <v>3</v>
      </c>
      <c r="D763">
        <f t="shared" si="305"/>
        <v>7</v>
      </c>
      <c r="E763">
        <f t="shared" si="306"/>
        <v>9</v>
      </c>
      <c r="F763">
        <f t="shared" si="307"/>
        <v>19</v>
      </c>
      <c r="G763">
        <f t="shared" si="308"/>
        <v>9</v>
      </c>
      <c r="H763">
        <f t="shared" si="309"/>
        <v>6</v>
      </c>
      <c r="I763">
        <f t="shared" si="310"/>
        <v>3.17</v>
      </c>
      <c r="J763">
        <f t="shared" si="311"/>
        <v>1</v>
      </c>
      <c r="K763">
        <f t="shared" si="312"/>
        <v>0.67</v>
      </c>
      <c r="L763">
        <f t="shared" si="313"/>
        <v>0.67</v>
      </c>
      <c r="M763">
        <f t="shared" si="314"/>
        <v>0</v>
      </c>
      <c r="N763">
        <f t="shared" si="315"/>
        <v>1.97</v>
      </c>
      <c r="O763" t="str">
        <f t="shared" si="319"/>
        <v>标准</v>
      </c>
      <c r="P763" t="str">
        <f t="shared" si="316"/>
        <v>紧凑</v>
      </c>
      <c r="Q763" t="str">
        <f t="shared" si="317"/>
        <v>✓有效</v>
      </c>
      <c r="R763" t="str">
        <f t="shared" si="318"/>
        <v>正常</v>
      </c>
    </row>
    <row r="764" ht="14.25" customHeight="1" spans="1:18">
      <c r="A764" s="10">
        <v>2025032</v>
      </c>
      <c r="B764" s="12" t="s">
        <v>580</v>
      </c>
      <c r="C764">
        <f t="shared" si="304"/>
        <v>4</v>
      </c>
      <c r="D764">
        <f t="shared" si="305"/>
        <v>9</v>
      </c>
      <c r="E764">
        <f t="shared" si="306"/>
        <v>9</v>
      </c>
      <c r="F764">
        <f t="shared" si="307"/>
        <v>22</v>
      </c>
      <c r="G764">
        <f t="shared" si="308"/>
        <v>2</v>
      </c>
      <c r="H764">
        <f t="shared" si="309"/>
        <v>5</v>
      </c>
      <c r="I764">
        <f t="shared" si="310"/>
        <v>4.4</v>
      </c>
      <c r="J764">
        <f t="shared" si="311"/>
        <v>0.67</v>
      </c>
      <c r="K764">
        <f t="shared" si="312"/>
        <v>0.67</v>
      </c>
      <c r="L764">
        <f t="shared" si="313"/>
        <v>0</v>
      </c>
      <c r="M764">
        <f t="shared" si="314"/>
        <v>0</v>
      </c>
      <c r="N764">
        <f t="shared" si="315"/>
        <v>2.33</v>
      </c>
      <c r="O764" t="str">
        <f t="shared" si="319"/>
        <v>紧凑</v>
      </c>
      <c r="P764" t="str">
        <f t="shared" si="316"/>
        <v>紧凑</v>
      </c>
      <c r="Q764" t="str">
        <f t="shared" si="317"/>
        <v>✓有效</v>
      </c>
      <c r="R764" t="str">
        <f t="shared" si="318"/>
        <v>正常</v>
      </c>
    </row>
    <row r="765" ht="14.25" customHeight="1" spans="1:18">
      <c r="A765" s="10">
        <v>2025033</v>
      </c>
      <c r="B765" s="12" t="s">
        <v>572</v>
      </c>
      <c r="C765">
        <f t="shared" si="304"/>
        <v>6</v>
      </c>
      <c r="D765">
        <f t="shared" si="305"/>
        <v>0</v>
      </c>
      <c r="E765">
        <f t="shared" si="306"/>
        <v>6</v>
      </c>
      <c r="F765">
        <f t="shared" si="307"/>
        <v>12</v>
      </c>
      <c r="G765">
        <f t="shared" si="308"/>
        <v>2</v>
      </c>
      <c r="H765">
        <f t="shared" si="309"/>
        <v>6</v>
      </c>
      <c r="I765">
        <f t="shared" si="310"/>
        <v>2</v>
      </c>
      <c r="J765">
        <f t="shared" si="311"/>
        <v>0</v>
      </c>
      <c r="K765">
        <f t="shared" si="312"/>
        <v>0.67</v>
      </c>
      <c r="L765">
        <f t="shared" si="313"/>
        <v>0</v>
      </c>
      <c r="M765">
        <f t="shared" si="314"/>
        <v>0</v>
      </c>
      <c r="N765">
        <f t="shared" si="315"/>
        <v>1.23</v>
      </c>
      <c r="O765" t="str">
        <f t="shared" si="319"/>
        <v>标准</v>
      </c>
      <c r="P765" t="str">
        <f t="shared" si="316"/>
        <v>极紧凑</v>
      </c>
      <c r="Q765" t="str">
        <f t="shared" si="317"/>
        <v>✓有效</v>
      </c>
      <c r="R765" t="str">
        <f t="shared" si="318"/>
        <v>正常</v>
      </c>
    </row>
    <row r="766" ht="14.25" customHeight="1" spans="1:18">
      <c r="A766" s="10">
        <v>2025034</v>
      </c>
      <c r="B766" s="12" t="s">
        <v>581</v>
      </c>
      <c r="C766">
        <f t="shared" si="304"/>
        <v>2</v>
      </c>
      <c r="D766">
        <f t="shared" si="305"/>
        <v>6</v>
      </c>
      <c r="E766">
        <f t="shared" si="306"/>
        <v>1</v>
      </c>
      <c r="F766">
        <f t="shared" si="307"/>
        <v>9</v>
      </c>
      <c r="G766">
        <f t="shared" si="308"/>
        <v>9</v>
      </c>
      <c r="H766">
        <f t="shared" si="309"/>
        <v>5</v>
      </c>
      <c r="I766">
        <f t="shared" si="310"/>
        <v>1.8</v>
      </c>
      <c r="J766">
        <f t="shared" si="311"/>
        <v>0.33</v>
      </c>
      <c r="K766">
        <f t="shared" si="312"/>
        <v>0.33</v>
      </c>
      <c r="L766">
        <f t="shared" si="313"/>
        <v>0.33</v>
      </c>
      <c r="M766">
        <f t="shared" si="314"/>
        <v>1</v>
      </c>
      <c r="N766">
        <f t="shared" si="315"/>
        <v>1.09</v>
      </c>
      <c r="O766" t="str">
        <f t="shared" si="319"/>
        <v>松散</v>
      </c>
      <c r="P766" t="str">
        <f t="shared" si="316"/>
        <v>极紧凑</v>
      </c>
      <c r="Q766" t="str">
        <f t="shared" si="317"/>
        <v>✓有效</v>
      </c>
      <c r="R766" t="str">
        <f t="shared" si="318"/>
        <v>正常</v>
      </c>
    </row>
    <row r="767" ht="14.25" customHeight="1" spans="1:18">
      <c r="A767" s="10">
        <v>2025035</v>
      </c>
      <c r="B767" s="12" t="s">
        <v>413</v>
      </c>
      <c r="C767">
        <f t="shared" si="304"/>
        <v>7</v>
      </c>
      <c r="D767">
        <f t="shared" si="305"/>
        <v>7</v>
      </c>
      <c r="E767">
        <f t="shared" si="306"/>
        <v>8</v>
      </c>
      <c r="F767">
        <f t="shared" si="307"/>
        <v>22</v>
      </c>
      <c r="G767">
        <f t="shared" si="308"/>
        <v>2</v>
      </c>
      <c r="H767">
        <f t="shared" si="309"/>
        <v>1</v>
      </c>
      <c r="I767">
        <f t="shared" si="310"/>
        <v>22</v>
      </c>
      <c r="J767">
        <f t="shared" si="311"/>
        <v>0.67</v>
      </c>
      <c r="K767">
        <f t="shared" si="312"/>
        <v>1</v>
      </c>
      <c r="L767">
        <f t="shared" si="313"/>
        <v>0.67</v>
      </c>
      <c r="M767">
        <f t="shared" si="314"/>
        <v>2</v>
      </c>
      <c r="N767">
        <f t="shared" si="315"/>
        <v>9.3</v>
      </c>
      <c r="O767" t="str">
        <f t="shared" si="319"/>
        <v>紧凑</v>
      </c>
      <c r="P767" t="str">
        <f t="shared" si="316"/>
        <v>松散</v>
      </c>
      <c r="Q767" t="str">
        <f t="shared" si="317"/>
        <v>✓有效</v>
      </c>
      <c r="R767" t="str">
        <f t="shared" si="318"/>
        <v>异常</v>
      </c>
    </row>
    <row r="768" ht="14.25" customHeight="1" spans="1:18">
      <c r="A768" s="10">
        <v>2025036</v>
      </c>
      <c r="B768" s="12" t="s">
        <v>404</v>
      </c>
      <c r="C768">
        <f t="shared" si="304"/>
        <v>6</v>
      </c>
      <c r="D768">
        <f t="shared" si="305"/>
        <v>1</v>
      </c>
      <c r="E768">
        <f t="shared" si="306"/>
        <v>7</v>
      </c>
      <c r="F768">
        <f t="shared" si="307"/>
        <v>14</v>
      </c>
      <c r="G768">
        <f t="shared" si="308"/>
        <v>4</v>
      </c>
      <c r="H768">
        <f t="shared" si="309"/>
        <v>6</v>
      </c>
      <c r="I768">
        <f t="shared" si="310"/>
        <v>2.33</v>
      </c>
      <c r="J768">
        <f t="shared" si="311"/>
        <v>0.67</v>
      </c>
      <c r="K768">
        <f t="shared" si="312"/>
        <v>0.67</v>
      </c>
      <c r="L768">
        <f t="shared" si="313"/>
        <v>0.33</v>
      </c>
      <c r="M768">
        <f t="shared" si="314"/>
        <v>1</v>
      </c>
      <c r="N768">
        <f t="shared" si="315"/>
        <v>1.43</v>
      </c>
      <c r="O768" t="str">
        <f t="shared" si="319"/>
        <v>标准</v>
      </c>
      <c r="P768" t="str">
        <f t="shared" si="316"/>
        <v>极紧凑</v>
      </c>
      <c r="Q768" t="str">
        <f t="shared" si="317"/>
        <v>✓有效</v>
      </c>
      <c r="R768" t="str">
        <f t="shared" si="318"/>
        <v>正常</v>
      </c>
    </row>
    <row r="769" ht="14.25" customHeight="1" spans="1:18">
      <c r="A769" s="10">
        <v>2025037</v>
      </c>
      <c r="B769" s="12" t="s">
        <v>333</v>
      </c>
      <c r="C769">
        <f t="shared" si="304"/>
        <v>1</v>
      </c>
      <c r="D769">
        <f t="shared" si="305"/>
        <v>3</v>
      </c>
      <c r="E769">
        <f t="shared" si="306"/>
        <v>1</v>
      </c>
      <c r="F769">
        <f t="shared" si="307"/>
        <v>5</v>
      </c>
      <c r="G769">
        <f t="shared" si="308"/>
        <v>5</v>
      </c>
      <c r="H769">
        <f t="shared" si="309"/>
        <v>2</v>
      </c>
      <c r="I769">
        <f t="shared" si="310"/>
        <v>2.5</v>
      </c>
      <c r="J769">
        <f t="shared" si="311"/>
        <v>1</v>
      </c>
      <c r="K769">
        <f t="shared" si="312"/>
        <v>0</v>
      </c>
      <c r="L769">
        <f t="shared" si="313"/>
        <v>0.33</v>
      </c>
      <c r="M769">
        <f t="shared" si="314"/>
        <v>0</v>
      </c>
      <c r="N769">
        <f t="shared" si="315"/>
        <v>1.53</v>
      </c>
      <c r="O769" t="str">
        <f t="shared" si="319"/>
        <v>标准</v>
      </c>
      <c r="P769" t="str">
        <f t="shared" si="316"/>
        <v>紧凑</v>
      </c>
      <c r="Q769" t="str">
        <f t="shared" si="317"/>
        <v>✓有效</v>
      </c>
      <c r="R769" t="str">
        <f t="shared" si="318"/>
        <v>正常</v>
      </c>
    </row>
    <row r="770" ht="14.25" customHeight="1" spans="1:18">
      <c r="A770" s="10">
        <v>2025038</v>
      </c>
      <c r="B770" s="12" t="s">
        <v>346</v>
      </c>
      <c r="C770">
        <f t="shared" si="304"/>
        <v>8</v>
      </c>
      <c r="D770">
        <f t="shared" si="305"/>
        <v>4</v>
      </c>
      <c r="E770">
        <f t="shared" si="306"/>
        <v>7</v>
      </c>
      <c r="F770">
        <f t="shared" si="307"/>
        <v>19</v>
      </c>
      <c r="G770">
        <f t="shared" si="308"/>
        <v>9</v>
      </c>
      <c r="H770">
        <f t="shared" si="309"/>
        <v>4</v>
      </c>
      <c r="I770">
        <f t="shared" si="310"/>
        <v>4.75</v>
      </c>
      <c r="J770">
        <f t="shared" si="311"/>
        <v>0.33</v>
      </c>
      <c r="K770">
        <f t="shared" si="312"/>
        <v>0.67</v>
      </c>
      <c r="L770">
        <f t="shared" si="313"/>
        <v>0.33</v>
      </c>
      <c r="M770">
        <f t="shared" si="314"/>
        <v>1</v>
      </c>
      <c r="N770">
        <f t="shared" si="315"/>
        <v>2.33</v>
      </c>
      <c r="O770" t="str">
        <f t="shared" si="319"/>
        <v>紧凑</v>
      </c>
      <c r="P770" t="str">
        <f t="shared" si="316"/>
        <v>紧凑</v>
      </c>
      <c r="Q770" t="str">
        <f t="shared" si="317"/>
        <v>✓有效</v>
      </c>
      <c r="R770" t="str">
        <f t="shared" si="318"/>
        <v>正常</v>
      </c>
    </row>
    <row r="771" ht="14.25" customHeight="1" spans="1:18">
      <c r="A771" s="10">
        <v>2025039</v>
      </c>
      <c r="B771" s="12" t="s">
        <v>236</v>
      </c>
      <c r="C771">
        <f t="shared" si="304"/>
        <v>9</v>
      </c>
      <c r="D771">
        <f t="shared" si="305"/>
        <v>3</v>
      </c>
      <c r="E771">
        <f t="shared" si="306"/>
        <v>2</v>
      </c>
      <c r="F771">
        <f t="shared" si="307"/>
        <v>14</v>
      </c>
      <c r="G771">
        <f t="shared" si="308"/>
        <v>4</v>
      </c>
      <c r="H771">
        <f t="shared" si="309"/>
        <v>7</v>
      </c>
      <c r="I771">
        <f t="shared" si="310"/>
        <v>2</v>
      </c>
      <c r="J771">
        <f t="shared" si="311"/>
        <v>0.67</v>
      </c>
      <c r="K771">
        <f t="shared" si="312"/>
        <v>0.33</v>
      </c>
      <c r="L771">
        <f t="shared" si="313"/>
        <v>0.67</v>
      </c>
      <c r="M771">
        <f t="shared" si="314"/>
        <v>1</v>
      </c>
      <c r="N771">
        <f t="shared" si="315"/>
        <v>1.27</v>
      </c>
      <c r="O771" t="str">
        <f t="shared" si="319"/>
        <v>标准</v>
      </c>
      <c r="P771" t="str">
        <f t="shared" si="316"/>
        <v>极紧凑</v>
      </c>
      <c r="Q771" t="str">
        <f t="shared" si="317"/>
        <v>✓有效</v>
      </c>
      <c r="R771" t="str">
        <f t="shared" si="318"/>
        <v>正常</v>
      </c>
    </row>
    <row r="772" ht="14.25" customHeight="1" spans="1:18">
      <c r="A772" s="10">
        <v>2025040</v>
      </c>
      <c r="B772" s="12" t="s">
        <v>582</v>
      </c>
      <c r="C772">
        <f t="shared" si="304"/>
        <v>4</v>
      </c>
      <c r="D772">
        <f t="shared" si="305"/>
        <v>2</v>
      </c>
      <c r="E772">
        <f t="shared" si="306"/>
        <v>8</v>
      </c>
      <c r="F772">
        <f t="shared" si="307"/>
        <v>14</v>
      </c>
      <c r="G772">
        <f t="shared" si="308"/>
        <v>4</v>
      </c>
      <c r="H772">
        <f t="shared" si="309"/>
        <v>6</v>
      </c>
      <c r="I772">
        <f t="shared" si="310"/>
        <v>2.33</v>
      </c>
      <c r="J772">
        <f t="shared" si="311"/>
        <v>0</v>
      </c>
      <c r="K772">
        <f t="shared" si="312"/>
        <v>0.33</v>
      </c>
      <c r="L772">
        <f t="shared" si="313"/>
        <v>0.33</v>
      </c>
      <c r="M772">
        <f t="shared" si="314"/>
        <v>0</v>
      </c>
      <c r="N772">
        <f t="shared" si="315"/>
        <v>1.33</v>
      </c>
      <c r="O772" t="str">
        <f t="shared" si="319"/>
        <v>标准</v>
      </c>
      <c r="P772" t="str">
        <f t="shared" si="316"/>
        <v>极紧凑</v>
      </c>
      <c r="Q772" t="str">
        <f t="shared" si="317"/>
        <v>✓有效</v>
      </c>
      <c r="R772" t="str">
        <f t="shared" si="318"/>
        <v>正常</v>
      </c>
    </row>
    <row r="773" ht="14.25" customHeight="1" spans="1:18">
      <c r="A773" s="10">
        <v>2025041</v>
      </c>
      <c r="B773" s="12" t="s">
        <v>187</v>
      </c>
      <c r="C773">
        <f t="shared" si="304"/>
        <v>4</v>
      </c>
      <c r="D773">
        <f t="shared" si="305"/>
        <v>0</v>
      </c>
      <c r="E773">
        <f t="shared" si="306"/>
        <v>1</v>
      </c>
      <c r="F773">
        <f t="shared" si="307"/>
        <v>5</v>
      </c>
      <c r="G773">
        <f t="shared" si="308"/>
        <v>5</v>
      </c>
      <c r="H773">
        <f t="shared" si="309"/>
        <v>4</v>
      </c>
      <c r="I773">
        <f t="shared" si="310"/>
        <v>1.25</v>
      </c>
      <c r="J773">
        <f t="shared" si="311"/>
        <v>0.33</v>
      </c>
      <c r="K773">
        <f t="shared" si="312"/>
        <v>0</v>
      </c>
      <c r="L773">
        <f t="shared" si="313"/>
        <v>0</v>
      </c>
      <c r="M773">
        <f t="shared" si="314"/>
        <v>1</v>
      </c>
      <c r="N773">
        <f t="shared" si="315"/>
        <v>0.77</v>
      </c>
      <c r="O773" t="str">
        <f t="shared" si="319"/>
        <v>松散</v>
      </c>
      <c r="P773" t="str">
        <f t="shared" si="316"/>
        <v>极紧凑</v>
      </c>
      <c r="Q773" t="str">
        <f t="shared" si="317"/>
        <v>✓有效</v>
      </c>
      <c r="R773" t="str">
        <f t="shared" si="318"/>
        <v>正常</v>
      </c>
    </row>
    <row r="774" ht="14.25" customHeight="1" spans="1:18">
      <c r="A774" s="10">
        <v>2025042</v>
      </c>
      <c r="B774" s="12" t="s">
        <v>583</v>
      </c>
      <c r="C774">
        <f t="shared" si="304"/>
        <v>7</v>
      </c>
      <c r="D774">
        <f t="shared" si="305"/>
        <v>7</v>
      </c>
      <c r="E774">
        <f t="shared" si="306"/>
        <v>5</v>
      </c>
      <c r="F774">
        <f t="shared" si="307"/>
        <v>19</v>
      </c>
      <c r="G774">
        <f t="shared" si="308"/>
        <v>9</v>
      </c>
      <c r="H774">
        <f t="shared" si="309"/>
        <v>2</v>
      </c>
      <c r="I774">
        <f t="shared" si="310"/>
        <v>9.5</v>
      </c>
      <c r="J774">
        <f t="shared" si="311"/>
        <v>1</v>
      </c>
      <c r="K774">
        <f t="shared" si="312"/>
        <v>1</v>
      </c>
      <c r="L774">
        <f t="shared" si="313"/>
        <v>1</v>
      </c>
      <c r="M774">
        <f t="shared" si="314"/>
        <v>0</v>
      </c>
      <c r="N774">
        <f t="shared" si="315"/>
        <v>4.6</v>
      </c>
      <c r="O774" t="str">
        <f t="shared" si="319"/>
        <v>紧凑</v>
      </c>
      <c r="P774" t="str">
        <f t="shared" si="316"/>
        <v>标准</v>
      </c>
      <c r="Q774" t="str">
        <f t="shared" si="317"/>
        <v>✓有效</v>
      </c>
      <c r="R774" t="str">
        <f t="shared" si="318"/>
        <v>正常</v>
      </c>
    </row>
    <row r="775" ht="14.25" customHeight="1" spans="1:18">
      <c r="A775" s="10">
        <v>2025043</v>
      </c>
      <c r="B775" s="12" t="s">
        <v>303</v>
      </c>
      <c r="C775">
        <f t="shared" si="304"/>
        <v>4</v>
      </c>
      <c r="D775">
        <f t="shared" si="305"/>
        <v>7</v>
      </c>
      <c r="E775">
        <f t="shared" si="306"/>
        <v>5</v>
      </c>
      <c r="F775">
        <f t="shared" si="307"/>
        <v>16</v>
      </c>
      <c r="G775">
        <f t="shared" si="308"/>
        <v>6</v>
      </c>
      <c r="H775">
        <f t="shared" si="309"/>
        <v>3</v>
      </c>
      <c r="I775">
        <f t="shared" si="310"/>
        <v>5.33</v>
      </c>
      <c r="J775">
        <f t="shared" si="311"/>
        <v>0.67</v>
      </c>
      <c r="K775">
        <f t="shared" si="312"/>
        <v>0.67</v>
      </c>
      <c r="L775">
        <f t="shared" si="313"/>
        <v>0.67</v>
      </c>
      <c r="M775">
        <f t="shared" si="314"/>
        <v>1</v>
      </c>
      <c r="N775">
        <f t="shared" si="315"/>
        <v>2.67</v>
      </c>
      <c r="O775" t="str">
        <f t="shared" si="319"/>
        <v>紧凑</v>
      </c>
      <c r="P775" t="str">
        <f t="shared" si="316"/>
        <v>紧凑</v>
      </c>
      <c r="Q775" t="str">
        <f t="shared" si="317"/>
        <v>✓有效</v>
      </c>
      <c r="R775" t="str">
        <f t="shared" si="318"/>
        <v>正常</v>
      </c>
    </row>
    <row r="776" ht="14.25" customHeight="1" spans="1:18">
      <c r="A776" s="10">
        <v>2025044</v>
      </c>
      <c r="B776" s="12" t="s">
        <v>584</v>
      </c>
      <c r="C776">
        <f t="shared" si="304"/>
        <v>9</v>
      </c>
      <c r="D776">
        <f t="shared" si="305"/>
        <v>1</v>
      </c>
      <c r="E776">
        <f t="shared" si="306"/>
        <v>2</v>
      </c>
      <c r="F776">
        <f t="shared" si="307"/>
        <v>12</v>
      </c>
      <c r="G776">
        <f t="shared" si="308"/>
        <v>2</v>
      </c>
      <c r="H776">
        <f t="shared" si="309"/>
        <v>8</v>
      </c>
      <c r="I776">
        <f t="shared" si="310"/>
        <v>1.5</v>
      </c>
      <c r="J776">
        <f t="shared" si="311"/>
        <v>0.67</v>
      </c>
      <c r="K776">
        <f t="shared" si="312"/>
        <v>0.33</v>
      </c>
      <c r="L776">
        <f t="shared" si="313"/>
        <v>0.33</v>
      </c>
      <c r="M776">
        <f t="shared" si="314"/>
        <v>1</v>
      </c>
      <c r="N776">
        <f t="shared" si="315"/>
        <v>1.03</v>
      </c>
      <c r="O776" t="str">
        <f t="shared" si="319"/>
        <v>松散</v>
      </c>
      <c r="P776" t="str">
        <f t="shared" si="316"/>
        <v>极紧凑</v>
      </c>
      <c r="Q776" t="str">
        <f t="shared" si="317"/>
        <v>✓有效</v>
      </c>
      <c r="R776" t="str">
        <f t="shared" si="318"/>
        <v>正常</v>
      </c>
    </row>
    <row r="777" ht="14.25" customHeight="1" spans="1:18">
      <c r="A777" s="10">
        <v>2025045</v>
      </c>
      <c r="B777" s="12" t="s">
        <v>585</v>
      </c>
      <c r="C777">
        <f t="shared" si="304"/>
        <v>5</v>
      </c>
      <c r="D777">
        <f t="shared" si="305"/>
        <v>5</v>
      </c>
      <c r="E777">
        <f t="shared" si="306"/>
        <v>4</v>
      </c>
      <c r="F777">
        <f t="shared" si="307"/>
        <v>14</v>
      </c>
      <c r="G777">
        <f t="shared" si="308"/>
        <v>4</v>
      </c>
      <c r="H777">
        <f t="shared" si="309"/>
        <v>1</v>
      </c>
      <c r="I777">
        <f t="shared" si="310"/>
        <v>14</v>
      </c>
      <c r="J777">
        <f t="shared" si="311"/>
        <v>0.67</v>
      </c>
      <c r="K777">
        <f t="shared" si="312"/>
        <v>0.67</v>
      </c>
      <c r="L777">
        <f t="shared" si="313"/>
        <v>0.67</v>
      </c>
      <c r="M777">
        <f t="shared" si="314"/>
        <v>2</v>
      </c>
      <c r="N777">
        <f t="shared" si="315"/>
        <v>6.04</v>
      </c>
      <c r="O777" t="str">
        <f t="shared" si="319"/>
        <v>紧凑</v>
      </c>
      <c r="P777" t="str">
        <f t="shared" si="316"/>
        <v>松散</v>
      </c>
      <c r="Q777" t="str">
        <f t="shared" si="317"/>
        <v>✓有效</v>
      </c>
      <c r="R777" t="str">
        <f t="shared" si="318"/>
        <v>异常</v>
      </c>
    </row>
    <row r="778" ht="14.25" customHeight="1" spans="1:18">
      <c r="A778" s="10">
        <v>2025046</v>
      </c>
      <c r="B778" s="12" t="s">
        <v>337</v>
      </c>
      <c r="C778">
        <f t="shared" si="304"/>
        <v>4</v>
      </c>
      <c r="D778">
        <f t="shared" si="305"/>
        <v>9</v>
      </c>
      <c r="E778">
        <f t="shared" si="306"/>
        <v>0</v>
      </c>
      <c r="F778">
        <f t="shared" si="307"/>
        <v>13</v>
      </c>
      <c r="G778">
        <f t="shared" si="308"/>
        <v>3</v>
      </c>
      <c r="H778">
        <f t="shared" si="309"/>
        <v>9</v>
      </c>
      <c r="I778">
        <f t="shared" si="310"/>
        <v>1.44</v>
      </c>
      <c r="J778">
        <f t="shared" si="311"/>
        <v>0.33</v>
      </c>
      <c r="K778">
        <f t="shared" si="312"/>
        <v>0.33</v>
      </c>
      <c r="L778">
        <f t="shared" si="313"/>
        <v>0</v>
      </c>
      <c r="M778">
        <f t="shared" si="314"/>
        <v>0</v>
      </c>
      <c r="N778">
        <f t="shared" si="315"/>
        <v>1.01</v>
      </c>
      <c r="O778" t="str">
        <f t="shared" si="319"/>
        <v>松散</v>
      </c>
      <c r="P778" t="str">
        <f t="shared" si="316"/>
        <v>极紧凑</v>
      </c>
      <c r="Q778" t="str">
        <f t="shared" si="317"/>
        <v>✓有效</v>
      </c>
      <c r="R778" t="str">
        <f t="shared" si="318"/>
        <v>正常</v>
      </c>
    </row>
    <row r="779" ht="14.25" customHeight="1" spans="1:18">
      <c r="A779" s="10">
        <v>2025047</v>
      </c>
      <c r="B779" s="12" t="s">
        <v>524</v>
      </c>
      <c r="C779">
        <f t="shared" si="304"/>
        <v>2</v>
      </c>
      <c r="D779">
        <f t="shared" si="305"/>
        <v>4</v>
      </c>
      <c r="E779">
        <f t="shared" si="306"/>
        <v>8</v>
      </c>
      <c r="F779">
        <f t="shared" si="307"/>
        <v>14</v>
      </c>
      <c r="G779">
        <f t="shared" si="308"/>
        <v>4</v>
      </c>
      <c r="H779">
        <f t="shared" si="309"/>
        <v>6</v>
      </c>
      <c r="I779">
        <f t="shared" si="310"/>
        <v>2.33</v>
      </c>
      <c r="J779">
        <f t="shared" si="311"/>
        <v>0</v>
      </c>
      <c r="K779">
        <f t="shared" si="312"/>
        <v>0.33</v>
      </c>
      <c r="L779">
        <f t="shared" si="313"/>
        <v>0.33</v>
      </c>
      <c r="M779">
        <f t="shared" si="314"/>
        <v>0</v>
      </c>
      <c r="N779">
        <f t="shared" si="315"/>
        <v>1.33</v>
      </c>
      <c r="O779" t="str">
        <f t="shared" si="319"/>
        <v>标准</v>
      </c>
      <c r="P779" t="str">
        <f t="shared" si="316"/>
        <v>极紧凑</v>
      </c>
      <c r="Q779" t="str">
        <f t="shared" si="317"/>
        <v>✓有效</v>
      </c>
      <c r="R779" t="str">
        <f t="shared" si="318"/>
        <v>正常</v>
      </c>
    </row>
    <row r="780" ht="14.25" customHeight="1" spans="1:18">
      <c r="A780" s="10">
        <v>2025048</v>
      </c>
      <c r="B780" s="12" t="s">
        <v>445</v>
      </c>
      <c r="C780">
        <f t="shared" si="304"/>
        <v>6</v>
      </c>
      <c r="D780">
        <f t="shared" si="305"/>
        <v>4</v>
      </c>
      <c r="E780">
        <f t="shared" si="306"/>
        <v>0</v>
      </c>
      <c r="F780">
        <f t="shared" si="307"/>
        <v>10</v>
      </c>
      <c r="G780">
        <f t="shared" si="308"/>
        <v>0</v>
      </c>
      <c r="H780">
        <f t="shared" si="309"/>
        <v>6</v>
      </c>
      <c r="I780">
        <f t="shared" si="310"/>
        <v>1.67</v>
      </c>
      <c r="J780">
        <f t="shared" si="311"/>
        <v>0</v>
      </c>
      <c r="K780">
        <f t="shared" si="312"/>
        <v>0.33</v>
      </c>
      <c r="L780">
        <f t="shared" si="313"/>
        <v>0</v>
      </c>
      <c r="M780">
        <f t="shared" si="314"/>
        <v>0</v>
      </c>
      <c r="N780">
        <f t="shared" si="315"/>
        <v>1.03</v>
      </c>
      <c r="O780" t="str">
        <f t="shared" si="319"/>
        <v>松散</v>
      </c>
      <c r="P780" t="str">
        <f t="shared" si="316"/>
        <v>极紧凑</v>
      </c>
      <c r="Q780" t="str">
        <f t="shared" si="317"/>
        <v>✓有效</v>
      </c>
      <c r="R780" t="str">
        <f t="shared" si="318"/>
        <v>正常</v>
      </c>
    </row>
    <row r="781" ht="14.25" customHeight="1" spans="1:18">
      <c r="A781" s="10">
        <v>2025049</v>
      </c>
      <c r="B781" s="12" t="s">
        <v>586</v>
      </c>
      <c r="C781">
        <f t="shared" si="304"/>
        <v>0</v>
      </c>
      <c r="D781">
        <f t="shared" si="305"/>
        <v>0</v>
      </c>
      <c r="E781">
        <f t="shared" si="306"/>
        <v>4</v>
      </c>
      <c r="F781">
        <f t="shared" si="307"/>
        <v>4</v>
      </c>
      <c r="G781">
        <f t="shared" si="308"/>
        <v>4</v>
      </c>
      <c r="H781">
        <f t="shared" si="309"/>
        <v>4</v>
      </c>
      <c r="I781">
        <f t="shared" si="310"/>
        <v>1</v>
      </c>
      <c r="J781">
        <f t="shared" si="311"/>
        <v>0</v>
      </c>
      <c r="K781">
        <f t="shared" si="312"/>
        <v>0</v>
      </c>
      <c r="L781">
        <f t="shared" si="313"/>
        <v>0</v>
      </c>
      <c r="M781">
        <f t="shared" si="314"/>
        <v>0</v>
      </c>
      <c r="N781">
        <f t="shared" si="315"/>
        <v>0.7</v>
      </c>
      <c r="O781" t="str">
        <f t="shared" si="319"/>
        <v>松散</v>
      </c>
      <c r="P781" t="str">
        <f t="shared" si="316"/>
        <v>极紧凑</v>
      </c>
      <c r="Q781" t="str">
        <f t="shared" si="317"/>
        <v>✓有效</v>
      </c>
      <c r="R781" t="str">
        <f t="shared" si="318"/>
        <v>正常</v>
      </c>
    </row>
    <row r="782" ht="14.25" customHeight="1" spans="1:18">
      <c r="A782" s="10">
        <v>2025050</v>
      </c>
      <c r="B782" s="12" t="s">
        <v>358</v>
      </c>
      <c r="C782">
        <f t="shared" si="304"/>
        <v>8</v>
      </c>
      <c r="D782">
        <f t="shared" si="305"/>
        <v>0</v>
      </c>
      <c r="E782">
        <f t="shared" si="306"/>
        <v>6</v>
      </c>
      <c r="F782">
        <f t="shared" si="307"/>
        <v>14</v>
      </c>
      <c r="G782">
        <f t="shared" si="308"/>
        <v>4</v>
      </c>
      <c r="H782">
        <f t="shared" si="309"/>
        <v>8</v>
      </c>
      <c r="I782">
        <f t="shared" si="310"/>
        <v>1.75</v>
      </c>
      <c r="J782">
        <f t="shared" si="311"/>
        <v>0</v>
      </c>
      <c r="K782">
        <f t="shared" si="312"/>
        <v>0.67</v>
      </c>
      <c r="L782">
        <f t="shared" si="313"/>
        <v>0</v>
      </c>
      <c r="M782">
        <f t="shared" si="314"/>
        <v>0</v>
      </c>
      <c r="N782">
        <f t="shared" si="315"/>
        <v>1.13</v>
      </c>
      <c r="O782" t="str">
        <f t="shared" si="319"/>
        <v>松散</v>
      </c>
      <c r="P782" t="str">
        <f t="shared" si="316"/>
        <v>极紧凑</v>
      </c>
      <c r="Q782" t="str">
        <f t="shared" si="317"/>
        <v>✓有效</v>
      </c>
      <c r="R782" t="str">
        <f t="shared" si="318"/>
        <v>正常</v>
      </c>
    </row>
    <row r="783" ht="14.25" customHeight="1" spans="1:18">
      <c r="A783" s="10">
        <v>2025051</v>
      </c>
      <c r="B783" s="12" t="s">
        <v>180</v>
      </c>
      <c r="C783">
        <f t="shared" si="304"/>
        <v>9</v>
      </c>
      <c r="D783">
        <f t="shared" si="305"/>
        <v>0</v>
      </c>
      <c r="E783">
        <f t="shared" si="306"/>
        <v>5</v>
      </c>
      <c r="F783">
        <f t="shared" si="307"/>
        <v>14</v>
      </c>
      <c r="G783">
        <f t="shared" si="308"/>
        <v>4</v>
      </c>
      <c r="H783">
        <f t="shared" si="309"/>
        <v>9</v>
      </c>
      <c r="I783">
        <f t="shared" si="310"/>
        <v>1.56</v>
      </c>
      <c r="J783">
        <f t="shared" si="311"/>
        <v>0.67</v>
      </c>
      <c r="K783">
        <f t="shared" si="312"/>
        <v>0.67</v>
      </c>
      <c r="L783">
        <f t="shared" si="313"/>
        <v>0.33</v>
      </c>
      <c r="M783">
        <f t="shared" si="314"/>
        <v>0</v>
      </c>
      <c r="N783">
        <f t="shared" si="315"/>
        <v>1.23</v>
      </c>
      <c r="O783" t="str">
        <f t="shared" si="319"/>
        <v>松散</v>
      </c>
      <c r="P783" t="str">
        <f t="shared" si="316"/>
        <v>极紧凑</v>
      </c>
      <c r="Q783" t="str">
        <f t="shared" si="317"/>
        <v>✓有效</v>
      </c>
      <c r="R783" t="str">
        <f t="shared" si="318"/>
        <v>正常</v>
      </c>
    </row>
    <row r="784" ht="14.25" customHeight="1" spans="1:18">
      <c r="A784" s="10">
        <v>2025052</v>
      </c>
      <c r="B784" s="12" t="s">
        <v>587</v>
      </c>
      <c r="C784">
        <f t="shared" si="304"/>
        <v>5</v>
      </c>
      <c r="D784">
        <f t="shared" si="305"/>
        <v>8</v>
      </c>
      <c r="E784">
        <f t="shared" si="306"/>
        <v>5</v>
      </c>
      <c r="F784">
        <f t="shared" si="307"/>
        <v>18</v>
      </c>
      <c r="G784">
        <f t="shared" si="308"/>
        <v>8</v>
      </c>
      <c r="H784">
        <f t="shared" si="309"/>
        <v>3</v>
      </c>
      <c r="I784">
        <f t="shared" si="310"/>
        <v>6</v>
      </c>
      <c r="J784">
        <f t="shared" si="311"/>
        <v>0.67</v>
      </c>
      <c r="K784">
        <f t="shared" si="312"/>
        <v>1</v>
      </c>
      <c r="L784">
        <f t="shared" si="313"/>
        <v>0.67</v>
      </c>
      <c r="M784">
        <f t="shared" si="314"/>
        <v>0</v>
      </c>
      <c r="N784">
        <f t="shared" si="315"/>
        <v>3.1</v>
      </c>
      <c r="O784" t="str">
        <f t="shared" si="319"/>
        <v>紧凑</v>
      </c>
      <c r="P784" t="str">
        <f t="shared" si="316"/>
        <v>标准</v>
      </c>
      <c r="Q784" t="str">
        <f t="shared" si="317"/>
        <v>✓有效</v>
      </c>
      <c r="R784" t="str">
        <f t="shared" si="318"/>
        <v>正常</v>
      </c>
    </row>
    <row r="785" ht="14.25" customHeight="1" spans="1:18">
      <c r="A785" s="10">
        <v>2025053</v>
      </c>
      <c r="B785" s="12" t="s">
        <v>588</v>
      </c>
      <c r="C785">
        <f t="shared" si="304"/>
        <v>8</v>
      </c>
      <c r="D785">
        <f t="shared" si="305"/>
        <v>9</v>
      </c>
      <c r="E785">
        <f t="shared" si="306"/>
        <v>5</v>
      </c>
      <c r="F785">
        <f t="shared" si="307"/>
        <v>22</v>
      </c>
      <c r="G785">
        <f t="shared" si="308"/>
        <v>2</v>
      </c>
      <c r="H785">
        <f t="shared" si="309"/>
        <v>4</v>
      </c>
      <c r="I785">
        <f t="shared" si="310"/>
        <v>5.5</v>
      </c>
      <c r="J785">
        <f t="shared" si="311"/>
        <v>0.67</v>
      </c>
      <c r="K785">
        <f t="shared" si="312"/>
        <v>1</v>
      </c>
      <c r="L785">
        <f t="shared" si="313"/>
        <v>0.33</v>
      </c>
      <c r="M785">
        <f t="shared" si="314"/>
        <v>1</v>
      </c>
      <c r="N785">
        <f t="shared" si="315"/>
        <v>2.77</v>
      </c>
      <c r="O785" t="str">
        <f t="shared" si="319"/>
        <v>紧凑</v>
      </c>
      <c r="P785" t="str">
        <f t="shared" si="316"/>
        <v>紧凑</v>
      </c>
      <c r="Q785" t="str">
        <f t="shared" si="317"/>
        <v>✓有效</v>
      </c>
      <c r="R785" t="str">
        <f t="shared" si="318"/>
        <v>正常</v>
      </c>
    </row>
    <row r="786" ht="14.25" customHeight="1" spans="1:18">
      <c r="A786" s="10">
        <v>2025054</v>
      </c>
      <c r="B786" s="12" t="s">
        <v>502</v>
      </c>
      <c r="C786">
        <f t="shared" si="304"/>
        <v>4</v>
      </c>
      <c r="D786">
        <f t="shared" si="305"/>
        <v>9</v>
      </c>
      <c r="E786">
        <f t="shared" si="306"/>
        <v>7</v>
      </c>
      <c r="F786">
        <f t="shared" si="307"/>
        <v>20</v>
      </c>
      <c r="G786">
        <f t="shared" si="308"/>
        <v>0</v>
      </c>
      <c r="H786">
        <f t="shared" si="309"/>
        <v>5</v>
      </c>
      <c r="I786">
        <f t="shared" si="310"/>
        <v>4</v>
      </c>
      <c r="J786">
        <f t="shared" si="311"/>
        <v>0.67</v>
      </c>
      <c r="K786">
        <f t="shared" si="312"/>
        <v>0.67</v>
      </c>
      <c r="L786">
        <f t="shared" si="313"/>
        <v>0.33</v>
      </c>
      <c r="M786">
        <f t="shared" si="314"/>
        <v>0</v>
      </c>
      <c r="N786">
        <f t="shared" si="315"/>
        <v>2.2</v>
      </c>
      <c r="O786" t="str">
        <f t="shared" si="319"/>
        <v>紧凑</v>
      </c>
      <c r="P786" t="str">
        <f t="shared" si="316"/>
        <v>紧凑</v>
      </c>
      <c r="Q786" t="str">
        <f t="shared" si="317"/>
        <v>✓有效</v>
      </c>
      <c r="R786" t="str">
        <f t="shared" si="318"/>
        <v>正常</v>
      </c>
    </row>
    <row r="787" ht="14.25" customHeight="1" spans="1:18">
      <c r="A787" s="10">
        <v>2025055</v>
      </c>
      <c r="B787" s="12" t="s">
        <v>589</v>
      </c>
      <c r="C787">
        <f t="shared" si="304"/>
        <v>3</v>
      </c>
      <c r="D787">
        <f t="shared" si="305"/>
        <v>6</v>
      </c>
      <c r="E787">
        <f t="shared" si="306"/>
        <v>8</v>
      </c>
      <c r="F787">
        <f t="shared" si="307"/>
        <v>17</v>
      </c>
      <c r="G787">
        <f t="shared" si="308"/>
        <v>7</v>
      </c>
      <c r="H787">
        <f t="shared" si="309"/>
        <v>5</v>
      </c>
      <c r="I787">
        <f t="shared" si="310"/>
        <v>3.4</v>
      </c>
      <c r="J787">
        <f t="shared" si="311"/>
        <v>0.33</v>
      </c>
      <c r="K787">
        <f t="shared" si="312"/>
        <v>0.67</v>
      </c>
      <c r="L787">
        <f t="shared" si="313"/>
        <v>0.33</v>
      </c>
      <c r="M787">
        <f t="shared" si="314"/>
        <v>0</v>
      </c>
      <c r="N787">
        <f t="shared" si="315"/>
        <v>1.89</v>
      </c>
      <c r="O787" t="str">
        <f t="shared" si="319"/>
        <v>标准</v>
      </c>
      <c r="P787" t="str">
        <f t="shared" si="316"/>
        <v>紧凑</v>
      </c>
      <c r="Q787" t="str">
        <f t="shared" si="317"/>
        <v>✓有效</v>
      </c>
      <c r="R787" t="str">
        <f t="shared" si="318"/>
        <v>正常</v>
      </c>
    </row>
    <row r="788" ht="14.25" customHeight="1" spans="1:18">
      <c r="A788" s="10">
        <v>2025056</v>
      </c>
      <c r="B788" s="12" t="s">
        <v>505</v>
      </c>
      <c r="C788">
        <f t="shared" si="304"/>
        <v>4</v>
      </c>
      <c r="D788">
        <f t="shared" si="305"/>
        <v>9</v>
      </c>
      <c r="E788">
        <f t="shared" si="306"/>
        <v>2</v>
      </c>
      <c r="F788">
        <f t="shared" si="307"/>
        <v>15</v>
      </c>
      <c r="G788">
        <f t="shared" si="308"/>
        <v>5</v>
      </c>
      <c r="H788">
        <f t="shared" si="309"/>
        <v>7</v>
      </c>
      <c r="I788">
        <f t="shared" si="310"/>
        <v>2.14</v>
      </c>
      <c r="J788">
        <f t="shared" si="311"/>
        <v>0.33</v>
      </c>
      <c r="K788">
        <f t="shared" si="312"/>
        <v>0.33</v>
      </c>
      <c r="L788">
        <f t="shared" si="313"/>
        <v>0.33</v>
      </c>
      <c r="M788">
        <f t="shared" si="314"/>
        <v>0</v>
      </c>
      <c r="N788">
        <f t="shared" si="315"/>
        <v>1.32</v>
      </c>
      <c r="O788" t="str">
        <f t="shared" si="319"/>
        <v>标准</v>
      </c>
      <c r="P788" t="str">
        <f t="shared" si="316"/>
        <v>极紧凑</v>
      </c>
      <c r="Q788" t="str">
        <f t="shared" si="317"/>
        <v>✓有效</v>
      </c>
      <c r="R788" t="str">
        <f t="shared" si="318"/>
        <v>正常</v>
      </c>
    </row>
    <row r="789" ht="14.25" customHeight="1" spans="1:18">
      <c r="A789" s="10">
        <v>2025057</v>
      </c>
      <c r="B789" s="12" t="s">
        <v>411</v>
      </c>
      <c r="C789">
        <f t="shared" si="304"/>
        <v>3</v>
      </c>
      <c r="D789">
        <f t="shared" si="305"/>
        <v>9</v>
      </c>
      <c r="E789">
        <f t="shared" si="306"/>
        <v>7</v>
      </c>
      <c r="F789">
        <f t="shared" si="307"/>
        <v>19</v>
      </c>
      <c r="G789">
        <f t="shared" si="308"/>
        <v>9</v>
      </c>
      <c r="H789">
        <f t="shared" si="309"/>
        <v>6</v>
      </c>
      <c r="I789">
        <f t="shared" si="310"/>
        <v>3.17</v>
      </c>
      <c r="J789">
        <f t="shared" si="311"/>
        <v>1</v>
      </c>
      <c r="K789">
        <f t="shared" si="312"/>
        <v>0.67</v>
      </c>
      <c r="L789">
        <f t="shared" si="313"/>
        <v>0.67</v>
      </c>
      <c r="M789">
        <f t="shared" si="314"/>
        <v>0</v>
      </c>
      <c r="N789">
        <f t="shared" si="315"/>
        <v>1.97</v>
      </c>
      <c r="O789" t="str">
        <f t="shared" si="319"/>
        <v>标准</v>
      </c>
      <c r="P789" t="str">
        <f t="shared" si="316"/>
        <v>紧凑</v>
      </c>
      <c r="Q789" t="str">
        <f t="shared" si="317"/>
        <v>✓有效</v>
      </c>
      <c r="R789" t="str">
        <f t="shared" si="318"/>
        <v>正常</v>
      </c>
    </row>
    <row r="790" ht="14.25" customHeight="1" spans="1:18">
      <c r="A790" s="10">
        <v>2025058</v>
      </c>
      <c r="B790" s="12" t="s">
        <v>495</v>
      </c>
      <c r="C790">
        <f t="shared" si="304"/>
        <v>4</v>
      </c>
      <c r="D790">
        <f t="shared" si="305"/>
        <v>0</v>
      </c>
      <c r="E790">
        <f t="shared" si="306"/>
        <v>5</v>
      </c>
      <c r="F790">
        <f t="shared" si="307"/>
        <v>9</v>
      </c>
      <c r="G790">
        <f t="shared" si="308"/>
        <v>9</v>
      </c>
      <c r="H790">
        <f t="shared" si="309"/>
        <v>5</v>
      </c>
      <c r="I790">
        <f t="shared" si="310"/>
        <v>1.8</v>
      </c>
      <c r="J790">
        <f t="shared" si="311"/>
        <v>0.33</v>
      </c>
      <c r="K790">
        <f t="shared" si="312"/>
        <v>0.33</v>
      </c>
      <c r="L790">
        <f t="shared" si="313"/>
        <v>0.33</v>
      </c>
      <c r="M790">
        <f t="shared" si="314"/>
        <v>1</v>
      </c>
      <c r="N790">
        <f t="shared" si="315"/>
        <v>1.09</v>
      </c>
      <c r="O790" t="str">
        <f t="shared" si="319"/>
        <v>松散</v>
      </c>
      <c r="P790" t="str">
        <f t="shared" si="316"/>
        <v>极紧凑</v>
      </c>
      <c r="Q790" t="str">
        <f t="shared" si="317"/>
        <v>✓有效</v>
      </c>
      <c r="R790" t="str">
        <f t="shared" si="318"/>
        <v>正常</v>
      </c>
    </row>
    <row r="791" ht="14.25" customHeight="1" spans="1:18">
      <c r="A791" s="10">
        <v>2025059</v>
      </c>
      <c r="B791" s="12" t="s">
        <v>346</v>
      </c>
      <c r="C791">
        <f t="shared" si="304"/>
        <v>8</v>
      </c>
      <c r="D791">
        <f t="shared" si="305"/>
        <v>4</v>
      </c>
      <c r="E791">
        <f t="shared" si="306"/>
        <v>7</v>
      </c>
      <c r="F791">
        <f t="shared" si="307"/>
        <v>19</v>
      </c>
      <c r="G791">
        <f t="shared" si="308"/>
        <v>9</v>
      </c>
      <c r="H791">
        <f t="shared" si="309"/>
        <v>4</v>
      </c>
      <c r="I791">
        <f t="shared" si="310"/>
        <v>4.75</v>
      </c>
      <c r="J791">
        <f t="shared" si="311"/>
        <v>0.33</v>
      </c>
      <c r="K791">
        <f t="shared" si="312"/>
        <v>0.67</v>
      </c>
      <c r="L791">
        <f t="shared" si="313"/>
        <v>0.33</v>
      </c>
      <c r="M791">
        <f t="shared" si="314"/>
        <v>1</v>
      </c>
      <c r="N791">
        <f t="shared" si="315"/>
        <v>2.33</v>
      </c>
      <c r="O791" t="str">
        <f t="shared" si="319"/>
        <v>紧凑</v>
      </c>
      <c r="P791" t="str">
        <f t="shared" si="316"/>
        <v>紧凑</v>
      </c>
      <c r="Q791" t="str">
        <f t="shared" si="317"/>
        <v>✓有效</v>
      </c>
      <c r="R791" t="str">
        <f t="shared" si="318"/>
        <v>正常</v>
      </c>
    </row>
    <row r="792" ht="14.25" customHeight="1" spans="1:18">
      <c r="A792" s="10">
        <v>2025060</v>
      </c>
      <c r="B792" s="12" t="s">
        <v>503</v>
      </c>
      <c r="C792">
        <f t="shared" si="304"/>
        <v>9</v>
      </c>
      <c r="D792">
        <f t="shared" si="305"/>
        <v>3</v>
      </c>
      <c r="E792">
        <f t="shared" si="306"/>
        <v>8</v>
      </c>
      <c r="F792">
        <f t="shared" si="307"/>
        <v>20</v>
      </c>
      <c r="G792">
        <f t="shared" si="308"/>
        <v>0</v>
      </c>
      <c r="H792">
        <f t="shared" si="309"/>
        <v>6</v>
      </c>
      <c r="I792">
        <f t="shared" si="310"/>
        <v>3.33</v>
      </c>
      <c r="J792">
        <f t="shared" si="311"/>
        <v>0.67</v>
      </c>
      <c r="K792">
        <f t="shared" si="312"/>
        <v>0.67</v>
      </c>
      <c r="L792">
        <f t="shared" si="313"/>
        <v>0.33</v>
      </c>
      <c r="M792">
        <f t="shared" si="314"/>
        <v>1</v>
      </c>
      <c r="N792">
        <f t="shared" si="315"/>
        <v>1.83</v>
      </c>
      <c r="O792" t="str">
        <f t="shared" si="319"/>
        <v>标准</v>
      </c>
      <c r="P792" t="str">
        <f t="shared" si="316"/>
        <v>紧凑</v>
      </c>
      <c r="Q792" t="str">
        <f t="shared" si="317"/>
        <v>✓有效</v>
      </c>
      <c r="R792" t="str">
        <f t="shared" si="318"/>
        <v>正常</v>
      </c>
    </row>
    <row r="793" ht="14.25" customHeight="1" spans="1:18">
      <c r="A793" s="10">
        <v>2025061</v>
      </c>
      <c r="B793" s="12" t="s">
        <v>590</v>
      </c>
      <c r="C793">
        <f t="shared" si="304"/>
        <v>4</v>
      </c>
      <c r="D793">
        <f t="shared" si="305"/>
        <v>7</v>
      </c>
      <c r="E793">
        <f t="shared" si="306"/>
        <v>6</v>
      </c>
      <c r="F793">
        <f t="shared" si="307"/>
        <v>17</v>
      </c>
      <c r="G793">
        <f t="shared" si="308"/>
        <v>7</v>
      </c>
      <c r="H793">
        <f t="shared" si="309"/>
        <v>3</v>
      </c>
      <c r="I793">
        <f t="shared" si="310"/>
        <v>5.67</v>
      </c>
      <c r="J793">
        <f t="shared" si="311"/>
        <v>0.33</v>
      </c>
      <c r="K793">
        <f t="shared" si="312"/>
        <v>0.67</v>
      </c>
      <c r="L793">
        <f t="shared" si="313"/>
        <v>0.33</v>
      </c>
      <c r="M793">
        <f t="shared" si="314"/>
        <v>1</v>
      </c>
      <c r="N793">
        <f t="shared" si="315"/>
        <v>2.7</v>
      </c>
      <c r="O793" t="str">
        <f t="shared" si="319"/>
        <v>紧凑</v>
      </c>
      <c r="P793" t="str">
        <f t="shared" si="316"/>
        <v>紧凑</v>
      </c>
      <c r="Q793" t="str">
        <f t="shared" si="317"/>
        <v>✓有效</v>
      </c>
      <c r="R793" t="str">
        <f t="shared" si="318"/>
        <v>正常</v>
      </c>
    </row>
    <row r="794" ht="14.25" customHeight="1" spans="1:18">
      <c r="A794" s="10">
        <v>2025062</v>
      </c>
      <c r="B794" s="12" t="s">
        <v>318</v>
      </c>
      <c r="C794">
        <f t="shared" si="304"/>
        <v>8</v>
      </c>
      <c r="D794">
        <f t="shared" si="305"/>
        <v>1</v>
      </c>
      <c r="E794">
        <f t="shared" si="306"/>
        <v>0</v>
      </c>
      <c r="F794">
        <f t="shared" si="307"/>
        <v>9</v>
      </c>
      <c r="G794">
        <f t="shared" si="308"/>
        <v>9</v>
      </c>
      <c r="H794">
        <f t="shared" si="309"/>
        <v>8</v>
      </c>
      <c r="I794">
        <f t="shared" si="310"/>
        <v>1.13</v>
      </c>
      <c r="J794">
        <f t="shared" si="311"/>
        <v>0.33</v>
      </c>
      <c r="K794">
        <f t="shared" si="312"/>
        <v>0.33</v>
      </c>
      <c r="L794">
        <f t="shared" si="313"/>
        <v>0</v>
      </c>
      <c r="M794">
        <f t="shared" si="314"/>
        <v>1</v>
      </c>
      <c r="N794">
        <f t="shared" si="315"/>
        <v>0.78</v>
      </c>
      <c r="O794" t="str">
        <f t="shared" si="319"/>
        <v>松散</v>
      </c>
      <c r="P794" t="str">
        <f t="shared" si="316"/>
        <v>极紧凑</v>
      </c>
      <c r="Q794" t="str">
        <f t="shared" si="317"/>
        <v>✓有效</v>
      </c>
      <c r="R794" t="str">
        <f t="shared" si="318"/>
        <v>正常</v>
      </c>
    </row>
    <row r="795" ht="14.25" customHeight="1" spans="1:18">
      <c r="A795" s="10">
        <v>2025063</v>
      </c>
      <c r="B795" s="12" t="s">
        <v>495</v>
      </c>
      <c r="C795">
        <f t="shared" si="304"/>
        <v>4</v>
      </c>
      <c r="D795">
        <f t="shared" si="305"/>
        <v>0</v>
      </c>
      <c r="E795">
        <f t="shared" si="306"/>
        <v>5</v>
      </c>
      <c r="F795">
        <f t="shared" si="307"/>
        <v>9</v>
      </c>
      <c r="G795">
        <f t="shared" si="308"/>
        <v>9</v>
      </c>
      <c r="H795">
        <f t="shared" si="309"/>
        <v>5</v>
      </c>
      <c r="I795">
        <f t="shared" si="310"/>
        <v>1.8</v>
      </c>
      <c r="J795">
        <f t="shared" si="311"/>
        <v>0.33</v>
      </c>
      <c r="K795">
        <f t="shared" si="312"/>
        <v>0.33</v>
      </c>
      <c r="L795">
        <f t="shared" si="313"/>
        <v>0.33</v>
      </c>
      <c r="M795">
        <f t="shared" si="314"/>
        <v>1</v>
      </c>
      <c r="N795">
        <f t="shared" si="315"/>
        <v>1.09</v>
      </c>
      <c r="O795" t="str">
        <f t="shared" si="319"/>
        <v>松散</v>
      </c>
      <c r="P795" t="str">
        <f t="shared" si="316"/>
        <v>极紧凑</v>
      </c>
      <c r="Q795" t="str">
        <f t="shared" si="317"/>
        <v>✓有效</v>
      </c>
      <c r="R795" t="str">
        <f t="shared" si="318"/>
        <v>正常</v>
      </c>
    </row>
    <row r="796" ht="14.25" customHeight="1" spans="1:18">
      <c r="A796" s="10">
        <v>2025064</v>
      </c>
      <c r="B796" s="12" t="s">
        <v>273</v>
      </c>
      <c r="C796">
        <f t="shared" si="304"/>
        <v>9</v>
      </c>
      <c r="D796">
        <f t="shared" si="305"/>
        <v>2</v>
      </c>
      <c r="E796">
        <f t="shared" si="306"/>
        <v>8</v>
      </c>
      <c r="F796">
        <f t="shared" si="307"/>
        <v>19</v>
      </c>
      <c r="G796">
        <f t="shared" si="308"/>
        <v>9</v>
      </c>
      <c r="H796">
        <f t="shared" si="309"/>
        <v>7</v>
      </c>
      <c r="I796">
        <f t="shared" si="310"/>
        <v>2.71</v>
      </c>
      <c r="J796">
        <f t="shared" si="311"/>
        <v>0.33</v>
      </c>
      <c r="K796">
        <f t="shared" si="312"/>
        <v>0.67</v>
      </c>
      <c r="L796">
        <f t="shared" si="313"/>
        <v>0.33</v>
      </c>
      <c r="M796">
        <f t="shared" si="314"/>
        <v>1</v>
      </c>
      <c r="N796">
        <f t="shared" si="315"/>
        <v>1.52</v>
      </c>
      <c r="O796" t="str">
        <f t="shared" si="319"/>
        <v>标准</v>
      </c>
      <c r="P796" t="str">
        <f t="shared" si="316"/>
        <v>紧凑</v>
      </c>
      <c r="Q796" t="str">
        <f t="shared" si="317"/>
        <v>✓有效</v>
      </c>
      <c r="R796" t="str">
        <f t="shared" si="318"/>
        <v>正常</v>
      </c>
    </row>
    <row r="797" ht="14.25" customHeight="1" spans="1:18">
      <c r="A797" s="10">
        <v>2025065</v>
      </c>
      <c r="B797" s="12" t="s">
        <v>591</v>
      </c>
      <c r="C797">
        <f t="shared" si="304"/>
        <v>5</v>
      </c>
      <c r="D797">
        <f t="shared" si="305"/>
        <v>3</v>
      </c>
      <c r="E797">
        <f t="shared" si="306"/>
        <v>8</v>
      </c>
      <c r="F797">
        <f t="shared" si="307"/>
        <v>16</v>
      </c>
      <c r="G797">
        <f t="shared" si="308"/>
        <v>6</v>
      </c>
      <c r="H797">
        <f t="shared" si="309"/>
        <v>5</v>
      </c>
      <c r="I797">
        <f t="shared" si="310"/>
        <v>3.2</v>
      </c>
      <c r="J797">
        <f t="shared" si="311"/>
        <v>0.67</v>
      </c>
      <c r="K797">
        <f t="shared" si="312"/>
        <v>0.67</v>
      </c>
      <c r="L797">
        <f t="shared" si="313"/>
        <v>0.67</v>
      </c>
      <c r="M797">
        <f t="shared" si="314"/>
        <v>0</v>
      </c>
      <c r="N797">
        <f t="shared" si="315"/>
        <v>1.92</v>
      </c>
      <c r="O797" t="str">
        <f t="shared" si="319"/>
        <v>标准</v>
      </c>
      <c r="P797" t="str">
        <f t="shared" si="316"/>
        <v>紧凑</v>
      </c>
      <c r="Q797" t="str">
        <f t="shared" si="317"/>
        <v>✓有效</v>
      </c>
      <c r="R797" t="str">
        <f t="shared" si="318"/>
        <v>正常</v>
      </c>
    </row>
    <row r="798" ht="14.25" customHeight="1" spans="1:18">
      <c r="A798" s="10">
        <v>2025066</v>
      </c>
      <c r="B798" s="12" t="s">
        <v>592</v>
      </c>
      <c r="C798">
        <f t="shared" si="304"/>
        <v>7</v>
      </c>
      <c r="D798">
        <f t="shared" si="305"/>
        <v>2</v>
      </c>
      <c r="E798">
        <f t="shared" si="306"/>
        <v>0</v>
      </c>
      <c r="F798">
        <f t="shared" si="307"/>
        <v>9</v>
      </c>
      <c r="G798">
        <f t="shared" si="308"/>
        <v>9</v>
      </c>
      <c r="H798">
        <f t="shared" si="309"/>
        <v>7</v>
      </c>
      <c r="I798">
        <f t="shared" si="310"/>
        <v>1.29</v>
      </c>
      <c r="J798">
        <f t="shared" si="311"/>
        <v>0.33</v>
      </c>
      <c r="K798">
        <f t="shared" si="312"/>
        <v>0.33</v>
      </c>
      <c r="L798">
        <f t="shared" si="313"/>
        <v>0.67</v>
      </c>
      <c r="M798">
        <f t="shared" si="314"/>
        <v>0</v>
      </c>
      <c r="N798">
        <f t="shared" si="315"/>
        <v>1.02</v>
      </c>
      <c r="O798" t="str">
        <f t="shared" si="319"/>
        <v>松散</v>
      </c>
      <c r="P798" t="str">
        <f t="shared" si="316"/>
        <v>极紧凑</v>
      </c>
      <c r="Q798" t="str">
        <f t="shared" si="317"/>
        <v>✓有效</v>
      </c>
      <c r="R798" t="str">
        <f t="shared" si="318"/>
        <v>正常</v>
      </c>
    </row>
    <row r="799" ht="14.25" customHeight="1" spans="1:18">
      <c r="A799" s="10">
        <v>2025067</v>
      </c>
      <c r="B799" s="12" t="s">
        <v>593</v>
      </c>
      <c r="C799">
        <f t="shared" si="304"/>
        <v>3</v>
      </c>
      <c r="D799">
        <f t="shared" si="305"/>
        <v>8</v>
      </c>
      <c r="E799">
        <f t="shared" si="306"/>
        <v>5</v>
      </c>
      <c r="F799">
        <f t="shared" si="307"/>
        <v>16</v>
      </c>
      <c r="G799">
        <f t="shared" si="308"/>
        <v>6</v>
      </c>
      <c r="H799">
        <f t="shared" si="309"/>
        <v>5</v>
      </c>
      <c r="I799">
        <f t="shared" si="310"/>
        <v>3.2</v>
      </c>
      <c r="J799">
        <f t="shared" si="311"/>
        <v>0.67</v>
      </c>
      <c r="K799">
        <f t="shared" si="312"/>
        <v>0.67</v>
      </c>
      <c r="L799">
        <f t="shared" si="313"/>
        <v>0.67</v>
      </c>
      <c r="M799">
        <f t="shared" si="314"/>
        <v>0</v>
      </c>
      <c r="N799">
        <f t="shared" si="315"/>
        <v>1.92</v>
      </c>
      <c r="O799" t="str">
        <f t="shared" si="319"/>
        <v>标准</v>
      </c>
      <c r="P799" t="str">
        <f t="shared" si="316"/>
        <v>紧凑</v>
      </c>
      <c r="Q799" t="str">
        <f t="shared" si="317"/>
        <v>✓有效</v>
      </c>
      <c r="R799" t="str">
        <f t="shared" si="318"/>
        <v>正常</v>
      </c>
    </row>
    <row r="800" ht="14.25" customHeight="1" spans="1:18">
      <c r="A800" s="10">
        <v>2025068</v>
      </c>
      <c r="B800" s="12" t="s">
        <v>594</v>
      </c>
      <c r="C800">
        <f t="shared" ref="C800:C863" si="320">IF(B800="","",LEFT(TEXT(B800,"000"),1)*1)</f>
        <v>5</v>
      </c>
      <c r="D800">
        <f t="shared" ref="D800:D863" si="321">IF(B800="","",MID(TEXT(B800,"000"),2,1)*1)</f>
        <v>5</v>
      </c>
      <c r="E800">
        <f t="shared" ref="E800:E863" si="322">IF(B800="","",RIGHT(TEXT(B800,"000"),1)*1)</f>
        <v>5</v>
      </c>
      <c r="F800">
        <f t="shared" ref="F800:F863" si="323">IF(B800="","",C800+D800+E800)</f>
        <v>15</v>
      </c>
      <c r="G800">
        <f t="shared" ref="G800:G863" si="324">IF(B800="","",MOD(F800,10))</f>
        <v>5</v>
      </c>
      <c r="H800">
        <f t="shared" ref="H800:H863" si="325">IF(B800="","",MAX(C800,D800,E800)-MIN(C800,D800,E800))</f>
        <v>0</v>
      </c>
      <c r="I800">
        <f t="shared" ref="I800:I863" si="326">IF(OR(B800="",H800=0),IF(H800=0,0.1,""),ROUND(F800/H800,2))</f>
        <v>0.1</v>
      </c>
      <c r="J800">
        <f t="shared" ref="J800:J863" si="327">IF(B800="","",ROUND((MOD(C800,2)+MOD(D800,2)+MOD(E800,2))/3,2))</f>
        <v>1</v>
      </c>
      <c r="K800">
        <f t="shared" ref="K800:K863" si="328">IF(B800="","",ROUND(((C800&gt;=5)+(D800&gt;=5)+(E800&gt;=5))/3,2))</f>
        <v>1</v>
      </c>
      <c r="L800">
        <f t="shared" ref="L800:L863" si="329">IF(B800="","",ROUND((ISNUMBER(FIND(C800,"2357"))+ISNUMBER(FIND(D800,"2357"))+ISNUMBER(FIND(E800,"2357")))/3,2))</f>
        <v>1</v>
      </c>
      <c r="M800">
        <f t="shared" ref="M800:M863" si="330">IF(B800="","",((ABS(C800-D800)=1)+(ABS(D800-E800)=1)+(ABS(C800-E800)=1)))</f>
        <v>0</v>
      </c>
      <c r="N800">
        <f t="shared" ref="N800:N863" si="331">IF(B800="","",ROUND(I800*0.4+J800*0.2+K800*0.2+L800*0.1+(3-M800)*0.1,2))</f>
        <v>0.84</v>
      </c>
      <c r="O800" t="str">
        <f t="shared" si="319"/>
        <v>极紧凑</v>
      </c>
      <c r="P800" t="str">
        <f t="shared" ref="P800:P863" si="332">IF(B800="","",IF(N800&lt;=1.5,"极紧凑",IF(N800&lt;=3,"紧凑",IF(N800&lt;=5,"标准","松散"))))</f>
        <v>极紧凑</v>
      </c>
      <c r="Q800" t="str">
        <f t="shared" ref="Q800:Q863" si="333">IF(B800="","",IF(AND(C800&gt;=0,C800&lt;=9,D800&gt;=0,D800&lt;=9,E800&gt;=0,E800&lt;=9),"✓有效","✗无效"))</f>
        <v>✓有效</v>
      </c>
      <c r="R800" t="str">
        <f t="shared" ref="R800:R863" si="334">IF(B800="","",IF(OR(I800&gt;10,I800&lt;0.1),"异常","正常"))</f>
        <v>正常</v>
      </c>
    </row>
    <row r="801" ht="14.25" customHeight="1" spans="1:18">
      <c r="A801" s="10">
        <v>2025069</v>
      </c>
      <c r="B801" s="12" t="s">
        <v>595</v>
      </c>
      <c r="C801">
        <f t="shared" si="320"/>
        <v>9</v>
      </c>
      <c r="D801">
        <f t="shared" si="321"/>
        <v>0</v>
      </c>
      <c r="E801">
        <f t="shared" si="322"/>
        <v>6</v>
      </c>
      <c r="F801">
        <f t="shared" si="323"/>
        <v>15</v>
      </c>
      <c r="G801">
        <f t="shared" si="324"/>
        <v>5</v>
      </c>
      <c r="H801">
        <f t="shared" si="325"/>
        <v>9</v>
      </c>
      <c r="I801">
        <f t="shared" si="326"/>
        <v>1.67</v>
      </c>
      <c r="J801">
        <f t="shared" si="327"/>
        <v>0.33</v>
      </c>
      <c r="K801">
        <f t="shared" si="328"/>
        <v>0.67</v>
      </c>
      <c r="L801">
        <f t="shared" si="329"/>
        <v>0</v>
      </c>
      <c r="M801">
        <f t="shared" si="330"/>
        <v>0</v>
      </c>
      <c r="N801">
        <f t="shared" si="331"/>
        <v>1.17</v>
      </c>
      <c r="O801" t="str">
        <f t="shared" ref="O801:O864" si="335">IF(I801=0.1,"极紧凑",IF(I801&gt;3.5,"紧凑",IF(AND(I801&gt;=2,I801&lt;=3.5),"标准",IF(AND(I801&gt;=1,I801&lt;2),"松散",""))))</f>
        <v>松散</v>
      </c>
      <c r="P801" t="str">
        <f t="shared" si="332"/>
        <v>极紧凑</v>
      </c>
      <c r="Q801" t="str">
        <f t="shared" si="333"/>
        <v>✓有效</v>
      </c>
      <c r="R801" t="str">
        <f t="shared" si="334"/>
        <v>正常</v>
      </c>
    </row>
    <row r="802" ht="14.25" customHeight="1" spans="1:18">
      <c r="A802" s="10">
        <v>2025070</v>
      </c>
      <c r="B802" s="12" t="s">
        <v>448</v>
      </c>
      <c r="C802">
        <f t="shared" si="320"/>
        <v>7</v>
      </c>
      <c r="D802">
        <f t="shared" si="321"/>
        <v>4</v>
      </c>
      <c r="E802">
        <f t="shared" si="322"/>
        <v>8</v>
      </c>
      <c r="F802">
        <f t="shared" si="323"/>
        <v>19</v>
      </c>
      <c r="G802">
        <f t="shared" si="324"/>
        <v>9</v>
      </c>
      <c r="H802">
        <f t="shared" si="325"/>
        <v>4</v>
      </c>
      <c r="I802">
        <f t="shared" si="326"/>
        <v>4.75</v>
      </c>
      <c r="J802">
        <f t="shared" si="327"/>
        <v>0.33</v>
      </c>
      <c r="K802">
        <f t="shared" si="328"/>
        <v>0.67</v>
      </c>
      <c r="L802">
        <f t="shared" si="329"/>
        <v>0.33</v>
      </c>
      <c r="M802">
        <f t="shared" si="330"/>
        <v>1</v>
      </c>
      <c r="N802">
        <f t="shared" si="331"/>
        <v>2.33</v>
      </c>
      <c r="O802" t="str">
        <f t="shared" si="335"/>
        <v>紧凑</v>
      </c>
      <c r="P802" t="str">
        <f t="shared" si="332"/>
        <v>紧凑</v>
      </c>
      <c r="Q802" t="str">
        <f t="shared" si="333"/>
        <v>✓有效</v>
      </c>
      <c r="R802" t="str">
        <f t="shared" si="334"/>
        <v>正常</v>
      </c>
    </row>
    <row r="803" ht="14.25" customHeight="1" spans="1:18">
      <c r="A803" s="10">
        <v>2025071</v>
      </c>
      <c r="B803" s="12" t="s">
        <v>596</v>
      </c>
      <c r="C803">
        <f t="shared" si="320"/>
        <v>4</v>
      </c>
      <c r="D803">
        <f t="shared" si="321"/>
        <v>3</v>
      </c>
      <c r="E803">
        <f t="shared" si="322"/>
        <v>4</v>
      </c>
      <c r="F803">
        <f t="shared" si="323"/>
        <v>11</v>
      </c>
      <c r="G803">
        <f t="shared" si="324"/>
        <v>1</v>
      </c>
      <c r="H803">
        <f t="shared" si="325"/>
        <v>1</v>
      </c>
      <c r="I803">
        <f t="shared" si="326"/>
        <v>11</v>
      </c>
      <c r="J803">
        <f t="shared" si="327"/>
        <v>0.33</v>
      </c>
      <c r="K803">
        <f t="shared" si="328"/>
        <v>0</v>
      </c>
      <c r="L803">
        <f t="shared" si="329"/>
        <v>0.33</v>
      </c>
      <c r="M803">
        <f t="shared" si="330"/>
        <v>2</v>
      </c>
      <c r="N803">
        <f t="shared" si="331"/>
        <v>4.6</v>
      </c>
      <c r="O803" t="str">
        <f t="shared" si="335"/>
        <v>紧凑</v>
      </c>
      <c r="P803" t="str">
        <f t="shared" si="332"/>
        <v>标准</v>
      </c>
      <c r="Q803" t="str">
        <f t="shared" si="333"/>
        <v>✓有效</v>
      </c>
      <c r="R803" t="str">
        <f t="shared" si="334"/>
        <v>异常</v>
      </c>
    </row>
    <row r="804" ht="14.25" customHeight="1" spans="1:18">
      <c r="A804" s="10">
        <v>2025072</v>
      </c>
      <c r="B804" s="12" t="s">
        <v>597</v>
      </c>
      <c r="C804">
        <f t="shared" si="320"/>
        <v>2</v>
      </c>
      <c r="D804">
        <f t="shared" si="321"/>
        <v>7</v>
      </c>
      <c r="E804">
        <f t="shared" si="322"/>
        <v>2</v>
      </c>
      <c r="F804">
        <f t="shared" si="323"/>
        <v>11</v>
      </c>
      <c r="G804">
        <f t="shared" si="324"/>
        <v>1</v>
      </c>
      <c r="H804">
        <f t="shared" si="325"/>
        <v>5</v>
      </c>
      <c r="I804">
        <f t="shared" si="326"/>
        <v>2.2</v>
      </c>
      <c r="J804">
        <f t="shared" si="327"/>
        <v>0.33</v>
      </c>
      <c r="K804">
        <f t="shared" si="328"/>
        <v>0.33</v>
      </c>
      <c r="L804">
        <f t="shared" si="329"/>
        <v>1</v>
      </c>
      <c r="M804">
        <f t="shared" si="330"/>
        <v>0</v>
      </c>
      <c r="N804">
        <f t="shared" si="331"/>
        <v>1.41</v>
      </c>
      <c r="O804" t="str">
        <f t="shared" si="335"/>
        <v>标准</v>
      </c>
      <c r="P804" t="str">
        <f t="shared" si="332"/>
        <v>极紧凑</v>
      </c>
      <c r="Q804" t="str">
        <f t="shared" si="333"/>
        <v>✓有效</v>
      </c>
      <c r="R804" t="str">
        <f t="shared" si="334"/>
        <v>正常</v>
      </c>
    </row>
    <row r="805" ht="14.25" customHeight="1" spans="1:18">
      <c r="A805" s="10">
        <v>2025073</v>
      </c>
      <c r="B805" s="12" t="s">
        <v>413</v>
      </c>
      <c r="C805">
        <f t="shared" si="320"/>
        <v>7</v>
      </c>
      <c r="D805">
        <f t="shared" si="321"/>
        <v>7</v>
      </c>
      <c r="E805">
        <f t="shared" si="322"/>
        <v>8</v>
      </c>
      <c r="F805">
        <f t="shared" si="323"/>
        <v>22</v>
      </c>
      <c r="G805">
        <f t="shared" si="324"/>
        <v>2</v>
      </c>
      <c r="H805">
        <f t="shared" si="325"/>
        <v>1</v>
      </c>
      <c r="I805">
        <f t="shared" si="326"/>
        <v>22</v>
      </c>
      <c r="J805">
        <f t="shared" si="327"/>
        <v>0.67</v>
      </c>
      <c r="K805">
        <f t="shared" si="328"/>
        <v>1</v>
      </c>
      <c r="L805">
        <f t="shared" si="329"/>
        <v>0.67</v>
      </c>
      <c r="M805">
        <f t="shared" si="330"/>
        <v>2</v>
      </c>
      <c r="N805">
        <f t="shared" si="331"/>
        <v>9.3</v>
      </c>
      <c r="O805" t="str">
        <f t="shared" si="335"/>
        <v>紧凑</v>
      </c>
      <c r="P805" t="str">
        <f t="shared" si="332"/>
        <v>松散</v>
      </c>
      <c r="Q805" t="str">
        <f t="shared" si="333"/>
        <v>✓有效</v>
      </c>
      <c r="R805" t="str">
        <f t="shared" si="334"/>
        <v>异常</v>
      </c>
    </row>
    <row r="806" ht="14.25" customHeight="1" spans="1:18">
      <c r="A806" s="10">
        <v>2025074</v>
      </c>
      <c r="B806" s="12" t="s">
        <v>526</v>
      </c>
      <c r="C806">
        <f t="shared" si="320"/>
        <v>4</v>
      </c>
      <c r="D806">
        <f t="shared" si="321"/>
        <v>1</v>
      </c>
      <c r="E806">
        <f t="shared" si="322"/>
        <v>9</v>
      </c>
      <c r="F806">
        <f t="shared" si="323"/>
        <v>14</v>
      </c>
      <c r="G806">
        <f t="shared" si="324"/>
        <v>4</v>
      </c>
      <c r="H806">
        <f t="shared" si="325"/>
        <v>8</v>
      </c>
      <c r="I806">
        <f t="shared" si="326"/>
        <v>1.75</v>
      </c>
      <c r="J806">
        <f t="shared" si="327"/>
        <v>0.67</v>
      </c>
      <c r="K806">
        <f t="shared" si="328"/>
        <v>0.33</v>
      </c>
      <c r="L806">
        <f t="shared" si="329"/>
        <v>0</v>
      </c>
      <c r="M806">
        <f t="shared" si="330"/>
        <v>0</v>
      </c>
      <c r="N806">
        <f t="shared" si="331"/>
        <v>1.2</v>
      </c>
      <c r="O806" t="str">
        <f t="shared" si="335"/>
        <v>松散</v>
      </c>
      <c r="P806" t="str">
        <f t="shared" si="332"/>
        <v>极紧凑</v>
      </c>
      <c r="Q806" t="str">
        <f t="shared" si="333"/>
        <v>✓有效</v>
      </c>
      <c r="R806" t="str">
        <f t="shared" si="334"/>
        <v>正常</v>
      </c>
    </row>
    <row r="807" ht="14.25" customHeight="1" spans="1:18">
      <c r="A807" s="10">
        <v>2025075</v>
      </c>
      <c r="B807" s="12" t="s">
        <v>401</v>
      </c>
      <c r="C807">
        <f t="shared" si="320"/>
        <v>7</v>
      </c>
      <c r="D807">
        <f t="shared" si="321"/>
        <v>0</v>
      </c>
      <c r="E807">
        <f t="shared" si="322"/>
        <v>9</v>
      </c>
      <c r="F807">
        <f t="shared" si="323"/>
        <v>16</v>
      </c>
      <c r="G807">
        <f t="shared" si="324"/>
        <v>6</v>
      </c>
      <c r="H807">
        <f t="shared" si="325"/>
        <v>9</v>
      </c>
      <c r="I807">
        <f t="shared" si="326"/>
        <v>1.78</v>
      </c>
      <c r="J807">
        <f t="shared" si="327"/>
        <v>0.67</v>
      </c>
      <c r="K807">
        <f t="shared" si="328"/>
        <v>0.67</v>
      </c>
      <c r="L807">
        <f t="shared" si="329"/>
        <v>0.33</v>
      </c>
      <c r="M807">
        <f t="shared" si="330"/>
        <v>0</v>
      </c>
      <c r="N807">
        <f t="shared" si="331"/>
        <v>1.31</v>
      </c>
      <c r="O807" t="str">
        <f t="shared" si="335"/>
        <v>松散</v>
      </c>
      <c r="P807" t="str">
        <f t="shared" si="332"/>
        <v>极紧凑</v>
      </c>
      <c r="Q807" t="str">
        <f t="shared" si="333"/>
        <v>✓有效</v>
      </c>
      <c r="R807" t="str">
        <f t="shared" si="334"/>
        <v>正常</v>
      </c>
    </row>
    <row r="808" ht="14.25" customHeight="1" spans="1:18">
      <c r="A808" s="10">
        <v>2025076</v>
      </c>
      <c r="B808" s="12" t="s">
        <v>598</v>
      </c>
      <c r="C808">
        <f t="shared" si="320"/>
        <v>7</v>
      </c>
      <c r="D808">
        <f t="shared" si="321"/>
        <v>8</v>
      </c>
      <c r="E808">
        <f t="shared" si="322"/>
        <v>1</v>
      </c>
      <c r="F808">
        <f t="shared" si="323"/>
        <v>16</v>
      </c>
      <c r="G808">
        <f t="shared" si="324"/>
        <v>6</v>
      </c>
      <c r="H808">
        <f t="shared" si="325"/>
        <v>7</v>
      </c>
      <c r="I808">
        <f t="shared" si="326"/>
        <v>2.29</v>
      </c>
      <c r="J808">
        <f t="shared" si="327"/>
        <v>0.67</v>
      </c>
      <c r="K808">
        <f t="shared" si="328"/>
        <v>0.67</v>
      </c>
      <c r="L808">
        <f t="shared" si="329"/>
        <v>0.33</v>
      </c>
      <c r="M808">
        <f t="shared" si="330"/>
        <v>1</v>
      </c>
      <c r="N808">
        <f t="shared" si="331"/>
        <v>1.42</v>
      </c>
      <c r="O808" t="str">
        <f t="shared" si="335"/>
        <v>标准</v>
      </c>
      <c r="P808" t="str">
        <f t="shared" si="332"/>
        <v>极紧凑</v>
      </c>
      <c r="Q808" t="str">
        <f t="shared" si="333"/>
        <v>✓有效</v>
      </c>
      <c r="R808" t="str">
        <f t="shared" si="334"/>
        <v>正常</v>
      </c>
    </row>
    <row r="809" ht="14.25" customHeight="1" spans="1:18">
      <c r="A809" s="10">
        <v>2025077</v>
      </c>
      <c r="B809" s="12" t="s">
        <v>599</v>
      </c>
      <c r="C809">
        <f t="shared" si="320"/>
        <v>6</v>
      </c>
      <c r="D809">
        <f t="shared" si="321"/>
        <v>2</v>
      </c>
      <c r="E809">
        <f t="shared" si="322"/>
        <v>5</v>
      </c>
      <c r="F809">
        <f t="shared" si="323"/>
        <v>13</v>
      </c>
      <c r="G809">
        <f t="shared" si="324"/>
        <v>3</v>
      </c>
      <c r="H809">
        <f t="shared" si="325"/>
        <v>4</v>
      </c>
      <c r="I809">
        <f t="shared" si="326"/>
        <v>3.25</v>
      </c>
      <c r="J809">
        <f t="shared" si="327"/>
        <v>0.33</v>
      </c>
      <c r="K809">
        <f t="shared" si="328"/>
        <v>0.67</v>
      </c>
      <c r="L809">
        <f t="shared" si="329"/>
        <v>0.67</v>
      </c>
      <c r="M809">
        <f t="shared" si="330"/>
        <v>1</v>
      </c>
      <c r="N809">
        <f t="shared" si="331"/>
        <v>1.77</v>
      </c>
      <c r="O809" t="str">
        <f t="shared" si="335"/>
        <v>标准</v>
      </c>
      <c r="P809" t="str">
        <f t="shared" si="332"/>
        <v>紧凑</v>
      </c>
      <c r="Q809" t="str">
        <f t="shared" si="333"/>
        <v>✓有效</v>
      </c>
      <c r="R809" t="str">
        <f t="shared" si="334"/>
        <v>正常</v>
      </c>
    </row>
    <row r="810" ht="14.25" customHeight="1" spans="1:18">
      <c r="A810" s="10">
        <v>2025078</v>
      </c>
      <c r="B810" s="12" t="s">
        <v>600</v>
      </c>
      <c r="C810">
        <f t="shared" si="320"/>
        <v>0</v>
      </c>
      <c r="D810">
        <f t="shared" si="321"/>
        <v>0</v>
      </c>
      <c r="E810">
        <f t="shared" si="322"/>
        <v>0</v>
      </c>
      <c r="F810">
        <f t="shared" si="323"/>
        <v>0</v>
      </c>
      <c r="G810">
        <f t="shared" si="324"/>
        <v>0</v>
      </c>
      <c r="H810">
        <f t="shared" si="325"/>
        <v>0</v>
      </c>
      <c r="I810">
        <f t="shared" si="326"/>
        <v>0.1</v>
      </c>
      <c r="J810">
        <f t="shared" si="327"/>
        <v>0</v>
      </c>
      <c r="K810">
        <f t="shared" si="328"/>
        <v>0</v>
      </c>
      <c r="L810">
        <f t="shared" si="329"/>
        <v>0</v>
      </c>
      <c r="M810">
        <f t="shared" si="330"/>
        <v>0</v>
      </c>
      <c r="N810">
        <f t="shared" si="331"/>
        <v>0.34</v>
      </c>
      <c r="O810" t="str">
        <f t="shared" si="335"/>
        <v>极紧凑</v>
      </c>
      <c r="P810" t="str">
        <f t="shared" si="332"/>
        <v>极紧凑</v>
      </c>
      <c r="Q810" t="str">
        <f t="shared" si="333"/>
        <v>✓有效</v>
      </c>
      <c r="R810" t="str">
        <f t="shared" si="334"/>
        <v>正常</v>
      </c>
    </row>
    <row r="811" ht="14.25" customHeight="1" spans="1:18">
      <c r="A811" s="10">
        <v>2025079</v>
      </c>
      <c r="B811" s="12" t="s">
        <v>561</v>
      </c>
      <c r="C811">
        <f t="shared" si="320"/>
        <v>6</v>
      </c>
      <c r="D811">
        <f t="shared" si="321"/>
        <v>5</v>
      </c>
      <c r="E811">
        <f t="shared" si="322"/>
        <v>7</v>
      </c>
      <c r="F811">
        <f t="shared" si="323"/>
        <v>18</v>
      </c>
      <c r="G811">
        <f t="shared" si="324"/>
        <v>8</v>
      </c>
      <c r="H811">
        <f t="shared" si="325"/>
        <v>2</v>
      </c>
      <c r="I811">
        <f t="shared" si="326"/>
        <v>9</v>
      </c>
      <c r="J811">
        <f t="shared" si="327"/>
        <v>0.67</v>
      </c>
      <c r="K811">
        <f t="shared" si="328"/>
        <v>1</v>
      </c>
      <c r="L811">
        <f t="shared" si="329"/>
        <v>0.67</v>
      </c>
      <c r="M811">
        <f t="shared" si="330"/>
        <v>2</v>
      </c>
      <c r="N811">
        <f t="shared" si="331"/>
        <v>4.1</v>
      </c>
      <c r="O811" t="str">
        <f t="shared" si="335"/>
        <v>紧凑</v>
      </c>
      <c r="P811" t="str">
        <f t="shared" si="332"/>
        <v>标准</v>
      </c>
      <c r="Q811" t="str">
        <f t="shared" si="333"/>
        <v>✓有效</v>
      </c>
      <c r="R811" t="str">
        <f t="shared" si="334"/>
        <v>正常</v>
      </c>
    </row>
    <row r="812" ht="14.25" customHeight="1" spans="1:18">
      <c r="A812" s="10">
        <v>2025080</v>
      </c>
      <c r="B812" s="12" t="s">
        <v>601</v>
      </c>
      <c r="C812">
        <f t="shared" si="320"/>
        <v>5</v>
      </c>
      <c r="D812">
        <f t="shared" si="321"/>
        <v>0</v>
      </c>
      <c r="E812">
        <f t="shared" si="322"/>
        <v>0</v>
      </c>
      <c r="F812">
        <f t="shared" si="323"/>
        <v>5</v>
      </c>
      <c r="G812">
        <f t="shared" si="324"/>
        <v>5</v>
      </c>
      <c r="H812">
        <f t="shared" si="325"/>
        <v>5</v>
      </c>
      <c r="I812">
        <f t="shared" si="326"/>
        <v>1</v>
      </c>
      <c r="J812">
        <f t="shared" si="327"/>
        <v>0.33</v>
      </c>
      <c r="K812">
        <f t="shared" si="328"/>
        <v>0.33</v>
      </c>
      <c r="L812">
        <f t="shared" si="329"/>
        <v>0.33</v>
      </c>
      <c r="M812">
        <f t="shared" si="330"/>
        <v>0</v>
      </c>
      <c r="N812">
        <f t="shared" si="331"/>
        <v>0.87</v>
      </c>
      <c r="O812" t="str">
        <f t="shared" si="335"/>
        <v>松散</v>
      </c>
      <c r="P812" t="str">
        <f t="shared" si="332"/>
        <v>极紧凑</v>
      </c>
      <c r="Q812" t="str">
        <f t="shared" si="333"/>
        <v>✓有效</v>
      </c>
      <c r="R812" t="str">
        <f t="shared" si="334"/>
        <v>正常</v>
      </c>
    </row>
    <row r="813" ht="14.25" customHeight="1" spans="1:18">
      <c r="A813" s="10">
        <v>2025081</v>
      </c>
      <c r="B813" s="12" t="s">
        <v>602</v>
      </c>
      <c r="C813">
        <f t="shared" si="320"/>
        <v>4</v>
      </c>
      <c r="D813">
        <f t="shared" si="321"/>
        <v>0</v>
      </c>
      <c r="E813">
        <f t="shared" si="322"/>
        <v>3</v>
      </c>
      <c r="F813">
        <f t="shared" si="323"/>
        <v>7</v>
      </c>
      <c r="G813">
        <f t="shared" si="324"/>
        <v>7</v>
      </c>
      <c r="H813">
        <f t="shared" si="325"/>
        <v>4</v>
      </c>
      <c r="I813">
        <f t="shared" si="326"/>
        <v>1.75</v>
      </c>
      <c r="J813">
        <f t="shared" si="327"/>
        <v>0.33</v>
      </c>
      <c r="K813">
        <f t="shared" si="328"/>
        <v>0</v>
      </c>
      <c r="L813">
        <f t="shared" si="329"/>
        <v>0.33</v>
      </c>
      <c r="M813">
        <f t="shared" si="330"/>
        <v>1</v>
      </c>
      <c r="N813">
        <f t="shared" si="331"/>
        <v>1</v>
      </c>
      <c r="O813" t="str">
        <f t="shared" si="335"/>
        <v>松散</v>
      </c>
      <c r="P813" t="str">
        <f t="shared" si="332"/>
        <v>极紧凑</v>
      </c>
      <c r="Q813" t="str">
        <f t="shared" si="333"/>
        <v>✓有效</v>
      </c>
      <c r="R813" t="str">
        <f t="shared" si="334"/>
        <v>正常</v>
      </c>
    </row>
    <row r="814" ht="14.25" customHeight="1" spans="1:18">
      <c r="A814" s="10">
        <v>2025082</v>
      </c>
      <c r="B814" s="12" t="s">
        <v>47</v>
      </c>
      <c r="C814">
        <f t="shared" si="320"/>
        <v>4</v>
      </c>
      <c r="D814">
        <f t="shared" si="321"/>
        <v>1</v>
      </c>
      <c r="E814">
        <f t="shared" si="322"/>
        <v>7</v>
      </c>
      <c r="F814">
        <f t="shared" si="323"/>
        <v>12</v>
      </c>
      <c r="G814">
        <f t="shared" si="324"/>
        <v>2</v>
      </c>
      <c r="H814">
        <f t="shared" si="325"/>
        <v>6</v>
      </c>
      <c r="I814">
        <f t="shared" si="326"/>
        <v>2</v>
      </c>
      <c r="J814">
        <f t="shared" si="327"/>
        <v>0.67</v>
      </c>
      <c r="K814">
        <f t="shared" si="328"/>
        <v>0.33</v>
      </c>
      <c r="L814">
        <f t="shared" si="329"/>
        <v>0.33</v>
      </c>
      <c r="M814">
        <f t="shared" si="330"/>
        <v>0</v>
      </c>
      <c r="N814">
        <f t="shared" si="331"/>
        <v>1.33</v>
      </c>
      <c r="O814" t="str">
        <f t="shared" si="335"/>
        <v>标准</v>
      </c>
      <c r="P814" t="str">
        <f t="shared" si="332"/>
        <v>极紧凑</v>
      </c>
      <c r="Q814" t="str">
        <f t="shared" si="333"/>
        <v>✓有效</v>
      </c>
      <c r="R814" t="str">
        <f t="shared" si="334"/>
        <v>正常</v>
      </c>
    </row>
    <row r="815" ht="14.25" customHeight="1" spans="1:18">
      <c r="A815" s="10">
        <v>2025083</v>
      </c>
      <c r="B815" s="12" t="s">
        <v>603</v>
      </c>
      <c r="C815">
        <f t="shared" si="320"/>
        <v>9</v>
      </c>
      <c r="D815">
        <f t="shared" si="321"/>
        <v>1</v>
      </c>
      <c r="E815">
        <f t="shared" si="322"/>
        <v>5</v>
      </c>
      <c r="F815">
        <f t="shared" si="323"/>
        <v>15</v>
      </c>
      <c r="G815">
        <f t="shared" si="324"/>
        <v>5</v>
      </c>
      <c r="H815">
        <f t="shared" si="325"/>
        <v>8</v>
      </c>
      <c r="I815">
        <f t="shared" si="326"/>
        <v>1.88</v>
      </c>
      <c r="J815">
        <f t="shared" si="327"/>
        <v>1</v>
      </c>
      <c r="K815">
        <f t="shared" si="328"/>
        <v>0.67</v>
      </c>
      <c r="L815">
        <f t="shared" si="329"/>
        <v>0.33</v>
      </c>
      <c r="M815">
        <f t="shared" si="330"/>
        <v>0</v>
      </c>
      <c r="N815">
        <f t="shared" si="331"/>
        <v>1.42</v>
      </c>
      <c r="O815" t="str">
        <f t="shared" si="335"/>
        <v>松散</v>
      </c>
      <c r="P815" t="str">
        <f t="shared" si="332"/>
        <v>极紧凑</v>
      </c>
      <c r="Q815" t="str">
        <f t="shared" si="333"/>
        <v>✓有效</v>
      </c>
      <c r="R815" t="str">
        <f t="shared" si="334"/>
        <v>正常</v>
      </c>
    </row>
    <row r="816" ht="14.25" customHeight="1" spans="1:18">
      <c r="A816" s="10">
        <v>2025084</v>
      </c>
      <c r="B816" s="12" t="s">
        <v>235</v>
      </c>
      <c r="C816">
        <f t="shared" si="320"/>
        <v>0</v>
      </c>
      <c r="D816">
        <f t="shared" si="321"/>
        <v>3</v>
      </c>
      <c r="E816">
        <f t="shared" si="322"/>
        <v>0</v>
      </c>
      <c r="F816">
        <f t="shared" si="323"/>
        <v>3</v>
      </c>
      <c r="G816">
        <f t="shared" si="324"/>
        <v>3</v>
      </c>
      <c r="H816">
        <f t="shared" si="325"/>
        <v>3</v>
      </c>
      <c r="I816">
        <f t="shared" si="326"/>
        <v>1</v>
      </c>
      <c r="J816">
        <f t="shared" si="327"/>
        <v>0.33</v>
      </c>
      <c r="K816">
        <f t="shared" si="328"/>
        <v>0</v>
      </c>
      <c r="L816">
        <f t="shared" si="329"/>
        <v>0.33</v>
      </c>
      <c r="M816">
        <f t="shared" si="330"/>
        <v>0</v>
      </c>
      <c r="N816">
        <f t="shared" si="331"/>
        <v>0.8</v>
      </c>
      <c r="O816" t="str">
        <f t="shared" si="335"/>
        <v>松散</v>
      </c>
      <c r="P816" t="str">
        <f t="shared" si="332"/>
        <v>极紧凑</v>
      </c>
      <c r="Q816" t="str">
        <f t="shared" si="333"/>
        <v>✓有效</v>
      </c>
      <c r="R816" t="str">
        <f t="shared" si="334"/>
        <v>正常</v>
      </c>
    </row>
    <row r="817" ht="14.25" customHeight="1" spans="1:18">
      <c r="A817" s="10">
        <v>2025085</v>
      </c>
      <c r="B817" s="12" t="s">
        <v>604</v>
      </c>
      <c r="C817">
        <f t="shared" si="320"/>
        <v>3</v>
      </c>
      <c r="D817">
        <f t="shared" si="321"/>
        <v>3</v>
      </c>
      <c r="E817">
        <f t="shared" si="322"/>
        <v>8</v>
      </c>
      <c r="F817">
        <f t="shared" si="323"/>
        <v>14</v>
      </c>
      <c r="G817">
        <f t="shared" si="324"/>
        <v>4</v>
      </c>
      <c r="H817">
        <f t="shared" si="325"/>
        <v>5</v>
      </c>
      <c r="I817">
        <f t="shared" si="326"/>
        <v>2.8</v>
      </c>
      <c r="J817">
        <f t="shared" si="327"/>
        <v>0.67</v>
      </c>
      <c r="K817">
        <f t="shared" si="328"/>
        <v>0.33</v>
      </c>
      <c r="L817">
        <f t="shared" si="329"/>
        <v>0.67</v>
      </c>
      <c r="M817">
        <f t="shared" si="330"/>
        <v>0</v>
      </c>
      <c r="N817">
        <f t="shared" si="331"/>
        <v>1.69</v>
      </c>
      <c r="O817" t="str">
        <f t="shared" si="335"/>
        <v>标准</v>
      </c>
      <c r="P817" t="str">
        <f t="shared" si="332"/>
        <v>紧凑</v>
      </c>
      <c r="Q817" t="str">
        <f t="shared" si="333"/>
        <v>✓有效</v>
      </c>
      <c r="R817" t="str">
        <f t="shared" si="334"/>
        <v>正常</v>
      </c>
    </row>
    <row r="818" ht="14.25" customHeight="1" spans="1:18">
      <c r="A818" s="10">
        <v>2025086</v>
      </c>
      <c r="B818" s="12" t="s">
        <v>519</v>
      </c>
      <c r="C818">
        <f t="shared" si="320"/>
        <v>3</v>
      </c>
      <c r="D818">
        <f t="shared" si="321"/>
        <v>8</v>
      </c>
      <c r="E818">
        <f t="shared" si="322"/>
        <v>8</v>
      </c>
      <c r="F818">
        <f t="shared" si="323"/>
        <v>19</v>
      </c>
      <c r="G818">
        <f t="shared" si="324"/>
        <v>9</v>
      </c>
      <c r="H818">
        <f t="shared" si="325"/>
        <v>5</v>
      </c>
      <c r="I818">
        <f t="shared" si="326"/>
        <v>3.8</v>
      </c>
      <c r="J818">
        <f t="shared" si="327"/>
        <v>0.33</v>
      </c>
      <c r="K818">
        <f t="shared" si="328"/>
        <v>0.67</v>
      </c>
      <c r="L818">
        <f t="shared" si="329"/>
        <v>0.33</v>
      </c>
      <c r="M818">
        <f t="shared" si="330"/>
        <v>0</v>
      </c>
      <c r="N818">
        <f t="shared" si="331"/>
        <v>2.05</v>
      </c>
      <c r="O818" t="str">
        <f t="shared" si="335"/>
        <v>紧凑</v>
      </c>
      <c r="P818" t="str">
        <f t="shared" si="332"/>
        <v>紧凑</v>
      </c>
      <c r="Q818" t="str">
        <f t="shared" si="333"/>
        <v>✓有效</v>
      </c>
      <c r="R818" t="str">
        <f t="shared" si="334"/>
        <v>正常</v>
      </c>
    </row>
    <row r="819" ht="14.25" customHeight="1" spans="1:18">
      <c r="A819" s="10">
        <v>2025087</v>
      </c>
      <c r="B819" s="12" t="s">
        <v>605</v>
      </c>
      <c r="C819">
        <f t="shared" si="320"/>
        <v>8</v>
      </c>
      <c r="D819">
        <f t="shared" si="321"/>
        <v>2</v>
      </c>
      <c r="E819">
        <f t="shared" si="322"/>
        <v>6</v>
      </c>
      <c r="F819">
        <f t="shared" si="323"/>
        <v>16</v>
      </c>
      <c r="G819">
        <f t="shared" si="324"/>
        <v>6</v>
      </c>
      <c r="H819">
        <f t="shared" si="325"/>
        <v>6</v>
      </c>
      <c r="I819">
        <f t="shared" si="326"/>
        <v>2.67</v>
      </c>
      <c r="J819">
        <f t="shared" si="327"/>
        <v>0</v>
      </c>
      <c r="K819">
        <f t="shared" si="328"/>
        <v>0.67</v>
      </c>
      <c r="L819">
        <f t="shared" si="329"/>
        <v>0.33</v>
      </c>
      <c r="M819">
        <f t="shared" si="330"/>
        <v>0</v>
      </c>
      <c r="N819">
        <f t="shared" si="331"/>
        <v>1.54</v>
      </c>
      <c r="O819" t="str">
        <f t="shared" si="335"/>
        <v>标准</v>
      </c>
      <c r="P819" t="str">
        <f t="shared" si="332"/>
        <v>紧凑</v>
      </c>
      <c r="Q819" t="str">
        <f t="shared" si="333"/>
        <v>✓有效</v>
      </c>
      <c r="R819" t="str">
        <f t="shared" si="334"/>
        <v>正常</v>
      </c>
    </row>
    <row r="820" ht="14.25" customHeight="1" spans="1:18">
      <c r="A820" s="10">
        <v>2025088</v>
      </c>
      <c r="B820" s="12" t="s">
        <v>221</v>
      </c>
      <c r="C820">
        <f t="shared" si="320"/>
        <v>0</v>
      </c>
      <c r="D820">
        <f t="shared" si="321"/>
        <v>2</v>
      </c>
      <c r="E820">
        <f t="shared" si="322"/>
        <v>2</v>
      </c>
      <c r="F820">
        <f t="shared" si="323"/>
        <v>4</v>
      </c>
      <c r="G820">
        <f t="shared" si="324"/>
        <v>4</v>
      </c>
      <c r="H820">
        <f t="shared" si="325"/>
        <v>2</v>
      </c>
      <c r="I820">
        <f t="shared" si="326"/>
        <v>2</v>
      </c>
      <c r="J820">
        <f t="shared" si="327"/>
        <v>0</v>
      </c>
      <c r="K820">
        <f t="shared" si="328"/>
        <v>0</v>
      </c>
      <c r="L820">
        <f t="shared" si="329"/>
        <v>0.67</v>
      </c>
      <c r="M820">
        <f t="shared" si="330"/>
        <v>0</v>
      </c>
      <c r="N820">
        <f t="shared" si="331"/>
        <v>1.17</v>
      </c>
      <c r="O820" t="str">
        <f t="shared" si="335"/>
        <v>标准</v>
      </c>
      <c r="P820" t="str">
        <f t="shared" si="332"/>
        <v>极紧凑</v>
      </c>
      <c r="Q820" t="str">
        <f t="shared" si="333"/>
        <v>✓有效</v>
      </c>
      <c r="R820" t="str">
        <f t="shared" si="334"/>
        <v>正常</v>
      </c>
    </row>
    <row r="821" ht="14.25" customHeight="1" spans="1:18">
      <c r="A821" s="10">
        <v>2025089</v>
      </c>
      <c r="B821" s="12" t="s">
        <v>606</v>
      </c>
      <c r="C821">
        <f t="shared" si="320"/>
        <v>6</v>
      </c>
      <c r="D821">
        <f t="shared" si="321"/>
        <v>5</v>
      </c>
      <c r="E821">
        <f t="shared" si="322"/>
        <v>8</v>
      </c>
      <c r="F821">
        <f t="shared" si="323"/>
        <v>19</v>
      </c>
      <c r="G821">
        <f t="shared" si="324"/>
        <v>9</v>
      </c>
      <c r="H821">
        <f t="shared" si="325"/>
        <v>3</v>
      </c>
      <c r="I821">
        <f t="shared" si="326"/>
        <v>6.33</v>
      </c>
      <c r="J821">
        <f t="shared" si="327"/>
        <v>0.33</v>
      </c>
      <c r="K821">
        <f t="shared" si="328"/>
        <v>1</v>
      </c>
      <c r="L821">
        <f t="shared" si="329"/>
        <v>0.33</v>
      </c>
      <c r="M821">
        <f t="shared" si="330"/>
        <v>1</v>
      </c>
      <c r="N821">
        <f t="shared" si="331"/>
        <v>3.03</v>
      </c>
      <c r="O821" t="str">
        <f t="shared" si="335"/>
        <v>紧凑</v>
      </c>
      <c r="P821" t="str">
        <f t="shared" si="332"/>
        <v>标准</v>
      </c>
      <c r="Q821" t="str">
        <f t="shared" si="333"/>
        <v>✓有效</v>
      </c>
      <c r="R821" t="str">
        <f t="shared" si="334"/>
        <v>正常</v>
      </c>
    </row>
    <row r="822" ht="14.25" customHeight="1" spans="1:18">
      <c r="A822" s="10">
        <v>2025090</v>
      </c>
      <c r="B822" s="12" t="s">
        <v>127</v>
      </c>
      <c r="C822">
        <f t="shared" si="320"/>
        <v>1</v>
      </c>
      <c r="D822">
        <f t="shared" si="321"/>
        <v>5</v>
      </c>
      <c r="E822">
        <f t="shared" si="322"/>
        <v>9</v>
      </c>
      <c r="F822">
        <f t="shared" si="323"/>
        <v>15</v>
      </c>
      <c r="G822">
        <f t="shared" si="324"/>
        <v>5</v>
      </c>
      <c r="H822">
        <f t="shared" si="325"/>
        <v>8</v>
      </c>
      <c r="I822">
        <f t="shared" si="326"/>
        <v>1.88</v>
      </c>
      <c r="J822">
        <f t="shared" si="327"/>
        <v>1</v>
      </c>
      <c r="K822">
        <f t="shared" si="328"/>
        <v>0.67</v>
      </c>
      <c r="L822">
        <f t="shared" si="329"/>
        <v>0.33</v>
      </c>
      <c r="M822">
        <f t="shared" si="330"/>
        <v>0</v>
      </c>
      <c r="N822">
        <f t="shared" si="331"/>
        <v>1.42</v>
      </c>
      <c r="O822" t="str">
        <f t="shared" si="335"/>
        <v>松散</v>
      </c>
      <c r="P822" t="str">
        <f t="shared" si="332"/>
        <v>极紧凑</v>
      </c>
      <c r="Q822" t="str">
        <f t="shared" si="333"/>
        <v>✓有效</v>
      </c>
      <c r="R822" t="str">
        <f t="shared" si="334"/>
        <v>正常</v>
      </c>
    </row>
    <row r="823" ht="14.25" customHeight="1" spans="1:18">
      <c r="A823" s="10">
        <v>2025091</v>
      </c>
      <c r="B823" s="12" t="s">
        <v>607</v>
      </c>
      <c r="C823">
        <f t="shared" si="320"/>
        <v>1</v>
      </c>
      <c r="D823">
        <f t="shared" si="321"/>
        <v>3</v>
      </c>
      <c r="E823">
        <f t="shared" si="322"/>
        <v>5</v>
      </c>
      <c r="F823">
        <f t="shared" si="323"/>
        <v>9</v>
      </c>
      <c r="G823">
        <f t="shared" si="324"/>
        <v>9</v>
      </c>
      <c r="H823">
        <f t="shared" si="325"/>
        <v>4</v>
      </c>
      <c r="I823">
        <f t="shared" si="326"/>
        <v>2.25</v>
      </c>
      <c r="J823">
        <f t="shared" si="327"/>
        <v>1</v>
      </c>
      <c r="K823">
        <f t="shared" si="328"/>
        <v>0.33</v>
      </c>
      <c r="L823">
        <f t="shared" si="329"/>
        <v>0.67</v>
      </c>
      <c r="M823">
        <f t="shared" si="330"/>
        <v>0</v>
      </c>
      <c r="N823">
        <f t="shared" si="331"/>
        <v>1.53</v>
      </c>
      <c r="O823" t="str">
        <f t="shared" si="335"/>
        <v>标准</v>
      </c>
      <c r="P823" t="str">
        <f t="shared" si="332"/>
        <v>紧凑</v>
      </c>
      <c r="Q823" t="str">
        <f t="shared" si="333"/>
        <v>✓有效</v>
      </c>
      <c r="R823" t="str">
        <f t="shared" si="334"/>
        <v>正常</v>
      </c>
    </row>
    <row r="824" ht="14.25" customHeight="1" spans="1:18">
      <c r="A824" s="10">
        <v>2025092</v>
      </c>
      <c r="B824" s="12" t="s">
        <v>559</v>
      </c>
      <c r="C824">
        <f t="shared" si="320"/>
        <v>3</v>
      </c>
      <c r="D824">
        <f t="shared" si="321"/>
        <v>1</v>
      </c>
      <c r="E824">
        <f t="shared" si="322"/>
        <v>7</v>
      </c>
      <c r="F824">
        <f t="shared" si="323"/>
        <v>11</v>
      </c>
      <c r="G824">
        <f t="shared" si="324"/>
        <v>1</v>
      </c>
      <c r="H824">
        <f t="shared" si="325"/>
        <v>6</v>
      </c>
      <c r="I824">
        <f t="shared" si="326"/>
        <v>1.83</v>
      </c>
      <c r="J824">
        <f t="shared" si="327"/>
        <v>1</v>
      </c>
      <c r="K824">
        <f t="shared" si="328"/>
        <v>0.33</v>
      </c>
      <c r="L824">
        <f t="shared" si="329"/>
        <v>0.67</v>
      </c>
      <c r="M824">
        <f t="shared" si="330"/>
        <v>0</v>
      </c>
      <c r="N824">
        <f t="shared" si="331"/>
        <v>1.37</v>
      </c>
      <c r="O824" t="str">
        <f t="shared" si="335"/>
        <v>松散</v>
      </c>
      <c r="P824" t="str">
        <f t="shared" si="332"/>
        <v>极紧凑</v>
      </c>
      <c r="Q824" t="str">
        <f t="shared" si="333"/>
        <v>✓有效</v>
      </c>
      <c r="R824" t="str">
        <f t="shared" si="334"/>
        <v>正常</v>
      </c>
    </row>
    <row r="825" ht="14.25" customHeight="1" spans="1:18">
      <c r="A825" s="10">
        <v>2025093</v>
      </c>
      <c r="B825" s="12" t="s">
        <v>608</v>
      </c>
      <c r="C825">
        <f t="shared" si="320"/>
        <v>5</v>
      </c>
      <c r="D825">
        <f t="shared" si="321"/>
        <v>4</v>
      </c>
      <c r="E825">
        <f t="shared" si="322"/>
        <v>5</v>
      </c>
      <c r="F825">
        <f t="shared" si="323"/>
        <v>14</v>
      </c>
      <c r="G825">
        <f t="shared" si="324"/>
        <v>4</v>
      </c>
      <c r="H825">
        <f t="shared" si="325"/>
        <v>1</v>
      </c>
      <c r="I825">
        <f t="shared" si="326"/>
        <v>14</v>
      </c>
      <c r="J825">
        <f t="shared" si="327"/>
        <v>0.67</v>
      </c>
      <c r="K825">
        <f t="shared" si="328"/>
        <v>0.67</v>
      </c>
      <c r="L825">
        <f t="shared" si="329"/>
        <v>0.67</v>
      </c>
      <c r="M825">
        <f t="shared" si="330"/>
        <v>2</v>
      </c>
      <c r="N825">
        <f t="shared" si="331"/>
        <v>6.04</v>
      </c>
      <c r="O825" t="str">
        <f t="shared" si="335"/>
        <v>紧凑</v>
      </c>
      <c r="P825" t="str">
        <f t="shared" si="332"/>
        <v>松散</v>
      </c>
      <c r="Q825" t="str">
        <f t="shared" si="333"/>
        <v>✓有效</v>
      </c>
      <c r="R825" t="str">
        <f t="shared" si="334"/>
        <v>异常</v>
      </c>
    </row>
    <row r="826" ht="14.25" customHeight="1" spans="1:18">
      <c r="A826" s="10">
        <v>2025094</v>
      </c>
      <c r="B826" s="12" t="s">
        <v>440</v>
      </c>
      <c r="C826">
        <f t="shared" si="320"/>
        <v>6</v>
      </c>
      <c r="D826">
        <f t="shared" si="321"/>
        <v>4</v>
      </c>
      <c r="E826">
        <f t="shared" si="322"/>
        <v>9</v>
      </c>
      <c r="F826">
        <f t="shared" si="323"/>
        <v>19</v>
      </c>
      <c r="G826">
        <f t="shared" si="324"/>
        <v>9</v>
      </c>
      <c r="H826">
        <f t="shared" si="325"/>
        <v>5</v>
      </c>
      <c r="I826">
        <f t="shared" si="326"/>
        <v>3.8</v>
      </c>
      <c r="J826">
        <f t="shared" si="327"/>
        <v>0.33</v>
      </c>
      <c r="K826">
        <f t="shared" si="328"/>
        <v>0.67</v>
      </c>
      <c r="L826">
        <f t="shared" si="329"/>
        <v>0</v>
      </c>
      <c r="M826">
        <f t="shared" si="330"/>
        <v>0</v>
      </c>
      <c r="N826">
        <f t="shared" si="331"/>
        <v>2.02</v>
      </c>
      <c r="O826" t="str">
        <f t="shared" si="335"/>
        <v>紧凑</v>
      </c>
      <c r="P826" t="str">
        <f t="shared" si="332"/>
        <v>紧凑</v>
      </c>
      <c r="Q826" t="str">
        <f t="shared" si="333"/>
        <v>✓有效</v>
      </c>
      <c r="R826" t="str">
        <f t="shared" si="334"/>
        <v>正常</v>
      </c>
    </row>
    <row r="827" ht="14.25" customHeight="1" spans="1:18">
      <c r="A827" s="10">
        <v>2025095</v>
      </c>
      <c r="B827" s="12" t="s">
        <v>609</v>
      </c>
      <c r="C827">
        <f t="shared" si="320"/>
        <v>0</v>
      </c>
      <c r="D827">
        <f t="shared" si="321"/>
        <v>6</v>
      </c>
      <c r="E827">
        <f t="shared" si="322"/>
        <v>8</v>
      </c>
      <c r="F827">
        <f t="shared" si="323"/>
        <v>14</v>
      </c>
      <c r="G827">
        <f t="shared" si="324"/>
        <v>4</v>
      </c>
      <c r="H827">
        <f t="shared" si="325"/>
        <v>8</v>
      </c>
      <c r="I827">
        <f t="shared" si="326"/>
        <v>1.75</v>
      </c>
      <c r="J827">
        <f t="shared" si="327"/>
        <v>0</v>
      </c>
      <c r="K827">
        <f t="shared" si="328"/>
        <v>0.67</v>
      </c>
      <c r="L827">
        <f t="shared" si="329"/>
        <v>0</v>
      </c>
      <c r="M827">
        <f t="shared" si="330"/>
        <v>0</v>
      </c>
      <c r="N827">
        <f t="shared" si="331"/>
        <v>1.13</v>
      </c>
      <c r="O827" t="str">
        <f t="shared" si="335"/>
        <v>松散</v>
      </c>
      <c r="P827" t="str">
        <f t="shared" si="332"/>
        <v>极紧凑</v>
      </c>
      <c r="Q827" t="str">
        <f t="shared" si="333"/>
        <v>✓有效</v>
      </c>
      <c r="R827" t="str">
        <f t="shared" si="334"/>
        <v>正常</v>
      </c>
    </row>
    <row r="828" ht="14.25" customHeight="1" spans="1:18">
      <c r="A828" s="10">
        <v>2025096</v>
      </c>
      <c r="B828" s="12" t="s">
        <v>593</v>
      </c>
      <c r="C828">
        <f t="shared" si="320"/>
        <v>3</v>
      </c>
      <c r="D828">
        <f t="shared" si="321"/>
        <v>8</v>
      </c>
      <c r="E828">
        <f t="shared" si="322"/>
        <v>5</v>
      </c>
      <c r="F828">
        <f t="shared" si="323"/>
        <v>16</v>
      </c>
      <c r="G828">
        <f t="shared" si="324"/>
        <v>6</v>
      </c>
      <c r="H828">
        <f t="shared" si="325"/>
        <v>5</v>
      </c>
      <c r="I828">
        <f t="shared" si="326"/>
        <v>3.2</v>
      </c>
      <c r="J828">
        <f t="shared" si="327"/>
        <v>0.67</v>
      </c>
      <c r="K828">
        <f t="shared" si="328"/>
        <v>0.67</v>
      </c>
      <c r="L828">
        <f t="shared" si="329"/>
        <v>0.67</v>
      </c>
      <c r="M828">
        <f t="shared" si="330"/>
        <v>0</v>
      </c>
      <c r="N828">
        <f t="shared" si="331"/>
        <v>1.92</v>
      </c>
      <c r="O828" t="str">
        <f t="shared" si="335"/>
        <v>标准</v>
      </c>
      <c r="P828" t="str">
        <f t="shared" si="332"/>
        <v>紧凑</v>
      </c>
      <c r="Q828" t="str">
        <f t="shared" si="333"/>
        <v>✓有效</v>
      </c>
      <c r="R828" t="str">
        <f t="shared" si="334"/>
        <v>正常</v>
      </c>
    </row>
    <row r="829" ht="14.25" customHeight="1" spans="1:18">
      <c r="A829" s="10">
        <v>2025097</v>
      </c>
      <c r="B829" s="12" t="s">
        <v>394</v>
      </c>
      <c r="C829">
        <f t="shared" si="320"/>
        <v>5</v>
      </c>
      <c r="D829">
        <f t="shared" si="321"/>
        <v>4</v>
      </c>
      <c r="E829">
        <f t="shared" si="322"/>
        <v>2</v>
      </c>
      <c r="F829">
        <f t="shared" si="323"/>
        <v>11</v>
      </c>
      <c r="G829">
        <f t="shared" si="324"/>
        <v>1</v>
      </c>
      <c r="H829">
        <f t="shared" si="325"/>
        <v>3</v>
      </c>
      <c r="I829">
        <f t="shared" si="326"/>
        <v>3.67</v>
      </c>
      <c r="J829">
        <f t="shared" si="327"/>
        <v>0.33</v>
      </c>
      <c r="K829">
        <f t="shared" si="328"/>
        <v>0.33</v>
      </c>
      <c r="L829">
        <f t="shared" si="329"/>
        <v>0.67</v>
      </c>
      <c r="M829">
        <f t="shared" si="330"/>
        <v>1</v>
      </c>
      <c r="N829">
        <f t="shared" si="331"/>
        <v>1.87</v>
      </c>
      <c r="O829" t="str">
        <f t="shared" si="335"/>
        <v>紧凑</v>
      </c>
      <c r="P829" t="str">
        <f t="shared" si="332"/>
        <v>紧凑</v>
      </c>
      <c r="Q829" t="str">
        <f t="shared" si="333"/>
        <v>✓有效</v>
      </c>
      <c r="R829" t="str">
        <f t="shared" si="334"/>
        <v>正常</v>
      </c>
    </row>
    <row r="830" ht="14.25" customHeight="1" spans="1:18">
      <c r="A830" s="10">
        <v>2025098</v>
      </c>
      <c r="B830" s="12" t="s">
        <v>610</v>
      </c>
      <c r="C830">
        <f t="shared" si="320"/>
        <v>7</v>
      </c>
      <c r="D830">
        <f t="shared" si="321"/>
        <v>1</v>
      </c>
      <c r="E830">
        <f t="shared" si="322"/>
        <v>4</v>
      </c>
      <c r="F830">
        <f t="shared" si="323"/>
        <v>12</v>
      </c>
      <c r="G830">
        <f t="shared" si="324"/>
        <v>2</v>
      </c>
      <c r="H830">
        <f t="shared" si="325"/>
        <v>6</v>
      </c>
      <c r="I830">
        <f t="shared" si="326"/>
        <v>2</v>
      </c>
      <c r="J830">
        <f t="shared" si="327"/>
        <v>0.67</v>
      </c>
      <c r="K830">
        <f t="shared" si="328"/>
        <v>0.33</v>
      </c>
      <c r="L830">
        <f t="shared" si="329"/>
        <v>0.33</v>
      </c>
      <c r="M830">
        <f t="shared" si="330"/>
        <v>0</v>
      </c>
      <c r="N830">
        <f t="shared" si="331"/>
        <v>1.33</v>
      </c>
      <c r="O830" t="str">
        <f t="shared" si="335"/>
        <v>标准</v>
      </c>
      <c r="P830" t="str">
        <f t="shared" si="332"/>
        <v>极紧凑</v>
      </c>
      <c r="Q830" t="str">
        <f t="shared" si="333"/>
        <v>✓有效</v>
      </c>
      <c r="R830" t="str">
        <f t="shared" si="334"/>
        <v>正常</v>
      </c>
    </row>
    <row r="831" ht="14.25" customHeight="1" spans="1:18">
      <c r="A831" s="10">
        <v>2025099</v>
      </c>
      <c r="B831" s="12" t="s">
        <v>611</v>
      </c>
      <c r="C831">
        <f t="shared" si="320"/>
        <v>7</v>
      </c>
      <c r="D831">
        <f t="shared" si="321"/>
        <v>0</v>
      </c>
      <c r="E831">
        <f t="shared" si="322"/>
        <v>7</v>
      </c>
      <c r="F831">
        <f t="shared" si="323"/>
        <v>14</v>
      </c>
      <c r="G831">
        <f t="shared" si="324"/>
        <v>4</v>
      </c>
      <c r="H831">
        <f t="shared" si="325"/>
        <v>7</v>
      </c>
      <c r="I831">
        <f t="shared" si="326"/>
        <v>2</v>
      </c>
      <c r="J831">
        <f t="shared" si="327"/>
        <v>0.67</v>
      </c>
      <c r="K831">
        <f t="shared" si="328"/>
        <v>0.67</v>
      </c>
      <c r="L831">
        <f t="shared" si="329"/>
        <v>0.67</v>
      </c>
      <c r="M831">
        <f t="shared" si="330"/>
        <v>0</v>
      </c>
      <c r="N831">
        <f t="shared" si="331"/>
        <v>1.44</v>
      </c>
      <c r="O831" t="str">
        <f t="shared" si="335"/>
        <v>标准</v>
      </c>
      <c r="P831" t="str">
        <f t="shared" si="332"/>
        <v>极紧凑</v>
      </c>
      <c r="Q831" t="str">
        <f t="shared" si="333"/>
        <v>✓有效</v>
      </c>
      <c r="R831" t="str">
        <f t="shared" si="334"/>
        <v>正常</v>
      </c>
    </row>
    <row r="832" ht="14.25" customHeight="1" spans="1:18">
      <c r="A832" s="10">
        <v>2025100</v>
      </c>
      <c r="B832" s="12" t="s">
        <v>368</v>
      </c>
      <c r="C832">
        <f t="shared" si="320"/>
        <v>9</v>
      </c>
      <c r="D832">
        <f t="shared" si="321"/>
        <v>5</v>
      </c>
      <c r="E832">
        <f t="shared" si="322"/>
        <v>3</v>
      </c>
      <c r="F832">
        <f t="shared" si="323"/>
        <v>17</v>
      </c>
      <c r="G832">
        <f t="shared" si="324"/>
        <v>7</v>
      </c>
      <c r="H832">
        <f t="shared" si="325"/>
        <v>6</v>
      </c>
      <c r="I832">
        <f t="shared" si="326"/>
        <v>2.83</v>
      </c>
      <c r="J832">
        <f t="shared" si="327"/>
        <v>1</v>
      </c>
      <c r="K832">
        <f t="shared" si="328"/>
        <v>0.67</v>
      </c>
      <c r="L832">
        <f t="shared" si="329"/>
        <v>0.67</v>
      </c>
      <c r="M832">
        <f t="shared" si="330"/>
        <v>0</v>
      </c>
      <c r="N832">
        <f t="shared" si="331"/>
        <v>1.83</v>
      </c>
      <c r="O832" t="str">
        <f t="shared" si="335"/>
        <v>标准</v>
      </c>
      <c r="P832" t="str">
        <f t="shared" si="332"/>
        <v>紧凑</v>
      </c>
      <c r="Q832" t="str">
        <f t="shared" si="333"/>
        <v>✓有效</v>
      </c>
      <c r="R832" t="str">
        <f t="shared" si="334"/>
        <v>正常</v>
      </c>
    </row>
    <row r="833" ht="14.25" customHeight="1" spans="1:18">
      <c r="A833" s="10">
        <v>2025101</v>
      </c>
      <c r="B833" s="12" t="s">
        <v>612</v>
      </c>
      <c r="C833">
        <f t="shared" si="320"/>
        <v>0</v>
      </c>
      <c r="D833">
        <f t="shared" si="321"/>
        <v>1</v>
      </c>
      <c r="E833">
        <f t="shared" si="322"/>
        <v>6</v>
      </c>
      <c r="F833">
        <f t="shared" si="323"/>
        <v>7</v>
      </c>
      <c r="G833">
        <f t="shared" si="324"/>
        <v>7</v>
      </c>
      <c r="H833">
        <f t="shared" si="325"/>
        <v>6</v>
      </c>
      <c r="I833">
        <f t="shared" si="326"/>
        <v>1.17</v>
      </c>
      <c r="J833">
        <f t="shared" si="327"/>
        <v>0.33</v>
      </c>
      <c r="K833">
        <f t="shared" si="328"/>
        <v>0.33</v>
      </c>
      <c r="L833">
        <f t="shared" si="329"/>
        <v>0</v>
      </c>
      <c r="M833">
        <f t="shared" si="330"/>
        <v>1</v>
      </c>
      <c r="N833">
        <f t="shared" si="331"/>
        <v>0.8</v>
      </c>
      <c r="O833" t="str">
        <f t="shared" si="335"/>
        <v>松散</v>
      </c>
      <c r="P833" t="str">
        <f t="shared" si="332"/>
        <v>极紧凑</v>
      </c>
      <c r="Q833" t="str">
        <f t="shared" si="333"/>
        <v>✓有效</v>
      </c>
      <c r="R833" t="str">
        <f t="shared" si="334"/>
        <v>正常</v>
      </c>
    </row>
    <row r="834" ht="14.25" customHeight="1" spans="1:18">
      <c r="A834" s="10">
        <v>2025102</v>
      </c>
      <c r="B834" s="12" t="s">
        <v>341</v>
      </c>
      <c r="C834">
        <f t="shared" si="320"/>
        <v>1</v>
      </c>
      <c r="D834">
        <f t="shared" si="321"/>
        <v>6</v>
      </c>
      <c r="E834">
        <f t="shared" si="322"/>
        <v>1</v>
      </c>
      <c r="F834">
        <f t="shared" si="323"/>
        <v>8</v>
      </c>
      <c r="G834">
        <f t="shared" si="324"/>
        <v>8</v>
      </c>
      <c r="H834">
        <f t="shared" si="325"/>
        <v>5</v>
      </c>
      <c r="I834">
        <f t="shared" si="326"/>
        <v>1.6</v>
      </c>
      <c r="J834">
        <f t="shared" si="327"/>
        <v>0.67</v>
      </c>
      <c r="K834">
        <f t="shared" si="328"/>
        <v>0.33</v>
      </c>
      <c r="L834">
        <f t="shared" si="329"/>
        <v>0</v>
      </c>
      <c r="M834">
        <f t="shared" si="330"/>
        <v>0</v>
      </c>
      <c r="N834">
        <f t="shared" si="331"/>
        <v>1.14</v>
      </c>
      <c r="O834" t="str">
        <f t="shared" si="335"/>
        <v>松散</v>
      </c>
      <c r="P834" t="str">
        <f t="shared" si="332"/>
        <v>极紧凑</v>
      </c>
      <c r="Q834" t="str">
        <f t="shared" si="333"/>
        <v>✓有效</v>
      </c>
      <c r="R834" t="str">
        <f t="shared" si="334"/>
        <v>正常</v>
      </c>
    </row>
    <row r="835" ht="14.25" customHeight="1" spans="1:18">
      <c r="A835" s="10">
        <v>2025103</v>
      </c>
      <c r="B835" s="12" t="s">
        <v>613</v>
      </c>
      <c r="C835">
        <f t="shared" si="320"/>
        <v>3</v>
      </c>
      <c r="D835">
        <f t="shared" si="321"/>
        <v>7</v>
      </c>
      <c r="E835">
        <f t="shared" si="322"/>
        <v>0</v>
      </c>
      <c r="F835">
        <f t="shared" si="323"/>
        <v>10</v>
      </c>
      <c r="G835">
        <f t="shared" si="324"/>
        <v>0</v>
      </c>
      <c r="H835">
        <f t="shared" si="325"/>
        <v>7</v>
      </c>
      <c r="I835">
        <f t="shared" si="326"/>
        <v>1.43</v>
      </c>
      <c r="J835">
        <f t="shared" si="327"/>
        <v>0.67</v>
      </c>
      <c r="K835">
        <f t="shared" si="328"/>
        <v>0.33</v>
      </c>
      <c r="L835">
        <f t="shared" si="329"/>
        <v>0.67</v>
      </c>
      <c r="M835">
        <f t="shared" si="330"/>
        <v>0</v>
      </c>
      <c r="N835">
        <f t="shared" si="331"/>
        <v>1.14</v>
      </c>
      <c r="O835" t="str">
        <f t="shared" si="335"/>
        <v>松散</v>
      </c>
      <c r="P835" t="str">
        <f t="shared" si="332"/>
        <v>极紧凑</v>
      </c>
      <c r="Q835" t="str">
        <f t="shared" si="333"/>
        <v>✓有效</v>
      </c>
      <c r="R835" t="str">
        <f t="shared" si="334"/>
        <v>正常</v>
      </c>
    </row>
    <row r="836" ht="14.25" customHeight="1" spans="1:18">
      <c r="A836" s="10">
        <v>2025104</v>
      </c>
      <c r="B836" s="12" t="s">
        <v>614</v>
      </c>
      <c r="C836">
        <f t="shared" si="320"/>
        <v>8</v>
      </c>
      <c r="D836">
        <f t="shared" si="321"/>
        <v>7</v>
      </c>
      <c r="E836">
        <f t="shared" si="322"/>
        <v>7</v>
      </c>
      <c r="F836">
        <f t="shared" si="323"/>
        <v>22</v>
      </c>
      <c r="G836">
        <f t="shared" si="324"/>
        <v>2</v>
      </c>
      <c r="H836">
        <f t="shared" si="325"/>
        <v>1</v>
      </c>
      <c r="I836">
        <f t="shared" si="326"/>
        <v>22</v>
      </c>
      <c r="J836">
        <f t="shared" si="327"/>
        <v>0.67</v>
      </c>
      <c r="K836">
        <f t="shared" si="328"/>
        <v>1</v>
      </c>
      <c r="L836">
        <f t="shared" si="329"/>
        <v>0.67</v>
      </c>
      <c r="M836">
        <f t="shared" si="330"/>
        <v>2</v>
      </c>
      <c r="N836">
        <f t="shared" si="331"/>
        <v>9.3</v>
      </c>
      <c r="O836" t="str">
        <f t="shared" si="335"/>
        <v>紧凑</v>
      </c>
      <c r="P836" t="str">
        <f t="shared" si="332"/>
        <v>松散</v>
      </c>
      <c r="Q836" t="str">
        <f t="shared" si="333"/>
        <v>✓有效</v>
      </c>
      <c r="R836" t="str">
        <f t="shared" si="334"/>
        <v>异常</v>
      </c>
    </row>
    <row r="837" ht="14.25" customHeight="1" spans="1:18">
      <c r="A837" s="10">
        <v>2025105</v>
      </c>
      <c r="B837" s="12" t="s">
        <v>615</v>
      </c>
      <c r="C837">
        <f t="shared" si="320"/>
        <v>0</v>
      </c>
      <c r="D837">
        <f t="shared" si="321"/>
        <v>1</v>
      </c>
      <c r="E837">
        <f t="shared" si="322"/>
        <v>5</v>
      </c>
      <c r="F837">
        <f t="shared" si="323"/>
        <v>6</v>
      </c>
      <c r="G837">
        <f t="shared" si="324"/>
        <v>6</v>
      </c>
      <c r="H837">
        <f t="shared" si="325"/>
        <v>5</v>
      </c>
      <c r="I837">
        <f t="shared" si="326"/>
        <v>1.2</v>
      </c>
      <c r="J837">
        <f t="shared" si="327"/>
        <v>0.67</v>
      </c>
      <c r="K837">
        <f t="shared" si="328"/>
        <v>0.33</v>
      </c>
      <c r="L837">
        <f t="shared" si="329"/>
        <v>0.33</v>
      </c>
      <c r="M837">
        <f t="shared" si="330"/>
        <v>1</v>
      </c>
      <c r="N837">
        <f t="shared" si="331"/>
        <v>0.91</v>
      </c>
      <c r="O837" t="str">
        <f t="shared" si="335"/>
        <v>松散</v>
      </c>
      <c r="P837" t="str">
        <f t="shared" si="332"/>
        <v>极紧凑</v>
      </c>
      <c r="Q837" t="str">
        <f t="shared" si="333"/>
        <v>✓有效</v>
      </c>
      <c r="R837" t="str">
        <f t="shared" si="334"/>
        <v>正常</v>
      </c>
    </row>
    <row r="838" ht="14.25" customHeight="1" spans="1:18">
      <c r="A838" s="10">
        <v>2025106</v>
      </c>
      <c r="B838" s="12" t="s">
        <v>112</v>
      </c>
      <c r="C838">
        <f t="shared" si="320"/>
        <v>7</v>
      </c>
      <c r="D838">
        <f t="shared" si="321"/>
        <v>5</v>
      </c>
      <c r="E838">
        <f t="shared" si="322"/>
        <v>2</v>
      </c>
      <c r="F838">
        <f t="shared" si="323"/>
        <v>14</v>
      </c>
      <c r="G838">
        <f t="shared" si="324"/>
        <v>4</v>
      </c>
      <c r="H838">
        <f t="shared" si="325"/>
        <v>5</v>
      </c>
      <c r="I838">
        <f t="shared" si="326"/>
        <v>2.8</v>
      </c>
      <c r="J838">
        <f t="shared" si="327"/>
        <v>0.67</v>
      </c>
      <c r="K838">
        <f t="shared" si="328"/>
        <v>0.67</v>
      </c>
      <c r="L838">
        <f t="shared" si="329"/>
        <v>1</v>
      </c>
      <c r="M838">
        <f t="shared" si="330"/>
        <v>0</v>
      </c>
      <c r="N838">
        <f t="shared" si="331"/>
        <v>1.79</v>
      </c>
      <c r="O838" t="str">
        <f t="shared" si="335"/>
        <v>标准</v>
      </c>
      <c r="P838" t="str">
        <f t="shared" si="332"/>
        <v>紧凑</v>
      </c>
      <c r="Q838" t="str">
        <f t="shared" si="333"/>
        <v>✓有效</v>
      </c>
      <c r="R838" t="str">
        <f t="shared" si="334"/>
        <v>正常</v>
      </c>
    </row>
    <row r="839" ht="14.25" customHeight="1" spans="1:18">
      <c r="A839" s="10">
        <v>2025107</v>
      </c>
      <c r="B839" s="12" t="s">
        <v>573</v>
      </c>
      <c r="C839">
        <f t="shared" si="320"/>
        <v>0</v>
      </c>
      <c r="D839">
        <f t="shared" si="321"/>
        <v>2</v>
      </c>
      <c r="E839">
        <f t="shared" si="322"/>
        <v>7</v>
      </c>
      <c r="F839">
        <f t="shared" si="323"/>
        <v>9</v>
      </c>
      <c r="G839">
        <f t="shared" si="324"/>
        <v>9</v>
      </c>
      <c r="H839">
        <f t="shared" si="325"/>
        <v>7</v>
      </c>
      <c r="I839">
        <f t="shared" si="326"/>
        <v>1.29</v>
      </c>
      <c r="J839">
        <f t="shared" si="327"/>
        <v>0.33</v>
      </c>
      <c r="K839">
        <f t="shared" si="328"/>
        <v>0.33</v>
      </c>
      <c r="L839">
        <f t="shared" si="329"/>
        <v>0.67</v>
      </c>
      <c r="M839">
        <f t="shared" si="330"/>
        <v>0</v>
      </c>
      <c r="N839">
        <f t="shared" si="331"/>
        <v>1.02</v>
      </c>
      <c r="O839" t="str">
        <f t="shared" si="335"/>
        <v>松散</v>
      </c>
      <c r="P839" t="str">
        <f t="shared" si="332"/>
        <v>极紧凑</v>
      </c>
      <c r="Q839" t="str">
        <f t="shared" si="333"/>
        <v>✓有效</v>
      </c>
      <c r="R839" t="str">
        <f t="shared" si="334"/>
        <v>正常</v>
      </c>
    </row>
    <row r="840" ht="14.25" customHeight="1" spans="1:18">
      <c r="A840" s="10">
        <v>2025108</v>
      </c>
      <c r="B840" s="12" t="s">
        <v>616</v>
      </c>
      <c r="C840">
        <f t="shared" si="320"/>
        <v>4</v>
      </c>
      <c r="D840">
        <f t="shared" si="321"/>
        <v>0</v>
      </c>
      <c r="E840">
        <f t="shared" si="322"/>
        <v>7</v>
      </c>
      <c r="F840">
        <f t="shared" si="323"/>
        <v>11</v>
      </c>
      <c r="G840">
        <f t="shared" si="324"/>
        <v>1</v>
      </c>
      <c r="H840">
        <f t="shared" si="325"/>
        <v>7</v>
      </c>
      <c r="I840">
        <f t="shared" si="326"/>
        <v>1.57</v>
      </c>
      <c r="J840">
        <f t="shared" si="327"/>
        <v>0.33</v>
      </c>
      <c r="K840">
        <f t="shared" si="328"/>
        <v>0.33</v>
      </c>
      <c r="L840">
        <f t="shared" si="329"/>
        <v>0.33</v>
      </c>
      <c r="M840">
        <f t="shared" si="330"/>
        <v>0</v>
      </c>
      <c r="N840">
        <f t="shared" si="331"/>
        <v>1.09</v>
      </c>
      <c r="O840" t="str">
        <f t="shared" si="335"/>
        <v>松散</v>
      </c>
      <c r="P840" t="str">
        <f t="shared" si="332"/>
        <v>极紧凑</v>
      </c>
      <c r="Q840" t="str">
        <f t="shared" si="333"/>
        <v>✓有效</v>
      </c>
      <c r="R840" t="str">
        <f t="shared" si="334"/>
        <v>正常</v>
      </c>
    </row>
    <row r="841" ht="14.25" customHeight="1" spans="1:18">
      <c r="A841" s="10">
        <v>2025109</v>
      </c>
      <c r="B841" s="12" t="s">
        <v>63</v>
      </c>
      <c r="C841">
        <f t="shared" si="320"/>
        <v>8</v>
      </c>
      <c r="D841">
        <f t="shared" si="321"/>
        <v>4</v>
      </c>
      <c r="E841">
        <f t="shared" si="322"/>
        <v>1</v>
      </c>
      <c r="F841">
        <f t="shared" si="323"/>
        <v>13</v>
      </c>
      <c r="G841">
        <f t="shared" si="324"/>
        <v>3</v>
      </c>
      <c r="H841">
        <f t="shared" si="325"/>
        <v>7</v>
      </c>
      <c r="I841">
        <f t="shared" si="326"/>
        <v>1.86</v>
      </c>
      <c r="J841">
        <f t="shared" si="327"/>
        <v>0.33</v>
      </c>
      <c r="K841">
        <f t="shared" si="328"/>
        <v>0.33</v>
      </c>
      <c r="L841">
        <f t="shared" si="329"/>
        <v>0</v>
      </c>
      <c r="M841">
        <f t="shared" si="330"/>
        <v>0</v>
      </c>
      <c r="N841">
        <f t="shared" si="331"/>
        <v>1.18</v>
      </c>
      <c r="O841" t="str">
        <f t="shared" si="335"/>
        <v>松散</v>
      </c>
      <c r="P841" t="str">
        <f t="shared" si="332"/>
        <v>极紧凑</v>
      </c>
      <c r="Q841" t="str">
        <f t="shared" si="333"/>
        <v>✓有效</v>
      </c>
      <c r="R841" t="str">
        <f t="shared" si="334"/>
        <v>正常</v>
      </c>
    </row>
    <row r="842" ht="14.25" customHeight="1" spans="1:18">
      <c r="A842" s="10">
        <v>2025110</v>
      </c>
      <c r="B842" s="12" t="s">
        <v>617</v>
      </c>
      <c r="C842">
        <f t="shared" si="320"/>
        <v>9</v>
      </c>
      <c r="D842">
        <f t="shared" si="321"/>
        <v>1</v>
      </c>
      <c r="E842">
        <f t="shared" si="322"/>
        <v>4</v>
      </c>
      <c r="F842">
        <f t="shared" si="323"/>
        <v>14</v>
      </c>
      <c r="G842">
        <f t="shared" si="324"/>
        <v>4</v>
      </c>
      <c r="H842">
        <f t="shared" si="325"/>
        <v>8</v>
      </c>
      <c r="I842">
        <f t="shared" si="326"/>
        <v>1.75</v>
      </c>
      <c r="J842">
        <f t="shared" si="327"/>
        <v>0.67</v>
      </c>
      <c r="K842">
        <f t="shared" si="328"/>
        <v>0.33</v>
      </c>
      <c r="L842">
        <f t="shared" si="329"/>
        <v>0</v>
      </c>
      <c r="M842">
        <f t="shared" si="330"/>
        <v>0</v>
      </c>
      <c r="N842">
        <f t="shared" si="331"/>
        <v>1.2</v>
      </c>
      <c r="O842" t="str">
        <f t="shared" si="335"/>
        <v>松散</v>
      </c>
      <c r="P842" t="str">
        <f t="shared" si="332"/>
        <v>极紧凑</v>
      </c>
      <c r="Q842" t="str">
        <f t="shared" si="333"/>
        <v>✓有效</v>
      </c>
      <c r="R842" t="str">
        <f t="shared" si="334"/>
        <v>正常</v>
      </c>
    </row>
    <row r="843" ht="14.25" customHeight="1" spans="1:18">
      <c r="A843" s="10">
        <v>2025111</v>
      </c>
      <c r="B843" s="12" t="s">
        <v>618</v>
      </c>
      <c r="C843">
        <f t="shared" si="320"/>
        <v>2</v>
      </c>
      <c r="D843">
        <f t="shared" si="321"/>
        <v>7</v>
      </c>
      <c r="E843">
        <f t="shared" si="322"/>
        <v>0</v>
      </c>
      <c r="F843">
        <f t="shared" si="323"/>
        <v>9</v>
      </c>
      <c r="G843">
        <f t="shared" si="324"/>
        <v>9</v>
      </c>
      <c r="H843">
        <f t="shared" si="325"/>
        <v>7</v>
      </c>
      <c r="I843">
        <f t="shared" si="326"/>
        <v>1.29</v>
      </c>
      <c r="J843">
        <f t="shared" si="327"/>
        <v>0.33</v>
      </c>
      <c r="K843">
        <f t="shared" si="328"/>
        <v>0.33</v>
      </c>
      <c r="L843">
        <f t="shared" si="329"/>
        <v>0.67</v>
      </c>
      <c r="M843">
        <f t="shared" si="330"/>
        <v>0</v>
      </c>
      <c r="N843">
        <f t="shared" si="331"/>
        <v>1.02</v>
      </c>
      <c r="O843" t="str">
        <f t="shared" si="335"/>
        <v>松散</v>
      </c>
      <c r="P843" t="str">
        <f t="shared" si="332"/>
        <v>极紧凑</v>
      </c>
      <c r="Q843" t="str">
        <f t="shared" si="333"/>
        <v>✓有效</v>
      </c>
      <c r="R843" t="str">
        <f t="shared" si="334"/>
        <v>正常</v>
      </c>
    </row>
    <row r="844" ht="14.25" customHeight="1" spans="1:18">
      <c r="A844" s="10">
        <v>2025112</v>
      </c>
      <c r="B844" s="12" t="s">
        <v>35</v>
      </c>
      <c r="C844">
        <f t="shared" si="320"/>
        <v>9</v>
      </c>
      <c r="D844">
        <f t="shared" si="321"/>
        <v>5</v>
      </c>
      <c r="E844">
        <f t="shared" si="322"/>
        <v>4</v>
      </c>
      <c r="F844">
        <f t="shared" si="323"/>
        <v>18</v>
      </c>
      <c r="G844">
        <f t="shared" si="324"/>
        <v>8</v>
      </c>
      <c r="H844">
        <f t="shared" si="325"/>
        <v>5</v>
      </c>
      <c r="I844">
        <f t="shared" si="326"/>
        <v>3.6</v>
      </c>
      <c r="J844">
        <f t="shared" si="327"/>
        <v>0.67</v>
      </c>
      <c r="K844">
        <f t="shared" si="328"/>
        <v>0.67</v>
      </c>
      <c r="L844">
        <f t="shared" si="329"/>
        <v>0.33</v>
      </c>
      <c r="M844">
        <f t="shared" si="330"/>
        <v>1</v>
      </c>
      <c r="N844">
        <f t="shared" si="331"/>
        <v>1.94</v>
      </c>
      <c r="O844" t="str">
        <f t="shared" si="335"/>
        <v>紧凑</v>
      </c>
      <c r="P844" t="str">
        <f t="shared" si="332"/>
        <v>紧凑</v>
      </c>
      <c r="Q844" t="str">
        <f t="shared" si="333"/>
        <v>✓有效</v>
      </c>
      <c r="R844" t="str">
        <f t="shared" si="334"/>
        <v>正常</v>
      </c>
    </row>
    <row r="845" ht="14.25" customHeight="1" spans="1:18">
      <c r="A845" s="10">
        <v>2025113</v>
      </c>
      <c r="B845" s="12" t="s">
        <v>619</v>
      </c>
      <c r="C845">
        <f t="shared" si="320"/>
        <v>6</v>
      </c>
      <c r="D845">
        <f t="shared" si="321"/>
        <v>3</v>
      </c>
      <c r="E845">
        <f t="shared" si="322"/>
        <v>5</v>
      </c>
      <c r="F845">
        <f t="shared" si="323"/>
        <v>14</v>
      </c>
      <c r="G845">
        <f t="shared" si="324"/>
        <v>4</v>
      </c>
      <c r="H845">
        <f t="shared" si="325"/>
        <v>3</v>
      </c>
      <c r="I845">
        <f t="shared" si="326"/>
        <v>4.67</v>
      </c>
      <c r="J845">
        <f t="shared" si="327"/>
        <v>0.67</v>
      </c>
      <c r="K845">
        <f t="shared" si="328"/>
        <v>0.67</v>
      </c>
      <c r="L845">
        <f t="shared" si="329"/>
        <v>0.67</v>
      </c>
      <c r="M845">
        <f t="shared" si="330"/>
        <v>1</v>
      </c>
      <c r="N845">
        <f t="shared" si="331"/>
        <v>2.4</v>
      </c>
      <c r="O845" t="str">
        <f t="shared" si="335"/>
        <v>紧凑</v>
      </c>
      <c r="P845" t="str">
        <f t="shared" si="332"/>
        <v>紧凑</v>
      </c>
      <c r="Q845" t="str">
        <f t="shared" si="333"/>
        <v>✓有效</v>
      </c>
      <c r="R845" t="str">
        <f t="shared" si="334"/>
        <v>正常</v>
      </c>
    </row>
    <row r="846" ht="14.25" customHeight="1" spans="1:18">
      <c r="A846" s="10">
        <v>2025114</v>
      </c>
      <c r="B846" s="12" t="s">
        <v>336</v>
      </c>
      <c r="C846">
        <f t="shared" si="320"/>
        <v>3</v>
      </c>
      <c r="D846">
        <f t="shared" si="321"/>
        <v>7</v>
      </c>
      <c r="E846">
        <f t="shared" si="322"/>
        <v>5</v>
      </c>
      <c r="F846">
        <f t="shared" si="323"/>
        <v>15</v>
      </c>
      <c r="G846">
        <f t="shared" si="324"/>
        <v>5</v>
      </c>
      <c r="H846">
        <f t="shared" si="325"/>
        <v>4</v>
      </c>
      <c r="I846">
        <f t="shared" si="326"/>
        <v>3.75</v>
      </c>
      <c r="J846">
        <f t="shared" si="327"/>
        <v>1</v>
      </c>
      <c r="K846">
        <f t="shared" si="328"/>
        <v>0.67</v>
      </c>
      <c r="L846">
        <f t="shared" si="329"/>
        <v>1</v>
      </c>
      <c r="M846">
        <f t="shared" si="330"/>
        <v>0</v>
      </c>
      <c r="N846">
        <f t="shared" si="331"/>
        <v>2.23</v>
      </c>
      <c r="O846" t="str">
        <f t="shared" si="335"/>
        <v>紧凑</v>
      </c>
      <c r="P846" t="str">
        <f t="shared" si="332"/>
        <v>紧凑</v>
      </c>
      <c r="Q846" t="str">
        <f t="shared" si="333"/>
        <v>✓有效</v>
      </c>
      <c r="R846" t="str">
        <f t="shared" si="334"/>
        <v>正常</v>
      </c>
    </row>
    <row r="847" ht="14.25" customHeight="1" spans="1:18">
      <c r="A847" s="10">
        <v>2025115</v>
      </c>
      <c r="B847" s="12" t="s">
        <v>94</v>
      </c>
      <c r="C847">
        <f t="shared" si="320"/>
        <v>2</v>
      </c>
      <c r="D847">
        <f t="shared" si="321"/>
        <v>0</v>
      </c>
      <c r="E847">
        <f t="shared" si="322"/>
        <v>6</v>
      </c>
      <c r="F847">
        <f t="shared" si="323"/>
        <v>8</v>
      </c>
      <c r="G847">
        <f t="shared" si="324"/>
        <v>8</v>
      </c>
      <c r="H847">
        <f t="shared" si="325"/>
        <v>6</v>
      </c>
      <c r="I847">
        <f t="shared" si="326"/>
        <v>1.33</v>
      </c>
      <c r="J847">
        <f t="shared" si="327"/>
        <v>0</v>
      </c>
      <c r="K847">
        <f t="shared" si="328"/>
        <v>0.33</v>
      </c>
      <c r="L847">
        <f t="shared" si="329"/>
        <v>0.33</v>
      </c>
      <c r="M847">
        <f t="shared" si="330"/>
        <v>0</v>
      </c>
      <c r="N847">
        <f t="shared" si="331"/>
        <v>0.93</v>
      </c>
      <c r="O847" t="str">
        <f t="shared" si="335"/>
        <v>松散</v>
      </c>
      <c r="P847" t="str">
        <f t="shared" si="332"/>
        <v>极紧凑</v>
      </c>
      <c r="Q847" t="str">
        <f t="shared" si="333"/>
        <v>✓有效</v>
      </c>
      <c r="R847" t="str">
        <f t="shared" si="334"/>
        <v>正常</v>
      </c>
    </row>
    <row r="848" ht="14.25" customHeight="1" spans="1:18">
      <c r="A848" s="10">
        <v>2025116</v>
      </c>
      <c r="B848" s="12" t="s">
        <v>620</v>
      </c>
      <c r="C848">
        <f t="shared" si="320"/>
        <v>3</v>
      </c>
      <c r="D848">
        <f t="shared" si="321"/>
        <v>2</v>
      </c>
      <c r="E848">
        <f t="shared" si="322"/>
        <v>0</v>
      </c>
      <c r="F848">
        <f t="shared" si="323"/>
        <v>5</v>
      </c>
      <c r="G848">
        <f t="shared" si="324"/>
        <v>5</v>
      </c>
      <c r="H848">
        <f t="shared" si="325"/>
        <v>3</v>
      </c>
      <c r="I848">
        <f t="shared" si="326"/>
        <v>1.67</v>
      </c>
      <c r="J848">
        <f t="shared" si="327"/>
        <v>0.33</v>
      </c>
      <c r="K848">
        <f t="shared" si="328"/>
        <v>0</v>
      </c>
      <c r="L848">
        <f t="shared" si="329"/>
        <v>0.67</v>
      </c>
      <c r="M848">
        <f t="shared" si="330"/>
        <v>1</v>
      </c>
      <c r="N848">
        <f t="shared" si="331"/>
        <v>1</v>
      </c>
      <c r="O848" t="str">
        <f t="shared" si="335"/>
        <v>松散</v>
      </c>
      <c r="P848" t="str">
        <f t="shared" si="332"/>
        <v>极紧凑</v>
      </c>
      <c r="Q848" t="str">
        <f t="shared" si="333"/>
        <v>✓有效</v>
      </c>
      <c r="R848" t="str">
        <f t="shared" si="334"/>
        <v>正常</v>
      </c>
    </row>
    <row r="849" ht="14.25" customHeight="1" spans="1:18">
      <c r="A849" s="10">
        <v>2025117</v>
      </c>
      <c r="B849" s="12" t="s">
        <v>374</v>
      </c>
      <c r="C849">
        <f t="shared" si="320"/>
        <v>8</v>
      </c>
      <c r="D849">
        <f t="shared" si="321"/>
        <v>4</v>
      </c>
      <c r="E849">
        <f t="shared" si="322"/>
        <v>9</v>
      </c>
      <c r="F849">
        <f t="shared" si="323"/>
        <v>21</v>
      </c>
      <c r="G849">
        <f t="shared" si="324"/>
        <v>1</v>
      </c>
      <c r="H849">
        <f t="shared" si="325"/>
        <v>5</v>
      </c>
      <c r="I849">
        <f t="shared" si="326"/>
        <v>4.2</v>
      </c>
      <c r="J849">
        <f t="shared" si="327"/>
        <v>0.33</v>
      </c>
      <c r="K849">
        <f t="shared" si="328"/>
        <v>0.67</v>
      </c>
      <c r="L849">
        <f t="shared" si="329"/>
        <v>0</v>
      </c>
      <c r="M849">
        <f t="shared" si="330"/>
        <v>1</v>
      </c>
      <c r="N849">
        <f t="shared" si="331"/>
        <v>2.08</v>
      </c>
      <c r="O849" t="str">
        <f t="shared" si="335"/>
        <v>紧凑</v>
      </c>
      <c r="P849" t="str">
        <f t="shared" si="332"/>
        <v>紧凑</v>
      </c>
      <c r="Q849" t="str">
        <f t="shared" si="333"/>
        <v>✓有效</v>
      </c>
      <c r="R849" t="str">
        <f t="shared" si="334"/>
        <v>正常</v>
      </c>
    </row>
    <row r="850" ht="14.25" customHeight="1" spans="1:18">
      <c r="A850" s="10">
        <v>2025118</v>
      </c>
      <c r="B850" s="12" t="s">
        <v>529</v>
      </c>
      <c r="C850">
        <f t="shared" si="320"/>
        <v>6</v>
      </c>
      <c r="D850">
        <f t="shared" si="321"/>
        <v>2</v>
      </c>
      <c r="E850">
        <f t="shared" si="322"/>
        <v>1</v>
      </c>
      <c r="F850">
        <f t="shared" si="323"/>
        <v>9</v>
      </c>
      <c r="G850">
        <f t="shared" si="324"/>
        <v>9</v>
      </c>
      <c r="H850">
        <f t="shared" si="325"/>
        <v>5</v>
      </c>
      <c r="I850">
        <f t="shared" si="326"/>
        <v>1.8</v>
      </c>
      <c r="J850">
        <f t="shared" si="327"/>
        <v>0.33</v>
      </c>
      <c r="K850">
        <f t="shared" si="328"/>
        <v>0.33</v>
      </c>
      <c r="L850">
        <f t="shared" si="329"/>
        <v>0.33</v>
      </c>
      <c r="M850">
        <f t="shared" si="330"/>
        <v>1</v>
      </c>
      <c r="N850">
        <f t="shared" si="331"/>
        <v>1.09</v>
      </c>
      <c r="O850" t="str">
        <f t="shared" si="335"/>
        <v>松散</v>
      </c>
      <c r="P850" t="str">
        <f t="shared" si="332"/>
        <v>极紧凑</v>
      </c>
      <c r="Q850" t="str">
        <f t="shared" si="333"/>
        <v>✓有效</v>
      </c>
      <c r="R850" t="str">
        <f t="shared" si="334"/>
        <v>正常</v>
      </c>
    </row>
    <row r="851" ht="14.25" customHeight="1" spans="1:18">
      <c r="A851" s="10">
        <v>2025119</v>
      </c>
      <c r="B851" s="12" t="s">
        <v>383</v>
      </c>
      <c r="C851">
        <f t="shared" si="320"/>
        <v>3</v>
      </c>
      <c r="D851">
        <f t="shared" si="321"/>
        <v>1</v>
      </c>
      <c r="E851">
        <f t="shared" si="322"/>
        <v>5</v>
      </c>
      <c r="F851">
        <f t="shared" si="323"/>
        <v>9</v>
      </c>
      <c r="G851">
        <f t="shared" si="324"/>
        <v>9</v>
      </c>
      <c r="H851">
        <f t="shared" si="325"/>
        <v>4</v>
      </c>
      <c r="I851">
        <f t="shared" si="326"/>
        <v>2.25</v>
      </c>
      <c r="J851">
        <f t="shared" si="327"/>
        <v>1</v>
      </c>
      <c r="K851">
        <f t="shared" si="328"/>
        <v>0.33</v>
      </c>
      <c r="L851">
        <f t="shared" si="329"/>
        <v>0.67</v>
      </c>
      <c r="M851">
        <f t="shared" si="330"/>
        <v>0</v>
      </c>
      <c r="N851">
        <f t="shared" si="331"/>
        <v>1.53</v>
      </c>
      <c r="O851" t="str">
        <f t="shared" si="335"/>
        <v>标准</v>
      </c>
      <c r="P851" t="str">
        <f t="shared" si="332"/>
        <v>紧凑</v>
      </c>
      <c r="Q851" t="str">
        <f t="shared" si="333"/>
        <v>✓有效</v>
      </c>
      <c r="R851" t="str">
        <f t="shared" si="334"/>
        <v>正常</v>
      </c>
    </row>
    <row r="852" ht="14.25" customHeight="1" spans="1:18">
      <c r="A852" s="10">
        <v>2025120</v>
      </c>
      <c r="B852" s="12" t="s">
        <v>584</v>
      </c>
      <c r="C852">
        <f t="shared" si="320"/>
        <v>9</v>
      </c>
      <c r="D852">
        <f t="shared" si="321"/>
        <v>1</v>
      </c>
      <c r="E852">
        <f t="shared" si="322"/>
        <v>2</v>
      </c>
      <c r="F852">
        <f t="shared" si="323"/>
        <v>12</v>
      </c>
      <c r="G852">
        <f t="shared" si="324"/>
        <v>2</v>
      </c>
      <c r="H852">
        <f t="shared" si="325"/>
        <v>8</v>
      </c>
      <c r="I852">
        <f t="shared" si="326"/>
        <v>1.5</v>
      </c>
      <c r="J852">
        <f t="shared" si="327"/>
        <v>0.67</v>
      </c>
      <c r="K852">
        <f t="shared" si="328"/>
        <v>0.33</v>
      </c>
      <c r="L852">
        <f t="shared" si="329"/>
        <v>0.33</v>
      </c>
      <c r="M852">
        <f t="shared" si="330"/>
        <v>1</v>
      </c>
      <c r="N852">
        <f t="shared" si="331"/>
        <v>1.03</v>
      </c>
      <c r="O852" t="str">
        <f t="shared" si="335"/>
        <v>松散</v>
      </c>
      <c r="P852" t="str">
        <f t="shared" si="332"/>
        <v>极紧凑</v>
      </c>
      <c r="Q852" t="str">
        <f t="shared" si="333"/>
        <v>✓有效</v>
      </c>
      <c r="R852" t="str">
        <f t="shared" si="334"/>
        <v>正常</v>
      </c>
    </row>
    <row r="853" ht="14.25" customHeight="1" spans="1:18">
      <c r="A853" s="10">
        <v>2025121</v>
      </c>
      <c r="B853" s="12" t="s">
        <v>621</v>
      </c>
      <c r="C853">
        <f t="shared" si="320"/>
        <v>1</v>
      </c>
      <c r="D853">
        <f t="shared" si="321"/>
        <v>2</v>
      </c>
      <c r="E853">
        <f t="shared" si="322"/>
        <v>0</v>
      </c>
      <c r="F853">
        <f t="shared" si="323"/>
        <v>3</v>
      </c>
      <c r="G853">
        <f t="shared" si="324"/>
        <v>3</v>
      </c>
      <c r="H853">
        <f t="shared" si="325"/>
        <v>2</v>
      </c>
      <c r="I853">
        <f t="shared" si="326"/>
        <v>1.5</v>
      </c>
      <c r="J853">
        <f t="shared" si="327"/>
        <v>0.33</v>
      </c>
      <c r="K853">
        <f t="shared" si="328"/>
        <v>0</v>
      </c>
      <c r="L853">
        <f t="shared" si="329"/>
        <v>0.33</v>
      </c>
      <c r="M853">
        <f t="shared" si="330"/>
        <v>2</v>
      </c>
      <c r="N853">
        <f t="shared" si="331"/>
        <v>0.8</v>
      </c>
      <c r="O853" t="str">
        <f t="shared" si="335"/>
        <v>松散</v>
      </c>
      <c r="P853" t="str">
        <f t="shared" si="332"/>
        <v>极紧凑</v>
      </c>
      <c r="Q853" t="str">
        <f t="shared" si="333"/>
        <v>✓有效</v>
      </c>
      <c r="R853" t="str">
        <f t="shared" si="334"/>
        <v>正常</v>
      </c>
    </row>
    <row r="854" ht="14.25" customHeight="1" spans="1:18">
      <c r="A854" s="10">
        <v>2025122</v>
      </c>
      <c r="B854" s="12" t="s">
        <v>470</v>
      </c>
      <c r="C854">
        <f t="shared" si="320"/>
        <v>4</v>
      </c>
      <c r="D854">
        <f t="shared" si="321"/>
        <v>8</v>
      </c>
      <c r="E854">
        <f t="shared" si="322"/>
        <v>8</v>
      </c>
      <c r="F854">
        <f t="shared" si="323"/>
        <v>20</v>
      </c>
      <c r="G854">
        <f t="shared" si="324"/>
        <v>0</v>
      </c>
      <c r="H854">
        <f t="shared" si="325"/>
        <v>4</v>
      </c>
      <c r="I854">
        <f t="shared" si="326"/>
        <v>5</v>
      </c>
      <c r="J854">
        <f t="shared" si="327"/>
        <v>0</v>
      </c>
      <c r="K854">
        <f t="shared" si="328"/>
        <v>0.67</v>
      </c>
      <c r="L854">
        <f t="shared" si="329"/>
        <v>0</v>
      </c>
      <c r="M854">
        <f t="shared" si="330"/>
        <v>0</v>
      </c>
      <c r="N854">
        <f t="shared" si="331"/>
        <v>2.43</v>
      </c>
      <c r="O854" t="str">
        <f t="shared" si="335"/>
        <v>紧凑</v>
      </c>
      <c r="P854" t="str">
        <f t="shared" si="332"/>
        <v>紧凑</v>
      </c>
      <c r="Q854" t="str">
        <f t="shared" si="333"/>
        <v>✓有效</v>
      </c>
      <c r="R854" t="str">
        <f t="shared" si="334"/>
        <v>正常</v>
      </c>
    </row>
    <row r="855" ht="14.25" customHeight="1" spans="1:18">
      <c r="A855" s="10">
        <v>2025123</v>
      </c>
      <c r="B855" s="12" t="s">
        <v>481</v>
      </c>
      <c r="C855">
        <f t="shared" si="320"/>
        <v>7</v>
      </c>
      <c r="D855">
        <f t="shared" si="321"/>
        <v>2</v>
      </c>
      <c r="E855">
        <f t="shared" si="322"/>
        <v>5</v>
      </c>
      <c r="F855">
        <f t="shared" si="323"/>
        <v>14</v>
      </c>
      <c r="G855">
        <f t="shared" si="324"/>
        <v>4</v>
      </c>
      <c r="H855">
        <f t="shared" si="325"/>
        <v>5</v>
      </c>
      <c r="I855">
        <f t="shared" si="326"/>
        <v>2.8</v>
      </c>
      <c r="J855">
        <f t="shared" si="327"/>
        <v>0.67</v>
      </c>
      <c r="K855">
        <f t="shared" si="328"/>
        <v>0.67</v>
      </c>
      <c r="L855">
        <f t="shared" si="329"/>
        <v>1</v>
      </c>
      <c r="M855">
        <f t="shared" si="330"/>
        <v>0</v>
      </c>
      <c r="N855">
        <f t="shared" si="331"/>
        <v>1.79</v>
      </c>
      <c r="O855" t="str">
        <f t="shared" si="335"/>
        <v>标准</v>
      </c>
      <c r="P855" t="str">
        <f t="shared" si="332"/>
        <v>紧凑</v>
      </c>
      <c r="Q855" t="str">
        <f t="shared" si="333"/>
        <v>✓有效</v>
      </c>
      <c r="R855" t="str">
        <f t="shared" si="334"/>
        <v>正常</v>
      </c>
    </row>
    <row r="856" ht="14.25" customHeight="1" spans="1:18">
      <c r="A856" s="10">
        <v>2025124</v>
      </c>
      <c r="B856" s="12" t="s">
        <v>307</v>
      </c>
      <c r="C856">
        <f t="shared" si="320"/>
        <v>8</v>
      </c>
      <c r="D856">
        <f t="shared" si="321"/>
        <v>0</v>
      </c>
      <c r="E856">
        <f t="shared" si="322"/>
        <v>9</v>
      </c>
      <c r="F856">
        <f t="shared" si="323"/>
        <v>17</v>
      </c>
      <c r="G856">
        <f t="shared" si="324"/>
        <v>7</v>
      </c>
      <c r="H856">
        <f t="shared" si="325"/>
        <v>9</v>
      </c>
      <c r="I856">
        <f t="shared" si="326"/>
        <v>1.89</v>
      </c>
      <c r="J856">
        <f t="shared" si="327"/>
        <v>0.33</v>
      </c>
      <c r="K856">
        <f t="shared" si="328"/>
        <v>0.67</v>
      </c>
      <c r="L856">
        <f t="shared" si="329"/>
        <v>0</v>
      </c>
      <c r="M856">
        <f t="shared" si="330"/>
        <v>1</v>
      </c>
      <c r="N856">
        <f t="shared" si="331"/>
        <v>1.16</v>
      </c>
      <c r="O856" t="str">
        <f t="shared" si="335"/>
        <v>松散</v>
      </c>
      <c r="P856" t="str">
        <f t="shared" si="332"/>
        <v>极紧凑</v>
      </c>
      <c r="Q856" t="str">
        <f t="shared" si="333"/>
        <v>✓有效</v>
      </c>
      <c r="R856" t="str">
        <f t="shared" si="334"/>
        <v>正常</v>
      </c>
    </row>
    <row r="857" ht="14.25" customHeight="1" spans="1:18">
      <c r="A857" s="10">
        <v>2025125</v>
      </c>
      <c r="B857" s="12" t="s">
        <v>622</v>
      </c>
      <c r="C857">
        <f t="shared" si="320"/>
        <v>3</v>
      </c>
      <c r="D857">
        <f t="shared" si="321"/>
        <v>5</v>
      </c>
      <c r="E857">
        <f t="shared" si="322"/>
        <v>1</v>
      </c>
      <c r="F857">
        <f t="shared" si="323"/>
        <v>9</v>
      </c>
      <c r="G857">
        <f t="shared" si="324"/>
        <v>9</v>
      </c>
      <c r="H857">
        <f t="shared" si="325"/>
        <v>4</v>
      </c>
      <c r="I857">
        <f t="shared" si="326"/>
        <v>2.25</v>
      </c>
      <c r="J857">
        <f t="shared" si="327"/>
        <v>1</v>
      </c>
      <c r="K857">
        <f t="shared" si="328"/>
        <v>0.33</v>
      </c>
      <c r="L857">
        <f t="shared" si="329"/>
        <v>0.67</v>
      </c>
      <c r="M857">
        <f t="shared" si="330"/>
        <v>0</v>
      </c>
      <c r="N857">
        <f t="shared" si="331"/>
        <v>1.53</v>
      </c>
      <c r="O857" t="str">
        <f t="shared" si="335"/>
        <v>标准</v>
      </c>
      <c r="P857" t="str">
        <f t="shared" si="332"/>
        <v>紧凑</v>
      </c>
      <c r="Q857" t="str">
        <f t="shared" si="333"/>
        <v>✓有效</v>
      </c>
      <c r="R857" t="str">
        <f t="shared" si="334"/>
        <v>正常</v>
      </c>
    </row>
    <row r="858" ht="14.25" customHeight="1" spans="1:18">
      <c r="A858" s="10">
        <v>2025126</v>
      </c>
      <c r="B858" s="12" t="s">
        <v>620</v>
      </c>
      <c r="C858">
        <f t="shared" si="320"/>
        <v>3</v>
      </c>
      <c r="D858">
        <f t="shared" si="321"/>
        <v>2</v>
      </c>
      <c r="E858">
        <f t="shared" si="322"/>
        <v>0</v>
      </c>
      <c r="F858">
        <f t="shared" si="323"/>
        <v>5</v>
      </c>
      <c r="G858">
        <f t="shared" si="324"/>
        <v>5</v>
      </c>
      <c r="H858">
        <f t="shared" si="325"/>
        <v>3</v>
      </c>
      <c r="I858">
        <f t="shared" si="326"/>
        <v>1.67</v>
      </c>
      <c r="J858">
        <f t="shared" si="327"/>
        <v>0.33</v>
      </c>
      <c r="K858">
        <f t="shared" si="328"/>
        <v>0</v>
      </c>
      <c r="L858">
        <f t="shared" si="329"/>
        <v>0.67</v>
      </c>
      <c r="M858">
        <f t="shared" si="330"/>
        <v>1</v>
      </c>
      <c r="N858">
        <f t="shared" si="331"/>
        <v>1</v>
      </c>
      <c r="O858" t="str">
        <f t="shared" si="335"/>
        <v>松散</v>
      </c>
      <c r="P858" t="str">
        <f t="shared" si="332"/>
        <v>极紧凑</v>
      </c>
      <c r="Q858" t="str">
        <f t="shared" si="333"/>
        <v>✓有效</v>
      </c>
      <c r="R858" t="str">
        <f t="shared" si="334"/>
        <v>正常</v>
      </c>
    </row>
    <row r="859" ht="14.25" customHeight="1" spans="1:18">
      <c r="A859" s="10">
        <v>2025127</v>
      </c>
      <c r="B859" s="12" t="s">
        <v>623</v>
      </c>
      <c r="C859">
        <f t="shared" si="320"/>
        <v>4</v>
      </c>
      <c r="D859">
        <f t="shared" si="321"/>
        <v>3</v>
      </c>
      <c r="E859">
        <f t="shared" si="322"/>
        <v>1</v>
      </c>
      <c r="F859">
        <f t="shared" si="323"/>
        <v>8</v>
      </c>
      <c r="G859">
        <f t="shared" si="324"/>
        <v>8</v>
      </c>
      <c r="H859">
        <f t="shared" si="325"/>
        <v>3</v>
      </c>
      <c r="I859">
        <f t="shared" si="326"/>
        <v>2.67</v>
      </c>
      <c r="J859">
        <f t="shared" si="327"/>
        <v>0.67</v>
      </c>
      <c r="K859">
        <f t="shared" si="328"/>
        <v>0</v>
      </c>
      <c r="L859">
        <f t="shared" si="329"/>
        <v>0.33</v>
      </c>
      <c r="M859">
        <f t="shared" si="330"/>
        <v>1</v>
      </c>
      <c r="N859">
        <f t="shared" si="331"/>
        <v>1.44</v>
      </c>
      <c r="O859" t="str">
        <f t="shared" si="335"/>
        <v>标准</v>
      </c>
      <c r="P859" t="str">
        <f t="shared" si="332"/>
        <v>极紧凑</v>
      </c>
      <c r="Q859" t="str">
        <f t="shared" si="333"/>
        <v>✓有效</v>
      </c>
      <c r="R859" t="str">
        <f t="shared" si="334"/>
        <v>正常</v>
      </c>
    </row>
    <row r="860" ht="14.25" customHeight="1" spans="1:18">
      <c r="A860" s="10">
        <v>2025128</v>
      </c>
      <c r="B860" s="12" t="s">
        <v>624</v>
      </c>
      <c r="C860">
        <f t="shared" si="320"/>
        <v>8</v>
      </c>
      <c r="D860">
        <f t="shared" si="321"/>
        <v>1</v>
      </c>
      <c r="E860">
        <f t="shared" si="322"/>
        <v>4</v>
      </c>
      <c r="F860">
        <f t="shared" si="323"/>
        <v>13</v>
      </c>
      <c r="G860">
        <f t="shared" si="324"/>
        <v>3</v>
      </c>
      <c r="H860">
        <f t="shared" si="325"/>
        <v>7</v>
      </c>
      <c r="I860">
        <f t="shared" si="326"/>
        <v>1.86</v>
      </c>
      <c r="J860">
        <f t="shared" si="327"/>
        <v>0.33</v>
      </c>
      <c r="K860">
        <f t="shared" si="328"/>
        <v>0.33</v>
      </c>
      <c r="L860">
        <f t="shared" si="329"/>
        <v>0</v>
      </c>
      <c r="M860">
        <f t="shared" si="330"/>
        <v>0</v>
      </c>
      <c r="N860">
        <f t="shared" si="331"/>
        <v>1.18</v>
      </c>
      <c r="O860" t="str">
        <f t="shared" si="335"/>
        <v>松散</v>
      </c>
      <c r="P860" t="str">
        <f t="shared" si="332"/>
        <v>极紧凑</v>
      </c>
      <c r="Q860" t="str">
        <f t="shared" si="333"/>
        <v>✓有效</v>
      </c>
      <c r="R860" t="str">
        <f t="shared" si="334"/>
        <v>正常</v>
      </c>
    </row>
    <row r="861" ht="14.25" customHeight="1" spans="1:18">
      <c r="A861" s="10">
        <v>2025129</v>
      </c>
      <c r="B861" s="12" t="s">
        <v>603</v>
      </c>
      <c r="C861">
        <f t="shared" si="320"/>
        <v>9</v>
      </c>
      <c r="D861">
        <f t="shared" si="321"/>
        <v>1</v>
      </c>
      <c r="E861">
        <f t="shared" si="322"/>
        <v>5</v>
      </c>
      <c r="F861">
        <f t="shared" si="323"/>
        <v>15</v>
      </c>
      <c r="G861">
        <f t="shared" si="324"/>
        <v>5</v>
      </c>
      <c r="H861">
        <f t="shared" si="325"/>
        <v>8</v>
      </c>
      <c r="I861">
        <f t="shared" si="326"/>
        <v>1.88</v>
      </c>
      <c r="J861">
        <f t="shared" si="327"/>
        <v>1</v>
      </c>
      <c r="K861">
        <f t="shared" si="328"/>
        <v>0.67</v>
      </c>
      <c r="L861">
        <f t="shared" si="329"/>
        <v>0.33</v>
      </c>
      <c r="M861">
        <f t="shared" si="330"/>
        <v>0</v>
      </c>
      <c r="N861">
        <f t="shared" si="331"/>
        <v>1.42</v>
      </c>
      <c r="O861" t="str">
        <f t="shared" si="335"/>
        <v>松散</v>
      </c>
      <c r="P861" t="str">
        <f t="shared" si="332"/>
        <v>极紧凑</v>
      </c>
      <c r="Q861" t="str">
        <f t="shared" si="333"/>
        <v>✓有效</v>
      </c>
      <c r="R861" t="str">
        <f t="shared" si="334"/>
        <v>正常</v>
      </c>
    </row>
    <row r="862" ht="14.25" customHeight="1" spans="1:18">
      <c r="A862" s="10">
        <v>2025130</v>
      </c>
      <c r="B862" s="12" t="s">
        <v>625</v>
      </c>
      <c r="C862">
        <f t="shared" si="320"/>
        <v>2</v>
      </c>
      <c r="D862">
        <f t="shared" si="321"/>
        <v>0</v>
      </c>
      <c r="E862">
        <f t="shared" si="322"/>
        <v>4</v>
      </c>
      <c r="F862">
        <f t="shared" si="323"/>
        <v>6</v>
      </c>
      <c r="G862">
        <f t="shared" si="324"/>
        <v>6</v>
      </c>
      <c r="H862">
        <f t="shared" si="325"/>
        <v>4</v>
      </c>
      <c r="I862">
        <f t="shared" si="326"/>
        <v>1.5</v>
      </c>
      <c r="J862">
        <f t="shared" si="327"/>
        <v>0</v>
      </c>
      <c r="K862">
        <f t="shared" si="328"/>
        <v>0</v>
      </c>
      <c r="L862">
        <f t="shared" si="329"/>
        <v>0.33</v>
      </c>
      <c r="M862">
        <f t="shared" si="330"/>
        <v>0</v>
      </c>
      <c r="N862">
        <f t="shared" si="331"/>
        <v>0.93</v>
      </c>
      <c r="O862" t="str">
        <f t="shared" si="335"/>
        <v>松散</v>
      </c>
      <c r="P862" t="str">
        <f t="shared" si="332"/>
        <v>极紧凑</v>
      </c>
      <c r="Q862" t="str">
        <f t="shared" si="333"/>
        <v>✓有效</v>
      </c>
      <c r="R862" t="str">
        <f t="shared" si="334"/>
        <v>正常</v>
      </c>
    </row>
    <row r="863" ht="14.25" customHeight="1" spans="1:18">
      <c r="A863" s="10">
        <v>2025131</v>
      </c>
      <c r="B863" s="12" t="s">
        <v>626</v>
      </c>
      <c r="C863">
        <f t="shared" si="320"/>
        <v>2</v>
      </c>
      <c r="D863">
        <f t="shared" si="321"/>
        <v>0</v>
      </c>
      <c r="E863">
        <f t="shared" si="322"/>
        <v>3</v>
      </c>
      <c r="F863">
        <f t="shared" si="323"/>
        <v>5</v>
      </c>
      <c r="G863">
        <f t="shared" si="324"/>
        <v>5</v>
      </c>
      <c r="H863">
        <f t="shared" si="325"/>
        <v>3</v>
      </c>
      <c r="I863">
        <f t="shared" si="326"/>
        <v>1.67</v>
      </c>
      <c r="J863">
        <f t="shared" si="327"/>
        <v>0.33</v>
      </c>
      <c r="K863">
        <f t="shared" si="328"/>
        <v>0</v>
      </c>
      <c r="L863">
        <f t="shared" si="329"/>
        <v>0.67</v>
      </c>
      <c r="M863">
        <f t="shared" si="330"/>
        <v>1</v>
      </c>
      <c r="N863">
        <f t="shared" si="331"/>
        <v>1</v>
      </c>
      <c r="O863" t="str">
        <f t="shared" si="335"/>
        <v>松散</v>
      </c>
      <c r="P863" t="str">
        <f t="shared" si="332"/>
        <v>极紧凑</v>
      </c>
      <c r="Q863" t="str">
        <f t="shared" si="333"/>
        <v>✓有效</v>
      </c>
      <c r="R863" t="str">
        <f t="shared" si="334"/>
        <v>正常</v>
      </c>
    </row>
    <row r="864" ht="14.25" customHeight="1" spans="1:18">
      <c r="A864" s="10">
        <v>2025132</v>
      </c>
      <c r="B864" s="12" t="s">
        <v>215</v>
      </c>
      <c r="C864">
        <f t="shared" ref="C864:C927" si="336">IF(B864="","",LEFT(TEXT(B864,"000"),1)*1)</f>
        <v>6</v>
      </c>
      <c r="D864">
        <f t="shared" ref="D864:D927" si="337">IF(B864="","",MID(TEXT(B864,"000"),2,1)*1)</f>
        <v>8</v>
      </c>
      <c r="E864">
        <f t="shared" ref="E864:E927" si="338">IF(B864="","",RIGHT(TEXT(B864,"000"),1)*1)</f>
        <v>9</v>
      </c>
      <c r="F864">
        <f t="shared" ref="F864:F927" si="339">IF(B864="","",C864+D864+E864)</f>
        <v>23</v>
      </c>
      <c r="G864">
        <f t="shared" ref="G864:G927" si="340">IF(B864="","",MOD(F864,10))</f>
        <v>3</v>
      </c>
      <c r="H864">
        <f t="shared" ref="H864:H927" si="341">IF(B864="","",MAX(C864,D864,E864)-MIN(C864,D864,E864))</f>
        <v>3</v>
      </c>
      <c r="I864">
        <f t="shared" ref="I864:I927" si="342">IF(OR(B864="",H864=0),IF(H864=0,0.1,""),ROUND(F864/H864,2))</f>
        <v>7.67</v>
      </c>
      <c r="J864">
        <f t="shared" ref="J864:J927" si="343">IF(B864="","",ROUND((MOD(C864,2)+MOD(D864,2)+MOD(E864,2))/3,2))</f>
        <v>0.33</v>
      </c>
      <c r="K864">
        <f t="shared" ref="K864:K927" si="344">IF(B864="","",ROUND(((C864&gt;=5)+(D864&gt;=5)+(E864&gt;=5))/3,2))</f>
        <v>1</v>
      </c>
      <c r="L864">
        <f t="shared" ref="L864:L927" si="345">IF(B864="","",ROUND((ISNUMBER(FIND(C864,"2357"))+ISNUMBER(FIND(D864,"2357"))+ISNUMBER(FIND(E864,"2357")))/3,2))</f>
        <v>0</v>
      </c>
      <c r="M864">
        <f t="shared" ref="M864:M927" si="346">IF(B864="","",((ABS(C864-D864)=1)+(ABS(D864-E864)=1)+(ABS(C864-E864)=1)))</f>
        <v>1</v>
      </c>
      <c r="N864">
        <f t="shared" ref="N864:N927" si="347">IF(B864="","",ROUND(I864*0.4+J864*0.2+K864*0.2+L864*0.1+(3-M864)*0.1,2))</f>
        <v>3.53</v>
      </c>
      <c r="O864" t="str">
        <f t="shared" si="335"/>
        <v>紧凑</v>
      </c>
      <c r="P864" t="str">
        <f t="shared" ref="P864:P927" si="348">IF(B864="","",IF(N864&lt;=1.5,"极紧凑",IF(N864&lt;=3,"紧凑",IF(N864&lt;=5,"标准","松散"))))</f>
        <v>标准</v>
      </c>
      <c r="Q864" t="str">
        <f t="shared" ref="Q864:Q927" si="349">IF(B864="","",IF(AND(C864&gt;=0,C864&lt;=9,D864&gt;=0,D864&lt;=9,E864&gt;=0,E864&lt;=9),"✓有效","✗无效"))</f>
        <v>✓有效</v>
      </c>
      <c r="R864" t="str">
        <f t="shared" ref="R864:R927" si="350">IF(B864="","",IF(OR(I864&gt;10,I864&lt;0.1),"异常","正常"))</f>
        <v>正常</v>
      </c>
    </row>
    <row r="865" ht="14.25" customHeight="1" spans="1:18">
      <c r="A865" s="10">
        <v>2025133</v>
      </c>
      <c r="B865" s="12" t="s">
        <v>627</v>
      </c>
      <c r="C865">
        <f t="shared" si="336"/>
        <v>6</v>
      </c>
      <c r="D865">
        <f t="shared" si="337"/>
        <v>4</v>
      </c>
      <c r="E865">
        <f t="shared" si="338"/>
        <v>5</v>
      </c>
      <c r="F865">
        <f t="shared" si="339"/>
        <v>15</v>
      </c>
      <c r="G865">
        <f t="shared" si="340"/>
        <v>5</v>
      </c>
      <c r="H865">
        <f t="shared" si="341"/>
        <v>2</v>
      </c>
      <c r="I865">
        <f t="shared" si="342"/>
        <v>7.5</v>
      </c>
      <c r="J865">
        <f t="shared" si="343"/>
        <v>0.33</v>
      </c>
      <c r="K865">
        <f t="shared" si="344"/>
        <v>0.67</v>
      </c>
      <c r="L865">
        <f t="shared" si="345"/>
        <v>0.33</v>
      </c>
      <c r="M865">
        <f t="shared" si="346"/>
        <v>2</v>
      </c>
      <c r="N865">
        <f t="shared" si="347"/>
        <v>3.33</v>
      </c>
      <c r="O865" t="str">
        <f t="shared" ref="O865:O928" si="351">IF(I865=0.1,"极紧凑",IF(I865&gt;3.5,"紧凑",IF(AND(I865&gt;=2,I865&lt;=3.5),"标准",IF(AND(I865&gt;=1,I865&lt;2),"松散",""))))</f>
        <v>紧凑</v>
      </c>
      <c r="P865" t="str">
        <f t="shared" si="348"/>
        <v>标准</v>
      </c>
      <c r="Q865" t="str">
        <f t="shared" si="349"/>
        <v>✓有效</v>
      </c>
      <c r="R865" t="str">
        <f t="shared" si="350"/>
        <v>正常</v>
      </c>
    </row>
    <row r="866" ht="14.25" customHeight="1" spans="1:18">
      <c r="A866" s="10">
        <v>2025134</v>
      </c>
      <c r="B866" s="12" t="s">
        <v>448</v>
      </c>
      <c r="C866">
        <f t="shared" si="336"/>
        <v>7</v>
      </c>
      <c r="D866">
        <f t="shared" si="337"/>
        <v>4</v>
      </c>
      <c r="E866">
        <f t="shared" si="338"/>
        <v>8</v>
      </c>
      <c r="F866">
        <f t="shared" si="339"/>
        <v>19</v>
      </c>
      <c r="G866">
        <f t="shared" si="340"/>
        <v>9</v>
      </c>
      <c r="H866">
        <f t="shared" si="341"/>
        <v>4</v>
      </c>
      <c r="I866">
        <f t="shared" si="342"/>
        <v>4.75</v>
      </c>
      <c r="J866">
        <f t="shared" si="343"/>
        <v>0.33</v>
      </c>
      <c r="K866">
        <f t="shared" si="344"/>
        <v>0.67</v>
      </c>
      <c r="L866">
        <f t="shared" si="345"/>
        <v>0.33</v>
      </c>
      <c r="M866">
        <f t="shared" si="346"/>
        <v>1</v>
      </c>
      <c r="N866">
        <f t="shared" si="347"/>
        <v>2.33</v>
      </c>
      <c r="O866" t="str">
        <f t="shared" si="351"/>
        <v>紧凑</v>
      </c>
      <c r="P866" t="str">
        <f t="shared" si="348"/>
        <v>紧凑</v>
      </c>
      <c r="Q866" t="str">
        <f t="shared" si="349"/>
        <v>✓有效</v>
      </c>
      <c r="R866" t="str">
        <f t="shared" si="350"/>
        <v>正常</v>
      </c>
    </row>
    <row r="867" ht="14.25" customHeight="1" spans="1:18">
      <c r="A867" s="10">
        <v>2025135</v>
      </c>
      <c r="B867" s="12" t="s">
        <v>628</v>
      </c>
      <c r="C867">
        <f t="shared" si="336"/>
        <v>4</v>
      </c>
      <c r="D867">
        <f t="shared" si="337"/>
        <v>5</v>
      </c>
      <c r="E867">
        <f t="shared" si="338"/>
        <v>8</v>
      </c>
      <c r="F867">
        <f t="shared" si="339"/>
        <v>17</v>
      </c>
      <c r="G867">
        <f t="shared" si="340"/>
        <v>7</v>
      </c>
      <c r="H867">
        <f t="shared" si="341"/>
        <v>4</v>
      </c>
      <c r="I867">
        <f t="shared" si="342"/>
        <v>4.25</v>
      </c>
      <c r="J867">
        <f t="shared" si="343"/>
        <v>0.33</v>
      </c>
      <c r="K867">
        <f t="shared" si="344"/>
        <v>0.67</v>
      </c>
      <c r="L867">
        <f t="shared" si="345"/>
        <v>0.33</v>
      </c>
      <c r="M867">
        <f t="shared" si="346"/>
        <v>1</v>
      </c>
      <c r="N867">
        <f t="shared" si="347"/>
        <v>2.13</v>
      </c>
      <c r="O867" t="str">
        <f t="shared" si="351"/>
        <v>紧凑</v>
      </c>
      <c r="P867" t="str">
        <f t="shared" si="348"/>
        <v>紧凑</v>
      </c>
      <c r="Q867" t="str">
        <f t="shared" si="349"/>
        <v>✓有效</v>
      </c>
      <c r="R867" t="str">
        <f t="shared" si="350"/>
        <v>正常</v>
      </c>
    </row>
    <row r="868" ht="14.25" customHeight="1" spans="1:18">
      <c r="A868" s="10">
        <v>2025136</v>
      </c>
      <c r="B868" s="12" t="s">
        <v>298</v>
      </c>
      <c r="C868">
        <f t="shared" si="336"/>
        <v>1</v>
      </c>
      <c r="D868">
        <f t="shared" si="337"/>
        <v>1</v>
      </c>
      <c r="E868">
        <f t="shared" si="338"/>
        <v>3</v>
      </c>
      <c r="F868">
        <f t="shared" si="339"/>
        <v>5</v>
      </c>
      <c r="G868">
        <f t="shared" si="340"/>
        <v>5</v>
      </c>
      <c r="H868">
        <f t="shared" si="341"/>
        <v>2</v>
      </c>
      <c r="I868">
        <f t="shared" si="342"/>
        <v>2.5</v>
      </c>
      <c r="J868">
        <f t="shared" si="343"/>
        <v>1</v>
      </c>
      <c r="K868">
        <f t="shared" si="344"/>
        <v>0</v>
      </c>
      <c r="L868">
        <f t="shared" si="345"/>
        <v>0.33</v>
      </c>
      <c r="M868">
        <f t="shared" si="346"/>
        <v>0</v>
      </c>
      <c r="N868">
        <f t="shared" si="347"/>
        <v>1.53</v>
      </c>
      <c r="O868" t="str">
        <f t="shared" si="351"/>
        <v>标准</v>
      </c>
      <c r="P868" t="str">
        <f t="shared" si="348"/>
        <v>紧凑</v>
      </c>
      <c r="Q868" t="str">
        <f t="shared" si="349"/>
        <v>✓有效</v>
      </c>
      <c r="R868" t="str">
        <f t="shared" si="350"/>
        <v>正常</v>
      </c>
    </row>
    <row r="869" ht="14.25" customHeight="1" spans="1:18">
      <c r="A869" s="10">
        <v>2025137</v>
      </c>
      <c r="B869" s="12" t="s">
        <v>161</v>
      </c>
      <c r="C869">
        <f t="shared" si="336"/>
        <v>8</v>
      </c>
      <c r="D869">
        <f t="shared" si="337"/>
        <v>3</v>
      </c>
      <c r="E869">
        <f t="shared" si="338"/>
        <v>8</v>
      </c>
      <c r="F869">
        <f t="shared" si="339"/>
        <v>19</v>
      </c>
      <c r="G869">
        <f t="shared" si="340"/>
        <v>9</v>
      </c>
      <c r="H869">
        <f t="shared" si="341"/>
        <v>5</v>
      </c>
      <c r="I869">
        <f t="shared" si="342"/>
        <v>3.8</v>
      </c>
      <c r="J869">
        <f t="shared" si="343"/>
        <v>0.33</v>
      </c>
      <c r="K869">
        <f t="shared" si="344"/>
        <v>0.67</v>
      </c>
      <c r="L869">
        <f t="shared" si="345"/>
        <v>0.33</v>
      </c>
      <c r="M869">
        <f t="shared" si="346"/>
        <v>0</v>
      </c>
      <c r="N869">
        <f t="shared" si="347"/>
        <v>2.05</v>
      </c>
      <c r="O869" t="str">
        <f t="shared" si="351"/>
        <v>紧凑</v>
      </c>
      <c r="P869" t="str">
        <f t="shared" si="348"/>
        <v>紧凑</v>
      </c>
      <c r="Q869" t="str">
        <f t="shared" si="349"/>
        <v>✓有效</v>
      </c>
      <c r="R869" t="str">
        <f t="shared" si="350"/>
        <v>正常</v>
      </c>
    </row>
    <row r="870" ht="14.25" customHeight="1" spans="1:18">
      <c r="A870" s="10">
        <v>2025138</v>
      </c>
      <c r="B870" s="12" t="s">
        <v>539</v>
      </c>
      <c r="C870">
        <f t="shared" si="336"/>
        <v>2</v>
      </c>
      <c r="D870">
        <f t="shared" si="337"/>
        <v>9</v>
      </c>
      <c r="E870">
        <f t="shared" si="338"/>
        <v>6</v>
      </c>
      <c r="F870">
        <f t="shared" si="339"/>
        <v>17</v>
      </c>
      <c r="G870">
        <f t="shared" si="340"/>
        <v>7</v>
      </c>
      <c r="H870">
        <f t="shared" si="341"/>
        <v>7</v>
      </c>
      <c r="I870">
        <f t="shared" si="342"/>
        <v>2.43</v>
      </c>
      <c r="J870">
        <f t="shared" si="343"/>
        <v>0.33</v>
      </c>
      <c r="K870">
        <f t="shared" si="344"/>
        <v>0.67</v>
      </c>
      <c r="L870">
        <f t="shared" si="345"/>
        <v>0.33</v>
      </c>
      <c r="M870">
        <f t="shared" si="346"/>
        <v>0</v>
      </c>
      <c r="N870">
        <f t="shared" si="347"/>
        <v>1.51</v>
      </c>
      <c r="O870" t="str">
        <f t="shared" si="351"/>
        <v>标准</v>
      </c>
      <c r="P870" t="str">
        <f t="shared" si="348"/>
        <v>紧凑</v>
      </c>
      <c r="Q870" t="str">
        <f t="shared" si="349"/>
        <v>✓有效</v>
      </c>
      <c r="R870" t="str">
        <f t="shared" si="350"/>
        <v>正常</v>
      </c>
    </row>
    <row r="871" ht="14.25" customHeight="1" spans="1:18">
      <c r="A871" s="10">
        <v>2025139</v>
      </c>
      <c r="B871" s="12" t="s">
        <v>629</v>
      </c>
      <c r="C871">
        <f t="shared" si="336"/>
        <v>5</v>
      </c>
      <c r="D871">
        <f t="shared" si="337"/>
        <v>9</v>
      </c>
      <c r="E871">
        <f t="shared" si="338"/>
        <v>8</v>
      </c>
      <c r="F871">
        <f t="shared" si="339"/>
        <v>22</v>
      </c>
      <c r="G871">
        <f t="shared" si="340"/>
        <v>2</v>
      </c>
      <c r="H871">
        <f t="shared" si="341"/>
        <v>4</v>
      </c>
      <c r="I871">
        <f t="shared" si="342"/>
        <v>5.5</v>
      </c>
      <c r="J871">
        <f t="shared" si="343"/>
        <v>0.67</v>
      </c>
      <c r="K871">
        <f t="shared" si="344"/>
        <v>1</v>
      </c>
      <c r="L871">
        <f t="shared" si="345"/>
        <v>0.33</v>
      </c>
      <c r="M871">
        <f t="shared" si="346"/>
        <v>1</v>
      </c>
      <c r="N871">
        <f t="shared" si="347"/>
        <v>2.77</v>
      </c>
      <c r="O871" t="str">
        <f t="shared" si="351"/>
        <v>紧凑</v>
      </c>
      <c r="P871" t="str">
        <f t="shared" si="348"/>
        <v>紧凑</v>
      </c>
      <c r="Q871" t="str">
        <f t="shared" si="349"/>
        <v>✓有效</v>
      </c>
      <c r="R871" t="str">
        <f t="shared" si="350"/>
        <v>正常</v>
      </c>
    </row>
    <row r="872" ht="14.25" customHeight="1" spans="1:18">
      <c r="A872" s="10">
        <v>2025140</v>
      </c>
      <c r="B872" s="12" t="s">
        <v>373</v>
      </c>
      <c r="C872">
        <f t="shared" si="336"/>
        <v>1</v>
      </c>
      <c r="D872">
        <f t="shared" si="337"/>
        <v>4</v>
      </c>
      <c r="E872">
        <f t="shared" si="338"/>
        <v>9</v>
      </c>
      <c r="F872">
        <f t="shared" si="339"/>
        <v>14</v>
      </c>
      <c r="G872">
        <f t="shared" si="340"/>
        <v>4</v>
      </c>
      <c r="H872">
        <f t="shared" si="341"/>
        <v>8</v>
      </c>
      <c r="I872">
        <f t="shared" si="342"/>
        <v>1.75</v>
      </c>
      <c r="J872">
        <f t="shared" si="343"/>
        <v>0.67</v>
      </c>
      <c r="K872">
        <f t="shared" si="344"/>
        <v>0.33</v>
      </c>
      <c r="L872">
        <f t="shared" si="345"/>
        <v>0</v>
      </c>
      <c r="M872">
        <f t="shared" si="346"/>
        <v>0</v>
      </c>
      <c r="N872">
        <f t="shared" si="347"/>
        <v>1.2</v>
      </c>
      <c r="O872" t="str">
        <f t="shared" si="351"/>
        <v>松散</v>
      </c>
      <c r="P872" t="str">
        <f t="shared" si="348"/>
        <v>极紧凑</v>
      </c>
      <c r="Q872" t="str">
        <f t="shared" si="349"/>
        <v>✓有效</v>
      </c>
      <c r="R872" t="str">
        <f t="shared" si="350"/>
        <v>正常</v>
      </c>
    </row>
    <row r="873" ht="14.25" customHeight="1" spans="1:18">
      <c r="A873" s="10">
        <v>2025141</v>
      </c>
      <c r="B873" s="12" t="s">
        <v>326</v>
      </c>
      <c r="C873">
        <f t="shared" si="336"/>
        <v>2</v>
      </c>
      <c r="D873">
        <f t="shared" si="337"/>
        <v>0</v>
      </c>
      <c r="E873">
        <f t="shared" si="338"/>
        <v>2</v>
      </c>
      <c r="F873">
        <f t="shared" si="339"/>
        <v>4</v>
      </c>
      <c r="G873">
        <f t="shared" si="340"/>
        <v>4</v>
      </c>
      <c r="H873">
        <f t="shared" si="341"/>
        <v>2</v>
      </c>
      <c r="I873">
        <f t="shared" si="342"/>
        <v>2</v>
      </c>
      <c r="J873">
        <f t="shared" si="343"/>
        <v>0</v>
      </c>
      <c r="K873">
        <f t="shared" si="344"/>
        <v>0</v>
      </c>
      <c r="L873">
        <f t="shared" si="345"/>
        <v>0.67</v>
      </c>
      <c r="M873">
        <f t="shared" si="346"/>
        <v>0</v>
      </c>
      <c r="N873">
        <f t="shared" si="347"/>
        <v>1.17</v>
      </c>
      <c r="O873" t="str">
        <f t="shared" si="351"/>
        <v>标准</v>
      </c>
      <c r="P873" t="str">
        <f t="shared" si="348"/>
        <v>极紧凑</v>
      </c>
      <c r="Q873" t="str">
        <f t="shared" si="349"/>
        <v>✓有效</v>
      </c>
      <c r="R873" t="str">
        <f t="shared" si="350"/>
        <v>正常</v>
      </c>
    </row>
    <row r="874" ht="14.25" customHeight="1" spans="1:18">
      <c r="A874" s="10">
        <v>2025142</v>
      </c>
      <c r="B874" s="12" t="s">
        <v>563</v>
      </c>
      <c r="C874">
        <f t="shared" si="336"/>
        <v>9</v>
      </c>
      <c r="D874">
        <f t="shared" si="337"/>
        <v>1</v>
      </c>
      <c r="E874">
        <f t="shared" si="338"/>
        <v>6</v>
      </c>
      <c r="F874">
        <f t="shared" si="339"/>
        <v>16</v>
      </c>
      <c r="G874">
        <f t="shared" si="340"/>
        <v>6</v>
      </c>
      <c r="H874">
        <f t="shared" si="341"/>
        <v>8</v>
      </c>
      <c r="I874">
        <f t="shared" si="342"/>
        <v>2</v>
      </c>
      <c r="J874">
        <f t="shared" si="343"/>
        <v>0.67</v>
      </c>
      <c r="K874">
        <f t="shared" si="344"/>
        <v>0.67</v>
      </c>
      <c r="L874">
        <f t="shared" si="345"/>
        <v>0</v>
      </c>
      <c r="M874">
        <f t="shared" si="346"/>
        <v>0</v>
      </c>
      <c r="N874">
        <f t="shared" si="347"/>
        <v>1.37</v>
      </c>
      <c r="O874" t="str">
        <f t="shared" si="351"/>
        <v>标准</v>
      </c>
      <c r="P874" t="str">
        <f t="shared" si="348"/>
        <v>极紧凑</v>
      </c>
      <c r="Q874" t="str">
        <f t="shared" si="349"/>
        <v>✓有效</v>
      </c>
      <c r="R874" t="str">
        <f t="shared" si="350"/>
        <v>正常</v>
      </c>
    </row>
    <row r="875" ht="14.25" customHeight="1" spans="1:18">
      <c r="A875" s="10">
        <v>2025143</v>
      </c>
      <c r="B875" s="12" t="s">
        <v>450</v>
      </c>
      <c r="C875">
        <f t="shared" si="336"/>
        <v>2</v>
      </c>
      <c r="D875">
        <f t="shared" si="337"/>
        <v>5</v>
      </c>
      <c r="E875">
        <f t="shared" si="338"/>
        <v>6</v>
      </c>
      <c r="F875">
        <f t="shared" si="339"/>
        <v>13</v>
      </c>
      <c r="G875">
        <f t="shared" si="340"/>
        <v>3</v>
      </c>
      <c r="H875">
        <f t="shared" si="341"/>
        <v>4</v>
      </c>
      <c r="I875">
        <f t="shared" si="342"/>
        <v>3.25</v>
      </c>
      <c r="J875">
        <f t="shared" si="343"/>
        <v>0.33</v>
      </c>
      <c r="K875">
        <f t="shared" si="344"/>
        <v>0.67</v>
      </c>
      <c r="L875">
        <f t="shared" si="345"/>
        <v>0.67</v>
      </c>
      <c r="M875">
        <f t="shared" si="346"/>
        <v>1</v>
      </c>
      <c r="N875">
        <f t="shared" si="347"/>
        <v>1.77</v>
      </c>
      <c r="O875" t="str">
        <f t="shared" si="351"/>
        <v>标准</v>
      </c>
      <c r="P875" t="str">
        <f t="shared" si="348"/>
        <v>紧凑</v>
      </c>
      <c r="Q875" t="str">
        <f t="shared" si="349"/>
        <v>✓有效</v>
      </c>
      <c r="R875" t="str">
        <f t="shared" si="350"/>
        <v>正常</v>
      </c>
    </row>
    <row r="876" ht="14.25" customHeight="1" spans="1:18">
      <c r="A876" s="10">
        <v>2025144</v>
      </c>
      <c r="B876" s="12" t="s">
        <v>95</v>
      </c>
      <c r="C876">
        <f t="shared" si="336"/>
        <v>6</v>
      </c>
      <c r="D876">
        <f t="shared" si="337"/>
        <v>6</v>
      </c>
      <c r="E876">
        <f t="shared" si="338"/>
        <v>6</v>
      </c>
      <c r="F876">
        <f t="shared" si="339"/>
        <v>18</v>
      </c>
      <c r="G876">
        <f t="shared" si="340"/>
        <v>8</v>
      </c>
      <c r="H876">
        <f t="shared" si="341"/>
        <v>0</v>
      </c>
      <c r="I876">
        <f t="shared" si="342"/>
        <v>0.1</v>
      </c>
      <c r="J876">
        <f t="shared" si="343"/>
        <v>0</v>
      </c>
      <c r="K876">
        <f t="shared" si="344"/>
        <v>1</v>
      </c>
      <c r="L876">
        <f t="shared" si="345"/>
        <v>0</v>
      </c>
      <c r="M876">
        <f t="shared" si="346"/>
        <v>0</v>
      </c>
      <c r="N876">
        <f t="shared" si="347"/>
        <v>0.54</v>
      </c>
      <c r="O876" t="str">
        <f t="shared" si="351"/>
        <v>极紧凑</v>
      </c>
      <c r="P876" t="str">
        <f t="shared" si="348"/>
        <v>极紧凑</v>
      </c>
      <c r="Q876" t="str">
        <f t="shared" si="349"/>
        <v>✓有效</v>
      </c>
      <c r="R876" t="str">
        <f t="shared" si="350"/>
        <v>正常</v>
      </c>
    </row>
    <row r="877" ht="14.25" customHeight="1" spans="1:18">
      <c r="A877" s="10">
        <v>2025145</v>
      </c>
      <c r="B877" s="12" t="s">
        <v>630</v>
      </c>
      <c r="C877">
        <f t="shared" si="336"/>
        <v>2</v>
      </c>
      <c r="D877">
        <f t="shared" si="337"/>
        <v>6</v>
      </c>
      <c r="E877">
        <f t="shared" si="338"/>
        <v>7</v>
      </c>
      <c r="F877">
        <f t="shared" si="339"/>
        <v>15</v>
      </c>
      <c r="G877">
        <f t="shared" si="340"/>
        <v>5</v>
      </c>
      <c r="H877">
        <f t="shared" si="341"/>
        <v>5</v>
      </c>
      <c r="I877">
        <f t="shared" si="342"/>
        <v>3</v>
      </c>
      <c r="J877">
        <f t="shared" si="343"/>
        <v>0.33</v>
      </c>
      <c r="K877">
        <f t="shared" si="344"/>
        <v>0.67</v>
      </c>
      <c r="L877">
        <f t="shared" si="345"/>
        <v>0.67</v>
      </c>
      <c r="M877">
        <f t="shared" si="346"/>
        <v>1</v>
      </c>
      <c r="N877">
        <f t="shared" si="347"/>
        <v>1.67</v>
      </c>
      <c r="O877" t="str">
        <f t="shared" si="351"/>
        <v>标准</v>
      </c>
      <c r="P877" t="str">
        <f t="shared" si="348"/>
        <v>紧凑</v>
      </c>
      <c r="Q877" t="str">
        <f t="shared" si="349"/>
        <v>✓有效</v>
      </c>
      <c r="R877" t="str">
        <f t="shared" si="350"/>
        <v>正常</v>
      </c>
    </row>
    <row r="878" ht="14.25" customHeight="1" spans="1:18">
      <c r="A878" s="10">
        <v>2025146</v>
      </c>
      <c r="B878" s="12" t="s">
        <v>398</v>
      </c>
      <c r="C878">
        <f t="shared" si="336"/>
        <v>8</v>
      </c>
      <c r="D878">
        <f t="shared" si="337"/>
        <v>9</v>
      </c>
      <c r="E878">
        <f t="shared" si="338"/>
        <v>7</v>
      </c>
      <c r="F878">
        <f t="shared" si="339"/>
        <v>24</v>
      </c>
      <c r="G878">
        <f t="shared" si="340"/>
        <v>4</v>
      </c>
      <c r="H878">
        <f t="shared" si="341"/>
        <v>2</v>
      </c>
      <c r="I878">
        <f t="shared" si="342"/>
        <v>12</v>
      </c>
      <c r="J878">
        <f t="shared" si="343"/>
        <v>0.67</v>
      </c>
      <c r="K878">
        <f t="shared" si="344"/>
        <v>1</v>
      </c>
      <c r="L878">
        <f t="shared" si="345"/>
        <v>0.33</v>
      </c>
      <c r="M878">
        <f t="shared" si="346"/>
        <v>2</v>
      </c>
      <c r="N878">
        <f t="shared" si="347"/>
        <v>5.27</v>
      </c>
      <c r="O878" t="str">
        <f t="shared" si="351"/>
        <v>紧凑</v>
      </c>
      <c r="P878" t="str">
        <f t="shared" si="348"/>
        <v>松散</v>
      </c>
      <c r="Q878" t="str">
        <f t="shared" si="349"/>
        <v>✓有效</v>
      </c>
      <c r="R878" t="str">
        <f t="shared" si="350"/>
        <v>异常</v>
      </c>
    </row>
    <row r="879" ht="14.25" customHeight="1" spans="1:18">
      <c r="A879" s="10">
        <v>2025147</v>
      </c>
      <c r="B879" s="12" t="s">
        <v>631</v>
      </c>
      <c r="C879">
        <f t="shared" si="336"/>
        <v>3</v>
      </c>
      <c r="D879">
        <f t="shared" si="337"/>
        <v>2</v>
      </c>
      <c r="E879">
        <f t="shared" si="338"/>
        <v>1</v>
      </c>
      <c r="F879">
        <f t="shared" si="339"/>
        <v>6</v>
      </c>
      <c r="G879">
        <f t="shared" si="340"/>
        <v>6</v>
      </c>
      <c r="H879">
        <f t="shared" si="341"/>
        <v>2</v>
      </c>
      <c r="I879">
        <f t="shared" si="342"/>
        <v>3</v>
      </c>
      <c r="J879">
        <f t="shared" si="343"/>
        <v>0.67</v>
      </c>
      <c r="K879">
        <f t="shared" si="344"/>
        <v>0</v>
      </c>
      <c r="L879">
        <f t="shared" si="345"/>
        <v>0.67</v>
      </c>
      <c r="M879">
        <f t="shared" si="346"/>
        <v>2</v>
      </c>
      <c r="N879">
        <f t="shared" si="347"/>
        <v>1.5</v>
      </c>
      <c r="O879" t="str">
        <f t="shared" si="351"/>
        <v>标准</v>
      </c>
      <c r="P879" t="str">
        <f t="shared" si="348"/>
        <v>极紧凑</v>
      </c>
      <c r="Q879" t="str">
        <f t="shared" si="349"/>
        <v>✓有效</v>
      </c>
      <c r="R879" t="str">
        <f t="shared" si="350"/>
        <v>正常</v>
      </c>
    </row>
    <row r="880" ht="14.25" customHeight="1" spans="1:18">
      <c r="A880" s="10">
        <v>2025148</v>
      </c>
      <c r="B880" s="12" t="s">
        <v>161</v>
      </c>
      <c r="C880">
        <f t="shared" si="336"/>
        <v>8</v>
      </c>
      <c r="D880">
        <f t="shared" si="337"/>
        <v>3</v>
      </c>
      <c r="E880">
        <f t="shared" si="338"/>
        <v>8</v>
      </c>
      <c r="F880">
        <f t="shared" si="339"/>
        <v>19</v>
      </c>
      <c r="G880">
        <f t="shared" si="340"/>
        <v>9</v>
      </c>
      <c r="H880">
        <f t="shared" si="341"/>
        <v>5</v>
      </c>
      <c r="I880">
        <f t="shared" si="342"/>
        <v>3.8</v>
      </c>
      <c r="J880">
        <f t="shared" si="343"/>
        <v>0.33</v>
      </c>
      <c r="K880">
        <f t="shared" si="344"/>
        <v>0.67</v>
      </c>
      <c r="L880">
        <f t="shared" si="345"/>
        <v>0.33</v>
      </c>
      <c r="M880">
        <f t="shared" si="346"/>
        <v>0</v>
      </c>
      <c r="N880">
        <f t="shared" si="347"/>
        <v>2.05</v>
      </c>
      <c r="O880" t="str">
        <f t="shared" si="351"/>
        <v>紧凑</v>
      </c>
      <c r="P880" t="str">
        <f t="shared" si="348"/>
        <v>紧凑</v>
      </c>
      <c r="Q880" t="str">
        <f t="shared" si="349"/>
        <v>✓有效</v>
      </c>
      <c r="R880" t="str">
        <f t="shared" si="350"/>
        <v>正常</v>
      </c>
    </row>
    <row r="881" ht="14.25" customHeight="1" spans="1:18">
      <c r="A881" s="10">
        <v>2025149</v>
      </c>
      <c r="B881" s="12" t="s">
        <v>632</v>
      </c>
      <c r="C881">
        <f t="shared" si="336"/>
        <v>7</v>
      </c>
      <c r="D881">
        <f t="shared" si="337"/>
        <v>3</v>
      </c>
      <c r="E881">
        <f t="shared" si="338"/>
        <v>4</v>
      </c>
      <c r="F881">
        <f t="shared" si="339"/>
        <v>14</v>
      </c>
      <c r="G881">
        <f t="shared" si="340"/>
        <v>4</v>
      </c>
      <c r="H881">
        <f t="shared" si="341"/>
        <v>4</v>
      </c>
      <c r="I881">
        <f t="shared" si="342"/>
        <v>3.5</v>
      </c>
      <c r="J881">
        <f t="shared" si="343"/>
        <v>0.67</v>
      </c>
      <c r="K881">
        <f t="shared" si="344"/>
        <v>0.33</v>
      </c>
      <c r="L881">
        <f t="shared" si="345"/>
        <v>0.67</v>
      </c>
      <c r="M881">
        <f t="shared" si="346"/>
        <v>1</v>
      </c>
      <c r="N881">
        <f t="shared" si="347"/>
        <v>1.87</v>
      </c>
      <c r="O881" t="str">
        <f t="shared" si="351"/>
        <v>标准</v>
      </c>
      <c r="P881" t="str">
        <f t="shared" si="348"/>
        <v>紧凑</v>
      </c>
      <c r="Q881" t="str">
        <f t="shared" si="349"/>
        <v>✓有效</v>
      </c>
      <c r="R881" t="str">
        <f t="shared" si="350"/>
        <v>正常</v>
      </c>
    </row>
    <row r="882" ht="14.25" customHeight="1" spans="1:18">
      <c r="A882" s="10">
        <v>2025150</v>
      </c>
      <c r="B882" s="12" t="s">
        <v>631</v>
      </c>
      <c r="C882">
        <f t="shared" si="336"/>
        <v>3</v>
      </c>
      <c r="D882">
        <f t="shared" si="337"/>
        <v>2</v>
      </c>
      <c r="E882">
        <f t="shared" si="338"/>
        <v>1</v>
      </c>
      <c r="F882">
        <f t="shared" si="339"/>
        <v>6</v>
      </c>
      <c r="G882">
        <f t="shared" si="340"/>
        <v>6</v>
      </c>
      <c r="H882">
        <f t="shared" si="341"/>
        <v>2</v>
      </c>
      <c r="I882">
        <f t="shared" si="342"/>
        <v>3</v>
      </c>
      <c r="J882">
        <f t="shared" si="343"/>
        <v>0.67</v>
      </c>
      <c r="K882">
        <f t="shared" si="344"/>
        <v>0</v>
      </c>
      <c r="L882">
        <f t="shared" si="345"/>
        <v>0.67</v>
      </c>
      <c r="M882">
        <f t="shared" si="346"/>
        <v>2</v>
      </c>
      <c r="N882">
        <f t="shared" si="347"/>
        <v>1.5</v>
      </c>
      <c r="O882" t="str">
        <f t="shared" si="351"/>
        <v>标准</v>
      </c>
      <c r="P882" t="str">
        <f t="shared" si="348"/>
        <v>极紧凑</v>
      </c>
      <c r="Q882" t="str">
        <f t="shared" si="349"/>
        <v>✓有效</v>
      </c>
      <c r="R882" t="str">
        <f t="shared" si="350"/>
        <v>正常</v>
      </c>
    </row>
    <row r="883" ht="14.25" customHeight="1" spans="1:18">
      <c r="A883" s="10">
        <v>2025151</v>
      </c>
      <c r="B883" s="12" t="s">
        <v>528</v>
      </c>
      <c r="C883">
        <f t="shared" si="336"/>
        <v>7</v>
      </c>
      <c r="D883">
        <f t="shared" si="337"/>
        <v>1</v>
      </c>
      <c r="E883">
        <f t="shared" si="338"/>
        <v>8</v>
      </c>
      <c r="F883">
        <f t="shared" si="339"/>
        <v>16</v>
      </c>
      <c r="G883">
        <f t="shared" si="340"/>
        <v>6</v>
      </c>
      <c r="H883">
        <f t="shared" si="341"/>
        <v>7</v>
      </c>
      <c r="I883">
        <f t="shared" si="342"/>
        <v>2.29</v>
      </c>
      <c r="J883">
        <f t="shared" si="343"/>
        <v>0.67</v>
      </c>
      <c r="K883">
        <f t="shared" si="344"/>
        <v>0.67</v>
      </c>
      <c r="L883">
        <f t="shared" si="345"/>
        <v>0.33</v>
      </c>
      <c r="M883">
        <f t="shared" si="346"/>
        <v>1</v>
      </c>
      <c r="N883">
        <f t="shared" si="347"/>
        <v>1.42</v>
      </c>
      <c r="O883" t="str">
        <f t="shared" si="351"/>
        <v>标准</v>
      </c>
      <c r="P883" t="str">
        <f t="shared" si="348"/>
        <v>极紧凑</v>
      </c>
      <c r="Q883" t="str">
        <f t="shared" si="349"/>
        <v>✓有效</v>
      </c>
      <c r="R883" t="str">
        <f t="shared" si="350"/>
        <v>正常</v>
      </c>
    </row>
    <row r="884" ht="14.25" customHeight="1" spans="1:18">
      <c r="A884" s="10">
        <v>2025152</v>
      </c>
      <c r="B884" s="12" t="s">
        <v>199</v>
      </c>
      <c r="C884">
        <f t="shared" si="336"/>
        <v>2</v>
      </c>
      <c r="D884">
        <f t="shared" si="337"/>
        <v>1</v>
      </c>
      <c r="E884">
        <f t="shared" si="338"/>
        <v>0</v>
      </c>
      <c r="F884">
        <f t="shared" si="339"/>
        <v>3</v>
      </c>
      <c r="G884">
        <f t="shared" si="340"/>
        <v>3</v>
      </c>
      <c r="H884">
        <f t="shared" si="341"/>
        <v>2</v>
      </c>
      <c r="I884">
        <f t="shared" si="342"/>
        <v>1.5</v>
      </c>
      <c r="J884">
        <f t="shared" si="343"/>
        <v>0.33</v>
      </c>
      <c r="K884">
        <f t="shared" si="344"/>
        <v>0</v>
      </c>
      <c r="L884">
        <f t="shared" si="345"/>
        <v>0.33</v>
      </c>
      <c r="M884">
        <f t="shared" si="346"/>
        <v>2</v>
      </c>
      <c r="N884">
        <f t="shared" si="347"/>
        <v>0.8</v>
      </c>
      <c r="O884" t="str">
        <f t="shared" si="351"/>
        <v>松散</v>
      </c>
      <c r="P884" t="str">
        <f t="shared" si="348"/>
        <v>极紧凑</v>
      </c>
      <c r="Q884" t="str">
        <f t="shared" si="349"/>
        <v>✓有效</v>
      </c>
      <c r="R884" t="str">
        <f t="shared" si="350"/>
        <v>正常</v>
      </c>
    </row>
    <row r="885" ht="14.25" customHeight="1" spans="1:18">
      <c r="A885" s="10">
        <v>2025153</v>
      </c>
      <c r="B885" s="12" t="s">
        <v>182</v>
      </c>
      <c r="C885">
        <f t="shared" si="336"/>
        <v>0</v>
      </c>
      <c r="D885">
        <f t="shared" si="337"/>
        <v>6</v>
      </c>
      <c r="E885">
        <f t="shared" si="338"/>
        <v>9</v>
      </c>
      <c r="F885">
        <f t="shared" si="339"/>
        <v>15</v>
      </c>
      <c r="G885">
        <f t="shared" si="340"/>
        <v>5</v>
      </c>
      <c r="H885">
        <f t="shared" si="341"/>
        <v>9</v>
      </c>
      <c r="I885">
        <f t="shared" si="342"/>
        <v>1.67</v>
      </c>
      <c r="J885">
        <f t="shared" si="343"/>
        <v>0.33</v>
      </c>
      <c r="K885">
        <f t="shared" si="344"/>
        <v>0.67</v>
      </c>
      <c r="L885">
        <f t="shared" si="345"/>
        <v>0</v>
      </c>
      <c r="M885">
        <f t="shared" si="346"/>
        <v>0</v>
      </c>
      <c r="N885">
        <f t="shared" si="347"/>
        <v>1.17</v>
      </c>
      <c r="O885" t="str">
        <f t="shared" si="351"/>
        <v>松散</v>
      </c>
      <c r="P885" t="str">
        <f t="shared" si="348"/>
        <v>极紧凑</v>
      </c>
      <c r="Q885" t="str">
        <f t="shared" si="349"/>
        <v>✓有效</v>
      </c>
      <c r="R885" t="str">
        <f t="shared" si="350"/>
        <v>正常</v>
      </c>
    </row>
    <row r="886" ht="14.25" customHeight="1" spans="1:18">
      <c r="A886" s="10">
        <v>2025154</v>
      </c>
      <c r="B886" s="12" t="s">
        <v>111</v>
      </c>
      <c r="C886">
        <f t="shared" si="336"/>
        <v>9</v>
      </c>
      <c r="D886">
        <f t="shared" si="337"/>
        <v>2</v>
      </c>
      <c r="E886">
        <f t="shared" si="338"/>
        <v>3</v>
      </c>
      <c r="F886">
        <f t="shared" si="339"/>
        <v>14</v>
      </c>
      <c r="G886">
        <f t="shared" si="340"/>
        <v>4</v>
      </c>
      <c r="H886">
        <f t="shared" si="341"/>
        <v>7</v>
      </c>
      <c r="I886">
        <f t="shared" si="342"/>
        <v>2</v>
      </c>
      <c r="J886">
        <f t="shared" si="343"/>
        <v>0.67</v>
      </c>
      <c r="K886">
        <f t="shared" si="344"/>
        <v>0.33</v>
      </c>
      <c r="L886">
        <f t="shared" si="345"/>
        <v>0.67</v>
      </c>
      <c r="M886">
        <f t="shared" si="346"/>
        <v>1</v>
      </c>
      <c r="N886">
        <f t="shared" si="347"/>
        <v>1.27</v>
      </c>
      <c r="O886" t="str">
        <f t="shared" si="351"/>
        <v>标准</v>
      </c>
      <c r="P886" t="str">
        <f t="shared" si="348"/>
        <v>极紧凑</v>
      </c>
      <c r="Q886" t="str">
        <f t="shared" si="349"/>
        <v>✓有效</v>
      </c>
      <c r="R886" t="str">
        <f t="shared" si="350"/>
        <v>正常</v>
      </c>
    </row>
    <row r="887" ht="14.25" customHeight="1" spans="1:18">
      <c r="A887" s="10">
        <v>2025155</v>
      </c>
      <c r="B887" s="12" t="s">
        <v>580</v>
      </c>
      <c r="C887">
        <f t="shared" si="336"/>
        <v>4</v>
      </c>
      <c r="D887">
        <f t="shared" si="337"/>
        <v>9</v>
      </c>
      <c r="E887">
        <f t="shared" si="338"/>
        <v>9</v>
      </c>
      <c r="F887">
        <f t="shared" si="339"/>
        <v>22</v>
      </c>
      <c r="G887">
        <f t="shared" si="340"/>
        <v>2</v>
      </c>
      <c r="H887">
        <f t="shared" si="341"/>
        <v>5</v>
      </c>
      <c r="I887">
        <f t="shared" si="342"/>
        <v>4.4</v>
      </c>
      <c r="J887">
        <f t="shared" si="343"/>
        <v>0.67</v>
      </c>
      <c r="K887">
        <f t="shared" si="344"/>
        <v>0.67</v>
      </c>
      <c r="L887">
        <f t="shared" si="345"/>
        <v>0</v>
      </c>
      <c r="M887">
        <f t="shared" si="346"/>
        <v>0</v>
      </c>
      <c r="N887">
        <f t="shared" si="347"/>
        <v>2.33</v>
      </c>
      <c r="O887" t="str">
        <f t="shared" si="351"/>
        <v>紧凑</v>
      </c>
      <c r="P887" t="str">
        <f t="shared" si="348"/>
        <v>紧凑</v>
      </c>
      <c r="Q887" t="str">
        <f t="shared" si="349"/>
        <v>✓有效</v>
      </c>
      <c r="R887" t="str">
        <f t="shared" si="350"/>
        <v>正常</v>
      </c>
    </row>
    <row r="888" ht="14.25" customHeight="1" spans="1:18">
      <c r="A888" s="10">
        <v>2025156</v>
      </c>
      <c r="B888" s="12" t="s">
        <v>583</v>
      </c>
      <c r="C888">
        <f t="shared" si="336"/>
        <v>7</v>
      </c>
      <c r="D888">
        <f t="shared" si="337"/>
        <v>7</v>
      </c>
      <c r="E888">
        <f t="shared" si="338"/>
        <v>5</v>
      </c>
      <c r="F888">
        <f t="shared" si="339"/>
        <v>19</v>
      </c>
      <c r="G888">
        <f t="shared" si="340"/>
        <v>9</v>
      </c>
      <c r="H888">
        <f t="shared" si="341"/>
        <v>2</v>
      </c>
      <c r="I888">
        <f t="shared" si="342"/>
        <v>9.5</v>
      </c>
      <c r="J888">
        <f t="shared" si="343"/>
        <v>1</v>
      </c>
      <c r="K888">
        <f t="shared" si="344"/>
        <v>1</v>
      </c>
      <c r="L888">
        <f t="shared" si="345"/>
        <v>1</v>
      </c>
      <c r="M888">
        <f t="shared" si="346"/>
        <v>0</v>
      </c>
      <c r="N888">
        <f t="shared" si="347"/>
        <v>4.6</v>
      </c>
      <c r="O888" t="str">
        <f t="shared" si="351"/>
        <v>紧凑</v>
      </c>
      <c r="P888" t="str">
        <f t="shared" si="348"/>
        <v>标准</v>
      </c>
      <c r="Q888" t="str">
        <f t="shared" si="349"/>
        <v>✓有效</v>
      </c>
      <c r="R888" t="str">
        <f t="shared" si="350"/>
        <v>正常</v>
      </c>
    </row>
    <row r="889" ht="14.25" customHeight="1" spans="1:18">
      <c r="A889" s="10">
        <v>2025157</v>
      </c>
      <c r="B889" s="12" t="s">
        <v>633</v>
      </c>
      <c r="C889">
        <f t="shared" si="336"/>
        <v>9</v>
      </c>
      <c r="D889">
        <f t="shared" si="337"/>
        <v>6</v>
      </c>
      <c r="E889">
        <f t="shared" si="338"/>
        <v>9</v>
      </c>
      <c r="F889">
        <f t="shared" si="339"/>
        <v>24</v>
      </c>
      <c r="G889">
        <f t="shared" si="340"/>
        <v>4</v>
      </c>
      <c r="H889">
        <f t="shared" si="341"/>
        <v>3</v>
      </c>
      <c r="I889">
        <f t="shared" si="342"/>
        <v>8</v>
      </c>
      <c r="J889">
        <f t="shared" si="343"/>
        <v>0.67</v>
      </c>
      <c r="K889">
        <f t="shared" si="344"/>
        <v>1</v>
      </c>
      <c r="L889">
        <f t="shared" si="345"/>
        <v>0</v>
      </c>
      <c r="M889">
        <f t="shared" si="346"/>
        <v>0</v>
      </c>
      <c r="N889">
        <f t="shared" si="347"/>
        <v>3.83</v>
      </c>
      <c r="O889" t="str">
        <f t="shared" si="351"/>
        <v>紧凑</v>
      </c>
      <c r="P889" t="str">
        <f t="shared" si="348"/>
        <v>标准</v>
      </c>
      <c r="Q889" t="str">
        <f t="shared" si="349"/>
        <v>✓有效</v>
      </c>
      <c r="R889" t="str">
        <f t="shared" si="350"/>
        <v>正常</v>
      </c>
    </row>
    <row r="890" ht="14.25" customHeight="1" spans="1:18">
      <c r="A890" s="10">
        <v>2025158</v>
      </c>
      <c r="B890" s="12" t="s">
        <v>634</v>
      </c>
      <c r="C890">
        <f t="shared" si="336"/>
        <v>7</v>
      </c>
      <c r="D890">
        <f t="shared" si="337"/>
        <v>0</v>
      </c>
      <c r="E890">
        <f t="shared" si="338"/>
        <v>1</v>
      </c>
      <c r="F890">
        <f t="shared" si="339"/>
        <v>8</v>
      </c>
      <c r="G890">
        <f t="shared" si="340"/>
        <v>8</v>
      </c>
      <c r="H890">
        <f t="shared" si="341"/>
        <v>7</v>
      </c>
      <c r="I890">
        <f t="shared" si="342"/>
        <v>1.14</v>
      </c>
      <c r="J890">
        <f t="shared" si="343"/>
        <v>0.67</v>
      </c>
      <c r="K890">
        <f t="shared" si="344"/>
        <v>0.33</v>
      </c>
      <c r="L890">
        <f t="shared" si="345"/>
        <v>0.33</v>
      </c>
      <c r="M890">
        <f t="shared" si="346"/>
        <v>1</v>
      </c>
      <c r="N890">
        <f t="shared" si="347"/>
        <v>0.89</v>
      </c>
      <c r="O890" t="str">
        <f t="shared" si="351"/>
        <v>松散</v>
      </c>
      <c r="P890" t="str">
        <f t="shared" si="348"/>
        <v>极紧凑</v>
      </c>
      <c r="Q890" t="str">
        <f t="shared" si="349"/>
        <v>✓有效</v>
      </c>
      <c r="R890" t="str">
        <f t="shared" si="350"/>
        <v>正常</v>
      </c>
    </row>
    <row r="891" ht="14.25" customHeight="1" spans="1:18">
      <c r="A891" s="10">
        <v>2025159</v>
      </c>
      <c r="B891" s="12" t="s">
        <v>635</v>
      </c>
      <c r="C891">
        <f t="shared" si="336"/>
        <v>0</v>
      </c>
      <c r="D891">
        <f t="shared" si="337"/>
        <v>7</v>
      </c>
      <c r="E891">
        <f t="shared" si="338"/>
        <v>3</v>
      </c>
      <c r="F891">
        <f t="shared" si="339"/>
        <v>10</v>
      </c>
      <c r="G891">
        <f t="shared" si="340"/>
        <v>0</v>
      </c>
      <c r="H891">
        <f t="shared" si="341"/>
        <v>7</v>
      </c>
      <c r="I891">
        <f t="shared" si="342"/>
        <v>1.43</v>
      </c>
      <c r="J891">
        <f t="shared" si="343"/>
        <v>0.67</v>
      </c>
      <c r="K891">
        <f t="shared" si="344"/>
        <v>0.33</v>
      </c>
      <c r="L891">
        <f t="shared" si="345"/>
        <v>0.67</v>
      </c>
      <c r="M891">
        <f t="shared" si="346"/>
        <v>0</v>
      </c>
      <c r="N891">
        <f t="shared" si="347"/>
        <v>1.14</v>
      </c>
      <c r="O891" t="str">
        <f t="shared" si="351"/>
        <v>松散</v>
      </c>
      <c r="P891" t="str">
        <f t="shared" si="348"/>
        <v>极紧凑</v>
      </c>
      <c r="Q891" t="str">
        <f t="shared" si="349"/>
        <v>✓有效</v>
      </c>
      <c r="R891" t="str">
        <f t="shared" si="350"/>
        <v>正常</v>
      </c>
    </row>
    <row r="892" ht="14.25" customHeight="1" spans="1:18">
      <c r="A892" s="10">
        <v>2025160</v>
      </c>
      <c r="B892" s="12" t="s">
        <v>71</v>
      </c>
      <c r="C892">
        <f t="shared" si="336"/>
        <v>5</v>
      </c>
      <c r="D892">
        <f t="shared" si="337"/>
        <v>0</v>
      </c>
      <c r="E892">
        <f t="shared" si="338"/>
        <v>3</v>
      </c>
      <c r="F892">
        <f t="shared" si="339"/>
        <v>8</v>
      </c>
      <c r="G892">
        <f t="shared" si="340"/>
        <v>8</v>
      </c>
      <c r="H892">
        <f t="shared" si="341"/>
        <v>5</v>
      </c>
      <c r="I892">
        <f t="shared" si="342"/>
        <v>1.6</v>
      </c>
      <c r="J892">
        <f t="shared" si="343"/>
        <v>0.67</v>
      </c>
      <c r="K892">
        <f t="shared" si="344"/>
        <v>0.33</v>
      </c>
      <c r="L892">
        <f t="shared" si="345"/>
        <v>0.67</v>
      </c>
      <c r="M892">
        <f t="shared" si="346"/>
        <v>0</v>
      </c>
      <c r="N892">
        <f t="shared" si="347"/>
        <v>1.21</v>
      </c>
      <c r="O892" t="str">
        <f t="shared" si="351"/>
        <v>松散</v>
      </c>
      <c r="P892" t="str">
        <f t="shared" si="348"/>
        <v>极紧凑</v>
      </c>
      <c r="Q892" t="str">
        <f t="shared" si="349"/>
        <v>✓有效</v>
      </c>
      <c r="R892" t="str">
        <f t="shared" si="350"/>
        <v>正常</v>
      </c>
    </row>
    <row r="893" ht="14.25" customHeight="1" spans="1:18">
      <c r="A893" s="10">
        <v>2025161</v>
      </c>
      <c r="B893" s="12" t="s">
        <v>448</v>
      </c>
      <c r="C893">
        <f t="shared" si="336"/>
        <v>7</v>
      </c>
      <c r="D893">
        <f t="shared" si="337"/>
        <v>4</v>
      </c>
      <c r="E893">
        <f t="shared" si="338"/>
        <v>8</v>
      </c>
      <c r="F893">
        <f t="shared" si="339"/>
        <v>19</v>
      </c>
      <c r="G893">
        <f t="shared" si="340"/>
        <v>9</v>
      </c>
      <c r="H893">
        <f t="shared" si="341"/>
        <v>4</v>
      </c>
      <c r="I893">
        <f t="shared" si="342"/>
        <v>4.75</v>
      </c>
      <c r="J893">
        <f t="shared" si="343"/>
        <v>0.33</v>
      </c>
      <c r="K893">
        <f t="shared" si="344"/>
        <v>0.67</v>
      </c>
      <c r="L893">
        <f t="shared" si="345"/>
        <v>0.33</v>
      </c>
      <c r="M893">
        <f t="shared" si="346"/>
        <v>1</v>
      </c>
      <c r="N893">
        <f t="shared" si="347"/>
        <v>2.33</v>
      </c>
      <c r="O893" t="str">
        <f t="shared" si="351"/>
        <v>紧凑</v>
      </c>
      <c r="P893" t="str">
        <f t="shared" si="348"/>
        <v>紧凑</v>
      </c>
      <c r="Q893" t="str">
        <f t="shared" si="349"/>
        <v>✓有效</v>
      </c>
      <c r="R893" t="str">
        <f t="shared" si="350"/>
        <v>正常</v>
      </c>
    </row>
    <row r="894" ht="14.25" customHeight="1" spans="1:18">
      <c r="A894" s="10">
        <v>2025162</v>
      </c>
      <c r="B894" s="12" t="s">
        <v>200</v>
      </c>
      <c r="C894">
        <f t="shared" si="336"/>
        <v>2</v>
      </c>
      <c r="D894">
        <f t="shared" si="337"/>
        <v>7</v>
      </c>
      <c r="E894">
        <f t="shared" si="338"/>
        <v>5</v>
      </c>
      <c r="F894">
        <f t="shared" si="339"/>
        <v>14</v>
      </c>
      <c r="G894">
        <f t="shared" si="340"/>
        <v>4</v>
      </c>
      <c r="H894">
        <f t="shared" si="341"/>
        <v>5</v>
      </c>
      <c r="I894">
        <f t="shared" si="342"/>
        <v>2.8</v>
      </c>
      <c r="J894">
        <f t="shared" si="343"/>
        <v>0.67</v>
      </c>
      <c r="K894">
        <f t="shared" si="344"/>
        <v>0.67</v>
      </c>
      <c r="L894">
        <f t="shared" si="345"/>
        <v>1</v>
      </c>
      <c r="M894">
        <f t="shared" si="346"/>
        <v>0</v>
      </c>
      <c r="N894">
        <f t="shared" si="347"/>
        <v>1.79</v>
      </c>
      <c r="O894" t="str">
        <f t="shared" si="351"/>
        <v>标准</v>
      </c>
      <c r="P894" t="str">
        <f t="shared" si="348"/>
        <v>紧凑</v>
      </c>
      <c r="Q894" t="str">
        <f t="shared" si="349"/>
        <v>✓有效</v>
      </c>
      <c r="R894" t="str">
        <f t="shared" si="350"/>
        <v>正常</v>
      </c>
    </row>
    <row r="895" ht="14.25" customHeight="1" spans="1:18">
      <c r="A895" s="10">
        <v>2025163</v>
      </c>
      <c r="B895" s="12" t="s">
        <v>636</v>
      </c>
      <c r="C895">
        <f t="shared" si="336"/>
        <v>6</v>
      </c>
      <c r="D895">
        <f t="shared" si="337"/>
        <v>3</v>
      </c>
      <c r="E895">
        <f t="shared" si="338"/>
        <v>6</v>
      </c>
      <c r="F895">
        <f t="shared" si="339"/>
        <v>15</v>
      </c>
      <c r="G895">
        <f t="shared" si="340"/>
        <v>5</v>
      </c>
      <c r="H895">
        <f t="shared" si="341"/>
        <v>3</v>
      </c>
      <c r="I895">
        <f t="shared" si="342"/>
        <v>5</v>
      </c>
      <c r="J895">
        <f t="shared" si="343"/>
        <v>0.33</v>
      </c>
      <c r="K895">
        <f t="shared" si="344"/>
        <v>0.67</v>
      </c>
      <c r="L895">
        <f t="shared" si="345"/>
        <v>0.33</v>
      </c>
      <c r="M895">
        <f t="shared" si="346"/>
        <v>0</v>
      </c>
      <c r="N895">
        <f t="shared" si="347"/>
        <v>2.53</v>
      </c>
      <c r="O895" t="str">
        <f t="shared" si="351"/>
        <v>紧凑</v>
      </c>
      <c r="P895" t="str">
        <f t="shared" si="348"/>
        <v>紧凑</v>
      </c>
      <c r="Q895" t="str">
        <f t="shared" si="349"/>
        <v>✓有效</v>
      </c>
      <c r="R895" t="str">
        <f t="shared" si="350"/>
        <v>正常</v>
      </c>
    </row>
    <row r="896" ht="14.25" customHeight="1" spans="1:18">
      <c r="A896" s="10">
        <v>2025164</v>
      </c>
      <c r="B896" s="12" t="s">
        <v>224</v>
      </c>
      <c r="C896">
        <f t="shared" si="336"/>
        <v>3</v>
      </c>
      <c r="D896">
        <f t="shared" si="337"/>
        <v>3</v>
      </c>
      <c r="E896">
        <f t="shared" si="338"/>
        <v>7</v>
      </c>
      <c r="F896">
        <f t="shared" si="339"/>
        <v>13</v>
      </c>
      <c r="G896">
        <f t="shared" si="340"/>
        <v>3</v>
      </c>
      <c r="H896">
        <f t="shared" si="341"/>
        <v>4</v>
      </c>
      <c r="I896">
        <f t="shared" si="342"/>
        <v>3.25</v>
      </c>
      <c r="J896">
        <f t="shared" si="343"/>
        <v>1</v>
      </c>
      <c r="K896">
        <f t="shared" si="344"/>
        <v>0.33</v>
      </c>
      <c r="L896">
        <f t="shared" si="345"/>
        <v>1</v>
      </c>
      <c r="M896">
        <f t="shared" si="346"/>
        <v>0</v>
      </c>
      <c r="N896">
        <f t="shared" si="347"/>
        <v>1.97</v>
      </c>
      <c r="O896" t="str">
        <f t="shared" si="351"/>
        <v>标准</v>
      </c>
      <c r="P896" t="str">
        <f t="shared" si="348"/>
        <v>紧凑</v>
      </c>
      <c r="Q896" t="str">
        <f t="shared" si="349"/>
        <v>✓有效</v>
      </c>
      <c r="R896" t="str">
        <f t="shared" si="350"/>
        <v>正常</v>
      </c>
    </row>
    <row r="897" ht="14.25" customHeight="1" spans="1:18">
      <c r="A897" s="10">
        <v>2025165</v>
      </c>
      <c r="B897" s="12" t="s">
        <v>89</v>
      </c>
      <c r="C897">
        <f t="shared" si="336"/>
        <v>6</v>
      </c>
      <c r="D897">
        <f t="shared" si="337"/>
        <v>0</v>
      </c>
      <c r="E897">
        <f t="shared" si="338"/>
        <v>9</v>
      </c>
      <c r="F897">
        <f t="shared" si="339"/>
        <v>15</v>
      </c>
      <c r="G897">
        <f t="shared" si="340"/>
        <v>5</v>
      </c>
      <c r="H897">
        <f t="shared" si="341"/>
        <v>9</v>
      </c>
      <c r="I897">
        <f t="shared" si="342"/>
        <v>1.67</v>
      </c>
      <c r="J897">
        <f t="shared" si="343"/>
        <v>0.33</v>
      </c>
      <c r="K897">
        <f t="shared" si="344"/>
        <v>0.67</v>
      </c>
      <c r="L897">
        <f t="shared" si="345"/>
        <v>0</v>
      </c>
      <c r="M897">
        <f t="shared" si="346"/>
        <v>0</v>
      </c>
      <c r="N897">
        <f t="shared" si="347"/>
        <v>1.17</v>
      </c>
      <c r="O897" t="str">
        <f t="shared" si="351"/>
        <v>松散</v>
      </c>
      <c r="P897" t="str">
        <f t="shared" si="348"/>
        <v>极紧凑</v>
      </c>
      <c r="Q897" t="str">
        <f t="shared" si="349"/>
        <v>✓有效</v>
      </c>
      <c r="R897" t="str">
        <f t="shared" si="350"/>
        <v>正常</v>
      </c>
    </row>
    <row r="898" ht="14.25" customHeight="1" spans="1:18">
      <c r="A898" s="10">
        <v>2025166</v>
      </c>
      <c r="B898" s="12" t="s">
        <v>637</v>
      </c>
      <c r="C898">
        <f t="shared" si="336"/>
        <v>8</v>
      </c>
      <c r="D898">
        <f t="shared" si="337"/>
        <v>0</v>
      </c>
      <c r="E898">
        <f t="shared" si="338"/>
        <v>8</v>
      </c>
      <c r="F898">
        <f t="shared" si="339"/>
        <v>16</v>
      </c>
      <c r="G898">
        <f t="shared" si="340"/>
        <v>6</v>
      </c>
      <c r="H898">
        <f t="shared" si="341"/>
        <v>8</v>
      </c>
      <c r="I898">
        <f t="shared" si="342"/>
        <v>2</v>
      </c>
      <c r="J898">
        <f t="shared" si="343"/>
        <v>0</v>
      </c>
      <c r="K898">
        <f t="shared" si="344"/>
        <v>0.67</v>
      </c>
      <c r="L898">
        <f t="shared" si="345"/>
        <v>0</v>
      </c>
      <c r="M898">
        <f t="shared" si="346"/>
        <v>0</v>
      </c>
      <c r="N898">
        <f t="shared" si="347"/>
        <v>1.23</v>
      </c>
      <c r="O898" t="str">
        <f t="shared" si="351"/>
        <v>标准</v>
      </c>
      <c r="P898" t="str">
        <f t="shared" si="348"/>
        <v>极紧凑</v>
      </c>
      <c r="Q898" t="str">
        <f t="shared" si="349"/>
        <v>✓有效</v>
      </c>
      <c r="R898" t="str">
        <f t="shared" si="350"/>
        <v>正常</v>
      </c>
    </row>
    <row r="899" ht="14.25" customHeight="1" spans="1:18">
      <c r="A899" s="10">
        <v>2025167</v>
      </c>
      <c r="B899" s="12" t="s">
        <v>238</v>
      </c>
      <c r="C899">
        <f t="shared" si="336"/>
        <v>7</v>
      </c>
      <c r="D899">
        <f t="shared" si="337"/>
        <v>0</v>
      </c>
      <c r="E899">
        <f t="shared" si="338"/>
        <v>2</v>
      </c>
      <c r="F899">
        <f t="shared" si="339"/>
        <v>9</v>
      </c>
      <c r="G899">
        <f t="shared" si="340"/>
        <v>9</v>
      </c>
      <c r="H899">
        <f t="shared" si="341"/>
        <v>7</v>
      </c>
      <c r="I899">
        <f t="shared" si="342"/>
        <v>1.29</v>
      </c>
      <c r="J899">
        <f t="shared" si="343"/>
        <v>0.33</v>
      </c>
      <c r="K899">
        <f t="shared" si="344"/>
        <v>0.33</v>
      </c>
      <c r="L899">
        <f t="shared" si="345"/>
        <v>0.67</v>
      </c>
      <c r="M899">
        <f t="shared" si="346"/>
        <v>0</v>
      </c>
      <c r="N899">
        <f t="shared" si="347"/>
        <v>1.02</v>
      </c>
      <c r="O899" t="str">
        <f t="shared" si="351"/>
        <v>松散</v>
      </c>
      <c r="P899" t="str">
        <f t="shared" si="348"/>
        <v>极紧凑</v>
      </c>
      <c r="Q899" t="str">
        <f t="shared" si="349"/>
        <v>✓有效</v>
      </c>
      <c r="R899" t="str">
        <f t="shared" si="350"/>
        <v>正常</v>
      </c>
    </row>
    <row r="900" ht="14.25" customHeight="1" spans="1:18">
      <c r="A900" s="10">
        <v>2025168</v>
      </c>
      <c r="B900" s="12" t="s">
        <v>108</v>
      </c>
      <c r="C900">
        <f t="shared" si="336"/>
        <v>5</v>
      </c>
      <c r="D900">
        <f t="shared" si="337"/>
        <v>1</v>
      </c>
      <c r="E900">
        <f t="shared" si="338"/>
        <v>4</v>
      </c>
      <c r="F900">
        <f t="shared" si="339"/>
        <v>10</v>
      </c>
      <c r="G900">
        <f t="shared" si="340"/>
        <v>0</v>
      </c>
      <c r="H900">
        <f t="shared" si="341"/>
        <v>4</v>
      </c>
      <c r="I900">
        <f t="shared" si="342"/>
        <v>2.5</v>
      </c>
      <c r="J900">
        <f t="shared" si="343"/>
        <v>0.67</v>
      </c>
      <c r="K900">
        <f t="shared" si="344"/>
        <v>0.33</v>
      </c>
      <c r="L900">
        <f t="shared" si="345"/>
        <v>0.33</v>
      </c>
      <c r="M900">
        <f t="shared" si="346"/>
        <v>1</v>
      </c>
      <c r="N900">
        <f t="shared" si="347"/>
        <v>1.43</v>
      </c>
      <c r="O900" t="str">
        <f t="shared" si="351"/>
        <v>标准</v>
      </c>
      <c r="P900" t="str">
        <f t="shared" si="348"/>
        <v>极紧凑</v>
      </c>
      <c r="Q900" t="str">
        <f t="shared" si="349"/>
        <v>✓有效</v>
      </c>
      <c r="R900" t="str">
        <f t="shared" si="350"/>
        <v>正常</v>
      </c>
    </row>
    <row r="901" ht="14.25" customHeight="1" spans="1:18">
      <c r="A901" s="10">
        <v>2025169</v>
      </c>
      <c r="B901" s="12" t="s">
        <v>638</v>
      </c>
      <c r="C901">
        <f t="shared" si="336"/>
        <v>9</v>
      </c>
      <c r="D901">
        <f t="shared" si="337"/>
        <v>7</v>
      </c>
      <c r="E901">
        <f t="shared" si="338"/>
        <v>8</v>
      </c>
      <c r="F901">
        <f t="shared" si="339"/>
        <v>24</v>
      </c>
      <c r="G901">
        <f t="shared" si="340"/>
        <v>4</v>
      </c>
      <c r="H901">
        <f t="shared" si="341"/>
        <v>2</v>
      </c>
      <c r="I901">
        <f t="shared" si="342"/>
        <v>12</v>
      </c>
      <c r="J901">
        <f t="shared" si="343"/>
        <v>0.67</v>
      </c>
      <c r="K901">
        <f t="shared" si="344"/>
        <v>1</v>
      </c>
      <c r="L901">
        <f t="shared" si="345"/>
        <v>0.33</v>
      </c>
      <c r="M901">
        <f t="shared" si="346"/>
        <v>2</v>
      </c>
      <c r="N901">
        <f t="shared" si="347"/>
        <v>5.27</v>
      </c>
      <c r="O901" t="str">
        <f t="shared" si="351"/>
        <v>紧凑</v>
      </c>
      <c r="P901" t="str">
        <f t="shared" si="348"/>
        <v>松散</v>
      </c>
      <c r="Q901" t="str">
        <f t="shared" si="349"/>
        <v>✓有效</v>
      </c>
      <c r="R901" t="str">
        <f t="shared" si="350"/>
        <v>异常</v>
      </c>
    </row>
    <row r="902" ht="14.25" customHeight="1" spans="1:18">
      <c r="A902" s="10">
        <v>2025170</v>
      </c>
      <c r="B902" s="12" t="s">
        <v>303</v>
      </c>
      <c r="C902">
        <f t="shared" si="336"/>
        <v>4</v>
      </c>
      <c r="D902">
        <f t="shared" si="337"/>
        <v>7</v>
      </c>
      <c r="E902">
        <f t="shared" si="338"/>
        <v>5</v>
      </c>
      <c r="F902">
        <f t="shared" si="339"/>
        <v>16</v>
      </c>
      <c r="G902">
        <f t="shared" si="340"/>
        <v>6</v>
      </c>
      <c r="H902">
        <f t="shared" si="341"/>
        <v>3</v>
      </c>
      <c r="I902">
        <f t="shared" si="342"/>
        <v>5.33</v>
      </c>
      <c r="J902">
        <f t="shared" si="343"/>
        <v>0.67</v>
      </c>
      <c r="K902">
        <f t="shared" si="344"/>
        <v>0.67</v>
      </c>
      <c r="L902">
        <f t="shared" si="345"/>
        <v>0.67</v>
      </c>
      <c r="M902">
        <f t="shared" si="346"/>
        <v>1</v>
      </c>
      <c r="N902">
        <f t="shared" si="347"/>
        <v>2.67</v>
      </c>
      <c r="O902" t="str">
        <f t="shared" si="351"/>
        <v>紧凑</v>
      </c>
      <c r="P902" t="str">
        <f t="shared" si="348"/>
        <v>紧凑</v>
      </c>
      <c r="Q902" t="str">
        <f t="shared" si="349"/>
        <v>✓有效</v>
      </c>
      <c r="R902" t="str">
        <f t="shared" si="350"/>
        <v>正常</v>
      </c>
    </row>
    <row r="903" ht="14.25" customHeight="1" spans="1:18">
      <c r="A903" s="10">
        <v>2025171</v>
      </c>
      <c r="B903" s="12" t="s">
        <v>298</v>
      </c>
      <c r="C903">
        <f t="shared" si="336"/>
        <v>1</v>
      </c>
      <c r="D903">
        <f t="shared" si="337"/>
        <v>1</v>
      </c>
      <c r="E903">
        <f t="shared" si="338"/>
        <v>3</v>
      </c>
      <c r="F903">
        <f t="shared" si="339"/>
        <v>5</v>
      </c>
      <c r="G903">
        <f t="shared" si="340"/>
        <v>5</v>
      </c>
      <c r="H903">
        <f t="shared" si="341"/>
        <v>2</v>
      </c>
      <c r="I903">
        <f t="shared" si="342"/>
        <v>2.5</v>
      </c>
      <c r="J903">
        <f t="shared" si="343"/>
        <v>1</v>
      </c>
      <c r="K903">
        <f t="shared" si="344"/>
        <v>0</v>
      </c>
      <c r="L903">
        <f t="shared" si="345"/>
        <v>0.33</v>
      </c>
      <c r="M903">
        <f t="shared" si="346"/>
        <v>0</v>
      </c>
      <c r="N903">
        <f t="shared" si="347"/>
        <v>1.53</v>
      </c>
      <c r="O903" t="str">
        <f t="shared" si="351"/>
        <v>标准</v>
      </c>
      <c r="P903" t="str">
        <f t="shared" si="348"/>
        <v>紧凑</v>
      </c>
      <c r="Q903" t="str">
        <f t="shared" si="349"/>
        <v>✓有效</v>
      </c>
      <c r="R903" t="str">
        <f t="shared" si="350"/>
        <v>正常</v>
      </c>
    </row>
    <row r="904" ht="14.25" customHeight="1" spans="1:18">
      <c r="A904" s="10">
        <v>2025172</v>
      </c>
      <c r="B904" s="12" t="s">
        <v>386</v>
      </c>
      <c r="C904">
        <f t="shared" si="336"/>
        <v>4</v>
      </c>
      <c r="D904">
        <f t="shared" si="337"/>
        <v>0</v>
      </c>
      <c r="E904">
        <f t="shared" si="338"/>
        <v>6</v>
      </c>
      <c r="F904">
        <f t="shared" si="339"/>
        <v>10</v>
      </c>
      <c r="G904">
        <f t="shared" si="340"/>
        <v>0</v>
      </c>
      <c r="H904">
        <f t="shared" si="341"/>
        <v>6</v>
      </c>
      <c r="I904">
        <f t="shared" si="342"/>
        <v>1.67</v>
      </c>
      <c r="J904">
        <f t="shared" si="343"/>
        <v>0</v>
      </c>
      <c r="K904">
        <f t="shared" si="344"/>
        <v>0.33</v>
      </c>
      <c r="L904">
        <f t="shared" si="345"/>
        <v>0</v>
      </c>
      <c r="M904">
        <f t="shared" si="346"/>
        <v>0</v>
      </c>
      <c r="N904">
        <f t="shared" si="347"/>
        <v>1.03</v>
      </c>
      <c r="O904" t="str">
        <f t="shared" si="351"/>
        <v>松散</v>
      </c>
      <c r="P904" t="str">
        <f t="shared" si="348"/>
        <v>极紧凑</v>
      </c>
      <c r="Q904" t="str">
        <f t="shared" si="349"/>
        <v>✓有效</v>
      </c>
      <c r="R904" t="str">
        <f t="shared" si="350"/>
        <v>正常</v>
      </c>
    </row>
    <row r="905" ht="14.25" customHeight="1" spans="1:18">
      <c r="A905" s="10">
        <v>2025173</v>
      </c>
      <c r="B905" s="12" t="s">
        <v>639</v>
      </c>
      <c r="C905">
        <f t="shared" si="336"/>
        <v>0</v>
      </c>
      <c r="D905">
        <f t="shared" si="337"/>
        <v>9</v>
      </c>
      <c r="E905">
        <f t="shared" si="338"/>
        <v>2</v>
      </c>
      <c r="F905">
        <f t="shared" si="339"/>
        <v>11</v>
      </c>
      <c r="G905">
        <f t="shared" si="340"/>
        <v>1</v>
      </c>
      <c r="H905">
        <f t="shared" si="341"/>
        <v>9</v>
      </c>
      <c r="I905">
        <f t="shared" si="342"/>
        <v>1.22</v>
      </c>
      <c r="J905">
        <f t="shared" si="343"/>
        <v>0.33</v>
      </c>
      <c r="K905">
        <f t="shared" si="344"/>
        <v>0.33</v>
      </c>
      <c r="L905">
        <f t="shared" si="345"/>
        <v>0.33</v>
      </c>
      <c r="M905">
        <f t="shared" si="346"/>
        <v>0</v>
      </c>
      <c r="N905">
        <f t="shared" si="347"/>
        <v>0.95</v>
      </c>
      <c r="O905" t="str">
        <f t="shared" si="351"/>
        <v>松散</v>
      </c>
      <c r="P905" t="str">
        <f t="shared" si="348"/>
        <v>极紧凑</v>
      </c>
      <c r="Q905" t="str">
        <f t="shared" si="349"/>
        <v>✓有效</v>
      </c>
      <c r="R905" t="str">
        <f t="shared" si="350"/>
        <v>正常</v>
      </c>
    </row>
    <row r="906" ht="14.25" customHeight="1" spans="1:18">
      <c r="A906" s="10">
        <v>2025174</v>
      </c>
      <c r="B906" s="12" t="s">
        <v>640</v>
      </c>
      <c r="C906">
        <f t="shared" si="336"/>
        <v>5</v>
      </c>
      <c r="D906">
        <f t="shared" si="337"/>
        <v>3</v>
      </c>
      <c r="E906">
        <f t="shared" si="338"/>
        <v>3</v>
      </c>
      <c r="F906">
        <f t="shared" si="339"/>
        <v>11</v>
      </c>
      <c r="G906">
        <f t="shared" si="340"/>
        <v>1</v>
      </c>
      <c r="H906">
        <f t="shared" si="341"/>
        <v>2</v>
      </c>
      <c r="I906">
        <f t="shared" si="342"/>
        <v>5.5</v>
      </c>
      <c r="J906">
        <f t="shared" si="343"/>
        <v>1</v>
      </c>
      <c r="K906">
        <f t="shared" si="344"/>
        <v>0.33</v>
      </c>
      <c r="L906">
        <f t="shared" si="345"/>
        <v>1</v>
      </c>
      <c r="M906">
        <f t="shared" si="346"/>
        <v>0</v>
      </c>
      <c r="N906">
        <f t="shared" si="347"/>
        <v>2.87</v>
      </c>
      <c r="O906" t="str">
        <f t="shared" si="351"/>
        <v>紧凑</v>
      </c>
      <c r="P906" t="str">
        <f t="shared" si="348"/>
        <v>紧凑</v>
      </c>
      <c r="Q906" t="str">
        <f t="shared" si="349"/>
        <v>✓有效</v>
      </c>
      <c r="R906" t="str">
        <f t="shared" si="350"/>
        <v>正常</v>
      </c>
    </row>
    <row r="907" ht="14.25" customHeight="1" spans="1:18">
      <c r="A907" s="10">
        <v>2025175</v>
      </c>
      <c r="B907" s="12" t="s">
        <v>641</v>
      </c>
      <c r="C907">
        <f t="shared" si="336"/>
        <v>6</v>
      </c>
      <c r="D907">
        <f t="shared" si="337"/>
        <v>1</v>
      </c>
      <c r="E907">
        <f t="shared" si="338"/>
        <v>6</v>
      </c>
      <c r="F907">
        <f t="shared" si="339"/>
        <v>13</v>
      </c>
      <c r="G907">
        <f t="shared" si="340"/>
        <v>3</v>
      </c>
      <c r="H907">
        <f t="shared" si="341"/>
        <v>5</v>
      </c>
      <c r="I907">
        <f t="shared" si="342"/>
        <v>2.6</v>
      </c>
      <c r="J907">
        <f t="shared" si="343"/>
        <v>0.33</v>
      </c>
      <c r="K907">
        <f t="shared" si="344"/>
        <v>0.67</v>
      </c>
      <c r="L907">
        <f t="shared" si="345"/>
        <v>0</v>
      </c>
      <c r="M907">
        <f t="shared" si="346"/>
        <v>0</v>
      </c>
      <c r="N907">
        <f t="shared" si="347"/>
        <v>1.54</v>
      </c>
      <c r="O907" t="str">
        <f t="shared" si="351"/>
        <v>标准</v>
      </c>
      <c r="P907" t="str">
        <f t="shared" si="348"/>
        <v>紧凑</v>
      </c>
      <c r="Q907" t="str">
        <f t="shared" si="349"/>
        <v>✓有效</v>
      </c>
      <c r="R907" t="str">
        <f t="shared" si="350"/>
        <v>正常</v>
      </c>
    </row>
    <row r="908" ht="14.25" customHeight="1" spans="1:18">
      <c r="A908" s="10">
        <v>2025176</v>
      </c>
      <c r="B908" s="12" t="s">
        <v>642</v>
      </c>
      <c r="C908">
        <f t="shared" si="336"/>
        <v>1</v>
      </c>
      <c r="D908">
        <f t="shared" si="337"/>
        <v>2</v>
      </c>
      <c r="E908">
        <f t="shared" si="338"/>
        <v>2</v>
      </c>
      <c r="F908">
        <f t="shared" si="339"/>
        <v>5</v>
      </c>
      <c r="G908">
        <f t="shared" si="340"/>
        <v>5</v>
      </c>
      <c r="H908">
        <f t="shared" si="341"/>
        <v>1</v>
      </c>
      <c r="I908">
        <f t="shared" si="342"/>
        <v>5</v>
      </c>
      <c r="J908">
        <f t="shared" si="343"/>
        <v>0.33</v>
      </c>
      <c r="K908">
        <f t="shared" si="344"/>
        <v>0</v>
      </c>
      <c r="L908">
        <f t="shared" si="345"/>
        <v>0.67</v>
      </c>
      <c r="M908">
        <f t="shared" si="346"/>
        <v>2</v>
      </c>
      <c r="N908">
        <f t="shared" si="347"/>
        <v>2.23</v>
      </c>
      <c r="O908" t="str">
        <f t="shared" si="351"/>
        <v>紧凑</v>
      </c>
      <c r="P908" t="str">
        <f t="shared" si="348"/>
        <v>紧凑</v>
      </c>
      <c r="Q908" t="str">
        <f t="shared" si="349"/>
        <v>✓有效</v>
      </c>
      <c r="R908" t="str">
        <f t="shared" si="350"/>
        <v>正常</v>
      </c>
    </row>
    <row r="909" ht="14.25" customHeight="1" spans="1:18">
      <c r="A909" s="10">
        <v>2025177</v>
      </c>
      <c r="B909" s="12" t="s">
        <v>502</v>
      </c>
      <c r="C909">
        <f t="shared" si="336"/>
        <v>4</v>
      </c>
      <c r="D909">
        <f t="shared" si="337"/>
        <v>9</v>
      </c>
      <c r="E909">
        <f t="shared" si="338"/>
        <v>7</v>
      </c>
      <c r="F909">
        <f t="shared" si="339"/>
        <v>20</v>
      </c>
      <c r="G909">
        <f t="shared" si="340"/>
        <v>0</v>
      </c>
      <c r="H909">
        <f t="shared" si="341"/>
        <v>5</v>
      </c>
      <c r="I909">
        <f t="shared" si="342"/>
        <v>4</v>
      </c>
      <c r="J909">
        <f t="shared" si="343"/>
        <v>0.67</v>
      </c>
      <c r="K909">
        <f t="shared" si="344"/>
        <v>0.67</v>
      </c>
      <c r="L909">
        <f t="shared" si="345"/>
        <v>0.33</v>
      </c>
      <c r="M909">
        <f t="shared" si="346"/>
        <v>0</v>
      </c>
      <c r="N909">
        <f t="shared" si="347"/>
        <v>2.2</v>
      </c>
      <c r="O909" t="str">
        <f t="shared" si="351"/>
        <v>紧凑</v>
      </c>
      <c r="P909" t="str">
        <f t="shared" si="348"/>
        <v>紧凑</v>
      </c>
      <c r="Q909" t="str">
        <f t="shared" si="349"/>
        <v>✓有效</v>
      </c>
      <c r="R909" t="str">
        <f t="shared" si="350"/>
        <v>正常</v>
      </c>
    </row>
    <row r="910" ht="14.25" customHeight="1" spans="1:18">
      <c r="A910" s="10">
        <v>2025178</v>
      </c>
      <c r="B910" s="12" t="s">
        <v>123</v>
      </c>
      <c r="C910">
        <f t="shared" si="336"/>
        <v>7</v>
      </c>
      <c r="D910">
        <f t="shared" si="337"/>
        <v>2</v>
      </c>
      <c r="E910">
        <f t="shared" si="338"/>
        <v>8</v>
      </c>
      <c r="F910">
        <f t="shared" si="339"/>
        <v>17</v>
      </c>
      <c r="G910">
        <f t="shared" si="340"/>
        <v>7</v>
      </c>
      <c r="H910">
        <f t="shared" si="341"/>
        <v>6</v>
      </c>
      <c r="I910">
        <f t="shared" si="342"/>
        <v>2.83</v>
      </c>
      <c r="J910">
        <f t="shared" si="343"/>
        <v>0.33</v>
      </c>
      <c r="K910">
        <f t="shared" si="344"/>
        <v>0.67</v>
      </c>
      <c r="L910">
        <f t="shared" si="345"/>
        <v>0.67</v>
      </c>
      <c r="M910">
        <f t="shared" si="346"/>
        <v>1</v>
      </c>
      <c r="N910">
        <f t="shared" si="347"/>
        <v>1.6</v>
      </c>
      <c r="O910" t="str">
        <f t="shared" si="351"/>
        <v>标准</v>
      </c>
      <c r="P910" t="str">
        <f t="shared" si="348"/>
        <v>紧凑</v>
      </c>
      <c r="Q910" t="str">
        <f t="shared" si="349"/>
        <v>✓有效</v>
      </c>
      <c r="R910" t="str">
        <f t="shared" si="350"/>
        <v>正常</v>
      </c>
    </row>
    <row r="911" ht="14.25" customHeight="1" spans="1:18">
      <c r="A911" s="10">
        <v>2025179</v>
      </c>
      <c r="B911" s="12" t="s">
        <v>242</v>
      </c>
      <c r="C911">
        <f t="shared" si="336"/>
        <v>2</v>
      </c>
      <c r="D911">
        <f t="shared" si="337"/>
        <v>8</v>
      </c>
      <c r="E911">
        <f t="shared" si="338"/>
        <v>0</v>
      </c>
      <c r="F911">
        <f t="shared" si="339"/>
        <v>10</v>
      </c>
      <c r="G911">
        <f t="shared" si="340"/>
        <v>0</v>
      </c>
      <c r="H911">
        <f t="shared" si="341"/>
        <v>8</v>
      </c>
      <c r="I911">
        <f t="shared" si="342"/>
        <v>1.25</v>
      </c>
      <c r="J911">
        <f t="shared" si="343"/>
        <v>0</v>
      </c>
      <c r="K911">
        <f t="shared" si="344"/>
        <v>0.33</v>
      </c>
      <c r="L911">
        <f t="shared" si="345"/>
        <v>0.33</v>
      </c>
      <c r="M911">
        <f t="shared" si="346"/>
        <v>0</v>
      </c>
      <c r="N911">
        <f t="shared" si="347"/>
        <v>0.9</v>
      </c>
      <c r="O911" t="str">
        <f t="shared" si="351"/>
        <v>松散</v>
      </c>
      <c r="P911" t="str">
        <f t="shared" si="348"/>
        <v>极紧凑</v>
      </c>
      <c r="Q911" t="str">
        <f t="shared" si="349"/>
        <v>✓有效</v>
      </c>
      <c r="R911" t="str">
        <f t="shared" si="350"/>
        <v>正常</v>
      </c>
    </row>
    <row r="912" ht="14.25" customHeight="1" spans="1:18">
      <c r="A912" s="10">
        <v>2025180</v>
      </c>
      <c r="B912" s="12" t="s">
        <v>567</v>
      </c>
      <c r="C912">
        <f t="shared" si="336"/>
        <v>2</v>
      </c>
      <c r="D912">
        <f t="shared" si="337"/>
        <v>6</v>
      </c>
      <c r="E912">
        <f t="shared" si="338"/>
        <v>0</v>
      </c>
      <c r="F912">
        <f t="shared" si="339"/>
        <v>8</v>
      </c>
      <c r="G912">
        <f t="shared" si="340"/>
        <v>8</v>
      </c>
      <c r="H912">
        <f t="shared" si="341"/>
        <v>6</v>
      </c>
      <c r="I912">
        <f t="shared" si="342"/>
        <v>1.33</v>
      </c>
      <c r="J912">
        <f t="shared" si="343"/>
        <v>0</v>
      </c>
      <c r="K912">
        <f t="shared" si="344"/>
        <v>0.33</v>
      </c>
      <c r="L912">
        <f t="shared" si="345"/>
        <v>0.33</v>
      </c>
      <c r="M912">
        <f t="shared" si="346"/>
        <v>0</v>
      </c>
      <c r="N912">
        <f t="shared" si="347"/>
        <v>0.93</v>
      </c>
      <c r="O912" t="str">
        <f t="shared" si="351"/>
        <v>松散</v>
      </c>
      <c r="P912" t="str">
        <f t="shared" si="348"/>
        <v>极紧凑</v>
      </c>
      <c r="Q912" t="str">
        <f t="shared" si="349"/>
        <v>✓有效</v>
      </c>
      <c r="R912" t="str">
        <f t="shared" si="350"/>
        <v>正常</v>
      </c>
    </row>
    <row r="913" ht="14.25" customHeight="1" spans="1:18">
      <c r="A913" s="10">
        <v>2025181</v>
      </c>
      <c r="B913" s="12" t="s">
        <v>154</v>
      </c>
      <c r="C913">
        <f t="shared" si="336"/>
        <v>8</v>
      </c>
      <c r="D913">
        <f t="shared" si="337"/>
        <v>8</v>
      </c>
      <c r="E913">
        <f t="shared" si="338"/>
        <v>6</v>
      </c>
      <c r="F913">
        <f t="shared" si="339"/>
        <v>22</v>
      </c>
      <c r="G913">
        <f t="shared" si="340"/>
        <v>2</v>
      </c>
      <c r="H913">
        <f t="shared" si="341"/>
        <v>2</v>
      </c>
      <c r="I913">
        <f t="shared" si="342"/>
        <v>11</v>
      </c>
      <c r="J913">
        <f t="shared" si="343"/>
        <v>0</v>
      </c>
      <c r="K913">
        <f t="shared" si="344"/>
        <v>1</v>
      </c>
      <c r="L913">
        <f t="shared" si="345"/>
        <v>0</v>
      </c>
      <c r="M913">
        <f t="shared" si="346"/>
        <v>0</v>
      </c>
      <c r="N913">
        <f t="shared" si="347"/>
        <v>4.9</v>
      </c>
      <c r="O913" t="str">
        <f t="shared" si="351"/>
        <v>紧凑</v>
      </c>
      <c r="P913" t="str">
        <f t="shared" si="348"/>
        <v>标准</v>
      </c>
      <c r="Q913" t="str">
        <f t="shared" si="349"/>
        <v>✓有效</v>
      </c>
      <c r="R913" t="str">
        <f t="shared" si="350"/>
        <v>异常</v>
      </c>
    </row>
    <row r="914" ht="14.25" customHeight="1" spans="1:18">
      <c r="A914" s="10">
        <v>2025182</v>
      </c>
      <c r="B914" s="12" t="s">
        <v>92</v>
      </c>
      <c r="C914">
        <f t="shared" si="336"/>
        <v>7</v>
      </c>
      <c r="D914">
        <f t="shared" si="337"/>
        <v>0</v>
      </c>
      <c r="E914">
        <f t="shared" si="338"/>
        <v>8</v>
      </c>
      <c r="F914">
        <f t="shared" si="339"/>
        <v>15</v>
      </c>
      <c r="G914">
        <f t="shared" si="340"/>
        <v>5</v>
      </c>
      <c r="H914">
        <f t="shared" si="341"/>
        <v>8</v>
      </c>
      <c r="I914">
        <f t="shared" si="342"/>
        <v>1.88</v>
      </c>
      <c r="J914">
        <f t="shared" si="343"/>
        <v>0.33</v>
      </c>
      <c r="K914">
        <f t="shared" si="344"/>
        <v>0.67</v>
      </c>
      <c r="L914">
        <f t="shared" si="345"/>
        <v>0.33</v>
      </c>
      <c r="M914">
        <f t="shared" si="346"/>
        <v>1</v>
      </c>
      <c r="N914">
        <f t="shared" si="347"/>
        <v>1.19</v>
      </c>
      <c r="O914" t="str">
        <f t="shared" si="351"/>
        <v>松散</v>
      </c>
      <c r="P914" t="str">
        <f t="shared" si="348"/>
        <v>极紧凑</v>
      </c>
      <c r="Q914" t="str">
        <f t="shared" si="349"/>
        <v>✓有效</v>
      </c>
      <c r="R914" t="str">
        <f t="shared" si="350"/>
        <v>正常</v>
      </c>
    </row>
    <row r="915" ht="14.25" customHeight="1" spans="1:18">
      <c r="A915" s="10">
        <v>2025183</v>
      </c>
      <c r="B915" s="12" t="s">
        <v>643</v>
      </c>
      <c r="C915">
        <f t="shared" si="336"/>
        <v>7</v>
      </c>
      <c r="D915">
        <f t="shared" si="337"/>
        <v>4</v>
      </c>
      <c r="E915">
        <f t="shared" si="338"/>
        <v>4</v>
      </c>
      <c r="F915">
        <f t="shared" si="339"/>
        <v>15</v>
      </c>
      <c r="G915">
        <f t="shared" si="340"/>
        <v>5</v>
      </c>
      <c r="H915">
        <f t="shared" si="341"/>
        <v>3</v>
      </c>
      <c r="I915">
        <f t="shared" si="342"/>
        <v>5</v>
      </c>
      <c r="J915">
        <f t="shared" si="343"/>
        <v>0.33</v>
      </c>
      <c r="K915">
        <f t="shared" si="344"/>
        <v>0.33</v>
      </c>
      <c r="L915">
        <f t="shared" si="345"/>
        <v>0.33</v>
      </c>
      <c r="M915">
        <f t="shared" si="346"/>
        <v>0</v>
      </c>
      <c r="N915">
        <f t="shared" si="347"/>
        <v>2.47</v>
      </c>
      <c r="O915" t="str">
        <f t="shared" si="351"/>
        <v>紧凑</v>
      </c>
      <c r="P915" t="str">
        <f t="shared" si="348"/>
        <v>紧凑</v>
      </c>
      <c r="Q915" t="str">
        <f t="shared" si="349"/>
        <v>✓有效</v>
      </c>
      <c r="R915" t="str">
        <f t="shared" si="350"/>
        <v>正常</v>
      </c>
    </row>
    <row r="916" ht="14.25" customHeight="1" spans="1:18">
      <c r="A916" s="10">
        <v>2025184</v>
      </c>
      <c r="B916" s="12" t="s">
        <v>148</v>
      </c>
      <c r="C916">
        <f t="shared" si="336"/>
        <v>7</v>
      </c>
      <c r="D916">
        <f t="shared" si="337"/>
        <v>9</v>
      </c>
      <c r="E916">
        <f t="shared" si="338"/>
        <v>9</v>
      </c>
      <c r="F916">
        <f t="shared" si="339"/>
        <v>25</v>
      </c>
      <c r="G916">
        <f t="shared" si="340"/>
        <v>5</v>
      </c>
      <c r="H916">
        <f t="shared" si="341"/>
        <v>2</v>
      </c>
      <c r="I916">
        <f t="shared" si="342"/>
        <v>12.5</v>
      </c>
      <c r="J916">
        <f t="shared" si="343"/>
        <v>1</v>
      </c>
      <c r="K916">
        <f t="shared" si="344"/>
        <v>1</v>
      </c>
      <c r="L916">
        <f t="shared" si="345"/>
        <v>0.33</v>
      </c>
      <c r="M916">
        <f t="shared" si="346"/>
        <v>0</v>
      </c>
      <c r="N916">
        <f t="shared" si="347"/>
        <v>5.73</v>
      </c>
      <c r="O916" t="str">
        <f t="shared" si="351"/>
        <v>紧凑</v>
      </c>
      <c r="P916" t="str">
        <f t="shared" si="348"/>
        <v>松散</v>
      </c>
      <c r="Q916" t="str">
        <f t="shared" si="349"/>
        <v>✓有效</v>
      </c>
      <c r="R916" t="str">
        <f t="shared" si="350"/>
        <v>异常</v>
      </c>
    </row>
    <row r="917" ht="14.25" customHeight="1" spans="1:18">
      <c r="A917" s="10">
        <v>2025185</v>
      </c>
      <c r="B917" s="12" t="s">
        <v>464</v>
      </c>
      <c r="C917">
        <f t="shared" si="336"/>
        <v>1</v>
      </c>
      <c r="D917">
        <f t="shared" si="337"/>
        <v>6</v>
      </c>
      <c r="E917">
        <f t="shared" si="338"/>
        <v>4</v>
      </c>
      <c r="F917">
        <f t="shared" si="339"/>
        <v>11</v>
      </c>
      <c r="G917">
        <f t="shared" si="340"/>
        <v>1</v>
      </c>
      <c r="H917">
        <f t="shared" si="341"/>
        <v>5</v>
      </c>
      <c r="I917">
        <f t="shared" si="342"/>
        <v>2.2</v>
      </c>
      <c r="J917">
        <f t="shared" si="343"/>
        <v>0.33</v>
      </c>
      <c r="K917">
        <f t="shared" si="344"/>
        <v>0.33</v>
      </c>
      <c r="L917">
        <f t="shared" si="345"/>
        <v>0</v>
      </c>
      <c r="M917">
        <f t="shared" si="346"/>
        <v>0</v>
      </c>
      <c r="N917">
        <f t="shared" si="347"/>
        <v>1.31</v>
      </c>
      <c r="O917" t="str">
        <f t="shared" si="351"/>
        <v>标准</v>
      </c>
      <c r="P917" t="str">
        <f t="shared" si="348"/>
        <v>极紧凑</v>
      </c>
      <c r="Q917" t="str">
        <f t="shared" si="349"/>
        <v>✓有效</v>
      </c>
      <c r="R917" t="str">
        <f t="shared" si="350"/>
        <v>正常</v>
      </c>
    </row>
    <row r="918" ht="14.25" customHeight="1" spans="1:18">
      <c r="A918" s="10">
        <v>2025186</v>
      </c>
      <c r="B918" s="12" t="s">
        <v>348</v>
      </c>
      <c r="C918">
        <f t="shared" si="336"/>
        <v>2</v>
      </c>
      <c r="D918">
        <f t="shared" si="337"/>
        <v>2</v>
      </c>
      <c r="E918">
        <f t="shared" si="338"/>
        <v>7</v>
      </c>
      <c r="F918">
        <f t="shared" si="339"/>
        <v>11</v>
      </c>
      <c r="G918">
        <f t="shared" si="340"/>
        <v>1</v>
      </c>
      <c r="H918">
        <f t="shared" si="341"/>
        <v>5</v>
      </c>
      <c r="I918">
        <f t="shared" si="342"/>
        <v>2.2</v>
      </c>
      <c r="J918">
        <f t="shared" si="343"/>
        <v>0.33</v>
      </c>
      <c r="K918">
        <f t="shared" si="344"/>
        <v>0.33</v>
      </c>
      <c r="L918">
        <f t="shared" si="345"/>
        <v>1</v>
      </c>
      <c r="M918">
        <f t="shared" si="346"/>
        <v>0</v>
      </c>
      <c r="N918">
        <f t="shared" si="347"/>
        <v>1.41</v>
      </c>
      <c r="O918" t="str">
        <f t="shared" si="351"/>
        <v>标准</v>
      </c>
      <c r="P918" t="str">
        <f t="shared" si="348"/>
        <v>极紧凑</v>
      </c>
      <c r="Q918" t="str">
        <f t="shared" si="349"/>
        <v>✓有效</v>
      </c>
      <c r="R918" t="str">
        <f t="shared" si="350"/>
        <v>正常</v>
      </c>
    </row>
    <row r="919" ht="14.25" customHeight="1" spans="1:18">
      <c r="A919" s="10">
        <v>2025187</v>
      </c>
      <c r="B919" s="12" t="s">
        <v>419</v>
      </c>
      <c r="C919">
        <f t="shared" si="336"/>
        <v>7</v>
      </c>
      <c r="D919">
        <f t="shared" si="337"/>
        <v>6</v>
      </c>
      <c r="E919">
        <f t="shared" si="338"/>
        <v>1</v>
      </c>
      <c r="F919">
        <f t="shared" si="339"/>
        <v>14</v>
      </c>
      <c r="G919">
        <f t="shared" si="340"/>
        <v>4</v>
      </c>
      <c r="H919">
        <f t="shared" si="341"/>
        <v>6</v>
      </c>
      <c r="I919">
        <f t="shared" si="342"/>
        <v>2.33</v>
      </c>
      <c r="J919">
        <f t="shared" si="343"/>
        <v>0.67</v>
      </c>
      <c r="K919">
        <f t="shared" si="344"/>
        <v>0.67</v>
      </c>
      <c r="L919">
        <f t="shared" si="345"/>
        <v>0.33</v>
      </c>
      <c r="M919">
        <f t="shared" si="346"/>
        <v>1</v>
      </c>
      <c r="N919">
        <f t="shared" si="347"/>
        <v>1.43</v>
      </c>
      <c r="O919" t="str">
        <f t="shared" si="351"/>
        <v>标准</v>
      </c>
      <c r="P919" t="str">
        <f t="shared" si="348"/>
        <v>极紧凑</v>
      </c>
      <c r="Q919" t="str">
        <f t="shared" si="349"/>
        <v>✓有效</v>
      </c>
      <c r="R919" t="str">
        <f t="shared" si="350"/>
        <v>正常</v>
      </c>
    </row>
    <row r="920" ht="14.25" customHeight="1" spans="1:18">
      <c r="A920" s="10">
        <v>2025188</v>
      </c>
      <c r="B920" s="12" t="s">
        <v>644</v>
      </c>
      <c r="C920">
        <f t="shared" si="336"/>
        <v>0</v>
      </c>
      <c r="D920">
        <f t="shared" si="337"/>
        <v>1</v>
      </c>
      <c r="E920">
        <f t="shared" si="338"/>
        <v>8</v>
      </c>
      <c r="F920">
        <f t="shared" si="339"/>
        <v>9</v>
      </c>
      <c r="G920">
        <f t="shared" si="340"/>
        <v>9</v>
      </c>
      <c r="H920">
        <f t="shared" si="341"/>
        <v>8</v>
      </c>
      <c r="I920">
        <f t="shared" si="342"/>
        <v>1.13</v>
      </c>
      <c r="J920">
        <f t="shared" si="343"/>
        <v>0.33</v>
      </c>
      <c r="K920">
        <f t="shared" si="344"/>
        <v>0.33</v>
      </c>
      <c r="L920">
        <f t="shared" si="345"/>
        <v>0</v>
      </c>
      <c r="M920">
        <f t="shared" si="346"/>
        <v>1</v>
      </c>
      <c r="N920">
        <f t="shared" si="347"/>
        <v>0.78</v>
      </c>
      <c r="O920" t="str">
        <f t="shared" si="351"/>
        <v>松散</v>
      </c>
      <c r="P920" t="str">
        <f t="shared" si="348"/>
        <v>极紧凑</v>
      </c>
      <c r="Q920" t="str">
        <f t="shared" si="349"/>
        <v>✓有效</v>
      </c>
      <c r="R920" t="str">
        <f t="shared" si="350"/>
        <v>正常</v>
      </c>
    </row>
    <row r="921" ht="14.25" customHeight="1" spans="1:18">
      <c r="A921" s="10">
        <v>2025189</v>
      </c>
      <c r="B921" s="12" t="s">
        <v>645</v>
      </c>
      <c r="C921">
        <f t="shared" si="336"/>
        <v>9</v>
      </c>
      <c r="D921">
        <f t="shared" si="337"/>
        <v>0</v>
      </c>
      <c r="E921">
        <f t="shared" si="338"/>
        <v>7</v>
      </c>
      <c r="F921">
        <f t="shared" si="339"/>
        <v>16</v>
      </c>
      <c r="G921">
        <f t="shared" si="340"/>
        <v>6</v>
      </c>
      <c r="H921">
        <f t="shared" si="341"/>
        <v>9</v>
      </c>
      <c r="I921">
        <f t="shared" si="342"/>
        <v>1.78</v>
      </c>
      <c r="J921">
        <f t="shared" si="343"/>
        <v>0.67</v>
      </c>
      <c r="K921">
        <f t="shared" si="344"/>
        <v>0.67</v>
      </c>
      <c r="L921">
        <f t="shared" si="345"/>
        <v>0.33</v>
      </c>
      <c r="M921">
        <f t="shared" si="346"/>
        <v>0</v>
      </c>
      <c r="N921">
        <f t="shared" si="347"/>
        <v>1.31</v>
      </c>
      <c r="O921" t="str">
        <f t="shared" si="351"/>
        <v>松散</v>
      </c>
      <c r="P921" t="str">
        <f t="shared" si="348"/>
        <v>极紧凑</v>
      </c>
      <c r="Q921" t="str">
        <f t="shared" si="349"/>
        <v>✓有效</v>
      </c>
      <c r="R921" t="str">
        <f t="shared" si="350"/>
        <v>正常</v>
      </c>
    </row>
    <row r="922" ht="14.25" customHeight="1" spans="1:18">
      <c r="A922" s="10">
        <v>2025190</v>
      </c>
      <c r="B922" s="12" t="s">
        <v>467</v>
      </c>
      <c r="C922">
        <f t="shared" si="336"/>
        <v>4</v>
      </c>
      <c r="D922">
        <f t="shared" si="337"/>
        <v>0</v>
      </c>
      <c r="E922">
        <f t="shared" si="338"/>
        <v>2</v>
      </c>
      <c r="F922">
        <f t="shared" si="339"/>
        <v>6</v>
      </c>
      <c r="G922">
        <f t="shared" si="340"/>
        <v>6</v>
      </c>
      <c r="H922">
        <f t="shared" si="341"/>
        <v>4</v>
      </c>
      <c r="I922">
        <f t="shared" si="342"/>
        <v>1.5</v>
      </c>
      <c r="J922">
        <f t="shared" si="343"/>
        <v>0</v>
      </c>
      <c r="K922">
        <f t="shared" si="344"/>
        <v>0</v>
      </c>
      <c r="L922">
        <f t="shared" si="345"/>
        <v>0.33</v>
      </c>
      <c r="M922">
        <f t="shared" si="346"/>
        <v>0</v>
      </c>
      <c r="N922">
        <f t="shared" si="347"/>
        <v>0.93</v>
      </c>
      <c r="O922" t="str">
        <f t="shared" si="351"/>
        <v>松散</v>
      </c>
      <c r="P922" t="str">
        <f t="shared" si="348"/>
        <v>极紧凑</v>
      </c>
      <c r="Q922" t="str">
        <f t="shared" si="349"/>
        <v>✓有效</v>
      </c>
      <c r="R922" t="str">
        <f t="shared" si="350"/>
        <v>正常</v>
      </c>
    </row>
    <row r="923" ht="14.25" customHeight="1" spans="1:18">
      <c r="A923" s="10">
        <v>2025191</v>
      </c>
      <c r="B923" s="12" t="s">
        <v>326</v>
      </c>
      <c r="C923">
        <f t="shared" si="336"/>
        <v>2</v>
      </c>
      <c r="D923">
        <f t="shared" si="337"/>
        <v>0</v>
      </c>
      <c r="E923">
        <f t="shared" si="338"/>
        <v>2</v>
      </c>
      <c r="F923">
        <f t="shared" si="339"/>
        <v>4</v>
      </c>
      <c r="G923">
        <f t="shared" si="340"/>
        <v>4</v>
      </c>
      <c r="H923">
        <f t="shared" si="341"/>
        <v>2</v>
      </c>
      <c r="I923">
        <f t="shared" si="342"/>
        <v>2</v>
      </c>
      <c r="J923">
        <f t="shared" si="343"/>
        <v>0</v>
      </c>
      <c r="K923">
        <f t="shared" si="344"/>
        <v>0</v>
      </c>
      <c r="L923">
        <f t="shared" si="345"/>
        <v>0.67</v>
      </c>
      <c r="M923">
        <f t="shared" si="346"/>
        <v>0</v>
      </c>
      <c r="N923">
        <f t="shared" si="347"/>
        <v>1.17</v>
      </c>
      <c r="O923" t="str">
        <f t="shared" si="351"/>
        <v>标准</v>
      </c>
      <c r="P923" t="str">
        <f t="shared" si="348"/>
        <v>极紧凑</v>
      </c>
      <c r="Q923" t="str">
        <f t="shared" si="349"/>
        <v>✓有效</v>
      </c>
      <c r="R923" t="str">
        <f t="shared" si="350"/>
        <v>正常</v>
      </c>
    </row>
    <row r="924" ht="14.25" customHeight="1" spans="1:18">
      <c r="A924" s="10">
        <v>2025192</v>
      </c>
      <c r="B924" s="12" t="s">
        <v>646</v>
      </c>
      <c r="C924">
        <f t="shared" si="336"/>
        <v>6</v>
      </c>
      <c r="D924">
        <f t="shared" si="337"/>
        <v>9</v>
      </c>
      <c r="E924">
        <f t="shared" si="338"/>
        <v>1</v>
      </c>
      <c r="F924">
        <f t="shared" si="339"/>
        <v>16</v>
      </c>
      <c r="G924">
        <f t="shared" si="340"/>
        <v>6</v>
      </c>
      <c r="H924">
        <f t="shared" si="341"/>
        <v>8</v>
      </c>
      <c r="I924">
        <f t="shared" si="342"/>
        <v>2</v>
      </c>
      <c r="J924">
        <f t="shared" si="343"/>
        <v>0.67</v>
      </c>
      <c r="K924">
        <f t="shared" si="344"/>
        <v>0.67</v>
      </c>
      <c r="L924">
        <f t="shared" si="345"/>
        <v>0</v>
      </c>
      <c r="M924">
        <f t="shared" si="346"/>
        <v>0</v>
      </c>
      <c r="N924">
        <f t="shared" si="347"/>
        <v>1.37</v>
      </c>
      <c r="O924" t="str">
        <f t="shared" si="351"/>
        <v>标准</v>
      </c>
      <c r="P924" t="str">
        <f t="shared" si="348"/>
        <v>极紧凑</v>
      </c>
      <c r="Q924" t="str">
        <f t="shared" si="349"/>
        <v>✓有效</v>
      </c>
      <c r="R924" t="str">
        <f t="shared" si="350"/>
        <v>正常</v>
      </c>
    </row>
    <row r="925" ht="14.25" customHeight="1" spans="1:18">
      <c r="A925" s="10">
        <v>2025193</v>
      </c>
      <c r="B925" s="12" t="s">
        <v>647</v>
      </c>
      <c r="C925">
        <f t="shared" si="336"/>
        <v>8</v>
      </c>
      <c r="D925">
        <f t="shared" si="337"/>
        <v>7</v>
      </c>
      <c r="E925">
        <f t="shared" si="338"/>
        <v>6</v>
      </c>
      <c r="F925">
        <f t="shared" si="339"/>
        <v>21</v>
      </c>
      <c r="G925">
        <f t="shared" si="340"/>
        <v>1</v>
      </c>
      <c r="H925">
        <f t="shared" si="341"/>
        <v>2</v>
      </c>
      <c r="I925">
        <f t="shared" si="342"/>
        <v>10.5</v>
      </c>
      <c r="J925">
        <f t="shared" si="343"/>
        <v>0.33</v>
      </c>
      <c r="K925">
        <f t="shared" si="344"/>
        <v>1</v>
      </c>
      <c r="L925">
        <f t="shared" si="345"/>
        <v>0.33</v>
      </c>
      <c r="M925">
        <f t="shared" si="346"/>
        <v>2</v>
      </c>
      <c r="N925">
        <f t="shared" si="347"/>
        <v>4.6</v>
      </c>
      <c r="O925" t="str">
        <f t="shared" si="351"/>
        <v>紧凑</v>
      </c>
      <c r="P925" t="str">
        <f t="shared" si="348"/>
        <v>标准</v>
      </c>
      <c r="Q925" t="str">
        <f t="shared" si="349"/>
        <v>✓有效</v>
      </c>
      <c r="R925" t="str">
        <f t="shared" si="350"/>
        <v>异常</v>
      </c>
    </row>
    <row r="926" ht="14.25" customHeight="1" spans="1:18">
      <c r="A926" s="10">
        <v>2025194</v>
      </c>
      <c r="B926" s="12" t="s">
        <v>548</v>
      </c>
      <c r="C926">
        <f t="shared" si="336"/>
        <v>7</v>
      </c>
      <c r="D926">
        <f t="shared" si="337"/>
        <v>2</v>
      </c>
      <c r="E926">
        <f t="shared" si="338"/>
        <v>6</v>
      </c>
      <c r="F926">
        <f t="shared" si="339"/>
        <v>15</v>
      </c>
      <c r="G926">
        <f t="shared" si="340"/>
        <v>5</v>
      </c>
      <c r="H926">
        <f t="shared" si="341"/>
        <v>5</v>
      </c>
      <c r="I926">
        <f t="shared" si="342"/>
        <v>3</v>
      </c>
      <c r="J926">
        <f t="shared" si="343"/>
        <v>0.33</v>
      </c>
      <c r="K926">
        <f t="shared" si="344"/>
        <v>0.67</v>
      </c>
      <c r="L926">
        <f t="shared" si="345"/>
        <v>0.67</v>
      </c>
      <c r="M926">
        <f t="shared" si="346"/>
        <v>1</v>
      </c>
      <c r="N926">
        <f t="shared" si="347"/>
        <v>1.67</v>
      </c>
      <c r="O926" t="str">
        <f t="shared" si="351"/>
        <v>标准</v>
      </c>
      <c r="P926" t="str">
        <f t="shared" si="348"/>
        <v>紧凑</v>
      </c>
      <c r="Q926" t="str">
        <f t="shared" si="349"/>
        <v>✓有效</v>
      </c>
      <c r="R926" t="str">
        <f t="shared" si="350"/>
        <v>正常</v>
      </c>
    </row>
    <row r="927" ht="14.25" customHeight="1" spans="1:18">
      <c r="A927" s="10">
        <v>2025195</v>
      </c>
      <c r="B927" s="12" t="s">
        <v>648</v>
      </c>
      <c r="C927">
        <f t="shared" si="336"/>
        <v>9</v>
      </c>
      <c r="D927">
        <f t="shared" si="337"/>
        <v>8</v>
      </c>
      <c r="E927">
        <f t="shared" si="338"/>
        <v>0</v>
      </c>
      <c r="F927">
        <f t="shared" si="339"/>
        <v>17</v>
      </c>
      <c r="G927">
        <f t="shared" si="340"/>
        <v>7</v>
      </c>
      <c r="H927">
        <f t="shared" si="341"/>
        <v>9</v>
      </c>
      <c r="I927">
        <f t="shared" si="342"/>
        <v>1.89</v>
      </c>
      <c r="J927">
        <f t="shared" si="343"/>
        <v>0.33</v>
      </c>
      <c r="K927">
        <f t="shared" si="344"/>
        <v>0.67</v>
      </c>
      <c r="L927">
        <f t="shared" si="345"/>
        <v>0</v>
      </c>
      <c r="M927">
        <f t="shared" si="346"/>
        <v>1</v>
      </c>
      <c r="N927">
        <f t="shared" si="347"/>
        <v>1.16</v>
      </c>
      <c r="O927" t="str">
        <f t="shared" si="351"/>
        <v>松散</v>
      </c>
      <c r="P927" t="str">
        <f t="shared" si="348"/>
        <v>极紧凑</v>
      </c>
      <c r="Q927" t="str">
        <f t="shared" si="349"/>
        <v>✓有效</v>
      </c>
      <c r="R927" t="str">
        <f t="shared" si="350"/>
        <v>正常</v>
      </c>
    </row>
    <row r="928" ht="14.25" customHeight="1" spans="1:18">
      <c r="A928" s="10">
        <v>2025196</v>
      </c>
      <c r="B928" s="12" t="s">
        <v>632</v>
      </c>
      <c r="C928">
        <f t="shared" ref="C928:C991" si="352">IF(B928="","",LEFT(TEXT(B928,"000"),1)*1)</f>
        <v>7</v>
      </c>
      <c r="D928">
        <f t="shared" ref="D928:D991" si="353">IF(B928="","",MID(TEXT(B928,"000"),2,1)*1)</f>
        <v>3</v>
      </c>
      <c r="E928">
        <f t="shared" ref="E928:E991" si="354">IF(B928="","",RIGHT(TEXT(B928,"000"),1)*1)</f>
        <v>4</v>
      </c>
      <c r="F928">
        <f t="shared" ref="F928:F991" si="355">IF(B928="","",C928+D928+E928)</f>
        <v>14</v>
      </c>
      <c r="G928">
        <f t="shared" ref="G928:G991" si="356">IF(B928="","",MOD(F928,10))</f>
        <v>4</v>
      </c>
      <c r="H928">
        <f t="shared" ref="H928:H991" si="357">IF(B928="","",MAX(C928,D928,E928)-MIN(C928,D928,E928))</f>
        <v>4</v>
      </c>
      <c r="I928">
        <f t="shared" ref="I928:I991" si="358">IF(OR(B928="",H928=0),IF(H928=0,0.1,""),ROUND(F928/H928,2))</f>
        <v>3.5</v>
      </c>
      <c r="J928">
        <f t="shared" ref="J928:J991" si="359">IF(B928="","",ROUND((MOD(C928,2)+MOD(D928,2)+MOD(E928,2))/3,2))</f>
        <v>0.67</v>
      </c>
      <c r="K928">
        <f t="shared" ref="K928:K991" si="360">IF(B928="","",ROUND(((C928&gt;=5)+(D928&gt;=5)+(E928&gt;=5))/3,2))</f>
        <v>0.33</v>
      </c>
      <c r="L928">
        <f t="shared" ref="L928:L991" si="361">IF(B928="","",ROUND((ISNUMBER(FIND(C928,"2357"))+ISNUMBER(FIND(D928,"2357"))+ISNUMBER(FIND(E928,"2357")))/3,2))</f>
        <v>0.67</v>
      </c>
      <c r="M928">
        <f t="shared" ref="M928:M991" si="362">IF(B928="","",((ABS(C928-D928)=1)+(ABS(D928-E928)=1)+(ABS(C928-E928)=1)))</f>
        <v>1</v>
      </c>
      <c r="N928">
        <f t="shared" ref="N928:N991" si="363">IF(B928="","",ROUND(I928*0.4+J928*0.2+K928*0.2+L928*0.1+(3-M928)*0.1,2))</f>
        <v>1.87</v>
      </c>
      <c r="O928" t="str">
        <f t="shared" si="351"/>
        <v>标准</v>
      </c>
      <c r="P928" t="str">
        <f t="shared" ref="P928:P991" si="364">IF(B928="","",IF(N928&lt;=1.5,"极紧凑",IF(N928&lt;=3,"紧凑",IF(N928&lt;=5,"标准","松散"))))</f>
        <v>紧凑</v>
      </c>
      <c r="Q928" t="str">
        <f t="shared" ref="Q928:Q991" si="365">IF(B928="","",IF(AND(C928&gt;=0,C928&lt;=9,D928&gt;=0,D928&lt;=9,E928&gt;=0,E928&lt;=9),"✓有效","✗无效"))</f>
        <v>✓有效</v>
      </c>
      <c r="R928" t="str">
        <f t="shared" ref="R928:R991" si="366">IF(B928="","",IF(OR(I928&gt;10,I928&lt;0.1),"异常","正常"))</f>
        <v>正常</v>
      </c>
    </row>
    <row r="929" ht="14.25" customHeight="1" spans="1:18">
      <c r="A929" s="10">
        <v>2025197</v>
      </c>
      <c r="B929" s="12" t="s">
        <v>159</v>
      </c>
      <c r="C929">
        <f t="shared" si="352"/>
        <v>0</v>
      </c>
      <c r="D929">
        <f t="shared" si="353"/>
        <v>5</v>
      </c>
      <c r="E929">
        <f t="shared" si="354"/>
        <v>7</v>
      </c>
      <c r="F929">
        <f t="shared" si="355"/>
        <v>12</v>
      </c>
      <c r="G929">
        <f t="shared" si="356"/>
        <v>2</v>
      </c>
      <c r="H929">
        <f t="shared" si="357"/>
        <v>7</v>
      </c>
      <c r="I929">
        <f t="shared" si="358"/>
        <v>1.71</v>
      </c>
      <c r="J929">
        <f t="shared" si="359"/>
        <v>0.67</v>
      </c>
      <c r="K929">
        <f t="shared" si="360"/>
        <v>0.67</v>
      </c>
      <c r="L929">
        <f t="shared" si="361"/>
        <v>0.67</v>
      </c>
      <c r="M929">
        <f t="shared" si="362"/>
        <v>0</v>
      </c>
      <c r="N929">
        <f t="shared" si="363"/>
        <v>1.32</v>
      </c>
      <c r="O929" t="str">
        <f t="shared" ref="O929:O992" si="367">IF(I929=0.1,"极紧凑",IF(I929&gt;3.5,"紧凑",IF(AND(I929&gt;=2,I929&lt;=3.5),"标准",IF(AND(I929&gt;=1,I929&lt;2),"松散",""))))</f>
        <v>松散</v>
      </c>
      <c r="P929" t="str">
        <f t="shared" si="364"/>
        <v>极紧凑</v>
      </c>
      <c r="Q929" t="str">
        <f t="shared" si="365"/>
        <v>✓有效</v>
      </c>
      <c r="R929" t="str">
        <f t="shared" si="366"/>
        <v>正常</v>
      </c>
    </row>
    <row r="930" ht="14.25" customHeight="1" spans="1:18">
      <c r="A930" s="10">
        <v>2025198</v>
      </c>
      <c r="B930" s="12" t="s">
        <v>565</v>
      </c>
      <c r="C930">
        <f t="shared" si="352"/>
        <v>8</v>
      </c>
      <c r="D930">
        <f t="shared" si="353"/>
        <v>9</v>
      </c>
      <c r="E930">
        <f t="shared" si="354"/>
        <v>8</v>
      </c>
      <c r="F930">
        <f t="shared" si="355"/>
        <v>25</v>
      </c>
      <c r="G930">
        <f t="shared" si="356"/>
        <v>5</v>
      </c>
      <c r="H930">
        <f t="shared" si="357"/>
        <v>1</v>
      </c>
      <c r="I930">
        <f t="shared" si="358"/>
        <v>25</v>
      </c>
      <c r="J930">
        <f t="shared" si="359"/>
        <v>0.33</v>
      </c>
      <c r="K930">
        <f t="shared" si="360"/>
        <v>1</v>
      </c>
      <c r="L930">
        <f t="shared" si="361"/>
        <v>0</v>
      </c>
      <c r="M930">
        <f t="shared" si="362"/>
        <v>2</v>
      </c>
      <c r="N930">
        <f t="shared" si="363"/>
        <v>10.37</v>
      </c>
      <c r="O930" t="str">
        <f t="shared" si="367"/>
        <v>紧凑</v>
      </c>
      <c r="P930" t="str">
        <f t="shared" si="364"/>
        <v>松散</v>
      </c>
      <c r="Q930" t="str">
        <f t="shared" si="365"/>
        <v>✓有效</v>
      </c>
      <c r="R930" t="str">
        <f t="shared" si="366"/>
        <v>异常</v>
      </c>
    </row>
    <row r="931" ht="14.25" customHeight="1" spans="1:18">
      <c r="A931" s="10">
        <v>2025199</v>
      </c>
      <c r="B931" s="12" t="s">
        <v>649</v>
      </c>
      <c r="C931">
        <f t="shared" si="352"/>
        <v>9</v>
      </c>
      <c r="D931">
        <f t="shared" si="353"/>
        <v>4</v>
      </c>
      <c r="E931">
        <f t="shared" si="354"/>
        <v>3</v>
      </c>
      <c r="F931">
        <f t="shared" si="355"/>
        <v>16</v>
      </c>
      <c r="G931">
        <f t="shared" si="356"/>
        <v>6</v>
      </c>
      <c r="H931">
        <f t="shared" si="357"/>
        <v>6</v>
      </c>
      <c r="I931">
        <f t="shared" si="358"/>
        <v>2.67</v>
      </c>
      <c r="J931">
        <f t="shared" si="359"/>
        <v>0.67</v>
      </c>
      <c r="K931">
        <f t="shared" si="360"/>
        <v>0.33</v>
      </c>
      <c r="L931">
        <f t="shared" si="361"/>
        <v>0.33</v>
      </c>
      <c r="M931">
        <f t="shared" si="362"/>
        <v>1</v>
      </c>
      <c r="N931">
        <f t="shared" si="363"/>
        <v>1.5</v>
      </c>
      <c r="O931" t="str">
        <f t="shared" si="367"/>
        <v>标准</v>
      </c>
      <c r="P931" t="str">
        <f t="shared" si="364"/>
        <v>极紧凑</v>
      </c>
      <c r="Q931" t="str">
        <f t="shared" si="365"/>
        <v>✓有效</v>
      </c>
      <c r="R931" t="str">
        <f t="shared" si="366"/>
        <v>正常</v>
      </c>
    </row>
    <row r="932" ht="14.25" customHeight="1" spans="1:18">
      <c r="A932" s="10">
        <v>2025200</v>
      </c>
      <c r="B932" s="12" t="s">
        <v>615</v>
      </c>
      <c r="C932">
        <f t="shared" si="352"/>
        <v>0</v>
      </c>
      <c r="D932">
        <f t="shared" si="353"/>
        <v>1</v>
      </c>
      <c r="E932">
        <f t="shared" si="354"/>
        <v>5</v>
      </c>
      <c r="F932">
        <f t="shared" si="355"/>
        <v>6</v>
      </c>
      <c r="G932">
        <f t="shared" si="356"/>
        <v>6</v>
      </c>
      <c r="H932">
        <f t="shared" si="357"/>
        <v>5</v>
      </c>
      <c r="I932">
        <f t="shared" si="358"/>
        <v>1.2</v>
      </c>
      <c r="J932">
        <f t="shared" si="359"/>
        <v>0.67</v>
      </c>
      <c r="K932">
        <f t="shared" si="360"/>
        <v>0.33</v>
      </c>
      <c r="L932">
        <f t="shared" si="361"/>
        <v>0.33</v>
      </c>
      <c r="M932">
        <f t="shared" si="362"/>
        <v>1</v>
      </c>
      <c r="N932">
        <f t="shared" si="363"/>
        <v>0.91</v>
      </c>
      <c r="O932" t="str">
        <f t="shared" si="367"/>
        <v>松散</v>
      </c>
      <c r="P932" t="str">
        <f t="shared" si="364"/>
        <v>极紧凑</v>
      </c>
      <c r="Q932" t="str">
        <f t="shared" si="365"/>
        <v>✓有效</v>
      </c>
      <c r="R932" t="str">
        <f t="shared" si="366"/>
        <v>正常</v>
      </c>
    </row>
    <row r="933" ht="14.25" customHeight="1" spans="1:18">
      <c r="A933" s="10">
        <v>2025201</v>
      </c>
      <c r="B933" s="12" t="s">
        <v>650</v>
      </c>
      <c r="C933">
        <f t="shared" si="352"/>
        <v>8</v>
      </c>
      <c r="D933">
        <f t="shared" si="353"/>
        <v>4</v>
      </c>
      <c r="E933">
        <f t="shared" si="354"/>
        <v>6</v>
      </c>
      <c r="F933">
        <f t="shared" si="355"/>
        <v>18</v>
      </c>
      <c r="G933">
        <f t="shared" si="356"/>
        <v>8</v>
      </c>
      <c r="H933">
        <f t="shared" si="357"/>
        <v>4</v>
      </c>
      <c r="I933">
        <f t="shared" si="358"/>
        <v>4.5</v>
      </c>
      <c r="J933">
        <f t="shared" si="359"/>
        <v>0</v>
      </c>
      <c r="K933">
        <f t="shared" si="360"/>
        <v>0.67</v>
      </c>
      <c r="L933">
        <f t="shared" si="361"/>
        <v>0</v>
      </c>
      <c r="M933">
        <f t="shared" si="362"/>
        <v>0</v>
      </c>
      <c r="N933">
        <f t="shared" si="363"/>
        <v>2.23</v>
      </c>
      <c r="O933" t="str">
        <f t="shared" si="367"/>
        <v>紧凑</v>
      </c>
      <c r="P933" t="str">
        <f t="shared" si="364"/>
        <v>紧凑</v>
      </c>
      <c r="Q933" t="str">
        <f t="shared" si="365"/>
        <v>✓有效</v>
      </c>
      <c r="R933" t="str">
        <f t="shared" si="366"/>
        <v>正常</v>
      </c>
    </row>
    <row r="934" ht="14.25" customHeight="1" spans="1:18">
      <c r="A934" s="10">
        <v>2025202</v>
      </c>
      <c r="B934" s="12" t="s">
        <v>368</v>
      </c>
      <c r="C934">
        <f t="shared" si="352"/>
        <v>9</v>
      </c>
      <c r="D934">
        <f t="shared" si="353"/>
        <v>5</v>
      </c>
      <c r="E934">
        <f t="shared" si="354"/>
        <v>3</v>
      </c>
      <c r="F934">
        <f t="shared" si="355"/>
        <v>17</v>
      </c>
      <c r="G934">
        <f t="shared" si="356"/>
        <v>7</v>
      </c>
      <c r="H934">
        <f t="shared" si="357"/>
        <v>6</v>
      </c>
      <c r="I934">
        <f t="shared" si="358"/>
        <v>2.83</v>
      </c>
      <c r="J934">
        <f t="shared" si="359"/>
        <v>1</v>
      </c>
      <c r="K934">
        <f t="shared" si="360"/>
        <v>0.67</v>
      </c>
      <c r="L934">
        <f t="shared" si="361"/>
        <v>0.67</v>
      </c>
      <c r="M934">
        <f t="shared" si="362"/>
        <v>0</v>
      </c>
      <c r="N934">
        <f t="shared" si="363"/>
        <v>1.83</v>
      </c>
      <c r="O934" t="str">
        <f t="shared" si="367"/>
        <v>标准</v>
      </c>
      <c r="P934" t="str">
        <f t="shared" si="364"/>
        <v>紧凑</v>
      </c>
      <c r="Q934" t="str">
        <f t="shared" si="365"/>
        <v>✓有效</v>
      </c>
      <c r="R934" t="str">
        <f t="shared" si="366"/>
        <v>正常</v>
      </c>
    </row>
    <row r="935" ht="14.25" customHeight="1" spans="1:18">
      <c r="A935" s="10">
        <v>2025203</v>
      </c>
      <c r="B935" s="12" t="s">
        <v>651</v>
      </c>
      <c r="C935">
        <f t="shared" si="352"/>
        <v>0</v>
      </c>
      <c r="D935">
        <f t="shared" si="353"/>
        <v>1</v>
      </c>
      <c r="E935">
        <f t="shared" si="354"/>
        <v>3</v>
      </c>
      <c r="F935">
        <f t="shared" si="355"/>
        <v>4</v>
      </c>
      <c r="G935">
        <f t="shared" si="356"/>
        <v>4</v>
      </c>
      <c r="H935">
        <f t="shared" si="357"/>
        <v>3</v>
      </c>
      <c r="I935">
        <f t="shared" si="358"/>
        <v>1.33</v>
      </c>
      <c r="J935">
        <f t="shared" si="359"/>
        <v>0.67</v>
      </c>
      <c r="K935">
        <f t="shared" si="360"/>
        <v>0</v>
      </c>
      <c r="L935">
        <f t="shared" si="361"/>
        <v>0.33</v>
      </c>
      <c r="M935">
        <f t="shared" si="362"/>
        <v>1</v>
      </c>
      <c r="N935">
        <f t="shared" si="363"/>
        <v>0.9</v>
      </c>
      <c r="O935" t="str">
        <f t="shared" si="367"/>
        <v>松散</v>
      </c>
      <c r="P935" t="str">
        <f t="shared" si="364"/>
        <v>极紧凑</v>
      </c>
      <c r="Q935" t="str">
        <f t="shared" si="365"/>
        <v>✓有效</v>
      </c>
      <c r="R935" t="str">
        <f t="shared" si="366"/>
        <v>正常</v>
      </c>
    </row>
    <row r="936" ht="14.25" customHeight="1" spans="1:18">
      <c r="A936" s="10">
        <v>2025204</v>
      </c>
      <c r="B936" s="12" t="s">
        <v>195</v>
      </c>
      <c r="C936">
        <f t="shared" si="352"/>
        <v>0</v>
      </c>
      <c r="D936">
        <f t="shared" si="353"/>
        <v>0</v>
      </c>
      <c r="E936">
        <f t="shared" si="354"/>
        <v>7</v>
      </c>
      <c r="F936">
        <f t="shared" si="355"/>
        <v>7</v>
      </c>
      <c r="G936">
        <f t="shared" si="356"/>
        <v>7</v>
      </c>
      <c r="H936">
        <f t="shared" si="357"/>
        <v>7</v>
      </c>
      <c r="I936">
        <f t="shared" si="358"/>
        <v>1</v>
      </c>
      <c r="J936">
        <f t="shared" si="359"/>
        <v>0.33</v>
      </c>
      <c r="K936">
        <f t="shared" si="360"/>
        <v>0.33</v>
      </c>
      <c r="L936">
        <f t="shared" si="361"/>
        <v>0.33</v>
      </c>
      <c r="M936">
        <f t="shared" si="362"/>
        <v>0</v>
      </c>
      <c r="N936">
        <f t="shared" si="363"/>
        <v>0.87</v>
      </c>
      <c r="O936" t="str">
        <f t="shared" si="367"/>
        <v>松散</v>
      </c>
      <c r="P936" t="str">
        <f t="shared" si="364"/>
        <v>极紧凑</v>
      </c>
      <c r="Q936" t="str">
        <f t="shared" si="365"/>
        <v>✓有效</v>
      </c>
      <c r="R936" t="str">
        <f t="shared" si="366"/>
        <v>正常</v>
      </c>
    </row>
    <row r="937" ht="14.25" customHeight="1" spans="1:18">
      <c r="A937" s="10">
        <v>2025205</v>
      </c>
      <c r="B937" s="12" t="s">
        <v>153</v>
      </c>
      <c r="C937">
        <f t="shared" si="352"/>
        <v>9</v>
      </c>
      <c r="D937">
        <f t="shared" si="353"/>
        <v>2</v>
      </c>
      <c r="E937">
        <f t="shared" si="354"/>
        <v>0</v>
      </c>
      <c r="F937">
        <f t="shared" si="355"/>
        <v>11</v>
      </c>
      <c r="G937">
        <f t="shared" si="356"/>
        <v>1</v>
      </c>
      <c r="H937">
        <f t="shared" si="357"/>
        <v>9</v>
      </c>
      <c r="I937">
        <f t="shared" si="358"/>
        <v>1.22</v>
      </c>
      <c r="J937">
        <f t="shared" si="359"/>
        <v>0.33</v>
      </c>
      <c r="K937">
        <f t="shared" si="360"/>
        <v>0.33</v>
      </c>
      <c r="L937">
        <f t="shared" si="361"/>
        <v>0.33</v>
      </c>
      <c r="M937">
        <f t="shared" si="362"/>
        <v>0</v>
      </c>
      <c r="N937">
        <f t="shared" si="363"/>
        <v>0.95</v>
      </c>
      <c r="O937" t="str">
        <f t="shared" si="367"/>
        <v>松散</v>
      </c>
      <c r="P937" t="str">
        <f t="shared" si="364"/>
        <v>极紧凑</v>
      </c>
      <c r="Q937" t="str">
        <f t="shared" si="365"/>
        <v>✓有效</v>
      </c>
      <c r="R937" t="str">
        <f t="shared" si="366"/>
        <v>正常</v>
      </c>
    </row>
    <row r="938" ht="14.25" customHeight="1" spans="1:18">
      <c r="A938" s="10">
        <v>2025206</v>
      </c>
      <c r="B938" s="12" t="s">
        <v>259</v>
      </c>
      <c r="C938">
        <f t="shared" si="352"/>
        <v>4</v>
      </c>
      <c r="D938">
        <f t="shared" si="353"/>
        <v>4</v>
      </c>
      <c r="E938">
        <f t="shared" si="354"/>
        <v>4</v>
      </c>
      <c r="F938">
        <f t="shared" si="355"/>
        <v>12</v>
      </c>
      <c r="G938">
        <f t="shared" si="356"/>
        <v>2</v>
      </c>
      <c r="H938">
        <f t="shared" si="357"/>
        <v>0</v>
      </c>
      <c r="I938">
        <f t="shared" si="358"/>
        <v>0.1</v>
      </c>
      <c r="J938">
        <f t="shared" si="359"/>
        <v>0</v>
      </c>
      <c r="K938">
        <f t="shared" si="360"/>
        <v>0</v>
      </c>
      <c r="L938">
        <f t="shared" si="361"/>
        <v>0</v>
      </c>
      <c r="M938">
        <f t="shared" si="362"/>
        <v>0</v>
      </c>
      <c r="N938">
        <f t="shared" si="363"/>
        <v>0.34</v>
      </c>
      <c r="O938" t="str">
        <f t="shared" si="367"/>
        <v>极紧凑</v>
      </c>
      <c r="P938" t="str">
        <f t="shared" si="364"/>
        <v>极紧凑</v>
      </c>
      <c r="Q938" t="str">
        <f t="shared" si="365"/>
        <v>✓有效</v>
      </c>
      <c r="R938" t="str">
        <f t="shared" si="366"/>
        <v>正常</v>
      </c>
    </row>
    <row r="939" ht="14.25" customHeight="1" spans="1:18">
      <c r="A939" s="10">
        <v>2025207</v>
      </c>
      <c r="B939" s="12" t="s">
        <v>652</v>
      </c>
      <c r="C939">
        <f t="shared" si="352"/>
        <v>2</v>
      </c>
      <c r="D939">
        <f t="shared" si="353"/>
        <v>5</v>
      </c>
      <c r="E939">
        <f t="shared" si="354"/>
        <v>5</v>
      </c>
      <c r="F939">
        <f t="shared" si="355"/>
        <v>12</v>
      </c>
      <c r="G939">
        <f t="shared" si="356"/>
        <v>2</v>
      </c>
      <c r="H939">
        <f t="shared" si="357"/>
        <v>3</v>
      </c>
      <c r="I939">
        <f t="shared" si="358"/>
        <v>4</v>
      </c>
      <c r="J939">
        <f t="shared" si="359"/>
        <v>0.67</v>
      </c>
      <c r="K939">
        <f t="shared" si="360"/>
        <v>0.67</v>
      </c>
      <c r="L939">
        <f t="shared" si="361"/>
        <v>1</v>
      </c>
      <c r="M939">
        <f t="shared" si="362"/>
        <v>0</v>
      </c>
      <c r="N939">
        <f t="shared" si="363"/>
        <v>2.27</v>
      </c>
      <c r="O939" t="str">
        <f t="shared" si="367"/>
        <v>紧凑</v>
      </c>
      <c r="P939" t="str">
        <f t="shared" si="364"/>
        <v>紧凑</v>
      </c>
      <c r="Q939" t="str">
        <f t="shared" si="365"/>
        <v>✓有效</v>
      </c>
      <c r="R939" t="str">
        <f t="shared" si="366"/>
        <v>正常</v>
      </c>
    </row>
    <row r="940" ht="14.25" customHeight="1" spans="1:18">
      <c r="A940" s="10">
        <v>2025208</v>
      </c>
      <c r="B940" s="12" t="s">
        <v>85</v>
      </c>
      <c r="C940">
        <f t="shared" si="352"/>
        <v>4</v>
      </c>
      <c r="D940">
        <f t="shared" si="353"/>
        <v>3</v>
      </c>
      <c r="E940">
        <f t="shared" si="354"/>
        <v>2</v>
      </c>
      <c r="F940">
        <f t="shared" si="355"/>
        <v>9</v>
      </c>
      <c r="G940">
        <f t="shared" si="356"/>
        <v>9</v>
      </c>
      <c r="H940">
        <f t="shared" si="357"/>
        <v>2</v>
      </c>
      <c r="I940">
        <f t="shared" si="358"/>
        <v>4.5</v>
      </c>
      <c r="J940">
        <f t="shared" si="359"/>
        <v>0.33</v>
      </c>
      <c r="K940">
        <f t="shared" si="360"/>
        <v>0</v>
      </c>
      <c r="L940">
        <f t="shared" si="361"/>
        <v>0.67</v>
      </c>
      <c r="M940">
        <f t="shared" si="362"/>
        <v>2</v>
      </c>
      <c r="N940">
        <f t="shared" si="363"/>
        <v>2.03</v>
      </c>
      <c r="O940" t="str">
        <f t="shared" si="367"/>
        <v>紧凑</v>
      </c>
      <c r="P940" t="str">
        <f t="shared" si="364"/>
        <v>紧凑</v>
      </c>
      <c r="Q940" t="str">
        <f t="shared" si="365"/>
        <v>✓有效</v>
      </c>
      <c r="R940" t="str">
        <f t="shared" si="366"/>
        <v>正常</v>
      </c>
    </row>
    <row r="941" ht="14.25" customHeight="1" spans="1:18">
      <c r="A941" s="10">
        <v>2025209</v>
      </c>
      <c r="B941" s="12" t="s">
        <v>653</v>
      </c>
      <c r="C941">
        <f t="shared" si="352"/>
        <v>3</v>
      </c>
      <c r="D941">
        <f t="shared" si="353"/>
        <v>8</v>
      </c>
      <c r="E941">
        <f t="shared" si="354"/>
        <v>7</v>
      </c>
      <c r="F941">
        <f t="shared" si="355"/>
        <v>18</v>
      </c>
      <c r="G941">
        <f t="shared" si="356"/>
        <v>8</v>
      </c>
      <c r="H941">
        <f t="shared" si="357"/>
        <v>5</v>
      </c>
      <c r="I941">
        <f t="shared" si="358"/>
        <v>3.6</v>
      </c>
      <c r="J941">
        <f t="shared" si="359"/>
        <v>0.67</v>
      </c>
      <c r="K941">
        <f t="shared" si="360"/>
        <v>0.67</v>
      </c>
      <c r="L941">
        <f t="shared" si="361"/>
        <v>0.67</v>
      </c>
      <c r="M941">
        <f t="shared" si="362"/>
        <v>1</v>
      </c>
      <c r="N941">
        <f t="shared" si="363"/>
        <v>1.98</v>
      </c>
      <c r="O941" t="str">
        <f t="shared" si="367"/>
        <v>紧凑</v>
      </c>
      <c r="P941" t="str">
        <f t="shared" si="364"/>
        <v>紧凑</v>
      </c>
      <c r="Q941" t="str">
        <f t="shared" si="365"/>
        <v>✓有效</v>
      </c>
      <c r="R941" t="str">
        <f t="shared" si="366"/>
        <v>正常</v>
      </c>
    </row>
    <row r="942" ht="14.25" customHeight="1" spans="1:18">
      <c r="A942" s="10">
        <v>2025210</v>
      </c>
      <c r="B942" s="12" t="s">
        <v>654</v>
      </c>
      <c r="C942">
        <f t="shared" si="352"/>
        <v>5</v>
      </c>
      <c r="D942">
        <f t="shared" si="353"/>
        <v>2</v>
      </c>
      <c r="E942">
        <f t="shared" si="354"/>
        <v>0</v>
      </c>
      <c r="F942">
        <f t="shared" si="355"/>
        <v>7</v>
      </c>
      <c r="G942">
        <f t="shared" si="356"/>
        <v>7</v>
      </c>
      <c r="H942">
        <f t="shared" si="357"/>
        <v>5</v>
      </c>
      <c r="I942">
        <f t="shared" si="358"/>
        <v>1.4</v>
      </c>
      <c r="J942">
        <f t="shared" si="359"/>
        <v>0.33</v>
      </c>
      <c r="K942">
        <f t="shared" si="360"/>
        <v>0.33</v>
      </c>
      <c r="L942">
        <f t="shared" si="361"/>
        <v>0.67</v>
      </c>
      <c r="M942">
        <f t="shared" si="362"/>
        <v>0</v>
      </c>
      <c r="N942">
        <f t="shared" si="363"/>
        <v>1.06</v>
      </c>
      <c r="O942" t="str">
        <f t="shared" si="367"/>
        <v>松散</v>
      </c>
      <c r="P942" t="str">
        <f t="shared" si="364"/>
        <v>极紧凑</v>
      </c>
      <c r="Q942" t="str">
        <f t="shared" si="365"/>
        <v>✓有效</v>
      </c>
      <c r="R942" t="str">
        <f t="shared" si="366"/>
        <v>正常</v>
      </c>
    </row>
    <row r="943" ht="14.25" customHeight="1" spans="1:18">
      <c r="A943" s="10">
        <v>2025211</v>
      </c>
      <c r="B943" s="12" t="s">
        <v>398</v>
      </c>
      <c r="C943">
        <f t="shared" si="352"/>
        <v>8</v>
      </c>
      <c r="D943">
        <f t="shared" si="353"/>
        <v>9</v>
      </c>
      <c r="E943">
        <f t="shared" si="354"/>
        <v>7</v>
      </c>
      <c r="F943">
        <f t="shared" si="355"/>
        <v>24</v>
      </c>
      <c r="G943">
        <f t="shared" si="356"/>
        <v>4</v>
      </c>
      <c r="H943">
        <f t="shared" si="357"/>
        <v>2</v>
      </c>
      <c r="I943">
        <f t="shared" si="358"/>
        <v>12</v>
      </c>
      <c r="J943">
        <f t="shared" si="359"/>
        <v>0.67</v>
      </c>
      <c r="K943">
        <f t="shared" si="360"/>
        <v>1</v>
      </c>
      <c r="L943">
        <f t="shared" si="361"/>
        <v>0.33</v>
      </c>
      <c r="M943">
        <f t="shared" si="362"/>
        <v>2</v>
      </c>
      <c r="N943">
        <f t="shared" si="363"/>
        <v>5.27</v>
      </c>
      <c r="O943" t="str">
        <f t="shared" si="367"/>
        <v>紧凑</v>
      </c>
      <c r="P943" t="str">
        <f t="shared" si="364"/>
        <v>松散</v>
      </c>
      <c r="Q943" t="str">
        <f t="shared" si="365"/>
        <v>✓有效</v>
      </c>
      <c r="R943" t="str">
        <f t="shared" si="366"/>
        <v>异常</v>
      </c>
    </row>
    <row r="944" ht="14.25" customHeight="1" spans="1:18">
      <c r="A944" s="10">
        <v>2025212</v>
      </c>
      <c r="B944" s="12" t="s">
        <v>655</v>
      </c>
      <c r="C944">
        <f t="shared" si="352"/>
        <v>4</v>
      </c>
      <c r="D944">
        <f t="shared" si="353"/>
        <v>5</v>
      </c>
      <c r="E944">
        <f t="shared" si="354"/>
        <v>6</v>
      </c>
      <c r="F944">
        <f t="shared" si="355"/>
        <v>15</v>
      </c>
      <c r="G944">
        <f t="shared" si="356"/>
        <v>5</v>
      </c>
      <c r="H944">
        <f t="shared" si="357"/>
        <v>2</v>
      </c>
      <c r="I944">
        <f t="shared" si="358"/>
        <v>7.5</v>
      </c>
      <c r="J944">
        <f t="shared" si="359"/>
        <v>0.33</v>
      </c>
      <c r="K944">
        <f t="shared" si="360"/>
        <v>0.67</v>
      </c>
      <c r="L944">
        <f t="shared" si="361"/>
        <v>0.33</v>
      </c>
      <c r="M944">
        <f t="shared" si="362"/>
        <v>2</v>
      </c>
      <c r="N944">
        <f t="shared" si="363"/>
        <v>3.33</v>
      </c>
      <c r="O944" t="str">
        <f t="shared" si="367"/>
        <v>紧凑</v>
      </c>
      <c r="P944" t="str">
        <f t="shared" si="364"/>
        <v>标准</v>
      </c>
      <c r="Q944" t="str">
        <f t="shared" si="365"/>
        <v>✓有效</v>
      </c>
      <c r="R944" t="str">
        <f t="shared" si="366"/>
        <v>正常</v>
      </c>
    </row>
    <row r="945" ht="14.25" customHeight="1" spans="1:18">
      <c r="A945" s="10">
        <v>2025213</v>
      </c>
      <c r="B945" s="12" t="s">
        <v>656</v>
      </c>
      <c r="C945">
        <f t="shared" si="352"/>
        <v>3</v>
      </c>
      <c r="D945">
        <f t="shared" si="353"/>
        <v>8</v>
      </c>
      <c r="E945">
        <f t="shared" si="354"/>
        <v>1</v>
      </c>
      <c r="F945">
        <f t="shared" si="355"/>
        <v>12</v>
      </c>
      <c r="G945">
        <f t="shared" si="356"/>
        <v>2</v>
      </c>
      <c r="H945">
        <f t="shared" si="357"/>
        <v>7</v>
      </c>
      <c r="I945">
        <f t="shared" si="358"/>
        <v>1.71</v>
      </c>
      <c r="J945">
        <f t="shared" si="359"/>
        <v>0.67</v>
      </c>
      <c r="K945">
        <f t="shared" si="360"/>
        <v>0.33</v>
      </c>
      <c r="L945">
        <f t="shared" si="361"/>
        <v>0.33</v>
      </c>
      <c r="M945">
        <f t="shared" si="362"/>
        <v>0</v>
      </c>
      <c r="N945">
        <f t="shared" si="363"/>
        <v>1.22</v>
      </c>
      <c r="O945" t="str">
        <f t="shared" si="367"/>
        <v>松散</v>
      </c>
      <c r="P945" t="str">
        <f t="shared" si="364"/>
        <v>极紧凑</v>
      </c>
      <c r="Q945" t="str">
        <f t="shared" si="365"/>
        <v>✓有效</v>
      </c>
      <c r="R945" t="str">
        <f t="shared" si="366"/>
        <v>正常</v>
      </c>
    </row>
    <row r="946" ht="14.25" customHeight="1" spans="1:18">
      <c r="A946" s="10">
        <v>2025214</v>
      </c>
      <c r="B946" s="12" t="s">
        <v>153</v>
      </c>
      <c r="C946">
        <f t="shared" si="352"/>
        <v>9</v>
      </c>
      <c r="D946">
        <f t="shared" si="353"/>
        <v>2</v>
      </c>
      <c r="E946">
        <f t="shared" si="354"/>
        <v>0</v>
      </c>
      <c r="F946">
        <f t="shared" si="355"/>
        <v>11</v>
      </c>
      <c r="G946">
        <f t="shared" si="356"/>
        <v>1</v>
      </c>
      <c r="H946">
        <f t="shared" si="357"/>
        <v>9</v>
      </c>
      <c r="I946">
        <f t="shared" si="358"/>
        <v>1.22</v>
      </c>
      <c r="J946">
        <f t="shared" si="359"/>
        <v>0.33</v>
      </c>
      <c r="K946">
        <f t="shared" si="360"/>
        <v>0.33</v>
      </c>
      <c r="L946">
        <f t="shared" si="361"/>
        <v>0.33</v>
      </c>
      <c r="M946">
        <f t="shared" si="362"/>
        <v>0</v>
      </c>
      <c r="N946">
        <f t="shared" si="363"/>
        <v>0.95</v>
      </c>
      <c r="O946" t="str">
        <f t="shared" si="367"/>
        <v>松散</v>
      </c>
      <c r="P946" t="str">
        <f t="shared" si="364"/>
        <v>极紧凑</v>
      </c>
      <c r="Q946" t="str">
        <f t="shared" si="365"/>
        <v>✓有效</v>
      </c>
      <c r="R946" t="str">
        <f t="shared" si="366"/>
        <v>正常</v>
      </c>
    </row>
    <row r="947" ht="14.25" customHeight="1" spans="1:18">
      <c r="A947" s="10">
        <v>2025215</v>
      </c>
      <c r="B947" s="12" t="s">
        <v>33</v>
      </c>
      <c r="C947">
        <f t="shared" si="352"/>
        <v>8</v>
      </c>
      <c r="D947">
        <f t="shared" si="353"/>
        <v>5</v>
      </c>
      <c r="E947">
        <f t="shared" si="354"/>
        <v>3</v>
      </c>
      <c r="F947">
        <f t="shared" si="355"/>
        <v>16</v>
      </c>
      <c r="G947">
        <f t="shared" si="356"/>
        <v>6</v>
      </c>
      <c r="H947">
        <f t="shared" si="357"/>
        <v>5</v>
      </c>
      <c r="I947">
        <f t="shared" si="358"/>
        <v>3.2</v>
      </c>
      <c r="J947">
        <f t="shared" si="359"/>
        <v>0.67</v>
      </c>
      <c r="K947">
        <f t="shared" si="360"/>
        <v>0.67</v>
      </c>
      <c r="L947">
        <f t="shared" si="361"/>
        <v>0.67</v>
      </c>
      <c r="M947">
        <f t="shared" si="362"/>
        <v>0</v>
      </c>
      <c r="N947">
        <f t="shared" si="363"/>
        <v>1.92</v>
      </c>
      <c r="O947" t="str">
        <f t="shared" si="367"/>
        <v>标准</v>
      </c>
      <c r="P947" t="str">
        <f t="shared" si="364"/>
        <v>紧凑</v>
      </c>
      <c r="Q947" t="str">
        <f t="shared" si="365"/>
        <v>✓有效</v>
      </c>
      <c r="R947" t="str">
        <f t="shared" si="366"/>
        <v>正常</v>
      </c>
    </row>
    <row r="948" ht="14.25" customHeight="1" spans="1:18">
      <c r="A948" s="10">
        <v>2025216</v>
      </c>
      <c r="B948" s="12" t="s">
        <v>599</v>
      </c>
      <c r="C948">
        <f t="shared" si="352"/>
        <v>6</v>
      </c>
      <c r="D948">
        <f t="shared" si="353"/>
        <v>2</v>
      </c>
      <c r="E948">
        <f t="shared" si="354"/>
        <v>5</v>
      </c>
      <c r="F948">
        <f t="shared" si="355"/>
        <v>13</v>
      </c>
      <c r="G948">
        <f t="shared" si="356"/>
        <v>3</v>
      </c>
      <c r="H948">
        <f t="shared" si="357"/>
        <v>4</v>
      </c>
      <c r="I948">
        <f t="shared" si="358"/>
        <v>3.25</v>
      </c>
      <c r="J948">
        <f t="shared" si="359"/>
        <v>0.33</v>
      </c>
      <c r="K948">
        <f t="shared" si="360"/>
        <v>0.67</v>
      </c>
      <c r="L948">
        <f t="shared" si="361"/>
        <v>0.67</v>
      </c>
      <c r="M948">
        <f t="shared" si="362"/>
        <v>1</v>
      </c>
      <c r="N948">
        <f t="shared" si="363"/>
        <v>1.77</v>
      </c>
      <c r="O948" t="str">
        <f t="shared" si="367"/>
        <v>标准</v>
      </c>
      <c r="P948" t="str">
        <f t="shared" si="364"/>
        <v>紧凑</v>
      </c>
      <c r="Q948" t="str">
        <f t="shared" si="365"/>
        <v>✓有效</v>
      </c>
      <c r="R948" t="str">
        <f t="shared" si="366"/>
        <v>正常</v>
      </c>
    </row>
    <row r="949" ht="14.25" customHeight="1" spans="1:18">
      <c r="A949" s="10">
        <v>2025217</v>
      </c>
      <c r="B949" s="12" t="s">
        <v>657</v>
      </c>
      <c r="C949">
        <f t="shared" si="352"/>
        <v>8</v>
      </c>
      <c r="D949">
        <f t="shared" si="353"/>
        <v>9</v>
      </c>
      <c r="E949">
        <f t="shared" si="354"/>
        <v>4</v>
      </c>
      <c r="F949">
        <f t="shared" si="355"/>
        <v>21</v>
      </c>
      <c r="G949">
        <f t="shared" si="356"/>
        <v>1</v>
      </c>
      <c r="H949">
        <f t="shared" si="357"/>
        <v>5</v>
      </c>
      <c r="I949">
        <f t="shared" si="358"/>
        <v>4.2</v>
      </c>
      <c r="J949">
        <f t="shared" si="359"/>
        <v>0.33</v>
      </c>
      <c r="K949">
        <f t="shared" si="360"/>
        <v>0.67</v>
      </c>
      <c r="L949">
        <f t="shared" si="361"/>
        <v>0</v>
      </c>
      <c r="M949">
        <f t="shared" si="362"/>
        <v>1</v>
      </c>
      <c r="N949">
        <f t="shared" si="363"/>
        <v>2.08</v>
      </c>
      <c r="O949" t="str">
        <f t="shared" si="367"/>
        <v>紧凑</v>
      </c>
      <c r="P949" t="str">
        <f t="shared" si="364"/>
        <v>紧凑</v>
      </c>
      <c r="Q949" t="str">
        <f t="shared" si="365"/>
        <v>✓有效</v>
      </c>
      <c r="R949" t="str">
        <f t="shared" si="366"/>
        <v>正常</v>
      </c>
    </row>
    <row r="950" ht="14.25" customHeight="1" spans="1:18">
      <c r="A950" s="10">
        <v>2025218</v>
      </c>
      <c r="B950" s="12" t="s">
        <v>658</v>
      </c>
      <c r="C950">
        <f t="shared" si="352"/>
        <v>5</v>
      </c>
      <c r="D950">
        <f t="shared" si="353"/>
        <v>2</v>
      </c>
      <c r="E950">
        <f t="shared" si="354"/>
        <v>6</v>
      </c>
      <c r="F950">
        <f t="shared" si="355"/>
        <v>13</v>
      </c>
      <c r="G950">
        <f t="shared" si="356"/>
        <v>3</v>
      </c>
      <c r="H950">
        <f t="shared" si="357"/>
        <v>4</v>
      </c>
      <c r="I950">
        <f t="shared" si="358"/>
        <v>3.25</v>
      </c>
      <c r="J950">
        <f t="shared" si="359"/>
        <v>0.33</v>
      </c>
      <c r="K950">
        <f t="shared" si="360"/>
        <v>0.67</v>
      </c>
      <c r="L950">
        <f t="shared" si="361"/>
        <v>0.67</v>
      </c>
      <c r="M950">
        <f t="shared" si="362"/>
        <v>1</v>
      </c>
      <c r="N950">
        <f t="shared" si="363"/>
        <v>1.77</v>
      </c>
      <c r="O950" t="str">
        <f t="shared" si="367"/>
        <v>标准</v>
      </c>
      <c r="P950" t="str">
        <f t="shared" si="364"/>
        <v>紧凑</v>
      </c>
      <c r="Q950" t="str">
        <f t="shared" si="365"/>
        <v>✓有效</v>
      </c>
      <c r="R950" t="str">
        <f t="shared" si="366"/>
        <v>正常</v>
      </c>
    </row>
    <row r="951" ht="14.25" customHeight="1" spans="1:18">
      <c r="A951" s="10">
        <v>2025219</v>
      </c>
      <c r="B951" s="12" t="s">
        <v>343</v>
      </c>
      <c r="C951">
        <f t="shared" si="352"/>
        <v>9</v>
      </c>
      <c r="D951">
        <f t="shared" si="353"/>
        <v>0</v>
      </c>
      <c r="E951">
        <f t="shared" si="354"/>
        <v>0</v>
      </c>
      <c r="F951">
        <f t="shared" si="355"/>
        <v>9</v>
      </c>
      <c r="G951">
        <f t="shared" si="356"/>
        <v>9</v>
      </c>
      <c r="H951">
        <f t="shared" si="357"/>
        <v>9</v>
      </c>
      <c r="I951">
        <f t="shared" si="358"/>
        <v>1</v>
      </c>
      <c r="J951">
        <f t="shared" si="359"/>
        <v>0.33</v>
      </c>
      <c r="K951">
        <f t="shared" si="360"/>
        <v>0.33</v>
      </c>
      <c r="L951">
        <f t="shared" si="361"/>
        <v>0</v>
      </c>
      <c r="M951">
        <f t="shared" si="362"/>
        <v>0</v>
      </c>
      <c r="N951">
        <f t="shared" si="363"/>
        <v>0.83</v>
      </c>
      <c r="O951" t="str">
        <f t="shared" si="367"/>
        <v>松散</v>
      </c>
      <c r="P951" t="str">
        <f t="shared" si="364"/>
        <v>极紧凑</v>
      </c>
      <c r="Q951" t="str">
        <f t="shared" si="365"/>
        <v>✓有效</v>
      </c>
      <c r="R951" t="str">
        <f t="shared" si="366"/>
        <v>正常</v>
      </c>
    </row>
    <row r="952" ht="14.25" customHeight="1" spans="1:18">
      <c r="A952" s="10">
        <v>2025220</v>
      </c>
      <c r="B952" s="12" t="s">
        <v>449</v>
      </c>
      <c r="C952">
        <f t="shared" si="352"/>
        <v>5</v>
      </c>
      <c r="D952">
        <f t="shared" si="353"/>
        <v>3</v>
      </c>
      <c r="E952">
        <f t="shared" si="354"/>
        <v>6</v>
      </c>
      <c r="F952">
        <f t="shared" si="355"/>
        <v>14</v>
      </c>
      <c r="G952">
        <f t="shared" si="356"/>
        <v>4</v>
      </c>
      <c r="H952">
        <f t="shared" si="357"/>
        <v>3</v>
      </c>
      <c r="I952">
        <f t="shared" si="358"/>
        <v>4.67</v>
      </c>
      <c r="J952">
        <f t="shared" si="359"/>
        <v>0.67</v>
      </c>
      <c r="K952">
        <f t="shared" si="360"/>
        <v>0.67</v>
      </c>
      <c r="L952">
        <f t="shared" si="361"/>
        <v>0.67</v>
      </c>
      <c r="M952">
        <f t="shared" si="362"/>
        <v>1</v>
      </c>
      <c r="N952">
        <f t="shared" si="363"/>
        <v>2.4</v>
      </c>
      <c r="O952" t="str">
        <f t="shared" si="367"/>
        <v>紧凑</v>
      </c>
      <c r="P952" t="str">
        <f t="shared" si="364"/>
        <v>紧凑</v>
      </c>
      <c r="Q952" t="str">
        <f t="shared" si="365"/>
        <v>✓有效</v>
      </c>
      <c r="R952" t="str">
        <f t="shared" si="366"/>
        <v>正常</v>
      </c>
    </row>
    <row r="953" ht="14.25" customHeight="1" spans="1:18">
      <c r="A953" s="10">
        <v>2025221</v>
      </c>
      <c r="B953" s="12" t="s">
        <v>539</v>
      </c>
      <c r="C953">
        <f t="shared" si="352"/>
        <v>2</v>
      </c>
      <c r="D953">
        <f t="shared" si="353"/>
        <v>9</v>
      </c>
      <c r="E953">
        <f t="shared" si="354"/>
        <v>6</v>
      </c>
      <c r="F953">
        <f t="shared" si="355"/>
        <v>17</v>
      </c>
      <c r="G953">
        <f t="shared" si="356"/>
        <v>7</v>
      </c>
      <c r="H953">
        <f t="shared" si="357"/>
        <v>7</v>
      </c>
      <c r="I953">
        <f t="shared" si="358"/>
        <v>2.43</v>
      </c>
      <c r="J953">
        <f t="shared" si="359"/>
        <v>0.33</v>
      </c>
      <c r="K953">
        <f t="shared" si="360"/>
        <v>0.67</v>
      </c>
      <c r="L953">
        <f t="shared" si="361"/>
        <v>0.33</v>
      </c>
      <c r="M953">
        <f t="shared" si="362"/>
        <v>0</v>
      </c>
      <c r="N953">
        <f t="shared" si="363"/>
        <v>1.51</v>
      </c>
      <c r="O953" t="str">
        <f t="shared" si="367"/>
        <v>标准</v>
      </c>
      <c r="P953" t="str">
        <f t="shared" si="364"/>
        <v>紧凑</v>
      </c>
      <c r="Q953" t="str">
        <f t="shared" si="365"/>
        <v>✓有效</v>
      </c>
      <c r="R953" t="str">
        <f t="shared" si="366"/>
        <v>正常</v>
      </c>
    </row>
    <row r="954" ht="14.25" customHeight="1" spans="1:18">
      <c r="A954" s="10">
        <v>2025222</v>
      </c>
      <c r="B954" s="12" t="s">
        <v>143</v>
      </c>
      <c r="C954">
        <f t="shared" si="352"/>
        <v>0</v>
      </c>
      <c r="D954">
        <f t="shared" si="353"/>
        <v>1</v>
      </c>
      <c r="E954">
        <f t="shared" si="354"/>
        <v>0</v>
      </c>
      <c r="F954">
        <f t="shared" si="355"/>
        <v>1</v>
      </c>
      <c r="G954">
        <f t="shared" si="356"/>
        <v>1</v>
      </c>
      <c r="H954">
        <f t="shared" si="357"/>
        <v>1</v>
      </c>
      <c r="I954">
        <f t="shared" si="358"/>
        <v>1</v>
      </c>
      <c r="J954">
        <f t="shared" si="359"/>
        <v>0.33</v>
      </c>
      <c r="K954">
        <f t="shared" si="360"/>
        <v>0</v>
      </c>
      <c r="L954">
        <f t="shared" si="361"/>
        <v>0</v>
      </c>
      <c r="M954">
        <f t="shared" si="362"/>
        <v>2</v>
      </c>
      <c r="N954">
        <f t="shared" si="363"/>
        <v>0.57</v>
      </c>
      <c r="O954" t="str">
        <f t="shared" si="367"/>
        <v>松散</v>
      </c>
      <c r="P954" t="str">
        <f t="shared" si="364"/>
        <v>极紧凑</v>
      </c>
      <c r="Q954" t="str">
        <f t="shared" si="365"/>
        <v>✓有效</v>
      </c>
      <c r="R954" t="str">
        <f t="shared" si="366"/>
        <v>正常</v>
      </c>
    </row>
    <row r="955" ht="14.25" customHeight="1" spans="1:18">
      <c r="A955" s="10">
        <v>2025223</v>
      </c>
      <c r="B955" s="12" t="s">
        <v>382</v>
      </c>
      <c r="C955">
        <f t="shared" si="352"/>
        <v>7</v>
      </c>
      <c r="D955">
        <f t="shared" si="353"/>
        <v>3</v>
      </c>
      <c r="E955">
        <f t="shared" si="354"/>
        <v>6</v>
      </c>
      <c r="F955">
        <f t="shared" si="355"/>
        <v>16</v>
      </c>
      <c r="G955">
        <f t="shared" si="356"/>
        <v>6</v>
      </c>
      <c r="H955">
        <f t="shared" si="357"/>
        <v>4</v>
      </c>
      <c r="I955">
        <f t="shared" si="358"/>
        <v>4</v>
      </c>
      <c r="J955">
        <f t="shared" si="359"/>
        <v>0.67</v>
      </c>
      <c r="K955">
        <f t="shared" si="360"/>
        <v>0.67</v>
      </c>
      <c r="L955">
        <f t="shared" si="361"/>
        <v>0.67</v>
      </c>
      <c r="M955">
        <f t="shared" si="362"/>
        <v>1</v>
      </c>
      <c r="N955">
        <f t="shared" si="363"/>
        <v>2.14</v>
      </c>
      <c r="O955" t="str">
        <f t="shared" si="367"/>
        <v>紧凑</v>
      </c>
      <c r="P955" t="str">
        <f t="shared" si="364"/>
        <v>紧凑</v>
      </c>
      <c r="Q955" t="str">
        <f t="shared" si="365"/>
        <v>✓有效</v>
      </c>
      <c r="R955" t="str">
        <f t="shared" si="366"/>
        <v>正常</v>
      </c>
    </row>
    <row r="956" ht="14.25" customHeight="1" spans="1:18">
      <c r="A956" s="10">
        <v>2025224</v>
      </c>
      <c r="B956" s="12" t="s">
        <v>659</v>
      </c>
      <c r="C956">
        <f t="shared" si="352"/>
        <v>9</v>
      </c>
      <c r="D956">
        <f t="shared" si="353"/>
        <v>9</v>
      </c>
      <c r="E956">
        <f t="shared" si="354"/>
        <v>0</v>
      </c>
      <c r="F956">
        <f t="shared" si="355"/>
        <v>18</v>
      </c>
      <c r="G956">
        <f t="shared" si="356"/>
        <v>8</v>
      </c>
      <c r="H956">
        <f t="shared" si="357"/>
        <v>9</v>
      </c>
      <c r="I956">
        <f t="shared" si="358"/>
        <v>2</v>
      </c>
      <c r="J956">
        <f t="shared" si="359"/>
        <v>0.67</v>
      </c>
      <c r="K956">
        <f t="shared" si="360"/>
        <v>0.67</v>
      </c>
      <c r="L956">
        <f t="shared" si="361"/>
        <v>0</v>
      </c>
      <c r="M956">
        <f t="shared" si="362"/>
        <v>0</v>
      </c>
      <c r="N956">
        <f t="shared" si="363"/>
        <v>1.37</v>
      </c>
      <c r="O956" t="str">
        <f t="shared" si="367"/>
        <v>标准</v>
      </c>
      <c r="P956" t="str">
        <f t="shared" si="364"/>
        <v>极紧凑</v>
      </c>
      <c r="Q956" t="str">
        <f t="shared" si="365"/>
        <v>✓有效</v>
      </c>
      <c r="R956" t="str">
        <f t="shared" si="366"/>
        <v>正常</v>
      </c>
    </row>
    <row r="957" ht="14.25" customHeight="1" spans="1:18">
      <c r="A957" s="10">
        <v>2025225</v>
      </c>
      <c r="B957" s="12" t="s">
        <v>358</v>
      </c>
      <c r="C957">
        <f t="shared" si="352"/>
        <v>8</v>
      </c>
      <c r="D957">
        <f t="shared" si="353"/>
        <v>0</v>
      </c>
      <c r="E957">
        <f t="shared" si="354"/>
        <v>6</v>
      </c>
      <c r="F957">
        <f t="shared" si="355"/>
        <v>14</v>
      </c>
      <c r="G957">
        <f t="shared" si="356"/>
        <v>4</v>
      </c>
      <c r="H957">
        <f t="shared" si="357"/>
        <v>8</v>
      </c>
      <c r="I957">
        <f t="shared" si="358"/>
        <v>1.75</v>
      </c>
      <c r="J957">
        <f t="shared" si="359"/>
        <v>0</v>
      </c>
      <c r="K957">
        <f t="shared" si="360"/>
        <v>0.67</v>
      </c>
      <c r="L957">
        <f t="shared" si="361"/>
        <v>0</v>
      </c>
      <c r="M957">
        <f t="shared" si="362"/>
        <v>0</v>
      </c>
      <c r="N957">
        <f t="shared" si="363"/>
        <v>1.13</v>
      </c>
      <c r="O957" t="str">
        <f t="shared" si="367"/>
        <v>松散</v>
      </c>
      <c r="P957" t="str">
        <f t="shared" si="364"/>
        <v>极紧凑</v>
      </c>
      <c r="Q957" t="str">
        <f t="shared" si="365"/>
        <v>✓有效</v>
      </c>
      <c r="R957" t="str">
        <f t="shared" si="366"/>
        <v>正常</v>
      </c>
    </row>
    <row r="958" ht="14.25" customHeight="1" spans="1:18">
      <c r="A958" s="10">
        <v>2025226</v>
      </c>
      <c r="B958" s="12" t="s">
        <v>454</v>
      </c>
      <c r="C958">
        <f t="shared" si="352"/>
        <v>1</v>
      </c>
      <c r="D958">
        <f t="shared" si="353"/>
        <v>8</v>
      </c>
      <c r="E958">
        <f t="shared" si="354"/>
        <v>0</v>
      </c>
      <c r="F958">
        <f t="shared" si="355"/>
        <v>9</v>
      </c>
      <c r="G958">
        <f t="shared" si="356"/>
        <v>9</v>
      </c>
      <c r="H958">
        <f t="shared" si="357"/>
        <v>8</v>
      </c>
      <c r="I958">
        <f t="shared" si="358"/>
        <v>1.13</v>
      </c>
      <c r="J958">
        <f t="shared" si="359"/>
        <v>0.33</v>
      </c>
      <c r="K958">
        <f t="shared" si="360"/>
        <v>0.33</v>
      </c>
      <c r="L958">
        <f t="shared" si="361"/>
        <v>0</v>
      </c>
      <c r="M958">
        <f t="shared" si="362"/>
        <v>1</v>
      </c>
      <c r="N958">
        <f t="shared" si="363"/>
        <v>0.78</v>
      </c>
      <c r="O958" t="str">
        <f t="shared" si="367"/>
        <v>松散</v>
      </c>
      <c r="P958" t="str">
        <f t="shared" si="364"/>
        <v>极紧凑</v>
      </c>
      <c r="Q958" t="str">
        <f t="shared" si="365"/>
        <v>✓有效</v>
      </c>
      <c r="R958" t="str">
        <f t="shared" si="366"/>
        <v>正常</v>
      </c>
    </row>
    <row r="959" ht="14.25" customHeight="1" spans="1:18">
      <c r="A959" s="10">
        <v>2025227</v>
      </c>
      <c r="B959" s="12" t="s">
        <v>660</v>
      </c>
      <c r="C959">
        <f t="shared" si="352"/>
        <v>6</v>
      </c>
      <c r="D959">
        <f t="shared" si="353"/>
        <v>1</v>
      </c>
      <c r="E959">
        <f t="shared" si="354"/>
        <v>1</v>
      </c>
      <c r="F959">
        <f t="shared" si="355"/>
        <v>8</v>
      </c>
      <c r="G959">
        <f t="shared" si="356"/>
        <v>8</v>
      </c>
      <c r="H959">
        <f t="shared" si="357"/>
        <v>5</v>
      </c>
      <c r="I959">
        <f t="shared" si="358"/>
        <v>1.6</v>
      </c>
      <c r="J959">
        <f t="shared" si="359"/>
        <v>0.67</v>
      </c>
      <c r="K959">
        <f t="shared" si="360"/>
        <v>0.33</v>
      </c>
      <c r="L959">
        <f t="shared" si="361"/>
        <v>0</v>
      </c>
      <c r="M959">
        <f t="shared" si="362"/>
        <v>0</v>
      </c>
      <c r="N959">
        <f t="shared" si="363"/>
        <v>1.14</v>
      </c>
      <c r="O959" t="str">
        <f t="shared" si="367"/>
        <v>松散</v>
      </c>
      <c r="P959" t="str">
        <f t="shared" si="364"/>
        <v>极紧凑</v>
      </c>
      <c r="Q959" t="str">
        <f t="shared" si="365"/>
        <v>✓有效</v>
      </c>
      <c r="R959" t="str">
        <f t="shared" si="366"/>
        <v>正常</v>
      </c>
    </row>
    <row r="960" ht="14.25" customHeight="1" spans="1:18">
      <c r="A960" s="10">
        <v>2025228</v>
      </c>
      <c r="B960" s="12" t="s">
        <v>517</v>
      </c>
      <c r="C960">
        <f t="shared" si="352"/>
        <v>4</v>
      </c>
      <c r="D960">
        <f t="shared" si="353"/>
        <v>6</v>
      </c>
      <c r="E960">
        <f t="shared" si="354"/>
        <v>5</v>
      </c>
      <c r="F960">
        <f t="shared" si="355"/>
        <v>15</v>
      </c>
      <c r="G960">
        <f t="shared" si="356"/>
        <v>5</v>
      </c>
      <c r="H960">
        <f t="shared" si="357"/>
        <v>2</v>
      </c>
      <c r="I960">
        <f t="shared" si="358"/>
        <v>7.5</v>
      </c>
      <c r="J960">
        <f t="shared" si="359"/>
        <v>0.33</v>
      </c>
      <c r="K960">
        <f t="shared" si="360"/>
        <v>0.67</v>
      </c>
      <c r="L960">
        <f t="shared" si="361"/>
        <v>0.33</v>
      </c>
      <c r="M960">
        <f t="shared" si="362"/>
        <v>2</v>
      </c>
      <c r="N960">
        <f t="shared" si="363"/>
        <v>3.33</v>
      </c>
      <c r="O960" t="str">
        <f t="shared" si="367"/>
        <v>紧凑</v>
      </c>
      <c r="P960" t="str">
        <f t="shared" si="364"/>
        <v>标准</v>
      </c>
      <c r="Q960" t="str">
        <f t="shared" si="365"/>
        <v>✓有效</v>
      </c>
      <c r="R960" t="str">
        <f t="shared" si="366"/>
        <v>正常</v>
      </c>
    </row>
    <row r="961" ht="14.25" customHeight="1" spans="1:18">
      <c r="A961" s="10">
        <v>2025229</v>
      </c>
      <c r="B961" s="12" t="s">
        <v>414</v>
      </c>
      <c r="C961">
        <f t="shared" si="352"/>
        <v>1</v>
      </c>
      <c r="D961">
        <f t="shared" si="353"/>
        <v>0</v>
      </c>
      <c r="E961">
        <f t="shared" si="354"/>
        <v>8</v>
      </c>
      <c r="F961">
        <f t="shared" si="355"/>
        <v>9</v>
      </c>
      <c r="G961">
        <f t="shared" si="356"/>
        <v>9</v>
      </c>
      <c r="H961">
        <f t="shared" si="357"/>
        <v>8</v>
      </c>
      <c r="I961">
        <f t="shared" si="358"/>
        <v>1.13</v>
      </c>
      <c r="J961">
        <f t="shared" si="359"/>
        <v>0.33</v>
      </c>
      <c r="K961">
        <f t="shared" si="360"/>
        <v>0.33</v>
      </c>
      <c r="L961">
        <f t="shared" si="361"/>
        <v>0</v>
      </c>
      <c r="M961">
        <f t="shared" si="362"/>
        <v>1</v>
      </c>
      <c r="N961">
        <f t="shared" si="363"/>
        <v>0.78</v>
      </c>
      <c r="O961" t="str">
        <f t="shared" si="367"/>
        <v>松散</v>
      </c>
      <c r="P961" t="str">
        <f t="shared" si="364"/>
        <v>极紧凑</v>
      </c>
      <c r="Q961" t="str">
        <f t="shared" si="365"/>
        <v>✓有效</v>
      </c>
      <c r="R961" t="str">
        <f t="shared" si="366"/>
        <v>正常</v>
      </c>
    </row>
    <row r="962" ht="14.25" customHeight="1" spans="1:18">
      <c r="A962" s="10">
        <v>2025230</v>
      </c>
      <c r="B962" s="12" t="s">
        <v>661</v>
      </c>
      <c r="C962">
        <f t="shared" si="352"/>
        <v>4</v>
      </c>
      <c r="D962">
        <f t="shared" si="353"/>
        <v>3</v>
      </c>
      <c r="E962">
        <f t="shared" si="354"/>
        <v>9</v>
      </c>
      <c r="F962">
        <f t="shared" si="355"/>
        <v>16</v>
      </c>
      <c r="G962">
        <f t="shared" si="356"/>
        <v>6</v>
      </c>
      <c r="H962">
        <f t="shared" si="357"/>
        <v>6</v>
      </c>
      <c r="I962">
        <f t="shared" si="358"/>
        <v>2.67</v>
      </c>
      <c r="J962">
        <f t="shared" si="359"/>
        <v>0.67</v>
      </c>
      <c r="K962">
        <f t="shared" si="360"/>
        <v>0.33</v>
      </c>
      <c r="L962">
        <f t="shared" si="361"/>
        <v>0.33</v>
      </c>
      <c r="M962">
        <f t="shared" si="362"/>
        <v>1</v>
      </c>
      <c r="N962">
        <f t="shared" si="363"/>
        <v>1.5</v>
      </c>
      <c r="O962" t="str">
        <f t="shared" si="367"/>
        <v>标准</v>
      </c>
      <c r="P962" t="str">
        <f t="shared" si="364"/>
        <v>极紧凑</v>
      </c>
      <c r="Q962" t="str">
        <f t="shared" si="365"/>
        <v>✓有效</v>
      </c>
      <c r="R962" t="str">
        <f t="shared" si="366"/>
        <v>正常</v>
      </c>
    </row>
    <row r="963" ht="14.25" customHeight="1" spans="1:18">
      <c r="A963" s="10">
        <v>2025231</v>
      </c>
      <c r="B963" s="12" t="s">
        <v>142</v>
      </c>
      <c r="C963">
        <f t="shared" si="352"/>
        <v>7</v>
      </c>
      <c r="D963">
        <f t="shared" si="353"/>
        <v>3</v>
      </c>
      <c r="E963">
        <f t="shared" si="354"/>
        <v>2</v>
      </c>
      <c r="F963">
        <f t="shared" si="355"/>
        <v>12</v>
      </c>
      <c r="G963">
        <f t="shared" si="356"/>
        <v>2</v>
      </c>
      <c r="H963">
        <f t="shared" si="357"/>
        <v>5</v>
      </c>
      <c r="I963">
        <f t="shared" si="358"/>
        <v>2.4</v>
      </c>
      <c r="J963">
        <f t="shared" si="359"/>
        <v>0.67</v>
      </c>
      <c r="K963">
        <f t="shared" si="360"/>
        <v>0.33</v>
      </c>
      <c r="L963">
        <f t="shared" si="361"/>
        <v>1</v>
      </c>
      <c r="M963">
        <f t="shared" si="362"/>
        <v>1</v>
      </c>
      <c r="N963">
        <f t="shared" si="363"/>
        <v>1.46</v>
      </c>
      <c r="O963" t="str">
        <f t="shared" si="367"/>
        <v>标准</v>
      </c>
      <c r="P963" t="str">
        <f t="shared" si="364"/>
        <v>极紧凑</v>
      </c>
      <c r="Q963" t="str">
        <f t="shared" si="365"/>
        <v>✓有效</v>
      </c>
      <c r="R963" t="str">
        <f t="shared" si="366"/>
        <v>正常</v>
      </c>
    </row>
    <row r="964" ht="14.25" customHeight="1" spans="1:18">
      <c r="A964" s="10">
        <v>2025232</v>
      </c>
      <c r="B964" s="12" t="s">
        <v>662</v>
      </c>
      <c r="C964">
        <f t="shared" si="352"/>
        <v>0</v>
      </c>
      <c r="D964">
        <f t="shared" si="353"/>
        <v>4</v>
      </c>
      <c r="E964">
        <f t="shared" si="354"/>
        <v>4</v>
      </c>
      <c r="F964">
        <f t="shared" si="355"/>
        <v>8</v>
      </c>
      <c r="G964">
        <f t="shared" si="356"/>
        <v>8</v>
      </c>
      <c r="H964">
        <f t="shared" si="357"/>
        <v>4</v>
      </c>
      <c r="I964">
        <f t="shared" si="358"/>
        <v>2</v>
      </c>
      <c r="J964">
        <f t="shared" si="359"/>
        <v>0</v>
      </c>
      <c r="K964">
        <f t="shared" si="360"/>
        <v>0</v>
      </c>
      <c r="L964">
        <f t="shared" si="361"/>
        <v>0</v>
      </c>
      <c r="M964">
        <f t="shared" si="362"/>
        <v>0</v>
      </c>
      <c r="N964">
        <f t="shared" si="363"/>
        <v>1.1</v>
      </c>
      <c r="O964" t="str">
        <f t="shared" si="367"/>
        <v>标准</v>
      </c>
      <c r="P964" t="str">
        <f t="shared" si="364"/>
        <v>极紧凑</v>
      </c>
      <c r="Q964" t="str">
        <f t="shared" si="365"/>
        <v>✓有效</v>
      </c>
      <c r="R964" t="str">
        <f t="shared" si="366"/>
        <v>正常</v>
      </c>
    </row>
    <row r="965" ht="14.25" customHeight="1" spans="1:18">
      <c r="A965" s="10">
        <v>2025233</v>
      </c>
      <c r="B965" s="12" t="s">
        <v>53</v>
      </c>
      <c r="C965">
        <f t="shared" si="352"/>
        <v>2</v>
      </c>
      <c r="D965">
        <f t="shared" si="353"/>
        <v>5</v>
      </c>
      <c r="E965">
        <f t="shared" si="354"/>
        <v>9</v>
      </c>
      <c r="F965">
        <f t="shared" si="355"/>
        <v>16</v>
      </c>
      <c r="G965">
        <f t="shared" si="356"/>
        <v>6</v>
      </c>
      <c r="H965">
        <f t="shared" si="357"/>
        <v>7</v>
      </c>
      <c r="I965">
        <f t="shared" si="358"/>
        <v>2.29</v>
      </c>
      <c r="J965">
        <f t="shared" si="359"/>
        <v>0.67</v>
      </c>
      <c r="K965">
        <f t="shared" si="360"/>
        <v>0.67</v>
      </c>
      <c r="L965">
        <f t="shared" si="361"/>
        <v>0.67</v>
      </c>
      <c r="M965">
        <f t="shared" si="362"/>
        <v>0</v>
      </c>
      <c r="N965">
        <f t="shared" si="363"/>
        <v>1.55</v>
      </c>
      <c r="O965" t="str">
        <f t="shared" si="367"/>
        <v>标准</v>
      </c>
      <c r="P965" t="str">
        <f t="shared" si="364"/>
        <v>紧凑</v>
      </c>
      <c r="Q965" t="str">
        <f t="shared" si="365"/>
        <v>✓有效</v>
      </c>
      <c r="R965" t="str">
        <f t="shared" si="366"/>
        <v>正常</v>
      </c>
    </row>
    <row r="966" ht="14.25" customHeight="1" spans="1:18">
      <c r="A966" s="10">
        <v>2025234</v>
      </c>
      <c r="B966" s="12" t="s">
        <v>365</v>
      </c>
      <c r="C966">
        <f t="shared" si="352"/>
        <v>6</v>
      </c>
      <c r="D966">
        <f t="shared" si="353"/>
        <v>2</v>
      </c>
      <c r="E966">
        <f t="shared" si="354"/>
        <v>0</v>
      </c>
      <c r="F966">
        <f t="shared" si="355"/>
        <v>8</v>
      </c>
      <c r="G966">
        <f t="shared" si="356"/>
        <v>8</v>
      </c>
      <c r="H966">
        <f t="shared" si="357"/>
        <v>6</v>
      </c>
      <c r="I966">
        <f t="shared" si="358"/>
        <v>1.33</v>
      </c>
      <c r="J966">
        <f t="shared" si="359"/>
        <v>0</v>
      </c>
      <c r="K966">
        <f t="shared" si="360"/>
        <v>0.33</v>
      </c>
      <c r="L966">
        <f t="shared" si="361"/>
        <v>0.33</v>
      </c>
      <c r="M966">
        <f t="shared" si="362"/>
        <v>0</v>
      </c>
      <c r="N966">
        <f t="shared" si="363"/>
        <v>0.93</v>
      </c>
      <c r="O966" t="str">
        <f t="shared" si="367"/>
        <v>松散</v>
      </c>
      <c r="P966" t="str">
        <f t="shared" si="364"/>
        <v>极紧凑</v>
      </c>
      <c r="Q966" t="str">
        <f t="shared" si="365"/>
        <v>✓有效</v>
      </c>
      <c r="R966" t="str">
        <f t="shared" si="366"/>
        <v>正常</v>
      </c>
    </row>
    <row r="967" ht="14.25" customHeight="1" spans="1:18">
      <c r="A967" s="10">
        <v>2025235</v>
      </c>
      <c r="B967" s="12" t="s">
        <v>633</v>
      </c>
      <c r="C967">
        <f t="shared" si="352"/>
        <v>9</v>
      </c>
      <c r="D967">
        <f t="shared" si="353"/>
        <v>6</v>
      </c>
      <c r="E967">
        <f t="shared" si="354"/>
        <v>9</v>
      </c>
      <c r="F967">
        <f t="shared" si="355"/>
        <v>24</v>
      </c>
      <c r="G967">
        <f t="shared" si="356"/>
        <v>4</v>
      </c>
      <c r="H967">
        <f t="shared" si="357"/>
        <v>3</v>
      </c>
      <c r="I967">
        <f t="shared" si="358"/>
        <v>8</v>
      </c>
      <c r="J967">
        <f t="shared" si="359"/>
        <v>0.67</v>
      </c>
      <c r="K967">
        <f t="shared" si="360"/>
        <v>1</v>
      </c>
      <c r="L967">
        <f t="shared" si="361"/>
        <v>0</v>
      </c>
      <c r="M967">
        <f t="shared" si="362"/>
        <v>0</v>
      </c>
      <c r="N967">
        <f t="shared" si="363"/>
        <v>3.83</v>
      </c>
      <c r="O967" t="str">
        <f t="shared" si="367"/>
        <v>紧凑</v>
      </c>
      <c r="P967" t="str">
        <f t="shared" si="364"/>
        <v>标准</v>
      </c>
      <c r="Q967" t="str">
        <f t="shared" si="365"/>
        <v>✓有效</v>
      </c>
      <c r="R967" t="str">
        <f t="shared" si="366"/>
        <v>正常</v>
      </c>
    </row>
    <row r="968" ht="14.25" customHeight="1" spans="1:18">
      <c r="A968" s="10">
        <v>2025236</v>
      </c>
      <c r="B968" s="12" t="s">
        <v>663</v>
      </c>
      <c r="C968">
        <f t="shared" si="352"/>
        <v>3</v>
      </c>
      <c r="D968">
        <f t="shared" si="353"/>
        <v>5</v>
      </c>
      <c r="E968">
        <f t="shared" si="354"/>
        <v>5</v>
      </c>
      <c r="F968">
        <f t="shared" si="355"/>
        <v>13</v>
      </c>
      <c r="G968">
        <f t="shared" si="356"/>
        <v>3</v>
      </c>
      <c r="H968">
        <f t="shared" si="357"/>
        <v>2</v>
      </c>
      <c r="I968">
        <f t="shared" si="358"/>
        <v>6.5</v>
      </c>
      <c r="J968">
        <f t="shared" si="359"/>
        <v>1</v>
      </c>
      <c r="K968">
        <f t="shared" si="360"/>
        <v>0.67</v>
      </c>
      <c r="L968">
        <f t="shared" si="361"/>
        <v>1</v>
      </c>
      <c r="M968">
        <f t="shared" si="362"/>
        <v>0</v>
      </c>
      <c r="N968">
        <f t="shared" si="363"/>
        <v>3.33</v>
      </c>
      <c r="O968" t="str">
        <f t="shared" si="367"/>
        <v>紧凑</v>
      </c>
      <c r="P968" t="str">
        <f t="shared" si="364"/>
        <v>标准</v>
      </c>
      <c r="Q968" t="str">
        <f t="shared" si="365"/>
        <v>✓有效</v>
      </c>
      <c r="R968" t="str">
        <f t="shared" si="366"/>
        <v>正常</v>
      </c>
    </row>
    <row r="969" ht="14.25" customHeight="1" spans="1:18">
      <c r="A969" s="10">
        <v>2025237</v>
      </c>
      <c r="B969" s="12" t="s">
        <v>362</v>
      </c>
      <c r="C969">
        <f t="shared" si="352"/>
        <v>5</v>
      </c>
      <c r="D969">
        <f t="shared" si="353"/>
        <v>9</v>
      </c>
      <c r="E969">
        <f t="shared" si="354"/>
        <v>0</v>
      </c>
      <c r="F969">
        <f t="shared" si="355"/>
        <v>14</v>
      </c>
      <c r="G969">
        <f t="shared" si="356"/>
        <v>4</v>
      </c>
      <c r="H969">
        <f t="shared" si="357"/>
        <v>9</v>
      </c>
      <c r="I969">
        <f t="shared" si="358"/>
        <v>1.56</v>
      </c>
      <c r="J969">
        <f t="shared" si="359"/>
        <v>0.67</v>
      </c>
      <c r="K969">
        <f t="shared" si="360"/>
        <v>0.67</v>
      </c>
      <c r="L969">
        <f t="shared" si="361"/>
        <v>0.33</v>
      </c>
      <c r="M969">
        <f t="shared" si="362"/>
        <v>0</v>
      </c>
      <c r="N969">
        <f t="shared" si="363"/>
        <v>1.23</v>
      </c>
      <c r="O969" t="str">
        <f t="shared" si="367"/>
        <v>松散</v>
      </c>
      <c r="P969" t="str">
        <f t="shared" si="364"/>
        <v>极紧凑</v>
      </c>
      <c r="Q969" t="str">
        <f t="shared" si="365"/>
        <v>✓有效</v>
      </c>
      <c r="R969" t="str">
        <f t="shared" si="366"/>
        <v>正常</v>
      </c>
    </row>
    <row r="970" ht="14.25" customHeight="1" spans="1:18">
      <c r="A970" s="10">
        <v>2025238</v>
      </c>
      <c r="B970" s="12" t="s">
        <v>664</v>
      </c>
      <c r="C970">
        <f t="shared" si="352"/>
        <v>8</v>
      </c>
      <c r="D970">
        <f t="shared" si="353"/>
        <v>6</v>
      </c>
      <c r="E970">
        <f t="shared" si="354"/>
        <v>0</v>
      </c>
      <c r="F970">
        <f t="shared" si="355"/>
        <v>14</v>
      </c>
      <c r="G970">
        <f t="shared" si="356"/>
        <v>4</v>
      </c>
      <c r="H970">
        <f t="shared" si="357"/>
        <v>8</v>
      </c>
      <c r="I970">
        <f t="shared" si="358"/>
        <v>1.75</v>
      </c>
      <c r="J970">
        <f t="shared" si="359"/>
        <v>0</v>
      </c>
      <c r="K970">
        <f t="shared" si="360"/>
        <v>0.67</v>
      </c>
      <c r="L970">
        <f t="shared" si="361"/>
        <v>0</v>
      </c>
      <c r="M970">
        <f t="shared" si="362"/>
        <v>0</v>
      </c>
      <c r="N970">
        <f t="shared" si="363"/>
        <v>1.13</v>
      </c>
      <c r="O970" t="str">
        <f t="shared" si="367"/>
        <v>松散</v>
      </c>
      <c r="P970" t="str">
        <f t="shared" si="364"/>
        <v>极紧凑</v>
      </c>
      <c r="Q970" t="str">
        <f t="shared" si="365"/>
        <v>✓有效</v>
      </c>
      <c r="R970" t="str">
        <f t="shared" si="366"/>
        <v>正常</v>
      </c>
    </row>
    <row r="971" ht="14.25" customHeight="1" spans="1:18">
      <c r="A971" s="10">
        <v>2025239</v>
      </c>
      <c r="B971" s="12" t="s">
        <v>665</v>
      </c>
      <c r="C971">
        <f t="shared" si="352"/>
        <v>1</v>
      </c>
      <c r="D971">
        <f t="shared" si="353"/>
        <v>2</v>
      </c>
      <c r="E971">
        <f t="shared" si="354"/>
        <v>5</v>
      </c>
      <c r="F971">
        <f t="shared" si="355"/>
        <v>8</v>
      </c>
      <c r="G971">
        <f t="shared" si="356"/>
        <v>8</v>
      </c>
      <c r="H971">
        <f t="shared" si="357"/>
        <v>4</v>
      </c>
      <c r="I971">
        <f t="shared" si="358"/>
        <v>2</v>
      </c>
      <c r="J971">
        <f t="shared" si="359"/>
        <v>0.67</v>
      </c>
      <c r="K971">
        <f t="shared" si="360"/>
        <v>0.33</v>
      </c>
      <c r="L971">
        <f t="shared" si="361"/>
        <v>0.67</v>
      </c>
      <c r="M971">
        <f t="shared" si="362"/>
        <v>1</v>
      </c>
      <c r="N971">
        <f t="shared" si="363"/>
        <v>1.27</v>
      </c>
      <c r="O971" t="str">
        <f t="shared" si="367"/>
        <v>标准</v>
      </c>
      <c r="P971" t="str">
        <f t="shared" si="364"/>
        <v>极紧凑</v>
      </c>
      <c r="Q971" t="str">
        <f t="shared" si="365"/>
        <v>✓有效</v>
      </c>
      <c r="R971" t="str">
        <f t="shared" si="366"/>
        <v>正常</v>
      </c>
    </row>
    <row r="972" ht="14.25" customHeight="1" spans="1:18">
      <c r="A972" s="10">
        <v>2025240</v>
      </c>
      <c r="B972" s="12" t="s">
        <v>526</v>
      </c>
      <c r="C972">
        <f t="shared" si="352"/>
        <v>4</v>
      </c>
      <c r="D972">
        <f t="shared" si="353"/>
        <v>1</v>
      </c>
      <c r="E972">
        <f t="shared" si="354"/>
        <v>9</v>
      </c>
      <c r="F972">
        <f t="shared" si="355"/>
        <v>14</v>
      </c>
      <c r="G972">
        <f t="shared" si="356"/>
        <v>4</v>
      </c>
      <c r="H972">
        <f t="shared" si="357"/>
        <v>8</v>
      </c>
      <c r="I972">
        <f t="shared" si="358"/>
        <v>1.75</v>
      </c>
      <c r="J972">
        <f t="shared" si="359"/>
        <v>0.67</v>
      </c>
      <c r="K972">
        <f t="shared" si="360"/>
        <v>0.33</v>
      </c>
      <c r="L972">
        <f t="shared" si="361"/>
        <v>0</v>
      </c>
      <c r="M972">
        <f t="shared" si="362"/>
        <v>0</v>
      </c>
      <c r="N972">
        <f t="shared" si="363"/>
        <v>1.2</v>
      </c>
      <c r="O972" t="str">
        <f t="shared" si="367"/>
        <v>松散</v>
      </c>
      <c r="P972" t="str">
        <f t="shared" si="364"/>
        <v>极紧凑</v>
      </c>
      <c r="Q972" t="str">
        <f t="shared" si="365"/>
        <v>✓有效</v>
      </c>
      <c r="R972" t="str">
        <f t="shared" si="366"/>
        <v>正常</v>
      </c>
    </row>
    <row r="973" ht="14.25" customHeight="1" spans="1:18">
      <c r="A973" s="10">
        <v>2025241</v>
      </c>
      <c r="B973" s="12" t="s">
        <v>666</v>
      </c>
      <c r="C973">
        <f t="shared" si="352"/>
        <v>1</v>
      </c>
      <c r="D973">
        <f t="shared" si="353"/>
        <v>6</v>
      </c>
      <c r="E973">
        <f t="shared" si="354"/>
        <v>0</v>
      </c>
      <c r="F973">
        <f t="shared" si="355"/>
        <v>7</v>
      </c>
      <c r="G973">
        <f t="shared" si="356"/>
        <v>7</v>
      </c>
      <c r="H973">
        <f t="shared" si="357"/>
        <v>6</v>
      </c>
      <c r="I973">
        <f t="shared" si="358"/>
        <v>1.17</v>
      </c>
      <c r="J973">
        <f t="shared" si="359"/>
        <v>0.33</v>
      </c>
      <c r="K973">
        <f t="shared" si="360"/>
        <v>0.33</v>
      </c>
      <c r="L973">
        <f t="shared" si="361"/>
        <v>0</v>
      </c>
      <c r="M973">
        <f t="shared" si="362"/>
        <v>1</v>
      </c>
      <c r="N973">
        <f t="shared" si="363"/>
        <v>0.8</v>
      </c>
      <c r="O973" t="str">
        <f t="shared" si="367"/>
        <v>松散</v>
      </c>
      <c r="P973" t="str">
        <f t="shared" si="364"/>
        <v>极紧凑</v>
      </c>
      <c r="Q973" t="str">
        <f t="shared" si="365"/>
        <v>✓有效</v>
      </c>
      <c r="R973" t="str">
        <f t="shared" si="366"/>
        <v>正常</v>
      </c>
    </row>
    <row r="974" ht="14.25" customHeight="1" spans="1:18">
      <c r="A974" s="10">
        <v>2025242</v>
      </c>
      <c r="B974" s="12" t="s">
        <v>659</v>
      </c>
      <c r="C974">
        <f t="shared" si="352"/>
        <v>9</v>
      </c>
      <c r="D974">
        <f t="shared" si="353"/>
        <v>9</v>
      </c>
      <c r="E974">
        <f t="shared" si="354"/>
        <v>0</v>
      </c>
      <c r="F974">
        <f t="shared" si="355"/>
        <v>18</v>
      </c>
      <c r="G974">
        <f t="shared" si="356"/>
        <v>8</v>
      </c>
      <c r="H974">
        <f t="shared" si="357"/>
        <v>9</v>
      </c>
      <c r="I974">
        <f t="shared" si="358"/>
        <v>2</v>
      </c>
      <c r="J974">
        <f t="shared" si="359"/>
        <v>0.67</v>
      </c>
      <c r="K974">
        <f t="shared" si="360"/>
        <v>0.67</v>
      </c>
      <c r="L974">
        <f t="shared" si="361"/>
        <v>0</v>
      </c>
      <c r="M974">
        <f t="shared" si="362"/>
        <v>0</v>
      </c>
      <c r="N974">
        <f t="shared" si="363"/>
        <v>1.37</v>
      </c>
      <c r="O974" t="str">
        <f t="shared" si="367"/>
        <v>标准</v>
      </c>
      <c r="P974" t="str">
        <f t="shared" si="364"/>
        <v>极紧凑</v>
      </c>
      <c r="Q974" t="str">
        <f t="shared" si="365"/>
        <v>✓有效</v>
      </c>
      <c r="R974" t="str">
        <f t="shared" si="366"/>
        <v>正常</v>
      </c>
    </row>
    <row r="975" ht="14.25" customHeight="1" spans="1:18">
      <c r="A975" s="10">
        <v>2025243</v>
      </c>
      <c r="B975" s="12" t="s">
        <v>184</v>
      </c>
      <c r="C975">
        <f t="shared" si="352"/>
        <v>1</v>
      </c>
      <c r="D975">
        <f t="shared" si="353"/>
        <v>7</v>
      </c>
      <c r="E975">
        <f t="shared" si="354"/>
        <v>6</v>
      </c>
      <c r="F975">
        <f t="shared" si="355"/>
        <v>14</v>
      </c>
      <c r="G975">
        <f t="shared" si="356"/>
        <v>4</v>
      </c>
      <c r="H975">
        <f t="shared" si="357"/>
        <v>6</v>
      </c>
      <c r="I975">
        <f t="shared" si="358"/>
        <v>2.33</v>
      </c>
      <c r="J975">
        <f t="shared" si="359"/>
        <v>0.67</v>
      </c>
      <c r="K975">
        <f t="shared" si="360"/>
        <v>0.67</v>
      </c>
      <c r="L975">
        <f t="shared" si="361"/>
        <v>0.33</v>
      </c>
      <c r="M975">
        <f t="shared" si="362"/>
        <v>1</v>
      </c>
      <c r="N975">
        <f t="shared" si="363"/>
        <v>1.43</v>
      </c>
      <c r="O975" t="str">
        <f t="shared" si="367"/>
        <v>标准</v>
      </c>
      <c r="P975" t="str">
        <f t="shared" si="364"/>
        <v>极紧凑</v>
      </c>
      <c r="Q975" t="str">
        <f t="shared" si="365"/>
        <v>✓有效</v>
      </c>
      <c r="R975" t="str">
        <f t="shared" si="366"/>
        <v>正常</v>
      </c>
    </row>
    <row r="976" ht="14.25" customHeight="1" spans="1:18">
      <c r="A976" s="10">
        <v>2025244</v>
      </c>
      <c r="B976" s="12" t="s">
        <v>667</v>
      </c>
      <c r="C976">
        <f t="shared" si="352"/>
        <v>6</v>
      </c>
      <c r="D976">
        <f t="shared" si="353"/>
        <v>7</v>
      </c>
      <c r="E976">
        <f t="shared" si="354"/>
        <v>3</v>
      </c>
      <c r="F976">
        <f t="shared" si="355"/>
        <v>16</v>
      </c>
      <c r="G976">
        <f t="shared" si="356"/>
        <v>6</v>
      </c>
      <c r="H976">
        <f t="shared" si="357"/>
        <v>4</v>
      </c>
      <c r="I976">
        <f t="shared" si="358"/>
        <v>4</v>
      </c>
      <c r="J976">
        <f t="shared" si="359"/>
        <v>0.67</v>
      </c>
      <c r="K976">
        <f t="shared" si="360"/>
        <v>0.67</v>
      </c>
      <c r="L976">
        <f t="shared" si="361"/>
        <v>0.67</v>
      </c>
      <c r="M976">
        <f t="shared" si="362"/>
        <v>1</v>
      </c>
      <c r="N976">
        <f t="shared" si="363"/>
        <v>2.14</v>
      </c>
      <c r="O976" t="str">
        <f t="shared" si="367"/>
        <v>紧凑</v>
      </c>
      <c r="P976" t="str">
        <f t="shared" si="364"/>
        <v>紧凑</v>
      </c>
      <c r="Q976" t="str">
        <f t="shared" si="365"/>
        <v>✓有效</v>
      </c>
      <c r="R976" t="str">
        <f t="shared" si="366"/>
        <v>正常</v>
      </c>
    </row>
    <row r="977" ht="14.25" customHeight="1" spans="1:18">
      <c r="A977" s="10">
        <v>2025245</v>
      </c>
      <c r="B977" s="12" t="s">
        <v>281</v>
      </c>
      <c r="C977">
        <f t="shared" si="352"/>
        <v>8</v>
      </c>
      <c r="D977">
        <f t="shared" si="353"/>
        <v>4</v>
      </c>
      <c r="E977">
        <f t="shared" si="354"/>
        <v>8</v>
      </c>
      <c r="F977">
        <f t="shared" si="355"/>
        <v>20</v>
      </c>
      <c r="G977">
        <f t="shared" si="356"/>
        <v>0</v>
      </c>
      <c r="H977">
        <f t="shared" si="357"/>
        <v>4</v>
      </c>
      <c r="I977">
        <f t="shared" si="358"/>
        <v>5</v>
      </c>
      <c r="J977">
        <f t="shared" si="359"/>
        <v>0</v>
      </c>
      <c r="K977">
        <f t="shared" si="360"/>
        <v>0.67</v>
      </c>
      <c r="L977">
        <f t="shared" si="361"/>
        <v>0</v>
      </c>
      <c r="M977">
        <f t="shared" si="362"/>
        <v>0</v>
      </c>
      <c r="N977">
        <f t="shared" si="363"/>
        <v>2.43</v>
      </c>
      <c r="O977" t="str">
        <f t="shared" si="367"/>
        <v>紧凑</v>
      </c>
      <c r="P977" t="str">
        <f t="shared" si="364"/>
        <v>紧凑</v>
      </c>
      <c r="Q977" t="str">
        <f t="shared" si="365"/>
        <v>✓有效</v>
      </c>
      <c r="R977" t="str">
        <f t="shared" si="366"/>
        <v>正常</v>
      </c>
    </row>
    <row r="978" ht="14.25" customHeight="1" spans="1:18">
      <c r="A978" s="10">
        <v>2025246</v>
      </c>
      <c r="B978" s="12" t="s">
        <v>668</v>
      </c>
      <c r="C978">
        <f t="shared" si="352"/>
        <v>9</v>
      </c>
      <c r="D978">
        <f t="shared" si="353"/>
        <v>9</v>
      </c>
      <c r="E978">
        <f t="shared" si="354"/>
        <v>7</v>
      </c>
      <c r="F978">
        <f t="shared" si="355"/>
        <v>25</v>
      </c>
      <c r="G978">
        <f t="shared" si="356"/>
        <v>5</v>
      </c>
      <c r="H978">
        <f t="shared" si="357"/>
        <v>2</v>
      </c>
      <c r="I978">
        <f t="shared" si="358"/>
        <v>12.5</v>
      </c>
      <c r="J978">
        <f t="shared" si="359"/>
        <v>1</v>
      </c>
      <c r="K978">
        <f t="shared" si="360"/>
        <v>1</v>
      </c>
      <c r="L978">
        <f t="shared" si="361"/>
        <v>0.33</v>
      </c>
      <c r="M978">
        <f t="shared" si="362"/>
        <v>0</v>
      </c>
      <c r="N978">
        <f t="shared" si="363"/>
        <v>5.73</v>
      </c>
      <c r="O978" t="str">
        <f t="shared" si="367"/>
        <v>紧凑</v>
      </c>
      <c r="P978" t="str">
        <f t="shared" si="364"/>
        <v>松散</v>
      </c>
      <c r="Q978" t="str">
        <f t="shared" si="365"/>
        <v>✓有效</v>
      </c>
      <c r="R978" t="str">
        <f t="shared" si="366"/>
        <v>异常</v>
      </c>
    </row>
    <row r="979" ht="14.25" customHeight="1" spans="1:18">
      <c r="A979" s="10">
        <v>2025247</v>
      </c>
      <c r="B979" s="12" t="s">
        <v>669</v>
      </c>
      <c r="C979">
        <f t="shared" si="352"/>
        <v>2</v>
      </c>
      <c r="D979">
        <f t="shared" si="353"/>
        <v>6</v>
      </c>
      <c r="E979">
        <f t="shared" si="354"/>
        <v>2</v>
      </c>
      <c r="F979">
        <f t="shared" si="355"/>
        <v>10</v>
      </c>
      <c r="G979">
        <f t="shared" si="356"/>
        <v>0</v>
      </c>
      <c r="H979">
        <f t="shared" si="357"/>
        <v>4</v>
      </c>
      <c r="I979">
        <f t="shared" si="358"/>
        <v>2.5</v>
      </c>
      <c r="J979">
        <f t="shared" si="359"/>
        <v>0</v>
      </c>
      <c r="K979">
        <f t="shared" si="360"/>
        <v>0.33</v>
      </c>
      <c r="L979">
        <f t="shared" si="361"/>
        <v>0.67</v>
      </c>
      <c r="M979">
        <f t="shared" si="362"/>
        <v>0</v>
      </c>
      <c r="N979">
        <f t="shared" si="363"/>
        <v>1.43</v>
      </c>
      <c r="O979" t="str">
        <f t="shared" si="367"/>
        <v>标准</v>
      </c>
      <c r="P979" t="str">
        <f t="shared" si="364"/>
        <v>极紧凑</v>
      </c>
      <c r="Q979" t="str">
        <f t="shared" si="365"/>
        <v>✓有效</v>
      </c>
      <c r="R979" t="str">
        <f t="shared" si="366"/>
        <v>正常</v>
      </c>
    </row>
    <row r="980" ht="14.25" customHeight="1" spans="1:18">
      <c r="A980" s="10">
        <v>2025248</v>
      </c>
      <c r="B980" s="12" t="s">
        <v>658</v>
      </c>
      <c r="C980">
        <f t="shared" si="352"/>
        <v>5</v>
      </c>
      <c r="D980">
        <f t="shared" si="353"/>
        <v>2</v>
      </c>
      <c r="E980">
        <f t="shared" si="354"/>
        <v>6</v>
      </c>
      <c r="F980">
        <f t="shared" si="355"/>
        <v>13</v>
      </c>
      <c r="G980">
        <f t="shared" si="356"/>
        <v>3</v>
      </c>
      <c r="H980">
        <f t="shared" si="357"/>
        <v>4</v>
      </c>
      <c r="I980">
        <f t="shared" si="358"/>
        <v>3.25</v>
      </c>
      <c r="J980">
        <f t="shared" si="359"/>
        <v>0.33</v>
      </c>
      <c r="K980">
        <f t="shared" si="360"/>
        <v>0.67</v>
      </c>
      <c r="L980">
        <f t="shared" si="361"/>
        <v>0.67</v>
      </c>
      <c r="M980">
        <f t="shared" si="362"/>
        <v>1</v>
      </c>
      <c r="N980">
        <f t="shared" si="363"/>
        <v>1.77</v>
      </c>
      <c r="O980" t="str">
        <f t="shared" si="367"/>
        <v>标准</v>
      </c>
      <c r="P980" t="str">
        <f t="shared" si="364"/>
        <v>紧凑</v>
      </c>
      <c r="Q980" t="str">
        <f t="shared" si="365"/>
        <v>✓有效</v>
      </c>
      <c r="R980" t="str">
        <f t="shared" si="366"/>
        <v>正常</v>
      </c>
    </row>
    <row r="981" ht="14.25" customHeight="1" spans="1:18">
      <c r="A981" s="10">
        <v>2025249</v>
      </c>
      <c r="B981" s="12" t="s">
        <v>670</v>
      </c>
      <c r="C981">
        <f t="shared" si="352"/>
        <v>9</v>
      </c>
      <c r="D981">
        <f t="shared" si="353"/>
        <v>5</v>
      </c>
      <c r="E981">
        <f t="shared" si="354"/>
        <v>2</v>
      </c>
      <c r="F981">
        <f t="shared" si="355"/>
        <v>16</v>
      </c>
      <c r="G981">
        <f t="shared" si="356"/>
        <v>6</v>
      </c>
      <c r="H981">
        <f t="shared" si="357"/>
        <v>7</v>
      </c>
      <c r="I981">
        <f t="shared" si="358"/>
        <v>2.29</v>
      </c>
      <c r="J981">
        <f t="shared" si="359"/>
        <v>0.67</v>
      </c>
      <c r="K981">
        <f t="shared" si="360"/>
        <v>0.67</v>
      </c>
      <c r="L981">
        <f t="shared" si="361"/>
        <v>0.67</v>
      </c>
      <c r="M981">
        <f t="shared" si="362"/>
        <v>0</v>
      </c>
      <c r="N981">
        <f t="shared" si="363"/>
        <v>1.55</v>
      </c>
      <c r="O981" t="str">
        <f t="shared" si="367"/>
        <v>标准</v>
      </c>
      <c r="P981" t="str">
        <f t="shared" si="364"/>
        <v>紧凑</v>
      </c>
      <c r="Q981" t="str">
        <f t="shared" si="365"/>
        <v>✓有效</v>
      </c>
      <c r="R981" t="str">
        <f t="shared" si="366"/>
        <v>正常</v>
      </c>
    </row>
    <row r="982" ht="14.25" customHeight="1" spans="1:18">
      <c r="A982" s="10">
        <v>2025250</v>
      </c>
      <c r="B982" s="12" t="s">
        <v>671</v>
      </c>
      <c r="C982">
        <f t="shared" si="352"/>
        <v>9</v>
      </c>
      <c r="D982">
        <f t="shared" si="353"/>
        <v>0</v>
      </c>
      <c r="E982">
        <f t="shared" si="354"/>
        <v>2</v>
      </c>
      <c r="F982">
        <f t="shared" si="355"/>
        <v>11</v>
      </c>
      <c r="G982">
        <f t="shared" si="356"/>
        <v>1</v>
      </c>
      <c r="H982">
        <f t="shared" si="357"/>
        <v>9</v>
      </c>
      <c r="I982">
        <f t="shared" si="358"/>
        <v>1.22</v>
      </c>
      <c r="J982">
        <f t="shared" si="359"/>
        <v>0.33</v>
      </c>
      <c r="K982">
        <f t="shared" si="360"/>
        <v>0.33</v>
      </c>
      <c r="L982">
        <f t="shared" si="361"/>
        <v>0.33</v>
      </c>
      <c r="M982">
        <f t="shared" si="362"/>
        <v>0</v>
      </c>
      <c r="N982">
        <f t="shared" si="363"/>
        <v>0.95</v>
      </c>
      <c r="O982" t="str">
        <f t="shared" si="367"/>
        <v>松散</v>
      </c>
      <c r="P982" t="str">
        <f t="shared" si="364"/>
        <v>极紧凑</v>
      </c>
      <c r="Q982" t="str">
        <f t="shared" si="365"/>
        <v>✓有效</v>
      </c>
      <c r="R982" t="str">
        <f t="shared" si="366"/>
        <v>正常</v>
      </c>
    </row>
    <row r="983" ht="14.25" customHeight="1" spans="1:18">
      <c r="A983" s="10">
        <v>2025251</v>
      </c>
      <c r="B983" s="12" t="s">
        <v>369</v>
      </c>
      <c r="C983">
        <f t="shared" si="352"/>
        <v>8</v>
      </c>
      <c r="D983">
        <f t="shared" si="353"/>
        <v>6</v>
      </c>
      <c r="E983">
        <f t="shared" si="354"/>
        <v>8</v>
      </c>
      <c r="F983">
        <f t="shared" si="355"/>
        <v>22</v>
      </c>
      <c r="G983">
        <f t="shared" si="356"/>
        <v>2</v>
      </c>
      <c r="H983">
        <f t="shared" si="357"/>
        <v>2</v>
      </c>
      <c r="I983">
        <f t="shared" si="358"/>
        <v>11</v>
      </c>
      <c r="J983">
        <f t="shared" si="359"/>
        <v>0</v>
      </c>
      <c r="K983">
        <f t="shared" si="360"/>
        <v>1</v>
      </c>
      <c r="L983">
        <f t="shared" si="361"/>
        <v>0</v>
      </c>
      <c r="M983">
        <f t="shared" si="362"/>
        <v>0</v>
      </c>
      <c r="N983">
        <f t="shared" si="363"/>
        <v>4.9</v>
      </c>
      <c r="O983" t="str">
        <f t="shared" si="367"/>
        <v>紧凑</v>
      </c>
      <c r="P983" t="str">
        <f t="shared" si="364"/>
        <v>标准</v>
      </c>
      <c r="Q983" t="str">
        <f t="shared" si="365"/>
        <v>✓有效</v>
      </c>
      <c r="R983" t="str">
        <f t="shared" si="366"/>
        <v>异常</v>
      </c>
    </row>
    <row r="984" ht="14.25" customHeight="1" spans="1:18">
      <c r="A984" s="10">
        <v>2025252</v>
      </c>
      <c r="B984" s="12" t="s">
        <v>308</v>
      </c>
      <c r="C984">
        <f t="shared" si="352"/>
        <v>7</v>
      </c>
      <c r="D984">
        <f t="shared" si="353"/>
        <v>9</v>
      </c>
      <c r="E984">
        <f t="shared" si="354"/>
        <v>2</v>
      </c>
      <c r="F984">
        <f t="shared" si="355"/>
        <v>18</v>
      </c>
      <c r="G984">
        <f t="shared" si="356"/>
        <v>8</v>
      </c>
      <c r="H984">
        <f t="shared" si="357"/>
        <v>7</v>
      </c>
      <c r="I984">
        <f t="shared" si="358"/>
        <v>2.57</v>
      </c>
      <c r="J984">
        <f t="shared" si="359"/>
        <v>0.67</v>
      </c>
      <c r="K984">
        <f t="shared" si="360"/>
        <v>0.67</v>
      </c>
      <c r="L984">
        <f t="shared" si="361"/>
        <v>0.67</v>
      </c>
      <c r="M984">
        <f t="shared" si="362"/>
        <v>0</v>
      </c>
      <c r="N984">
        <f t="shared" si="363"/>
        <v>1.66</v>
      </c>
      <c r="O984" t="str">
        <f t="shared" si="367"/>
        <v>标准</v>
      </c>
      <c r="P984" t="str">
        <f t="shared" si="364"/>
        <v>紧凑</v>
      </c>
      <c r="Q984" t="str">
        <f t="shared" si="365"/>
        <v>✓有效</v>
      </c>
      <c r="R984" t="str">
        <f t="shared" si="366"/>
        <v>正常</v>
      </c>
    </row>
    <row r="985" ht="14.25" customHeight="1" spans="1:18">
      <c r="A985" s="10">
        <v>2025253</v>
      </c>
      <c r="B985" s="12" t="s">
        <v>300</v>
      </c>
      <c r="C985">
        <f t="shared" si="352"/>
        <v>4</v>
      </c>
      <c r="D985">
        <f t="shared" si="353"/>
        <v>5</v>
      </c>
      <c r="E985">
        <f t="shared" si="354"/>
        <v>7</v>
      </c>
      <c r="F985">
        <f t="shared" si="355"/>
        <v>16</v>
      </c>
      <c r="G985">
        <f t="shared" si="356"/>
        <v>6</v>
      </c>
      <c r="H985">
        <f t="shared" si="357"/>
        <v>3</v>
      </c>
      <c r="I985">
        <f t="shared" si="358"/>
        <v>5.33</v>
      </c>
      <c r="J985">
        <f t="shared" si="359"/>
        <v>0.67</v>
      </c>
      <c r="K985">
        <f t="shared" si="360"/>
        <v>0.67</v>
      </c>
      <c r="L985">
        <f t="shared" si="361"/>
        <v>0.67</v>
      </c>
      <c r="M985">
        <f t="shared" si="362"/>
        <v>1</v>
      </c>
      <c r="N985">
        <f t="shared" si="363"/>
        <v>2.67</v>
      </c>
      <c r="O985" t="str">
        <f t="shared" si="367"/>
        <v>紧凑</v>
      </c>
      <c r="P985" t="str">
        <f t="shared" si="364"/>
        <v>紧凑</v>
      </c>
      <c r="Q985" t="str">
        <f t="shared" si="365"/>
        <v>✓有效</v>
      </c>
      <c r="R985" t="str">
        <f t="shared" si="366"/>
        <v>正常</v>
      </c>
    </row>
    <row r="986" ht="14.25" customHeight="1" spans="1:18">
      <c r="A986" s="10">
        <v>2025254</v>
      </c>
      <c r="B986" s="12" t="s">
        <v>672</v>
      </c>
      <c r="C986">
        <f t="shared" si="352"/>
        <v>0</v>
      </c>
      <c r="D986">
        <f t="shared" si="353"/>
        <v>7</v>
      </c>
      <c r="E986">
        <f t="shared" si="354"/>
        <v>2</v>
      </c>
      <c r="F986">
        <f t="shared" si="355"/>
        <v>9</v>
      </c>
      <c r="G986">
        <f t="shared" si="356"/>
        <v>9</v>
      </c>
      <c r="H986">
        <f t="shared" si="357"/>
        <v>7</v>
      </c>
      <c r="I986">
        <f t="shared" si="358"/>
        <v>1.29</v>
      </c>
      <c r="J986">
        <f t="shared" si="359"/>
        <v>0.33</v>
      </c>
      <c r="K986">
        <f t="shared" si="360"/>
        <v>0.33</v>
      </c>
      <c r="L986">
        <f t="shared" si="361"/>
        <v>0.67</v>
      </c>
      <c r="M986">
        <f t="shared" si="362"/>
        <v>0</v>
      </c>
      <c r="N986">
        <f t="shared" si="363"/>
        <v>1.02</v>
      </c>
      <c r="O986" t="str">
        <f t="shared" si="367"/>
        <v>松散</v>
      </c>
      <c r="P986" t="str">
        <f t="shared" si="364"/>
        <v>极紧凑</v>
      </c>
      <c r="Q986" t="str">
        <f t="shared" si="365"/>
        <v>✓有效</v>
      </c>
      <c r="R986" t="str">
        <f t="shared" si="366"/>
        <v>正常</v>
      </c>
    </row>
    <row r="987" ht="14.25" customHeight="1" spans="1:18">
      <c r="A987" s="10">
        <v>2025255</v>
      </c>
      <c r="B987" s="12" t="s">
        <v>673</v>
      </c>
      <c r="C987">
        <f t="shared" si="352"/>
        <v>2</v>
      </c>
      <c r="D987">
        <f t="shared" si="353"/>
        <v>6</v>
      </c>
      <c r="E987">
        <f t="shared" si="354"/>
        <v>4</v>
      </c>
      <c r="F987">
        <f t="shared" si="355"/>
        <v>12</v>
      </c>
      <c r="G987">
        <f t="shared" si="356"/>
        <v>2</v>
      </c>
      <c r="H987">
        <f t="shared" si="357"/>
        <v>4</v>
      </c>
      <c r="I987">
        <f t="shared" si="358"/>
        <v>3</v>
      </c>
      <c r="J987">
        <f t="shared" si="359"/>
        <v>0</v>
      </c>
      <c r="K987">
        <f t="shared" si="360"/>
        <v>0.33</v>
      </c>
      <c r="L987">
        <f t="shared" si="361"/>
        <v>0.33</v>
      </c>
      <c r="M987">
        <f t="shared" si="362"/>
        <v>0</v>
      </c>
      <c r="N987">
        <f t="shared" si="363"/>
        <v>1.6</v>
      </c>
      <c r="O987" t="str">
        <f t="shared" si="367"/>
        <v>标准</v>
      </c>
      <c r="P987" t="str">
        <f t="shared" si="364"/>
        <v>紧凑</v>
      </c>
      <c r="Q987" t="str">
        <f t="shared" si="365"/>
        <v>✓有效</v>
      </c>
      <c r="R987" t="str">
        <f t="shared" si="366"/>
        <v>正常</v>
      </c>
    </row>
    <row r="988" ht="14.25" customHeight="1" spans="1:18">
      <c r="A988" s="10">
        <v>2025256</v>
      </c>
      <c r="B988" s="12" t="s">
        <v>386</v>
      </c>
      <c r="C988">
        <f t="shared" si="352"/>
        <v>4</v>
      </c>
      <c r="D988">
        <f t="shared" si="353"/>
        <v>0</v>
      </c>
      <c r="E988">
        <f t="shared" si="354"/>
        <v>6</v>
      </c>
      <c r="F988">
        <f t="shared" si="355"/>
        <v>10</v>
      </c>
      <c r="G988">
        <f t="shared" si="356"/>
        <v>0</v>
      </c>
      <c r="H988">
        <f t="shared" si="357"/>
        <v>6</v>
      </c>
      <c r="I988">
        <f t="shared" si="358"/>
        <v>1.67</v>
      </c>
      <c r="J988">
        <f t="shared" si="359"/>
        <v>0</v>
      </c>
      <c r="K988">
        <f t="shared" si="360"/>
        <v>0.33</v>
      </c>
      <c r="L988">
        <f t="shared" si="361"/>
        <v>0</v>
      </c>
      <c r="M988">
        <f t="shared" si="362"/>
        <v>0</v>
      </c>
      <c r="N988">
        <f t="shared" si="363"/>
        <v>1.03</v>
      </c>
      <c r="O988" t="str">
        <f t="shared" si="367"/>
        <v>松散</v>
      </c>
      <c r="P988" t="str">
        <f t="shared" si="364"/>
        <v>极紧凑</v>
      </c>
      <c r="Q988" t="str">
        <f t="shared" si="365"/>
        <v>✓有效</v>
      </c>
      <c r="R988" t="str">
        <f t="shared" si="366"/>
        <v>正常</v>
      </c>
    </row>
    <row r="989" ht="14.25" customHeight="1" spans="1:18">
      <c r="A989" s="10">
        <v>2025257</v>
      </c>
      <c r="B989" s="12" t="s">
        <v>664</v>
      </c>
      <c r="C989">
        <f t="shared" si="352"/>
        <v>8</v>
      </c>
      <c r="D989">
        <f t="shared" si="353"/>
        <v>6</v>
      </c>
      <c r="E989">
        <f t="shared" si="354"/>
        <v>0</v>
      </c>
      <c r="F989">
        <f t="shared" si="355"/>
        <v>14</v>
      </c>
      <c r="G989">
        <f t="shared" si="356"/>
        <v>4</v>
      </c>
      <c r="H989">
        <f t="shared" si="357"/>
        <v>8</v>
      </c>
      <c r="I989">
        <f t="shared" si="358"/>
        <v>1.75</v>
      </c>
      <c r="J989">
        <f t="shared" si="359"/>
        <v>0</v>
      </c>
      <c r="K989">
        <f t="shared" si="360"/>
        <v>0.67</v>
      </c>
      <c r="L989">
        <f t="shared" si="361"/>
        <v>0</v>
      </c>
      <c r="M989">
        <f t="shared" si="362"/>
        <v>0</v>
      </c>
      <c r="N989">
        <f t="shared" si="363"/>
        <v>1.13</v>
      </c>
      <c r="O989" t="str">
        <f t="shared" si="367"/>
        <v>松散</v>
      </c>
      <c r="P989" t="str">
        <f t="shared" si="364"/>
        <v>极紧凑</v>
      </c>
      <c r="Q989" t="str">
        <f t="shared" si="365"/>
        <v>✓有效</v>
      </c>
      <c r="R989" t="str">
        <f t="shared" si="366"/>
        <v>正常</v>
      </c>
    </row>
    <row r="990" ht="14.25" customHeight="1" spans="1:18">
      <c r="A990" s="10">
        <v>2025258</v>
      </c>
      <c r="B990" s="12" t="s">
        <v>674</v>
      </c>
      <c r="C990">
        <f t="shared" si="352"/>
        <v>6</v>
      </c>
      <c r="D990">
        <f t="shared" si="353"/>
        <v>2</v>
      </c>
      <c r="E990">
        <f t="shared" si="354"/>
        <v>6</v>
      </c>
      <c r="F990">
        <f t="shared" si="355"/>
        <v>14</v>
      </c>
      <c r="G990">
        <f t="shared" si="356"/>
        <v>4</v>
      </c>
      <c r="H990">
        <f t="shared" si="357"/>
        <v>4</v>
      </c>
      <c r="I990">
        <f t="shared" si="358"/>
        <v>3.5</v>
      </c>
      <c r="J990">
        <f t="shared" si="359"/>
        <v>0</v>
      </c>
      <c r="K990">
        <f t="shared" si="360"/>
        <v>0.67</v>
      </c>
      <c r="L990">
        <f t="shared" si="361"/>
        <v>0.33</v>
      </c>
      <c r="M990">
        <f t="shared" si="362"/>
        <v>0</v>
      </c>
      <c r="N990">
        <f t="shared" si="363"/>
        <v>1.87</v>
      </c>
      <c r="O990" t="str">
        <f t="shared" si="367"/>
        <v>标准</v>
      </c>
      <c r="P990" t="str">
        <f t="shared" si="364"/>
        <v>紧凑</v>
      </c>
      <c r="Q990" t="str">
        <f t="shared" si="365"/>
        <v>✓有效</v>
      </c>
      <c r="R990" t="str">
        <f t="shared" si="366"/>
        <v>正常</v>
      </c>
    </row>
    <row r="991" ht="14.25" customHeight="1" spans="1:18">
      <c r="A991" s="10">
        <v>2025259</v>
      </c>
      <c r="B991" s="12" t="s">
        <v>599</v>
      </c>
      <c r="C991">
        <f t="shared" si="352"/>
        <v>6</v>
      </c>
      <c r="D991">
        <f t="shared" si="353"/>
        <v>2</v>
      </c>
      <c r="E991">
        <f t="shared" si="354"/>
        <v>5</v>
      </c>
      <c r="F991">
        <f t="shared" si="355"/>
        <v>13</v>
      </c>
      <c r="G991">
        <f t="shared" si="356"/>
        <v>3</v>
      </c>
      <c r="H991">
        <f t="shared" si="357"/>
        <v>4</v>
      </c>
      <c r="I991">
        <f t="shared" si="358"/>
        <v>3.25</v>
      </c>
      <c r="J991">
        <f t="shared" si="359"/>
        <v>0.33</v>
      </c>
      <c r="K991">
        <f t="shared" si="360"/>
        <v>0.67</v>
      </c>
      <c r="L991">
        <f t="shared" si="361"/>
        <v>0.67</v>
      </c>
      <c r="M991">
        <f t="shared" si="362"/>
        <v>1</v>
      </c>
      <c r="N991">
        <f t="shared" si="363"/>
        <v>1.77</v>
      </c>
      <c r="O991" t="str">
        <f t="shared" si="367"/>
        <v>标准</v>
      </c>
      <c r="P991" t="str">
        <f t="shared" si="364"/>
        <v>紧凑</v>
      </c>
      <c r="Q991" t="str">
        <f t="shared" si="365"/>
        <v>✓有效</v>
      </c>
      <c r="R991" t="str">
        <f t="shared" si="366"/>
        <v>正常</v>
      </c>
    </row>
    <row r="992" ht="14.25" customHeight="1" spans="1:18">
      <c r="A992" s="10">
        <v>2025260</v>
      </c>
      <c r="B992" s="12" t="s">
        <v>513</v>
      </c>
      <c r="C992">
        <f t="shared" ref="C992:C1053" si="368">IF(B992="","",LEFT(TEXT(B992,"000"),1)*1)</f>
        <v>1</v>
      </c>
      <c r="D992">
        <f t="shared" ref="D992:D1053" si="369">IF(B992="","",MID(TEXT(B992,"000"),2,1)*1)</f>
        <v>9</v>
      </c>
      <c r="E992">
        <f t="shared" ref="E992:E1053" si="370">IF(B992="","",RIGHT(TEXT(B992,"000"),1)*1)</f>
        <v>9</v>
      </c>
      <c r="F992">
        <f t="shared" ref="F992:F1053" si="371">IF(B992="","",C992+D992+E992)</f>
        <v>19</v>
      </c>
      <c r="G992">
        <f t="shared" ref="G992:G1053" si="372">IF(B992="","",MOD(F992,10))</f>
        <v>9</v>
      </c>
      <c r="H992">
        <f t="shared" ref="H992:H1053" si="373">IF(B992="","",MAX(C992,D992,E992)-MIN(C992,D992,E992))</f>
        <v>8</v>
      </c>
      <c r="I992">
        <f t="shared" ref="I992:I1053" si="374">IF(OR(B992="",H992=0),IF(H992=0,0.1,""),ROUND(F992/H992,2))</f>
        <v>2.38</v>
      </c>
      <c r="J992">
        <f t="shared" ref="J992:J1053" si="375">IF(B992="","",ROUND((MOD(C992,2)+MOD(D992,2)+MOD(E992,2))/3,2))</f>
        <v>1</v>
      </c>
      <c r="K992">
        <f t="shared" ref="K992:K1053" si="376">IF(B992="","",ROUND(((C992&gt;=5)+(D992&gt;=5)+(E992&gt;=5))/3,2))</f>
        <v>0.67</v>
      </c>
      <c r="L992">
        <f t="shared" ref="L992:L1053" si="377">IF(B992="","",ROUND((ISNUMBER(FIND(C992,"2357"))+ISNUMBER(FIND(D992,"2357"))+ISNUMBER(FIND(E992,"2357")))/3,2))</f>
        <v>0</v>
      </c>
      <c r="M992">
        <f t="shared" ref="M992:M1053" si="378">IF(B992="","",((ABS(C992-D992)=1)+(ABS(D992-E992)=1)+(ABS(C992-E992)=1)))</f>
        <v>0</v>
      </c>
      <c r="N992">
        <f t="shared" ref="N992:N1053" si="379">IF(B992="","",ROUND(I992*0.4+J992*0.2+K992*0.2+L992*0.1+(3-M992)*0.1,2))</f>
        <v>1.59</v>
      </c>
      <c r="O992" t="str">
        <f t="shared" si="367"/>
        <v>标准</v>
      </c>
      <c r="P992" t="str">
        <f t="shared" ref="P992:P1053" si="380">IF(B992="","",IF(N992&lt;=1.5,"极紧凑",IF(N992&lt;=3,"紧凑",IF(N992&lt;=5,"标准","松散"))))</f>
        <v>紧凑</v>
      </c>
      <c r="Q992" t="str">
        <f t="shared" ref="Q992:Q1053" si="381">IF(B992="","",IF(AND(C992&gt;=0,C992&lt;=9,D992&gt;=0,D992&lt;=9,E992&gt;=0,E992&lt;=9),"✓有效","✗无效"))</f>
        <v>✓有效</v>
      </c>
      <c r="R992" t="str">
        <f t="shared" ref="R992:R1053" si="382">IF(B992="","",IF(OR(I992&gt;10,I992&lt;0.1),"异常","正常"))</f>
        <v>正常</v>
      </c>
    </row>
    <row r="993" ht="14.25" customHeight="1" spans="1:18">
      <c r="A993" s="10">
        <v>2025261</v>
      </c>
      <c r="B993" s="12" t="s">
        <v>229</v>
      </c>
      <c r="C993">
        <f t="shared" si="368"/>
        <v>7</v>
      </c>
      <c r="D993">
        <f t="shared" si="369"/>
        <v>5</v>
      </c>
      <c r="E993">
        <f t="shared" si="370"/>
        <v>1</v>
      </c>
      <c r="F993">
        <f t="shared" si="371"/>
        <v>13</v>
      </c>
      <c r="G993">
        <f t="shared" si="372"/>
        <v>3</v>
      </c>
      <c r="H993">
        <f t="shared" si="373"/>
        <v>6</v>
      </c>
      <c r="I993">
        <f t="shared" si="374"/>
        <v>2.17</v>
      </c>
      <c r="J993">
        <f t="shared" si="375"/>
        <v>1</v>
      </c>
      <c r="K993">
        <f t="shared" si="376"/>
        <v>0.67</v>
      </c>
      <c r="L993">
        <f t="shared" si="377"/>
        <v>0.67</v>
      </c>
      <c r="M993">
        <f t="shared" si="378"/>
        <v>0</v>
      </c>
      <c r="N993">
        <f t="shared" si="379"/>
        <v>1.57</v>
      </c>
      <c r="O993" t="str">
        <f t="shared" ref="O993:O1053" si="383">IF(I993=0.1,"极紧凑",IF(I993&gt;3.5,"紧凑",IF(AND(I993&gt;=2,I993&lt;=3.5),"标准",IF(AND(I993&gt;=1,I993&lt;2),"松散",""))))</f>
        <v>标准</v>
      </c>
      <c r="P993" t="str">
        <f t="shared" si="380"/>
        <v>紧凑</v>
      </c>
      <c r="Q993" t="str">
        <f t="shared" si="381"/>
        <v>✓有效</v>
      </c>
      <c r="R993" t="str">
        <f t="shared" si="382"/>
        <v>正常</v>
      </c>
    </row>
    <row r="994" ht="14.25" customHeight="1" spans="1:18">
      <c r="A994" s="10">
        <v>2025262</v>
      </c>
      <c r="B994" s="12" t="s">
        <v>617</v>
      </c>
      <c r="C994">
        <f t="shared" si="368"/>
        <v>9</v>
      </c>
      <c r="D994">
        <f t="shared" si="369"/>
        <v>1</v>
      </c>
      <c r="E994">
        <f t="shared" si="370"/>
        <v>4</v>
      </c>
      <c r="F994">
        <f t="shared" si="371"/>
        <v>14</v>
      </c>
      <c r="G994">
        <f t="shared" si="372"/>
        <v>4</v>
      </c>
      <c r="H994">
        <f t="shared" si="373"/>
        <v>8</v>
      </c>
      <c r="I994">
        <f t="shared" si="374"/>
        <v>1.75</v>
      </c>
      <c r="J994">
        <f t="shared" si="375"/>
        <v>0.67</v>
      </c>
      <c r="K994">
        <f t="shared" si="376"/>
        <v>0.33</v>
      </c>
      <c r="L994">
        <f t="shared" si="377"/>
        <v>0</v>
      </c>
      <c r="M994">
        <f t="shared" si="378"/>
        <v>0</v>
      </c>
      <c r="N994">
        <f t="shared" si="379"/>
        <v>1.2</v>
      </c>
      <c r="O994" t="str">
        <f t="shared" si="383"/>
        <v>松散</v>
      </c>
      <c r="P994" t="str">
        <f t="shared" si="380"/>
        <v>极紧凑</v>
      </c>
      <c r="Q994" t="str">
        <f t="shared" si="381"/>
        <v>✓有效</v>
      </c>
      <c r="R994" t="str">
        <f t="shared" si="382"/>
        <v>正常</v>
      </c>
    </row>
    <row r="995" ht="14.25" customHeight="1" spans="1:18">
      <c r="A995" s="10">
        <v>2025263</v>
      </c>
      <c r="B995" s="12" t="s">
        <v>675</v>
      </c>
      <c r="C995">
        <f t="shared" si="368"/>
        <v>3</v>
      </c>
      <c r="D995">
        <f t="shared" si="369"/>
        <v>9</v>
      </c>
      <c r="E995">
        <f t="shared" si="370"/>
        <v>9</v>
      </c>
      <c r="F995">
        <f t="shared" si="371"/>
        <v>21</v>
      </c>
      <c r="G995">
        <f t="shared" si="372"/>
        <v>1</v>
      </c>
      <c r="H995">
        <f t="shared" si="373"/>
        <v>6</v>
      </c>
      <c r="I995">
        <f t="shared" si="374"/>
        <v>3.5</v>
      </c>
      <c r="J995">
        <f t="shared" si="375"/>
        <v>1</v>
      </c>
      <c r="K995">
        <f t="shared" si="376"/>
        <v>0.67</v>
      </c>
      <c r="L995">
        <f t="shared" si="377"/>
        <v>0.33</v>
      </c>
      <c r="M995">
        <f t="shared" si="378"/>
        <v>0</v>
      </c>
      <c r="N995">
        <f t="shared" si="379"/>
        <v>2.07</v>
      </c>
      <c r="O995" t="str">
        <f t="shared" si="383"/>
        <v>标准</v>
      </c>
      <c r="P995" t="str">
        <f t="shared" si="380"/>
        <v>紧凑</v>
      </c>
      <c r="Q995" t="str">
        <f t="shared" si="381"/>
        <v>✓有效</v>
      </c>
      <c r="R995" t="str">
        <f t="shared" si="382"/>
        <v>正常</v>
      </c>
    </row>
    <row r="996" ht="14.25" customHeight="1" spans="1:18">
      <c r="A996" s="10">
        <v>2025264</v>
      </c>
      <c r="B996" s="12" t="s">
        <v>632</v>
      </c>
      <c r="C996">
        <f t="shared" si="368"/>
        <v>7</v>
      </c>
      <c r="D996">
        <f t="shared" si="369"/>
        <v>3</v>
      </c>
      <c r="E996">
        <f t="shared" si="370"/>
        <v>4</v>
      </c>
      <c r="F996">
        <f t="shared" si="371"/>
        <v>14</v>
      </c>
      <c r="G996">
        <f t="shared" si="372"/>
        <v>4</v>
      </c>
      <c r="H996">
        <f t="shared" si="373"/>
        <v>4</v>
      </c>
      <c r="I996">
        <f t="shared" si="374"/>
        <v>3.5</v>
      </c>
      <c r="J996">
        <f t="shared" si="375"/>
        <v>0.67</v>
      </c>
      <c r="K996">
        <f t="shared" si="376"/>
        <v>0.33</v>
      </c>
      <c r="L996">
        <f t="shared" si="377"/>
        <v>0.67</v>
      </c>
      <c r="M996">
        <f t="shared" si="378"/>
        <v>1</v>
      </c>
      <c r="N996">
        <f t="shared" si="379"/>
        <v>1.87</v>
      </c>
      <c r="O996" t="str">
        <f t="shared" si="383"/>
        <v>标准</v>
      </c>
      <c r="P996" t="str">
        <f t="shared" si="380"/>
        <v>紧凑</v>
      </c>
      <c r="Q996" t="str">
        <f t="shared" si="381"/>
        <v>✓有效</v>
      </c>
      <c r="R996" t="str">
        <f t="shared" si="382"/>
        <v>正常</v>
      </c>
    </row>
    <row r="997" ht="14.25" customHeight="1" spans="1:18">
      <c r="A997" s="10">
        <v>2025265</v>
      </c>
      <c r="B997" s="12" t="s">
        <v>437</v>
      </c>
      <c r="C997">
        <f t="shared" si="368"/>
        <v>5</v>
      </c>
      <c r="D997">
        <f t="shared" si="369"/>
        <v>4</v>
      </c>
      <c r="E997">
        <f t="shared" si="370"/>
        <v>6</v>
      </c>
      <c r="F997">
        <f t="shared" si="371"/>
        <v>15</v>
      </c>
      <c r="G997">
        <f t="shared" si="372"/>
        <v>5</v>
      </c>
      <c r="H997">
        <f t="shared" si="373"/>
        <v>2</v>
      </c>
      <c r="I997">
        <f t="shared" si="374"/>
        <v>7.5</v>
      </c>
      <c r="J997">
        <f t="shared" si="375"/>
        <v>0.33</v>
      </c>
      <c r="K997">
        <f t="shared" si="376"/>
        <v>0.67</v>
      </c>
      <c r="L997">
        <f t="shared" si="377"/>
        <v>0.33</v>
      </c>
      <c r="M997">
        <f t="shared" si="378"/>
        <v>2</v>
      </c>
      <c r="N997">
        <f t="shared" si="379"/>
        <v>3.33</v>
      </c>
      <c r="O997" t="str">
        <f t="shared" si="383"/>
        <v>紧凑</v>
      </c>
      <c r="P997" t="str">
        <f t="shared" si="380"/>
        <v>标准</v>
      </c>
      <c r="Q997" t="str">
        <f t="shared" si="381"/>
        <v>✓有效</v>
      </c>
      <c r="R997" t="str">
        <f t="shared" si="382"/>
        <v>正常</v>
      </c>
    </row>
    <row r="998" ht="14.25" customHeight="1" spans="1:18">
      <c r="A998" s="10">
        <v>2025266</v>
      </c>
      <c r="B998" s="12" t="s">
        <v>294</v>
      </c>
      <c r="C998">
        <f t="shared" si="368"/>
        <v>7</v>
      </c>
      <c r="D998">
        <f t="shared" si="369"/>
        <v>2</v>
      </c>
      <c r="E998">
        <f t="shared" si="370"/>
        <v>3</v>
      </c>
      <c r="F998">
        <f t="shared" si="371"/>
        <v>12</v>
      </c>
      <c r="G998">
        <f t="shared" si="372"/>
        <v>2</v>
      </c>
      <c r="H998">
        <f t="shared" si="373"/>
        <v>5</v>
      </c>
      <c r="I998">
        <f t="shared" si="374"/>
        <v>2.4</v>
      </c>
      <c r="J998">
        <f t="shared" si="375"/>
        <v>0.67</v>
      </c>
      <c r="K998">
        <f t="shared" si="376"/>
        <v>0.33</v>
      </c>
      <c r="L998">
        <f t="shared" si="377"/>
        <v>1</v>
      </c>
      <c r="M998">
        <f t="shared" si="378"/>
        <v>1</v>
      </c>
      <c r="N998">
        <f t="shared" si="379"/>
        <v>1.46</v>
      </c>
      <c r="O998" t="str">
        <f t="shared" si="383"/>
        <v>标准</v>
      </c>
      <c r="P998" t="str">
        <f t="shared" si="380"/>
        <v>极紧凑</v>
      </c>
      <c r="Q998" t="str">
        <f t="shared" si="381"/>
        <v>✓有效</v>
      </c>
      <c r="R998" t="str">
        <f t="shared" si="382"/>
        <v>正常</v>
      </c>
    </row>
    <row r="999" ht="14.25" customHeight="1" spans="1:18">
      <c r="A999" s="10">
        <v>2025267</v>
      </c>
      <c r="B999" s="12" t="s">
        <v>676</v>
      </c>
      <c r="C999">
        <f t="shared" si="368"/>
        <v>3</v>
      </c>
      <c r="D999">
        <f t="shared" si="369"/>
        <v>9</v>
      </c>
      <c r="E999">
        <f t="shared" si="370"/>
        <v>1</v>
      </c>
      <c r="F999">
        <f t="shared" si="371"/>
        <v>13</v>
      </c>
      <c r="G999">
        <f t="shared" si="372"/>
        <v>3</v>
      </c>
      <c r="H999">
        <f t="shared" si="373"/>
        <v>8</v>
      </c>
      <c r="I999">
        <f t="shared" si="374"/>
        <v>1.63</v>
      </c>
      <c r="J999">
        <f t="shared" si="375"/>
        <v>1</v>
      </c>
      <c r="K999">
        <f t="shared" si="376"/>
        <v>0.33</v>
      </c>
      <c r="L999">
        <f t="shared" si="377"/>
        <v>0.33</v>
      </c>
      <c r="M999">
        <f t="shared" si="378"/>
        <v>0</v>
      </c>
      <c r="N999">
        <f t="shared" si="379"/>
        <v>1.25</v>
      </c>
      <c r="O999" t="str">
        <f t="shared" si="383"/>
        <v>松散</v>
      </c>
      <c r="P999" t="str">
        <f t="shared" si="380"/>
        <v>极紧凑</v>
      </c>
      <c r="Q999" t="str">
        <f t="shared" si="381"/>
        <v>✓有效</v>
      </c>
      <c r="R999" t="str">
        <f t="shared" si="382"/>
        <v>正常</v>
      </c>
    </row>
    <row r="1000" ht="14.25" customHeight="1" spans="1:18">
      <c r="A1000" s="10">
        <v>2025268</v>
      </c>
      <c r="B1000" s="12" t="s">
        <v>677</v>
      </c>
      <c r="C1000">
        <f t="shared" si="368"/>
        <v>6</v>
      </c>
      <c r="D1000">
        <f t="shared" si="369"/>
        <v>7</v>
      </c>
      <c r="E1000">
        <f t="shared" si="370"/>
        <v>4</v>
      </c>
      <c r="F1000">
        <f t="shared" si="371"/>
        <v>17</v>
      </c>
      <c r="G1000">
        <f t="shared" si="372"/>
        <v>7</v>
      </c>
      <c r="H1000">
        <f t="shared" si="373"/>
        <v>3</v>
      </c>
      <c r="I1000">
        <f t="shared" si="374"/>
        <v>5.67</v>
      </c>
      <c r="J1000">
        <f t="shared" si="375"/>
        <v>0.33</v>
      </c>
      <c r="K1000">
        <f t="shared" si="376"/>
        <v>0.67</v>
      </c>
      <c r="L1000">
        <f t="shared" si="377"/>
        <v>0.33</v>
      </c>
      <c r="M1000">
        <f t="shared" si="378"/>
        <v>1</v>
      </c>
      <c r="N1000">
        <f t="shared" si="379"/>
        <v>2.7</v>
      </c>
      <c r="O1000" t="str">
        <f t="shared" si="383"/>
        <v>紧凑</v>
      </c>
      <c r="P1000" t="str">
        <f t="shared" si="380"/>
        <v>紧凑</v>
      </c>
      <c r="Q1000" t="str">
        <f t="shared" si="381"/>
        <v>✓有效</v>
      </c>
      <c r="R1000" t="str">
        <f t="shared" si="382"/>
        <v>正常</v>
      </c>
    </row>
    <row r="1001" ht="14.25" customHeight="1" spans="1:18">
      <c r="A1001" s="10">
        <v>2025269</v>
      </c>
      <c r="B1001" s="12" t="s">
        <v>534</v>
      </c>
      <c r="C1001">
        <f t="shared" si="368"/>
        <v>0</v>
      </c>
      <c r="D1001">
        <f t="shared" si="369"/>
        <v>5</v>
      </c>
      <c r="E1001">
        <f t="shared" si="370"/>
        <v>5</v>
      </c>
      <c r="F1001">
        <f t="shared" si="371"/>
        <v>10</v>
      </c>
      <c r="G1001">
        <f t="shared" si="372"/>
        <v>0</v>
      </c>
      <c r="H1001">
        <f t="shared" si="373"/>
        <v>5</v>
      </c>
      <c r="I1001">
        <f t="shared" si="374"/>
        <v>2</v>
      </c>
      <c r="J1001">
        <f t="shared" si="375"/>
        <v>0.67</v>
      </c>
      <c r="K1001">
        <f t="shared" si="376"/>
        <v>0.67</v>
      </c>
      <c r="L1001">
        <f t="shared" si="377"/>
        <v>0.67</v>
      </c>
      <c r="M1001">
        <f t="shared" si="378"/>
        <v>0</v>
      </c>
      <c r="N1001">
        <f t="shared" si="379"/>
        <v>1.44</v>
      </c>
      <c r="O1001" t="str">
        <f t="shared" si="383"/>
        <v>标准</v>
      </c>
      <c r="P1001" t="str">
        <f t="shared" si="380"/>
        <v>极紧凑</v>
      </c>
      <c r="Q1001" t="str">
        <f t="shared" si="381"/>
        <v>✓有效</v>
      </c>
      <c r="R1001" t="str">
        <f t="shared" si="382"/>
        <v>正常</v>
      </c>
    </row>
    <row r="1002" ht="14.25" customHeight="1" spans="1:18">
      <c r="A1002" s="10">
        <v>2025270</v>
      </c>
      <c r="B1002" s="12" t="s">
        <v>176</v>
      </c>
      <c r="C1002">
        <f t="shared" si="368"/>
        <v>4</v>
      </c>
      <c r="D1002">
        <f t="shared" si="369"/>
        <v>0</v>
      </c>
      <c r="E1002">
        <f t="shared" si="370"/>
        <v>8</v>
      </c>
      <c r="F1002">
        <f t="shared" si="371"/>
        <v>12</v>
      </c>
      <c r="G1002">
        <f t="shared" si="372"/>
        <v>2</v>
      </c>
      <c r="H1002">
        <f t="shared" si="373"/>
        <v>8</v>
      </c>
      <c r="I1002">
        <f t="shared" si="374"/>
        <v>1.5</v>
      </c>
      <c r="J1002">
        <f t="shared" si="375"/>
        <v>0</v>
      </c>
      <c r="K1002">
        <f t="shared" si="376"/>
        <v>0.33</v>
      </c>
      <c r="L1002">
        <f t="shared" si="377"/>
        <v>0</v>
      </c>
      <c r="M1002">
        <f t="shared" si="378"/>
        <v>0</v>
      </c>
      <c r="N1002">
        <f t="shared" si="379"/>
        <v>0.97</v>
      </c>
      <c r="O1002" t="str">
        <f t="shared" si="383"/>
        <v>松散</v>
      </c>
      <c r="P1002" t="str">
        <f t="shared" si="380"/>
        <v>极紧凑</v>
      </c>
      <c r="Q1002" t="str">
        <f t="shared" si="381"/>
        <v>✓有效</v>
      </c>
      <c r="R1002" t="str">
        <f t="shared" si="382"/>
        <v>正常</v>
      </c>
    </row>
    <row r="1003" ht="14.25" customHeight="1" spans="1:18">
      <c r="A1003" s="10">
        <v>2025271</v>
      </c>
      <c r="B1003" s="12" t="s">
        <v>335</v>
      </c>
      <c r="C1003">
        <f t="shared" si="368"/>
        <v>7</v>
      </c>
      <c r="D1003">
        <f t="shared" si="369"/>
        <v>2</v>
      </c>
      <c r="E1003">
        <f t="shared" si="370"/>
        <v>7</v>
      </c>
      <c r="F1003">
        <f t="shared" si="371"/>
        <v>16</v>
      </c>
      <c r="G1003">
        <f t="shared" si="372"/>
        <v>6</v>
      </c>
      <c r="H1003">
        <f t="shared" si="373"/>
        <v>5</v>
      </c>
      <c r="I1003">
        <f t="shared" si="374"/>
        <v>3.2</v>
      </c>
      <c r="J1003">
        <f t="shared" si="375"/>
        <v>0.67</v>
      </c>
      <c r="K1003">
        <f t="shared" si="376"/>
        <v>0.67</v>
      </c>
      <c r="L1003">
        <f t="shared" si="377"/>
        <v>1</v>
      </c>
      <c r="M1003">
        <f t="shared" si="378"/>
        <v>0</v>
      </c>
      <c r="N1003">
        <f t="shared" si="379"/>
        <v>1.95</v>
      </c>
      <c r="O1003" t="str">
        <f t="shared" si="383"/>
        <v>标准</v>
      </c>
      <c r="P1003" t="str">
        <f t="shared" si="380"/>
        <v>紧凑</v>
      </c>
      <c r="Q1003" t="str">
        <f t="shared" si="381"/>
        <v>✓有效</v>
      </c>
      <c r="R1003" t="str">
        <f t="shared" si="382"/>
        <v>正常</v>
      </c>
    </row>
    <row r="1004" ht="14.25" customHeight="1" spans="1:18">
      <c r="A1004" s="10">
        <v>2025272</v>
      </c>
      <c r="B1004" s="12" t="s">
        <v>678</v>
      </c>
      <c r="C1004">
        <f t="shared" si="368"/>
        <v>9</v>
      </c>
      <c r="D1004">
        <f t="shared" si="369"/>
        <v>6</v>
      </c>
      <c r="E1004">
        <f t="shared" si="370"/>
        <v>7</v>
      </c>
      <c r="F1004">
        <f t="shared" si="371"/>
        <v>22</v>
      </c>
      <c r="G1004">
        <f t="shared" si="372"/>
        <v>2</v>
      </c>
      <c r="H1004">
        <f t="shared" si="373"/>
        <v>3</v>
      </c>
      <c r="I1004">
        <f t="shared" si="374"/>
        <v>7.33</v>
      </c>
      <c r="J1004">
        <f t="shared" si="375"/>
        <v>0.67</v>
      </c>
      <c r="K1004">
        <f t="shared" si="376"/>
        <v>1</v>
      </c>
      <c r="L1004">
        <f t="shared" si="377"/>
        <v>0.33</v>
      </c>
      <c r="M1004">
        <f t="shared" si="378"/>
        <v>1</v>
      </c>
      <c r="N1004">
        <f t="shared" si="379"/>
        <v>3.5</v>
      </c>
      <c r="O1004" t="str">
        <f t="shared" si="383"/>
        <v>紧凑</v>
      </c>
      <c r="P1004" t="str">
        <f t="shared" si="380"/>
        <v>标准</v>
      </c>
      <c r="Q1004" t="str">
        <f t="shared" si="381"/>
        <v>✓有效</v>
      </c>
      <c r="R1004" t="str">
        <f t="shared" si="382"/>
        <v>正常</v>
      </c>
    </row>
    <row r="1005" ht="14.25" customHeight="1" spans="1:18">
      <c r="A1005" s="10">
        <v>2025273</v>
      </c>
      <c r="B1005" s="12" t="s">
        <v>379</v>
      </c>
      <c r="C1005">
        <f t="shared" si="368"/>
        <v>0</v>
      </c>
      <c r="D1005">
        <f t="shared" si="369"/>
        <v>4</v>
      </c>
      <c r="E1005">
        <f t="shared" si="370"/>
        <v>5</v>
      </c>
      <c r="F1005">
        <f t="shared" si="371"/>
        <v>9</v>
      </c>
      <c r="G1005">
        <f t="shared" si="372"/>
        <v>9</v>
      </c>
      <c r="H1005">
        <f t="shared" si="373"/>
        <v>5</v>
      </c>
      <c r="I1005">
        <f t="shared" si="374"/>
        <v>1.8</v>
      </c>
      <c r="J1005">
        <f t="shared" si="375"/>
        <v>0.33</v>
      </c>
      <c r="K1005">
        <f t="shared" si="376"/>
        <v>0.33</v>
      </c>
      <c r="L1005">
        <f t="shared" si="377"/>
        <v>0.33</v>
      </c>
      <c r="M1005">
        <f t="shared" si="378"/>
        <v>1</v>
      </c>
      <c r="N1005">
        <f t="shared" si="379"/>
        <v>1.09</v>
      </c>
      <c r="O1005" t="str">
        <f t="shared" si="383"/>
        <v>松散</v>
      </c>
      <c r="P1005" t="str">
        <f t="shared" si="380"/>
        <v>极紧凑</v>
      </c>
      <c r="Q1005" t="str">
        <f t="shared" si="381"/>
        <v>✓有效</v>
      </c>
      <c r="R1005" t="str">
        <f t="shared" si="382"/>
        <v>正常</v>
      </c>
    </row>
    <row r="1006" ht="14.25" customHeight="1" spans="1:18">
      <c r="A1006" s="10">
        <v>2025274</v>
      </c>
      <c r="B1006" s="12" t="s">
        <v>87</v>
      </c>
      <c r="C1006">
        <f t="shared" si="368"/>
        <v>5</v>
      </c>
      <c r="D1006">
        <f t="shared" si="369"/>
        <v>9</v>
      </c>
      <c r="E1006">
        <f t="shared" si="370"/>
        <v>6</v>
      </c>
      <c r="F1006">
        <f t="shared" si="371"/>
        <v>20</v>
      </c>
      <c r="G1006">
        <f t="shared" si="372"/>
        <v>0</v>
      </c>
      <c r="H1006">
        <f t="shared" si="373"/>
        <v>4</v>
      </c>
      <c r="I1006">
        <f t="shared" si="374"/>
        <v>5</v>
      </c>
      <c r="J1006">
        <f t="shared" si="375"/>
        <v>0.67</v>
      </c>
      <c r="K1006">
        <f t="shared" si="376"/>
        <v>1</v>
      </c>
      <c r="L1006">
        <f t="shared" si="377"/>
        <v>0.33</v>
      </c>
      <c r="M1006">
        <f t="shared" si="378"/>
        <v>1</v>
      </c>
      <c r="N1006">
        <f t="shared" si="379"/>
        <v>2.57</v>
      </c>
      <c r="O1006" t="str">
        <f t="shared" si="383"/>
        <v>紧凑</v>
      </c>
      <c r="P1006" t="str">
        <f t="shared" si="380"/>
        <v>紧凑</v>
      </c>
      <c r="Q1006" t="str">
        <f t="shared" si="381"/>
        <v>✓有效</v>
      </c>
      <c r="R1006" t="str">
        <f t="shared" si="382"/>
        <v>正常</v>
      </c>
    </row>
    <row r="1007" ht="14.25" customHeight="1" spans="1:18">
      <c r="A1007" s="10">
        <v>2025275</v>
      </c>
      <c r="B1007" s="12" t="s">
        <v>626</v>
      </c>
      <c r="C1007">
        <f t="shared" si="368"/>
        <v>2</v>
      </c>
      <c r="D1007">
        <f t="shared" si="369"/>
        <v>0</v>
      </c>
      <c r="E1007">
        <f t="shared" si="370"/>
        <v>3</v>
      </c>
      <c r="F1007">
        <f t="shared" si="371"/>
        <v>5</v>
      </c>
      <c r="G1007">
        <f t="shared" si="372"/>
        <v>5</v>
      </c>
      <c r="H1007">
        <f t="shared" si="373"/>
        <v>3</v>
      </c>
      <c r="I1007">
        <f t="shared" si="374"/>
        <v>1.67</v>
      </c>
      <c r="J1007">
        <f t="shared" si="375"/>
        <v>0.33</v>
      </c>
      <c r="K1007">
        <f t="shared" si="376"/>
        <v>0</v>
      </c>
      <c r="L1007">
        <f t="shared" si="377"/>
        <v>0.67</v>
      </c>
      <c r="M1007">
        <f t="shared" si="378"/>
        <v>1</v>
      </c>
      <c r="N1007">
        <f t="shared" si="379"/>
        <v>1</v>
      </c>
      <c r="O1007" t="str">
        <f t="shared" si="383"/>
        <v>松散</v>
      </c>
      <c r="P1007" t="str">
        <f t="shared" si="380"/>
        <v>极紧凑</v>
      </c>
      <c r="Q1007" t="str">
        <f t="shared" si="381"/>
        <v>✓有效</v>
      </c>
      <c r="R1007" t="str">
        <f t="shared" si="382"/>
        <v>正常</v>
      </c>
    </row>
    <row r="1008" ht="14.25" customHeight="1" spans="1:18">
      <c r="A1008" s="10">
        <v>2025276</v>
      </c>
      <c r="B1008" s="12" t="s">
        <v>610</v>
      </c>
      <c r="C1008">
        <f t="shared" si="368"/>
        <v>7</v>
      </c>
      <c r="D1008">
        <f t="shared" si="369"/>
        <v>1</v>
      </c>
      <c r="E1008">
        <f t="shared" si="370"/>
        <v>4</v>
      </c>
      <c r="F1008">
        <f t="shared" si="371"/>
        <v>12</v>
      </c>
      <c r="G1008">
        <f t="shared" si="372"/>
        <v>2</v>
      </c>
      <c r="H1008">
        <f t="shared" si="373"/>
        <v>6</v>
      </c>
      <c r="I1008">
        <f t="shared" si="374"/>
        <v>2</v>
      </c>
      <c r="J1008">
        <f t="shared" si="375"/>
        <v>0.67</v>
      </c>
      <c r="K1008">
        <f t="shared" si="376"/>
        <v>0.33</v>
      </c>
      <c r="L1008">
        <f t="shared" si="377"/>
        <v>0.33</v>
      </c>
      <c r="M1008">
        <f t="shared" si="378"/>
        <v>0</v>
      </c>
      <c r="N1008">
        <f t="shared" si="379"/>
        <v>1.33</v>
      </c>
      <c r="O1008" t="str">
        <f t="shared" si="383"/>
        <v>标准</v>
      </c>
      <c r="P1008" t="str">
        <f t="shared" si="380"/>
        <v>极紧凑</v>
      </c>
      <c r="Q1008" t="str">
        <f t="shared" si="381"/>
        <v>✓有效</v>
      </c>
      <c r="R1008" t="str">
        <f t="shared" si="382"/>
        <v>正常</v>
      </c>
    </row>
    <row r="1009" ht="14.25" customHeight="1" spans="1:18">
      <c r="A1009" s="10">
        <v>2025277</v>
      </c>
      <c r="B1009" s="12" t="s">
        <v>679</v>
      </c>
      <c r="C1009">
        <f t="shared" si="368"/>
        <v>0</v>
      </c>
      <c r="D1009">
        <f t="shared" si="369"/>
        <v>6</v>
      </c>
      <c r="E1009">
        <f t="shared" si="370"/>
        <v>1</v>
      </c>
      <c r="F1009">
        <f t="shared" si="371"/>
        <v>7</v>
      </c>
      <c r="G1009">
        <f t="shared" si="372"/>
        <v>7</v>
      </c>
      <c r="H1009">
        <f t="shared" si="373"/>
        <v>6</v>
      </c>
      <c r="I1009">
        <f t="shared" si="374"/>
        <v>1.17</v>
      </c>
      <c r="J1009">
        <f t="shared" si="375"/>
        <v>0.33</v>
      </c>
      <c r="K1009">
        <f t="shared" si="376"/>
        <v>0.33</v>
      </c>
      <c r="L1009">
        <f t="shared" si="377"/>
        <v>0</v>
      </c>
      <c r="M1009">
        <f t="shared" si="378"/>
        <v>1</v>
      </c>
      <c r="N1009">
        <f t="shared" si="379"/>
        <v>0.8</v>
      </c>
      <c r="O1009" t="str">
        <f t="shared" si="383"/>
        <v>松散</v>
      </c>
      <c r="P1009" t="str">
        <f t="shared" si="380"/>
        <v>极紧凑</v>
      </c>
      <c r="Q1009" t="str">
        <f t="shared" si="381"/>
        <v>✓有效</v>
      </c>
      <c r="R1009" t="str">
        <f t="shared" si="382"/>
        <v>正常</v>
      </c>
    </row>
    <row r="1010" ht="14.25" customHeight="1" spans="1:18">
      <c r="A1010" s="10">
        <v>2025278</v>
      </c>
      <c r="B1010" s="12" t="s">
        <v>256</v>
      </c>
      <c r="C1010">
        <f t="shared" si="368"/>
        <v>6</v>
      </c>
      <c r="D1010">
        <f t="shared" si="369"/>
        <v>2</v>
      </c>
      <c r="E1010">
        <f t="shared" si="370"/>
        <v>9</v>
      </c>
      <c r="F1010">
        <f t="shared" si="371"/>
        <v>17</v>
      </c>
      <c r="G1010">
        <f t="shared" si="372"/>
        <v>7</v>
      </c>
      <c r="H1010">
        <f t="shared" si="373"/>
        <v>7</v>
      </c>
      <c r="I1010">
        <f t="shared" si="374"/>
        <v>2.43</v>
      </c>
      <c r="J1010">
        <f t="shared" si="375"/>
        <v>0.33</v>
      </c>
      <c r="K1010">
        <f t="shared" si="376"/>
        <v>0.67</v>
      </c>
      <c r="L1010">
        <f t="shared" si="377"/>
        <v>0.33</v>
      </c>
      <c r="M1010">
        <f t="shared" si="378"/>
        <v>0</v>
      </c>
      <c r="N1010">
        <f t="shared" si="379"/>
        <v>1.51</v>
      </c>
      <c r="O1010" t="str">
        <f t="shared" si="383"/>
        <v>标准</v>
      </c>
      <c r="P1010" t="str">
        <f t="shared" si="380"/>
        <v>紧凑</v>
      </c>
      <c r="Q1010" t="str">
        <f t="shared" si="381"/>
        <v>✓有效</v>
      </c>
      <c r="R1010" t="str">
        <f t="shared" si="382"/>
        <v>正常</v>
      </c>
    </row>
    <row r="1011" ht="14.25" customHeight="1" spans="1:18">
      <c r="A1011" s="10">
        <v>2025279</v>
      </c>
      <c r="B1011" s="12" t="s">
        <v>112</v>
      </c>
      <c r="C1011">
        <f t="shared" si="368"/>
        <v>7</v>
      </c>
      <c r="D1011">
        <f t="shared" si="369"/>
        <v>5</v>
      </c>
      <c r="E1011">
        <f t="shared" si="370"/>
        <v>2</v>
      </c>
      <c r="F1011">
        <f t="shared" si="371"/>
        <v>14</v>
      </c>
      <c r="G1011">
        <f t="shared" si="372"/>
        <v>4</v>
      </c>
      <c r="H1011">
        <f t="shared" si="373"/>
        <v>5</v>
      </c>
      <c r="I1011">
        <f t="shared" si="374"/>
        <v>2.8</v>
      </c>
      <c r="J1011">
        <f t="shared" si="375"/>
        <v>0.67</v>
      </c>
      <c r="K1011">
        <f t="shared" si="376"/>
        <v>0.67</v>
      </c>
      <c r="L1011">
        <f t="shared" si="377"/>
        <v>1</v>
      </c>
      <c r="M1011">
        <f t="shared" si="378"/>
        <v>0</v>
      </c>
      <c r="N1011">
        <f t="shared" si="379"/>
        <v>1.79</v>
      </c>
      <c r="O1011" t="str">
        <f t="shared" si="383"/>
        <v>标准</v>
      </c>
      <c r="P1011" t="str">
        <f t="shared" si="380"/>
        <v>紧凑</v>
      </c>
      <c r="Q1011" t="str">
        <f t="shared" si="381"/>
        <v>✓有效</v>
      </c>
      <c r="R1011" t="str">
        <f t="shared" si="382"/>
        <v>正常</v>
      </c>
    </row>
    <row r="1012" ht="14.25" customHeight="1" spans="1:18">
      <c r="A1012" s="10">
        <v>2025280</v>
      </c>
      <c r="B1012" s="12" t="s">
        <v>175</v>
      </c>
      <c r="C1012">
        <f t="shared" si="368"/>
        <v>4</v>
      </c>
      <c r="D1012">
        <f t="shared" si="369"/>
        <v>1</v>
      </c>
      <c r="E1012">
        <f t="shared" si="370"/>
        <v>1</v>
      </c>
      <c r="F1012">
        <f t="shared" si="371"/>
        <v>6</v>
      </c>
      <c r="G1012">
        <f t="shared" si="372"/>
        <v>6</v>
      </c>
      <c r="H1012">
        <f t="shared" si="373"/>
        <v>3</v>
      </c>
      <c r="I1012">
        <f t="shared" si="374"/>
        <v>2</v>
      </c>
      <c r="J1012">
        <f t="shared" si="375"/>
        <v>0.67</v>
      </c>
      <c r="K1012">
        <f t="shared" si="376"/>
        <v>0</v>
      </c>
      <c r="L1012">
        <f t="shared" si="377"/>
        <v>0</v>
      </c>
      <c r="M1012">
        <f t="shared" si="378"/>
        <v>0</v>
      </c>
      <c r="N1012">
        <f t="shared" si="379"/>
        <v>1.23</v>
      </c>
      <c r="O1012" t="str">
        <f t="shared" si="383"/>
        <v>标准</v>
      </c>
      <c r="P1012" t="str">
        <f t="shared" si="380"/>
        <v>极紧凑</v>
      </c>
      <c r="Q1012" t="str">
        <f t="shared" si="381"/>
        <v>✓有效</v>
      </c>
      <c r="R1012" t="str">
        <f t="shared" si="382"/>
        <v>正常</v>
      </c>
    </row>
    <row r="1013" ht="14.25" customHeight="1" spans="1:18">
      <c r="A1013" s="10">
        <v>2025281</v>
      </c>
      <c r="B1013" s="12" t="s">
        <v>398</v>
      </c>
      <c r="C1013">
        <f t="shared" si="368"/>
        <v>8</v>
      </c>
      <c r="D1013">
        <f t="shared" si="369"/>
        <v>9</v>
      </c>
      <c r="E1013">
        <f t="shared" si="370"/>
        <v>7</v>
      </c>
      <c r="F1013">
        <f t="shared" si="371"/>
        <v>24</v>
      </c>
      <c r="G1013">
        <f t="shared" si="372"/>
        <v>4</v>
      </c>
      <c r="H1013">
        <f t="shared" si="373"/>
        <v>2</v>
      </c>
      <c r="I1013">
        <f t="shared" si="374"/>
        <v>12</v>
      </c>
      <c r="J1013">
        <f t="shared" si="375"/>
        <v>0.67</v>
      </c>
      <c r="K1013">
        <f t="shared" si="376"/>
        <v>1</v>
      </c>
      <c r="L1013">
        <f t="shared" si="377"/>
        <v>0.33</v>
      </c>
      <c r="M1013">
        <f t="shared" si="378"/>
        <v>2</v>
      </c>
      <c r="N1013">
        <f t="shared" si="379"/>
        <v>5.27</v>
      </c>
      <c r="O1013" t="str">
        <f t="shared" si="383"/>
        <v>紧凑</v>
      </c>
      <c r="P1013" t="str">
        <f t="shared" si="380"/>
        <v>松散</v>
      </c>
      <c r="Q1013" t="str">
        <f t="shared" si="381"/>
        <v>✓有效</v>
      </c>
      <c r="R1013" t="str">
        <f t="shared" si="382"/>
        <v>异常</v>
      </c>
    </row>
    <row r="1014" ht="14.25" customHeight="1" spans="1:18">
      <c r="A1014" s="10">
        <v>2025282</v>
      </c>
      <c r="B1014" s="12" t="s">
        <v>568</v>
      </c>
      <c r="C1014">
        <f t="shared" si="368"/>
        <v>4</v>
      </c>
      <c r="D1014">
        <f t="shared" si="369"/>
        <v>1</v>
      </c>
      <c r="E1014">
        <f t="shared" si="370"/>
        <v>6</v>
      </c>
      <c r="F1014">
        <f t="shared" si="371"/>
        <v>11</v>
      </c>
      <c r="G1014">
        <f t="shared" si="372"/>
        <v>1</v>
      </c>
      <c r="H1014">
        <f t="shared" si="373"/>
        <v>5</v>
      </c>
      <c r="I1014">
        <f t="shared" si="374"/>
        <v>2.2</v>
      </c>
      <c r="J1014">
        <f t="shared" si="375"/>
        <v>0.33</v>
      </c>
      <c r="K1014">
        <f t="shared" si="376"/>
        <v>0.33</v>
      </c>
      <c r="L1014">
        <f t="shared" si="377"/>
        <v>0</v>
      </c>
      <c r="M1014">
        <f t="shared" si="378"/>
        <v>0</v>
      </c>
      <c r="N1014">
        <f t="shared" si="379"/>
        <v>1.31</v>
      </c>
      <c r="O1014" t="str">
        <f t="shared" si="383"/>
        <v>标准</v>
      </c>
      <c r="P1014" t="str">
        <f t="shared" si="380"/>
        <v>极紧凑</v>
      </c>
      <c r="Q1014" t="str">
        <f t="shared" si="381"/>
        <v>✓有效</v>
      </c>
      <c r="R1014" t="str">
        <f t="shared" si="382"/>
        <v>正常</v>
      </c>
    </row>
    <row r="1015" ht="14.25" customHeight="1" spans="1:18">
      <c r="A1015" s="10">
        <v>2025283</v>
      </c>
      <c r="B1015" s="12" t="s">
        <v>98</v>
      </c>
      <c r="C1015">
        <f t="shared" si="368"/>
        <v>6</v>
      </c>
      <c r="D1015">
        <f t="shared" si="369"/>
        <v>6</v>
      </c>
      <c r="E1015">
        <f t="shared" si="370"/>
        <v>4</v>
      </c>
      <c r="F1015">
        <f t="shared" si="371"/>
        <v>16</v>
      </c>
      <c r="G1015">
        <f t="shared" si="372"/>
        <v>6</v>
      </c>
      <c r="H1015">
        <f t="shared" si="373"/>
        <v>2</v>
      </c>
      <c r="I1015">
        <f t="shared" si="374"/>
        <v>8</v>
      </c>
      <c r="J1015">
        <f t="shared" si="375"/>
        <v>0</v>
      </c>
      <c r="K1015">
        <f t="shared" si="376"/>
        <v>0.67</v>
      </c>
      <c r="L1015">
        <f t="shared" si="377"/>
        <v>0</v>
      </c>
      <c r="M1015">
        <f t="shared" si="378"/>
        <v>0</v>
      </c>
      <c r="N1015">
        <f t="shared" si="379"/>
        <v>3.63</v>
      </c>
      <c r="O1015" t="str">
        <f t="shared" si="383"/>
        <v>紧凑</v>
      </c>
      <c r="P1015" t="str">
        <f t="shared" si="380"/>
        <v>标准</v>
      </c>
      <c r="Q1015" t="str">
        <f t="shared" si="381"/>
        <v>✓有效</v>
      </c>
      <c r="R1015" t="str">
        <f t="shared" si="382"/>
        <v>正常</v>
      </c>
    </row>
    <row r="1016" ht="14.25" customHeight="1" spans="1:18">
      <c r="A1016" s="10">
        <v>2025284</v>
      </c>
      <c r="B1016" s="12" t="s">
        <v>680</v>
      </c>
      <c r="C1016">
        <f t="shared" si="368"/>
        <v>8</v>
      </c>
      <c r="D1016">
        <f t="shared" si="369"/>
        <v>4</v>
      </c>
      <c r="E1016">
        <f t="shared" si="370"/>
        <v>4</v>
      </c>
      <c r="F1016">
        <f t="shared" si="371"/>
        <v>16</v>
      </c>
      <c r="G1016">
        <f t="shared" si="372"/>
        <v>6</v>
      </c>
      <c r="H1016">
        <f t="shared" si="373"/>
        <v>4</v>
      </c>
      <c r="I1016">
        <f t="shared" si="374"/>
        <v>4</v>
      </c>
      <c r="J1016">
        <f t="shared" si="375"/>
        <v>0</v>
      </c>
      <c r="K1016">
        <f t="shared" si="376"/>
        <v>0.33</v>
      </c>
      <c r="L1016">
        <f t="shared" si="377"/>
        <v>0</v>
      </c>
      <c r="M1016">
        <f t="shared" si="378"/>
        <v>0</v>
      </c>
      <c r="N1016">
        <f t="shared" si="379"/>
        <v>1.97</v>
      </c>
      <c r="O1016" t="str">
        <f t="shared" si="383"/>
        <v>紧凑</v>
      </c>
      <c r="P1016" t="str">
        <f t="shared" si="380"/>
        <v>紧凑</v>
      </c>
      <c r="Q1016" t="str">
        <f t="shared" si="381"/>
        <v>✓有效</v>
      </c>
      <c r="R1016" t="str">
        <f t="shared" si="382"/>
        <v>正常</v>
      </c>
    </row>
    <row r="1017" ht="14.25" customHeight="1" spans="1:18">
      <c r="A1017" s="10">
        <v>2025285</v>
      </c>
      <c r="B1017" s="12" t="s">
        <v>251</v>
      </c>
      <c r="C1017">
        <f t="shared" si="368"/>
        <v>1</v>
      </c>
      <c r="D1017">
        <f t="shared" si="369"/>
        <v>7</v>
      </c>
      <c r="E1017">
        <f t="shared" si="370"/>
        <v>2</v>
      </c>
      <c r="F1017">
        <f t="shared" si="371"/>
        <v>10</v>
      </c>
      <c r="G1017">
        <f t="shared" si="372"/>
        <v>0</v>
      </c>
      <c r="H1017">
        <f t="shared" si="373"/>
        <v>6</v>
      </c>
      <c r="I1017">
        <f t="shared" si="374"/>
        <v>1.67</v>
      </c>
      <c r="J1017">
        <f t="shared" si="375"/>
        <v>0.67</v>
      </c>
      <c r="K1017">
        <f t="shared" si="376"/>
        <v>0.33</v>
      </c>
      <c r="L1017">
        <f t="shared" si="377"/>
        <v>0.67</v>
      </c>
      <c r="M1017">
        <f t="shared" si="378"/>
        <v>1</v>
      </c>
      <c r="N1017">
        <f t="shared" si="379"/>
        <v>1.14</v>
      </c>
      <c r="O1017" t="str">
        <f t="shared" si="383"/>
        <v>松散</v>
      </c>
      <c r="P1017" t="str">
        <f t="shared" si="380"/>
        <v>极紧凑</v>
      </c>
      <c r="Q1017" t="str">
        <f t="shared" si="381"/>
        <v>✓有效</v>
      </c>
      <c r="R1017" t="str">
        <f t="shared" si="382"/>
        <v>正常</v>
      </c>
    </row>
    <row r="1018" ht="14.25" customHeight="1" spans="1:18">
      <c r="A1018" s="10">
        <v>2025286</v>
      </c>
      <c r="B1018" s="12" t="s">
        <v>522</v>
      </c>
      <c r="C1018">
        <f t="shared" si="368"/>
        <v>8</v>
      </c>
      <c r="D1018">
        <f t="shared" si="369"/>
        <v>2</v>
      </c>
      <c r="E1018">
        <f t="shared" si="370"/>
        <v>7</v>
      </c>
      <c r="F1018">
        <f t="shared" si="371"/>
        <v>17</v>
      </c>
      <c r="G1018">
        <f t="shared" si="372"/>
        <v>7</v>
      </c>
      <c r="H1018">
        <f t="shared" si="373"/>
        <v>6</v>
      </c>
      <c r="I1018">
        <f t="shared" si="374"/>
        <v>2.83</v>
      </c>
      <c r="J1018">
        <f t="shared" si="375"/>
        <v>0.33</v>
      </c>
      <c r="K1018">
        <f t="shared" si="376"/>
        <v>0.67</v>
      </c>
      <c r="L1018">
        <f t="shared" si="377"/>
        <v>0.67</v>
      </c>
      <c r="M1018">
        <f t="shared" si="378"/>
        <v>1</v>
      </c>
      <c r="N1018">
        <f t="shared" si="379"/>
        <v>1.6</v>
      </c>
      <c r="O1018" t="str">
        <f t="shared" si="383"/>
        <v>标准</v>
      </c>
      <c r="P1018" t="str">
        <f t="shared" si="380"/>
        <v>紧凑</v>
      </c>
      <c r="Q1018" t="str">
        <f t="shared" si="381"/>
        <v>✓有效</v>
      </c>
      <c r="R1018" t="str">
        <f t="shared" si="382"/>
        <v>正常</v>
      </c>
    </row>
    <row r="1019" ht="14.25" customHeight="1" spans="1:18">
      <c r="A1019" s="10">
        <v>2025287</v>
      </c>
      <c r="B1019" s="12" t="s">
        <v>395</v>
      </c>
      <c r="C1019">
        <f t="shared" si="368"/>
        <v>8</v>
      </c>
      <c r="D1019">
        <f t="shared" si="369"/>
        <v>0</v>
      </c>
      <c r="E1019">
        <f t="shared" si="370"/>
        <v>5</v>
      </c>
      <c r="F1019">
        <f t="shared" si="371"/>
        <v>13</v>
      </c>
      <c r="G1019">
        <f t="shared" si="372"/>
        <v>3</v>
      </c>
      <c r="H1019">
        <f t="shared" si="373"/>
        <v>8</v>
      </c>
      <c r="I1019">
        <f t="shared" si="374"/>
        <v>1.63</v>
      </c>
      <c r="J1019">
        <f t="shared" si="375"/>
        <v>0.33</v>
      </c>
      <c r="K1019">
        <f t="shared" si="376"/>
        <v>0.67</v>
      </c>
      <c r="L1019">
        <f t="shared" si="377"/>
        <v>0.33</v>
      </c>
      <c r="M1019">
        <f t="shared" si="378"/>
        <v>0</v>
      </c>
      <c r="N1019">
        <f t="shared" si="379"/>
        <v>1.19</v>
      </c>
      <c r="O1019" t="str">
        <f t="shared" si="383"/>
        <v>松散</v>
      </c>
      <c r="P1019" t="str">
        <f t="shared" si="380"/>
        <v>极紧凑</v>
      </c>
      <c r="Q1019" t="str">
        <f t="shared" si="381"/>
        <v>✓有效</v>
      </c>
      <c r="R1019" t="str">
        <f t="shared" si="382"/>
        <v>正常</v>
      </c>
    </row>
    <row r="1020" ht="14.25" customHeight="1" spans="1:18">
      <c r="A1020" s="10">
        <v>2025288</v>
      </c>
      <c r="B1020" s="12" t="s">
        <v>138</v>
      </c>
      <c r="C1020">
        <f t="shared" si="368"/>
        <v>7</v>
      </c>
      <c r="D1020">
        <f t="shared" si="369"/>
        <v>6</v>
      </c>
      <c r="E1020">
        <f t="shared" si="370"/>
        <v>7</v>
      </c>
      <c r="F1020">
        <f t="shared" si="371"/>
        <v>20</v>
      </c>
      <c r="G1020">
        <f t="shared" si="372"/>
        <v>0</v>
      </c>
      <c r="H1020">
        <f t="shared" si="373"/>
        <v>1</v>
      </c>
      <c r="I1020">
        <f t="shared" si="374"/>
        <v>20</v>
      </c>
      <c r="J1020">
        <f t="shared" si="375"/>
        <v>0.67</v>
      </c>
      <c r="K1020">
        <f t="shared" si="376"/>
        <v>1</v>
      </c>
      <c r="L1020">
        <f t="shared" si="377"/>
        <v>0.67</v>
      </c>
      <c r="M1020">
        <f t="shared" si="378"/>
        <v>2</v>
      </c>
      <c r="N1020">
        <f t="shared" si="379"/>
        <v>8.5</v>
      </c>
      <c r="O1020" t="str">
        <f t="shared" si="383"/>
        <v>紧凑</v>
      </c>
      <c r="P1020" t="str">
        <f t="shared" si="380"/>
        <v>松散</v>
      </c>
      <c r="Q1020" t="str">
        <f t="shared" si="381"/>
        <v>✓有效</v>
      </c>
      <c r="R1020" t="str">
        <f t="shared" si="382"/>
        <v>异常</v>
      </c>
    </row>
    <row r="1021" ht="14.25" customHeight="1" spans="1:18">
      <c r="A1021" s="10">
        <v>2025289</v>
      </c>
      <c r="B1021" s="12" t="s">
        <v>371</v>
      </c>
      <c r="C1021">
        <f t="shared" si="368"/>
        <v>4</v>
      </c>
      <c r="D1021">
        <f t="shared" si="369"/>
        <v>7</v>
      </c>
      <c r="E1021">
        <f t="shared" si="370"/>
        <v>3</v>
      </c>
      <c r="F1021">
        <f t="shared" si="371"/>
        <v>14</v>
      </c>
      <c r="G1021">
        <f t="shared" si="372"/>
        <v>4</v>
      </c>
      <c r="H1021">
        <f t="shared" si="373"/>
        <v>4</v>
      </c>
      <c r="I1021">
        <f t="shared" si="374"/>
        <v>3.5</v>
      </c>
      <c r="J1021">
        <f t="shared" si="375"/>
        <v>0.67</v>
      </c>
      <c r="K1021">
        <f t="shared" si="376"/>
        <v>0.33</v>
      </c>
      <c r="L1021">
        <f t="shared" si="377"/>
        <v>0.67</v>
      </c>
      <c r="M1021">
        <f t="shared" si="378"/>
        <v>1</v>
      </c>
      <c r="N1021">
        <f t="shared" si="379"/>
        <v>1.87</v>
      </c>
      <c r="O1021" t="str">
        <f t="shared" si="383"/>
        <v>标准</v>
      </c>
      <c r="P1021" t="str">
        <f t="shared" si="380"/>
        <v>紧凑</v>
      </c>
      <c r="Q1021" t="str">
        <f t="shared" si="381"/>
        <v>✓有效</v>
      </c>
      <c r="R1021" t="str">
        <f t="shared" si="382"/>
        <v>正常</v>
      </c>
    </row>
    <row r="1022" ht="14.25" customHeight="1" spans="1:18">
      <c r="A1022" s="10">
        <v>2025290</v>
      </c>
      <c r="B1022" s="12" t="s">
        <v>681</v>
      </c>
      <c r="C1022">
        <f t="shared" si="368"/>
        <v>3</v>
      </c>
      <c r="D1022">
        <f t="shared" si="369"/>
        <v>3</v>
      </c>
      <c r="E1022">
        <f t="shared" si="370"/>
        <v>2</v>
      </c>
      <c r="F1022">
        <f t="shared" si="371"/>
        <v>8</v>
      </c>
      <c r="G1022">
        <f t="shared" si="372"/>
        <v>8</v>
      </c>
      <c r="H1022">
        <f t="shared" si="373"/>
        <v>1</v>
      </c>
      <c r="I1022">
        <f t="shared" si="374"/>
        <v>8</v>
      </c>
      <c r="J1022">
        <f t="shared" si="375"/>
        <v>0.67</v>
      </c>
      <c r="K1022">
        <f t="shared" si="376"/>
        <v>0</v>
      </c>
      <c r="L1022">
        <f t="shared" si="377"/>
        <v>1</v>
      </c>
      <c r="M1022">
        <f t="shared" si="378"/>
        <v>2</v>
      </c>
      <c r="N1022">
        <f t="shared" si="379"/>
        <v>3.53</v>
      </c>
      <c r="O1022" t="str">
        <f t="shared" si="383"/>
        <v>紧凑</v>
      </c>
      <c r="P1022" t="str">
        <f t="shared" si="380"/>
        <v>标准</v>
      </c>
      <c r="Q1022" t="str">
        <f t="shared" si="381"/>
        <v>✓有效</v>
      </c>
      <c r="R1022" t="str">
        <f t="shared" si="382"/>
        <v>正常</v>
      </c>
    </row>
    <row r="1023" ht="14.25" customHeight="1" spans="1:18">
      <c r="A1023" s="10">
        <v>2025291</v>
      </c>
      <c r="B1023" s="12" t="s">
        <v>167</v>
      </c>
      <c r="C1023">
        <f t="shared" si="368"/>
        <v>7</v>
      </c>
      <c r="D1023">
        <f t="shared" si="369"/>
        <v>9</v>
      </c>
      <c r="E1023">
        <f t="shared" si="370"/>
        <v>4</v>
      </c>
      <c r="F1023">
        <f t="shared" si="371"/>
        <v>20</v>
      </c>
      <c r="G1023">
        <f t="shared" si="372"/>
        <v>0</v>
      </c>
      <c r="H1023">
        <f t="shared" si="373"/>
        <v>5</v>
      </c>
      <c r="I1023">
        <f t="shared" si="374"/>
        <v>4</v>
      </c>
      <c r="J1023">
        <f t="shared" si="375"/>
        <v>0.67</v>
      </c>
      <c r="K1023">
        <f t="shared" si="376"/>
        <v>0.67</v>
      </c>
      <c r="L1023">
        <f t="shared" si="377"/>
        <v>0.33</v>
      </c>
      <c r="M1023">
        <f t="shared" si="378"/>
        <v>0</v>
      </c>
      <c r="N1023">
        <f t="shared" si="379"/>
        <v>2.2</v>
      </c>
      <c r="O1023" t="str">
        <f t="shared" si="383"/>
        <v>紧凑</v>
      </c>
      <c r="P1023" t="str">
        <f t="shared" si="380"/>
        <v>紧凑</v>
      </c>
      <c r="Q1023" t="str">
        <f t="shared" si="381"/>
        <v>✓有效</v>
      </c>
      <c r="R1023" t="str">
        <f t="shared" si="382"/>
        <v>正常</v>
      </c>
    </row>
    <row r="1024" ht="14.25" customHeight="1" spans="1:18">
      <c r="A1024" s="10">
        <v>2025292</v>
      </c>
      <c r="B1024" s="12" t="s">
        <v>134</v>
      </c>
      <c r="C1024">
        <f t="shared" si="368"/>
        <v>1</v>
      </c>
      <c r="D1024">
        <f t="shared" si="369"/>
        <v>1</v>
      </c>
      <c r="E1024">
        <f t="shared" si="370"/>
        <v>7</v>
      </c>
      <c r="F1024">
        <f t="shared" si="371"/>
        <v>9</v>
      </c>
      <c r="G1024">
        <f t="shared" si="372"/>
        <v>9</v>
      </c>
      <c r="H1024">
        <f t="shared" si="373"/>
        <v>6</v>
      </c>
      <c r="I1024">
        <f t="shared" si="374"/>
        <v>1.5</v>
      </c>
      <c r="J1024">
        <f t="shared" si="375"/>
        <v>1</v>
      </c>
      <c r="K1024">
        <f t="shared" si="376"/>
        <v>0.33</v>
      </c>
      <c r="L1024">
        <f t="shared" si="377"/>
        <v>0.33</v>
      </c>
      <c r="M1024">
        <f t="shared" si="378"/>
        <v>0</v>
      </c>
      <c r="N1024">
        <f t="shared" si="379"/>
        <v>1.2</v>
      </c>
      <c r="O1024" t="str">
        <f t="shared" si="383"/>
        <v>松散</v>
      </c>
      <c r="P1024" t="str">
        <f t="shared" si="380"/>
        <v>极紧凑</v>
      </c>
      <c r="Q1024" t="str">
        <f t="shared" si="381"/>
        <v>✓有效</v>
      </c>
      <c r="R1024" t="str">
        <f t="shared" si="382"/>
        <v>正常</v>
      </c>
    </row>
    <row r="1025" ht="14.25" customHeight="1" spans="1:18">
      <c r="A1025" s="10">
        <v>2025293</v>
      </c>
      <c r="B1025" s="12" t="s">
        <v>682</v>
      </c>
      <c r="C1025">
        <f t="shared" si="368"/>
        <v>1</v>
      </c>
      <c r="D1025">
        <f t="shared" si="369"/>
        <v>5</v>
      </c>
      <c r="E1025">
        <f t="shared" si="370"/>
        <v>4</v>
      </c>
      <c r="F1025">
        <f t="shared" si="371"/>
        <v>10</v>
      </c>
      <c r="G1025">
        <f t="shared" si="372"/>
        <v>0</v>
      </c>
      <c r="H1025">
        <f t="shared" si="373"/>
        <v>4</v>
      </c>
      <c r="I1025">
        <f t="shared" si="374"/>
        <v>2.5</v>
      </c>
      <c r="J1025">
        <f t="shared" si="375"/>
        <v>0.67</v>
      </c>
      <c r="K1025">
        <f t="shared" si="376"/>
        <v>0.33</v>
      </c>
      <c r="L1025">
        <f t="shared" si="377"/>
        <v>0.33</v>
      </c>
      <c r="M1025">
        <f t="shared" si="378"/>
        <v>1</v>
      </c>
      <c r="N1025">
        <f t="shared" si="379"/>
        <v>1.43</v>
      </c>
      <c r="O1025" t="str">
        <f t="shared" si="383"/>
        <v>标准</v>
      </c>
      <c r="P1025" t="str">
        <f t="shared" si="380"/>
        <v>极紧凑</v>
      </c>
      <c r="Q1025" t="str">
        <f t="shared" si="381"/>
        <v>✓有效</v>
      </c>
      <c r="R1025" t="str">
        <f t="shared" si="382"/>
        <v>正常</v>
      </c>
    </row>
    <row r="1026" ht="14.25" customHeight="1" spans="1:18">
      <c r="A1026" s="10">
        <v>2025294</v>
      </c>
      <c r="B1026" s="12" t="s">
        <v>241</v>
      </c>
      <c r="C1026">
        <f t="shared" si="368"/>
        <v>5</v>
      </c>
      <c r="D1026">
        <f t="shared" si="369"/>
        <v>1</v>
      </c>
      <c r="E1026">
        <f t="shared" si="370"/>
        <v>3</v>
      </c>
      <c r="F1026">
        <f t="shared" si="371"/>
        <v>9</v>
      </c>
      <c r="G1026">
        <f t="shared" si="372"/>
        <v>9</v>
      </c>
      <c r="H1026">
        <f t="shared" si="373"/>
        <v>4</v>
      </c>
      <c r="I1026">
        <f t="shared" si="374"/>
        <v>2.25</v>
      </c>
      <c r="J1026">
        <f t="shared" si="375"/>
        <v>1</v>
      </c>
      <c r="K1026">
        <f t="shared" si="376"/>
        <v>0.33</v>
      </c>
      <c r="L1026">
        <f t="shared" si="377"/>
        <v>0.67</v>
      </c>
      <c r="M1026">
        <f t="shared" si="378"/>
        <v>0</v>
      </c>
      <c r="N1026">
        <f t="shared" si="379"/>
        <v>1.53</v>
      </c>
      <c r="O1026" t="str">
        <f t="shared" si="383"/>
        <v>标准</v>
      </c>
      <c r="P1026" t="str">
        <f t="shared" si="380"/>
        <v>紧凑</v>
      </c>
      <c r="Q1026" t="str">
        <f t="shared" si="381"/>
        <v>✓有效</v>
      </c>
      <c r="R1026" t="str">
        <f t="shared" si="382"/>
        <v>正常</v>
      </c>
    </row>
    <row r="1027" ht="14.25" customHeight="1" spans="1:18">
      <c r="A1027" s="10">
        <v>2025295</v>
      </c>
      <c r="B1027" s="12" t="s">
        <v>683</v>
      </c>
      <c r="C1027">
        <f t="shared" si="368"/>
        <v>2</v>
      </c>
      <c r="D1027">
        <f t="shared" si="369"/>
        <v>7</v>
      </c>
      <c r="E1027">
        <f t="shared" si="370"/>
        <v>3</v>
      </c>
      <c r="F1027">
        <f t="shared" si="371"/>
        <v>12</v>
      </c>
      <c r="G1027">
        <f t="shared" si="372"/>
        <v>2</v>
      </c>
      <c r="H1027">
        <f t="shared" si="373"/>
        <v>5</v>
      </c>
      <c r="I1027">
        <f t="shared" si="374"/>
        <v>2.4</v>
      </c>
      <c r="J1027">
        <f t="shared" si="375"/>
        <v>0.67</v>
      </c>
      <c r="K1027">
        <f t="shared" si="376"/>
        <v>0.33</v>
      </c>
      <c r="L1027">
        <f t="shared" si="377"/>
        <v>1</v>
      </c>
      <c r="M1027">
        <f t="shared" si="378"/>
        <v>1</v>
      </c>
      <c r="N1027">
        <f t="shared" si="379"/>
        <v>1.46</v>
      </c>
      <c r="O1027" t="str">
        <f t="shared" si="383"/>
        <v>标准</v>
      </c>
      <c r="P1027" t="str">
        <f t="shared" si="380"/>
        <v>极紧凑</v>
      </c>
      <c r="Q1027" t="str">
        <f t="shared" si="381"/>
        <v>✓有效</v>
      </c>
      <c r="R1027" t="str">
        <f t="shared" si="382"/>
        <v>正常</v>
      </c>
    </row>
    <row r="1028" ht="14.25" customHeight="1" spans="1:18">
      <c r="A1028" s="10">
        <v>2025296</v>
      </c>
      <c r="B1028" s="12" t="s">
        <v>684</v>
      </c>
      <c r="C1028">
        <f t="shared" si="368"/>
        <v>5</v>
      </c>
      <c r="D1028">
        <f t="shared" si="369"/>
        <v>3</v>
      </c>
      <c r="E1028">
        <f t="shared" si="370"/>
        <v>7</v>
      </c>
      <c r="F1028">
        <f t="shared" si="371"/>
        <v>15</v>
      </c>
      <c r="G1028">
        <f t="shared" si="372"/>
        <v>5</v>
      </c>
      <c r="H1028">
        <f t="shared" si="373"/>
        <v>4</v>
      </c>
      <c r="I1028">
        <f t="shared" si="374"/>
        <v>3.75</v>
      </c>
      <c r="J1028">
        <f t="shared" si="375"/>
        <v>1</v>
      </c>
      <c r="K1028">
        <f t="shared" si="376"/>
        <v>0.67</v>
      </c>
      <c r="L1028">
        <f t="shared" si="377"/>
        <v>1</v>
      </c>
      <c r="M1028">
        <f t="shared" si="378"/>
        <v>0</v>
      </c>
      <c r="N1028">
        <f t="shared" si="379"/>
        <v>2.23</v>
      </c>
      <c r="O1028" t="str">
        <f t="shared" si="383"/>
        <v>紧凑</v>
      </c>
      <c r="P1028" t="str">
        <f t="shared" si="380"/>
        <v>紧凑</v>
      </c>
      <c r="Q1028" t="str">
        <f t="shared" si="381"/>
        <v>✓有效</v>
      </c>
      <c r="R1028" t="str">
        <f t="shared" si="382"/>
        <v>正常</v>
      </c>
    </row>
    <row r="1029" ht="14.25" customHeight="1" spans="1:18">
      <c r="A1029" s="10">
        <v>2025297</v>
      </c>
      <c r="B1029" s="12" t="s">
        <v>685</v>
      </c>
      <c r="C1029">
        <f t="shared" si="368"/>
        <v>0</v>
      </c>
      <c r="D1029">
        <f t="shared" si="369"/>
        <v>5</v>
      </c>
      <c r="E1029">
        <f t="shared" si="370"/>
        <v>1</v>
      </c>
      <c r="F1029">
        <f t="shared" si="371"/>
        <v>6</v>
      </c>
      <c r="G1029">
        <f t="shared" si="372"/>
        <v>6</v>
      </c>
      <c r="H1029">
        <f t="shared" si="373"/>
        <v>5</v>
      </c>
      <c r="I1029">
        <f t="shared" si="374"/>
        <v>1.2</v>
      </c>
      <c r="J1029">
        <f t="shared" si="375"/>
        <v>0.67</v>
      </c>
      <c r="K1029">
        <f t="shared" si="376"/>
        <v>0.33</v>
      </c>
      <c r="L1029">
        <f t="shared" si="377"/>
        <v>0.33</v>
      </c>
      <c r="M1029">
        <f t="shared" si="378"/>
        <v>1</v>
      </c>
      <c r="N1029">
        <f t="shared" si="379"/>
        <v>0.91</v>
      </c>
      <c r="O1029" t="str">
        <f t="shared" si="383"/>
        <v>松散</v>
      </c>
      <c r="P1029" t="str">
        <f t="shared" si="380"/>
        <v>极紧凑</v>
      </c>
      <c r="Q1029" t="str">
        <f t="shared" si="381"/>
        <v>✓有效</v>
      </c>
      <c r="R1029" t="str">
        <f t="shared" si="382"/>
        <v>正常</v>
      </c>
    </row>
    <row r="1030" ht="14.25" customHeight="1" spans="1:18">
      <c r="A1030" s="10">
        <v>2025298</v>
      </c>
      <c r="B1030" s="12">
        <v>544</v>
      </c>
      <c r="C1030">
        <f t="shared" si="368"/>
        <v>5</v>
      </c>
      <c r="D1030">
        <f t="shared" si="369"/>
        <v>4</v>
      </c>
      <c r="E1030">
        <f t="shared" si="370"/>
        <v>4</v>
      </c>
      <c r="F1030">
        <f t="shared" si="371"/>
        <v>13</v>
      </c>
      <c r="G1030">
        <f t="shared" si="372"/>
        <v>3</v>
      </c>
      <c r="H1030">
        <f t="shared" si="373"/>
        <v>1</v>
      </c>
      <c r="I1030">
        <f t="shared" si="374"/>
        <v>13</v>
      </c>
      <c r="J1030">
        <f t="shared" si="375"/>
        <v>0.33</v>
      </c>
      <c r="K1030">
        <f t="shared" si="376"/>
        <v>0.33</v>
      </c>
      <c r="L1030">
        <f t="shared" si="377"/>
        <v>0.33</v>
      </c>
      <c r="M1030">
        <f t="shared" si="378"/>
        <v>2</v>
      </c>
      <c r="N1030">
        <f t="shared" si="379"/>
        <v>5.47</v>
      </c>
      <c r="O1030" t="str">
        <f t="shared" si="383"/>
        <v>紧凑</v>
      </c>
      <c r="P1030" t="str">
        <f t="shared" si="380"/>
        <v>松散</v>
      </c>
      <c r="Q1030" t="str">
        <f t="shared" si="381"/>
        <v>✓有效</v>
      </c>
      <c r="R1030" t="str">
        <f t="shared" si="382"/>
        <v>异常</v>
      </c>
    </row>
    <row r="1031" ht="14.25" customHeight="1" spans="1:18">
      <c r="A1031" s="10">
        <v>2025299</v>
      </c>
      <c r="B1031" s="12" t="s">
        <v>593</v>
      </c>
      <c r="C1031">
        <f t="shared" si="368"/>
        <v>3</v>
      </c>
      <c r="D1031">
        <f t="shared" si="369"/>
        <v>8</v>
      </c>
      <c r="E1031">
        <f t="shared" si="370"/>
        <v>5</v>
      </c>
      <c r="F1031">
        <f t="shared" si="371"/>
        <v>16</v>
      </c>
      <c r="G1031">
        <f t="shared" si="372"/>
        <v>6</v>
      </c>
      <c r="H1031">
        <f t="shared" si="373"/>
        <v>5</v>
      </c>
      <c r="I1031">
        <f t="shared" si="374"/>
        <v>3.2</v>
      </c>
      <c r="J1031">
        <f t="shared" si="375"/>
        <v>0.67</v>
      </c>
      <c r="K1031">
        <f t="shared" si="376"/>
        <v>0.67</v>
      </c>
      <c r="L1031">
        <f t="shared" si="377"/>
        <v>0.67</v>
      </c>
      <c r="M1031">
        <f t="shared" si="378"/>
        <v>0</v>
      </c>
      <c r="N1031">
        <f t="shared" si="379"/>
        <v>1.92</v>
      </c>
      <c r="O1031" t="str">
        <f t="shared" si="383"/>
        <v>标准</v>
      </c>
      <c r="P1031" t="str">
        <f t="shared" si="380"/>
        <v>紧凑</v>
      </c>
      <c r="Q1031" t="str">
        <f t="shared" si="381"/>
        <v>✓有效</v>
      </c>
      <c r="R1031" t="str">
        <f t="shared" si="382"/>
        <v>正常</v>
      </c>
    </row>
    <row r="1032" ht="14.25" customHeight="1" spans="1:18">
      <c r="A1032" s="10" t="s">
        <v>686</v>
      </c>
      <c r="B1032" s="12" t="s">
        <v>549</v>
      </c>
      <c r="C1032">
        <f t="shared" si="368"/>
        <v>8</v>
      </c>
      <c r="D1032">
        <f t="shared" si="369"/>
        <v>6</v>
      </c>
      <c r="E1032">
        <f t="shared" si="370"/>
        <v>7</v>
      </c>
      <c r="F1032">
        <f t="shared" si="371"/>
        <v>21</v>
      </c>
      <c r="G1032">
        <f t="shared" si="372"/>
        <v>1</v>
      </c>
      <c r="H1032">
        <f t="shared" si="373"/>
        <v>2</v>
      </c>
      <c r="I1032">
        <f t="shared" si="374"/>
        <v>10.5</v>
      </c>
      <c r="J1032">
        <f t="shared" si="375"/>
        <v>0.33</v>
      </c>
      <c r="K1032">
        <f t="shared" si="376"/>
        <v>1</v>
      </c>
      <c r="L1032">
        <f t="shared" si="377"/>
        <v>0.33</v>
      </c>
      <c r="M1032">
        <f t="shared" si="378"/>
        <v>2</v>
      </c>
      <c r="N1032">
        <f t="shared" si="379"/>
        <v>4.6</v>
      </c>
      <c r="O1032" t="str">
        <f t="shared" si="383"/>
        <v>紧凑</v>
      </c>
      <c r="P1032" t="str">
        <f t="shared" si="380"/>
        <v>标准</v>
      </c>
      <c r="Q1032" t="str">
        <f t="shared" si="381"/>
        <v>✓有效</v>
      </c>
      <c r="R1032" t="str">
        <f t="shared" si="382"/>
        <v>异常</v>
      </c>
    </row>
    <row r="1033" ht="14.25" customHeight="1" spans="1:18">
      <c r="A1033" s="10" t="s">
        <v>687</v>
      </c>
      <c r="B1033" s="12" t="s">
        <v>688</v>
      </c>
      <c r="C1033">
        <f t="shared" si="368"/>
        <v>7</v>
      </c>
      <c r="D1033">
        <f t="shared" si="369"/>
        <v>5</v>
      </c>
      <c r="E1033">
        <f t="shared" si="370"/>
        <v>5</v>
      </c>
      <c r="F1033">
        <f t="shared" si="371"/>
        <v>17</v>
      </c>
      <c r="G1033">
        <f t="shared" si="372"/>
        <v>7</v>
      </c>
      <c r="H1033">
        <f t="shared" si="373"/>
        <v>2</v>
      </c>
      <c r="I1033">
        <f t="shared" si="374"/>
        <v>8.5</v>
      </c>
      <c r="J1033">
        <f t="shared" si="375"/>
        <v>1</v>
      </c>
      <c r="K1033">
        <f t="shared" si="376"/>
        <v>1</v>
      </c>
      <c r="L1033">
        <f t="shared" si="377"/>
        <v>1</v>
      </c>
      <c r="M1033">
        <f t="shared" si="378"/>
        <v>0</v>
      </c>
      <c r="N1033">
        <f t="shared" si="379"/>
        <v>4.2</v>
      </c>
      <c r="O1033" t="str">
        <f t="shared" si="383"/>
        <v>紧凑</v>
      </c>
      <c r="P1033" t="str">
        <f t="shared" si="380"/>
        <v>标准</v>
      </c>
      <c r="Q1033" t="str">
        <f t="shared" si="381"/>
        <v>✓有效</v>
      </c>
      <c r="R1033" t="str">
        <f t="shared" si="382"/>
        <v>正常</v>
      </c>
    </row>
    <row r="1034" ht="14.25" customHeight="1" spans="1:18">
      <c r="A1034" s="10" t="s">
        <v>689</v>
      </c>
      <c r="B1034" s="12" t="s">
        <v>90</v>
      </c>
      <c r="C1034">
        <f t="shared" si="368"/>
        <v>7</v>
      </c>
      <c r="D1034">
        <f t="shared" si="369"/>
        <v>1</v>
      </c>
      <c r="E1034">
        <f t="shared" si="370"/>
        <v>5</v>
      </c>
      <c r="F1034">
        <f t="shared" si="371"/>
        <v>13</v>
      </c>
      <c r="G1034">
        <f t="shared" si="372"/>
        <v>3</v>
      </c>
      <c r="H1034">
        <f t="shared" si="373"/>
        <v>6</v>
      </c>
      <c r="I1034">
        <f t="shared" si="374"/>
        <v>2.17</v>
      </c>
      <c r="J1034">
        <f t="shared" si="375"/>
        <v>1</v>
      </c>
      <c r="K1034">
        <f t="shared" si="376"/>
        <v>0.67</v>
      </c>
      <c r="L1034">
        <f t="shared" si="377"/>
        <v>0.67</v>
      </c>
      <c r="M1034">
        <f t="shared" si="378"/>
        <v>0</v>
      </c>
      <c r="N1034">
        <f t="shared" si="379"/>
        <v>1.57</v>
      </c>
      <c r="O1034" t="str">
        <f t="shared" si="383"/>
        <v>标准</v>
      </c>
      <c r="P1034" t="str">
        <f t="shared" si="380"/>
        <v>紧凑</v>
      </c>
      <c r="Q1034" t="str">
        <f t="shared" si="381"/>
        <v>✓有效</v>
      </c>
      <c r="R1034" t="str">
        <f t="shared" si="382"/>
        <v>正常</v>
      </c>
    </row>
    <row r="1035" ht="14.25" customHeight="1" spans="1:18">
      <c r="A1035" s="10" t="s">
        <v>690</v>
      </c>
      <c r="B1035" s="12" t="s">
        <v>476</v>
      </c>
      <c r="C1035">
        <f t="shared" si="368"/>
        <v>9</v>
      </c>
      <c r="D1035">
        <f t="shared" si="369"/>
        <v>3</v>
      </c>
      <c r="E1035">
        <f t="shared" si="370"/>
        <v>3</v>
      </c>
      <c r="F1035">
        <f t="shared" si="371"/>
        <v>15</v>
      </c>
      <c r="G1035">
        <f t="shared" si="372"/>
        <v>5</v>
      </c>
      <c r="H1035">
        <f t="shared" si="373"/>
        <v>6</v>
      </c>
      <c r="I1035">
        <f t="shared" si="374"/>
        <v>2.5</v>
      </c>
      <c r="J1035">
        <f t="shared" si="375"/>
        <v>1</v>
      </c>
      <c r="K1035">
        <f t="shared" si="376"/>
        <v>0.33</v>
      </c>
      <c r="L1035">
        <f t="shared" si="377"/>
        <v>0.67</v>
      </c>
      <c r="M1035">
        <f t="shared" si="378"/>
        <v>0</v>
      </c>
      <c r="N1035">
        <f t="shared" si="379"/>
        <v>1.63</v>
      </c>
      <c r="O1035" t="str">
        <f t="shared" si="383"/>
        <v>标准</v>
      </c>
      <c r="P1035" t="str">
        <f t="shared" si="380"/>
        <v>紧凑</v>
      </c>
      <c r="Q1035" t="str">
        <f t="shared" si="381"/>
        <v>✓有效</v>
      </c>
      <c r="R1035" t="str">
        <f t="shared" si="382"/>
        <v>正常</v>
      </c>
    </row>
    <row r="1036" ht="14.25" customHeight="1" spans="1:18">
      <c r="A1036" s="10" t="s">
        <v>691</v>
      </c>
      <c r="B1036" s="12" t="s">
        <v>692</v>
      </c>
      <c r="C1036">
        <f t="shared" si="368"/>
        <v>4</v>
      </c>
      <c r="D1036">
        <f t="shared" si="369"/>
        <v>7</v>
      </c>
      <c r="E1036">
        <f t="shared" si="370"/>
        <v>1</v>
      </c>
      <c r="F1036">
        <f t="shared" si="371"/>
        <v>12</v>
      </c>
      <c r="G1036">
        <f t="shared" si="372"/>
        <v>2</v>
      </c>
      <c r="H1036">
        <f t="shared" si="373"/>
        <v>6</v>
      </c>
      <c r="I1036">
        <f t="shared" si="374"/>
        <v>2</v>
      </c>
      <c r="J1036">
        <f t="shared" si="375"/>
        <v>0.67</v>
      </c>
      <c r="K1036">
        <f t="shared" si="376"/>
        <v>0.33</v>
      </c>
      <c r="L1036">
        <f t="shared" si="377"/>
        <v>0.33</v>
      </c>
      <c r="M1036">
        <f t="shared" si="378"/>
        <v>0</v>
      </c>
      <c r="N1036">
        <f t="shared" si="379"/>
        <v>1.33</v>
      </c>
      <c r="O1036" t="str">
        <f t="shared" si="383"/>
        <v>标准</v>
      </c>
      <c r="P1036" t="str">
        <f t="shared" si="380"/>
        <v>极紧凑</v>
      </c>
      <c r="Q1036" t="str">
        <f t="shared" si="381"/>
        <v>✓有效</v>
      </c>
      <c r="R1036" t="str">
        <f t="shared" si="382"/>
        <v>正常</v>
      </c>
    </row>
    <row r="1037" ht="14.25" customHeight="1" spans="1:18">
      <c r="A1037" s="10" t="s">
        <v>693</v>
      </c>
      <c r="B1037" s="12" t="s">
        <v>133</v>
      </c>
      <c r="C1037">
        <f t="shared" si="368"/>
        <v>3</v>
      </c>
      <c r="D1037">
        <f t="shared" si="369"/>
        <v>1</v>
      </c>
      <c r="E1037">
        <f t="shared" si="370"/>
        <v>0</v>
      </c>
      <c r="F1037">
        <f t="shared" si="371"/>
        <v>4</v>
      </c>
      <c r="G1037">
        <f t="shared" si="372"/>
        <v>4</v>
      </c>
      <c r="H1037">
        <f t="shared" si="373"/>
        <v>3</v>
      </c>
      <c r="I1037">
        <f t="shared" si="374"/>
        <v>1.33</v>
      </c>
      <c r="J1037">
        <f t="shared" si="375"/>
        <v>0.67</v>
      </c>
      <c r="K1037">
        <f t="shared" si="376"/>
        <v>0</v>
      </c>
      <c r="L1037">
        <f t="shared" si="377"/>
        <v>0.33</v>
      </c>
      <c r="M1037">
        <f t="shared" si="378"/>
        <v>1</v>
      </c>
      <c r="N1037">
        <f t="shared" si="379"/>
        <v>0.9</v>
      </c>
      <c r="O1037" t="str">
        <f t="shared" si="383"/>
        <v>松散</v>
      </c>
      <c r="P1037" t="str">
        <f t="shared" si="380"/>
        <v>极紧凑</v>
      </c>
      <c r="Q1037" t="str">
        <f t="shared" si="381"/>
        <v>✓有效</v>
      </c>
      <c r="R1037" t="str">
        <f t="shared" si="382"/>
        <v>正常</v>
      </c>
    </row>
    <row r="1038" ht="14.25" customHeight="1" spans="1:18">
      <c r="A1038" s="10" t="s">
        <v>694</v>
      </c>
      <c r="B1038" s="12" t="s">
        <v>695</v>
      </c>
      <c r="C1038">
        <f t="shared" si="368"/>
        <v>6</v>
      </c>
      <c r="D1038">
        <f t="shared" si="369"/>
        <v>9</v>
      </c>
      <c r="E1038">
        <f t="shared" si="370"/>
        <v>7</v>
      </c>
      <c r="F1038">
        <f t="shared" si="371"/>
        <v>22</v>
      </c>
      <c r="G1038">
        <f t="shared" si="372"/>
        <v>2</v>
      </c>
      <c r="H1038">
        <f t="shared" si="373"/>
        <v>3</v>
      </c>
      <c r="I1038">
        <f t="shared" si="374"/>
        <v>7.33</v>
      </c>
      <c r="J1038">
        <f t="shared" si="375"/>
        <v>0.67</v>
      </c>
      <c r="K1038">
        <f t="shared" si="376"/>
        <v>1</v>
      </c>
      <c r="L1038">
        <f t="shared" si="377"/>
        <v>0.33</v>
      </c>
      <c r="M1038">
        <f t="shared" si="378"/>
        <v>1</v>
      </c>
      <c r="N1038">
        <f t="shared" si="379"/>
        <v>3.5</v>
      </c>
      <c r="O1038" t="str">
        <f t="shared" si="383"/>
        <v>紧凑</v>
      </c>
      <c r="P1038" t="str">
        <f t="shared" si="380"/>
        <v>标准</v>
      </c>
      <c r="Q1038" t="str">
        <f t="shared" si="381"/>
        <v>✓有效</v>
      </c>
      <c r="R1038" t="str">
        <f t="shared" si="382"/>
        <v>正常</v>
      </c>
    </row>
    <row r="1039" ht="14.25" customHeight="1" spans="1:18">
      <c r="A1039" s="10" t="s">
        <v>696</v>
      </c>
      <c r="B1039" s="12" t="s">
        <v>464</v>
      </c>
      <c r="C1039">
        <f t="shared" si="368"/>
        <v>1</v>
      </c>
      <c r="D1039">
        <f t="shared" si="369"/>
        <v>6</v>
      </c>
      <c r="E1039">
        <f t="shared" si="370"/>
        <v>4</v>
      </c>
      <c r="F1039">
        <f t="shared" si="371"/>
        <v>11</v>
      </c>
      <c r="G1039">
        <f t="shared" si="372"/>
        <v>1</v>
      </c>
      <c r="H1039">
        <f t="shared" si="373"/>
        <v>5</v>
      </c>
      <c r="I1039">
        <f t="shared" si="374"/>
        <v>2.2</v>
      </c>
      <c r="J1039">
        <f t="shared" si="375"/>
        <v>0.33</v>
      </c>
      <c r="K1039">
        <f t="shared" si="376"/>
        <v>0.33</v>
      </c>
      <c r="L1039">
        <f t="shared" si="377"/>
        <v>0</v>
      </c>
      <c r="M1039">
        <f t="shared" si="378"/>
        <v>0</v>
      </c>
      <c r="N1039">
        <f t="shared" si="379"/>
        <v>1.31</v>
      </c>
      <c r="O1039" t="str">
        <f t="shared" si="383"/>
        <v>标准</v>
      </c>
      <c r="P1039" t="str">
        <f t="shared" si="380"/>
        <v>极紧凑</v>
      </c>
      <c r="Q1039" t="str">
        <f t="shared" si="381"/>
        <v>✓有效</v>
      </c>
      <c r="R1039" t="str">
        <f t="shared" si="382"/>
        <v>正常</v>
      </c>
    </row>
    <row r="1040" ht="14.25" customHeight="1" spans="1:18">
      <c r="A1040" s="10" t="s">
        <v>697</v>
      </c>
      <c r="B1040" s="12" t="s">
        <v>698</v>
      </c>
      <c r="C1040">
        <f t="shared" si="368"/>
        <v>4</v>
      </c>
      <c r="D1040">
        <f t="shared" si="369"/>
        <v>4</v>
      </c>
      <c r="E1040">
        <f t="shared" si="370"/>
        <v>8</v>
      </c>
      <c r="F1040">
        <f t="shared" si="371"/>
        <v>16</v>
      </c>
      <c r="G1040">
        <f t="shared" si="372"/>
        <v>6</v>
      </c>
      <c r="H1040">
        <f t="shared" si="373"/>
        <v>4</v>
      </c>
      <c r="I1040">
        <f t="shared" si="374"/>
        <v>4</v>
      </c>
      <c r="J1040">
        <f t="shared" si="375"/>
        <v>0</v>
      </c>
      <c r="K1040">
        <f t="shared" si="376"/>
        <v>0.33</v>
      </c>
      <c r="L1040">
        <f t="shared" si="377"/>
        <v>0</v>
      </c>
      <c r="M1040">
        <f t="shared" si="378"/>
        <v>0</v>
      </c>
      <c r="N1040">
        <f t="shared" si="379"/>
        <v>1.97</v>
      </c>
      <c r="O1040" t="str">
        <f t="shared" si="383"/>
        <v>紧凑</v>
      </c>
      <c r="P1040" t="str">
        <f t="shared" si="380"/>
        <v>紧凑</v>
      </c>
      <c r="Q1040" t="str">
        <f t="shared" si="381"/>
        <v>✓有效</v>
      </c>
      <c r="R1040" t="str">
        <f t="shared" si="382"/>
        <v>正常</v>
      </c>
    </row>
    <row r="1041" ht="14.25" customHeight="1" spans="1:18">
      <c r="A1041" s="10" t="s">
        <v>699</v>
      </c>
      <c r="B1041" s="12" t="s">
        <v>233</v>
      </c>
      <c r="C1041">
        <f t="shared" si="368"/>
        <v>1</v>
      </c>
      <c r="D1041">
        <f t="shared" si="369"/>
        <v>9</v>
      </c>
      <c r="E1041">
        <f t="shared" si="370"/>
        <v>0</v>
      </c>
      <c r="F1041">
        <f t="shared" si="371"/>
        <v>10</v>
      </c>
      <c r="G1041">
        <f t="shared" si="372"/>
        <v>0</v>
      </c>
      <c r="H1041">
        <f t="shared" si="373"/>
        <v>9</v>
      </c>
      <c r="I1041">
        <f t="shared" si="374"/>
        <v>1.11</v>
      </c>
      <c r="J1041">
        <f t="shared" si="375"/>
        <v>0.67</v>
      </c>
      <c r="K1041">
        <f t="shared" si="376"/>
        <v>0.33</v>
      </c>
      <c r="L1041">
        <f t="shared" si="377"/>
        <v>0</v>
      </c>
      <c r="M1041">
        <f t="shared" si="378"/>
        <v>1</v>
      </c>
      <c r="N1041">
        <f t="shared" si="379"/>
        <v>0.84</v>
      </c>
      <c r="O1041" t="str">
        <f t="shared" si="383"/>
        <v>松散</v>
      </c>
      <c r="P1041" t="str">
        <f t="shared" si="380"/>
        <v>极紧凑</v>
      </c>
      <c r="Q1041" t="str">
        <f t="shared" si="381"/>
        <v>✓有效</v>
      </c>
      <c r="R1041" t="str">
        <f t="shared" si="382"/>
        <v>正常</v>
      </c>
    </row>
    <row r="1042" ht="14.25" customHeight="1" spans="1:18">
      <c r="A1042" s="10" t="s">
        <v>700</v>
      </c>
      <c r="B1042" s="12" t="s">
        <v>338</v>
      </c>
      <c r="C1042">
        <f t="shared" si="368"/>
        <v>1</v>
      </c>
      <c r="D1042">
        <f t="shared" si="369"/>
        <v>6</v>
      </c>
      <c r="E1042">
        <f t="shared" si="370"/>
        <v>9</v>
      </c>
      <c r="F1042">
        <f t="shared" si="371"/>
        <v>16</v>
      </c>
      <c r="G1042">
        <f t="shared" si="372"/>
        <v>6</v>
      </c>
      <c r="H1042">
        <f t="shared" si="373"/>
        <v>8</v>
      </c>
      <c r="I1042">
        <f t="shared" si="374"/>
        <v>2</v>
      </c>
      <c r="J1042">
        <f t="shared" si="375"/>
        <v>0.67</v>
      </c>
      <c r="K1042">
        <f t="shared" si="376"/>
        <v>0.67</v>
      </c>
      <c r="L1042">
        <f t="shared" si="377"/>
        <v>0</v>
      </c>
      <c r="M1042">
        <f t="shared" si="378"/>
        <v>0</v>
      </c>
      <c r="N1042">
        <f t="shared" si="379"/>
        <v>1.37</v>
      </c>
      <c r="O1042" t="str">
        <f t="shared" si="383"/>
        <v>标准</v>
      </c>
      <c r="P1042" t="str">
        <f t="shared" si="380"/>
        <v>极紧凑</v>
      </c>
      <c r="Q1042" t="str">
        <f t="shared" si="381"/>
        <v>✓有效</v>
      </c>
      <c r="R1042" t="str">
        <f t="shared" si="382"/>
        <v>正常</v>
      </c>
    </row>
    <row r="1043" ht="14.25" customHeight="1" spans="1:18">
      <c r="A1043" s="10" t="s">
        <v>701</v>
      </c>
      <c r="B1043" s="12" t="s">
        <v>445</v>
      </c>
      <c r="C1043">
        <f t="shared" si="368"/>
        <v>6</v>
      </c>
      <c r="D1043">
        <f t="shared" si="369"/>
        <v>4</v>
      </c>
      <c r="E1043">
        <f t="shared" si="370"/>
        <v>0</v>
      </c>
      <c r="F1043">
        <f t="shared" si="371"/>
        <v>10</v>
      </c>
      <c r="G1043">
        <f t="shared" si="372"/>
        <v>0</v>
      </c>
      <c r="H1043">
        <f t="shared" si="373"/>
        <v>6</v>
      </c>
      <c r="I1043">
        <f t="shared" si="374"/>
        <v>1.67</v>
      </c>
      <c r="J1043">
        <f t="shared" si="375"/>
        <v>0</v>
      </c>
      <c r="K1043">
        <f t="shared" si="376"/>
        <v>0.33</v>
      </c>
      <c r="L1043">
        <f t="shared" si="377"/>
        <v>0</v>
      </c>
      <c r="M1043">
        <f t="shared" si="378"/>
        <v>0</v>
      </c>
      <c r="N1043">
        <f t="shared" si="379"/>
        <v>1.03</v>
      </c>
      <c r="O1043" t="str">
        <f t="shared" si="383"/>
        <v>松散</v>
      </c>
      <c r="P1043" t="str">
        <f t="shared" si="380"/>
        <v>极紧凑</v>
      </c>
      <c r="Q1043" t="str">
        <f t="shared" si="381"/>
        <v>✓有效</v>
      </c>
      <c r="R1043" t="str">
        <f t="shared" si="382"/>
        <v>正常</v>
      </c>
    </row>
    <row r="1044" ht="14.25" customHeight="1" spans="1:18">
      <c r="A1044" s="10" t="s">
        <v>702</v>
      </c>
      <c r="B1044" s="12" t="s">
        <v>215</v>
      </c>
      <c r="C1044">
        <f t="shared" si="368"/>
        <v>6</v>
      </c>
      <c r="D1044">
        <f t="shared" si="369"/>
        <v>8</v>
      </c>
      <c r="E1044">
        <f t="shared" si="370"/>
        <v>9</v>
      </c>
      <c r="F1044">
        <f t="shared" si="371"/>
        <v>23</v>
      </c>
      <c r="G1044">
        <f t="shared" si="372"/>
        <v>3</v>
      </c>
      <c r="H1044">
        <f t="shared" si="373"/>
        <v>3</v>
      </c>
      <c r="I1044">
        <f t="shared" si="374"/>
        <v>7.67</v>
      </c>
      <c r="J1044">
        <f t="shared" si="375"/>
        <v>0.33</v>
      </c>
      <c r="K1044">
        <f t="shared" si="376"/>
        <v>1</v>
      </c>
      <c r="L1044">
        <f t="shared" si="377"/>
        <v>0</v>
      </c>
      <c r="M1044">
        <f t="shared" si="378"/>
        <v>1</v>
      </c>
      <c r="N1044">
        <f t="shared" si="379"/>
        <v>3.53</v>
      </c>
      <c r="O1044" t="str">
        <f t="shared" si="383"/>
        <v>紧凑</v>
      </c>
      <c r="P1044" t="str">
        <f t="shared" si="380"/>
        <v>标准</v>
      </c>
      <c r="Q1044" t="str">
        <f t="shared" si="381"/>
        <v>✓有效</v>
      </c>
      <c r="R1044" t="str">
        <f t="shared" si="382"/>
        <v>正常</v>
      </c>
    </row>
    <row r="1045" ht="14.25" customHeight="1" spans="1:18">
      <c r="A1045" s="10" t="s">
        <v>703</v>
      </c>
      <c r="B1045" s="12" t="s">
        <v>704</v>
      </c>
      <c r="C1045">
        <f t="shared" si="368"/>
        <v>6</v>
      </c>
      <c r="D1045">
        <f t="shared" si="369"/>
        <v>4</v>
      </c>
      <c r="E1045">
        <f t="shared" si="370"/>
        <v>4</v>
      </c>
      <c r="F1045">
        <f t="shared" si="371"/>
        <v>14</v>
      </c>
      <c r="G1045">
        <f t="shared" si="372"/>
        <v>4</v>
      </c>
      <c r="H1045">
        <f t="shared" si="373"/>
        <v>2</v>
      </c>
      <c r="I1045">
        <f t="shared" si="374"/>
        <v>7</v>
      </c>
      <c r="J1045">
        <f t="shared" si="375"/>
        <v>0</v>
      </c>
      <c r="K1045">
        <f t="shared" si="376"/>
        <v>0.33</v>
      </c>
      <c r="L1045">
        <f t="shared" si="377"/>
        <v>0</v>
      </c>
      <c r="M1045">
        <f t="shared" si="378"/>
        <v>0</v>
      </c>
      <c r="N1045">
        <f t="shared" si="379"/>
        <v>3.17</v>
      </c>
      <c r="O1045" t="str">
        <f t="shared" si="383"/>
        <v>紧凑</v>
      </c>
      <c r="P1045" t="str">
        <f t="shared" si="380"/>
        <v>标准</v>
      </c>
      <c r="Q1045" t="str">
        <f t="shared" si="381"/>
        <v>✓有效</v>
      </c>
      <c r="R1045" t="str">
        <f t="shared" si="382"/>
        <v>正常</v>
      </c>
    </row>
    <row r="1046" ht="14.25" customHeight="1" spans="1:18">
      <c r="A1046" s="10" t="s">
        <v>705</v>
      </c>
      <c r="B1046" s="12" t="s">
        <v>706</v>
      </c>
      <c r="C1046">
        <f t="shared" si="368"/>
        <v>9</v>
      </c>
      <c r="D1046">
        <f t="shared" si="369"/>
        <v>1</v>
      </c>
      <c r="E1046">
        <f t="shared" si="370"/>
        <v>7</v>
      </c>
      <c r="F1046">
        <f t="shared" si="371"/>
        <v>17</v>
      </c>
      <c r="G1046">
        <f t="shared" si="372"/>
        <v>7</v>
      </c>
      <c r="H1046">
        <f t="shared" si="373"/>
        <v>8</v>
      </c>
      <c r="I1046">
        <f t="shared" si="374"/>
        <v>2.13</v>
      </c>
      <c r="J1046">
        <f t="shared" si="375"/>
        <v>1</v>
      </c>
      <c r="K1046">
        <f t="shared" si="376"/>
        <v>0.67</v>
      </c>
      <c r="L1046">
        <f t="shared" si="377"/>
        <v>0.33</v>
      </c>
      <c r="M1046">
        <f t="shared" si="378"/>
        <v>0</v>
      </c>
      <c r="N1046">
        <f t="shared" si="379"/>
        <v>1.52</v>
      </c>
      <c r="O1046" t="str">
        <f t="shared" si="383"/>
        <v>标准</v>
      </c>
      <c r="P1046" t="str">
        <f t="shared" si="380"/>
        <v>紧凑</v>
      </c>
      <c r="Q1046" t="str">
        <f t="shared" si="381"/>
        <v>✓有效</v>
      </c>
      <c r="R1046" t="str">
        <f t="shared" si="382"/>
        <v>正常</v>
      </c>
    </row>
    <row r="1047" ht="14.25" customHeight="1" spans="1:18">
      <c r="A1047" s="10" t="s">
        <v>707</v>
      </c>
      <c r="B1047" s="12" t="s">
        <v>356</v>
      </c>
      <c r="C1047">
        <f t="shared" si="368"/>
        <v>7</v>
      </c>
      <c r="D1047">
        <f t="shared" si="369"/>
        <v>2</v>
      </c>
      <c r="E1047">
        <f t="shared" si="370"/>
        <v>9</v>
      </c>
      <c r="F1047">
        <f t="shared" si="371"/>
        <v>18</v>
      </c>
      <c r="G1047">
        <f t="shared" si="372"/>
        <v>8</v>
      </c>
      <c r="H1047">
        <f t="shared" si="373"/>
        <v>7</v>
      </c>
      <c r="I1047">
        <f t="shared" si="374"/>
        <v>2.57</v>
      </c>
      <c r="J1047">
        <f t="shared" si="375"/>
        <v>0.67</v>
      </c>
      <c r="K1047">
        <f t="shared" si="376"/>
        <v>0.67</v>
      </c>
      <c r="L1047">
        <f t="shared" si="377"/>
        <v>0.67</v>
      </c>
      <c r="M1047">
        <f t="shared" si="378"/>
        <v>0</v>
      </c>
      <c r="N1047">
        <f t="shared" si="379"/>
        <v>1.66</v>
      </c>
      <c r="O1047" t="str">
        <f t="shared" si="383"/>
        <v>标准</v>
      </c>
      <c r="P1047" t="str">
        <f t="shared" si="380"/>
        <v>紧凑</v>
      </c>
      <c r="Q1047" t="str">
        <f t="shared" si="381"/>
        <v>✓有效</v>
      </c>
      <c r="R1047" t="str">
        <f t="shared" si="382"/>
        <v>正常</v>
      </c>
    </row>
    <row r="1048" ht="14.25" customHeight="1" spans="1:18">
      <c r="A1048" s="10" t="s">
        <v>708</v>
      </c>
      <c r="B1048" s="12" t="s">
        <v>583</v>
      </c>
      <c r="C1048">
        <f t="shared" si="368"/>
        <v>7</v>
      </c>
      <c r="D1048">
        <f t="shared" si="369"/>
        <v>7</v>
      </c>
      <c r="E1048">
        <f t="shared" si="370"/>
        <v>5</v>
      </c>
      <c r="F1048">
        <f t="shared" si="371"/>
        <v>19</v>
      </c>
      <c r="G1048">
        <f t="shared" si="372"/>
        <v>9</v>
      </c>
      <c r="H1048">
        <f t="shared" si="373"/>
        <v>2</v>
      </c>
      <c r="I1048">
        <f t="shared" si="374"/>
        <v>9.5</v>
      </c>
      <c r="J1048">
        <f t="shared" si="375"/>
        <v>1</v>
      </c>
      <c r="K1048">
        <f t="shared" si="376"/>
        <v>1</v>
      </c>
      <c r="L1048">
        <f t="shared" si="377"/>
        <v>1</v>
      </c>
      <c r="M1048">
        <f t="shared" si="378"/>
        <v>0</v>
      </c>
      <c r="N1048">
        <f t="shared" si="379"/>
        <v>4.6</v>
      </c>
      <c r="O1048" t="str">
        <f t="shared" si="383"/>
        <v>紧凑</v>
      </c>
      <c r="P1048" t="str">
        <f t="shared" si="380"/>
        <v>标准</v>
      </c>
      <c r="Q1048" t="str">
        <f t="shared" si="381"/>
        <v>✓有效</v>
      </c>
      <c r="R1048" t="str">
        <f t="shared" si="382"/>
        <v>正常</v>
      </c>
    </row>
    <row r="1049" ht="14.25" customHeight="1" spans="1:18">
      <c r="A1049" s="10" t="s">
        <v>709</v>
      </c>
      <c r="B1049" s="12" t="s">
        <v>710</v>
      </c>
      <c r="C1049">
        <f t="shared" si="368"/>
        <v>3</v>
      </c>
      <c r="D1049">
        <f t="shared" si="369"/>
        <v>0</v>
      </c>
      <c r="E1049">
        <f t="shared" si="370"/>
        <v>1</v>
      </c>
      <c r="F1049">
        <f t="shared" si="371"/>
        <v>4</v>
      </c>
      <c r="G1049">
        <f t="shared" si="372"/>
        <v>4</v>
      </c>
      <c r="H1049">
        <f t="shared" si="373"/>
        <v>3</v>
      </c>
      <c r="I1049">
        <f t="shared" si="374"/>
        <v>1.33</v>
      </c>
      <c r="J1049">
        <f t="shared" si="375"/>
        <v>0.67</v>
      </c>
      <c r="K1049">
        <f t="shared" si="376"/>
        <v>0</v>
      </c>
      <c r="L1049">
        <f t="shared" si="377"/>
        <v>0.33</v>
      </c>
      <c r="M1049">
        <f t="shared" si="378"/>
        <v>1</v>
      </c>
      <c r="N1049">
        <f t="shared" si="379"/>
        <v>0.9</v>
      </c>
      <c r="O1049" t="str">
        <f t="shared" si="383"/>
        <v>松散</v>
      </c>
      <c r="P1049" t="str">
        <f t="shared" si="380"/>
        <v>极紧凑</v>
      </c>
      <c r="Q1049" t="str">
        <f t="shared" si="381"/>
        <v>✓有效</v>
      </c>
      <c r="R1049" t="str">
        <f t="shared" si="382"/>
        <v>正常</v>
      </c>
    </row>
    <row r="1050" ht="14.25" customHeight="1" spans="1:18">
      <c r="A1050" s="10" t="s">
        <v>711</v>
      </c>
      <c r="B1050" s="12" t="s">
        <v>367</v>
      </c>
      <c r="C1050">
        <f t="shared" si="368"/>
        <v>4</v>
      </c>
      <c r="D1050">
        <f t="shared" si="369"/>
        <v>3</v>
      </c>
      <c r="E1050">
        <f t="shared" si="370"/>
        <v>0</v>
      </c>
      <c r="F1050">
        <f t="shared" si="371"/>
        <v>7</v>
      </c>
      <c r="G1050">
        <f t="shared" si="372"/>
        <v>7</v>
      </c>
      <c r="H1050">
        <f t="shared" si="373"/>
        <v>4</v>
      </c>
      <c r="I1050">
        <f t="shared" si="374"/>
        <v>1.75</v>
      </c>
      <c r="J1050">
        <f t="shared" si="375"/>
        <v>0.33</v>
      </c>
      <c r="K1050">
        <f t="shared" si="376"/>
        <v>0</v>
      </c>
      <c r="L1050">
        <f t="shared" si="377"/>
        <v>0.33</v>
      </c>
      <c r="M1050">
        <f t="shared" si="378"/>
        <v>1</v>
      </c>
      <c r="N1050">
        <f t="shared" si="379"/>
        <v>1</v>
      </c>
      <c r="O1050" t="str">
        <f t="shared" si="383"/>
        <v>松散</v>
      </c>
      <c r="P1050" t="str">
        <f t="shared" si="380"/>
        <v>极紧凑</v>
      </c>
      <c r="Q1050" t="str">
        <f t="shared" si="381"/>
        <v>✓有效</v>
      </c>
      <c r="R1050" t="str">
        <f t="shared" si="382"/>
        <v>正常</v>
      </c>
    </row>
    <row r="1051" ht="14.25" customHeight="1" spans="1:18">
      <c r="A1051" s="10" t="s">
        <v>712</v>
      </c>
      <c r="B1051" s="12" t="s">
        <v>713</v>
      </c>
      <c r="C1051">
        <f t="shared" si="368"/>
        <v>2</v>
      </c>
      <c r="D1051">
        <f t="shared" si="369"/>
        <v>9</v>
      </c>
      <c r="E1051">
        <f t="shared" si="370"/>
        <v>4</v>
      </c>
      <c r="F1051">
        <f t="shared" si="371"/>
        <v>15</v>
      </c>
      <c r="G1051">
        <f t="shared" si="372"/>
        <v>5</v>
      </c>
      <c r="H1051">
        <f t="shared" si="373"/>
        <v>7</v>
      </c>
      <c r="I1051">
        <f t="shared" si="374"/>
        <v>2.14</v>
      </c>
      <c r="J1051">
        <f t="shared" si="375"/>
        <v>0.33</v>
      </c>
      <c r="K1051">
        <f t="shared" si="376"/>
        <v>0.33</v>
      </c>
      <c r="L1051">
        <f t="shared" si="377"/>
        <v>0.33</v>
      </c>
      <c r="M1051">
        <f t="shared" si="378"/>
        <v>0</v>
      </c>
      <c r="N1051">
        <f t="shared" si="379"/>
        <v>1.32</v>
      </c>
      <c r="O1051" t="str">
        <f t="shared" si="383"/>
        <v>标准</v>
      </c>
      <c r="P1051" t="str">
        <f t="shared" si="380"/>
        <v>极紧凑</v>
      </c>
      <c r="Q1051" t="str">
        <f t="shared" si="381"/>
        <v>✓有效</v>
      </c>
      <c r="R1051" t="str">
        <f t="shared" si="382"/>
        <v>正常</v>
      </c>
    </row>
    <row r="1052" ht="14.25" customHeight="1" spans="1:18">
      <c r="A1052" s="10" t="s">
        <v>714</v>
      </c>
      <c r="B1052" s="12" t="s">
        <v>100</v>
      </c>
      <c r="C1052">
        <f t="shared" si="368"/>
        <v>1</v>
      </c>
      <c r="D1052">
        <f t="shared" si="369"/>
        <v>2</v>
      </c>
      <c r="E1052">
        <f t="shared" si="370"/>
        <v>1</v>
      </c>
      <c r="F1052">
        <f t="shared" si="371"/>
        <v>4</v>
      </c>
      <c r="G1052">
        <f t="shared" si="372"/>
        <v>4</v>
      </c>
      <c r="H1052">
        <f t="shared" si="373"/>
        <v>1</v>
      </c>
      <c r="I1052">
        <f t="shared" si="374"/>
        <v>4</v>
      </c>
      <c r="J1052">
        <f t="shared" si="375"/>
        <v>0.67</v>
      </c>
      <c r="K1052">
        <f t="shared" si="376"/>
        <v>0</v>
      </c>
      <c r="L1052">
        <f t="shared" si="377"/>
        <v>0.33</v>
      </c>
      <c r="M1052">
        <f t="shared" si="378"/>
        <v>2</v>
      </c>
      <c r="N1052">
        <f t="shared" si="379"/>
        <v>1.87</v>
      </c>
      <c r="O1052" t="str">
        <f t="shared" si="383"/>
        <v>紧凑</v>
      </c>
      <c r="P1052" t="str">
        <f t="shared" si="380"/>
        <v>紧凑</v>
      </c>
      <c r="Q1052" t="str">
        <f t="shared" si="381"/>
        <v>✓有效</v>
      </c>
      <c r="R1052" t="str">
        <f t="shared" si="382"/>
        <v>正常</v>
      </c>
    </row>
    <row r="1053" ht="14.25" customHeight="1" spans="1:18">
      <c r="A1053" s="10" t="s">
        <v>715</v>
      </c>
      <c r="B1053" s="12" t="s">
        <v>346</v>
      </c>
      <c r="C1053">
        <f t="shared" si="368"/>
        <v>8</v>
      </c>
      <c r="D1053">
        <f t="shared" si="369"/>
        <v>4</v>
      </c>
      <c r="E1053">
        <f t="shared" si="370"/>
        <v>7</v>
      </c>
      <c r="F1053">
        <f t="shared" si="371"/>
        <v>19</v>
      </c>
      <c r="G1053">
        <f t="shared" si="372"/>
        <v>9</v>
      </c>
      <c r="H1053">
        <f t="shared" si="373"/>
        <v>4</v>
      </c>
      <c r="I1053">
        <f t="shared" si="374"/>
        <v>4.75</v>
      </c>
      <c r="J1053">
        <f t="shared" si="375"/>
        <v>0.33</v>
      </c>
      <c r="K1053">
        <f t="shared" si="376"/>
        <v>0.67</v>
      </c>
      <c r="L1053">
        <f t="shared" si="377"/>
        <v>0.33</v>
      </c>
      <c r="M1053">
        <f t="shared" si="378"/>
        <v>1</v>
      </c>
      <c r="N1053">
        <f t="shared" si="379"/>
        <v>2.33</v>
      </c>
      <c r="O1053" t="str">
        <f t="shared" si="383"/>
        <v>紧凑</v>
      </c>
      <c r="P1053" t="str">
        <f t="shared" si="380"/>
        <v>紧凑</v>
      </c>
      <c r="Q1053" t="str">
        <f t="shared" si="381"/>
        <v>✓有效</v>
      </c>
      <c r="R1053" t="str">
        <f t="shared" si="382"/>
        <v>正常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sheetData>
    <row r="1" ht="18.75" customHeight="1" spans="1:2">
      <c r="A1" s="2" t="s">
        <v>716</v>
      </c>
    </row>
    <row r="3" spans="1:2">
      <c r="A3" t="s">
        <v>717</v>
      </c>
    </row>
    <row r="4" spans="1:2">
      <c r="A4" t="s">
        <v>718</v>
      </c>
      <c r="B4">
        <f>AVERAGE(福彩数据录入_优化版!I:I)</f>
        <v>3.57083650190114</v>
      </c>
    </row>
    <row r="5" spans="1:2">
      <c r="A5" t="s">
        <v>719</v>
      </c>
      <c r="B5">
        <f>STDEV(福彩数据录入_优化版!I:I)</f>
        <v>3.6010647627047</v>
      </c>
    </row>
    <row r="8" spans="1:2">
      <c r="A8" t="s">
        <v>720</v>
      </c>
    </row>
    <row r="9" spans="1:2">
      <c r="A9" t="s">
        <v>718</v>
      </c>
      <c r="B9">
        <f>AVERAGE(福彩数据录入_优化版!J:J)</f>
        <v>0.491711026615969</v>
      </c>
    </row>
    <row r="10" spans="1:2">
      <c r="A10" t="s">
        <v>719</v>
      </c>
      <c r="B10">
        <f>STDEV(福彩数据录入_优化版!J:J)</f>
        <v>0.291955772871717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G19" sqref="G19"/>
    </sheetView>
  </sheetViews>
  <sheetFormatPr defaultColWidth="9" defaultRowHeight="13.5" outlineLevelCol="4"/>
  <cols>
    <col min="1" max="1" width="20" customWidth="1"/>
    <col min="2" max="2" width="25" customWidth="1"/>
    <col min="4" max="4" width="20" customWidth="1"/>
    <col min="5" max="5" width="25" customWidth="1"/>
  </cols>
  <sheetData>
    <row r="1" ht="18.75" customHeight="1" spans="1:5">
      <c r="A1" s="4" t="s">
        <v>721</v>
      </c>
      <c r="D1" s="5" t="s">
        <v>722</v>
      </c>
    </row>
    <row r="3" ht="14.25" spans="1:5">
      <c r="A3" s="6" t="s">
        <v>723</v>
      </c>
      <c r="D3" s="6" t="s">
        <v>724</v>
      </c>
    </row>
    <row r="4" spans="1:5">
      <c r="A4" s="7" t="s">
        <v>725</v>
      </c>
      <c r="B4" s="8" t="str">
        <f>INDEX(福彩数据录入_优化版!A:A,COUNTA(福彩数据录入_优化版!A:A))</f>
        <v>2025321</v>
      </c>
      <c r="D4" s="7" t="s">
        <v>726</v>
      </c>
      <c r="E4" s="8">
        <f ca="1">INDEX({0;1;2;3;4;5;6;7;8;9},MATCH(MIN(COUNTIF(OFFSET(福彩数据录入_优化版!C352,COUNTA(福彩数据录入_优化版!C:C)-31,0,30,1),{0;1;2;3;4;5;6;7;8;9})),COUNTIF(OFFSET(福彩数据录入_优化版!C352,COUNTA(福彩数据录入_优化版!C:C)-31,0,30,1),{0;1;2;3;4;5;6;7;8;9}),0))</f>
        <v>0</v>
      </c>
    </row>
    <row r="5" spans="1:5">
      <c r="A5" s="7" t="s">
        <v>727</v>
      </c>
      <c r="B5" s="8" t="str">
        <f>INDEX(福彩数据录入_优化版!B:B,COUNTA(福彩数据录入_优化版!B:B))</f>
        <v>847</v>
      </c>
      <c r="D5" s="7" t="s">
        <v>728</v>
      </c>
      <c r="E5" s="8">
        <f ca="1">INDEX({0;1;2;3;4;5;6;7;8;9},MATCH(MIN(COUNTIF(OFFSET(福彩数据录入_优化版!D352,COUNTA(福彩数据录入_优化版!D:D)-31,0,30,1),{0;1;2;3;4;5;6;7;8;9})),COUNTIF(OFFSET(福彩数据录入_优化版!D352,COUNTA(福彩数据录入_优化版!D:D)-31,0,30,1),{0;1;2;3;4;5;6;7;8;9}),0))</f>
        <v>0</v>
      </c>
    </row>
    <row r="6" spans="1:5">
      <c r="A6" s="7" t="s">
        <v>24</v>
      </c>
      <c r="B6" s="8">
        <f>INDEX(福彩数据录入_优化版!N:N,COUNTA(福彩数据录入_优化版!N:N))</f>
        <v>2.33</v>
      </c>
      <c r="D6" s="7" t="s">
        <v>729</v>
      </c>
      <c r="E6" s="8">
        <f ca="1">INDEX({0;1;2;3;4;5;6;7;8;9},MATCH(MIN(COUNTIF(OFFSET(福彩数据录入_优化版!E352,COUNTA(福彩数据录入_优化版!E:E)-31,0,30,1),{0;1;2;3;4;5;6;7;8;9})),COUNTIF(OFFSET(福彩数据录入_优化版!E352,COUNTA(福彩数据录入_优化版!E:E)-31,0,30,1),{0;1;2;3;4;5;6;7;8;9}),0))</f>
        <v>0</v>
      </c>
    </row>
    <row r="7" spans="1:5">
      <c r="A7" s="7" t="s">
        <v>26</v>
      </c>
      <c r="B7" s="8" t="str">
        <f>INDEX(福彩数据录入_优化版!P:P,COUNTA(福彩数据录入_优化版!P:P))</f>
        <v>紧凑</v>
      </c>
    </row>
    <row r="8" ht="14.25" spans="1:5">
      <c r="D8" s="6" t="s">
        <v>730</v>
      </c>
    </row>
    <row r="9" ht="14.25" spans="1:5">
      <c r="A9" s="6" t="s">
        <v>731</v>
      </c>
      <c r="D9" s="7" t="s">
        <v>732</v>
      </c>
      <c r="E9" s="8" t="str">
        <f ca="1">B20&amp;B21&amp;B22</f>
        <v>000</v>
      </c>
    </row>
    <row r="10" spans="1:5">
      <c r="A10" s="7" t="s">
        <v>733</v>
      </c>
      <c r="B10" s="8" t="e">
        <f ca="1">ROUND(AVERAGE(OFFSET(福彩数据录入_优化版!F352,COUNTA(福彩数据录入_优化版!F:F)-11,0,10,1)),1)</f>
        <v>#DIV/0!</v>
      </c>
      <c r="D10" s="7" t="s">
        <v>734</v>
      </c>
      <c r="E10" s="8" t="str">
        <f ca="1">E4&amp;E5&amp;E6</f>
        <v>000</v>
      </c>
    </row>
    <row r="11" spans="1:5">
      <c r="A11" s="7" t="s">
        <v>735</v>
      </c>
      <c r="B11" s="8" t="e">
        <f ca="1">ROUND(AVERAGE(OFFSET(福彩数据录入_优化版!H352,COUNTA(福彩数据录入_优化版!H:H)-11,0,10,1)),1)</f>
        <v>#DIV/0!</v>
      </c>
      <c r="D11" s="7" t="s">
        <v>736</v>
      </c>
      <c r="E11" s="8" t="str">
        <f ca="1">B20&amp;E5&amp;B22</f>
        <v>000</v>
      </c>
    </row>
    <row r="12" spans="1:5">
      <c r="A12" s="7" t="s">
        <v>737</v>
      </c>
      <c r="B12" s="8" t="e">
        <f ca="1">ROUND(AVERAGE(OFFSET(福彩数据录入_优化版!I352,COUNTA(福彩数据录入_优化版!I:I)-11,0,10,1)),2)</f>
        <v>#DIV/0!</v>
      </c>
    </row>
    <row r="13" ht="14.25" spans="1:5">
      <c r="D13" s="6" t="s">
        <v>738</v>
      </c>
    </row>
    <row r="14" ht="14.25" spans="1:5">
      <c r="A14" s="6" t="s">
        <v>739</v>
      </c>
      <c r="D14" s="7" t="s">
        <v>740</v>
      </c>
      <c r="E14" s="8" t="str">
        <f ca="1">ROUND(COUNTIFS(OFFSET(福彩数据录入_优化版!J352,COUNTA(福彩数据录入_优化版!J:J)-21,0,20,1),"&gt;=1.5")/20*100,1)&amp;"%"</f>
        <v>0%</v>
      </c>
    </row>
    <row r="15" spans="1:5">
      <c r="A15" s="7" t="s">
        <v>741</v>
      </c>
      <c r="B15" s="8" t="e">
        <f ca="1">ROUND(B10-2,0)&amp;"-"&amp;ROUND(B10+2,0)</f>
        <v>#DIV/0!</v>
      </c>
      <c r="D15" s="7" t="s">
        <v>742</v>
      </c>
      <c r="E15" s="8" t="str">
        <f ca="1">ROUND(COUNTIFS(OFFSET(福彩数据录入_优化版!K352,COUNTA(福彩数据录入_优化版!K:K)-21,0,20,1),"&gt;=1.5")/20*100,1)&amp;"%"</f>
        <v>0%</v>
      </c>
    </row>
    <row r="16" spans="1:5">
      <c r="A16" s="7" t="s">
        <v>743</v>
      </c>
      <c r="B16" s="8" t="e">
        <f ca="1">IF(B11&lt;=3,"小跨度(0-3)",IF(B11&lt;=6,"中跨度(4-6)","大跨度(7-9)"))</f>
        <v>#DIV/0!</v>
      </c>
      <c r="D16" s="7" t="s">
        <v>744</v>
      </c>
      <c r="E16" s="8" t="str">
        <f ca="1">ROUND(COUNTIFS(OFFSET(福彩数据录入_优化版!L352,COUNTA(福彩数据录入_优化版!L:L)-21,0,20,1),"&gt;=1.5")/20*100,1)&amp;"%"</f>
        <v>0%</v>
      </c>
    </row>
    <row r="17" spans="1:5">
      <c r="A17" s="7" t="s">
        <v>745</v>
      </c>
      <c r="B17" s="8" t="e">
        <f ca="1">IF(B12&lt;=1.5,"关注紧凑型",IF(B12&lt;=3,"关注标准型","关注松散型"))</f>
        <v>#DIV/0!</v>
      </c>
    </row>
    <row r="18" ht="14.25" spans="1:5">
      <c r="D18" s="6" t="s">
        <v>746</v>
      </c>
    </row>
    <row r="19" ht="14.25" spans="1:5">
      <c r="A19" s="6" t="s">
        <v>747</v>
      </c>
      <c r="D19" s="7" t="s">
        <v>748</v>
      </c>
      <c r="E19" s="8" t="e">
        <f ca="1">IF(B12&lt;1.5,"可能转向松散",IF(B12&gt;3,"可能转向紧凑","保持当前形态"))</f>
        <v>#DIV/0!</v>
      </c>
    </row>
    <row r="20" spans="1:5">
      <c r="A20" s="7" t="s">
        <v>749</v>
      </c>
      <c r="B20" s="8">
        <f ca="1">INDEX({0;1;2;3;4;5;6;7;8;9},MATCH(MAX(COUNTIF(OFFSET(福彩数据录入_优化版!C352,COUNTA(福彩数据录入_优化版!C:C)-21,0,20,1),{0;1;2;3;4;5;6;7;8;9})),COUNTIF(OFFSET(福彩数据录入_优化版!C352,COUNTA(福彩数据录入_优化版!C:C)-21,0,20,1),{0;1;2;3;4;5;6;7;8;9}),0))</f>
        <v>0</v>
      </c>
      <c r="D20" s="7" t="s">
        <v>750</v>
      </c>
      <c r="E20" s="8" t="e">
        <f ca="1">IF(B10&gt;15,"可能回调",IF(B10&lt;10,"可能上升","震荡整理"))</f>
        <v>#DIV/0!</v>
      </c>
    </row>
    <row r="21" spans="1:5">
      <c r="A21" s="7" t="s">
        <v>751</v>
      </c>
      <c r="B21" s="8">
        <f ca="1">INDEX({0;1;2;3;4;5;6;7;8;9},MATCH(MAX(COUNTIF(OFFSET(福彩数据录入_优化版!D352,COUNTA(福彩数据录入_优化版!D:D)-21,0,20,1),{0;1;2;3;4;5;6;7;8;9})),COUNTIF(OFFSET(福彩数据录入_优化版!D352,COUNTA(福彩数据录入_优化版!D:D)-21,0,20,1),{0;1;2;3;4;5;6;7;8;9}),0))</f>
        <v>0</v>
      </c>
    </row>
    <row r="22" ht="14.25" spans="1:5">
      <c r="A22" s="7" t="s">
        <v>752</v>
      </c>
      <c r="B22" s="8">
        <f ca="1">INDEX({0;1;2;3;4;5;6;7;8;9},MATCH(MAX(COUNTIF(OFFSET(福彩数据录入_优化版!E352,COUNTA(福彩数据录入_优化版!E:E)-21,0,20,1),{0;1;2;3;4;5;6;7;8;9})),COUNTIF(OFFSET(福彩数据录入_优化版!E352,COUNTA(福彩数据录入_优化版!E:E)-21,0,20,1),{0;1;2;3;4;5;6;7;8;9}),0))</f>
        <v>0</v>
      </c>
      <c r="D22" s="6" t="s">
        <v>753</v>
      </c>
    </row>
    <row r="23" spans="1:5">
      <c r="D23" s="7" t="s">
        <v>754</v>
      </c>
      <c r="E23" s="8" t="str">
        <f ca="1">ROUND(COUNTIFS(OFFSET(福彩数据录入_优化版!M352,COUNTA(福彩数据录入_优化版!M:M)-21,0,20,1),"&gt;0")/20*100,1)&amp;"%"</f>
        <v>0%</v>
      </c>
    </row>
    <row r="24" ht="14.25" spans="1:5">
      <c r="A24" s="6" t="s">
        <v>755</v>
      </c>
      <c r="D24" s="7" t="s">
        <v>756</v>
      </c>
      <c r="E24" s="8" t="str">
        <f ca="1">ROUND(COUNTIFS(OFFSET(福彩数据录入_优化版!H352,COUNTA(福彩数据录入_优化版!H:H)-21,0,20,1),"=0")/20*100,1)&amp;"%"</f>
        <v>0%</v>
      </c>
    </row>
    <row r="25" spans="1:5">
      <c r="A25" s="7" t="s">
        <v>757</v>
      </c>
      <c r="B25" s="8" t="s">
        <v>758</v>
      </c>
    </row>
    <row r="26" spans="1:5">
      <c r="A26" s="7" t="s">
        <v>759</v>
      </c>
      <c r="B26" s="8" t="s">
        <v>760</v>
      </c>
    </row>
    <row r="27" spans="1:5">
      <c r="A27" s="7" t="s">
        <v>761</v>
      </c>
      <c r="B27" s="8" t="s">
        <v>762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7" sqref="H7"/>
    </sheetView>
  </sheetViews>
  <sheetFormatPr defaultColWidth="9" defaultRowHeight="13.5" outlineLevelRow="6" outlineLevelCol="7"/>
  <sheetData>
    <row r="1" ht="18.75" customHeight="1" spans="1:8">
      <c r="A1" s="2" t="s">
        <v>763</v>
      </c>
    </row>
    <row r="3" spans="1:8">
      <c r="A3" t="s">
        <v>764</v>
      </c>
    </row>
    <row r="4" spans="1:8">
      <c r="A4" t="s">
        <v>765</v>
      </c>
      <c r="B4">
        <v>50</v>
      </c>
    </row>
    <row r="7" spans="1:8">
      <c r="A7" s="3" t="s">
        <v>766</v>
      </c>
      <c r="B7" s="3" t="s">
        <v>11</v>
      </c>
      <c r="C7" s="3" t="s">
        <v>12</v>
      </c>
      <c r="D7" s="3" t="s">
        <v>16</v>
      </c>
      <c r="E7" s="3" t="s">
        <v>18</v>
      </c>
      <c r="F7" s="3" t="s">
        <v>19</v>
      </c>
      <c r="G7" s="3" t="s">
        <v>767</v>
      </c>
      <c r="H7" s="3" t="s">
        <v>768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9" defaultRowHeight="13.5"/>
  <sheetData>
    <row r="1" ht="20.25" customHeight="1" spans="1:1">
      <c r="A1" s="1" t="s">
        <v>769</v>
      </c>
    </row>
    <row r="3" spans="1:1">
      <c r="A3" t="s">
        <v>770</v>
      </c>
    </row>
    <row r="4" spans="1:1">
      <c r="A4" t="s">
        <v>771</v>
      </c>
    </row>
    <row r="5" spans="1:1">
      <c r="A5" t="s">
        <v>772</v>
      </c>
    </row>
    <row r="6" spans="1:1">
      <c r="A6" t="s">
        <v>773</v>
      </c>
    </row>
    <row r="7" spans="1:1">
      <c r="A7" t="s">
        <v>774</v>
      </c>
    </row>
    <row r="8" spans="1:1">
      <c r="A8" t="s">
        <v>775</v>
      </c>
    </row>
    <row r="9" spans="1:1">
      <c r="A9" t="s">
        <v>776</v>
      </c>
    </row>
    <row r="10" spans="1:1">
      <c r="A10" t="s">
        <v>770</v>
      </c>
    </row>
    <row r="11" spans="1:1">
      <c r="A11" t="s">
        <v>777</v>
      </c>
    </row>
    <row r="12" spans="1:1">
      <c r="A12" t="s">
        <v>778</v>
      </c>
    </row>
    <row r="13" spans="1:1">
      <c r="A13" t="s">
        <v>779</v>
      </c>
    </row>
    <row r="14" spans="1:1">
      <c r="A14" t="s">
        <v>780</v>
      </c>
    </row>
    <row r="15" spans="1:1">
      <c r="A15" t="s">
        <v>781</v>
      </c>
    </row>
    <row r="16" spans="1:1">
      <c r="A16" t="s">
        <v>782</v>
      </c>
    </row>
    <row r="17" spans="1:1">
      <c r="A17" t="s">
        <v>770</v>
      </c>
    </row>
    <row r="18" spans="1:1">
      <c r="A18" t="s">
        <v>783</v>
      </c>
    </row>
    <row r="19" spans="1:1">
      <c r="A19" t="s">
        <v>784</v>
      </c>
    </row>
    <row r="20" spans="1:1">
      <c r="A20" t="s">
        <v>785</v>
      </c>
    </row>
    <row r="21" spans="1:1">
      <c r="A21" t="s">
        <v>786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BE471C-E028-47A8-B8F4-86D90B970B17}"/>
</file>

<file path=customXml/itemProps2.xml><?xml version="1.0" encoding="utf-8"?>
<ds:datastoreItem xmlns:ds="http://schemas.openxmlformats.org/officeDocument/2006/customXml" ds:itemID="{F0BD56CA-9768-4D37-A9D5-28229D9409EB}"/>
</file>

<file path=customXml/itemProps3.xml><?xml version="1.0" encoding="utf-8"?>
<ds:datastoreItem xmlns:ds="http://schemas.openxmlformats.org/officeDocument/2006/customXml" ds:itemID="{886DBCE0-6C58-4CEC-83E6-AD8E6A88D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动态阈值分析</vt:lpstr>
      <vt:lpstr>福彩数据录入_优化版</vt:lpstr>
      <vt:lpstr>多维度分析</vt:lpstr>
      <vt:lpstr>智能预测</vt:lpstr>
      <vt:lpstr>走势图表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何正龙</cp:lastModifiedBy>
  <dcterms:created xsi:type="dcterms:W3CDTF">2025-12-01T13:36:00Z</dcterms:created>
  <dcterms:modified xsi:type="dcterms:W3CDTF">2025-12-02T04:25:27Z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{"ContentProducer":"00191310104MAC2G6EG4100000003","ContentPropagator":"00191310104MAC2G6EG4100000003","Label":"1","ProduceID":"u-331e50-f3a43dd0-7e1e-4e13-ab12-1b61f7909c0a","PropagateID":"u-331e50-f3a43dd0-7e1e-4e13-ab12-1b61f7909c0a","ReservedCode1":"","ReservedCode2":""}</vt:lpwstr>
  </property>
  <property fmtid="{D5CDD505-2E9C-101B-9397-08002B2CF9AE}" pid="3" name="ICV">
    <vt:lpwstr>E0264BA4EA0C4EA894DACB2852ACC4E9_13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
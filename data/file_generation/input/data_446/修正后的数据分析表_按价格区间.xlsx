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Sheet1!$AF$1:$AF$127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<sst xmlns="http://schemas.openxmlformats.org/spreadsheetml/2006/main" count="273" uniqueCount="132">
  <si>
    <t>事业部</t>
  </si>
  <si>
    <t>省区</t>
  </si>
  <si>
    <t>客户属性</t>
  </si>
  <si>
    <t>＞1000</t>
  </si>
  <si>
    <t>501-1000</t>
  </si>
  <si>
    <t>301-500</t>
  </si>
  <si>
    <t>101-300</t>
  </si>
  <si>
    <t>51-100</t>
  </si>
  <si>
    <t>&lt;=50</t>
  </si>
  <si>
    <t xml:space="preserve">2023年销售额（万元 ） </t>
  </si>
  <si>
    <t>2024年销售额 （万元）</t>
  </si>
  <si>
    <t>2025年小计     （万元）</t>
  </si>
  <si>
    <t>2025年较2024年差额        （万元）</t>
  </si>
  <si>
    <t>2025年综合增长   （万元 ）</t>
  </si>
  <si>
    <t xml:space="preserve">2025年综合涨幅比例 </t>
  </si>
  <si>
    <t>2024-2025年度变化综合分析</t>
  </si>
  <si>
    <t>2023年                      （万元）</t>
  </si>
  <si>
    <t>2024年                      （万元）</t>
  </si>
  <si>
    <t>2025年                       （万元）</t>
  </si>
  <si>
    <t>2025较 2024差额                    （万元）</t>
  </si>
  <si>
    <t>成交价格区间变化</t>
  </si>
  <si>
    <t>客户结构变化</t>
  </si>
  <si>
    <t>归因分析</t>
  </si>
  <si>
    <t>一事业部</t>
  </si>
  <si>
    <t>安徽</t>
  </si>
  <si>
    <t>国企</t>
  </si>
  <si>
    <t>增幅最大：301-500万(新增)
降幅最大：&lt;=50万-51.3%
基本持平：无
0成交：＞500万
✮ 主要成交：301-500万(64.6%)</t>
  </si>
  <si>
    <t>增幅最大：国企(新增，2023有)
降幅最大：民企-16.8%(主要在51-100万)
基本持平：无
0成交：各类客户均有成交
✮ 主要客户：政府(64.6%)</t>
  </si>
  <si>
    <t>政府</t>
  </si>
  <si>
    <t>民企</t>
  </si>
  <si>
    <t>个人客户</t>
  </si>
  <si>
    <t>北京</t>
  </si>
  <si>
    <t>增幅最大：101-300万(新增，2023有)
降幅最大：&lt;=50万-29.8%
基本持平：无
0成交：＞300万 
✮ 主要成交：51-100万(38.7%)</t>
  </si>
  <si>
    <t>增幅最大：国企+340.0%(主要在101-300万)
降幅最大：个人客户-100.0%(主要在&lt;=50万)
基本持平：无
0成交：政府, 个人客户
✮ 主要客户：国企(77.1%)</t>
  </si>
  <si>
    <t>主要是能源小屋项目</t>
  </si>
  <si>
    <t>上海</t>
  </si>
  <si>
    <t>增幅最大：51-100万(新增，2023有)
降幅最大：&lt;=50万-0.1%
基本持平：&lt;=50万
0成交：＞100万
✮ 主要成交：&lt;=50万(67.4%)</t>
  </si>
  <si>
    <t>增幅最大：民企+75.7%(主要在51-100万)
降幅最大：个人客户-100.0%(主要在&lt;=50万)
基本持平：国企
0成交：政府，个人客户
✮ 主要客户：民企(88.6%)</t>
  </si>
  <si>
    <t>山西</t>
  </si>
  <si>
    <t>增幅最大：&lt;=50万+225.9%
降幅最大：101-300万-100.0%
基本持平：无
0成交：＞100万
✮ 主要成交：&lt;=50万(82.7%)</t>
  </si>
  <si>
    <t>增幅最大：个人客户+848.9%(主要在51-100万)
降幅最大：政府-100.0%(主要在51-100万)
基本持平：无
0成交：政府
✮ 主要客户：民企(52.3%)</t>
  </si>
  <si>
    <t>天津</t>
  </si>
  <si>
    <t>增幅最大：51-100万+29.9%
降幅最大：&lt;=50万-66.0%
基本持平：无
0成交：＞100万
✮ 主要成交：51-100万(83.2%)</t>
  </si>
  <si>
    <t>增幅最大：国企+48.7%(主要在&lt;=50万)
降幅最大：民企-100.0%(主要在&lt;=50万)
基本持平：无
0成交：政府，民企, 个人客户
✮ 主要客户：国企(100.0%)</t>
  </si>
  <si>
    <t>根据待成交项目的客户储备评估，天津机会多 ，国央企项目为主 ，街区项目多，部分市政项目</t>
  </si>
  <si>
    <t>浙江</t>
  </si>
  <si>
    <t>增幅最大：51-100万+56.4%
降幅最大：&lt;=50万-32.4%
基本持平：无
0成交：＞300万 
✮ 主要成交：&lt;=50万(50.0%)</t>
  </si>
  <si>
    <t>增幅最大：政府(新增)
降幅最大：民企-24.2%(主要在101-300万)
基本持平：无
0成交：个人客户
✮ 主要客户：民企(79.6%)</t>
  </si>
  <si>
    <t>福建</t>
  </si>
  <si>
    <t>增幅最大：无增长区间(最小降幅:101-300万-15.3%)
降幅最大：&lt;=50万-42.9%
基本持平：无
0成交：＞200万
✮ 主要成交：101-300万(66.6%)</t>
  </si>
  <si>
    <t>增幅最大：国企(新增，2023有)
降幅最大：政府-100.0%(主要在&lt;=50万)
基本持平：无
0成交：政府，个人客户
✮ 主要客户：民企(75.5%)</t>
  </si>
  <si>
    <t>河北</t>
  </si>
  <si>
    <t>增幅最大：无增长区间(最小降幅:101-300万-5.3%)
降幅最大：&lt;=50万-41.9%
基本持平：无
0成交：＞200万
✮ 主要成交：101-300万(47.9%)</t>
  </si>
  <si>
    <t>增幅最大：国企+180.6%(主要在101-300万)
降幅最大：个人客户-77.6%(主要在&lt;=50万)
基本持平：无
0成交：政府 
✮ 主要客户：民企(54.3%)</t>
  </si>
  <si>
    <t>竞品在价格、付款方式等方面无底线竞争；当地企业竞争</t>
  </si>
  <si>
    <t>江苏</t>
  </si>
  <si>
    <t>增幅最大：51-100万+50.2%
降幅最大：&gt;1000万-100.0%
基本持平：101-300万
0成交：&gt;500万
✮ 主要成交：101-300万(58.8%)</t>
  </si>
  <si>
    <t>增幅最大：民企+13.7%(主要在101-300万)
降幅最大：国企-72.7%(主要在&gt;1000万)
基本持平：无
0成交：政府 
✮ 主要客户：国企(50.0%)</t>
  </si>
  <si>
    <t>区域竞品集中，竞品在价格、付款方式等方面无底线竞争</t>
  </si>
  <si>
    <t>山东</t>
  </si>
  <si>
    <t>增幅最大：无增长区间                                         最小降幅:301-500万-22.2%
降幅最大：501-1000万-100.0%
基本持平：无
0成交：501-1000万
✮ 主要成交：&lt;=50万(40.2%)</t>
  </si>
  <si>
    <t>增幅最大：无增长客户                     最小降幅:政府-26.3%
降幅最大：民企-64.5%(主要在101-300万)
基本持平：无
0成交：各类客户均有成交
✮ 主要客户：民企(71.4%)</t>
  </si>
  <si>
    <t>二事业部</t>
  </si>
  <si>
    <t>西藏</t>
  </si>
  <si>
    <t>新增</t>
  </si>
  <si>
    <t>增幅最大：301-500万(新增)
降幅最大：无降幅区间
基本持平：无
0成交：51-100万，＞500万
✮ 主要成交：301-500万(76.7%)</t>
  </si>
  <si>
    <t>增幅最大：民企(新增)
降幅最大：无降幅客户
基本持平：无
0成交：国企、政府、个人 
✮ 主要客户：民企(100.0%)</t>
  </si>
  <si>
    <t>突然出现的新项目，偶然性</t>
  </si>
  <si>
    <t>重庆</t>
  </si>
  <si>
    <t>增幅最大：101-300万(新增，2023有)
降幅最大：51-100万-100.0%
基本持平：无
0成交：51-100万，＞300万
✮ 主要成交：101-300万(96.6%)</t>
  </si>
  <si>
    <t>增幅最大：国企+181.1%(主要在101-300万)
降幅最大：个人客户-100.0%(主要在&lt;=50万)
基本持平：无
0成交：政府，个人客户
✮ 主要客户：国企(98.0%)</t>
  </si>
  <si>
    <t>甘肃</t>
  </si>
  <si>
    <t>增幅最大：51-100万(新增)
降幅最大：&lt;=50万-3.2%
基本持平：&lt;=50万
0成交：＞100万
✮ 主要成交：51-100万(53.7%)</t>
  </si>
  <si>
    <t>增幅最大：个人客户+235.2%(主要在&lt;=50万)
降幅最大：民企-28.2%(主要在&lt;=50万)
基本持平：无
0成交：政府
✮ 主要客户：国企(80.5%)</t>
  </si>
  <si>
    <t>陕西</t>
  </si>
  <si>
    <t>增幅最大：101-300万(新增)
降幅最大：&lt;=50万-59.9%
基本持平：无
0成交：＞200万
✮ 主要成交：101-300万(58.2%)</t>
  </si>
  <si>
    <t>增幅最大：民企+54.4%(主要在101-300万)
降幅最大：个人客户-98.6%(主要在&lt;=50万)
基本持平：无
0成交：政府
✮ 主要客户：民企(82.1%)</t>
  </si>
  <si>
    <t>四川</t>
  </si>
  <si>
    <t>增幅最大：51-100万+22.7%
降幅最大：无降幅区间
基本持平：&lt;=50万
0成交：＞100万
✮ 主要成交：51-100万(56.2%)</t>
  </si>
  <si>
    <t>增幅最大：个人客户+109.8%(主要在&lt;=50万)
降幅最大：国企-15.2%(主要在51-100万)
基本持平：无
0成交：政府
✮ 主要客户：民企(73.4%)</t>
  </si>
  <si>
    <t>湖北</t>
  </si>
  <si>
    <t>增幅最大：101-300万(新增，2023有)
降幅最大：&lt;=50万-36.9%
基本持平：无
0成交：＞200万 
✮ 主要成交：101-300万(40.0%)</t>
  </si>
  <si>
    <t>增幅最大：个人客户(新增，2023有)
降幅最大：国企-11.3%(主要在101-300万)
基本持平：无
0成交：政府
✮ 主要客户：民企(57.6%)</t>
  </si>
  <si>
    <t>湖南</t>
  </si>
  <si>
    <t>增幅最大：&lt;=50万+145.8%
降幅最大：51-100万-100.0%
基本持平：无
0成交：＞50万
✮ 主要成交：&lt;=50万(100.0%)</t>
  </si>
  <si>
    <t>增幅最大：国企+128.8%(主要在&lt;=50万)
降幅最大：个人客户-100.0%(主要在&lt;=50万)
基本持平：无
0成交：政府，个人客户
✮ 主要客户：民企(77.0%)</t>
  </si>
  <si>
    <t>江西</t>
  </si>
  <si>
    <t>增幅最大：无增长区间(最小降幅:&lt;=50万-69.0%)
降幅最大：&lt;=50万-69.0%
基本持平：无
0成交：＞50万
✮ 主要成交：&lt;=50万(100.0%)</t>
  </si>
  <si>
    <t>增幅最大：无增长客户(最小降幅:民企-66.2%)
降幅最大：国企-100.0%(主要在&lt;=50万)
基本持平：无
0成交：国企，政府，个人客户 
✮ 主要客户：民企(100.0%)</t>
  </si>
  <si>
    <t>广西</t>
  </si>
  <si>
    <t>增幅最大：无增长区间(最小降幅:&lt;=50万-80.2%)
降幅最大：51-100万-100.0%
基本持平：无
0成交：＞50万
✮ 主要成交：&lt;=50万(100.0%)</t>
  </si>
  <si>
    <t>增幅最大：无增长客户(最小降幅:民企-89.7%)
降幅最大：民企-89.7%(主要在&lt;=50万)
基本持平：无
0成交：国企，政府，个人客户 
✮ 主要客户：民企(100.0%)</t>
  </si>
  <si>
    <t>云南</t>
  </si>
  <si>
    <t>增幅最大：无增长区间(最小降幅:&lt;=50万-84.2%)
降幅最大：101-300万-100.0%
基本持平：无
0成交：＞50万
✮ 主要成交：&lt;=50万(100.0%)</t>
  </si>
  <si>
    <t>增幅最大：无增长客户(最小降幅:民企-91.6%)
降幅最大：民企-91.6%(主要在&lt;=50万)
基本持平：无
0成交：国企，政府，个人客户 
✮ 主要客户：民企(100.0%)</t>
  </si>
  <si>
    <t>贵州</t>
  </si>
  <si>
    <t>增幅最大：无增长区间(最小降幅:&lt;=50万-91.7%)
降幅最大：51-100万-100.0%
基本持平：无
0成交：＞50万
✮ 主要成交：&lt;=50万(100.0%)</t>
  </si>
  <si>
    <t>增幅最大：无增长客户(最小降幅:民企-94.9%)
降幅最大：国企-100.0%(主要在&lt;=50万)
基本持平：无
0成交：国企，政府，个人客户
✮ 主要客户：民企(100.0%)</t>
  </si>
  <si>
    <t>海南</t>
  </si>
  <si>
    <t>增幅最大：无增长区间(最小降幅:&lt;=50万-83.4%)
降幅最大：101-300万-100.0%
基本持平：无
0成交：＞50万
✮ 主要成交：&lt;=50万(100.0%)</t>
  </si>
  <si>
    <t>增幅最大：无增长客户(最小降幅:民企-73.8%)
降幅最大：国企-100.0%(主要在101-300万)
基本持平：无
0成交：国企，政府，个人客户 
✮ 主要客户：民企(100.0%)</t>
  </si>
  <si>
    <t>河南</t>
  </si>
  <si>
    <t>增幅最大：无增长区间(最小降幅:&lt;=50万-60.7%)
降幅最大：101-300万-86.5%
基本持平：无
0成交：＞200万
✮ 主要成交：&lt;=50万(58.8%)</t>
  </si>
  <si>
    <t>增幅最大：无增长客户(最小降幅:国企-56.2%)
降幅最大：政府-100.0%(主要在&lt;=50万)
基本持平：无
0成交：政府
✮ 主要客户：国企(59.4%)</t>
  </si>
  <si>
    <t>三事业部</t>
  </si>
  <si>
    <t>黑龙江</t>
  </si>
  <si>
    <t>增幅最大：301-500万(新增，2023＞500万有)
降幅最大：101-300万-100.0%
基本持平：无
0成交：51-300万，＞500万
✮ 主要成交：301-500万(95.6%)</t>
  </si>
  <si>
    <t>增幅最大：国企+115.8%(主要在301-500万)
降幅最大：民企-100.0%(主要在101-300万)
基本持平：无
0成交：政府，民企，个人客户 
✮ 主要客户：国企(100.0%)</t>
  </si>
  <si>
    <t xml:space="preserve">个人客户 </t>
  </si>
  <si>
    <t>宁夏</t>
  </si>
  <si>
    <t>增幅最大：51-100万(新增，2023有)
降幅最大：无降幅区间
基本持平：无
0成交：＞100万
✮ 主要成交：51-100万(79.5%)</t>
  </si>
  <si>
    <t>增幅最大：国企(新增，2023有)
降幅最大：无降幅客户
基本持平：无
0成交：政府，个人客户
✮ 主要客户：民企(88.5%)</t>
  </si>
  <si>
    <t>青海</t>
  </si>
  <si>
    <t>增幅最大：101-300万(新增，2023有)
降幅最大：51-100万-100.0%
基本持平：无
0成交：51-100万，＞200万
✮ 主要成交：101-300万(95.2%)</t>
  </si>
  <si>
    <t>增幅最大：民企+1031.0%(主要在101-300万)
降幅最大：国企-100.0%(主要在51-100万)
基本持平：无
0成交：国企, 个人客户
✮ 主要客户：民企(100.0%)</t>
  </si>
  <si>
    <t>吉林</t>
  </si>
  <si>
    <t>增幅最大：无增长区间(最小降幅:&lt;=50万-15.8%，2023＞1000万 有）
降幅最大：&lt;=50万-15.8%
基本持平：无
0成交：＞50万 
✮ 主要成交：&lt;=50万(100.0%)</t>
  </si>
  <si>
    <t>增幅最大：个人客户+421.6%(主要在&lt;=50万)
降幅最大：国企-87.8%(主要在&lt;=50万)
基本持平：无
0成交：政府
✮ 主要客户：民企(87.8%)</t>
  </si>
  <si>
    <t>内蒙古</t>
  </si>
  <si>
    <t>增幅最大：301-500万(新增)
降幅最大：501-1000万-100.0%
基本持平：无
0成交：501-1000万,  51-300万
✮ 主要成交：301-500万(88.8%)</t>
  </si>
  <si>
    <t>增幅最大：无增长客户(最小降幅:国企-63.5%)
降幅最大：民企-66.3%(主要在&lt;=50万)
基本持平：无
0成交：政府，个人客户
✮ 主要客户：国企(89.1%)</t>
  </si>
  <si>
    <t>辽宁</t>
  </si>
  <si>
    <t>增幅最大：51-100万+30.9%
降幅最大：101-300万-100.0%
基本持平：无
0成交：＞100万
✮ 主要成交：&lt;=50万(58.3%)</t>
  </si>
  <si>
    <t>增幅最大：无增长客户(最小降幅:国企-82.4%)
降幅最大：政府-87.2%(主要在&lt;=50万)
基本持平：无
0成交：各类客户均有成交
✮主要客户：民企(42.0%)</t>
  </si>
  <si>
    <t>广东分</t>
  </si>
  <si>
    <t>广东</t>
  </si>
  <si>
    <t>增幅最大：&lt;=50万+48.5%
降幅最大：101-300万-54.9%
基本持平：无
0成交：＞200万
✮ 主要成交：&lt;=50万(56.4%)</t>
  </si>
  <si>
    <t>增幅最大：政府(新增)
降幅最大：国企-39.8%(主要在51-100万)
基本持平：民企, 个人客户
0成交：各类客户均有成交
✮ 主要客户：民企(59.1%)</t>
  </si>
  <si>
    <t>新疆分</t>
  </si>
  <si>
    <t>新疆</t>
  </si>
  <si>
    <t>增幅最大：301-500万(新增)
降幅最大：&lt;=50万-2.0%
基本持平：&lt;=50万
0成交：＞500万
✮ 主要成交：101-300万(45.2%)</t>
  </si>
  <si>
    <t>增幅最大：国企+1413.2%(主要在101-300万)
降幅最大：个人客户-53.0%(主要在&lt;=50万)
基本持平：民企
0成交：各类客户均有成交
✮ 主要客户：政府(40.5%)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</si>
</sst>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5"/>
      <name val="微软雅黑"/>
      <charset val="134"/>
    </font>
    <font>
      <sz val="11"/>
      <color theme="1" tint="0.5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0"/>
    </font>
    <font>
      <b/>
      <sz val="11"/>
      <name val="微软雅黑"/>
      <charset val="0"/>
    </font>
    <font>
      <b/>
      <sz val="11"/>
      <color theme="0" tint="-0.5"/>
      <name val="微软雅黑"/>
      <charset val="0"/>
    </font>
    <font>
      <b/>
      <sz val="11"/>
      <color theme="1" tint="0.5"/>
      <name val="微软雅黑"/>
      <charset val="0"/>
    </font>
    <font>
      <b/>
      <sz val="11"/>
      <color rgb="FF000000"/>
      <name val="宋体"/>
      <charset val="0"/>
    </font>
    <font>
      <sz val="11"/>
      <color rgb="FF000000"/>
      <name val="微软雅黑"/>
      <charset val="0"/>
    </font>
    <font>
      <sz val="11"/>
      <color theme="0" tint="-0.5"/>
      <name val="Calibri"/>
      <charset val="0"/>
    </font>
    <font>
      <sz val="11"/>
      <color theme="1" tint="0.5"/>
      <name val="微软雅黑"/>
      <charset val="0"/>
    </font>
    <font>
      <sz val="11"/>
      <color rgb="FFFF0000"/>
      <name val="微软雅黑"/>
      <charset val="0"/>
    </font>
    <font>
      <sz val="11"/>
      <color theme="1"/>
      <name val="微软雅黑"/>
      <charset val="0"/>
    </font>
    <font>
      <sz val="11"/>
      <name val="微软雅黑"/>
      <charset val="0"/>
    </font>
    <font>
      <sz val="11"/>
      <color rgb="FF000000"/>
      <name val="宋体"/>
      <charset val="0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B6C1"/>
        <bgColor rgb="FFFFB6C1"/>
      </patternFill>
    </fill>
    <fill>
      <patternFill patternType="solid">
        <fgColor rgb="FFF7F7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14" borderId="3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1">
      <alignment vertical="center"/>
    </xf>
    <xf numFmtId="0" fontId="26" fillId="0" borderId="31">
      <alignment vertical="center"/>
    </xf>
    <xf numFmtId="0" fontId="27" fillId="0" borderId="32">
      <alignment vertical="center"/>
    </xf>
    <xf numFmtId="0" fontId="27" fillId="0" borderId="0">
      <alignment vertical="center"/>
    </xf>
    <xf numFmtId="0" fontId="28" fillId="15" borderId="33">
      <alignment vertical="center"/>
    </xf>
    <xf numFmtId="0" fontId="29" fillId="16" borderId="34">
      <alignment vertical="center"/>
    </xf>
    <xf numFmtId="0" fontId="30" fillId="16" borderId="33">
      <alignment vertical="center"/>
    </xf>
    <xf numFmtId="0" fontId="31" fillId="17" borderId="35">
      <alignment vertical="center"/>
    </xf>
    <xf numFmtId="0" fontId="32" fillId="0" borderId="36">
      <alignment vertical="center"/>
    </xf>
    <xf numFmtId="0" fontId="33" fillId="0" borderId="37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7" fillId="36" borderId="0">
      <alignment vertical="center"/>
    </xf>
    <xf numFmtId="0" fontId="37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7" fillId="40" borderId="0">
      <alignment vertical="center"/>
    </xf>
    <xf numFmtId="0" fontId="37" fillId="41" borderId="0">
      <alignment vertical="center"/>
    </xf>
    <xf numFmtId="0" fontId="38" fillId="42" borderId="0">
      <alignment vertical="center"/>
    </xf>
    <xf numFmtId="0" fontId="38" fillId="43" borderId="0">
      <alignment vertical="center"/>
    </xf>
    <xf numFmtId="0" fontId="37" fillId="44" borderId="0">
      <alignment vertical="center"/>
    </xf>
  </cellStyleXfs>
  <cellXfs count="14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9" xfId="0" applyBorder="1" applyAlignment="1"/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/>
    <xf numFmtId="0" fontId="14" fillId="0" borderId="7" xfId="0" applyFont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/>
    <xf numFmtId="0" fontId="16" fillId="7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10" fontId="6" fillId="8" borderId="13" xfId="0" applyNumberFormat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12" fillId="8" borderId="17" xfId="0" applyFont="1" applyFill="1" applyBorder="1" applyAlignment="1">
      <alignment horizontal="center" vertical="center" wrapText="1"/>
    </xf>
    <xf numFmtId="0" fontId="13" fillId="0" borderId="17" xfId="0" applyFont="1" applyBorder="1" applyAlignment="1"/>
    <xf numFmtId="0" fontId="14" fillId="0" borderId="17" xfId="0" applyFont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12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/>
    <xf numFmtId="0" fontId="14" fillId="0" borderId="20" xfId="0" applyFont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4" xfId="0" applyBorder="1" applyAlignment="1"/>
    <xf numFmtId="0" fontId="11" fillId="0" borderId="1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/>
    <xf numFmtId="0" fontId="14" fillId="0" borderId="2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/>
    <xf numFmtId="0" fontId="12" fillId="0" borderId="2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10" fontId="6" fillId="8" borderId="22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/>
    <xf numFmtId="0" fontId="14" fillId="0" borderId="8" xfId="0" applyFont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0" fillId="0" borderId="24" xfId="0" applyBorder="1" applyAlignment="1"/>
    <xf numFmtId="0" fontId="1" fillId="10" borderId="21" xfId="0" applyFont="1" applyFill="1" applyBorder="1" applyAlignment="1">
      <alignment horizontal="center" vertical="center" wrapText="1"/>
    </xf>
    <xf numFmtId="10" fontId="6" fillId="10" borderId="22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0" fontId="5" fillId="0" borderId="22" xfId="0" applyNumberFormat="1" applyFont="1" applyBorder="1" applyAlignment="1">
      <alignment horizontal="center" vertical="center" wrapText="1"/>
    </xf>
    <xf numFmtId="10" fontId="18" fillId="0" borderId="2" xfId="0" applyNumberFormat="1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76" fontId="12" fillId="0" borderId="17" xfId="0" applyNumberFormat="1" applyFont="1" applyFill="1" applyBorder="1" applyAlignment="1">
      <alignment horizontal="center" vertical="center" wrapText="1"/>
    </xf>
    <xf numFmtId="176" fontId="16" fillId="5" borderId="17" xfId="0" applyNumberFormat="1" applyFont="1" applyFill="1" applyBorder="1" applyAlignment="1">
      <alignment horizontal="center" vertical="center" wrapText="1"/>
    </xf>
    <xf numFmtId="176" fontId="15" fillId="5" borderId="17" xfId="0" applyNumberFormat="1" applyFont="1" applyFill="1" applyBorder="1" applyAlignment="1">
      <alignment horizontal="center" vertical="center" wrapText="1"/>
    </xf>
    <xf numFmtId="0" fontId="0" fillId="0" borderId="25" xfId="0" applyBorder="1" applyAlignment="1"/>
    <xf numFmtId="0" fontId="12" fillId="9" borderId="2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10" fontId="6" fillId="11" borderId="22" xfId="0" applyNumberFormat="1" applyFont="1" applyFill="1" applyBorder="1" applyAlignment="1">
      <alignment horizontal="center" vertical="center" wrapText="1"/>
    </xf>
    <xf numFmtId="176" fontId="1" fillId="8" borderId="21" xfId="0" applyNumberFormat="1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/>
    <xf numFmtId="0" fontId="14" fillId="0" borderId="17" xfId="0" applyFont="1" applyFill="1" applyBorder="1" applyAlignment="1">
      <alignment horizontal="center" vertical="center" wrapText="1"/>
    </xf>
    <xf numFmtId="176" fontId="17" fillId="5" borderId="17" xfId="0" applyNumberFormat="1" applyFont="1" applyFill="1" applyBorder="1" applyAlignment="1">
      <alignment horizontal="center" vertical="center" wrapText="1"/>
    </xf>
    <xf numFmtId="176" fontId="0" fillId="0" borderId="13" xfId="0" applyNumberFormat="1" applyBorder="1" applyAlignment="1"/>
    <xf numFmtId="176" fontId="0" fillId="0" borderId="12" xfId="0" applyNumberFormat="1" applyBorder="1" applyAlignment="1"/>
    <xf numFmtId="0" fontId="19" fillId="0" borderId="22" xfId="0" applyFont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10" fontId="5" fillId="0" borderId="21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 wrapText="1"/>
    </xf>
    <xf numFmtId="10" fontId="6" fillId="10" borderId="21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11" fillId="0" borderId="4" xfId="0" applyFont="1" applyBorder="1" applyAlignment="1">
      <alignment horizontal="center" vertical="center" wrapText="1"/>
    </xf>
    <xf numFmtId="0" fontId="0" fillId="0" borderId="28" xfId="0" applyBorder="1" applyAlignment="1"/>
    <xf numFmtId="0" fontId="12" fillId="12" borderId="17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0" fillId="0" borderId="29" xfId="0" applyBorder="1" applyAlignment="1"/>
    <xf numFmtId="10" fontId="6" fillId="8" borderId="2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7"/>
  <sheetViews>
    <sheetView tabSelected="1" zoomScale="85" zoomScaleNormal="85" zoomScaleSheetLayoutView="55" workbookViewId="0">
      <pane xSplit="3" ySplit="2" topLeftCell="D3" activePane="bottomRight" state="frozen"/>
      <selection/>
      <selection pane="topRight"/>
      <selection pane="bottomLeft"/>
      <selection pane="bottomRight" activeCell="H1" sqref="H1:K1"/>
    </sheetView>
  </sheetViews>
  <sheetFormatPr defaultColWidth="9" defaultRowHeight="16.5"/>
  <cols>
    <col min="1" max="1" width="8.125" style="1" customWidth="1"/>
    <col min="2" max="2" width="6.625" style="2" customWidth="1"/>
    <col min="3" max="3" width="8.125" style="1" customWidth="1"/>
    <col min="4" max="4" width="11.125" style="3" customWidth="1"/>
    <col min="5" max="5" width="8.125" style="4" customWidth="1"/>
    <col min="6" max="6" width="11.4666666666667" style="1" customWidth="1"/>
    <col min="7" max="7" width="9.25" style="5" customWidth="1"/>
    <col min="8" max="8" width="8.125" style="3" customWidth="1"/>
    <col min="9" max="9" width="8.125" style="4" customWidth="1"/>
    <col min="10" max="10" width="10.7333333333333" style="1" customWidth="1"/>
    <col min="11" max="11" width="9.25" style="1" customWidth="1"/>
    <col min="12" max="12" width="8.125" style="3" customWidth="1"/>
    <col min="13" max="13" width="8.125" style="4" customWidth="1"/>
    <col min="14" max="14" width="12.35" style="1" customWidth="1"/>
    <col min="15" max="15" width="8.875" style="1" customWidth="1"/>
    <col min="16" max="16" width="10.125" style="3" customWidth="1"/>
    <col min="17" max="17" width="8.125" style="4" customWidth="1"/>
    <col min="18" max="18" width="8.125" style="1" customWidth="1"/>
    <col min="19" max="19" width="10.375" style="1" customWidth="1"/>
    <col min="20" max="20" width="9.25" style="3" customWidth="1"/>
    <col min="21" max="21" width="9.7" style="4" customWidth="1"/>
    <col min="22" max="22" width="9.25833333333333" style="1" customWidth="1"/>
    <col min="23" max="23" width="9.25" style="1" customWidth="1"/>
    <col min="24" max="24" width="10.125" style="3" customWidth="1"/>
    <col min="25" max="25" width="8.125" style="4" customWidth="1"/>
    <col min="26" max="26" width="10.2916666666667" style="1" customWidth="1"/>
    <col min="27" max="27" width="10.375" style="1" customWidth="1"/>
    <col min="28" max="28" width="12.9416666666667" style="3" customWidth="1"/>
    <col min="29" max="29" width="13.8166666666667" style="4" customWidth="1"/>
    <col min="30" max="30" width="15.875" style="1" customWidth="1"/>
    <col min="31" max="31" width="20.2833333333333" style="6" customWidth="1"/>
    <col min="32" max="32" width="14.1083333333333" style="1" customWidth="1"/>
    <col min="33" max="33" width="10.75" style="6" customWidth="1"/>
    <col min="34" max="34" width="41.75" style="7" customWidth="1"/>
    <col min="35" max="35" width="40" style="7" customWidth="1"/>
    <col min="36" max="36" width="32.6416666666667" style="1" customWidth="1"/>
    <col min="37" max="16384" width="9" style="1" customWidth="1"/>
  </cols>
  <sheetData>
    <row r="1" s="1" customFormat="1" ht="92" customHeight="1" spans="1:36">
      <c r="A1" s="8" t="s">
        <v>0</v>
      </c>
      <c r="B1" s="9" t="s">
        <v>1</v>
      </c>
      <c r="C1" s="9" t="s">
        <v>2</v>
      </c>
      <c r="D1" s="10" t="s">
        <v>3</v>
      </c>
      <c r="E1" s="11"/>
      <c r="F1" s="11"/>
      <c r="G1" s="12"/>
      <c r="H1" s="10" t="s">
        <v>4</v>
      </c>
      <c r="I1" s="11"/>
      <c r="J1" s="11"/>
      <c r="K1" s="12"/>
      <c r="L1" s="10" t="s">
        <v>5</v>
      </c>
      <c r="M1" s="11"/>
      <c r="N1" s="11"/>
      <c r="O1" s="12"/>
      <c r="P1" s="9" t="s">
        <v>6</v>
      </c>
      <c r="Q1" s="11"/>
      <c r="R1" s="11"/>
      <c r="S1" s="12"/>
      <c r="T1" s="9" t="s">
        <v>7</v>
      </c>
      <c r="U1" s="11"/>
      <c r="V1" s="11"/>
      <c r="W1" s="12"/>
      <c r="X1" s="9" t="s">
        <v>8</v>
      </c>
      <c r="Y1" s="11"/>
      <c r="Z1" s="11"/>
      <c r="AA1" s="12"/>
      <c r="AB1" s="13" t="s">
        <v>9</v>
      </c>
      <c r="AC1" s="14" t="s">
        <v>10</v>
      </c>
      <c r="AD1" s="15" t="s">
        <v>11</v>
      </c>
      <c r="AE1" s="15" t="s">
        <v>12</v>
      </c>
      <c r="AF1" s="16" t="s">
        <v>13</v>
      </c>
      <c r="AG1" s="17" t="s">
        <v>14</v>
      </c>
      <c r="AH1" s="18" t="s">
        <v>15</v>
      </c>
      <c r="AI1" s="11"/>
      <c r="AJ1" s="12"/>
    </row>
    <row r="2" s="1" customFormat="1" ht="66" customHeight="1" spans="1:36">
      <c r="A2" s="19"/>
      <c r="B2" s="20"/>
      <c r="C2" s="20"/>
      <c r="D2" s="21" t="s">
        <v>16</v>
      </c>
      <c r="E2" s="22" t="s">
        <v>17</v>
      </c>
      <c r="F2" s="23" t="s">
        <v>18</v>
      </c>
      <c r="G2" s="23" t="s">
        <v>19</v>
      </c>
      <c r="H2" s="21" t="s">
        <v>16</v>
      </c>
      <c r="I2" s="22" t="s">
        <v>17</v>
      </c>
      <c r="J2" s="23" t="s">
        <v>18</v>
      </c>
      <c r="K2" s="23" t="s">
        <v>19</v>
      </c>
      <c r="L2" s="21" t="s">
        <v>16</v>
      </c>
      <c r="M2" s="22" t="s">
        <v>17</v>
      </c>
      <c r="N2" s="23" t="s">
        <v>18</v>
      </c>
      <c r="O2" s="23" t="s">
        <v>19</v>
      </c>
      <c r="P2" s="21" t="s">
        <v>16</v>
      </c>
      <c r="Q2" s="22" t="s">
        <v>17</v>
      </c>
      <c r="R2" s="23" t="s">
        <v>18</v>
      </c>
      <c r="S2" s="23" t="s">
        <v>19</v>
      </c>
      <c r="T2" s="21" t="s">
        <v>16</v>
      </c>
      <c r="U2" s="22" t="s">
        <v>17</v>
      </c>
      <c r="V2" s="23" t="s">
        <v>18</v>
      </c>
      <c r="W2" s="23" t="s">
        <v>19</v>
      </c>
      <c r="X2" s="21" t="s">
        <v>16</v>
      </c>
      <c r="Y2" s="22" t="s">
        <v>17</v>
      </c>
      <c r="Z2" s="23" t="s">
        <v>18</v>
      </c>
      <c r="AA2" s="23" t="s">
        <v>19</v>
      </c>
      <c r="AB2" s="24"/>
      <c r="AC2" s="24"/>
      <c r="AD2" s="24"/>
      <c r="AE2" s="24"/>
      <c r="AF2" s="20"/>
      <c r="AG2" s="24"/>
      <c r="AH2" s="25" t="s">
        <v>20</v>
      </c>
      <c r="AI2" s="25" t="s">
        <v>21</v>
      </c>
      <c r="AJ2" s="26" t="s">
        <v>22</v>
      </c>
    </row>
    <row r="3" s="1" customFormat="1" ht="23" customHeight="1" spans="1:36">
      <c r="A3" s="27" t="s">
        <v>23</v>
      </c>
      <c r="B3" s="28" t="s">
        <v>24</v>
      </c>
      <c r="C3" s="29" t="s">
        <v>25</v>
      </c>
      <c r="D3" s="30"/>
      <c r="E3" s="31"/>
      <c r="F3" s="32">
        <v>0</v>
      </c>
      <c r="G3" s="33"/>
      <c r="H3" s="30"/>
      <c r="I3" s="31"/>
      <c r="J3" s="32">
        <v>0</v>
      </c>
      <c r="K3" s="34"/>
      <c r="L3" s="30"/>
      <c r="M3" s="31"/>
      <c r="N3" s="32">
        <v>0</v>
      </c>
      <c r="O3" s="34"/>
      <c r="P3" s="35">
        <v>189.15</v>
      </c>
      <c r="Q3" s="31"/>
      <c r="R3" s="32">
        <v>0</v>
      </c>
      <c r="S3" s="34"/>
      <c r="T3" s="35">
        <v>50.9</v>
      </c>
      <c r="U3" s="31"/>
      <c r="V3" s="32">
        <v>0</v>
      </c>
      <c r="W3" s="34"/>
      <c r="X3" s="30"/>
      <c r="Y3" s="31"/>
      <c r="Z3" s="29">
        <v>42.49</v>
      </c>
      <c r="AA3" s="36">
        <v>42.49</v>
      </c>
      <c r="AB3" s="30">
        <v>240.05</v>
      </c>
      <c r="AC3" s="37"/>
      <c r="AD3" s="34">
        <f>F3+J3+N3+R3+V3+Z3</f>
        <v>42.49</v>
      </c>
      <c r="AE3" s="38">
        <f>AD3-AC3</f>
        <v>42.49</v>
      </c>
      <c r="AF3" s="39">
        <f>AE3+AE4+AE5+AE6</f>
        <v>505.31</v>
      </c>
      <c r="AG3" s="40">
        <v>2.081</v>
      </c>
      <c r="AH3" s="41" t="s">
        <v>26</v>
      </c>
      <c r="AI3" s="41" t="s">
        <v>27</v>
      </c>
      <c r="AJ3" s="42"/>
    </row>
    <row r="4" s="1" customFormat="1" ht="23" customHeight="1" spans="1:36">
      <c r="A4" s="43"/>
      <c r="B4" s="44"/>
      <c r="C4" s="45" t="s">
        <v>28</v>
      </c>
      <c r="D4" s="46"/>
      <c r="E4" s="47"/>
      <c r="F4" s="48">
        <v>0</v>
      </c>
      <c r="G4" s="49"/>
      <c r="H4" s="46"/>
      <c r="I4" s="47"/>
      <c r="J4" s="48">
        <v>0</v>
      </c>
      <c r="K4" s="50"/>
      <c r="L4" s="46"/>
      <c r="M4" s="47"/>
      <c r="N4" s="51">
        <v>483</v>
      </c>
      <c r="O4" s="52">
        <v>483</v>
      </c>
      <c r="P4" s="46"/>
      <c r="Q4" s="47"/>
      <c r="R4" s="48">
        <v>0</v>
      </c>
      <c r="S4" s="50"/>
      <c r="T4" s="46"/>
      <c r="U4" s="47"/>
      <c r="V4" s="48">
        <v>0</v>
      </c>
      <c r="W4" s="50"/>
      <c r="X4" s="46"/>
      <c r="Y4" s="47"/>
      <c r="Z4" s="48">
        <v>0</v>
      </c>
      <c r="AA4" s="50"/>
      <c r="AB4" s="46"/>
      <c r="AC4" s="53"/>
      <c r="AD4" s="50">
        <f>F4+J4+N4+R4+V4+Z4</f>
        <v>483</v>
      </c>
      <c r="AE4" s="54">
        <f>AD4-AC4</f>
        <v>483</v>
      </c>
      <c r="AF4" s="55"/>
      <c r="AG4" s="55"/>
      <c r="AH4" s="56"/>
      <c r="AI4" s="56"/>
      <c r="AJ4" s="57"/>
    </row>
    <row r="5" s="1" customFormat="1" ht="23" customHeight="1" spans="1:36">
      <c r="A5" s="43"/>
      <c r="B5" s="44"/>
      <c r="C5" s="51" t="s">
        <v>29</v>
      </c>
      <c r="D5" s="46"/>
      <c r="E5" s="47"/>
      <c r="F5" s="48">
        <v>0</v>
      </c>
      <c r="G5" s="49"/>
      <c r="H5" s="46"/>
      <c r="I5" s="47"/>
      <c r="J5" s="48">
        <v>0</v>
      </c>
      <c r="K5" s="50"/>
      <c r="L5" s="46"/>
      <c r="M5" s="47"/>
      <c r="N5" s="48">
        <v>0</v>
      </c>
      <c r="O5" s="50"/>
      <c r="P5" s="46"/>
      <c r="Q5" s="47">
        <v>105</v>
      </c>
      <c r="R5" s="51">
        <v>121</v>
      </c>
      <c r="S5" s="50">
        <v>16</v>
      </c>
      <c r="T5" s="46">
        <v>70.76</v>
      </c>
      <c r="U5" s="47"/>
      <c r="V5" s="51">
        <v>77</v>
      </c>
      <c r="W5" s="52">
        <v>77</v>
      </c>
      <c r="X5" s="46">
        <v>195.689</v>
      </c>
      <c r="Y5" s="47">
        <v>137.83</v>
      </c>
      <c r="Z5" s="51">
        <v>3.95</v>
      </c>
      <c r="AA5" s="49">
        <v>-133.88</v>
      </c>
      <c r="AB5" s="46">
        <v>266.449</v>
      </c>
      <c r="AC5" s="53">
        <f>E5+I5+M5+Q5+U5+Y5</f>
        <v>242.83</v>
      </c>
      <c r="AD5" s="50">
        <f>F5+J5+N5+R5+V5+Z5</f>
        <v>201.95</v>
      </c>
      <c r="AE5" s="49">
        <f>AD5-AC5</f>
        <v>-40.88</v>
      </c>
      <c r="AF5" s="55"/>
      <c r="AG5" s="55"/>
      <c r="AH5" s="56"/>
      <c r="AI5" s="56"/>
      <c r="AJ5" s="57"/>
    </row>
    <row r="6" s="1" customFormat="1" ht="23" customHeight="1" spans="1:36">
      <c r="A6" s="43"/>
      <c r="B6" s="19"/>
      <c r="C6" s="58" t="s">
        <v>30</v>
      </c>
      <c r="D6" s="59"/>
      <c r="E6" s="60"/>
      <c r="F6" s="61">
        <v>0</v>
      </c>
      <c r="G6" s="62"/>
      <c r="H6" s="59"/>
      <c r="I6" s="60"/>
      <c r="J6" s="61">
        <v>0</v>
      </c>
      <c r="K6" s="63"/>
      <c r="L6" s="59"/>
      <c r="M6" s="60"/>
      <c r="N6" s="61">
        <v>0</v>
      </c>
      <c r="O6" s="63"/>
      <c r="P6" s="59"/>
      <c r="Q6" s="60"/>
      <c r="R6" s="61">
        <v>0</v>
      </c>
      <c r="S6" s="63"/>
      <c r="T6" s="59"/>
      <c r="U6" s="60"/>
      <c r="V6" s="61">
        <v>0</v>
      </c>
      <c r="W6" s="63"/>
      <c r="X6" s="59">
        <v>4.23</v>
      </c>
      <c r="Y6" s="60"/>
      <c r="Z6" s="58">
        <v>20.7</v>
      </c>
      <c r="AA6" s="63">
        <v>20.7</v>
      </c>
      <c r="AB6" s="59">
        <v>4.23</v>
      </c>
      <c r="AC6" s="64"/>
      <c r="AD6" s="63">
        <f>F6+J6+N6+R6+V6+Z6</f>
        <v>20.7</v>
      </c>
      <c r="AE6" s="65">
        <f>AD6-AC6</f>
        <v>20.7</v>
      </c>
      <c r="AF6" s="66"/>
      <c r="AG6" s="55"/>
      <c r="AH6" s="20"/>
      <c r="AI6" s="20"/>
      <c r="AJ6" s="67"/>
    </row>
    <row r="7" s="1" customFormat="1" ht="17" customHeight="1" spans="1:36">
      <c r="A7" s="43"/>
      <c r="B7" s="68" t="s">
        <v>31</v>
      </c>
      <c r="C7" s="69" t="s">
        <v>25</v>
      </c>
      <c r="D7" s="70"/>
      <c r="E7" s="71"/>
      <c r="F7" s="72">
        <v>0</v>
      </c>
      <c r="G7" s="73"/>
      <c r="H7" s="70"/>
      <c r="I7" s="71"/>
      <c r="J7" s="72">
        <v>0</v>
      </c>
      <c r="K7" s="74"/>
      <c r="L7" s="70"/>
      <c r="M7" s="71"/>
      <c r="N7" s="72">
        <v>0</v>
      </c>
      <c r="O7" s="74"/>
      <c r="P7" s="75">
        <v>276</v>
      </c>
      <c r="Q7" s="71"/>
      <c r="R7" s="76">
        <v>192.64</v>
      </c>
      <c r="S7" s="77">
        <v>192.64</v>
      </c>
      <c r="T7" s="70">
        <v>84.84</v>
      </c>
      <c r="U7" s="71"/>
      <c r="V7" s="76">
        <v>265.54</v>
      </c>
      <c r="W7" s="77">
        <v>265.54</v>
      </c>
      <c r="X7" s="70">
        <v>61.14</v>
      </c>
      <c r="Y7" s="71">
        <v>120.35</v>
      </c>
      <c r="Z7" s="76">
        <v>71.39</v>
      </c>
      <c r="AA7" s="73">
        <v>-48.95</v>
      </c>
      <c r="AB7" s="70">
        <v>421.98</v>
      </c>
      <c r="AC7" s="78">
        <f>E7+I7+M7+Q7+U7+Y7</f>
        <v>120.35</v>
      </c>
      <c r="AD7" s="74">
        <f>F7+J7+N7+R7+V7+Z7</f>
        <v>529.57</v>
      </c>
      <c r="AE7" s="79">
        <f>AD7-AC7</f>
        <v>409.22</v>
      </c>
      <c r="AF7" s="80">
        <f>AE7+AE9+AE10</f>
        <v>361.16</v>
      </c>
      <c r="AG7" s="81">
        <v>1.108</v>
      </c>
      <c r="AH7" s="82" t="s">
        <v>32</v>
      </c>
      <c r="AI7" s="82" t="s">
        <v>33</v>
      </c>
      <c r="AJ7" s="83" t="s">
        <v>34</v>
      </c>
    </row>
    <row r="8" s="1" customFormat="1" ht="17" customHeight="1" spans="1:36">
      <c r="A8" s="43"/>
      <c r="B8" s="44"/>
      <c r="C8" s="84" t="s">
        <v>28</v>
      </c>
      <c r="D8" s="46"/>
      <c r="E8" s="47"/>
      <c r="F8" s="48">
        <v>0</v>
      </c>
      <c r="G8" s="49"/>
      <c r="H8" s="46"/>
      <c r="I8" s="47"/>
      <c r="J8" s="48">
        <v>0</v>
      </c>
      <c r="K8" s="50"/>
      <c r="L8" s="46"/>
      <c r="M8" s="47"/>
      <c r="N8" s="48">
        <v>0</v>
      </c>
      <c r="O8" s="50"/>
      <c r="P8" s="46"/>
      <c r="Q8" s="47"/>
      <c r="R8" s="48">
        <v>0</v>
      </c>
      <c r="S8" s="52"/>
      <c r="T8" s="46"/>
      <c r="U8" s="47"/>
      <c r="V8" s="48">
        <v>0</v>
      </c>
      <c r="W8" s="52"/>
      <c r="X8" s="46">
        <v>51.24</v>
      </c>
      <c r="Y8" s="47"/>
      <c r="Z8" s="48">
        <v>0</v>
      </c>
      <c r="AA8" s="49"/>
      <c r="AB8" s="46">
        <v>51.24</v>
      </c>
      <c r="AC8" s="53"/>
      <c r="AD8" s="50"/>
      <c r="AE8" s="54"/>
      <c r="AF8" s="55"/>
      <c r="AG8" s="55"/>
      <c r="AH8" s="56"/>
      <c r="AI8" s="56"/>
      <c r="AJ8" s="57"/>
    </row>
    <row r="9" s="1" customFormat="1" spans="1:36">
      <c r="A9" s="43"/>
      <c r="B9" s="44"/>
      <c r="C9" s="51" t="s">
        <v>29</v>
      </c>
      <c r="D9" s="46"/>
      <c r="E9" s="47"/>
      <c r="F9" s="48">
        <v>0</v>
      </c>
      <c r="G9" s="49"/>
      <c r="H9" s="46"/>
      <c r="I9" s="47"/>
      <c r="J9" s="48">
        <v>0</v>
      </c>
      <c r="K9" s="50"/>
      <c r="L9" s="46"/>
      <c r="M9" s="47"/>
      <c r="N9" s="48">
        <v>0</v>
      </c>
      <c r="O9" s="50"/>
      <c r="P9" s="46"/>
      <c r="Q9" s="47"/>
      <c r="R9" s="48">
        <v>0</v>
      </c>
      <c r="S9" s="50"/>
      <c r="T9" s="46">
        <v>224.04</v>
      </c>
      <c r="U9" s="47"/>
      <c r="V9" s="48">
        <v>0</v>
      </c>
      <c r="W9" s="50"/>
      <c r="X9" s="46">
        <v>269.0676</v>
      </c>
      <c r="Y9" s="47">
        <v>191.66</v>
      </c>
      <c r="Z9" s="51">
        <v>157.43</v>
      </c>
      <c r="AA9" s="49">
        <v>-34.23</v>
      </c>
      <c r="AB9" s="46">
        <v>493.1076</v>
      </c>
      <c r="AC9" s="53">
        <f>E9+I9+M9+Q9+U9+Y9</f>
        <v>191.66</v>
      </c>
      <c r="AD9" s="50">
        <f>F9+J9+N9+R9+V9+Z9</f>
        <v>157.43</v>
      </c>
      <c r="AE9" s="49">
        <f>AD9-AC9</f>
        <v>-34.23</v>
      </c>
      <c r="AF9" s="55"/>
      <c r="AG9" s="55"/>
      <c r="AH9" s="56"/>
      <c r="AI9" s="56"/>
      <c r="AJ9" s="57"/>
    </row>
    <row r="10" s="1" customFormat="1" ht="54" customHeight="1" spans="1:36">
      <c r="A10" s="43"/>
      <c r="B10" s="19"/>
      <c r="C10" s="85" t="s">
        <v>30</v>
      </c>
      <c r="D10" s="86"/>
      <c r="E10" s="87"/>
      <c r="F10" s="88">
        <v>0</v>
      </c>
      <c r="G10" s="89"/>
      <c r="H10" s="86"/>
      <c r="I10" s="87"/>
      <c r="J10" s="88">
        <v>0</v>
      </c>
      <c r="K10" s="90"/>
      <c r="L10" s="86"/>
      <c r="M10" s="87"/>
      <c r="N10" s="88">
        <v>0</v>
      </c>
      <c r="O10" s="90"/>
      <c r="P10" s="86"/>
      <c r="Q10" s="87"/>
      <c r="R10" s="88">
        <v>0</v>
      </c>
      <c r="S10" s="90"/>
      <c r="T10" s="86"/>
      <c r="U10" s="87"/>
      <c r="V10" s="88">
        <v>0</v>
      </c>
      <c r="W10" s="90"/>
      <c r="X10" s="86">
        <v>5.96</v>
      </c>
      <c r="Y10" s="87">
        <v>13.83</v>
      </c>
      <c r="Z10" s="88">
        <v>0</v>
      </c>
      <c r="AA10" s="89">
        <v>-13.83</v>
      </c>
      <c r="AB10" s="86">
        <v>5.96</v>
      </c>
      <c r="AC10" s="91">
        <f>E10+I10+M10+Q10+U10+Y10</f>
        <v>13.83</v>
      </c>
      <c r="AD10" s="90"/>
      <c r="AE10" s="89">
        <f>AD10-AC10</f>
        <v>-13.83</v>
      </c>
      <c r="AF10" s="66"/>
      <c r="AG10" s="92"/>
      <c r="AH10" s="20"/>
      <c r="AI10" s="20"/>
      <c r="AJ10" s="67"/>
    </row>
    <row r="11" s="1" customFormat="1" ht="17.25" spans="1:36">
      <c r="A11" s="43"/>
      <c r="B11" s="68" t="s">
        <v>35</v>
      </c>
      <c r="C11" s="76" t="s">
        <v>25</v>
      </c>
      <c r="D11" s="70"/>
      <c r="E11" s="71"/>
      <c r="F11" s="72">
        <v>0</v>
      </c>
      <c r="G11" s="73"/>
      <c r="H11" s="70"/>
      <c r="I11" s="71"/>
      <c r="J11" s="72">
        <v>0</v>
      </c>
      <c r="K11" s="74"/>
      <c r="L11" s="70"/>
      <c r="M11" s="71"/>
      <c r="N11" s="72">
        <v>0</v>
      </c>
      <c r="O11" s="74"/>
      <c r="P11" s="70"/>
      <c r="Q11" s="71"/>
      <c r="R11" s="72">
        <v>0</v>
      </c>
      <c r="S11" s="74"/>
      <c r="T11" s="70"/>
      <c r="U11" s="71"/>
      <c r="V11" s="72">
        <v>0</v>
      </c>
      <c r="W11" s="74"/>
      <c r="X11" s="70"/>
      <c r="Y11" s="71">
        <v>18.08</v>
      </c>
      <c r="Z11" s="76">
        <v>18.08</v>
      </c>
      <c r="AA11" s="74"/>
      <c r="AB11" s="70"/>
      <c r="AC11" s="78">
        <f>E11+I11+M11+Q11+U11+Y11</f>
        <v>18.08</v>
      </c>
      <c r="AD11" s="74">
        <f>F11+J11+N11+R11+V11+Z11</f>
        <v>18.08</v>
      </c>
      <c r="AE11" s="79"/>
      <c r="AF11" s="93">
        <f>AE11+AE13+AE14</f>
        <v>51.34</v>
      </c>
      <c r="AG11" s="94">
        <v>0.481</v>
      </c>
      <c r="AH11" s="82" t="s">
        <v>36</v>
      </c>
      <c r="AI11" s="82" t="s">
        <v>37</v>
      </c>
      <c r="AJ11" s="83"/>
    </row>
    <row r="12" s="1" customFormat="1" spans="1:36">
      <c r="A12" s="43"/>
      <c r="B12" s="44"/>
      <c r="C12" s="84" t="s">
        <v>28</v>
      </c>
      <c r="D12" s="46"/>
      <c r="E12" s="47"/>
      <c r="F12" s="48">
        <v>0</v>
      </c>
      <c r="G12" s="49"/>
      <c r="H12" s="46"/>
      <c r="I12" s="47"/>
      <c r="J12" s="48">
        <v>0</v>
      </c>
      <c r="K12" s="50"/>
      <c r="L12" s="46"/>
      <c r="M12" s="47"/>
      <c r="N12" s="48">
        <v>0</v>
      </c>
      <c r="O12" s="50"/>
      <c r="P12" s="46"/>
      <c r="Q12" s="47"/>
      <c r="R12" s="48">
        <v>0</v>
      </c>
      <c r="S12" s="50"/>
      <c r="T12" s="46"/>
      <c r="U12" s="47"/>
      <c r="V12" s="48">
        <v>0</v>
      </c>
      <c r="W12" s="50"/>
      <c r="X12" s="46"/>
      <c r="Y12" s="47"/>
      <c r="Z12" s="48">
        <v>0</v>
      </c>
      <c r="AA12" s="50"/>
      <c r="AB12" s="46"/>
      <c r="AC12" s="53"/>
      <c r="AD12" s="50"/>
      <c r="AE12" s="54"/>
      <c r="AF12" s="55"/>
      <c r="AG12" s="55"/>
      <c r="AH12" s="56"/>
      <c r="AI12" s="56"/>
      <c r="AJ12" s="57"/>
    </row>
    <row r="13" s="1" customFormat="1" spans="1:36">
      <c r="A13" s="43"/>
      <c r="B13" s="44"/>
      <c r="C13" s="51" t="s">
        <v>29</v>
      </c>
      <c r="D13" s="46"/>
      <c r="E13" s="47"/>
      <c r="F13" s="48">
        <v>0</v>
      </c>
      <c r="G13" s="49"/>
      <c r="H13" s="46"/>
      <c r="I13" s="47"/>
      <c r="J13" s="48">
        <v>0</v>
      </c>
      <c r="K13" s="50"/>
      <c r="L13" s="46"/>
      <c r="M13" s="47"/>
      <c r="N13" s="48">
        <v>0</v>
      </c>
      <c r="O13" s="50"/>
      <c r="P13" s="46"/>
      <c r="Q13" s="47"/>
      <c r="R13" s="48">
        <v>0</v>
      </c>
      <c r="S13" s="50"/>
      <c r="T13" s="46">
        <v>59</v>
      </c>
      <c r="U13" s="47"/>
      <c r="V13" s="51">
        <v>51.49</v>
      </c>
      <c r="W13" s="52">
        <v>51.49</v>
      </c>
      <c r="X13" s="46">
        <v>101.864</v>
      </c>
      <c r="Y13" s="47">
        <v>79.72</v>
      </c>
      <c r="Z13" s="51">
        <v>88.57</v>
      </c>
      <c r="AA13" s="50">
        <v>8.85</v>
      </c>
      <c r="AB13" s="46">
        <v>160.864</v>
      </c>
      <c r="AC13" s="53">
        <f t="shared" ref="AC13:AC19" si="0">E13+I13+M13+Q13+U13+Y13</f>
        <v>79.72</v>
      </c>
      <c r="AD13" s="50">
        <f>F13+J13+N13+R13+V13+Z13</f>
        <v>140.06</v>
      </c>
      <c r="AE13" s="54">
        <f t="shared" ref="AE13:AE19" si="1">AD13-AC13</f>
        <v>60.34</v>
      </c>
      <c r="AF13" s="55"/>
      <c r="AG13" s="55"/>
      <c r="AH13" s="56"/>
      <c r="AI13" s="56"/>
      <c r="AJ13" s="57"/>
    </row>
    <row r="14" s="1" customFormat="1" ht="22" customHeight="1" spans="1:36">
      <c r="A14" s="43"/>
      <c r="B14" s="19"/>
      <c r="C14" s="85" t="s">
        <v>30</v>
      </c>
      <c r="D14" s="86"/>
      <c r="E14" s="87"/>
      <c r="F14" s="88">
        <v>0</v>
      </c>
      <c r="G14" s="89"/>
      <c r="H14" s="86"/>
      <c r="I14" s="87"/>
      <c r="J14" s="88">
        <v>0</v>
      </c>
      <c r="K14" s="90"/>
      <c r="L14" s="86"/>
      <c r="M14" s="87"/>
      <c r="N14" s="88">
        <v>0</v>
      </c>
      <c r="O14" s="90"/>
      <c r="P14" s="86"/>
      <c r="Q14" s="87"/>
      <c r="R14" s="88">
        <v>0</v>
      </c>
      <c r="S14" s="90"/>
      <c r="T14" s="86"/>
      <c r="U14" s="87"/>
      <c r="V14" s="88">
        <v>0</v>
      </c>
      <c r="W14" s="90"/>
      <c r="X14" s="86">
        <v>57.0417</v>
      </c>
      <c r="Y14" s="87">
        <v>9</v>
      </c>
      <c r="Z14" s="88">
        <v>0</v>
      </c>
      <c r="AA14" s="89">
        <v>-9</v>
      </c>
      <c r="AB14" s="86">
        <v>57.0417</v>
      </c>
      <c r="AC14" s="91">
        <f t="shared" si="0"/>
        <v>9</v>
      </c>
      <c r="AD14" s="90"/>
      <c r="AE14" s="89">
        <f t="shared" si="1"/>
        <v>-9</v>
      </c>
      <c r="AF14" s="66"/>
      <c r="AG14" s="92"/>
      <c r="AH14" s="20"/>
      <c r="AI14" s="20"/>
      <c r="AJ14" s="67"/>
    </row>
    <row r="15" s="1" customFormat="1" ht="17.25" spans="1:36">
      <c r="A15" s="43"/>
      <c r="B15" s="68" t="s">
        <v>38</v>
      </c>
      <c r="C15" s="76" t="s">
        <v>25</v>
      </c>
      <c r="D15" s="70"/>
      <c r="E15" s="71"/>
      <c r="F15" s="72">
        <v>0</v>
      </c>
      <c r="G15" s="73"/>
      <c r="H15" s="70"/>
      <c r="I15" s="71"/>
      <c r="J15" s="72">
        <v>0</v>
      </c>
      <c r="K15" s="74"/>
      <c r="L15" s="70"/>
      <c r="M15" s="71"/>
      <c r="N15" s="72">
        <v>0</v>
      </c>
      <c r="O15" s="74"/>
      <c r="P15" s="70">
        <v>107.1</v>
      </c>
      <c r="Q15" s="71"/>
      <c r="R15" s="72">
        <v>0</v>
      </c>
      <c r="S15" s="74"/>
      <c r="T15" s="70"/>
      <c r="U15" s="71"/>
      <c r="V15" s="72">
        <v>0</v>
      </c>
      <c r="W15" s="74"/>
      <c r="X15" s="70"/>
      <c r="Y15" s="71">
        <v>40.17</v>
      </c>
      <c r="Z15" s="76">
        <v>91.16</v>
      </c>
      <c r="AA15" s="77">
        <v>50.99</v>
      </c>
      <c r="AB15" s="70">
        <v>107.1</v>
      </c>
      <c r="AC15" s="78">
        <f t="shared" si="0"/>
        <v>40.17</v>
      </c>
      <c r="AD15" s="74">
        <f>F15+J15+N15+R15+V15+Z15</f>
        <v>91.16</v>
      </c>
      <c r="AE15" s="79">
        <f t="shared" si="1"/>
        <v>50.99</v>
      </c>
      <c r="AF15" s="93">
        <f>AE15+AE16+AE17+AE18</f>
        <v>25.01</v>
      </c>
      <c r="AG15" s="94">
        <v>0.091</v>
      </c>
      <c r="AH15" s="82" t="s">
        <v>39</v>
      </c>
      <c r="AI15" s="82" t="s">
        <v>40</v>
      </c>
      <c r="AJ15" s="83"/>
    </row>
    <row r="16" s="1" customFormat="1" spans="1:36">
      <c r="A16" s="43"/>
      <c r="B16" s="44"/>
      <c r="C16" s="95" t="s">
        <v>28</v>
      </c>
      <c r="D16" s="46"/>
      <c r="E16" s="47"/>
      <c r="F16" s="48">
        <v>0</v>
      </c>
      <c r="G16" s="49"/>
      <c r="H16" s="46"/>
      <c r="I16" s="47"/>
      <c r="J16" s="48">
        <v>0</v>
      </c>
      <c r="K16" s="50"/>
      <c r="L16" s="46"/>
      <c r="M16" s="47"/>
      <c r="N16" s="48">
        <v>0</v>
      </c>
      <c r="O16" s="50"/>
      <c r="P16" s="46"/>
      <c r="Q16" s="47"/>
      <c r="R16" s="48">
        <v>0</v>
      </c>
      <c r="S16" s="50"/>
      <c r="T16" s="46"/>
      <c r="U16" s="47">
        <v>94.28</v>
      </c>
      <c r="V16" s="48">
        <v>0</v>
      </c>
      <c r="W16" s="49">
        <v>-94.28</v>
      </c>
      <c r="X16" s="46"/>
      <c r="Y16" s="47">
        <v>2.1</v>
      </c>
      <c r="Z16" s="48">
        <v>0</v>
      </c>
      <c r="AA16" s="49">
        <v>-2.1</v>
      </c>
      <c r="AB16" s="46"/>
      <c r="AC16" s="53">
        <f t="shared" si="0"/>
        <v>96.38</v>
      </c>
      <c r="AD16" s="50"/>
      <c r="AE16" s="49">
        <f t="shared" si="1"/>
        <v>-96.38</v>
      </c>
      <c r="AF16" s="55"/>
      <c r="AG16" s="55"/>
      <c r="AH16" s="56"/>
      <c r="AI16" s="56"/>
      <c r="AJ16" s="57"/>
    </row>
    <row r="17" s="1" customFormat="1" spans="1:36">
      <c r="A17" s="43"/>
      <c r="B17" s="44"/>
      <c r="C17" s="51" t="s">
        <v>29</v>
      </c>
      <c r="D17" s="46"/>
      <c r="E17" s="47"/>
      <c r="F17" s="48">
        <v>0</v>
      </c>
      <c r="G17" s="49"/>
      <c r="H17" s="46"/>
      <c r="I17" s="47"/>
      <c r="J17" s="48">
        <v>0</v>
      </c>
      <c r="K17" s="50"/>
      <c r="L17" s="46"/>
      <c r="M17" s="47"/>
      <c r="N17" s="48">
        <v>0</v>
      </c>
      <c r="O17" s="50"/>
      <c r="P17" s="46">
        <v>193.822</v>
      </c>
      <c r="Q17" s="47">
        <v>104.84</v>
      </c>
      <c r="R17" s="48">
        <v>0</v>
      </c>
      <c r="S17" s="49">
        <v>-104.84</v>
      </c>
      <c r="T17" s="46">
        <v>353.684</v>
      </c>
      <c r="U17" s="47"/>
      <c r="V17" s="48">
        <v>0</v>
      </c>
      <c r="W17" s="50"/>
      <c r="X17" s="46">
        <v>188.9915</v>
      </c>
      <c r="Y17" s="47">
        <v>28.45</v>
      </c>
      <c r="Z17" s="51">
        <v>157.17</v>
      </c>
      <c r="AA17" s="52">
        <v>128.72</v>
      </c>
      <c r="AB17" s="46">
        <v>736.4975</v>
      </c>
      <c r="AC17" s="53">
        <f t="shared" si="0"/>
        <v>133.29</v>
      </c>
      <c r="AD17" s="50">
        <f>F17+J17+N17+R17+V17+Z17</f>
        <v>157.17</v>
      </c>
      <c r="AE17" s="54">
        <f t="shared" si="1"/>
        <v>23.88</v>
      </c>
      <c r="AF17" s="55"/>
      <c r="AG17" s="55"/>
      <c r="AH17" s="56"/>
      <c r="AI17" s="56"/>
      <c r="AJ17" s="57"/>
    </row>
    <row r="18" s="1" customFormat="1" ht="22" customHeight="1" spans="1:36">
      <c r="A18" s="43"/>
      <c r="B18" s="19"/>
      <c r="C18" s="85" t="s">
        <v>30</v>
      </c>
      <c r="D18" s="86"/>
      <c r="E18" s="87"/>
      <c r="F18" s="88">
        <v>0</v>
      </c>
      <c r="G18" s="89"/>
      <c r="H18" s="86"/>
      <c r="I18" s="87"/>
      <c r="J18" s="88">
        <v>0</v>
      </c>
      <c r="K18" s="90"/>
      <c r="L18" s="86"/>
      <c r="M18" s="87"/>
      <c r="N18" s="88">
        <v>0</v>
      </c>
      <c r="O18" s="90"/>
      <c r="P18" s="86"/>
      <c r="Q18" s="87"/>
      <c r="R18" s="88">
        <v>0</v>
      </c>
      <c r="S18" s="90"/>
      <c r="T18" s="86"/>
      <c r="U18" s="87"/>
      <c r="V18" s="85">
        <v>52</v>
      </c>
      <c r="W18" s="96">
        <v>52</v>
      </c>
      <c r="X18" s="86">
        <v>27.314</v>
      </c>
      <c r="Y18" s="87">
        <v>5.48</v>
      </c>
      <c r="Z18" s="88">
        <v>0</v>
      </c>
      <c r="AA18" s="89">
        <v>-5.48</v>
      </c>
      <c r="AB18" s="86">
        <v>27.314</v>
      </c>
      <c r="AC18" s="91">
        <f t="shared" si="0"/>
        <v>5.48</v>
      </c>
      <c r="AD18" s="90">
        <f>F18+J18+N18+R18+V18+Z18</f>
        <v>52</v>
      </c>
      <c r="AE18" s="97">
        <f t="shared" si="1"/>
        <v>46.52</v>
      </c>
      <c r="AF18" s="66"/>
      <c r="AG18" s="92"/>
      <c r="AH18" s="20"/>
      <c r="AI18" s="20"/>
      <c r="AJ18" s="67"/>
    </row>
    <row r="19" s="1" customFormat="1" ht="17.25" spans="1:36">
      <c r="A19" s="43"/>
      <c r="B19" s="68" t="s">
        <v>41</v>
      </c>
      <c r="C19" s="76" t="s">
        <v>25</v>
      </c>
      <c r="D19" s="70"/>
      <c r="E19" s="71"/>
      <c r="F19" s="72">
        <v>0</v>
      </c>
      <c r="G19" s="73"/>
      <c r="H19" s="70"/>
      <c r="I19" s="71"/>
      <c r="J19" s="72">
        <v>0</v>
      </c>
      <c r="K19" s="74"/>
      <c r="L19" s="70"/>
      <c r="M19" s="71"/>
      <c r="N19" s="72">
        <v>0</v>
      </c>
      <c r="O19" s="74"/>
      <c r="P19" s="70"/>
      <c r="Q19" s="71"/>
      <c r="R19" s="72">
        <v>0</v>
      </c>
      <c r="S19" s="74"/>
      <c r="T19" s="70"/>
      <c r="U19" s="71">
        <v>70</v>
      </c>
      <c r="V19" s="76">
        <v>90.9</v>
      </c>
      <c r="W19" s="74">
        <v>20.9</v>
      </c>
      <c r="X19" s="70"/>
      <c r="Y19" s="71">
        <v>3.5</v>
      </c>
      <c r="Z19" s="76">
        <v>18.4</v>
      </c>
      <c r="AA19" s="74">
        <v>14.9</v>
      </c>
      <c r="AB19" s="70"/>
      <c r="AC19" s="78">
        <f t="shared" si="0"/>
        <v>73.5</v>
      </c>
      <c r="AD19" s="74">
        <f>F19+J19+N19+R19+V19+Z19</f>
        <v>109.3</v>
      </c>
      <c r="AE19" s="79">
        <f t="shared" si="1"/>
        <v>35.8</v>
      </c>
      <c r="AF19" s="98">
        <f>AE19+AE21+AE22</f>
        <v>-14.76</v>
      </c>
      <c r="AG19" s="99">
        <v>-0.119</v>
      </c>
      <c r="AH19" s="100" t="s">
        <v>42</v>
      </c>
      <c r="AI19" s="82" t="s">
        <v>43</v>
      </c>
      <c r="AJ19" s="83" t="s">
        <v>44</v>
      </c>
    </row>
    <row r="20" s="1" customFormat="1" spans="1:36">
      <c r="A20" s="43"/>
      <c r="B20" s="44"/>
      <c r="C20" s="84" t="s">
        <v>28</v>
      </c>
      <c r="D20" s="46"/>
      <c r="E20" s="47"/>
      <c r="F20" s="48">
        <v>0</v>
      </c>
      <c r="G20" s="49"/>
      <c r="H20" s="46"/>
      <c r="I20" s="47"/>
      <c r="J20" s="48">
        <v>0</v>
      </c>
      <c r="K20" s="50"/>
      <c r="L20" s="46"/>
      <c r="M20" s="47"/>
      <c r="N20" s="48">
        <v>0</v>
      </c>
      <c r="O20" s="50"/>
      <c r="P20" s="46"/>
      <c r="Q20" s="47"/>
      <c r="R20" s="48">
        <v>0</v>
      </c>
      <c r="S20" s="50"/>
      <c r="T20" s="46"/>
      <c r="U20" s="47"/>
      <c r="V20" s="48">
        <v>0</v>
      </c>
      <c r="W20" s="50"/>
      <c r="X20" s="46"/>
      <c r="Y20" s="47"/>
      <c r="Z20" s="48">
        <v>0</v>
      </c>
      <c r="AA20" s="50"/>
      <c r="AB20" s="46"/>
      <c r="AC20" s="53"/>
      <c r="AD20" s="50"/>
      <c r="AE20" s="54"/>
      <c r="AF20" s="55"/>
      <c r="AG20" s="55"/>
      <c r="AH20" s="56"/>
      <c r="AI20" s="56"/>
      <c r="AJ20" s="57"/>
    </row>
    <row r="21" s="1" customFormat="1" spans="1:36">
      <c r="A21" s="43"/>
      <c r="B21" s="44"/>
      <c r="C21" s="51" t="s">
        <v>29</v>
      </c>
      <c r="D21" s="46"/>
      <c r="E21" s="47"/>
      <c r="F21" s="48">
        <v>0</v>
      </c>
      <c r="G21" s="49"/>
      <c r="H21" s="46"/>
      <c r="I21" s="47"/>
      <c r="J21" s="48">
        <v>0</v>
      </c>
      <c r="K21" s="50"/>
      <c r="L21" s="46"/>
      <c r="M21" s="47"/>
      <c r="N21" s="48">
        <v>0</v>
      </c>
      <c r="O21" s="50"/>
      <c r="P21" s="46"/>
      <c r="Q21" s="47"/>
      <c r="R21" s="48">
        <v>0</v>
      </c>
      <c r="S21" s="50"/>
      <c r="T21" s="46">
        <v>65</v>
      </c>
      <c r="U21" s="47"/>
      <c r="V21" s="48">
        <v>0</v>
      </c>
      <c r="W21" s="50"/>
      <c r="X21" s="46">
        <v>37.4576</v>
      </c>
      <c r="Y21" s="47">
        <v>45.15</v>
      </c>
      <c r="Z21" s="48">
        <v>0</v>
      </c>
      <c r="AA21" s="49">
        <v>-45.15</v>
      </c>
      <c r="AB21" s="46">
        <v>102.4576</v>
      </c>
      <c r="AC21" s="53">
        <f>E21+I21+M21+Q21+U21+Y21</f>
        <v>45.15</v>
      </c>
      <c r="AD21" s="50"/>
      <c r="AE21" s="49">
        <f>AD21-AC21</f>
        <v>-45.15</v>
      </c>
      <c r="AF21" s="55"/>
      <c r="AG21" s="55"/>
      <c r="AH21" s="56"/>
      <c r="AI21" s="56"/>
      <c r="AJ21" s="57"/>
    </row>
    <row r="22" s="1" customFormat="1" ht="29" customHeight="1" spans="1:36">
      <c r="A22" s="43"/>
      <c r="B22" s="19"/>
      <c r="C22" s="85" t="s">
        <v>30</v>
      </c>
      <c r="D22" s="86"/>
      <c r="E22" s="87"/>
      <c r="F22" s="88">
        <v>0</v>
      </c>
      <c r="G22" s="89"/>
      <c r="H22" s="86"/>
      <c r="I22" s="87"/>
      <c r="J22" s="88">
        <v>0</v>
      </c>
      <c r="K22" s="90"/>
      <c r="L22" s="86"/>
      <c r="M22" s="87"/>
      <c r="N22" s="88">
        <v>0</v>
      </c>
      <c r="O22" s="90"/>
      <c r="P22" s="86"/>
      <c r="Q22" s="87"/>
      <c r="R22" s="88">
        <v>0</v>
      </c>
      <c r="S22" s="90"/>
      <c r="T22" s="86"/>
      <c r="U22" s="87"/>
      <c r="V22" s="88">
        <v>0</v>
      </c>
      <c r="W22" s="90"/>
      <c r="X22" s="86"/>
      <c r="Y22" s="87">
        <v>5.41</v>
      </c>
      <c r="Z22" s="88">
        <v>0</v>
      </c>
      <c r="AA22" s="89">
        <v>-5.41</v>
      </c>
      <c r="AB22" s="86"/>
      <c r="AC22" s="91">
        <f>E22+I22+M22+Q22+U22+Y22</f>
        <v>5.41</v>
      </c>
      <c r="AD22" s="90"/>
      <c r="AE22" s="89">
        <f>AD22-AC22</f>
        <v>-5.41</v>
      </c>
      <c r="AF22" s="66"/>
      <c r="AG22" s="92"/>
      <c r="AH22" s="20"/>
      <c r="AI22" s="20"/>
      <c r="AJ22" s="67"/>
    </row>
    <row r="23" s="1" customFormat="1" ht="17.25" spans="1:36">
      <c r="A23" s="43"/>
      <c r="B23" s="68" t="s">
        <v>45</v>
      </c>
      <c r="C23" s="76" t="s">
        <v>25</v>
      </c>
      <c r="D23" s="70"/>
      <c r="E23" s="71"/>
      <c r="F23" s="72">
        <v>0</v>
      </c>
      <c r="G23" s="73"/>
      <c r="H23" s="70"/>
      <c r="I23" s="71"/>
      <c r="J23" s="72">
        <v>0</v>
      </c>
      <c r="K23" s="74"/>
      <c r="L23" s="70"/>
      <c r="M23" s="71"/>
      <c r="N23" s="72">
        <v>0</v>
      </c>
      <c r="O23" s="74"/>
      <c r="P23" s="70"/>
      <c r="Q23" s="71"/>
      <c r="R23" s="72">
        <v>0</v>
      </c>
      <c r="S23" s="74"/>
      <c r="T23" s="70"/>
      <c r="U23" s="71"/>
      <c r="V23" s="72">
        <v>0</v>
      </c>
      <c r="W23" s="74"/>
      <c r="X23" s="70">
        <v>89.39</v>
      </c>
      <c r="Y23" s="71">
        <v>45.23</v>
      </c>
      <c r="Z23" s="76">
        <v>54.15</v>
      </c>
      <c r="AA23" s="74">
        <v>8.92</v>
      </c>
      <c r="AB23" s="70">
        <v>89.39</v>
      </c>
      <c r="AC23" s="78">
        <f>E23+I23+M23+Q23+U23+Y23</f>
        <v>45.23</v>
      </c>
      <c r="AD23" s="74">
        <f>F23+J23+N23+R23+V23+Z23</f>
        <v>54.15</v>
      </c>
      <c r="AE23" s="79">
        <f>AD23-AC23</f>
        <v>8.92</v>
      </c>
      <c r="AF23" s="101">
        <f>AE23+AE24+AE25</f>
        <v>-79.01</v>
      </c>
      <c r="AG23" s="99">
        <v>-0.106</v>
      </c>
      <c r="AH23" s="82" t="s">
        <v>46</v>
      </c>
      <c r="AI23" s="82" t="s">
        <v>47</v>
      </c>
      <c r="AJ23" s="83"/>
    </row>
    <row r="24" s="1" customFormat="1" spans="1:36">
      <c r="A24" s="43"/>
      <c r="B24" s="44"/>
      <c r="C24" s="51" t="s">
        <v>28</v>
      </c>
      <c r="D24" s="46"/>
      <c r="E24" s="47"/>
      <c r="F24" s="48">
        <v>0</v>
      </c>
      <c r="G24" s="49"/>
      <c r="H24" s="46"/>
      <c r="I24" s="47"/>
      <c r="J24" s="48">
        <v>0</v>
      </c>
      <c r="K24" s="50"/>
      <c r="L24" s="46"/>
      <c r="M24" s="47"/>
      <c r="N24" s="48">
        <v>0</v>
      </c>
      <c r="O24" s="50"/>
      <c r="P24" s="46"/>
      <c r="Q24" s="47"/>
      <c r="R24" s="48">
        <v>0</v>
      </c>
      <c r="S24" s="50"/>
      <c r="T24" s="46"/>
      <c r="U24" s="47"/>
      <c r="V24" s="51">
        <v>81.6</v>
      </c>
      <c r="W24" s="52">
        <v>81.6</v>
      </c>
      <c r="X24" s="46"/>
      <c r="Y24" s="47"/>
      <c r="Z24" s="48">
        <v>0</v>
      </c>
      <c r="AA24" s="50"/>
      <c r="AB24" s="46"/>
      <c r="AC24" s="53"/>
      <c r="AD24" s="50">
        <f>F24+J24+N24+R24+V24+Z24</f>
        <v>81.6</v>
      </c>
      <c r="AE24" s="54">
        <f>AD24-AC24</f>
        <v>81.6</v>
      </c>
      <c r="AF24" s="55"/>
      <c r="AG24" s="55"/>
      <c r="AH24" s="56"/>
      <c r="AI24" s="56"/>
      <c r="AJ24" s="57"/>
    </row>
    <row r="25" s="1" customFormat="1" spans="1:36">
      <c r="A25" s="43"/>
      <c r="B25" s="44"/>
      <c r="C25" s="95" t="s">
        <v>29</v>
      </c>
      <c r="D25" s="46"/>
      <c r="E25" s="47"/>
      <c r="F25" s="48">
        <v>0</v>
      </c>
      <c r="G25" s="49"/>
      <c r="H25" s="46"/>
      <c r="I25" s="47"/>
      <c r="J25" s="48">
        <v>0</v>
      </c>
      <c r="K25" s="50"/>
      <c r="L25" s="46"/>
      <c r="M25" s="47"/>
      <c r="N25" s="48">
        <v>0</v>
      </c>
      <c r="O25" s="50"/>
      <c r="P25" s="46">
        <v>276.918</v>
      </c>
      <c r="Q25" s="47">
        <v>200</v>
      </c>
      <c r="R25" s="51">
        <v>251.1</v>
      </c>
      <c r="S25" s="52">
        <v>51.1</v>
      </c>
      <c r="T25" s="46">
        <v>69.88</v>
      </c>
      <c r="U25" s="47">
        <v>52.17</v>
      </c>
      <c r="V25" s="48">
        <v>0</v>
      </c>
      <c r="W25" s="49">
        <v>-52.17</v>
      </c>
      <c r="X25" s="46">
        <v>530.8025</v>
      </c>
      <c r="Y25" s="47">
        <v>447.19</v>
      </c>
      <c r="Z25" s="51">
        <v>278.73</v>
      </c>
      <c r="AA25" s="49">
        <v>-168.46</v>
      </c>
      <c r="AB25" s="46">
        <v>877.6005</v>
      </c>
      <c r="AC25" s="53">
        <f>E25+I25+M25+Q25+U25+Y25</f>
        <v>699.36</v>
      </c>
      <c r="AD25" s="50">
        <f>F25+J25+N25+R25+V25+Z25</f>
        <v>529.83</v>
      </c>
      <c r="AE25" s="49">
        <f>AD25-AC25</f>
        <v>-169.53</v>
      </c>
      <c r="AF25" s="55"/>
      <c r="AG25" s="55"/>
      <c r="AH25" s="56"/>
      <c r="AI25" s="56"/>
      <c r="AJ25" s="57"/>
    </row>
    <row r="26" s="1" customFormat="1" ht="28" customHeight="1" spans="1:36">
      <c r="A26" s="43"/>
      <c r="B26" s="19"/>
      <c r="C26" s="102" t="s">
        <v>30</v>
      </c>
      <c r="D26" s="86"/>
      <c r="E26" s="87"/>
      <c r="F26" s="88">
        <v>0</v>
      </c>
      <c r="G26" s="89"/>
      <c r="H26" s="86"/>
      <c r="I26" s="87"/>
      <c r="J26" s="88">
        <v>0</v>
      </c>
      <c r="K26" s="90"/>
      <c r="L26" s="86"/>
      <c r="M26" s="87"/>
      <c r="N26" s="88">
        <v>0</v>
      </c>
      <c r="O26" s="90"/>
      <c r="P26" s="86"/>
      <c r="Q26" s="87"/>
      <c r="R26" s="88">
        <v>0</v>
      </c>
      <c r="S26" s="96"/>
      <c r="T26" s="86"/>
      <c r="U26" s="87"/>
      <c r="V26" s="88">
        <v>0</v>
      </c>
      <c r="W26" s="96"/>
      <c r="X26" s="86">
        <v>33.786</v>
      </c>
      <c r="Y26" s="87"/>
      <c r="Z26" s="88">
        <v>0</v>
      </c>
      <c r="AA26" s="89"/>
      <c r="AB26" s="86">
        <v>33.786</v>
      </c>
      <c r="AC26" s="91"/>
      <c r="AD26" s="90"/>
      <c r="AE26" s="97"/>
      <c r="AF26" s="92"/>
      <c r="AG26" s="92"/>
      <c r="AH26" s="20"/>
      <c r="AI26" s="20"/>
      <c r="AJ26" s="67"/>
    </row>
    <row r="27" s="1" customFormat="1" ht="19" customHeight="1" spans="1:36">
      <c r="A27" s="43"/>
      <c r="B27" s="68" t="s">
        <v>48</v>
      </c>
      <c r="C27" s="76" t="s">
        <v>25</v>
      </c>
      <c r="D27" s="70"/>
      <c r="E27" s="71"/>
      <c r="F27" s="72">
        <v>0</v>
      </c>
      <c r="G27" s="73"/>
      <c r="H27" s="70"/>
      <c r="I27" s="71"/>
      <c r="J27" s="72">
        <v>0</v>
      </c>
      <c r="K27" s="74"/>
      <c r="L27" s="70">
        <v>424</v>
      </c>
      <c r="M27" s="71"/>
      <c r="N27" s="72">
        <v>0</v>
      </c>
      <c r="O27" s="74"/>
      <c r="P27" s="70"/>
      <c r="Q27" s="71"/>
      <c r="R27" s="72">
        <v>0</v>
      </c>
      <c r="S27" s="74"/>
      <c r="T27" s="70"/>
      <c r="U27" s="71"/>
      <c r="V27" s="76">
        <v>57.67</v>
      </c>
      <c r="W27" s="77">
        <v>57.67</v>
      </c>
      <c r="X27" s="70"/>
      <c r="Y27" s="71"/>
      <c r="Z27" s="76">
        <v>0.29</v>
      </c>
      <c r="AA27" s="74">
        <v>0.29</v>
      </c>
      <c r="AB27" s="70">
        <v>424</v>
      </c>
      <c r="AC27" s="78"/>
      <c r="AD27" s="74">
        <f>F27+J27+N27+R27+V27+Z27</f>
        <v>57.96</v>
      </c>
      <c r="AE27" s="79">
        <f>AD27-AC27</f>
        <v>57.96</v>
      </c>
      <c r="AF27" s="101">
        <f>AE27+AE28+AE29</f>
        <v>-80.13</v>
      </c>
      <c r="AG27" s="99">
        <v>-0.253</v>
      </c>
      <c r="AH27" s="82" t="s">
        <v>49</v>
      </c>
      <c r="AI27" s="82" t="s">
        <v>50</v>
      </c>
      <c r="AJ27" s="83"/>
    </row>
    <row r="28" s="1" customFormat="1" spans="1:36">
      <c r="A28" s="43"/>
      <c r="B28" s="44"/>
      <c r="C28" s="51" t="s">
        <v>28</v>
      </c>
      <c r="D28" s="46"/>
      <c r="E28" s="47"/>
      <c r="F28" s="48">
        <v>0</v>
      </c>
      <c r="G28" s="49"/>
      <c r="H28" s="46"/>
      <c r="I28" s="47"/>
      <c r="J28" s="48">
        <v>0</v>
      </c>
      <c r="K28" s="50"/>
      <c r="L28" s="46"/>
      <c r="M28" s="47"/>
      <c r="N28" s="48">
        <v>0</v>
      </c>
      <c r="O28" s="50"/>
      <c r="P28" s="46"/>
      <c r="Q28" s="47"/>
      <c r="R28" s="48">
        <v>0</v>
      </c>
      <c r="S28" s="50"/>
      <c r="T28" s="46"/>
      <c r="U28" s="47"/>
      <c r="V28" s="48">
        <v>0</v>
      </c>
      <c r="W28" s="50"/>
      <c r="X28" s="46">
        <v>35.342606</v>
      </c>
      <c r="Y28" s="47">
        <v>0.8</v>
      </c>
      <c r="Z28" s="48">
        <v>0</v>
      </c>
      <c r="AA28" s="49">
        <v>-0.8</v>
      </c>
      <c r="AB28" s="46">
        <v>35.342606</v>
      </c>
      <c r="AC28" s="53">
        <f>E28+I28+M28+Q28+U28+Y28</f>
        <v>0.8</v>
      </c>
      <c r="AD28" s="50"/>
      <c r="AE28" s="49">
        <f>AD28-AC28</f>
        <v>-0.8</v>
      </c>
      <c r="AF28" s="55"/>
      <c r="AG28" s="55"/>
      <c r="AH28" s="56"/>
      <c r="AI28" s="56"/>
      <c r="AJ28" s="57"/>
    </row>
    <row r="29" s="1" customFormat="1" spans="1:36">
      <c r="A29" s="43"/>
      <c r="B29" s="44"/>
      <c r="C29" s="51" t="s">
        <v>29</v>
      </c>
      <c r="D29" s="46"/>
      <c r="E29" s="47"/>
      <c r="F29" s="48">
        <v>0</v>
      </c>
      <c r="G29" s="49"/>
      <c r="H29" s="46"/>
      <c r="I29" s="47"/>
      <c r="J29" s="48">
        <v>0</v>
      </c>
      <c r="K29" s="50"/>
      <c r="L29" s="46"/>
      <c r="M29" s="47"/>
      <c r="N29" s="48">
        <v>0</v>
      </c>
      <c r="O29" s="50"/>
      <c r="P29" s="46">
        <v>153.004</v>
      </c>
      <c r="Q29" s="47">
        <v>185.75</v>
      </c>
      <c r="R29" s="51">
        <v>157.3</v>
      </c>
      <c r="S29" s="49">
        <v>-28.45</v>
      </c>
      <c r="T29" s="46">
        <v>119.423</v>
      </c>
      <c r="U29" s="47">
        <v>93.37</v>
      </c>
      <c r="V29" s="48">
        <v>0</v>
      </c>
      <c r="W29" s="49">
        <v>-93.37</v>
      </c>
      <c r="X29" s="46">
        <v>253.492843</v>
      </c>
      <c r="Y29" s="47">
        <v>36.47</v>
      </c>
      <c r="Z29" s="51">
        <v>21</v>
      </c>
      <c r="AA29" s="49">
        <v>-15.47</v>
      </c>
      <c r="AB29" s="46">
        <v>525.919843</v>
      </c>
      <c r="AC29" s="53">
        <f>E29+I29+M29+Q29+U29+Y29</f>
        <v>315.59</v>
      </c>
      <c r="AD29" s="50">
        <f>F29+J29+N29+R29+V29+Z29</f>
        <v>178.3</v>
      </c>
      <c r="AE29" s="49">
        <f>AD29-AC29</f>
        <v>-137.29</v>
      </c>
      <c r="AF29" s="55"/>
      <c r="AG29" s="55"/>
      <c r="AH29" s="56"/>
      <c r="AI29" s="56"/>
      <c r="AJ29" s="57"/>
    </row>
    <row r="30" s="1" customFormat="1" ht="29" customHeight="1" spans="1:36">
      <c r="A30" s="43"/>
      <c r="B30" s="19"/>
      <c r="C30" s="102" t="s">
        <v>30</v>
      </c>
      <c r="D30" s="86"/>
      <c r="E30" s="87"/>
      <c r="F30" s="88">
        <v>0</v>
      </c>
      <c r="G30" s="89"/>
      <c r="H30" s="86"/>
      <c r="I30" s="87"/>
      <c r="J30" s="88">
        <v>0</v>
      </c>
      <c r="K30" s="90"/>
      <c r="L30" s="86"/>
      <c r="M30" s="87"/>
      <c r="N30" s="88">
        <v>0</v>
      </c>
      <c r="O30" s="90"/>
      <c r="P30" s="86"/>
      <c r="Q30" s="87"/>
      <c r="R30" s="88">
        <v>0</v>
      </c>
      <c r="S30" s="90"/>
      <c r="T30" s="86"/>
      <c r="U30" s="87"/>
      <c r="V30" s="88">
        <v>0</v>
      </c>
      <c r="W30" s="90"/>
      <c r="X30" s="86">
        <v>22.46</v>
      </c>
      <c r="Y30" s="87"/>
      <c r="Z30" s="88">
        <v>0</v>
      </c>
      <c r="AA30" s="90"/>
      <c r="AB30" s="86">
        <v>22.46</v>
      </c>
      <c r="AC30" s="91"/>
      <c r="AD30" s="90"/>
      <c r="AE30" s="97"/>
      <c r="AF30" s="92"/>
      <c r="AG30" s="92"/>
      <c r="AH30" s="20"/>
      <c r="AI30" s="20"/>
      <c r="AJ30" s="67"/>
    </row>
    <row r="31" s="1" customFormat="1" ht="17.25" spans="1:36">
      <c r="A31" s="43"/>
      <c r="B31" s="68" t="s">
        <v>51</v>
      </c>
      <c r="C31" s="76" t="s">
        <v>25</v>
      </c>
      <c r="D31" s="70"/>
      <c r="E31" s="71"/>
      <c r="F31" s="72">
        <v>0</v>
      </c>
      <c r="G31" s="73"/>
      <c r="H31" s="70"/>
      <c r="I31" s="71"/>
      <c r="J31" s="72">
        <v>0</v>
      </c>
      <c r="K31" s="74"/>
      <c r="L31" s="70"/>
      <c r="M31" s="71"/>
      <c r="N31" s="72">
        <v>0</v>
      </c>
      <c r="O31" s="74"/>
      <c r="P31" s="70">
        <v>110</v>
      </c>
      <c r="Q31" s="71"/>
      <c r="R31" s="76">
        <v>195.8</v>
      </c>
      <c r="S31" s="77">
        <v>195.8</v>
      </c>
      <c r="T31" s="70"/>
      <c r="U31" s="71"/>
      <c r="V31" s="76">
        <v>69</v>
      </c>
      <c r="W31" s="77">
        <v>69</v>
      </c>
      <c r="X31" s="70">
        <v>11.067</v>
      </c>
      <c r="Y31" s="71">
        <v>102.22</v>
      </c>
      <c r="Z31" s="76">
        <v>22</v>
      </c>
      <c r="AA31" s="73">
        <v>-80.22</v>
      </c>
      <c r="AB31" s="70">
        <v>121.067</v>
      </c>
      <c r="AC31" s="78">
        <f>E31+I31+M31+Q31+U31+Y31</f>
        <v>102.22</v>
      </c>
      <c r="AD31" s="74">
        <f>F31+J31+N31+R31+V31+Z31</f>
        <v>286.8</v>
      </c>
      <c r="AE31" s="79">
        <f>AD31-AC31</f>
        <v>184.58</v>
      </c>
      <c r="AF31" s="98">
        <f>AE31+AE33+AE34</f>
        <v>-243.51</v>
      </c>
      <c r="AG31" s="99">
        <v>-0.276</v>
      </c>
      <c r="AH31" s="82" t="s">
        <v>52</v>
      </c>
      <c r="AI31" s="82" t="s">
        <v>53</v>
      </c>
      <c r="AJ31" s="83" t="s">
        <v>54</v>
      </c>
    </row>
    <row r="32" s="1" customFormat="1" spans="1:36">
      <c r="A32" s="43"/>
      <c r="B32" s="44"/>
      <c r="C32" s="84" t="s">
        <v>28</v>
      </c>
      <c r="D32" s="46"/>
      <c r="E32" s="47"/>
      <c r="F32" s="48">
        <v>0</v>
      </c>
      <c r="G32" s="49"/>
      <c r="H32" s="46"/>
      <c r="I32" s="47"/>
      <c r="J32" s="48">
        <v>0</v>
      </c>
      <c r="K32" s="50"/>
      <c r="L32" s="46"/>
      <c r="M32" s="47"/>
      <c r="N32" s="48">
        <v>0</v>
      </c>
      <c r="O32" s="50"/>
      <c r="P32" s="46"/>
      <c r="Q32" s="47"/>
      <c r="R32" s="48">
        <v>0</v>
      </c>
      <c r="S32" s="52"/>
      <c r="T32" s="46"/>
      <c r="U32" s="47"/>
      <c r="V32" s="48">
        <v>0</v>
      </c>
      <c r="W32" s="52"/>
      <c r="X32" s="46">
        <v>73.528</v>
      </c>
      <c r="Y32" s="47"/>
      <c r="Z32" s="48">
        <v>0</v>
      </c>
      <c r="AA32" s="49"/>
      <c r="AB32" s="46">
        <v>73.528</v>
      </c>
      <c r="AC32" s="53"/>
      <c r="AD32" s="50"/>
      <c r="AE32" s="54"/>
      <c r="AF32" s="55"/>
      <c r="AG32" s="55"/>
      <c r="AH32" s="56"/>
      <c r="AI32" s="56"/>
      <c r="AJ32" s="57"/>
    </row>
    <row r="33" s="1" customFormat="1" spans="1:36">
      <c r="A33" s="43"/>
      <c r="B33" s="44"/>
      <c r="C33" s="51" t="s">
        <v>29</v>
      </c>
      <c r="D33" s="46"/>
      <c r="E33" s="47"/>
      <c r="F33" s="48">
        <v>0</v>
      </c>
      <c r="G33" s="49"/>
      <c r="H33" s="46"/>
      <c r="I33" s="47"/>
      <c r="J33" s="48">
        <v>0</v>
      </c>
      <c r="K33" s="50"/>
      <c r="L33" s="46"/>
      <c r="M33" s="47"/>
      <c r="N33" s="48">
        <v>0</v>
      </c>
      <c r="O33" s="50"/>
      <c r="P33" s="46">
        <v>345.0854</v>
      </c>
      <c r="Q33" s="47">
        <v>323</v>
      </c>
      <c r="R33" s="51">
        <v>110</v>
      </c>
      <c r="S33" s="49">
        <v>-213</v>
      </c>
      <c r="T33" s="46">
        <v>79.796</v>
      </c>
      <c r="U33" s="47">
        <v>215.21</v>
      </c>
      <c r="V33" s="51">
        <v>63.9</v>
      </c>
      <c r="W33" s="49">
        <v>-151.31</v>
      </c>
      <c r="X33" s="46">
        <v>357.7264</v>
      </c>
      <c r="Y33" s="47">
        <v>219.41</v>
      </c>
      <c r="Z33" s="51">
        <v>172.64</v>
      </c>
      <c r="AA33" s="49">
        <v>-46.77</v>
      </c>
      <c r="AB33" s="46">
        <v>782.6078</v>
      </c>
      <c r="AC33" s="53">
        <f>E33+I33+M33+Q33+U33+Y33</f>
        <v>757.62</v>
      </c>
      <c r="AD33" s="50">
        <f>F33+J33+N33+R33+V33+Z33</f>
        <v>346.54</v>
      </c>
      <c r="AE33" s="49">
        <f>AD33-AC33</f>
        <v>-411.08</v>
      </c>
      <c r="AF33" s="55"/>
      <c r="AG33" s="55"/>
      <c r="AH33" s="56"/>
      <c r="AI33" s="56"/>
      <c r="AJ33" s="57"/>
    </row>
    <row r="34" s="1" customFormat="1" ht="26" customHeight="1" spans="1:36">
      <c r="A34" s="43"/>
      <c r="B34" s="19"/>
      <c r="C34" s="85" t="s">
        <v>30</v>
      </c>
      <c r="D34" s="86"/>
      <c r="E34" s="87"/>
      <c r="F34" s="88">
        <v>0</v>
      </c>
      <c r="G34" s="89"/>
      <c r="H34" s="86"/>
      <c r="I34" s="87"/>
      <c r="J34" s="88">
        <v>0</v>
      </c>
      <c r="K34" s="90"/>
      <c r="L34" s="86"/>
      <c r="M34" s="87"/>
      <c r="N34" s="88">
        <v>0</v>
      </c>
      <c r="O34" s="90"/>
      <c r="P34" s="86"/>
      <c r="Q34" s="87"/>
      <c r="R34" s="88">
        <v>0</v>
      </c>
      <c r="S34" s="90"/>
      <c r="T34" s="86"/>
      <c r="U34" s="87"/>
      <c r="V34" s="88">
        <v>0</v>
      </c>
      <c r="W34" s="90"/>
      <c r="X34" s="86">
        <v>32.148</v>
      </c>
      <c r="Y34" s="87">
        <v>21.91</v>
      </c>
      <c r="Z34" s="85">
        <v>4.9</v>
      </c>
      <c r="AA34" s="89">
        <v>-17.01</v>
      </c>
      <c r="AB34" s="86">
        <v>32.148</v>
      </c>
      <c r="AC34" s="91">
        <f>E34+I34+M34+Q34+U34+Y34</f>
        <v>21.91</v>
      </c>
      <c r="AD34" s="90">
        <f>F34+J34+N34+R34+V34+Z34</f>
        <v>4.9</v>
      </c>
      <c r="AE34" s="89">
        <f>AD34-AC34</f>
        <v>-17.01</v>
      </c>
      <c r="AF34" s="66"/>
      <c r="AG34" s="92"/>
      <c r="AH34" s="20"/>
      <c r="AI34" s="20"/>
      <c r="AJ34" s="67"/>
    </row>
    <row r="35" s="1" customFormat="1" ht="36" customHeight="1" spans="1:36">
      <c r="A35" s="43"/>
      <c r="B35" s="68" t="s">
        <v>55</v>
      </c>
      <c r="C35" s="103" t="s">
        <v>25</v>
      </c>
      <c r="D35" s="70"/>
      <c r="E35" s="71">
        <v>1272.6</v>
      </c>
      <c r="F35" s="72">
        <v>0</v>
      </c>
      <c r="G35" s="73">
        <v>-1272.6</v>
      </c>
      <c r="H35" s="70">
        <v>677.9</v>
      </c>
      <c r="I35" s="71"/>
      <c r="J35" s="72">
        <v>0</v>
      </c>
      <c r="K35" s="74"/>
      <c r="L35" s="70"/>
      <c r="M35" s="71"/>
      <c r="N35" s="72">
        <v>0</v>
      </c>
      <c r="O35" s="74"/>
      <c r="P35" s="70">
        <v>495.063724</v>
      </c>
      <c r="Q35" s="71">
        <v>528.91</v>
      </c>
      <c r="R35" s="76">
        <v>417.93</v>
      </c>
      <c r="S35" s="73">
        <v>-110.98</v>
      </c>
      <c r="T35" s="70">
        <v>224.915</v>
      </c>
      <c r="U35" s="71">
        <v>84.16</v>
      </c>
      <c r="V35" s="72">
        <v>0</v>
      </c>
      <c r="W35" s="73">
        <v>-84.16</v>
      </c>
      <c r="X35" s="70">
        <v>264.3524</v>
      </c>
      <c r="Y35" s="71">
        <v>257.25</v>
      </c>
      <c r="Z35" s="76">
        <v>168</v>
      </c>
      <c r="AA35" s="73">
        <v>-89.25</v>
      </c>
      <c r="AB35" s="70">
        <v>1662.231124</v>
      </c>
      <c r="AC35" s="78">
        <f>E35+I35+M35+Q35+U35+Y35</f>
        <v>2142.92</v>
      </c>
      <c r="AD35" s="74">
        <f>F35+J35+N35+R35+V35+Z35</f>
        <v>585.93</v>
      </c>
      <c r="AE35" s="73">
        <f>AD35-AC35</f>
        <v>-1556.99</v>
      </c>
      <c r="AF35" s="104">
        <f>AE35+AE37+AE38</f>
        <v>-1492.12</v>
      </c>
      <c r="AG35" s="105">
        <v>-0.56</v>
      </c>
      <c r="AH35" s="82" t="s">
        <v>56</v>
      </c>
      <c r="AI35" s="82" t="s">
        <v>57</v>
      </c>
      <c r="AJ35" s="83" t="s">
        <v>58</v>
      </c>
    </row>
    <row r="36" s="1" customFormat="1" ht="36" customHeight="1" spans="1:36">
      <c r="A36" s="43"/>
      <c r="B36" s="44"/>
      <c r="C36" s="106" t="s">
        <v>28</v>
      </c>
      <c r="D36" s="46"/>
      <c r="E36" s="47"/>
      <c r="F36" s="48">
        <v>0</v>
      </c>
      <c r="G36" s="49"/>
      <c r="H36" s="46"/>
      <c r="I36" s="47"/>
      <c r="J36" s="48">
        <v>0</v>
      </c>
      <c r="K36" s="50"/>
      <c r="L36" s="46"/>
      <c r="M36" s="47"/>
      <c r="N36" s="48">
        <v>0</v>
      </c>
      <c r="O36" s="50"/>
      <c r="P36" s="46"/>
      <c r="Q36" s="47"/>
      <c r="R36" s="48">
        <v>0</v>
      </c>
      <c r="S36" s="49"/>
      <c r="T36" s="46">
        <v>73.905</v>
      </c>
      <c r="U36" s="47"/>
      <c r="V36" s="48">
        <v>0</v>
      </c>
      <c r="W36" s="49"/>
      <c r="X36" s="46">
        <v>52.4</v>
      </c>
      <c r="Y36" s="47"/>
      <c r="Z36" s="48">
        <v>0</v>
      </c>
      <c r="AA36" s="49"/>
      <c r="AB36" s="46">
        <v>126.305</v>
      </c>
      <c r="AC36" s="53"/>
      <c r="AD36" s="50"/>
      <c r="AE36" s="54"/>
      <c r="AF36" s="55"/>
      <c r="AG36" s="56"/>
      <c r="AH36" s="56"/>
      <c r="AI36" s="56"/>
      <c r="AJ36" s="57"/>
    </row>
    <row r="37" s="1" customFormat="1" ht="36" customHeight="1" spans="1:36">
      <c r="A37" s="43"/>
      <c r="B37" s="44"/>
      <c r="C37" s="51" t="s">
        <v>29</v>
      </c>
      <c r="D37" s="46"/>
      <c r="E37" s="47"/>
      <c r="F37" s="48">
        <v>0</v>
      </c>
      <c r="G37" s="49"/>
      <c r="H37" s="46"/>
      <c r="I37" s="47"/>
      <c r="J37" s="48">
        <v>0</v>
      </c>
      <c r="K37" s="50"/>
      <c r="L37" s="46"/>
      <c r="M37" s="47"/>
      <c r="N37" s="48">
        <v>0</v>
      </c>
      <c r="O37" s="50"/>
      <c r="P37" s="46">
        <v>450.27</v>
      </c>
      <c r="Q37" s="47">
        <v>141</v>
      </c>
      <c r="R37" s="51">
        <v>270.8</v>
      </c>
      <c r="S37" s="52">
        <v>129.8</v>
      </c>
      <c r="T37" s="46">
        <v>116.57</v>
      </c>
      <c r="U37" s="47"/>
      <c r="V37" s="51">
        <v>126.4</v>
      </c>
      <c r="W37" s="52">
        <v>126.4</v>
      </c>
      <c r="X37" s="46">
        <v>468.064856</v>
      </c>
      <c r="Y37" s="47">
        <v>358.26</v>
      </c>
      <c r="Z37" s="51">
        <v>170.37</v>
      </c>
      <c r="AA37" s="49">
        <v>-187.89</v>
      </c>
      <c r="AB37" s="46">
        <v>1034.904856</v>
      </c>
      <c r="AC37" s="53">
        <f t="shared" ref="AC37:AC42" si="2">E37+I37+M37+Q37+U37+Y37</f>
        <v>499.26</v>
      </c>
      <c r="AD37" s="50">
        <f t="shared" ref="AD37:AD42" si="3">F37+J37+N37+R37+V37+Z37</f>
        <v>567.57</v>
      </c>
      <c r="AE37" s="54">
        <f t="shared" ref="AE37:AE42" si="4">AD37-AC37</f>
        <v>68.3100000000001</v>
      </c>
      <c r="AF37" s="55"/>
      <c r="AG37" s="56"/>
      <c r="AH37" s="56"/>
      <c r="AI37" s="56"/>
      <c r="AJ37" s="57"/>
    </row>
    <row r="38" s="1" customFormat="1" ht="17" customHeight="1" spans="1:36">
      <c r="A38" s="43"/>
      <c r="B38" s="19"/>
      <c r="C38" s="85" t="s">
        <v>30</v>
      </c>
      <c r="D38" s="86"/>
      <c r="E38" s="87"/>
      <c r="F38" s="88">
        <v>0</v>
      </c>
      <c r="G38" s="89"/>
      <c r="H38" s="86"/>
      <c r="I38" s="87"/>
      <c r="J38" s="88">
        <v>0</v>
      </c>
      <c r="K38" s="90"/>
      <c r="L38" s="86"/>
      <c r="M38" s="87"/>
      <c r="N38" s="88">
        <v>0</v>
      </c>
      <c r="O38" s="90"/>
      <c r="P38" s="86"/>
      <c r="Q38" s="87"/>
      <c r="R38" s="88">
        <v>0</v>
      </c>
      <c r="S38" s="90"/>
      <c r="T38" s="86"/>
      <c r="U38" s="87"/>
      <c r="V38" s="88">
        <v>0</v>
      </c>
      <c r="W38" s="90"/>
      <c r="X38" s="86">
        <v>31.5602</v>
      </c>
      <c r="Y38" s="87">
        <v>21.59</v>
      </c>
      <c r="Z38" s="85">
        <v>18.15</v>
      </c>
      <c r="AA38" s="89">
        <v>-3.45</v>
      </c>
      <c r="AB38" s="86">
        <v>31.5602</v>
      </c>
      <c r="AC38" s="91">
        <f t="shared" si="2"/>
        <v>21.59</v>
      </c>
      <c r="AD38" s="90">
        <f t="shared" si="3"/>
        <v>18.15</v>
      </c>
      <c r="AE38" s="97">
        <f t="shared" si="4"/>
        <v>-3.44</v>
      </c>
      <c r="AF38" s="66"/>
      <c r="AG38" s="24"/>
      <c r="AH38" s="20"/>
      <c r="AI38" s="20"/>
      <c r="AJ38" s="67"/>
    </row>
    <row r="39" s="1" customFormat="1" ht="17.25" spans="1:36">
      <c r="A39" s="43"/>
      <c r="B39" s="68" t="s">
        <v>59</v>
      </c>
      <c r="C39" s="103" t="s">
        <v>25</v>
      </c>
      <c r="D39" s="70"/>
      <c r="E39" s="71"/>
      <c r="F39" s="72">
        <v>0</v>
      </c>
      <c r="G39" s="73"/>
      <c r="H39" s="70"/>
      <c r="I39" s="71">
        <v>568</v>
      </c>
      <c r="J39" s="72">
        <v>0</v>
      </c>
      <c r="K39" s="73">
        <v>-568</v>
      </c>
      <c r="L39" s="70">
        <v>696</v>
      </c>
      <c r="M39" s="71"/>
      <c r="N39" s="72">
        <v>0</v>
      </c>
      <c r="O39" s="74"/>
      <c r="P39" s="70">
        <v>312.9963</v>
      </c>
      <c r="Q39" s="71"/>
      <c r="R39" s="76">
        <v>183.42</v>
      </c>
      <c r="S39" s="77">
        <v>183.42</v>
      </c>
      <c r="T39" s="70">
        <v>250.5592</v>
      </c>
      <c r="U39" s="71">
        <v>61.2</v>
      </c>
      <c r="V39" s="72">
        <v>0</v>
      </c>
      <c r="W39" s="73">
        <v>-61.2</v>
      </c>
      <c r="X39" s="70">
        <v>226.7091</v>
      </c>
      <c r="Y39" s="71">
        <v>126.64</v>
      </c>
      <c r="Z39" s="76">
        <v>108.71</v>
      </c>
      <c r="AA39" s="73">
        <v>-17.93</v>
      </c>
      <c r="AB39" s="70">
        <v>1486.2646</v>
      </c>
      <c r="AC39" s="78">
        <f t="shared" si="2"/>
        <v>755.84</v>
      </c>
      <c r="AD39" s="74">
        <f t="shared" si="3"/>
        <v>292.13</v>
      </c>
      <c r="AE39" s="73">
        <f t="shared" si="4"/>
        <v>-463.71</v>
      </c>
      <c r="AF39" s="107">
        <f>AE39+AE40+AE41+AE42</f>
        <v>-2194.8272</v>
      </c>
      <c r="AG39" s="105">
        <v>-0.632</v>
      </c>
      <c r="AH39" s="82" t="s">
        <v>60</v>
      </c>
      <c r="AI39" s="82" t="s">
        <v>61</v>
      </c>
      <c r="AJ39" s="108" t="s">
        <v>58</v>
      </c>
    </row>
    <row r="40" s="1" customFormat="1" spans="1:36">
      <c r="A40" s="43"/>
      <c r="B40" s="44"/>
      <c r="C40" s="51" t="s">
        <v>28</v>
      </c>
      <c r="D40" s="46"/>
      <c r="E40" s="47"/>
      <c r="F40" s="48">
        <v>0</v>
      </c>
      <c r="G40" s="49"/>
      <c r="H40" s="46"/>
      <c r="I40" s="47"/>
      <c r="J40" s="48">
        <v>0</v>
      </c>
      <c r="K40" s="50"/>
      <c r="L40" s="46">
        <v>371.136</v>
      </c>
      <c r="M40" s="47"/>
      <c r="N40" s="48">
        <v>0</v>
      </c>
      <c r="O40" s="50"/>
      <c r="P40" s="46">
        <v>180</v>
      </c>
      <c r="Q40" s="47"/>
      <c r="R40" s="48">
        <v>0</v>
      </c>
      <c r="S40" s="50"/>
      <c r="T40" s="46">
        <v>53.11</v>
      </c>
      <c r="U40" s="47"/>
      <c r="V40" s="48">
        <v>0</v>
      </c>
      <c r="W40" s="50"/>
      <c r="X40" s="46">
        <v>17.11</v>
      </c>
      <c r="Y40" s="47">
        <v>50</v>
      </c>
      <c r="Z40" s="109">
        <v>46.4428</v>
      </c>
      <c r="AA40" s="49">
        <v>-13.15</v>
      </c>
      <c r="AB40" s="46">
        <v>621.356</v>
      </c>
      <c r="AC40" s="53">
        <f t="shared" si="2"/>
        <v>50</v>
      </c>
      <c r="AD40" s="110">
        <f t="shared" si="3"/>
        <v>46.4428</v>
      </c>
      <c r="AE40" s="111">
        <f t="shared" si="4"/>
        <v>-3.5572</v>
      </c>
      <c r="AF40" s="56"/>
      <c r="AG40" s="56"/>
      <c r="AH40" s="56"/>
      <c r="AI40" s="56"/>
      <c r="AJ40" s="57"/>
    </row>
    <row r="41" s="1" customFormat="1" spans="1:36">
      <c r="A41" s="43"/>
      <c r="B41" s="44"/>
      <c r="C41" s="95" t="s">
        <v>29</v>
      </c>
      <c r="D41" s="46"/>
      <c r="E41" s="47"/>
      <c r="F41" s="48">
        <v>0</v>
      </c>
      <c r="G41" s="49"/>
      <c r="H41" s="46"/>
      <c r="I41" s="47"/>
      <c r="J41" s="48">
        <v>0</v>
      </c>
      <c r="K41" s="50"/>
      <c r="L41" s="46">
        <v>858.8</v>
      </c>
      <c r="M41" s="47">
        <v>398.6</v>
      </c>
      <c r="N41" s="51">
        <v>310</v>
      </c>
      <c r="O41" s="49">
        <v>-88.6</v>
      </c>
      <c r="P41" s="46">
        <v>539.99</v>
      </c>
      <c r="Q41" s="47">
        <v>965.77</v>
      </c>
      <c r="R41" s="48">
        <v>0</v>
      </c>
      <c r="S41" s="49">
        <v>-965.77</v>
      </c>
      <c r="T41" s="46">
        <v>496.6526</v>
      </c>
      <c r="U41" s="47">
        <v>448.96</v>
      </c>
      <c r="V41" s="51">
        <v>274.51</v>
      </c>
      <c r="W41" s="49">
        <v>-174.44</v>
      </c>
      <c r="X41" s="46">
        <v>1035.5379</v>
      </c>
      <c r="Y41" s="47">
        <v>771.55</v>
      </c>
      <c r="Z41" s="51">
        <v>333.62</v>
      </c>
      <c r="AA41" s="49">
        <v>-437.93</v>
      </c>
      <c r="AB41" s="46">
        <v>2930.9805</v>
      </c>
      <c r="AC41" s="53">
        <f t="shared" si="2"/>
        <v>2584.88</v>
      </c>
      <c r="AD41" s="50">
        <f t="shared" si="3"/>
        <v>918.13</v>
      </c>
      <c r="AE41" s="49">
        <f t="shared" si="4"/>
        <v>-1666.75</v>
      </c>
      <c r="AF41" s="56"/>
      <c r="AG41" s="56"/>
      <c r="AH41" s="56"/>
      <c r="AI41" s="56"/>
      <c r="AJ41" s="57"/>
    </row>
    <row r="42" s="1" customFormat="1" ht="49" customHeight="1" spans="1:36">
      <c r="A42" s="112"/>
      <c r="B42" s="19"/>
      <c r="C42" s="85" t="s">
        <v>30</v>
      </c>
      <c r="D42" s="86"/>
      <c r="E42" s="87"/>
      <c r="F42" s="88">
        <v>0</v>
      </c>
      <c r="G42" s="89"/>
      <c r="H42" s="86"/>
      <c r="I42" s="87"/>
      <c r="J42" s="88">
        <v>0</v>
      </c>
      <c r="K42" s="90"/>
      <c r="L42" s="86"/>
      <c r="M42" s="87"/>
      <c r="N42" s="88">
        <v>0</v>
      </c>
      <c r="O42" s="90"/>
      <c r="P42" s="86">
        <v>184.9636</v>
      </c>
      <c r="Q42" s="87"/>
      <c r="R42" s="88">
        <v>0</v>
      </c>
      <c r="S42" s="90"/>
      <c r="T42" s="86"/>
      <c r="U42" s="87">
        <v>55</v>
      </c>
      <c r="V42" s="88">
        <v>0</v>
      </c>
      <c r="W42" s="89">
        <v>-55</v>
      </c>
      <c r="X42" s="86">
        <v>98.8934</v>
      </c>
      <c r="Y42" s="87">
        <v>43.93</v>
      </c>
      <c r="Z42" s="85">
        <v>38.12</v>
      </c>
      <c r="AA42" s="89">
        <v>-5.81</v>
      </c>
      <c r="AB42" s="86">
        <v>283.857</v>
      </c>
      <c r="AC42" s="91">
        <f t="shared" si="2"/>
        <v>98.93</v>
      </c>
      <c r="AD42" s="90">
        <f t="shared" si="3"/>
        <v>38.12</v>
      </c>
      <c r="AE42" s="89">
        <f t="shared" si="4"/>
        <v>-60.81</v>
      </c>
      <c r="AF42" s="20"/>
      <c r="AG42" s="24"/>
      <c r="AH42" s="20"/>
      <c r="AI42" s="20"/>
      <c r="AJ42" s="67"/>
    </row>
    <row r="43" s="1" customFormat="1" ht="17.25" spans="1:36">
      <c r="A43" s="27" t="s">
        <v>62</v>
      </c>
      <c r="B43" s="68" t="s">
        <v>63</v>
      </c>
      <c r="C43" s="113" t="s">
        <v>25</v>
      </c>
      <c r="D43" s="70"/>
      <c r="E43" s="71"/>
      <c r="F43" s="72">
        <v>0</v>
      </c>
      <c r="G43" s="73"/>
      <c r="H43" s="70"/>
      <c r="I43" s="71"/>
      <c r="J43" s="72">
        <v>0</v>
      </c>
      <c r="K43" s="74"/>
      <c r="L43" s="70"/>
      <c r="M43" s="71"/>
      <c r="N43" s="72">
        <v>0</v>
      </c>
      <c r="O43" s="74"/>
      <c r="P43" s="70"/>
      <c r="Q43" s="71"/>
      <c r="R43" s="72">
        <v>0</v>
      </c>
      <c r="S43" s="74"/>
      <c r="T43" s="70"/>
      <c r="U43" s="71"/>
      <c r="V43" s="72">
        <v>0</v>
      </c>
      <c r="W43" s="74"/>
      <c r="X43" s="70"/>
      <c r="Y43" s="71"/>
      <c r="Z43" s="72">
        <v>0</v>
      </c>
      <c r="AA43" s="73"/>
      <c r="AB43" s="70"/>
      <c r="AC43" s="78"/>
      <c r="AD43" s="74"/>
      <c r="AE43" s="79"/>
      <c r="AF43" s="114">
        <f>AE45</f>
        <v>591.15</v>
      </c>
      <c r="AG43" s="115" t="s">
        <v>64</v>
      </c>
      <c r="AH43" s="82" t="s">
        <v>65</v>
      </c>
      <c r="AI43" s="82" t="s">
        <v>66</v>
      </c>
      <c r="AJ43" s="83" t="s">
        <v>67</v>
      </c>
    </row>
    <row r="44" s="1" customFormat="1" spans="1:36">
      <c r="A44" s="43"/>
      <c r="B44" s="44"/>
      <c r="C44" s="84" t="s">
        <v>28</v>
      </c>
      <c r="D44" s="46"/>
      <c r="E44" s="47"/>
      <c r="F44" s="48">
        <v>0</v>
      </c>
      <c r="G44" s="49"/>
      <c r="H44" s="46"/>
      <c r="I44" s="47"/>
      <c r="J44" s="48">
        <v>0</v>
      </c>
      <c r="K44" s="50"/>
      <c r="L44" s="46"/>
      <c r="M44" s="47"/>
      <c r="N44" s="48">
        <v>0</v>
      </c>
      <c r="O44" s="50"/>
      <c r="P44" s="46"/>
      <c r="Q44" s="47"/>
      <c r="R44" s="48">
        <v>0</v>
      </c>
      <c r="S44" s="50"/>
      <c r="T44" s="46"/>
      <c r="U44" s="47"/>
      <c r="V44" s="48">
        <v>0</v>
      </c>
      <c r="W44" s="50"/>
      <c r="X44" s="46"/>
      <c r="Y44" s="47"/>
      <c r="Z44" s="48">
        <v>0</v>
      </c>
      <c r="AA44" s="49"/>
      <c r="AB44" s="46"/>
      <c r="AC44" s="53"/>
      <c r="AD44" s="50"/>
      <c r="AE44" s="54"/>
      <c r="AF44" s="55"/>
      <c r="AG44" s="55"/>
      <c r="AH44" s="56"/>
      <c r="AI44" s="56"/>
      <c r="AJ44" s="57"/>
    </row>
    <row r="45" s="1" customFormat="1" spans="1:36">
      <c r="A45" s="43"/>
      <c r="B45" s="44"/>
      <c r="C45" s="45" t="s">
        <v>29</v>
      </c>
      <c r="D45" s="46"/>
      <c r="E45" s="47"/>
      <c r="F45" s="48">
        <v>0</v>
      </c>
      <c r="G45" s="49"/>
      <c r="H45" s="46"/>
      <c r="I45" s="47"/>
      <c r="J45" s="48">
        <v>0</v>
      </c>
      <c r="K45" s="50"/>
      <c r="L45" s="46"/>
      <c r="M45" s="47"/>
      <c r="N45" s="51">
        <v>453.7</v>
      </c>
      <c r="O45" s="52">
        <v>453.7</v>
      </c>
      <c r="P45" s="46"/>
      <c r="Q45" s="47"/>
      <c r="R45" s="51">
        <v>113.03</v>
      </c>
      <c r="S45" s="52">
        <v>113.03</v>
      </c>
      <c r="T45" s="46"/>
      <c r="U45" s="47"/>
      <c r="V45" s="48">
        <v>0</v>
      </c>
      <c r="W45" s="50"/>
      <c r="X45" s="46"/>
      <c r="Y45" s="47"/>
      <c r="Z45" s="51">
        <v>24.42</v>
      </c>
      <c r="AA45" s="50">
        <v>24.42</v>
      </c>
      <c r="AB45" s="46"/>
      <c r="AC45" s="53"/>
      <c r="AD45" s="50">
        <f>F45+J45+N45+R45+V45+Z45</f>
        <v>591.15</v>
      </c>
      <c r="AE45" s="54">
        <f>AD45-AC45</f>
        <v>591.15</v>
      </c>
      <c r="AF45" s="55"/>
      <c r="AG45" s="55"/>
      <c r="AH45" s="56"/>
      <c r="AI45" s="56"/>
      <c r="AJ45" s="57"/>
    </row>
    <row r="46" s="1" customFormat="1" ht="27" customHeight="1" spans="1:36">
      <c r="A46" s="43"/>
      <c r="B46" s="19"/>
      <c r="C46" s="116" t="s">
        <v>30</v>
      </c>
      <c r="D46" s="86"/>
      <c r="E46" s="87"/>
      <c r="F46" s="88">
        <v>0</v>
      </c>
      <c r="G46" s="89"/>
      <c r="H46" s="86"/>
      <c r="I46" s="87"/>
      <c r="J46" s="88">
        <v>0</v>
      </c>
      <c r="K46" s="90"/>
      <c r="L46" s="86"/>
      <c r="M46" s="87"/>
      <c r="N46" s="88">
        <v>0</v>
      </c>
      <c r="O46" s="90"/>
      <c r="P46" s="86"/>
      <c r="Q46" s="87"/>
      <c r="R46" s="88">
        <v>0</v>
      </c>
      <c r="S46" s="89"/>
      <c r="T46" s="86"/>
      <c r="U46" s="87"/>
      <c r="V46" s="88">
        <v>0</v>
      </c>
      <c r="W46" s="89"/>
      <c r="X46" s="86"/>
      <c r="Y46" s="87"/>
      <c r="Z46" s="88">
        <v>0</v>
      </c>
      <c r="AA46" s="89"/>
      <c r="AB46" s="86"/>
      <c r="AC46" s="91"/>
      <c r="AD46" s="90"/>
      <c r="AE46" s="97"/>
      <c r="AF46" s="92"/>
      <c r="AG46" s="92"/>
      <c r="AH46" s="20"/>
      <c r="AI46" s="20"/>
      <c r="AJ46" s="67"/>
    </row>
    <row r="47" s="1" customFormat="1" ht="17.25" spans="1:36">
      <c r="A47" s="43"/>
      <c r="B47" s="68" t="s">
        <v>68</v>
      </c>
      <c r="C47" s="69" t="s">
        <v>25</v>
      </c>
      <c r="D47" s="70"/>
      <c r="E47" s="71"/>
      <c r="F47" s="72">
        <v>0</v>
      </c>
      <c r="G47" s="73"/>
      <c r="H47" s="70"/>
      <c r="I47" s="71"/>
      <c r="J47" s="72">
        <v>0</v>
      </c>
      <c r="K47" s="74"/>
      <c r="L47" s="70"/>
      <c r="M47" s="71"/>
      <c r="N47" s="72">
        <v>0</v>
      </c>
      <c r="O47" s="74"/>
      <c r="P47" s="70"/>
      <c r="Q47" s="71"/>
      <c r="R47" s="76">
        <v>277.09</v>
      </c>
      <c r="S47" s="77">
        <v>277.09</v>
      </c>
      <c r="T47" s="70"/>
      <c r="U47" s="71">
        <v>100</v>
      </c>
      <c r="V47" s="72">
        <v>0</v>
      </c>
      <c r="W47" s="73">
        <v>-100</v>
      </c>
      <c r="X47" s="70">
        <v>15.7</v>
      </c>
      <c r="Y47" s="71"/>
      <c r="Z47" s="76">
        <v>4</v>
      </c>
      <c r="AA47" s="74">
        <v>4</v>
      </c>
      <c r="AB47" s="70">
        <v>15.7</v>
      </c>
      <c r="AC47" s="78">
        <f>E47+I47+M47+Q47+U47+Y47</f>
        <v>100</v>
      </c>
      <c r="AD47" s="74">
        <f>F47+J47+N47+R47+V47+Z47</f>
        <v>281.09</v>
      </c>
      <c r="AE47" s="79">
        <f>AD47-AC47</f>
        <v>181.09</v>
      </c>
      <c r="AF47" s="117">
        <f>AE47+AE49+AE50</f>
        <v>123.8</v>
      </c>
      <c r="AG47" s="118">
        <v>0.76</v>
      </c>
      <c r="AH47" s="82" t="s">
        <v>69</v>
      </c>
      <c r="AI47" s="82" t="s">
        <v>70</v>
      </c>
      <c r="AJ47" s="83"/>
    </row>
    <row r="48" s="1" customFormat="1" spans="1:36">
      <c r="A48" s="43"/>
      <c r="B48" s="44"/>
      <c r="C48" s="84" t="s">
        <v>28</v>
      </c>
      <c r="D48" s="46"/>
      <c r="E48" s="47"/>
      <c r="F48" s="48">
        <v>0</v>
      </c>
      <c r="G48" s="49"/>
      <c r="H48" s="46"/>
      <c r="I48" s="47"/>
      <c r="J48" s="48">
        <v>0</v>
      </c>
      <c r="K48" s="50"/>
      <c r="L48" s="46"/>
      <c r="M48" s="47"/>
      <c r="N48" s="48">
        <v>0</v>
      </c>
      <c r="O48" s="50"/>
      <c r="P48" s="46"/>
      <c r="Q48" s="47"/>
      <c r="R48" s="48">
        <v>0</v>
      </c>
      <c r="S48" s="52"/>
      <c r="T48" s="46"/>
      <c r="U48" s="47"/>
      <c r="V48" s="48">
        <v>0</v>
      </c>
      <c r="W48" s="49"/>
      <c r="X48" s="46">
        <v>28.1635</v>
      </c>
      <c r="Y48" s="47"/>
      <c r="Z48" s="48">
        <v>0</v>
      </c>
      <c r="AA48" s="50"/>
      <c r="AB48" s="46">
        <v>28.1635</v>
      </c>
      <c r="AC48" s="53"/>
      <c r="AD48" s="50"/>
      <c r="AE48" s="54"/>
      <c r="AF48" s="55"/>
      <c r="AG48" s="55"/>
      <c r="AH48" s="56"/>
      <c r="AI48" s="56"/>
      <c r="AJ48" s="57"/>
    </row>
    <row r="49" s="1" customFormat="1" spans="1:36">
      <c r="A49" s="43"/>
      <c r="B49" s="44"/>
      <c r="C49" s="51" t="s">
        <v>29</v>
      </c>
      <c r="D49" s="46"/>
      <c r="E49" s="47"/>
      <c r="F49" s="48">
        <v>0</v>
      </c>
      <c r="G49" s="49"/>
      <c r="H49" s="46"/>
      <c r="I49" s="47"/>
      <c r="J49" s="48">
        <v>0</v>
      </c>
      <c r="K49" s="50"/>
      <c r="L49" s="46"/>
      <c r="M49" s="47"/>
      <c r="N49" s="48">
        <v>0</v>
      </c>
      <c r="O49" s="50"/>
      <c r="P49" s="46">
        <v>196</v>
      </c>
      <c r="Q49" s="47"/>
      <c r="R49" s="48">
        <v>0</v>
      </c>
      <c r="S49" s="50"/>
      <c r="T49" s="46"/>
      <c r="U49" s="47"/>
      <c r="V49" s="48">
        <v>0</v>
      </c>
      <c r="W49" s="50"/>
      <c r="X49" s="46">
        <v>56.18</v>
      </c>
      <c r="Y49" s="47">
        <v>58.95</v>
      </c>
      <c r="Z49" s="51">
        <v>5.66</v>
      </c>
      <c r="AA49" s="49">
        <v>-53.29</v>
      </c>
      <c r="AB49" s="46">
        <v>252.18</v>
      </c>
      <c r="AC49" s="53">
        <f>E49+I49+M49+Q49+U49+Y49</f>
        <v>58.95</v>
      </c>
      <c r="AD49" s="50">
        <f>F49+J49+N49+R49+V49+Z49</f>
        <v>5.66</v>
      </c>
      <c r="AE49" s="49">
        <f>AD49-AC49</f>
        <v>-53.29</v>
      </c>
      <c r="AF49" s="55"/>
      <c r="AG49" s="55"/>
      <c r="AH49" s="56"/>
      <c r="AI49" s="56"/>
      <c r="AJ49" s="57"/>
    </row>
    <row r="50" s="1" customFormat="1" ht="23" customHeight="1" spans="1:36">
      <c r="A50" s="43"/>
      <c r="B50" s="19"/>
      <c r="C50" s="85" t="s">
        <v>30</v>
      </c>
      <c r="D50" s="86"/>
      <c r="E50" s="87"/>
      <c r="F50" s="88">
        <v>0</v>
      </c>
      <c r="G50" s="89"/>
      <c r="H50" s="86"/>
      <c r="I50" s="87"/>
      <c r="J50" s="88">
        <v>0</v>
      </c>
      <c r="K50" s="90"/>
      <c r="L50" s="86"/>
      <c r="M50" s="87"/>
      <c r="N50" s="88">
        <v>0</v>
      </c>
      <c r="O50" s="90"/>
      <c r="P50" s="86"/>
      <c r="Q50" s="87"/>
      <c r="R50" s="88">
        <v>0</v>
      </c>
      <c r="S50" s="90"/>
      <c r="T50" s="86"/>
      <c r="U50" s="87"/>
      <c r="V50" s="88">
        <v>0</v>
      </c>
      <c r="W50" s="90"/>
      <c r="X50" s="86">
        <v>21.8528</v>
      </c>
      <c r="Y50" s="87">
        <v>4</v>
      </c>
      <c r="Z50" s="88">
        <v>0</v>
      </c>
      <c r="AA50" s="89">
        <v>-4</v>
      </c>
      <c r="AB50" s="86">
        <v>21.8528</v>
      </c>
      <c r="AC50" s="91">
        <f>E50+I50+M50+Q50+U50+Y50</f>
        <v>4</v>
      </c>
      <c r="AD50" s="90"/>
      <c r="AE50" s="89">
        <f>AD50-AC50</f>
        <v>-4</v>
      </c>
      <c r="AF50" s="66"/>
      <c r="AG50" s="92"/>
      <c r="AH50" s="20"/>
      <c r="AI50" s="20"/>
      <c r="AJ50" s="67"/>
    </row>
    <row r="51" s="1" customFormat="1" ht="17.25" spans="1:36">
      <c r="A51" s="43"/>
      <c r="B51" s="68" t="s">
        <v>71</v>
      </c>
      <c r="C51" s="69" t="s">
        <v>25</v>
      </c>
      <c r="D51" s="70"/>
      <c r="E51" s="71"/>
      <c r="F51" s="72">
        <v>0</v>
      </c>
      <c r="G51" s="73"/>
      <c r="H51" s="70"/>
      <c r="I51" s="71"/>
      <c r="J51" s="72">
        <v>0</v>
      </c>
      <c r="K51" s="74"/>
      <c r="L51" s="70"/>
      <c r="M51" s="71"/>
      <c r="N51" s="72">
        <v>0</v>
      </c>
      <c r="O51" s="74"/>
      <c r="P51" s="70"/>
      <c r="Q51" s="71"/>
      <c r="R51" s="72">
        <v>0</v>
      </c>
      <c r="S51" s="74"/>
      <c r="T51" s="70"/>
      <c r="U51" s="71"/>
      <c r="V51" s="76">
        <v>95</v>
      </c>
      <c r="W51" s="77">
        <v>95</v>
      </c>
      <c r="X51" s="70"/>
      <c r="Y51" s="71">
        <v>49.67</v>
      </c>
      <c r="Z51" s="76">
        <v>47.45</v>
      </c>
      <c r="AA51" s="73">
        <v>-2.22</v>
      </c>
      <c r="AB51" s="70"/>
      <c r="AC51" s="78">
        <f>E51+I51+M51+Q51+U51+Y51</f>
        <v>49.67</v>
      </c>
      <c r="AD51" s="74">
        <f>F51+J51+N51+R51+V51+Z51</f>
        <v>142.45</v>
      </c>
      <c r="AE51" s="79">
        <f>AD51-AC51</f>
        <v>92.78</v>
      </c>
      <c r="AF51" s="119">
        <f>AE51+AE53+AE54+AE52</f>
        <v>244.7592</v>
      </c>
      <c r="AG51" s="81">
        <v>1.09</v>
      </c>
      <c r="AH51" s="82" t="s">
        <v>72</v>
      </c>
      <c r="AI51" s="82" t="s">
        <v>73</v>
      </c>
      <c r="AJ51" s="83"/>
    </row>
    <row r="52" s="1" customFormat="1" spans="1:36">
      <c r="A52" s="43"/>
      <c r="B52" s="44"/>
      <c r="C52" s="120" t="s">
        <v>28</v>
      </c>
      <c r="D52" s="46"/>
      <c r="E52" s="47"/>
      <c r="F52" s="48">
        <v>0</v>
      </c>
      <c r="G52" s="49"/>
      <c r="H52" s="46"/>
      <c r="I52" s="47"/>
      <c r="J52" s="48">
        <v>0</v>
      </c>
      <c r="K52" s="50"/>
      <c r="L52" s="46"/>
      <c r="M52" s="47"/>
      <c r="N52" s="48">
        <v>0</v>
      </c>
      <c r="O52" s="50"/>
      <c r="P52" s="46"/>
      <c r="Q52" s="47"/>
      <c r="R52" s="120">
        <v>143.5</v>
      </c>
      <c r="S52" s="121"/>
      <c r="T52" s="122"/>
      <c r="U52" s="123"/>
      <c r="V52" s="120">
        <v>0</v>
      </c>
      <c r="W52" s="121"/>
      <c r="X52" s="122"/>
      <c r="Y52" s="123"/>
      <c r="Z52" s="109">
        <v>8.9392</v>
      </c>
      <c r="AA52" s="49"/>
      <c r="AB52" s="46"/>
      <c r="AC52" s="53"/>
      <c r="AD52" s="110">
        <f>R52+Z52</f>
        <v>152.4392</v>
      </c>
      <c r="AE52" s="124">
        <f>AD52</f>
        <v>152.4392</v>
      </c>
      <c r="AF52" s="125"/>
      <c r="AG52" s="55"/>
      <c r="AH52" s="56"/>
      <c r="AI52" s="56"/>
      <c r="AJ52" s="57"/>
    </row>
    <row r="53" s="1" customFormat="1" spans="1:36">
      <c r="A53" s="43"/>
      <c r="B53" s="44"/>
      <c r="C53" s="51" t="s">
        <v>29</v>
      </c>
      <c r="D53" s="46"/>
      <c r="E53" s="47"/>
      <c r="F53" s="48">
        <v>0</v>
      </c>
      <c r="G53" s="49"/>
      <c r="H53" s="46"/>
      <c r="I53" s="47"/>
      <c r="J53" s="48">
        <v>0</v>
      </c>
      <c r="K53" s="50"/>
      <c r="L53" s="46"/>
      <c r="M53" s="47"/>
      <c r="N53" s="48">
        <v>0</v>
      </c>
      <c r="O53" s="50"/>
      <c r="P53" s="46"/>
      <c r="Q53" s="47"/>
      <c r="R53" s="48">
        <v>0</v>
      </c>
      <c r="S53" s="50"/>
      <c r="T53" s="46"/>
      <c r="U53" s="47"/>
      <c r="V53" s="48">
        <v>0</v>
      </c>
      <c r="W53" s="50"/>
      <c r="X53" s="46">
        <v>94.3826</v>
      </c>
      <c r="Y53" s="47">
        <v>31.46</v>
      </c>
      <c r="Z53" s="51">
        <v>22.58</v>
      </c>
      <c r="AA53" s="49">
        <v>-8.88</v>
      </c>
      <c r="AB53" s="46">
        <v>94.3826</v>
      </c>
      <c r="AC53" s="53">
        <f>E53+I53+M53+Q53+U53+Y53</f>
        <v>31.46</v>
      </c>
      <c r="AD53" s="50">
        <f>F53+J53+N53+R53+V53+Z53</f>
        <v>22.58</v>
      </c>
      <c r="AE53" s="49">
        <f>AD53-AC53</f>
        <v>-8.88</v>
      </c>
      <c r="AF53" s="125"/>
      <c r="AG53" s="55"/>
      <c r="AH53" s="56"/>
      <c r="AI53" s="56"/>
      <c r="AJ53" s="57"/>
    </row>
    <row r="54" s="1" customFormat="1" ht="37" customHeight="1" spans="1:36">
      <c r="A54" s="43"/>
      <c r="B54" s="19"/>
      <c r="C54" s="85" t="s">
        <v>30</v>
      </c>
      <c r="D54" s="86"/>
      <c r="E54" s="87"/>
      <c r="F54" s="88">
        <v>0</v>
      </c>
      <c r="G54" s="89"/>
      <c r="H54" s="86"/>
      <c r="I54" s="87"/>
      <c r="J54" s="88">
        <v>0</v>
      </c>
      <c r="K54" s="90"/>
      <c r="L54" s="86"/>
      <c r="M54" s="87"/>
      <c r="N54" s="88">
        <v>0</v>
      </c>
      <c r="O54" s="90"/>
      <c r="P54" s="86"/>
      <c r="Q54" s="87"/>
      <c r="R54" s="88">
        <v>0</v>
      </c>
      <c r="S54" s="90"/>
      <c r="T54" s="86"/>
      <c r="U54" s="87"/>
      <c r="V54" s="88">
        <v>0</v>
      </c>
      <c r="W54" s="90"/>
      <c r="X54" s="86"/>
      <c r="Y54" s="87">
        <v>3.58</v>
      </c>
      <c r="Z54" s="85">
        <v>12</v>
      </c>
      <c r="AA54" s="90">
        <v>8.42</v>
      </c>
      <c r="AB54" s="86"/>
      <c r="AC54" s="91">
        <f>E54+I54+M54+Q54+U54+Y54</f>
        <v>3.58</v>
      </c>
      <c r="AD54" s="90">
        <f>F54+J54+N54+R54+V54+Z54</f>
        <v>12</v>
      </c>
      <c r="AE54" s="97">
        <f>AD54-AC54</f>
        <v>8.42</v>
      </c>
      <c r="AF54" s="126"/>
      <c r="AG54" s="92"/>
      <c r="AH54" s="20"/>
      <c r="AI54" s="20"/>
      <c r="AJ54" s="67"/>
    </row>
    <row r="55" s="1" customFormat="1" ht="17.25" spans="1:36">
      <c r="A55" s="43"/>
      <c r="B55" s="68" t="s">
        <v>74</v>
      </c>
      <c r="C55" s="76" t="s">
        <v>25</v>
      </c>
      <c r="D55" s="70"/>
      <c r="E55" s="71"/>
      <c r="F55" s="72">
        <v>0</v>
      </c>
      <c r="G55" s="73"/>
      <c r="H55" s="70"/>
      <c r="I55" s="71"/>
      <c r="J55" s="72">
        <v>0</v>
      </c>
      <c r="K55" s="74"/>
      <c r="L55" s="70"/>
      <c r="M55" s="71"/>
      <c r="N55" s="72">
        <v>0</v>
      </c>
      <c r="O55" s="74"/>
      <c r="P55" s="70"/>
      <c r="Q55" s="71"/>
      <c r="R55" s="72">
        <v>0</v>
      </c>
      <c r="S55" s="74"/>
      <c r="T55" s="70">
        <v>118.4537</v>
      </c>
      <c r="U55" s="71"/>
      <c r="V55" s="76">
        <v>51</v>
      </c>
      <c r="W55" s="77">
        <v>51</v>
      </c>
      <c r="X55" s="70">
        <v>2</v>
      </c>
      <c r="Y55" s="71">
        <v>88.36</v>
      </c>
      <c r="Z55" s="76">
        <v>6.98</v>
      </c>
      <c r="AA55" s="73">
        <v>-81.38</v>
      </c>
      <c r="AB55" s="70">
        <v>120.4537</v>
      </c>
      <c r="AC55" s="78">
        <f>E55+I55+M55+Q55+U55+Y55</f>
        <v>88.36</v>
      </c>
      <c r="AD55" s="74">
        <f>F55+J55+N55+R55+V55+Z55</f>
        <v>57.98</v>
      </c>
      <c r="AE55" s="73">
        <f>AD55-AC55</f>
        <v>-30.38</v>
      </c>
      <c r="AF55" s="93">
        <f>AE55+AE57+AE58</f>
        <v>56.62</v>
      </c>
      <c r="AG55" s="94">
        <v>0.211</v>
      </c>
      <c r="AH55" s="82" t="s">
        <v>75</v>
      </c>
      <c r="AI55" s="82" t="s">
        <v>76</v>
      </c>
      <c r="AJ55" s="83"/>
    </row>
    <row r="56" s="1" customFormat="1" spans="1:36">
      <c r="A56" s="43"/>
      <c r="B56" s="44"/>
      <c r="C56" s="84" t="s">
        <v>28</v>
      </c>
      <c r="D56" s="46"/>
      <c r="E56" s="47"/>
      <c r="F56" s="48">
        <v>0</v>
      </c>
      <c r="G56" s="49"/>
      <c r="H56" s="46"/>
      <c r="I56" s="47"/>
      <c r="J56" s="48">
        <v>0</v>
      </c>
      <c r="K56" s="50"/>
      <c r="L56" s="46"/>
      <c r="M56" s="47"/>
      <c r="N56" s="48">
        <v>0</v>
      </c>
      <c r="O56" s="50"/>
      <c r="P56" s="46"/>
      <c r="Q56" s="47"/>
      <c r="R56" s="48">
        <v>0</v>
      </c>
      <c r="S56" s="50"/>
      <c r="T56" s="46"/>
      <c r="U56" s="47"/>
      <c r="V56" s="48">
        <v>0</v>
      </c>
      <c r="W56" s="52"/>
      <c r="X56" s="46">
        <v>31.592</v>
      </c>
      <c r="Y56" s="47"/>
      <c r="Z56" s="48">
        <v>0</v>
      </c>
      <c r="AA56" s="49"/>
      <c r="AB56" s="46">
        <v>31.592</v>
      </c>
      <c r="AC56" s="53"/>
      <c r="AD56" s="50"/>
      <c r="AE56" s="54"/>
      <c r="AF56" s="55"/>
      <c r="AG56" s="55"/>
      <c r="AH56" s="56"/>
      <c r="AI56" s="56"/>
      <c r="AJ56" s="57"/>
    </row>
    <row r="57" s="1" customFormat="1" spans="1:36">
      <c r="A57" s="43"/>
      <c r="B57" s="44"/>
      <c r="C57" s="45" t="s">
        <v>29</v>
      </c>
      <c r="D57" s="46"/>
      <c r="E57" s="47"/>
      <c r="F57" s="48">
        <v>0</v>
      </c>
      <c r="G57" s="49"/>
      <c r="H57" s="46"/>
      <c r="I57" s="47"/>
      <c r="J57" s="48">
        <v>0</v>
      </c>
      <c r="K57" s="50"/>
      <c r="L57" s="46"/>
      <c r="M57" s="47"/>
      <c r="N57" s="48">
        <v>0</v>
      </c>
      <c r="O57" s="50"/>
      <c r="P57" s="46"/>
      <c r="Q57" s="47"/>
      <c r="R57" s="51">
        <v>189.1</v>
      </c>
      <c r="S57" s="52">
        <v>189.1</v>
      </c>
      <c r="T57" s="46">
        <v>132.1732</v>
      </c>
      <c r="U57" s="47">
        <v>57.28</v>
      </c>
      <c r="V57" s="48">
        <v>0</v>
      </c>
      <c r="W57" s="49">
        <v>-57.28</v>
      </c>
      <c r="X57" s="46">
        <v>213.1814</v>
      </c>
      <c r="Y57" s="47">
        <v>115.42</v>
      </c>
      <c r="Z57" s="51">
        <v>77.54</v>
      </c>
      <c r="AA57" s="49">
        <v>-37.89</v>
      </c>
      <c r="AB57" s="46">
        <v>345.3546</v>
      </c>
      <c r="AC57" s="53">
        <f>E57+I57+M57+Q57+U57+Y57</f>
        <v>172.7</v>
      </c>
      <c r="AD57" s="50">
        <f>F57+J57+N57+R57+V57+Z57</f>
        <v>266.64</v>
      </c>
      <c r="AE57" s="54">
        <f>AD57-AC57</f>
        <v>93.94</v>
      </c>
      <c r="AF57" s="55"/>
      <c r="AG57" s="55"/>
      <c r="AH57" s="56"/>
      <c r="AI57" s="56"/>
      <c r="AJ57" s="57"/>
    </row>
    <row r="58" s="1" customFormat="1" ht="32" customHeight="1" spans="1:36">
      <c r="A58" s="43"/>
      <c r="B58" s="19"/>
      <c r="C58" s="85" t="s">
        <v>30</v>
      </c>
      <c r="D58" s="86"/>
      <c r="E58" s="87"/>
      <c r="F58" s="88">
        <v>0</v>
      </c>
      <c r="G58" s="89"/>
      <c r="H58" s="86"/>
      <c r="I58" s="87"/>
      <c r="J58" s="88">
        <v>0</v>
      </c>
      <c r="K58" s="90"/>
      <c r="L58" s="86"/>
      <c r="M58" s="87"/>
      <c r="N58" s="88">
        <v>0</v>
      </c>
      <c r="O58" s="90"/>
      <c r="P58" s="86"/>
      <c r="Q58" s="87"/>
      <c r="R58" s="88">
        <v>0</v>
      </c>
      <c r="S58" s="90"/>
      <c r="T58" s="86"/>
      <c r="U58" s="87"/>
      <c r="V58" s="88">
        <v>0</v>
      </c>
      <c r="W58" s="90"/>
      <c r="X58" s="86">
        <v>4.805</v>
      </c>
      <c r="Y58" s="87">
        <v>7.04</v>
      </c>
      <c r="Z58" s="85">
        <v>0.1</v>
      </c>
      <c r="AA58" s="89">
        <v>-6.94</v>
      </c>
      <c r="AB58" s="86">
        <v>4.805</v>
      </c>
      <c r="AC58" s="91">
        <f>E58+I58+M58+Q58+U58+Y58</f>
        <v>7.04</v>
      </c>
      <c r="AD58" s="90">
        <f>F58+J58+N58+R58+V58+Z58</f>
        <v>0.1</v>
      </c>
      <c r="AE58" s="89">
        <f>AD58-AC58</f>
        <v>-6.94</v>
      </c>
      <c r="AF58" s="66"/>
      <c r="AG58" s="92"/>
      <c r="AH58" s="20"/>
      <c r="AI58" s="20"/>
      <c r="AJ58" s="67"/>
    </row>
    <row r="59" s="1" customFormat="1" ht="17.25" spans="1:36">
      <c r="A59" s="43"/>
      <c r="B59" s="68" t="s">
        <v>77</v>
      </c>
      <c r="C59" s="76" t="s">
        <v>25</v>
      </c>
      <c r="D59" s="70"/>
      <c r="E59" s="71"/>
      <c r="F59" s="72">
        <v>0</v>
      </c>
      <c r="G59" s="73"/>
      <c r="H59" s="70"/>
      <c r="I59" s="71"/>
      <c r="J59" s="72">
        <v>0</v>
      </c>
      <c r="K59" s="74"/>
      <c r="L59" s="70"/>
      <c r="M59" s="71"/>
      <c r="N59" s="72">
        <v>0</v>
      </c>
      <c r="O59" s="74"/>
      <c r="P59" s="70">
        <v>155</v>
      </c>
      <c r="Q59" s="71"/>
      <c r="R59" s="72">
        <v>0</v>
      </c>
      <c r="S59" s="74"/>
      <c r="T59" s="70"/>
      <c r="U59" s="71"/>
      <c r="V59" s="76">
        <v>73.38</v>
      </c>
      <c r="W59" s="77">
        <v>73.38</v>
      </c>
      <c r="X59" s="70">
        <v>74.018</v>
      </c>
      <c r="Y59" s="71">
        <v>89.92</v>
      </c>
      <c r="Z59" s="76">
        <v>2.85</v>
      </c>
      <c r="AA59" s="73">
        <v>-87.07</v>
      </c>
      <c r="AB59" s="70">
        <v>229.018</v>
      </c>
      <c r="AC59" s="78">
        <f>E59+I59+M59+Q59+U59+Y59</f>
        <v>89.92</v>
      </c>
      <c r="AD59" s="74">
        <f>F59+J59+N59+R59+V59+Z59</f>
        <v>76.23</v>
      </c>
      <c r="AE59" s="73">
        <f>AD59-AC59</f>
        <v>-13.69</v>
      </c>
      <c r="AF59" s="93">
        <f>AE59+AE61+AE62</f>
        <v>32.15</v>
      </c>
      <c r="AG59" s="94">
        <v>0.119</v>
      </c>
      <c r="AH59" s="82" t="s">
        <v>78</v>
      </c>
      <c r="AI59" s="82" t="s">
        <v>79</v>
      </c>
      <c r="AJ59" s="83"/>
    </row>
    <row r="60" s="1" customFormat="1" spans="1:36">
      <c r="A60" s="43"/>
      <c r="B60" s="44"/>
      <c r="C60" s="84" t="s">
        <v>28</v>
      </c>
      <c r="D60" s="46"/>
      <c r="E60" s="47"/>
      <c r="F60" s="48">
        <v>0</v>
      </c>
      <c r="G60" s="49"/>
      <c r="H60" s="46"/>
      <c r="I60" s="47"/>
      <c r="J60" s="48">
        <v>0</v>
      </c>
      <c r="K60" s="50"/>
      <c r="L60" s="46"/>
      <c r="M60" s="47"/>
      <c r="N60" s="48">
        <v>0</v>
      </c>
      <c r="O60" s="50"/>
      <c r="P60" s="46"/>
      <c r="Q60" s="47"/>
      <c r="R60" s="48">
        <v>0</v>
      </c>
      <c r="S60" s="50"/>
      <c r="T60" s="46"/>
      <c r="U60" s="47"/>
      <c r="V60" s="48">
        <v>0</v>
      </c>
      <c r="W60" s="52"/>
      <c r="X60" s="46">
        <v>13.1</v>
      </c>
      <c r="Y60" s="47"/>
      <c r="Z60" s="48">
        <v>0</v>
      </c>
      <c r="AA60" s="49"/>
      <c r="AB60" s="46">
        <v>13.1</v>
      </c>
      <c r="AC60" s="53"/>
      <c r="AD60" s="50"/>
      <c r="AE60" s="54"/>
      <c r="AF60" s="55"/>
      <c r="AG60" s="55"/>
      <c r="AH60" s="56"/>
      <c r="AI60" s="56"/>
      <c r="AJ60" s="57"/>
    </row>
    <row r="61" s="1" customFormat="1" spans="1:36">
      <c r="A61" s="43"/>
      <c r="B61" s="44"/>
      <c r="C61" s="51" t="s">
        <v>29</v>
      </c>
      <c r="D61" s="46"/>
      <c r="E61" s="47"/>
      <c r="F61" s="48">
        <v>0</v>
      </c>
      <c r="G61" s="49"/>
      <c r="H61" s="46"/>
      <c r="I61" s="47"/>
      <c r="J61" s="48">
        <v>0</v>
      </c>
      <c r="K61" s="50"/>
      <c r="L61" s="46"/>
      <c r="M61" s="47"/>
      <c r="N61" s="48">
        <v>0</v>
      </c>
      <c r="O61" s="50"/>
      <c r="P61" s="46"/>
      <c r="Q61" s="47"/>
      <c r="R61" s="48">
        <v>0</v>
      </c>
      <c r="S61" s="50"/>
      <c r="T61" s="46"/>
      <c r="U61" s="47">
        <v>138.9</v>
      </c>
      <c r="V61" s="51">
        <v>97</v>
      </c>
      <c r="W61" s="49">
        <v>-41.9</v>
      </c>
      <c r="X61" s="46">
        <v>106.529</v>
      </c>
      <c r="Y61" s="47">
        <v>39.95</v>
      </c>
      <c r="Z61" s="51">
        <v>125.44</v>
      </c>
      <c r="AA61" s="52">
        <v>85.49</v>
      </c>
      <c r="AB61" s="46">
        <v>106.529</v>
      </c>
      <c r="AC61" s="53">
        <f>E61+I61+M61+Q61+U61+Y61</f>
        <v>178.85</v>
      </c>
      <c r="AD61" s="50">
        <f>F61+J61+N61+R61+V61+Z61</f>
        <v>222.44</v>
      </c>
      <c r="AE61" s="54">
        <f>AD61-AC61</f>
        <v>43.59</v>
      </c>
      <c r="AF61" s="55"/>
      <c r="AG61" s="55"/>
      <c r="AH61" s="56"/>
      <c r="AI61" s="56"/>
      <c r="AJ61" s="57"/>
    </row>
    <row r="62" s="1" customFormat="1" ht="29" customHeight="1" spans="1:36">
      <c r="A62" s="43"/>
      <c r="B62" s="19"/>
      <c r="C62" s="85" t="s">
        <v>30</v>
      </c>
      <c r="D62" s="86"/>
      <c r="E62" s="87"/>
      <c r="F62" s="88">
        <v>0</v>
      </c>
      <c r="G62" s="89"/>
      <c r="H62" s="86"/>
      <c r="I62" s="87"/>
      <c r="J62" s="88">
        <v>0</v>
      </c>
      <c r="K62" s="90"/>
      <c r="L62" s="86"/>
      <c r="M62" s="87"/>
      <c r="N62" s="88">
        <v>0</v>
      </c>
      <c r="O62" s="90"/>
      <c r="P62" s="86"/>
      <c r="Q62" s="87"/>
      <c r="R62" s="88">
        <v>0</v>
      </c>
      <c r="S62" s="90"/>
      <c r="T62" s="86"/>
      <c r="U62" s="87"/>
      <c r="V62" s="88">
        <v>0</v>
      </c>
      <c r="W62" s="90"/>
      <c r="X62" s="86">
        <v>9.52</v>
      </c>
      <c r="Y62" s="87">
        <v>2.05</v>
      </c>
      <c r="Z62" s="85">
        <v>4.3</v>
      </c>
      <c r="AA62" s="90">
        <v>2.25</v>
      </c>
      <c r="AB62" s="86">
        <v>9.52</v>
      </c>
      <c r="AC62" s="91">
        <f>E62+I62+M62+Q62+U62+Y62</f>
        <v>2.05</v>
      </c>
      <c r="AD62" s="90">
        <f>F62+J62+N62+R62+V62+Z62</f>
        <v>4.3</v>
      </c>
      <c r="AE62" s="97">
        <f>AD62-AC62</f>
        <v>2.25</v>
      </c>
      <c r="AF62" s="66"/>
      <c r="AG62" s="92"/>
      <c r="AH62" s="20"/>
      <c r="AI62" s="20"/>
      <c r="AJ62" s="67"/>
    </row>
    <row r="63" s="1" customFormat="1" ht="17.25" spans="1:36">
      <c r="A63" s="43"/>
      <c r="B63" s="68" t="s">
        <v>80</v>
      </c>
      <c r="C63" s="76" t="s">
        <v>25</v>
      </c>
      <c r="D63" s="70"/>
      <c r="E63" s="71"/>
      <c r="F63" s="72">
        <v>0</v>
      </c>
      <c r="G63" s="73"/>
      <c r="H63" s="70">
        <v>723.554</v>
      </c>
      <c r="I63" s="71"/>
      <c r="J63" s="72">
        <v>0</v>
      </c>
      <c r="K63" s="74"/>
      <c r="L63" s="70"/>
      <c r="M63" s="71"/>
      <c r="N63" s="72">
        <v>0</v>
      </c>
      <c r="O63" s="74"/>
      <c r="P63" s="70"/>
      <c r="Q63" s="71"/>
      <c r="R63" s="76">
        <v>108</v>
      </c>
      <c r="S63" s="77">
        <v>108</v>
      </c>
      <c r="T63" s="70">
        <v>62.099997</v>
      </c>
      <c r="U63" s="71">
        <v>77.51</v>
      </c>
      <c r="V63" s="72">
        <v>0</v>
      </c>
      <c r="W63" s="73">
        <v>-77.51</v>
      </c>
      <c r="X63" s="70">
        <v>43.0264</v>
      </c>
      <c r="Y63" s="71">
        <v>44.23</v>
      </c>
      <c r="Z63" s="72">
        <v>0</v>
      </c>
      <c r="AA63" s="73">
        <v>-44.23</v>
      </c>
      <c r="AB63" s="70">
        <v>828.680397</v>
      </c>
      <c r="AC63" s="78">
        <f>E63+I63+M63+Q63+U63+Y63</f>
        <v>121.74</v>
      </c>
      <c r="AD63" s="74">
        <f>F63+J63+N63+R63+V63+Z63</f>
        <v>108</v>
      </c>
      <c r="AE63" s="73">
        <f>AD63-AC63</f>
        <v>-13.74</v>
      </c>
      <c r="AF63" s="93">
        <f>AE63+AE65+AE66</f>
        <v>22.76</v>
      </c>
      <c r="AG63" s="94">
        <v>0.092</v>
      </c>
      <c r="AH63" s="82" t="s">
        <v>81</v>
      </c>
      <c r="AI63" s="82" t="s">
        <v>82</v>
      </c>
      <c r="AJ63" s="83"/>
    </row>
    <row r="64" s="1" customFormat="1" spans="1:36">
      <c r="A64" s="43"/>
      <c r="B64" s="44"/>
      <c r="C64" s="84" t="s">
        <v>28</v>
      </c>
      <c r="D64" s="46"/>
      <c r="E64" s="47"/>
      <c r="F64" s="48">
        <v>0</v>
      </c>
      <c r="G64" s="49"/>
      <c r="H64" s="46"/>
      <c r="I64" s="47"/>
      <c r="J64" s="48">
        <v>0</v>
      </c>
      <c r="K64" s="50"/>
      <c r="L64" s="46"/>
      <c r="M64" s="47"/>
      <c r="N64" s="48">
        <v>0</v>
      </c>
      <c r="O64" s="50"/>
      <c r="P64" s="46"/>
      <c r="Q64" s="47"/>
      <c r="R64" s="48">
        <v>0</v>
      </c>
      <c r="S64" s="52"/>
      <c r="T64" s="46"/>
      <c r="U64" s="47"/>
      <c r="V64" s="48">
        <v>0</v>
      </c>
      <c r="W64" s="49"/>
      <c r="X64" s="46">
        <v>54.998</v>
      </c>
      <c r="Y64" s="47"/>
      <c r="Z64" s="48">
        <v>0</v>
      </c>
      <c r="AA64" s="49"/>
      <c r="AB64" s="46">
        <v>54.998</v>
      </c>
      <c r="AC64" s="53"/>
      <c r="AD64" s="50"/>
      <c r="AE64" s="54"/>
      <c r="AF64" s="55"/>
      <c r="AG64" s="55"/>
      <c r="AH64" s="56"/>
      <c r="AI64" s="56"/>
      <c r="AJ64" s="57"/>
    </row>
    <row r="65" s="1" customFormat="1" spans="1:36">
      <c r="A65" s="43"/>
      <c r="B65" s="44"/>
      <c r="C65" s="51" t="s">
        <v>29</v>
      </c>
      <c r="D65" s="46"/>
      <c r="E65" s="47"/>
      <c r="F65" s="48">
        <v>0</v>
      </c>
      <c r="G65" s="49"/>
      <c r="H65" s="46"/>
      <c r="I65" s="47"/>
      <c r="J65" s="48">
        <v>0</v>
      </c>
      <c r="K65" s="50"/>
      <c r="L65" s="46"/>
      <c r="M65" s="47"/>
      <c r="N65" s="48">
        <v>0</v>
      </c>
      <c r="O65" s="50"/>
      <c r="P65" s="46">
        <v>335.4406</v>
      </c>
      <c r="Q65" s="47"/>
      <c r="R65" s="48">
        <v>0</v>
      </c>
      <c r="S65" s="50"/>
      <c r="T65" s="46">
        <v>52.302</v>
      </c>
      <c r="U65" s="47"/>
      <c r="V65" s="51">
        <v>55</v>
      </c>
      <c r="W65" s="52">
        <v>55</v>
      </c>
      <c r="X65" s="46">
        <v>171.33888</v>
      </c>
      <c r="Y65" s="47">
        <v>125.6</v>
      </c>
      <c r="Z65" s="51">
        <v>100.47</v>
      </c>
      <c r="AA65" s="49">
        <v>-25.13</v>
      </c>
      <c r="AB65" s="46">
        <v>559.08148</v>
      </c>
      <c r="AC65" s="53">
        <f>E65+I65+M65+Q65+U65+Y65</f>
        <v>125.6</v>
      </c>
      <c r="AD65" s="50">
        <f>F65+J65+N65+R65+V65+Z65</f>
        <v>155.47</v>
      </c>
      <c r="AE65" s="54">
        <f>AD65-AC65</f>
        <v>29.87</v>
      </c>
      <c r="AF65" s="55"/>
      <c r="AG65" s="55"/>
      <c r="AH65" s="56"/>
      <c r="AI65" s="56"/>
      <c r="AJ65" s="57"/>
    </row>
    <row r="66" s="1" customFormat="1" ht="45" customHeight="1" spans="1:36">
      <c r="A66" s="43"/>
      <c r="B66" s="19"/>
      <c r="C66" s="85" t="s">
        <v>30</v>
      </c>
      <c r="D66" s="86"/>
      <c r="E66" s="87"/>
      <c r="F66" s="88">
        <v>0</v>
      </c>
      <c r="G66" s="89"/>
      <c r="H66" s="86"/>
      <c r="I66" s="87"/>
      <c r="J66" s="88">
        <v>0</v>
      </c>
      <c r="K66" s="90"/>
      <c r="L66" s="86"/>
      <c r="M66" s="87"/>
      <c r="N66" s="88">
        <v>0</v>
      </c>
      <c r="O66" s="90"/>
      <c r="P66" s="86"/>
      <c r="Q66" s="87"/>
      <c r="R66" s="88">
        <v>0</v>
      </c>
      <c r="S66" s="90"/>
      <c r="T66" s="86"/>
      <c r="U66" s="87"/>
      <c r="V66" s="88">
        <v>0</v>
      </c>
      <c r="W66" s="90"/>
      <c r="X66" s="86">
        <v>2</v>
      </c>
      <c r="Y66" s="87"/>
      <c r="Z66" s="85">
        <v>6.63</v>
      </c>
      <c r="AA66" s="90">
        <v>6.63</v>
      </c>
      <c r="AB66" s="86">
        <v>2</v>
      </c>
      <c r="AC66" s="91"/>
      <c r="AD66" s="90">
        <f>F66+J66+N66+R66+V66+Z66</f>
        <v>6.63</v>
      </c>
      <c r="AE66" s="97">
        <f>AD66-AC66</f>
        <v>6.63</v>
      </c>
      <c r="AF66" s="66"/>
      <c r="AG66" s="92"/>
      <c r="AH66" s="20"/>
      <c r="AI66" s="20"/>
      <c r="AJ66" s="67"/>
    </row>
    <row r="67" s="1" customFormat="1" ht="17.25" spans="1:36">
      <c r="A67" s="43"/>
      <c r="B67" s="68" t="s">
        <v>83</v>
      </c>
      <c r="C67" s="76" t="s">
        <v>25</v>
      </c>
      <c r="D67" s="70">
        <v>1042.791944</v>
      </c>
      <c r="E67" s="71"/>
      <c r="F67" s="72">
        <v>0</v>
      </c>
      <c r="G67" s="73"/>
      <c r="H67" s="70"/>
      <c r="I67" s="71"/>
      <c r="J67" s="72">
        <v>0</v>
      </c>
      <c r="K67" s="74"/>
      <c r="L67" s="70"/>
      <c r="M67" s="71"/>
      <c r="N67" s="72">
        <v>0</v>
      </c>
      <c r="O67" s="74"/>
      <c r="P67" s="70"/>
      <c r="Q67" s="71"/>
      <c r="R67" s="72">
        <v>0</v>
      </c>
      <c r="S67" s="74"/>
      <c r="T67" s="70"/>
      <c r="U67" s="71"/>
      <c r="V67" s="72">
        <v>0</v>
      </c>
      <c r="W67" s="74"/>
      <c r="X67" s="70">
        <v>71.2265</v>
      </c>
      <c r="Y67" s="71">
        <v>8.74</v>
      </c>
      <c r="Z67" s="76">
        <v>20</v>
      </c>
      <c r="AA67" s="74">
        <v>11.26</v>
      </c>
      <c r="AB67" s="70">
        <v>1114.018444</v>
      </c>
      <c r="AC67" s="78">
        <f>E67+I67+M67+Q67+U67+Y67</f>
        <v>8.74</v>
      </c>
      <c r="AD67" s="74">
        <f>F67+J67+N67+R67+V67+Z67</f>
        <v>20</v>
      </c>
      <c r="AE67" s="79">
        <f>AD67-AC67</f>
        <v>11.26</v>
      </c>
      <c r="AF67" s="98">
        <f>AE67+AE69+AE70</f>
        <v>-21.26</v>
      </c>
      <c r="AG67" s="99">
        <v>-0.197</v>
      </c>
      <c r="AH67" s="82" t="s">
        <v>84</v>
      </c>
      <c r="AI67" s="82" t="s">
        <v>85</v>
      </c>
      <c r="AJ67" s="83"/>
    </row>
    <row r="68" s="1" customFormat="1" spans="1:36">
      <c r="A68" s="43"/>
      <c r="B68" s="44"/>
      <c r="C68" s="84" t="s">
        <v>28</v>
      </c>
      <c r="D68" s="46"/>
      <c r="E68" s="47"/>
      <c r="F68" s="48">
        <v>0</v>
      </c>
      <c r="G68" s="49"/>
      <c r="H68" s="46"/>
      <c r="I68" s="47"/>
      <c r="J68" s="48">
        <v>0</v>
      </c>
      <c r="K68" s="50"/>
      <c r="L68" s="46"/>
      <c r="M68" s="47"/>
      <c r="N68" s="48">
        <v>0</v>
      </c>
      <c r="O68" s="50"/>
      <c r="P68" s="46">
        <v>306.259002</v>
      </c>
      <c r="Q68" s="47"/>
      <c r="R68" s="48">
        <v>0</v>
      </c>
      <c r="S68" s="50"/>
      <c r="T68" s="46"/>
      <c r="U68" s="47"/>
      <c r="V68" s="48">
        <v>0</v>
      </c>
      <c r="W68" s="50"/>
      <c r="X68" s="46">
        <v>24.295</v>
      </c>
      <c r="Y68" s="47"/>
      <c r="Z68" s="48">
        <v>0</v>
      </c>
      <c r="AA68" s="50"/>
      <c r="AB68" s="46">
        <v>330.554002</v>
      </c>
      <c r="AC68" s="53"/>
      <c r="AD68" s="50"/>
      <c r="AE68" s="54"/>
      <c r="AF68" s="55"/>
      <c r="AG68" s="55"/>
      <c r="AH68" s="56"/>
      <c r="AI68" s="56"/>
      <c r="AJ68" s="57"/>
    </row>
    <row r="69" s="1" customFormat="1" spans="1:36">
      <c r="A69" s="43"/>
      <c r="B69" s="44"/>
      <c r="C69" s="51" t="s">
        <v>29</v>
      </c>
      <c r="D69" s="46"/>
      <c r="E69" s="47"/>
      <c r="F69" s="48">
        <v>0</v>
      </c>
      <c r="G69" s="49"/>
      <c r="H69" s="46"/>
      <c r="I69" s="47"/>
      <c r="J69" s="48">
        <v>0</v>
      </c>
      <c r="K69" s="50"/>
      <c r="L69" s="46"/>
      <c r="M69" s="47"/>
      <c r="N69" s="48">
        <v>0</v>
      </c>
      <c r="O69" s="50"/>
      <c r="P69" s="46">
        <v>167.3</v>
      </c>
      <c r="Q69" s="47"/>
      <c r="R69" s="48">
        <v>0</v>
      </c>
      <c r="S69" s="50"/>
      <c r="T69" s="46"/>
      <c r="U69" s="47">
        <v>72.8</v>
      </c>
      <c r="V69" s="48">
        <v>0</v>
      </c>
      <c r="W69" s="49">
        <v>-72.8</v>
      </c>
      <c r="X69" s="46">
        <v>52.84</v>
      </c>
      <c r="Y69" s="47">
        <v>9.3</v>
      </c>
      <c r="Z69" s="51">
        <v>66.88</v>
      </c>
      <c r="AA69" s="52">
        <v>57.58</v>
      </c>
      <c r="AB69" s="46">
        <v>220.14</v>
      </c>
      <c r="AC69" s="53">
        <f>E69+I69+M69+Q69+U69+Y69</f>
        <v>82.1</v>
      </c>
      <c r="AD69" s="50">
        <f>F69+J69+N69+R69+V69+Z69</f>
        <v>66.88</v>
      </c>
      <c r="AE69" s="49">
        <f>AD69-AC69</f>
        <v>-15.22</v>
      </c>
      <c r="AF69" s="55"/>
      <c r="AG69" s="55"/>
      <c r="AH69" s="56"/>
      <c r="AI69" s="56"/>
      <c r="AJ69" s="57"/>
    </row>
    <row r="70" s="1" customFormat="1" ht="32" customHeight="1" spans="1:36">
      <c r="A70" s="43"/>
      <c r="B70" s="19"/>
      <c r="C70" s="85" t="s">
        <v>30</v>
      </c>
      <c r="D70" s="86"/>
      <c r="E70" s="87"/>
      <c r="F70" s="88">
        <v>0</v>
      </c>
      <c r="G70" s="89"/>
      <c r="H70" s="86"/>
      <c r="I70" s="87"/>
      <c r="J70" s="88">
        <v>0</v>
      </c>
      <c r="K70" s="90"/>
      <c r="L70" s="86"/>
      <c r="M70" s="87"/>
      <c r="N70" s="88">
        <v>0</v>
      </c>
      <c r="O70" s="90"/>
      <c r="P70" s="86"/>
      <c r="Q70" s="87"/>
      <c r="R70" s="88">
        <v>0</v>
      </c>
      <c r="S70" s="90"/>
      <c r="T70" s="86"/>
      <c r="U70" s="87"/>
      <c r="V70" s="88">
        <v>0</v>
      </c>
      <c r="W70" s="90"/>
      <c r="X70" s="86">
        <v>3.11</v>
      </c>
      <c r="Y70" s="87">
        <v>17.3</v>
      </c>
      <c r="Z70" s="88">
        <v>0</v>
      </c>
      <c r="AA70" s="89">
        <v>-17.3</v>
      </c>
      <c r="AB70" s="86">
        <v>3.11</v>
      </c>
      <c r="AC70" s="91">
        <f>E70+I70+M70+Q70+U70+Y70</f>
        <v>17.3</v>
      </c>
      <c r="AD70" s="90"/>
      <c r="AE70" s="89">
        <f>AD70-AC70</f>
        <v>-17.3</v>
      </c>
      <c r="AF70" s="66"/>
      <c r="AG70" s="92"/>
      <c r="AH70" s="20"/>
      <c r="AI70" s="20"/>
      <c r="AJ70" s="67"/>
    </row>
    <row r="71" s="1" customFormat="1" ht="17.25" spans="1:36">
      <c r="A71" s="43"/>
      <c r="B71" s="68" t="s">
        <v>86</v>
      </c>
      <c r="C71" s="76" t="s">
        <v>25</v>
      </c>
      <c r="D71" s="70"/>
      <c r="E71" s="71"/>
      <c r="F71" s="72">
        <v>0</v>
      </c>
      <c r="G71" s="73"/>
      <c r="H71" s="70"/>
      <c r="I71" s="71"/>
      <c r="J71" s="72">
        <v>0</v>
      </c>
      <c r="K71" s="74"/>
      <c r="L71" s="70"/>
      <c r="M71" s="71"/>
      <c r="N71" s="72">
        <v>0</v>
      </c>
      <c r="O71" s="74"/>
      <c r="P71" s="70"/>
      <c r="Q71" s="71"/>
      <c r="R71" s="72">
        <v>0</v>
      </c>
      <c r="S71" s="74"/>
      <c r="T71" s="70"/>
      <c r="U71" s="71"/>
      <c r="V71" s="72">
        <v>0</v>
      </c>
      <c r="W71" s="74"/>
      <c r="X71" s="70"/>
      <c r="Y71" s="71">
        <v>11.52</v>
      </c>
      <c r="Z71" s="72">
        <v>0</v>
      </c>
      <c r="AA71" s="73">
        <v>-11.52</v>
      </c>
      <c r="AB71" s="70"/>
      <c r="AC71" s="78">
        <f>E71+I71+M71+Q71+U71+Y71</f>
        <v>11.52</v>
      </c>
      <c r="AD71" s="74"/>
      <c r="AE71" s="73">
        <f>AD71-AC71</f>
        <v>-11.52</v>
      </c>
      <c r="AF71" s="127">
        <f>AE71+AE73</f>
        <v>-97.89</v>
      </c>
      <c r="AG71" s="99">
        <v>-0.69</v>
      </c>
      <c r="AH71" s="82" t="s">
        <v>87</v>
      </c>
      <c r="AI71" s="82" t="s">
        <v>88</v>
      </c>
      <c r="AJ71" s="83"/>
    </row>
    <row r="72" s="1" customFormat="1" spans="1:36">
      <c r="A72" s="43"/>
      <c r="B72" s="44"/>
      <c r="C72" s="84" t="s">
        <v>28</v>
      </c>
      <c r="D72" s="46"/>
      <c r="E72" s="47"/>
      <c r="F72" s="48">
        <v>0</v>
      </c>
      <c r="G72" s="49"/>
      <c r="H72" s="46"/>
      <c r="I72" s="47"/>
      <c r="J72" s="48">
        <v>0</v>
      </c>
      <c r="K72" s="50"/>
      <c r="L72" s="46"/>
      <c r="M72" s="47"/>
      <c r="N72" s="48">
        <v>0</v>
      </c>
      <c r="O72" s="50"/>
      <c r="P72" s="46"/>
      <c r="Q72" s="47"/>
      <c r="R72" s="48">
        <v>0</v>
      </c>
      <c r="S72" s="50"/>
      <c r="T72" s="46">
        <v>93</v>
      </c>
      <c r="U72" s="47"/>
      <c r="V72" s="48">
        <v>0</v>
      </c>
      <c r="W72" s="50"/>
      <c r="X72" s="46"/>
      <c r="Y72" s="47"/>
      <c r="Z72" s="48">
        <v>0</v>
      </c>
      <c r="AA72" s="49"/>
      <c r="AB72" s="46">
        <v>93</v>
      </c>
      <c r="AC72" s="53"/>
      <c r="AD72" s="50"/>
      <c r="AE72" s="49"/>
      <c r="AF72" s="55"/>
      <c r="AG72" s="55"/>
      <c r="AH72" s="56"/>
      <c r="AI72" s="56"/>
      <c r="AJ72" s="57"/>
    </row>
    <row r="73" s="1" customFormat="1" spans="1:36">
      <c r="A73" s="43"/>
      <c r="B73" s="44"/>
      <c r="C73" s="95" t="s">
        <v>29</v>
      </c>
      <c r="D73" s="46"/>
      <c r="E73" s="47"/>
      <c r="F73" s="48">
        <v>0</v>
      </c>
      <c r="G73" s="49"/>
      <c r="H73" s="46"/>
      <c r="I73" s="47"/>
      <c r="J73" s="48">
        <v>0</v>
      </c>
      <c r="K73" s="50"/>
      <c r="L73" s="46"/>
      <c r="M73" s="47"/>
      <c r="N73" s="48">
        <v>0</v>
      </c>
      <c r="O73" s="50"/>
      <c r="P73" s="46"/>
      <c r="Q73" s="47"/>
      <c r="R73" s="48">
        <v>0</v>
      </c>
      <c r="S73" s="50"/>
      <c r="T73" s="46">
        <v>148.646</v>
      </c>
      <c r="U73" s="47"/>
      <c r="V73" s="48">
        <v>0</v>
      </c>
      <c r="W73" s="50"/>
      <c r="X73" s="46">
        <v>153.2735</v>
      </c>
      <c r="Y73" s="47">
        <v>130.37</v>
      </c>
      <c r="Z73" s="51">
        <v>44</v>
      </c>
      <c r="AA73" s="49">
        <v>-86.37</v>
      </c>
      <c r="AB73" s="46">
        <v>301.9195</v>
      </c>
      <c r="AC73" s="53">
        <f>E73+I73+M73+Q73+U73+Y73</f>
        <v>130.37</v>
      </c>
      <c r="AD73" s="50">
        <f>F73+J73+N73+R73+V73+Z73</f>
        <v>44</v>
      </c>
      <c r="AE73" s="49">
        <f>AD73-AC73</f>
        <v>-86.37</v>
      </c>
      <c r="AF73" s="55"/>
      <c r="AG73" s="55"/>
      <c r="AH73" s="56"/>
      <c r="AI73" s="56"/>
      <c r="AJ73" s="57"/>
    </row>
    <row r="74" s="1" customFormat="1" ht="30" customHeight="1" spans="1:36">
      <c r="A74" s="43"/>
      <c r="B74" s="19"/>
      <c r="C74" s="116" t="s">
        <v>30</v>
      </c>
      <c r="D74" s="86"/>
      <c r="E74" s="87"/>
      <c r="F74" s="88">
        <v>0</v>
      </c>
      <c r="G74" s="89"/>
      <c r="H74" s="86"/>
      <c r="I74" s="87"/>
      <c r="J74" s="88">
        <v>0</v>
      </c>
      <c r="K74" s="90"/>
      <c r="L74" s="86"/>
      <c r="M74" s="87"/>
      <c r="N74" s="88">
        <v>0</v>
      </c>
      <c r="O74" s="90"/>
      <c r="P74" s="86"/>
      <c r="Q74" s="87"/>
      <c r="R74" s="88">
        <v>0</v>
      </c>
      <c r="S74" s="89"/>
      <c r="T74" s="86"/>
      <c r="U74" s="87"/>
      <c r="V74" s="88">
        <v>0</v>
      </c>
      <c r="W74" s="90"/>
      <c r="X74" s="86">
        <v>1.99</v>
      </c>
      <c r="Y74" s="87"/>
      <c r="Z74" s="88">
        <v>0</v>
      </c>
      <c r="AA74" s="89"/>
      <c r="AB74" s="86">
        <v>1.99</v>
      </c>
      <c r="AC74" s="91"/>
      <c r="AD74" s="90"/>
      <c r="AE74" s="97"/>
      <c r="AF74" s="92"/>
      <c r="AG74" s="92"/>
      <c r="AH74" s="20"/>
      <c r="AI74" s="20"/>
      <c r="AJ74" s="67"/>
    </row>
    <row r="75" s="1" customFormat="1" ht="17.25" spans="1:36">
      <c r="A75" s="43"/>
      <c r="B75" s="68" t="s">
        <v>89</v>
      </c>
      <c r="C75" s="128" t="s">
        <v>25</v>
      </c>
      <c r="D75" s="70"/>
      <c r="E75" s="71"/>
      <c r="F75" s="72">
        <v>0</v>
      </c>
      <c r="G75" s="73"/>
      <c r="H75" s="70"/>
      <c r="I75" s="71"/>
      <c r="J75" s="72">
        <v>0</v>
      </c>
      <c r="K75" s="74"/>
      <c r="L75" s="70"/>
      <c r="M75" s="71"/>
      <c r="N75" s="72">
        <v>0</v>
      </c>
      <c r="O75" s="74"/>
      <c r="P75" s="70"/>
      <c r="Q75" s="71"/>
      <c r="R75" s="72">
        <v>0</v>
      </c>
      <c r="S75" s="74"/>
      <c r="T75" s="70">
        <v>52.544</v>
      </c>
      <c r="U75" s="71"/>
      <c r="V75" s="72">
        <v>0</v>
      </c>
      <c r="W75" s="73"/>
      <c r="X75" s="70"/>
      <c r="Y75" s="71"/>
      <c r="Z75" s="72">
        <v>0</v>
      </c>
      <c r="AA75" s="73"/>
      <c r="AB75" s="70">
        <v>52.544</v>
      </c>
      <c r="AC75" s="78"/>
      <c r="AD75" s="74"/>
      <c r="AE75" s="79"/>
      <c r="AF75" s="127">
        <f>AE77</f>
        <v>-156.29</v>
      </c>
      <c r="AG75" s="99">
        <v>-0.897</v>
      </c>
      <c r="AH75" s="82" t="s">
        <v>90</v>
      </c>
      <c r="AI75" s="82" t="s">
        <v>91</v>
      </c>
      <c r="AJ75" s="83"/>
    </row>
    <row r="76" s="1" customFormat="1" spans="1:36">
      <c r="A76" s="43"/>
      <c r="B76" s="44"/>
      <c r="C76" s="106" t="s">
        <v>28</v>
      </c>
      <c r="D76" s="46"/>
      <c r="E76" s="47"/>
      <c r="F76" s="48">
        <v>0</v>
      </c>
      <c r="G76" s="49"/>
      <c r="H76" s="46"/>
      <c r="I76" s="47"/>
      <c r="J76" s="48">
        <v>0</v>
      </c>
      <c r="K76" s="50"/>
      <c r="L76" s="46"/>
      <c r="M76" s="47"/>
      <c r="N76" s="48">
        <v>0</v>
      </c>
      <c r="O76" s="50"/>
      <c r="P76" s="46"/>
      <c r="Q76" s="47"/>
      <c r="R76" s="48">
        <v>0</v>
      </c>
      <c r="S76" s="50"/>
      <c r="T76" s="46"/>
      <c r="U76" s="47"/>
      <c r="V76" s="48">
        <v>0</v>
      </c>
      <c r="W76" s="49"/>
      <c r="X76" s="46"/>
      <c r="Y76" s="47"/>
      <c r="Z76" s="48">
        <v>0</v>
      </c>
      <c r="AA76" s="49"/>
      <c r="AB76" s="46"/>
      <c r="AC76" s="53"/>
      <c r="AD76" s="50"/>
      <c r="AE76" s="54"/>
      <c r="AF76" s="55"/>
      <c r="AG76" s="55"/>
      <c r="AH76" s="56"/>
      <c r="AI76" s="56"/>
      <c r="AJ76" s="57"/>
    </row>
    <row r="77" s="1" customFormat="1" spans="1:36">
      <c r="A77" s="43"/>
      <c r="B77" s="44"/>
      <c r="C77" s="95" t="s">
        <v>29</v>
      </c>
      <c r="D77" s="46"/>
      <c r="E77" s="47"/>
      <c r="F77" s="48">
        <v>0</v>
      </c>
      <c r="G77" s="49"/>
      <c r="H77" s="46"/>
      <c r="I77" s="47"/>
      <c r="J77" s="48">
        <v>0</v>
      </c>
      <c r="K77" s="50"/>
      <c r="L77" s="46"/>
      <c r="M77" s="47"/>
      <c r="N77" s="48">
        <v>0</v>
      </c>
      <c r="O77" s="50"/>
      <c r="P77" s="46"/>
      <c r="Q77" s="47"/>
      <c r="R77" s="48">
        <v>0</v>
      </c>
      <c r="S77" s="50"/>
      <c r="T77" s="46">
        <v>68.2</v>
      </c>
      <c r="U77" s="47">
        <v>84</v>
      </c>
      <c r="V77" s="48">
        <v>0</v>
      </c>
      <c r="W77" s="49">
        <v>-84</v>
      </c>
      <c r="X77" s="46">
        <v>38.39</v>
      </c>
      <c r="Y77" s="47">
        <v>90.15</v>
      </c>
      <c r="Z77" s="51">
        <v>17.86</v>
      </c>
      <c r="AA77" s="49">
        <v>-72.3</v>
      </c>
      <c r="AB77" s="46">
        <v>106.59</v>
      </c>
      <c r="AC77" s="53">
        <f>E77+I77+M77+Q77+U77+Y77</f>
        <v>174.15</v>
      </c>
      <c r="AD77" s="50">
        <f>F77+J77+N77+R77+V77+Z77</f>
        <v>17.86</v>
      </c>
      <c r="AE77" s="49">
        <f>AD77-AC77</f>
        <v>-156.29</v>
      </c>
      <c r="AF77" s="55"/>
      <c r="AG77" s="55"/>
      <c r="AH77" s="56"/>
      <c r="AI77" s="56"/>
      <c r="AJ77" s="57"/>
    </row>
    <row r="78" s="1" customFormat="1" ht="30" customHeight="1" spans="1:36">
      <c r="A78" s="43"/>
      <c r="B78" s="19"/>
      <c r="C78" s="116" t="s">
        <v>30</v>
      </c>
      <c r="D78" s="86"/>
      <c r="E78" s="87"/>
      <c r="F78" s="88">
        <v>0</v>
      </c>
      <c r="G78" s="89"/>
      <c r="H78" s="86"/>
      <c r="I78" s="87"/>
      <c r="J78" s="88">
        <v>0</v>
      </c>
      <c r="K78" s="90"/>
      <c r="L78" s="86"/>
      <c r="M78" s="87"/>
      <c r="N78" s="88">
        <v>0</v>
      </c>
      <c r="O78" s="90"/>
      <c r="P78" s="86"/>
      <c r="Q78" s="87"/>
      <c r="R78" s="88">
        <v>0</v>
      </c>
      <c r="S78" s="89"/>
      <c r="T78" s="86"/>
      <c r="U78" s="87"/>
      <c r="V78" s="88">
        <v>0</v>
      </c>
      <c r="W78" s="89"/>
      <c r="X78" s="86"/>
      <c r="Y78" s="87"/>
      <c r="Z78" s="88">
        <v>0</v>
      </c>
      <c r="AA78" s="89"/>
      <c r="AB78" s="86"/>
      <c r="AC78" s="91"/>
      <c r="AD78" s="90"/>
      <c r="AE78" s="97"/>
      <c r="AF78" s="92"/>
      <c r="AG78" s="92"/>
      <c r="AH78" s="20"/>
      <c r="AI78" s="20"/>
      <c r="AJ78" s="67"/>
    </row>
    <row r="79" s="1" customFormat="1" ht="18" customHeight="1" spans="1:36">
      <c r="A79" s="43"/>
      <c r="B79" s="68" t="s">
        <v>92</v>
      </c>
      <c r="C79" s="128" t="s">
        <v>25</v>
      </c>
      <c r="D79" s="70"/>
      <c r="E79" s="71"/>
      <c r="F79" s="72">
        <v>0</v>
      </c>
      <c r="G79" s="73"/>
      <c r="H79" s="70"/>
      <c r="I79" s="71"/>
      <c r="J79" s="72">
        <v>0</v>
      </c>
      <c r="K79" s="74"/>
      <c r="L79" s="70"/>
      <c r="M79" s="71"/>
      <c r="N79" s="72">
        <v>0</v>
      </c>
      <c r="O79" s="74"/>
      <c r="P79" s="70"/>
      <c r="Q79" s="71"/>
      <c r="R79" s="72">
        <v>0</v>
      </c>
      <c r="S79" s="73"/>
      <c r="T79" s="70"/>
      <c r="U79" s="71"/>
      <c r="V79" s="72">
        <v>0</v>
      </c>
      <c r="W79" s="74"/>
      <c r="X79" s="70">
        <v>16</v>
      </c>
      <c r="Y79" s="71"/>
      <c r="Z79" s="72">
        <v>0</v>
      </c>
      <c r="AA79" s="73"/>
      <c r="AB79" s="70">
        <v>16</v>
      </c>
      <c r="AC79" s="78"/>
      <c r="AD79" s="74"/>
      <c r="AE79" s="79"/>
      <c r="AF79" s="127">
        <f>AE81</f>
        <v>-220.32</v>
      </c>
      <c r="AG79" s="99">
        <v>-0.916</v>
      </c>
      <c r="AH79" s="82" t="s">
        <v>93</v>
      </c>
      <c r="AI79" s="82" t="s">
        <v>94</v>
      </c>
      <c r="AJ79" s="83"/>
    </row>
    <row r="80" s="1" customFormat="1" ht="18" customHeight="1" spans="1:36">
      <c r="A80" s="43"/>
      <c r="B80" s="44"/>
      <c r="C80" s="106" t="s">
        <v>28</v>
      </c>
      <c r="D80" s="46"/>
      <c r="E80" s="47"/>
      <c r="F80" s="48">
        <v>0</v>
      </c>
      <c r="G80" s="49"/>
      <c r="H80" s="46"/>
      <c r="I80" s="47"/>
      <c r="J80" s="48">
        <v>0</v>
      </c>
      <c r="K80" s="50"/>
      <c r="L80" s="46"/>
      <c r="M80" s="47"/>
      <c r="N80" s="48">
        <v>0</v>
      </c>
      <c r="O80" s="50"/>
      <c r="P80" s="46"/>
      <c r="Q80" s="47"/>
      <c r="R80" s="48">
        <v>0</v>
      </c>
      <c r="S80" s="49"/>
      <c r="T80" s="46"/>
      <c r="U80" s="47"/>
      <c r="V80" s="48">
        <v>0</v>
      </c>
      <c r="W80" s="50"/>
      <c r="X80" s="46"/>
      <c r="Y80" s="47"/>
      <c r="Z80" s="48">
        <v>0</v>
      </c>
      <c r="AA80" s="49"/>
      <c r="AB80" s="46"/>
      <c r="AC80" s="53"/>
      <c r="AD80" s="50"/>
      <c r="AE80" s="54"/>
      <c r="AF80" s="55"/>
      <c r="AG80" s="55"/>
      <c r="AH80" s="56"/>
      <c r="AI80" s="56"/>
      <c r="AJ80" s="57"/>
    </row>
    <row r="81" s="1" customFormat="1" ht="18" customHeight="1" spans="1:36">
      <c r="A81" s="43"/>
      <c r="B81" s="44"/>
      <c r="C81" s="95" t="s">
        <v>29</v>
      </c>
      <c r="D81" s="46"/>
      <c r="E81" s="47"/>
      <c r="F81" s="48">
        <v>0</v>
      </c>
      <c r="G81" s="49"/>
      <c r="H81" s="46"/>
      <c r="I81" s="47"/>
      <c r="J81" s="48">
        <v>0</v>
      </c>
      <c r="K81" s="50"/>
      <c r="L81" s="46"/>
      <c r="M81" s="47"/>
      <c r="N81" s="48">
        <v>0</v>
      </c>
      <c r="O81" s="50"/>
      <c r="P81" s="46">
        <v>233</v>
      </c>
      <c r="Q81" s="47">
        <v>112.2</v>
      </c>
      <c r="R81" s="48">
        <v>0</v>
      </c>
      <c r="S81" s="49">
        <v>-112.2</v>
      </c>
      <c r="T81" s="46"/>
      <c r="U81" s="47"/>
      <c r="V81" s="48">
        <v>0</v>
      </c>
      <c r="W81" s="50"/>
      <c r="X81" s="46">
        <v>35.25</v>
      </c>
      <c r="Y81" s="47">
        <v>128.42</v>
      </c>
      <c r="Z81" s="51">
        <v>20.3</v>
      </c>
      <c r="AA81" s="49">
        <v>-108.12</v>
      </c>
      <c r="AB81" s="46">
        <v>268.25</v>
      </c>
      <c r="AC81" s="53">
        <f>E81+I81+M81+Q81+U81+Y81</f>
        <v>240.62</v>
      </c>
      <c r="AD81" s="50">
        <f>F81+J81+N81+R81+V81+Z81</f>
        <v>20.3</v>
      </c>
      <c r="AE81" s="49">
        <f>AD81-AC81</f>
        <v>-220.32</v>
      </c>
      <c r="AF81" s="55"/>
      <c r="AG81" s="55"/>
      <c r="AH81" s="56"/>
      <c r="AI81" s="56"/>
      <c r="AJ81" s="57"/>
    </row>
    <row r="82" s="1" customFormat="1" ht="17.25" customHeight="1" spans="1:36">
      <c r="A82" s="43"/>
      <c r="B82" s="19"/>
      <c r="C82" s="116" t="s">
        <v>30</v>
      </c>
      <c r="D82" s="86"/>
      <c r="E82" s="87"/>
      <c r="F82" s="88">
        <v>0</v>
      </c>
      <c r="G82" s="89"/>
      <c r="H82" s="86"/>
      <c r="I82" s="87"/>
      <c r="J82" s="88">
        <v>0</v>
      </c>
      <c r="K82" s="90"/>
      <c r="L82" s="86"/>
      <c r="M82" s="87"/>
      <c r="N82" s="88">
        <v>0</v>
      </c>
      <c r="O82" s="90"/>
      <c r="P82" s="86"/>
      <c r="Q82" s="87"/>
      <c r="R82" s="88">
        <v>0</v>
      </c>
      <c r="S82" s="90"/>
      <c r="T82" s="86"/>
      <c r="U82" s="87"/>
      <c r="V82" s="88">
        <v>0</v>
      </c>
      <c r="W82" s="89"/>
      <c r="X82" s="86"/>
      <c r="Y82" s="87"/>
      <c r="Z82" s="88">
        <v>0</v>
      </c>
      <c r="AA82" s="89"/>
      <c r="AB82" s="86"/>
      <c r="AC82" s="91"/>
      <c r="AD82" s="90"/>
      <c r="AE82" s="89"/>
      <c r="AF82" s="92"/>
      <c r="AG82" s="92"/>
      <c r="AH82" s="20"/>
      <c r="AI82" s="20"/>
      <c r="AJ82" s="67"/>
    </row>
    <row r="83" s="1" customFormat="1" spans="1:36">
      <c r="A83" s="43"/>
      <c r="B83" s="68" t="s">
        <v>95</v>
      </c>
      <c r="C83" s="76" t="s">
        <v>25</v>
      </c>
      <c r="D83" s="70"/>
      <c r="E83" s="71"/>
      <c r="F83" s="72">
        <v>0</v>
      </c>
      <c r="G83" s="73"/>
      <c r="H83" s="70"/>
      <c r="I83" s="71"/>
      <c r="J83" s="72">
        <v>0</v>
      </c>
      <c r="K83" s="74"/>
      <c r="L83" s="70"/>
      <c r="M83" s="71"/>
      <c r="N83" s="72">
        <v>0</v>
      </c>
      <c r="O83" s="74"/>
      <c r="P83" s="70">
        <v>124</v>
      </c>
      <c r="Q83" s="71"/>
      <c r="R83" s="72">
        <v>0</v>
      </c>
      <c r="S83" s="74"/>
      <c r="T83" s="70">
        <v>84.733</v>
      </c>
      <c r="U83" s="71"/>
      <c r="V83" s="72">
        <v>0</v>
      </c>
      <c r="W83" s="74"/>
      <c r="X83" s="70">
        <v>50.08</v>
      </c>
      <c r="Y83" s="71">
        <v>35.54</v>
      </c>
      <c r="Z83" s="72">
        <v>0</v>
      </c>
      <c r="AA83" s="73">
        <v>-35.54</v>
      </c>
      <c r="AB83" s="70">
        <v>258.813</v>
      </c>
      <c r="AC83" s="78">
        <f>E83+I83+M83+Q83+U83+Y83</f>
        <v>35.54</v>
      </c>
      <c r="AD83" s="74"/>
      <c r="AE83" s="73">
        <f>AD83-AC83</f>
        <v>-35.54</v>
      </c>
      <c r="AF83" s="104">
        <f>AE83+AE85+AE86</f>
        <v>-227.99</v>
      </c>
      <c r="AG83" s="129">
        <v>-0.958</v>
      </c>
      <c r="AH83" s="82" t="s">
        <v>96</v>
      </c>
      <c r="AI83" s="82" t="s">
        <v>97</v>
      </c>
      <c r="AJ83" s="83"/>
    </row>
    <row r="84" s="1" customFormat="1" spans="1:36">
      <c r="A84" s="43"/>
      <c r="B84" s="44"/>
      <c r="C84" s="106" t="s">
        <v>28</v>
      </c>
      <c r="D84" s="46"/>
      <c r="E84" s="47"/>
      <c r="F84" s="48">
        <v>0</v>
      </c>
      <c r="G84" s="49"/>
      <c r="H84" s="46"/>
      <c r="I84" s="47"/>
      <c r="J84" s="48">
        <v>0</v>
      </c>
      <c r="K84" s="50"/>
      <c r="L84" s="46"/>
      <c r="M84" s="47"/>
      <c r="N84" s="48">
        <v>0</v>
      </c>
      <c r="O84" s="50"/>
      <c r="P84" s="46"/>
      <c r="Q84" s="47"/>
      <c r="R84" s="48">
        <v>0</v>
      </c>
      <c r="S84" s="50"/>
      <c r="T84" s="46"/>
      <c r="U84" s="47"/>
      <c r="V84" s="48">
        <v>0</v>
      </c>
      <c r="W84" s="49"/>
      <c r="X84" s="46">
        <v>20</v>
      </c>
      <c r="Y84" s="47"/>
      <c r="Z84" s="48">
        <v>0</v>
      </c>
      <c r="AA84" s="49"/>
      <c r="AB84" s="46">
        <v>20</v>
      </c>
      <c r="AC84" s="53"/>
      <c r="AD84" s="50"/>
      <c r="AE84" s="49"/>
      <c r="AF84" s="55"/>
      <c r="AG84" s="55"/>
      <c r="AH84" s="56"/>
      <c r="AI84" s="56"/>
      <c r="AJ84" s="57"/>
    </row>
    <row r="85" s="1" customFormat="1" spans="1:36">
      <c r="A85" s="43"/>
      <c r="B85" s="44"/>
      <c r="C85" s="95" t="s">
        <v>29</v>
      </c>
      <c r="D85" s="46"/>
      <c r="E85" s="47"/>
      <c r="F85" s="48">
        <v>0</v>
      </c>
      <c r="G85" s="49"/>
      <c r="H85" s="46"/>
      <c r="I85" s="47"/>
      <c r="J85" s="48">
        <v>0</v>
      </c>
      <c r="K85" s="50"/>
      <c r="L85" s="46"/>
      <c r="M85" s="47"/>
      <c r="N85" s="48">
        <v>0</v>
      </c>
      <c r="O85" s="50"/>
      <c r="P85" s="46">
        <v>112.5</v>
      </c>
      <c r="Q85" s="47"/>
      <c r="R85" s="48">
        <v>0</v>
      </c>
      <c r="S85" s="50"/>
      <c r="T85" s="46"/>
      <c r="U85" s="47">
        <v>117.55</v>
      </c>
      <c r="V85" s="48">
        <v>0</v>
      </c>
      <c r="W85" s="49">
        <v>-117.55</v>
      </c>
      <c r="X85" s="46">
        <v>141.0474</v>
      </c>
      <c r="Y85" s="47">
        <v>78.9</v>
      </c>
      <c r="Z85" s="51">
        <v>10</v>
      </c>
      <c r="AA85" s="49">
        <v>-68.9</v>
      </c>
      <c r="AB85" s="46">
        <v>253.5474</v>
      </c>
      <c r="AC85" s="53">
        <f>E85+I85+M85+Q85+U85+Y85</f>
        <v>196.45</v>
      </c>
      <c r="AD85" s="50">
        <f>F85+J85+N85+R85+V85+Z85</f>
        <v>10</v>
      </c>
      <c r="AE85" s="49">
        <f>AD85-AC85</f>
        <v>-186.45</v>
      </c>
      <c r="AF85" s="55"/>
      <c r="AG85" s="55"/>
      <c r="AH85" s="56"/>
      <c r="AI85" s="56"/>
      <c r="AJ85" s="57"/>
    </row>
    <row r="86" s="1" customFormat="1" ht="23" customHeight="1" spans="1:36">
      <c r="A86" s="43"/>
      <c r="B86" s="19"/>
      <c r="C86" s="85" t="s">
        <v>30</v>
      </c>
      <c r="D86" s="86"/>
      <c r="E86" s="87"/>
      <c r="F86" s="88">
        <v>0</v>
      </c>
      <c r="G86" s="89"/>
      <c r="H86" s="86"/>
      <c r="I86" s="87"/>
      <c r="J86" s="88">
        <v>0</v>
      </c>
      <c r="K86" s="90"/>
      <c r="L86" s="86"/>
      <c r="M86" s="87"/>
      <c r="N86" s="88">
        <v>0</v>
      </c>
      <c r="O86" s="90"/>
      <c r="P86" s="86"/>
      <c r="Q86" s="87"/>
      <c r="R86" s="88">
        <v>0</v>
      </c>
      <c r="S86" s="90"/>
      <c r="T86" s="86"/>
      <c r="U86" s="87"/>
      <c r="V86" s="88">
        <v>0</v>
      </c>
      <c r="W86" s="90"/>
      <c r="X86" s="86">
        <v>18.25</v>
      </c>
      <c r="Y86" s="87">
        <v>6</v>
      </c>
      <c r="Z86" s="88">
        <v>0</v>
      </c>
      <c r="AA86" s="89">
        <v>-6</v>
      </c>
      <c r="AB86" s="86">
        <v>18.25</v>
      </c>
      <c r="AC86" s="91">
        <f>E86+I86+M86+Q86+U86+Y86</f>
        <v>6</v>
      </c>
      <c r="AD86" s="90"/>
      <c r="AE86" s="89">
        <f>AD86-AC86</f>
        <v>-6</v>
      </c>
      <c r="AF86" s="66"/>
      <c r="AG86" s="66"/>
      <c r="AH86" s="20"/>
      <c r="AI86" s="20"/>
      <c r="AJ86" s="67"/>
    </row>
    <row r="87" s="1" customFormat="1" ht="17.25" spans="1:36">
      <c r="A87" s="43"/>
      <c r="B87" s="68" t="s">
        <v>98</v>
      </c>
      <c r="C87" s="103" t="s">
        <v>25</v>
      </c>
      <c r="D87" s="70"/>
      <c r="E87" s="71"/>
      <c r="F87" s="72">
        <v>0</v>
      </c>
      <c r="G87" s="73"/>
      <c r="H87" s="70"/>
      <c r="I87" s="71"/>
      <c r="J87" s="72">
        <v>0</v>
      </c>
      <c r="K87" s="74"/>
      <c r="L87" s="70"/>
      <c r="M87" s="71"/>
      <c r="N87" s="72">
        <v>0</v>
      </c>
      <c r="O87" s="74"/>
      <c r="P87" s="70"/>
      <c r="Q87" s="71">
        <v>141.15</v>
      </c>
      <c r="R87" s="72">
        <v>0</v>
      </c>
      <c r="S87" s="73">
        <v>-141.15</v>
      </c>
      <c r="T87" s="70">
        <v>116.889</v>
      </c>
      <c r="U87" s="71">
        <v>179.07</v>
      </c>
      <c r="V87" s="72">
        <v>0</v>
      </c>
      <c r="W87" s="73">
        <v>-179.07</v>
      </c>
      <c r="X87" s="70">
        <v>62.5844</v>
      </c>
      <c r="Y87" s="71">
        <v>36</v>
      </c>
      <c r="Z87" s="72">
        <v>0</v>
      </c>
      <c r="AA87" s="73">
        <v>-36</v>
      </c>
      <c r="AB87" s="70">
        <v>179.4734</v>
      </c>
      <c r="AC87" s="78">
        <f>E87+I87+M87+Q87+U87+Y87</f>
        <v>356.22</v>
      </c>
      <c r="AD87" s="74"/>
      <c r="AE87" s="73">
        <f>AD87-AC87</f>
        <v>-356.22</v>
      </c>
      <c r="AF87" s="127">
        <f>AE87+AE89</f>
        <v>-401.97</v>
      </c>
      <c r="AG87" s="99">
        <v>-0.961</v>
      </c>
      <c r="AH87" s="82" t="s">
        <v>99</v>
      </c>
      <c r="AI87" s="82" t="s">
        <v>100</v>
      </c>
      <c r="AJ87" s="83"/>
    </row>
    <row r="88" s="1" customFormat="1" spans="1:36">
      <c r="A88" s="43"/>
      <c r="B88" s="44"/>
      <c r="C88" s="84" t="s">
        <v>28</v>
      </c>
      <c r="D88" s="46"/>
      <c r="E88" s="47"/>
      <c r="F88" s="48">
        <v>0</v>
      </c>
      <c r="G88" s="49"/>
      <c r="H88" s="46"/>
      <c r="I88" s="47"/>
      <c r="J88" s="48">
        <v>0</v>
      </c>
      <c r="K88" s="50"/>
      <c r="L88" s="46"/>
      <c r="M88" s="47"/>
      <c r="N88" s="48">
        <v>0</v>
      </c>
      <c r="O88" s="50"/>
      <c r="P88" s="46"/>
      <c r="Q88" s="47"/>
      <c r="R88" s="48">
        <v>0</v>
      </c>
      <c r="S88" s="50"/>
      <c r="T88" s="46"/>
      <c r="U88" s="47"/>
      <c r="V88" s="48">
        <v>0</v>
      </c>
      <c r="W88" s="50"/>
      <c r="X88" s="46">
        <v>23.93</v>
      </c>
      <c r="Y88" s="47"/>
      <c r="Z88" s="48">
        <v>0</v>
      </c>
      <c r="AA88" s="49"/>
      <c r="AB88" s="46">
        <v>23.93</v>
      </c>
      <c r="AC88" s="53"/>
      <c r="AD88" s="50"/>
      <c r="AE88" s="54"/>
      <c r="AF88" s="55"/>
      <c r="AG88" s="55"/>
      <c r="AH88" s="56"/>
      <c r="AI88" s="56"/>
      <c r="AJ88" s="57"/>
    </row>
    <row r="89" s="1" customFormat="1" spans="1:36">
      <c r="A89" s="43"/>
      <c r="B89" s="44"/>
      <c r="C89" s="51" t="s">
        <v>29</v>
      </c>
      <c r="D89" s="46"/>
      <c r="E89" s="47"/>
      <c r="F89" s="48">
        <v>0</v>
      </c>
      <c r="G89" s="49"/>
      <c r="H89" s="46"/>
      <c r="I89" s="47"/>
      <c r="J89" s="48">
        <v>0</v>
      </c>
      <c r="K89" s="50"/>
      <c r="L89" s="46"/>
      <c r="M89" s="47"/>
      <c r="N89" s="48">
        <v>0</v>
      </c>
      <c r="O89" s="50"/>
      <c r="P89" s="46"/>
      <c r="Q89" s="47"/>
      <c r="R89" s="48">
        <v>0</v>
      </c>
      <c r="S89" s="50"/>
      <c r="T89" s="46"/>
      <c r="U89" s="47"/>
      <c r="V89" s="48">
        <v>0</v>
      </c>
      <c r="W89" s="50"/>
      <c r="X89" s="46">
        <v>177.7488</v>
      </c>
      <c r="Y89" s="47">
        <v>61.97</v>
      </c>
      <c r="Z89" s="51">
        <v>16.22</v>
      </c>
      <c r="AA89" s="49">
        <v>-45.75</v>
      </c>
      <c r="AB89" s="46">
        <v>177.7488</v>
      </c>
      <c r="AC89" s="53">
        <f>E89+I89+M89+Q89+U89+Y89</f>
        <v>61.97</v>
      </c>
      <c r="AD89" s="50">
        <f>F89+J89+N89+R89+V89+Z89</f>
        <v>16.22</v>
      </c>
      <c r="AE89" s="49">
        <f>AD89-AC89</f>
        <v>-45.75</v>
      </c>
      <c r="AF89" s="55"/>
      <c r="AG89" s="55"/>
      <c r="AH89" s="56"/>
      <c r="AI89" s="56"/>
      <c r="AJ89" s="57"/>
    </row>
    <row r="90" s="1" customFormat="1" ht="35" customHeight="1" spans="1:36">
      <c r="A90" s="43"/>
      <c r="B90" s="19"/>
      <c r="C90" s="85" t="s">
        <v>30</v>
      </c>
      <c r="D90" s="86"/>
      <c r="E90" s="87"/>
      <c r="F90" s="88">
        <v>0</v>
      </c>
      <c r="G90" s="89"/>
      <c r="H90" s="86"/>
      <c r="I90" s="87"/>
      <c r="J90" s="88">
        <v>0</v>
      </c>
      <c r="K90" s="90"/>
      <c r="L90" s="86"/>
      <c r="M90" s="87"/>
      <c r="N90" s="88">
        <v>0</v>
      </c>
      <c r="O90" s="90"/>
      <c r="P90" s="86"/>
      <c r="Q90" s="87"/>
      <c r="R90" s="88">
        <v>0</v>
      </c>
      <c r="S90" s="90"/>
      <c r="T90" s="86"/>
      <c r="U90" s="87"/>
      <c r="V90" s="88">
        <v>0</v>
      </c>
      <c r="W90" s="90"/>
      <c r="X90" s="86">
        <v>56.857</v>
      </c>
      <c r="Y90" s="87"/>
      <c r="Z90" s="88">
        <v>0</v>
      </c>
      <c r="AA90" s="89"/>
      <c r="AB90" s="86">
        <v>56.857</v>
      </c>
      <c r="AC90" s="91"/>
      <c r="AD90" s="90"/>
      <c r="AE90" s="97"/>
      <c r="AF90" s="92"/>
      <c r="AG90" s="92"/>
      <c r="AH90" s="20"/>
      <c r="AI90" s="20"/>
      <c r="AJ90" s="67"/>
    </row>
    <row r="91" s="1" customFormat="1" ht="17.25" spans="1:36">
      <c r="A91" s="43"/>
      <c r="B91" s="68" t="s">
        <v>101</v>
      </c>
      <c r="C91" s="103" t="s">
        <v>25</v>
      </c>
      <c r="D91" s="70"/>
      <c r="E91" s="71"/>
      <c r="F91" s="72">
        <v>0</v>
      </c>
      <c r="G91" s="73"/>
      <c r="H91" s="70"/>
      <c r="I91" s="71"/>
      <c r="J91" s="72">
        <v>0</v>
      </c>
      <c r="K91" s="74"/>
      <c r="L91" s="70"/>
      <c r="M91" s="71"/>
      <c r="N91" s="72">
        <v>0</v>
      </c>
      <c r="O91" s="74"/>
      <c r="P91" s="70">
        <v>290.9</v>
      </c>
      <c r="Q91" s="71">
        <v>372</v>
      </c>
      <c r="R91" s="76">
        <v>138.01</v>
      </c>
      <c r="S91" s="73">
        <v>-233.99</v>
      </c>
      <c r="T91" s="70"/>
      <c r="U91" s="71">
        <v>85.6</v>
      </c>
      <c r="V91" s="76">
        <v>54.2</v>
      </c>
      <c r="W91" s="73">
        <v>-31.4</v>
      </c>
      <c r="X91" s="70">
        <v>118.745</v>
      </c>
      <c r="Y91" s="71">
        <v>173.5</v>
      </c>
      <c r="Z91" s="76">
        <v>84.43</v>
      </c>
      <c r="AA91" s="73">
        <v>-89.07</v>
      </c>
      <c r="AB91" s="70">
        <v>409.645</v>
      </c>
      <c r="AC91" s="78">
        <f>E91+I91+M91+Q91+U91+Y91</f>
        <v>631.1</v>
      </c>
      <c r="AD91" s="74">
        <f>F91+J91+N91+R91+V91+Z91</f>
        <v>276.64</v>
      </c>
      <c r="AE91" s="73">
        <f>AD91-AC91</f>
        <v>-354.46</v>
      </c>
      <c r="AF91" s="104">
        <f>AE91+AE92+AE93+AE94</f>
        <v>-1466.46</v>
      </c>
      <c r="AG91" s="99">
        <v>-0.759</v>
      </c>
      <c r="AH91" s="82" t="s">
        <v>102</v>
      </c>
      <c r="AI91" s="82" t="s">
        <v>103</v>
      </c>
      <c r="AJ91" s="83" t="s">
        <v>54</v>
      </c>
    </row>
    <row r="92" s="1" customFormat="1" spans="1:36">
      <c r="A92" s="43"/>
      <c r="B92" s="44"/>
      <c r="C92" s="51" t="s">
        <v>28</v>
      </c>
      <c r="D92" s="46"/>
      <c r="E92" s="47"/>
      <c r="F92" s="48">
        <v>0</v>
      </c>
      <c r="G92" s="49"/>
      <c r="H92" s="46"/>
      <c r="I92" s="47"/>
      <c r="J92" s="48">
        <v>0</v>
      </c>
      <c r="K92" s="50"/>
      <c r="L92" s="46"/>
      <c r="M92" s="47"/>
      <c r="N92" s="48">
        <v>0</v>
      </c>
      <c r="O92" s="50"/>
      <c r="P92" s="46"/>
      <c r="Q92" s="47"/>
      <c r="R92" s="48">
        <v>0</v>
      </c>
      <c r="S92" s="50"/>
      <c r="T92" s="46">
        <v>66.9</v>
      </c>
      <c r="U92" s="47"/>
      <c r="V92" s="48">
        <v>0</v>
      </c>
      <c r="W92" s="49"/>
      <c r="X92" s="46">
        <v>28.75</v>
      </c>
      <c r="Y92" s="47">
        <v>22.58</v>
      </c>
      <c r="Z92" s="48">
        <v>0</v>
      </c>
      <c r="AA92" s="49">
        <v>-22.58</v>
      </c>
      <c r="AB92" s="46">
        <v>95.65</v>
      </c>
      <c r="AC92" s="53">
        <f>E92+I92+M92+Q92+U92+Y92</f>
        <v>22.58</v>
      </c>
      <c r="AD92" s="50"/>
      <c r="AE92" s="49">
        <f>AD92-AC92</f>
        <v>-22.58</v>
      </c>
      <c r="AF92" s="55"/>
      <c r="AG92" s="55"/>
      <c r="AH92" s="56"/>
      <c r="AI92" s="56"/>
      <c r="AJ92" s="57"/>
    </row>
    <row r="93" s="1" customFormat="1" spans="1:36">
      <c r="A93" s="43"/>
      <c r="B93" s="44"/>
      <c r="C93" s="95" t="s">
        <v>29</v>
      </c>
      <c r="D93" s="46"/>
      <c r="E93" s="47"/>
      <c r="F93" s="48">
        <v>0</v>
      </c>
      <c r="G93" s="49"/>
      <c r="H93" s="46"/>
      <c r="I93" s="47"/>
      <c r="J93" s="48">
        <v>0</v>
      </c>
      <c r="K93" s="50"/>
      <c r="L93" s="46"/>
      <c r="M93" s="47"/>
      <c r="N93" s="48">
        <v>0</v>
      </c>
      <c r="O93" s="50"/>
      <c r="P93" s="46">
        <v>398.21</v>
      </c>
      <c r="Q93" s="47">
        <v>488.21</v>
      </c>
      <c r="R93" s="48">
        <v>0</v>
      </c>
      <c r="S93" s="49">
        <v>-488.21</v>
      </c>
      <c r="T93" s="46">
        <v>70.2995</v>
      </c>
      <c r="U93" s="47">
        <v>128.5</v>
      </c>
      <c r="V93" s="48">
        <v>0</v>
      </c>
      <c r="W93" s="49">
        <v>-128.5</v>
      </c>
      <c r="X93" s="46">
        <v>284.5005</v>
      </c>
      <c r="Y93" s="47">
        <v>445.64</v>
      </c>
      <c r="Z93" s="51">
        <v>167.21</v>
      </c>
      <c r="AA93" s="49">
        <v>-278.44</v>
      </c>
      <c r="AB93" s="46">
        <v>753.01</v>
      </c>
      <c r="AC93" s="53">
        <f>E93+I93+M93+Q93+U93+Y93</f>
        <v>1062.35</v>
      </c>
      <c r="AD93" s="50">
        <f>F93+J93+N93+R93+V93+Z93</f>
        <v>167.21</v>
      </c>
      <c r="AE93" s="49">
        <f>AD93-AC93</f>
        <v>-895.14</v>
      </c>
      <c r="AF93" s="55"/>
      <c r="AG93" s="55"/>
      <c r="AH93" s="56"/>
      <c r="AI93" s="56"/>
      <c r="AJ93" s="57"/>
    </row>
    <row r="94" s="1" customFormat="1" ht="27" customHeight="1" spans="1:36">
      <c r="A94" s="112"/>
      <c r="B94" s="19"/>
      <c r="C94" s="130" t="s">
        <v>30</v>
      </c>
      <c r="D94" s="86"/>
      <c r="E94" s="87"/>
      <c r="F94" s="88">
        <v>0</v>
      </c>
      <c r="G94" s="89"/>
      <c r="H94" s="86"/>
      <c r="I94" s="87"/>
      <c r="J94" s="88">
        <v>0</v>
      </c>
      <c r="K94" s="90"/>
      <c r="L94" s="86"/>
      <c r="M94" s="87"/>
      <c r="N94" s="88">
        <v>0</v>
      </c>
      <c r="O94" s="90"/>
      <c r="P94" s="86"/>
      <c r="Q94" s="87">
        <v>162</v>
      </c>
      <c r="R94" s="88">
        <v>0</v>
      </c>
      <c r="S94" s="89">
        <v>-162</v>
      </c>
      <c r="T94" s="86"/>
      <c r="U94" s="87"/>
      <c r="V94" s="88">
        <v>0</v>
      </c>
      <c r="W94" s="90"/>
      <c r="X94" s="86">
        <v>41.056</v>
      </c>
      <c r="Y94" s="87">
        <v>54.54</v>
      </c>
      <c r="Z94" s="85">
        <v>22.26</v>
      </c>
      <c r="AA94" s="89">
        <v>-32.28</v>
      </c>
      <c r="AB94" s="86">
        <v>41.056</v>
      </c>
      <c r="AC94" s="91">
        <f>E94+I94+M94+Q94+U94+Y94</f>
        <v>216.54</v>
      </c>
      <c r="AD94" s="90">
        <f>F94+J94+N94+R94+V94+Z94</f>
        <v>22.26</v>
      </c>
      <c r="AE94" s="89">
        <f>AD94-AC94</f>
        <v>-194.28</v>
      </c>
      <c r="AF94" s="66"/>
      <c r="AG94" s="92"/>
      <c r="AH94" s="20"/>
      <c r="AI94" s="20"/>
      <c r="AJ94" s="67"/>
    </row>
    <row r="95" s="1" customFormat="1" ht="17.25" spans="1:36">
      <c r="A95" s="131" t="s">
        <v>104</v>
      </c>
      <c r="B95" s="68" t="s">
        <v>105</v>
      </c>
      <c r="C95" s="69" t="s">
        <v>25</v>
      </c>
      <c r="D95" s="70"/>
      <c r="E95" s="71"/>
      <c r="F95" s="72">
        <v>0</v>
      </c>
      <c r="G95" s="73"/>
      <c r="H95" s="70"/>
      <c r="I95" s="71"/>
      <c r="J95" s="72">
        <v>0</v>
      </c>
      <c r="K95" s="74"/>
      <c r="L95" s="70"/>
      <c r="M95" s="71"/>
      <c r="N95" s="76">
        <v>490</v>
      </c>
      <c r="O95" s="77">
        <v>490</v>
      </c>
      <c r="P95" s="70">
        <v>280.8</v>
      </c>
      <c r="Q95" s="71"/>
      <c r="R95" s="72">
        <v>0</v>
      </c>
      <c r="S95" s="74"/>
      <c r="T95" s="70"/>
      <c r="U95" s="71">
        <v>149.8</v>
      </c>
      <c r="V95" s="72">
        <v>0</v>
      </c>
      <c r="W95" s="73">
        <v>-149.8</v>
      </c>
      <c r="X95" s="70">
        <v>29.8</v>
      </c>
      <c r="Y95" s="71">
        <v>87.68</v>
      </c>
      <c r="Z95" s="76">
        <v>22.54</v>
      </c>
      <c r="AA95" s="73">
        <v>-65.14</v>
      </c>
      <c r="AB95" s="70">
        <v>310.6</v>
      </c>
      <c r="AC95" s="78">
        <f>E95+I95+M95+Q95+U95+Y95</f>
        <v>237.48</v>
      </c>
      <c r="AD95" s="74">
        <f>F95+J95+N95+R95+V95+Z95</f>
        <v>512.54</v>
      </c>
      <c r="AE95" s="79">
        <f>AD95-AC95</f>
        <v>275.06</v>
      </c>
      <c r="AF95" s="132">
        <f>AE95+AE97</f>
        <v>102.11</v>
      </c>
      <c r="AG95" s="118">
        <v>0.249</v>
      </c>
      <c r="AH95" s="82" t="s">
        <v>106</v>
      </c>
      <c r="AI95" s="82" t="s">
        <v>107</v>
      </c>
      <c r="AJ95" s="83"/>
    </row>
    <row r="96" s="1" customFormat="1" spans="1:36">
      <c r="A96" s="43"/>
      <c r="B96" s="44"/>
      <c r="C96" s="106" t="s">
        <v>28</v>
      </c>
      <c r="D96" s="46"/>
      <c r="E96" s="47"/>
      <c r="F96" s="48">
        <v>0</v>
      </c>
      <c r="G96" s="49"/>
      <c r="H96" s="46">
        <v>575</v>
      </c>
      <c r="I96" s="47"/>
      <c r="J96" s="48">
        <v>0</v>
      </c>
      <c r="K96" s="50"/>
      <c r="L96" s="46"/>
      <c r="M96" s="47"/>
      <c r="N96" s="48">
        <v>0</v>
      </c>
      <c r="O96" s="50"/>
      <c r="P96" s="46"/>
      <c r="Q96" s="47"/>
      <c r="R96" s="48">
        <v>0</v>
      </c>
      <c r="S96" s="49"/>
      <c r="T96" s="46"/>
      <c r="U96" s="47"/>
      <c r="V96" s="48">
        <v>0</v>
      </c>
      <c r="W96" s="50"/>
      <c r="X96" s="46"/>
      <c r="Y96" s="47"/>
      <c r="Z96" s="48">
        <v>0</v>
      </c>
      <c r="AA96" s="49"/>
      <c r="AB96" s="46">
        <v>575</v>
      </c>
      <c r="AC96" s="53"/>
      <c r="AD96" s="50"/>
      <c r="AE96" s="54"/>
      <c r="AF96" s="55"/>
      <c r="AG96" s="55"/>
      <c r="AH96" s="56"/>
      <c r="AI96" s="56"/>
      <c r="AJ96" s="57"/>
    </row>
    <row r="97" s="1" customFormat="1" spans="1:36">
      <c r="A97" s="43"/>
      <c r="B97" s="44"/>
      <c r="C97" s="95" t="s">
        <v>29</v>
      </c>
      <c r="D97" s="46"/>
      <c r="E97" s="47"/>
      <c r="F97" s="48">
        <v>0</v>
      </c>
      <c r="G97" s="49"/>
      <c r="H97" s="46"/>
      <c r="I97" s="47"/>
      <c r="J97" s="48">
        <v>0</v>
      </c>
      <c r="K97" s="50"/>
      <c r="L97" s="46"/>
      <c r="M97" s="47"/>
      <c r="N97" s="48">
        <v>0</v>
      </c>
      <c r="O97" s="50"/>
      <c r="P97" s="46"/>
      <c r="Q97" s="47">
        <v>103</v>
      </c>
      <c r="R97" s="48">
        <v>0</v>
      </c>
      <c r="S97" s="49">
        <v>-103</v>
      </c>
      <c r="T97" s="46"/>
      <c r="U97" s="47"/>
      <c r="V97" s="48">
        <v>0</v>
      </c>
      <c r="W97" s="50"/>
      <c r="X97" s="46">
        <v>43.364</v>
      </c>
      <c r="Y97" s="47">
        <v>69.95</v>
      </c>
      <c r="Z97" s="48">
        <v>0</v>
      </c>
      <c r="AA97" s="49">
        <v>-69.95</v>
      </c>
      <c r="AB97" s="46">
        <v>43.364</v>
      </c>
      <c r="AC97" s="53">
        <f>E97+I97+M97+Q97+U97+Y97</f>
        <v>172.95</v>
      </c>
      <c r="AD97" s="50"/>
      <c r="AE97" s="49">
        <f>AD97-AC97</f>
        <v>-172.95</v>
      </c>
      <c r="AF97" s="55"/>
      <c r="AG97" s="55"/>
      <c r="AH97" s="56"/>
      <c r="AI97" s="56"/>
      <c r="AJ97" s="57"/>
    </row>
    <row r="98" s="1" customFormat="1" ht="29" customHeight="1" spans="1:36">
      <c r="A98" s="43"/>
      <c r="B98" s="19"/>
      <c r="C98" s="116" t="s">
        <v>108</v>
      </c>
      <c r="D98" s="86"/>
      <c r="E98" s="87"/>
      <c r="F98" s="88">
        <v>0</v>
      </c>
      <c r="G98" s="89"/>
      <c r="H98" s="86"/>
      <c r="I98" s="87"/>
      <c r="J98" s="88">
        <v>0</v>
      </c>
      <c r="K98" s="89"/>
      <c r="L98" s="86"/>
      <c r="M98" s="87"/>
      <c r="N98" s="88">
        <v>0</v>
      </c>
      <c r="O98" s="96"/>
      <c r="P98" s="86"/>
      <c r="Q98" s="87"/>
      <c r="R98" s="88">
        <v>0</v>
      </c>
      <c r="S98" s="89"/>
      <c r="T98" s="86"/>
      <c r="U98" s="87"/>
      <c r="V98" s="88">
        <v>0</v>
      </c>
      <c r="W98" s="89"/>
      <c r="X98" s="86"/>
      <c r="Y98" s="87"/>
      <c r="Z98" s="88">
        <v>0</v>
      </c>
      <c r="AA98" s="89"/>
      <c r="AB98" s="86"/>
      <c r="AC98" s="91"/>
      <c r="AD98" s="90"/>
      <c r="AE98" s="97"/>
      <c r="AF98" s="92"/>
      <c r="AG98" s="92"/>
      <c r="AH98" s="20"/>
      <c r="AI98" s="20"/>
      <c r="AJ98" s="67"/>
    </row>
    <row r="99" s="1" customFormat="1" ht="17.25" spans="1:36">
      <c r="A99" s="43"/>
      <c r="B99" s="68" t="s">
        <v>109</v>
      </c>
      <c r="C99" s="76" t="s">
        <v>25</v>
      </c>
      <c r="D99" s="70"/>
      <c r="E99" s="71"/>
      <c r="F99" s="72">
        <v>0</v>
      </c>
      <c r="G99" s="73"/>
      <c r="H99" s="70"/>
      <c r="I99" s="71"/>
      <c r="J99" s="72">
        <v>0</v>
      </c>
      <c r="K99" s="74"/>
      <c r="L99" s="70"/>
      <c r="M99" s="71"/>
      <c r="N99" s="72">
        <v>0</v>
      </c>
      <c r="O99" s="74"/>
      <c r="P99" s="70">
        <v>190</v>
      </c>
      <c r="Q99" s="71"/>
      <c r="R99" s="72">
        <v>0</v>
      </c>
      <c r="S99" s="74"/>
      <c r="T99" s="70">
        <v>52.02</v>
      </c>
      <c r="U99" s="71"/>
      <c r="V99" s="72">
        <v>0</v>
      </c>
      <c r="W99" s="74"/>
      <c r="X99" s="70">
        <v>15</v>
      </c>
      <c r="Y99" s="71"/>
      <c r="Z99" s="76">
        <v>12.7</v>
      </c>
      <c r="AA99" s="74">
        <v>12.7</v>
      </c>
      <c r="AB99" s="70">
        <v>257.02</v>
      </c>
      <c r="AC99" s="78"/>
      <c r="AD99" s="74">
        <f>F99+J99+N99+R99+V99+Z99</f>
        <v>12.7</v>
      </c>
      <c r="AE99" s="79">
        <f>AD99-AC99</f>
        <v>12.7</v>
      </c>
      <c r="AF99" s="132">
        <f>AE99+AE101</f>
        <v>95.7</v>
      </c>
      <c r="AG99" s="118">
        <v>6.38</v>
      </c>
      <c r="AH99" s="82" t="s">
        <v>110</v>
      </c>
      <c r="AI99" s="82" t="s">
        <v>111</v>
      </c>
      <c r="AJ99" s="83"/>
    </row>
    <row r="100" s="1" customFormat="1" spans="1:36">
      <c r="A100" s="43"/>
      <c r="B100" s="44"/>
      <c r="C100" s="84" t="s">
        <v>28</v>
      </c>
      <c r="D100" s="46"/>
      <c r="E100" s="47"/>
      <c r="F100" s="48">
        <v>0</v>
      </c>
      <c r="G100" s="49"/>
      <c r="H100" s="46"/>
      <c r="I100" s="47"/>
      <c r="J100" s="48">
        <v>0</v>
      </c>
      <c r="K100" s="50"/>
      <c r="L100" s="46"/>
      <c r="M100" s="47"/>
      <c r="N100" s="48">
        <v>0</v>
      </c>
      <c r="O100" s="50"/>
      <c r="P100" s="46"/>
      <c r="Q100" s="47"/>
      <c r="R100" s="48">
        <v>0</v>
      </c>
      <c r="S100" s="50"/>
      <c r="T100" s="46"/>
      <c r="U100" s="47"/>
      <c r="V100" s="48">
        <v>0</v>
      </c>
      <c r="W100" s="52"/>
      <c r="X100" s="46"/>
      <c r="Y100" s="47"/>
      <c r="Z100" s="48">
        <v>0</v>
      </c>
      <c r="AA100" s="49"/>
      <c r="AB100" s="46"/>
      <c r="AC100" s="53"/>
      <c r="AD100" s="50"/>
      <c r="AE100" s="54"/>
      <c r="AF100" s="55"/>
      <c r="AG100" s="55"/>
      <c r="AH100" s="56"/>
      <c r="AI100" s="56"/>
      <c r="AJ100" s="57"/>
    </row>
    <row r="101" s="1" customFormat="1" spans="1:36">
      <c r="A101" s="43"/>
      <c r="B101" s="44"/>
      <c r="C101" s="45" t="s">
        <v>29</v>
      </c>
      <c r="D101" s="46"/>
      <c r="E101" s="47"/>
      <c r="F101" s="48">
        <v>0</v>
      </c>
      <c r="G101" s="49"/>
      <c r="H101" s="46"/>
      <c r="I101" s="47"/>
      <c r="J101" s="48">
        <v>0</v>
      </c>
      <c r="K101" s="50"/>
      <c r="L101" s="46">
        <v>339</v>
      </c>
      <c r="M101" s="47"/>
      <c r="N101" s="48">
        <v>0</v>
      </c>
      <c r="O101" s="50"/>
      <c r="P101" s="46"/>
      <c r="Q101" s="47"/>
      <c r="R101" s="48">
        <v>0</v>
      </c>
      <c r="S101" s="50"/>
      <c r="T101" s="46"/>
      <c r="U101" s="47"/>
      <c r="V101" s="51">
        <v>88</v>
      </c>
      <c r="W101" s="52">
        <v>88</v>
      </c>
      <c r="X101" s="46">
        <v>59.964</v>
      </c>
      <c r="Y101" s="47">
        <v>15</v>
      </c>
      <c r="Z101" s="51">
        <v>10</v>
      </c>
      <c r="AA101" s="49">
        <v>-5</v>
      </c>
      <c r="AB101" s="46">
        <v>398.964</v>
      </c>
      <c r="AC101" s="53">
        <f>E101+I101+M101+Q101+U101+Y101</f>
        <v>15</v>
      </c>
      <c r="AD101" s="50">
        <f>F101+J101+N101+R101+V101+Z101</f>
        <v>98</v>
      </c>
      <c r="AE101" s="54">
        <f>AD101-AC101</f>
        <v>83</v>
      </c>
      <c r="AF101" s="55"/>
      <c r="AG101" s="55"/>
      <c r="AH101" s="56"/>
      <c r="AI101" s="56"/>
      <c r="AJ101" s="57"/>
    </row>
    <row r="102" s="1" customFormat="1" ht="27" customHeight="1" spans="1:36">
      <c r="A102" s="43"/>
      <c r="B102" s="19"/>
      <c r="C102" s="102" t="s">
        <v>30</v>
      </c>
      <c r="D102" s="86"/>
      <c r="E102" s="87"/>
      <c r="F102" s="88">
        <v>0</v>
      </c>
      <c r="G102" s="89"/>
      <c r="H102" s="86"/>
      <c r="I102" s="87"/>
      <c r="J102" s="88">
        <v>0</v>
      </c>
      <c r="K102" s="90"/>
      <c r="L102" s="86"/>
      <c r="M102" s="87"/>
      <c r="N102" s="88">
        <v>0</v>
      </c>
      <c r="O102" s="90"/>
      <c r="P102" s="86"/>
      <c r="Q102" s="87"/>
      <c r="R102" s="88">
        <v>0</v>
      </c>
      <c r="S102" s="90"/>
      <c r="T102" s="86"/>
      <c r="U102" s="87"/>
      <c r="V102" s="88">
        <v>0</v>
      </c>
      <c r="W102" s="90"/>
      <c r="X102" s="86">
        <v>13.59</v>
      </c>
      <c r="Y102" s="87"/>
      <c r="Z102" s="88">
        <v>0</v>
      </c>
      <c r="AA102" s="89"/>
      <c r="AB102" s="86">
        <v>13.59</v>
      </c>
      <c r="AC102" s="91"/>
      <c r="AD102" s="90"/>
      <c r="AE102" s="97"/>
      <c r="AF102" s="92"/>
      <c r="AG102" s="92"/>
      <c r="AH102" s="20"/>
      <c r="AI102" s="20"/>
      <c r="AJ102" s="67"/>
    </row>
    <row r="103" s="1" customFormat="1" spans="1:36">
      <c r="A103" s="43"/>
      <c r="B103" s="68" t="s">
        <v>112</v>
      </c>
      <c r="C103" s="103" t="s">
        <v>25</v>
      </c>
      <c r="D103" s="70"/>
      <c r="E103" s="71"/>
      <c r="F103" s="72">
        <v>0</v>
      </c>
      <c r="G103" s="73"/>
      <c r="H103" s="70"/>
      <c r="I103" s="71"/>
      <c r="J103" s="72">
        <v>0</v>
      </c>
      <c r="K103" s="74"/>
      <c r="L103" s="70"/>
      <c r="M103" s="71"/>
      <c r="N103" s="72">
        <v>0</v>
      </c>
      <c r="O103" s="74"/>
      <c r="P103" s="70"/>
      <c r="Q103" s="71"/>
      <c r="R103" s="72">
        <v>0</v>
      </c>
      <c r="S103" s="74"/>
      <c r="T103" s="70"/>
      <c r="U103" s="71">
        <v>87</v>
      </c>
      <c r="V103" s="72">
        <v>0</v>
      </c>
      <c r="W103" s="73">
        <v>-87</v>
      </c>
      <c r="X103" s="70"/>
      <c r="Y103" s="71"/>
      <c r="Z103" s="72">
        <v>0</v>
      </c>
      <c r="AA103" s="74"/>
      <c r="AB103" s="70"/>
      <c r="AC103" s="78">
        <f>E103+I103+M103+Q103+U103+Y103</f>
        <v>87</v>
      </c>
      <c r="AD103" s="74"/>
      <c r="AE103" s="79">
        <f>AD103-AC103</f>
        <v>-87</v>
      </c>
      <c r="AF103" s="93">
        <f>AE103+AE105+AE106</f>
        <v>27.42</v>
      </c>
      <c r="AG103" s="133">
        <v>0.245</v>
      </c>
      <c r="AH103" s="82" t="s">
        <v>113</v>
      </c>
      <c r="AI103" s="82" t="s">
        <v>114</v>
      </c>
      <c r="AJ103" s="83"/>
    </row>
    <row r="104" s="1" customFormat="1" spans="1:36">
      <c r="A104" s="43"/>
      <c r="B104" s="44"/>
      <c r="C104" s="106" t="s">
        <v>28</v>
      </c>
      <c r="D104" s="46"/>
      <c r="E104" s="47"/>
      <c r="F104" s="48">
        <v>0</v>
      </c>
      <c r="G104" s="49"/>
      <c r="H104" s="46"/>
      <c r="I104" s="47"/>
      <c r="J104" s="48">
        <v>0</v>
      </c>
      <c r="K104" s="50"/>
      <c r="L104" s="46"/>
      <c r="M104" s="47"/>
      <c r="N104" s="48">
        <v>0</v>
      </c>
      <c r="O104" s="50"/>
      <c r="P104" s="46">
        <v>228.179</v>
      </c>
      <c r="Q104" s="47"/>
      <c r="R104" s="48">
        <v>0</v>
      </c>
      <c r="S104" s="50"/>
      <c r="T104" s="46"/>
      <c r="U104" s="47"/>
      <c r="V104" s="48">
        <v>0</v>
      </c>
      <c r="W104" s="49"/>
      <c r="X104" s="46">
        <v>49.573</v>
      </c>
      <c r="Y104" s="47"/>
      <c r="Z104" s="48">
        <v>0</v>
      </c>
      <c r="AA104" s="50"/>
      <c r="AB104" s="46">
        <v>277.752</v>
      </c>
      <c r="AC104" s="53"/>
      <c r="AD104" s="50"/>
      <c r="AE104" s="54"/>
      <c r="AF104" s="55"/>
      <c r="AG104" s="55"/>
      <c r="AH104" s="56"/>
      <c r="AI104" s="56"/>
      <c r="AJ104" s="57"/>
    </row>
    <row r="105" s="1" customFormat="1" spans="1:36">
      <c r="A105" s="43"/>
      <c r="B105" s="44"/>
      <c r="C105" s="45" t="s">
        <v>29</v>
      </c>
      <c r="D105" s="46"/>
      <c r="E105" s="47"/>
      <c r="F105" s="48">
        <v>0</v>
      </c>
      <c r="G105" s="49"/>
      <c r="H105" s="46"/>
      <c r="I105" s="47"/>
      <c r="J105" s="48">
        <v>0</v>
      </c>
      <c r="K105" s="50"/>
      <c r="L105" s="46"/>
      <c r="M105" s="47"/>
      <c r="N105" s="48">
        <v>0</v>
      </c>
      <c r="O105" s="50"/>
      <c r="P105" s="46"/>
      <c r="Q105" s="47"/>
      <c r="R105" s="51">
        <v>132.89</v>
      </c>
      <c r="S105" s="52">
        <v>132.89</v>
      </c>
      <c r="T105" s="46"/>
      <c r="U105" s="47"/>
      <c r="V105" s="48">
        <v>0</v>
      </c>
      <c r="W105" s="50"/>
      <c r="X105" s="46">
        <v>7.2</v>
      </c>
      <c r="Y105" s="47">
        <v>12.34</v>
      </c>
      <c r="Z105" s="51">
        <v>6.67</v>
      </c>
      <c r="AA105" s="49">
        <v>-5.67</v>
      </c>
      <c r="AB105" s="46">
        <v>7.2</v>
      </c>
      <c r="AC105" s="53">
        <f>E105+I105+M105+Q105+U105+Y105</f>
        <v>12.34</v>
      </c>
      <c r="AD105" s="50">
        <f>F105+J105+N105+R105+V105+Z105</f>
        <v>139.56</v>
      </c>
      <c r="AE105" s="54">
        <f>AD105-AC105</f>
        <v>127.22</v>
      </c>
      <c r="AF105" s="55"/>
      <c r="AG105" s="55"/>
      <c r="AH105" s="56"/>
      <c r="AI105" s="56"/>
      <c r="AJ105" s="57"/>
    </row>
    <row r="106" s="1" customFormat="1" ht="25" customHeight="1" spans="1:36">
      <c r="A106" s="43"/>
      <c r="B106" s="19"/>
      <c r="C106" s="85" t="s">
        <v>30</v>
      </c>
      <c r="D106" s="86"/>
      <c r="E106" s="87"/>
      <c r="F106" s="88">
        <v>0</v>
      </c>
      <c r="G106" s="89"/>
      <c r="H106" s="86"/>
      <c r="I106" s="87"/>
      <c r="J106" s="88">
        <v>0</v>
      </c>
      <c r="K106" s="90"/>
      <c r="L106" s="86"/>
      <c r="M106" s="87"/>
      <c r="N106" s="88">
        <v>0</v>
      </c>
      <c r="O106" s="90"/>
      <c r="P106" s="86"/>
      <c r="Q106" s="87"/>
      <c r="R106" s="88">
        <v>0</v>
      </c>
      <c r="S106" s="90"/>
      <c r="T106" s="86"/>
      <c r="U106" s="87"/>
      <c r="V106" s="88">
        <v>0</v>
      </c>
      <c r="W106" s="90"/>
      <c r="X106" s="86"/>
      <c r="Y106" s="87">
        <v>12.8</v>
      </c>
      <c r="Z106" s="88">
        <v>0</v>
      </c>
      <c r="AA106" s="89">
        <v>-12.8</v>
      </c>
      <c r="AB106" s="86"/>
      <c r="AC106" s="91">
        <f>E106+I106+M106+Q106+U106+Y106</f>
        <v>12.8</v>
      </c>
      <c r="AD106" s="90"/>
      <c r="AE106" s="89">
        <f>AD106-AC106</f>
        <v>-12.8</v>
      </c>
      <c r="AF106" s="66"/>
      <c r="AG106" s="66"/>
      <c r="AH106" s="20"/>
      <c r="AI106" s="20"/>
      <c r="AJ106" s="67"/>
    </row>
    <row r="107" s="1" customFormat="1" spans="1:36">
      <c r="A107" s="43"/>
      <c r="B107" s="68" t="s">
        <v>115</v>
      </c>
      <c r="C107" s="76" t="s">
        <v>25</v>
      </c>
      <c r="D107" s="70">
        <v>1328.911</v>
      </c>
      <c r="E107" s="71"/>
      <c r="F107" s="72">
        <v>0</v>
      </c>
      <c r="G107" s="73"/>
      <c r="H107" s="70"/>
      <c r="I107" s="71"/>
      <c r="J107" s="72">
        <v>0</v>
      </c>
      <c r="K107" s="74"/>
      <c r="L107" s="70"/>
      <c r="M107" s="71"/>
      <c r="N107" s="72">
        <v>0</v>
      </c>
      <c r="O107" s="74"/>
      <c r="P107" s="70"/>
      <c r="Q107" s="71"/>
      <c r="R107" s="72">
        <v>0</v>
      </c>
      <c r="S107" s="74"/>
      <c r="T107" s="70">
        <v>177.8728</v>
      </c>
      <c r="U107" s="71"/>
      <c r="V107" s="72">
        <v>0</v>
      </c>
      <c r="W107" s="74"/>
      <c r="X107" s="70">
        <v>80.281</v>
      </c>
      <c r="Y107" s="71">
        <v>24.58</v>
      </c>
      <c r="Z107" s="76">
        <v>3</v>
      </c>
      <c r="AA107" s="73">
        <v>-21.58</v>
      </c>
      <c r="AB107" s="70">
        <v>1587.0648</v>
      </c>
      <c r="AC107" s="78">
        <f>E107+I107+M107+Q107+U107+Y107</f>
        <v>24.58</v>
      </c>
      <c r="AD107" s="74">
        <f>F107+J107+N107+R107+V107+Z107</f>
        <v>3</v>
      </c>
      <c r="AE107" s="73">
        <f>AD107-AC107</f>
        <v>-21.58</v>
      </c>
      <c r="AF107" s="98">
        <f>AE107+AE108+AE109+AE110</f>
        <v>-19.73</v>
      </c>
      <c r="AG107" s="129">
        <v>-0.158</v>
      </c>
      <c r="AH107" s="82" t="s">
        <v>116</v>
      </c>
      <c r="AI107" s="82" t="s">
        <v>117</v>
      </c>
      <c r="AJ107" s="83"/>
    </row>
    <row r="108" s="1" customFormat="1" spans="1:36">
      <c r="A108" s="43"/>
      <c r="B108" s="44"/>
      <c r="C108" s="84" t="s">
        <v>28</v>
      </c>
      <c r="D108" s="46"/>
      <c r="E108" s="47"/>
      <c r="F108" s="48">
        <v>0</v>
      </c>
      <c r="G108" s="49"/>
      <c r="H108" s="46"/>
      <c r="I108" s="47"/>
      <c r="J108" s="48">
        <v>0</v>
      </c>
      <c r="K108" s="50"/>
      <c r="L108" s="46"/>
      <c r="M108" s="47"/>
      <c r="N108" s="48">
        <v>0</v>
      </c>
      <c r="O108" s="50"/>
      <c r="P108" s="46"/>
      <c r="Q108" s="47"/>
      <c r="R108" s="48">
        <v>0</v>
      </c>
      <c r="S108" s="50"/>
      <c r="T108" s="46"/>
      <c r="U108" s="47"/>
      <c r="V108" s="48">
        <v>0</v>
      </c>
      <c r="W108" s="50"/>
      <c r="X108" s="46"/>
      <c r="Y108" s="47"/>
      <c r="Z108" s="48">
        <v>0</v>
      </c>
      <c r="AA108" s="49"/>
      <c r="AB108" s="46"/>
      <c r="AC108" s="53"/>
      <c r="AD108" s="50"/>
      <c r="AE108" s="54"/>
      <c r="AF108" s="55"/>
      <c r="AG108" s="55"/>
      <c r="AH108" s="56"/>
      <c r="AI108" s="56"/>
      <c r="AJ108" s="57"/>
    </row>
    <row r="109" s="1" customFormat="1" spans="1:36">
      <c r="A109" s="43"/>
      <c r="B109" s="44"/>
      <c r="C109" s="51" t="s">
        <v>29</v>
      </c>
      <c r="D109" s="46"/>
      <c r="E109" s="47"/>
      <c r="F109" s="48">
        <v>0</v>
      </c>
      <c r="G109" s="49"/>
      <c r="H109" s="46"/>
      <c r="I109" s="47"/>
      <c r="J109" s="48">
        <v>0</v>
      </c>
      <c r="K109" s="50"/>
      <c r="L109" s="46"/>
      <c r="M109" s="47"/>
      <c r="N109" s="48">
        <v>0</v>
      </c>
      <c r="O109" s="50"/>
      <c r="P109" s="46"/>
      <c r="Q109" s="47"/>
      <c r="R109" s="48">
        <v>0</v>
      </c>
      <c r="S109" s="50"/>
      <c r="T109" s="46">
        <v>150</v>
      </c>
      <c r="U109" s="47"/>
      <c r="V109" s="48">
        <v>0</v>
      </c>
      <c r="W109" s="50"/>
      <c r="X109" s="46">
        <v>215.421508</v>
      </c>
      <c r="Y109" s="47">
        <v>98.76</v>
      </c>
      <c r="Z109" s="51">
        <v>92.6</v>
      </c>
      <c r="AA109" s="49">
        <v>-6.16</v>
      </c>
      <c r="AB109" s="46">
        <v>365.421508</v>
      </c>
      <c r="AC109" s="53">
        <f>E109+I109+M109+Q109+U109+Y109</f>
        <v>98.76</v>
      </c>
      <c r="AD109" s="50">
        <f>F109+J109+N109+R109+V109+Z109</f>
        <v>92.6</v>
      </c>
      <c r="AE109" s="49">
        <f>AD109-AC109</f>
        <v>-6.16000000000001</v>
      </c>
      <c r="AF109" s="55"/>
      <c r="AG109" s="55"/>
      <c r="AH109" s="56"/>
      <c r="AI109" s="56"/>
      <c r="AJ109" s="57"/>
    </row>
    <row r="110" s="1" customFormat="1" ht="31" customHeight="1" spans="1:36">
      <c r="A110" s="43"/>
      <c r="B110" s="19"/>
      <c r="C110" s="85" t="s">
        <v>30</v>
      </c>
      <c r="D110" s="86"/>
      <c r="E110" s="87"/>
      <c r="F110" s="88">
        <v>0</v>
      </c>
      <c r="G110" s="89"/>
      <c r="H110" s="86"/>
      <c r="I110" s="87"/>
      <c r="J110" s="88">
        <v>0</v>
      </c>
      <c r="K110" s="90"/>
      <c r="L110" s="86"/>
      <c r="M110" s="87"/>
      <c r="N110" s="88">
        <v>0</v>
      </c>
      <c r="O110" s="90"/>
      <c r="P110" s="86"/>
      <c r="Q110" s="87"/>
      <c r="R110" s="88">
        <v>0</v>
      </c>
      <c r="S110" s="90"/>
      <c r="T110" s="86"/>
      <c r="U110" s="87"/>
      <c r="V110" s="88">
        <v>0</v>
      </c>
      <c r="W110" s="90"/>
      <c r="X110" s="86">
        <v>8.97</v>
      </c>
      <c r="Y110" s="87">
        <v>1.9</v>
      </c>
      <c r="Z110" s="85">
        <v>9.91</v>
      </c>
      <c r="AA110" s="90">
        <v>8.01</v>
      </c>
      <c r="AB110" s="86">
        <v>8.97</v>
      </c>
      <c r="AC110" s="91">
        <f>E110+I110+M110+Q110+U110+Y110</f>
        <v>1.9</v>
      </c>
      <c r="AD110" s="90">
        <f>F110+J110+N110+R110+V110+Z110</f>
        <v>9.91</v>
      </c>
      <c r="AE110" s="97">
        <f>AD110-AC110</f>
        <v>8.01</v>
      </c>
      <c r="AF110" s="66"/>
      <c r="AG110" s="66"/>
      <c r="AH110" s="20"/>
      <c r="AI110" s="20"/>
      <c r="AJ110" s="67"/>
    </row>
    <row r="111" s="1" customFormat="1" ht="17.25" spans="1:36">
      <c r="A111" s="43"/>
      <c r="B111" s="68" t="s">
        <v>118</v>
      </c>
      <c r="C111" s="103" t="s">
        <v>25</v>
      </c>
      <c r="D111" s="70"/>
      <c r="E111" s="71"/>
      <c r="F111" s="72">
        <v>0</v>
      </c>
      <c r="G111" s="73"/>
      <c r="H111" s="70"/>
      <c r="I111" s="71">
        <v>669.41</v>
      </c>
      <c r="J111" s="72">
        <v>0</v>
      </c>
      <c r="K111" s="73">
        <v>-669.41</v>
      </c>
      <c r="L111" s="70"/>
      <c r="M111" s="71"/>
      <c r="N111" s="76">
        <v>315</v>
      </c>
      <c r="O111" s="77">
        <v>315</v>
      </c>
      <c r="P111" s="70">
        <v>249</v>
      </c>
      <c r="Q111" s="71">
        <v>108</v>
      </c>
      <c r="R111" s="72">
        <v>0</v>
      </c>
      <c r="S111" s="73">
        <v>-108</v>
      </c>
      <c r="T111" s="70"/>
      <c r="U111" s="71">
        <v>53.69</v>
      </c>
      <c r="V111" s="72">
        <v>0</v>
      </c>
      <c r="W111" s="73">
        <v>-53.69</v>
      </c>
      <c r="X111" s="70">
        <v>10</v>
      </c>
      <c r="Y111" s="71">
        <v>34.8</v>
      </c>
      <c r="Z111" s="76">
        <v>1</v>
      </c>
      <c r="AA111" s="73">
        <v>-33.8</v>
      </c>
      <c r="AB111" s="70">
        <v>259</v>
      </c>
      <c r="AC111" s="78">
        <f>E111+I111+M111+Q111+U111+Y111</f>
        <v>865.9</v>
      </c>
      <c r="AD111" s="74">
        <f>F111+J111+N111+R111+V111+Z111</f>
        <v>316</v>
      </c>
      <c r="AE111" s="73">
        <f>AD111-AC111</f>
        <v>-549.9</v>
      </c>
      <c r="AF111" s="127">
        <f>AE111+AE113</f>
        <v>-625.86</v>
      </c>
      <c r="AG111" s="99">
        <v>-0.638</v>
      </c>
      <c r="AH111" s="82" t="s">
        <v>119</v>
      </c>
      <c r="AI111" s="82" t="s">
        <v>120</v>
      </c>
      <c r="AJ111" s="83"/>
    </row>
    <row r="112" s="1" customFormat="1" spans="1:36">
      <c r="A112" s="43"/>
      <c r="B112" s="44"/>
      <c r="C112" s="84" t="s">
        <v>28</v>
      </c>
      <c r="D112" s="46"/>
      <c r="E112" s="47"/>
      <c r="F112" s="48">
        <v>0</v>
      </c>
      <c r="G112" s="49"/>
      <c r="H112" s="46"/>
      <c r="I112" s="47"/>
      <c r="J112" s="48">
        <v>0</v>
      </c>
      <c r="K112" s="50"/>
      <c r="L112" s="46"/>
      <c r="M112" s="47"/>
      <c r="N112" s="48">
        <v>0</v>
      </c>
      <c r="O112" s="50"/>
      <c r="P112" s="46"/>
      <c r="Q112" s="47"/>
      <c r="R112" s="48">
        <v>0</v>
      </c>
      <c r="S112" s="50"/>
      <c r="T112" s="46"/>
      <c r="U112" s="47"/>
      <c r="V112" s="48">
        <v>0</v>
      </c>
      <c r="W112" s="50"/>
      <c r="X112" s="46"/>
      <c r="Y112" s="47"/>
      <c r="Z112" s="48">
        <v>0</v>
      </c>
      <c r="AA112" s="49"/>
      <c r="AB112" s="46"/>
      <c r="AC112" s="53"/>
      <c r="AD112" s="50"/>
      <c r="AE112" s="54"/>
      <c r="AF112" s="55"/>
      <c r="AG112" s="55"/>
      <c r="AH112" s="56"/>
      <c r="AI112" s="56"/>
      <c r="AJ112" s="57"/>
    </row>
    <row r="113" s="1" customFormat="1" spans="1:36">
      <c r="A113" s="43"/>
      <c r="B113" s="44"/>
      <c r="C113" s="51" t="s">
        <v>29</v>
      </c>
      <c r="D113" s="46"/>
      <c r="E113" s="47"/>
      <c r="F113" s="48">
        <v>0</v>
      </c>
      <c r="G113" s="49"/>
      <c r="H113" s="46"/>
      <c r="I113" s="47"/>
      <c r="J113" s="48">
        <v>0</v>
      </c>
      <c r="K113" s="50"/>
      <c r="L113" s="46"/>
      <c r="M113" s="47"/>
      <c r="N113" s="48">
        <v>0</v>
      </c>
      <c r="O113" s="50"/>
      <c r="P113" s="46"/>
      <c r="Q113" s="47"/>
      <c r="R113" s="48">
        <v>0</v>
      </c>
      <c r="S113" s="50"/>
      <c r="T113" s="46"/>
      <c r="U113" s="47"/>
      <c r="V113" s="48">
        <v>0</v>
      </c>
      <c r="W113" s="50"/>
      <c r="X113" s="46">
        <v>155.498</v>
      </c>
      <c r="Y113" s="47">
        <v>114.6</v>
      </c>
      <c r="Z113" s="51">
        <v>38.64</v>
      </c>
      <c r="AA113" s="49">
        <v>-75.96</v>
      </c>
      <c r="AB113" s="46">
        <v>155.498</v>
      </c>
      <c r="AC113" s="53">
        <f>E113+I113+M113+Q113+U113+Y113</f>
        <v>114.6</v>
      </c>
      <c r="AD113" s="50">
        <f>F113+J113+N113+R113+V113+Z113</f>
        <v>38.64</v>
      </c>
      <c r="AE113" s="49">
        <f>AD113-AC113</f>
        <v>-75.96</v>
      </c>
      <c r="AF113" s="55"/>
      <c r="AG113" s="55"/>
      <c r="AH113" s="56"/>
      <c r="AI113" s="56"/>
      <c r="AJ113" s="57"/>
    </row>
    <row r="114" s="1" customFormat="1" ht="25" customHeight="1" spans="1:36">
      <c r="A114" s="43"/>
      <c r="B114" s="19"/>
      <c r="C114" s="116" t="s">
        <v>30</v>
      </c>
      <c r="D114" s="86"/>
      <c r="E114" s="87"/>
      <c r="F114" s="134">
        <v>0</v>
      </c>
      <c r="G114" s="89"/>
      <c r="H114" s="86"/>
      <c r="I114" s="87"/>
      <c r="J114" s="88">
        <v>0</v>
      </c>
      <c r="K114" s="90"/>
      <c r="L114" s="86"/>
      <c r="M114" s="87"/>
      <c r="N114" s="88">
        <v>0</v>
      </c>
      <c r="O114" s="90"/>
      <c r="P114" s="86"/>
      <c r="Q114" s="87"/>
      <c r="R114" s="88">
        <v>0</v>
      </c>
      <c r="S114" s="89"/>
      <c r="T114" s="86"/>
      <c r="U114" s="87"/>
      <c r="V114" s="88">
        <v>0</v>
      </c>
      <c r="W114" s="90"/>
      <c r="X114" s="86">
        <v>90</v>
      </c>
      <c r="Y114" s="87"/>
      <c r="Z114" s="88">
        <v>0</v>
      </c>
      <c r="AA114" s="89"/>
      <c r="AB114" s="86">
        <v>90</v>
      </c>
      <c r="AC114" s="91"/>
      <c r="AD114" s="90"/>
      <c r="AE114" s="97"/>
      <c r="AF114" s="92"/>
      <c r="AG114" s="92"/>
      <c r="AH114" s="20"/>
      <c r="AI114" s="20"/>
      <c r="AJ114" s="67"/>
    </row>
    <row r="115" s="1" customFormat="1" spans="1:36">
      <c r="A115" s="43"/>
      <c r="B115" s="68" t="s">
        <v>121</v>
      </c>
      <c r="C115" s="103" t="s">
        <v>25</v>
      </c>
      <c r="D115" s="70"/>
      <c r="E115" s="71"/>
      <c r="F115" s="135">
        <v>0</v>
      </c>
      <c r="G115" s="73"/>
      <c r="H115" s="70">
        <v>574.2</v>
      </c>
      <c r="I115" s="71"/>
      <c r="J115" s="72">
        <v>0</v>
      </c>
      <c r="K115" s="74"/>
      <c r="L115" s="70"/>
      <c r="M115" s="71"/>
      <c r="N115" s="72">
        <v>0</v>
      </c>
      <c r="O115" s="74"/>
      <c r="P115" s="70"/>
      <c r="Q115" s="71">
        <v>314.66</v>
      </c>
      <c r="R115" s="72">
        <v>0</v>
      </c>
      <c r="S115" s="73">
        <v>-314.66</v>
      </c>
      <c r="T115" s="70">
        <v>143.1766</v>
      </c>
      <c r="U115" s="71">
        <v>55</v>
      </c>
      <c r="V115" s="76">
        <v>72</v>
      </c>
      <c r="W115" s="74">
        <v>17</v>
      </c>
      <c r="X115" s="70">
        <v>57.8</v>
      </c>
      <c r="Y115" s="71">
        <v>39.65</v>
      </c>
      <c r="Z115" s="72">
        <v>0</v>
      </c>
      <c r="AA115" s="73">
        <v>-39.65</v>
      </c>
      <c r="AB115" s="70">
        <v>775.1766</v>
      </c>
      <c r="AC115" s="78">
        <f>E115+I115+M115+Q115+U115+Y115</f>
        <v>409.31</v>
      </c>
      <c r="AD115" s="74">
        <f t="shared" ref="AD115:AD126" si="5">F115+J115+N115+R115+V115+Z115</f>
        <v>72</v>
      </c>
      <c r="AE115" s="73">
        <f t="shared" ref="AE115:AE126" si="6">AD115-AC115</f>
        <v>-337.31</v>
      </c>
      <c r="AF115" s="104">
        <f>AE115+AE116+AE117+AE118</f>
        <v>-939.52</v>
      </c>
      <c r="AG115" s="129">
        <v>-0.845</v>
      </c>
      <c r="AH115" s="82" t="s">
        <v>122</v>
      </c>
      <c r="AI115" s="82" t="s">
        <v>123</v>
      </c>
      <c r="AJ115" s="83"/>
    </row>
    <row r="116" s="1" customFormat="1" spans="1:36">
      <c r="A116" s="43"/>
      <c r="B116" s="44"/>
      <c r="C116" s="95" t="s">
        <v>28</v>
      </c>
      <c r="D116" s="46"/>
      <c r="E116" s="47"/>
      <c r="F116" s="48">
        <v>0</v>
      </c>
      <c r="G116" s="49"/>
      <c r="H116" s="46"/>
      <c r="I116" s="47"/>
      <c r="J116" s="48">
        <v>0</v>
      </c>
      <c r="K116" s="50"/>
      <c r="L116" s="46"/>
      <c r="M116" s="47"/>
      <c r="N116" s="48">
        <v>0</v>
      </c>
      <c r="O116" s="50"/>
      <c r="P116" s="46"/>
      <c r="Q116" s="47">
        <v>195</v>
      </c>
      <c r="R116" s="48">
        <v>0</v>
      </c>
      <c r="S116" s="49">
        <v>-195</v>
      </c>
      <c r="T116" s="46"/>
      <c r="U116" s="47"/>
      <c r="V116" s="48">
        <v>0</v>
      </c>
      <c r="W116" s="50"/>
      <c r="X116" s="46"/>
      <c r="Y116" s="47">
        <v>5.58</v>
      </c>
      <c r="Z116" s="51">
        <v>25.68</v>
      </c>
      <c r="AA116" s="50">
        <v>20.1</v>
      </c>
      <c r="AB116" s="46"/>
      <c r="AC116" s="53">
        <f>E116+I116+M116+Q116+U116+Y116</f>
        <v>200.58</v>
      </c>
      <c r="AD116" s="50">
        <f t="shared" si="5"/>
        <v>25.68</v>
      </c>
      <c r="AE116" s="49">
        <f t="shared" si="6"/>
        <v>-174.9</v>
      </c>
      <c r="AF116" s="55"/>
      <c r="AG116" s="55"/>
      <c r="AH116" s="56"/>
      <c r="AI116" s="56"/>
      <c r="AJ116" s="57"/>
    </row>
    <row r="117" s="1" customFormat="1" spans="1:36">
      <c r="A117" s="43"/>
      <c r="B117" s="44"/>
      <c r="C117" s="95" t="s">
        <v>29</v>
      </c>
      <c r="D117" s="46"/>
      <c r="E117" s="47"/>
      <c r="F117" s="48">
        <v>0</v>
      </c>
      <c r="G117" s="49"/>
      <c r="H117" s="46"/>
      <c r="I117" s="47"/>
      <c r="J117" s="48">
        <v>0</v>
      </c>
      <c r="K117" s="50"/>
      <c r="L117" s="46"/>
      <c r="M117" s="47"/>
      <c r="N117" s="48">
        <v>0</v>
      </c>
      <c r="O117" s="50"/>
      <c r="P117" s="46">
        <v>145</v>
      </c>
      <c r="Q117" s="47">
        <v>292.1</v>
      </c>
      <c r="R117" s="48">
        <v>0</v>
      </c>
      <c r="S117" s="49">
        <v>-292.1</v>
      </c>
      <c r="T117" s="46"/>
      <c r="U117" s="47"/>
      <c r="V117" s="48">
        <v>0</v>
      </c>
      <c r="W117" s="50"/>
      <c r="X117" s="46">
        <v>187.6356</v>
      </c>
      <c r="Y117" s="47">
        <v>191.47</v>
      </c>
      <c r="Z117" s="51">
        <v>72.5</v>
      </c>
      <c r="AA117" s="49">
        <v>-118.97</v>
      </c>
      <c r="AB117" s="46">
        <v>332.6356</v>
      </c>
      <c r="AC117" s="53">
        <f>E117+I117+M117+Q117+U117+Y117</f>
        <v>483.57</v>
      </c>
      <c r="AD117" s="50">
        <f t="shared" si="5"/>
        <v>72.5</v>
      </c>
      <c r="AE117" s="49">
        <f t="shared" si="6"/>
        <v>-411.07</v>
      </c>
      <c r="AF117" s="55"/>
      <c r="AG117" s="55"/>
      <c r="AH117" s="56"/>
      <c r="AI117" s="56"/>
      <c r="AJ117" s="57"/>
    </row>
    <row r="118" s="1" customFormat="1" ht="37" customHeight="1" spans="1:36">
      <c r="A118" s="136"/>
      <c r="B118" s="19"/>
      <c r="C118" s="85" t="s">
        <v>30</v>
      </c>
      <c r="D118" s="86"/>
      <c r="E118" s="87"/>
      <c r="F118" s="88">
        <v>0</v>
      </c>
      <c r="G118" s="89"/>
      <c r="H118" s="86"/>
      <c r="I118" s="87"/>
      <c r="J118" s="88">
        <v>0</v>
      </c>
      <c r="K118" s="90"/>
      <c r="L118" s="86"/>
      <c r="M118" s="87"/>
      <c r="N118" s="88">
        <v>0</v>
      </c>
      <c r="O118" s="90"/>
      <c r="P118" s="86"/>
      <c r="Q118" s="87"/>
      <c r="R118" s="88">
        <v>0</v>
      </c>
      <c r="S118" s="90"/>
      <c r="T118" s="86"/>
      <c r="U118" s="87"/>
      <c r="V118" s="88">
        <v>0</v>
      </c>
      <c r="W118" s="90"/>
      <c r="X118" s="86">
        <v>21.6</v>
      </c>
      <c r="Y118" s="87">
        <v>18.64</v>
      </c>
      <c r="Z118" s="85">
        <v>2.4</v>
      </c>
      <c r="AA118" s="89">
        <v>-16.24</v>
      </c>
      <c r="AB118" s="86">
        <v>21.6</v>
      </c>
      <c r="AC118" s="91">
        <f>E118+I118+M118+Q118+U118+Y118</f>
        <v>18.64</v>
      </c>
      <c r="AD118" s="90">
        <f t="shared" si="5"/>
        <v>2.4</v>
      </c>
      <c r="AE118" s="89">
        <f t="shared" si="6"/>
        <v>-16.24</v>
      </c>
      <c r="AF118" s="66"/>
      <c r="AG118" s="66"/>
      <c r="AH118" s="20"/>
      <c r="AI118" s="20"/>
      <c r="AJ118" s="67"/>
    </row>
    <row r="119" s="1" customFormat="1" spans="1:36">
      <c r="A119" s="131" t="s">
        <v>124</v>
      </c>
      <c r="B119" s="137" t="s">
        <v>125</v>
      </c>
      <c r="C119" s="103" t="s">
        <v>25</v>
      </c>
      <c r="D119" s="70"/>
      <c r="E119" s="71"/>
      <c r="F119" s="72">
        <v>0</v>
      </c>
      <c r="G119" s="73"/>
      <c r="H119" s="70"/>
      <c r="I119" s="71"/>
      <c r="J119" s="72">
        <v>0</v>
      </c>
      <c r="K119" s="74"/>
      <c r="L119" s="70"/>
      <c r="M119" s="71"/>
      <c r="N119" s="72">
        <v>0</v>
      </c>
      <c r="O119" s="74"/>
      <c r="P119" s="70"/>
      <c r="Q119" s="71">
        <v>282</v>
      </c>
      <c r="R119" s="72">
        <v>0</v>
      </c>
      <c r="S119" s="73">
        <v>-282</v>
      </c>
      <c r="T119" s="70">
        <v>60.732</v>
      </c>
      <c r="U119" s="71"/>
      <c r="V119" s="76">
        <v>144.36</v>
      </c>
      <c r="W119" s="77">
        <v>144.36</v>
      </c>
      <c r="X119" s="70">
        <v>17.6392</v>
      </c>
      <c r="Y119" s="71">
        <v>57.07</v>
      </c>
      <c r="Z119" s="76">
        <v>59.62</v>
      </c>
      <c r="AA119" s="74">
        <v>2.55</v>
      </c>
      <c r="AB119" s="70">
        <v>78.3712</v>
      </c>
      <c r="AC119" s="78">
        <f>E119+I119+M119+Q119+U119+Y119</f>
        <v>339.07</v>
      </c>
      <c r="AD119" s="74">
        <f t="shared" si="5"/>
        <v>203.98</v>
      </c>
      <c r="AE119" s="73">
        <f t="shared" si="6"/>
        <v>-135.09</v>
      </c>
      <c r="AF119" s="98">
        <f>AE119+AE120+AE121+AE122</f>
        <v>27.5</v>
      </c>
      <c r="AG119" s="129">
        <v>-0.112</v>
      </c>
      <c r="AH119" s="82" t="s">
        <v>126</v>
      </c>
      <c r="AI119" s="82" t="s">
        <v>127</v>
      </c>
      <c r="AJ119" s="83"/>
    </row>
    <row r="120" s="1" customFormat="1" spans="1:36">
      <c r="A120" s="43"/>
      <c r="B120" s="138"/>
      <c r="C120" s="51" t="s">
        <v>28</v>
      </c>
      <c r="D120" s="46"/>
      <c r="E120" s="47"/>
      <c r="F120" s="48">
        <v>0</v>
      </c>
      <c r="G120" s="49"/>
      <c r="H120" s="46"/>
      <c r="I120" s="47"/>
      <c r="J120" s="48">
        <v>0</v>
      </c>
      <c r="K120" s="50"/>
      <c r="L120" s="46"/>
      <c r="M120" s="47"/>
      <c r="N120" s="48">
        <v>0</v>
      </c>
      <c r="O120" s="50"/>
      <c r="P120" s="46"/>
      <c r="Q120" s="47"/>
      <c r="R120" s="139">
        <v>120.18</v>
      </c>
      <c r="S120" s="50"/>
      <c r="T120" s="46"/>
      <c r="U120" s="47"/>
      <c r="V120" s="48">
        <v>0</v>
      </c>
      <c r="W120" s="50"/>
      <c r="X120" s="46"/>
      <c r="Y120" s="47"/>
      <c r="Z120" s="140">
        <v>48.08</v>
      </c>
      <c r="AA120" s="52">
        <v>46.08</v>
      </c>
      <c r="AB120" s="46"/>
      <c r="AC120" s="53"/>
      <c r="AD120" s="50">
        <f t="shared" si="5"/>
        <v>168.26</v>
      </c>
      <c r="AE120" s="54">
        <f t="shared" si="6"/>
        <v>168.26</v>
      </c>
      <c r="AF120" s="55"/>
      <c r="AG120" s="55"/>
      <c r="AH120" s="56"/>
      <c r="AI120" s="56"/>
      <c r="AJ120" s="57"/>
    </row>
    <row r="121" s="1" customFormat="1" spans="1:36">
      <c r="A121" s="43"/>
      <c r="B121" s="138"/>
      <c r="C121" s="51" t="s">
        <v>29</v>
      </c>
      <c r="D121" s="46"/>
      <c r="E121" s="47"/>
      <c r="F121" s="48">
        <v>0</v>
      </c>
      <c r="G121" s="49"/>
      <c r="H121" s="46"/>
      <c r="I121" s="47"/>
      <c r="J121" s="48">
        <v>0</v>
      </c>
      <c r="K121" s="50"/>
      <c r="L121" s="46"/>
      <c r="M121" s="47"/>
      <c r="N121" s="48">
        <v>0</v>
      </c>
      <c r="O121" s="50"/>
      <c r="P121" s="46">
        <v>192</v>
      </c>
      <c r="Q121" s="47">
        <v>123.68</v>
      </c>
      <c r="R121" s="51">
        <v>183</v>
      </c>
      <c r="S121" s="52">
        <v>59.32</v>
      </c>
      <c r="T121" s="46">
        <v>290.4099</v>
      </c>
      <c r="U121" s="47">
        <v>154.8</v>
      </c>
      <c r="V121" s="48">
        <v>0</v>
      </c>
      <c r="W121" s="49">
        <v>-154.8</v>
      </c>
      <c r="X121" s="46">
        <v>787.9895</v>
      </c>
      <c r="Y121" s="47">
        <v>172.47</v>
      </c>
      <c r="Z121" s="51">
        <v>261.02</v>
      </c>
      <c r="AA121" s="52">
        <v>88.54</v>
      </c>
      <c r="AB121" s="46">
        <v>1270.3994</v>
      </c>
      <c r="AC121" s="53">
        <f t="shared" ref="AC121:AC126" si="7">E121+I121+M121+Q121+U121+Y121</f>
        <v>450.95</v>
      </c>
      <c r="AD121" s="50">
        <f t="shared" si="5"/>
        <v>444.02</v>
      </c>
      <c r="AE121" s="49">
        <f t="shared" si="6"/>
        <v>-6.93000000000006</v>
      </c>
      <c r="AF121" s="55"/>
      <c r="AG121" s="55"/>
      <c r="AH121" s="56"/>
      <c r="AI121" s="56"/>
      <c r="AJ121" s="57"/>
    </row>
    <row r="122" s="1" customFormat="1" ht="24" customHeight="1" spans="1:36">
      <c r="A122" s="136"/>
      <c r="B122" s="141"/>
      <c r="C122" s="85" t="s">
        <v>30</v>
      </c>
      <c r="D122" s="86"/>
      <c r="E122" s="87"/>
      <c r="F122" s="88">
        <v>0</v>
      </c>
      <c r="G122" s="89"/>
      <c r="H122" s="86"/>
      <c r="I122" s="87"/>
      <c r="J122" s="88">
        <v>0</v>
      </c>
      <c r="K122" s="90"/>
      <c r="L122" s="86"/>
      <c r="M122" s="87"/>
      <c r="N122" s="88">
        <v>0</v>
      </c>
      <c r="O122" s="90"/>
      <c r="P122" s="86"/>
      <c r="Q122" s="87"/>
      <c r="R122" s="88">
        <v>0</v>
      </c>
      <c r="S122" s="90"/>
      <c r="T122" s="86"/>
      <c r="U122" s="87"/>
      <c r="V122" s="88">
        <v>0</v>
      </c>
      <c r="W122" s="90"/>
      <c r="X122" s="86">
        <v>36.95</v>
      </c>
      <c r="Y122" s="87">
        <v>56.07</v>
      </c>
      <c r="Z122" s="85">
        <v>57.33</v>
      </c>
      <c r="AA122" s="90">
        <v>1.26</v>
      </c>
      <c r="AB122" s="86">
        <v>36.95</v>
      </c>
      <c r="AC122" s="91">
        <f t="shared" si="7"/>
        <v>56.07</v>
      </c>
      <c r="AD122" s="90">
        <f t="shared" si="5"/>
        <v>57.33</v>
      </c>
      <c r="AE122" s="97">
        <f t="shared" si="6"/>
        <v>1.26</v>
      </c>
      <c r="AF122" s="66"/>
      <c r="AG122" s="66"/>
      <c r="AH122" s="20"/>
      <c r="AI122" s="20"/>
      <c r="AJ122" s="67"/>
    </row>
    <row r="123" s="1" customFormat="1" spans="1:36">
      <c r="A123" s="131" t="s">
        <v>128</v>
      </c>
      <c r="B123" s="137" t="s">
        <v>129</v>
      </c>
      <c r="C123" s="69" t="s">
        <v>25</v>
      </c>
      <c r="D123" s="70"/>
      <c r="E123" s="71"/>
      <c r="F123" s="72">
        <v>0</v>
      </c>
      <c r="G123" s="73"/>
      <c r="H123" s="70"/>
      <c r="I123" s="71"/>
      <c r="J123" s="72">
        <v>0</v>
      </c>
      <c r="K123" s="74"/>
      <c r="L123" s="70"/>
      <c r="M123" s="71"/>
      <c r="N123" s="72">
        <v>0</v>
      </c>
      <c r="O123" s="74"/>
      <c r="P123" s="70"/>
      <c r="Q123" s="71"/>
      <c r="R123" s="76">
        <v>284.56</v>
      </c>
      <c r="S123" s="77">
        <v>284.56</v>
      </c>
      <c r="T123" s="70"/>
      <c r="U123" s="71"/>
      <c r="V123" s="76">
        <v>108.56</v>
      </c>
      <c r="W123" s="77">
        <v>108.56</v>
      </c>
      <c r="X123" s="70">
        <v>23.94</v>
      </c>
      <c r="Y123" s="71">
        <v>30.42</v>
      </c>
      <c r="Z123" s="76">
        <v>67.19</v>
      </c>
      <c r="AA123" s="74">
        <v>36.77</v>
      </c>
      <c r="AB123" s="70">
        <v>23.94</v>
      </c>
      <c r="AC123" s="78">
        <f t="shared" si="7"/>
        <v>30.42</v>
      </c>
      <c r="AD123" s="74">
        <f t="shared" si="5"/>
        <v>460.31</v>
      </c>
      <c r="AE123" s="79">
        <f t="shared" si="6"/>
        <v>429.89</v>
      </c>
      <c r="AF123" s="80">
        <f>AE123+AE124+AE125+AE126</f>
        <v>883.49</v>
      </c>
      <c r="AG123" s="142">
        <v>2.121</v>
      </c>
      <c r="AH123" s="82" t="s">
        <v>130</v>
      </c>
      <c r="AI123" s="82" t="s">
        <v>131</v>
      </c>
      <c r="AJ123" s="83"/>
    </row>
    <row r="124" s="1" customFormat="1" spans="1:36">
      <c r="A124" s="43"/>
      <c r="B124" s="138"/>
      <c r="C124" s="45" t="s">
        <v>28</v>
      </c>
      <c r="D124" s="46"/>
      <c r="E124" s="47"/>
      <c r="F124" s="48">
        <v>0</v>
      </c>
      <c r="G124" s="49"/>
      <c r="H124" s="46"/>
      <c r="I124" s="47"/>
      <c r="J124" s="48">
        <v>0</v>
      </c>
      <c r="K124" s="50"/>
      <c r="L124" s="46"/>
      <c r="M124" s="47"/>
      <c r="N124" s="51">
        <v>363.05</v>
      </c>
      <c r="O124" s="52">
        <v>363.05</v>
      </c>
      <c r="P124" s="46"/>
      <c r="Q124" s="47"/>
      <c r="R124" s="51">
        <v>164</v>
      </c>
      <c r="S124" s="52">
        <v>164</v>
      </c>
      <c r="T124" s="46"/>
      <c r="U124" s="47">
        <v>61.45</v>
      </c>
      <c r="V124" s="48">
        <v>0</v>
      </c>
      <c r="W124" s="49">
        <v>-61.45</v>
      </c>
      <c r="X124" s="46">
        <v>28</v>
      </c>
      <c r="Y124" s="47"/>
      <c r="Z124" s="48">
        <v>0</v>
      </c>
      <c r="AA124" s="50"/>
      <c r="AB124" s="46">
        <v>28</v>
      </c>
      <c r="AC124" s="53">
        <f t="shared" si="7"/>
        <v>61.45</v>
      </c>
      <c r="AD124" s="50">
        <f t="shared" si="5"/>
        <v>527.05</v>
      </c>
      <c r="AE124" s="54">
        <f t="shared" si="6"/>
        <v>465.6</v>
      </c>
      <c r="AF124" s="55"/>
      <c r="AG124" s="55"/>
      <c r="AH124" s="56"/>
      <c r="AI124" s="56"/>
      <c r="AJ124" s="57"/>
    </row>
    <row r="125" s="1" customFormat="1" spans="1:36">
      <c r="A125" s="43"/>
      <c r="B125" s="138"/>
      <c r="C125" s="51" t="s">
        <v>29</v>
      </c>
      <c r="D125" s="46"/>
      <c r="E125" s="47"/>
      <c r="F125" s="48">
        <v>0</v>
      </c>
      <c r="G125" s="49"/>
      <c r="H125" s="46"/>
      <c r="I125" s="47"/>
      <c r="J125" s="48">
        <v>0</v>
      </c>
      <c r="K125" s="50"/>
      <c r="L125" s="46"/>
      <c r="M125" s="47"/>
      <c r="N125" s="48">
        <v>0</v>
      </c>
      <c r="O125" s="50"/>
      <c r="P125" s="46"/>
      <c r="Q125" s="47">
        <v>130</v>
      </c>
      <c r="R125" s="51">
        <v>139.4</v>
      </c>
      <c r="S125" s="50">
        <v>9.4</v>
      </c>
      <c r="T125" s="46">
        <v>148.34</v>
      </c>
      <c r="U125" s="47">
        <v>74.6</v>
      </c>
      <c r="V125" s="51">
        <v>92.95</v>
      </c>
      <c r="W125" s="50">
        <v>18.35</v>
      </c>
      <c r="X125" s="46">
        <v>98.46</v>
      </c>
      <c r="Y125" s="47">
        <v>103.65</v>
      </c>
      <c r="Z125" s="51">
        <v>72.65</v>
      </c>
      <c r="AA125" s="49">
        <v>-31</v>
      </c>
      <c r="AB125" s="46">
        <v>246.8</v>
      </c>
      <c r="AC125" s="53">
        <f t="shared" si="7"/>
        <v>308.25</v>
      </c>
      <c r="AD125" s="50">
        <f t="shared" si="5"/>
        <v>305</v>
      </c>
      <c r="AE125" s="49">
        <f t="shared" si="6"/>
        <v>-3.25</v>
      </c>
      <c r="AF125" s="55"/>
      <c r="AG125" s="55"/>
      <c r="AH125" s="56"/>
      <c r="AI125" s="56"/>
      <c r="AJ125" s="57"/>
    </row>
    <row r="126" s="1" customFormat="1" ht="26" customHeight="1" spans="1:36">
      <c r="A126" s="136"/>
      <c r="B126" s="141"/>
      <c r="C126" s="85" t="s">
        <v>30</v>
      </c>
      <c r="D126" s="86"/>
      <c r="E126" s="87"/>
      <c r="F126" s="88">
        <v>0</v>
      </c>
      <c r="G126" s="89"/>
      <c r="H126" s="86"/>
      <c r="I126" s="87"/>
      <c r="J126" s="88">
        <v>0</v>
      </c>
      <c r="K126" s="90"/>
      <c r="L126" s="86"/>
      <c r="M126" s="87"/>
      <c r="N126" s="88">
        <v>0</v>
      </c>
      <c r="O126" s="90"/>
      <c r="P126" s="86"/>
      <c r="Q126" s="87"/>
      <c r="R126" s="88">
        <v>0</v>
      </c>
      <c r="S126" s="90"/>
      <c r="T126" s="86"/>
      <c r="U126" s="87"/>
      <c r="V126" s="88">
        <v>0</v>
      </c>
      <c r="W126" s="90"/>
      <c r="X126" s="86">
        <v>3</v>
      </c>
      <c r="Y126" s="87">
        <v>16.5</v>
      </c>
      <c r="Z126" s="85">
        <v>7.75</v>
      </c>
      <c r="AA126" s="89">
        <v>-8.75</v>
      </c>
      <c r="AB126" s="86">
        <v>3</v>
      </c>
      <c r="AC126" s="91">
        <f t="shared" si="7"/>
        <v>16.5</v>
      </c>
      <c r="AD126" s="90">
        <f t="shared" si="5"/>
        <v>7.75</v>
      </c>
      <c r="AE126" s="89">
        <f t="shared" si="6"/>
        <v>-8.75</v>
      </c>
      <c r="AF126" s="66"/>
      <c r="AG126" s="66"/>
      <c r="AH126" s="20"/>
      <c r="AI126" s="20"/>
      <c r="AJ126" s="67"/>
    </row>
    <row r="127" s="1" customFormat="1" spans="1:36">
      <c r="B127" s="2"/>
      <c r="D127" s="3"/>
      <c r="E127" s="4"/>
      <c r="G127" s="1">
        <f>SUM(G3:G97)</f>
        <v>-1272.6</v>
      </c>
      <c r="H127" s="3"/>
      <c r="I127" s="4"/>
      <c r="K127" s="1">
        <f>SUM(K3:K97)</f>
        <v>-568</v>
      </c>
      <c r="L127" s="3"/>
      <c r="M127" s="4"/>
      <c r="O127" s="1">
        <f>SUM(O3:O97)</f>
        <v>1338.1</v>
      </c>
      <c r="P127" s="3"/>
      <c r="Q127" s="4"/>
      <c r="S127" s="1">
        <f>SUM(S3:S97)</f>
        <v>-1207.61</v>
      </c>
      <c r="T127" s="3"/>
      <c r="U127" s="4"/>
      <c r="W127" s="1">
        <f>SUM(W3:W97)</f>
        <v>-729.76</v>
      </c>
      <c r="X127" s="3"/>
      <c r="Y127" s="4"/>
      <c r="AA127" s="1">
        <f>SUM(AA3:AA97)</f>
        <v>-2302.55</v>
      </c>
      <c r="AB127" s="3"/>
      <c r="AC127" s="4"/>
      <c r="AD127" s="1">
        <f>SUM(AD3:AD126)</f>
        <v>12345.222</v>
      </c>
      <c r="AE127" s="6"/>
      <c r="AG127" s="6"/>
      <c r="AH127" s="7"/>
      <c r="AI127" s="7"/>
    </row>
  </sheetData>
  <autoFilter xmlns:etc="http://www.wps.cn/officeDocument/2017/etCustomData" ref="AF1:AF127" etc:filterBottomFollowUsedRange="0">
    <extLst/>
  </autoFilter>
  <mergeCells count="207">
    <mergeCell ref="D1:G1"/>
    <mergeCell ref="H1:K1"/>
    <mergeCell ref="L1:O1"/>
    <mergeCell ref="P1:S1"/>
    <mergeCell ref="T1:W1"/>
    <mergeCell ref="X1:AA1"/>
    <mergeCell ref="AH1:AJ1"/>
    <mergeCell ref="A1:A2"/>
    <mergeCell ref="A3:A42"/>
    <mergeCell ref="A43:A94"/>
    <mergeCell ref="A95:A118"/>
    <mergeCell ref="A119:A122"/>
    <mergeCell ref="A123:A126"/>
    <mergeCell ref="B1:B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C1:C2"/>
    <mergeCell ref="AB1:AB2"/>
    <mergeCell ref="AC1:AC2"/>
    <mergeCell ref="AD1:AD2"/>
    <mergeCell ref="AE1:AE2"/>
    <mergeCell ref="AF1:AF2"/>
    <mergeCell ref="AF3:AF6"/>
    <mergeCell ref="AF7:AF10"/>
    <mergeCell ref="AF11:AF14"/>
    <mergeCell ref="AF15:AF18"/>
    <mergeCell ref="AF19:AF22"/>
    <mergeCell ref="AF23:AF26"/>
    <mergeCell ref="AF27:AF30"/>
    <mergeCell ref="AF31:AF34"/>
    <mergeCell ref="AF35:AF38"/>
    <mergeCell ref="AF39:AF42"/>
    <mergeCell ref="AF43:AF46"/>
    <mergeCell ref="AF47:AF50"/>
    <mergeCell ref="AF51:AF54"/>
    <mergeCell ref="AF55:AF58"/>
    <mergeCell ref="AF59:AF62"/>
    <mergeCell ref="AF63:AF66"/>
    <mergeCell ref="AF67:AF70"/>
    <mergeCell ref="AF71:AF74"/>
    <mergeCell ref="AF75:AF78"/>
    <mergeCell ref="AF79:AF82"/>
    <mergeCell ref="AF83:AF86"/>
    <mergeCell ref="AF87:AF90"/>
    <mergeCell ref="AF91:AF94"/>
    <mergeCell ref="AF95:AF98"/>
    <mergeCell ref="AF99:AF102"/>
    <mergeCell ref="AF103:AF106"/>
    <mergeCell ref="AF107:AF110"/>
    <mergeCell ref="AF111:AF114"/>
    <mergeCell ref="AF115:AF118"/>
    <mergeCell ref="AF119:AF122"/>
    <mergeCell ref="AF123:AF126"/>
    <mergeCell ref="AG1:AG2"/>
    <mergeCell ref="AG3:AG6"/>
    <mergeCell ref="AG7:AG10"/>
    <mergeCell ref="AG11:AG14"/>
    <mergeCell ref="AG15:AG18"/>
    <mergeCell ref="AG19:AG22"/>
    <mergeCell ref="AG23:AG26"/>
    <mergeCell ref="AG27:AG30"/>
    <mergeCell ref="AG31:AG34"/>
    <mergeCell ref="AG35:AG38"/>
    <mergeCell ref="AG39:AG42"/>
    <mergeCell ref="AG43:AG46"/>
    <mergeCell ref="AG47:AG50"/>
    <mergeCell ref="AG51:AG54"/>
    <mergeCell ref="AG55:AG58"/>
    <mergeCell ref="AG59:AG62"/>
    <mergeCell ref="AG63:AG66"/>
    <mergeCell ref="AG67:AG70"/>
    <mergeCell ref="AG71:AG74"/>
    <mergeCell ref="AG75:AG78"/>
    <mergeCell ref="AG79:AG82"/>
    <mergeCell ref="AG83:AG86"/>
    <mergeCell ref="AG87:AG90"/>
    <mergeCell ref="AG91:AG94"/>
    <mergeCell ref="AG95:AG98"/>
    <mergeCell ref="AG99:AG102"/>
    <mergeCell ref="AG103:AG106"/>
    <mergeCell ref="AG107:AG110"/>
    <mergeCell ref="AG111:AG114"/>
    <mergeCell ref="AG115:AG118"/>
    <mergeCell ref="AG119:AG122"/>
    <mergeCell ref="AG123:AG126"/>
    <mergeCell ref="AH3:AH6"/>
    <mergeCell ref="AH7:AH10"/>
    <mergeCell ref="AH11:AH14"/>
    <mergeCell ref="AH15:AH18"/>
    <mergeCell ref="AH19:AH22"/>
    <mergeCell ref="AH23:AH26"/>
    <mergeCell ref="AH27:AH30"/>
    <mergeCell ref="AH31:AH34"/>
    <mergeCell ref="AH35:AH38"/>
    <mergeCell ref="AH39:AH42"/>
    <mergeCell ref="AH43:AH46"/>
    <mergeCell ref="AH47:AH50"/>
    <mergeCell ref="AH51:AH54"/>
    <mergeCell ref="AH55:AH58"/>
    <mergeCell ref="AH59:AH62"/>
    <mergeCell ref="AH63:AH66"/>
    <mergeCell ref="AH67:AH70"/>
    <mergeCell ref="AH71:AH74"/>
    <mergeCell ref="AH75:AH78"/>
    <mergeCell ref="AH79:AH82"/>
    <mergeCell ref="AH83:AH86"/>
    <mergeCell ref="AH87:AH90"/>
    <mergeCell ref="AH91:AH94"/>
    <mergeCell ref="AH95:AH98"/>
    <mergeCell ref="AH99:AH102"/>
    <mergeCell ref="AH103:AH106"/>
    <mergeCell ref="AH107:AH110"/>
    <mergeCell ref="AH111:AH114"/>
    <mergeCell ref="AH115:AH118"/>
    <mergeCell ref="AH119:AH122"/>
    <mergeCell ref="AH123:AH126"/>
    <mergeCell ref="AI3:AI6"/>
    <mergeCell ref="AI7:AI10"/>
    <mergeCell ref="AI11:AI14"/>
    <mergeCell ref="AI15:AI18"/>
    <mergeCell ref="AI19:AI22"/>
    <mergeCell ref="AI23:AI26"/>
    <mergeCell ref="AI27:AI30"/>
    <mergeCell ref="AI31:AI34"/>
    <mergeCell ref="AI35:AI38"/>
    <mergeCell ref="AI39:AI42"/>
    <mergeCell ref="AI43:AI46"/>
    <mergeCell ref="AI47:AI50"/>
    <mergeCell ref="AI51:AI54"/>
    <mergeCell ref="AI55:AI58"/>
    <mergeCell ref="AI59:AI62"/>
    <mergeCell ref="AI63:AI66"/>
    <mergeCell ref="AI67:AI70"/>
    <mergeCell ref="AI71:AI74"/>
    <mergeCell ref="AI75:AI78"/>
    <mergeCell ref="AI79:AI82"/>
    <mergeCell ref="AI83:AI86"/>
    <mergeCell ref="AI87:AI90"/>
    <mergeCell ref="AI91:AI94"/>
    <mergeCell ref="AI95:AI98"/>
    <mergeCell ref="AI99:AI102"/>
    <mergeCell ref="AI103:AI106"/>
    <mergeCell ref="AI107:AI110"/>
    <mergeCell ref="AI111:AI114"/>
    <mergeCell ref="AI115:AI118"/>
    <mergeCell ref="AI119:AI122"/>
    <mergeCell ref="AI123:AI126"/>
    <mergeCell ref="AJ3:AJ6"/>
    <mergeCell ref="AJ7:AJ10"/>
    <mergeCell ref="AJ11:AJ14"/>
    <mergeCell ref="AJ15:AJ18"/>
    <mergeCell ref="AJ19:AJ22"/>
    <mergeCell ref="AJ23:AJ26"/>
    <mergeCell ref="AJ27:AJ30"/>
    <mergeCell ref="AJ31:AJ34"/>
    <mergeCell ref="AJ35:AJ38"/>
    <mergeCell ref="AJ39:AJ42"/>
    <mergeCell ref="AJ43:AJ46"/>
    <mergeCell ref="AJ47:AJ50"/>
    <mergeCell ref="AJ51:AJ54"/>
    <mergeCell ref="AJ55:AJ58"/>
    <mergeCell ref="AJ59:AJ62"/>
    <mergeCell ref="AJ63:AJ66"/>
    <mergeCell ref="AJ67:AJ70"/>
    <mergeCell ref="AJ71:AJ74"/>
    <mergeCell ref="AJ75:AJ78"/>
    <mergeCell ref="AJ79:AJ82"/>
    <mergeCell ref="AJ83:AJ86"/>
    <mergeCell ref="AJ87:AJ90"/>
    <mergeCell ref="AJ91:AJ94"/>
    <mergeCell ref="AJ95:AJ98"/>
    <mergeCell ref="AJ99:AJ102"/>
    <mergeCell ref="AJ103:AJ106"/>
    <mergeCell ref="AJ107:AJ110"/>
    <mergeCell ref="AJ111:AJ114"/>
    <mergeCell ref="AJ115:AJ118"/>
    <mergeCell ref="AJ119:AJ122"/>
    <mergeCell ref="AJ123:AJ126"/>
  </mergeCells>
  <pageMargins left="0.7" right="0.7" top="0.75" bottom="0.75" header="0.3" footer="0.3"/>
  <pageSetup paperSize="9" scale="59" orientation="landscape"/>
  <headerFooter/>
  <ignoredErrors>
    <ignoredError sqref="AD52:AE5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6A9634-3634-48F4-AC1B-3D413605DCA5}"/>
</file>

<file path=customXml/itemProps2.xml><?xml version="1.0" encoding="utf-8"?>
<ds:datastoreItem xmlns:ds="http://schemas.openxmlformats.org/officeDocument/2006/customXml" ds:itemID="{C185CD53-038F-4D70-AF09-4A71239C056F}"/>
</file>

<file path=customXml/itemProps3.xml><?xml version="1.0" encoding="utf-8"?>
<ds:datastoreItem xmlns:ds="http://schemas.openxmlformats.org/officeDocument/2006/customXml" ds:itemID="{0D041E60-E0FE-4752-BD57-9AF626C8A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董文文</cp:lastModifiedBy>
  <dcterms:created xsi:type="dcterms:W3CDTF">2023-05-12T11:15:00Z</dcterms:created>
  <dcterms:modified xsi:type="dcterms:W3CDTF">2025-12-19T07:40:53Z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{"ContentProducer":"00191310104MAC2G6EG4100000003","ContentPropagator":"00191310104MAC2G6EG4100000003","Label":"1","ProduceID":"u-26b1ec-2c589caa-e031-4799-b3f0-799192b99620","PropagateID":"u-26b1ec-2c589caa-e031-4799-b3f0-799192b99620","ReservedCode1":"","ReservedCode2":""}</vt:lpwstr>
  </property>
  <property fmtid="{D5CDD505-2E9C-101B-9397-08002B2CF9AE}" pid="3" name="ICV">
    <vt:lpwstr>CEDBE91F1D1F4261ABA3292D38797961_12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